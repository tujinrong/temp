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fileSharing readOnlyRecommended="1"/>
  <workbookP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General/02_要件定義フェーズ/03_ToBe業務フロー/"/>
    </mc:Choice>
  </mc:AlternateContent>
  <xr:revisionPtr revIDLastSave="5979" documentId="8_{25CEEDAF-EE9A-422B-9202-942734196EF2}" xr6:coauthVersionLast="47" xr6:coauthVersionMax="47" xr10:uidLastSave="{DE5EDE45-822D-43EC-96E4-51C7BDD307AC}"/>
  <bookViews>
    <workbookView xWindow="-110" yWindow="-110" windowWidth="22780" windowHeight="14540" xr2:uid="{9913F3E6-F43B-43D7-A8D6-9E0E076CF80D}"/>
  </bookViews>
  <sheets>
    <sheet name="表紙" sheetId="3" r:id="rId1"/>
    <sheet name="変更履歴" sheetId="4" r:id="rId2"/>
    <sheet name="1.一般会計・決算" sheetId="8" r:id="rId3"/>
    <sheet name="2.グループファイナンス・資金繰り" sheetId="9" r:id="rId4"/>
    <sheet name="３.債権" sheetId="2" r:id="rId5"/>
    <sheet name="4.債務" sheetId="6" r:id="rId6"/>
    <sheet name="5.固定資産・リース" sheetId="13" r:id="rId7"/>
    <sheet name="6.予算" sheetId="11" r:id="rId8"/>
    <sheet name="7.Branch2" sheetId="12" r:id="rId9"/>
  </sheets>
  <externalReferences>
    <externalReference r:id="rId10"/>
    <externalReference r:id="rId11"/>
  </externalReferences>
  <definedNames>
    <definedName name="_Fill" localSheetId="4" hidden="1">[1]テーブル仕様!#REF!</definedName>
    <definedName name="_Fill" localSheetId="8" hidden="1">[1]テーブル仕様!#REF!</definedName>
    <definedName name="_Fill" localSheetId="1" hidden="1">[1]テーブル仕様!#REF!</definedName>
    <definedName name="_Fill" hidden="1">[1]テーブル仕様!#REF!</definedName>
    <definedName name="_xlnm._FilterDatabase" localSheetId="4" hidden="1">'３.債権'!$A$9:$CF$9</definedName>
    <definedName name="_xlnm._FilterDatabase" localSheetId="8" hidden="1">'7.Branch2'!$A$9:$BJ$9</definedName>
    <definedName name="A" localSheetId="4" hidden="1">#REF!</definedName>
    <definedName name="A" localSheetId="8" hidden="1">#REF!</definedName>
    <definedName name="A" hidden="1">#REF!</definedName>
    <definedName name="adf" localSheetId="4" hidden="1">#REF!</definedName>
    <definedName name="adf" localSheetId="8" hidden="1">#REF!</definedName>
    <definedName name="adf" hidden="1">#REF!</definedName>
    <definedName name="AS2DocOpenMode" hidden="1">"AS2DocumentEdit"</definedName>
    <definedName name="bbb" hidden="1">[1]テーブル仕様!#REF!</definedName>
    <definedName name="HTML_CodePage" hidden="1">932</definedName>
    <definedName name="HTML_Control" localSheetId="4" hidden="1">{"'分担ﾙｰﾙ'!$A$1:$M$72","'分担ﾙｰﾙ'!$A$19:$M$71"}</definedName>
    <definedName name="HTML_Control" localSheetId="8" hidden="1">{"'分担ﾙｰﾙ'!$A$1:$M$72","'分担ﾙｰﾙ'!$A$19:$M$71"}</definedName>
    <definedName name="HTML_Control" localSheetId="0"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1" localSheetId="4" hidden="1">{"'分担ﾙｰﾙ'!$A$1:$M$72","'分担ﾙｰﾙ'!$A$19:$M$71"}</definedName>
    <definedName name="HTML_Control1" localSheetId="8" hidden="1">{"'分担ﾙｰﾙ'!$A$1:$M$72","'分担ﾙｰﾙ'!$A$19:$M$71"}</definedName>
    <definedName name="HTML_Control1" localSheetId="0" hidden="1">{"'分担ﾙｰﾙ'!$A$1:$M$72","'分担ﾙｰﾙ'!$A$19:$M$71"}</definedName>
    <definedName name="HTML_Control1" localSheetId="1"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あああ" localSheetId="1" hidden="1">[1]テーブル仕様!#REF!</definedName>
    <definedName name="あああ" hidden="1">[1]テーブル仕様!#REF!</definedName>
    <definedName name="えええ" localSheetId="4" hidden="1">{"'9.項目'!$B$5:$AW$60"}</definedName>
    <definedName name="えええ" localSheetId="8" hidden="1">{"'9.項目'!$B$5:$AW$60"}</definedName>
    <definedName name="えええ" localSheetId="0" hidden="1">{"'9.項目'!$B$5:$AW$60"}</definedName>
    <definedName name="えええ" localSheetId="1" hidden="1">{"'9.項目'!$B$5:$AW$60"}</definedName>
    <definedName name="えええ" hidden="1">{"'9.項目'!$B$5:$AW$60"}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13" l="1"/>
  <c r="AJ2" i="13"/>
  <c r="V2" i="13"/>
  <c r="F2" i="13"/>
  <c r="F1" i="13"/>
  <c r="AN3" i="12" l="1"/>
  <c r="AS2" i="12"/>
  <c r="AN2" i="12"/>
  <c r="V2" i="12"/>
  <c r="F2" i="12"/>
  <c r="F1" i="12"/>
  <c r="V2" i="11" l="1"/>
  <c r="V2" i="6"/>
  <c r="V2" i="2"/>
  <c r="V2" i="9"/>
  <c r="V2" i="8"/>
  <c r="W2" i="4" l="1"/>
  <c r="F2" i="4"/>
  <c r="F1" i="4"/>
  <c r="BA2" i="4"/>
  <c r="AT2" i="4"/>
  <c r="AT3" i="4" a="1"/>
  <c r="BA3" i="4" a="1"/>
  <c r="B24" i="3" a="1"/>
  <c r="B22" i="3"/>
  <c r="AN2" i="8" l="1"/>
  <c r="AN2" i="6"/>
  <c r="AN2" i="2"/>
  <c r="AN2" i="11"/>
  <c r="AP2" i="9"/>
  <c r="F1" i="2"/>
  <c r="F1" i="9"/>
  <c r="F1" i="8"/>
  <c r="F1" i="11"/>
  <c r="F1" i="6"/>
  <c r="F2" i="11"/>
  <c r="F2" i="6"/>
  <c r="F2" i="8"/>
  <c r="F2" i="2"/>
  <c r="F2" i="9"/>
  <c r="AU2" i="9"/>
  <c r="AS2" i="2"/>
  <c r="F31" i="3"/>
  <c r="AS2" i="6"/>
  <c r="AS2" i="11"/>
  <c r="AU2" i="8"/>
  <c r="F30" i="3"/>
  <c r="BA3" i="4"/>
  <c r="B24" i="3"/>
  <c r="AT3" i="4"/>
  <c r="AO3" i="13" l="1"/>
  <c r="AJ3" i="13"/>
  <c r="AN3" i="11"/>
  <c r="AS3" i="11"/>
  <c r="AS3" i="2"/>
  <c r="AS3" i="6"/>
  <c r="AN3" i="2"/>
  <c r="AN3" i="6"/>
  <c r="AN3" i="8"/>
  <c r="AP3" i="9"/>
  <c r="AU3" i="8"/>
  <c r="AU3" i="9"/>
  <c r="AS3"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<sst xmlns="http://schemas.openxmlformats.org/spreadsheetml/2006/main" count="3880" uniqueCount="1093">
  <si>
    <t>サンスター株式会社　御中</t>
    <phoneticPr fontId="8"/>
  </si>
  <si>
    <t>会計システム刷新プロジェクト（LIBRA）</t>
    <rPh sb="0" eb="2">
      <t>カイケイ</t>
    </rPh>
    <rPh sb="6" eb="8">
      <t>サッシン</t>
    </rPh>
    <phoneticPr fontId="8"/>
  </si>
  <si>
    <t>To-Be業務一覧</t>
    <rPh sb="5" eb="7">
      <t>ギョウム</t>
    </rPh>
    <rPh sb="7" eb="9">
      <t>イチラン</t>
    </rPh>
    <phoneticPr fontId="2"/>
  </si>
  <si>
    <t>日本ビジネスシステムズ株式会社</t>
    <rPh sb="0" eb="2">
      <t>ニホン</t>
    </rPh>
    <rPh sb="11" eb="15">
      <t>カブシキガイシャ</t>
    </rPh>
    <phoneticPr fontId="8"/>
  </si>
  <si>
    <t>作成者</t>
    <rPh sb="0" eb="3">
      <t>サクセイシャ</t>
    </rPh>
    <phoneticPr fontId="8"/>
  </si>
  <si>
    <t>JBS承認者</t>
    <rPh sb="3" eb="6">
      <t>ショウニンシャ</t>
    </rPh>
    <phoneticPr fontId="8"/>
  </si>
  <si>
    <t>承認者</t>
    <rPh sb="0" eb="3">
      <t>ショウニンシャシャ</t>
    </rPh>
    <phoneticPr fontId="8"/>
  </si>
  <si>
    <t>JBS加藤</t>
    <rPh sb="3" eb="5">
      <t>カトウ</t>
    </rPh>
    <phoneticPr fontId="2"/>
  </si>
  <si>
    <t>システム名</t>
    <rPh sb="4" eb="5">
      <t>メイ</t>
    </rPh>
    <phoneticPr fontId="4"/>
  </si>
  <si>
    <t>タイトル</t>
  </si>
  <si>
    <t>日付</t>
    <rPh sb="0" eb="2">
      <t>ヒヅケ</t>
    </rPh>
    <phoneticPr fontId="14"/>
  </si>
  <si>
    <t>更新者</t>
    <rPh sb="0" eb="2">
      <t>コウシン</t>
    </rPh>
    <rPh sb="2" eb="3">
      <t>シャ</t>
    </rPh>
    <phoneticPr fontId="4"/>
  </si>
  <si>
    <t>文書名</t>
    <rPh sb="0" eb="2">
      <t>ブンショ</t>
    </rPh>
    <rPh sb="2" eb="3">
      <t>メイ</t>
    </rPh>
    <phoneticPr fontId="4"/>
  </si>
  <si>
    <t>作成</t>
    <rPh sb="0" eb="2">
      <t>サクセイ</t>
    </rPh>
    <phoneticPr fontId="4"/>
  </si>
  <si>
    <t>更新</t>
    <rPh sb="0" eb="2">
      <t>コウシン</t>
    </rPh>
    <phoneticPr fontId="4"/>
  </si>
  <si>
    <t>変更年月日</t>
    <rPh sb="0" eb="2">
      <t>ヘンコウ</t>
    </rPh>
    <rPh sb="2" eb="5">
      <t>ネンガッピ</t>
    </rPh>
    <phoneticPr fontId="21"/>
  </si>
  <si>
    <t>変更箇所</t>
    <rPh sb="0" eb="2">
      <t>ヘンコウ</t>
    </rPh>
    <rPh sb="2" eb="4">
      <t>カショ</t>
    </rPh>
    <phoneticPr fontId="21"/>
  </si>
  <si>
    <t>変更内容</t>
    <rPh sb="0" eb="2">
      <t>ヘンコウ</t>
    </rPh>
    <rPh sb="2" eb="4">
      <t>ナイヨウ</t>
    </rPh>
    <phoneticPr fontId="21"/>
  </si>
  <si>
    <t>変更者</t>
    <rPh sb="0" eb="2">
      <t>ヘンコウ</t>
    </rPh>
    <rPh sb="2" eb="3">
      <t>シャ</t>
    </rPh>
    <phoneticPr fontId="21"/>
  </si>
  <si>
    <t>版数</t>
    <rPh sb="0" eb="1">
      <t>ハン</t>
    </rPh>
    <rPh sb="1" eb="2">
      <t>スウ</t>
    </rPh>
    <phoneticPr fontId="21"/>
  </si>
  <si>
    <t>新規作成</t>
    <rPh sb="0" eb="2">
      <t>シンキ</t>
    </rPh>
    <rPh sb="2" eb="4">
      <t>サクセイ</t>
    </rPh>
    <phoneticPr fontId="8"/>
  </si>
  <si>
    <t>新規作成</t>
    <rPh sb="0" eb="4">
      <t>シンキサクセイ</t>
    </rPh>
    <phoneticPr fontId="14"/>
  </si>
  <si>
    <t>JBS井田</t>
    <rPh sb="3" eb="5">
      <t>イダ</t>
    </rPh>
    <phoneticPr fontId="8"/>
  </si>
  <si>
    <t>0.1</t>
    <phoneticPr fontId="2"/>
  </si>
  <si>
    <t>初版確定</t>
    <rPh sb="0" eb="4">
      <t>ショハンカクテイ</t>
    </rPh>
    <phoneticPr fontId="2"/>
  </si>
  <si>
    <t>1.0</t>
    <phoneticPr fontId="2"/>
  </si>
  <si>
    <t>2.グループファイナンス・資金繰り</t>
    <phoneticPr fontId="2"/>
  </si>
  <si>
    <t>２.内部貸付　3利息仕訳計上
自由書式の請求書から一般仕訳帳へ機能を変更</t>
    <rPh sb="15" eb="19">
      <t>ジユウショシキ</t>
    </rPh>
    <rPh sb="20" eb="23">
      <t>セイキュウショ</t>
    </rPh>
    <rPh sb="25" eb="27">
      <t>イッパン</t>
    </rPh>
    <rPh sb="27" eb="30">
      <t>シワケチョウ</t>
    </rPh>
    <rPh sb="31" eb="33">
      <t>キノウ</t>
    </rPh>
    <rPh sb="34" eb="36">
      <t>ヘンコウ</t>
    </rPh>
    <phoneticPr fontId="2"/>
  </si>
  <si>
    <t>JBS福田</t>
    <rPh sb="3" eb="5">
      <t>フクタ</t>
    </rPh>
    <phoneticPr fontId="8"/>
  </si>
  <si>
    <t>1.1</t>
    <phoneticPr fontId="2"/>
  </si>
  <si>
    <t>3.債権</t>
    <rPh sb="2" eb="4">
      <t>サイケン</t>
    </rPh>
    <phoneticPr fontId="2"/>
  </si>
  <si>
    <t>1.未収入金計上
3.預り金処理　返金処理
システムをFO⇒JUST.DBに変更修正</t>
    <rPh sb="40" eb="42">
      <t>シュウセイ</t>
    </rPh>
    <phoneticPr fontId="2"/>
  </si>
  <si>
    <t>JBS秋信</t>
    <rPh sb="3" eb="5">
      <t>アキノブ</t>
    </rPh>
    <phoneticPr fontId="2"/>
  </si>
  <si>
    <t>1.2</t>
    <phoneticPr fontId="2"/>
  </si>
  <si>
    <t xml:space="preserve">2. 外貨取引管理
決算の業務フローを参照のため、削除
</t>
    <rPh sb="25" eb="27">
      <t>サクジョ</t>
    </rPh>
    <phoneticPr fontId="2"/>
  </si>
  <si>
    <t>3.売掛金振替　【SSJ】
外部システムを「楽楽精算」　⇒　「mcframe」　に変更</t>
    <phoneticPr fontId="2"/>
  </si>
  <si>
    <t>4.債務</t>
    <rPh sb="2" eb="4">
      <t>サイム</t>
    </rPh>
    <phoneticPr fontId="2"/>
  </si>
  <si>
    <t>以下業務フローを新規作成
A．銀行口座マスタ登録
B．相殺契約登録</t>
    <rPh sb="0" eb="4">
      <t>イカギョウム</t>
    </rPh>
    <rPh sb="8" eb="12">
      <t>シンキサクセイ</t>
    </rPh>
    <phoneticPr fontId="2"/>
  </si>
  <si>
    <t>6.予算</t>
    <rPh sb="2" eb="4">
      <t>ヨサン</t>
    </rPh>
    <phoneticPr fontId="2"/>
  </si>
  <si>
    <t>3.グローバル損益管理
FO外での管理となったため削除</t>
    <rPh sb="7" eb="11">
      <t>ソンエキカンリ</t>
    </rPh>
    <phoneticPr fontId="2"/>
  </si>
  <si>
    <t>1.SSJ予算作成
2.SEJ予算作成
LIBRA-339　Branch1としての配賦処理の決定　を元に
・配賦処理をFOからJ-BASまたはAzure Synapse Analyticsに記述変更
・使用しない予算登録エントリの一連の作業を削除</t>
    <phoneticPr fontId="2"/>
  </si>
  <si>
    <t>7.Branch2</t>
    <phoneticPr fontId="2"/>
  </si>
  <si>
    <t>「7.Branch2」シートを追加</t>
    <rPh sb="15" eb="17">
      <t>ツイカ</t>
    </rPh>
    <phoneticPr fontId="2"/>
  </si>
  <si>
    <t>JBS北井</t>
    <rPh sb="3" eb="5">
      <t>キタイ</t>
    </rPh>
    <phoneticPr fontId="2"/>
  </si>
  <si>
    <t>1.3</t>
    <phoneticPr fontId="2"/>
  </si>
  <si>
    <t>1.一般会計・決算</t>
    <phoneticPr fontId="2"/>
  </si>
  <si>
    <t>１.日次振伝処理(決算G)
　　2.WF送信　を追加
２.日次振伝処理(事務管理G)
　　6.WF送信　を追加</t>
    <rPh sb="24" eb="26">
      <t>ツイカ</t>
    </rPh>
    <phoneticPr fontId="2"/>
  </si>
  <si>
    <t>JBS福田</t>
    <rPh sb="3" eb="5">
      <t>フクタ</t>
    </rPh>
    <phoneticPr fontId="2"/>
  </si>
  <si>
    <t>1.4</t>
    <phoneticPr fontId="2"/>
  </si>
  <si>
    <t>【サンスター】ToBe業務フロー（1.一般会計・決算）のアップデートに伴う修正
プロセス追加　機能名称の変更　番号振り直し等</t>
    <rPh sb="44" eb="46">
      <t>ツイカ</t>
    </rPh>
    <rPh sb="47" eb="49">
      <t>キノウ</t>
    </rPh>
    <rPh sb="49" eb="51">
      <t>メイショウ</t>
    </rPh>
    <rPh sb="52" eb="54">
      <t>ヘンコウ</t>
    </rPh>
    <rPh sb="55" eb="57">
      <t>バンゴウ</t>
    </rPh>
    <rPh sb="57" eb="58">
      <t>フ</t>
    </rPh>
    <rPh sb="59" eb="60">
      <t>ナオ</t>
    </rPh>
    <rPh sb="61" eb="62">
      <t>トウ</t>
    </rPh>
    <phoneticPr fontId="2"/>
  </si>
  <si>
    <t>1.5</t>
    <phoneticPr fontId="2"/>
  </si>
  <si>
    <t>【サンスター】ToBe業務フロー（2.グループファイナンス・資金繰り）のアップデートに伴う修正
プロセス追加　機能名称の変更　番号振り直し等</t>
    <phoneticPr fontId="2"/>
  </si>
  <si>
    <t>【サンスター】ToBe業務フロー（4.債務）のアップデートに伴う修正
詳細は、【サンスター】ToBe業務フロー（4.債務）の変更履歴を参照</t>
    <rPh sb="19" eb="21">
      <t>サイム</t>
    </rPh>
    <rPh sb="35" eb="37">
      <t>ショウサイ</t>
    </rPh>
    <rPh sb="62" eb="66">
      <t>ヘンコウリレキ</t>
    </rPh>
    <rPh sb="67" eb="69">
      <t>サンショウ</t>
    </rPh>
    <phoneticPr fontId="2"/>
  </si>
  <si>
    <t>1.6</t>
    <phoneticPr fontId="2"/>
  </si>
  <si>
    <t>1.一般会計・決算
日次振伝処理(事務管理G)</t>
    <phoneticPr fontId="2"/>
  </si>
  <si>
    <t>JUSTDBの処理を楽楽精算に変更</t>
    <phoneticPr fontId="2"/>
  </si>
  <si>
    <t>1.7</t>
    <phoneticPr fontId="2"/>
  </si>
  <si>
    <t>1.一般会計・決算
６.半期決算処理
　１. 1次〆</t>
    <phoneticPr fontId="2"/>
  </si>
  <si>
    <t>＜決算Ｇ担当へ修正＞
2．資産除去債務・償却費　計上
4．投資有価証券時価洗替　計上　決算Ｇが楽楽精算にて計上
＜各部署担当へ修正＞
5．前払計上･洗替（社宅洗替、各事務所家賃）資料作成
6．前払計上･洗替（社宅洗替、各事務所家賃　計上
7.　Amazon通販売上計上
8.　ECサイト売上計上
＜一覧から削除＞
9.　阪食　建設協力金長短振替</t>
    <phoneticPr fontId="2"/>
  </si>
  <si>
    <t>1.一般会計・決算
７.年次決算処理
　１. 決算事前準備</t>
    <phoneticPr fontId="2"/>
  </si>
  <si>
    <t>＜一覧から削除＞
1．資料依頼(前払家賃)　　2．資料準備(前払家賃)
7．資料依頼(ECサイト売上データ)　　8．資料準備(ECサイト売上データ)
Noの振り直し</t>
    <rPh sb="78" eb="79">
      <t>フ</t>
    </rPh>
    <rPh sb="80" eb="81">
      <t>ナオ</t>
    </rPh>
    <phoneticPr fontId="2"/>
  </si>
  <si>
    <t>1.一般会計・決算
７.年次決算処理
　2. １次〆(1/5～1/9)</t>
    <phoneticPr fontId="2"/>
  </si>
  <si>
    <t xml:space="preserve">＜各部署が楽楽精算で計上へ修正＞
6.　Amazon通販売上計上確認　　7.　ECサイト売上計上確認
＜楽楽精算で計上へ修正＞
8.　固定資産税　残高振替　　　9.　固定資産税　未納付分振替
</t>
    <phoneticPr fontId="2"/>
  </si>
  <si>
    <t>1.一般会計・決算
７.年次決算処理
　3. ２次〆(1/10～1/11)</t>
    <phoneticPr fontId="2"/>
  </si>
  <si>
    <t>＜決算Ｇ担当へ修正＞
5 .投資有価証券棚卸　　14. 貸倒引当金洗替
＜楽楽精算で処理へ修正＞
11. ゴルフ会員権評価損の貸倒引当伝票起票　　12. 外貨建債権債務洗替チェック  16. 貯蔵品振替伝票起票　　21. 源泉税振替　　22.  固定資産除却損・売却益振替  23. 建仮・ソフト仮消費税振替　　25. クレーム引当計上　　28. 運中在庫計上　　30. 卸店リベート・販促費予定計上
＜試算表からMcFrameへ変更＞
29. 卸店リベート・販促費予定計上　資料作成
＜フローから削除　リース管理フローへ＞
17. リース関連　資料作成　　18. リース資産計上　　19. リースに係る処理　　20. リースに係る消費税調整(ｶｰｻｰﾋﾞｽ)  ※21以降の番号振り直し</t>
    <phoneticPr fontId="2"/>
  </si>
  <si>
    <t>1.一般会計・決算
７.年次決算処理
　4. ３次〆(1/12～1/16)</t>
    <phoneticPr fontId="2"/>
  </si>
  <si>
    <t>＜楽楽精算で処理へ修正＞
7. 交際費データ集計　　11. 事業所税計上・洗替(期末のみ) 計上　　13. リベート洗替　計上
15. 前払計上･洗替（広告費）計上　　17. 前払計上･洗替（委託研究費）計上　　18. 為替差損益相殺
19. 営業経費から原価部門への振替　　20. 棚卸資産除却損の振替　　21. 派遣社員人件費の振替
22.期末人件費計上・洗替　　23. 未払厚生年金、未払健康保険洗替　　24. 確定拠出残高洗替
25.賞与引当金計上・洗替　　26. 退職給付引当金計上・洗替　　28. 返品調整引当金の計上
30. 期末公共料金の未払計上
＜※SLJは計上のコメントを削除＞
10. 事業所税計上・洗替(期末のみ)　資料作成　　
＜JUST.DBで処理へ修正＞
14. 前払計上･洗替（広告費）資料作成
＜FOとMcframe HOSTで処理へ修正＞
27. 返品調整引当金の計上　資料作成　　31.ＭＣ有償支給振替　資料作成
＜翌月取消のプロセスを追加＞
32. ＭＣ有償支給振替　　※33以降の番号振り直し</t>
    <phoneticPr fontId="2"/>
  </si>
  <si>
    <t>1.一般会計・決算
７.年次決算処理
　5. 最終〆(1/17～1/24)</t>
    <phoneticPr fontId="2"/>
  </si>
  <si>
    <t>＜SEJのプロセスを追加＞
5. 在庫評価減・原価差額振替(SEJ)　　　※5以降の番号振り直し</t>
    <phoneticPr fontId="2"/>
  </si>
  <si>
    <t>1.一般会計・決算
６.半期決算処理
　2. ２次〆</t>
    <phoneticPr fontId="2"/>
  </si>
  <si>
    <t>全面刷新　年次決算の「3. ２次〆(1/10～1/11)」の内容と同じに更新</t>
    <phoneticPr fontId="2"/>
  </si>
  <si>
    <t>1.一般会計・決算
６.半期決算処理
　3. ３次〆</t>
    <phoneticPr fontId="2"/>
  </si>
  <si>
    <t>全面刷新　年次決算の「4. ３次〆(1/12～1/16)」の内容と同じに更新して、期末のみのコメントのあるプロセスを削除
＜期末のみのプロセスを削除＞
10. 事業所税計上・洗替(期末のみ)　資料作成　　　11. 事業所税計上・洗替(期末のみ) 計上
※12以降の番号振り直し</t>
    <phoneticPr fontId="2"/>
  </si>
  <si>
    <t>1.一般会計・決算
６.半期決算処理
　4. 最終〆</t>
    <phoneticPr fontId="2"/>
  </si>
  <si>
    <t>全面刷新　年次決算の「5. 最終〆(1/17～1/24)」の内容と同じに更新</t>
    <phoneticPr fontId="2"/>
  </si>
  <si>
    <t>1.一般会計・決算
８.IFRS伝票処理
　１. IFRS帳票作成</t>
    <phoneticPr fontId="2"/>
  </si>
  <si>
    <t>＜事務管理の担当を削除＞
1．IFRS調整伝票入力から4．自動転記バッチ</t>
    <rPh sb="6" eb="8">
      <t>タントウ</t>
    </rPh>
    <phoneticPr fontId="2"/>
  </si>
  <si>
    <t>2.グループファイナンス・資金繰り
１.現預金</t>
    <phoneticPr fontId="2"/>
  </si>
  <si>
    <t>「2．預金管理　の標題を「2．預金管理」→「2．引落手数料と決済利息の計上」に変更
「５．残高確認」のプロセスを削除</t>
    <phoneticPr fontId="2"/>
  </si>
  <si>
    <t>1.8</t>
    <phoneticPr fontId="2"/>
  </si>
  <si>
    <t>・承認後の転記プロセスを自動転記バッチに変更
・担当にITDX追加</t>
    <rPh sb="1" eb="3">
      <t>ショウニン</t>
    </rPh>
    <rPh sb="3" eb="4">
      <t>ゴ</t>
    </rPh>
    <rPh sb="5" eb="7">
      <t>テンキ</t>
    </rPh>
    <rPh sb="12" eb="14">
      <t>ジドウ</t>
    </rPh>
    <rPh sb="14" eb="16">
      <t>テンキ</t>
    </rPh>
    <rPh sb="20" eb="22">
      <t>ヘンコウ</t>
    </rPh>
    <rPh sb="24" eb="26">
      <t>タントウ</t>
    </rPh>
    <rPh sb="31" eb="33">
      <t>ツイカ</t>
    </rPh>
    <phoneticPr fontId="2"/>
  </si>
  <si>
    <t>1.9</t>
    <phoneticPr fontId="2"/>
  </si>
  <si>
    <t>・JUSTDB使用箇所を楽楽精算に変更</t>
    <rPh sb="7" eb="9">
      <t>シヨウ</t>
    </rPh>
    <rPh sb="9" eb="11">
      <t>カショ</t>
    </rPh>
    <rPh sb="12" eb="16">
      <t>ラクラクセイサン</t>
    </rPh>
    <rPh sb="17" eb="19">
      <t>ヘンコウ</t>
    </rPh>
    <phoneticPr fontId="2"/>
  </si>
  <si>
    <t>6.予算</t>
    <phoneticPr fontId="2"/>
  </si>
  <si>
    <t>１.SSJ予算作成　１.毎期事前登録作業　を追加
２.SEJ予算作成　１.毎期事前登録作業　を追加</t>
    <rPh sb="22" eb="24">
      <t>ツイカ</t>
    </rPh>
    <phoneticPr fontId="2"/>
  </si>
  <si>
    <t>1.10</t>
    <phoneticPr fontId="2"/>
  </si>
  <si>
    <t>３.売掛金振替　【SSJ】のシステムを楽楽精算→mcframeに変更</t>
    <rPh sb="19" eb="23">
      <t>ラクラクセイサン</t>
    </rPh>
    <rPh sb="32" eb="34">
      <t>ヘンコウ</t>
    </rPh>
    <phoneticPr fontId="2"/>
  </si>
  <si>
    <t>1.11</t>
    <phoneticPr fontId="2"/>
  </si>
  <si>
    <t>SLJの売掛金の前受業務が現行ないため、以下を削除
・４.SLJ入金 (売掛金) 　３.入金（前受）
・６.SLJ入金消込 (売掛金) 　２.前受消込</t>
    <rPh sb="4" eb="7">
      <t>ウリカケキン</t>
    </rPh>
    <rPh sb="8" eb="10">
      <t>マエウケ</t>
    </rPh>
    <rPh sb="10" eb="12">
      <t>ギョウム</t>
    </rPh>
    <rPh sb="13" eb="15">
      <t>ゲンコウ</t>
    </rPh>
    <rPh sb="20" eb="22">
      <t>イカ</t>
    </rPh>
    <rPh sb="23" eb="25">
      <t>サクジョ</t>
    </rPh>
    <phoneticPr fontId="2"/>
  </si>
  <si>
    <t>1.12</t>
    <phoneticPr fontId="2"/>
  </si>
  <si>
    <t>１.SSJ予算作成　１.毎期事前登録作業　に　予算計画登録　を追加
２.SEJ予算作成　１.毎期事前登録作業　に　予算計画登録　を追加</t>
    <rPh sb="23" eb="25">
      <t>ヨサン</t>
    </rPh>
    <rPh sb="25" eb="27">
      <t>ケイカク</t>
    </rPh>
    <rPh sb="27" eb="29">
      <t>トウロク</t>
    </rPh>
    <rPh sb="31" eb="33">
      <t>ツイカ</t>
    </rPh>
    <phoneticPr fontId="2"/>
  </si>
  <si>
    <t>1.13</t>
    <phoneticPr fontId="2"/>
  </si>
  <si>
    <t>１.SSJ予算作成　２.予算作成　に　11．MR予算帳票の予算計画名変更　のプロセスを追加
１.SEJ予算作成　２.予算作成　に　11．MR予算帳票の予算計画名変更　のプロセスを追加
以降のプロセスの番号を振り直し</t>
    <phoneticPr fontId="2"/>
  </si>
  <si>
    <t>２.SLJ売上計上・請求処理 (売掛金)
　FO直接売上計上パターン追加</t>
    <phoneticPr fontId="2"/>
  </si>
  <si>
    <t>1.14</t>
    <phoneticPr fontId="2"/>
  </si>
  <si>
    <t xml:space="preserve">以下の担当変更（総務部　→　顧客G・物流）
2.SLJ売上計上・請求処理 (売掛金)
4.SLJ入金 (売掛金) 
6.SLJ入金消込 (売掛金) </t>
    <rPh sb="0" eb="2">
      <t>イカ</t>
    </rPh>
    <rPh sb="3" eb="5">
      <t>タントウ</t>
    </rPh>
    <rPh sb="5" eb="7">
      <t>ヘンコウ</t>
    </rPh>
    <rPh sb="8" eb="11">
      <t>ソウムブ</t>
    </rPh>
    <rPh sb="14" eb="16">
      <t>コキャク</t>
    </rPh>
    <rPh sb="18" eb="20">
      <t>ブツリュウ</t>
    </rPh>
    <phoneticPr fontId="2"/>
  </si>
  <si>
    <t>７.その他取引計上
　　6.家賃収入　収益計上（SLJ）　を追加
8.入金 (未収入金・その他)
　　4．家賃収入　入金計上（SLJ）　を追加</t>
    <rPh sb="30" eb="32">
      <t>ツイカ</t>
    </rPh>
    <rPh sb="70" eb="72">
      <t>ツイカ</t>
    </rPh>
    <phoneticPr fontId="2"/>
  </si>
  <si>
    <t>1.15</t>
    <phoneticPr fontId="2"/>
  </si>
  <si>
    <t>4.債務</t>
    <phoneticPr fontId="2"/>
  </si>
  <si>
    <t>A．銀行口座マスタ登録 ：主勘定の登録システムをFOに修正
B．相殺契約登録：有効化の処理をITDXで実施するため追加</t>
    <rPh sb="13" eb="16">
      <t>シュカンジョウ</t>
    </rPh>
    <rPh sb="17" eb="19">
      <t>トウロク</t>
    </rPh>
    <rPh sb="27" eb="29">
      <t>シュウセイ</t>
    </rPh>
    <rPh sb="39" eb="42">
      <t>ユウコウカ</t>
    </rPh>
    <rPh sb="43" eb="45">
      <t>ショリ</t>
    </rPh>
    <rPh sb="51" eb="53">
      <t>ジッシ</t>
    </rPh>
    <rPh sb="57" eb="59">
      <t>ツイカ</t>
    </rPh>
    <phoneticPr fontId="2"/>
  </si>
  <si>
    <t>1.16</t>
    <phoneticPr fontId="2"/>
  </si>
  <si>
    <t>5.固定資産・リース</t>
    <phoneticPr fontId="2"/>
  </si>
  <si>
    <t>結合テストのシナリオ作成の業務ヒアリングの結果を受け、全体的に見直しを実施。
・１．資産リース取得
消費税の対応の業務追加（300万以上のファイナンスリースのリース債務に消費税込で登録する）
・4．IFRS　賃借料の振替
タイトル変更（変更前：4．リース資産の経費スケジュールの作成・転記）
経費スケジュールから、一般仕訳帳アップロードを使用に変更
・8．減損処理
無形の日本会計について、間接法への振替対応から除外</t>
  </si>
  <si>
    <t>1.17</t>
    <phoneticPr fontId="2"/>
  </si>
  <si>
    <t>B．相殺契約登録：有効化の処理をITDX⇒事務管理Gに変更</t>
    <rPh sb="9" eb="12">
      <t>ユウコウカ</t>
    </rPh>
    <rPh sb="13" eb="15">
      <t>ショリ</t>
    </rPh>
    <rPh sb="21" eb="25">
      <t>ジムカンリ</t>
    </rPh>
    <rPh sb="27" eb="29">
      <t>ヘンコウ</t>
    </rPh>
    <phoneticPr fontId="2"/>
  </si>
  <si>
    <t>1.18</t>
    <phoneticPr fontId="2"/>
  </si>
  <si>
    <t>締め処理（元帳カレンダー）をITDXで実施するように変更</t>
    <rPh sb="0" eb="1">
      <t>シ</t>
    </rPh>
    <rPh sb="2" eb="4">
      <t>ショリ</t>
    </rPh>
    <rPh sb="5" eb="7">
      <t>モトチョウ</t>
    </rPh>
    <rPh sb="19" eb="21">
      <t>ジッシ</t>
    </rPh>
    <rPh sb="26" eb="28">
      <t>ヘンコウ</t>
    </rPh>
    <phoneticPr fontId="2"/>
  </si>
  <si>
    <t>1.19</t>
    <phoneticPr fontId="2"/>
  </si>
  <si>
    <t>タイトル</t>
    <phoneticPr fontId="8"/>
  </si>
  <si>
    <t>業務一覧</t>
    <rPh sb="0" eb="2">
      <t>ギョウム</t>
    </rPh>
    <rPh sb="2" eb="4">
      <t>イチラン</t>
    </rPh>
    <phoneticPr fontId="4"/>
  </si>
  <si>
    <t>タイトル</t>
    <phoneticPr fontId="4"/>
  </si>
  <si>
    <t>パターン</t>
    <phoneticPr fontId="4"/>
  </si>
  <si>
    <t>No</t>
    <phoneticPr fontId="2"/>
  </si>
  <si>
    <t>業務概要</t>
    <rPh sb="0" eb="2">
      <t>ギョウム</t>
    </rPh>
    <rPh sb="2" eb="4">
      <t>ガイヨウ</t>
    </rPh>
    <phoneticPr fontId="2"/>
  </si>
  <si>
    <t>担当</t>
    <rPh sb="0" eb="2">
      <t>タントウ</t>
    </rPh>
    <phoneticPr fontId="2"/>
  </si>
  <si>
    <t>システム</t>
    <phoneticPr fontId="2"/>
  </si>
  <si>
    <t>機能名</t>
    <rPh sb="0" eb="2">
      <t>キノウ</t>
    </rPh>
    <rPh sb="2" eb="3">
      <t>メイ</t>
    </rPh>
    <phoneticPr fontId="2"/>
  </si>
  <si>
    <t>備考</t>
    <rPh sb="0" eb="2">
      <t>ビコウ</t>
    </rPh>
    <phoneticPr fontId="2"/>
  </si>
  <si>
    <t>各部署</t>
    <rPh sb="0" eb="3">
      <t>カクブショ</t>
    </rPh>
    <phoneticPr fontId="2"/>
  </si>
  <si>
    <t>経理/財務</t>
    <rPh sb="0" eb="2">
      <t>ケイリ</t>
    </rPh>
    <rPh sb="3" eb="5">
      <t>ザイム</t>
    </rPh>
    <phoneticPr fontId="2"/>
  </si>
  <si>
    <t>事務管理G</t>
    <rPh sb="0" eb="4">
      <t>ジムカンリ</t>
    </rPh>
    <phoneticPr fontId="2"/>
  </si>
  <si>
    <t>経営計画G</t>
    <rPh sb="0" eb="4">
      <t>ケイエイケイカク</t>
    </rPh>
    <phoneticPr fontId="2"/>
  </si>
  <si>
    <t>決算G</t>
    <rPh sb="0" eb="2">
      <t>ケッサン</t>
    </rPh>
    <phoneticPr fontId="2"/>
  </si>
  <si>
    <t>監査法人</t>
    <rPh sb="0" eb="2">
      <t>カンサ</t>
    </rPh>
    <rPh sb="2" eb="4">
      <t>ホウジン</t>
    </rPh>
    <phoneticPr fontId="2"/>
  </si>
  <si>
    <t>ITDX</t>
    <phoneticPr fontId="2"/>
  </si>
  <si>
    <t>日常業務</t>
    <rPh sb="0" eb="4">
      <t>ニチジョウギョウム</t>
    </rPh>
    <phoneticPr fontId="2"/>
  </si>
  <si>
    <t>一般会計・決算</t>
    <rPh sb="0" eb="4">
      <t>イッパンカイケイ</t>
    </rPh>
    <rPh sb="5" eb="7">
      <t>ケッサン</t>
    </rPh>
    <phoneticPr fontId="2"/>
  </si>
  <si>
    <t>１.日次振伝処理(決算G)</t>
    <phoneticPr fontId="2"/>
  </si>
  <si>
    <t>１.振伝処理</t>
  </si>
  <si>
    <t>伝票入力</t>
  </si>
  <si>
    <t>●</t>
    <phoneticPr fontId="2"/>
  </si>
  <si>
    <t>FO</t>
    <phoneticPr fontId="2"/>
  </si>
  <si>
    <t>一般仕訳帳</t>
    <rPh sb="0" eb="5">
      <t>イッパンシワケチョウ</t>
    </rPh>
    <phoneticPr fontId="2"/>
  </si>
  <si>
    <t>WF送信</t>
    <rPh sb="2" eb="4">
      <t>ソウシン</t>
    </rPh>
    <phoneticPr fontId="2"/>
  </si>
  <si>
    <t>一般仕訳帳 WF</t>
    <rPh sb="0" eb="5">
      <t>イッパンシワケチョウ</t>
    </rPh>
    <phoneticPr fontId="2"/>
  </si>
  <si>
    <t>承認</t>
    <phoneticPr fontId="2"/>
  </si>
  <si>
    <t>仕訳帳承認対象一覧</t>
    <rPh sb="0" eb="3">
      <t>シワケチョウ</t>
    </rPh>
    <rPh sb="3" eb="5">
      <t>ショウニン</t>
    </rPh>
    <rPh sb="5" eb="7">
      <t>タイショウ</t>
    </rPh>
    <rPh sb="7" eb="9">
      <t>イチラン</t>
    </rPh>
    <phoneticPr fontId="2"/>
  </si>
  <si>
    <t>自動転記バッチ</t>
    <rPh sb="0" eb="2">
      <t>ジドウ</t>
    </rPh>
    <rPh sb="2" eb="4">
      <t>テンキ</t>
    </rPh>
    <phoneticPr fontId="2"/>
  </si>
  <si>
    <t>自動転記バッチ</t>
    <rPh sb="0" eb="4">
      <t>ジドウテンキ</t>
    </rPh>
    <phoneticPr fontId="2"/>
  </si>
  <si>
    <t>仕訳伝票照会</t>
    <phoneticPr fontId="2"/>
  </si>
  <si>
    <t>試算表、伝票トランザクション</t>
    <phoneticPr fontId="2"/>
  </si>
  <si>
    <t>２.日次振伝処理</t>
    <phoneticPr fontId="2"/>
  </si>
  <si>
    <t>楽楽精算</t>
    <rPh sb="0" eb="4">
      <t>ラクラクセイサン</t>
    </rPh>
    <phoneticPr fontId="2"/>
  </si>
  <si>
    <t>ー</t>
  </si>
  <si>
    <t>(事務管理G)</t>
    <phoneticPr fontId="2"/>
  </si>
  <si>
    <t>承認申請</t>
    <phoneticPr fontId="2"/>
  </si>
  <si>
    <t>部門承認</t>
    <rPh sb="0" eb="2">
      <t>ブモン</t>
    </rPh>
    <phoneticPr fontId="2"/>
  </si>
  <si>
    <t xml:space="preserve">（責任者）        </t>
    <phoneticPr fontId="2"/>
  </si>
  <si>
    <t>会計伝票情報取込</t>
    <rPh sb="0" eb="2">
      <t>カイケイ</t>
    </rPh>
    <rPh sb="2" eb="4">
      <t>デンピョウ</t>
    </rPh>
    <rPh sb="4" eb="6">
      <t>ジョウホウ</t>
    </rPh>
    <rPh sb="6" eb="8">
      <t>トリコミ</t>
    </rPh>
    <phoneticPr fontId="2"/>
  </si>
  <si>
    <t>会計伝票情報取込</t>
    <phoneticPr fontId="2"/>
  </si>
  <si>
    <t>３.実績配賦処理</t>
    <rPh sb="2" eb="4">
      <t>ジッセキ</t>
    </rPh>
    <phoneticPr fontId="2"/>
  </si>
  <si>
    <t>１. FO→BI実績連携</t>
    <phoneticPr fontId="2"/>
  </si>
  <si>
    <t>実績BI連携</t>
    <phoneticPr fontId="2"/>
  </si>
  <si>
    <t>Azure Synapse Analytics</t>
    <phoneticPr fontId="2"/>
  </si>
  <si>
    <t>仮称：PowerBI側機能調査中</t>
    <rPh sb="0" eb="2">
      <t>カショウ</t>
    </rPh>
    <rPh sb="10" eb="11">
      <t>ガワ</t>
    </rPh>
    <rPh sb="11" eb="15">
      <t>キノウチョウサ</t>
    </rPh>
    <rPh sb="15" eb="16">
      <t>ナカ</t>
    </rPh>
    <phoneticPr fontId="2"/>
  </si>
  <si>
    <t>２. 部課振替配賦処理</t>
    <phoneticPr fontId="2"/>
  </si>
  <si>
    <t>部課振替配賦処理</t>
  </si>
  <si>
    <t>配賦処理</t>
    <rPh sb="0" eb="4">
      <t>ハイフショリ</t>
    </rPh>
    <phoneticPr fontId="2"/>
  </si>
  <si>
    <t>部課別予実帳票出力</t>
    <phoneticPr fontId="2"/>
  </si>
  <si>
    <t>PowerBI</t>
    <phoneticPr fontId="2"/>
  </si>
  <si>
    <t>PowerBIレポート</t>
    <phoneticPr fontId="2"/>
  </si>
  <si>
    <t>３. 利益センター損益配賦処理</t>
    <phoneticPr fontId="2"/>
  </si>
  <si>
    <t>利益センター損益配賦処理</t>
    <phoneticPr fontId="2"/>
  </si>
  <si>
    <t>利益センタ別予実帳票出力</t>
    <phoneticPr fontId="2"/>
  </si>
  <si>
    <t>４. チャネル別損益用配賦処理</t>
    <phoneticPr fontId="2"/>
  </si>
  <si>
    <t>チャネル別損益配賦処理</t>
    <phoneticPr fontId="2"/>
  </si>
  <si>
    <t>チャネル別予実帳票出力</t>
    <phoneticPr fontId="2"/>
  </si>
  <si>
    <t>５. ブランド別損益用配賦処理</t>
    <phoneticPr fontId="2"/>
  </si>
  <si>
    <t>ブランド別損益配賦処理</t>
    <phoneticPr fontId="2"/>
  </si>
  <si>
    <t>ブランド別予実帳票出力</t>
    <phoneticPr fontId="2"/>
  </si>
  <si>
    <t>６. カテゴリ別損益用配賦処理</t>
    <phoneticPr fontId="2"/>
  </si>
  <si>
    <t>カテゴリ別損益配賦処理</t>
    <phoneticPr fontId="2"/>
  </si>
  <si>
    <t>カテゴリ別予実帳票出力</t>
    <phoneticPr fontId="2"/>
  </si>
  <si>
    <t>４.外貨再評価</t>
  </si>
  <si>
    <t>１. 為替レートマスタ登録</t>
  </si>
  <si>
    <t>為替レート情報取得</t>
    <phoneticPr fontId="2"/>
  </si>
  <si>
    <t>銀行WEB</t>
    <rPh sb="0" eb="2">
      <t>ギンコウ</t>
    </rPh>
    <phoneticPr fontId="2"/>
  </si>
  <si>
    <t>レート照会</t>
    <rPh sb="3" eb="5">
      <t>ショウカイ</t>
    </rPh>
    <phoneticPr fontId="2"/>
  </si>
  <si>
    <t>為替レート登録</t>
    <phoneticPr fontId="2"/>
  </si>
  <si>
    <t>為替レートマスタ登録</t>
    <rPh sb="0" eb="2">
      <t>カワセ</t>
    </rPh>
    <rPh sb="8" eb="10">
      <t>トウロク</t>
    </rPh>
    <phoneticPr fontId="2"/>
  </si>
  <si>
    <t>２. 売掛金管理モジュール</t>
  </si>
  <si>
    <t>AR外貨再評価
シミュレーション</t>
    <phoneticPr fontId="2"/>
  </si>
  <si>
    <t>AR外貨再評価</t>
    <phoneticPr fontId="2"/>
  </si>
  <si>
    <t>　 外貨再評価</t>
    <phoneticPr fontId="2"/>
  </si>
  <si>
    <t>シミュレーション
結果確認</t>
    <phoneticPr fontId="2"/>
  </si>
  <si>
    <t>外貨再評価仕訳確認</t>
    <phoneticPr fontId="2"/>
  </si>
  <si>
    <t>伝票トランザクション</t>
    <phoneticPr fontId="2"/>
  </si>
  <si>
    <t>３. 買掛金管理モジュール　</t>
  </si>
  <si>
    <t>AP外貨再評価シミュレーション</t>
    <phoneticPr fontId="2"/>
  </si>
  <si>
    <t>AP外貨再評価</t>
    <phoneticPr fontId="2"/>
  </si>
  <si>
    <t>　外貨再評価</t>
    <phoneticPr fontId="2"/>
  </si>
  <si>
    <t>４. 一般会計モジュール　</t>
  </si>
  <si>
    <t>外貨再評価シミュレーション</t>
    <phoneticPr fontId="2"/>
  </si>
  <si>
    <t>GL外貨再評価</t>
    <phoneticPr fontId="2"/>
  </si>
  <si>
    <t>シミュレーション結果確認</t>
    <phoneticPr fontId="2"/>
  </si>
  <si>
    <t>外貨再評価</t>
    <phoneticPr fontId="2"/>
  </si>
  <si>
    <t>５.月次決算処理</t>
  </si>
  <si>
    <t>１. 月次処理</t>
  </si>
  <si>
    <t>月次決算伝票入力</t>
    <phoneticPr fontId="2"/>
  </si>
  <si>
    <t>残高試算表確認</t>
    <phoneticPr fontId="2"/>
  </si>
  <si>
    <t>月次締め処理依頼</t>
    <rPh sb="0" eb="2">
      <t>ゲツジ</t>
    </rPh>
    <rPh sb="6" eb="8">
      <t>イライ</t>
    </rPh>
    <phoneticPr fontId="2"/>
  </si>
  <si>
    <t>ー</t>
    <phoneticPr fontId="2"/>
  </si>
  <si>
    <t>月次締め処理</t>
    <rPh sb="0" eb="2">
      <t>ゲツジ</t>
    </rPh>
    <phoneticPr fontId="2"/>
  </si>
  <si>
    <t>元帳カレンダー</t>
    <phoneticPr fontId="2"/>
  </si>
  <si>
    <t>月次MR帳票作成</t>
    <phoneticPr fontId="2"/>
  </si>
  <si>
    <t>財務諸表(MR)</t>
    <phoneticPr fontId="2"/>
  </si>
  <si>
    <t>財務上　損益計算書</t>
    <phoneticPr fontId="2"/>
  </si>
  <si>
    <t>各種管理会計帳票出力</t>
    <phoneticPr fontId="2"/>
  </si>
  <si>
    <t>６.半期決算処理</t>
    <phoneticPr fontId="2"/>
  </si>
  <si>
    <t>１. 1次〆</t>
    <phoneticPr fontId="2"/>
  </si>
  <si>
    <t>資産除去債務・償却費　資料作成・共有</t>
    <phoneticPr fontId="2"/>
  </si>
  <si>
    <t>資産除去債務・償却費計上</t>
    <phoneticPr fontId="2"/>
  </si>
  <si>
    <t>投資有価証券時価洗替
資料作成</t>
    <phoneticPr fontId="2"/>
  </si>
  <si>
    <t>投資有価証券時価洗替計上</t>
    <phoneticPr fontId="2"/>
  </si>
  <si>
    <t>前払計上･洗替（社宅洗替、各事務所家賃）資料作成</t>
    <phoneticPr fontId="2"/>
  </si>
  <si>
    <t>前払計上･洗替（社宅洗替、各事務所家賃計上</t>
    <phoneticPr fontId="2"/>
  </si>
  <si>
    <t>Amazon通販売上計上</t>
    <phoneticPr fontId="2"/>
  </si>
  <si>
    <t>ECサイト売上計上</t>
    <phoneticPr fontId="2"/>
  </si>
  <si>
    <t>締め処理依頼</t>
    <rPh sb="0" eb="1">
      <t>シ</t>
    </rPh>
    <rPh sb="4" eb="6">
      <t>イライ</t>
    </rPh>
    <phoneticPr fontId="2"/>
  </si>
  <si>
    <t>締め処理</t>
    <phoneticPr fontId="2"/>
  </si>
  <si>
    <t>２. 2次〆</t>
  </si>
  <si>
    <t>伝票入力許可処理</t>
    <phoneticPr fontId="2"/>
  </si>
  <si>
    <t>月次帳票出力＆データ保存</t>
    <phoneticPr fontId="2"/>
  </si>
  <si>
    <t>勘定残高確認(照合表作成)</t>
    <phoneticPr fontId="2"/>
  </si>
  <si>
    <t>試算表、伝票トランザクション</t>
  </si>
  <si>
    <t>棚卸報告書回収&amp;チェック</t>
    <phoneticPr fontId="2"/>
  </si>
  <si>
    <t>投資有価証券棚卸</t>
    <phoneticPr fontId="2"/>
  </si>
  <si>
    <t>売掛金・基本手数料差異表作成</t>
    <phoneticPr fontId="2"/>
  </si>
  <si>
    <t>mcframe</t>
    <phoneticPr fontId="2"/>
  </si>
  <si>
    <t>6ヶ月滞留在庫ﾘｽﾄ出力依頼＆まとめ&amp;担当部署へ回覧</t>
    <phoneticPr fontId="2"/>
  </si>
  <si>
    <t>預り保証金利息の計上・支払(確認のみ)</t>
    <phoneticPr fontId="2"/>
  </si>
  <si>
    <t>評価減Mtg</t>
    <phoneticPr fontId="2"/>
  </si>
  <si>
    <t>ゴルフ会員権評価損の貸倒引当資料作成</t>
    <phoneticPr fontId="2"/>
  </si>
  <si>
    <t>ゴルフ会員権評価損の貸倒引当伝票起票</t>
    <phoneticPr fontId="2"/>
  </si>
  <si>
    <t>外貨建債権債務洗替チェック</t>
    <phoneticPr fontId="2"/>
  </si>
  <si>
    <t>貸倒引当金洗替資料作成</t>
    <phoneticPr fontId="2"/>
  </si>
  <si>
    <t>貸倒引当金洗替</t>
    <phoneticPr fontId="2"/>
  </si>
  <si>
    <t>貯蔵品振替　確認資料作成</t>
    <phoneticPr fontId="2"/>
  </si>
  <si>
    <t>貯蔵品振替伝票起票</t>
    <phoneticPr fontId="2"/>
  </si>
  <si>
    <t>リースに係る処理</t>
    <phoneticPr fontId="2"/>
  </si>
  <si>
    <t>源泉税振替</t>
    <phoneticPr fontId="2"/>
  </si>
  <si>
    <t>固定資産除却損・売却益振替</t>
  </si>
  <si>
    <t>建仮・ソフト仮消費税振替</t>
    <phoneticPr fontId="2"/>
  </si>
  <si>
    <t>クレーム引当計上　資料作成</t>
    <phoneticPr fontId="2"/>
  </si>
  <si>
    <t>クレーム引当計上　</t>
    <phoneticPr fontId="2"/>
  </si>
  <si>
    <t>減損兆候判定</t>
    <phoneticPr fontId="2"/>
  </si>
  <si>
    <t>固定資産</t>
    <rPh sb="0" eb="4">
      <t>コテイシサン</t>
    </rPh>
    <phoneticPr fontId="2"/>
  </si>
  <si>
    <t>減損作業
固定資産業務フロー
シート「固定資産管理」の
「5．固定資産現物管理（減損処理）」</t>
    <phoneticPr fontId="2"/>
  </si>
  <si>
    <t>運中在庫計上</t>
    <phoneticPr fontId="2"/>
  </si>
  <si>
    <t>卸店リベート・販促費予定計上資料作成</t>
    <phoneticPr fontId="2"/>
  </si>
  <si>
    <t>卸店リベート・販促費予定計上</t>
    <phoneticPr fontId="2"/>
  </si>
  <si>
    <t>決算伝票入力漏れ確認チェック</t>
    <phoneticPr fontId="2"/>
  </si>
  <si>
    <t>３. 3次〆</t>
  </si>
  <si>
    <t>月次帳票出力＆データ保存(2次〆）</t>
    <phoneticPr fontId="2"/>
  </si>
  <si>
    <t>勘定残高確認(照合表作成)(2次〆）</t>
    <phoneticPr fontId="2"/>
  </si>
  <si>
    <t>支店決算書確認</t>
    <phoneticPr fontId="2"/>
  </si>
  <si>
    <t>MRとPowerBIを参照してEXCELで作成</t>
    <rPh sb="11" eb="13">
      <t>サンショウ</t>
    </rPh>
    <rPh sb="21" eb="23">
      <t>サクセイ</t>
    </rPh>
    <phoneticPr fontId="2"/>
  </si>
  <si>
    <t>カテゴリー別損益(事業報告文章編に使用)</t>
    <phoneticPr fontId="2"/>
  </si>
  <si>
    <t>在庫評価減資料作成</t>
    <phoneticPr fontId="2"/>
  </si>
  <si>
    <t>交際費データ集計</t>
    <phoneticPr fontId="2"/>
  </si>
  <si>
    <t>期末返品資料作成（リスト出力依頼含む）</t>
    <phoneticPr fontId="2"/>
  </si>
  <si>
    <t>売掛金(経理)内容確認表作成</t>
    <phoneticPr fontId="2"/>
  </si>
  <si>
    <t>リベート洗替資料作成</t>
    <phoneticPr fontId="2"/>
  </si>
  <si>
    <t>リベート洗替計上</t>
    <phoneticPr fontId="2"/>
  </si>
  <si>
    <t>前払計上･洗替（広告費）資料作成</t>
    <phoneticPr fontId="2"/>
  </si>
  <si>
    <t>JUST.DB</t>
    <phoneticPr fontId="2"/>
  </si>
  <si>
    <t>前払計上･洗替（広告費）計上</t>
    <phoneticPr fontId="2"/>
  </si>
  <si>
    <t>前払計上･洗替（委託研究費）資料作成</t>
    <phoneticPr fontId="2"/>
  </si>
  <si>
    <t>前払計上･洗替（委託研究費）計上</t>
    <phoneticPr fontId="2"/>
  </si>
  <si>
    <t>為替差損益相殺</t>
    <phoneticPr fontId="2"/>
  </si>
  <si>
    <t>営業経費から原価部門への振替</t>
    <phoneticPr fontId="2"/>
  </si>
  <si>
    <t>棚卸資産除却損の振替</t>
    <phoneticPr fontId="2"/>
  </si>
  <si>
    <t>派遣社員人件費の振替</t>
    <phoneticPr fontId="2"/>
  </si>
  <si>
    <t>期末人件費計上・洗替</t>
    <phoneticPr fontId="2"/>
  </si>
  <si>
    <t>未払厚生年金、未払健康保険洗替</t>
    <phoneticPr fontId="2"/>
  </si>
  <si>
    <t>確定拠出残高洗替</t>
    <phoneticPr fontId="2"/>
  </si>
  <si>
    <t>賞与引当金計上・洗替</t>
    <phoneticPr fontId="2"/>
  </si>
  <si>
    <t>退職給付引当金計上・洗替</t>
    <phoneticPr fontId="2"/>
  </si>
  <si>
    <t>返品調整引当金の計上
資料作成</t>
    <phoneticPr fontId="2"/>
  </si>
  <si>
    <t>FO / Mcframe</t>
    <phoneticPr fontId="2"/>
  </si>
  <si>
    <t>返品調整引当金の計上</t>
    <phoneticPr fontId="2"/>
  </si>
  <si>
    <t>期末公共料金の未払計上
資料作成</t>
    <phoneticPr fontId="2"/>
  </si>
  <si>
    <t>期末公共料金の未払計上</t>
    <phoneticPr fontId="2"/>
  </si>
  <si>
    <t>ＭＣ有償支給振替　資料作成</t>
    <phoneticPr fontId="2"/>
  </si>
  <si>
    <t>FO / HOST</t>
    <phoneticPr fontId="2"/>
  </si>
  <si>
    <t>ＭＣ有償支給振替</t>
    <phoneticPr fontId="2"/>
  </si>
  <si>
    <t>ＭＣ有償支給振替(翌月取消)</t>
    <phoneticPr fontId="2"/>
  </si>
  <si>
    <t>建材売上値引き　資料作成</t>
    <phoneticPr fontId="2"/>
  </si>
  <si>
    <t>建材売上値引き　</t>
    <phoneticPr fontId="2"/>
  </si>
  <si>
    <t>４. 最終〆</t>
  </si>
  <si>
    <t>伝票入力許可処理</t>
  </si>
  <si>
    <t>月次帳票出力＆データ保存(3次〆）</t>
    <phoneticPr fontId="2"/>
  </si>
  <si>
    <t>勘定残高確認
(照合表作成)(3次〆）</t>
    <phoneticPr fontId="2"/>
  </si>
  <si>
    <t>在庫評価減・原価差額振替</t>
    <phoneticPr fontId="2"/>
  </si>
  <si>
    <t>在庫評価減・原価差額振替(SEJ)</t>
    <phoneticPr fontId="2"/>
  </si>
  <si>
    <t>未払消費税照合・計上</t>
    <phoneticPr fontId="2"/>
  </si>
  <si>
    <t>法人税等計算</t>
    <phoneticPr fontId="2"/>
  </si>
  <si>
    <t>税効果計算</t>
    <phoneticPr fontId="2"/>
  </si>
  <si>
    <t>税金伝票入力</t>
    <phoneticPr fontId="2"/>
  </si>
  <si>
    <t>５. 最終〆後</t>
  </si>
  <si>
    <t>勘定残高確認
(照合表作成)</t>
    <phoneticPr fontId="2"/>
  </si>
  <si>
    <t>７.年次決算処理</t>
    <phoneticPr fontId="2"/>
  </si>
  <si>
    <t>１. 決算事前準備</t>
    <phoneticPr fontId="2"/>
  </si>
  <si>
    <t>資料依頼(MC有償支給)
資料作成</t>
    <phoneticPr fontId="2"/>
  </si>
  <si>
    <t>資料準備(MC有償支給)</t>
    <phoneticPr fontId="2"/>
  </si>
  <si>
    <t>資料依頼(クレーム)</t>
    <phoneticPr fontId="2"/>
  </si>
  <si>
    <t>資料準備(クレーム)</t>
    <phoneticPr fontId="2"/>
  </si>
  <si>
    <t>2. １次〆(1/5～1/9)</t>
    <phoneticPr fontId="2"/>
  </si>
  <si>
    <t>資産除去債務・償却費　資料作成</t>
    <phoneticPr fontId="2"/>
  </si>
  <si>
    <t>前払計上･洗替（社宅洗替、各事務所家賃）確認</t>
    <phoneticPr fontId="2"/>
  </si>
  <si>
    <t>Amazon通販売上計上確認</t>
    <phoneticPr fontId="2"/>
  </si>
  <si>
    <t>ECサイト売上計上確認</t>
    <phoneticPr fontId="2"/>
  </si>
  <si>
    <t>固定資産税
残高振替</t>
    <phoneticPr fontId="2"/>
  </si>
  <si>
    <t>固定資産税未納付分振替</t>
    <phoneticPr fontId="2"/>
  </si>
  <si>
    <t>3. ２次〆(1/10～1/11)</t>
    <phoneticPr fontId="2"/>
  </si>
  <si>
    <t>4. ３次〆(1/12～1/16)</t>
    <phoneticPr fontId="2"/>
  </si>
  <si>
    <t>事業所税計上・洗替(期末のみ) 資料作成※SLJは計上</t>
    <phoneticPr fontId="2"/>
  </si>
  <si>
    <t>事業所税計上・洗替(期末のみ) 計上</t>
    <phoneticPr fontId="2"/>
  </si>
  <si>
    <t>5. 最終〆(1/17～1/24)</t>
    <phoneticPr fontId="2"/>
  </si>
  <si>
    <t>6.最終〆後(1/25～)</t>
    <phoneticPr fontId="2"/>
  </si>
  <si>
    <t>月次帳票出力＆データ保存(最終〆）</t>
    <phoneticPr fontId="2"/>
  </si>
  <si>
    <t>勘定残高確認
(照合表作成)(最終〆）</t>
    <phoneticPr fontId="2"/>
  </si>
  <si>
    <t>FO残高繰越</t>
    <phoneticPr fontId="2"/>
  </si>
  <si>
    <t>年度末決算</t>
    <rPh sb="0" eb="3">
      <t>ネンドマツ</t>
    </rPh>
    <rPh sb="3" eb="5">
      <t>ケッサン</t>
    </rPh>
    <phoneticPr fontId="2"/>
  </si>
  <si>
    <t>(ホスト)期首残設定</t>
    <phoneticPr fontId="2"/>
  </si>
  <si>
    <t>８.IFRS伝票処理</t>
    <phoneticPr fontId="2"/>
  </si>
  <si>
    <t>１. IFRS帳票作成</t>
    <phoneticPr fontId="2"/>
  </si>
  <si>
    <t>IFRS伝票入力</t>
    <phoneticPr fontId="2"/>
  </si>
  <si>
    <t>転記階層：カスタムレイヤ1</t>
    <rPh sb="0" eb="4">
      <t>テンキカイソウ</t>
    </rPh>
    <phoneticPr fontId="2"/>
  </si>
  <si>
    <t>試算表</t>
    <rPh sb="0" eb="3">
      <t>シサンヒョウ</t>
    </rPh>
    <phoneticPr fontId="2"/>
  </si>
  <si>
    <t>転記階層：現行＋カスタムレイヤ1　or　カスタムレイヤー１のみ</t>
    <rPh sb="0" eb="4">
      <t>テンキカイソウ</t>
    </rPh>
    <rPh sb="5" eb="7">
      <t>ゲンコウ</t>
    </rPh>
    <phoneticPr fontId="2"/>
  </si>
  <si>
    <t>IFRS財務諸表作成</t>
    <phoneticPr fontId="2"/>
  </si>
  <si>
    <t>２. 固定資産モジュール仕訳　</t>
  </si>
  <si>
    <t>国内会計減価償却費計上</t>
    <phoneticPr fontId="2"/>
  </si>
  <si>
    <t>固定資産仕訳帳</t>
    <rPh sb="0" eb="4">
      <t>コテイシサン</t>
    </rPh>
    <rPh sb="4" eb="7">
      <t>シワケチョウ</t>
    </rPh>
    <phoneticPr fontId="2"/>
  </si>
  <si>
    <t>転記階層：現行</t>
    <rPh sb="0" eb="4">
      <t>テンキカイソウ</t>
    </rPh>
    <rPh sb="5" eb="7">
      <t>ゲンコウ</t>
    </rPh>
    <phoneticPr fontId="2"/>
  </si>
  <si>
    <t>のIFRS伝票作成</t>
    <phoneticPr fontId="2"/>
  </si>
  <si>
    <t>IFRS減価償却費計上</t>
    <phoneticPr fontId="2"/>
  </si>
  <si>
    <t>９.税務</t>
  </si>
  <si>
    <t>１. 接待交際費明細</t>
  </si>
  <si>
    <t>接待交際費明細出力</t>
    <phoneticPr fontId="2"/>
  </si>
  <si>
    <t>経費実績明細照会</t>
    <rPh sb="0" eb="2">
      <t>ケイヒ</t>
    </rPh>
    <rPh sb="2" eb="4">
      <t>ジッセキ</t>
    </rPh>
    <rPh sb="4" eb="6">
      <t>メイサイ</t>
    </rPh>
    <rPh sb="6" eb="8">
      <t>ショウカイ</t>
    </rPh>
    <phoneticPr fontId="2"/>
  </si>
  <si>
    <t>２. 消費税申告</t>
  </si>
  <si>
    <t>消費税詳細(レポート)</t>
    <phoneticPr fontId="2"/>
  </si>
  <si>
    <t>消費税レポート出力</t>
    <rPh sb="0" eb="3">
      <t>ショウヒゼイ</t>
    </rPh>
    <rPh sb="7" eb="9">
      <t>シュツリョク</t>
    </rPh>
    <phoneticPr fontId="2"/>
  </si>
  <si>
    <t>消費税申告書EXCEL作成</t>
    <phoneticPr fontId="2"/>
  </si>
  <si>
    <t>税務会計ソフトへ登録</t>
    <phoneticPr fontId="2"/>
  </si>
  <si>
    <t>税申告用ソフト</t>
    <rPh sb="0" eb="4">
      <t>ゼイシンコクヨウ</t>
    </rPh>
    <phoneticPr fontId="2"/>
  </si>
  <si>
    <t>申告書作成</t>
    <phoneticPr fontId="2"/>
  </si>
  <si>
    <t>３. 法人税申告</t>
  </si>
  <si>
    <t>財務諸表</t>
    <phoneticPr fontId="2"/>
  </si>
  <si>
    <t>税金計算ファイルEXCEL作成</t>
    <phoneticPr fontId="2"/>
  </si>
  <si>
    <t>４. 事業税申告</t>
  </si>
  <si>
    <t>対象勘定明細出力</t>
    <phoneticPr fontId="2"/>
  </si>
  <si>
    <t>外形標準資料EXCEL作成</t>
    <phoneticPr fontId="2"/>
  </si>
  <si>
    <t>１０.監査</t>
  </si>
  <si>
    <t>１.監査</t>
  </si>
  <si>
    <t>財務諸表確認</t>
    <phoneticPr fontId="2"/>
  </si>
  <si>
    <t>科目残高/明細確認</t>
    <phoneticPr fontId="2"/>
  </si>
  <si>
    <t>補助簿明細確認</t>
    <phoneticPr fontId="2"/>
  </si>
  <si>
    <t>分析コード明細書、伝票トランザクション</t>
    <rPh sb="0" eb="2">
      <t>ブンセキ</t>
    </rPh>
    <rPh sb="5" eb="8">
      <t>メイサイショ</t>
    </rPh>
    <rPh sb="9" eb="11">
      <t>デンピョウ</t>
    </rPh>
    <phoneticPr fontId="2"/>
  </si>
  <si>
    <t>仕訳伝票確認</t>
    <phoneticPr fontId="2"/>
  </si>
  <si>
    <t>伝票トランザクション</t>
    <rPh sb="0" eb="2">
      <t>デンピョウ</t>
    </rPh>
    <phoneticPr fontId="2"/>
  </si>
  <si>
    <t>証票確認</t>
    <phoneticPr fontId="2"/>
  </si>
  <si>
    <t>PDF添付</t>
    <phoneticPr fontId="2"/>
  </si>
  <si>
    <t>１1.自動転記バッチ</t>
    <phoneticPr fontId="2"/>
  </si>
  <si>
    <t>自動転記ログ確認</t>
    <phoneticPr fontId="2"/>
  </si>
  <si>
    <t>自動転記ログ</t>
    <phoneticPr fontId="2"/>
  </si>
  <si>
    <t>エラー仕訳帳の対応</t>
  </si>
  <si>
    <t>未転記の仕訳帳のワークフロー承認状態をリセット</t>
    <phoneticPr fontId="2"/>
  </si>
  <si>
    <t>カスタマーサービスG</t>
    <phoneticPr fontId="2"/>
  </si>
  <si>
    <t>資金G</t>
    <rPh sb="0" eb="2">
      <t>シキン</t>
    </rPh>
    <phoneticPr fontId="2"/>
  </si>
  <si>
    <t>各チャネル</t>
    <rPh sb="0" eb="1">
      <t>カク</t>
    </rPh>
    <phoneticPr fontId="2"/>
  </si>
  <si>
    <t>グループファイナンス・資金繰り</t>
    <phoneticPr fontId="2"/>
  </si>
  <si>
    <t>１.現預金</t>
    <phoneticPr fontId="2"/>
  </si>
  <si>
    <t>１.現金管理</t>
  </si>
  <si>
    <t>現金集計表
作成</t>
    <rPh sb="0" eb="2">
      <t>ゲンキン</t>
    </rPh>
    <rPh sb="2" eb="5">
      <t>シュウケイヒョウ</t>
    </rPh>
    <rPh sb="6" eb="8">
      <t>サクセイ</t>
    </rPh>
    <phoneticPr fontId="2"/>
  </si>
  <si>
    <t>現金出帳帳
作成</t>
    <phoneticPr fontId="2"/>
  </si>
  <si>
    <t>分析コード明細書</t>
    <rPh sb="0" eb="2">
      <t>ブンセキ</t>
    </rPh>
    <rPh sb="5" eb="8">
      <t>メイサイショ</t>
    </rPh>
    <phoneticPr fontId="2"/>
  </si>
  <si>
    <t>２.引落手数料と決済利息の計上</t>
    <phoneticPr fontId="2"/>
  </si>
  <si>
    <t>銀行引落手数料情報出力</t>
    <phoneticPr fontId="2"/>
  </si>
  <si>
    <t>資金集中管理</t>
    <rPh sb="0" eb="6">
      <t>シキンシュウチュウカンリ</t>
    </rPh>
    <phoneticPr fontId="2"/>
  </si>
  <si>
    <t>銀行引落手数料仕訳計上</t>
    <phoneticPr fontId="2"/>
  </si>
  <si>
    <t>預金決算利息情報出力</t>
    <phoneticPr fontId="2"/>
  </si>
  <si>
    <t>預金決算利息仕訳計上</t>
    <phoneticPr fontId="2"/>
  </si>
  <si>
    <t>3.残高管理　日別資金繰</t>
    <phoneticPr fontId="2"/>
  </si>
  <si>
    <t>現預金残高
確認</t>
    <phoneticPr fontId="2"/>
  </si>
  <si>
    <t>回収見込情報の収集</t>
    <phoneticPr fontId="2"/>
  </si>
  <si>
    <t>得意先別回収見込一覧の作成</t>
    <phoneticPr fontId="2"/>
  </si>
  <si>
    <t>期日支払一覧の作成</t>
    <phoneticPr fontId="2"/>
  </si>
  <si>
    <t>仕入先トランザクション一覧</t>
    <rPh sb="0" eb="3">
      <t>シイレサキ</t>
    </rPh>
    <rPh sb="11" eb="13">
      <t>イチラン</t>
    </rPh>
    <phoneticPr fontId="2"/>
  </si>
  <si>
    <t>Excelファイル出力</t>
    <rPh sb="9" eb="11">
      <t>シュツリョク</t>
    </rPh>
    <phoneticPr fontId="2"/>
  </si>
  <si>
    <t>資金移動仕訳計上</t>
    <phoneticPr fontId="2"/>
  </si>
  <si>
    <t>残高確認</t>
    <phoneticPr fontId="2"/>
  </si>
  <si>
    <t>試算表、伝票トランザクション</t>
    <rPh sb="0" eb="3">
      <t>シサンヒョウ</t>
    </rPh>
    <rPh sb="4" eb="6">
      <t>デンピョウ</t>
    </rPh>
    <phoneticPr fontId="2"/>
  </si>
  <si>
    <t>２.資金予測</t>
  </si>
  <si>
    <t>１.年間資金繰計画</t>
  </si>
  <si>
    <t>ベース損益用データ出力</t>
    <phoneticPr fontId="2"/>
  </si>
  <si>
    <t>※</t>
    <phoneticPr fontId="2"/>
  </si>
  <si>
    <t>現行のEXCEL作業が</t>
    <rPh sb="0" eb="2">
      <t>ゲンコウ</t>
    </rPh>
    <rPh sb="8" eb="10">
      <t>サギョウ</t>
    </rPh>
    <phoneticPr fontId="2"/>
  </si>
  <si>
    <t>ベース損益作成</t>
    <phoneticPr fontId="2"/>
  </si>
  <si>
    <t>D365標準機能で対応不可のため</t>
    <phoneticPr fontId="2"/>
  </si>
  <si>
    <t>前提条件設定</t>
    <phoneticPr fontId="2"/>
  </si>
  <si>
    <t>FOのスコープ外となった</t>
    <phoneticPr fontId="2"/>
  </si>
  <si>
    <t>各種勘定
前年実績収集</t>
    <phoneticPr fontId="2"/>
  </si>
  <si>
    <t>支払/入金予定収集</t>
    <phoneticPr fontId="2"/>
  </si>
  <si>
    <t>FO
mcframe</t>
    <phoneticPr fontId="2"/>
  </si>
  <si>
    <t>債務とランザクション、債権トランザクション</t>
    <rPh sb="0" eb="2">
      <t>サイム</t>
    </rPh>
    <rPh sb="11" eb="13">
      <t>サイケン</t>
    </rPh>
    <phoneticPr fontId="2"/>
  </si>
  <si>
    <t>売掛金が仕訳情報のみであるため検討。</t>
    <rPh sb="0" eb="3">
      <t>ウリカケキン</t>
    </rPh>
    <rPh sb="4" eb="8">
      <t>シワケジョウホウ</t>
    </rPh>
    <rPh sb="15" eb="17">
      <t>ケントウ</t>
    </rPh>
    <phoneticPr fontId="2"/>
  </si>
  <si>
    <t>年度資金繰計画EXCEL</t>
  </si>
  <si>
    <t>チャネル別回収計画</t>
    <phoneticPr fontId="2"/>
  </si>
  <si>
    <t>月別資金繰実績EXCEL</t>
  </si>
  <si>
    <t>年間資金繰計画作成</t>
    <phoneticPr fontId="2"/>
  </si>
  <si>
    <t>日別資金繰実績EXCEL</t>
  </si>
  <si>
    <t>２.月次資金繰予実</t>
  </si>
  <si>
    <t>各種勘定
実績収集</t>
    <phoneticPr fontId="2"/>
  </si>
  <si>
    <t>　FO</t>
    <phoneticPr fontId="2"/>
  </si>
  <si>
    <t xml:space="preserve"> </t>
    <phoneticPr fontId="2"/>
  </si>
  <si>
    <t>支払/入金
実績収集</t>
    <phoneticPr fontId="2"/>
  </si>
  <si>
    <t xml:space="preserve">　FO
mcframe
</t>
    <phoneticPr fontId="2"/>
  </si>
  <si>
    <t>※D365標準機能で出力できる情報
では不足する情報を別途収集する</t>
    <phoneticPr fontId="2"/>
  </si>
  <si>
    <t>資金繰実績作成</t>
    <phoneticPr fontId="2"/>
  </si>
  <si>
    <t>資金繰予実作成</t>
    <phoneticPr fontId="2"/>
  </si>
  <si>
    <t>３.日別資金繰予実</t>
  </si>
  <si>
    <t>月初見込作成</t>
    <phoneticPr fontId="2"/>
  </si>
  <si>
    <t>銀行口座入出金明細出力</t>
    <phoneticPr fontId="2"/>
  </si>
  <si>
    <t>合計日別資金繰実績作成</t>
    <phoneticPr fontId="2"/>
  </si>
  <si>
    <t>３.調達・運用・通貨交換</t>
  </si>
  <si>
    <t>１.銀行借入</t>
  </si>
  <si>
    <t>借入金計上</t>
    <phoneticPr fontId="2"/>
  </si>
  <si>
    <t>※利息計算機能なし</t>
    <phoneticPr fontId="2"/>
  </si>
  <si>
    <t>利息額の計算</t>
    <phoneticPr fontId="2"/>
  </si>
  <si>
    <t>利息仕訳の計上</t>
    <phoneticPr fontId="2"/>
  </si>
  <si>
    <t>※利息自動計上機能なし</t>
    <phoneticPr fontId="2"/>
  </si>
  <si>
    <t>長短振替仕訳計上</t>
    <phoneticPr fontId="2"/>
  </si>
  <si>
    <t>※自動長短振替機能なし</t>
    <phoneticPr fontId="2"/>
  </si>
  <si>
    <t>返済仕訳計上</t>
    <phoneticPr fontId="2"/>
  </si>
  <si>
    <t>※自動返済仕訳作成機能なし</t>
    <phoneticPr fontId="2"/>
  </si>
  <si>
    <t>支払手数料仕訳計上</t>
    <phoneticPr fontId="2"/>
  </si>
  <si>
    <t xml:space="preserve"> ※通貨交換して入出金する際に、銀行に支払うマージンを自動で計算・記録する機能なし</t>
    <phoneticPr fontId="2"/>
  </si>
  <si>
    <t>借入金残高確認</t>
    <phoneticPr fontId="2"/>
  </si>
  <si>
    <t>※将来の残高/返済額/利息額が年別で表示される機能</t>
    <phoneticPr fontId="2"/>
  </si>
  <si>
    <t>２.運用</t>
  </si>
  <si>
    <t>運用開始仕訳計上</t>
    <phoneticPr fontId="2"/>
  </si>
  <si>
    <t>※運用状況を会計システム内で管理する機能なし</t>
    <phoneticPr fontId="2"/>
  </si>
  <si>
    <t>運用収益額の確認</t>
    <phoneticPr fontId="2"/>
  </si>
  <si>
    <t>※D365標準機能に運用益計算機能なし</t>
    <phoneticPr fontId="2"/>
  </si>
  <si>
    <t>運用収益仕訳計上</t>
    <phoneticPr fontId="2"/>
  </si>
  <si>
    <t>運用返済仕訳計上</t>
    <phoneticPr fontId="2"/>
  </si>
  <si>
    <t>運用残高確認</t>
    <phoneticPr fontId="2"/>
  </si>
  <si>
    <t>３.通貨交換</t>
  </si>
  <si>
    <t>通貨交換依頼</t>
    <phoneticPr fontId="2"/>
  </si>
  <si>
    <t>通貨交換仕訳計上</t>
    <phoneticPr fontId="2"/>
  </si>
  <si>
    <t>４.グループファイナンス</t>
  </si>
  <si>
    <t>１.内部借入</t>
  </si>
  <si>
    <t>(内部借入・貸付)</t>
  </si>
  <si>
    <t>返済処理</t>
    <phoneticPr fontId="2"/>
  </si>
  <si>
    <t>※銀行に支払うマージンを自動で計算・記録する機能なし</t>
    <phoneticPr fontId="2"/>
  </si>
  <si>
    <t>２.内部貸付</t>
    <phoneticPr fontId="2"/>
  </si>
  <si>
    <t>貸付仕訳計上</t>
    <phoneticPr fontId="2"/>
  </si>
  <si>
    <t>※金利条件・利息発生タイミング・貸付期間・返済タイミングなどの情報を管理する機能なし</t>
    <phoneticPr fontId="2"/>
  </si>
  <si>
    <t>※貸付利息計算機能なし</t>
    <phoneticPr fontId="2"/>
  </si>
  <si>
    <t>利息仕訳計上</t>
    <phoneticPr fontId="2"/>
  </si>
  <si>
    <t>利息の請求書発行</t>
    <phoneticPr fontId="2"/>
  </si>
  <si>
    <t>※EXCEL等FO外機能で対応</t>
    <phoneticPr fontId="2"/>
  </si>
  <si>
    <t>返済入金確認</t>
    <phoneticPr fontId="2"/>
  </si>
  <si>
    <t>銀行WEB
口座残高</t>
    <phoneticPr fontId="2"/>
  </si>
  <si>
    <t>※貸付金情報から、自動で返済仕訳を計上する機能なし</t>
    <phoneticPr fontId="2"/>
  </si>
  <si>
    <t xml:space="preserve">FO
EXCEL借入金台帳
</t>
    <phoneticPr fontId="2"/>
  </si>
  <si>
    <t>３.配当金決済</t>
  </si>
  <si>
    <t>配当金入金確認</t>
    <phoneticPr fontId="2"/>
  </si>
  <si>
    <t>配当金仕訳計上</t>
    <phoneticPr fontId="2"/>
  </si>
  <si>
    <t>５.月次グループ管理</t>
  </si>
  <si>
    <t>１.借入・預金管理</t>
  </si>
  <si>
    <t>(借入預金)</t>
  </si>
  <si>
    <t>※Excelでローデータを収集</t>
    <rPh sb="13" eb="15">
      <t>シュウシュウ</t>
    </rPh>
    <phoneticPr fontId="2"/>
  </si>
  <si>
    <t>BIツール等でまとめる想定。</t>
    <rPh sb="5" eb="6">
      <t>トウ</t>
    </rPh>
    <rPh sb="11" eb="13">
      <t>ソウテイ</t>
    </rPh>
    <phoneticPr fontId="2"/>
  </si>
  <si>
    <t>６.四半期グループ管理</t>
  </si>
  <si>
    <t>１.グループ間借入・貸付管理</t>
  </si>
  <si>
    <t>(借入貸付)</t>
  </si>
  <si>
    <t>外部</t>
    <rPh sb="0" eb="2">
      <t>ガイブ</t>
    </rPh>
    <phoneticPr fontId="2"/>
  </si>
  <si>
    <t>カスタマーサービスG　他</t>
    <rPh sb="11" eb="12">
      <t>ホカ</t>
    </rPh>
    <phoneticPr fontId="2"/>
  </si>
  <si>
    <t>顧客G・物流</t>
    <rPh sb="0" eb="2">
      <t>コキャク</t>
    </rPh>
    <rPh sb="4" eb="6">
      <t>ブツリュウ</t>
    </rPh>
    <phoneticPr fontId="2"/>
  </si>
  <si>
    <t>各部門</t>
    <rPh sb="0" eb="1">
      <t>カク</t>
    </rPh>
    <rPh sb="1" eb="3">
      <t>ブモン</t>
    </rPh>
    <phoneticPr fontId="2"/>
  </si>
  <si>
    <t>営業部</t>
    <rPh sb="0" eb="3">
      <t>エイギョウブ</t>
    </rPh>
    <phoneticPr fontId="2"/>
  </si>
  <si>
    <t>営業企画部営業推進G</t>
    <rPh sb="0" eb="2">
      <t>エイギョウ</t>
    </rPh>
    <rPh sb="2" eb="5">
      <t>キカクブ</t>
    </rPh>
    <rPh sb="5" eb="7">
      <t>エイギョウ</t>
    </rPh>
    <rPh sb="7" eb="9">
      <t>スイシン</t>
    </rPh>
    <phoneticPr fontId="2"/>
  </si>
  <si>
    <t>各営業部</t>
    <rPh sb="0" eb="1">
      <t>カク</t>
    </rPh>
    <rPh sb="1" eb="4">
      <t>エイギョウブ</t>
    </rPh>
    <phoneticPr fontId="2"/>
  </si>
  <si>
    <t>財務部</t>
    <rPh sb="0" eb="3">
      <t>ザイムブ</t>
    </rPh>
    <phoneticPr fontId="2"/>
  </si>
  <si>
    <t>債権</t>
    <rPh sb="0" eb="2">
      <t>サイケン</t>
    </rPh>
    <phoneticPr fontId="2"/>
  </si>
  <si>
    <t>１.SSJ・SEJ売上計上・請求処理 (売掛金)</t>
  </si>
  <si>
    <t>１.売上</t>
    <phoneticPr fontId="2"/>
  </si>
  <si>
    <t>売上対象伝票の確認</t>
    <rPh sb="0" eb="2">
      <t>ウリアゲ</t>
    </rPh>
    <rPh sb="2" eb="4">
      <t>タイショウ</t>
    </rPh>
    <rPh sb="4" eb="6">
      <t>デンピョウ</t>
    </rPh>
    <rPh sb="7" eb="9">
      <t>カクニン</t>
    </rPh>
    <phoneticPr fontId="2"/>
  </si>
  <si>
    <t>●</t>
  </si>
  <si>
    <t>mcframe
SEJホスト</t>
    <phoneticPr fontId="2"/>
  </si>
  <si>
    <t>SSJ:mcframe,SEJ:AS400
FO（）</t>
    <phoneticPr fontId="2"/>
  </si>
  <si>
    <t>売上の計上</t>
    <phoneticPr fontId="2"/>
  </si>
  <si>
    <t>２.都度請求</t>
  </si>
  <si>
    <t>請求書の
発行</t>
    <phoneticPr fontId="2"/>
  </si>
  <si>
    <t>請求書
の送付</t>
  </si>
  <si>
    <t>メール送付</t>
    <rPh sb="3" eb="5">
      <t>ソウフ</t>
    </rPh>
    <phoneticPr fontId="2"/>
  </si>
  <si>
    <t>請求書の受領</t>
    <phoneticPr fontId="2"/>
  </si>
  <si>
    <t>３.締め請求</t>
  </si>
  <si>
    <t>請求の締め処理</t>
    <phoneticPr fontId="2"/>
  </si>
  <si>
    <t>締め処理の確定</t>
  </si>
  <si>
    <t>請求書の発行</t>
  </si>
  <si>
    <t>請求書の送付</t>
    <rPh sb="4" eb="6">
      <t>ソウフ</t>
    </rPh>
    <phoneticPr fontId="2"/>
  </si>
  <si>
    <t>請求書の受領</t>
  </si>
  <si>
    <t>２.SLJ売上計上・請求処理 (売掛金)</t>
    <phoneticPr fontId="2"/>
  </si>
  <si>
    <t>１.売上</t>
  </si>
  <si>
    <t>売上対象伝票の確認</t>
    <rPh sb="0" eb="2">
      <t>ウリアゲ</t>
    </rPh>
    <rPh sb="2" eb="4">
      <t>タイショウ</t>
    </rPh>
    <rPh sb="4" eb="6">
      <t>デンピョウ</t>
    </rPh>
    <rPh sb="7" eb="9">
      <t>カクニン</t>
    </rPh>
    <phoneticPr fontId="4"/>
  </si>
  <si>
    <t>売上の計上</t>
    <rPh sb="0" eb="2">
      <t>ウリアゲ</t>
    </rPh>
    <rPh sb="3" eb="5">
      <t>ケイジョウ</t>
    </rPh>
    <phoneticPr fontId="4"/>
  </si>
  <si>
    <t>SLJ販売管理システム</t>
    <rPh sb="3" eb="7">
      <t>ハンバイカンリ</t>
    </rPh>
    <phoneticPr fontId="2"/>
  </si>
  <si>
    <t>２.売上（FO直接計上）</t>
    <phoneticPr fontId="2"/>
  </si>
  <si>
    <t>売上データ登録</t>
    <phoneticPr fontId="2"/>
  </si>
  <si>
    <t>一般仕訳帳</t>
    <rPh sb="0" eb="2">
      <t>イッパン</t>
    </rPh>
    <rPh sb="2" eb="5">
      <t>シワケチョウ</t>
    </rPh>
    <phoneticPr fontId="2"/>
  </si>
  <si>
    <t>伝票承認申請</t>
    <phoneticPr fontId="2"/>
  </si>
  <si>
    <t>伝票承認</t>
    <phoneticPr fontId="2"/>
  </si>
  <si>
    <t>一般仕訳帳 WF</t>
    <rPh sb="0" eb="2">
      <t>イッパン</t>
    </rPh>
    <rPh sb="2" eb="5">
      <t>シワケチョウ</t>
    </rPh>
    <phoneticPr fontId="2"/>
  </si>
  <si>
    <t>（責任者）</t>
    <rPh sb="1" eb="4">
      <t>セキニンシャ</t>
    </rPh>
    <phoneticPr fontId="2"/>
  </si>
  <si>
    <t>自動転記バッチ</t>
    <phoneticPr fontId="2"/>
  </si>
  <si>
    <t>３.都度請求</t>
    <phoneticPr fontId="2"/>
  </si>
  <si>
    <t>４.締め請求</t>
    <phoneticPr fontId="2"/>
  </si>
  <si>
    <t>請求書の発行</t>
    <rPh sb="4" eb="6">
      <t>ハッコウ</t>
    </rPh>
    <phoneticPr fontId="2"/>
  </si>
  <si>
    <t>３.SSJ・SEJ入金 (売掛金)</t>
  </si>
  <si>
    <t xml:space="preserve">１.入金（EB取り込み）  </t>
  </si>
  <si>
    <t>入金情報提示</t>
    <phoneticPr fontId="2"/>
  </si>
  <si>
    <t>売上回収専用口座への入金</t>
  </si>
  <si>
    <t>EBデータダウンロード</t>
  </si>
  <si>
    <t>銀行システム</t>
    <rPh sb="0" eb="2">
      <t>ギンコウ</t>
    </rPh>
    <phoneticPr fontId="2"/>
  </si>
  <si>
    <t>EBデータ取り込み</t>
    <phoneticPr fontId="2"/>
  </si>
  <si>
    <t>EBデータ取込結果確認</t>
    <phoneticPr fontId="2"/>
  </si>
  <si>
    <t>不明入金調査</t>
  </si>
  <si>
    <t>通販管理プラットフォーム
mcframe
SEJホスト</t>
    <rPh sb="0" eb="2">
      <t>ツウハン</t>
    </rPh>
    <rPh sb="2" eb="4">
      <t>カンリ</t>
    </rPh>
    <phoneticPr fontId="2"/>
  </si>
  <si>
    <t>入金入力</t>
    <phoneticPr fontId="2"/>
  </si>
  <si>
    <t xml:space="preserve">２. 入金（EB取り込み）  </t>
  </si>
  <si>
    <t>入金情報提示</t>
  </si>
  <si>
    <t>売上回収専用口座以外への入金</t>
  </si>
  <si>
    <t>入金確認</t>
  </si>
  <si>
    <t>入金連絡</t>
  </si>
  <si>
    <t>入金入力</t>
  </si>
  <si>
    <t>３.入金（EB取り込み以外）</t>
  </si>
  <si>
    <t>銀行振込確認</t>
  </si>
  <si>
    <t>未回収データ確認</t>
  </si>
  <si>
    <t>入金データ登録</t>
  </si>
  <si>
    <t>修正連絡</t>
  </si>
  <si>
    <t>再入金</t>
  </si>
  <si>
    <t>入金データ転記</t>
  </si>
  <si>
    <t>４.入金（前受）</t>
  </si>
  <si>
    <t>５.入金管理表作成</t>
  </si>
  <si>
    <t>入金情報抽出</t>
  </si>
  <si>
    <t>入金管理表作成</t>
    <phoneticPr fontId="2"/>
  </si>
  <si>
    <t xml:space="preserve">４.SLJ入金 (売掛金) </t>
    <phoneticPr fontId="2"/>
  </si>
  <si>
    <t>１.入金（EB取り込み）</t>
  </si>
  <si>
    <t>EBデータ取り込み</t>
  </si>
  <si>
    <t>FO</t>
  </si>
  <si>
    <t>顧客支払仕訳帳</t>
    <rPh sb="0" eb="2">
      <t>コキャク</t>
    </rPh>
    <rPh sb="2" eb="4">
      <t>シハライ</t>
    </rPh>
    <rPh sb="4" eb="7">
      <t>シワケチョウ</t>
    </rPh>
    <phoneticPr fontId="2"/>
  </si>
  <si>
    <t>顧客支払仕訳帳 WF</t>
    <rPh sb="0" eb="2">
      <t>コキャク</t>
    </rPh>
    <rPh sb="2" eb="4">
      <t>シハライ</t>
    </rPh>
    <rPh sb="4" eb="7">
      <t>シワケチョウ</t>
    </rPh>
    <phoneticPr fontId="2"/>
  </si>
  <si>
    <t>伝票承認</t>
  </si>
  <si>
    <t>自動転記バッチ</t>
  </si>
  <si>
    <t>２.入金（EB取り込み以外）</t>
  </si>
  <si>
    <t>期日が超過した顧客請求書</t>
    <rPh sb="0" eb="2">
      <t>キジツ</t>
    </rPh>
    <rPh sb="3" eb="5">
      <t>チョウカ</t>
    </rPh>
    <rPh sb="7" eb="9">
      <t>コキャク</t>
    </rPh>
    <rPh sb="9" eb="12">
      <t>セイキュウショ</t>
    </rPh>
    <phoneticPr fontId="2"/>
  </si>
  <si>
    <t>債権データの紐づけ</t>
  </si>
  <si>
    <t>顧客支払仕訳帳</t>
    <rPh sb="0" eb="4">
      <t>コキャクシハライ</t>
    </rPh>
    <rPh sb="4" eb="7">
      <t>シワケチョウ</t>
    </rPh>
    <phoneticPr fontId="2"/>
  </si>
  <si>
    <t>伝票承認申請</t>
  </si>
  <si>
    <t>５.SSJ・SEJ入金消込 (売掛金)</t>
  </si>
  <si>
    <t>１.入金消込</t>
  </si>
  <si>
    <t>入金消込</t>
  </si>
  <si>
    <t>２.前受消込</t>
  </si>
  <si>
    <t>前受金データ確認</t>
  </si>
  <si>
    <t>前受入金と受注データの紐づけ・消込</t>
    <phoneticPr fontId="2"/>
  </si>
  <si>
    <t xml:space="preserve">６.SLJ入金消込 (売掛金) </t>
    <phoneticPr fontId="2"/>
  </si>
  <si>
    <t>トランザクションの決済</t>
    <rPh sb="9" eb="11">
      <t>ケッサイ</t>
    </rPh>
    <phoneticPr fontId="2"/>
  </si>
  <si>
    <t>７.その他取引計上</t>
    <phoneticPr fontId="2"/>
  </si>
  <si>
    <t>１. 未収入金計上</t>
  </si>
  <si>
    <t>請求書発行依頼書作成</t>
    <rPh sb="0" eb="3">
      <t>セイキュウショ</t>
    </rPh>
    <rPh sb="3" eb="5">
      <t>ハッコウ</t>
    </rPh>
    <rPh sb="5" eb="8">
      <t>イライショ</t>
    </rPh>
    <rPh sb="8" eb="10">
      <t>サクセイ</t>
    </rPh>
    <phoneticPr fontId="22"/>
  </si>
  <si>
    <t>請求書発行依頼</t>
    <rPh sb="0" eb="3">
      <t>セイキュウショ</t>
    </rPh>
    <rPh sb="3" eb="5">
      <t>ハッコウ</t>
    </rPh>
    <rPh sb="5" eb="7">
      <t>イライ</t>
    </rPh>
    <phoneticPr fontId="22"/>
  </si>
  <si>
    <t>債権登録・承認申請</t>
    <rPh sb="0" eb="2">
      <t>サイケン</t>
    </rPh>
    <rPh sb="2" eb="4">
      <t>トウロク</t>
    </rPh>
    <rPh sb="5" eb="7">
      <t>ショウニン</t>
    </rPh>
    <rPh sb="7" eb="9">
      <t>シンセイ</t>
    </rPh>
    <phoneticPr fontId="22"/>
  </si>
  <si>
    <t>登録内容確認・承認</t>
    <rPh sb="0" eb="2">
      <t>トウロク</t>
    </rPh>
    <rPh sb="2" eb="4">
      <t>ナイヨウ</t>
    </rPh>
    <rPh sb="4" eb="6">
      <t>カクニン</t>
    </rPh>
    <rPh sb="7" eb="9">
      <t>ショウニン</t>
    </rPh>
    <phoneticPr fontId="22"/>
  </si>
  <si>
    <t>請求書の発行</t>
    <rPh sb="0" eb="3">
      <t>セイキュウショ</t>
    </rPh>
    <rPh sb="4" eb="6">
      <t>ハッコウ</t>
    </rPh>
    <phoneticPr fontId="22"/>
  </si>
  <si>
    <t>BtoBプラットフォーム</t>
    <phoneticPr fontId="2"/>
  </si>
  <si>
    <t>請求書の保存</t>
    <rPh sb="0" eb="3">
      <t>セイキュウショ</t>
    </rPh>
    <rPh sb="4" eb="6">
      <t>ホゾン</t>
    </rPh>
    <phoneticPr fontId="22"/>
  </si>
  <si>
    <t>請求書の送付</t>
    <rPh sb="0" eb="3">
      <t>セイキュウショ</t>
    </rPh>
    <rPh sb="4" eb="6">
      <t>ソウフ</t>
    </rPh>
    <phoneticPr fontId="22"/>
  </si>
  <si>
    <t>請求書の受領</t>
    <rPh sb="0" eb="3">
      <t>セイキュウショ</t>
    </rPh>
    <rPh sb="4" eb="6">
      <t>ジュリョウ</t>
    </rPh>
    <phoneticPr fontId="22"/>
  </si>
  <si>
    <t>２. 預り金処理　台帳作成</t>
  </si>
  <si>
    <t>預り金情報抽出</t>
  </si>
  <si>
    <t>預り金台帳作成</t>
  </si>
  <si>
    <t>３. 預り金処理　返金処理</t>
  </si>
  <si>
    <t>預り金返金</t>
  </si>
  <si>
    <t>預り金消込</t>
  </si>
  <si>
    <t>預り金台帳更新</t>
    <rPh sb="5" eb="7">
      <t>コウシン</t>
    </rPh>
    <phoneticPr fontId="2"/>
  </si>
  <si>
    <t>4.委託費</t>
    <phoneticPr fontId="2"/>
  </si>
  <si>
    <t>業務委託情報抽出</t>
  </si>
  <si>
    <t>台帳更新</t>
  </si>
  <si>
    <t>振替処理</t>
  </si>
  <si>
    <t>5.グループ間の立替金請求</t>
    <phoneticPr fontId="2"/>
  </si>
  <si>
    <t>立替金登録依頼情報作成</t>
    <phoneticPr fontId="2"/>
  </si>
  <si>
    <t>登録内容確認・承認</t>
  </si>
  <si>
    <t>立替金登録・申請</t>
    <rPh sb="6" eb="8">
      <t>シンセイ</t>
    </rPh>
    <phoneticPr fontId="2"/>
  </si>
  <si>
    <t>Req003の仕訳インポート機能を使用想定</t>
    <phoneticPr fontId="2"/>
  </si>
  <si>
    <t>立替金データ転記</t>
    <phoneticPr fontId="2"/>
  </si>
  <si>
    <t>立替金情報抽出</t>
    <phoneticPr fontId="2"/>
  </si>
  <si>
    <t>月末作業</t>
    <phoneticPr fontId="2"/>
  </si>
  <si>
    <t>立替金請求書作成・請求</t>
  </si>
  <si>
    <t>6.家賃収入　収益計上（SLJ）</t>
    <phoneticPr fontId="2"/>
  </si>
  <si>
    <t>収益計上の振替伝票登録</t>
    <phoneticPr fontId="2"/>
  </si>
  <si>
    <t>一般仕訳帳アップロード</t>
    <rPh sb="0" eb="5">
      <t>イッパンシワケチョウ</t>
    </rPh>
    <phoneticPr fontId="2"/>
  </si>
  <si>
    <t>承認依頼</t>
    <rPh sb="0" eb="2">
      <t>ショウニン</t>
    </rPh>
    <rPh sb="2" eb="4">
      <t>イライ</t>
    </rPh>
    <phoneticPr fontId="2"/>
  </si>
  <si>
    <t>承認</t>
    <rPh sb="0" eb="2">
      <t>ショウニン</t>
    </rPh>
    <phoneticPr fontId="2"/>
  </si>
  <si>
    <t>一般仕訳帳 WF、仕訳帳承認対象一覧</t>
    <rPh sb="0" eb="5">
      <t>イッパンシワケチョウ</t>
    </rPh>
    <rPh sb="9" eb="12">
      <t>シワケチョウ</t>
    </rPh>
    <rPh sb="12" eb="14">
      <t>ショウニン</t>
    </rPh>
    <rPh sb="14" eb="16">
      <t>タイショウ</t>
    </rPh>
    <rPh sb="16" eb="18">
      <t>イチラン</t>
    </rPh>
    <phoneticPr fontId="2"/>
  </si>
  <si>
    <t>８.入金 (未収入金)</t>
  </si>
  <si>
    <t>１.入金</t>
  </si>
  <si>
    <t>入金情報提示</t>
    <rPh sb="0" eb="2">
      <t>ニュウキン</t>
    </rPh>
    <rPh sb="2" eb="4">
      <t>ジョウホウ</t>
    </rPh>
    <rPh sb="4" eb="6">
      <t>テイジ</t>
    </rPh>
    <phoneticPr fontId="22"/>
  </si>
  <si>
    <t>EBデータ取り込み</t>
    <rPh sb="5" eb="6">
      <t>ト</t>
    </rPh>
    <rPh sb="7" eb="8">
      <t>コ</t>
    </rPh>
    <phoneticPr fontId="22"/>
  </si>
  <si>
    <t>伝票承認申請</t>
    <rPh sb="0" eb="2">
      <t>デンピョウ</t>
    </rPh>
    <rPh sb="2" eb="4">
      <t>ショウニン</t>
    </rPh>
    <rPh sb="4" eb="6">
      <t>シンセイ</t>
    </rPh>
    <phoneticPr fontId="22"/>
  </si>
  <si>
    <t>伝票承認</t>
    <rPh sb="0" eb="2">
      <t>デンピョウ</t>
    </rPh>
    <rPh sb="2" eb="4">
      <t>ショウニン</t>
    </rPh>
    <phoneticPr fontId="22"/>
  </si>
  <si>
    <t>2．入金（前受　売掛金）</t>
    <phoneticPr fontId="2"/>
  </si>
  <si>
    <t>3．入金（その他）</t>
  </si>
  <si>
    <t>4．家賃収入　入金計上（SLJ）</t>
    <phoneticPr fontId="2"/>
  </si>
  <si>
    <t>９.入金消込 (未収入金)</t>
  </si>
  <si>
    <t>１０.債権残高管理</t>
  </si>
  <si>
    <t>１.売掛金管理</t>
  </si>
  <si>
    <t>通販入金予定抽出</t>
  </si>
  <si>
    <t>通販ダイレクト</t>
    <rPh sb="0" eb="2">
      <t>ツウハン</t>
    </rPh>
    <phoneticPr fontId="2"/>
  </si>
  <si>
    <t>通販入金予定記入</t>
  </si>
  <si>
    <t>通販入金実績抽出</t>
  </si>
  <si>
    <t>入金実績記入・差異確認</t>
  </si>
  <si>
    <t>必要帳票出力</t>
  </si>
  <si>
    <t>２.未収入金管理</t>
  </si>
  <si>
    <t>クレジット精算金額明細情報抽出</t>
  </si>
  <si>
    <t>（クレジット精算金額）</t>
  </si>
  <si>
    <t>クレジット精算金額明細確認</t>
  </si>
  <si>
    <t>３.未収入金管理</t>
  </si>
  <si>
    <t>取引先毎の債権残高明細情報抽出</t>
  </si>
  <si>
    <t>未処理トランザクションレポート</t>
    <rPh sb="0" eb="3">
      <t>ミショリ</t>
    </rPh>
    <phoneticPr fontId="2"/>
  </si>
  <si>
    <t>（売掛金以外の債権残高）</t>
  </si>
  <si>
    <t>債権残高明細情報確認</t>
  </si>
  <si>
    <t>決算G報告資料作成</t>
  </si>
  <si>
    <t>決算G報告資料提出</t>
  </si>
  <si>
    <t>決算G報告用資料受領</t>
  </si>
  <si>
    <t>４.回収予実　預り金</t>
  </si>
  <si>
    <t>預り金台帳更新</t>
  </si>
  <si>
    <t>５.回収予実　売掛金回収状況</t>
  </si>
  <si>
    <t>未消込・消込済情報抽出</t>
  </si>
  <si>
    <t>営業報告用資料作成</t>
  </si>
  <si>
    <t>営業報告用資料提出</t>
  </si>
  <si>
    <t>営業報告用資料受領</t>
  </si>
  <si>
    <t>６.  回収予実　報告書作成</t>
  </si>
  <si>
    <t>売掛金等の情報抽出（FO以外）</t>
  </si>
  <si>
    <t>（売掛金合計表の売掛金額、基本手数料、売掛金赤算、前受金、預り売掛金）【SSJ/SEJ】　</t>
    <phoneticPr fontId="2"/>
  </si>
  <si>
    <t>売掛金等の情報抽出（FO）</t>
  </si>
  <si>
    <t>月初第2から5営業日</t>
  </si>
  <si>
    <t>報告用資料作成</t>
  </si>
  <si>
    <t>報告用資料提出</t>
  </si>
  <si>
    <t>報告用資料受領</t>
  </si>
  <si>
    <t>１１.SSJ与信管理</t>
  </si>
  <si>
    <t>１.滞留債権管理</t>
  </si>
  <si>
    <t>期日超過債権原因調査</t>
    <phoneticPr fontId="2"/>
  </si>
  <si>
    <t>滞留債権報告作成/報告</t>
    <rPh sb="0" eb="2">
      <t>タイリュウ</t>
    </rPh>
    <rPh sb="2" eb="4">
      <t>サイケン</t>
    </rPh>
    <rPh sb="4" eb="6">
      <t>ホウコク</t>
    </rPh>
    <rPh sb="6" eb="8">
      <t>サクセイ</t>
    </rPh>
    <rPh sb="9" eb="11">
      <t>ホウコク</t>
    </rPh>
    <phoneticPr fontId="2"/>
  </si>
  <si>
    <t>滞留債権報告
確認・承認</t>
    <rPh sb="0" eb="2">
      <t>タイリュウ</t>
    </rPh>
    <rPh sb="2" eb="4">
      <t>サイケン</t>
    </rPh>
    <rPh sb="4" eb="6">
      <t>ホウコク</t>
    </rPh>
    <rPh sb="7" eb="9">
      <t>カクニン</t>
    </rPh>
    <rPh sb="10" eb="12">
      <t>ショウニン</t>
    </rPh>
    <phoneticPr fontId="2"/>
  </si>
  <si>
    <t>与信額変更申請書作成/申請</t>
  </si>
  <si>
    <t>与信額変更申請書承認</t>
  </si>
  <si>
    <t>与信限度額変更</t>
  </si>
  <si>
    <t>MDM</t>
    <phoneticPr fontId="2"/>
  </si>
  <si>
    <t>貸倒引当額算定</t>
  </si>
  <si>
    <t>貸倒引当金登録依頼</t>
    <phoneticPr fontId="2"/>
  </si>
  <si>
    <t>引当額登録/承認申請</t>
  </si>
  <si>
    <t>貸倒引当の承認</t>
  </si>
  <si>
    <t>１２.SEJ与信管理</t>
  </si>
  <si>
    <t>顧客窓口支援システム</t>
    <rPh sb="0" eb="2">
      <t>コキャク</t>
    </rPh>
    <rPh sb="2" eb="4">
      <t>マドグチ</t>
    </rPh>
    <rPh sb="4" eb="6">
      <t>シエン</t>
    </rPh>
    <phoneticPr fontId="2"/>
  </si>
  <si>
    <t>（責任者）</t>
    <phoneticPr fontId="2"/>
  </si>
  <si>
    <t>１３.決算処理</t>
  </si>
  <si>
    <t>１. 現物管理</t>
  </si>
  <si>
    <t>仮払現金残高確認</t>
  </si>
  <si>
    <t>報告資料作成</t>
    <phoneticPr fontId="2"/>
  </si>
  <si>
    <t>３.売掛金振替　【SSJ】</t>
    <phoneticPr fontId="2"/>
  </si>
  <si>
    <t>売掛金振替</t>
  </si>
  <si>
    <t>登録内容確認・承認</t>
    <rPh sb="0" eb="2">
      <t>トウロク</t>
    </rPh>
    <rPh sb="2" eb="4">
      <t>ナイヨウ</t>
    </rPh>
    <rPh sb="4" eb="6">
      <t>カクニン</t>
    </rPh>
    <rPh sb="7" eb="9">
      <t>ショウニン</t>
    </rPh>
    <phoneticPr fontId="4"/>
  </si>
  <si>
    <t>４.未払費用計上【SEJ】</t>
  </si>
  <si>
    <t>未払費用情報抽出</t>
  </si>
  <si>
    <t>請求金額表作成</t>
  </si>
  <si>
    <t>１４.手形管理</t>
  </si>
  <si>
    <t>１.手形受領処理</t>
  </si>
  <si>
    <t>手形受け渡し</t>
  </si>
  <si>
    <t>手形受領</t>
  </si>
  <si>
    <t>手形受取処理</t>
  </si>
  <si>
    <t>手形受領・保管</t>
  </si>
  <si>
    <t>２.手形取立依頼</t>
  </si>
  <si>
    <t>取立依頼</t>
    <rPh sb="0" eb="2">
      <t>トリタテ</t>
    </rPh>
    <rPh sb="2" eb="4">
      <t>イライ</t>
    </rPh>
    <phoneticPr fontId="2"/>
  </si>
  <si>
    <t>取立依頼受付</t>
  </si>
  <si>
    <t>手形取立依頼処理</t>
  </si>
  <si>
    <t>手形取立依頼　承認</t>
    <phoneticPr fontId="2"/>
  </si>
  <si>
    <t>３.手形決済時</t>
  </si>
  <si>
    <t>銀行振込確認</t>
    <phoneticPr fontId="2"/>
  </si>
  <si>
    <t>手形決済処理</t>
  </si>
  <si>
    <t>手形決済 承認</t>
    <phoneticPr fontId="2"/>
  </si>
  <si>
    <t>各工場、購買</t>
    <rPh sb="0" eb="3">
      <t>カクコウジョウ</t>
    </rPh>
    <rPh sb="4" eb="6">
      <t>コウバイ</t>
    </rPh>
    <phoneticPr fontId="2"/>
  </si>
  <si>
    <t>各部門</t>
    <rPh sb="0" eb="3">
      <t>カクブモン</t>
    </rPh>
    <phoneticPr fontId="2"/>
  </si>
  <si>
    <t>事務管理G</t>
    <rPh sb="0" eb="2">
      <t>ジム</t>
    </rPh>
    <rPh sb="2" eb="3">
      <t>カン</t>
    </rPh>
    <phoneticPr fontId="2"/>
  </si>
  <si>
    <t>総務部</t>
    <rPh sb="0" eb="3">
      <t>ソウムブ</t>
    </rPh>
    <phoneticPr fontId="2"/>
  </si>
  <si>
    <t>物流企画</t>
    <rPh sb="0" eb="4">
      <t>ブツリュウキカク</t>
    </rPh>
    <phoneticPr fontId="2"/>
  </si>
  <si>
    <t>債務</t>
    <rPh sb="0" eb="2">
      <t>サイム</t>
    </rPh>
    <phoneticPr fontId="2"/>
  </si>
  <si>
    <t>1.仕入計上・請求処理</t>
    <phoneticPr fontId="2"/>
  </si>
  <si>
    <t>１.仕入計上・請求処理</t>
    <rPh sb="2" eb="6">
      <t>シイレケイジョウ</t>
    </rPh>
    <rPh sb="7" eb="11">
      <t>セイキュウショリ</t>
    </rPh>
    <phoneticPr fontId="2"/>
  </si>
  <si>
    <t>請求書の送付</t>
  </si>
  <si>
    <t>請求書受領</t>
    <phoneticPr fontId="2"/>
  </si>
  <si>
    <t>仕入計上</t>
  </si>
  <si>
    <t>楽楽精算
BtoBプラットフォーム</t>
    <rPh sb="0" eb="4">
      <t>ラクラクセイサン</t>
    </rPh>
    <phoneticPr fontId="2"/>
  </si>
  <si>
    <t>広告費システム</t>
    <rPh sb="0" eb="3">
      <t>コウコクヒ</t>
    </rPh>
    <phoneticPr fontId="2"/>
  </si>
  <si>
    <t>SEJ販売管理</t>
    <rPh sb="3" eb="7">
      <t>ハンバイカンリ</t>
    </rPh>
    <phoneticPr fontId="2"/>
  </si>
  <si>
    <t>EDIL</t>
    <phoneticPr fontId="2"/>
  </si>
  <si>
    <t>取消仕訳</t>
    <rPh sb="0" eb="4">
      <t>トリケシシワケ</t>
    </rPh>
    <phoneticPr fontId="2"/>
  </si>
  <si>
    <t>修正仕訳</t>
    <rPh sb="0" eb="4">
      <t>シュウセイシワケ</t>
    </rPh>
    <phoneticPr fontId="2"/>
  </si>
  <si>
    <t>2.前払</t>
    <phoneticPr fontId="2"/>
  </si>
  <si>
    <t>１.前払（計上）</t>
  </si>
  <si>
    <t>前払登録</t>
  </si>
  <si>
    <t>楽楽精算
BtoBプラットフォーム</t>
    <phoneticPr fontId="2"/>
  </si>
  <si>
    <t>前払/未払金の仕訳計上する</t>
    <rPh sb="0" eb="2">
      <t>マエバライ</t>
    </rPh>
    <rPh sb="3" eb="6">
      <t>ミバライキン</t>
    </rPh>
    <rPh sb="7" eb="9">
      <t>シワケ</t>
    </rPh>
    <rPh sb="9" eb="11">
      <t>ケイジョウ</t>
    </rPh>
    <phoneticPr fontId="2"/>
  </si>
  <si>
    <t>２.前払（費用発生時）</t>
  </si>
  <si>
    <t>前払振替登録・申請</t>
    <phoneticPr fontId="2"/>
  </si>
  <si>
    <t>前払振替承認</t>
    <rPh sb="4" eb="6">
      <t>ショウニン</t>
    </rPh>
    <phoneticPr fontId="2"/>
  </si>
  <si>
    <t>費用/前払の振替処理</t>
    <rPh sb="0" eb="2">
      <t>ヒヨウ</t>
    </rPh>
    <rPh sb="3" eb="5">
      <t>マエバライ</t>
    </rPh>
    <rPh sb="6" eb="8">
      <t>フリカエ</t>
    </rPh>
    <rPh sb="8" eb="10">
      <t>ショリ</t>
    </rPh>
    <phoneticPr fontId="2"/>
  </si>
  <si>
    <t>３.経費精算</t>
  </si>
  <si>
    <t>１.個別精算</t>
  </si>
  <si>
    <t>精算内容入力</t>
  </si>
  <si>
    <t>従業員別債務残高確認</t>
  </si>
  <si>
    <t>４.支払予定修正・保留</t>
  </si>
  <si>
    <t>１.支払予定修正</t>
  </si>
  <si>
    <t>支払基準日の変更</t>
    <rPh sb="2" eb="4">
      <t>キジュン</t>
    </rPh>
    <phoneticPr fontId="2"/>
  </si>
  <si>
    <t>仕入先トランザクション
（トランザクションの決済）</t>
    <rPh sb="0" eb="3">
      <t>シイレサキ</t>
    </rPh>
    <rPh sb="22" eb="24">
      <t>ケッサイ</t>
    </rPh>
    <phoneticPr fontId="2"/>
  </si>
  <si>
    <t>２.支払保留</t>
  </si>
  <si>
    <t>支払保留</t>
  </si>
  <si>
    <t>仕入先トランザクション</t>
    <rPh sb="0" eb="3">
      <t>シイレサキ</t>
    </rPh>
    <phoneticPr fontId="2"/>
  </si>
  <si>
    <t>３.支払保留解除</t>
    <phoneticPr fontId="2"/>
  </si>
  <si>
    <t>支払保留解除</t>
    <rPh sb="4" eb="6">
      <t>カイジョ</t>
    </rPh>
    <phoneticPr fontId="2"/>
  </si>
  <si>
    <t>５.支払前</t>
  </si>
  <si>
    <t>１.相殺処理（滋賀ホスト）</t>
  </si>
  <si>
    <t>預かり売掛金振替処理（滋賀ホスト）</t>
  </si>
  <si>
    <t>SEJホスト</t>
    <phoneticPr fontId="2"/>
  </si>
  <si>
    <t>相殺依頼（滋賀ホスト）</t>
  </si>
  <si>
    <t>相殺依頼内容確認（滋賀ホスト）</t>
  </si>
  <si>
    <t>買掛金残高確認（滋賀ホスト）</t>
  </si>
  <si>
    <t>仕入先残高リスト</t>
    <rPh sb="0" eb="3">
      <t>シイレサキ</t>
    </rPh>
    <rPh sb="3" eb="5">
      <t>ザンダカ</t>
    </rPh>
    <phoneticPr fontId="2"/>
  </si>
  <si>
    <t>預かり売掛金相殺登録（滋賀ホスト）</t>
    <rPh sb="8" eb="10">
      <t>トウロク</t>
    </rPh>
    <phoneticPr fontId="2"/>
  </si>
  <si>
    <t>仕入先支払仕訳帳</t>
    <rPh sb="0" eb="3">
      <t>シイレサキ</t>
    </rPh>
    <rPh sb="3" eb="5">
      <t>シハライ</t>
    </rPh>
    <rPh sb="5" eb="8">
      <t>シワケチョウ</t>
    </rPh>
    <phoneticPr fontId="2"/>
  </si>
  <si>
    <t>預かり売掛金相殺承認（滋賀ホスト）</t>
    <rPh sb="6" eb="8">
      <t>ソウサイ</t>
    </rPh>
    <rPh sb="8" eb="10">
      <t>ショウニン</t>
    </rPh>
    <phoneticPr fontId="2"/>
  </si>
  <si>
    <t>買掛金/預かり売掛金</t>
    <rPh sb="0" eb="3">
      <t>カイカケキン</t>
    </rPh>
    <rPh sb="4" eb="5">
      <t>アズ</t>
    </rPh>
    <rPh sb="7" eb="10">
      <t>ウリカケキン</t>
    </rPh>
    <phoneticPr fontId="2"/>
  </si>
  <si>
    <t>転記</t>
    <rPh sb="0" eb="2">
      <t>テンキ</t>
    </rPh>
    <phoneticPr fontId="2"/>
  </si>
  <si>
    <t>２.支払前</t>
    <phoneticPr fontId="2"/>
  </si>
  <si>
    <t>預かり売掛金振替処理（SEJ）</t>
  </si>
  <si>
    <t>相殺依頼（SEJ）</t>
  </si>
  <si>
    <t>相殺依頼内容確認（SEJ）</t>
  </si>
  <si>
    <t>預かり売掛金相殺登録（SEJ）</t>
    <rPh sb="8" eb="10">
      <t>トウロク</t>
    </rPh>
    <phoneticPr fontId="2"/>
  </si>
  <si>
    <t>預かり売掛金相殺承認（SEJ）</t>
    <rPh sb="8" eb="10">
      <t>ショウニン</t>
    </rPh>
    <phoneticPr fontId="2"/>
  </si>
  <si>
    <t>相殺完了連絡受領（SEJ）</t>
  </si>
  <si>
    <t>未収入金相殺処理</t>
  </si>
  <si>
    <t>顧客と仕入先の残高の相殺決済</t>
    <rPh sb="0" eb="2">
      <t>コキャク</t>
    </rPh>
    <rPh sb="3" eb="6">
      <t>シイレサキ</t>
    </rPh>
    <rPh sb="7" eb="9">
      <t>ザンダカ</t>
    </rPh>
    <rPh sb="10" eb="14">
      <t>ソウサツケッサイ</t>
    </rPh>
    <phoneticPr fontId="2"/>
  </si>
  <si>
    <t>買掛金/未収入金</t>
    <rPh sb="0" eb="3">
      <t>カイカケキン</t>
    </rPh>
    <rPh sb="4" eb="8">
      <t>ミシュウニュウキン</t>
    </rPh>
    <phoneticPr fontId="2"/>
  </si>
  <si>
    <t>支払方法確定処理</t>
  </si>
  <si>
    <t>支払方法・支払サイト更新バッチ</t>
    <rPh sb="0" eb="4">
      <t>シハライホウホウ</t>
    </rPh>
    <rPh sb="5" eb="7">
      <t>シハライ</t>
    </rPh>
    <rPh sb="10" eb="12">
      <t>コウシン</t>
    </rPh>
    <phoneticPr fontId="2"/>
  </si>
  <si>
    <t>支払予定データ確認</t>
  </si>
  <si>
    <t>仕入先未処理トランザクションレポート、
仕入先請求書トランザクションレポート、
仕入先残高リスト</t>
    <rPh sb="0" eb="3">
      <t>シイレサキ</t>
    </rPh>
    <rPh sb="3" eb="6">
      <t>ミショリ</t>
    </rPh>
    <rPh sb="20" eb="23">
      <t>シイレサキ</t>
    </rPh>
    <rPh sb="23" eb="25">
      <t>セイキュウ</t>
    </rPh>
    <rPh sb="25" eb="26">
      <t>ショ</t>
    </rPh>
    <rPh sb="40" eb="43">
      <t>シイレサキ</t>
    </rPh>
    <rPh sb="43" eb="45">
      <t>ザンダカ</t>
    </rPh>
    <phoneticPr fontId="2"/>
  </si>
  <si>
    <t>支払合計表/明細表確認・出力</t>
  </si>
  <si>
    <t>支払合計表、
仕入先トランザクション一覧、
債務残高明細</t>
    <rPh sb="0" eb="5">
      <t>シハライゴウケイヒョウ</t>
    </rPh>
    <rPh sb="7" eb="10">
      <t>シイレサキ</t>
    </rPh>
    <rPh sb="18" eb="20">
      <t>イチラン</t>
    </rPh>
    <rPh sb="22" eb="28">
      <t>サイムザンダカメイサイ</t>
    </rPh>
    <phoneticPr fontId="2"/>
  </si>
  <si>
    <t>６.支払</t>
  </si>
  <si>
    <t>１.支払</t>
  </si>
  <si>
    <t>債務データの紐づけ</t>
  </si>
  <si>
    <t>仕入先支払仕訳帳</t>
    <rPh sb="0" eb="3">
      <t>シイレサキ</t>
    </rPh>
    <rPh sb="3" eb="8">
      <t>シハライシワケチョウ</t>
    </rPh>
    <phoneticPr fontId="2"/>
  </si>
  <si>
    <t>（銀行振込・海外送金・小切手）</t>
  </si>
  <si>
    <t>（銀行振込、海外送金、小切手）</t>
  </si>
  <si>
    <t>支払承認申請</t>
  </si>
  <si>
    <t>仕入先支払仕訳帳 WF</t>
    <rPh sb="0" eb="3">
      <t>シイレサキ</t>
    </rPh>
    <rPh sb="3" eb="5">
      <t>シハライ</t>
    </rPh>
    <rPh sb="5" eb="8">
      <t>シワケチョウ</t>
    </rPh>
    <phoneticPr fontId="2"/>
  </si>
  <si>
    <t>支払の承認/変更依頼</t>
  </si>
  <si>
    <t>（責任者）</t>
    <rPh sb="1" eb="3">
      <t>セキニン</t>
    </rPh>
    <rPh sb="3" eb="4">
      <t>シャ</t>
    </rPh>
    <phoneticPr fontId="2"/>
  </si>
  <si>
    <t>不備修正</t>
  </si>
  <si>
    <t>各発生元システム</t>
    <rPh sb="0" eb="1">
      <t>カク</t>
    </rPh>
    <rPh sb="1" eb="4">
      <t>ハッセイモト</t>
    </rPh>
    <phoneticPr fontId="2"/>
  </si>
  <si>
    <t>EBデータ出力</t>
  </si>
  <si>
    <t>承認</t>
  </si>
  <si>
    <t>支払データ転記</t>
  </si>
  <si>
    <t>帳票（支払案内書）出力</t>
    <rPh sb="5" eb="7">
      <t>アンナイ</t>
    </rPh>
    <phoneticPr fontId="2"/>
  </si>
  <si>
    <t>支払案内書</t>
    <rPh sb="0" eb="5">
      <t>シハライアンナイショ</t>
    </rPh>
    <phoneticPr fontId="2"/>
  </si>
  <si>
    <t>決済内容の確認</t>
  </si>
  <si>
    <t>債務残高明細</t>
    <rPh sb="0" eb="4">
      <t>サイムザンダカ</t>
    </rPh>
    <rPh sb="4" eb="6">
      <t>メイサイ</t>
    </rPh>
    <phoneticPr fontId="2"/>
  </si>
  <si>
    <t>2．為替差損益の調整仕訳登録</t>
    <phoneticPr fontId="2"/>
  </si>
  <si>
    <t>調整仕訳登録</t>
    <rPh sb="0" eb="4">
      <t>チョウセイシワケ</t>
    </rPh>
    <rPh sb="4" eb="6">
      <t>トウロク</t>
    </rPh>
    <phoneticPr fontId="2"/>
  </si>
  <si>
    <t>７.電子記録債務計上・決済</t>
  </si>
  <si>
    <t>１.電子記録債務計上</t>
  </si>
  <si>
    <t>支払手形仕訳帳の振出</t>
    <phoneticPr fontId="2"/>
  </si>
  <si>
    <t>電子記録債務計上承認申請</t>
    <rPh sb="8" eb="12">
      <t>ショウニンシンセイ</t>
    </rPh>
    <phoneticPr fontId="2"/>
  </si>
  <si>
    <t>支払手形仕訳帳の振出 WF</t>
    <rPh sb="0" eb="4">
      <t>シハライテガタ</t>
    </rPh>
    <rPh sb="4" eb="7">
      <t>シワケチョウ</t>
    </rPh>
    <rPh sb="8" eb="10">
      <t>フリダシ</t>
    </rPh>
    <phoneticPr fontId="2"/>
  </si>
  <si>
    <t>電子記録債務計上承認/変更依頼</t>
  </si>
  <si>
    <t>各発生元システム</t>
    <rPh sb="0" eb="4">
      <t>カクハッセイモト</t>
    </rPh>
    <phoneticPr fontId="2"/>
  </si>
  <si>
    <t>支払手形仕訳帳の振出</t>
    <rPh sb="0" eb="2">
      <t>シハライ</t>
    </rPh>
    <rPh sb="2" eb="4">
      <t>テガタ</t>
    </rPh>
    <rPh sb="4" eb="7">
      <t>シワケチョウ</t>
    </rPh>
    <rPh sb="8" eb="10">
      <t>フリダシ</t>
    </rPh>
    <phoneticPr fontId="2"/>
  </si>
  <si>
    <t>三菱東京銀行</t>
    <rPh sb="0" eb="4">
      <t>ミツビシトウキョウ</t>
    </rPh>
    <rPh sb="4" eb="6">
      <t>ギンコウ</t>
    </rPh>
    <phoneticPr fontId="2"/>
  </si>
  <si>
    <t>電債</t>
    <rPh sb="0" eb="1">
      <t>デン</t>
    </rPh>
    <rPh sb="1" eb="2">
      <t>サイ</t>
    </rPh>
    <phoneticPr fontId="2"/>
  </si>
  <si>
    <t>三井住友銀行</t>
    <rPh sb="0" eb="6">
      <t>ミツイスミトモギンコウ</t>
    </rPh>
    <phoneticPr fontId="2"/>
  </si>
  <si>
    <t>でんさい</t>
    <phoneticPr fontId="2"/>
  </si>
  <si>
    <t>電子記録債務計上</t>
  </si>
  <si>
    <t>電子記録債務の確認</t>
  </si>
  <si>
    <t>電子記録債務管理一覧
支払手形仕訳帳</t>
    <rPh sb="0" eb="6">
      <t>デンシキロクサイム</t>
    </rPh>
    <rPh sb="6" eb="8">
      <t>カンリ</t>
    </rPh>
    <rPh sb="8" eb="10">
      <t>イチラン</t>
    </rPh>
    <rPh sb="11" eb="15">
      <t>シハライテガタ</t>
    </rPh>
    <rPh sb="15" eb="18">
      <t>シワケチョウ</t>
    </rPh>
    <phoneticPr fontId="2"/>
  </si>
  <si>
    <t>２.電子記録債務決済</t>
  </si>
  <si>
    <t>電子記録債務決済データ抽出</t>
  </si>
  <si>
    <t>支払手形仕訳帳の決済</t>
    <rPh sb="0" eb="2">
      <t>シハライ</t>
    </rPh>
    <rPh sb="2" eb="4">
      <t>テガタ</t>
    </rPh>
    <rPh sb="4" eb="7">
      <t>シワケチョウ</t>
    </rPh>
    <rPh sb="8" eb="10">
      <t>ケッサイ</t>
    </rPh>
    <phoneticPr fontId="2"/>
  </si>
  <si>
    <t>電子記録債務決済承認申請</t>
  </si>
  <si>
    <t>支払手形仕訳帳の決済 WF</t>
    <rPh sb="0" eb="2">
      <t>シハライ</t>
    </rPh>
    <rPh sb="2" eb="4">
      <t>テガタ</t>
    </rPh>
    <rPh sb="4" eb="7">
      <t>シワケチョウ</t>
    </rPh>
    <rPh sb="8" eb="10">
      <t>ケッサイ</t>
    </rPh>
    <phoneticPr fontId="2"/>
  </si>
  <si>
    <t>電子記録債務決済承認/変更依頼</t>
  </si>
  <si>
    <t xml:space="preserve">支払手形仕訳帳の決済 </t>
    <rPh sb="0" eb="2">
      <t>シハライ</t>
    </rPh>
    <rPh sb="2" eb="4">
      <t>テガタ</t>
    </rPh>
    <rPh sb="4" eb="7">
      <t>シワケチョウ</t>
    </rPh>
    <rPh sb="8" eb="10">
      <t>ケッサイ</t>
    </rPh>
    <phoneticPr fontId="2"/>
  </si>
  <si>
    <t>電子記録債務決済計上</t>
  </si>
  <si>
    <t>電子記録債務の決済確認</t>
  </si>
  <si>
    <t>支払金額の確認</t>
  </si>
  <si>
    <t>支払集計表</t>
    <rPh sb="0" eb="5">
      <t>シハライシュウケイヒョウ</t>
    </rPh>
    <phoneticPr fontId="2"/>
  </si>
  <si>
    <t>８.口座引落</t>
  </si>
  <si>
    <t>１.契約内容登録</t>
  </si>
  <si>
    <t>契約内容登録</t>
  </si>
  <si>
    <t>口座引落契約台帳</t>
    <rPh sb="0" eb="2">
      <t>コウザ</t>
    </rPh>
    <rPh sb="2" eb="4">
      <t>ヒキオトシ</t>
    </rPh>
    <rPh sb="4" eb="6">
      <t>ケイヤク</t>
    </rPh>
    <rPh sb="6" eb="8">
      <t>ダイチョウ</t>
    </rPh>
    <phoneticPr fontId="2"/>
  </si>
  <si>
    <t>Excel台帳をインポートし、登録する</t>
    <rPh sb="5" eb="7">
      <t>ダイチョウ</t>
    </rPh>
    <rPh sb="15" eb="17">
      <t>トウロク</t>
    </rPh>
    <phoneticPr fontId="2"/>
  </si>
  <si>
    <t>２.口座引落</t>
  </si>
  <si>
    <t>結果確認</t>
    <phoneticPr fontId="2"/>
  </si>
  <si>
    <t>引落結果出力</t>
    <rPh sb="0" eb="2">
      <t>ヒキオトシ</t>
    </rPh>
    <rPh sb="2" eb="6">
      <t>ケッカシュツリョク</t>
    </rPh>
    <phoneticPr fontId="2"/>
  </si>
  <si>
    <t>費用/預金（口座引き落とし結果を確認）</t>
    <rPh sb="0" eb="2">
      <t>ヒヨウ</t>
    </rPh>
    <rPh sb="3" eb="5">
      <t>ヨキン</t>
    </rPh>
    <rPh sb="6" eb="9">
      <t>コウザヒ</t>
    </rPh>
    <rPh sb="10" eb="11">
      <t>オ</t>
    </rPh>
    <rPh sb="13" eb="15">
      <t>ケッカ</t>
    </rPh>
    <rPh sb="16" eb="18">
      <t>カクニン</t>
    </rPh>
    <phoneticPr fontId="2"/>
  </si>
  <si>
    <t>口座引落契約台帳修正</t>
    <rPh sb="0" eb="4">
      <t>コウザヒキオトシ</t>
    </rPh>
    <rPh sb="4" eb="8">
      <t>ケイヤクダイチョウ</t>
    </rPh>
    <rPh sb="8" eb="10">
      <t>シュウセイ</t>
    </rPh>
    <phoneticPr fontId="2"/>
  </si>
  <si>
    <t>口座引落契約台帳</t>
    <rPh sb="0" eb="8">
      <t>コウザヒキオトシケイヤクダイチョウ</t>
    </rPh>
    <phoneticPr fontId="2"/>
  </si>
  <si>
    <t>引落データ対象外のステータス更新</t>
    <rPh sb="0" eb="2">
      <t>ヒキオトシ</t>
    </rPh>
    <rPh sb="5" eb="8">
      <t>タイショウガイ</t>
    </rPh>
    <rPh sb="14" eb="16">
      <t>コウシン</t>
    </rPh>
    <phoneticPr fontId="2"/>
  </si>
  <si>
    <t>マッチング再実行</t>
    <rPh sb="5" eb="8">
      <t>サイジッコウ</t>
    </rPh>
    <phoneticPr fontId="2"/>
  </si>
  <si>
    <t>A．銀行口座マスタ登録</t>
    <rPh sb="2" eb="6">
      <t>ギンコウコウザ</t>
    </rPh>
    <rPh sb="9" eb="11">
      <t>トウロク</t>
    </rPh>
    <phoneticPr fontId="2"/>
  </si>
  <si>
    <t>１.銀行口座登録</t>
    <rPh sb="2" eb="4">
      <t>ギンコウ</t>
    </rPh>
    <rPh sb="4" eb="6">
      <t>コウザ</t>
    </rPh>
    <rPh sb="6" eb="8">
      <t>トウロク</t>
    </rPh>
    <phoneticPr fontId="2"/>
  </si>
  <si>
    <t>主勘定登録</t>
    <rPh sb="0" eb="5">
      <t>シュカンジョウトウロク</t>
    </rPh>
    <phoneticPr fontId="2"/>
  </si>
  <si>
    <t>主勘定</t>
    <rPh sb="0" eb="3">
      <t>シュカンジョウ</t>
    </rPh>
    <phoneticPr fontId="2"/>
  </si>
  <si>
    <t>銀行グループ登録</t>
    <rPh sb="0" eb="2">
      <t>ギンコウ</t>
    </rPh>
    <rPh sb="6" eb="8">
      <t>トウロク</t>
    </rPh>
    <phoneticPr fontId="2"/>
  </si>
  <si>
    <t>銀行グループ</t>
    <rPh sb="0" eb="2">
      <t>ギンコウ</t>
    </rPh>
    <phoneticPr fontId="2"/>
  </si>
  <si>
    <t>銀行口座登録</t>
    <rPh sb="0" eb="6">
      <t>ギンコウコウザトウロク</t>
    </rPh>
    <phoneticPr fontId="2"/>
  </si>
  <si>
    <t>銀行口座</t>
    <rPh sb="0" eb="4">
      <t>ギンコウコウザ</t>
    </rPh>
    <phoneticPr fontId="2"/>
  </si>
  <si>
    <t>B．相殺契約登録</t>
    <phoneticPr fontId="2"/>
  </si>
  <si>
    <t>１.契約内容登録</t>
    <rPh sb="2" eb="6">
      <t>ケイヤクナイヨウ</t>
    </rPh>
    <rPh sb="6" eb="8">
      <t>トウロク</t>
    </rPh>
    <phoneticPr fontId="2"/>
  </si>
  <si>
    <t>相殺決済契約登録</t>
    <rPh sb="0" eb="8">
      <t>ソウサイケッサイケイヤクトウロク</t>
    </rPh>
    <phoneticPr fontId="2"/>
  </si>
  <si>
    <t>相殺決済契約マスタ</t>
    <rPh sb="0" eb="6">
      <t>ソウサイケッサイケイヤク</t>
    </rPh>
    <phoneticPr fontId="2"/>
  </si>
  <si>
    <t>有効化</t>
    <rPh sb="0" eb="3">
      <t>ユウコウカ</t>
    </rPh>
    <phoneticPr fontId="2"/>
  </si>
  <si>
    <t>C．仕入先マスタ・</t>
    <rPh sb="2" eb="5">
      <t>シイレサキ</t>
    </rPh>
    <phoneticPr fontId="2"/>
  </si>
  <si>
    <t>１.仕入先マスタ・</t>
    <rPh sb="2" eb="5">
      <t>シイレサキ</t>
    </rPh>
    <phoneticPr fontId="2"/>
  </si>
  <si>
    <t>銀行グループの登録</t>
    <rPh sb="0" eb="2">
      <t>ギンコウ</t>
    </rPh>
    <rPh sb="7" eb="9">
      <t>トウロク</t>
    </rPh>
    <phoneticPr fontId="2"/>
  </si>
  <si>
    <t>仕入先の銀行口座</t>
    <rPh sb="0" eb="3">
      <t>シイレサキ</t>
    </rPh>
    <rPh sb="4" eb="8">
      <t>ギンコウコウザ</t>
    </rPh>
    <phoneticPr fontId="2"/>
  </si>
  <si>
    <t>仕入先の銀行口座登録</t>
    <rPh sb="0" eb="3">
      <t>シイレサキ</t>
    </rPh>
    <rPh sb="4" eb="8">
      <t>ギンコウコウザ</t>
    </rPh>
    <rPh sb="8" eb="10">
      <t>トウロク</t>
    </rPh>
    <phoneticPr fontId="2"/>
  </si>
  <si>
    <t>仕入先マスタ・仕入先の銀行口座登録</t>
    <rPh sb="0" eb="3">
      <t>シイレサキ</t>
    </rPh>
    <rPh sb="7" eb="10">
      <t>シイレサキ</t>
    </rPh>
    <rPh sb="11" eb="17">
      <t>ギンコウコウザトウロク</t>
    </rPh>
    <phoneticPr fontId="2"/>
  </si>
  <si>
    <t>JUST D.B.
SEJホスト</t>
    <phoneticPr fontId="2"/>
  </si>
  <si>
    <t>仕入先マスタの更新</t>
    <rPh sb="0" eb="3">
      <t>シイレサキ</t>
    </rPh>
    <rPh sb="7" eb="9">
      <t>コウシン</t>
    </rPh>
    <phoneticPr fontId="2"/>
  </si>
  <si>
    <t>仕入先</t>
    <rPh sb="0" eb="3">
      <t>シイレサキ</t>
    </rPh>
    <phoneticPr fontId="2"/>
  </si>
  <si>
    <t>仕入先マスタの住所更新</t>
    <rPh sb="0" eb="3">
      <t>シイレサキ</t>
    </rPh>
    <rPh sb="7" eb="11">
      <t>ジュウショコウシン</t>
    </rPh>
    <phoneticPr fontId="2"/>
  </si>
  <si>
    <t>仕入先の銀行口座更新</t>
    <rPh sb="0" eb="3">
      <t>シイレサキ</t>
    </rPh>
    <rPh sb="4" eb="8">
      <t>ギンコウコウザ</t>
    </rPh>
    <rPh sb="8" eb="10">
      <t>コウシン</t>
    </rPh>
    <phoneticPr fontId="2"/>
  </si>
  <si>
    <t>銀行グループの変更</t>
    <rPh sb="0" eb="2">
      <t>ギンコウ</t>
    </rPh>
    <rPh sb="7" eb="9">
      <t>ヘンコウ</t>
    </rPh>
    <phoneticPr fontId="2"/>
  </si>
  <si>
    <t>社員サポートG</t>
    <rPh sb="0" eb="2">
      <t>シャイン</t>
    </rPh>
    <phoneticPr fontId="2"/>
  </si>
  <si>
    <t>１.固定資産管理</t>
    <rPh sb="2" eb="4">
      <t>コテイ</t>
    </rPh>
    <rPh sb="4" eb="6">
      <t>シサン</t>
    </rPh>
    <rPh sb="6" eb="8">
      <t>カンリ</t>
    </rPh>
    <phoneticPr fontId="2"/>
  </si>
  <si>
    <t>1-1．固定資産取得(通常取得：購入と資産計上が同時期に実施される場合)</t>
  </si>
  <si>
    <t>財務分析コード値の更新(指図番号の登録)</t>
  </si>
  <si>
    <t>指図（マスタ）</t>
    <rPh sb="0" eb="2">
      <t>サシズ</t>
    </rPh>
    <phoneticPr fontId="2"/>
  </si>
  <si>
    <t>FOで登録された指図番号が翌日以降に各外部システムへ連携</t>
    <rPh sb="3" eb="5">
      <t>トウロク</t>
    </rPh>
    <rPh sb="8" eb="12">
      <t>サシズバンゴウ</t>
    </rPh>
    <rPh sb="13" eb="15">
      <t>ヨクジツ</t>
    </rPh>
    <rPh sb="15" eb="17">
      <t>イコウ</t>
    </rPh>
    <rPh sb="18" eb="19">
      <t>カク</t>
    </rPh>
    <rPh sb="19" eb="21">
      <t>ガイブ</t>
    </rPh>
    <rPh sb="26" eb="28">
      <t>レンケイ</t>
    </rPh>
    <phoneticPr fontId="2"/>
  </si>
  <si>
    <t>決済勘定へ振替</t>
  </si>
  <si>
    <t>楽楽精算から会計伝票連携される。
仕訳例：建物決済勘定/未払金（設備）</t>
    <rPh sb="0" eb="4">
      <t>ラクラクセイサン</t>
    </rPh>
    <rPh sb="6" eb="10">
      <t>カイケイデンピョウ</t>
    </rPh>
    <rPh sb="10" eb="12">
      <t>レンケイ</t>
    </rPh>
    <rPh sb="17" eb="20">
      <t>シワケレイ</t>
    </rPh>
    <rPh sb="21" eb="23">
      <t>タテモノ</t>
    </rPh>
    <rPh sb="23" eb="25">
      <t>ケッサイ</t>
    </rPh>
    <rPh sb="25" eb="27">
      <t>カンジョウ</t>
    </rPh>
    <rPh sb="28" eb="31">
      <t>ミバライキン</t>
    </rPh>
    <rPh sb="32" eb="34">
      <t>セツビ</t>
    </rPh>
    <phoneticPr fontId="2"/>
  </si>
  <si>
    <t>固定資産登録</t>
  </si>
  <si>
    <t>固定資産マスタ</t>
    <rPh sb="0" eb="4">
      <t>コテイシサン</t>
    </rPh>
    <phoneticPr fontId="2"/>
  </si>
  <si>
    <t>取得提案</t>
  </si>
  <si>
    <t>取得提案</t>
    <rPh sb="0" eb="4">
      <t>シュトクテイアン</t>
    </rPh>
    <phoneticPr fontId="2"/>
  </si>
  <si>
    <t>取得承認申請</t>
  </si>
  <si>
    <t>取得の承認/変更依頼</t>
    <phoneticPr fontId="2"/>
  </si>
  <si>
    <t>取得内容確認</t>
  </si>
  <si>
    <t>取得された固定資産</t>
    <rPh sb="0" eb="2">
      <t>シュトク</t>
    </rPh>
    <rPh sb="5" eb="9">
      <t>コテイシサン</t>
    </rPh>
    <phoneticPr fontId="2"/>
  </si>
  <si>
    <t>仕訳帳全体の取消</t>
  </si>
  <si>
    <t>1-2．固定資産取得(建設仮勘定対応：購入と資産計上の時期にずれがある場合)</t>
    <rPh sb="4" eb="6">
      <t>コテイ</t>
    </rPh>
    <rPh sb="6" eb="8">
      <t>シサン</t>
    </rPh>
    <rPh sb="8" eb="10">
      <t>シュトク</t>
    </rPh>
    <rPh sb="11" eb="16">
      <t>ケンセツカリカンジョウ</t>
    </rPh>
    <rPh sb="16" eb="18">
      <t>タイオウ</t>
    </rPh>
    <phoneticPr fontId="3"/>
  </si>
  <si>
    <t>建設仮勘定仕訳入力(毎月)</t>
  </si>
  <si>
    <t>振替金額の認識</t>
  </si>
  <si>
    <t>楽楽精算から会計伝票連携される。仕訳例：建物決済勘定/建設仮勘定</t>
    <phoneticPr fontId="2"/>
  </si>
  <si>
    <t>2．固定資産現物管理（減価償却）</t>
    <rPh sb="2" eb="4">
      <t>コテイ</t>
    </rPh>
    <rPh sb="4" eb="6">
      <t>シサン</t>
    </rPh>
    <rPh sb="6" eb="8">
      <t>ゲンブツ</t>
    </rPh>
    <rPh sb="8" eb="10">
      <t>カンリ</t>
    </rPh>
    <rPh sb="11" eb="13">
      <t>ゲンカ</t>
    </rPh>
    <rPh sb="13" eb="15">
      <t>ショウキャク</t>
    </rPh>
    <phoneticPr fontId="3"/>
  </si>
  <si>
    <t>償却提案の実行</t>
  </si>
  <si>
    <t>償却提案</t>
    <rPh sb="0" eb="2">
      <t>ショウキャク</t>
    </rPh>
    <rPh sb="2" eb="4">
      <t>テイアン</t>
    </rPh>
    <phoneticPr fontId="2"/>
  </si>
  <si>
    <t>転記処理</t>
  </si>
  <si>
    <t>3．固定資産現物管理（移動）</t>
  </si>
  <si>
    <t>移動伝票の発行</t>
  </si>
  <si>
    <t>それぞれの資産の管理部署が移動処理を行う。</t>
    <rPh sb="5" eb="7">
      <t>シサン</t>
    </rPh>
    <rPh sb="8" eb="12">
      <t>カンリブショ</t>
    </rPh>
    <rPh sb="13" eb="17">
      <t>イドウショリ</t>
    </rPh>
    <rPh sb="18" eb="19">
      <t>オコナ</t>
    </rPh>
    <phoneticPr fontId="2"/>
  </si>
  <si>
    <t>固定資産移動処理</t>
  </si>
  <si>
    <t>固定資産移動</t>
    <rPh sb="0" eb="4">
      <t>コテイシサン</t>
    </rPh>
    <rPh sb="4" eb="6">
      <t>イドウ</t>
    </rPh>
    <phoneticPr fontId="2"/>
  </si>
  <si>
    <t>それぞれの資産の管理部署が売却・処分処理を行う。</t>
    <rPh sb="5" eb="7">
      <t>シサン</t>
    </rPh>
    <rPh sb="8" eb="12">
      <t>カンリブショ</t>
    </rPh>
    <rPh sb="13" eb="15">
      <t>バイキャク</t>
    </rPh>
    <rPh sb="16" eb="18">
      <t>ショブン</t>
    </rPh>
    <rPh sb="18" eb="20">
      <t>ショリ</t>
    </rPh>
    <rPh sb="21" eb="22">
      <t>オコナ</t>
    </rPh>
    <phoneticPr fontId="2"/>
  </si>
  <si>
    <t>4．固定資産現物管理（売却・処分）</t>
    <phoneticPr fontId="2"/>
  </si>
  <si>
    <t>売却・処分伝票の発行</t>
  </si>
  <si>
    <t>売却・処分提案の実行</t>
  </si>
  <si>
    <t>固定資産仕訳帳</t>
    <rPh sb="0" eb="2">
      <t>コテイ</t>
    </rPh>
    <rPh sb="2" eb="4">
      <t>シサン</t>
    </rPh>
    <rPh sb="4" eb="7">
      <t>シワケチョウ</t>
    </rPh>
    <phoneticPr fontId="2"/>
  </si>
  <si>
    <t>売却・処分承認申請</t>
  </si>
  <si>
    <t>売却・処分の承認/変更依頼</t>
  </si>
  <si>
    <t>未収入金への振替</t>
  </si>
  <si>
    <t>※SLJのみ処理発生予定
未収入金/売掛金</t>
    <rPh sb="6" eb="8">
      <t>ショリ</t>
    </rPh>
    <rPh sb="8" eb="12">
      <t>ハッセイヨテイ</t>
    </rPh>
    <rPh sb="13" eb="17">
      <t>ミシュウニュウキン</t>
    </rPh>
    <rPh sb="18" eb="21">
      <t>ウリカケキン</t>
    </rPh>
    <phoneticPr fontId="2"/>
  </si>
  <si>
    <t>振替承認申請</t>
  </si>
  <si>
    <t>振替の承認/変更依頼</t>
  </si>
  <si>
    <t>固定資産の処分</t>
    <rPh sb="0" eb="4">
      <t>コテイシサン</t>
    </rPh>
    <rPh sb="5" eb="7">
      <t>ショブン</t>
    </rPh>
    <phoneticPr fontId="2"/>
  </si>
  <si>
    <t>売却・処分内容確認</t>
    <rPh sb="7" eb="9">
      <t>カクニン</t>
    </rPh>
    <phoneticPr fontId="2"/>
  </si>
  <si>
    <t>固定資産仕訳帳
一般仕訳帳</t>
    <rPh sb="0" eb="7">
      <t>コテイシサンシワケチョウ</t>
    </rPh>
    <rPh sb="8" eb="13">
      <t>イッパンシワケチョウ</t>
    </rPh>
    <phoneticPr fontId="2"/>
  </si>
  <si>
    <t>ネッティング仕訳入力　</t>
    <phoneticPr fontId="2"/>
  </si>
  <si>
    <t>※売却益になる場合のみ</t>
    <rPh sb="1" eb="4">
      <t>バイキャクエキ</t>
    </rPh>
    <rPh sb="7" eb="9">
      <t>バアイ</t>
    </rPh>
    <phoneticPr fontId="2"/>
  </si>
  <si>
    <t>ネッティング仕訳承認申請　</t>
    <phoneticPr fontId="2"/>
  </si>
  <si>
    <t>ネッティング仕訳承認/変更依頼　</t>
    <phoneticPr fontId="2"/>
  </si>
  <si>
    <t>不備修正　</t>
    <phoneticPr fontId="2"/>
  </si>
  <si>
    <t>自動転記バッチ　</t>
    <phoneticPr fontId="2"/>
  </si>
  <si>
    <t>消費税仕訳入力</t>
  </si>
  <si>
    <t>消費税仕訳承認申請</t>
  </si>
  <si>
    <t>消費税仕訳承認/変更依頼</t>
  </si>
  <si>
    <t>5．固定資産現物管理（減損処理）</t>
    <phoneticPr fontId="2"/>
  </si>
  <si>
    <t>減損インジケータの更新</t>
  </si>
  <si>
    <t>減損認識テスト</t>
  </si>
  <si>
    <t>固定資産インジゲータ</t>
    <rPh sb="0" eb="4">
      <t>コテイシサン</t>
    </rPh>
    <phoneticPr fontId="2"/>
  </si>
  <si>
    <t>減損対象の識別</t>
  </si>
  <si>
    <t>減損認識テスト</t>
    <rPh sb="0" eb="2">
      <t>ゲンソン</t>
    </rPh>
    <rPh sb="2" eb="4">
      <t>ニンシキ</t>
    </rPh>
    <phoneticPr fontId="2"/>
  </si>
  <si>
    <t>減損提案の実行</t>
  </si>
  <si>
    <t>減損承認申請</t>
  </si>
  <si>
    <t>減損の承認/変更依頼</t>
    <phoneticPr fontId="2"/>
  </si>
  <si>
    <t>6．固定資産現物管理（分割処理）</t>
    <phoneticPr fontId="2"/>
  </si>
  <si>
    <t>分割処理</t>
  </si>
  <si>
    <t>分割承認申請</t>
  </si>
  <si>
    <t>分割の承認/変更依頼</t>
    <phoneticPr fontId="2"/>
  </si>
  <si>
    <t>固定資産仕訳帳</t>
    <rPh sb="0" eb="7">
      <t>コテイシサンシワケチョウ</t>
    </rPh>
    <phoneticPr fontId="2"/>
  </si>
  <si>
    <t>7．固定資産現物管理（圧縮記帳処理ー直接減額方式）</t>
  </si>
  <si>
    <t>圧縮記帳の文書を登録</t>
    <rPh sb="5" eb="7">
      <t>ブンショ</t>
    </rPh>
    <phoneticPr fontId="2"/>
  </si>
  <si>
    <t>圧縮記帳の文書</t>
    <rPh sb="0" eb="4">
      <t>アッシュクキチョウ</t>
    </rPh>
    <rPh sb="5" eb="7">
      <t>ブンショ</t>
    </rPh>
    <phoneticPr fontId="2"/>
  </si>
  <si>
    <t>帳簿への文書登録</t>
  </si>
  <si>
    <t>圧縮記帳提案の実行</t>
  </si>
  <si>
    <t>圧縮記帳承認申請</t>
  </si>
  <si>
    <t>圧縮記帳の承認/変更依頼</t>
    <phoneticPr fontId="2"/>
  </si>
  <si>
    <t>８．固定資産台帳（随時）</t>
    <rPh sb="2" eb="8">
      <t>コテイシサンダイチョウ</t>
    </rPh>
    <rPh sb="9" eb="11">
      <t>ズイジ</t>
    </rPh>
    <phoneticPr fontId="3"/>
  </si>
  <si>
    <t>固定資産台帳</t>
  </si>
  <si>
    <t>固定資産台帳</t>
    <rPh sb="0" eb="2">
      <t>コテイ</t>
    </rPh>
    <rPh sb="2" eb="4">
      <t>シサン</t>
    </rPh>
    <rPh sb="4" eb="6">
      <t>ダイチョウ</t>
    </rPh>
    <phoneticPr fontId="2"/>
  </si>
  <si>
    <t>9．償却シミュレーション一覧（適宜）</t>
  </si>
  <si>
    <t>償却シミュレーション一覧</t>
  </si>
  <si>
    <t>償却シミュレーション一覧</t>
    <phoneticPr fontId="2"/>
  </si>
  <si>
    <t>10．月次レポート（増減台帳作成）</t>
    <rPh sb="3" eb="5">
      <t>ゲツジ</t>
    </rPh>
    <rPh sb="10" eb="14">
      <t>ゾウゲンダイチョウ</t>
    </rPh>
    <rPh sb="14" eb="16">
      <t>サクセイ</t>
    </rPh>
    <phoneticPr fontId="3"/>
  </si>
  <si>
    <t>固定資産の取得</t>
  </si>
  <si>
    <t>固定資産の移動</t>
  </si>
  <si>
    <t>固定資産の移動</t>
    <rPh sb="0" eb="4">
      <t>コテイシサン</t>
    </rPh>
    <rPh sb="5" eb="7">
      <t>イドウ</t>
    </rPh>
    <phoneticPr fontId="2"/>
  </si>
  <si>
    <t>固定資産の処分</t>
  </si>
  <si>
    <t>固定資産トランザクション</t>
  </si>
  <si>
    <t>固定資産トランザクション</t>
    <rPh sb="0" eb="4">
      <t>コテイシサン</t>
    </rPh>
    <phoneticPr fontId="2"/>
  </si>
  <si>
    <t>固定資産トランザクション</t>
    <phoneticPr fontId="2"/>
  </si>
  <si>
    <t>試算表・伝票トランザクション</t>
    <rPh sb="0" eb="3">
      <t>シサンヒョウ</t>
    </rPh>
    <rPh sb="4" eb="6">
      <t>デンピョウ</t>
    </rPh>
    <phoneticPr fontId="2"/>
  </si>
  <si>
    <t>11．年次レポート（償却資産申告書作成）</t>
    <rPh sb="3" eb="5">
      <t>ネンジ</t>
    </rPh>
    <phoneticPr fontId="3"/>
  </si>
  <si>
    <t>償却資産申告書（償却資産課税台帳）</t>
  </si>
  <si>
    <t>申告 26: 償却資産税の元帳レポート</t>
    <phoneticPr fontId="2"/>
  </si>
  <si>
    <t>種類別明細書（増加資産・全資産用）</t>
  </si>
  <si>
    <t>申告 26 - 1: 全資産および増加資産のタイプごとの詳細レポート</t>
    <phoneticPr fontId="2"/>
  </si>
  <si>
    <t>種類別明細書（減少資産用）</t>
  </si>
  <si>
    <t>申告 26 - 2: 減少資産のタイプごとの詳細レポート</t>
    <phoneticPr fontId="2"/>
  </si>
  <si>
    <t>固定資産移動一覧</t>
  </si>
  <si>
    <t>固定資産移動一覧</t>
    <phoneticPr fontId="2"/>
  </si>
  <si>
    <t>12．年次レポート</t>
    <rPh sb="3" eb="5">
      <t>ネンジ</t>
    </rPh>
    <phoneticPr fontId="3"/>
  </si>
  <si>
    <t>償却資産税情報出力</t>
  </si>
  <si>
    <t>償却資産税情報出力
情報出力</t>
    <phoneticPr fontId="2"/>
  </si>
  <si>
    <t>eLTAX</t>
  </si>
  <si>
    <t>資産リース</t>
    <rPh sb="0" eb="2">
      <t>シサン</t>
    </rPh>
    <phoneticPr fontId="2"/>
  </si>
  <si>
    <t>２.資産リース管理</t>
    <rPh sb="2" eb="4">
      <t>シサン</t>
    </rPh>
    <rPh sb="7" eb="9">
      <t>カンリ</t>
    </rPh>
    <phoneticPr fontId="2"/>
  </si>
  <si>
    <t>１.資産リース取得</t>
    <rPh sb="2" eb="4">
      <t>シサン</t>
    </rPh>
    <phoneticPr fontId="2"/>
  </si>
  <si>
    <t>自動引落申請書発行</t>
    <rPh sb="0" eb="4">
      <t>ジドウヒキオトシ</t>
    </rPh>
    <rPh sb="4" eb="7">
      <t>シンセイショ</t>
    </rPh>
    <rPh sb="7" eb="9">
      <t>ハッコウ</t>
    </rPh>
    <phoneticPr fontId="2"/>
  </si>
  <si>
    <t>自動引落申請書の受領</t>
    <rPh sb="8" eb="10">
      <t>ジュリョウ</t>
    </rPh>
    <phoneticPr fontId="2"/>
  </si>
  <si>
    <t>リース資産登録</t>
    <rPh sb="3" eb="5">
      <t>シサン</t>
    </rPh>
    <rPh sb="5" eb="7">
      <t>トウロク</t>
    </rPh>
    <phoneticPr fontId="2"/>
  </si>
  <si>
    <t>リースの概要マスタ</t>
    <rPh sb="4" eb="6">
      <t>ガイヨウ</t>
    </rPh>
    <phoneticPr fontId="2"/>
  </si>
  <si>
    <t>固定資産登録</t>
    <rPh sb="0" eb="4">
      <t>コテイシサン</t>
    </rPh>
    <rPh sb="4" eb="6">
      <t>トウロク</t>
    </rPh>
    <phoneticPr fontId="2"/>
  </si>
  <si>
    <t>リースに紐づく帳簿の作成</t>
    <rPh sb="4" eb="5">
      <t>ヒモ</t>
    </rPh>
    <rPh sb="7" eb="9">
      <t>チョウボ</t>
    </rPh>
    <rPh sb="10" eb="12">
      <t>サクセイ</t>
    </rPh>
    <phoneticPr fontId="2"/>
  </si>
  <si>
    <t>スケジュールの作成バッチ</t>
    <rPh sb="7" eb="9">
      <t>サクセイ</t>
    </rPh>
    <phoneticPr fontId="2"/>
  </si>
  <si>
    <t>不要な帳簿の削除</t>
    <rPh sb="0" eb="2">
      <t>フヨウ</t>
    </rPh>
    <rPh sb="3" eb="5">
      <t>チョウボ</t>
    </rPh>
    <rPh sb="6" eb="8">
      <t>サクジョ</t>
    </rPh>
    <phoneticPr fontId="2"/>
  </si>
  <si>
    <t>帳簿の詳細</t>
    <rPh sb="0" eb="2">
      <t>チョウボ</t>
    </rPh>
    <rPh sb="3" eb="5">
      <t>ショウサイ</t>
    </rPh>
    <phoneticPr fontId="2"/>
  </si>
  <si>
    <t>消費税額の登録</t>
    <rPh sb="0" eb="3">
      <t>ショウヒゼイ</t>
    </rPh>
    <rPh sb="3" eb="4">
      <t>ガク</t>
    </rPh>
    <rPh sb="5" eb="7">
      <t>トウロク</t>
    </rPh>
    <phoneticPr fontId="2"/>
  </si>
  <si>
    <t>支払スケジュール確定処理</t>
    <rPh sb="0" eb="2">
      <t>シハラ</t>
    </rPh>
    <rPh sb="8" eb="12">
      <t>カクテイショリ</t>
    </rPh>
    <phoneticPr fontId="2"/>
  </si>
  <si>
    <t>確認バッチ</t>
    <rPh sb="0" eb="2">
      <t>カクニン</t>
    </rPh>
    <phoneticPr fontId="2"/>
  </si>
  <si>
    <t>初期認識</t>
    <rPh sb="0" eb="4">
      <t>ショキニンシキ</t>
    </rPh>
    <phoneticPr fontId="2"/>
  </si>
  <si>
    <t>バッチ仕訳の作成</t>
    <rPh sb="3" eb="5">
      <t>シワケ</t>
    </rPh>
    <rPh sb="6" eb="8">
      <t>サクセイ</t>
    </rPh>
    <phoneticPr fontId="2"/>
  </si>
  <si>
    <t>スケジュールの選択：初期認識</t>
    <rPh sb="7" eb="9">
      <t>センタク</t>
    </rPh>
    <rPh sb="10" eb="14">
      <t>ショキニンシキ</t>
    </rPh>
    <phoneticPr fontId="2"/>
  </si>
  <si>
    <t>リース資産計上仕訳の承認依頼</t>
    <rPh sb="3" eb="5">
      <t>シサン</t>
    </rPh>
    <rPh sb="5" eb="7">
      <t>ケイジョウ</t>
    </rPh>
    <rPh sb="7" eb="9">
      <t>シワケ</t>
    </rPh>
    <rPh sb="10" eb="12">
      <t>ショウニン</t>
    </rPh>
    <rPh sb="12" eb="14">
      <t>イライ</t>
    </rPh>
    <phoneticPr fontId="2"/>
  </si>
  <si>
    <t>資産リース仕訳</t>
    <rPh sb="0" eb="2">
      <t>シサン</t>
    </rPh>
    <rPh sb="5" eb="7">
      <t>シワケ</t>
    </rPh>
    <phoneticPr fontId="2"/>
  </si>
  <si>
    <t>リース資産計上仕訳の承認</t>
    <rPh sb="3" eb="5">
      <t>シサン</t>
    </rPh>
    <rPh sb="5" eb="7">
      <t>ケイジョウ</t>
    </rPh>
    <rPh sb="7" eb="9">
      <t>シワケ</t>
    </rPh>
    <rPh sb="10" eb="12">
      <t>ショウニン</t>
    </rPh>
    <phoneticPr fontId="2"/>
  </si>
  <si>
    <t>消費税振替登録</t>
    <rPh sb="0" eb="3">
      <t>ショウヒゼイ</t>
    </rPh>
    <rPh sb="3" eb="5">
      <t>フリカエ</t>
    </rPh>
    <rPh sb="5" eb="7">
      <t>トウロク</t>
    </rPh>
    <phoneticPr fontId="2"/>
  </si>
  <si>
    <t>レポート内容確認</t>
    <rPh sb="4" eb="8">
      <t>ナイヨウカクニン</t>
    </rPh>
    <phoneticPr fontId="2"/>
  </si>
  <si>
    <t>リース資産台帳
リース利息一覧</t>
    <rPh sb="3" eb="7">
      <t>シサンダイチョウ</t>
    </rPh>
    <rPh sb="11" eb="15">
      <t>リソクイチラン</t>
    </rPh>
    <phoneticPr fontId="2"/>
  </si>
  <si>
    <t>２.リース支払いスケジュールの計上・転記</t>
  </si>
  <si>
    <t>支払仕訳作成・転記</t>
    <rPh sb="0" eb="4">
      <t>シハライシワケ</t>
    </rPh>
    <rPh sb="4" eb="6">
      <t>サクセイ</t>
    </rPh>
    <rPh sb="7" eb="9">
      <t>テンキ</t>
    </rPh>
    <phoneticPr fontId="2"/>
  </si>
  <si>
    <t>スケジュールの選択：
支払スケジュール</t>
    <rPh sb="7" eb="9">
      <t>センタク</t>
    </rPh>
    <rPh sb="11" eb="13">
      <t>シハライ</t>
    </rPh>
    <phoneticPr fontId="2"/>
  </si>
  <si>
    <t>３リース資産の負債償却スケジュールの作成・転記</t>
    <phoneticPr fontId="2"/>
  </si>
  <si>
    <t>利息計上仕訳の作成・転記</t>
    <rPh sb="0" eb="6">
      <t>リソクケイジョウシワケ</t>
    </rPh>
    <rPh sb="7" eb="9">
      <t>サクセイ</t>
    </rPh>
    <rPh sb="10" eb="12">
      <t>テンキ</t>
    </rPh>
    <phoneticPr fontId="2"/>
  </si>
  <si>
    <t>スケジュールの選択：
負債償却スケジュール</t>
    <rPh sb="7" eb="9">
      <t>センタク</t>
    </rPh>
    <phoneticPr fontId="2"/>
  </si>
  <si>
    <t>４.IFRS　賃借料の振替</t>
    <rPh sb="7" eb="10">
      <t>チンシャクリョウ</t>
    </rPh>
    <rPh sb="11" eb="13">
      <t>フリカエ</t>
    </rPh>
    <phoneticPr fontId="2"/>
  </si>
  <si>
    <t>振替仕訳の作成</t>
    <rPh sb="0" eb="4">
      <t>フリカエシワケ</t>
    </rPh>
    <rPh sb="5" eb="7">
      <t>サクセイ</t>
    </rPh>
    <phoneticPr fontId="2"/>
  </si>
  <si>
    <t>承認依頼</t>
    <rPh sb="0" eb="4">
      <t>ショウニンイライ</t>
    </rPh>
    <phoneticPr fontId="2"/>
  </si>
  <si>
    <t>５.リース資産現物管理
（減価償却）</t>
    <phoneticPr fontId="2"/>
  </si>
  <si>
    <t>減価償却計上仕訳の作成・転記</t>
    <rPh sb="0" eb="2">
      <t>ゲンカ</t>
    </rPh>
    <rPh sb="2" eb="4">
      <t>ショウキャク</t>
    </rPh>
    <rPh sb="4" eb="6">
      <t>ケイジョウ</t>
    </rPh>
    <rPh sb="6" eb="8">
      <t>シワケ</t>
    </rPh>
    <rPh sb="9" eb="11">
      <t>サクセイ</t>
    </rPh>
    <rPh sb="12" eb="14">
      <t>テンキ</t>
    </rPh>
    <phoneticPr fontId="2"/>
  </si>
  <si>
    <t>スケジュールの選択：
資産減価償却スケジュール</t>
    <rPh sb="7" eb="9">
      <t>センタク</t>
    </rPh>
    <rPh sb="11" eb="13">
      <t>シサン</t>
    </rPh>
    <rPh sb="13" eb="15">
      <t>ゲンカ</t>
    </rPh>
    <rPh sb="15" eb="17">
      <t>ショウキャク</t>
    </rPh>
    <phoneticPr fontId="2"/>
  </si>
  <si>
    <t>6．短期リース負債の再分類</t>
    <phoneticPr fontId="2"/>
  </si>
  <si>
    <t>長短振替登録</t>
    <rPh sb="0" eb="4">
      <t>チョウタンフリカエ</t>
    </rPh>
    <rPh sb="4" eb="6">
      <t>トウロク</t>
    </rPh>
    <phoneticPr fontId="2"/>
  </si>
  <si>
    <t>長短振替仕訳承認依頼</t>
    <rPh sb="0" eb="4">
      <t>チョウタンフリカエ</t>
    </rPh>
    <rPh sb="4" eb="6">
      <t>シワケ</t>
    </rPh>
    <rPh sb="6" eb="10">
      <t>ショウニンイライ</t>
    </rPh>
    <phoneticPr fontId="2"/>
  </si>
  <si>
    <t>長短振替仕訳承認</t>
    <rPh sb="0" eb="4">
      <t>チョウタンフリカエ</t>
    </rPh>
    <rPh sb="4" eb="6">
      <t>シワケ</t>
    </rPh>
    <rPh sb="6" eb="8">
      <t>ショウニン</t>
    </rPh>
    <phoneticPr fontId="2"/>
  </si>
  <si>
    <t>7．リース内容変更（名称変更）</t>
    <phoneticPr fontId="2"/>
  </si>
  <si>
    <t>リース（帳簿）名称変更</t>
    <rPh sb="4" eb="6">
      <t>チョウボ</t>
    </rPh>
    <rPh sb="7" eb="9">
      <t>メイショウ</t>
    </rPh>
    <rPh sb="9" eb="11">
      <t>ヘンコウ</t>
    </rPh>
    <phoneticPr fontId="2"/>
  </si>
  <si>
    <t>リースの概要</t>
    <rPh sb="4" eb="6">
      <t>ガイヨウ</t>
    </rPh>
    <phoneticPr fontId="2"/>
  </si>
  <si>
    <t>8．減損処理</t>
  </si>
  <si>
    <t>減損登録</t>
    <rPh sb="0" eb="2">
      <t>ゲンソン</t>
    </rPh>
    <rPh sb="2" eb="4">
      <t>トウロク</t>
    </rPh>
    <phoneticPr fontId="2"/>
  </si>
  <si>
    <t>間接法の振替仕訳の登録</t>
    <rPh sb="0" eb="3">
      <t>カンセツホウ</t>
    </rPh>
    <rPh sb="4" eb="6">
      <t>フリカエ</t>
    </rPh>
    <rPh sb="6" eb="8">
      <t>シワケ</t>
    </rPh>
    <rPh sb="9" eb="11">
      <t>トウロク</t>
    </rPh>
    <phoneticPr fontId="2"/>
  </si>
  <si>
    <t>間接法の振替仕訳の承認依頼</t>
    <rPh sb="0" eb="3">
      <t>カンセツホウ</t>
    </rPh>
    <rPh sb="4" eb="6">
      <t>フリカエ</t>
    </rPh>
    <rPh sb="6" eb="8">
      <t>シワケ</t>
    </rPh>
    <rPh sb="9" eb="13">
      <t>ショウニンイライ</t>
    </rPh>
    <phoneticPr fontId="2"/>
  </si>
  <si>
    <t>間接法の振替仕訳の承認</t>
    <rPh sb="0" eb="3">
      <t>カンセツホウ</t>
    </rPh>
    <rPh sb="4" eb="6">
      <t>フリカエ</t>
    </rPh>
    <rPh sb="6" eb="8">
      <t>シワケ</t>
    </rPh>
    <rPh sb="9" eb="11">
      <t>ショウニン</t>
    </rPh>
    <phoneticPr fontId="2"/>
  </si>
  <si>
    <t>9．リース解約処理</t>
    <phoneticPr fontId="2"/>
  </si>
  <si>
    <t>終了提案</t>
    <rPh sb="0" eb="4">
      <t>シュウリョウテイアン</t>
    </rPh>
    <phoneticPr fontId="2"/>
  </si>
  <si>
    <t>リース終了承認依頼</t>
    <rPh sb="3" eb="5">
      <t>シュウリョウ</t>
    </rPh>
    <rPh sb="5" eb="7">
      <t>ショウニン</t>
    </rPh>
    <rPh sb="7" eb="9">
      <t>イライ</t>
    </rPh>
    <phoneticPr fontId="2"/>
  </si>
  <si>
    <t>リース終了</t>
    <rPh sb="3" eb="5">
      <t>シュウリョウ</t>
    </rPh>
    <phoneticPr fontId="2"/>
  </si>
  <si>
    <t>リース終了承認</t>
    <rPh sb="3" eb="5">
      <t>シュウリョウ</t>
    </rPh>
    <rPh sb="5" eb="7">
      <t>ショウニン</t>
    </rPh>
    <phoneticPr fontId="2"/>
  </si>
  <si>
    <t>リース終了処理</t>
    <rPh sb="3" eb="7">
      <t>シュウリョウショリ</t>
    </rPh>
    <phoneticPr fontId="2"/>
  </si>
  <si>
    <t>10．クローズ処理</t>
    <phoneticPr fontId="2"/>
  </si>
  <si>
    <t>クローズ仕訳登録</t>
    <rPh sb="4" eb="6">
      <t>シワケ</t>
    </rPh>
    <rPh sb="6" eb="8">
      <t>トウロク</t>
    </rPh>
    <phoneticPr fontId="2"/>
  </si>
  <si>
    <t>チャネル/各部署</t>
    <rPh sb="5" eb="8">
      <t>カクブショ</t>
    </rPh>
    <phoneticPr fontId="2"/>
  </si>
  <si>
    <t>事業計画G</t>
    <rPh sb="0" eb="4">
      <t>ジギョウケイカク</t>
    </rPh>
    <phoneticPr fontId="2"/>
  </si>
  <si>
    <t>予算</t>
    <rPh sb="0" eb="2">
      <t>ヨサン</t>
    </rPh>
    <phoneticPr fontId="2"/>
  </si>
  <si>
    <t>１.SSJ予算作成</t>
    <phoneticPr fontId="2"/>
  </si>
  <si>
    <t>１.毎期事前登録作業</t>
    <phoneticPr fontId="2"/>
  </si>
  <si>
    <t>予算サイクル登録</t>
    <phoneticPr fontId="2"/>
  </si>
  <si>
    <t>予算サイクル</t>
    <rPh sb="0" eb="2">
      <t>ヨサン</t>
    </rPh>
    <phoneticPr fontId="2"/>
  </si>
  <si>
    <t>予算計画プロセス登録</t>
    <phoneticPr fontId="2"/>
  </si>
  <si>
    <t>予算計画プロセス</t>
    <rPh sb="0" eb="2">
      <t>ヨサン</t>
    </rPh>
    <rPh sb="2" eb="4">
      <t>ケイカク</t>
    </rPh>
    <phoneticPr fontId="2"/>
  </si>
  <si>
    <t>予算計画登録</t>
    <phoneticPr fontId="2"/>
  </si>
  <si>
    <t>予算計画</t>
    <rPh sb="0" eb="2">
      <t>ヨサン</t>
    </rPh>
    <rPh sb="2" eb="4">
      <t>ケイカク</t>
    </rPh>
    <phoneticPr fontId="2"/>
  </si>
  <si>
    <t>２.予算作成</t>
    <phoneticPr fontId="2"/>
  </si>
  <si>
    <t>経営計画策定</t>
  </si>
  <si>
    <t xml:space="preserve">（責任者）  </t>
    <phoneticPr fontId="2"/>
  </si>
  <si>
    <t>予算編成方針策定</t>
  </si>
  <si>
    <t>各チャネル予算
作成依頼</t>
    <phoneticPr fontId="2"/>
  </si>
  <si>
    <t>各チャネル売上/原価予算作成</t>
    <phoneticPr fontId="2"/>
  </si>
  <si>
    <t>各チャネル担当者はExcelフォーマットに予算を記入して予算編成担当者へ</t>
    <rPh sb="0" eb="1">
      <t>カク</t>
    </rPh>
    <rPh sb="5" eb="8">
      <t>タントウシャ</t>
    </rPh>
    <rPh sb="21" eb="23">
      <t>ヨサン</t>
    </rPh>
    <rPh sb="24" eb="26">
      <t>キニュウ</t>
    </rPh>
    <rPh sb="28" eb="32">
      <t>ヨサンヘンセイ</t>
    </rPh>
    <rPh sb="32" eb="35">
      <t>タントウシャ</t>
    </rPh>
    <phoneticPr fontId="2"/>
  </si>
  <si>
    <t>売上/原価予算登録</t>
    <phoneticPr fontId="2"/>
  </si>
  <si>
    <t>　mcframe
新業務くん</t>
    <rPh sb="9" eb="10">
      <t>シン</t>
    </rPh>
    <rPh sb="10" eb="12">
      <t>ギョウム</t>
    </rPh>
    <phoneticPr fontId="2"/>
  </si>
  <si>
    <t>経営計画Gで集計して、新業務くん、mcframeへ登録</t>
    <rPh sb="0" eb="4">
      <t>ケイエイケイカク</t>
    </rPh>
    <rPh sb="6" eb="8">
      <t>シュウケイ</t>
    </rPh>
    <rPh sb="11" eb="14">
      <t>シンギョウム</t>
    </rPh>
    <rPh sb="25" eb="27">
      <t>トウロク</t>
    </rPh>
    <phoneticPr fontId="2"/>
  </si>
  <si>
    <t>新業務くん/Mcframe予算データ出力</t>
    <phoneticPr fontId="2"/>
  </si>
  <si>
    <t>売上・原価予算計画取込</t>
    <phoneticPr fontId="2"/>
  </si>
  <si>
    <t>売上・原価予算計画取込</t>
    <rPh sb="0" eb="2">
      <t>ウリアゲ</t>
    </rPh>
    <rPh sb="3" eb="5">
      <t>ゲンカ</t>
    </rPh>
    <rPh sb="5" eb="7">
      <t>ヨサン</t>
    </rPh>
    <rPh sb="7" eb="9">
      <t>ケイカク</t>
    </rPh>
    <rPh sb="9" eb="11">
      <t>トリコミ</t>
    </rPh>
    <phoneticPr fontId="2"/>
  </si>
  <si>
    <t>各部課別経費予算作成依頼</t>
    <phoneticPr fontId="2"/>
  </si>
  <si>
    <t>各部課別経費予算作成</t>
    <phoneticPr fontId="2"/>
  </si>
  <si>
    <t>部門経費予算計画取込</t>
    <phoneticPr fontId="2"/>
  </si>
  <si>
    <t>部門経費予算計画取込</t>
    <rPh sb="0" eb="2">
      <t>ブモン</t>
    </rPh>
    <rPh sb="2" eb="4">
      <t>ケイヒ</t>
    </rPh>
    <rPh sb="4" eb="6">
      <t>ヨサン</t>
    </rPh>
    <rPh sb="6" eb="8">
      <t>ケイカク</t>
    </rPh>
    <rPh sb="8" eb="10">
      <t>トリコミ</t>
    </rPh>
    <phoneticPr fontId="2"/>
  </si>
  <si>
    <t>MR予算帳票の予算計画名変更</t>
    <phoneticPr fontId="2"/>
  </si>
  <si>
    <t>配賦前予算計画金額確認</t>
    <rPh sb="7" eb="11">
      <t>キンガクカクニン</t>
    </rPh>
    <phoneticPr fontId="2"/>
  </si>
  <si>
    <t>予算計画承認</t>
    <rPh sb="2" eb="6">
      <t>ケイカクショウニン</t>
    </rPh>
    <phoneticPr fontId="2"/>
  </si>
  <si>
    <t>予算計画</t>
    <rPh sb="0" eb="4">
      <t>ヨサンケイカク</t>
    </rPh>
    <phoneticPr fontId="2"/>
  </si>
  <si>
    <t>予算計画登録BI連携</t>
    <rPh sb="8" eb="10">
      <t>レンケイ</t>
    </rPh>
    <phoneticPr fontId="2"/>
  </si>
  <si>
    <t>予算配賦</t>
    <phoneticPr fontId="2"/>
  </si>
  <si>
    <t>J-BASまたは
Azure Synapse Analytics</t>
    <phoneticPr fontId="2"/>
  </si>
  <si>
    <t>配賦後予算金額確認</t>
    <rPh sb="3" eb="7">
      <t>ヨサンキンガク</t>
    </rPh>
    <rPh sb="7" eb="9">
      <t>カクニン</t>
    </rPh>
    <phoneticPr fontId="2"/>
  </si>
  <si>
    <t>Power BI</t>
    <phoneticPr fontId="2"/>
  </si>
  <si>
    <t>３.予実確認</t>
    <phoneticPr fontId="2"/>
  </si>
  <si>
    <t>予実確認</t>
    <phoneticPr fontId="2"/>
  </si>
  <si>
    <t>２.SEJ予算作成</t>
    <phoneticPr fontId="2"/>
  </si>
  <si>
    <t>経営計画策定</t>
    <phoneticPr fontId="2"/>
  </si>
  <si>
    <t>予算編成方針策定</t>
    <phoneticPr fontId="2"/>
  </si>
  <si>
    <t>各部署予算作成依頼</t>
    <phoneticPr fontId="2"/>
  </si>
  <si>
    <t>各部署予算作成</t>
    <phoneticPr fontId="2"/>
  </si>
  <si>
    <t>売上/販売費/経費AS400登録</t>
    <phoneticPr fontId="2"/>
  </si>
  <si>
    <t>各部署担当者はEXCELフォーマットに予算を記入して予算編成担当者へ</t>
    <phoneticPr fontId="2"/>
  </si>
  <si>
    <t>生産部門予算登録</t>
    <phoneticPr fontId="2"/>
  </si>
  <si>
    <t>AS/400</t>
    <phoneticPr fontId="2"/>
  </si>
  <si>
    <t>AS400予算データ出力</t>
    <phoneticPr fontId="2"/>
  </si>
  <si>
    <t>一般経費予算作成</t>
    <rPh sb="0" eb="4">
      <t>イッパンケイヒ</t>
    </rPh>
    <rPh sb="4" eb="8">
      <t>ヨサンサクセイ</t>
    </rPh>
    <phoneticPr fontId="2"/>
  </si>
  <si>
    <t>生産部のみ生産部でAS/400へ登録</t>
    <rPh sb="0" eb="3">
      <t>セイサンブ</t>
    </rPh>
    <rPh sb="5" eb="8">
      <t>セイサンブ</t>
    </rPh>
    <rPh sb="16" eb="18">
      <t>トウロク</t>
    </rPh>
    <phoneticPr fontId="2"/>
  </si>
  <si>
    <t>配賦前予算計画PL確認</t>
    <phoneticPr fontId="2"/>
  </si>
  <si>
    <t>予算計画BI連携</t>
    <phoneticPr fontId="2"/>
  </si>
  <si>
    <t>配賦後予算金額確認</t>
    <rPh sb="0" eb="9">
      <t>ハイフゴヨサンキンガクカクニン</t>
    </rPh>
    <phoneticPr fontId="2"/>
  </si>
  <si>
    <t>他</t>
    <rPh sb="0" eb="1">
      <t>ホカ</t>
    </rPh>
    <phoneticPr fontId="2"/>
  </si>
  <si>
    <t>1.利益センタ・原価センタマスタ登録</t>
    <phoneticPr fontId="2"/>
  </si>
  <si>
    <t>1.利益センタ・原価センタ</t>
    <phoneticPr fontId="2"/>
  </si>
  <si>
    <t>１．利益センタマスタ登録</t>
    <rPh sb="2" eb="4">
      <t>リエキ</t>
    </rPh>
    <rPh sb="10" eb="12">
      <t>トウロク</t>
    </rPh>
    <phoneticPr fontId="2"/>
  </si>
  <si>
    <t>利益センタマスタの登録（MDM）</t>
    <rPh sb="0" eb="2">
      <t>リエキ</t>
    </rPh>
    <rPh sb="9" eb="11">
      <t>トウロク</t>
    </rPh>
    <phoneticPr fontId="2"/>
  </si>
  <si>
    <t>マスタ登録</t>
  </si>
  <si>
    <t>利益センタマスタの登録（FO）</t>
    <rPh sb="0" eb="2">
      <t>リエキ</t>
    </rPh>
    <rPh sb="9" eb="11">
      <t>トウロク</t>
    </rPh>
    <phoneticPr fontId="2"/>
  </si>
  <si>
    <t>作業単位</t>
    <rPh sb="0" eb="2">
      <t>サギョウ</t>
    </rPh>
    <rPh sb="2" eb="4">
      <t>タンイ</t>
    </rPh>
    <phoneticPr fontId="2"/>
  </si>
  <si>
    <t>機能領域・事業領域の登録</t>
    <rPh sb="0" eb="4">
      <t>キノウリョウイキ</t>
    </rPh>
    <rPh sb="5" eb="9">
      <t>ジギョウリョウイキ</t>
    </rPh>
    <rPh sb="10" eb="12">
      <t>トウロク</t>
    </rPh>
    <phoneticPr fontId="2"/>
  </si>
  <si>
    <t>財務分析コード（分析コード値）</t>
    <rPh sb="0" eb="4">
      <t>ザイムブンセキ</t>
    </rPh>
    <rPh sb="8" eb="10">
      <t>ブンセキ</t>
    </rPh>
    <rPh sb="13" eb="14">
      <t>チ</t>
    </rPh>
    <phoneticPr fontId="2"/>
  </si>
  <si>
    <t>使用法人の設定</t>
    <phoneticPr fontId="2"/>
  </si>
  <si>
    <t>関連分析コードの設定</t>
    <phoneticPr fontId="2"/>
  </si>
  <si>
    <t>財務分析コード（派生分析コード）</t>
    <rPh sb="0" eb="4">
      <t>ザイムブンセキ</t>
    </rPh>
    <rPh sb="8" eb="12">
      <t>ハセイブンセキ</t>
    </rPh>
    <phoneticPr fontId="2"/>
  </si>
  <si>
    <t>２．原価センタマスタ登録</t>
    <phoneticPr fontId="2"/>
  </si>
  <si>
    <t>原価センタマスタの登録</t>
    <rPh sb="0" eb="2">
      <t>ゲンカ</t>
    </rPh>
    <rPh sb="9" eb="11">
      <t>トウロク</t>
    </rPh>
    <phoneticPr fontId="2"/>
  </si>
  <si>
    <t>原価センタマスタの取込</t>
    <phoneticPr fontId="2"/>
  </si>
  <si>
    <t>原価センタマスタ取込</t>
    <rPh sb="0" eb="2">
      <t>ゲンカ</t>
    </rPh>
    <rPh sb="8" eb="10">
      <t>トリコミ</t>
    </rPh>
    <phoneticPr fontId="2"/>
  </si>
  <si>
    <t>2.品目マスタ取込</t>
    <phoneticPr fontId="2"/>
  </si>
  <si>
    <t>１．品目マスタ登録</t>
    <phoneticPr fontId="2"/>
  </si>
  <si>
    <t>品目マスタの登録</t>
    <rPh sb="0" eb="2">
      <t>ヒンモク</t>
    </rPh>
    <rPh sb="6" eb="8">
      <t>トウロク</t>
    </rPh>
    <phoneticPr fontId="2"/>
  </si>
  <si>
    <t>単位マスタの登録</t>
    <rPh sb="0" eb="2">
      <t>タンイ</t>
    </rPh>
    <rPh sb="6" eb="8">
      <t>トウロク</t>
    </rPh>
    <phoneticPr fontId="2"/>
  </si>
  <si>
    <t>単位マスタ</t>
    <rPh sb="0" eb="2">
      <t>タンイ</t>
    </rPh>
    <phoneticPr fontId="2"/>
  </si>
  <si>
    <t>２．品目マスタ取込</t>
    <rPh sb="2" eb="4">
      <t>ヒンモク</t>
    </rPh>
    <rPh sb="7" eb="9">
      <t>トリコミ</t>
    </rPh>
    <phoneticPr fontId="2"/>
  </si>
  <si>
    <t>品目マスタの取込</t>
    <rPh sb="0" eb="2">
      <t>ヒンモク</t>
    </rPh>
    <rPh sb="6" eb="8">
      <t>トリコ</t>
    </rPh>
    <phoneticPr fontId="2"/>
  </si>
  <si>
    <t>品目マスタ取込</t>
    <rPh sb="0" eb="2">
      <t>ヒンモク</t>
    </rPh>
    <rPh sb="5" eb="7">
      <t>トリコミ</t>
    </rPh>
    <phoneticPr fontId="2"/>
  </si>
  <si>
    <t>3.販売実績データ連携</t>
    <phoneticPr fontId="2"/>
  </si>
  <si>
    <t>１．販売実績データ取込</t>
    <phoneticPr fontId="2"/>
  </si>
  <si>
    <t>mcframe、SEJホスト</t>
    <phoneticPr fontId="2"/>
  </si>
  <si>
    <t>販売実績データの取込</t>
    <rPh sb="0" eb="2">
      <t>ハンバイ</t>
    </rPh>
    <rPh sb="2" eb="4">
      <t>ジッセキ</t>
    </rPh>
    <rPh sb="8" eb="10">
      <t>トリコミ</t>
    </rPh>
    <phoneticPr fontId="2"/>
  </si>
  <si>
    <t>販売実績取込</t>
    <rPh sb="0" eb="2">
      <t>ハンバイ</t>
    </rPh>
    <rPh sb="2" eb="4">
      <t>ジッセキ</t>
    </rPh>
    <rPh sb="4" eb="6">
      <t>トリコミ</t>
    </rPh>
    <phoneticPr fontId="2"/>
  </si>
  <si>
    <t>２．販売実績データ連携</t>
    <phoneticPr fontId="2"/>
  </si>
  <si>
    <t>販売実績データの連携</t>
    <rPh sb="0" eb="2">
      <t>ハンバイ</t>
    </rPh>
    <rPh sb="2" eb="4">
      <t>ジッセキ</t>
    </rPh>
    <rPh sb="8" eb="10">
      <t>レンケイ</t>
    </rPh>
    <phoneticPr fontId="2"/>
  </si>
  <si>
    <t>販売実績連携</t>
    <rPh sb="0" eb="2">
      <t>ハンバイ</t>
    </rPh>
    <rPh sb="2" eb="4">
      <t>ジッセキ</t>
    </rPh>
    <rPh sb="4" eb="6">
      <t>レンケイ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</si>
</sst>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m/d;@"/>
    <numFmt numFmtId="177" formatCode="[DBNum3][$-411]0"/>
  </numFmts>
  <fonts count="30">
    <font>
      <sz val="10"/>
      <color theme="1"/>
      <name val="Meiryo UI"/>
      <family val="2"/>
      <charset val="128"/>
    </font>
    <font>
      <sz val="10"/>
      <color theme="1"/>
      <name val="Meiryo UI"/>
      <family val="2"/>
      <charset val="128"/>
    </font>
    <font>
      <sz val="6"/>
      <name val="Meiryo UI"/>
      <family val="2"/>
      <charset val="128"/>
    </font>
    <font>
      <sz val="10"/>
      <name val="Meiryo UI"/>
      <family val="3"/>
      <charset val="128"/>
    </font>
    <font>
      <sz val="6"/>
      <name val="ＭＳ Ｐゴシック"/>
      <family val="3"/>
      <charset val="128"/>
    </font>
    <font>
      <b/>
      <sz val="10"/>
      <name val="Meiryo UI"/>
      <family val="3"/>
      <charset val="128"/>
    </font>
    <font>
      <b/>
      <sz val="10"/>
      <color theme="1"/>
      <name val="Meiryo UI"/>
      <family val="3"/>
      <charset val="128"/>
    </font>
    <font>
      <sz val="10"/>
      <name val="Arial"/>
      <family val="2"/>
      <charset val="238"/>
    </font>
    <font>
      <sz val="6"/>
      <name val="游ゴシック"/>
      <family val="3"/>
      <charset val="128"/>
      <scheme val="minor"/>
    </font>
    <font>
      <sz val="10"/>
      <color theme="1"/>
      <name val="Meiryo UI"/>
      <family val="3"/>
      <charset val="128"/>
    </font>
    <font>
      <b/>
      <sz val="10"/>
      <color theme="0"/>
      <name val="Meiryo UI"/>
      <family val="3"/>
      <charset val="128"/>
    </font>
    <font>
      <sz val="11"/>
      <color theme="1"/>
      <name val="游ゴシック"/>
      <family val="2"/>
      <scheme val="minor"/>
    </font>
    <font>
      <sz val="10"/>
      <color theme="0"/>
      <name val="Meiryo UI"/>
      <family val="3"/>
      <charset val="128"/>
    </font>
    <font>
      <sz val="10"/>
      <color indexed="8"/>
      <name val="Meiryo UI"/>
      <family val="3"/>
      <charset val="128"/>
    </font>
    <font>
      <sz val="6"/>
      <name val="メイリオ"/>
      <family val="2"/>
      <charset val="128"/>
    </font>
    <font>
      <sz val="11"/>
      <color theme="1"/>
      <name val="Meiryo UI"/>
      <family val="3"/>
      <charset val="128"/>
    </font>
    <font>
      <u/>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6"/>
      <name val="ＭＳ ゴシック"/>
      <family val="3"/>
      <charset val="128"/>
    </font>
    <font>
      <sz val="10"/>
      <color rgb="FF000000"/>
      <name val="Meiryo UI"/>
      <family val="3"/>
      <charset val="128"/>
    </font>
    <font>
      <sz val="10"/>
      <color rgb="FFFF0000"/>
      <name val="Meiryo UI"/>
      <family val="3"/>
      <charset val="128"/>
    </font>
    <font>
      <sz val="9"/>
      <color rgb="FF000000"/>
      <name val="Meiryo UI"/>
      <family val="3"/>
      <charset val="128"/>
    </font>
    <font>
      <sz val="9"/>
      <color rgb="FFFF0000"/>
      <name val="Meiryo UI"/>
      <family val="3"/>
      <charset val="128"/>
    </font>
    <font>
      <sz val="11"/>
      <color theme="1"/>
      <name val="游ゴシック"/>
      <family val="2"/>
      <charset val="128"/>
      <scheme val="minor"/>
    </font>
    <font>
      <b/>
      <sz val="10"/>
      <color theme="0"/>
      <name val="Meiryo UI"/>
      <family val="2"/>
      <charset val="128"/>
    </font>
    <font>
      <sz val="11"/>
      <name val="ＭＳ Ｐゴシック"/>
      <family val="3"/>
      <charset val="128"/>
    </font>
    <font>
      <sz val="11"/>
      <color theme="1"/>
      <name val="Arial"/>
      <family val="2"/>
      <charset val="128"/>
    </font>
  </fonts>
  <fills count="16">
    <fill>
      <patternFill patternType="none"/>
    </fill>
    <fill>
      <patternFill patternType="gray125"/>
    </fill>
    <fill>
      <patternFill patternType="solid">
        <fgColor theme="2" tint="-0.249977111117893"/>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rgb="FF2F75B5"/>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8" tint="-0.499984740745262"/>
        <bgColor indexed="64"/>
      </patternFill>
    </fill>
  </fills>
  <borders count="85">
    <border>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right/>
      <top/>
      <bottom style="thin">
        <color theme="0"/>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style="medium">
        <color indexed="64"/>
      </left>
      <right/>
      <top style="thin">
        <color indexed="64"/>
      </top>
      <bottom/>
      <diagonal/>
    </border>
    <border>
      <left style="thin">
        <color theme="0"/>
      </left>
      <right style="thin">
        <color theme="0"/>
      </right>
      <top style="thin">
        <color indexed="64"/>
      </top>
      <bottom style="thin">
        <color theme="0"/>
      </bottom>
      <diagonal/>
    </border>
    <border>
      <left style="thin">
        <color theme="0"/>
      </left>
      <right/>
      <top style="thin">
        <color indexed="64"/>
      </top>
      <bottom/>
      <diagonal/>
    </border>
    <border>
      <left style="thin">
        <color theme="0"/>
      </left>
      <right style="thin">
        <color indexed="64"/>
      </right>
      <top style="thin">
        <color indexed="64"/>
      </top>
      <bottom style="thin">
        <color theme="0"/>
      </bottom>
      <diagonal/>
    </border>
    <border>
      <left style="medium">
        <color indexed="64"/>
      </left>
      <right/>
      <top style="medium">
        <color indexed="64"/>
      </top>
      <bottom style="thin">
        <color indexed="64"/>
      </bottom>
      <diagonal/>
    </border>
    <border>
      <left style="thin">
        <color theme="0"/>
      </left>
      <right style="thin">
        <color theme="0"/>
      </right>
      <top style="medium">
        <color indexed="64"/>
      </top>
      <bottom style="thin">
        <color indexed="64"/>
      </bottom>
      <diagonal/>
    </border>
    <border>
      <left style="thin">
        <color theme="0"/>
      </left>
      <right/>
      <top/>
      <bottom style="thin">
        <color indexed="64"/>
      </bottom>
      <diagonal/>
    </border>
    <border>
      <left/>
      <right style="thin">
        <color theme="0"/>
      </right>
      <top style="thin">
        <color indexed="64"/>
      </top>
      <bottom/>
      <diagonal/>
    </border>
    <border>
      <left/>
      <right style="thin">
        <color theme="0"/>
      </right>
      <top/>
      <bottom style="thin">
        <color indexed="64"/>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theme="0"/>
      </left>
      <right style="thin">
        <color indexed="64"/>
      </right>
      <top style="medium">
        <color indexed="64"/>
      </top>
      <bottom style="thin">
        <color indexed="64"/>
      </bottom>
      <diagonal/>
    </border>
    <border>
      <left/>
      <right style="dashed">
        <color theme="0"/>
      </right>
      <top/>
      <bottom style="thin">
        <color indexed="64"/>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right style="thin">
        <color theme="0"/>
      </right>
      <top style="medium">
        <color indexed="64"/>
      </top>
      <bottom style="thin">
        <color indexed="64"/>
      </bottom>
      <diagonal/>
    </border>
    <border>
      <left style="thin">
        <color theme="0"/>
      </left>
      <right/>
      <top/>
      <bottom/>
      <diagonal/>
    </border>
    <border>
      <left/>
      <right/>
      <top style="medium">
        <color indexed="64"/>
      </top>
      <bottom style="thin">
        <color indexed="64"/>
      </bottom>
      <diagonal/>
    </border>
    <border>
      <left style="medium">
        <color indexed="64"/>
      </left>
      <right style="thin">
        <color theme="0"/>
      </right>
      <top style="thin">
        <color indexed="64"/>
      </top>
      <bottom/>
      <diagonal/>
    </border>
    <border>
      <left style="medium">
        <color indexed="64"/>
      </left>
      <right style="thin">
        <color theme="0"/>
      </right>
      <top style="medium">
        <color indexed="64"/>
      </top>
      <bottom style="thin">
        <color indexed="64"/>
      </bottom>
      <diagonal/>
    </border>
    <border>
      <left/>
      <right style="thin">
        <color theme="0"/>
      </right>
      <top/>
      <bottom/>
      <diagonal/>
    </border>
    <border>
      <left style="thin">
        <color indexed="64"/>
      </left>
      <right style="thin">
        <color indexed="64"/>
      </right>
      <top/>
      <bottom/>
      <diagonal/>
    </border>
    <border>
      <left style="thin">
        <color theme="0"/>
      </left>
      <right style="thin">
        <color theme="0"/>
      </right>
      <top style="thin">
        <color indexed="64"/>
      </top>
      <bottom/>
      <diagonal/>
    </border>
    <border>
      <left style="thin">
        <color theme="0"/>
      </left>
      <right style="thin">
        <color theme="0"/>
      </right>
      <top/>
      <bottom style="thin">
        <color indexed="64"/>
      </bottom>
      <diagonal/>
    </border>
    <border>
      <left/>
      <right style="thin">
        <color theme="0"/>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medium">
        <color auto="1"/>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auto="1"/>
      </left>
      <right/>
      <top style="thin">
        <color theme="0" tint="-0.499984740745262"/>
      </top>
      <bottom style="thin">
        <color theme="0" tint="-0.499984740745262"/>
      </bottom>
      <diagonal/>
    </border>
  </borders>
  <cellStyleXfs count="21">
    <xf numFmtId="0" fontId="0" fillId="0" borderId="0">
      <alignment vertical="center"/>
    </xf>
    <xf numFmtId="0" fontId="7" fillId="0" borderId="0"/>
    <xf numFmtId="0" fontId="11" fillId="0" borderId="0"/>
    <xf numFmtId="0" fontId="1" fillId="0" borderId="0">
      <alignment vertical="center"/>
    </xf>
    <xf numFmtId="6" fontId="1" fillId="0" borderId="0" applyFont="0" applyFill="0" applyBorder="0" applyAlignment="0" applyProtection="0">
      <alignment vertical="center"/>
    </xf>
    <xf numFmtId="0" fontId="27" fillId="10" borderId="0" applyNumberFormat="0" applyBorder="0" applyProtection="0">
      <alignment horizontal="center" vertical="center"/>
    </xf>
    <xf numFmtId="0" fontId="27" fillId="11" borderId="0" applyNumberFormat="0" applyBorder="0" applyProtection="0">
      <alignment horizontal="center" vertical="center"/>
    </xf>
    <xf numFmtId="0" fontId="27" fillId="12" borderId="0" applyNumberFormat="0" applyBorder="0" applyProtection="0">
      <alignment horizontal="center" vertical="center"/>
    </xf>
    <xf numFmtId="0" fontId="27" fillId="13" borderId="0" applyNumberFormat="0" applyBorder="0" applyProtection="0">
      <alignment horizontal="center" vertical="center"/>
    </xf>
    <xf numFmtId="0" fontId="27" fillId="15" borderId="0" applyNumberFormat="0" applyBorder="0" applyProtection="0">
      <alignment horizontal="center" vertical="center"/>
    </xf>
    <xf numFmtId="0" fontId="27" fillId="14" borderId="0" applyNumberFormat="0" applyBorder="0" applyProtection="0">
      <alignment horizontal="center" vertical="center"/>
    </xf>
    <xf numFmtId="0" fontId="1" fillId="0" borderId="0">
      <alignment vertical="center"/>
    </xf>
    <xf numFmtId="0" fontId="11" fillId="0" borderId="0"/>
    <xf numFmtId="0" fontId="26" fillId="0" borderId="0">
      <alignment vertical="center"/>
    </xf>
    <xf numFmtId="38" fontId="26" fillId="0" borderId="0" applyFont="0" applyFill="0" applyBorder="0" applyAlignment="0" applyProtection="0">
      <alignment vertical="center"/>
    </xf>
    <xf numFmtId="0" fontId="26" fillId="0" borderId="0">
      <alignment vertical="center"/>
    </xf>
    <xf numFmtId="0" fontId="28" fillId="0" borderId="0">
      <alignment vertical="center"/>
    </xf>
    <xf numFmtId="0" fontId="29" fillId="0" borderId="0">
      <alignment vertical="center"/>
    </xf>
    <xf numFmtId="0" fontId="26" fillId="0" borderId="0">
      <alignment vertical="center"/>
    </xf>
    <xf numFmtId="38" fontId="26" fillId="0" borderId="0" applyFont="0" applyFill="0" applyBorder="0" applyAlignment="0" applyProtection="0">
      <alignment vertical="center"/>
    </xf>
    <xf numFmtId="0" fontId="26" fillId="0" borderId="0">
      <alignment vertical="center"/>
    </xf>
  </cellStyleXfs>
  <cellXfs count="438">
    <xf numFmtId="0" fontId="0" fillId="0" borderId="0" xfId="0">
      <alignment vertical="center"/>
    </xf>
    <xf numFmtId="0" fontId="9" fillId="0" borderId="0" xfId="2" applyFont="1"/>
    <xf numFmtId="0" fontId="9" fillId="0" borderId="22" xfId="2" applyFont="1" applyBorder="1"/>
    <xf numFmtId="0" fontId="9" fillId="0" borderId="21" xfId="2" applyFont="1" applyBorder="1"/>
    <xf numFmtId="0" fontId="9" fillId="0" borderId="20" xfId="2" applyFont="1" applyBorder="1"/>
    <xf numFmtId="0" fontId="12" fillId="5" borderId="9" xfId="2" applyFont="1" applyFill="1" applyBorder="1" applyAlignment="1">
      <alignment vertical="center"/>
    </xf>
    <xf numFmtId="0" fontId="12" fillId="5" borderId="8" xfId="2" applyFont="1" applyFill="1" applyBorder="1" applyAlignment="1">
      <alignment vertical="center"/>
    </xf>
    <xf numFmtId="0" fontId="12" fillId="5" borderId="7" xfId="2" applyFont="1" applyFill="1" applyBorder="1" applyAlignment="1">
      <alignment vertical="center"/>
    </xf>
    <xf numFmtId="0" fontId="3" fillId="0" borderId="0" xfId="2" applyFont="1"/>
    <xf numFmtId="0" fontId="5" fillId="0" borderId="22" xfId="2" applyFont="1" applyBorder="1" applyAlignment="1">
      <alignment vertical="center"/>
    </xf>
    <xf numFmtId="0" fontId="3" fillId="0" borderId="4" xfId="2" applyFont="1" applyBorder="1" applyAlignment="1">
      <alignment vertical="center"/>
    </xf>
    <xf numFmtId="0" fontId="5" fillId="0" borderId="0" xfId="2" applyFont="1"/>
    <xf numFmtId="0" fontId="3" fillId="0" borderId="21" xfId="2" applyFont="1" applyBorder="1"/>
    <xf numFmtId="0" fontId="3" fillId="0" borderId="20" xfId="2" applyFont="1" applyBorder="1"/>
    <xf numFmtId="0" fontId="3" fillId="0" borderId="14" xfId="2" applyFont="1" applyBorder="1"/>
    <xf numFmtId="0" fontId="15" fillId="0" borderId="0" xfId="2" applyFont="1"/>
    <xf numFmtId="0" fontId="16" fillId="0" borderId="0" xfId="2" applyFont="1"/>
    <xf numFmtId="0" fontId="17" fillId="0" borderId="0" xfId="2" applyFont="1"/>
    <xf numFmtId="0" fontId="17" fillId="0" borderId="39" xfId="2" applyFont="1" applyBorder="1"/>
    <xf numFmtId="0" fontId="15" fillId="0" borderId="22" xfId="2" applyFont="1" applyBorder="1"/>
    <xf numFmtId="0" fontId="15" fillId="0" borderId="22" xfId="2" applyFont="1" applyBorder="1" applyAlignment="1">
      <alignment vertical="center"/>
    </xf>
    <xf numFmtId="0" fontId="9" fillId="0" borderId="0" xfId="3" applyFont="1" applyAlignment="1"/>
    <xf numFmtId="0" fontId="3" fillId="0" borderId="0" xfId="3" applyFont="1" applyAlignment="1"/>
    <xf numFmtId="0" fontId="9" fillId="0" borderId="5" xfId="3" applyFont="1" applyBorder="1" applyAlignment="1"/>
    <xf numFmtId="49" fontId="6" fillId="2" borderId="13" xfId="0" applyNumberFormat="1" applyFont="1" applyFill="1" applyBorder="1">
      <alignment vertical="center"/>
    </xf>
    <xf numFmtId="49" fontId="6" fillId="2" borderId="12" xfId="0" applyNumberFormat="1" applyFont="1" applyFill="1" applyBorder="1">
      <alignment vertical="center"/>
    </xf>
    <xf numFmtId="49" fontId="6" fillId="2" borderId="11" xfId="0" applyNumberFormat="1" applyFont="1" applyFill="1" applyBorder="1">
      <alignment vertical="center"/>
    </xf>
    <xf numFmtId="49" fontId="6" fillId="3" borderId="8" xfId="0" applyNumberFormat="1" applyFont="1" applyFill="1" applyBorder="1">
      <alignment vertical="center"/>
    </xf>
    <xf numFmtId="49" fontId="6" fillId="3" borderId="7" xfId="0" applyNumberFormat="1" applyFont="1" applyFill="1" applyBorder="1">
      <alignment vertical="center"/>
    </xf>
    <xf numFmtId="0" fontId="3" fillId="0" borderId="13" xfId="2" applyFont="1" applyBorder="1" applyAlignment="1">
      <alignment vertical="center"/>
    </xf>
    <xf numFmtId="0" fontId="3" fillId="0" borderId="12" xfId="2" applyFont="1" applyBorder="1" applyAlignment="1">
      <alignment vertical="center"/>
    </xf>
    <xf numFmtId="0" fontId="3" fillId="0" borderId="11" xfId="2" applyFont="1" applyBorder="1" applyAlignment="1">
      <alignment vertical="center"/>
    </xf>
    <xf numFmtId="0" fontId="3" fillId="0" borderId="22" xfId="2" applyFont="1" applyBorder="1" applyAlignment="1">
      <alignment vertical="center"/>
    </xf>
    <xf numFmtId="0" fontId="3" fillId="0" borderId="22" xfId="2" applyFont="1" applyBorder="1"/>
    <xf numFmtId="0" fontId="3" fillId="0" borderId="20" xfId="2" applyFont="1" applyBorder="1" applyAlignment="1">
      <alignment vertical="center"/>
    </xf>
    <xf numFmtId="0" fontId="3" fillId="0" borderId="14" xfId="2" applyFont="1" applyBorder="1" applyAlignment="1">
      <alignment vertical="center"/>
    </xf>
    <xf numFmtId="0" fontId="3" fillId="0" borderId="9" xfId="2" applyFont="1" applyBorder="1" applyAlignment="1">
      <alignment vertical="center"/>
    </xf>
    <xf numFmtId="0" fontId="3" fillId="0" borderId="8" xfId="2" applyFont="1" applyBorder="1" applyAlignment="1">
      <alignment vertical="center"/>
    </xf>
    <xf numFmtId="0" fontId="3" fillId="0" borderId="7" xfId="2" applyFont="1" applyBorder="1" applyAlignment="1">
      <alignment vertical="center"/>
    </xf>
    <xf numFmtId="49" fontId="6" fillId="3" borderId="12" xfId="0" applyNumberFormat="1" applyFont="1" applyFill="1" applyBorder="1">
      <alignment vertical="center"/>
    </xf>
    <xf numFmtId="49" fontId="6" fillId="3" borderId="13" xfId="0" applyNumberFormat="1" applyFont="1" applyFill="1" applyBorder="1">
      <alignment vertical="center"/>
    </xf>
    <xf numFmtId="0" fontId="3" fillId="0" borderId="8" xfId="2" applyFont="1" applyBorder="1"/>
    <xf numFmtId="0" fontId="3" fillId="0" borderId="0" xfId="2" applyFont="1" applyAlignment="1">
      <alignment vertical="center"/>
    </xf>
    <xf numFmtId="0" fontId="5" fillId="0" borderId="13" xfId="2" applyFont="1" applyBorder="1" applyAlignment="1">
      <alignment vertical="center"/>
    </xf>
    <xf numFmtId="0" fontId="3" fillId="0" borderId="12" xfId="2" applyFont="1" applyBorder="1"/>
    <xf numFmtId="0" fontId="3" fillId="0" borderId="9" xfId="2" applyFont="1" applyBorder="1" applyAlignment="1">
      <alignment horizontal="center" vertical="center"/>
    </xf>
    <xf numFmtId="0" fontId="3" fillId="0" borderId="7" xfId="2" applyFont="1" applyBorder="1" applyAlignment="1">
      <alignment horizontal="center" vertical="center"/>
    </xf>
    <xf numFmtId="0" fontId="3" fillId="0" borderId="13" xfId="2" applyFont="1" applyBorder="1"/>
    <xf numFmtId="0" fontId="3" fillId="0" borderId="21" xfId="2" applyFont="1" applyBorder="1" applyAlignment="1">
      <alignment vertical="center"/>
    </xf>
    <xf numFmtId="0" fontId="3" fillId="0" borderId="0" xfId="0" applyFont="1">
      <alignment vertical="center"/>
    </xf>
    <xf numFmtId="0" fontId="3" fillId="0" borderId="9" xfId="2" applyFont="1" applyBorder="1"/>
    <xf numFmtId="49" fontId="6" fillId="2" borderId="0" xfId="0" applyNumberFormat="1" applyFont="1" applyFill="1">
      <alignment vertical="center"/>
    </xf>
    <xf numFmtId="0" fontId="3" fillId="0" borderId="8" xfId="2" applyFont="1" applyBorder="1" applyAlignment="1">
      <alignment horizontal="center"/>
    </xf>
    <xf numFmtId="49" fontId="6" fillId="3" borderId="8" xfId="0" applyNumberFormat="1" applyFont="1" applyFill="1" applyBorder="1" applyAlignment="1">
      <alignment horizontal="center" vertical="center"/>
    </xf>
    <xf numFmtId="0" fontId="5" fillId="0" borderId="75" xfId="2" applyFont="1" applyBorder="1" applyAlignment="1">
      <alignment vertical="center"/>
    </xf>
    <xf numFmtId="0" fontId="3" fillId="0" borderId="9" xfId="2" applyFont="1" applyBorder="1" applyAlignment="1">
      <alignment vertical="top"/>
    </xf>
    <xf numFmtId="0" fontId="3" fillId="0" borderId="8" xfId="2" applyFont="1" applyBorder="1" applyAlignment="1">
      <alignment horizontal="left" vertical="center"/>
    </xf>
    <xf numFmtId="0" fontId="3" fillId="0" borderId="7" xfId="2" applyFont="1" applyBorder="1" applyAlignment="1">
      <alignment horizontal="left" vertical="center"/>
    </xf>
    <xf numFmtId="0" fontId="22" fillId="0" borderId="0" xfId="0" applyFont="1">
      <alignment vertical="center"/>
    </xf>
    <xf numFmtId="0" fontId="0" fillId="0" borderId="0" xfId="2" applyFont="1"/>
    <xf numFmtId="0" fontId="0" fillId="0" borderId="21" xfId="2" applyFont="1" applyBorder="1"/>
    <xf numFmtId="0" fontId="0" fillId="0" borderId="20" xfId="2" applyFont="1" applyBorder="1"/>
    <xf numFmtId="0" fontId="3" fillId="0" borderId="13" xfId="2" applyFont="1" applyBorder="1" applyAlignment="1">
      <alignment vertical="top"/>
    </xf>
    <xf numFmtId="0" fontId="3" fillId="0" borderId="12" xfId="2" applyFont="1" applyBorder="1" applyAlignment="1">
      <alignment vertical="top"/>
    </xf>
    <xf numFmtId="0" fontId="3" fillId="0" borderId="0" xfId="2" applyFont="1" applyAlignment="1">
      <alignment vertical="top"/>
    </xf>
    <xf numFmtId="0" fontId="3" fillId="7" borderId="9" xfId="2" applyFont="1" applyFill="1" applyBorder="1" applyAlignment="1">
      <alignment vertical="center"/>
    </xf>
    <xf numFmtId="0" fontId="3" fillId="7" borderId="8" xfId="2" applyFont="1" applyFill="1" applyBorder="1" applyAlignment="1">
      <alignment vertical="center"/>
    </xf>
    <xf numFmtId="0" fontId="3" fillId="7" borderId="7" xfId="2" applyFont="1" applyFill="1" applyBorder="1" applyAlignment="1">
      <alignment vertical="center"/>
    </xf>
    <xf numFmtId="0" fontId="3" fillId="0" borderId="20" xfId="2" applyFont="1" applyBorder="1" applyAlignment="1">
      <alignment vertical="top"/>
    </xf>
    <xf numFmtId="0" fontId="3" fillId="0" borderId="13" xfId="2" applyFont="1" applyBorder="1" applyAlignment="1">
      <alignment horizontal="left" vertical="top"/>
    </xf>
    <xf numFmtId="177" fontId="9" fillId="0" borderId="0" xfId="2" applyNumberFormat="1" applyFont="1"/>
    <xf numFmtId="177" fontId="9" fillId="0" borderId="20" xfId="2" applyNumberFormat="1" applyFont="1" applyBorder="1"/>
    <xf numFmtId="177" fontId="12" fillId="5" borderId="8" xfId="2" applyNumberFormat="1" applyFont="1" applyFill="1" applyBorder="1" applyAlignment="1">
      <alignment vertical="center"/>
    </xf>
    <xf numFmtId="177" fontId="3" fillId="0" borderId="12" xfId="2" applyNumberFormat="1" applyFont="1" applyBorder="1" applyAlignment="1">
      <alignment vertical="center"/>
    </xf>
    <xf numFmtId="177" fontId="6" fillId="2" borderId="13" xfId="0" applyNumberFormat="1" applyFont="1" applyFill="1" applyBorder="1">
      <alignment vertical="center"/>
    </xf>
    <xf numFmtId="177" fontId="6" fillId="2" borderId="12" xfId="0" applyNumberFormat="1" applyFont="1" applyFill="1" applyBorder="1">
      <alignment vertical="center"/>
    </xf>
    <xf numFmtId="177" fontId="6" fillId="3" borderId="13" xfId="0" applyNumberFormat="1" applyFont="1" applyFill="1" applyBorder="1">
      <alignment vertical="center"/>
    </xf>
    <xf numFmtId="177" fontId="6" fillId="3" borderId="12" xfId="0" applyNumberFormat="1" applyFont="1" applyFill="1" applyBorder="1">
      <alignment vertical="center"/>
    </xf>
    <xf numFmtId="177" fontId="3" fillId="0" borderId="13" xfId="2" applyNumberFormat="1" applyFont="1" applyBorder="1" applyAlignment="1">
      <alignment vertical="center"/>
    </xf>
    <xf numFmtId="177" fontId="3" fillId="0" borderId="11" xfId="2" applyNumberFormat="1" applyFont="1" applyBorder="1" applyAlignment="1">
      <alignment vertical="center"/>
    </xf>
    <xf numFmtId="177" fontId="3" fillId="0" borderId="22" xfId="2" applyNumberFormat="1" applyFont="1" applyBorder="1"/>
    <xf numFmtId="177" fontId="3" fillId="0" borderId="0" xfId="2" applyNumberFormat="1" applyFont="1" applyAlignment="1">
      <alignment vertical="center"/>
    </xf>
    <xf numFmtId="177" fontId="3" fillId="0" borderId="4" xfId="2" applyNumberFormat="1" applyFont="1" applyBorder="1" applyAlignment="1">
      <alignment vertical="center"/>
    </xf>
    <xf numFmtId="177" fontId="3" fillId="0" borderId="22" xfId="2" applyNumberFormat="1" applyFont="1" applyBorder="1" applyAlignment="1">
      <alignment vertical="center"/>
    </xf>
    <xf numFmtId="177" fontId="3" fillId="0" borderId="20" xfId="2" applyNumberFormat="1" applyFont="1" applyBorder="1" applyAlignment="1">
      <alignment vertical="center"/>
    </xf>
    <xf numFmtId="177" fontId="3" fillId="0" borderId="14" xfId="2" applyNumberFormat="1" applyFont="1" applyBorder="1" applyAlignment="1">
      <alignment vertical="center"/>
    </xf>
    <xf numFmtId="177" fontId="3" fillId="0" borderId="21" xfId="2" applyNumberFormat="1" applyFont="1" applyBorder="1" applyAlignment="1">
      <alignment vertical="center"/>
    </xf>
    <xf numFmtId="177" fontId="3" fillId="0" borderId="21" xfId="2" applyNumberFormat="1" applyFont="1" applyBorder="1"/>
    <xf numFmtId="177" fontId="3" fillId="0" borderId="20" xfId="2" applyNumberFormat="1" applyFont="1" applyBorder="1"/>
    <xf numFmtId="177" fontId="3" fillId="0" borderId="9" xfId="2" applyNumberFormat="1" applyFont="1" applyBorder="1" applyAlignment="1">
      <alignment vertical="center"/>
    </xf>
    <xf numFmtId="177" fontId="3" fillId="0" borderId="8" xfId="2" applyNumberFormat="1" applyFont="1" applyBorder="1" applyAlignment="1">
      <alignment vertical="center"/>
    </xf>
    <xf numFmtId="177" fontId="3" fillId="0" borderId="7" xfId="2" applyNumberFormat="1" applyFont="1" applyBorder="1" applyAlignment="1">
      <alignment vertical="center"/>
    </xf>
    <xf numFmtId="0" fontId="3" fillId="0" borderId="3" xfId="2" applyFont="1" applyBorder="1" applyAlignment="1">
      <alignment horizontal="left" vertical="center"/>
    </xf>
    <xf numFmtId="0" fontId="23" fillId="0" borderId="8" xfId="2" applyFont="1" applyBorder="1" applyAlignment="1">
      <alignment vertical="center"/>
    </xf>
    <xf numFmtId="0" fontId="10" fillId="0" borderId="0" xfId="0" applyFont="1" applyAlignment="1">
      <alignment horizontal="center" vertical="center"/>
    </xf>
    <xf numFmtId="0" fontId="3" fillId="7" borderId="13" xfId="2" applyFont="1" applyFill="1" applyBorder="1"/>
    <xf numFmtId="0" fontId="3" fillId="7" borderId="12" xfId="2" applyFont="1" applyFill="1" applyBorder="1" applyAlignment="1">
      <alignment vertical="center"/>
    </xf>
    <xf numFmtId="0" fontId="3" fillId="7" borderId="13" xfId="2" applyFont="1" applyFill="1" applyBorder="1" applyAlignment="1">
      <alignment vertical="center"/>
    </xf>
    <xf numFmtId="0" fontId="3" fillId="7" borderId="11" xfId="2" applyFont="1" applyFill="1" applyBorder="1" applyAlignment="1">
      <alignment vertical="center"/>
    </xf>
    <xf numFmtId="0" fontId="3" fillId="7" borderId="22" xfId="2" applyFont="1" applyFill="1" applyBorder="1" applyAlignment="1">
      <alignment vertical="center"/>
    </xf>
    <xf numFmtId="0" fontId="3" fillId="7" borderId="0" xfId="2" applyFont="1" applyFill="1" applyAlignment="1">
      <alignment vertical="center"/>
    </xf>
    <xf numFmtId="0" fontId="23" fillId="7" borderId="22" xfId="2" applyFont="1" applyFill="1" applyBorder="1" applyAlignment="1">
      <alignment vertical="center"/>
    </xf>
    <xf numFmtId="0" fontId="3" fillId="7" borderId="4" xfId="2" applyFont="1" applyFill="1" applyBorder="1" applyAlignment="1">
      <alignment vertical="center"/>
    </xf>
    <xf numFmtId="0" fontId="3" fillId="7" borderId="21" xfId="2" applyFont="1" applyFill="1" applyBorder="1"/>
    <xf numFmtId="0" fontId="3" fillId="7" borderId="20" xfId="2" applyFont="1" applyFill="1" applyBorder="1" applyAlignment="1">
      <alignment vertical="center"/>
    </xf>
    <xf numFmtId="0" fontId="23" fillId="7" borderId="21" xfId="2" applyFont="1" applyFill="1" applyBorder="1" applyAlignment="1">
      <alignment vertical="center"/>
    </xf>
    <xf numFmtId="0" fontId="3" fillId="7" borderId="14" xfId="2" applyFont="1" applyFill="1" applyBorder="1" applyAlignment="1">
      <alignment vertical="center"/>
    </xf>
    <xf numFmtId="0" fontId="3" fillId="7" borderId="22" xfId="2" applyFont="1" applyFill="1" applyBorder="1"/>
    <xf numFmtId="0" fontId="3" fillId="7" borderId="21" xfId="2" applyFont="1" applyFill="1" applyBorder="1" applyAlignment="1">
      <alignment vertical="center"/>
    </xf>
    <xf numFmtId="0" fontId="12" fillId="5" borderId="17" xfId="2" applyFont="1" applyFill="1" applyBorder="1" applyAlignment="1">
      <alignment horizontal="center" vertical="center"/>
    </xf>
    <xf numFmtId="0" fontId="3" fillId="0" borderId="78" xfId="2" applyFont="1" applyBorder="1" applyAlignment="1">
      <alignment vertical="center"/>
    </xf>
    <xf numFmtId="0" fontId="24" fillId="0" borderId="0" xfId="0" applyFont="1">
      <alignment vertical="center"/>
    </xf>
    <xf numFmtId="0" fontId="22" fillId="0" borderId="9" xfId="0" applyFont="1" applyBorder="1">
      <alignment vertical="center"/>
    </xf>
    <xf numFmtId="49" fontId="9" fillId="0" borderId="13" xfId="0" applyNumberFormat="1" applyFont="1" applyBorder="1">
      <alignment vertical="center"/>
    </xf>
    <xf numFmtId="49" fontId="9" fillId="0" borderId="12" xfId="0" applyNumberFormat="1" applyFont="1" applyBorder="1">
      <alignment vertical="center"/>
    </xf>
    <xf numFmtId="49" fontId="9" fillId="0" borderId="11" xfId="0" applyNumberFormat="1" applyFont="1" applyBorder="1">
      <alignment vertical="center"/>
    </xf>
    <xf numFmtId="0" fontId="3" fillId="0" borderId="3" xfId="2" applyFont="1" applyBorder="1" applyAlignment="1">
      <alignment vertical="center"/>
    </xf>
    <xf numFmtId="49" fontId="9" fillId="0" borderId="22" xfId="0" applyNumberFormat="1" applyFont="1" applyBorder="1">
      <alignment vertical="center"/>
    </xf>
    <xf numFmtId="49" fontId="9" fillId="0" borderId="0" xfId="0" applyNumberFormat="1" applyFont="1">
      <alignment vertical="center"/>
    </xf>
    <xf numFmtId="49" fontId="9" fillId="0" borderId="4" xfId="0" applyNumberFormat="1" applyFont="1" applyBorder="1">
      <alignment vertical="center"/>
    </xf>
    <xf numFmtId="49" fontId="9" fillId="0" borderId="21" xfId="0" applyNumberFormat="1" applyFont="1" applyBorder="1">
      <alignment vertical="center"/>
    </xf>
    <xf numFmtId="49" fontId="9" fillId="0" borderId="20" xfId="0" applyNumberFormat="1" applyFont="1" applyBorder="1">
      <alignment vertical="center"/>
    </xf>
    <xf numFmtId="49" fontId="9" fillId="0" borderId="14" xfId="0" applyNumberFormat="1" applyFont="1" applyBorder="1">
      <alignment vertical="center"/>
    </xf>
    <xf numFmtId="49" fontId="9" fillId="0" borderId="9" xfId="0" applyNumberFormat="1" applyFont="1" applyBorder="1">
      <alignment vertical="center"/>
    </xf>
    <xf numFmtId="49" fontId="9" fillId="8" borderId="21" xfId="0" applyNumberFormat="1" applyFont="1" applyFill="1" applyBorder="1">
      <alignment vertical="center"/>
    </xf>
    <xf numFmtId="49" fontId="9" fillId="8" borderId="20" xfId="0" applyNumberFormat="1" applyFont="1" applyFill="1" applyBorder="1">
      <alignment vertical="center"/>
    </xf>
    <xf numFmtId="49" fontId="9" fillId="8" borderId="14" xfId="0" applyNumberFormat="1" applyFont="1" applyFill="1" applyBorder="1">
      <alignment vertical="center"/>
    </xf>
    <xf numFmtId="0" fontId="3" fillId="8" borderId="9" xfId="2" applyFont="1" applyFill="1" applyBorder="1"/>
    <xf numFmtId="0" fontId="3" fillId="8" borderId="8" xfId="2" applyFont="1" applyFill="1" applyBorder="1" applyAlignment="1">
      <alignment vertical="center"/>
    </xf>
    <xf numFmtId="0" fontId="3" fillId="8" borderId="7" xfId="2" applyFont="1" applyFill="1" applyBorder="1" applyAlignment="1">
      <alignment vertical="center"/>
    </xf>
    <xf numFmtId="0" fontId="3" fillId="8" borderId="9" xfId="2" applyFont="1" applyFill="1" applyBorder="1" applyAlignment="1">
      <alignment vertical="center"/>
    </xf>
    <xf numFmtId="0" fontId="5" fillId="0" borderId="0" xfId="2" applyFont="1" applyAlignment="1">
      <alignment vertical="center"/>
    </xf>
    <xf numFmtId="49" fontId="9" fillId="0" borderId="8" xfId="0" applyNumberFormat="1" applyFont="1" applyBorder="1">
      <alignment vertical="center"/>
    </xf>
    <xf numFmtId="49" fontId="9" fillId="0" borderId="7" xfId="0" applyNumberFormat="1" applyFont="1" applyBorder="1">
      <alignment vertical="center"/>
    </xf>
    <xf numFmtId="0" fontId="3" fillId="0" borderId="22" xfId="2" applyFont="1" applyBorder="1" applyAlignment="1">
      <alignment vertical="top"/>
    </xf>
    <xf numFmtId="0" fontId="3" fillId="8" borderId="13" xfId="2" applyFont="1" applyFill="1" applyBorder="1" applyAlignment="1">
      <alignment vertical="center"/>
    </xf>
    <xf numFmtId="0" fontId="3" fillId="8" borderId="12" xfId="2" applyFont="1" applyFill="1" applyBorder="1" applyAlignment="1">
      <alignment vertical="center"/>
    </xf>
    <xf numFmtId="0" fontId="3" fillId="8" borderId="11" xfId="2" applyFont="1" applyFill="1" applyBorder="1" applyAlignment="1">
      <alignment vertical="center"/>
    </xf>
    <xf numFmtId="0" fontId="3" fillId="8" borderId="22" xfId="2" applyFont="1" applyFill="1" applyBorder="1"/>
    <xf numFmtId="0" fontId="3" fillId="8" borderId="0" xfId="2" applyFont="1" applyFill="1" applyAlignment="1">
      <alignment vertical="center"/>
    </xf>
    <xf numFmtId="0" fontId="3" fillId="8" borderId="22" xfId="2" applyFont="1" applyFill="1" applyBorder="1" applyAlignment="1">
      <alignment vertical="center"/>
    </xf>
    <xf numFmtId="0" fontId="3" fillId="8" borderId="4" xfId="2" applyFont="1" applyFill="1" applyBorder="1" applyAlignment="1">
      <alignment vertical="center"/>
    </xf>
    <xf numFmtId="0" fontId="3" fillId="8" borderId="21" xfId="2" applyFont="1" applyFill="1" applyBorder="1" applyAlignment="1">
      <alignment vertical="center"/>
    </xf>
    <xf numFmtId="0" fontId="3" fillId="8" borderId="20" xfId="2" applyFont="1" applyFill="1" applyBorder="1" applyAlignment="1">
      <alignment vertical="center"/>
    </xf>
    <xf numFmtId="0" fontId="3" fillId="8" borderId="14" xfId="2" applyFont="1" applyFill="1" applyBorder="1" applyAlignment="1">
      <alignment vertical="center"/>
    </xf>
    <xf numFmtId="0" fontId="23" fillId="8" borderId="0" xfId="2" applyFont="1" applyFill="1" applyAlignment="1">
      <alignment vertical="center"/>
    </xf>
    <xf numFmtId="0" fontId="23" fillId="8" borderId="22" xfId="2" applyFont="1" applyFill="1" applyBorder="1"/>
    <xf numFmtId="0" fontId="25" fillId="8" borderId="0" xfId="2" applyFont="1" applyFill="1" applyAlignment="1">
      <alignment vertical="center"/>
    </xf>
    <xf numFmtId="0" fontId="24" fillId="0" borderId="9" xfId="0" applyFont="1" applyBorder="1">
      <alignment vertical="center"/>
    </xf>
    <xf numFmtId="0" fontId="0" fillId="0" borderId="12" xfId="0" applyBorder="1" applyAlignment="1">
      <alignment vertical="top" wrapText="1"/>
    </xf>
    <xf numFmtId="0" fontId="0" fillId="0" borderId="11" xfId="0" applyBorder="1" applyAlignment="1">
      <alignment vertical="top" wrapText="1"/>
    </xf>
    <xf numFmtId="0" fontId="5" fillId="9" borderId="22" xfId="2" applyFont="1" applyFill="1" applyBorder="1" applyAlignment="1">
      <alignment vertical="center"/>
    </xf>
    <xf numFmtId="0" fontId="3" fillId="9" borderId="22" xfId="2" applyFont="1" applyFill="1" applyBorder="1" applyAlignment="1">
      <alignment vertical="center"/>
    </xf>
    <xf numFmtId="0" fontId="3" fillId="9" borderId="0" xfId="2" applyFont="1" applyFill="1" applyAlignment="1">
      <alignment vertical="center"/>
    </xf>
    <xf numFmtId="0" fontId="3" fillId="9" borderId="4" xfId="2" applyFont="1" applyFill="1" applyBorder="1" applyAlignment="1">
      <alignment vertical="center"/>
    </xf>
    <xf numFmtId="0" fontId="3" fillId="9" borderId="7" xfId="2" applyFont="1" applyFill="1" applyBorder="1" applyAlignment="1">
      <alignment vertical="center"/>
    </xf>
    <xf numFmtId="0" fontId="3" fillId="9" borderId="0" xfId="2" applyFont="1" applyFill="1"/>
    <xf numFmtId="0" fontId="3" fillId="9" borderId="22" xfId="2" applyFont="1" applyFill="1" applyBorder="1"/>
    <xf numFmtId="0" fontId="0" fillId="0" borderId="22" xfId="0"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0" fontId="3" fillId="0" borderId="22" xfId="2" applyFont="1" applyBorder="1" applyAlignment="1">
      <alignment vertical="top" wrapText="1"/>
    </xf>
    <xf numFmtId="0" fontId="0" fillId="0" borderId="21" xfId="0" applyBorder="1" applyAlignment="1">
      <alignment vertical="top" wrapText="1"/>
    </xf>
    <xf numFmtId="0" fontId="0" fillId="0" borderId="20" xfId="0" applyBorder="1" applyAlignment="1">
      <alignment vertical="top" wrapText="1"/>
    </xf>
    <xf numFmtId="0" fontId="0" fillId="0" borderId="14" xfId="0" applyBorder="1" applyAlignment="1">
      <alignment vertical="top" wrapText="1"/>
    </xf>
    <xf numFmtId="0" fontId="3" fillId="0" borderId="21" xfId="2" applyFont="1" applyBorder="1" applyAlignment="1">
      <alignment vertical="top" wrapText="1"/>
    </xf>
    <xf numFmtId="0" fontId="9" fillId="0" borderId="9" xfId="2" applyFont="1" applyBorder="1" applyAlignment="1">
      <alignment vertical="center"/>
    </xf>
    <xf numFmtId="0" fontId="20" fillId="0" borderId="0" xfId="2" applyFont="1" applyAlignment="1">
      <alignment horizontal="center" vertical="center"/>
    </xf>
    <xf numFmtId="0" fontId="18" fillId="0" borderId="0" xfId="2" applyFont="1" applyAlignment="1">
      <alignment horizontal="center"/>
    </xf>
    <xf numFmtId="0" fontId="18" fillId="0" borderId="39" xfId="2" applyFont="1" applyBorder="1" applyAlignment="1">
      <alignment horizontal="center"/>
    </xf>
    <xf numFmtId="0" fontId="19" fillId="0" borderId="13" xfId="2" applyFont="1" applyBorder="1" applyAlignment="1">
      <alignment horizontal="center" vertical="center"/>
    </xf>
    <xf numFmtId="0" fontId="19" fillId="0" borderId="12" xfId="2" applyFont="1" applyBorder="1" applyAlignment="1">
      <alignment horizontal="center" vertical="center"/>
    </xf>
    <xf numFmtId="0" fontId="19" fillId="0" borderId="11" xfId="2" applyFont="1" applyBorder="1" applyAlignment="1">
      <alignment horizontal="center" vertical="center"/>
    </xf>
    <xf numFmtId="0" fontId="19" fillId="0" borderId="22" xfId="2" applyFont="1" applyBorder="1" applyAlignment="1">
      <alignment horizontal="center" vertical="center"/>
    </xf>
    <xf numFmtId="0" fontId="19" fillId="0" borderId="0" xfId="2" applyFont="1" applyAlignment="1">
      <alignment horizontal="center" vertical="center"/>
    </xf>
    <xf numFmtId="0" fontId="19" fillId="0" borderId="4" xfId="2" applyFont="1" applyBorder="1" applyAlignment="1">
      <alignment horizontal="center" vertical="center"/>
    </xf>
    <xf numFmtId="0" fontId="18" fillId="0" borderId="22" xfId="2" applyFont="1" applyBorder="1" applyAlignment="1">
      <alignment horizontal="center" vertical="center"/>
    </xf>
    <xf numFmtId="0" fontId="18" fillId="0" borderId="0" xfId="2" applyFont="1" applyAlignment="1">
      <alignment horizontal="center" vertical="center"/>
    </xf>
    <xf numFmtId="0" fontId="18" fillId="0" borderId="4" xfId="2" applyFont="1" applyBorder="1" applyAlignment="1">
      <alignment horizontal="center" vertical="center"/>
    </xf>
    <xf numFmtId="0" fontId="18" fillId="0" borderId="21" xfId="2" applyFont="1" applyBorder="1" applyAlignment="1">
      <alignment horizontal="center" vertical="center"/>
    </xf>
    <xf numFmtId="0" fontId="18" fillId="0" borderId="20" xfId="2" applyFont="1" applyBorder="1" applyAlignment="1">
      <alignment horizontal="center" vertical="center"/>
    </xf>
    <xf numFmtId="0" fontId="18" fillId="0" borderId="14" xfId="2" applyFont="1" applyBorder="1" applyAlignment="1">
      <alignment horizontal="center" vertical="center"/>
    </xf>
    <xf numFmtId="14" fontId="20" fillId="0" borderId="0" xfId="2" applyNumberFormat="1" applyFont="1" applyAlignment="1">
      <alignment horizontal="center" vertical="center"/>
    </xf>
    <xf numFmtId="0" fontId="15" fillId="0" borderId="13" xfId="2" applyFont="1" applyBorder="1" applyAlignment="1">
      <alignment horizontal="center" vertical="center" wrapText="1"/>
    </xf>
    <xf numFmtId="0" fontId="15" fillId="0" borderId="12" xfId="2" applyFont="1" applyBorder="1" applyAlignment="1">
      <alignment horizontal="center" vertical="center"/>
    </xf>
    <xf numFmtId="0" fontId="15" fillId="0" borderId="22" xfId="2" applyFont="1" applyBorder="1" applyAlignment="1">
      <alignment horizontal="center" vertical="center"/>
    </xf>
    <xf numFmtId="0" fontId="15" fillId="0" borderId="0" xfId="2" applyFont="1" applyAlignment="1">
      <alignment horizontal="center" vertical="center"/>
    </xf>
    <xf numFmtId="0" fontId="15" fillId="0" borderId="21" xfId="2" applyFont="1" applyBorder="1" applyAlignment="1">
      <alignment horizontal="center" vertical="center"/>
    </xf>
    <xf numFmtId="0" fontId="15" fillId="0" borderId="20" xfId="2" applyFont="1" applyBorder="1" applyAlignment="1">
      <alignment horizontal="center" vertical="center"/>
    </xf>
    <xf numFmtId="0" fontId="15" fillId="0" borderId="13" xfId="3" applyFont="1" applyBorder="1" applyAlignment="1">
      <alignment horizontal="center" vertical="center" wrapText="1"/>
    </xf>
    <xf numFmtId="0" fontId="15" fillId="0" borderId="12" xfId="3" applyFont="1" applyBorder="1" applyAlignment="1">
      <alignment horizontal="center" vertical="center"/>
    </xf>
    <xf numFmtId="0" fontId="15" fillId="0" borderId="11" xfId="3" applyFont="1" applyBorder="1" applyAlignment="1">
      <alignment horizontal="center" vertical="center"/>
    </xf>
    <xf numFmtId="0" fontId="15" fillId="0" borderId="22" xfId="3" applyFont="1" applyBorder="1" applyAlignment="1">
      <alignment horizontal="center" vertical="center"/>
    </xf>
    <xf numFmtId="0" fontId="15" fillId="0" borderId="0" xfId="3" applyFont="1" applyAlignment="1">
      <alignment horizontal="center" vertical="center"/>
    </xf>
    <xf numFmtId="0" fontId="15" fillId="0" borderId="4" xfId="3" applyFont="1" applyBorder="1" applyAlignment="1">
      <alignment horizontal="center" vertical="center"/>
    </xf>
    <xf numFmtId="0" fontId="15" fillId="0" borderId="21" xfId="3" applyFont="1" applyBorder="1" applyAlignment="1">
      <alignment horizontal="center" vertical="center"/>
    </xf>
    <xf numFmtId="0" fontId="15" fillId="0" borderId="20" xfId="3" applyFont="1" applyBorder="1" applyAlignment="1">
      <alignment horizontal="center" vertical="center"/>
    </xf>
    <xf numFmtId="0" fontId="15" fillId="0" borderId="14" xfId="3" applyFont="1" applyBorder="1" applyAlignment="1">
      <alignment horizontal="center" vertical="center"/>
    </xf>
    <xf numFmtId="0" fontId="15" fillId="0" borderId="20" xfId="2" applyFont="1" applyBorder="1" applyAlignment="1">
      <alignment horizontal="center"/>
    </xf>
    <xf numFmtId="0" fontId="15" fillId="0" borderId="20" xfId="2" applyFont="1" applyBorder="1" applyAlignment="1">
      <alignment horizontal="center" wrapText="1"/>
    </xf>
    <xf numFmtId="0" fontId="15" fillId="6" borderId="20" xfId="2" applyFont="1" applyFill="1" applyBorder="1" applyAlignment="1">
      <alignment horizontal="center" wrapText="1"/>
    </xf>
    <xf numFmtId="0" fontId="15" fillId="6" borderId="20" xfId="2" applyFont="1" applyFill="1" applyBorder="1" applyAlignment="1">
      <alignment horizontal="center"/>
    </xf>
    <xf numFmtId="14" fontId="15" fillId="0" borderId="9" xfId="2" applyNumberFormat="1" applyFont="1" applyBorder="1" applyAlignment="1">
      <alignment horizontal="center"/>
    </xf>
    <xf numFmtId="14" fontId="15" fillId="0" borderId="8" xfId="2" applyNumberFormat="1" applyFont="1" applyBorder="1" applyAlignment="1">
      <alignment horizontal="center"/>
    </xf>
    <xf numFmtId="14" fontId="15" fillId="0" borderId="7" xfId="2" applyNumberFormat="1" applyFont="1" applyBorder="1" applyAlignment="1">
      <alignment horizontal="center"/>
    </xf>
    <xf numFmtId="49" fontId="13" fillId="6" borderId="51" xfId="2" applyNumberFormat="1" applyFont="1" applyFill="1" applyBorder="1" applyAlignment="1">
      <alignment horizontal="center" vertical="top"/>
    </xf>
    <xf numFmtId="14" fontId="13" fillId="6" borderId="51" xfId="2" applyNumberFormat="1" applyFont="1" applyFill="1" applyBorder="1" applyAlignment="1">
      <alignment horizontal="left" vertical="top"/>
    </xf>
    <xf numFmtId="0" fontId="13" fillId="6" borderId="51" xfId="2" applyFont="1" applyFill="1" applyBorder="1" applyAlignment="1">
      <alignment horizontal="left" vertical="top"/>
    </xf>
    <xf numFmtId="0" fontId="13" fillId="6" borderId="51" xfId="2" applyFont="1" applyFill="1" applyBorder="1" applyAlignment="1">
      <alignment vertical="top" wrapText="1"/>
    </xf>
    <xf numFmtId="0" fontId="13" fillId="6" borderId="51" xfId="2" applyFont="1" applyFill="1" applyBorder="1" applyAlignment="1">
      <alignment vertical="top"/>
    </xf>
    <xf numFmtId="0" fontId="13" fillId="6" borderId="51" xfId="2" applyFont="1" applyFill="1" applyBorder="1" applyAlignment="1">
      <alignment horizontal="center" vertical="top" wrapText="1"/>
    </xf>
    <xf numFmtId="0" fontId="13" fillId="6" borderId="84" xfId="2" applyFont="1" applyFill="1" applyBorder="1" applyAlignment="1">
      <alignment horizontal="left" vertical="top"/>
    </xf>
    <xf numFmtId="0" fontId="13" fillId="6" borderId="83" xfId="2" applyFont="1" applyFill="1" applyBorder="1" applyAlignment="1">
      <alignment horizontal="left" vertical="top"/>
    </xf>
    <xf numFmtId="0" fontId="13" fillId="6" borderId="82" xfId="2" applyFont="1" applyFill="1" applyBorder="1" applyAlignment="1">
      <alignment horizontal="left" vertical="top"/>
    </xf>
    <xf numFmtId="14" fontId="13" fillId="6" borderId="84" xfId="2" applyNumberFormat="1" applyFont="1" applyFill="1" applyBorder="1" applyAlignment="1">
      <alignment horizontal="left" vertical="top"/>
    </xf>
    <xf numFmtId="14" fontId="13" fillId="6" borderId="83" xfId="2" applyNumberFormat="1" applyFont="1" applyFill="1" applyBorder="1" applyAlignment="1">
      <alignment horizontal="left" vertical="top"/>
    </xf>
    <xf numFmtId="14" fontId="13" fillId="6" borderId="82" xfId="2" applyNumberFormat="1" applyFont="1" applyFill="1" applyBorder="1" applyAlignment="1">
      <alignment horizontal="left" vertical="top"/>
    </xf>
    <xf numFmtId="0" fontId="13" fillId="6" borderId="51" xfId="2" applyFont="1" applyFill="1" applyBorder="1" applyAlignment="1">
      <alignment horizontal="left" vertical="top" wrapText="1"/>
    </xf>
    <xf numFmtId="0" fontId="13" fillId="6" borderId="84" xfId="2" applyFont="1" applyFill="1" applyBorder="1" applyAlignment="1">
      <alignment vertical="top" wrapText="1"/>
    </xf>
    <xf numFmtId="0" fontId="13" fillId="6" borderId="83" xfId="2" applyFont="1" applyFill="1" applyBorder="1" applyAlignment="1">
      <alignment vertical="top"/>
    </xf>
    <xf numFmtId="0" fontId="13" fillId="6" borderId="82" xfId="2" applyFont="1" applyFill="1" applyBorder="1" applyAlignment="1">
      <alignment vertical="top"/>
    </xf>
    <xf numFmtId="0" fontId="13" fillId="6" borderId="84" xfId="2" applyFont="1" applyFill="1" applyBorder="1" applyAlignment="1">
      <alignment horizontal="left" vertical="top" wrapText="1"/>
    </xf>
    <xf numFmtId="0" fontId="12" fillId="5" borderId="40" xfId="2" applyFont="1" applyFill="1" applyBorder="1" applyAlignment="1">
      <alignment horizontal="center" vertical="center"/>
    </xf>
    <xf numFmtId="0" fontId="12" fillId="5" borderId="41" xfId="2" applyFont="1" applyFill="1" applyBorder="1" applyAlignment="1">
      <alignment horizontal="center" vertical="center"/>
    </xf>
    <xf numFmtId="0" fontId="12" fillId="5" borderId="42" xfId="2" applyFont="1" applyFill="1" applyBorder="1" applyAlignment="1">
      <alignment horizontal="center" vertical="center"/>
    </xf>
    <xf numFmtId="0" fontId="13" fillId="0" borderId="18" xfId="2" applyFont="1" applyBorder="1" applyAlignment="1">
      <alignment horizontal="left" vertical="center"/>
    </xf>
    <xf numFmtId="0" fontId="13" fillId="0" borderId="17" xfId="2" applyFont="1" applyBorder="1" applyAlignment="1">
      <alignment horizontal="left" vertical="center"/>
    </xf>
    <xf numFmtId="0" fontId="13" fillId="0" borderId="16" xfId="2" applyFont="1" applyBorder="1" applyAlignment="1">
      <alignment horizontal="left" vertical="center"/>
    </xf>
    <xf numFmtId="0" fontId="12" fillId="5" borderId="18" xfId="2" applyFont="1" applyFill="1" applyBorder="1" applyAlignment="1">
      <alignment horizontal="center" vertical="center"/>
    </xf>
    <xf numFmtId="0" fontId="12" fillId="5" borderId="17" xfId="2" applyFont="1" applyFill="1" applyBorder="1" applyAlignment="1">
      <alignment horizontal="center" vertical="center"/>
    </xf>
    <xf numFmtId="0" fontId="12" fillId="5" borderId="16" xfId="2" applyFont="1" applyFill="1" applyBorder="1" applyAlignment="1">
      <alignment horizontal="center" vertical="center"/>
    </xf>
    <xf numFmtId="0" fontId="12" fillId="5" borderId="43" xfId="2" applyFont="1" applyFill="1" applyBorder="1" applyAlignment="1">
      <alignment horizontal="center" vertical="center"/>
    </xf>
    <xf numFmtId="0" fontId="12" fillId="5" borderId="44" xfId="2" applyFont="1" applyFill="1" applyBorder="1" applyAlignment="1">
      <alignment horizontal="center" vertical="center"/>
    </xf>
    <xf numFmtId="0" fontId="12" fillId="5" borderId="45" xfId="2" applyFont="1" applyFill="1" applyBorder="1" applyAlignment="1">
      <alignment horizontal="center" vertical="center"/>
    </xf>
    <xf numFmtId="0" fontId="12" fillId="5" borderId="46" xfId="2" applyFont="1" applyFill="1" applyBorder="1" applyAlignment="1">
      <alignment horizontal="center" vertical="center"/>
    </xf>
    <xf numFmtId="0" fontId="12" fillId="5" borderId="47" xfId="2" applyFont="1" applyFill="1" applyBorder="1" applyAlignment="1">
      <alignment horizontal="center" vertical="center"/>
    </xf>
    <xf numFmtId="0" fontId="12" fillId="5" borderId="48" xfId="2" applyFont="1" applyFill="1" applyBorder="1" applyAlignment="1">
      <alignment horizontal="center" vertical="center"/>
    </xf>
    <xf numFmtId="0" fontId="13" fillId="0" borderId="6" xfId="2" applyFont="1" applyBorder="1" applyAlignment="1">
      <alignment horizontal="left" vertical="center"/>
    </xf>
    <xf numFmtId="0" fontId="13" fillId="0" borderId="5" xfId="2" applyFont="1" applyBorder="1" applyAlignment="1">
      <alignment horizontal="left" vertical="center"/>
    </xf>
    <xf numFmtId="0" fontId="13" fillId="0" borderId="15" xfId="2" applyFont="1" applyBorder="1" applyAlignment="1">
      <alignment horizontal="left" vertical="center"/>
    </xf>
    <xf numFmtId="0" fontId="13" fillId="0" borderId="2" xfId="2" applyFont="1" applyBorder="1" applyAlignment="1">
      <alignment horizontal="left" vertical="center"/>
    </xf>
    <xf numFmtId="0" fontId="13" fillId="0" borderId="1" xfId="2" applyFont="1" applyBorder="1" applyAlignment="1">
      <alignment horizontal="left" vertical="center"/>
    </xf>
    <xf numFmtId="0" fontId="13" fillId="0" borderId="19" xfId="2" applyFont="1" applyBorder="1" applyAlignment="1">
      <alignment horizontal="left" vertical="center"/>
    </xf>
    <xf numFmtId="0" fontId="13" fillId="6" borderId="6" xfId="2" applyFont="1" applyFill="1" applyBorder="1" applyAlignment="1">
      <alignment horizontal="center" vertical="center"/>
    </xf>
    <xf numFmtId="0" fontId="13" fillId="6" borderId="5" xfId="2" applyFont="1" applyFill="1" applyBorder="1" applyAlignment="1">
      <alignment horizontal="center" vertical="center"/>
    </xf>
    <xf numFmtId="0" fontId="13" fillId="6" borderId="15" xfId="2" applyFont="1" applyFill="1" applyBorder="1" applyAlignment="1">
      <alignment horizontal="center" vertical="center"/>
    </xf>
    <xf numFmtId="0" fontId="13" fillId="6" borderId="2" xfId="2" applyFont="1" applyFill="1" applyBorder="1" applyAlignment="1">
      <alignment horizontal="center" vertical="center"/>
    </xf>
    <xf numFmtId="0" fontId="13" fillId="6" borderId="1" xfId="2" applyFont="1" applyFill="1" applyBorder="1" applyAlignment="1">
      <alignment horizontal="center" vertical="center"/>
    </xf>
    <xf numFmtId="0" fontId="13" fillId="6" borderId="19" xfId="2" applyFont="1" applyFill="1" applyBorder="1" applyAlignment="1">
      <alignment horizontal="center" vertical="center"/>
    </xf>
    <xf numFmtId="0" fontId="13" fillId="6" borderId="23" xfId="2" applyFont="1" applyFill="1" applyBorder="1" applyAlignment="1">
      <alignment horizontal="center" vertical="center"/>
    </xf>
    <xf numFmtId="0" fontId="13" fillId="6" borderId="24" xfId="2" applyFont="1" applyFill="1" applyBorder="1" applyAlignment="1">
      <alignment horizontal="center" vertical="center"/>
    </xf>
    <xf numFmtId="176" fontId="3" fillId="6" borderId="25" xfId="2" applyNumberFormat="1" applyFont="1" applyFill="1" applyBorder="1" applyAlignment="1">
      <alignment horizontal="center" vertical="center"/>
    </xf>
    <xf numFmtId="176" fontId="3" fillId="6" borderId="26" xfId="2" applyNumberFormat="1" applyFont="1" applyFill="1" applyBorder="1" applyAlignment="1">
      <alignment horizontal="center" vertical="center"/>
    </xf>
    <xf numFmtId="176" fontId="3" fillId="6" borderId="27" xfId="2" applyNumberFormat="1" applyFont="1" applyFill="1" applyBorder="1" applyAlignment="1">
      <alignment horizontal="center" vertical="center"/>
    </xf>
    <xf numFmtId="0" fontId="3" fillId="6" borderId="28" xfId="2" applyFont="1" applyFill="1" applyBorder="1" applyAlignment="1">
      <alignment horizontal="center" vertical="center"/>
    </xf>
    <xf numFmtId="0" fontId="3" fillId="6" borderId="29" xfId="2" applyFont="1" applyFill="1" applyBorder="1" applyAlignment="1">
      <alignment horizontal="center" vertical="center"/>
    </xf>
    <xf numFmtId="0" fontId="3" fillId="6" borderId="30" xfId="2" applyFont="1" applyFill="1" applyBorder="1" applyAlignment="1">
      <alignment horizontal="center" vertical="center"/>
    </xf>
    <xf numFmtId="0" fontId="13" fillId="6" borderId="31" xfId="2" applyFont="1" applyFill="1" applyBorder="1" applyAlignment="1">
      <alignment horizontal="center" vertical="center"/>
    </xf>
    <xf numFmtId="0" fontId="13" fillId="6" borderId="32" xfId="2" applyFont="1" applyFill="1" applyBorder="1" applyAlignment="1">
      <alignment horizontal="center" vertical="center"/>
    </xf>
    <xf numFmtId="176" fontId="3" fillId="6" borderId="33" xfId="2" applyNumberFormat="1" applyFont="1" applyFill="1" applyBorder="1" applyAlignment="1">
      <alignment horizontal="center" vertical="center"/>
    </xf>
    <xf numFmtId="176" fontId="3" fillId="6" borderId="34" xfId="2" applyNumberFormat="1" applyFont="1" applyFill="1" applyBorder="1" applyAlignment="1">
      <alignment horizontal="center" vertical="center"/>
    </xf>
    <xf numFmtId="176" fontId="3" fillId="6" borderId="35" xfId="2" applyNumberFormat="1" applyFont="1" applyFill="1" applyBorder="1" applyAlignment="1">
      <alignment horizontal="center" vertical="center"/>
    </xf>
    <xf numFmtId="0" fontId="3" fillId="6" borderId="36" xfId="2" applyFont="1" applyFill="1" applyBorder="1" applyAlignment="1">
      <alignment horizontal="center" vertical="center"/>
    </xf>
    <xf numFmtId="0" fontId="3" fillId="6" borderId="37" xfId="2" applyFont="1" applyFill="1" applyBorder="1" applyAlignment="1">
      <alignment horizontal="center" vertical="center"/>
    </xf>
    <xf numFmtId="0" fontId="3" fillId="6" borderId="38" xfId="2" applyFont="1" applyFill="1" applyBorder="1" applyAlignment="1">
      <alignment horizontal="center" vertical="center"/>
    </xf>
    <xf numFmtId="0" fontId="12" fillId="5" borderId="49" xfId="2" applyFont="1" applyFill="1" applyBorder="1" applyAlignment="1">
      <alignment horizontal="center" vertical="center"/>
    </xf>
    <xf numFmtId="14" fontId="13" fillId="6" borderId="50" xfId="2" applyNumberFormat="1" applyFont="1" applyFill="1" applyBorder="1" applyAlignment="1">
      <alignment horizontal="left" vertical="top"/>
    </xf>
    <xf numFmtId="0" fontId="13" fillId="6" borderId="50" xfId="2" applyFont="1" applyFill="1" applyBorder="1" applyAlignment="1">
      <alignment horizontal="left" vertical="top"/>
    </xf>
    <xf numFmtId="0" fontId="13" fillId="6" borderId="50" xfId="2" applyFont="1" applyFill="1" applyBorder="1" applyAlignment="1">
      <alignment vertical="top"/>
    </xf>
    <xf numFmtId="0" fontId="13" fillId="6" borderId="50" xfId="2" applyFont="1" applyFill="1" applyBorder="1" applyAlignment="1">
      <alignment horizontal="center" vertical="top" wrapText="1"/>
    </xf>
    <xf numFmtId="49" fontId="13" fillId="6" borderId="50" xfId="2" applyNumberFormat="1" applyFont="1" applyFill="1" applyBorder="1" applyAlignment="1">
      <alignment horizontal="center" vertical="top"/>
    </xf>
    <xf numFmtId="49" fontId="13" fillId="6" borderId="50" xfId="2" quotePrefix="1" applyNumberFormat="1" applyFont="1" applyFill="1" applyBorder="1" applyAlignment="1">
      <alignment horizontal="center" vertical="top"/>
    </xf>
    <xf numFmtId="14" fontId="13" fillId="6" borderId="52" xfId="2" applyNumberFormat="1" applyFont="1" applyFill="1" applyBorder="1" applyAlignment="1">
      <alignment horizontal="left" vertical="top"/>
    </xf>
    <xf numFmtId="0" fontId="13" fillId="6" borderId="52" xfId="2" applyFont="1" applyFill="1" applyBorder="1" applyAlignment="1">
      <alignment horizontal="left" vertical="top"/>
    </xf>
    <xf numFmtId="0" fontId="13" fillId="6" borderId="52" xfId="2" applyFont="1" applyFill="1" applyBorder="1" applyAlignment="1">
      <alignment vertical="top"/>
    </xf>
    <xf numFmtId="0" fontId="13" fillId="6" borderId="52" xfId="2" applyFont="1" applyFill="1" applyBorder="1" applyAlignment="1">
      <alignment horizontal="center" vertical="top" wrapText="1"/>
    </xf>
    <xf numFmtId="49" fontId="13" fillId="6" borderId="52" xfId="2" applyNumberFormat="1" applyFont="1" applyFill="1" applyBorder="1" applyAlignment="1">
      <alignment horizontal="center" vertical="top"/>
    </xf>
    <xf numFmtId="0" fontId="13" fillId="6" borderId="84" xfId="2" applyFont="1" applyFill="1" applyBorder="1" applyAlignment="1">
      <alignment vertical="top"/>
    </xf>
    <xf numFmtId="0" fontId="13" fillId="6" borderId="84" xfId="2" applyFont="1" applyFill="1" applyBorder="1" applyAlignment="1">
      <alignment horizontal="center" vertical="top" wrapText="1"/>
    </xf>
    <xf numFmtId="0" fontId="13" fillId="6" borderId="83" xfId="2" applyFont="1" applyFill="1" applyBorder="1" applyAlignment="1">
      <alignment horizontal="center" vertical="top" wrapText="1"/>
    </xf>
    <xf numFmtId="0" fontId="13" fillId="6" borderId="82" xfId="2" applyFont="1" applyFill="1" applyBorder="1" applyAlignment="1">
      <alignment horizontal="center" vertical="top" wrapText="1"/>
    </xf>
    <xf numFmtId="49" fontId="13" fillId="6" borderId="84" xfId="2" applyNumberFormat="1" applyFont="1" applyFill="1" applyBorder="1" applyAlignment="1">
      <alignment horizontal="center" vertical="top"/>
    </xf>
    <xf numFmtId="49" fontId="13" fillId="6" borderId="83" xfId="2" applyNumberFormat="1" applyFont="1" applyFill="1" applyBorder="1" applyAlignment="1">
      <alignment horizontal="center" vertical="top"/>
    </xf>
    <xf numFmtId="49" fontId="13" fillId="6" borderId="82" xfId="2" applyNumberFormat="1" applyFont="1" applyFill="1" applyBorder="1" applyAlignment="1">
      <alignment horizontal="center" vertical="top"/>
    </xf>
    <xf numFmtId="0" fontId="3" fillId="0" borderId="9" xfId="2" applyFont="1" applyBorder="1" applyAlignment="1">
      <alignment horizontal="center" vertical="center"/>
    </xf>
    <xf numFmtId="0" fontId="3" fillId="0" borderId="8" xfId="2" applyFont="1" applyBorder="1" applyAlignment="1">
      <alignment horizontal="center" vertical="center"/>
    </xf>
    <xf numFmtId="0" fontId="3" fillId="0" borderId="7" xfId="2" applyFont="1" applyBorder="1" applyAlignment="1">
      <alignment horizontal="center" vertical="center"/>
    </xf>
    <xf numFmtId="0" fontId="3" fillId="0" borderId="3" xfId="2" applyFont="1" applyBorder="1" applyAlignment="1">
      <alignment horizontal="center" vertical="center"/>
    </xf>
    <xf numFmtId="0" fontId="3" fillId="0" borderId="3" xfId="2" applyFont="1" applyBorder="1" applyAlignment="1">
      <alignment horizontal="left" vertical="center"/>
    </xf>
    <xf numFmtId="0" fontId="3" fillId="0" borderId="9" xfId="2" applyFont="1" applyBorder="1" applyAlignment="1">
      <alignment horizontal="left" vertical="center"/>
    </xf>
    <xf numFmtId="0" fontId="3" fillId="0" borderId="8" xfId="2" applyFont="1" applyBorder="1" applyAlignment="1">
      <alignment horizontal="left" vertical="center"/>
    </xf>
    <xf numFmtId="0" fontId="3" fillId="0" borderId="7" xfId="2" applyFont="1" applyBorder="1" applyAlignment="1">
      <alignment horizontal="left" vertical="center"/>
    </xf>
    <xf numFmtId="0" fontId="10" fillId="4" borderId="59" xfId="0" applyFont="1" applyFill="1" applyBorder="1" applyAlignment="1">
      <alignment horizontal="center" vertical="center"/>
    </xf>
    <xf numFmtId="0" fontId="10" fillId="4" borderId="61" xfId="0" applyFont="1" applyFill="1" applyBorder="1" applyAlignment="1">
      <alignment horizontal="center" vertical="center"/>
    </xf>
    <xf numFmtId="0" fontId="3" fillId="0" borderId="3" xfId="2" applyFont="1" applyBorder="1" applyAlignment="1">
      <alignment horizontal="center" vertical="center" wrapText="1"/>
    </xf>
    <xf numFmtId="0" fontId="3" fillId="0" borderId="20" xfId="2" applyFont="1" applyBorder="1" applyAlignment="1">
      <alignment horizontal="left" vertical="center"/>
    </xf>
    <xf numFmtId="0" fontId="12" fillId="5" borderId="6" xfId="2" applyFont="1" applyFill="1" applyBorder="1" applyAlignment="1">
      <alignment horizontal="center" vertical="center"/>
    </xf>
    <xf numFmtId="0" fontId="12" fillId="5" borderId="5" xfId="2" applyFont="1" applyFill="1" applyBorder="1" applyAlignment="1">
      <alignment horizontal="center" vertical="center"/>
    </xf>
    <xf numFmtId="0" fontId="12" fillId="5" borderId="15" xfId="2" applyFont="1" applyFill="1" applyBorder="1" applyAlignment="1">
      <alignment horizontal="center" vertical="center"/>
    </xf>
    <xf numFmtId="0" fontId="12" fillId="5" borderId="2" xfId="2" applyFont="1" applyFill="1" applyBorder="1" applyAlignment="1">
      <alignment horizontal="center" vertical="center"/>
    </xf>
    <xf numFmtId="0" fontId="12" fillId="5" borderId="1" xfId="2" applyFont="1" applyFill="1" applyBorder="1" applyAlignment="1">
      <alignment horizontal="center" vertical="center"/>
    </xf>
    <xf numFmtId="0" fontId="12" fillId="5" borderId="19" xfId="2" applyFont="1" applyFill="1" applyBorder="1" applyAlignment="1">
      <alignment horizontal="center" vertical="center"/>
    </xf>
    <xf numFmtId="0" fontId="10" fillId="4" borderId="54" xfId="0" applyFont="1" applyFill="1" applyBorder="1" applyAlignment="1">
      <alignment horizontal="center" vertical="center"/>
    </xf>
    <xf numFmtId="0" fontId="10" fillId="4" borderId="58" xfId="0" applyFont="1" applyFill="1" applyBorder="1" applyAlignment="1">
      <alignment horizontal="center" vertical="center"/>
    </xf>
    <xf numFmtId="0" fontId="10" fillId="4" borderId="64" xfId="0" applyFont="1" applyFill="1" applyBorder="1" applyAlignment="1">
      <alignment horizontal="center" vertical="center"/>
    </xf>
    <xf numFmtId="0" fontId="10" fillId="4" borderId="56" xfId="0" applyFont="1" applyFill="1" applyBorder="1" applyAlignment="1">
      <alignment horizontal="center" vertical="center"/>
    </xf>
    <xf numFmtId="0" fontId="10" fillId="4" borderId="69" xfId="0" applyFont="1" applyFill="1" applyBorder="1" applyAlignment="1">
      <alignment horizontal="center" vertical="center"/>
    </xf>
    <xf numFmtId="0" fontId="10" fillId="4" borderId="65" xfId="0" applyFont="1" applyFill="1" applyBorder="1" applyAlignment="1">
      <alignment horizontal="center" vertical="center"/>
    </xf>
    <xf numFmtId="0" fontId="10" fillId="4" borderId="67" xfId="0" applyFont="1" applyFill="1" applyBorder="1" applyAlignment="1">
      <alignment horizontal="center" vertical="center"/>
    </xf>
    <xf numFmtId="0" fontId="10" fillId="4" borderId="68" xfId="0" applyFont="1" applyFill="1" applyBorder="1" applyAlignment="1">
      <alignment horizontal="center" vertical="center"/>
    </xf>
    <xf numFmtId="177" fontId="10" fillId="4" borderId="13" xfId="0" applyNumberFormat="1" applyFont="1" applyFill="1" applyBorder="1" applyAlignment="1">
      <alignment horizontal="center" vertical="center"/>
    </xf>
    <xf numFmtId="177" fontId="10" fillId="4" borderId="53" xfId="0" applyNumberFormat="1" applyFont="1" applyFill="1" applyBorder="1" applyAlignment="1">
      <alignment horizontal="center" vertical="center"/>
    </xf>
    <xf numFmtId="177" fontId="10" fillId="4" borderId="72" xfId="0" applyNumberFormat="1" applyFont="1" applyFill="1" applyBorder="1" applyAlignment="1">
      <alignment horizontal="center" vertical="center"/>
    </xf>
    <xf numFmtId="177" fontId="10" fillId="4" borderId="10" xfId="0" applyNumberFormat="1" applyFont="1" applyFill="1" applyBorder="1" applyAlignment="1">
      <alignment horizontal="center" vertical="center"/>
    </xf>
    <xf numFmtId="177" fontId="10" fillId="4" borderId="57" xfId="0" applyNumberFormat="1" applyFont="1" applyFill="1" applyBorder="1" applyAlignment="1">
      <alignment horizontal="center" vertical="center"/>
    </xf>
    <xf numFmtId="177" fontId="10" fillId="4" borderId="73" xfId="0" applyNumberFormat="1" applyFont="1" applyFill="1" applyBorder="1" applyAlignment="1">
      <alignment horizontal="center" vertical="center"/>
    </xf>
    <xf numFmtId="177" fontId="10" fillId="4" borderId="12" xfId="0" applyNumberFormat="1" applyFont="1" applyFill="1" applyBorder="1" applyAlignment="1">
      <alignment horizontal="center" vertical="center"/>
    </xf>
    <xf numFmtId="177" fontId="10" fillId="4" borderId="71" xfId="0" applyNumberFormat="1" applyFont="1" applyFill="1" applyBorder="1" applyAlignment="1">
      <alignment horizontal="center" vertical="center"/>
    </xf>
    <xf numFmtId="0" fontId="10" fillId="4" borderId="55"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60" xfId="0" applyFont="1" applyFill="1" applyBorder="1" applyAlignment="1">
      <alignment horizontal="center" vertical="center"/>
    </xf>
    <xf numFmtId="0" fontId="10" fillId="4" borderId="20" xfId="0" applyFont="1" applyFill="1" applyBorder="1" applyAlignment="1">
      <alignment horizontal="center" vertical="center"/>
    </xf>
    <xf numFmtId="0" fontId="10" fillId="4" borderId="62" xfId="0" applyFont="1" applyFill="1" applyBorder="1" applyAlignment="1">
      <alignment horizontal="center" vertical="center"/>
    </xf>
    <xf numFmtId="0" fontId="10" fillId="4" borderId="63" xfId="0" applyFont="1" applyFill="1" applyBorder="1" applyAlignment="1">
      <alignment horizontal="center" vertical="center"/>
    </xf>
    <xf numFmtId="0" fontId="3" fillId="7" borderId="9" xfId="2" applyFont="1" applyFill="1" applyBorder="1" applyAlignment="1">
      <alignment horizontal="center" vertical="center"/>
    </xf>
    <xf numFmtId="0" fontId="3" fillId="7" borderId="7" xfId="2" applyFont="1" applyFill="1" applyBorder="1" applyAlignment="1">
      <alignment horizontal="center" vertical="center"/>
    </xf>
    <xf numFmtId="0" fontId="3" fillId="8" borderId="9" xfId="2" applyFont="1" applyFill="1" applyBorder="1" applyAlignment="1">
      <alignment horizontal="center" vertical="center"/>
    </xf>
    <xf numFmtId="0" fontId="3" fillId="8" borderId="8" xfId="2" applyFont="1" applyFill="1" applyBorder="1" applyAlignment="1">
      <alignment horizontal="center" vertical="center"/>
    </xf>
    <xf numFmtId="0" fontId="3" fillId="8" borderId="7" xfId="2" applyFont="1" applyFill="1" applyBorder="1" applyAlignment="1">
      <alignment horizontal="center" vertical="center"/>
    </xf>
    <xf numFmtId="0" fontId="3" fillId="8" borderId="9" xfId="2" applyFont="1" applyFill="1" applyBorder="1" applyAlignment="1">
      <alignment horizontal="center" vertical="center" wrapText="1"/>
    </xf>
    <xf numFmtId="0" fontId="3" fillId="7" borderId="3" xfId="2" applyFont="1" applyFill="1" applyBorder="1" applyAlignment="1">
      <alignment horizontal="center" vertical="center"/>
    </xf>
    <xf numFmtId="0" fontId="3" fillId="7" borderId="3" xfId="2" applyFont="1" applyFill="1" applyBorder="1" applyAlignment="1">
      <alignment horizontal="left" vertical="center"/>
    </xf>
    <xf numFmtId="0" fontId="3" fillId="7" borderId="8" xfId="2" applyFont="1" applyFill="1" applyBorder="1" applyAlignment="1">
      <alignment horizontal="center" vertical="center"/>
    </xf>
    <xf numFmtId="0" fontId="3" fillId="0" borderId="9" xfId="2" applyFont="1" applyBorder="1" applyAlignment="1">
      <alignment horizontal="center" vertical="center" wrapText="1"/>
    </xf>
    <xf numFmtId="0" fontId="3" fillId="0" borderId="9" xfId="2" applyFont="1" applyBorder="1" applyAlignment="1">
      <alignment horizontal="center" vertical="top" wrapText="1"/>
    </xf>
    <xf numFmtId="0" fontId="3" fillId="0" borderId="8" xfId="2" applyFont="1" applyBorder="1" applyAlignment="1">
      <alignment horizontal="center" vertical="top"/>
    </xf>
    <xf numFmtId="0" fontId="3" fillId="0" borderId="7" xfId="2" applyFont="1" applyBorder="1" applyAlignment="1">
      <alignment horizontal="center" vertical="top"/>
    </xf>
    <xf numFmtId="0" fontId="3" fillId="8" borderId="3" xfId="2" applyFont="1" applyFill="1" applyBorder="1" applyAlignment="1">
      <alignment horizontal="left" vertical="center"/>
    </xf>
    <xf numFmtId="0" fontId="3" fillId="8" borderId="3" xfId="2" applyFont="1" applyFill="1" applyBorder="1" applyAlignment="1">
      <alignment horizontal="center" vertical="center"/>
    </xf>
    <xf numFmtId="49" fontId="10" fillId="4" borderId="13" xfId="0" applyNumberFormat="1" applyFont="1" applyFill="1" applyBorder="1" applyAlignment="1">
      <alignment horizontal="center" vertical="center"/>
    </xf>
    <xf numFmtId="49" fontId="10" fillId="4" borderId="12" xfId="0" applyNumberFormat="1" applyFont="1" applyFill="1" applyBorder="1" applyAlignment="1">
      <alignment horizontal="center" vertical="center"/>
    </xf>
    <xf numFmtId="49" fontId="10" fillId="4" borderId="60" xfId="0" applyNumberFormat="1" applyFont="1" applyFill="1" applyBorder="1" applyAlignment="1">
      <alignment horizontal="center" vertical="center"/>
    </xf>
    <xf numFmtId="49" fontId="10" fillId="4" borderId="21" xfId="0" applyNumberFormat="1" applyFont="1" applyFill="1" applyBorder="1" applyAlignment="1">
      <alignment horizontal="center" vertical="center"/>
    </xf>
    <xf numFmtId="49" fontId="10" fillId="4" borderId="20" xfId="0" applyNumberFormat="1" applyFont="1" applyFill="1" applyBorder="1" applyAlignment="1">
      <alignment horizontal="center" vertical="center"/>
    </xf>
    <xf numFmtId="49" fontId="10" fillId="4" borderId="61" xfId="0" applyNumberFormat="1" applyFont="1" applyFill="1" applyBorder="1" applyAlignment="1">
      <alignment horizontal="center" vertical="center"/>
    </xf>
    <xf numFmtId="0" fontId="10" fillId="4" borderId="76" xfId="0" applyFont="1" applyFill="1" applyBorder="1" applyAlignment="1">
      <alignment horizontal="center" vertical="center"/>
    </xf>
    <xf numFmtId="0" fontId="10" fillId="4" borderId="77" xfId="0" applyFont="1" applyFill="1" applyBorder="1" applyAlignment="1">
      <alignment horizontal="center" vertical="center"/>
    </xf>
    <xf numFmtId="0" fontId="10" fillId="4" borderId="12" xfId="0" applyFont="1" applyFill="1" applyBorder="1" applyAlignment="1">
      <alignment horizontal="center" vertical="center" wrapText="1"/>
    </xf>
    <xf numFmtId="0" fontId="10" fillId="4" borderId="60" xfId="0" applyFont="1" applyFill="1" applyBorder="1" applyAlignment="1">
      <alignment horizontal="center" vertical="center" wrapText="1"/>
    </xf>
    <xf numFmtId="0" fontId="10" fillId="4" borderId="20" xfId="0" applyFont="1" applyFill="1" applyBorder="1" applyAlignment="1">
      <alignment horizontal="center" vertical="center" wrapText="1"/>
    </xf>
    <xf numFmtId="0" fontId="10" fillId="4" borderId="61" xfId="0" applyFont="1" applyFill="1" applyBorder="1" applyAlignment="1">
      <alignment horizontal="center" vertical="center" wrapText="1"/>
    </xf>
    <xf numFmtId="0" fontId="3" fillId="8" borderId="9" xfId="2" applyFont="1" applyFill="1" applyBorder="1" applyAlignment="1">
      <alignment horizontal="left" vertical="center"/>
    </xf>
    <xf numFmtId="0" fontId="3" fillId="8" borderId="8" xfId="2" applyFont="1" applyFill="1" applyBorder="1" applyAlignment="1">
      <alignment horizontal="left" vertical="center"/>
    </xf>
    <xf numFmtId="0" fontId="3" fillId="8" borderId="7" xfId="2" applyFont="1" applyFill="1" applyBorder="1" applyAlignment="1">
      <alignment horizontal="left" vertical="center"/>
    </xf>
    <xf numFmtId="0" fontId="3" fillId="8" borderId="9" xfId="2" applyFont="1" applyFill="1" applyBorder="1" applyAlignment="1">
      <alignment horizontal="center" vertical="top" wrapText="1"/>
    </xf>
    <xf numFmtId="0" fontId="3" fillId="8" borderId="8" xfId="2" applyFont="1" applyFill="1" applyBorder="1" applyAlignment="1">
      <alignment horizontal="center" vertical="top"/>
    </xf>
    <xf numFmtId="0" fontId="3" fillId="8" borderId="7" xfId="2" applyFont="1" applyFill="1" applyBorder="1" applyAlignment="1">
      <alignment horizontal="center" vertical="top"/>
    </xf>
    <xf numFmtId="0" fontId="3" fillId="8" borderId="3" xfId="2" applyFont="1" applyFill="1" applyBorder="1" applyAlignment="1">
      <alignment horizontal="left" vertical="center" wrapText="1"/>
    </xf>
    <xf numFmtId="0" fontId="3" fillId="0" borderId="8" xfId="2" applyFont="1" applyBorder="1" applyAlignment="1">
      <alignment horizontal="center" vertical="center" wrapText="1"/>
    </xf>
    <xf numFmtId="0" fontId="3" fillId="0" borderId="7" xfId="2" applyFont="1" applyBorder="1" applyAlignment="1">
      <alignment horizontal="center" vertical="center" wrapText="1"/>
    </xf>
    <xf numFmtId="0" fontId="23" fillId="0" borderId="9" xfId="2" applyFont="1" applyBorder="1" applyAlignment="1">
      <alignment horizontal="center" vertical="center"/>
    </xf>
    <xf numFmtId="0" fontId="23" fillId="0" borderId="8" xfId="2" applyFont="1" applyBorder="1" applyAlignment="1">
      <alignment horizontal="center" vertical="center"/>
    </xf>
    <xf numFmtId="0" fontId="23" fillId="0" borderId="7" xfId="2" applyFont="1" applyBorder="1" applyAlignment="1">
      <alignment horizontal="center" vertical="center"/>
    </xf>
    <xf numFmtId="0" fontId="3" fillId="0" borderId="13"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11" xfId="2" applyFont="1" applyBorder="1" applyAlignment="1">
      <alignment horizontal="center" vertical="center" wrapText="1"/>
    </xf>
    <xf numFmtId="6" fontId="3" fillId="0" borderId="9" xfId="4" applyFont="1" applyBorder="1" applyAlignment="1">
      <alignment horizontal="center" vertical="center"/>
    </xf>
    <xf numFmtId="6" fontId="3" fillId="0" borderId="7" xfId="4" applyFont="1" applyBorder="1" applyAlignment="1">
      <alignment horizontal="center" vertical="center"/>
    </xf>
    <xf numFmtId="49" fontId="6" fillId="3" borderId="8" xfId="0" applyNumberFormat="1" applyFont="1" applyFill="1" applyBorder="1" applyAlignment="1">
      <alignment horizontal="center" vertical="center"/>
    </xf>
    <xf numFmtId="0" fontId="10" fillId="4" borderId="55" xfId="0" applyFont="1" applyFill="1" applyBorder="1" applyAlignment="1">
      <alignment horizontal="center" vertical="center" wrapText="1"/>
    </xf>
    <xf numFmtId="0" fontId="10" fillId="4" borderId="59" xfId="0" applyFont="1" applyFill="1" applyBorder="1" applyAlignment="1">
      <alignment horizontal="center" vertical="center" wrapText="1"/>
    </xf>
    <xf numFmtId="49" fontId="6" fillId="2" borderId="8" xfId="0" applyNumberFormat="1" applyFont="1" applyFill="1" applyBorder="1" applyAlignment="1">
      <alignment horizontal="center" vertical="center"/>
    </xf>
    <xf numFmtId="0" fontId="3" fillId="0" borderId="9" xfId="2" applyFont="1" applyBorder="1" applyAlignment="1">
      <alignment horizontal="center"/>
    </xf>
    <xf numFmtId="0" fontId="3" fillId="0" borderId="7" xfId="2" applyFont="1" applyBorder="1" applyAlignment="1">
      <alignment horizontal="center"/>
    </xf>
    <xf numFmtId="49" fontId="10" fillId="4" borderId="53" xfId="0" applyNumberFormat="1" applyFont="1" applyFill="1" applyBorder="1" applyAlignment="1">
      <alignment horizontal="center" vertical="center"/>
    </xf>
    <xf numFmtId="49" fontId="10" fillId="4" borderId="71" xfId="0" applyNumberFormat="1" applyFont="1" applyFill="1" applyBorder="1" applyAlignment="1">
      <alignment horizontal="center" vertical="center"/>
    </xf>
    <xf numFmtId="49" fontId="10" fillId="4" borderId="57" xfId="0" applyNumberFormat="1" applyFont="1" applyFill="1" applyBorder="1" applyAlignment="1">
      <alignment horizontal="center" vertical="center"/>
    </xf>
    <xf numFmtId="0" fontId="3" fillId="0" borderId="3" xfId="2" applyFont="1" applyBorder="1" applyAlignment="1">
      <alignment horizontal="left" vertical="center" wrapText="1"/>
    </xf>
    <xf numFmtId="49" fontId="6" fillId="2" borderId="9"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0" fontId="3" fillId="3" borderId="9" xfId="2" applyFont="1" applyFill="1" applyBorder="1" applyAlignment="1">
      <alignment horizontal="left" vertical="center"/>
    </xf>
    <xf numFmtId="0" fontId="3" fillId="3" borderId="8" xfId="2" applyFont="1" applyFill="1" applyBorder="1" applyAlignment="1">
      <alignment horizontal="left" vertical="center"/>
    </xf>
    <xf numFmtId="0" fontId="3" fillId="3" borderId="7" xfId="2" applyFont="1" applyFill="1" applyBorder="1" applyAlignment="1">
      <alignment horizontal="left" vertical="center"/>
    </xf>
    <xf numFmtId="49" fontId="10" fillId="4" borderId="72" xfId="0" applyNumberFormat="1" applyFont="1" applyFill="1" applyBorder="1" applyAlignment="1">
      <alignment horizontal="center" vertical="center"/>
    </xf>
    <xf numFmtId="49" fontId="10" fillId="4" borderId="10" xfId="0" applyNumberFormat="1" applyFont="1" applyFill="1" applyBorder="1" applyAlignment="1">
      <alignment horizontal="center" vertical="center"/>
    </xf>
    <xf numFmtId="49" fontId="10" fillId="4" borderId="73" xfId="0" applyNumberFormat="1" applyFont="1" applyFill="1" applyBorder="1" applyAlignment="1">
      <alignment horizontal="center" vertical="center"/>
    </xf>
    <xf numFmtId="49" fontId="6" fillId="3" borderId="7" xfId="0" applyNumberFormat="1" applyFont="1" applyFill="1" applyBorder="1" applyAlignment="1">
      <alignment horizontal="center" vertical="center"/>
    </xf>
    <xf numFmtId="0" fontId="3" fillId="0" borderId="8" xfId="2" applyFont="1" applyBorder="1" applyAlignment="1">
      <alignment horizontal="center"/>
    </xf>
    <xf numFmtId="6" fontId="3" fillId="0" borderId="9" xfId="4" applyFont="1" applyFill="1" applyBorder="1" applyAlignment="1">
      <alignment horizontal="center" vertical="center"/>
    </xf>
    <xf numFmtId="6" fontId="3" fillId="0" borderId="7" xfId="4" applyFont="1" applyFill="1" applyBorder="1" applyAlignment="1">
      <alignment horizontal="center" vertical="center"/>
    </xf>
    <xf numFmtId="0" fontId="10" fillId="4" borderId="70"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74" xfId="0" applyFont="1" applyFill="1" applyBorder="1" applyAlignment="1">
      <alignment horizontal="center" vertical="center" wrapText="1"/>
    </xf>
    <xf numFmtId="0" fontId="10" fillId="4" borderId="79" xfId="0" applyFont="1" applyFill="1" applyBorder="1" applyAlignment="1">
      <alignment horizontal="center" vertical="center"/>
    </xf>
    <xf numFmtId="0" fontId="10" fillId="4" borderId="80" xfId="0" applyFont="1" applyFill="1" applyBorder="1" applyAlignment="1">
      <alignment horizontal="center" vertical="center"/>
    </xf>
    <xf numFmtId="0" fontId="10" fillId="4" borderId="81" xfId="0" applyFont="1" applyFill="1" applyBorder="1" applyAlignment="1">
      <alignment horizontal="center" vertical="center"/>
    </xf>
    <xf numFmtId="49" fontId="6" fillId="3" borderId="9" xfId="0" applyNumberFormat="1" applyFont="1" applyFill="1" applyBorder="1" applyAlignment="1">
      <alignment horizontal="center" vertical="center"/>
    </xf>
    <xf numFmtId="0" fontId="23" fillId="0" borderId="3" xfId="2" applyFont="1" applyBorder="1" applyAlignment="1">
      <alignment horizontal="center" vertical="center"/>
    </xf>
    <xf numFmtId="0" fontId="23" fillId="0" borderId="9" xfId="2" applyFont="1" applyBorder="1" applyAlignment="1">
      <alignment horizontal="center" vertical="center" wrapText="1"/>
    </xf>
    <xf numFmtId="0" fontId="3" fillId="0" borderId="0" xfId="2" applyFont="1" applyAlignment="1">
      <alignment horizontal="left" vertical="center"/>
    </xf>
    <xf numFmtId="0" fontId="3" fillId="0" borderId="13" xfId="2" applyFont="1" applyBorder="1" applyAlignment="1">
      <alignment horizontal="left" vertical="top" wrapText="1"/>
    </xf>
    <xf numFmtId="0" fontId="3" fillId="0" borderId="12" xfId="2" applyFont="1" applyBorder="1" applyAlignment="1">
      <alignment horizontal="left" vertical="top" wrapText="1"/>
    </xf>
    <xf numFmtId="0" fontId="3" fillId="0" borderId="11" xfId="2" applyFont="1" applyBorder="1" applyAlignment="1">
      <alignment horizontal="left" vertical="top" wrapText="1"/>
    </xf>
    <xf numFmtId="0" fontId="3" fillId="0" borderId="22" xfId="2" applyFont="1" applyBorder="1" applyAlignment="1">
      <alignment horizontal="left" vertical="top" wrapText="1"/>
    </xf>
    <xf numFmtId="0" fontId="3" fillId="0" borderId="0" xfId="2" applyFont="1" applyAlignment="1">
      <alignment horizontal="left" vertical="top" wrapText="1"/>
    </xf>
    <xf numFmtId="0" fontId="3" fillId="0" borderId="4" xfId="2" applyFont="1" applyBorder="1" applyAlignment="1">
      <alignment horizontal="left" vertical="top" wrapText="1"/>
    </xf>
    <xf numFmtId="0" fontId="3" fillId="0" borderId="21" xfId="2" applyFont="1" applyBorder="1" applyAlignment="1">
      <alignment horizontal="left" vertical="top" wrapText="1"/>
    </xf>
    <xf numFmtId="0" fontId="3" fillId="0" borderId="20" xfId="2" applyFont="1" applyBorder="1" applyAlignment="1">
      <alignment horizontal="left" vertical="top" wrapText="1"/>
    </xf>
    <xf numFmtId="0" fontId="3" fillId="0" borderId="14" xfId="2" applyFont="1" applyBorder="1" applyAlignment="1">
      <alignment horizontal="left" vertical="top" wrapText="1"/>
    </xf>
    <xf numFmtId="0" fontId="10" fillId="4" borderId="11"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66" xfId="0" applyFont="1" applyFill="1" applyBorder="1" applyAlignment="1">
      <alignment horizontal="center" vertical="center"/>
    </xf>
    <xf numFmtId="0" fontId="3" fillId="0" borderId="9" xfId="2" applyFont="1" applyBorder="1" applyAlignment="1">
      <alignment vertical="center"/>
    </xf>
    <xf numFmtId="0" fontId="3" fillId="9" borderId="9" xfId="2" applyFont="1" applyFill="1" applyBorder="1" applyAlignment="1">
      <alignment horizontal="center" vertical="center"/>
    </xf>
    <xf numFmtId="0" fontId="3" fillId="9" borderId="7" xfId="2" applyFont="1" applyFill="1" applyBorder="1" applyAlignment="1">
      <alignment horizontal="center" vertical="center"/>
    </xf>
    <xf numFmtId="0" fontId="3" fillId="0" borderId="13" xfId="2" applyFont="1" applyBorder="1" applyAlignment="1">
      <alignment vertical="top" wrapText="1"/>
    </xf>
    <xf numFmtId="0" fontId="0" fillId="0" borderId="12" xfId="0" applyBorder="1" applyAlignment="1">
      <alignment vertical="top" wrapText="1"/>
    </xf>
    <xf numFmtId="0" fontId="0" fillId="0" borderId="11" xfId="0" applyBorder="1" applyAlignment="1">
      <alignment vertical="top" wrapText="1"/>
    </xf>
    <xf numFmtId="0" fontId="3" fillId="0" borderId="13" xfId="2" applyFont="1" applyBorder="1" applyAlignment="1">
      <alignment vertical="center" wrapText="1"/>
    </xf>
    <xf numFmtId="0" fontId="0" fillId="0" borderId="12" xfId="0" applyBorder="1" applyAlignment="1">
      <alignment vertical="center" wrapText="1"/>
    </xf>
    <xf numFmtId="0" fontId="0" fillId="0" borderId="11" xfId="0" applyBorder="1" applyAlignment="1">
      <alignment vertical="center" wrapText="1"/>
    </xf>
    <xf numFmtId="0" fontId="3" fillId="9" borderId="9" xfId="2" applyFont="1" applyFill="1" applyBorder="1" applyAlignment="1">
      <alignment vertical="center"/>
    </xf>
    <xf numFmtId="0" fontId="3" fillId="9" borderId="8" xfId="2" applyFont="1" applyFill="1" applyBorder="1" applyAlignment="1">
      <alignment horizontal="center" vertical="center"/>
    </xf>
    <xf numFmtId="0" fontId="3" fillId="9" borderId="3" xfId="2" applyFont="1" applyFill="1" applyBorder="1" applyAlignment="1">
      <alignment horizontal="left" vertical="center"/>
    </xf>
    <xf numFmtId="0" fontId="3" fillId="0" borderId="9" xfId="2" applyFont="1" applyBorder="1" applyAlignment="1">
      <alignment vertical="center" wrapText="1"/>
    </xf>
    <xf numFmtId="0" fontId="3" fillId="0" borderId="8" xfId="2" applyFont="1" applyBorder="1" applyAlignment="1">
      <alignment vertical="center" wrapText="1"/>
    </xf>
    <xf numFmtId="0" fontId="3" fillId="0" borderId="7" xfId="2" applyFont="1" applyBorder="1" applyAlignment="1">
      <alignment vertical="center" wrapText="1"/>
    </xf>
    <xf numFmtId="0" fontId="3" fillId="0" borderId="9" xfId="2" applyFont="1" applyBorder="1" applyAlignment="1">
      <alignment horizontal="left" vertical="top" wrapText="1"/>
    </xf>
    <xf numFmtId="0" fontId="3" fillId="0" borderId="8" xfId="2" applyFont="1" applyBorder="1" applyAlignment="1">
      <alignment horizontal="left" vertical="top" wrapText="1"/>
    </xf>
    <xf numFmtId="0" fontId="3" fillId="0" borderId="7" xfId="2" applyFont="1" applyBorder="1" applyAlignment="1">
      <alignment horizontal="left" vertical="top" wrapText="1"/>
    </xf>
    <xf numFmtId="0" fontId="10" fillId="4" borderId="59" xfId="0" applyFont="1" applyFill="1" applyBorder="1" applyAlignment="1">
      <alignment horizontal="center" vertical="center" shrinkToFit="1"/>
    </xf>
    <xf numFmtId="0" fontId="10" fillId="4" borderId="61" xfId="0" applyFont="1" applyFill="1" applyBorder="1" applyAlignment="1">
      <alignment horizontal="center" vertical="center" shrinkToFit="1"/>
    </xf>
    <xf numFmtId="0" fontId="3" fillId="8" borderId="8" xfId="2" applyFont="1" applyFill="1" applyBorder="1" applyAlignment="1">
      <alignment horizontal="center" vertical="center" wrapText="1"/>
    </xf>
    <xf numFmtId="0" fontId="3" fillId="8" borderId="7" xfId="2" applyFont="1" applyFill="1" applyBorder="1" applyAlignment="1">
      <alignment horizontal="center" vertical="center" wrapText="1"/>
    </xf>
    <xf numFmtId="0" fontId="0" fillId="0" borderId="8" xfId="0" applyBorder="1" applyAlignment="1">
      <alignment vertical="center"/>
    </xf>
    <xf numFmtId="0" fontId="0" fillId="0" borderId="7" xfId="0" applyBorder="1" applyAlignment="1">
      <alignment vertical="center"/>
    </xf>
    <xf numFmtId="0" fontId="0" fillId="9" borderId="8" xfId="0" applyFill="1" applyBorder="1" applyAlignment="1">
      <alignment vertical="center"/>
    </xf>
    <xf numFmtId="0" fontId="0" fillId="9" borderId="7" xfId="0" applyFill="1" applyBorder="1" applyAlignment="1">
      <alignment vertical="center"/>
    </xf>
  </cellXfs>
  <cellStyles count="21">
    <cellStyle name="アクセント 1 2" xfId="5" xr:uid="{5C283F7B-BDC7-415D-9C9B-33EBAB7D81FF}"/>
    <cellStyle name="アクセント 2 2" xfId="6" xr:uid="{6E1AC22C-57CC-4266-8E62-0410FBB2C379}"/>
    <cellStyle name="アクセント 3 2" xfId="7" xr:uid="{D5BC1A3B-C33C-4EF1-AD37-D9069FC198D0}"/>
    <cellStyle name="アクセント 4 2" xfId="8" xr:uid="{A3522ED4-2414-4B11-BDBA-1AECCE5F8A1D}"/>
    <cellStyle name="アクセント 5 2" xfId="9" xr:uid="{98CF3030-5C1B-4E9A-8C36-53B4750337A2}"/>
    <cellStyle name="アクセント 6 2" xfId="10" xr:uid="{97168631-7A39-4081-9C72-45FEB8C2CBF2}"/>
    <cellStyle name="桁区切り 2" xfId="14" xr:uid="{65FDFD94-0D4C-47E9-9BAE-24BEBF42BC25}"/>
    <cellStyle name="桁区切り 2 2" xfId="19" xr:uid="{C245FC78-F976-4B6E-AE33-172DFA6654EE}"/>
    <cellStyle name="通貨" xfId="4" builtinId="7"/>
    <cellStyle name="標準" xfId="0" builtinId="0"/>
    <cellStyle name="標準 2" xfId="11" xr:uid="{DC553301-C6FB-4080-A714-0AC023FE46F9}"/>
    <cellStyle name="標準 2 2" xfId="12" xr:uid="{AA08D3C9-5ADB-4BBD-B338-32C5D3935E73}"/>
    <cellStyle name="標準 2 2 2" xfId="2" xr:uid="{8ABA3802-0ACD-4AF2-B9AB-BB250CC1869F}"/>
    <cellStyle name="標準 3" xfId="1" xr:uid="{19E4D4A5-266A-409C-9CA0-EDB15B0CE2C2}"/>
    <cellStyle name="標準 4" xfId="13" xr:uid="{D5FCEA80-7683-4923-9DBF-CF0CA2373C1C}"/>
    <cellStyle name="標準 4 2" xfId="17" xr:uid="{1748EC90-66BC-42B9-A18C-7CC5E1C18680}"/>
    <cellStyle name="標準 4 3" xfId="18" xr:uid="{FDD1DAD7-FC79-4E89-8B79-311ABA9158EA}"/>
    <cellStyle name="標準 5" xfId="16" xr:uid="{D144870D-E460-4CA3-97D5-3FB6364B95FE}"/>
    <cellStyle name="標準 6" xfId="3" xr:uid="{108A9AB1-C5AA-44DE-8ABD-B1EB20BEFEFE}"/>
    <cellStyle name="標準 7 3" xfId="15" xr:uid="{C6673197-3842-42B9-B903-6F323AD71E4F}"/>
    <cellStyle name="標準 7 3 2" xfId="20" xr:uid="{8D16DF70-8B84-4071-B666-CA06CB09C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35</xdr:col>
      <xdr:colOff>45044</xdr:colOff>
      <xdr:row>142</xdr:row>
      <xdr:rowOff>5760</xdr:rowOff>
    </xdr:from>
    <xdr:to>
      <xdr:col>42</xdr:col>
      <xdr:colOff>67634</xdr:colOff>
      <xdr:row>145</xdr:row>
      <xdr:rowOff>50044</xdr:rowOff>
    </xdr:to>
    <xdr:sp macro="" textlink="">
      <xdr:nvSpPr>
        <xdr:cNvPr id="2" name="正方形/長方形 1">
          <a:extLst>
            <a:ext uri="{FF2B5EF4-FFF2-40B4-BE49-F238E27FC236}">
              <a16:creationId xmlns:a16="http://schemas.microsoft.com/office/drawing/2014/main" id="{C11F4149-E66B-4205-9B21-9F4D62AA55A3}"/>
            </a:ext>
          </a:extLst>
        </xdr:cNvPr>
        <xdr:cNvSpPr/>
      </xdr:nvSpPr>
      <xdr:spPr>
        <a:xfrm>
          <a:off x="8020644" y="13763035"/>
          <a:ext cx="1340215" cy="5522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35</xdr:col>
      <xdr:colOff>45044</xdr:colOff>
      <xdr:row>150</xdr:row>
      <xdr:rowOff>5760</xdr:rowOff>
    </xdr:from>
    <xdr:to>
      <xdr:col>42</xdr:col>
      <xdr:colOff>67634</xdr:colOff>
      <xdr:row>153</xdr:row>
      <xdr:rowOff>50044</xdr:rowOff>
    </xdr:to>
    <xdr:sp macro="" textlink="">
      <xdr:nvSpPr>
        <xdr:cNvPr id="3" name="正方形/長方形 2">
          <a:extLst>
            <a:ext uri="{FF2B5EF4-FFF2-40B4-BE49-F238E27FC236}">
              <a16:creationId xmlns:a16="http://schemas.microsoft.com/office/drawing/2014/main" id="{DF8FC2D3-03C5-4043-9F7C-A9906E06A0F1}"/>
            </a:ext>
          </a:extLst>
        </xdr:cNvPr>
        <xdr:cNvSpPr/>
      </xdr:nvSpPr>
      <xdr:spPr>
        <a:xfrm>
          <a:off x="8020644" y="15134635"/>
          <a:ext cx="1340215" cy="5522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kumimoji="1" lang="ja-JP" altLang="en-US" sz="9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26</xdr:row>
      <xdr:rowOff>0</xdr:rowOff>
    </xdr:from>
    <xdr:to>
      <xdr:col>60</xdr:col>
      <xdr:colOff>0</xdr:colOff>
      <xdr:row>27</xdr:row>
      <xdr:rowOff>0</xdr:rowOff>
    </xdr:to>
    <xdr:sp macro="" textlink="">
      <xdr:nvSpPr>
        <xdr:cNvPr id="2" name="正方形/長方形 1">
          <a:extLst>
            <a:ext uri="{FF2B5EF4-FFF2-40B4-BE49-F238E27FC236}">
              <a16:creationId xmlns:a16="http://schemas.microsoft.com/office/drawing/2014/main" id="{AF2DECAC-DA09-45A1-A6AB-719246F0E7DA}"/>
            </a:ext>
          </a:extLst>
        </xdr:cNvPr>
        <xdr:cNvSpPr/>
      </xdr:nvSpPr>
      <xdr:spPr>
        <a:xfrm>
          <a:off x="198120" y="4541520"/>
          <a:ext cx="14516100" cy="182880"/>
        </a:xfrm>
        <a:prstGeom prst="rect">
          <a:avLst/>
        </a:prstGeom>
        <a:solidFill>
          <a:schemeClr val="bg1">
            <a:lumMod val="75000"/>
            <a:alpha val="70000"/>
          </a:schemeClr>
        </a:solidFill>
        <a:ln>
          <a:solidFill>
            <a:schemeClr val="bg1">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200" b="1" kern="1200">
              <a:solidFill>
                <a:srgbClr val="002060"/>
              </a:solidFill>
            </a:rPr>
            <a:t>FO</a:t>
          </a:r>
          <a:r>
            <a:rPr kumimoji="1" lang="ja-JP" altLang="en-US" sz="1200" b="1" kern="1200">
              <a:solidFill>
                <a:srgbClr val="002060"/>
              </a:solidFill>
            </a:rPr>
            <a:t>から</a:t>
          </a:r>
          <a:r>
            <a:rPr kumimoji="1" lang="en-US" altLang="ja-JP" sz="1200" b="1" kern="1200">
              <a:solidFill>
                <a:srgbClr val="002060"/>
              </a:solidFill>
            </a:rPr>
            <a:t>i-PLATS</a:t>
          </a:r>
          <a:r>
            <a:rPr kumimoji="1" lang="ja-JP" altLang="en-US" sz="1200" b="1" kern="1200">
              <a:solidFill>
                <a:srgbClr val="002060"/>
              </a:solidFill>
            </a:rPr>
            <a:t>への販売実績データ連携は実施しない可能性があるため、グレーアウトする。確定次第行ごと削除予定</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jbsbpos1.sharepoint.com/sites/msteams_358ee9/Shared%20Documents/General/02_Branch2/04_&#35201;&#20214;&#23450;&#32681;/03_ToBe&#26989;&#21209;&#12501;&#12525;&#12540;&#65288;&#32232;&#38598;&#29992;&#65289;/&#12304;&#12469;&#12531;&#12473;&#12479;&#12540;&#27096;Branch2&#12305;ToBe&#26989;&#21209;&#19968;&#35239;.xlsx" TargetMode="External"/><Relationship Id="rId1" Type="http://schemas.openxmlformats.org/officeDocument/2006/relationships/externalLinkPath" Target="https://jbsbpos1.sharepoint.com/sites/msteams_358ee9/Shared%20Documents/General/02_Branch2/04_&#35201;&#20214;&#23450;&#32681;/03_ToBe&#26989;&#21209;&#12501;&#12525;&#12540;&#65288;&#32232;&#38598;&#29992;&#65289;/&#12304;&#12469;&#12531;&#12473;&#12479;&#12540;&#27096;Branch2&#12305;ToBe&#26989;&#21209;&#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変更履歴"/>
      <sheetName val="Branch2"/>
    </sheetNames>
    <sheetDataSet>
      <sheetData sheetId="0" refreshError="1"/>
      <sheetData sheetId="1">
        <row r="1">
          <cell r="F1" t="str">
            <v>会計システム刷新プロジェクト（LIBRA）Branch2</v>
          </cell>
        </row>
        <row r="2">
          <cell r="F2" t="str">
            <v>To-Be業務一覧</v>
          </cell>
          <cell r="AT2">
            <v>45650</v>
          </cell>
          <cell r="BA2" t="str">
            <v>JBS北井</v>
          </cell>
        </row>
        <row r="3">
          <cell r="AT3">
            <v>45650</v>
          </cell>
          <cell r="BA3" t="str">
            <v>JBS北井</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FEB5-5F94-4B2D-A6B0-6C69003B40B6}">
  <sheetPr codeName="Sheet1"/>
  <dimension ref="A2:AE35"/>
  <sheetViews>
    <sheetView showGridLines="0" tabSelected="1" zoomScale="80" zoomScaleNormal="80" workbookViewId="0"/>
  </sheetViews>
  <sheetFormatPr defaultColWidth="2.375" defaultRowHeight="15"/>
  <cols>
    <col min="1" max="16384" width="2.375" style="15"/>
  </cols>
  <sheetData>
    <row r="2" spans="1:31">
      <c r="C2" s="16"/>
      <c r="D2" s="16"/>
      <c r="E2" s="16"/>
      <c r="F2" s="16"/>
      <c r="G2" s="16"/>
      <c r="H2" s="16"/>
      <c r="I2" s="16"/>
      <c r="J2" s="16"/>
      <c r="K2" s="16"/>
      <c r="L2" s="16"/>
      <c r="M2" s="16"/>
      <c r="N2" s="16"/>
      <c r="O2" s="16"/>
      <c r="P2" s="16"/>
      <c r="Q2" s="16"/>
    </row>
    <row r="3" spans="1:31">
      <c r="B3" s="16" t="s">
        <v>0</v>
      </c>
    </row>
    <row r="4" spans="1:31" ht="15.75" customHeight="1">
      <c r="A4" s="17"/>
      <c r="B4" s="17"/>
      <c r="C4" s="17"/>
      <c r="D4" s="17"/>
      <c r="E4" s="17"/>
      <c r="F4" s="17"/>
      <c r="G4" s="17"/>
      <c r="H4" s="17"/>
      <c r="I4" s="17"/>
      <c r="J4" s="168"/>
      <c r="K4" s="168"/>
      <c r="L4" s="168"/>
    </row>
    <row r="5" spans="1:31" ht="15.75" customHeight="1">
      <c r="A5" s="18"/>
      <c r="B5" s="18"/>
      <c r="C5" s="18"/>
      <c r="D5" s="18"/>
      <c r="E5" s="18"/>
      <c r="F5" s="18"/>
      <c r="G5" s="18"/>
      <c r="H5" s="18"/>
      <c r="I5" s="18"/>
      <c r="J5" s="169"/>
      <c r="K5" s="169"/>
      <c r="L5" s="169"/>
    </row>
    <row r="10" spans="1:31">
      <c r="B10" s="170" t="s">
        <v>1</v>
      </c>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B10" s="171"/>
      <c r="AC10" s="171"/>
      <c r="AD10" s="171"/>
      <c r="AE10" s="172"/>
    </row>
    <row r="11" spans="1:31">
      <c r="B11" s="173"/>
      <c r="C11" s="174"/>
      <c r="D11" s="174"/>
      <c r="E11" s="174"/>
      <c r="F11" s="174"/>
      <c r="G11" s="174"/>
      <c r="H11" s="174"/>
      <c r="I11" s="174"/>
      <c r="J11" s="174"/>
      <c r="K11" s="174"/>
      <c r="L11" s="174"/>
      <c r="M11" s="174"/>
      <c r="N11" s="174"/>
      <c r="O11" s="174"/>
      <c r="P11" s="174"/>
      <c r="Q11" s="174"/>
      <c r="R11" s="174"/>
      <c r="S11" s="174"/>
      <c r="T11" s="174"/>
      <c r="U11" s="174"/>
      <c r="V11" s="174"/>
      <c r="W11" s="174"/>
      <c r="X11" s="174"/>
      <c r="Y11" s="174"/>
      <c r="Z11" s="174"/>
      <c r="AA11" s="174"/>
      <c r="AB11" s="174"/>
      <c r="AC11" s="174"/>
      <c r="AD11" s="174"/>
      <c r="AE11" s="175"/>
    </row>
    <row r="12" spans="1:31">
      <c r="B12" s="173"/>
      <c r="C12" s="174"/>
      <c r="D12" s="174"/>
      <c r="E12" s="174"/>
      <c r="F12" s="174"/>
      <c r="G12" s="174"/>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c r="AE12" s="175"/>
    </row>
    <row r="13" spans="1:31">
      <c r="B13" s="173"/>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5"/>
    </row>
    <row r="14" spans="1:31">
      <c r="B14" s="176" t="s">
        <v>2</v>
      </c>
      <c r="C14" s="177"/>
      <c r="D14" s="177"/>
      <c r="E14" s="177"/>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8"/>
    </row>
    <row r="15" spans="1:31">
      <c r="B15" s="176"/>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c r="AA15" s="177"/>
      <c r="AB15" s="177"/>
      <c r="AC15" s="177"/>
      <c r="AD15" s="177"/>
      <c r="AE15" s="178"/>
    </row>
    <row r="16" spans="1:31">
      <c r="B16" s="179"/>
      <c r="C16" s="180"/>
      <c r="D16" s="180"/>
      <c r="E16" s="180"/>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1"/>
    </row>
    <row r="22" spans="2:31">
      <c r="B22" s="167" t="str">
        <f ca="1">"第"&amp;IF(COUNTA(変更履歴!BE5:BH10027)=1,"",INDIRECT("変更履歴!BE"&amp;COUNTA(変更履歴!BE5:BH10027)+4))&amp;"版"</f>
        <v>第1.19版</v>
      </c>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row>
    <row r="23" spans="2:31">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row>
    <row r="24" spans="2:31">
      <c r="B24" s="182" cm="1">
        <f t="array" aca="1" ref="B24" ca="1">IF(OR(COUNTA(変更履歴!A:E)=3),"",INDIRECT("変更履歴!A"&amp;COUNTA(変更履歴!A:E)+2))</f>
        <v>45911</v>
      </c>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row>
    <row r="25" spans="2:31">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row>
    <row r="26" spans="2:31">
      <c r="B26" s="167" t="s">
        <v>3</v>
      </c>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row>
    <row r="27" spans="2:31">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row>
    <row r="29" spans="2:31">
      <c r="F29" s="198" t="s">
        <v>4</v>
      </c>
      <c r="G29" s="198"/>
      <c r="H29" s="198"/>
      <c r="I29" s="198"/>
      <c r="J29" s="198"/>
      <c r="K29" s="198"/>
      <c r="O29" s="199" t="s">
        <v>5</v>
      </c>
      <c r="P29" s="198"/>
      <c r="Q29" s="198"/>
      <c r="R29" s="198"/>
      <c r="V29" s="200" t="s">
        <v>6</v>
      </c>
      <c r="W29" s="201"/>
      <c r="X29" s="201"/>
      <c r="Y29" s="201"/>
      <c r="Z29" s="201"/>
      <c r="AA29" s="201"/>
    </row>
    <row r="30" spans="2:31">
      <c r="F30" s="202">
        <f>変更履歴!AT2</f>
        <v>45420</v>
      </c>
      <c r="G30" s="203"/>
      <c r="H30" s="203"/>
      <c r="I30" s="203"/>
      <c r="J30" s="203"/>
      <c r="K30" s="203"/>
      <c r="L30" s="19"/>
      <c r="N30" s="202">
        <v>45425</v>
      </c>
      <c r="O30" s="203"/>
      <c r="P30" s="203"/>
      <c r="Q30" s="203"/>
      <c r="R30" s="203"/>
      <c r="S30" s="204"/>
      <c r="V30" s="202"/>
      <c r="W30" s="203"/>
      <c r="X30" s="203"/>
      <c r="Y30" s="203"/>
      <c r="Z30" s="203"/>
      <c r="AA30" s="203"/>
      <c r="AB30" s="19"/>
    </row>
    <row r="31" spans="2:31" ht="15.75" customHeight="1">
      <c r="F31" s="183" t="str">
        <f>変更履歴!BA2</f>
        <v>JBS井田</v>
      </c>
      <c r="G31" s="184"/>
      <c r="H31" s="184"/>
      <c r="I31" s="184"/>
      <c r="J31" s="184"/>
      <c r="K31" s="184"/>
      <c r="L31" s="20"/>
      <c r="N31" s="189" t="s">
        <v>7</v>
      </c>
      <c r="O31" s="190"/>
      <c r="P31" s="190"/>
      <c r="Q31" s="190"/>
      <c r="R31" s="190"/>
      <c r="S31" s="191"/>
      <c r="V31" s="183"/>
      <c r="W31" s="184"/>
      <c r="X31" s="184"/>
      <c r="Y31" s="184"/>
      <c r="Z31" s="184"/>
      <c r="AA31" s="184"/>
      <c r="AB31" s="20"/>
    </row>
    <row r="32" spans="2:31">
      <c r="F32" s="185"/>
      <c r="G32" s="186"/>
      <c r="H32" s="186"/>
      <c r="I32" s="186"/>
      <c r="J32" s="186"/>
      <c r="K32" s="186"/>
      <c r="L32" s="20"/>
      <c r="N32" s="192"/>
      <c r="O32" s="193"/>
      <c r="P32" s="193"/>
      <c r="Q32" s="193"/>
      <c r="R32" s="193"/>
      <c r="S32" s="194"/>
      <c r="V32" s="185"/>
      <c r="W32" s="186"/>
      <c r="X32" s="186"/>
      <c r="Y32" s="186"/>
      <c r="Z32" s="186"/>
      <c r="AA32" s="186"/>
      <c r="AB32" s="20"/>
    </row>
    <row r="33" spans="6:28">
      <c r="F33" s="185"/>
      <c r="G33" s="186"/>
      <c r="H33" s="186"/>
      <c r="I33" s="186"/>
      <c r="J33" s="186"/>
      <c r="K33" s="186"/>
      <c r="L33" s="20"/>
      <c r="N33" s="192"/>
      <c r="O33" s="193"/>
      <c r="P33" s="193"/>
      <c r="Q33" s="193"/>
      <c r="R33" s="193"/>
      <c r="S33" s="194"/>
      <c r="V33" s="185"/>
      <c r="W33" s="186"/>
      <c r="X33" s="186"/>
      <c r="Y33" s="186"/>
      <c r="Z33" s="186"/>
      <c r="AA33" s="186"/>
      <c r="AB33" s="20"/>
    </row>
    <row r="34" spans="6:28">
      <c r="F34" s="185"/>
      <c r="G34" s="186"/>
      <c r="H34" s="186"/>
      <c r="I34" s="186"/>
      <c r="J34" s="186"/>
      <c r="K34" s="186"/>
      <c r="L34" s="20"/>
      <c r="N34" s="192"/>
      <c r="O34" s="193"/>
      <c r="P34" s="193"/>
      <c r="Q34" s="193"/>
      <c r="R34" s="193"/>
      <c r="S34" s="194"/>
      <c r="V34" s="185"/>
      <c r="W34" s="186"/>
      <c r="X34" s="186"/>
      <c r="Y34" s="186"/>
      <c r="Z34" s="186"/>
      <c r="AA34" s="186"/>
      <c r="AB34" s="20"/>
    </row>
    <row r="35" spans="6:28">
      <c r="F35" s="187"/>
      <c r="G35" s="188"/>
      <c r="H35" s="188"/>
      <c r="I35" s="188"/>
      <c r="J35" s="188"/>
      <c r="K35" s="188"/>
      <c r="L35" s="20"/>
      <c r="N35" s="195"/>
      <c r="O35" s="196"/>
      <c r="P35" s="196"/>
      <c r="Q35" s="196"/>
      <c r="R35" s="196"/>
      <c r="S35" s="197"/>
      <c r="V35" s="187"/>
      <c r="W35" s="188"/>
      <c r="X35" s="188"/>
      <c r="Y35" s="188"/>
      <c r="Z35" s="188"/>
      <c r="AA35" s="188"/>
      <c r="AB35" s="20"/>
    </row>
  </sheetData>
  <mergeCells count="15">
    <mergeCell ref="F31:K35"/>
    <mergeCell ref="N31:S35"/>
    <mergeCell ref="V31:AA35"/>
    <mergeCell ref="F29:K29"/>
    <mergeCell ref="O29:R29"/>
    <mergeCell ref="V29:AA29"/>
    <mergeCell ref="F30:K30"/>
    <mergeCell ref="N30:S30"/>
    <mergeCell ref="V30:AA30"/>
    <mergeCell ref="B26:AE27"/>
    <mergeCell ref="J4:L5"/>
    <mergeCell ref="B10:AE13"/>
    <mergeCell ref="B14:AE16"/>
    <mergeCell ref="B22:AE23"/>
    <mergeCell ref="B24:AE25"/>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F866-7CB8-4F28-A0CF-F7619631C7EE}">
  <sheetPr codeName="Sheet2"/>
  <dimension ref="A1:BO49"/>
  <sheetViews>
    <sheetView showGridLines="0" zoomScaleNormal="100" workbookViewId="0">
      <pane ySplit="5" topLeftCell="A6" activePane="bottomLeft" state="frozen"/>
      <selection pane="bottomLeft" activeCell="A6" sqref="A6:E6"/>
    </sheetView>
  </sheetViews>
  <sheetFormatPr defaultColWidth="2.375" defaultRowHeight="15" customHeight="1"/>
  <cols>
    <col min="1" max="16384" width="2.375" style="21"/>
  </cols>
  <sheetData>
    <row r="1" spans="1:67" s="22" customFormat="1" ht="14.1" customHeight="1" thickBot="1">
      <c r="A1" s="222" t="s">
        <v>8</v>
      </c>
      <c r="B1" s="223"/>
      <c r="C1" s="223"/>
      <c r="D1" s="223"/>
      <c r="E1" s="224"/>
      <c r="F1" s="225" t="str">
        <f>表紙!B10</f>
        <v>会計システム刷新プロジェクト（LIBRA）</v>
      </c>
      <c r="G1" s="226"/>
      <c r="H1" s="226"/>
      <c r="I1" s="226"/>
      <c r="J1" s="226"/>
      <c r="K1" s="226"/>
      <c r="L1" s="226"/>
      <c r="M1" s="226"/>
      <c r="N1" s="226"/>
      <c r="O1" s="226"/>
      <c r="P1" s="226"/>
      <c r="Q1" s="226"/>
      <c r="R1" s="226"/>
      <c r="S1" s="226"/>
      <c r="T1" s="226"/>
      <c r="U1" s="226"/>
      <c r="V1" s="227"/>
      <c r="W1" s="228" t="s">
        <v>9</v>
      </c>
      <c r="X1" s="229"/>
      <c r="Y1" s="229"/>
      <c r="Z1" s="229"/>
      <c r="AA1" s="229"/>
      <c r="AB1" s="229"/>
      <c r="AC1" s="229"/>
      <c r="AD1" s="229"/>
      <c r="AE1" s="229"/>
      <c r="AF1" s="229"/>
      <c r="AG1" s="229"/>
      <c r="AH1" s="229"/>
      <c r="AI1" s="229"/>
      <c r="AJ1" s="229"/>
      <c r="AK1" s="229"/>
      <c r="AL1" s="229"/>
      <c r="AM1" s="229"/>
      <c r="AN1" s="229"/>
      <c r="AO1" s="229"/>
      <c r="AP1" s="229"/>
      <c r="AQ1" s="230"/>
      <c r="AR1" s="228" t="s">
        <v>10</v>
      </c>
      <c r="AS1" s="229"/>
      <c r="AT1" s="229"/>
      <c r="AU1" s="229"/>
      <c r="AV1" s="229"/>
      <c r="AW1" s="229"/>
      <c r="AX1" s="229"/>
      <c r="AY1" s="229"/>
      <c r="AZ1" s="230"/>
      <c r="BA1" s="228" t="s">
        <v>11</v>
      </c>
      <c r="BB1" s="229"/>
      <c r="BC1" s="229"/>
      <c r="BD1" s="229"/>
      <c r="BE1" s="229"/>
      <c r="BF1" s="229"/>
      <c r="BG1" s="229"/>
      <c r="BH1" s="230"/>
      <c r="BI1" s="21"/>
      <c r="BJ1" s="21"/>
      <c r="BK1" s="21"/>
      <c r="BL1" s="21"/>
      <c r="BM1" s="21"/>
      <c r="BN1" s="21"/>
      <c r="BO1" s="21"/>
    </row>
    <row r="2" spans="1:67" s="22" customFormat="1" ht="14.1" customHeight="1">
      <c r="A2" s="231" t="s">
        <v>12</v>
      </c>
      <c r="B2" s="232"/>
      <c r="C2" s="232"/>
      <c r="D2" s="232"/>
      <c r="E2" s="233"/>
      <c r="F2" s="237" t="str">
        <f>表紙!B14</f>
        <v>To-Be業務一覧</v>
      </c>
      <c r="G2" s="238"/>
      <c r="H2" s="238"/>
      <c r="I2" s="238"/>
      <c r="J2" s="238"/>
      <c r="K2" s="238"/>
      <c r="L2" s="238"/>
      <c r="M2" s="238"/>
      <c r="N2" s="238"/>
      <c r="O2" s="238"/>
      <c r="P2" s="238"/>
      <c r="Q2" s="238"/>
      <c r="R2" s="238"/>
      <c r="S2" s="238"/>
      <c r="T2" s="238"/>
      <c r="U2" s="238"/>
      <c r="V2" s="239"/>
      <c r="W2" s="243" t="e">
        <f ca="1">MID(CELL("filename",$A$1),FIND("]",CELL("filename",$A$1))+1,31)</f>
        <v>#VALUE!</v>
      </c>
      <c r="X2" s="244"/>
      <c r="Y2" s="244"/>
      <c r="Z2" s="244"/>
      <c r="AA2" s="244"/>
      <c r="AB2" s="244"/>
      <c r="AC2" s="244"/>
      <c r="AD2" s="244"/>
      <c r="AE2" s="244"/>
      <c r="AF2" s="244"/>
      <c r="AG2" s="244"/>
      <c r="AH2" s="244"/>
      <c r="AI2" s="244"/>
      <c r="AJ2" s="244"/>
      <c r="AK2" s="244"/>
      <c r="AL2" s="244"/>
      <c r="AM2" s="244"/>
      <c r="AN2" s="244"/>
      <c r="AO2" s="244"/>
      <c r="AP2" s="244"/>
      <c r="AQ2" s="245"/>
      <c r="AR2" s="249" t="s">
        <v>13</v>
      </c>
      <c r="AS2" s="250"/>
      <c r="AT2" s="251">
        <f>A6</f>
        <v>45420</v>
      </c>
      <c r="AU2" s="252"/>
      <c r="AV2" s="252"/>
      <c r="AW2" s="252"/>
      <c r="AX2" s="252"/>
      <c r="AY2" s="252"/>
      <c r="AZ2" s="253"/>
      <c r="BA2" s="254" t="str">
        <f>AZ6</f>
        <v>JBS井田</v>
      </c>
      <c r="BB2" s="255"/>
      <c r="BC2" s="255"/>
      <c r="BD2" s="255"/>
      <c r="BE2" s="255"/>
      <c r="BF2" s="255"/>
      <c r="BG2" s="255"/>
      <c r="BH2" s="256"/>
      <c r="BI2" s="21"/>
      <c r="BJ2" s="21"/>
      <c r="BK2" s="21"/>
      <c r="BL2" s="21"/>
      <c r="BM2" s="21"/>
      <c r="BN2" s="21"/>
      <c r="BO2" s="21"/>
    </row>
    <row r="3" spans="1:67" s="22" customFormat="1" ht="14.1" customHeight="1" thickBot="1">
      <c r="A3" s="234"/>
      <c r="B3" s="235"/>
      <c r="C3" s="235"/>
      <c r="D3" s="235"/>
      <c r="E3" s="236"/>
      <c r="F3" s="240"/>
      <c r="G3" s="241"/>
      <c r="H3" s="241"/>
      <c r="I3" s="241"/>
      <c r="J3" s="241"/>
      <c r="K3" s="241"/>
      <c r="L3" s="241"/>
      <c r="M3" s="241"/>
      <c r="N3" s="241"/>
      <c r="O3" s="241"/>
      <c r="P3" s="241"/>
      <c r="Q3" s="241"/>
      <c r="R3" s="241"/>
      <c r="S3" s="241"/>
      <c r="T3" s="241"/>
      <c r="U3" s="241"/>
      <c r="V3" s="242"/>
      <c r="W3" s="246"/>
      <c r="X3" s="247"/>
      <c r="Y3" s="247"/>
      <c r="Z3" s="247"/>
      <c r="AA3" s="247"/>
      <c r="AB3" s="247"/>
      <c r="AC3" s="247"/>
      <c r="AD3" s="247"/>
      <c r="AE3" s="247"/>
      <c r="AF3" s="247"/>
      <c r="AG3" s="247"/>
      <c r="AH3" s="247"/>
      <c r="AI3" s="247"/>
      <c r="AJ3" s="247"/>
      <c r="AK3" s="247"/>
      <c r="AL3" s="247"/>
      <c r="AM3" s="247"/>
      <c r="AN3" s="247"/>
      <c r="AO3" s="247"/>
      <c r="AP3" s="247"/>
      <c r="AQ3" s="248"/>
      <c r="AR3" s="257" t="s">
        <v>14</v>
      </c>
      <c r="AS3" s="258"/>
      <c r="AT3" s="259" cm="1">
        <f t="array" aca="1" ref="AT3" ca="1">IF(OR(COUNTA(A:E)=3),"",INDIRECT("A"&amp;COUNTA(A:E)+2))</f>
        <v>45911</v>
      </c>
      <c r="AU3" s="260"/>
      <c r="AV3" s="260"/>
      <c r="AW3" s="260"/>
      <c r="AX3" s="260"/>
      <c r="AY3" s="260"/>
      <c r="AZ3" s="261"/>
      <c r="BA3" s="262" t="str" cm="1">
        <f t="array" aca="1" ref="BA3" ca="1">IF(COUNTA(AZ5:BD100027)=1,"",INDIRECT("変更履歴!AZ"&amp;COUNTA(AZ5:BD100027)+4))</f>
        <v>JBS加藤</v>
      </c>
      <c r="BB3" s="263"/>
      <c r="BC3" s="263"/>
      <c r="BD3" s="263"/>
      <c r="BE3" s="263"/>
      <c r="BF3" s="263"/>
      <c r="BG3" s="263"/>
      <c r="BH3" s="264"/>
      <c r="BI3" s="21"/>
      <c r="BJ3" s="21"/>
      <c r="BK3" s="21"/>
      <c r="BL3" s="21"/>
      <c r="BM3" s="21"/>
      <c r="BN3" s="21"/>
      <c r="BO3" s="21"/>
    </row>
    <row r="4" spans="1:67" ht="15" customHeight="1" thickBot="1">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row>
    <row r="5" spans="1:67" ht="15" customHeight="1" thickBot="1">
      <c r="A5" s="265" t="s">
        <v>15</v>
      </c>
      <c r="B5" s="265"/>
      <c r="C5" s="265"/>
      <c r="D5" s="265"/>
      <c r="E5" s="265"/>
      <c r="F5" s="265" t="s">
        <v>16</v>
      </c>
      <c r="G5" s="265"/>
      <c r="H5" s="265"/>
      <c r="I5" s="265"/>
      <c r="J5" s="265"/>
      <c r="K5" s="265"/>
      <c r="L5" s="265"/>
      <c r="M5" s="265"/>
      <c r="N5" s="265"/>
      <c r="O5" s="265"/>
      <c r="P5" s="265"/>
      <c r="Q5" s="265"/>
      <c r="R5" s="265"/>
      <c r="S5" s="265"/>
      <c r="T5" s="265" t="s">
        <v>17</v>
      </c>
      <c r="U5" s="265"/>
      <c r="V5" s="265"/>
      <c r="W5" s="265"/>
      <c r="X5" s="265"/>
      <c r="Y5" s="265"/>
      <c r="Z5" s="265"/>
      <c r="AA5" s="265"/>
      <c r="AB5" s="265"/>
      <c r="AC5" s="265"/>
      <c r="AD5" s="265"/>
      <c r="AE5" s="265"/>
      <c r="AF5" s="265"/>
      <c r="AG5" s="265"/>
      <c r="AH5" s="265"/>
      <c r="AI5" s="265"/>
      <c r="AJ5" s="265"/>
      <c r="AK5" s="265"/>
      <c r="AL5" s="265"/>
      <c r="AM5" s="265"/>
      <c r="AN5" s="265"/>
      <c r="AO5" s="265"/>
      <c r="AP5" s="265"/>
      <c r="AQ5" s="265"/>
      <c r="AR5" s="265"/>
      <c r="AS5" s="265"/>
      <c r="AT5" s="265"/>
      <c r="AU5" s="265"/>
      <c r="AV5" s="265"/>
      <c r="AW5" s="265"/>
      <c r="AX5" s="265"/>
      <c r="AY5" s="265"/>
      <c r="AZ5" s="265" t="s">
        <v>18</v>
      </c>
      <c r="BA5" s="265"/>
      <c r="BB5" s="265"/>
      <c r="BC5" s="265"/>
      <c r="BD5" s="265"/>
      <c r="BE5" s="265" t="s">
        <v>19</v>
      </c>
      <c r="BF5" s="265"/>
      <c r="BG5" s="265"/>
      <c r="BH5" s="265"/>
    </row>
    <row r="6" spans="1:67" ht="15" customHeight="1">
      <c r="A6" s="266">
        <v>45420</v>
      </c>
      <c r="B6" s="266"/>
      <c r="C6" s="266"/>
      <c r="D6" s="266"/>
      <c r="E6" s="266"/>
      <c r="F6" s="267" t="s">
        <v>20</v>
      </c>
      <c r="G6" s="267"/>
      <c r="H6" s="267"/>
      <c r="I6" s="267"/>
      <c r="J6" s="267"/>
      <c r="K6" s="267"/>
      <c r="L6" s="267"/>
      <c r="M6" s="267"/>
      <c r="N6" s="267"/>
      <c r="O6" s="267"/>
      <c r="P6" s="267"/>
      <c r="Q6" s="267"/>
      <c r="R6" s="267"/>
      <c r="S6" s="267"/>
      <c r="T6" s="268" t="s">
        <v>21</v>
      </c>
      <c r="U6" s="268"/>
      <c r="V6" s="268"/>
      <c r="W6" s="268"/>
      <c r="X6" s="268"/>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9" t="s">
        <v>22</v>
      </c>
      <c r="BA6" s="269"/>
      <c r="BB6" s="269"/>
      <c r="BC6" s="269"/>
      <c r="BD6" s="269"/>
      <c r="BE6" s="270" t="s">
        <v>23</v>
      </c>
      <c r="BF6" s="271"/>
      <c r="BG6" s="271"/>
      <c r="BH6" s="271"/>
    </row>
    <row r="7" spans="1:67" ht="15" customHeight="1">
      <c r="A7" s="206">
        <v>45433</v>
      </c>
      <c r="B7" s="206"/>
      <c r="C7" s="206"/>
      <c r="D7" s="206"/>
      <c r="E7" s="206"/>
      <c r="F7" s="207" t="s">
        <v>24</v>
      </c>
      <c r="G7" s="207"/>
      <c r="H7" s="207"/>
      <c r="I7" s="207"/>
      <c r="J7" s="207"/>
      <c r="K7" s="207"/>
      <c r="L7" s="207"/>
      <c r="M7" s="207"/>
      <c r="N7" s="207"/>
      <c r="O7" s="207"/>
      <c r="P7" s="207"/>
      <c r="Q7" s="207"/>
      <c r="R7" s="207"/>
      <c r="S7" s="207"/>
      <c r="T7" s="209" t="s">
        <v>24</v>
      </c>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10" t="s">
        <v>22</v>
      </c>
      <c r="BA7" s="210"/>
      <c r="BB7" s="210"/>
      <c r="BC7" s="210"/>
      <c r="BD7" s="210"/>
      <c r="BE7" s="205" t="s">
        <v>25</v>
      </c>
      <c r="BF7" s="205"/>
      <c r="BG7" s="205"/>
      <c r="BH7" s="205"/>
    </row>
    <row r="8" spans="1:67" ht="34.5" customHeight="1">
      <c r="A8" s="206">
        <v>45586</v>
      </c>
      <c r="B8" s="206"/>
      <c r="C8" s="206"/>
      <c r="D8" s="206"/>
      <c r="E8" s="206"/>
      <c r="F8" s="207" t="s">
        <v>26</v>
      </c>
      <c r="G8" s="207"/>
      <c r="H8" s="207"/>
      <c r="I8" s="207"/>
      <c r="J8" s="207"/>
      <c r="K8" s="207"/>
      <c r="L8" s="207"/>
      <c r="M8" s="207"/>
      <c r="N8" s="207"/>
      <c r="O8" s="207"/>
      <c r="P8" s="207"/>
      <c r="Q8" s="207"/>
      <c r="R8" s="207"/>
      <c r="S8" s="207"/>
      <c r="T8" s="208" t="s">
        <v>27</v>
      </c>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10" t="s">
        <v>28</v>
      </c>
      <c r="BA8" s="210"/>
      <c r="BB8" s="210"/>
      <c r="BC8" s="210"/>
      <c r="BD8" s="210"/>
      <c r="BE8" s="205" t="s">
        <v>29</v>
      </c>
      <c r="BF8" s="205"/>
      <c r="BG8" s="205"/>
      <c r="BH8" s="205"/>
    </row>
    <row r="9" spans="1:67" ht="46.15" customHeight="1">
      <c r="A9" s="206">
        <v>45649</v>
      </c>
      <c r="B9" s="206"/>
      <c r="C9" s="206"/>
      <c r="D9" s="206"/>
      <c r="E9" s="206"/>
      <c r="F9" s="207" t="s">
        <v>30</v>
      </c>
      <c r="G9" s="207"/>
      <c r="H9" s="207"/>
      <c r="I9" s="207"/>
      <c r="J9" s="207"/>
      <c r="K9" s="207"/>
      <c r="L9" s="207"/>
      <c r="M9" s="207"/>
      <c r="N9" s="207"/>
      <c r="O9" s="207"/>
      <c r="P9" s="207"/>
      <c r="Q9" s="207"/>
      <c r="R9" s="207"/>
      <c r="S9" s="207"/>
      <c r="T9" s="208" t="s">
        <v>31</v>
      </c>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10" t="s">
        <v>32</v>
      </c>
      <c r="BA9" s="210"/>
      <c r="BB9" s="210"/>
      <c r="BC9" s="210"/>
      <c r="BD9" s="210"/>
      <c r="BE9" s="205" t="s">
        <v>33</v>
      </c>
      <c r="BF9" s="205"/>
      <c r="BG9" s="205"/>
      <c r="BH9" s="205"/>
    </row>
    <row r="10" spans="1:67" ht="45" customHeight="1">
      <c r="A10" s="206">
        <v>45649</v>
      </c>
      <c r="B10" s="206"/>
      <c r="C10" s="206"/>
      <c r="D10" s="206"/>
      <c r="E10" s="206"/>
      <c r="F10" s="207" t="s">
        <v>30</v>
      </c>
      <c r="G10" s="207"/>
      <c r="H10" s="207"/>
      <c r="I10" s="207"/>
      <c r="J10" s="207"/>
      <c r="K10" s="207"/>
      <c r="L10" s="207"/>
      <c r="M10" s="207"/>
      <c r="N10" s="207"/>
      <c r="O10" s="207"/>
      <c r="P10" s="207"/>
      <c r="Q10" s="207"/>
      <c r="R10" s="207"/>
      <c r="S10" s="207"/>
      <c r="T10" s="208" t="s">
        <v>34</v>
      </c>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10" t="s">
        <v>32</v>
      </c>
      <c r="BA10" s="210"/>
      <c r="BB10" s="210"/>
      <c r="BC10" s="210"/>
      <c r="BD10" s="210"/>
      <c r="BE10" s="205" t="s">
        <v>33</v>
      </c>
      <c r="BF10" s="205"/>
      <c r="BG10" s="205"/>
      <c r="BH10" s="205"/>
    </row>
    <row r="11" spans="1:67" ht="60" customHeight="1">
      <c r="A11" s="206">
        <v>45649</v>
      </c>
      <c r="B11" s="206"/>
      <c r="C11" s="206"/>
      <c r="D11" s="206"/>
      <c r="E11" s="206"/>
      <c r="F11" s="207" t="s">
        <v>30</v>
      </c>
      <c r="G11" s="207"/>
      <c r="H11" s="207"/>
      <c r="I11" s="207"/>
      <c r="J11" s="207"/>
      <c r="K11" s="207"/>
      <c r="L11" s="207"/>
      <c r="M11" s="207"/>
      <c r="N11" s="207"/>
      <c r="O11" s="207"/>
      <c r="P11" s="207"/>
      <c r="Q11" s="207"/>
      <c r="R11" s="207"/>
      <c r="S11" s="207"/>
      <c r="T11" s="208" t="s">
        <v>35</v>
      </c>
      <c r="U11" s="209"/>
      <c r="V11" s="209"/>
      <c r="W11" s="209"/>
      <c r="X11" s="209"/>
      <c r="Y11" s="209"/>
      <c r="Z11" s="209"/>
      <c r="AA11" s="209"/>
      <c r="AB11" s="209"/>
      <c r="AC11" s="209"/>
      <c r="AD11" s="209"/>
      <c r="AE11" s="209"/>
      <c r="AF11" s="209"/>
      <c r="AG11" s="209"/>
      <c r="AH11" s="209"/>
      <c r="AI11" s="209"/>
      <c r="AJ11" s="209"/>
      <c r="AK11" s="209"/>
      <c r="AL11" s="209"/>
      <c r="AM11" s="209"/>
      <c r="AN11" s="209"/>
      <c r="AO11" s="209"/>
      <c r="AP11" s="209"/>
      <c r="AQ11" s="209"/>
      <c r="AR11" s="209"/>
      <c r="AS11" s="209"/>
      <c r="AT11" s="209"/>
      <c r="AU11" s="209"/>
      <c r="AV11" s="209"/>
      <c r="AW11" s="209"/>
      <c r="AX11" s="209"/>
      <c r="AY11" s="209"/>
      <c r="AZ11" s="210" t="s">
        <v>32</v>
      </c>
      <c r="BA11" s="210"/>
      <c r="BB11" s="210"/>
      <c r="BC11" s="210"/>
      <c r="BD11" s="210"/>
      <c r="BE11" s="205" t="s">
        <v>33</v>
      </c>
      <c r="BF11" s="205"/>
      <c r="BG11" s="205"/>
      <c r="BH11" s="205"/>
    </row>
    <row r="12" spans="1:67" ht="44.65" customHeight="1">
      <c r="A12" s="206">
        <v>45649</v>
      </c>
      <c r="B12" s="206"/>
      <c r="C12" s="206"/>
      <c r="D12" s="206"/>
      <c r="E12" s="206"/>
      <c r="F12" s="207" t="s">
        <v>36</v>
      </c>
      <c r="G12" s="207"/>
      <c r="H12" s="207"/>
      <c r="I12" s="207"/>
      <c r="J12" s="207"/>
      <c r="K12" s="207"/>
      <c r="L12" s="207"/>
      <c r="M12" s="207"/>
      <c r="N12" s="207"/>
      <c r="O12" s="207"/>
      <c r="P12" s="207"/>
      <c r="Q12" s="207"/>
      <c r="R12" s="207"/>
      <c r="S12" s="207"/>
      <c r="T12" s="208" t="s">
        <v>37</v>
      </c>
      <c r="U12" s="209"/>
      <c r="V12" s="209"/>
      <c r="W12" s="209"/>
      <c r="X12" s="209"/>
      <c r="Y12" s="209"/>
      <c r="Z12" s="209"/>
      <c r="AA12" s="209"/>
      <c r="AB12" s="209"/>
      <c r="AC12" s="209"/>
      <c r="AD12" s="209"/>
      <c r="AE12" s="209"/>
      <c r="AF12" s="209"/>
      <c r="AG12" s="209"/>
      <c r="AH12" s="209"/>
      <c r="AI12" s="209"/>
      <c r="AJ12" s="209"/>
      <c r="AK12" s="209"/>
      <c r="AL12" s="209"/>
      <c r="AM12" s="209"/>
      <c r="AN12" s="209"/>
      <c r="AO12" s="209"/>
      <c r="AP12" s="209"/>
      <c r="AQ12" s="209"/>
      <c r="AR12" s="209"/>
      <c r="AS12" s="209"/>
      <c r="AT12" s="209"/>
      <c r="AU12" s="209"/>
      <c r="AV12" s="209"/>
      <c r="AW12" s="209"/>
      <c r="AX12" s="209"/>
      <c r="AY12" s="209"/>
      <c r="AZ12" s="210" t="s">
        <v>32</v>
      </c>
      <c r="BA12" s="210"/>
      <c r="BB12" s="210"/>
      <c r="BC12" s="210"/>
      <c r="BD12" s="210"/>
      <c r="BE12" s="205" t="s">
        <v>33</v>
      </c>
      <c r="BF12" s="205"/>
      <c r="BG12" s="205"/>
      <c r="BH12" s="205"/>
    </row>
    <row r="13" spans="1:67" ht="67.5" customHeight="1">
      <c r="A13" s="206">
        <v>45649</v>
      </c>
      <c r="B13" s="206"/>
      <c r="C13" s="206"/>
      <c r="D13" s="206"/>
      <c r="E13" s="206"/>
      <c r="F13" s="207" t="s">
        <v>38</v>
      </c>
      <c r="G13" s="207"/>
      <c r="H13" s="207"/>
      <c r="I13" s="207"/>
      <c r="J13" s="207"/>
      <c r="K13" s="207"/>
      <c r="L13" s="207"/>
      <c r="M13" s="207"/>
      <c r="N13" s="207"/>
      <c r="O13" s="207"/>
      <c r="P13" s="207"/>
      <c r="Q13" s="207"/>
      <c r="R13" s="207"/>
      <c r="S13" s="207"/>
      <c r="T13" s="208" t="s">
        <v>39</v>
      </c>
      <c r="U13" s="209"/>
      <c r="V13" s="209"/>
      <c r="W13" s="209"/>
      <c r="X13" s="209"/>
      <c r="Y13" s="209"/>
      <c r="Z13" s="209"/>
      <c r="AA13" s="209"/>
      <c r="AB13" s="209"/>
      <c r="AC13" s="209"/>
      <c r="AD13" s="209"/>
      <c r="AE13" s="209"/>
      <c r="AF13" s="209"/>
      <c r="AG13" s="209"/>
      <c r="AH13" s="209"/>
      <c r="AI13" s="209"/>
      <c r="AJ13" s="209"/>
      <c r="AK13" s="209"/>
      <c r="AL13" s="209"/>
      <c r="AM13" s="209"/>
      <c r="AN13" s="209"/>
      <c r="AO13" s="209"/>
      <c r="AP13" s="209"/>
      <c r="AQ13" s="209"/>
      <c r="AR13" s="209"/>
      <c r="AS13" s="209"/>
      <c r="AT13" s="209"/>
      <c r="AU13" s="209"/>
      <c r="AV13" s="209"/>
      <c r="AW13" s="209"/>
      <c r="AX13" s="209"/>
      <c r="AY13" s="209"/>
      <c r="AZ13" s="210" t="s">
        <v>32</v>
      </c>
      <c r="BA13" s="210"/>
      <c r="BB13" s="210"/>
      <c r="BC13" s="210"/>
      <c r="BD13" s="210"/>
      <c r="BE13" s="205" t="s">
        <v>33</v>
      </c>
      <c r="BF13" s="205"/>
      <c r="BG13" s="205"/>
      <c r="BH13" s="205"/>
    </row>
    <row r="14" spans="1:67" ht="70.150000000000006" customHeight="1">
      <c r="A14" s="206">
        <v>45649</v>
      </c>
      <c r="B14" s="206"/>
      <c r="C14" s="206"/>
      <c r="D14" s="206"/>
      <c r="E14" s="206"/>
      <c r="F14" s="207" t="s">
        <v>38</v>
      </c>
      <c r="G14" s="207"/>
      <c r="H14" s="207"/>
      <c r="I14" s="207"/>
      <c r="J14" s="207"/>
      <c r="K14" s="207"/>
      <c r="L14" s="207"/>
      <c r="M14" s="207"/>
      <c r="N14" s="207"/>
      <c r="O14" s="207"/>
      <c r="P14" s="207"/>
      <c r="Q14" s="207"/>
      <c r="R14" s="207"/>
      <c r="S14" s="207"/>
      <c r="T14" s="208" t="s">
        <v>40</v>
      </c>
      <c r="U14" s="209"/>
      <c r="V14" s="209"/>
      <c r="W14" s="209"/>
      <c r="X14" s="209"/>
      <c r="Y14" s="209"/>
      <c r="Z14" s="209"/>
      <c r="AA14" s="209"/>
      <c r="AB14" s="209"/>
      <c r="AC14" s="209"/>
      <c r="AD14" s="209"/>
      <c r="AE14" s="209"/>
      <c r="AF14" s="209"/>
      <c r="AG14" s="209"/>
      <c r="AH14" s="209"/>
      <c r="AI14" s="209"/>
      <c r="AJ14" s="209"/>
      <c r="AK14" s="209"/>
      <c r="AL14" s="209"/>
      <c r="AM14" s="209"/>
      <c r="AN14" s="209"/>
      <c r="AO14" s="209"/>
      <c r="AP14" s="209"/>
      <c r="AQ14" s="209"/>
      <c r="AR14" s="209"/>
      <c r="AS14" s="209"/>
      <c r="AT14" s="209"/>
      <c r="AU14" s="209"/>
      <c r="AV14" s="209"/>
      <c r="AW14" s="209"/>
      <c r="AX14" s="209"/>
      <c r="AY14" s="209"/>
      <c r="AZ14" s="210" t="s">
        <v>32</v>
      </c>
      <c r="BA14" s="210"/>
      <c r="BB14" s="210"/>
      <c r="BC14" s="210"/>
      <c r="BD14" s="210"/>
      <c r="BE14" s="205" t="s">
        <v>33</v>
      </c>
      <c r="BF14" s="205"/>
      <c r="BG14" s="205"/>
      <c r="BH14" s="205"/>
    </row>
    <row r="15" spans="1:67" ht="15" customHeight="1">
      <c r="A15" s="206">
        <v>45650</v>
      </c>
      <c r="B15" s="206"/>
      <c r="C15" s="206"/>
      <c r="D15" s="206"/>
      <c r="E15" s="206"/>
      <c r="F15" s="207" t="s">
        <v>41</v>
      </c>
      <c r="G15" s="207"/>
      <c r="H15" s="207"/>
      <c r="I15" s="207"/>
      <c r="J15" s="207"/>
      <c r="K15" s="207"/>
      <c r="L15" s="207"/>
      <c r="M15" s="207"/>
      <c r="N15" s="207"/>
      <c r="O15" s="207"/>
      <c r="P15" s="207"/>
      <c r="Q15" s="207"/>
      <c r="R15" s="207"/>
      <c r="S15" s="207"/>
      <c r="T15" s="209" t="s">
        <v>42</v>
      </c>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09"/>
      <c r="AX15" s="209"/>
      <c r="AY15" s="209"/>
      <c r="AZ15" s="210" t="s">
        <v>43</v>
      </c>
      <c r="BA15" s="210"/>
      <c r="BB15" s="210"/>
      <c r="BC15" s="210"/>
      <c r="BD15" s="210"/>
      <c r="BE15" s="205" t="s">
        <v>44</v>
      </c>
      <c r="BF15" s="205"/>
      <c r="BG15" s="205"/>
      <c r="BH15" s="205"/>
    </row>
    <row r="16" spans="1:67" ht="69.75" customHeight="1">
      <c r="A16" s="206">
        <v>45665</v>
      </c>
      <c r="B16" s="206"/>
      <c r="C16" s="206"/>
      <c r="D16" s="206"/>
      <c r="E16" s="206"/>
      <c r="F16" s="207" t="s">
        <v>45</v>
      </c>
      <c r="G16" s="207"/>
      <c r="H16" s="207"/>
      <c r="I16" s="207"/>
      <c r="J16" s="207"/>
      <c r="K16" s="207"/>
      <c r="L16" s="207"/>
      <c r="M16" s="207"/>
      <c r="N16" s="207"/>
      <c r="O16" s="207"/>
      <c r="P16" s="207"/>
      <c r="Q16" s="207"/>
      <c r="R16" s="207"/>
      <c r="S16" s="207"/>
      <c r="T16" s="208" t="s">
        <v>46</v>
      </c>
      <c r="U16" s="209"/>
      <c r="V16" s="209"/>
      <c r="W16" s="209"/>
      <c r="X16" s="209"/>
      <c r="Y16" s="209"/>
      <c r="Z16" s="209"/>
      <c r="AA16" s="209"/>
      <c r="AB16" s="209"/>
      <c r="AC16" s="209"/>
      <c r="AD16" s="209"/>
      <c r="AE16" s="209"/>
      <c r="AF16" s="209"/>
      <c r="AG16" s="209"/>
      <c r="AH16" s="209"/>
      <c r="AI16" s="209"/>
      <c r="AJ16" s="209"/>
      <c r="AK16" s="209"/>
      <c r="AL16" s="209"/>
      <c r="AM16" s="209"/>
      <c r="AN16" s="209"/>
      <c r="AO16" s="209"/>
      <c r="AP16" s="209"/>
      <c r="AQ16" s="209"/>
      <c r="AR16" s="209"/>
      <c r="AS16" s="209"/>
      <c r="AT16" s="209"/>
      <c r="AU16" s="209"/>
      <c r="AV16" s="209"/>
      <c r="AW16" s="209"/>
      <c r="AX16" s="209"/>
      <c r="AY16" s="209"/>
      <c r="AZ16" s="210" t="s">
        <v>47</v>
      </c>
      <c r="BA16" s="210"/>
      <c r="BB16" s="210"/>
      <c r="BC16" s="210"/>
      <c r="BD16" s="210"/>
      <c r="BE16" s="205" t="s">
        <v>48</v>
      </c>
      <c r="BF16" s="205"/>
      <c r="BG16" s="205"/>
      <c r="BH16" s="205"/>
    </row>
    <row r="17" spans="1:60" ht="33" customHeight="1">
      <c r="A17" s="206">
        <v>45740</v>
      </c>
      <c r="B17" s="206"/>
      <c r="C17" s="206"/>
      <c r="D17" s="206"/>
      <c r="E17" s="206"/>
      <c r="F17" s="207" t="s">
        <v>45</v>
      </c>
      <c r="G17" s="207"/>
      <c r="H17" s="207"/>
      <c r="I17" s="207"/>
      <c r="J17" s="207"/>
      <c r="K17" s="207"/>
      <c r="L17" s="207"/>
      <c r="M17" s="207"/>
      <c r="N17" s="207"/>
      <c r="O17" s="207"/>
      <c r="P17" s="207"/>
      <c r="Q17" s="207"/>
      <c r="R17" s="207"/>
      <c r="S17" s="207"/>
      <c r="T17" s="208" t="s">
        <v>49</v>
      </c>
      <c r="U17" s="209"/>
      <c r="V17" s="209"/>
      <c r="W17" s="209"/>
      <c r="X17" s="209"/>
      <c r="Y17" s="209"/>
      <c r="Z17" s="209"/>
      <c r="AA17" s="209"/>
      <c r="AB17" s="209"/>
      <c r="AC17" s="209"/>
      <c r="AD17" s="209"/>
      <c r="AE17" s="209"/>
      <c r="AF17" s="209"/>
      <c r="AG17" s="209"/>
      <c r="AH17" s="209"/>
      <c r="AI17" s="209"/>
      <c r="AJ17" s="209"/>
      <c r="AK17" s="209"/>
      <c r="AL17" s="209"/>
      <c r="AM17" s="209"/>
      <c r="AN17" s="209"/>
      <c r="AO17" s="209"/>
      <c r="AP17" s="209"/>
      <c r="AQ17" s="209"/>
      <c r="AR17" s="209"/>
      <c r="AS17" s="209"/>
      <c r="AT17" s="209"/>
      <c r="AU17" s="209"/>
      <c r="AV17" s="209"/>
      <c r="AW17" s="209"/>
      <c r="AX17" s="209"/>
      <c r="AY17" s="209"/>
      <c r="AZ17" s="210" t="s">
        <v>47</v>
      </c>
      <c r="BA17" s="210"/>
      <c r="BB17" s="210"/>
      <c r="BC17" s="210"/>
      <c r="BD17" s="210"/>
      <c r="BE17" s="205" t="s">
        <v>50</v>
      </c>
      <c r="BF17" s="205"/>
      <c r="BG17" s="205"/>
      <c r="BH17" s="205"/>
    </row>
    <row r="18" spans="1:60" ht="36" customHeight="1">
      <c r="A18" s="206">
        <v>45740</v>
      </c>
      <c r="B18" s="206"/>
      <c r="C18" s="206"/>
      <c r="D18" s="206"/>
      <c r="E18" s="206"/>
      <c r="F18" s="207" t="s">
        <v>26</v>
      </c>
      <c r="G18" s="207"/>
      <c r="H18" s="207"/>
      <c r="I18" s="207"/>
      <c r="J18" s="207"/>
      <c r="K18" s="207"/>
      <c r="L18" s="207"/>
      <c r="M18" s="207"/>
      <c r="N18" s="207"/>
      <c r="O18" s="207"/>
      <c r="P18" s="207"/>
      <c r="Q18" s="207"/>
      <c r="R18" s="207"/>
      <c r="S18" s="207"/>
      <c r="T18" s="208" t="s">
        <v>51</v>
      </c>
      <c r="U18" s="209"/>
      <c r="V18" s="209"/>
      <c r="W18" s="209"/>
      <c r="X18" s="209"/>
      <c r="Y18" s="209"/>
      <c r="Z18" s="209"/>
      <c r="AA18" s="209"/>
      <c r="AB18" s="209"/>
      <c r="AC18" s="209"/>
      <c r="AD18" s="209"/>
      <c r="AE18" s="209"/>
      <c r="AF18" s="209"/>
      <c r="AG18" s="209"/>
      <c r="AH18" s="209"/>
      <c r="AI18" s="209"/>
      <c r="AJ18" s="209"/>
      <c r="AK18" s="209"/>
      <c r="AL18" s="209"/>
      <c r="AM18" s="209"/>
      <c r="AN18" s="209"/>
      <c r="AO18" s="209"/>
      <c r="AP18" s="209"/>
      <c r="AQ18" s="209"/>
      <c r="AR18" s="209"/>
      <c r="AS18" s="209"/>
      <c r="AT18" s="209"/>
      <c r="AU18" s="209"/>
      <c r="AV18" s="209"/>
      <c r="AW18" s="209"/>
      <c r="AX18" s="209"/>
      <c r="AY18" s="209"/>
      <c r="AZ18" s="210" t="s">
        <v>47</v>
      </c>
      <c r="BA18" s="210"/>
      <c r="BB18" s="210"/>
      <c r="BC18" s="210"/>
      <c r="BD18" s="210"/>
      <c r="BE18" s="205" t="s">
        <v>50</v>
      </c>
      <c r="BF18" s="205"/>
      <c r="BG18" s="205"/>
      <c r="BH18" s="205"/>
    </row>
    <row r="19" spans="1:60" ht="33" customHeight="1">
      <c r="A19" s="214">
        <v>45741</v>
      </c>
      <c r="B19" s="215"/>
      <c r="C19" s="215"/>
      <c r="D19" s="215"/>
      <c r="E19" s="216"/>
      <c r="F19" s="207" t="s">
        <v>36</v>
      </c>
      <c r="G19" s="207"/>
      <c r="H19" s="207"/>
      <c r="I19" s="207"/>
      <c r="J19" s="207"/>
      <c r="K19" s="207"/>
      <c r="L19" s="207"/>
      <c r="M19" s="207"/>
      <c r="N19" s="207"/>
      <c r="O19" s="207"/>
      <c r="P19" s="207"/>
      <c r="Q19" s="207"/>
      <c r="R19" s="207"/>
      <c r="S19" s="207"/>
      <c r="T19" s="208" t="s">
        <v>52</v>
      </c>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10" t="s">
        <v>32</v>
      </c>
      <c r="BA19" s="210"/>
      <c r="BB19" s="210"/>
      <c r="BC19" s="210"/>
      <c r="BD19" s="210"/>
      <c r="BE19" s="205" t="s">
        <v>53</v>
      </c>
      <c r="BF19" s="205"/>
      <c r="BG19" s="205"/>
      <c r="BH19" s="205"/>
    </row>
    <row r="20" spans="1:60" ht="41.25" customHeight="1">
      <c r="A20" s="214">
        <v>45744</v>
      </c>
      <c r="B20" s="215"/>
      <c r="C20" s="215"/>
      <c r="D20" s="215"/>
      <c r="E20" s="216"/>
      <c r="F20" s="217" t="s">
        <v>54</v>
      </c>
      <c r="G20" s="207"/>
      <c r="H20" s="207"/>
      <c r="I20" s="207"/>
      <c r="J20" s="207"/>
      <c r="K20" s="207"/>
      <c r="L20" s="207"/>
      <c r="M20" s="207"/>
      <c r="N20" s="207"/>
      <c r="O20" s="207"/>
      <c r="P20" s="207"/>
      <c r="Q20" s="207"/>
      <c r="R20" s="207"/>
      <c r="S20" s="207"/>
      <c r="T20" s="208" t="s">
        <v>55</v>
      </c>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10" t="s">
        <v>47</v>
      </c>
      <c r="BA20" s="210"/>
      <c r="BB20" s="210"/>
      <c r="BC20" s="210"/>
      <c r="BD20" s="210"/>
      <c r="BE20" s="205" t="s">
        <v>56</v>
      </c>
      <c r="BF20" s="205"/>
      <c r="BG20" s="205"/>
      <c r="BH20" s="205"/>
    </row>
    <row r="21" spans="1:60" ht="149.25" customHeight="1">
      <c r="A21" s="214">
        <v>45744</v>
      </c>
      <c r="B21" s="215"/>
      <c r="C21" s="215"/>
      <c r="D21" s="215"/>
      <c r="E21" s="216"/>
      <c r="F21" s="217" t="s">
        <v>57</v>
      </c>
      <c r="G21" s="207"/>
      <c r="H21" s="207"/>
      <c r="I21" s="207"/>
      <c r="J21" s="207"/>
      <c r="K21" s="207"/>
      <c r="L21" s="207"/>
      <c r="M21" s="207"/>
      <c r="N21" s="207"/>
      <c r="O21" s="207"/>
      <c r="P21" s="207"/>
      <c r="Q21" s="207"/>
      <c r="R21" s="207"/>
      <c r="S21" s="207"/>
      <c r="T21" s="208" t="s">
        <v>58</v>
      </c>
      <c r="U21" s="209"/>
      <c r="V21" s="209"/>
      <c r="W21" s="209"/>
      <c r="X21" s="209"/>
      <c r="Y21" s="209"/>
      <c r="Z21" s="209"/>
      <c r="AA21" s="209"/>
      <c r="AB21" s="209"/>
      <c r="AC21" s="209"/>
      <c r="AD21" s="209"/>
      <c r="AE21" s="209"/>
      <c r="AF21" s="209"/>
      <c r="AG21" s="209"/>
      <c r="AH21" s="209"/>
      <c r="AI21" s="209"/>
      <c r="AJ21" s="209"/>
      <c r="AK21" s="209"/>
      <c r="AL21" s="209"/>
      <c r="AM21" s="209"/>
      <c r="AN21" s="209"/>
      <c r="AO21" s="209"/>
      <c r="AP21" s="209"/>
      <c r="AQ21" s="209"/>
      <c r="AR21" s="209"/>
      <c r="AS21" s="209"/>
      <c r="AT21" s="209"/>
      <c r="AU21" s="209"/>
      <c r="AV21" s="209"/>
      <c r="AW21" s="209"/>
      <c r="AX21" s="209"/>
      <c r="AY21" s="209"/>
      <c r="AZ21" s="210" t="s">
        <v>47</v>
      </c>
      <c r="BA21" s="210"/>
      <c r="BB21" s="210"/>
      <c r="BC21" s="210"/>
      <c r="BD21" s="210"/>
      <c r="BE21" s="205" t="s">
        <v>56</v>
      </c>
      <c r="BF21" s="205"/>
      <c r="BG21" s="205"/>
      <c r="BH21" s="205"/>
    </row>
    <row r="22" spans="1:60" ht="60.75" customHeight="1">
      <c r="A22" s="214">
        <v>45744</v>
      </c>
      <c r="B22" s="215"/>
      <c r="C22" s="215"/>
      <c r="D22" s="215"/>
      <c r="E22" s="216"/>
      <c r="F22" s="217" t="s">
        <v>59</v>
      </c>
      <c r="G22" s="207"/>
      <c r="H22" s="207"/>
      <c r="I22" s="207"/>
      <c r="J22" s="207"/>
      <c r="K22" s="207"/>
      <c r="L22" s="207"/>
      <c r="M22" s="207"/>
      <c r="N22" s="207"/>
      <c r="O22" s="207"/>
      <c r="P22" s="207"/>
      <c r="Q22" s="207"/>
      <c r="R22" s="207"/>
      <c r="S22" s="207"/>
      <c r="T22" s="208" t="s">
        <v>60</v>
      </c>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10" t="s">
        <v>47</v>
      </c>
      <c r="BA22" s="210"/>
      <c r="BB22" s="210"/>
      <c r="BC22" s="210"/>
      <c r="BD22" s="210"/>
      <c r="BE22" s="205" t="s">
        <v>56</v>
      </c>
      <c r="BF22" s="205"/>
      <c r="BG22" s="205"/>
      <c r="BH22" s="205"/>
    </row>
    <row r="23" spans="1:60" ht="67.5" customHeight="1">
      <c r="A23" s="214">
        <v>45744</v>
      </c>
      <c r="B23" s="215"/>
      <c r="C23" s="215"/>
      <c r="D23" s="215"/>
      <c r="E23" s="216"/>
      <c r="F23" s="217" t="s">
        <v>61</v>
      </c>
      <c r="G23" s="207"/>
      <c r="H23" s="207"/>
      <c r="I23" s="207"/>
      <c r="J23" s="207"/>
      <c r="K23" s="207"/>
      <c r="L23" s="207"/>
      <c r="M23" s="207"/>
      <c r="N23" s="207"/>
      <c r="O23" s="207"/>
      <c r="P23" s="207"/>
      <c r="Q23" s="207"/>
      <c r="R23" s="207"/>
      <c r="S23" s="207"/>
      <c r="T23" s="208" t="s">
        <v>62</v>
      </c>
      <c r="U23" s="209"/>
      <c r="V23" s="209"/>
      <c r="W23" s="209"/>
      <c r="X23" s="209"/>
      <c r="Y23" s="209"/>
      <c r="Z23" s="209"/>
      <c r="AA23" s="209"/>
      <c r="AB23" s="209"/>
      <c r="AC23" s="209"/>
      <c r="AD23" s="209"/>
      <c r="AE23" s="209"/>
      <c r="AF23" s="209"/>
      <c r="AG23" s="209"/>
      <c r="AH23" s="209"/>
      <c r="AI23" s="209"/>
      <c r="AJ23" s="209"/>
      <c r="AK23" s="209"/>
      <c r="AL23" s="209"/>
      <c r="AM23" s="209"/>
      <c r="AN23" s="209"/>
      <c r="AO23" s="209"/>
      <c r="AP23" s="209"/>
      <c r="AQ23" s="209"/>
      <c r="AR23" s="209"/>
      <c r="AS23" s="209"/>
      <c r="AT23" s="209"/>
      <c r="AU23" s="209"/>
      <c r="AV23" s="209"/>
      <c r="AW23" s="209"/>
      <c r="AX23" s="209"/>
      <c r="AY23" s="209"/>
      <c r="AZ23" s="210" t="s">
        <v>47</v>
      </c>
      <c r="BA23" s="210"/>
      <c r="BB23" s="210"/>
      <c r="BC23" s="210"/>
      <c r="BD23" s="210"/>
      <c r="BE23" s="205" t="s">
        <v>56</v>
      </c>
      <c r="BF23" s="205"/>
      <c r="BG23" s="205"/>
      <c r="BH23" s="205"/>
    </row>
    <row r="24" spans="1:60" ht="164.25" customHeight="1">
      <c r="A24" s="214">
        <v>45747</v>
      </c>
      <c r="B24" s="215"/>
      <c r="C24" s="215"/>
      <c r="D24" s="215"/>
      <c r="E24" s="216"/>
      <c r="F24" s="217" t="s">
        <v>63</v>
      </c>
      <c r="G24" s="207"/>
      <c r="H24" s="207"/>
      <c r="I24" s="207"/>
      <c r="J24" s="207"/>
      <c r="K24" s="207"/>
      <c r="L24" s="207"/>
      <c r="M24" s="207"/>
      <c r="N24" s="207"/>
      <c r="O24" s="207"/>
      <c r="P24" s="207"/>
      <c r="Q24" s="207"/>
      <c r="R24" s="207"/>
      <c r="S24" s="207"/>
      <c r="T24" s="208" t="s">
        <v>64</v>
      </c>
      <c r="U24" s="209"/>
      <c r="V24" s="209"/>
      <c r="W24" s="209"/>
      <c r="X24" s="209"/>
      <c r="Y24" s="209"/>
      <c r="Z24" s="209"/>
      <c r="AA24" s="209"/>
      <c r="AB24" s="209"/>
      <c r="AC24" s="209"/>
      <c r="AD24" s="209"/>
      <c r="AE24" s="209"/>
      <c r="AF24" s="209"/>
      <c r="AG24" s="209"/>
      <c r="AH24" s="209"/>
      <c r="AI24" s="209"/>
      <c r="AJ24" s="209"/>
      <c r="AK24" s="209"/>
      <c r="AL24" s="209"/>
      <c r="AM24" s="209"/>
      <c r="AN24" s="209"/>
      <c r="AO24" s="209"/>
      <c r="AP24" s="209"/>
      <c r="AQ24" s="209"/>
      <c r="AR24" s="209"/>
      <c r="AS24" s="209"/>
      <c r="AT24" s="209"/>
      <c r="AU24" s="209"/>
      <c r="AV24" s="209"/>
      <c r="AW24" s="209"/>
      <c r="AX24" s="209"/>
      <c r="AY24" s="209"/>
      <c r="AZ24" s="210" t="s">
        <v>47</v>
      </c>
      <c r="BA24" s="210"/>
      <c r="BB24" s="210"/>
      <c r="BC24" s="210"/>
      <c r="BD24" s="210"/>
      <c r="BE24" s="205" t="s">
        <v>56</v>
      </c>
      <c r="BF24" s="205"/>
      <c r="BG24" s="205"/>
      <c r="BH24" s="205"/>
    </row>
    <row r="25" spans="1:60" ht="227.25" customHeight="1">
      <c r="A25" s="214">
        <v>45747</v>
      </c>
      <c r="B25" s="215"/>
      <c r="C25" s="215"/>
      <c r="D25" s="215"/>
      <c r="E25" s="216"/>
      <c r="F25" s="217" t="s">
        <v>65</v>
      </c>
      <c r="G25" s="207"/>
      <c r="H25" s="207"/>
      <c r="I25" s="207"/>
      <c r="J25" s="207"/>
      <c r="K25" s="207"/>
      <c r="L25" s="207"/>
      <c r="M25" s="207"/>
      <c r="N25" s="207"/>
      <c r="O25" s="207"/>
      <c r="P25" s="207"/>
      <c r="Q25" s="207"/>
      <c r="R25" s="207"/>
      <c r="S25" s="207"/>
      <c r="T25" s="218" t="s">
        <v>66</v>
      </c>
      <c r="U25" s="219"/>
      <c r="V25" s="219"/>
      <c r="W25" s="219"/>
      <c r="X25" s="219"/>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c r="AX25" s="219"/>
      <c r="AY25" s="220"/>
      <c r="AZ25" s="210" t="s">
        <v>47</v>
      </c>
      <c r="BA25" s="210"/>
      <c r="BB25" s="210"/>
      <c r="BC25" s="210"/>
      <c r="BD25" s="210"/>
      <c r="BE25" s="205" t="s">
        <v>56</v>
      </c>
      <c r="BF25" s="205"/>
      <c r="BG25" s="205"/>
      <c r="BH25" s="205"/>
    </row>
    <row r="26" spans="1:60" ht="54" customHeight="1">
      <c r="A26" s="214">
        <v>45747</v>
      </c>
      <c r="B26" s="215"/>
      <c r="C26" s="215"/>
      <c r="D26" s="215"/>
      <c r="E26" s="216"/>
      <c r="F26" s="217" t="s">
        <v>67</v>
      </c>
      <c r="G26" s="207"/>
      <c r="H26" s="207"/>
      <c r="I26" s="207"/>
      <c r="J26" s="207"/>
      <c r="K26" s="207"/>
      <c r="L26" s="207"/>
      <c r="M26" s="207"/>
      <c r="N26" s="207"/>
      <c r="O26" s="207"/>
      <c r="P26" s="207"/>
      <c r="Q26" s="207"/>
      <c r="R26" s="207"/>
      <c r="S26" s="207"/>
      <c r="T26" s="218" t="s">
        <v>68</v>
      </c>
      <c r="U26" s="219"/>
      <c r="V26" s="219"/>
      <c r="W26" s="219"/>
      <c r="X26" s="219"/>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c r="AX26" s="219"/>
      <c r="AY26" s="220"/>
      <c r="AZ26" s="210" t="s">
        <v>47</v>
      </c>
      <c r="BA26" s="210"/>
      <c r="BB26" s="210"/>
      <c r="BC26" s="210"/>
      <c r="BD26" s="210"/>
      <c r="BE26" s="205" t="s">
        <v>56</v>
      </c>
      <c r="BF26" s="205"/>
      <c r="BG26" s="205"/>
      <c r="BH26" s="205"/>
    </row>
    <row r="27" spans="1:60" ht="45.75" customHeight="1">
      <c r="A27" s="214">
        <v>45747</v>
      </c>
      <c r="B27" s="215"/>
      <c r="C27" s="215"/>
      <c r="D27" s="215"/>
      <c r="E27" s="216"/>
      <c r="F27" s="217" t="s">
        <v>69</v>
      </c>
      <c r="G27" s="207"/>
      <c r="H27" s="207"/>
      <c r="I27" s="207"/>
      <c r="J27" s="207"/>
      <c r="K27" s="207"/>
      <c r="L27" s="207"/>
      <c r="M27" s="207"/>
      <c r="N27" s="207"/>
      <c r="O27" s="207"/>
      <c r="P27" s="207"/>
      <c r="Q27" s="207"/>
      <c r="R27" s="207"/>
      <c r="S27" s="207"/>
      <c r="T27" s="218" t="s">
        <v>70</v>
      </c>
      <c r="U27" s="219"/>
      <c r="V27" s="219"/>
      <c r="W27" s="219"/>
      <c r="X27" s="219"/>
      <c r="Y27" s="219"/>
      <c r="Z27" s="219"/>
      <c r="AA27" s="219"/>
      <c r="AB27" s="219"/>
      <c r="AC27" s="219"/>
      <c r="AD27" s="219"/>
      <c r="AE27" s="219"/>
      <c r="AF27" s="219"/>
      <c r="AG27" s="219"/>
      <c r="AH27" s="219"/>
      <c r="AI27" s="219"/>
      <c r="AJ27" s="219"/>
      <c r="AK27" s="219"/>
      <c r="AL27" s="219"/>
      <c r="AM27" s="219"/>
      <c r="AN27" s="219"/>
      <c r="AO27" s="219"/>
      <c r="AP27" s="219"/>
      <c r="AQ27" s="219"/>
      <c r="AR27" s="219"/>
      <c r="AS27" s="219"/>
      <c r="AT27" s="219"/>
      <c r="AU27" s="219"/>
      <c r="AV27" s="219"/>
      <c r="AW27" s="219"/>
      <c r="AX27" s="219"/>
      <c r="AY27" s="220"/>
      <c r="AZ27" s="210" t="s">
        <v>47</v>
      </c>
      <c r="BA27" s="210"/>
      <c r="BB27" s="210"/>
      <c r="BC27" s="210"/>
      <c r="BD27" s="210"/>
      <c r="BE27" s="205" t="s">
        <v>56</v>
      </c>
      <c r="BF27" s="205"/>
      <c r="BG27" s="205"/>
      <c r="BH27" s="205"/>
    </row>
    <row r="28" spans="1:60" ht="75.75" customHeight="1">
      <c r="A28" s="214">
        <v>45747</v>
      </c>
      <c r="B28" s="215"/>
      <c r="C28" s="215"/>
      <c r="D28" s="215"/>
      <c r="E28" s="216"/>
      <c r="F28" s="217" t="s">
        <v>71</v>
      </c>
      <c r="G28" s="207"/>
      <c r="H28" s="207"/>
      <c r="I28" s="207"/>
      <c r="J28" s="207"/>
      <c r="K28" s="207"/>
      <c r="L28" s="207"/>
      <c r="M28" s="207"/>
      <c r="N28" s="207"/>
      <c r="O28" s="207"/>
      <c r="P28" s="207"/>
      <c r="Q28" s="207"/>
      <c r="R28" s="207"/>
      <c r="S28" s="207"/>
      <c r="T28" s="208" t="s">
        <v>72</v>
      </c>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10" t="s">
        <v>47</v>
      </c>
      <c r="BA28" s="210"/>
      <c r="BB28" s="210"/>
      <c r="BC28" s="210"/>
      <c r="BD28" s="210"/>
      <c r="BE28" s="205" t="s">
        <v>56</v>
      </c>
      <c r="BF28" s="205"/>
      <c r="BG28" s="205"/>
      <c r="BH28" s="205"/>
    </row>
    <row r="29" spans="1:60" ht="43.5" customHeight="1">
      <c r="A29" s="214">
        <v>45747</v>
      </c>
      <c r="B29" s="215"/>
      <c r="C29" s="215"/>
      <c r="D29" s="215"/>
      <c r="E29" s="216"/>
      <c r="F29" s="217" t="s">
        <v>73</v>
      </c>
      <c r="G29" s="207"/>
      <c r="H29" s="207"/>
      <c r="I29" s="207"/>
      <c r="J29" s="207"/>
      <c r="K29" s="207"/>
      <c r="L29" s="207"/>
      <c r="M29" s="207"/>
      <c r="N29" s="207"/>
      <c r="O29" s="207"/>
      <c r="P29" s="207"/>
      <c r="Q29" s="207"/>
      <c r="R29" s="207"/>
      <c r="S29" s="207"/>
      <c r="T29" s="209" t="s">
        <v>74</v>
      </c>
      <c r="U29" s="209"/>
      <c r="V29" s="209"/>
      <c r="W29" s="209"/>
      <c r="X29" s="209"/>
      <c r="Y29" s="209"/>
      <c r="Z29" s="209"/>
      <c r="AA29" s="209"/>
      <c r="AB29" s="209"/>
      <c r="AC29" s="209"/>
      <c r="AD29" s="209"/>
      <c r="AE29" s="209"/>
      <c r="AF29" s="209"/>
      <c r="AG29" s="209"/>
      <c r="AH29" s="209"/>
      <c r="AI29" s="209"/>
      <c r="AJ29" s="209"/>
      <c r="AK29" s="209"/>
      <c r="AL29" s="209"/>
      <c r="AM29" s="209"/>
      <c r="AN29" s="209"/>
      <c r="AO29" s="209"/>
      <c r="AP29" s="209"/>
      <c r="AQ29" s="209"/>
      <c r="AR29" s="209"/>
      <c r="AS29" s="209"/>
      <c r="AT29" s="209"/>
      <c r="AU29" s="209"/>
      <c r="AV29" s="209"/>
      <c r="AW29" s="209"/>
      <c r="AX29" s="209"/>
      <c r="AY29" s="209"/>
      <c r="AZ29" s="210" t="s">
        <v>47</v>
      </c>
      <c r="BA29" s="210"/>
      <c r="BB29" s="210"/>
      <c r="BC29" s="210"/>
      <c r="BD29" s="210"/>
      <c r="BE29" s="205" t="s">
        <v>56</v>
      </c>
      <c r="BF29" s="205"/>
      <c r="BG29" s="205"/>
      <c r="BH29" s="205"/>
    </row>
    <row r="30" spans="1:60" ht="45.75" customHeight="1">
      <c r="A30" s="214">
        <v>45747</v>
      </c>
      <c r="B30" s="215"/>
      <c r="C30" s="215"/>
      <c r="D30" s="215"/>
      <c r="E30" s="216"/>
      <c r="F30" s="221" t="s">
        <v>75</v>
      </c>
      <c r="G30" s="212"/>
      <c r="H30" s="212"/>
      <c r="I30" s="212"/>
      <c r="J30" s="212"/>
      <c r="K30" s="212"/>
      <c r="L30" s="212"/>
      <c r="M30" s="212"/>
      <c r="N30" s="212"/>
      <c r="O30" s="212"/>
      <c r="P30" s="212"/>
      <c r="Q30" s="212"/>
      <c r="R30" s="212"/>
      <c r="S30" s="213"/>
      <c r="T30" s="218" t="s">
        <v>76</v>
      </c>
      <c r="U30" s="219"/>
      <c r="V30" s="219"/>
      <c r="W30" s="219"/>
      <c r="X30" s="219"/>
      <c r="Y30" s="219"/>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c r="AX30" s="219"/>
      <c r="AY30" s="220"/>
      <c r="AZ30" s="210" t="s">
        <v>47</v>
      </c>
      <c r="BA30" s="210"/>
      <c r="BB30" s="210"/>
      <c r="BC30" s="210"/>
      <c r="BD30" s="210"/>
      <c r="BE30" s="205" t="s">
        <v>56</v>
      </c>
      <c r="BF30" s="205"/>
      <c r="BG30" s="205"/>
      <c r="BH30" s="205"/>
    </row>
    <row r="31" spans="1:60" ht="31.5" customHeight="1">
      <c r="A31" s="214">
        <v>45748</v>
      </c>
      <c r="B31" s="215"/>
      <c r="C31" s="215"/>
      <c r="D31" s="215"/>
      <c r="E31" s="216"/>
      <c r="F31" s="221" t="s">
        <v>77</v>
      </c>
      <c r="G31" s="212"/>
      <c r="H31" s="212"/>
      <c r="I31" s="212"/>
      <c r="J31" s="212"/>
      <c r="K31" s="212"/>
      <c r="L31" s="212"/>
      <c r="M31" s="212"/>
      <c r="N31" s="212"/>
      <c r="O31" s="212"/>
      <c r="P31" s="212"/>
      <c r="Q31" s="212"/>
      <c r="R31" s="212"/>
      <c r="S31" s="213"/>
      <c r="T31" s="218" t="s">
        <v>78</v>
      </c>
      <c r="U31" s="219"/>
      <c r="V31" s="219"/>
      <c r="W31" s="219"/>
      <c r="X31" s="219"/>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c r="AX31" s="219"/>
      <c r="AY31" s="220"/>
      <c r="AZ31" s="210" t="s">
        <v>47</v>
      </c>
      <c r="BA31" s="210"/>
      <c r="BB31" s="210"/>
      <c r="BC31" s="210"/>
      <c r="BD31" s="210"/>
      <c r="BE31" s="205" t="s">
        <v>79</v>
      </c>
      <c r="BF31" s="205"/>
      <c r="BG31" s="205"/>
      <c r="BH31" s="205"/>
    </row>
    <row r="32" spans="1:60" ht="37.5" customHeight="1">
      <c r="A32" s="214">
        <v>45749</v>
      </c>
      <c r="B32" s="215"/>
      <c r="C32" s="215"/>
      <c r="D32" s="215"/>
      <c r="E32" s="216"/>
      <c r="F32" s="211" t="s">
        <v>30</v>
      </c>
      <c r="G32" s="212"/>
      <c r="H32" s="212"/>
      <c r="I32" s="212"/>
      <c r="J32" s="212"/>
      <c r="K32" s="212"/>
      <c r="L32" s="212"/>
      <c r="M32" s="212"/>
      <c r="N32" s="212"/>
      <c r="O32" s="212"/>
      <c r="P32" s="212"/>
      <c r="Q32" s="212"/>
      <c r="R32" s="212"/>
      <c r="S32" s="213"/>
      <c r="T32" s="218" t="s">
        <v>80</v>
      </c>
      <c r="U32" s="219"/>
      <c r="V32" s="219"/>
      <c r="W32" s="219"/>
      <c r="X32" s="219"/>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c r="AX32" s="219"/>
      <c r="AY32" s="220"/>
      <c r="AZ32" s="210" t="s">
        <v>7</v>
      </c>
      <c r="BA32" s="210"/>
      <c r="BB32" s="210"/>
      <c r="BC32" s="210"/>
      <c r="BD32" s="210"/>
      <c r="BE32" s="205" t="s">
        <v>81</v>
      </c>
      <c r="BF32" s="205"/>
      <c r="BG32" s="205"/>
      <c r="BH32" s="205"/>
    </row>
    <row r="33" spans="1:60" ht="13.5">
      <c r="A33" s="214">
        <v>45751</v>
      </c>
      <c r="B33" s="215"/>
      <c r="C33" s="215"/>
      <c r="D33" s="215"/>
      <c r="E33" s="216"/>
      <c r="F33" s="211" t="s">
        <v>30</v>
      </c>
      <c r="G33" s="212"/>
      <c r="H33" s="212"/>
      <c r="I33" s="212"/>
      <c r="J33" s="212"/>
      <c r="K33" s="212"/>
      <c r="L33" s="212"/>
      <c r="M33" s="212"/>
      <c r="N33" s="212"/>
      <c r="O33" s="212"/>
      <c r="P33" s="212"/>
      <c r="Q33" s="212"/>
      <c r="R33" s="212"/>
      <c r="S33" s="213"/>
      <c r="T33" s="218" t="s">
        <v>82</v>
      </c>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c r="AX33" s="219"/>
      <c r="AY33" s="220"/>
      <c r="AZ33" s="210" t="s">
        <v>7</v>
      </c>
      <c r="BA33" s="210"/>
      <c r="BB33" s="210"/>
      <c r="BC33" s="210"/>
      <c r="BD33" s="210"/>
      <c r="BE33" s="205" t="s">
        <v>81</v>
      </c>
      <c r="BF33" s="205"/>
      <c r="BG33" s="205"/>
      <c r="BH33" s="205"/>
    </row>
    <row r="34" spans="1:60" ht="30" customHeight="1">
      <c r="A34" s="214">
        <v>45756</v>
      </c>
      <c r="B34" s="215"/>
      <c r="C34" s="215"/>
      <c r="D34" s="215"/>
      <c r="E34" s="216"/>
      <c r="F34" s="207" t="s">
        <v>83</v>
      </c>
      <c r="G34" s="207"/>
      <c r="H34" s="207"/>
      <c r="I34" s="207"/>
      <c r="J34" s="207"/>
      <c r="K34" s="207"/>
      <c r="L34" s="207"/>
      <c r="M34" s="207"/>
      <c r="N34" s="207"/>
      <c r="O34" s="207"/>
      <c r="P34" s="207"/>
      <c r="Q34" s="207"/>
      <c r="R34" s="207"/>
      <c r="S34" s="207"/>
      <c r="T34" s="208" t="s">
        <v>84</v>
      </c>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09"/>
      <c r="AX34" s="209"/>
      <c r="AY34" s="209"/>
      <c r="AZ34" s="210" t="s">
        <v>47</v>
      </c>
      <c r="BA34" s="210"/>
      <c r="BB34" s="210"/>
      <c r="BC34" s="210"/>
      <c r="BD34" s="210"/>
      <c r="BE34" s="205" t="s">
        <v>85</v>
      </c>
      <c r="BF34" s="205"/>
      <c r="BG34" s="205"/>
      <c r="BH34" s="205"/>
    </row>
    <row r="35" spans="1:60" ht="15" customHeight="1">
      <c r="A35" s="206">
        <v>45757</v>
      </c>
      <c r="B35" s="206"/>
      <c r="C35" s="206"/>
      <c r="D35" s="206"/>
      <c r="E35" s="206"/>
      <c r="F35" s="211" t="s">
        <v>30</v>
      </c>
      <c r="G35" s="212"/>
      <c r="H35" s="212"/>
      <c r="I35" s="212"/>
      <c r="J35" s="212"/>
      <c r="K35" s="212"/>
      <c r="L35" s="212"/>
      <c r="M35" s="212"/>
      <c r="N35" s="212"/>
      <c r="O35" s="212"/>
      <c r="P35" s="212"/>
      <c r="Q35" s="212"/>
      <c r="R35" s="212"/>
      <c r="S35" s="213"/>
      <c r="T35" s="209" t="s">
        <v>86</v>
      </c>
      <c r="U35" s="209"/>
      <c r="V35" s="209"/>
      <c r="W35" s="209"/>
      <c r="X35" s="209"/>
      <c r="Y35" s="209"/>
      <c r="Z35" s="209"/>
      <c r="AA35" s="209"/>
      <c r="AB35" s="209"/>
      <c r="AC35" s="209"/>
      <c r="AD35" s="209"/>
      <c r="AE35" s="209"/>
      <c r="AF35" s="209"/>
      <c r="AG35" s="209"/>
      <c r="AH35" s="209"/>
      <c r="AI35" s="209"/>
      <c r="AJ35" s="209"/>
      <c r="AK35" s="209"/>
      <c r="AL35" s="209"/>
      <c r="AM35" s="209"/>
      <c r="AN35" s="209"/>
      <c r="AO35" s="209"/>
      <c r="AP35" s="209"/>
      <c r="AQ35" s="209"/>
      <c r="AR35" s="209"/>
      <c r="AS35" s="209"/>
      <c r="AT35" s="209"/>
      <c r="AU35" s="209"/>
      <c r="AV35" s="209"/>
      <c r="AW35" s="209"/>
      <c r="AX35" s="209"/>
      <c r="AY35" s="209"/>
      <c r="AZ35" s="210" t="s">
        <v>7</v>
      </c>
      <c r="BA35" s="210"/>
      <c r="BB35" s="210"/>
      <c r="BC35" s="210"/>
      <c r="BD35" s="210"/>
      <c r="BE35" s="205" t="s">
        <v>87</v>
      </c>
      <c r="BF35" s="205"/>
      <c r="BG35" s="205"/>
      <c r="BH35" s="205"/>
    </row>
    <row r="36" spans="1:60" ht="64.5" customHeight="1">
      <c r="A36" s="206">
        <v>45771</v>
      </c>
      <c r="B36" s="206"/>
      <c r="C36" s="206"/>
      <c r="D36" s="206"/>
      <c r="E36" s="206"/>
      <c r="F36" s="211" t="s">
        <v>30</v>
      </c>
      <c r="G36" s="212"/>
      <c r="H36" s="212"/>
      <c r="I36" s="212"/>
      <c r="J36" s="212"/>
      <c r="K36" s="212"/>
      <c r="L36" s="212"/>
      <c r="M36" s="212"/>
      <c r="N36" s="212"/>
      <c r="O36" s="212"/>
      <c r="P36" s="212"/>
      <c r="Q36" s="212"/>
      <c r="R36" s="212"/>
      <c r="S36" s="213"/>
      <c r="T36" s="208" t="s">
        <v>88</v>
      </c>
      <c r="U36" s="209"/>
      <c r="V36" s="209"/>
      <c r="W36" s="209"/>
      <c r="X36" s="209"/>
      <c r="Y36" s="209"/>
      <c r="Z36" s="209"/>
      <c r="AA36" s="209"/>
      <c r="AB36" s="209"/>
      <c r="AC36" s="209"/>
      <c r="AD36" s="209"/>
      <c r="AE36" s="209"/>
      <c r="AF36" s="209"/>
      <c r="AG36" s="209"/>
      <c r="AH36" s="209"/>
      <c r="AI36" s="209"/>
      <c r="AJ36" s="209"/>
      <c r="AK36" s="209"/>
      <c r="AL36" s="209"/>
      <c r="AM36" s="209"/>
      <c r="AN36" s="209"/>
      <c r="AO36" s="209"/>
      <c r="AP36" s="209"/>
      <c r="AQ36" s="209"/>
      <c r="AR36" s="209"/>
      <c r="AS36" s="209"/>
      <c r="AT36" s="209"/>
      <c r="AU36" s="209"/>
      <c r="AV36" s="209"/>
      <c r="AW36" s="209"/>
      <c r="AX36" s="209"/>
      <c r="AY36" s="209"/>
      <c r="AZ36" s="210" t="s">
        <v>7</v>
      </c>
      <c r="BA36" s="210"/>
      <c r="BB36" s="210"/>
      <c r="BC36" s="210"/>
      <c r="BD36" s="210"/>
      <c r="BE36" s="205" t="s">
        <v>89</v>
      </c>
      <c r="BF36" s="205"/>
      <c r="BG36" s="205"/>
      <c r="BH36" s="205"/>
    </row>
    <row r="37" spans="1:60" ht="38.25" customHeight="1">
      <c r="A37" s="206">
        <v>45778</v>
      </c>
      <c r="B37" s="206"/>
      <c r="C37" s="206"/>
      <c r="D37" s="206"/>
      <c r="E37" s="206"/>
      <c r="F37" s="207" t="s">
        <v>38</v>
      </c>
      <c r="G37" s="207"/>
      <c r="H37" s="207"/>
      <c r="I37" s="207"/>
      <c r="J37" s="207"/>
      <c r="K37" s="207"/>
      <c r="L37" s="207"/>
      <c r="M37" s="207"/>
      <c r="N37" s="207"/>
      <c r="O37" s="207"/>
      <c r="P37" s="207"/>
      <c r="Q37" s="207"/>
      <c r="R37" s="207"/>
      <c r="S37" s="207"/>
      <c r="T37" s="208" t="s">
        <v>90</v>
      </c>
      <c r="U37" s="209"/>
      <c r="V37" s="209"/>
      <c r="W37" s="209"/>
      <c r="X37" s="209"/>
      <c r="Y37" s="209"/>
      <c r="Z37" s="209"/>
      <c r="AA37" s="209"/>
      <c r="AB37" s="209"/>
      <c r="AC37" s="209"/>
      <c r="AD37" s="209"/>
      <c r="AE37" s="209"/>
      <c r="AF37" s="209"/>
      <c r="AG37" s="209"/>
      <c r="AH37" s="209"/>
      <c r="AI37" s="209"/>
      <c r="AJ37" s="209"/>
      <c r="AK37" s="209"/>
      <c r="AL37" s="209"/>
      <c r="AM37" s="209"/>
      <c r="AN37" s="209"/>
      <c r="AO37" s="209"/>
      <c r="AP37" s="209"/>
      <c r="AQ37" s="209"/>
      <c r="AR37" s="209"/>
      <c r="AS37" s="209"/>
      <c r="AT37" s="209"/>
      <c r="AU37" s="209"/>
      <c r="AV37" s="209"/>
      <c r="AW37" s="209"/>
      <c r="AX37" s="209"/>
      <c r="AY37" s="209"/>
      <c r="AZ37" s="210" t="s">
        <v>47</v>
      </c>
      <c r="BA37" s="210"/>
      <c r="BB37" s="210"/>
      <c r="BC37" s="210"/>
      <c r="BD37" s="210"/>
      <c r="BE37" s="205" t="s">
        <v>91</v>
      </c>
      <c r="BF37" s="205"/>
      <c r="BG37" s="205"/>
      <c r="BH37" s="205"/>
    </row>
    <row r="38" spans="1:60" ht="45.75" customHeight="1">
      <c r="A38" s="206">
        <v>45778</v>
      </c>
      <c r="B38" s="206"/>
      <c r="C38" s="206"/>
      <c r="D38" s="206"/>
      <c r="E38" s="206"/>
      <c r="F38" s="207" t="s">
        <v>38</v>
      </c>
      <c r="G38" s="207"/>
      <c r="H38" s="207"/>
      <c r="I38" s="207"/>
      <c r="J38" s="207"/>
      <c r="K38" s="207"/>
      <c r="L38" s="207"/>
      <c r="M38" s="207"/>
      <c r="N38" s="207"/>
      <c r="O38" s="207"/>
      <c r="P38" s="207"/>
      <c r="Q38" s="207"/>
      <c r="R38" s="207"/>
      <c r="S38" s="207"/>
      <c r="T38" s="208" t="s">
        <v>92</v>
      </c>
      <c r="U38" s="209"/>
      <c r="V38" s="209"/>
      <c r="W38" s="209"/>
      <c r="X38" s="209"/>
      <c r="Y38" s="209"/>
      <c r="Z38" s="209"/>
      <c r="AA38" s="209"/>
      <c r="AB38" s="209"/>
      <c r="AC38" s="209"/>
      <c r="AD38" s="209"/>
      <c r="AE38" s="209"/>
      <c r="AF38" s="209"/>
      <c r="AG38" s="209"/>
      <c r="AH38" s="209"/>
      <c r="AI38" s="209"/>
      <c r="AJ38" s="209"/>
      <c r="AK38" s="209"/>
      <c r="AL38" s="209"/>
      <c r="AM38" s="209"/>
      <c r="AN38" s="209"/>
      <c r="AO38" s="209"/>
      <c r="AP38" s="209"/>
      <c r="AQ38" s="209"/>
      <c r="AR38" s="209"/>
      <c r="AS38" s="209"/>
      <c r="AT38" s="209"/>
      <c r="AU38" s="209"/>
      <c r="AV38" s="209"/>
      <c r="AW38" s="209"/>
      <c r="AX38" s="209"/>
      <c r="AY38" s="209"/>
      <c r="AZ38" s="210" t="s">
        <v>47</v>
      </c>
      <c r="BA38" s="210"/>
      <c r="BB38" s="210"/>
      <c r="BC38" s="210"/>
      <c r="BD38" s="210"/>
      <c r="BE38" s="205" t="s">
        <v>91</v>
      </c>
      <c r="BF38" s="205"/>
      <c r="BG38" s="205"/>
      <c r="BH38" s="205"/>
    </row>
    <row r="39" spans="1:60" ht="42.95" customHeight="1">
      <c r="A39" s="206">
        <v>45785</v>
      </c>
      <c r="B39" s="206"/>
      <c r="C39" s="206"/>
      <c r="D39" s="206"/>
      <c r="E39" s="206"/>
      <c r="F39" s="211" t="s">
        <v>30</v>
      </c>
      <c r="G39" s="212"/>
      <c r="H39" s="212"/>
      <c r="I39" s="212"/>
      <c r="J39" s="212"/>
      <c r="K39" s="212"/>
      <c r="L39" s="212"/>
      <c r="M39" s="212"/>
      <c r="N39" s="212"/>
      <c r="O39" s="212"/>
      <c r="P39" s="212"/>
      <c r="Q39" s="212"/>
      <c r="R39" s="212"/>
      <c r="S39" s="213"/>
      <c r="T39" s="208" t="s">
        <v>93</v>
      </c>
      <c r="U39" s="209"/>
      <c r="V39" s="209"/>
      <c r="W39" s="209"/>
      <c r="X39" s="209"/>
      <c r="Y39" s="209"/>
      <c r="Z39" s="209"/>
      <c r="AA39" s="209"/>
      <c r="AB39" s="209"/>
      <c r="AC39" s="209"/>
      <c r="AD39" s="209"/>
      <c r="AE39" s="209"/>
      <c r="AF39" s="209"/>
      <c r="AG39" s="209"/>
      <c r="AH39" s="209"/>
      <c r="AI39" s="209"/>
      <c r="AJ39" s="209"/>
      <c r="AK39" s="209"/>
      <c r="AL39" s="209"/>
      <c r="AM39" s="209"/>
      <c r="AN39" s="209"/>
      <c r="AO39" s="209"/>
      <c r="AP39" s="209"/>
      <c r="AQ39" s="209"/>
      <c r="AR39" s="209"/>
      <c r="AS39" s="209"/>
      <c r="AT39" s="209"/>
      <c r="AU39" s="209"/>
      <c r="AV39" s="209"/>
      <c r="AW39" s="209"/>
      <c r="AX39" s="209"/>
      <c r="AY39" s="209"/>
      <c r="AZ39" s="210" t="s">
        <v>7</v>
      </c>
      <c r="BA39" s="210"/>
      <c r="BB39" s="210"/>
      <c r="BC39" s="210"/>
      <c r="BD39" s="210"/>
      <c r="BE39" s="205" t="s">
        <v>94</v>
      </c>
      <c r="BF39" s="205"/>
      <c r="BG39" s="205"/>
      <c r="BH39" s="205"/>
    </row>
    <row r="40" spans="1:60" ht="56.1" customHeight="1">
      <c r="A40" s="206">
        <v>45785</v>
      </c>
      <c r="B40" s="206"/>
      <c r="C40" s="206"/>
      <c r="D40" s="206"/>
      <c r="E40" s="206"/>
      <c r="F40" s="211" t="s">
        <v>30</v>
      </c>
      <c r="G40" s="212"/>
      <c r="H40" s="212"/>
      <c r="I40" s="212"/>
      <c r="J40" s="212"/>
      <c r="K40" s="212"/>
      <c r="L40" s="212"/>
      <c r="M40" s="212"/>
      <c r="N40" s="212"/>
      <c r="O40" s="212"/>
      <c r="P40" s="212"/>
      <c r="Q40" s="212"/>
      <c r="R40" s="212"/>
      <c r="S40" s="213"/>
      <c r="T40" s="208" t="s">
        <v>95</v>
      </c>
      <c r="U40" s="209"/>
      <c r="V40" s="209"/>
      <c r="W40" s="209"/>
      <c r="X40" s="209"/>
      <c r="Y40" s="209"/>
      <c r="Z40" s="209"/>
      <c r="AA40" s="209"/>
      <c r="AB40" s="209"/>
      <c r="AC40" s="209"/>
      <c r="AD40" s="209"/>
      <c r="AE40" s="209"/>
      <c r="AF40" s="209"/>
      <c r="AG40" s="209"/>
      <c r="AH40" s="209"/>
      <c r="AI40" s="209"/>
      <c r="AJ40" s="209"/>
      <c r="AK40" s="209"/>
      <c r="AL40" s="209"/>
      <c r="AM40" s="209"/>
      <c r="AN40" s="209"/>
      <c r="AO40" s="209"/>
      <c r="AP40" s="209"/>
      <c r="AQ40" s="209"/>
      <c r="AR40" s="209"/>
      <c r="AS40" s="209"/>
      <c r="AT40" s="209"/>
      <c r="AU40" s="209"/>
      <c r="AV40" s="209"/>
      <c r="AW40" s="209"/>
      <c r="AX40" s="209"/>
      <c r="AY40" s="209"/>
      <c r="AZ40" s="210" t="s">
        <v>7</v>
      </c>
      <c r="BA40" s="210"/>
      <c r="BB40" s="210"/>
      <c r="BC40" s="210"/>
      <c r="BD40" s="210"/>
      <c r="BE40" s="205" t="s">
        <v>94</v>
      </c>
      <c r="BF40" s="205"/>
      <c r="BG40" s="205"/>
      <c r="BH40" s="205"/>
    </row>
    <row r="41" spans="1:60" ht="114.6" customHeight="1">
      <c r="A41" s="206">
        <v>45846</v>
      </c>
      <c r="B41" s="206"/>
      <c r="C41" s="206"/>
      <c r="D41" s="206"/>
      <c r="E41" s="206"/>
      <c r="F41" s="211" t="s">
        <v>30</v>
      </c>
      <c r="G41" s="212"/>
      <c r="H41" s="212"/>
      <c r="I41" s="212"/>
      <c r="J41" s="212"/>
      <c r="K41" s="212"/>
      <c r="L41" s="212"/>
      <c r="M41" s="212"/>
      <c r="N41" s="212"/>
      <c r="O41" s="212"/>
      <c r="P41" s="212"/>
      <c r="Q41" s="212"/>
      <c r="R41" s="212"/>
      <c r="S41" s="213"/>
      <c r="T41" s="208" t="s">
        <v>96</v>
      </c>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9"/>
      <c r="AR41" s="209"/>
      <c r="AS41" s="209"/>
      <c r="AT41" s="209"/>
      <c r="AU41" s="209"/>
      <c r="AV41" s="209"/>
      <c r="AW41" s="209"/>
      <c r="AX41" s="209"/>
      <c r="AY41" s="209"/>
      <c r="AZ41" s="210" t="s">
        <v>7</v>
      </c>
      <c r="BA41" s="210"/>
      <c r="BB41" s="210"/>
      <c r="BC41" s="210"/>
      <c r="BD41" s="210"/>
      <c r="BE41" s="205" t="s">
        <v>97</v>
      </c>
      <c r="BF41" s="205"/>
      <c r="BG41" s="205"/>
      <c r="BH41" s="205"/>
    </row>
    <row r="42" spans="1:60" ht="36.950000000000003" customHeight="1">
      <c r="A42" s="206">
        <v>45846</v>
      </c>
      <c r="B42" s="206"/>
      <c r="C42" s="206"/>
      <c r="D42" s="206"/>
      <c r="E42" s="206"/>
      <c r="F42" s="207" t="s">
        <v>98</v>
      </c>
      <c r="G42" s="207"/>
      <c r="H42" s="207"/>
      <c r="I42" s="207"/>
      <c r="J42" s="207"/>
      <c r="K42" s="207"/>
      <c r="L42" s="207"/>
      <c r="M42" s="207"/>
      <c r="N42" s="207"/>
      <c r="O42" s="207"/>
      <c r="P42" s="207"/>
      <c r="Q42" s="207"/>
      <c r="R42" s="207"/>
      <c r="S42" s="207"/>
      <c r="T42" s="208" t="s">
        <v>99</v>
      </c>
      <c r="U42" s="209"/>
      <c r="V42" s="209"/>
      <c r="W42" s="209"/>
      <c r="X42" s="209"/>
      <c r="Y42" s="209"/>
      <c r="Z42" s="209"/>
      <c r="AA42" s="209"/>
      <c r="AB42" s="209"/>
      <c r="AC42" s="209"/>
      <c r="AD42" s="209"/>
      <c r="AE42" s="209"/>
      <c r="AF42" s="209"/>
      <c r="AG42" s="209"/>
      <c r="AH42" s="209"/>
      <c r="AI42" s="209"/>
      <c r="AJ42" s="209"/>
      <c r="AK42" s="209"/>
      <c r="AL42" s="209"/>
      <c r="AM42" s="209"/>
      <c r="AN42" s="209"/>
      <c r="AO42" s="209"/>
      <c r="AP42" s="209"/>
      <c r="AQ42" s="209"/>
      <c r="AR42" s="209"/>
      <c r="AS42" s="209"/>
      <c r="AT42" s="209"/>
      <c r="AU42" s="209"/>
      <c r="AV42" s="209"/>
      <c r="AW42" s="209"/>
      <c r="AX42" s="209"/>
      <c r="AY42" s="209"/>
      <c r="AZ42" s="210" t="s">
        <v>7</v>
      </c>
      <c r="BA42" s="210"/>
      <c r="BB42" s="210"/>
      <c r="BC42" s="210"/>
      <c r="BD42" s="210"/>
      <c r="BE42" s="205" t="s">
        <v>97</v>
      </c>
      <c r="BF42" s="205"/>
      <c r="BG42" s="205"/>
      <c r="BH42" s="205"/>
    </row>
    <row r="43" spans="1:60" ht="30.6" customHeight="1">
      <c r="A43" s="206">
        <v>45862</v>
      </c>
      <c r="B43" s="206"/>
      <c r="C43" s="206"/>
      <c r="D43" s="206"/>
      <c r="E43" s="206"/>
      <c r="F43" s="207" t="s">
        <v>98</v>
      </c>
      <c r="G43" s="207"/>
      <c r="H43" s="207"/>
      <c r="I43" s="207"/>
      <c r="J43" s="207"/>
      <c r="K43" s="207"/>
      <c r="L43" s="207"/>
      <c r="M43" s="207"/>
      <c r="N43" s="207"/>
      <c r="O43" s="207"/>
      <c r="P43" s="207"/>
      <c r="Q43" s="207"/>
      <c r="R43" s="207"/>
      <c r="S43" s="207"/>
      <c r="T43" s="208" t="s">
        <v>52</v>
      </c>
      <c r="U43" s="209"/>
      <c r="V43" s="209"/>
      <c r="W43" s="209"/>
      <c r="X43" s="209"/>
      <c r="Y43" s="209"/>
      <c r="Z43" s="209"/>
      <c r="AA43" s="209"/>
      <c r="AB43" s="209"/>
      <c r="AC43" s="209"/>
      <c r="AD43" s="209"/>
      <c r="AE43" s="209"/>
      <c r="AF43" s="209"/>
      <c r="AG43" s="209"/>
      <c r="AH43" s="209"/>
      <c r="AI43" s="209"/>
      <c r="AJ43" s="209"/>
      <c r="AK43" s="209"/>
      <c r="AL43" s="209"/>
      <c r="AM43" s="209"/>
      <c r="AN43" s="209"/>
      <c r="AO43" s="209"/>
      <c r="AP43" s="209"/>
      <c r="AQ43" s="209"/>
      <c r="AR43" s="209"/>
      <c r="AS43" s="209"/>
      <c r="AT43" s="209"/>
      <c r="AU43" s="209"/>
      <c r="AV43" s="209"/>
      <c r="AW43" s="209"/>
      <c r="AX43" s="209"/>
      <c r="AY43" s="209"/>
      <c r="AZ43" s="210" t="s">
        <v>32</v>
      </c>
      <c r="BA43" s="210"/>
      <c r="BB43" s="210"/>
      <c r="BC43" s="210"/>
      <c r="BD43" s="210"/>
      <c r="BE43" s="205" t="s">
        <v>100</v>
      </c>
      <c r="BF43" s="205"/>
      <c r="BG43" s="205"/>
      <c r="BH43" s="205"/>
    </row>
    <row r="44" spans="1:60" ht="120.95" customHeight="1">
      <c r="A44" s="206">
        <v>45868</v>
      </c>
      <c r="B44" s="206"/>
      <c r="C44" s="206"/>
      <c r="D44" s="206"/>
      <c r="E44" s="206"/>
      <c r="F44" s="207" t="s">
        <v>101</v>
      </c>
      <c r="G44" s="207"/>
      <c r="H44" s="207"/>
      <c r="I44" s="207"/>
      <c r="J44" s="207"/>
      <c r="K44" s="207"/>
      <c r="L44" s="207"/>
      <c r="M44" s="207"/>
      <c r="N44" s="207"/>
      <c r="O44" s="207"/>
      <c r="P44" s="207"/>
      <c r="Q44" s="207"/>
      <c r="R44" s="207"/>
      <c r="S44" s="207"/>
      <c r="T44" s="208" t="s">
        <v>102</v>
      </c>
      <c r="U44" s="209"/>
      <c r="V44" s="209"/>
      <c r="W44" s="209"/>
      <c r="X44" s="209"/>
      <c r="Y44" s="209"/>
      <c r="Z44" s="209"/>
      <c r="AA44" s="209"/>
      <c r="AB44" s="209"/>
      <c r="AC44" s="209"/>
      <c r="AD44" s="209"/>
      <c r="AE44" s="209"/>
      <c r="AF44" s="209"/>
      <c r="AG44" s="209"/>
      <c r="AH44" s="209"/>
      <c r="AI44" s="209"/>
      <c r="AJ44" s="209"/>
      <c r="AK44" s="209"/>
      <c r="AL44" s="209"/>
      <c r="AM44" s="209"/>
      <c r="AN44" s="209"/>
      <c r="AO44" s="209"/>
      <c r="AP44" s="209"/>
      <c r="AQ44" s="209"/>
      <c r="AR44" s="209"/>
      <c r="AS44" s="209"/>
      <c r="AT44" s="209"/>
      <c r="AU44" s="209"/>
      <c r="AV44" s="209"/>
      <c r="AW44" s="209"/>
      <c r="AX44" s="209"/>
      <c r="AY44" s="209"/>
      <c r="AZ44" s="210" t="s">
        <v>32</v>
      </c>
      <c r="BA44" s="210"/>
      <c r="BB44" s="210"/>
      <c r="BC44" s="210"/>
      <c r="BD44" s="210"/>
      <c r="BE44" s="205" t="s">
        <v>103</v>
      </c>
      <c r="BF44" s="205"/>
      <c r="BG44" s="205"/>
      <c r="BH44" s="205"/>
    </row>
    <row r="45" spans="1:60" ht="17.100000000000001" customHeight="1">
      <c r="A45" s="214">
        <v>45890</v>
      </c>
      <c r="B45" s="215"/>
      <c r="C45" s="215"/>
      <c r="D45" s="215"/>
      <c r="E45" s="216"/>
      <c r="F45" s="207" t="s">
        <v>98</v>
      </c>
      <c r="G45" s="207"/>
      <c r="H45" s="207"/>
      <c r="I45" s="207"/>
      <c r="J45" s="207"/>
      <c r="K45" s="207"/>
      <c r="L45" s="207"/>
      <c r="M45" s="207"/>
      <c r="N45" s="207"/>
      <c r="O45" s="207"/>
      <c r="P45" s="207"/>
      <c r="Q45" s="207"/>
      <c r="R45" s="207"/>
      <c r="S45" s="207"/>
      <c r="T45" s="208" t="s">
        <v>104</v>
      </c>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10" t="s">
        <v>32</v>
      </c>
      <c r="BA45" s="210"/>
      <c r="BB45" s="210"/>
      <c r="BC45" s="210"/>
      <c r="BD45" s="210"/>
      <c r="BE45" s="281" t="s">
        <v>105</v>
      </c>
      <c r="BF45" s="282"/>
      <c r="BG45" s="282"/>
      <c r="BH45" s="283"/>
    </row>
    <row r="46" spans="1:60" ht="15" customHeight="1">
      <c r="A46" s="206">
        <v>45911</v>
      </c>
      <c r="B46" s="206"/>
      <c r="C46" s="206"/>
      <c r="D46" s="206"/>
      <c r="E46" s="206"/>
      <c r="F46" s="207" t="s">
        <v>45</v>
      </c>
      <c r="G46" s="207"/>
      <c r="H46" s="207"/>
      <c r="I46" s="207"/>
      <c r="J46" s="207"/>
      <c r="K46" s="207"/>
      <c r="L46" s="207"/>
      <c r="M46" s="207"/>
      <c r="N46" s="207"/>
      <c r="O46" s="207"/>
      <c r="P46" s="207"/>
      <c r="Q46" s="207"/>
      <c r="R46" s="207"/>
      <c r="S46" s="207"/>
      <c r="T46" s="209" t="s">
        <v>106</v>
      </c>
      <c r="U46" s="209"/>
      <c r="V46" s="209"/>
      <c r="W46" s="209"/>
      <c r="X46" s="209"/>
      <c r="Y46" s="209"/>
      <c r="Z46" s="209"/>
      <c r="AA46" s="209"/>
      <c r="AB46" s="209"/>
      <c r="AC46" s="209"/>
      <c r="AD46" s="209"/>
      <c r="AE46" s="209"/>
      <c r="AF46" s="209"/>
      <c r="AG46" s="209"/>
      <c r="AH46" s="209"/>
      <c r="AI46" s="209"/>
      <c r="AJ46" s="209"/>
      <c r="AK46" s="209"/>
      <c r="AL46" s="209"/>
      <c r="AM46" s="209"/>
      <c r="AN46" s="209"/>
      <c r="AO46" s="209"/>
      <c r="AP46" s="209"/>
      <c r="AQ46" s="209"/>
      <c r="AR46" s="209"/>
      <c r="AS46" s="209"/>
      <c r="AT46" s="209"/>
      <c r="AU46" s="209"/>
      <c r="AV46" s="209"/>
      <c r="AW46" s="209"/>
      <c r="AX46" s="209"/>
      <c r="AY46" s="209"/>
      <c r="AZ46" s="210" t="s">
        <v>7</v>
      </c>
      <c r="BA46" s="210"/>
      <c r="BB46" s="210"/>
      <c r="BC46" s="210"/>
      <c r="BD46" s="210"/>
      <c r="BE46" s="205" t="s">
        <v>107</v>
      </c>
      <c r="BF46" s="205"/>
      <c r="BG46" s="205"/>
      <c r="BH46" s="205"/>
    </row>
    <row r="47" spans="1:60" ht="17.100000000000001" customHeight="1">
      <c r="A47" s="214"/>
      <c r="B47" s="215"/>
      <c r="C47" s="215"/>
      <c r="D47" s="215"/>
      <c r="E47" s="216"/>
      <c r="F47" s="211"/>
      <c r="G47" s="212"/>
      <c r="H47" s="212"/>
      <c r="I47" s="212"/>
      <c r="J47" s="212"/>
      <c r="K47" s="212"/>
      <c r="L47" s="212"/>
      <c r="M47" s="212"/>
      <c r="N47" s="212"/>
      <c r="O47" s="212"/>
      <c r="P47" s="212"/>
      <c r="Q47" s="212"/>
      <c r="R47" s="212"/>
      <c r="S47" s="213"/>
      <c r="T47" s="277"/>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20"/>
      <c r="AZ47" s="278"/>
      <c r="BA47" s="279"/>
      <c r="BB47" s="279"/>
      <c r="BC47" s="279"/>
      <c r="BD47" s="280"/>
      <c r="BE47" s="281"/>
      <c r="BF47" s="282"/>
      <c r="BG47" s="282"/>
      <c r="BH47" s="283"/>
    </row>
    <row r="48" spans="1:60" ht="15" customHeight="1">
      <c r="A48" s="206"/>
      <c r="B48" s="206"/>
      <c r="C48" s="206"/>
      <c r="D48" s="206"/>
      <c r="E48" s="206"/>
      <c r="F48" s="207"/>
      <c r="G48" s="207"/>
      <c r="H48" s="207"/>
      <c r="I48" s="207"/>
      <c r="J48" s="207"/>
      <c r="K48" s="207"/>
      <c r="L48" s="207"/>
      <c r="M48" s="207"/>
      <c r="N48" s="207"/>
      <c r="O48" s="207"/>
      <c r="P48" s="207"/>
      <c r="Q48" s="207"/>
      <c r="R48" s="207"/>
      <c r="S48" s="207"/>
      <c r="T48" s="209"/>
      <c r="U48" s="209"/>
      <c r="V48" s="209"/>
      <c r="W48" s="209"/>
      <c r="X48" s="209"/>
      <c r="Y48" s="209"/>
      <c r="Z48" s="209"/>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09"/>
      <c r="AW48" s="209"/>
      <c r="AX48" s="209"/>
      <c r="AY48" s="209"/>
      <c r="AZ48" s="210"/>
      <c r="BA48" s="210"/>
      <c r="BB48" s="210"/>
      <c r="BC48" s="210"/>
      <c r="BD48" s="210"/>
      <c r="BE48" s="205"/>
      <c r="BF48" s="205"/>
      <c r="BG48" s="205"/>
      <c r="BH48" s="205"/>
    </row>
    <row r="49" spans="1:60" ht="15" customHeight="1" thickBot="1">
      <c r="A49" s="272"/>
      <c r="B49" s="272"/>
      <c r="C49" s="272"/>
      <c r="D49" s="272"/>
      <c r="E49" s="272"/>
      <c r="F49" s="273"/>
      <c r="G49" s="273"/>
      <c r="H49" s="273"/>
      <c r="I49" s="273"/>
      <c r="J49" s="273"/>
      <c r="K49" s="273"/>
      <c r="L49" s="273"/>
      <c r="M49" s="273"/>
      <c r="N49" s="273"/>
      <c r="O49" s="273"/>
      <c r="P49" s="273"/>
      <c r="Q49" s="273"/>
      <c r="R49" s="273"/>
      <c r="S49" s="273"/>
      <c r="T49" s="274"/>
      <c r="U49" s="274"/>
      <c r="V49" s="274"/>
      <c r="W49" s="274"/>
      <c r="X49" s="274"/>
      <c r="Y49" s="274"/>
      <c r="Z49" s="274"/>
      <c r="AA49" s="274"/>
      <c r="AB49" s="274"/>
      <c r="AC49" s="274"/>
      <c r="AD49" s="274"/>
      <c r="AE49" s="274"/>
      <c r="AF49" s="274"/>
      <c r="AG49" s="274"/>
      <c r="AH49" s="274"/>
      <c r="AI49" s="274"/>
      <c r="AJ49" s="274"/>
      <c r="AK49" s="274"/>
      <c r="AL49" s="274"/>
      <c r="AM49" s="274"/>
      <c r="AN49" s="274"/>
      <c r="AO49" s="274"/>
      <c r="AP49" s="274"/>
      <c r="AQ49" s="274"/>
      <c r="AR49" s="274"/>
      <c r="AS49" s="274"/>
      <c r="AT49" s="274"/>
      <c r="AU49" s="274"/>
      <c r="AV49" s="274"/>
      <c r="AW49" s="274"/>
      <c r="AX49" s="274"/>
      <c r="AY49" s="274"/>
      <c r="AZ49" s="275"/>
      <c r="BA49" s="275"/>
      <c r="BB49" s="275"/>
      <c r="BC49" s="275"/>
      <c r="BD49" s="275"/>
      <c r="BE49" s="276"/>
      <c r="BF49" s="276"/>
      <c r="BG49" s="276"/>
      <c r="BH49" s="276"/>
    </row>
  </sheetData>
  <mergeCells count="239">
    <mergeCell ref="BE41:BH41"/>
    <mergeCell ref="A39:E39"/>
    <mergeCell ref="F39:S39"/>
    <mergeCell ref="T39:AY39"/>
    <mergeCell ref="AZ39:BD39"/>
    <mergeCell ref="BE39:BH39"/>
    <mergeCell ref="A40:E40"/>
    <mergeCell ref="F40:S40"/>
    <mergeCell ref="T40:AY40"/>
    <mergeCell ref="AZ40:BD40"/>
    <mergeCell ref="BE40:BH40"/>
    <mergeCell ref="A47:E47"/>
    <mergeCell ref="F47:S47"/>
    <mergeCell ref="T47:AY47"/>
    <mergeCell ref="AZ47:BD47"/>
    <mergeCell ref="BE47:BH47"/>
    <mergeCell ref="A45:E45"/>
    <mergeCell ref="F45:S45"/>
    <mergeCell ref="T45:AY45"/>
    <mergeCell ref="AZ45:BD45"/>
    <mergeCell ref="BE45:BH45"/>
    <mergeCell ref="A46:E46"/>
    <mergeCell ref="F46:S46"/>
    <mergeCell ref="T46:AY46"/>
    <mergeCell ref="AZ46:BD46"/>
    <mergeCell ref="BE46:BH46"/>
    <mergeCell ref="T36:AY36"/>
    <mergeCell ref="AZ36:BD36"/>
    <mergeCell ref="BE36:BH36"/>
    <mergeCell ref="BE26:BH26"/>
    <mergeCell ref="A27:E27"/>
    <mergeCell ref="F27:S27"/>
    <mergeCell ref="T27:AY27"/>
    <mergeCell ref="AZ27:BD27"/>
    <mergeCell ref="BE27:BH27"/>
    <mergeCell ref="A30:E30"/>
    <mergeCell ref="F30:S30"/>
    <mergeCell ref="T30:AY30"/>
    <mergeCell ref="AZ30:BD30"/>
    <mergeCell ref="BE30:BH30"/>
    <mergeCell ref="A28:E28"/>
    <mergeCell ref="F28:S28"/>
    <mergeCell ref="T28:AY28"/>
    <mergeCell ref="AZ28:BD28"/>
    <mergeCell ref="BE28:BH28"/>
    <mergeCell ref="A29:E29"/>
    <mergeCell ref="F29:S29"/>
    <mergeCell ref="A34:E34"/>
    <mergeCell ref="F34:S34"/>
    <mergeCell ref="T34:AY34"/>
    <mergeCell ref="AZ34:BD34"/>
    <mergeCell ref="BE34:BH34"/>
    <mergeCell ref="A49:E49"/>
    <mergeCell ref="F49:S49"/>
    <mergeCell ref="T49:AY49"/>
    <mergeCell ref="AZ49:BD49"/>
    <mergeCell ref="BE49:BH49"/>
    <mergeCell ref="A35:E35"/>
    <mergeCell ref="F35:S35"/>
    <mergeCell ref="T35:AY35"/>
    <mergeCell ref="AZ35:BD35"/>
    <mergeCell ref="BE35:BH35"/>
    <mergeCell ref="A48:E48"/>
    <mergeCell ref="F48:S48"/>
    <mergeCell ref="T48:AY48"/>
    <mergeCell ref="AZ48:BD48"/>
    <mergeCell ref="BE48:BH48"/>
    <mergeCell ref="A37:E37"/>
    <mergeCell ref="BE37:BH37"/>
    <mergeCell ref="A36:E36"/>
    <mergeCell ref="F36:S36"/>
    <mergeCell ref="F37:S37"/>
    <mergeCell ref="T37:AY37"/>
    <mergeCell ref="AZ37:BD37"/>
    <mergeCell ref="A17:E17"/>
    <mergeCell ref="F17:S17"/>
    <mergeCell ref="T17:AY17"/>
    <mergeCell ref="AZ17:BD17"/>
    <mergeCell ref="BE17:BH17"/>
    <mergeCell ref="A18:E18"/>
    <mergeCell ref="F18:S18"/>
    <mergeCell ref="T18:AY18"/>
    <mergeCell ref="AZ18:BD18"/>
    <mergeCell ref="BE18:BH18"/>
    <mergeCell ref="A19:E19"/>
    <mergeCell ref="F19:S19"/>
    <mergeCell ref="T19:AY19"/>
    <mergeCell ref="AZ19:BD19"/>
    <mergeCell ref="BE19:BH19"/>
    <mergeCell ref="A21:E21"/>
    <mergeCell ref="F21:S21"/>
    <mergeCell ref="T21:AY21"/>
    <mergeCell ref="AZ21:BD21"/>
    <mergeCell ref="BE21:BH21"/>
    <mergeCell ref="A20:E20"/>
    <mergeCell ref="F20:S20"/>
    <mergeCell ref="T20:AY20"/>
    <mergeCell ref="AZ20:BD20"/>
    <mergeCell ref="BE20:BH20"/>
    <mergeCell ref="A15:E15"/>
    <mergeCell ref="F15:S15"/>
    <mergeCell ref="T15:AY15"/>
    <mergeCell ref="AZ15:BD15"/>
    <mergeCell ref="BE15:BH15"/>
    <mergeCell ref="A16:E16"/>
    <mergeCell ref="F16:S16"/>
    <mergeCell ref="T16:AY16"/>
    <mergeCell ref="AZ16:BD16"/>
    <mergeCell ref="BE16:BH16"/>
    <mergeCell ref="A13:E13"/>
    <mergeCell ref="F13:S13"/>
    <mergeCell ref="T13:AY13"/>
    <mergeCell ref="AZ13:BD13"/>
    <mergeCell ref="BE13:BH13"/>
    <mergeCell ref="A14:E14"/>
    <mergeCell ref="F14:S14"/>
    <mergeCell ref="T14:AY14"/>
    <mergeCell ref="AZ14:BD14"/>
    <mergeCell ref="BE14:BH14"/>
    <mergeCell ref="A11:E11"/>
    <mergeCell ref="F11:S11"/>
    <mergeCell ref="T11:AY11"/>
    <mergeCell ref="AZ11:BD11"/>
    <mergeCell ref="BE11:BH11"/>
    <mergeCell ref="A12:E12"/>
    <mergeCell ref="F12:S12"/>
    <mergeCell ref="T12:AY12"/>
    <mergeCell ref="AZ12:BD12"/>
    <mergeCell ref="BE12:BH12"/>
    <mergeCell ref="A9:E9"/>
    <mergeCell ref="F9:S9"/>
    <mergeCell ref="T9:AY9"/>
    <mergeCell ref="AZ9:BD9"/>
    <mergeCell ref="BE9:BH9"/>
    <mergeCell ref="A10:E10"/>
    <mergeCell ref="F10:S10"/>
    <mergeCell ref="T10:AY10"/>
    <mergeCell ref="AZ10:BD10"/>
    <mergeCell ref="BE10:BH10"/>
    <mergeCell ref="A7:E7"/>
    <mergeCell ref="F7:S7"/>
    <mergeCell ref="T7:AY7"/>
    <mergeCell ref="AZ7:BD7"/>
    <mergeCell ref="BE7:BH7"/>
    <mergeCell ref="A8:E8"/>
    <mergeCell ref="F8:S8"/>
    <mergeCell ref="T8:AY8"/>
    <mergeCell ref="AZ8:BD8"/>
    <mergeCell ref="BE8:BH8"/>
    <mergeCell ref="A5:E5"/>
    <mergeCell ref="F5:S5"/>
    <mergeCell ref="T5:AY5"/>
    <mergeCell ref="AZ5:BD5"/>
    <mergeCell ref="BE5:BH5"/>
    <mergeCell ref="A6:E6"/>
    <mergeCell ref="F6:S6"/>
    <mergeCell ref="T6:AY6"/>
    <mergeCell ref="AZ6:BD6"/>
    <mergeCell ref="BE6:BH6"/>
    <mergeCell ref="A1:E1"/>
    <mergeCell ref="F1:V1"/>
    <mergeCell ref="W1:AQ1"/>
    <mergeCell ref="AR1:AZ1"/>
    <mergeCell ref="BA1:BH1"/>
    <mergeCell ref="A2:E3"/>
    <mergeCell ref="F2:V3"/>
    <mergeCell ref="W2:AQ3"/>
    <mergeCell ref="AR2:AS2"/>
    <mergeCell ref="AT2:AZ2"/>
    <mergeCell ref="BA2:BH2"/>
    <mergeCell ref="AR3:AS3"/>
    <mergeCell ref="AT3:AZ3"/>
    <mergeCell ref="BA3:BH3"/>
    <mergeCell ref="A25:E25"/>
    <mergeCell ref="F25:S25"/>
    <mergeCell ref="T25:AY25"/>
    <mergeCell ref="AZ25:BD25"/>
    <mergeCell ref="BE25:BH25"/>
    <mergeCell ref="A22:E22"/>
    <mergeCell ref="F22:S22"/>
    <mergeCell ref="T22:AY22"/>
    <mergeCell ref="AZ22:BD22"/>
    <mergeCell ref="BE22:BH22"/>
    <mergeCell ref="BE23:BH23"/>
    <mergeCell ref="A24:E24"/>
    <mergeCell ref="F24:S24"/>
    <mergeCell ref="T24:AY24"/>
    <mergeCell ref="AZ24:BD24"/>
    <mergeCell ref="BE24:BH24"/>
    <mergeCell ref="A23:E23"/>
    <mergeCell ref="F23:S23"/>
    <mergeCell ref="T23:AY23"/>
    <mergeCell ref="AZ23:BD23"/>
    <mergeCell ref="A26:E26"/>
    <mergeCell ref="F26:S26"/>
    <mergeCell ref="T26:AY26"/>
    <mergeCell ref="AZ26:BD26"/>
    <mergeCell ref="A33:E33"/>
    <mergeCell ref="F33:S33"/>
    <mergeCell ref="T33:AY33"/>
    <mergeCell ref="AZ33:BD33"/>
    <mergeCell ref="BE33:BH33"/>
    <mergeCell ref="A31:E31"/>
    <mergeCell ref="F31:S31"/>
    <mergeCell ref="T31:AY31"/>
    <mergeCell ref="AZ31:BD31"/>
    <mergeCell ref="BE31:BH31"/>
    <mergeCell ref="A32:E32"/>
    <mergeCell ref="F32:S32"/>
    <mergeCell ref="T32:AY32"/>
    <mergeCell ref="AZ32:BD32"/>
    <mergeCell ref="BE32:BH32"/>
    <mergeCell ref="T29:AY29"/>
    <mergeCell ref="AZ29:BD29"/>
    <mergeCell ref="BE29:BH29"/>
    <mergeCell ref="BE43:BH43"/>
    <mergeCell ref="A44:E44"/>
    <mergeCell ref="F44:S44"/>
    <mergeCell ref="T44:AY44"/>
    <mergeCell ref="AZ44:BD44"/>
    <mergeCell ref="BE44:BH44"/>
    <mergeCell ref="A38:E38"/>
    <mergeCell ref="F38:S38"/>
    <mergeCell ref="T38:AY38"/>
    <mergeCell ref="AZ38:BD38"/>
    <mergeCell ref="BE38:BH38"/>
    <mergeCell ref="A42:E42"/>
    <mergeCell ref="F42:S42"/>
    <mergeCell ref="T42:AY42"/>
    <mergeCell ref="AZ42:BD42"/>
    <mergeCell ref="BE42:BH42"/>
    <mergeCell ref="A43:E43"/>
    <mergeCell ref="F43:S43"/>
    <mergeCell ref="T43:AY43"/>
    <mergeCell ref="AZ43:BD43"/>
    <mergeCell ref="A41:E41"/>
    <mergeCell ref="F41:S41"/>
    <mergeCell ref="T41:AY41"/>
    <mergeCell ref="AZ41:BD41"/>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60A0-22D8-44A5-8792-2EDEDAFDBC81}">
  <sheetPr>
    <pageSetUpPr autoPageBreaks="0"/>
  </sheetPr>
  <dimension ref="A1:BT277"/>
  <sheetViews>
    <sheetView showGridLines="0" zoomScaleNormal="100" zoomScaleSheetLayoutView="80" workbookViewId="0">
      <pane xSplit="18" ySplit="11" topLeftCell="S12" activePane="bottomRight" state="frozen"/>
      <selection pane="bottomRight" activeCell="S12" sqref="S12"/>
      <selection pane="bottomLeft" activeCell="A12" sqref="A12"/>
      <selection pane="topRight" activeCell="S1" sqref="S1"/>
    </sheetView>
  </sheetViews>
  <sheetFormatPr defaultColWidth="2.375" defaultRowHeight="13.5"/>
  <cols>
    <col min="1" max="1" width="2.375" style="1"/>
    <col min="2" max="2" width="2.375" style="70" customWidth="1"/>
    <col min="3" max="17" width="2.375" style="70"/>
    <col min="18" max="18" width="3.375" style="1" customWidth="1"/>
    <col min="19" max="31" width="2.375" style="1"/>
    <col min="32" max="45" width="3.75" style="1" customWidth="1"/>
    <col min="46" max="16384" width="2.375" style="1"/>
  </cols>
  <sheetData>
    <row r="1" spans="1:72"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228" t="s">
        <v>10</v>
      </c>
      <c r="AM1" s="229"/>
      <c r="AN1" s="229"/>
      <c r="AO1" s="229"/>
      <c r="AP1" s="229"/>
      <c r="AQ1" s="229"/>
      <c r="AR1" s="229"/>
      <c r="AS1" s="229"/>
      <c r="AT1" s="230"/>
      <c r="AU1" s="228" t="s">
        <v>11</v>
      </c>
      <c r="AV1" s="229"/>
      <c r="AW1" s="229"/>
      <c r="AX1" s="229"/>
      <c r="AY1" s="229"/>
      <c r="AZ1" s="230"/>
    </row>
    <row r="2" spans="1:72"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51">
        <f>変更履歴!AT2</f>
        <v>45420</v>
      </c>
      <c r="AO2" s="252"/>
      <c r="AP2" s="252"/>
      <c r="AQ2" s="252"/>
      <c r="AR2" s="252"/>
      <c r="AS2" s="252"/>
      <c r="AT2" s="253"/>
      <c r="AU2" s="254" t="str">
        <f>変更履歴!BA2</f>
        <v>JBS井田</v>
      </c>
      <c r="AV2" s="255"/>
      <c r="AW2" s="255"/>
      <c r="AX2" s="255"/>
      <c r="AY2" s="255"/>
      <c r="AZ2" s="256"/>
    </row>
    <row r="3" spans="1:72"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9">
        <f ca="1">変更履歴!AT3</f>
        <v>45911</v>
      </c>
      <c r="AO3" s="260"/>
      <c r="AP3" s="260"/>
      <c r="AQ3" s="260"/>
      <c r="AR3" s="260"/>
      <c r="AS3" s="260"/>
      <c r="AT3" s="261"/>
      <c r="AU3" s="262" t="str">
        <f ca="1">変更履歴!BA3</f>
        <v>JBS加藤</v>
      </c>
      <c r="AV3" s="263"/>
      <c r="AW3" s="263"/>
      <c r="AX3" s="263"/>
      <c r="AY3" s="263"/>
      <c r="AZ3" s="264"/>
    </row>
    <row r="4" spans="1:72">
      <c r="A4" s="2"/>
    </row>
    <row r="5" spans="1:72">
      <c r="A5" s="3"/>
      <c r="B5" s="71"/>
      <c r="C5" s="71"/>
      <c r="D5" s="71"/>
      <c r="E5" s="71"/>
      <c r="F5" s="71"/>
      <c r="G5" s="71"/>
      <c r="H5" s="71"/>
      <c r="I5" s="71"/>
      <c r="J5" s="71"/>
      <c r="K5" s="71"/>
      <c r="L5" s="71"/>
      <c r="M5" s="71"/>
      <c r="N5" s="71"/>
      <c r="O5" s="71"/>
      <c r="P5" s="71"/>
      <c r="Q5" s="71"/>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row>
    <row r="6" spans="1:72" s="8" customFormat="1">
      <c r="A6" s="5" t="s">
        <v>109</v>
      </c>
      <c r="B6" s="72"/>
      <c r="C6" s="72"/>
      <c r="D6" s="72"/>
      <c r="E6" s="72"/>
      <c r="F6" s="72"/>
      <c r="G6" s="72"/>
      <c r="H6" s="72"/>
      <c r="I6" s="72"/>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7"/>
    </row>
    <row r="7" spans="1:72" s="8" customFormat="1">
      <c r="A7" s="43"/>
      <c r="B7" s="73"/>
      <c r="C7" s="73"/>
      <c r="D7" s="73"/>
      <c r="E7" s="73"/>
      <c r="F7" s="73"/>
      <c r="G7" s="73"/>
      <c r="H7" s="73"/>
      <c r="I7" s="73"/>
      <c r="J7" s="73"/>
      <c r="K7" s="73"/>
      <c r="L7" s="73"/>
      <c r="M7" s="73"/>
      <c r="N7" s="73"/>
      <c r="O7" s="73"/>
      <c r="P7" s="73"/>
      <c r="Q7" s="73"/>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41"/>
      <c r="BL7" s="44"/>
      <c r="BM7" s="44"/>
      <c r="BN7" s="44"/>
      <c r="BO7" s="44"/>
      <c r="BP7" s="44"/>
      <c r="BQ7" s="44"/>
      <c r="BR7" s="44"/>
      <c r="BS7" s="31"/>
    </row>
    <row r="8" spans="1:72" s="8" customFormat="1" ht="14.1" customHeight="1" thickBot="1">
      <c r="A8" s="9"/>
      <c r="B8" s="310" t="s">
        <v>110</v>
      </c>
      <c r="C8" s="311"/>
      <c r="D8" s="311"/>
      <c r="E8" s="311"/>
      <c r="F8" s="311"/>
      <c r="G8" s="311"/>
      <c r="H8" s="311"/>
      <c r="I8" s="312"/>
      <c r="J8" s="316" t="s">
        <v>111</v>
      </c>
      <c r="K8" s="311"/>
      <c r="L8" s="311"/>
      <c r="M8" s="311"/>
      <c r="N8" s="311"/>
      <c r="O8" s="311"/>
      <c r="P8" s="311"/>
      <c r="Q8" s="311"/>
      <c r="R8" s="302" t="s">
        <v>112</v>
      </c>
      <c r="S8" s="318" t="s">
        <v>113</v>
      </c>
      <c r="T8" s="319"/>
      <c r="U8" s="319"/>
      <c r="V8" s="319"/>
      <c r="W8" s="319"/>
      <c r="X8" s="319"/>
      <c r="Y8" s="319"/>
      <c r="Z8" s="319"/>
      <c r="AA8" s="319"/>
      <c r="AB8" s="319"/>
      <c r="AC8" s="319"/>
      <c r="AD8" s="319"/>
      <c r="AE8" s="320"/>
      <c r="AF8" s="322" t="s">
        <v>114</v>
      </c>
      <c r="AG8" s="323"/>
      <c r="AH8" s="323"/>
      <c r="AI8" s="323"/>
      <c r="AJ8" s="323"/>
      <c r="AK8" s="323"/>
      <c r="AL8" s="323"/>
      <c r="AM8" s="323"/>
      <c r="AN8" s="323"/>
      <c r="AO8" s="323"/>
      <c r="AP8" s="323"/>
      <c r="AQ8" s="323"/>
      <c r="AR8" s="323"/>
      <c r="AS8" s="304"/>
      <c r="AT8" s="319" t="s">
        <v>115</v>
      </c>
      <c r="AU8" s="319"/>
      <c r="AV8" s="319"/>
      <c r="AW8" s="319"/>
      <c r="AX8" s="319"/>
      <c r="AY8" s="319"/>
      <c r="AZ8" s="319"/>
      <c r="BA8" s="320"/>
      <c r="BB8" s="302" t="s">
        <v>116</v>
      </c>
      <c r="BC8" s="302"/>
      <c r="BD8" s="302"/>
      <c r="BE8" s="302"/>
      <c r="BF8" s="302"/>
      <c r="BG8" s="302"/>
      <c r="BH8" s="302"/>
      <c r="BI8" s="302"/>
      <c r="BJ8" s="304" t="s">
        <v>117</v>
      </c>
      <c r="BK8" s="302"/>
      <c r="BL8" s="302"/>
      <c r="BM8" s="302"/>
      <c r="BN8" s="302"/>
      <c r="BO8" s="302"/>
      <c r="BP8" s="302"/>
      <c r="BQ8" s="302"/>
      <c r="BR8" s="305"/>
      <c r="BS8" s="10"/>
    </row>
    <row r="9" spans="1:72" s="8" customFormat="1">
      <c r="A9" s="9"/>
      <c r="B9" s="313"/>
      <c r="C9" s="314"/>
      <c r="D9" s="314"/>
      <c r="E9" s="314"/>
      <c r="F9" s="314"/>
      <c r="G9" s="314"/>
      <c r="H9" s="314"/>
      <c r="I9" s="315"/>
      <c r="J9" s="317"/>
      <c r="K9" s="314"/>
      <c r="L9" s="314"/>
      <c r="M9" s="314"/>
      <c r="N9" s="314"/>
      <c r="O9" s="314"/>
      <c r="P9" s="314"/>
      <c r="Q9" s="314"/>
      <c r="R9" s="303"/>
      <c r="S9" s="292"/>
      <c r="T9" s="321"/>
      <c r="U9" s="321"/>
      <c r="V9" s="321"/>
      <c r="W9" s="321"/>
      <c r="X9" s="321"/>
      <c r="Y9" s="321"/>
      <c r="Z9" s="321"/>
      <c r="AA9" s="321"/>
      <c r="AB9" s="321"/>
      <c r="AC9" s="321"/>
      <c r="AD9" s="321"/>
      <c r="AE9" s="293"/>
      <c r="AF9" s="292" t="s">
        <v>118</v>
      </c>
      <c r="AG9" s="293"/>
      <c r="AH9" s="292" t="s">
        <v>119</v>
      </c>
      <c r="AI9" s="293"/>
      <c r="AJ9" s="292" t="s">
        <v>120</v>
      </c>
      <c r="AK9" s="293"/>
      <c r="AL9" s="292" t="s">
        <v>121</v>
      </c>
      <c r="AM9" s="293"/>
      <c r="AN9" s="292" t="s">
        <v>122</v>
      </c>
      <c r="AO9" s="293"/>
      <c r="AP9" s="292" t="s">
        <v>123</v>
      </c>
      <c r="AQ9" s="293"/>
      <c r="AR9" s="308" t="s">
        <v>124</v>
      </c>
      <c r="AS9" s="309"/>
      <c r="AT9" s="321"/>
      <c r="AU9" s="321"/>
      <c r="AV9" s="321"/>
      <c r="AW9" s="321"/>
      <c r="AX9" s="321"/>
      <c r="AY9" s="321"/>
      <c r="AZ9" s="321"/>
      <c r="BA9" s="293"/>
      <c r="BB9" s="303"/>
      <c r="BC9" s="303"/>
      <c r="BD9" s="303"/>
      <c r="BE9" s="303"/>
      <c r="BF9" s="303"/>
      <c r="BG9" s="303"/>
      <c r="BH9" s="303"/>
      <c r="BI9" s="303"/>
      <c r="BJ9" s="306"/>
      <c r="BK9" s="303"/>
      <c r="BL9" s="303"/>
      <c r="BM9" s="303"/>
      <c r="BN9" s="303"/>
      <c r="BO9" s="303"/>
      <c r="BP9" s="303"/>
      <c r="BQ9" s="303"/>
      <c r="BR9" s="307"/>
      <c r="BS9" s="10"/>
    </row>
    <row r="10" spans="1:72" s="8" customFormat="1">
      <c r="A10" s="9"/>
      <c r="B10" s="74" t="s">
        <v>125</v>
      </c>
      <c r="C10" s="75"/>
      <c r="D10" s="75"/>
      <c r="E10" s="75"/>
      <c r="F10" s="75"/>
      <c r="G10" s="75"/>
      <c r="H10" s="75"/>
      <c r="I10" s="75"/>
      <c r="J10" s="75"/>
      <c r="K10" s="75"/>
      <c r="L10" s="75"/>
      <c r="M10" s="75"/>
      <c r="N10" s="75"/>
      <c r="O10" s="75"/>
      <c r="P10" s="75"/>
      <c r="Q10" s="7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6"/>
      <c r="BJ10" s="25"/>
      <c r="BK10" s="25"/>
      <c r="BL10" s="25"/>
      <c r="BM10" s="25"/>
      <c r="BN10" s="25"/>
      <c r="BO10" s="25"/>
      <c r="BP10" s="25"/>
      <c r="BQ10" s="25"/>
      <c r="BR10" s="26"/>
      <c r="BS10" s="10"/>
      <c r="BT10" s="11"/>
    </row>
    <row r="11" spans="1:72" s="8" customFormat="1">
      <c r="A11" s="9"/>
      <c r="B11" s="76" t="s">
        <v>126</v>
      </c>
      <c r="C11" s="77"/>
      <c r="D11" s="77"/>
      <c r="E11" s="77"/>
      <c r="F11" s="77"/>
      <c r="G11" s="77"/>
      <c r="H11" s="77"/>
      <c r="I11" s="77"/>
      <c r="J11" s="77"/>
      <c r="K11" s="77"/>
      <c r="L11" s="77"/>
      <c r="M11" s="77"/>
      <c r="N11" s="77"/>
      <c r="O11" s="77"/>
      <c r="P11" s="77"/>
      <c r="Q11" s="7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7"/>
      <c r="BK11" s="27"/>
      <c r="BL11" s="27"/>
      <c r="BM11" s="27"/>
      <c r="BN11" s="27"/>
      <c r="BO11" s="27"/>
      <c r="BP11" s="27"/>
      <c r="BQ11" s="27"/>
      <c r="BR11" s="28"/>
      <c r="BS11" s="10"/>
      <c r="BT11" s="11"/>
    </row>
    <row r="12" spans="1:72" s="8" customFormat="1">
      <c r="A12" s="9"/>
      <c r="B12" s="78" t="s">
        <v>127</v>
      </c>
      <c r="C12" s="73"/>
      <c r="D12" s="73"/>
      <c r="E12" s="73"/>
      <c r="F12" s="73"/>
      <c r="G12" s="73"/>
      <c r="H12" s="73"/>
      <c r="I12" s="79"/>
      <c r="J12" s="73" t="s">
        <v>128</v>
      </c>
      <c r="K12" s="73"/>
      <c r="L12" s="73"/>
      <c r="M12" s="73"/>
      <c r="N12" s="73"/>
      <c r="O12" s="73"/>
      <c r="P12" s="73"/>
      <c r="Q12" s="79"/>
      <c r="R12" s="38">
        <v>1</v>
      </c>
      <c r="S12" s="36" t="s">
        <v>129</v>
      </c>
      <c r="T12" s="37"/>
      <c r="U12" s="37"/>
      <c r="V12" s="37"/>
      <c r="W12" s="37"/>
      <c r="X12" s="37"/>
      <c r="Y12" s="37"/>
      <c r="Z12" s="37"/>
      <c r="AA12" s="37"/>
      <c r="AB12" s="37"/>
      <c r="AC12" s="37"/>
      <c r="AD12" s="37"/>
      <c r="AE12" s="38"/>
      <c r="AF12" s="284"/>
      <c r="AG12" s="286"/>
      <c r="AH12" s="284" t="s">
        <v>130</v>
      </c>
      <c r="AI12" s="286"/>
      <c r="AJ12" s="284"/>
      <c r="AK12" s="286"/>
      <c r="AL12" s="284"/>
      <c r="AM12" s="286"/>
      <c r="AN12" s="284"/>
      <c r="AO12" s="286"/>
      <c r="AP12" s="284"/>
      <c r="AQ12" s="286"/>
      <c r="AR12" s="284"/>
      <c r="AS12" s="286"/>
      <c r="AT12" s="284" t="s">
        <v>131</v>
      </c>
      <c r="AU12" s="285"/>
      <c r="AV12" s="285"/>
      <c r="AW12" s="285"/>
      <c r="AX12" s="285"/>
      <c r="AY12" s="285"/>
      <c r="AZ12" s="285"/>
      <c r="BA12" s="286"/>
      <c r="BB12" s="287" t="s">
        <v>132</v>
      </c>
      <c r="BC12" s="287"/>
      <c r="BD12" s="287"/>
      <c r="BE12" s="287"/>
      <c r="BF12" s="287"/>
      <c r="BG12" s="287"/>
      <c r="BH12" s="287"/>
      <c r="BI12" s="287"/>
      <c r="BJ12" s="288"/>
      <c r="BK12" s="288"/>
      <c r="BL12" s="288"/>
      <c r="BM12" s="288"/>
      <c r="BN12" s="288"/>
      <c r="BO12" s="288"/>
      <c r="BP12" s="288"/>
      <c r="BQ12" s="288"/>
      <c r="BR12" s="288"/>
      <c r="BS12" s="10"/>
      <c r="BT12" s="11"/>
    </row>
    <row r="13" spans="1:72" s="8" customFormat="1">
      <c r="A13" s="9"/>
      <c r="B13" s="80"/>
      <c r="C13" s="81"/>
      <c r="D13" s="81"/>
      <c r="E13" s="81"/>
      <c r="F13" s="81"/>
      <c r="G13" s="81"/>
      <c r="H13" s="81"/>
      <c r="I13" s="82"/>
      <c r="J13" s="81"/>
      <c r="K13" s="81"/>
      <c r="L13" s="81"/>
      <c r="M13" s="81"/>
      <c r="N13" s="81"/>
      <c r="O13" s="81"/>
      <c r="P13" s="81"/>
      <c r="Q13" s="82"/>
      <c r="R13" s="38">
        <v>2</v>
      </c>
      <c r="S13" s="36" t="s">
        <v>133</v>
      </c>
      <c r="T13" s="37"/>
      <c r="U13" s="37"/>
      <c r="V13" s="37"/>
      <c r="W13" s="37"/>
      <c r="X13" s="37"/>
      <c r="Y13" s="37"/>
      <c r="Z13" s="37"/>
      <c r="AA13" s="37"/>
      <c r="AB13" s="37"/>
      <c r="AC13" s="37"/>
      <c r="AD13" s="37"/>
      <c r="AE13" s="38"/>
      <c r="AF13" s="284"/>
      <c r="AG13" s="286"/>
      <c r="AH13" s="284" t="s">
        <v>130</v>
      </c>
      <c r="AI13" s="286"/>
      <c r="AJ13" s="284"/>
      <c r="AK13" s="286"/>
      <c r="AL13" s="284"/>
      <c r="AM13" s="286"/>
      <c r="AN13" s="284"/>
      <c r="AO13" s="286"/>
      <c r="AP13" s="284"/>
      <c r="AQ13" s="286"/>
      <c r="AR13" s="284"/>
      <c r="AS13" s="286"/>
      <c r="AT13" s="284" t="s">
        <v>131</v>
      </c>
      <c r="AU13" s="285"/>
      <c r="AV13" s="285"/>
      <c r="AW13" s="285"/>
      <c r="AX13" s="285"/>
      <c r="AY13" s="285"/>
      <c r="AZ13" s="285"/>
      <c r="BA13" s="286"/>
      <c r="BB13" s="284" t="s">
        <v>134</v>
      </c>
      <c r="BC13" s="285"/>
      <c r="BD13" s="285"/>
      <c r="BE13" s="285"/>
      <c r="BF13" s="285"/>
      <c r="BG13" s="285"/>
      <c r="BH13" s="285"/>
      <c r="BI13" s="286"/>
      <c r="BJ13" s="288"/>
      <c r="BK13" s="288"/>
      <c r="BL13" s="288"/>
      <c r="BM13" s="288"/>
      <c r="BN13" s="288"/>
      <c r="BO13" s="288"/>
      <c r="BP13" s="288"/>
      <c r="BQ13" s="288"/>
      <c r="BR13" s="288"/>
      <c r="BS13" s="10"/>
    </row>
    <row r="14" spans="1:72" s="8" customFormat="1">
      <c r="A14" s="9"/>
      <c r="B14" s="80"/>
      <c r="C14" s="81"/>
      <c r="D14" s="81"/>
      <c r="E14" s="81"/>
      <c r="F14" s="81"/>
      <c r="G14" s="81"/>
      <c r="H14" s="81"/>
      <c r="I14" s="82"/>
      <c r="J14" s="81"/>
      <c r="K14" s="81"/>
      <c r="L14" s="81"/>
      <c r="M14" s="81"/>
      <c r="N14" s="81"/>
      <c r="O14" s="81"/>
      <c r="P14" s="81"/>
      <c r="Q14" s="82"/>
      <c r="R14" s="38">
        <v>3</v>
      </c>
      <c r="S14" s="36" t="s">
        <v>135</v>
      </c>
      <c r="T14" s="37"/>
      <c r="U14" s="37"/>
      <c r="V14" s="37"/>
      <c r="W14" s="37"/>
      <c r="X14" s="37"/>
      <c r="Y14" s="37"/>
      <c r="Z14" s="37"/>
      <c r="AA14" s="37"/>
      <c r="AB14" s="37"/>
      <c r="AC14" s="37"/>
      <c r="AD14" s="37"/>
      <c r="AE14" s="38"/>
      <c r="AF14" s="284"/>
      <c r="AG14" s="286"/>
      <c r="AH14" s="284" t="s">
        <v>130</v>
      </c>
      <c r="AI14" s="286"/>
      <c r="AJ14" s="284"/>
      <c r="AK14" s="286"/>
      <c r="AL14" s="284"/>
      <c r="AM14" s="286"/>
      <c r="AN14" s="284"/>
      <c r="AO14" s="286"/>
      <c r="AP14" s="284"/>
      <c r="AQ14" s="286"/>
      <c r="AR14" s="284"/>
      <c r="AS14" s="286"/>
      <c r="AT14" s="284" t="s">
        <v>131</v>
      </c>
      <c r="AU14" s="285"/>
      <c r="AV14" s="285"/>
      <c r="AW14" s="285"/>
      <c r="AX14" s="285"/>
      <c r="AY14" s="285"/>
      <c r="AZ14" s="285"/>
      <c r="BA14" s="286"/>
      <c r="BB14" s="284" t="s">
        <v>136</v>
      </c>
      <c r="BC14" s="285"/>
      <c r="BD14" s="285"/>
      <c r="BE14" s="285"/>
      <c r="BF14" s="285"/>
      <c r="BG14" s="285"/>
      <c r="BH14" s="285"/>
      <c r="BI14" s="286"/>
      <c r="BJ14" s="288"/>
      <c r="BK14" s="288"/>
      <c r="BL14" s="288"/>
      <c r="BM14" s="288"/>
      <c r="BN14" s="288"/>
      <c r="BO14" s="288"/>
      <c r="BP14" s="288"/>
      <c r="BQ14" s="288"/>
      <c r="BR14" s="288"/>
      <c r="BS14" s="10"/>
    </row>
    <row r="15" spans="1:72" s="8" customFormat="1">
      <c r="A15" s="9"/>
      <c r="B15" s="80"/>
      <c r="C15" s="81"/>
      <c r="D15" s="81"/>
      <c r="E15" s="81"/>
      <c r="F15" s="81"/>
      <c r="G15" s="81"/>
      <c r="H15" s="81"/>
      <c r="I15" s="82"/>
      <c r="J15" s="81"/>
      <c r="K15" s="81"/>
      <c r="L15" s="81"/>
      <c r="M15" s="81"/>
      <c r="N15" s="81"/>
      <c r="O15" s="81"/>
      <c r="P15" s="81"/>
      <c r="Q15" s="82"/>
      <c r="R15" s="38">
        <v>4</v>
      </c>
      <c r="S15" s="36" t="s">
        <v>137</v>
      </c>
      <c r="T15" s="37"/>
      <c r="U15" s="37"/>
      <c r="V15" s="37"/>
      <c r="W15" s="37"/>
      <c r="X15" s="37"/>
      <c r="Y15" s="37"/>
      <c r="Z15" s="37"/>
      <c r="AA15" s="37"/>
      <c r="AB15" s="37"/>
      <c r="AC15" s="37"/>
      <c r="AD15" s="37"/>
      <c r="AE15" s="38"/>
      <c r="AF15" s="284"/>
      <c r="AG15" s="286"/>
      <c r="AH15" s="284"/>
      <c r="AI15" s="286"/>
      <c r="AJ15" s="284"/>
      <c r="AK15" s="286"/>
      <c r="AL15" s="284"/>
      <c r="AM15" s="286"/>
      <c r="AN15" s="284"/>
      <c r="AO15" s="286"/>
      <c r="AP15" s="284"/>
      <c r="AQ15" s="286"/>
      <c r="AR15" s="284" t="s">
        <v>130</v>
      </c>
      <c r="AS15" s="286"/>
      <c r="AT15" s="284" t="s">
        <v>131</v>
      </c>
      <c r="AU15" s="285"/>
      <c r="AV15" s="285"/>
      <c r="AW15" s="285"/>
      <c r="AX15" s="285"/>
      <c r="AY15" s="285"/>
      <c r="AZ15" s="285"/>
      <c r="BA15" s="286"/>
      <c r="BB15" s="284" t="s">
        <v>138</v>
      </c>
      <c r="BC15" s="285"/>
      <c r="BD15" s="285"/>
      <c r="BE15" s="285"/>
      <c r="BF15" s="285"/>
      <c r="BG15" s="285"/>
      <c r="BH15" s="285"/>
      <c r="BI15" s="286"/>
      <c r="BJ15" s="288"/>
      <c r="BK15" s="288"/>
      <c r="BL15" s="288"/>
      <c r="BM15" s="288"/>
      <c r="BN15" s="288"/>
      <c r="BO15" s="288"/>
      <c r="BP15" s="288"/>
      <c r="BQ15" s="288"/>
      <c r="BR15" s="288"/>
      <c r="BS15" s="10"/>
    </row>
    <row r="16" spans="1:72" s="8" customFormat="1">
      <c r="A16" s="9"/>
      <c r="B16" s="80"/>
      <c r="C16" s="81"/>
      <c r="D16" s="81"/>
      <c r="E16" s="81"/>
      <c r="F16" s="81"/>
      <c r="G16" s="81"/>
      <c r="H16" s="81"/>
      <c r="I16" s="82"/>
      <c r="J16" s="81"/>
      <c r="K16" s="81"/>
      <c r="L16" s="81"/>
      <c r="M16" s="81"/>
      <c r="N16" s="81"/>
      <c r="O16" s="81"/>
      <c r="P16" s="81"/>
      <c r="Q16" s="82"/>
      <c r="R16" s="38">
        <v>5</v>
      </c>
      <c r="S16" s="55" t="s">
        <v>139</v>
      </c>
      <c r="T16" s="37"/>
      <c r="U16" s="37"/>
      <c r="V16" s="37"/>
      <c r="W16" s="37"/>
      <c r="X16" s="37"/>
      <c r="Y16" s="37"/>
      <c r="Z16" s="37"/>
      <c r="AA16" s="37"/>
      <c r="AB16" s="37"/>
      <c r="AC16" s="37"/>
      <c r="AD16" s="37"/>
      <c r="AE16" s="38"/>
      <c r="AF16" s="284"/>
      <c r="AG16" s="286"/>
      <c r="AH16" s="284" t="s">
        <v>130</v>
      </c>
      <c r="AI16" s="286"/>
      <c r="AJ16" s="284"/>
      <c r="AK16" s="286"/>
      <c r="AL16" s="284"/>
      <c r="AM16" s="286"/>
      <c r="AN16" s="284"/>
      <c r="AO16" s="286"/>
      <c r="AP16" s="284"/>
      <c r="AQ16" s="286"/>
      <c r="AR16" s="284"/>
      <c r="AS16" s="286"/>
      <c r="AT16" s="284" t="s">
        <v>131</v>
      </c>
      <c r="AU16" s="285"/>
      <c r="AV16" s="285"/>
      <c r="AW16" s="285"/>
      <c r="AX16" s="285"/>
      <c r="AY16" s="285"/>
      <c r="AZ16" s="285"/>
      <c r="BA16" s="286"/>
      <c r="BB16" s="294" t="s">
        <v>140</v>
      </c>
      <c r="BC16" s="287"/>
      <c r="BD16" s="287"/>
      <c r="BE16" s="287"/>
      <c r="BF16" s="287"/>
      <c r="BG16" s="287"/>
      <c r="BH16" s="287"/>
      <c r="BI16" s="287"/>
      <c r="BJ16" s="288"/>
      <c r="BK16" s="288"/>
      <c r="BL16" s="288"/>
      <c r="BM16" s="288"/>
      <c r="BN16" s="288"/>
      <c r="BO16" s="288"/>
      <c r="BP16" s="288"/>
      <c r="BQ16" s="288"/>
      <c r="BR16" s="288"/>
      <c r="BS16" s="10"/>
    </row>
    <row r="17" spans="1:72" s="8" customFormat="1">
      <c r="A17" s="9"/>
      <c r="B17" s="78" t="s">
        <v>141</v>
      </c>
      <c r="C17" s="73"/>
      <c r="D17" s="73"/>
      <c r="E17" s="73"/>
      <c r="F17" s="73"/>
      <c r="G17" s="73"/>
      <c r="H17" s="73"/>
      <c r="I17" s="73"/>
      <c r="J17" s="78" t="s">
        <v>128</v>
      </c>
      <c r="K17" s="73"/>
      <c r="L17" s="73"/>
      <c r="M17" s="73"/>
      <c r="N17" s="73"/>
      <c r="O17" s="73"/>
      <c r="P17" s="73"/>
      <c r="Q17" s="79"/>
      <c r="R17" s="38">
        <v>1</v>
      </c>
      <c r="S17" s="36" t="s">
        <v>129</v>
      </c>
      <c r="T17" s="37"/>
      <c r="U17" s="37"/>
      <c r="V17" s="37"/>
      <c r="W17" s="37"/>
      <c r="X17" s="37"/>
      <c r="Y17" s="37"/>
      <c r="Z17" s="37"/>
      <c r="AA17" s="37"/>
      <c r="AB17" s="37"/>
      <c r="AC17" s="37"/>
      <c r="AD17" s="37"/>
      <c r="AE17" s="38"/>
      <c r="AF17" s="284" t="s">
        <v>130</v>
      </c>
      <c r="AG17" s="286"/>
      <c r="AH17" s="284"/>
      <c r="AI17" s="286"/>
      <c r="AJ17" s="284"/>
      <c r="AK17" s="286"/>
      <c r="AL17" s="284"/>
      <c r="AM17" s="286"/>
      <c r="AN17" s="284"/>
      <c r="AO17" s="286"/>
      <c r="AP17" s="284"/>
      <c r="AQ17" s="286"/>
      <c r="AR17" s="284"/>
      <c r="AS17" s="286"/>
      <c r="AT17" s="287" t="s">
        <v>142</v>
      </c>
      <c r="AU17" s="287"/>
      <c r="AV17" s="287"/>
      <c r="AW17" s="287"/>
      <c r="AX17" s="287"/>
      <c r="AY17" s="287"/>
      <c r="AZ17" s="287"/>
      <c r="BA17" s="287"/>
      <c r="BB17" s="287" t="s">
        <v>143</v>
      </c>
      <c r="BC17" s="287"/>
      <c r="BD17" s="287"/>
      <c r="BE17" s="287"/>
      <c r="BF17" s="287"/>
      <c r="BG17" s="287"/>
      <c r="BH17" s="287"/>
      <c r="BI17" s="287"/>
      <c r="BJ17" s="288"/>
      <c r="BK17" s="288"/>
      <c r="BL17" s="288"/>
      <c r="BM17" s="288"/>
      <c r="BN17" s="288"/>
      <c r="BO17" s="288"/>
      <c r="BP17" s="288"/>
      <c r="BQ17" s="288"/>
      <c r="BR17" s="288"/>
      <c r="BS17" s="10"/>
      <c r="BT17" s="11"/>
    </row>
    <row r="18" spans="1:72" s="8" customFormat="1">
      <c r="A18" s="9"/>
      <c r="B18" s="80" t="s">
        <v>144</v>
      </c>
      <c r="C18" s="81"/>
      <c r="D18" s="81"/>
      <c r="E18" s="81"/>
      <c r="F18" s="81"/>
      <c r="G18" s="81"/>
      <c r="H18" s="81"/>
      <c r="I18" s="81"/>
      <c r="J18" s="83"/>
      <c r="K18" s="81"/>
      <c r="L18" s="81"/>
      <c r="M18" s="81"/>
      <c r="N18" s="81"/>
      <c r="O18" s="81"/>
      <c r="P18" s="81"/>
      <c r="Q18" s="82"/>
      <c r="R18" s="38">
        <v>2</v>
      </c>
      <c r="S18" s="36" t="s">
        <v>145</v>
      </c>
      <c r="T18" s="37"/>
      <c r="U18" s="37"/>
      <c r="V18" s="37"/>
      <c r="W18" s="37"/>
      <c r="X18" s="37"/>
      <c r="Y18" s="37"/>
      <c r="Z18" s="37"/>
      <c r="AA18" s="37"/>
      <c r="AB18" s="37"/>
      <c r="AC18" s="37"/>
      <c r="AD18" s="37"/>
      <c r="AE18" s="38"/>
      <c r="AF18" s="284" t="s">
        <v>130</v>
      </c>
      <c r="AG18" s="286"/>
      <c r="AH18" s="284"/>
      <c r="AI18" s="286"/>
      <c r="AJ18" s="284"/>
      <c r="AK18" s="286"/>
      <c r="AL18" s="284"/>
      <c r="AM18" s="286"/>
      <c r="AN18" s="284"/>
      <c r="AO18" s="286"/>
      <c r="AP18" s="284"/>
      <c r="AQ18" s="286"/>
      <c r="AR18" s="284"/>
      <c r="AS18" s="286"/>
      <c r="AT18" s="287" t="s">
        <v>142</v>
      </c>
      <c r="AU18" s="287"/>
      <c r="AV18" s="287"/>
      <c r="AW18" s="287"/>
      <c r="AX18" s="287"/>
      <c r="AY18" s="287"/>
      <c r="AZ18" s="287"/>
      <c r="BA18" s="287"/>
      <c r="BB18" s="287" t="s">
        <v>143</v>
      </c>
      <c r="BC18" s="287"/>
      <c r="BD18" s="287"/>
      <c r="BE18" s="287"/>
      <c r="BF18" s="287"/>
      <c r="BG18" s="287"/>
      <c r="BH18" s="287"/>
      <c r="BI18" s="287"/>
      <c r="BJ18" s="288"/>
      <c r="BK18" s="288"/>
      <c r="BL18" s="288"/>
      <c r="BM18" s="288"/>
      <c r="BN18" s="288"/>
      <c r="BO18" s="288"/>
      <c r="BP18" s="288"/>
      <c r="BQ18" s="288"/>
      <c r="BR18" s="288"/>
      <c r="BS18" s="10"/>
    </row>
    <row r="19" spans="1:72" s="8" customFormat="1">
      <c r="A19" s="9"/>
      <c r="B19" s="83"/>
      <c r="C19" s="81"/>
      <c r="D19" s="81"/>
      <c r="E19" s="81"/>
      <c r="F19" s="81"/>
      <c r="G19" s="81"/>
      <c r="H19" s="81"/>
      <c r="I19" s="81"/>
      <c r="J19" s="83"/>
      <c r="K19" s="81"/>
      <c r="L19" s="81"/>
      <c r="M19" s="81"/>
      <c r="N19" s="81"/>
      <c r="O19" s="81"/>
      <c r="P19" s="81"/>
      <c r="Q19" s="82"/>
      <c r="R19" s="38">
        <v>3</v>
      </c>
      <c r="S19" s="36" t="s">
        <v>146</v>
      </c>
      <c r="T19" s="37"/>
      <c r="U19" s="37"/>
      <c r="V19" s="37"/>
      <c r="W19" s="37"/>
      <c r="X19" s="37"/>
      <c r="Y19" s="37"/>
      <c r="Z19" s="37"/>
      <c r="AA19" s="37"/>
      <c r="AB19" s="37"/>
      <c r="AC19" s="37"/>
      <c r="AD19" s="37"/>
      <c r="AE19" s="38"/>
      <c r="AF19" s="284" t="s">
        <v>130</v>
      </c>
      <c r="AG19" s="286"/>
      <c r="AH19" s="284"/>
      <c r="AI19" s="286"/>
      <c r="AJ19" s="284"/>
      <c r="AK19" s="286"/>
      <c r="AL19" s="284"/>
      <c r="AM19" s="286"/>
      <c r="AN19" s="284"/>
      <c r="AO19" s="286"/>
      <c r="AP19" s="284"/>
      <c r="AQ19" s="286"/>
      <c r="AR19" s="284"/>
      <c r="AS19" s="286"/>
      <c r="AT19" s="287" t="s">
        <v>142</v>
      </c>
      <c r="AU19" s="287"/>
      <c r="AV19" s="287"/>
      <c r="AW19" s="287"/>
      <c r="AX19" s="287"/>
      <c r="AY19" s="287"/>
      <c r="AZ19" s="287"/>
      <c r="BA19" s="287"/>
      <c r="BB19" s="287" t="s">
        <v>143</v>
      </c>
      <c r="BC19" s="287"/>
      <c r="BD19" s="287"/>
      <c r="BE19" s="287"/>
      <c r="BF19" s="287"/>
      <c r="BG19" s="287"/>
      <c r="BH19" s="287"/>
      <c r="BI19" s="287"/>
      <c r="BJ19" s="92" t="s">
        <v>147</v>
      </c>
      <c r="BK19" s="56"/>
      <c r="BL19" s="56"/>
      <c r="BM19" s="56"/>
      <c r="BN19" s="56"/>
      <c r="BO19" s="56"/>
      <c r="BP19" s="56"/>
      <c r="BQ19" s="56"/>
      <c r="BR19" s="57"/>
      <c r="BS19" s="10"/>
      <c r="BT19" s="11"/>
    </row>
    <row r="20" spans="1:72" s="8" customFormat="1">
      <c r="A20" s="9"/>
      <c r="B20" s="80"/>
      <c r="C20" s="81"/>
      <c r="D20" s="81"/>
      <c r="E20" s="81"/>
      <c r="F20" s="81"/>
      <c r="G20" s="81"/>
      <c r="H20" s="81"/>
      <c r="I20" s="81"/>
      <c r="J20" s="83"/>
      <c r="K20" s="81"/>
      <c r="L20" s="81"/>
      <c r="M20" s="81"/>
      <c r="N20" s="81"/>
      <c r="O20" s="81"/>
      <c r="P20" s="81"/>
      <c r="Q20" s="82"/>
      <c r="R20" s="38">
        <v>4</v>
      </c>
      <c r="S20" s="36" t="s">
        <v>148</v>
      </c>
      <c r="T20" s="37"/>
      <c r="U20" s="37"/>
      <c r="V20" s="37"/>
      <c r="W20" s="37"/>
      <c r="X20" s="37"/>
      <c r="Y20" s="37"/>
      <c r="Z20" s="37"/>
      <c r="AA20" s="37"/>
      <c r="AB20" s="37"/>
      <c r="AC20" s="37"/>
      <c r="AD20" s="37"/>
      <c r="AE20" s="38"/>
      <c r="AF20" s="284"/>
      <c r="AG20" s="286"/>
      <c r="AH20" s="284"/>
      <c r="AI20" s="286"/>
      <c r="AJ20" s="284"/>
      <c r="AK20" s="286"/>
      <c r="AL20" s="284"/>
      <c r="AM20" s="286"/>
      <c r="AN20" s="284"/>
      <c r="AO20" s="286"/>
      <c r="AP20" s="284"/>
      <c r="AQ20" s="286"/>
      <c r="AR20" s="284" t="s">
        <v>130</v>
      </c>
      <c r="AS20" s="286"/>
      <c r="AT20" s="284" t="s">
        <v>131</v>
      </c>
      <c r="AU20" s="285"/>
      <c r="AV20" s="285"/>
      <c r="AW20" s="285"/>
      <c r="AX20" s="285"/>
      <c r="AY20" s="285"/>
      <c r="AZ20" s="285"/>
      <c r="BA20" s="286"/>
      <c r="BB20" s="284" t="s">
        <v>149</v>
      </c>
      <c r="BC20" s="285"/>
      <c r="BD20" s="285"/>
      <c r="BE20" s="285"/>
      <c r="BF20" s="285"/>
      <c r="BG20" s="285"/>
      <c r="BH20" s="285"/>
      <c r="BI20" s="286"/>
      <c r="BJ20" s="288"/>
      <c r="BK20" s="288"/>
      <c r="BL20" s="288"/>
      <c r="BM20" s="288"/>
      <c r="BN20" s="288"/>
      <c r="BO20" s="288"/>
      <c r="BP20" s="288"/>
      <c r="BQ20" s="288"/>
      <c r="BR20" s="288"/>
      <c r="BS20" s="10"/>
    </row>
    <row r="21" spans="1:72" s="8" customFormat="1" ht="14.65" customHeight="1">
      <c r="A21" s="9"/>
      <c r="B21" s="80"/>
      <c r="C21" s="81"/>
      <c r="D21" s="81"/>
      <c r="E21" s="81"/>
      <c r="F21" s="81"/>
      <c r="G21" s="81"/>
      <c r="H21" s="81"/>
      <c r="I21" s="81"/>
      <c r="J21" s="83"/>
      <c r="K21" s="81"/>
      <c r="L21" s="81"/>
      <c r="M21" s="81"/>
      <c r="N21" s="81"/>
      <c r="O21" s="81"/>
      <c r="P21" s="81"/>
      <c r="Q21" s="82"/>
      <c r="R21" s="38">
        <v>5</v>
      </c>
      <c r="S21" s="55" t="s">
        <v>139</v>
      </c>
      <c r="T21" s="37"/>
      <c r="U21" s="37"/>
      <c r="V21" s="37"/>
      <c r="W21" s="37"/>
      <c r="X21" s="37"/>
      <c r="Y21" s="37"/>
      <c r="Z21" s="37"/>
      <c r="AA21" s="37"/>
      <c r="AB21" s="37"/>
      <c r="AC21" s="37"/>
      <c r="AD21" s="37"/>
      <c r="AE21" s="38"/>
      <c r="AF21" s="284"/>
      <c r="AG21" s="286"/>
      <c r="AH21" s="284" t="s">
        <v>130</v>
      </c>
      <c r="AI21" s="286"/>
      <c r="AJ21" s="284"/>
      <c r="AK21" s="286"/>
      <c r="AL21" s="284"/>
      <c r="AM21" s="286"/>
      <c r="AN21" s="284"/>
      <c r="AO21" s="286"/>
      <c r="AP21" s="284"/>
      <c r="AQ21" s="286"/>
      <c r="AR21" s="284"/>
      <c r="AS21" s="286"/>
      <c r="AT21" s="284" t="s">
        <v>131</v>
      </c>
      <c r="AU21" s="285"/>
      <c r="AV21" s="285"/>
      <c r="AW21" s="285"/>
      <c r="AX21" s="285"/>
      <c r="AY21" s="285"/>
      <c r="AZ21" s="285"/>
      <c r="BA21" s="286"/>
      <c r="BB21" s="294" t="s">
        <v>140</v>
      </c>
      <c r="BC21" s="287"/>
      <c r="BD21" s="287"/>
      <c r="BE21" s="287"/>
      <c r="BF21" s="287"/>
      <c r="BG21" s="287"/>
      <c r="BH21" s="287"/>
      <c r="BI21" s="287"/>
      <c r="BJ21" s="288"/>
      <c r="BK21" s="288"/>
      <c r="BL21" s="288"/>
      <c r="BM21" s="288"/>
      <c r="BN21" s="288"/>
      <c r="BO21" s="288"/>
      <c r="BP21" s="288"/>
      <c r="BQ21" s="288"/>
      <c r="BR21" s="288"/>
      <c r="BS21" s="10"/>
    </row>
    <row r="22" spans="1:72" s="8" customFormat="1">
      <c r="A22" s="9"/>
      <c r="B22" s="78" t="s">
        <v>150</v>
      </c>
      <c r="C22" s="73"/>
      <c r="D22" s="73"/>
      <c r="E22" s="73"/>
      <c r="F22" s="73"/>
      <c r="G22" s="73"/>
      <c r="H22" s="73"/>
      <c r="I22" s="79"/>
      <c r="J22" s="73" t="s">
        <v>151</v>
      </c>
      <c r="K22" s="73"/>
      <c r="L22" s="73"/>
      <c r="M22" s="73"/>
      <c r="N22" s="73"/>
      <c r="O22" s="73"/>
      <c r="P22" s="73"/>
      <c r="Q22" s="79"/>
      <c r="R22" s="38">
        <v>1</v>
      </c>
      <c r="S22" s="36" t="s">
        <v>152</v>
      </c>
      <c r="T22" s="37"/>
      <c r="U22" s="37"/>
      <c r="V22" s="37"/>
      <c r="W22" s="37"/>
      <c r="X22" s="37"/>
      <c r="Y22" s="37"/>
      <c r="Z22" s="37"/>
      <c r="AA22" s="37"/>
      <c r="AB22" s="37"/>
      <c r="AC22" s="37"/>
      <c r="AD22" s="37"/>
      <c r="AE22" s="38"/>
      <c r="AF22" s="284"/>
      <c r="AG22" s="286"/>
      <c r="AH22" s="284"/>
      <c r="AI22" s="286"/>
      <c r="AJ22" s="284" t="s">
        <v>130</v>
      </c>
      <c r="AK22" s="286"/>
      <c r="AL22" s="284"/>
      <c r="AM22" s="286"/>
      <c r="AN22" s="284"/>
      <c r="AO22" s="286"/>
      <c r="AP22" s="284"/>
      <c r="AQ22" s="286"/>
      <c r="AR22" s="284"/>
      <c r="AS22" s="286"/>
      <c r="AT22" s="284" t="s">
        <v>153</v>
      </c>
      <c r="AU22" s="285"/>
      <c r="AV22" s="285"/>
      <c r="AW22" s="285"/>
      <c r="AX22" s="285"/>
      <c r="AY22" s="285"/>
      <c r="AZ22" s="285"/>
      <c r="BA22" s="286"/>
      <c r="BB22" s="287" t="s">
        <v>152</v>
      </c>
      <c r="BC22" s="287"/>
      <c r="BD22" s="287"/>
      <c r="BE22" s="287"/>
      <c r="BF22" s="287"/>
      <c r="BG22" s="287"/>
      <c r="BH22" s="287"/>
      <c r="BI22" s="287"/>
      <c r="BJ22" s="288" t="s">
        <v>154</v>
      </c>
      <c r="BK22" s="288"/>
      <c r="BL22" s="288"/>
      <c r="BM22" s="288"/>
      <c r="BN22" s="288"/>
      <c r="BO22" s="288"/>
      <c r="BP22" s="288"/>
      <c r="BQ22" s="288"/>
      <c r="BR22" s="288"/>
      <c r="BS22" s="10"/>
      <c r="BT22" s="11"/>
    </row>
    <row r="23" spans="1:72" s="8" customFormat="1">
      <c r="A23" s="9"/>
      <c r="B23" s="80"/>
      <c r="C23" s="81"/>
      <c r="D23" s="81"/>
      <c r="E23" s="81"/>
      <c r="F23" s="81"/>
      <c r="G23" s="81"/>
      <c r="H23" s="81"/>
      <c r="I23" s="82"/>
      <c r="J23" s="73" t="s">
        <v>155</v>
      </c>
      <c r="K23" s="73"/>
      <c r="L23" s="73"/>
      <c r="M23" s="73"/>
      <c r="N23" s="73"/>
      <c r="O23" s="73"/>
      <c r="P23" s="73"/>
      <c r="Q23" s="79"/>
      <c r="R23" s="38">
        <v>1</v>
      </c>
      <c r="S23" s="36" t="s">
        <v>156</v>
      </c>
      <c r="T23" s="37"/>
      <c r="U23" s="37"/>
      <c r="V23" s="37"/>
      <c r="W23" s="37"/>
      <c r="X23" s="37"/>
      <c r="Y23" s="37"/>
      <c r="Z23" s="37"/>
      <c r="AA23" s="37"/>
      <c r="AB23" s="37"/>
      <c r="AC23" s="37"/>
      <c r="AD23" s="37"/>
      <c r="AE23" s="38"/>
      <c r="AF23" s="284"/>
      <c r="AG23" s="286"/>
      <c r="AH23" s="284"/>
      <c r="AI23" s="286"/>
      <c r="AJ23" s="284" t="s">
        <v>130</v>
      </c>
      <c r="AK23" s="286"/>
      <c r="AL23" s="284"/>
      <c r="AM23" s="286"/>
      <c r="AN23" s="284"/>
      <c r="AO23" s="286"/>
      <c r="AP23" s="284"/>
      <c r="AQ23" s="286"/>
      <c r="AR23" s="284"/>
      <c r="AS23" s="286"/>
      <c r="AT23" s="284" t="s">
        <v>153</v>
      </c>
      <c r="AU23" s="285"/>
      <c r="AV23" s="285"/>
      <c r="AW23" s="285"/>
      <c r="AX23" s="285"/>
      <c r="AY23" s="285"/>
      <c r="AZ23" s="285"/>
      <c r="BA23" s="286"/>
      <c r="BB23" s="287" t="s">
        <v>157</v>
      </c>
      <c r="BC23" s="287"/>
      <c r="BD23" s="287"/>
      <c r="BE23" s="287"/>
      <c r="BF23" s="287"/>
      <c r="BG23" s="287"/>
      <c r="BH23" s="287"/>
      <c r="BI23" s="287"/>
      <c r="BJ23" s="288" t="s">
        <v>154</v>
      </c>
      <c r="BK23" s="288"/>
      <c r="BL23" s="288"/>
      <c r="BM23" s="288"/>
      <c r="BN23" s="288"/>
      <c r="BO23" s="288"/>
      <c r="BP23" s="288"/>
      <c r="BQ23" s="288"/>
      <c r="BR23" s="288"/>
      <c r="BS23" s="10"/>
      <c r="BT23" s="11"/>
    </row>
    <row r="24" spans="1:72" s="8" customFormat="1">
      <c r="A24" s="9"/>
      <c r="B24" s="80"/>
      <c r="C24" s="81"/>
      <c r="D24" s="81"/>
      <c r="E24" s="81"/>
      <c r="F24" s="81"/>
      <c r="G24" s="81"/>
      <c r="H24" s="81"/>
      <c r="I24" s="82"/>
      <c r="J24" s="84"/>
      <c r="K24" s="84"/>
      <c r="L24" s="84"/>
      <c r="M24" s="84"/>
      <c r="N24" s="84"/>
      <c r="O24" s="84"/>
      <c r="P24" s="84"/>
      <c r="Q24" s="85"/>
      <c r="R24" s="38">
        <v>2</v>
      </c>
      <c r="S24" s="36" t="s">
        <v>158</v>
      </c>
      <c r="T24" s="93"/>
      <c r="U24" s="93"/>
      <c r="V24" s="93"/>
      <c r="W24" s="93"/>
      <c r="X24" s="93"/>
      <c r="Y24" s="93"/>
      <c r="Z24" s="37"/>
      <c r="AA24" s="37"/>
      <c r="AB24" s="37"/>
      <c r="AC24" s="37"/>
      <c r="AD24" s="37"/>
      <c r="AE24" s="38"/>
      <c r="AF24" s="284"/>
      <c r="AG24" s="286"/>
      <c r="AH24" s="284"/>
      <c r="AI24" s="286"/>
      <c r="AJ24" s="284" t="s">
        <v>130</v>
      </c>
      <c r="AK24" s="286"/>
      <c r="AL24" s="284"/>
      <c r="AM24" s="286"/>
      <c r="AN24" s="284"/>
      <c r="AO24" s="286"/>
      <c r="AP24" s="284"/>
      <c r="AQ24" s="286"/>
      <c r="AR24" s="284"/>
      <c r="AS24" s="286"/>
      <c r="AT24" s="284" t="s">
        <v>159</v>
      </c>
      <c r="AU24" s="285"/>
      <c r="AV24" s="285"/>
      <c r="AW24" s="285"/>
      <c r="AX24" s="285"/>
      <c r="AY24" s="285"/>
      <c r="AZ24" s="285"/>
      <c r="BA24" s="286"/>
      <c r="BB24" s="284" t="s">
        <v>160</v>
      </c>
      <c r="BC24" s="285"/>
      <c r="BD24" s="285"/>
      <c r="BE24" s="285"/>
      <c r="BF24" s="285"/>
      <c r="BG24" s="285"/>
      <c r="BH24" s="285"/>
      <c r="BI24" s="286"/>
      <c r="BJ24" s="288" t="s">
        <v>154</v>
      </c>
      <c r="BK24" s="288"/>
      <c r="BL24" s="288"/>
      <c r="BM24" s="288"/>
      <c r="BN24" s="288"/>
      <c r="BO24" s="288"/>
      <c r="BP24" s="288"/>
      <c r="BQ24" s="288"/>
      <c r="BR24" s="288"/>
      <c r="BS24" s="10"/>
    </row>
    <row r="25" spans="1:72" s="8" customFormat="1">
      <c r="A25" s="9"/>
      <c r="B25" s="83"/>
      <c r="C25" s="81"/>
      <c r="D25" s="81"/>
      <c r="E25" s="81"/>
      <c r="F25" s="81"/>
      <c r="G25" s="81"/>
      <c r="H25" s="81"/>
      <c r="I25" s="82"/>
      <c r="J25" s="73" t="s">
        <v>161</v>
      </c>
      <c r="K25" s="73"/>
      <c r="L25" s="73"/>
      <c r="M25" s="73"/>
      <c r="N25" s="73"/>
      <c r="O25" s="73"/>
      <c r="P25" s="73"/>
      <c r="Q25" s="79"/>
      <c r="R25" s="38">
        <v>1</v>
      </c>
      <c r="S25" s="36" t="s">
        <v>162</v>
      </c>
      <c r="T25" s="37"/>
      <c r="U25" s="37"/>
      <c r="V25" s="37"/>
      <c r="W25" s="37"/>
      <c r="X25" s="37"/>
      <c r="Y25" s="37"/>
      <c r="Z25" s="37"/>
      <c r="AA25" s="37"/>
      <c r="AB25" s="37"/>
      <c r="AC25" s="37"/>
      <c r="AD25" s="37"/>
      <c r="AE25" s="38"/>
      <c r="AF25" s="284"/>
      <c r="AG25" s="286"/>
      <c r="AH25" s="284"/>
      <c r="AI25" s="286"/>
      <c r="AJ25" s="284"/>
      <c r="AK25" s="286"/>
      <c r="AL25" s="284" t="s">
        <v>130</v>
      </c>
      <c r="AM25" s="286"/>
      <c r="AN25" s="284"/>
      <c r="AO25" s="286"/>
      <c r="AP25" s="284"/>
      <c r="AQ25" s="286"/>
      <c r="AR25" s="284"/>
      <c r="AS25" s="286"/>
      <c r="AT25" s="284" t="s">
        <v>153</v>
      </c>
      <c r="AU25" s="285"/>
      <c r="AV25" s="285"/>
      <c r="AW25" s="285"/>
      <c r="AX25" s="285"/>
      <c r="AY25" s="285"/>
      <c r="AZ25" s="285"/>
      <c r="BA25" s="286"/>
      <c r="BB25" s="287" t="s">
        <v>157</v>
      </c>
      <c r="BC25" s="287"/>
      <c r="BD25" s="287"/>
      <c r="BE25" s="287"/>
      <c r="BF25" s="287"/>
      <c r="BG25" s="287"/>
      <c r="BH25" s="287"/>
      <c r="BI25" s="287"/>
      <c r="BJ25" s="288" t="s">
        <v>154</v>
      </c>
      <c r="BK25" s="288"/>
      <c r="BL25" s="288"/>
      <c r="BM25" s="288"/>
      <c r="BN25" s="288"/>
      <c r="BO25" s="288"/>
      <c r="BP25" s="288"/>
      <c r="BQ25" s="288"/>
      <c r="BR25" s="288"/>
      <c r="BS25" s="10"/>
      <c r="BT25" s="11"/>
    </row>
    <row r="26" spans="1:72" s="8" customFormat="1">
      <c r="A26" s="9"/>
      <c r="B26" s="80"/>
      <c r="C26" s="81"/>
      <c r="D26" s="81"/>
      <c r="E26" s="81"/>
      <c r="F26" s="81"/>
      <c r="G26" s="81"/>
      <c r="H26" s="81"/>
      <c r="I26" s="82"/>
      <c r="J26" s="84"/>
      <c r="K26" s="84"/>
      <c r="L26" s="84"/>
      <c r="M26" s="84"/>
      <c r="N26" s="84"/>
      <c r="O26" s="84"/>
      <c r="P26" s="84"/>
      <c r="Q26" s="85"/>
      <c r="R26" s="38">
        <v>2</v>
      </c>
      <c r="S26" s="36" t="s">
        <v>163</v>
      </c>
      <c r="T26" s="93"/>
      <c r="U26" s="93"/>
      <c r="V26" s="93"/>
      <c r="W26" s="93"/>
      <c r="X26" s="93"/>
      <c r="Y26" s="93"/>
      <c r="Z26" s="37"/>
      <c r="AA26" s="37"/>
      <c r="AB26" s="37"/>
      <c r="AC26" s="37"/>
      <c r="AD26" s="37"/>
      <c r="AE26" s="38"/>
      <c r="AF26" s="284"/>
      <c r="AG26" s="286"/>
      <c r="AH26" s="284"/>
      <c r="AI26" s="286"/>
      <c r="AJ26" s="284"/>
      <c r="AK26" s="286"/>
      <c r="AL26" s="284" t="s">
        <v>130</v>
      </c>
      <c r="AM26" s="286"/>
      <c r="AN26" s="284"/>
      <c r="AO26" s="286"/>
      <c r="AP26" s="284"/>
      <c r="AQ26" s="286"/>
      <c r="AR26" s="284"/>
      <c r="AS26" s="286"/>
      <c r="AT26" s="284" t="s">
        <v>159</v>
      </c>
      <c r="AU26" s="285"/>
      <c r="AV26" s="285"/>
      <c r="AW26" s="285"/>
      <c r="AX26" s="285"/>
      <c r="AY26" s="285"/>
      <c r="AZ26" s="285"/>
      <c r="BA26" s="286"/>
      <c r="BB26" s="284" t="s">
        <v>160</v>
      </c>
      <c r="BC26" s="285"/>
      <c r="BD26" s="285"/>
      <c r="BE26" s="285"/>
      <c r="BF26" s="285"/>
      <c r="BG26" s="285"/>
      <c r="BH26" s="285"/>
      <c r="BI26" s="286"/>
      <c r="BJ26" s="288" t="s">
        <v>154</v>
      </c>
      <c r="BK26" s="288"/>
      <c r="BL26" s="288"/>
      <c r="BM26" s="288"/>
      <c r="BN26" s="288"/>
      <c r="BO26" s="288"/>
      <c r="BP26" s="288"/>
      <c r="BQ26" s="288"/>
      <c r="BR26" s="288"/>
      <c r="BS26" s="10"/>
    </row>
    <row r="27" spans="1:72" s="8" customFormat="1">
      <c r="A27" s="9"/>
      <c r="B27" s="83"/>
      <c r="C27" s="81"/>
      <c r="D27" s="81"/>
      <c r="E27" s="81"/>
      <c r="F27" s="81"/>
      <c r="G27" s="81"/>
      <c r="H27" s="81"/>
      <c r="I27" s="82"/>
      <c r="J27" s="73" t="s">
        <v>164</v>
      </c>
      <c r="K27" s="73"/>
      <c r="L27" s="73"/>
      <c r="M27" s="73"/>
      <c r="N27" s="73"/>
      <c r="O27" s="73"/>
      <c r="P27" s="73"/>
      <c r="Q27" s="79"/>
      <c r="R27" s="38">
        <v>1</v>
      </c>
      <c r="S27" s="36" t="s">
        <v>165</v>
      </c>
      <c r="T27" s="37"/>
      <c r="U27" s="37"/>
      <c r="V27" s="37"/>
      <c r="W27" s="37"/>
      <c r="X27" s="37"/>
      <c r="Y27" s="37"/>
      <c r="Z27" s="37"/>
      <c r="AA27" s="37"/>
      <c r="AB27" s="37"/>
      <c r="AC27" s="37"/>
      <c r="AD27" s="37"/>
      <c r="AE27" s="38"/>
      <c r="AF27" s="284"/>
      <c r="AG27" s="286"/>
      <c r="AH27" s="284"/>
      <c r="AI27" s="286"/>
      <c r="AJ27" s="284"/>
      <c r="AK27" s="286"/>
      <c r="AL27" s="284" t="s">
        <v>130</v>
      </c>
      <c r="AM27" s="286"/>
      <c r="AN27" s="284"/>
      <c r="AO27" s="286"/>
      <c r="AP27" s="284"/>
      <c r="AQ27" s="286"/>
      <c r="AR27" s="284"/>
      <c r="AS27" s="286"/>
      <c r="AT27" s="284" t="s">
        <v>153</v>
      </c>
      <c r="AU27" s="285"/>
      <c r="AV27" s="285"/>
      <c r="AW27" s="285"/>
      <c r="AX27" s="285"/>
      <c r="AY27" s="285"/>
      <c r="AZ27" s="285"/>
      <c r="BA27" s="286"/>
      <c r="BB27" s="287" t="s">
        <v>157</v>
      </c>
      <c r="BC27" s="287"/>
      <c r="BD27" s="287"/>
      <c r="BE27" s="287"/>
      <c r="BF27" s="287"/>
      <c r="BG27" s="287"/>
      <c r="BH27" s="287"/>
      <c r="BI27" s="287"/>
      <c r="BJ27" s="288" t="s">
        <v>154</v>
      </c>
      <c r="BK27" s="288"/>
      <c r="BL27" s="288"/>
      <c r="BM27" s="288"/>
      <c r="BN27" s="288"/>
      <c r="BO27" s="288"/>
      <c r="BP27" s="288"/>
      <c r="BQ27" s="288"/>
      <c r="BR27" s="288"/>
      <c r="BS27" s="10"/>
      <c r="BT27" s="11"/>
    </row>
    <row r="28" spans="1:72" s="8" customFormat="1">
      <c r="A28" s="9"/>
      <c r="B28" s="80"/>
      <c r="C28" s="81"/>
      <c r="D28" s="81"/>
      <c r="E28" s="81"/>
      <c r="F28" s="81"/>
      <c r="G28" s="81"/>
      <c r="H28" s="81"/>
      <c r="I28" s="82"/>
      <c r="J28" s="84"/>
      <c r="K28" s="84"/>
      <c r="L28" s="84"/>
      <c r="M28" s="84"/>
      <c r="N28" s="84"/>
      <c r="O28" s="84"/>
      <c r="P28" s="84"/>
      <c r="Q28" s="85"/>
      <c r="R28" s="38">
        <v>2</v>
      </c>
      <c r="S28" s="36" t="s">
        <v>166</v>
      </c>
      <c r="T28" s="93"/>
      <c r="U28" s="93"/>
      <c r="V28" s="93"/>
      <c r="W28" s="93"/>
      <c r="X28" s="93"/>
      <c r="Y28" s="93"/>
      <c r="Z28" s="93"/>
      <c r="AA28" s="37"/>
      <c r="AB28" s="37"/>
      <c r="AC28" s="37"/>
      <c r="AD28" s="37"/>
      <c r="AE28" s="38"/>
      <c r="AF28" s="284"/>
      <c r="AG28" s="286"/>
      <c r="AH28" s="284"/>
      <c r="AI28" s="286"/>
      <c r="AJ28" s="284"/>
      <c r="AK28" s="286"/>
      <c r="AL28" s="284" t="s">
        <v>130</v>
      </c>
      <c r="AM28" s="286"/>
      <c r="AN28" s="284"/>
      <c r="AO28" s="286"/>
      <c r="AP28" s="284"/>
      <c r="AQ28" s="286"/>
      <c r="AR28" s="284"/>
      <c r="AS28" s="286"/>
      <c r="AT28" s="284" t="s">
        <v>159</v>
      </c>
      <c r="AU28" s="285"/>
      <c r="AV28" s="285"/>
      <c r="AW28" s="285"/>
      <c r="AX28" s="285"/>
      <c r="AY28" s="285"/>
      <c r="AZ28" s="285"/>
      <c r="BA28" s="286"/>
      <c r="BB28" s="284" t="s">
        <v>160</v>
      </c>
      <c r="BC28" s="285"/>
      <c r="BD28" s="285"/>
      <c r="BE28" s="285"/>
      <c r="BF28" s="285"/>
      <c r="BG28" s="285"/>
      <c r="BH28" s="285"/>
      <c r="BI28" s="286"/>
      <c r="BJ28" s="288" t="s">
        <v>154</v>
      </c>
      <c r="BK28" s="288"/>
      <c r="BL28" s="288"/>
      <c r="BM28" s="288"/>
      <c r="BN28" s="288"/>
      <c r="BO28" s="288"/>
      <c r="BP28" s="288"/>
      <c r="BQ28" s="288"/>
      <c r="BR28" s="288"/>
      <c r="BS28" s="10"/>
    </row>
    <row r="29" spans="1:72" s="8" customFormat="1">
      <c r="A29" s="9"/>
      <c r="B29" s="83"/>
      <c r="C29" s="81"/>
      <c r="D29" s="81"/>
      <c r="E29" s="81"/>
      <c r="F29" s="81"/>
      <c r="G29" s="81"/>
      <c r="H29" s="81"/>
      <c r="I29" s="82"/>
      <c r="J29" s="73" t="s">
        <v>167</v>
      </c>
      <c r="K29" s="73"/>
      <c r="L29" s="73"/>
      <c r="M29" s="73"/>
      <c r="N29" s="73"/>
      <c r="O29" s="73"/>
      <c r="P29" s="73"/>
      <c r="Q29" s="79"/>
      <c r="R29" s="38">
        <v>1</v>
      </c>
      <c r="S29" s="36" t="s">
        <v>168</v>
      </c>
      <c r="T29" s="37"/>
      <c r="U29" s="37"/>
      <c r="V29" s="37"/>
      <c r="W29" s="37"/>
      <c r="X29" s="37"/>
      <c r="Y29" s="37"/>
      <c r="Z29" s="37"/>
      <c r="AA29" s="37"/>
      <c r="AB29" s="37"/>
      <c r="AC29" s="37"/>
      <c r="AD29" s="37"/>
      <c r="AE29" s="38"/>
      <c r="AF29" s="284"/>
      <c r="AG29" s="286"/>
      <c r="AH29" s="284"/>
      <c r="AI29" s="286"/>
      <c r="AJ29" s="284"/>
      <c r="AK29" s="286"/>
      <c r="AL29" s="284" t="s">
        <v>130</v>
      </c>
      <c r="AM29" s="286"/>
      <c r="AN29" s="284"/>
      <c r="AO29" s="286"/>
      <c r="AP29" s="284"/>
      <c r="AQ29" s="286"/>
      <c r="AR29" s="284"/>
      <c r="AS29" s="286"/>
      <c r="AT29" s="284" t="s">
        <v>153</v>
      </c>
      <c r="AU29" s="285"/>
      <c r="AV29" s="285"/>
      <c r="AW29" s="285"/>
      <c r="AX29" s="285"/>
      <c r="AY29" s="285"/>
      <c r="AZ29" s="285"/>
      <c r="BA29" s="286"/>
      <c r="BB29" s="287" t="s">
        <v>157</v>
      </c>
      <c r="BC29" s="287"/>
      <c r="BD29" s="287"/>
      <c r="BE29" s="287"/>
      <c r="BF29" s="287"/>
      <c r="BG29" s="287"/>
      <c r="BH29" s="287"/>
      <c r="BI29" s="287"/>
      <c r="BJ29" s="288" t="s">
        <v>154</v>
      </c>
      <c r="BK29" s="288"/>
      <c r="BL29" s="288"/>
      <c r="BM29" s="288"/>
      <c r="BN29" s="288"/>
      <c r="BO29" s="288"/>
      <c r="BP29" s="288"/>
      <c r="BQ29" s="288"/>
      <c r="BR29" s="288"/>
      <c r="BS29" s="10"/>
      <c r="BT29" s="11"/>
    </row>
    <row r="30" spans="1:72" s="8" customFormat="1">
      <c r="A30" s="9"/>
      <c r="B30" s="80"/>
      <c r="C30" s="81"/>
      <c r="D30" s="81"/>
      <c r="E30" s="81"/>
      <c r="F30" s="81"/>
      <c r="G30" s="81"/>
      <c r="H30" s="81"/>
      <c r="I30" s="82"/>
      <c r="J30" s="84"/>
      <c r="K30" s="84"/>
      <c r="L30" s="84"/>
      <c r="M30" s="84"/>
      <c r="N30" s="84"/>
      <c r="O30" s="84"/>
      <c r="P30" s="84"/>
      <c r="Q30" s="85"/>
      <c r="R30" s="38">
        <v>2</v>
      </c>
      <c r="S30" s="36" t="s">
        <v>169</v>
      </c>
      <c r="T30" s="93"/>
      <c r="U30" s="93"/>
      <c r="V30" s="93"/>
      <c r="W30" s="93"/>
      <c r="X30" s="93"/>
      <c r="Y30" s="93"/>
      <c r="Z30" s="93"/>
      <c r="AA30" s="93"/>
      <c r="AB30" s="93"/>
      <c r="AC30" s="93"/>
      <c r="AD30" s="37"/>
      <c r="AE30" s="38"/>
      <c r="AF30" s="284"/>
      <c r="AG30" s="286"/>
      <c r="AH30" s="284"/>
      <c r="AI30" s="286"/>
      <c r="AJ30" s="284"/>
      <c r="AK30" s="286"/>
      <c r="AL30" s="284" t="s">
        <v>130</v>
      </c>
      <c r="AM30" s="286"/>
      <c r="AN30" s="284"/>
      <c r="AO30" s="286"/>
      <c r="AP30" s="284"/>
      <c r="AQ30" s="286"/>
      <c r="AR30" s="284"/>
      <c r="AS30" s="286"/>
      <c r="AT30" s="284" t="s">
        <v>159</v>
      </c>
      <c r="AU30" s="285"/>
      <c r="AV30" s="285"/>
      <c r="AW30" s="285"/>
      <c r="AX30" s="285"/>
      <c r="AY30" s="285"/>
      <c r="AZ30" s="285"/>
      <c r="BA30" s="286"/>
      <c r="BB30" s="284" t="s">
        <v>160</v>
      </c>
      <c r="BC30" s="285"/>
      <c r="BD30" s="285"/>
      <c r="BE30" s="285"/>
      <c r="BF30" s="285"/>
      <c r="BG30" s="285"/>
      <c r="BH30" s="285"/>
      <c r="BI30" s="286"/>
      <c r="BJ30" s="288" t="s">
        <v>154</v>
      </c>
      <c r="BK30" s="288"/>
      <c r="BL30" s="288"/>
      <c r="BM30" s="288"/>
      <c r="BN30" s="288"/>
      <c r="BO30" s="288"/>
      <c r="BP30" s="288"/>
      <c r="BQ30" s="288"/>
      <c r="BR30" s="288"/>
      <c r="BS30" s="10"/>
    </row>
    <row r="31" spans="1:72" s="8" customFormat="1">
      <c r="A31" s="9"/>
      <c r="B31" s="83"/>
      <c r="C31" s="81"/>
      <c r="D31" s="81"/>
      <c r="E31" s="81"/>
      <c r="F31" s="81"/>
      <c r="G31" s="81"/>
      <c r="H31" s="81"/>
      <c r="I31" s="82"/>
      <c r="J31" s="73" t="s">
        <v>170</v>
      </c>
      <c r="K31" s="73"/>
      <c r="L31" s="73"/>
      <c r="M31" s="73"/>
      <c r="N31" s="73"/>
      <c r="O31" s="73"/>
      <c r="P31" s="73"/>
      <c r="Q31" s="79"/>
      <c r="R31" s="38">
        <v>1</v>
      </c>
      <c r="S31" s="36" t="s">
        <v>171</v>
      </c>
      <c r="T31" s="37"/>
      <c r="U31" s="37"/>
      <c r="V31" s="37"/>
      <c r="W31" s="37"/>
      <c r="X31" s="37"/>
      <c r="Y31" s="37"/>
      <c r="Z31" s="37"/>
      <c r="AA31" s="37"/>
      <c r="AB31" s="37"/>
      <c r="AC31" s="37"/>
      <c r="AD31" s="37"/>
      <c r="AE31" s="38"/>
      <c r="AF31" s="284"/>
      <c r="AG31" s="286"/>
      <c r="AH31" s="284"/>
      <c r="AI31" s="286"/>
      <c r="AJ31" s="284"/>
      <c r="AK31" s="286"/>
      <c r="AL31" s="284" t="s">
        <v>130</v>
      </c>
      <c r="AM31" s="286"/>
      <c r="AN31" s="284"/>
      <c r="AO31" s="286"/>
      <c r="AP31" s="284"/>
      <c r="AQ31" s="286"/>
      <c r="AR31" s="284"/>
      <c r="AS31" s="286"/>
      <c r="AT31" s="284" t="s">
        <v>153</v>
      </c>
      <c r="AU31" s="285"/>
      <c r="AV31" s="285"/>
      <c r="AW31" s="285"/>
      <c r="AX31" s="285"/>
      <c r="AY31" s="285"/>
      <c r="AZ31" s="285"/>
      <c r="BA31" s="286"/>
      <c r="BB31" s="287" t="s">
        <v>157</v>
      </c>
      <c r="BC31" s="287"/>
      <c r="BD31" s="287"/>
      <c r="BE31" s="287"/>
      <c r="BF31" s="287"/>
      <c r="BG31" s="287"/>
      <c r="BH31" s="287"/>
      <c r="BI31" s="287"/>
      <c r="BJ31" s="288" t="s">
        <v>154</v>
      </c>
      <c r="BK31" s="288"/>
      <c r="BL31" s="288"/>
      <c r="BM31" s="288"/>
      <c r="BN31" s="288"/>
      <c r="BO31" s="288"/>
      <c r="BP31" s="288"/>
      <c r="BQ31" s="288"/>
      <c r="BR31" s="288"/>
      <c r="BS31" s="10"/>
      <c r="BT31" s="11"/>
    </row>
    <row r="32" spans="1:72" s="8" customFormat="1">
      <c r="A32" s="9"/>
      <c r="B32" s="80"/>
      <c r="C32" s="81"/>
      <c r="D32" s="81"/>
      <c r="E32" s="81"/>
      <c r="F32" s="81"/>
      <c r="G32" s="81"/>
      <c r="H32" s="81"/>
      <c r="I32" s="82"/>
      <c r="J32" s="81"/>
      <c r="K32" s="81"/>
      <c r="L32" s="81"/>
      <c r="M32" s="81"/>
      <c r="N32" s="81"/>
      <c r="O32" s="81"/>
      <c r="P32" s="81"/>
      <c r="Q32" s="82"/>
      <c r="R32" s="38">
        <v>2</v>
      </c>
      <c r="S32" s="36" t="s">
        <v>172</v>
      </c>
      <c r="T32" s="93"/>
      <c r="U32" s="93"/>
      <c r="V32" s="93"/>
      <c r="W32" s="93"/>
      <c r="X32" s="93"/>
      <c r="Y32" s="93"/>
      <c r="Z32" s="93"/>
      <c r="AA32" s="93"/>
      <c r="AB32" s="93"/>
      <c r="AC32" s="37"/>
      <c r="AD32" s="37"/>
      <c r="AE32" s="38"/>
      <c r="AF32" s="284"/>
      <c r="AG32" s="286"/>
      <c r="AH32" s="284"/>
      <c r="AI32" s="286"/>
      <c r="AJ32" s="284"/>
      <c r="AK32" s="286"/>
      <c r="AL32" s="284" t="s">
        <v>130</v>
      </c>
      <c r="AM32" s="286"/>
      <c r="AN32" s="284"/>
      <c r="AO32" s="286"/>
      <c r="AP32" s="284"/>
      <c r="AQ32" s="286"/>
      <c r="AR32" s="284"/>
      <c r="AS32" s="286"/>
      <c r="AT32" s="284" t="s">
        <v>159</v>
      </c>
      <c r="AU32" s="285"/>
      <c r="AV32" s="285"/>
      <c r="AW32" s="285"/>
      <c r="AX32" s="285"/>
      <c r="AY32" s="285"/>
      <c r="AZ32" s="285"/>
      <c r="BA32" s="286"/>
      <c r="BB32" s="284" t="s">
        <v>160</v>
      </c>
      <c r="BC32" s="285"/>
      <c r="BD32" s="285"/>
      <c r="BE32" s="285"/>
      <c r="BF32" s="285"/>
      <c r="BG32" s="285"/>
      <c r="BH32" s="285"/>
      <c r="BI32" s="286"/>
      <c r="BJ32" s="288" t="s">
        <v>154</v>
      </c>
      <c r="BK32" s="288"/>
      <c r="BL32" s="288"/>
      <c r="BM32" s="288"/>
      <c r="BN32" s="288"/>
      <c r="BO32" s="288"/>
      <c r="BP32" s="288"/>
      <c r="BQ32" s="288"/>
      <c r="BR32" s="288"/>
      <c r="BS32" s="10"/>
    </row>
    <row r="33" spans="1:72" s="8" customFormat="1">
      <c r="A33" s="9"/>
      <c r="B33" s="78" t="s">
        <v>173</v>
      </c>
      <c r="C33" s="73"/>
      <c r="D33" s="73"/>
      <c r="E33" s="73"/>
      <c r="F33" s="73"/>
      <c r="G33" s="73"/>
      <c r="H33" s="73"/>
      <c r="I33" s="73"/>
      <c r="J33" s="78" t="s">
        <v>174</v>
      </c>
      <c r="K33" s="73"/>
      <c r="L33" s="73"/>
      <c r="M33" s="73"/>
      <c r="N33" s="73"/>
      <c r="O33" s="73"/>
      <c r="P33" s="73"/>
      <c r="Q33" s="79"/>
      <c r="R33" s="38">
        <v>1</v>
      </c>
      <c r="S33" s="36" t="s">
        <v>175</v>
      </c>
      <c r="T33" s="37"/>
      <c r="U33" s="37"/>
      <c r="V33" s="37"/>
      <c r="W33" s="37"/>
      <c r="X33" s="37"/>
      <c r="Y33" s="37"/>
      <c r="Z33" s="37"/>
      <c r="AA33" s="37"/>
      <c r="AB33" s="37"/>
      <c r="AC33" s="37"/>
      <c r="AD33" s="37"/>
      <c r="AE33" s="38"/>
      <c r="AF33" s="284"/>
      <c r="AG33" s="286"/>
      <c r="AH33" s="284"/>
      <c r="AI33" s="286"/>
      <c r="AJ33" s="284" t="s">
        <v>130</v>
      </c>
      <c r="AK33" s="286"/>
      <c r="AL33" s="284"/>
      <c r="AM33" s="286"/>
      <c r="AN33" s="284"/>
      <c r="AO33" s="286"/>
      <c r="AP33" s="284"/>
      <c r="AQ33" s="286"/>
      <c r="AR33" s="284"/>
      <c r="AS33" s="286"/>
      <c r="AT33" s="287" t="s">
        <v>176</v>
      </c>
      <c r="AU33" s="287"/>
      <c r="AV33" s="287"/>
      <c r="AW33" s="287"/>
      <c r="AX33" s="287"/>
      <c r="AY33" s="287"/>
      <c r="AZ33" s="287"/>
      <c r="BA33" s="287"/>
      <c r="BB33" s="287" t="s">
        <v>177</v>
      </c>
      <c r="BC33" s="287"/>
      <c r="BD33" s="287"/>
      <c r="BE33" s="287"/>
      <c r="BF33" s="287"/>
      <c r="BG33" s="287"/>
      <c r="BH33" s="287"/>
      <c r="BI33" s="287"/>
      <c r="BJ33" s="288"/>
      <c r="BK33" s="288"/>
      <c r="BL33" s="288"/>
      <c r="BM33" s="288"/>
      <c r="BN33" s="288"/>
      <c r="BO33" s="288"/>
      <c r="BP33" s="288"/>
      <c r="BQ33" s="288"/>
      <c r="BR33" s="288"/>
      <c r="BS33" s="10"/>
      <c r="BT33" s="11"/>
    </row>
    <row r="34" spans="1:72" s="8" customFormat="1">
      <c r="A34" s="9"/>
      <c r="B34" s="80"/>
      <c r="C34" s="81"/>
      <c r="D34" s="81"/>
      <c r="E34" s="81"/>
      <c r="F34" s="81"/>
      <c r="G34" s="81"/>
      <c r="H34" s="81"/>
      <c r="I34" s="81"/>
      <c r="J34" s="86"/>
      <c r="K34" s="84"/>
      <c r="L34" s="84"/>
      <c r="M34" s="84"/>
      <c r="N34" s="84"/>
      <c r="O34" s="84"/>
      <c r="P34" s="84"/>
      <c r="Q34" s="85"/>
      <c r="R34" s="38">
        <v>2</v>
      </c>
      <c r="S34" s="36" t="s">
        <v>178</v>
      </c>
      <c r="T34" s="37"/>
      <c r="U34" s="37"/>
      <c r="V34" s="37"/>
      <c r="W34" s="37"/>
      <c r="X34" s="37"/>
      <c r="Y34" s="37"/>
      <c r="Z34" s="37"/>
      <c r="AA34" s="37"/>
      <c r="AB34" s="37"/>
      <c r="AC34" s="37"/>
      <c r="AD34" s="37"/>
      <c r="AE34" s="38"/>
      <c r="AF34" s="284"/>
      <c r="AG34" s="286"/>
      <c r="AH34" s="284"/>
      <c r="AI34" s="286"/>
      <c r="AJ34" s="284" t="s">
        <v>130</v>
      </c>
      <c r="AK34" s="286"/>
      <c r="AL34" s="284"/>
      <c r="AM34" s="286"/>
      <c r="AN34" s="284"/>
      <c r="AO34" s="286"/>
      <c r="AP34" s="284"/>
      <c r="AQ34" s="286"/>
      <c r="AR34" s="284"/>
      <c r="AS34" s="286"/>
      <c r="AT34" s="284" t="s">
        <v>131</v>
      </c>
      <c r="AU34" s="285"/>
      <c r="AV34" s="285"/>
      <c r="AW34" s="285"/>
      <c r="AX34" s="285"/>
      <c r="AY34" s="285"/>
      <c r="AZ34" s="285"/>
      <c r="BA34" s="286"/>
      <c r="BB34" s="284" t="s">
        <v>179</v>
      </c>
      <c r="BC34" s="285"/>
      <c r="BD34" s="285"/>
      <c r="BE34" s="285"/>
      <c r="BF34" s="285"/>
      <c r="BG34" s="285"/>
      <c r="BH34" s="285"/>
      <c r="BI34" s="286"/>
      <c r="BJ34" s="288"/>
      <c r="BK34" s="288"/>
      <c r="BL34" s="288"/>
      <c r="BM34" s="288"/>
      <c r="BN34" s="288"/>
      <c r="BO34" s="288"/>
      <c r="BP34" s="288"/>
      <c r="BQ34" s="288"/>
      <c r="BR34" s="288"/>
      <c r="BS34" s="10"/>
    </row>
    <row r="35" spans="1:72" s="8" customFormat="1">
      <c r="A35" s="9"/>
      <c r="B35" s="83"/>
      <c r="C35" s="81"/>
      <c r="D35" s="81"/>
      <c r="E35" s="81"/>
      <c r="F35" s="81"/>
      <c r="G35" s="81"/>
      <c r="H35" s="81"/>
      <c r="I35" s="81"/>
      <c r="J35" s="78" t="s">
        <v>180</v>
      </c>
      <c r="K35" s="73"/>
      <c r="L35" s="73"/>
      <c r="M35" s="73"/>
      <c r="N35" s="73"/>
      <c r="O35" s="73"/>
      <c r="P35" s="73"/>
      <c r="Q35" s="79"/>
      <c r="R35" s="38">
        <v>1</v>
      </c>
      <c r="S35" s="36" t="s">
        <v>181</v>
      </c>
      <c r="T35" s="37"/>
      <c r="U35" s="37"/>
      <c r="V35" s="37"/>
      <c r="W35" s="37"/>
      <c r="X35" s="37"/>
      <c r="Y35" s="37"/>
      <c r="Z35" s="37"/>
      <c r="AA35" s="37"/>
      <c r="AB35" s="37"/>
      <c r="AC35" s="37"/>
      <c r="AD35" s="37"/>
      <c r="AE35" s="38"/>
      <c r="AF35" s="284"/>
      <c r="AG35" s="286"/>
      <c r="AH35" s="284"/>
      <c r="AI35" s="286"/>
      <c r="AJ35" s="284" t="s">
        <v>130</v>
      </c>
      <c r="AK35" s="286"/>
      <c r="AL35" s="284"/>
      <c r="AM35" s="286"/>
      <c r="AN35" s="284"/>
      <c r="AO35" s="286"/>
      <c r="AP35" s="284"/>
      <c r="AQ35" s="286"/>
      <c r="AR35" s="284"/>
      <c r="AS35" s="286"/>
      <c r="AT35" s="284" t="s">
        <v>131</v>
      </c>
      <c r="AU35" s="285"/>
      <c r="AV35" s="285"/>
      <c r="AW35" s="285"/>
      <c r="AX35" s="285"/>
      <c r="AY35" s="285"/>
      <c r="AZ35" s="285"/>
      <c r="BA35" s="286"/>
      <c r="BB35" s="287" t="s">
        <v>182</v>
      </c>
      <c r="BC35" s="287"/>
      <c r="BD35" s="287"/>
      <c r="BE35" s="287"/>
      <c r="BF35" s="287"/>
      <c r="BG35" s="287"/>
      <c r="BH35" s="287"/>
      <c r="BI35" s="287"/>
      <c r="BJ35" s="288"/>
      <c r="BK35" s="288"/>
      <c r="BL35" s="288"/>
      <c r="BM35" s="288"/>
      <c r="BN35" s="288"/>
      <c r="BO35" s="288"/>
      <c r="BP35" s="288"/>
      <c r="BQ35" s="288"/>
      <c r="BR35" s="288"/>
      <c r="BS35" s="10"/>
      <c r="BT35" s="11"/>
    </row>
    <row r="36" spans="1:72" s="8" customFormat="1">
      <c r="A36" s="9"/>
      <c r="B36" s="80"/>
      <c r="C36" s="81"/>
      <c r="D36" s="81"/>
      <c r="E36" s="81"/>
      <c r="F36" s="81"/>
      <c r="G36" s="81"/>
      <c r="H36" s="81"/>
      <c r="I36" s="81"/>
      <c r="J36" s="83" t="s">
        <v>183</v>
      </c>
      <c r="K36" s="81"/>
      <c r="L36" s="81"/>
      <c r="M36" s="81"/>
      <c r="N36" s="81"/>
      <c r="O36" s="81"/>
      <c r="P36" s="81"/>
      <c r="Q36" s="82"/>
      <c r="R36" s="38">
        <v>2</v>
      </c>
      <c r="S36" s="36" t="s">
        <v>184</v>
      </c>
      <c r="T36" s="37"/>
      <c r="U36" s="37"/>
      <c r="V36" s="37"/>
      <c r="W36" s="37"/>
      <c r="X36" s="37"/>
      <c r="Y36" s="37"/>
      <c r="Z36" s="37"/>
      <c r="AA36" s="37"/>
      <c r="AB36" s="37"/>
      <c r="AC36" s="37"/>
      <c r="AD36" s="37"/>
      <c r="AE36" s="38"/>
      <c r="AF36" s="284"/>
      <c r="AG36" s="286"/>
      <c r="AH36" s="284"/>
      <c r="AI36" s="286"/>
      <c r="AJ36" s="284" t="s">
        <v>130</v>
      </c>
      <c r="AK36" s="286"/>
      <c r="AL36" s="284"/>
      <c r="AM36" s="286"/>
      <c r="AN36" s="284"/>
      <c r="AO36" s="286"/>
      <c r="AP36" s="284"/>
      <c r="AQ36" s="286"/>
      <c r="AR36" s="284"/>
      <c r="AS36" s="286"/>
      <c r="AT36" s="284" t="s">
        <v>131</v>
      </c>
      <c r="AU36" s="285"/>
      <c r="AV36" s="285"/>
      <c r="AW36" s="285"/>
      <c r="AX36" s="285"/>
      <c r="AY36" s="285"/>
      <c r="AZ36" s="285"/>
      <c r="BA36" s="286"/>
      <c r="BB36" s="284" t="s">
        <v>182</v>
      </c>
      <c r="BC36" s="285"/>
      <c r="BD36" s="285"/>
      <c r="BE36" s="285"/>
      <c r="BF36" s="285"/>
      <c r="BG36" s="285"/>
      <c r="BH36" s="285"/>
      <c r="BI36" s="286"/>
      <c r="BJ36" s="92" t="s">
        <v>147</v>
      </c>
      <c r="BK36" s="56"/>
      <c r="BL36" s="56"/>
      <c r="BM36" s="56"/>
      <c r="BN36" s="56"/>
      <c r="BO36" s="56"/>
      <c r="BP36" s="56"/>
      <c r="BQ36" s="56"/>
      <c r="BR36" s="57"/>
      <c r="BS36" s="10"/>
    </row>
    <row r="37" spans="1:72" s="8" customFormat="1">
      <c r="A37" s="9"/>
      <c r="B37" s="83"/>
      <c r="C37" s="81"/>
      <c r="D37" s="81"/>
      <c r="E37" s="81"/>
      <c r="F37" s="81"/>
      <c r="G37" s="81"/>
      <c r="H37" s="81"/>
      <c r="I37" s="81"/>
      <c r="J37" s="83"/>
      <c r="K37" s="81"/>
      <c r="L37" s="81"/>
      <c r="M37" s="81"/>
      <c r="N37" s="81"/>
      <c r="O37" s="81"/>
      <c r="P37" s="81"/>
      <c r="Q37" s="82"/>
      <c r="R37" s="38">
        <v>3</v>
      </c>
      <c r="S37" s="36" t="s">
        <v>182</v>
      </c>
      <c r="T37" s="37"/>
      <c r="U37" s="37"/>
      <c r="V37" s="37"/>
      <c r="W37" s="37"/>
      <c r="X37" s="37"/>
      <c r="Y37" s="37"/>
      <c r="Z37" s="37"/>
      <c r="AA37" s="37"/>
      <c r="AB37" s="37"/>
      <c r="AC37" s="37"/>
      <c r="AD37" s="37"/>
      <c r="AE37" s="38"/>
      <c r="AF37" s="284"/>
      <c r="AG37" s="286"/>
      <c r="AH37" s="284"/>
      <c r="AI37" s="286"/>
      <c r="AJ37" s="284" t="s">
        <v>130</v>
      </c>
      <c r="AK37" s="286"/>
      <c r="AL37" s="284"/>
      <c r="AM37" s="286"/>
      <c r="AN37" s="284"/>
      <c r="AO37" s="286"/>
      <c r="AP37" s="284"/>
      <c r="AQ37" s="286"/>
      <c r="AR37" s="284"/>
      <c r="AS37" s="286"/>
      <c r="AT37" s="284" t="s">
        <v>131</v>
      </c>
      <c r="AU37" s="285"/>
      <c r="AV37" s="285"/>
      <c r="AW37" s="285"/>
      <c r="AX37" s="285"/>
      <c r="AY37" s="285"/>
      <c r="AZ37" s="285"/>
      <c r="BA37" s="286"/>
      <c r="BB37" s="284" t="s">
        <v>182</v>
      </c>
      <c r="BC37" s="285"/>
      <c r="BD37" s="285"/>
      <c r="BE37" s="285"/>
      <c r="BF37" s="285"/>
      <c r="BG37" s="285"/>
      <c r="BH37" s="285"/>
      <c r="BI37" s="286"/>
      <c r="BJ37" s="288"/>
      <c r="BK37" s="288"/>
      <c r="BL37" s="288"/>
      <c r="BM37" s="288"/>
      <c r="BN37" s="288"/>
      <c r="BO37" s="288"/>
      <c r="BP37" s="288"/>
      <c r="BQ37" s="288"/>
      <c r="BR37" s="288"/>
      <c r="BS37" s="10"/>
      <c r="BT37" s="11"/>
    </row>
    <row r="38" spans="1:72" s="8" customFormat="1">
      <c r="A38" s="9"/>
      <c r="B38" s="80"/>
      <c r="C38" s="81"/>
      <c r="D38" s="81"/>
      <c r="E38" s="81"/>
      <c r="F38" s="81"/>
      <c r="G38" s="81"/>
      <c r="H38" s="81"/>
      <c r="I38" s="81"/>
      <c r="J38" s="86"/>
      <c r="K38" s="84"/>
      <c r="L38" s="84"/>
      <c r="M38" s="84"/>
      <c r="N38" s="84"/>
      <c r="O38" s="84"/>
      <c r="P38" s="84"/>
      <c r="Q38" s="85"/>
      <c r="R38" s="38">
        <v>4</v>
      </c>
      <c r="S38" s="36" t="s">
        <v>185</v>
      </c>
      <c r="T38" s="37"/>
      <c r="U38" s="37"/>
      <c r="V38" s="37"/>
      <c r="W38" s="37"/>
      <c r="X38" s="37"/>
      <c r="Y38" s="37"/>
      <c r="Z38" s="37"/>
      <c r="AA38" s="37"/>
      <c r="AB38" s="37"/>
      <c r="AC38" s="37"/>
      <c r="AD38" s="37"/>
      <c r="AE38" s="38"/>
      <c r="AF38" s="284"/>
      <c r="AG38" s="286"/>
      <c r="AH38" s="284"/>
      <c r="AI38" s="286"/>
      <c r="AJ38" s="284" t="s">
        <v>130</v>
      </c>
      <c r="AK38" s="286"/>
      <c r="AL38" s="284"/>
      <c r="AM38" s="286"/>
      <c r="AN38" s="284"/>
      <c r="AO38" s="286"/>
      <c r="AP38" s="284"/>
      <c r="AQ38" s="286"/>
      <c r="AR38" s="284"/>
      <c r="AS38" s="286"/>
      <c r="AT38" s="284" t="s">
        <v>131</v>
      </c>
      <c r="AU38" s="285"/>
      <c r="AV38" s="285"/>
      <c r="AW38" s="285"/>
      <c r="AX38" s="285"/>
      <c r="AY38" s="285"/>
      <c r="AZ38" s="285"/>
      <c r="BA38" s="286"/>
      <c r="BB38" s="284" t="s">
        <v>186</v>
      </c>
      <c r="BC38" s="285"/>
      <c r="BD38" s="285"/>
      <c r="BE38" s="285"/>
      <c r="BF38" s="285"/>
      <c r="BG38" s="285"/>
      <c r="BH38" s="285"/>
      <c r="BI38" s="286"/>
      <c r="BJ38" s="288"/>
      <c r="BK38" s="288"/>
      <c r="BL38" s="288"/>
      <c r="BM38" s="288"/>
      <c r="BN38" s="288"/>
      <c r="BO38" s="288"/>
      <c r="BP38" s="288"/>
      <c r="BQ38" s="288"/>
      <c r="BR38" s="288"/>
      <c r="BS38" s="10"/>
    </row>
    <row r="39" spans="1:72" s="8" customFormat="1">
      <c r="A39" s="9"/>
      <c r="B39" s="83"/>
      <c r="C39" s="81"/>
      <c r="D39" s="81"/>
      <c r="E39" s="81"/>
      <c r="F39" s="81"/>
      <c r="G39" s="81"/>
      <c r="H39" s="81"/>
      <c r="I39" s="81"/>
      <c r="J39" s="78" t="s">
        <v>187</v>
      </c>
      <c r="K39" s="73"/>
      <c r="L39" s="73"/>
      <c r="M39" s="73"/>
      <c r="N39" s="73"/>
      <c r="O39" s="73"/>
      <c r="P39" s="73"/>
      <c r="Q39" s="79"/>
      <c r="R39" s="38">
        <v>1</v>
      </c>
      <c r="S39" s="36" t="s">
        <v>188</v>
      </c>
      <c r="T39" s="37"/>
      <c r="U39" s="37"/>
      <c r="V39" s="37"/>
      <c r="W39" s="37"/>
      <c r="X39" s="37"/>
      <c r="Y39" s="37"/>
      <c r="Z39" s="37"/>
      <c r="AA39" s="37"/>
      <c r="AB39" s="37"/>
      <c r="AC39" s="37"/>
      <c r="AD39" s="37"/>
      <c r="AE39" s="38"/>
      <c r="AF39" s="284"/>
      <c r="AG39" s="286"/>
      <c r="AH39" s="284"/>
      <c r="AI39" s="286"/>
      <c r="AJ39" s="284" t="s">
        <v>130</v>
      </c>
      <c r="AK39" s="286"/>
      <c r="AL39" s="284"/>
      <c r="AM39" s="286"/>
      <c r="AN39" s="284"/>
      <c r="AO39" s="286"/>
      <c r="AP39" s="284"/>
      <c r="AQ39" s="286"/>
      <c r="AR39" s="284"/>
      <c r="AS39" s="286"/>
      <c r="AT39" s="284" t="s">
        <v>131</v>
      </c>
      <c r="AU39" s="285"/>
      <c r="AV39" s="285"/>
      <c r="AW39" s="285"/>
      <c r="AX39" s="285"/>
      <c r="AY39" s="285"/>
      <c r="AZ39" s="285"/>
      <c r="BA39" s="286"/>
      <c r="BB39" s="284" t="s">
        <v>189</v>
      </c>
      <c r="BC39" s="285"/>
      <c r="BD39" s="285"/>
      <c r="BE39" s="285"/>
      <c r="BF39" s="285"/>
      <c r="BG39" s="285"/>
      <c r="BH39" s="285"/>
      <c r="BI39" s="286"/>
      <c r="BJ39" s="288"/>
      <c r="BK39" s="288"/>
      <c r="BL39" s="288"/>
      <c r="BM39" s="288"/>
      <c r="BN39" s="288"/>
      <c r="BO39" s="288"/>
      <c r="BP39" s="288"/>
      <c r="BQ39" s="288"/>
      <c r="BR39" s="288"/>
      <c r="BS39" s="10"/>
      <c r="BT39" s="11"/>
    </row>
    <row r="40" spans="1:72" s="8" customFormat="1">
      <c r="A40" s="9"/>
      <c r="B40" s="80"/>
      <c r="C40" s="81"/>
      <c r="D40" s="81"/>
      <c r="E40" s="81"/>
      <c r="F40" s="81"/>
      <c r="G40" s="81"/>
      <c r="H40" s="81"/>
      <c r="I40" s="81"/>
      <c r="J40" s="83" t="s">
        <v>190</v>
      </c>
      <c r="K40" s="81"/>
      <c r="L40" s="81"/>
      <c r="M40" s="81"/>
      <c r="N40" s="81"/>
      <c r="O40" s="81"/>
      <c r="P40" s="81"/>
      <c r="Q40" s="82"/>
      <c r="R40" s="38">
        <v>2</v>
      </c>
      <c r="S40" s="36" t="s">
        <v>184</v>
      </c>
      <c r="T40" s="37"/>
      <c r="U40" s="37"/>
      <c r="V40" s="37"/>
      <c r="W40" s="37"/>
      <c r="X40" s="37"/>
      <c r="Y40" s="37"/>
      <c r="Z40" s="37"/>
      <c r="AA40" s="37"/>
      <c r="AB40" s="37"/>
      <c r="AC40" s="37"/>
      <c r="AD40" s="37"/>
      <c r="AE40" s="38"/>
      <c r="AF40" s="284"/>
      <c r="AG40" s="286"/>
      <c r="AH40" s="284"/>
      <c r="AI40" s="286"/>
      <c r="AJ40" s="284" t="s">
        <v>130</v>
      </c>
      <c r="AK40" s="286"/>
      <c r="AL40" s="284"/>
      <c r="AM40" s="286"/>
      <c r="AN40" s="284"/>
      <c r="AO40" s="286"/>
      <c r="AP40" s="284"/>
      <c r="AQ40" s="286"/>
      <c r="AR40" s="284"/>
      <c r="AS40" s="286"/>
      <c r="AT40" s="284" t="s">
        <v>131</v>
      </c>
      <c r="AU40" s="285"/>
      <c r="AV40" s="285"/>
      <c r="AW40" s="285"/>
      <c r="AX40" s="285"/>
      <c r="AY40" s="285"/>
      <c r="AZ40" s="285"/>
      <c r="BA40" s="286"/>
      <c r="BB40" s="284" t="s">
        <v>189</v>
      </c>
      <c r="BC40" s="285"/>
      <c r="BD40" s="285"/>
      <c r="BE40" s="285"/>
      <c r="BF40" s="285"/>
      <c r="BG40" s="285"/>
      <c r="BH40" s="285"/>
      <c r="BI40" s="286"/>
      <c r="BJ40" s="92" t="s">
        <v>147</v>
      </c>
      <c r="BK40" s="56"/>
      <c r="BL40" s="56"/>
      <c r="BM40" s="56"/>
      <c r="BN40" s="56"/>
      <c r="BO40" s="56"/>
      <c r="BP40" s="56"/>
      <c r="BQ40" s="56"/>
      <c r="BR40" s="57"/>
      <c r="BS40" s="10"/>
    </row>
    <row r="41" spans="1:72" s="8" customFormat="1">
      <c r="A41" s="9"/>
      <c r="B41" s="83"/>
      <c r="C41" s="81"/>
      <c r="D41" s="81"/>
      <c r="E41" s="81"/>
      <c r="F41" s="81"/>
      <c r="G41" s="81"/>
      <c r="H41" s="81"/>
      <c r="I41" s="81"/>
      <c r="J41" s="83"/>
      <c r="K41" s="81"/>
      <c r="L41" s="81"/>
      <c r="M41" s="81"/>
      <c r="N41" s="81"/>
      <c r="O41" s="81"/>
      <c r="P41" s="81"/>
      <c r="Q41" s="82"/>
      <c r="R41" s="38">
        <v>3</v>
      </c>
      <c r="S41" s="36" t="s">
        <v>189</v>
      </c>
      <c r="T41" s="37"/>
      <c r="U41" s="37"/>
      <c r="V41" s="37"/>
      <c r="W41" s="37"/>
      <c r="X41" s="37"/>
      <c r="Y41" s="37"/>
      <c r="Z41" s="37"/>
      <c r="AA41" s="37"/>
      <c r="AB41" s="37"/>
      <c r="AC41" s="37"/>
      <c r="AD41" s="37"/>
      <c r="AE41" s="38"/>
      <c r="AF41" s="284"/>
      <c r="AG41" s="286"/>
      <c r="AH41" s="284"/>
      <c r="AI41" s="286"/>
      <c r="AJ41" s="284" t="s">
        <v>130</v>
      </c>
      <c r="AK41" s="286"/>
      <c r="AL41" s="284"/>
      <c r="AM41" s="286"/>
      <c r="AN41" s="284"/>
      <c r="AO41" s="286"/>
      <c r="AP41" s="284"/>
      <c r="AQ41" s="286"/>
      <c r="AR41" s="284"/>
      <c r="AS41" s="286"/>
      <c r="AT41" s="284" t="s">
        <v>131</v>
      </c>
      <c r="AU41" s="285"/>
      <c r="AV41" s="285"/>
      <c r="AW41" s="285"/>
      <c r="AX41" s="285"/>
      <c r="AY41" s="285"/>
      <c r="AZ41" s="285"/>
      <c r="BA41" s="286"/>
      <c r="BB41" s="284" t="s">
        <v>189</v>
      </c>
      <c r="BC41" s="285"/>
      <c r="BD41" s="285"/>
      <c r="BE41" s="285"/>
      <c r="BF41" s="285"/>
      <c r="BG41" s="285"/>
      <c r="BH41" s="285"/>
      <c r="BI41" s="286"/>
      <c r="BJ41" s="288"/>
      <c r="BK41" s="288"/>
      <c r="BL41" s="288"/>
      <c r="BM41" s="288"/>
      <c r="BN41" s="288"/>
      <c r="BO41" s="288"/>
      <c r="BP41" s="288"/>
      <c r="BQ41" s="288"/>
      <c r="BR41" s="288"/>
      <c r="BS41" s="10"/>
      <c r="BT41" s="11"/>
    </row>
    <row r="42" spans="1:72" s="8" customFormat="1">
      <c r="A42" s="9"/>
      <c r="B42" s="80"/>
      <c r="C42" s="81"/>
      <c r="D42" s="81"/>
      <c r="E42" s="81"/>
      <c r="F42" s="81"/>
      <c r="G42" s="81"/>
      <c r="H42" s="81"/>
      <c r="I42" s="81"/>
      <c r="J42" s="86"/>
      <c r="K42" s="84"/>
      <c r="L42" s="84"/>
      <c r="M42" s="84"/>
      <c r="N42" s="84"/>
      <c r="O42" s="84"/>
      <c r="P42" s="84"/>
      <c r="Q42" s="85"/>
      <c r="R42" s="38">
        <v>4</v>
      </c>
      <c r="S42" s="36" t="s">
        <v>185</v>
      </c>
      <c r="T42" s="37"/>
      <c r="U42" s="37"/>
      <c r="V42" s="37"/>
      <c r="W42" s="37"/>
      <c r="X42" s="37"/>
      <c r="Y42" s="37"/>
      <c r="Z42" s="37"/>
      <c r="AA42" s="37"/>
      <c r="AB42" s="37"/>
      <c r="AC42" s="37"/>
      <c r="AD42" s="37"/>
      <c r="AE42" s="38"/>
      <c r="AF42" s="284"/>
      <c r="AG42" s="286"/>
      <c r="AH42" s="284"/>
      <c r="AI42" s="286"/>
      <c r="AJ42" s="284" t="s">
        <v>130</v>
      </c>
      <c r="AK42" s="286"/>
      <c r="AL42" s="284"/>
      <c r="AM42" s="286"/>
      <c r="AN42" s="284"/>
      <c r="AO42" s="286"/>
      <c r="AP42" s="284"/>
      <c r="AQ42" s="286"/>
      <c r="AR42" s="284"/>
      <c r="AS42" s="286"/>
      <c r="AT42" s="284" t="s">
        <v>131</v>
      </c>
      <c r="AU42" s="285"/>
      <c r="AV42" s="285"/>
      <c r="AW42" s="285"/>
      <c r="AX42" s="285"/>
      <c r="AY42" s="285"/>
      <c r="AZ42" s="285"/>
      <c r="BA42" s="286"/>
      <c r="BB42" s="284" t="s">
        <v>186</v>
      </c>
      <c r="BC42" s="285"/>
      <c r="BD42" s="285"/>
      <c r="BE42" s="285"/>
      <c r="BF42" s="285"/>
      <c r="BG42" s="285"/>
      <c r="BH42" s="285"/>
      <c r="BI42" s="286"/>
      <c r="BJ42" s="288"/>
      <c r="BK42" s="288"/>
      <c r="BL42" s="288"/>
      <c r="BM42" s="288"/>
      <c r="BN42" s="288"/>
      <c r="BO42" s="288"/>
      <c r="BP42" s="288"/>
      <c r="BQ42" s="288"/>
      <c r="BR42" s="288"/>
      <c r="BS42" s="10"/>
    </row>
    <row r="43" spans="1:72" s="8" customFormat="1">
      <c r="A43" s="9"/>
      <c r="B43" s="83"/>
      <c r="C43" s="81"/>
      <c r="D43" s="81"/>
      <c r="E43" s="81"/>
      <c r="F43" s="81"/>
      <c r="G43" s="81"/>
      <c r="H43" s="81"/>
      <c r="I43" s="81"/>
      <c r="J43" s="83" t="s">
        <v>191</v>
      </c>
      <c r="K43" s="81"/>
      <c r="L43" s="81"/>
      <c r="M43" s="81"/>
      <c r="N43" s="81"/>
      <c r="O43" s="81"/>
      <c r="P43" s="81"/>
      <c r="Q43" s="82"/>
      <c r="R43" s="38">
        <v>1</v>
      </c>
      <c r="S43" s="36" t="s">
        <v>192</v>
      </c>
      <c r="T43" s="37"/>
      <c r="U43" s="37"/>
      <c r="V43" s="37"/>
      <c r="W43" s="37"/>
      <c r="X43" s="37"/>
      <c r="Y43" s="37"/>
      <c r="Z43" s="37"/>
      <c r="AA43" s="37"/>
      <c r="AB43" s="37"/>
      <c r="AC43" s="37"/>
      <c r="AD43" s="37"/>
      <c r="AE43" s="38"/>
      <c r="AF43" s="284"/>
      <c r="AG43" s="286"/>
      <c r="AH43" s="284"/>
      <c r="AI43" s="286"/>
      <c r="AJ43" s="284" t="s">
        <v>130</v>
      </c>
      <c r="AK43" s="286"/>
      <c r="AL43" s="284"/>
      <c r="AM43" s="286"/>
      <c r="AN43" s="284"/>
      <c r="AO43" s="286"/>
      <c r="AP43" s="284"/>
      <c r="AQ43" s="286"/>
      <c r="AR43" s="284"/>
      <c r="AS43" s="286"/>
      <c r="AT43" s="284" t="s">
        <v>131</v>
      </c>
      <c r="AU43" s="285"/>
      <c r="AV43" s="285"/>
      <c r="AW43" s="285"/>
      <c r="AX43" s="285"/>
      <c r="AY43" s="285"/>
      <c r="AZ43" s="285"/>
      <c r="BA43" s="286"/>
      <c r="BB43" s="287" t="s">
        <v>193</v>
      </c>
      <c r="BC43" s="287"/>
      <c r="BD43" s="287"/>
      <c r="BE43" s="287"/>
      <c r="BF43" s="287"/>
      <c r="BG43" s="287"/>
      <c r="BH43" s="287"/>
      <c r="BI43" s="287"/>
      <c r="BJ43" s="288"/>
      <c r="BK43" s="288"/>
      <c r="BL43" s="288"/>
      <c r="BM43" s="288"/>
      <c r="BN43" s="288"/>
      <c r="BO43" s="288"/>
      <c r="BP43" s="288"/>
      <c r="BQ43" s="288"/>
      <c r="BR43" s="288"/>
      <c r="BS43" s="10"/>
      <c r="BT43" s="11"/>
    </row>
    <row r="44" spans="1:72" s="8" customFormat="1">
      <c r="A44" s="9"/>
      <c r="B44" s="80"/>
      <c r="C44" s="81"/>
      <c r="D44" s="81"/>
      <c r="E44" s="81"/>
      <c r="F44" s="81"/>
      <c r="G44" s="81"/>
      <c r="H44" s="81"/>
      <c r="I44" s="81"/>
      <c r="J44" s="83" t="s">
        <v>190</v>
      </c>
      <c r="K44" s="81"/>
      <c r="L44" s="81"/>
      <c r="M44" s="81"/>
      <c r="N44" s="81"/>
      <c r="O44" s="81"/>
      <c r="P44" s="81"/>
      <c r="Q44" s="82"/>
      <c r="R44" s="38">
        <v>2</v>
      </c>
      <c r="S44" s="36" t="s">
        <v>194</v>
      </c>
      <c r="T44" s="37"/>
      <c r="U44" s="37"/>
      <c r="V44" s="37"/>
      <c r="W44" s="37"/>
      <c r="X44" s="37"/>
      <c r="Y44" s="37"/>
      <c r="Z44" s="37"/>
      <c r="AA44" s="37"/>
      <c r="AB44" s="37"/>
      <c r="AC44" s="37"/>
      <c r="AD44" s="37"/>
      <c r="AE44" s="38"/>
      <c r="AF44" s="284"/>
      <c r="AG44" s="286"/>
      <c r="AH44" s="284"/>
      <c r="AI44" s="286"/>
      <c r="AJ44" s="284" t="s">
        <v>130</v>
      </c>
      <c r="AK44" s="286"/>
      <c r="AL44" s="284"/>
      <c r="AM44" s="286"/>
      <c r="AN44" s="284"/>
      <c r="AO44" s="286"/>
      <c r="AP44" s="284"/>
      <c r="AQ44" s="286"/>
      <c r="AR44" s="284"/>
      <c r="AS44" s="286"/>
      <c r="AT44" s="284" t="s">
        <v>131</v>
      </c>
      <c r="AU44" s="285"/>
      <c r="AV44" s="285"/>
      <c r="AW44" s="285"/>
      <c r="AX44" s="285"/>
      <c r="AY44" s="285"/>
      <c r="AZ44" s="285"/>
      <c r="BA44" s="286"/>
      <c r="BB44" s="287" t="s">
        <v>193</v>
      </c>
      <c r="BC44" s="287"/>
      <c r="BD44" s="287"/>
      <c r="BE44" s="287"/>
      <c r="BF44" s="287"/>
      <c r="BG44" s="287"/>
      <c r="BH44" s="287"/>
      <c r="BI44" s="287"/>
      <c r="BJ44" s="92" t="s">
        <v>147</v>
      </c>
      <c r="BK44" s="56"/>
      <c r="BL44" s="56"/>
      <c r="BM44" s="56"/>
      <c r="BN44" s="56"/>
      <c r="BO44" s="56"/>
      <c r="BP44" s="56"/>
      <c r="BQ44" s="56"/>
      <c r="BR44" s="57"/>
      <c r="BS44" s="10"/>
    </row>
    <row r="45" spans="1:72" s="8" customFormat="1">
      <c r="A45" s="9"/>
      <c r="B45" s="83"/>
      <c r="C45" s="81"/>
      <c r="D45" s="81"/>
      <c r="E45" s="81"/>
      <c r="F45" s="81"/>
      <c r="G45" s="81"/>
      <c r="H45" s="81"/>
      <c r="I45" s="81"/>
      <c r="J45" s="83"/>
      <c r="K45" s="81"/>
      <c r="L45" s="81"/>
      <c r="M45" s="81"/>
      <c r="N45" s="81"/>
      <c r="O45" s="81"/>
      <c r="P45" s="81"/>
      <c r="Q45" s="82"/>
      <c r="R45" s="38">
        <v>3</v>
      </c>
      <c r="S45" s="36" t="s">
        <v>195</v>
      </c>
      <c r="T45" s="37"/>
      <c r="U45" s="37"/>
      <c r="V45" s="37"/>
      <c r="W45" s="37"/>
      <c r="X45" s="37"/>
      <c r="Y45" s="37"/>
      <c r="Z45" s="37"/>
      <c r="AA45" s="37"/>
      <c r="AB45" s="37"/>
      <c r="AC45" s="37"/>
      <c r="AD45" s="37"/>
      <c r="AE45" s="38"/>
      <c r="AF45" s="284"/>
      <c r="AG45" s="286"/>
      <c r="AH45" s="284"/>
      <c r="AI45" s="286"/>
      <c r="AJ45" s="284" t="s">
        <v>130</v>
      </c>
      <c r="AK45" s="286"/>
      <c r="AL45" s="284"/>
      <c r="AM45" s="286"/>
      <c r="AN45" s="284"/>
      <c r="AO45" s="286"/>
      <c r="AP45" s="284"/>
      <c r="AQ45" s="286"/>
      <c r="AR45" s="284"/>
      <c r="AS45" s="286"/>
      <c r="AT45" s="284" t="s">
        <v>131</v>
      </c>
      <c r="AU45" s="285"/>
      <c r="AV45" s="285"/>
      <c r="AW45" s="285"/>
      <c r="AX45" s="285"/>
      <c r="AY45" s="285"/>
      <c r="AZ45" s="285"/>
      <c r="BA45" s="286"/>
      <c r="BB45" s="287" t="s">
        <v>193</v>
      </c>
      <c r="BC45" s="287"/>
      <c r="BD45" s="287"/>
      <c r="BE45" s="287"/>
      <c r="BF45" s="287"/>
      <c r="BG45" s="287"/>
      <c r="BH45" s="287"/>
      <c r="BI45" s="287"/>
      <c r="BJ45" s="288"/>
      <c r="BK45" s="288"/>
      <c r="BL45" s="288"/>
      <c r="BM45" s="288"/>
      <c r="BN45" s="288"/>
      <c r="BO45" s="288"/>
      <c r="BP45" s="288"/>
      <c r="BQ45" s="288"/>
      <c r="BR45" s="288"/>
      <c r="BS45" s="10"/>
      <c r="BT45" s="11"/>
    </row>
    <row r="46" spans="1:72" s="8" customFormat="1">
      <c r="A46" s="9"/>
      <c r="B46" s="80"/>
      <c r="C46" s="81"/>
      <c r="D46" s="81"/>
      <c r="E46" s="81"/>
      <c r="F46" s="81"/>
      <c r="G46" s="81"/>
      <c r="H46" s="81"/>
      <c r="I46" s="81"/>
      <c r="J46" s="83"/>
      <c r="K46" s="81"/>
      <c r="L46" s="81"/>
      <c r="M46" s="81"/>
      <c r="N46" s="81"/>
      <c r="O46" s="81"/>
      <c r="P46" s="81"/>
      <c r="Q46" s="82"/>
      <c r="R46" s="38">
        <v>4</v>
      </c>
      <c r="S46" s="36" t="s">
        <v>185</v>
      </c>
      <c r="T46" s="37"/>
      <c r="U46" s="37"/>
      <c r="V46" s="37"/>
      <c r="W46" s="37"/>
      <c r="X46" s="37"/>
      <c r="Y46" s="37"/>
      <c r="Z46" s="37"/>
      <c r="AA46" s="37"/>
      <c r="AB46" s="37"/>
      <c r="AC46" s="37"/>
      <c r="AD46" s="37"/>
      <c r="AE46" s="38"/>
      <c r="AF46" s="284"/>
      <c r="AG46" s="286"/>
      <c r="AH46" s="284"/>
      <c r="AI46" s="286"/>
      <c r="AJ46" s="284" t="s">
        <v>130</v>
      </c>
      <c r="AK46" s="286"/>
      <c r="AL46" s="284"/>
      <c r="AM46" s="286"/>
      <c r="AN46" s="284"/>
      <c r="AO46" s="286"/>
      <c r="AP46" s="284"/>
      <c r="AQ46" s="286"/>
      <c r="AR46" s="284"/>
      <c r="AS46" s="286"/>
      <c r="AT46" s="284" t="s">
        <v>131</v>
      </c>
      <c r="AU46" s="285"/>
      <c r="AV46" s="285"/>
      <c r="AW46" s="285"/>
      <c r="AX46" s="285"/>
      <c r="AY46" s="285"/>
      <c r="AZ46" s="285"/>
      <c r="BA46" s="286"/>
      <c r="BB46" s="284" t="s">
        <v>186</v>
      </c>
      <c r="BC46" s="285"/>
      <c r="BD46" s="285"/>
      <c r="BE46" s="285"/>
      <c r="BF46" s="285"/>
      <c r="BG46" s="285"/>
      <c r="BH46" s="285"/>
      <c r="BI46" s="286"/>
      <c r="BJ46" s="288"/>
      <c r="BK46" s="288"/>
      <c r="BL46" s="288"/>
      <c r="BM46" s="288"/>
      <c r="BN46" s="288"/>
      <c r="BO46" s="288"/>
      <c r="BP46" s="288"/>
      <c r="BQ46" s="288"/>
      <c r="BR46" s="288"/>
      <c r="BS46" s="10"/>
    </row>
    <row r="47" spans="1:72" s="8" customFormat="1">
      <c r="A47" s="9"/>
      <c r="B47" s="78" t="s">
        <v>196</v>
      </c>
      <c r="C47" s="73"/>
      <c r="D47" s="73"/>
      <c r="E47" s="73"/>
      <c r="F47" s="73"/>
      <c r="G47" s="73"/>
      <c r="H47" s="73"/>
      <c r="I47" s="73"/>
      <c r="J47" s="78" t="s">
        <v>197</v>
      </c>
      <c r="K47" s="73"/>
      <c r="L47" s="73"/>
      <c r="M47" s="73"/>
      <c r="N47" s="73"/>
      <c r="O47" s="73"/>
      <c r="P47" s="73"/>
      <c r="Q47" s="79"/>
      <c r="R47" s="38">
        <v>1</v>
      </c>
      <c r="S47" s="36" t="s">
        <v>198</v>
      </c>
      <c r="T47" s="37"/>
      <c r="U47" s="37"/>
      <c r="V47" s="37"/>
      <c r="W47" s="37"/>
      <c r="X47" s="37"/>
      <c r="Y47" s="37"/>
      <c r="Z47" s="37"/>
      <c r="AA47" s="37"/>
      <c r="AB47" s="37"/>
      <c r="AC47" s="37"/>
      <c r="AD47" s="37"/>
      <c r="AE47" s="38"/>
      <c r="AF47" s="284"/>
      <c r="AG47" s="286"/>
      <c r="AH47" s="284"/>
      <c r="AI47" s="286"/>
      <c r="AJ47" s="284"/>
      <c r="AK47" s="286"/>
      <c r="AL47" s="284"/>
      <c r="AM47" s="286"/>
      <c r="AN47" s="284" t="s">
        <v>130</v>
      </c>
      <c r="AO47" s="286"/>
      <c r="AP47" s="284"/>
      <c r="AQ47" s="286"/>
      <c r="AR47" s="284"/>
      <c r="AS47" s="286"/>
      <c r="AT47" s="284" t="s">
        <v>131</v>
      </c>
      <c r="AU47" s="285"/>
      <c r="AV47" s="285"/>
      <c r="AW47" s="285"/>
      <c r="AX47" s="285"/>
      <c r="AY47" s="285"/>
      <c r="AZ47" s="285"/>
      <c r="BA47" s="286"/>
      <c r="BB47" s="287" t="s">
        <v>132</v>
      </c>
      <c r="BC47" s="287"/>
      <c r="BD47" s="287"/>
      <c r="BE47" s="287"/>
      <c r="BF47" s="287"/>
      <c r="BG47" s="287"/>
      <c r="BH47" s="287"/>
      <c r="BI47" s="287"/>
      <c r="BJ47" s="288"/>
      <c r="BK47" s="288"/>
      <c r="BL47" s="288"/>
      <c r="BM47" s="288"/>
      <c r="BN47" s="288"/>
      <c r="BO47" s="288"/>
      <c r="BP47" s="288"/>
      <c r="BQ47" s="288"/>
      <c r="BR47" s="288"/>
      <c r="BS47" s="10"/>
      <c r="BT47" s="11"/>
    </row>
    <row r="48" spans="1:72" s="8" customFormat="1">
      <c r="A48" s="9"/>
      <c r="B48" s="80"/>
      <c r="C48" s="81"/>
      <c r="D48" s="81"/>
      <c r="E48" s="81"/>
      <c r="F48" s="81"/>
      <c r="G48" s="81"/>
      <c r="H48" s="81"/>
      <c r="I48" s="82"/>
      <c r="J48" s="81"/>
      <c r="K48" s="81"/>
      <c r="L48" s="81"/>
      <c r="M48" s="81"/>
      <c r="N48" s="81"/>
      <c r="O48" s="81"/>
      <c r="P48" s="81"/>
      <c r="Q48" s="82"/>
      <c r="R48" s="38">
        <v>2</v>
      </c>
      <c r="S48" s="36" t="s">
        <v>133</v>
      </c>
      <c r="T48" s="37"/>
      <c r="U48" s="37"/>
      <c r="V48" s="37"/>
      <c r="W48" s="37"/>
      <c r="X48" s="37"/>
      <c r="Y48" s="37"/>
      <c r="Z48" s="37"/>
      <c r="AA48" s="37"/>
      <c r="AB48" s="37"/>
      <c r="AC48" s="37"/>
      <c r="AD48" s="37"/>
      <c r="AE48" s="38"/>
      <c r="AF48" s="284"/>
      <c r="AG48" s="286"/>
      <c r="AH48" s="284"/>
      <c r="AI48" s="286"/>
      <c r="AJ48" s="284"/>
      <c r="AK48" s="286"/>
      <c r="AL48" s="284"/>
      <c r="AM48" s="286"/>
      <c r="AN48" s="284" t="s">
        <v>130</v>
      </c>
      <c r="AO48" s="286"/>
      <c r="AP48" s="284"/>
      <c r="AQ48" s="286"/>
      <c r="AR48" s="284"/>
      <c r="AS48" s="286"/>
      <c r="AT48" s="284" t="s">
        <v>131</v>
      </c>
      <c r="AU48" s="285"/>
      <c r="AV48" s="285"/>
      <c r="AW48" s="285"/>
      <c r="AX48" s="285"/>
      <c r="AY48" s="285"/>
      <c r="AZ48" s="285"/>
      <c r="BA48" s="286"/>
      <c r="BB48" s="284" t="s">
        <v>134</v>
      </c>
      <c r="BC48" s="285"/>
      <c r="BD48" s="285"/>
      <c r="BE48" s="285"/>
      <c r="BF48" s="285"/>
      <c r="BG48" s="285"/>
      <c r="BH48" s="285"/>
      <c r="BI48" s="286"/>
      <c r="BJ48" s="288"/>
      <c r="BK48" s="288"/>
      <c r="BL48" s="288"/>
      <c r="BM48" s="288"/>
      <c r="BN48" s="288"/>
      <c r="BO48" s="288"/>
      <c r="BP48" s="288"/>
      <c r="BQ48" s="288"/>
      <c r="BR48" s="288"/>
      <c r="BS48" s="10"/>
    </row>
    <row r="49" spans="1:72" s="8" customFormat="1">
      <c r="A49" s="9"/>
      <c r="B49" s="80"/>
      <c r="C49" s="81"/>
      <c r="D49" s="81"/>
      <c r="E49" s="81"/>
      <c r="F49" s="81"/>
      <c r="G49" s="81"/>
      <c r="H49" s="81"/>
      <c r="I49" s="82"/>
      <c r="J49" s="81"/>
      <c r="K49" s="81"/>
      <c r="L49" s="81"/>
      <c r="M49" s="81"/>
      <c r="N49" s="81"/>
      <c r="O49" s="81"/>
      <c r="P49" s="81"/>
      <c r="Q49" s="82"/>
      <c r="R49" s="38">
        <v>3</v>
      </c>
      <c r="S49" s="36" t="s">
        <v>135</v>
      </c>
      <c r="T49" s="37"/>
      <c r="U49" s="37"/>
      <c r="V49" s="37"/>
      <c r="W49" s="37"/>
      <c r="X49" s="37"/>
      <c r="Y49" s="37"/>
      <c r="Z49" s="37"/>
      <c r="AA49" s="37"/>
      <c r="AB49" s="37"/>
      <c r="AC49" s="37"/>
      <c r="AD49" s="37"/>
      <c r="AE49" s="38"/>
      <c r="AF49" s="284"/>
      <c r="AG49" s="286"/>
      <c r="AH49" s="284"/>
      <c r="AI49" s="286"/>
      <c r="AJ49" s="284"/>
      <c r="AK49" s="286"/>
      <c r="AL49" s="284"/>
      <c r="AM49" s="286"/>
      <c r="AN49" s="284" t="s">
        <v>130</v>
      </c>
      <c r="AO49" s="286"/>
      <c r="AP49" s="284"/>
      <c r="AQ49" s="286"/>
      <c r="AR49" s="284"/>
      <c r="AS49" s="286"/>
      <c r="AT49" s="284" t="s">
        <v>131</v>
      </c>
      <c r="AU49" s="285"/>
      <c r="AV49" s="285"/>
      <c r="AW49" s="285"/>
      <c r="AX49" s="285"/>
      <c r="AY49" s="285"/>
      <c r="AZ49" s="285"/>
      <c r="BA49" s="286"/>
      <c r="BB49" s="284" t="s">
        <v>136</v>
      </c>
      <c r="BC49" s="285"/>
      <c r="BD49" s="285"/>
      <c r="BE49" s="285"/>
      <c r="BF49" s="285"/>
      <c r="BG49" s="285"/>
      <c r="BH49" s="285"/>
      <c r="BI49" s="286"/>
      <c r="BJ49" s="288"/>
      <c r="BK49" s="288"/>
      <c r="BL49" s="288"/>
      <c r="BM49" s="288"/>
      <c r="BN49" s="288"/>
      <c r="BO49" s="288"/>
      <c r="BP49" s="288"/>
      <c r="BQ49" s="288"/>
      <c r="BR49" s="288"/>
      <c r="BS49" s="10"/>
    </row>
    <row r="50" spans="1:72" s="8" customFormat="1">
      <c r="A50" s="9"/>
      <c r="B50" s="80"/>
      <c r="C50" s="81"/>
      <c r="D50" s="81"/>
      <c r="E50" s="81"/>
      <c r="F50" s="81"/>
      <c r="G50" s="81"/>
      <c r="H50" s="81"/>
      <c r="I50" s="82"/>
      <c r="J50" s="81"/>
      <c r="K50" s="81"/>
      <c r="L50" s="81"/>
      <c r="M50" s="81"/>
      <c r="N50" s="81"/>
      <c r="O50" s="81"/>
      <c r="P50" s="81"/>
      <c r="Q50" s="82"/>
      <c r="R50" s="38">
        <v>4</v>
      </c>
      <c r="S50" s="36" t="s">
        <v>137</v>
      </c>
      <c r="T50" s="37"/>
      <c r="U50" s="37"/>
      <c r="V50" s="37"/>
      <c r="W50" s="37"/>
      <c r="X50" s="37"/>
      <c r="Y50" s="37"/>
      <c r="Z50" s="37"/>
      <c r="AA50" s="37"/>
      <c r="AB50" s="37"/>
      <c r="AC50" s="37"/>
      <c r="AD50" s="37"/>
      <c r="AE50" s="38"/>
      <c r="AF50" s="284"/>
      <c r="AG50" s="286"/>
      <c r="AH50" s="284"/>
      <c r="AI50" s="286"/>
      <c r="AJ50" s="284"/>
      <c r="AK50" s="286"/>
      <c r="AL50" s="284"/>
      <c r="AM50" s="286"/>
      <c r="AN50" s="284"/>
      <c r="AO50" s="286"/>
      <c r="AP50" s="284"/>
      <c r="AQ50" s="286"/>
      <c r="AR50" s="284" t="s">
        <v>130</v>
      </c>
      <c r="AS50" s="286"/>
      <c r="AT50" s="284" t="s">
        <v>131</v>
      </c>
      <c r="AU50" s="285"/>
      <c r="AV50" s="285"/>
      <c r="AW50" s="285"/>
      <c r="AX50" s="285"/>
      <c r="AY50" s="285"/>
      <c r="AZ50" s="285"/>
      <c r="BA50" s="286"/>
      <c r="BB50" s="284" t="s">
        <v>138</v>
      </c>
      <c r="BC50" s="285"/>
      <c r="BD50" s="285"/>
      <c r="BE50" s="285"/>
      <c r="BF50" s="285"/>
      <c r="BG50" s="285"/>
      <c r="BH50" s="285"/>
      <c r="BI50" s="286"/>
      <c r="BJ50" s="288"/>
      <c r="BK50" s="288"/>
      <c r="BL50" s="288"/>
      <c r="BM50" s="288"/>
      <c r="BN50" s="288"/>
      <c r="BO50" s="288"/>
      <c r="BP50" s="288"/>
      <c r="BQ50" s="288"/>
      <c r="BR50" s="288"/>
      <c r="BS50" s="10"/>
    </row>
    <row r="51" spans="1:72" s="8" customFormat="1">
      <c r="A51" s="9"/>
      <c r="B51" s="80"/>
      <c r="C51" s="81"/>
      <c r="D51" s="81"/>
      <c r="E51" s="81"/>
      <c r="F51" s="81"/>
      <c r="G51" s="81"/>
      <c r="H51" s="81"/>
      <c r="I51" s="81"/>
      <c r="J51" s="83"/>
      <c r="K51" s="81"/>
      <c r="L51" s="81"/>
      <c r="M51" s="81"/>
      <c r="N51" s="81"/>
      <c r="O51" s="81"/>
      <c r="P51" s="81"/>
      <c r="Q51" s="82"/>
      <c r="R51" s="38">
        <v>5</v>
      </c>
      <c r="S51" s="36" t="s">
        <v>199</v>
      </c>
      <c r="T51" s="37"/>
      <c r="U51" s="37"/>
      <c r="V51" s="37"/>
      <c r="W51" s="37"/>
      <c r="X51" s="37"/>
      <c r="Y51" s="37"/>
      <c r="Z51" s="37"/>
      <c r="AA51" s="37"/>
      <c r="AB51" s="37"/>
      <c r="AC51" s="37"/>
      <c r="AD51" s="37"/>
      <c r="AE51" s="38"/>
      <c r="AF51" s="284"/>
      <c r="AG51" s="286"/>
      <c r="AH51" s="284"/>
      <c r="AI51" s="286"/>
      <c r="AJ51" s="284"/>
      <c r="AK51" s="286"/>
      <c r="AL51" s="284"/>
      <c r="AM51" s="286"/>
      <c r="AN51" s="284" t="s">
        <v>130</v>
      </c>
      <c r="AO51" s="286"/>
      <c r="AP51" s="284"/>
      <c r="AQ51" s="286"/>
      <c r="AR51" s="284"/>
      <c r="AS51" s="286"/>
      <c r="AT51" s="284" t="s">
        <v>131</v>
      </c>
      <c r="AU51" s="285"/>
      <c r="AV51" s="285"/>
      <c r="AW51" s="285"/>
      <c r="AX51" s="285"/>
      <c r="AY51" s="285"/>
      <c r="AZ51" s="285"/>
      <c r="BA51" s="286"/>
      <c r="BB51" s="284" t="s">
        <v>140</v>
      </c>
      <c r="BC51" s="285"/>
      <c r="BD51" s="285"/>
      <c r="BE51" s="285"/>
      <c r="BF51" s="285"/>
      <c r="BG51" s="285"/>
      <c r="BH51" s="285"/>
      <c r="BI51" s="286"/>
      <c r="BJ51" s="288"/>
      <c r="BK51" s="288"/>
      <c r="BL51" s="288"/>
      <c r="BM51" s="288"/>
      <c r="BN51" s="288"/>
      <c r="BO51" s="288"/>
      <c r="BP51" s="288"/>
      <c r="BQ51" s="288"/>
      <c r="BR51" s="288"/>
      <c r="BS51" s="10"/>
    </row>
    <row r="52" spans="1:72" s="8" customFormat="1">
      <c r="A52" s="9"/>
      <c r="B52" s="83"/>
      <c r="C52" s="81"/>
      <c r="D52" s="81"/>
      <c r="E52" s="81"/>
      <c r="F52" s="81"/>
      <c r="G52" s="81"/>
      <c r="H52" s="81"/>
      <c r="I52" s="81"/>
      <c r="J52" s="83"/>
      <c r="K52" s="81"/>
      <c r="L52" s="81"/>
      <c r="M52" s="81"/>
      <c r="N52" s="81"/>
      <c r="O52" s="81"/>
      <c r="P52" s="81"/>
      <c r="Q52" s="82"/>
      <c r="R52" s="38">
        <v>6</v>
      </c>
      <c r="S52" s="36" t="s">
        <v>200</v>
      </c>
      <c r="T52" s="37"/>
      <c r="U52" s="37"/>
      <c r="V52" s="37"/>
      <c r="W52" s="37"/>
      <c r="X52" s="37"/>
      <c r="Y52" s="37"/>
      <c r="Z52" s="37"/>
      <c r="AA52" s="37"/>
      <c r="AB52" s="37"/>
      <c r="AC52" s="37"/>
      <c r="AD52" s="37"/>
      <c r="AE52" s="38"/>
      <c r="AF52" s="284"/>
      <c r="AG52" s="286"/>
      <c r="AH52" s="284"/>
      <c r="AI52" s="286"/>
      <c r="AJ52" s="284"/>
      <c r="AK52" s="286"/>
      <c r="AL52" s="284"/>
      <c r="AM52" s="286"/>
      <c r="AN52" s="284" t="s">
        <v>130</v>
      </c>
      <c r="AO52" s="286"/>
      <c r="AP52" s="284"/>
      <c r="AQ52" s="286"/>
      <c r="AR52" s="284"/>
      <c r="AS52" s="286"/>
      <c r="AT52" s="284" t="s">
        <v>201</v>
      </c>
      <c r="AU52" s="285"/>
      <c r="AV52" s="285"/>
      <c r="AW52" s="285"/>
      <c r="AX52" s="285"/>
      <c r="AY52" s="285"/>
      <c r="AZ52" s="285"/>
      <c r="BA52" s="286"/>
      <c r="BB52" s="287"/>
      <c r="BC52" s="287"/>
      <c r="BD52" s="287"/>
      <c r="BE52" s="287"/>
      <c r="BF52" s="287"/>
      <c r="BG52" s="287"/>
      <c r="BH52" s="287"/>
      <c r="BI52" s="287"/>
      <c r="BJ52" s="288"/>
      <c r="BK52" s="288"/>
      <c r="BL52" s="288"/>
      <c r="BM52" s="288"/>
      <c r="BN52" s="288"/>
      <c r="BO52" s="288"/>
      <c r="BP52" s="288"/>
      <c r="BQ52" s="288"/>
      <c r="BR52" s="288"/>
      <c r="BS52" s="10"/>
      <c r="BT52" s="11"/>
    </row>
    <row r="53" spans="1:72" s="8" customFormat="1">
      <c r="A53" s="9"/>
      <c r="B53" s="83"/>
      <c r="C53" s="81"/>
      <c r="D53" s="81"/>
      <c r="E53" s="81"/>
      <c r="F53" s="81"/>
      <c r="G53" s="81"/>
      <c r="H53" s="81"/>
      <c r="I53" s="81"/>
      <c r="J53" s="83"/>
      <c r="K53" s="81"/>
      <c r="L53" s="81"/>
      <c r="M53" s="81"/>
      <c r="N53" s="81"/>
      <c r="O53" s="81"/>
      <c r="P53" s="81"/>
      <c r="Q53" s="82"/>
      <c r="R53" s="38">
        <v>7</v>
      </c>
      <c r="S53" s="36" t="s">
        <v>202</v>
      </c>
      <c r="T53" s="37"/>
      <c r="U53" s="37"/>
      <c r="V53" s="37"/>
      <c r="W53" s="37"/>
      <c r="X53" s="37"/>
      <c r="Y53" s="37"/>
      <c r="Z53" s="37"/>
      <c r="AA53" s="37"/>
      <c r="AB53" s="37"/>
      <c r="AC53" s="37"/>
      <c r="AD53" s="37"/>
      <c r="AE53" s="38"/>
      <c r="AF53" s="284"/>
      <c r="AG53" s="286"/>
      <c r="AH53" s="284"/>
      <c r="AI53" s="286"/>
      <c r="AJ53" s="284"/>
      <c r="AK53" s="286"/>
      <c r="AL53" s="284"/>
      <c r="AM53" s="286"/>
      <c r="AN53" s="284"/>
      <c r="AO53" s="286"/>
      <c r="AP53" s="284"/>
      <c r="AQ53" s="286"/>
      <c r="AR53" s="284" t="s">
        <v>130</v>
      </c>
      <c r="AS53" s="286"/>
      <c r="AT53" s="284" t="s">
        <v>131</v>
      </c>
      <c r="AU53" s="285"/>
      <c r="AV53" s="285"/>
      <c r="AW53" s="285"/>
      <c r="AX53" s="285"/>
      <c r="AY53" s="285"/>
      <c r="AZ53" s="285"/>
      <c r="BA53" s="286"/>
      <c r="BB53" s="287" t="s">
        <v>203</v>
      </c>
      <c r="BC53" s="287"/>
      <c r="BD53" s="287"/>
      <c r="BE53" s="287"/>
      <c r="BF53" s="287"/>
      <c r="BG53" s="287"/>
      <c r="BH53" s="287"/>
      <c r="BI53" s="287"/>
      <c r="BJ53" s="288"/>
      <c r="BK53" s="288"/>
      <c r="BL53" s="288"/>
      <c r="BM53" s="288"/>
      <c r="BN53" s="288"/>
      <c r="BO53" s="288"/>
      <c r="BP53" s="288"/>
      <c r="BQ53" s="288"/>
      <c r="BR53" s="288"/>
      <c r="BS53" s="10"/>
      <c r="BT53" s="11"/>
    </row>
    <row r="54" spans="1:72" s="8" customFormat="1">
      <c r="A54" s="9"/>
      <c r="B54" s="83"/>
      <c r="C54" s="81"/>
      <c r="D54" s="81"/>
      <c r="E54" s="81"/>
      <c r="F54" s="81"/>
      <c r="G54" s="81"/>
      <c r="H54" s="81"/>
      <c r="I54" s="81"/>
      <c r="J54" s="83"/>
      <c r="K54" s="81"/>
      <c r="L54" s="81"/>
      <c r="M54" s="81"/>
      <c r="N54" s="81"/>
      <c r="O54" s="81"/>
      <c r="P54" s="81"/>
      <c r="Q54" s="82"/>
      <c r="R54" s="38">
        <v>8</v>
      </c>
      <c r="S54" s="36" t="s">
        <v>204</v>
      </c>
      <c r="T54" s="37"/>
      <c r="U54" s="37"/>
      <c r="V54" s="37"/>
      <c r="W54" s="37"/>
      <c r="X54" s="37"/>
      <c r="Y54" s="37"/>
      <c r="Z54" s="37"/>
      <c r="AA54" s="37"/>
      <c r="AB54" s="37"/>
      <c r="AC54" s="37"/>
      <c r="AD54" s="37"/>
      <c r="AE54" s="38"/>
      <c r="AF54" s="284"/>
      <c r="AG54" s="286"/>
      <c r="AH54" s="284"/>
      <c r="AI54" s="286"/>
      <c r="AJ54" s="284"/>
      <c r="AK54" s="286"/>
      <c r="AL54" s="284"/>
      <c r="AM54" s="286"/>
      <c r="AN54" s="284" t="s">
        <v>130</v>
      </c>
      <c r="AO54" s="286"/>
      <c r="AP54" s="284"/>
      <c r="AQ54" s="286"/>
      <c r="AR54" s="284"/>
      <c r="AS54" s="286"/>
      <c r="AT54" s="284" t="s">
        <v>131</v>
      </c>
      <c r="AU54" s="285"/>
      <c r="AV54" s="285"/>
      <c r="AW54" s="285"/>
      <c r="AX54" s="285"/>
      <c r="AY54" s="285"/>
      <c r="AZ54" s="285"/>
      <c r="BA54" s="286"/>
      <c r="BB54" s="284" t="s">
        <v>205</v>
      </c>
      <c r="BC54" s="285"/>
      <c r="BD54" s="285"/>
      <c r="BE54" s="285"/>
      <c r="BF54" s="285"/>
      <c r="BG54" s="285"/>
      <c r="BH54" s="285"/>
      <c r="BI54" s="286"/>
      <c r="BJ54" s="288"/>
      <c r="BK54" s="288"/>
      <c r="BL54" s="288"/>
      <c r="BM54" s="288"/>
      <c r="BN54" s="288"/>
      <c r="BO54" s="288"/>
      <c r="BP54" s="288"/>
      <c r="BQ54" s="288"/>
      <c r="BR54" s="288"/>
      <c r="BS54" s="10"/>
      <c r="BT54" s="11"/>
    </row>
    <row r="55" spans="1:72" s="8" customFormat="1">
      <c r="A55" s="9"/>
      <c r="B55" s="83"/>
      <c r="C55" s="81"/>
      <c r="D55" s="81"/>
      <c r="E55" s="81"/>
      <c r="F55" s="81"/>
      <c r="G55" s="81"/>
      <c r="H55" s="81"/>
      <c r="I55" s="81"/>
      <c r="J55" s="83"/>
      <c r="K55" s="81"/>
      <c r="L55" s="81"/>
      <c r="M55" s="81"/>
      <c r="N55" s="81"/>
      <c r="O55" s="81"/>
      <c r="P55" s="81"/>
      <c r="Q55" s="82"/>
      <c r="R55" s="38">
        <v>9</v>
      </c>
      <c r="S55" s="36" t="s">
        <v>206</v>
      </c>
      <c r="T55" s="37"/>
      <c r="U55" s="37"/>
      <c r="V55" s="37"/>
      <c r="W55" s="37"/>
      <c r="X55" s="37"/>
      <c r="Y55" s="37"/>
      <c r="Z55" s="37"/>
      <c r="AA55" s="37"/>
      <c r="AB55" s="37"/>
      <c r="AC55" s="37"/>
      <c r="AD55" s="37"/>
      <c r="AE55" s="38"/>
      <c r="AF55" s="284"/>
      <c r="AG55" s="286"/>
      <c r="AH55" s="284"/>
      <c r="AI55" s="286"/>
      <c r="AJ55" s="284"/>
      <c r="AK55" s="286"/>
      <c r="AL55" s="284"/>
      <c r="AM55" s="286"/>
      <c r="AN55" s="284" t="s">
        <v>130</v>
      </c>
      <c r="AO55" s="286"/>
      <c r="AP55" s="284"/>
      <c r="AQ55" s="286"/>
      <c r="AR55" s="284"/>
      <c r="AS55" s="286"/>
      <c r="AT55" s="284" t="s">
        <v>131</v>
      </c>
      <c r="AU55" s="285"/>
      <c r="AV55" s="285"/>
      <c r="AW55" s="285"/>
      <c r="AX55" s="285"/>
      <c r="AY55" s="285"/>
      <c r="AZ55" s="285"/>
      <c r="BA55" s="286"/>
      <c r="BB55" s="287" t="s">
        <v>206</v>
      </c>
      <c r="BC55" s="287"/>
      <c r="BD55" s="287"/>
      <c r="BE55" s="287"/>
      <c r="BF55" s="287"/>
      <c r="BG55" s="287"/>
      <c r="BH55" s="287"/>
      <c r="BI55" s="287"/>
      <c r="BJ55" s="288"/>
      <c r="BK55" s="288"/>
      <c r="BL55" s="288"/>
      <c r="BM55" s="288"/>
      <c r="BN55" s="288"/>
      <c r="BO55" s="288"/>
      <c r="BP55" s="288"/>
      <c r="BQ55" s="288"/>
      <c r="BR55" s="288"/>
      <c r="BS55" s="10"/>
      <c r="BT55" s="11"/>
    </row>
    <row r="56" spans="1:72" s="8" customFormat="1">
      <c r="A56" s="9"/>
      <c r="B56" s="80"/>
      <c r="C56" s="81"/>
      <c r="D56" s="81"/>
      <c r="E56" s="81"/>
      <c r="F56" s="81"/>
      <c r="G56" s="81"/>
      <c r="H56" s="81"/>
      <c r="I56" s="81"/>
      <c r="J56" s="83"/>
      <c r="K56" s="81"/>
      <c r="L56" s="81"/>
      <c r="M56" s="81"/>
      <c r="N56" s="81"/>
      <c r="O56" s="81"/>
      <c r="P56" s="81"/>
      <c r="Q56" s="82"/>
      <c r="R56" s="38">
        <v>10</v>
      </c>
      <c r="S56" s="36" t="s">
        <v>207</v>
      </c>
      <c r="T56" s="37"/>
      <c r="U56" s="37"/>
      <c r="V56" s="37"/>
      <c r="W56" s="37"/>
      <c r="X56" s="37"/>
      <c r="Y56" s="37"/>
      <c r="Z56" s="37"/>
      <c r="AA56" s="37"/>
      <c r="AB56" s="37"/>
      <c r="AC56" s="37"/>
      <c r="AD56" s="37"/>
      <c r="AE56" s="38"/>
      <c r="AF56" s="284"/>
      <c r="AG56" s="286"/>
      <c r="AH56" s="284"/>
      <c r="AI56" s="286"/>
      <c r="AJ56" s="284"/>
      <c r="AK56" s="286"/>
      <c r="AL56" s="284"/>
      <c r="AM56" s="286"/>
      <c r="AN56" s="284" t="s">
        <v>130</v>
      </c>
      <c r="AO56" s="286"/>
      <c r="AP56" s="284"/>
      <c r="AQ56" s="286"/>
      <c r="AR56" s="284"/>
      <c r="AS56" s="286"/>
      <c r="AT56" s="284" t="s">
        <v>131</v>
      </c>
      <c r="AU56" s="285"/>
      <c r="AV56" s="285"/>
      <c r="AW56" s="285"/>
      <c r="AX56" s="285"/>
      <c r="AY56" s="285"/>
      <c r="AZ56" s="285"/>
      <c r="BA56" s="286"/>
      <c r="BB56" s="284" t="s">
        <v>160</v>
      </c>
      <c r="BC56" s="285"/>
      <c r="BD56" s="285"/>
      <c r="BE56" s="285"/>
      <c r="BF56" s="285"/>
      <c r="BG56" s="285"/>
      <c r="BH56" s="285"/>
      <c r="BI56" s="286"/>
      <c r="BJ56" s="288"/>
      <c r="BK56" s="288"/>
      <c r="BL56" s="288"/>
      <c r="BM56" s="288"/>
      <c r="BN56" s="288"/>
      <c r="BO56" s="288"/>
      <c r="BP56" s="288"/>
      <c r="BQ56" s="288"/>
      <c r="BR56" s="288"/>
      <c r="BS56" s="10"/>
    </row>
    <row r="57" spans="1:72" s="8" customFormat="1">
      <c r="A57" s="9"/>
      <c r="B57" s="78" t="s">
        <v>208</v>
      </c>
      <c r="C57" s="73"/>
      <c r="D57" s="73"/>
      <c r="E57" s="73"/>
      <c r="F57" s="73"/>
      <c r="G57" s="73"/>
      <c r="H57" s="73"/>
      <c r="I57" s="79"/>
      <c r="J57" s="73" t="s">
        <v>209</v>
      </c>
      <c r="K57" s="73"/>
      <c r="L57" s="73"/>
      <c r="M57" s="73"/>
      <c r="N57" s="73"/>
      <c r="O57" s="73"/>
      <c r="P57" s="73"/>
      <c r="Q57" s="79"/>
      <c r="R57" s="38">
        <v>1</v>
      </c>
      <c r="S57" s="36" t="s">
        <v>210</v>
      </c>
      <c r="T57" s="37"/>
      <c r="U57" s="37"/>
      <c r="V57" s="37"/>
      <c r="W57" s="37"/>
      <c r="X57" s="37"/>
      <c r="Y57" s="37"/>
      <c r="Z57" s="37"/>
      <c r="AA57" s="37"/>
      <c r="AB57" s="37"/>
      <c r="AC57" s="37"/>
      <c r="AD57" s="37"/>
      <c r="AE57" s="38"/>
      <c r="AF57" s="284"/>
      <c r="AG57" s="286"/>
      <c r="AH57" s="284"/>
      <c r="AI57" s="286"/>
      <c r="AJ57" s="284"/>
      <c r="AK57" s="286"/>
      <c r="AL57" s="284"/>
      <c r="AM57" s="286"/>
      <c r="AN57" s="284" t="s">
        <v>130</v>
      </c>
      <c r="AO57" s="286"/>
      <c r="AP57" s="284"/>
      <c r="AQ57" s="286"/>
      <c r="AR57" s="284"/>
      <c r="AS57" s="286"/>
      <c r="AT57" s="284" t="s">
        <v>201</v>
      </c>
      <c r="AU57" s="285"/>
      <c r="AV57" s="285"/>
      <c r="AW57" s="285"/>
      <c r="AX57" s="285"/>
      <c r="AY57" s="285"/>
      <c r="AZ57" s="285"/>
      <c r="BA57" s="286"/>
      <c r="BB57" s="284" t="s">
        <v>201</v>
      </c>
      <c r="BC57" s="285"/>
      <c r="BD57" s="285"/>
      <c r="BE57" s="285"/>
      <c r="BF57" s="285"/>
      <c r="BG57" s="285"/>
      <c r="BH57" s="285"/>
      <c r="BI57" s="286"/>
      <c r="BJ57" s="288"/>
      <c r="BK57" s="288"/>
      <c r="BL57" s="288"/>
      <c r="BM57" s="288"/>
      <c r="BN57" s="288"/>
      <c r="BO57" s="288"/>
      <c r="BP57" s="288"/>
      <c r="BQ57" s="288"/>
      <c r="BR57" s="288"/>
      <c r="BS57" s="10"/>
      <c r="BT57" s="11"/>
    </row>
    <row r="58" spans="1:72" s="8" customFormat="1">
      <c r="A58" s="9"/>
      <c r="B58" s="80"/>
      <c r="C58" s="81"/>
      <c r="D58" s="81"/>
      <c r="E58" s="81"/>
      <c r="F58" s="81"/>
      <c r="G58" s="81"/>
      <c r="H58" s="81"/>
      <c r="I58" s="82"/>
      <c r="J58" s="81"/>
      <c r="K58" s="81"/>
      <c r="L58" s="81"/>
      <c r="M58" s="81"/>
      <c r="N58" s="81"/>
      <c r="O58" s="81"/>
      <c r="P58" s="81"/>
      <c r="Q58" s="82"/>
      <c r="R58" s="38">
        <v>2</v>
      </c>
      <c r="S58" s="36" t="s">
        <v>211</v>
      </c>
      <c r="T58" s="37"/>
      <c r="U58" s="37"/>
      <c r="V58" s="37"/>
      <c r="W58" s="37"/>
      <c r="X58" s="37"/>
      <c r="Y58" s="37"/>
      <c r="Z58" s="37"/>
      <c r="AA58" s="37"/>
      <c r="AB58" s="37"/>
      <c r="AC58" s="37"/>
      <c r="AD58" s="37"/>
      <c r="AE58" s="38"/>
      <c r="AF58" s="284"/>
      <c r="AG58" s="286"/>
      <c r="AH58" s="284"/>
      <c r="AI58" s="286"/>
      <c r="AJ58" s="284"/>
      <c r="AK58" s="286"/>
      <c r="AL58" s="284"/>
      <c r="AM58" s="286"/>
      <c r="AN58" s="284" t="s">
        <v>130</v>
      </c>
      <c r="AO58" s="286"/>
      <c r="AP58" s="284"/>
      <c r="AQ58" s="286"/>
      <c r="AR58" s="284"/>
      <c r="AS58" s="286"/>
      <c r="AT58" s="287" t="s">
        <v>142</v>
      </c>
      <c r="AU58" s="287"/>
      <c r="AV58" s="287"/>
      <c r="AW58" s="287"/>
      <c r="AX58" s="287"/>
      <c r="AY58" s="287"/>
      <c r="AZ58" s="287"/>
      <c r="BA58" s="287"/>
      <c r="BB58" s="287" t="s">
        <v>143</v>
      </c>
      <c r="BC58" s="287"/>
      <c r="BD58" s="287"/>
      <c r="BE58" s="287"/>
      <c r="BF58" s="287"/>
      <c r="BG58" s="287"/>
      <c r="BH58" s="287"/>
      <c r="BI58" s="287"/>
      <c r="BJ58" s="288"/>
      <c r="BK58" s="288"/>
      <c r="BL58" s="288"/>
      <c r="BM58" s="288"/>
      <c r="BN58" s="288"/>
      <c r="BO58" s="288"/>
      <c r="BP58" s="288"/>
      <c r="BQ58" s="288"/>
      <c r="BR58" s="288"/>
      <c r="BS58" s="10"/>
    </row>
    <row r="59" spans="1:72" s="8" customFormat="1">
      <c r="A59" s="9"/>
      <c r="B59" s="83"/>
      <c r="C59" s="81"/>
      <c r="D59" s="81"/>
      <c r="E59" s="81"/>
      <c r="F59" s="81"/>
      <c r="G59" s="81"/>
      <c r="H59" s="81"/>
      <c r="I59" s="82"/>
      <c r="J59" s="81"/>
      <c r="K59" s="81"/>
      <c r="L59" s="81"/>
      <c r="M59" s="81"/>
      <c r="N59" s="81"/>
      <c r="O59" s="81"/>
      <c r="P59" s="81"/>
      <c r="Q59" s="82"/>
      <c r="R59" s="38">
        <v>3</v>
      </c>
      <c r="S59" s="36" t="s">
        <v>212</v>
      </c>
      <c r="T59" s="37"/>
      <c r="U59" s="37"/>
      <c r="V59" s="37"/>
      <c r="W59" s="37"/>
      <c r="X59" s="37"/>
      <c r="Y59" s="37"/>
      <c r="Z59" s="37"/>
      <c r="AA59" s="37"/>
      <c r="AB59" s="37"/>
      <c r="AC59" s="37"/>
      <c r="AD59" s="37"/>
      <c r="AE59" s="38"/>
      <c r="AF59" s="284"/>
      <c r="AG59" s="286"/>
      <c r="AH59" s="284"/>
      <c r="AI59" s="286"/>
      <c r="AJ59" s="284" t="s">
        <v>130</v>
      </c>
      <c r="AK59" s="286"/>
      <c r="AL59" s="284"/>
      <c r="AM59" s="286"/>
      <c r="AN59" s="284"/>
      <c r="AO59" s="286"/>
      <c r="AP59" s="284"/>
      <c r="AQ59" s="286"/>
      <c r="AR59" s="284"/>
      <c r="AS59" s="286"/>
      <c r="AT59" s="284" t="s">
        <v>131</v>
      </c>
      <c r="AU59" s="285"/>
      <c r="AV59" s="285"/>
      <c r="AW59" s="285"/>
      <c r="AX59" s="285"/>
      <c r="AY59" s="285"/>
      <c r="AZ59" s="285"/>
      <c r="BA59" s="286"/>
      <c r="BB59" s="284" t="s">
        <v>140</v>
      </c>
      <c r="BC59" s="285"/>
      <c r="BD59" s="285"/>
      <c r="BE59" s="285"/>
      <c r="BF59" s="285"/>
      <c r="BG59" s="285"/>
      <c r="BH59" s="285"/>
      <c r="BI59" s="286"/>
      <c r="BJ59" s="288"/>
      <c r="BK59" s="288"/>
      <c r="BL59" s="288"/>
      <c r="BM59" s="288"/>
      <c r="BN59" s="288"/>
      <c r="BO59" s="288"/>
      <c r="BP59" s="288"/>
      <c r="BQ59" s="288"/>
      <c r="BR59" s="288"/>
      <c r="BS59" s="10"/>
      <c r="BT59" s="11"/>
    </row>
    <row r="60" spans="1:72" s="8" customFormat="1">
      <c r="A60" s="9"/>
      <c r="B60" s="80"/>
      <c r="C60" s="81"/>
      <c r="D60" s="81"/>
      <c r="E60" s="81"/>
      <c r="F60" s="81"/>
      <c r="G60" s="81"/>
      <c r="H60" s="81"/>
      <c r="I60" s="82"/>
      <c r="J60" s="81"/>
      <c r="K60" s="81"/>
      <c r="L60" s="81"/>
      <c r="M60" s="81"/>
      <c r="N60" s="81"/>
      <c r="O60" s="81"/>
      <c r="P60" s="81"/>
      <c r="Q60" s="82"/>
      <c r="R60" s="38">
        <v>4</v>
      </c>
      <c r="S60" s="36" t="s">
        <v>213</v>
      </c>
      <c r="T60" s="37"/>
      <c r="U60" s="37"/>
      <c r="V60" s="37"/>
      <c r="W60" s="37"/>
      <c r="X60" s="37"/>
      <c r="Y60" s="37"/>
      <c r="Z60" s="37"/>
      <c r="AA60" s="37"/>
      <c r="AB60" s="37"/>
      <c r="AC60" s="37"/>
      <c r="AD60" s="37"/>
      <c r="AE60" s="38"/>
      <c r="AF60" s="284"/>
      <c r="AG60" s="286"/>
      <c r="AH60" s="284"/>
      <c r="AI60" s="286"/>
      <c r="AJ60" s="284"/>
      <c r="AK60" s="286"/>
      <c r="AL60" s="284"/>
      <c r="AM60" s="286"/>
      <c r="AN60" s="284" t="s">
        <v>130</v>
      </c>
      <c r="AO60" s="286"/>
      <c r="AP60" s="284"/>
      <c r="AQ60" s="286"/>
      <c r="AR60" s="284"/>
      <c r="AS60" s="286"/>
      <c r="AT60" s="287" t="s">
        <v>142</v>
      </c>
      <c r="AU60" s="287"/>
      <c r="AV60" s="287"/>
      <c r="AW60" s="287"/>
      <c r="AX60" s="287"/>
      <c r="AY60" s="287"/>
      <c r="AZ60" s="287"/>
      <c r="BA60" s="287"/>
      <c r="BB60" s="287" t="s">
        <v>143</v>
      </c>
      <c r="BC60" s="287"/>
      <c r="BD60" s="287"/>
      <c r="BE60" s="287"/>
      <c r="BF60" s="287"/>
      <c r="BG60" s="287"/>
      <c r="BH60" s="287"/>
      <c r="BI60" s="287"/>
      <c r="BJ60" s="288"/>
      <c r="BK60" s="288"/>
      <c r="BL60" s="288"/>
      <c r="BM60" s="288"/>
      <c r="BN60" s="288"/>
      <c r="BO60" s="288"/>
      <c r="BP60" s="288"/>
      <c r="BQ60" s="288"/>
      <c r="BR60" s="288"/>
      <c r="BS60" s="10"/>
    </row>
    <row r="61" spans="1:72" s="8" customFormat="1">
      <c r="A61" s="9"/>
      <c r="B61" s="83"/>
      <c r="C61" s="81"/>
      <c r="D61" s="81"/>
      <c r="E61" s="81"/>
      <c r="F61" s="81"/>
      <c r="G61" s="81"/>
      <c r="H61" s="81"/>
      <c r="I61" s="82"/>
      <c r="J61" s="81"/>
      <c r="K61" s="81"/>
      <c r="L61" s="81"/>
      <c r="M61" s="81"/>
      <c r="N61" s="81"/>
      <c r="O61" s="81"/>
      <c r="P61" s="81"/>
      <c r="Q61" s="82"/>
      <c r="R61" s="38">
        <v>5</v>
      </c>
      <c r="S61" s="36" t="s">
        <v>214</v>
      </c>
      <c r="T61" s="37"/>
      <c r="U61" s="37"/>
      <c r="V61" s="37"/>
      <c r="W61" s="37"/>
      <c r="X61" s="37"/>
      <c r="Y61" s="37"/>
      <c r="Z61" s="37"/>
      <c r="AA61" s="37"/>
      <c r="AB61" s="37"/>
      <c r="AC61" s="37"/>
      <c r="AD61" s="37"/>
      <c r="AE61" s="38"/>
      <c r="AF61" s="284" t="s">
        <v>130</v>
      </c>
      <c r="AG61" s="286"/>
      <c r="AH61" s="284"/>
      <c r="AI61" s="286"/>
      <c r="AJ61" s="284"/>
      <c r="AK61" s="286"/>
      <c r="AL61" s="284"/>
      <c r="AM61" s="286"/>
      <c r="AN61" s="284"/>
      <c r="AO61" s="286"/>
      <c r="AP61" s="284"/>
      <c r="AQ61" s="286"/>
      <c r="AR61" s="284"/>
      <c r="AS61" s="286"/>
      <c r="AT61" s="284" t="s">
        <v>131</v>
      </c>
      <c r="AU61" s="285"/>
      <c r="AV61" s="285"/>
      <c r="AW61" s="285"/>
      <c r="AX61" s="285"/>
      <c r="AY61" s="285"/>
      <c r="AZ61" s="285"/>
      <c r="BA61" s="286"/>
      <c r="BB61" s="284" t="s">
        <v>140</v>
      </c>
      <c r="BC61" s="285"/>
      <c r="BD61" s="285"/>
      <c r="BE61" s="285"/>
      <c r="BF61" s="285"/>
      <c r="BG61" s="285"/>
      <c r="BH61" s="285"/>
      <c r="BI61" s="286"/>
      <c r="BJ61" s="288"/>
      <c r="BK61" s="288"/>
      <c r="BL61" s="288"/>
      <c r="BM61" s="288"/>
      <c r="BN61" s="288"/>
      <c r="BO61" s="288"/>
      <c r="BP61" s="288"/>
      <c r="BQ61" s="288"/>
      <c r="BR61" s="288"/>
      <c r="BS61" s="10"/>
      <c r="BT61" s="11"/>
    </row>
    <row r="62" spans="1:72" s="8" customFormat="1">
      <c r="A62" s="9"/>
      <c r="B62" s="80"/>
      <c r="C62" s="81"/>
      <c r="D62" s="81"/>
      <c r="E62" s="81"/>
      <c r="F62" s="81"/>
      <c r="G62" s="81"/>
      <c r="H62" s="81"/>
      <c r="I62" s="82"/>
      <c r="J62" s="81"/>
      <c r="K62" s="81"/>
      <c r="L62" s="81"/>
      <c r="M62" s="81"/>
      <c r="N62" s="81"/>
      <c r="O62" s="81"/>
      <c r="P62" s="81"/>
      <c r="Q62" s="82"/>
      <c r="R62" s="38">
        <v>6</v>
      </c>
      <c r="S62" s="36" t="s">
        <v>215</v>
      </c>
      <c r="T62" s="37"/>
      <c r="U62" s="37"/>
      <c r="V62" s="37"/>
      <c r="W62" s="37"/>
      <c r="X62" s="37"/>
      <c r="Y62" s="37"/>
      <c r="Z62" s="37"/>
      <c r="AA62" s="37"/>
      <c r="AB62" s="37"/>
      <c r="AC62" s="37"/>
      <c r="AD62" s="37"/>
      <c r="AE62" s="38"/>
      <c r="AF62" s="284" t="s">
        <v>130</v>
      </c>
      <c r="AG62" s="286"/>
      <c r="AH62" s="284"/>
      <c r="AI62" s="286"/>
      <c r="AJ62" s="284"/>
      <c r="AK62" s="286"/>
      <c r="AL62" s="284"/>
      <c r="AM62" s="286"/>
      <c r="AN62" s="284"/>
      <c r="AO62" s="286"/>
      <c r="AP62" s="284"/>
      <c r="AQ62" s="286"/>
      <c r="AR62" s="284"/>
      <c r="AS62" s="286"/>
      <c r="AT62" s="287" t="s">
        <v>142</v>
      </c>
      <c r="AU62" s="287"/>
      <c r="AV62" s="287"/>
      <c r="AW62" s="287"/>
      <c r="AX62" s="287"/>
      <c r="AY62" s="287"/>
      <c r="AZ62" s="287"/>
      <c r="BA62" s="287"/>
      <c r="BB62" s="287" t="s">
        <v>143</v>
      </c>
      <c r="BC62" s="287"/>
      <c r="BD62" s="287"/>
      <c r="BE62" s="287"/>
      <c r="BF62" s="287"/>
      <c r="BG62" s="287"/>
      <c r="BH62" s="287"/>
      <c r="BI62" s="287"/>
      <c r="BJ62" s="288"/>
      <c r="BK62" s="288"/>
      <c r="BL62" s="288"/>
      <c r="BM62" s="288"/>
      <c r="BN62" s="288"/>
      <c r="BO62" s="288"/>
      <c r="BP62" s="288"/>
      <c r="BQ62" s="288"/>
      <c r="BR62" s="288"/>
      <c r="BS62" s="10"/>
    </row>
    <row r="63" spans="1:72" s="8" customFormat="1">
      <c r="A63" s="9"/>
      <c r="B63" s="83"/>
      <c r="C63" s="81"/>
      <c r="D63" s="81"/>
      <c r="E63" s="81"/>
      <c r="F63" s="81"/>
      <c r="G63" s="81"/>
      <c r="H63" s="81"/>
      <c r="I63" s="82"/>
      <c r="J63" s="81"/>
      <c r="K63" s="81"/>
      <c r="L63" s="81"/>
      <c r="M63" s="81"/>
      <c r="N63" s="81"/>
      <c r="O63" s="81"/>
      <c r="P63" s="81"/>
      <c r="Q63" s="82"/>
      <c r="R63" s="38">
        <v>7</v>
      </c>
      <c r="S63" s="36" t="s">
        <v>216</v>
      </c>
      <c r="T63" s="37"/>
      <c r="U63" s="37"/>
      <c r="V63" s="37"/>
      <c r="W63" s="37"/>
      <c r="X63" s="37"/>
      <c r="Y63" s="37"/>
      <c r="Z63" s="37"/>
      <c r="AA63" s="37"/>
      <c r="AB63" s="37"/>
      <c r="AC63" s="37"/>
      <c r="AD63" s="37"/>
      <c r="AE63" s="38"/>
      <c r="AF63" s="284" t="s">
        <v>130</v>
      </c>
      <c r="AG63" s="286"/>
      <c r="AH63" s="284"/>
      <c r="AI63" s="286"/>
      <c r="AJ63" s="284"/>
      <c r="AK63" s="286"/>
      <c r="AL63" s="284"/>
      <c r="AM63" s="286"/>
      <c r="AN63" s="284"/>
      <c r="AO63" s="286"/>
      <c r="AP63" s="284"/>
      <c r="AQ63" s="286"/>
      <c r="AR63" s="284"/>
      <c r="AS63" s="286"/>
      <c r="AT63" s="287" t="s">
        <v>142</v>
      </c>
      <c r="AU63" s="287"/>
      <c r="AV63" s="287"/>
      <c r="AW63" s="287"/>
      <c r="AX63" s="287"/>
      <c r="AY63" s="287"/>
      <c r="AZ63" s="287"/>
      <c r="BA63" s="287"/>
      <c r="BB63" s="287" t="s">
        <v>143</v>
      </c>
      <c r="BC63" s="287"/>
      <c r="BD63" s="287"/>
      <c r="BE63" s="287"/>
      <c r="BF63" s="287"/>
      <c r="BG63" s="287"/>
      <c r="BH63" s="287"/>
      <c r="BI63" s="287"/>
      <c r="BJ63" s="288"/>
      <c r="BK63" s="288"/>
      <c r="BL63" s="288"/>
      <c r="BM63" s="288"/>
      <c r="BN63" s="288"/>
      <c r="BO63" s="288"/>
      <c r="BP63" s="288"/>
      <c r="BQ63" s="288"/>
      <c r="BR63" s="288"/>
      <c r="BS63" s="10"/>
      <c r="BT63" s="11"/>
    </row>
    <row r="64" spans="1:72" s="8" customFormat="1">
      <c r="A64" s="9"/>
      <c r="B64" s="80"/>
      <c r="C64" s="81"/>
      <c r="D64" s="81"/>
      <c r="E64" s="81"/>
      <c r="F64" s="81"/>
      <c r="G64" s="81"/>
      <c r="H64" s="81"/>
      <c r="I64" s="82"/>
      <c r="J64" s="81"/>
      <c r="K64" s="81"/>
      <c r="L64" s="81"/>
      <c r="M64" s="81"/>
      <c r="N64" s="81"/>
      <c r="O64" s="81"/>
      <c r="P64" s="81"/>
      <c r="Q64" s="82"/>
      <c r="R64" s="38">
        <v>8</v>
      </c>
      <c r="S64" s="36" t="s">
        <v>217</v>
      </c>
      <c r="T64" s="37"/>
      <c r="U64" s="37"/>
      <c r="V64" s="37"/>
      <c r="W64" s="37"/>
      <c r="X64" s="37"/>
      <c r="Y64" s="37"/>
      <c r="Z64" s="37"/>
      <c r="AA64" s="37"/>
      <c r="AB64" s="37"/>
      <c r="AC64" s="37"/>
      <c r="AD64" s="37"/>
      <c r="AE64" s="38"/>
      <c r="AF64" s="284" t="s">
        <v>130</v>
      </c>
      <c r="AG64" s="286"/>
      <c r="AH64" s="284"/>
      <c r="AI64" s="286"/>
      <c r="AJ64" s="284"/>
      <c r="AK64" s="286"/>
      <c r="AL64" s="284"/>
      <c r="AM64" s="286"/>
      <c r="AN64" s="284"/>
      <c r="AO64" s="286"/>
      <c r="AP64" s="284"/>
      <c r="AQ64" s="286"/>
      <c r="AR64" s="284"/>
      <c r="AS64" s="286"/>
      <c r="AT64" s="287" t="s">
        <v>142</v>
      </c>
      <c r="AU64" s="287"/>
      <c r="AV64" s="287"/>
      <c r="AW64" s="287"/>
      <c r="AX64" s="287"/>
      <c r="AY64" s="287"/>
      <c r="AZ64" s="287"/>
      <c r="BA64" s="287"/>
      <c r="BB64" s="287" t="s">
        <v>143</v>
      </c>
      <c r="BC64" s="287"/>
      <c r="BD64" s="287"/>
      <c r="BE64" s="287"/>
      <c r="BF64" s="287"/>
      <c r="BG64" s="287"/>
      <c r="BH64" s="287"/>
      <c r="BI64" s="287"/>
      <c r="BJ64" s="288"/>
      <c r="BK64" s="288"/>
      <c r="BL64" s="288"/>
      <c r="BM64" s="288"/>
      <c r="BN64" s="288"/>
      <c r="BO64" s="288"/>
      <c r="BP64" s="288"/>
      <c r="BQ64" s="288"/>
      <c r="BR64" s="288"/>
      <c r="BS64" s="10"/>
    </row>
    <row r="65" spans="1:72" s="8" customFormat="1">
      <c r="A65" s="9"/>
      <c r="B65" s="83"/>
      <c r="C65" s="81"/>
      <c r="D65" s="81"/>
      <c r="E65" s="81"/>
      <c r="F65" s="81"/>
      <c r="G65" s="81"/>
      <c r="H65" s="81"/>
      <c r="I65" s="81"/>
      <c r="J65" s="83"/>
      <c r="K65" s="81"/>
      <c r="L65" s="81"/>
      <c r="M65" s="81"/>
      <c r="N65" s="81"/>
      <c r="O65" s="81"/>
      <c r="P65" s="81"/>
      <c r="Q65" s="82"/>
      <c r="R65" s="38">
        <v>9</v>
      </c>
      <c r="S65" s="36" t="s">
        <v>218</v>
      </c>
      <c r="T65" s="37"/>
      <c r="U65" s="37"/>
      <c r="V65" s="37"/>
      <c r="W65" s="37"/>
      <c r="X65" s="37"/>
      <c r="Y65" s="37"/>
      <c r="Z65" s="37"/>
      <c r="AA65" s="37"/>
      <c r="AB65" s="37"/>
      <c r="AC65" s="37"/>
      <c r="AD65" s="37"/>
      <c r="AE65" s="38"/>
      <c r="AF65" s="284"/>
      <c r="AG65" s="286"/>
      <c r="AH65" s="284"/>
      <c r="AI65" s="286"/>
      <c r="AJ65" s="284"/>
      <c r="AK65" s="286"/>
      <c r="AL65" s="284"/>
      <c r="AM65" s="286"/>
      <c r="AN65" s="284" t="s">
        <v>130</v>
      </c>
      <c r="AO65" s="286"/>
      <c r="AP65" s="284"/>
      <c r="AQ65" s="286"/>
      <c r="AR65" s="284"/>
      <c r="AS65" s="286"/>
      <c r="AT65" s="284" t="s">
        <v>201</v>
      </c>
      <c r="AU65" s="285"/>
      <c r="AV65" s="285"/>
      <c r="AW65" s="285"/>
      <c r="AX65" s="285"/>
      <c r="AY65" s="285"/>
      <c r="AZ65" s="285"/>
      <c r="BA65" s="286"/>
      <c r="BB65" s="287"/>
      <c r="BC65" s="287"/>
      <c r="BD65" s="287"/>
      <c r="BE65" s="287"/>
      <c r="BF65" s="287"/>
      <c r="BG65" s="287"/>
      <c r="BH65" s="287"/>
      <c r="BI65" s="287"/>
      <c r="BJ65" s="288"/>
      <c r="BK65" s="288"/>
      <c r="BL65" s="288"/>
      <c r="BM65" s="288"/>
      <c r="BN65" s="288"/>
      <c r="BO65" s="288"/>
      <c r="BP65" s="288"/>
      <c r="BQ65" s="288"/>
      <c r="BR65" s="288"/>
      <c r="BS65" s="10"/>
      <c r="BT65" s="11"/>
    </row>
    <row r="66" spans="1:72" s="8" customFormat="1">
      <c r="A66" s="9"/>
      <c r="B66" s="83"/>
      <c r="C66" s="81"/>
      <c r="D66" s="81"/>
      <c r="E66" s="81"/>
      <c r="F66" s="81"/>
      <c r="G66" s="81"/>
      <c r="H66" s="81"/>
      <c r="I66" s="82"/>
      <c r="J66" s="84"/>
      <c r="K66" s="84"/>
      <c r="L66" s="84"/>
      <c r="M66" s="84"/>
      <c r="N66" s="84"/>
      <c r="O66" s="84"/>
      <c r="P66" s="84"/>
      <c r="Q66" s="85"/>
      <c r="R66" s="38">
        <v>10</v>
      </c>
      <c r="S66" s="36" t="s">
        <v>219</v>
      </c>
      <c r="T66" s="37"/>
      <c r="U66" s="37"/>
      <c r="V66" s="37"/>
      <c r="W66" s="37"/>
      <c r="X66" s="37"/>
      <c r="Y66" s="37"/>
      <c r="Z66" s="37"/>
      <c r="AA66" s="37"/>
      <c r="AB66" s="37"/>
      <c r="AC66" s="37"/>
      <c r="AD66" s="37"/>
      <c r="AE66" s="38"/>
      <c r="AF66" s="284"/>
      <c r="AG66" s="286"/>
      <c r="AH66" s="284"/>
      <c r="AI66" s="286"/>
      <c r="AJ66" s="284"/>
      <c r="AK66" s="286"/>
      <c r="AL66" s="284"/>
      <c r="AM66" s="286"/>
      <c r="AN66" s="284"/>
      <c r="AO66" s="286"/>
      <c r="AP66" s="284"/>
      <c r="AQ66" s="286"/>
      <c r="AR66" s="284" t="s">
        <v>130</v>
      </c>
      <c r="AS66" s="286"/>
      <c r="AT66" s="284" t="s">
        <v>131</v>
      </c>
      <c r="AU66" s="285"/>
      <c r="AV66" s="285"/>
      <c r="AW66" s="285"/>
      <c r="AX66" s="285"/>
      <c r="AY66" s="285"/>
      <c r="AZ66" s="285"/>
      <c r="BA66" s="286"/>
      <c r="BB66" s="287" t="s">
        <v>203</v>
      </c>
      <c r="BC66" s="287"/>
      <c r="BD66" s="287"/>
      <c r="BE66" s="287"/>
      <c r="BF66" s="287"/>
      <c r="BG66" s="287"/>
      <c r="BH66" s="287"/>
      <c r="BI66" s="287"/>
      <c r="BJ66" s="288"/>
      <c r="BK66" s="288"/>
      <c r="BL66" s="288"/>
      <c r="BM66" s="288"/>
      <c r="BN66" s="288"/>
      <c r="BO66" s="288"/>
      <c r="BP66" s="288"/>
      <c r="BQ66" s="288"/>
      <c r="BR66" s="288"/>
      <c r="BS66" s="10"/>
      <c r="BT66" s="11"/>
    </row>
    <row r="67" spans="1:72" s="8" customFormat="1">
      <c r="A67" s="9"/>
      <c r="B67" s="83"/>
      <c r="C67" s="81"/>
      <c r="D67" s="81"/>
      <c r="E67" s="81"/>
      <c r="F67" s="81"/>
      <c r="G67" s="81"/>
      <c r="H67" s="81"/>
      <c r="I67" s="82"/>
      <c r="J67" s="73" t="s">
        <v>220</v>
      </c>
      <c r="K67" s="73"/>
      <c r="L67" s="73"/>
      <c r="M67" s="73"/>
      <c r="N67" s="73"/>
      <c r="O67" s="73"/>
      <c r="P67" s="73"/>
      <c r="Q67" s="79"/>
      <c r="R67" s="38">
        <v>1</v>
      </c>
      <c r="S67" s="36" t="s">
        <v>221</v>
      </c>
      <c r="T67" s="37"/>
      <c r="U67" s="37"/>
      <c r="V67" s="37"/>
      <c r="W67" s="37"/>
      <c r="X67" s="37"/>
      <c r="Y67" s="37"/>
      <c r="Z67" s="37"/>
      <c r="AA67" s="37"/>
      <c r="AB67" s="37"/>
      <c r="AC67" s="37"/>
      <c r="AD67" s="37"/>
      <c r="AE67" s="38"/>
      <c r="AF67" s="284"/>
      <c r="AG67" s="286"/>
      <c r="AH67" s="284"/>
      <c r="AI67" s="286"/>
      <c r="AJ67" s="284"/>
      <c r="AK67" s="286"/>
      <c r="AL67" s="284"/>
      <c r="AM67" s="286"/>
      <c r="AN67" s="284" t="s">
        <v>130</v>
      </c>
      <c r="AO67" s="286"/>
      <c r="AP67" s="284"/>
      <c r="AQ67" s="286"/>
      <c r="AR67" s="284"/>
      <c r="AS67" s="286"/>
      <c r="AT67" s="284" t="s">
        <v>131</v>
      </c>
      <c r="AU67" s="285"/>
      <c r="AV67" s="285"/>
      <c r="AW67" s="285"/>
      <c r="AX67" s="285"/>
      <c r="AY67" s="285"/>
      <c r="AZ67" s="285"/>
      <c r="BA67" s="286"/>
      <c r="BB67" s="284" t="s">
        <v>203</v>
      </c>
      <c r="BC67" s="285"/>
      <c r="BD67" s="285"/>
      <c r="BE67" s="285"/>
      <c r="BF67" s="285"/>
      <c r="BG67" s="285"/>
      <c r="BH67" s="285"/>
      <c r="BI67" s="286"/>
      <c r="BJ67" s="288"/>
      <c r="BK67" s="288"/>
      <c r="BL67" s="288"/>
      <c r="BM67" s="288"/>
      <c r="BN67" s="288"/>
      <c r="BO67" s="288"/>
      <c r="BP67" s="288"/>
      <c r="BQ67" s="288"/>
      <c r="BR67" s="288"/>
      <c r="BS67" s="10"/>
      <c r="BT67" s="11"/>
    </row>
    <row r="68" spans="1:72" s="8" customFormat="1">
      <c r="A68" s="9"/>
      <c r="B68" s="80"/>
      <c r="C68" s="81"/>
      <c r="D68" s="81"/>
      <c r="E68" s="81"/>
      <c r="F68" s="81"/>
      <c r="G68" s="81"/>
      <c r="H68" s="81"/>
      <c r="I68" s="82"/>
      <c r="J68" s="81"/>
      <c r="K68" s="81"/>
      <c r="L68" s="81"/>
      <c r="M68" s="81"/>
      <c r="N68" s="81"/>
      <c r="O68" s="81"/>
      <c r="P68" s="81"/>
      <c r="Q68" s="82"/>
      <c r="R68" s="38">
        <v>2</v>
      </c>
      <c r="S68" s="36" t="s">
        <v>222</v>
      </c>
      <c r="T68" s="37"/>
      <c r="U68" s="37"/>
      <c r="V68" s="37"/>
      <c r="W68" s="37"/>
      <c r="X68" s="37"/>
      <c r="Y68" s="37"/>
      <c r="Z68" s="37"/>
      <c r="AA68" s="37"/>
      <c r="AB68" s="37"/>
      <c r="AC68" s="37"/>
      <c r="AD68" s="37"/>
      <c r="AE68" s="38"/>
      <c r="AF68" s="284"/>
      <c r="AG68" s="286"/>
      <c r="AH68" s="284"/>
      <c r="AI68" s="286"/>
      <c r="AJ68" s="284" t="s">
        <v>130</v>
      </c>
      <c r="AK68" s="286"/>
      <c r="AL68" s="284"/>
      <c r="AM68" s="286"/>
      <c r="AN68" s="284"/>
      <c r="AO68" s="286"/>
      <c r="AP68" s="284"/>
      <c r="AQ68" s="286"/>
      <c r="AR68" s="284"/>
      <c r="AS68" s="286"/>
      <c r="AT68" s="284" t="s">
        <v>131</v>
      </c>
      <c r="AU68" s="285"/>
      <c r="AV68" s="285"/>
      <c r="AW68" s="285"/>
      <c r="AX68" s="285"/>
      <c r="AY68" s="285"/>
      <c r="AZ68" s="285"/>
      <c r="BA68" s="286"/>
      <c r="BB68" s="284" t="s">
        <v>205</v>
      </c>
      <c r="BC68" s="285"/>
      <c r="BD68" s="285"/>
      <c r="BE68" s="285"/>
      <c r="BF68" s="285"/>
      <c r="BG68" s="285"/>
      <c r="BH68" s="285"/>
      <c r="BI68" s="286"/>
      <c r="BJ68" s="288"/>
      <c r="BK68" s="288"/>
      <c r="BL68" s="288"/>
      <c r="BM68" s="288"/>
      <c r="BN68" s="288"/>
      <c r="BO68" s="288"/>
      <c r="BP68" s="288"/>
      <c r="BQ68" s="288"/>
      <c r="BR68" s="288"/>
      <c r="BS68" s="10"/>
    </row>
    <row r="69" spans="1:72" s="8" customFormat="1">
      <c r="A69" s="9"/>
      <c r="B69" s="83"/>
      <c r="C69" s="81"/>
      <c r="D69" s="81"/>
      <c r="E69" s="81"/>
      <c r="F69" s="81"/>
      <c r="G69" s="81"/>
      <c r="H69" s="81"/>
      <c r="I69" s="82"/>
      <c r="J69" s="81"/>
      <c r="K69" s="81"/>
      <c r="L69" s="81"/>
      <c r="M69" s="81"/>
      <c r="N69" s="81"/>
      <c r="O69" s="81"/>
      <c r="P69" s="81"/>
      <c r="Q69" s="82"/>
      <c r="R69" s="38">
        <v>3</v>
      </c>
      <c r="S69" s="36" t="s">
        <v>223</v>
      </c>
      <c r="T69" s="37"/>
      <c r="U69" s="37"/>
      <c r="V69" s="37"/>
      <c r="W69" s="37"/>
      <c r="X69" s="37"/>
      <c r="Y69" s="37"/>
      <c r="Z69" s="37"/>
      <c r="AA69" s="37"/>
      <c r="AB69" s="37"/>
      <c r="AC69" s="37"/>
      <c r="AD69" s="37"/>
      <c r="AE69" s="38"/>
      <c r="AF69" s="284"/>
      <c r="AG69" s="286"/>
      <c r="AH69" s="284"/>
      <c r="AI69" s="286"/>
      <c r="AJ69" s="284" t="s">
        <v>130</v>
      </c>
      <c r="AK69" s="286"/>
      <c r="AL69" s="284"/>
      <c r="AM69" s="286"/>
      <c r="AN69" s="284"/>
      <c r="AO69" s="286"/>
      <c r="AP69" s="284"/>
      <c r="AQ69" s="286"/>
      <c r="AR69" s="284"/>
      <c r="AS69" s="286"/>
      <c r="AT69" s="284" t="s">
        <v>131</v>
      </c>
      <c r="AU69" s="285"/>
      <c r="AV69" s="285"/>
      <c r="AW69" s="285"/>
      <c r="AX69" s="285"/>
      <c r="AY69" s="285"/>
      <c r="AZ69" s="285"/>
      <c r="BA69" s="286"/>
      <c r="BB69" s="284" t="s">
        <v>224</v>
      </c>
      <c r="BC69" s="285"/>
      <c r="BD69" s="285"/>
      <c r="BE69" s="285"/>
      <c r="BF69" s="285"/>
      <c r="BG69" s="285"/>
      <c r="BH69" s="285"/>
      <c r="BI69" s="286"/>
      <c r="BJ69" s="288"/>
      <c r="BK69" s="288"/>
      <c r="BL69" s="288"/>
      <c r="BM69" s="288"/>
      <c r="BN69" s="288"/>
      <c r="BO69" s="288"/>
      <c r="BP69" s="288"/>
      <c r="BQ69" s="288"/>
      <c r="BR69" s="288"/>
      <c r="BS69" s="10"/>
      <c r="BT69" s="11"/>
    </row>
    <row r="70" spans="1:72" s="8" customFormat="1">
      <c r="A70" s="9"/>
      <c r="B70" s="80"/>
      <c r="C70" s="81"/>
      <c r="D70" s="81"/>
      <c r="E70" s="81"/>
      <c r="F70" s="81"/>
      <c r="G70" s="81"/>
      <c r="H70" s="81"/>
      <c r="I70" s="82"/>
      <c r="J70" s="81"/>
      <c r="K70" s="81"/>
      <c r="L70" s="81"/>
      <c r="M70" s="81"/>
      <c r="N70" s="81"/>
      <c r="O70" s="81"/>
      <c r="P70" s="81"/>
      <c r="Q70" s="82"/>
      <c r="R70" s="38">
        <v>4</v>
      </c>
      <c r="S70" s="36" t="s">
        <v>225</v>
      </c>
      <c r="T70" s="37"/>
      <c r="U70" s="37"/>
      <c r="V70" s="37"/>
      <c r="W70" s="37"/>
      <c r="X70" s="37"/>
      <c r="Y70" s="37"/>
      <c r="Z70" s="37"/>
      <c r="AA70" s="37"/>
      <c r="AB70" s="37"/>
      <c r="AC70" s="37"/>
      <c r="AD70" s="37"/>
      <c r="AE70" s="38"/>
      <c r="AF70" s="284"/>
      <c r="AG70" s="286"/>
      <c r="AH70" s="284"/>
      <c r="AI70" s="286"/>
      <c r="AJ70" s="284"/>
      <c r="AK70" s="286"/>
      <c r="AL70" s="284"/>
      <c r="AM70" s="286"/>
      <c r="AN70" s="284" t="s">
        <v>130</v>
      </c>
      <c r="AO70" s="286"/>
      <c r="AP70" s="284"/>
      <c r="AQ70" s="286"/>
      <c r="AR70" s="284"/>
      <c r="AS70" s="286"/>
      <c r="AT70" s="284" t="s">
        <v>143</v>
      </c>
      <c r="AU70" s="285"/>
      <c r="AV70" s="285"/>
      <c r="AW70" s="285"/>
      <c r="AX70" s="285"/>
      <c r="AY70" s="285"/>
      <c r="AZ70" s="285"/>
      <c r="BA70" s="286"/>
      <c r="BB70" s="287" t="s">
        <v>143</v>
      </c>
      <c r="BC70" s="287"/>
      <c r="BD70" s="287"/>
      <c r="BE70" s="287"/>
      <c r="BF70" s="287"/>
      <c r="BG70" s="287"/>
      <c r="BH70" s="287"/>
      <c r="BI70" s="287"/>
      <c r="BJ70" s="288"/>
      <c r="BK70" s="288"/>
      <c r="BL70" s="288"/>
      <c r="BM70" s="288"/>
      <c r="BN70" s="288"/>
      <c r="BO70" s="288"/>
      <c r="BP70" s="288"/>
      <c r="BQ70" s="288"/>
      <c r="BR70" s="288"/>
      <c r="BS70" s="10"/>
    </row>
    <row r="71" spans="1:72" s="8" customFormat="1">
      <c r="A71" s="9"/>
      <c r="B71" s="83"/>
      <c r="C71" s="81"/>
      <c r="D71" s="81"/>
      <c r="E71" s="81"/>
      <c r="F71" s="81"/>
      <c r="G71" s="81"/>
      <c r="H71" s="81"/>
      <c r="I71" s="82"/>
      <c r="J71" s="81"/>
      <c r="K71" s="81"/>
      <c r="L71" s="81"/>
      <c r="M71" s="81"/>
      <c r="N71" s="81"/>
      <c r="O71" s="81"/>
      <c r="P71" s="81"/>
      <c r="Q71" s="82"/>
      <c r="R71" s="38">
        <v>5</v>
      </c>
      <c r="S71" s="36" t="s">
        <v>226</v>
      </c>
      <c r="T71" s="37"/>
      <c r="U71" s="37"/>
      <c r="V71" s="37"/>
      <c r="W71" s="37"/>
      <c r="X71" s="37"/>
      <c r="Y71" s="37"/>
      <c r="Z71" s="37"/>
      <c r="AA71" s="37"/>
      <c r="AB71" s="37"/>
      <c r="AC71" s="37"/>
      <c r="AD71" s="37"/>
      <c r="AE71" s="38"/>
      <c r="AF71" s="284"/>
      <c r="AG71" s="286"/>
      <c r="AH71" s="284"/>
      <c r="AI71" s="286"/>
      <c r="AJ71" s="284"/>
      <c r="AK71" s="286"/>
      <c r="AL71" s="284"/>
      <c r="AM71" s="286"/>
      <c r="AN71" s="284" t="s">
        <v>130</v>
      </c>
      <c r="AO71" s="286"/>
      <c r="AP71" s="284"/>
      <c r="AQ71" s="286"/>
      <c r="AR71" s="284"/>
      <c r="AS71" s="286"/>
      <c r="AT71" s="284" t="s">
        <v>131</v>
      </c>
      <c r="AU71" s="285"/>
      <c r="AV71" s="285"/>
      <c r="AW71" s="285"/>
      <c r="AX71" s="285"/>
      <c r="AY71" s="285"/>
      <c r="AZ71" s="285"/>
      <c r="BA71" s="286"/>
      <c r="BB71" s="287" t="s">
        <v>132</v>
      </c>
      <c r="BC71" s="287"/>
      <c r="BD71" s="287"/>
      <c r="BE71" s="287"/>
      <c r="BF71" s="287"/>
      <c r="BG71" s="287"/>
      <c r="BH71" s="287"/>
      <c r="BI71" s="287"/>
      <c r="BJ71" s="288"/>
      <c r="BK71" s="288"/>
      <c r="BL71" s="288"/>
      <c r="BM71" s="288"/>
      <c r="BN71" s="288"/>
      <c r="BO71" s="288"/>
      <c r="BP71" s="288"/>
      <c r="BQ71" s="288"/>
      <c r="BR71" s="288"/>
      <c r="BS71" s="10"/>
      <c r="BT71" s="11"/>
    </row>
    <row r="72" spans="1:72" s="8" customFormat="1">
      <c r="A72" s="9"/>
      <c r="B72" s="80"/>
      <c r="C72" s="81"/>
      <c r="D72" s="81"/>
      <c r="E72" s="81"/>
      <c r="F72" s="81"/>
      <c r="G72" s="81"/>
      <c r="H72" s="81"/>
      <c r="I72" s="82"/>
      <c r="J72" s="81"/>
      <c r="K72" s="81"/>
      <c r="L72" s="81"/>
      <c r="M72" s="81"/>
      <c r="N72" s="81"/>
      <c r="O72" s="81"/>
      <c r="P72" s="81"/>
      <c r="Q72" s="82"/>
      <c r="R72" s="38">
        <v>6</v>
      </c>
      <c r="S72" s="36" t="s">
        <v>227</v>
      </c>
      <c r="T72" s="37"/>
      <c r="U72" s="37"/>
      <c r="V72" s="37"/>
      <c r="W72" s="37"/>
      <c r="X72" s="37"/>
      <c r="Y72" s="37"/>
      <c r="Z72" s="37"/>
      <c r="AA72" s="37"/>
      <c r="AB72" s="37"/>
      <c r="AC72" s="37"/>
      <c r="AD72" s="37"/>
      <c r="AE72" s="38"/>
      <c r="AF72" s="284"/>
      <c r="AG72" s="286"/>
      <c r="AH72" s="284"/>
      <c r="AI72" s="286"/>
      <c r="AJ72" s="284" t="s">
        <v>130</v>
      </c>
      <c r="AK72" s="286"/>
      <c r="AL72" s="284"/>
      <c r="AM72" s="286"/>
      <c r="AN72" s="284"/>
      <c r="AO72" s="286"/>
      <c r="AP72" s="284"/>
      <c r="AQ72" s="286"/>
      <c r="AR72" s="284"/>
      <c r="AS72" s="286"/>
      <c r="AT72" s="284" t="s">
        <v>228</v>
      </c>
      <c r="AU72" s="285"/>
      <c r="AV72" s="285"/>
      <c r="AW72" s="285"/>
      <c r="AX72" s="285"/>
      <c r="AY72" s="285"/>
      <c r="AZ72" s="285"/>
      <c r="BA72" s="286"/>
      <c r="BB72" s="284" t="s">
        <v>201</v>
      </c>
      <c r="BC72" s="285"/>
      <c r="BD72" s="285"/>
      <c r="BE72" s="285"/>
      <c r="BF72" s="285"/>
      <c r="BG72" s="285"/>
      <c r="BH72" s="285"/>
      <c r="BI72" s="286"/>
      <c r="BJ72" s="288"/>
      <c r="BK72" s="288"/>
      <c r="BL72" s="288"/>
      <c r="BM72" s="288"/>
      <c r="BN72" s="288"/>
      <c r="BO72" s="288"/>
      <c r="BP72" s="288"/>
      <c r="BQ72" s="288"/>
      <c r="BR72" s="288"/>
      <c r="BS72" s="10"/>
    </row>
    <row r="73" spans="1:72" s="8" customFormat="1">
      <c r="A73" s="9"/>
      <c r="B73" s="83"/>
      <c r="C73" s="81"/>
      <c r="D73" s="81"/>
      <c r="E73" s="81"/>
      <c r="F73" s="81"/>
      <c r="G73" s="81"/>
      <c r="H73" s="81"/>
      <c r="I73" s="82"/>
      <c r="J73" s="81"/>
      <c r="K73" s="81"/>
      <c r="L73" s="81"/>
      <c r="M73" s="81"/>
      <c r="N73" s="81"/>
      <c r="O73" s="81"/>
      <c r="P73" s="81"/>
      <c r="Q73" s="82"/>
      <c r="R73" s="38">
        <v>7</v>
      </c>
      <c r="S73" s="36" t="s">
        <v>229</v>
      </c>
      <c r="T73" s="37"/>
      <c r="U73" s="37"/>
      <c r="V73" s="37"/>
      <c r="W73" s="37"/>
      <c r="X73" s="37"/>
      <c r="Y73" s="37"/>
      <c r="Z73" s="37"/>
      <c r="AA73" s="37"/>
      <c r="AB73" s="37"/>
      <c r="AC73" s="37"/>
      <c r="AD73" s="37"/>
      <c r="AE73" s="38"/>
      <c r="AF73" s="284"/>
      <c r="AG73" s="286"/>
      <c r="AH73" s="284"/>
      <c r="AI73" s="286"/>
      <c r="AJ73" s="284"/>
      <c r="AK73" s="286"/>
      <c r="AL73" s="284"/>
      <c r="AM73" s="286"/>
      <c r="AN73" s="284" t="s">
        <v>130</v>
      </c>
      <c r="AO73" s="286"/>
      <c r="AP73" s="284"/>
      <c r="AQ73" s="286"/>
      <c r="AR73" s="284"/>
      <c r="AS73" s="286"/>
      <c r="AT73" s="284" t="s">
        <v>228</v>
      </c>
      <c r="AU73" s="285"/>
      <c r="AV73" s="285"/>
      <c r="AW73" s="285"/>
      <c r="AX73" s="285"/>
      <c r="AY73" s="285"/>
      <c r="AZ73" s="285"/>
      <c r="BA73" s="286"/>
      <c r="BB73" s="284" t="s">
        <v>201</v>
      </c>
      <c r="BC73" s="285"/>
      <c r="BD73" s="285"/>
      <c r="BE73" s="285"/>
      <c r="BF73" s="285"/>
      <c r="BG73" s="285"/>
      <c r="BH73" s="285"/>
      <c r="BI73" s="286"/>
      <c r="BJ73" s="288"/>
      <c r="BK73" s="288"/>
      <c r="BL73" s="288"/>
      <c r="BM73" s="288"/>
      <c r="BN73" s="288"/>
      <c r="BO73" s="288"/>
      <c r="BP73" s="288"/>
      <c r="BQ73" s="288"/>
      <c r="BR73" s="288"/>
      <c r="BS73" s="10"/>
      <c r="BT73" s="11"/>
    </row>
    <row r="74" spans="1:72" s="8" customFormat="1">
      <c r="A74" s="9"/>
      <c r="B74" s="80"/>
      <c r="C74" s="81"/>
      <c r="D74" s="81"/>
      <c r="E74" s="81"/>
      <c r="F74" s="81"/>
      <c r="G74" s="81"/>
      <c r="H74" s="81"/>
      <c r="I74" s="82"/>
      <c r="J74" s="81"/>
      <c r="K74" s="81"/>
      <c r="L74" s="81"/>
      <c r="M74" s="81"/>
      <c r="N74" s="81"/>
      <c r="O74" s="81"/>
      <c r="P74" s="81"/>
      <c r="Q74" s="82"/>
      <c r="R74" s="38">
        <v>8</v>
      </c>
      <c r="S74" s="36" t="s">
        <v>230</v>
      </c>
      <c r="T74" s="37"/>
      <c r="U74" s="37"/>
      <c r="V74" s="37"/>
      <c r="W74" s="37"/>
      <c r="X74" s="37"/>
      <c r="Y74" s="37"/>
      <c r="Z74" s="37"/>
      <c r="AA74" s="37"/>
      <c r="AB74" s="37"/>
      <c r="AC74" s="37"/>
      <c r="AD74" s="37"/>
      <c r="AE74" s="38"/>
      <c r="AF74" s="284"/>
      <c r="AG74" s="286"/>
      <c r="AH74" s="284"/>
      <c r="AI74" s="286"/>
      <c r="AJ74" s="284" t="s">
        <v>130</v>
      </c>
      <c r="AK74" s="286"/>
      <c r="AL74" s="284"/>
      <c r="AM74" s="286"/>
      <c r="AN74" s="284"/>
      <c r="AO74" s="286"/>
      <c r="AP74" s="284"/>
      <c r="AQ74" s="286"/>
      <c r="AR74" s="284"/>
      <c r="AS74" s="286"/>
      <c r="AT74" s="284" t="s">
        <v>131</v>
      </c>
      <c r="AU74" s="285"/>
      <c r="AV74" s="285"/>
      <c r="AW74" s="285"/>
      <c r="AX74" s="285"/>
      <c r="AY74" s="285"/>
      <c r="AZ74" s="285"/>
      <c r="BA74" s="286"/>
      <c r="BB74" s="284" t="s">
        <v>224</v>
      </c>
      <c r="BC74" s="285"/>
      <c r="BD74" s="285"/>
      <c r="BE74" s="285"/>
      <c r="BF74" s="285"/>
      <c r="BG74" s="285"/>
      <c r="BH74" s="285"/>
      <c r="BI74" s="286"/>
      <c r="BJ74" s="288"/>
      <c r="BK74" s="288"/>
      <c r="BL74" s="288"/>
      <c r="BM74" s="288"/>
      <c r="BN74" s="288"/>
      <c r="BO74" s="288"/>
      <c r="BP74" s="288"/>
      <c r="BQ74" s="288"/>
      <c r="BR74" s="288"/>
      <c r="BS74" s="10"/>
    </row>
    <row r="75" spans="1:72" s="8" customFormat="1">
      <c r="A75" s="9"/>
      <c r="B75" s="83"/>
      <c r="C75" s="81"/>
      <c r="D75" s="81"/>
      <c r="E75" s="81"/>
      <c r="F75" s="81"/>
      <c r="G75" s="81"/>
      <c r="H75" s="81"/>
      <c r="I75" s="82"/>
      <c r="J75" s="81"/>
      <c r="K75" s="81"/>
      <c r="L75" s="81"/>
      <c r="M75" s="81"/>
      <c r="N75" s="81"/>
      <c r="O75" s="81"/>
      <c r="P75" s="81"/>
      <c r="Q75" s="82"/>
      <c r="R75" s="38">
        <v>9</v>
      </c>
      <c r="S75" s="36" t="s">
        <v>231</v>
      </c>
      <c r="T75" s="37"/>
      <c r="U75" s="37"/>
      <c r="V75" s="37"/>
      <c r="W75" s="37"/>
      <c r="X75" s="37"/>
      <c r="Y75" s="37"/>
      <c r="Z75" s="37"/>
      <c r="AA75" s="37"/>
      <c r="AB75" s="37"/>
      <c r="AC75" s="37"/>
      <c r="AD75" s="37"/>
      <c r="AE75" s="38"/>
      <c r="AF75" s="284"/>
      <c r="AG75" s="286"/>
      <c r="AH75" s="284"/>
      <c r="AI75" s="286"/>
      <c r="AJ75" s="284"/>
      <c r="AK75" s="286"/>
      <c r="AL75" s="284"/>
      <c r="AM75" s="286"/>
      <c r="AN75" s="284" t="s">
        <v>130</v>
      </c>
      <c r="AO75" s="286"/>
      <c r="AP75" s="284"/>
      <c r="AQ75" s="286"/>
      <c r="AR75" s="284"/>
      <c r="AS75" s="286"/>
      <c r="AT75" s="284" t="s">
        <v>143</v>
      </c>
      <c r="AU75" s="285"/>
      <c r="AV75" s="285"/>
      <c r="AW75" s="285"/>
      <c r="AX75" s="285"/>
      <c r="AY75" s="285"/>
      <c r="AZ75" s="285"/>
      <c r="BA75" s="286"/>
      <c r="BB75" s="287" t="s">
        <v>143</v>
      </c>
      <c r="BC75" s="287"/>
      <c r="BD75" s="287"/>
      <c r="BE75" s="287"/>
      <c r="BF75" s="287"/>
      <c r="BG75" s="287"/>
      <c r="BH75" s="287"/>
      <c r="BI75" s="287"/>
      <c r="BJ75" s="289"/>
      <c r="BK75" s="290"/>
      <c r="BL75" s="290"/>
      <c r="BM75" s="290"/>
      <c r="BN75" s="290"/>
      <c r="BO75" s="290"/>
      <c r="BP75" s="290"/>
      <c r="BQ75" s="290"/>
      <c r="BR75" s="291"/>
      <c r="BS75" s="10"/>
      <c r="BT75" s="11"/>
    </row>
    <row r="76" spans="1:72" s="8" customFormat="1">
      <c r="A76" s="9"/>
      <c r="B76" s="80"/>
      <c r="C76" s="81"/>
      <c r="D76" s="81"/>
      <c r="E76" s="81"/>
      <c r="F76" s="81"/>
      <c r="G76" s="81"/>
      <c r="H76" s="81"/>
      <c r="I76" s="82"/>
      <c r="J76" s="81"/>
      <c r="K76" s="81"/>
      <c r="L76" s="81"/>
      <c r="M76" s="81"/>
      <c r="N76" s="81"/>
      <c r="O76" s="81"/>
      <c r="P76" s="81"/>
      <c r="Q76" s="82"/>
      <c r="R76" s="38">
        <v>10</v>
      </c>
      <c r="S76" s="36" t="s">
        <v>232</v>
      </c>
      <c r="T76" s="37"/>
      <c r="U76" s="37"/>
      <c r="V76" s="37"/>
      <c r="W76" s="37"/>
      <c r="X76" s="37"/>
      <c r="Y76" s="37"/>
      <c r="Z76" s="37"/>
      <c r="AA76" s="37"/>
      <c r="AB76" s="37"/>
      <c r="AC76" s="37"/>
      <c r="AD76" s="37"/>
      <c r="AE76" s="38"/>
      <c r="AF76" s="284"/>
      <c r="AG76" s="286"/>
      <c r="AH76" s="284"/>
      <c r="AI76" s="286"/>
      <c r="AJ76" s="284"/>
      <c r="AK76" s="286"/>
      <c r="AL76" s="284"/>
      <c r="AM76" s="286"/>
      <c r="AN76" s="284" t="s">
        <v>130</v>
      </c>
      <c r="AO76" s="286"/>
      <c r="AP76" s="284"/>
      <c r="AQ76" s="286"/>
      <c r="AR76" s="284"/>
      <c r="AS76" s="286"/>
      <c r="AT76" s="284" t="s">
        <v>143</v>
      </c>
      <c r="AU76" s="285"/>
      <c r="AV76" s="285"/>
      <c r="AW76" s="285"/>
      <c r="AX76" s="285"/>
      <c r="AY76" s="285"/>
      <c r="AZ76" s="285"/>
      <c r="BA76" s="286"/>
      <c r="BB76" s="287" t="s">
        <v>143</v>
      </c>
      <c r="BC76" s="287"/>
      <c r="BD76" s="287"/>
      <c r="BE76" s="287"/>
      <c r="BF76" s="287"/>
      <c r="BG76" s="287"/>
      <c r="BH76" s="287"/>
      <c r="BI76" s="287"/>
      <c r="BJ76" s="288"/>
      <c r="BK76" s="288"/>
      <c r="BL76" s="288"/>
      <c r="BM76" s="288"/>
      <c r="BN76" s="288"/>
      <c r="BO76" s="288"/>
      <c r="BP76" s="288"/>
      <c r="BQ76" s="288"/>
      <c r="BR76" s="288"/>
      <c r="BS76" s="10"/>
    </row>
    <row r="77" spans="1:72" s="8" customFormat="1">
      <c r="A77" s="9"/>
      <c r="B77" s="83"/>
      <c r="C77" s="81"/>
      <c r="D77" s="81"/>
      <c r="E77" s="81"/>
      <c r="F77" s="81"/>
      <c r="G77" s="81"/>
      <c r="H77" s="81"/>
      <c r="I77" s="82"/>
      <c r="J77" s="81"/>
      <c r="K77" s="81"/>
      <c r="L77" s="81"/>
      <c r="M77" s="81"/>
      <c r="N77" s="81"/>
      <c r="O77" s="81"/>
      <c r="P77" s="81"/>
      <c r="Q77" s="82"/>
      <c r="R77" s="38">
        <v>11</v>
      </c>
      <c r="S77" s="58" t="s">
        <v>233</v>
      </c>
      <c r="T77" s="37"/>
      <c r="U77" s="37"/>
      <c r="V77" s="37"/>
      <c r="W77" s="37"/>
      <c r="X77" s="37"/>
      <c r="Y77" s="37"/>
      <c r="Z77" s="37"/>
      <c r="AA77" s="37"/>
      <c r="AB77" s="37"/>
      <c r="AC77" s="37"/>
      <c r="AD77" s="37"/>
      <c r="AE77" s="38"/>
      <c r="AF77" s="284"/>
      <c r="AG77" s="286"/>
      <c r="AH77" s="284"/>
      <c r="AI77" s="286"/>
      <c r="AJ77" s="284"/>
      <c r="AK77" s="286"/>
      <c r="AL77" s="284"/>
      <c r="AM77" s="286"/>
      <c r="AN77" s="284" t="s">
        <v>130</v>
      </c>
      <c r="AO77" s="286"/>
      <c r="AP77" s="284"/>
      <c r="AQ77" s="286"/>
      <c r="AR77" s="284"/>
      <c r="AS77" s="286"/>
      <c r="AT77" s="287" t="s">
        <v>142</v>
      </c>
      <c r="AU77" s="287"/>
      <c r="AV77" s="287"/>
      <c r="AW77" s="287"/>
      <c r="AX77" s="287"/>
      <c r="AY77" s="287"/>
      <c r="AZ77" s="287"/>
      <c r="BA77" s="287"/>
      <c r="BB77" s="287" t="s">
        <v>143</v>
      </c>
      <c r="BC77" s="287"/>
      <c r="BD77" s="287"/>
      <c r="BE77" s="287"/>
      <c r="BF77" s="287"/>
      <c r="BG77" s="287"/>
      <c r="BH77" s="287"/>
      <c r="BI77" s="287"/>
      <c r="BJ77" s="289"/>
      <c r="BK77" s="290"/>
      <c r="BL77" s="290"/>
      <c r="BM77" s="290"/>
      <c r="BN77" s="290"/>
      <c r="BO77" s="290"/>
      <c r="BP77" s="290"/>
      <c r="BQ77" s="290"/>
      <c r="BR77" s="291"/>
      <c r="BS77" s="10"/>
      <c r="BT77" s="11"/>
    </row>
    <row r="78" spans="1:72" s="8" customFormat="1">
      <c r="A78" s="9"/>
      <c r="B78" s="80"/>
      <c r="C78" s="81"/>
      <c r="D78" s="81"/>
      <c r="E78" s="81"/>
      <c r="F78" s="81"/>
      <c r="G78" s="81"/>
      <c r="H78" s="81"/>
      <c r="I78" s="82"/>
      <c r="J78" s="81"/>
      <c r="K78" s="81"/>
      <c r="L78" s="81"/>
      <c r="M78" s="81"/>
      <c r="N78" s="81"/>
      <c r="O78" s="81"/>
      <c r="P78" s="81"/>
      <c r="Q78" s="82"/>
      <c r="R78" s="38">
        <v>12</v>
      </c>
      <c r="S78" s="36" t="s">
        <v>234</v>
      </c>
      <c r="T78" s="37"/>
      <c r="U78" s="37"/>
      <c r="V78" s="37"/>
      <c r="W78" s="37"/>
      <c r="X78" s="37"/>
      <c r="Y78" s="37"/>
      <c r="Z78" s="37"/>
      <c r="AA78" s="37"/>
      <c r="AB78" s="37"/>
      <c r="AC78" s="37"/>
      <c r="AD78" s="37"/>
      <c r="AE78" s="38"/>
      <c r="AF78" s="284"/>
      <c r="AG78" s="286"/>
      <c r="AH78" s="284"/>
      <c r="AI78" s="286"/>
      <c r="AJ78" s="284" t="s">
        <v>130</v>
      </c>
      <c r="AK78" s="286"/>
      <c r="AL78" s="284"/>
      <c r="AM78" s="286"/>
      <c r="AN78" s="284"/>
      <c r="AO78" s="286"/>
      <c r="AP78" s="284"/>
      <c r="AQ78" s="286"/>
      <c r="AR78" s="284"/>
      <c r="AS78" s="286"/>
      <c r="AT78" s="287" t="s">
        <v>142</v>
      </c>
      <c r="AU78" s="287"/>
      <c r="AV78" s="287"/>
      <c r="AW78" s="287"/>
      <c r="AX78" s="287"/>
      <c r="AY78" s="287"/>
      <c r="AZ78" s="287"/>
      <c r="BA78" s="287"/>
      <c r="BB78" s="287" t="s">
        <v>143</v>
      </c>
      <c r="BC78" s="287"/>
      <c r="BD78" s="287"/>
      <c r="BE78" s="287"/>
      <c r="BF78" s="287"/>
      <c r="BG78" s="287"/>
      <c r="BH78" s="287"/>
      <c r="BI78" s="287"/>
      <c r="BJ78" s="288"/>
      <c r="BK78" s="288"/>
      <c r="BL78" s="288"/>
      <c r="BM78" s="288"/>
      <c r="BN78" s="288"/>
      <c r="BO78" s="288"/>
      <c r="BP78" s="288"/>
      <c r="BQ78" s="288"/>
      <c r="BR78" s="288"/>
      <c r="BS78" s="10"/>
    </row>
    <row r="79" spans="1:72" s="8" customFormat="1">
      <c r="A79" s="9"/>
      <c r="B79" s="83"/>
      <c r="C79" s="81"/>
      <c r="D79" s="81"/>
      <c r="E79" s="81"/>
      <c r="F79" s="81"/>
      <c r="G79" s="81"/>
      <c r="H79" s="81"/>
      <c r="I79" s="82"/>
      <c r="J79" s="81"/>
      <c r="K79" s="81"/>
      <c r="L79" s="81"/>
      <c r="M79" s="81"/>
      <c r="N79" s="81"/>
      <c r="O79" s="81"/>
      <c r="P79" s="81"/>
      <c r="Q79" s="82"/>
      <c r="R79" s="38">
        <v>13</v>
      </c>
      <c r="S79" s="36" t="s">
        <v>235</v>
      </c>
      <c r="T79" s="37"/>
      <c r="U79" s="37"/>
      <c r="V79" s="37"/>
      <c r="W79" s="37"/>
      <c r="X79" s="37"/>
      <c r="Y79" s="37"/>
      <c r="Z79" s="37"/>
      <c r="AA79" s="37"/>
      <c r="AB79" s="37"/>
      <c r="AC79" s="37"/>
      <c r="AD79" s="37"/>
      <c r="AE79" s="38"/>
      <c r="AF79" s="284"/>
      <c r="AG79" s="286"/>
      <c r="AH79" s="284"/>
      <c r="AI79" s="286"/>
      <c r="AJ79" s="284" t="s">
        <v>130</v>
      </c>
      <c r="AK79" s="286"/>
      <c r="AL79" s="284"/>
      <c r="AM79" s="286"/>
      <c r="AN79" s="284"/>
      <c r="AO79" s="286"/>
      <c r="AP79" s="284"/>
      <c r="AQ79" s="286"/>
      <c r="AR79" s="284"/>
      <c r="AS79" s="286"/>
      <c r="AT79" s="284" t="s">
        <v>131</v>
      </c>
      <c r="AU79" s="285"/>
      <c r="AV79" s="285"/>
      <c r="AW79" s="285"/>
      <c r="AX79" s="285"/>
      <c r="AY79" s="285"/>
      <c r="AZ79" s="285"/>
      <c r="BA79" s="286"/>
      <c r="BB79" s="284" t="s">
        <v>224</v>
      </c>
      <c r="BC79" s="285"/>
      <c r="BD79" s="285"/>
      <c r="BE79" s="285"/>
      <c r="BF79" s="285"/>
      <c r="BG79" s="285"/>
      <c r="BH79" s="285"/>
      <c r="BI79" s="286"/>
      <c r="BJ79" s="289"/>
      <c r="BK79" s="290"/>
      <c r="BL79" s="290"/>
      <c r="BM79" s="290"/>
      <c r="BN79" s="290"/>
      <c r="BO79" s="290"/>
      <c r="BP79" s="290"/>
      <c r="BQ79" s="290"/>
      <c r="BR79" s="291"/>
      <c r="BS79" s="10"/>
      <c r="BT79" s="11"/>
    </row>
    <row r="80" spans="1:72" s="8" customFormat="1">
      <c r="A80" s="9"/>
      <c r="B80" s="80"/>
      <c r="C80" s="81"/>
      <c r="D80" s="81"/>
      <c r="E80" s="81"/>
      <c r="F80" s="81"/>
      <c r="G80" s="81"/>
      <c r="H80" s="81"/>
      <c r="I80" s="82"/>
      <c r="J80" s="81"/>
      <c r="K80" s="81"/>
      <c r="L80" s="81"/>
      <c r="M80" s="81"/>
      <c r="N80" s="81"/>
      <c r="O80" s="81"/>
      <c r="P80" s="81"/>
      <c r="Q80" s="82"/>
      <c r="R80" s="38">
        <v>14</v>
      </c>
      <c r="S80" s="36" t="s">
        <v>236</v>
      </c>
      <c r="T80" s="37"/>
      <c r="U80" s="37"/>
      <c r="V80" s="37"/>
      <c r="W80" s="37"/>
      <c r="X80" s="37"/>
      <c r="Y80" s="37"/>
      <c r="Z80" s="37"/>
      <c r="AA80" s="37"/>
      <c r="AB80" s="37"/>
      <c r="AC80" s="37"/>
      <c r="AD80" s="37"/>
      <c r="AE80" s="38"/>
      <c r="AF80" s="284"/>
      <c r="AG80" s="286"/>
      <c r="AH80" s="284"/>
      <c r="AI80" s="286"/>
      <c r="AJ80" s="284"/>
      <c r="AK80" s="286"/>
      <c r="AL80" s="284"/>
      <c r="AM80" s="286"/>
      <c r="AN80" s="284" t="s">
        <v>130</v>
      </c>
      <c r="AO80" s="286"/>
      <c r="AP80" s="284"/>
      <c r="AQ80" s="286"/>
      <c r="AR80" s="284"/>
      <c r="AS80" s="286"/>
      <c r="AT80" s="284" t="s">
        <v>131</v>
      </c>
      <c r="AU80" s="285"/>
      <c r="AV80" s="285"/>
      <c r="AW80" s="285"/>
      <c r="AX80" s="285"/>
      <c r="AY80" s="285"/>
      <c r="AZ80" s="285"/>
      <c r="BA80" s="286"/>
      <c r="BB80" s="287" t="s">
        <v>132</v>
      </c>
      <c r="BC80" s="287"/>
      <c r="BD80" s="287"/>
      <c r="BE80" s="287"/>
      <c r="BF80" s="287"/>
      <c r="BG80" s="287"/>
      <c r="BH80" s="287"/>
      <c r="BI80" s="287"/>
      <c r="BJ80" s="288"/>
      <c r="BK80" s="288"/>
      <c r="BL80" s="288"/>
      <c r="BM80" s="288"/>
      <c r="BN80" s="288"/>
      <c r="BO80" s="288"/>
      <c r="BP80" s="288"/>
      <c r="BQ80" s="288"/>
      <c r="BR80" s="288"/>
      <c r="BS80" s="10"/>
    </row>
    <row r="81" spans="1:72" s="8" customFormat="1">
      <c r="A81" s="9"/>
      <c r="B81" s="83"/>
      <c r="C81" s="81"/>
      <c r="D81" s="81"/>
      <c r="E81" s="81"/>
      <c r="F81" s="81"/>
      <c r="G81" s="81"/>
      <c r="H81" s="81"/>
      <c r="I81" s="82"/>
      <c r="J81" s="81"/>
      <c r="K81" s="81"/>
      <c r="L81" s="81"/>
      <c r="M81" s="81"/>
      <c r="N81" s="81"/>
      <c r="O81" s="81"/>
      <c r="P81" s="81"/>
      <c r="Q81" s="82"/>
      <c r="R81" s="38">
        <v>15</v>
      </c>
      <c r="S81" s="36" t="s">
        <v>237</v>
      </c>
      <c r="T81" s="37"/>
      <c r="U81" s="37"/>
      <c r="V81" s="37"/>
      <c r="W81" s="37"/>
      <c r="X81" s="37"/>
      <c r="Y81" s="37"/>
      <c r="Z81" s="37"/>
      <c r="AA81" s="37"/>
      <c r="AB81" s="37"/>
      <c r="AC81" s="37"/>
      <c r="AD81" s="37"/>
      <c r="AE81" s="38"/>
      <c r="AF81" s="284"/>
      <c r="AG81" s="286"/>
      <c r="AH81" s="284"/>
      <c r="AI81" s="286"/>
      <c r="AJ81" s="284" t="s">
        <v>130</v>
      </c>
      <c r="AK81" s="286"/>
      <c r="AL81" s="284"/>
      <c r="AM81" s="286"/>
      <c r="AN81" s="284"/>
      <c r="AO81" s="286"/>
      <c r="AP81" s="284"/>
      <c r="AQ81" s="286"/>
      <c r="AR81" s="284"/>
      <c r="AS81" s="286"/>
      <c r="AT81" s="284" t="s">
        <v>131</v>
      </c>
      <c r="AU81" s="285"/>
      <c r="AV81" s="285"/>
      <c r="AW81" s="285"/>
      <c r="AX81" s="285"/>
      <c r="AY81" s="285"/>
      <c r="AZ81" s="285"/>
      <c r="BA81" s="286"/>
      <c r="BB81" s="284" t="s">
        <v>224</v>
      </c>
      <c r="BC81" s="285"/>
      <c r="BD81" s="285"/>
      <c r="BE81" s="285"/>
      <c r="BF81" s="285"/>
      <c r="BG81" s="285"/>
      <c r="BH81" s="285"/>
      <c r="BI81" s="286"/>
      <c r="BJ81" s="289"/>
      <c r="BK81" s="290"/>
      <c r="BL81" s="290"/>
      <c r="BM81" s="290"/>
      <c r="BN81" s="290"/>
      <c r="BO81" s="290"/>
      <c r="BP81" s="290"/>
      <c r="BQ81" s="290"/>
      <c r="BR81" s="291"/>
      <c r="BS81" s="10"/>
      <c r="BT81" s="11"/>
    </row>
    <row r="82" spans="1:72" s="8" customFormat="1">
      <c r="A82" s="9"/>
      <c r="B82" s="80"/>
      <c r="C82" s="81"/>
      <c r="D82" s="81"/>
      <c r="E82" s="81"/>
      <c r="F82" s="81"/>
      <c r="G82" s="81"/>
      <c r="H82" s="81"/>
      <c r="I82" s="82"/>
      <c r="J82" s="81"/>
      <c r="K82" s="81"/>
      <c r="L82" s="81"/>
      <c r="M82" s="81"/>
      <c r="N82" s="81"/>
      <c r="O82" s="81"/>
      <c r="P82" s="81"/>
      <c r="Q82" s="82"/>
      <c r="R82" s="38">
        <v>16</v>
      </c>
      <c r="S82" s="36" t="s">
        <v>238</v>
      </c>
      <c r="T82" s="37"/>
      <c r="U82" s="37"/>
      <c r="V82" s="37"/>
      <c r="W82" s="37"/>
      <c r="X82" s="37"/>
      <c r="Y82" s="37"/>
      <c r="Z82" s="37"/>
      <c r="AA82" s="37"/>
      <c r="AB82" s="37"/>
      <c r="AC82" s="37"/>
      <c r="AD82" s="37"/>
      <c r="AE82" s="38"/>
      <c r="AF82" s="284"/>
      <c r="AG82" s="286"/>
      <c r="AH82" s="284"/>
      <c r="AI82" s="286"/>
      <c r="AJ82" s="284" t="s">
        <v>130</v>
      </c>
      <c r="AK82" s="286"/>
      <c r="AL82" s="284"/>
      <c r="AM82" s="286"/>
      <c r="AN82" s="284"/>
      <c r="AO82" s="286"/>
      <c r="AP82" s="284"/>
      <c r="AQ82" s="286"/>
      <c r="AR82" s="284"/>
      <c r="AS82" s="286"/>
      <c r="AT82" s="287" t="s">
        <v>142</v>
      </c>
      <c r="AU82" s="287"/>
      <c r="AV82" s="287"/>
      <c r="AW82" s="287"/>
      <c r="AX82" s="287"/>
      <c r="AY82" s="287"/>
      <c r="AZ82" s="287"/>
      <c r="BA82" s="287"/>
      <c r="BB82" s="287" t="s">
        <v>143</v>
      </c>
      <c r="BC82" s="287"/>
      <c r="BD82" s="287"/>
      <c r="BE82" s="287"/>
      <c r="BF82" s="287"/>
      <c r="BG82" s="287"/>
      <c r="BH82" s="287"/>
      <c r="BI82" s="287"/>
      <c r="BJ82" s="288"/>
      <c r="BK82" s="288"/>
      <c r="BL82" s="288"/>
      <c r="BM82" s="288"/>
      <c r="BN82" s="288"/>
      <c r="BO82" s="288"/>
      <c r="BP82" s="288"/>
      <c r="BQ82" s="288"/>
      <c r="BR82" s="288"/>
      <c r="BS82" s="10"/>
    </row>
    <row r="83" spans="1:72" s="8" customFormat="1">
      <c r="A83" s="9"/>
      <c r="B83" s="83"/>
      <c r="C83" s="81"/>
      <c r="D83" s="81"/>
      <c r="E83" s="81"/>
      <c r="F83" s="81"/>
      <c r="G83" s="81"/>
      <c r="H83" s="81"/>
      <c r="I83" s="82"/>
      <c r="J83" s="81"/>
      <c r="K83" s="81"/>
      <c r="L83" s="81"/>
      <c r="M83" s="81"/>
      <c r="N83" s="81"/>
      <c r="O83" s="81"/>
      <c r="P83" s="81"/>
      <c r="Q83" s="82"/>
      <c r="R83" s="38">
        <v>17</v>
      </c>
      <c r="S83" s="36" t="s">
        <v>239</v>
      </c>
      <c r="T83" s="37"/>
      <c r="U83" s="37"/>
      <c r="V83" s="37"/>
      <c r="W83" s="37"/>
      <c r="X83" s="37"/>
      <c r="Y83" s="37"/>
      <c r="Z83" s="37"/>
      <c r="AA83" s="37"/>
      <c r="AB83" s="37"/>
      <c r="AC83" s="37"/>
      <c r="AD83" s="37"/>
      <c r="AE83" s="38"/>
      <c r="AF83" s="284"/>
      <c r="AG83" s="286"/>
      <c r="AH83" s="284"/>
      <c r="AI83" s="286"/>
      <c r="AJ83" s="284" t="s">
        <v>130</v>
      </c>
      <c r="AK83" s="286"/>
      <c r="AL83" s="284"/>
      <c r="AM83" s="286"/>
      <c r="AN83" s="284"/>
      <c r="AO83" s="286"/>
      <c r="AP83" s="284"/>
      <c r="AQ83" s="286"/>
      <c r="AR83" s="284"/>
      <c r="AS83" s="286"/>
      <c r="AT83" s="287" t="s">
        <v>143</v>
      </c>
      <c r="AU83" s="287"/>
      <c r="AV83" s="287"/>
      <c r="AW83" s="287"/>
      <c r="AX83" s="287"/>
      <c r="AY83" s="287"/>
      <c r="AZ83" s="287"/>
      <c r="BA83" s="287"/>
      <c r="BB83" s="287" t="s">
        <v>143</v>
      </c>
      <c r="BC83" s="287"/>
      <c r="BD83" s="287"/>
      <c r="BE83" s="287"/>
      <c r="BF83" s="287"/>
      <c r="BG83" s="287"/>
      <c r="BH83" s="287"/>
      <c r="BI83" s="287"/>
      <c r="BJ83" s="288"/>
      <c r="BK83" s="288"/>
      <c r="BL83" s="288"/>
      <c r="BM83" s="288"/>
      <c r="BN83" s="288"/>
      <c r="BO83" s="288"/>
      <c r="BP83" s="288"/>
      <c r="BQ83" s="288"/>
      <c r="BR83" s="288"/>
      <c r="BS83" s="10"/>
      <c r="BT83" s="11"/>
    </row>
    <row r="84" spans="1:72" s="8" customFormat="1">
      <c r="A84" s="9"/>
      <c r="B84" s="83"/>
      <c r="C84" s="81"/>
      <c r="D84" s="81"/>
      <c r="E84" s="81"/>
      <c r="F84" s="81"/>
      <c r="G84" s="81"/>
      <c r="H84" s="81"/>
      <c r="I84" s="82"/>
      <c r="J84" s="81"/>
      <c r="K84" s="81"/>
      <c r="L84" s="81"/>
      <c r="M84" s="81"/>
      <c r="N84" s="81"/>
      <c r="O84" s="81"/>
      <c r="P84" s="81"/>
      <c r="Q84" s="82"/>
      <c r="R84" s="38">
        <v>18</v>
      </c>
      <c r="S84" s="36" t="s">
        <v>240</v>
      </c>
      <c r="T84" s="37"/>
      <c r="U84" s="37"/>
      <c r="V84" s="37"/>
      <c r="W84" s="37"/>
      <c r="X84" s="37"/>
      <c r="Y84" s="37"/>
      <c r="Z84" s="37"/>
      <c r="AA84" s="37"/>
      <c r="AB84" s="37"/>
      <c r="AC84" s="37"/>
      <c r="AD84" s="37"/>
      <c r="AE84" s="38"/>
      <c r="AF84" s="284"/>
      <c r="AG84" s="286"/>
      <c r="AH84" s="284"/>
      <c r="AI84" s="286"/>
      <c r="AJ84" s="284" t="s">
        <v>130</v>
      </c>
      <c r="AK84" s="286"/>
      <c r="AL84" s="284"/>
      <c r="AM84" s="286"/>
      <c r="AN84" s="284"/>
      <c r="AO84" s="286"/>
      <c r="AP84" s="284"/>
      <c r="AQ84" s="286"/>
      <c r="AR84" s="284"/>
      <c r="AS84" s="286"/>
      <c r="AT84" s="287" t="s">
        <v>142</v>
      </c>
      <c r="AU84" s="287"/>
      <c r="AV84" s="287"/>
      <c r="AW84" s="287"/>
      <c r="AX84" s="287"/>
      <c r="AY84" s="287"/>
      <c r="AZ84" s="287"/>
      <c r="BA84" s="287"/>
      <c r="BB84" s="287" t="s">
        <v>143</v>
      </c>
      <c r="BC84" s="287"/>
      <c r="BD84" s="287"/>
      <c r="BE84" s="287"/>
      <c r="BF84" s="287"/>
      <c r="BG84" s="287"/>
      <c r="BH84" s="287"/>
      <c r="BI84" s="287"/>
      <c r="BJ84" s="288"/>
      <c r="BK84" s="288"/>
      <c r="BL84" s="288"/>
      <c r="BM84" s="288"/>
      <c r="BN84" s="288"/>
      <c r="BO84" s="288"/>
      <c r="BP84" s="288"/>
      <c r="BQ84" s="288"/>
      <c r="BR84" s="288"/>
      <c r="BS84" s="10"/>
      <c r="BT84" s="11"/>
    </row>
    <row r="85" spans="1:72" s="8" customFormat="1">
      <c r="A85" s="9"/>
      <c r="B85" s="80"/>
      <c r="C85" s="81"/>
      <c r="D85" s="81"/>
      <c r="E85" s="81"/>
      <c r="F85" s="81"/>
      <c r="G85" s="81"/>
      <c r="H85" s="81"/>
      <c r="I85" s="82"/>
      <c r="J85" s="81"/>
      <c r="K85" s="81"/>
      <c r="L85" s="81"/>
      <c r="M85" s="81"/>
      <c r="N85" s="81"/>
      <c r="O85" s="81"/>
      <c r="P85" s="81"/>
      <c r="Q85" s="82"/>
      <c r="R85" s="38">
        <v>19</v>
      </c>
      <c r="S85" s="111" t="s">
        <v>241</v>
      </c>
      <c r="T85" s="37"/>
      <c r="U85" s="37"/>
      <c r="V85" s="37"/>
      <c r="W85" s="37"/>
      <c r="X85" s="37"/>
      <c r="Y85" s="37"/>
      <c r="Z85" s="37"/>
      <c r="AA85" s="37"/>
      <c r="AB85" s="37"/>
      <c r="AC85" s="37"/>
      <c r="AD85" s="37"/>
      <c r="AE85" s="38"/>
      <c r="AF85" s="284"/>
      <c r="AG85" s="286"/>
      <c r="AH85" s="284"/>
      <c r="AI85" s="286"/>
      <c r="AJ85" s="284" t="s">
        <v>130</v>
      </c>
      <c r="AK85" s="286"/>
      <c r="AL85" s="284"/>
      <c r="AM85" s="286"/>
      <c r="AN85" s="284"/>
      <c r="AO85" s="286"/>
      <c r="AP85" s="284"/>
      <c r="AQ85" s="286"/>
      <c r="AR85" s="284"/>
      <c r="AS85" s="286"/>
      <c r="AT85" s="287" t="s">
        <v>142</v>
      </c>
      <c r="AU85" s="287"/>
      <c r="AV85" s="287"/>
      <c r="AW85" s="287"/>
      <c r="AX85" s="287"/>
      <c r="AY85" s="287"/>
      <c r="AZ85" s="287"/>
      <c r="BA85" s="287"/>
      <c r="BB85" s="287" t="s">
        <v>143</v>
      </c>
      <c r="BC85" s="287"/>
      <c r="BD85" s="287"/>
      <c r="BE85" s="287"/>
      <c r="BF85" s="287"/>
      <c r="BG85" s="287"/>
      <c r="BH85" s="287"/>
      <c r="BI85" s="287"/>
      <c r="BJ85" s="288"/>
      <c r="BK85" s="288"/>
      <c r="BL85" s="288"/>
      <c r="BM85" s="288"/>
      <c r="BN85" s="288"/>
      <c r="BO85" s="288"/>
      <c r="BP85" s="288"/>
      <c r="BQ85" s="288"/>
      <c r="BR85" s="288"/>
      <c r="BS85" s="10"/>
    </row>
    <row r="86" spans="1:72" s="8" customFormat="1">
      <c r="A86" s="9"/>
      <c r="B86" s="83"/>
      <c r="C86" s="81"/>
      <c r="D86" s="81"/>
      <c r="E86" s="81"/>
      <c r="F86" s="81"/>
      <c r="G86" s="81"/>
      <c r="H86" s="81"/>
      <c r="I86" s="82"/>
      <c r="J86" s="81"/>
      <c r="K86" s="81"/>
      <c r="L86" s="81"/>
      <c r="M86" s="81"/>
      <c r="N86" s="81"/>
      <c r="O86" s="81"/>
      <c r="P86" s="81"/>
      <c r="Q86" s="82"/>
      <c r="R86" s="38">
        <v>20</v>
      </c>
      <c r="S86" s="36" t="s">
        <v>242</v>
      </c>
      <c r="T86" s="37"/>
      <c r="U86" s="37"/>
      <c r="V86" s="37"/>
      <c r="W86" s="37"/>
      <c r="X86" s="37"/>
      <c r="Y86" s="37"/>
      <c r="Z86" s="37"/>
      <c r="AA86" s="37"/>
      <c r="AB86" s="37"/>
      <c r="AC86" s="37"/>
      <c r="AD86" s="37"/>
      <c r="AE86" s="38"/>
      <c r="AF86" s="284"/>
      <c r="AG86" s="286"/>
      <c r="AH86" s="284"/>
      <c r="AI86" s="286"/>
      <c r="AJ86" s="284" t="s">
        <v>130</v>
      </c>
      <c r="AK86" s="286"/>
      <c r="AL86" s="284"/>
      <c r="AM86" s="286"/>
      <c r="AN86" s="284"/>
      <c r="AO86" s="286"/>
      <c r="AP86" s="284"/>
      <c r="AQ86" s="286"/>
      <c r="AR86" s="284"/>
      <c r="AS86" s="286"/>
      <c r="AT86" s="287" t="s">
        <v>142</v>
      </c>
      <c r="AU86" s="287"/>
      <c r="AV86" s="287"/>
      <c r="AW86" s="287"/>
      <c r="AX86" s="287"/>
      <c r="AY86" s="287"/>
      <c r="AZ86" s="287"/>
      <c r="BA86" s="287"/>
      <c r="BB86" s="287" t="s">
        <v>143</v>
      </c>
      <c r="BC86" s="287"/>
      <c r="BD86" s="287"/>
      <c r="BE86" s="287"/>
      <c r="BF86" s="287"/>
      <c r="BG86" s="287"/>
      <c r="BH86" s="287"/>
      <c r="BI86" s="287"/>
      <c r="BJ86" s="288"/>
      <c r="BK86" s="288"/>
      <c r="BL86" s="288"/>
      <c r="BM86" s="288"/>
      <c r="BN86" s="288"/>
      <c r="BO86" s="288"/>
      <c r="BP86" s="288"/>
      <c r="BQ86" s="288"/>
      <c r="BR86" s="288"/>
      <c r="BS86" s="10"/>
      <c r="BT86" s="11"/>
    </row>
    <row r="87" spans="1:72" s="8" customFormat="1">
      <c r="A87" s="9"/>
      <c r="B87" s="80"/>
      <c r="C87" s="81"/>
      <c r="D87" s="81"/>
      <c r="E87" s="81"/>
      <c r="F87" s="81"/>
      <c r="G87" s="81"/>
      <c r="H87" s="81"/>
      <c r="I87" s="82"/>
      <c r="J87" s="81"/>
      <c r="K87" s="81"/>
      <c r="L87" s="81"/>
      <c r="M87" s="81"/>
      <c r="N87" s="81"/>
      <c r="O87" s="81"/>
      <c r="P87" s="81"/>
      <c r="Q87" s="82"/>
      <c r="R87" s="38">
        <v>21</v>
      </c>
      <c r="S87" s="36" t="s">
        <v>243</v>
      </c>
      <c r="T87" s="37"/>
      <c r="U87" s="37"/>
      <c r="V87" s="37"/>
      <c r="W87" s="37"/>
      <c r="X87" s="37"/>
      <c r="Y87" s="37"/>
      <c r="Z87" s="37"/>
      <c r="AA87" s="37"/>
      <c r="AB87" s="37"/>
      <c r="AC87" s="37"/>
      <c r="AD87" s="37"/>
      <c r="AE87" s="38"/>
      <c r="AF87" s="284"/>
      <c r="AG87" s="286"/>
      <c r="AH87" s="284"/>
      <c r="AI87" s="286"/>
      <c r="AJ87" s="284" t="s">
        <v>130</v>
      </c>
      <c r="AK87" s="286"/>
      <c r="AL87" s="284"/>
      <c r="AM87" s="286"/>
      <c r="AN87" s="284"/>
      <c r="AO87" s="286"/>
      <c r="AP87" s="284"/>
      <c r="AQ87" s="286"/>
      <c r="AR87" s="284"/>
      <c r="AS87" s="286"/>
      <c r="AT87" s="284" t="s">
        <v>131</v>
      </c>
      <c r="AU87" s="285"/>
      <c r="AV87" s="285"/>
      <c r="AW87" s="285"/>
      <c r="AX87" s="285"/>
      <c r="AY87" s="285"/>
      <c r="AZ87" s="285"/>
      <c r="BA87" s="286"/>
      <c r="BB87" s="284" t="s">
        <v>224</v>
      </c>
      <c r="BC87" s="285"/>
      <c r="BD87" s="285"/>
      <c r="BE87" s="285"/>
      <c r="BF87" s="285"/>
      <c r="BG87" s="285"/>
      <c r="BH87" s="285"/>
      <c r="BI87" s="286"/>
      <c r="BJ87" s="288"/>
      <c r="BK87" s="288"/>
      <c r="BL87" s="288"/>
      <c r="BM87" s="288"/>
      <c r="BN87" s="288"/>
      <c r="BO87" s="288"/>
      <c r="BP87" s="288"/>
      <c r="BQ87" s="288"/>
      <c r="BR87" s="288"/>
      <c r="BS87" s="10"/>
    </row>
    <row r="88" spans="1:72" s="8" customFormat="1">
      <c r="A88" s="9"/>
      <c r="B88" s="83"/>
      <c r="C88" s="81"/>
      <c r="D88" s="81"/>
      <c r="E88" s="81"/>
      <c r="F88" s="81"/>
      <c r="G88" s="81"/>
      <c r="H88" s="81"/>
      <c r="I88" s="82"/>
      <c r="J88" s="81"/>
      <c r="K88" s="81"/>
      <c r="L88" s="81"/>
      <c r="M88" s="81"/>
      <c r="N88" s="81"/>
      <c r="O88" s="81"/>
      <c r="P88" s="81"/>
      <c r="Q88" s="82"/>
      <c r="R88" s="38">
        <v>22</v>
      </c>
      <c r="S88" s="36" t="s">
        <v>244</v>
      </c>
      <c r="T88" s="37"/>
      <c r="U88" s="37"/>
      <c r="V88" s="37"/>
      <c r="W88" s="37"/>
      <c r="X88" s="37"/>
      <c r="Y88" s="37"/>
      <c r="Z88" s="37"/>
      <c r="AA88" s="37"/>
      <c r="AB88" s="37"/>
      <c r="AC88" s="37"/>
      <c r="AD88" s="37"/>
      <c r="AE88" s="38"/>
      <c r="AF88" s="284"/>
      <c r="AG88" s="286"/>
      <c r="AH88" s="284"/>
      <c r="AI88" s="286"/>
      <c r="AJ88" s="284" t="s">
        <v>130</v>
      </c>
      <c r="AK88" s="286"/>
      <c r="AL88" s="284"/>
      <c r="AM88" s="286"/>
      <c r="AN88" s="284"/>
      <c r="AO88" s="286"/>
      <c r="AP88" s="284"/>
      <c r="AQ88" s="286"/>
      <c r="AR88" s="284"/>
      <c r="AS88" s="286"/>
      <c r="AT88" s="287" t="s">
        <v>142</v>
      </c>
      <c r="AU88" s="287"/>
      <c r="AV88" s="287"/>
      <c r="AW88" s="287"/>
      <c r="AX88" s="287"/>
      <c r="AY88" s="287"/>
      <c r="AZ88" s="287"/>
      <c r="BA88" s="287"/>
      <c r="BB88" s="287" t="s">
        <v>143</v>
      </c>
      <c r="BC88" s="287"/>
      <c r="BD88" s="287"/>
      <c r="BE88" s="287"/>
      <c r="BF88" s="287"/>
      <c r="BG88" s="287"/>
      <c r="BH88" s="287"/>
      <c r="BI88" s="287"/>
      <c r="BJ88" s="288"/>
      <c r="BK88" s="288"/>
      <c r="BL88" s="288"/>
      <c r="BM88" s="288"/>
      <c r="BN88" s="288"/>
      <c r="BO88" s="288"/>
      <c r="BP88" s="288"/>
      <c r="BQ88" s="288"/>
      <c r="BR88" s="288"/>
      <c r="BS88" s="10"/>
      <c r="BT88" s="11"/>
    </row>
    <row r="89" spans="1:72" s="8" customFormat="1">
      <c r="A89" s="9"/>
      <c r="B89" s="83"/>
      <c r="C89" s="81"/>
      <c r="D89" s="81"/>
      <c r="E89" s="81"/>
      <c r="F89" s="81"/>
      <c r="G89" s="81"/>
      <c r="H89" s="81"/>
      <c r="I89" s="82"/>
      <c r="J89" s="81"/>
      <c r="K89" s="81"/>
      <c r="L89" s="81"/>
      <c r="M89" s="81"/>
      <c r="N89" s="81"/>
      <c r="O89" s="81"/>
      <c r="P89" s="81"/>
      <c r="Q89" s="82"/>
      <c r="R89" s="38">
        <v>23</v>
      </c>
      <c r="S89" s="36" t="s">
        <v>245</v>
      </c>
      <c r="T89" s="37"/>
      <c r="U89" s="37"/>
      <c r="V89" s="37"/>
      <c r="W89" s="37"/>
      <c r="X89" s="37"/>
      <c r="Y89" s="37"/>
      <c r="Z89" s="37"/>
      <c r="AA89" s="37"/>
      <c r="AB89" s="37"/>
      <c r="AC89" s="37"/>
      <c r="AD89" s="37"/>
      <c r="AE89" s="38"/>
      <c r="AF89" s="284"/>
      <c r="AG89" s="286"/>
      <c r="AH89" s="284"/>
      <c r="AI89" s="286"/>
      <c r="AJ89" s="284"/>
      <c r="AK89" s="286"/>
      <c r="AL89" s="284"/>
      <c r="AM89" s="286"/>
      <c r="AN89" s="284" t="s">
        <v>130</v>
      </c>
      <c r="AO89" s="286"/>
      <c r="AP89" s="284"/>
      <c r="AQ89" s="286"/>
      <c r="AR89" s="284"/>
      <c r="AS89" s="286"/>
      <c r="AT89" s="284" t="s">
        <v>131</v>
      </c>
      <c r="AU89" s="285"/>
      <c r="AV89" s="285"/>
      <c r="AW89" s="285"/>
      <c r="AX89" s="285"/>
      <c r="AY89" s="285"/>
      <c r="AZ89" s="285"/>
      <c r="BA89" s="286"/>
      <c r="BB89" s="284" t="s">
        <v>246</v>
      </c>
      <c r="BC89" s="285"/>
      <c r="BD89" s="285"/>
      <c r="BE89" s="285"/>
      <c r="BF89" s="285"/>
      <c r="BG89" s="285"/>
      <c r="BH89" s="285"/>
      <c r="BI89" s="286"/>
      <c r="BJ89" s="288"/>
      <c r="BK89" s="288"/>
      <c r="BL89" s="288"/>
      <c r="BM89" s="288"/>
      <c r="BN89" s="288"/>
      <c r="BO89" s="288"/>
      <c r="BP89" s="288"/>
      <c r="BQ89" s="288"/>
      <c r="BR89" s="288"/>
      <c r="BS89" s="10"/>
      <c r="BT89" s="11"/>
    </row>
    <row r="90" spans="1:72" s="8" customFormat="1">
      <c r="A90" s="9"/>
      <c r="B90" s="80"/>
      <c r="C90" s="81"/>
      <c r="D90" s="81"/>
      <c r="E90" s="81"/>
      <c r="F90" s="81"/>
      <c r="G90" s="81"/>
      <c r="H90" s="81"/>
      <c r="I90" s="82"/>
      <c r="J90" s="81"/>
      <c r="K90" s="81"/>
      <c r="L90" s="81"/>
      <c r="M90" s="81"/>
      <c r="N90" s="81"/>
      <c r="O90" s="81"/>
      <c r="P90" s="81"/>
      <c r="Q90" s="82"/>
      <c r="R90" s="38">
        <v>24</v>
      </c>
      <c r="S90" s="36" t="s">
        <v>247</v>
      </c>
      <c r="T90" s="37"/>
      <c r="U90" s="37"/>
      <c r="V90" s="37"/>
      <c r="W90" s="37"/>
      <c r="X90" s="37"/>
      <c r="Y90" s="37"/>
      <c r="Z90" s="37"/>
      <c r="AA90" s="37"/>
      <c r="AB90" s="37"/>
      <c r="AC90" s="37"/>
      <c r="AD90" s="37"/>
      <c r="AE90" s="38"/>
      <c r="AF90" s="284"/>
      <c r="AG90" s="286"/>
      <c r="AH90" s="284"/>
      <c r="AI90" s="286"/>
      <c r="AJ90" s="284"/>
      <c r="AK90" s="286"/>
      <c r="AL90" s="284"/>
      <c r="AM90" s="286"/>
      <c r="AN90" s="284" t="s">
        <v>130</v>
      </c>
      <c r="AO90" s="286"/>
      <c r="AP90" s="284"/>
      <c r="AQ90" s="286"/>
      <c r="AR90" s="284"/>
      <c r="AS90" s="286"/>
      <c r="AT90" s="284" t="s">
        <v>143</v>
      </c>
      <c r="AU90" s="285"/>
      <c r="AV90" s="285"/>
      <c r="AW90" s="285"/>
      <c r="AX90" s="285"/>
      <c r="AY90" s="285"/>
      <c r="AZ90" s="285"/>
      <c r="BA90" s="286"/>
      <c r="BB90" s="287" t="s">
        <v>143</v>
      </c>
      <c r="BC90" s="287"/>
      <c r="BD90" s="287"/>
      <c r="BE90" s="287"/>
      <c r="BF90" s="287"/>
      <c r="BG90" s="287"/>
      <c r="BH90" s="287"/>
      <c r="BI90" s="287"/>
      <c r="BJ90" s="288"/>
      <c r="BK90" s="288"/>
      <c r="BL90" s="288"/>
      <c r="BM90" s="288"/>
      <c r="BN90" s="288"/>
      <c r="BO90" s="288"/>
      <c r="BP90" s="288"/>
      <c r="BQ90" s="288"/>
      <c r="BR90" s="288"/>
      <c r="BS90" s="10"/>
    </row>
    <row r="91" spans="1:72" s="8" customFormat="1">
      <c r="A91" s="9"/>
      <c r="B91" s="83"/>
      <c r="C91" s="81"/>
      <c r="D91" s="81"/>
      <c r="E91" s="81"/>
      <c r="F91" s="81"/>
      <c r="G91" s="81"/>
      <c r="H91" s="81"/>
      <c r="I91" s="82"/>
      <c r="J91" s="81"/>
      <c r="K91" s="81"/>
      <c r="L91" s="81"/>
      <c r="M91" s="81"/>
      <c r="N91" s="81"/>
      <c r="O91" s="81"/>
      <c r="P91" s="81"/>
      <c r="Q91" s="82"/>
      <c r="R91" s="38">
        <v>25</v>
      </c>
      <c r="S91" s="36" t="s">
        <v>248</v>
      </c>
      <c r="T91" s="37"/>
      <c r="U91" s="37"/>
      <c r="V91" s="37"/>
      <c r="W91" s="37"/>
      <c r="X91" s="37"/>
      <c r="Y91" s="37"/>
      <c r="Z91" s="37"/>
      <c r="AA91" s="37"/>
      <c r="AB91" s="37"/>
      <c r="AC91" s="37"/>
      <c r="AD91" s="37"/>
      <c r="AE91" s="38"/>
      <c r="AF91" s="284"/>
      <c r="AG91" s="286"/>
      <c r="AH91" s="284"/>
      <c r="AI91" s="286"/>
      <c r="AJ91" s="284" t="s">
        <v>130</v>
      </c>
      <c r="AK91" s="286"/>
      <c r="AL91" s="284"/>
      <c r="AM91" s="286"/>
      <c r="AN91" s="284"/>
      <c r="AO91" s="286"/>
      <c r="AP91" s="284"/>
      <c r="AQ91" s="286"/>
      <c r="AR91" s="284"/>
      <c r="AS91" s="286"/>
      <c r="AT91" s="287" t="s">
        <v>142</v>
      </c>
      <c r="AU91" s="287"/>
      <c r="AV91" s="287"/>
      <c r="AW91" s="287"/>
      <c r="AX91" s="287"/>
      <c r="AY91" s="287"/>
      <c r="AZ91" s="287"/>
      <c r="BA91" s="287"/>
      <c r="BB91" s="287" t="s">
        <v>143</v>
      </c>
      <c r="BC91" s="287"/>
      <c r="BD91" s="287"/>
      <c r="BE91" s="287"/>
      <c r="BF91" s="287"/>
      <c r="BG91" s="287"/>
      <c r="BH91" s="287"/>
      <c r="BI91" s="287"/>
      <c r="BJ91" s="288"/>
      <c r="BK91" s="288"/>
      <c r="BL91" s="288"/>
      <c r="BM91" s="288"/>
      <c r="BN91" s="288"/>
      <c r="BO91" s="288"/>
      <c r="BP91" s="288"/>
      <c r="BQ91" s="288"/>
      <c r="BR91" s="288"/>
      <c r="BS91" s="10"/>
      <c r="BT91" s="11"/>
    </row>
    <row r="92" spans="1:72" s="8" customFormat="1">
      <c r="A92" s="9"/>
      <c r="B92" s="80"/>
      <c r="C92" s="81"/>
      <c r="D92" s="81"/>
      <c r="E92" s="81"/>
      <c r="F92" s="81"/>
      <c r="G92" s="81"/>
      <c r="H92" s="81"/>
      <c r="I92" s="82"/>
      <c r="J92" s="81"/>
      <c r="K92" s="81"/>
      <c r="L92" s="81"/>
      <c r="M92" s="81"/>
      <c r="N92" s="81"/>
      <c r="O92" s="81"/>
      <c r="P92" s="81"/>
      <c r="Q92" s="82"/>
      <c r="R92" s="38">
        <v>26</v>
      </c>
      <c r="S92" s="36" t="s">
        <v>249</v>
      </c>
      <c r="T92" s="37"/>
      <c r="U92" s="37"/>
      <c r="V92" s="37"/>
      <c r="W92" s="37"/>
      <c r="X92" s="37"/>
      <c r="Y92" s="37"/>
      <c r="Z92" s="37"/>
      <c r="AA92" s="37"/>
      <c r="AB92" s="37"/>
      <c r="AC92" s="37"/>
      <c r="AD92" s="37"/>
      <c r="AE92" s="38"/>
      <c r="AF92" s="284"/>
      <c r="AG92" s="286"/>
      <c r="AH92" s="284"/>
      <c r="AI92" s="286"/>
      <c r="AJ92" s="284" t="s">
        <v>130</v>
      </c>
      <c r="AK92" s="286"/>
      <c r="AL92" s="284"/>
      <c r="AM92" s="286"/>
      <c r="AN92" s="284"/>
      <c r="AO92" s="286"/>
      <c r="AP92" s="284"/>
      <c r="AQ92" s="286"/>
      <c r="AR92" s="284"/>
      <c r="AS92" s="286"/>
      <c r="AT92" s="284" t="s">
        <v>228</v>
      </c>
      <c r="AU92" s="285"/>
      <c r="AV92" s="285"/>
      <c r="AW92" s="285"/>
      <c r="AX92" s="285"/>
      <c r="AY92" s="285"/>
      <c r="AZ92" s="285"/>
      <c r="BA92" s="286"/>
      <c r="BB92" s="284" t="s">
        <v>201</v>
      </c>
      <c r="BC92" s="285"/>
      <c r="BD92" s="285"/>
      <c r="BE92" s="285"/>
      <c r="BF92" s="285"/>
      <c r="BG92" s="285"/>
      <c r="BH92" s="285"/>
      <c r="BI92" s="286"/>
      <c r="BJ92" s="288"/>
      <c r="BK92" s="288"/>
      <c r="BL92" s="288"/>
      <c r="BM92" s="288"/>
      <c r="BN92" s="288"/>
      <c r="BO92" s="288"/>
      <c r="BP92" s="288"/>
      <c r="BQ92" s="288"/>
      <c r="BR92" s="288"/>
      <c r="BS92" s="10"/>
    </row>
    <row r="93" spans="1:72" s="8" customFormat="1">
      <c r="A93" s="9"/>
      <c r="B93" s="83"/>
      <c r="C93" s="81"/>
      <c r="D93" s="81"/>
      <c r="E93" s="81"/>
      <c r="F93" s="81"/>
      <c r="G93" s="81"/>
      <c r="H93" s="81"/>
      <c r="I93" s="82"/>
      <c r="J93" s="81"/>
      <c r="K93" s="81"/>
      <c r="L93" s="81"/>
      <c r="M93" s="81"/>
      <c r="N93" s="81"/>
      <c r="O93" s="81"/>
      <c r="P93" s="81"/>
      <c r="Q93" s="82"/>
      <c r="R93" s="38">
        <v>27</v>
      </c>
      <c r="S93" s="36" t="s">
        <v>250</v>
      </c>
      <c r="T93" s="37"/>
      <c r="U93" s="37"/>
      <c r="V93" s="37"/>
      <c r="W93" s="37"/>
      <c r="X93" s="37"/>
      <c r="Y93" s="37"/>
      <c r="Z93" s="37"/>
      <c r="AA93" s="37"/>
      <c r="AB93" s="37"/>
      <c r="AC93" s="37"/>
      <c r="AD93" s="37"/>
      <c r="AE93" s="38"/>
      <c r="AF93" s="284"/>
      <c r="AG93" s="286"/>
      <c r="AH93" s="284"/>
      <c r="AI93" s="286"/>
      <c r="AJ93" s="284" t="s">
        <v>130</v>
      </c>
      <c r="AK93" s="286"/>
      <c r="AL93" s="284"/>
      <c r="AM93" s="286"/>
      <c r="AN93" s="284"/>
      <c r="AO93" s="286"/>
      <c r="AP93" s="284"/>
      <c r="AQ93" s="286"/>
      <c r="AR93" s="284"/>
      <c r="AS93" s="286"/>
      <c r="AT93" s="287" t="s">
        <v>142</v>
      </c>
      <c r="AU93" s="287"/>
      <c r="AV93" s="287"/>
      <c r="AW93" s="287"/>
      <c r="AX93" s="287"/>
      <c r="AY93" s="287"/>
      <c r="AZ93" s="287"/>
      <c r="BA93" s="287"/>
      <c r="BB93" s="287" t="s">
        <v>143</v>
      </c>
      <c r="BC93" s="287"/>
      <c r="BD93" s="287"/>
      <c r="BE93" s="287"/>
      <c r="BF93" s="287"/>
      <c r="BG93" s="287"/>
      <c r="BH93" s="287"/>
      <c r="BI93" s="287"/>
      <c r="BJ93" s="288"/>
      <c r="BK93" s="288"/>
      <c r="BL93" s="288"/>
      <c r="BM93" s="288"/>
      <c r="BN93" s="288"/>
      <c r="BO93" s="288"/>
      <c r="BP93" s="288"/>
      <c r="BQ93" s="288"/>
      <c r="BR93" s="288"/>
      <c r="BS93" s="10"/>
      <c r="BT93" s="11"/>
    </row>
    <row r="94" spans="1:72" s="8" customFormat="1">
      <c r="A94" s="9"/>
      <c r="B94" s="80"/>
      <c r="C94" s="81"/>
      <c r="D94" s="81"/>
      <c r="E94" s="81"/>
      <c r="F94" s="81"/>
      <c r="G94" s="81"/>
      <c r="H94" s="81"/>
      <c r="I94" s="82"/>
      <c r="J94" s="81"/>
      <c r="K94" s="81"/>
      <c r="L94" s="81"/>
      <c r="M94" s="81"/>
      <c r="N94" s="81"/>
      <c r="O94" s="81"/>
      <c r="P94" s="81"/>
      <c r="Q94" s="82"/>
      <c r="R94" s="38">
        <v>28</v>
      </c>
      <c r="S94" s="36" t="s">
        <v>251</v>
      </c>
      <c r="T94" s="37"/>
      <c r="U94" s="37"/>
      <c r="V94" s="37"/>
      <c r="W94" s="37"/>
      <c r="X94" s="37"/>
      <c r="Y94" s="37"/>
      <c r="Z94" s="37"/>
      <c r="AA94" s="37"/>
      <c r="AB94" s="37"/>
      <c r="AC94" s="37"/>
      <c r="AD94" s="37"/>
      <c r="AE94" s="38"/>
      <c r="AF94" s="284"/>
      <c r="AG94" s="286"/>
      <c r="AH94" s="284"/>
      <c r="AI94" s="286"/>
      <c r="AJ94" s="284"/>
      <c r="AK94" s="286"/>
      <c r="AL94" s="284"/>
      <c r="AM94" s="286"/>
      <c r="AN94" s="284" t="s">
        <v>130</v>
      </c>
      <c r="AO94" s="286"/>
      <c r="AP94" s="284"/>
      <c r="AQ94" s="286"/>
      <c r="AR94" s="284"/>
      <c r="AS94" s="286"/>
      <c r="AT94" s="284" t="s">
        <v>131</v>
      </c>
      <c r="AU94" s="285"/>
      <c r="AV94" s="285"/>
      <c r="AW94" s="285"/>
      <c r="AX94" s="285"/>
      <c r="AY94" s="285"/>
      <c r="AZ94" s="285"/>
      <c r="BA94" s="286"/>
      <c r="BB94" s="284" t="s">
        <v>224</v>
      </c>
      <c r="BC94" s="285"/>
      <c r="BD94" s="285"/>
      <c r="BE94" s="285"/>
      <c r="BF94" s="285"/>
      <c r="BG94" s="285"/>
      <c r="BH94" s="285"/>
      <c r="BI94" s="286"/>
      <c r="BJ94" s="288"/>
      <c r="BK94" s="288"/>
      <c r="BL94" s="288"/>
      <c r="BM94" s="288"/>
      <c r="BN94" s="288"/>
      <c r="BO94" s="288"/>
      <c r="BP94" s="288"/>
      <c r="BQ94" s="288"/>
      <c r="BR94" s="288"/>
      <c r="BS94" s="10"/>
    </row>
    <row r="95" spans="1:72" s="8" customFormat="1">
      <c r="A95" s="9"/>
      <c r="B95" s="83"/>
      <c r="C95" s="81"/>
      <c r="D95" s="81"/>
      <c r="E95" s="81"/>
      <c r="F95" s="81"/>
      <c r="G95" s="81"/>
      <c r="H95" s="81"/>
      <c r="I95" s="81"/>
      <c r="J95" s="83"/>
      <c r="K95" s="81"/>
      <c r="L95" s="81"/>
      <c r="M95" s="81"/>
      <c r="N95" s="81"/>
      <c r="O95" s="81"/>
      <c r="P95" s="81"/>
      <c r="Q95" s="82"/>
      <c r="R95" s="38">
        <v>29</v>
      </c>
      <c r="S95" s="36" t="s">
        <v>218</v>
      </c>
      <c r="T95" s="37"/>
      <c r="U95" s="37"/>
      <c r="V95" s="37"/>
      <c r="W95" s="37"/>
      <c r="X95" s="37"/>
      <c r="Y95" s="37"/>
      <c r="Z95" s="37"/>
      <c r="AA95" s="37"/>
      <c r="AB95" s="37"/>
      <c r="AC95" s="37"/>
      <c r="AD95" s="37"/>
      <c r="AE95" s="38"/>
      <c r="AF95" s="284"/>
      <c r="AG95" s="286"/>
      <c r="AH95" s="284"/>
      <c r="AI95" s="286"/>
      <c r="AJ95" s="284"/>
      <c r="AK95" s="286"/>
      <c r="AL95" s="284"/>
      <c r="AM95" s="286"/>
      <c r="AN95" s="284" t="s">
        <v>130</v>
      </c>
      <c r="AO95" s="286"/>
      <c r="AP95" s="284"/>
      <c r="AQ95" s="286"/>
      <c r="AR95" s="284"/>
      <c r="AS95" s="286"/>
      <c r="AT95" s="284" t="s">
        <v>201</v>
      </c>
      <c r="AU95" s="285"/>
      <c r="AV95" s="285"/>
      <c r="AW95" s="285"/>
      <c r="AX95" s="285"/>
      <c r="AY95" s="285"/>
      <c r="AZ95" s="285"/>
      <c r="BA95" s="286"/>
      <c r="BB95" s="287"/>
      <c r="BC95" s="287"/>
      <c r="BD95" s="287"/>
      <c r="BE95" s="287"/>
      <c r="BF95" s="287"/>
      <c r="BG95" s="287"/>
      <c r="BH95" s="287"/>
      <c r="BI95" s="287"/>
      <c r="BJ95" s="288"/>
      <c r="BK95" s="288"/>
      <c r="BL95" s="288"/>
      <c r="BM95" s="288"/>
      <c r="BN95" s="288"/>
      <c r="BO95" s="288"/>
      <c r="BP95" s="288"/>
      <c r="BQ95" s="288"/>
      <c r="BR95" s="288"/>
      <c r="BS95" s="10"/>
      <c r="BT95" s="11"/>
    </row>
    <row r="96" spans="1:72" s="8" customFormat="1">
      <c r="A96" s="9"/>
      <c r="B96" s="83"/>
      <c r="C96" s="81"/>
      <c r="D96" s="81"/>
      <c r="E96" s="81"/>
      <c r="F96" s="81"/>
      <c r="G96" s="81"/>
      <c r="H96" s="81"/>
      <c r="I96" s="82"/>
      <c r="J96" s="81"/>
      <c r="K96" s="81"/>
      <c r="L96" s="81"/>
      <c r="M96" s="81"/>
      <c r="N96" s="81"/>
      <c r="O96" s="81"/>
      <c r="P96" s="81"/>
      <c r="Q96" s="82"/>
      <c r="R96" s="38">
        <v>30</v>
      </c>
      <c r="S96" s="36" t="s">
        <v>219</v>
      </c>
      <c r="T96" s="37"/>
      <c r="U96" s="37"/>
      <c r="V96" s="37"/>
      <c r="W96" s="37"/>
      <c r="X96" s="37"/>
      <c r="Y96" s="37"/>
      <c r="Z96" s="37"/>
      <c r="AA96" s="37"/>
      <c r="AB96" s="37"/>
      <c r="AC96" s="37"/>
      <c r="AD96" s="37"/>
      <c r="AE96" s="38"/>
      <c r="AF96" s="284"/>
      <c r="AG96" s="286"/>
      <c r="AH96" s="284"/>
      <c r="AI96" s="286"/>
      <c r="AJ96" s="284"/>
      <c r="AK96" s="286"/>
      <c r="AL96" s="284"/>
      <c r="AM96" s="286"/>
      <c r="AN96" s="284"/>
      <c r="AO96" s="286"/>
      <c r="AP96" s="284"/>
      <c r="AQ96" s="286"/>
      <c r="AR96" s="284" t="s">
        <v>130</v>
      </c>
      <c r="AS96" s="286"/>
      <c r="AT96" s="284" t="s">
        <v>131</v>
      </c>
      <c r="AU96" s="285"/>
      <c r="AV96" s="285"/>
      <c r="AW96" s="285"/>
      <c r="AX96" s="285"/>
      <c r="AY96" s="285"/>
      <c r="AZ96" s="285"/>
      <c r="BA96" s="286"/>
      <c r="BB96" s="284" t="s">
        <v>203</v>
      </c>
      <c r="BC96" s="285"/>
      <c r="BD96" s="285"/>
      <c r="BE96" s="285"/>
      <c r="BF96" s="285"/>
      <c r="BG96" s="285"/>
      <c r="BH96" s="285"/>
      <c r="BI96" s="286"/>
      <c r="BJ96" s="288"/>
      <c r="BK96" s="288"/>
      <c r="BL96" s="288"/>
      <c r="BM96" s="288"/>
      <c r="BN96" s="288"/>
      <c r="BO96" s="288"/>
      <c r="BP96" s="288"/>
      <c r="BQ96" s="288"/>
      <c r="BR96" s="288"/>
      <c r="BS96" s="10"/>
      <c r="BT96" s="11"/>
    </row>
    <row r="97" spans="1:72" s="8" customFormat="1">
      <c r="A97" s="9"/>
      <c r="B97" s="80"/>
      <c r="C97" s="81"/>
      <c r="D97" s="81"/>
      <c r="E97" s="81"/>
      <c r="F97" s="81"/>
      <c r="G97" s="81"/>
      <c r="H97" s="81"/>
      <c r="I97" s="82"/>
      <c r="J97" s="73" t="s">
        <v>252</v>
      </c>
      <c r="K97" s="73"/>
      <c r="L97" s="73"/>
      <c r="M97" s="73"/>
      <c r="N97" s="73"/>
      <c r="O97" s="73"/>
      <c r="P97" s="73"/>
      <c r="Q97" s="79"/>
      <c r="R97" s="38">
        <v>1</v>
      </c>
      <c r="S97" s="36" t="s">
        <v>221</v>
      </c>
      <c r="T97" s="37"/>
      <c r="U97" s="37"/>
      <c r="V97" s="37"/>
      <c r="W97" s="37"/>
      <c r="X97" s="37"/>
      <c r="Y97" s="37"/>
      <c r="Z97" s="37"/>
      <c r="AA97" s="37"/>
      <c r="AB97" s="37"/>
      <c r="AC97" s="37"/>
      <c r="AD97" s="37"/>
      <c r="AE97" s="38"/>
      <c r="AF97" s="284"/>
      <c r="AG97" s="286"/>
      <c r="AH97" s="284"/>
      <c r="AI97" s="286"/>
      <c r="AJ97" s="284"/>
      <c r="AK97" s="286"/>
      <c r="AL97" s="284"/>
      <c r="AM97" s="286"/>
      <c r="AN97" s="284" t="s">
        <v>130</v>
      </c>
      <c r="AO97" s="286"/>
      <c r="AP97" s="284"/>
      <c r="AQ97" s="286"/>
      <c r="AR97" s="284"/>
      <c r="AS97" s="286"/>
      <c r="AT97" s="284" t="s">
        <v>131</v>
      </c>
      <c r="AU97" s="285"/>
      <c r="AV97" s="285"/>
      <c r="AW97" s="285"/>
      <c r="AX97" s="285"/>
      <c r="AY97" s="285"/>
      <c r="AZ97" s="285"/>
      <c r="BA97" s="286"/>
      <c r="BB97" s="284" t="s">
        <v>203</v>
      </c>
      <c r="BC97" s="285"/>
      <c r="BD97" s="285"/>
      <c r="BE97" s="285"/>
      <c r="BF97" s="285"/>
      <c r="BG97" s="285"/>
      <c r="BH97" s="285"/>
      <c r="BI97" s="286"/>
      <c r="BJ97" s="288"/>
      <c r="BK97" s="288"/>
      <c r="BL97" s="288"/>
      <c r="BM97" s="288"/>
      <c r="BN97" s="288"/>
      <c r="BO97" s="288"/>
      <c r="BP97" s="288"/>
      <c r="BQ97" s="288"/>
      <c r="BR97" s="288"/>
      <c r="BS97" s="10"/>
    </row>
    <row r="98" spans="1:72" s="8" customFormat="1">
      <c r="A98" s="9"/>
      <c r="B98" s="83"/>
      <c r="C98" s="81"/>
      <c r="D98" s="81"/>
      <c r="E98" s="81"/>
      <c r="F98" s="81"/>
      <c r="G98" s="81"/>
      <c r="H98" s="81"/>
      <c r="I98" s="82"/>
      <c r="J98" s="81"/>
      <c r="K98" s="81"/>
      <c r="L98" s="81"/>
      <c r="M98" s="81"/>
      <c r="N98" s="81"/>
      <c r="O98" s="81"/>
      <c r="P98" s="81"/>
      <c r="Q98" s="82"/>
      <c r="R98" s="38">
        <v>2</v>
      </c>
      <c r="S98" s="36" t="s">
        <v>253</v>
      </c>
      <c r="T98" s="37"/>
      <c r="U98" s="37"/>
      <c r="V98" s="37"/>
      <c r="W98" s="37"/>
      <c r="X98" s="37"/>
      <c r="Y98" s="37"/>
      <c r="Z98" s="37"/>
      <c r="AA98" s="37"/>
      <c r="AB98" s="37"/>
      <c r="AC98" s="37"/>
      <c r="AD98" s="37"/>
      <c r="AE98" s="38"/>
      <c r="AF98" s="284"/>
      <c r="AG98" s="286"/>
      <c r="AH98" s="284"/>
      <c r="AI98" s="286"/>
      <c r="AJ98" s="284" t="s">
        <v>130</v>
      </c>
      <c r="AK98" s="286"/>
      <c r="AL98" s="284"/>
      <c r="AM98" s="286"/>
      <c r="AN98" s="284"/>
      <c r="AO98" s="286"/>
      <c r="AP98" s="284"/>
      <c r="AQ98" s="286"/>
      <c r="AR98" s="284"/>
      <c r="AS98" s="286"/>
      <c r="AT98" s="284" t="s">
        <v>131</v>
      </c>
      <c r="AU98" s="285"/>
      <c r="AV98" s="285"/>
      <c r="AW98" s="285"/>
      <c r="AX98" s="285"/>
      <c r="AY98" s="285"/>
      <c r="AZ98" s="285"/>
      <c r="BA98" s="286"/>
      <c r="BB98" s="284" t="s">
        <v>205</v>
      </c>
      <c r="BC98" s="285"/>
      <c r="BD98" s="285"/>
      <c r="BE98" s="285"/>
      <c r="BF98" s="285"/>
      <c r="BG98" s="285"/>
      <c r="BH98" s="285"/>
      <c r="BI98" s="286"/>
      <c r="BJ98" s="288"/>
      <c r="BK98" s="288"/>
      <c r="BL98" s="288"/>
      <c r="BM98" s="288"/>
      <c r="BN98" s="288"/>
      <c r="BO98" s="288"/>
      <c r="BP98" s="288"/>
      <c r="BQ98" s="288"/>
      <c r="BR98" s="288"/>
      <c r="BS98" s="10"/>
      <c r="BT98" s="11"/>
    </row>
    <row r="99" spans="1:72" s="8" customFormat="1">
      <c r="A99" s="9"/>
      <c r="B99" s="80"/>
      <c r="C99" s="81"/>
      <c r="D99" s="81"/>
      <c r="E99" s="81"/>
      <c r="F99" s="81"/>
      <c r="G99" s="81"/>
      <c r="H99" s="81"/>
      <c r="I99" s="82"/>
      <c r="J99" s="81"/>
      <c r="K99" s="81"/>
      <c r="L99" s="81"/>
      <c r="M99" s="81"/>
      <c r="N99" s="81"/>
      <c r="O99" s="81"/>
      <c r="P99" s="81"/>
      <c r="Q99" s="82"/>
      <c r="R99" s="38">
        <v>3</v>
      </c>
      <c r="S99" s="36" t="s">
        <v>254</v>
      </c>
      <c r="T99" s="37"/>
      <c r="U99" s="37"/>
      <c r="V99" s="37"/>
      <c r="W99" s="37"/>
      <c r="X99" s="37"/>
      <c r="Y99" s="37"/>
      <c r="Z99" s="37"/>
      <c r="AA99" s="37"/>
      <c r="AB99" s="37"/>
      <c r="AC99" s="37"/>
      <c r="AD99" s="37"/>
      <c r="AE99" s="38"/>
      <c r="AF99" s="284"/>
      <c r="AG99" s="286"/>
      <c r="AH99" s="284"/>
      <c r="AI99" s="286"/>
      <c r="AJ99" s="284" t="s">
        <v>130</v>
      </c>
      <c r="AK99" s="286"/>
      <c r="AL99" s="284"/>
      <c r="AM99" s="286"/>
      <c r="AN99" s="284"/>
      <c r="AO99" s="286"/>
      <c r="AP99" s="284"/>
      <c r="AQ99" s="286"/>
      <c r="AR99" s="284"/>
      <c r="AS99" s="286"/>
      <c r="AT99" s="284" t="s">
        <v>131</v>
      </c>
      <c r="AU99" s="285"/>
      <c r="AV99" s="285"/>
      <c r="AW99" s="285"/>
      <c r="AX99" s="285"/>
      <c r="AY99" s="285"/>
      <c r="AZ99" s="285"/>
      <c r="BA99" s="286"/>
      <c r="BB99" s="284" t="s">
        <v>224</v>
      </c>
      <c r="BC99" s="285"/>
      <c r="BD99" s="285"/>
      <c r="BE99" s="285"/>
      <c r="BF99" s="285"/>
      <c r="BG99" s="285"/>
      <c r="BH99" s="285"/>
      <c r="BI99" s="286"/>
      <c r="BJ99" s="288"/>
      <c r="BK99" s="288"/>
      <c r="BL99" s="288"/>
      <c r="BM99" s="288"/>
      <c r="BN99" s="288"/>
      <c r="BO99" s="288"/>
      <c r="BP99" s="288"/>
      <c r="BQ99" s="288"/>
      <c r="BR99" s="288"/>
      <c r="BS99" s="10"/>
    </row>
    <row r="100" spans="1:72" s="8" customFormat="1">
      <c r="A100" s="9"/>
      <c r="B100" s="83"/>
      <c r="C100" s="81"/>
      <c r="D100" s="81"/>
      <c r="E100" s="81"/>
      <c r="F100" s="81"/>
      <c r="G100" s="81"/>
      <c r="H100" s="81"/>
      <c r="I100" s="82"/>
      <c r="J100" s="81"/>
      <c r="K100" s="81"/>
      <c r="L100" s="81"/>
      <c r="M100" s="81"/>
      <c r="N100" s="81"/>
      <c r="O100" s="81"/>
      <c r="P100" s="81"/>
      <c r="Q100" s="82"/>
      <c r="R100" s="38">
        <v>4</v>
      </c>
      <c r="S100" s="36" t="s">
        <v>255</v>
      </c>
      <c r="T100" s="37"/>
      <c r="U100" s="37"/>
      <c r="V100" s="37"/>
      <c r="W100" s="37"/>
      <c r="X100" s="37"/>
      <c r="Y100" s="37"/>
      <c r="Z100" s="37"/>
      <c r="AA100" s="37"/>
      <c r="AB100" s="37"/>
      <c r="AC100" s="37"/>
      <c r="AD100" s="37"/>
      <c r="AE100" s="38"/>
      <c r="AF100" s="284"/>
      <c r="AG100" s="286"/>
      <c r="AH100" s="284"/>
      <c r="AI100" s="286"/>
      <c r="AJ100" s="284" t="s">
        <v>130</v>
      </c>
      <c r="AK100" s="286"/>
      <c r="AL100" s="284"/>
      <c r="AM100" s="286"/>
      <c r="AN100" s="284"/>
      <c r="AO100" s="286"/>
      <c r="AP100" s="284"/>
      <c r="AQ100" s="286"/>
      <c r="AR100" s="284"/>
      <c r="AS100" s="286"/>
      <c r="AT100" s="284" t="s">
        <v>143</v>
      </c>
      <c r="AU100" s="285"/>
      <c r="AV100" s="285"/>
      <c r="AW100" s="285"/>
      <c r="AX100" s="285"/>
      <c r="AY100" s="285"/>
      <c r="AZ100" s="285"/>
      <c r="BA100" s="286"/>
      <c r="BB100" s="287" t="s">
        <v>143</v>
      </c>
      <c r="BC100" s="287"/>
      <c r="BD100" s="287"/>
      <c r="BE100" s="287"/>
      <c r="BF100" s="287"/>
      <c r="BG100" s="287"/>
      <c r="BH100" s="287"/>
      <c r="BI100" s="287"/>
      <c r="BJ100" s="288" t="s">
        <v>256</v>
      </c>
      <c r="BK100" s="288"/>
      <c r="BL100" s="288"/>
      <c r="BM100" s="288"/>
      <c r="BN100" s="288"/>
      <c r="BO100" s="288"/>
      <c r="BP100" s="288"/>
      <c r="BQ100" s="288"/>
      <c r="BR100" s="288"/>
      <c r="BS100" s="10"/>
      <c r="BT100" s="11"/>
    </row>
    <row r="101" spans="1:72" s="8" customFormat="1">
      <c r="A101" s="9"/>
      <c r="B101" s="80"/>
      <c r="C101" s="81"/>
      <c r="D101" s="81"/>
      <c r="E101" s="81"/>
      <c r="F101" s="81"/>
      <c r="G101" s="81"/>
      <c r="H101" s="81"/>
      <c r="I101" s="82"/>
      <c r="J101" s="81"/>
      <c r="K101" s="81"/>
      <c r="L101" s="81"/>
      <c r="M101" s="81"/>
      <c r="N101" s="81"/>
      <c r="O101" s="81"/>
      <c r="P101" s="81"/>
      <c r="Q101" s="82"/>
      <c r="R101" s="38">
        <v>5</v>
      </c>
      <c r="S101" s="36" t="s">
        <v>257</v>
      </c>
      <c r="T101" s="37"/>
      <c r="U101" s="37"/>
      <c r="V101" s="37"/>
      <c r="W101" s="37"/>
      <c r="X101" s="37"/>
      <c r="Y101" s="37"/>
      <c r="Z101" s="37"/>
      <c r="AA101" s="37"/>
      <c r="AB101" s="37"/>
      <c r="AC101" s="37"/>
      <c r="AD101" s="37"/>
      <c r="AE101" s="38"/>
      <c r="AF101" s="284"/>
      <c r="AG101" s="286"/>
      <c r="AH101" s="284"/>
      <c r="AI101" s="286"/>
      <c r="AJ101" s="284"/>
      <c r="AK101" s="286"/>
      <c r="AL101" s="284"/>
      <c r="AM101" s="286"/>
      <c r="AN101" s="284" t="s">
        <v>130</v>
      </c>
      <c r="AO101" s="286"/>
      <c r="AP101" s="284"/>
      <c r="AQ101" s="286"/>
      <c r="AR101" s="284"/>
      <c r="AS101" s="286"/>
      <c r="AT101" s="284" t="s">
        <v>143</v>
      </c>
      <c r="AU101" s="285"/>
      <c r="AV101" s="285"/>
      <c r="AW101" s="285"/>
      <c r="AX101" s="285"/>
      <c r="AY101" s="285"/>
      <c r="AZ101" s="285"/>
      <c r="BA101" s="286"/>
      <c r="BB101" s="287" t="s">
        <v>143</v>
      </c>
      <c r="BC101" s="287"/>
      <c r="BD101" s="287"/>
      <c r="BE101" s="287"/>
      <c r="BF101" s="287"/>
      <c r="BG101" s="287"/>
      <c r="BH101" s="287"/>
      <c r="BI101" s="287"/>
      <c r="BJ101" s="288"/>
      <c r="BK101" s="288"/>
      <c r="BL101" s="288"/>
      <c r="BM101" s="288"/>
      <c r="BN101" s="288"/>
      <c r="BO101" s="288"/>
      <c r="BP101" s="288"/>
      <c r="BQ101" s="288"/>
      <c r="BR101" s="288"/>
      <c r="BS101" s="10"/>
    </row>
    <row r="102" spans="1:72" s="8" customFormat="1">
      <c r="A102" s="9"/>
      <c r="B102" s="83"/>
      <c r="C102" s="81"/>
      <c r="D102" s="81"/>
      <c r="E102" s="81"/>
      <c r="F102" s="81"/>
      <c r="G102" s="81"/>
      <c r="H102" s="81"/>
      <c r="I102" s="82"/>
      <c r="J102" s="81"/>
      <c r="K102" s="81"/>
      <c r="L102" s="81"/>
      <c r="M102" s="81"/>
      <c r="N102" s="81"/>
      <c r="O102" s="81"/>
      <c r="P102" s="81"/>
      <c r="Q102" s="82"/>
      <c r="R102" s="38">
        <v>6</v>
      </c>
      <c r="S102" s="58" t="s">
        <v>258</v>
      </c>
      <c r="T102" s="37"/>
      <c r="U102" s="37"/>
      <c r="V102" s="37"/>
      <c r="W102" s="37"/>
      <c r="X102" s="37"/>
      <c r="Y102" s="37"/>
      <c r="Z102" s="37"/>
      <c r="AA102" s="37"/>
      <c r="AB102" s="37"/>
      <c r="AC102" s="37"/>
      <c r="AD102" s="37"/>
      <c r="AE102" s="38"/>
      <c r="AF102" s="284"/>
      <c r="AG102" s="286"/>
      <c r="AH102" s="284"/>
      <c r="AI102" s="286"/>
      <c r="AJ102" s="284"/>
      <c r="AK102" s="286"/>
      <c r="AL102" s="284"/>
      <c r="AM102" s="286"/>
      <c r="AN102" s="284" t="s">
        <v>130</v>
      </c>
      <c r="AO102" s="286"/>
      <c r="AP102" s="284"/>
      <c r="AQ102" s="286"/>
      <c r="AR102" s="284"/>
      <c r="AS102" s="286"/>
      <c r="AT102" s="284" t="s">
        <v>228</v>
      </c>
      <c r="AU102" s="285"/>
      <c r="AV102" s="285"/>
      <c r="AW102" s="285"/>
      <c r="AX102" s="285"/>
      <c r="AY102" s="285"/>
      <c r="AZ102" s="285"/>
      <c r="BA102" s="286"/>
      <c r="BB102" s="284" t="s">
        <v>201</v>
      </c>
      <c r="BC102" s="285"/>
      <c r="BD102" s="285"/>
      <c r="BE102" s="285"/>
      <c r="BF102" s="285"/>
      <c r="BG102" s="285"/>
      <c r="BH102" s="285"/>
      <c r="BI102" s="286"/>
      <c r="BJ102" s="288"/>
      <c r="BK102" s="288"/>
      <c r="BL102" s="288"/>
      <c r="BM102" s="288"/>
      <c r="BN102" s="288"/>
      <c r="BO102" s="288"/>
      <c r="BP102" s="288"/>
      <c r="BQ102" s="288"/>
      <c r="BR102" s="288"/>
      <c r="BS102" s="10"/>
      <c r="BT102" s="11"/>
    </row>
    <row r="103" spans="1:72" s="8" customFormat="1" ht="14.65" customHeight="1">
      <c r="A103" s="9"/>
      <c r="B103" s="83"/>
      <c r="C103" s="81"/>
      <c r="D103" s="81"/>
      <c r="E103" s="81"/>
      <c r="F103" s="81"/>
      <c r="G103" s="81"/>
      <c r="H103" s="81"/>
      <c r="I103" s="82"/>
      <c r="J103" s="81"/>
      <c r="K103" s="81"/>
      <c r="L103" s="81"/>
      <c r="M103" s="81"/>
      <c r="N103" s="81"/>
      <c r="O103" s="81"/>
      <c r="P103" s="81"/>
      <c r="Q103" s="82"/>
      <c r="R103" s="38">
        <v>7</v>
      </c>
      <c r="S103" s="36" t="s">
        <v>259</v>
      </c>
      <c r="T103" s="37"/>
      <c r="U103" s="37"/>
      <c r="V103" s="37"/>
      <c r="W103" s="37"/>
      <c r="X103" s="37"/>
      <c r="Y103" s="37"/>
      <c r="Z103" s="37"/>
      <c r="AA103" s="37"/>
      <c r="AB103" s="37"/>
      <c r="AC103" s="37"/>
      <c r="AD103" s="37"/>
      <c r="AE103" s="38"/>
      <c r="AF103" s="284"/>
      <c r="AG103" s="286"/>
      <c r="AH103" s="284"/>
      <c r="AI103" s="286"/>
      <c r="AJ103" s="284" t="s">
        <v>130</v>
      </c>
      <c r="AK103" s="286"/>
      <c r="AL103" s="284"/>
      <c r="AM103" s="286"/>
      <c r="AN103" s="284"/>
      <c r="AO103" s="286"/>
      <c r="AP103" s="284"/>
      <c r="AQ103" s="286"/>
      <c r="AR103" s="284"/>
      <c r="AS103" s="286"/>
      <c r="AT103" s="287" t="s">
        <v>142</v>
      </c>
      <c r="AU103" s="287"/>
      <c r="AV103" s="287"/>
      <c r="AW103" s="287"/>
      <c r="AX103" s="287"/>
      <c r="AY103" s="287"/>
      <c r="AZ103" s="287"/>
      <c r="BA103" s="287"/>
      <c r="BB103" s="287" t="s">
        <v>143</v>
      </c>
      <c r="BC103" s="287"/>
      <c r="BD103" s="287"/>
      <c r="BE103" s="287"/>
      <c r="BF103" s="287"/>
      <c r="BG103" s="287"/>
      <c r="BH103" s="287"/>
      <c r="BI103" s="287"/>
      <c r="BJ103" s="288"/>
      <c r="BK103" s="288"/>
      <c r="BL103" s="288"/>
      <c r="BM103" s="288"/>
      <c r="BN103" s="288"/>
      <c r="BO103" s="288"/>
      <c r="BP103" s="288"/>
      <c r="BQ103" s="288"/>
      <c r="BR103" s="288"/>
      <c r="BS103" s="10"/>
      <c r="BT103" s="11"/>
    </row>
    <row r="104" spans="1:72" s="8" customFormat="1">
      <c r="A104" s="9"/>
      <c r="B104" s="83"/>
      <c r="C104" s="81"/>
      <c r="D104" s="81"/>
      <c r="E104" s="81"/>
      <c r="F104" s="81"/>
      <c r="G104" s="81"/>
      <c r="H104" s="81"/>
      <c r="I104" s="82"/>
      <c r="J104" s="81"/>
      <c r="K104" s="81"/>
      <c r="L104" s="81"/>
      <c r="M104" s="81"/>
      <c r="N104" s="81"/>
      <c r="O104" s="81"/>
      <c r="P104" s="81"/>
      <c r="Q104" s="82"/>
      <c r="R104" s="38">
        <v>8</v>
      </c>
      <c r="S104" s="36" t="s">
        <v>260</v>
      </c>
      <c r="T104" s="37"/>
      <c r="U104" s="37"/>
      <c r="V104" s="37"/>
      <c r="W104" s="37"/>
      <c r="X104" s="37"/>
      <c r="Y104" s="37"/>
      <c r="Z104" s="37"/>
      <c r="AA104" s="37"/>
      <c r="AB104" s="37"/>
      <c r="AC104" s="37"/>
      <c r="AD104" s="37"/>
      <c r="AE104" s="38"/>
      <c r="AF104" s="284"/>
      <c r="AG104" s="286"/>
      <c r="AH104" s="284"/>
      <c r="AI104" s="286"/>
      <c r="AJ104" s="284" t="s">
        <v>130</v>
      </c>
      <c r="AK104" s="286"/>
      <c r="AL104" s="284"/>
      <c r="AM104" s="286"/>
      <c r="AN104" s="284"/>
      <c r="AO104" s="286"/>
      <c r="AP104" s="284"/>
      <c r="AQ104" s="286"/>
      <c r="AR104" s="284"/>
      <c r="AS104" s="286"/>
      <c r="AT104" s="284" t="s">
        <v>228</v>
      </c>
      <c r="AU104" s="285"/>
      <c r="AV104" s="285"/>
      <c r="AW104" s="285"/>
      <c r="AX104" s="285"/>
      <c r="AY104" s="285"/>
      <c r="AZ104" s="285"/>
      <c r="BA104" s="286"/>
      <c r="BB104" s="284" t="s">
        <v>201</v>
      </c>
      <c r="BC104" s="285"/>
      <c r="BD104" s="285"/>
      <c r="BE104" s="285"/>
      <c r="BF104" s="285"/>
      <c r="BG104" s="285"/>
      <c r="BH104" s="285"/>
      <c r="BI104" s="286"/>
      <c r="BJ104" s="289"/>
      <c r="BK104" s="290"/>
      <c r="BL104" s="290"/>
      <c r="BM104" s="290"/>
      <c r="BN104" s="290"/>
      <c r="BO104" s="290"/>
      <c r="BP104" s="290"/>
      <c r="BQ104" s="290"/>
      <c r="BR104" s="291"/>
      <c r="BS104" s="10"/>
      <c r="BT104" s="11"/>
    </row>
    <row r="105" spans="1:72" s="8" customFormat="1">
      <c r="A105" s="9"/>
      <c r="B105" s="80"/>
      <c r="C105" s="81"/>
      <c r="D105" s="81"/>
      <c r="E105" s="81"/>
      <c r="F105" s="81"/>
      <c r="G105" s="81"/>
      <c r="H105" s="81"/>
      <c r="I105" s="82"/>
      <c r="J105" s="81"/>
      <c r="K105" s="81"/>
      <c r="L105" s="81"/>
      <c r="M105" s="81"/>
      <c r="N105" s="81"/>
      <c r="O105" s="81"/>
      <c r="P105" s="81"/>
      <c r="Q105" s="82"/>
      <c r="R105" s="38">
        <v>9</v>
      </c>
      <c r="S105" s="36" t="s">
        <v>261</v>
      </c>
      <c r="T105" s="37"/>
      <c r="U105" s="37"/>
      <c r="V105" s="37"/>
      <c r="W105" s="37"/>
      <c r="X105" s="37"/>
      <c r="Y105" s="37"/>
      <c r="Z105" s="37"/>
      <c r="AA105" s="37"/>
      <c r="AB105" s="37"/>
      <c r="AC105" s="37"/>
      <c r="AD105" s="37"/>
      <c r="AE105" s="38"/>
      <c r="AF105" s="284"/>
      <c r="AG105" s="286"/>
      <c r="AH105" s="284"/>
      <c r="AI105" s="286"/>
      <c r="AJ105" s="284" t="s">
        <v>130</v>
      </c>
      <c r="AK105" s="286"/>
      <c r="AL105" s="284"/>
      <c r="AM105" s="286"/>
      <c r="AN105" s="284"/>
      <c r="AO105" s="286"/>
      <c r="AP105" s="284"/>
      <c r="AQ105" s="286"/>
      <c r="AR105" s="284"/>
      <c r="AS105" s="286"/>
      <c r="AT105" s="284" t="s">
        <v>228</v>
      </c>
      <c r="AU105" s="285"/>
      <c r="AV105" s="285"/>
      <c r="AW105" s="285"/>
      <c r="AX105" s="285"/>
      <c r="AY105" s="285"/>
      <c r="AZ105" s="285"/>
      <c r="BA105" s="286"/>
      <c r="BB105" s="284" t="s">
        <v>201</v>
      </c>
      <c r="BC105" s="285"/>
      <c r="BD105" s="285"/>
      <c r="BE105" s="285"/>
      <c r="BF105" s="285"/>
      <c r="BG105" s="285"/>
      <c r="BH105" s="285"/>
      <c r="BI105" s="286"/>
      <c r="BJ105" s="288"/>
      <c r="BK105" s="288"/>
      <c r="BL105" s="288"/>
      <c r="BM105" s="288"/>
      <c r="BN105" s="288"/>
      <c r="BO105" s="288"/>
      <c r="BP105" s="288"/>
      <c r="BQ105" s="288"/>
      <c r="BR105" s="288"/>
      <c r="BS105" s="10"/>
    </row>
    <row r="106" spans="1:72" s="8" customFormat="1">
      <c r="A106" s="9"/>
      <c r="B106" s="80"/>
      <c r="C106" s="81"/>
      <c r="D106" s="81"/>
      <c r="E106" s="81"/>
      <c r="F106" s="81"/>
      <c r="G106" s="81"/>
      <c r="H106" s="81"/>
      <c r="I106" s="82"/>
      <c r="J106" s="81"/>
      <c r="K106" s="81"/>
      <c r="L106" s="81"/>
      <c r="M106" s="81"/>
      <c r="N106" s="81"/>
      <c r="O106" s="81"/>
      <c r="P106" s="81"/>
      <c r="Q106" s="82"/>
      <c r="R106" s="38">
        <v>10</v>
      </c>
      <c r="S106" s="36" t="s">
        <v>262</v>
      </c>
      <c r="T106" s="37"/>
      <c r="U106" s="37"/>
      <c r="V106" s="37"/>
      <c r="W106" s="37"/>
      <c r="X106" s="37"/>
      <c r="Y106" s="37"/>
      <c r="Z106" s="37"/>
      <c r="AA106" s="37"/>
      <c r="AB106" s="37"/>
      <c r="AC106" s="37"/>
      <c r="AD106" s="37"/>
      <c r="AE106" s="38"/>
      <c r="AF106" s="284"/>
      <c r="AG106" s="286"/>
      <c r="AH106" s="284"/>
      <c r="AI106" s="286"/>
      <c r="AJ106" s="284" t="s">
        <v>130</v>
      </c>
      <c r="AK106" s="286"/>
      <c r="AL106" s="284"/>
      <c r="AM106" s="286"/>
      <c r="AN106" s="284"/>
      <c r="AO106" s="286"/>
      <c r="AP106" s="284"/>
      <c r="AQ106" s="286"/>
      <c r="AR106" s="284"/>
      <c r="AS106" s="286"/>
      <c r="AT106" s="284" t="s">
        <v>131</v>
      </c>
      <c r="AU106" s="285"/>
      <c r="AV106" s="285"/>
      <c r="AW106" s="285"/>
      <c r="AX106" s="285"/>
      <c r="AY106" s="285"/>
      <c r="AZ106" s="285"/>
      <c r="BA106" s="286"/>
      <c r="BB106" s="284" t="s">
        <v>224</v>
      </c>
      <c r="BC106" s="285"/>
      <c r="BD106" s="285"/>
      <c r="BE106" s="285"/>
      <c r="BF106" s="285"/>
      <c r="BG106" s="285"/>
      <c r="BH106" s="285"/>
      <c r="BI106" s="286"/>
      <c r="BJ106" s="288"/>
      <c r="BK106" s="288"/>
      <c r="BL106" s="288"/>
      <c r="BM106" s="288"/>
      <c r="BN106" s="288"/>
      <c r="BO106" s="288"/>
      <c r="BP106" s="288"/>
      <c r="BQ106" s="288"/>
      <c r="BR106" s="288"/>
      <c r="BS106" s="10"/>
    </row>
    <row r="107" spans="1:72" s="8" customFormat="1">
      <c r="A107" s="9"/>
      <c r="B107" s="80"/>
      <c r="C107" s="81"/>
      <c r="D107" s="81"/>
      <c r="E107" s="81"/>
      <c r="F107" s="81"/>
      <c r="G107" s="81"/>
      <c r="H107" s="81"/>
      <c r="I107" s="82"/>
      <c r="J107" s="81"/>
      <c r="K107" s="81"/>
      <c r="L107" s="81"/>
      <c r="M107" s="81"/>
      <c r="N107" s="81"/>
      <c r="O107" s="81"/>
      <c r="P107" s="81"/>
      <c r="Q107" s="82"/>
      <c r="R107" s="38">
        <v>11</v>
      </c>
      <c r="S107" s="36" t="s">
        <v>263</v>
      </c>
      <c r="T107" s="37"/>
      <c r="U107" s="37"/>
      <c r="V107" s="37"/>
      <c r="W107" s="37"/>
      <c r="X107" s="37"/>
      <c r="Y107" s="37"/>
      <c r="Z107" s="37"/>
      <c r="AA107" s="37"/>
      <c r="AB107" s="37"/>
      <c r="AC107" s="37"/>
      <c r="AD107" s="37"/>
      <c r="AE107" s="38"/>
      <c r="AF107" s="284"/>
      <c r="AG107" s="286"/>
      <c r="AH107" s="284"/>
      <c r="AI107" s="286"/>
      <c r="AJ107" s="284" t="s">
        <v>130</v>
      </c>
      <c r="AK107" s="286"/>
      <c r="AL107" s="284"/>
      <c r="AM107" s="286"/>
      <c r="AN107" s="284"/>
      <c r="AO107" s="286"/>
      <c r="AP107" s="284"/>
      <c r="AQ107" s="286"/>
      <c r="AR107" s="284"/>
      <c r="AS107" s="286"/>
      <c r="AT107" s="287" t="s">
        <v>142</v>
      </c>
      <c r="AU107" s="287"/>
      <c r="AV107" s="287"/>
      <c r="AW107" s="287"/>
      <c r="AX107" s="287"/>
      <c r="AY107" s="287"/>
      <c r="AZ107" s="287"/>
      <c r="BA107" s="287"/>
      <c r="BB107" s="287" t="s">
        <v>143</v>
      </c>
      <c r="BC107" s="287"/>
      <c r="BD107" s="287"/>
      <c r="BE107" s="287"/>
      <c r="BF107" s="287"/>
      <c r="BG107" s="287"/>
      <c r="BH107" s="287"/>
      <c r="BI107" s="287"/>
      <c r="BJ107" s="288"/>
      <c r="BK107" s="288"/>
      <c r="BL107" s="288"/>
      <c r="BM107" s="288"/>
      <c r="BN107" s="288"/>
      <c r="BO107" s="288"/>
      <c r="BP107" s="288"/>
      <c r="BQ107" s="288"/>
      <c r="BR107" s="288"/>
      <c r="BS107" s="10"/>
    </row>
    <row r="108" spans="1:72" s="8" customFormat="1">
      <c r="A108" s="9"/>
      <c r="B108" s="83"/>
      <c r="C108" s="81"/>
      <c r="D108" s="81"/>
      <c r="E108" s="81"/>
      <c r="F108" s="81"/>
      <c r="G108" s="81"/>
      <c r="H108" s="81"/>
      <c r="I108" s="82"/>
      <c r="J108" s="81"/>
      <c r="K108" s="81"/>
      <c r="L108" s="81"/>
      <c r="M108" s="81"/>
      <c r="N108" s="81"/>
      <c r="O108" s="81"/>
      <c r="P108" s="81"/>
      <c r="Q108" s="82"/>
      <c r="R108" s="38">
        <v>12</v>
      </c>
      <c r="S108" s="36" t="s">
        <v>264</v>
      </c>
      <c r="T108" s="37"/>
      <c r="U108" s="37"/>
      <c r="V108" s="37"/>
      <c r="W108" s="37"/>
      <c r="X108" s="37"/>
      <c r="Y108" s="37"/>
      <c r="Z108" s="37"/>
      <c r="AA108" s="37"/>
      <c r="AB108" s="37"/>
      <c r="AC108" s="37"/>
      <c r="AD108" s="37"/>
      <c r="AE108" s="38"/>
      <c r="AF108" s="284"/>
      <c r="AG108" s="286"/>
      <c r="AH108" s="284"/>
      <c r="AI108" s="286"/>
      <c r="AJ108" s="284" t="s">
        <v>130</v>
      </c>
      <c r="AK108" s="286"/>
      <c r="AL108" s="284"/>
      <c r="AM108" s="286"/>
      <c r="AN108" s="284"/>
      <c r="AO108" s="286"/>
      <c r="AP108" s="284"/>
      <c r="AQ108" s="286"/>
      <c r="AR108" s="284"/>
      <c r="AS108" s="286"/>
      <c r="AT108" s="287" t="s">
        <v>265</v>
      </c>
      <c r="AU108" s="287"/>
      <c r="AV108" s="287"/>
      <c r="AW108" s="287"/>
      <c r="AX108" s="287"/>
      <c r="AY108" s="287"/>
      <c r="AZ108" s="287"/>
      <c r="BA108" s="287"/>
      <c r="BB108" s="287" t="s">
        <v>143</v>
      </c>
      <c r="BC108" s="287"/>
      <c r="BD108" s="287"/>
      <c r="BE108" s="287"/>
      <c r="BF108" s="287"/>
      <c r="BG108" s="287"/>
      <c r="BH108" s="287"/>
      <c r="BI108" s="287"/>
      <c r="BJ108" s="289"/>
      <c r="BK108" s="290"/>
      <c r="BL108" s="290"/>
      <c r="BM108" s="290"/>
      <c r="BN108" s="290"/>
      <c r="BO108" s="290"/>
      <c r="BP108" s="290"/>
      <c r="BQ108" s="290"/>
      <c r="BR108" s="291"/>
      <c r="BS108" s="10"/>
      <c r="BT108" s="11"/>
    </row>
    <row r="109" spans="1:72" s="8" customFormat="1">
      <c r="A109" s="9"/>
      <c r="B109" s="80"/>
      <c r="C109" s="81"/>
      <c r="D109" s="81"/>
      <c r="E109" s="81"/>
      <c r="F109" s="81"/>
      <c r="G109" s="81"/>
      <c r="H109" s="81"/>
      <c r="I109" s="82"/>
      <c r="J109" s="81"/>
      <c r="K109" s="81"/>
      <c r="L109" s="81"/>
      <c r="M109" s="81"/>
      <c r="N109" s="81"/>
      <c r="O109" s="81"/>
      <c r="P109" s="81"/>
      <c r="Q109" s="82"/>
      <c r="R109" s="38">
        <v>13</v>
      </c>
      <c r="S109" s="36" t="s">
        <v>266</v>
      </c>
      <c r="T109" s="37"/>
      <c r="U109" s="37"/>
      <c r="V109" s="37"/>
      <c r="W109" s="37"/>
      <c r="X109" s="37"/>
      <c r="Y109" s="37"/>
      <c r="Z109" s="37"/>
      <c r="AA109" s="37"/>
      <c r="AB109" s="37"/>
      <c r="AC109" s="37"/>
      <c r="AD109" s="37"/>
      <c r="AE109" s="38"/>
      <c r="AF109" s="284"/>
      <c r="AG109" s="286"/>
      <c r="AH109" s="284"/>
      <c r="AI109" s="286"/>
      <c r="AJ109" s="284" t="s">
        <v>130</v>
      </c>
      <c r="AK109" s="286"/>
      <c r="AL109" s="284"/>
      <c r="AM109" s="286"/>
      <c r="AN109" s="284"/>
      <c r="AO109" s="286"/>
      <c r="AP109" s="284"/>
      <c r="AQ109" s="286"/>
      <c r="AR109" s="284"/>
      <c r="AS109" s="286"/>
      <c r="AT109" s="287" t="s">
        <v>142</v>
      </c>
      <c r="AU109" s="287"/>
      <c r="AV109" s="287"/>
      <c r="AW109" s="287"/>
      <c r="AX109" s="287"/>
      <c r="AY109" s="287"/>
      <c r="AZ109" s="287"/>
      <c r="BA109" s="287"/>
      <c r="BB109" s="287" t="s">
        <v>143</v>
      </c>
      <c r="BC109" s="287"/>
      <c r="BD109" s="287"/>
      <c r="BE109" s="287"/>
      <c r="BF109" s="287"/>
      <c r="BG109" s="287"/>
      <c r="BH109" s="287"/>
      <c r="BI109" s="287"/>
      <c r="BJ109" s="288"/>
      <c r="BK109" s="288"/>
      <c r="BL109" s="288"/>
      <c r="BM109" s="288"/>
      <c r="BN109" s="288"/>
      <c r="BO109" s="288"/>
      <c r="BP109" s="288"/>
      <c r="BQ109" s="288"/>
      <c r="BR109" s="288"/>
      <c r="BS109" s="10"/>
    </row>
    <row r="110" spans="1:72" s="8" customFormat="1" ht="14.65" customHeight="1">
      <c r="A110" s="9"/>
      <c r="B110" s="83"/>
      <c r="C110" s="81"/>
      <c r="D110" s="81"/>
      <c r="E110" s="81"/>
      <c r="F110" s="81"/>
      <c r="G110" s="81"/>
      <c r="H110" s="81"/>
      <c r="I110" s="81"/>
      <c r="J110" s="83"/>
      <c r="K110" s="81"/>
      <c r="L110" s="81"/>
      <c r="M110" s="81"/>
      <c r="N110" s="81"/>
      <c r="O110" s="81"/>
      <c r="P110" s="81"/>
      <c r="Q110" s="82"/>
      <c r="R110" s="38">
        <v>14</v>
      </c>
      <c r="S110" s="36" t="s">
        <v>267</v>
      </c>
      <c r="T110" s="37"/>
      <c r="U110" s="37"/>
      <c r="V110" s="37"/>
      <c r="W110" s="37"/>
      <c r="X110" s="37"/>
      <c r="Y110" s="37"/>
      <c r="Z110" s="37"/>
      <c r="AA110" s="37"/>
      <c r="AB110" s="37"/>
      <c r="AC110" s="37"/>
      <c r="AD110" s="37"/>
      <c r="AE110" s="38"/>
      <c r="AF110" s="284"/>
      <c r="AG110" s="286"/>
      <c r="AH110" s="284"/>
      <c r="AI110" s="286"/>
      <c r="AJ110" s="284" t="s">
        <v>130</v>
      </c>
      <c r="AK110" s="286"/>
      <c r="AL110" s="284"/>
      <c r="AM110" s="286"/>
      <c r="AN110" s="284"/>
      <c r="AO110" s="286"/>
      <c r="AP110" s="284"/>
      <c r="AQ110" s="286"/>
      <c r="AR110" s="284"/>
      <c r="AS110" s="286"/>
      <c r="AT110" s="284" t="s">
        <v>131</v>
      </c>
      <c r="AU110" s="285"/>
      <c r="AV110" s="285"/>
      <c r="AW110" s="285"/>
      <c r="AX110" s="285"/>
      <c r="AY110" s="285"/>
      <c r="AZ110" s="285"/>
      <c r="BA110" s="286"/>
      <c r="BB110" s="284" t="s">
        <v>224</v>
      </c>
      <c r="BC110" s="285"/>
      <c r="BD110" s="285"/>
      <c r="BE110" s="285"/>
      <c r="BF110" s="285"/>
      <c r="BG110" s="285"/>
      <c r="BH110" s="285"/>
      <c r="BI110" s="286"/>
      <c r="BJ110" s="288"/>
      <c r="BK110" s="288"/>
      <c r="BL110" s="288"/>
      <c r="BM110" s="288"/>
      <c r="BN110" s="288"/>
      <c r="BO110" s="288"/>
      <c r="BP110" s="288"/>
      <c r="BQ110" s="288"/>
      <c r="BR110" s="288"/>
      <c r="BS110" s="10"/>
      <c r="BT110" s="11"/>
    </row>
    <row r="111" spans="1:72" s="8" customFormat="1" ht="14.65" customHeight="1">
      <c r="A111" s="9"/>
      <c r="B111" s="83"/>
      <c r="C111" s="81"/>
      <c r="D111" s="81"/>
      <c r="E111" s="81"/>
      <c r="F111" s="81"/>
      <c r="G111" s="81"/>
      <c r="H111" s="81"/>
      <c r="I111" s="81"/>
      <c r="J111" s="83"/>
      <c r="K111" s="81"/>
      <c r="L111" s="81"/>
      <c r="M111" s="81"/>
      <c r="N111" s="81"/>
      <c r="O111" s="81"/>
      <c r="P111" s="81"/>
      <c r="Q111" s="82"/>
      <c r="R111" s="38">
        <v>15</v>
      </c>
      <c r="S111" s="36" t="s">
        <v>268</v>
      </c>
      <c r="T111" s="37"/>
      <c r="U111" s="37"/>
      <c r="V111" s="37"/>
      <c r="W111" s="37"/>
      <c r="X111" s="37"/>
      <c r="Y111" s="37"/>
      <c r="Z111" s="37"/>
      <c r="AA111" s="37"/>
      <c r="AB111" s="37"/>
      <c r="AC111" s="37"/>
      <c r="AD111" s="37"/>
      <c r="AE111" s="38"/>
      <c r="AF111" s="284"/>
      <c r="AG111" s="286"/>
      <c r="AH111" s="284"/>
      <c r="AI111" s="286"/>
      <c r="AJ111" s="284" t="s">
        <v>130</v>
      </c>
      <c r="AK111" s="286"/>
      <c r="AL111" s="284"/>
      <c r="AM111" s="286"/>
      <c r="AN111" s="284"/>
      <c r="AO111" s="286"/>
      <c r="AP111" s="284"/>
      <c r="AQ111" s="286"/>
      <c r="AR111" s="284"/>
      <c r="AS111" s="286"/>
      <c r="AT111" s="287" t="s">
        <v>142</v>
      </c>
      <c r="AU111" s="287"/>
      <c r="AV111" s="287"/>
      <c r="AW111" s="287"/>
      <c r="AX111" s="287"/>
      <c r="AY111" s="287"/>
      <c r="AZ111" s="287"/>
      <c r="BA111" s="287"/>
      <c r="BB111" s="287" t="s">
        <v>143</v>
      </c>
      <c r="BC111" s="287"/>
      <c r="BD111" s="287"/>
      <c r="BE111" s="287"/>
      <c r="BF111" s="287"/>
      <c r="BG111" s="287"/>
      <c r="BH111" s="287"/>
      <c r="BI111" s="287"/>
      <c r="BJ111" s="288"/>
      <c r="BK111" s="288"/>
      <c r="BL111" s="288"/>
      <c r="BM111" s="288"/>
      <c r="BN111" s="288"/>
      <c r="BO111" s="288"/>
      <c r="BP111" s="288"/>
      <c r="BQ111" s="288"/>
      <c r="BR111" s="288"/>
      <c r="BS111" s="10"/>
      <c r="BT111" s="11"/>
    </row>
    <row r="112" spans="1:72" s="8" customFormat="1">
      <c r="A112" s="9"/>
      <c r="B112" s="80"/>
      <c r="C112" s="81"/>
      <c r="D112" s="81"/>
      <c r="E112" s="81"/>
      <c r="F112" s="81"/>
      <c r="G112" s="81"/>
      <c r="H112" s="81"/>
      <c r="I112" s="81"/>
      <c r="J112" s="83"/>
      <c r="K112" s="81"/>
      <c r="L112" s="81"/>
      <c r="M112" s="81"/>
      <c r="N112" s="81"/>
      <c r="O112" s="81"/>
      <c r="P112" s="81"/>
      <c r="Q112" s="82"/>
      <c r="R112" s="38">
        <v>16</v>
      </c>
      <c r="S112" s="36" t="s">
        <v>269</v>
      </c>
      <c r="T112" s="37"/>
      <c r="U112" s="37"/>
      <c r="V112" s="37"/>
      <c r="W112" s="37"/>
      <c r="X112" s="37"/>
      <c r="Y112" s="37"/>
      <c r="Z112" s="37"/>
      <c r="AA112" s="37"/>
      <c r="AB112" s="37"/>
      <c r="AC112" s="37"/>
      <c r="AD112" s="37"/>
      <c r="AE112" s="38"/>
      <c r="AF112" s="284"/>
      <c r="AG112" s="286"/>
      <c r="AH112" s="284"/>
      <c r="AI112" s="286"/>
      <c r="AJ112" s="284" t="s">
        <v>130</v>
      </c>
      <c r="AK112" s="286"/>
      <c r="AL112" s="284"/>
      <c r="AM112" s="286"/>
      <c r="AN112" s="284"/>
      <c r="AO112" s="286"/>
      <c r="AP112" s="284"/>
      <c r="AQ112" s="286"/>
      <c r="AR112" s="284"/>
      <c r="AS112" s="286"/>
      <c r="AT112" s="287" t="s">
        <v>142</v>
      </c>
      <c r="AU112" s="287"/>
      <c r="AV112" s="287"/>
      <c r="AW112" s="287"/>
      <c r="AX112" s="287"/>
      <c r="AY112" s="287"/>
      <c r="AZ112" s="287"/>
      <c r="BA112" s="287"/>
      <c r="BB112" s="287" t="s">
        <v>143</v>
      </c>
      <c r="BC112" s="287"/>
      <c r="BD112" s="287"/>
      <c r="BE112" s="287"/>
      <c r="BF112" s="287"/>
      <c r="BG112" s="287"/>
      <c r="BH112" s="287"/>
      <c r="BI112" s="287"/>
      <c r="BJ112" s="288"/>
      <c r="BK112" s="288"/>
      <c r="BL112" s="288"/>
      <c r="BM112" s="288"/>
      <c r="BN112" s="288"/>
      <c r="BO112" s="288"/>
      <c r="BP112" s="288"/>
      <c r="BQ112" s="288"/>
      <c r="BR112" s="288"/>
      <c r="BS112" s="10"/>
    </row>
    <row r="113" spans="1:71" s="8" customFormat="1">
      <c r="A113" s="9"/>
      <c r="B113" s="80"/>
      <c r="C113" s="81"/>
      <c r="D113" s="81"/>
      <c r="E113" s="81"/>
      <c r="F113" s="81"/>
      <c r="G113" s="81"/>
      <c r="H113" s="81"/>
      <c r="I113" s="81"/>
      <c r="J113" s="83"/>
      <c r="K113" s="81"/>
      <c r="L113" s="81"/>
      <c r="M113" s="81"/>
      <c r="N113" s="81"/>
      <c r="O113" s="81"/>
      <c r="P113" s="81"/>
      <c r="Q113" s="82"/>
      <c r="R113" s="38">
        <v>17</v>
      </c>
      <c r="S113" s="36" t="s">
        <v>270</v>
      </c>
      <c r="T113" s="37"/>
      <c r="U113" s="37"/>
      <c r="V113" s="37"/>
      <c r="W113" s="37"/>
      <c r="X113" s="37"/>
      <c r="Y113" s="37"/>
      <c r="Z113" s="37"/>
      <c r="AA113" s="37"/>
      <c r="AB113" s="37"/>
      <c r="AC113" s="37"/>
      <c r="AD113" s="37"/>
      <c r="AE113" s="38"/>
      <c r="AF113" s="284"/>
      <c r="AG113" s="286"/>
      <c r="AH113" s="284"/>
      <c r="AI113" s="286"/>
      <c r="AJ113" s="284" t="s">
        <v>130</v>
      </c>
      <c r="AK113" s="286"/>
      <c r="AL113" s="284"/>
      <c r="AM113" s="286"/>
      <c r="AN113" s="284"/>
      <c r="AO113" s="286"/>
      <c r="AP113" s="284"/>
      <c r="AQ113" s="286"/>
      <c r="AR113" s="284"/>
      <c r="AS113" s="286"/>
      <c r="AT113" s="287" t="s">
        <v>142</v>
      </c>
      <c r="AU113" s="287"/>
      <c r="AV113" s="287"/>
      <c r="AW113" s="287"/>
      <c r="AX113" s="287"/>
      <c r="AY113" s="287"/>
      <c r="AZ113" s="287"/>
      <c r="BA113" s="287"/>
      <c r="BB113" s="287" t="s">
        <v>143</v>
      </c>
      <c r="BC113" s="287"/>
      <c r="BD113" s="287"/>
      <c r="BE113" s="287"/>
      <c r="BF113" s="287"/>
      <c r="BG113" s="287"/>
      <c r="BH113" s="287"/>
      <c r="BI113" s="287"/>
      <c r="BJ113" s="288"/>
      <c r="BK113" s="288"/>
      <c r="BL113" s="288"/>
      <c r="BM113" s="288"/>
      <c r="BN113" s="288"/>
      <c r="BO113" s="288"/>
      <c r="BP113" s="288"/>
      <c r="BQ113" s="288"/>
      <c r="BR113" s="288"/>
      <c r="BS113" s="10"/>
    </row>
    <row r="114" spans="1:71" s="8" customFormat="1">
      <c r="A114" s="9"/>
      <c r="B114" s="80"/>
      <c r="C114" s="81"/>
      <c r="D114" s="81"/>
      <c r="E114" s="81"/>
      <c r="F114" s="81"/>
      <c r="G114" s="81"/>
      <c r="H114" s="81"/>
      <c r="I114" s="81"/>
      <c r="J114" s="83"/>
      <c r="K114" s="81"/>
      <c r="L114" s="81"/>
      <c r="M114" s="81"/>
      <c r="N114" s="81"/>
      <c r="O114" s="81"/>
      <c r="P114" s="81"/>
      <c r="Q114" s="82"/>
      <c r="R114" s="38">
        <v>18</v>
      </c>
      <c r="S114" s="36" t="s">
        <v>271</v>
      </c>
      <c r="T114" s="37"/>
      <c r="U114" s="37"/>
      <c r="V114" s="37"/>
      <c r="W114" s="37"/>
      <c r="X114" s="37"/>
      <c r="Y114" s="37"/>
      <c r="Z114" s="37"/>
      <c r="AA114" s="37"/>
      <c r="AB114" s="37"/>
      <c r="AC114" s="37"/>
      <c r="AD114" s="37"/>
      <c r="AE114" s="38"/>
      <c r="AF114" s="284"/>
      <c r="AG114" s="286"/>
      <c r="AH114" s="284"/>
      <c r="AI114" s="286"/>
      <c r="AJ114" s="284" t="s">
        <v>130</v>
      </c>
      <c r="AK114" s="286"/>
      <c r="AL114" s="284"/>
      <c r="AM114" s="286"/>
      <c r="AN114" s="284"/>
      <c r="AO114" s="286"/>
      <c r="AP114" s="284"/>
      <c r="AQ114" s="286"/>
      <c r="AR114" s="284"/>
      <c r="AS114" s="286"/>
      <c r="AT114" s="287" t="s">
        <v>142</v>
      </c>
      <c r="AU114" s="287"/>
      <c r="AV114" s="287"/>
      <c r="AW114" s="287"/>
      <c r="AX114" s="287"/>
      <c r="AY114" s="287"/>
      <c r="AZ114" s="287"/>
      <c r="BA114" s="287"/>
      <c r="BB114" s="287" t="s">
        <v>143</v>
      </c>
      <c r="BC114" s="287"/>
      <c r="BD114" s="287"/>
      <c r="BE114" s="287"/>
      <c r="BF114" s="287"/>
      <c r="BG114" s="287"/>
      <c r="BH114" s="287"/>
      <c r="BI114" s="287"/>
      <c r="BJ114" s="288"/>
      <c r="BK114" s="288"/>
      <c r="BL114" s="288"/>
      <c r="BM114" s="288"/>
      <c r="BN114" s="288"/>
      <c r="BO114" s="288"/>
      <c r="BP114" s="288"/>
      <c r="BQ114" s="288"/>
      <c r="BR114" s="288"/>
      <c r="BS114" s="10"/>
    </row>
    <row r="115" spans="1:71" s="8" customFormat="1">
      <c r="A115" s="9"/>
      <c r="B115" s="80"/>
      <c r="C115" s="81"/>
      <c r="D115" s="81"/>
      <c r="E115" s="81"/>
      <c r="F115" s="81"/>
      <c r="G115" s="81"/>
      <c r="H115" s="81"/>
      <c r="I115" s="81"/>
      <c r="J115" s="83"/>
      <c r="K115" s="81"/>
      <c r="L115" s="81"/>
      <c r="M115" s="81"/>
      <c r="N115" s="81"/>
      <c r="O115" s="81"/>
      <c r="P115" s="81"/>
      <c r="Q115" s="82"/>
      <c r="R115" s="38">
        <v>19</v>
      </c>
      <c r="S115" s="36" t="s">
        <v>272</v>
      </c>
      <c r="T115" s="37"/>
      <c r="U115" s="37"/>
      <c r="V115" s="37"/>
      <c r="W115" s="37"/>
      <c r="X115" s="37"/>
      <c r="Y115" s="37"/>
      <c r="Z115" s="37"/>
      <c r="AA115" s="37"/>
      <c r="AB115" s="37"/>
      <c r="AC115" s="37"/>
      <c r="AD115" s="37"/>
      <c r="AE115" s="38"/>
      <c r="AF115" s="284"/>
      <c r="AG115" s="286"/>
      <c r="AH115" s="284"/>
      <c r="AI115" s="286"/>
      <c r="AJ115" s="284" t="s">
        <v>130</v>
      </c>
      <c r="AK115" s="286"/>
      <c r="AL115" s="284"/>
      <c r="AM115" s="286"/>
      <c r="AN115" s="284"/>
      <c r="AO115" s="286"/>
      <c r="AP115" s="284"/>
      <c r="AQ115" s="286"/>
      <c r="AR115" s="284"/>
      <c r="AS115" s="286"/>
      <c r="AT115" s="287" t="s">
        <v>142</v>
      </c>
      <c r="AU115" s="287"/>
      <c r="AV115" s="287"/>
      <c r="AW115" s="287"/>
      <c r="AX115" s="287"/>
      <c r="AY115" s="287"/>
      <c r="AZ115" s="287"/>
      <c r="BA115" s="287"/>
      <c r="BB115" s="287" t="s">
        <v>143</v>
      </c>
      <c r="BC115" s="287"/>
      <c r="BD115" s="287"/>
      <c r="BE115" s="287"/>
      <c r="BF115" s="287"/>
      <c r="BG115" s="287"/>
      <c r="BH115" s="287"/>
      <c r="BI115" s="287"/>
      <c r="BJ115" s="288"/>
      <c r="BK115" s="288"/>
      <c r="BL115" s="288"/>
      <c r="BM115" s="288"/>
      <c r="BN115" s="288"/>
      <c r="BO115" s="288"/>
      <c r="BP115" s="288"/>
      <c r="BQ115" s="288"/>
      <c r="BR115" s="288"/>
      <c r="BS115" s="10"/>
    </row>
    <row r="116" spans="1:71" s="8" customFormat="1">
      <c r="A116" s="9"/>
      <c r="B116" s="80"/>
      <c r="C116" s="81"/>
      <c r="D116" s="81"/>
      <c r="E116" s="81"/>
      <c r="F116" s="81"/>
      <c r="G116" s="81"/>
      <c r="H116" s="81"/>
      <c r="I116" s="81"/>
      <c r="J116" s="83"/>
      <c r="K116" s="81"/>
      <c r="L116" s="81"/>
      <c r="M116" s="81"/>
      <c r="N116" s="81"/>
      <c r="O116" s="81"/>
      <c r="P116" s="81"/>
      <c r="Q116" s="82"/>
      <c r="R116" s="38">
        <v>20</v>
      </c>
      <c r="S116" s="36" t="s">
        <v>273</v>
      </c>
      <c r="T116" s="37"/>
      <c r="U116" s="37"/>
      <c r="V116" s="37"/>
      <c r="W116" s="37"/>
      <c r="X116" s="37"/>
      <c r="Y116" s="37"/>
      <c r="Z116" s="37"/>
      <c r="AA116" s="37"/>
      <c r="AB116" s="37"/>
      <c r="AC116" s="37"/>
      <c r="AD116" s="37"/>
      <c r="AE116" s="38"/>
      <c r="AF116" s="284"/>
      <c r="AG116" s="286"/>
      <c r="AH116" s="284"/>
      <c r="AI116" s="286"/>
      <c r="AJ116" s="284" t="s">
        <v>130</v>
      </c>
      <c r="AK116" s="286"/>
      <c r="AL116" s="284"/>
      <c r="AM116" s="286"/>
      <c r="AN116" s="284"/>
      <c r="AO116" s="286"/>
      <c r="AP116" s="284"/>
      <c r="AQ116" s="286"/>
      <c r="AR116" s="284"/>
      <c r="AS116" s="286"/>
      <c r="AT116" s="287" t="s">
        <v>142</v>
      </c>
      <c r="AU116" s="287"/>
      <c r="AV116" s="287"/>
      <c r="AW116" s="287"/>
      <c r="AX116" s="287"/>
      <c r="AY116" s="287"/>
      <c r="AZ116" s="287"/>
      <c r="BA116" s="287"/>
      <c r="BB116" s="287" t="s">
        <v>143</v>
      </c>
      <c r="BC116" s="287"/>
      <c r="BD116" s="287"/>
      <c r="BE116" s="287"/>
      <c r="BF116" s="287"/>
      <c r="BG116" s="287"/>
      <c r="BH116" s="287"/>
      <c r="BI116" s="287"/>
      <c r="BJ116" s="288"/>
      <c r="BK116" s="288"/>
      <c r="BL116" s="288"/>
      <c r="BM116" s="288"/>
      <c r="BN116" s="288"/>
      <c r="BO116" s="288"/>
      <c r="BP116" s="288"/>
      <c r="BQ116" s="288"/>
      <c r="BR116" s="288"/>
      <c r="BS116" s="10"/>
    </row>
    <row r="117" spans="1:71" s="8" customFormat="1">
      <c r="A117" s="9"/>
      <c r="B117" s="80"/>
      <c r="C117" s="81"/>
      <c r="D117" s="81"/>
      <c r="E117" s="81"/>
      <c r="F117" s="81"/>
      <c r="G117" s="81"/>
      <c r="H117" s="81"/>
      <c r="I117" s="81"/>
      <c r="J117" s="83"/>
      <c r="K117" s="81"/>
      <c r="L117" s="81"/>
      <c r="M117" s="81"/>
      <c r="N117" s="81"/>
      <c r="O117" s="81"/>
      <c r="P117" s="81"/>
      <c r="Q117" s="82"/>
      <c r="R117" s="38">
        <v>21</v>
      </c>
      <c r="S117" s="36" t="s">
        <v>274</v>
      </c>
      <c r="T117" s="37"/>
      <c r="U117" s="37"/>
      <c r="V117" s="37"/>
      <c r="W117" s="37"/>
      <c r="X117" s="37"/>
      <c r="Y117" s="37"/>
      <c r="Z117" s="37"/>
      <c r="AA117" s="37"/>
      <c r="AB117" s="37"/>
      <c r="AC117" s="37"/>
      <c r="AD117" s="37"/>
      <c r="AE117" s="38"/>
      <c r="AF117" s="284"/>
      <c r="AG117" s="286"/>
      <c r="AH117" s="284"/>
      <c r="AI117" s="286"/>
      <c r="AJ117" s="284" t="s">
        <v>130</v>
      </c>
      <c r="AK117" s="286"/>
      <c r="AL117" s="284"/>
      <c r="AM117" s="286"/>
      <c r="AN117" s="284"/>
      <c r="AO117" s="286"/>
      <c r="AP117" s="284"/>
      <c r="AQ117" s="286"/>
      <c r="AR117" s="284"/>
      <c r="AS117" s="286"/>
      <c r="AT117" s="287" t="s">
        <v>142</v>
      </c>
      <c r="AU117" s="287"/>
      <c r="AV117" s="287"/>
      <c r="AW117" s="287"/>
      <c r="AX117" s="287"/>
      <c r="AY117" s="287"/>
      <c r="AZ117" s="287"/>
      <c r="BA117" s="287"/>
      <c r="BB117" s="287" t="s">
        <v>143</v>
      </c>
      <c r="BC117" s="287"/>
      <c r="BD117" s="287"/>
      <c r="BE117" s="287"/>
      <c r="BF117" s="287"/>
      <c r="BG117" s="287"/>
      <c r="BH117" s="287"/>
      <c r="BI117" s="287"/>
      <c r="BJ117" s="288"/>
      <c r="BK117" s="288"/>
      <c r="BL117" s="288"/>
      <c r="BM117" s="288"/>
      <c r="BN117" s="288"/>
      <c r="BO117" s="288"/>
      <c r="BP117" s="288"/>
      <c r="BQ117" s="288"/>
      <c r="BR117" s="288"/>
      <c r="BS117" s="10"/>
    </row>
    <row r="118" spans="1:71" s="8" customFormat="1">
      <c r="A118" s="9"/>
      <c r="B118" s="80"/>
      <c r="C118" s="81"/>
      <c r="D118" s="81"/>
      <c r="E118" s="81"/>
      <c r="F118" s="81"/>
      <c r="G118" s="81"/>
      <c r="H118" s="81"/>
      <c r="I118" s="81"/>
      <c r="J118" s="83"/>
      <c r="K118" s="81"/>
      <c r="L118" s="81"/>
      <c r="M118" s="81"/>
      <c r="N118" s="81"/>
      <c r="O118" s="81"/>
      <c r="P118" s="81"/>
      <c r="Q118" s="82"/>
      <c r="R118" s="38">
        <v>22</v>
      </c>
      <c r="S118" s="36" t="s">
        <v>275</v>
      </c>
      <c r="T118" s="37"/>
      <c r="U118" s="37"/>
      <c r="V118" s="37"/>
      <c r="W118" s="37"/>
      <c r="X118" s="37"/>
      <c r="Y118" s="37"/>
      <c r="Z118" s="37"/>
      <c r="AA118" s="37"/>
      <c r="AB118" s="37"/>
      <c r="AC118" s="37"/>
      <c r="AD118" s="37"/>
      <c r="AE118" s="38"/>
      <c r="AF118" s="284"/>
      <c r="AG118" s="286"/>
      <c r="AH118" s="284"/>
      <c r="AI118" s="286"/>
      <c r="AJ118" s="284" t="s">
        <v>130</v>
      </c>
      <c r="AK118" s="286"/>
      <c r="AL118" s="284"/>
      <c r="AM118" s="286"/>
      <c r="AN118" s="284"/>
      <c r="AO118" s="286"/>
      <c r="AP118" s="284"/>
      <c r="AQ118" s="286"/>
      <c r="AR118" s="284"/>
      <c r="AS118" s="286"/>
      <c r="AT118" s="287" t="s">
        <v>142</v>
      </c>
      <c r="AU118" s="287"/>
      <c r="AV118" s="287"/>
      <c r="AW118" s="287"/>
      <c r="AX118" s="287"/>
      <c r="AY118" s="287"/>
      <c r="AZ118" s="287"/>
      <c r="BA118" s="287"/>
      <c r="BB118" s="287" t="s">
        <v>143</v>
      </c>
      <c r="BC118" s="287"/>
      <c r="BD118" s="287"/>
      <c r="BE118" s="287"/>
      <c r="BF118" s="287"/>
      <c r="BG118" s="287"/>
      <c r="BH118" s="287"/>
      <c r="BI118" s="287"/>
      <c r="BJ118" s="288"/>
      <c r="BK118" s="288"/>
      <c r="BL118" s="288"/>
      <c r="BM118" s="288"/>
      <c r="BN118" s="288"/>
      <c r="BO118" s="288"/>
      <c r="BP118" s="288"/>
      <c r="BQ118" s="288"/>
      <c r="BR118" s="288"/>
      <c r="BS118" s="10"/>
    </row>
    <row r="119" spans="1:71" s="8" customFormat="1">
      <c r="A119" s="9"/>
      <c r="B119" s="80"/>
      <c r="C119" s="81"/>
      <c r="D119" s="81"/>
      <c r="E119" s="81"/>
      <c r="F119" s="81"/>
      <c r="G119" s="81"/>
      <c r="H119" s="81"/>
      <c r="I119" s="81"/>
      <c r="J119" s="83"/>
      <c r="K119" s="81"/>
      <c r="L119" s="81"/>
      <c r="M119" s="81"/>
      <c r="N119" s="81"/>
      <c r="O119" s="81"/>
      <c r="P119" s="81"/>
      <c r="Q119" s="82"/>
      <c r="R119" s="38">
        <v>23</v>
      </c>
      <c r="S119" s="36" t="s">
        <v>276</v>
      </c>
      <c r="T119" s="37"/>
      <c r="U119" s="37"/>
      <c r="V119" s="37"/>
      <c r="W119" s="37"/>
      <c r="X119" s="37"/>
      <c r="Y119" s="37"/>
      <c r="Z119" s="37"/>
      <c r="AA119" s="37"/>
      <c r="AB119" s="37"/>
      <c r="AC119" s="37"/>
      <c r="AD119" s="37"/>
      <c r="AE119" s="38"/>
      <c r="AF119" s="284"/>
      <c r="AG119" s="286"/>
      <c r="AH119" s="284"/>
      <c r="AI119" s="286"/>
      <c r="AJ119" s="284" t="s">
        <v>130</v>
      </c>
      <c r="AK119" s="286"/>
      <c r="AL119" s="284"/>
      <c r="AM119" s="286"/>
      <c r="AN119" s="284"/>
      <c r="AO119" s="286"/>
      <c r="AP119" s="284"/>
      <c r="AQ119" s="286"/>
      <c r="AR119" s="284"/>
      <c r="AS119" s="286"/>
      <c r="AT119" s="287" t="s">
        <v>142</v>
      </c>
      <c r="AU119" s="287"/>
      <c r="AV119" s="287"/>
      <c r="AW119" s="287"/>
      <c r="AX119" s="287"/>
      <c r="AY119" s="287"/>
      <c r="AZ119" s="287"/>
      <c r="BA119" s="287"/>
      <c r="BB119" s="287" t="s">
        <v>143</v>
      </c>
      <c r="BC119" s="287"/>
      <c r="BD119" s="287"/>
      <c r="BE119" s="287"/>
      <c r="BF119" s="287"/>
      <c r="BG119" s="287"/>
      <c r="BH119" s="287"/>
      <c r="BI119" s="287"/>
      <c r="BJ119" s="288"/>
      <c r="BK119" s="288"/>
      <c r="BL119" s="288"/>
      <c r="BM119" s="288"/>
      <c r="BN119" s="288"/>
      <c r="BO119" s="288"/>
      <c r="BP119" s="288"/>
      <c r="BQ119" s="288"/>
      <c r="BR119" s="288"/>
      <c r="BS119" s="10"/>
    </row>
    <row r="120" spans="1:71" s="8" customFormat="1">
      <c r="A120" s="9"/>
      <c r="B120" s="80"/>
      <c r="C120" s="81"/>
      <c r="D120" s="81"/>
      <c r="E120" s="81"/>
      <c r="F120" s="81"/>
      <c r="G120" s="81"/>
      <c r="H120" s="81"/>
      <c r="I120" s="81"/>
      <c r="J120" s="83"/>
      <c r="K120" s="81"/>
      <c r="L120" s="81"/>
      <c r="M120" s="81"/>
      <c r="N120" s="81"/>
      <c r="O120" s="81"/>
      <c r="P120" s="81"/>
      <c r="Q120" s="82"/>
      <c r="R120" s="38">
        <v>24</v>
      </c>
      <c r="S120" s="36" t="s">
        <v>277</v>
      </c>
      <c r="T120" s="37"/>
      <c r="U120" s="37"/>
      <c r="V120" s="37"/>
      <c r="W120" s="37"/>
      <c r="X120" s="37"/>
      <c r="Y120" s="37"/>
      <c r="Z120" s="37"/>
      <c r="AA120" s="37"/>
      <c r="AB120" s="37"/>
      <c r="AC120" s="37"/>
      <c r="AD120" s="37"/>
      <c r="AE120" s="38"/>
      <c r="AF120" s="284"/>
      <c r="AG120" s="286"/>
      <c r="AH120" s="284"/>
      <c r="AI120" s="286"/>
      <c r="AJ120" s="284" t="s">
        <v>130</v>
      </c>
      <c r="AK120" s="286"/>
      <c r="AL120" s="284"/>
      <c r="AM120" s="286"/>
      <c r="AN120" s="284"/>
      <c r="AO120" s="286"/>
      <c r="AP120" s="284"/>
      <c r="AQ120" s="286"/>
      <c r="AR120" s="284"/>
      <c r="AS120" s="286"/>
      <c r="AT120" s="287" t="s">
        <v>142</v>
      </c>
      <c r="AU120" s="287"/>
      <c r="AV120" s="287"/>
      <c r="AW120" s="287"/>
      <c r="AX120" s="287"/>
      <c r="AY120" s="287"/>
      <c r="AZ120" s="287"/>
      <c r="BA120" s="287"/>
      <c r="BB120" s="287" t="s">
        <v>143</v>
      </c>
      <c r="BC120" s="287"/>
      <c r="BD120" s="287"/>
      <c r="BE120" s="287"/>
      <c r="BF120" s="287"/>
      <c r="BG120" s="287"/>
      <c r="BH120" s="287"/>
      <c r="BI120" s="287"/>
      <c r="BJ120" s="288"/>
      <c r="BK120" s="288"/>
      <c r="BL120" s="288"/>
      <c r="BM120" s="288"/>
      <c r="BN120" s="288"/>
      <c r="BO120" s="288"/>
      <c r="BP120" s="288"/>
      <c r="BQ120" s="288"/>
      <c r="BR120" s="288"/>
      <c r="BS120" s="10"/>
    </row>
    <row r="121" spans="1:71" s="8" customFormat="1">
      <c r="A121" s="9"/>
      <c r="B121" s="80"/>
      <c r="C121" s="81"/>
      <c r="D121" s="81"/>
      <c r="E121" s="81"/>
      <c r="F121" s="81"/>
      <c r="G121" s="81"/>
      <c r="H121" s="81"/>
      <c r="I121" s="81"/>
      <c r="J121" s="83"/>
      <c r="K121" s="81"/>
      <c r="L121" s="81"/>
      <c r="M121" s="81"/>
      <c r="N121" s="81"/>
      <c r="O121" s="81"/>
      <c r="P121" s="81"/>
      <c r="Q121" s="82"/>
      <c r="R121" s="38">
        <v>25</v>
      </c>
      <c r="S121" s="36" t="s">
        <v>278</v>
      </c>
      <c r="T121" s="37"/>
      <c r="U121" s="37"/>
      <c r="V121" s="37"/>
      <c r="W121" s="37"/>
      <c r="X121" s="37"/>
      <c r="Y121" s="37"/>
      <c r="Z121" s="37"/>
      <c r="AA121" s="37"/>
      <c r="AB121" s="37"/>
      <c r="AC121" s="37"/>
      <c r="AD121" s="37"/>
      <c r="AE121" s="38"/>
      <c r="AF121" s="284"/>
      <c r="AG121" s="286"/>
      <c r="AH121" s="284"/>
      <c r="AI121" s="286"/>
      <c r="AJ121" s="284" t="s">
        <v>130</v>
      </c>
      <c r="AK121" s="286"/>
      <c r="AL121" s="284"/>
      <c r="AM121" s="286"/>
      <c r="AN121" s="284"/>
      <c r="AO121" s="286"/>
      <c r="AP121" s="284"/>
      <c r="AQ121" s="286"/>
      <c r="AR121" s="284"/>
      <c r="AS121" s="286"/>
      <c r="AT121" s="284" t="s">
        <v>279</v>
      </c>
      <c r="AU121" s="285"/>
      <c r="AV121" s="285"/>
      <c r="AW121" s="285"/>
      <c r="AX121" s="285"/>
      <c r="AY121" s="285"/>
      <c r="AZ121" s="285"/>
      <c r="BA121" s="286"/>
      <c r="BB121" s="284" t="s">
        <v>224</v>
      </c>
      <c r="BC121" s="285"/>
      <c r="BD121" s="285"/>
      <c r="BE121" s="285"/>
      <c r="BF121" s="285"/>
      <c r="BG121" s="285"/>
      <c r="BH121" s="285"/>
      <c r="BI121" s="286"/>
      <c r="BJ121" s="288"/>
      <c r="BK121" s="288"/>
      <c r="BL121" s="288"/>
      <c r="BM121" s="288"/>
      <c r="BN121" s="288"/>
      <c r="BO121" s="288"/>
      <c r="BP121" s="288"/>
      <c r="BQ121" s="288"/>
      <c r="BR121" s="288"/>
      <c r="BS121" s="10"/>
    </row>
    <row r="122" spans="1:71" s="8" customFormat="1">
      <c r="A122" s="9"/>
      <c r="B122" s="80"/>
      <c r="C122" s="81"/>
      <c r="D122" s="81"/>
      <c r="E122" s="81"/>
      <c r="F122" s="81"/>
      <c r="G122" s="81"/>
      <c r="H122" s="81"/>
      <c r="I122" s="81"/>
      <c r="J122" s="83"/>
      <c r="K122" s="81"/>
      <c r="L122" s="81"/>
      <c r="M122" s="81"/>
      <c r="N122" s="81"/>
      <c r="O122" s="81"/>
      <c r="P122" s="81"/>
      <c r="Q122" s="82"/>
      <c r="R122" s="38">
        <v>26</v>
      </c>
      <c r="S122" s="36" t="s">
        <v>280</v>
      </c>
      <c r="T122" s="37"/>
      <c r="U122" s="37"/>
      <c r="V122" s="37"/>
      <c r="W122" s="37"/>
      <c r="X122" s="37"/>
      <c r="Y122" s="37"/>
      <c r="Z122" s="37"/>
      <c r="AA122" s="37"/>
      <c r="AB122" s="37"/>
      <c r="AC122" s="37"/>
      <c r="AD122" s="37"/>
      <c r="AE122" s="38"/>
      <c r="AF122" s="284"/>
      <c r="AG122" s="286"/>
      <c r="AH122" s="284"/>
      <c r="AI122" s="286"/>
      <c r="AJ122" s="284" t="s">
        <v>130</v>
      </c>
      <c r="AK122" s="286"/>
      <c r="AL122" s="284"/>
      <c r="AM122" s="286"/>
      <c r="AN122" s="284"/>
      <c r="AO122" s="286"/>
      <c r="AP122" s="284"/>
      <c r="AQ122" s="286"/>
      <c r="AR122" s="284"/>
      <c r="AS122" s="286"/>
      <c r="AT122" s="287" t="s">
        <v>142</v>
      </c>
      <c r="AU122" s="287"/>
      <c r="AV122" s="287"/>
      <c r="AW122" s="287"/>
      <c r="AX122" s="287"/>
      <c r="AY122" s="287"/>
      <c r="AZ122" s="287"/>
      <c r="BA122" s="287"/>
      <c r="BB122" s="287" t="s">
        <v>143</v>
      </c>
      <c r="BC122" s="287"/>
      <c r="BD122" s="287"/>
      <c r="BE122" s="287"/>
      <c r="BF122" s="287"/>
      <c r="BG122" s="287"/>
      <c r="BH122" s="287"/>
      <c r="BI122" s="287"/>
      <c r="BJ122" s="288"/>
      <c r="BK122" s="288"/>
      <c r="BL122" s="288"/>
      <c r="BM122" s="288"/>
      <c r="BN122" s="288"/>
      <c r="BO122" s="288"/>
      <c r="BP122" s="288"/>
      <c r="BQ122" s="288"/>
      <c r="BR122" s="288"/>
      <c r="BS122" s="10"/>
    </row>
    <row r="123" spans="1:71" s="8" customFormat="1">
      <c r="A123" s="9"/>
      <c r="B123" s="80"/>
      <c r="C123" s="81"/>
      <c r="D123" s="81"/>
      <c r="E123" s="81"/>
      <c r="F123" s="81"/>
      <c r="G123" s="81"/>
      <c r="H123" s="81"/>
      <c r="I123" s="81"/>
      <c r="J123" s="83"/>
      <c r="K123" s="81"/>
      <c r="L123" s="81"/>
      <c r="M123" s="81"/>
      <c r="N123" s="81"/>
      <c r="O123" s="81"/>
      <c r="P123" s="81"/>
      <c r="Q123" s="82"/>
      <c r="R123" s="38">
        <v>27</v>
      </c>
      <c r="S123" s="36" t="s">
        <v>281</v>
      </c>
      <c r="T123" s="37"/>
      <c r="U123" s="37"/>
      <c r="V123" s="37"/>
      <c r="W123" s="37"/>
      <c r="X123" s="37"/>
      <c r="Y123" s="37"/>
      <c r="Z123" s="37"/>
      <c r="AA123" s="37"/>
      <c r="AB123" s="37"/>
      <c r="AC123" s="37"/>
      <c r="AD123" s="37"/>
      <c r="AE123" s="38"/>
      <c r="AF123" s="284"/>
      <c r="AG123" s="286"/>
      <c r="AH123" s="284"/>
      <c r="AI123" s="286"/>
      <c r="AJ123" s="284" t="s">
        <v>130</v>
      </c>
      <c r="AK123" s="286"/>
      <c r="AL123" s="284"/>
      <c r="AM123" s="286"/>
      <c r="AN123" s="284"/>
      <c r="AO123" s="286"/>
      <c r="AP123" s="284"/>
      <c r="AQ123" s="286"/>
      <c r="AR123" s="284"/>
      <c r="AS123" s="286"/>
      <c r="AT123" s="284" t="s">
        <v>131</v>
      </c>
      <c r="AU123" s="285"/>
      <c r="AV123" s="285"/>
      <c r="AW123" s="285"/>
      <c r="AX123" s="285"/>
      <c r="AY123" s="285"/>
      <c r="AZ123" s="285"/>
      <c r="BA123" s="286"/>
      <c r="BB123" s="284" t="s">
        <v>224</v>
      </c>
      <c r="BC123" s="285"/>
      <c r="BD123" s="285"/>
      <c r="BE123" s="285"/>
      <c r="BF123" s="285"/>
      <c r="BG123" s="285"/>
      <c r="BH123" s="285"/>
      <c r="BI123" s="286"/>
      <c r="BJ123" s="288"/>
      <c r="BK123" s="288"/>
      <c r="BL123" s="288"/>
      <c r="BM123" s="288"/>
      <c r="BN123" s="288"/>
      <c r="BO123" s="288"/>
      <c r="BP123" s="288"/>
      <c r="BQ123" s="288"/>
      <c r="BR123" s="288"/>
      <c r="BS123" s="10"/>
    </row>
    <row r="124" spans="1:71" s="8" customFormat="1">
      <c r="A124" s="9"/>
      <c r="B124" s="80"/>
      <c r="C124" s="81"/>
      <c r="D124" s="81"/>
      <c r="E124" s="81"/>
      <c r="F124" s="81"/>
      <c r="G124" s="81"/>
      <c r="H124" s="81"/>
      <c r="I124" s="81"/>
      <c r="J124" s="83"/>
      <c r="K124" s="81"/>
      <c r="L124" s="81"/>
      <c r="M124" s="81"/>
      <c r="N124" s="81"/>
      <c r="O124" s="81"/>
      <c r="P124" s="81"/>
      <c r="Q124" s="82"/>
      <c r="R124" s="38">
        <v>28</v>
      </c>
      <c r="S124" s="36" t="s">
        <v>282</v>
      </c>
      <c r="T124" s="37"/>
      <c r="U124" s="37"/>
      <c r="V124" s="37"/>
      <c r="W124" s="37"/>
      <c r="X124" s="37"/>
      <c r="Y124" s="37"/>
      <c r="Z124" s="37"/>
      <c r="AA124" s="37"/>
      <c r="AB124" s="37"/>
      <c r="AC124" s="37"/>
      <c r="AD124" s="37"/>
      <c r="AE124" s="38"/>
      <c r="AF124" s="284"/>
      <c r="AG124" s="286"/>
      <c r="AH124" s="284"/>
      <c r="AI124" s="286"/>
      <c r="AJ124" s="284" t="s">
        <v>130</v>
      </c>
      <c r="AK124" s="286"/>
      <c r="AL124" s="284"/>
      <c r="AM124" s="286"/>
      <c r="AN124" s="284"/>
      <c r="AO124" s="286"/>
      <c r="AP124" s="284"/>
      <c r="AQ124" s="286"/>
      <c r="AR124" s="284"/>
      <c r="AS124" s="286"/>
      <c r="AT124" s="287" t="s">
        <v>142</v>
      </c>
      <c r="AU124" s="287"/>
      <c r="AV124" s="287"/>
      <c r="AW124" s="287"/>
      <c r="AX124" s="287"/>
      <c r="AY124" s="287"/>
      <c r="AZ124" s="287"/>
      <c r="BA124" s="287"/>
      <c r="BB124" s="287" t="s">
        <v>143</v>
      </c>
      <c r="BC124" s="287"/>
      <c r="BD124" s="287"/>
      <c r="BE124" s="287"/>
      <c r="BF124" s="287"/>
      <c r="BG124" s="287"/>
      <c r="BH124" s="287"/>
      <c r="BI124" s="287"/>
      <c r="BJ124" s="288"/>
      <c r="BK124" s="288"/>
      <c r="BL124" s="288"/>
      <c r="BM124" s="288"/>
      <c r="BN124" s="288"/>
      <c r="BO124" s="288"/>
      <c r="BP124" s="288"/>
      <c r="BQ124" s="288"/>
      <c r="BR124" s="288"/>
      <c r="BS124" s="10"/>
    </row>
    <row r="125" spans="1:71" s="8" customFormat="1">
      <c r="A125" s="9"/>
      <c r="B125" s="80"/>
      <c r="C125" s="81"/>
      <c r="D125" s="81"/>
      <c r="E125" s="81"/>
      <c r="F125" s="81"/>
      <c r="G125" s="81"/>
      <c r="H125" s="81"/>
      <c r="I125" s="81"/>
      <c r="J125" s="83"/>
      <c r="K125" s="81"/>
      <c r="L125" s="81"/>
      <c r="M125" s="81"/>
      <c r="N125" s="81"/>
      <c r="O125" s="81"/>
      <c r="P125" s="81"/>
      <c r="Q125" s="82"/>
      <c r="R125" s="38">
        <v>29</v>
      </c>
      <c r="S125" s="36" t="s">
        <v>283</v>
      </c>
      <c r="T125" s="37"/>
      <c r="U125" s="37"/>
      <c r="V125" s="37"/>
      <c r="W125" s="37"/>
      <c r="X125" s="37"/>
      <c r="Y125" s="37"/>
      <c r="Z125" s="37"/>
      <c r="AA125" s="37"/>
      <c r="AB125" s="37"/>
      <c r="AC125" s="37"/>
      <c r="AD125" s="37"/>
      <c r="AE125" s="38"/>
      <c r="AF125" s="284"/>
      <c r="AG125" s="286"/>
      <c r="AH125" s="284"/>
      <c r="AI125" s="286"/>
      <c r="AJ125" s="284" t="s">
        <v>130</v>
      </c>
      <c r="AK125" s="286"/>
      <c r="AL125" s="284"/>
      <c r="AM125" s="286"/>
      <c r="AN125" s="284"/>
      <c r="AO125" s="286"/>
      <c r="AP125" s="284"/>
      <c r="AQ125" s="286"/>
      <c r="AR125" s="284"/>
      <c r="AS125" s="286"/>
      <c r="AT125" s="284" t="s">
        <v>284</v>
      </c>
      <c r="AU125" s="285"/>
      <c r="AV125" s="285"/>
      <c r="AW125" s="285"/>
      <c r="AX125" s="285"/>
      <c r="AY125" s="285"/>
      <c r="AZ125" s="285"/>
      <c r="BA125" s="286"/>
      <c r="BB125" s="284" t="s">
        <v>224</v>
      </c>
      <c r="BC125" s="285"/>
      <c r="BD125" s="285"/>
      <c r="BE125" s="285"/>
      <c r="BF125" s="285"/>
      <c r="BG125" s="285"/>
      <c r="BH125" s="285"/>
      <c r="BI125" s="286"/>
      <c r="BJ125" s="288"/>
      <c r="BK125" s="288"/>
      <c r="BL125" s="288"/>
      <c r="BM125" s="288"/>
      <c r="BN125" s="288"/>
      <c r="BO125" s="288"/>
      <c r="BP125" s="288"/>
      <c r="BQ125" s="288"/>
      <c r="BR125" s="288"/>
      <c r="BS125" s="10"/>
    </row>
    <row r="126" spans="1:71" s="8" customFormat="1">
      <c r="A126" s="9"/>
      <c r="B126" s="80"/>
      <c r="C126" s="81"/>
      <c r="D126" s="81"/>
      <c r="E126" s="81"/>
      <c r="F126" s="81"/>
      <c r="G126" s="81"/>
      <c r="H126" s="81"/>
      <c r="I126" s="81"/>
      <c r="J126" s="83"/>
      <c r="K126" s="81"/>
      <c r="L126" s="81"/>
      <c r="M126" s="81"/>
      <c r="N126" s="81"/>
      <c r="O126" s="81"/>
      <c r="P126" s="81"/>
      <c r="Q126" s="82"/>
      <c r="R126" s="38">
        <v>30</v>
      </c>
      <c r="S126" s="36" t="s">
        <v>285</v>
      </c>
      <c r="T126" s="37"/>
      <c r="U126" s="37"/>
      <c r="V126" s="37"/>
      <c r="W126" s="37"/>
      <c r="X126" s="37"/>
      <c r="Y126" s="37"/>
      <c r="Z126" s="37"/>
      <c r="AA126" s="37"/>
      <c r="AB126" s="37"/>
      <c r="AC126" s="37"/>
      <c r="AD126" s="37"/>
      <c r="AE126" s="38"/>
      <c r="AF126" s="284"/>
      <c r="AG126" s="286"/>
      <c r="AH126" s="284"/>
      <c r="AI126" s="286"/>
      <c r="AJ126" s="284" t="s">
        <v>130</v>
      </c>
      <c r="AK126" s="286"/>
      <c r="AL126" s="284"/>
      <c r="AM126" s="286"/>
      <c r="AN126" s="284"/>
      <c r="AO126" s="286"/>
      <c r="AP126" s="284"/>
      <c r="AQ126" s="286"/>
      <c r="AR126" s="284"/>
      <c r="AS126" s="286"/>
      <c r="AT126" s="284" t="s">
        <v>131</v>
      </c>
      <c r="AU126" s="285"/>
      <c r="AV126" s="285"/>
      <c r="AW126" s="285"/>
      <c r="AX126" s="285"/>
      <c r="AY126" s="285"/>
      <c r="AZ126" s="285"/>
      <c r="BA126" s="286"/>
      <c r="BB126" s="287" t="s">
        <v>132</v>
      </c>
      <c r="BC126" s="287"/>
      <c r="BD126" s="287"/>
      <c r="BE126" s="287"/>
      <c r="BF126" s="287"/>
      <c r="BG126" s="287"/>
      <c r="BH126" s="287"/>
      <c r="BI126" s="287"/>
      <c r="BJ126" s="288"/>
      <c r="BK126" s="288"/>
      <c r="BL126" s="288"/>
      <c r="BM126" s="288"/>
      <c r="BN126" s="288"/>
      <c r="BO126" s="288"/>
      <c r="BP126" s="288"/>
      <c r="BQ126" s="288"/>
      <c r="BR126" s="288"/>
      <c r="BS126" s="10"/>
    </row>
    <row r="127" spans="1:71" s="8" customFormat="1">
      <c r="A127" s="9"/>
      <c r="B127" s="80"/>
      <c r="C127" s="81"/>
      <c r="D127" s="81"/>
      <c r="E127" s="81"/>
      <c r="F127" s="81"/>
      <c r="G127" s="81"/>
      <c r="H127" s="81"/>
      <c r="I127" s="81"/>
      <c r="J127" s="83"/>
      <c r="K127" s="81"/>
      <c r="L127" s="81"/>
      <c r="M127" s="81"/>
      <c r="N127" s="81"/>
      <c r="O127" s="81"/>
      <c r="P127" s="81"/>
      <c r="Q127" s="82"/>
      <c r="R127" s="38">
        <v>31</v>
      </c>
      <c r="S127" s="36" t="s">
        <v>286</v>
      </c>
      <c r="T127" s="37"/>
      <c r="U127" s="37"/>
      <c r="V127" s="37"/>
      <c r="W127" s="37"/>
      <c r="X127" s="37"/>
      <c r="Y127" s="37"/>
      <c r="Z127" s="37"/>
      <c r="AA127" s="37"/>
      <c r="AB127" s="37"/>
      <c r="AC127" s="37"/>
      <c r="AD127" s="37"/>
      <c r="AE127" s="38"/>
      <c r="AF127" s="284"/>
      <c r="AG127" s="286"/>
      <c r="AH127" s="284"/>
      <c r="AI127" s="286"/>
      <c r="AJ127" s="284" t="s">
        <v>130</v>
      </c>
      <c r="AK127" s="286"/>
      <c r="AL127" s="284"/>
      <c r="AM127" s="286"/>
      <c r="AN127" s="284"/>
      <c r="AO127" s="286"/>
      <c r="AP127" s="284"/>
      <c r="AQ127" s="286"/>
      <c r="AR127" s="284"/>
      <c r="AS127" s="286"/>
      <c r="AT127" s="287" t="s">
        <v>142</v>
      </c>
      <c r="AU127" s="287"/>
      <c r="AV127" s="287"/>
      <c r="AW127" s="287"/>
      <c r="AX127" s="287"/>
      <c r="AY127" s="287"/>
      <c r="AZ127" s="287"/>
      <c r="BA127" s="287"/>
      <c r="BB127" s="287" t="s">
        <v>143</v>
      </c>
      <c r="BC127" s="287"/>
      <c r="BD127" s="287"/>
      <c r="BE127" s="287"/>
      <c r="BF127" s="287"/>
      <c r="BG127" s="287"/>
      <c r="BH127" s="287"/>
      <c r="BI127" s="287"/>
      <c r="BJ127" s="288"/>
      <c r="BK127" s="288"/>
      <c r="BL127" s="288"/>
      <c r="BM127" s="288"/>
      <c r="BN127" s="288"/>
      <c r="BO127" s="288"/>
      <c r="BP127" s="288"/>
      <c r="BQ127" s="288"/>
      <c r="BR127" s="288"/>
      <c r="BS127" s="10"/>
    </row>
    <row r="128" spans="1:71" s="8" customFormat="1">
      <c r="A128" s="9"/>
      <c r="B128" s="80"/>
      <c r="C128" s="81"/>
      <c r="D128" s="81"/>
      <c r="E128" s="81"/>
      <c r="F128" s="81"/>
      <c r="G128" s="81"/>
      <c r="H128" s="81"/>
      <c r="I128" s="81"/>
      <c r="J128" s="83"/>
      <c r="K128" s="81"/>
      <c r="L128" s="81"/>
      <c r="M128" s="81"/>
      <c r="N128" s="81"/>
      <c r="O128" s="81"/>
      <c r="P128" s="81"/>
      <c r="Q128" s="82"/>
      <c r="R128" s="38">
        <v>32</v>
      </c>
      <c r="S128" s="36" t="s">
        <v>287</v>
      </c>
      <c r="T128" s="37"/>
      <c r="U128" s="37"/>
      <c r="V128" s="37"/>
      <c r="W128" s="37"/>
      <c r="X128" s="37"/>
      <c r="Y128" s="37"/>
      <c r="Z128" s="37"/>
      <c r="AA128" s="37"/>
      <c r="AB128" s="37"/>
      <c r="AC128" s="37"/>
      <c r="AD128" s="37"/>
      <c r="AE128" s="38"/>
      <c r="AF128" s="284"/>
      <c r="AG128" s="286"/>
      <c r="AH128" s="284"/>
      <c r="AI128" s="286"/>
      <c r="AJ128" s="284" t="s">
        <v>130</v>
      </c>
      <c r="AK128" s="286"/>
      <c r="AL128" s="284"/>
      <c r="AM128" s="286"/>
      <c r="AN128" s="284"/>
      <c r="AO128" s="286"/>
      <c r="AP128" s="284"/>
      <c r="AQ128" s="286"/>
      <c r="AR128" s="284"/>
      <c r="AS128" s="286"/>
      <c r="AT128" s="284" t="s">
        <v>131</v>
      </c>
      <c r="AU128" s="285"/>
      <c r="AV128" s="285"/>
      <c r="AW128" s="285"/>
      <c r="AX128" s="285"/>
      <c r="AY128" s="285"/>
      <c r="AZ128" s="285"/>
      <c r="BA128" s="286"/>
      <c r="BB128" s="284" t="s">
        <v>224</v>
      </c>
      <c r="BC128" s="285"/>
      <c r="BD128" s="285"/>
      <c r="BE128" s="285"/>
      <c r="BF128" s="285"/>
      <c r="BG128" s="285"/>
      <c r="BH128" s="285"/>
      <c r="BI128" s="286"/>
      <c r="BJ128" s="288"/>
      <c r="BK128" s="288"/>
      <c r="BL128" s="288"/>
      <c r="BM128" s="288"/>
      <c r="BN128" s="288"/>
      <c r="BO128" s="288"/>
      <c r="BP128" s="288"/>
      <c r="BQ128" s="288"/>
      <c r="BR128" s="288"/>
      <c r="BS128" s="10"/>
    </row>
    <row r="129" spans="1:72" s="8" customFormat="1">
      <c r="A129" s="9"/>
      <c r="B129" s="80"/>
      <c r="C129" s="81"/>
      <c r="D129" s="81"/>
      <c r="E129" s="81"/>
      <c r="F129" s="81"/>
      <c r="G129" s="81"/>
      <c r="H129" s="81"/>
      <c r="I129" s="81"/>
      <c r="J129" s="83"/>
      <c r="K129" s="81"/>
      <c r="L129" s="81"/>
      <c r="M129" s="81"/>
      <c r="N129" s="81"/>
      <c r="O129" s="81"/>
      <c r="P129" s="81"/>
      <c r="Q129" s="82"/>
      <c r="R129" s="38">
        <v>33</v>
      </c>
      <c r="S129" s="36" t="s">
        <v>288</v>
      </c>
      <c r="T129" s="37"/>
      <c r="U129" s="37"/>
      <c r="V129" s="37"/>
      <c r="W129" s="37"/>
      <c r="X129" s="37"/>
      <c r="Y129" s="37"/>
      <c r="Z129" s="37"/>
      <c r="AA129" s="37"/>
      <c r="AB129" s="37"/>
      <c r="AC129" s="37"/>
      <c r="AD129" s="37"/>
      <c r="AE129" s="38"/>
      <c r="AF129" s="284"/>
      <c r="AG129" s="286"/>
      <c r="AH129" s="284"/>
      <c r="AI129" s="286"/>
      <c r="AJ129" s="284" t="s">
        <v>130</v>
      </c>
      <c r="AK129" s="286"/>
      <c r="AL129" s="284"/>
      <c r="AM129" s="286"/>
      <c r="AN129" s="284"/>
      <c r="AO129" s="286"/>
      <c r="AP129" s="284"/>
      <c r="AQ129" s="286"/>
      <c r="AR129" s="284"/>
      <c r="AS129" s="286"/>
      <c r="AT129" s="284" t="s">
        <v>131</v>
      </c>
      <c r="AU129" s="285"/>
      <c r="AV129" s="285"/>
      <c r="AW129" s="285"/>
      <c r="AX129" s="285"/>
      <c r="AY129" s="285"/>
      <c r="AZ129" s="285"/>
      <c r="BA129" s="286"/>
      <c r="BB129" s="287" t="s">
        <v>132</v>
      </c>
      <c r="BC129" s="287"/>
      <c r="BD129" s="287"/>
      <c r="BE129" s="287"/>
      <c r="BF129" s="287"/>
      <c r="BG129" s="287"/>
      <c r="BH129" s="287"/>
      <c r="BI129" s="287"/>
      <c r="BJ129" s="288"/>
      <c r="BK129" s="288"/>
      <c r="BL129" s="288"/>
      <c r="BM129" s="288"/>
      <c r="BN129" s="288"/>
      <c r="BO129" s="288"/>
      <c r="BP129" s="288"/>
      <c r="BQ129" s="288"/>
      <c r="BR129" s="288"/>
      <c r="BS129" s="10"/>
    </row>
    <row r="130" spans="1:72" s="8" customFormat="1">
      <c r="A130" s="9"/>
      <c r="B130" s="83"/>
      <c r="C130" s="81"/>
      <c r="D130" s="81"/>
      <c r="E130" s="81"/>
      <c r="F130" s="81"/>
      <c r="G130" s="81"/>
      <c r="H130" s="81"/>
      <c r="I130" s="81"/>
      <c r="J130" s="83"/>
      <c r="K130" s="81"/>
      <c r="L130" s="81"/>
      <c r="M130" s="81"/>
      <c r="N130" s="81"/>
      <c r="O130" s="81"/>
      <c r="P130" s="81"/>
      <c r="Q130" s="82"/>
      <c r="R130" s="38">
        <v>34</v>
      </c>
      <c r="S130" s="36" t="s">
        <v>218</v>
      </c>
      <c r="T130" s="37"/>
      <c r="U130" s="37"/>
      <c r="V130" s="37"/>
      <c r="W130" s="37"/>
      <c r="X130" s="37"/>
      <c r="Y130" s="37"/>
      <c r="Z130" s="37"/>
      <c r="AA130" s="37"/>
      <c r="AB130" s="37"/>
      <c r="AC130" s="37"/>
      <c r="AD130" s="37"/>
      <c r="AE130" s="38"/>
      <c r="AF130" s="284"/>
      <c r="AG130" s="286"/>
      <c r="AH130" s="284"/>
      <c r="AI130" s="286"/>
      <c r="AJ130" s="284"/>
      <c r="AK130" s="286"/>
      <c r="AL130" s="284"/>
      <c r="AM130" s="286"/>
      <c r="AN130" s="284" t="s">
        <v>130</v>
      </c>
      <c r="AO130" s="286"/>
      <c r="AP130" s="284"/>
      <c r="AQ130" s="286"/>
      <c r="AR130" s="284"/>
      <c r="AS130" s="286"/>
      <c r="AT130" s="284" t="s">
        <v>201</v>
      </c>
      <c r="AU130" s="285"/>
      <c r="AV130" s="285"/>
      <c r="AW130" s="285"/>
      <c r="AX130" s="285"/>
      <c r="AY130" s="285"/>
      <c r="AZ130" s="285"/>
      <c r="BA130" s="286"/>
      <c r="BB130" s="287"/>
      <c r="BC130" s="287"/>
      <c r="BD130" s="287"/>
      <c r="BE130" s="287"/>
      <c r="BF130" s="287"/>
      <c r="BG130" s="287"/>
      <c r="BH130" s="287"/>
      <c r="BI130" s="287"/>
      <c r="BJ130" s="288"/>
      <c r="BK130" s="288"/>
      <c r="BL130" s="288"/>
      <c r="BM130" s="288"/>
      <c r="BN130" s="288"/>
      <c r="BO130" s="288"/>
      <c r="BP130" s="288"/>
      <c r="BQ130" s="288"/>
      <c r="BR130" s="288"/>
      <c r="BS130" s="10"/>
      <c r="BT130" s="11"/>
    </row>
    <row r="131" spans="1:72" s="8" customFormat="1">
      <c r="A131" s="9"/>
      <c r="B131" s="80"/>
      <c r="C131" s="81"/>
      <c r="D131" s="81"/>
      <c r="E131" s="81"/>
      <c r="F131" s="81"/>
      <c r="G131" s="81"/>
      <c r="H131" s="81"/>
      <c r="I131" s="82"/>
      <c r="J131" s="84"/>
      <c r="K131" s="84"/>
      <c r="L131" s="84"/>
      <c r="M131" s="84"/>
      <c r="N131" s="84"/>
      <c r="O131" s="84"/>
      <c r="P131" s="84"/>
      <c r="Q131" s="85"/>
      <c r="R131" s="38">
        <v>35</v>
      </c>
      <c r="S131" s="36" t="s">
        <v>219</v>
      </c>
      <c r="T131" s="37"/>
      <c r="U131" s="37"/>
      <c r="V131" s="37"/>
      <c r="W131" s="37"/>
      <c r="X131" s="37"/>
      <c r="Y131" s="37"/>
      <c r="Z131" s="37"/>
      <c r="AA131" s="37"/>
      <c r="AB131" s="37"/>
      <c r="AC131" s="37"/>
      <c r="AD131" s="37"/>
      <c r="AE131" s="38"/>
      <c r="AF131" s="284"/>
      <c r="AG131" s="286"/>
      <c r="AH131" s="284"/>
      <c r="AI131" s="286"/>
      <c r="AJ131" s="284"/>
      <c r="AK131" s="286"/>
      <c r="AL131" s="284"/>
      <c r="AM131" s="286"/>
      <c r="AN131" s="284"/>
      <c r="AO131" s="286"/>
      <c r="AP131" s="284"/>
      <c r="AQ131" s="286"/>
      <c r="AR131" s="284" t="s">
        <v>130</v>
      </c>
      <c r="AS131" s="286"/>
      <c r="AT131" s="284" t="s">
        <v>131</v>
      </c>
      <c r="AU131" s="285"/>
      <c r="AV131" s="285"/>
      <c r="AW131" s="285"/>
      <c r="AX131" s="285"/>
      <c r="AY131" s="285"/>
      <c r="AZ131" s="285"/>
      <c r="BA131" s="286"/>
      <c r="BB131" s="287" t="s">
        <v>203</v>
      </c>
      <c r="BC131" s="287"/>
      <c r="BD131" s="287"/>
      <c r="BE131" s="287"/>
      <c r="BF131" s="287"/>
      <c r="BG131" s="287"/>
      <c r="BH131" s="287"/>
      <c r="BI131" s="287"/>
      <c r="BJ131" s="288"/>
      <c r="BK131" s="288"/>
      <c r="BL131" s="288"/>
      <c r="BM131" s="288"/>
      <c r="BN131" s="288"/>
      <c r="BO131" s="288"/>
      <c r="BP131" s="288"/>
      <c r="BQ131" s="288"/>
      <c r="BR131" s="288"/>
      <c r="BS131" s="10"/>
    </row>
    <row r="132" spans="1:72" s="8" customFormat="1">
      <c r="A132" s="9"/>
      <c r="B132" s="80"/>
      <c r="C132" s="81"/>
      <c r="D132" s="81"/>
      <c r="E132" s="81"/>
      <c r="F132" s="81"/>
      <c r="G132" s="81"/>
      <c r="H132" s="81"/>
      <c r="I132" s="82"/>
      <c r="J132" s="81" t="s">
        <v>289</v>
      </c>
      <c r="K132" s="81"/>
      <c r="L132" s="81"/>
      <c r="M132" s="81"/>
      <c r="N132" s="81"/>
      <c r="O132" s="81"/>
      <c r="P132" s="81"/>
      <c r="Q132" s="82"/>
      <c r="R132" s="38">
        <v>1</v>
      </c>
      <c r="S132" s="58" t="s">
        <v>290</v>
      </c>
      <c r="T132" s="37"/>
      <c r="U132" s="37"/>
      <c r="V132" s="37"/>
      <c r="W132" s="37"/>
      <c r="X132" s="37"/>
      <c r="Y132" s="37"/>
      <c r="Z132" s="37"/>
      <c r="AA132" s="37"/>
      <c r="AB132" s="37"/>
      <c r="AC132" s="37"/>
      <c r="AD132" s="37"/>
      <c r="AE132" s="38"/>
      <c r="AF132" s="284"/>
      <c r="AG132" s="286"/>
      <c r="AH132" s="284"/>
      <c r="AI132" s="286"/>
      <c r="AJ132" s="284"/>
      <c r="AK132" s="286"/>
      <c r="AL132" s="284"/>
      <c r="AM132" s="286"/>
      <c r="AN132" s="284" t="s">
        <v>130</v>
      </c>
      <c r="AO132" s="286"/>
      <c r="AP132" s="284"/>
      <c r="AQ132" s="286"/>
      <c r="AR132" s="284"/>
      <c r="AS132" s="286"/>
      <c r="AT132" s="284" t="s">
        <v>131</v>
      </c>
      <c r="AU132" s="285"/>
      <c r="AV132" s="285"/>
      <c r="AW132" s="285"/>
      <c r="AX132" s="285"/>
      <c r="AY132" s="285"/>
      <c r="AZ132" s="285"/>
      <c r="BA132" s="286"/>
      <c r="BB132" s="287" t="s">
        <v>203</v>
      </c>
      <c r="BC132" s="287"/>
      <c r="BD132" s="287"/>
      <c r="BE132" s="287"/>
      <c r="BF132" s="287"/>
      <c r="BG132" s="287"/>
      <c r="BH132" s="287"/>
      <c r="BI132" s="287"/>
      <c r="BJ132" s="288"/>
      <c r="BK132" s="288"/>
      <c r="BL132" s="288"/>
      <c r="BM132" s="288"/>
      <c r="BN132" s="288"/>
      <c r="BO132" s="288"/>
      <c r="BP132" s="288"/>
      <c r="BQ132" s="288"/>
      <c r="BR132" s="288"/>
      <c r="BS132" s="10"/>
    </row>
    <row r="133" spans="1:72" s="8" customFormat="1">
      <c r="A133" s="9"/>
      <c r="B133" s="80"/>
      <c r="C133" s="81"/>
      <c r="D133" s="81"/>
      <c r="E133" s="81"/>
      <c r="F133" s="81"/>
      <c r="G133" s="81"/>
      <c r="H133" s="81"/>
      <c r="I133" s="82"/>
      <c r="J133" s="81"/>
      <c r="K133" s="81"/>
      <c r="L133" s="81"/>
      <c r="M133" s="81"/>
      <c r="N133" s="81"/>
      <c r="O133" s="81"/>
      <c r="P133" s="81"/>
      <c r="Q133" s="82"/>
      <c r="R133" s="38">
        <v>2</v>
      </c>
      <c r="S133" s="36" t="s">
        <v>291</v>
      </c>
      <c r="T133" s="37"/>
      <c r="U133" s="37"/>
      <c r="V133" s="37"/>
      <c r="W133" s="37"/>
      <c r="X133" s="37"/>
      <c r="Y133" s="37"/>
      <c r="Z133" s="37"/>
      <c r="AA133" s="37"/>
      <c r="AB133" s="37"/>
      <c r="AC133" s="37"/>
      <c r="AD133" s="37"/>
      <c r="AE133" s="38"/>
      <c r="AF133" s="284"/>
      <c r="AG133" s="286"/>
      <c r="AH133" s="284"/>
      <c r="AI133" s="286"/>
      <c r="AJ133" s="284" t="s">
        <v>130</v>
      </c>
      <c r="AK133" s="286"/>
      <c r="AL133" s="284"/>
      <c r="AM133" s="286"/>
      <c r="AN133" s="284"/>
      <c r="AO133" s="286"/>
      <c r="AP133" s="284"/>
      <c r="AQ133" s="286"/>
      <c r="AR133" s="284"/>
      <c r="AS133" s="286"/>
      <c r="AT133" s="284" t="s">
        <v>131</v>
      </c>
      <c r="AU133" s="285"/>
      <c r="AV133" s="285"/>
      <c r="AW133" s="285"/>
      <c r="AX133" s="285"/>
      <c r="AY133" s="285"/>
      <c r="AZ133" s="285"/>
      <c r="BA133" s="286"/>
      <c r="BB133" s="284" t="s">
        <v>205</v>
      </c>
      <c r="BC133" s="285"/>
      <c r="BD133" s="285"/>
      <c r="BE133" s="285"/>
      <c r="BF133" s="285"/>
      <c r="BG133" s="285"/>
      <c r="BH133" s="285"/>
      <c r="BI133" s="286"/>
      <c r="BJ133" s="288"/>
      <c r="BK133" s="288"/>
      <c r="BL133" s="288"/>
      <c r="BM133" s="288"/>
      <c r="BN133" s="288"/>
      <c r="BO133" s="288"/>
      <c r="BP133" s="288"/>
      <c r="BQ133" s="288"/>
      <c r="BR133" s="288"/>
      <c r="BS133" s="10"/>
    </row>
    <row r="134" spans="1:72" s="8" customFormat="1">
      <c r="A134" s="9"/>
      <c r="B134" s="80"/>
      <c r="C134" s="81"/>
      <c r="D134" s="81"/>
      <c r="E134" s="81"/>
      <c r="F134" s="81"/>
      <c r="G134" s="81"/>
      <c r="H134" s="81"/>
      <c r="I134" s="82"/>
      <c r="J134" s="81"/>
      <c r="K134" s="81"/>
      <c r="L134" s="81"/>
      <c r="M134" s="81"/>
      <c r="N134" s="81"/>
      <c r="O134" s="81"/>
      <c r="P134" s="81"/>
      <c r="Q134" s="82"/>
      <c r="R134" s="38">
        <v>3</v>
      </c>
      <c r="S134" s="36" t="s">
        <v>292</v>
      </c>
      <c r="T134" s="37"/>
      <c r="U134" s="37"/>
      <c r="V134" s="37"/>
      <c r="W134" s="37"/>
      <c r="X134" s="37"/>
      <c r="Y134" s="37"/>
      <c r="Z134" s="37"/>
      <c r="AA134" s="37"/>
      <c r="AB134" s="37"/>
      <c r="AC134" s="37"/>
      <c r="AD134" s="37"/>
      <c r="AE134" s="38"/>
      <c r="AF134" s="284"/>
      <c r="AG134" s="286"/>
      <c r="AH134" s="284"/>
      <c r="AI134" s="286"/>
      <c r="AJ134" s="284" t="s">
        <v>130</v>
      </c>
      <c r="AK134" s="286"/>
      <c r="AL134" s="284"/>
      <c r="AM134" s="286"/>
      <c r="AN134" s="284"/>
      <c r="AO134" s="286"/>
      <c r="AP134" s="284"/>
      <c r="AQ134" s="286"/>
      <c r="AR134" s="284"/>
      <c r="AS134" s="286"/>
      <c r="AT134" s="284" t="s">
        <v>131</v>
      </c>
      <c r="AU134" s="285"/>
      <c r="AV134" s="285"/>
      <c r="AW134" s="285"/>
      <c r="AX134" s="285"/>
      <c r="AY134" s="285"/>
      <c r="AZ134" s="285"/>
      <c r="BA134" s="286"/>
      <c r="BB134" s="284" t="s">
        <v>224</v>
      </c>
      <c r="BC134" s="285"/>
      <c r="BD134" s="285"/>
      <c r="BE134" s="285"/>
      <c r="BF134" s="285"/>
      <c r="BG134" s="285"/>
      <c r="BH134" s="285"/>
      <c r="BI134" s="286"/>
      <c r="BJ134" s="288"/>
      <c r="BK134" s="288"/>
      <c r="BL134" s="288"/>
      <c r="BM134" s="288"/>
      <c r="BN134" s="288"/>
      <c r="BO134" s="288"/>
      <c r="BP134" s="288"/>
      <c r="BQ134" s="288"/>
      <c r="BR134" s="288"/>
      <c r="BS134" s="10"/>
    </row>
    <row r="135" spans="1:72" s="8" customFormat="1">
      <c r="A135" s="9"/>
      <c r="B135" s="80"/>
      <c r="C135" s="81"/>
      <c r="D135" s="81"/>
      <c r="E135" s="81"/>
      <c r="F135" s="81"/>
      <c r="G135" s="81"/>
      <c r="H135" s="81"/>
      <c r="I135" s="82"/>
      <c r="J135" s="81"/>
      <c r="K135" s="81"/>
      <c r="L135" s="81"/>
      <c r="M135" s="81"/>
      <c r="N135" s="81"/>
      <c r="O135" s="81"/>
      <c r="P135" s="81"/>
      <c r="Q135" s="82"/>
      <c r="R135" s="38">
        <v>4</v>
      </c>
      <c r="S135" s="36" t="s">
        <v>293</v>
      </c>
      <c r="T135" s="37"/>
      <c r="U135" s="37"/>
      <c r="V135" s="37"/>
      <c r="W135" s="37"/>
      <c r="X135" s="37"/>
      <c r="Y135" s="37"/>
      <c r="Z135" s="37"/>
      <c r="AA135" s="37"/>
      <c r="AB135" s="37"/>
      <c r="AC135" s="37"/>
      <c r="AD135" s="37"/>
      <c r="AE135" s="38"/>
      <c r="AF135" s="284"/>
      <c r="AG135" s="286"/>
      <c r="AH135" s="284"/>
      <c r="AI135" s="286"/>
      <c r="AJ135" s="284"/>
      <c r="AK135" s="286"/>
      <c r="AL135" s="284"/>
      <c r="AM135" s="286"/>
      <c r="AN135" s="284" t="s">
        <v>130</v>
      </c>
      <c r="AO135" s="286"/>
      <c r="AP135" s="284"/>
      <c r="AQ135" s="286"/>
      <c r="AR135" s="284"/>
      <c r="AS135" s="286"/>
      <c r="AT135" s="284" t="s">
        <v>131</v>
      </c>
      <c r="AU135" s="285"/>
      <c r="AV135" s="285"/>
      <c r="AW135" s="285"/>
      <c r="AX135" s="285"/>
      <c r="AY135" s="285"/>
      <c r="AZ135" s="285"/>
      <c r="BA135" s="286"/>
      <c r="BB135" s="287" t="s">
        <v>132</v>
      </c>
      <c r="BC135" s="287"/>
      <c r="BD135" s="287"/>
      <c r="BE135" s="287"/>
      <c r="BF135" s="287"/>
      <c r="BG135" s="287"/>
      <c r="BH135" s="287"/>
      <c r="BI135" s="287"/>
      <c r="BJ135" s="288"/>
      <c r="BK135" s="288"/>
      <c r="BL135" s="288"/>
      <c r="BM135" s="288"/>
      <c r="BN135" s="288"/>
      <c r="BO135" s="288"/>
      <c r="BP135" s="288"/>
      <c r="BQ135" s="288"/>
      <c r="BR135" s="288"/>
      <c r="BS135" s="10"/>
    </row>
    <row r="136" spans="1:72" s="8" customFormat="1">
      <c r="A136" s="9"/>
      <c r="B136" s="80"/>
      <c r="C136" s="81"/>
      <c r="D136" s="81"/>
      <c r="E136" s="81"/>
      <c r="F136" s="81"/>
      <c r="G136" s="81"/>
      <c r="H136" s="81"/>
      <c r="I136" s="82"/>
      <c r="J136" s="81"/>
      <c r="K136" s="81"/>
      <c r="L136" s="81"/>
      <c r="M136" s="81"/>
      <c r="N136" s="81"/>
      <c r="O136" s="81"/>
      <c r="P136" s="81"/>
      <c r="Q136" s="82"/>
      <c r="R136" s="38">
        <v>5</v>
      </c>
      <c r="S136" s="36" t="s">
        <v>294</v>
      </c>
      <c r="T136" s="37"/>
      <c r="U136" s="37"/>
      <c r="V136" s="37"/>
      <c r="W136" s="37"/>
      <c r="X136" s="37"/>
      <c r="Y136" s="37"/>
      <c r="Z136" s="37"/>
      <c r="AA136" s="37"/>
      <c r="AB136" s="37"/>
      <c r="AC136" s="37"/>
      <c r="AD136" s="37"/>
      <c r="AE136" s="38"/>
      <c r="AF136" s="284"/>
      <c r="AG136" s="286"/>
      <c r="AH136" s="284"/>
      <c r="AI136" s="286"/>
      <c r="AJ136" s="284" t="s">
        <v>130</v>
      </c>
      <c r="AK136" s="286"/>
      <c r="AL136" s="284"/>
      <c r="AM136" s="286"/>
      <c r="AN136" s="284"/>
      <c r="AO136" s="286"/>
      <c r="AP136" s="284"/>
      <c r="AQ136" s="286"/>
      <c r="AR136" s="284"/>
      <c r="AS136" s="286"/>
      <c r="AT136" s="284" t="s">
        <v>131</v>
      </c>
      <c r="AU136" s="285"/>
      <c r="AV136" s="285"/>
      <c r="AW136" s="285"/>
      <c r="AX136" s="285"/>
      <c r="AY136" s="285"/>
      <c r="AZ136" s="285"/>
      <c r="BA136" s="286"/>
      <c r="BB136" s="287" t="s">
        <v>132</v>
      </c>
      <c r="BC136" s="287"/>
      <c r="BD136" s="287"/>
      <c r="BE136" s="287"/>
      <c r="BF136" s="287"/>
      <c r="BG136" s="287"/>
      <c r="BH136" s="287"/>
      <c r="BI136" s="287"/>
      <c r="BJ136" s="288"/>
      <c r="BK136" s="288"/>
      <c r="BL136" s="288"/>
      <c r="BM136" s="288"/>
      <c r="BN136" s="288"/>
      <c r="BO136" s="288"/>
      <c r="BP136" s="288"/>
      <c r="BQ136" s="288"/>
      <c r="BR136" s="288"/>
      <c r="BS136" s="10"/>
    </row>
    <row r="137" spans="1:72" s="8" customFormat="1">
      <c r="A137" s="9"/>
      <c r="B137" s="80"/>
      <c r="C137" s="81"/>
      <c r="D137" s="81"/>
      <c r="E137" s="81"/>
      <c r="F137" s="81"/>
      <c r="G137" s="81"/>
      <c r="H137" s="81"/>
      <c r="I137" s="82"/>
      <c r="J137" s="81"/>
      <c r="K137" s="81"/>
      <c r="L137" s="81"/>
      <c r="M137" s="81"/>
      <c r="N137" s="81"/>
      <c r="O137" s="81"/>
      <c r="P137" s="81"/>
      <c r="Q137" s="82"/>
      <c r="R137" s="38">
        <v>6</v>
      </c>
      <c r="S137" s="36" t="s">
        <v>295</v>
      </c>
      <c r="T137" s="37"/>
      <c r="U137" s="37"/>
      <c r="V137" s="37"/>
      <c r="W137" s="37"/>
      <c r="X137" s="37"/>
      <c r="Y137" s="37"/>
      <c r="Z137" s="37"/>
      <c r="AA137" s="37"/>
      <c r="AB137" s="37"/>
      <c r="AC137" s="37"/>
      <c r="AD137" s="37"/>
      <c r="AE137" s="38"/>
      <c r="AF137" s="284"/>
      <c r="AG137" s="286"/>
      <c r="AH137" s="284"/>
      <c r="AI137" s="286"/>
      <c r="AJ137" s="284"/>
      <c r="AK137" s="286"/>
      <c r="AL137" s="284"/>
      <c r="AM137" s="286"/>
      <c r="AN137" s="284" t="s">
        <v>130</v>
      </c>
      <c r="AO137" s="286"/>
      <c r="AP137" s="284"/>
      <c r="AQ137" s="286"/>
      <c r="AR137" s="284"/>
      <c r="AS137" s="286"/>
      <c r="AT137" s="284" t="s">
        <v>131</v>
      </c>
      <c r="AU137" s="285"/>
      <c r="AV137" s="285"/>
      <c r="AW137" s="285"/>
      <c r="AX137" s="285"/>
      <c r="AY137" s="285"/>
      <c r="AZ137" s="285"/>
      <c r="BA137" s="286"/>
      <c r="BB137" s="287" t="s">
        <v>132</v>
      </c>
      <c r="BC137" s="287"/>
      <c r="BD137" s="287"/>
      <c r="BE137" s="287"/>
      <c r="BF137" s="287"/>
      <c r="BG137" s="287"/>
      <c r="BH137" s="287"/>
      <c r="BI137" s="287"/>
      <c r="BJ137" s="288"/>
      <c r="BK137" s="288"/>
      <c r="BL137" s="288"/>
      <c r="BM137" s="288"/>
      <c r="BN137" s="288"/>
      <c r="BO137" s="288"/>
      <c r="BP137" s="288"/>
      <c r="BQ137" s="288"/>
      <c r="BR137" s="288"/>
      <c r="BS137" s="10"/>
    </row>
    <row r="138" spans="1:72" s="8" customFormat="1">
      <c r="A138" s="9"/>
      <c r="B138" s="80"/>
      <c r="C138" s="81"/>
      <c r="D138" s="81"/>
      <c r="E138" s="81"/>
      <c r="F138" s="81"/>
      <c r="G138" s="81"/>
      <c r="H138" s="81"/>
      <c r="I138" s="82"/>
      <c r="J138" s="81"/>
      <c r="K138" s="81"/>
      <c r="L138" s="81"/>
      <c r="M138" s="81"/>
      <c r="N138" s="81"/>
      <c r="O138" s="81"/>
      <c r="P138" s="81"/>
      <c r="Q138" s="82"/>
      <c r="R138" s="38">
        <v>7</v>
      </c>
      <c r="S138" s="36" t="s">
        <v>296</v>
      </c>
      <c r="T138" s="37"/>
      <c r="U138" s="37"/>
      <c r="V138" s="37"/>
      <c r="W138" s="37"/>
      <c r="X138" s="37"/>
      <c r="Y138" s="37"/>
      <c r="Z138" s="37"/>
      <c r="AA138" s="37"/>
      <c r="AB138" s="37"/>
      <c r="AC138" s="37"/>
      <c r="AD138" s="37"/>
      <c r="AE138" s="38"/>
      <c r="AF138" s="284"/>
      <c r="AG138" s="286"/>
      <c r="AH138" s="284"/>
      <c r="AI138" s="286"/>
      <c r="AJ138" s="284"/>
      <c r="AK138" s="286"/>
      <c r="AL138" s="284"/>
      <c r="AM138" s="286"/>
      <c r="AN138" s="284" t="s">
        <v>130</v>
      </c>
      <c r="AO138" s="286"/>
      <c r="AP138" s="284"/>
      <c r="AQ138" s="286"/>
      <c r="AR138" s="284"/>
      <c r="AS138" s="286"/>
      <c r="AT138" s="284" t="s">
        <v>131</v>
      </c>
      <c r="AU138" s="285"/>
      <c r="AV138" s="285"/>
      <c r="AW138" s="285"/>
      <c r="AX138" s="285"/>
      <c r="AY138" s="285"/>
      <c r="AZ138" s="285"/>
      <c r="BA138" s="286"/>
      <c r="BB138" s="287" t="s">
        <v>132</v>
      </c>
      <c r="BC138" s="287"/>
      <c r="BD138" s="287"/>
      <c r="BE138" s="287"/>
      <c r="BF138" s="287"/>
      <c r="BG138" s="287"/>
      <c r="BH138" s="287"/>
      <c r="BI138" s="287"/>
      <c r="BJ138" s="288"/>
      <c r="BK138" s="288"/>
      <c r="BL138" s="288"/>
      <c r="BM138" s="288"/>
      <c r="BN138" s="288"/>
      <c r="BO138" s="288"/>
      <c r="BP138" s="288"/>
      <c r="BQ138" s="288"/>
      <c r="BR138" s="288"/>
      <c r="BS138" s="10"/>
    </row>
    <row r="139" spans="1:72" s="8" customFormat="1">
      <c r="A139" s="9"/>
      <c r="B139" s="80"/>
      <c r="C139" s="81"/>
      <c r="D139" s="81"/>
      <c r="E139" s="81"/>
      <c r="F139" s="81"/>
      <c r="G139" s="81"/>
      <c r="H139" s="81"/>
      <c r="I139" s="82"/>
      <c r="J139" s="81"/>
      <c r="K139" s="81"/>
      <c r="L139" s="81"/>
      <c r="M139" s="81"/>
      <c r="N139" s="81"/>
      <c r="O139" s="81"/>
      <c r="P139" s="81"/>
      <c r="Q139" s="82"/>
      <c r="R139" s="38">
        <v>8</v>
      </c>
      <c r="S139" s="36" t="s">
        <v>297</v>
      </c>
      <c r="T139" s="37"/>
      <c r="U139" s="37"/>
      <c r="V139" s="37"/>
      <c r="W139" s="37"/>
      <c r="X139" s="37"/>
      <c r="Y139" s="37"/>
      <c r="Z139" s="37"/>
      <c r="AA139" s="37"/>
      <c r="AB139" s="37"/>
      <c r="AC139" s="37"/>
      <c r="AD139" s="37"/>
      <c r="AE139" s="38"/>
      <c r="AF139" s="284"/>
      <c r="AG139" s="286"/>
      <c r="AH139" s="284"/>
      <c r="AI139" s="286"/>
      <c r="AJ139" s="284"/>
      <c r="AK139" s="286"/>
      <c r="AL139" s="284"/>
      <c r="AM139" s="286"/>
      <c r="AN139" s="284" t="s">
        <v>130</v>
      </c>
      <c r="AO139" s="286"/>
      <c r="AP139" s="284"/>
      <c r="AQ139" s="286"/>
      <c r="AR139" s="284"/>
      <c r="AS139" s="286"/>
      <c r="AT139" s="284" t="s">
        <v>131</v>
      </c>
      <c r="AU139" s="285"/>
      <c r="AV139" s="285"/>
      <c r="AW139" s="285"/>
      <c r="AX139" s="285"/>
      <c r="AY139" s="285"/>
      <c r="AZ139" s="285"/>
      <c r="BA139" s="286"/>
      <c r="BB139" s="287" t="s">
        <v>132</v>
      </c>
      <c r="BC139" s="287"/>
      <c r="BD139" s="287"/>
      <c r="BE139" s="287"/>
      <c r="BF139" s="287"/>
      <c r="BG139" s="287"/>
      <c r="BH139" s="287"/>
      <c r="BI139" s="287"/>
      <c r="BJ139" s="288"/>
      <c r="BK139" s="288"/>
      <c r="BL139" s="288"/>
      <c r="BM139" s="288"/>
      <c r="BN139" s="288"/>
      <c r="BO139" s="288"/>
      <c r="BP139" s="288"/>
      <c r="BQ139" s="288"/>
      <c r="BR139" s="288"/>
      <c r="BS139" s="10"/>
    </row>
    <row r="140" spans="1:72" s="8" customFormat="1">
      <c r="A140" s="9"/>
      <c r="B140" s="80"/>
      <c r="C140" s="81"/>
      <c r="D140" s="81"/>
      <c r="E140" s="81"/>
      <c r="F140" s="81"/>
      <c r="G140" s="81"/>
      <c r="H140" s="81"/>
      <c r="I140" s="82"/>
      <c r="J140" s="81"/>
      <c r="K140" s="81"/>
      <c r="L140" s="81"/>
      <c r="M140" s="81"/>
      <c r="N140" s="81"/>
      <c r="O140" s="81"/>
      <c r="P140" s="81"/>
      <c r="Q140" s="82"/>
      <c r="R140" s="38">
        <v>9</v>
      </c>
      <c r="S140" s="36" t="s">
        <v>298</v>
      </c>
      <c r="T140" s="37"/>
      <c r="U140" s="37"/>
      <c r="V140" s="37"/>
      <c r="W140" s="37"/>
      <c r="X140" s="37"/>
      <c r="Y140" s="37"/>
      <c r="Z140" s="37"/>
      <c r="AA140" s="37"/>
      <c r="AB140" s="37"/>
      <c r="AC140" s="37"/>
      <c r="AD140" s="37"/>
      <c r="AE140" s="38"/>
      <c r="AF140" s="284"/>
      <c r="AG140" s="286"/>
      <c r="AH140" s="284"/>
      <c r="AI140" s="286"/>
      <c r="AJ140" s="284"/>
      <c r="AK140" s="286"/>
      <c r="AL140" s="284"/>
      <c r="AM140" s="286"/>
      <c r="AN140" s="284" t="s">
        <v>130</v>
      </c>
      <c r="AO140" s="286"/>
      <c r="AP140" s="284"/>
      <c r="AQ140" s="286"/>
      <c r="AR140" s="284"/>
      <c r="AS140" s="286"/>
      <c r="AT140" s="284" t="s">
        <v>131</v>
      </c>
      <c r="AU140" s="285"/>
      <c r="AV140" s="285"/>
      <c r="AW140" s="285"/>
      <c r="AX140" s="285"/>
      <c r="AY140" s="285"/>
      <c r="AZ140" s="285"/>
      <c r="BA140" s="286"/>
      <c r="BB140" s="287" t="s">
        <v>132</v>
      </c>
      <c r="BC140" s="287"/>
      <c r="BD140" s="287"/>
      <c r="BE140" s="287"/>
      <c r="BF140" s="287"/>
      <c r="BG140" s="287"/>
      <c r="BH140" s="287"/>
      <c r="BI140" s="287"/>
      <c r="BJ140" s="288"/>
      <c r="BK140" s="288"/>
      <c r="BL140" s="288"/>
      <c r="BM140" s="288"/>
      <c r="BN140" s="288"/>
      <c r="BO140" s="288"/>
      <c r="BP140" s="288"/>
      <c r="BQ140" s="288"/>
      <c r="BR140" s="288"/>
      <c r="BS140" s="10"/>
    </row>
    <row r="141" spans="1:72" s="8" customFormat="1">
      <c r="A141" s="9"/>
      <c r="B141" s="83"/>
      <c r="C141" s="81"/>
      <c r="D141" s="81"/>
      <c r="E141" s="81"/>
      <c r="F141" s="81"/>
      <c r="G141" s="81"/>
      <c r="H141" s="81"/>
      <c r="I141" s="81"/>
      <c r="J141" s="83"/>
      <c r="K141" s="81"/>
      <c r="L141" s="81"/>
      <c r="M141" s="81"/>
      <c r="N141" s="81"/>
      <c r="O141" s="81"/>
      <c r="P141" s="81"/>
      <c r="Q141" s="82"/>
      <c r="R141" s="38">
        <v>10</v>
      </c>
      <c r="S141" s="36" t="s">
        <v>218</v>
      </c>
      <c r="T141" s="37"/>
      <c r="U141" s="37"/>
      <c r="V141" s="37"/>
      <c r="W141" s="37"/>
      <c r="X141" s="37"/>
      <c r="Y141" s="37"/>
      <c r="Z141" s="37"/>
      <c r="AA141" s="37"/>
      <c r="AB141" s="37"/>
      <c r="AC141" s="37"/>
      <c r="AD141" s="37"/>
      <c r="AE141" s="38"/>
      <c r="AF141" s="284"/>
      <c r="AG141" s="286"/>
      <c r="AH141" s="284"/>
      <c r="AI141" s="286"/>
      <c r="AJ141" s="284"/>
      <c r="AK141" s="286"/>
      <c r="AL141" s="284"/>
      <c r="AM141" s="286"/>
      <c r="AN141" s="284" t="s">
        <v>130</v>
      </c>
      <c r="AO141" s="286"/>
      <c r="AP141" s="284"/>
      <c r="AQ141" s="286"/>
      <c r="AR141" s="284"/>
      <c r="AS141" s="286"/>
      <c r="AT141" s="284" t="s">
        <v>201</v>
      </c>
      <c r="AU141" s="285"/>
      <c r="AV141" s="285"/>
      <c r="AW141" s="285"/>
      <c r="AX141" s="285"/>
      <c r="AY141" s="285"/>
      <c r="AZ141" s="285"/>
      <c r="BA141" s="286"/>
      <c r="BB141" s="287"/>
      <c r="BC141" s="287"/>
      <c r="BD141" s="287"/>
      <c r="BE141" s="287"/>
      <c r="BF141" s="287"/>
      <c r="BG141" s="287"/>
      <c r="BH141" s="287"/>
      <c r="BI141" s="287"/>
      <c r="BJ141" s="288"/>
      <c r="BK141" s="288"/>
      <c r="BL141" s="288"/>
      <c r="BM141" s="288"/>
      <c r="BN141" s="288"/>
      <c r="BO141" s="288"/>
      <c r="BP141" s="288"/>
      <c r="BQ141" s="288"/>
      <c r="BR141" s="288"/>
      <c r="BS141" s="10"/>
      <c r="BT141" s="11"/>
    </row>
    <row r="142" spans="1:72" s="8" customFormat="1">
      <c r="A142" s="9"/>
      <c r="B142" s="80"/>
      <c r="C142" s="81"/>
      <c r="D142" s="81"/>
      <c r="E142" s="81"/>
      <c r="F142" s="81"/>
      <c r="G142" s="81"/>
      <c r="H142" s="81"/>
      <c r="I142" s="82"/>
      <c r="J142" s="84"/>
      <c r="K142" s="84"/>
      <c r="L142" s="84"/>
      <c r="M142" s="84"/>
      <c r="N142" s="84"/>
      <c r="O142" s="84"/>
      <c r="P142" s="84"/>
      <c r="Q142" s="85"/>
      <c r="R142" s="38">
        <v>11</v>
      </c>
      <c r="S142" s="36" t="s">
        <v>219</v>
      </c>
      <c r="T142" s="37"/>
      <c r="U142" s="37"/>
      <c r="V142" s="37"/>
      <c r="W142" s="37"/>
      <c r="X142" s="37"/>
      <c r="Y142" s="37"/>
      <c r="Z142" s="37"/>
      <c r="AA142" s="37"/>
      <c r="AB142" s="37"/>
      <c r="AC142" s="37"/>
      <c r="AD142" s="37"/>
      <c r="AE142" s="38"/>
      <c r="AF142" s="284"/>
      <c r="AG142" s="286"/>
      <c r="AH142" s="284"/>
      <c r="AI142" s="286"/>
      <c r="AJ142" s="284"/>
      <c r="AK142" s="286"/>
      <c r="AL142" s="284"/>
      <c r="AM142" s="286"/>
      <c r="AN142" s="284"/>
      <c r="AO142" s="286"/>
      <c r="AP142" s="284"/>
      <c r="AQ142" s="286"/>
      <c r="AR142" s="284" t="s">
        <v>130</v>
      </c>
      <c r="AS142" s="286"/>
      <c r="AT142" s="284" t="s">
        <v>131</v>
      </c>
      <c r="AU142" s="285"/>
      <c r="AV142" s="285"/>
      <c r="AW142" s="285"/>
      <c r="AX142" s="285"/>
      <c r="AY142" s="285"/>
      <c r="AZ142" s="285"/>
      <c r="BA142" s="286"/>
      <c r="BB142" s="287" t="s">
        <v>203</v>
      </c>
      <c r="BC142" s="287"/>
      <c r="BD142" s="287"/>
      <c r="BE142" s="287"/>
      <c r="BF142" s="287"/>
      <c r="BG142" s="287"/>
      <c r="BH142" s="287"/>
      <c r="BI142" s="287"/>
      <c r="BJ142" s="288"/>
      <c r="BK142" s="288"/>
      <c r="BL142" s="288"/>
      <c r="BM142" s="288"/>
      <c r="BN142" s="288"/>
      <c r="BO142" s="288"/>
      <c r="BP142" s="288"/>
      <c r="BQ142" s="288"/>
      <c r="BR142" s="288"/>
      <c r="BS142" s="10"/>
    </row>
    <row r="143" spans="1:72" s="8" customFormat="1">
      <c r="A143" s="9"/>
      <c r="B143" s="83"/>
      <c r="C143" s="81"/>
      <c r="D143" s="81"/>
      <c r="E143" s="81"/>
      <c r="F143" s="81"/>
      <c r="G143" s="81"/>
      <c r="H143" s="81"/>
      <c r="I143" s="82"/>
      <c r="J143" s="81" t="s">
        <v>299</v>
      </c>
      <c r="K143" s="81"/>
      <c r="L143" s="81"/>
      <c r="M143" s="81"/>
      <c r="N143" s="81"/>
      <c r="O143" s="81"/>
      <c r="P143" s="81"/>
      <c r="Q143" s="82"/>
      <c r="R143" s="38">
        <v>1</v>
      </c>
      <c r="S143" s="36" t="s">
        <v>222</v>
      </c>
      <c r="T143" s="37"/>
      <c r="U143" s="37"/>
      <c r="V143" s="37"/>
      <c r="W143" s="37"/>
      <c r="X143" s="37"/>
      <c r="Y143" s="37"/>
      <c r="Z143" s="37"/>
      <c r="AA143" s="37"/>
      <c r="AB143" s="37"/>
      <c r="AC143" s="37"/>
      <c r="AD143" s="37"/>
      <c r="AE143" s="38"/>
      <c r="AF143" s="284"/>
      <c r="AG143" s="286"/>
      <c r="AH143" s="284"/>
      <c r="AI143" s="286"/>
      <c r="AJ143" s="284" t="s">
        <v>130</v>
      </c>
      <c r="AK143" s="286"/>
      <c r="AL143" s="284"/>
      <c r="AM143" s="286"/>
      <c r="AN143" s="284"/>
      <c r="AO143" s="286"/>
      <c r="AP143" s="284"/>
      <c r="AQ143" s="286"/>
      <c r="AR143" s="284"/>
      <c r="AS143" s="286"/>
      <c r="AT143" s="284" t="s">
        <v>131</v>
      </c>
      <c r="AU143" s="285"/>
      <c r="AV143" s="285"/>
      <c r="AW143" s="285"/>
      <c r="AX143" s="285"/>
      <c r="AY143" s="285"/>
      <c r="AZ143" s="285"/>
      <c r="BA143" s="286"/>
      <c r="BB143" s="284" t="s">
        <v>205</v>
      </c>
      <c r="BC143" s="285"/>
      <c r="BD143" s="285"/>
      <c r="BE143" s="285"/>
      <c r="BF143" s="285"/>
      <c r="BG143" s="285"/>
      <c r="BH143" s="285"/>
      <c r="BI143" s="286"/>
      <c r="BJ143" s="288"/>
      <c r="BK143" s="288"/>
      <c r="BL143" s="288"/>
      <c r="BM143" s="288"/>
      <c r="BN143" s="288"/>
      <c r="BO143" s="288"/>
      <c r="BP143" s="288"/>
      <c r="BQ143" s="288"/>
      <c r="BR143" s="288"/>
      <c r="BS143" s="10"/>
      <c r="BT143" s="11"/>
    </row>
    <row r="144" spans="1:72" s="8" customFormat="1">
      <c r="A144" s="9"/>
      <c r="B144" s="80"/>
      <c r="C144" s="81"/>
      <c r="D144" s="81"/>
      <c r="E144" s="81"/>
      <c r="F144" s="81"/>
      <c r="G144" s="81"/>
      <c r="H144" s="81"/>
      <c r="I144" s="82"/>
      <c r="J144" s="81"/>
      <c r="K144" s="81"/>
      <c r="L144" s="81"/>
      <c r="M144" s="81"/>
      <c r="N144" s="81"/>
      <c r="O144" s="81"/>
      <c r="P144" s="81"/>
      <c r="Q144" s="82"/>
      <c r="R144" s="38">
        <v>2</v>
      </c>
      <c r="S144" s="36" t="s">
        <v>300</v>
      </c>
      <c r="T144" s="37"/>
      <c r="U144" s="37"/>
      <c r="V144" s="37"/>
      <c r="W144" s="37"/>
      <c r="X144" s="37"/>
      <c r="Y144" s="37"/>
      <c r="Z144" s="37"/>
      <c r="AA144" s="37"/>
      <c r="AB144" s="37"/>
      <c r="AC144" s="37"/>
      <c r="AD144" s="37"/>
      <c r="AE144" s="38"/>
      <c r="AF144" s="284"/>
      <c r="AG144" s="286"/>
      <c r="AH144" s="284"/>
      <c r="AI144" s="286"/>
      <c r="AJ144" s="284" t="s">
        <v>130</v>
      </c>
      <c r="AK144" s="286"/>
      <c r="AL144" s="284"/>
      <c r="AM144" s="286"/>
      <c r="AN144" s="284"/>
      <c r="AO144" s="286"/>
      <c r="AP144" s="284"/>
      <c r="AQ144" s="286"/>
      <c r="AR144" s="284"/>
      <c r="AS144" s="286"/>
      <c r="AT144" s="284" t="s">
        <v>131</v>
      </c>
      <c r="AU144" s="285"/>
      <c r="AV144" s="285"/>
      <c r="AW144" s="285"/>
      <c r="AX144" s="285"/>
      <c r="AY144" s="285"/>
      <c r="AZ144" s="285"/>
      <c r="BA144" s="286"/>
      <c r="BB144" s="284" t="s">
        <v>224</v>
      </c>
      <c r="BC144" s="285"/>
      <c r="BD144" s="285"/>
      <c r="BE144" s="285"/>
      <c r="BF144" s="285"/>
      <c r="BG144" s="285"/>
      <c r="BH144" s="285"/>
      <c r="BI144" s="286"/>
      <c r="BJ144" s="288"/>
      <c r="BK144" s="288"/>
      <c r="BL144" s="288"/>
      <c r="BM144" s="288"/>
      <c r="BN144" s="288"/>
      <c r="BO144" s="288"/>
      <c r="BP144" s="288"/>
      <c r="BQ144" s="288"/>
      <c r="BR144" s="288"/>
      <c r="BS144" s="10"/>
    </row>
    <row r="145" spans="1:72" s="8" customFormat="1">
      <c r="A145" s="9"/>
      <c r="B145" s="78" t="s">
        <v>301</v>
      </c>
      <c r="C145" s="73"/>
      <c r="D145" s="73"/>
      <c r="E145" s="73"/>
      <c r="F145" s="73"/>
      <c r="G145" s="73"/>
      <c r="H145" s="73"/>
      <c r="I145" s="79"/>
      <c r="J145" s="73" t="s">
        <v>302</v>
      </c>
      <c r="K145" s="73"/>
      <c r="L145" s="73"/>
      <c r="M145" s="73"/>
      <c r="N145" s="73"/>
      <c r="O145" s="73"/>
      <c r="P145" s="73"/>
      <c r="Q145" s="79"/>
      <c r="R145" s="38">
        <v>1</v>
      </c>
      <c r="S145" s="36" t="s">
        <v>303</v>
      </c>
      <c r="T145" s="37"/>
      <c r="U145" s="37"/>
      <c r="V145" s="37"/>
      <c r="W145" s="37"/>
      <c r="X145" s="37"/>
      <c r="Y145" s="37"/>
      <c r="Z145" s="37"/>
      <c r="AA145" s="37"/>
      <c r="AB145" s="37"/>
      <c r="AC145" s="37"/>
      <c r="AD145" s="37"/>
      <c r="AE145" s="38"/>
      <c r="AF145" s="45"/>
      <c r="AG145" s="46"/>
      <c r="AH145" s="45"/>
      <c r="AI145" s="46"/>
      <c r="AJ145" s="45" t="s">
        <v>130</v>
      </c>
      <c r="AK145" s="46"/>
      <c r="AL145" s="284"/>
      <c r="AM145" s="286"/>
      <c r="AN145" s="284"/>
      <c r="AO145" s="286"/>
      <c r="AP145" s="284"/>
      <c r="AQ145" s="286"/>
      <c r="AR145" s="284"/>
      <c r="AS145" s="286"/>
      <c r="AT145" s="284" t="s">
        <v>143</v>
      </c>
      <c r="AU145" s="285"/>
      <c r="AV145" s="285"/>
      <c r="AW145" s="285"/>
      <c r="AX145" s="285"/>
      <c r="AY145" s="285"/>
      <c r="AZ145" s="285"/>
      <c r="BA145" s="286"/>
      <c r="BB145" s="287" t="s">
        <v>143</v>
      </c>
      <c r="BC145" s="287"/>
      <c r="BD145" s="287"/>
      <c r="BE145" s="287"/>
      <c r="BF145" s="287"/>
      <c r="BG145" s="287"/>
      <c r="BH145" s="287"/>
      <c r="BI145" s="287"/>
      <c r="BJ145" s="288"/>
      <c r="BK145" s="288"/>
      <c r="BL145" s="288"/>
      <c r="BM145" s="288"/>
      <c r="BN145" s="288"/>
      <c r="BO145" s="288"/>
      <c r="BP145" s="288"/>
      <c r="BQ145" s="288"/>
      <c r="BR145" s="288"/>
      <c r="BS145" s="10"/>
      <c r="BT145" s="11"/>
    </row>
    <row r="146" spans="1:72" s="8" customFormat="1">
      <c r="A146" s="9"/>
      <c r="B146" s="80"/>
      <c r="C146" s="81"/>
      <c r="D146" s="81"/>
      <c r="E146" s="81"/>
      <c r="F146" s="81"/>
      <c r="G146" s="81"/>
      <c r="H146" s="81"/>
      <c r="I146" s="82"/>
      <c r="J146" s="81"/>
      <c r="K146" s="81"/>
      <c r="L146" s="81"/>
      <c r="M146" s="81"/>
      <c r="N146" s="81"/>
      <c r="O146" s="81"/>
      <c r="P146" s="81"/>
      <c r="Q146" s="82"/>
      <c r="R146" s="38">
        <v>2</v>
      </c>
      <c r="S146" s="36" t="s">
        <v>304</v>
      </c>
      <c r="T146" s="37"/>
      <c r="U146" s="37"/>
      <c r="V146" s="37"/>
      <c r="W146" s="37"/>
      <c r="X146" s="37"/>
      <c r="Y146" s="37"/>
      <c r="Z146" s="37"/>
      <c r="AA146" s="37"/>
      <c r="AB146" s="37"/>
      <c r="AC146" s="37"/>
      <c r="AD146" s="37"/>
      <c r="AE146" s="38"/>
      <c r="AF146" s="45" t="s">
        <v>130</v>
      </c>
      <c r="AG146" s="46"/>
      <c r="AH146" s="45"/>
      <c r="AI146" s="46"/>
      <c r="AJ146" s="45"/>
      <c r="AK146" s="46"/>
      <c r="AL146" s="284"/>
      <c r="AM146" s="286"/>
      <c r="AN146" s="284"/>
      <c r="AO146" s="286"/>
      <c r="AP146" s="284"/>
      <c r="AQ146" s="286"/>
      <c r="AR146" s="284"/>
      <c r="AS146" s="286"/>
      <c r="AT146" s="284" t="s">
        <v>143</v>
      </c>
      <c r="AU146" s="285"/>
      <c r="AV146" s="285"/>
      <c r="AW146" s="285"/>
      <c r="AX146" s="285"/>
      <c r="AY146" s="285"/>
      <c r="AZ146" s="285"/>
      <c r="BA146" s="286"/>
      <c r="BB146" s="287" t="s">
        <v>143</v>
      </c>
      <c r="BC146" s="287"/>
      <c r="BD146" s="287"/>
      <c r="BE146" s="287"/>
      <c r="BF146" s="287"/>
      <c r="BG146" s="287"/>
      <c r="BH146" s="287"/>
      <c r="BI146" s="287"/>
      <c r="BJ146" s="288"/>
      <c r="BK146" s="288"/>
      <c r="BL146" s="288"/>
      <c r="BM146" s="288"/>
      <c r="BN146" s="288"/>
      <c r="BO146" s="288"/>
      <c r="BP146" s="288"/>
      <c r="BQ146" s="288"/>
      <c r="BR146" s="288"/>
      <c r="BS146" s="10"/>
    </row>
    <row r="147" spans="1:72" s="8" customFormat="1">
      <c r="A147" s="9"/>
      <c r="B147" s="83"/>
      <c r="C147" s="81"/>
      <c r="D147" s="81"/>
      <c r="E147" s="81"/>
      <c r="F147" s="81"/>
      <c r="G147" s="81"/>
      <c r="H147" s="81"/>
      <c r="I147" s="82"/>
      <c r="J147" s="81"/>
      <c r="K147" s="81"/>
      <c r="L147" s="81"/>
      <c r="M147" s="81"/>
      <c r="N147" s="81"/>
      <c r="O147" s="81"/>
      <c r="P147" s="81"/>
      <c r="Q147" s="82"/>
      <c r="R147" s="38">
        <v>3</v>
      </c>
      <c r="S147" s="36" t="s">
        <v>305</v>
      </c>
      <c r="T147" s="37"/>
      <c r="U147" s="37"/>
      <c r="V147" s="37"/>
      <c r="W147" s="37"/>
      <c r="X147" s="37"/>
      <c r="Y147" s="37"/>
      <c r="Z147" s="37"/>
      <c r="AA147" s="37"/>
      <c r="AB147" s="37"/>
      <c r="AC147" s="37"/>
      <c r="AD147" s="37"/>
      <c r="AE147" s="38"/>
      <c r="AF147" s="284"/>
      <c r="AG147" s="286"/>
      <c r="AH147" s="284"/>
      <c r="AI147" s="286"/>
      <c r="AJ147" s="284" t="s">
        <v>130</v>
      </c>
      <c r="AK147" s="286"/>
      <c r="AL147" s="284"/>
      <c r="AM147" s="286"/>
      <c r="AN147" s="284"/>
      <c r="AO147" s="286"/>
      <c r="AP147" s="284"/>
      <c r="AQ147" s="286"/>
      <c r="AR147" s="284"/>
      <c r="AS147" s="286"/>
      <c r="AT147" s="284" t="s">
        <v>143</v>
      </c>
      <c r="AU147" s="285"/>
      <c r="AV147" s="285"/>
      <c r="AW147" s="285"/>
      <c r="AX147" s="285"/>
      <c r="AY147" s="285"/>
      <c r="AZ147" s="285"/>
      <c r="BA147" s="286"/>
      <c r="BB147" s="287" t="s">
        <v>143</v>
      </c>
      <c r="BC147" s="287"/>
      <c r="BD147" s="287"/>
      <c r="BE147" s="287"/>
      <c r="BF147" s="287"/>
      <c r="BG147" s="287"/>
      <c r="BH147" s="287"/>
      <c r="BI147" s="287"/>
      <c r="BJ147" s="288"/>
      <c r="BK147" s="288"/>
      <c r="BL147" s="288"/>
      <c r="BM147" s="288"/>
      <c r="BN147" s="288"/>
      <c r="BO147" s="288"/>
      <c r="BP147" s="288"/>
      <c r="BQ147" s="288"/>
      <c r="BR147" s="288"/>
      <c r="BS147" s="10"/>
      <c r="BT147" s="11"/>
    </row>
    <row r="148" spans="1:72" s="8" customFormat="1">
      <c r="A148" s="9"/>
      <c r="B148" s="80"/>
      <c r="C148" s="81"/>
      <c r="D148" s="81"/>
      <c r="E148" s="81"/>
      <c r="F148" s="81"/>
      <c r="G148" s="81"/>
      <c r="H148" s="81"/>
      <c r="I148" s="82"/>
      <c r="J148" s="81"/>
      <c r="K148" s="81"/>
      <c r="L148" s="81"/>
      <c r="M148" s="81"/>
      <c r="N148" s="81"/>
      <c r="O148" s="81"/>
      <c r="P148" s="81"/>
      <c r="Q148" s="82"/>
      <c r="R148" s="38">
        <v>4</v>
      </c>
      <c r="S148" s="36" t="s">
        <v>306</v>
      </c>
      <c r="T148" s="37"/>
      <c r="U148" s="37"/>
      <c r="V148" s="37"/>
      <c r="W148" s="37"/>
      <c r="X148" s="37"/>
      <c r="Y148" s="37"/>
      <c r="Z148" s="37"/>
      <c r="AA148" s="37"/>
      <c r="AB148" s="37"/>
      <c r="AC148" s="37"/>
      <c r="AD148" s="37"/>
      <c r="AE148" s="38"/>
      <c r="AF148" s="284" t="s">
        <v>130</v>
      </c>
      <c r="AG148" s="286"/>
      <c r="AH148" s="284"/>
      <c r="AI148" s="286"/>
      <c r="AJ148" s="284"/>
      <c r="AK148" s="286"/>
      <c r="AL148" s="284"/>
      <c r="AM148" s="286"/>
      <c r="AN148" s="284"/>
      <c r="AO148" s="286"/>
      <c r="AP148" s="284"/>
      <c r="AQ148" s="286"/>
      <c r="AR148" s="284"/>
      <c r="AS148" s="286"/>
      <c r="AT148" s="284" t="s">
        <v>143</v>
      </c>
      <c r="AU148" s="285"/>
      <c r="AV148" s="285"/>
      <c r="AW148" s="285"/>
      <c r="AX148" s="285"/>
      <c r="AY148" s="285"/>
      <c r="AZ148" s="285"/>
      <c r="BA148" s="286"/>
      <c r="BB148" s="287" t="s">
        <v>143</v>
      </c>
      <c r="BC148" s="287"/>
      <c r="BD148" s="287"/>
      <c r="BE148" s="287"/>
      <c r="BF148" s="287"/>
      <c r="BG148" s="287"/>
      <c r="BH148" s="287"/>
      <c r="BI148" s="287"/>
      <c r="BJ148" s="288"/>
      <c r="BK148" s="288"/>
      <c r="BL148" s="288"/>
      <c r="BM148" s="288"/>
      <c r="BN148" s="288"/>
      <c r="BO148" s="288"/>
      <c r="BP148" s="288"/>
      <c r="BQ148" s="288"/>
      <c r="BR148" s="288"/>
      <c r="BS148" s="10"/>
    </row>
    <row r="149" spans="1:72" s="8" customFormat="1">
      <c r="A149" s="9"/>
      <c r="B149" s="80"/>
      <c r="C149" s="81"/>
      <c r="D149" s="81"/>
      <c r="E149" s="81"/>
      <c r="F149" s="81"/>
      <c r="G149" s="81"/>
      <c r="H149" s="81"/>
      <c r="I149" s="82"/>
      <c r="J149" s="73" t="s">
        <v>307</v>
      </c>
      <c r="K149" s="73"/>
      <c r="L149" s="73"/>
      <c r="M149" s="73"/>
      <c r="N149" s="73"/>
      <c r="O149" s="73"/>
      <c r="P149" s="73"/>
      <c r="Q149" s="79"/>
      <c r="R149" s="38">
        <v>1</v>
      </c>
      <c r="S149" s="36" t="s">
        <v>308</v>
      </c>
      <c r="T149" s="37"/>
      <c r="U149" s="37"/>
      <c r="V149" s="37"/>
      <c r="W149" s="37"/>
      <c r="X149" s="37"/>
      <c r="Y149" s="37"/>
      <c r="Z149" s="37"/>
      <c r="AA149" s="37"/>
      <c r="AB149" s="37"/>
      <c r="AC149" s="37"/>
      <c r="AD149" s="37"/>
      <c r="AE149" s="38"/>
      <c r="AF149" s="284"/>
      <c r="AG149" s="286"/>
      <c r="AH149" s="284"/>
      <c r="AI149" s="286"/>
      <c r="AJ149" s="284"/>
      <c r="AK149" s="286"/>
      <c r="AL149" s="284"/>
      <c r="AM149" s="286"/>
      <c r="AN149" s="284" t="s">
        <v>130</v>
      </c>
      <c r="AO149" s="286"/>
      <c r="AP149" s="284"/>
      <c r="AQ149" s="286"/>
      <c r="AR149" s="284"/>
      <c r="AS149" s="286"/>
      <c r="AT149" s="284" t="s">
        <v>143</v>
      </c>
      <c r="AU149" s="285"/>
      <c r="AV149" s="285"/>
      <c r="AW149" s="285"/>
      <c r="AX149" s="285"/>
      <c r="AY149" s="285"/>
      <c r="AZ149" s="285"/>
      <c r="BA149" s="286"/>
      <c r="BB149" s="287" t="s">
        <v>143</v>
      </c>
      <c r="BC149" s="287"/>
      <c r="BD149" s="287"/>
      <c r="BE149" s="287"/>
      <c r="BF149" s="287"/>
      <c r="BG149" s="287"/>
      <c r="BH149" s="287"/>
      <c r="BI149" s="287"/>
      <c r="BJ149" s="288"/>
      <c r="BK149" s="288"/>
      <c r="BL149" s="288"/>
      <c r="BM149" s="288"/>
      <c r="BN149" s="288"/>
      <c r="BO149" s="288"/>
      <c r="BP149" s="288"/>
      <c r="BQ149" s="288"/>
      <c r="BR149" s="288"/>
      <c r="BS149" s="10"/>
    </row>
    <row r="150" spans="1:72" s="8" customFormat="1">
      <c r="A150" s="9"/>
      <c r="B150" s="83"/>
      <c r="C150" s="81"/>
      <c r="D150" s="81"/>
      <c r="E150" s="81"/>
      <c r="F150" s="81"/>
      <c r="G150" s="81"/>
      <c r="H150" s="81"/>
      <c r="I150" s="82"/>
      <c r="J150" s="81"/>
      <c r="K150" s="81"/>
      <c r="L150" s="81"/>
      <c r="M150" s="81"/>
      <c r="N150" s="81"/>
      <c r="O150" s="81"/>
      <c r="P150" s="81"/>
      <c r="Q150" s="82"/>
      <c r="R150" s="38">
        <v>2</v>
      </c>
      <c r="S150" s="36" t="s">
        <v>211</v>
      </c>
      <c r="T150" s="37"/>
      <c r="U150" s="37"/>
      <c r="V150" s="37"/>
      <c r="W150" s="37"/>
      <c r="X150" s="37"/>
      <c r="Y150" s="37"/>
      <c r="Z150" s="37"/>
      <c r="AA150" s="37"/>
      <c r="AB150" s="37"/>
      <c r="AC150" s="37"/>
      <c r="AD150" s="37"/>
      <c r="AE150" s="38"/>
      <c r="AF150" s="284"/>
      <c r="AG150" s="286"/>
      <c r="AH150" s="284"/>
      <c r="AI150" s="286"/>
      <c r="AJ150" s="284"/>
      <c r="AK150" s="286"/>
      <c r="AL150" s="284"/>
      <c r="AM150" s="286"/>
      <c r="AN150" s="284" t="s">
        <v>130</v>
      </c>
      <c r="AO150" s="286"/>
      <c r="AP150" s="284"/>
      <c r="AQ150" s="286"/>
      <c r="AR150" s="284"/>
      <c r="AS150" s="286"/>
      <c r="AT150" s="284" t="s">
        <v>131</v>
      </c>
      <c r="AU150" s="285"/>
      <c r="AV150" s="285"/>
      <c r="AW150" s="285"/>
      <c r="AX150" s="285"/>
      <c r="AY150" s="285"/>
      <c r="AZ150" s="285"/>
      <c r="BA150" s="286"/>
      <c r="BB150" s="287" t="s">
        <v>132</v>
      </c>
      <c r="BC150" s="287"/>
      <c r="BD150" s="287"/>
      <c r="BE150" s="287"/>
      <c r="BF150" s="287"/>
      <c r="BG150" s="287"/>
      <c r="BH150" s="287"/>
      <c r="BI150" s="287"/>
      <c r="BJ150" s="288"/>
      <c r="BK150" s="288"/>
      <c r="BL150" s="288"/>
      <c r="BM150" s="288"/>
      <c r="BN150" s="288"/>
      <c r="BO150" s="288"/>
      <c r="BP150" s="288"/>
      <c r="BQ150" s="288"/>
      <c r="BR150" s="288"/>
      <c r="BS150" s="10"/>
      <c r="BT150" s="11"/>
    </row>
    <row r="151" spans="1:72" s="8" customFormat="1">
      <c r="A151" s="9"/>
      <c r="B151" s="80"/>
      <c r="C151" s="81"/>
      <c r="D151" s="81"/>
      <c r="E151" s="81"/>
      <c r="F151" s="81"/>
      <c r="G151" s="81"/>
      <c r="H151" s="81"/>
      <c r="I151" s="82"/>
      <c r="J151" s="81"/>
      <c r="K151" s="81"/>
      <c r="L151" s="81"/>
      <c r="M151" s="81"/>
      <c r="N151" s="81"/>
      <c r="O151" s="81"/>
      <c r="P151" s="81"/>
      <c r="Q151" s="82"/>
      <c r="R151" s="38">
        <v>3</v>
      </c>
      <c r="S151" s="36" t="s">
        <v>212</v>
      </c>
      <c r="T151" s="37"/>
      <c r="U151" s="37"/>
      <c r="V151" s="37"/>
      <c r="W151" s="37"/>
      <c r="X151" s="37"/>
      <c r="Y151" s="37"/>
      <c r="Z151" s="37"/>
      <c r="AA151" s="37"/>
      <c r="AB151" s="37"/>
      <c r="AC151" s="37"/>
      <c r="AD151" s="37"/>
      <c r="AE151" s="38"/>
      <c r="AF151" s="284"/>
      <c r="AG151" s="286"/>
      <c r="AH151" s="284"/>
      <c r="AI151" s="286"/>
      <c r="AJ151" s="284"/>
      <c r="AK151" s="286"/>
      <c r="AL151" s="284"/>
      <c r="AM151" s="286"/>
      <c r="AN151" s="284" t="s">
        <v>130</v>
      </c>
      <c r="AO151" s="286"/>
      <c r="AP151" s="284"/>
      <c r="AQ151" s="286"/>
      <c r="AR151" s="284"/>
      <c r="AS151" s="286"/>
      <c r="AT151" s="284" t="s">
        <v>131</v>
      </c>
      <c r="AU151" s="285"/>
      <c r="AV151" s="285"/>
      <c r="AW151" s="285"/>
      <c r="AX151" s="285"/>
      <c r="AY151" s="285"/>
      <c r="AZ151" s="285"/>
      <c r="BA151" s="286"/>
      <c r="BB151" s="284" t="s">
        <v>224</v>
      </c>
      <c r="BC151" s="285"/>
      <c r="BD151" s="285"/>
      <c r="BE151" s="285"/>
      <c r="BF151" s="285"/>
      <c r="BG151" s="285"/>
      <c r="BH151" s="285"/>
      <c r="BI151" s="286"/>
      <c r="BJ151" s="288"/>
      <c r="BK151" s="288"/>
      <c r="BL151" s="288"/>
      <c r="BM151" s="288"/>
      <c r="BN151" s="288"/>
      <c r="BO151" s="288"/>
      <c r="BP151" s="288"/>
      <c r="BQ151" s="288"/>
      <c r="BR151" s="288"/>
      <c r="BS151" s="10"/>
    </row>
    <row r="152" spans="1:72" s="8" customFormat="1">
      <c r="A152" s="9"/>
      <c r="B152" s="83"/>
      <c r="C152" s="81"/>
      <c r="D152" s="81"/>
      <c r="E152" s="81"/>
      <c r="F152" s="81"/>
      <c r="G152" s="81"/>
      <c r="H152" s="81"/>
      <c r="I152" s="82"/>
      <c r="J152" s="81"/>
      <c r="K152" s="81"/>
      <c r="L152" s="81"/>
      <c r="M152" s="81"/>
      <c r="N152" s="81"/>
      <c r="O152" s="81"/>
      <c r="P152" s="81"/>
      <c r="Q152" s="82"/>
      <c r="R152" s="38">
        <v>4</v>
      </c>
      <c r="S152" s="36" t="s">
        <v>213</v>
      </c>
      <c r="T152" s="37"/>
      <c r="U152" s="37"/>
      <c r="V152" s="37"/>
      <c r="W152" s="37"/>
      <c r="X152" s="37"/>
      <c r="Y152" s="37"/>
      <c r="Z152" s="37"/>
      <c r="AA152" s="37"/>
      <c r="AB152" s="37"/>
      <c r="AC152" s="37"/>
      <c r="AD152" s="37"/>
      <c r="AE152" s="38"/>
      <c r="AF152" s="284"/>
      <c r="AG152" s="286"/>
      <c r="AH152" s="284"/>
      <c r="AI152" s="286"/>
      <c r="AJ152" s="284"/>
      <c r="AK152" s="286"/>
      <c r="AL152" s="284"/>
      <c r="AM152" s="286"/>
      <c r="AN152" s="284" t="s">
        <v>130</v>
      </c>
      <c r="AO152" s="286"/>
      <c r="AP152" s="284"/>
      <c r="AQ152" s="286"/>
      <c r="AR152" s="284"/>
      <c r="AS152" s="286"/>
      <c r="AT152" s="284" t="s">
        <v>131</v>
      </c>
      <c r="AU152" s="285"/>
      <c r="AV152" s="285"/>
      <c r="AW152" s="285"/>
      <c r="AX152" s="285"/>
      <c r="AY152" s="285"/>
      <c r="AZ152" s="285"/>
      <c r="BA152" s="286"/>
      <c r="BB152" s="287" t="s">
        <v>132</v>
      </c>
      <c r="BC152" s="287"/>
      <c r="BD152" s="287"/>
      <c r="BE152" s="287"/>
      <c r="BF152" s="287"/>
      <c r="BG152" s="287"/>
      <c r="BH152" s="287"/>
      <c r="BI152" s="287"/>
      <c r="BJ152" s="288"/>
      <c r="BK152" s="288"/>
      <c r="BL152" s="288"/>
      <c r="BM152" s="288"/>
      <c r="BN152" s="288"/>
      <c r="BO152" s="288"/>
      <c r="BP152" s="288"/>
      <c r="BQ152" s="288"/>
      <c r="BR152" s="288"/>
      <c r="BS152" s="10"/>
      <c r="BT152" s="11"/>
    </row>
    <row r="153" spans="1:72" s="8" customFormat="1">
      <c r="A153" s="9"/>
      <c r="B153" s="80"/>
      <c r="C153" s="81"/>
      <c r="D153" s="81"/>
      <c r="E153" s="81"/>
      <c r="F153" s="81"/>
      <c r="G153" s="81"/>
      <c r="H153" s="81"/>
      <c r="I153" s="82"/>
      <c r="J153" s="81"/>
      <c r="K153" s="81"/>
      <c r="L153" s="81"/>
      <c r="M153" s="81"/>
      <c r="N153" s="81"/>
      <c r="O153" s="81"/>
      <c r="P153" s="81"/>
      <c r="Q153" s="82"/>
      <c r="R153" s="38">
        <v>5</v>
      </c>
      <c r="S153" s="36" t="s">
        <v>309</v>
      </c>
      <c r="T153" s="37"/>
      <c r="U153" s="37"/>
      <c r="V153" s="37"/>
      <c r="W153" s="37"/>
      <c r="X153" s="37"/>
      <c r="Y153" s="37"/>
      <c r="Z153" s="37"/>
      <c r="AA153" s="37"/>
      <c r="AB153" s="37"/>
      <c r="AC153" s="37"/>
      <c r="AD153" s="37"/>
      <c r="AE153" s="38"/>
      <c r="AF153" s="284"/>
      <c r="AG153" s="286"/>
      <c r="AH153" s="284"/>
      <c r="AI153" s="286"/>
      <c r="AJ153" s="284" t="s">
        <v>130</v>
      </c>
      <c r="AK153" s="286"/>
      <c r="AL153" s="284"/>
      <c r="AM153" s="286"/>
      <c r="AN153" s="284"/>
      <c r="AO153" s="286"/>
      <c r="AP153" s="284"/>
      <c r="AQ153" s="286"/>
      <c r="AR153" s="284"/>
      <c r="AS153" s="286"/>
      <c r="AT153" s="284" t="s">
        <v>131</v>
      </c>
      <c r="AU153" s="285"/>
      <c r="AV153" s="285"/>
      <c r="AW153" s="285"/>
      <c r="AX153" s="285"/>
      <c r="AY153" s="285"/>
      <c r="AZ153" s="285"/>
      <c r="BA153" s="286"/>
      <c r="BB153" s="284" t="s">
        <v>224</v>
      </c>
      <c r="BC153" s="285"/>
      <c r="BD153" s="285"/>
      <c r="BE153" s="285"/>
      <c r="BF153" s="285"/>
      <c r="BG153" s="285"/>
      <c r="BH153" s="285"/>
      <c r="BI153" s="286"/>
      <c r="BJ153" s="288"/>
      <c r="BK153" s="288"/>
      <c r="BL153" s="288"/>
      <c r="BM153" s="288"/>
      <c r="BN153" s="288"/>
      <c r="BO153" s="288"/>
      <c r="BP153" s="288"/>
      <c r="BQ153" s="288"/>
      <c r="BR153" s="288"/>
      <c r="BS153" s="10"/>
    </row>
    <row r="154" spans="1:72" s="8" customFormat="1">
      <c r="A154" s="9"/>
      <c r="B154" s="83"/>
      <c r="C154" s="81"/>
      <c r="D154" s="81"/>
      <c r="E154" s="81"/>
      <c r="F154" s="81"/>
      <c r="G154" s="81"/>
      <c r="H154" s="81"/>
      <c r="I154" s="82"/>
      <c r="J154" s="81"/>
      <c r="K154" s="81"/>
      <c r="L154" s="81"/>
      <c r="M154" s="81"/>
      <c r="N154" s="81"/>
      <c r="O154" s="81"/>
      <c r="P154" s="81"/>
      <c r="Q154" s="82"/>
      <c r="R154" s="38">
        <v>6</v>
      </c>
      <c r="S154" s="36" t="s">
        <v>310</v>
      </c>
      <c r="T154" s="37"/>
      <c r="U154" s="37"/>
      <c r="V154" s="37"/>
      <c r="W154" s="37"/>
      <c r="X154" s="37"/>
      <c r="Y154" s="37"/>
      <c r="Z154" s="37"/>
      <c r="AA154" s="37"/>
      <c r="AB154" s="37"/>
      <c r="AC154" s="37"/>
      <c r="AD154" s="37"/>
      <c r="AE154" s="38"/>
      <c r="AF154" s="284" t="s">
        <v>130</v>
      </c>
      <c r="AG154" s="286"/>
      <c r="AH154" s="284"/>
      <c r="AI154" s="286"/>
      <c r="AJ154" s="284"/>
      <c r="AK154" s="286"/>
      <c r="AL154" s="284"/>
      <c r="AM154" s="286"/>
      <c r="AN154" s="284"/>
      <c r="AO154" s="286"/>
      <c r="AP154" s="284"/>
      <c r="AQ154" s="286"/>
      <c r="AR154" s="284"/>
      <c r="AS154" s="286"/>
      <c r="AT154" s="287" t="s">
        <v>142</v>
      </c>
      <c r="AU154" s="287"/>
      <c r="AV154" s="287"/>
      <c r="AW154" s="287"/>
      <c r="AX154" s="287"/>
      <c r="AY154" s="287"/>
      <c r="AZ154" s="287"/>
      <c r="BA154" s="287"/>
      <c r="BB154" s="287" t="s">
        <v>143</v>
      </c>
      <c r="BC154" s="287"/>
      <c r="BD154" s="287"/>
      <c r="BE154" s="287"/>
      <c r="BF154" s="287"/>
      <c r="BG154" s="287"/>
      <c r="BH154" s="287"/>
      <c r="BI154" s="287"/>
      <c r="BJ154" s="288"/>
      <c r="BK154" s="288"/>
      <c r="BL154" s="288"/>
      <c r="BM154" s="288"/>
      <c r="BN154" s="288"/>
      <c r="BO154" s="288"/>
      <c r="BP154" s="288"/>
      <c r="BQ154" s="288"/>
      <c r="BR154" s="288"/>
      <c r="BS154" s="10"/>
      <c r="BT154" s="11"/>
    </row>
    <row r="155" spans="1:72" s="8" customFormat="1">
      <c r="A155" s="9"/>
      <c r="B155" s="80"/>
      <c r="C155" s="81"/>
      <c r="D155" s="81"/>
      <c r="E155" s="81"/>
      <c r="F155" s="81"/>
      <c r="G155" s="81"/>
      <c r="H155" s="81"/>
      <c r="I155" s="82"/>
      <c r="J155" s="81"/>
      <c r="K155" s="81"/>
      <c r="L155" s="81"/>
      <c r="M155" s="81"/>
      <c r="N155" s="81"/>
      <c r="O155" s="81"/>
      <c r="P155" s="81"/>
      <c r="Q155" s="82"/>
      <c r="R155" s="38">
        <v>7</v>
      </c>
      <c r="S155" s="36" t="s">
        <v>311</v>
      </c>
      <c r="T155" s="37"/>
      <c r="U155" s="37"/>
      <c r="V155" s="37"/>
      <c r="W155" s="37"/>
      <c r="X155" s="37"/>
      <c r="Y155" s="37"/>
      <c r="Z155" s="37"/>
      <c r="AA155" s="37"/>
      <c r="AB155" s="37"/>
      <c r="AC155" s="37"/>
      <c r="AD155" s="37"/>
      <c r="AE155" s="38"/>
      <c r="AF155" s="284" t="s">
        <v>130</v>
      </c>
      <c r="AG155" s="286"/>
      <c r="AH155" s="284"/>
      <c r="AI155" s="286"/>
      <c r="AJ155" s="284"/>
      <c r="AK155" s="286"/>
      <c r="AL155" s="284"/>
      <c r="AM155" s="286"/>
      <c r="AN155" s="284"/>
      <c r="AO155" s="286"/>
      <c r="AP155" s="284"/>
      <c r="AQ155" s="286"/>
      <c r="AR155" s="284"/>
      <c r="AS155" s="286"/>
      <c r="AT155" s="287" t="s">
        <v>142</v>
      </c>
      <c r="AU155" s="287"/>
      <c r="AV155" s="287"/>
      <c r="AW155" s="287"/>
      <c r="AX155" s="287"/>
      <c r="AY155" s="287"/>
      <c r="AZ155" s="287"/>
      <c r="BA155" s="287"/>
      <c r="BB155" s="287" t="s">
        <v>143</v>
      </c>
      <c r="BC155" s="287"/>
      <c r="BD155" s="287"/>
      <c r="BE155" s="287"/>
      <c r="BF155" s="287"/>
      <c r="BG155" s="287"/>
      <c r="BH155" s="287"/>
      <c r="BI155" s="287"/>
      <c r="BJ155" s="288"/>
      <c r="BK155" s="288"/>
      <c r="BL155" s="288"/>
      <c r="BM155" s="288"/>
      <c r="BN155" s="288"/>
      <c r="BO155" s="288"/>
      <c r="BP155" s="288"/>
      <c r="BQ155" s="288"/>
      <c r="BR155" s="288"/>
      <c r="BS155" s="10"/>
    </row>
    <row r="156" spans="1:72" s="8" customFormat="1">
      <c r="A156" s="9"/>
      <c r="B156" s="83"/>
      <c r="C156" s="81"/>
      <c r="D156" s="81"/>
      <c r="E156" s="81"/>
      <c r="F156" s="81"/>
      <c r="G156" s="81"/>
      <c r="H156" s="81"/>
      <c r="I156" s="82"/>
      <c r="J156" s="81"/>
      <c r="K156" s="81"/>
      <c r="L156" s="81"/>
      <c r="M156" s="81"/>
      <c r="N156" s="81"/>
      <c r="O156" s="81"/>
      <c r="P156" s="81"/>
      <c r="Q156" s="82"/>
      <c r="R156" s="38">
        <v>8</v>
      </c>
      <c r="S156" s="36" t="s">
        <v>312</v>
      </c>
      <c r="T156" s="37"/>
      <c r="U156" s="37"/>
      <c r="V156" s="37"/>
      <c r="W156" s="37"/>
      <c r="X156" s="37"/>
      <c r="Y156" s="37"/>
      <c r="Z156" s="37"/>
      <c r="AA156" s="37"/>
      <c r="AB156" s="37"/>
      <c r="AC156" s="37"/>
      <c r="AD156" s="37"/>
      <c r="AE156" s="38"/>
      <c r="AF156" s="284"/>
      <c r="AG156" s="286"/>
      <c r="AH156" s="284"/>
      <c r="AI156" s="286"/>
      <c r="AJ156" s="284" t="s">
        <v>130</v>
      </c>
      <c r="AK156" s="286"/>
      <c r="AL156" s="284"/>
      <c r="AM156" s="286"/>
      <c r="AN156" s="284"/>
      <c r="AO156" s="286"/>
      <c r="AP156" s="284"/>
      <c r="AQ156" s="286"/>
      <c r="AR156" s="284"/>
      <c r="AS156" s="286"/>
      <c r="AT156" s="287" t="s">
        <v>142</v>
      </c>
      <c r="AU156" s="287"/>
      <c r="AV156" s="287"/>
      <c r="AW156" s="287"/>
      <c r="AX156" s="287"/>
      <c r="AY156" s="287"/>
      <c r="AZ156" s="287"/>
      <c r="BA156" s="287"/>
      <c r="BB156" s="287" t="s">
        <v>143</v>
      </c>
      <c r="BC156" s="287"/>
      <c r="BD156" s="287"/>
      <c r="BE156" s="287"/>
      <c r="BF156" s="287"/>
      <c r="BG156" s="287"/>
      <c r="BH156" s="287"/>
      <c r="BI156" s="287"/>
      <c r="BJ156" s="288"/>
      <c r="BK156" s="288"/>
      <c r="BL156" s="288"/>
      <c r="BM156" s="288"/>
      <c r="BN156" s="288"/>
      <c r="BO156" s="288"/>
      <c r="BP156" s="288"/>
      <c r="BQ156" s="288"/>
      <c r="BR156" s="288"/>
      <c r="BS156" s="10"/>
      <c r="BT156" s="11"/>
    </row>
    <row r="157" spans="1:72" s="8" customFormat="1">
      <c r="A157" s="9"/>
      <c r="B157" s="80"/>
      <c r="C157" s="81"/>
      <c r="D157" s="81"/>
      <c r="E157" s="81"/>
      <c r="F157" s="81"/>
      <c r="G157" s="81"/>
      <c r="H157" s="81"/>
      <c r="I157" s="82"/>
      <c r="J157" s="81"/>
      <c r="K157" s="81"/>
      <c r="L157" s="81"/>
      <c r="M157" s="81"/>
      <c r="N157" s="81"/>
      <c r="O157" s="81"/>
      <c r="P157" s="81"/>
      <c r="Q157" s="82"/>
      <c r="R157" s="38">
        <v>9</v>
      </c>
      <c r="S157" s="36" t="s">
        <v>313</v>
      </c>
      <c r="T157" s="37"/>
      <c r="U157" s="37"/>
      <c r="V157" s="37"/>
      <c r="W157" s="37"/>
      <c r="X157" s="37"/>
      <c r="Y157" s="37"/>
      <c r="Z157" s="37"/>
      <c r="AA157" s="37"/>
      <c r="AB157" s="37"/>
      <c r="AC157" s="37"/>
      <c r="AD157" s="37"/>
      <c r="AE157" s="38"/>
      <c r="AF157" s="284"/>
      <c r="AG157" s="286"/>
      <c r="AH157" s="284"/>
      <c r="AI157" s="286"/>
      <c r="AJ157" s="284" t="s">
        <v>130</v>
      </c>
      <c r="AK157" s="286"/>
      <c r="AL157" s="284"/>
      <c r="AM157" s="286"/>
      <c r="AN157" s="284"/>
      <c r="AO157" s="286"/>
      <c r="AP157" s="284"/>
      <c r="AQ157" s="286"/>
      <c r="AR157" s="284"/>
      <c r="AS157" s="286"/>
      <c r="AT157" s="287" t="s">
        <v>142</v>
      </c>
      <c r="AU157" s="287"/>
      <c r="AV157" s="287"/>
      <c r="AW157" s="287"/>
      <c r="AX157" s="287"/>
      <c r="AY157" s="287"/>
      <c r="AZ157" s="287"/>
      <c r="BA157" s="287"/>
      <c r="BB157" s="287" t="s">
        <v>143</v>
      </c>
      <c r="BC157" s="287"/>
      <c r="BD157" s="287"/>
      <c r="BE157" s="287"/>
      <c r="BF157" s="287"/>
      <c r="BG157" s="287"/>
      <c r="BH157" s="287"/>
      <c r="BI157" s="287"/>
      <c r="BJ157" s="288"/>
      <c r="BK157" s="288"/>
      <c r="BL157" s="288"/>
      <c r="BM157" s="288"/>
      <c r="BN157" s="288"/>
      <c r="BO157" s="288"/>
      <c r="BP157" s="288"/>
      <c r="BQ157" s="288"/>
      <c r="BR157" s="288"/>
      <c r="BS157" s="10"/>
    </row>
    <row r="158" spans="1:72" s="8" customFormat="1">
      <c r="A158" s="9"/>
      <c r="B158" s="83"/>
      <c r="C158" s="81"/>
      <c r="D158" s="81"/>
      <c r="E158" s="81"/>
      <c r="F158" s="81"/>
      <c r="G158" s="81"/>
      <c r="H158" s="81"/>
      <c r="I158" s="81"/>
      <c r="J158" s="83"/>
      <c r="K158" s="81"/>
      <c r="L158" s="81"/>
      <c r="M158" s="81"/>
      <c r="N158" s="81"/>
      <c r="O158" s="81"/>
      <c r="P158" s="81"/>
      <c r="Q158" s="82"/>
      <c r="R158" s="38">
        <v>10</v>
      </c>
      <c r="S158" s="36" t="s">
        <v>218</v>
      </c>
      <c r="T158" s="37"/>
      <c r="U158" s="37"/>
      <c r="V158" s="37"/>
      <c r="W158" s="37"/>
      <c r="X158" s="37"/>
      <c r="Y158" s="37"/>
      <c r="Z158" s="37"/>
      <c r="AA158" s="37"/>
      <c r="AB158" s="37"/>
      <c r="AC158" s="37"/>
      <c r="AD158" s="37"/>
      <c r="AE158" s="38"/>
      <c r="AF158" s="284"/>
      <c r="AG158" s="286"/>
      <c r="AH158" s="284"/>
      <c r="AI158" s="286"/>
      <c r="AJ158" s="284"/>
      <c r="AK158" s="286"/>
      <c r="AL158" s="284"/>
      <c r="AM158" s="286"/>
      <c r="AN158" s="284" t="s">
        <v>130</v>
      </c>
      <c r="AO158" s="286"/>
      <c r="AP158" s="284"/>
      <c r="AQ158" s="286"/>
      <c r="AR158" s="284"/>
      <c r="AS158" s="286"/>
      <c r="AT158" s="284" t="s">
        <v>201</v>
      </c>
      <c r="AU158" s="285"/>
      <c r="AV158" s="285"/>
      <c r="AW158" s="285"/>
      <c r="AX158" s="285"/>
      <c r="AY158" s="285"/>
      <c r="AZ158" s="285"/>
      <c r="BA158" s="286"/>
      <c r="BB158" s="287"/>
      <c r="BC158" s="287"/>
      <c r="BD158" s="287"/>
      <c r="BE158" s="287"/>
      <c r="BF158" s="287"/>
      <c r="BG158" s="287"/>
      <c r="BH158" s="287"/>
      <c r="BI158" s="287"/>
      <c r="BJ158" s="288"/>
      <c r="BK158" s="288"/>
      <c r="BL158" s="288"/>
      <c r="BM158" s="288"/>
      <c r="BN158" s="288"/>
      <c r="BO158" s="288"/>
      <c r="BP158" s="288"/>
      <c r="BQ158" s="288"/>
      <c r="BR158" s="288"/>
      <c r="BS158" s="10"/>
      <c r="BT158" s="11"/>
    </row>
    <row r="159" spans="1:72" s="8" customFormat="1">
      <c r="A159" s="9"/>
      <c r="B159" s="83"/>
      <c r="C159" s="81"/>
      <c r="D159" s="81"/>
      <c r="E159" s="81"/>
      <c r="F159" s="81"/>
      <c r="G159" s="81"/>
      <c r="H159" s="81"/>
      <c r="I159" s="82"/>
      <c r="J159" s="81"/>
      <c r="K159" s="81"/>
      <c r="L159" s="81"/>
      <c r="M159" s="81"/>
      <c r="N159" s="81"/>
      <c r="O159" s="81"/>
      <c r="P159" s="81"/>
      <c r="Q159" s="82"/>
      <c r="R159" s="38">
        <v>11</v>
      </c>
      <c r="S159" s="111" t="s">
        <v>219</v>
      </c>
      <c r="T159" s="37"/>
      <c r="U159" s="37"/>
      <c r="V159" s="37"/>
      <c r="W159" s="37"/>
      <c r="X159" s="37"/>
      <c r="Y159" s="37"/>
      <c r="Z159" s="37"/>
      <c r="AA159" s="37"/>
      <c r="AB159" s="37"/>
      <c r="AC159" s="37"/>
      <c r="AD159" s="37"/>
      <c r="AE159" s="38"/>
      <c r="AF159" s="284"/>
      <c r="AG159" s="286"/>
      <c r="AH159" s="284"/>
      <c r="AI159" s="286"/>
      <c r="AJ159" s="284"/>
      <c r="AK159" s="286"/>
      <c r="AL159" s="284"/>
      <c r="AM159" s="286"/>
      <c r="AN159" s="284"/>
      <c r="AO159" s="286"/>
      <c r="AP159" s="284"/>
      <c r="AQ159" s="286"/>
      <c r="AR159" s="284" t="s">
        <v>130</v>
      </c>
      <c r="AS159" s="286"/>
      <c r="AT159" s="284" t="s">
        <v>131</v>
      </c>
      <c r="AU159" s="285"/>
      <c r="AV159" s="285"/>
      <c r="AW159" s="285"/>
      <c r="AX159" s="285"/>
      <c r="AY159" s="285"/>
      <c r="AZ159" s="285"/>
      <c r="BA159" s="286"/>
      <c r="BB159" s="284" t="s">
        <v>203</v>
      </c>
      <c r="BC159" s="285"/>
      <c r="BD159" s="285"/>
      <c r="BE159" s="285"/>
      <c r="BF159" s="285"/>
      <c r="BG159" s="285"/>
      <c r="BH159" s="285"/>
      <c r="BI159" s="286"/>
      <c r="BJ159" s="288"/>
      <c r="BK159" s="288"/>
      <c r="BL159" s="288"/>
      <c r="BM159" s="288"/>
      <c r="BN159" s="288"/>
      <c r="BO159" s="288"/>
      <c r="BP159" s="288"/>
      <c r="BQ159" s="288"/>
      <c r="BR159" s="288"/>
      <c r="BS159" s="10"/>
      <c r="BT159" s="11"/>
    </row>
    <row r="160" spans="1:72" s="8" customFormat="1">
      <c r="A160" s="9"/>
      <c r="B160" s="83"/>
      <c r="C160" s="81"/>
      <c r="D160" s="81"/>
      <c r="E160" s="81"/>
      <c r="F160" s="81"/>
      <c r="G160" s="81"/>
      <c r="H160" s="81"/>
      <c r="I160" s="82"/>
      <c r="J160" s="73" t="s">
        <v>314</v>
      </c>
      <c r="K160" s="73"/>
      <c r="L160" s="73"/>
      <c r="M160" s="73"/>
      <c r="N160" s="73"/>
      <c r="O160" s="73"/>
      <c r="P160" s="73"/>
      <c r="Q160" s="79"/>
      <c r="R160" s="38">
        <v>1</v>
      </c>
      <c r="S160" s="36" t="s">
        <v>221</v>
      </c>
      <c r="T160" s="37"/>
      <c r="U160" s="37"/>
      <c r="V160" s="37"/>
      <c r="W160" s="37"/>
      <c r="X160" s="37"/>
      <c r="Y160" s="37"/>
      <c r="Z160" s="37"/>
      <c r="AA160" s="37"/>
      <c r="AB160" s="37"/>
      <c r="AC160" s="37"/>
      <c r="AD160" s="37"/>
      <c r="AE160" s="38"/>
      <c r="AF160" s="284"/>
      <c r="AG160" s="286"/>
      <c r="AH160" s="284"/>
      <c r="AI160" s="286"/>
      <c r="AJ160" s="284"/>
      <c r="AK160" s="286"/>
      <c r="AL160" s="284"/>
      <c r="AM160" s="286"/>
      <c r="AN160" s="284" t="s">
        <v>130</v>
      </c>
      <c r="AO160" s="286"/>
      <c r="AP160" s="284"/>
      <c r="AQ160" s="286"/>
      <c r="AR160" s="284"/>
      <c r="AS160" s="286"/>
      <c r="AT160" s="284" t="s">
        <v>131</v>
      </c>
      <c r="AU160" s="285"/>
      <c r="AV160" s="285"/>
      <c r="AW160" s="285"/>
      <c r="AX160" s="285"/>
      <c r="AY160" s="285"/>
      <c r="AZ160" s="285"/>
      <c r="BA160" s="286"/>
      <c r="BB160" s="284" t="s">
        <v>203</v>
      </c>
      <c r="BC160" s="285"/>
      <c r="BD160" s="285"/>
      <c r="BE160" s="285"/>
      <c r="BF160" s="285"/>
      <c r="BG160" s="285"/>
      <c r="BH160" s="285"/>
      <c r="BI160" s="286"/>
      <c r="BJ160" s="288"/>
      <c r="BK160" s="288"/>
      <c r="BL160" s="288"/>
      <c r="BM160" s="288"/>
      <c r="BN160" s="288"/>
      <c r="BO160" s="288"/>
      <c r="BP160" s="288"/>
      <c r="BQ160" s="288"/>
      <c r="BR160" s="288"/>
      <c r="BS160" s="10"/>
      <c r="BT160" s="11"/>
    </row>
    <row r="161" spans="1:72" s="8" customFormat="1">
      <c r="A161" s="9"/>
      <c r="B161" s="80"/>
      <c r="C161" s="81"/>
      <c r="D161" s="81"/>
      <c r="E161" s="81"/>
      <c r="F161" s="81"/>
      <c r="G161" s="81"/>
      <c r="H161" s="81"/>
      <c r="I161" s="82"/>
      <c r="J161" s="81"/>
      <c r="K161" s="81"/>
      <c r="L161" s="81"/>
      <c r="M161" s="81"/>
      <c r="N161" s="81"/>
      <c r="O161" s="81"/>
      <c r="P161" s="81"/>
      <c r="Q161" s="82"/>
      <c r="R161" s="38">
        <v>2</v>
      </c>
      <c r="S161" s="36" t="s">
        <v>222</v>
      </c>
      <c r="T161" s="37"/>
      <c r="U161" s="37"/>
      <c r="V161" s="37"/>
      <c r="W161" s="37"/>
      <c r="X161" s="37"/>
      <c r="Y161" s="37"/>
      <c r="Z161" s="37"/>
      <c r="AA161" s="37"/>
      <c r="AB161" s="37"/>
      <c r="AC161" s="37"/>
      <c r="AD161" s="37"/>
      <c r="AE161" s="38"/>
      <c r="AF161" s="284"/>
      <c r="AG161" s="286"/>
      <c r="AH161" s="284"/>
      <c r="AI161" s="286"/>
      <c r="AJ161" s="284" t="s">
        <v>130</v>
      </c>
      <c r="AK161" s="286"/>
      <c r="AL161" s="284"/>
      <c r="AM161" s="286"/>
      <c r="AN161" s="284"/>
      <c r="AO161" s="286"/>
      <c r="AP161" s="284"/>
      <c r="AQ161" s="286"/>
      <c r="AR161" s="284"/>
      <c r="AS161" s="286"/>
      <c r="AT161" s="284" t="s">
        <v>131</v>
      </c>
      <c r="AU161" s="285"/>
      <c r="AV161" s="285"/>
      <c r="AW161" s="285"/>
      <c r="AX161" s="285"/>
      <c r="AY161" s="285"/>
      <c r="AZ161" s="285"/>
      <c r="BA161" s="286"/>
      <c r="BB161" s="284" t="s">
        <v>205</v>
      </c>
      <c r="BC161" s="285"/>
      <c r="BD161" s="285"/>
      <c r="BE161" s="285"/>
      <c r="BF161" s="285"/>
      <c r="BG161" s="285"/>
      <c r="BH161" s="285"/>
      <c r="BI161" s="286"/>
      <c r="BJ161" s="288"/>
      <c r="BK161" s="288"/>
      <c r="BL161" s="288"/>
      <c r="BM161" s="288"/>
      <c r="BN161" s="288"/>
      <c r="BO161" s="288"/>
      <c r="BP161" s="288"/>
      <c r="BQ161" s="288"/>
      <c r="BR161" s="288"/>
      <c r="BS161" s="10"/>
    </row>
    <row r="162" spans="1:72" s="8" customFormat="1">
      <c r="A162" s="9"/>
      <c r="B162" s="83"/>
      <c r="C162" s="81"/>
      <c r="D162" s="81"/>
      <c r="E162" s="81"/>
      <c r="F162" s="81"/>
      <c r="G162" s="81"/>
      <c r="H162" s="81"/>
      <c r="I162" s="82"/>
      <c r="J162" s="81"/>
      <c r="K162" s="81"/>
      <c r="L162" s="81"/>
      <c r="M162" s="81"/>
      <c r="N162" s="81"/>
      <c r="O162" s="81"/>
      <c r="P162" s="81"/>
      <c r="Q162" s="82"/>
      <c r="R162" s="38">
        <v>3</v>
      </c>
      <c r="S162" s="36" t="s">
        <v>223</v>
      </c>
      <c r="T162" s="37"/>
      <c r="U162" s="37"/>
      <c r="V162" s="37"/>
      <c r="W162" s="37"/>
      <c r="X162" s="37"/>
      <c r="Y162" s="37"/>
      <c r="Z162" s="37"/>
      <c r="AA162" s="37"/>
      <c r="AB162" s="37"/>
      <c r="AC162" s="37"/>
      <c r="AD162" s="37"/>
      <c r="AE162" s="38"/>
      <c r="AF162" s="284"/>
      <c r="AG162" s="286"/>
      <c r="AH162" s="284"/>
      <c r="AI162" s="286"/>
      <c r="AJ162" s="284" t="s">
        <v>130</v>
      </c>
      <c r="AK162" s="286"/>
      <c r="AL162" s="284"/>
      <c r="AM162" s="286"/>
      <c r="AN162" s="284"/>
      <c r="AO162" s="286"/>
      <c r="AP162" s="284"/>
      <c r="AQ162" s="286"/>
      <c r="AR162" s="284"/>
      <c r="AS162" s="286"/>
      <c r="AT162" s="284" t="s">
        <v>131</v>
      </c>
      <c r="AU162" s="285"/>
      <c r="AV162" s="285"/>
      <c r="AW162" s="285"/>
      <c r="AX162" s="285"/>
      <c r="AY162" s="285"/>
      <c r="AZ162" s="285"/>
      <c r="BA162" s="286"/>
      <c r="BB162" s="284" t="s">
        <v>224</v>
      </c>
      <c r="BC162" s="285"/>
      <c r="BD162" s="285"/>
      <c r="BE162" s="285"/>
      <c r="BF162" s="285"/>
      <c r="BG162" s="285"/>
      <c r="BH162" s="285"/>
      <c r="BI162" s="286"/>
      <c r="BJ162" s="288"/>
      <c r="BK162" s="288"/>
      <c r="BL162" s="288"/>
      <c r="BM162" s="288"/>
      <c r="BN162" s="288"/>
      <c r="BO162" s="288"/>
      <c r="BP162" s="288"/>
      <c r="BQ162" s="288"/>
      <c r="BR162" s="288"/>
      <c r="BS162" s="10"/>
      <c r="BT162" s="11"/>
    </row>
    <row r="163" spans="1:72" s="8" customFormat="1">
      <c r="A163" s="9"/>
      <c r="B163" s="80"/>
      <c r="C163" s="81"/>
      <c r="D163" s="81"/>
      <c r="E163" s="81"/>
      <c r="F163" s="81"/>
      <c r="G163" s="81"/>
      <c r="H163" s="81"/>
      <c r="I163" s="82"/>
      <c r="J163" s="81"/>
      <c r="K163" s="81"/>
      <c r="L163" s="81"/>
      <c r="M163" s="81"/>
      <c r="N163" s="81"/>
      <c r="O163" s="81"/>
      <c r="P163" s="81"/>
      <c r="Q163" s="82"/>
      <c r="R163" s="38">
        <v>4</v>
      </c>
      <c r="S163" s="36" t="s">
        <v>225</v>
      </c>
      <c r="T163" s="37"/>
      <c r="U163" s="37"/>
      <c r="V163" s="37"/>
      <c r="W163" s="37"/>
      <c r="X163" s="37"/>
      <c r="Y163" s="37"/>
      <c r="Z163" s="37"/>
      <c r="AA163" s="37"/>
      <c r="AB163" s="37"/>
      <c r="AC163" s="37"/>
      <c r="AD163" s="37"/>
      <c r="AE163" s="38"/>
      <c r="AF163" s="284"/>
      <c r="AG163" s="286"/>
      <c r="AH163" s="284"/>
      <c r="AI163" s="286"/>
      <c r="AJ163" s="284"/>
      <c r="AK163" s="286"/>
      <c r="AL163" s="284"/>
      <c r="AM163" s="286"/>
      <c r="AN163" s="284" t="s">
        <v>130</v>
      </c>
      <c r="AO163" s="286"/>
      <c r="AP163" s="284"/>
      <c r="AQ163" s="286"/>
      <c r="AR163" s="284"/>
      <c r="AS163" s="286"/>
      <c r="AT163" s="284" t="s">
        <v>143</v>
      </c>
      <c r="AU163" s="285"/>
      <c r="AV163" s="285"/>
      <c r="AW163" s="285"/>
      <c r="AX163" s="285"/>
      <c r="AY163" s="285"/>
      <c r="AZ163" s="285"/>
      <c r="BA163" s="286"/>
      <c r="BB163" s="287" t="s">
        <v>143</v>
      </c>
      <c r="BC163" s="287"/>
      <c r="BD163" s="287"/>
      <c r="BE163" s="287"/>
      <c r="BF163" s="287"/>
      <c r="BG163" s="287"/>
      <c r="BH163" s="287"/>
      <c r="BI163" s="287"/>
      <c r="BJ163" s="288"/>
      <c r="BK163" s="288"/>
      <c r="BL163" s="288"/>
      <c r="BM163" s="288"/>
      <c r="BN163" s="288"/>
      <c r="BO163" s="288"/>
      <c r="BP163" s="288"/>
      <c r="BQ163" s="288"/>
      <c r="BR163" s="288"/>
      <c r="BS163" s="10"/>
    </row>
    <row r="164" spans="1:72" s="8" customFormat="1">
      <c r="A164" s="9"/>
      <c r="B164" s="83"/>
      <c r="C164" s="81"/>
      <c r="D164" s="81"/>
      <c r="E164" s="81"/>
      <c r="F164" s="81"/>
      <c r="G164" s="81"/>
      <c r="H164" s="81"/>
      <c r="I164" s="82"/>
      <c r="J164" s="81"/>
      <c r="K164" s="81"/>
      <c r="L164" s="81"/>
      <c r="M164" s="81"/>
      <c r="N164" s="81"/>
      <c r="O164" s="81"/>
      <c r="P164" s="81"/>
      <c r="Q164" s="82"/>
      <c r="R164" s="38">
        <v>5</v>
      </c>
      <c r="S164" s="36" t="s">
        <v>226</v>
      </c>
      <c r="T164" s="37"/>
      <c r="U164" s="37"/>
      <c r="V164" s="37"/>
      <c r="W164" s="37"/>
      <c r="X164" s="37"/>
      <c r="Y164" s="37"/>
      <c r="Z164" s="37"/>
      <c r="AA164" s="37"/>
      <c r="AB164" s="37"/>
      <c r="AC164" s="37"/>
      <c r="AD164" s="37"/>
      <c r="AE164" s="38"/>
      <c r="AF164" s="284"/>
      <c r="AG164" s="286"/>
      <c r="AH164" s="284"/>
      <c r="AI164" s="286"/>
      <c r="AJ164" s="284"/>
      <c r="AK164" s="286"/>
      <c r="AL164" s="284"/>
      <c r="AM164" s="286"/>
      <c r="AN164" s="284" t="s">
        <v>130</v>
      </c>
      <c r="AO164" s="286"/>
      <c r="AP164" s="284"/>
      <c r="AQ164" s="286"/>
      <c r="AR164" s="284"/>
      <c r="AS164" s="286"/>
      <c r="AT164" s="284" t="s">
        <v>131</v>
      </c>
      <c r="AU164" s="285"/>
      <c r="AV164" s="285"/>
      <c r="AW164" s="285"/>
      <c r="AX164" s="285"/>
      <c r="AY164" s="285"/>
      <c r="AZ164" s="285"/>
      <c r="BA164" s="286"/>
      <c r="BB164" s="287" t="s">
        <v>132</v>
      </c>
      <c r="BC164" s="287"/>
      <c r="BD164" s="287"/>
      <c r="BE164" s="287"/>
      <c r="BF164" s="287"/>
      <c r="BG164" s="287"/>
      <c r="BH164" s="287"/>
      <c r="BI164" s="287"/>
      <c r="BJ164" s="288"/>
      <c r="BK164" s="288"/>
      <c r="BL164" s="288"/>
      <c r="BM164" s="288"/>
      <c r="BN164" s="288"/>
      <c r="BO164" s="288"/>
      <c r="BP164" s="288"/>
      <c r="BQ164" s="288"/>
      <c r="BR164" s="288"/>
      <c r="BS164" s="10"/>
      <c r="BT164" s="11"/>
    </row>
    <row r="165" spans="1:72" s="8" customFormat="1">
      <c r="A165" s="9"/>
      <c r="B165" s="80"/>
      <c r="C165" s="81"/>
      <c r="D165" s="81"/>
      <c r="E165" s="81"/>
      <c r="F165" s="81"/>
      <c r="G165" s="81"/>
      <c r="H165" s="81"/>
      <c r="I165" s="82"/>
      <c r="J165" s="81"/>
      <c r="K165" s="81"/>
      <c r="L165" s="81"/>
      <c r="M165" s="81"/>
      <c r="N165" s="81"/>
      <c r="O165" s="81"/>
      <c r="P165" s="81"/>
      <c r="Q165" s="82"/>
      <c r="R165" s="38">
        <v>6</v>
      </c>
      <c r="S165" s="36" t="s">
        <v>227</v>
      </c>
      <c r="T165" s="37"/>
      <c r="U165" s="37"/>
      <c r="V165" s="37"/>
      <c r="W165" s="37"/>
      <c r="X165" s="37"/>
      <c r="Y165" s="37"/>
      <c r="Z165" s="37"/>
      <c r="AA165" s="37"/>
      <c r="AB165" s="37"/>
      <c r="AC165" s="37"/>
      <c r="AD165" s="37"/>
      <c r="AE165" s="38"/>
      <c r="AF165" s="284"/>
      <c r="AG165" s="286"/>
      <c r="AH165" s="284"/>
      <c r="AI165" s="286"/>
      <c r="AJ165" s="284" t="s">
        <v>130</v>
      </c>
      <c r="AK165" s="286"/>
      <c r="AL165" s="284"/>
      <c r="AM165" s="286"/>
      <c r="AN165" s="284"/>
      <c r="AO165" s="286"/>
      <c r="AP165" s="284"/>
      <c r="AQ165" s="286"/>
      <c r="AR165" s="284"/>
      <c r="AS165" s="286"/>
      <c r="AT165" s="284" t="s">
        <v>228</v>
      </c>
      <c r="AU165" s="285"/>
      <c r="AV165" s="285"/>
      <c r="AW165" s="285"/>
      <c r="AX165" s="285"/>
      <c r="AY165" s="285"/>
      <c r="AZ165" s="285"/>
      <c r="BA165" s="286"/>
      <c r="BB165" s="284" t="s">
        <v>201</v>
      </c>
      <c r="BC165" s="285"/>
      <c r="BD165" s="285"/>
      <c r="BE165" s="285"/>
      <c r="BF165" s="285"/>
      <c r="BG165" s="285"/>
      <c r="BH165" s="285"/>
      <c r="BI165" s="286"/>
      <c r="BJ165" s="288"/>
      <c r="BK165" s="288"/>
      <c r="BL165" s="288"/>
      <c r="BM165" s="288"/>
      <c r="BN165" s="288"/>
      <c r="BO165" s="288"/>
      <c r="BP165" s="288"/>
      <c r="BQ165" s="288"/>
      <c r="BR165" s="288"/>
      <c r="BS165" s="10"/>
    </row>
    <row r="166" spans="1:72" s="8" customFormat="1">
      <c r="A166" s="9"/>
      <c r="B166" s="83"/>
      <c r="C166" s="81"/>
      <c r="D166" s="81"/>
      <c r="E166" s="81"/>
      <c r="F166" s="81"/>
      <c r="G166" s="81"/>
      <c r="H166" s="81"/>
      <c r="I166" s="82"/>
      <c r="J166" s="81"/>
      <c r="K166" s="81"/>
      <c r="L166" s="81"/>
      <c r="M166" s="81"/>
      <c r="N166" s="81"/>
      <c r="O166" s="81"/>
      <c r="P166" s="81"/>
      <c r="Q166" s="82"/>
      <c r="R166" s="38">
        <v>7</v>
      </c>
      <c r="S166" s="36" t="s">
        <v>229</v>
      </c>
      <c r="T166" s="37"/>
      <c r="U166" s="37"/>
      <c r="V166" s="37"/>
      <c r="W166" s="37"/>
      <c r="X166" s="37"/>
      <c r="Y166" s="37"/>
      <c r="Z166" s="37"/>
      <c r="AA166" s="37"/>
      <c r="AB166" s="37"/>
      <c r="AC166" s="37"/>
      <c r="AD166" s="37"/>
      <c r="AE166" s="38"/>
      <c r="AF166" s="284"/>
      <c r="AG166" s="286"/>
      <c r="AH166" s="284"/>
      <c r="AI166" s="286"/>
      <c r="AJ166" s="284"/>
      <c r="AK166" s="286"/>
      <c r="AL166" s="284"/>
      <c r="AM166" s="286"/>
      <c r="AN166" s="284" t="s">
        <v>130</v>
      </c>
      <c r="AO166" s="286"/>
      <c r="AP166" s="284"/>
      <c r="AQ166" s="286"/>
      <c r="AR166" s="284"/>
      <c r="AS166" s="286"/>
      <c r="AT166" s="284" t="s">
        <v>228</v>
      </c>
      <c r="AU166" s="285"/>
      <c r="AV166" s="285"/>
      <c r="AW166" s="285"/>
      <c r="AX166" s="285"/>
      <c r="AY166" s="285"/>
      <c r="AZ166" s="285"/>
      <c r="BA166" s="286"/>
      <c r="BB166" s="284" t="s">
        <v>201</v>
      </c>
      <c r="BC166" s="285"/>
      <c r="BD166" s="285"/>
      <c r="BE166" s="285"/>
      <c r="BF166" s="285"/>
      <c r="BG166" s="285"/>
      <c r="BH166" s="285"/>
      <c r="BI166" s="286"/>
      <c r="BJ166" s="288"/>
      <c r="BK166" s="288"/>
      <c r="BL166" s="288"/>
      <c r="BM166" s="288"/>
      <c r="BN166" s="288"/>
      <c r="BO166" s="288"/>
      <c r="BP166" s="288"/>
      <c r="BQ166" s="288"/>
      <c r="BR166" s="288"/>
      <c r="BS166" s="10"/>
      <c r="BT166" s="11"/>
    </row>
    <row r="167" spans="1:72" s="8" customFormat="1">
      <c r="A167" s="9"/>
      <c r="B167" s="80"/>
      <c r="C167" s="81"/>
      <c r="D167" s="81"/>
      <c r="E167" s="81"/>
      <c r="F167" s="81"/>
      <c r="G167" s="81"/>
      <c r="H167" s="81"/>
      <c r="I167" s="82"/>
      <c r="J167" s="81"/>
      <c r="K167" s="81"/>
      <c r="L167" s="81"/>
      <c r="M167" s="81"/>
      <c r="N167" s="81"/>
      <c r="O167" s="81"/>
      <c r="P167" s="81"/>
      <c r="Q167" s="82"/>
      <c r="R167" s="38">
        <v>8</v>
      </c>
      <c r="S167" s="36" t="s">
        <v>230</v>
      </c>
      <c r="T167" s="37"/>
      <c r="U167" s="37"/>
      <c r="V167" s="37"/>
      <c r="W167" s="37"/>
      <c r="X167" s="37"/>
      <c r="Y167" s="37"/>
      <c r="Z167" s="37"/>
      <c r="AA167" s="37"/>
      <c r="AB167" s="37"/>
      <c r="AC167" s="37"/>
      <c r="AD167" s="37"/>
      <c r="AE167" s="38"/>
      <c r="AF167" s="284"/>
      <c r="AG167" s="286"/>
      <c r="AH167" s="284"/>
      <c r="AI167" s="286"/>
      <c r="AJ167" s="284" t="s">
        <v>130</v>
      </c>
      <c r="AK167" s="286"/>
      <c r="AL167" s="284"/>
      <c r="AM167" s="286"/>
      <c r="AN167" s="284"/>
      <c r="AO167" s="286"/>
      <c r="AP167" s="284"/>
      <c r="AQ167" s="286"/>
      <c r="AR167" s="284"/>
      <c r="AS167" s="286"/>
      <c r="AT167" s="284" t="s">
        <v>131</v>
      </c>
      <c r="AU167" s="285"/>
      <c r="AV167" s="285"/>
      <c r="AW167" s="285"/>
      <c r="AX167" s="285"/>
      <c r="AY167" s="285"/>
      <c r="AZ167" s="285"/>
      <c r="BA167" s="286"/>
      <c r="BB167" s="284" t="s">
        <v>224</v>
      </c>
      <c r="BC167" s="285"/>
      <c r="BD167" s="285"/>
      <c r="BE167" s="285"/>
      <c r="BF167" s="285"/>
      <c r="BG167" s="285"/>
      <c r="BH167" s="285"/>
      <c r="BI167" s="286"/>
      <c r="BJ167" s="288"/>
      <c r="BK167" s="288"/>
      <c r="BL167" s="288"/>
      <c r="BM167" s="288"/>
      <c r="BN167" s="288"/>
      <c r="BO167" s="288"/>
      <c r="BP167" s="288"/>
      <c r="BQ167" s="288"/>
      <c r="BR167" s="288"/>
      <c r="BS167" s="10"/>
    </row>
    <row r="168" spans="1:72" s="8" customFormat="1">
      <c r="A168" s="9"/>
      <c r="B168" s="83"/>
      <c r="C168" s="81"/>
      <c r="D168" s="81"/>
      <c r="E168" s="81"/>
      <c r="F168" s="81"/>
      <c r="G168" s="81"/>
      <c r="H168" s="81"/>
      <c r="I168" s="82"/>
      <c r="J168" s="81"/>
      <c r="K168" s="81"/>
      <c r="L168" s="81"/>
      <c r="M168" s="81"/>
      <c r="N168" s="81"/>
      <c r="O168" s="81"/>
      <c r="P168" s="81"/>
      <c r="Q168" s="82"/>
      <c r="R168" s="38">
        <v>9</v>
      </c>
      <c r="S168" s="36" t="s">
        <v>231</v>
      </c>
      <c r="T168" s="37"/>
      <c r="U168" s="37"/>
      <c r="V168" s="37"/>
      <c r="W168" s="37"/>
      <c r="X168" s="37"/>
      <c r="Y168" s="37"/>
      <c r="Z168" s="37"/>
      <c r="AA168" s="37"/>
      <c r="AB168" s="37"/>
      <c r="AC168" s="37"/>
      <c r="AD168" s="37"/>
      <c r="AE168" s="38"/>
      <c r="AF168" s="284"/>
      <c r="AG168" s="286"/>
      <c r="AH168" s="284"/>
      <c r="AI168" s="286"/>
      <c r="AJ168" s="284"/>
      <c r="AK168" s="286"/>
      <c r="AL168" s="284"/>
      <c r="AM168" s="286"/>
      <c r="AN168" s="284" t="s">
        <v>130</v>
      </c>
      <c r="AO168" s="286"/>
      <c r="AP168" s="284"/>
      <c r="AQ168" s="286"/>
      <c r="AR168" s="284"/>
      <c r="AS168" s="286"/>
      <c r="AT168" s="284" t="s">
        <v>143</v>
      </c>
      <c r="AU168" s="285"/>
      <c r="AV168" s="285"/>
      <c r="AW168" s="285"/>
      <c r="AX168" s="285"/>
      <c r="AY168" s="285"/>
      <c r="AZ168" s="285"/>
      <c r="BA168" s="286"/>
      <c r="BB168" s="287" t="s">
        <v>143</v>
      </c>
      <c r="BC168" s="287"/>
      <c r="BD168" s="287"/>
      <c r="BE168" s="287"/>
      <c r="BF168" s="287"/>
      <c r="BG168" s="287"/>
      <c r="BH168" s="287"/>
      <c r="BI168" s="287"/>
      <c r="BJ168" s="289"/>
      <c r="BK168" s="290"/>
      <c r="BL168" s="290"/>
      <c r="BM168" s="290"/>
      <c r="BN168" s="290"/>
      <c r="BO168" s="290"/>
      <c r="BP168" s="290"/>
      <c r="BQ168" s="290"/>
      <c r="BR168" s="291"/>
      <c r="BS168" s="10"/>
      <c r="BT168" s="11"/>
    </row>
    <row r="169" spans="1:72" s="8" customFormat="1">
      <c r="A169" s="9"/>
      <c r="B169" s="80"/>
      <c r="C169" s="81"/>
      <c r="D169" s="81"/>
      <c r="E169" s="81"/>
      <c r="F169" s="81"/>
      <c r="G169" s="81"/>
      <c r="H169" s="81"/>
      <c r="I169" s="82"/>
      <c r="J169" s="81"/>
      <c r="K169" s="81"/>
      <c r="L169" s="81"/>
      <c r="M169" s="81"/>
      <c r="N169" s="81"/>
      <c r="O169" s="81"/>
      <c r="P169" s="81"/>
      <c r="Q169" s="82"/>
      <c r="R169" s="38">
        <v>10</v>
      </c>
      <c r="S169" s="36" t="s">
        <v>232</v>
      </c>
      <c r="T169" s="37"/>
      <c r="U169" s="37"/>
      <c r="V169" s="37"/>
      <c r="W169" s="37"/>
      <c r="X169" s="37"/>
      <c r="Y169" s="37"/>
      <c r="Z169" s="37"/>
      <c r="AA169" s="37"/>
      <c r="AB169" s="37"/>
      <c r="AC169" s="37"/>
      <c r="AD169" s="37"/>
      <c r="AE169" s="38"/>
      <c r="AF169" s="284"/>
      <c r="AG169" s="286"/>
      <c r="AH169" s="284"/>
      <c r="AI169" s="286"/>
      <c r="AJ169" s="284"/>
      <c r="AK169" s="286"/>
      <c r="AL169" s="284"/>
      <c r="AM169" s="286"/>
      <c r="AN169" s="284" t="s">
        <v>130</v>
      </c>
      <c r="AO169" s="286"/>
      <c r="AP169" s="284"/>
      <c r="AQ169" s="286"/>
      <c r="AR169" s="284"/>
      <c r="AS169" s="286"/>
      <c r="AT169" s="284" t="s">
        <v>143</v>
      </c>
      <c r="AU169" s="285"/>
      <c r="AV169" s="285"/>
      <c r="AW169" s="285"/>
      <c r="AX169" s="285"/>
      <c r="AY169" s="285"/>
      <c r="AZ169" s="285"/>
      <c r="BA169" s="286"/>
      <c r="BB169" s="287" t="s">
        <v>143</v>
      </c>
      <c r="BC169" s="287"/>
      <c r="BD169" s="287"/>
      <c r="BE169" s="287"/>
      <c r="BF169" s="287"/>
      <c r="BG169" s="287"/>
      <c r="BH169" s="287"/>
      <c r="BI169" s="287"/>
      <c r="BJ169" s="288"/>
      <c r="BK169" s="288"/>
      <c r="BL169" s="288"/>
      <c r="BM169" s="288"/>
      <c r="BN169" s="288"/>
      <c r="BO169" s="288"/>
      <c r="BP169" s="288"/>
      <c r="BQ169" s="288"/>
      <c r="BR169" s="288"/>
      <c r="BS169" s="10"/>
    </row>
    <row r="170" spans="1:72" s="8" customFormat="1">
      <c r="A170" s="9"/>
      <c r="B170" s="83"/>
      <c r="C170" s="81"/>
      <c r="D170" s="81"/>
      <c r="E170" s="81"/>
      <c r="F170" s="81"/>
      <c r="G170" s="81"/>
      <c r="H170" s="81"/>
      <c r="I170" s="82"/>
      <c r="J170" s="81"/>
      <c r="K170" s="81"/>
      <c r="L170" s="81"/>
      <c r="M170" s="81"/>
      <c r="N170" s="81"/>
      <c r="O170" s="81"/>
      <c r="P170" s="81"/>
      <c r="Q170" s="82"/>
      <c r="R170" s="38">
        <v>11</v>
      </c>
      <c r="S170" s="58" t="s">
        <v>233</v>
      </c>
      <c r="T170" s="37"/>
      <c r="U170" s="37"/>
      <c r="V170" s="37"/>
      <c r="W170" s="37"/>
      <c r="X170" s="37"/>
      <c r="Y170" s="37"/>
      <c r="Z170" s="37"/>
      <c r="AA170" s="37"/>
      <c r="AB170" s="37"/>
      <c r="AC170" s="37"/>
      <c r="AD170" s="37"/>
      <c r="AE170" s="38"/>
      <c r="AF170" s="284"/>
      <c r="AG170" s="286"/>
      <c r="AH170" s="284"/>
      <c r="AI170" s="286"/>
      <c r="AJ170" s="284"/>
      <c r="AK170" s="286"/>
      <c r="AL170" s="284"/>
      <c r="AM170" s="286"/>
      <c r="AN170" s="284" t="s">
        <v>130</v>
      </c>
      <c r="AO170" s="286"/>
      <c r="AP170" s="284"/>
      <c r="AQ170" s="286"/>
      <c r="AR170" s="284"/>
      <c r="AS170" s="286"/>
      <c r="AT170" s="287" t="s">
        <v>142</v>
      </c>
      <c r="AU170" s="287"/>
      <c r="AV170" s="287"/>
      <c r="AW170" s="287"/>
      <c r="AX170" s="287"/>
      <c r="AY170" s="287"/>
      <c r="AZ170" s="287"/>
      <c r="BA170" s="287"/>
      <c r="BB170" s="287" t="s">
        <v>143</v>
      </c>
      <c r="BC170" s="287"/>
      <c r="BD170" s="287"/>
      <c r="BE170" s="287"/>
      <c r="BF170" s="287"/>
      <c r="BG170" s="287"/>
      <c r="BH170" s="287"/>
      <c r="BI170" s="287"/>
      <c r="BJ170" s="289"/>
      <c r="BK170" s="290"/>
      <c r="BL170" s="290"/>
      <c r="BM170" s="290"/>
      <c r="BN170" s="290"/>
      <c r="BO170" s="290"/>
      <c r="BP170" s="290"/>
      <c r="BQ170" s="290"/>
      <c r="BR170" s="291"/>
      <c r="BS170" s="10"/>
      <c r="BT170" s="11"/>
    </row>
    <row r="171" spans="1:72" s="8" customFormat="1">
      <c r="A171" s="9"/>
      <c r="B171" s="80"/>
      <c r="C171" s="81"/>
      <c r="D171" s="81"/>
      <c r="E171" s="81"/>
      <c r="F171" s="81"/>
      <c r="G171" s="81"/>
      <c r="H171" s="81"/>
      <c r="I171" s="82"/>
      <c r="J171" s="81"/>
      <c r="K171" s="81"/>
      <c r="L171" s="81"/>
      <c r="M171" s="81"/>
      <c r="N171" s="81"/>
      <c r="O171" s="81"/>
      <c r="P171" s="81"/>
      <c r="Q171" s="82"/>
      <c r="R171" s="38">
        <v>12</v>
      </c>
      <c r="S171" s="36" t="s">
        <v>234</v>
      </c>
      <c r="T171" s="37"/>
      <c r="U171" s="37"/>
      <c r="V171" s="37"/>
      <c r="W171" s="37"/>
      <c r="X171" s="37"/>
      <c r="Y171" s="37"/>
      <c r="Z171" s="37"/>
      <c r="AA171" s="37"/>
      <c r="AB171" s="37"/>
      <c r="AC171" s="37"/>
      <c r="AD171" s="37"/>
      <c r="AE171" s="38"/>
      <c r="AF171" s="284"/>
      <c r="AG171" s="286"/>
      <c r="AH171" s="284"/>
      <c r="AI171" s="286"/>
      <c r="AJ171" s="284" t="s">
        <v>130</v>
      </c>
      <c r="AK171" s="286"/>
      <c r="AL171" s="284"/>
      <c r="AM171" s="286"/>
      <c r="AN171" s="284"/>
      <c r="AO171" s="286"/>
      <c r="AP171" s="284"/>
      <c r="AQ171" s="286"/>
      <c r="AR171" s="284"/>
      <c r="AS171" s="286"/>
      <c r="AT171" s="287" t="s">
        <v>142</v>
      </c>
      <c r="AU171" s="287"/>
      <c r="AV171" s="287"/>
      <c r="AW171" s="287"/>
      <c r="AX171" s="287"/>
      <c r="AY171" s="287"/>
      <c r="AZ171" s="287"/>
      <c r="BA171" s="287"/>
      <c r="BB171" s="287" t="s">
        <v>143</v>
      </c>
      <c r="BC171" s="287"/>
      <c r="BD171" s="287"/>
      <c r="BE171" s="287"/>
      <c r="BF171" s="287"/>
      <c r="BG171" s="287"/>
      <c r="BH171" s="287"/>
      <c r="BI171" s="287"/>
      <c r="BJ171" s="288"/>
      <c r="BK171" s="288"/>
      <c r="BL171" s="288"/>
      <c r="BM171" s="288"/>
      <c r="BN171" s="288"/>
      <c r="BO171" s="288"/>
      <c r="BP171" s="288"/>
      <c r="BQ171" s="288"/>
      <c r="BR171" s="288"/>
      <c r="BS171" s="10"/>
    </row>
    <row r="172" spans="1:72" s="8" customFormat="1">
      <c r="A172" s="9"/>
      <c r="B172" s="83"/>
      <c r="C172" s="81"/>
      <c r="D172" s="81"/>
      <c r="E172" s="81"/>
      <c r="F172" s="81"/>
      <c r="G172" s="81"/>
      <c r="H172" s="81"/>
      <c r="I172" s="82"/>
      <c r="J172" s="81"/>
      <c r="K172" s="81"/>
      <c r="L172" s="81"/>
      <c r="M172" s="81"/>
      <c r="N172" s="81"/>
      <c r="O172" s="81"/>
      <c r="P172" s="81"/>
      <c r="Q172" s="82"/>
      <c r="R172" s="38">
        <v>13</v>
      </c>
      <c r="S172" s="36" t="s">
        <v>235</v>
      </c>
      <c r="T172" s="37"/>
      <c r="U172" s="37"/>
      <c r="V172" s="37"/>
      <c r="W172" s="37"/>
      <c r="X172" s="37"/>
      <c r="Y172" s="37"/>
      <c r="Z172" s="37"/>
      <c r="AA172" s="37"/>
      <c r="AB172" s="37"/>
      <c r="AC172" s="37"/>
      <c r="AD172" s="37"/>
      <c r="AE172" s="38"/>
      <c r="AF172" s="284"/>
      <c r="AG172" s="286"/>
      <c r="AH172" s="284"/>
      <c r="AI172" s="286"/>
      <c r="AJ172" s="284" t="s">
        <v>130</v>
      </c>
      <c r="AK172" s="286"/>
      <c r="AL172" s="284"/>
      <c r="AM172" s="286"/>
      <c r="AN172" s="284"/>
      <c r="AO172" s="286"/>
      <c r="AP172" s="284"/>
      <c r="AQ172" s="286"/>
      <c r="AR172" s="284"/>
      <c r="AS172" s="286"/>
      <c r="AT172" s="284" t="s">
        <v>131</v>
      </c>
      <c r="AU172" s="285"/>
      <c r="AV172" s="285"/>
      <c r="AW172" s="285"/>
      <c r="AX172" s="285"/>
      <c r="AY172" s="285"/>
      <c r="AZ172" s="285"/>
      <c r="BA172" s="286"/>
      <c r="BB172" s="284" t="s">
        <v>224</v>
      </c>
      <c r="BC172" s="285"/>
      <c r="BD172" s="285"/>
      <c r="BE172" s="285"/>
      <c r="BF172" s="285"/>
      <c r="BG172" s="285"/>
      <c r="BH172" s="285"/>
      <c r="BI172" s="286"/>
      <c r="BJ172" s="289"/>
      <c r="BK172" s="290"/>
      <c r="BL172" s="290"/>
      <c r="BM172" s="290"/>
      <c r="BN172" s="290"/>
      <c r="BO172" s="290"/>
      <c r="BP172" s="290"/>
      <c r="BQ172" s="290"/>
      <c r="BR172" s="291"/>
      <c r="BS172" s="10"/>
      <c r="BT172" s="11"/>
    </row>
    <row r="173" spans="1:72" s="8" customFormat="1">
      <c r="A173" s="9"/>
      <c r="B173" s="80"/>
      <c r="C173" s="81"/>
      <c r="D173" s="81"/>
      <c r="E173" s="81"/>
      <c r="F173" s="81"/>
      <c r="G173" s="81"/>
      <c r="H173" s="81"/>
      <c r="I173" s="82"/>
      <c r="J173" s="81"/>
      <c r="K173" s="81"/>
      <c r="L173" s="81"/>
      <c r="M173" s="81"/>
      <c r="N173" s="81"/>
      <c r="O173" s="81"/>
      <c r="P173" s="81"/>
      <c r="Q173" s="82"/>
      <c r="R173" s="38">
        <v>14</v>
      </c>
      <c r="S173" s="36" t="s">
        <v>236</v>
      </c>
      <c r="T173" s="37"/>
      <c r="U173" s="37"/>
      <c r="V173" s="37"/>
      <c r="W173" s="37"/>
      <c r="X173" s="37"/>
      <c r="Y173" s="37"/>
      <c r="Z173" s="37"/>
      <c r="AA173" s="37"/>
      <c r="AB173" s="37"/>
      <c r="AC173" s="37"/>
      <c r="AD173" s="37"/>
      <c r="AE173" s="38"/>
      <c r="AF173" s="284"/>
      <c r="AG173" s="286"/>
      <c r="AH173" s="284"/>
      <c r="AI173" s="286"/>
      <c r="AJ173" s="284"/>
      <c r="AK173" s="286"/>
      <c r="AL173" s="284"/>
      <c r="AM173" s="286"/>
      <c r="AN173" s="284" t="s">
        <v>130</v>
      </c>
      <c r="AO173" s="286"/>
      <c r="AP173" s="284"/>
      <c r="AQ173" s="286"/>
      <c r="AR173" s="284"/>
      <c r="AS173" s="286"/>
      <c r="AT173" s="284" t="s">
        <v>131</v>
      </c>
      <c r="AU173" s="285"/>
      <c r="AV173" s="285"/>
      <c r="AW173" s="285"/>
      <c r="AX173" s="285"/>
      <c r="AY173" s="285"/>
      <c r="AZ173" s="285"/>
      <c r="BA173" s="286"/>
      <c r="BB173" s="287" t="s">
        <v>132</v>
      </c>
      <c r="BC173" s="287"/>
      <c r="BD173" s="287"/>
      <c r="BE173" s="287"/>
      <c r="BF173" s="287"/>
      <c r="BG173" s="287"/>
      <c r="BH173" s="287"/>
      <c r="BI173" s="287"/>
      <c r="BJ173" s="288"/>
      <c r="BK173" s="288"/>
      <c r="BL173" s="288"/>
      <c r="BM173" s="288"/>
      <c r="BN173" s="288"/>
      <c r="BO173" s="288"/>
      <c r="BP173" s="288"/>
      <c r="BQ173" s="288"/>
      <c r="BR173" s="288"/>
      <c r="BS173" s="10"/>
    </row>
    <row r="174" spans="1:72" s="8" customFormat="1">
      <c r="A174" s="9"/>
      <c r="B174" s="83"/>
      <c r="C174" s="81"/>
      <c r="D174" s="81"/>
      <c r="E174" s="81"/>
      <c r="F174" s="81"/>
      <c r="G174" s="81"/>
      <c r="H174" s="81"/>
      <c r="I174" s="82"/>
      <c r="J174" s="81"/>
      <c r="K174" s="81"/>
      <c r="L174" s="81"/>
      <c r="M174" s="81"/>
      <c r="N174" s="81"/>
      <c r="O174" s="81"/>
      <c r="P174" s="81"/>
      <c r="Q174" s="82"/>
      <c r="R174" s="38">
        <v>15</v>
      </c>
      <c r="S174" s="36" t="s">
        <v>237</v>
      </c>
      <c r="T174" s="37"/>
      <c r="U174" s="37"/>
      <c r="V174" s="37"/>
      <c r="W174" s="37"/>
      <c r="X174" s="37"/>
      <c r="Y174" s="37"/>
      <c r="Z174" s="37"/>
      <c r="AA174" s="37"/>
      <c r="AB174" s="37"/>
      <c r="AC174" s="37"/>
      <c r="AD174" s="37"/>
      <c r="AE174" s="38"/>
      <c r="AF174" s="284"/>
      <c r="AG174" s="286"/>
      <c r="AH174" s="284"/>
      <c r="AI174" s="286"/>
      <c r="AJ174" s="284" t="s">
        <v>130</v>
      </c>
      <c r="AK174" s="286"/>
      <c r="AL174" s="284"/>
      <c r="AM174" s="286"/>
      <c r="AN174" s="284"/>
      <c r="AO174" s="286"/>
      <c r="AP174" s="284"/>
      <c r="AQ174" s="286"/>
      <c r="AR174" s="284"/>
      <c r="AS174" s="286"/>
      <c r="AT174" s="284" t="s">
        <v>131</v>
      </c>
      <c r="AU174" s="285"/>
      <c r="AV174" s="285"/>
      <c r="AW174" s="285"/>
      <c r="AX174" s="285"/>
      <c r="AY174" s="285"/>
      <c r="AZ174" s="285"/>
      <c r="BA174" s="286"/>
      <c r="BB174" s="284" t="s">
        <v>224</v>
      </c>
      <c r="BC174" s="285"/>
      <c r="BD174" s="285"/>
      <c r="BE174" s="285"/>
      <c r="BF174" s="285"/>
      <c r="BG174" s="285"/>
      <c r="BH174" s="285"/>
      <c r="BI174" s="286"/>
      <c r="BJ174" s="289"/>
      <c r="BK174" s="290"/>
      <c r="BL174" s="290"/>
      <c r="BM174" s="290"/>
      <c r="BN174" s="290"/>
      <c r="BO174" s="290"/>
      <c r="BP174" s="290"/>
      <c r="BQ174" s="290"/>
      <c r="BR174" s="291"/>
      <c r="BS174" s="10"/>
      <c r="BT174" s="11"/>
    </row>
    <row r="175" spans="1:72" s="8" customFormat="1">
      <c r="A175" s="9"/>
      <c r="B175" s="80"/>
      <c r="C175" s="81"/>
      <c r="D175" s="81"/>
      <c r="E175" s="81"/>
      <c r="F175" s="81"/>
      <c r="G175" s="81"/>
      <c r="H175" s="81"/>
      <c r="I175" s="82"/>
      <c r="J175" s="81"/>
      <c r="K175" s="81"/>
      <c r="L175" s="81"/>
      <c r="M175" s="81"/>
      <c r="N175" s="81"/>
      <c r="O175" s="81"/>
      <c r="P175" s="81"/>
      <c r="Q175" s="82"/>
      <c r="R175" s="38">
        <v>16</v>
      </c>
      <c r="S175" s="36" t="s">
        <v>238</v>
      </c>
      <c r="T175" s="37"/>
      <c r="U175" s="37"/>
      <c r="V175" s="37"/>
      <c r="W175" s="37"/>
      <c r="X175" s="37"/>
      <c r="Y175" s="37"/>
      <c r="Z175" s="37"/>
      <c r="AA175" s="37"/>
      <c r="AB175" s="37"/>
      <c r="AC175" s="37"/>
      <c r="AD175" s="37"/>
      <c r="AE175" s="38"/>
      <c r="AF175" s="284"/>
      <c r="AG175" s="286"/>
      <c r="AH175" s="284"/>
      <c r="AI175" s="286"/>
      <c r="AJ175" s="284" t="s">
        <v>130</v>
      </c>
      <c r="AK175" s="286"/>
      <c r="AL175" s="284"/>
      <c r="AM175" s="286"/>
      <c r="AN175" s="284"/>
      <c r="AO175" s="286"/>
      <c r="AP175" s="284"/>
      <c r="AQ175" s="286"/>
      <c r="AR175" s="284"/>
      <c r="AS175" s="286"/>
      <c r="AT175" s="287" t="s">
        <v>142</v>
      </c>
      <c r="AU175" s="287"/>
      <c r="AV175" s="287"/>
      <c r="AW175" s="287"/>
      <c r="AX175" s="287"/>
      <c r="AY175" s="287"/>
      <c r="AZ175" s="287"/>
      <c r="BA175" s="287"/>
      <c r="BB175" s="287" t="s">
        <v>143</v>
      </c>
      <c r="BC175" s="287"/>
      <c r="BD175" s="287"/>
      <c r="BE175" s="287"/>
      <c r="BF175" s="287"/>
      <c r="BG175" s="287"/>
      <c r="BH175" s="287"/>
      <c r="BI175" s="287"/>
      <c r="BJ175" s="288"/>
      <c r="BK175" s="288"/>
      <c r="BL175" s="288"/>
      <c r="BM175" s="288"/>
      <c r="BN175" s="288"/>
      <c r="BO175" s="288"/>
      <c r="BP175" s="288"/>
      <c r="BQ175" s="288"/>
      <c r="BR175" s="288"/>
      <c r="BS175" s="10"/>
    </row>
    <row r="176" spans="1:72" s="8" customFormat="1">
      <c r="A176" s="9"/>
      <c r="B176" s="83"/>
      <c r="C176" s="81"/>
      <c r="D176" s="81"/>
      <c r="E176" s="81"/>
      <c r="F176" s="81"/>
      <c r="G176" s="81"/>
      <c r="H176" s="81"/>
      <c r="I176" s="82"/>
      <c r="J176" s="81"/>
      <c r="K176" s="81"/>
      <c r="L176" s="81"/>
      <c r="M176" s="81"/>
      <c r="N176" s="81"/>
      <c r="O176" s="81"/>
      <c r="P176" s="81"/>
      <c r="Q176" s="82"/>
      <c r="R176" s="38">
        <v>17</v>
      </c>
      <c r="S176" s="36" t="s">
        <v>239</v>
      </c>
      <c r="T176" s="37"/>
      <c r="U176" s="37"/>
      <c r="V176" s="37"/>
      <c r="W176" s="37"/>
      <c r="X176" s="37"/>
      <c r="Y176" s="37"/>
      <c r="Z176" s="37"/>
      <c r="AA176" s="37"/>
      <c r="AB176" s="37"/>
      <c r="AC176" s="37"/>
      <c r="AD176" s="37"/>
      <c r="AE176" s="38"/>
      <c r="AF176" s="284"/>
      <c r="AG176" s="286"/>
      <c r="AH176" s="284"/>
      <c r="AI176" s="286"/>
      <c r="AJ176" s="284" t="s">
        <v>130</v>
      </c>
      <c r="AK176" s="286"/>
      <c r="AL176" s="284"/>
      <c r="AM176" s="286"/>
      <c r="AN176" s="284"/>
      <c r="AO176" s="286"/>
      <c r="AP176" s="284"/>
      <c r="AQ176" s="286"/>
      <c r="AR176" s="284"/>
      <c r="AS176" s="286"/>
      <c r="AT176" s="287" t="s">
        <v>143</v>
      </c>
      <c r="AU176" s="287"/>
      <c r="AV176" s="287"/>
      <c r="AW176" s="287"/>
      <c r="AX176" s="287"/>
      <c r="AY176" s="287"/>
      <c r="AZ176" s="287"/>
      <c r="BA176" s="287"/>
      <c r="BB176" s="287" t="s">
        <v>143</v>
      </c>
      <c r="BC176" s="287"/>
      <c r="BD176" s="287"/>
      <c r="BE176" s="287"/>
      <c r="BF176" s="287"/>
      <c r="BG176" s="287"/>
      <c r="BH176" s="287"/>
      <c r="BI176" s="287"/>
      <c r="BJ176" s="288"/>
      <c r="BK176" s="288"/>
      <c r="BL176" s="288"/>
      <c r="BM176" s="288"/>
      <c r="BN176" s="288"/>
      <c r="BO176" s="288"/>
      <c r="BP176" s="288"/>
      <c r="BQ176" s="288"/>
      <c r="BR176" s="288"/>
      <c r="BS176" s="10"/>
      <c r="BT176" s="11"/>
    </row>
    <row r="177" spans="1:72" s="8" customFormat="1">
      <c r="A177" s="9"/>
      <c r="B177" s="83"/>
      <c r="C177" s="81"/>
      <c r="D177" s="81"/>
      <c r="E177" s="81"/>
      <c r="F177" s="81"/>
      <c r="G177" s="81"/>
      <c r="H177" s="81"/>
      <c r="I177" s="82"/>
      <c r="J177" s="81"/>
      <c r="K177" s="81"/>
      <c r="L177" s="81"/>
      <c r="M177" s="81"/>
      <c r="N177" s="81"/>
      <c r="O177" s="81"/>
      <c r="P177" s="81"/>
      <c r="Q177" s="82"/>
      <c r="R177" s="38">
        <v>18</v>
      </c>
      <c r="S177" s="36" t="s">
        <v>240</v>
      </c>
      <c r="T177" s="37"/>
      <c r="U177" s="37"/>
      <c r="V177" s="37"/>
      <c r="W177" s="37"/>
      <c r="X177" s="37"/>
      <c r="Y177" s="37"/>
      <c r="Z177" s="37"/>
      <c r="AA177" s="37"/>
      <c r="AB177" s="37"/>
      <c r="AC177" s="37"/>
      <c r="AD177" s="37"/>
      <c r="AE177" s="38"/>
      <c r="AF177" s="284"/>
      <c r="AG177" s="286"/>
      <c r="AH177" s="284"/>
      <c r="AI177" s="286"/>
      <c r="AJ177" s="284" t="s">
        <v>130</v>
      </c>
      <c r="AK177" s="286"/>
      <c r="AL177" s="284"/>
      <c r="AM177" s="286"/>
      <c r="AN177" s="284"/>
      <c r="AO177" s="286"/>
      <c r="AP177" s="284"/>
      <c r="AQ177" s="286"/>
      <c r="AR177" s="284"/>
      <c r="AS177" s="286"/>
      <c r="AT177" s="287" t="s">
        <v>142</v>
      </c>
      <c r="AU177" s="287"/>
      <c r="AV177" s="287"/>
      <c r="AW177" s="287"/>
      <c r="AX177" s="287"/>
      <c r="AY177" s="287"/>
      <c r="AZ177" s="287"/>
      <c r="BA177" s="287"/>
      <c r="BB177" s="287" t="s">
        <v>143</v>
      </c>
      <c r="BC177" s="287"/>
      <c r="BD177" s="287"/>
      <c r="BE177" s="287"/>
      <c r="BF177" s="287"/>
      <c r="BG177" s="287"/>
      <c r="BH177" s="287"/>
      <c r="BI177" s="287"/>
      <c r="BJ177" s="288"/>
      <c r="BK177" s="288"/>
      <c r="BL177" s="288"/>
      <c r="BM177" s="288"/>
      <c r="BN177" s="288"/>
      <c r="BO177" s="288"/>
      <c r="BP177" s="288"/>
      <c r="BQ177" s="288"/>
      <c r="BR177" s="288"/>
      <c r="BS177" s="10"/>
      <c r="BT177" s="11"/>
    </row>
    <row r="178" spans="1:72" s="8" customFormat="1">
      <c r="A178" s="9"/>
      <c r="B178" s="80"/>
      <c r="C178" s="81"/>
      <c r="D178" s="81"/>
      <c r="E178" s="81"/>
      <c r="F178" s="81"/>
      <c r="G178" s="81"/>
      <c r="H178" s="81"/>
      <c r="I178" s="82"/>
      <c r="J178" s="81"/>
      <c r="K178" s="81"/>
      <c r="L178" s="81"/>
      <c r="M178" s="81"/>
      <c r="N178" s="81"/>
      <c r="O178" s="81"/>
      <c r="P178" s="81"/>
      <c r="Q178" s="82"/>
      <c r="R178" s="38">
        <v>19</v>
      </c>
      <c r="S178" s="111" t="s">
        <v>241</v>
      </c>
      <c r="T178" s="37"/>
      <c r="U178" s="37"/>
      <c r="V178" s="37"/>
      <c r="W178" s="37"/>
      <c r="X178" s="37"/>
      <c r="Y178" s="37"/>
      <c r="Z178" s="37"/>
      <c r="AA178" s="37"/>
      <c r="AB178" s="37"/>
      <c r="AC178" s="37"/>
      <c r="AD178" s="37"/>
      <c r="AE178" s="38"/>
      <c r="AF178" s="284"/>
      <c r="AG178" s="286"/>
      <c r="AH178" s="284"/>
      <c r="AI178" s="286"/>
      <c r="AJ178" s="284" t="s">
        <v>130</v>
      </c>
      <c r="AK178" s="286"/>
      <c r="AL178" s="284"/>
      <c r="AM178" s="286"/>
      <c r="AN178" s="284"/>
      <c r="AO178" s="286"/>
      <c r="AP178" s="284"/>
      <c r="AQ178" s="286"/>
      <c r="AR178" s="284"/>
      <c r="AS178" s="286"/>
      <c r="AT178" s="287" t="s">
        <v>142</v>
      </c>
      <c r="AU178" s="287"/>
      <c r="AV178" s="287"/>
      <c r="AW178" s="287"/>
      <c r="AX178" s="287"/>
      <c r="AY178" s="287"/>
      <c r="AZ178" s="287"/>
      <c r="BA178" s="287"/>
      <c r="BB178" s="287" t="s">
        <v>143</v>
      </c>
      <c r="BC178" s="287"/>
      <c r="BD178" s="287"/>
      <c r="BE178" s="287"/>
      <c r="BF178" s="287"/>
      <c r="BG178" s="287"/>
      <c r="BH178" s="287"/>
      <c r="BI178" s="287"/>
      <c r="BJ178" s="288"/>
      <c r="BK178" s="288"/>
      <c r="BL178" s="288"/>
      <c r="BM178" s="288"/>
      <c r="BN178" s="288"/>
      <c r="BO178" s="288"/>
      <c r="BP178" s="288"/>
      <c r="BQ178" s="288"/>
      <c r="BR178" s="288"/>
      <c r="BS178" s="10"/>
    </row>
    <row r="179" spans="1:72" s="8" customFormat="1">
      <c r="A179" s="9"/>
      <c r="B179" s="83"/>
      <c r="C179" s="81"/>
      <c r="D179" s="81"/>
      <c r="E179" s="81"/>
      <c r="F179" s="81"/>
      <c r="G179" s="81"/>
      <c r="H179" s="81"/>
      <c r="I179" s="82"/>
      <c r="J179" s="81"/>
      <c r="K179" s="81"/>
      <c r="L179" s="81"/>
      <c r="M179" s="81"/>
      <c r="N179" s="81"/>
      <c r="O179" s="81"/>
      <c r="P179" s="81"/>
      <c r="Q179" s="82"/>
      <c r="R179" s="38">
        <v>20</v>
      </c>
      <c r="S179" s="36" t="s">
        <v>242</v>
      </c>
      <c r="T179" s="37"/>
      <c r="U179" s="37"/>
      <c r="V179" s="37"/>
      <c r="W179" s="37"/>
      <c r="X179" s="37"/>
      <c r="Y179" s="37"/>
      <c r="Z179" s="37"/>
      <c r="AA179" s="37"/>
      <c r="AB179" s="37"/>
      <c r="AC179" s="37"/>
      <c r="AD179" s="37"/>
      <c r="AE179" s="38"/>
      <c r="AF179" s="284"/>
      <c r="AG179" s="286"/>
      <c r="AH179" s="284"/>
      <c r="AI179" s="286"/>
      <c r="AJ179" s="284" t="s">
        <v>130</v>
      </c>
      <c r="AK179" s="286"/>
      <c r="AL179" s="284"/>
      <c r="AM179" s="286"/>
      <c r="AN179" s="284"/>
      <c r="AO179" s="286"/>
      <c r="AP179" s="284"/>
      <c r="AQ179" s="286"/>
      <c r="AR179" s="284"/>
      <c r="AS179" s="286"/>
      <c r="AT179" s="287" t="s">
        <v>142</v>
      </c>
      <c r="AU179" s="287"/>
      <c r="AV179" s="287"/>
      <c r="AW179" s="287"/>
      <c r="AX179" s="287"/>
      <c r="AY179" s="287"/>
      <c r="AZ179" s="287"/>
      <c r="BA179" s="287"/>
      <c r="BB179" s="287" t="s">
        <v>143</v>
      </c>
      <c r="BC179" s="287"/>
      <c r="BD179" s="287"/>
      <c r="BE179" s="287"/>
      <c r="BF179" s="287"/>
      <c r="BG179" s="287"/>
      <c r="BH179" s="287"/>
      <c r="BI179" s="287"/>
      <c r="BJ179" s="288"/>
      <c r="BK179" s="288"/>
      <c r="BL179" s="288"/>
      <c r="BM179" s="288"/>
      <c r="BN179" s="288"/>
      <c r="BO179" s="288"/>
      <c r="BP179" s="288"/>
      <c r="BQ179" s="288"/>
      <c r="BR179" s="288"/>
      <c r="BS179" s="10"/>
      <c r="BT179" s="11"/>
    </row>
    <row r="180" spans="1:72" s="8" customFormat="1">
      <c r="A180" s="9"/>
      <c r="B180" s="80"/>
      <c r="C180" s="81"/>
      <c r="D180" s="81"/>
      <c r="E180" s="81"/>
      <c r="F180" s="81"/>
      <c r="G180" s="81"/>
      <c r="H180" s="81"/>
      <c r="I180" s="82"/>
      <c r="J180" s="81"/>
      <c r="K180" s="81"/>
      <c r="L180" s="81"/>
      <c r="M180" s="81"/>
      <c r="N180" s="81"/>
      <c r="O180" s="81"/>
      <c r="P180" s="81"/>
      <c r="Q180" s="82"/>
      <c r="R180" s="38">
        <v>21</v>
      </c>
      <c r="S180" s="36" t="s">
        <v>243</v>
      </c>
      <c r="T180" s="37"/>
      <c r="U180" s="37"/>
      <c r="V180" s="37"/>
      <c r="W180" s="37"/>
      <c r="X180" s="37"/>
      <c r="Y180" s="37"/>
      <c r="Z180" s="37"/>
      <c r="AA180" s="37"/>
      <c r="AB180" s="37"/>
      <c r="AC180" s="37"/>
      <c r="AD180" s="37"/>
      <c r="AE180" s="38"/>
      <c r="AF180" s="284"/>
      <c r="AG180" s="286"/>
      <c r="AH180" s="284"/>
      <c r="AI180" s="286"/>
      <c r="AJ180" s="284" t="s">
        <v>130</v>
      </c>
      <c r="AK180" s="286"/>
      <c r="AL180" s="284"/>
      <c r="AM180" s="286"/>
      <c r="AN180" s="284"/>
      <c r="AO180" s="286"/>
      <c r="AP180" s="284"/>
      <c r="AQ180" s="286"/>
      <c r="AR180" s="284"/>
      <c r="AS180" s="286"/>
      <c r="AT180" s="284" t="s">
        <v>131</v>
      </c>
      <c r="AU180" s="285"/>
      <c r="AV180" s="285"/>
      <c r="AW180" s="285"/>
      <c r="AX180" s="285"/>
      <c r="AY180" s="285"/>
      <c r="AZ180" s="285"/>
      <c r="BA180" s="286"/>
      <c r="BB180" s="284" t="s">
        <v>224</v>
      </c>
      <c r="BC180" s="285"/>
      <c r="BD180" s="285"/>
      <c r="BE180" s="285"/>
      <c r="BF180" s="285"/>
      <c r="BG180" s="285"/>
      <c r="BH180" s="285"/>
      <c r="BI180" s="286"/>
      <c r="BJ180" s="288"/>
      <c r="BK180" s="288"/>
      <c r="BL180" s="288"/>
      <c r="BM180" s="288"/>
      <c r="BN180" s="288"/>
      <c r="BO180" s="288"/>
      <c r="BP180" s="288"/>
      <c r="BQ180" s="288"/>
      <c r="BR180" s="288"/>
      <c r="BS180" s="10"/>
    </row>
    <row r="181" spans="1:72" s="8" customFormat="1">
      <c r="A181" s="9"/>
      <c r="B181" s="83"/>
      <c r="C181" s="81"/>
      <c r="D181" s="81"/>
      <c r="E181" s="81"/>
      <c r="F181" s="81"/>
      <c r="G181" s="81"/>
      <c r="H181" s="81"/>
      <c r="I181" s="82"/>
      <c r="J181" s="81"/>
      <c r="K181" s="81"/>
      <c r="L181" s="81"/>
      <c r="M181" s="81"/>
      <c r="N181" s="81"/>
      <c r="O181" s="81"/>
      <c r="P181" s="81"/>
      <c r="Q181" s="82"/>
      <c r="R181" s="38">
        <v>22</v>
      </c>
      <c r="S181" s="36" t="s">
        <v>244</v>
      </c>
      <c r="T181" s="37"/>
      <c r="U181" s="37"/>
      <c r="V181" s="37"/>
      <c r="W181" s="37"/>
      <c r="X181" s="37"/>
      <c r="Y181" s="37"/>
      <c r="Z181" s="37"/>
      <c r="AA181" s="37"/>
      <c r="AB181" s="37"/>
      <c r="AC181" s="37"/>
      <c r="AD181" s="37"/>
      <c r="AE181" s="38"/>
      <c r="AF181" s="284"/>
      <c r="AG181" s="286"/>
      <c r="AH181" s="284"/>
      <c r="AI181" s="286"/>
      <c r="AJ181" s="284" t="s">
        <v>130</v>
      </c>
      <c r="AK181" s="286"/>
      <c r="AL181" s="284"/>
      <c r="AM181" s="286"/>
      <c r="AN181" s="284"/>
      <c r="AO181" s="286"/>
      <c r="AP181" s="284"/>
      <c r="AQ181" s="286"/>
      <c r="AR181" s="284"/>
      <c r="AS181" s="286"/>
      <c r="AT181" s="287" t="s">
        <v>142</v>
      </c>
      <c r="AU181" s="287"/>
      <c r="AV181" s="287"/>
      <c r="AW181" s="287"/>
      <c r="AX181" s="287"/>
      <c r="AY181" s="287"/>
      <c r="AZ181" s="287"/>
      <c r="BA181" s="287"/>
      <c r="BB181" s="287" t="s">
        <v>143</v>
      </c>
      <c r="BC181" s="287"/>
      <c r="BD181" s="287"/>
      <c r="BE181" s="287"/>
      <c r="BF181" s="287"/>
      <c r="BG181" s="287"/>
      <c r="BH181" s="287"/>
      <c r="BI181" s="287"/>
      <c r="BJ181" s="288"/>
      <c r="BK181" s="288"/>
      <c r="BL181" s="288"/>
      <c r="BM181" s="288"/>
      <c r="BN181" s="288"/>
      <c r="BO181" s="288"/>
      <c r="BP181" s="288"/>
      <c r="BQ181" s="288"/>
      <c r="BR181" s="288"/>
      <c r="BS181" s="10"/>
      <c r="BT181" s="11"/>
    </row>
    <row r="182" spans="1:72" s="8" customFormat="1">
      <c r="A182" s="9"/>
      <c r="B182" s="83"/>
      <c r="C182" s="81"/>
      <c r="D182" s="81"/>
      <c r="E182" s="81"/>
      <c r="F182" s="81"/>
      <c r="G182" s="81"/>
      <c r="H182" s="81"/>
      <c r="I182" s="82"/>
      <c r="J182" s="81"/>
      <c r="K182" s="81"/>
      <c r="L182" s="81"/>
      <c r="M182" s="81"/>
      <c r="N182" s="81"/>
      <c r="O182" s="81"/>
      <c r="P182" s="81"/>
      <c r="Q182" s="82"/>
      <c r="R182" s="38">
        <v>23</v>
      </c>
      <c r="S182" s="36" t="s">
        <v>245</v>
      </c>
      <c r="T182" s="37"/>
      <c r="U182" s="37"/>
      <c r="V182" s="37"/>
      <c r="W182" s="37"/>
      <c r="X182" s="37"/>
      <c r="Y182" s="37"/>
      <c r="Z182" s="37"/>
      <c r="AA182" s="37"/>
      <c r="AB182" s="37"/>
      <c r="AC182" s="37"/>
      <c r="AD182" s="37"/>
      <c r="AE182" s="38"/>
      <c r="AF182" s="284"/>
      <c r="AG182" s="286"/>
      <c r="AH182" s="284"/>
      <c r="AI182" s="286"/>
      <c r="AJ182" s="284"/>
      <c r="AK182" s="286"/>
      <c r="AL182" s="284"/>
      <c r="AM182" s="286"/>
      <c r="AN182" s="284" t="s">
        <v>130</v>
      </c>
      <c r="AO182" s="286"/>
      <c r="AP182" s="284"/>
      <c r="AQ182" s="286"/>
      <c r="AR182" s="284"/>
      <c r="AS182" s="286"/>
      <c r="AT182" s="284" t="s">
        <v>131</v>
      </c>
      <c r="AU182" s="285"/>
      <c r="AV182" s="285"/>
      <c r="AW182" s="285"/>
      <c r="AX182" s="285"/>
      <c r="AY182" s="285"/>
      <c r="AZ182" s="285"/>
      <c r="BA182" s="286"/>
      <c r="BB182" s="284" t="s">
        <v>246</v>
      </c>
      <c r="BC182" s="285"/>
      <c r="BD182" s="285"/>
      <c r="BE182" s="285"/>
      <c r="BF182" s="285"/>
      <c r="BG182" s="285"/>
      <c r="BH182" s="285"/>
      <c r="BI182" s="286"/>
      <c r="BJ182" s="288"/>
      <c r="BK182" s="288"/>
      <c r="BL182" s="288"/>
      <c r="BM182" s="288"/>
      <c r="BN182" s="288"/>
      <c r="BO182" s="288"/>
      <c r="BP182" s="288"/>
      <c r="BQ182" s="288"/>
      <c r="BR182" s="288"/>
      <c r="BS182" s="10"/>
      <c r="BT182" s="11"/>
    </row>
    <row r="183" spans="1:72" s="8" customFormat="1">
      <c r="A183" s="9"/>
      <c r="B183" s="80"/>
      <c r="C183" s="81"/>
      <c r="D183" s="81"/>
      <c r="E183" s="81"/>
      <c r="F183" s="81"/>
      <c r="G183" s="81"/>
      <c r="H183" s="81"/>
      <c r="I183" s="82"/>
      <c r="J183" s="81"/>
      <c r="K183" s="81"/>
      <c r="L183" s="81"/>
      <c r="M183" s="81"/>
      <c r="N183" s="81"/>
      <c r="O183" s="81"/>
      <c r="P183" s="81"/>
      <c r="Q183" s="82"/>
      <c r="R183" s="38">
        <v>24</v>
      </c>
      <c r="S183" s="36" t="s">
        <v>247</v>
      </c>
      <c r="T183" s="37"/>
      <c r="U183" s="37"/>
      <c r="V183" s="37"/>
      <c r="W183" s="37"/>
      <c r="X183" s="37"/>
      <c r="Y183" s="37"/>
      <c r="Z183" s="37"/>
      <c r="AA183" s="37"/>
      <c r="AB183" s="37"/>
      <c r="AC183" s="37"/>
      <c r="AD183" s="37"/>
      <c r="AE183" s="38"/>
      <c r="AF183" s="284"/>
      <c r="AG183" s="286"/>
      <c r="AH183" s="284"/>
      <c r="AI183" s="286"/>
      <c r="AJ183" s="284"/>
      <c r="AK183" s="286"/>
      <c r="AL183" s="284"/>
      <c r="AM183" s="286"/>
      <c r="AN183" s="284" t="s">
        <v>130</v>
      </c>
      <c r="AO183" s="286"/>
      <c r="AP183" s="284"/>
      <c r="AQ183" s="286"/>
      <c r="AR183" s="284"/>
      <c r="AS183" s="286"/>
      <c r="AT183" s="284" t="s">
        <v>143</v>
      </c>
      <c r="AU183" s="285"/>
      <c r="AV183" s="285"/>
      <c r="AW183" s="285"/>
      <c r="AX183" s="285"/>
      <c r="AY183" s="285"/>
      <c r="AZ183" s="285"/>
      <c r="BA183" s="286"/>
      <c r="BB183" s="287" t="s">
        <v>143</v>
      </c>
      <c r="BC183" s="287"/>
      <c r="BD183" s="287"/>
      <c r="BE183" s="287"/>
      <c r="BF183" s="287"/>
      <c r="BG183" s="287"/>
      <c r="BH183" s="287"/>
      <c r="BI183" s="287"/>
      <c r="BJ183" s="288"/>
      <c r="BK183" s="288"/>
      <c r="BL183" s="288"/>
      <c r="BM183" s="288"/>
      <c r="BN183" s="288"/>
      <c r="BO183" s="288"/>
      <c r="BP183" s="288"/>
      <c r="BQ183" s="288"/>
      <c r="BR183" s="288"/>
      <c r="BS183" s="10"/>
    </row>
    <row r="184" spans="1:72" s="8" customFormat="1">
      <c r="A184" s="9"/>
      <c r="B184" s="83"/>
      <c r="C184" s="81"/>
      <c r="D184" s="81"/>
      <c r="E184" s="81"/>
      <c r="F184" s="81"/>
      <c r="G184" s="81"/>
      <c r="H184" s="81"/>
      <c r="I184" s="82"/>
      <c r="J184" s="81"/>
      <c r="K184" s="81"/>
      <c r="L184" s="81"/>
      <c r="M184" s="81"/>
      <c r="N184" s="81"/>
      <c r="O184" s="81"/>
      <c r="P184" s="81"/>
      <c r="Q184" s="82"/>
      <c r="R184" s="38">
        <v>25</v>
      </c>
      <c r="S184" s="36" t="s">
        <v>248</v>
      </c>
      <c r="T184" s="37"/>
      <c r="U184" s="37"/>
      <c r="V184" s="37"/>
      <c r="W184" s="37"/>
      <c r="X184" s="37"/>
      <c r="Y184" s="37"/>
      <c r="Z184" s="37"/>
      <c r="AA184" s="37"/>
      <c r="AB184" s="37"/>
      <c r="AC184" s="37"/>
      <c r="AD184" s="37"/>
      <c r="AE184" s="38"/>
      <c r="AF184" s="284"/>
      <c r="AG184" s="286"/>
      <c r="AH184" s="284"/>
      <c r="AI184" s="286"/>
      <c r="AJ184" s="284" t="s">
        <v>130</v>
      </c>
      <c r="AK184" s="286"/>
      <c r="AL184" s="284"/>
      <c r="AM184" s="286"/>
      <c r="AN184" s="284"/>
      <c r="AO184" s="286"/>
      <c r="AP184" s="284"/>
      <c r="AQ184" s="286"/>
      <c r="AR184" s="284"/>
      <c r="AS184" s="286"/>
      <c r="AT184" s="287" t="s">
        <v>142</v>
      </c>
      <c r="AU184" s="287"/>
      <c r="AV184" s="287"/>
      <c r="AW184" s="287"/>
      <c r="AX184" s="287"/>
      <c r="AY184" s="287"/>
      <c r="AZ184" s="287"/>
      <c r="BA184" s="287"/>
      <c r="BB184" s="287" t="s">
        <v>143</v>
      </c>
      <c r="BC184" s="287"/>
      <c r="BD184" s="287"/>
      <c r="BE184" s="287"/>
      <c r="BF184" s="287"/>
      <c r="BG184" s="287"/>
      <c r="BH184" s="287"/>
      <c r="BI184" s="287"/>
      <c r="BJ184" s="288"/>
      <c r="BK184" s="288"/>
      <c r="BL184" s="288"/>
      <c r="BM184" s="288"/>
      <c r="BN184" s="288"/>
      <c r="BO184" s="288"/>
      <c r="BP184" s="288"/>
      <c r="BQ184" s="288"/>
      <c r="BR184" s="288"/>
      <c r="BS184" s="10"/>
      <c r="BT184" s="11"/>
    </row>
    <row r="185" spans="1:72" s="8" customFormat="1">
      <c r="A185" s="9"/>
      <c r="B185" s="80"/>
      <c r="C185" s="81"/>
      <c r="D185" s="81"/>
      <c r="E185" s="81"/>
      <c r="F185" s="81"/>
      <c r="G185" s="81"/>
      <c r="H185" s="81"/>
      <c r="I185" s="82"/>
      <c r="J185" s="81"/>
      <c r="K185" s="81"/>
      <c r="L185" s="81"/>
      <c r="M185" s="81"/>
      <c r="N185" s="81"/>
      <c r="O185" s="81"/>
      <c r="P185" s="81"/>
      <c r="Q185" s="82"/>
      <c r="R185" s="38">
        <v>26</v>
      </c>
      <c r="S185" s="36" t="s">
        <v>249</v>
      </c>
      <c r="T185" s="37"/>
      <c r="U185" s="37"/>
      <c r="V185" s="37"/>
      <c r="W185" s="37"/>
      <c r="X185" s="37"/>
      <c r="Y185" s="37"/>
      <c r="Z185" s="37"/>
      <c r="AA185" s="37"/>
      <c r="AB185" s="37"/>
      <c r="AC185" s="37"/>
      <c r="AD185" s="37"/>
      <c r="AE185" s="38"/>
      <c r="AF185" s="284"/>
      <c r="AG185" s="286"/>
      <c r="AH185" s="284"/>
      <c r="AI185" s="286"/>
      <c r="AJ185" s="284" t="s">
        <v>130</v>
      </c>
      <c r="AK185" s="286"/>
      <c r="AL185" s="284"/>
      <c r="AM185" s="286"/>
      <c r="AN185" s="284"/>
      <c r="AO185" s="286"/>
      <c r="AP185" s="284"/>
      <c r="AQ185" s="286"/>
      <c r="AR185" s="284"/>
      <c r="AS185" s="286"/>
      <c r="AT185" s="284" t="s">
        <v>228</v>
      </c>
      <c r="AU185" s="285"/>
      <c r="AV185" s="285"/>
      <c r="AW185" s="285"/>
      <c r="AX185" s="285"/>
      <c r="AY185" s="285"/>
      <c r="AZ185" s="285"/>
      <c r="BA185" s="286"/>
      <c r="BB185" s="284" t="s">
        <v>201</v>
      </c>
      <c r="BC185" s="285"/>
      <c r="BD185" s="285"/>
      <c r="BE185" s="285"/>
      <c r="BF185" s="285"/>
      <c r="BG185" s="285"/>
      <c r="BH185" s="285"/>
      <c r="BI185" s="286"/>
      <c r="BJ185" s="288"/>
      <c r="BK185" s="288"/>
      <c r="BL185" s="288"/>
      <c r="BM185" s="288"/>
      <c r="BN185" s="288"/>
      <c r="BO185" s="288"/>
      <c r="BP185" s="288"/>
      <c r="BQ185" s="288"/>
      <c r="BR185" s="288"/>
      <c r="BS185" s="10"/>
    </row>
    <row r="186" spans="1:72" s="8" customFormat="1">
      <c r="A186" s="9"/>
      <c r="B186" s="83"/>
      <c r="C186" s="81"/>
      <c r="D186" s="81"/>
      <c r="E186" s="81"/>
      <c r="F186" s="81"/>
      <c r="G186" s="81"/>
      <c r="H186" s="81"/>
      <c r="I186" s="82"/>
      <c r="J186" s="81"/>
      <c r="K186" s="81"/>
      <c r="L186" s="81"/>
      <c r="M186" s="81"/>
      <c r="N186" s="81"/>
      <c r="O186" s="81"/>
      <c r="P186" s="81"/>
      <c r="Q186" s="82"/>
      <c r="R186" s="38">
        <v>27</v>
      </c>
      <c r="S186" s="36" t="s">
        <v>250</v>
      </c>
      <c r="T186" s="37"/>
      <c r="U186" s="37"/>
      <c r="V186" s="37"/>
      <c r="W186" s="37"/>
      <c r="X186" s="37"/>
      <c r="Y186" s="37"/>
      <c r="Z186" s="37"/>
      <c r="AA186" s="37"/>
      <c r="AB186" s="37"/>
      <c r="AC186" s="37"/>
      <c r="AD186" s="37"/>
      <c r="AE186" s="38"/>
      <c r="AF186" s="284"/>
      <c r="AG186" s="286"/>
      <c r="AH186" s="284"/>
      <c r="AI186" s="286"/>
      <c r="AJ186" s="284" t="s">
        <v>130</v>
      </c>
      <c r="AK186" s="286"/>
      <c r="AL186" s="284"/>
      <c r="AM186" s="286"/>
      <c r="AN186" s="284"/>
      <c r="AO186" s="286"/>
      <c r="AP186" s="284"/>
      <c r="AQ186" s="286"/>
      <c r="AR186" s="284"/>
      <c r="AS186" s="286"/>
      <c r="AT186" s="287" t="s">
        <v>142</v>
      </c>
      <c r="AU186" s="287"/>
      <c r="AV186" s="287"/>
      <c r="AW186" s="287"/>
      <c r="AX186" s="287"/>
      <c r="AY186" s="287"/>
      <c r="AZ186" s="287"/>
      <c r="BA186" s="287"/>
      <c r="BB186" s="287" t="s">
        <v>143</v>
      </c>
      <c r="BC186" s="287"/>
      <c r="BD186" s="287"/>
      <c r="BE186" s="287"/>
      <c r="BF186" s="287"/>
      <c r="BG186" s="287"/>
      <c r="BH186" s="287"/>
      <c r="BI186" s="287"/>
      <c r="BJ186" s="288"/>
      <c r="BK186" s="288"/>
      <c r="BL186" s="288"/>
      <c r="BM186" s="288"/>
      <c r="BN186" s="288"/>
      <c r="BO186" s="288"/>
      <c r="BP186" s="288"/>
      <c r="BQ186" s="288"/>
      <c r="BR186" s="288"/>
      <c r="BS186" s="10"/>
      <c r="BT186" s="11"/>
    </row>
    <row r="187" spans="1:72" s="8" customFormat="1">
      <c r="A187" s="9"/>
      <c r="B187" s="80"/>
      <c r="C187" s="81"/>
      <c r="D187" s="81"/>
      <c r="E187" s="81"/>
      <c r="F187" s="81"/>
      <c r="G187" s="81"/>
      <c r="H187" s="81"/>
      <c r="I187" s="82"/>
      <c r="J187" s="81"/>
      <c r="K187" s="81"/>
      <c r="L187" s="81"/>
      <c r="M187" s="81"/>
      <c r="N187" s="81"/>
      <c r="O187" s="81"/>
      <c r="P187" s="81"/>
      <c r="Q187" s="82"/>
      <c r="R187" s="38">
        <v>28</v>
      </c>
      <c r="S187" s="36" t="s">
        <v>251</v>
      </c>
      <c r="T187" s="37"/>
      <c r="U187" s="37"/>
      <c r="V187" s="37"/>
      <c r="W187" s="37"/>
      <c r="X187" s="37"/>
      <c r="Y187" s="37"/>
      <c r="Z187" s="37"/>
      <c r="AA187" s="37"/>
      <c r="AB187" s="37"/>
      <c r="AC187" s="37"/>
      <c r="AD187" s="37"/>
      <c r="AE187" s="38"/>
      <c r="AF187" s="284"/>
      <c r="AG187" s="286"/>
      <c r="AH187" s="284"/>
      <c r="AI187" s="286"/>
      <c r="AJ187" s="284"/>
      <c r="AK187" s="286"/>
      <c r="AL187" s="284"/>
      <c r="AM187" s="286"/>
      <c r="AN187" s="284" t="s">
        <v>130</v>
      </c>
      <c r="AO187" s="286"/>
      <c r="AP187" s="284"/>
      <c r="AQ187" s="286"/>
      <c r="AR187" s="284"/>
      <c r="AS187" s="286"/>
      <c r="AT187" s="284" t="s">
        <v>131</v>
      </c>
      <c r="AU187" s="285"/>
      <c r="AV187" s="285"/>
      <c r="AW187" s="285"/>
      <c r="AX187" s="285"/>
      <c r="AY187" s="285"/>
      <c r="AZ187" s="285"/>
      <c r="BA187" s="286"/>
      <c r="BB187" s="284" t="s">
        <v>224</v>
      </c>
      <c r="BC187" s="285"/>
      <c r="BD187" s="285"/>
      <c r="BE187" s="285"/>
      <c r="BF187" s="285"/>
      <c r="BG187" s="285"/>
      <c r="BH187" s="285"/>
      <c r="BI187" s="286"/>
      <c r="BJ187" s="288"/>
      <c r="BK187" s="288"/>
      <c r="BL187" s="288"/>
      <c r="BM187" s="288"/>
      <c r="BN187" s="288"/>
      <c r="BO187" s="288"/>
      <c r="BP187" s="288"/>
      <c r="BQ187" s="288"/>
      <c r="BR187" s="288"/>
      <c r="BS187" s="10"/>
    </row>
    <row r="188" spans="1:72" s="8" customFormat="1">
      <c r="A188" s="9"/>
      <c r="B188" s="83"/>
      <c r="C188" s="81"/>
      <c r="D188" s="81"/>
      <c r="E188" s="81"/>
      <c r="F188" s="81"/>
      <c r="G188" s="81"/>
      <c r="H188" s="81"/>
      <c r="I188" s="81"/>
      <c r="J188" s="83"/>
      <c r="K188" s="81"/>
      <c r="L188" s="81"/>
      <c r="M188" s="81"/>
      <c r="N188" s="81"/>
      <c r="O188" s="81"/>
      <c r="P188" s="81"/>
      <c r="Q188" s="82"/>
      <c r="R188" s="38">
        <v>29</v>
      </c>
      <c r="S188" s="36" t="s">
        <v>218</v>
      </c>
      <c r="T188" s="37"/>
      <c r="U188" s="37"/>
      <c r="V188" s="37"/>
      <c r="W188" s="37"/>
      <c r="X188" s="37"/>
      <c r="Y188" s="37"/>
      <c r="Z188" s="37"/>
      <c r="AA188" s="37"/>
      <c r="AB188" s="37"/>
      <c r="AC188" s="37"/>
      <c r="AD188" s="37"/>
      <c r="AE188" s="38"/>
      <c r="AF188" s="284"/>
      <c r="AG188" s="286"/>
      <c r="AH188" s="284"/>
      <c r="AI188" s="286"/>
      <c r="AJ188" s="284"/>
      <c r="AK188" s="286"/>
      <c r="AL188" s="284"/>
      <c r="AM188" s="286"/>
      <c r="AN188" s="284" t="s">
        <v>130</v>
      </c>
      <c r="AO188" s="286"/>
      <c r="AP188" s="284"/>
      <c r="AQ188" s="286"/>
      <c r="AR188" s="284"/>
      <c r="AS188" s="286"/>
      <c r="AT188" s="284" t="s">
        <v>201</v>
      </c>
      <c r="AU188" s="285"/>
      <c r="AV188" s="285"/>
      <c r="AW188" s="285"/>
      <c r="AX188" s="285"/>
      <c r="AY188" s="285"/>
      <c r="AZ188" s="285"/>
      <c r="BA188" s="286"/>
      <c r="BB188" s="287"/>
      <c r="BC188" s="287"/>
      <c r="BD188" s="287"/>
      <c r="BE188" s="287"/>
      <c r="BF188" s="287"/>
      <c r="BG188" s="287"/>
      <c r="BH188" s="287"/>
      <c r="BI188" s="287"/>
      <c r="BJ188" s="288"/>
      <c r="BK188" s="288"/>
      <c r="BL188" s="288"/>
      <c r="BM188" s="288"/>
      <c r="BN188" s="288"/>
      <c r="BO188" s="288"/>
      <c r="BP188" s="288"/>
      <c r="BQ188" s="288"/>
      <c r="BR188" s="288"/>
      <c r="BS188" s="10"/>
      <c r="BT188" s="11"/>
    </row>
    <row r="189" spans="1:72" s="8" customFormat="1">
      <c r="A189" s="9"/>
      <c r="B189" s="83"/>
      <c r="C189" s="81"/>
      <c r="D189" s="81"/>
      <c r="E189" s="81"/>
      <c r="F189" s="81"/>
      <c r="G189" s="81"/>
      <c r="H189" s="81"/>
      <c r="I189" s="82"/>
      <c r="J189" s="81"/>
      <c r="K189" s="81"/>
      <c r="L189" s="81"/>
      <c r="M189" s="81"/>
      <c r="N189" s="81"/>
      <c r="O189" s="81"/>
      <c r="P189" s="81"/>
      <c r="Q189" s="82"/>
      <c r="R189" s="38">
        <v>30</v>
      </c>
      <c r="S189" s="36" t="s">
        <v>219</v>
      </c>
      <c r="T189" s="37"/>
      <c r="U189" s="37"/>
      <c r="V189" s="37"/>
      <c r="W189" s="37"/>
      <c r="X189" s="37"/>
      <c r="Y189" s="37"/>
      <c r="Z189" s="37"/>
      <c r="AA189" s="37"/>
      <c r="AB189" s="37"/>
      <c r="AC189" s="37"/>
      <c r="AD189" s="37"/>
      <c r="AE189" s="38"/>
      <c r="AF189" s="284"/>
      <c r="AG189" s="286"/>
      <c r="AH189" s="284"/>
      <c r="AI189" s="286"/>
      <c r="AJ189" s="284"/>
      <c r="AK189" s="286"/>
      <c r="AL189" s="284"/>
      <c r="AM189" s="286"/>
      <c r="AN189" s="284"/>
      <c r="AO189" s="286"/>
      <c r="AP189" s="284"/>
      <c r="AQ189" s="286"/>
      <c r="AR189" s="284" t="s">
        <v>130</v>
      </c>
      <c r="AS189" s="286"/>
      <c r="AT189" s="284" t="s">
        <v>131</v>
      </c>
      <c r="AU189" s="285"/>
      <c r="AV189" s="285"/>
      <c r="AW189" s="285"/>
      <c r="AX189" s="285"/>
      <c r="AY189" s="285"/>
      <c r="AZ189" s="285"/>
      <c r="BA189" s="286"/>
      <c r="BB189" s="284" t="s">
        <v>203</v>
      </c>
      <c r="BC189" s="285"/>
      <c r="BD189" s="285"/>
      <c r="BE189" s="285"/>
      <c r="BF189" s="285"/>
      <c r="BG189" s="285"/>
      <c r="BH189" s="285"/>
      <c r="BI189" s="286"/>
      <c r="BJ189" s="288"/>
      <c r="BK189" s="288"/>
      <c r="BL189" s="288"/>
      <c r="BM189" s="288"/>
      <c r="BN189" s="288"/>
      <c r="BO189" s="288"/>
      <c r="BP189" s="288"/>
      <c r="BQ189" s="288"/>
      <c r="BR189" s="288"/>
      <c r="BS189" s="10"/>
      <c r="BT189" s="11"/>
    </row>
    <row r="190" spans="1:72" s="8" customFormat="1">
      <c r="A190" s="9"/>
      <c r="B190" s="80"/>
      <c r="C190" s="81"/>
      <c r="D190" s="81"/>
      <c r="E190" s="81"/>
      <c r="F190" s="81"/>
      <c r="G190" s="81"/>
      <c r="H190" s="81"/>
      <c r="I190" s="82"/>
      <c r="J190" s="73" t="s">
        <v>315</v>
      </c>
      <c r="K190" s="73"/>
      <c r="L190" s="73"/>
      <c r="M190" s="73"/>
      <c r="N190" s="73"/>
      <c r="O190" s="73"/>
      <c r="P190" s="73"/>
      <c r="Q190" s="79"/>
      <c r="R190" s="38">
        <v>1</v>
      </c>
      <c r="S190" s="36" t="s">
        <v>221</v>
      </c>
      <c r="T190" s="37"/>
      <c r="U190" s="37"/>
      <c r="V190" s="37"/>
      <c r="W190" s="37"/>
      <c r="X190" s="37"/>
      <c r="Y190" s="37"/>
      <c r="Z190" s="37"/>
      <c r="AA190" s="37"/>
      <c r="AB190" s="37"/>
      <c r="AC190" s="37"/>
      <c r="AD190" s="37"/>
      <c r="AE190" s="38"/>
      <c r="AF190" s="284"/>
      <c r="AG190" s="286"/>
      <c r="AH190" s="284"/>
      <c r="AI190" s="286"/>
      <c r="AJ190" s="284"/>
      <c r="AK190" s="286"/>
      <c r="AL190" s="284"/>
      <c r="AM190" s="286"/>
      <c r="AN190" s="284" t="s">
        <v>130</v>
      </c>
      <c r="AO190" s="286"/>
      <c r="AP190" s="284"/>
      <c r="AQ190" s="286"/>
      <c r="AR190" s="284"/>
      <c r="AS190" s="286"/>
      <c r="AT190" s="284" t="s">
        <v>131</v>
      </c>
      <c r="AU190" s="285"/>
      <c r="AV190" s="285"/>
      <c r="AW190" s="285"/>
      <c r="AX190" s="285"/>
      <c r="AY190" s="285"/>
      <c r="AZ190" s="285"/>
      <c r="BA190" s="286"/>
      <c r="BB190" s="284" t="s">
        <v>203</v>
      </c>
      <c r="BC190" s="285"/>
      <c r="BD190" s="285"/>
      <c r="BE190" s="285"/>
      <c r="BF190" s="285"/>
      <c r="BG190" s="285"/>
      <c r="BH190" s="285"/>
      <c r="BI190" s="286"/>
      <c r="BJ190" s="288"/>
      <c r="BK190" s="288"/>
      <c r="BL190" s="288"/>
      <c r="BM190" s="288"/>
      <c r="BN190" s="288"/>
      <c r="BO190" s="288"/>
      <c r="BP190" s="288"/>
      <c r="BQ190" s="288"/>
      <c r="BR190" s="288"/>
      <c r="BS190" s="10"/>
    </row>
    <row r="191" spans="1:72" s="8" customFormat="1">
      <c r="A191" s="9"/>
      <c r="B191" s="83"/>
      <c r="C191" s="81"/>
      <c r="D191" s="81"/>
      <c r="E191" s="81"/>
      <c r="F191" s="81"/>
      <c r="G191" s="81"/>
      <c r="H191" s="81"/>
      <c r="I191" s="82"/>
      <c r="J191" s="81"/>
      <c r="K191" s="81"/>
      <c r="L191" s="81"/>
      <c r="M191" s="81"/>
      <c r="N191" s="81"/>
      <c r="O191" s="81"/>
      <c r="P191" s="81"/>
      <c r="Q191" s="82"/>
      <c r="R191" s="38">
        <v>2</v>
      </c>
      <c r="S191" s="36" t="s">
        <v>253</v>
      </c>
      <c r="T191" s="37"/>
      <c r="U191" s="37"/>
      <c r="V191" s="37"/>
      <c r="W191" s="37"/>
      <c r="X191" s="37"/>
      <c r="Y191" s="37"/>
      <c r="Z191" s="37"/>
      <c r="AA191" s="37"/>
      <c r="AB191" s="37"/>
      <c r="AC191" s="37"/>
      <c r="AD191" s="37"/>
      <c r="AE191" s="38"/>
      <c r="AF191" s="284"/>
      <c r="AG191" s="286"/>
      <c r="AH191" s="284"/>
      <c r="AI191" s="286"/>
      <c r="AJ191" s="284" t="s">
        <v>130</v>
      </c>
      <c r="AK191" s="286"/>
      <c r="AL191" s="284"/>
      <c r="AM191" s="286"/>
      <c r="AN191" s="284"/>
      <c r="AO191" s="286"/>
      <c r="AP191" s="284"/>
      <c r="AQ191" s="286"/>
      <c r="AR191" s="284"/>
      <c r="AS191" s="286"/>
      <c r="AT191" s="284" t="s">
        <v>131</v>
      </c>
      <c r="AU191" s="285"/>
      <c r="AV191" s="285"/>
      <c r="AW191" s="285"/>
      <c r="AX191" s="285"/>
      <c r="AY191" s="285"/>
      <c r="AZ191" s="285"/>
      <c r="BA191" s="286"/>
      <c r="BB191" s="284" t="s">
        <v>205</v>
      </c>
      <c r="BC191" s="285"/>
      <c r="BD191" s="285"/>
      <c r="BE191" s="285"/>
      <c r="BF191" s="285"/>
      <c r="BG191" s="285"/>
      <c r="BH191" s="285"/>
      <c r="BI191" s="286"/>
      <c r="BJ191" s="288"/>
      <c r="BK191" s="288"/>
      <c r="BL191" s="288"/>
      <c r="BM191" s="288"/>
      <c r="BN191" s="288"/>
      <c r="BO191" s="288"/>
      <c r="BP191" s="288"/>
      <c r="BQ191" s="288"/>
      <c r="BR191" s="288"/>
      <c r="BS191" s="10"/>
      <c r="BT191" s="11"/>
    </row>
    <row r="192" spans="1:72" s="8" customFormat="1">
      <c r="A192" s="9"/>
      <c r="B192" s="80"/>
      <c r="C192" s="81"/>
      <c r="D192" s="81"/>
      <c r="E192" s="81"/>
      <c r="F192" s="81"/>
      <c r="G192" s="81"/>
      <c r="H192" s="81"/>
      <c r="I192" s="82"/>
      <c r="J192" s="81"/>
      <c r="K192" s="81"/>
      <c r="L192" s="81"/>
      <c r="M192" s="81"/>
      <c r="N192" s="81"/>
      <c r="O192" s="81"/>
      <c r="P192" s="81"/>
      <c r="Q192" s="82"/>
      <c r="R192" s="38">
        <v>3</v>
      </c>
      <c r="S192" s="36" t="s">
        <v>254</v>
      </c>
      <c r="T192" s="37"/>
      <c r="U192" s="37"/>
      <c r="V192" s="37"/>
      <c r="W192" s="37"/>
      <c r="X192" s="37"/>
      <c r="Y192" s="37"/>
      <c r="Z192" s="37"/>
      <c r="AA192" s="37"/>
      <c r="AB192" s="37"/>
      <c r="AC192" s="37"/>
      <c r="AD192" s="37"/>
      <c r="AE192" s="38"/>
      <c r="AF192" s="284"/>
      <c r="AG192" s="286"/>
      <c r="AH192" s="284"/>
      <c r="AI192" s="286"/>
      <c r="AJ192" s="284" t="s">
        <v>130</v>
      </c>
      <c r="AK192" s="286"/>
      <c r="AL192" s="284"/>
      <c r="AM192" s="286"/>
      <c r="AN192" s="284"/>
      <c r="AO192" s="286"/>
      <c r="AP192" s="284"/>
      <c r="AQ192" s="286"/>
      <c r="AR192" s="284"/>
      <c r="AS192" s="286"/>
      <c r="AT192" s="284" t="s">
        <v>131</v>
      </c>
      <c r="AU192" s="285"/>
      <c r="AV192" s="285"/>
      <c r="AW192" s="285"/>
      <c r="AX192" s="285"/>
      <c r="AY192" s="285"/>
      <c r="AZ192" s="285"/>
      <c r="BA192" s="286"/>
      <c r="BB192" s="284" t="s">
        <v>224</v>
      </c>
      <c r="BC192" s="285"/>
      <c r="BD192" s="285"/>
      <c r="BE192" s="285"/>
      <c r="BF192" s="285"/>
      <c r="BG192" s="285"/>
      <c r="BH192" s="285"/>
      <c r="BI192" s="286"/>
      <c r="BJ192" s="288"/>
      <c r="BK192" s="288"/>
      <c r="BL192" s="288"/>
      <c r="BM192" s="288"/>
      <c r="BN192" s="288"/>
      <c r="BO192" s="288"/>
      <c r="BP192" s="288"/>
      <c r="BQ192" s="288"/>
      <c r="BR192" s="288"/>
      <c r="BS192" s="10"/>
    </row>
    <row r="193" spans="1:72" s="8" customFormat="1">
      <c r="A193" s="9"/>
      <c r="B193" s="83"/>
      <c r="C193" s="81"/>
      <c r="D193" s="81"/>
      <c r="E193" s="81"/>
      <c r="F193" s="81"/>
      <c r="G193" s="81"/>
      <c r="H193" s="81"/>
      <c r="I193" s="82"/>
      <c r="J193" s="81"/>
      <c r="K193" s="81"/>
      <c r="L193" s="81"/>
      <c r="M193" s="81"/>
      <c r="N193" s="81"/>
      <c r="O193" s="81"/>
      <c r="P193" s="81"/>
      <c r="Q193" s="82"/>
      <c r="R193" s="38">
        <v>4</v>
      </c>
      <c r="S193" s="36" t="s">
        <v>255</v>
      </c>
      <c r="T193" s="37"/>
      <c r="U193" s="37"/>
      <c r="V193" s="37"/>
      <c r="W193" s="37"/>
      <c r="X193" s="37"/>
      <c r="Y193" s="37"/>
      <c r="Z193" s="37"/>
      <c r="AA193" s="37"/>
      <c r="AB193" s="37"/>
      <c r="AC193" s="37"/>
      <c r="AD193" s="37"/>
      <c r="AE193" s="38"/>
      <c r="AF193" s="284"/>
      <c r="AG193" s="286"/>
      <c r="AH193" s="284"/>
      <c r="AI193" s="286"/>
      <c r="AJ193" s="284" t="s">
        <v>130</v>
      </c>
      <c r="AK193" s="286"/>
      <c r="AL193" s="284"/>
      <c r="AM193" s="286"/>
      <c r="AN193" s="284"/>
      <c r="AO193" s="286"/>
      <c r="AP193" s="284"/>
      <c r="AQ193" s="286"/>
      <c r="AR193" s="284"/>
      <c r="AS193" s="286"/>
      <c r="AT193" s="284" t="s">
        <v>143</v>
      </c>
      <c r="AU193" s="285"/>
      <c r="AV193" s="285"/>
      <c r="AW193" s="285"/>
      <c r="AX193" s="285"/>
      <c r="AY193" s="285"/>
      <c r="AZ193" s="285"/>
      <c r="BA193" s="286"/>
      <c r="BB193" s="287" t="s">
        <v>143</v>
      </c>
      <c r="BC193" s="287"/>
      <c r="BD193" s="287"/>
      <c r="BE193" s="287"/>
      <c r="BF193" s="287"/>
      <c r="BG193" s="287"/>
      <c r="BH193" s="287"/>
      <c r="BI193" s="287"/>
      <c r="BJ193" s="288" t="s">
        <v>256</v>
      </c>
      <c r="BK193" s="288"/>
      <c r="BL193" s="288"/>
      <c r="BM193" s="288"/>
      <c r="BN193" s="288"/>
      <c r="BO193" s="288"/>
      <c r="BP193" s="288"/>
      <c r="BQ193" s="288"/>
      <c r="BR193" s="288"/>
      <c r="BS193" s="10"/>
      <c r="BT193" s="11"/>
    </row>
    <row r="194" spans="1:72" s="8" customFormat="1">
      <c r="A194" s="9"/>
      <c r="B194" s="80"/>
      <c r="C194" s="81"/>
      <c r="D194" s="81"/>
      <c r="E194" s="81"/>
      <c r="F194" s="81"/>
      <c r="G194" s="81"/>
      <c r="H194" s="81"/>
      <c r="I194" s="82"/>
      <c r="J194" s="81"/>
      <c r="K194" s="81"/>
      <c r="L194" s="81"/>
      <c r="M194" s="81"/>
      <c r="N194" s="81"/>
      <c r="O194" s="81"/>
      <c r="P194" s="81"/>
      <c r="Q194" s="82"/>
      <c r="R194" s="38">
        <v>5</v>
      </c>
      <c r="S194" s="36" t="s">
        <v>257</v>
      </c>
      <c r="T194" s="37"/>
      <c r="U194" s="37"/>
      <c r="V194" s="37"/>
      <c r="W194" s="37"/>
      <c r="X194" s="37"/>
      <c r="Y194" s="37"/>
      <c r="Z194" s="37"/>
      <c r="AA194" s="37"/>
      <c r="AB194" s="37"/>
      <c r="AC194" s="37"/>
      <c r="AD194" s="37"/>
      <c r="AE194" s="38"/>
      <c r="AF194" s="284"/>
      <c r="AG194" s="286"/>
      <c r="AH194" s="284"/>
      <c r="AI194" s="286"/>
      <c r="AJ194" s="284"/>
      <c r="AK194" s="286"/>
      <c r="AL194" s="284"/>
      <c r="AM194" s="286"/>
      <c r="AN194" s="284" t="s">
        <v>130</v>
      </c>
      <c r="AO194" s="286"/>
      <c r="AP194" s="284"/>
      <c r="AQ194" s="286"/>
      <c r="AR194" s="284"/>
      <c r="AS194" s="286"/>
      <c r="AT194" s="284" t="s">
        <v>143</v>
      </c>
      <c r="AU194" s="285"/>
      <c r="AV194" s="285"/>
      <c r="AW194" s="285"/>
      <c r="AX194" s="285"/>
      <c r="AY194" s="285"/>
      <c r="AZ194" s="285"/>
      <c r="BA194" s="286"/>
      <c r="BB194" s="287" t="s">
        <v>143</v>
      </c>
      <c r="BC194" s="287"/>
      <c r="BD194" s="287"/>
      <c r="BE194" s="287"/>
      <c r="BF194" s="287"/>
      <c r="BG194" s="287"/>
      <c r="BH194" s="287"/>
      <c r="BI194" s="287"/>
      <c r="BJ194" s="288"/>
      <c r="BK194" s="288"/>
      <c r="BL194" s="288"/>
      <c r="BM194" s="288"/>
      <c r="BN194" s="288"/>
      <c r="BO194" s="288"/>
      <c r="BP194" s="288"/>
      <c r="BQ194" s="288"/>
      <c r="BR194" s="288"/>
      <c r="BS194" s="10"/>
    </row>
    <row r="195" spans="1:72" s="8" customFormat="1">
      <c r="A195" s="9"/>
      <c r="B195" s="83"/>
      <c r="C195" s="81"/>
      <c r="D195" s="81"/>
      <c r="E195" s="81"/>
      <c r="F195" s="81"/>
      <c r="G195" s="81"/>
      <c r="H195" s="81"/>
      <c r="I195" s="82"/>
      <c r="J195" s="81"/>
      <c r="K195" s="81"/>
      <c r="L195" s="81"/>
      <c r="M195" s="81"/>
      <c r="N195" s="81"/>
      <c r="O195" s="81"/>
      <c r="P195" s="81"/>
      <c r="Q195" s="82"/>
      <c r="R195" s="38">
        <v>6</v>
      </c>
      <c r="S195" s="58" t="s">
        <v>258</v>
      </c>
      <c r="T195" s="37"/>
      <c r="U195" s="37"/>
      <c r="V195" s="37"/>
      <c r="W195" s="37"/>
      <c r="X195" s="37"/>
      <c r="Y195" s="37"/>
      <c r="Z195" s="37"/>
      <c r="AA195" s="37"/>
      <c r="AB195" s="37"/>
      <c r="AC195" s="37"/>
      <c r="AD195" s="37"/>
      <c r="AE195" s="38"/>
      <c r="AF195" s="284"/>
      <c r="AG195" s="286"/>
      <c r="AH195" s="284"/>
      <c r="AI195" s="286"/>
      <c r="AJ195" s="284"/>
      <c r="AK195" s="286"/>
      <c r="AL195" s="284"/>
      <c r="AM195" s="286"/>
      <c r="AN195" s="284" t="s">
        <v>130</v>
      </c>
      <c r="AO195" s="286"/>
      <c r="AP195" s="284"/>
      <c r="AQ195" s="286"/>
      <c r="AR195" s="284"/>
      <c r="AS195" s="286"/>
      <c r="AT195" s="284" t="s">
        <v>228</v>
      </c>
      <c r="AU195" s="285"/>
      <c r="AV195" s="285"/>
      <c r="AW195" s="285"/>
      <c r="AX195" s="285"/>
      <c r="AY195" s="285"/>
      <c r="AZ195" s="285"/>
      <c r="BA195" s="286"/>
      <c r="BB195" s="284" t="s">
        <v>201</v>
      </c>
      <c r="BC195" s="285"/>
      <c r="BD195" s="285"/>
      <c r="BE195" s="285"/>
      <c r="BF195" s="285"/>
      <c r="BG195" s="285"/>
      <c r="BH195" s="285"/>
      <c r="BI195" s="286"/>
      <c r="BJ195" s="288"/>
      <c r="BK195" s="288"/>
      <c r="BL195" s="288"/>
      <c r="BM195" s="288"/>
      <c r="BN195" s="288"/>
      <c r="BO195" s="288"/>
      <c r="BP195" s="288"/>
      <c r="BQ195" s="288"/>
      <c r="BR195" s="288"/>
      <c r="BS195" s="10"/>
      <c r="BT195" s="11"/>
    </row>
    <row r="196" spans="1:72" s="8" customFormat="1" ht="14.65" customHeight="1">
      <c r="A196" s="9"/>
      <c r="B196" s="83"/>
      <c r="C196" s="81"/>
      <c r="D196" s="81"/>
      <c r="E196" s="81"/>
      <c r="F196" s="81"/>
      <c r="G196" s="81"/>
      <c r="H196" s="81"/>
      <c r="I196" s="82"/>
      <c r="J196" s="81"/>
      <c r="K196" s="81"/>
      <c r="L196" s="81"/>
      <c r="M196" s="81"/>
      <c r="N196" s="81"/>
      <c r="O196" s="81"/>
      <c r="P196" s="81"/>
      <c r="Q196" s="82"/>
      <c r="R196" s="38">
        <v>7</v>
      </c>
      <c r="S196" s="36" t="s">
        <v>259</v>
      </c>
      <c r="T196" s="37"/>
      <c r="U196" s="37"/>
      <c r="V196" s="37"/>
      <c r="W196" s="37"/>
      <c r="X196" s="37"/>
      <c r="Y196" s="37"/>
      <c r="Z196" s="37"/>
      <c r="AA196" s="37"/>
      <c r="AB196" s="37"/>
      <c r="AC196" s="37"/>
      <c r="AD196" s="37"/>
      <c r="AE196" s="38"/>
      <c r="AF196" s="284"/>
      <c r="AG196" s="286"/>
      <c r="AH196" s="284"/>
      <c r="AI196" s="286"/>
      <c r="AJ196" s="284" t="s">
        <v>130</v>
      </c>
      <c r="AK196" s="286"/>
      <c r="AL196" s="284"/>
      <c r="AM196" s="286"/>
      <c r="AN196" s="284"/>
      <c r="AO196" s="286"/>
      <c r="AP196" s="284"/>
      <c r="AQ196" s="286"/>
      <c r="AR196" s="284"/>
      <c r="AS196" s="286"/>
      <c r="AT196" s="287" t="s">
        <v>142</v>
      </c>
      <c r="AU196" s="287"/>
      <c r="AV196" s="287"/>
      <c r="AW196" s="287"/>
      <c r="AX196" s="287"/>
      <c r="AY196" s="287"/>
      <c r="AZ196" s="287"/>
      <c r="BA196" s="287"/>
      <c r="BB196" s="287" t="s">
        <v>143</v>
      </c>
      <c r="BC196" s="287"/>
      <c r="BD196" s="287"/>
      <c r="BE196" s="287"/>
      <c r="BF196" s="287"/>
      <c r="BG196" s="287"/>
      <c r="BH196" s="287"/>
      <c r="BI196" s="287"/>
      <c r="BJ196" s="288"/>
      <c r="BK196" s="288"/>
      <c r="BL196" s="288"/>
      <c r="BM196" s="288"/>
      <c r="BN196" s="288"/>
      <c r="BO196" s="288"/>
      <c r="BP196" s="288"/>
      <c r="BQ196" s="288"/>
      <c r="BR196" s="288"/>
      <c r="BS196" s="10"/>
      <c r="BT196" s="11"/>
    </row>
    <row r="197" spans="1:72" s="8" customFormat="1">
      <c r="A197" s="9"/>
      <c r="B197" s="83"/>
      <c r="C197" s="81"/>
      <c r="D197" s="81"/>
      <c r="E197" s="81"/>
      <c r="F197" s="81"/>
      <c r="G197" s="81"/>
      <c r="H197" s="81"/>
      <c r="I197" s="82"/>
      <c r="J197" s="81"/>
      <c r="K197" s="81"/>
      <c r="L197" s="81"/>
      <c r="M197" s="81"/>
      <c r="N197" s="81"/>
      <c r="O197" s="81"/>
      <c r="P197" s="81"/>
      <c r="Q197" s="82"/>
      <c r="R197" s="38">
        <v>8</v>
      </c>
      <c r="S197" s="36" t="s">
        <v>260</v>
      </c>
      <c r="T197" s="37"/>
      <c r="U197" s="37"/>
      <c r="V197" s="37"/>
      <c r="W197" s="37"/>
      <c r="X197" s="37"/>
      <c r="Y197" s="37"/>
      <c r="Z197" s="37"/>
      <c r="AA197" s="37"/>
      <c r="AB197" s="37"/>
      <c r="AC197" s="37"/>
      <c r="AD197" s="37"/>
      <c r="AE197" s="38"/>
      <c r="AF197" s="284"/>
      <c r="AG197" s="286"/>
      <c r="AH197" s="284"/>
      <c r="AI197" s="286"/>
      <c r="AJ197" s="284" t="s">
        <v>130</v>
      </c>
      <c r="AK197" s="286"/>
      <c r="AL197" s="284"/>
      <c r="AM197" s="286"/>
      <c r="AN197" s="284"/>
      <c r="AO197" s="286"/>
      <c r="AP197" s="284"/>
      <c r="AQ197" s="286"/>
      <c r="AR197" s="284"/>
      <c r="AS197" s="286"/>
      <c r="AT197" s="284" t="s">
        <v>228</v>
      </c>
      <c r="AU197" s="285"/>
      <c r="AV197" s="285"/>
      <c r="AW197" s="285"/>
      <c r="AX197" s="285"/>
      <c r="AY197" s="285"/>
      <c r="AZ197" s="285"/>
      <c r="BA197" s="286"/>
      <c r="BB197" s="284" t="s">
        <v>201</v>
      </c>
      <c r="BC197" s="285"/>
      <c r="BD197" s="285"/>
      <c r="BE197" s="285"/>
      <c r="BF197" s="285"/>
      <c r="BG197" s="285"/>
      <c r="BH197" s="285"/>
      <c r="BI197" s="286"/>
      <c r="BJ197" s="289"/>
      <c r="BK197" s="290"/>
      <c r="BL197" s="290"/>
      <c r="BM197" s="290"/>
      <c r="BN197" s="290"/>
      <c r="BO197" s="290"/>
      <c r="BP197" s="290"/>
      <c r="BQ197" s="290"/>
      <c r="BR197" s="291"/>
      <c r="BS197" s="10"/>
      <c r="BT197" s="11"/>
    </row>
    <row r="198" spans="1:72" s="8" customFormat="1">
      <c r="A198" s="9"/>
      <c r="B198" s="80"/>
      <c r="C198" s="81"/>
      <c r="D198" s="81"/>
      <c r="E198" s="81"/>
      <c r="F198" s="81"/>
      <c r="G198" s="81"/>
      <c r="H198" s="81"/>
      <c r="I198" s="82"/>
      <c r="J198" s="81"/>
      <c r="K198" s="81"/>
      <c r="L198" s="81"/>
      <c r="M198" s="81"/>
      <c r="N198" s="81"/>
      <c r="O198" s="81"/>
      <c r="P198" s="81"/>
      <c r="Q198" s="82"/>
      <c r="R198" s="38">
        <v>9</v>
      </c>
      <c r="S198" s="36" t="s">
        <v>261</v>
      </c>
      <c r="T198" s="37"/>
      <c r="U198" s="37"/>
      <c r="V198" s="37"/>
      <c r="W198" s="37"/>
      <c r="X198" s="37"/>
      <c r="Y198" s="37"/>
      <c r="Z198" s="37"/>
      <c r="AA198" s="37"/>
      <c r="AB198" s="37"/>
      <c r="AC198" s="37"/>
      <c r="AD198" s="37"/>
      <c r="AE198" s="38"/>
      <c r="AF198" s="284"/>
      <c r="AG198" s="286"/>
      <c r="AH198" s="284"/>
      <c r="AI198" s="286"/>
      <c r="AJ198" s="284" t="s">
        <v>130</v>
      </c>
      <c r="AK198" s="286"/>
      <c r="AL198" s="284"/>
      <c r="AM198" s="286"/>
      <c r="AN198" s="284"/>
      <c r="AO198" s="286"/>
      <c r="AP198" s="284"/>
      <c r="AQ198" s="286"/>
      <c r="AR198" s="284"/>
      <c r="AS198" s="286"/>
      <c r="AT198" s="284" t="s">
        <v>228</v>
      </c>
      <c r="AU198" s="285"/>
      <c r="AV198" s="285"/>
      <c r="AW198" s="285"/>
      <c r="AX198" s="285"/>
      <c r="AY198" s="285"/>
      <c r="AZ198" s="285"/>
      <c r="BA198" s="286"/>
      <c r="BB198" s="284" t="s">
        <v>201</v>
      </c>
      <c r="BC198" s="285"/>
      <c r="BD198" s="285"/>
      <c r="BE198" s="285"/>
      <c r="BF198" s="285"/>
      <c r="BG198" s="285"/>
      <c r="BH198" s="285"/>
      <c r="BI198" s="286"/>
      <c r="BJ198" s="288"/>
      <c r="BK198" s="288"/>
      <c r="BL198" s="288"/>
      <c r="BM198" s="288"/>
      <c r="BN198" s="288"/>
      <c r="BO198" s="288"/>
      <c r="BP198" s="288"/>
      <c r="BQ198" s="288"/>
      <c r="BR198" s="288"/>
      <c r="BS198" s="10"/>
    </row>
    <row r="199" spans="1:72" s="8" customFormat="1" ht="14.65" customHeight="1">
      <c r="A199" s="9"/>
      <c r="B199" s="83"/>
      <c r="C199" s="81"/>
      <c r="D199" s="81"/>
      <c r="E199" s="81"/>
      <c r="F199" s="81"/>
      <c r="G199" s="81"/>
      <c r="H199" s="81"/>
      <c r="I199" s="82"/>
      <c r="J199" s="81"/>
      <c r="K199" s="81"/>
      <c r="L199" s="81"/>
      <c r="M199" s="81"/>
      <c r="N199" s="81"/>
      <c r="O199" s="81"/>
      <c r="P199" s="81"/>
      <c r="Q199" s="82"/>
      <c r="R199" s="38">
        <v>10</v>
      </c>
      <c r="S199" s="36" t="s">
        <v>316</v>
      </c>
      <c r="T199" s="37"/>
      <c r="U199" s="37"/>
      <c r="V199" s="37"/>
      <c r="W199" s="37"/>
      <c r="X199" s="37"/>
      <c r="Y199" s="37"/>
      <c r="Z199" s="37"/>
      <c r="AA199" s="37"/>
      <c r="AB199" s="37"/>
      <c r="AC199" s="37"/>
      <c r="AD199" s="37"/>
      <c r="AE199" s="38"/>
      <c r="AF199" s="284"/>
      <c r="AG199" s="286"/>
      <c r="AH199" s="284"/>
      <c r="AI199" s="286"/>
      <c r="AJ199" s="284" t="s">
        <v>130</v>
      </c>
      <c r="AK199" s="286"/>
      <c r="AL199" s="284"/>
      <c r="AM199" s="286"/>
      <c r="AN199" s="284"/>
      <c r="AO199" s="286"/>
      <c r="AP199" s="284"/>
      <c r="AQ199" s="286"/>
      <c r="AR199" s="284"/>
      <c r="AS199" s="286"/>
      <c r="AT199" s="284" t="s">
        <v>131</v>
      </c>
      <c r="AU199" s="285"/>
      <c r="AV199" s="285"/>
      <c r="AW199" s="285"/>
      <c r="AX199" s="285"/>
      <c r="AY199" s="285"/>
      <c r="AZ199" s="285"/>
      <c r="BA199" s="286"/>
      <c r="BB199" s="284" t="s">
        <v>224</v>
      </c>
      <c r="BC199" s="285"/>
      <c r="BD199" s="285"/>
      <c r="BE199" s="285"/>
      <c r="BF199" s="285"/>
      <c r="BG199" s="285"/>
      <c r="BH199" s="285"/>
      <c r="BI199" s="286"/>
      <c r="BJ199" s="288"/>
      <c r="BK199" s="288"/>
      <c r="BL199" s="288"/>
      <c r="BM199" s="288"/>
      <c r="BN199" s="288"/>
      <c r="BO199" s="288"/>
      <c r="BP199" s="288"/>
      <c r="BQ199" s="288"/>
      <c r="BR199" s="288"/>
      <c r="BS199" s="10"/>
      <c r="BT199" s="11"/>
    </row>
    <row r="200" spans="1:72" s="8" customFormat="1" ht="14.65" customHeight="1">
      <c r="A200" s="9"/>
      <c r="B200" s="83"/>
      <c r="C200" s="81"/>
      <c r="D200" s="81"/>
      <c r="E200" s="81"/>
      <c r="F200" s="81"/>
      <c r="G200" s="81"/>
      <c r="H200" s="81"/>
      <c r="I200" s="82"/>
      <c r="J200" s="81"/>
      <c r="K200" s="81"/>
      <c r="L200" s="81"/>
      <c r="M200" s="81"/>
      <c r="N200" s="81"/>
      <c r="O200" s="81"/>
      <c r="P200" s="81"/>
      <c r="Q200" s="82"/>
      <c r="R200" s="38">
        <v>11</v>
      </c>
      <c r="S200" s="36" t="s">
        <v>317</v>
      </c>
      <c r="T200" s="37"/>
      <c r="U200" s="37"/>
      <c r="V200" s="37"/>
      <c r="W200" s="37"/>
      <c r="X200" s="37"/>
      <c r="Y200" s="37"/>
      <c r="Z200" s="37"/>
      <c r="AA200" s="37"/>
      <c r="AB200" s="37"/>
      <c r="AC200" s="37"/>
      <c r="AD200" s="37"/>
      <c r="AE200" s="38"/>
      <c r="AF200" s="284"/>
      <c r="AG200" s="286"/>
      <c r="AH200" s="284"/>
      <c r="AI200" s="286"/>
      <c r="AJ200" s="284" t="s">
        <v>130</v>
      </c>
      <c r="AK200" s="286"/>
      <c r="AL200" s="284"/>
      <c r="AM200" s="286"/>
      <c r="AN200" s="284"/>
      <c r="AO200" s="286"/>
      <c r="AP200" s="284"/>
      <c r="AQ200" s="286"/>
      <c r="AR200" s="284"/>
      <c r="AS200" s="286"/>
      <c r="AT200" s="287" t="s">
        <v>142</v>
      </c>
      <c r="AU200" s="287"/>
      <c r="AV200" s="287"/>
      <c r="AW200" s="287"/>
      <c r="AX200" s="287"/>
      <c r="AY200" s="287"/>
      <c r="AZ200" s="287"/>
      <c r="BA200" s="287"/>
      <c r="BB200" s="287" t="s">
        <v>143</v>
      </c>
      <c r="BC200" s="287"/>
      <c r="BD200" s="287"/>
      <c r="BE200" s="287"/>
      <c r="BF200" s="287"/>
      <c r="BG200" s="287"/>
      <c r="BH200" s="287"/>
      <c r="BI200" s="287"/>
      <c r="BJ200" s="288"/>
      <c r="BK200" s="288"/>
      <c r="BL200" s="288"/>
      <c r="BM200" s="288"/>
      <c r="BN200" s="288"/>
      <c r="BO200" s="288"/>
      <c r="BP200" s="288"/>
      <c r="BQ200" s="288"/>
      <c r="BR200" s="288"/>
      <c r="BS200" s="10"/>
      <c r="BT200" s="11"/>
    </row>
    <row r="201" spans="1:72" s="8" customFormat="1">
      <c r="A201" s="9"/>
      <c r="B201" s="80"/>
      <c r="C201" s="81"/>
      <c r="D201" s="81"/>
      <c r="E201" s="81"/>
      <c r="F201" s="81"/>
      <c r="G201" s="81"/>
      <c r="H201" s="81"/>
      <c r="I201" s="82"/>
      <c r="J201" s="81"/>
      <c r="K201" s="81"/>
      <c r="L201" s="81"/>
      <c r="M201" s="81"/>
      <c r="N201" s="81"/>
      <c r="O201" s="81"/>
      <c r="P201" s="81"/>
      <c r="Q201" s="82"/>
      <c r="R201" s="38">
        <v>12</v>
      </c>
      <c r="S201" s="36" t="s">
        <v>262</v>
      </c>
      <c r="T201" s="37"/>
      <c r="U201" s="37"/>
      <c r="V201" s="37"/>
      <c r="W201" s="37"/>
      <c r="X201" s="37"/>
      <c r="Y201" s="37"/>
      <c r="Z201" s="37"/>
      <c r="AA201" s="37"/>
      <c r="AB201" s="37"/>
      <c r="AC201" s="37"/>
      <c r="AD201" s="37"/>
      <c r="AE201" s="38"/>
      <c r="AF201" s="284"/>
      <c r="AG201" s="286"/>
      <c r="AH201" s="284"/>
      <c r="AI201" s="286"/>
      <c r="AJ201" s="284" t="s">
        <v>130</v>
      </c>
      <c r="AK201" s="286"/>
      <c r="AL201" s="284"/>
      <c r="AM201" s="286"/>
      <c r="AN201" s="284"/>
      <c r="AO201" s="286"/>
      <c r="AP201" s="284"/>
      <c r="AQ201" s="286"/>
      <c r="AR201" s="284"/>
      <c r="AS201" s="286"/>
      <c r="AT201" s="284" t="s">
        <v>131</v>
      </c>
      <c r="AU201" s="285"/>
      <c r="AV201" s="285"/>
      <c r="AW201" s="285"/>
      <c r="AX201" s="285"/>
      <c r="AY201" s="285"/>
      <c r="AZ201" s="285"/>
      <c r="BA201" s="286"/>
      <c r="BB201" s="284" t="s">
        <v>224</v>
      </c>
      <c r="BC201" s="285"/>
      <c r="BD201" s="285"/>
      <c r="BE201" s="285"/>
      <c r="BF201" s="285"/>
      <c r="BG201" s="285"/>
      <c r="BH201" s="285"/>
      <c r="BI201" s="286"/>
      <c r="BJ201" s="288"/>
      <c r="BK201" s="288"/>
      <c r="BL201" s="288"/>
      <c r="BM201" s="288"/>
      <c r="BN201" s="288"/>
      <c r="BO201" s="288"/>
      <c r="BP201" s="288"/>
      <c r="BQ201" s="288"/>
      <c r="BR201" s="288"/>
      <c r="BS201" s="10"/>
    </row>
    <row r="202" spans="1:72" s="8" customFormat="1">
      <c r="A202" s="9"/>
      <c r="B202" s="80"/>
      <c r="C202" s="81"/>
      <c r="D202" s="81"/>
      <c r="E202" s="81"/>
      <c r="F202" s="81"/>
      <c r="G202" s="81"/>
      <c r="H202" s="81"/>
      <c r="I202" s="82"/>
      <c r="J202" s="81"/>
      <c r="K202" s="81"/>
      <c r="L202" s="81"/>
      <c r="M202" s="81"/>
      <c r="N202" s="81"/>
      <c r="O202" s="81"/>
      <c r="P202" s="81"/>
      <c r="Q202" s="82"/>
      <c r="R202" s="38">
        <v>13</v>
      </c>
      <c r="S202" s="36" t="s">
        <v>263</v>
      </c>
      <c r="T202" s="37"/>
      <c r="U202" s="37"/>
      <c r="V202" s="37"/>
      <c r="W202" s="37"/>
      <c r="X202" s="37"/>
      <c r="Y202" s="37"/>
      <c r="Z202" s="37"/>
      <c r="AA202" s="37"/>
      <c r="AB202" s="37"/>
      <c r="AC202" s="37"/>
      <c r="AD202" s="37"/>
      <c r="AE202" s="38"/>
      <c r="AF202" s="284"/>
      <c r="AG202" s="286"/>
      <c r="AH202" s="284"/>
      <c r="AI202" s="286"/>
      <c r="AJ202" s="284" t="s">
        <v>130</v>
      </c>
      <c r="AK202" s="286"/>
      <c r="AL202" s="284"/>
      <c r="AM202" s="286"/>
      <c r="AN202" s="284"/>
      <c r="AO202" s="286"/>
      <c r="AP202" s="284"/>
      <c r="AQ202" s="286"/>
      <c r="AR202" s="284"/>
      <c r="AS202" s="286"/>
      <c r="AT202" s="287" t="s">
        <v>142</v>
      </c>
      <c r="AU202" s="287"/>
      <c r="AV202" s="287"/>
      <c r="AW202" s="287"/>
      <c r="AX202" s="287"/>
      <c r="AY202" s="287"/>
      <c r="AZ202" s="287"/>
      <c r="BA202" s="287"/>
      <c r="BB202" s="287" t="s">
        <v>143</v>
      </c>
      <c r="BC202" s="287"/>
      <c r="BD202" s="287"/>
      <c r="BE202" s="287"/>
      <c r="BF202" s="287"/>
      <c r="BG202" s="287"/>
      <c r="BH202" s="287"/>
      <c r="BI202" s="287"/>
      <c r="BJ202" s="288"/>
      <c r="BK202" s="288"/>
      <c r="BL202" s="288"/>
      <c r="BM202" s="288"/>
      <c r="BN202" s="288"/>
      <c r="BO202" s="288"/>
      <c r="BP202" s="288"/>
      <c r="BQ202" s="288"/>
      <c r="BR202" s="288"/>
      <c r="BS202" s="10"/>
    </row>
    <row r="203" spans="1:72" s="8" customFormat="1">
      <c r="A203" s="9"/>
      <c r="B203" s="83"/>
      <c r="C203" s="81"/>
      <c r="D203" s="81"/>
      <c r="E203" s="81"/>
      <c r="F203" s="81"/>
      <c r="G203" s="81"/>
      <c r="H203" s="81"/>
      <c r="I203" s="82"/>
      <c r="J203" s="81"/>
      <c r="K203" s="81"/>
      <c r="L203" s="81"/>
      <c r="M203" s="81"/>
      <c r="N203" s="81"/>
      <c r="O203" s="81"/>
      <c r="P203" s="81"/>
      <c r="Q203" s="82"/>
      <c r="R203" s="38">
        <v>14</v>
      </c>
      <c r="S203" s="36" t="s">
        <v>264</v>
      </c>
      <c r="T203" s="37"/>
      <c r="U203" s="37"/>
      <c r="V203" s="37"/>
      <c r="W203" s="37"/>
      <c r="X203" s="37"/>
      <c r="Y203" s="37"/>
      <c r="Z203" s="37"/>
      <c r="AA203" s="37"/>
      <c r="AB203" s="37"/>
      <c r="AC203" s="37"/>
      <c r="AD203" s="37"/>
      <c r="AE203" s="38"/>
      <c r="AF203" s="284"/>
      <c r="AG203" s="286"/>
      <c r="AH203" s="284"/>
      <c r="AI203" s="286"/>
      <c r="AJ203" s="284" t="s">
        <v>130</v>
      </c>
      <c r="AK203" s="286"/>
      <c r="AL203" s="284"/>
      <c r="AM203" s="286"/>
      <c r="AN203" s="284"/>
      <c r="AO203" s="286"/>
      <c r="AP203" s="284"/>
      <c r="AQ203" s="286"/>
      <c r="AR203" s="284"/>
      <c r="AS203" s="286"/>
      <c r="AT203" s="287" t="s">
        <v>265</v>
      </c>
      <c r="AU203" s="287"/>
      <c r="AV203" s="287"/>
      <c r="AW203" s="287"/>
      <c r="AX203" s="287"/>
      <c r="AY203" s="287"/>
      <c r="AZ203" s="287"/>
      <c r="BA203" s="287"/>
      <c r="BB203" s="287" t="s">
        <v>143</v>
      </c>
      <c r="BC203" s="287"/>
      <c r="BD203" s="287"/>
      <c r="BE203" s="287"/>
      <c r="BF203" s="287"/>
      <c r="BG203" s="287"/>
      <c r="BH203" s="287"/>
      <c r="BI203" s="287"/>
      <c r="BJ203" s="289"/>
      <c r="BK203" s="290"/>
      <c r="BL203" s="290"/>
      <c r="BM203" s="290"/>
      <c r="BN203" s="290"/>
      <c r="BO203" s="290"/>
      <c r="BP203" s="290"/>
      <c r="BQ203" s="290"/>
      <c r="BR203" s="291"/>
      <c r="BS203" s="10"/>
      <c r="BT203" s="11"/>
    </row>
    <row r="204" spans="1:72" s="8" customFormat="1">
      <c r="A204" s="9"/>
      <c r="B204" s="80"/>
      <c r="C204" s="81"/>
      <c r="D204" s="81"/>
      <c r="E204" s="81"/>
      <c r="F204" s="81"/>
      <c r="G204" s="81"/>
      <c r="H204" s="81"/>
      <c r="I204" s="82"/>
      <c r="J204" s="81"/>
      <c r="K204" s="81"/>
      <c r="L204" s="81"/>
      <c r="M204" s="81"/>
      <c r="N204" s="81"/>
      <c r="O204" s="81"/>
      <c r="P204" s="81"/>
      <c r="Q204" s="82"/>
      <c r="R204" s="38">
        <v>15</v>
      </c>
      <c r="S204" s="36" t="s">
        <v>266</v>
      </c>
      <c r="T204" s="37"/>
      <c r="U204" s="37"/>
      <c r="V204" s="37"/>
      <c r="W204" s="37"/>
      <c r="X204" s="37"/>
      <c r="Y204" s="37"/>
      <c r="Z204" s="37"/>
      <c r="AA204" s="37"/>
      <c r="AB204" s="37"/>
      <c r="AC204" s="37"/>
      <c r="AD204" s="37"/>
      <c r="AE204" s="38"/>
      <c r="AF204" s="284"/>
      <c r="AG204" s="286"/>
      <c r="AH204" s="284"/>
      <c r="AI204" s="286"/>
      <c r="AJ204" s="284" t="s">
        <v>130</v>
      </c>
      <c r="AK204" s="286"/>
      <c r="AL204" s="284"/>
      <c r="AM204" s="286"/>
      <c r="AN204" s="284"/>
      <c r="AO204" s="286"/>
      <c r="AP204" s="284"/>
      <c r="AQ204" s="286"/>
      <c r="AR204" s="284"/>
      <c r="AS204" s="286"/>
      <c r="AT204" s="287" t="s">
        <v>142</v>
      </c>
      <c r="AU204" s="287"/>
      <c r="AV204" s="287"/>
      <c r="AW204" s="287"/>
      <c r="AX204" s="287"/>
      <c r="AY204" s="287"/>
      <c r="AZ204" s="287"/>
      <c r="BA204" s="287"/>
      <c r="BB204" s="287" t="s">
        <v>143</v>
      </c>
      <c r="BC204" s="287"/>
      <c r="BD204" s="287"/>
      <c r="BE204" s="287"/>
      <c r="BF204" s="287"/>
      <c r="BG204" s="287"/>
      <c r="BH204" s="287"/>
      <c r="BI204" s="287"/>
      <c r="BJ204" s="288"/>
      <c r="BK204" s="288"/>
      <c r="BL204" s="288"/>
      <c r="BM204" s="288"/>
      <c r="BN204" s="288"/>
      <c r="BO204" s="288"/>
      <c r="BP204" s="288"/>
      <c r="BQ204" s="288"/>
      <c r="BR204" s="288"/>
      <c r="BS204" s="10"/>
    </row>
    <row r="205" spans="1:72" s="8" customFormat="1" ht="14.65" customHeight="1">
      <c r="A205" s="9"/>
      <c r="B205" s="83"/>
      <c r="C205" s="81"/>
      <c r="D205" s="81"/>
      <c r="E205" s="81"/>
      <c r="F205" s="81"/>
      <c r="G205" s="81"/>
      <c r="H205" s="81"/>
      <c r="I205" s="81"/>
      <c r="J205" s="83"/>
      <c r="K205" s="81"/>
      <c r="L205" s="81"/>
      <c r="M205" s="81"/>
      <c r="N205" s="81"/>
      <c r="O205" s="81"/>
      <c r="P205" s="81"/>
      <c r="Q205" s="82"/>
      <c r="R205" s="38">
        <v>16</v>
      </c>
      <c r="S205" s="36" t="s">
        <v>267</v>
      </c>
      <c r="T205" s="37"/>
      <c r="U205" s="37"/>
      <c r="V205" s="37"/>
      <c r="W205" s="37"/>
      <c r="X205" s="37"/>
      <c r="Y205" s="37"/>
      <c r="Z205" s="37"/>
      <c r="AA205" s="37"/>
      <c r="AB205" s="37"/>
      <c r="AC205" s="37"/>
      <c r="AD205" s="37"/>
      <c r="AE205" s="38"/>
      <c r="AF205" s="284"/>
      <c r="AG205" s="286"/>
      <c r="AH205" s="284"/>
      <c r="AI205" s="286"/>
      <c r="AJ205" s="284" t="s">
        <v>130</v>
      </c>
      <c r="AK205" s="286"/>
      <c r="AL205" s="284"/>
      <c r="AM205" s="286"/>
      <c r="AN205" s="284"/>
      <c r="AO205" s="286"/>
      <c r="AP205" s="284"/>
      <c r="AQ205" s="286"/>
      <c r="AR205" s="284"/>
      <c r="AS205" s="286"/>
      <c r="AT205" s="284" t="s">
        <v>131</v>
      </c>
      <c r="AU205" s="285"/>
      <c r="AV205" s="285"/>
      <c r="AW205" s="285"/>
      <c r="AX205" s="285"/>
      <c r="AY205" s="285"/>
      <c r="AZ205" s="285"/>
      <c r="BA205" s="286"/>
      <c r="BB205" s="284" t="s">
        <v>224</v>
      </c>
      <c r="BC205" s="285"/>
      <c r="BD205" s="285"/>
      <c r="BE205" s="285"/>
      <c r="BF205" s="285"/>
      <c r="BG205" s="285"/>
      <c r="BH205" s="285"/>
      <c r="BI205" s="286"/>
      <c r="BJ205" s="288"/>
      <c r="BK205" s="288"/>
      <c r="BL205" s="288"/>
      <c r="BM205" s="288"/>
      <c r="BN205" s="288"/>
      <c r="BO205" s="288"/>
      <c r="BP205" s="288"/>
      <c r="BQ205" s="288"/>
      <c r="BR205" s="288"/>
      <c r="BS205" s="10"/>
      <c r="BT205" s="11"/>
    </row>
    <row r="206" spans="1:72" s="8" customFormat="1" ht="14.65" customHeight="1">
      <c r="A206" s="9"/>
      <c r="B206" s="83"/>
      <c r="C206" s="81"/>
      <c r="D206" s="81"/>
      <c r="E206" s="81"/>
      <c r="F206" s="81"/>
      <c r="G206" s="81"/>
      <c r="H206" s="81"/>
      <c r="I206" s="81"/>
      <c r="J206" s="83"/>
      <c r="K206" s="81"/>
      <c r="L206" s="81"/>
      <c r="M206" s="81"/>
      <c r="N206" s="81"/>
      <c r="O206" s="81"/>
      <c r="P206" s="81"/>
      <c r="Q206" s="82"/>
      <c r="R206" s="38">
        <v>17</v>
      </c>
      <c r="S206" s="36" t="s">
        <v>268</v>
      </c>
      <c r="T206" s="37"/>
      <c r="U206" s="37"/>
      <c r="V206" s="37"/>
      <c r="W206" s="37"/>
      <c r="X206" s="37"/>
      <c r="Y206" s="37"/>
      <c r="Z206" s="37"/>
      <c r="AA206" s="37"/>
      <c r="AB206" s="37"/>
      <c r="AC206" s="37"/>
      <c r="AD206" s="37"/>
      <c r="AE206" s="38"/>
      <c r="AF206" s="284"/>
      <c r="AG206" s="286"/>
      <c r="AH206" s="284"/>
      <c r="AI206" s="286"/>
      <c r="AJ206" s="284" t="s">
        <v>130</v>
      </c>
      <c r="AK206" s="286"/>
      <c r="AL206" s="284"/>
      <c r="AM206" s="286"/>
      <c r="AN206" s="284"/>
      <c r="AO206" s="286"/>
      <c r="AP206" s="284"/>
      <c r="AQ206" s="286"/>
      <c r="AR206" s="284"/>
      <c r="AS206" s="286"/>
      <c r="AT206" s="287" t="s">
        <v>142</v>
      </c>
      <c r="AU206" s="287"/>
      <c r="AV206" s="287"/>
      <c r="AW206" s="287"/>
      <c r="AX206" s="287"/>
      <c r="AY206" s="287"/>
      <c r="AZ206" s="287"/>
      <c r="BA206" s="287"/>
      <c r="BB206" s="287" t="s">
        <v>143</v>
      </c>
      <c r="BC206" s="287"/>
      <c r="BD206" s="287"/>
      <c r="BE206" s="287"/>
      <c r="BF206" s="287"/>
      <c r="BG206" s="287"/>
      <c r="BH206" s="287"/>
      <c r="BI206" s="287"/>
      <c r="BJ206" s="288"/>
      <c r="BK206" s="288"/>
      <c r="BL206" s="288"/>
      <c r="BM206" s="288"/>
      <c r="BN206" s="288"/>
      <c r="BO206" s="288"/>
      <c r="BP206" s="288"/>
      <c r="BQ206" s="288"/>
      <c r="BR206" s="288"/>
      <c r="BS206" s="10"/>
      <c r="BT206" s="11"/>
    </row>
    <row r="207" spans="1:72" s="8" customFormat="1">
      <c r="A207" s="9"/>
      <c r="B207" s="80"/>
      <c r="C207" s="81"/>
      <c r="D207" s="81"/>
      <c r="E207" s="81"/>
      <c r="F207" s="81"/>
      <c r="G207" s="81"/>
      <c r="H207" s="81"/>
      <c r="I207" s="81"/>
      <c r="J207" s="83"/>
      <c r="K207" s="81"/>
      <c r="L207" s="81"/>
      <c r="M207" s="81"/>
      <c r="N207" s="81"/>
      <c r="O207" s="81"/>
      <c r="P207" s="81"/>
      <c r="Q207" s="82"/>
      <c r="R207" s="38">
        <v>18</v>
      </c>
      <c r="S207" s="36" t="s">
        <v>269</v>
      </c>
      <c r="T207" s="37"/>
      <c r="U207" s="37"/>
      <c r="V207" s="37"/>
      <c r="W207" s="37"/>
      <c r="X207" s="37"/>
      <c r="Y207" s="37"/>
      <c r="Z207" s="37"/>
      <c r="AA207" s="37"/>
      <c r="AB207" s="37"/>
      <c r="AC207" s="37"/>
      <c r="AD207" s="37"/>
      <c r="AE207" s="38"/>
      <c r="AF207" s="284"/>
      <c r="AG207" s="286"/>
      <c r="AH207" s="284"/>
      <c r="AI207" s="286"/>
      <c r="AJ207" s="284" t="s">
        <v>130</v>
      </c>
      <c r="AK207" s="286"/>
      <c r="AL207" s="284"/>
      <c r="AM207" s="286"/>
      <c r="AN207" s="284"/>
      <c r="AO207" s="286"/>
      <c r="AP207" s="284"/>
      <c r="AQ207" s="286"/>
      <c r="AR207" s="284"/>
      <c r="AS207" s="286"/>
      <c r="AT207" s="287" t="s">
        <v>142</v>
      </c>
      <c r="AU207" s="287"/>
      <c r="AV207" s="287"/>
      <c r="AW207" s="287"/>
      <c r="AX207" s="287"/>
      <c r="AY207" s="287"/>
      <c r="AZ207" s="287"/>
      <c r="BA207" s="287"/>
      <c r="BB207" s="287" t="s">
        <v>143</v>
      </c>
      <c r="BC207" s="287"/>
      <c r="BD207" s="287"/>
      <c r="BE207" s="287"/>
      <c r="BF207" s="287"/>
      <c r="BG207" s="287"/>
      <c r="BH207" s="287"/>
      <c r="BI207" s="287"/>
      <c r="BJ207" s="288"/>
      <c r="BK207" s="288"/>
      <c r="BL207" s="288"/>
      <c r="BM207" s="288"/>
      <c r="BN207" s="288"/>
      <c r="BO207" s="288"/>
      <c r="BP207" s="288"/>
      <c r="BQ207" s="288"/>
      <c r="BR207" s="288"/>
      <c r="BS207" s="10"/>
    </row>
    <row r="208" spans="1:72" s="8" customFormat="1">
      <c r="A208" s="9"/>
      <c r="B208" s="80"/>
      <c r="C208" s="81"/>
      <c r="D208" s="81"/>
      <c r="E208" s="81"/>
      <c r="F208" s="81"/>
      <c r="G208" s="81"/>
      <c r="H208" s="81"/>
      <c r="I208" s="81"/>
      <c r="J208" s="83"/>
      <c r="K208" s="81"/>
      <c r="L208" s="81"/>
      <c r="M208" s="81"/>
      <c r="N208" s="81"/>
      <c r="O208" s="81"/>
      <c r="P208" s="81"/>
      <c r="Q208" s="82"/>
      <c r="R208" s="38">
        <v>19</v>
      </c>
      <c r="S208" s="36" t="s">
        <v>270</v>
      </c>
      <c r="T208" s="37"/>
      <c r="U208" s="37"/>
      <c r="V208" s="37"/>
      <c r="W208" s="37"/>
      <c r="X208" s="37"/>
      <c r="Y208" s="37"/>
      <c r="Z208" s="37"/>
      <c r="AA208" s="37"/>
      <c r="AB208" s="37"/>
      <c r="AC208" s="37"/>
      <c r="AD208" s="37"/>
      <c r="AE208" s="38"/>
      <c r="AF208" s="284"/>
      <c r="AG208" s="286"/>
      <c r="AH208" s="284"/>
      <c r="AI208" s="286"/>
      <c r="AJ208" s="284" t="s">
        <v>130</v>
      </c>
      <c r="AK208" s="286"/>
      <c r="AL208" s="284"/>
      <c r="AM208" s="286"/>
      <c r="AN208" s="284"/>
      <c r="AO208" s="286"/>
      <c r="AP208" s="284"/>
      <c r="AQ208" s="286"/>
      <c r="AR208" s="284"/>
      <c r="AS208" s="286"/>
      <c r="AT208" s="287" t="s">
        <v>142</v>
      </c>
      <c r="AU208" s="287"/>
      <c r="AV208" s="287"/>
      <c r="AW208" s="287"/>
      <c r="AX208" s="287"/>
      <c r="AY208" s="287"/>
      <c r="AZ208" s="287"/>
      <c r="BA208" s="287"/>
      <c r="BB208" s="287" t="s">
        <v>143</v>
      </c>
      <c r="BC208" s="287"/>
      <c r="BD208" s="287"/>
      <c r="BE208" s="287"/>
      <c r="BF208" s="287"/>
      <c r="BG208" s="287"/>
      <c r="BH208" s="287"/>
      <c r="BI208" s="287"/>
      <c r="BJ208" s="288"/>
      <c r="BK208" s="288"/>
      <c r="BL208" s="288"/>
      <c r="BM208" s="288"/>
      <c r="BN208" s="288"/>
      <c r="BO208" s="288"/>
      <c r="BP208" s="288"/>
      <c r="BQ208" s="288"/>
      <c r="BR208" s="288"/>
      <c r="BS208" s="10"/>
    </row>
    <row r="209" spans="1:71" s="8" customFormat="1">
      <c r="A209" s="9"/>
      <c r="B209" s="80"/>
      <c r="C209" s="81"/>
      <c r="D209" s="81"/>
      <c r="E209" s="81"/>
      <c r="F209" s="81"/>
      <c r="G209" s="81"/>
      <c r="H209" s="81"/>
      <c r="I209" s="81"/>
      <c r="J209" s="83"/>
      <c r="K209" s="81"/>
      <c r="L209" s="81"/>
      <c r="M209" s="81"/>
      <c r="N209" s="81"/>
      <c r="O209" s="81"/>
      <c r="P209" s="81"/>
      <c r="Q209" s="82"/>
      <c r="R209" s="38">
        <v>20</v>
      </c>
      <c r="S209" s="36" t="s">
        <v>271</v>
      </c>
      <c r="T209" s="37"/>
      <c r="U209" s="37"/>
      <c r="V209" s="37"/>
      <c r="W209" s="37"/>
      <c r="X209" s="37"/>
      <c r="Y209" s="37"/>
      <c r="Z209" s="37"/>
      <c r="AA209" s="37"/>
      <c r="AB209" s="37"/>
      <c r="AC209" s="37"/>
      <c r="AD209" s="37"/>
      <c r="AE209" s="38"/>
      <c r="AF209" s="284"/>
      <c r="AG209" s="286"/>
      <c r="AH209" s="284"/>
      <c r="AI209" s="286"/>
      <c r="AJ209" s="284" t="s">
        <v>130</v>
      </c>
      <c r="AK209" s="286"/>
      <c r="AL209" s="284"/>
      <c r="AM209" s="286"/>
      <c r="AN209" s="284"/>
      <c r="AO209" s="286"/>
      <c r="AP209" s="284"/>
      <c r="AQ209" s="286"/>
      <c r="AR209" s="284"/>
      <c r="AS209" s="286"/>
      <c r="AT209" s="287" t="s">
        <v>142</v>
      </c>
      <c r="AU209" s="287"/>
      <c r="AV209" s="287"/>
      <c r="AW209" s="287"/>
      <c r="AX209" s="287"/>
      <c r="AY209" s="287"/>
      <c r="AZ209" s="287"/>
      <c r="BA209" s="287"/>
      <c r="BB209" s="287" t="s">
        <v>143</v>
      </c>
      <c r="BC209" s="287"/>
      <c r="BD209" s="287"/>
      <c r="BE209" s="287"/>
      <c r="BF209" s="287"/>
      <c r="BG209" s="287"/>
      <c r="BH209" s="287"/>
      <c r="BI209" s="287"/>
      <c r="BJ209" s="288"/>
      <c r="BK209" s="288"/>
      <c r="BL209" s="288"/>
      <c r="BM209" s="288"/>
      <c r="BN209" s="288"/>
      <c r="BO209" s="288"/>
      <c r="BP209" s="288"/>
      <c r="BQ209" s="288"/>
      <c r="BR209" s="288"/>
      <c r="BS209" s="10"/>
    </row>
    <row r="210" spans="1:71" s="8" customFormat="1">
      <c r="A210" s="9"/>
      <c r="B210" s="80"/>
      <c r="C210" s="81"/>
      <c r="D210" s="81"/>
      <c r="E210" s="81"/>
      <c r="F210" s="81"/>
      <c r="G210" s="81"/>
      <c r="H210" s="81"/>
      <c r="I210" s="81"/>
      <c r="J210" s="83"/>
      <c r="K210" s="81"/>
      <c r="L210" s="81"/>
      <c r="M210" s="81"/>
      <c r="N210" s="81"/>
      <c r="O210" s="81"/>
      <c r="P210" s="81"/>
      <c r="Q210" s="82"/>
      <c r="R210" s="38">
        <v>21</v>
      </c>
      <c r="S210" s="36" t="s">
        <v>272</v>
      </c>
      <c r="T210" s="37"/>
      <c r="U210" s="37"/>
      <c r="V210" s="37"/>
      <c r="W210" s="37"/>
      <c r="X210" s="37"/>
      <c r="Y210" s="37"/>
      <c r="Z210" s="37"/>
      <c r="AA210" s="37"/>
      <c r="AB210" s="37"/>
      <c r="AC210" s="37"/>
      <c r="AD210" s="37"/>
      <c r="AE210" s="38"/>
      <c r="AF210" s="284"/>
      <c r="AG210" s="286"/>
      <c r="AH210" s="284"/>
      <c r="AI210" s="286"/>
      <c r="AJ210" s="284" t="s">
        <v>130</v>
      </c>
      <c r="AK210" s="286"/>
      <c r="AL210" s="284"/>
      <c r="AM210" s="286"/>
      <c r="AN210" s="284"/>
      <c r="AO210" s="286"/>
      <c r="AP210" s="284"/>
      <c r="AQ210" s="286"/>
      <c r="AR210" s="284"/>
      <c r="AS210" s="286"/>
      <c r="AT210" s="287" t="s">
        <v>142</v>
      </c>
      <c r="AU210" s="287"/>
      <c r="AV210" s="287"/>
      <c r="AW210" s="287"/>
      <c r="AX210" s="287"/>
      <c r="AY210" s="287"/>
      <c r="AZ210" s="287"/>
      <c r="BA210" s="287"/>
      <c r="BB210" s="287" t="s">
        <v>143</v>
      </c>
      <c r="BC210" s="287"/>
      <c r="BD210" s="287"/>
      <c r="BE210" s="287"/>
      <c r="BF210" s="287"/>
      <c r="BG210" s="287"/>
      <c r="BH210" s="287"/>
      <c r="BI210" s="287"/>
      <c r="BJ210" s="288"/>
      <c r="BK210" s="288"/>
      <c r="BL210" s="288"/>
      <c r="BM210" s="288"/>
      <c r="BN210" s="288"/>
      <c r="BO210" s="288"/>
      <c r="BP210" s="288"/>
      <c r="BQ210" s="288"/>
      <c r="BR210" s="288"/>
      <c r="BS210" s="10"/>
    </row>
    <row r="211" spans="1:71" s="8" customFormat="1">
      <c r="A211" s="9"/>
      <c r="B211" s="80"/>
      <c r="C211" s="81"/>
      <c r="D211" s="81"/>
      <c r="E211" s="81"/>
      <c r="F211" s="81"/>
      <c r="G211" s="81"/>
      <c r="H211" s="81"/>
      <c r="I211" s="81"/>
      <c r="J211" s="83"/>
      <c r="K211" s="81"/>
      <c r="L211" s="81"/>
      <c r="M211" s="81"/>
      <c r="N211" s="81"/>
      <c r="O211" s="81"/>
      <c r="P211" s="81"/>
      <c r="Q211" s="82"/>
      <c r="R211" s="38">
        <v>22</v>
      </c>
      <c r="S211" s="36" t="s">
        <v>273</v>
      </c>
      <c r="T211" s="37"/>
      <c r="U211" s="37"/>
      <c r="V211" s="37"/>
      <c r="W211" s="37"/>
      <c r="X211" s="37"/>
      <c r="Y211" s="37"/>
      <c r="Z211" s="37"/>
      <c r="AA211" s="37"/>
      <c r="AB211" s="37"/>
      <c r="AC211" s="37"/>
      <c r="AD211" s="37"/>
      <c r="AE211" s="38"/>
      <c r="AF211" s="284"/>
      <c r="AG211" s="286"/>
      <c r="AH211" s="284"/>
      <c r="AI211" s="286"/>
      <c r="AJ211" s="284" t="s">
        <v>130</v>
      </c>
      <c r="AK211" s="286"/>
      <c r="AL211" s="284"/>
      <c r="AM211" s="286"/>
      <c r="AN211" s="284"/>
      <c r="AO211" s="286"/>
      <c r="AP211" s="284"/>
      <c r="AQ211" s="286"/>
      <c r="AR211" s="284"/>
      <c r="AS211" s="286"/>
      <c r="AT211" s="287" t="s">
        <v>142</v>
      </c>
      <c r="AU211" s="287"/>
      <c r="AV211" s="287"/>
      <c r="AW211" s="287"/>
      <c r="AX211" s="287"/>
      <c r="AY211" s="287"/>
      <c r="AZ211" s="287"/>
      <c r="BA211" s="287"/>
      <c r="BB211" s="287" t="s">
        <v>143</v>
      </c>
      <c r="BC211" s="287"/>
      <c r="BD211" s="287"/>
      <c r="BE211" s="287"/>
      <c r="BF211" s="287"/>
      <c r="BG211" s="287"/>
      <c r="BH211" s="287"/>
      <c r="BI211" s="287"/>
      <c r="BJ211" s="288"/>
      <c r="BK211" s="288"/>
      <c r="BL211" s="288"/>
      <c r="BM211" s="288"/>
      <c r="BN211" s="288"/>
      <c r="BO211" s="288"/>
      <c r="BP211" s="288"/>
      <c r="BQ211" s="288"/>
      <c r="BR211" s="288"/>
      <c r="BS211" s="10"/>
    </row>
    <row r="212" spans="1:71" s="8" customFormat="1">
      <c r="A212" s="9"/>
      <c r="B212" s="80"/>
      <c r="C212" s="81"/>
      <c r="D212" s="81"/>
      <c r="E212" s="81"/>
      <c r="F212" s="81"/>
      <c r="G212" s="81"/>
      <c r="H212" s="81"/>
      <c r="I212" s="81"/>
      <c r="J212" s="83"/>
      <c r="K212" s="81"/>
      <c r="L212" s="81"/>
      <c r="M212" s="81"/>
      <c r="N212" s="81"/>
      <c r="O212" s="81"/>
      <c r="P212" s="81"/>
      <c r="Q212" s="82"/>
      <c r="R212" s="38">
        <v>23</v>
      </c>
      <c r="S212" s="36" t="s">
        <v>274</v>
      </c>
      <c r="T212" s="37"/>
      <c r="U212" s="37"/>
      <c r="V212" s="37"/>
      <c r="W212" s="37"/>
      <c r="X212" s="37"/>
      <c r="Y212" s="37"/>
      <c r="Z212" s="37"/>
      <c r="AA212" s="37"/>
      <c r="AB212" s="37"/>
      <c r="AC212" s="37"/>
      <c r="AD212" s="37"/>
      <c r="AE212" s="38"/>
      <c r="AF212" s="284"/>
      <c r="AG212" s="286"/>
      <c r="AH212" s="284"/>
      <c r="AI212" s="286"/>
      <c r="AJ212" s="284" t="s">
        <v>130</v>
      </c>
      <c r="AK212" s="286"/>
      <c r="AL212" s="284"/>
      <c r="AM212" s="286"/>
      <c r="AN212" s="284"/>
      <c r="AO212" s="286"/>
      <c r="AP212" s="284"/>
      <c r="AQ212" s="286"/>
      <c r="AR212" s="284"/>
      <c r="AS212" s="286"/>
      <c r="AT212" s="287" t="s">
        <v>142</v>
      </c>
      <c r="AU212" s="287"/>
      <c r="AV212" s="287"/>
      <c r="AW212" s="287"/>
      <c r="AX212" s="287"/>
      <c r="AY212" s="287"/>
      <c r="AZ212" s="287"/>
      <c r="BA212" s="287"/>
      <c r="BB212" s="287" t="s">
        <v>143</v>
      </c>
      <c r="BC212" s="287"/>
      <c r="BD212" s="287"/>
      <c r="BE212" s="287"/>
      <c r="BF212" s="287"/>
      <c r="BG212" s="287"/>
      <c r="BH212" s="287"/>
      <c r="BI212" s="287"/>
      <c r="BJ212" s="288"/>
      <c r="BK212" s="288"/>
      <c r="BL212" s="288"/>
      <c r="BM212" s="288"/>
      <c r="BN212" s="288"/>
      <c r="BO212" s="288"/>
      <c r="BP212" s="288"/>
      <c r="BQ212" s="288"/>
      <c r="BR212" s="288"/>
      <c r="BS212" s="10"/>
    </row>
    <row r="213" spans="1:71" s="8" customFormat="1">
      <c r="A213" s="9"/>
      <c r="B213" s="80"/>
      <c r="C213" s="81"/>
      <c r="D213" s="81"/>
      <c r="E213" s="81"/>
      <c r="F213" s="81"/>
      <c r="G213" s="81"/>
      <c r="H213" s="81"/>
      <c r="I213" s="81"/>
      <c r="J213" s="83"/>
      <c r="K213" s="81"/>
      <c r="L213" s="81"/>
      <c r="M213" s="81"/>
      <c r="N213" s="81"/>
      <c r="O213" s="81"/>
      <c r="P213" s="81"/>
      <c r="Q213" s="82"/>
      <c r="R213" s="38">
        <v>24</v>
      </c>
      <c r="S213" s="36" t="s">
        <v>275</v>
      </c>
      <c r="T213" s="37"/>
      <c r="U213" s="37"/>
      <c r="V213" s="37"/>
      <c r="W213" s="37"/>
      <c r="X213" s="37"/>
      <c r="Y213" s="37"/>
      <c r="Z213" s="37"/>
      <c r="AA213" s="37"/>
      <c r="AB213" s="37"/>
      <c r="AC213" s="37"/>
      <c r="AD213" s="37"/>
      <c r="AE213" s="38"/>
      <c r="AF213" s="284"/>
      <c r="AG213" s="286"/>
      <c r="AH213" s="284"/>
      <c r="AI213" s="286"/>
      <c r="AJ213" s="284" t="s">
        <v>130</v>
      </c>
      <c r="AK213" s="286"/>
      <c r="AL213" s="284"/>
      <c r="AM213" s="286"/>
      <c r="AN213" s="284"/>
      <c r="AO213" s="286"/>
      <c r="AP213" s="284"/>
      <c r="AQ213" s="286"/>
      <c r="AR213" s="284"/>
      <c r="AS213" s="286"/>
      <c r="AT213" s="287" t="s">
        <v>142</v>
      </c>
      <c r="AU213" s="287"/>
      <c r="AV213" s="287"/>
      <c r="AW213" s="287"/>
      <c r="AX213" s="287"/>
      <c r="AY213" s="287"/>
      <c r="AZ213" s="287"/>
      <c r="BA213" s="287"/>
      <c r="BB213" s="287" t="s">
        <v>143</v>
      </c>
      <c r="BC213" s="287"/>
      <c r="BD213" s="287"/>
      <c r="BE213" s="287"/>
      <c r="BF213" s="287"/>
      <c r="BG213" s="287"/>
      <c r="BH213" s="287"/>
      <c r="BI213" s="287"/>
      <c r="BJ213" s="288"/>
      <c r="BK213" s="288"/>
      <c r="BL213" s="288"/>
      <c r="BM213" s="288"/>
      <c r="BN213" s="288"/>
      <c r="BO213" s="288"/>
      <c r="BP213" s="288"/>
      <c r="BQ213" s="288"/>
      <c r="BR213" s="288"/>
      <c r="BS213" s="10"/>
    </row>
    <row r="214" spans="1:71" s="8" customFormat="1">
      <c r="A214" s="9"/>
      <c r="B214" s="80"/>
      <c r="C214" s="81"/>
      <c r="D214" s="81"/>
      <c r="E214" s="81"/>
      <c r="F214" s="81"/>
      <c r="G214" s="81"/>
      <c r="H214" s="81"/>
      <c r="I214" s="81"/>
      <c r="J214" s="83"/>
      <c r="K214" s="81"/>
      <c r="L214" s="81"/>
      <c r="M214" s="81"/>
      <c r="N214" s="81"/>
      <c r="O214" s="81"/>
      <c r="P214" s="81"/>
      <c r="Q214" s="82"/>
      <c r="R214" s="38">
        <v>25</v>
      </c>
      <c r="S214" s="36" t="s">
        <v>276</v>
      </c>
      <c r="T214" s="37"/>
      <c r="U214" s="37"/>
      <c r="V214" s="37"/>
      <c r="W214" s="37"/>
      <c r="X214" s="37"/>
      <c r="Y214" s="37"/>
      <c r="Z214" s="37"/>
      <c r="AA214" s="37"/>
      <c r="AB214" s="37"/>
      <c r="AC214" s="37"/>
      <c r="AD214" s="37"/>
      <c r="AE214" s="38"/>
      <c r="AF214" s="284"/>
      <c r="AG214" s="286"/>
      <c r="AH214" s="284"/>
      <c r="AI214" s="286"/>
      <c r="AJ214" s="284" t="s">
        <v>130</v>
      </c>
      <c r="AK214" s="286"/>
      <c r="AL214" s="284"/>
      <c r="AM214" s="286"/>
      <c r="AN214" s="284"/>
      <c r="AO214" s="286"/>
      <c r="AP214" s="284"/>
      <c r="AQ214" s="286"/>
      <c r="AR214" s="284"/>
      <c r="AS214" s="286"/>
      <c r="AT214" s="287" t="s">
        <v>142</v>
      </c>
      <c r="AU214" s="287"/>
      <c r="AV214" s="287"/>
      <c r="AW214" s="287"/>
      <c r="AX214" s="287"/>
      <c r="AY214" s="287"/>
      <c r="AZ214" s="287"/>
      <c r="BA214" s="287"/>
      <c r="BB214" s="287" t="s">
        <v>143</v>
      </c>
      <c r="BC214" s="287"/>
      <c r="BD214" s="287"/>
      <c r="BE214" s="287"/>
      <c r="BF214" s="287"/>
      <c r="BG214" s="287"/>
      <c r="BH214" s="287"/>
      <c r="BI214" s="287"/>
      <c r="BJ214" s="288"/>
      <c r="BK214" s="288"/>
      <c r="BL214" s="288"/>
      <c r="BM214" s="288"/>
      <c r="BN214" s="288"/>
      <c r="BO214" s="288"/>
      <c r="BP214" s="288"/>
      <c r="BQ214" s="288"/>
      <c r="BR214" s="288"/>
      <c r="BS214" s="10"/>
    </row>
    <row r="215" spans="1:71" s="8" customFormat="1">
      <c r="A215" s="9"/>
      <c r="B215" s="80"/>
      <c r="C215" s="81"/>
      <c r="D215" s="81"/>
      <c r="E215" s="81"/>
      <c r="F215" s="81"/>
      <c r="G215" s="81"/>
      <c r="H215" s="81"/>
      <c r="I215" s="81"/>
      <c r="J215" s="83"/>
      <c r="K215" s="81"/>
      <c r="L215" s="81"/>
      <c r="M215" s="81"/>
      <c r="N215" s="81"/>
      <c r="O215" s="81"/>
      <c r="P215" s="81"/>
      <c r="Q215" s="82"/>
      <c r="R215" s="38">
        <v>26</v>
      </c>
      <c r="S215" s="36" t="s">
        <v>277</v>
      </c>
      <c r="T215" s="37"/>
      <c r="U215" s="37"/>
      <c r="V215" s="37"/>
      <c r="W215" s="37"/>
      <c r="X215" s="37"/>
      <c r="Y215" s="37"/>
      <c r="Z215" s="37"/>
      <c r="AA215" s="37"/>
      <c r="AB215" s="37"/>
      <c r="AC215" s="37"/>
      <c r="AD215" s="37"/>
      <c r="AE215" s="38"/>
      <c r="AF215" s="284"/>
      <c r="AG215" s="286"/>
      <c r="AH215" s="284"/>
      <c r="AI215" s="286"/>
      <c r="AJ215" s="284" t="s">
        <v>130</v>
      </c>
      <c r="AK215" s="286"/>
      <c r="AL215" s="284"/>
      <c r="AM215" s="286"/>
      <c r="AN215" s="284"/>
      <c r="AO215" s="286"/>
      <c r="AP215" s="284"/>
      <c r="AQ215" s="286"/>
      <c r="AR215" s="284"/>
      <c r="AS215" s="286"/>
      <c r="AT215" s="287" t="s">
        <v>142</v>
      </c>
      <c r="AU215" s="287"/>
      <c r="AV215" s="287"/>
      <c r="AW215" s="287"/>
      <c r="AX215" s="287"/>
      <c r="AY215" s="287"/>
      <c r="AZ215" s="287"/>
      <c r="BA215" s="287"/>
      <c r="BB215" s="287" t="s">
        <v>143</v>
      </c>
      <c r="BC215" s="287"/>
      <c r="BD215" s="287"/>
      <c r="BE215" s="287"/>
      <c r="BF215" s="287"/>
      <c r="BG215" s="287"/>
      <c r="BH215" s="287"/>
      <c r="BI215" s="287"/>
      <c r="BJ215" s="288"/>
      <c r="BK215" s="288"/>
      <c r="BL215" s="288"/>
      <c r="BM215" s="288"/>
      <c r="BN215" s="288"/>
      <c r="BO215" s="288"/>
      <c r="BP215" s="288"/>
      <c r="BQ215" s="288"/>
      <c r="BR215" s="288"/>
      <c r="BS215" s="10"/>
    </row>
    <row r="216" spans="1:71" s="8" customFormat="1">
      <c r="A216" s="9"/>
      <c r="B216" s="80"/>
      <c r="C216" s="81"/>
      <c r="D216" s="81"/>
      <c r="E216" s="81"/>
      <c r="F216" s="81"/>
      <c r="G216" s="81"/>
      <c r="H216" s="81"/>
      <c r="I216" s="81"/>
      <c r="J216" s="83"/>
      <c r="K216" s="81"/>
      <c r="L216" s="81"/>
      <c r="M216" s="81"/>
      <c r="N216" s="81"/>
      <c r="O216" s="81"/>
      <c r="P216" s="81"/>
      <c r="Q216" s="82"/>
      <c r="R216" s="38">
        <v>27</v>
      </c>
      <c r="S216" s="36" t="s">
        <v>278</v>
      </c>
      <c r="T216" s="37"/>
      <c r="U216" s="37"/>
      <c r="V216" s="37"/>
      <c r="W216" s="37"/>
      <c r="X216" s="37"/>
      <c r="Y216" s="37"/>
      <c r="Z216" s="37"/>
      <c r="AA216" s="37"/>
      <c r="AB216" s="37"/>
      <c r="AC216" s="37"/>
      <c r="AD216" s="37"/>
      <c r="AE216" s="38"/>
      <c r="AF216" s="284"/>
      <c r="AG216" s="286"/>
      <c r="AH216" s="284"/>
      <c r="AI216" s="286"/>
      <c r="AJ216" s="284" t="s">
        <v>130</v>
      </c>
      <c r="AK216" s="286"/>
      <c r="AL216" s="284"/>
      <c r="AM216" s="286"/>
      <c r="AN216" s="284"/>
      <c r="AO216" s="286"/>
      <c r="AP216" s="284"/>
      <c r="AQ216" s="286"/>
      <c r="AR216" s="284"/>
      <c r="AS216" s="286"/>
      <c r="AT216" s="284" t="s">
        <v>279</v>
      </c>
      <c r="AU216" s="285"/>
      <c r="AV216" s="285"/>
      <c r="AW216" s="285"/>
      <c r="AX216" s="285"/>
      <c r="AY216" s="285"/>
      <c r="AZ216" s="285"/>
      <c r="BA216" s="286"/>
      <c r="BB216" s="284" t="s">
        <v>224</v>
      </c>
      <c r="BC216" s="285"/>
      <c r="BD216" s="285"/>
      <c r="BE216" s="285"/>
      <c r="BF216" s="285"/>
      <c r="BG216" s="285"/>
      <c r="BH216" s="285"/>
      <c r="BI216" s="286"/>
      <c r="BJ216" s="288"/>
      <c r="BK216" s="288"/>
      <c r="BL216" s="288"/>
      <c r="BM216" s="288"/>
      <c r="BN216" s="288"/>
      <c r="BO216" s="288"/>
      <c r="BP216" s="288"/>
      <c r="BQ216" s="288"/>
      <c r="BR216" s="288"/>
      <c r="BS216" s="10"/>
    </row>
    <row r="217" spans="1:71" s="8" customFormat="1">
      <c r="A217" s="9"/>
      <c r="B217" s="80"/>
      <c r="C217" s="81"/>
      <c r="D217" s="81"/>
      <c r="E217" s="81"/>
      <c r="F217" s="81"/>
      <c r="G217" s="81"/>
      <c r="H217" s="81"/>
      <c r="I217" s="81"/>
      <c r="J217" s="83"/>
      <c r="K217" s="81"/>
      <c r="L217" s="81"/>
      <c r="M217" s="81"/>
      <c r="N217" s="81"/>
      <c r="O217" s="81"/>
      <c r="P217" s="81"/>
      <c r="Q217" s="82"/>
      <c r="R217" s="38">
        <v>28</v>
      </c>
      <c r="S217" s="36" t="s">
        <v>280</v>
      </c>
      <c r="T217" s="37"/>
      <c r="U217" s="37"/>
      <c r="V217" s="37"/>
      <c r="W217" s="37"/>
      <c r="X217" s="37"/>
      <c r="Y217" s="37"/>
      <c r="Z217" s="37"/>
      <c r="AA217" s="37"/>
      <c r="AB217" s="37"/>
      <c r="AC217" s="37"/>
      <c r="AD217" s="37"/>
      <c r="AE217" s="38"/>
      <c r="AF217" s="284"/>
      <c r="AG217" s="286"/>
      <c r="AH217" s="284"/>
      <c r="AI217" s="286"/>
      <c r="AJ217" s="284" t="s">
        <v>130</v>
      </c>
      <c r="AK217" s="286"/>
      <c r="AL217" s="284"/>
      <c r="AM217" s="286"/>
      <c r="AN217" s="284"/>
      <c r="AO217" s="286"/>
      <c r="AP217" s="284"/>
      <c r="AQ217" s="286"/>
      <c r="AR217" s="284"/>
      <c r="AS217" s="286"/>
      <c r="AT217" s="287" t="s">
        <v>142</v>
      </c>
      <c r="AU217" s="287"/>
      <c r="AV217" s="287"/>
      <c r="AW217" s="287"/>
      <c r="AX217" s="287"/>
      <c r="AY217" s="287"/>
      <c r="AZ217" s="287"/>
      <c r="BA217" s="287"/>
      <c r="BB217" s="287" t="s">
        <v>143</v>
      </c>
      <c r="BC217" s="287"/>
      <c r="BD217" s="287"/>
      <c r="BE217" s="287"/>
      <c r="BF217" s="287"/>
      <c r="BG217" s="287"/>
      <c r="BH217" s="287"/>
      <c r="BI217" s="287"/>
      <c r="BJ217" s="288"/>
      <c r="BK217" s="288"/>
      <c r="BL217" s="288"/>
      <c r="BM217" s="288"/>
      <c r="BN217" s="288"/>
      <c r="BO217" s="288"/>
      <c r="BP217" s="288"/>
      <c r="BQ217" s="288"/>
      <c r="BR217" s="288"/>
      <c r="BS217" s="10"/>
    </row>
    <row r="218" spans="1:71" s="8" customFormat="1">
      <c r="A218" s="9"/>
      <c r="B218" s="80"/>
      <c r="C218" s="81"/>
      <c r="D218" s="81"/>
      <c r="E218" s="81"/>
      <c r="F218" s="81"/>
      <c r="G218" s="81"/>
      <c r="H218" s="81"/>
      <c r="I218" s="81"/>
      <c r="J218" s="83"/>
      <c r="K218" s="81"/>
      <c r="L218" s="81"/>
      <c r="M218" s="81"/>
      <c r="N218" s="81"/>
      <c r="O218" s="81"/>
      <c r="P218" s="81"/>
      <c r="Q218" s="82"/>
      <c r="R218" s="38">
        <v>29</v>
      </c>
      <c r="S218" s="36" t="s">
        <v>281</v>
      </c>
      <c r="T218" s="37"/>
      <c r="U218" s="37"/>
      <c r="V218" s="37"/>
      <c r="W218" s="37"/>
      <c r="X218" s="37"/>
      <c r="Y218" s="37"/>
      <c r="Z218" s="37"/>
      <c r="AA218" s="37"/>
      <c r="AB218" s="37"/>
      <c r="AC218" s="37"/>
      <c r="AD218" s="37"/>
      <c r="AE218" s="38"/>
      <c r="AF218" s="284"/>
      <c r="AG218" s="286"/>
      <c r="AH218" s="284"/>
      <c r="AI218" s="286"/>
      <c r="AJ218" s="284" t="s">
        <v>130</v>
      </c>
      <c r="AK218" s="286"/>
      <c r="AL218" s="284"/>
      <c r="AM218" s="286"/>
      <c r="AN218" s="284"/>
      <c r="AO218" s="286"/>
      <c r="AP218" s="284"/>
      <c r="AQ218" s="286"/>
      <c r="AR218" s="284"/>
      <c r="AS218" s="286"/>
      <c r="AT218" s="284" t="s">
        <v>131</v>
      </c>
      <c r="AU218" s="285"/>
      <c r="AV218" s="285"/>
      <c r="AW218" s="285"/>
      <c r="AX218" s="285"/>
      <c r="AY218" s="285"/>
      <c r="AZ218" s="285"/>
      <c r="BA218" s="286"/>
      <c r="BB218" s="284" t="s">
        <v>224</v>
      </c>
      <c r="BC218" s="285"/>
      <c r="BD218" s="285"/>
      <c r="BE218" s="285"/>
      <c r="BF218" s="285"/>
      <c r="BG218" s="285"/>
      <c r="BH218" s="285"/>
      <c r="BI218" s="286"/>
      <c r="BJ218" s="288"/>
      <c r="BK218" s="288"/>
      <c r="BL218" s="288"/>
      <c r="BM218" s="288"/>
      <c r="BN218" s="288"/>
      <c r="BO218" s="288"/>
      <c r="BP218" s="288"/>
      <c r="BQ218" s="288"/>
      <c r="BR218" s="288"/>
      <c r="BS218" s="10"/>
    </row>
    <row r="219" spans="1:71" s="8" customFormat="1">
      <c r="A219" s="9"/>
      <c r="B219" s="80"/>
      <c r="C219" s="81"/>
      <c r="D219" s="81"/>
      <c r="E219" s="81"/>
      <c r="F219" s="81"/>
      <c r="G219" s="81"/>
      <c r="H219" s="81"/>
      <c r="I219" s="81"/>
      <c r="J219" s="83"/>
      <c r="K219" s="81"/>
      <c r="L219" s="81"/>
      <c r="M219" s="81"/>
      <c r="N219" s="81"/>
      <c r="O219" s="81"/>
      <c r="P219" s="81"/>
      <c r="Q219" s="82"/>
      <c r="R219" s="38">
        <v>30</v>
      </c>
      <c r="S219" s="36" t="s">
        <v>282</v>
      </c>
      <c r="T219" s="37"/>
      <c r="U219" s="37"/>
      <c r="V219" s="37"/>
      <c r="W219" s="37"/>
      <c r="X219" s="37"/>
      <c r="Y219" s="37"/>
      <c r="Z219" s="37"/>
      <c r="AA219" s="37"/>
      <c r="AB219" s="37"/>
      <c r="AC219" s="37"/>
      <c r="AD219" s="37"/>
      <c r="AE219" s="38"/>
      <c r="AF219" s="284"/>
      <c r="AG219" s="286"/>
      <c r="AH219" s="284"/>
      <c r="AI219" s="286"/>
      <c r="AJ219" s="284" t="s">
        <v>130</v>
      </c>
      <c r="AK219" s="286"/>
      <c r="AL219" s="284"/>
      <c r="AM219" s="286"/>
      <c r="AN219" s="284"/>
      <c r="AO219" s="286"/>
      <c r="AP219" s="284"/>
      <c r="AQ219" s="286"/>
      <c r="AR219" s="284"/>
      <c r="AS219" s="286"/>
      <c r="AT219" s="287" t="s">
        <v>142</v>
      </c>
      <c r="AU219" s="287"/>
      <c r="AV219" s="287"/>
      <c r="AW219" s="287"/>
      <c r="AX219" s="287"/>
      <c r="AY219" s="287"/>
      <c r="AZ219" s="287"/>
      <c r="BA219" s="287"/>
      <c r="BB219" s="287" t="s">
        <v>143</v>
      </c>
      <c r="BC219" s="287"/>
      <c r="BD219" s="287"/>
      <c r="BE219" s="287"/>
      <c r="BF219" s="287"/>
      <c r="BG219" s="287"/>
      <c r="BH219" s="287"/>
      <c r="BI219" s="287"/>
      <c r="BJ219" s="288"/>
      <c r="BK219" s="288"/>
      <c r="BL219" s="288"/>
      <c r="BM219" s="288"/>
      <c r="BN219" s="288"/>
      <c r="BO219" s="288"/>
      <c r="BP219" s="288"/>
      <c r="BQ219" s="288"/>
      <c r="BR219" s="288"/>
      <c r="BS219" s="10"/>
    </row>
    <row r="220" spans="1:71" s="8" customFormat="1">
      <c r="A220" s="9"/>
      <c r="B220" s="80"/>
      <c r="C220" s="81"/>
      <c r="D220" s="81"/>
      <c r="E220" s="81"/>
      <c r="F220" s="81"/>
      <c r="G220" s="81"/>
      <c r="H220" s="81"/>
      <c r="I220" s="81"/>
      <c r="J220" s="83"/>
      <c r="K220" s="81"/>
      <c r="L220" s="81"/>
      <c r="M220" s="81"/>
      <c r="N220" s="81"/>
      <c r="O220" s="81"/>
      <c r="P220" s="81"/>
      <c r="Q220" s="82"/>
      <c r="R220" s="38">
        <v>31</v>
      </c>
      <c r="S220" s="36" t="s">
        <v>283</v>
      </c>
      <c r="T220" s="37"/>
      <c r="U220" s="37"/>
      <c r="V220" s="37"/>
      <c r="W220" s="37"/>
      <c r="X220" s="37"/>
      <c r="Y220" s="37"/>
      <c r="Z220" s="37"/>
      <c r="AA220" s="37"/>
      <c r="AB220" s="37"/>
      <c r="AC220" s="37"/>
      <c r="AD220" s="37"/>
      <c r="AE220" s="38"/>
      <c r="AF220" s="284"/>
      <c r="AG220" s="286"/>
      <c r="AH220" s="284"/>
      <c r="AI220" s="286"/>
      <c r="AJ220" s="284" t="s">
        <v>130</v>
      </c>
      <c r="AK220" s="286"/>
      <c r="AL220" s="284"/>
      <c r="AM220" s="286"/>
      <c r="AN220" s="284"/>
      <c r="AO220" s="286"/>
      <c r="AP220" s="284"/>
      <c r="AQ220" s="286"/>
      <c r="AR220" s="284"/>
      <c r="AS220" s="286"/>
      <c r="AT220" s="284" t="s">
        <v>284</v>
      </c>
      <c r="AU220" s="285"/>
      <c r="AV220" s="285"/>
      <c r="AW220" s="285"/>
      <c r="AX220" s="285"/>
      <c r="AY220" s="285"/>
      <c r="AZ220" s="285"/>
      <c r="BA220" s="286"/>
      <c r="BB220" s="284" t="s">
        <v>224</v>
      </c>
      <c r="BC220" s="285"/>
      <c r="BD220" s="285"/>
      <c r="BE220" s="285"/>
      <c r="BF220" s="285"/>
      <c r="BG220" s="285"/>
      <c r="BH220" s="285"/>
      <c r="BI220" s="286"/>
      <c r="BJ220" s="288"/>
      <c r="BK220" s="288"/>
      <c r="BL220" s="288"/>
      <c r="BM220" s="288"/>
      <c r="BN220" s="288"/>
      <c r="BO220" s="288"/>
      <c r="BP220" s="288"/>
      <c r="BQ220" s="288"/>
      <c r="BR220" s="288"/>
      <c r="BS220" s="10"/>
    </row>
    <row r="221" spans="1:71" s="8" customFormat="1">
      <c r="A221" s="9"/>
      <c r="B221" s="80"/>
      <c r="C221" s="81"/>
      <c r="D221" s="81"/>
      <c r="E221" s="81"/>
      <c r="F221" s="81"/>
      <c r="G221" s="81"/>
      <c r="H221" s="81"/>
      <c r="I221" s="81"/>
      <c r="J221" s="83"/>
      <c r="K221" s="81"/>
      <c r="L221" s="81"/>
      <c r="M221" s="81"/>
      <c r="N221" s="81"/>
      <c r="O221" s="81"/>
      <c r="P221" s="81"/>
      <c r="Q221" s="82"/>
      <c r="R221" s="38">
        <v>32</v>
      </c>
      <c r="S221" s="36" t="s">
        <v>285</v>
      </c>
      <c r="T221" s="37"/>
      <c r="U221" s="37"/>
      <c r="V221" s="37"/>
      <c r="W221" s="37"/>
      <c r="X221" s="37"/>
      <c r="Y221" s="37"/>
      <c r="Z221" s="37"/>
      <c r="AA221" s="37"/>
      <c r="AB221" s="37"/>
      <c r="AC221" s="37"/>
      <c r="AD221" s="37"/>
      <c r="AE221" s="38"/>
      <c r="AF221" s="284"/>
      <c r="AG221" s="286"/>
      <c r="AH221" s="284"/>
      <c r="AI221" s="286"/>
      <c r="AJ221" s="284" t="s">
        <v>130</v>
      </c>
      <c r="AK221" s="286"/>
      <c r="AL221" s="284"/>
      <c r="AM221" s="286"/>
      <c r="AN221" s="284"/>
      <c r="AO221" s="286"/>
      <c r="AP221" s="284"/>
      <c r="AQ221" s="286"/>
      <c r="AR221" s="284"/>
      <c r="AS221" s="286"/>
      <c r="AT221" s="284" t="s">
        <v>131</v>
      </c>
      <c r="AU221" s="285"/>
      <c r="AV221" s="285"/>
      <c r="AW221" s="285"/>
      <c r="AX221" s="285"/>
      <c r="AY221" s="285"/>
      <c r="AZ221" s="285"/>
      <c r="BA221" s="286"/>
      <c r="BB221" s="287" t="s">
        <v>132</v>
      </c>
      <c r="BC221" s="287"/>
      <c r="BD221" s="287"/>
      <c r="BE221" s="287"/>
      <c r="BF221" s="287"/>
      <c r="BG221" s="287"/>
      <c r="BH221" s="287"/>
      <c r="BI221" s="287"/>
      <c r="BJ221" s="288"/>
      <c r="BK221" s="288"/>
      <c r="BL221" s="288"/>
      <c r="BM221" s="288"/>
      <c r="BN221" s="288"/>
      <c r="BO221" s="288"/>
      <c r="BP221" s="288"/>
      <c r="BQ221" s="288"/>
      <c r="BR221" s="288"/>
      <c r="BS221" s="10"/>
    </row>
    <row r="222" spans="1:71" s="8" customFormat="1">
      <c r="A222" s="9"/>
      <c r="B222" s="80"/>
      <c r="C222" s="81"/>
      <c r="D222" s="81"/>
      <c r="E222" s="81"/>
      <c r="F222" s="81"/>
      <c r="G222" s="81"/>
      <c r="H222" s="81"/>
      <c r="I222" s="81"/>
      <c r="J222" s="83"/>
      <c r="K222" s="81"/>
      <c r="L222" s="81"/>
      <c r="M222" s="81"/>
      <c r="N222" s="81"/>
      <c r="O222" s="81"/>
      <c r="P222" s="81"/>
      <c r="Q222" s="82"/>
      <c r="R222" s="38">
        <v>33</v>
      </c>
      <c r="S222" s="36" t="s">
        <v>286</v>
      </c>
      <c r="T222" s="37"/>
      <c r="U222" s="37"/>
      <c r="V222" s="37"/>
      <c r="W222" s="37"/>
      <c r="X222" s="37"/>
      <c r="Y222" s="37"/>
      <c r="Z222" s="37"/>
      <c r="AA222" s="37"/>
      <c r="AB222" s="37"/>
      <c r="AC222" s="37"/>
      <c r="AD222" s="37"/>
      <c r="AE222" s="38"/>
      <c r="AF222" s="284"/>
      <c r="AG222" s="286"/>
      <c r="AH222" s="284"/>
      <c r="AI222" s="286"/>
      <c r="AJ222" s="284" t="s">
        <v>130</v>
      </c>
      <c r="AK222" s="286"/>
      <c r="AL222" s="284"/>
      <c r="AM222" s="286"/>
      <c r="AN222" s="284"/>
      <c r="AO222" s="286"/>
      <c r="AP222" s="284"/>
      <c r="AQ222" s="286"/>
      <c r="AR222" s="284"/>
      <c r="AS222" s="286"/>
      <c r="AT222" s="287" t="s">
        <v>142</v>
      </c>
      <c r="AU222" s="287"/>
      <c r="AV222" s="287"/>
      <c r="AW222" s="287"/>
      <c r="AX222" s="287"/>
      <c r="AY222" s="287"/>
      <c r="AZ222" s="287"/>
      <c r="BA222" s="287"/>
      <c r="BB222" s="287" t="s">
        <v>143</v>
      </c>
      <c r="BC222" s="287"/>
      <c r="BD222" s="287"/>
      <c r="BE222" s="287"/>
      <c r="BF222" s="287"/>
      <c r="BG222" s="287"/>
      <c r="BH222" s="287"/>
      <c r="BI222" s="287"/>
      <c r="BJ222" s="288"/>
      <c r="BK222" s="288"/>
      <c r="BL222" s="288"/>
      <c r="BM222" s="288"/>
      <c r="BN222" s="288"/>
      <c r="BO222" s="288"/>
      <c r="BP222" s="288"/>
      <c r="BQ222" s="288"/>
      <c r="BR222" s="288"/>
      <c r="BS222" s="10"/>
    </row>
    <row r="223" spans="1:71" s="8" customFormat="1">
      <c r="A223" s="9"/>
      <c r="B223" s="80"/>
      <c r="C223" s="81"/>
      <c r="D223" s="81"/>
      <c r="E223" s="81"/>
      <c r="F223" s="81"/>
      <c r="G223" s="81"/>
      <c r="H223" s="81"/>
      <c r="I223" s="81"/>
      <c r="J223" s="83"/>
      <c r="K223" s="81"/>
      <c r="L223" s="81"/>
      <c r="M223" s="81"/>
      <c r="N223" s="81"/>
      <c r="O223" s="81"/>
      <c r="P223" s="81"/>
      <c r="Q223" s="82"/>
      <c r="R223" s="38">
        <v>34</v>
      </c>
      <c r="S223" s="36" t="s">
        <v>287</v>
      </c>
      <c r="T223" s="37"/>
      <c r="U223" s="37"/>
      <c r="V223" s="37"/>
      <c r="W223" s="37"/>
      <c r="X223" s="37"/>
      <c r="Y223" s="37"/>
      <c r="Z223" s="37"/>
      <c r="AA223" s="37"/>
      <c r="AB223" s="37"/>
      <c r="AC223" s="37"/>
      <c r="AD223" s="37"/>
      <c r="AE223" s="38"/>
      <c r="AF223" s="284"/>
      <c r="AG223" s="286"/>
      <c r="AH223" s="284"/>
      <c r="AI223" s="286"/>
      <c r="AJ223" s="284" t="s">
        <v>130</v>
      </c>
      <c r="AK223" s="286"/>
      <c r="AL223" s="284"/>
      <c r="AM223" s="286"/>
      <c r="AN223" s="284"/>
      <c r="AO223" s="286"/>
      <c r="AP223" s="284"/>
      <c r="AQ223" s="286"/>
      <c r="AR223" s="284"/>
      <c r="AS223" s="286"/>
      <c r="AT223" s="284" t="s">
        <v>131</v>
      </c>
      <c r="AU223" s="285"/>
      <c r="AV223" s="285"/>
      <c r="AW223" s="285"/>
      <c r="AX223" s="285"/>
      <c r="AY223" s="285"/>
      <c r="AZ223" s="285"/>
      <c r="BA223" s="286"/>
      <c r="BB223" s="284" t="s">
        <v>224</v>
      </c>
      <c r="BC223" s="285"/>
      <c r="BD223" s="285"/>
      <c r="BE223" s="285"/>
      <c r="BF223" s="285"/>
      <c r="BG223" s="285"/>
      <c r="BH223" s="285"/>
      <c r="BI223" s="286"/>
      <c r="BJ223" s="288"/>
      <c r="BK223" s="288"/>
      <c r="BL223" s="288"/>
      <c r="BM223" s="288"/>
      <c r="BN223" s="288"/>
      <c r="BO223" s="288"/>
      <c r="BP223" s="288"/>
      <c r="BQ223" s="288"/>
      <c r="BR223" s="288"/>
      <c r="BS223" s="10"/>
    </row>
    <row r="224" spans="1:71" s="8" customFormat="1">
      <c r="A224" s="9"/>
      <c r="B224" s="80"/>
      <c r="C224" s="81"/>
      <c r="D224" s="81"/>
      <c r="E224" s="81"/>
      <c r="F224" s="81"/>
      <c r="G224" s="81"/>
      <c r="H224" s="81"/>
      <c r="I224" s="81"/>
      <c r="J224" s="83"/>
      <c r="K224" s="81"/>
      <c r="L224" s="81"/>
      <c r="M224" s="81"/>
      <c r="N224" s="81"/>
      <c r="O224" s="81"/>
      <c r="P224" s="81"/>
      <c r="Q224" s="82"/>
      <c r="R224" s="38">
        <v>35</v>
      </c>
      <c r="S224" s="36" t="s">
        <v>288</v>
      </c>
      <c r="T224" s="37"/>
      <c r="U224" s="37"/>
      <c r="V224" s="37"/>
      <c r="W224" s="37"/>
      <c r="X224" s="37"/>
      <c r="Y224" s="37"/>
      <c r="Z224" s="37"/>
      <c r="AA224" s="37"/>
      <c r="AB224" s="37"/>
      <c r="AC224" s="37"/>
      <c r="AD224" s="37"/>
      <c r="AE224" s="38"/>
      <c r="AF224" s="284"/>
      <c r="AG224" s="286"/>
      <c r="AH224" s="284"/>
      <c r="AI224" s="286"/>
      <c r="AJ224" s="284" t="s">
        <v>130</v>
      </c>
      <c r="AK224" s="286"/>
      <c r="AL224" s="284"/>
      <c r="AM224" s="286"/>
      <c r="AN224" s="284"/>
      <c r="AO224" s="286"/>
      <c r="AP224" s="284"/>
      <c r="AQ224" s="286"/>
      <c r="AR224" s="284"/>
      <c r="AS224" s="286"/>
      <c r="AT224" s="284" t="s">
        <v>131</v>
      </c>
      <c r="AU224" s="285"/>
      <c r="AV224" s="285"/>
      <c r="AW224" s="285"/>
      <c r="AX224" s="285"/>
      <c r="AY224" s="285"/>
      <c r="AZ224" s="285"/>
      <c r="BA224" s="286"/>
      <c r="BB224" s="287" t="s">
        <v>132</v>
      </c>
      <c r="BC224" s="287"/>
      <c r="BD224" s="287"/>
      <c r="BE224" s="287"/>
      <c r="BF224" s="287"/>
      <c r="BG224" s="287"/>
      <c r="BH224" s="287"/>
      <c r="BI224" s="287"/>
      <c r="BJ224" s="288"/>
      <c r="BK224" s="288"/>
      <c r="BL224" s="288"/>
      <c r="BM224" s="288"/>
      <c r="BN224" s="288"/>
      <c r="BO224" s="288"/>
      <c r="BP224" s="288"/>
      <c r="BQ224" s="288"/>
      <c r="BR224" s="288"/>
      <c r="BS224" s="10"/>
    </row>
    <row r="225" spans="1:72" s="8" customFormat="1">
      <c r="A225" s="9"/>
      <c r="B225" s="83"/>
      <c r="C225" s="81"/>
      <c r="D225" s="81"/>
      <c r="E225" s="81"/>
      <c r="F225" s="81"/>
      <c r="G225" s="81"/>
      <c r="H225" s="81"/>
      <c r="I225" s="81"/>
      <c r="J225" s="83"/>
      <c r="K225" s="81"/>
      <c r="L225" s="81"/>
      <c r="M225" s="81"/>
      <c r="N225" s="81"/>
      <c r="O225" s="81"/>
      <c r="P225" s="81"/>
      <c r="Q225" s="82"/>
      <c r="R225" s="38">
        <v>36</v>
      </c>
      <c r="S225" s="36" t="s">
        <v>218</v>
      </c>
      <c r="T225" s="37"/>
      <c r="U225" s="37"/>
      <c r="V225" s="37"/>
      <c r="W225" s="37"/>
      <c r="X225" s="37"/>
      <c r="Y225" s="37"/>
      <c r="Z225" s="37"/>
      <c r="AA225" s="37"/>
      <c r="AB225" s="37"/>
      <c r="AC225" s="37"/>
      <c r="AD225" s="37"/>
      <c r="AE225" s="38"/>
      <c r="AF225" s="284"/>
      <c r="AG225" s="286"/>
      <c r="AH225" s="284"/>
      <c r="AI225" s="286"/>
      <c r="AJ225" s="284"/>
      <c r="AK225" s="286"/>
      <c r="AL225" s="284"/>
      <c r="AM225" s="286"/>
      <c r="AN225" s="284" t="s">
        <v>130</v>
      </c>
      <c r="AO225" s="286"/>
      <c r="AP225" s="284"/>
      <c r="AQ225" s="286"/>
      <c r="AR225" s="284"/>
      <c r="AS225" s="286"/>
      <c r="AT225" s="284" t="s">
        <v>201</v>
      </c>
      <c r="AU225" s="285"/>
      <c r="AV225" s="285"/>
      <c r="AW225" s="285"/>
      <c r="AX225" s="285"/>
      <c r="AY225" s="285"/>
      <c r="AZ225" s="285"/>
      <c r="BA225" s="286"/>
      <c r="BB225" s="287"/>
      <c r="BC225" s="287"/>
      <c r="BD225" s="287"/>
      <c r="BE225" s="287"/>
      <c r="BF225" s="287"/>
      <c r="BG225" s="287"/>
      <c r="BH225" s="287"/>
      <c r="BI225" s="287"/>
      <c r="BJ225" s="288"/>
      <c r="BK225" s="288"/>
      <c r="BL225" s="288"/>
      <c r="BM225" s="288"/>
      <c r="BN225" s="288"/>
      <c r="BO225" s="288"/>
      <c r="BP225" s="288"/>
      <c r="BQ225" s="288"/>
      <c r="BR225" s="288"/>
      <c r="BS225" s="10"/>
      <c r="BT225" s="11"/>
    </row>
    <row r="226" spans="1:72" s="8" customFormat="1">
      <c r="A226" s="9"/>
      <c r="B226" s="80"/>
      <c r="C226" s="81"/>
      <c r="D226" s="81"/>
      <c r="E226" s="81"/>
      <c r="F226" s="81"/>
      <c r="G226" s="81"/>
      <c r="H226" s="81"/>
      <c r="I226" s="82"/>
      <c r="J226" s="84"/>
      <c r="K226" s="84"/>
      <c r="L226" s="84"/>
      <c r="M226" s="84"/>
      <c r="N226" s="84"/>
      <c r="O226" s="84"/>
      <c r="P226" s="84"/>
      <c r="Q226" s="85"/>
      <c r="R226" s="38">
        <v>37</v>
      </c>
      <c r="S226" s="36" t="s">
        <v>219</v>
      </c>
      <c r="T226" s="37"/>
      <c r="U226" s="37"/>
      <c r="V226" s="37"/>
      <c r="W226" s="37"/>
      <c r="X226" s="37"/>
      <c r="Y226" s="37"/>
      <c r="Z226" s="37"/>
      <c r="AA226" s="37"/>
      <c r="AB226" s="37"/>
      <c r="AC226" s="37"/>
      <c r="AD226" s="37"/>
      <c r="AE226" s="38"/>
      <c r="AF226" s="284"/>
      <c r="AG226" s="286"/>
      <c r="AH226" s="284"/>
      <c r="AI226" s="286"/>
      <c r="AJ226" s="284"/>
      <c r="AK226" s="286"/>
      <c r="AL226" s="284"/>
      <c r="AM226" s="286"/>
      <c r="AN226" s="284"/>
      <c r="AO226" s="286"/>
      <c r="AP226" s="284"/>
      <c r="AQ226" s="286"/>
      <c r="AR226" s="284" t="s">
        <v>130</v>
      </c>
      <c r="AS226" s="286"/>
      <c r="AT226" s="284" t="s">
        <v>131</v>
      </c>
      <c r="AU226" s="285"/>
      <c r="AV226" s="285"/>
      <c r="AW226" s="285"/>
      <c r="AX226" s="285"/>
      <c r="AY226" s="285"/>
      <c r="AZ226" s="285"/>
      <c r="BA226" s="286"/>
      <c r="BB226" s="287" t="s">
        <v>203</v>
      </c>
      <c r="BC226" s="287"/>
      <c r="BD226" s="287"/>
      <c r="BE226" s="287"/>
      <c r="BF226" s="287"/>
      <c r="BG226" s="287"/>
      <c r="BH226" s="287"/>
      <c r="BI226" s="287"/>
      <c r="BJ226" s="288"/>
      <c r="BK226" s="288"/>
      <c r="BL226" s="288"/>
      <c r="BM226" s="288"/>
      <c r="BN226" s="288"/>
      <c r="BO226" s="288"/>
      <c r="BP226" s="288"/>
      <c r="BQ226" s="288"/>
      <c r="BR226" s="288"/>
      <c r="BS226" s="10"/>
    </row>
    <row r="227" spans="1:72" s="8" customFormat="1">
      <c r="A227" s="9"/>
      <c r="B227" s="80"/>
      <c r="C227" s="81"/>
      <c r="D227" s="81"/>
      <c r="E227" s="81"/>
      <c r="F227" s="81"/>
      <c r="G227" s="81"/>
      <c r="H227" s="81"/>
      <c r="I227" s="82"/>
      <c r="J227" s="81" t="s">
        <v>318</v>
      </c>
      <c r="K227" s="81"/>
      <c r="L227" s="81"/>
      <c r="M227" s="81"/>
      <c r="N227" s="81"/>
      <c r="O227" s="81"/>
      <c r="P227" s="81"/>
      <c r="Q227" s="82"/>
      <c r="R227" s="38">
        <v>1</v>
      </c>
      <c r="S227" s="58" t="s">
        <v>290</v>
      </c>
      <c r="T227" s="37"/>
      <c r="U227" s="37"/>
      <c r="V227" s="37"/>
      <c r="W227" s="37"/>
      <c r="X227" s="37"/>
      <c r="Y227" s="37"/>
      <c r="Z227" s="37"/>
      <c r="AA227" s="37"/>
      <c r="AB227" s="37"/>
      <c r="AC227" s="37"/>
      <c r="AD227" s="37"/>
      <c r="AE227" s="38"/>
      <c r="AF227" s="284"/>
      <c r="AG227" s="286"/>
      <c r="AH227" s="284"/>
      <c r="AI227" s="286"/>
      <c r="AJ227" s="284"/>
      <c r="AK227" s="286"/>
      <c r="AL227" s="284"/>
      <c r="AM227" s="286"/>
      <c r="AN227" s="284" t="s">
        <v>130</v>
      </c>
      <c r="AO227" s="286"/>
      <c r="AP227" s="284"/>
      <c r="AQ227" s="286"/>
      <c r="AR227" s="284"/>
      <c r="AS227" s="286"/>
      <c r="AT227" s="284" t="s">
        <v>131</v>
      </c>
      <c r="AU227" s="285"/>
      <c r="AV227" s="285"/>
      <c r="AW227" s="285"/>
      <c r="AX227" s="285"/>
      <c r="AY227" s="285"/>
      <c r="AZ227" s="285"/>
      <c r="BA227" s="286"/>
      <c r="BB227" s="287" t="s">
        <v>203</v>
      </c>
      <c r="BC227" s="287"/>
      <c r="BD227" s="287"/>
      <c r="BE227" s="287"/>
      <c r="BF227" s="287"/>
      <c r="BG227" s="287"/>
      <c r="BH227" s="287"/>
      <c r="BI227" s="287"/>
      <c r="BJ227" s="288"/>
      <c r="BK227" s="288"/>
      <c r="BL227" s="288"/>
      <c r="BM227" s="288"/>
      <c r="BN227" s="288"/>
      <c r="BO227" s="288"/>
      <c r="BP227" s="288"/>
      <c r="BQ227" s="288"/>
      <c r="BR227" s="288"/>
      <c r="BS227" s="10"/>
    </row>
    <row r="228" spans="1:72" s="8" customFormat="1">
      <c r="A228" s="9"/>
      <c r="B228" s="80"/>
      <c r="C228" s="81"/>
      <c r="D228" s="81"/>
      <c r="E228" s="81"/>
      <c r="F228" s="81"/>
      <c r="G228" s="81"/>
      <c r="H228" s="81"/>
      <c r="I228" s="82"/>
      <c r="J228" s="81"/>
      <c r="K228" s="81"/>
      <c r="L228" s="81"/>
      <c r="M228" s="81"/>
      <c r="N228" s="81"/>
      <c r="O228" s="81"/>
      <c r="P228" s="81"/>
      <c r="Q228" s="82"/>
      <c r="R228" s="38">
        <v>2</v>
      </c>
      <c r="S228" s="36" t="s">
        <v>291</v>
      </c>
      <c r="T228" s="37"/>
      <c r="U228" s="37"/>
      <c r="V228" s="37"/>
      <c r="W228" s="37"/>
      <c r="X228" s="37"/>
      <c r="Y228" s="37"/>
      <c r="Z228" s="37"/>
      <c r="AA228" s="37"/>
      <c r="AB228" s="37"/>
      <c r="AC228" s="37"/>
      <c r="AD228" s="37"/>
      <c r="AE228" s="38"/>
      <c r="AF228" s="284"/>
      <c r="AG228" s="286"/>
      <c r="AH228" s="284"/>
      <c r="AI228" s="286"/>
      <c r="AJ228" s="284" t="s">
        <v>130</v>
      </c>
      <c r="AK228" s="286"/>
      <c r="AL228" s="284"/>
      <c r="AM228" s="286"/>
      <c r="AN228" s="284"/>
      <c r="AO228" s="286"/>
      <c r="AP228" s="284"/>
      <c r="AQ228" s="286"/>
      <c r="AR228" s="284"/>
      <c r="AS228" s="286"/>
      <c r="AT228" s="284" t="s">
        <v>131</v>
      </c>
      <c r="AU228" s="285"/>
      <c r="AV228" s="285"/>
      <c r="AW228" s="285"/>
      <c r="AX228" s="285"/>
      <c r="AY228" s="285"/>
      <c r="AZ228" s="285"/>
      <c r="BA228" s="286"/>
      <c r="BB228" s="284" t="s">
        <v>205</v>
      </c>
      <c r="BC228" s="285"/>
      <c r="BD228" s="285"/>
      <c r="BE228" s="285"/>
      <c r="BF228" s="285"/>
      <c r="BG228" s="285"/>
      <c r="BH228" s="285"/>
      <c r="BI228" s="286"/>
      <c r="BJ228" s="288"/>
      <c r="BK228" s="288"/>
      <c r="BL228" s="288"/>
      <c r="BM228" s="288"/>
      <c r="BN228" s="288"/>
      <c r="BO228" s="288"/>
      <c r="BP228" s="288"/>
      <c r="BQ228" s="288"/>
      <c r="BR228" s="288"/>
      <c r="BS228" s="10"/>
    </row>
    <row r="229" spans="1:72" s="8" customFormat="1">
      <c r="A229" s="9"/>
      <c r="B229" s="80"/>
      <c r="C229" s="81"/>
      <c r="D229" s="81"/>
      <c r="E229" s="81"/>
      <c r="F229" s="81"/>
      <c r="G229" s="81"/>
      <c r="H229" s="81"/>
      <c r="I229" s="82"/>
      <c r="J229" s="81"/>
      <c r="K229" s="81"/>
      <c r="L229" s="81"/>
      <c r="M229" s="81"/>
      <c r="N229" s="81"/>
      <c r="O229" s="81"/>
      <c r="P229" s="81"/>
      <c r="Q229" s="82"/>
      <c r="R229" s="38">
        <v>3</v>
      </c>
      <c r="S229" s="36" t="s">
        <v>292</v>
      </c>
      <c r="T229" s="37"/>
      <c r="U229" s="37"/>
      <c r="V229" s="37"/>
      <c r="W229" s="37"/>
      <c r="X229" s="37"/>
      <c r="Y229" s="37"/>
      <c r="Z229" s="37"/>
      <c r="AA229" s="37"/>
      <c r="AB229" s="37"/>
      <c r="AC229" s="37"/>
      <c r="AD229" s="37"/>
      <c r="AE229" s="38"/>
      <c r="AF229" s="284"/>
      <c r="AG229" s="286"/>
      <c r="AH229" s="284"/>
      <c r="AI229" s="286"/>
      <c r="AJ229" s="284" t="s">
        <v>130</v>
      </c>
      <c r="AK229" s="286"/>
      <c r="AL229" s="284"/>
      <c r="AM229" s="286"/>
      <c r="AN229" s="284"/>
      <c r="AO229" s="286"/>
      <c r="AP229" s="284"/>
      <c r="AQ229" s="286"/>
      <c r="AR229" s="284"/>
      <c r="AS229" s="286"/>
      <c r="AT229" s="284" t="s">
        <v>131</v>
      </c>
      <c r="AU229" s="285"/>
      <c r="AV229" s="285"/>
      <c r="AW229" s="285"/>
      <c r="AX229" s="285"/>
      <c r="AY229" s="285"/>
      <c r="AZ229" s="285"/>
      <c r="BA229" s="286"/>
      <c r="BB229" s="284" t="s">
        <v>224</v>
      </c>
      <c r="BC229" s="285"/>
      <c r="BD229" s="285"/>
      <c r="BE229" s="285"/>
      <c r="BF229" s="285"/>
      <c r="BG229" s="285"/>
      <c r="BH229" s="285"/>
      <c r="BI229" s="286"/>
      <c r="BJ229" s="288"/>
      <c r="BK229" s="288"/>
      <c r="BL229" s="288"/>
      <c r="BM229" s="288"/>
      <c r="BN229" s="288"/>
      <c r="BO229" s="288"/>
      <c r="BP229" s="288"/>
      <c r="BQ229" s="288"/>
      <c r="BR229" s="288"/>
      <c r="BS229" s="10"/>
    </row>
    <row r="230" spans="1:72" s="8" customFormat="1">
      <c r="A230" s="9"/>
      <c r="B230" s="80"/>
      <c r="C230" s="81"/>
      <c r="D230" s="81"/>
      <c r="E230" s="81"/>
      <c r="F230" s="81"/>
      <c r="G230" s="81"/>
      <c r="H230" s="81"/>
      <c r="I230" s="82"/>
      <c r="J230" s="81"/>
      <c r="K230" s="81"/>
      <c r="L230" s="81"/>
      <c r="M230" s="81"/>
      <c r="N230" s="81"/>
      <c r="O230" s="81"/>
      <c r="P230" s="81"/>
      <c r="Q230" s="82"/>
      <c r="R230" s="38">
        <v>4</v>
      </c>
      <c r="S230" s="36" t="s">
        <v>293</v>
      </c>
      <c r="T230" s="37"/>
      <c r="U230" s="37"/>
      <c r="V230" s="37"/>
      <c r="W230" s="37"/>
      <c r="X230" s="37"/>
      <c r="Y230" s="37"/>
      <c r="Z230" s="37"/>
      <c r="AA230" s="37"/>
      <c r="AB230" s="37"/>
      <c r="AC230" s="37"/>
      <c r="AD230" s="37"/>
      <c r="AE230" s="38"/>
      <c r="AF230" s="284"/>
      <c r="AG230" s="286"/>
      <c r="AH230" s="284"/>
      <c r="AI230" s="286"/>
      <c r="AJ230" s="284"/>
      <c r="AK230" s="286"/>
      <c r="AL230" s="284"/>
      <c r="AM230" s="286"/>
      <c r="AN230" s="284" t="s">
        <v>130</v>
      </c>
      <c r="AO230" s="286"/>
      <c r="AP230" s="284"/>
      <c r="AQ230" s="286"/>
      <c r="AR230" s="284"/>
      <c r="AS230" s="286"/>
      <c r="AT230" s="284" t="s">
        <v>131</v>
      </c>
      <c r="AU230" s="285"/>
      <c r="AV230" s="285"/>
      <c r="AW230" s="285"/>
      <c r="AX230" s="285"/>
      <c r="AY230" s="285"/>
      <c r="AZ230" s="285"/>
      <c r="BA230" s="286"/>
      <c r="BB230" s="287" t="s">
        <v>132</v>
      </c>
      <c r="BC230" s="287"/>
      <c r="BD230" s="287"/>
      <c r="BE230" s="287"/>
      <c r="BF230" s="287"/>
      <c r="BG230" s="287"/>
      <c r="BH230" s="287"/>
      <c r="BI230" s="287"/>
      <c r="BJ230" s="288"/>
      <c r="BK230" s="288"/>
      <c r="BL230" s="288"/>
      <c r="BM230" s="288"/>
      <c r="BN230" s="288"/>
      <c r="BO230" s="288"/>
      <c r="BP230" s="288"/>
      <c r="BQ230" s="288"/>
      <c r="BR230" s="288"/>
      <c r="BS230" s="10"/>
    </row>
    <row r="231" spans="1:72" s="8" customFormat="1">
      <c r="A231" s="9"/>
      <c r="B231" s="80"/>
      <c r="C231" s="81"/>
      <c r="D231" s="81"/>
      <c r="E231" s="81"/>
      <c r="F231" s="81"/>
      <c r="G231" s="81"/>
      <c r="H231" s="81"/>
      <c r="I231" s="82"/>
      <c r="J231" s="81"/>
      <c r="K231" s="81"/>
      <c r="L231" s="81"/>
      <c r="M231" s="81"/>
      <c r="N231" s="81"/>
      <c r="O231" s="81"/>
      <c r="P231" s="81"/>
      <c r="Q231" s="82"/>
      <c r="R231" s="38">
        <v>5</v>
      </c>
      <c r="S231" s="36" t="s">
        <v>294</v>
      </c>
      <c r="T231" s="37"/>
      <c r="U231" s="37"/>
      <c r="V231" s="37"/>
      <c r="W231" s="37"/>
      <c r="X231" s="37"/>
      <c r="Y231" s="37"/>
      <c r="Z231" s="37"/>
      <c r="AA231" s="37"/>
      <c r="AB231" s="37"/>
      <c r="AC231" s="37"/>
      <c r="AD231" s="37"/>
      <c r="AE231" s="38"/>
      <c r="AF231" s="284"/>
      <c r="AG231" s="286"/>
      <c r="AH231" s="284"/>
      <c r="AI231" s="286"/>
      <c r="AJ231" s="284" t="s">
        <v>130</v>
      </c>
      <c r="AK231" s="286"/>
      <c r="AL231" s="284"/>
      <c r="AM231" s="286"/>
      <c r="AN231" s="284"/>
      <c r="AO231" s="286"/>
      <c r="AP231" s="284"/>
      <c r="AQ231" s="286"/>
      <c r="AR231" s="284"/>
      <c r="AS231" s="286"/>
      <c r="AT231" s="284" t="s">
        <v>131</v>
      </c>
      <c r="AU231" s="285"/>
      <c r="AV231" s="285"/>
      <c r="AW231" s="285"/>
      <c r="AX231" s="285"/>
      <c r="AY231" s="285"/>
      <c r="AZ231" s="285"/>
      <c r="BA231" s="286"/>
      <c r="BB231" s="287" t="s">
        <v>132</v>
      </c>
      <c r="BC231" s="287"/>
      <c r="BD231" s="287"/>
      <c r="BE231" s="287"/>
      <c r="BF231" s="287"/>
      <c r="BG231" s="287"/>
      <c r="BH231" s="287"/>
      <c r="BI231" s="287"/>
      <c r="BJ231" s="288"/>
      <c r="BK231" s="288"/>
      <c r="BL231" s="288"/>
      <c r="BM231" s="288"/>
      <c r="BN231" s="288"/>
      <c r="BO231" s="288"/>
      <c r="BP231" s="288"/>
      <c r="BQ231" s="288"/>
      <c r="BR231" s="288"/>
      <c r="BS231" s="10"/>
    </row>
    <row r="232" spans="1:72" s="8" customFormat="1">
      <c r="A232" s="9"/>
      <c r="B232" s="80"/>
      <c r="C232" s="81"/>
      <c r="D232" s="81"/>
      <c r="E232" s="81"/>
      <c r="F232" s="81"/>
      <c r="G232" s="81"/>
      <c r="H232" s="81"/>
      <c r="I232" s="82"/>
      <c r="J232" s="81"/>
      <c r="K232" s="81"/>
      <c r="L232" s="81"/>
      <c r="M232" s="81"/>
      <c r="N232" s="81"/>
      <c r="O232" s="81"/>
      <c r="P232" s="81"/>
      <c r="Q232" s="82"/>
      <c r="R232" s="38">
        <v>6</v>
      </c>
      <c r="S232" s="36" t="s">
        <v>295</v>
      </c>
      <c r="T232" s="37"/>
      <c r="U232" s="37"/>
      <c r="V232" s="37"/>
      <c r="W232" s="37"/>
      <c r="X232" s="37"/>
      <c r="Y232" s="37"/>
      <c r="Z232" s="37"/>
      <c r="AA232" s="37"/>
      <c r="AB232" s="37"/>
      <c r="AC232" s="37"/>
      <c r="AD232" s="37"/>
      <c r="AE232" s="38"/>
      <c r="AF232" s="284"/>
      <c r="AG232" s="286"/>
      <c r="AH232" s="284"/>
      <c r="AI232" s="286"/>
      <c r="AJ232" s="284"/>
      <c r="AK232" s="286"/>
      <c r="AL232" s="284"/>
      <c r="AM232" s="286"/>
      <c r="AN232" s="284" t="s">
        <v>130</v>
      </c>
      <c r="AO232" s="286"/>
      <c r="AP232" s="284"/>
      <c r="AQ232" s="286"/>
      <c r="AR232" s="284"/>
      <c r="AS232" s="286"/>
      <c r="AT232" s="284" t="s">
        <v>131</v>
      </c>
      <c r="AU232" s="285"/>
      <c r="AV232" s="285"/>
      <c r="AW232" s="285"/>
      <c r="AX232" s="285"/>
      <c r="AY232" s="285"/>
      <c r="AZ232" s="285"/>
      <c r="BA232" s="286"/>
      <c r="BB232" s="287" t="s">
        <v>132</v>
      </c>
      <c r="BC232" s="287"/>
      <c r="BD232" s="287"/>
      <c r="BE232" s="287"/>
      <c r="BF232" s="287"/>
      <c r="BG232" s="287"/>
      <c r="BH232" s="287"/>
      <c r="BI232" s="287"/>
      <c r="BJ232" s="288"/>
      <c r="BK232" s="288"/>
      <c r="BL232" s="288"/>
      <c r="BM232" s="288"/>
      <c r="BN232" s="288"/>
      <c r="BO232" s="288"/>
      <c r="BP232" s="288"/>
      <c r="BQ232" s="288"/>
      <c r="BR232" s="288"/>
      <c r="BS232" s="10"/>
    </row>
    <row r="233" spans="1:72" s="8" customFormat="1">
      <c r="A233" s="9"/>
      <c r="B233" s="80"/>
      <c r="C233" s="81"/>
      <c r="D233" s="81"/>
      <c r="E233" s="81"/>
      <c r="F233" s="81"/>
      <c r="G233" s="81"/>
      <c r="H233" s="81"/>
      <c r="I233" s="82"/>
      <c r="J233" s="81"/>
      <c r="K233" s="81"/>
      <c r="L233" s="81"/>
      <c r="M233" s="81"/>
      <c r="N233" s="81"/>
      <c r="O233" s="81"/>
      <c r="P233" s="81"/>
      <c r="Q233" s="82"/>
      <c r="R233" s="38">
        <v>7</v>
      </c>
      <c r="S233" s="36" t="s">
        <v>296</v>
      </c>
      <c r="T233" s="37"/>
      <c r="U233" s="37"/>
      <c r="V233" s="37"/>
      <c r="W233" s="37"/>
      <c r="X233" s="37"/>
      <c r="Y233" s="37"/>
      <c r="Z233" s="37"/>
      <c r="AA233" s="37"/>
      <c r="AB233" s="37"/>
      <c r="AC233" s="37"/>
      <c r="AD233" s="37"/>
      <c r="AE233" s="38"/>
      <c r="AF233" s="284"/>
      <c r="AG233" s="286"/>
      <c r="AH233" s="284"/>
      <c r="AI233" s="286"/>
      <c r="AJ233" s="284"/>
      <c r="AK233" s="286"/>
      <c r="AL233" s="284"/>
      <c r="AM233" s="286"/>
      <c r="AN233" s="284" t="s">
        <v>130</v>
      </c>
      <c r="AO233" s="286"/>
      <c r="AP233" s="284"/>
      <c r="AQ233" s="286"/>
      <c r="AR233" s="284"/>
      <c r="AS233" s="286"/>
      <c r="AT233" s="284" t="s">
        <v>131</v>
      </c>
      <c r="AU233" s="285"/>
      <c r="AV233" s="285"/>
      <c r="AW233" s="285"/>
      <c r="AX233" s="285"/>
      <c r="AY233" s="285"/>
      <c r="AZ233" s="285"/>
      <c r="BA233" s="286"/>
      <c r="BB233" s="287" t="s">
        <v>132</v>
      </c>
      <c r="BC233" s="287"/>
      <c r="BD233" s="287"/>
      <c r="BE233" s="287"/>
      <c r="BF233" s="287"/>
      <c r="BG233" s="287"/>
      <c r="BH233" s="287"/>
      <c r="BI233" s="287"/>
      <c r="BJ233" s="288"/>
      <c r="BK233" s="288"/>
      <c r="BL233" s="288"/>
      <c r="BM233" s="288"/>
      <c r="BN233" s="288"/>
      <c r="BO233" s="288"/>
      <c r="BP233" s="288"/>
      <c r="BQ233" s="288"/>
      <c r="BR233" s="288"/>
      <c r="BS233" s="10"/>
    </row>
    <row r="234" spans="1:72" s="8" customFormat="1">
      <c r="A234" s="9"/>
      <c r="B234" s="80"/>
      <c r="C234" s="81"/>
      <c r="D234" s="81"/>
      <c r="E234" s="81"/>
      <c r="F234" s="81"/>
      <c r="G234" s="81"/>
      <c r="H234" s="81"/>
      <c r="I234" s="82"/>
      <c r="J234" s="81"/>
      <c r="K234" s="81"/>
      <c r="L234" s="81"/>
      <c r="M234" s="81"/>
      <c r="N234" s="81"/>
      <c r="O234" s="81"/>
      <c r="P234" s="81"/>
      <c r="Q234" s="82"/>
      <c r="R234" s="38">
        <v>8</v>
      </c>
      <c r="S234" s="36" t="s">
        <v>297</v>
      </c>
      <c r="T234" s="37"/>
      <c r="U234" s="37"/>
      <c r="V234" s="37"/>
      <c r="W234" s="37"/>
      <c r="X234" s="37"/>
      <c r="Y234" s="37"/>
      <c r="Z234" s="37"/>
      <c r="AA234" s="37"/>
      <c r="AB234" s="37"/>
      <c r="AC234" s="37"/>
      <c r="AD234" s="37"/>
      <c r="AE234" s="38"/>
      <c r="AF234" s="284"/>
      <c r="AG234" s="286"/>
      <c r="AH234" s="284"/>
      <c r="AI234" s="286"/>
      <c r="AJ234" s="284"/>
      <c r="AK234" s="286"/>
      <c r="AL234" s="284"/>
      <c r="AM234" s="286"/>
      <c r="AN234" s="284" t="s">
        <v>130</v>
      </c>
      <c r="AO234" s="286"/>
      <c r="AP234" s="284"/>
      <c r="AQ234" s="286"/>
      <c r="AR234" s="284"/>
      <c r="AS234" s="286"/>
      <c r="AT234" s="284" t="s">
        <v>131</v>
      </c>
      <c r="AU234" s="285"/>
      <c r="AV234" s="285"/>
      <c r="AW234" s="285"/>
      <c r="AX234" s="285"/>
      <c r="AY234" s="285"/>
      <c r="AZ234" s="285"/>
      <c r="BA234" s="286"/>
      <c r="BB234" s="287" t="s">
        <v>132</v>
      </c>
      <c r="BC234" s="287"/>
      <c r="BD234" s="287"/>
      <c r="BE234" s="287"/>
      <c r="BF234" s="287"/>
      <c r="BG234" s="287"/>
      <c r="BH234" s="287"/>
      <c r="BI234" s="287"/>
      <c r="BJ234" s="288"/>
      <c r="BK234" s="288"/>
      <c r="BL234" s="288"/>
      <c r="BM234" s="288"/>
      <c r="BN234" s="288"/>
      <c r="BO234" s="288"/>
      <c r="BP234" s="288"/>
      <c r="BQ234" s="288"/>
      <c r="BR234" s="288"/>
      <c r="BS234" s="10"/>
    </row>
    <row r="235" spans="1:72" s="8" customFormat="1">
      <c r="A235" s="9"/>
      <c r="B235" s="80"/>
      <c r="C235" s="81"/>
      <c r="D235" s="81"/>
      <c r="E235" s="81"/>
      <c r="F235" s="81"/>
      <c r="G235" s="81"/>
      <c r="H235" s="81"/>
      <c r="I235" s="82"/>
      <c r="J235" s="81"/>
      <c r="K235" s="81"/>
      <c r="L235" s="81"/>
      <c r="M235" s="81"/>
      <c r="N235" s="81"/>
      <c r="O235" s="81"/>
      <c r="P235" s="81"/>
      <c r="Q235" s="82"/>
      <c r="R235" s="38">
        <v>9</v>
      </c>
      <c r="S235" s="36" t="s">
        <v>298</v>
      </c>
      <c r="T235" s="37"/>
      <c r="U235" s="37"/>
      <c r="V235" s="37"/>
      <c r="W235" s="37"/>
      <c r="X235" s="37"/>
      <c r="Y235" s="37"/>
      <c r="Z235" s="37"/>
      <c r="AA235" s="37"/>
      <c r="AB235" s="37"/>
      <c r="AC235" s="37"/>
      <c r="AD235" s="37"/>
      <c r="AE235" s="38"/>
      <c r="AF235" s="284"/>
      <c r="AG235" s="286"/>
      <c r="AH235" s="284"/>
      <c r="AI235" s="286"/>
      <c r="AJ235" s="284"/>
      <c r="AK235" s="286"/>
      <c r="AL235" s="284"/>
      <c r="AM235" s="286"/>
      <c r="AN235" s="284" t="s">
        <v>130</v>
      </c>
      <c r="AO235" s="286"/>
      <c r="AP235" s="284"/>
      <c r="AQ235" s="286"/>
      <c r="AR235" s="284"/>
      <c r="AS235" s="286"/>
      <c r="AT235" s="284" t="s">
        <v>131</v>
      </c>
      <c r="AU235" s="285"/>
      <c r="AV235" s="285"/>
      <c r="AW235" s="285"/>
      <c r="AX235" s="285"/>
      <c r="AY235" s="285"/>
      <c r="AZ235" s="285"/>
      <c r="BA235" s="286"/>
      <c r="BB235" s="287" t="s">
        <v>132</v>
      </c>
      <c r="BC235" s="287"/>
      <c r="BD235" s="287"/>
      <c r="BE235" s="287"/>
      <c r="BF235" s="287"/>
      <c r="BG235" s="287"/>
      <c r="BH235" s="287"/>
      <c r="BI235" s="287"/>
      <c r="BJ235" s="288"/>
      <c r="BK235" s="288"/>
      <c r="BL235" s="288"/>
      <c r="BM235" s="288"/>
      <c r="BN235" s="288"/>
      <c r="BO235" s="288"/>
      <c r="BP235" s="288"/>
      <c r="BQ235" s="288"/>
      <c r="BR235" s="288"/>
      <c r="BS235" s="10"/>
    </row>
    <row r="236" spans="1:72" s="8" customFormat="1">
      <c r="A236" s="9"/>
      <c r="B236" s="83"/>
      <c r="C236" s="81"/>
      <c r="D236" s="81"/>
      <c r="E236" s="81"/>
      <c r="F236" s="81"/>
      <c r="G236" s="81"/>
      <c r="H236" s="81"/>
      <c r="I236" s="81"/>
      <c r="J236" s="83"/>
      <c r="K236" s="81"/>
      <c r="L236" s="81"/>
      <c r="M236" s="81"/>
      <c r="N236" s="81"/>
      <c r="O236" s="81"/>
      <c r="P236" s="81"/>
      <c r="Q236" s="82"/>
      <c r="R236" s="38">
        <v>10</v>
      </c>
      <c r="S236" s="36" t="s">
        <v>218</v>
      </c>
      <c r="T236" s="37"/>
      <c r="U236" s="37"/>
      <c r="V236" s="37"/>
      <c r="W236" s="37"/>
      <c r="X236" s="37"/>
      <c r="Y236" s="37"/>
      <c r="Z236" s="37"/>
      <c r="AA236" s="37"/>
      <c r="AB236" s="37"/>
      <c r="AC236" s="37"/>
      <c r="AD236" s="37"/>
      <c r="AE236" s="38"/>
      <c r="AF236" s="284"/>
      <c r="AG236" s="286"/>
      <c r="AH236" s="284"/>
      <c r="AI236" s="286"/>
      <c r="AJ236" s="284"/>
      <c r="AK236" s="286"/>
      <c r="AL236" s="284"/>
      <c r="AM236" s="286"/>
      <c r="AN236" s="284" t="s">
        <v>130</v>
      </c>
      <c r="AO236" s="286"/>
      <c r="AP236" s="284"/>
      <c r="AQ236" s="286"/>
      <c r="AR236" s="284"/>
      <c r="AS236" s="286"/>
      <c r="AT236" s="284" t="s">
        <v>201</v>
      </c>
      <c r="AU236" s="285"/>
      <c r="AV236" s="285"/>
      <c r="AW236" s="285"/>
      <c r="AX236" s="285"/>
      <c r="AY236" s="285"/>
      <c r="AZ236" s="285"/>
      <c r="BA236" s="286"/>
      <c r="BB236" s="287"/>
      <c r="BC236" s="287"/>
      <c r="BD236" s="287"/>
      <c r="BE236" s="287"/>
      <c r="BF236" s="287"/>
      <c r="BG236" s="287"/>
      <c r="BH236" s="287"/>
      <c r="BI236" s="287"/>
      <c r="BJ236" s="288"/>
      <c r="BK236" s="288"/>
      <c r="BL236" s="288"/>
      <c r="BM236" s="288"/>
      <c r="BN236" s="288"/>
      <c r="BO236" s="288"/>
      <c r="BP236" s="288"/>
      <c r="BQ236" s="288"/>
      <c r="BR236" s="288"/>
      <c r="BS236" s="10"/>
      <c r="BT236" s="11"/>
    </row>
    <row r="237" spans="1:72" s="8" customFormat="1">
      <c r="A237" s="9"/>
      <c r="B237" s="80"/>
      <c r="C237" s="81"/>
      <c r="D237" s="81"/>
      <c r="E237" s="81"/>
      <c r="F237" s="81"/>
      <c r="G237" s="81"/>
      <c r="H237" s="81"/>
      <c r="I237" s="82"/>
      <c r="J237" s="84"/>
      <c r="K237" s="84"/>
      <c r="L237" s="84"/>
      <c r="M237" s="84"/>
      <c r="N237" s="84"/>
      <c r="O237" s="84"/>
      <c r="P237" s="84"/>
      <c r="Q237" s="85"/>
      <c r="R237" s="38">
        <v>11</v>
      </c>
      <c r="S237" s="36" t="s">
        <v>219</v>
      </c>
      <c r="T237" s="37"/>
      <c r="U237" s="37"/>
      <c r="V237" s="37"/>
      <c r="W237" s="37"/>
      <c r="X237" s="37"/>
      <c r="Y237" s="37"/>
      <c r="Z237" s="37"/>
      <c r="AA237" s="37"/>
      <c r="AB237" s="37"/>
      <c r="AC237" s="37"/>
      <c r="AD237" s="37"/>
      <c r="AE237" s="38"/>
      <c r="AF237" s="284"/>
      <c r="AG237" s="286"/>
      <c r="AH237" s="284"/>
      <c r="AI237" s="286"/>
      <c r="AJ237" s="284"/>
      <c r="AK237" s="286"/>
      <c r="AL237" s="284"/>
      <c r="AM237" s="286"/>
      <c r="AN237" s="284"/>
      <c r="AO237" s="286"/>
      <c r="AP237" s="284"/>
      <c r="AQ237" s="286"/>
      <c r="AR237" s="284" t="s">
        <v>130</v>
      </c>
      <c r="AS237" s="286"/>
      <c r="AT237" s="284" t="s">
        <v>131</v>
      </c>
      <c r="AU237" s="285"/>
      <c r="AV237" s="285"/>
      <c r="AW237" s="285"/>
      <c r="AX237" s="285"/>
      <c r="AY237" s="285"/>
      <c r="AZ237" s="285"/>
      <c r="BA237" s="286"/>
      <c r="BB237" s="287" t="s">
        <v>203</v>
      </c>
      <c r="BC237" s="287"/>
      <c r="BD237" s="287"/>
      <c r="BE237" s="287"/>
      <c r="BF237" s="287"/>
      <c r="BG237" s="287"/>
      <c r="BH237" s="287"/>
      <c r="BI237" s="287"/>
      <c r="BJ237" s="288"/>
      <c r="BK237" s="288"/>
      <c r="BL237" s="288"/>
      <c r="BM237" s="288"/>
      <c r="BN237" s="288"/>
      <c r="BO237" s="288"/>
      <c r="BP237" s="288"/>
      <c r="BQ237" s="288"/>
      <c r="BR237" s="288"/>
      <c r="BS237" s="10"/>
    </row>
    <row r="238" spans="1:72" s="8" customFormat="1">
      <c r="A238" s="9"/>
      <c r="B238" s="80"/>
      <c r="C238" s="81"/>
      <c r="D238" s="81"/>
      <c r="E238" s="81"/>
      <c r="F238" s="81"/>
      <c r="G238" s="81"/>
      <c r="H238" s="81"/>
      <c r="I238" s="82"/>
      <c r="J238" s="81" t="s">
        <v>319</v>
      </c>
      <c r="K238" s="81"/>
      <c r="L238" s="81"/>
      <c r="M238" s="81"/>
      <c r="N238" s="81"/>
      <c r="O238" s="81"/>
      <c r="P238" s="81"/>
      <c r="Q238" s="82"/>
      <c r="R238" s="38">
        <v>1</v>
      </c>
      <c r="S238" s="36" t="s">
        <v>320</v>
      </c>
      <c r="T238" s="37"/>
      <c r="U238" s="37"/>
      <c r="V238" s="37"/>
      <c r="W238" s="37"/>
      <c r="X238" s="37"/>
      <c r="Y238" s="37"/>
      <c r="Z238" s="37"/>
      <c r="AA238" s="37"/>
      <c r="AB238" s="37"/>
      <c r="AC238" s="37"/>
      <c r="AD238" s="37"/>
      <c r="AE238" s="38"/>
      <c r="AF238" s="284"/>
      <c r="AG238" s="286"/>
      <c r="AH238" s="284"/>
      <c r="AI238" s="286"/>
      <c r="AJ238" s="284" t="s">
        <v>130</v>
      </c>
      <c r="AK238" s="286"/>
      <c r="AL238" s="284"/>
      <c r="AM238" s="286"/>
      <c r="AN238" s="284"/>
      <c r="AO238" s="286"/>
      <c r="AP238" s="284"/>
      <c r="AQ238" s="286"/>
      <c r="AR238" s="284"/>
      <c r="AS238" s="286"/>
      <c r="AT238" s="284" t="s">
        <v>131</v>
      </c>
      <c r="AU238" s="285"/>
      <c r="AV238" s="285"/>
      <c r="AW238" s="285"/>
      <c r="AX238" s="285"/>
      <c r="AY238" s="285"/>
      <c r="AZ238" s="285"/>
      <c r="BA238" s="286"/>
      <c r="BB238" s="284" t="s">
        <v>205</v>
      </c>
      <c r="BC238" s="285"/>
      <c r="BD238" s="285"/>
      <c r="BE238" s="285"/>
      <c r="BF238" s="285"/>
      <c r="BG238" s="285"/>
      <c r="BH238" s="285"/>
      <c r="BI238" s="286"/>
      <c r="BJ238" s="288"/>
      <c r="BK238" s="288"/>
      <c r="BL238" s="288"/>
      <c r="BM238" s="288"/>
      <c r="BN238" s="288"/>
      <c r="BO238" s="288"/>
      <c r="BP238" s="288"/>
      <c r="BQ238" s="288"/>
      <c r="BR238" s="288"/>
      <c r="BS238" s="10"/>
    </row>
    <row r="239" spans="1:72" s="8" customFormat="1">
      <c r="A239" s="9"/>
      <c r="B239" s="80"/>
      <c r="C239" s="81"/>
      <c r="D239" s="81"/>
      <c r="E239" s="81"/>
      <c r="F239" s="81"/>
      <c r="G239" s="81"/>
      <c r="H239" s="81"/>
      <c r="I239" s="82"/>
      <c r="J239" s="81"/>
      <c r="K239" s="81"/>
      <c r="L239" s="81"/>
      <c r="M239" s="81"/>
      <c r="N239" s="81"/>
      <c r="O239" s="81"/>
      <c r="P239" s="81"/>
      <c r="Q239" s="82"/>
      <c r="R239" s="38">
        <v>2</v>
      </c>
      <c r="S239" s="36" t="s">
        <v>321</v>
      </c>
      <c r="T239" s="37"/>
      <c r="U239" s="37"/>
      <c r="V239" s="37"/>
      <c r="W239" s="37"/>
      <c r="X239" s="37"/>
      <c r="Y239" s="37"/>
      <c r="Z239" s="37"/>
      <c r="AA239" s="37"/>
      <c r="AB239" s="37"/>
      <c r="AC239" s="37"/>
      <c r="AD239" s="37"/>
      <c r="AE239" s="38"/>
      <c r="AF239" s="284"/>
      <c r="AG239" s="286"/>
      <c r="AH239" s="284"/>
      <c r="AI239" s="286"/>
      <c r="AJ239" s="284" t="s">
        <v>130</v>
      </c>
      <c r="AK239" s="286"/>
      <c r="AL239" s="284"/>
      <c r="AM239" s="286"/>
      <c r="AN239" s="284"/>
      <c r="AO239" s="286"/>
      <c r="AP239" s="284"/>
      <c r="AQ239" s="286"/>
      <c r="AR239" s="284"/>
      <c r="AS239" s="286"/>
      <c r="AT239" s="284" t="s">
        <v>131</v>
      </c>
      <c r="AU239" s="285"/>
      <c r="AV239" s="285"/>
      <c r="AW239" s="285"/>
      <c r="AX239" s="285"/>
      <c r="AY239" s="285"/>
      <c r="AZ239" s="285"/>
      <c r="BA239" s="286"/>
      <c r="BB239" s="284" t="s">
        <v>224</v>
      </c>
      <c r="BC239" s="285"/>
      <c r="BD239" s="285"/>
      <c r="BE239" s="285"/>
      <c r="BF239" s="285"/>
      <c r="BG239" s="285"/>
      <c r="BH239" s="285"/>
      <c r="BI239" s="286"/>
      <c r="BJ239" s="288"/>
      <c r="BK239" s="288"/>
      <c r="BL239" s="288"/>
      <c r="BM239" s="288"/>
      <c r="BN239" s="288"/>
      <c r="BO239" s="288"/>
      <c r="BP239" s="288"/>
      <c r="BQ239" s="288"/>
      <c r="BR239" s="288"/>
      <c r="BS239" s="10"/>
    </row>
    <row r="240" spans="1:72" s="8" customFormat="1">
      <c r="A240" s="9"/>
      <c r="B240" s="80"/>
      <c r="C240" s="81"/>
      <c r="D240" s="81"/>
      <c r="E240" s="81"/>
      <c r="F240" s="81"/>
      <c r="G240" s="81"/>
      <c r="H240" s="81"/>
      <c r="I240" s="82"/>
      <c r="J240" s="81"/>
      <c r="K240" s="81"/>
      <c r="L240" s="81"/>
      <c r="M240" s="81"/>
      <c r="N240" s="81"/>
      <c r="O240" s="81"/>
      <c r="P240" s="81"/>
      <c r="Q240" s="82"/>
      <c r="R240" s="38">
        <v>3</v>
      </c>
      <c r="S240" s="36" t="s">
        <v>322</v>
      </c>
      <c r="T240" s="37"/>
      <c r="U240" s="37"/>
      <c r="V240" s="37"/>
      <c r="W240" s="37"/>
      <c r="X240" s="37"/>
      <c r="Y240" s="37"/>
      <c r="Z240" s="37"/>
      <c r="AA240" s="37"/>
      <c r="AB240" s="37"/>
      <c r="AC240" s="37"/>
      <c r="AD240" s="37"/>
      <c r="AE240" s="38"/>
      <c r="AF240" s="284"/>
      <c r="AG240" s="286"/>
      <c r="AH240" s="284"/>
      <c r="AI240" s="286"/>
      <c r="AJ240" s="284"/>
      <c r="AK240" s="286"/>
      <c r="AL240" s="284"/>
      <c r="AM240" s="286"/>
      <c r="AN240" s="284" t="s">
        <v>130</v>
      </c>
      <c r="AO240" s="286"/>
      <c r="AP240" s="284"/>
      <c r="AQ240" s="286"/>
      <c r="AR240" s="284"/>
      <c r="AS240" s="286"/>
      <c r="AT240" s="284" t="s">
        <v>131</v>
      </c>
      <c r="AU240" s="285"/>
      <c r="AV240" s="285"/>
      <c r="AW240" s="285"/>
      <c r="AX240" s="285"/>
      <c r="AY240" s="285"/>
      <c r="AZ240" s="285"/>
      <c r="BA240" s="286"/>
      <c r="BB240" s="284" t="s">
        <v>323</v>
      </c>
      <c r="BC240" s="285"/>
      <c r="BD240" s="285"/>
      <c r="BE240" s="285"/>
      <c r="BF240" s="285"/>
      <c r="BG240" s="285"/>
      <c r="BH240" s="285"/>
      <c r="BI240" s="286"/>
      <c r="BJ240" s="288"/>
      <c r="BK240" s="288"/>
      <c r="BL240" s="288"/>
      <c r="BM240" s="288"/>
      <c r="BN240" s="288"/>
      <c r="BO240" s="288"/>
      <c r="BP240" s="288"/>
      <c r="BQ240" s="288"/>
      <c r="BR240" s="288"/>
      <c r="BS240" s="10"/>
    </row>
    <row r="241" spans="1:72" s="8" customFormat="1">
      <c r="A241" s="9"/>
      <c r="B241" s="87"/>
      <c r="C241" s="84"/>
      <c r="D241" s="84"/>
      <c r="E241" s="84"/>
      <c r="F241" s="84"/>
      <c r="G241" s="84"/>
      <c r="H241" s="84"/>
      <c r="I241" s="85"/>
      <c r="J241" s="86"/>
      <c r="K241" s="84"/>
      <c r="L241" s="84"/>
      <c r="M241" s="84"/>
      <c r="N241" s="84"/>
      <c r="O241" s="84"/>
      <c r="P241" s="84"/>
      <c r="Q241" s="85"/>
      <c r="R241" s="38">
        <v>4</v>
      </c>
      <c r="S241" s="36" t="s">
        <v>324</v>
      </c>
      <c r="T241" s="37"/>
      <c r="U241" s="37"/>
      <c r="V241" s="37"/>
      <c r="W241" s="37"/>
      <c r="X241" s="37"/>
      <c r="Y241" s="37"/>
      <c r="Z241" s="37"/>
      <c r="AA241" s="37"/>
      <c r="AB241" s="37"/>
      <c r="AC241" s="37"/>
      <c r="AD241" s="37"/>
      <c r="AE241" s="38"/>
      <c r="AF241" s="284"/>
      <c r="AG241" s="286"/>
      <c r="AH241" s="284"/>
      <c r="AI241" s="286"/>
      <c r="AJ241" s="284"/>
      <c r="AK241" s="286"/>
      <c r="AL241" s="284"/>
      <c r="AM241" s="286"/>
      <c r="AN241" s="284" t="s">
        <v>130</v>
      </c>
      <c r="AO241" s="286"/>
      <c r="AP241" s="284"/>
      <c r="AQ241" s="286"/>
      <c r="AR241" s="284"/>
      <c r="AS241" s="286"/>
      <c r="AT241" s="284" t="s">
        <v>228</v>
      </c>
      <c r="AU241" s="285"/>
      <c r="AV241" s="285"/>
      <c r="AW241" s="285"/>
      <c r="AX241" s="285"/>
      <c r="AY241" s="285"/>
      <c r="AZ241" s="285"/>
      <c r="BA241" s="286"/>
      <c r="BB241" s="284" t="s">
        <v>201</v>
      </c>
      <c r="BC241" s="285"/>
      <c r="BD241" s="285"/>
      <c r="BE241" s="285"/>
      <c r="BF241" s="285"/>
      <c r="BG241" s="285"/>
      <c r="BH241" s="285"/>
      <c r="BI241" s="286"/>
      <c r="BJ241" s="288"/>
      <c r="BK241" s="288"/>
      <c r="BL241" s="288"/>
      <c r="BM241" s="288"/>
      <c r="BN241" s="288"/>
      <c r="BO241" s="288"/>
      <c r="BP241" s="288"/>
      <c r="BQ241" s="288"/>
      <c r="BR241" s="288"/>
      <c r="BS241" s="10"/>
    </row>
    <row r="242" spans="1:72" s="8" customFormat="1">
      <c r="A242" s="9"/>
      <c r="B242" s="83" t="s">
        <v>325</v>
      </c>
      <c r="C242" s="81"/>
      <c r="D242" s="81"/>
      <c r="E242" s="81"/>
      <c r="F242" s="81"/>
      <c r="G242" s="81"/>
      <c r="H242" s="81"/>
      <c r="I242" s="81"/>
      <c r="J242" s="83" t="s">
        <v>326</v>
      </c>
      <c r="K242" s="81"/>
      <c r="L242" s="81"/>
      <c r="M242" s="81"/>
      <c r="N242" s="81"/>
      <c r="O242" s="81"/>
      <c r="P242" s="81"/>
      <c r="Q242" s="82"/>
      <c r="R242" s="38">
        <v>1</v>
      </c>
      <c r="S242" s="36" t="s">
        <v>327</v>
      </c>
      <c r="T242" s="37"/>
      <c r="U242" s="37"/>
      <c r="V242" s="37"/>
      <c r="W242" s="37"/>
      <c r="X242" s="37"/>
      <c r="Y242" s="37"/>
      <c r="Z242" s="37"/>
      <c r="AA242" s="37"/>
      <c r="AB242" s="37"/>
      <c r="AC242" s="37"/>
      <c r="AD242" s="37"/>
      <c r="AE242" s="38"/>
      <c r="AF242" s="284"/>
      <c r="AG242" s="286"/>
      <c r="AH242" s="284"/>
      <c r="AI242" s="286"/>
      <c r="AJ242" s="284"/>
      <c r="AK242" s="286"/>
      <c r="AL242" s="284"/>
      <c r="AM242" s="286"/>
      <c r="AN242" s="284" t="s">
        <v>130</v>
      </c>
      <c r="AO242" s="286"/>
      <c r="AP242" s="284"/>
      <c r="AQ242" s="286"/>
      <c r="AR242" s="284"/>
      <c r="AS242" s="286"/>
      <c r="AT242" s="284" t="s">
        <v>131</v>
      </c>
      <c r="AU242" s="285"/>
      <c r="AV242" s="285"/>
      <c r="AW242" s="285"/>
      <c r="AX242" s="285"/>
      <c r="AY242" s="285"/>
      <c r="AZ242" s="285"/>
      <c r="BA242" s="286"/>
      <c r="BB242" s="287" t="s">
        <v>132</v>
      </c>
      <c r="BC242" s="287"/>
      <c r="BD242" s="287"/>
      <c r="BE242" s="287"/>
      <c r="BF242" s="287"/>
      <c r="BG242" s="287"/>
      <c r="BH242" s="287"/>
      <c r="BI242" s="287"/>
      <c r="BJ242" s="288" t="s">
        <v>328</v>
      </c>
      <c r="BK242" s="288"/>
      <c r="BL242" s="288"/>
      <c r="BM242" s="288"/>
      <c r="BN242" s="288"/>
      <c r="BO242" s="288"/>
      <c r="BP242" s="288"/>
      <c r="BQ242" s="288"/>
      <c r="BR242" s="288"/>
      <c r="BS242" s="10"/>
      <c r="BT242" s="11"/>
    </row>
    <row r="243" spans="1:72" s="8" customFormat="1">
      <c r="A243" s="9"/>
      <c r="B243" s="80"/>
      <c r="C243" s="81"/>
      <c r="D243" s="81"/>
      <c r="E243" s="81"/>
      <c r="F243" s="81"/>
      <c r="G243" s="81"/>
      <c r="H243" s="81"/>
      <c r="I243" s="82"/>
      <c r="J243" s="81"/>
      <c r="K243" s="81"/>
      <c r="L243" s="81"/>
      <c r="M243" s="81"/>
      <c r="N243" s="81"/>
      <c r="O243" s="81"/>
      <c r="P243" s="81"/>
      <c r="Q243" s="82"/>
      <c r="R243" s="38">
        <v>2</v>
      </c>
      <c r="S243" s="36" t="s">
        <v>133</v>
      </c>
      <c r="T243" s="37"/>
      <c r="U243" s="37"/>
      <c r="V243" s="37"/>
      <c r="W243" s="37"/>
      <c r="X243" s="37"/>
      <c r="Y243" s="37"/>
      <c r="Z243" s="37"/>
      <c r="AA243" s="37"/>
      <c r="AB243" s="37"/>
      <c r="AC243" s="37"/>
      <c r="AD243" s="37"/>
      <c r="AE243" s="38"/>
      <c r="AF243" s="284"/>
      <c r="AG243" s="286"/>
      <c r="AH243" s="284"/>
      <c r="AI243" s="286"/>
      <c r="AJ243" s="284"/>
      <c r="AK243" s="286"/>
      <c r="AL243" s="284"/>
      <c r="AM243" s="286"/>
      <c r="AN243" s="284" t="s">
        <v>130</v>
      </c>
      <c r="AO243" s="286"/>
      <c r="AP243" s="284"/>
      <c r="AQ243" s="286"/>
      <c r="AR243" s="284"/>
      <c r="AS243" s="286"/>
      <c r="AT243" s="284" t="s">
        <v>131</v>
      </c>
      <c r="AU243" s="285"/>
      <c r="AV243" s="285"/>
      <c r="AW243" s="285"/>
      <c r="AX243" s="285"/>
      <c r="AY243" s="285"/>
      <c r="AZ243" s="285"/>
      <c r="BA243" s="286"/>
      <c r="BB243" s="284" t="s">
        <v>134</v>
      </c>
      <c r="BC243" s="285"/>
      <c r="BD243" s="285"/>
      <c r="BE243" s="285"/>
      <c r="BF243" s="285"/>
      <c r="BG243" s="285"/>
      <c r="BH243" s="285"/>
      <c r="BI243" s="286"/>
      <c r="BJ243" s="288"/>
      <c r="BK243" s="288"/>
      <c r="BL243" s="288"/>
      <c r="BM243" s="288"/>
      <c r="BN243" s="288"/>
      <c r="BO243" s="288"/>
      <c r="BP243" s="288"/>
      <c r="BQ243" s="288"/>
      <c r="BR243" s="288"/>
      <c r="BS243" s="10"/>
    </row>
    <row r="244" spans="1:72" s="8" customFormat="1">
      <c r="A244" s="9"/>
      <c r="B244" s="80"/>
      <c r="C244" s="81"/>
      <c r="D244" s="81"/>
      <c r="E244" s="81"/>
      <c r="F244" s="81"/>
      <c r="G244" s="81"/>
      <c r="H244" s="81"/>
      <c r="I244" s="82"/>
      <c r="J244" s="81"/>
      <c r="K244" s="81"/>
      <c r="L244" s="81"/>
      <c r="M244" s="81"/>
      <c r="N244" s="81"/>
      <c r="O244" s="81"/>
      <c r="P244" s="81"/>
      <c r="Q244" s="82"/>
      <c r="R244" s="38">
        <v>3</v>
      </c>
      <c r="S244" s="36" t="s">
        <v>135</v>
      </c>
      <c r="T244" s="37"/>
      <c r="U244" s="37"/>
      <c r="V244" s="37"/>
      <c r="W244" s="37"/>
      <c r="X244" s="37"/>
      <c r="Y244" s="37"/>
      <c r="Z244" s="37"/>
      <c r="AA244" s="37"/>
      <c r="AB244" s="37"/>
      <c r="AC244" s="37"/>
      <c r="AD244" s="37"/>
      <c r="AE244" s="38"/>
      <c r="AF244" s="284"/>
      <c r="AG244" s="286"/>
      <c r="AH244" s="284"/>
      <c r="AI244" s="286"/>
      <c r="AJ244" s="284"/>
      <c r="AK244" s="286"/>
      <c r="AL244" s="284"/>
      <c r="AM244" s="286"/>
      <c r="AN244" s="284" t="s">
        <v>130</v>
      </c>
      <c r="AO244" s="286"/>
      <c r="AP244" s="284"/>
      <c r="AQ244" s="286"/>
      <c r="AR244" s="284"/>
      <c r="AS244" s="286"/>
      <c r="AT244" s="284" t="s">
        <v>131</v>
      </c>
      <c r="AU244" s="285"/>
      <c r="AV244" s="285"/>
      <c r="AW244" s="285"/>
      <c r="AX244" s="285"/>
      <c r="AY244" s="285"/>
      <c r="AZ244" s="285"/>
      <c r="BA244" s="286"/>
      <c r="BB244" s="284" t="s">
        <v>136</v>
      </c>
      <c r="BC244" s="285"/>
      <c r="BD244" s="285"/>
      <c r="BE244" s="285"/>
      <c r="BF244" s="285"/>
      <c r="BG244" s="285"/>
      <c r="BH244" s="285"/>
      <c r="BI244" s="286"/>
      <c r="BJ244" s="288"/>
      <c r="BK244" s="288"/>
      <c r="BL244" s="288"/>
      <c r="BM244" s="288"/>
      <c r="BN244" s="288"/>
      <c r="BO244" s="288"/>
      <c r="BP244" s="288"/>
      <c r="BQ244" s="288"/>
      <c r="BR244" s="288"/>
      <c r="BS244" s="10"/>
    </row>
    <row r="245" spans="1:72" s="8" customFormat="1">
      <c r="A245" s="9"/>
      <c r="B245" s="80"/>
      <c r="C245" s="81"/>
      <c r="D245" s="81"/>
      <c r="E245" s="81"/>
      <c r="F245" s="81"/>
      <c r="G245" s="81"/>
      <c r="H245" s="81"/>
      <c r="I245" s="82"/>
      <c r="J245" s="81"/>
      <c r="K245" s="81"/>
      <c r="L245" s="81"/>
      <c r="M245" s="81"/>
      <c r="N245" s="81"/>
      <c r="O245" s="81"/>
      <c r="P245" s="81"/>
      <c r="Q245" s="82"/>
      <c r="R245" s="38">
        <v>4</v>
      </c>
      <c r="S245" s="36" t="s">
        <v>137</v>
      </c>
      <c r="T245" s="37"/>
      <c r="U245" s="37"/>
      <c r="V245" s="37"/>
      <c r="W245" s="37"/>
      <c r="X245" s="37"/>
      <c r="Y245" s="37"/>
      <c r="Z245" s="37"/>
      <c r="AA245" s="37"/>
      <c r="AB245" s="37"/>
      <c r="AC245" s="37"/>
      <c r="AD245" s="37"/>
      <c r="AE245" s="38"/>
      <c r="AF245" s="284"/>
      <c r="AG245" s="286"/>
      <c r="AH245" s="284"/>
      <c r="AI245" s="286"/>
      <c r="AJ245" s="284"/>
      <c r="AK245" s="286"/>
      <c r="AL245" s="284"/>
      <c r="AM245" s="286"/>
      <c r="AN245" s="284"/>
      <c r="AO245" s="286"/>
      <c r="AP245" s="284"/>
      <c r="AQ245" s="286"/>
      <c r="AR245" s="284" t="s">
        <v>130</v>
      </c>
      <c r="AS245" s="286"/>
      <c r="AT245" s="284" t="s">
        <v>131</v>
      </c>
      <c r="AU245" s="285"/>
      <c r="AV245" s="285"/>
      <c r="AW245" s="285"/>
      <c r="AX245" s="285"/>
      <c r="AY245" s="285"/>
      <c r="AZ245" s="285"/>
      <c r="BA245" s="286"/>
      <c r="BB245" s="284" t="s">
        <v>138</v>
      </c>
      <c r="BC245" s="285"/>
      <c r="BD245" s="285"/>
      <c r="BE245" s="285"/>
      <c r="BF245" s="285"/>
      <c r="BG245" s="285"/>
      <c r="BH245" s="285"/>
      <c r="BI245" s="286"/>
      <c r="BJ245" s="288"/>
      <c r="BK245" s="288"/>
      <c r="BL245" s="288"/>
      <c r="BM245" s="288"/>
      <c r="BN245" s="288"/>
      <c r="BO245" s="288"/>
      <c r="BP245" s="288"/>
      <c r="BQ245" s="288"/>
      <c r="BR245" s="288"/>
      <c r="BS245" s="10"/>
    </row>
    <row r="246" spans="1:72" s="8" customFormat="1">
      <c r="A246" s="9"/>
      <c r="B246" s="80"/>
      <c r="C246" s="81"/>
      <c r="D246" s="81"/>
      <c r="E246" s="81"/>
      <c r="F246" s="81"/>
      <c r="G246" s="81"/>
      <c r="H246" s="81"/>
      <c r="I246" s="81"/>
      <c r="J246" s="83"/>
      <c r="K246" s="81"/>
      <c r="L246" s="81"/>
      <c r="M246" s="81"/>
      <c r="N246" s="81"/>
      <c r="O246" s="81"/>
      <c r="P246" s="81"/>
      <c r="Q246" s="82"/>
      <c r="R246" s="38">
        <v>2</v>
      </c>
      <c r="S246" s="36" t="s">
        <v>199</v>
      </c>
      <c r="T246" s="37"/>
      <c r="U246" s="37"/>
      <c r="V246" s="37"/>
      <c r="W246" s="37"/>
      <c r="X246" s="37"/>
      <c r="Y246" s="37"/>
      <c r="Z246" s="37"/>
      <c r="AA246" s="37"/>
      <c r="AB246" s="37"/>
      <c r="AC246" s="37"/>
      <c r="AD246" s="37"/>
      <c r="AE246" s="38"/>
      <c r="AF246" s="284"/>
      <c r="AG246" s="286"/>
      <c r="AH246" s="284"/>
      <c r="AI246" s="286"/>
      <c r="AJ246" s="284"/>
      <c r="AK246" s="286"/>
      <c r="AL246" s="284"/>
      <c r="AM246" s="286"/>
      <c r="AN246" s="284" t="s">
        <v>130</v>
      </c>
      <c r="AO246" s="286"/>
      <c r="AP246" s="284"/>
      <c r="AQ246" s="286"/>
      <c r="AR246" s="284"/>
      <c r="AS246" s="286"/>
      <c r="AT246" s="284" t="s">
        <v>131</v>
      </c>
      <c r="AU246" s="285"/>
      <c r="AV246" s="285"/>
      <c r="AW246" s="285"/>
      <c r="AX246" s="285"/>
      <c r="AY246" s="285"/>
      <c r="AZ246" s="285"/>
      <c r="BA246" s="286"/>
      <c r="BB246" s="284" t="s">
        <v>329</v>
      </c>
      <c r="BC246" s="285"/>
      <c r="BD246" s="285"/>
      <c r="BE246" s="285"/>
      <c r="BF246" s="285"/>
      <c r="BG246" s="285"/>
      <c r="BH246" s="285"/>
      <c r="BI246" s="286"/>
      <c r="BJ246" s="288" t="s">
        <v>330</v>
      </c>
      <c r="BK246" s="288"/>
      <c r="BL246" s="288"/>
      <c r="BM246" s="288"/>
      <c r="BN246" s="288"/>
      <c r="BO246" s="288"/>
      <c r="BP246" s="288"/>
      <c r="BQ246" s="288"/>
      <c r="BR246" s="288"/>
      <c r="BS246" s="10"/>
    </row>
    <row r="247" spans="1:72" s="8" customFormat="1">
      <c r="A247" s="9"/>
      <c r="B247" s="83"/>
      <c r="C247" s="81"/>
      <c r="D247" s="81"/>
      <c r="E247" s="81"/>
      <c r="F247" s="81"/>
      <c r="G247" s="81"/>
      <c r="H247" s="81"/>
      <c r="I247" s="81"/>
      <c r="J247" s="86"/>
      <c r="K247" s="84"/>
      <c r="L247" s="84"/>
      <c r="M247" s="84"/>
      <c r="N247" s="84"/>
      <c r="O247" s="84"/>
      <c r="P247" s="84"/>
      <c r="Q247" s="85"/>
      <c r="R247" s="38">
        <v>3</v>
      </c>
      <c r="S247" s="36" t="s">
        <v>331</v>
      </c>
      <c r="T247" s="37"/>
      <c r="U247" s="37"/>
      <c r="V247" s="37"/>
      <c r="W247" s="37"/>
      <c r="X247" s="37"/>
      <c r="Y247" s="37"/>
      <c r="Z247" s="37"/>
      <c r="AA247" s="37"/>
      <c r="AB247" s="37"/>
      <c r="AC247" s="37"/>
      <c r="AD247" s="37"/>
      <c r="AE247" s="38"/>
      <c r="AF247" s="284"/>
      <c r="AG247" s="286"/>
      <c r="AH247" s="284"/>
      <c r="AI247" s="286"/>
      <c r="AJ247" s="284"/>
      <c r="AK247" s="286"/>
      <c r="AL247" s="284"/>
      <c r="AM247" s="286"/>
      <c r="AN247" s="284" t="s">
        <v>130</v>
      </c>
      <c r="AO247" s="286"/>
      <c r="AP247" s="284"/>
      <c r="AQ247" s="286"/>
      <c r="AR247" s="284"/>
      <c r="AS247" s="286"/>
      <c r="AT247" s="284" t="s">
        <v>131</v>
      </c>
      <c r="AU247" s="285"/>
      <c r="AV247" s="285"/>
      <c r="AW247" s="285"/>
      <c r="AX247" s="285"/>
      <c r="AY247" s="285"/>
      <c r="AZ247" s="285"/>
      <c r="BA247" s="286"/>
      <c r="BB247" s="287" t="s">
        <v>205</v>
      </c>
      <c r="BC247" s="287"/>
      <c r="BD247" s="287"/>
      <c r="BE247" s="287"/>
      <c r="BF247" s="287"/>
      <c r="BG247" s="287"/>
      <c r="BH247" s="287"/>
      <c r="BI247" s="287"/>
      <c r="BJ247" s="288" t="s">
        <v>330</v>
      </c>
      <c r="BK247" s="288"/>
      <c r="BL247" s="288"/>
      <c r="BM247" s="288"/>
      <c r="BN247" s="288"/>
      <c r="BO247" s="288"/>
      <c r="BP247" s="288"/>
      <c r="BQ247" s="288"/>
      <c r="BR247" s="288"/>
      <c r="BS247" s="10"/>
      <c r="BT247" s="11"/>
    </row>
    <row r="248" spans="1:72" s="8" customFormat="1">
      <c r="A248" s="9"/>
      <c r="B248" s="80"/>
      <c r="C248" s="81"/>
      <c r="D248" s="81"/>
      <c r="E248" s="81"/>
      <c r="F248" s="81"/>
      <c r="G248" s="81"/>
      <c r="H248" s="81"/>
      <c r="I248" s="81"/>
      <c r="J248" s="83" t="s">
        <v>332</v>
      </c>
      <c r="K248" s="81"/>
      <c r="L248" s="81"/>
      <c r="M248" s="81"/>
      <c r="N248" s="81"/>
      <c r="O248" s="81"/>
      <c r="P248" s="81"/>
      <c r="Q248" s="82"/>
      <c r="R248" s="38">
        <v>1</v>
      </c>
      <c r="S248" s="36" t="s">
        <v>333</v>
      </c>
      <c r="T248" s="37"/>
      <c r="U248" s="37"/>
      <c r="V248" s="37"/>
      <c r="W248" s="37"/>
      <c r="X248" s="37"/>
      <c r="Y248" s="37"/>
      <c r="Z248" s="37"/>
      <c r="AA248" s="37"/>
      <c r="AB248" s="37"/>
      <c r="AC248" s="37"/>
      <c r="AD248" s="37"/>
      <c r="AE248" s="38"/>
      <c r="AF248" s="284"/>
      <c r="AG248" s="286"/>
      <c r="AH248" s="284"/>
      <c r="AI248" s="286"/>
      <c r="AJ248" s="284"/>
      <c r="AK248" s="286"/>
      <c r="AL248" s="284"/>
      <c r="AM248" s="286"/>
      <c r="AN248" s="284" t="s">
        <v>130</v>
      </c>
      <c r="AO248" s="286"/>
      <c r="AP248" s="284"/>
      <c r="AQ248" s="286"/>
      <c r="AR248" s="284"/>
      <c r="AS248" s="286"/>
      <c r="AT248" s="284" t="s">
        <v>131</v>
      </c>
      <c r="AU248" s="285"/>
      <c r="AV248" s="285"/>
      <c r="AW248" s="285"/>
      <c r="AX248" s="285"/>
      <c r="AY248" s="285"/>
      <c r="AZ248" s="285"/>
      <c r="BA248" s="286"/>
      <c r="BB248" s="287" t="s">
        <v>334</v>
      </c>
      <c r="BC248" s="287"/>
      <c r="BD248" s="287"/>
      <c r="BE248" s="287"/>
      <c r="BF248" s="287"/>
      <c r="BG248" s="287"/>
      <c r="BH248" s="287"/>
      <c r="BI248" s="287"/>
      <c r="BJ248" s="288" t="s">
        <v>335</v>
      </c>
      <c r="BK248" s="288"/>
      <c r="BL248" s="288"/>
      <c r="BM248" s="288"/>
      <c r="BN248" s="288"/>
      <c r="BO248" s="288"/>
      <c r="BP248" s="288"/>
      <c r="BQ248" s="288"/>
      <c r="BR248" s="288"/>
      <c r="BS248" s="10"/>
    </row>
    <row r="249" spans="1:72" s="8" customFormat="1">
      <c r="A249" s="9"/>
      <c r="B249" s="83"/>
      <c r="C249" s="81"/>
      <c r="D249" s="81"/>
      <c r="E249" s="81"/>
      <c r="F249" s="81"/>
      <c r="G249" s="81"/>
      <c r="H249" s="81"/>
      <c r="I249" s="81"/>
      <c r="J249" s="83"/>
      <c r="K249" s="81" t="s">
        <v>336</v>
      </c>
      <c r="L249" s="81"/>
      <c r="M249" s="81"/>
      <c r="N249" s="81"/>
      <c r="O249" s="81"/>
      <c r="P249" s="81"/>
      <c r="Q249" s="82"/>
      <c r="R249" s="38">
        <v>2</v>
      </c>
      <c r="S249" s="36" t="s">
        <v>337</v>
      </c>
      <c r="T249" s="37"/>
      <c r="U249" s="37"/>
      <c r="V249" s="37"/>
      <c r="W249" s="37"/>
      <c r="X249" s="37"/>
      <c r="Y249" s="37"/>
      <c r="Z249" s="37"/>
      <c r="AA249" s="37"/>
      <c r="AB249" s="37"/>
      <c r="AC249" s="37"/>
      <c r="AD249" s="37"/>
      <c r="AE249" s="38"/>
      <c r="AF249" s="284"/>
      <c r="AG249" s="286"/>
      <c r="AH249" s="284"/>
      <c r="AI249" s="286"/>
      <c r="AJ249" s="284"/>
      <c r="AK249" s="286"/>
      <c r="AL249" s="284"/>
      <c r="AM249" s="286"/>
      <c r="AN249" s="284" t="s">
        <v>130</v>
      </c>
      <c r="AO249" s="286"/>
      <c r="AP249" s="284"/>
      <c r="AQ249" s="286"/>
      <c r="AR249" s="284"/>
      <c r="AS249" s="286"/>
      <c r="AT249" s="284" t="s">
        <v>131</v>
      </c>
      <c r="AU249" s="285"/>
      <c r="AV249" s="285"/>
      <c r="AW249" s="285"/>
      <c r="AX249" s="285"/>
      <c r="AY249" s="285"/>
      <c r="AZ249" s="285"/>
      <c r="BA249" s="286"/>
      <c r="BB249" s="287" t="s">
        <v>334</v>
      </c>
      <c r="BC249" s="287"/>
      <c r="BD249" s="287"/>
      <c r="BE249" s="287"/>
      <c r="BF249" s="287"/>
      <c r="BG249" s="287"/>
      <c r="BH249" s="287"/>
      <c r="BI249" s="287"/>
      <c r="BJ249" s="288" t="s">
        <v>328</v>
      </c>
      <c r="BK249" s="288"/>
      <c r="BL249" s="288"/>
      <c r="BM249" s="288"/>
      <c r="BN249" s="288"/>
      <c r="BO249" s="288"/>
      <c r="BP249" s="288"/>
      <c r="BQ249" s="288"/>
      <c r="BR249" s="288"/>
      <c r="BS249" s="10"/>
      <c r="BT249" s="11"/>
    </row>
    <row r="250" spans="1:72" s="8" customFormat="1">
      <c r="A250" s="9"/>
      <c r="B250" s="80"/>
      <c r="C250" s="81"/>
      <c r="D250" s="81"/>
      <c r="E250" s="81"/>
      <c r="F250" s="81"/>
      <c r="G250" s="81"/>
      <c r="H250" s="81"/>
      <c r="I250" s="81"/>
      <c r="J250" s="83"/>
      <c r="K250" s="81"/>
      <c r="L250" s="81"/>
      <c r="M250" s="81"/>
      <c r="N250" s="81"/>
      <c r="O250" s="81"/>
      <c r="P250" s="81"/>
      <c r="Q250" s="82"/>
      <c r="R250" s="38">
        <v>3</v>
      </c>
      <c r="S250" s="36" t="s">
        <v>199</v>
      </c>
      <c r="T250" s="37"/>
      <c r="U250" s="37"/>
      <c r="V250" s="37"/>
      <c r="W250" s="37"/>
      <c r="X250" s="37"/>
      <c r="Y250" s="37"/>
      <c r="Z250" s="37"/>
      <c r="AA250" s="37"/>
      <c r="AB250" s="37"/>
      <c r="AC250" s="37"/>
      <c r="AD250" s="37"/>
      <c r="AE250" s="38"/>
      <c r="AF250" s="284"/>
      <c r="AG250" s="286"/>
      <c r="AH250" s="284"/>
      <c r="AI250" s="286"/>
      <c r="AJ250" s="284"/>
      <c r="AK250" s="286"/>
      <c r="AL250" s="284"/>
      <c r="AM250" s="286"/>
      <c r="AN250" s="284" t="s">
        <v>130</v>
      </c>
      <c r="AO250" s="286"/>
      <c r="AP250" s="284"/>
      <c r="AQ250" s="286"/>
      <c r="AR250" s="284"/>
      <c r="AS250" s="286"/>
      <c r="AT250" s="284" t="s">
        <v>131</v>
      </c>
      <c r="AU250" s="285"/>
      <c r="AV250" s="285"/>
      <c r="AW250" s="285"/>
      <c r="AX250" s="285"/>
      <c r="AY250" s="285"/>
      <c r="AZ250" s="285"/>
      <c r="BA250" s="286"/>
      <c r="BB250" s="284" t="s">
        <v>329</v>
      </c>
      <c r="BC250" s="285"/>
      <c r="BD250" s="285"/>
      <c r="BE250" s="285"/>
      <c r="BF250" s="285"/>
      <c r="BG250" s="285"/>
      <c r="BH250" s="285"/>
      <c r="BI250" s="286"/>
      <c r="BJ250" s="288" t="s">
        <v>330</v>
      </c>
      <c r="BK250" s="288"/>
      <c r="BL250" s="288"/>
      <c r="BM250" s="288"/>
      <c r="BN250" s="288"/>
      <c r="BO250" s="288"/>
      <c r="BP250" s="288"/>
      <c r="BQ250" s="288"/>
      <c r="BR250" s="288"/>
      <c r="BS250" s="10"/>
    </row>
    <row r="251" spans="1:72" s="8" customFormat="1">
      <c r="A251" s="9"/>
      <c r="B251" s="86"/>
      <c r="C251" s="84"/>
      <c r="D251" s="84"/>
      <c r="E251" s="84"/>
      <c r="F251" s="84"/>
      <c r="G251" s="84"/>
      <c r="H251" s="84"/>
      <c r="I251" s="84"/>
      <c r="J251" s="86"/>
      <c r="K251" s="84"/>
      <c r="L251" s="84"/>
      <c r="M251" s="84"/>
      <c r="N251" s="84"/>
      <c r="O251" s="84"/>
      <c r="P251" s="84"/>
      <c r="Q251" s="85"/>
      <c r="R251" s="38">
        <v>4</v>
      </c>
      <c r="S251" s="36" t="s">
        <v>331</v>
      </c>
      <c r="T251" s="37"/>
      <c r="U251" s="37"/>
      <c r="V251" s="37"/>
      <c r="W251" s="37"/>
      <c r="X251" s="37"/>
      <c r="Y251" s="37"/>
      <c r="Z251" s="37"/>
      <c r="AA251" s="37"/>
      <c r="AB251" s="37"/>
      <c r="AC251" s="37"/>
      <c r="AD251" s="37"/>
      <c r="AE251" s="38"/>
      <c r="AF251" s="284"/>
      <c r="AG251" s="286"/>
      <c r="AH251" s="284"/>
      <c r="AI251" s="286"/>
      <c r="AJ251" s="284"/>
      <c r="AK251" s="286"/>
      <c r="AL251" s="284"/>
      <c r="AM251" s="286"/>
      <c r="AN251" s="284" t="s">
        <v>130</v>
      </c>
      <c r="AO251" s="286"/>
      <c r="AP251" s="284"/>
      <c r="AQ251" s="286"/>
      <c r="AR251" s="284"/>
      <c r="AS251" s="286"/>
      <c r="AT251" s="284" t="s">
        <v>131</v>
      </c>
      <c r="AU251" s="285"/>
      <c r="AV251" s="285"/>
      <c r="AW251" s="285"/>
      <c r="AX251" s="285"/>
      <c r="AY251" s="285"/>
      <c r="AZ251" s="285"/>
      <c r="BA251" s="286"/>
      <c r="BB251" s="287" t="s">
        <v>205</v>
      </c>
      <c r="BC251" s="287"/>
      <c r="BD251" s="287"/>
      <c r="BE251" s="287"/>
      <c r="BF251" s="287"/>
      <c r="BG251" s="287"/>
      <c r="BH251" s="287"/>
      <c r="BI251" s="287"/>
      <c r="BJ251" s="288" t="s">
        <v>330</v>
      </c>
      <c r="BK251" s="288"/>
      <c r="BL251" s="288"/>
      <c r="BM251" s="288"/>
      <c r="BN251" s="288"/>
      <c r="BO251" s="288"/>
      <c r="BP251" s="288"/>
      <c r="BQ251" s="288"/>
      <c r="BR251" s="288"/>
      <c r="BS251" s="10"/>
      <c r="BT251" s="11"/>
    </row>
    <row r="252" spans="1:72" s="8" customFormat="1">
      <c r="A252" s="9"/>
      <c r="B252" s="80" t="s">
        <v>338</v>
      </c>
      <c r="C252" s="81"/>
      <c r="D252" s="81"/>
      <c r="E252" s="81"/>
      <c r="F252" s="81"/>
      <c r="G252" s="81"/>
      <c r="H252" s="81"/>
      <c r="I252" s="81"/>
      <c r="J252" s="89" t="s">
        <v>339</v>
      </c>
      <c r="K252" s="90"/>
      <c r="L252" s="90"/>
      <c r="M252" s="90"/>
      <c r="N252" s="90"/>
      <c r="O252" s="90"/>
      <c r="P252" s="90"/>
      <c r="Q252" s="91"/>
      <c r="R252" s="38">
        <v>1</v>
      </c>
      <c r="S252" s="36" t="s">
        <v>340</v>
      </c>
      <c r="T252" s="37"/>
      <c r="U252" s="37"/>
      <c r="V252" s="37"/>
      <c r="W252" s="37"/>
      <c r="X252" s="37"/>
      <c r="Y252" s="37"/>
      <c r="Z252" s="37"/>
      <c r="AA252" s="37"/>
      <c r="AB252" s="37"/>
      <c r="AC252" s="37"/>
      <c r="AD252" s="37"/>
      <c r="AE252" s="38"/>
      <c r="AF252" s="284"/>
      <c r="AG252" s="286"/>
      <c r="AH252" s="284"/>
      <c r="AI252" s="286"/>
      <c r="AJ252" s="284"/>
      <c r="AK252" s="286"/>
      <c r="AL252" s="284"/>
      <c r="AM252" s="286"/>
      <c r="AN252" s="284" t="s">
        <v>130</v>
      </c>
      <c r="AO252" s="286"/>
      <c r="AP252" s="284"/>
      <c r="AQ252" s="286"/>
      <c r="AR252" s="284"/>
      <c r="AS252" s="286"/>
      <c r="AT252" s="284" t="s">
        <v>131</v>
      </c>
      <c r="AU252" s="285"/>
      <c r="AV252" s="285"/>
      <c r="AW252" s="285"/>
      <c r="AX252" s="285"/>
      <c r="AY252" s="285"/>
      <c r="AZ252" s="285"/>
      <c r="BA252" s="286"/>
      <c r="BB252" s="284" t="s">
        <v>341</v>
      </c>
      <c r="BC252" s="285"/>
      <c r="BD252" s="285"/>
      <c r="BE252" s="285"/>
      <c r="BF252" s="285"/>
      <c r="BG252" s="285"/>
      <c r="BH252" s="285"/>
      <c r="BI252" s="286"/>
      <c r="BJ252" s="288"/>
      <c r="BK252" s="288"/>
      <c r="BL252" s="288"/>
      <c r="BM252" s="288"/>
      <c r="BN252" s="288"/>
      <c r="BO252" s="288"/>
      <c r="BP252" s="288"/>
      <c r="BQ252" s="288"/>
      <c r="BR252" s="288"/>
      <c r="BS252" s="10"/>
    </row>
    <row r="253" spans="1:72" s="8" customFormat="1">
      <c r="A253" s="9"/>
      <c r="B253" s="83"/>
      <c r="C253" s="81"/>
      <c r="D253" s="81"/>
      <c r="E253" s="81"/>
      <c r="F253" s="81"/>
      <c r="G253" s="81"/>
      <c r="H253" s="81"/>
      <c r="I253" s="81"/>
      <c r="J253" s="83" t="s">
        <v>342</v>
      </c>
      <c r="K253" s="81"/>
      <c r="L253" s="81"/>
      <c r="M253" s="81"/>
      <c r="N253" s="81"/>
      <c r="O253" s="81"/>
      <c r="P253" s="81"/>
      <c r="Q253" s="82"/>
      <c r="R253" s="38">
        <v>1</v>
      </c>
      <c r="S253" s="36" t="s">
        <v>343</v>
      </c>
      <c r="T253" s="37"/>
      <c r="U253" s="37"/>
      <c r="V253" s="37"/>
      <c r="W253" s="37"/>
      <c r="X253" s="37"/>
      <c r="Y253" s="37"/>
      <c r="Z253" s="37"/>
      <c r="AA253" s="37"/>
      <c r="AB253" s="37"/>
      <c r="AC253" s="37"/>
      <c r="AD253" s="37"/>
      <c r="AE253" s="38"/>
      <c r="AF253" s="284"/>
      <c r="AG253" s="286"/>
      <c r="AH253" s="284"/>
      <c r="AI253" s="286"/>
      <c r="AJ253" s="284"/>
      <c r="AK253" s="286"/>
      <c r="AL253" s="284"/>
      <c r="AM253" s="286"/>
      <c r="AN253" s="284" t="s">
        <v>130</v>
      </c>
      <c r="AO253" s="286"/>
      <c r="AP253" s="284"/>
      <c r="AQ253" s="286"/>
      <c r="AR253" s="284"/>
      <c r="AS253" s="286"/>
      <c r="AT253" s="284" t="s">
        <v>131</v>
      </c>
      <c r="AU253" s="285"/>
      <c r="AV253" s="285"/>
      <c r="AW253" s="285"/>
      <c r="AX253" s="285"/>
      <c r="AY253" s="285"/>
      <c r="AZ253" s="285"/>
      <c r="BA253" s="286"/>
      <c r="BB253" s="287" t="s">
        <v>344</v>
      </c>
      <c r="BC253" s="287"/>
      <c r="BD253" s="287"/>
      <c r="BE253" s="287"/>
      <c r="BF253" s="287"/>
      <c r="BG253" s="287"/>
      <c r="BH253" s="287"/>
      <c r="BI253" s="287"/>
      <c r="BJ253" s="288"/>
      <c r="BK253" s="288"/>
      <c r="BL253" s="288"/>
      <c r="BM253" s="288"/>
      <c r="BN253" s="288"/>
      <c r="BO253" s="288"/>
      <c r="BP253" s="288"/>
      <c r="BQ253" s="288"/>
      <c r="BR253" s="288"/>
      <c r="BS253" s="10"/>
      <c r="BT253" s="11"/>
    </row>
    <row r="254" spans="1:72" s="8" customFormat="1">
      <c r="A254" s="9"/>
      <c r="B254" s="80"/>
      <c r="C254" s="81"/>
      <c r="D254" s="81"/>
      <c r="E254" s="81"/>
      <c r="F254" s="81"/>
      <c r="G254" s="81"/>
      <c r="H254" s="81"/>
      <c r="I254" s="81"/>
      <c r="J254" s="83"/>
      <c r="K254" s="81"/>
      <c r="L254" s="81"/>
      <c r="M254" s="81"/>
      <c r="N254" s="81"/>
      <c r="O254" s="81"/>
      <c r="P254" s="81"/>
      <c r="Q254" s="82"/>
      <c r="R254" s="38">
        <v>2</v>
      </c>
      <c r="S254" s="36" t="s">
        <v>345</v>
      </c>
      <c r="T254" s="37"/>
      <c r="U254" s="37"/>
      <c r="V254" s="37"/>
      <c r="W254" s="37"/>
      <c r="X254" s="37"/>
      <c r="Y254" s="37"/>
      <c r="Z254" s="37"/>
      <c r="AA254" s="37"/>
      <c r="AB254" s="37"/>
      <c r="AC254" s="37"/>
      <c r="AD254" s="37"/>
      <c r="AE254" s="38"/>
      <c r="AF254" s="284"/>
      <c r="AG254" s="286"/>
      <c r="AH254" s="284"/>
      <c r="AI254" s="286"/>
      <c r="AJ254" s="284"/>
      <c r="AK254" s="286"/>
      <c r="AL254" s="284"/>
      <c r="AM254" s="286"/>
      <c r="AN254" s="284" t="s">
        <v>130</v>
      </c>
      <c r="AO254" s="286"/>
      <c r="AP254" s="284"/>
      <c r="AQ254" s="286"/>
      <c r="AR254" s="284"/>
      <c r="AS254" s="286"/>
      <c r="AT254" s="284" t="s">
        <v>143</v>
      </c>
      <c r="AU254" s="285"/>
      <c r="AV254" s="285"/>
      <c r="AW254" s="285"/>
      <c r="AX254" s="285"/>
      <c r="AY254" s="285"/>
      <c r="AZ254" s="285"/>
      <c r="BA254" s="286"/>
      <c r="BB254" s="287" t="s">
        <v>143</v>
      </c>
      <c r="BC254" s="287"/>
      <c r="BD254" s="287"/>
      <c r="BE254" s="287"/>
      <c r="BF254" s="287"/>
      <c r="BG254" s="287"/>
      <c r="BH254" s="287"/>
      <c r="BI254" s="287"/>
      <c r="BJ254" s="288"/>
      <c r="BK254" s="288"/>
      <c r="BL254" s="288"/>
      <c r="BM254" s="288"/>
      <c r="BN254" s="288"/>
      <c r="BO254" s="288"/>
      <c r="BP254" s="288"/>
      <c r="BQ254" s="288"/>
      <c r="BR254" s="288"/>
      <c r="BS254" s="10"/>
    </row>
    <row r="255" spans="1:72" s="8" customFormat="1">
      <c r="A255" s="9"/>
      <c r="B255" s="83"/>
      <c r="C255" s="81"/>
      <c r="D255" s="81"/>
      <c r="E255" s="81"/>
      <c r="F255" s="81"/>
      <c r="G255" s="81"/>
      <c r="H255" s="81"/>
      <c r="I255" s="81"/>
      <c r="J255" s="83"/>
      <c r="K255" s="81"/>
      <c r="L255" s="81"/>
      <c r="M255" s="81"/>
      <c r="N255" s="81"/>
      <c r="O255" s="81"/>
      <c r="P255" s="81"/>
      <c r="Q255" s="82"/>
      <c r="R255" s="38">
        <v>3</v>
      </c>
      <c r="S255" s="36" t="s">
        <v>346</v>
      </c>
      <c r="T255" s="37"/>
      <c r="U255" s="37"/>
      <c r="V255" s="37"/>
      <c r="W255" s="37"/>
      <c r="X255" s="37"/>
      <c r="Y255" s="37"/>
      <c r="Z255" s="37"/>
      <c r="AA255" s="37"/>
      <c r="AB255" s="37"/>
      <c r="AC255" s="37"/>
      <c r="AD255" s="37"/>
      <c r="AE255" s="38"/>
      <c r="AF255" s="284"/>
      <c r="AG255" s="286"/>
      <c r="AH255" s="284"/>
      <c r="AI255" s="286"/>
      <c r="AJ255" s="284"/>
      <c r="AK255" s="286"/>
      <c r="AL255" s="284"/>
      <c r="AM255" s="286"/>
      <c r="AN255" s="284" t="s">
        <v>130</v>
      </c>
      <c r="AO255" s="286"/>
      <c r="AP255" s="284"/>
      <c r="AQ255" s="286"/>
      <c r="AR255" s="284"/>
      <c r="AS255" s="286"/>
      <c r="AT255" s="284" t="s">
        <v>347</v>
      </c>
      <c r="AU255" s="285"/>
      <c r="AV255" s="285"/>
      <c r="AW255" s="285"/>
      <c r="AX255" s="285"/>
      <c r="AY255" s="285"/>
      <c r="AZ255" s="285"/>
      <c r="BA255" s="286"/>
      <c r="BB255" s="287" t="s">
        <v>201</v>
      </c>
      <c r="BC255" s="287"/>
      <c r="BD255" s="287"/>
      <c r="BE255" s="287"/>
      <c r="BF255" s="287"/>
      <c r="BG255" s="287"/>
      <c r="BH255" s="287"/>
      <c r="BI255" s="287"/>
      <c r="BJ255" s="288"/>
      <c r="BK255" s="288"/>
      <c r="BL255" s="288"/>
      <c r="BM255" s="288"/>
      <c r="BN255" s="288"/>
      <c r="BO255" s="288"/>
      <c r="BP255" s="288"/>
      <c r="BQ255" s="288"/>
      <c r="BR255" s="288"/>
      <c r="BS255" s="10"/>
      <c r="BT255" s="11"/>
    </row>
    <row r="256" spans="1:72" s="8" customFormat="1">
      <c r="A256" s="9"/>
      <c r="B256" s="80"/>
      <c r="C256" s="81"/>
      <c r="D256" s="81"/>
      <c r="E256" s="81"/>
      <c r="F256" s="81"/>
      <c r="G256" s="81"/>
      <c r="H256" s="81"/>
      <c r="I256" s="81"/>
      <c r="J256" s="86"/>
      <c r="K256" s="84"/>
      <c r="L256" s="84"/>
      <c r="M256" s="84"/>
      <c r="N256" s="84"/>
      <c r="O256" s="84"/>
      <c r="P256" s="84"/>
      <c r="Q256" s="85"/>
      <c r="R256" s="38">
        <v>4</v>
      </c>
      <c r="S256" s="36" t="s">
        <v>348</v>
      </c>
      <c r="T256" s="37"/>
      <c r="U256" s="37"/>
      <c r="V256" s="37"/>
      <c r="W256" s="37"/>
      <c r="X256" s="37"/>
      <c r="Y256" s="37"/>
      <c r="Z256" s="37"/>
      <c r="AA256" s="37"/>
      <c r="AB256" s="37"/>
      <c r="AC256" s="37"/>
      <c r="AD256" s="37"/>
      <c r="AE256" s="38"/>
      <c r="AF256" s="284"/>
      <c r="AG256" s="286"/>
      <c r="AH256" s="284"/>
      <c r="AI256" s="286"/>
      <c r="AJ256" s="284"/>
      <c r="AK256" s="286"/>
      <c r="AL256" s="284"/>
      <c r="AM256" s="286"/>
      <c r="AN256" s="284" t="s">
        <v>130</v>
      </c>
      <c r="AO256" s="286"/>
      <c r="AP256" s="284"/>
      <c r="AQ256" s="286"/>
      <c r="AR256" s="284"/>
      <c r="AS256" s="286"/>
      <c r="AT256" s="284" t="s">
        <v>347</v>
      </c>
      <c r="AU256" s="285"/>
      <c r="AV256" s="285"/>
      <c r="AW256" s="285"/>
      <c r="AX256" s="285"/>
      <c r="AY256" s="285"/>
      <c r="AZ256" s="285"/>
      <c r="BA256" s="286"/>
      <c r="BB256" s="287" t="s">
        <v>201</v>
      </c>
      <c r="BC256" s="287"/>
      <c r="BD256" s="287"/>
      <c r="BE256" s="287"/>
      <c r="BF256" s="287"/>
      <c r="BG256" s="287"/>
      <c r="BH256" s="287"/>
      <c r="BI256" s="287"/>
      <c r="BJ256" s="288"/>
      <c r="BK256" s="288"/>
      <c r="BL256" s="288"/>
      <c r="BM256" s="288"/>
      <c r="BN256" s="288"/>
      <c r="BO256" s="288"/>
      <c r="BP256" s="288"/>
      <c r="BQ256" s="288"/>
      <c r="BR256" s="288"/>
      <c r="BS256" s="10"/>
    </row>
    <row r="257" spans="1:72" s="8" customFormat="1">
      <c r="A257" s="9"/>
      <c r="B257" s="83"/>
      <c r="C257" s="81"/>
      <c r="D257" s="81"/>
      <c r="E257" s="81"/>
      <c r="F257" s="81"/>
      <c r="G257" s="81"/>
      <c r="H257" s="81"/>
      <c r="I257" s="81"/>
      <c r="J257" s="83" t="s">
        <v>349</v>
      </c>
      <c r="K257" s="81"/>
      <c r="L257" s="81"/>
      <c r="M257" s="81"/>
      <c r="N257" s="81"/>
      <c r="O257" s="81"/>
      <c r="P257" s="81"/>
      <c r="Q257" s="82"/>
      <c r="R257" s="38">
        <v>1</v>
      </c>
      <c r="S257" s="36" t="s">
        <v>350</v>
      </c>
      <c r="T257" s="37"/>
      <c r="U257" s="37"/>
      <c r="V257" s="37"/>
      <c r="W257" s="37"/>
      <c r="X257" s="37"/>
      <c r="Y257" s="37"/>
      <c r="Z257" s="37"/>
      <c r="AA257" s="37"/>
      <c r="AB257" s="37"/>
      <c r="AC257" s="37"/>
      <c r="AD257" s="37"/>
      <c r="AE257" s="38"/>
      <c r="AF257" s="284"/>
      <c r="AG257" s="286"/>
      <c r="AH257" s="284"/>
      <c r="AI257" s="286"/>
      <c r="AJ257" s="284"/>
      <c r="AK257" s="286"/>
      <c r="AL257" s="284"/>
      <c r="AM257" s="286"/>
      <c r="AN257" s="284" t="s">
        <v>130</v>
      </c>
      <c r="AO257" s="286"/>
      <c r="AP257" s="284"/>
      <c r="AQ257" s="286"/>
      <c r="AR257" s="284"/>
      <c r="AS257" s="286"/>
      <c r="AT257" s="284" t="s">
        <v>131</v>
      </c>
      <c r="AU257" s="285"/>
      <c r="AV257" s="285"/>
      <c r="AW257" s="285"/>
      <c r="AX257" s="285"/>
      <c r="AY257" s="285"/>
      <c r="AZ257" s="285"/>
      <c r="BA257" s="286"/>
      <c r="BB257" s="287" t="s">
        <v>205</v>
      </c>
      <c r="BC257" s="287"/>
      <c r="BD257" s="287"/>
      <c r="BE257" s="287"/>
      <c r="BF257" s="287"/>
      <c r="BG257" s="287"/>
      <c r="BH257" s="287"/>
      <c r="BI257" s="287"/>
      <c r="BJ257" s="288"/>
      <c r="BK257" s="288"/>
      <c r="BL257" s="288"/>
      <c r="BM257" s="288"/>
      <c r="BN257" s="288"/>
      <c r="BO257" s="288"/>
      <c r="BP257" s="288"/>
      <c r="BQ257" s="288"/>
      <c r="BR257" s="288"/>
      <c r="BS257" s="10"/>
      <c r="BT257" s="11"/>
    </row>
    <row r="258" spans="1:72" s="8" customFormat="1">
      <c r="A258" s="9"/>
      <c r="B258" s="80"/>
      <c r="C258" s="81"/>
      <c r="D258" s="81"/>
      <c r="E258" s="81"/>
      <c r="F258" s="81"/>
      <c r="G258" s="81"/>
      <c r="H258" s="81"/>
      <c r="I258" s="81"/>
      <c r="J258" s="83"/>
      <c r="K258" s="81"/>
      <c r="L258" s="81"/>
      <c r="M258" s="81"/>
      <c r="N258" s="81"/>
      <c r="O258" s="81"/>
      <c r="P258" s="81"/>
      <c r="Q258" s="82"/>
      <c r="R258" s="38">
        <v>2</v>
      </c>
      <c r="S258" s="36" t="s">
        <v>351</v>
      </c>
      <c r="T258" s="37"/>
      <c r="U258" s="37"/>
      <c r="V258" s="37"/>
      <c r="W258" s="37"/>
      <c r="X258" s="37"/>
      <c r="Y258" s="37"/>
      <c r="Z258" s="37"/>
      <c r="AA258" s="37"/>
      <c r="AB258" s="37"/>
      <c r="AC258" s="37"/>
      <c r="AD258" s="37"/>
      <c r="AE258" s="38"/>
      <c r="AF258" s="284"/>
      <c r="AG258" s="286"/>
      <c r="AH258" s="284"/>
      <c r="AI258" s="286"/>
      <c r="AJ258" s="284"/>
      <c r="AK258" s="286"/>
      <c r="AL258" s="284"/>
      <c r="AM258" s="286"/>
      <c r="AN258" s="284" t="s">
        <v>130</v>
      </c>
      <c r="AO258" s="286"/>
      <c r="AP258" s="284"/>
      <c r="AQ258" s="286"/>
      <c r="AR258" s="284"/>
      <c r="AS258" s="286"/>
      <c r="AT258" s="284" t="s">
        <v>143</v>
      </c>
      <c r="AU258" s="285"/>
      <c r="AV258" s="285"/>
      <c r="AW258" s="285"/>
      <c r="AX258" s="285"/>
      <c r="AY258" s="285"/>
      <c r="AZ258" s="285"/>
      <c r="BA258" s="286"/>
      <c r="BB258" s="287" t="s">
        <v>143</v>
      </c>
      <c r="BC258" s="287"/>
      <c r="BD258" s="287"/>
      <c r="BE258" s="287"/>
      <c r="BF258" s="287"/>
      <c r="BG258" s="287"/>
      <c r="BH258" s="287"/>
      <c r="BI258" s="287"/>
      <c r="BJ258" s="288"/>
      <c r="BK258" s="288"/>
      <c r="BL258" s="288"/>
      <c r="BM258" s="288"/>
      <c r="BN258" s="288"/>
      <c r="BO258" s="288"/>
      <c r="BP258" s="288"/>
      <c r="BQ258" s="288"/>
      <c r="BR258" s="288"/>
      <c r="BS258" s="10"/>
    </row>
    <row r="259" spans="1:72" s="8" customFormat="1">
      <c r="A259" s="9"/>
      <c r="B259" s="83"/>
      <c r="C259" s="81"/>
      <c r="D259" s="81"/>
      <c r="E259" s="81"/>
      <c r="F259" s="81"/>
      <c r="G259" s="81"/>
      <c r="H259" s="81"/>
      <c r="I259" s="81"/>
      <c r="J259" s="83"/>
      <c r="K259" s="81"/>
      <c r="L259" s="81"/>
      <c r="M259" s="81"/>
      <c r="N259" s="81"/>
      <c r="O259" s="81"/>
      <c r="P259" s="81"/>
      <c r="Q259" s="82"/>
      <c r="R259" s="38">
        <v>3</v>
      </c>
      <c r="S259" s="36" t="s">
        <v>346</v>
      </c>
      <c r="T259" s="37"/>
      <c r="U259" s="37"/>
      <c r="V259" s="37"/>
      <c r="W259" s="37"/>
      <c r="X259" s="37"/>
      <c r="Y259" s="37"/>
      <c r="Z259" s="37"/>
      <c r="AA259" s="37"/>
      <c r="AB259" s="37"/>
      <c r="AC259" s="37"/>
      <c r="AD259" s="37"/>
      <c r="AE259" s="38"/>
      <c r="AF259" s="284"/>
      <c r="AG259" s="286"/>
      <c r="AH259" s="284"/>
      <c r="AI259" s="286"/>
      <c r="AJ259" s="284"/>
      <c r="AK259" s="286"/>
      <c r="AL259" s="284"/>
      <c r="AM259" s="286"/>
      <c r="AN259" s="284" t="s">
        <v>130</v>
      </c>
      <c r="AO259" s="286"/>
      <c r="AP259" s="284"/>
      <c r="AQ259" s="286"/>
      <c r="AR259" s="284"/>
      <c r="AS259" s="286"/>
      <c r="AT259" s="284" t="s">
        <v>347</v>
      </c>
      <c r="AU259" s="285"/>
      <c r="AV259" s="285"/>
      <c r="AW259" s="285"/>
      <c r="AX259" s="285"/>
      <c r="AY259" s="285"/>
      <c r="AZ259" s="285"/>
      <c r="BA259" s="286"/>
      <c r="BB259" s="287" t="s">
        <v>201</v>
      </c>
      <c r="BC259" s="287"/>
      <c r="BD259" s="287"/>
      <c r="BE259" s="287"/>
      <c r="BF259" s="287"/>
      <c r="BG259" s="287"/>
      <c r="BH259" s="287"/>
      <c r="BI259" s="287"/>
      <c r="BJ259" s="288"/>
      <c r="BK259" s="288"/>
      <c r="BL259" s="288"/>
      <c r="BM259" s="288"/>
      <c r="BN259" s="288"/>
      <c r="BO259" s="288"/>
      <c r="BP259" s="288"/>
      <c r="BQ259" s="288"/>
      <c r="BR259" s="288"/>
      <c r="BS259" s="10"/>
      <c r="BT259" s="11"/>
    </row>
    <row r="260" spans="1:72" s="8" customFormat="1">
      <c r="A260" s="9"/>
      <c r="B260" s="80"/>
      <c r="C260" s="81"/>
      <c r="D260" s="81"/>
      <c r="E260" s="81"/>
      <c r="F260" s="81"/>
      <c r="G260" s="81"/>
      <c r="H260" s="81"/>
      <c r="I260" s="81"/>
      <c r="J260" s="86"/>
      <c r="K260" s="84"/>
      <c r="L260" s="84"/>
      <c r="M260" s="84"/>
      <c r="N260" s="84"/>
      <c r="O260" s="84"/>
      <c r="P260" s="84"/>
      <c r="Q260" s="85"/>
      <c r="R260" s="38">
        <v>4</v>
      </c>
      <c r="S260" s="36" t="s">
        <v>348</v>
      </c>
      <c r="T260" s="37"/>
      <c r="U260" s="37"/>
      <c r="V260" s="37"/>
      <c r="W260" s="37"/>
      <c r="X260" s="37"/>
      <c r="Y260" s="37"/>
      <c r="Z260" s="37"/>
      <c r="AA260" s="37"/>
      <c r="AB260" s="37"/>
      <c r="AC260" s="37"/>
      <c r="AD260" s="37"/>
      <c r="AE260" s="38"/>
      <c r="AF260" s="284"/>
      <c r="AG260" s="286"/>
      <c r="AH260" s="284"/>
      <c r="AI260" s="286"/>
      <c r="AJ260" s="284"/>
      <c r="AK260" s="286"/>
      <c r="AL260" s="284"/>
      <c r="AM260" s="286"/>
      <c r="AN260" s="284" t="s">
        <v>130</v>
      </c>
      <c r="AO260" s="286"/>
      <c r="AP260" s="284"/>
      <c r="AQ260" s="286"/>
      <c r="AR260" s="284"/>
      <c r="AS260" s="286"/>
      <c r="AT260" s="284" t="s">
        <v>347</v>
      </c>
      <c r="AU260" s="285"/>
      <c r="AV260" s="285"/>
      <c r="AW260" s="285"/>
      <c r="AX260" s="285"/>
      <c r="AY260" s="285"/>
      <c r="AZ260" s="285"/>
      <c r="BA260" s="286"/>
      <c r="BB260" s="287" t="s">
        <v>201</v>
      </c>
      <c r="BC260" s="287"/>
      <c r="BD260" s="287"/>
      <c r="BE260" s="287"/>
      <c r="BF260" s="287"/>
      <c r="BG260" s="287"/>
      <c r="BH260" s="287"/>
      <c r="BI260" s="287"/>
      <c r="BJ260" s="288"/>
      <c r="BK260" s="288"/>
      <c r="BL260" s="288"/>
      <c r="BM260" s="288"/>
      <c r="BN260" s="288"/>
      <c r="BO260" s="288"/>
      <c r="BP260" s="288"/>
      <c r="BQ260" s="288"/>
      <c r="BR260" s="288"/>
      <c r="BS260" s="10"/>
    </row>
    <row r="261" spans="1:72" s="8" customFormat="1">
      <c r="A261" s="9"/>
      <c r="B261" s="83"/>
      <c r="C261" s="81"/>
      <c r="D261" s="81"/>
      <c r="E261" s="81"/>
      <c r="F261" s="81"/>
      <c r="G261" s="81"/>
      <c r="H261" s="81"/>
      <c r="I261" s="81"/>
      <c r="J261" s="83" t="s">
        <v>352</v>
      </c>
      <c r="K261" s="81"/>
      <c r="L261" s="81"/>
      <c r="M261" s="81"/>
      <c r="N261" s="81"/>
      <c r="O261" s="81"/>
      <c r="P261" s="81"/>
      <c r="Q261" s="82"/>
      <c r="R261" s="38">
        <v>1</v>
      </c>
      <c r="S261" s="36" t="s">
        <v>353</v>
      </c>
      <c r="T261" s="37"/>
      <c r="U261" s="37"/>
      <c r="V261" s="37"/>
      <c r="W261" s="37"/>
      <c r="X261" s="37"/>
      <c r="Y261" s="37"/>
      <c r="Z261" s="37"/>
      <c r="AA261" s="37"/>
      <c r="AB261" s="37"/>
      <c r="AC261" s="37"/>
      <c r="AD261" s="37"/>
      <c r="AE261" s="38"/>
      <c r="AF261" s="284"/>
      <c r="AG261" s="286"/>
      <c r="AH261" s="284"/>
      <c r="AI261" s="286"/>
      <c r="AJ261" s="284"/>
      <c r="AK261" s="286"/>
      <c r="AL261" s="284"/>
      <c r="AM261" s="286"/>
      <c r="AN261" s="284" t="s">
        <v>130</v>
      </c>
      <c r="AO261" s="286"/>
      <c r="AP261" s="284"/>
      <c r="AQ261" s="286"/>
      <c r="AR261" s="284"/>
      <c r="AS261" s="286"/>
      <c r="AT261" s="284" t="s">
        <v>131</v>
      </c>
      <c r="AU261" s="285"/>
      <c r="AV261" s="285"/>
      <c r="AW261" s="285"/>
      <c r="AX261" s="285"/>
      <c r="AY261" s="285"/>
      <c r="AZ261" s="285"/>
      <c r="BA261" s="286"/>
      <c r="BB261" s="287" t="s">
        <v>341</v>
      </c>
      <c r="BC261" s="287"/>
      <c r="BD261" s="287"/>
      <c r="BE261" s="287"/>
      <c r="BF261" s="287"/>
      <c r="BG261" s="287"/>
      <c r="BH261" s="287"/>
      <c r="BI261" s="287"/>
      <c r="BJ261" s="288"/>
      <c r="BK261" s="288"/>
      <c r="BL261" s="288"/>
      <c r="BM261" s="288"/>
      <c r="BN261" s="288"/>
      <c r="BO261" s="288"/>
      <c r="BP261" s="288"/>
      <c r="BQ261" s="288"/>
      <c r="BR261" s="288"/>
      <c r="BS261" s="10"/>
      <c r="BT261" s="11"/>
    </row>
    <row r="262" spans="1:72" s="8" customFormat="1">
      <c r="A262" s="9"/>
      <c r="B262" s="80"/>
      <c r="C262" s="81"/>
      <c r="D262" s="81"/>
      <c r="E262" s="81"/>
      <c r="F262" s="81"/>
      <c r="G262" s="81"/>
      <c r="H262" s="81"/>
      <c r="I262" s="81"/>
      <c r="J262" s="83"/>
      <c r="K262" s="81"/>
      <c r="L262" s="81"/>
      <c r="M262" s="81"/>
      <c r="N262" s="81"/>
      <c r="O262" s="81"/>
      <c r="P262" s="81"/>
      <c r="Q262" s="82"/>
      <c r="R262" s="38">
        <v>2</v>
      </c>
      <c r="S262" s="36" t="s">
        <v>354</v>
      </c>
      <c r="T262" s="37"/>
      <c r="U262" s="37"/>
      <c r="V262" s="37"/>
      <c r="W262" s="37"/>
      <c r="X262" s="37"/>
      <c r="Y262" s="37"/>
      <c r="Z262" s="37"/>
      <c r="AA262" s="37"/>
      <c r="AB262" s="37"/>
      <c r="AC262" s="37"/>
      <c r="AD262" s="37"/>
      <c r="AE262" s="38"/>
      <c r="AF262" s="284"/>
      <c r="AG262" s="286"/>
      <c r="AH262" s="284"/>
      <c r="AI262" s="286"/>
      <c r="AJ262" s="284"/>
      <c r="AK262" s="286"/>
      <c r="AL262" s="284"/>
      <c r="AM262" s="286"/>
      <c r="AN262" s="284" t="s">
        <v>130</v>
      </c>
      <c r="AO262" s="286"/>
      <c r="AP262" s="284"/>
      <c r="AQ262" s="286"/>
      <c r="AR262" s="284"/>
      <c r="AS262" s="286"/>
      <c r="AT262" s="284" t="s">
        <v>143</v>
      </c>
      <c r="AU262" s="285"/>
      <c r="AV262" s="285"/>
      <c r="AW262" s="285"/>
      <c r="AX262" s="285"/>
      <c r="AY262" s="285"/>
      <c r="AZ262" s="285"/>
      <c r="BA262" s="286"/>
      <c r="BB262" s="287" t="s">
        <v>143</v>
      </c>
      <c r="BC262" s="287"/>
      <c r="BD262" s="287"/>
      <c r="BE262" s="287"/>
      <c r="BF262" s="287"/>
      <c r="BG262" s="287"/>
      <c r="BH262" s="287"/>
      <c r="BI262" s="287"/>
      <c r="BJ262" s="288"/>
      <c r="BK262" s="288"/>
      <c r="BL262" s="288"/>
      <c r="BM262" s="288"/>
      <c r="BN262" s="288"/>
      <c r="BO262" s="288"/>
      <c r="BP262" s="288"/>
      <c r="BQ262" s="288"/>
      <c r="BR262" s="288"/>
      <c r="BS262" s="10"/>
    </row>
    <row r="263" spans="1:72" s="8" customFormat="1">
      <c r="A263" s="9"/>
      <c r="B263" s="83"/>
      <c r="C263" s="81"/>
      <c r="D263" s="81"/>
      <c r="E263" s="81"/>
      <c r="F263" s="81"/>
      <c r="G263" s="81"/>
      <c r="H263" s="81"/>
      <c r="I263" s="81"/>
      <c r="J263" s="83"/>
      <c r="K263" s="81"/>
      <c r="L263" s="81"/>
      <c r="M263" s="81"/>
      <c r="N263" s="81"/>
      <c r="O263" s="81"/>
      <c r="P263" s="81"/>
      <c r="Q263" s="82"/>
      <c r="R263" s="38">
        <v>3</v>
      </c>
      <c r="S263" s="58" t="s">
        <v>346</v>
      </c>
      <c r="T263" s="37"/>
      <c r="U263" s="37"/>
      <c r="V263" s="37"/>
      <c r="W263" s="37"/>
      <c r="X263" s="37"/>
      <c r="Y263" s="37"/>
      <c r="Z263" s="37"/>
      <c r="AA263" s="37"/>
      <c r="AB263" s="37"/>
      <c r="AC263" s="37"/>
      <c r="AD263" s="37"/>
      <c r="AE263" s="38"/>
      <c r="AF263" s="284"/>
      <c r="AG263" s="286"/>
      <c r="AH263" s="284"/>
      <c r="AI263" s="286"/>
      <c r="AJ263" s="284"/>
      <c r="AK263" s="286"/>
      <c r="AL263" s="284"/>
      <c r="AM263" s="286"/>
      <c r="AN263" s="284" t="s">
        <v>130</v>
      </c>
      <c r="AO263" s="286"/>
      <c r="AP263" s="284"/>
      <c r="AQ263" s="286"/>
      <c r="AR263" s="284"/>
      <c r="AS263" s="286"/>
      <c r="AT263" s="284" t="s">
        <v>347</v>
      </c>
      <c r="AU263" s="285"/>
      <c r="AV263" s="285"/>
      <c r="AW263" s="285"/>
      <c r="AX263" s="285"/>
      <c r="AY263" s="285"/>
      <c r="AZ263" s="285"/>
      <c r="BA263" s="286"/>
      <c r="BB263" s="287" t="s">
        <v>201</v>
      </c>
      <c r="BC263" s="287"/>
      <c r="BD263" s="287"/>
      <c r="BE263" s="287"/>
      <c r="BF263" s="287"/>
      <c r="BG263" s="287"/>
      <c r="BH263" s="287"/>
      <c r="BI263" s="287"/>
      <c r="BJ263" s="288"/>
      <c r="BK263" s="288"/>
      <c r="BL263" s="288"/>
      <c r="BM263" s="288"/>
      <c r="BN263" s="288"/>
      <c r="BO263" s="288"/>
      <c r="BP263" s="288"/>
      <c r="BQ263" s="288"/>
      <c r="BR263" s="288"/>
      <c r="BS263" s="10"/>
      <c r="BT263" s="11"/>
    </row>
    <row r="264" spans="1:72" s="8" customFormat="1">
      <c r="A264" s="9"/>
      <c r="B264" s="87"/>
      <c r="C264" s="84"/>
      <c r="D264" s="84"/>
      <c r="E264" s="84"/>
      <c r="F264" s="84"/>
      <c r="G264" s="84"/>
      <c r="H264" s="84"/>
      <c r="I264" s="84"/>
      <c r="J264" s="86"/>
      <c r="K264" s="84"/>
      <c r="L264" s="84"/>
      <c r="M264" s="84"/>
      <c r="N264" s="84"/>
      <c r="O264" s="84"/>
      <c r="P264" s="84"/>
      <c r="Q264" s="85"/>
      <c r="R264" s="38">
        <v>4</v>
      </c>
      <c r="S264" s="36" t="s">
        <v>348</v>
      </c>
      <c r="T264" s="37"/>
      <c r="U264" s="37"/>
      <c r="V264" s="37"/>
      <c r="W264" s="37"/>
      <c r="X264" s="37"/>
      <c r="Y264" s="37"/>
      <c r="Z264" s="37"/>
      <c r="AA264" s="37"/>
      <c r="AB264" s="37"/>
      <c r="AC264" s="37"/>
      <c r="AD264" s="37"/>
      <c r="AE264" s="38"/>
      <c r="AF264" s="284"/>
      <c r="AG264" s="286"/>
      <c r="AH264" s="284"/>
      <c r="AI264" s="286"/>
      <c r="AJ264" s="284"/>
      <c r="AK264" s="286"/>
      <c r="AL264" s="284"/>
      <c r="AM264" s="286"/>
      <c r="AN264" s="284" t="s">
        <v>130</v>
      </c>
      <c r="AO264" s="286"/>
      <c r="AP264" s="284"/>
      <c r="AQ264" s="286"/>
      <c r="AR264" s="284"/>
      <c r="AS264" s="286"/>
      <c r="AT264" s="284" t="s">
        <v>347</v>
      </c>
      <c r="AU264" s="285"/>
      <c r="AV264" s="285"/>
      <c r="AW264" s="285"/>
      <c r="AX264" s="285"/>
      <c r="AY264" s="285"/>
      <c r="AZ264" s="285"/>
      <c r="BA264" s="286"/>
      <c r="BB264" s="287" t="s">
        <v>201</v>
      </c>
      <c r="BC264" s="287"/>
      <c r="BD264" s="287"/>
      <c r="BE264" s="287"/>
      <c r="BF264" s="287"/>
      <c r="BG264" s="287"/>
      <c r="BH264" s="287"/>
      <c r="BI264" s="287"/>
      <c r="BJ264" s="288"/>
      <c r="BK264" s="288"/>
      <c r="BL264" s="288"/>
      <c r="BM264" s="288"/>
      <c r="BN264" s="288"/>
      <c r="BO264" s="288"/>
      <c r="BP264" s="288"/>
      <c r="BQ264" s="288"/>
      <c r="BR264" s="288"/>
      <c r="BS264" s="10"/>
    </row>
    <row r="265" spans="1:72" s="8" customFormat="1">
      <c r="A265" s="9"/>
      <c r="B265" s="78" t="s">
        <v>355</v>
      </c>
      <c r="C265" s="73"/>
      <c r="D265" s="73"/>
      <c r="E265" s="73"/>
      <c r="F265" s="73"/>
      <c r="G265" s="73"/>
      <c r="H265" s="73"/>
      <c r="I265" s="73"/>
      <c r="J265" s="78" t="s">
        <v>356</v>
      </c>
      <c r="K265" s="73"/>
      <c r="L265" s="73"/>
      <c r="M265" s="73"/>
      <c r="N265" s="73"/>
      <c r="O265" s="73"/>
      <c r="P265" s="73"/>
      <c r="Q265" s="79"/>
      <c r="R265" s="38">
        <v>1</v>
      </c>
      <c r="S265" s="36" t="s">
        <v>357</v>
      </c>
      <c r="T265" s="37"/>
      <c r="U265" s="37"/>
      <c r="V265" s="37"/>
      <c r="W265" s="37"/>
      <c r="X265" s="37"/>
      <c r="Y265" s="37"/>
      <c r="Z265" s="37"/>
      <c r="AA265" s="37"/>
      <c r="AB265" s="37"/>
      <c r="AC265" s="37"/>
      <c r="AD265" s="37"/>
      <c r="AE265" s="38"/>
      <c r="AF265" s="284"/>
      <c r="AG265" s="286"/>
      <c r="AH265" s="284"/>
      <c r="AI265" s="286"/>
      <c r="AJ265" s="284"/>
      <c r="AK265" s="286"/>
      <c r="AL265" s="284"/>
      <c r="AM265" s="286"/>
      <c r="AN265" s="284"/>
      <c r="AO265" s="286"/>
      <c r="AP265" s="284" t="s">
        <v>130</v>
      </c>
      <c r="AQ265" s="286"/>
      <c r="AR265" s="284"/>
      <c r="AS265" s="286"/>
      <c r="AT265" s="284" t="s">
        <v>131</v>
      </c>
      <c r="AU265" s="285"/>
      <c r="AV265" s="285"/>
      <c r="AW265" s="285"/>
      <c r="AX265" s="285"/>
      <c r="AY265" s="285"/>
      <c r="AZ265" s="285"/>
      <c r="BA265" s="286"/>
      <c r="BB265" s="287" t="s">
        <v>205</v>
      </c>
      <c r="BC265" s="287"/>
      <c r="BD265" s="287"/>
      <c r="BE265" s="287"/>
      <c r="BF265" s="287"/>
      <c r="BG265" s="287"/>
      <c r="BH265" s="287"/>
      <c r="BI265" s="287"/>
      <c r="BJ265" s="288"/>
      <c r="BK265" s="288"/>
      <c r="BL265" s="288"/>
      <c r="BM265" s="288"/>
      <c r="BN265" s="288"/>
      <c r="BO265" s="288"/>
      <c r="BP265" s="288"/>
      <c r="BQ265" s="288"/>
      <c r="BR265" s="288"/>
      <c r="BS265" s="10"/>
      <c r="BT265" s="11"/>
    </row>
    <row r="266" spans="1:72" s="8" customFormat="1">
      <c r="A266" s="9"/>
      <c r="B266" s="80"/>
      <c r="C266" s="81"/>
      <c r="D266" s="81"/>
      <c r="E266" s="81"/>
      <c r="F266" s="81"/>
      <c r="G266" s="81"/>
      <c r="H266" s="81"/>
      <c r="I266" s="81"/>
      <c r="J266" s="83"/>
      <c r="K266" s="81"/>
      <c r="L266" s="81"/>
      <c r="M266" s="81"/>
      <c r="N266" s="81"/>
      <c r="O266" s="81"/>
      <c r="P266" s="81"/>
      <c r="Q266" s="82"/>
      <c r="R266" s="38">
        <v>2</v>
      </c>
      <c r="S266" s="36" t="s">
        <v>358</v>
      </c>
      <c r="T266" s="37"/>
      <c r="U266" s="37"/>
      <c r="V266" s="37"/>
      <c r="W266" s="37"/>
      <c r="X266" s="37"/>
      <c r="Y266" s="37"/>
      <c r="Z266" s="37"/>
      <c r="AA266" s="37"/>
      <c r="AB266" s="37"/>
      <c r="AC266" s="37"/>
      <c r="AD266" s="37"/>
      <c r="AE266" s="38"/>
      <c r="AF266" s="284"/>
      <c r="AG266" s="286"/>
      <c r="AH266" s="284"/>
      <c r="AI266" s="286"/>
      <c r="AJ266" s="284"/>
      <c r="AK266" s="286"/>
      <c r="AL266" s="284"/>
      <c r="AM266" s="286"/>
      <c r="AN266" s="284"/>
      <c r="AO266" s="286"/>
      <c r="AP266" s="284" t="s">
        <v>130</v>
      </c>
      <c r="AQ266" s="286"/>
      <c r="AR266" s="284"/>
      <c r="AS266" s="286"/>
      <c r="AT266" s="284" t="s">
        <v>131</v>
      </c>
      <c r="AU266" s="285"/>
      <c r="AV266" s="285"/>
      <c r="AW266" s="285"/>
      <c r="AX266" s="285"/>
      <c r="AY266" s="285"/>
      <c r="AZ266" s="285"/>
      <c r="BA266" s="286"/>
      <c r="BB266" s="284" t="s">
        <v>224</v>
      </c>
      <c r="BC266" s="285"/>
      <c r="BD266" s="285"/>
      <c r="BE266" s="285"/>
      <c r="BF266" s="285"/>
      <c r="BG266" s="285"/>
      <c r="BH266" s="285"/>
      <c r="BI266" s="286"/>
      <c r="BJ266" s="288"/>
      <c r="BK266" s="288"/>
      <c r="BL266" s="288"/>
      <c r="BM266" s="288"/>
      <c r="BN266" s="288"/>
      <c r="BO266" s="288"/>
      <c r="BP266" s="288"/>
      <c r="BQ266" s="288"/>
      <c r="BR266" s="288"/>
      <c r="BS266" s="10"/>
    </row>
    <row r="267" spans="1:72" s="8" customFormat="1">
      <c r="A267" s="9"/>
      <c r="B267" s="83"/>
      <c r="C267" s="81"/>
      <c r="D267" s="81"/>
      <c r="E267" s="81"/>
      <c r="F267" s="81"/>
      <c r="G267" s="81"/>
      <c r="H267" s="81"/>
      <c r="I267" s="81"/>
      <c r="J267" s="83"/>
      <c r="K267" s="81"/>
      <c r="L267" s="81"/>
      <c r="M267" s="81"/>
      <c r="N267" s="81"/>
      <c r="O267" s="81"/>
      <c r="P267" s="81"/>
      <c r="Q267" s="82"/>
      <c r="R267" s="38">
        <v>3</v>
      </c>
      <c r="S267" s="36" t="s">
        <v>359</v>
      </c>
      <c r="T267" s="37"/>
      <c r="U267" s="37"/>
      <c r="V267" s="37"/>
      <c r="W267" s="37"/>
      <c r="X267" s="37"/>
      <c r="Y267" s="37"/>
      <c r="Z267" s="37"/>
      <c r="AA267" s="37"/>
      <c r="AB267" s="37"/>
      <c r="AC267" s="37"/>
      <c r="AD267" s="37"/>
      <c r="AE267" s="38"/>
      <c r="AF267" s="284"/>
      <c r="AG267" s="286"/>
      <c r="AH267" s="284"/>
      <c r="AI267" s="286"/>
      <c r="AJ267" s="284"/>
      <c r="AK267" s="286"/>
      <c r="AL267" s="284"/>
      <c r="AM267" s="286"/>
      <c r="AN267" s="284"/>
      <c r="AO267" s="286"/>
      <c r="AP267" s="284" t="s">
        <v>130</v>
      </c>
      <c r="AQ267" s="286"/>
      <c r="AR267" s="284"/>
      <c r="AS267" s="286"/>
      <c r="AT267" s="284" t="s">
        <v>131</v>
      </c>
      <c r="AU267" s="285"/>
      <c r="AV267" s="285"/>
      <c r="AW267" s="285"/>
      <c r="AX267" s="285"/>
      <c r="AY267" s="285"/>
      <c r="AZ267" s="285"/>
      <c r="BA267" s="286"/>
      <c r="BB267" s="287" t="s">
        <v>360</v>
      </c>
      <c r="BC267" s="287"/>
      <c r="BD267" s="287"/>
      <c r="BE267" s="287"/>
      <c r="BF267" s="287"/>
      <c r="BG267" s="287"/>
      <c r="BH267" s="287"/>
      <c r="BI267" s="287"/>
      <c r="BJ267" s="288"/>
      <c r="BK267" s="288"/>
      <c r="BL267" s="288"/>
      <c r="BM267" s="288"/>
      <c r="BN267" s="288"/>
      <c r="BO267" s="288"/>
      <c r="BP267" s="288"/>
      <c r="BQ267" s="288"/>
      <c r="BR267" s="288"/>
      <c r="BS267" s="10"/>
      <c r="BT267" s="11"/>
    </row>
    <row r="268" spans="1:72" s="8" customFormat="1">
      <c r="A268" s="9"/>
      <c r="B268" s="80"/>
      <c r="C268" s="81"/>
      <c r="D268" s="81"/>
      <c r="E268" s="81"/>
      <c r="F268" s="81"/>
      <c r="G268" s="81"/>
      <c r="H268" s="81"/>
      <c r="I268" s="81"/>
      <c r="J268" s="83"/>
      <c r="K268" s="81"/>
      <c r="L268" s="81"/>
      <c r="M268" s="81"/>
      <c r="N268" s="81"/>
      <c r="O268" s="81"/>
      <c r="P268" s="81"/>
      <c r="Q268" s="82"/>
      <c r="R268" s="38">
        <v>4</v>
      </c>
      <c r="S268" s="36" t="s">
        <v>361</v>
      </c>
      <c r="T268" s="37"/>
      <c r="U268" s="37"/>
      <c r="V268" s="37"/>
      <c r="W268" s="37"/>
      <c r="X268" s="37"/>
      <c r="Y268" s="37"/>
      <c r="Z268" s="37"/>
      <c r="AA268" s="37"/>
      <c r="AB268" s="37"/>
      <c r="AC268" s="37"/>
      <c r="AD268" s="37"/>
      <c r="AE268" s="38"/>
      <c r="AF268" s="284"/>
      <c r="AG268" s="286"/>
      <c r="AH268" s="284"/>
      <c r="AI268" s="286"/>
      <c r="AJ268" s="284"/>
      <c r="AK268" s="286"/>
      <c r="AL268" s="284"/>
      <c r="AM268" s="286"/>
      <c r="AN268" s="284"/>
      <c r="AO268" s="286"/>
      <c r="AP268" s="284" t="s">
        <v>130</v>
      </c>
      <c r="AQ268" s="286"/>
      <c r="AR268" s="284"/>
      <c r="AS268" s="286"/>
      <c r="AT268" s="284" t="s">
        <v>131</v>
      </c>
      <c r="AU268" s="285"/>
      <c r="AV268" s="285"/>
      <c r="AW268" s="285"/>
      <c r="AX268" s="285"/>
      <c r="AY268" s="285"/>
      <c r="AZ268" s="285"/>
      <c r="BA268" s="286"/>
      <c r="BB268" s="284" t="s">
        <v>362</v>
      </c>
      <c r="BC268" s="285"/>
      <c r="BD268" s="285"/>
      <c r="BE268" s="285"/>
      <c r="BF268" s="285"/>
      <c r="BG268" s="285"/>
      <c r="BH268" s="285"/>
      <c r="BI268" s="286"/>
      <c r="BJ268" s="288"/>
      <c r="BK268" s="288"/>
      <c r="BL268" s="288"/>
      <c r="BM268" s="288"/>
      <c r="BN268" s="288"/>
      <c r="BO268" s="288"/>
      <c r="BP268" s="288"/>
      <c r="BQ268" s="288"/>
      <c r="BR268" s="288"/>
      <c r="BS268" s="10"/>
    </row>
    <row r="269" spans="1:72" s="8" customFormat="1">
      <c r="A269" s="9"/>
      <c r="B269" s="86"/>
      <c r="C269" s="84"/>
      <c r="D269" s="84"/>
      <c r="E269" s="84"/>
      <c r="F269" s="84"/>
      <c r="G269" s="84"/>
      <c r="H269" s="84"/>
      <c r="I269" s="84"/>
      <c r="J269" s="86"/>
      <c r="K269" s="84"/>
      <c r="L269" s="84"/>
      <c r="M269" s="84"/>
      <c r="N269" s="84"/>
      <c r="O269" s="84"/>
      <c r="P269" s="84"/>
      <c r="Q269" s="85"/>
      <c r="R269" s="38">
        <v>5</v>
      </c>
      <c r="S269" s="36" t="s">
        <v>363</v>
      </c>
      <c r="T269" s="37"/>
      <c r="U269" s="37"/>
      <c r="V269" s="37"/>
      <c r="W269" s="37"/>
      <c r="X269" s="37"/>
      <c r="Y269" s="37"/>
      <c r="Z269" s="37"/>
      <c r="AA269" s="37"/>
      <c r="AB269" s="37"/>
      <c r="AC269" s="37"/>
      <c r="AD269" s="37"/>
      <c r="AE269" s="38"/>
      <c r="AF269" s="284"/>
      <c r="AG269" s="286"/>
      <c r="AH269" s="284"/>
      <c r="AI269" s="286"/>
      <c r="AJ269" s="284"/>
      <c r="AK269" s="286"/>
      <c r="AL269" s="284"/>
      <c r="AM269" s="286"/>
      <c r="AN269" s="284"/>
      <c r="AO269" s="286"/>
      <c r="AP269" s="284" t="s">
        <v>130</v>
      </c>
      <c r="AQ269" s="286"/>
      <c r="AR269" s="284"/>
      <c r="AS269" s="286"/>
      <c r="AT269" s="284" t="s">
        <v>131</v>
      </c>
      <c r="AU269" s="285"/>
      <c r="AV269" s="285"/>
      <c r="AW269" s="285"/>
      <c r="AX269" s="285"/>
      <c r="AY269" s="285"/>
      <c r="AZ269" s="285"/>
      <c r="BA269" s="286"/>
      <c r="BB269" s="287" t="s">
        <v>362</v>
      </c>
      <c r="BC269" s="287"/>
      <c r="BD269" s="287"/>
      <c r="BE269" s="287"/>
      <c r="BF269" s="287"/>
      <c r="BG269" s="287"/>
      <c r="BH269" s="287"/>
      <c r="BI269" s="287"/>
      <c r="BJ269" s="288" t="s">
        <v>364</v>
      </c>
      <c r="BK269" s="288"/>
      <c r="BL269" s="288"/>
      <c r="BM269" s="288"/>
      <c r="BN269" s="288"/>
      <c r="BO269" s="288"/>
      <c r="BP269" s="288"/>
      <c r="BQ269" s="288"/>
      <c r="BR269" s="288"/>
      <c r="BS269" s="10"/>
      <c r="BT269" s="11"/>
    </row>
    <row r="270" spans="1:72" s="8" customFormat="1">
      <c r="A270" s="9"/>
      <c r="B270" s="78" t="s">
        <v>365</v>
      </c>
      <c r="C270" s="73"/>
      <c r="D270" s="73"/>
      <c r="E270" s="73"/>
      <c r="F270" s="73"/>
      <c r="G270" s="73"/>
      <c r="H270" s="73"/>
      <c r="I270" s="73"/>
      <c r="J270" s="78" t="s">
        <v>365</v>
      </c>
      <c r="K270" s="73"/>
      <c r="L270" s="73"/>
      <c r="M270" s="73"/>
      <c r="N270" s="73"/>
      <c r="O270" s="73"/>
      <c r="P270" s="73"/>
      <c r="Q270" s="79"/>
      <c r="R270" s="38">
        <v>1</v>
      </c>
      <c r="S270" s="36" t="s">
        <v>366</v>
      </c>
      <c r="T270" s="37"/>
      <c r="U270" s="37"/>
      <c r="V270" s="37"/>
      <c r="W270" s="37"/>
      <c r="X270" s="37"/>
      <c r="Y270" s="37"/>
      <c r="Z270" s="37"/>
      <c r="AA270" s="37"/>
      <c r="AB270" s="37"/>
      <c r="AC270" s="37"/>
      <c r="AD270" s="37"/>
      <c r="AE270" s="38"/>
      <c r="AF270" s="284"/>
      <c r="AG270" s="286"/>
      <c r="AH270" s="284" t="s">
        <v>130</v>
      </c>
      <c r="AI270" s="286"/>
      <c r="AJ270" s="284" t="s">
        <v>130</v>
      </c>
      <c r="AK270" s="286"/>
      <c r="AL270" s="284"/>
      <c r="AM270" s="286"/>
      <c r="AN270" s="284"/>
      <c r="AO270" s="286"/>
      <c r="AP270" s="284"/>
      <c r="AQ270" s="286"/>
      <c r="AR270" s="284"/>
      <c r="AS270" s="286"/>
      <c r="AT270" s="284" t="s">
        <v>131</v>
      </c>
      <c r="AU270" s="285"/>
      <c r="AV270" s="285"/>
      <c r="AW270" s="285"/>
      <c r="AX270" s="285"/>
      <c r="AY270" s="285"/>
      <c r="AZ270" s="285"/>
      <c r="BA270" s="286"/>
      <c r="BB270" s="287" t="s">
        <v>367</v>
      </c>
      <c r="BC270" s="287"/>
      <c r="BD270" s="287"/>
      <c r="BE270" s="287"/>
      <c r="BF270" s="287"/>
      <c r="BG270" s="287"/>
      <c r="BH270" s="287"/>
      <c r="BI270" s="287"/>
      <c r="BJ270" s="288"/>
      <c r="BK270" s="288"/>
      <c r="BL270" s="288"/>
      <c r="BM270" s="288"/>
      <c r="BN270" s="288"/>
      <c r="BO270" s="288"/>
      <c r="BP270" s="288"/>
      <c r="BQ270" s="288"/>
      <c r="BR270" s="288"/>
      <c r="BS270" s="10"/>
      <c r="BT270" s="11"/>
    </row>
    <row r="271" spans="1:72" s="8" customFormat="1">
      <c r="A271" s="9"/>
      <c r="B271" s="80"/>
      <c r="C271" s="81" t="s">
        <v>368</v>
      </c>
      <c r="D271" s="81"/>
      <c r="E271" s="81"/>
      <c r="F271" s="81"/>
      <c r="G271" s="81"/>
      <c r="H271" s="81"/>
      <c r="I271" s="81"/>
      <c r="J271" s="83"/>
      <c r="K271" s="81" t="s">
        <v>368</v>
      </c>
      <c r="L271" s="81"/>
      <c r="M271" s="81"/>
      <c r="N271" s="81"/>
      <c r="O271" s="81"/>
      <c r="P271" s="81"/>
      <c r="Q271" s="82"/>
      <c r="R271" s="38">
        <v>2</v>
      </c>
      <c r="S271" s="36" t="s">
        <v>369</v>
      </c>
      <c r="T271" s="37"/>
      <c r="U271" s="37"/>
      <c r="V271" s="37"/>
      <c r="W271" s="37"/>
      <c r="X271" s="37"/>
      <c r="Y271" s="37"/>
      <c r="Z271" s="37"/>
      <c r="AA271" s="37"/>
      <c r="AB271" s="37"/>
      <c r="AC271" s="37"/>
      <c r="AD271" s="37"/>
      <c r="AE271" s="38"/>
      <c r="AF271" s="284"/>
      <c r="AG271" s="286"/>
      <c r="AH271" s="284"/>
      <c r="AI271" s="286"/>
      <c r="AJ271" s="284"/>
      <c r="AK271" s="286"/>
      <c r="AL271" s="284"/>
      <c r="AM271" s="286"/>
      <c r="AN271" s="284"/>
      <c r="AO271" s="286"/>
      <c r="AP271" s="284"/>
      <c r="AQ271" s="286"/>
      <c r="AR271" s="284" t="s">
        <v>130</v>
      </c>
      <c r="AS271" s="286"/>
      <c r="AT271" s="284" t="s">
        <v>131</v>
      </c>
      <c r="AU271" s="285"/>
      <c r="AV271" s="285"/>
      <c r="AW271" s="285"/>
      <c r="AX271" s="285"/>
      <c r="AY271" s="285"/>
      <c r="AZ271" s="285"/>
      <c r="BA271" s="286"/>
      <c r="BB271" s="284" t="s">
        <v>369</v>
      </c>
      <c r="BC271" s="285"/>
      <c r="BD271" s="285"/>
      <c r="BE271" s="285"/>
      <c r="BF271" s="285"/>
      <c r="BG271" s="285"/>
      <c r="BH271" s="285"/>
      <c r="BI271" s="286"/>
      <c r="BJ271" s="288"/>
      <c r="BK271" s="288"/>
      <c r="BL271" s="288"/>
      <c r="BM271" s="288"/>
      <c r="BN271" s="288"/>
      <c r="BO271" s="288"/>
      <c r="BP271" s="288"/>
      <c r="BQ271" s="288"/>
      <c r="BR271" s="288"/>
      <c r="BS271" s="10"/>
    </row>
    <row r="272" spans="1:72" s="8" customFormat="1">
      <c r="A272" s="9"/>
      <c r="B272" s="83"/>
      <c r="C272" s="81"/>
      <c r="D272" s="81"/>
      <c r="E272" s="81"/>
      <c r="F272" s="81"/>
      <c r="G272" s="81"/>
      <c r="H272" s="81"/>
      <c r="I272" s="81"/>
      <c r="J272" s="83"/>
      <c r="K272" s="81"/>
      <c r="L272" s="81"/>
      <c r="M272" s="81"/>
      <c r="N272" s="81"/>
      <c r="O272" s="81"/>
      <c r="P272" s="81"/>
      <c r="Q272" s="82"/>
      <c r="R272" s="38">
        <v>1</v>
      </c>
      <c r="S272" s="36" t="s">
        <v>129</v>
      </c>
      <c r="T272" s="37"/>
      <c r="U272" s="37"/>
      <c r="V272" s="37"/>
      <c r="W272" s="37"/>
      <c r="X272" s="37"/>
      <c r="Y272" s="37"/>
      <c r="Z272" s="37"/>
      <c r="AA272" s="37"/>
      <c r="AB272" s="37"/>
      <c r="AC272" s="37"/>
      <c r="AD272" s="37"/>
      <c r="AE272" s="38"/>
      <c r="AF272" s="284"/>
      <c r="AG272" s="286"/>
      <c r="AH272" s="284" t="s">
        <v>130</v>
      </c>
      <c r="AI272" s="286"/>
      <c r="AJ272" s="284"/>
      <c r="AK272" s="286"/>
      <c r="AL272" s="284"/>
      <c r="AM272" s="286"/>
      <c r="AN272" s="284"/>
      <c r="AO272" s="286"/>
      <c r="AP272" s="284"/>
      <c r="AQ272" s="286"/>
      <c r="AR272" s="284"/>
      <c r="AS272" s="286"/>
      <c r="AT272" s="284" t="s">
        <v>131</v>
      </c>
      <c r="AU272" s="285"/>
      <c r="AV272" s="285"/>
      <c r="AW272" s="285"/>
      <c r="AX272" s="285"/>
      <c r="AY272" s="285"/>
      <c r="AZ272" s="285"/>
      <c r="BA272" s="286"/>
      <c r="BB272" s="287" t="s">
        <v>132</v>
      </c>
      <c r="BC272" s="287"/>
      <c r="BD272" s="287"/>
      <c r="BE272" s="287"/>
      <c r="BF272" s="287"/>
      <c r="BG272" s="287"/>
      <c r="BH272" s="287"/>
      <c r="BI272" s="287"/>
      <c r="BJ272" s="288"/>
      <c r="BK272" s="288"/>
      <c r="BL272" s="288"/>
      <c r="BM272" s="288"/>
      <c r="BN272" s="288"/>
      <c r="BO272" s="288"/>
      <c r="BP272" s="288"/>
      <c r="BQ272" s="288"/>
      <c r="BR272" s="288"/>
      <c r="BS272" s="10"/>
      <c r="BT272" s="11"/>
    </row>
    <row r="273" spans="1:72" s="8" customFormat="1">
      <c r="A273" s="9"/>
      <c r="B273" s="80"/>
      <c r="C273" s="81"/>
      <c r="D273" s="81"/>
      <c r="E273" s="81"/>
      <c r="F273" s="81"/>
      <c r="G273" s="81"/>
      <c r="H273" s="81"/>
      <c r="I273" s="81"/>
      <c r="J273" s="83"/>
      <c r="K273" s="81"/>
      <c r="L273" s="81"/>
      <c r="M273" s="81"/>
      <c r="N273" s="81"/>
      <c r="O273" s="81"/>
      <c r="P273" s="81"/>
      <c r="Q273" s="82"/>
      <c r="R273" s="38">
        <v>2</v>
      </c>
      <c r="S273" s="36" t="s">
        <v>133</v>
      </c>
      <c r="T273" s="37"/>
      <c r="U273" s="37"/>
      <c r="V273" s="37"/>
      <c r="W273" s="37"/>
      <c r="X273" s="37"/>
      <c r="Y273" s="37"/>
      <c r="Z273" s="37"/>
      <c r="AA273" s="37"/>
      <c r="AB273" s="37"/>
      <c r="AC273" s="37"/>
      <c r="AD273" s="37"/>
      <c r="AE273" s="38"/>
      <c r="AF273" s="284"/>
      <c r="AG273" s="286"/>
      <c r="AH273" s="284" t="s">
        <v>130</v>
      </c>
      <c r="AI273" s="286"/>
      <c r="AJ273" s="284"/>
      <c r="AK273" s="286"/>
      <c r="AL273" s="284"/>
      <c r="AM273" s="286"/>
      <c r="AN273" s="284"/>
      <c r="AO273" s="286"/>
      <c r="AP273" s="284"/>
      <c r="AQ273" s="286"/>
      <c r="AR273" s="284"/>
      <c r="AS273" s="286"/>
      <c r="AT273" s="284" t="s">
        <v>131</v>
      </c>
      <c r="AU273" s="285"/>
      <c r="AV273" s="285"/>
      <c r="AW273" s="285"/>
      <c r="AX273" s="285"/>
      <c r="AY273" s="285"/>
      <c r="AZ273" s="285"/>
      <c r="BA273" s="286"/>
      <c r="BB273" s="284" t="s">
        <v>134</v>
      </c>
      <c r="BC273" s="285"/>
      <c r="BD273" s="285"/>
      <c r="BE273" s="285"/>
      <c r="BF273" s="285"/>
      <c r="BG273" s="285"/>
      <c r="BH273" s="285"/>
      <c r="BI273" s="286"/>
      <c r="BJ273" s="288"/>
      <c r="BK273" s="288"/>
      <c r="BL273" s="288"/>
      <c r="BM273" s="288"/>
      <c r="BN273" s="288"/>
      <c r="BO273" s="288"/>
      <c r="BP273" s="288"/>
      <c r="BQ273" s="288"/>
      <c r="BR273" s="288"/>
      <c r="BS273" s="10"/>
    </row>
    <row r="274" spans="1:72" s="8" customFormat="1">
      <c r="A274" s="9"/>
      <c r="B274" s="83"/>
      <c r="C274" s="81"/>
      <c r="D274" s="81"/>
      <c r="E274" s="81"/>
      <c r="F274" s="81"/>
      <c r="G274" s="81"/>
      <c r="H274" s="81"/>
      <c r="I274" s="81"/>
      <c r="J274" s="83"/>
      <c r="K274" s="81"/>
      <c r="L274" s="81"/>
      <c r="M274" s="81"/>
      <c r="N274" s="81"/>
      <c r="O274" s="81"/>
      <c r="P274" s="81"/>
      <c r="Q274" s="82"/>
      <c r="R274" s="38">
        <v>3</v>
      </c>
      <c r="S274" s="36" t="s">
        <v>135</v>
      </c>
      <c r="T274" s="37"/>
      <c r="U274" s="37"/>
      <c r="V274" s="37"/>
      <c r="W274" s="37"/>
      <c r="X274" s="37"/>
      <c r="Y274" s="37"/>
      <c r="Z274" s="37"/>
      <c r="AA274" s="37"/>
      <c r="AB274" s="37"/>
      <c r="AC274" s="37"/>
      <c r="AD274" s="37"/>
      <c r="AE274" s="38"/>
      <c r="AF274" s="284"/>
      <c r="AG274" s="286"/>
      <c r="AH274" s="284" t="s">
        <v>130</v>
      </c>
      <c r="AI274" s="286"/>
      <c r="AJ274" s="284"/>
      <c r="AK274" s="286"/>
      <c r="AL274" s="284"/>
      <c r="AM274" s="286"/>
      <c r="AN274" s="284"/>
      <c r="AO274" s="286"/>
      <c r="AP274" s="284"/>
      <c r="AQ274" s="286"/>
      <c r="AR274" s="284"/>
      <c r="AS274" s="286"/>
      <c r="AT274" s="284" t="s">
        <v>131</v>
      </c>
      <c r="AU274" s="285"/>
      <c r="AV274" s="285"/>
      <c r="AW274" s="285"/>
      <c r="AX274" s="285"/>
      <c r="AY274" s="285"/>
      <c r="AZ274" s="285"/>
      <c r="BA274" s="286"/>
      <c r="BB274" s="284" t="s">
        <v>136</v>
      </c>
      <c r="BC274" s="285"/>
      <c r="BD274" s="285"/>
      <c r="BE274" s="285"/>
      <c r="BF274" s="285"/>
      <c r="BG274" s="285"/>
      <c r="BH274" s="285"/>
      <c r="BI274" s="286"/>
      <c r="BJ274" s="288"/>
      <c r="BK274" s="288"/>
      <c r="BL274" s="288"/>
      <c r="BM274" s="288"/>
      <c r="BN274" s="288"/>
      <c r="BO274" s="288"/>
      <c r="BP274" s="288"/>
      <c r="BQ274" s="288"/>
      <c r="BR274" s="288"/>
      <c r="BS274" s="10"/>
      <c r="BT274" s="11"/>
    </row>
    <row r="275" spans="1:72" s="8" customFormat="1">
      <c r="A275" s="9"/>
      <c r="B275" s="80"/>
      <c r="C275" s="81"/>
      <c r="D275" s="81"/>
      <c r="E275" s="81"/>
      <c r="F275" s="81"/>
      <c r="G275" s="81"/>
      <c r="H275" s="81"/>
      <c r="I275" s="81"/>
      <c r="J275" s="83"/>
      <c r="K275" s="81"/>
      <c r="L275" s="81"/>
      <c r="M275" s="81"/>
      <c r="N275" s="81"/>
      <c r="O275" s="81"/>
      <c r="P275" s="81"/>
      <c r="Q275" s="82"/>
      <c r="R275" s="38">
        <v>4</v>
      </c>
      <c r="S275" s="36" t="s">
        <v>137</v>
      </c>
      <c r="T275" s="37"/>
      <c r="U275" s="37"/>
      <c r="V275" s="37"/>
      <c r="W275" s="37"/>
      <c r="X275" s="37"/>
      <c r="Y275" s="37"/>
      <c r="Z275" s="37"/>
      <c r="AA275" s="37"/>
      <c r="AB275" s="37"/>
      <c r="AC275" s="37"/>
      <c r="AD275" s="37"/>
      <c r="AE275" s="38"/>
      <c r="AF275" s="284"/>
      <c r="AG275" s="286"/>
      <c r="AH275" s="284"/>
      <c r="AI275" s="286"/>
      <c r="AJ275" s="284"/>
      <c r="AK275" s="286"/>
      <c r="AL275" s="284"/>
      <c r="AM275" s="286"/>
      <c r="AN275" s="284"/>
      <c r="AO275" s="286"/>
      <c r="AP275" s="284"/>
      <c r="AQ275" s="286"/>
      <c r="AR275" s="284" t="s">
        <v>130</v>
      </c>
      <c r="AS275" s="286"/>
      <c r="AT275" s="284" t="s">
        <v>131</v>
      </c>
      <c r="AU275" s="285"/>
      <c r="AV275" s="285"/>
      <c r="AW275" s="285"/>
      <c r="AX275" s="285"/>
      <c r="AY275" s="285"/>
      <c r="AZ275" s="285"/>
      <c r="BA275" s="286"/>
      <c r="BB275" s="284" t="s">
        <v>138</v>
      </c>
      <c r="BC275" s="285"/>
      <c r="BD275" s="285"/>
      <c r="BE275" s="285"/>
      <c r="BF275" s="285"/>
      <c r="BG275" s="285"/>
      <c r="BH275" s="285"/>
      <c r="BI275" s="286"/>
      <c r="BJ275" s="288"/>
      <c r="BK275" s="288"/>
      <c r="BL275" s="288"/>
      <c r="BM275" s="288"/>
      <c r="BN275" s="288"/>
      <c r="BO275" s="288"/>
      <c r="BP275" s="288"/>
      <c r="BQ275" s="288"/>
      <c r="BR275" s="288"/>
      <c r="BS275" s="10"/>
    </row>
    <row r="276" spans="1:72" s="8" customFormat="1">
      <c r="A276" s="9"/>
      <c r="B276" s="86"/>
      <c r="C276" s="84"/>
      <c r="D276" s="84"/>
      <c r="E276" s="84"/>
      <c r="F276" s="84"/>
      <c r="G276" s="84"/>
      <c r="H276" s="84"/>
      <c r="I276" s="84"/>
      <c r="J276" s="86"/>
      <c r="K276" s="84"/>
      <c r="L276" s="84"/>
      <c r="M276" s="84"/>
      <c r="N276" s="84"/>
      <c r="O276" s="84"/>
      <c r="P276" s="84"/>
      <c r="Q276" s="85"/>
      <c r="R276" s="38">
        <v>5</v>
      </c>
      <c r="S276" s="55" t="s">
        <v>139</v>
      </c>
      <c r="T276" s="37"/>
      <c r="U276" s="37"/>
      <c r="V276" s="37"/>
      <c r="W276" s="37"/>
      <c r="X276" s="37"/>
      <c r="Y276" s="37"/>
      <c r="Z276" s="37"/>
      <c r="AA276" s="37"/>
      <c r="AB276" s="37"/>
      <c r="AC276" s="37"/>
      <c r="AD276" s="37"/>
      <c r="AE276" s="38"/>
      <c r="AF276" s="284"/>
      <c r="AG276" s="286"/>
      <c r="AH276" s="284" t="s">
        <v>130</v>
      </c>
      <c r="AI276" s="286"/>
      <c r="AJ276" s="284"/>
      <c r="AK276" s="286"/>
      <c r="AL276" s="284"/>
      <c r="AM276" s="286"/>
      <c r="AN276" s="284"/>
      <c r="AO276" s="286"/>
      <c r="AP276" s="284"/>
      <c r="AQ276" s="286"/>
      <c r="AR276" s="284"/>
      <c r="AS276" s="286"/>
      <c r="AT276" s="284" t="s">
        <v>131</v>
      </c>
      <c r="AU276" s="285"/>
      <c r="AV276" s="285"/>
      <c r="AW276" s="285"/>
      <c r="AX276" s="285"/>
      <c r="AY276" s="285"/>
      <c r="AZ276" s="285"/>
      <c r="BA276" s="286"/>
      <c r="BB276" s="294" t="s">
        <v>140</v>
      </c>
      <c r="BC276" s="287"/>
      <c r="BD276" s="287"/>
      <c r="BE276" s="287"/>
      <c r="BF276" s="287"/>
      <c r="BG276" s="287"/>
      <c r="BH276" s="287"/>
      <c r="BI276" s="287"/>
      <c r="BJ276" s="288"/>
      <c r="BK276" s="288"/>
      <c r="BL276" s="288"/>
      <c r="BM276" s="288"/>
      <c r="BN276" s="288"/>
      <c r="BO276" s="288"/>
      <c r="BP276" s="288"/>
      <c r="BQ276" s="288"/>
      <c r="BR276" s="288"/>
      <c r="BS276" s="10"/>
      <c r="BT276" s="11"/>
    </row>
    <row r="277" spans="1:72">
      <c r="A277" s="12"/>
      <c r="B277" s="88"/>
      <c r="C277" s="88"/>
      <c r="D277" s="88"/>
      <c r="E277" s="88"/>
      <c r="F277" s="88"/>
      <c r="G277" s="88"/>
      <c r="H277" s="88"/>
      <c r="I277" s="88"/>
      <c r="J277" s="88"/>
      <c r="K277" s="88"/>
      <c r="L277" s="88"/>
      <c r="M277" s="88"/>
      <c r="N277" s="88"/>
      <c r="O277" s="88"/>
      <c r="P277" s="88"/>
      <c r="Q277" s="88"/>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295"/>
      <c r="BK277" s="295"/>
      <c r="BL277" s="295"/>
      <c r="BM277" s="295"/>
      <c r="BN277" s="295"/>
      <c r="BO277" s="295"/>
      <c r="BP277" s="295"/>
      <c r="BQ277" s="295"/>
      <c r="BR277" s="295"/>
      <c r="BS277" s="14"/>
    </row>
  </sheetData>
  <mergeCells count="2670">
    <mergeCell ref="AF271:AG271"/>
    <mergeCell ref="AH271:AI271"/>
    <mergeCell ref="AJ271:AK271"/>
    <mergeCell ref="AL271:AM271"/>
    <mergeCell ref="AN271:AO271"/>
    <mergeCell ref="AP271:AQ271"/>
    <mergeCell ref="AR271:AS271"/>
    <mergeCell ref="AT271:BA271"/>
    <mergeCell ref="BB271:BI271"/>
    <mergeCell ref="BJ271:BR271"/>
    <mergeCell ref="AF272:AG272"/>
    <mergeCell ref="AH272:AI272"/>
    <mergeCell ref="AJ272:AK272"/>
    <mergeCell ref="AL272:AM272"/>
    <mergeCell ref="AN272:AO272"/>
    <mergeCell ref="AP272:AQ272"/>
    <mergeCell ref="AR272:AS272"/>
    <mergeCell ref="AT272:BA272"/>
    <mergeCell ref="BB272:BI272"/>
    <mergeCell ref="BJ272:BR272"/>
    <mergeCell ref="AF268:AG268"/>
    <mergeCell ref="AH268:AI268"/>
    <mergeCell ref="AJ268:AK268"/>
    <mergeCell ref="AL268:AM268"/>
    <mergeCell ref="AN268:AO268"/>
    <mergeCell ref="AP268:AQ268"/>
    <mergeCell ref="AR268:AS268"/>
    <mergeCell ref="AT268:BA268"/>
    <mergeCell ref="BB268:BI268"/>
    <mergeCell ref="BJ268:BR268"/>
    <mergeCell ref="AF269:AG269"/>
    <mergeCell ref="AH269:AI269"/>
    <mergeCell ref="AJ269:AK269"/>
    <mergeCell ref="AL269:AM269"/>
    <mergeCell ref="AN269:AO269"/>
    <mergeCell ref="AP269:AQ269"/>
    <mergeCell ref="AR269:AS269"/>
    <mergeCell ref="AT269:BA269"/>
    <mergeCell ref="BB269:BI269"/>
    <mergeCell ref="BJ269:BR269"/>
    <mergeCell ref="BB265:BI265"/>
    <mergeCell ref="BJ265:BR265"/>
    <mergeCell ref="AF266:AG266"/>
    <mergeCell ref="AH266:AI266"/>
    <mergeCell ref="AJ266:AK266"/>
    <mergeCell ref="AL266:AM266"/>
    <mergeCell ref="AN266:AO266"/>
    <mergeCell ref="AP266:AQ266"/>
    <mergeCell ref="AR266:AS266"/>
    <mergeCell ref="AT266:BA266"/>
    <mergeCell ref="BB266:BI266"/>
    <mergeCell ref="BJ266:BR266"/>
    <mergeCell ref="AF267:AG267"/>
    <mergeCell ref="AH267:AI267"/>
    <mergeCell ref="AJ267:AK267"/>
    <mergeCell ref="AL267:AM267"/>
    <mergeCell ref="AN267:AO267"/>
    <mergeCell ref="AP267:AQ267"/>
    <mergeCell ref="AR267:AS267"/>
    <mergeCell ref="AT267:BA267"/>
    <mergeCell ref="BB267:BI267"/>
    <mergeCell ref="BJ267:BR267"/>
    <mergeCell ref="AH60:AI60"/>
    <mergeCell ref="AJ60:AK60"/>
    <mergeCell ref="AL60:AM60"/>
    <mergeCell ref="AF222:AG222"/>
    <mergeCell ref="AH222:AI222"/>
    <mergeCell ref="AJ222:AK222"/>
    <mergeCell ref="AL222:AM222"/>
    <mergeCell ref="AN222:AO222"/>
    <mergeCell ref="AP222:AQ222"/>
    <mergeCell ref="AR222:AS222"/>
    <mergeCell ref="AT222:BA222"/>
    <mergeCell ref="BB222:BI222"/>
    <mergeCell ref="BJ222:BR222"/>
    <mergeCell ref="AF230:AG230"/>
    <mergeCell ref="AH230:AI230"/>
    <mergeCell ref="AJ230:AK230"/>
    <mergeCell ref="AL230:AM230"/>
    <mergeCell ref="AN230:AO230"/>
    <mergeCell ref="AP230:AQ230"/>
    <mergeCell ref="AR230:AS230"/>
    <mergeCell ref="AT230:BA230"/>
    <mergeCell ref="BB230:BI230"/>
    <mergeCell ref="BJ230:BR230"/>
    <mergeCell ref="AF202:AG202"/>
    <mergeCell ref="AH202:AI202"/>
    <mergeCell ref="AJ202:AK202"/>
    <mergeCell ref="AL202:AM202"/>
    <mergeCell ref="AN202:AO202"/>
    <mergeCell ref="AR202:AS202"/>
    <mergeCell ref="AT202:BA202"/>
    <mergeCell ref="BB202:BI202"/>
    <mergeCell ref="BJ202:BR202"/>
    <mergeCell ref="AJ149:AK149"/>
    <mergeCell ref="AT149:BA149"/>
    <mergeCell ref="BB149:BI149"/>
    <mergeCell ref="AF57:AG57"/>
    <mergeCell ref="AH57:AI57"/>
    <mergeCell ref="AJ57:AK57"/>
    <mergeCell ref="AL57:AM57"/>
    <mergeCell ref="AN57:AO57"/>
    <mergeCell ref="AR57:AS57"/>
    <mergeCell ref="AT57:BA57"/>
    <mergeCell ref="BB57:BI57"/>
    <mergeCell ref="BJ57:BR57"/>
    <mergeCell ref="AF58:AG58"/>
    <mergeCell ref="AH58:AI58"/>
    <mergeCell ref="AJ58:AK58"/>
    <mergeCell ref="AF182:AG182"/>
    <mergeCell ref="AH182:AI182"/>
    <mergeCell ref="AR147:AS147"/>
    <mergeCell ref="AT147:BA147"/>
    <mergeCell ref="AF150:AG150"/>
    <mergeCell ref="AH150:AI150"/>
    <mergeCell ref="AJ150:AK150"/>
    <mergeCell ref="AL150:AM150"/>
    <mergeCell ref="AF149:AG149"/>
    <mergeCell ref="AL59:AM59"/>
    <mergeCell ref="BB60:BI60"/>
    <mergeCell ref="BJ60:BR60"/>
    <mergeCell ref="AF147:AG147"/>
    <mergeCell ref="AN60:AO60"/>
    <mergeCell ref="BJ59:BR59"/>
    <mergeCell ref="BJ149:BR149"/>
    <mergeCell ref="AT59:BA59"/>
    <mergeCell ref="AH55:AI55"/>
    <mergeCell ref="AH56:AI56"/>
    <mergeCell ref="AJ51:AK51"/>
    <mergeCell ref="AJ55:AK55"/>
    <mergeCell ref="AJ56:AK56"/>
    <mergeCell ref="BB56:BI56"/>
    <mergeCell ref="BJ56:BR56"/>
    <mergeCell ref="AF53:AG53"/>
    <mergeCell ref="AL53:AM53"/>
    <mergeCell ref="AN53:AO53"/>
    <mergeCell ref="AR53:AS53"/>
    <mergeCell ref="AT53:BA53"/>
    <mergeCell ref="BB53:BI53"/>
    <mergeCell ref="BB55:BI55"/>
    <mergeCell ref="BJ55:BR55"/>
    <mergeCell ref="AF56:AG56"/>
    <mergeCell ref="AL56:AM56"/>
    <mergeCell ref="AN56:AO56"/>
    <mergeCell ref="AR56:AS56"/>
    <mergeCell ref="AT56:BA56"/>
    <mergeCell ref="AF55:AG55"/>
    <mergeCell ref="AL55:AM55"/>
    <mergeCell ref="AN55:AO55"/>
    <mergeCell ref="AR55:AS55"/>
    <mergeCell ref="AF54:AG54"/>
    <mergeCell ref="AH54:AI54"/>
    <mergeCell ref="AJ54:AK54"/>
    <mergeCell ref="AL54:AM54"/>
    <mergeCell ref="AN54:AO54"/>
    <mergeCell ref="AR54:AS54"/>
    <mergeCell ref="AT54:BA54"/>
    <mergeCell ref="BB54:BI54"/>
    <mergeCell ref="AT47:BA47"/>
    <mergeCell ref="BB47:BI47"/>
    <mergeCell ref="BJ47:BR47"/>
    <mergeCell ref="AF47:AG47"/>
    <mergeCell ref="AL47:AM47"/>
    <mergeCell ref="AN47:AO47"/>
    <mergeCell ref="AR47:AS47"/>
    <mergeCell ref="AH47:AI47"/>
    <mergeCell ref="AJ47:AK47"/>
    <mergeCell ref="AF48:AG48"/>
    <mergeCell ref="AH48:AI48"/>
    <mergeCell ref="AJ48:AK48"/>
    <mergeCell ref="AL48:AM48"/>
    <mergeCell ref="AN48:AO48"/>
    <mergeCell ref="AR48:AS48"/>
    <mergeCell ref="AT48:BA48"/>
    <mergeCell ref="BB48:BI48"/>
    <mergeCell ref="BJ48:BR48"/>
    <mergeCell ref="AP47:AQ47"/>
    <mergeCell ref="AP48:AQ48"/>
    <mergeCell ref="BJ45:BR45"/>
    <mergeCell ref="AF46:AG46"/>
    <mergeCell ref="AL46:AM46"/>
    <mergeCell ref="AN46:AO46"/>
    <mergeCell ref="AR46:AS46"/>
    <mergeCell ref="AT46:BA46"/>
    <mergeCell ref="BB46:BI46"/>
    <mergeCell ref="BJ46:BR46"/>
    <mergeCell ref="BB44:BI44"/>
    <mergeCell ref="AF45:AG45"/>
    <mergeCell ref="AL45:AM45"/>
    <mergeCell ref="AN45:AO45"/>
    <mergeCell ref="AR45:AS45"/>
    <mergeCell ref="AT45:BA45"/>
    <mergeCell ref="BB45:BI45"/>
    <mergeCell ref="AH45:AI45"/>
    <mergeCell ref="AH46:AI46"/>
    <mergeCell ref="AJ45:AK45"/>
    <mergeCell ref="AJ46:AK46"/>
    <mergeCell ref="AF44:AG44"/>
    <mergeCell ref="AL44:AM44"/>
    <mergeCell ref="AN44:AO44"/>
    <mergeCell ref="AR44:AS44"/>
    <mergeCell ref="AT44:BA44"/>
    <mergeCell ref="AP45:AQ45"/>
    <mergeCell ref="AP46:AQ46"/>
    <mergeCell ref="BJ41:BR41"/>
    <mergeCell ref="AF42:AG42"/>
    <mergeCell ref="AL42:AM42"/>
    <mergeCell ref="AN42:AO42"/>
    <mergeCell ref="AR42:AS42"/>
    <mergeCell ref="AT42:BA42"/>
    <mergeCell ref="BB42:BI42"/>
    <mergeCell ref="BJ42:BR42"/>
    <mergeCell ref="AH42:AI42"/>
    <mergeCell ref="AH43:AI43"/>
    <mergeCell ref="AH44:AI44"/>
    <mergeCell ref="AJ42:AK42"/>
    <mergeCell ref="AJ43:AK43"/>
    <mergeCell ref="AJ44:AK44"/>
    <mergeCell ref="AN41:AO41"/>
    <mergeCell ref="AR41:AS41"/>
    <mergeCell ref="AT41:BA41"/>
    <mergeCell ref="BB41:BI41"/>
    <mergeCell ref="AH41:AI41"/>
    <mergeCell ref="AF41:AG41"/>
    <mergeCell ref="AL41:AM41"/>
    <mergeCell ref="BB43:BI43"/>
    <mergeCell ref="BJ43:BR43"/>
    <mergeCell ref="AF43:AG43"/>
    <mergeCell ref="AL43:AM43"/>
    <mergeCell ref="AN43:AO43"/>
    <mergeCell ref="AP41:AQ41"/>
    <mergeCell ref="AP42:AQ42"/>
    <mergeCell ref="AP43:AQ43"/>
    <mergeCell ref="AP44:AQ44"/>
    <mergeCell ref="AT40:BA40"/>
    <mergeCell ref="AF39:AG39"/>
    <mergeCell ref="AL39:AM39"/>
    <mergeCell ref="AN39:AO39"/>
    <mergeCell ref="AR39:AS39"/>
    <mergeCell ref="AT37:BA37"/>
    <mergeCell ref="BB37:BI37"/>
    <mergeCell ref="AF38:AG38"/>
    <mergeCell ref="AL38:AM38"/>
    <mergeCell ref="AN38:AO38"/>
    <mergeCell ref="AR38:AS38"/>
    <mergeCell ref="AT38:BA38"/>
    <mergeCell ref="BB38:BI38"/>
    <mergeCell ref="AF37:AG37"/>
    <mergeCell ref="AL37:AM37"/>
    <mergeCell ref="AN37:AO37"/>
    <mergeCell ref="AR37:AS37"/>
    <mergeCell ref="AH37:AI37"/>
    <mergeCell ref="AH38:AI38"/>
    <mergeCell ref="AH39:AI39"/>
    <mergeCell ref="AH40:AI40"/>
    <mergeCell ref="BB40:BI40"/>
    <mergeCell ref="AP37:AQ37"/>
    <mergeCell ref="AP38:AQ38"/>
    <mergeCell ref="AP39:AQ39"/>
    <mergeCell ref="AP40:AQ40"/>
    <mergeCell ref="AT33:BA33"/>
    <mergeCell ref="BJ33:BR33"/>
    <mergeCell ref="AL34:AM34"/>
    <mergeCell ref="AF33:AG33"/>
    <mergeCell ref="AF34:AG34"/>
    <mergeCell ref="AF31:AG31"/>
    <mergeCell ref="AL31:AM31"/>
    <mergeCell ref="AN31:AO31"/>
    <mergeCell ref="AR31:AS31"/>
    <mergeCell ref="AT34:BA34"/>
    <mergeCell ref="BB35:BI35"/>
    <mergeCell ref="BJ35:BR35"/>
    <mergeCell ref="BB33:BI33"/>
    <mergeCell ref="BJ34:BR34"/>
    <mergeCell ref="AL33:AM33"/>
    <mergeCell ref="AJ31:AK31"/>
    <mergeCell ref="AJ32:AK32"/>
    <mergeCell ref="AJ33:AK33"/>
    <mergeCell ref="AP33:AQ33"/>
    <mergeCell ref="AP34:AQ34"/>
    <mergeCell ref="AP35:AQ35"/>
    <mergeCell ref="BB31:BI31"/>
    <mergeCell ref="AH31:AI31"/>
    <mergeCell ref="AH32:AI32"/>
    <mergeCell ref="AH33:AI33"/>
    <mergeCell ref="AH34:AI34"/>
    <mergeCell ref="AH35:AI35"/>
    <mergeCell ref="AR33:AS33"/>
    <mergeCell ref="AF35:AG35"/>
    <mergeCell ref="AJ34:AK34"/>
    <mergeCell ref="AJ35:AK35"/>
    <mergeCell ref="AF30:AG30"/>
    <mergeCell ref="AL30:AM30"/>
    <mergeCell ref="AN30:AO30"/>
    <mergeCell ref="AR30:AS30"/>
    <mergeCell ref="AT30:BA30"/>
    <mergeCell ref="AF29:AG29"/>
    <mergeCell ref="AL29:AM29"/>
    <mergeCell ref="AN29:AO29"/>
    <mergeCell ref="AR29:AS29"/>
    <mergeCell ref="BJ29:BR29"/>
    <mergeCell ref="BB30:BI30"/>
    <mergeCell ref="BJ30:BR30"/>
    <mergeCell ref="AJ29:AK29"/>
    <mergeCell ref="AJ30:AK30"/>
    <mergeCell ref="AL36:AM36"/>
    <mergeCell ref="AN36:AO36"/>
    <mergeCell ref="AR36:AS36"/>
    <mergeCell ref="AT36:BA36"/>
    <mergeCell ref="BB36:BI36"/>
    <mergeCell ref="AL35:AM35"/>
    <mergeCell ref="AN35:AO35"/>
    <mergeCell ref="AF32:AG32"/>
    <mergeCell ref="AN34:AO34"/>
    <mergeCell ref="AR34:AS34"/>
    <mergeCell ref="AL32:AM32"/>
    <mergeCell ref="AN32:AO32"/>
    <mergeCell ref="AR32:AS32"/>
    <mergeCell ref="BJ31:BR31"/>
    <mergeCell ref="AT32:BA32"/>
    <mergeCell ref="BB32:BI32"/>
    <mergeCell ref="BJ32:BR32"/>
    <mergeCell ref="AH30:AI30"/>
    <mergeCell ref="AF27:AG27"/>
    <mergeCell ref="AL27:AM27"/>
    <mergeCell ref="AN27:AO27"/>
    <mergeCell ref="AR27:AS27"/>
    <mergeCell ref="AT27:BA27"/>
    <mergeCell ref="BB27:BI27"/>
    <mergeCell ref="BJ27:BR27"/>
    <mergeCell ref="AF26:AG26"/>
    <mergeCell ref="AL26:AM26"/>
    <mergeCell ref="AN26:AO26"/>
    <mergeCell ref="AR26:AS26"/>
    <mergeCell ref="AH26:AI26"/>
    <mergeCell ref="AH27:AI27"/>
    <mergeCell ref="AJ26:AK26"/>
    <mergeCell ref="AJ27:AK27"/>
    <mergeCell ref="BB29:BI29"/>
    <mergeCell ref="AF28:AG28"/>
    <mergeCell ref="AL28:AM28"/>
    <mergeCell ref="AN28:AO28"/>
    <mergeCell ref="AR28:AS28"/>
    <mergeCell ref="AT28:BA28"/>
    <mergeCell ref="BB28:BI28"/>
    <mergeCell ref="BJ28:BR28"/>
    <mergeCell ref="AT29:BA29"/>
    <mergeCell ref="AH28:AI28"/>
    <mergeCell ref="AJ28:AK28"/>
    <mergeCell ref="AH29:AI29"/>
    <mergeCell ref="AP27:AQ27"/>
    <mergeCell ref="AP28:AQ28"/>
    <mergeCell ref="AP29:AQ29"/>
    <mergeCell ref="BJ21:BR21"/>
    <mergeCell ref="AH21:AI21"/>
    <mergeCell ref="AJ21:AK21"/>
    <mergeCell ref="AF23:AG23"/>
    <mergeCell ref="AL23:AM23"/>
    <mergeCell ref="AN23:AO23"/>
    <mergeCell ref="AR23:AS23"/>
    <mergeCell ref="AH23:AI23"/>
    <mergeCell ref="AP23:AQ23"/>
    <mergeCell ref="BB26:BI26"/>
    <mergeCell ref="BJ26:BR26"/>
    <mergeCell ref="AF24:AG24"/>
    <mergeCell ref="AL24:AM24"/>
    <mergeCell ref="AN24:AO24"/>
    <mergeCell ref="AR24:AS24"/>
    <mergeCell ref="AT24:BA24"/>
    <mergeCell ref="BB24:BI24"/>
    <mergeCell ref="AH24:AI24"/>
    <mergeCell ref="AH25:AI25"/>
    <mergeCell ref="AF25:AG25"/>
    <mergeCell ref="AL25:AM25"/>
    <mergeCell ref="AN25:AO25"/>
    <mergeCell ref="AR25:AS25"/>
    <mergeCell ref="BJ24:BR24"/>
    <mergeCell ref="AT25:BA25"/>
    <mergeCell ref="BB25:BI25"/>
    <mergeCell ref="BJ25:BR25"/>
    <mergeCell ref="AP24:AQ24"/>
    <mergeCell ref="AP25:AQ25"/>
    <mergeCell ref="AP26:AQ26"/>
    <mergeCell ref="AJ23:AK23"/>
    <mergeCell ref="AJ24:AK24"/>
    <mergeCell ref="AH16:AI16"/>
    <mergeCell ref="AH17:AI17"/>
    <mergeCell ref="BJ17:BR17"/>
    <mergeCell ref="AF20:AG20"/>
    <mergeCell ref="AH20:AI20"/>
    <mergeCell ref="AJ20:AK20"/>
    <mergeCell ref="AL20:AM20"/>
    <mergeCell ref="AN20:AO20"/>
    <mergeCell ref="AR20:AS20"/>
    <mergeCell ref="AT20:BA20"/>
    <mergeCell ref="BB20:BI20"/>
    <mergeCell ref="BJ20:BR20"/>
    <mergeCell ref="AT19:BA19"/>
    <mergeCell ref="AF19:AG19"/>
    <mergeCell ref="AF18:AG18"/>
    <mergeCell ref="AL18:AM18"/>
    <mergeCell ref="AN18:AO18"/>
    <mergeCell ref="AR18:AS18"/>
    <mergeCell ref="AT18:BA18"/>
    <mergeCell ref="BB18:BI18"/>
    <mergeCell ref="BJ18:BR18"/>
    <mergeCell ref="AH18:AI18"/>
    <mergeCell ref="AH19:AI19"/>
    <mergeCell ref="AF17:AG17"/>
    <mergeCell ref="AL17:AM17"/>
    <mergeCell ref="AN17:AO17"/>
    <mergeCell ref="AR17:AS17"/>
    <mergeCell ref="AJ17:AK17"/>
    <mergeCell ref="AJ18:AK18"/>
    <mergeCell ref="AJ19:AK19"/>
    <mergeCell ref="AL19:AM19"/>
    <mergeCell ref="AF12:AG12"/>
    <mergeCell ref="AL12:AM12"/>
    <mergeCell ref="AN12:AO12"/>
    <mergeCell ref="AR12:AS12"/>
    <mergeCell ref="A1:E1"/>
    <mergeCell ref="F1:U1"/>
    <mergeCell ref="V1:AK1"/>
    <mergeCell ref="A2:E3"/>
    <mergeCell ref="F2:U3"/>
    <mergeCell ref="V2:AK3"/>
    <mergeCell ref="AL2:AM2"/>
    <mergeCell ref="BB8:BI9"/>
    <mergeCell ref="BJ8:BR9"/>
    <mergeCell ref="AF9:AG9"/>
    <mergeCell ref="AH9:AI9"/>
    <mergeCell ref="AJ9:AK9"/>
    <mergeCell ref="AL9:AM9"/>
    <mergeCell ref="AN9:AO9"/>
    <mergeCell ref="AR9:AS9"/>
    <mergeCell ref="AL3:AM3"/>
    <mergeCell ref="B8:I9"/>
    <mergeCell ref="J8:Q9"/>
    <mergeCell ref="R8:R9"/>
    <mergeCell ref="S8:AE9"/>
    <mergeCell ref="AF8:AS8"/>
    <mergeCell ref="AT8:BA9"/>
    <mergeCell ref="AT12:BA12"/>
    <mergeCell ref="AL1:AT1"/>
    <mergeCell ref="AH12:AI12"/>
    <mergeCell ref="AU1:AZ1"/>
    <mergeCell ref="AN2:AT2"/>
    <mergeCell ref="AU2:AZ2"/>
    <mergeCell ref="AF242:AG242"/>
    <mergeCell ref="AL242:AM242"/>
    <mergeCell ref="AN242:AO242"/>
    <mergeCell ref="AR242:AS242"/>
    <mergeCell ref="AJ40:AK40"/>
    <mergeCell ref="AJ41:AK41"/>
    <mergeCell ref="AH149:AI149"/>
    <mergeCell ref="AN149:AO149"/>
    <mergeCell ref="AL149:AM149"/>
    <mergeCell ref="AR149:AS149"/>
    <mergeCell ref="AL151:AM151"/>
    <mergeCell ref="AN151:AO151"/>
    <mergeCell ref="AR151:AS151"/>
    <mergeCell ref="AF154:AG154"/>
    <mergeCell ref="AH154:AI154"/>
    <mergeCell ref="AJ154:AK154"/>
    <mergeCell ref="AL154:AM154"/>
    <mergeCell ref="AN154:AO154"/>
    <mergeCell ref="AR154:AS154"/>
    <mergeCell ref="AF157:AG157"/>
    <mergeCell ref="AH157:AI157"/>
    <mergeCell ref="AJ157:AK157"/>
    <mergeCell ref="AL157:AM157"/>
    <mergeCell ref="AR192:AS192"/>
    <mergeCell ref="AF159:AG159"/>
    <mergeCell ref="AH159:AI159"/>
    <mergeCell ref="AJ159:AK159"/>
    <mergeCell ref="AL159:AM159"/>
    <mergeCell ref="AN159:AO159"/>
    <mergeCell ref="AR159:AS159"/>
    <mergeCell ref="AF161:AG161"/>
    <mergeCell ref="AH161:AI161"/>
    <mergeCell ref="AF36:AG36"/>
    <mergeCell ref="AH36:AI36"/>
    <mergeCell ref="AP36:AQ36"/>
    <mergeCell ref="AF40:AG40"/>
    <mergeCell ref="AL40:AM40"/>
    <mergeCell ref="AN40:AO40"/>
    <mergeCell ref="AR40:AS40"/>
    <mergeCell ref="AT242:BA242"/>
    <mergeCell ref="BB242:BI242"/>
    <mergeCell ref="BJ242:BR242"/>
    <mergeCell ref="AH242:AI242"/>
    <mergeCell ref="AJ242:AK242"/>
    <mergeCell ref="AL145:AM145"/>
    <mergeCell ref="AN145:AO145"/>
    <mergeCell ref="AR145:AS145"/>
    <mergeCell ref="AT145:BA145"/>
    <mergeCell ref="BB145:BI145"/>
    <mergeCell ref="BJ145:BR145"/>
    <mergeCell ref="AL146:AM146"/>
    <mergeCell ref="AN146:AO146"/>
    <mergeCell ref="AR146:AS146"/>
    <mergeCell ref="AT146:BA146"/>
    <mergeCell ref="BB146:BI146"/>
    <mergeCell ref="BJ146:BR146"/>
    <mergeCell ref="AH147:AI147"/>
    <mergeCell ref="AJ147:AK147"/>
    <mergeCell ref="AL147:AM147"/>
    <mergeCell ref="AN147:AO147"/>
    <mergeCell ref="AN157:AO157"/>
    <mergeCell ref="AN150:AO150"/>
    <mergeCell ref="AR150:AS150"/>
    <mergeCell ref="AT150:BA150"/>
    <mergeCell ref="AT192:BA192"/>
    <mergeCell ref="BB192:BI192"/>
    <mergeCell ref="BJ192:BR192"/>
    <mergeCell ref="AP148:AQ148"/>
    <mergeCell ref="AP190:AQ190"/>
    <mergeCell ref="AF246:AG246"/>
    <mergeCell ref="AL246:AM246"/>
    <mergeCell ref="AN246:AO246"/>
    <mergeCell ref="AR246:AS246"/>
    <mergeCell ref="AT246:BA246"/>
    <mergeCell ref="BB246:BI246"/>
    <mergeCell ref="BJ246:BR246"/>
    <mergeCell ref="AF247:AG247"/>
    <mergeCell ref="AL247:AM247"/>
    <mergeCell ref="AN247:AO247"/>
    <mergeCell ref="AR247:AS247"/>
    <mergeCell ref="AT247:BA247"/>
    <mergeCell ref="BB247:BI247"/>
    <mergeCell ref="BJ247:BR247"/>
    <mergeCell ref="AH246:AI246"/>
    <mergeCell ref="AH247:AI247"/>
    <mergeCell ref="AJ246:AK246"/>
    <mergeCell ref="AJ247:AK247"/>
    <mergeCell ref="AP246:AQ246"/>
    <mergeCell ref="AP247:AQ247"/>
    <mergeCell ref="BJ243:BR243"/>
    <mergeCell ref="AF153:AG153"/>
    <mergeCell ref="AH153:AI153"/>
    <mergeCell ref="AJ153:AK153"/>
    <mergeCell ref="AL153:AM153"/>
    <mergeCell ref="AN153:AO153"/>
    <mergeCell ref="AR153:AS153"/>
    <mergeCell ref="AF248:AG248"/>
    <mergeCell ref="AL248:AM248"/>
    <mergeCell ref="AN248:AO248"/>
    <mergeCell ref="AR248:AS248"/>
    <mergeCell ref="AT248:BA248"/>
    <mergeCell ref="BB248:BI248"/>
    <mergeCell ref="BJ248:BR248"/>
    <mergeCell ref="AF249:AG249"/>
    <mergeCell ref="AL249:AM249"/>
    <mergeCell ref="AN249:AO249"/>
    <mergeCell ref="AR249:AS249"/>
    <mergeCell ref="AT249:BA249"/>
    <mergeCell ref="BB249:BI249"/>
    <mergeCell ref="BJ249:BR249"/>
    <mergeCell ref="AH248:AI248"/>
    <mergeCell ref="AH249:AI249"/>
    <mergeCell ref="AJ248:AK248"/>
    <mergeCell ref="AJ249:AK249"/>
    <mergeCell ref="AP248:AQ248"/>
    <mergeCell ref="AP249:AQ249"/>
    <mergeCell ref="AF250:AG250"/>
    <mergeCell ref="AL250:AM250"/>
    <mergeCell ref="AN250:AO250"/>
    <mergeCell ref="AR250:AS250"/>
    <mergeCell ref="AT250:BA250"/>
    <mergeCell ref="BB250:BI250"/>
    <mergeCell ref="BJ250:BR250"/>
    <mergeCell ref="AF251:AG251"/>
    <mergeCell ref="AL251:AM251"/>
    <mergeCell ref="AN251:AO251"/>
    <mergeCell ref="AR251:AS251"/>
    <mergeCell ref="AT251:BA251"/>
    <mergeCell ref="BB251:BI251"/>
    <mergeCell ref="BJ251:BR251"/>
    <mergeCell ref="AH250:AI250"/>
    <mergeCell ref="AH251:AI251"/>
    <mergeCell ref="AJ250:AK250"/>
    <mergeCell ref="AJ251:AK251"/>
    <mergeCell ref="AP250:AQ250"/>
    <mergeCell ref="AP251:AQ251"/>
    <mergeCell ref="AF252:AG252"/>
    <mergeCell ref="AL252:AM252"/>
    <mergeCell ref="AN252:AO252"/>
    <mergeCell ref="AR252:AS252"/>
    <mergeCell ref="AT252:BA252"/>
    <mergeCell ref="BB252:BI252"/>
    <mergeCell ref="BJ252:BR252"/>
    <mergeCell ref="AF253:AG253"/>
    <mergeCell ref="AL253:AM253"/>
    <mergeCell ref="AN253:AO253"/>
    <mergeCell ref="AR253:AS253"/>
    <mergeCell ref="AT253:BA253"/>
    <mergeCell ref="BB253:BI253"/>
    <mergeCell ref="BJ253:BR253"/>
    <mergeCell ref="AH252:AI252"/>
    <mergeCell ref="AH253:AI253"/>
    <mergeCell ref="AJ252:AK252"/>
    <mergeCell ref="AJ253:AK253"/>
    <mergeCell ref="AP252:AQ252"/>
    <mergeCell ref="AP253:AQ253"/>
    <mergeCell ref="AF254:AG254"/>
    <mergeCell ref="AL254:AM254"/>
    <mergeCell ref="AN254:AO254"/>
    <mergeCell ref="AR254:AS254"/>
    <mergeCell ref="AT254:BA254"/>
    <mergeCell ref="BB254:BI254"/>
    <mergeCell ref="BJ254:BR254"/>
    <mergeCell ref="AF255:AG255"/>
    <mergeCell ref="AL255:AM255"/>
    <mergeCell ref="AN255:AO255"/>
    <mergeCell ref="AR255:AS255"/>
    <mergeCell ref="AT255:BA255"/>
    <mergeCell ref="BB255:BI255"/>
    <mergeCell ref="BJ255:BR255"/>
    <mergeCell ref="AH254:AI254"/>
    <mergeCell ref="AH255:AI255"/>
    <mergeCell ref="AJ254:AK254"/>
    <mergeCell ref="AJ255:AK255"/>
    <mergeCell ref="AP254:AQ254"/>
    <mergeCell ref="AP255:AQ255"/>
    <mergeCell ref="AF256:AG256"/>
    <mergeCell ref="AL256:AM256"/>
    <mergeCell ref="AN256:AO256"/>
    <mergeCell ref="AR256:AS256"/>
    <mergeCell ref="AT256:BA256"/>
    <mergeCell ref="BB256:BI256"/>
    <mergeCell ref="BJ256:BR256"/>
    <mergeCell ref="AF257:AG257"/>
    <mergeCell ref="AL257:AM257"/>
    <mergeCell ref="AN257:AO257"/>
    <mergeCell ref="AR257:AS257"/>
    <mergeCell ref="AT257:BA257"/>
    <mergeCell ref="BB257:BI257"/>
    <mergeCell ref="BJ257:BR257"/>
    <mergeCell ref="AH256:AI256"/>
    <mergeCell ref="AH257:AI257"/>
    <mergeCell ref="AJ256:AK256"/>
    <mergeCell ref="AJ257:AK257"/>
    <mergeCell ref="AP256:AQ256"/>
    <mergeCell ref="AP257:AQ257"/>
    <mergeCell ref="AF258:AG258"/>
    <mergeCell ref="AL258:AM258"/>
    <mergeCell ref="AN258:AO258"/>
    <mergeCell ref="AR258:AS258"/>
    <mergeCell ref="AT258:BA258"/>
    <mergeCell ref="BB258:BI258"/>
    <mergeCell ref="BJ258:BR258"/>
    <mergeCell ref="AF259:AG259"/>
    <mergeCell ref="AL259:AM259"/>
    <mergeCell ref="AN259:AO259"/>
    <mergeCell ref="AR259:AS259"/>
    <mergeCell ref="AT259:BA259"/>
    <mergeCell ref="BB259:BI259"/>
    <mergeCell ref="BJ259:BR259"/>
    <mergeCell ref="AH258:AI258"/>
    <mergeCell ref="AH259:AI259"/>
    <mergeCell ref="AJ258:AK258"/>
    <mergeCell ref="AJ259:AK259"/>
    <mergeCell ref="AP258:AQ258"/>
    <mergeCell ref="AP259:AQ259"/>
    <mergeCell ref="AF260:AG260"/>
    <mergeCell ref="AL260:AM260"/>
    <mergeCell ref="AN260:AO260"/>
    <mergeCell ref="AR260:AS260"/>
    <mergeCell ref="AT260:BA260"/>
    <mergeCell ref="BB260:BI260"/>
    <mergeCell ref="BJ260:BR260"/>
    <mergeCell ref="AF261:AG261"/>
    <mergeCell ref="AL261:AM261"/>
    <mergeCell ref="AN261:AO261"/>
    <mergeCell ref="AR261:AS261"/>
    <mergeCell ref="AT261:BA261"/>
    <mergeCell ref="BB261:BI261"/>
    <mergeCell ref="BJ261:BR261"/>
    <mergeCell ref="AH260:AI260"/>
    <mergeCell ref="AH261:AI261"/>
    <mergeCell ref="AJ260:AK260"/>
    <mergeCell ref="AJ261:AK261"/>
    <mergeCell ref="AP261:AQ261"/>
    <mergeCell ref="AP260:AQ260"/>
    <mergeCell ref="AJ270:AK270"/>
    <mergeCell ref="AP264:AQ264"/>
    <mergeCell ref="AP270:AQ270"/>
    <mergeCell ref="AF264:AG264"/>
    <mergeCell ref="AF262:AG262"/>
    <mergeCell ref="AL262:AM262"/>
    <mergeCell ref="AN262:AO262"/>
    <mergeCell ref="AR262:AS262"/>
    <mergeCell ref="AT262:BA262"/>
    <mergeCell ref="BB262:BI262"/>
    <mergeCell ref="BJ262:BR262"/>
    <mergeCell ref="AF263:AG263"/>
    <mergeCell ref="AL263:AM263"/>
    <mergeCell ref="AN263:AO263"/>
    <mergeCell ref="AR263:AS263"/>
    <mergeCell ref="AT263:BA263"/>
    <mergeCell ref="BB263:BI263"/>
    <mergeCell ref="BJ263:BR263"/>
    <mergeCell ref="AH262:AI262"/>
    <mergeCell ref="AH263:AI263"/>
    <mergeCell ref="AJ262:AK262"/>
    <mergeCell ref="AJ263:AK263"/>
    <mergeCell ref="AP262:AQ262"/>
    <mergeCell ref="AP263:AQ263"/>
    <mergeCell ref="AF265:AG265"/>
    <mergeCell ref="AH265:AI265"/>
    <mergeCell ref="AJ265:AK265"/>
    <mergeCell ref="AL265:AM265"/>
    <mergeCell ref="AN265:AO265"/>
    <mergeCell ref="AP265:AQ265"/>
    <mergeCell ref="AR265:AS265"/>
    <mergeCell ref="AT265:BA265"/>
    <mergeCell ref="AT273:BA273"/>
    <mergeCell ref="BB273:BI273"/>
    <mergeCell ref="BJ273:BR273"/>
    <mergeCell ref="AF274:AG274"/>
    <mergeCell ref="AL274:AM274"/>
    <mergeCell ref="AN274:AO274"/>
    <mergeCell ref="AR274:AS274"/>
    <mergeCell ref="AT274:BA274"/>
    <mergeCell ref="BB274:BI274"/>
    <mergeCell ref="BJ274:BR274"/>
    <mergeCell ref="AH273:AI273"/>
    <mergeCell ref="AH274:AI274"/>
    <mergeCell ref="AJ273:AK273"/>
    <mergeCell ref="AJ274:AK274"/>
    <mergeCell ref="AP273:AQ273"/>
    <mergeCell ref="AP274:AQ274"/>
    <mergeCell ref="AL264:AM264"/>
    <mergeCell ref="AN264:AO264"/>
    <mergeCell ref="AR264:AS264"/>
    <mergeCell ref="AT264:BA264"/>
    <mergeCell ref="BB264:BI264"/>
    <mergeCell ref="BJ264:BR264"/>
    <mergeCell ref="AF270:AG270"/>
    <mergeCell ref="AL270:AM270"/>
    <mergeCell ref="AN270:AO270"/>
    <mergeCell ref="AR270:AS270"/>
    <mergeCell ref="AT270:BA270"/>
    <mergeCell ref="BB270:BI270"/>
    <mergeCell ref="BJ270:BR270"/>
    <mergeCell ref="AH264:AI264"/>
    <mergeCell ref="AH270:AI270"/>
    <mergeCell ref="AJ264:AK264"/>
    <mergeCell ref="BJ277:BR277"/>
    <mergeCell ref="AF275:AG275"/>
    <mergeCell ref="AL275:AM275"/>
    <mergeCell ref="AN275:AO275"/>
    <mergeCell ref="AR275:AS275"/>
    <mergeCell ref="AT275:BA275"/>
    <mergeCell ref="BB275:BI275"/>
    <mergeCell ref="BJ275:BR275"/>
    <mergeCell ref="AF276:AG276"/>
    <mergeCell ref="AL276:AM276"/>
    <mergeCell ref="AN276:AO276"/>
    <mergeCell ref="AR276:AS276"/>
    <mergeCell ref="AT276:BA276"/>
    <mergeCell ref="BB276:BI276"/>
    <mergeCell ref="BJ276:BR276"/>
    <mergeCell ref="AH275:AI275"/>
    <mergeCell ref="AH276:AI276"/>
    <mergeCell ref="AJ276:AK276"/>
    <mergeCell ref="AP275:AQ275"/>
    <mergeCell ref="AP276:AQ276"/>
    <mergeCell ref="BB150:BI150"/>
    <mergeCell ref="BJ150:BR150"/>
    <mergeCell ref="AF151:AG151"/>
    <mergeCell ref="AH151:AI151"/>
    <mergeCell ref="AJ151:AK151"/>
    <mergeCell ref="AJ275:AK275"/>
    <mergeCell ref="AN3:AT3"/>
    <mergeCell ref="AU3:AZ3"/>
    <mergeCell ref="BB12:BI12"/>
    <mergeCell ref="BJ12:BR12"/>
    <mergeCell ref="AL15:AM15"/>
    <mergeCell ref="AN15:AO15"/>
    <mergeCell ref="AR15:AS15"/>
    <mergeCell ref="AT15:BA15"/>
    <mergeCell ref="BB16:BI16"/>
    <mergeCell ref="BJ16:BR16"/>
    <mergeCell ref="BB19:BI19"/>
    <mergeCell ref="AT26:BA26"/>
    <mergeCell ref="AT31:BA31"/>
    <mergeCell ref="AR35:AS35"/>
    <mergeCell ref="AT35:BA35"/>
    <mergeCell ref="AT43:BA43"/>
    <mergeCell ref="AT55:BA55"/>
    <mergeCell ref="BB15:BI15"/>
    <mergeCell ref="BJ15:BR15"/>
    <mergeCell ref="AT23:BA23"/>
    <mergeCell ref="BB23:BI23"/>
    <mergeCell ref="AT16:BA16"/>
    <mergeCell ref="AF273:AG273"/>
    <mergeCell ref="AL273:AM273"/>
    <mergeCell ref="AN273:AO273"/>
    <mergeCell ref="AR273:AS273"/>
    <mergeCell ref="BJ23:BR23"/>
    <mergeCell ref="BB34:BI34"/>
    <mergeCell ref="AT39:BA39"/>
    <mergeCell ref="BB39:BI39"/>
    <mergeCell ref="BJ39:BR39"/>
    <mergeCell ref="BJ37:BR37"/>
    <mergeCell ref="BJ38:BR38"/>
    <mergeCell ref="AR43:AS43"/>
    <mergeCell ref="BB147:BI147"/>
    <mergeCell ref="BJ147:BR147"/>
    <mergeCell ref="AF148:AG148"/>
    <mergeCell ref="AH148:AI148"/>
    <mergeCell ref="AJ148:AK148"/>
    <mergeCell ref="AL148:AM148"/>
    <mergeCell ref="AN148:AO148"/>
    <mergeCell ref="AR148:AS148"/>
    <mergeCell ref="AT148:BA148"/>
    <mergeCell ref="BB148:BI148"/>
    <mergeCell ref="BJ148:BR148"/>
    <mergeCell ref="AL58:AM58"/>
    <mergeCell ref="AN58:AO58"/>
    <mergeCell ref="AR58:AS58"/>
    <mergeCell ref="AT58:BA58"/>
    <mergeCell ref="BB58:BI58"/>
    <mergeCell ref="BJ58:BR58"/>
    <mergeCell ref="AF59:AG59"/>
    <mergeCell ref="AH59:AI59"/>
    <mergeCell ref="AJ59:AK59"/>
    <mergeCell ref="AN33:AO33"/>
    <mergeCell ref="AT60:BA60"/>
    <mergeCell ref="AN59:AO59"/>
    <mergeCell ref="AR59:AS59"/>
    <mergeCell ref="BB59:BI59"/>
    <mergeCell ref="AT151:BA151"/>
    <mergeCell ref="BB151:BI151"/>
    <mergeCell ref="BJ151:BR151"/>
    <mergeCell ref="AF152:AG152"/>
    <mergeCell ref="AH152:AI152"/>
    <mergeCell ref="AJ152:AK152"/>
    <mergeCell ref="AL152:AM152"/>
    <mergeCell ref="AN152:AO152"/>
    <mergeCell ref="AR152:AS152"/>
    <mergeCell ref="AT152:BA152"/>
    <mergeCell ref="BB152:BI152"/>
    <mergeCell ref="BJ152:BR152"/>
    <mergeCell ref="AP151:AQ151"/>
    <mergeCell ref="AP152:AQ152"/>
    <mergeCell ref="AF61:AG61"/>
    <mergeCell ref="AH61:AI61"/>
    <mergeCell ref="AJ61:AK61"/>
    <mergeCell ref="AL61:AM61"/>
    <mergeCell ref="AN61:AO61"/>
    <mergeCell ref="AR61:AS61"/>
    <mergeCell ref="AT61:BA61"/>
    <mergeCell ref="BB61:BI61"/>
    <mergeCell ref="BJ61:BR61"/>
    <mergeCell ref="AF62:AG62"/>
    <mergeCell ref="AH62:AI62"/>
    <mergeCell ref="AJ62:AK62"/>
    <mergeCell ref="AF60:AG60"/>
    <mergeCell ref="AL62:AM62"/>
    <mergeCell ref="AN62:AO62"/>
    <mergeCell ref="AR62:AS62"/>
    <mergeCell ref="AT62:BA62"/>
    <mergeCell ref="AT153:BA153"/>
    <mergeCell ref="BB153:BI153"/>
    <mergeCell ref="BJ153:BR153"/>
    <mergeCell ref="AT154:BA154"/>
    <mergeCell ref="BB154:BI154"/>
    <mergeCell ref="BJ154:BR154"/>
    <mergeCell ref="AP153:AQ153"/>
    <mergeCell ref="AP154:AQ154"/>
    <mergeCell ref="AF155:AG155"/>
    <mergeCell ref="AH155:AI155"/>
    <mergeCell ref="AJ155:AK155"/>
    <mergeCell ref="AL155:AM155"/>
    <mergeCell ref="AN155:AO155"/>
    <mergeCell ref="AR155:AS155"/>
    <mergeCell ref="AT155:BA155"/>
    <mergeCell ref="BB155:BI155"/>
    <mergeCell ref="BJ155:BR155"/>
    <mergeCell ref="AT159:BA159"/>
    <mergeCell ref="BB159:BI159"/>
    <mergeCell ref="BJ159:BR159"/>
    <mergeCell ref="AF156:AG156"/>
    <mergeCell ref="AH156:AI156"/>
    <mergeCell ref="AJ156:AK156"/>
    <mergeCell ref="AL156:AM156"/>
    <mergeCell ref="AN156:AO156"/>
    <mergeCell ref="AR156:AS156"/>
    <mergeCell ref="AT156:BA156"/>
    <mergeCell ref="BB156:BI156"/>
    <mergeCell ref="BJ156:BR156"/>
    <mergeCell ref="AR157:AS157"/>
    <mergeCell ref="AT157:BA157"/>
    <mergeCell ref="BB157:BI157"/>
    <mergeCell ref="BJ157:BR157"/>
    <mergeCell ref="AF160:AG160"/>
    <mergeCell ref="AH160:AI160"/>
    <mergeCell ref="AJ160:AK160"/>
    <mergeCell ref="AL160:AM160"/>
    <mergeCell ref="AN160:AO160"/>
    <mergeCell ref="AR160:AS160"/>
    <mergeCell ref="AT160:BA160"/>
    <mergeCell ref="BB160:BI160"/>
    <mergeCell ref="BJ160:BR160"/>
    <mergeCell ref="AF158:AG158"/>
    <mergeCell ref="AH158:AI158"/>
    <mergeCell ref="AJ158:AK158"/>
    <mergeCell ref="AL158:AM158"/>
    <mergeCell ref="AN158:AO158"/>
    <mergeCell ref="AP158:AQ158"/>
    <mergeCell ref="AR158:AS158"/>
    <mergeCell ref="AJ161:AK161"/>
    <mergeCell ref="AL161:AM161"/>
    <mergeCell ref="AN161:AO161"/>
    <mergeCell ref="AR161:AS161"/>
    <mergeCell ref="AT161:BA161"/>
    <mergeCell ref="BB161:BI161"/>
    <mergeCell ref="BJ161:BR161"/>
    <mergeCell ref="AF162:AG162"/>
    <mergeCell ref="AH162:AI162"/>
    <mergeCell ref="AJ162:AK162"/>
    <mergeCell ref="AL162:AM162"/>
    <mergeCell ref="AN162:AO162"/>
    <mergeCell ref="AR162:AS162"/>
    <mergeCell ref="AT162:BA162"/>
    <mergeCell ref="BB162:BI162"/>
    <mergeCell ref="BJ162:BR162"/>
    <mergeCell ref="AF163:AG163"/>
    <mergeCell ref="AH163:AI163"/>
    <mergeCell ref="AJ163:AK163"/>
    <mergeCell ref="AL163:AM163"/>
    <mergeCell ref="AN163:AO163"/>
    <mergeCell ref="AR163:AS163"/>
    <mergeCell ref="AT163:BA163"/>
    <mergeCell ref="BB163:BI163"/>
    <mergeCell ref="BJ163:BR163"/>
    <mergeCell ref="AF164:AG164"/>
    <mergeCell ref="AH164:AI164"/>
    <mergeCell ref="AJ164:AK164"/>
    <mergeCell ref="AL164:AM164"/>
    <mergeCell ref="AN164:AO164"/>
    <mergeCell ref="AR164:AS164"/>
    <mergeCell ref="AT164:BA164"/>
    <mergeCell ref="BB164:BI164"/>
    <mergeCell ref="BJ164:BR164"/>
    <mergeCell ref="AF165:AG165"/>
    <mergeCell ref="AH165:AI165"/>
    <mergeCell ref="AJ165:AK165"/>
    <mergeCell ref="AL165:AM165"/>
    <mergeCell ref="AN165:AO165"/>
    <mergeCell ref="AR165:AS165"/>
    <mergeCell ref="AT165:BA165"/>
    <mergeCell ref="BB165:BI165"/>
    <mergeCell ref="BJ165:BR165"/>
    <mergeCell ref="AF166:AG166"/>
    <mergeCell ref="AH166:AI166"/>
    <mergeCell ref="AJ166:AK166"/>
    <mergeCell ref="AL166:AM166"/>
    <mergeCell ref="AN166:AO166"/>
    <mergeCell ref="AR166:AS166"/>
    <mergeCell ref="AT166:BA166"/>
    <mergeCell ref="BB166:BI166"/>
    <mergeCell ref="BJ166:BR166"/>
    <mergeCell ref="AF167:AG167"/>
    <mergeCell ref="AH167:AI167"/>
    <mergeCell ref="AJ167:AK167"/>
    <mergeCell ref="AL167:AM167"/>
    <mergeCell ref="AN167:AO167"/>
    <mergeCell ref="AR167:AS167"/>
    <mergeCell ref="AT167:BA167"/>
    <mergeCell ref="BB167:BI167"/>
    <mergeCell ref="BJ167:BR167"/>
    <mergeCell ref="AP167:AQ167"/>
    <mergeCell ref="AF168:AG168"/>
    <mergeCell ref="AH168:AI168"/>
    <mergeCell ref="AJ168:AK168"/>
    <mergeCell ref="AL168:AM168"/>
    <mergeCell ref="AN168:AO168"/>
    <mergeCell ref="AR168:AS168"/>
    <mergeCell ref="AT168:BA168"/>
    <mergeCell ref="BB168:BI168"/>
    <mergeCell ref="BJ168:BR168"/>
    <mergeCell ref="AF169:AG169"/>
    <mergeCell ref="AH169:AI169"/>
    <mergeCell ref="AJ169:AK169"/>
    <mergeCell ref="AL169:AM169"/>
    <mergeCell ref="AN169:AO169"/>
    <mergeCell ref="AR169:AS169"/>
    <mergeCell ref="AT169:BA169"/>
    <mergeCell ref="BB169:BI169"/>
    <mergeCell ref="BJ169:BR169"/>
    <mergeCell ref="AP168:AQ168"/>
    <mergeCell ref="AF170:AG170"/>
    <mergeCell ref="AH170:AI170"/>
    <mergeCell ref="AJ170:AK170"/>
    <mergeCell ref="AL170:AM170"/>
    <mergeCell ref="AN170:AO170"/>
    <mergeCell ref="AR170:AS170"/>
    <mergeCell ref="AT170:BA170"/>
    <mergeCell ref="BB170:BI170"/>
    <mergeCell ref="BJ170:BR170"/>
    <mergeCell ref="AP169:AQ169"/>
    <mergeCell ref="AP170:AQ170"/>
    <mergeCell ref="AF171:AG171"/>
    <mergeCell ref="AH171:AI171"/>
    <mergeCell ref="AJ171:AK171"/>
    <mergeCell ref="AL171:AM171"/>
    <mergeCell ref="AN171:AO171"/>
    <mergeCell ref="AR171:AS171"/>
    <mergeCell ref="AT171:BA171"/>
    <mergeCell ref="BB171:BI171"/>
    <mergeCell ref="BJ171:BR171"/>
    <mergeCell ref="AF172:AG172"/>
    <mergeCell ref="AH172:AI172"/>
    <mergeCell ref="AJ172:AK172"/>
    <mergeCell ref="AL172:AM172"/>
    <mergeCell ref="AN172:AO172"/>
    <mergeCell ref="AR172:AS172"/>
    <mergeCell ref="AT172:BA172"/>
    <mergeCell ref="BB172:BI172"/>
    <mergeCell ref="BJ172:BR172"/>
    <mergeCell ref="AP171:AQ171"/>
    <mergeCell ref="AP172:AQ172"/>
    <mergeCell ref="AF173:AG173"/>
    <mergeCell ref="AH173:AI173"/>
    <mergeCell ref="AJ173:AK173"/>
    <mergeCell ref="AL173:AM173"/>
    <mergeCell ref="AN173:AO173"/>
    <mergeCell ref="AR173:AS173"/>
    <mergeCell ref="AT173:BA173"/>
    <mergeCell ref="BB173:BI173"/>
    <mergeCell ref="BJ173:BR173"/>
    <mergeCell ref="AP173:AQ173"/>
    <mergeCell ref="AF174:AG174"/>
    <mergeCell ref="AH174:AI174"/>
    <mergeCell ref="AJ174:AK174"/>
    <mergeCell ref="AL174:AM174"/>
    <mergeCell ref="AN174:AO174"/>
    <mergeCell ref="AR174:AS174"/>
    <mergeCell ref="AT174:BA174"/>
    <mergeCell ref="BB174:BI174"/>
    <mergeCell ref="BJ174:BR174"/>
    <mergeCell ref="AF175:AG175"/>
    <mergeCell ref="AH175:AI175"/>
    <mergeCell ref="AJ175:AK175"/>
    <mergeCell ref="AL175:AM175"/>
    <mergeCell ref="AN175:AO175"/>
    <mergeCell ref="AR175:AS175"/>
    <mergeCell ref="AT175:BA175"/>
    <mergeCell ref="BB175:BI175"/>
    <mergeCell ref="BJ175:BR175"/>
    <mergeCell ref="AP174:AQ174"/>
    <mergeCell ref="AP175:AQ175"/>
    <mergeCell ref="AF176:AG176"/>
    <mergeCell ref="AH176:AI176"/>
    <mergeCell ref="AJ176:AK176"/>
    <mergeCell ref="AL176:AM176"/>
    <mergeCell ref="AN176:AO176"/>
    <mergeCell ref="AR176:AS176"/>
    <mergeCell ref="AT176:BA176"/>
    <mergeCell ref="BB176:BI176"/>
    <mergeCell ref="BJ176:BR176"/>
    <mergeCell ref="AP176:AQ176"/>
    <mergeCell ref="AF177:AG177"/>
    <mergeCell ref="AH177:AI177"/>
    <mergeCell ref="AJ177:AK177"/>
    <mergeCell ref="AL177:AM177"/>
    <mergeCell ref="AN177:AO177"/>
    <mergeCell ref="AR177:AS177"/>
    <mergeCell ref="AT177:BA177"/>
    <mergeCell ref="BB177:BI177"/>
    <mergeCell ref="BJ177:BR177"/>
    <mergeCell ref="AF178:AG178"/>
    <mergeCell ref="AH178:AI178"/>
    <mergeCell ref="AJ178:AK178"/>
    <mergeCell ref="AL178:AM178"/>
    <mergeCell ref="AN178:AO178"/>
    <mergeCell ref="AR178:AS178"/>
    <mergeCell ref="AT178:BA178"/>
    <mergeCell ref="BB178:BI178"/>
    <mergeCell ref="BJ178:BR178"/>
    <mergeCell ref="AP177:AQ177"/>
    <mergeCell ref="AP178:AQ178"/>
    <mergeCell ref="AF179:AG179"/>
    <mergeCell ref="AH179:AI179"/>
    <mergeCell ref="AJ179:AK179"/>
    <mergeCell ref="AL179:AM179"/>
    <mergeCell ref="AN179:AO179"/>
    <mergeCell ref="AR179:AS179"/>
    <mergeCell ref="AT179:BA179"/>
    <mergeCell ref="BB179:BI179"/>
    <mergeCell ref="BJ179:BR179"/>
    <mergeCell ref="AF180:AG180"/>
    <mergeCell ref="AH180:AI180"/>
    <mergeCell ref="AJ180:AK180"/>
    <mergeCell ref="AL180:AM180"/>
    <mergeCell ref="AN180:AO180"/>
    <mergeCell ref="AR180:AS180"/>
    <mergeCell ref="AT180:BA180"/>
    <mergeCell ref="BB180:BI180"/>
    <mergeCell ref="BJ180:BR180"/>
    <mergeCell ref="AP179:AQ179"/>
    <mergeCell ref="AP180:AQ180"/>
    <mergeCell ref="AF181:AG181"/>
    <mergeCell ref="AH181:AI181"/>
    <mergeCell ref="AJ181:AK181"/>
    <mergeCell ref="AL181:AM181"/>
    <mergeCell ref="AN181:AO181"/>
    <mergeCell ref="AR181:AS181"/>
    <mergeCell ref="AT181:BA181"/>
    <mergeCell ref="BB181:BI181"/>
    <mergeCell ref="BJ181:BR181"/>
    <mergeCell ref="AF183:AG183"/>
    <mergeCell ref="AH183:AI183"/>
    <mergeCell ref="AJ183:AK183"/>
    <mergeCell ref="AL183:AM183"/>
    <mergeCell ref="AN183:AO183"/>
    <mergeCell ref="AR183:AS183"/>
    <mergeCell ref="AT183:BA183"/>
    <mergeCell ref="BB183:BI183"/>
    <mergeCell ref="BJ183:BR183"/>
    <mergeCell ref="AJ182:AK182"/>
    <mergeCell ref="AL182:AM182"/>
    <mergeCell ref="AN182:AO182"/>
    <mergeCell ref="AR182:AS182"/>
    <mergeCell ref="AT182:BA182"/>
    <mergeCell ref="BB182:BI182"/>
    <mergeCell ref="BJ182:BR182"/>
    <mergeCell ref="AP181:AQ181"/>
    <mergeCell ref="AP182:AQ182"/>
    <mergeCell ref="AP183:AQ183"/>
    <mergeCell ref="AF184:AG184"/>
    <mergeCell ref="AH184:AI184"/>
    <mergeCell ref="AJ184:AK184"/>
    <mergeCell ref="AL184:AM184"/>
    <mergeCell ref="AN184:AO184"/>
    <mergeCell ref="AR184:AS184"/>
    <mergeCell ref="AT184:BA184"/>
    <mergeCell ref="BB184:BI184"/>
    <mergeCell ref="BJ184:BR184"/>
    <mergeCell ref="AF185:AG185"/>
    <mergeCell ref="AH185:AI185"/>
    <mergeCell ref="AJ185:AK185"/>
    <mergeCell ref="AL185:AM185"/>
    <mergeCell ref="AN185:AO185"/>
    <mergeCell ref="AR185:AS185"/>
    <mergeCell ref="AT185:BA185"/>
    <mergeCell ref="BB185:BI185"/>
    <mergeCell ref="BJ185:BR185"/>
    <mergeCell ref="AP184:AQ184"/>
    <mergeCell ref="AP185:AQ185"/>
    <mergeCell ref="AF189:AG189"/>
    <mergeCell ref="AH189:AI189"/>
    <mergeCell ref="AJ189:AK189"/>
    <mergeCell ref="AL189:AM189"/>
    <mergeCell ref="AN189:AO189"/>
    <mergeCell ref="AR189:AS189"/>
    <mergeCell ref="AT189:BA189"/>
    <mergeCell ref="BB189:BI189"/>
    <mergeCell ref="BJ189:BR189"/>
    <mergeCell ref="AF186:AG186"/>
    <mergeCell ref="AH186:AI186"/>
    <mergeCell ref="AJ186:AK186"/>
    <mergeCell ref="AL186:AM186"/>
    <mergeCell ref="AN186:AO186"/>
    <mergeCell ref="AR186:AS186"/>
    <mergeCell ref="AT186:BA186"/>
    <mergeCell ref="BB186:BI186"/>
    <mergeCell ref="BJ186:BR186"/>
    <mergeCell ref="AF187:AG187"/>
    <mergeCell ref="AH187:AI187"/>
    <mergeCell ref="AJ187:AK187"/>
    <mergeCell ref="AL187:AM187"/>
    <mergeCell ref="AN187:AO187"/>
    <mergeCell ref="AR187:AS187"/>
    <mergeCell ref="AT187:BA187"/>
    <mergeCell ref="BB187:BI187"/>
    <mergeCell ref="BJ187:BR187"/>
    <mergeCell ref="AP186:AQ186"/>
    <mergeCell ref="AP187:AQ187"/>
    <mergeCell ref="AP189:AQ189"/>
    <mergeCell ref="AF190:AG190"/>
    <mergeCell ref="AH190:AI190"/>
    <mergeCell ref="AJ190:AK190"/>
    <mergeCell ref="AL190:AM190"/>
    <mergeCell ref="AN190:AO190"/>
    <mergeCell ref="AR190:AS190"/>
    <mergeCell ref="AT190:BA190"/>
    <mergeCell ref="BB190:BI190"/>
    <mergeCell ref="BJ190:BR190"/>
    <mergeCell ref="AF196:AG196"/>
    <mergeCell ref="AH196:AI196"/>
    <mergeCell ref="AJ196:AK196"/>
    <mergeCell ref="AL196:AM196"/>
    <mergeCell ref="AN196:AO196"/>
    <mergeCell ref="AR196:AS196"/>
    <mergeCell ref="AT196:BA196"/>
    <mergeCell ref="BB196:BI196"/>
    <mergeCell ref="BJ196:BR196"/>
    <mergeCell ref="AF191:AG191"/>
    <mergeCell ref="AH191:AI191"/>
    <mergeCell ref="AJ191:AK191"/>
    <mergeCell ref="AL191:AM191"/>
    <mergeCell ref="AN191:AO191"/>
    <mergeCell ref="AR191:AS191"/>
    <mergeCell ref="AT191:BA191"/>
    <mergeCell ref="BB191:BI191"/>
    <mergeCell ref="BJ191:BR191"/>
    <mergeCell ref="AF192:AG192"/>
    <mergeCell ref="AH192:AI192"/>
    <mergeCell ref="AJ192:AK192"/>
    <mergeCell ref="AL192:AM192"/>
    <mergeCell ref="AN192:AO192"/>
    <mergeCell ref="AF193:AG193"/>
    <mergeCell ref="AH193:AI193"/>
    <mergeCell ref="AJ193:AK193"/>
    <mergeCell ref="AL193:AM193"/>
    <mergeCell ref="AN193:AO193"/>
    <mergeCell ref="AR193:AS193"/>
    <mergeCell ref="AT193:BA193"/>
    <mergeCell ref="BB193:BI193"/>
    <mergeCell ref="BJ193:BR193"/>
    <mergeCell ref="AF194:AG194"/>
    <mergeCell ref="AH194:AI194"/>
    <mergeCell ref="AJ194:AK194"/>
    <mergeCell ref="AL194:AM194"/>
    <mergeCell ref="AN194:AO194"/>
    <mergeCell ref="AR194:AS194"/>
    <mergeCell ref="AT194:BA194"/>
    <mergeCell ref="BB194:BI194"/>
    <mergeCell ref="BJ194:BR194"/>
    <mergeCell ref="AF195:AG195"/>
    <mergeCell ref="AH195:AI195"/>
    <mergeCell ref="AJ195:AK195"/>
    <mergeCell ref="AL195:AM195"/>
    <mergeCell ref="AN195:AO195"/>
    <mergeCell ref="AR195:AS195"/>
    <mergeCell ref="AT195:BA195"/>
    <mergeCell ref="BB195:BI195"/>
    <mergeCell ref="BJ195:BR195"/>
    <mergeCell ref="AF197:AG197"/>
    <mergeCell ref="AH197:AI197"/>
    <mergeCell ref="AJ197:AK197"/>
    <mergeCell ref="AL197:AM197"/>
    <mergeCell ref="AN197:AO197"/>
    <mergeCell ref="AR197:AS197"/>
    <mergeCell ref="AT197:BA197"/>
    <mergeCell ref="BB197:BI197"/>
    <mergeCell ref="BJ197:BR197"/>
    <mergeCell ref="AF198:AG198"/>
    <mergeCell ref="AH198:AI198"/>
    <mergeCell ref="AJ198:AK198"/>
    <mergeCell ref="AL198:AM198"/>
    <mergeCell ref="AN198:AO198"/>
    <mergeCell ref="AR198:AS198"/>
    <mergeCell ref="AT198:BA198"/>
    <mergeCell ref="BB198:BI198"/>
    <mergeCell ref="BJ198:BR198"/>
    <mergeCell ref="AF199:AG199"/>
    <mergeCell ref="AH199:AI199"/>
    <mergeCell ref="AJ199:AK199"/>
    <mergeCell ref="AL199:AM199"/>
    <mergeCell ref="AN199:AO199"/>
    <mergeCell ref="AR199:AS199"/>
    <mergeCell ref="AT199:BA199"/>
    <mergeCell ref="BB199:BI199"/>
    <mergeCell ref="BJ199:BR199"/>
    <mergeCell ref="AF201:AG201"/>
    <mergeCell ref="AH201:AI201"/>
    <mergeCell ref="AJ201:AK201"/>
    <mergeCell ref="AL201:AM201"/>
    <mergeCell ref="AN201:AO201"/>
    <mergeCell ref="AR201:AS201"/>
    <mergeCell ref="AT201:BA201"/>
    <mergeCell ref="BB201:BI201"/>
    <mergeCell ref="BJ201:BR201"/>
    <mergeCell ref="AF200:AG200"/>
    <mergeCell ref="AH200:AI200"/>
    <mergeCell ref="AJ200:AK200"/>
    <mergeCell ref="AL200:AM200"/>
    <mergeCell ref="AN200:AO200"/>
    <mergeCell ref="AR200:AS200"/>
    <mergeCell ref="AT200:BA200"/>
    <mergeCell ref="BB200:BI200"/>
    <mergeCell ref="BJ200:BR200"/>
    <mergeCell ref="AF203:AG203"/>
    <mergeCell ref="AH203:AI203"/>
    <mergeCell ref="AJ203:AK203"/>
    <mergeCell ref="AL203:AM203"/>
    <mergeCell ref="AN203:AO203"/>
    <mergeCell ref="AR203:AS203"/>
    <mergeCell ref="AT203:BA203"/>
    <mergeCell ref="BB203:BI203"/>
    <mergeCell ref="BJ203:BR203"/>
    <mergeCell ref="AF204:AG204"/>
    <mergeCell ref="AH204:AI204"/>
    <mergeCell ref="AJ204:AK204"/>
    <mergeCell ref="AL204:AM204"/>
    <mergeCell ref="AN204:AO204"/>
    <mergeCell ref="AR204:AS204"/>
    <mergeCell ref="AT204:BA204"/>
    <mergeCell ref="BB204:BI204"/>
    <mergeCell ref="BJ204:BR204"/>
    <mergeCell ref="AF205:AG205"/>
    <mergeCell ref="AH205:AI205"/>
    <mergeCell ref="AJ205:AK205"/>
    <mergeCell ref="AL205:AM205"/>
    <mergeCell ref="AN205:AO205"/>
    <mergeCell ref="AR205:AS205"/>
    <mergeCell ref="AT205:BA205"/>
    <mergeCell ref="BB205:BI205"/>
    <mergeCell ref="BJ205:BR205"/>
    <mergeCell ref="AF206:AG206"/>
    <mergeCell ref="AH206:AI206"/>
    <mergeCell ref="AJ206:AK206"/>
    <mergeCell ref="AL206:AM206"/>
    <mergeCell ref="AN206:AO206"/>
    <mergeCell ref="AR206:AS206"/>
    <mergeCell ref="AT206:BA206"/>
    <mergeCell ref="BB206:BI206"/>
    <mergeCell ref="BJ206:BR206"/>
    <mergeCell ref="AP205:AQ205"/>
    <mergeCell ref="AF207:AG207"/>
    <mergeCell ref="AH207:AI207"/>
    <mergeCell ref="AJ207:AK207"/>
    <mergeCell ref="AL207:AM207"/>
    <mergeCell ref="AN207:AO207"/>
    <mergeCell ref="AR207:AS207"/>
    <mergeCell ref="AT207:BA207"/>
    <mergeCell ref="BB207:BI207"/>
    <mergeCell ref="BJ207:BR207"/>
    <mergeCell ref="AF208:AG208"/>
    <mergeCell ref="AH208:AI208"/>
    <mergeCell ref="AJ208:AK208"/>
    <mergeCell ref="AL208:AM208"/>
    <mergeCell ref="AN208:AO208"/>
    <mergeCell ref="AR208:AS208"/>
    <mergeCell ref="AT208:BA208"/>
    <mergeCell ref="BB208:BI208"/>
    <mergeCell ref="BJ208:BR208"/>
    <mergeCell ref="AP207:AQ207"/>
    <mergeCell ref="AP208:AQ208"/>
    <mergeCell ref="AF209:AG209"/>
    <mergeCell ref="AH209:AI209"/>
    <mergeCell ref="AJ209:AK209"/>
    <mergeCell ref="AL209:AM209"/>
    <mergeCell ref="AN209:AO209"/>
    <mergeCell ref="AR209:AS209"/>
    <mergeCell ref="AT209:BA209"/>
    <mergeCell ref="BB209:BI209"/>
    <mergeCell ref="BJ209:BR209"/>
    <mergeCell ref="AF210:AG210"/>
    <mergeCell ref="AH210:AI210"/>
    <mergeCell ref="AJ210:AK210"/>
    <mergeCell ref="AL210:AM210"/>
    <mergeCell ref="AN210:AO210"/>
    <mergeCell ref="AR210:AS210"/>
    <mergeCell ref="AT210:BA210"/>
    <mergeCell ref="BB210:BI210"/>
    <mergeCell ref="BJ210:BR210"/>
    <mergeCell ref="AP209:AQ209"/>
    <mergeCell ref="AP210:AQ210"/>
    <mergeCell ref="AF211:AG211"/>
    <mergeCell ref="AH211:AI211"/>
    <mergeCell ref="AJ211:AK211"/>
    <mergeCell ref="AL211:AM211"/>
    <mergeCell ref="AN211:AO211"/>
    <mergeCell ref="AR211:AS211"/>
    <mergeCell ref="AT211:BA211"/>
    <mergeCell ref="BB211:BI211"/>
    <mergeCell ref="BJ211:BR211"/>
    <mergeCell ref="AF212:AG212"/>
    <mergeCell ref="AH212:AI212"/>
    <mergeCell ref="AJ212:AK212"/>
    <mergeCell ref="AL212:AM212"/>
    <mergeCell ref="AN212:AO212"/>
    <mergeCell ref="AR212:AS212"/>
    <mergeCell ref="AT212:BA212"/>
    <mergeCell ref="BB212:BI212"/>
    <mergeCell ref="BJ212:BR212"/>
    <mergeCell ref="AP211:AQ211"/>
    <mergeCell ref="AP212:AQ212"/>
    <mergeCell ref="AF213:AG213"/>
    <mergeCell ref="AH213:AI213"/>
    <mergeCell ref="AJ213:AK213"/>
    <mergeCell ref="AL213:AM213"/>
    <mergeCell ref="AN213:AO213"/>
    <mergeCell ref="AR213:AS213"/>
    <mergeCell ref="AT213:BA213"/>
    <mergeCell ref="BB213:BI213"/>
    <mergeCell ref="BJ213:BR213"/>
    <mergeCell ref="AF214:AG214"/>
    <mergeCell ref="AH214:AI214"/>
    <mergeCell ref="AJ214:AK214"/>
    <mergeCell ref="AL214:AM214"/>
    <mergeCell ref="AN214:AO214"/>
    <mergeCell ref="AR214:AS214"/>
    <mergeCell ref="AT214:BA214"/>
    <mergeCell ref="BB214:BI214"/>
    <mergeCell ref="BJ214:BR214"/>
    <mergeCell ref="AP213:AQ213"/>
    <mergeCell ref="AP214:AQ214"/>
    <mergeCell ref="AF215:AG215"/>
    <mergeCell ref="AH215:AI215"/>
    <mergeCell ref="AJ215:AK215"/>
    <mergeCell ref="AL215:AM215"/>
    <mergeCell ref="AN215:AO215"/>
    <mergeCell ref="AR215:AS215"/>
    <mergeCell ref="AT215:BA215"/>
    <mergeCell ref="BB215:BI215"/>
    <mergeCell ref="BJ215:BR215"/>
    <mergeCell ref="AF216:AG216"/>
    <mergeCell ref="AH216:AI216"/>
    <mergeCell ref="AJ216:AK216"/>
    <mergeCell ref="AL216:AM216"/>
    <mergeCell ref="AN216:AO216"/>
    <mergeCell ref="AR216:AS216"/>
    <mergeCell ref="AT216:BA216"/>
    <mergeCell ref="BB216:BI216"/>
    <mergeCell ref="BJ216:BR216"/>
    <mergeCell ref="AP215:AQ215"/>
    <mergeCell ref="AP216:AQ216"/>
    <mergeCell ref="AF217:AG217"/>
    <mergeCell ref="AH217:AI217"/>
    <mergeCell ref="AJ217:AK217"/>
    <mergeCell ref="AL217:AM217"/>
    <mergeCell ref="AN217:AO217"/>
    <mergeCell ref="AR217:AS217"/>
    <mergeCell ref="AT217:BA217"/>
    <mergeCell ref="BB217:BI217"/>
    <mergeCell ref="BJ217:BR217"/>
    <mergeCell ref="AF218:AG218"/>
    <mergeCell ref="AH218:AI218"/>
    <mergeCell ref="AJ218:AK218"/>
    <mergeCell ref="AL218:AM218"/>
    <mergeCell ref="AN218:AO218"/>
    <mergeCell ref="AR218:AS218"/>
    <mergeCell ref="AT218:BA218"/>
    <mergeCell ref="BB218:BI218"/>
    <mergeCell ref="BJ218:BR218"/>
    <mergeCell ref="AP217:AQ217"/>
    <mergeCell ref="AP218:AQ218"/>
    <mergeCell ref="AF219:AG219"/>
    <mergeCell ref="AH219:AI219"/>
    <mergeCell ref="AJ219:AK219"/>
    <mergeCell ref="AL219:AM219"/>
    <mergeCell ref="AN219:AO219"/>
    <mergeCell ref="AR219:AS219"/>
    <mergeCell ref="AT219:BA219"/>
    <mergeCell ref="BB219:BI219"/>
    <mergeCell ref="BJ219:BR219"/>
    <mergeCell ref="AF220:AG220"/>
    <mergeCell ref="AH220:AI220"/>
    <mergeCell ref="AJ220:AK220"/>
    <mergeCell ref="AL220:AM220"/>
    <mergeCell ref="AN220:AO220"/>
    <mergeCell ref="AR220:AS220"/>
    <mergeCell ref="AT220:BA220"/>
    <mergeCell ref="BB220:BI220"/>
    <mergeCell ref="BJ220:BR220"/>
    <mergeCell ref="AP219:AQ219"/>
    <mergeCell ref="AP220:AQ220"/>
    <mergeCell ref="AF221:AG221"/>
    <mergeCell ref="AH221:AI221"/>
    <mergeCell ref="AJ221:AK221"/>
    <mergeCell ref="AL221:AM221"/>
    <mergeCell ref="AN221:AO221"/>
    <mergeCell ref="AR221:AS221"/>
    <mergeCell ref="AT221:BA221"/>
    <mergeCell ref="BB221:BI221"/>
    <mergeCell ref="BJ221:BR221"/>
    <mergeCell ref="AF223:AG223"/>
    <mergeCell ref="AH223:AI223"/>
    <mergeCell ref="AJ223:AK223"/>
    <mergeCell ref="AL223:AM223"/>
    <mergeCell ref="AN223:AO223"/>
    <mergeCell ref="AR223:AS223"/>
    <mergeCell ref="AT223:BA223"/>
    <mergeCell ref="BB223:BI223"/>
    <mergeCell ref="BJ223:BR223"/>
    <mergeCell ref="AP221:AQ221"/>
    <mergeCell ref="AP223:AQ223"/>
    <mergeCell ref="AF224:AG224"/>
    <mergeCell ref="AH224:AI224"/>
    <mergeCell ref="AJ224:AK224"/>
    <mergeCell ref="AL224:AM224"/>
    <mergeCell ref="AN224:AO224"/>
    <mergeCell ref="AR224:AS224"/>
    <mergeCell ref="AT224:BA224"/>
    <mergeCell ref="BB224:BI224"/>
    <mergeCell ref="BJ224:BR224"/>
    <mergeCell ref="AN227:AO227"/>
    <mergeCell ref="AF227:AG227"/>
    <mergeCell ref="AH227:AI227"/>
    <mergeCell ref="AJ227:AK227"/>
    <mergeCell ref="AL227:AM227"/>
    <mergeCell ref="AR227:AS227"/>
    <mergeCell ref="AT227:BA227"/>
    <mergeCell ref="BB227:BI227"/>
    <mergeCell ref="BJ227:BR227"/>
    <mergeCell ref="AF226:AG226"/>
    <mergeCell ref="AH226:AI226"/>
    <mergeCell ref="AJ226:AK226"/>
    <mergeCell ref="AL226:AM226"/>
    <mergeCell ref="AN226:AO226"/>
    <mergeCell ref="AR226:AS226"/>
    <mergeCell ref="AT226:BA226"/>
    <mergeCell ref="BB226:BI226"/>
    <mergeCell ref="BJ226:BR226"/>
    <mergeCell ref="AP224:AQ224"/>
    <mergeCell ref="AP226:AQ226"/>
    <mergeCell ref="AP227:AQ227"/>
    <mergeCell ref="AF228:AG228"/>
    <mergeCell ref="AH228:AI228"/>
    <mergeCell ref="AJ228:AK228"/>
    <mergeCell ref="AL228:AM228"/>
    <mergeCell ref="AN228:AO228"/>
    <mergeCell ref="AR228:AS228"/>
    <mergeCell ref="AT228:BA228"/>
    <mergeCell ref="BB228:BI228"/>
    <mergeCell ref="BJ228:BR228"/>
    <mergeCell ref="AF229:AG229"/>
    <mergeCell ref="AH229:AI229"/>
    <mergeCell ref="AJ229:AK229"/>
    <mergeCell ref="AL229:AM229"/>
    <mergeCell ref="AN229:AO229"/>
    <mergeCell ref="AR229:AS229"/>
    <mergeCell ref="AT229:BA229"/>
    <mergeCell ref="BB229:BI229"/>
    <mergeCell ref="BJ229:BR229"/>
    <mergeCell ref="AP228:AQ228"/>
    <mergeCell ref="AP229:AQ229"/>
    <mergeCell ref="AF231:AG231"/>
    <mergeCell ref="AH231:AI231"/>
    <mergeCell ref="AJ231:AK231"/>
    <mergeCell ref="AL231:AM231"/>
    <mergeCell ref="AN231:AO231"/>
    <mergeCell ref="AR231:AS231"/>
    <mergeCell ref="AT231:BA231"/>
    <mergeCell ref="BB231:BI231"/>
    <mergeCell ref="BJ231:BR231"/>
    <mergeCell ref="AF232:AG232"/>
    <mergeCell ref="AH232:AI232"/>
    <mergeCell ref="AJ232:AK232"/>
    <mergeCell ref="AL232:AM232"/>
    <mergeCell ref="AN232:AO232"/>
    <mergeCell ref="AR232:AS232"/>
    <mergeCell ref="AT232:BA232"/>
    <mergeCell ref="BB232:BI232"/>
    <mergeCell ref="BJ232:BR232"/>
    <mergeCell ref="AP231:AQ231"/>
    <mergeCell ref="AP232:AQ232"/>
    <mergeCell ref="AF233:AG233"/>
    <mergeCell ref="AH233:AI233"/>
    <mergeCell ref="AJ233:AK233"/>
    <mergeCell ref="AL233:AM233"/>
    <mergeCell ref="AN233:AO233"/>
    <mergeCell ref="AR233:AS233"/>
    <mergeCell ref="AT233:BA233"/>
    <mergeCell ref="BB233:BI233"/>
    <mergeCell ref="BJ233:BR233"/>
    <mergeCell ref="AF234:AG234"/>
    <mergeCell ref="AH234:AI234"/>
    <mergeCell ref="AJ234:AK234"/>
    <mergeCell ref="AL234:AM234"/>
    <mergeCell ref="AN234:AO234"/>
    <mergeCell ref="AR234:AS234"/>
    <mergeCell ref="AT234:BA234"/>
    <mergeCell ref="BB234:BI234"/>
    <mergeCell ref="BJ234:BR234"/>
    <mergeCell ref="AP233:AQ233"/>
    <mergeCell ref="AP234:AQ234"/>
    <mergeCell ref="AF235:AG235"/>
    <mergeCell ref="AH235:AI235"/>
    <mergeCell ref="AJ235:AK235"/>
    <mergeCell ref="AL235:AM235"/>
    <mergeCell ref="AN235:AO235"/>
    <mergeCell ref="AR235:AS235"/>
    <mergeCell ref="AT235:BA235"/>
    <mergeCell ref="BB235:BI235"/>
    <mergeCell ref="BJ235:BR235"/>
    <mergeCell ref="AF237:AG237"/>
    <mergeCell ref="AH237:AI237"/>
    <mergeCell ref="AJ237:AK237"/>
    <mergeCell ref="AL237:AM237"/>
    <mergeCell ref="AN237:AO237"/>
    <mergeCell ref="AR237:AS237"/>
    <mergeCell ref="AT237:BA237"/>
    <mergeCell ref="BB237:BI237"/>
    <mergeCell ref="BJ237:BR237"/>
    <mergeCell ref="AP235:AQ235"/>
    <mergeCell ref="AP237:AQ237"/>
    <mergeCell ref="AF236:AG236"/>
    <mergeCell ref="AH236:AI236"/>
    <mergeCell ref="AJ236:AK236"/>
    <mergeCell ref="AL236:AM236"/>
    <mergeCell ref="AN236:AO236"/>
    <mergeCell ref="AP236:AQ236"/>
    <mergeCell ref="AR236:AS236"/>
    <mergeCell ref="AT236:BA236"/>
    <mergeCell ref="BB236:BI236"/>
    <mergeCell ref="BJ236:BR236"/>
    <mergeCell ref="AF238:AG238"/>
    <mergeCell ref="AH238:AI238"/>
    <mergeCell ref="AJ238:AK238"/>
    <mergeCell ref="AL238:AM238"/>
    <mergeCell ref="AN238:AO238"/>
    <mergeCell ref="AR238:AS238"/>
    <mergeCell ref="AT238:BA238"/>
    <mergeCell ref="BB238:BI238"/>
    <mergeCell ref="BJ238:BR238"/>
    <mergeCell ref="AF239:AG239"/>
    <mergeCell ref="AH239:AI239"/>
    <mergeCell ref="AJ239:AK239"/>
    <mergeCell ref="AL239:AM239"/>
    <mergeCell ref="AN239:AO239"/>
    <mergeCell ref="AR239:AS239"/>
    <mergeCell ref="AT239:BA239"/>
    <mergeCell ref="BB239:BI239"/>
    <mergeCell ref="BJ239:BR239"/>
    <mergeCell ref="AP238:AQ238"/>
    <mergeCell ref="AP239:AQ239"/>
    <mergeCell ref="AF240:AG240"/>
    <mergeCell ref="AH240:AI240"/>
    <mergeCell ref="AJ240:AK240"/>
    <mergeCell ref="AL240:AM240"/>
    <mergeCell ref="AN240:AO240"/>
    <mergeCell ref="AR240:AS240"/>
    <mergeCell ref="AT240:BA240"/>
    <mergeCell ref="BB240:BI240"/>
    <mergeCell ref="BJ240:BR240"/>
    <mergeCell ref="AF241:AG241"/>
    <mergeCell ref="AH241:AI241"/>
    <mergeCell ref="AJ241:AK241"/>
    <mergeCell ref="AL241:AM241"/>
    <mergeCell ref="AN241:AO241"/>
    <mergeCell ref="AR241:AS241"/>
    <mergeCell ref="AT241:BA241"/>
    <mergeCell ref="BB241:BI241"/>
    <mergeCell ref="BJ241:BR241"/>
    <mergeCell ref="AP240:AQ240"/>
    <mergeCell ref="AP241:AQ241"/>
    <mergeCell ref="BB62:BI62"/>
    <mergeCell ref="BJ62:BR62"/>
    <mergeCell ref="AF63:AG63"/>
    <mergeCell ref="AH63:AI63"/>
    <mergeCell ref="AJ63:AK63"/>
    <mergeCell ref="AL63:AM63"/>
    <mergeCell ref="AN63:AO63"/>
    <mergeCell ref="AR63:AS63"/>
    <mergeCell ref="AT63:BA63"/>
    <mergeCell ref="BB63:BI63"/>
    <mergeCell ref="BJ63:BR63"/>
    <mergeCell ref="AF64:AG64"/>
    <mergeCell ref="AH64:AI64"/>
    <mergeCell ref="AJ64:AK64"/>
    <mergeCell ref="AL64:AM64"/>
    <mergeCell ref="AN64:AO64"/>
    <mergeCell ref="AR64:AS64"/>
    <mergeCell ref="AT64:BA64"/>
    <mergeCell ref="BB64:BI64"/>
    <mergeCell ref="BJ64:BR64"/>
    <mergeCell ref="AF66:AG66"/>
    <mergeCell ref="AH66:AI66"/>
    <mergeCell ref="AJ66:AK66"/>
    <mergeCell ref="AL66:AM66"/>
    <mergeCell ref="AN66:AO66"/>
    <mergeCell ref="AR66:AS66"/>
    <mergeCell ref="AT66:BA66"/>
    <mergeCell ref="BB66:BI66"/>
    <mergeCell ref="BJ66:BR66"/>
    <mergeCell ref="AP66:AQ66"/>
    <mergeCell ref="AF67:AG67"/>
    <mergeCell ref="AH67:AI67"/>
    <mergeCell ref="AJ67:AK67"/>
    <mergeCell ref="AL67:AM67"/>
    <mergeCell ref="AT67:BA67"/>
    <mergeCell ref="BB67:BI67"/>
    <mergeCell ref="BJ67:BR67"/>
    <mergeCell ref="AF98:AG98"/>
    <mergeCell ref="AH98:AI98"/>
    <mergeCell ref="AJ98:AK98"/>
    <mergeCell ref="AL98:AM98"/>
    <mergeCell ref="AN98:AO98"/>
    <mergeCell ref="AR98:AS98"/>
    <mergeCell ref="AT98:BA98"/>
    <mergeCell ref="BB98:BI98"/>
    <mergeCell ref="BJ98:BR98"/>
    <mergeCell ref="AF99:AG99"/>
    <mergeCell ref="AH99:AI99"/>
    <mergeCell ref="AJ99:AK99"/>
    <mergeCell ref="AL99:AM99"/>
    <mergeCell ref="AN99:AO99"/>
    <mergeCell ref="AR99:AS99"/>
    <mergeCell ref="AT99:BA99"/>
    <mergeCell ref="BB99:BI99"/>
    <mergeCell ref="BJ99:BR99"/>
    <mergeCell ref="AP98:AQ98"/>
    <mergeCell ref="AP99:AQ99"/>
    <mergeCell ref="AF100:AG100"/>
    <mergeCell ref="AH100:AI100"/>
    <mergeCell ref="AJ100:AK100"/>
    <mergeCell ref="AL100:AM100"/>
    <mergeCell ref="AN100:AO100"/>
    <mergeCell ref="AR100:AS100"/>
    <mergeCell ref="AT100:BA100"/>
    <mergeCell ref="BB100:BI100"/>
    <mergeCell ref="BJ100:BR100"/>
    <mergeCell ref="AF101:AG101"/>
    <mergeCell ref="AH101:AI101"/>
    <mergeCell ref="AJ101:AK101"/>
    <mergeCell ref="AL101:AM101"/>
    <mergeCell ref="AN101:AO101"/>
    <mergeCell ref="AR101:AS101"/>
    <mergeCell ref="AT101:BA101"/>
    <mergeCell ref="BB101:BI101"/>
    <mergeCell ref="BJ101:BR101"/>
    <mergeCell ref="AP100:AQ100"/>
    <mergeCell ref="AP101:AQ101"/>
    <mergeCell ref="AF102:AG102"/>
    <mergeCell ref="AH102:AI102"/>
    <mergeCell ref="AJ102:AK102"/>
    <mergeCell ref="AL102:AM102"/>
    <mergeCell ref="AN102:AO102"/>
    <mergeCell ref="AR102:AS102"/>
    <mergeCell ref="AT102:BA102"/>
    <mergeCell ref="BB102:BI102"/>
    <mergeCell ref="BJ102:BR102"/>
    <mergeCell ref="AF103:AG103"/>
    <mergeCell ref="AH103:AI103"/>
    <mergeCell ref="AJ103:AK103"/>
    <mergeCell ref="AL103:AM103"/>
    <mergeCell ref="AN103:AO103"/>
    <mergeCell ref="AR103:AS103"/>
    <mergeCell ref="AT103:BA103"/>
    <mergeCell ref="BB103:BI103"/>
    <mergeCell ref="BJ103:BR103"/>
    <mergeCell ref="AP102:AQ102"/>
    <mergeCell ref="AP103:AQ103"/>
    <mergeCell ref="AF104:AG104"/>
    <mergeCell ref="AH104:AI104"/>
    <mergeCell ref="AJ104:AK104"/>
    <mergeCell ref="AL104:AM104"/>
    <mergeCell ref="AN104:AO104"/>
    <mergeCell ref="AR104:AS104"/>
    <mergeCell ref="AT104:BA104"/>
    <mergeCell ref="BB104:BI104"/>
    <mergeCell ref="BJ104:BR104"/>
    <mergeCell ref="AP104:AQ104"/>
    <mergeCell ref="AF105:AG105"/>
    <mergeCell ref="AH105:AI105"/>
    <mergeCell ref="AJ105:AK105"/>
    <mergeCell ref="AL105:AM105"/>
    <mergeCell ref="AN105:AO105"/>
    <mergeCell ref="AR105:AS105"/>
    <mergeCell ref="AT105:BA105"/>
    <mergeCell ref="BB105:BI105"/>
    <mergeCell ref="BJ105:BR105"/>
    <mergeCell ref="AF106:AG106"/>
    <mergeCell ref="AH106:AI106"/>
    <mergeCell ref="AJ106:AK106"/>
    <mergeCell ref="AL106:AM106"/>
    <mergeCell ref="AN106:AO106"/>
    <mergeCell ref="AR106:AS106"/>
    <mergeCell ref="AT106:BA106"/>
    <mergeCell ref="BB106:BI106"/>
    <mergeCell ref="BJ106:BR106"/>
    <mergeCell ref="AP106:AQ106"/>
    <mergeCell ref="AF107:AG107"/>
    <mergeCell ref="AH107:AI107"/>
    <mergeCell ref="AJ107:AK107"/>
    <mergeCell ref="AL107:AM107"/>
    <mergeCell ref="AN107:AO107"/>
    <mergeCell ref="AR107:AS107"/>
    <mergeCell ref="AT107:BA107"/>
    <mergeCell ref="BB107:BI107"/>
    <mergeCell ref="BJ107:BR107"/>
    <mergeCell ref="AF108:AG108"/>
    <mergeCell ref="AH108:AI108"/>
    <mergeCell ref="AJ108:AK108"/>
    <mergeCell ref="AL108:AM108"/>
    <mergeCell ref="AN108:AO108"/>
    <mergeCell ref="AR108:AS108"/>
    <mergeCell ref="AT108:BA108"/>
    <mergeCell ref="BB108:BI108"/>
    <mergeCell ref="BJ108:BR108"/>
    <mergeCell ref="AP107:AQ107"/>
    <mergeCell ref="AP108:AQ108"/>
    <mergeCell ref="AF109:AG109"/>
    <mergeCell ref="AH109:AI109"/>
    <mergeCell ref="AJ109:AK109"/>
    <mergeCell ref="AL109:AM109"/>
    <mergeCell ref="AN109:AO109"/>
    <mergeCell ref="AR109:AS109"/>
    <mergeCell ref="AT109:BA109"/>
    <mergeCell ref="BB109:BI109"/>
    <mergeCell ref="BJ109:BR109"/>
    <mergeCell ref="AF110:AG110"/>
    <mergeCell ref="AH110:AI110"/>
    <mergeCell ref="AJ110:AK110"/>
    <mergeCell ref="AL110:AM110"/>
    <mergeCell ref="AN110:AO110"/>
    <mergeCell ref="AR110:AS110"/>
    <mergeCell ref="AT110:BA110"/>
    <mergeCell ref="BB110:BI110"/>
    <mergeCell ref="BJ110:BR110"/>
    <mergeCell ref="AP109:AQ109"/>
    <mergeCell ref="AP110:AQ110"/>
    <mergeCell ref="AF111:AG111"/>
    <mergeCell ref="AH111:AI111"/>
    <mergeCell ref="AJ111:AK111"/>
    <mergeCell ref="AL111:AM111"/>
    <mergeCell ref="AN111:AO111"/>
    <mergeCell ref="AR111:AS111"/>
    <mergeCell ref="AT111:BA111"/>
    <mergeCell ref="BB111:BI111"/>
    <mergeCell ref="BJ111:BR111"/>
    <mergeCell ref="AF112:AG112"/>
    <mergeCell ref="AH112:AI112"/>
    <mergeCell ref="AJ112:AK112"/>
    <mergeCell ref="AL112:AM112"/>
    <mergeCell ref="AN112:AO112"/>
    <mergeCell ref="AR112:AS112"/>
    <mergeCell ref="AT112:BA112"/>
    <mergeCell ref="BB112:BI112"/>
    <mergeCell ref="BJ112:BR112"/>
    <mergeCell ref="AP111:AQ111"/>
    <mergeCell ref="AP112:AQ112"/>
    <mergeCell ref="AF113:AG113"/>
    <mergeCell ref="AH113:AI113"/>
    <mergeCell ref="AJ113:AK113"/>
    <mergeCell ref="AL113:AM113"/>
    <mergeCell ref="AN113:AO113"/>
    <mergeCell ref="AR113:AS113"/>
    <mergeCell ref="AT113:BA113"/>
    <mergeCell ref="BB113:BI113"/>
    <mergeCell ref="BJ113:BR113"/>
    <mergeCell ref="AF114:AG114"/>
    <mergeCell ref="AH114:AI114"/>
    <mergeCell ref="AJ114:AK114"/>
    <mergeCell ref="AL114:AM114"/>
    <mergeCell ref="AN114:AO114"/>
    <mergeCell ref="AR114:AS114"/>
    <mergeCell ref="AT114:BA114"/>
    <mergeCell ref="BB114:BI114"/>
    <mergeCell ref="BJ114:BR114"/>
    <mergeCell ref="AP113:AQ113"/>
    <mergeCell ref="AP114:AQ114"/>
    <mergeCell ref="AF115:AG115"/>
    <mergeCell ref="AH115:AI115"/>
    <mergeCell ref="AJ115:AK115"/>
    <mergeCell ref="AL115:AM115"/>
    <mergeCell ref="AN115:AO115"/>
    <mergeCell ref="AR115:AS115"/>
    <mergeCell ref="AT115:BA115"/>
    <mergeCell ref="BB115:BI115"/>
    <mergeCell ref="BJ115:BR115"/>
    <mergeCell ref="AF116:AG116"/>
    <mergeCell ref="AH116:AI116"/>
    <mergeCell ref="AJ116:AK116"/>
    <mergeCell ref="AL116:AM116"/>
    <mergeCell ref="AN116:AO116"/>
    <mergeCell ref="AR116:AS116"/>
    <mergeCell ref="AT116:BA116"/>
    <mergeCell ref="BB116:BI116"/>
    <mergeCell ref="BJ116:BR116"/>
    <mergeCell ref="AP115:AQ115"/>
    <mergeCell ref="AP116:AQ116"/>
    <mergeCell ref="AF117:AG117"/>
    <mergeCell ref="AH117:AI117"/>
    <mergeCell ref="AJ117:AK117"/>
    <mergeCell ref="AL117:AM117"/>
    <mergeCell ref="AN117:AO117"/>
    <mergeCell ref="AR117:AS117"/>
    <mergeCell ref="AT117:BA117"/>
    <mergeCell ref="BB117:BI117"/>
    <mergeCell ref="BJ117:BR117"/>
    <mergeCell ref="AF118:AG118"/>
    <mergeCell ref="AH118:AI118"/>
    <mergeCell ref="AJ118:AK118"/>
    <mergeCell ref="AL118:AM118"/>
    <mergeCell ref="AN118:AO118"/>
    <mergeCell ref="AR118:AS118"/>
    <mergeCell ref="AT118:BA118"/>
    <mergeCell ref="BB118:BI118"/>
    <mergeCell ref="BJ118:BR118"/>
    <mergeCell ref="AP117:AQ117"/>
    <mergeCell ref="AP118:AQ118"/>
    <mergeCell ref="AF119:AG119"/>
    <mergeCell ref="AH119:AI119"/>
    <mergeCell ref="AJ119:AK119"/>
    <mergeCell ref="AL119:AM119"/>
    <mergeCell ref="AN119:AO119"/>
    <mergeCell ref="AR119:AS119"/>
    <mergeCell ref="AT119:BA119"/>
    <mergeCell ref="BB119:BI119"/>
    <mergeCell ref="BJ119:BR119"/>
    <mergeCell ref="AF132:AG132"/>
    <mergeCell ref="AH132:AI132"/>
    <mergeCell ref="AJ132:AK132"/>
    <mergeCell ref="AL132:AM132"/>
    <mergeCell ref="AN132:AO132"/>
    <mergeCell ref="AR132:AS132"/>
    <mergeCell ref="AT132:BA132"/>
    <mergeCell ref="BB132:BI132"/>
    <mergeCell ref="BJ132:BR132"/>
    <mergeCell ref="AP132:AQ132"/>
    <mergeCell ref="AF133:AG133"/>
    <mergeCell ref="AH133:AI133"/>
    <mergeCell ref="AJ133:AK133"/>
    <mergeCell ref="AL133:AM133"/>
    <mergeCell ref="AN133:AO133"/>
    <mergeCell ref="AR133:AS133"/>
    <mergeCell ref="AT133:BA133"/>
    <mergeCell ref="BB133:BI133"/>
    <mergeCell ref="BJ133:BR133"/>
    <mergeCell ref="AF134:AG134"/>
    <mergeCell ref="AH134:AI134"/>
    <mergeCell ref="AJ134:AK134"/>
    <mergeCell ref="AL134:AM134"/>
    <mergeCell ref="AN134:AO134"/>
    <mergeCell ref="AR134:AS134"/>
    <mergeCell ref="AT134:BA134"/>
    <mergeCell ref="BB134:BI134"/>
    <mergeCell ref="BJ134:BR134"/>
    <mergeCell ref="AP133:AQ133"/>
    <mergeCell ref="AP134:AQ134"/>
    <mergeCell ref="AF135:AG135"/>
    <mergeCell ref="AH135:AI135"/>
    <mergeCell ref="AJ135:AK135"/>
    <mergeCell ref="AL135:AM135"/>
    <mergeCell ref="AN135:AO135"/>
    <mergeCell ref="AR135:AS135"/>
    <mergeCell ref="AT135:BA135"/>
    <mergeCell ref="BB135:BI135"/>
    <mergeCell ref="BJ135:BR135"/>
    <mergeCell ref="AF136:AG136"/>
    <mergeCell ref="AH136:AI136"/>
    <mergeCell ref="AJ136:AK136"/>
    <mergeCell ref="AL136:AM136"/>
    <mergeCell ref="AN136:AO136"/>
    <mergeCell ref="AR136:AS136"/>
    <mergeCell ref="AT136:BA136"/>
    <mergeCell ref="BB136:BI136"/>
    <mergeCell ref="BJ136:BR136"/>
    <mergeCell ref="AP135:AQ135"/>
    <mergeCell ref="AP136:AQ136"/>
    <mergeCell ref="AF137:AG137"/>
    <mergeCell ref="AH137:AI137"/>
    <mergeCell ref="AJ137:AK137"/>
    <mergeCell ref="AL137:AM137"/>
    <mergeCell ref="AN137:AO137"/>
    <mergeCell ref="AR137:AS137"/>
    <mergeCell ref="AT137:BA137"/>
    <mergeCell ref="BB137:BI137"/>
    <mergeCell ref="BJ137:BR137"/>
    <mergeCell ref="BB140:BI140"/>
    <mergeCell ref="BJ140:BR140"/>
    <mergeCell ref="AP139:AQ139"/>
    <mergeCell ref="AP140:AQ140"/>
    <mergeCell ref="AF142:AG142"/>
    <mergeCell ref="AH142:AI142"/>
    <mergeCell ref="AJ142:AK142"/>
    <mergeCell ref="AL142:AM142"/>
    <mergeCell ref="AN142:AO142"/>
    <mergeCell ref="AR142:AS142"/>
    <mergeCell ref="AT142:BA142"/>
    <mergeCell ref="BB142:BI142"/>
    <mergeCell ref="BJ142:BR142"/>
    <mergeCell ref="AF138:AG138"/>
    <mergeCell ref="AH138:AI138"/>
    <mergeCell ref="AJ138:AK138"/>
    <mergeCell ref="AL138:AM138"/>
    <mergeCell ref="AN138:AO138"/>
    <mergeCell ref="AR138:AS138"/>
    <mergeCell ref="AT138:BA138"/>
    <mergeCell ref="BB138:BI138"/>
    <mergeCell ref="BJ138:BR138"/>
    <mergeCell ref="AP138:AQ138"/>
    <mergeCell ref="AF139:AG139"/>
    <mergeCell ref="AH139:AI139"/>
    <mergeCell ref="AJ139:AK139"/>
    <mergeCell ref="AL139:AM139"/>
    <mergeCell ref="AN139:AO139"/>
    <mergeCell ref="AR139:AS139"/>
    <mergeCell ref="AT139:BA139"/>
    <mergeCell ref="BB139:BI139"/>
    <mergeCell ref="BJ139:BR139"/>
    <mergeCell ref="AT21:BA21"/>
    <mergeCell ref="BB21:BI21"/>
    <mergeCell ref="AT143:BA143"/>
    <mergeCell ref="BB143:BI143"/>
    <mergeCell ref="BJ143:BR143"/>
    <mergeCell ref="AF13:AG13"/>
    <mergeCell ref="AH13:AI13"/>
    <mergeCell ref="AJ13:AK13"/>
    <mergeCell ref="AL13:AM13"/>
    <mergeCell ref="AN13:AO13"/>
    <mergeCell ref="AR13:AS13"/>
    <mergeCell ref="AT13:BA13"/>
    <mergeCell ref="BB13:BI13"/>
    <mergeCell ref="BJ13:BR13"/>
    <mergeCell ref="AF144:AG144"/>
    <mergeCell ref="AH144:AI144"/>
    <mergeCell ref="AJ144:AK144"/>
    <mergeCell ref="AL144:AM144"/>
    <mergeCell ref="AN144:AO144"/>
    <mergeCell ref="AR144:AS144"/>
    <mergeCell ref="AT144:BA144"/>
    <mergeCell ref="BB144:BI144"/>
    <mergeCell ref="BJ144:BR144"/>
    <mergeCell ref="AF143:AG143"/>
    <mergeCell ref="AH143:AI143"/>
    <mergeCell ref="AJ143:AK143"/>
    <mergeCell ref="AL143:AM143"/>
    <mergeCell ref="AP142:AQ142"/>
    <mergeCell ref="AF140:AG140"/>
    <mergeCell ref="AH140:AI140"/>
    <mergeCell ref="AJ140:AK140"/>
    <mergeCell ref="AL140:AM140"/>
    <mergeCell ref="AJ36:AK36"/>
    <mergeCell ref="AJ37:AK37"/>
    <mergeCell ref="AJ38:AK38"/>
    <mergeCell ref="AJ39:AK39"/>
    <mergeCell ref="AF22:AG22"/>
    <mergeCell ref="AH22:AI22"/>
    <mergeCell ref="AJ22:AK22"/>
    <mergeCell ref="AL22:AM22"/>
    <mergeCell ref="AN22:AO22"/>
    <mergeCell ref="AR22:AS22"/>
    <mergeCell ref="AT22:BA22"/>
    <mergeCell ref="BB22:BI22"/>
    <mergeCell ref="BJ22:BR22"/>
    <mergeCell ref="AF14:AG14"/>
    <mergeCell ref="AH14:AI14"/>
    <mergeCell ref="AJ14:AK14"/>
    <mergeCell ref="AL14:AM14"/>
    <mergeCell ref="AN14:AO14"/>
    <mergeCell ref="AR14:AS14"/>
    <mergeCell ref="AT14:BA14"/>
    <mergeCell ref="BB14:BI14"/>
    <mergeCell ref="BJ14:BR14"/>
    <mergeCell ref="AF15:AG15"/>
    <mergeCell ref="BB17:BI17"/>
    <mergeCell ref="AH15:AI15"/>
    <mergeCell ref="AF16:AG16"/>
    <mergeCell ref="AL16:AM16"/>
    <mergeCell ref="AN16:AO16"/>
    <mergeCell ref="AR16:AS16"/>
    <mergeCell ref="AT17:BA17"/>
    <mergeCell ref="AF21:AG21"/>
    <mergeCell ref="AL21:AM21"/>
    <mergeCell ref="AN19:AO19"/>
    <mergeCell ref="AR19:AS19"/>
    <mergeCell ref="AJ16:AK16"/>
    <mergeCell ref="AP30:AQ30"/>
    <mergeCell ref="AP31:AQ31"/>
    <mergeCell ref="AP32:AQ32"/>
    <mergeCell ref="AP9:AQ9"/>
    <mergeCell ref="AP12:AQ12"/>
    <mergeCell ref="AP13:AQ13"/>
    <mergeCell ref="AP14:AQ14"/>
    <mergeCell ref="AP15:AQ15"/>
    <mergeCell ref="AP16:AQ16"/>
    <mergeCell ref="AP17:AQ17"/>
    <mergeCell ref="AP18:AQ18"/>
    <mergeCell ref="AP19:AQ19"/>
    <mergeCell ref="AP20:AQ20"/>
    <mergeCell ref="AP21:AQ21"/>
    <mergeCell ref="AP22:AQ22"/>
    <mergeCell ref="AJ12:AK12"/>
    <mergeCell ref="AJ15:AK15"/>
    <mergeCell ref="AN21:AO21"/>
    <mergeCell ref="AR21:AS21"/>
    <mergeCell ref="AJ25:AK25"/>
    <mergeCell ref="AP201:AQ201"/>
    <mergeCell ref="AP202:AQ202"/>
    <mergeCell ref="AP203:AQ203"/>
    <mergeCell ref="AP204:AQ204"/>
    <mergeCell ref="AN49:AO49"/>
    <mergeCell ref="AP49:AQ49"/>
    <mergeCell ref="AR49:AS49"/>
    <mergeCell ref="AN67:AO67"/>
    <mergeCell ref="AP67:AQ67"/>
    <mergeCell ref="AR67:AS67"/>
    <mergeCell ref="AN68:AO68"/>
    <mergeCell ref="AP68:AQ68"/>
    <mergeCell ref="AR68:AS68"/>
    <mergeCell ref="AP119:AQ119"/>
    <mergeCell ref="AP53:AQ53"/>
    <mergeCell ref="AP51:AQ51"/>
    <mergeCell ref="AP55:AQ55"/>
    <mergeCell ref="AP56:AQ56"/>
    <mergeCell ref="AP105:AQ105"/>
    <mergeCell ref="AR60:AS60"/>
    <mergeCell ref="AP57:AQ57"/>
    <mergeCell ref="AP58:AQ58"/>
    <mergeCell ref="AP54:AQ54"/>
    <mergeCell ref="AP143:AQ143"/>
    <mergeCell ref="AP144:AQ144"/>
    <mergeCell ref="AP145:AQ145"/>
    <mergeCell ref="AP146:AQ146"/>
    <mergeCell ref="AP147:AQ147"/>
    <mergeCell ref="AN143:AO143"/>
    <mergeCell ref="AR143:AS143"/>
    <mergeCell ref="AP137:AQ137"/>
    <mergeCell ref="AN140:AO140"/>
    <mergeCell ref="AT49:BA49"/>
    <mergeCell ref="BB49:BI49"/>
    <mergeCell ref="BJ49:BR49"/>
    <mergeCell ref="AF50:AG50"/>
    <mergeCell ref="AH50:AI50"/>
    <mergeCell ref="AJ50:AK50"/>
    <mergeCell ref="AL50:AM50"/>
    <mergeCell ref="AN50:AO50"/>
    <mergeCell ref="AP50:AQ50"/>
    <mergeCell ref="AR50:AS50"/>
    <mergeCell ref="AT50:BA50"/>
    <mergeCell ref="BB50:BI50"/>
    <mergeCell ref="BJ50:BR50"/>
    <mergeCell ref="AH53:AI53"/>
    <mergeCell ref="AJ53:AK53"/>
    <mergeCell ref="BJ53:BR53"/>
    <mergeCell ref="AF49:AG49"/>
    <mergeCell ref="AH49:AI49"/>
    <mergeCell ref="AJ49:AK49"/>
    <mergeCell ref="AL49:AM49"/>
    <mergeCell ref="AF51:AG51"/>
    <mergeCell ref="AL51:AM51"/>
    <mergeCell ref="AN51:AO51"/>
    <mergeCell ref="AR51:AS51"/>
    <mergeCell ref="AT51:BA51"/>
    <mergeCell ref="BB51:BI51"/>
    <mergeCell ref="BJ51:BR51"/>
    <mergeCell ref="AH51:AI51"/>
    <mergeCell ref="AF52:AG52"/>
    <mergeCell ref="AH52:AI52"/>
    <mergeCell ref="AJ52:AK52"/>
    <mergeCell ref="AL52:AM52"/>
    <mergeCell ref="BJ54:BR54"/>
    <mergeCell ref="AF243:AG243"/>
    <mergeCell ref="AH243:AI243"/>
    <mergeCell ref="AJ243:AK243"/>
    <mergeCell ref="AL243:AM243"/>
    <mergeCell ref="AN243:AO243"/>
    <mergeCell ref="AP243:AQ243"/>
    <mergeCell ref="AR243:AS243"/>
    <mergeCell ref="AT243:BA243"/>
    <mergeCell ref="BB243:BI243"/>
    <mergeCell ref="AP242:AQ242"/>
    <mergeCell ref="AP206:AQ206"/>
    <mergeCell ref="AP155:AQ155"/>
    <mergeCell ref="AP156:AQ156"/>
    <mergeCell ref="AP157:AQ157"/>
    <mergeCell ref="AP159:AQ159"/>
    <mergeCell ref="AP160:AQ160"/>
    <mergeCell ref="AP161:AQ161"/>
    <mergeCell ref="AP162:AQ162"/>
    <mergeCell ref="AP163:AQ163"/>
    <mergeCell ref="AP164:AQ164"/>
    <mergeCell ref="AP165:AQ165"/>
    <mergeCell ref="AP166:AQ166"/>
    <mergeCell ref="AP149:AQ149"/>
    <mergeCell ref="AP150:AQ150"/>
    <mergeCell ref="AP59:AQ59"/>
    <mergeCell ref="AP60:AQ60"/>
    <mergeCell ref="AP61:AQ61"/>
    <mergeCell ref="AP62:AQ62"/>
    <mergeCell ref="AP63:AQ63"/>
    <mergeCell ref="AP64:AQ64"/>
    <mergeCell ref="AP191:AQ191"/>
    <mergeCell ref="AF244:AG244"/>
    <mergeCell ref="AH244:AI244"/>
    <mergeCell ref="AJ244:AK244"/>
    <mergeCell ref="AL244:AM244"/>
    <mergeCell ref="AN244:AO244"/>
    <mergeCell ref="AP244:AQ244"/>
    <mergeCell ref="AR244:AS244"/>
    <mergeCell ref="AT244:BA244"/>
    <mergeCell ref="BB244:BI244"/>
    <mergeCell ref="BJ244:BR244"/>
    <mergeCell ref="AF245:AG245"/>
    <mergeCell ref="AH245:AI245"/>
    <mergeCell ref="AJ245:AK245"/>
    <mergeCell ref="AL245:AM245"/>
    <mergeCell ref="AN245:AO245"/>
    <mergeCell ref="AP245:AQ245"/>
    <mergeCell ref="AR245:AS245"/>
    <mergeCell ref="AT245:BA245"/>
    <mergeCell ref="BB245:BI245"/>
    <mergeCell ref="BJ245:BR245"/>
    <mergeCell ref="BB68:BI68"/>
    <mergeCell ref="BJ68:BR68"/>
    <mergeCell ref="AF69:AG69"/>
    <mergeCell ref="AH69:AI69"/>
    <mergeCell ref="AJ69:AK69"/>
    <mergeCell ref="AL69:AM69"/>
    <mergeCell ref="AN69:AO69"/>
    <mergeCell ref="AP69:AQ69"/>
    <mergeCell ref="AR69:AS69"/>
    <mergeCell ref="AT69:BA69"/>
    <mergeCell ref="BB69:BI69"/>
    <mergeCell ref="BJ69:BR69"/>
    <mergeCell ref="AF70:AG70"/>
    <mergeCell ref="AH70:AI70"/>
    <mergeCell ref="AJ70:AK70"/>
    <mergeCell ref="AL70:AM70"/>
    <mergeCell ref="AN70:AO70"/>
    <mergeCell ref="AP70:AQ70"/>
    <mergeCell ref="AR70:AS70"/>
    <mergeCell ref="AT70:BA70"/>
    <mergeCell ref="BB70:BI70"/>
    <mergeCell ref="BJ70:BR70"/>
    <mergeCell ref="AF68:AG68"/>
    <mergeCell ref="AH68:AI68"/>
    <mergeCell ref="AJ68:AK68"/>
    <mergeCell ref="AL68:AM68"/>
    <mergeCell ref="AT68:BA68"/>
    <mergeCell ref="AF71:AG71"/>
    <mergeCell ref="AH71:AI71"/>
    <mergeCell ref="AJ71:AK71"/>
    <mergeCell ref="AL71:AM71"/>
    <mergeCell ref="AN71:AO71"/>
    <mergeCell ref="AP71:AQ71"/>
    <mergeCell ref="AR71:AS71"/>
    <mergeCell ref="AT71:BA71"/>
    <mergeCell ref="BB71:BI71"/>
    <mergeCell ref="BJ71:BR71"/>
    <mergeCell ref="AF72:AG72"/>
    <mergeCell ref="AH72:AI72"/>
    <mergeCell ref="AJ72:AK72"/>
    <mergeCell ref="AL72:AM72"/>
    <mergeCell ref="AN72:AO72"/>
    <mergeCell ref="AP72:AQ72"/>
    <mergeCell ref="AR72:AS72"/>
    <mergeCell ref="AT72:BA72"/>
    <mergeCell ref="BB72:BI72"/>
    <mergeCell ref="BJ72:BR72"/>
    <mergeCell ref="AF73:AG73"/>
    <mergeCell ref="AH73:AI73"/>
    <mergeCell ref="AJ73:AK73"/>
    <mergeCell ref="AL73:AM73"/>
    <mergeCell ref="AN73:AO73"/>
    <mergeCell ref="AP73:AQ73"/>
    <mergeCell ref="AR73:AS73"/>
    <mergeCell ref="AT73:BA73"/>
    <mergeCell ref="BB73:BI73"/>
    <mergeCell ref="BJ73:BR73"/>
    <mergeCell ref="AF74:AG74"/>
    <mergeCell ref="AH74:AI74"/>
    <mergeCell ref="AJ74:AK74"/>
    <mergeCell ref="AL74:AM74"/>
    <mergeCell ref="AN74:AO74"/>
    <mergeCell ref="AP74:AQ74"/>
    <mergeCell ref="AR74:AS74"/>
    <mergeCell ref="AT74:BA74"/>
    <mergeCell ref="BB74:BI74"/>
    <mergeCell ref="BJ74:BR74"/>
    <mergeCell ref="AF75:AG75"/>
    <mergeCell ref="AH75:AI75"/>
    <mergeCell ref="AJ75:AK75"/>
    <mergeCell ref="AL75:AM75"/>
    <mergeCell ref="AN75:AO75"/>
    <mergeCell ref="AP75:AQ75"/>
    <mergeCell ref="AR75:AS75"/>
    <mergeCell ref="AT75:BA75"/>
    <mergeCell ref="BB75:BI75"/>
    <mergeCell ref="BJ75:BR75"/>
    <mergeCell ref="AF76:AG76"/>
    <mergeCell ref="AH76:AI76"/>
    <mergeCell ref="AJ76:AK76"/>
    <mergeCell ref="AL76:AM76"/>
    <mergeCell ref="AN76:AO76"/>
    <mergeCell ref="AP76:AQ76"/>
    <mergeCell ref="AR76:AS76"/>
    <mergeCell ref="AT76:BA76"/>
    <mergeCell ref="BB76:BI76"/>
    <mergeCell ref="BJ76:BR76"/>
    <mergeCell ref="AF77:AG77"/>
    <mergeCell ref="AH77:AI77"/>
    <mergeCell ref="AJ77:AK77"/>
    <mergeCell ref="AL77:AM77"/>
    <mergeCell ref="AN77:AO77"/>
    <mergeCell ref="AP77:AQ77"/>
    <mergeCell ref="AR77:AS77"/>
    <mergeCell ref="AT77:BA77"/>
    <mergeCell ref="BB77:BI77"/>
    <mergeCell ref="BJ77:BR77"/>
    <mergeCell ref="AF78:AG78"/>
    <mergeCell ref="AH78:AI78"/>
    <mergeCell ref="AJ78:AK78"/>
    <mergeCell ref="AL78:AM78"/>
    <mergeCell ref="AN78:AO78"/>
    <mergeCell ref="AP78:AQ78"/>
    <mergeCell ref="AR78:AS78"/>
    <mergeCell ref="AT78:BA78"/>
    <mergeCell ref="BB78:BI78"/>
    <mergeCell ref="BJ78:BR78"/>
    <mergeCell ref="AF79:AG79"/>
    <mergeCell ref="AH79:AI79"/>
    <mergeCell ref="AJ79:AK79"/>
    <mergeCell ref="AL79:AM79"/>
    <mergeCell ref="AN79:AO79"/>
    <mergeCell ref="AP79:AQ79"/>
    <mergeCell ref="AR79:AS79"/>
    <mergeCell ref="AT79:BA79"/>
    <mergeCell ref="BB79:BI79"/>
    <mergeCell ref="BJ79:BR79"/>
    <mergeCell ref="AF80:AG80"/>
    <mergeCell ref="AH80:AI80"/>
    <mergeCell ref="AJ80:AK80"/>
    <mergeCell ref="AL80:AM80"/>
    <mergeCell ref="AN80:AO80"/>
    <mergeCell ref="AP80:AQ80"/>
    <mergeCell ref="AR80:AS80"/>
    <mergeCell ref="AT80:BA80"/>
    <mergeCell ref="BB80:BI80"/>
    <mergeCell ref="BJ80:BR80"/>
    <mergeCell ref="AF81:AG81"/>
    <mergeCell ref="AH81:AI81"/>
    <mergeCell ref="AJ81:AK81"/>
    <mergeCell ref="AL81:AM81"/>
    <mergeCell ref="AN81:AO81"/>
    <mergeCell ref="AP81:AQ81"/>
    <mergeCell ref="AR81:AS81"/>
    <mergeCell ref="AT81:BA81"/>
    <mergeCell ref="BB81:BI81"/>
    <mergeCell ref="BJ81:BR81"/>
    <mergeCell ref="AF82:AG82"/>
    <mergeCell ref="AH82:AI82"/>
    <mergeCell ref="AJ82:AK82"/>
    <mergeCell ref="AL82:AM82"/>
    <mergeCell ref="AN82:AO82"/>
    <mergeCell ref="AP82:AQ82"/>
    <mergeCell ref="AR82:AS82"/>
    <mergeCell ref="AT82:BA82"/>
    <mergeCell ref="BB82:BI82"/>
    <mergeCell ref="BJ82:BR82"/>
    <mergeCell ref="AF83:AG83"/>
    <mergeCell ref="AH83:AI83"/>
    <mergeCell ref="AJ83:AK83"/>
    <mergeCell ref="AL83:AM83"/>
    <mergeCell ref="AN83:AO83"/>
    <mergeCell ref="AP83:AQ83"/>
    <mergeCell ref="AR83:AS83"/>
    <mergeCell ref="AT83:BA83"/>
    <mergeCell ref="BB83:BI83"/>
    <mergeCell ref="BJ83:BR83"/>
    <mergeCell ref="AF84:AG84"/>
    <mergeCell ref="AH84:AI84"/>
    <mergeCell ref="AJ84:AK84"/>
    <mergeCell ref="AL84:AM84"/>
    <mergeCell ref="AN84:AO84"/>
    <mergeCell ref="AP84:AQ84"/>
    <mergeCell ref="AR84:AS84"/>
    <mergeCell ref="AT84:BA84"/>
    <mergeCell ref="BB84:BI84"/>
    <mergeCell ref="BJ84:BR84"/>
    <mergeCell ref="AF85:AG85"/>
    <mergeCell ref="AH85:AI85"/>
    <mergeCell ref="AJ85:AK85"/>
    <mergeCell ref="AL85:AM85"/>
    <mergeCell ref="AN85:AO85"/>
    <mergeCell ref="AP85:AQ85"/>
    <mergeCell ref="AR85:AS85"/>
    <mergeCell ref="AT85:BA85"/>
    <mergeCell ref="BB85:BI85"/>
    <mergeCell ref="BJ85:BR85"/>
    <mergeCell ref="AF86:AG86"/>
    <mergeCell ref="AH86:AI86"/>
    <mergeCell ref="AJ86:AK86"/>
    <mergeCell ref="AL86:AM86"/>
    <mergeCell ref="AN86:AO86"/>
    <mergeCell ref="AP86:AQ86"/>
    <mergeCell ref="AR86:AS86"/>
    <mergeCell ref="AT86:BA86"/>
    <mergeCell ref="BB86:BI86"/>
    <mergeCell ref="BJ86:BR86"/>
    <mergeCell ref="AF87:AG87"/>
    <mergeCell ref="AH87:AI87"/>
    <mergeCell ref="AJ87:AK87"/>
    <mergeCell ref="AL87:AM87"/>
    <mergeCell ref="AN87:AO87"/>
    <mergeCell ref="AP87:AQ87"/>
    <mergeCell ref="AR87:AS87"/>
    <mergeCell ref="AT87:BA87"/>
    <mergeCell ref="BB87:BI87"/>
    <mergeCell ref="BJ87:BR87"/>
    <mergeCell ref="AF88:AG88"/>
    <mergeCell ref="AH88:AI88"/>
    <mergeCell ref="AJ88:AK88"/>
    <mergeCell ref="AL88:AM88"/>
    <mergeCell ref="AN88:AO88"/>
    <mergeCell ref="AP88:AQ88"/>
    <mergeCell ref="AR88:AS88"/>
    <mergeCell ref="AT88:BA88"/>
    <mergeCell ref="BB88:BI88"/>
    <mergeCell ref="BJ88:BR88"/>
    <mergeCell ref="BB92:BI92"/>
    <mergeCell ref="BJ92:BR92"/>
    <mergeCell ref="AF89:AG89"/>
    <mergeCell ref="AH89:AI89"/>
    <mergeCell ref="AJ89:AK89"/>
    <mergeCell ref="AL89:AM89"/>
    <mergeCell ref="AN89:AO89"/>
    <mergeCell ref="AP89:AQ89"/>
    <mergeCell ref="AR89:AS89"/>
    <mergeCell ref="AT89:BA89"/>
    <mergeCell ref="BB89:BI89"/>
    <mergeCell ref="BJ89:BR89"/>
    <mergeCell ref="AF90:AG90"/>
    <mergeCell ref="AH90:AI90"/>
    <mergeCell ref="AJ90:AK90"/>
    <mergeCell ref="AL90:AM90"/>
    <mergeCell ref="AN90:AO90"/>
    <mergeCell ref="AP90:AQ90"/>
    <mergeCell ref="AR90:AS90"/>
    <mergeCell ref="AT90:BA90"/>
    <mergeCell ref="BB90:BI90"/>
    <mergeCell ref="BJ90:BR90"/>
    <mergeCell ref="AR93:AS93"/>
    <mergeCell ref="AT93:BA93"/>
    <mergeCell ref="BB93:BI93"/>
    <mergeCell ref="BJ93:BR93"/>
    <mergeCell ref="AF94:AG94"/>
    <mergeCell ref="AH94:AI94"/>
    <mergeCell ref="AJ94:AK94"/>
    <mergeCell ref="AL94:AM94"/>
    <mergeCell ref="AN94:AO94"/>
    <mergeCell ref="AP94:AQ94"/>
    <mergeCell ref="AR94:AS94"/>
    <mergeCell ref="AT94:BA94"/>
    <mergeCell ref="BB94:BI94"/>
    <mergeCell ref="BJ94:BR94"/>
    <mergeCell ref="AF91:AG91"/>
    <mergeCell ref="AH91:AI91"/>
    <mergeCell ref="AJ91:AK91"/>
    <mergeCell ref="AL91:AM91"/>
    <mergeCell ref="AN91:AO91"/>
    <mergeCell ref="AP91:AQ91"/>
    <mergeCell ref="AR91:AS91"/>
    <mergeCell ref="AT91:BA91"/>
    <mergeCell ref="BB91:BI91"/>
    <mergeCell ref="BJ91:BR91"/>
    <mergeCell ref="AF92:AG92"/>
    <mergeCell ref="AH92:AI92"/>
    <mergeCell ref="AJ92:AK92"/>
    <mergeCell ref="AL92:AM92"/>
    <mergeCell ref="AN92:AO92"/>
    <mergeCell ref="AP92:AQ92"/>
    <mergeCell ref="AR92:AS92"/>
    <mergeCell ref="AT92:BA92"/>
    <mergeCell ref="AF96:AG96"/>
    <mergeCell ref="AH96:AI96"/>
    <mergeCell ref="AJ96:AK96"/>
    <mergeCell ref="AL96:AM96"/>
    <mergeCell ref="AN96:AO96"/>
    <mergeCell ref="AP96:AQ96"/>
    <mergeCell ref="AR96:AS96"/>
    <mergeCell ref="AT96:BA96"/>
    <mergeCell ref="BB96:BI96"/>
    <mergeCell ref="BJ96:BR96"/>
    <mergeCell ref="AF97:AG97"/>
    <mergeCell ref="AH97:AI97"/>
    <mergeCell ref="AJ97:AK97"/>
    <mergeCell ref="AL97:AM97"/>
    <mergeCell ref="AN97:AO97"/>
    <mergeCell ref="AP97:AQ97"/>
    <mergeCell ref="AR97:AS97"/>
    <mergeCell ref="AT97:BA97"/>
    <mergeCell ref="BB97:BI97"/>
    <mergeCell ref="BJ97:BR97"/>
    <mergeCell ref="AF120:AG120"/>
    <mergeCell ref="AH120:AI120"/>
    <mergeCell ref="AJ120:AK120"/>
    <mergeCell ref="AL120:AM120"/>
    <mergeCell ref="AN120:AO120"/>
    <mergeCell ref="AP120:AQ120"/>
    <mergeCell ref="AR120:AS120"/>
    <mergeCell ref="AT120:BA120"/>
    <mergeCell ref="BB120:BI120"/>
    <mergeCell ref="BJ120:BR120"/>
    <mergeCell ref="AF121:AG121"/>
    <mergeCell ref="AH121:AI121"/>
    <mergeCell ref="AJ121:AK121"/>
    <mergeCell ref="AL121:AM121"/>
    <mergeCell ref="AN121:AO121"/>
    <mergeCell ref="AP121:AQ121"/>
    <mergeCell ref="AR121:AS121"/>
    <mergeCell ref="AT121:BA121"/>
    <mergeCell ref="BB121:BI121"/>
    <mergeCell ref="BJ121:BR121"/>
    <mergeCell ref="AF122:AG122"/>
    <mergeCell ref="AH122:AI122"/>
    <mergeCell ref="AJ122:AK122"/>
    <mergeCell ref="AL122:AM122"/>
    <mergeCell ref="AN122:AO122"/>
    <mergeCell ref="AP122:AQ122"/>
    <mergeCell ref="AR122:AS122"/>
    <mergeCell ref="AT122:BA122"/>
    <mergeCell ref="BB122:BI122"/>
    <mergeCell ref="BJ122:BR122"/>
    <mergeCell ref="AF123:AG123"/>
    <mergeCell ref="AH123:AI123"/>
    <mergeCell ref="AJ123:AK123"/>
    <mergeCell ref="AL123:AM123"/>
    <mergeCell ref="AN123:AO123"/>
    <mergeCell ref="AP123:AQ123"/>
    <mergeCell ref="AR123:AS123"/>
    <mergeCell ref="AT123:BA123"/>
    <mergeCell ref="BB123:BI123"/>
    <mergeCell ref="BJ123:BR123"/>
    <mergeCell ref="AF124:AG124"/>
    <mergeCell ref="AH124:AI124"/>
    <mergeCell ref="AJ124:AK124"/>
    <mergeCell ref="AL124:AM124"/>
    <mergeCell ref="AN124:AO124"/>
    <mergeCell ref="AP124:AQ124"/>
    <mergeCell ref="AR124:AS124"/>
    <mergeCell ref="AT124:BA124"/>
    <mergeCell ref="BB124:BI124"/>
    <mergeCell ref="BJ124:BR124"/>
    <mergeCell ref="AF125:AG125"/>
    <mergeCell ref="AH125:AI125"/>
    <mergeCell ref="AJ125:AK125"/>
    <mergeCell ref="AL125:AM125"/>
    <mergeCell ref="AN125:AO125"/>
    <mergeCell ref="AP125:AQ125"/>
    <mergeCell ref="AR125:AS125"/>
    <mergeCell ref="AT125:BA125"/>
    <mergeCell ref="BB125:BI125"/>
    <mergeCell ref="BJ125:BR125"/>
    <mergeCell ref="AF126:AG126"/>
    <mergeCell ref="AH126:AI126"/>
    <mergeCell ref="AJ126:AK126"/>
    <mergeCell ref="AL126:AM126"/>
    <mergeCell ref="AN126:AO126"/>
    <mergeCell ref="AP126:AQ126"/>
    <mergeCell ref="AR126:AS126"/>
    <mergeCell ref="AT126:BA126"/>
    <mergeCell ref="BB126:BI126"/>
    <mergeCell ref="BJ126:BR126"/>
    <mergeCell ref="AF127:AG127"/>
    <mergeCell ref="AH127:AI127"/>
    <mergeCell ref="AJ127:AK127"/>
    <mergeCell ref="AL127:AM127"/>
    <mergeCell ref="AN127:AO127"/>
    <mergeCell ref="AP127:AQ127"/>
    <mergeCell ref="AR127:AS127"/>
    <mergeCell ref="AT127:BA127"/>
    <mergeCell ref="BB127:BI127"/>
    <mergeCell ref="BJ127:BR127"/>
    <mergeCell ref="AF128:AG128"/>
    <mergeCell ref="AH128:AI128"/>
    <mergeCell ref="AJ128:AK128"/>
    <mergeCell ref="AL128:AM128"/>
    <mergeCell ref="AN128:AO128"/>
    <mergeCell ref="AP128:AQ128"/>
    <mergeCell ref="AR128:AS128"/>
    <mergeCell ref="AT128:BA128"/>
    <mergeCell ref="BB128:BI128"/>
    <mergeCell ref="BJ128:BR128"/>
    <mergeCell ref="AF129:AG129"/>
    <mergeCell ref="AH129:AI129"/>
    <mergeCell ref="AJ129:AK129"/>
    <mergeCell ref="AL129:AM129"/>
    <mergeCell ref="AN129:AO129"/>
    <mergeCell ref="AP129:AQ129"/>
    <mergeCell ref="AR129:AS129"/>
    <mergeCell ref="AT129:BA129"/>
    <mergeCell ref="BB129:BI129"/>
    <mergeCell ref="BJ129:BR129"/>
    <mergeCell ref="AN52:AO52"/>
    <mergeCell ref="AP52:AQ52"/>
    <mergeCell ref="AR52:AS52"/>
    <mergeCell ref="AT52:BA52"/>
    <mergeCell ref="BB52:BI52"/>
    <mergeCell ref="BJ52:BR52"/>
    <mergeCell ref="AF65:AG65"/>
    <mergeCell ref="AH65:AI65"/>
    <mergeCell ref="AJ65:AK65"/>
    <mergeCell ref="AL65:AM65"/>
    <mergeCell ref="AN65:AO65"/>
    <mergeCell ref="AP65:AQ65"/>
    <mergeCell ref="AR65:AS65"/>
    <mergeCell ref="AT65:BA65"/>
    <mergeCell ref="BB65:BI65"/>
    <mergeCell ref="BJ65:BR65"/>
    <mergeCell ref="AF95:AG95"/>
    <mergeCell ref="AH95:AI95"/>
    <mergeCell ref="AJ95:AK95"/>
    <mergeCell ref="AL95:AM95"/>
    <mergeCell ref="AN95:AO95"/>
    <mergeCell ref="AP95:AQ95"/>
    <mergeCell ref="AR95:AS95"/>
    <mergeCell ref="AT95:BA95"/>
    <mergeCell ref="BB95:BI95"/>
    <mergeCell ref="BJ95:BR95"/>
    <mergeCell ref="AF93:AG93"/>
    <mergeCell ref="AH93:AI93"/>
    <mergeCell ref="AJ93:AK93"/>
    <mergeCell ref="AL93:AM93"/>
    <mergeCell ref="AN93:AO93"/>
    <mergeCell ref="AP93:AQ93"/>
    <mergeCell ref="AJ130:AK130"/>
    <mergeCell ref="AL130:AM130"/>
    <mergeCell ref="AN130:AO130"/>
    <mergeCell ref="AP130:AQ130"/>
    <mergeCell ref="AR130:AS130"/>
    <mergeCell ref="AT130:BA130"/>
    <mergeCell ref="BB130:BI130"/>
    <mergeCell ref="BJ130:BR130"/>
    <mergeCell ref="AF141:AG141"/>
    <mergeCell ref="AH141:AI141"/>
    <mergeCell ref="AJ141:AK141"/>
    <mergeCell ref="AL141:AM141"/>
    <mergeCell ref="AN141:AO141"/>
    <mergeCell ref="AP141:AQ141"/>
    <mergeCell ref="AR141:AS141"/>
    <mergeCell ref="AT141:BA141"/>
    <mergeCell ref="BB141:BI141"/>
    <mergeCell ref="BJ141:BR141"/>
    <mergeCell ref="AF131:AG131"/>
    <mergeCell ref="AH131:AI131"/>
    <mergeCell ref="AJ131:AK131"/>
    <mergeCell ref="AL131:AM131"/>
    <mergeCell ref="AN131:AO131"/>
    <mergeCell ref="AP131:AQ131"/>
    <mergeCell ref="AR131:AS131"/>
    <mergeCell ref="AT131:BA131"/>
    <mergeCell ref="BB131:BI131"/>
    <mergeCell ref="BJ131:BR131"/>
    <mergeCell ref="AF130:AG130"/>
    <mergeCell ref="AH130:AI130"/>
    <mergeCell ref="AR140:AS140"/>
    <mergeCell ref="AT140:BA140"/>
    <mergeCell ref="AT158:BA158"/>
    <mergeCell ref="BB158:BI158"/>
    <mergeCell ref="BJ158:BR158"/>
    <mergeCell ref="AF188:AG188"/>
    <mergeCell ref="AH188:AI188"/>
    <mergeCell ref="AJ188:AK188"/>
    <mergeCell ref="AL188:AM188"/>
    <mergeCell ref="AN188:AO188"/>
    <mergeCell ref="AP188:AQ188"/>
    <mergeCell ref="AR188:AS188"/>
    <mergeCell ref="AT188:BA188"/>
    <mergeCell ref="BB188:BI188"/>
    <mergeCell ref="BJ188:BR188"/>
    <mergeCell ref="AF225:AG225"/>
    <mergeCell ref="AH225:AI225"/>
    <mergeCell ref="AJ225:AK225"/>
    <mergeCell ref="AL225:AM225"/>
    <mergeCell ref="AN225:AO225"/>
    <mergeCell ref="AP225:AQ225"/>
    <mergeCell ref="AR225:AS225"/>
    <mergeCell ref="AT225:BA225"/>
    <mergeCell ref="BB225:BI225"/>
    <mergeCell ref="BJ225:BR225"/>
    <mergeCell ref="AP192:AQ192"/>
    <mergeCell ref="AP193:AQ193"/>
    <mergeCell ref="AP194:AQ194"/>
    <mergeCell ref="AP195:AQ195"/>
    <mergeCell ref="AP196:AQ196"/>
    <mergeCell ref="AP197:AQ197"/>
    <mergeCell ref="AP198:AQ198"/>
    <mergeCell ref="AP199:AQ199"/>
    <mergeCell ref="AP200:AQ200"/>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CA27-2FA3-4B03-8DA1-8B4EDCD364B8}">
  <dimension ref="A1:CB81"/>
  <sheetViews>
    <sheetView showGridLines="0" zoomScaleNormal="100" workbookViewId="0">
      <selection sqref="A1:E1"/>
    </sheetView>
  </sheetViews>
  <sheetFormatPr defaultColWidth="2.375" defaultRowHeight="13.5"/>
  <cols>
    <col min="1" max="17" width="2.375" style="1"/>
    <col min="18" max="18" width="3.375" style="1" customWidth="1"/>
    <col min="19" max="31" width="2.375" style="1"/>
    <col min="32" max="41" width="3.75" style="1" customWidth="1"/>
    <col min="42" max="16384" width="2.375" style="1"/>
  </cols>
  <sheetData>
    <row r="1" spans="1:68"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109"/>
      <c r="AM1" s="109"/>
      <c r="AN1" s="228" t="s">
        <v>10</v>
      </c>
      <c r="AO1" s="229"/>
      <c r="AP1" s="229"/>
      <c r="AQ1" s="229"/>
      <c r="AR1" s="229"/>
      <c r="AS1" s="229"/>
      <c r="AT1" s="230"/>
      <c r="AU1" s="228" t="s">
        <v>11</v>
      </c>
      <c r="AV1" s="229"/>
      <c r="AW1" s="229"/>
      <c r="AX1" s="229"/>
      <c r="AY1" s="229"/>
      <c r="AZ1" s="230"/>
    </row>
    <row r="2" spans="1:68"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49" t="s">
        <v>13</v>
      </c>
      <c r="AO2" s="250"/>
      <c r="AP2" s="251">
        <f>変更履歴!AT2</f>
        <v>45420</v>
      </c>
      <c r="AQ2" s="252"/>
      <c r="AR2" s="252"/>
      <c r="AS2" s="252"/>
      <c r="AT2" s="253"/>
      <c r="AU2" s="254" t="str">
        <f>変更履歴!BA2</f>
        <v>JBS井田</v>
      </c>
      <c r="AV2" s="255"/>
      <c r="AW2" s="255"/>
      <c r="AX2" s="255"/>
      <c r="AY2" s="255"/>
      <c r="AZ2" s="256"/>
    </row>
    <row r="3" spans="1:68"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7" t="s">
        <v>14</v>
      </c>
      <c r="AO3" s="258"/>
      <c r="AP3" s="259">
        <f ca="1">変更履歴!AT3</f>
        <v>45911</v>
      </c>
      <c r="AQ3" s="260"/>
      <c r="AR3" s="260"/>
      <c r="AS3" s="260"/>
      <c r="AT3" s="261"/>
      <c r="AU3" s="262" t="str">
        <f ca="1">変更履歴!BA3</f>
        <v>JBS加藤</v>
      </c>
      <c r="AV3" s="263"/>
      <c r="AW3" s="263"/>
      <c r="AX3" s="263"/>
      <c r="AY3" s="263"/>
      <c r="AZ3" s="264"/>
    </row>
    <row r="4" spans="1:68">
      <c r="A4" s="2"/>
      <c r="B4" s="70"/>
      <c r="C4" s="70"/>
      <c r="D4" s="70"/>
      <c r="E4" s="70"/>
      <c r="F4" s="70"/>
      <c r="G4" s="70"/>
      <c r="H4" s="70"/>
      <c r="I4" s="70"/>
      <c r="J4" s="70"/>
      <c r="K4" s="70"/>
      <c r="L4" s="70"/>
      <c r="M4" s="70"/>
      <c r="N4" s="70"/>
      <c r="O4" s="70"/>
      <c r="P4" s="70"/>
      <c r="Q4" s="70"/>
    </row>
    <row r="5" spans="1:68">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row>
    <row r="6" spans="1:68"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7"/>
    </row>
    <row r="7" spans="1:68"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41"/>
      <c r="BH7" s="44"/>
      <c r="BI7" s="44"/>
      <c r="BJ7" s="44"/>
      <c r="BK7" s="44"/>
      <c r="BL7" s="44"/>
      <c r="BM7" s="44"/>
      <c r="BN7" s="44"/>
      <c r="BO7" s="31"/>
    </row>
    <row r="8" spans="1:68" s="8" customFormat="1" ht="14.1" customHeight="1" thickBot="1">
      <c r="A8" s="9"/>
      <c r="B8" s="339" t="s">
        <v>110</v>
      </c>
      <c r="C8" s="340"/>
      <c r="D8" s="340"/>
      <c r="E8" s="340"/>
      <c r="F8" s="340"/>
      <c r="G8" s="340"/>
      <c r="H8" s="340"/>
      <c r="I8" s="341"/>
      <c r="J8" s="340" t="s">
        <v>111</v>
      </c>
      <c r="K8" s="340"/>
      <c r="L8" s="340"/>
      <c r="M8" s="340"/>
      <c r="N8" s="340"/>
      <c r="O8" s="340"/>
      <c r="P8" s="340"/>
      <c r="Q8" s="341"/>
      <c r="R8" s="345" t="s">
        <v>112</v>
      </c>
      <c r="S8" s="318" t="s">
        <v>113</v>
      </c>
      <c r="T8" s="319"/>
      <c r="U8" s="319"/>
      <c r="V8" s="319"/>
      <c r="W8" s="319"/>
      <c r="X8" s="319"/>
      <c r="Y8" s="319"/>
      <c r="Z8" s="319"/>
      <c r="AA8" s="319"/>
      <c r="AB8" s="319"/>
      <c r="AC8" s="319"/>
      <c r="AD8" s="319"/>
      <c r="AE8" s="320"/>
      <c r="AF8" s="322" t="s">
        <v>114</v>
      </c>
      <c r="AG8" s="323"/>
      <c r="AH8" s="323"/>
      <c r="AI8" s="323"/>
      <c r="AJ8" s="323"/>
      <c r="AK8" s="323"/>
      <c r="AL8" s="323"/>
      <c r="AM8" s="323"/>
      <c r="AN8" s="323"/>
      <c r="AO8" s="304"/>
      <c r="AP8" s="347" t="s">
        <v>115</v>
      </c>
      <c r="AQ8" s="347"/>
      <c r="AR8" s="347"/>
      <c r="AS8" s="347"/>
      <c r="AT8" s="347"/>
      <c r="AU8" s="347"/>
      <c r="AV8" s="347"/>
      <c r="AW8" s="348"/>
      <c r="AX8" s="302" t="s">
        <v>116</v>
      </c>
      <c r="AY8" s="302"/>
      <c r="AZ8" s="302"/>
      <c r="BA8" s="302"/>
      <c r="BB8" s="302"/>
      <c r="BC8" s="302"/>
      <c r="BD8" s="302"/>
      <c r="BE8" s="302"/>
      <c r="BF8" s="304" t="s">
        <v>117</v>
      </c>
      <c r="BG8" s="302"/>
      <c r="BH8" s="302"/>
      <c r="BI8" s="302"/>
      <c r="BJ8" s="302"/>
      <c r="BK8" s="302"/>
      <c r="BL8" s="302"/>
      <c r="BM8" s="302"/>
      <c r="BN8" s="305"/>
      <c r="BO8" s="10"/>
    </row>
    <row r="9" spans="1:68" s="8" customFormat="1">
      <c r="A9" s="9"/>
      <c r="B9" s="342"/>
      <c r="C9" s="343"/>
      <c r="D9" s="343"/>
      <c r="E9" s="343"/>
      <c r="F9" s="343"/>
      <c r="G9" s="343"/>
      <c r="H9" s="343"/>
      <c r="I9" s="344"/>
      <c r="J9" s="343"/>
      <c r="K9" s="343"/>
      <c r="L9" s="343"/>
      <c r="M9" s="343"/>
      <c r="N9" s="343"/>
      <c r="O9" s="343"/>
      <c r="P9" s="343"/>
      <c r="Q9" s="344"/>
      <c r="R9" s="346"/>
      <c r="S9" s="292"/>
      <c r="T9" s="321"/>
      <c r="U9" s="321"/>
      <c r="V9" s="321"/>
      <c r="W9" s="321"/>
      <c r="X9" s="321"/>
      <c r="Y9" s="321"/>
      <c r="Z9" s="321"/>
      <c r="AA9" s="321"/>
      <c r="AB9" s="321"/>
      <c r="AC9" s="321"/>
      <c r="AD9" s="321"/>
      <c r="AE9" s="293"/>
      <c r="AF9" s="308" t="s">
        <v>370</v>
      </c>
      <c r="AG9" s="309"/>
      <c r="AH9" s="308" t="s">
        <v>120</v>
      </c>
      <c r="AI9" s="309"/>
      <c r="AJ9" s="308" t="s">
        <v>371</v>
      </c>
      <c r="AK9" s="309"/>
      <c r="AL9" s="308" t="s">
        <v>372</v>
      </c>
      <c r="AM9" s="309"/>
      <c r="AN9" s="308" t="s">
        <v>124</v>
      </c>
      <c r="AO9" s="309"/>
      <c r="AP9" s="349"/>
      <c r="AQ9" s="349"/>
      <c r="AR9" s="349"/>
      <c r="AS9" s="349"/>
      <c r="AT9" s="349"/>
      <c r="AU9" s="349"/>
      <c r="AV9" s="349"/>
      <c r="AW9" s="350"/>
      <c r="AX9" s="303"/>
      <c r="AY9" s="303"/>
      <c r="AZ9" s="303"/>
      <c r="BA9" s="303"/>
      <c r="BB9" s="303"/>
      <c r="BC9" s="303"/>
      <c r="BD9" s="303"/>
      <c r="BE9" s="303"/>
      <c r="BF9" s="306"/>
      <c r="BG9" s="303"/>
      <c r="BH9" s="303"/>
      <c r="BI9" s="303"/>
      <c r="BJ9" s="303"/>
      <c r="BK9" s="303"/>
      <c r="BL9" s="303"/>
      <c r="BM9" s="303"/>
      <c r="BN9" s="307"/>
      <c r="BO9" s="10"/>
    </row>
    <row r="10" spans="1:68"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6"/>
      <c r="BF10" s="25"/>
      <c r="BG10" s="25"/>
      <c r="BH10" s="25"/>
      <c r="BI10" s="25"/>
      <c r="BJ10" s="25"/>
      <c r="BK10" s="25"/>
      <c r="BL10" s="25"/>
      <c r="BM10" s="25"/>
      <c r="BN10" s="26"/>
      <c r="BO10" s="10"/>
      <c r="BP10" s="11"/>
    </row>
    <row r="11" spans="1:68" s="8" customFormat="1">
      <c r="A11" s="9"/>
      <c r="B11" s="40" t="s">
        <v>373</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8"/>
      <c r="BF11" s="27"/>
      <c r="BG11" s="27"/>
      <c r="BH11" s="27"/>
      <c r="BI11" s="27"/>
      <c r="BJ11" s="27"/>
      <c r="BK11" s="27"/>
      <c r="BL11" s="27"/>
      <c r="BM11" s="27"/>
      <c r="BN11" s="28"/>
      <c r="BO11" s="10"/>
      <c r="BP11" s="11"/>
    </row>
    <row r="12" spans="1:68" s="8" customFormat="1">
      <c r="A12" s="9"/>
      <c r="B12" s="78" t="s">
        <v>127</v>
      </c>
      <c r="C12" s="73"/>
      <c r="D12" s="73"/>
      <c r="E12" s="73"/>
      <c r="F12" s="73"/>
      <c r="G12" s="73"/>
      <c r="H12" s="73"/>
      <c r="I12" s="79"/>
      <c r="J12" s="73" t="s">
        <v>128</v>
      </c>
      <c r="K12" s="73"/>
      <c r="L12" s="73"/>
      <c r="M12" s="73"/>
      <c r="N12" s="73"/>
      <c r="O12" s="73"/>
      <c r="P12" s="73"/>
      <c r="Q12" s="79"/>
      <c r="R12" s="38">
        <v>1</v>
      </c>
      <c r="S12" s="36" t="s">
        <v>129</v>
      </c>
      <c r="T12" s="37"/>
      <c r="U12" s="37"/>
      <c r="V12" s="37"/>
      <c r="W12" s="37"/>
      <c r="X12" s="37"/>
      <c r="Y12" s="37"/>
      <c r="Z12" s="37"/>
      <c r="AA12" s="37"/>
      <c r="AB12" s="37"/>
      <c r="AC12" s="37"/>
      <c r="AD12" s="37"/>
      <c r="AE12" s="38"/>
      <c r="AF12" s="284"/>
      <c r="AG12" s="286"/>
      <c r="AH12" s="284"/>
      <c r="AI12" s="286"/>
      <c r="AJ12" s="284" t="s">
        <v>130</v>
      </c>
      <c r="AK12" s="286"/>
      <c r="AL12" s="284"/>
      <c r="AM12" s="286"/>
      <c r="AN12" s="284"/>
      <c r="AO12" s="286"/>
      <c r="AP12" s="284" t="s">
        <v>131</v>
      </c>
      <c r="AQ12" s="285"/>
      <c r="AR12" s="285"/>
      <c r="AS12" s="285"/>
      <c r="AT12" s="285"/>
      <c r="AU12" s="285"/>
      <c r="AV12" s="285"/>
      <c r="AW12" s="286"/>
      <c r="AX12" s="287" t="s">
        <v>132</v>
      </c>
      <c r="AY12" s="287"/>
      <c r="AZ12" s="287"/>
      <c r="BA12" s="287"/>
      <c r="BB12" s="287"/>
      <c r="BC12" s="287"/>
      <c r="BD12" s="287"/>
      <c r="BE12" s="287"/>
      <c r="BF12" s="288"/>
      <c r="BG12" s="288"/>
      <c r="BH12" s="288"/>
      <c r="BI12" s="288"/>
      <c r="BJ12" s="288"/>
      <c r="BK12" s="288"/>
      <c r="BL12" s="288"/>
      <c r="BM12" s="288"/>
      <c r="BN12" s="288"/>
      <c r="BO12" s="10"/>
      <c r="BP12" s="11"/>
    </row>
    <row r="13" spans="1:68" s="8" customFormat="1">
      <c r="A13" s="9"/>
      <c r="B13" s="80"/>
      <c r="C13" s="81"/>
      <c r="D13" s="81"/>
      <c r="E13" s="81"/>
      <c r="F13" s="81"/>
      <c r="G13" s="81"/>
      <c r="H13" s="81"/>
      <c r="I13" s="82"/>
      <c r="J13" s="81"/>
      <c r="K13" s="81"/>
      <c r="L13" s="81"/>
      <c r="M13" s="81"/>
      <c r="N13" s="81"/>
      <c r="O13" s="81"/>
      <c r="P13" s="81"/>
      <c r="Q13" s="82"/>
      <c r="R13" s="38">
        <v>2</v>
      </c>
      <c r="S13" s="36" t="s">
        <v>133</v>
      </c>
      <c r="T13" s="37"/>
      <c r="U13" s="37"/>
      <c r="V13" s="37"/>
      <c r="W13" s="37"/>
      <c r="X13" s="37"/>
      <c r="Y13" s="37"/>
      <c r="Z13" s="37"/>
      <c r="AA13" s="37"/>
      <c r="AB13" s="37"/>
      <c r="AC13" s="37"/>
      <c r="AD13" s="37"/>
      <c r="AE13" s="38"/>
      <c r="AF13" s="284"/>
      <c r="AG13" s="286"/>
      <c r="AH13" s="284"/>
      <c r="AI13" s="286"/>
      <c r="AJ13" s="284" t="s">
        <v>130</v>
      </c>
      <c r="AK13" s="286"/>
      <c r="AL13" s="284"/>
      <c r="AM13" s="286"/>
      <c r="AN13" s="284"/>
      <c r="AO13" s="286"/>
      <c r="AP13" s="284" t="s">
        <v>131</v>
      </c>
      <c r="AQ13" s="285"/>
      <c r="AR13" s="285"/>
      <c r="AS13" s="285"/>
      <c r="AT13" s="285"/>
      <c r="AU13" s="285"/>
      <c r="AV13" s="285"/>
      <c r="AW13" s="286"/>
      <c r="AX13" s="284" t="s">
        <v>134</v>
      </c>
      <c r="AY13" s="285"/>
      <c r="AZ13" s="285"/>
      <c r="BA13" s="285"/>
      <c r="BB13" s="285"/>
      <c r="BC13" s="285"/>
      <c r="BD13" s="285"/>
      <c r="BE13" s="286"/>
      <c r="BF13" s="288"/>
      <c r="BG13" s="288"/>
      <c r="BH13" s="288"/>
      <c r="BI13" s="288"/>
      <c r="BJ13" s="288"/>
      <c r="BK13" s="288"/>
      <c r="BL13" s="288"/>
      <c r="BM13" s="288"/>
      <c r="BN13" s="288"/>
      <c r="BO13" s="10"/>
    </row>
    <row r="14" spans="1:68" s="8" customFormat="1">
      <c r="A14" s="9"/>
      <c r="B14" s="80"/>
      <c r="C14" s="81"/>
      <c r="D14" s="81"/>
      <c r="E14" s="81"/>
      <c r="F14" s="81"/>
      <c r="G14" s="81"/>
      <c r="H14" s="81"/>
      <c r="I14" s="82"/>
      <c r="J14" s="81"/>
      <c r="K14" s="81"/>
      <c r="L14" s="81"/>
      <c r="M14" s="81"/>
      <c r="N14" s="81"/>
      <c r="O14" s="81"/>
      <c r="P14" s="81"/>
      <c r="Q14" s="82"/>
      <c r="R14" s="38">
        <v>3</v>
      </c>
      <c r="S14" s="36" t="s">
        <v>135</v>
      </c>
      <c r="T14" s="37"/>
      <c r="U14" s="37"/>
      <c r="V14" s="37"/>
      <c r="W14" s="37"/>
      <c r="X14" s="37"/>
      <c r="Y14" s="37"/>
      <c r="Z14" s="37"/>
      <c r="AA14" s="37"/>
      <c r="AB14" s="37"/>
      <c r="AC14" s="37"/>
      <c r="AD14" s="37"/>
      <c r="AE14" s="38"/>
      <c r="AF14" s="284"/>
      <c r="AG14" s="286"/>
      <c r="AH14" s="284"/>
      <c r="AI14" s="286"/>
      <c r="AJ14" s="284" t="s">
        <v>130</v>
      </c>
      <c r="AK14" s="286"/>
      <c r="AL14" s="284"/>
      <c r="AM14" s="286"/>
      <c r="AN14" s="284"/>
      <c r="AO14" s="286"/>
      <c r="AP14" s="284" t="s">
        <v>131</v>
      </c>
      <c r="AQ14" s="285"/>
      <c r="AR14" s="285"/>
      <c r="AS14" s="285"/>
      <c r="AT14" s="285"/>
      <c r="AU14" s="285"/>
      <c r="AV14" s="285"/>
      <c r="AW14" s="286"/>
      <c r="AX14" s="284" t="s">
        <v>136</v>
      </c>
      <c r="AY14" s="285"/>
      <c r="AZ14" s="285"/>
      <c r="BA14" s="285"/>
      <c r="BB14" s="285"/>
      <c r="BC14" s="285"/>
      <c r="BD14" s="285"/>
      <c r="BE14" s="286"/>
      <c r="BF14" s="289"/>
      <c r="BG14" s="290"/>
      <c r="BH14" s="290"/>
      <c r="BI14" s="290"/>
      <c r="BJ14" s="290"/>
      <c r="BK14" s="290"/>
      <c r="BL14" s="290"/>
      <c r="BM14" s="290"/>
      <c r="BN14" s="291"/>
      <c r="BO14" s="10"/>
      <c r="BP14" s="11"/>
    </row>
    <row r="15" spans="1:68" s="8" customFormat="1">
      <c r="A15" s="9"/>
      <c r="B15" s="80"/>
      <c r="C15" s="81"/>
      <c r="D15" s="81"/>
      <c r="E15" s="81"/>
      <c r="F15" s="81"/>
      <c r="G15" s="81"/>
      <c r="H15" s="81"/>
      <c r="I15" s="82"/>
      <c r="J15" s="81"/>
      <c r="K15" s="81"/>
      <c r="L15" s="81"/>
      <c r="M15" s="81"/>
      <c r="N15" s="81"/>
      <c r="O15" s="81"/>
      <c r="P15" s="81"/>
      <c r="Q15" s="82"/>
      <c r="R15" s="38">
        <v>4</v>
      </c>
      <c r="S15" s="36" t="s">
        <v>137</v>
      </c>
      <c r="T15" s="37"/>
      <c r="U15" s="37"/>
      <c r="V15" s="37"/>
      <c r="W15" s="37"/>
      <c r="X15" s="37"/>
      <c r="Y15" s="37"/>
      <c r="Z15" s="37"/>
      <c r="AA15" s="37"/>
      <c r="AB15" s="37"/>
      <c r="AC15" s="37"/>
      <c r="AD15" s="37"/>
      <c r="AE15" s="38"/>
      <c r="AF15" s="284"/>
      <c r="AG15" s="286"/>
      <c r="AH15" s="284"/>
      <c r="AI15" s="286"/>
      <c r="AJ15" s="284"/>
      <c r="AK15" s="286"/>
      <c r="AL15" s="284"/>
      <c r="AM15" s="286"/>
      <c r="AN15" s="284" t="s">
        <v>130</v>
      </c>
      <c r="AO15" s="286"/>
      <c r="AP15" s="284" t="s">
        <v>131</v>
      </c>
      <c r="AQ15" s="285"/>
      <c r="AR15" s="285"/>
      <c r="AS15" s="285"/>
      <c r="AT15" s="285"/>
      <c r="AU15" s="285"/>
      <c r="AV15" s="285"/>
      <c r="AW15" s="286"/>
      <c r="AX15" s="284" t="s">
        <v>138</v>
      </c>
      <c r="AY15" s="285"/>
      <c r="AZ15" s="285"/>
      <c r="BA15" s="285"/>
      <c r="BB15" s="285"/>
      <c r="BC15" s="285"/>
      <c r="BD15" s="285"/>
      <c r="BE15" s="286"/>
      <c r="BF15" s="288"/>
      <c r="BG15" s="288"/>
      <c r="BH15" s="288"/>
      <c r="BI15" s="288"/>
      <c r="BJ15" s="288"/>
      <c r="BK15" s="288"/>
      <c r="BL15" s="288"/>
      <c r="BM15" s="288"/>
      <c r="BN15" s="288"/>
      <c r="BO15" s="10"/>
    </row>
    <row r="16" spans="1:68" s="8" customFormat="1">
      <c r="A16" s="9"/>
      <c r="B16" s="80"/>
      <c r="C16" s="81"/>
      <c r="D16" s="81"/>
      <c r="E16" s="81"/>
      <c r="F16" s="81"/>
      <c r="G16" s="81"/>
      <c r="H16" s="81"/>
      <c r="I16" s="82"/>
      <c r="J16" s="81"/>
      <c r="K16" s="81"/>
      <c r="L16" s="81"/>
      <c r="M16" s="81"/>
      <c r="N16" s="81"/>
      <c r="O16" s="81"/>
      <c r="P16" s="81"/>
      <c r="Q16" s="82"/>
      <c r="R16" s="38">
        <v>5</v>
      </c>
      <c r="S16" s="55" t="s">
        <v>139</v>
      </c>
      <c r="T16" s="37"/>
      <c r="U16" s="37"/>
      <c r="V16" s="37"/>
      <c r="W16" s="37"/>
      <c r="X16" s="37"/>
      <c r="Y16" s="37"/>
      <c r="Z16" s="37"/>
      <c r="AA16" s="37"/>
      <c r="AB16" s="37"/>
      <c r="AC16" s="37"/>
      <c r="AD16" s="37"/>
      <c r="AE16" s="38"/>
      <c r="AF16" s="284"/>
      <c r="AG16" s="286"/>
      <c r="AH16" s="284"/>
      <c r="AI16" s="286"/>
      <c r="AJ16" s="284" t="s">
        <v>130</v>
      </c>
      <c r="AK16" s="286"/>
      <c r="AL16" s="284"/>
      <c r="AM16" s="286"/>
      <c r="AN16" s="284"/>
      <c r="AO16" s="286"/>
      <c r="AP16" s="284" t="s">
        <v>131</v>
      </c>
      <c r="AQ16" s="285"/>
      <c r="AR16" s="285"/>
      <c r="AS16" s="285"/>
      <c r="AT16" s="285"/>
      <c r="AU16" s="285"/>
      <c r="AV16" s="285"/>
      <c r="AW16" s="286"/>
      <c r="AX16" s="294" t="s">
        <v>140</v>
      </c>
      <c r="AY16" s="287"/>
      <c r="AZ16" s="287"/>
      <c r="BA16" s="287"/>
      <c r="BB16" s="287"/>
      <c r="BC16" s="287"/>
      <c r="BD16" s="287"/>
      <c r="BE16" s="287"/>
      <c r="BF16" s="288"/>
      <c r="BG16" s="288"/>
      <c r="BH16" s="288"/>
      <c r="BI16" s="288"/>
      <c r="BJ16" s="288"/>
      <c r="BK16" s="288"/>
      <c r="BL16" s="288"/>
      <c r="BM16" s="288"/>
      <c r="BN16" s="288"/>
      <c r="BO16" s="10"/>
      <c r="BP16" s="11"/>
    </row>
    <row r="17" spans="1:68" s="8" customFormat="1">
      <c r="A17" s="9"/>
      <c r="B17" s="29" t="s">
        <v>374</v>
      </c>
      <c r="C17" s="30"/>
      <c r="D17" s="30"/>
      <c r="E17" s="30"/>
      <c r="F17" s="30"/>
      <c r="G17" s="30"/>
      <c r="H17" s="30"/>
      <c r="I17" s="30"/>
      <c r="J17" s="29" t="s">
        <v>375</v>
      </c>
      <c r="K17" s="30"/>
      <c r="L17" s="30"/>
      <c r="M17" s="30"/>
      <c r="N17" s="30"/>
      <c r="O17" s="30"/>
      <c r="P17" s="30"/>
      <c r="Q17" s="31"/>
      <c r="R17" s="38">
        <v>1</v>
      </c>
      <c r="S17" s="36" t="s">
        <v>376</v>
      </c>
      <c r="T17" s="37"/>
      <c r="U17" s="37"/>
      <c r="V17" s="37"/>
      <c r="W17" s="37"/>
      <c r="X17" s="37"/>
      <c r="Y17" s="37"/>
      <c r="Z17" s="37"/>
      <c r="AA17" s="37"/>
      <c r="AB17" s="37"/>
      <c r="AC17" s="37"/>
      <c r="AD17" s="37"/>
      <c r="AE17" s="38"/>
      <c r="AF17" s="284"/>
      <c r="AG17" s="286"/>
      <c r="AH17" s="284" t="s">
        <v>130</v>
      </c>
      <c r="AI17" s="286"/>
      <c r="AJ17" s="284"/>
      <c r="AK17" s="286"/>
      <c r="AL17" s="284"/>
      <c r="AM17" s="286"/>
      <c r="AN17" s="284"/>
      <c r="AO17" s="286"/>
      <c r="AP17" s="284" t="s">
        <v>131</v>
      </c>
      <c r="AQ17" s="285"/>
      <c r="AR17" s="285"/>
      <c r="AS17" s="285"/>
      <c r="AT17" s="285"/>
      <c r="AU17" s="285"/>
      <c r="AV17" s="285"/>
      <c r="AW17" s="286"/>
      <c r="AX17" s="287" t="s">
        <v>329</v>
      </c>
      <c r="AY17" s="287"/>
      <c r="AZ17" s="287"/>
      <c r="BA17" s="287"/>
      <c r="BB17" s="287"/>
      <c r="BC17" s="287"/>
      <c r="BD17" s="287"/>
      <c r="BE17" s="287"/>
      <c r="BF17" s="288"/>
      <c r="BG17" s="288"/>
      <c r="BH17" s="288"/>
      <c r="BI17" s="288"/>
      <c r="BJ17" s="288"/>
      <c r="BK17" s="288"/>
      <c r="BL17" s="288"/>
      <c r="BM17" s="288"/>
      <c r="BN17" s="288"/>
      <c r="BO17" s="10"/>
      <c r="BP17" s="11"/>
    </row>
    <row r="18" spans="1:68" s="8" customFormat="1">
      <c r="A18" s="9"/>
      <c r="B18" s="33"/>
      <c r="C18" s="42"/>
      <c r="D18" s="42"/>
      <c r="E18" s="42"/>
      <c r="F18" s="42"/>
      <c r="G18" s="42"/>
      <c r="H18" s="42"/>
      <c r="I18" s="42"/>
      <c r="J18" s="48"/>
      <c r="K18" s="34"/>
      <c r="L18" s="34"/>
      <c r="M18" s="34"/>
      <c r="N18" s="34"/>
      <c r="O18" s="34"/>
      <c r="P18" s="34"/>
      <c r="Q18" s="35"/>
      <c r="R18" s="38">
        <v>2</v>
      </c>
      <c r="S18" s="36" t="s">
        <v>377</v>
      </c>
      <c r="T18" s="37"/>
      <c r="U18" s="37"/>
      <c r="V18" s="37"/>
      <c r="W18" s="37"/>
      <c r="X18" s="37"/>
      <c r="Y18" s="37"/>
      <c r="Z18" s="37"/>
      <c r="AA18" s="37"/>
      <c r="AB18" s="37"/>
      <c r="AC18" s="37"/>
      <c r="AD18" s="37"/>
      <c r="AE18" s="38"/>
      <c r="AF18" s="284"/>
      <c r="AG18" s="286"/>
      <c r="AH18" s="284" t="s">
        <v>130</v>
      </c>
      <c r="AI18" s="286"/>
      <c r="AJ18" s="284"/>
      <c r="AK18" s="286"/>
      <c r="AL18" s="284"/>
      <c r="AM18" s="286"/>
      <c r="AN18" s="284"/>
      <c r="AO18" s="286"/>
      <c r="AP18" s="284" t="s">
        <v>131</v>
      </c>
      <c r="AQ18" s="285"/>
      <c r="AR18" s="285"/>
      <c r="AS18" s="285"/>
      <c r="AT18" s="285"/>
      <c r="AU18" s="285"/>
      <c r="AV18" s="285"/>
      <c r="AW18" s="286"/>
      <c r="AX18" s="284" t="s">
        <v>378</v>
      </c>
      <c r="AY18" s="285"/>
      <c r="AZ18" s="285"/>
      <c r="BA18" s="285"/>
      <c r="BB18" s="285"/>
      <c r="BC18" s="285"/>
      <c r="BD18" s="285"/>
      <c r="BE18" s="286"/>
      <c r="BF18" s="288"/>
      <c r="BG18" s="288"/>
      <c r="BH18" s="288"/>
      <c r="BI18" s="288"/>
      <c r="BJ18" s="288"/>
      <c r="BK18" s="288"/>
      <c r="BL18" s="288"/>
      <c r="BM18" s="288"/>
      <c r="BN18" s="288"/>
      <c r="BO18" s="10"/>
    </row>
    <row r="19" spans="1:68" s="8" customFormat="1">
      <c r="A19" s="9"/>
      <c r="B19" s="32"/>
      <c r="C19" s="42"/>
      <c r="D19" s="42"/>
      <c r="E19" s="42"/>
      <c r="F19" s="42"/>
      <c r="G19" s="42"/>
      <c r="H19" s="42"/>
      <c r="I19" s="42"/>
      <c r="J19" s="32" t="s">
        <v>379</v>
      </c>
      <c r="K19" s="42"/>
      <c r="L19" s="42"/>
      <c r="M19" s="42"/>
      <c r="N19" s="42"/>
      <c r="O19" s="42"/>
      <c r="P19" s="42"/>
      <c r="Q19" s="10"/>
      <c r="R19" s="38">
        <v>1</v>
      </c>
      <c r="S19" s="36" t="s">
        <v>380</v>
      </c>
      <c r="T19" s="37"/>
      <c r="U19" s="37"/>
      <c r="V19" s="37"/>
      <c r="W19" s="37"/>
      <c r="X19" s="37"/>
      <c r="Y19" s="37"/>
      <c r="Z19" s="37"/>
      <c r="AA19" s="37"/>
      <c r="AB19" s="37"/>
      <c r="AC19" s="37"/>
      <c r="AD19" s="37"/>
      <c r="AE19" s="38"/>
      <c r="AF19" s="284"/>
      <c r="AG19" s="286"/>
      <c r="AH19" s="284" t="s">
        <v>130</v>
      </c>
      <c r="AI19" s="286"/>
      <c r="AJ19" s="284"/>
      <c r="AK19" s="286"/>
      <c r="AL19" s="284"/>
      <c r="AM19" s="286"/>
      <c r="AN19" s="284"/>
      <c r="AO19" s="286"/>
      <c r="AP19" s="284" t="s">
        <v>381</v>
      </c>
      <c r="AQ19" s="285"/>
      <c r="AR19" s="285"/>
      <c r="AS19" s="285"/>
      <c r="AT19" s="285"/>
      <c r="AU19" s="285"/>
      <c r="AV19" s="285"/>
      <c r="AW19" s="286"/>
      <c r="AX19" s="284" t="s">
        <v>201</v>
      </c>
      <c r="AY19" s="285"/>
      <c r="AZ19" s="285"/>
      <c r="BA19" s="285"/>
      <c r="BB19" s="285"/>
      <c r="BC19" s="285"/>
      <c r="BD19" s="285"/>
      <c r="BE19" s="286"/>
      <c r="BF19" s="289"/>
      <c r="BG19" s="290"/>
      <c r="BH19" s="290"/>
      <c r="BI19" s="290"/>
      <c r="BJ19" s="290"/>
      <c r="BK19" s="290"/>
      <c r="BL19" s="290"/>
      <c r="BM19" s="290"/>
      <c r="BN19" s="291"/>
      <c r="BO19" s="10"/>
      <c r="BP19" s="11"/>
    </row>
    <row r="20" spans="1:68" s="8" customFormat="1">
      <c r="A20" s="9"/>
      <c r="B20" s="33"/>
      <c r="C20" s="42"/>
      <c r="D20" s="42"/>
      <c r="E20" s="42"/>
      <c r="F20" s="42"/>
      <c r="G20" s="42"/>
      <c r="H20" s="42"/>
      <c r="I20" s="42"/>
      <c r="J20" s="32"/>
      <c r="K20" s="42"/>
      <c r="L20" s="42"/>
      <c r="M20" s="42"/>
      <c r="N20" s="42"/>
      <c r="O20" s="42"/>
      <c r="P20" s="42"/>
      <c r="Q20" s="10"/>
      <c r="R20" s="38">
        <v>2</v>
      </c>
      <c r="S20" s="36" t="s">
        <v>382</v>
      </c>
      <c r="T20" s="37"/>
      <c r="U20" s="37"/>
      <c r="V20" s="37"/>
      <c r="W20" s="37"/>
      <c r="X20" s="37"/>
      <c r="Y20" s="37"/>
      <c r="Z20" s="37"/>
      <c r="AA20" s="37"/>
      <c r="AB20" s="37"/>
      <c r="AC20" s="37"/>
      <c r="AD20" s="37"/>
      <c r="AE20" s="38"/>
      <c r="AF20" s="284"/>
      <c r="AG20" s="286"/>
      <c r="AH20" s="284" t="s">
        <v>130</v>
      </c>
      <c r="AI20" s="286"/>
      <c r="AJ20" s="284"/>
      <c r="AK20" s="286"/>
      <c r="AL20" s="284"/>
      <c r="AM20" s="286"/>
      <c r="AN20" s="284"/>
      <c r="AO20" s="286"/>
      <c r="AP20" s="284" t="s">
        <v>131</v>
      </c>
      <c r="AQ20" s="285"/>
      <c r="AR20" s="285"/>
      <c r="AS20" s="285"/>
      <c r="AT20" s="285"/>
      <c r="AU20" s="285"/>
      <c r="AV20" s="285"/>
      <c r="AW20" s="286"/>
      <c r="AX20" s="287" t="s">
        <v>132</v>
      </c>
      <c r="AY20" s="287"/>
      <c r="AZ20" s="287"/>
      <c r="BA20" s="287"/>
      <c r="BB20" s="287"/>
      <c r="BC20" s="287"/>
      <c r="BD20" s="287"/>
      <c r="BE20" s="287"/>
      <c r="BF20" s="288"/>
      <c r="BG20" s="288"/>
      <c r="BH20" s="288"/>
      <c r="BI20" s="288"/>
      <c r="BJ20" s="288"/>
      <c r="BK20" s="288"/>
      <c r="BL20" s="288"/>
      <c r="BM20" s="288"/>
      <c r="BN20" s="288"/>
      <c r="BO20" s="10"/>
    </row>
    <row r="21" spans="1:68" s="8" customFormat="1">
      <c r="A21" s="9"/>
      <c r="B21" s="32"/>
      <c r="C21" s="42"/>
      <c r="D21" s="42"/>
      <c r="E21" s="42"/>
      <c r="F21" s="42"/>
      <c r="G21" s="42"/>
      <c r="H21" s="42"/>
      <c r="I21" s="42"/>
      <c r="J21" s="32"/>
      <c r="K21" s="42"/>
      <c r="L21" s="42"/>
      <c r="M21" s="42"/>
      <c r="N21" s="42"/>
      <c r="O21" s="42"/>
      <c r="P21" s="42"/>
      <c r="Q21" s="10"/>
      <c r="R21" s="38">
        <v>3</v>
      </c>
      <c r="S21" s="36" t="s">
        <v>383</v>
      </c>
      <c r="T21" s="37"/>
      <c r="U21" s="37"/>
      <c r="V21" s="37"/>
      <c r="W21" s="37"/>
      <c r="X21" s="37"/>
      <c r="Y21" s="37"/>
      <c r="Z21" s="37"/>
      <c r="AA21" s="37"/>
      <c r="AB21" s="37"/>
      <c r="AC21" s="37"/>
      <c r="AD21" s="37"/>
      <c r="AE21" s="38"/>
      <c r="AF21" s="284"/>
      <c r="AG21" s="286"/>
      <c r="AH21" s="284" t="s">
        <v>130</v>
      </c>
      <c r="AI21" s="286"/>
      <c r="AJ21" s="284"/>
      <c r="AK21" s="286"/>
      <c r="AL21" s="284"/>
      <c r="AM21" s="286"/>
      <c r="AN21" s="284"/>
      <c r="AO21" s="286"/>
      <c r="AP21" s="284" t="s">
        <v>381</v>
      </c>
      <c r="AQ21" s="285"/>
      <c r="AR21" s="285"/>
      <c r="AS21" s="285"/>
      <c r="AT21" s="285"/>
      <c r="AU21" s="285"/>
      <c r="AV21" s="285"/>
      <c r="AW21" s="286"/>
      <c r="AX21" s="284" t="s">
        <v>201</v>
      </c>
      <c r="AY21" s="285"/>
      <c r="AZ21" s="285"/>
      <c r="BA21" s="285"/>
      <c r="BB21" s="285"/>
      <c r="BC21" s="285"/>
      <c r="BD21" s="285"/>
      <c r="BE21" s="286"/>
      <c r="BF21" s="288"/>
      <c r="BG21" s="288"/>
      <c r="BH21" s="288"/>
      <c r="BI21" s="288"/>
      <c r="BJ21" s="288"/>
      <c r="BK21" s="288"/>
      <c r="BL21" s="288"/>
      <c r="BM21" s="288"/>
      <c r="BN21" s="288"/>
      <c r="BO21" s="10"/>
      <c r="BP21" s="11"/>
    </row>
    <row r="22" spans="1:68" s="8" customFormat="1">
      <c r="A22" s="9"/>
      <c r="B22" s="33"/>
      <c r="C22" s="42"/>
      <c r="D22" s="42"/>
      <c r="E22" s="42"/>
      <c r="F22" s="42"/>
      <c r="G22" s="42"/>
      <c r="H22" s="42"/>
      <c r="I22" s="42"/>
      <c r="J22" s="32"/>
      <c r="K22" s="42"/>
      <c r="L22" s="42"/>
      <c r="M22" s="42"/>
      <c r="N22" s="42"/>
      <c r="O22" s="42"/>
      <c r="P22" s="42"/>
      <c r="Q22" s="10"/>
      <c r="R22" s="38">
        <v>4</v>
      </c>
      <c r="S22" s="36" t="s">
        <v>384</v>
      </c>
      <c r="T22" s="37"/>
      <c r="U22" s="37"/>
      <c r="V22" s="37"/>
      <c r="W22" s="37"/>
      <c r="X22" s="37"/>
      <c r="Y22" s="37"/>
      <c r="Z22" s="37"/>
      <c r="AA22" s="37"/>
      <c r="AB22" s="37"/>
      <c r="AC22" s="37"/>
      <c r="AD22" s="37"/>
      <c r="AE22" s="38"/>
      <c r="AF22" s="284"/>
      <c r="AG22" s="286"/>
      <c r="AH22" s="284" t="s">
        <v>130</v>
      </c>
      <c r="AI22" s="286"/>
      <c r="AJ22" s="284"/>
      <c r="AK22" s="286"/>
      <c r="AL22" s="284"/>
      <c r="AM22" s="286"/>
      <c r="AN22" s="284"/>
      <c r="AO22" s="286"/>
      <c r="AP22" s="284" t="s">
        <v>131</v>
      </c>
      <c r="AQ22" s="285"/>
      <c r="AR22" s="285"/>
      <c r="AS22" s="285"/>
      <c r="AT22" s="285"/>
      <c r="AU22" s="285"/>
      <c r="AV22" s="285"/>
      <c r="AW22" s="286"/>
      <c r="AX22" s="287" t="s">
        <v>132</v>
      </c>
      <c r="AY22" s="287"/>
      <c r="AZ22" s="287"/>
      <c r="BA22" s="287"/>
      <c r="BB22" s="287"/>
      <c r="BC22" s="287"/>
      <c r="BD22" s="287"/>
      <c r="BE22" s="287"/>
      <c r="BF22" s="288"/>
      <c r="BG22" s="288"/>
      <c r="BH22" s="288"/>
      <c r="BI22" s="288"/>
      <c r="BJ22" s="288"/>
      <c r="BK22" s="288"/>
      <c r="BL22" s="288"/>
      <c r="BM22" s="288"/>
      <c r="BN22" s="288"/>
      <c r="BO22" s="10"/>
    </row>
    <row r="23" spans="1:68" s="8" customFormat="1">
      <c r="A23" s="9"/>
      <c r="B23" s="32"/>
      <c r="C23" s="42"/>
      <c r="D23" s="42"/>
      <c r="E23" s="42"/>
      <c r="F23" s="42"/>
      <c r="G23" s="42"/>
      <c r="H23" s="42"/>
      <c r="I23" s="42"/>
      <c r="J23" s="29" t="s">
        <v>385</v>
      </c>
      <c r="K23" s="30"/>
      <c r="L23" s="30"/>
      <c r="M23" s="30"/>
      <c r="N23" s="30"/>
      <c r="O23" s="30"/>
      <c r="P23" s="30"/>
      <c r="Q23" s="31"/>
      <c r="R23" s="38">
        <v>1</v>
      </c>
      <c r="S23" s="36" t="s">
        <v>386</v>
      </c>
      <c r="T23" s="37"/>
      <c r="U23" s="37"/>
      <c r="V23" s="37"/>
      <c r="W23" s="37"/>
      <c r="X23" s="37"/>
      <c r="Y23" s="37"/>
      <c r="Z23" s="37"/>
      <c r="AA23" s="37"/>
      <c r="AB23" s="37"/>
      <c r="AC23" s="37"/>
      <c r="AD23" s="37"/>
      <c r="AE23" s="38"/>
      <c r="AF23" s="284"/>
      <c r="AG23" s="286"/>
      <c r="AH23" s="284" t="s">
        <v>130</v>
      </c>
      <c r="AI23" s="286"/>
      <c r="AJ23" s="284"/>
      <c r="AK23" s="286"/>
      <c r="AL23" s="284"/>
      <c r="AM23" s="286"/>
      <c r="AN23" s="284"/>
      <c r="AO23" s="286"/>
      <c r="AP23" s="284" t="s">
        <v>131</v>
      </c>
      <c r="AQ23" s="285"/>
      <c r="AR23" s="285"/>
      <c r="AS23" s="285"/>
      <c r="AT23" s="285"/>
      <c r="AU23" s="285"/>
      <c r="AV23" s="285"/>
      <c r="AW23" s="286"/>
      <c r="AX23" s="287" t="s">
        <v>329</v>
      </c>
      <c r="AY23" s="287"/>
      <c r="AZ23" s="287"/>
      <c r="BA23" s="287"/>
      <c r="BB23" s="287"/>
      <c r="BC23" s="287"/>
      <c r="BD23" s="287"/>
      <c r="BE23" s="287"/>
      <c r="BF23" s="288"/>
      <c r="BG23" s="288"/>
      <c r="BH23" s="288"/>
      <c r="BI23" s="288"/>
      <c r="BJ23" s="288"/>
      <c r="BK23" s="288"/>
      <c r="BL23" s="288"/>
      <c r="BM23" s="288"/>
      <c r="BN23" s="288"/>
      <c r="BO23" s="10"/>
      <c r="BP23" s="11"/>
    </row>
    <row r="24" spans="1:68" s="8" customFormat="1">
      <c r="A24" s="9"/>
      <c r="B24" s="33"/>
      <c r="C24" s="42"/>
      <c r="D24" s="42"/>
      <c r="E24" s="42"/>
      <c r="F24" s="42"/>
      <c r="G24" s="42"/>
      <c r="H24" s="42"/>
      <c r="I24" s="42"/>
      <c r="J24" s="32"/>
      <c r="K24" s="42"/>
      <c r="L24" s="42"/>
      <c r="M24" s="42"/>
      <c r="N24" s="42"/>
      <c r="O24" s="42"/>
      <c r="P24" s="42"/>
      <c r="Q24" s="10"/>
      <c r="R24" s="38">
        <v>2</v>
      </c>
      <c r="S24" s="36" t="s">
        <v>387</v>
      </c>
      <c r="T24" s="37"/>
      <c r="U24" s="37"/>
      <c r="V24" s="37"/>
      <c r="W24" s="37"/>
      <c r="X24" s="37"/>
      <c r="Y24" s="37"/>
      <c r="Z24" s="37"/>
      <c r="AA24" s="37"/>
      <c r="AB24" s="37"/>
      <c r="AC24" s="37"/>
      <c r="AD24" s="37"/>
      <c r="AE24" s="38"/>
      <c r="AF24" s="284" t="s">
        <v>130</v>
      </c>
      <c r="AG24" s="286"/>
      <c r="AH24" s="284"/>
      <c r="AI24" s="286"/>
      <c r="AJ24" s="284"/>
      <c r="AK24" s="286"/>
      <c r="AL24" s="284"/>
      <c r="AM24" s="286"/>
      <c r="AN24" s="284"/>
      <c r="AO24" s="286"/>
      <c r="AP24" s="284" t="s">
        <v>228</v>
      </c>
      <c r="AQ24" s="285"/>
      <c r="AR24" s="285"/>
      <c r="AS24" s="285"/>
      <c r="AT24" s="285"/>
      <c r="AU24" s="285"/>
      <c r="AV24" s="285"/>
      <c r="AW24" s="286"/>
      <c r="AX24" s="284" t="s">
        <v>201</v>
      </c>
      <c r="AY24" s="285"/>
      <c r="AZ24" s="285"/>
      <c r="BA24" s="285"/>
      <c r="BB24" s="285"/>
      <c r="BC24" s="285"/>
      <c r="BD24" s="285"/>
      <c r="BE24" s="286"/>
      <c r="BF24" s="288"/>
      <c r="BG24" s="288"/>
      <c r="BH24" s="288"/>
      <c r="BI24" s="288"/>
      <c r="BJ24" s="288"/>
      <c r="BK24" s="288"/>
      <c r="BL24" s="288"/>
      <c r="BM24" s="288"/>
      <c r="BN24" s="288"/>
      <c r="BO24" s="10"/>
    </row>
    <row r="25" spans="1:68" s="8" customFormat="1">
      <c r="A25" s="9"/>
      <c r="B25" s="32"/>
      <c r="C25" s="42"/>
      <c r="D25" s="42"/>
      <c r="E25" s="42"/>
      <c r="F25" s="42"/>
      <c r="G25" s="42"/>
      <c r="H25" s="42"/>
      <c r="I25" s="42"/>
      <c r="J25" s="32"/>
      <c r="K25" s="42"/>
      <c r="L25" s="42"/>
      <c r="M25" s="42"/>
      <c r="N25" s="42"/>
      <c r="O25" s="42"/>
      <c r="P25" s="42"/>
      <c r="Q25" s="10"/>
      <c r="R25" s="38">
        <v>3</v>
      </c>
      <c r="S25" s="36" t="s">
        <v>388</v>
      </c>
      <c r="T25" s="37"/>
      <c r="U25" s="37"/>
      <c r="V25" s="37"/>
      <c r="W25" s="37"/>
      <c r="X25" s="37"/>
      <c r="Y25" s="37"/>
      <c r="Z25" s="37"/>
      <c r="AA25" s="37"/>
      <c r="AB25" s="37"/>
      <c r="AC25" s="37"/>
      <c r="AD25" s="37"/>
      <c r="AE25" s="38"/>
      <c r="AF25" s="284"/>
      <c r="AG25" s="286"/>
      <c r="AH25" s="284" t="s">
        <v>130</v>
      </c>
      <c r="AI25" s="286"/>
      <c r="AJ25" s="284"/>
      <c r="AK25" s="286"/>
      <c r="AL25" s="284"/>
      <c r="AM25" s="286"/>
      <c r="AN25" s="284"/>
      <c r="AO25" s="286"/>
      <c r="AP25" s="284" t="s">
        <v>228</v>
      </c>
      <c r="AQ25" s="285"/>
      <c r="AR25" s="285"/>
      <c r="AS25" s="285"/>
      <c r="AT25" s="285"/>
      <c r="AU25" s="285"/>
      <c r="AV25" s="285"/>
      <c r="AW25" s="286"/>
      <c r="AX25" s="284" t="s">
        <v>201</v>
      </c>
      <c r="AY25" s="285"/>
      <c r="AZ25" s="285"/>
      <c r="BA25" s="285"/>
      <c r="BB25" s="285"/>
      <c r="BC25" s="285"/>
      <c r="BD25" s="285"/>
      <c r="BE25" s="286"/>
      <c r="BF25" s="288"/>
      <c r="BG25" s="288"/>
      <c r="BH25" s="288"/>
      <c r="BI25" s="288"/>
      <c r="BJ25" s="288"/>
      <c r="BK25" s="288"/>
      <c r="BL25" s="288"/>
      <c r="BM25" s="288"/>
      <c r="BN25" s="288"/>
      <c r="BO25" s="10"/>
      <c r="BP25" s="11"/>
    </row>
    <row r="26" spans="1:68" s="8" customFormat="1">
      <c r="A26" s="9"/>
      <c r="B26" s="33"/>
      <c r="C26" s="42"/>
      <c r="D26" s="42"/>
      <c r="E26" s="42"/>
      <c r="F26" s="42"/>
      <c r="G26" s="42"/>
      <c r="H26" s="42"/>
      <c r="I26" s="42"/>
      <c r="J26" s="32"/>
      <c r="K26" s="42"/>
      <c r="L26" s="42"/>
      <c r="M26" s="42"/>
      <c r="N26" s="42"/>
      <c r="O26" s="42"/>
      <c r="P26" s="42"/>
      <c r="Q26" s="10"/>
      <c r="R26" s="38">
        <v>4</v>
      </c>
      <c r="S26" s="55" t="s">
        <v>389</v>
      </c>
      <c r="T26" s="37"/>
      <c r="U26" s="37"/>
      <c r="V26" s="37"/>
      <c r="W26" s="37"/>
      <c r="X26" s="37"/>
      <c r="Y26" s="37"/>
      <c r="Z26" s="37"/>
      <c r="AA26" s="37"/>
      <c r="AB26" s="37"/>
      <c r="AC26" s="37"/>
      <c r="AD26" s="37"/>
      <c r="AE26" s="38"/>
      <c r="AF26" s="284"/>
      <c r="AG26" s="286"/>
      <c r="AH26" s="284" t="s">
        <v>130</v>
      </c>
      <c r="AI26" s="286"/>
      <c r="AJ26" s="284"/>
      <c r="AK26" s="286"/>
      <c r="AL26" s="284"/>
      <c r="AM26" s="286"/>
      <c r="AN26" s="284"/>
      <c r="AO26" s="286"/>
      <c r="AP26" s="284" t="s">
        <v>131</v>
      </c>
      <c r="AQ26" s="285"/>
      <c r="AR26" s="285"/>
      <c r="AS26" s="285"/>
      <c r="AT26" s="285"/>
      <c r="AU26" s="285"/>
      <c r="AV26" s="285"/>
      <c r="AW26" s="286"/>
      <c r="AX26" s="284" t="s">
        <v>390</v>
      </c>
      <c r="AY26" s="285"/>
      <c r="AZ26" s="285"/>
      <c r="BA26" s="285"/>
      <c r="BB26" s="285"/>
      <c r="BC26" s="285"/>
      <c r="BD26" s="285"/>
      <c r="BE26" s="286"/>
      <c r="BF26" s="288" t="s">
        <v>391</v>
      </c>
      <c r="BG26" s="288"/>
      <c r="BH26" s="288"/>
      <c r="BI26" s="288"/>
      <c r="BJ26" s="288"/>
      <c r="BK26" s="288"/>
      <c r="BL26" s="288"/>
      <c r="BM26" s="288"/>
      <c r="BN26" s="288"/>
      <c r="BO26" s="10"/>
    </row>
    <row r="27" spans="1:68" s="8" customFormat="1">
      <c r="A27" s="9"/>
      <c r="B27" s="32"/>
      <c r="C27" s="42"/>
      <c r="D27" s="42"/>
      <c r="E27" s="42"/>
      <c r="F27" s="42"/>
      <c r="G27" s="42"/>
      <c r="H27" s="42"/>
      <c r="I27" s="42"/>
      <c r="J27" s="32"/>
      <c r="K27" s="42"/>
      <c r="L27" s="42"/>
      <c r="M27" s="42"/>
      <c r="N27" s="42"/>
      <c r="O27" s="42"/>
      <c r="P27" s="42"/>
      <c r="Q27" s="10"/>
      <c r="R27" s="38">
        <v>5</v>
      </c>
      <c r="S27" s="36" t="s">
        <v>392</v>
      </c>
      <c r="T27" s="37"/>
      <c r="U27" s="37"/>
      <c r="V27" s="37"/>
      <c r="W27" s="37"/>
      <c r="X27" s="37"/>
      <c r="Y27" s="37"/>
      <c r="Z27" s="37"/>
      <c r="AA27" s="37"/>
      <c r="AB27" s="37"/>
      <c r="AC27" s="37"/>
      <c r="AD27" s="37"/>
      <c r="AE27" s="38"/>
      <c r="AF27" s="284"/>
      <c r="AG27" s="286"/>
      <c r="AH27" s="284"/>
      <c r="AI27" s="286"/>
      <c r="AJ27" s="284" t="s">
        <v>130</v>
      </c>
      <c r="AK27" s="286"/>
      <c r="AL27" s="284"/>
      <c r="AM27" s="286"/>
      <c r="AN27" s="284"/>
      <c r="AO27" s="286"/>
      <c r="AP27" s="284" t="s">
        <v>131</v>
      </c>
      <c r="AQ27" s="285"/>
      <c r="AR27" s="285"/>
      <c r="AS27" s="285"/>
      <c r="AT27" s="285"/>
      <c r="AU27" s="285"/>
      <c r="AV27" s="285"/>
      <c r="AW27" s="286"/>
      <c r="AX27" s="287" t="s">
        <v>132</v>
      </c>
      <c r="AY27" s="287"/>
      <c r="AZ27" s="287"/>
      <c r="BA27" s="287"/>
      <c r="BB27" s="287"/>
      <c r="BC27" s="287"/>
      <c r="BD27" s="287"/>
      <c r="BE27" s="287"/>
      <c r="BF27" s="288"/>
      <c r="BG27" s="288"/>
      <c r="BH27" s="288"/>
      <c r="BI27" s="288"/>
      <c r="BJ27" s="288"/>
      <c r="BK27" s="288"/>
      <c r="BL27" s="288"/>
      <c r="BM27" s="288"/>
      <c r="BN27" s="288"/>
      <c r="BO27" s="10"/>
      <c r="BP27" s="11"/>
    </row>
    <row r="28" spans="1:68" s="8" customFormat="1">
      <c r="A28" s="9"/>
      <c r="B28" s="32"/>
      <c r="C28" s="42"/>
      <c r="D28" s="42"/>
      <c r="E28" s="42"/>
      <c r="F28" s="42"/>
      <c r="G28" s="42"/>
      <c r="H28" s="42"/>
      <c r="I28" s="42"/>
      <c r="J28" s="32"/>
      <c r="K28" s="42"/>
      <c r="L28" s="42"/>
      <c r="M28" s="42"/>
      <c r="N28" s="42"/>
      <c r="O28" s="42"/>
      <c r="P28" s="42"/>
      <c r="Q28" s="10"/>
      <c r="R28" s="38">
        <v>6</v>
      </c>
      <c r="S28" s="36" t="s">
        <v>393</v>
      </c>
      <c r="T28" s="37"/>
      <c r="U28" s="37"/>
      <c r="V28" s="37"/>
      <c r="W28" s="37"/>
      <c r="X28" s="37"/>
      <c r="Y28" s="37"/>
      <c r="Z28" s="37"/>
      <c r="AA28" s="37"/>
      <c r="AB28" s="37"/>
      <c r="AC28" s="37"/>
      <c r="AD28" s="37"/>
      <c r="AE28" s="38"/>
      <c r="AF28" s="284"/>
      <c r="AG28" s="286"/>
      <c r="AH28" s="284"/>
      <c r="AI28" s="286"/>
      <c r="AJ28" s="284" t="s">
        <v>130</v>
      </c>
      <c r="AK28" s="286"/>
      <c r="AL28" s="284"/>
      <c r="AM28" s="286"/>
      <c r="AN28" s="284"/>
      <c r="AO28" s="286"/>
      <c r="AP28" s="284" t="s">
        <v>131</v>
      </c>
      <c r="AQ28" s="285"/>
      <c r="AR28" s="285"/>
      <c r="AS28" s="285"/>
      <c r="AT28" s="285"/>
      <c r="AU28" s="285"/>
      <c r="AV28" s="285"/>
      <c r="AW28" s="286"/>
      <c r="AX28" s="287" t="s">
        <v>394</v>
      </c>
      <c r="AY28" s="287"/>
      <c r="AZ28" s="287"/>
      <c r="BA28" s="287"/>
      <c r="BB28" s="287"/>
      <c r="BC28" s="287"/>
      <c r="BD28" s="287"/>
      <c r="BE28" s="287"/>
      <c r="BF28" s="288"/>
      <c r="BG28" s="288"/>
      <c r="BH28" s="288"/>
      <c r="BI28" s="288"/>
      <c r="BJ28" s="288"/>
      <c r="BK28" s="288"/>
      <c r="BL28" s="288"/>
      <c r="BM28" s="288"/>
      <c r="BN28" s="288"/>
      <c r="BO28" s="10"/>
      <c r="BP28" s="11"/>
    </row>
    <row r="29" spans="1:68" s="8" customFormat="1">
      <c r="A29" s="9"/>
      <c r="B29" s="135" t="s">
        <v>395</v>
      </c>
      <c r="C29" s="136"/>
      <c r="D29" s="136"/>
      <c r="E29" s="136"/>
      <c r="F29" s="136"/>
      <c r="G29" s="136"/>
      <c r="H29" s="136"/>
      <c r="I29" s="136"/>
      <c r="J29" s="135" t="s">
        <v>396</v>
      </c>
      <c r="K29" s="136"/>
      <c r="L29" s="136"/>
      <c r="M29" s="136"/>
      <c r="N29" s="136"/>
      <c r="O29" s="136"/>
      <c r="P29" s="136"/>
      <c r="Q29" s="137"/>
      <c r="R29" s="129">
        <v>1</v>
      </c>
      <c r="S29" s="130" t="s">
        <v>397</v>
      </c>
      <c r="T29" s="128"/>
      <c r="U29" s="128"/>
      <c r="V29" s="128"/>
      <c r="W29" s="128"/>
      <c r="X29" s="128"/>
      <c r="Y29" s="128"/>
      <c r="Z29" s="128"/>
      <c r="AA29" s="128"/>
      <c r="AB29" s="128"/>
      <c r="AC29" s="128"/>
      <c r="AD29" s="128"/>
      <c r="AE29" s="129"/>
      <c r="AF29" s="326"/>
      <c r="AG29" s="328"/>
      <c r="AH29" s="326"/>
      <c r="AI29" s="328"/>
      <c r="AJ29" s="326" t="s">
        <v>130</v>
      </c>
      <c r="AK29" s="328"/>
      <c r="AL29" s="326"/>
      <c r="AM29" s="328"/>
      <c r="AN29" s="326"/>
      <c r="AO29" s="328"/>
      <c r="AP29" s="326" t="s">
        <v>131</v>
      </c>
      <c r="AQ29" s="327"/>
      <c r="AR29" s="327"/>
      <c r="AS29" s="327"/>
      <c r="AT29" s="327"/>
      <c r="AU29" s="327"/>
      <c r="AV29" s="327"/>
      <c r="AW29" s="328"/>
      <c r="AX29" s="326" t="s">
        <v>205</v>
      </c>
      <c r="AY29" s="327"/>
      <c r="AZ29" s="327"/>
      <c r="BA29" s="327"/>
      <c r="BB29" s="327"/>
      <c r="BC29" s="327"/>
      <c r="BD29" s="327"/>
      <c r="BE29" s="328"/>
      <c r="BF29" s="337"/>
      <c r="BG29" s="337"/>
      <c r="BH29" s="337"/>
      <c r="BI29" s="337"/>
      <c r="BJ29" s="337"/>
      <c r="BK29" s="337"/>
      <c r="BL29" s="337"/>
      <c r="BM29" s="337"/>
      <c r="BN29" s="337"/>
      <c r="BO29" s="10"/>
      <c r="BP29" s="11"/>
    </row>
    <row r="30" spans="1:68" s="8" customFormat="1">
      <c r="A30" s="9"/>
      <c r="B30" s="146" t="s">
        <v>398</v>
      </c>
      <c r="C30" s="145" t="s">
        <v>399</v>
      </c>
      <c r="D30" s="139"/>
      <c r="E30" s="139"/>
      <c r="F30" s="139"/>
      <c r="G30" s="139"/>
      <c r="H30" s="139"/>
      <c r="I30" s="139"/>
      <c r="J30" s="140"/>
      <c r="K30" s="139"/>
      <c r="L30" s="139"/>
      <c r="M30" s="139"/>
      <c r="N30" s="139"/>
      <c r="O30" s="139"/>
      <c r="P30" s="139"/>
      <c r="Q30" s="141"/>
      <c r="R30" s="129">
        <v>2</v>
      </c>
      <c r="S30" s="130" t="s">
        <v>400</v>
      </c>
      <c r="T30" s="128"/>
      <c r="U30" s="128"/>
      <c r="V30" s="128"/>
      <c r="W30" s="128"/>
      <c r="X30" s="128"/>
      <c r="Y30" s="128"/>
      <c r="Z30" s="128"/>
      <c r="AA30" s="128"/>
      <c r="AB30" s="128"/>
      <c r="AC30" s="128"/>
      <c r="AD30" s="128"/>
      <c r="AE30" s="129"/>
      <c r="AF30" s="326"/>
      <c r="AG30" s="328"/>
      <c r="AH30" s="326"/>
      <c r="AI30" s="328"/>
      <c r="AJ30" s="326" t="s">
        <v>130</v>
      </c>
      <c r="AK30" s="328"/>
      <c r="AL30" s="326"/>
      <c r="AM30" s="328"/>
      <c r="AN30" s="326"/>
      <c r="AO30" s="328"/>
      <c r="AP30" s="326" t="s">
        <v>201</v>
      </c>
      <c r="AQ30" s="327"/>
      <c r="AR30" s="327"/>
      <c r="AS30" s="327"/>
      <c r="AT30" s="327"/>
      <c r="AU30" s="327"/>
      <c r="AV30" s="327"/>
      <c r="AW30" s="328"/>
      <c r="AX30" s="326" t="s">
        <v>201</v>
      </c>
      <c r="AY30" s="327"/>
      <c r="AZ30" s="327"/>
      <c r="BA30" s="327"/>
      <c r="BB30" s="327"/>
      <c r="BC30" s="327"/>
      <c r="BD30" s="327"/>
      <c r="BE30" s="328"/>
      <c r="BF30" s="337"/>
      <c r="BG30" s="337"/>
      <c r="BH30" s="337"/>
      <c r="BI30" s="337"/>
      <c r="BJ30" s="337"/>
      <c r="BK30" s="337"/>
      <c r="BL30" s="337"/>
      <c r="BM30" s="337"/>
      <c r="BN30" s="337"/>
      <c r="BO30" s="10"/>
    </row>
    <row r="31" spans="1:68" s="8" customFormat="1">
      <c r="A31" s="9"/>
      <c r="B31" s="140"/>
      <c r="C31" s="145" t="s">
        <v>401</v>
      </c>
      <c r="D31" s="139"/>
      <c r="E31" s="139"/>
      <c r="F31" s="139"/>
      <c r="G31" s="139"/>
      <c r="H31" s="139"/>
      <c r="I31" s="139"/>
      <c r="J31" s="140"/>
      <c r="K31" s="139"/>
      <c r="L31" s="139"/>
      <c r="M31" s="139"/>
      <c r="N31" s="139"/>
      <c r="O31" s="139"/>
      <c r="P31" s="139"/>
      <c r="Q31" s="141"/>
      <c r="R31" s="129">
        <v>3</v>
      </c>
      <c r="S31" s="130" t="s">
        <v>402</v>
      </c>
      <c r="T31" s="128"/>
      <c r="U31" s="128"/>
      <c r="V31" s="128"/>
      <c r="W31" s="128"/>
      <c r="X31" s="128"/>
      <c r="Y31" s="128"/>
      <c r="Z31" s="128"/>
      <c r="AA31" s="128"/>
      <c r="AB31" s="128"/>
      <c r="AC31" s="128"/>
      <c r="AD31" s="128"/>
      <c r="AE31" s="129"/>
      <c r="AF31" s="326"/>
      <c r="AG31" s="328"/>
      <c r="AH31" s="326"/>
      <c r="AI31" s="328"/>
      <c r="AJ31" s="326" t="s">
        <v>130</v>
      </c>
      <c r="AK31" s="328"/>
      <c r="AL31" s="326"/>
      <c r="AM31" s="328"/>
      <c r="AN31" s="326"/>
      <c r="AO31" s="328"/>
      <c r="AP31" s="326" t="s">
        <v>201</v>
      </c>
      <c r="AQ31" s="327"/>
      <c r="AR31" s="327"/>
      <c r="AS31" s="327"/>
      <c r="AT31" s="327"/>
      <c r="AU31" s="327"/>
      <c r="AV31" s="327"/>
      <c r="AW31" s="328"/>
      <c r="AX31" s="326" t="s">
        <v>201</v>
      </c>
      <c r="AY31" s="327"/>
      <c r="AZ31" s="327"/>
      <c r="BA31" s="327"/>
      <c r="BB31" s="327"/>
      <c r="BC31" s="327"/>
      <c r="BD31" s="327"/>
      <c r="BE31" s="328"/>
      <c r="BF31" s="351"/>
      <c r="BG31" s="352"/>
      <c r="BH31" s="352"/>
      <c r="BI31" s="352"/>
      <c r="BJ31" s="352"/>
      <c r="BK31" s="352"/>
      <c r="BL31" s="352"/>
      <c r="BM31" s="352"/>
      <c r="BN31" s="353"/>
      <c r="BO31" s="10"/>
      <c r="BP31" s="11"/>
    </row>
    <row r="32" spans="1:68" s="8" customFormat="1">
      <c r="A32" s="9"/>
      <c r="B32" s="138"/>
      <c r="C32" s="145" t="s">
        <v>403</v>
      </c>
      <c r="D32" s="139"/>
      <c r="E32" s="139"/>
      <c r="F32" s="139"/>
      <c r="G32" s="139"/>
      <c r="H32" s="139"/>
      <c r="I32" s="139"/>
      <c r="J32" s="140"/>
      <c r="K32" s="139"/>
      <c r="L32" s="139"/>
      <c r="M32" s="139"/>
      <c r="N32" s="139"/>
      <c r="O32" s="139"/>
      <c r="P32" s="139"/>
      <c r="Q32" s="141"/>
      <c r="R32" s="129">
        <v>4</v>
      </c>
      <c r="S32" s="130" t="s">
        <v>404</v>
      </c>
      <c r="T32" s="128"/>
      <c r="U32" s="128"/>
      <c r="V32" s="128"/>
      <c r="W32" s="128"/>
      <c r="X32" s="128"/>
      <c r="Y32" s="128"/>
      <c r="Z32" s="128"/>
      <c r="AA32" s="128"/>
      <c r="AB32" s="128"/>
      <c r="AC32" s="128"/>
      <c r="AD32" s="128"/>
      <c r="AE32" s="129"/>
      <c r="AF32" s="326"/>
      <c r="AG32" s="328"/>
      <c r="AH32" s="326"/>
      <c r="AI32" s="328"/>
      <c r="AJ32" s="326" t="s">
        <v>130</v>
      </c>
      <c r="AK32" s="328"/>
      <c r="AL32" s="326"/>
      <c r="AM32" s="328"/>
      <c r="AN32" s="326"/>
      <c r="AO32" s="328"/>
      <c r="AP32" s="326" t="s">
        <v>131</v>
      </c>
      <c r="AQ32" s="327"/>
      <c r="AR32" s="327"/>
      <c r="AS32" s="327"/>
      <c r="AT32" s="327"/>
      <c r="AU32" s="327"/>
      <c r="AV32" s="327"/>
      <c r="AW32" s="328"/>
      <c r="AX32" s="326" t="s">
        <v>205</v>
      </c>
      <c r="AY32" s="327"/>
      <c r="AZ32" s="327"/>
      <c r="BA32" s="327"/>
      <c r="BB32" s="327"/>
      <c r="BC32" s="327"/>
      <c r="BD32" s="327"/>
      <c r="BE32" s="328"/>
      <c r="BF32" s="337"/>
      <c r="BG32" s="337"/>
      <c r="BH32" s="337"/>
      <c r="BI32" s="337"/>
      <c r="BJ32" s="337"/>
      <c r="BK32" s="337"/>
      <c r="BL32" s="337"/>
      <c r="BM32" s="337"/>
      <c r="BN32" s="337"/>
      <c r="BO32" s="10"/>
    </row>
    <row r="33" spans="1:68" s="8" customFormat="1" ht="27" customHeight="1">
      <c r="A33" s="9"/>
      <c r="B33" s="140"/>
      <c r="C33" s="139"/>
      <c r="D33" s="139"/>
      <c r="E33" s="139"/>
      <c r="F33" s="139"/>
      <c r="G33" s="139"/>
      <c r="H33" s="139"/>
      <c r="I33" s="139"/>
      <c r="J33" s="140"/>
      <c r="K33" s="139"/>
      <c r="L33" s="139"/>
      <c r="M33" s="139"/>
      <c r="N33" s="139"/>
      <c r="O33" s="139"/>
      <c r="P33" s="139"/>
      <c r="Q33" s="141"/>
      <c r="R33" s="129">
        <v>5</v>
      </c>
      <c r="S33" s="130" t="s">
        <v>405</v>
      </c>
      <c r="T33" s="128"/>
      <c r="U33" s="128"/>
      <c r="V33" s="128"/>
      <c r="W33" s="128"/>
      <c r="X33" s="128"/>
      <c r="Y33" s="128"/>
      <c r="Z33" s="128"/>
      <c r="AA33" s="128"/>
      <c r="AB33" s="128"/>
      <c r="AC33" s="128"/>
      <c r="AD33" s="128"/>
      <c r="AE33" s="129"/>
      <c r="AF33" s="326"/>
      <c r="AG33" s="328"/>
      <c r="AH33" s="326"/>
      <c r="AI33" s="328"/>
      <c r="AJ33" s="326" t="s">
        <v>130</v>
      </c>
      <c r="AK33" s="328"/>
      <c r="AL33" s="326"/>
      <c r="AM33" s="328"/>
      <c r="AN33" s="326"/>
      <c r="AO33" s="328"/>
      <c r="AP33" s="329" t="s">
        <v>406</v>
      </c>
      <c r="AQ33" s="327"/>
      <c r="AR33" s="327"/>
      <c r="AS33" s="327"/>
      <c r="AT33" s="327"/>
      <c r="AU33" s="327"/>
      <c r="AV33" s="327"/>
      <c r="AW33" s="328"/>
      <c r="AX33" s="338" t="s">
        <v>407</v>
      </c>
      <c r="AY33" s="338"/>
      <c r="AZ33" s="338"/>
      <c r="BA33" s="338"/>
      <c r="BB33" s="338"/>
      <c r="BC33" s="338"/>
      <c r="BD33" s="338"/>
      <c r="BE33" s="338"/>
      <c r="BF33" s="337" t="s">
        <v>408</v>
      </c>
      <c r="BG33" s="337"/>
      <c r="BH33" s="337"/>
      <c r="BI33" s="337"/>
      <c r="BJ33" s="337"/>
      <c r="BK33" s="337"/>
      <c r="BL33" s="337"/>
      <c r="BM33" s="337"/>
      <c r="BN33" s="337"/>
      <c r="BO33" s="10"/>
      <c r="BP33" s="11"/>
    </row>
    <row r="34" spans="1:68" s="8" customFormat="1">
      <c r="A34" s="9"/>
      <c r="B34" s="138"/>
      <c r="C34" s="147" t="s">
        <v>409</v>
      </c>
      <c r="D34" s="139"/>
      <c r="E34" s="139"/>
      <c r="F34" s="139"/>
      <c r="G34" s="139"/>
      <c r="H34" s="139"/>
      <c r="I34" s="139"/>
      <c r="J34" s="140"/>
      <c r="K34" s="139"/>
      <c r="L34" s="139"/>
      <c r="M34" s="139"/>
      <c r="N34" s="139"/>
      <c r="O34" s="139"/>
      <c r="P34" s="139"/>
      <c r="Q34" s="141"/>
      <c r="R34" s="129">
        <v>6</v>
      </c>
      <c r="S34" s="130" t="s">
        <v>410</v>
      </c>
      <c r="T34" s="128"/>
      <c r="U34" s="128"/>
      <c r="V34" s="128"/>
      <c r="W34" s="128"/>
      <c r="X34" s="128"/>
      <c r="Y34" s="128"/>
      <c r="Z34" s="128"/>
      <c r="AA34" s="128"/>
      <c r="AB34" s="128"/>
      <c r="AC34" s="128"/>
      <c r="AD34" s="128"/>
      <c r="AE34" s="129"/>
      <c r="AF34" s="326"/>
      <c r="AG34" s="328"/>
      <c r="AH34" s="326"/>
      <c r="AI34" s="328"/>
      <c r="AJ34" s="326"/>
      <c r="AK34" s="328"/>
      <c r="AL34" s="326" t="s">
        <v>130</v>
      </c>
      <c r="AM34" s="328"/>
      <c r="AN34" s="326"/>
      <c r="AO34" s="328"/>
      <c r="AP34" s="326" t="s">
        <v>201</v>
      </c>
      <c r="AQ34" s="327"/>
      <c r="AR34" s="327"/>
      <c r="AS34" s="327"/>
      <c r="AT34" s="327"/>
      <c r="AU34" s="327"/>
      <c r="AV34" s="327"/>
      <c r="AW34" s="328"/>
      <c r="AX34" s="326" t="s">
        <v>201</v>
      </c>
      <c r="AY34" s="327"/>
      <c r="AZ34" s="327"/>
      <c r="BA34" s="327"/>
      <c r="BB34" s="327"/>
      <c r="BC34" s="327"/>
      <c r="BD34" s="327"/>
      <c r="BE34" s="328"/>
      <c r="BF34" s="337"/>
      <c r="BG34" s="337"/>
      <c r="BH34" s="337"/>
      <c r="BI34" s="337"/>
      <c r="BJ34" s="337"/>
      <c r="BK34" s="337"/>
      <c r="BL34" s="337"/>
      <c r="BM34" s="337"/>
      <c r="BN34" s="337"/>
      <c r="BO34" s="10"/>
    </row>
    <row r="35" spans="1:68" s="8" customFormat="1">
      <c r="A35" s="9"/>
      <c r="B35" s="140"/>
      <c r="C35" s="147" t="s">
        <v>411</v>
      </c>
      <c r="D35" s="139"/>
      <c r="E35" s="139"/>
      <c r="F35" s="139"/>
      <c r="G35" s="139"/>
      <c r="H35" s="139"/>
      <c r="I35" s="139"/>
      <c r="J35" s="142"/>
      <c r="K35" s="143"/>
      <c r="L35" s="143"/>
      <c r="M35" s="143"/>
      <c r="N35" s="143"/>
      <c r="O35" s="143"/>
      <c r="P35" s="143"/>
      <c r="Q35" s="144"/>
      <c r="R35" s="129">
        <v>7</v>
      </c>
      <c r="S35" s="130" t="s">
        <v>412</v>
      </c>
      <c r="T35" s="128"/>
      <c r="U35" s="128"/>
      <c r="V35" s="128"/>
      <c r="W35" s="128"/>
      <c r="X35" s="128"/>
      <c r="Y35" s="128"/>
      <c r="Z35" s="128"/>
      <c r="AA35" s="128"/>
      <c r="AB35" s="128"/>
      <c r="AC35" s="128"/>
      <c r="AD35" s="128"/>
      <c r="AE35" s="129"/>
      <c r="AF35" s="326"/>
      <c r="AG35" s="328"/>
      <c r="AH35" s="326"/>
      <c r="AI35" s="328"/>
      <c r="AJ35" s="326" t="s">
        <v>130</v>
      </c>
      <c r="AK35" s="328"/>
      <c r="AL35" s="326"/>
      <c r="AM35" s="328"/>
      <c r="AN35" s="326"/>
      <c r="AO35" s="328"/>
      <c r="AP35" s="326" t="s">
        <v>201</v>
      </c>
      <c r="AQ35" s="327"/>
      <c r="AR35" s="327"/>
      <c r="AS35" s="327"/>
      <c r="AT35" s="327"/>
      <c r="AU35" s="327"/>
      <c r="AV35" s="327"/>
      <c r="AW35" s="328"/>
      <c r="AX35" s="326" t="s">
        <v>201</v>
      </c>
      <c r="AY35" s="327"/>
      <c r="AZ35" s="327"/>
      <c r="BA35" s="327"/>
      <c r="BB35" s="327"/>
      <c r="BC35" s="327"/>
      <c r="BD35" s="327"/>
      <c r="BE35" s="328"/>
      <c r="BF35" s="337"/>
      <c r="BG35" s="337"/>
      <c r="BH35" s="337"/>
      <c r="BI35" s="337"/>
      <c r="BJ35" s="337"/>
      <c r="BK35" s="337"/>
      <c r="BL35" s="337"/>
      <c r="BM35" s="337"/>
      <c r="BN35" s="337"/>
      <c r="BO35" s="10"/>
      <c r="BP35" s="11"/>
    </row>
    <row r="36" spans="1:68" s="8" customFormat="1" ht="14.65" customHeight="1">
      <c r="A36" s="9"/>
      <c r="B36" s="138"/>
      <c r="C36" s="147" t="s">
        <v>413</v>
      </c>
      <c r="D36" s="139"/>
      <c r="E36" s="139"/>
      <c r="F36" s="139"/>
      <c r="G36" s="139"/>
      <c r="H36" s="139"/>
      <c r="I36" s="139"/>
      <c r="J36" s="140" t="s">
        <v>414</v>
      </c>
      <c r="K36" s="139"/>
      <c r="L36" s="139"/>
      <c r="M36" s="139"/>
      <c r="N36" s="139"/>
      <c r="O36" s="139"/>
      <c r="P36" s="139"/>
      <c r="Q36" s="141"/>
      <c r="R36" s="129">
        <v>1</v>
      </c>
      <c r="S36" s="130" t="s">
        <v>415</v>
      </c>
      <c r="T36" s="128"/>
      <c r="U36" s="128"/>
      <c r="V36" s="128"/>
      <c r="W36" s="128"/>
      <c r="X36" s="128"/>
      <c r="Y36" s="128"/>
      <c r="Z36" s="128"/>
      <c r="AA36" s="128"/>
      <c r="AB36" s="128"/>
      <c r="AC36" s="128"/>
      <c r="AD36" s="128"/>
      <c r="AE36" s="129"/>
      <c r="AF36" s="326"/>
      <c r="AG36" s="328"/>
      <c r="AH36" s="326"/>
      <c r="AI36" s="328"/>
      <c r="AJ36" s="326" t="s">
        <v>130</v>
      </c>
      <c r="AK36" s="328"/>
      <c r="AL36" s="326"/>
      <c r="AM36" s="328"/>
      <c r="AN36" s="326"/>
      <c r="AO36" s="328"/>
      <c r="AP36" s="329" t="s">
        <v>416</v>
      </c>
      <c r="AQ36" s="327"/>
      <c r="AR36" s="327"/>
      <c r="AS36" s="327"/>
      <c r="AT36" s="327"/>
      <c r="AU36" s="327"/>
      <c r="AV36" s="327"/>
      <c r="AW36" s="328"/>
      <c r="AX36" s="326" t="s">
        <v>205</v>
      </c>
      <c r="AY36" s="327"/>
      <c r="AZ36" s="327"/>
      <c r="BA36" s="327"/>
      <c r="BB36" s="327"/>
      <c r="BC36" s="327"/>
      <c r="BD36" s="327"/>
      <c r="BE36" s="328"/>
      <c r="BF36" s="337" t="s">
        <v>417</v>
      </c>
      <c r="BG36" s="337"/>
      <c r="BH36" s="337"/>
      <c r="BI36" s="337"/>
      <c r="BJ36" s="337"/>
      <c r="BK36" s="337"/>
      <c r="BL36" s="337"/>
      <c r="BM36" s="337"/>
      <c r="BN36" s="337"/>
      <c r="BO36" s="10"/>
    </row>
    <row r="37" spans="1:68" s="8" customFormat="1" ht="27" customHeight="1">
      <c r="A37" s="9"/>
      <c r="B37" s="140"/>
      <c r="C37" s="139"/>
      <c r="D37" s="139"/>
      <c r="E37" s="139"/>
      <c r="F37" s="139"/>
      <c r="G37" s="139"/>
      <c r="H37" s="139"/>
      <c r="I37" s="139"/>
      <c r="J37" s="140"/>
      <c r="K37" s="139"/>
      <c r="L37" s="139"/>
      <c r="M37" s="139"/>
      <c r="N37" s="139"/>
      <c r="O37" s="139"/>
      <c r="P37" s="139"/>
      <c r="Q37" s="141"/>
      <c r="R37" s="129">
        <v>2</v>
      </c>
      <c r="S37" s="130" t="s">
        <v>418</v>
      </c>
      <c r="T37" s="128"/>
      <c r="U37" s="128"/>
      <c r="V37" s="128"/>
      <c r="W37" s="128"/>
      <c r="X37" s="128"/>
      <c r="Y37" s="128"/>
      <c r="Z37" s="128"/>
      <c r="AA37" s="128"/>
      <c r="AB37" s="128"/>
      <c r="AC37" s="128"/>
      <c r="AD37" s="128"/>
      <c r="AE37" s="129"/>
      <c r="AF37" s="326"/>
      <c r="AG37" s="328"/>
      <c r="AH37" s="326"/>
      <c r="AI37" s="328"/>
      <c r="AJ37" s="326" t="s">
        <v>130</v>
      </c>
      <c r="AK37" s="328"/>
      <c r="AL37" s="326"/>
      <c r="AM37" s="328"/>
      <c r="AN37" s="326"/>
      <c r="AO37" s="328"/>
      <c r="AP37" s="354" t="s">
        <v>419</v>
      </c>
      <c r="AQ37" s="355"/>
      <c r="AR37" s="355"/>
      <c r="AS37" s="355"/>
      <c r="AT37" s="355"/>
      <c r="AU37" s="355"/>
      <c r="AV37" s="355"/>
      <c r="AW37" s="356"/>
      <c r="AX37" s="338" t="s">
        <v>407</v>
      </c>
      <c r="AY37" s="338"/>
      <c r="AZ37" s="338"/>
      <c r="BA37" s="338"/>
      <c r="BB37" s="338"/>
      <c r="BC37" s="338"/>
      <c r="BD37" s="338"/>
      <c r="BE37" s="338"/>
      <c r="BF37" s="357" t="s">
        <v>420</v>
      </c>
      <c r="BG37" s="337"/>
      <c r="BH37" s="337"/>
      <c r="BI37" s="337"/>
      <c r="BJ37" s="337"/>
      <c r="BK37" s="337"/>
      <c r="BL37" s="337"/>
      <c r="BM37" s="337"/>
      <c r="BN37" s="337"/>
      <c r="BO37" s="10"/>
      <c r="BP37" s="11"/>
    </row>
    <row r="38" spans="1:68" s="8" customFormat="1" ht="14.65" customHeight="1">
      <c r="A38" s="9"/>
      <c r="B38" s="138"/>
      <c r="C38" s="139"/>
      <c r="D38" s="139"/>
      <c r="E38" s="139"/>
      <c r="F38" s="139"/>
      <c r="G38" s="139"/>
      <c r="H38" s="139"/>
      <c r="I38" s="139"/>
      <c r="J38" s="140"/>
      <c r="K38" s="139"/>
      <c r="L38" s="139"/>
      <c r="M38" s="139"/>
      <c r="N38" s="139"/>
      <c r="O38" s="139"/>
      <c r="P38" s="139"/>
      <c r="Q38" s="141"/>
      <c r="R38" s="129">
        <v>3</v>
      </c>
      <c r="S38" s="130" t="s">
        <v>421</v>
      </c>
      <c r="T38" s="128"/>
      <c r="U38" s="128"/>
      <c r="V38" s="128"/>
      <c r="W38" s="128"/>
      <c r="X38" s="128"/>
      <c r="Y38" s="128"/>
      <c r="Z38" s="128"/>
      <c r="AA38" s="128"/>
      <c r="AB38" s="128"/>
      <c r="AC38" s="128"/>
      <c r="AD38" s="128"/>
      <c r="AE38" s="129"/>
      <c r="AF38" s="326"/>
      <c r="AG38" s="328"/>
      <c r="AH38" s="326"/>
      <c r="AI38" s="328"/>
      <c r="AJ38" s="326" t="s">
        <v>130</v>
      </c>
      <c r="AK38" s="328"/>
      <c r="AL38" s="326"/>
      <c r="AM38" s="328"/>
      <c r="AN38" s="326"/>
      <c r="AO38" s="328"/>
      <c r="AP38" s="326" t="s">
        <v>201</v>
      </c>
      <c r="AQ38" s="327"/>
      <c r="AR38" s="327"/>
      <c r="AS38" s="327"/>
      <c r="AT38" s="327"/>
      <c r="AU38" s="327"/>
      <c r="AV38" s="327"/>
      <c r="AW38" s="328"/>
      <c r="AX38" s="326" t="s">
        <v>201</v>
      </c>
      <c r="AY38" s="327"/>
      <c r="AZ38" s="327"/>
      <c r="BA38" s="327"/>
      <c r="BB38" s="327"/>
      <c r="BC38" s="327"/>
      <c r="BD38" s="327"/>
      <c r="BE38" s="328"/>
      <c r="BF38" s="337"/>
      <c r="BG38" s="337"/>
      <c r="BH38" s="337"/>
      <c r="BI38" s="337"/>
      <c r="BJ38" s="337"/>
      <c r="BK38" s="337"/>
      <c r="BL38" s="337"/>
      <c r="BM38" s="337"/>
      <c r="BN38" s="337"/>
      <c r="BO38" s="10"/>
    </row>
    <row r="39" spans="1:68" s="8" customFormat="1">
      <c r="A39" s="9"/>
      <c r="B39" s="140"/>
      <c r="C39" s="139"/>
      <c r="D39" s="139"/>
      <c r="E39" s="139"/>
      <c r="F39" s="139"/>
      <c r="G39" s="139"/>
      <c r="H39" s="139"/>
      <c r="I39" s="139"/>
      <c r="J39" s="142"/>
      <c r="K39" s="143"/>
      <c r="L39" s="143"/>
      <c r="M39" s="143"/>
      <c r="N39" s="143"/>
      <c r="O39" s="143"/>
      <c r="P39" s="143"/>
      <c r="Q39" s="144"/>
      <c r="R39" s="129">
        <v>4</v>
      </c>
      <c r="S39" s="130" t="s">
        <v>422</v>
      </c>
      <c r="T39" s="128"/>
      <c r="U39" s="128"/>
      <c r="V39" s="128"/>
      <c r="W39" s="128"/>
      <c r="X39" s="128"/>
      <c r="Y39" s="128"/>
      <c r="Z39" s="128"/>
      <c r="AA39" s="128"/>
      <c r="AB39" s="128"/>
      <c r="AC39" s="128"/>
      <c r="AD39" s="128"/>
      <c r="AE39" s="129"/>
      <c r="AF39" s="326"/>
      <c r="AG39" s="328"/>
      <c r="AH39" s="326"/>
      <c r="AI39" s="328"/>
      <c r="AJ39" s="326" t="s">
        <v>130</v>
      </c>
      <c r="AK39" s="328"/>
      <c r="AL39" s="326"/>
      <c r="AM39" s="328"/>
      <c r="AN39" s="326"/>
      <c r="AO39" s="328"/>
      <c r="AP39" s="326" t="s">
        <v>201</v>
      </c>
      <c r="AQ39" s="327"/>
      <c r="AR39" s="327"/>
      <c r="AS39" s="327"/>
      <c r="AT39" s="327"/>
      <c r="AU39" s="327"/>
      <c r="AV39" s="327"/>
      <c r="AW39" s="328"/>
      <c r="AX39" s="326" t="s">
        <v>201</v>
      </c>
      <c r="AY39" s="327"/>
      <c r="AZ39" s="327"/>
      <c r="BA39" s="327"/>
      <c r="BB39" s="327"/>
      <c r="BC39" s="327"/>
      <c r="BD39" s="327"/>
      <c r="BE39" s="328"/>
      <c r="BF39" s="337"/>
      <c r="BG39" s="337"/>
      <c r="BH39" s="337"/>
      <c r="BI39" s="337"/>
      <c r="BJ39" s="337"/>
      <c r="BK39" s="337"/>
      <c r="BL39" s="337"/>
      <c r="BM39" s="337"/>
      <c r="BN39" s="337"/>
      <c r="BO39" s="10"/>
      <c r="BP39" s="11"/>
    </row>
    <row r="40" spans="1:68" s="8" customFormat="1">
      <c r="A40" s="9"/>
      <c r="B40" s="138"/>
      <c r="C40" s="139"/>
      <c r="D40" s="139"/>
      <c r="E40" s="139"/>
      <c r="F40" s="139"/>
      <c r="G40" s="139"/>
      <c r="H40" s="139"/>
      <c r="I40" s="139"/>
      <c r="J40" s="140" t="s">
        <v>423</v>
      </c>
      <c r="K40" s="139"/>
      <c r="L40" s="139"/>
      <c r="M40" s="139"/>
      <c r="N40" s="139"/>
      <c r="O40" s="139"/>
      <c r="P40" s="139"/>
      <c r="Q40" s="141"/>
      <c r="R40" s="129">
        <v>1</v>
      </c>
      <c r="S40" s="130" t="s">
        <v>424</v>
      </c>
      <c r="T40" s="128"/>
      <c r="U40" s="128"/>
      <c r="V40" s="128"/>
      <c r="W40" s="128"/>
      <c r="X40" s="128"/>
      <c r="Y40" s="128"/>
      <c r="Z40" s="128"/>
      <c r="AA40" s="128"/>
      <c r="AB40" s="128"/>
      <c r="AC40" s="128"/>
      <c r="AD40" s="128"/>
      <c r="AE40" s="129"/>
      <c r="AF40" s="326"/>
      <c r="AG40" s="328"/>
      <c r="AH40" s="326"/>
      <c r="AI40" s="328"/>
      <c r="AJ40" s="326" t="s">
        <v>130</v>
      </c>
      <c r="AK40" s="328"/>
      <c r="AL40" s="326"/>
      <c r="AM40" s="328"/>
      <c r="AN40" s="326"/>
      <c r="AO40" s="328"/>
      <c r="AP40" s="326" t="s">
        <v>201</v>
      </c>
      <c r="AQ40" s="327"/>
      <c r="AR40" s="327"/>
      <c r="AS40" s="327"/>
      <c r="AT40" s="327"/>
      <c r="AU40" s="327"/>
      <c r="AV40" s="327"/>
      <c r="AW40" s="328"/>
      <c r="AX40" s="326" t="s">
        <v>201</v>
      </c>
      <c r="AY40" s="327"/>
      <c r="AZ40" s="327"/>
      <c r="BA40" s="327"/>
      <c r="BB40" s="327"/>
      <c r="BC40" s="327"/>
      <c r="BD40" s="327"/>
      <c r="BE40" s="328"/>
      <c r="BF40" s="337"/>
      <c r="BG40" s="337"/>
      <c r="BH40" s="337"/>
      <c r="BI40" s="337"/>
      <c r="BJ40" s="337"/>
      <c r="BK40" s="337"/>
      <c r="BL40" s="337"/>
      <c r="BM40" s="337"/>
      <c r="BN40" s="337"/>
      <c r="BO40" s="10"/>
    </row>
    <row r="41" spans="1:68" s="8" customFormat="1">
      <c r="A41" s="9"/>
      <c r="B41" s="140"/>
      <c r="C41" s="139"/>
      <c r="D41" s="139"/>
      <c r="E41" s="139"/>
      <c r="F41" s="139"/>
      <c r="G41" s="139"/>
      <c r="H41" s="139"/>
      <c r="I41" s="139"/>
      <c r="J41" s="140"/>
      <c r="K41" s="139"/>
      <c r="L41" s="139"/>
      <c r="M41" s="139"/>
      <c r="N41" s="139"/>
      <c r="O41" s="139"/>
      <c r="P41" s="139"/>
      <c r="Q41" s="141"/>
      <c r="R41" s="129">
        <v>2</v>
      </c>
      <c r="S41" s="130" t="s">
        <v>425</v>
      </c>
      <c r="T41" s="128"/>
      <c r="U41" s="128"/>
      <c r="V41" s="128"/>
      <c r="W41" s="128"/>
      <c r="X41" s="128"/>
      <c r="Y41" s="128"/>
      <c r="Z41" s="128"/>
      <c r="AA41" s="128"/>
      <c r="AB41" s="128"/>
      <c r="AC41" s="128"/>
      <c r="AD41" s="128"/>
      <c r="AE41" s="129"/>
      <c r="AF41" s="326"/>
      <c r="AG41" s="328"/>
      <c r="AH41" s="326"/>
      <c r="AI41" s="328"/>
      <c r="AJ41" s="326" t="s">
        <v>130</v>
      </c>
      <c r="AK41" s="328"/>
      <c r="AL41" s="326"/>
      <c r="AM41" s="328"/>
      <c r="AN41" s="326"/>
      <c r="AO41" s="328"/>
      <c r="AP41" s="326" t="s">
        <v>131</v>
      </c>
      <c r="AQ41" s="327"/>
      <c r="AR41" s="327"/>
      <c r="AS41" s="327"/>
      <c r="AT41" s="327"/>
      <c r="AU41" s="327"/>
      <c r="AV41" s="327"/>
      <c r="AW41" s="328"/>
      <c r="AX41" s="338" t="s">
        <v>140</v>
      </c>
      <c r="AY41" s="338"/>
      <c r="AZ41" s="338"/>
      <c r="BA41" s="338"/>
      <c r="BB41" s="338"/>
      <c r="BC41" s="338"/>
      <c r="BD41" s="338"/>
      <c r="BE41" s="338"/>
      <c r="BF41" s="337"/>
      <c r="BG41" s="337"/>
      <c r="BH41" s="337"/>
      <c r="BI41" s="337"/>
      <c r="BJ41" s="337"/>
      <c r="BK41" s="337"/>
      <c r="BL41" s="337"/>
      <c r="BM41" s="337"/>
      <c r="BN41" s="337"/>
      <c r="BO41" s="10"/>
      <c r="BP41" s="11"/>
    </row>
    <row r="42" spans="1:68" s="8" customFormat="1">
      <c r="A42" s="9"/>
      <c r="B42" s="138"/>
      <c r="C42" s="139"/>
      <c r="D42" s="139"/>
      <c r="E42" s="139"/>
      <c r="F42" s="139"/>
      <c r="G42" s="139"/>
      <c r="H42" s="139"/>
      <c r="I42" s="139"/>
      <c r="J42" s="142"/>
      <c r="K42" s="143"/>
      <c r="L42" s="143"/>
      <c r="M42" s="143"/>
      <c r="N42" s="143"/>
      <c r="O42" s="143"/>
      <c r="P42" s="143"/>
      <c r="Q42" s="144"/>
      <c r="R42" s="129">
        <v>3</v>
      </c>
      <c r="S42" s="130" t="s">
        <v>426</v>
      </c>
      <c r="T42" s="128"/>
      <c r="U42" s="128"/>
      <c r="V42" s="128"/>
      <c r="W42" s="128"/>
      <c r="X42" s="128"/>
      <c r="Y42" s="128"/>
      <c r="Z42" s="128"/>
      <c r="AA42" s="128"/>
      <c r="AB42" s="128"/>
      <c r="AC42" s="128"/>
      <c r="AD42" s="128"/>
      <c r="AE42" s="129"/>
      <c r="AF42" s="326"/>
      <c r="AG42" s="328"/>
      <c r="AH42" s="326"/>
      <c r="AI42" s="328"/>
      <c r="AJ42" s="326" t="s">
        <v>130</v>
      </c>
      <c r="AK42" s="328"/>
      <c r="AL42" s="326"/>
      <c r="AM42" s="328"/>
      <c r="AN42" s="326"/>
      <c r="AO42" s="328"/>
      <c r="AP42" s="326" t="s">
        <v>201</v>
      </c>
      <c r="AQ42" s="327"/>
      <c r="AR42" s="327"/>
      <c r="AS42" s="327"/>
      <c r="AT42" s="327"/>
      <c r="AU42" s="327"/>
      <c r="AV42" s="327"/>
      <c r="AW42" s="328"/>
      <c r="AX42" s="326" t="s">
        <v>201</v>
      </c>
      <c r="AY42" s="327"/>
      <c r="AZ42" s="327"/>
      <c r="BA42" s="327"/>
      <c r="BB42" s="327"/>
      <c r="BC42" s="327"/>
      <c r="BD42" s="327"/>
      <c r="BE42" s="328"/>
      <c r="BF42" s="337"/>
      <c r="BG42" s="337"/>
      <c r="BH42" s="337"/>
      <c r="BI42" s="337"/>
      <c r="BJ42" s="337"/>
      <c r="BK42" s="337"/>
      <c r="BL42" s="337"/>
      <c r="BM42" s="337"/>
      <c r="BN42" s="337"/>
      <c r="BO42" s="10"/>
    </row>
    <row r="43" spans="1:68" s="8" customFormat="1">
      <c r="A43" s="9"/>
      <c r="B43" s="29" t="s">
        <v>427</v>
      </c>
      <c r="C43" s="30"/>
      <c r="D43" s="30"/>
      <c r="E43" s="30"/>
      <c r="F43" s="30"/>
      <c r="G43" s="30"/>
      <c r="H43" s="30"/>
      <c r="I43" s="31"/>
      <c r="J43" s="29" t="s">
        <v>428</v>
      </c>
      <c r="K43" s="30"/>
      <c r="L43" s="30"/>
      <c r="M43" s="30"/>
      <c r="N43" s="30"/>
      <c r="O43" s="30"/>
      <c r="P43" s="30"/>
      <c r="Q43" s="31"/>
      <c r="R43" s="38">
        <v>1</v>
      </c>
      <c r="S43" s="36" t="s">
        <v>429</v>
      </c>
      <c r="T43" s="110"/>
      <c r="U43" s="37"/>
      <c r="V43" s="37"/>
      <c r="W43" s="37"/>
      <c r="X43" s="37"/>
      <c r="Y43" s="37"/>
      <c r="Z43" s="37"/>
      <c r="AA43" s="37"/>
      <c r="AB43" s="37"/>
      <c r="AC43" s="37"/>
      <c r="AD43" s="37"/>
      <c r="AE43" s="38"/>
      <c r="AF43" s="284"/>
      <c r="AG43" s="286"/>
      <c r="AH43" s="284"/>
      <c r="AI43" s="286"/>
      <c r="AJ43" s="284" t="s">
        <v>130</v>
      </c>
      <c r="AK43" s="286"/>
      <c r="AL43" s="284"/>
      <c r="AM43" s="286"/>
      <c r="AN43" s="284"/>
      <c r="AO43" s="286"/>
      <c r="AP43" s="284" t="s">
        <v>131</v>
      </c>
      <c r="AQ43" s="285"/>
      <c r="AR43" s="285"/>
      <c r="AS43" s="285"/>
      <c r="AT43" s="285"/>
      <c r="AU43" s="285"/>
      <c r="AV43" s="285"/>
      <c r="AW43" s="286"/>
      <c r="AX43" s="287" t="s">
        <v>132</v>
      </c>
      <c r="AY43" s="287"/>
      <c r="AZ43" s="287"/>
      <c r="BA43" s="287"/>
      <c r="BB43" s="287"/>
      <c r="BC43" s="287"/>
      <c r="BD43" s="287"/>
      <c r="BE43" s="287"/>
      <c r="BF43" s="288" t="s">
        <v>430</v>
      </c>
      <c r="BG43" s="288"/>
      <c r="BH43" s="288"/>
      <c r="BI43" s="288"/>
      <c r="BJ43" s="288"/>
      <c r="BK43" s="288"/>
      <c r="BL43" s="288"/>
      <c r="BM43" s="288"/>
      <c r="BN43" s="288"/>
      <c r="BO43" s="10"/>
      <c r="BP43" s="11"/>
    </row>
    <row r="44" spans="1:68" s="8" customFormat="1">
      <c r="A44" s="9"/>
      <c r="B44" s="33"/>
      <c r="C44" s="42"/>
      <c r="D44" s="42"/>
      <c r="E44" s="42"/>
      <c r="F44" s="42"/>
      <c r="G44" s="42"/>
      <c r="H44" s="42"/>
      <c r="I44" s="10"/>
      <c r="J44" s="32"/>
      <c r="K44" s="42"/>
      <c r="L44" s="42"/>
      <c r="M44" s="42"/>
      <c r="N44" s="42"/>
      <c r="O44" s="42"/>
      <c r="P44" s="42"/>
      <c r="Q44" s="10"/>
      <c r="R44" s="38">
        <v>2</v>
      </c>
      <c r="S44" s="36" t="s">
        <v>431</v>
      </c>
      <c r="T44" s="37"/>
      <c r="U44" s="37"/>
      <c r="V44" s="37"/>
      <c r="W44" s="37"/>
      <c r="X44" s="37"/>
      <c r="Y44" s="37"/>
      <c r="Z44" s="37"/>
      <c r="AA44" s="37"/>
      <c r="AB44" s="37"/>
      <c r="AC44" s="37"/>
      <c r="AD44" s="37"/>
      <c r="AE44" s="38"/>
      <c r="AF44" s="284"/>
      <c r="AG44" s="286"/>
      <c r="AH44" s="284"/>
      <c r="AI44" s="286"/>
      <c r="AJ44" s="284" t="s">
        <v>130</v>
      </c>
      <c r="AK44" s="286"/>
      <c r="AL44" s="284"/>
      <c r="AM44" s="286"/>
      <c r="AN44" s="284"/>
      <c r="AO44" s="286"/>
      <c r="AP44" s="284" t="s">
        <v>201</v>
      </c>
      <c r="AQ44" s="285"/>
      <c r="AR44" s="285"/>
      <c r="AS44" s="285"/>
      <c r="AT44" s="285"/>
      <c r="AU44" s="285"/>
      <c r="AV44" s="285"/>
      <c r="AW44" s="286"/>
      <c r="AX44" s="284" t="s">
        <v>201</v>
      </c>
      <c r="AY44" s="285"/>
      <c r="AZ44" s="285"/>
      <c r="BA44" s="285"/>
      <c r="BB44" s="285"/>
      <c r="BC44" s="285"/>
      <c r="BD44" s="285"/>
      <c r="BE44" s="286"/>
      <c r="BF44" s="288" t="s">
        <v>430</v>
      </c>
      <c r="BG44" s="288"/>
      <c r="BH44" s="288"/>
      <c r="BI44" s="288"/>
      <c r="BJ44" s="288"/>
      <c r="BK44" s="288"/>
      <c r="BL44" s="288"/>
      <c r="BM44" s="288"/>
      <c r="BN44" s="288"/>
      <c r="BO44" s="10"/>
    </row>
    <row r="45" spans="1:68" s="8" customFormat="1">
      <c r="A45" s="9"/>
      <c r="B45" s="32"/>
      <c r="C45" s="42"/>
      <c r="D45" s="42"/>
      <c r="E45" s="42"/>
      <c r="F45" s="42"/>
      <c r="G45" s="42"/>
      <c r="H45" s="42"/>
      <c r="I45" s="10"/>
      <c r="J45" s="32"/>
      <c r="K45" s="42"/>
      <c r="L45" s="42"/>
      <c r="M45" s="42"/>
      <c r="N45" s="42"/>
      <c r="O45" s="42"/>
      <c r="P45" s="42"/>
      <c r="Q45" s="10" t="s">
        <v>417</v>
      </c>
      <c r="R45" s="38">
        <v>3</v>
      </c>
      <c r="S45" s="36" t="s">
        <v>432</v>
      </c>
      <c r="T45" s="37"/>
      <c r="U45" s="37"/>
      <c r="V45" s="37"/>
      <c r="W45" s="37"/>
      <c r="X45" s="37"/>
      <c r="Y45" s="37"/>
      <c r="Z45" s="37"/>
      <c r="AA45" s="37"/>
      <c r="AB45" s="37"/>
      <c r="AC45" s="37"/>
      <c r="AD45" s="37"/>
      <c r="AE45" s="38"/>
      <c r="AF45" s="284"/>
      <c r="AG45" s="286"/>
      <c r="AH45" s="284"/>
      <c r="AI45" s="286"/>
      <c r="AJ45" s="284" t="s">
        <v>130</v>
      </c>
      <c r="AK45" s="286"/>
      <c r="AL45" s="284"/>
      <c r="AM45" s="286"/>
      <c r="AN45" s="284"/>
      <c r="AO45" s="286"/>
      <c r="AP45" s="284" t="s">
        <v>131</v>
      </c>
      <c r="AQ45" s="285"/>
      <c r="AR45" s="285"/>
      <c r="AS45" s="285"/>
      <c r="AT45" s="285"/>
      <c r="AU45" s="285"/>
      <c r="AV45" s="285"/>
      <c r="AW45" s="286"/>
      <c r="AX45" s="287" t="s">
        <v>132</v>
      </c>
      <c r="AY45" s="287"/>
      <c r="AZ45" s="287"/>
      <c r="BA45" s="287"/>
      <c r="BB45" s="287"/>
      <c r="BC45" s="287"/>
      <c r="BD45" s="287"/>
      <c r="BE45" s="287"/>
      <c r="BF45" s="289" t="s">
        <v>433</v>
      </c>
      <c r="BG45" s="290"/>
      <c r="BH45" s="290"/>
      <c r="BI45" s="290"/>
      <c r="BJ45" s="290"/>
      <c r="BK45" s="290"/>
      <c r="BL45" s="290"/>
      <c r="BM45" s="290"/>
      <c r="BN45" s="291"/>
      <c r="BO45" s="10"/>
      <c r="BP45" s="11"/>
    </row>
    <row r="46" spans="1:68" s="8" customFormat="1">
      <c r="A46" s="9"/>
      <c r="B46" s="32"/>
      <c r="C46" s="42"/>
      <c r="D46" s="42"/>
      <c r="E46" s="42"/>
      <c r="F46" s="42"/>
      <c r="G46" s="42"/>
      <c r="H46" s="42"/>
      <c r="I46" s="10"/>
      <c r="J46" s="32"/>
      <c r="K46" s="42"/>
      <c r="L46" s="42"/>
      <c r="M46" s="42"/>
      <c r="N46" s="42"/>
      <c r="O46" s="42"/>
      <c r="P46" s="42"/>
      <c r="Q46" s="10"/>
      <c r="R46" s="38">
        <v>4</v>
      </c>
      <c r="S46" s="36" t="s">
        <v>434</v>
      </c>
      <c r="T46" s="37"/>
      <c r="U46" s="37"/>
      <c r="V46" s="37"/>
      <c r="W46" s="37"/>
      <c r="X46" s="37"/>
      <c r="Y46" s="37"/>
      <c r="Z46" s="37"/>
      <c r="AA46" s="37"/>
      <c r="AB46" s="37"/>
      <c r="AC46" s="37"/>
      <c r="AD46" s="37"/>
      <c r="AE46" s="38"/>
      <c r="AF46" s="284"/>
      <c r="AG46" s="286"/>
      <c r="AH46" s="284"/>
      <c r="AI46" s="286"/>
      <c r="AJ46" s="284" t="s">
        <v>130</v>
      </c>
      <c r="AK46" s="286"/>
      <c r="AL46" s="284"/>
      <c r="AM46" s="286"/>
      <c r="AN46" s="284"/>
      <c r="AO46" s="286"/>
      <c r="AP46" s="284" t="s">
        <v>131</v>
      </c>
      <c r="AQ46" s="285"/>
      <c r="AR46" s="285"/>
      <c r="AS46" s="285"/>
      <c r="AT46" s="285"/>
      <c r="AU46" s="285"/>
      <c r="AV46" s="285"/>
      <c r="AW46" s="286"/>
      <c r="AX46" s="287" t="s">
        <v>132</v>
      </c>
      <c r="AY46" s="287"/>
      <c r="AZ46" s="287"/>
      <c r="BA46" s="287"/>
      <c r="BB46" s="287"/>
      <c r="BC46" s="287"/>
      <c r="BD46" s="287"/>
      <c r="BE46" s="287"/>
      <c r="BF46" s="289" t="s">
        <v>435</v>
      </c>
      <c r="BG46" s="290"/>
      <c r="BH46" s="290"/>
      <c r="BI46" s="290"/>
      <c r="BJ46" s="290"/>
      <c r="BK46" s="290"/>
      <c r="BL46" s="290"/>
      <c r="BM46" s="290"/>
      <c r="BN46" s="291"/>
      <c r="BO46" s="10"/>
      <c r="BP46" s="11"/>
    </row>
    <row r="47" spans="1:68" s="8" customFormat="1">
      <c r="A47" s="9"/>
      <c r="B47" s="32"/>
      <c r="C47" s="42"/>
      <c r="D47" s="42"/>
      <c r="E47" s="42"/>
      <c r="F47" s="42"/>
      <c r="G47" s="42"/>
      <c r="H47" s="42"/>
      <c r="I47" s="10"/>
      <c r="J47" s="32"/>
      <c r="K47" s="42"/>
      <c r="L47" s="42"/>
      <c r="M47" s="42"/>
      <c r="N47" s="42"/>
      <c r="O47" s="42"/>
      <c r="P47" s="42"/>
      <c r="Q47" s="10"/>
      <c r="R47" s="38">
        <v>5</v>
      </c>
      <c r="S47" s="36" t="s">
        <v>436</v>
      </c>
      <c r="T47" s="37"/>
      <c r="U47" s="37"/>
      <c r="V47" s="37"/>
      <c r="W47" s="37"/>
      <c r="X47" s="37"/>
      <c r="Y47" s="37"/>
      <c r="Z47" s="37"/>
      <c r="AA47" s="37"/>
      <c r="AB47" s="37"/>
      <c r="AC47" s="37"/>
      <c r="AD47" s="37"/>
      <c r="AE47" s="38"/>
      <c r="AF47" s="284"/>
      <c r="AG47" s="286"/>
      <c r="AH47" s="284"/>
      <c r="AI47" s="286"/>
      <c r="AJ47" s="284" t="s">
        <v>130</v>
      </c>
      <c r="AK47" s="286"/>
      <c r="AL47" s="284"/>
      <c r="AM47" s="286"/>
      <c r="AN47" s="284"/>
      <c r="AO47" s="286"/>
      <c r="AP47" s="284" t="s">
        <v>131</v>
      </c>
      <c r="AQ47" s="285"/>
      <c r="AR47" s="285"/>
      <c r="AS47" s="285"/>
      <c r="AT47" s="285"/>
      <c r="AU47" s="285"/>
      <c r="AV47" s="285"/>
      <c r="AW47" s="286"/>
      <c r="AX47" s="287" t="s">
        <v>132</v>
      </c>
      <c r="AY47" s="287"/>
      <c r="AZ47" s="287"/>
      <c r="BA47" s="287"/>
      <c r="BB47" s="287"/>
      <c r="BC47" s="287"/>
      <c r="BD47" s="287"/>
      <c r="BE47" s="287"/>
      <c r="BF47" s="289" t="s">
        <v>437</v>
      </c>
      <c r="BG47" s="290"/>
      <c r="BH47" s="290"/>
      <c r="BI47" s="290"/>
      <c r="BJ47" s="290"/>
      <c r="BK47" s="290"/>
      <c r="BL47" s="290"/>
      <c r="BM47" s="290"/>
      <c r="BN47" s="291"/>
      <c r="BO47" s="10"/>
      <c r="BP47" s="11"/>
    </row>
    <row r="48" spans="1:68" s="8" customFormat="1">
      <c r="A48" s="9"/>
      <c r="B48" s="32"/>
      <c r="C48" s="42"/>
      <c r="D48" s="42"/>
      <c r="E48" s="42"/>
      <c r="F48" s="42"/>
      <c r="G48" s="42"/>
      <c r="H48" s="42"/>
      <c r="I48" s="10"/>
      <c r="J48" s="32"/>
      <c r="K48" s="42"/>
      <c r="L48" s="42"/>
      <c r="M48" s="42"/>
      <c r="N48" s="42"/>
      <c r="O48" s="42"/>
      <c r="P48" s="42"/>
      <c r="Q48" s="10"/>
      <c r="R48" s="38">
        <v>6</v>
      </c>
      <c r="S48" s="36" t="s">
        <v>438</v>
      </c>
      <c r="T48" s="37"/>
      <c r="U48" s="37"/>
      <c r="V48" s="37"/>
      <c r="W48" s="37"/>
      <c r="X48" s="37"/>
      <c r="Y48" s="37"/>
      <c r="Z48" s="37"/>
      <c r="AA48" s="37"/>
      <c r="AB48" s="37"/>
      <c r="AC48" s="37"/>
      <c r="AD48" s="37"/>
      <c r="AE48" s="38"/>
      <c r="AF48" s="284"/>
      <c r="AG48" s="286"/>
      <c r="AH48" s="284"/>
      <c r="AI48" s="286"/>
      <c r="AJ48" s="284" t="s">
        <v>130</v>
      </c>
      <c r="AK48" s="286"/>
      <c r="AL48" s="284"/>
      <c r="AM48" s="286"/>
      <c r="AN48" s="284"/>
      <c r="AO48" s="286"/>
      <c r="AP48" s="284" t="s">
        <v>131</v>
      </c>
      <c r="AQ48" s="285"/>
      <c r="AR48" s="285"/>
      <c r="AS48" s="285"/>
      <c r="AT48" s="285"/>
      <c r="AU48" s="285"/>
      <c r="AV48" s="285"/>
      <c r="AW48" s="286"/>
      <c r="AX48" s="287" t="s">
        <v>132</v>
      </c>
      <c r="AY48" s="287"/>
      <c r="AZ48" s="287"/>
      <c r="BA48" s="287"/>
      <c r="BB48" s="287"/>
      <c r="BC48" s="287"/>
      <c r="BD48" s="287"/>
      <c r="BE48" s="287"/>
      <c r="BF48" s="289" t="s">
        <v>439</v>
      </c>
      <c r="BG48" s="290"/>
      <c r="BH48" s="290"/>
      <c r="BI48" s="290"/>
      <c r="BJ48" s="290"/>
      <c r="BK48" s="290"/>
      <c r="BL48" s="290"/>
      <c r="BM48" s="290"/>
      <c r="BN48" s="291"/>
      <c r="BO48" s="10"/>
      <c r="BP48" s="11"/>
    </row>
    <row r="49" spans="1:80" s="8" customFormat="1" ht="14.65" customHeight="1">
      <c r="A49" s="9"/>
      <c r="B49" s="33"/>
      <c r="C49" s="42"/>
      <c r="D49" s="42"/>
      <c r="E49" s="42"/>
      <c r="F49" s="42"/>
      <c r="G49" s="42"/>
      <c r="H49" s="42"/>
      <c r="I49" s="10"/>
      <c r="J49" s="48"/>
      <c r="K49" s="34"/>
      <c r="L49" s="34"/>
      <c r="M49" s="34"/>
      <c r="N49" s="34"/>
      <c r="O49" s="34"/>
      <c r="P49" s="34"/>
      <c r="Q49" s="35"/>
      <c r="R49" s="38">
        <v>7</v>
      </c>
      <c r="S49" s="36" t="s">
        <v>440</v>
      </c>
      <c r="T49" s="37"/>
      <c r="U49" s="37"/>
      <c r="V49" s="37"/>
      <c r="W49" s="37"/>
      <c r="X49" s="37"/>
      <c r="Y49" s="37"/>
      <c r="Z49" s="37"/>
      <c r="AA49" s="37"/>
      <c r="AB49" s="37"/>
      <c r="AC49" s="37"/>
      <c r="AD49" s="37"/>
      <c r="AE49" s="38"/>
      <c r="AF49" s="284"/>
      <c r="AG49" s="286"/>
      <c r="AH49" s="284"/>
      <c r="AI49" s="286"/>
      <c r="AJ49" s="284" t="s">
        <v>130</v>
      </c>
      <c r="AK49" s="286"/>
      <c r="AL49" s="284"/>
      <c r="AM49" s="286"/>
      <c r="AN49" s="284"/>
      <c r="AO49" s="286"/>
      <c r="AP49" s="334" t="s">
        <v>131</v>
      </c>
      <c r="AQ49" s="335"/>
      <c r="AR49" s="335"/>
      <c r="AS49" s="335"/>
      <c r="AT49" s="335"/>
      <c r="AU49" s="335"/>
      <c r="AV49" s="335"/>
      <c r="AW49" s="336"/>
      <c r="AX49" s="287" t="s">
        <v>140</v>
      </c>
      <c r="AY49" s="287"/>
      <c r="AZ49" s="287"/>
      <c r="BA49" s="287"/>
      <c r="BB49" s="287"/>
      <c r="BC49" s="287"/>
      <c r="BD49" s="287"/>
      <c r="BE49" s="287"/>
      <c r="BF49" s="288" t="s">
        <v>441</v>
      </c>
      <c r="BG49" s="288"/>
      <c r="BH49" s="288"/>
      <c r="BI49" s="288"/>
      <c r="BJ49" s="288"/>
      <c r="BK49" s="288"/>
      <c r="BL49" s="288"/>
      <c r="BM49" s="288"/>
      <c r="BN49" s="288"/>
      <c r="BO49" s="10"/>
      <c r="BP49" s="1"/>
      <c r="BQ49" s="94"/>
      <c r="BR49" s="94"/>
      <c r="BS49" s="94"/>
      <c r="BT49" s="94"/>
      <c r="BU49" s="94"/>
      <c r="BV49" s="94"/>
      <c r="BW49" s="94"/>
      <c r="BX49" s="94"/>
      <c r="BY49" s="94"/>
      <c r="BZ49" s="94"/>
      <c r="CA49" s="94"/>
      <c r="CB49" s="94"/>
    </row>
    <row r="50" spans="1:80" s="8" customFormat="1">
      <c r="A50" s="9" t="s">
        <v>417</v>
      </c>
      <c r="B50" s="32"/>
      <c r="C50" s="42"/>
      <c r="D50" s="42"/>
      <c r="E50" s="42"/>
      <c r="F50" s="42"/>
      <c r="G50" s="42"/>
      <c r="H50" s="42"/>
      <c r="I50" s="10"/>
      <c r="J50" s="32" t="s">
        <v>442</v>
      </c>
      <c r="K50" s="42"/>
      <c r="L50" s="42"/>
      <c r="M50" s="42"/>
      <c r="N50" s="42"/>
      <c r="O50" s="42"/>
      <c r="P50" s="42"/>
      <c r="Q50" s="10"/>
      <c r="R50" s="38">
        <v>1</v>
      </c>
      <c r="S50" s="36" t="s">
        <v>443</v>
      </c>
      <c r="T50" s="37"/>
      <c r="U50" s="37"/>
      <c r="V50" s="37"/>
      <c r="W50" s="37"/>
      <c r="X50" s="37"/>
      <c r="Y50" s="37"/>
      <c r="Z50" s="37"/>
      <c r="AA50" s="37"/>
      <c r="AB50" s="37"/>
      <c r="AC50" s="37"/>
      <c r="AD50" s="37"/>
      <c r="AE50" s="38"/>
      <c r="AF50" s="284"/>
      <c r="AG50" s="286"/>
      <c r="AH50" s="284"/>
      <c r="AI50" s="286"/>
      <c r="AJ50" s="284" t="s">
        <v>130</v>
      </c>
      <c r="AK50" s="286"/>
      <c r="AL50" s="284"/>
      <c r="AM50" s="286"/>
      <c r="AN50" s="284"/>
      <c r="AO50" s="286"/>
      <c r="AP50" s="284" t="s">
        <v>131</v>
      </c>
      <c r="AQ50" s="285"/>
      <c r="AR50" s="285"/>
      <c r="AS50" s="285"/>
      <c r="AT50" s="285"/>
      <c r="AU50" s="285"/>
      <c r="AV50" s="285"/>
      <c r="AW50" s="286"/>
      <c r="AX50" s="287" t="s">
        <v>132</v>
      </c>
      <c r="AY50" s="287"/>
      <c r="AZ50" s="287"/>
      <c r="BA50" s="287"/>
      <c r="BB50" s="287"/>
      <c r="BC50" s="287"/>
      <c r="BD50" s="287"/>
      <c r="BE50" s="287"/>
      <c r="BF50" s="289" t="s">
        <v>444</v>
      </c>
      <c r="BG50" s="290"/>
      <c r="BH50" s="290"/>
      <c r="BI50" s="290"/>
      <c r="BJ50" s="290"/>
      <c r="BK50" s="290"/>
      <c r="BL50" s="290"/>
      <c r="BM50" s="290"/>
      <c r="BN50" s="291"/>
      <c r="BO50" s="10"/>
      <c r="BP50" s="1"/>
      <c r="BQ50" s="94"/>
      <c r="BR50" s="94"/>
      <c r="BS50" s="94"/>
      <c r="BT50" s="94"/>
      <c r="BU50" s="94"/>
      <c r="BV50" s="94"/>
      <c r="BW50" s="94"/>
      <c r="BX50" s="94"/>
      <c r="BY50" s="94"/>
      <c r="BZ50" s="94"/>
      <c r="CA50" s="94"/>
      <c r="CB50" s="94"/>
    </row>
    <row r="51" spans="1:80" s="8" customFormat="1">
      <c r="A51" s="9"/>
      <c r="B51" s="33"/>
      <c r="C51" s="42"/>
      <c r="D51" s="42"/>
      <c r="E51" s="42"/>
      <c r="F51" s="42"/>
      <c r="G51" s="42"/>
      <c r="H51" s="42"/>
      <c r="I51" s="10"/>
      <c r="J51" s="32"/>
      <c r="K51" s="42"/>
      <c r="L51" s="42"/>
      <c r="M51" s="42"/>
      <c r="N51" s="42"/>
      <c r="O51" s="42"/>
      <c r="P51" s="42"/>
      <c r="Q51" s="10"/>
      <c r="R51" s="38">
        <v>2</v>
      </c>
      <c r="S51" s="36" t="s">
        <v>445</v>
      </c>
      <c r="T51" s="37"/>
      <c r="U51" s="37"/>
      <c r="V51" s="37"/>
      <c r="W51" s="37"/>
      <c r="X51" s="37"/>
      <c r="Y51" s="37"/>
      <c r="Z51" s="37"/>
      <c r="AA51" s="37"/>
      <c r="AB51" s="37"/>
      <c r="AC51" s="37"/>
      <c r="AD51" s="37"/>
      <c r="AE51" s="38"/>
      <c r="AF51" s="284"/>
      <c r="AG51" s="286"/>
      <c r="AH51" s="284"/>
      <c r="AI51" s="286"/>
      <c r="AJ51" s="284" t="s">
        <v>130</v>
      </c>
      <c r="AK51" s="286"/>
      <c r="AL51" s="284"/>
      <c r="AM51" s="286"/>
      <c r="AN51" s="284"/>
      <c r="AO51" s="286"/>
      <c r="AP51" s="284" t="s">
        <v>201</v>
      </c>
      <c r="AQ51" s="285"/>
      <c r="AR51" s="285"/>
      <c r="AS51" s="285"/>
      <c r="AT51" s="285"/>
      <c r="AU51" s="285"/>
      <c r="AV51" s="285"/>
      <c r="AW51" s="286"/>
      <c r="AX51" s="284" t="s">
        <v>201</v>
      </c>
      <c r="AY51" s="285"/>
      <c r="AZ51" s="285"/>
      <c r="BA51" s="285"/>
      <c r="BB51" s="285"/>
      <c r="BC51" s="285"/>
      <c r="BD51" s="285"/>
      <c r="BE51" s="286"/>
      <c r="BF51" s="288" t="s">
        <v>446</v>
      </c>
      <c r="BG51" s="288"/>
      <c r="BH51" s="288"/>
      <c r="BI51" s="288"/>
      <c r="BJ51" s="288"/>
      <c r="BK51" s="288"/>
      <c r="BL51" s="288"/>
      <c r="BM51" s="288"/>
      <c r="BN51" s="288"/>
      <c r="BO51" s="10"/>
    </row>
    <row r="52" spans="1:80" s="8" customFormat="1">
      <c r="A52" s="9"/>
      <c r="B52" s="32"/>
      <c r="C52" s="42"/>
      <c r="D52" s="42"/>
      <c r="E52" s="42"/>
      <c r="F52" s="42"/>
      <c r="G52" s="42"/>
      <c r="H52" s="42"/>
      <c r="I52" s="10"/>
      <c r="J52" s="32"/>
      <c r="K52" s="42"/>
      <c r="L52" s="42"/>
      <c r="M52" s="42"/>
      <c r="N52" s="42"/>
      <c r="O52" s="42"/>
      <c r="P52" s="42"/>
      <c r="Q52" s="10"/>
      <c r="R52" s="38">
        <v>3</v>
      </c>
      <c r="S52" s="36" t="s">
        <v>447</v>
      </c>
      <c r="T52" s="37"/>
      <c r="U52" s="37"/>
      <c r="V52" s="37"/>
      <c r="W52" s="37"/>
      <c r="X52" s="37"/>
      <c r="Y52" s="37"/>
      <c r="Z52" s="37"/>
      <c r="AA52" s="37"/>
      <c r="AB52" s="37"/>
      <c r="AC52" s="37"/>
      <c r="AD52" s="37"/>
      <c r="AE52" s="38"/>
      <c r="AF52" s="284"/>
      <c r="AG52" s="286"/>
      <c r="AH52" s="284"/>
      <c r="AI52" s="286"/>
      <c r="AJ52" s="284" t="s">
        <v>130</v>
      </c>
      <c r="AK52" s="286"/>
      <c r="AL52" s="284"/>
      <c r="AM52" s="286"/>
      <c r="AN52" s="284"/>
      <c r="AO52" s="286"/>
      <c r="AP52" s="284" t="s">
        <v>131</v>
      </c>
      <c r="AQ52" s="285"/>
      <c r="AR52" s="285"/>
      <c r="AS52" s="285"/>
      <c r="AT52" s="285"/>
      <c r="AU52" s="285"/>
      <c r="AV52" s="285"/>
      <c r="AW52" s="286"/>
      <c r="AX52" s="287" t="s">
        <v>132</v>
      </c>
      <c r="AY52" s="287"/>
      <c r="AZ52" s="287"/>
      <c r="BA52" s="287"/>
      <c r="BB52" s="287"/>
      <c r="BC52" s="287"/>
      <c r="BD52" s="287"/>
      <c r="BE52" s="287"/>
      <c r="BF52" s="288"/>
      <c r="BG52" s="288"/>
      <c r="BH52" s="288"/>
      <c r="BI52" s="288"/>
      <c r="BJ52" s="288"/>
      <c r="BK52" s="288"/>
      <c r="BL52" s="288"/>
      <c r="BM52" s="288"/>
      <c r="BN52" s="288"/>
      <c r="BO52" s="10"/>
      <c r="BP52" s="11"/>
    </row>
    <row r="53" spans="1:80" s="8" customFormat="1">
      <c r="A53" s="9"/>
      <c r="B53" s="33"/>
      <c r="C53" s="42"/>
      <c r="D53" s="42"/>
      <c r="E53" s="42"/>
      <c r="F53" s="42"/>
      <c r="G53" s="42"/>
      <c r="H53" s="42"/>
      <c r="I53" s="10"/>
      <c r="J53" s="32"/>
      <c r="K53" s="42"/>
      <c r="L53" s="42"/>
      <c r="M53" s="42"/>
      <c r="N53" s="42"/>
      <c r="O53" s="42"/>
      <c r="P53" s="42"/>
      <c r="Q53" s="10"/>
      <c r="R53" s="38">
        <v>4</v>
      </c>
      <c r="S53" s="36" t="s">
        <v>448</v>
      </c>
      <c r="T53" s="37"/>
      <c r="U53" s="37"/>
      <c r="V53" s="37"/>
      <c r="W53" s="37"/>
      <c r="X53" s="37"/>
      <c r="Y53" s="37"/>
      <c r="Z53" s="37"/>
      <c r="AA53" s="37"/>
      <c r="AB53" s="37"/>
      <c r="AC53" s="37"/>
      <c r="AD53" s="37"/>
      <c r="AE53" s="38"/>
      <c r="AF53" s="284"/>
      <c r="AG53" s="286"/>
      <c r="AH53" s="284"/>
      <c r="AI53" s="286"/>
      <c r="AJ53" s="284" t="s">
        <v>130</v>
      </c>
      <c r="AK53" s="286"/>
      <c r="AL53" s="284"/>
      <c r="AM53" s="286"/>
      <c r="AN53" s="284"/>
      <c r="AO53" s="286"/>
      <c r="AP53" s="284" t="s">
        <v>131</v>
      </c>
      <c r="AQ53" s="285"/>
      <c r="AR53" s="285"/>
      <c r="AS53" s="285"/>
      <c r="AT53" s="285"/>
      <c r="AU53" s="285"/>
      <c r="AV53" s="285"/>
      <c r="AW53" s="286"/>
      <c r="AX53" s="287" t="s">
        <v>132</v>
      </c>
      <c r="AY53" s="287"/>
      <c r="AZ53" s="287"/>
      <c r="BA53" s="287"/>
      <c r="BB53" s="287"/>
      <c r="BC53" s="287"/>
      <c r="BD53" s="287"/>
      <c r="BE53" s="287"/>
      <c r="BF53" s="288"/>
      <c r="BG53" s="288"/>
      <c r="BH53" s="288"/>
      <c r="BI53" s="288"/>
      <c r="BJ53" s="288"/>
      <c r="BK53" s="288"/>
      <c r="BL53" s="288"/>
      <c r="BM53" s="288"/>
      <c r="BN53" s="288"/>
      <c r="BO53" s="10"/>
    </row>
    <row r="54" spans="1:80" s="8" customFormat="1" ht="14.65" customHeight="1">
      <c r="A54" s="9"/>
      <c r="B54" s="32"/>
      <c r="C54" s="42"/>
      <c r="D54" s="42"/>
      <c r="E54" s="42"/>
      <c r="F54" s="42"/>
      <c r="G54" s="42"/>
      <c r="H54" s="42"/>
      <c r="I54" s="10"/>
      <c r="J54" s="48"/>
      <c r="K54" s="34"/>
      <c r="L54" s="34"/>
      <c r="M54" s="34"/>
      <c r="N54" s="34"/>
      <c r="O54" s="34"/>
      <c r="P54" s="34"/>
      <c r="Q54" s="35"/>
      <c r="R54" s="38">
        <v>5</v>
      </c>
      <c r="S54" s="36" t="s">
        <v>449</v>
      </c>
      <c r="T54" s="37"/>
      <c r="U54" s="37"/>
      <c r="V54" s="37"/>
      <c r="W54" s="37"/>
      <c r="X54" s="37"/>
      <c r="Y54" s="37"/>
      <c r="Z54" s="37"/>
      <c r="AA54" s="37"/>
      <c r="AB54" s="37"/>
      <c r="AC54" s="37"/>
      <c r="AD54" s="37"/>
      <c r="AE54" s="38"/>
      <c r="AF54" s="284"/>
      <c r="AG54" s="286"/>
      <c r="AH54" s="284"/>
      <c r="AI54" s="286"/>
      <c r="AJ54" s="284" t="s">
        <v>130</v>
      </c>
      <c r="AK54" s="286"/>
      <c r="AL54" s="284"/>
      <c r="AM54" s="286"/>
      <c r="AN54" s="284"/>
      <c r="AO54" s="286"/>
      <c r="AP54" s="334" t="s">
        <v>131</v>
      </c>
      <c r="AQ54" s="335"/>
      <c r="AR54" s="335"/>
      <c r="AS54" s="335"/>
      <c r="AT54" s="335"/>
      <c r="AU54" s="335"/>
      <c r="AV54" s="335"/>
      <c r="AW54" s="336"/>
      <c r="AX54" s="287" t="s">
        <v>140</v>
      </c>
      <c r="AY54" s="287"/>
      <c r="AZ54" s="287"/>
      <c r="BA54" s="287"/>
      <c r="BB54" s="287"/>
      <c r="BC54" s="287"/>
      <c r="BD54" s="287"/>
      <c r="BE54" s="287"/>
      <c r="BF54" s="288"/>
      <c r="BG54" s="288"/>
      <c r="BH54" s="288"/>
      <c r="BI54" s="288"/>
      <c r="BJ54" s="288"/>
      <c r="BK54" s="288"/>
      <c r="BL54" s="288"/>
      <c r="BM54" s="288"/>
      <c r="BN54" s="288"/>
      <c r="BO54" s="10"/>
      <c r="BP54" s="11"/>
    </row>
    <row r="55" spans="1:80" s="8" customFormat="1">
      <c r="A55" s="9"/>
      <c r="B55" s="33"/>
      <c r="C55" s="42"/>
      <c r="D55" s="42"/>
      <c r="E55" s="42"/>
      <c r="F55" s="42"/>
      <c r="G55" s="42"/>
      <c r="H55" s="42"/>
      <c r="I55" s="10"/>
      <c r="J55" s="42" t="s">
        <v>450</v>
      </c>
      <c r="K55" s="42"/>
      <c r="L55" s="42"/>
      <c r="M55" s="42"/>
      <c r="N55" s="42"/>
      <c r="O55" s="42"/>
      <c r="P55" s="42"/>
      <c r="Q55" s="10"/>
      <c r="R55" s="38">
        <v>1</v>
      </c>
      <c r="S55" s="36" t="s">
        <v>451</v>
      </c>
      <c r="T55" s="37"/>
      <c r="U55" s="37"/>
      <c r="V55" s="37"/>
      <c r="W55" s="37"/>
      <c r="X55" s="37"/>
      <c r="Y55" s="37"/>
      <c r="Z55" s="37"/>
      <c r="AA55" s="37"/>
      <c r="AB55" s="37"/>
      <c r="AC55" s="37"/>
      <c r="AD55" s="37"/>
      <c r="AE55" s="38"/>
      <c r="AF55" s="284"/>
      <c r="AG55" s="286"/>
      <c r="AH55" s="284"/>
      <c r="AI55" s="286"/>
      <c r="AJ55" s="284" t="s">
        <v>130</v>
      </c>
      <c r="AK55" s="286"/>
      <c r="AL55" s="284"/>
      <c r="AM55" s="286"/>
      <c r="AN55" s="284"/>
      <c r="AO55" s="286"/>
      <c r="AP55" s="287" t="s">
        <v>176</v>
      </c>
      <c r="AQ55" s="287"/>
      <c r="AR55" s="287"/>
      <c r="AS55" s="287"/>
      <c r="AT55" s="287"/>
      <c r="AU55" s="287"/>
      <c r="AV55" s="287"/>
      <c r="AW55" s="287"/>
      <c r="AX55" s="287" t="s">
        <v>201</v>
      </c>
      <c r="AY55" s="287"/>
      <c r="AZ55" s="287"/>
      <c r="BA55" s="287"/>
      <c r="BB55" s="287"/>
      <c r="BC55" s="287"/>
      <c r="BD55" s="287"/>
      <c r="BE55" s="287"/>
      <c r="BF55" s="288"/>
      <c r="BG55" s="288"/>
      <c r="BH55" s="288"/>
      <c r="BI55" s="288"/>
      <c r="BJ55" s="288"/>
      <c r="BK55" s="288"/>
      <c r="BL55" s="288"/>
      <c r="BM55" s="288"/>
      <c r="BN55" s="288"/>
      <c r="BO55" s="10"/>
    </row>
    <row r="56" spans="1:80" s="8" customFormat="1">
      <c r="A56" s="9"/>
      <c r="B56" s="48"/>
      <c r="C56" s="34"/>
      <c r="D56" s="34"/>
      <c r="E56" s="34"/>
      <c r="F56" s="34"/>
      <c r="G56" s="34"/>
      <c r="H56" s="34"/>
      <c r="I56" s="35"/>
      <c r="J56" s="34"/>
      <c r="K56" s="34"/>
      <c r="L56" s="34"/>
      <c r="M56" s="34"/>
      <c r="N56" s="34"/>
      <c r="O56" s="34"/>
      <c r="P56" s="34"/>
      <c r="Q56" s="35"/>
      <c r="R56" s="38">
        <v>2</v>
      </c>
      <c r="S56" s="36" t="s">
        <v>452</v>
      </c>
      <c r="T56" s="37"/>
      <c r="U56" s="37"/>
      <c r="V56" s="37"/>
      <c r="W56" s="37"/>
      <c r="X56" s="37"/>
      <c r="Y56" s="37"/>
      <c r="Z56" s="37"/>
      <c r="AA56" s="37"/>
      <c r="AB56" s="37"/>
      <c r="AC56" s="37"/>
      <c r="AD56" s="37"/>
      <c r="AE56" s="38"/>
      <c r="AF56" s="284"/>
      <c r="AG56" s="286"/>
      <c r="AH56" s="284"/>
      <c r="AI56" s="286"/>
      <c r="AJ56" s="284" t="s">
        <v>130</v>
      </c>
      <c r="AK56" s="286"/>
      <c r="AL56" s="284"/>
      <c r="AM56" s="286"/>
      <c r="AN56" s="284"/>
      <c r="AO56" s="286"/>
      <c r="AP56" s="284" t="s">
        <v>131</v>
      </c>
      <c r="AQ56" s="285"/>
      <c r="AR56" s="285"/>
      <c r="AS56" s="285"/>
      <c r="AT56" s="285"/>
      <c r="AU56" s="285"/>
      <c r="AV56" s="285"/>
      <c r="AW56" s="286"/>
      <c r="AX56" s="287" t="s">
        <v>132</v>
      </c>
      <c r="AY56" s="287"/>
      <c r="AZ56" s="287"/>
      <c r="BA56" s="287"/>
      <c r="BB56" s="287"/>
      <c r="BC56" s="287"/>
      <c r="BD56" s="287"/>
      <c r="BE56" s="287"/>
      <c r="BF56" s="288"/>
      <c r="BG56" s="288"/>
      <c r="BH56" s="288"/>
      <c r="BI56" s="288"/>
      <c r="BJ56" s="288"/>
      <c r="BK56" s="288"/>
      <c r="BL56" s="288"/>
      <c r="BM56" s="288"/>
      <c r="BN56" s="288"/>
      <c r="BO56" s="10"/>
      <c r="BP56" s="11"/>
    </row>
    <row r="57" spans="1:80" s="8" customFormat="1">
      <c r="A57" s="9"/>
      <c r="B57" s="33" t="s">
        <v>453</v>
      </c>
      <c r="C57" s="42"/>
      <c r="D57" s="42"/>
      <c r="E57" s="42"/>
      <c r="F57" s="42"/>
      <c r="G57" s="42"/>
      <c r="H57" s="42"/>
      <c r="I57" s="42"/>
      <c r="J57" s="29" t="s">
        <v>454</v>
      </c>
      <c r="K57" s="30"/>
      <c r="L57" s="30"/>
      <c r="M57" s="30"/>
      <c r="N57" s="30"/>
      <c r="O57" s="30"/>
      <c r="P57" s="30"/>
      <c r="Q57" s="31"/>
      <c r="R57" s="38">
        <v>1</v>
      </c>
      <c r="S57" s="58" t="s">
        <v>429</v>
      </c>
      <c r="T57" s="37"/>
      <c r="U57" s="37"/>
      <c r="V57" s="37"/>
      <c r="W57" s="37"/>
      <c r="X57" s="37"/>
      <c r="Y57" s="37"/>
      <c r="Z57" s="37"/>
      <c r="AA57" s="37"/>
      <c r="AB57" s="37"/>
      <c r="AC57" s="37"/>
      <c r="AD57" s="37"/>
      <c r="AE57" s="38"/>
      <c r="AF57" s="284"/>
      <c r="AG57" s="286"/>
      <c r="AH57" s="284"/>
      <c r="AI57" s="286"/>
      <c r="AJ57" s="284" t="s">
        <v>130</v>
      </c>
      <c r="AK57" s="286"/>
      <c r="AL57" s="284"/>
      <c r="AM57" s="286"/>
      <c r="AN57" s="284"/>
      <c r="AO57" s="286"/>
      <c r="AP57" s="284" t="s">
        <v>131</v>
      </c>
      <c r="AQ57" s="285"/>
      <c r="AR57" s="285"/>
      <c r="AS57" s="285"/>
      <c r="AT57" s="285"/>
      <c r="AU57" s="285"/>
      <c r="AV57" s="285"/>
      <c r="AW57" s="286"/>
      <c r="AX57" s="287" t="s">
        <v>132</v>
      </c>
      <c r="AY57" s="287"/>
      <c r="AZ57" s="287"/>
      <c r="BA57" s="287"/>
      <c r="BB57" s="287"/>
      <c r="BC57" s="287"/>
      <c r="BD57" s="287"/>
      <c r="BE57" s="287"/>
      <c r="BF57" s="288" t="s">
        <v>430</v>
      </c>
      <c r="BG57" s="288"/>
      <c r="BH57" s="288"/>
      <c r="BI57" s="288"/>
      <c r="BJ57" s="288"/>
      <c r="BK57" s="288"/>
      <c r="BL57" s="288"/>
      <c r="BM57" s="288"/>
      <c r="BN57" s="288"/>
      <c r="BO57" s="10"/>
    </row>
    <row r="58" spans="1:80" s="8" customFormat="1">
      <c r="A58" s="9"/>
      <c r="B58" s="32" t="s">
        <v>455</v>
      </c>
      <c r="C58" s="42"/>
      <c r="D58" s="42"/>
      <c r="E58" s="42"/>
      <c r="F58" s="42"/>
      <c r="G58" s="42"/>
      <c r="H58" s="42"/>
      <c r="I58" s="42"/>
      <c r="J58" s="32"/>
      <c r="K58" s="42"/>
      <c r="L58" s="42"/>
      <c r="M58" s="42"/>
      <c r="N58" s="42"/>
      <c r="O58" s="42"/>
      <c r="P58" s="42"/>
      <c r="Q58" s="10"/>
      <c r="R58" s="38">
        <v>2</v>
      </c>
      <c r="S58" s="36" t="s">
        <v>431</v>
      </c>
      <c r="T58" s="37"/>
      <c r="U58" s="37"/>
      <c r="V58" s="37"/>
      <c r="W58" s="37"/>
      <c r="X58" s="37"/>
      <c r="Y58" s="37"/>
      <c r="Z58" s="37"/>
      <c r="AA58" s="37"/>
      <c r="AB58" s="37"/>
      <c r="AC58" s="37"/>
      <c r="AD58" s="37"/>
      <c r="AE58" s="38"/>
      <c r="AF58" s="284"/>
      <c r="AG58" s="286"/>
      <c r="AH58" s="284"/>
      <c r="AI58" s="286"/>
      <c r="AJ58" s="284" t="s">
        <v>130</v>
      </c>
      <c r="AK58" s="286"/>
      <c r="AL58" s="284"/>
      <c r="AM58" s="286"/>
      <c r="AN58" s="284"/>
      <c r="AO58" s="286"/>
      <c r="AP58" s="287" t="s">
        <v>201</v>
      </c>
      <c r="AQ58" s="287"/>
      <c r="AR58" s="287"/>
      <c r="AS58" s="287"/>
      <c r="AT58" s="287"/>
      <c r="AU58" s="287"/>
      <c r="AV58" s="287"/>
      <c r="AW58" s="287"/>
      <c r="AX58" s="287" t="s">
        <v>201</v>
      </c>
      <c r="AY58" s="287"/>
      <c r="AZ58" s="287"/>
      <c r="BA58" s="287"/>
      <c r="BB58" s="287"/>
      <c r="BC58" s="287"/>
      <c r="BD58" s="287"/>
      <c r="BE58" s="287"/>
      <c r="BF58" s="288" t="s">
        <v>430</v>
      </c>
      <c r="BG58" s="288"/>
      <c r="BH58" s="288"/>
      <c r="BI58" s="288"/>
      <c r="BJ58" s="288"/>
      <c r="BK58" s="288"/>
      <c r="BL58" s="288"/>
      <c r="BM58" s="288"/>
      <c r="BN58" s="288"/>
      <c r="BO58" s="10"/>
      <c r="BP58" s="11"/>
    </row>
    <row r="59" spans="1:80" s="8" customFormat="1">
      <c r="A59" s="9"/>
      <c r="B59" s="33"/>
      <c r="C59" s="42"/>
      <c r="D59" s="42"/>
      <c r="E59" s="42"/>
      <c r="F59" s="42"/>
      <c r="G59" s="42"/>
      <c r="H59" s="42"/>
      <c r="I59" s="42"/>
      <c r="J59" s="32"/>
      <c r="K59" s="42"/>
      <c r="L59" s="42"/>
      <c r="M59" s="42"/>
      <c r="N59" s="42"/>
      <c r="O59" s="42"/>
      <c r="P59" s="42"/>
      <c r="Q59" s="10"/>
      <c r="R59" s="38">
        <v>3</v>
      </c>
      <c r="S59" s="36" t="s">
        <v>432</v>
      </c>
      <c r="T59" s="37"/>
      <c r="U59" s="37"/>
      <c r="V59" s="37"/>
      <c r="W59" s="37"/>
      <c r="X59" s="37"/>
      <c r="Y59" s="37"/>
      <c r="Z59" s="37"/>
      <c r="AA59" s="37"/>
      <c r="AB59" s="37"/>
      <c r="AC59" s="37"/>
      <c r="AD59" s="37"/>
      <c r="AE59" s="38"/>
      <c r="AF59" s="284"/>
      <c r="AG59" s="286"/>
      <c r="AH59" s="284"/>
      <c r="AI59" s="286"/>
      <c r="AJ59" s="284" t="s">
        <v>130</v>
      </c>
      <c r="AK59" s="286"/>
      <c r="AL59" s="284"/>
      <c r="AM59" s="286"/>
      <c r="AN59" s="284"/>
      <c r="AO59" s="286"/>
      <c r="AP59" s="284" t="s">
        <v>131</v>
      </c>
      <c r="AQ59" s="285"/>
      <c r="AR59" s="285"/>
      <c r="AS59" s="285"/>
      <c r="AT59" s="285"/>
      <c r="AU59" s="285"/>
      <c r="AV59" s="285"/>
      <c r="AW59" s="286"/>
      <c r="AX59" s="287" t="s">
        <v>132</v>
      </c>
      <c r="AY59" s="287"/>
      <c r="AZ59" s="287"/>
      <c r="BA59" s="287"/>
      <c r="BB59" s="287"/>
      <c r="BC59" s="287"/>
      <c r="BD59" s="287"/>
      <c r="BE59" s="287"/>
      <c r="BF59" s="288" t="s">
        <v>433</v>
      </c>
      <c r="BG59" s="288"/>
      <c r="BH59" s="288"/>
      <c r="BI59" s="288"/>
      <c r="BJ59" s="288"/>
      <c r="BK59" s="288"/>
      <c r="BL59" s="288"/>
      <c r="BM59" s="288"/>
      <c r="BN59" s="288"/>
      <c r="BO59" s="10"/>
    </row>
    <row r="60" spans="1:80" s="8" customFormat="1">
      <c r="A60" s="9"/>
      <c r="B60" s="32"/>
      <c r="C60" s="42"/>
      <c r="D60" s="42"/>
      <c r="E60" s="42"/>
      <c r="F60" s="42"/>
      <c r="G60" s="42"/>
      <c r="H60" s="42"/>
      <c r="I60" s="42"/>
      <c r="J60" s="32"/>
      <c r="K60" s="42"/>
      <c r="L60" s="42"/>
      <c r="M60" s="42"/>
      <c r="N60" s="42"/>
      <c r="O60" s="42"/>
      <c r="P60" s="42"/>
      <c r="Q60" s="10"/>
      <c r="R60" s="38">
        <v>4</v>
      </c>
      <c r="S60" s="36" t="s">
        <v>434</v>
      </c>
      <c r="T60" s="37"/>
      <c r="U60" s="37"/>
      <c r="V60" s="37"/>
      <c r="W60" s="37"/>
      <c r="X60" s="37"/>
      <c r="Y60" s="37"/>
      <c r="Z60" s="37"/>
      <c r="AA60" s="37"/>
      <c r="AB60" s="37"/>
      <c r="AC60" s="37"/>
      <c r="AD60" s="37"/>
      <c r="AE60" s="38"/>
      <c r="AF60" s="284"/>
      <c r="AG60" s="286"/>
      <c r="AH60" s="284"/>
      <c r="AI60" s="286"/>
      <c r="AJ60" s="284" t="s">
        <v>130</v>
      </c>
      <c r="AK60" s="286"/>
      <c r="AL60" s="284"/>
      <c r="AM60" s="286"/>
      <c r="AN60" s="284"/>
      <c r="AO60" s="286"/>
      <c r="AP60" s="284" t="s">
        <v>131</v>
      </c>
      <c r="AQ60" s="285"/>
      <c r="AR60" s="285"/>
      <c r="AS60" s="285"/>
      <c r="AT60" s="285"/>
      <c r="AU60" s="285"/>
      <c r="AV60" s="285"/>
      <c r="AW60" s="286"/>
      <c r="AX60" s="287" t="s">
        <v>132</v>
      </c>
      <c r="AY60" s="287"/>
      <c r="AZ60" s="287"/>
      <c r="BA60" s="287"/>
      <c r="BB60" s="287"/>
      <c r="BC60" s="287"/>
      <c r="BD60" s="287"/>
      <c r="BE60" s="287"/>
      <c r="BF60" s="288" t="s">
        <v>435</v>
      </c>
      <c r="BG60" s="288"/>
      <c r="BH60" s="288"/>
      <c r="BI60" s="288"/>
      <c r="BJ60" s="288"/>
      <c r="BK60" s="288"/>
      <c r="BL60" s="288"/>
      <c r="BM60" s="288"/>
      <c r="BN60" s="288"/>
      <c r="BO60" s="10"/>
      <c r="BP60" s="11"/>
    </row>
    <row r="61" spans="1:80" s="8" customFormat="1">
      <c r="A61" s="9"/>
      <c r="B61" s="33"/>
      <c r="C61" s="42"/>
      <c r="D61" s="42"/>
      <c r="E61" s="42"/>
      <c r="F61" s="42"/>
      <c r="G61" s="42"/>
      <c r="H61" s="42"/>
      <c r="I61" s="42"/>
      <c r="J61" s="32"/>
      <c r="K61" s="42"/>
      <c r="L61" s="42"/>
      <c r="M61" s="42"/>
      <c r="N61" s="42"/>
      <c r="O61" s="42"/>
      <c r="P61" s="42"/>
      <c r="Q61" s="10"/>
      <c r="R61" s="38">
        <v>5</v>
      </c>
      <c r="S61" s="36" t="s">
        <v>456</v>
      </c>
      <c r="T61" s="37"/>
      <c r="U61" s="37"/>
      <c r="V61" s="37"/>
      <c r="W61" s="37"/>
      <c r="X61" s="37"/>
      <c r="Y61" s="37"/>
      <c r="Z61" s="37"/>
      <c r="AA61" s="37"/>
      <c r="AB61" s="37"/>
      <c r="AC61" s="37"/>
      <c r="AD61" s="37"/>
      <c r="AE61" s="38"/>
      <c r="AF61" s="284"/>
      <c r="AG61" s="286"/>
      <c r="AH61" s="284"/>
      <c r="AI61" s="286"/>
      <c r="AJ61" s="284" t="s">
        <v>130</v>
      </c>
      <c r="AK61" s="286"/>
      <c r="AL61" s="284"/>
      <c r="AM61" s="286"/>
      <c r="AN61" s="284"/>
      <c r="AO61" s="286"/>
      <c r="AP61" s="287" t="s">
        <v>176</v>
      </c>
      <c r="AQ61" s="287"/>
      <c r="AR61" s="287"/>
      <c r="AS61" s="287"/>
      <c r="AT61" s="287"/>
      <c r="AU61" s="287"/>
      <c r="AV61" s="287"/>
      <c r="AW61" s="287"/>
      <c r="AX61" s="287" t="s">
        <v>201</v>
      </c>
      <c r="AY61" s="287"/>
      <c r="AZ61" s="287"/>
      <c r="BA61" s="287"/>
      <c r="BB61" s="287"/>
      <c r="BC61" s="287"/>
      <c r="BD61" s="287"/>
      <c r="BE61" s="287"/>
      <c r="BF61" s="288"/>
      <c r="BG61" s="288"/>
      <c r="BH61" s="288"/>
      <c r="BI61" s="288"/>
      <c r="BJ61" s="288"/>
      <c r="BK61" s="288"/>
      <c r="BL61" s="288"/>
      <c r="BM61" s="288"/>
      <c r="BN61" s="288"/>
      <c r="BO61" s="10"/>
    </row>
    <row r="62" spans="1:80" s="8" customFormat="1">
      <c r="A62" s="9"/>
      <c r="B62" s="32"/>
      <c r="C62" s="42"/>
      <c r="D62" s="42"/>
      <c r="E62" s="42"/>
      <c r="F62" s="42"/>
      <c r="G62" s="42"/>
      <c r="H62" s="42"/>
      <c r="I62" s="42"/>
      <c r="J62" s="32"/>
      <c r="K62" s="42"/>
      <c r="L62" s="42"/>
      <c r="M62" s="42"/>
      <c r="N62" s="42"/>
      <c r="O62" s="42"/>
      <c r="P62" s="42"/>
      <c r="Q62" s="10"/>
      <c r="R62" s="38">
        <v>6</v>
      </c>
      <c r="S62" s="36" t="s">
        <v>436</v>
      </c>
      <c r="T62" s="37"/>
      <c r="U62" s="37"/>
      <c r="V62" s="37"/>
      <c r="W62" s="37"/>
      <c r="X62" s="37"/>
      <c r="Y62" s="37"/>
      <c r="Z62" s="37"/>
      <c r="AA62" s="37"/>
      <c r="AB62" s="37"/>
      <c r="AC62" s="37"/>
      <c r="AD62" s="37"/>
      <c r="AE62" s="38"/>
      <c r="AF62" s="284"/>
      <c r="AG62" s="286"/>
      <c r="AH62" s="284"/>
      <c r="AI62" s="286"/>
      <c r="AJ62" s="284" t="s">
        <v>130</v>
      </c>
      <c r="AK62" s="286"/>
      <c r="AL62" s="284"/>
      <c r="AM62" s="286"/>
      <c r="AN62" s="284"/>
      <c r="AO62" s="286"/>
      <c r="AP62" s="284" t="s">
        <v>131</v>
      </c>
      <c r="AQ62" s="285"/>
      <c r="AR62" s="285"/>
      <c r="AS62" s="285"/>
      <c r="AT62" s="285"/>
      <c r="AU62" s="285"/>
      <c r="AV62" s="285"/>
      <c r="AW62" s="286"/>
      <c r="AX62" s="287" t="s">
        <v>132</v>
      </c>
      <c r="AY62" s="287"/>
      <c r="AZ62" s="287"/>
      <c r="BA62" s="287"/>
      <c r="BB62" s="287"/>
      <c r="BC62" s="287"/>
      <c r="BD62" s="287"/>
      <c r="BE62" s="287"/>
      <c r="BF62" s="288" t="s">
        <v>437</v>
      </c>
      <c r="BG62" s="288"/>
      <c r="BH62" s="288"/>
      <c r="BI62" s="288"/>
      <c r="BJ62" s="288"/>
      <c r="BK62" s="288"/>
      <c r="BL62" s="288"/>
      <c r="BM62" s="288"/>
      <c r="BN62" s="288"/>
      <c r="BO62" s="10"/>
      <c r="BP62" s="11"/>
    </row>
    <row r="63" spans="1:80" s="8" customFormat="1">
      <c r="A63" s="9"/>
      <c r="B63" s="33"/>
      <c r="C63" s="42"/>
      <c r="D63" s="42"/>
      <c r="E63" s="42"/>
      <c r="F63" s="42"/>
      <c r="G63" s="42"/>
      <c r="H63" s="42"/>
      <c r="I63" s="42"/>
      <c r="J63" s="32"/>
      <c r="K63" s="42"/>
      <c r="L63" s="42"/>
      <c r="M63" s="42"/>
      <c r="N63" s="42"/>
      <c r="O63" s="42"/>
      <c r="P63" s="42"/>
      <c r="Q63" s="10"/>
      <c r="R63" s="38">
        <v>7</v>
      </c>
      <c r="S63" s="36" t="s">
        <v>438</v>
      </c>
      <c r="T63" s="37"/>
      <c r="U63" s="37"/>
      <c r="V63" s="37"/>
      <c r="W63" s="37"/>
      <c r="X63" s="37"/>
      <c r="Y63" s="37"/>
      <c r="Z63" s="37"/>
      <c r="AA63" s="37"/>
      <c r="AB63" s="37"/>
      <c r="AC63" s="37"/>
      <c r="AD63" s="37"/>
      <c r="AE63" s="38"/>
      <c r="AF63" s="284"/>
      <c r="AG63" s="286"/>
      <c r="AH63" s="284"/>
      <c r="AI63" s="286"/>
      <c r="AJ63" s="284" t="s">
        <v>130</v>
      </c>
      <c r="AK63" s="286"/>
      <c r="AL63" s="284"/>
      <c r="AM63" s="286"/>
      <c r="AN63" s="284"/>
      <c r="AO63" s="286"/>
      <c r="AP63" s="284" t="s">
        <v>131</v>
      </c>
      <c r="AQ63" s="285"/>
      <c r="AR63" s="285"/>
      <c r="AS63" s="285"/>
      <c r="AT63" s="285"/>
      <c r="AU63" s="285"/>
      <c r="AV63" s="285"/>
      <c r="AW63" s="286"/>
      <c r="AX63" s="287" t="s">
        <v>132</v>
      </c>
      <c r="AY63" s="287"/>
      <c r="AZ63" s="287"/>
      <c r="BA63" s="287"/>
      <c r="BB63" s="287"/>
      <c r="BC63" s="287"/>
      <c r="BD63" s="287"/>
      <c r="BE63" s="287"/>
      <c r="BF63" s="289" t="s">
        <v>457</v>
      </c>
      <c r="BG63" s="290"/>
      <c r="BH63" s="290"/>
      <c r="BI63" s="290"/>
      <c r="BJ63" s="290"/>
      <c r="BK63" s="290"/>
      <c r="BL63" s="290"/>
      <c r="BM63" s="290"/>
      <c r="BN63" s="291"/>
      <c r="BO63" s="10"/>
    </row>
    <row r="64" spans="1:80" s="8" customFormat="1" ht="14.65" customHeight="1">
      <c r="A64" s="9"/>
      <c r="B64" s="32"/>
      <c r="C64" s="42"/>
      <c r="D64" s="42"/>
      <c r="E64" s="42"/>
      <c r="F64" s="42"/>
      <c r="G64" s="42"/>
      <c r="H64" s="42"/>
      <c r="I64" s="42"/>
      <c r="J64" s="32"/>
      <c r="K64" s="42"/>
      <c r="L64" s="42"/>
      <c r="M64" s="42"/>
      <c r="N64" s="42"/>
      <c r="O64" s="42"/>
      <c r="P64" s="42"/>
      <c r="Q64" s="10"/>
      <c r="R64" s="38">
        <v>8</v>
      </c>
      <c r="S64" s="36" t="s">
        <v>440</v>
      </c>
      <c r="T64" s="37"/>
      <c r="U64" s="37"/>
      <c r="V64" s="37"/>
      <c r="W64" s="37"/>
      <c r="X64" s="37"/>
      <c r="Y64" s="37"/>
      <c r="Z64" s="37"/>
      <c r="AA64" s="37"/>
      <c r="AB64" s="37"/>
      <c r="AC64" s="37"/>
      <c r="AD64" s="37"/>
      <c r="AE64" s="38"/>
      <c r="AF64" s="284"/>
      <c r="AG64" s="286"/>
      <c r="AH64" s="284"/>
      <c r="AI64" s="286"/>
      <c r="AJ64" s="284" t="s">
        <v>130</v>
      </c>
      <c r="AK64" s="286"/>
      <c r="AL64" s="284"/>
      <c r="AM64" s="286"/>
      <c r="AN64" s="284"/>
      <c r="AO64" s="286"/>
      <c r="AP64" s="334" t="s">
        <v>131</v>
      </c>
      <c r="AQ64" s="335"/>
      <c r="AR64" s="335"/>
      <c r="AS64" s="335"/>
      <c r="AT64" s="335"/>
      <c r="AU64" s="335"/>
      <c r="AV64" s="335"/>
      <c r="AW64" s="336"/>
      <c r="AX64" s="287" t="s">
        <v>140</v>
      </c>
      <c r="AY64" s="287"/>
      <c r="AZ64" s="287"/>
      <c r="BA64" s="287"/>
      <c r="BB64" s="287"/>
      <c r="BC64" s="287"/>
      <c r="BD64" s="287"/>
      <c r="BE64" s="287"/>
      <c r="BF64" s="289" t="s">
        <v>441</v>
      </c>
      <c r="BG64" s="290"/>
      <c r="BH64" s="290"/>
      <c r="BI64" s="290"/>
      <c r="BJ64" s="290"/>
      <c r="BK64" s="290"/>
      <c r="BL64" s="290"/>
      <c r="BM64" s="290"/>
      <c r="BN64" s="291"/>
      <c r="BO64" s="10"/>
      <c r="BP64" s="11"/>
    </row>
    <row r="65" spans="1:68" s="8" customFormat="1">
      <c r="A65" s="9"/>
      <c r="B65" s="32"/>
      <c r="C65" s="42"/>
      <c r="D65" s="42"/>
      <c r="E65" s="42"/>
      <c r="F65" s="42"/>
      <c r="G65" s="42"/>
      <c r="H65" s="42"/>
      <c r="I65" s="42"/>
      <c r="J65" s="29" t="s">
        <v>458</v>
      </c>
      <c r="K65" s="30"/>
      <c r="L65" s="30"/>
      <c r="M65" s="30"/>
      <c r="N65" s="30"/>
      <c r="O65" s="30"/>
      <c r="P65" s="30"/>
      <c r="Q65" s="31"/>
      <c r="R65" s="38">
        <v>1</v>
      </c>
      <c r="S65" s="36" t="s">
        <v>459</v>
      </c>
      <c r="T65" s="37"/>
      <c r="U65" s="37"/>
      <c r="V65" s="37"/>
      <c r="W65" s="37"/>
      <c r="X65" s="37"/>
      <c r="Y65" s="37"/>
      <c r="Z65" s="37"/>
      <c r="AA65" s="37"/>
      <c r="AB65" s="37"/>
      <c r="AC65" s="37"/>
      <c r="AD65" s="37"/>
      <c r="AE65" s="38"/>
      <c r="AF65" s="284"/>
      <c r="AG65" s="286"/>
      <c r="AH65" s="284"/>
      <c r="AI65" s="286"/>
      <c r="AJ65" s="284" t="s">
        <v>130</v>
      </c>
      <c r="AK65" s="286"/>
      <c r="AL65" s="284"/>
      <c r="AM65" s="286"/>
      <c r="AN65" s="284"/>
      <c r="AO65" s="286"/>
      <c r="AP65" s="284" t="s">
        <v>131</v>
      </c>
      <c r="AQ65" s="285"/>
      <c r="AR65" s="285"/>
      <c r="AS65" s="285"/>
      <c r="AT65" s="285"/>
      <c r="AU65" s="285"/>
      <c r="AV65" s="285"/>
      <c r="AW65" s="286"/>
      <c r="AX65" s="287" t="s">
        <v>132</v>
      </c>
      <c r="AY65" s="287"/>
      <c r="AZ65" s="287"/>
      <c r="BA65" s="287"/>
      <c r="BB65" s="287"/>
      <c r="BC65" s="287"/>
      <c r="BD65" s="287"/>
      <c r="BE65" s="287"/>
      <c r="BF65" s="289" t="s">
        <v>460</v>
      </c>
      <c r="BG65" s="290"/>
      <c r="BH65" s="290"/>
      <c r="BI65" s="290"/>
      <c r="BJ65" s="290"/>
      <c r="BK65" s="290"/>
      <c r="BL65" s="290"/>
      <c r="BM65" s="290"/>
      <c r="BN65" s="291"/>
      <c r="BO65" s="10"/>
      <c r="BP65" s="11"/>
    </row>
    <row r="66" spans="1:68" s="8" customFormat="1">
      <c r="A66" s="9"/>
      <c r="B66" s="32"/>
      <c r="C66" s="42"/>
      <c r="D66" s="42"/>
      <c r="E66" s="42"/>
      <c r="F66" s="42"/>
      <c r="G66" s="42"/>
      <c r="H66" s="42"/>
      <c r="I66" s="42"/>
      <c r="J66" s="32"/>
      <c r="K66" s="42"/>
      <c r="L66" s="42"/>
      <c r="M66" s="42"/>
      <c r="N66" s="42"/>
      <c r="O66" s="42"/>
      <c r="P66" s="42"/>
      <c r="Q66" s="10"/>
      <c r="R66" s="38">
        <v>2</v>
      </c>
      <c r="S66" s="36" t="s">
        <v>431</v>
      </c>
      <c r="T66" s="37"/>
      <c r="U66" s="37"/>
      <c r="V66" s="37"/>
      <c r="W66" s="37"/>
      <c r="X66" s="37"/>
      <c r="Y66" s="37"/>
      <c r="Z66" s="37"/>
      <c r="AA66" s="37"/>
      <c r="AB66" s="37"/>
      <c r="AC66" s="37"/>
      <c r="AD66" s="37"/>
      <c r="AE66" s="38"/>
      <c r="AF66" s="284"/>
      <c r="AG66" s="286"/>
      <c r="AH66" s="284"/>
      <c r="AI66" s="286"/>
      <c r="AJ66" s="284" t="s">
        <v>130</v>
      </c>
      <c r="AK66" s="286"/>
      <c r="AL66" s="284"/>
      <c r="AM66" s="286"/>
      <c r="AN66" s="284"/>
      <c r="AO66" s="286"/>
      <c r="AP66" s="287" t="s">
        <v>201</v>
      </c>
      <c r="AQ66" s="287"/>
      <c r="AR66" s="287"/>
      <c r="AS66" s="287"/>
      <c r="AT66" s="287"/>
      <c r="AU66" s="287"/>
      <c r="AV66" s="287"/>
      <c r="AW66" s="287"/>
      <c r="AX66" s="287" t="s">
        <v>201</v>
      </c>
      <c r="AY66" s="287"/>
      <c r="AZ66" s="287"/>
      <c r="BA66" s="287"/>
      <c r="BB66" s="287"/>
      <c r="BC66" s="287"/>
      <c r="BD66" s="287"/>
      <c r="BE66" s="287"/>
      <c r="BF66" s="289" t="s">
        <v>461</v>
      </c>
      <c r="BG66" s="290"/>
      <c r="BH66" s="290"/>
      <c r="BI66" s="290"/>
      <c r="BJ66" s="290"/>
      <c r="BK66" s="290"/>
      <c r="BL66" s="290"/>
      <c r="BM66" s="290"/>
      <c r="BN66" s="291"/>
      <c r="BO66" s="10"/>
      <c r="BP66" s="11"/>
    </row>
    <row r="67" spans="1:68" s="8" customFormat="1">
      <c r="A67" s="9"/>
      <c r="B67" s="32"/>
      <c r="C67" s="42"/>
      <c r="D67" s="42"/>
      <c r="E67" s="42"/>
      <c r="F67" s="42"/>
      <c r="G67" s="42"/>
      <c r="H67" s="42"/>
      <c r="I67" s="42"/>
      <c r="J67" s="32"/>
      <c r="K67" s="42"/>
      <c r="L67" s="42"/>
      <c r="M67" s="42"/>
      <c r="N67" s="42"/>
      <c r="O67" s="42"/>
      <c r="P67" s="42"/>
      <c r="Q67" s="10"/>
      <c r="R67" s="38">
        <v>3</v>
      </c>
      <c r="S67" s="36" t="s">
        <v>462</v>
      </c>
      <c r="T67" s="37"/>
      <c r="U67" s="37"/>
      <c r="V67" s="37"/>
      <c r="W67" s="37"/>
      <c r="X67" s="37"/>
      <c r="Y67" s="37"/>
      <c r="Z67" s="37"/>
      <c r="AA67" s="37"/>
      <c r="AB67" s="37"/>
      <c r="AC67" s="37"/>
      <c r="AD67" s="37"/>
      <c r="AE67" s="38"/>
      <c r="AF67" s="284"/>
      <c r="AG67" s="286"/>
      <c r="AH67" s="284"/>
      <c r="AI67" s="286"/>
      <c r="AJ67" s="284" t="s">
        <v>130</v>
      </c>
      <c r="AK67" s="286"/>
      <c r="AL67" s="284"/>
      <c r="AM67" s="286"/>
      <c r="AN67" s="284"/>
      <c r="AO67" s="286"/>
      <c r="AP67" s="284" t="s">
        <v>131</v>
      </c>
      <c r="AQ67" s="285"/>
      <c r="AR67" s="285"/>
      <c r="AS67" s="285"/>
      <c r="AT67" s="285"/>
      <c r="AU67" s="285"/>
      <c r="AV67" s="285"/>
      <c r="AW67" s="286"/>
      <c r="AX67" s="287" t="s">
        <v>132</v>
      </c>
      <c r="AY67" s="287"/>
      <c r="AZ67" s="287"/>
      <c r="BA67" s="287"/>
      <c r="BB67" s="287"/>
      <c r="BC67" s="287"/>
      <c r="BD67" s="287"/>
      <c r="BE67" s="287"/>
      <c r="BF67" s="288"/>
      <c r="BG67" s="288"/>
      <c r="BH67" s="288"/>
      <c r="BI67" s="288"/>
      <c r="BJ67" s="288"/>
      <c r="BK67" s="288"/>
      <c r="BL67" s="288"/>
      <c r="BM67" s="288"/>
      <c r="BN67" s="288"/>
      <c r="BO67" s="10"/>
      <c r="BP67" s="11"/>
    </row>
    <row r="68" spans="1:68" s="8" customFormat="1" ht="14.65" customHeight="1">
      <c r="A68" s="9"/>
      <c r="B68" s="33"/>
      <c r="C68" s="42"/>
      <c r="D68" s="42"/>
      <c r="E68" s="42"/>
      <c r="F68" s="42"/>
      <c r="G68" s="42"/>
      <c r="H68" s="42"/>
      <c r="I68" s="42"/>
      <c r="J68" s="32"/>
      <c r="K68" s="42"/>
      <c r="L68" s="42"/>
      <c r="M68" s="42"/>
      <c r="N68" s="42"/>
      <c r="O68" s="42"/>
      <c r="P68" s="42"/>
      <c r="Q68" s="10"/>
      <c r="R68" s="38">
        <v>4</v>
      </c>
      <c r="S68" s="36" t="s">
        <v>463</v>
      </c>
      <c r="T68" s="37"/>
      <c r="U68" s="37"/>
      <c r="V68" s="37"/>
      <c r="W68" s="37"/>
      <c r="X68" s="37"/>
      <c r="Y68" s="37"/>
      <c r="Z68" s="37"/>
      <c r="AA68" s="37"/>
      <c r="AB68" s="37"/>
      <c r="AC68" s="37"/>
      <c r="AD68" s="37"/>
      <c r="AE68" s="38"/>
      <c r="AF68" s="284"/>
      <c r="AG68" s="286"/>
      <c r="AH68" s="284"/>
      <c r="AI68" s="286"/>
      <c r="AJ68" s="284" t="s">
        <v>130</v>
      </c>
      <c r="AK68" s="286"/>
      <c r="AL68" s="284"/>
      <c r="AM68" s="286"/>
      <c r="AN68" s="284"/>
      <c r="AO68" s="286"/>
      <c r="AP68" s="287" t="s">
        <v>201</v>
      </c>
      <c r="AQ68" s="287"/>
      <c r="AR68" s="287"/>
      <c r="AS68" s="287"/>
      <c r="AT68" s="287"/>
      <c r="AU68" s="287"/>
      <c r="AV68" s="287"/>
      <c r="AW68" s="287"/>
      <c r="AX68" s="287" t="s">
        <v>201</v>
      </c>
      <c r="AY68" s="287"/>
      <c r="AZ68" s="287"/>
      <c r="BA68" s="287"/>
      <c r="BB68" s="287"/>
      <c r="BC68" s="287"/>
      <c r="BD68" s="287"/>
      <c r="BE68" s="287"/>
      <c r="BF68" s="288" t="s">
        <v>464</v>
      </c>
      <c r="BG68" s="288"/>
      <c r="BH68" s="288"/>
      <c r="BI68" s="288"/>
      <c r="BJ68" s="288"/>
      <c r="BK68" s="288"/>
      <c r="BL68" s="288"/>
      <c r="BM68" s="288"/>
      <c r="BN68" s="288"/>
      <c r="BO68" s="10"/>
    </row>
    <row r="69" spans="1:68" s="8" customFormat="1" ht="27" customHeight="1">
      <c r="A69" s="9"/>
      <c r="B69" s="32"/>
      <c r="C69" s="42"/>
      <c r="D69" s="42"/>
      <c r="E69" s="42"/>
      <c r="F69" s="42"/>
      <c r="G69" s="42"/>
      <c r="H69" s="42"/>
      <c r="I69" s="42"/>
      <c r="J69" s="32"/>
      <c r="K69" s="42"/>
      <c r="L69" s="42"/>
      <c r="M69" s="42"/>
      <c r="N69" s="42"/>
      <c r="O69" s="42"/>
      <c r="P69" s="42"/>
      <c r="Q69" s="10"/>
      <c r="R69" s="38">
        <v>5</v>
      </c>
      <c r="S69" s="36" t="s">
        <v>465</v>
      </c>
      <c r="T69" s="37"/>
      <c r="U69" s="37"/>
      <c r="V69" s="37"/>
      <c r="W69" s="37"/>
      <c r="X69" s="37"/>
      <c r="Y69" s="37"/>
      <c r="Z69" s="37"/>
      <c r="AA69" s="37"/>
      <c r="AB69" s="37"/>
      <c r="AC69" s="37"/>
      <c r="AD69" s="37"/>
      <c r="AE69" s="38"/>
      <c r="AF69" s="284"/>
      <c r="AG69" s="286"/>
      <c r="AH69" s="284"/>
      <c r="AI69" s="286"/>
      <c r="AJ69" s="284" t="s">
        <v>130</v>
      </c>
      <c r="AK69" s="286"/>
      <c r="AL69" s="284"/>
      <c r="AM69" s="286"/>
      <c r="AN69" s="284"/>
      <c r="AO69" s="286"/>
      <c r="AP69" s="333" t="s">
        <v>466</v>
      </c>
      <c r="AQ69" s="285"/>
      <c r="AR69" s="285"/>
      <c r="AS69" s="285"/>
      <c r="AT69" s="285"/>
      <c r="AU69" s="285"/>
      <c r="AV69" s="285"/>
      <c r="AW69" s="286"/>
      <c r="AX69" s="284" t="s">
        <v>201</v>
      </c>
      <c r="AY69" s="285"/>
      <c r="AZ69" s="285"/>
      <c r="BA69" s="285"/>
      <c r="BB69" s="285"/>
      <c r="BC69" s="285"/>
      <c r="BD69" s="285"/>
      <c r="BE69" s="286"/>
      <c r="BF69" s="289"/>
      <c r="BG69" s="290"/>
      <c r="BH69" s="290"/>
      <c r="BI69" s="290"/>
      <c r="BJ69" s="290"/>
      <c r="BK69" s="290"/>
      <c r="BL69" s="290"/>
      <c r="BM69" s="290"/>
      <c r="BN69" s="291"/>
      <c r="BO69" s="10"/>
      <c r="BP69" s="11"/>
    </row>
    <row r="70" spans="1:68" s="8" customFormat="1">
      <c r="A70" s="9"/>
      <c r="B70" s="33"/>
      <c r="C70" s="42"/>
      <c r="D70" s="42"/>
      <c r="E70" s="42"/>
      <c r="F70" s="42"/>
      <c r="G70" s="42"/>
      <c r="H70" s="42"/>
      <c r="I70" s="42"/>
      <c r="J70" s="32"/>
      <c r="K70" s="42"/>
      <c r="L70" s="42"/>
      <c r="M70" s="42"/>
      <c r="N70" s="42"/>
      <c r="O70" s="42"/>
      <c r="P70" s="42"/>
      <c r="Q70" s="10"/>
      <c r="R70" s="38">
        <v>6</v>
      </c>
      <c r="S70" s="36" t="s">
        <v>436</v>
      </c>
      <c r="T70" s="37"/>
      <c r="U70" s="37"/>
      <c r="V70" s="37"/>
      <c r="W70" s="37"/>
      <c r="X70" s="37"/>
      <c r="Y70" s="37"/>
      <c r="Z70" s="37"/>
      <c r="AA70" s="37"/>
      <c r="AB70" s="37"/>
      <c r="AC70" s="37"/>
      <c r="AD70" s="37"/>
      <c r="AE70" s="38"/>
      <c r="AF70" s="284"/>
      <c r="AG70" s="286"/>
      <c r="AH70" s="284"/>
      <c r="AI70" s="286"/>
      <c r="AJ70" s="284" t="s">
        <v>130</v>
      </c>
      <c r="AK70" s="286"/>
      <c r="AL70" s="284"/>
      <c r="AM70" s="286"/>
      <c r="AN70" s="284"/>
      <c r="AO70" s="286"/>
      <c r="AP70" s="284" t="s">
        <v>131</v>
      </c>
      <c r="AQ70" s="285"/>
      <c r="AR70" s="285"/>
      <c r="AS70" s="285"/>
      <c r="AT70" s="285"/>
      <c r="AU70" s="285"/>
      <c r="AV70" s="285"/>
      <c r="AW70" s="286"/>
      <c r="AX70" s="287" t="s">
        <v>132</v>
      </c>
      <c r="AY70" s="287"/>
      <c r="AZ70" s="287"/>
      <c r="BA70" s="287"/>
      <c r="BB70" s="287"/>
      <c r="BC70" s="287"/>
      <c r="BD70" s="287"/>
      <c r="BE70" s="287"/>
      <c r="BF70" s="288" t="s">
        <v>467</v>
      </c>
      <c r="BG70" s="288"/>
      <c r="BH70" s="288"/>
      <c r="BI70" s="288"/>
      <c r="BJ70" s="288"/>
      <c r="BK70" s="288"/>
      <c r="BL70" s="288"/>
      <c r="BM70" s="288"/>
      <c r="BN70" s="288"/>
      <c r="BO70" s="10"/>
    </row>
    <row r="71" spans="1:68" s="8" customFormat="1" ht="14.65" customHeight="1">
      <c r="A71" s="9"/>
      <c r="B71" s="32"/>
      <c r="C71" s="42"/>
      <c r="D71" s="42"/>
      <c r="E71" s="42"/>
      <c r="F71" s="42"/>
      <c r="G71" s="42"/>
      <c r="H71" s="42"/>
      <c r="I71" s="42"/>
      <c r="J71" s="48"/>
      <c r="K71" s="34"/>
      <c r="L71" s="34"/>
      <c r="M71" s="34"/>
      <c r="N71" s="34"/>
      <c r="O71" s="34"/>
      <c r="P71" s="34"/>
      <c r="Q71" s="35"/>
      <c r="R71" s="38">
        <v>7</v>
      </c>
      <c r="S71" s="36" t="s">
        <v>449</v>
      </c>
      <c r="T71" s="37"/>
      <c r="U71" s="37"/>
      <c r="V71" s="37"/>
      <c r="W71" s="37"/>
      <c r="X71" s="37"/>
      <c r="Y71" s="37"/>
      <c r="Z71" s="37"/>
      <c r="AA71" s="37"/>
      <c r="AB71" s="37"/>
      <c r="AC71" s="37"/>
      <c r="AD71" s="37"/>
      <c r="AE71" s="38"/>
      <c r="AF71" s="284"/>
      <c r="AG71" s="286"/>
      <c r="AH71" s="284"/>
      <c r="AI71" s="286"/>
      <c r="AJ71" s="284" t="s">
        <v>130</v>
      </c>
      <c r="AK71" s="286"/>
      <c r="AL71" s="284"/>
      <c r="AM71" s="286"/>
      <c r="AN71" s="284"/>
      <c r="AO71" s="286"/>
      <c r="AP71" s="334" t="s">
        <v>468</v>
      </c>
      <c r="AQ71" s="335"/>
      <c r="AR71" s="335"/>
      <c r="AS71" s="335"/>
      <c r="AT71" s="335"/>
      <c r="AU71" s="335"/>
      <c r="AV71" s="335"/>
      <c r="AW71" s="336"/>
      <c r="AX71" s="287" t="s">
        <v>140</v>
      </c>
      <c r="AY71" s="287"/>
      <c r="AZ71" s="287"/>
      <c r="BA71" s="287"/>
      <c r="BB71" s="287"/>
      <c r="BC71" s="287"/>
      <c r="BD71" s="287"/>
      <c r="BE71" s="287"/>
      <c r="BF71" s="288"/>
      <c r="BG71" s="288"/>
      <c r="BH71" s="288"/>
      <c r="BI71" s="288"/>
      <c r="BJ71" s="288"/>
      <c r="BK71" s="288"/>
      <c r="BL71" s="288"/>
      <c r="BM71" s="288"/>
      <c r="BN71" s="288"/>
      <c r="BO71" s="10"/>
      <c r="BP71" s="11"/>
    </row>
    <row r="72" spans="1:68" s="8" customFormat="1" ht="27" customHeight="1">
      <c r="A72" s="9"/>
      <c r="B72" s="33"/>
      <c r="C72" s="42"/>
      <c r="D72" s="42"/>
      <c r="E72" s="42"/>
      <c r="F72" s="42"/>
      <c r="G72" s="42"/>
      <c r="H72" s="42"/>
      <c r="I72" s="42"/>
      <c r="J72" s="32" t="s">
        <v>469</v>
      </c>
      <c r="K72" s="42"/>
      <c r="L72" s="42"/>
      <c r="M72" s="42"/>
      <c r="N72" s="42"/>
      <c r="O72" s="42"/>
      <c r="P72" s="42"/>
      <c r="Q72" s="10"/>
      <c r="R72" s="38">
        <v>1</v>
      </c>
      <c r="S72" s="36" t="s">
        <v>470</v>
      </c>
      <c r="T72" s="37"/>
      <c r="U72" s="37"/>
      <c r="V72" s="37"/>
      <c r="W72" s="37"/>
      <c r="X72" s="37"/>
      <c r="Y72" s="37"/>
      <c r="Z72" s="37"/>
      <c r="AA72" s="37"/>
      <c r="AB72" s="37"/>
      <c r="AC72" s="37"/>
      <c r="AD72" s="37"/>
      <c r="AE72" s="38"/>
      <c r="AF72" s="284"/>
      <c r="AG72" s="286"/>
      <c r="AH72" s="284"/>
      <c r="AI72" s="286"/>
      <c r="AJ72" s="284" t="s">
        <v>130</v>
      </c>
      <c r="AK72" s="286"/>
      <c r="AL72" s="284"/>
      <c r="AM72" s="286"/>
      <c r="AN72" s="284"/>
      <c r="AO72" s="286"/>
      <c r="AP72" s="333" t="s">
        <v>466</v>
      </c>
      <c r="AQ72" s="285"/>
      <c r="AR72" s="285"/>
      <c r="AS72" s="285"/>
      <c r="AT72" s="285"/>
      <c r="AU72" s="285"/>
      <c r="AV72" s="285"/>
      <c r="AW72" s="286"/>
      <c r="AX72" s="284" t="s">
        <v>201</v>
      </c>
      <c r="AY72" s="285"/>
      <c r="AZ72" s="285"/>
      <c r="BA72" s="285"/>
      <c r="BB72" s="285"/>
      <c r="BC72" s="285"/>
      <c r="BD72" s="285"/>
      <c r="BE72" s="286"/>
      <c r="BF72" s="288"/>
      <c r="BG72" s="288"/>
      <c r="BH72" s="288"/>
      <c r="BI72" s="288"/>
      <c r="BJ72" s="288"/>
      <c r="BK72" s="288"/>
      <c r="BL72" s="288"/>
      <c r="BM72" s="288"/>
      <c r="BN72" s="288"/>
      <c r="BO72" s="10"/>
    </row>
    <row r="73" spans="1:68" s="8" customFormat="1">
      <c r="A73" s="9"/>
      <c r="B73" s="32"/>
      <c r="C73" s="42"/>
      <c r="D73" s="42"/>
      <c r="E73" s="42"/>
      <c r="F73" s="42"/>
      <c r="G73" s="42"/>
      <c r="H73" s="42"/>
      <c r="I73" s="42"/>
      <c r="J73" s="32"/>
      <c r="K73" s="42"/>
      <c r="L73" s="42"/>
      <c r="M73" s="42"/>
      <c r="N73" s="42"/>
      <c r="O73" s="42"/>
      <c r="P73" s="42"/>
      <c r="Q73" s="10"/>
      <c r="R73" s="38">
        <v>2</v>
      </c>
      <c r="S73" s="36" t="s">
        <v>471</v>
      </c>
      <c r="T73" s="37"/>
      <c r="U73" s="37"/>
      <c r="V73" s="37"/>
      <c r="W73" s="37"/>
      <c r="X73" s="37"/>
      <c r="Y73" s="37"/>
      <c r="Z73" s="37"/>
      <c r="AA73" s="37"/>
      <c r="AB73" s="37"/>
      <c r="AC73" s="37"/>
      <c r="AD73" s="37"/>
      <c r="AE73" s="38"/>
      <c r="AF73" s="284"/>
      <c r="AG73" s="286"/>
      <c r="AH73" s="284"/>
      <c r="AI73" s="286"/>
      <c r="AJ73" s="284" t="s">
        <v>130</v>
      </c>
      <c r="AK73" s="286"/>
      <c r="AL73" s="284"/>
      <c r="AM73" s="286"/>
      <c r="AN73" s="284"/>
      <c r="AO73" s="286"/>
      <c r="AP73" s="284" t="s">
        <v>131</v>
      </c>
      <c r="AQ73" s="285"/>
      <c r="AR73" s="285"/>
      <c r="AS73" s="285"/>
      <c r="AT73" s="285"/>
      <c r="AU73" s="285"/>
      <c r="AV73" s="285"/>
      <c r="AW73" s="286"/>
      <c r="AX73" s="287" t="s">
        <v>132</v>
      </c>
      <c r="AY73" s="287"/>
      <c r="AZ73" s="287"/>
      <c r="BA73" s="287"/>
      <c r="BB73" s="287"/>
      <c r="BC73" s="287"/>
      <c r="BD73" s="287"/>
      <c r="BE73" s="287"/>
      <c r="BF73" s="288"/>
      <c r="BG73" s="288"/>
      <c r="BH73" s="288"/>
      <c r="BI73" s="288"/>
      <c r="BJ73" s="288"/>
      <c r="BK73" s="288"/>
      <c r="BL73" s="288"/>
      <c r="BM73" s="288"/>
      <c r="BN73" s="288"/>
      <c r="BO73" s="10"/>
      <c r="BP73" s="11"/>
    </row>
    <row r="74" spans="1:68" s="8" customFormat="1">
      <c r="A74" s="9"/>
      <c r="B74" s="95" t="s">
        <v>472</v>
      </c>
      <c r="C74" s="96"/>
      <c r="D74" s="96"/>
      <c r="E74" s="96"/>
      <c r="F74" s="96"/>
      <c r="G74" s="96"/>
      <c r="H74" s="96"/>
      <c r="I74" s="96"/>
      <c r="J74" s="97" t="s">
        <v>473</v>
      </c>
      <c r="K74" s="96"/>
      <c r="L74" s="96"/>
      <c r="M74" s="96"/>
      <c r="N74" s="96"/>
      <c r="O74" s="96"/>
      <c r="P74" s="96"/>
      <c r="Q74" s="98"/>
      <c r="R74" s="67"/>
      <c r="S74" s="65"/>
      <c r="T74" s="66"/>
      <c r="U74" s="66"/>
      <c r="V74" s="66"/>
      <c r="W74" s="66"/>
      <c r="X74" s="66"/>
      <c r="Y74" s="66"/>
      <c r="Z74" s="66"/>
      <c r="AA74" s="66"/>
      <c r="AB74" s="66"/>
      <c r="AC74" s="66"/>
      <c r="AD74" s="66"/>
      <c r="AE74" s="67"/>
      <c r="AF74" s="324"/>
      <c r="AG74" s="325"/>
      <c r="AH74" s="324"/>
      <c r="AI74" s="325"/>
      <c r="AJ74" s="324"/>
      <c r="AK74" s="325"/>
      <c r="AL74" s="324"/>
      <c r="AM74" s="325"/>
      <c r="AN74" s="324"/>
      <c r="AO74" s="325"/>
      <c r="AP74" s="324"/>
      <c r="AQ74" s="332"/>
      <c r="AR74" s="332"/>
      <c r="AS74" s="332"/>
      <c r="AT74" s="332"/>
      <c r="AU74" s="332"/>
      <c r="AV74" s="332"/>
      <c r="AW74" s="325"/>
      <c r="AX74" s="324"/>
      <c r="AY74" s="332"/>
      <c r="AZ74" s="332"/>
      <c r="BA74" s="332"/>
      <c r="BB74" s="332"/>
      <c r="BC74" s="332"/>
      <c r="BD74" s="332"/>
      <c r="BE74" s="325"/>
      <c r="BF74" s="331"/>
      <c r="BG74" s="331"/>
      <c r="BH74" s="331"/>
      <c r="BI74" s="331"/>
      <c r="BJ74" s="331"/>
      <c r="BK74" s="331"/>
      <c r="BL74" s="331"/>
      <c r="BM74" s="331"/>
      <c r="BN74" s="331"/>
      <c r="BO74" s="10"/>
    </row>
    <row r="75" spans="1:68" s="8" customFormat="1">
      <c r="A75" s="9"/>
      <c r="B75" s="99" t="s">
        <v>474</v>
      </c>
      <c r="C75" s="100"/>
      <c r="D75" s="100"/>
      <c r="E75" s="100"/>
      <c r="F75" s="100"/>
      <c r="G75" s="100"/>
      <c r="H75" s="100"/>
      <c r="I75" s="100"/>
      <c r="J75" s="101" t="s">
        <v>475</v>
      </c>
      <c r="K75" s="100"/>
      <c r="L75" s="100"/>
      <c r="M75" s="100"/>
      <c r="N75" s="100"/>
      <c r="O75" s="100"/>
      <c r="P75" s="100"/>
      <c r="Q75" s="102"/>
      <c r="R75" s="67"/>
      <c r="S75" s="65"/>
      <c r="T75" s="66"/>
      <c r="U75" s="66"/>
      <c r="V75" s="66"/>
      <c r="W75" s="66"/>
      <c r="X75" s="66"/>
      <c r="Y75" s="66"/>
      <c r="Z75" s="66"/>
      <c r="AA75" s="66"/>
      <c r="AB75" s="66"/>
      <c r="AC75" s="66"/>
      <c r="AD75" s="66"/>
      <c r="AE75" s="67"/>
      <c r="AF75" s="324"/>
      <c r="AG75" s="325"/>
      <c r="AH75" s="324"/>
      <c r="AI75" s="325"/>
      <c r="AJ75" s="324"/>
      <c r="AK75" s="325"/>
      <c r="AL75" s="324"/>
      <c r="AM75" s="325"/>
      <c r="AN75" s="324"/>
      <c r="AO75" s="325"/>
      <c r="AP75" s="324"/>
      <c r="AQ75" s="332"/>
      <c r="AR75" s="332"/>
      <c r="AS75" s="332"/>
      <c r="AT75" s="332"/>
      <c r="AU75" s="332"/>
      <c r="AV75" s="332"/>
      <c r="AW75" s="325"/>
      <c r="AX75" s="330"/>
      <c r="AY75" s="330"/>
      <c r="AZ75" s="330"/>
      <c r="BA75" s="330"/>
      <c r="BB75" s="330"/>
      <c r="BC75" s="330"/>
      <c r="BD75" s="330"/>
      <c r="BE75" s="330"/>
      <c r="BF75" s="331"/>
      <c r="BG75" s="331"/>
      <c r="BH75" s="331"/>
      <c r="BI75" s="331"/>
      <c r="BJ75" s="331"/>
      <c r="BK75" s="331"/>
      <c r="BL75" s="331"/>
      <c r="BM75" s="331"/>
      <c r="BN75" s="331"/>
      <c r="BO75" s="10"/>
      <c r="BP75" s="11"/>
    </row>
    <row r="76" spans="1:68" s="8" customFormat="1">
      <c r="A76" s="9"/>
      <c r="B76" s="103"/>
      <c r="C76" s="104"/>
      <c r="D76" s="104"/>
      <c r="E76" s="104"/>
      <c r="F76" s="104"/>
      <c r="G76" s="104"/>
      <c r="H76" s="104"/>
      <c r="I76" s="104"/>
      <c r="J76" s="105" t="s">
        <v>476</v>
      </c>
      <c r="K76" s="104"/>
      <c r="L76" s="104"/>
      <c r="M76" s="104"/>
      <c r="N76" s="104"/>
      <c r="O76" s="104"/>
      <c r="P76" s="104"/>
      <c r="Q76" s="106"/>
      <c r="R76" s="67"/>
      <c r="S76" s="65"/>
      <c r="T76" s="66"/>
      <c r="U76" s="66"/>
      <c r="V76" s="66"/>
      <c r="W76" s="66"/>
      <c r="X76" s="66"/>
      <c r="Y76" s="66"/>
      <c r="Z76" s="66"/>
      <c r="AA76" s="66"/>
      <c r="AB76" s="66"/>
      <c r="AC76" s="66"/>
      <c r="AD76" s="66"/>
      <c r="AE76" s="67"/>
      <c r="AF76" s="324"/>
      <c r="AG76" s="325"/>
      <c r="AH76" s="324"/>
      <c r="AI76" s="325"/>
      <c r="AJ76" s="324"/>
      <c r="AK76" s="325"/>
      <c r="AL76" s="324"/>
      <c r="AM76" s="325"/>
      <c r="AN76" s="324"/>
      <c r="AO76" s="325"/>
      <c r="AP76" s="324"/>
      <c r="AQ76" s="332"/>
      <c r="AR76" s="332"/>
      <c r="AS76" s="332"/>
      <c r="AT76" s="332"/>
      <c r="AU76" s="332"/>
      <c r="AV76" s="332"/>
      <c r="AW76" s="325"/>
      <c r="AX76" s="324"/>
      <c r="AY76" s="332"/>
      <c r="AZ76" s="332"/>
      <c r="BA76" s="332"/>
      <c r="BB76" s="332"/>
      <c r="BC76" s="332"/>
      <c r="BD76" s="332"/>
      <c r="BE76" s="325"/>
      <c r="BF76" s="331"/>
      <c r="BG76" s="331"/>
      <c r="BH76" s="331"/>
      <c r="BI76" s="331"/>
      <c r="BJ76" s="331"/>
      <c r="BK76" s="331"/>
      <c r="BL76" s="331"/>
      <c r="BM76" s="331"/>
      <c r="BN76" s="331"/>
      <c r="BO76" s="10"/>
    </row>
    <row r="77" spans="1:68" s="8" customFormat="1">
      <c r="A77" s="9"/>
      <c r="B77" s="99" t="s">
        <v>477</v>
      </c>
      <c r="C77" s="100"/>
      <c r="D77" s="100"/>
      <c r="E77" s="100"/>
      <c r="F77" s="100"/>
      <c r="G77" s="100"/>
      <c r="H77" s="100"/>
      <c r="I77" s="100"/>
      <c r="J77" s="99" t="s">
        <v>478</v>
      </c>
      <c r="K77" s="100"/>
      <c r="L77" s="100"/>
      <c r="M77" s="100"/>
      <c r="N77" s="100"/>
      <c r="O77" s="100"/>
      <c r="P77" s="100"/>
      <c r="Q77" s="102"/>
      <c r="R77" s="67"/>
      <c r="S77" s="65"/>
      <c r="T77" s="66"/>
      <c r="U77" s="66"/>
      <c r="V77" s="66"/>
      <c r="W77" s="66"/>
      <c r="X77" s="66"/>
      <c r="Y77" s="66"/>
      <c r="Z77" s="66"/>
      <c r="AA77" s="66"/>
      <c r="AB77" s="66"/>
      <c r="AC77" s="66"/>
      <c r="AD77" s="66"/>
      <c r="AE77" s="67"/>
      <c r="AF77" s="324"/>
      <c r="AG77" s="325"/>
      <c r="AH77" s="324"/>
      <c r="AI77" s="325"/>
      <c r="AJ77" s="324"/>
      <c r="AK77" s="325"/>
      <c r="AL77" s="324"/>
      <c r="AM77" s="325"/>
      <c r="AN77" s="324"/>
      <c r="AO77" s="325"/>
      <c r="AP77" s="324"/>
      <c r="AQ77" s="332"/>
      <c r="AR77" s="332"/>
      <c r="AS77" s="332"/>
      <c r="AT77" s="332"/>
      <c r="AU77" s="332"/>
      <c r="AV77" s="332"/>
      <c r="AW77" s="325"/>
      <c r="AX77" s="330"/>
      <c r="AY77" s="330"/>
      <c r="AZ77" s="330"/>
      <c r="BA77" s="330"/>
      <c r="BB77" s="330"/>
      <c r="BC77" s="330"/>
      <c r="BD77" s="330"/>
      <c r="BE77" s="330"/>
      <c r="BF77" s="331"/>
      <c r="BG77" s="331"/>
      <c r="BH77" s="331"/>
      <c r="BI77" s="331"/>
      <c r="BJ77" s="331"/>
      <c r="BK77" s="331"/>
      <c r="BL77" s="331"/>
      <c r="BM77" s="331"/>
      <c r="BN77" s="331"/>
      <c r="BO77" s="10"/>
      <c r="BP77" s="11"/>
    </row>
    <row r="78" spans="1:68" s="8" customFormat="1">
      <c r="A78" s="9"/>
      <c r="B78" s="107" t="s">
        <v>479</v>
      </c>
      <c r="C78" s="100"/>
      <c r="D78" s="100"/>
      <c r="E78" s="100"/>
      <c r="F78" s="100"/>
      <c r="G78" s="100"/>
      <c r="H78" s="100"/>
      <c r="I78" s="100"/>
      <c r="J78" s="101" t="s">
        <v>475</v>
      </c>
      <c r="K78" s="100"/>
      <c r="L78" s="100"/>
      <c r="M78" s="100"/>
      <c r="N78" s="100"/>
      <c r="O78" s="100"/>
      <c r="P78" s="100"/>
      <c r="Q78" s="102"/>
      <c r="R78" s="67"/>
      <c r="S78" s="65"/>
      <c r="T78" s="66"/>
      <c r="U78" s="66"/>
      <c r="V78" s="66"/>
      <c r="W78" s="66"/>
      <c r="X78" s="66"/>
      <c r="Y78" s="66"/>
      <c r="Z78" s="66"/>
      <c r="AA78" s="66"/>
      <c r="AB78" s="66"/>
      <c r="AC78" s="66"/>
      <c r="AD78" s="66"/>
      <c r="AE78" s="67"/>
      <c r="AF78" s="324"/>
      <c r="AG78" s="325"/>
      <c r="AH78" s="324"/>
      <c r="AI78" s="325"/>
      <c r="AJ78" s="324"/>
      <c r="AK78" s="325"/>
      <c r="AL78" s="324"/>
      <c r="AM78" s="325"/>
      <c r="AN78" s="324"/>
      <c r="AO78" s="325"/>
      <c r="AP78" s="324"/>
      <c r="AQ78" s="332"/>
      <c r="AR78" s="332"/>
      <c r="AS78" s="332"/>
      <c r="AT78" s="332"/>
      <c r="AU78" s="332"/>
      <c r="AV78" s="332"/>
      <c r="AW78" s="325"/>
      <c r="AX78" s="324"/>
      <c r="AY78" s="332"/>
      <c r="AZ78" s="332"/>
      <c r="BA78" s="332"/>
      <c r="BB78" s="332"/>
      <c r="BC78" s="332"/>
      <c r="BD78" s="332"/>
      <c r="BE78" s="325"/>
      <c r="BF78" s="331"/>
      <c r="BG78" s="331"/>
      <c r="BH78" s="331"/>
      <c r="BI78" s="331"/>
      <c r="BJ78" s="331"/>
      <c r="BK78" s="331"/>
      <c r="BL78" s="331"/>
      <c r="BM78" s="331"/>
      <c r="BN78" s="331"/>
      <c r="BO78" s="10"/>
    </row>
    <row r="79" spans="1:68" s="8" customFormat="1">
      <c r="A79" s="9"/>
      <c r="B79" s="99"/>
      <c r="C79" s="100"/>
      <c r="D79" s="100"/>
      <c r="E79" s="100"/>
      <c r="F79" s="100"/>
      <c r="G79" s="100"/>
      <c r="H79" s="100"/>
      <c r="I79" s="100"/>
      <c r="J79" s="101" t="s">
        <v>476</v>
      </c>
      <c r="K79" s="100"/>
      <c r="L79" s="100"/>
      <c r="M79" s="100"/>
      <c r="N79" s="100"/>
      <c r="O79" s="100"/>
      <c r="P79" s="100"/>
      <c r="Q79" s="102"/>
      <c r="R79" s="67"/>
      <c r="S79" s="65"/>
      <c r="T79" s="66"/>
      <c r="U79" s="66"/>
      <c r="V79" s="66"/>
      <c r="W79" s="66"/>
      <c r="X79" s="66"/>
      <c r="Y79" s="66"/>
      <c r="Z79" s="66"/>
      <c r="AA79" s="66"/>
      <c r="AB79" s="66"/>
      <c r="AC79" s="66"/>
      <c r="AD79" s="66"/>
      <c r="AE79" s="67"/>
      <c r="AF79" s="324"/>
      <c r="AG79" s="325"/>
      <c r="AH79" s="324"/>
      <c r="AI79" s="325"/>
      <c r="AJ79" s="324"/>
      <c r="AK79" s="325"/>
      <c r="AL79" s="324"/>
      <c r="AM79" s="325"/>
      <c r="AN79" s="324"/>
      <c r="AO79" s="325"/>
      <c r="AP79" s="324"/>
      <c r="AQ79" s="332"/>
      <c r="AR79" s="332"/>
      <c r="AS79" s="332"/>
      <c r="AT79" s="332"/>
      <c r="AU79" s="332"/>
      <c r="AV79" s="332"/>
      <c r="AW79" s="325"/>
      <c r="AX79" s="330"/>
      <c r="AY79" s="330"/>
      <c r="AZ79" s="330"/>
      <c r="BA79" s="330"/>
      <c r="BB79" s="330"/>
      <c r="BC79" s="330"/>
      <c r="BD79" s="330"/>
      <c r="BE79" s="330"/>
      <c r="BF79" s="331"/>
      <c r="BG79" s="331"/>
      <c r="BH79" s="331"/>
      <c r="BI79" s="331"/>
      <c r="BJ79" s="331"/>
      <c r="BK79" s="331"/>
      <c r="BL79" s="331"/>
      <c r="BM79" s="331"/>
      <c r="BN79" s="331"/>
      <c r="BO79" s="10"/>
      <c r="BP79" s="11"/>
    </row>
    <row r="80" spans="1:68" s="8" customFormat="1">
      <c r="A80" s="9"/>
      <c r="B80" s="108"/>
      <c r="C80" s="104"/>
      <c r="D80" s="104"/>
      <c r="E80" s="104"/>
      <c r="F80" s="104"/>
      <c r="G80" s="104"/>
      <c r="H80" s="104"/>
      <c r="I80" s="104"/>
      <c r="J80" s="108"/>
      <c r="K80" s="104"/>
      <c r="L80" s="104"/>
      <c r="M80" s="104"/>
      <c r="N80" s="104"/>
      <c r="O80" s="104"/>
      <c r="P80" s="104"/>
      <c r="Q80" s="106"/>
      <c r="R80" s="67"/>
      <c r="S80" s="65"/>
      <c r="T80" s="66"/>
      <c r="U80" s="66"/>
      <c r="V80" s="66"/>
      <c r="W80" s="66"/>
      <c r="X80" s="66"/>
      <c r="Y80" s="66"/>
      <c r="Z80" s="66"/>
      <c r="AA80" s="66"/>
      <c r="AB80" s="66"/>
      <c r="AC80" s="66"/>
      <c r="AD80" s="66"/>
      <c r="AE80" s="67"/>
      <c r="AF80" s="324"/>
      <c r="AG80" s="325"/>
      <c r="AH80" s="324"/>
      <c r="AI80" s="325"/>
      <c r="AJ80" s="324"/>
      <c r="AK80" s="325"/>
      <c r="AL80" s="324"/>
      <c r="AM80" s="325"/>
      <c r="AN80" s="324"/>
      <c r="AO80" s="325"/>
      <c r="AP80" s="324"/>
      <c r="AQ80" s="332"/>
      <c r="AR80" s="332"/>
      <c r="AS80" s="332"/>
      <c r="AT80" s="332"/>
      <c r="AU80" s="332"/>
      <c r="AV80" s="332"/>
      <c r="AW80" s="325"/>
      <c r="AX80" s="330"/>
      <c r="AY80" s="330"/>
      <c r="AZ80" s="330"/>
      <c r="BA80" s="330"/>
      <c r="BB80" s="330"/>
      <c r="BC80" s="330"/>
      <c r="BD80" s="330"/>
      <c r="BE80" s="330"/>
      <c r="BF80" s="331"/>
      <c r="BG80" s="331"/>
      <c r="BH80" s="331"/>
      <c r="BI80" s="331"/>
      <c r="BJ80" s="331"/>
      <c r="BK80" s="331"/>
      <c r="BL80" s="331"/>
      <c r="BM80" s="331"/>
      <c r="BN80" s="331"/>
      <c r="BO80" s="10"/>
      <c r="BP80" s="11"/>
    </row>
    <row r="81" spans="1:67" s="59" customFormat="1">
      <c r="A81" s="12"/>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295"/>
      <c r="BG81" s="295"/>
      <c r="BH81" s="295"/>
      <c r="BI81" s="295"/>
      <c r="BJ81" s="295"/>
      <c r="BK81" s="295"/>
      <c r="BL81" s="295"/>
      <c r="BM81" s="295"/>
      <c r="BN81" s="295"/>
      <c r="BO81" s="14"/>
    </row>
  </sheetData>
  <mergeCells count="582">
    <mergeCell ref="AJ63:AK63"/>
    <mergeCell ref="AJ64:AK64"/>
    <mergeCell ref="AJ65:AK65"/>
    <mergeCell ref="AJ66:AK66"/>
    <mergeCell ref="AJ67:AK67"/>
    <mergeCell ref="AJ68:AK68"/>
    <mergeCell ref="AJ69:AK69"/>
    <mergeCell ref="AJ45:AK45"/>
    <mergeCell ref="AJ46:AK46"/>
    <mergeCell ref="AJ47:AK47"/>
    <mergeCell ref="AJ48:AK48"/>
    <mergeCell ref="AJ49:AK49"/>
    <mergeCell ref="AJ50:AK50"/>
    <mergeCell ref="AJ51:AK51"/>
    <mergeCell ref="AJ52:AK52"/>
    <mergeCell ref="AJ53:AK53"/>
    <mergeCell ref="AJ61:AK61"/>
    <mergeCell ref="AJ62:AK62"/>
    <mergeCell ref="AH63:AI63"/>
    <mergeCell ref="AH64:AI64"/>
    <mergeCell ref="AH65:AI65"/>
    <mergeCell ref="AH66:AI66"/>
    <mergeCell ref="AH67:AI67"/>
    <mergeCell ref="AH68:AI68"/>
    <mergeCell ref="AH69:AI69"/>
    <mergeCell ref="AH45:AI45"/>
    <mergeCell ref="AH46:AI46"/>
    <mergeCell ref="AH47:AI47"/>
    <mergeCell ref="AH48:AI48"/>
    <mergeCell ref="AH49:AI49"/>
    <mergeCell ref="AH50:AI50"/>
    <mergeCell ref="AH51:AI51"/>
    <mergeCell ref="AH52:AI52"/>
    <mergeCell ref="AH61:AI61"/>
    <mergeCell ref="AH62:AI62"/>
    <mergeCell ref="AJ33:AK33"/>
    <mergeCell ref="AJ34:AK34"/>
    <mergeCell ref="AH36:AI36"/>
    <mergeCell ref="AH37:AI37"/>
    <mergeCell ref="AH38:AI38"/>
    <mergeCell ref="AH39:AI39"/>
    <mergeCell ref="AH40:AI40"/>
    <mergeCell ref="AH41:AI41"/>
    <mergeCell ref="AH42:AI42"/>
    <mergeCell ref="AJ35:AK35"/>
    <mergeCell ref="AJ36:AK36"/>
    <mergeCell ref="AJ37:AK37"/>
    <mergeCell ref="AJ38:AK38"/>
    <mergeCell ref="AJ39:AK39"/>
    <mergeCell ref="AJ40:AK40"/>
    <mergeCell ref="AJ41:AK41"/>
    <mergeCell ref="AH43:AI43"/>
    <mergeCell ref="AH44:AI44"/>
    <mergeCell ref="AX38:BE38"/>
    <mergeCell ref="BF38:BN38"/>
    <mergeCell ref="AX36:BE36"/>
    <mergeCell ref="BF36:BN36"/>
    <mergeCell ref="AF39:AG39"/>
    <mergeCell ref="AN39:AO39"/>
    <mergeCell ref="AP39:AW39"/>
    <mergeCell ref="AX39:BE39"/>
    <mergeCell ref="BF39:BN39"/>
    <mergeCell ref="AP37:AW37"/>
    <mergeCell ref="AF36:AG36"/>
    <mergeCell ref="AN36:AO36"/>
    <mergeCell ref="AF38:AG38"/>
    <mergeCell ref="AN44:AO44"/>
    <mergeCell ref="AJ44:AK44"/>
    <mergeCell ref="AL44:AM44"/>
    <mergeCell ref="AX37:BE37"/>
    <mergeCell ref="BF37:BN37"/>
    <mergeCell ref="AX33:BE33"/>
    <mergeCell ref="BF33:BN33"/>
    <mergeCell ref="AX34:BE34"/>
    <mergeCell ref="BF34:BN34"/>
    <mergeCell ref="BF35:BN35"/>
    <mergeCell ref="AX35:BE35"/>
    <mergeCell ref="AX31:BE31"/>
    <mergeCell ref="BF31:BN31"/>
    <mergeCell ref="AX32:BE32"/>
    <mergeCell ref="BF32:BN32"/>
    <mergeCell ref="AF29:AG29"/>
    <mergeCell ref="AN29:AO29"/>
    <mergeCell ref="AP29:AW29"/>
    <mergeCell ref="AX29:BE29"/>
    <mergeCell ref="BF29:BN29"/>
    <mergeCell ref="AH29:AI29"/>
    <mergeCell ref="AH30:AI30"/>
    <mergeCell ref="AH31:AI31"/>
    <mergeCell ref="AH32:AI32"/>
    <mergeCell ref="AL29:AM29"/>
    <mergeCell ref="AX30:BE30"/>
    <mergeCell ref="BF30:BN30"/>
    <mergeCell ref="AJ29:AK29"/>
    <mergeCell ref="AJ30:AK30"/>
    <mergeCell ref="AJ31:AK31"/>
    <mergeCell ref="AX8:BE9"/>
    <mergeCell ref="BF8:BN9"/>
    <mergeCell ref="A1:E1"/>
    <mergeCell ref="F1:U1"/>
    <mergeCell ref="V1:AK1"/>
    <mergeCell ref="A2:E3"/>
    <mergeCell ref="F2:U3"/>
    <mergeCell ref="V2:AK3"/>
    <mergeCell ref="AN2:AO2"/>
    <mergeCell ref="AN3:AO3"/>
    <mergeCell ref="AN1:AT1"/>
    <mergeCell ref="AL2:AM2"/>
    <mergeCell ref="AL3:AM3"/>
    <mergeCell ref="AN9:AO9"/>
    <mergeCell ref="AJ9:AK9"/>
    <mergeCell ref="AH9:AI9"/>
    <mergeCell ref="AF9:AG9"/>
    <mergeCell ref="AU1:AZ1"/>
    <mergeCell ref="AP2:AT2"/>
    <mergeCell ref="AU2:AZ2"/>
    <mergeCell ref="AP3:AT3"/>
    <mergeCell ref="AU3:AZ3"/>
    <mergeCell ref="AL9:AM9"/>
    <mergeCell ref="BF47:BN47"/>
    <mergeCell ref="AX47:BE47"/>
    <mergeCell ref="BF46:BN46"/>
    <mergeCell ref="AX46:BE46"/>
    <mergeCell ref="B8:I9"/>
    <mergeCell ref="J8:Q9"/>
    <mergeCell ref="R8:R9"/>
    <mergeCell ref="S8:AE9"/>
    <mergeCell ref="AF8:AO8"/>
    <mergeCell ref="AP8:AW9"/>
    <mergeCell ref="BF45:BN45"/>
    <mergeCell ref="AX45:BE45"/>
    <mergeCell ref="AP45:AW45"/>
    <mergeCell ref="AN45:AO45"/>
    <mergeCell ref="BF44:BN44"/>
    <mergeCell ref="AX44:BE44"/>
    <mergeCell ref="AP44:AW44"/>
    <mergeCell ref="AN41:AO41"/>
    <mergeCell ref="AF41:AG41"/>
    <mergeCell ref="BF42:BN42"/>
    <mergeCell ref="AP47:AW47"/>
    <mergeCell ref="AP36:AW36"/>
    <mergeCell ref="AP38:AW38"/>
    <mergeCell ref="AN38:AO38"/>
    <mergeCell ref="AF48:AG48"/>
    <mergeCell ref="AN48:AO48"/>
    <mergeCell ref="AP48:AW48"/>
    <mergeCell ref="AX48:BE48"/>
    <mergeCell ref="BF48:BN48"/>
    <mergeCell ref="BF40:BN40"/>
    <mergeCell ref="AX40:BE40"/>
    <mergeCell ref="AP40:AW40"/>
    <mergeCell ref="AN40:AO40"/>
    <mergeCell ref="AF40:AG40"/>
    <mergeCell ref="AF45:AG45"/>
    <mergeCell ref="AF46:AG46"/>
    <mergeCell ref="AF47:AG47"/>
    <mergeCell ref="AX42:BE42"/>
    <mergeCell ref="AP42:AW42"/>
    <mergeCell ref="AN42:AO42"/>
    <mergeCell ref="AF42:AG42"/>
    <mergeCell ref="BF41:BN41"/>
    <mergeCell ref="AX41:BE41"/>
    <mergeCell ref="AP41:AW41"/>
    <mergeCell ref="AJ42:AK42"/>
    <mergeCell ref="AF44:AG44"/>
    <mergeCell ref="BF43:BN43"/>
    <mergeCell ref="AX43:BE43"/>
    <mergeCell ref="AF50:AG50"/>
    <mergeCell ref="AN50:AO50"/>
    <mergeCell ref="AP50:AW50"/>
    <mergeCell ref="AX50:BE50"/>
    <mergeCell ref="BF50:BN50"/>
    <mergeCell ref="AF49:AG49"/>
    <mergeCell ref="AN49:AO49"/>
    <mergeCell ref="AP49:AW49"/>
    <mergeCell ref="AX49:BE49"/>
    <mergeCell ref="BF49:BN49"/>
    <mergeCell ref="AF52:AG52"/>
    <mergeCell ref="AN52:AO52"/>
    <mergeCell ref="AP52:AW52"/>
    <mergeCell ref="AX52:BE52"/>
    <mergeCell ref="BF52:BN52"/>
    <mergeCell ref="AF51:AG51"/>
    <mergeCell ref="AN51:AO51"/>
    <mergeCell ref="AP51:AW51"/>
    <mergeCell ref="AX51:BE51"/>
    <mergeCell ref="BF51:BN51"/>
    <mergeCell ref="AF54:AG54"/>
    <mergeCell ref="AN54:AO54"/>
    <mergeCell ref="AP54:AW54"/>
    <mergeCell ref="AX54:BE54"/>
    <mergeCell ref="BF54:BN54"/>
    <mergeCell ref="AH54:AI54"/>
    <mergeCell ref="AJ54:AK54"/>
    <mergeCell ref="AF53:AG53"/>
    <mergeCell ref="AN53:AO53"/>
    <mergeCell ref="AP53:AW53"/>
    <mergeCell ref="AX53:BE53"/>
    <mergeCell ref="BF53:BN53"/>
    <mergeCell ref="AH53:AI53"/>
    <mergeCell ref="AL54:AM54"/>
    <mergeCell ref="AF56:AG56"/>
    <mergeCell ref="AN56:AO56"/>
    <mergeCell ref="AP56:AW56"/>
    <mergeCell ref="AX56:BE56"/>
    <mergeCell ref="BF56:BN56"/>
    <mergeCell ref="AH56:AI56"/>
    <mergeCell ref="AJ56:AK56"/>
    <mergeCell ref="AF55:AG55"/>
    <mergeCell ref="AN55:AO55"/>
    <mergeCell ref="AP55:AW55"/>
    <mergeCell ref="AX55:BE55"/>
    <mergeCell ref="BF55:BN55"/>
    <mergeCell ref="AH55:AI55"/>
    <mergeCell ref="AJ55:AK55"/>
    <mergeCell ref="AL55:AM55"/>
    <mergeCell ref="AL56:AM56"/>
    <mergeCell ref="AF58:AG58"/>
    <mergeCell ref="AN58:AO58"/>
    <mergeCell ref="AP58:AW58"/>
    <mergeCell ref="AX58:BE58"/>
    <mergeCell ref="BF58:BN58"/>
    <mergeCell ref="AH58:AI58"/>
    <mergeCell ref="AJ58:AK58"/>
    <mergeCell ref="AF57:AG57"/>
    <mergeCell ref="AN57:AO57"/>
    <mergeCell ref="AP57:AW57"/>
    <mergeCell ref="AX57:BE57"/>
    <mergeCell ref="BF57:BN57"/>
    <mergeCell ref="AH57:AI57"/>
    <mergeCell ref="AJ57:AK57"/>
    <mergeCell ref="AL57:AM57"/>
    <mergeCell ref="AL58:AM58"/>
    <mergeCell ref="AP59:AW59"/>
    <mergeCell ref="AX59:BE59"/>
    <mergeCell ref="BF59:BN59"/>
    <mergeCell ref="AF60:AG60"/>
    <mergeCell ref="AN60:AO60"/>
    <mergeCell ref="AP60:AW60"/>
    <mergeCell ref="AX60:BE60"/>
    <mergeCell ref="BF60:BN60"/>
    <mergeCell ref="AH59:AI59"/>
    <mergeCell ref="AH60:AI60"/>
    <mergeCell ref="AJ59:AK59"/>
    <mergeCell ref="AJ60:AK60"/>
    <mergeCell ref="AL59:AM59"/>
    <mergeCell ref="AL60:AM60"/>
    <mergeCell ref="AP65:AW65"/>
    <mergeCell ref="AX65:BE65"/>
    <mergeCell ref="BF65:BN65"/>
    <mergeCell ref="AF61:AG61"/>
    <mergeCell ref="AN61:AO61"/>
    <mergeCell ref="AP61:AW61"/>
    <mergeCell ref="AX61:BE61"/>
    <mergeCell ref="BF61:BN61"/>
    <mergeCell ref="AF62:AG62"/>
    <mergeCell ref="AN62:AO62"/>
    <mergeCell ref="AP62:AW62"/>
    <mergeCell ref="AX62:BE62"/>
    <mergeCell ref="BF62:BN62"/>
    <mergeCell ref="AP63:AW63"/>
    <mergeCell ref="AX63:BE63"/>
    <mergeCell ref="BF63:BN63"/>
    <mergeCell ref="AN64:AO64"/>
    <mergeCell ref="AP64:AW64"/>
    <mergeCell ref="AX64:BE64"/>
    <mergeCell ref="BF64:BN64"/>
    <mergeCell ref="AF64:AG64"/>
    <mergeCell ref="AF65:AG65"/>
    <mergeCell ref="AF63:AG63"/>
    <mergeCell ref="AN63:AO63"/>
    <mergeCell ref="AP66:AW66"/>
    <mergeCell ref="AX66:BE66"/>
    <mergeCell ref="BF66:BN66"/>
    <mergeCell ref="AF67:AG67"/>
    <mergeCell ref="AN67:AO67"/>
    <mergeCell ref="AP67:AW67"/>
    <mergeCell ref="AX67:BE67"/>
    <mergeCell ref="BF67:BN67"/>
    <mergeCell ref="AP68:AW68"/>
    <mergeCell ref="AX68:BE68"/>
    <mergeCell ref="BF68:BN68"/>
    <mergeCell ref="AF66:AG66"/>
    <mergeCell ref="AN66:AO66"/>
    <mergeCell ref="AF68:AG68"/>
    <mergeCell ref="AN68:AO68"/>
    <mergeCell ref="AF69:AG69"/>
    <mergeCell ref="AN69:AO69"/>
    <mergeCell ref="AP69:AW69"/>
    <mergeCell ref="AX69:BE69"/>
    <mergeCell ref="BF69:BN69"/>
    <mergeCell ref="AX70:BE70"/>
    <mergeCell ref="BF70:BN70"/>
    <mergeCell ref="AF71:AG71"/>
    <mergeCell ref="AN71:AO71"/>
    <mergeCell ref="AP71:AW71"/>
    <mergeCell ref="AX71:BE71"/>
    <mergeCell ref="BF71:BN71"/>
    <mergeCell ref="AH70:AI70"/>
    <mergeCell ref="AH71:AI71"/>
    <mergeCell ref="AJ70:AK70"/>
    <mergeCell ref="AJ71:AK71"/>
    <mergeCell ref="AF70:AG70"/>
    <mergeCell ref="AN70:AO70"/>
    <mergeCell ref="AP70:AW70"/>
    <mergeCell ref="AL70:AM70"/>
    <mergeCell ref="AL71:AM71"/>
    <mergeCell ref="AX72:BE72"/>
    <mergeCell ref="BF72:BN72"/>
    <mergeCell ref="AF73:AG73"/>
    <mergeCell ref="AN73:AO73"/>
    <mergeCell ref="AP73:AW73"/>
    <mergeCell ref="AX73:BE73"/>
    <mergeCell ref="BF73:BN73"/>
    <mergeCell ref="AH72:AI72"/>
    <mergeCell ref="AH73:AI73"/>
    <mergeCell ref="AJ72:AK72"/>
    <mergeCell ref="AJ73:AK73"/>
    <mergeCell ref="AF72:AG72"/>
    <mergeCell ref="AN72:AO72"/>
    <mergeCell ref="AP72:AW72"/>
    <mergeCell ref="AL72:AM72"/>
    <mergeCell ref="AL73:AM73"/>
    <mergeCell ref="AX74:BE74"/>
    <mergeCell ref="BF74:BN74"/>
    <mergeCell ref="AF75:AG75"/>
    <mergeCell ref="AN75:AO75"/>
    <mergeCell ref="AP75:AW75"/>
    <mergeCell ref="AX75:BE75"/>
    <mergeCell ref="BF75:BN75"/>
    <mergeCell ref="AH74:AI74"/>
    <mergeCell ref="AH75:AI75"/>
    <mergeCell ref="AJ74:AK74"/>
    <mergeCell ref="AJ75:AK75"/>
    <mergeCell ref="AF74:AG74"/>
    <mergeCell ref="AN74:AO74"/>
    <mergeCell ref="AP74:AW74"/>
    <mergeCell ref="AL74:AM74"/>
    <mergeCell ref="AL75:AM75"/>
    <mergeCell ref="AX76:BE76"/>
    <mergeCell ref="BF76:BN76"/>
    <mergeCell ref="AF77:AG77"/>
    <mergeCell ref="AN77:AO77"/>
    <mergeCell ref="AP77:AW77"/>
    <mergeCell ref="AX77:BE77"/>
    <mergeCell ref="BF77:BN77"/>
    <mergeCell ref="AH76:AI76"/>
    <mergeCell ref="AH77:AI77"/>
    <mergeCell ref="AJ76:AK76"/>
    <mergeCell ref="AJ77:AK77"/>
    <mergeCell ref="AF76:AG76"/>
    <mergeCell ref="AN76:AO76"/>
    <mergeCell ref="AP76:AW76"/>
    <mergeCell ref="AL76:AM76"/>
    <mergeCell ref="AL77:AM77"/>
    <mergeCell ref="BF81:BN81"/>
    <mergeCell ref="AX80:BE80"/>
    <mergeCell ref="BF80:BN80"/>
    <mergeCell ref="AF78:AG78"/>
    <mergeCell ref="AN78:AO78"/>
    <mergeCell ref="AP78:AW78"/>
    <mergeCell ref="AX78:BE78"/>
    <mergeCell ref="BF78:BN78"/>
    <mergeCell ref="AF79:AG79"/>
    <mergeCell ref="AN79:AO79"/>
    <mergeCell ref="AP79:AW79"/>
    <mergeCell ref="AX79:BE79"/>
    <mergeCell ref="BF79:BN79"/>
    <mergeCell ref="AP80:AW80"/>
    <mergeCell ref="AN80:AO80"/>
    <mergeCell ref="AF80:AG80"/>
    <mergeCell ref="AH80:AI80"/>
    <mergeCell ref="AH78:AI78"/>
    <mergeCell ref="AH79:AI79"/>
    <mergeCell ref="AJ78:AK78"/>
    <mergeCell ref="AJ79:AK79"/>
    <mergeCell ref="AJ80:AK80"/>
    <mergeCell ref="AL78:AM78"/>
    <mergeCell ref="AL79:AM79"/>
    <mergeCell ref="AN35:AO35"/>
    <mergeCell ref="AF35:AG35"/>
    <mergeCell ref="AP31:AW31"/>
    <mergeCell ref="AF30:AG30"/>
    <mergeCell ref="AN30:AO30"/>
    <mergeCell ref="AN37:AO37"/>
    <mergeCell ref="AF37:AG37"/>
    <mergeCell ref="AP43:AW43"/>
    <mergeCell ref="AN43:AO43"/>
    <mergeCell ref="AF43:AG43"/>
    <mergeCell ref="AJ43:AK43"/>
    <mergeCell ref="AH33:AI33"/>
    <mergeCell ref="AH34:AI34"/>
    <mergeCell ref="AH35:AI35"/>
    <mergeCell ref="AL38:AM38"/>
    <mergeCell ref="AL39:AM39"/>
    <mergeCell ref="AL40:AM40"/>
    <mergeCell ref="AL41:AM41"/>
    <mergeCell ref="AL42:AM42"/>
    <mergeCell ref="AL43:AM43"/>
    <mergeCell ref="AP32:AW32"/>
    <mergeCell ref="AF31:AG31"/>
    <mergeCell ref="AN31:AO31"/>
    <mergeCell ref="AJ32:AK32"/>
    <mergeCell ref="AN65:AO65"/>
    <mergeCell ref="AF59:AG59"/>
    <mergeCell ref="AN59:AO59"/>
    <mergeCell ref="AP35:AW35"/>
    <mergeCell ref="AP34:AW34"/>
    <mergeCell ref="AN34:AO34"/>
    <mergeCell ref="AP30:AW30"/>
    <mergeCell ref="AF34:AG34"/>
    <mergeCell ref="AP33:AW33"/>
    <mergeCell ref="AN33:AO33"/>
    <mergeCell ref="AF33:AG33"/>
    <mergeCell ref="AF32:AG32"/>
    <mergeCell ref="AN32:AO32"/>
    <mergeCell ref="AN46:AO46"/>
    <mergeCell ref="AP46:AW46"/>
    <mergeCell ref="AN47:AO47"/>
    <mergeCell ref="AL30:AM30"/>
    <mergeCell ref="AL31:AM31"/>
    <mergeCell ref="AL32:AM32"/>
    <mergeCell ref="AL33:AM33"/>
    <mergeCell ref="AL34:AM34"/>
    <mergeCell ref="AL35:AM35"/>
    <mergeCell ref="AL36:AM36"/>
    <mergeCell ref="AL37:AM37"/>
    <mergeCell ref="AF17:AG17"/>
    <mergeCell ref="AH17:AI17"/>
    <mergeCell ref="AJ17:AK17"/>
    <mergeCell ref="AN17:AO17"/>
    <mergeCell ref="AP17:AW17"/>
    <mergeCell ref="AX17:BE17"/>
    <mergeCell ref="BF17:BN17"/>
    <mergeCell ref="AF18:AG18"/>
    <mergeCell ref="AH18:AI18"/>
    <mergeCell ref="AJ18:AK18"/>
    <mergeCell ref="AN18:AO18"/>
    <mergeCell ref="AP18:AW18"/>
    <mergeCell ref="AX18:BE18"/>
    <mergeCell ref="BF18:BN18"/>
    <mergeCell ref="AL17:AM17"/>
    <mergeCell ref="AL18:AM18"/>
    <mergeCell ref="AF19:AG19"/>
    <mergeCell ref="AH19:AI19"/>
    <mergeCell ref="AJ19:AK19"/>
    <mergeCell ref="AN19:AO19"/>
    <mergeCell ref="AP19:AW19"/>
    <mergeCell ref="AX19:BE19"/>
    <mergeCell ref="BF19:BN19"/>
    <mergeCell ref="AF20:AG20"/>
    <mergeCell ref="AH20:AI20"/>
    <mergeCell ref="AJ20:AK20"/>
    <mergeCell ref="AN20:AO20"/>
    <mergeCell ref="AP20:AW20"/>
    <mergeCell ref="AX20:BE20"/>
    <mergeCell ref="BF20:BN20"/>
    <mergeCell ref="AL19:AM19"/>
    <mergeCell ref="AL20:AM20"/>
    <mergeCell ref="AF21:AG21"/>
    <mergeCell ref="AH21:AI21"/>
    <mergeCell ref="AJ21:AK21"/>
    <mergeCell ref="AN21:AO21"/>
    <mergeCell ref="AP21:AW21"/>
    <mergeCell ref="AX21:BE21"/>
    <mergeCell ref="BF21:BN21"/>
    <mergeCell ref="AF22:AG22"/>
    <mergeCell ref="AH22:AI22"/>
    <mergeCell ref="AJ22:AK22"/>
    <mergeCell ref="AN22:AO22"/>
    <mergeCell ref="AP22:AW22"/>
    <mergeCell ref="AX22:BE22"/>
    <mergeCell ref="BF22:BN22"/>
    <mergeCell ref="AL21:AM21"/>
    <mergeCell ref="AL22:AM22"/>
    <mergeCell ref="AF24:AG24"/>
    <mergeCell ref="AH24:AI24"/>
    <mergeCell ref="AJ24:AK24"/>
    <mergeCell ref="AN24:AO24"/>
    <mergeCell ref="AP24:AW24"/>
    <mergeCell ref="AX24:BE24"/>
    <mergeCell ref="BF24:BN24"/>
    <mergeCell ref="AL23:AM23"/>
    <mergeCell ref="AL24:AM24"/>
    <mergeCell ref="AF23:AG23"/>
    <mergeCell ref="AH23:AI23"/>
    <mergeCell ref="AJ23:AK23"/>
    <mergeCell ref="AN23:AO23"/>
    <mergeCell ref="AP23:AW23"/>
    <mergeCell ref="AX23:BE23"/>
    <mergeCell ref="BF23:BN23"/>
    <mergeCell ref="AF25:AG25"/>
    <mergeCell ref="AH25:AI25"/>
    <mergeCell ref="AJ25:AK25"/>
    <mergeCell ref="AN25:AO25"/>
    <mergeCell ref="AP25:AW25"/>
    <mergeCell ref="AX25:BE25"/>
    <mergeCell ref="BF25:BN25"/>
    <mergeCell ref="AF26:AG26"/>
    <mergeCell ref="AH26:AI26"/>
    <mergeCell ref="AJ26:AK26"/>
    <mergeCell ref="AN26:AO26"/>
    <mergeCell ref="AP26:AW26"/>
    <mergeCell ref="AX26:BE26"/>
    <mergeCell ref="BF26:BN26"/>
    <mergeCell ref="AL25:AM25"/>
    <mergeCell ref="AL26:AM26"/>
    <mergeCell ref="AF27:AG27"/>
    <mergeCell ref="AH27:AI27"/>
    <mergeCell ref="AJ27:AK27"/>
    <mergeCell ref="AN27:AO27"/>
    <mergeCell ref="AP27:AW27"/>
    <mergeCell ref="AX27:BE27"/>
    <mergeCell ref="BF27:BN27"/>
    <mergeCell ref="AF28:AG28"/>
    <mergeCell ref="AH28:AI28"/>
    <mergeCell ref="AJ28:AK28"/>
    <mergeCell ref="AN28:AO28"/>
    <mergeCell ref="AP28:AW28"/>
    <mergeCell ref="AX28:BE28"/>
    <mergeCell ref="BF28:BN28"/>
    <mergeCell ref="AL27:AM27"/>
    <mergeCell ref="AL28:AM28"/>
    <mergeCell ref="AL45:AM45"/>
    <mergeCell ref="AL46:AM46"/>
    <mergeCell ref="AL47:AM47"/>
    <mergeCell ref="AL48:AM48"/>
    <mergeCell ref="AL49:AM49"/>
    <mergeCell ref="AL50:AM50"/>
    <mergeCell ref="AL51:AM51"/>
    <mergeCell ref="AL52:AM52"/>
    <mergeCell ref="AL53:AM53"/>
    <mergeCell ref="AL80:AM80"/>
    <mergeCell ref="AL61:AM61"/>
    <mergeCell ref="AL62:AM62"/>
    <mergeCell ref="AL63:AM63"/>
    <mergeCell ref="AL64:AM64"/>
    <mergeCell ref="AL65:AM65"/>
    <mergeCell ref="AL66:AM66"/>
    <mergeCell ref="AL67:AM67"/>
    <mergeCell ref="AL68:AM68"/>
    <mergeCell ref="AL69:AM69"/>
    <mergeCell ref="AF12:AG12"/>
    <mergeCell ref="AH12:AI12"/>
    <mergeCell ref="AJ12:AK12"/>
    <mergeCell ref="AL12:AM12"/>
    <mergeCell ref="AN12:AO12"/>
    <mergeCell ref="AP12:AW12"/>
    <mergeCell ref="AX12:BE12"/>
    <mergeCell ref="BF12:BN12"/>
    <mergeCell ref="AF13:AG13"/>
    <mergeCell ref="AH13:AI13"/>
    <mergeCell ref="AJ13:AK13"/>
    <mergeCell ref="AL13:AM13"/>
    <mergeCell ref="AN13:AO13"/>
    <mergeCell ref="AP13:AW13"/>
    <mergeCell ref="AX13:BE13"/>
    <mergeCell ref="BF13:BN13"/>
    <mergeCell ref="AF16:AG16"/>
    <mergeCell ref="AH16:AI16"/>
    <mergeCell ref="AJ16:AK16"/>
    <mergeCell ref="AL16:AM16"/>
    <mergeCell ref="AN16:AO16"/>
    <mergeCell ref="AP16:AW16"/>
    <mergeCell ref="AX16:BE16"/>
    <mergeCell ref="BF16:BN16"/>
    <mergeCell ref="AF14:AG14"/>
    <mergeCell ref="AH14:AI14"/>
    <mergeCell ref="AJ14:AK14"/>
    <mergeCell ref="AL14:AM14"/>
    <mergeCell ref="AN14:AO14"/>
    <mergeCell ref="AP14:AW14"/>
    <mergeCell ref="AX14:BE14"/>
    <mergeCell ref="BF14:BN14"/>
    <mergeCell ref="AF15:AG15"/>
    <mergeCell ref="AH15:AI15"/>
    <mergeCell ref="AJ15:AK15"/>
    <mergeCell ref="AL15:AM15"/>
    <mergeCell ref="AN15:AO15"/>
    <mergeCell ref="AP15:AW15"/>
    <mergeCell ref="AX15:BE15"/>
    <mergeCell ref="BF15:BN15"/>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832A1-831D-4FFF-9E5F-AE89AD3796F8}">
  <sheetPr codeName="Sheet3"/>
  <dimension ref="A1:CF187"/>
  <sheetViews>
    <sheetView showGridLines="0" zoomScaleNormal="100" workbookViewId="0">
      <pane xSplit="31" ySplit="11" topLeftCell="AU90" activePane="bottomRight" state="frozen"/>
      <selection pane="bottomRight" sqref="A1:E1"/>
      <selection pane="bottomLeft" activeCell="AZ65" sqref="AZ65:BG65"/>
      <selection pane="topRight" activeCell="AZ65" sqref="AZ65:BG65"/>
    </sheetView>
  </sheetViews>
  <sheetFormatPr defaultColWidth="2.375" defaultRowHeight="13.5"/>
  <cols>
    <col min="1" max="5" width="2.375" style="1"/>
    <col min="6" max="10" width="2.375" style="1" customWidth="1"/>
    <col min="11" max="17" width="2.375" style="1"/>
    <col min="18" max="18" width="3.375" style="1" customWidth="1"/>
    <col min="19" max="31" width="2.375" style="1"/>
    <col min="32" max="57" width="3.75" style="1" customWidth="1"/>
    <col min="58" max="67" width="2.375" style="1"/>
    <col min="68" max="68" width="2.375" style="1" customWidth="1"/>
    <col min="69" max="16384" width="2.375" style="1"/>
  </cols>
  <sheetData>
    <row r="1" spans="1:84"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228" t="s">
        <v>10</v>
      </c>
      <c r="AM1" s="229"/>
      <c r="AN1" s="229"/>
      <c r="AO1" s="229"/>
      <c r="AP1" s="229"/>
      <c r="AQ1" s="229"/>
      <c r="AR1" s="230"/>
      <c r="AS1" s="228" t="s">
        <v>11</v>
      </c>
      <c r="AT1" s="229"/>
      <c r="AU1" s="229"/>
      <c r="AV1" s="229"/>
      <c r="AW1" s="229"/>
      <c r="AX1" s="230"/>
    </row>
    <row r="2" spans="1:84"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51">
        <f>変更履歴!AT2</f>
        <v>45420</v>
      </c>
      <c r="AO2" s="252"/>
      <c r="AP2" s="252"/>
      <c r="AQ2" s="252"/>
      <c r="AR2" s="253"/>
      <c r="AS2" s="254" t="str">
        <f>変更履歴!BA2</f>
        <v>JBS井田</v>
      </c>
      <c r="AT2" s="255"/>
      <c r="AU2" s="255"/>
      <c r="AV2" s="255"/>
      <c r="AW2" s="255"/>
      <c r="AX2" s="256"/>
    </row>
    <row r="3" spans="1:84"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9">
        <f ca="1">変更履歴!AT3</f>
        <v>45911</v>
      </c>
      <c r="AO3" s="260"/>
      <c r="AP3" s="260"/>
      <c r="AQ3" s="260"/>
      <c r="AR3" s="261"/>
      <c r="AS3" s="262" t="str">
        <f ca="1">変更履歴!BA3</f>
        <v>JBS加藤</v>
      </c>
      <c r="AT3" s="263"/>
      <c r="AU3" s="263"/>
      <c r="AV3" s="263"/>
      <c r="AW3" s="263"/>
      <c r="AX3" s="264"/>
    </row>
    <row r="4" spans="1:84">
      <c r="A4" s="2"/>
      <c r="B4" s="70"/>
      <c r="C4" s="70"/>
      <c r="D4" s="70"/>
      <c r="E4" s="70"/>
      <c r="F4" s="70"/>
      <c r="G4" s="70"/>
      <c r="H4" s="70"/>
      <c r="I4" s="70"/>
      <c r="J4" s="70"/>
      <c r="K4" s="70"/>
      <c r="L4" s="70"/>
      <c r="M4" s="70"/>
      <c r="N4" s="70"/>
      <c r="O4" s="70"/>
      <c r="P4" s="70"/>
      <c r="Q4" s="70"/>
    </row>
    <row r="5" spans="1:84">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row>
    <row r="6" spans="1:84"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7"/>
    </row>
    <row r="7" spans="1:84"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41"/>
      <c r="BX7" s="44"/>
      <c r="BY7" s="44"/>
      <c r="BZ7" s="44"/>
      <c r="CA7" s="44"/>
      <c r="CB7" s="44"/>
      <c r="CC7" s="44"/>
      <c r="CD7" s="44"/>
      <c r="CE7" s="31"/>
    </row>
    <row r="8" spans="1:84" s="8" customFormat="1" ht="14.1" customHeight="1" thickBot="1">
      <c r="A8" s="9"/>
      <c r="B8" s="339" t="s">
        <v>110</v>
      </c>
      <c r="C8" s="374"/>
      <c r="D8" s="374"/>
      <c r="E8" s="374"/>
      <c r="F8" s="374"/>
      <c r="G8" s="374"/>
      <c r="H8" s="374"/>
      <c r="I8" s="383"/>
      <c r="J8" s="340" t="s">
        <v>111</v>
      </c>
      <c r="K8" s="374"/>
      <c r="L8" s="374"/>
      <c r="M8" s="374"/>
      <c r="N8" s="374"/>
      <c r="O8" s="374"/>
      <c r="P8" s="374"/>
      <c r="Q8" s="374"/>
      <c r="R8" s="302" t="s">
        <v>112</v>
      </c>
      <c r="S8" s="318" t="s">
        <v>113</v>
      </c>
      <c r="T8" s="319"/>
      <c r="U8" s="319"/>
      <c r="V8" s="319"/>
      <c r="W8" s="319"/>
      <c r="X8" s="319"/>
      <c r="Y8" s="319"/>
      <c r="Z8" s="319"/>
      <c r="AA8" s="319"/>
      <c r="AB8" s="319"/>
      <c r="AC8" s="319"/>
      <c r="AD8" s="319"/>
      <c r="AE8" s="320"/>
      <c r="AF8" s="322" t="s">
        <v>114</v>
      </c>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04"/>
      <c r="BF8" s="369" t="s">
        <v>115</v>
      </c>
      <c r="BG8" s="347"/>
      <c r="BH8" s="347"/>
      <c r="BI8" s="347"/>
      <c r="BJ8" s="347"/>
      <c r="BK8" s="348"/>
      <c r="BL8" s="348"/>
      <c r="BM8" s="348"/>
      <c r="BN8" s="302" t="s">
        <v>116</v>
      </c>
      <c r="BO8" s="302"/>
      <c r="BP8" s="302"/>
      <c r="BQ8" s="302"/>
      <c r="BR8" s="302"/>
      <c r="BS8" s="302"/>
      <c r="BT8" s="302"/>
      <c r="BU8" s="302"/>
      <c r="BV8" s="304" t="s">
        <v>117</v>
      </c>
      <c r="BW8" s="302"/>
      <c r="BX8" s="302"/>
      <c r="BY8" s="302"/>
      <c r="BZ8" s="302"/>
      <c r="CA8" s="302"/>
      <c r="CB8" s="302"/>
      <c r="CC8" s="302"/>
      <c r="CD8" s="305"/>
      <c r="CE8" s="10"/>
    </row>
    <row r="9" spans="1:84" s="8" customFormat="1">
      <c r="A9" s="9"/>
      <c r="B9" s="384"/>
      <c r="C9" s="376"/>
      <c r="D9" s="376"/>
      <c r="E9" s="376"/>
      <c r="F9" s="376"/>
      <c r="G9" s="376"/>
      <c r="H9" s="376"/>
      <c r="I9" s="385"/>
      <c r="J9" s="375"/>
      <c r="K9" s="376"/>
      <c r="L9" s="376"/>
      <c r="M9" s="376"/>
      <c r="N9" s="376"/>
      <c r="O9" s="376"/>
      <c r="P9" s="376"/>
      <c r="Q9" s="376"/>
      <c r="R9" s="303"/>
      <c r="S9" s="292"/>
      <c r="T9" s="321"/>
      <c r="U9" s="321"/>
      <c r="V9" s="321"/>
      <c r="W9" s="321"/>
      <c r="X9" s="321"/>
      <c r="Y9" s="321"/>
      <c r="Z9" s="321"/>
      <c r="AA9" s="321"/>
      <c r="AB9" s="321"/>
      <c r="AC9" s="321"/>
      <c r="AD9" s="321"/>
      <c r="AE9" s="293"/>
      <c r="AF9" s="292" t="s">
        <v>480</v>
      </c>
      <c r="AG9" s="293"/>
      <c r="AH9" s="292" t="s">
        <v>481</v>
      </c>
      <c r="AI9" s="293"/>
      <c r="AJ9" s="292" t="s">
        <v>370</v>
      </c>
      <c r="AK9" s="293"/>
      <c r="AL9" s="292" t="s">
        <v>120</v>
      </c>
      <c r="AM9" s="293"/>
      <c r="AN9" s="292" t="s">
        <v>482</v>
      </c>
      <c r="AO9" s="293"/>
      <c r="AP9" s="292" t="s">
        <v>483</v>
      </c>
      <c r="AQ9" s="293"/>
      <c r="AR9" s="292" t="s">
        <v>121</v>
      </c>
      <c r="AS9" s="293"/>
      <c r="AT9" s="292" t="s">
        <v>484</v>
      </c>
      <c r="AU9" s="293"/>
      <c r="AV9" s="292" t="s">
        <v>122</v>
      </c>
      <c r="AW9" s="293"/>
      <c r="AX9" s="292" t="s">
        <v>485</v>
      </c>
      <c r="AY9" s="293"/>
      <c r="AZ9" s="292" t="s">
        <v>486</v>
      </c>
      <c r="BA9" s="293"/>
      <c r="BB9" s="292" t="s">
        <v>487</v>
      </c>
      <c r="BC9" s="293"/>
      <c r="BD9" s="292" t="s">
        <v>124</v>
      </c>
      <c r="BE9" s="293"/>
      <c r="BF9" s="370"/>
      <c r="BG9" s="349"/>
      <c r="BH9" s="349"/>
      <c r="BI9" s="349"/>
      <c r="BJ9" s="349"/>
      <c r="BK9" s="349"/>
      <c r="BL9" s="349"/>
      <c r="BM9" s="350"/>
      <c r="BN9" s="303"/>
      <c r="BO9" s="303"/>
      <c r="BP9" s="303"/>
      <c r="BQ9" s="303"/>
      <c r="BR9" s="303"/>
      <c r="BS9" s="303"/>
      <c r="BT9" s="303"/>
      <c r="BU9" s="303"/>
      <c r="BV9" s="306"/>
      <c r="BW9" s="303"/>
      <c r="BX9" s="303"/>
      <c r="BY9" s="303"/>
      <c r="BZ9" s="303"/>
      <c r="CA9" s="303"/>
      <c r="CB9" s="303"/>
      <c r="CC9" s="303"/>
      <c r="CD9" s="307"/>
      <c r="CE9" s="10"/>
    </row>
    <row r="10" spans="1:84"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25"/>
      <c r="BG10" s="25"/>
      <c r="BH10" s="25"/>
      <c r="BI10" s="25"/>
      <c r="BJ10" s="25"/>
      <c r="BK10" s="25"/>
      <c r="BL10" s="25"/>
      <c r="BM10" s="25"/>
      <c r="BN10" s="371"/>
      <c r="BO10" s="371"/>
      <c r="BP10" s="371"/>
      <c r="BQ10" s="371"/>
      <c r="BR10" s="371"/>
      <c r="BS10" s="371"/>
      <c r="BT10" s="371"/>
      <c r="BU10" s="379"/>
      <c r="BV10" s="378"/>
      <c r="BW10" s="371"/>
      <c r="BX10" s="371"/>
      <c r="BY10" s="371"/>
      <c r="BZ10" s="371"/>
      <c r="CA10" s="371"/>
      <c r="CB10" s="371"/>
      <c r="CC10" s="371"/>
      <c r="CD10" s="379"/>
      <c r="CE10" s="10"/>
      <c r="CF10" s="11"/>
    </row>
    <row r="11" spans="1:84" s="8" customFormat="1">
      <c r="A11" s="9"/>
      <c r="B11" s="40" t="s">
        <v>488</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368"/>
      <c r="AG11" s="368"/>
      <c r="AH11" s="368"/>
      <c r="AI11" s="368"/>
      <c r="AJ11" s="368"/>
      <c r="AK11" s="368"/>
      <c r="AL11" s="368"/>
      <c r="AM11" s="368"/>
      <c r="AN11" s="368"/>
      <c r="AO11" s="368"/>
      <c r="AP11" s="368"/>
      <c r="AQ11" s="368"/>
      <c r="AR11" s="368"/>
      <c r="AS11" s="368"/>
      <c r="AT11" s="368"/>
      <c r="AU11" s="368"/>
      <c r="AV11" s="368"/>
      <c r="AW11" s="368"/>
      <c r="AX11" s="368"/>
      <c r="AY11" s="368"/>
      <c r="AZ11" s="368"/>
      <c r="BA11" s="368"/>
      <c r="BB11" s="368"/>
      <c r="BC11" s="368"/>
      <c r="BD11" s="368"/>
      <c r="BE11" s="368"/>
      <c r="BF11" s="368"/>
      <c r="BG11" s="368"/>
      <c r="BH11" s="368"/>
      <c r="BI11" s="368"/>
      <c r="BJ11" s="368"/>
      <c r="BK11" s="368"/>
      <c r="BL11" s="53"/>
      <c r="BM11" s="53"/>
      <c r="BN11" s="368"/>
      <c r="BO11" s="368"/>
      <c r="BP11" s="368"/>
      <c r="BQ11" s="368"/>
      <c r="BR11" s="368"/>
      <c r="BS11" s="368"/>
      <c r="BT11" s="368"/>
      <c r="BU11" s="386"/>
      <c r="BV11" s="380"/>
      <c r="BW11" s="381"/>
      <c r="BX11" s="381"/>
      <c r="BY11" s="381"/>
      <c r="BZ11" s="381"/>
      <c r="CA11" s="381"/>
      <c r="CB11" s="381"/>
      <c r="CC11" s="381"/>
      <c r="CD11" s="382"/>
      <c r="CE11" s="10"/>
      <c r="CF11" s="11"/>
    </row>
    <row r="12" spans="1:84" s="8" customFormat="1" ht="33" customHeight="1">
      <c r="A12" s="9"/>
      <c r="B12" s="29" t="s">
        <v>489</v>
      </c>
      <c r="C12" s="30"/>
      <c r="D12" s="30"/>
      <c r="E12" s="30"/>
      <c r="F12" s="30"/>
      <c r="G12" s="30"/>
      <c r="H12" s="30"/>
      <c r="I12" s="31"/>
      <c r="J12" s="29" t="s">
        <v>490</v>
      </c>
      <c r="K12" s="30"/>
      <c r="L12" s="30"/>
      <c r="M12" s="30"/>
      <c r="N12" s="30"/>
      <c r="O12" s="30"/>
      <c r="P12" s="30"/>
      <c r="Q12" s="31"/>
      <c r="R12" s="38">
        <v>1</v>
      </c>
      <c r="S12" s="36" t="s">
        <v>491</v>
      </c>
      <c r="T12" s="37"/>
      <c r="U12" s="37"/>
      <c r="V12" s="37"/>
      <c r="W12" s="37"/>
      <c r="X12" s="37"/>
      <c r="Y12" s="37"/>
      <c r="Z12" s="37"/>
      <c r="AA12" s="37"/>
      <c r="AB12" s="37"/>
      <c r="AC12" s="37"/>
      <c r="AD12" s="37"/>
      <c r="AE12" s="38"/>
      <c r="AF12" s="284"/>
      <c r="AG12" s="286"/>
      <c r="AH12" s="284" t="s">
        <v>492</v>
      </c>
      <c r="AI12" s="286"/>
      <c r="AJ12" s="284"/>
      <c r="AK12" s="286"/>
      <c r="AL12" s="284"/>
      <c r="AM12" s="286"/>
      <c r="AN12" s="284"/>
      <c r="AO12" s="286"/>
      <c r="AP12" s="284"/>
      <c r="AQ12" s="286"/>
      <c r="AR12" s="284"/>
      <c r="AS12" s="286"/>
      <c r="AT12" s="284"/>
      <c r="AU12" s="286"/>
      <c r="AV12" s="284"/>
      <c r="AW12" s="286"/>
      <c r="AX12" s="284"/>
      <c r="AY12" s="286"/>
      <c r="AZ12" s="284"/>
      <c r="BA12" s="286"/>
      <c r="BB12" s="284"/>
      <c r="BC12" s="286"/>
      <c r="BD12" s="284"/>
      <c r="BE12" s="286"/>
      <c r="BF12" s="333" t="s">
        <v>493</v>
      </c>
      <c r="BG12" s="358"/>
      <c r="BH12" s="358"/>
      <c r="BI12" s="358"/>
      <c r="BJ12" s="358"/>
      <c r="BK12" s="358"/>
      <c r="BL12" s="358"/>
      <c r="BM12" s="359"/>
      <c r="BN12" s="284" t="s">
        <v>143</v>
      </c>
      <c r="BO12" s="285"/>
      <c r="BP12" s="285"/>
      <c r="BQ12" s="285"/>
      <c r="BR12" s="285"/>
      <c r="BS12" s="285"/>
      <c r="BT12" s="285"/>
      <c r="BU12" s="286"/>
      <c r="BV12" s="377" t="s">
        <v>494</v>
      </c>
      <c r="BW12" s="288"/>
      <c r="BX12" s="288"/>
      <c r="BY12" s="288"/>
      <c r="BZ12" s="288"/>
      <c r="CA12" s="288"/>
      <c r="CB12" s="288"/>
      <c r="CC12" s="288"/>
      <c r="CD12" s="288"/>
      <c r="CE12" s="10"/>
      <c r="CF12" s="11"/>
    </row>
    <row r="13" spans="1:84" s="8" customFormat="1" ht="27" customHeight="1">
      <c r="A13" s="9"/>
      <c r="B13" s="33"/>
      <c r="C13" s="42"/>
      <c r="D13" s="42"/>
      <c r="E13" s="42"/>
      <c r="F13" s="42"/>
      <c r="G13" s="42"/>
      <c r="H13" s="42"/>
      <c r="I13" s="10"/>
      <c r="J13" s="33"/>
      <c r="K13" s="42"/>
      <c r="L13" s="42"/>
      <c r="M13" s="42"/>
      <c r="N13" s="42"/>
      <c r="O13" s="42"/>
      <c r="P13" s="42"/>
      <c r="Q13" s="10"/>
      <c r="R13" s="38">
        <v>2</v>
      </c>
      <c r="S13" s="36" t="s">
        <v>495</v>
      </c>
      <c r="T13" s="37"/>
      <c r="U13" s="37"/>
      <c r="V13" s="37"/>
      <c r="W13" s="37"/>
      <c r="X13" s="37"/>
      <c r="Y13" s="37"/>
      <c r="Z13" s="37"/>
      <c r="AA13" s="37"/>
      <c r="AB13" s="37"/>
      <c r="AC13" s="37"/>
      <c r="AD13" s="37"/>
      <c r="AE13" s="38"/>
      <c r="AF13" s="284"/>
      <c r="AG13" s="286"/>
      <c r="AH13" s="284" t="s">
        <v>492</v>
      </c>
      <c r="AI13" s="286"/>
      <c r="AJ13" s="284"/>
      <c r="AK13" s="286"/>
      <c r="AL13" s="284"/>
      <c r="AM13" s="286"/>
      <c r="AN13" s="284"/>
      <c r="AO13" s="286"/>
      <c r="AP13" s="284"/>
      <c r="AQ13" s="286"/>
      <c r="AR13" s="284"/>
      <c r="AS13" s="286"/>
      <c r="AT13" s="284"/>
      <c r="AU13" s="286"/>
      <c r="AV13" s="284"/>
      <c r="AW13" s="286"/>
      <c r="AX13" s="284"/>
      <c r="AY13" s="286"/>
      <c r="AZ13" s="284"/>
      <c r="BA13" s="286"/>
      <c r="BB13" s="284"/>
      <c r="BC13" s="286"/>
      <c r="BD13" s="284"/>
      <c r="BE13" s="286"/>
      <c r="BF13" s="333" t="s">
        <v>493</v>
      </c>
      <c r="BG13" s="358"/>
      <c r="BH13" s="358"/>
      <c r="BI13" s="358"/>
      <c r="BJ13" s="358"/>
      <c r="BK13" s="358"/>
      <c r="BL13" s="358"/>
      <c r="BM13" s="359"/>
      <c r="BN13" s="284" t="s">
        <v>143</v>
      </c>
      <c r="BO13" s="285"/>
      <c r="BP13" s="285"/>
      <c r="BQ13" s="285"/>
      <c r="BR13" s="285"/>
      <c r="BS13" s="285"/>
      <c r="BT13" s="285"/>
      <c r="BU13" s="286"/>
      <c r="BV13" s="377" t="s">
        <v>494</v>
      </c>
      <c r="BW13" s="288"/>
      <c r="BX13" s="288"/>
      <c r="BY13" s="288"/>
      <c r="BZ13" s="288"/>
      <c r="CA13" s="288"/>
      <c r="CB13" s="288"/>
      <c r="CC13" s="288"/>
      <c r="CD13" s="288"/>
      <c r="CE13" s="10"/>
    </row>
    <row r="14" spans="1:84" s="8" customFormat="1" ht="27" customHeight="1">
      <c r="A14" s="9"/>
      <c r="B14" s="33"/>
      <c r="C14" s="42"/>
      <c r="D14" s="42"/>
      <c r="E14" s="42"/>
      <c r="F14" s="42"/>
      <c r="G14" s="42"/>
      <c r="H14" s="42"/>
      <c r="I14" s="10"/>
      <c r="J14" s="63" t="s">
        <v>496</v>
      </c>
      <c r="K14" s="30"/>
      <c r="L14" s="30"/>
      <c r="M14" s="30"/>
      <c r="N14" s="30"/>
      <c r="O14" s="30"/>
      <c r="P14" s="30"/>
      <c r="Q14" s="31"/>
      <c r="R14" s="38">
        <v>1</v>
      </c>
      <c r="S14" s="36" t="s">
        <v>497</v>
      </c>
      <c r="T14" s="37"/>
      <c r="U14" s="37"/>
      <c r="V14" s="37"/>
      <c r="W14" s="37"/>
      <c r="X14" s="37"/>
      <c r="Y14" s="37"/>
      <c r="Z14" s="37"/>
      <c r="AA14" s="37"/>
      <c r="AB14" s="37"/>
      <c r="AC14" s="37"/>
      <c r="AD14" s="37"/>
      <c r="AE14" s="38"/>
      <c r="AF14" s="284"/>
      <c r="AG14" s="286"/>
      <c r="AH14" s="284" t="s">
        <v>492</v>
      </c>
      <c r="AI14" s="286"/>
      <c r="AJ14" s="284"/>
      <c r="AK14" s="286"/>
      <c r="AL14" s="284"/>
      <c r="AM14" s="286"/>
      <c r="AN14" s="284"/>
      <c r="AO14" s="286"/>
      <c r="AP14" s="284"/>
      <c r="AQ14" s="286"/>
      <c r="AR14" s="284"/>
      <c r="AS14" s="286"/>
      <c r="AT14" s="284"/>
      <c r="AU14" s="286"/>
      <c r="AV14" s="284"/>
      <c r="AW14" s="286"/>
      <c r="AX14" s="284"/>
      <c r="AY14" s="286"/>
      <c r="AZ14" s="284"/>
      <c r="BA14" s="286"/>
      <c r="BB14" s="284"/>
      <c r="BC14" s="286"/>
      <c r="BD14" s="284"/>
      <c r="BE14" s="286"/>
      <c r="BF14" s="333" t="s">
        <v>493</v>
      </c>
      <c r="BG14" s="358"/>
      <c r="BH14" s="358"/>
      <c r="BI14" s="358"/>
      <c r="BJ14" s="358"/>
      <c r="BK14" s="358"/>
      <c r="BL14" s="358"/>
      <c r="BM14" s="359"/>
      <c r="BN14" s="287" t="s">
        <v>143</v>
      </c>
      <c r="BO14" s="287"/>
      <c r="BP14" s="287"/>
      <c r="BQ14" s="287"/>
      <c r="BR14" s="287"/>
      <c r="BS14" s="287"/>
      <c r="BT14" s="287"/>
      <c r="BU14" s="287"/>
      <c r="BV14" s="288"/>
      <c r="BW14" s="288"/>
      <c r="BX14" s="288"/>
      <c r="BY14" s="288"/>
      <c r="BZ14" s="288"/>
      <c r="CA14" s="288"/>
      <c r="CB14" s="288"/>
      <c r="CC14" s="288"/>
      <c r="CD14" s="288"/>
      <c r="CE14" s="10"/>
      <c r="CF14" s="11"/>
    </row>
    <row r="15" spans="1:84" s="8" customFormat="1">
      <c r="A15" s="9"/>
      <c r="B15" s="33"/>
      <c r="C15" s="42"/>
      <c r="D15" s="42"/>
      <c r="E15" s="42"/>
      <c r="F15" s="42"/>
      <c r="G15" s="42"/>
      <c r="H15" s="42"/>
      <c r="I15" s="10"/>
      <c r="J15" s="64"/>
      <c r="K15" s="42"/>
      <c r="L15" s="42"/>
      <c r="M15" s="42"/>
      <c r="N15" s="42"/>
      <c r="O15" s="42"/>
      <c r="P15" s="42"/>
      <c r="Q15" s="10"/>
      <c r="R15" s="38">
        <v>2</v>
      </c>
      <c r="S15" s="36" t="s">
        <v>498</v>
      </c>
      <c r="T15" s="37"/>
      <c r="U15" s="37"/>
      <c r="V15" s="37"/>
      <c r="W15" s="37"/>
      <c r="X15" s="37"/>
      <c r="Y15" s="37"/>
      <c r="Z15" s="37"/>
      <c r="AA15" s="37"/>
      <c r="AB15" s="37"/>
      <c r="AC15" s="37"/>
      <c r="AD15" s="37"/>
      <c r="AE15" s="38"/>
      <c r="AF15" s="284"/>
      <c r="AG15" s="286"/>
      <c r="AH15" s="284" t="s">
        <v>492</v>
      </c>
      <c r="AI15" s="286"/>
      <c r="AJ15" s="284"/>
      <c r="AK15" s="286"/>
      <c r="AL15" s="284"/>
      <c r="AM15" s="286"/>
      <c r="AN15" s="284"/>
      <c r="AO15" s="286"/>
      <c r="AP15" s="284"/>
      <c r="AQ15" s="286"/>
      <c r="AR15" s="284"/>
      <c r="AS15" s="286"/>
      <c r="AT15" s="284"/>
      <c r="AU15" s="286"/>
      <c r="AV15" s="284"/>
      <c r="AW15" s="286"/>
      <c r="AX15" s="284"/>
      <c r="AY15" s="286"/>
      <c r="AZ15" s="284"/>
      <c r="BA15" s="286"/>
      <c r="BB15" s="284"/>
      <c r="BC15" s="286"/>
      <c r="BD15" s="284"/>
      <c r="BE15" s="286"/>
      <c r="BF15" s="284" t="s">
        <v>143</v>
      </c>
      <c r="BG15" s="285"/>
      <c r="BH15" s="285"/>
      <c r="BI15" s="285"/>
      <c r="BJ15" s="285"/>
      <c r="BK15" s="285"/>
      <c r="BL15" s="285"/>
      <c r="BM15" s="286"/>
      <c r="BN15" s="287" t="s">
        <v>143</v>
      </c>
      <c r="BO15" s="287"/>
      <c r="BP15" s="287"/>
      <c r="BQ15" s="287"/>
      <c r="BR15" s="287"/>
      <c r="BS15" s="287"/>
      <c r="BT15" s="287"/>
      <c r="BU15" s="287"/>
      <c r="BV15" s="288" t="s">
        <v>499</v>
      </c>
      <c r="BW15" s="288"/>
      <c r="BX15" s="288"/>
      <c r="BY15" s="288"/>
      <c r="BZ15" s="288"/>
      <c r="CA15" s="288"/>
      <c r="CB15" s="288"/>
      <c r="CC15" s="288"/>
      <c r="CD15" s="288"/>
      <c r="CE15" s="10"/>
      <c r="CF15" s="11"/>
    </row>
    <row r="16" spans="1:84" s="8" customFormat="1">
      <c r="A16" s="9"/>
      <c r="B16" s="33"/>
      <c r="C16" s="42"/>
      <c r="D16" s="42"/>
      <c r="E16" s="42"/>
      <c r="F16" s="42"/>
      <c r="G16" s="42"/>
      <c r="H16" s="42"/>
      <c r="I16" s="10"/>
      <c r="J16" s="68"/>
      <c r="K16" s="34"/>
      <c r="L16" s="34"/>
      <c r="M16" s="34"/>
      <c r="N16" s="34"/>
      <c r="O16" s="34"/>
      <c r="P16" s="34"/>
      <c r="Q16" s="35"/>
      <c r="R16" s="38">
        <v>3</v>
      </c>
      <c r="S16" s="36" t="s">
        <v>500</v>
      </c>
      <c r="T16" s="37"/>
      <c r="U16" s="37"/>
      <c r="V16" s="37"/>
      <c r="W16" s="37"/>
      <c r="X16" s="37"/>
      <c r="Y16" s="37"/>
      <c r="Z16" s="37"/>
      <c r="AA16" s="37"/>
      <c r="AB16" s="37"/>
      <c r="AC16" s="37"/>
      <c r="AD16" s="37"/>
      <c r="AE16" s="38"/>
      <c r="AF16" s="284" t="s">
        <v>492</v>
      </c>
      <c r="AG16" s="286"/>
      <c r="AH16" s="284"/>
      <c r="AI16" s="286"/>
      <c r="AJ16" s="284"/>
      <c r="AK16" s="286"/>
      <c r="AL16" s="284"/>
      <c r="AM16" s="286"/>
      <c r="AN16" s="284"/>
      <c r="AO16" s="286"/>
      <c r="AP16" s="284"/>
      <c r="AQ16" s="286"/>
      <c r="AR16" s="284"/>
      <c r="AS16" s="286"/>
      <c r="AT16" s="284"/>
      <c r="AU16" s="286"/>
      <c r="AV16" s="284"/>
      <c r="AW16" s="286"/>
      <c r="AX16" s="284"/>
      <c r="AY16" s="286"/>
      <c r="AZ16" s="284"/>
      <c r="BA16" s="286"/>
      <c r="BB16" s="284"/>
      <c r="BC16" s="286"/>
      <c r="BD16" s="284"/>
      <c r="BE16" s="286"/>
      <c r="BF16" s="284" t="s">
        <v>143</v>
      </c>
      <c r="BG16" s="285"/>
      <c r="BH16" s="285"/>
      <c r="BI16" s="285"/>
      <c r="BJ16" s="285"/>
      <c r="BK16" s="285"/>
      <c r="BL16" s="285"/>
      <c r="BM16" s="286"/>
      <c r="BN16" s="284" t="s">
        <v>143</v>
      </c>
      <c r="BO16" s="285"/>
      <c r="BP16" s="285"/>
      <c r="BQ16" s="285"/>
      <c r="BR16" s="285"/>
      <c r="BS16" s="285"/>
      <c r="BT16" s="285"/>
      <c r="BU16" s="286"/>
      <c r="BV16" s="288"/>
      <c r="BW16" s="288"/>
      <c r="BX16" s="288"/>
      <c r="BY16" s="288"/>
      <c r="BZ16" s="288"/>
      <c r="CA16" s="288"/>
      <c r="CB16" s="288"/>
      <c r="CC16" s="288"/>
      <c r="CD16" s="288"/>
      <c r="CE16" s="10"/>
    </row>
    <row r="17" spans="1:84" s="8" customFormat="1" ht="27" customHeight="1">
      <c r="A17" s="9"/>
      <c r="B17" s="33"/>
      <c r="C17" s="42"/>
      <c r="D17" s="42"/>
      <c r="E17" s="42"/>
      <c r="F17" s="42"/>
      <c r="G17" s="42"/>
      <c r="H17" s="42"/>
      <c r="I17" s="10"/>
      <c r="J17" s="62" t="s">
        <v>501</v>
      </c>
      <c r="K17" s="30"/>
      <c r="L17" s="30"/>
      <c r="M17" s="30"/>
      <c r="N17" s="30"/>
      <c r="O17" s="30"/>
      <c r="P17" s="30"/>
      <c r="Q17" s="31"/>
      <c r="R17" s="38">
        <v>1</v>
      </c>
      <c r="S17" s="36" t="s">
        <v>502</v>
      </c>
      <c r="T17" s="37"/>
      <c r="U17" s="37"/>
      <c r="V17" s="37"/>
      <c r="W17" s="37"/>
      <c r="X17" s="37"/>
      <c r="Y17" s="37"/>
      <c r="Z17" s="37"/>
      <c r="AA17" s="37"/>
      <c r="AB17" s="37"/>
      <c r="AC17" s="37"/>
      <c r="AD17" s="37"/>
      <c r="AE17" s="38"/>
      <c r="AF17" s="284"/>
      <c r="AG17" s="286"/>
      <c r="AH17" s="284" t="s">
        <v>492</v>
      </c>
      <c r="AI17" s="286"/>
      <c r="AJ17" s="284"/>
      <c r="AK17" s="286"/>
      <c r="AL17" s="284"/>
      <c r="AM17" s="286"/>
      <c r="AN17" s="284"/>
      <c r="AO17" s="286"/>
      <c r="AP17" s="284"/>
      <c r="AQ17" s="286"/>
      <c r="AR17" s="284"/>
      <c r="AS17" s="286"/>
      <c r="AT17" s="284"/>
      <c r="AU17" s="286"/>
      <c r="AV17" s="284"/>
      <c r="AW17" s="286"/>
      <c r="AX17" s="284"/>
      <c r="AY17" s="286"/>
      <c r="AZ17" s="284"/>
      <c r="BA17" s="286"/>
      <c r="BB17" s="284"/>
      <c r="BC17" s="286"/>
      <c r="BD17" s="284"/>
      <c r="BE17" s="286"/>
      <c r="BF17" s="333" t="s">
        <v>493</v>
      </c>
      <c r="BG17" s="358"/>
      <c r="BH17" s="358"/>
      <c r="BI17" s="358"/>
      <c r="BJ17" s="358"/>
      <c r="BK17" s="358"/>
      <c r="BL17" s="358"/>
      <c r="BM17" s="359"/>
      <c r="BN17" s="284" t="s">
        <v>143</v>
      </c>
      <c r="BO17" s="285"/>
      <c r="BP17" s="285"/>
      <c r="BQ17" s="285"/>
      <c r="BR17" s="285"/>
      <c r="BS17" s="285"/>
      <c r="BT17" s="285"/>
      <c r="BU17" s="286"/>
      <c r="BV17" s="288"/>
      <c r="BW17" s="288"/>
      <c r="BX17" s="288"/>
      <c r="BY17" s="288"/>
      <c r="BZ17" s="288"/>
      <c r="CA17" s="288"/>
      <c r="CB17" s="288"/>
      <c r="CC17" s="288"/>
      <c r="CD17" s="288"/>
      <c r="CE17" s="10"/>
      <c r="CF17" s="11"/>
    </row>
    <row r="18" spans="1:84" s="8" customFormat="1" ht="27" customHeight="1">
      <c r="A18" s="9"/>
      <c r="B18" s="33"/>
      <c r="C18" s="42"/>
      <c r="D18" s="42"/>
      <c r="E18" s="42"/>
      <c r="F18" s="42"/>
      <c r="G18" s="42"/>
      <c r="H18" s="42"/>
      <c r="I18" s="10"/>
      <c r="J18" s="64"/>
      <c r="K18" s="42"/>
      <c r="L18" s="42"/>
      <c r="M18" s="42"/>
      <c r="N18" s="42"/>
      <c r="O18" s="42"/>
      <c r="P18" s="42"/>
      <c r="Q18" s="10"/>
      <c r="R18" s="38">
        <v>2</v>
      </c>
      <c r="S18" s="36" t="s">
        <v>503</v>
      </c>
      <c r="T18" s="37"/>
      <c r="U18" s="37"/>
      <c r="V18" s="37"/>
      <c r="W18" s="37"/>
      <c r="X18" s="37"/>
      <c r="Y18" s="37"/>
      <c r="Z18" s="37"/>
      <c r="AA18" s="37"/>
      <c r="AB18" s="37"/>
      <c r="AC18" s="37"/>
      <c r="AD18" s="37"/>
      <c r="AE18" s="38"/>
      <c r="AF18" s="284"/>
      <c r="AG18" s="286"/>
      <c r="AH18" s="284" t="s">
        <v>492</v>
      </c>
      <c r="AI18" s="286"/>
      <c r="AJ18" s="284"/>
      <c r="AK18" s="286"/>
      <c r="AL18" s="284"/>
      <c r="AM18" s="286"/>
      <c r="AN18" s="284"/>
      <c r="AO18" s="286"/>
      <c r="AP18" s="284"/>
      <c r="AQ18" s="286"/>
      <c r="AR18" s="284"/>
      <c r="AS18" s="286"/>
      <c r="AT18" s="284"/>
      <c r="AU18" s="286"/>
      <c r="AV18" s="284"/>
      <c r="AW18" s="286"/>
      <c r="AX18" s="284"/>
      <c r="AY18" s="286"/>
      <c r="AZ18" s="284"/>
      <c r="BA18" s="286"/>
      <c r="BB18" s="284"/>
      <c r="BC18" s="286"/>
      <c r="BD18" s="284"/>
      <c r="BE18" s="286"/>
      <c r="BF18" s="333" t="s">
        <v>493</v>
      </c>
      <c r="BG18" s="358"/>
      <c r="BH18" s="358"/>
      <c r="BI18" s="358"/>
      <c r="BJ18" s="358"/>
      <c r="BK18" s="358"/>
      <c r="BL18" s="358"/>
      <c r="BM18" s="359"/>
      <c r="BN18" s="284" t="s">
        <v>143</v>
      </c>
      <c r="BO18" s="285"/>
      <c r="BP18" s="285"/>
      <c r="BQ18" s="285"/>
      <c r="BR18" s="285"/>
      <c r="BS18" s="285"/>
      <c r="BT18" s="285"/>
      <c r="BU18" s="286"/>
      <c r="BV18" s="288"/>
      <c r="BW18" s="288"/>
      <c r="BX18" s="288"/>
      <c r="BY18" s="288"/>
      <c r="BZ18" s="288"/>
      <c r="CA18" s="288"/>
      <c r="CB18" s="288"/>
      <c r="CC18" s="288"/>
      <c r="CD18" s="288"/>
      <c r="CE18" s="10"/>
      <c r="CF18" s="11"/>
    </row>
    <row r="19" spans="1:84" s="8" customFormat="1" ht="27" customHeight="1">
      <c r="A19" s="9"/>
      <c r="B19" s="33"/>
      <c r="C19" s="42"/>
      <c r="D19" s="42"/>
      <c r="E19" s="42"/>
      <c r="F19" s="42"/>
      <c r="G19" s="42"/>
      <c r="H19" s="42"/>
      <c r="I19" s="10"/>
      <c r="J19" s="42"/>
      <c r="K19" s="42"/>
      <c r="L19" s="42"/>
      <c r="M19" s="42"/>
      <c r="N19" s="42"/>
      <c r="O19" s="42"/>
      <c r="P19" s="42"/>
      <c r="Q19" s="10"/>
      <c r="R19" s="38">
        <v>3</v>
      </c>
      <c r="S19" s="36" t="s">
        <v>504</v>
      </c>
      <c r="T19" s="37"/>
      <c r="U19" s="37"/>
      <c r="V19" s="37"/>
      <c r="W19" s="37"/>
      <c r="X19" s="37"/>
      <c r="Y19" s="37"/>
      <c r="Z19" s="37"/>
      <c r="AA19" s="37"/>
      <c r="AB19" s="37"/>
      <c r="AC19" s="37"/>
      <c r="AD19" s="37"/>
      <c r="AE19" s="38"/>
      <c r="AF19" s="284"/>
      <c r="AG19" s="286"/>
      <c r="AH19" s="284" t="s">
        <v>492</v>
      </c>
      <c r="AI19" s="286"/>
      <c r="AJ19" s="284"/>
      <c r="AK19" s="286"/>
      <c r="AL19" s="284"/>
      <c r="AM19" s="286"/>
      <c r="AN19" s="284"/>
      <c r="AO19" s="286"/>
      <c r="AP19" s="284"/>
      <c r="AQ19" s="286"/>
      <c r="AR19" s="284"/>
      <c r="AS19" s="286"/>
      <c r="AT19" s="284"/>
      <c r="AU19" s="286"/>
      <c r="AV19" s="284"/>
      <c r="AW19" s="286"/>
      <c r="AX19" s="284"/>
      <c r="AY19" s="286"/>
      <c r="AZ19" s="284"/>
      <c r="BA19" s="286"/>
      <c r="BB19" s="284"/>
      <c r="BC19" s="286"/>
      <c r="BD19" s="284"/>
      <c r="BE19" s="286"/>
      <c r="BF19" s="333" t="s">
        <v>493</v>
      </c>
      <c r="BG19" s="358"/>
      <c r="BH19" s="358"/>
      <c r="BI19" s="358"/>
      <c r="BJ19" s="358"/>
      <c r="BK19" s="358"/>
      <c r="BL19" s="358"/>
      <c r="BM19" s="359"/>
      <c r="BN19" s="284" t="s">
        <v>143</v>
      </c>
      <c r="BO19" s="285"/>
      <c r="BP19" s="285"/>
      <c r="BQ19" s="285"/>
      <c r="BR19" s="285"/>
      <c r="BS19" s="285"/>
      <c r="BT19" s="285"/>
      <c r="BU19" s="286"/>
      <c r="BV19" s="288"/>
      <c r="BW19" s="288"/>
      <c r="BX19" s="288"/>
      <c r="BY19" s="288"/>
      <c r="BZ19" s="288"/>
      <c r="CA19" s="288"/>
      <c r="CB19" s="288"/>
      <c r="CC19" s="288"/>
      <c r="CD19" s="288"/>
      <c r="CE19" s="10"/>
      <c r="CF19" s="11"/>
    </row>
    <row r="20" spans="1:84" s="8" customFormat="1">
      <c r="A20" s="9"/>
      <c r="B20" s="33"/>
      <c r="C20" s="42"/>
      <c r="D20" s="42"/>
      <c r="E20" s="42"/>
      <c r="F20" s="42"/>
      <c r="G20" s="42"/>
      <c r="H20" s="42"/>
      <c r="I20" s="10"/>
      <c r="J20" s="33"/>
      <c r="K20" s="42"/>
      <c r="L20" s="42"/>
      <c r="M20" s="42"/>
      <c r="N20" s="42"/>
      <c r="O20" s="42"/>
      <c r="P20" s="42"/>
      <c r="Q20" s="10"/>
      <c r="R20" s="38">
        <v>4</v>
      </c>
      <c r="S20" s="36" t="s">
        <v>505</v>
      </c>
      <c r="T20" s="37"/>
      <c r="U20" s="37"/>
      <c r="V20" s="37"/>
      <c r="W20" s="37"/>
      <c r="X20" s="37"/>
      <c r="Y20" s="37"/>
      <c r="Z20" s="37"/>
      <c r="AA20" s="37"/>
      <c r="AB20" s="37"/>
      <c r="AC20" s="37"/>
      <c r="AD20" s="37"/>
      <c r="AE20" s="38"/>
      <c r="AF20" s="284"/>
      <c r="AG20" s="286"/>
      <c r="AH20" s="284" t="s">
        <v>492</v>
      </c>
      <c r="AI20" s="286"/>
      <c r="AJ20" s="372"/>
      <c r="AK20" s="373"/>
      <c r="AL20" s="284"/>
      <c r="AM20" s="286"/>
      <c r="AN20" s="284"/>
      <c r="AO20" s="286"/>
      <c r="AP20" s="284"/>
      <c r="AQ20" s="286"/>
      <c r="AR20" s="284"/>
      <c r="AS20" s="286"/>
      <c r="AT20" s="284"/>
      <c r="AU20" s="286"/>
      <c r="AV20" s="284"/>
      <c r="AW20" s="286"/>
      <c r="AX20" s="284"/>
      <c r="AY20" s="286"/>
      <c r="AZ20" s="284"/>
      <c r="BA20" s="286"/>
      <c r="BB20" s="284"/>
      <c r="BC20" s="286"/>
      <c r="BD20" s="284"/>
      <c r="BE20" s="286"/>
      <c r="BF20" s="284" t="s">
        <v>143</v>
      </c>
      <c r="BG20" s="285"/>
      <c r="BH20" s="285"/>
      <c r="BI20" s="285"/>
      <c r="BJ20" s="285"/>
      <c r="BK20" s="285"/>
      <c r="BL20" s="285"/>
      <c r="BM20" s="286"/>
      <c r="BN20" s="284" t="s">
        <v>143</v>
      </c>
      <c r="BO20" s="285"/>
      <c r="BP20" s="285"/>
      <c r="BQ20" s="285"/>
      <c r="BR20" s="285"/>
      <c r="BS20" s="285"/>
      <c r="BT20" s="285"/>
      <c r="BU20" s="286"/>
      <c r="BV20" s="288" t="s">
        <v>499</v>
      </c>
      <c r="BW20" s="288"/>
      <c r="BX20" s="288"/>
      <c r="BY20" s="288"/>
      <c r="BZ20" s="288"/>
      <c r="CA20" s="288"/>
      <c r="CB20" s="288"/>
      <c r="CC20" s="288"/>
      <c r="CD20" s="288"/>
      <c r="CE20" s="10"/>
    </row>
    <row r="21" spans="1:84" s="8" customFormat="1">
      <c r="A21" s="9"/>
      <c r="B21" s="33"/>
      <c r="C21" s="42"/>
      <c r="D21" s="42"/>
      <c r="E21" s="42"/>
      <c r="F21" s="42"/>
      <c r="G21" s="42"/>
      <c r="H21" s="42"/>
      <c r="I21" s="10"/>
      <c r="J21" s="33"/>
      <c r="K21" s="42"/>
      <c r="L21" s="42"/>
      <c r="M21" s="42"/>
      <c r="N21" s="42"/>
      <c r="O21" s="42"/>
      <c r="P21" s="42"/>
      <c r="Q21" s="10"/>
      <c r="R21" s="38">
        <v>5</v>
      </c>
      <c r="S21" s="36" t="s">
        <v>506</v>
      </c>
      <c r="T21" s="37"/>
      <c r="U21" s="37"/>
      <c r="V21" s="37"/>
      <c r="W21" s="37"/>
      <c r="X21" s="37"/>
      <c r="Y21" s="37"/>
      <c r="Z21" s="37"/>
      <c r="AA21" s="37"/>
      <c r="AB21" s="37"/>
      <c r="AC21" s="37"/>
      <c r="AD21" s="37"/>
      <c r="AE21" s="38"/>
      <c r="AF21" s="284" t="s">
        <v>492</v>
      </c>
      <c r="AG21" s="286"/>
      <c r="AH21" s="372"/>
      <c r="AI21" s="373"/>
      <c r="AJ21" s="372"/>
      <c r="AK21" s="373"/>
      <c r="AL21" s="284"/>
      <c r="AM21" s="286"/>
      <c r="AN21" s="284"/>
      <c r="AO21" s="286"/>
      <c r="AP21" s="284"/>
      <c r="AQ21" s="286"/>
      <c r="AR21" s="284"/>
      <c r="AS21" s="286"/>
      <c r="AT21" s="284"/>
      <c r="AU21" s="286"/>
      <c r="AV21" s="284"/>
      <c r="AW21" s="286"/>
      <c r="AX21" s="284"/>
      <c r="AY21" s="286"/>
      <c r="AZ21" s="284"/>
      <c r="BA21" s="286"/>
      <c r="BB21" s="284"/>
      <c r="BC21" s="286"/>
      <c r="BD21" s="284"/>
      <c r="BE21" s="286"/>
      <c r="BF21" s="284" t="s">
        <v>143</v>
      </c>
      <c r="BG21" s="285"/>
      <c r="BH21" s="285"/>
      <c r="BI21" s="285"/>
      <c r="BJ21" s="285"/>
      <c r="BK21" s="285"/>
      <c r="BL21" s="285"/>
      <c r="BM21" s="286"/>
      <c r="BN21" s="284" t="s">
        <v>143</v>
      </c>
      <c r="BO21" s="285"/>
      <c r="BP21" s="285"/>
      <c r="BQ21" s="285"/>
      <c r="BR21" s="285"/>
      <c r="BS21" s="285"/>
      <c r="BT21" s="285"/>
      <c r="BU21" s="286"/>
      <c r="BV21" s="288" t="s">
        <v>499</v>
      </c>
      <c r="BW21" s="288"/>
      <c r="BX21" s="288"/>
      <c r="BY21" s="288"/>
      <c r="BZ21" s="288"/>
      <c r="CA21" s="288"/>
      <c r="CB21" s="288"/>
      <c r="CC21" s="288"/>
      <c r="CD21" s="288"/>
      <c r="CE21" s="10"/>
    </row>
    <row r="22" spans="1:84" s="8" customFormat="1">
      <c r="A22" s="9"/>
      <c r="B22" s="29" t="s">
        <v>507</v>
      </c>
      <c r="C22" s="30"/>
      <c r="D22" s="30"/>
      <c r="E22" s="30"/>
      <c r="F22" s="30"/>
      <c r="G22" s="30"/>
      <c r="H22" s="30"/>
      <c r="I22" s="31"/>
      <c r="J22" s="29" t="s">
        <v>508</v>
      </c>
      <c r="K22" s="30"/>
      <c r="L22" s="30"/>
      <c r="M22" s="30"/>
      <c r="N22" s="30"/>
      <c r="O22" s="30"/>
      <c r="P22" s="30"/>
      <c r="Q22" s="31"/>
      <c r="R22" s="38">
        <v>1</v>
      </c>
      <c r="S22" s="36" t="s">
        <v>509</v>
      </c>
      <c r="T22" s="37"/>
      <c r="U22" s="37"/>
      <c r="V22" s="37"/>
      <c r="W22" s="37"/>
      <c r="X22" s="37"/>
      <c r="Y22" s="37"/>
      <c r="Z22" s="37"/>
      <c r="AA22" s="37"/>
      <c r="AB22" s="37"/>
      <c r="AC22" s="37"/>
      <c r="AD22" s="37"/>
      <c r="AE22" s="38"/>
      <c r="AF22" s="284"/>
      <c r="AG22" s="286"/>
      <c r="AH22" s="284"/>
      <c r="AI22" s="286"/>
      <c r="AJ22" s="284"/>
      <c r="AK22" s="286"/>
      <c r="AL22" s="284"/>
      <c r="AM22" s="286"/>
      <c r="AN22" s="284" t="s">
        <v>492</v>
      </c>
      <c r="AO22" s="286"/>
      <c r="AP22" s="284"/>
      <c r="AQ22" s="286"/>
      <c r="AR22" s="284"/>
      <c r="AS22" s="286"/>
      <c r="AT22" s="284"/>
      <c r="AU22" s="286"/>
      <c r="AV22" s="284"/>
      <c r="AW22" s="286"/>
      <c r="AX22" s="284"/>
      <c r="AY22" s="286"/>
      <c r="AZ22" s="284"/>
      <c r="BA22" s="286"/>
      <c r="BB22" s="284"/>
      <c r="BC22" s="286"/>
      <c r="BD22" s="284"/>
      <c r="BE22" s="286"/>
      <c r="BF22" s="284" t="s">
        <v>143</v>
      </c>
      <c r="BG22" s="285"/>
      <c r="BH22" s="285"/>
      <c r="BI22" s="285"/>
      <c r="BJ22" s="285"/>
      <c r="BK22" s="285"/>
      <c r="BL22" s="285"/>
      <c r="BM22" s="286"/>
      <c r="BN22" s="284" t="s">
        <v>143</v>
      </c>
      <c r="BO22" s="285"/>
      <c r="BP22" s="285"/>
      <c r="BQ22" s="285"/>
      <c r="BR22" s="285"/>
      <c r="BS22" s="285"/>
      <c r="BT22" s="285"/>
      <c r="BU22" s="286"/>
      <c r="BV22" s="288"/>
      <c r="BW22" s="288"/>
      <c r="BX22" s="288"/>
      <c r="BY22" s="288"/>
      <c r="BZ22" s="288"/>
      <c r="CA22" s="288"/>
      <c r="CB22" s="288"/>
      <c r="CC22" s="288"/>
      <c r="CD22" s="288"/>
      <c r="CE22" s="10"/>
      <c r="CF22" s="11"/>
    </row>
    <row r="23" spans="1:84" s="8" customFormat="1">
      <c r="A23" s="9"/>
      <c r="B23" s="33"/>
      <c r="C23" s="42"/>
      <c r="D23" s="42"/>
      <c r="E23" s="42"/>
      <c r="F23" s="42"/>
      <c r="G23" s="42"/>
      <c r="H23" s="42"/>
      <c r="I23" s="10"/>
      <c r="J23" s="33"/>
      <c r="K23" s="42"/>
      <c r="L23" s="42"/>
      <c r="M23" s="42"/>
      <c r="N23" s="42"/>
      <c r="O23" s="42"/>
      <c r="P23" s="42"/>
      <c r="Q23" s="10"/>
      <c r="R23" s="38">
        <v>2</v>
      </c>
      <c r="S23" s="36" t="s">
        <v>510</v>
      </c>
      <c r="T23" s="37"/>
      <c r="U23" s="37"/>
      <c r="V23" s="37"/>
      <c r="W23" s="37"/>
      <c r="X23" s="37"/>
      <c r="Y23" s="37"/>
      <c r="Z23" s="37"/>
      <c r="AA23" s="37"/>
      <c r="AB23" s="37"/>
      <c r="AC23" s="37"/>
      <c r="AD23" s="37"/>
      <c r="AE23" s="38"/>
      <c r="AF23" s="284"/>
      <c r="AG23" s="286"/>
      <c r="AH23" s="284"/>
      <c r="AI23" s="286"/>
      <c r="AJ23" s="284"/>
      <c r="AK23" s="286"/>
      <c r="AL23" s="284"/>
      <c r="AM23" s="286"/>
      <c r="AN23" s="284" t="s">
        <v>492</v>
      </c>
      <c r="AO23" s="286"/>
      <c r="AP23" s="284"/>
      <c r="AQ23" s="286"/>
      <c r="AR23" s="284"/>
      <c r="AS23" s="286"/>
      <c r="AT23" s="284"/>
      <c r="AU23" s="286"/>
      <c r="AV23" s="284"/>
      <c r="AW23" s="286"/>
      <c r="AX23" s="284"/>
      <c r="AY23" s="286"/>
      <c r="AZ23" s="284"/>
      <c r="BA23" s="286"/>
      <c r="BB23" s="284"/>
      <c r="BC23" s="286"/>
      <c r="BD23" s="284"/>
      <c r="BE23" s="286"/>
      <c r="BF23" s="284" t="s">
        <v>511</v>
      </c>
      <c r="BG23" s="285"/>
      <c r="BH23" s="285"/>
      <c r="BI23" s="285"/>
      <c r="BJ23" s="285"/>
      <c r="BK23" s="285"/>
      <c r="BL23" s="285"/>
      <c r="BM23" s="286"/>
      <c r="BN23" s="284" t="s">
        <v>143</v>
      </c>
      <c r="BO23" s="285"/>
      <c r="BP23" s="285"/>
      <c r="BQ23" s="285"/>
      <c r="BR23" s="285"/>
      <c r="BS23" s="285"/>
      <c r="BT23" s="285"/>
      <c r="BU23" s="286"/>
      <c r="BV23" s="288"/>
      <c r="BW23" s="288"/>
      <c r="BX23" s="288"/>
      <c r="BY23" s="288"/>
      <c r="BZ23" s="288"/>
      <c r="CA23" s="288"/>
      <c r="CB23" s="288"/>
      <c r="CC23" s="288"/>
      <c r="CD23" s="288"/>
      <c r="CE23" s="10"/>
    </row>
    <row r="24" spans="1:84" s="8" customFormat="1">
      <c r="A24" s="9"/>
      <c r="B24" s="33"/>
      <c r="C24" s="42"/>
      <c r="D24" s="42"/>
      <c r="E24" s="42"/>
      <c r="F24" s="42"/>
      <c r="G24" s="42"/>
      <c r="H24" s="42"/>
      <c r="I24" s="10"/>
      <c r="J24" s="30" t="s">
        <v>512</v>
      </c>
      <c r="K24" s="30"/>
      <c r="L24" s="30"/>
      <c r="M24" s="30"/>
      <c r="N24" s="30"/>
      <c r="O24" s="30"/>
      <c r="P24" s="30"/>
      <c r="Q24" s="31"/>
      <c r="R24" s="38">
        <v>1</v>
      </c>
      <c r="S24" s="36" t="s">
        <v>513</v>
      </c>
      <c r="T24" s="37"/>
      <c r="U24" s="37"/>
      <c r="V24" s="37"/>
      <c r="W24" s="37"/>
      <c r="X24" s="37"/>
      <c r="Y24" s="37"/>
      <c r="Z24" s="37"/>
      <c r="AA24" s="37"/>
      <c r="AB24" s="37"/>
      <c r="AC24" s="37"/>
      <c r="AD24" s="37"/>
      <c r="AE24" s="38"/>
      <c r="AF24" s="284"/>
      <c r="AG24" s="286"/>
      <c r="AH24" s="284"/>
      <c r="AI24" s="286"/>
      <c r="AJ24" s="284"/>
      <c r="AK24" s="286"/>
      <c r="AL24" s="284"/>
      <c r="AM24" s="286"/>
      <c r="AN24" s="284" t="s">
        <v>130</v>
      </c>
      <c r="AO24" s="286"/>
      <c r="AP24" s="284"/>
      <c r="AQ24" s="286"/>
      <c r="AR24" s="284"/>
      <c r="AS24" s="286"/>
      <c r="AT24" s="284"/>
      <c r="AU24" s="286"/>
      <c r="AV24" s="284"/>
      <c r="AW24" s="286"/>
      <c r="AX24" s="284"/>
      <c r="AY24" s="286"/>
      <c r="AZ24" s="284"/>
      <c r="BA24" s="286"/>
      <c r="BB24" s="284"/>
      <c r="BC24" s="286"/>
      <c r="BD24" s="284"/>
      <c r="BE24" s="286"/>
      <c r="BF24" s="284" t="s">
        <v>131</v>
      </c>
      <c r="BG24" s="285"/>
      <c r="BH24" s="285"/>
      <c r="BI24" s="285"/>
      <c r="BJ24" s="285"/>
      <c r="BK24" s="285"/>
      <c r="BL24" s="285"/>
      <c r="BM24" s="286"/>
      <c r="BN24" s="284" t="s">
        <v>514</v>
      </c>
      <c r="BO24" s="285"/>
      <c r="BP24" s="285"/>
      <c r="BQ24" s="285"/>
      <c r="BR24" s="285"/>
      <c r="BS24" s="285"/>
      <c r="BT24" s="285"/>
      <c r="BU24" s="286"/>
      <c r="BV24" s="288"/>
      <c r="BW24" s="288"/>
      <c r="BX24" s="288"/>
      <c r="BY24" s="288"/>
      <c r="BZ24" s="288"/>
      <c r="CA24" s="288"/>
      <c r="CB24" s="288"/>
      <c r="CC24" s="288"/>
      <c r="CD24" s="288"/>
      <c r="CE24" s="10"/>
      <c r="CF24" s="11"/>
    </row>
    <row r="25" spans="1:84" s="8" customFormat="1">
      <c r="A25" s="9"/>
      <c r="B25" s="33"/>
      <c r="C25" s="42"/>
      <c r="D25" s="42"/>
      <c r="E25" s="42"/>
      <c r="F25" s="42"/>
      <c r="G25" s="42"/>
      <c r="H25" s="42"/>
      <c r="I25" s="10"/>
      <c r="J25" s="42"/>
      <c r="K25" s="42"/>
      <c r="L25" s="42"/>
      <c r="M25" s="42"/>
      <c r="N25" s="42"/>
      <c r="O25" s="42"/>
      <c r="P25" s="42"/>
      <c r="Q25" s="10"/>
      <c r="R25" s="38">
        <v>2</v>
      </c>
      <c r="S25" s="36" t="s">
        <v>515</v>
      </c>
      <c r="T25" s="37"/>
      <c r="U25" s="37"/>
      <c r="V25" s="37"/>
      <c r="W25" s="37"/>
      <c r="X25" s="37"/>
      <c r="Y25" s="37"/>
      <c r="Z25" s="37"/>
      <c r="AA25" s="37"/>
      <c r="AB25" s="37"/>
      <c r="AC25" s="37"/>
      <c r="AD25" s="37"/>
      <c r="AE25" s="38"/>
      <c r="AF25" s="284"/>
      <c r="AG25" s="286"/>
      <c r="AH25" s="284"/>
      <c r="AI25" s="286"/>
      <c r="AJ25" s="284"/>
      <c r="AK25" s="286"/>
      <c r="AL25" s="284"/>
      <c r="AM25" s="286"/>
      <c r="AN25" s="284" t="s">
        <v>130</v>
      </c>
      <c r="AO25" s="286"/>
      <c r="AP25" s="284"/>
      <c r="AQ25" s="286"/>
      <c r="AR25" s="284"/>
      <c r="AS25" s="286"/>
      <c r="AT25" s="284"/>
      <c r="AU25" s="286"/>
      <c r="AV25" s="284"/>
      <c r="AW25" s="286"/>
      <c r="AX25" s="284"/>
      <c r="AY25" s="286"/>
      <c r="AZ25" s="284"/>
      <c r="BA25" s="286"/>
      <c r="BB25" s="284"/>
      <c r="BC25" s="286"/>
      <c r="BD25" s="284"/>
      <c r="BE25" s="286"/>
      <c r="BF25" s="284" t="s">
        <v>131</v>
      </c>
      <c r="BG25" s="285"/>
      <c r="BH25" s="285"/>
      <c r="BI25" s="285"/>
      <c r="BJ25" s="285"/>
      <c r="BK25" s="285"/>
      <c r="BL25" s="285"/>
      <c r="BM25" s="286"/>
      <c r="BN25" s="284" t="s">
        <v>134</v>
      </c>
      <c r="BO25" s="285"/>
      <c r="BP25" s="285"/>
      <c r="BQ25" s="285"/>
      <c r="BR25" s="285"/>
      <c r="BS25" s="285"/>
      <c r="BT25" s="285"/>
      <c r="BU25" s="286"/>
      <c r="BV25" s="288"/>
      <c r="BW25" s="288"/>
      <c r="BX25" s="288"/>
      <c r="BY25" s="288"/>
      <c r="BZ25" s="288"/>
      <c r="CA25" s="288"/>
      <c r="CB25" s="288"/>
      <c r="CC25" s="288"/>
      <c r="CD25" s="288"/>
      <c r="CE25" s="10"/>
    </row>
    <row r="26" spans="1:84" s="8" customFormat="1">
      <c r="A26" s="9"/>
      <c r="B26" s="33"/>
      <c r="C26" s="42"/>
      <c r="D26" s="42"/>
      <c r="E26" s="42"/>
      <c r="F26" s="42"/>
      <c r="G26" s="42"/>
      <c r="H26" s="42"/>
      <c r="I26" s="10"/>
      <c r="J26" s="42"/>
      <c r="K26" s="42"/>
      <c r="L26" s="42"/>
      <c r="M26" s="42"/>
      <c r="N26" s="42"/>
      <c r="O26" s="42"/>
      <c r="P26" s="42"/>
      <c r="Q26" s="10"/>
      <c r="R26" s="38">
        <v>3</v>
      </c>
      <c r="S26" s="36" t="s">
        <v>516</v>
      </c>
      <c r="T26" s="37"/>
      <c r="U26" s="37"/>
      <c r="V26" s="37"/>
      <c r="W26" s="37"/>
      <c r="X26" s="37"/>
      <c r="Y26" s="37"/>
      <c r="Z26" s="37"/>
      <c r="AA26" s="37"/>
      <c r="AB26" s="37"/>
      <c r="AC26" s="37"/>
      <c r="AD26" s="37"/>
      <c r="AE26" s="38"/>
      <c r="AF26" s="284"/>
      <c r="AG26" s="286"/>
      <c r="AH26" s="284"/>
      <c r="AI26" s="286"/>
      <c r="AJ26" s="284"/>
      <c r="AK26" s="286"/>
      <c r="AL26" s="284"/>
      <c r="AM26" s="286"/>
      <c r="AN26" s="284" t="s">
        <v>130</v>
      </c>
      <c r="AO26" s="286"/>
      <c r="AP26" s="284"/>
      <c r="AQ26" s="286"/>
      <c r="AR26" s="284"/>
      <c r="AS26" s="286"/>
      <c r="AT26" s="284"/>
      <c r="AU26" s="286"/>
      <c r="AV26" s="284"/>
      <c r="AW26" s="286"/>
      <c r="AX26" s="284"/>
      <c r="AY26" s="286"/>
      <c r="AZ26" s="284"/>
      <c r="BA26" s="286"/>
      <c r="BB26" s="284"/>
      <c r="BC26" s="286"/>
      <c r="BD26" s="284"/>
      <c r="BE26" s="286"/>
      <c r="BF26" s="284" t="s">
        <v>131</v>
      </c>
      <c r="BG26" s="285"/>
      <c r="BH26" s="285"/>
      <c r="BI26" s="285"/>
      <c r="BJ26" s="285"/>
      <c r="BK26" s="285"/>
      <c r="BL26" s="285"/>
      <c r="BM26" s="286"/>
      <c r="BN26" s="284" t="s">
        <v>517</v>
      </c>
      <c r="BO26" s="285"/>
      <c r="BP26" s="285"/>
      <c r="BQ26" s="285"/>
      <c r="BR26" s="285"/>
      <c r="BS26" s="285"/>
      <c r="BT26" s="285"/>
      <c r="BU26" s="286"/>
      <c r="BV26" s="288" t="s">
        <v>518</v>
      </c>
      <c r="BW26" s="288"/>
      <c r="BX26" s="288"/>
      <c r="BY26" s="288"/>
      <c r="BZ26" s="288"/>
      <c r="CA26" s="288"/>
      <c r="CB26" s="288"/>
      <c r="CC26" s="288"/>
      <c r="CD26" s="288"/>
      <c r="CE26" s="10"/>
    </row>
    <row r="27" spans="1:84" s="8" customFormat="1">
      <c r="A27" s="9"/>
      <c r="B27" s="33"/>
      <c r="C27" s="42"/>
      <c r="D27" s="42"/>
      <c r="E27" s="42"/>
      <c r="F27" s="42"/>
      <c r="G27" s="42"/>
      <c r="H27" s="42"/>
      <c r="I27" s="10"/>
      <c r="J27" s="34"/>
      <c r="K27" s="34"/>
      <c r="L27" s="34"/>
      <c r="M27" s="34"/>
      <c r="N27" s="34"/>
      <c r="O27" s="34"/>
      <c r="P27" s="34"/>
      <c r="Q27" s="35"/>
      <c r="R27" s="38">
        <v>4</v>
      </c>
      <c r="S27" s="36" t="s">
        <v>519</v>
      </c>
      <c r="T27" s="37"/>
      <c r="U27" s="37"/>
      <c r="V27" s="37"/>
      <c r="W27" s="37"/>
      <c r="X27" s="37"/>
      <c r="Y27" s="37"/>
      <c r="Z27" s="37"/>
      <c r="AA27" s="37"/>
      <c r="AB27" s="37"/>
      <c r="AC27" s="37"/>
      <c r="AD27" s="37"/>
      <c r="AE27" s="38"/>
      <c r="AF27" s="284"/>
      <c r="AG27" s="286"/>
      <c r="AH27" s="284"/>
      <c r="AI27" s="286"/>
      <c r="AJ27" s="284"/>
      <c r="AK27" s="286"/>
      <c r="AL27" s="284"/>
      <c r="AM27" s="286"/>
      <c r="AN27" s="284"/>
      <c r="AO27" s="286"/>
      <c r="AP27" s="284"/>
      <c r="AQ27" s="286"/>
      <c r="AR27" s="284"/>
      <c r="AS27" s="286"/>
      <c r="AT27" s="284"/>
      <c r="AU27" s="286"/>
      <c r="AV27" s="284"/>
      <c r="AW27" s="286"/>
      <c r="AX27" s="284"/>
      <c r="AY27" s="286"/>
      <c r="AZ27" s="284"/>
      <c r="BA27" s="286"/>
      <c r="BB27" s="284"/>
      <c r="BC27" s="286"/>
      <c r="BD27" s="284" t="s">
        <v>130</v>
      </c>
      <c r="BE27" s="286"/>
      <c r="BF27" s="284" t="s">
        <v>131</v>
      </c>
      <c r="BG27" s="285"/>
      <c r="BH27" s="285"/>
      <c r="BI27" s="285"/>
      <c r="BJ27" s="285"/>
      <c r="BK27" s="285"/>
      <c r="BL27" s="285"/>
      <c r="BM27" s="286"/>
      <c r="BN27" s="284" t="s">
        <v>137</v>
      </c>
      <c r="BO27" s="285"/>
      <c r="BP27" s="285"/>
      <c r="BQ27" s="285"/>
      <c r="BR27" s="285"/>
      <c r="BS27" s="285"/>
      <c r="BT27" s="285"/>
      <c r="BU27" s="286"/>
      <c r="BV27" s="288"/>
      <c r="BW27" s="288"/>
      <c r="BX27" s="288"/>
      <c r="BY27" s="288"/>
      <c r="BZ27" s="288"/>
      <c r="CA27" s="288"/>
      <c r="CB27" s="288"/>
      <c r="CC27" s="288"/>
      <c r="CD27" s="288"/>
      <c r="CE27" s="10"/>
      <c r="CF27" s="11"/>
    </row>
    <row r="28" spans="1:84" s="8" customFormat="1">
      <c r="A28" s="9"/>
      <c r="B28" s="33"/>
      <c r="C28" s="42"/>
      <c r="D28" s="42"/>
      <c r="E28" s="42"/>
      <c r="F28" s="42"/>
      <c r="G28" s="42"/>
      <c r="H28" s="42"/>
      <c r="I28" s="10"/>
      <c r="J28" s="30" t="s">
        <v>520</v>
      </c>
      <c r="K28" s="30"/>
      <c r="L28" s="30"/>
      <c r="M28" s="30"/>
      <c r="N28" s="30"/>
      <c r="O28" s="30"/>
      <c r="P28" s="30"/>
      <c r="Q28" s="31"/>
      <c r="R28" s="38">
        <v>1</v>
      </c>
      <c r="S28" s="36" t="s">
        <v>497</v>
      </c>
      <c r="T28" s="37"/>
      <c r="U28" s="37"/>
      <c r="V28" s="37"/>
      <c r="W28" s="37"/>
      <c r="X28" s="37"/>
      <c r="Y28" s="37"/>
      <c r="Z28" s="37"/>
      <c r="AA28" s="37"/>
      <c r="AB28" s="37"/>
      <c r="AC28" s="37"/>
      <c r="AD28" s="37"/>
      <c r="AE28" s="38"/>
      <c r="AF28" s="284"/>
      <c r="AG28" s="286"/>
      <c r="AH28" s="284"/>
      <c r="AI28" s="286"/>
      <c r="AJ28" s="284"/>
      <c r="AK28" s="286"/>
      <c r="AL28" s="284"/>
      <c r="AM28" s="286"/>
      <c r="AN28" s="284" t="s">
        <v>492</v>
      </c>
      <c r="AO28" s="286"/>
      <c r="AP28" s="284"/>
      <c r="AQ28" s="286"/>
      <c r="AR28" s="284"/>
      <c r="AS28" s="286"/>
      <c r="AT28" s="284"/>
      <c r="AU28" s="286"/>
      <c r="AV28" s="284"/>
      <c r="AW28" s="286"/>
      <c r="AX28" s="284"/>
      <c r="AY28" s="286"/>
      <c r="AZ28" s="284"/>
      <c r="BA28" s="286"/>
      <c r="BB28" s="284"/>
      <c r="BC28" s="286"/>
      <c r="BD28" s="284"/>
      <c r="BE28" s="286"/>
      <c r="BF28" s="284" t="s">
        <v>511</v>
      </c>
      <c r="BG28" s="285"/>
      <c r="BH28" s="285"/>
      <c r="BI28" s="285"/>
      <c r="BJ28" s="285"/>
      <c r="BK28" s="285"/>
      <c r="BL28" s="285"/>
      <c r="BM28" s="286"/>
      <c r="BN28" s="284" t="s">
        <v>143</v>
      </c>
      <c r="BO28" s="285"/>
      <c r="BP28" s="285"/>
      <c r="BQ28" s="285"/>
      <c r="BR28" s="285"/>
      <c r="BS28" s="285"/>
      <c r="BT28" s="285"/>
      <c r="BU28" s="286"/>
      <c r="BV28" s="288"/>
      <c r="BW28" s="288"/>
      <c r="BX28" s="288"/>
      <c r="BY28" s="288"/>
      <c r="BZ28" s="288"/>
      <c r="CA28" s="288"/>
      <c r="CB28" s="288"/>
      <c r="CC28" s="288"/>
      <c r="CD28" s="288"/>
      <c r="CE28" s="10"/>
      <c r="CF28" s="11"/>
    </row>
    <row r="29" spans="1:84" s="8" customFormat="1">
      <c r="A29" s="9"/>
      <c r="B29" s="33"/>
      <c r="C29" s="42"/>
      <c r="D29" s="42"/>
      <c r="E29" s="42"/>
      <c r="F29" s="42"/>
      <c r="G29" s="42"/>
      <c r="H29" s="42"/>
      <c r="I29" s="10"/>
      <c r="J29" s="42"/>
      <c r="K29" s="42"/>
      <c r="L29" s="42"/>
      <c r="M29" s="42"/>
      <c r="N29" s="42"/>
      <c r="O29" s="42"/>
      <c r="P29" s="42"/>
      <c r="Q29" s="10"/>
      <c r="R29" s="38">
        <v>2</v>
      </c>
      <c r="S29" s="36" t="s">
        <v>498</v>
      </c>
      <c r="T29" s="37"/>
      <c r="U29" s="37"/>
      <c r="V29" s="37"/>
      <c r="W29" s="37"/>
      <c r="X29" s="37"/>
      <c r="Y29" s="37"/>
      <c r="Z29" s="37"/>
      <c r="AA29" s="37"/>
      <c r="AB29" s="37"/>
      <c r="AC29" s="37"/>
      <c r="AD29" s="37"/>
      <c r="AE29" s="38"/>
      <c r="AF29" s="284"/>
      <c r="AG29" s="286"/>
      <c r="AH29" s="284"/>
      <c r="AI29" s="286"/>
      <c r="AJ29" s="284"/>
      <c r="AK29" s="286"/>
      <c r="AL29" s="284"/>
      <c r="AM29" s="286"/>
      <c r="AN29" s="284" t="s">
        <v>492</v>
      </c>
      <c r="AO29" s="286"/>
      <c r="AP29" s="284"/>
      <c r="AQ29" s="286"/>
      <c r="AR29" s="284"/>
      <c r="AS29" s="286"/>
      <c r="AT29" s="284"/>
      <c r="AU29" s="286"/>
      <c r="AV29" s="284"/>
      <c r="AW29" s="286"/>
      <c r="AX29" s="284"/>
      <c r="AY29" s="286"/>
      <c r="AZ29" s="284"/>
      <c r="BA29" s="286"/>
      <c r="BB29" s="284"/>
      <c r="BC29" s="286"/>
      <c r="BD29" s="284"/>
      <c r="BE29" s="286"/>
      <c r="BF29" s="284" t="s">
        <v>143</v>
      </c>
      <c r="BG29" s="285"/>
      <c r="BH29" s="285"/>
      <c r="BI29" s="285"/>
      <c r="BJ29" s="285"/>
      <c r="BK29" s="285"/>
      <c r="BL29" s="285"/>
      <c r="BM29" s="286"/>
      <c r="BN29" s="284" t="s">
        <v>143</v>
      </c>
      <c r="BO29" s="285"/>
      <c r="BP29" s="285"/>
      <c r="BQ29" s="285"/>
      <c r="BR29" s="285"/>
      <c r="BS29" s="285"/>
      <c r="BT29" s="285"/>
      <c r="BU29" s="286"/>
      <c r="BV29" s="288" t="s">
        <v>499</v>
      </c>
      <c r="BW29" s="288"/>
      <c r="BX29" s="288"/>
      <c r="BY29" s="288"/>
      <c r="BZ29" s="288"/>
      <c r="CA29" s="288"/>
      <c r="CB29" s="288"/>
      <c r="CC29" s="288"/>
      <c r="CD29" s="288"/>
      <c r="CE29" s="10"/>
    </row>
    <row r="30" spans="1:84" s="8" customFormat="1">
      <c r="A30" s="9"/>
      <c r="B30" s="33"/>
      <c r="C30" s="42"/>
      <c r="D30" s="42"/>
      <c r="E30" s="42"/>
      <c r="F30" s="42"/>
      <c r="G30" s="42"/>
      <c r="H30" s="42"/>
      <c r="I30" s="10"/>
      <c r="J30" s="34"/>
      <c r="K30" s="34"/>
      <c r="L30" s="34"/>
      <c r="M30" s="34"/>
      <c r="N30" s="34"/>
      <c r="O30" s="34"/>
      <c r="P30" s="34"/>
      <c r="Q30" s="35"/>
      <c r="R30" s="38">
        <v>3</v>
      </c>
      <c r="S30" s="36" t="s">
        <v>500</v>
      </c>
      <c r="T30" s="37"/>
      <c r="U30" s="37"/>
      <c r="V30" s="37"/>
      <c r="W30" s="37"/>
      <c r="X30" s="37"/>
      <c r="Y30" s="37"/>
      <c r="Z30" s="37"/>
      <c r="AA30" s="37"/>
      <c r="AB30" s="37"/>
      <c r="AC30" s="37"/>
      <c r="AD30" s="37"/>
      <c r="AE30" s="38"/>
      <c r="AF30" s="284" t="s">
        <v>492</v>
      </c>
      <c r="AG30" s="286"/>
      <c r="AH30" s="284"/>
      <c r="AI30" s="286"/>
      <c r="AJ30" s="284"/>
      <c r="AK30" s="286"/>
      <c r="AL30" s="284"/>
      <c r="AM30" s="286"/>
      <c r="AN30" s="284"/>
      <c r="AO30" s="286"/>
      <c r="AP30" s="284"/>
      <c r="AQ30" s="286"/>
      <c r="AR30" s="284"/>
      <c r="AS30" s="286"/>
      <c r="AT30" s="284"/>
      <c r="AU30" s="286"/>
      <c r="AV30" s="284"/>
      <c r="AW30" s="286"/>
      <c r="AX30" s="284"/>
      <c r="AY30" s="286"/>
      <c r="AZ30" s="284"/>
      <c r="BA30" s="286"/>
      <c r="BB30" s="284"/>
      <c r="BC30" s="286"/>
      <c r="BD30" s="284"/>
      <c r="BE30" s="286"/>
      <c r="BF30" s="284" t="s">
        <v>143</v>
      </c>
      <c r="BG30" s="285"/>
      <c r="BH30" s="285"/>
      <c r="BI30" s="285"/>
      <c r="BJ30" s="285"/>
      <c r="BK30" s="285"/>
      <c r="BL30" s="285"/>
      <c r="BM30" s="286"/>
      <c r="BN30" s="284" t="s">
        <v>143</v>
      </c>
      <c r="BO30" s="285"/>
      <c r="BP30" s="285"/>
      <c r="BQ30" s="285"/>
      <c r="BR30" s="285"/>
      <c r="BS30" s="285"/>
      <c r="BT30" s="285"/>
      <c r="BU30" s="286"/>
      <c r="BV30" s="288"/>
      <c r="BW30" s="288"/>
      <c r="BX30" s="288"/>
      <c r="BY30" s="288"/>
      <c r="BZ30" s="288"/>
      <c r="CA30" s="288"/>
      <c r="CB30" s="288"/>
      <c r="CC30" s="288"/>
      <c r="CD30" s="288"/>
      <c r="CE30" s="10"/>
      <c r="CF30" s="11"/>
    </row>
    <row r="31" spans="1:84" s="8" customFormat="1">
      <c r="A31" s="9"/>
      <c r="B31" s="33"/>
      <c r="C31" s="42"/>
      <c r="D31" s="42"/>
      <c r="E31" s="42"/>
      <c r="F31" s="42"/>
      <c r="G31" s="42"/>
      <c r="H31" s="42"/>
      <c r="I31" s="10"/>
      <c r="J31" s="29" t="s">
        <v>521</v>
      </c>
      <c r="K31" s="30"/>
      <c r="L31" s="30"/>
      <c r="M31" s="30"/>
      <c r="N31" s="30"/>
      <c r="O31" s="30"/>
      <c r="P31" s="30"/>
      <c r="Q31" s="31"/>
      <c r="R31" s="38">
        <v>1</v>
      </c>
      <c r="S31" s="36" t="s">
        <v>502</v>
      </c>
      <c r="T31" s="37"/>
      <c r="U31" s="37"/>
      <c r="V31" s="37"/>
      <c r="W31" s="37"/>
      <c r="X31" s="37"/>
      <c r="Y31" s="37"/>
      <c r="Z31" s="37"/>
      <c r="AA31" s="37"/>
      <c r="AB31" s="37"/>
      <c r="AC31" s="37"/>
      <c r="AD31" s="37"/>
      <c r="AE31" s="38"/>
      <c r="AF31" s="284"/>
      <c r="AG31" s="286"/>
      <c r="AH31" s="284"/>
      <c r="AI31" s="286"/>
      <c r="AJ31" s="284"/>
      <c r="AK31" s="286"/>
      <c r="AL31" s="284"/>
      <c r="AM31" s="286"/>
      <c r="AN31" s="284" t="s">
        <v>492</v>
      </c>
      <c r="AO31" s="286"/>
      <c r="AP31" s="284"/>
      <c r="AQ31" s="286"/>
      <c r="AR31" s="284"/>
      <c r="AS31" s="286"/>
      <c r="AT31" s="284"/>
      <c r="AU31" s="286"/>
      <c r="AV31" s="284"/>
      <c r="AW31" s="286"/>
      <c r="AX31" s="284"/>
      <c r="AY31" s="286"/>
      <c r="AZ31" s="284"/>
      <c r="BA31" s="286"/>
      <c r="BB31" s="284"/>
      <c r="BC31" s="286"/>
      <c r="BD31" s="284"/>
      <c r="BE31" s="286"/>
      <c r="BF31" s="284" t="s">
        <v>511</v>
      </c>
      <c r="BG31" s="285"/>
      <c r="BH31" s="285"/>
      <c r="BI31" s="285"/>
      <c r="BJ31" s="285"/>
      <c r="BK31" s="285"/>
      <c r="BL31" s="285"/>
      <c r="BM31" s="286"/>
      <c r="BN31" s="284" t="s">
        <v>143</v>
      </c>
      <c r="BO31" s="285"/>
      <c r="BP31" s="285"/>
      <c r="BQ31" s="285"/>
      <c r="BR31" s="285"/>
      <c r="BS31" s="285"/>
      <c r="BT31" s="285"/>
      <c r="BU31" s="286"/>
      <c r="BV31" s="288"/>
      <c r="BW31" s="288"/>
      <c r="BX31" s="288"/>
      <c r="BY31" s="288"/>
      <c r="BZ31" s="288"/>
      <c r="CA31" s="288"/>
      <c r="CB31" s="288"/>
      <c r="CC31" s="288"/>
      <c r="CD31" s="288"/>
      <c r="CE31" s="10"/>
    </row>
    <row r="32" spans="1:84" s="8" customFormat="1">
      <c r="A32" s="9"/>
      <c r="B32" s="33"/>
      <c r="C32" s="42"/>
      <c r="D32" s="42"/>
      <c r="E32" s="42"/>
      <c r="F32" s="42"/>
      <c r="G32" s="42"/>
      <c r="H32" s="42"/>
      <c r="I32" s="10"/>
      <c r="J32" s="42"/>
      <c r="K32" s="42"/>
      <c r="L32" s="42"/>
      <c r="M32" s="42"/>
      <c r="N32" s="42"/>
      <c r="O32" s="42"/>
      <c r="P32" s="42"/>
      <c r="Q32" s="10"/>
      <c r="R32" s="38">
        <v>2</v>
      </c>
      <c r="S32" s="36" t="s">
        <v>503</v>
      </c>
      <c r="T32" s="37"/>
      <c r="U32" s="37"/>
      <c r="V32" s="37"/>
      <c r="W32" s="37"/>
      <c r="X32" s="37"/>
      <c r="Y32" s="37"/>
      <c r="Z32" s="37"/>
      <c r="AA32" s="37"/>
      <c r="AB32" s="37"/>
      <c r="AC32" s="37"/>
      <c r="AD32" s="37"/>
      <c r="AE32" s="38"/>
      <c r="AF32" s="284"/>
      <c r="AG32" s="286"/>
      <c r="AH32" s="284"/>
      <c r="AI32" s="286"/>
      <c r="AJ32" s="284"/>
      <c r="AK32" s="286"/>
      <c r="AL32" s="284"/>
      <c r="AM32" s="286"/>
      <c r="AN32" s="284" t="s">
        <v>492</v>
      </c>
      <c r="AO32" s="286"/>
      <c r="AP32" s="284"/>
      <c r="AQ32" s="286"/>
      <c r="AR32" s="284"/>
      <c r="AS32" s="286"/>
      <c r="AT32" s="284"/>
      <c r="AU32" s="286"/>
      <c r="AV32" s="284"/>
      <c r="AW32" s="286"/>
      <c r="AX32" s="284"/>
      <c r="AY32" s="286"/>
      <c r="AZ32" s="284"/>
      <c r="BA32" s="286"/>
      <c r="BB32" s="284"/>
      <c r="BC32" s="286"/>
      <c r="BD32" s="284"/>
      <c r="BE32" s="286"/>
      <c r="BF32" s="284" t="s">
        <v>511</v>
      </c>
      <c r="BG32" s="285"/>
      <c r="BH32" s="285"/>
      <c r="BI32" s="285"/>
      <c r="BJ32" s="285"/>
      <c r="BK32" s="285"/>
      <c r="BL32" s="285"/>
      <c r="BM32" s="286"/>
      <c r="BN32" s="284" t="s">
        <v>143</v>
      </c>
      <c r="BO32" s="285"/>
      <c r="BP32" s="285"/>
      <c r="BQ32" s="285"/>
      <c r="BR32" s="285"/>
      <c r="BS32" s="285"/>
      <c r="BT32" s="285"/>
      <c r="BU32" s="286"/>
      <c r="BV32" s="288"/>
      <c r="BW32" s="288"/>
      <c r="BX32" s="288"/>
      <c r="BY32" s="288"/>
      <c r="BZ32" s="288"/>
      <c r="CA32" s="288"/>
      <c r="CB32" s="288"/>
      <c r="CC32" s="288"/>
      <c r="CD32" s="288"/>
      <c r="CE32" s="10"/>
      <c r="CF32" s="11"/>
    </row>
    <row r="33" spans="1:84" s="8" customFormat="1">
      <c r="A33" s="9"/>
      <c r="B33" s="33"/>
      <c r="C33" s="42"/>
      <c r="D33" s="42"/>
      <c r="E33" s="42"/>
      <c r="F33" s="42"/>
      <c r="G33" s="42"/>
      <c r="H33" s="42"/>
      <c r="I33" s="10"/>
      <c r="J33" s="42"/>
      <c r="K33" s="42"/>
      <c r="L33" s="42"/>
      <c r="M33" s="42"/>
      <c r="N33" s="42"/>
      <c r="O33" s="42"/>
      <c r="P33" s="42"/>
      <c r="Q33" s="10"/>
      <c r="R33" s="38">
        <v>3</v>
      </c>
      <c r="S33" s="36" t="s">
        <v>522</v>
      </c>
      <c r="T33" s="37"/>
      <c r="U33" s="37"/>
      <c r="V33" s="37"/>
      <c r="W33" s="37"/>
      <c r="X33" s="37"/>
      <c r="Y33" s="37"/>
      <c r="Z33" s="37"/>
      <c r="AA33" s="37"/>
      <c r="AB33" s="37"/>
      <c r="AC33" s="37"/>
      <c r="AD33" s="37"/>
      <c r="AE33" s="38"/>
      <c r="AF33" s="284"/>
      <c r="AG33" s="286"/>
      <c r="AH33" s="284"/>
      <c r="AI33" s="286"/>
      <c r="AJ33" s="284"/>
      <c r="AK33" s="286"/>
      <c r="AL33" s="284"/>
      <c r="AM33" s="286"/>
      <c r="AN33" s="284" t="s">
        <v>492</v>
      </c>
      <c r="AO33" s="286"/>
      <c r="AP33" s="284"/>
      <c r="AQ33" s="286"/>
      <c r="AR33" s="284"/>
      <c r="AS33" s="286"/>
      <c r="AT33" s="284"/>
      <c r="AU33" s="286"/>
      <c r="AV33" s="284"/>
      <c r="AW33" s="286"/>
      <c r="AX33" s="284"/>
      <c r="AY33" s="286"/>
      <c r="AZ33" s="284"/>
      <c r="BA33" s="286"/>
      <c r="BB33" s="284"/>
      <c r="BC33" s="286"/>
      <c r="BD33" s="284"/>
      <c r="BE33" s="286"/>
      <c r="BF33" s="284" t="s">
        <v>511</v>
      </c>
      <c r="BG33" s="285"/>
      <c r="BH33" s="285"/>
      <c r="BI33" s="285"/>
      <c r="BJ33" s="285"/>
      <c r="BK33" s="285"/>
      <c r="BL33" s="285"/>
      <c r="BM33" s="286"/>
      <c r="BN33" s="284" t="s">
        <v>143</v>
      </c>
      <c r="BO33" s="285"/>
      <c r="BP33" s="285"/>
      <c r="BQ33" s="285"/>
      <c r="BR33" s="285"/>
      <c r="BS33" s="285"/>
      <c r="BT33" s="285"/>
      <c r="BU33" s="286"/>
      <c r="BV33" s="288"/>
      <c r="BW33" s="288"/>
      <c r="BX33" s="288"/>
      <c r="BY33" s="288"/>
      <c r="BZ33" s="288"/>
      <c r="CA33" s="288"/>
      <c r="CB33" s="288"/>
      <c r="CC33" s="288"/>
      <c r="CD33" s="288"/>
      <c r="CE33" s="10"/>
      <c r="CF33" s="11"/>
    </row>
    <row r="34" spans="1:84" s="8" customFormat="1">
      <c r="A34" s="9"/>
      <c r="B34" s="33"/>
      <c r="C34" s="42"/>
      <c r="D34" s="42"/>
      <c r="E34" s="42"/>
      <c r="F34" s="42"/>
      <c r="G34" s="42"/>
      <c r="H34" s="42"/>
      <c r="I34" s="10"/>
      <c r="J34" s="42"/>
      <c r="K34" s="42"/>
      <c r="L34" s="42"/>
      <c r="M34" s="42"/>
      <c r="N34" s="42"/>
      <c r="O34" s="42"/>
      <c r="P34" s="42"/>
      <c r="Q34" s="10"/>
      <c r="R34" s="38">
        <v>4</v>
      </c>
      <c r="S34" s="36" t="s">
        <v>505</v>
      </c>
      <c r="T34" s="37"/>
      <c r="U34" s="37"/>
      <c r="V34" s="37"/>
      <c r="W34" s="37"/>
      <c r="X34" s="37"/>
      <c r="Y34" s="37"/>
      <c r="Z34" s="37"/>
      <c r="AA34" s="37"/>
      <c r="AB34" s="37"/>
      <c r="AC34" s="37"/>
      <c r="AD34" s="37"/>
      <c r="AE34" s="38"/>
      <c r="AF34" s="284"/>
      <c r="AG34" s="286"/>
      <c r="AH34" s="284"/>
      <c r="AI34" s="286"/>
      <c r="AJ34" s="284"/>
      <c r="AK34" s="286"/>
      <c r="AL34" s="284"/>
      <c r="AM34" s="286"/>
      <c r="AN34" s="284" t="s">
        <v>492</v>
      </c>
      <c r="AO34" s="286"/>
      <c r="AP34" s="284"/>
      <c r="AQ34" s="286"/>
      <c r="AR34" s="284"/>
      <c r="AS34" s="286"/>
      <c r="AT34" s="284"/>
      <c r="AU34" s="286"/>
      <c r="AV34" s="284"/>
      <c r="AW34" s="286"/>
      <c r="AX34" s="284"/>
      <c r="AY34" s="286"/>
      <c r="AZ34" s="284"/>
      <c r="BA34" s="286"/>
      <c r="BB34" s="284"/>
      <c r="BC34" s="286"/>
      <c r="BD34" s="284"/>
      <c r="BE34" s="286"/>
      <c r="BF34" s="284" t="s">
        <v>143</v>
      </c>
      <c r="BG34" s="285"/>
      <c r="BH34" s="285"/>
      <c r="BI34" s="285"/>
      <c r="BJ34" s="285"/>
      <c r="BK34" s="285"/>
      <c r="BL34" s="285"/>
      <c r="BM34" s="286"/>
      <c r="BN34" s="284" t="s">
        <v>143</v>
      </c>
      <c r="BO34" s="285"/>
      <c r="BP34" s="285"/>
      <c r="BQ34" s="285"/>
      <c r="BR34" s="285"/>
      <c r="BS34" s="285"/>
      <c r="BT34" s="285"/>
      <c r="BU34" s="286"/>
      <c r="BV34" s="288" t="s">
        <v>499</v>
      </c>
      <c r="BW34" s="288"/>
      <c r="BX34" s="288"/>
      <c r="BY34" s="288"/>
      <c r="BZ34" s="288"/>
      <c r="CA34" s="288"/>
      <c r="CB34" s="288"/>
      <c r="CC34" s="288"/>
      <c r="CD34" s="288"/>
      <c r="CE34" s="10"/>
    </row>
    <row r="35" spans="1:84" s="8" customFormat="1">
      <c r="A35" s="9"/>
      <c r="B35" s="33"/>
      <c r="C35" s="42"/>
      <c r="D35" s="42"/>
      <c r="E35" s="42"/>
      <c r="F35" s="42"/>
      <c r="G35" s="42"/>
      <c r="H35" s="42"/>
      <c r="I35" s="10"/>
      <c r="J35" s="42"/>
      <c r="K35" s="42"/>
      <c r="L35" s="42"/>
      <c r="M35" s="42"/>
      <c r="N35" s="42"/>
      <c r="O35" s="42"/>
      <c r="P35" s="42"/>
      <c r="Q35" s="10"/>
      <c r="R35" s="38">
        <v>5</v>
      </c>
      <c r="S35" s="36" t="s">
        <v>506</v>
      </c>
      <c r="T35" s="37"/>
      <c r="U35" s="37"/>
      <c r="V35" s="37"/>
      <c r="W35" s="37"/>
      <c r="X35" s="37"/>
      <c r="Y35" s="37"/>
      <c r="Z35" s="37"/>
      <c r="AA35" s="37"/>
      <c r="AB35" s="37"/>
      <c r="AC35" s="37"/>
      <c r="AD35" s="37"/>
      <c r="AE35" s="38"/>
      <c r="AF35" s="284" t="s">
        <v>492</v>
      </c>
      <c r="AG35" s="286"/>
      <c r="AH35" s="284"/>
      <c r="AI35" s="286"/>
      <c r="AJ35" s="284"/>
      <c r="AK35" s="286"/>
      <c r="AL35" s="284"/>
      <c r="AM35" s="286"/>
      <c r="AN35" s="284"/>
      <c r="AO35" s="286"/>
      <c r="AP35" s="284"/>
      <c r="AQ35" s="286"/>
      <c r="AR35" s="284"/>
      <c r="AS35" s="286"/>
      <c r="AT35" s="284"/>
      <c r="AU35" s="286"/>
      <c r="AV35" s="284"/>
      <c r="AW35" s="286"/>
      <c r="AX35" s="284"/>
      <c r="AY35" s="286"/>
      <c r="AZ35" s="284"/>
      <c r="BA35" s="286"/>
      <c r="BB35" s="284"/>
      <c r="BC35" s="286"/>
      <c r="BD35" s="284"/>
      <c r="BE35" s="286"/>
      <c r="BF35" s="284" t="s">
        <v>143</v>
      </c>
      <c r="BG35" s="285"/>
      <c r="BH35" s="285"/>
      <c r="BI35" s="285"/>
      <c r="BJ35" s="285"/>
      <c r="BK35" s="285"/>
      <c r="BL35" s="285"/>
      <c r="BM35" s="286"/>
      <c r="BN35" s="284" t="s">
        <v>143</v>
      </c>
      <c r="BO35" s="285"/>
      <c r="BP35" s="285"/>
      <c r="BQ35" s="285"/>
      <c r="BR35" s="285"/>
      <c r="BS35" s="285"/>
      <c r="BT35" s="285"/>
      <c r="BU35" s="286"/>
      <c r="BV35" s="288"/>
      <c r="BW35" s="288"/>
      <c r="BX35" s="288"/>
      <c r="BY35" s="288"/>
      <c r="BZ35" s="288"/>
      <c r="CA35" s="288"/>
      <c r="CB35" s="288"/>
      <c r="CC35" s="288"/>
      <c r="CD35" s="288"/>
      <c r="CE35" s="10"/>
      <c r="CF35" s="11"/>
    </row>
    <row r="36" spans="1:84" s="8" customFormat="1">
      <c r="A36" s="9"/>
      <c r="B36" s="47" t="s">
        <v>523</v>
      </c>
      <c r="C36" s="30"/>
      <c r="D36" s="30"/>
      <c r="E36" s="30"/>
      <c r="F36" s="30"/>
      <c r="G36" s="30"/>
      <c r="H36" s="30"/>
      <c r="I36" s="30"/>
      <c r="J36" s="29" t="s">
        <v>524</v>
      </c>
      <c r="K36" s="30"/>
      <c r="L36" s="30"/>
      <c r="M36" s="30"/>
      <c r="N36" s="30"/>
      <c r="O36" s="30"/>
      <c r="P36" s="30"/>
      <c r="Q36" s="31"/>
      <c r="R36" s="38">
        <v>1</v>
      </c>
      <c r="S36" s="36" t="s">
        <v>525</v>
      </c>
      <c r="T36" s="37"/>
      <c r="U36" s="37"/>
      <c r="V36" s="37"/>
      <c r="W36" s="37"/>
      <c r="X36" s="37"/>
      <c r="Y36" s="37"/>
      <c r="Z36" s="37"/>
      <c r="AA36" s="37"/>
      <c r="AB36" s="37"/>
      <c r="AC36" s="37"/>
      <c r="AD36" s="37"/>
      <c r="AE36" s="38"/>
      <c r="AF36" s="284" t="s">
        <v>492</v>
      </c>
      <c r="AG36" s="286"/>
      <c r="AH36" s="284"/>
      <c r="AI36" s="286"/>
      <c r="AJ36" s="284"/>
      <c r="AK36" s="286"/>
      <c r="AL36" s="284"/>
      <c r="AM36" s="286"/>
      <c r="AN36" s="284"/>
      <c r="AO36" s="286"/>
      <c r="AP36" s="284"/>
      <c r="AQ36" s="286"/>
      <c r="AR36" s="284"/>
      <c r="AS36" s="286"/>
      <c r="AT36" s="284"/>
      <c r="AU36" s="286"/>
      <c r="AV36" s="284"/>
      <c r="AW36" s="286"/>
      <c r="AX36" s="284"/>
      <c r="AY36" s="286"/>
      <c r="AZ36" s="284"/>
      <c r="BA36" s="286"/>
      <c r="BB36" s="284"/>
      <c r="BC36" s="286"/>
      <c r="BD36" s="284"/>
      <c r="BE36" s="286"/>
      <c r="BF36" s="284" t="s">
        <v>143</v>
      </c>
      <c r="BG36" s="285"/>
      <c r="BH36" s="285"/>
      <c r="BI36" s="285"/>
      <c r="BJ36" s="285"/>
      <c r="BK36" s="285"/>
      <c r="BL36" s="285"/>
      <c r="BM36" s="286"/>
      <c r="BN36" s="284" t="s">
        <v>143</v>
      </c>
      <c r="BO36" s="285"/>
      <c r="BP36" s="285"/>
      <c r="BQ36" s="285"/>
      <c r="BR36" s="285"/>
      <c r="BS36" s="285"/>
      <c r="BT36" s="285"/>
      <c r="BU36" s="286"/>
      <c r="BV36" s="288"/>
      <c r="BW36" s="288"/>
      <c r="BX36" s="288"/>
      <c r="BY36" s="288"/>
      <c r="BZ36" s="288"/>
      <c r="CA36" s="288"/>
      <c r="CB36" s="288"/>
      <c r="CC36" s="288"/>
      <c r="CD36" s="288"/>
      <c r="CE36" s="10"/>
    </row>
    <row r="37" spans="1:84" s="8" customFormat="1">
      <c r="A37" s="9"/>
      <c r="B37" s="33"/>
      <c r="C37" s="42"/>
      <c r="D37" s="42"/>
      <c r="E37" s="42"/>
      <c r="F37" s="42"/>
      <c r="G37" s="42"/>
      <c r="H37" s="42"/>
      <c r="I37" s="42"/>
      <c r="J37" s="32" t="s">
        <v>526</v>
      </c>
      <c r="K37" s="42"/>
      <c r="L37" s="42"/>
      <c r="M37" s="42"/>
      <c r="N37" s="42"/>
      <c r="O37" s="42"/>
      <c r="P37" s="42"/>
      <c r="Q37" s="10"/>
      <c r="R37" s="38">
        <v>2</v>
      </c>
      <c r="S37" s="36" t="s">
        <v>527</v>
      </c>
      <c r="T37" s="37"/>
      <c r="U37" s="37"/>
      <c r="V37" s="37"/>
      <c r="W37" s="37"/>
      <c r="X37" s="37"/>
      <c r="Y37" s="37"/>
      <c r="Z37" s="37"/>
      <c r="AA37" s="37"/>
      <c r="AB37" s="37"/>
      <c r="AC37" s="37"/>
      <c r="AD37" s="37"/>
      <c r="AE37" s="38"/>
      <c r="AF37" s="284"/>
      <c r="AG37" s="286"/>
      <c r="AH37" s="284"/>
      <c r="AI37" s="286"/>
      <c r="AJ37" s="284" t="s">
        <v>492</v>
      </c>
      <c r="AK37" s="286"/>
      <c r="AL37" s="284"/>
      <c r="AM37" s="286"/>
      <c r="AN37" s="284"/>
      <c r="AO37" s="286"/>
      <c r="AP37" s="284"/>
      <c r="AQ37" s="286"/>
      <c r="AR37" s="284"/>
      <c r="AS37" s="286"/>
      <c r="AT37" s="284"/>
      <c r="AU37" s="286"/>
      <c r="AV37" s="284"/>
      <c r="AW37" s="286"/>
      <c r="AX37" s="284"/>
      <c r="AY37" s="286"/>
      <c r="AZ37" s="284"/>
      <c r="BA37" s="286"/>
      <c r="BB37" s="284"/>
      <c r="BC37" s="286"/>
      <c r="BD37" s="284"/>
      <c r="BE37" s="286"/>
      <c r="BF37" s="284" t="s">
        <v>528</v>
      </c>
      <c r="BG37" s="285"/>
      <c r="BH37" s="285"/>
      <c r="BI37" s="285"/>
      <c r="BJ37" s="285"/>
      <c r="BK37" s="285"/>
      <c r="BL37" s="285"/>
      <c r="BM37" s="286"/>
      <c r="BN37" s="284" t="s">
        <v>143</v>
      </c>
      <c r="BO37" s="285"/>
      <c r="BP37" s="285"/>
      <c r="BQ37" s="285"/>
      <c r="BR37" s="285"/>
      <c r="BS37" s="285"/>
      <c r="BT37" s="285"/>
      <c r="BU37" s="286"/>
      <c r="BV37" s="288"/>
      <c r="BW37" s="288"/>
      <c r="BX37" s="288"/>
      <c r="BY37" s="288"/>
      <c r="BZ37" s="288"/>
      <c r="CA37" s="288"/>
      <c r="CB37" s="288"/>
      <c r="CC37" s="288"/>
      <c r="CD37" s="288"/>
      <c r="CE37" s="10"/>
      <c r="CF37" s="11"/>
    </row>
    <row r="38" spans="1:84" s="8" customFormat="1" ht="27" customHeight="1">
      <c r="A38" s="9"/>
      <c r="B38" s="32"/>
      <c r="C38" s="42"/>
      <c r="D38" s="42"/>
      <c r="E38" s="42"/>
      <c r="F38" s="42"/>
      <c r="G38" s="42"/>
      <c r="H38" s="42"/>
      <c r="I38" s="42"/>
      <c r="J38" s="32"/>
      <c r="K38" s="42"/>
      <c r="L38" s="42"/>
      <c r="M38" s="42"/>
      <c r="N38" s="42"/>
      <c r="O38" s="42"/>
      <c r="P38" s="42"/>
      <c r="Q38" s="10"/>
      <c r="R38" s="38">
        <v>3</v>
      </c>
      <c r="S38" s="36" t="s">
        <v>529</v>
      </c>
      <c r="T38" s="37"/>
      <c r="U38" s="37"/>
      <c r="V38" s="37"/>
      <c r="W38" s="37"/>
      <c r="X38" s="37"/>
      <c r="Y38" s="37"/>
      <c r="Z38" s="37"/>
      <c r="AA38" s="37"/>
      <c r="AB38" s="37"/>
      <c r="AC38" s="37"/>
      <c r="AD38" s="37"/>
      <c r="AE38" s="38"/>
      <c r="AF38" s="284"/>
      <c r="AG38" s="286"/>
      <c r="AH38" s="284"/>
      <c r="AI38" s="286"/>
      <c r="AJ38" s="284" t="s">
        <v>492</v>
      </c>
      <c r="AK38" s="286"/>
      <c r="AL38" s="284"/>
      <c r="AM38" s="286"/>
      <c r="AN38" s="284"/>
      <c r="AO38" s="286"/>
      <c r="AP38" s="284"/>
      <c r="AQ38" s="286"/>
      <c r="AR38" s="284"/>
      <c r="AS38" s="286"/>
      <c r="AT38" s="284"/>
      <c r="AU38" s="286"/>
      <c r="AV38" s="284"/>
      <c r="AW38" s="286"/>
      <c r="AX38" s="284"/>
      <c r="AY38" s="286"/>
      <c r="AZ38" s="284"/>
      <c r="BA38" s="286"/>
      <c r="BB38" s="284"/>
      <c r="BC38" s="286"/>
      <c r="BD38" s="284"/>
      <c r="BE38" s="286"/>
      <c r="BF38" s="333" t="s">
        <v>493</v>
      </c>
      <c r="BG38" s="358"/>
      <c r="BH38" s="358"/>
      <c r="BI38" s="358"/>
      <c r="BJ38" s="358"/>
      <c r="BK38" s="358"/>
      <c r="BL38" s="358"/>
      <c r="BM38" s="359"/>
      <c r="BN38" s="284" t="s">
        <v>143</v>
      </c>
      <c r="BO38" s="285"/>
      <c r="BP38" s="285"/>
      <c r="BQ38" s="285"/>
      <c r="BR38" s="285"/>
      <c r="BS38" s="285"/>
      <c r="BT38" s="285"/>
      <c r="BU38" s="286"/>
      <c r="BV38" s="288"/>
      <c r="BW38" s="288"/>
      <c r="BX38" s="288"/>
      <c r="BY38" s="288"/>
      <c r="BZ38" s="288"/>
      <c r="CA38" s="288"/>
      <c r="CB38" s="288"/>
      <c r="CC38" s="288"/>
      <c r="CD38" s="288"/>
      <c r="CE38" s="10"/>
    </row>
    <row r="39" spans="1:84" s="8" customFormat="1" ht="27" customHeight="1">
      <c r="A39" s="9"/>
      <c r="B39" s="32"/>
      <c r="C39" s="42"/>
      <c r="D39" s="42"/>
      <c r="E39" s="42"/>
      <c r="F39" s="42"/>
      <c r="G39" s="42"/>
      <c r="H39" s="42"/>
      <c r="I39" s="10"/>
      <c r="J39" s="32"/>
      <c r="K39" s="42"/>
      <c r="L39" s="42"/>
      <c r="M39" s="42"/>
      <c r="N39" s="42"/>
      <c r="O39" s="42"/>
      <c r="P39" s="42"/>
      <c r="Q39" s="10"/>
      <c r="R39" s="38">
        <v>4</v>
      </c>
      <c r="S39" s="36" t="s">
        <v>530</v>
      </c>
      <c r="T39" s="37"/>
      <c r="U39" s="37"/>
      <c r="V39" s="37"/>
      <c r="W39" s="37"/>
      <c r="X39" s="37"/>
      <c r="Y39" s="37"/>
      <c r="Z39" s="37"/>
      <c r="AA39" s="37"/>
      <c r="AB39" s="37"/>
      <c r="AC39" s="37"/>
      <c r="AD39" s="37"/>
      <c r="AE39" s="38"/>
      <c r="AF39" s="284"/>
      <c r="AG39" s="286"/>
      <c r="AH39" s="284"/>
      <c r="AI39" s="286"/>
      <c r="AJ39" s="284" t="s">
        <v>492</v>
      </c>
      <c r="AK39" s="286"/>
      <c r="AL39" s="284"/>
      <c r="AM39" s="286"/>
      <c r="AN39" s="284"/>
      <c r="AO39" s="286"/>
      <c r="AP39" s="284"/>
      <c r="AQ39" s="286"/>
      <c r="AR39" s="284"/>
      <c r="AS39" s="286"/>
      <c r="AT39" s="284"/>
      <c r="AU39" s="286"/>
      <c r="AV39" s="284"/>
      <c r="AW39" s="286"/>
      <c r="AX39" s="284"/>
      <c r="AY39" s="286"/>
      <c r="AZ39" s="284"/>
      <c r="BA39" s="286"/>
      <c r="BB39" s="284"/>
      <c r="BC39" s="286"/>
      <c r="BD39" s="284"/>
      <c r="BE39" s="286"/>
      <c r="BF39" s="363" t="s">
        <v>493</v>
      </c>
      <c r="BG39" s="364"/>
      <c r="BH39" s="364"/>
      <c r="BI39" s="364"/>
      <c r="BJ39" s="364"/>
      <c r="BK39" s="364"/>
      <c r="BL39" s="364"/>
      <c r="BM39" s="365"/>
      <c r="BN39" s="284" t="s">
        <v>143</v>
      </c>
      <c r="BO39" s="285"/>
      <c r="BP39" s="285"/>
      <c r="BQ39" s="285"/>
      <c r="BR39" s="285"/>
      <c r="BS39" s="285"/>
      <c r="BT39" s="285"/>
      <c r="BU39" s="286"/>
      <c r="BV39" s="288"/>
      <c r="BW39" s="288"/>
      <c r="BX39" s="288"/>
      <c r="BY39" s="288"/>
      <c r="BZ39" s="288"/>
      <c r="CA39" s="288"/>
      <c r="CB39" s="288"/>
      <c r="CC39" s="288"/>
      <c r="CD39" s="288"/>
      <c r="CE39" s="10"/>
      <c r="CF39" s="11"/>
    </row>
    <row r="40" spans="1:84" s="8" customFormat="1" ht="40.5" customHeight="1">
      <c r="A40" s="9"/>
      <c r="B40" s="32"/>
      <c r="C40" s="42"/>
      <c r="D40" s="42"/>
      <c r="E40" s="42"/>
      <c r="F40" s="42"/>
      <c r="G40" s="42"/>
      <c r="H40" s="42"/>
      <c r="I40" s="10"/>
      <c r="J40" s="32"/>
      <c r="K40" s="42"/>
      <c r="L40" s="42"/>
      <c r="M40" s="42"/>
      <c r="N40" s="42"/>
      <c r="O40" s="42"/>
      <c r="P40" s="42"/>
      <c r="Q40" s="10"/>
      <c r="R40" s="38">
        <v>5</v>
      </c>
      <c r="S40" s="36" t="s">
        <v>531</v>
      </c>
      <c r="T40" s="37"/>
      <c r="U40" s="37"/>
      <c r="V40" s="37"/>
      <c r="W40" s="37"/>
      <c r="X40" s="37"/>
      <c r="Y40" s="37"/>
      <c r="Z40" s="37"/>
      <c r="AA40" s="37"/>
      <c r="AB40" s="37"/>
      <c r="AC40" s="37"/>
      <c r="AD40" s="37"/>
      <c r="AE40" s="38"/>
      <c r="AF40" s="284"/>
      <c r="AG40" s="286"/>
      <c r="AH40" s="284"/>
      <c r="AI40" s="286"/>
      <c r="AJ40" s="284" t="s">
        <v>492</v>
      </c>
      <c r="AK40" s="286"/>
      <c r="AL40" s="284"/>
      <c r="AM40" s="286"/>
      <c r="AN40" s="284"/>
      <c r="AO40" s="286"/>
      <c r="AP40" s="284"/>
      <c r="AQ40" s="286"/>
      <c r="AR40" s="284"/>
      <c r="AS40" s="286"/>
      <c r="AT40" s="284"/>
      <c r="AU40" s="286"/>
      <c r="AV40" s="284"/>
      <c r="AW40" s="286"/>
      <c r="AX40" s="284"/>
      <c r="AY40" s="286"/>
      <c r="AZ40" s="284"/>
      <c r="BA40" s="286"/>
      <c r="BB40" s="284"/>
      <c r="BC40" s="285"/>
      <c r="BD40" s="284"/>
      <c r="BE40" s="285"/>
      <c r="BF40" s="363" t="s">
        <v>532</v>
      </c>
      <c r="BG40" s="364"/>
      <c r="BH40" s="364"/>
      <c r="BI40" s="364"/>
      <c r="BJ40" s="364"/>
      <c r="BK40" s="364"/>
      <c r="BL40" s="364"/>
      <c r="BM40" s="365"/>
      <c r="BN40" s="284" t="s">
        <v>143</v>
      </c>
      <c r="BO40" s="285"/>
      <c r="BP40" s="285"/>
      <c r="BQ40" s="285"/>
      <c r="BR40" s="285"/>
      <c r="BS40" s="285"/>
      <c r="BT40" s="285"/>
      <c r="BU40" s="286"/>
      <c r="BV40" s="288"/>
      <c r="BW40" s="288"/>
      <c r="BX40" s="288"/>
      <c r="BY40" s="288"/>
      <c r="BZ40" s="288"/>
      <c r="CA40" s="288"/>
      <c r="CB40" s="288"/>
      <c r="CC40" s="288"/>
      <c r="CD40" s="288"/>
      <c r="CE40" s="10"/>
    </row>
    <row r="41" spans="1:84" s="8" customFormat="1" ht="27" customHeight="1">
      <c r="A41" s="9"/>
      <c r="B41" s="32"/>
      <c r="C41" s="42"/>
      <c r="D41" s="42"/>
      <c r="E41" s="42"/>
      <c r="F41" s="42"/>
      <c r="G41" s="42"/>
      <c r="H41" s="42"/>
      <c r="I41" s="42"/>
      <c r="J41" s="33"/>
      <c r="K41" s="42"/>
      <c r="L41" s="42"/>
      <c r="M41" s="42"/>
      <c r="N41" s="42"/>
      <c r="O41" s="42"/>
      <c r="P41" s="42"/>
      <c r="Q41" s="10"/>
      <c r="R41" s="38">
        <v>6</v>
      </c>
      <c r="S41" s="36" t="s">
        <v>533</v>
      </c>
      <c r="T41" s="37"/>
      <c r="U41" s="37"/>
      <c r="V41" s="37"/>
      <c r="W41" s="37"/>
      <c r="X41" s="37"/>
      <c r="Y41" s="37"/>
      <c r="Z41" s="37"/>
      <c r="AA41" s="37"/>
      <c r="AB41" s="37"/>
      <c r="AC41" s="37"/>
      <c r="AD41" s="37"/>
      <c r="AE41" s="38"/>
      <c r="AF41" s="284"/>
      <c r="AG41" s="286"/>
      <c r="AH41" s="284"/>
      <c r="AI41" s="286"/>
      <c r="AJ41" s="284" t="s">
        <v>492</v>
      </c>
      <c r="AK41" s="286"/>
      <c r="AL41" s="284"/>
      <c r="AM41" s="286"/>
      <c r="AN41" s="284"/>
      <c r="AO41" s="286"/>
      <c r="AP41" s="284"/>
      <c r="AQ41" s="286"/>
      <c r="AR41" s="284"/>
      <c r="AS41" s="286"/>
      <c r="AT41" s="284"/>
      <c r="AU41" s="286"/>
      <c r="AV41" s="284"/>
      <c r="AW41" s="286"/>
      <c r="AX41" s="284"/>
      <c r="AY41" s="286"/>
      <c r="AZ41" s="284"/>
      <c r="BA41" s="286"/>
      <c r="BB41" s="284"/>
      <c r="BC41" s="285"/>
      <c r="BD41" s="284"/>
      <c r="BE41" s="285"/>
      <c r="BF41" s="333" t="s">
        <v>493</v>
      </c>
      <c r="BG41" s="358"/>
      <c r="BH41" s="358"/>
      <c r="BI41" s="358"/>
      <c r="BJ41" s="358"/>
      <c r="BK41" s="358"/>
      <c r="BL41" s="358"/>
      <c r="BM41" s="359"/>
      <c r="BN41" s="284" t="s">
        <v>143</v>
      </c>
      <c r="BO41" s="285"/>
      <c r="BP41" s="285"/>
      <c r="BQ41" s="285"/>
      <c r="BR41" s="285"/>
      <c r="BS41" s="285"/>
      <c r="BT41" s="285"/>
      <c r="BU41" s="286"/>
      <c r="BV41" s="288"/>
      <c r="BW41" s="288"/>
      <c r="BX41" s="288"/>
      <c r="BY41" s="288"/>
      <c r="BZ41" s="288"/>
      <c r="CA41" s="288"/>
      <c r="CB41" s="288"/>
      <c r="CC41" s="288"/>
      <c r="CD41" s="288"/>
      <c r="CE41" s="10"/>
      <c r="CF41" s="11"/>
    </row>
    <row r="42" spans="1:84" s="8" customFormat="1">
      <c r="A42" s="9"/>
      <c r="B42" s="32"/>
      <c r="C42" s="42"/>
      <c r="D42" s="42"/>
      <c r="E42" s="42"/>
      <c r="F42" s="42"/>
      <c r="G42" s="42"/>
      <c r="H42" s="42"/>
      <c r="I42" s="10"/>
      <c r="J42" s="29" t="s">
        <v>534</v>
      </c>
      <c r="K42" s="30"/>
      <c r="L42" s="30"/>
      <c r="M42" s="30"/>
      <c r="N42" s="30"/>
      <c r="O42" s="30"/>
      <c r="P42" s="30"/>
      <c r="Q42" s="31"/>
      <c r="R42" s="38">
        <v>1</v>
      </c>
      <c r="S42" s="36" t="s">
        <v>535</v>
      </c>
      <c r="T42" s="37"/>
      <c r="U42" s="37"/>
      <c r="V42" s="37"/>
      <c r="W42" s="37"/>
      <c r="X42" s="37"/>
      <c r="Y42" s="37"/>
      <c r="Z42" s="37"/>
      <c r="AA42" s="37"/>
      <c r="AB42" s="37"/>
      <c r="AC42" s="37"/>
      <c r="AD42" s="37"/>
      <c r="AE42" s="38"/>
      <c r="AF42" s="284" t="s">
        <v>492</v>
      </c>
      <c r="AG42" s="286"/>
      <c r="AH42" s="45"/>
      <c r="AI42" s="46"/>
      <c r="AJ42" s="284"/>
      <c r="AK42" s="286"/>
      <c r="AL42" s="284"/>
      <c r="AM42" s="286"/>
      <c r="AN42" s="284"/>
      <c r="AO42" s="286"/>
      <c r="AP42" s="284"/>
      <c r="AQ42" s="286"/>
      <c r="AR42" s="284"/>
      <c r="AS42" s="286"/>
      <c r="AT42" s="284"/>
      <c r="AU42" s="286"/>
      <c r="AV42" s="284"/>
      <c r="AW42" s="286"/>
      <c r="AX42" s="284"/>
      <c r="AY42" s="286"/>
      <c r="AZ42" s="284"/>
      <c r="BA42" s="286"/>
      <c r="BB42" s="284"/>
      <c r="BC42" s="286"/>
      <c r="BD42" s="284"/>
      <c r="BE42" s="286"/>
      <c r="BF42" s="284" t="s">
        <v>143</v>
      </c>
      <c r="BG42" s="285"/>
      <c r="BH42" s="285"/>
      <c r="BI42" s="285"/>
      <c r="BJ42" s="285"/>
      <c r="BK42" s="285"/>
      <c r="BL42" s="285"/>
      <c r="BM42" s="286"/>
      <c r="BN42" s="284" t="s">
        <v>143</v>
      </c>
      <c r="BO42" s="285"/>
      <c r="BP42" s="285"/>
      <c r="BQ42" s="285"/>
      <c r="BR42" s="285"/>
      <c r="BS42" s="285"/>
      <c r="BT42" s="285"/>
      <c r="BU42" s="286"/>
      <c r="BV42" s="288"/>
      <c r="BW42" s="288"/>
      <c r="BX42" s="288"/>
      <c r="BY42" s="288"/>
      <c r="BZ42" s="288"/>
      <c r="CA42" s="288"/>
      <c r="CB42" s="288"/>
      <c r="CC42" s="288"/>
      <c r="CD42" s="288"/>
      <c r="CE42" s="10"/>
      <c r="CF42" s="11"/>
    </row>
    <row r="43" spans="1:84" s="8" customFormat="1">
      <c r="A43" s="9"/>
      <c r="B43" s="32"/>
      <c r="C43" s="42"/>
      <c r="D43" s="42"/>
      <c r="E43" s="42"/>
      <c r="F43" s="42"/>
      <c r="G43" s="42"/>
      <c r="H43" s="42"/>
      <c r="I43" s="10"/>
      <c r="J43" s="42" t="s">
        <v>536</v>
      </c>
      <c r="K43" s="42"/>
      <c r="L43" s="42"/>
      <c r="M43" s="42"/>
      <c r="N43" s="42"/>
      <c r="O43" s="42"/>
      <c r="P43" s="42"/>
      <c r="Q43" s="10"/>
      <c r="R43" s="38">
        <v>2</v>
      </c>
      <c r="S43" s="36" t="s">
        <v>537</v>
      </c>
      <c r="T43" s="37"/>
      <c r="U43" s="37"/>
      <c r="V43" s="37"/>
      <c r="W43" s="37"/>
      <c r="X43" s="37"/>
      <c r="Y43" s="37"/>
      <c r="Z43" s="37"/>
      <c r="AA43" s="37"/>
      <c r="AB43" s="37"/>
      <c r="AC43" s="37"/>
      <c r="AD43" s="37"/>
      <c r="AE43" s="38"/>
      <c r="AF43" s="284"/>
      <c r="AG43" s="286"/>
      <c r="AH43" s="45"/>
      <c r="AI43" s="46"/>
      <c r="AJ43" s="284"/>
      <c r="AK43" s="286"/>
      <c r="AL43" s="284" t="s">
        <v>492</v>
      </c>
      <c r="AM43" s="286"/>
      <c r="AN43" s="284"/>
      <c r="AO43" s="286"/>
      <c r="AP43" s="284"/>
      <c r="AQ43" s="286"/>
      <c r="AR43" s="284"/>
      <c r="AS43" s="286"/>
      <c r="AT43" s="284"/>
      <c r="AU43" s="286"/>
      <c r="AV43" s="284"/>
      <c r="AW43" s="286"/>
      <c r="AX43" s="284"/>
      <c r="AY43" s="286"/>
      <c r="AZ43" s="284"/>
      <c r="BA43" s="286"/>
      <c r="BB43" s="284"/>
      <c r="BC43" s="286"/>
      <c r="BD43" s="284"/>
      <c r="BE43" s="286"/>
      <c r="BF43" s="284" t="s">
        <v>528</v>
      </c>
      <c r="BG43" s="285"/>
      <c r="BH43" s="285"/>
      <c r="BI43" s="285"/>
      <c r="BJ43" s="285"/>
      <c r="BK43" s="285"/>
      <c r="BL43" s="285"/>
      <c r="BM43" s="286"/>
      <c r="BN43" s="284" t="s">
        <v>143</v>
      </c>
      <c r="BO43" s="285"/>
      <c r="BP43" s="285"/>
      <c r="BQ43" s="285"/>
      <c r="BR43" s="285"/>
      <c r="BS43" s="285"/>
      <c r="BT43" s="285"/>
      <c r="BU43" s="286"/>
      <c r="BV43" s="288"/>
      <c r="BW43" s="288"/>
      <c r="BX43" s="288"/>
      <c r="BY43" s="288"/>
      <c r="BZ43" s="288"/>
      <c r="CA43" s="288"/>
      <c r="CB43" s="288"/>
      <c r="CC43" s="288"/>
      <c r="CD43" s="288"/>
      <c r="CE43" s="10"/>
      <c r="CF43" s="11"/>
    </row>
    <row r="44" spans="1:84" s="8" customFormat="1">
      <c r="A44" s="9"/>
      <c r="B44" s="32"/>
      <c r="C44" s="42"/>
      <c r="D44" s="42"/>
      <c r="E44" s="42"/>
      <c r="F44" s="42"/>
      <c r="G44" s="42"/>
      <c r="H44" s="42"/>
      <c r="I44" s="10"/>
      <c r="J44" s="42"/>
      <c r="K44" s="42"/>
      <c r="L44" s="42"/>
      <c r="M44" s="42"/>
      <c r="N44" s="42"/>
      <c r="O44" s="42"/>
      <c r="P44" s="42"/>
      <c r="Q44" s="10"/>
      <c r="R44" s="38">
        <v>3</v>
      </c>
      <c r="S44" s="36" t="s">
        <v>538</v>
      </c>
      <c r="T44" s="37"/>
      <c r="U44" s="37"/>
      <c r="V44" s="37"/>
      <c r="W44" s="37"/>
      <c r="X44" s="37"/>
      <c r="Y44" s="37"/>
      <c r="Z44" s="37"/>
      <c r="AA44" s="37"/>
      <c r="AB44" s="37"/>
      <c r="AC44" s="37"/>
      <c r="AD44" s="37"/>
      <c r="AE44" s="38"/>
      <c r="AF44" s="284"/>
      <c r="AG44" s="286"/>
      <c r="AH44" s="45"/>
      <c r="AI44" s="46"/>
      <c r="AJ44" s="284"/>
      <c r="AK44" s="286"/>
      <c r="AL44" s="284" t="s">
        <v>492</v>
      </c>
      <c r="AM44" s="286"/>
      <c r="AN44" s="284"/>
      <c r="AO44" s="286"/>
      <c r="AP44" s="284"/>
      <c r="AQ44" s="286"/>
      <c r="AR44" s="284"/>
      <c r="AS44" s="286"/>
      <c r="AT44" s="284"/>
      <c r="AU44" s="286"/>
      <c r="AV44" s="284"/>
      <c r="AW44" s="286"/>
      <c r="AX44" s="284"/>
      <c r="AY44" s="286"/>
      <c r="AZ44" s="284"/>
      <c r="BA44" s="286"/>
      <c r="BB44" s="284"/>
      <c r="BC44" s="286"/>
      <c r="BD44" s="284"/>
      <c r="BE44" s="286"/>
      <c r="BF44" s="284" t="s">
        <v>143</v>
      </c>
      <c r="BG44" s="285"/>
      <c r="BH44" s="285"/>
      <c r="BI44" s="285"/>
      <c r="BJ44" s="285"/>
      <c r="BK44" s="285"/>
      <c r="BL44" s="285"/>
      <c r="BM44" s="286"/>
      <c r="BN44" s="284" t="s">
        <v>143</v>
      </c>
      <c r="BO44" s="285"/>
      <c r="BP44" s="285"/>
      <c r="BQ44" s="285"/>
      <c r="BR44" s="285"/>
      <c r="BS44" s="285"/>
      <c r="BT44" s="285"/>
      <c r="BU44" s="286"/>
      <c r="BV44" s="288"/>
      <c r="BW44" s="288"/>
      <c r="BX44" s="288"/>
      <c r="BY44" s="288"/>
      <c r="BZ44" s="288"/>
      <c r="CA44" s="288"/>
      <c r="CB44" s="288"/>
      <c r="CC44" s="288"/>
      <c r="CD44" s="288"/>
      <c r="CE44" s="10"/>
      <c r="CF44" s="11"/>
    </row>
    <row r="45" spans="1:84" s="8" customFormat="1" ht="27" customHeight="1">
      <c r="A45" s="9"/>
      <c r="B45" s="32"/>
      <c r="C45" s="42"/>
      <c r="D45" s="42"/>
      <c r="E45" s="42"/>
      <c r="F45" s="42"/>
      <c r="G45" s="42"/>
      <c r="H45" s="42"/>
      <c r="I45" s="10"/>
      <c r="J45" s="33"/>
      <c r="K45" s="42"/>
      <c r="L45" s="42"/>
      <c r="M45" s="42"/>
      <c r="N45" s="42"/>
      <c r="O45" s="42"/>
      <c r="P45" s="42"/>
      <c r="Q45" s="10"/>
      <c r="R45" s="38">
        <v>4</v>
      </c>
      <c r="S45" s="36" t="s">
        <v>539</v>
      </c>
      <c r="T45" s="37"/>
      <c r="U45" s="37"/>
      <c r="V45" s="37"/>
      <c r="W45" s="37"/>
      <c r="X45" s="37"/>
      <c r="Y45" s="37"/>
      <c r="Z45" s="37"/>
      <c r="AA45" s="37"/>
      <c r="AB45" s="37"/>
      <c r="AC45" s="37"/>
      <c r="AD45" s="37"/>
      <c r="AE45" s="38"/>
      <c r="AF45" s="284"/>
      <c r="AG45" s="286"/>
      <c r="AH45" s="45"/>
      <c r="AI45" s="46"/>
      <c r="AJ45" s="284" t="s">
        <v>492</v>
      </c>
      <c r="AK45" s="286"/>
      <c r="AL45" s="284"/>
      <c r="AM45" s="286"/>
      <c r="AN45" s="284"/>
      <c r="AO45" s="286"/>
      <c r="AP45" s="284"/>
      <c r="AQ45" s="286"/>
      <c r="AR45" s="284"/>
      <c r="AS45" s="286"/>
      <c r="AT45" s="284"/>
      <c r="AU45" s="286"/>
      <c r="AV45" s="284"/>
      <c r="AW45" s="286"/>
      <c r="AX45" s="284"/>
      <c r="AY45" s="286"/>
      <c r="AZ45" s="284"/>
      <c r="BA45" s="286"/>
      <c r="BB45" s="284"/>
      <c r="BC45" s="286"/>
      <c r="BD45" s="284"/>
      <c r="BE45" s="286"/>
      <c r="BF45" s="333" t="s">
        <v>493</v>
      </c>
      <c r="BG45" s="358"/>
      <c r="BH45" s="358"/>
      <c r="BI45" s="358"/>
      <c r="BJ45" s="358"/>
      <c r="BK45" s="358"/>
      <c r="BL45" s="358"/>
      <c r="BM45" s="359"/>
      <c r="BN45" s="284" t="s">
        <v>143</v>
      </c>
      <c r="BO45" s="285"/>
      <c r="BP45" s="285"/>
      <c r="BQ45" s="285"/>
      <c r="BR45" s="285"/>
      <c r="BS45" s="285"/>
      <c r="BT45" s="285"/>
      <c r="BU45" s="286"/>
      <c r="BV45" s="288"/>
      <c r="BW45" s="288"/>
      <c r="BX45" s="288"/>
      <c r="BY45" s="288"/>
      <c r="BZ45" s="288"/>
      <c r="CA45" s="288"/>
      <c r="CB45" s="288"/>
      <c r="CC45" s="288"/>
      <c r="CD45" s="288"/>
      <c r="CE45" s="10"/>
      <c r="CF45" s="11"/>
    </row>
    <row r="46" spans="1:84" s="8" customFormat="1">
      <c r="A46" s="9"/>
      <c r="B46" s="32"/>
      <c r="C46" s="42"/>
      <c r="D46" s="42"/>
      <c r="E46" s="42"/>
      <c r="F46" s="42"/>
      <c r="G46" s="42"/>
      <c r="H46" s="42"/>
      <c r="I46" s="10"/>
      <c r="J46" s="29" t="s">
        <v>540</v>
      </c>
      <c r="K46" s="30"/>
      <c r="L46" s="30"/>
      <c r="M46" s="30"/>
      <c r="N46" s="30"/>
      <c r="O46" s="30"/>
      <c r="P46" s="30"/>
      <c r="Q46" s="31"/>
      <c r="R46" s="38">
        <v>1</v>
      </c>
      <c r="S46" s="36" t="s">
        <v>541</v>
      </c>
      <c r="T46" s="37"/>
      <c r="U46" s="37"/>
      <c r="V46" s="37"/>
      <c r="W46" s="37"/>
      <c r="X46" s="37"/>
      <c r="Y46" s="37"/>
      <c r="Z46" s="37"/>
      <c r="AA46" s="37"/>
      <c r="AB46" s="37"/>
      <c r="AC46" s="37"/>
      <c r="AD46" s="37"/>
      <c r="AE46" s="38"/>
      <c r="AF46" s="284"/>
      <c r="AG46" s="286"/>
      <c r="AH46" s="45"/>
      <c r="AI46" s="46"/>
      <c r="AJ46" s="284" t="s">
        <v>492</v>
      </c>
      <c r="AK46" s="286"/>
      <c r="AL46" s="284"/>
      <c r="AM46" s="286"/>
      <c r="AN46" s="284"/>
      <c r="AO46" s="286"/>
      <c r="AP46" s="284"/>
      <c r="AQ46" s="286"/>
      <c r="AR46" s="284"/>
      <c r="AS46" s="286"/>
      <c r="AT46" s="284"/>
      <c r="AU46" s="286"/>
      <c r="AV46" s="284"/>
      <c r="AW46" s="286"/>
      <c r="AX46" s="284"/>
      <c r="AY46" s="286"/>
      <c r="AZ46" s="284"/>
      <c r="BA46" s="286"/>
      <c r="BB46" s="284"/>
      <c r="BC46" s="286"/>
      <c r="BD46" s="284"/>
      <c r="BE46" s="286"/>
      <c r="BF46" s="284" t="s">
        <v>143</v>
      </c>
      <c r="BG46" s="285"/>
      <c r="BH46" s="285"/>
      <c r="BI46" s="285"/>
      <c r="BJ46" s="285"/>
      <c r="BK46" s="285"/>
      <c r="BL46" s="285"/>
      <c r="BM46" s="286"/>
      <c r="BN46" s="284" t="s">
        <v>143</v>
      </c>
      <c r="BO46" s="285"/>
      <c r="BP46" s="285"/>
      <c r="BQ46" s="285"/>
      <c r="BR46" s="285"/>
      <c r="BS46" s="285"/>
      <c r="BT46" s="285"/>
      <c r="BU46" s="286"/>
      <c r="BV46" s="288"/>
      <c r="BW46" s="288"/>
      <c r="BX46" s="288"/>
      <c r="BY46" s="288"/>
      <c r="BZ46" s="288"/>
      <c r="CA46" s="288"/>
      <c r="CB46" s="288"/>
      <c r="CC46" s="288"/>
      <c r="CD46" s="288"/>
      <c r="CE46" s="10"/>
      <c r="CF46" s="11"/>
    </row>
    <row r="47" spans="1:84" s="8" customFormat="1" ht="27" customHeight="1">
      <c r="A47" s="9"/>
      <c r="B47" s="32"/>
      <c r="C47" s="42"/>
      <c r="D47" s="42"/>
      <c r="E47" s="42"/>
      <c r="F47" s="42"/>
      <c r="G47" s="42"/>
      <c r="H47" s="42"/>
      <c r="I47" s="10"/>
      <c r="J47" s="42"/>
      <c r="K47" s="42"/>
      <c r="L47" s="42"/>
      <c r="M47" s="42"/>
      <c r="N47" s="42"/>
      <c r="O47" s="42"/>
      <c r="P47" s="42"/>
      <c r="Q47" s="10"/>
      <c r="R47" s="38">
        <v>2</v>
      </c>
      <c r="S47" s="36" t="s">
        <v>542</v>
      </c>
      <c r="T47" s="37"/>
      <c r="U47" s="37"/>
      <c r="V47" s="37"/>
      <c r="W47" s="37"/>
      <c r="X47" s="37"/>
      <c r="Y47" s="37"/>
      <c r="Z47" s="37"/>
      <c r="AA47" s="37"/>
      <c r="AB47" s="37"/>
      <c r="AC47" s="37"/>
      <c r="AD47" s="37"/>
      <c r="AE47" s="38"/>
      <c r="AF47" s="284"/>
      <c r="AG47" s="286"/>
      <c r="AH47" s="45"/>
      <c r="AI47" s="46"/>
      <c r="AJ47" s="284" t="s">
        <v>492</v>
      </c>
      <c r="AK47" s="286"/>
      <c r="AL47" s="284"/>
      <c r="AM47" s="286"/>
      <c r="AN47" s="284"/>
      <c r="AO47" s="286"/>
      <c r="AP47" s="284"/>
      <c r="AQ47" s="286"/>
      <c r="AR47" s="284"/>
      <c r="AS47" s="286"/>
      <c r="AT47" s="284"/>
      <c r="AU47" s="286"/>
      <c r="AV47" s="284"/>
      <c r="AW47" s="286"/>
      <c r="AX47" s="284"/>
      <c r="AY47" s="286"/>
      <c r="AZ47" s="284"/>
      <c r="BA47" s="286"/>
      <c r="BB47" s="284"/>
      <c r="BC47" s="286"/>
      <c r="BD47" s="284"/>
      <c r="BE47" s="286"/>
      <c r="BF47" s="333" t="s">
        <v>493</v>
      </c>
      <c r="BG47" s="358"/>
      <c r="BH47" s="358"/>
      <c r="BI47" s="358"/>
      <c r="BJ47" s="358"/>
      <c r="BK47" s="358"/>
      <c r="BL47" s="358"/>
      <c r="BM47" s="359"/>
      <c r="BN47" s="284" t="s">
        <v>143</v>
      </c>
      <c r="BO47" s="285"/>
      <c r="BP47" s="285"/>
      <c r="BQ47" s="285"/>
      <c r="BR47" s="285"/>
      <c r="BS47" s="285"/>
      <c r="BT47" s="285"/>
      <c r="BU47" s="286"/>
      <c r="BV47" s="288"/>
      <c r="BW47" s="288"/>
      <c r="BX47" s="288"/>
      <c r="BY47" s="288"/>
      <c r="BZ47" s="288"/>
      <c r="CA47" s="288"/>
      <c r="CB47" s="288"/>
      <c r="CC47" s="288"/>
      <c r="CD47" s="288"/>
      <c r="CE47" s="10"/>
      <c r="CF47" s="11"/>
    </row>
    <row r="48" spans="1:84" s="8" customFormat="1">
      <c r="A48" s="9"/>
      <c r="B48" s="32"/>
      <c r="C48" s="42"/>
      <c r="D48" s="42"/>
      <c r="E48" s="42"/>
      <c r="F48" s="42"/>
      <c r="G48" s="42"/>
      <c r="H48" s="42"/>
      <c r="I48" s="10"/>
      <c r="J48" s="42"/>
      <c r="K48" s="42"/>
      <c r="L48" s="42"/>
      <c r="M48" s="42"/>
      <c r="N48" s="42"/>
      <c r="O48" s="42"/>
      <c r="P48" s="42"/>
      <c r="Q48" s="10"/>
      <c r="R48" s="38">
        <v>3</v>
      </c>
      <c r="S48" s="36" t="s">
        <v>543</v>
      </c>
      <c r="T48" s="37"/>
      <c r="U48" s="37"/>
      <c r="V48" s="37"/>
      <c r="W48" s="37"/>
      <c r="X48" s="37"/>
      <c r="Y48" s="37"/>
      <c r="Z48" s="37"/>
      <c r="AA48" s="37"/>
      <c r="AB48" s="37"/>
      <c r="AC48" s="37"/>
      <c r="AD48" s="37"/>
      <c r="AE48" s="38"/>
      <c r="AF48" s="284"/>
      <c r="AG48" s="286"/>
      <c r="AH48" s="45"/>
      <c r="AI48" s="46"/>
      <c r="AJ48" s="284" t="s">
        <v>492</v>
      </c>
      <c r="AK48" s="286"/>
      <c r="AL48" s="284"/>
      <c r="AM48" s="286"/>
      <c r="AN48" s="284"/>
      <c r="AO48" s="286"/>
      <c r="AP48" s="284"/>
      <c r="AQ48" s="286"/>
      <c r="AR48" s="284"/>
      <c r="AS48" s="286"/>
      <c r="AT48" s="284"/>
      <c r="AU48" s="286"/>
      <c r="AV48" s="284"/>
      <c r="AW48" s="286"/>
      <c r="AX48" s="284"/>
      <c r="AY48" s="286"/>
      <c r="AZ48" s="284"/>
      <c r="BA48" s="286"/>
      <c r="BB48" s="284"/>
      <c r="BC48" s="286"/>
      <c r="BD48" s="284"/>
      <c r="BE48" s="286"/>
      <c r="BF48" s="284" t="s">
        <v>143</v>
      </c>
      <c r="BG48" s="285"/>
      <c r="BH48" s="285"/>
      <c r="BI48" s="285"/>
      <c r="BJ48" s="285"/>
      <c r="BK48" s="285"/>
      <c r="BL48" s="285"/>
      <c r="BM48" s="286"/>
      <c r="BN48" s="284" t="s">
        <v>143</v>
      </c>
      <c r="BO48" s="285"/>
      <c r="BP48" s="285"/>
      <c r="BQ48" s="285"/>
      <c r="BR48" s="285"/>
      <c r="BS48" s="285"/>
      <c r="BT48" s="285"/>
      <c r="BU48" s="286"/>
      <c r="BV48" s="288"/>
      <c r="BW48" s="288"/>
      <c r="BX48" s="288"/>
      <c r="BY48" s="288"/>
      <c r="BZ48" s="288"/>
      <c r="CA48" s="288"/>
      <c r="CB48" s="288"/>
      <c r="CC48" s="288"/>
      <c r="CD48" s="288"/>
      <c r="CE48" s="10"/>
      <c r="CF48" s="11"/>
    </row>
    <row r="49" spans="1:84" s="8" customFormat="1">
      <c r="A49" s="9"/>
      <c r="B49" s="32"/>
      <c r="C49" s="42"/>
      <c r="D49" s="42"/>
      <c r="E49" s="42"/>
      <c r="F49" s="42"/>
      <c r="G49" s="42"/>
      <c r="H49" s="42"/>
      <c r="I49" s="10"/>
      <c r="J49" s="42"/>
      <c r="K49" s="42"/>
      <c r="L49" s="42"/>
      <c r="M49" s="42"/>
      <c r="N49" s="42"/>
      <c r="O49" s="42"/>
      <c r="P49" s="42"/>
      <c r="Q49" s="10"/>
      <c r="R49" s="38">
        <v>4</v>
      </c>
      <c r="S49" s="36" t="s">
        <v>544</v>
      </c>
      <c r="T49" s="37"/>
      <c r="U49" s="37"/>
      <c r="V49" s="37"/>
      <c r="W49" s="37"/>
      <c r="X49" s="37"/>
      <c r="Y49" s="37"/>
      <c r="Z49" s="37"/>
      <c r="AA49" s="37"/>
      <c r="AB49" s="37"/>
      <c r="AC49" s="37"/>
      <c r="AD49" s="37"/>
      <c r="AE49" s="38"/>
      <c r="AH49" s="45"/>
      <c r="AI49" s="46"/>
      <c r="AJ49" s="284" t="s">
        <v>492</v>
      </c>
      <c r="AK49" s="286"/>
      <c r="AL49" s="284"/>
      <c r="AM49" s="286"/>
      <c r="AN49" s="284"/>
      <c r="AO49" s="286"/>
      <c r="AP49" s="284"/>
      <c r="AQ49" s="286"/>
      <c r="AR49" s="284"/>
      <c r="AS49" s="286"/>
      <c r="AT49" s="284"/>
      <c r="AU49" s="286"/>
      <c r="AV49" s="284"/>
      <c r="AW49" s="286"/>
      <c r="AX49" s="284"/>
      <c r="AY49" s="286"/>
      <c r="AZ49" s="284"/>
      <c r="BA49" s="286"/>
      <c r="BB49" s="284"/>
      <c r="BC49" s="286"/>
      <c r="BD49" s="284"/>
      <c r="BE49" s="286"/>
      <c r="BF49" s="284" t="s">
        <v>143</v>
      </c>
      <c r="BG49" s="285"/>
      <c r="BH49" s="285"/>
      <c r="BI49" s="285"/>
      <c r="BJ49" s="285"/>
      <c r="BK49" s="285"/>
      <c r="BL49" s="285"/>
      <c r="BM49" s="286"/>
      <c r="BN49" s="284" t="s">
        <v>143</v>
      </c>
      <c r="BO49" s="285"/>
      <c r="BP49" s="285"/>
      <c r="BQ49" s="285"/>
      <c r="BR49" s="285"/>
      <c r="BS49" s="285"/>
      <c r="BT49" s="285"/>
      <c r="BU49" s="286"/>
      <c r="BV49" s="288"/>
      <c r="BW49" s="288"/>
      <c r="BX49" s="288"/>
      <c r="BY49" s="288"/>
      <c r="BZ49" s="288"/>
      <c r="CA49" s="288"/>
      <c r="CB49" s="288"/>
      <c r="CC49" s="288"/>
      <c r="CD49" s="288"/>
      <c r="CE49" s="10"/>
      <c r="CF49" s="11"/>
    </row>
    <row r="50" spans="1:84" s="8" customFormat="1">
      <c r="A50" s="9"/>
      <c r="B50" s="32"/>
      <c r="C50" s="42"/>
      <c r="D50" s="42"/>
      <c r="E50" s="42"/>
      <c r="F50" s="42"/>
      <c r="G50" s="42"/>
      <c r="H50" s="42"/>
      <c r="I50" s="10"/>
      <c r="J50" s="42"/>
      <c r="K50" s="42"/>
      <c r="L50" s="42"/>
      <c r="M50" s="42"/>
      <c r="N50" s="42"/>
      <c r="O50" s="42"/>
      <c r="P50" s="42"/>
      <c r="Q50" s="10"/>
      <c r="R50" s="38">
        <v>5</v>
      </c>
      <c r="S50" s="36" t="s">
        <v>545</v>
      </c>
      <c r="T50" s="37"/>
      <c r="U50" s="37"/>
      <c r="V50" s="37"/>
      <c r="W50" s="37"/>
      <c r="X50" s="37"/>
      <c r="Y50" s="37"/>
      <c r="Z50" s="37"/>
      <c r="AA50" s="37"/>
      <c r="AB50" s="37"/>
      <c r="AC50" s="37"/>
      <c r="AD50" s="37"/>
      <c r="AE50" s="38"/>
      <c r="AF50" s="284" t="s">
        <v>492</v>
      </c>
      <c r="AG50" s="286"/>
      <c r="AH50" s="45"/>
      <c r="AI50" s="46"/>
      <c r="AJ50" s="284"/>
      <c r="AK50" s="286"/>
      <c r="AL50" s="284"/>
      <c r="AM50" s="286"/>
      <c r="AN50" s="284"/>
      <c r="AO50" s="286"/>
      <c r="AP50" s="284"/>
      <c r="AQ50" s="286"/>
      <c r="AR50" s="284"/>
      <c r="AS50" s="286"/>
      <c r="AT50" s="284"/>
      <c r="AU50" s="286"/>
      <c r="AV50" s="284"/>
      <c r="AW50" s="286"/>
      <c r="AX50" s="284"/>
      <c r="AY50" s="286"/>
      <c r="AZ50" s="284"/>
      <c r="BA50" s="286"/>
      <c r="BB50" s="284"/>
      <c r="BC50" s="286"/>
      <c r="BD50" s="284"/>
      <c r="BE50" s="286"/>
      <c r="BF50" s="284" t="s">
        <v>143</v>
      </c>
      <c r="BG50" s="285"/>
      <c r="BH50" s="285"/>
      <c r="BI50" s="285"/>
      <c r="BJ50" s="285"/>
      <c r="BK50" s="285"/>
      <c r="BL50" s="285"/>
      <c r="BM50" s="286"/>
      <c r="BN50" s="284" t="s">
        <v>143</v>
      </c>
      <c r="BO50" s="285"/>
      <c r="BP50" s="285"/>
      <c r="BQ50" s="285"/>
      <c r="BR50" s="285"/>
      <c r="BS50" s="285"/>
      <c r="BT50" s="285"/>
      <c r="BU50" s="286"/>
      <c r="BV50" s="288"/>
      <c r="BW50" s="288"/>
      <c r="BX50" s="288"/>
      <c r="BY50" s="288"/>
      <c r="BZ50" s="288"/>
      <c r="CA50" s="288"/>
      <c r="CB50" s="288"/>
      <c r="CC50" s="288"/>
      <c r="CD50" s="288"/>
      <c r="CE50" s="10"/>
      <c r="CF50" s="11"/>
    </row>
    <row r="51" spans="1:84" s="8" customFormat="1" ht="27" customHeight="1">
      <c r="A51" s="9"/>
      <c r="B51" s="32"/>
      <c r="C51" s="42"/>
      <c r="D51" s="42"/>
      <c r="E51" s="42"/>
      <c r="F51" s="42"/>
      <c r="G51" s="42"/>
      <c r="H51" s="42"/>
      <c r="I51" s="10"/>
      <c r="J51" s="33"/>
      <c r="K51" s="42"/>
      <c r="L51" s="42"/>
      <c r="M51" s="42"/>
      <c r="N51" s="42"/>
      <c r="O51" s="42"/>
      <c r="P51" s="42"/>
      <c r="Q51" s="10"/>
      <c r="R51" s="38">
        <v>6</v>
      </c>
      <c r="S51" s="36" t="s">
        <v>546</v>
      </c>
      <c r="T51" s="37"/>
      <c r="U51" s="37"/>
      <c r="V51" s="37"/>
      <c r="W51" s="37"/>
      <c r="X51" s="37"/>
      <c r="Y51" s="37"/>
      <c r="Z51" s="37"/>
      <c r="AA51" s="37"/>
      <c r="AB51" s="37"/>
      <c r="AC51" s="37"/>
      <c r="AD51" s="37"/>
      <c r="AE51" s="38"/>
      <c r="AF51" s="284"/>
      <c r="AG51" s="286"/>
      <c r="AH51" s="45"/>
      <c r="AI51" s="46"/>
      <c r="AJ51" s="284" t="s">
        <v>492</v>
      </c>
      <c r="AK51" s="286"/>
      <c r="AL51" s="284"/>
      <c r="AM51" s="286"/>
      <c r="AN51" s="284"/>
      <c r="AO51" s="286"/>
      <c r="AP51" s="284"/>
      <c r="AQ51" s="286"/>
      <c r="AR51" s="284"/>
      <c r="AS51" s="286"/>
      <c r="AT51" s="284"/>
      <c r="AU51" s="286"/>
      <c r="AV51" s="284"/>
      <c r="AW51" s="286"/>
      <c r="AX51" s="284"/>
      <c r="AY51" s="286"/>
      <c r="AZ51" s="284"/>
      <c r="BA51" s="286"/>
      <c r="BB51" s="284"/>
      <c r="BC51" s="286"/>
      <c r="BD51" s="284"/>
      <c r="BE51" s="286"/>
      <c r="BF51" s="333" t="s">
        <v>493</v>
      </c>
      <c r="BG51" s="358"/>
      <c r="BH51" s="358"/>
      <c r="BI51" s="358"/>
      <c r="BJ51" s="358"/>
      <c r="BK51" s="358"/>
      <c r="BL51" s="358"/>
      <c r="BM51" s="359"/>
      <c r="BN51" s="284" t="s">
        <v>201</v>
      </c>
      <c r="BO51" s="285"/>
      <c r="BP51" s="285"/>
      <c r="BQ51" s="285"/>
      <c r="BR51" s="285"/>
      <c r="BS51" s="285"/>
      <c r="BT51" s="285"/>
      <c r="BU51" s="286"/>
      <c r="BV51" s="288"/>
      <c r="BW51" s="288"/>
      <c r="BX51" s="288"/>
      <c r="BY51" s="288"/>
      <c r="BZ51" s="288"/>
      <c r="CA51" s="288"/>
      <c r="CB51" s="288"/>
      <c r="CC51" s="288"/>
      <c r="CD51" s="288"/>
      <c r="CE51" s="10"/>
    </row>
    <row r="52" spans="1:84" s="8" customFormat="1">
      <c r="A52" s="9"/>
      <c r="B52" s="32"/>
      <c r="C52" s="42"/>
      <c r="D52" s="42"/>
      <c r="E52" s="42"/>
      <c r="F52" s="42"/>
      <c r="G52" s="42"/>
      <c r="H52" s="42"/>
      <c r="I52" s="10"/>
      <c r="J52" s="29" t="s">
        <v>547</v>
      </c>
      <c r="K52" s="30"/>
      <c r="L52" s="30"/>
      <c r="M52" s="30"/>
      <c r="N52" s="30"/>
      <c r="O52" s="30"/>
      <c r="P52" s="30"/>
      <c r="Q52" s="31"/>
      <c r="R52" s="38">
        <v>1</v>
      </c>
      <c r="S52" s="36" t="s">
        <v>541</v>
      </c>
      <c r="T52" s="37"/>
      <c r="U52" s="37"/>
      <c r="V52" s="37"/>
      <c r="W52" s="37"/>
      <c r="X52" s="37"/>
      <c r="Y52" s="37"/>
      <c r="Z52" s="37"/>
      <c r="AA52" s="37"/>
      <c r="AB52" s="37"/>
      <c r="AC52" s="37"/>
      <c r="AD52" s="37"/>
      <c r="AE52" s="38"/>
      <c r="AF52" s="284"/>
      <c r="AG52" s="286"/>
      <c r="AH52" s="45"/>
      <c r="AI52" s="46"/>
      <c r="AJ52" s="284" t="s">
        <v>492</v>
      </c>
      <c r="AK52" s="286"/>
      <c r="AL52" s="284"/>
      <c r="AM52" s="286"/>
      <c r="AN52" s="284"/>
      <c r="AO52" s="286"/>
      <c r="AP52" s="284"/>
      <c r="AQ52" s="286"/>
      <c r="AR52" s="284"/>
      <c r="AS52" s="286"/>
      <c r="AT52" s="284"/>
      <c r="AU52" s="286"/>
      <c r="AV52" s="284"/>
      <c r="AW52" s="286"/>
      <c r="AX52" s="284"/>
      <c r="AY52" s="286"/>
      <c r="AZ52" s="284"/>
      <c r="BA52" s="286"/>
      <c r="BB52" s="284"/>
      <c r="BC52" s="286"/>
      <c r="BD52" s="284"/>
      <c r="BE52" s="286"/>
      <c r="BF52" s="284" t="s">
        <v>143</v>
      </c>
      <c r="BG52" s="285"/>
      <c r="BH52" s="285"/>
      <c r="BI52" s="285"/>
      <c r="BJ52" s="285"/>
      <c r="BK52" s="285"/>
      <c r="BL52" s="285"/>
      <c r="BM52" s="286"/>
      <c r="BN52" s="284" t="s">
        <v>201</v>
      </c>
      <c r="BO52" s="285"/>
      <c r="BP52" s="285"/>
      <c r="BQ52" s="285"/>
      <c r="BR52" s="285"/>
      <c r="BS52" s="285"/>
      <c r="BT52" s="285"/>
      <c r="BU52" s="286"/>
      <c r="BV52" s="288"/>
      <c r="BW52" s="288"/>
      <c r="BX52" s="288"/>
      <c r="BY52" s="288"/>
      <c r="BZ52" s="288"/>
      <c r="CA52" s="288"/>
      <c r="CB52" s="288"/>
      <c r="CC52" s="288"/>
      <c r="CD52" s="288"/>
      <c r="CE52" s="10"/>
      <c r="CF52" s="11"/>
    </row>
    <row r="53" spans="1:84" s="8" customFormat="1" ht="27" customHeight="1">
      <c r="A53" s="9"/>
      <c r="B53" s="33"/>
      <c r="C53" s="42"/>
      <c r="D53" s="42"/>
      <c r="E53" s="42"/>
      <c r="F53" s="42"/>
      <c r="G53" s="42"/>
      <c r="H53" s="42"/>
      <c r="I53" s="10"/>
      <c r="J53" s="32"/>
      <c r="K53" s="42"/>
      <c r="L53" s="42"/>
      <c r="M53" s="42"/>
      <c r="N53" s="42"/>
      <c r="O53" s="42"/>
      <c r="P53" s="42"/>
      <c r="Q53" s="10"/>
      <c r="R53" s="38">
        <v>2</v>
      </c>
      <c r="S53" s="36" t="s">
        <v>543</v>
      </c>
      <c r="T53" s="37"/>
      <c r="U53" s="37"/>
      <c r="V53" s="37"/>
      <c r="W53" s="37"/>
      <c r="X53" s="37"/>
      <c r="Y53" s="37"/>
      <c r="Z53" s="37"/>
      <c r="AA53" s="37"/>
      <c r="AB53" s="37"/>
      <c r="AC53" s="37"/>
      <c r="AD53" s="37"/>
      <c r="AE53" s="38"/>
      <c r="AF53" s="284"/>
      <c r="AG53" s="286"/>
      <c r="AH53" s="45"/>
      <c r="AI53" s="46"/>
      <c r="AJ53" s="284" t="s">
        <v>492</v>
      </c>
      <c r="AK53" s="286"/>
      <c r="AL53" s="284"/>
      <c r="AM53" s="286"/>
      <c r="AN53" s="284"/>
      <c r="AO53" s="286"/>
      <c r="AP53" s="284"/>
      <c r="AQ53" s="286"/>
      <c r="AR53" s="284"/>
      <c r="AS53" s="286"/>
      <c r="AT53" s="284"/>
      <c r="AU53" s="286"/>
      <c r="AV53" s="284"/>
      <c r="AW53" s="286"/>
      <c r="AX53" s="284"/>
      <c r="AY53" s="286"/>
      <c r="AZ53" s="284"/>
      <c r="BA53" s="286"/>
      <c r="BB53" s="284"/>
      <c r="BC53" s="286"/>
      <c r="BD53" s="284"/>
      <c r="BE53" s="286"/>
      <c r="BF53" s="333" t="s">
        <v>493</v>
      </c>
      <c r="BG53" s="358"/>
      <c r="BH53" s="358"/>
      <c r="BI53" s="358"/>
      <c r="BJ53" s="358"/>
      <c r="BK53" s="358"/>
      <c r="BL53" s="358"/>
      <c r="BM53" s="359"/>
      <c r="BN53" s="284" t="s">
        <v>201</v>
      </c>
      <c r="BO53" s="285"/>
      <c r="BP53" s="285"/>
      <c r="BQ53" s="285"/>
      <c r="BR53" s="285"/>
      <c r="BS53" s="285"/>
      <c r="BT53" s="285"/>
      <c r="BU53" s="286"/>
      <c r="BV53" s="288"/>
      <c r="BW53" s="288"/>
      <c r="BX53" s="288"/>
      <c r="BY53" s="288"/>
      <c r="BZ53" s="288"/>
      <c r="CA53" s="288"/>
      <c r="CB53" s="288"/>
      <c r="CC53" s="288"/>
      <c r="CD53" s="288"/>
      <c r="CE53" s="10"/>
    </row>
    <row r="54" spans="1:84" s="8" customFormat="1" ht="27" customHeight="1">
      <c r="A54" s="9"/>
      <c r="B54" s="32"/>
      <c r="C54" s="42"/>
      <c r="D54" s="42"/>
      <c r="E54" s="42"/>
      <c r="F54" s="42"/>
      <c r="G54" s="42"/>
      <c r="H54" s="42"/>
      <c r="I54" s="10"/>
      <c r="J54" s="33"/>
      <c r="K54" s="42"/>
      <c r="L54" s="42"/>
      <c r="M54" s="42"/>
      <c r="N54" s="42"/>
      <c r="O54" s="42"/>
      <c r="P54" s="42"/>
      <c r="Q54" s="10"/>
      <c r="R54" s="38">
        <v>3</v>
      </c>
      <c r="S54" s="36" t="s">
        <v>546</v>
      </c>
      <c r="T54" s="37"/>
      <c r="U54" s="37"/>
      <c r="V54" s="37"/>
      <c r="W54" s="37"/>
      <c r="X54" s="37"/>
      <c r="Y54" s="37"/>
      <c r="Z54" s="37"/>
      <c r="AA54" s="37"/>
      <c r="AB54" s="37"/>
      <c r="AC54" s="37"/>
      <c r="AD54" s="37"/>
      <c r="AE54" s="38"/>
      <c r="AF54" s="284"/>
      <c r="AG54" s="286"/>
      <c r="AH54" s="45"/>
      <c r="AI54" s="46"/>
      <c r="AJ54" s="284" t="s">
        <v>492</v>
      </c>
      <c r="AK54" s="286"/>
      <c r="AL54" s="284"/>
      <c r="AM54" s="286"/>
      <c r="AN54" s="284"/>
      <c r="AO54" s="286"/>
      <c r="AP54" s="284"/>
      <c r="AQ54" s="286"/>
      <c r="AR54" s="284"/>
      <c r="AS54" s="286"/>
      <c r="AT54" s="284"/>
      <c r="AU54" s="286"/>
      <c r="AV54" s="284"/>
      <c r="AW54" s="286"/>
      <c r="AX54" s="284"/>
      <c r="AY54" s="286"/>
      <c r="AZ54" s="284"/>
      <c r="BA54" s="286"/>
      <c r="BB54" s="284"/>
      <c r="BC54" s="286"/>
      <c r="BD54" s="284"/>
      <c r="BE54" s="286"/>
      <c r="BF54" s="333" t="s">
        <v>493</v>
      </c>
      <c r="BG54" s="358"/>
      <c r="BH54" s="358"/>
      <c r="BI54" s="358"/>
      <c r="BJ54" s="358"/>
      <c r="BK54" s="358"/>
      <c r="BL54" s="358"/>
      <c r="BM54" s="359"/>
      <c r="BN54" s="284" t="s">
        <v>201</v>
      </c>
      <c r="BO54" s="285"/>
      <c r="BP54" s="285"/>
      <c r="BQ54" s="285"/>
      <c r="BR54" s="285"/>
      <c r="BS54" s="285"/>
      <c r="BT54" s="285"/>
      <c r="BU54" s="286"/>
      <c r="BV54" s="288"/>
      <c r="BW54" s="288"/>
      <c r="BX54" s="288"/>
      <c r="BY54" s="288"/>
      <c r="BZ54" s="288"/>
      <c r="CA54" s="288"/>
      <c r="CB54" s="288"/>
      <c r="CC54" s="288"/>
      <c r="CD54" s="288"/>
      <c r="CE54" s="10"/>
      <c r="CF54" s="11"/>
    </row>
    <row r="55" spans="1:84" s="8" customFormat="1" ht="27" customHeight="1">
      <c r="A55" s="9"/>
      <c r="B55" s="32"/>
      <c r="C55" s="42"/>
      <c r="D55" s="42"/>
      <c r="E55" s="42"/>
      <c r="F55" s="42"/>
      <c r="G55" s="42"/>
      <c r="H55" s="42"/>
      <c r="I55" s="10"/>
      <c r="J55" s="62" t="s">
        <v>548</v>
      </c>
      <c r="K55" s="30"/>
      <c r="L55" s="30"/>
      <c r="M55" s="30"/>
      <c r="N55" s="30"/>
      <c r="O55" s="30"/>
      <c r="P55" s="30"/>
      <c r="Q55" s="31"/>
      <c r="R55" s="38">
        <v>1</v>
      </c>
      <c r="S55" s="36" t="s">
        <v>549</v>
      </c>
      <c r="T55" s="37"/>
      <c r="U55" s="37"/>
      <c r="V55" s="37"/>
      <c r="W55" s="37"/>
      <c r="X55" s="37"/>
      <c r="Y55" s="37"/>
      <c r="Z55" s="37"/>
      <c r="AA55" s="37"/>
      <c r="AB55" s="37"/>
      <c r="AC55" s="37"/>
      <c r="AD55" s="37"/>
      <c r="AE55" s="38"/>
      <c r="AF55" s="284"/>
      <c r="AG55" s="286"/>
      <c r="AH55" s="284" t="s">
        <v>492</v>
      </c>
      <c r="AI55" s="286"/>
      <c r="AJ55" s="284"/>
      <c r="AK55" s="286"/>
      <c r="AL55" s="284"/>
      <c r="AM55" s="286"/>
      <c r="AN55" s="284"/>
      <c r="AO55" s="286"/>
      <c r="AP55" s="284"/>
      <c r="AQ55" s="286"/>
      <c r="AR55" s="284"/>
      <c r="AS55" s="286"/>
      <c r="AT55" s="284"/>
      <c r="AU55" s="286"/>
      <c r="AV55" s="284"/>
      <c r="AW55" s="286"/>
      <c r="AX55" s="284"/>
      <c r="AY55" s="286"/>
      <c r="AZ55" s="284"/>
      <c r="BA55" s="286"/>
      <c r="BB55" s="284"/>
      <c r="BC55" s="286"/>
      <c r="BD55" s="284"/>
      <c r="BE55" s="286"/>
      <c r="BF55" s="333" t="s">
        <v>493</v>
      </c>
      <c r="BG55" s="358"/>
      <c r="BH55" s="358"/>
      <c r="BI55" s="358"/>
      <c r="BJ55" s="358"/>
      <c r="BK55" s="358"/>
      <c r="BL55" s="358"/>
      <c r="BM55" s="359"/>
      <c r="BN55" s="284" t="s">
        <v>201</v>
      </c>
      <c r="BO55" s="285"/>
      <c r="BP55" s="285"/>
      <c r="BQ55" s="285"/>
      <c r="BR55" s="285"/>
      <c r="BS55" s="285"/>
      <c r="BT55" s="285"/>
      <c r="BU55" s="286"/>
      <c r="BV55" s="288"/>
      <c r="BW55" s="288"/>
      <c r="BX55" s="288"/>
      <c r="BY55" s="288"/>
      <c r="BZ55" s="288"/>
      <c r="CA55" s="288"/>
      <c r="CB55" s="288"/>
      <c r="CC55" s="288"/>
      <c r="CD55" s="288"/>
      <c r="CE55" s="10"/>
    </row>
    <row r="56" spans="1:84" s="8" customFormat="1">
      <c r="A56" s="9"/>
      <c r="B56" s="48"/>
      <c r="C56" s="34"/>
      <c r="D56" s="34"/>
      <c r="E56" s="34"/>
      <c r="F56" s="34"/>
      <c r="G56" s="34"/>
      <c r="H56" s="34"/>
      <c r="I56" s="35"/>
      <c r="J56" s="12"/>
      <c r="K56" s="34"/>
      <c r="L56" s="34"/>
      <c r="M56" s="34"/>
      <c r="N56" s="34"/>
      <c r="O56" s="34"/>
      <c r="P56" s="34"/>
      <c r="Q56" s="35"/>
      <c r="R56" s="38">
        <v>2</v>
      </c>
      <c r="S56" s="36" t="s">
        <v>550</v>
      </c>
      <c r="T56" s="37"/>
      <c r="U56" s="37"/>
      <c r="V56" s="37"/>
      <c r="W56" s="37"/>
      <c r="X56" s="37"/>
      <c r="Y56" s="37"/>
      <c r="Z56" s="37"/>
      <c r="AA56" s="37"/>
      <c r="AB56" s="37"/>
      <c r="AC56" s="37"/>
      <c r="AD56" s="37"/>
      <c r="AE56" s="38"/>
      <c r="AF56" s="284"/>
      <c r="AG56" s="286"/>
      <c r="AH56" s="284" t="s">
        <v>492</v>
      </c>
      <c r="AI56" s="286"/>
      <c r="AJ56" s="284"/>
      <c r="AK56" s="286"/>
      <c r="AL56" s="284"/>
      <c r="AM56" s="286"/>
      <c r="AN56" s="284"/>
      <c r="AO56" s="286"/>
      <c r="AP56" s="284"/>
      <c r="AQ56" s="286"/>
      <c r="AR56" s="284"/>
      <c r="AS56" s="286"/>
      <c r="AT56" s="284"/>
      <c r="AU56" s="286"/>
      <c r="AV56" s="284"/>
      <c r="AW56" s="286"/>
      <c r="AX56" s="284"/>
      <c r="AY56" s="286"/>
      <c r="AZ56" s="284"/>
      <c r="BA56" s="286"/>
      <c r="BB56" s="284"/>
      <c r="BC56" s="286"/>
      <c r="BD56" s="284"/>
      <c r="BE56" s="286"/>
      <c r="BF56" s="284" t="s">
        <v>143</v>
      </c>
      <c r="BG56" s="285"/>
      <c r="BH56" s="285"/>
      <c r="BI56" s="285"/>
      <c r="BJ56" s="285"/>
      <c r="BK56" s="285"/>
      <c r="BL56" s="285"/>
      <c r="BM56" s="286"/>
      <c r="BN56" s="284" t="s">
        <v>201</v>
      </c>
      <c r="BO56" s="285"/>
      <c r="BP56" s="285"/>
      <c r="BQ56" s="285"/>
      <c r="BR56" s="285"/>
      <c r="BS56" s="285"/>
      <c r="BT56" s="285"/>
      <c r="BU56" s="286"/>
      <c r="BV56" s="288"/>
      <c r="BW56" s="288"/>
      <c r="BX56" s="288"/>
      <c r="BY56" s="288"/>
      <c r="BZ56" s="288"/>
      <c r="CA56" s="288"/>
      <c r="CB56" s="288"/>
      <c r="CC56" s="288"/>
      <c r="CD56" s="288"/>
      <c r="CE56" s="10"/>
      <c r="CF56" s="11"/>
    </row>
    <row r="57" spans="1:84" s="8" customFormat="1">
      <c r="A57" s="9"/>
      <c r="B57" s="32" t="s">
        <v>551</v>
      </c>
      <c r="C57" s="42"/>
      <c r="D57" s="42"/>
      <c r="E57" s="42"/>
      <c r="F57" s="42"/>
      <c r="G57" s="42"/>
      <c r="H57" s="42"/>
      <c r="I57" s="10"/>
      <c r="J57" s="33" t="s">
        <v>552</v>
      </c>
      <c r="K57" s="42"/>
      <c r="L57" s="42"/>
      <c r="M57" s="42"/>
      <c r="N57" s="42"/>
      <c r="O57" s="42"/>
      <c r="P57" s="42"/>
      <c r="Q57" s="10"/>
      <c r="R57" s="35">
        <v>1</v>
      </c>
      <c r="S57" s="36" t="s">
        <v>535</v>
      </c>
      <c r="T57" s="37"/>
      <c r="U57" s="37"/>
      <c r="V57" s="37"/>
      <c r="W57" s="37"/>
      <c r="X57" s="37"/>
      <c r="Y57" s="37"/>
      <c r="Z57" s="37"/>
      <c r="AA57" s="37"/>
      <c r="AB57" s="37"/>
      <c r="AC57" s="37"/>
      <c r="AD57" s="37"/>
      <c r="AE57" s="38"/>
      <c r="AF57" s="284" t="s">
        <v>492</v>
      </c>
      <c r="AG57" s="286"/>
      <c r="AH57" s="284"/>
      <c r="AI57" s="286"/>
      <c r="AJ57" s="284"/>
      <c r="AK57" s="286"/>
      <c r="AL57" s="284"/>
      <c r="AM57" s="286"/>
      <c r="AN57" s="284"/>
      <c r="AO57" s="286"/>
      <c r="AP57" s="284"/>
      <c r="AQ57" s="286"/>
      <c r="AR57" s="284"/>
      <c r="AS57" s="286"/>
      <c r="AT57" s="284"/>
      <c r="AU57" s="286"/>
      <c r="AV57" s="284"/>
      <c r="AW57" s="286"/>
      <c r="AX57" s="284"/>
      <c r="AY57" s="286"/>
      <c r="AZ57" s="284"/>
      <c r="BA57" s="286"/>
      <c r="BB57" s="284"/>
      <c r="BC57" s="286"/>
      <c r="BD57" s="284"/>
      <c r="BE57" s="286"/>
      <c r="BF57" s="284" t="s">
        <v>143</v>
      </c>
      <c r="BG57" s="285"/>
      <c r="BH57" s="285"/>
      <c r="BI57" s="285"/>
      <c r="BJ57" s="285"/>
      <c r="BK57" s="285"/>
      <c r="BL57" s="285"/>
      <c r="BM57" s="286"/>
      <c r="BN57" s="284" t="s">
        <v>201</v>
      </c>
      <c r="BO57" s="285"/>
      <c r="BP57" s="285"/>
      <c r="BQ57" s="285"/>
      <c r="BR57" s="285"/>
      <c r="BS57" s="285"/>
      <c r="BT57" s="285"/>
      <c r="BU57" s="286"/>
      <c r="BV57" s="288"/>
      <c r="BW57" s="288"/>
      <c r="BX57" s="288"/>
      <c r="BY57" s="288"/>
      <c r="BZ57" s="288"/>
      <c r="CA57" s="288"/>
      <c r="CB57" s="288"/>
      <c r="CC57" s="288"/>
      <c r="CD57" s="288"/>
      <c r="CE57" s="10"/>
      <c r="CF57" s="11"/>
    </row>
    <row r="58" spans="1:84" s="8" customFormat="1">
      <c r="A58" s="9"/>
      <c r="B58" s="32"/>
      <c r="C58" s="42"/>
      <c r="D58" s="42"/>
      <c r="E58" s="42"/>
      <c r="F58" s="42"/>
      <c r="G58" s="42"/>
      <c r="H58" s="42"/>
      <c r="I58" s="10"/>
      <c r="J58" s="33"/>
      <c r="K58" s="42"/>
      <c r="L58" s="42"/>
      <c r="M58" s="42"/>
      <c r="N58" s="42"/>
      <c r="O58" s="42"/>
      <c r="P58" s="42"/>
      <c r="Q58" s="10"/>
      <c r="R58" s="35">
        <v>2</v>
      </c>
      <c r="S58" s="36" t="s">
        <v>527</v>
      </c>
      <c r="T58" s="37"/>
      <c r="U58" s="37"/>
      <c r="V58" s="37"/>
      <c r="W58" s="37"/>
      <c r="X58" s="37"/>
      <c r="Y58" s="37"/>
      <c r="Z58" s="37"/>
      <c r="AA58" s="37"/>
      <c r="AB58" s="37"/>
      <c r="AC58" s="37"/>
      <c r="AD58" s="37"/>
      <c r="AE58" s="38"/>
      <c r="AF58" s="284"/>
      <c r="AG58" s="286"/>
      <c r="AH58" s="284"/>
      <c r="AI58" s="286"/>
      <c r="AJ58" s="284"/>
      <c r="AK58" s="286"/>
      <c r="AL58" s="284"/>
      <c r="AM58" s="286"/>
      <c r="AN58" s="284" t="s">
        <v>492</v>
      </c>
      <c r="AO58" s="286"/>
      <c r="AP58" s="284"/>
      <c r="AQ58" s="286"/>
      <c r="AR58" s="284"/>
      <c r="AS58" s="286"/>
      <c r="AT58" s="284"/>
      <c r="AU58" s="286"/>
      <c r="AV58" s="284"/>
      <c r="AW58" s="286"/>
      <c r="AX58" s="284"/>
      <c r="AY58" s="286"/>
      <c r="AZ58" s="284"/>
      <c r="BA58" s="286"/>
      <c r="BB58" s="284"/>
      <c r="BC58" s="286"/>
      <c r="BD58" s="284"/>
      <c r="BE58" s="286"/>
      <c r="BF58" s="284" t="s">
        <v>528</v>
      </c>
      <c r="BG58" s="285"/>
      <c r="BH58" s="285"/>
      <c r="BI58" s="285"/>
      <c r="BJ58" s="285"/>
      <c r="BK58" s="285"/>
      <c r="BL58" s="285"/>
      <c r="BM58" s="286"/>
      <c r="BN58" s="284" t="s">
        <v>201</v>
      </c>
      <c r="BO58" s="285"/>
      <c r="BP58" s="285"/>
      <c r="BQ58" s="285"/>
      <c r="BR58" s="285"/>
      <c r="BS58" s="285"/>
      <c r="BT58" s="285"/>
      <c r="BU58" s="286"/>
      <c r="BV58" s="288"/>
      <c r="BW58" s="288"/>
      <c r="BX58" s="288"/>
      <c r="BY58" s="288"/>
      <c r="BZ58" s="288"/>
      <c r="CA58" s="288"/>
      <c r="CB58" s="288"/>
      <c r="CC58" s="288"/>
      <c r="CD58" s="288"/>
      <c r="CE58" s="10"/>
      <c r="CF58" s="11"/>
    </row>
    <row r="59" spans="1:84" s="8" customFormat="1">
      <c r="A59" s="9"/>
      <c r="B59" s="32"/>
      <c r="C59" s="42"/>
      <c r="D59" s="42"/>
      <c r="E59" s="42"/>
      <c r="F59" s="42"/>
      <c r="G59" s="42"/>
      <c r="H59" s="42"/>
      <c r="I59" s="10"/>
      <c r="J59" s="33"/>
      <c r="K59" s="42"/>
      <c r="L59" s="42"/>
      <c r="M59" s="42"/>
      <c r="N59" s="42"/>
      <c r="O59" s="42"/>
      <c r="P59" s="42"/>
      <c r="Q59" s="10"/>
      <c r="R59" s="35">
        <v>3</v>
      </c>
      <c r="S59" s="36" t="s">
        <v>553</v>
      </c>
      <c r="T59" s="37"/>
      <c r="U59" s="37"/>
      <c r="V59" s="37"/>
      <c r="W59" s="37"/>
      <c r="X59" s="37"/>
      <c r="Y59" s="37"/>
      <c r="Z59" s="37"/>
      <c r="AA59" s="37"/>
      <c r="AB59" s="37"/>
      <c r="AC59" s="37"/>
      <c r="AD59" s="37"/>
      <c r="AE59" s="38"/>
      <c r="AF59" s="45"/>
      <c r="AG59" s="46"/>
      <c r="AH59" s="284"/>
      <c r="AI59" s="286"/>
      <c r="AJ59" s="284"/>
      <c r="AK59" s="286"/>
      <c r="AL59" s="284"/>
      <c r="AM59" s="286"/>
      <c r="AN59" s="284" t="s">
        <v>492</v>
      </c>
      <c r="AO59" s="286"/>
      <c r="AP59" s="284"/>
      <c r="AQ59" s="286"/>
      <c r="AR59" s="284"/>
      <c r="AS59" s="286"/>
      <c r="AT59" s="284"/>
      <c r="AU59" s="286"/>
      <c r="AV59" s="284"/>
      <c r="AW59" s="286"/>
      <c r="AX59" s="284"/>
      <c r="AY59" s="286"/>
      <c r="AZ59" s="284"/>
      <c r="BA59" s="286"/>
      <c r="BB59" s="284"/>
      <c r="BC59" s="286"/>
      <c r="BD59" s="284"/>
      <c r="BE59" s="286"/>
      <c r="BF59" s="284" t="s">
        <v>554</v>
      </c>
      <c r="BG59" s="285"/>
      <c r="BH59" s="285"/>
      <c r="BI59" s="285"/>
      <c r="BJ59" s="285"/>
      <c r="BK59" s="285"/>
      <c r="BL59" s="285"/>
      <c r="BM59" s="286"/>
      <c r="BN59" s="284" t="s">
        <v>555</v>
      </c>
      <c r="BO59" s="285"/>
      <c r="BP59" s="285"/>
      <c r="BQ59" s="285"/>
      <c r="BR59" s="285"/>
      <c r="BS59" s="285"/>
      <c r="BT59" s="285"/>
      <c r="BU59" s="286"/>
      <c r="BV59" s="288"/>
      <c r="BW59" s="288"/>
      <c r="BX59" s="288"/>
      <c r="BY59" s="288"/>
      <c r="BZ59" s="288"/>
      <c r="CA59" s="288"/>
      <c r="CB59" s="288"/>
      <c r="CC59" s="288"/>
      <c r="CD59" s="288"/>
      <c r="CE59" s="10"/>
      <c r="CF59" s="11"/>
    </row>
    <row r="60" spans="1:84" s="8" customFormat="1">
      <c r="A60" s="9"/>
      <c r="B60" s="32"/>
      <c r="C60" s="42"/>
      <c r="D60" s="42"/>
      <c r="E60" s="42"/>
      <c r="F60" s="42"/>
      <c r="G60" s="42"/>
      <c r="H60" s="42"/>
      <c r="I60" s="10"/>
      <c r="J60" s="33"/>
      <c r="K60" s="42"/>
      <c r="L60" s="42"/>
      <c r="M60" s="42"/>
      <c r="N60" s="42"/>
      <c r="O60" s="42"/>
      <c r="P60" s="42"/>
      <c r="Q60" s="10"/>
      <c r="R60" s="35">
        <v>4</v>
      </c>
      <c r="S60" s="36" t="s">
        <v>515</v>
      </c>
      <c r="T60" s="37"/>
      <c r="U60" s="37"/>
      <c r="V60" s="37"/>
      <c r="W60" s="37"/>
      <c r="X60" s="37"/>
      <c r="Y60" s="37"/>
      <c r="Z60" s="37"/>
      <c r="AA60" s="37"/>
      <c r="AB60" s="37"/>
      <c r="AC60" s="37"/>
      <c r="AD60" s="37"/>
      <c r="AE60" s="38"/>
      <c r="AF60" s="366"/>
      <c r="AG60" s="367"/>
      <c r="AH60" s="284"/>
      <c r="AI60" s="286"/>
      <c r="AJ60" s="284"/>
      <c r="AK60" s="286"/>
      <c r="AL60" s="284"/>
      <c r="AM60" s="286"/>
      <c r="AN60" s="284" t="s">
        <v>492</v>
      </c>
      <c r="AO60" s="286"/>
      <c r="AP60" s="284"/>
      <c r="AQ60" s="286"/>
      <c r="AR60" s="284"/>
      <c r="AS60" s="286"/>
      <c r="AT60" s="284"/>
      <c r="AU60" s="286"/>
      <c r="AV60" s="284"/>
      <c r="AW60" s="286"/>
      <c r="AX60" s="284"/>
      <c r="AY60" s="286"/>
      <c r="AZ60" s="284"/>
      <c r="BA60" s="286"/>
      <c r="BB60" s="284"/>
      <c r="BC60" s="286"/>
      <c r="BD60" s="284"/>
      <c r="BE60" s="286"/>
      <c r="BF60" s="284" t="s">
        <v>554</v>
      </c>
      <c r="BG60" s="285"/>
      <c r="BH60" s="285"/>
      <c r="BI60" s="285"/>
      <c r="BJ60" s="285"/>
      <c r="BK60" s="285"/>
      <c r="BL60" s="285"/>
      <c r="BM60" s="286"/>
      <c r="BN60" s="284" t="s">
        <v>556</v>
      </c>
      <c r="BO60" s="285"/>
      <c r="BP60" s="285"/>
      <c r="BQ60" s="285"/>
      <c r="BR60" s="285"/>
      <c r="BS60" s="285"/>
      <c r="BT60" s="285"/>
      <c r="BU60" s="286"/>
      <c r="BV60" s="288"/>
      <c r="BW60" s="288"/>
      <c r="BX60" s="288"/>
      <c r="BY60" s="288"/>
      <c r="BZ60" s="288"/>
      <c r="CA60" s="288"/>
      <c r="CB60" s="288"/>
      <c r="CC60" s="288"/>
      <c r="CD60" s="288"/>
      <c r="CE60" s="10"/>
      <c r="CF60" s="11"/>
    </row>
    <row r="61" spans="1:84" s="8" customFormat="1">
      <c r="A61" s="9"/>
      <c r="B61" s="32"/>
      <c r="C61" s="42"/>
      <c r="D61" s="42"/>
      <c r="E61" s="42"/>
      <c r="F61" s="42"/>
      <c r="G61" s="42"/>
      <c r="H61" s="42"/>
      <c r="I61" s="10"/>
      <c r="J61" s="33"/>
      <c r="K61" s="42"/>
      <c r="L61" s="42"/>
      <c r="M61" s="42"/>
      <c r="N61" s="42"/>
      <c r="O61" s="42"/>
      <c r="P61" s="42"/>
      <c r="Q61" s="10"/>
      <c r="R61" s="35">
        <v>5</v>
      </c>
      <c r="S61" s="36" t="s">
        <v>557</v>
      </c>
      <c r="T61" s="37"/>
      <c r="U61" s="37"/>
      <c r="V61" s="37"/>
      <c r="W61" s="37"/>
      <c r="X61" s="37"/>
      <c r="Y61" s="37"/>
      <c r="Z61" s="37"/>
      <c r="AA61" s="37"/>
      <c r="AB61" s="37"/>
      <c r="AC61" s="37"/>
      <c r="AD61" s="37"/>
      <c r="AE61" s="38"/>
      <c r="AF61" s="366"/>
      <c r="AG61" s="367"/>
      <c r="AH61" s="284"/>
      <c r="AI61" s="286"/>
      <c r="AJ61" s="284"/>
      <c r="AK61" s="286"/>
      <c r="AL61" s="284"/>
      <c r="AM61" s="286"/>
      <c r="AN61" s="284" t="s">
        <v>492</v>
      </c>
      <c r="AO61" s="286"/>
      <c r="AP61" s="284"/>
      <c r="AQ61" s="286"/>
      <c r="AR61" s="284"/>
      <c r="AS61" s="286"/>
      <c r="AT61" s="284"/>
      <c r="AU61" s="286"/>
      <c r="AV61" s="284"/>
      <c r="AW61" s="286"/>
      <c r="AX61" s="284"/>
      <c r="AY61" s="286"/>
      <c r="AZ61" s="284"/>
      <c r="BA61" s="286"/>
      <c r="BB61" s="284"/>
      <c r="BC61" s="286"/>
      <c r="BD61" s="284"/>
      <c r="BE61" s="286"/>
      <c r="BF61" s="284" t="s">
        <v>554</v>
      </c>
      <c r="BG61" s="285"/>
      <c r="BH61" s="285"/>
      <c r="BI61" s="285"/>
      <c r="BJ61" s="285"/>
      <c r="BK61" s="285"/>
      <c r="BL61" s="285"/>
      <c r="BM61" s="286"/>
      <c r="BN61" s="284" t="s">
        <v>556</v>
      </c>
      <c r="BO61" s="285"/>
      <c r="BP61" s="285"/>
      <c r="BQ61" s="285"/>
      <c r="BR61" s="285"/>
      <c r="BS61" s="285"/>
      <c r="BT61" s="285"/>
      <c r="BU61" s="286"/>
      <c r="BV61" s="288" t="s">
        <v>518</v>
      </c>
      <c r="BW61" s="288"/>
      <c r="BX61" s="288"/>
      <c r="BY61" s="288"/>
      <c r="BZ61" s="288"/>
      <c r="CA61" s="288"/>
      <c r="CB61" s="288"/>
      <c r="CC61" s="288"/>
      <c r="CD61" s="288"/>
      <c r="CE61" s="10"/>
      <c r="CF61" s="11"/>
    </row>
    <row r="62" spans="1:84" s="8" customFormat="1">
      <c r="A62" s="9"/>
      <c r="B62" s="32"/>
      <c r="C62" s="42"/>
      <c r="D62" s="42"/>
      <c r="E62" s="42"/>
      <c r="F62" s="42"/>
      <c r="G62" s="42"/>
      <c r="H62" s="42"/>
      <c r="I62" s="10"/>
      <c r="J62" s="33"/>
      <c r="K62" s="42"/>
      <c r="L62" s="42"/>
      <c r="M62" s="42"/>
      <c r="N62" s="42"/>
      <c r="O62" s="42"/>
      <c r="P62" s="42"/>
      <c r="Q62" s="10"/>
      <c r="R62" s="35">
        <v>6</v>
      </c>
      <c r="S62" s="111" t="s">
        <v>558</v>
      </c>
      <c r="T62" s="37"/>
      <c r="U62" s="37"/>
      <c r="V62" s="37"/>
      <c r="W62" s="37"/>
      <c r="X62" s="37"/>
      <c r="Y62" s="37"/>
      <c r="Z62" s="37"/>
      <c r="AA62" s="37"/>
      <c r="AB62" s="37"/>
      <c r="AC62" s="37"/>
      <c r="AD62" s="37"/>
      <c r="AE62" s="38"/>
      <c r="AF62" s="366"/>
      <c r="AG62" s="367"/>
      <c r="AH62" s="284"/>
      <c r="AI62" s="286"/>
      <c r="AJ62" s="284"/>
      <c r="AK62" s="286"/>
      <c r="AL62" s="284"/>
      <c r="AM62" s="286"/>
      <c r="AN62" s="284"/>
      <c r="AO62" s="286"/>
      <c r="AP62" s="284"/>
      <c r="AQ62" s="286"/>
      <c r="AR62" s="284"/>
      <c r="AS62" s="286"/>
      <c r="AT62" s="284"/>
      <c r="AU62" s="286"/>
      <c r="AV62" s="284"/>
      <c r="AW62" s="286"/>
      <c r="AX62" s="284"/>
      <c r="AY62" s="286"/>
      <c r="AZ62" s="284"/>
      <c r="BA62" s="286"/>
      <c r="BB62" s="284"/>
      <c r="BC62" s="286"/>
      <c r="BD62" s="284" t="s">
        <v>130</v>
      </c>
      <c r="BE62" s="286"/>
      <c r="BF62" s="284" t="s">
        <v>554</v>
      </c>
      <c r="BG62" s="285"/>
      <c r="BH62" s="285"/>
      <c r="BI62" s="285"/>
      <c r="BJ62" s="285"/>
      <c r="BK62" s="285"/>
      <c r="BL62" s="285"/>
      <c r="BM62" s="286"/>
      <c r="BN62" s="284" t="s">
        <v>137</v>
      </c>
      <c r="BO62" s="285"/>
      <c r="BP62" s="285"/>
      <c r="BQ62" s="285"/>
      <c r="BR62" s="285"/>
      <c r="BS62" s="285"/>
      <c r="BT62" s="285"/>
      <c r="BU62" s="286"/>
      <c r="BV62" s="288"/>
      <c r="BW62" s="288"/>
      <c r="BX62" s="288"/>
      <c r="BY62" s="288"/>
      <c r="BZ62" s="288"/>
      <c r="CA62" s="288"/>
      <c r="CB62" s="288"/>
      <c r="CC62" s="288"/>
      <c r="CD62" s="288"/>
      <c r="CE62" s="10"/>
      <c r="CF62" s="11"/>
    </row>
    <row r="63" spans="1:84" s="8" customFormat="1">
      <c r="A63" s="9"/>
      <c r="B63" s="32"/>
      <c r="C63" s="42"/>
      <c r="D63" s="42"/>
      <c r="E63" s="42"/>
      <c r="F63" s="42"/>
      <c r="G63" s="42"/>
      <c r="H63" s="42"/>
      <c r="I63" s="10"/>
      <c r="J63" s="47" t="s">
        <v>559</v>
      </c>
      <c r="K63" s="30"/>
      <c r="L63" s="30"/>
      <c r="M63" s="30"/>
      <c r="N63" s="30"/>
      <c r="O63" s="30"/>
      <c r="P63" s="30"/>
      <c r="Q63" s="31"/>
      <c r="R63" s="35">
        <v>1</v>
      </c>
      <c r="S63" s="36" t="s">
        <v>541</v>
      </c>
      <c r="T63" s="37"/>
      <c r="U63" s="37"/>
      <c r="V63" s="37"/>
      <c r="W63" s="37"/>
      <c r="X63" s="37"/>
      <c r="Y63" s="37"/>
      <c r="Z63" s="37"/>
      <c r="AA63" s="37"/>
      <c r="AB63" s="37"/>
      <c r="AC63" s="37"/>
      <c r="AD63" s="37"/>
      <c r="AE63" s="38"/>
      <c r="AF63" s="366"/>
      <c r="AG63" s="367"/>
      <c r="AH63" s="284"/>
      <c r="AI63" s="286"/>
      <c r="AJ63" s="284"/>
      <c r="AK63" s="286"/>
      <c r="AL63" s="284"/>
      <c r="AM63" s="286"/>
      <c r="AN63" s="284" t="s">
        <v>492</v>
      </c>
      <c r="AO63" s="286"/>
      <c r="AP63" s="284"/>
      <c r="AQ63" s="286"/>
      <c r="AR63" s="284"/>
      <c r="AS63" s="286"/>
      <c r="AT63" s="284"/>
      <c r="AU63" s="286"/>
      <c r="AV63" s="284"/>
      <c r="AW63" s="286"/>
      <c r="AX63" s="284"/>
      <c r="AY63" s="286"/>
      <c r="AZ63" s="284"/>
      <c r="BA63" s="286"/>
      <c r="BB63" s="284"/>
      <c r="BC63" s="286"/>
      <c r="BD63" s="284"/>
      <c r="BE63" s="286"/>
      <c r="BF63" s="284" t="s">
        <v>143</v>
      </c>
      <c r="BG63" s="285"/>
      <c r="BH63" s="285"/>
      <c r="BI63" s="285"/>
      <c r="BJ63" s="285"/>
      <c r="BK63" s="285"/>
      <c r="BL63" s="285"/>
      <c r="BM63" s="286"/>
      <c r="BN63" s="284" t="s">
        <v>201</v>
      </c>
      <c r="BO63" s="285"/>
      <c r="BP63" s="285"/>
      <c r="BQ63" s="285"/>
      <c r="BR63" s="285"/>
      <c r="BS63" s="285"/>
      <c r="BT63" s="285"/>
      <c r="BU63" s="286"/>
      <c r="BV63" s="288"/>
      <c r="BW63" s="288"/>
      <c r="BX63" s="288"/>
      <c r="BY63" s="288"/>
      <c r="BZ63" s="288"/>
      <c r="CA63" s="288"/>
      <c r="CB63" s="288"/>
      <c r="CC63" s="288"/>
      <c r="CD63" s="288"/>
      <c r="CE63" s="10"/>
      <c r="CF63" s="11"/>
    </row>
    <row r="64" spans="1:84" s="8" customFormat="1">
      <c r="A64" s="9"/>
      <c r="B64" s="32"/>
      <c r="C64" s="42"/>
      <c r="D64" s="42"/>
      <c r="E64" s="42"/>
      <c r="F64" s="42"/>
      <c r="G64" s="42"/>
      <c r="H64" s="42"/>
      <c r="I64" s="10"/>
      <c r="J64" s="33"/>
      <c r="K64" s="42"/>
      <c r="L64" s="42"/>
      <c r="M64" s="42"/>
      <c r="N64" s="42"/>
      <c r="O64" s="42"/>
      <c r="P64" s="42"/>
      <c r="Q64" s="10"/>
      <c r="R64" s="35">
        <v>2</v>
      </c>
      <c r="S64" s="36" t="s">
        <v>542</v>
      </c>
      <c r="T64" s="37"/>
      <c r="U64" s="37"/>
      <c r="V64" s="37"/>
      <c r="W64" s="37"/>
      <c r="X64" s="37"/>
      <c r="Y64" s="37"/>
      <c r="Z64" s="37"/>
      <c r="AA64" s="37"/>
      <c r="AB64" s="37"/>
      <c r="AC64" s="37"/>
      <c r="AD64" s="37"/>
      <c r="AE64" s="38"/>
      <c r="AF64" s="366"/>
      <c r="AG64" s="367"/>
      <c r="AH64" s="284"/>
      <c r="AI64" s="286"/>
      <c r="AJ64" s="284"/>
      <c r="AK64" s="286"/>
      <c r="AL64" s="284"/>
      <c r="AM64" s="286"/>
      <c r="AN64" s="284" t="s">
        <v>492</v>
      </c>
      <c r="AO64" s="286"/>
      <c r="AP64" s="284"/>
      <c r="AQ64" s="286"/>
      <c r="AR64" s="284"/>
      <c r="AS64" s="286"/>
      <c r="AT64" s="284"/>
      <c r="AU64" s="286"/>
      <c r="AV64" s="284"/>
      <c r="AW64" s="286"/>
      <c r="AX64" s="284"/>
      <c r="AY64" s="286"/>
      <c r="AZ64" s="284"/>
      <c r="BA64" s="286"/>
      <c r="BB64" s="284"/>
      <c r="BC64" s="286"/>
      <c r="BD64" s="284"/>
      <c r="BE64" s="286"/>
      <c r="BF64" s="284" t="s">
        <v>554</v>
      </c>
      <c r="BG64" s="285"/>
      <c r="BH64" s="285"/>
      <c r="BI64" s="285"/>
      <c r="BJ64" s="285"/>
      <c r="BK64" s="285"/>
      <c r="BL64" s="285"/>
      <c r="BM64" s="286"/>
      <c r="BN64" s="284" t="s">
        <v>560</v>
      </c>
      <c r="BO64" s="285"/>
      <c r="BP64" s="285"/>
      <c r="BQ64" s="285"/>
      <c r="BR64" s="285"/>
      <c r="BS64" s="285"/>
      <c r="BT64" s="285"/>
      <c r="BU64" s="286"/>
      <c r="BV64" s="288"/>
      <c r="BW64" s="288"/>
      <c r="BX64" s="288"/>
      <c r="BY64" s="288"/>
      <c r="BZ64" s="288"/>
      <c r="CA64" s="288"/>
      <c r="CB64" s="288"/>
      <c r="CC64" s="288"/>
      <c r="CD64" s="288"/>
      <c r="CE64" s="10"/>
      <c r="CF64" s="11"/>
    </row>
    <row r="65" spans="1:84" s="8" customFormat="1">
      <c r="A65" s="9"/>
      <c r="B65" s="32"/>
      <c r="C65" s="42"/>
      <c r="D65" s="42"/>
      <c r="E65" s="42"/>
      <c r="F65" s="42"/>
      <c r="G65" s="42"/>
      <c r="H65" s="42"/>
      <c r="I65" s="10"/>
      <c r="J65" s="33"/>
      <c r="K65" s="42"/>
      <c r="L65" s="42"/>
      <c r="M65" s="42"/>
      <c r="N65" s="42"/>
      <c r="O65" s="42"/>
      <c r="P65" s="42"/>
      <c r="Q65" s="10"/>
      <c r="R65" s="35">
        <v>3</v>
      </c>
      <c r="S65" s="36" t="s">
        <v>561</v>
      </c>
      <c r="T65" s="37"/>
      <c r="U65" s="37"/>
      <c r="V65" s="37"/>
      <c r="W65" s="37"/>
      <c r="X65" s="37"/>
      <c r="Y65" s="37"/>
      <c r="Z65" s="37"/>
      <c r="AA65" s="37"/>
      <c r="AB65" s="37"/>
      <c r="AC65" s="37"/>
      <c r="AD65" s="37"/>
      <c r="AE65" s="38"/>
      <c r="AF65" s="366"/>
      <c r="AG65" s="367"/>
      <c r="AH65" s="284"/>
      <c r="AI65" s="286"/>
      <c r="AJ65" s="284"/>
      <c r="AK65" s="286"/>
      <c r="AL65" s="284"/>
      <c r="AM65" s="286"/>
      <c r="AN65" s="284" t="s">
        <v>492</v>
      </c>
      <c r="AO65" s="286"/>
      <c r="AP65" s="284"/>
      <c r="AQ65" s="286"/>
      <c r="AR65" s="284"/>
      <c r="AS65" s="286"/>
      <c r="AT65" s="284"/>
      <c r="AU65" s="286"/>
      <c r="AV65" s="284"/>
      <c r="AW65" s="286"/>
      <c r="AX65" s="284"/>
      <c r="AY65" s="286"/>
      <c r="AZ65" s="284"/>
      <c r="BA65" s="286"/>
      <c r="BB65" s="284"/>
      <c r="BC65" s="286"/>
      <c r="BD65" s="284"/>
      <c r="BE65" s="286"/>
      <c r="BF65" s="284" t="s">
        <v>554</v>
      </c>
      <c r="BG65" s="285"/>
      <c r="BH65" s="285"/>
      <c r="BI65" s="285"/>
      <c r="BJ65" s="285"/>
      <c r="BK65" s="285"/>
      <c r="BL65" s="285"/>
      <c r="BM65" s="286"/>
      <c r="BN65" s="284" t="s">
        <v>562</v>
      </c>
      <c r="BO65" s="285"/>
      <c r="BP65" s="285"/>
      <c r="BQ65" s="285"/>
      <c r="BR65" s="285"/>
      <c r="BS65" s="285"/>
      <c r="BT65" s="285"/>
      <c r="BU65" s="286"/>
      <c r="BV65" s="288"/>
      <c r="BW65" s="288"/>
      <c r="BX65" s="288"/>
      <c r="BY65" s="288"/>
      <c r="BZ65" s="288"/>
      <c r="CA65" s="288"/>
      <c r="CB65" s="288"/>
      <c r="CC65" s="288"/>
      <c r="CD65" s="288"/>
      <c r="CE65" s="10"/>
      <c r="CF65" s="11"/>
    </row>
    <row r="66" spans="1:84" s="8" customFormat="1">
      <c r="A66" s="9"/>
      <c r="B66" s="32"/>
      <c r="C66" s="42"/>
      <c r="D66" s="42"/>
      <c r="E66" s="42"/>
      <c r="F66" s="42"/>
      <c r="G66" s="42"/>
      <c r="H66" s="42"/>
      <c r="I66" s="10"/>
      <c r="J66" s="33"/>
      <c r="K66" s="42"/>
      <c r="L66" s="42"/>
      <c r="M66" s="42"/>
      <c r="N66" s="42"/>
      <c r="O66" s="42"/>
      <c r="P66" s="42"/>
      <c r="Q66" s="10"/>
      <c r="R66" s="35">
        <v>4</v>
      </c>
      <c r="S66" s="36" t="s">
        <v>544</v>
      </c>
      <c r="T66" s="37"/>
      <c r="U66" s="37"/>
      <c r="V66" s="37"/>
      <c r="W66" s="37"/>
      <c r="X66" s="37"/>
      <c r="Y66" s="37"/>
      <c r="Z66" s="37"/>
      <c r="AA66" s="37"/>
      <c r="AB66" s="37"/>
      <c r="AC66" s="37"/>
      <c r="AD66" s="37"/>
      <c r="AE66" s="38"/>
      <c r="AF66" s="366"/>
      <c r="AG66" s="367"/>
      <c r="AH66" s="284"/>
      <c r="AI66" s="286"/>
      <c r="AJ66" s="284"/>
      <c r="AK66" s="286"/>
      <c r="AL66" s="284"/>
      <c r="AM66" s="286"/>
      <c r="AN66" s="284" t="s">
        <v>492</v>
      </c>
      <c r="AO66" s="286"/>
      <c r="AP66" s="284"/>
      <c r="AQ66" s="286"/>
      <c r="AR66" s="284"/>
      <c r="AS66" s="286"/>
      <c r="AT66" s="284"/>
      <c r="AU66" s="286"/>
      <c r="AV66" s="284"/>
      <c r="AW66" s="286"/>
      <c r="AX66" s="284"/>
      <c r="AY66" s="286"/>
      <c r="AZ66" s="284"/>
      <c r="BA66" s="286"/>
      <c r="BB66" s="284"/>
      <c r="BC66" s="286"/>
      <c r="BD66" s="284"/>
      <c r="BE66" s="286"/>
      <c r="BF66" s="284" t="s">
        <v>143</v>
      </c>
      <c r="BG66" s="285"/>
      <c r="BH66" s="285"/>
      <c r="BI66" s="285"/>
      <c r="BJ66" s="285"/>
      <c r="BK66" s="285"/>
      <c r="BL66" s="285"/>
      <c r="BM66" s="286"/>
      <c r="BN66" s="284" t="s">
        <v>201</v>
      </c>
      <c r="BO66" s="285"/>
      <c r="BP66" s="285"/>
      <c r="BQ66" s="285"/>
      <c r="BR66" s="285"/>
      <c r="BS66" s="285"/>
      <c r="BT66" s="285"/>
      <c r="BU66" s="286"/>
      <c r="BV66" s="288"/>
      <c r="BW66" s="288"/>
      <c r="BX66" s="288"/>
      <c r="BY66" s="288"/>
      <c r="BZ66" s="288"/>
      <c r="CA66" s="288"/>
      <c r="CB66" s="288"/>
      <c r="CC66" s="288"/>
      <c r="CD66" s="288"/>
      <c r="CE66" s="10"/>
      <c r="CF66" s="11"/>
    </row>
    <row r="67" spans="1:84" s="8" customFormat="1">
      <c r="A67" s="9"/>
      <c r="B67" s="32"/>
      <c r="C67" s="42"/>
      <c r="D67" s="42"/>
      <c r="E67" s="42"/>
      <c r="F67" s="42"/>
      <c r="G67" s="42"/>
      <c r="H67" s="42"/>
      <c r="I67" s="10"/>
      <c r="J67" s="33"/>
      <c r="K67" s="42"/>
      <c r="L67" s="42"/>
      <c r="M67" s="42"/>
      <c r="N67" s="42"/>
      <c r="O67" s="42"/>
      <c r="P67" s="42"/>
      <c r="Q67" s="10"/>
      <c r="R67" s="35">
        <v>5</v>
      </c>
      <c r="S67" s="36" t="s">
        <v>545</v>
      </c>
      <c r="T67" s="37"/>
      <c r="U67" s="37"/>
      <c r="V67" s="37"/>
      <c r="W67" s="37"/>
      <c r="X67" s="37"/>
      <c r="Y67" s="37"/>
      <c r="Z67" s="37"/>
      <c r="AA67" s="37"/>
      <c r="AB67" s="37"/>
      <c r="AC67" s="37"/>
      <c r="AD67" s="37"/>
      <c r="AE67" s="38"/>
      <c r="AF67" s="284" t="s">
        <v>492</v>
      </c>
      <c r="AG67" s="286"/>
      <c r="AH67" s="284"/>
      <c r="AI67" s="286"/>
      <c r="AJ67" s="284"/>
      <c r="AK67" s="286"/>
      <c r="AL67" s="284"/>
      <c r="AM67" s="286"/>
      <c r="AN67" s="284"/>
      <c r="AO67" s="286"/>
      <c r="AP67" s="284"/>
      <c r="AQ67" s="286"/>
      <c r="AR67" s="284"/>
      <c r="AS67" s="286"/>
      <c r="AT67" s="284"/>
      <c r="AU67" s="286"/>
      <c r="AV67" s="284"/>
      <c r="AW67" s="286"/>
      <c r="AX67" s="284"/>
      <c r="AY67" s="286"/>
      <c r="AZ67" s="284"/>
      <c r="BA67" s="286"/>
      <c r="BB67" s="284"/>
      <c r="BC67" s="286"/>
      <c r="BD67" s="284"/>
      <c r="BE67" s="286"/>
      <c r="BF67" s="284" t="s">
        <v>143</v>
      </c>
      <c r="BG67" s="285"/>
      <c r="BH67" s="285"/>
      <c r="BI67" s="285"/>
      <c r="BJ67" s="285"/>
      <c r="BK67" s="285"/>
      <c r="BL67" s="285"/>
      <c r="BM67" s="286"/>
      <c r="BN67" s="284" t="s">
        <v>201</v>
      </c>
      <c r="BO67" s="285"/>
      <c r="BP67" s="285"/>
      <c r="BQ67" s="285"/>
      <c r="BR67" s="285"/>
      <c r="BS67" s="285"/>
      <c r="BT67" s="285"/>
      <c r="BU67" s="286"/>
      <c r="BV67" s="288"/>
      <c r="BW67" s="288"/>
      <c r="BX67" s="288"/>
      <c r="BY67" s="288"/>
      <c r="BZ67" s="288"/>
      <c r="CA67" s="288"/>
      <c r="CB67" s="288"/>
      <c r="CC67" s="288"/>
      <c r="CD67" s="288"/>
      <c r="CE67" s="10"/>
      <c r="CF67" s="11"/>
    </row>
    <row r="68" spans="1:84" s="8" customFormat="1">
      <c r="A68" s="9"/>
      <c r="B68" s="32"/>
      <c r="C68" s="42"/>
      <c r="D68" s="42"/>
      <c r="E68" s="42"/>
      <c r="F68" s="42"/>
      <c r="G68" s="42"/>
      <c r="H68" s="42"/>
      <c r="I68" s="10"/>
      <c r="J68" s="33"/>
      <c r="K68" s="42"/>
      <c r="L68" s="42"/>
      <c r="M68" s="42"/>
      <c r="N68" s="42"/>
      <c r="O68" s="42"/>
      <c r="P68" s="42"/>
      <c r="Q68" s="10"/>
      <c r="R68" s="35">
        <v>6</v>
      </c>
      <c r="S68" s="36" t="s">
        <v>563</v>
      </c>
      <c r="T68" s="37"/>
      <c r="U68" s="37"/>
      <c r="V68" s="37"/>
      <c r="W68" s="37"/>
      <c r="X68" s="37"/>
      <c r="Y68" s="37"/>
      <c r="Z68" s="37"/>
      <c r="AA68" s="37"/>
      <c r="AB68" s="37"/>
      <c r="AC68" s="37"/>
      <c r="AD68" s="37"/>
      <c r="AE68" s="38"/>
      <c r="AF68" s="366"/>
      <c r="AG68" s="367"/>
      <c r="AH68" s="284"/>
      <c r="AI68" s="286"/>
      <c r="AJ68" s="284"/>
      <c r="AK68" s="286"/>
      <c r="AL68" s="284"/>
      <c r="AM68" s="286"/>
      <c r="AN68" s="284" t="s">
        <v>492</v>
      </c>
      <c r="AO68" s="286"/>
      <c r="AP68" s="284"/>
      <c r="AQ68" s="286"/>
      <c r="AR68" s="284"/>
      <c r="AS68" s="286"/>
      <c r="AT68" s="284"/>
      <c r="AU68" s="286"/>
      <c r="AV68" s="284"/>
      <c r="AW68" s="286"/>
      <c r="AX68" s="284"/>
      <c r="AY68" s="286"/>
      <c r="AZ68" s="284"/>
      <c r="BA68" s="286"/>
      <c r="BB68" s="284"/>
      <c r="BC68" s="286"/>
      <c r="BD68" s="284"/>
      <c r="BE68" s="286"/>
      <c r="BF68" s="284" t="s">
        <v>554</v>
      </c>
      <c r="BG68" s="285"/>
      <c r="BH68" s="285"/>
      <c r="BI68" s="285"/>
      <c r="BJ68" s="285"/>
      <c r="BK68" s="285"/>
      <c r="BL68" s="285"/>
      <c r="BM68" s="286"/>
      <c r="BN68" s="284" t="s">
        <v>556</v>
      </c>
      <c r="BO68" s="285"/>
      <c r="BP68" s="285"/>
      <c r="BQ68" s="285"/>
      <c r="BR68" s="285"/>
      <c r="BS68" s="285"/>
      <c r="BT68" s="285"/>
      <c r="BU68" s="286"/>
      <c r="BV68" s="288"/>
      <c r="BW68" s="288"/>
      <c r="BX68" s="288"/>
      <c r="BY68" s="288"/>
      <c r="BZ68" s="288"/>
      <c r="CA68" s="288"/>
      <c r="CB68" s="288"/>
      <c r="CC68" s="288"/>
      <c r="CD68" s="288"/>
      <c r="CE68" s="10"/>
      <c r="CF68" s="11"/>
    </row>
    <row r="69" spans="1:84" s="8" customFormat="1">
      <c r="A69" s="9"/>
      <c r="B69" s="32"/>
      <c r="C69" s="42"/>
      <c r="D69" s="42"/>
      <c r="E69" s="42"/>
      <c r="F69" s="42"/>
      <c r="G69" s="42"/>
      <c r="H69" s="42"/>
      <c r="I69" s="10"/>
      <c r="J69" s="33"/>
      <c r="K69" s="42"/>
      <c r="L69" s="42"/>
      <c r="M69" s="42"/>
      <c r="N69" s="42"/>
      <c r="O69" s="42"/>
      <c r="P69" s="42"/>
      <c r="Q69" s="10"/>
      <c r="R69" s="35">
        <v>7</v>
      </c>
      <c r="S69" s="36" t="s">
        <v>557</v>
      </c>
      <c r="T69" s="37"/>
      <c r="U69" s="37"/>
      <c r="V69" s="37"/>
      <c r="W69" s="37"/>
      <c r="X69" s="37"/>
      <c r="Y69" s="37"/>
      <c r="Z69" s="37"/>
      <c r="AA69" s="37"/>
      <c r="AB69" s="37"/>
      <c r="AC69" s="37"/>
      <c r="AD69" s="37"/>
      <c r="AE69" s="38"/>
      <c r="AF69" s="366"/>
      <c r="AG69" s="367"/>
      <c r="AH69" s="284"/>
      <c r="AI69" s="286"/>
      <c r="AJ69" s="284"/>
      <c r="AK69" s="286"/>
      <c r="AL69" s="284"/>
      <c r="AM69" s="286"/>
      <c r="AN69" s="284" t="s">
        <v>492</v>
      </c>
      <c r="AO69" s="286"/>
      <c r="AP69" s="284"/>
      <c r="AQ69" s="286"/>
      <c r="AR69" s="284"/>
      <c r="AS69" s="286"/>
      <c r="AT69" s="284"/>
      <c r="AU69" s="286"/>
      <c r="AV69" s="284"/>
      <c r="AW69" s="286"/>
      <c r="AX69" s="284"/>
      <c r="AY69" s="286"/>
      <c r="AZ69" s="284"/>
      <c r="BA69" s="286"/>
      <c r="BB69" s="284"/>
      <c r="BC69" s="286"/>
      <c r="BD69" s="284"/>
      <c r="BE69" s="286"/>
      <c r="BF69" s="284" t="s">
        <v>554</v>
      </c>
      <c r="BG69" s="285"/>
      <c r="BH69" s="285"/>
      <c r="BI69" s="285"/>
      <c r="BJ69" s="285"/>
      <c r="BK69" s="285"/>
      <c r="BL69" s="285"/>
      <c r="BM69" s="286"/>
      <c r="BN69" s="284" t="s">
        <v>556</v>
      </c>
      <c r="BO69" s="285"/>
      <c r="BP69" s="285"/>
      <c r="BQ69" s="285"/>
      <c r="BR69" s="285"/>
      <c r="BS69" s="285"/>
      <c r="BT69" s="285"/>
      <c r="BU69" s="286"/>
      <c r="BV69" s="288" t="s">
        <v>518</v>
      </c>
      <c r="BW69" s="288"/>
      <c r="BX69" s="288"/>
      <c r="BY69" s="288"/>
      <c r="BZ69" s="288"/>
      <c r="CA69" s="288"/>
      <c r="CB69" s="288"/>
      <c r="CC69" s="288"/>
      <c r="CD69" s="288"/>
      <c r="CE69" s="10"/>
      <c r="CF69" s="11"/>
    </row>
    <row r="70" spans="1:84" s="8" customFormat="1">
      <c r="A70" s="9"/>
      <c r="B70" s="32"/>
      <c r="C70" s="42"/>
      <c r="D70" s="42"/>
      <c r="E70" s="42"/>
      <c r="F70" s="42"/>
      <c r="G70" s="42"/>
      <c r="H70" s="42"/>
      <c r="I70" s="10"/>
      <c r="J70" s="33"/>
      <c r="K70" s="42"/>
      <c r="L70" s="42"/>
      <c r="M70" s="42"/>
      <c r="N70" s="42"/>
      <c r="O70" s="42"/>
      <c r="P70" s="42"/>
      <c r="Q70" s="10"/>
      <c r="R70" s="35">
        <v>8</v>
      </c>
      <c r="S70" s="111" t="s">
        <v>558</v>
      </c>
      <c r="T70" s="37"/>
      <c r="U70" s="37"/>
      <c r="V70" s="37"/>
      <c r="W70" s="37"/>
      <c r="X70" s="37"/>
      <c r="Y70" s="37"/>
      <c r="Z70" s="37"/>
      <c r="AA70" s="37"/>
      <c r="AB70" s="37"/>
      <c r="AC70" s="37"/>
      <c r="AD70" s="37"/>
      <c r="AE70" s="38"/>
      <c r="AF70" s="366"/>
      <c r="AG70" s="367"/>
      <c r="AH70" s="284"/>
      <c r="AI70" s="286"/>
      <c r="AJ70" s="284"/>
      <c r="AK70" s="286"/>
      <c r="AL70" s="284"/>
      <c r="AM70" s="286"/>
      <c r="AN70" s="284"/>
      <c r="AO70" s="286"/>
      <c r="AP70" s="284"/>
      <c r="AQ70" s="286"/>
      <c r="AR70" s="284"/>
      <c r="AS70" s="286"/>
      <c r="AT70" s="284"/>
      <c r="AU70" s="286"/>
      <c r="AV70" s="284"/>
      <c r="AW70" s="286"/>
      <c r="AX70" s="284"/>
      <c r="AY70" s="286"/>
      <c r="AZ70" s="284"/>
      <c r="BA70" s="286"/>
      <c r="BB70" s="284"/>
      <c r="BC70" s="286"/>
      <c r="BD70" s="284" t="s">
        <v>130</v>
      </c>
      <c r="BE70" s="286"/>
      <c r="BF70" s="284" t="s">
        <v>554</v>
      </c>
      <c r="BG70" s="285"/>
      <c r="BH70" s="285"/>
      <c r="BI70" s="285"/>
      <c r="BJ70" s="285"/>
      <c r="BK70" s="285"/>
      <c r="BL70" s="285"/>
      <c r="BM70" s="286"/>
      <c r="BN70" s="284" t="s">
        <v>137</v>
      </c>
      <c r="BO70" s="285"/>
      <c r="BP70" s="285"/>
      <c r="BQ70" s="285"/>
      <c r="BR70" s="285"/>
      <c r="BS70" s="285"/>
      <c r="BT70" s="285"/>
      <c r="BU70" s="286"/>
      <c r="BV70" s="288"/>
      <c r="BW70" s="288"/>
      <c r="BX70" s="288"/>
      <c r="BY70" s="288"/>
      <c r="BZ70" s="288"/>
      <c r="CA70" s="288"/>
      <c r="CB70" s="288"/>
      <c r="CC70" s="288"/>
      <c r="CD70" s="288"/>
      <c r="CE70" s="10"/>
      <c r="CF70" s="11"/>
    </row>
    <row r="71" spans="1:84" s="8" customFormat="1" ht="27" customHeight="1">
      <c r="A71" s="9"/>
      <c r="B71" s="69" t="s">
        <v>564</v>
      </c>
      <c r="C71" s="30"/>
      <c r="D71" s="30"/>
      <c r="E71" s="30"/>
      <c r="F71" s="30"/>
      <c r="G71" s="30"/>
      <c r="H71" s="30"/>
      <c r="I71" s="31"/>
      <c r="J71" s="62" t="s">
        <v>565</v>
      </c>
      <c r="K71" s="30"/>
      <c r="L71" s="30"/>
      <c r="M71" s="30"/>
      <c r="N71" s="30"/>
      <c r="O71" s="30"/>
      <c r="P71" s="30"/>
      <c r="Q71" s="31"/>
      <c r="R71" s="35">
        <v>1</v>
      </c>
      <c r="S71" s="36" t="s">
        <v>566</v>
      </c>
      <c r="T71" s="37"/>
      <c r="U71" s="37"/>
      <c r="V71" s="37"/>
      <c r="W71" s="37"/>
      <c r="X71" s="37"/>
      <c r="Y71" s="37"/>
      <c r="Z71" s="37"/>
      <c r="AA71" s="37"/>
      <c r="AB71" s="37"/>
      <c r="AC71" s="37"/>
      <c r="AD71" s="37"/>
      <c r="AE71" s="38"/>
      <c r="AF71" s="366"/>
      <c r="AG71" s="367"/>
      <c r="AH71" s="284"/>
      <c r="AI71" s="286"/>
      <c r="AJ71" s="284" t="s">
        <v>492</v>
      </c>
      <c r="AK71" s="286"/>
      <c r="AL71" s="284"/>
      <c r="AM71" s="286"/>
      <c r="AN71" s="284"/>
      <c r="AO71" s="286"/>
      <c r="AP71" s="284"/>
      <c r="AQ71" s="286"/>
      <c r="AR71" s="284"/>
      <c r="AS71" s="286"/>
      <c r="AT71" s="284"/>
      <c r="AU71" s="286"/>
      <c r="AV71" s="284"/>
      <c r="AW71" s="286"/>
      <c r="AX71" s="284"/>
      <c r="AY71" s="286"/>
      <c r="AZ71" s="284"/>
      <c r="BA71" s="286"/>
      <c r="BB71" s="284"/>
      <c r="BC71" s="286"/>
      <c r="BD71" s="284"/>
      <c r="BE71" s="286"/>
      <c r="BF71" s="333" t="s">
        <v>493</v>
      </c>
      <c r="BG71" s="358"/>
      <c r="BH71" s="358"/>
      <c r="BI71" s="358"/>
      <c r="BJ71" s="358"/>
      <c r="BK71" s="358"/>
      <c r="BL71" s="358"/>
      <c r="BM71" s="359"/>
      <c r="BN71" s="284" t="s">
        <v>201</v>
      </c>
      <c r="BO71" s="285"/>
      <c r="BP71" s="285"/>
      <c r="BQ71" s="285"/>
      <c r="BR71" s="285"/>
      <c r="BS71" s="285"/>
      <c r="BT71" s="285"/>
      <c r="BU71" s="286"/>
      <c r="BV71" s="288"/>
      <c r="BW71" s="288"/>
      <c r="BX71" s="288"/>
      <c r="BY71" s="288"/>
      <c r="BZ71" s="288"/>
      <c r="CA71" s="288"/>
      <c r="CB71" s="288"/>
      <c r="CC71" s="288"/>
      <c r="CD71" s="288"/>
      <c r="CE71" s="10"/>
      <c r="CF71" s="11"/>
    </row>
    <row r="72" spans="1:84" s="8" customFormat="1" ht="27" customHeight="1">
      <c r="A72" s="9"/>
      <c r="B72" s="32"/>
      <c r="C72" s="42"/>
      <c r="D72" s="42"/>
      <c r="E72" s="42"/>
      <c r="F72" s="42"/>
      <c r="G72" s="42"/>
      <c r="H72" s="42"/>
      <c r="I72" s="10"/>
      <c r="J72" s="62" t="s">
        <v>567</v>
      </c>
      <c r="K72" s="30"/>
      <c r="L72" s="30"/>
      <c r="M72" s="30"/>
      <c r="N72" s="30"/>
      <c r="O72" s="30"/>
      <c r="P72" s="30"/>
      <c r="Q72" s="31"/>
      <c r="R72" s="35">
        <v>1</v>
      </c>
      <c r="S72" s="36" t="s">
        <v>568</v>
      </c>
      <c r="T72" s="37"/>
      <c r="U72" s="37"/>
      <c r="V72" s="37"/>
      <c r="W72" s="37"/>
      <c r="X72" s="37"/>
      <c r="Y72" s="37"/>
      <c r="Z72" s="37"/>
      <c r="AA72" s="37"/>
      <c r="AB72" s="37"/>
      <c r="AC72" s="37"/>
      <c r="AD72" s="37"/>
      <c r="AE72" s="38"/>
      <c r="AF72" s="366"/>
      <c r="AG72" s="367"/>
      <c r="AH72" s="284"/>
      <c r="AI72" s="286"/>
      <c r="AJ72" s="284" t="s">
        <v>492</v>
      </c>
      <c r="AK72" s="286"/>
      <c r="AL72" s="284"/>
      <c r="AM72" s="286"/>
      <c r="AN72" s="284"/>
      <c r="AO72" s="286"/>
      <c r="AP72" s="284"/>
      <c r="AQ72" s="286"/>
      <c r="AR72" s="284"/>
      <c r="AS72" s="286"/>
      <c r="AT72" s="284"/>
      <c r="AU72" s="286"/>
      <c r="AV72" s="284"/>
      <c r="AW72" s="286"/>
      <c r="AX72" s="284"/>
      <c r="AY72" s="286"/>
      <c r="AZ72" s="284"/>
      <c r="BA72" s="286"/>
      <c r="BB72" s="284"/>
      <c r="BC72" s="286"/>
      <c r="BD72" s="284"/>
      <c r="BE72" s="286"/>
      <c r="BF72" s="333" t="s">
        <v>493</v>
      </c>
      <c r="BG72" s="358"/>
      <c r="BH72" s="358"/>
      <c r="BI72" s="358"/>
      <c r="BJ72" s="358"/>
      <c r="BK72" s="358"/>
      <c r="BL72" s="358"/>
      <c r="BM72" s="359"/>
      <c r="BN72" s="284" t="s">
        <v>201</v>
      </c>
      <c r="BO72" s="285"/>
      <c r="BP72" s="285"/>
      <c r="BQ72" s="285"/>
      <c r="BR72" s="285"/>
      <c r="BS72" s="285"/>
      <c r="BT72" s="285"/>
      <c r="BU72" s="286"/>
      <c r="BV72" s="288"/>
      <c r="BW72" s="288"/>
      <c r="BX72" s="288"/>
      <c r="BY72" s="288"/>
      <c r="BZ72" s="288"/>
      <c r="CA72" s="288"/>
      <c r="CB72" s="288"/>
      <c r="CC72" s="288"/>
      <c r="CD72" s="288"/>
      <c r="CE72" s="10"/>
      <c r="CF72" s="11"/>
    </row>
    <row r="73" spans="1:84" s="8" customFormat="1" ht="27" customHeight="1">
      <c r="A73" s="9"/>
      <c r="B73" s="33"/>
      <c r="C73" s="42"/>
      <c r="D73" s="42"/>
      <c r="E73" s="42"/>
      <c r="F73" s="42"/>
      <c r="G73" s="42"/>
      <c r="H73" s="42"/>
      <c r="I73" s="10"/>
      <c r="J73" s="33"/>
      <c r="K73" s="42"/>
      <c r="L73" s="42"/>
      <c r="M73" s="42"/>
      <c r="N73" s="42"/>
      <c r="O73" s="42"/>
      <c r="P73" s="42"/>
      <c r="Q73" s="10"/>
      <c r="R73" s="35">
        <v>2</v>
      </c>
      <c r="S73" s="36" t="s">
        <v>569</v>
      </c>
      <c r="T73" s="37"/>
      <c r="U73" s="37"/>
      <c r="V73" s="37"/>
      <c r="W73" s="37"/>
      <c r="X73" s="37"/>
      <c r="Y73" s="37"/>
      <c r="Z73" s="37"/>
      <c r="AA73" s="37"/>
      <c r="AB73" s="37"/>
      <c r="AC73" s="37"/>
      <c r="AD73" s="37"/>
      <c r="AE73" s="38"/>
      <c r="AF73" s="366"/>
      <c r="AG73" s="367"/>
      <c r="AH73" s="284"/>
      <c r="AI73" s="286"/>
      <c r="AJ73" s="284" t="s">
        <v>492</v>
      </c>
      <c r="AK73" s="286"/>
      <c r="AL73" s="284"/>
      <c r="AM73" s="286"/>
      <c r="AN73" s="284"/>
      <c r="AO73" s="286"/>
      <c r="AP73" s="284"/>
      <c r="AQ73" s="286"/>
      <c r="AR73" s="284"/>
      <c r="AS73" s="286"/>
      <c r="AT73" s="284"/>
      <c r="AU73" s="286"/>
      <c r="AV73" s="284"/>
      <c r="AW73" s="286"/>
      <c r="AX73" s="284"/>
      <c r="AY73" s="286"/>
      <c r="AZ73" s="284"/>
      <c r="BA73" s="286"/>
      <c r="BB73" s="284"/>
      <c r="BC73" s="286"/>
      <c r="BD73" s="284"/>
      <c r="BE73" s="286"/>
      <c r="BF73" s="333" t="s">
        <v>493</v>
      </c>
      <c r="BG73" s="358"/>
      <c r="BH73" s="358"/>
      <c r="BI73" s="358"/>
      <c r="BJ73" s="358"/>
      <c r="BK73" s="358"/>
      <c r="BL73" s="358"/>
      <c r="BM73" s="359"/>
      <c r="BN73" s="284" t="s">
        <v>201</v>
      </c>
      <c r="BO73" s="285"/>
      <c r="BP73" s="285"/>
      <c r="BQ73" s="285"/>
      <c r="BR73" s="285"/>
      <c r="BS73" s="285"/>
      <c r="BT73" s="285"/>
      <c r="BU73" s="286"/>
      <c r="BV73" s="288"/>
      <c r="BW73" s="288"/>
      <c r="BX73" s="288"/>
      <c r="BY73" s="288"/>
      <c r="BZ73" s="288"/>
      <c r="CA73" s="288"/>
      <c r="CB73" s="288"/>
      <c r="CC73" s="288"/>
      <c r="CD73" s="288"/>
      <c r="CE73" s="10"/>
    </row>
    <row r="74" spans="1:84" s="8" customFormat="1">
      <c r="A74" s="9"/>
      <c r="B74" s="29" t="s">
        <v>570</v>
      </c>
      <c r="C74" s="30"/>
      <c r="D74" s="30"/>
      <c r="E74" s="30"/>
      <c r="F74" s="30"/>
      <c r="G74" s="30"/>
      <c r="H74" s="30"/>
      <c r="I74" s="31"/>
      <c r="J74" s="47" t="s">
        <v>565</v>
      </c>
      <c r="K74" s="30"/>
      <c r="L74" s="30"/>
      <c r="M74" s="30"/>
      <c r="N74" s="30"/>
      <c r="O74" s="30"/>
      <c r="P74" s="30"/>
      <c r="Q74" s="31"/>
      <c r="R74" s="35">
        <v>1</v>
      </c>
      <c r="S74" s="36" t="s">
        <v>566</v>
      </c>
      <c r="T74" s="37"/>
      <c r="U74" s="37"/>
      <c r="V74" s="37"/>
      <c r="W74" s="37"/>
      <c r="X74" s="37"/>
      <c r="Y74" s="37"/>
      <c r="Z74" s="37"/>
      <c r="AA74" s="37"/>
      <c r="AB74" s="37"/>
      <c r="AC74" s="37"/>
      <c r="AD74" s="37"/>
      <c r="AE74" s="38"/>
      <c r="AF74" s="366"/>
      <c r="AG74" s="367"/>
      <c r="AH74" s="284"/>
      <c r="AI74" s="286"/>
      <c r="AJ74" s="284"/>
      <c r="AK74" s="286"/>
      <c r="AL74" s="284"/>
      <c r="AM74" s="286"/>
      <c r="AN74" s="284" t="s">
        <v>492</v>
      </c>
      <c r="AO74" s="286"/>
      <c r="AP74" s="284"/>
      <c r="AQ74" s="286"/>
      <c r="AR74" s="284"/>
      <c r="AS74" s="286"/>
      <c r="AT74" s="284"/>
      <c r="AU74" s="286"/>
      <c r="AV74" s="284"/>
      <c r="AW74" s="286"/>
      <c r="AX74" s="284"/>
      <c r="AY74" s="286"/>
      <c r="AZ74" s="284"/>
      <c r="BA74" s="286"/>
      <c r="BB74" s="284"/>
      <c r="BC74" s="286"/>
      <c r="BD74" s="284"/>
      <c r="BE74" s="286"/>
      <c r="BF74" s="284" t="s">
        <v>554</v>
      </c>
      <c r="BG74" s="285"/>
      <c r="BH74" s="285"/>
      <c r="BI74" s="285"/>
      <c r="BJ74" s="285"/>
      <c r="BK74" s="285"/>
      <c r="BL74" s="285"/>
      <c r="BM74" s="286"/>
      <c r="BN74" s="287" t="s">
        <v>571</v>
      </c>
      <c r="BO74" s="287"/>
      <c r="BP74" s="287"/>
      <c r="BQ74" s="287"/>
      <c r="BR74" s="287"/>
      <c r="BS74" s="287"/>
      <c r="BT74" s="287"/>
      <c r="BU74" s="287"/>
      <c r="BV74" s="288"/>
      <c r="BW74" s="288"/>
      <c r="BX74" s="288"/>
      <c r="BY74" s="288"/>
      <c r="BZ74" s="288"/>
      <c r="CA74" s="288"/>
      <c r="CB74" s="288"/>
      <c r="CC74" s="288"/>
      <c r="CD74" s="288"/>
      <c r="CE74" s="10"/>
      <c r="CF74" s="11"/>
    </row>
    <row r="75" spans="1:84" s="8" customFormat="1">
      <c r="A75" s="9"/>
      <c r="B75" s="47" t="s">
        <v>572</v>
      </c>
      <c r="C75" s="30"/>
      <c r="D75" s="30"/>
      <c r="E75" s="30"/>
      <c r="F75" s="30"/>
      <c r="G75" s="30"/>
      <c r="H75" s="30"/>
      <c r="I75" s="31"/>
      <c r="J75" s="29" t="s">
        <v>573</v>
      </c>
      <c r="K75" s="30"/>
      <c r="L75" s="30"/>
      <c r="M75" s="30"/>
      <c r="N75" s="30"/>
      <c r="O75" s="30"/>
      <c r="P75" s="30"/>
      <c r="Q75" s="31"/>
      <c r="R75" s="35">
        <v>1</v>
      </c>
      <c r="S75" s="36" t="s">
        <v>574</v>
      </c>
      <c r="T75" s="37"/>
      <c r="U75" s="37"/>
      <c r="V75" s="37"/>
      <c r="W75" s="37"/>
      <c r="X75" s="37"/>
      <c r="Y75" s="37"/>
      <c r="Z75" s="37"/>
      <c r="AA75" s="37"/>
      <c r="AB75" s="37"/>
      <c r="AC75" s="37"/>
      <c r="AD75" s="37"/>
      <c r="AE75" s="38"/>
      <c r="AF75" s="366"/>
      <c r="AG75" s="367"/>
      <c r="AH75" s="284"/>
      <c r="AI75" s="286"/>
      <c r="AJ75" s="284"/>
      <c r="AK75" s="286"/>
      <c r="AL75" s="284"/>
      <c r="AM75" s="286"/>
      <c r="AN75" s="284"/>
      <c r="AO75" s="286"/>
      <c r="AP75" s="284" t="s">
        <v>492</v>
      </c>
      <c r="AQ75" s="286"/>
      <c r="AR75" s="284"/>
      <c r="AS75" s="286"/>
      <c r="AT75" s="284"/>
      <c r="AU75" s="286"/>
      <c r="AV75" s="284"/>
      <c r="AW75" s="286"/>
      <c r="AX75" s="284"/>
      <c r="AY75" s="286"/>
      <c r="AZ75" s="284"/>
      <c r="BA75" s="286"/>
      <c r="BB75" s="284"/>
      <c r="BC75" s="286"/>
      <c r="BD75" s="284"/>
      <c r="BE75" s="286"/>
      <c r="BF75" s="284" t="s">
        <v>201</v>
      </c>
      <c r="BG75" s="285"/>
      <c r="BH75" s="285"/>
      <c r="BI75" s="285"/>
      <c r="BJ75" s="285"/>
      <c r="BK75" s="285"/>
      <c r="BL75" s="285"/>
      <c r="BM75" s="286"/>
      <c r="BN75" s="284" t="s">
        <v>201</v>
      </c>
      <c r="BO75" s="285"/>
      <c r="BP75" s="285"/>
      <c r="BQ75" s="285"/>
      <c r="BR75" s="285"/>
      <c r="BS75" s="285"/>
      <c r="BT75" s="285"/>
      <c r="BU75" s="286"/>
      <c r="BV75" s="288"/>
      <c r="BW75" s="288"/>
      <c r="BX75" s="288"/>
      <c r="BY75" s="288"/>
      <c r="BZ75" s="288"/>
      <c r="CA75" s="288"/>
      <c r="CB75" s="288"/>
      <c r="CC75" s="288"/>
      <c r="CD75" s="288"/>
      <c r="CE75" s="10"/>
    </row>
    <row r="76" spans="1:84" s="8" customFormat="1">
      <c r="A76" s="9"/>
      <c r="B76" s="33"/>
      <c r="C76" s="42"/>
      <c r="D76" s="42"/>
      <c r="E76" s="42"/>
      <c r="F76" s="42"/>
      <c r="G76" s="42"/>
      <c r="H76" s="42"/>
      <c r="I76" s="10"/>
      <c r="J76" s="32"/>
      <c r="K76" s="42"/>
      <c r="L76" s="42"/>
      <c r="M76" s="42"/>
      <c r="N76" s="42"/>
      <c r="O76" s="42"/>
      <c r="P76" s="42"/>
      <c r="Q76" s="10"/>
      <c r="R76" s="35">
        <v>2</v>
      </c>
      <c r="S76" s="36" t="s">
        <v>575</v>
      </c>
      <c r="T76" s="37"/>
      <c r="U76" s="37"/>
      <c r="V76" s="37"/>
      <c r="W76" s="37"/>
      <c r="X76" s="37"/>
      <c r="Y76" s="37"/>
      <c r="Z76" s="37"/>
      <c r="AA76" s="37"/>
      <c r="AB76" s="37"/>
      <c r="AC76" s="37"/>
      <c r="AD76" s="37"/>
      <c r="AE76" s="38"/>
      <c r="AF76" s="366"/>
      <c r="AG76" s="367"/>
      <c r="AH76" s="284"/>
      <c r="AI76" s="286"/>
      <c r="AJ76" s="284"/>
      <c r="AK76" s="286"/>
      <c r="AL76" s="284"/>
      <c r="AM76" s="286"/>
      <c r="AN76" s="284"/>
      <c r="AO76" s="286"/>
      <c r="AP76" s="284" t="s">
        <v>492</v>
      </c>
      <c r="AQ76" s="286"/>
      <c r="AR76" s="284"/>
      <c r="AS76" s="286"/>
      <c r="AT76" s="284"/>
      <c r="AU76" s="286"/>
      <c r="AV76" s="284"/>
      <c r="AW76" s="286"/>
      <c r="AX76" s="284"/>
      <c r="AY76" s="286"/>
      <c r="AZ76" s="284"/>
      <c r="BA76" s="286"/>
      <c r="BB76" s="284"/>
      <c r="BC76" s="286"/>
      <c r="BD76" s="284"/>
      <c r="BE76" s="286"/>
      <c r="BF76" s="284" t="s">
        <v>201</v>
      </c>
      <c r="BG76" s="285"/>
      <c r="BH76" s="285"/>
      <c r="BI76" s="285"/>
      <c r="BJ76" s="285"/>
      <c r="BK76" s="285"/>
      <c r="BL76" s="285"/>
      <c r="BM76" s="286"/>
      <c r="BN76" s="284" t="s">
        <v>201</v>
      </c>
      <c r="BO76" s="285"/>
      <c r="BP76" s="285"/>
      <c r="BQ76" s="285"/>
      <c r="BR76" s="285"/>
      <c r="BS76" s="285"/>
      <c r="BT76" s="285"/>
      <c r="BU76" s="286"/>
      <c r="BV76" s="288"/>
      <c r="BW76" s="288"/>
      <c r="BX76" s="288"/>
      <c r="BY76" s="288"/>
      <c r="BZ76" s="288"/>
      <c r="CA76" s="288"/>
      <c r="CB76" s="288"/>
      <c r="CC76" s="288"/>
      <c r="CD76" s="288"/>
      <c r="CE76" s="10"/>
    </row>
    <row r="77" spans="1:84" s="8" customFormat="1" ht="13.5" customHeight="1">
      <c r="A77" s="9"/>
      <c r="B77" s="33"/>
      <c r="C77" s="42"/>
      <c r="D77" s="42"/>
      <c r="E77" s="42"/>
      <c r="F77" s="42"/>
      <c r="G77" s="42"/>
      <c r="H77" s="42"/>
      <c r="I77" s="10"/>
      <c r="J77" s="32"/>
      <c r="K77" s="42"/>
      <c r="L77" s="42"/>
      <c r="M77" s="42"/>
      <c r="N77" s="42"/>
      <c r="O77" s="42"/>
      <c r="P77" s="42"/>
      <c r="Q77" s="10"/>
      <c r="R77" s="35">
        <v>3</v>
      </c>
      <c r="S77" s="36" t="s">
        <v>576</v>
      </c>
      <c r="T77" s="37"/>
      <c r="U77" s="37"/>
      <c r="V77" s="37"/>
      <c r="W77" s="37"/>
      <c r="X77" s="37"/>
      <c r="Y77" s="37"/>
      <c r="Z77" s="37"/>
      <c r="AA77" s="37"/>
      <c r="AB77" s="37"/>
      <c r="AC77" s="37"/>
      <c r="AD77" s="37"/>
      <c r="AE77" s="38"/>
      <c r="AF77" s="366"/>
      <c r="AG77" s="367"/>
      <c r="AH77" s="284"/>
      <c r="AI77" s="286"/>
      <c r="AJ77" s="284"/>
      <c r="AK77" s="286"/>
      <c r="AL77" s="284" t="s">
        <v>492</v>
      </c>
      <c r="AM77" s="286"/>
      <c r="AN77" s="284"/>
      <c r="AO77" s="286"/>
      <c r="AP77" s="284"/>
      <c r="AQ77" s="286"/>
      <c r="AR77" s="284"/>
      <c r="AS77" s="286"/>
      <c r="AT77" s="284"/>
      <c r="AU77" s="286"/>
      <c r="AV77" s="284"/>
      <c r="AW77" s="286"/>
      <c r="AX77" s="284"/>
      <c r="AY77" s="286"/>
      <c r="AZ77" s="284"/>
      <c r="BA77" s="286"/>
      <c r="BB77" s="284"/>
      <c r="BC77" s="286"/>
      <c r="BD77" s="284"/>
      <c r="BE77" s="286"/>
      <c r="BF77" s="360" t="s">
        <v>142</v>
      </c>
      <c r="BG77" s="361"/>
      <c r="BH77" s="361"/>
      <c r="BI77" s="361"/>
      <c r="BJ77" s="361"/>
      <c r="BK77" s="361"/>
      <c r="BL77" s="361"/>
      <c r="BM77" s="362"/>
      <c r="BN77" s="284" t="s">
        <v>201</v>
      </c>
      <c r="BO77" s="285"/>
      <c r="BP77" s="285"/>
      <c r="BQ77" s="285"/>
      <c r="BR77" s="285"/>
      <c r="BS77" s="285"/>
      <c r="BT77" s="285"/>
      <c r="BU77" s="286"/>
      <c r="BV77" s="288"/>
      <c r="BW77" s="288"/>
      <c r="BX77" s="288"/>
      <c r="BY77" s="288"/>
      <c r="BZ77" s="288"/>
      <c r="CA77" s="288"/>
      <c r="CB77" s="288"/>
      <c r="CC77" s="288"/>
      <c r="CD77" s="288"/>
      <c r="CE77" s="10"/>
    </row>
    <row r="78" spans="1:84" s="8" customFormat="1" ht="13.5" customHeight="1">
      <c r="A78" s="9"/>
      <c r="B78" s="33"/>
      <c r="C78" s="42"/>
      <c r="D78" s="42"/>
      <c r="E78" s="42"/>
      <c r="F78" s="42"/>
      <c r="G78" s="42"/>
      <c r="H78" s="42"/>
      <c r="I78" s="10"/>
      <c r="J78" s="32"/>
      <c r="K78" s="42"/>
      <c r="L78" s="42"/>
      <c r="M78" s="42"/>
      <c r="N78" s="42"/>
      <c r="O78" s="42"/>
      <c r="P78" s="42"/>
      <c r="Q78" s="10"/>
      <c r="R78" s="35">
        <v>4</v>
      </c>
      <c r="S78" s="36" t="s">
        <v>577</v>
      </c>
      <c r="T78" s="37"/>
      <c r="U78" s="37"/>
      <c r="V78" s="37"/>
      <c r="W78" s="37"/>
      <c r="X78" s="37"/>
      <c r="Y78" s="37"/>
      <c r="Z78" s="37"/>
      <c r="AA78" s="37"/>
      <c r="AB78" s="37"/>
      <c r="AC78" s="37"/>
      <c r="AD78" s="37"/>
      <c r="AE78" s="38"/>
      <c r="AF78" s="366"/>
      <c r="AG78" s="367"/>
      <c r="AH78" s="284"/>
      <c r="AI78" s="286"/>
      <c r="AJ78" s="284"/>
      <c r="AK78" s="286"/>
      <c r="AL78" s="284" t="s">
        <v>492</v>
      </c>
      <c r="AM78" s="286"/>
      <c r="AN78" s="284"/>
      <c r="AO78" s="286"/>
      <c r="AP78" s="284"/>
      <c r="AQ78" s="286"/>
      <c r="AR78" s="284"/>
      <c r="AS78" s="286"/>
      <c r="AT78" s="284"/>
      <c r="AU78" s="286"/>
      <c r="AV78" s="284"/>
      <c r="AW78" s="286"/>
      <c r="AX78" s="284"/>
      <c r="AY78" s="286"/>
      <c r="AZ78" s="284"/>
      <c r="BA78" s="286"/>
      <c r="BB78" s="284"/>
      <c r="BC78" s="286"/>
      <c r="BD78" s="284"/>
      <c r="BE78" s="286"/>
      <c r="BF78" s="360" t="s">
        <v>142</v>
      </c>
      <c r="BG78" s="361"/>
      <c r="BH78" s="361"/>
      <c r="BI78" s="361"/>
      <c r="BJ78" s="361"/>
      <c r="BK78" s="361"/>
      <c r="BL78" s="361"/>
      <c r="BM78" s="362"/>
      <c r="BN78" s="284" t="s">
        <v>201</v>
      </c>
      <c r="BO78" s="285"/>
      <c r="BP78" s="285"/>
      <c r="BQ78" s="285"/>
      <c r="BR78" s="285"/>
      <c r="BS78" s="285"/>
      <c r="BT78" s="285"/>
      <c r="BU78" s="286"/>
      <c r="BV78" s="288"/>
      <c r="BW78" s="288"/>
      <c r="BX78" s="288"/>
      <c r="BY78" s="288"/>
      <c r="BZ78" s="288"/>
      <c r="CA78" s="288"/>
      <c r="CB78" s="288"/>
      <c r="CC78" s="288"/>
      <c r="CD78" s="288"/>
      <c r="CE78" s="10"/>
    </row>
    <row r="79" spans="1:84" s="8" customFormat="1">
      <c r="A79" s="9"/>
      <c r="B79" s="33"/>
      <c r="C79" s="42"/>
      <c r="D79" s="42"/>
      <c r="E79" s="42"/>
      <c r="F79" s="42"/>
      <c r="G79" s="42"/>
      <c r="H79" s="42"/>
      <c r="I79" s="10"/>
      <c r="J79" s="32"/>
      <c r="K79" s="42"/>
      <c r="L79" s="42"/>
      <c r="M79" s="42"/>
      <c r="N79" s="42"/>
      <c r="O79" s="42"/>
      <c r="P79" s="42"/>
      <c r="Q79" s="10"/>
      <c r="R79" s="35">
        <v>5</v>
      </c>
      <c r="S79" s="36" t="s">
        <v>578</v>
      </c>
      <c r="T79" s="37"/>
      <c r="U79" s="37"/>
      <c r="V79" s="37"/>
      <c r="W79" s="37"/>
      <c r="X79" s="37"/>
      <c r="Y79" s="37"/>
      <c r="Z79" s="37"/>
      <c r="AA79" s="37"/>
      <c r="AB79" s="37"/>
      <c r="AC79" s="37"/>
      <c r="AD79" s="37"/>
      <c r="AE79" s="38"/>
      <c r="AF79" s="366"/>
      <c r="AG79" s="367"/>
      <c r="AH79" s="284"/>
      <c r="AI79" s="286"/>
      <c r="AJ79" s="284"/>
      <c r="AK79" s="286"/>
      <c r="AL79" s="284" t="s">
        <v>492</v>
      </c>
      <c r="AM79" s="286"/>
      <c r="AN79" s="284"/>
      <c r="AO79" s="286"/>
      <c r="AP79" s="284"/>
      <c r="AQ79" s="286"/>
      <c r="AR79" s="284"/>
      <c r="AS79" s="286"/>
      <c r="AT79" s="284"/>
      <c r="AU79" s="286"/>
      <c r="AV79" s="284"/>
      <c r="AW79" s="286"/>
      <c r="AX79" s="284"/>
      <c r="AY79" s="286"/>
      <c r="AZ79" s="284"/>
      <c r="BA79" s="286"/>
      <c r="BB79" s="284"/>
      <c r="BC79" s="286"/>
      <c r="BD79" s="284"/>
      <c r="BE79" s="286"/>
      <c r="BF79" s="284" t="s">
        <v>579</v>
      </c>
      <c r="BG79" s="285"/>
      <c r="BH79" s="285"/>
      <c r="BI79" s="285"/>
      <c r="BJ79" s="285"/>
      <c r="BK79" s="285"/>
      <c r="BL79" s="285"/>
      <c r="BM79" s="286"/>
      <c r="BN79" s="284" t="s">
        <v>201</v>
      </c>
      <c r="BO79" s="285"/>
      <c r="BP79" s="285"/>
      <c r="BQ79" s="285"/>
      <c r="BR79" s="285"/>
      <c r="BS79" s="285"/>
      <c r="BT79" s="285"/>
      <c r="BU79" s="286"/>
      <c r="BV79" s="288"/>
      <c r="BW79" s="288"/>
      <c r="BX79" s="288"/>
      <c r="BY79" s="288"/>
      <c r="BZ79" s="288"/>
      <c r="CA79" s="288"/>
      <c r="CB79" s="288"/>
      <c r="CC79" s="288"/>
      <c r="CD79" s="288"/>
      <c r="CE79" s="10"/>
    </row>
    <row r="80" spans="1:84" s="8" customFormat="1">
      <c r="A80" s="9"/>
      <c r="B80" s="33"/>
      <c r="C80" s="42"/>
      <c r="D80" s="42"/>
      <c r="E80" s="42"/>
      <c r="F80" s="42"/>
      <c r="G80" s="42"/>
      <c r="H80" s="42"/>
      <c r="I80" s="10"/>
      <c r="J80" s="32"/>
      <c r="K80" s="42"/>
      <c r="L80" s="42"/>
      <c r="M80" s="42"/>
      <c r="N80" s="42"/>
      <c r="O80" s="42"/>
      <c r="P80" s="42"/>
      <c r="Q80" s="10"/>
      <c r="R80" s="35">
        <v>6</v>
      </c>
      <c r="S80" s="36" t="s">
        <v>580</v>
      </c>
      <c r="T80" s="37"/>
      <c r="U80" s="37"/>
      <c r="V80" s="37"/>
      <c r="W80" s="37"/>
      <c r="X80" s="37"/>
      <c r="Y80" s="37"/>
      <c r="Z80" s="37"/>
      <c r="AA80" s="37"/>
      <c r="AB80" s="37"/>
      <c r="AC80" s="37"/>
      <c r="AD80" s="37"/>
      <c r="AE80" s="38"/>
      <c r="AF80" s="366"/>
      <c r="AG80" s="367"/>
      <c r="AH80" s="284"/>
      <c r="AI80" s="286"/>
      <c r="AJ80" s="284"/>
      <c r="AK80" s="286"/>
      <c r="AL80" s="284" t="s">
        <v>492</v>
      </c>
      <c r="AM80" s="286"/>
      <c r="AN80" s="284"/>
      <c r="AO80" s="286"/>
      <c r="AP80" s="284"/>
      <c r="AQ80" s="286"/>
      <c r="AR80" s="284"/>
      <c r="AS80" s="286"/>
      <c r="AT80" s="284"/>
      <c r="AU80" s="286"/>
      <c r="AV80" s="284"/>
      <c r="AW80" s="286"/>
      <c r="AX80" s="284"/>
      <c r="AY80" s="286"/>
      <c r="AZ80" s="284"/>
      <c r="BA80" s="286"/>
      <c r="BB80" s="284"/>
      <c r="BC80" s="286"/>
      <c r="BD80" s="284"/>
      <c r="BE80" s="286"/>
      <c r="BF80" s="284" t="s">
        <v>579</v>
      </c>
      <c r="BG80" s="285"/>
      <c r="BH80" s="285"/>
      <c r="BI80" s="285"/>
      <c r="BJ80" s="285"/>
      <c r="BK80" s="285"/>
      <c r="BL80" s="285"/>
      <c r="BM80" s="286"/>
      <c r="BN80" s="284" t="s">
        <v>201</v>
      </c>
      <c r="BO80" s="285"/>
      <c r="BP80" s="285"/>
      <c r="BQ80" s="285"/>
      <c r="BR80" s="285"/>
      <c r="BS80" s="285"/>
      <c r="BT80" s="285"/>
      <c r="BU80" s="286"/>
      <c r="BV80" s="288"/>
      <c r="BW80" s="288"/>
      <c r="BX80" s="288"/>
      <c r="BY80" s="288"/>
      <c r="BZ80" s="288"/>
      <c r="CA80" s="288"/>
      <c r="CB80" s="288"/>
      <c r="CC80" s="288"/>
      <c r="CD80" s="288"/>
      <c r="CE80" s="10"/>
    </row>
    <row r="81" spans="1:84" s="8" customFormat="1">
      <c r="A81" s="9"/>
      <c r="B81" s="33"/>
      <c r="C81" s="42"/>
      <c r="D81" s="42"/>
      <c r="E81" s="42"/>
      <c r="F81" s="42"/>
      <c r="G81" s="42"/>
      <c r="H81" s="42"/>
      <c r="I81" s="10"/>
      <c r="J81" s="32"/>
      <c r="K81" s="42"/>
      <c r="L81" s="42"/>
      <c r="M81" s="42"/>
      <c r="N81" s="42"/>
      <c r="O81" s="42"/>
      <c r="P81" s="42"/>
      <c r="Q81" s="10"/>
      <c r="R81" s="35">
        <v>7</v>
      </c>
      <c r="S81" s="36" t="s">
        <v>581</v>
      </c>
      <c r="T81" s="37"/>
      <c r="U81" s="37"/>
      <c r="V81" s="37"/>
      <c r="W81" s="37"/>
      <c r="X81" s="37"/>
      <c r="Y81" s="37"/>
      <c r="Z81" s="37"/>
      <c r="AA81" s="37"/>
      <c r="AB81" s="37"/>
      <c r="AC81" s="37"/>
      <c r="AD81" s="37"/>
      <c r="AE81" s="38"/>
      <c r="AF81" s="366"/>
      <c r="AG81" s="367"/>
      <c r="AH81" s="284"/>
      <c r="AI81" s="286"/>
      <c r="AJ81" s="284"/>
      <c r="AK81" s="286"/>
      <c r="AL81" s="284" t="s">
        <v>492</v>
      </c>
      <c r="AM81" s="286"/>
      <c r="AN81" s="284"/>
      <c r="AO81" s="286"/>
      <c r="AP81" s="284"/>
      <c r="AQ81" s="286"/>
      <c r="AR81" s="284"/>
      <c r="AS81" s="286"/>
      <c r="AT81" s="284"/>
      <c r="AU81" s="286"/>
      <c r="AV81" s="284"/>
      <c r="AW81" s="286"/>
      <c r="AX81" s="284"/>
      <c r="AY81" s="286"/>
      <c r="AZ81" s="284"/>
      <c r="BA81" s="286"/>
      <c r="BB81" s="284"/>
      <c r="BC81" s="286"/>
      <c r="BD81" s="284"/>
      <c r="BE81" s="286"/>
      <c r="BF81" s="284" t="s">
        <v>201</v>
      </c>
      <c r="BG81" s="285"/>
      <c r="BH81" s="285"/>
      <c r="BI81" s="285"/>
      <c r="BJ81" s="285"/>
      <c r="BK81" s="285"/>
      <c r="BL81" s="285"/>
      <c r="BM81" s="286"/>
      <c r="BN81" s="284" t="s">
        <v>201</v>
      </c>
      <c r="BO81" s="285"/>
      <c r="BP81" s="285"/>
      <c r="BQ81" s="285"/>
      <c r="BR81" s="285"/>
      <c r="BS81" s="285"/>
      <c r="BT81" s="285"/>
      <c r="BU81" s="286"/>
      <c r="BV81" s="288"/>
      <c r="BW81" s="288"/>
      <c r="BX81" s="288"/>
      <c r="BY81" s="288"/>
      <c r="BZ81" s="288"/>
      <c r="CA81" s="288"/>
      <c r="CB81" s="288"/>
      <c r="CC81" s="288"/>
      <c r="CD81" s="288"/>
      <c r="CE81" s="10"/>
    </row>
    <row r="82" spans="1:84" s="8" customFormat="1">
      <c r="A82" s="9"/>
      <c r="B82" s="32"/>
      <c r="C82" s="42"/>
      <c r="D82" s="42"/>
      <c r="E82" s="42"/>
      <c r="F82" s="42"/>
      <c r="G82" s="42"/>
      <c r="H82" s="42"/>
      <c r="I82" s="10"/>
      <c r="J82" s="33"/>
      <c r="K82" s="42"/>
      <c r="L82" s="42"/>
      <c r="M82" s="42"/>
      <c r="N82" s="42"/>
      <c r="O82" s="42"/>
      <c r="P82" s="42"/>
      <c r="Q82" s="10"/>
      <c r="R82" s="35">
        <v>10</v>
      </c>
      <c r="S82" s="36" t="s">
        <v>582</v>
      </c>
      <c r="T82" s="37"/>
      <c r="U82" s="37"/>
      <c r="V82" s="37"/>
      <c r="W82" s="37"/>
      <c r="X82" s="37"/>
      <c r="Y82" s="37"/>
      <c r="Z82" s="37"/>
      <c r="AA82" s="37"/>
      <c r="AB82" s="37"/>
      <c r="AC82" s="37"/>
      <c r="AD82" s="37"/>
      <c r="AE82" s="38"/>
      <c r="AF82" s="284" t="s">
        <v>492</v>
      </c>
      <c r="AG82" s="286"/>
      <c r="AH82" s="284"/>
      <c r="AI82" s="286"/>
      <c r="AJ82" s="284"/>
      <c r="AK82" s="286"/>
      <c r="AL82" s="284"/>
      <c r="AM82" s="286"/>
      <c r="AN82" s="284"/>
      <c r="AO82" s="286"/>
      <c r="AP82" s="284"/>
      <c r="AQ82" s="286"/>
      <c r="AR82" s="284"/>
      <c r="AS82" s="286"/>
      <c r="AT82" s="284"/>
      <c r="AU82" s="286"/>
      <c r="AV82" s="284"/>
      <c r="AW82" s="286"/>
      <c r="AX82" s="284"/>
      <c r="AY82" s="286"/>
      <c r="AZ82" s="284"/>
      <c r="BA82" s="286"/>
      <c r="BB82" s="284"/>
      <c r="BC82" s="286"/>
      <c r="BD82" s="284"/>
      <c r="BE82" s="286"/>
      <c r="BF82" s="284" t="s">
        <v>201</v>
      </c>
      <c r="BG82" s="285"/>
      <c r="BH82" s="285"/>
      <c r="BI82" s="285"/>
      <c r="BJ82" s="285"/>
      <c r="BK82" s="285"/>
      <c r="BL82" s="285"/>
      <c r="BM82" s="286"/>
      <c r="BN82" s="284" t="s">
        <v>201</v>
      </c>
      <c r="BO82" s="285"/>
      <c r="BP82" s="285"/>
      <c r="BQ82" s="285"/>
      <c r="BR82" s="285"/>
      <c r="BS82" s="285"/>
      <c r="BT82" s="285"/>
      <c r="BU82" s="286"/>
      <c r="BV82" s="288"/>
      <c r="BW82" s="288"/>
      <c r="BX82" s="288"/>
      <c r="BY82" s="288"/>
      <c r="BZ82" s="288"/>
      <c r="CA82" s="288"/>
      <c r="CB82" s="288"/>
      <c r="CC82" s="288"/>
      <c r="CD82" s="288"/>
      <c r="CE82" s="10"/>
      <c r="CF82" s="11"/>
    </row>
    <row r="83" spans="1:84" s="8" customFormat="1">
      <c r="A83" s="9"/>
      <c r="B83" s="32"/>
      <c r="C83" s="42"/>
      <c r="D83" s="42"/>
      <c r="E83" s="42"/>
      <c r="F83" s="42"/>
      <c r="G83" s="42"/>
      <c r="H83" s="42"/>
      <c r="I83" s="10"/>
      <c r="J83" s="47" t="s">
        <v>583</v>
      </c>
      <c r="K83" s="30"/>
      <c r="L83" s="30"/>
      <c r="M83" s="30"/>
      <c r="N83" s="30"/>
      <c r="O83" s="30"/>
      <c r="P83" s="30"/>
      <c r="Q83" s="31"/>
      <c r="R83" s="35">
        <v>1</v>
      </c>
      <c r="S83" s="36" t="s">
        <v>584</v>
      </c>
      <c r="T83" s="37"/>
      <c r="U83" s="37"/>
      <c r="V83" s="37"/>
      <c r="W83" s="37"/>
      <c r="X83" s="37"/>
      <c r="Y83" s="37"/>
      <c r="Z83" s="37"/>
      <c r="AA83" s="37"/>
      <c r="AB83" s="37"/>
      <c r="AC83" s="37"/>
      <c r="AD83" s="37"/>
      <c r="AE83" s="38"/>
      <c r="AF83" s="366"/>
      <c r="AG83" s="367"/>
      <c r="AH83" s="284"/>
      <c r="AI83" s="286"/>
      <c r="AJ83" s="284" t="s">
        <v>492</v>
      </c>
      <c r="AK83" s="286"/>
      <c r="AL83" s="284"/>
      <c r="AM83" s="286"/>
      <c r="AN83" s="284"/>
      <c r="AO83" s="286"/>
      <c r="AP83" s="284"/>
      <c r="AQ83" s="286"/>
      <c r="AR83" s="284"/>
      <c r="AS83" s="286"/>
      <c r="AT83" s="284"/>
      <c r="AU83" s="286"/>
      <c r="AV83" s="284"/>
      <c r="AW83" s="286"/>
      <c r="AX83" s="284"/>
      <c r="AY83" s="286"/>
      <c r="AZ83" s="284"/>
      <c r="BA83" s="286"/>
      <c r="BB83" s="284"/>
      <c r="BC83" s="286"/>
      <c r="BD83" s="284"/>
      <c r="BE83" s="286"/>
      <c r="BF83" s="284" t="s">
        <v>554</v>
      </c>
      <c r="BG83" s="285"/>
      <c r="BH83" s="285"/>
      <c r="BI83" s="285"/>
      <c r="BJ83" s="285"/>
      <c r="BK83" s="285"/>
      <c r="BL83" s="285"/>
      <c r="BM83" s="286"/>
      <c r="BN83" s="287" t="s">
        <v>394</v>
      </c>
      <c r="BO83" s="287"/>
      <c r="BP83" s="287"/>
      <c r="BQ83" s="287"/>
      <c r="BR83" s="287"/>
      <c r="BS83" s="287"/>
      <c r="BT83" s="287"/>
      <c r="BU83" s="287"/>
      <c r="BV83" s="288"/>
      <c r="BW83" s="288"/>
      <c r="BX83" s="288"/>
      <c r="BY83" s="288"/>
      <c r="BZ83" s="288"/>
      <c r="CA83" s="288"/>
      <c r="CB83" s="288"/>
      <c r="CC83" s="288"/>
      <c r="CD83" s="288"/>
      <c r="CE83" s="10"/>
      <c r="CF83" s="11"/>
    </row>
    <row r="84" spans="1:84" s="8" customFormat="1">
      <c r="A84" s="9"/>
      <c r="B84" s="32"/>
      <c r="C84" s="42"/>
      <c r="D84" s="42"/>
      <c r="E84" s="42"/>
      <c r="F84" s="42"/>
      <c r="G84" s="42"/>
      <c r="H84" s="42"/>
      <c r="I84" s="10"/>
      <c r="J84" s="33"/>
      <c r="K84" s="42"/>
      <c r="L84" s="42"/>
      <c r="M84" s="42"/>
      <c r="N84" s="42"/>
      <c r="O84" s="42"/>
      <c r="P84" s="42"/>
      <c r="Q84" s="10"/>
      <c r="R84" s="35">
        <v>2</v>
      </c>
      <c r="S84" s="36" t="s">
        <v>585</v>
      </c>
      <c r="T84" s="37"/>
      <c r="U84" s="37"/>
      <c r="V84" s="37"/>
      <c r="W84" s="37"/>
      <c r="X84" s="37"/>
      <c r="Y84" s="37"/>
      <c r="Z84" s="37"/>
      <c r="AA84" s="37"/>
      <c r="AB84" s="37"/>
      <c r="AC84" s="37"/>
      <c r="AD84" s="37"/>
      <c r="AE84" s="38"/>
      <c r="AF84" s="366"/>
      <c r="AG84" s="367"/>
      <c r="AH84" s="284"/>
      <c r="AI84" s="286"/>
      <c r="AJ84" s="284" t="s">
        <v>492</v>
      </c>
      <c r="AK84" s="286"/>
      <c r="AL84" s="284"/>
      <c r="AM84" s="286"/>
      <c r="AN84" s="284"/>
      <c r="AO84" s="286"/>
      <c r="AP84" s="284"/>
      <c r="AQ84" s="286"/>
      <c r="AR84" s="284"/>
      <c r="AS84" s="286"/>
      <c r="AT84" s="284"/>
      <c r="AU84" s="286"/>
      <c r="AV84" s="284"/>
      <c r="AW84" s="286"/>
      <c r="AX84" s="284"/>
      <c r="AY84" s="286"/>
      <c r="AZ84" s="284"/>
      <c r="BA84" s="286"/>
      <c r="BB84" s="284"/>
      <c r="BC84" s="286"/>
      <c r="BD84" s="284"/>
      <c r="BE84" s="286"/>
      <c r="BF84" s="284" t="s">
        <v>143</v>
      </c>
      <c r="BG84" s="285"/>
      <c r="BH84" s="285"/>
      <c r="BI84" s="285"/>
      <c r="BJ84" s="285"/>
      <c r="BK84" s="285"/>
      <c r="BL84" s="285"/>
      <c r="BM84" s="286"/>
      <c r="BN84" s="284" t="s">
        <v>201</v>
      </c>
      <c r="BO84" s="285"/>
      <c r="BP84" s="285"/>
      <c r="BQ84" s="285"/>
      <c r="BR84" s="285"/>
      <c r="BS84" s="285"/>
      <c r="BT84" s="285"/>
      <c r="BU84" s="286"/>
      <c r="BV84" s="288"/>
      <c r="BW84" s="288"/>
      <c r="BX84" s="288"/>
      <c r="BY84" s="288"/>
      <c r="BZ84" s="288"/>
      <c r="CA84" s="288"/>
      <c r="CB84" s="288"/>
      <c r="CC84" s="288"/>
      <c r="CD84" s="288"/>
      <c r="CE84" s="10"/>
      <c r="CF84" s="11"/>
    </row>
    <row r="85" spans="1:84" s="8" customFormat="1">
      <c r="A85" s="9"/>
      <c r="B85" s="33"/>
      <c r="C85" s="42"/>
      <c r="D85" s="42"/>
      <c r="E85" s="42"/>
      <c r="F85" s="42"/>
      <c r="G85" s="42"/>
      <c r="H85" s="42"/>
      <c r="I85" s="10"/>
      <c r="J85" s="29" t="s">
        <v>586</v>
      </c>
      <c r="K85" s="30"/>
      <c r="L85" s="30"/>
      <c r="M85" s="30"/>
      <c r="N85" s="30"/>
      <c r="O85" s="30"/>
      <c r="P85" s="30"/>
      <c r="Q85" s="31"/>
      <c r="R85" s="35">
        <v>1</v>
      </c>
      <c r="S85" s="36" t="s">
        <v>587</v>
      </c>
      <c r="T85" s="37"/>
      <c r="U85" s="37"/>
      <c r="V85" s="37"/>
      <c r="W85" s="37"/>
      <c r="X85" s="37"/>
      <c r="Y85" s="37"/>
      <c r="Z85" s="37"/>
      <c r="AA85" s="37"/>
      <c r="AB85" s="37"/>
      <c r="AC85" s="37"/>
      <c r="AD85" s="37"/>
      <c r="AE85" s="38"/>
      <c r="AF85" s="366"/>
      <c r="AG85" s="367"/>
      <c r="AH85" s="284"/>
      <c r="AI85" s="286"/>
      <c r="AJ85" s="284" t="s">
        <v>492</v>
      </c>
      <c r="AK85" s="286"/>
      <c r="AL85" s="284"/>
      <c r="AM85" s="286"/>
      <c r="AN85" s="284"/>
      <c r="AO85" s="286"/>
      <c r="AP85" s="284"/>
      <c r="AQ85" s="286"/>
      <c r="AR85" s="284"/>
      <c r="AS85" s="286"/>
      <c r="AT85" s="284"/>
      <c r="AU85" s="286"/>
      <c r="AV85" s="284"/>
      <c r="AW85" s="286"/>
      <c r="AX85" s="284"/>
      <c r="AY85" s="286"/>
      <c r="AZ85" s="284"/>
      <c r="BA85" s="286"/>
      <c r="BB85" s="284"/>
      <c r="BC85" s="286"/>
      <c r="BD85" s="284"/>
      <c r="BE85" s="286"/>
      <c r="BF85" s="284" t="s">
        <v>228</v>
      </c>
      <c r="BG85" s="285"/>
      <c r="BH85" s="285"/>
      <c r="BI85" s="285"/>
      <c r="BJ85" s="285"/>
      <c r="BK85" s="285"/>
      <c r="BL85" s="285"/>
      <c r="BM85" s="286"/>
      <c r="BN85" s="284" t="s">
        <v>201</v>
      </c>
      <c r="BO85" s="285"/>
      <c r="BP85" s="285"/>
      <c r="BQ85" s="285"/>
      <c r="BR85" s="285"/>
      <c r="BS85" s="285"/>
      <c r="BT85" s="285"/>
      <c r="BU85" s="286"/>
      <c r="BV85" s="288"/>
      <c r="BW85" s="288"/>
      <c r="BX85" s="288"/>
      <c r="BY85" s="288"/>
      <c r="BZ85" s="288"/>
      <c r="CA85" s="288"/>
      <c r="CB85" s="288"/>
      <c r="CC85" s="288"/>
      <c r="CD85" s="288"/>
      <c r="CE85" s="10"/>
    </row>
    <row r="86" spans="1:84" s="8" customFormat="1">
      <c r="A86" s="9"/>
      <c r="B86" s="32"/>
      <c r="C86" s="42"/>
      <c r="D86" s="42"/>
      <c r="E86" s="42"/>
      <c r="F86" s="42"/>
      <c r="G86" s="42"/>
      <c r="H86" s="42"/>
      <c r="I86" s="10"/>
      <c r="J86" s="33"/>
      <c r="K86" s="42"/>
      <c r="L86" s="42"/>
      <c r="M86" s="42"/>
      <c r="N86" s="42"/>
      <c r="O86" s="42"/>
      <c r="P86" s="42"/>
      <c r="Q86" s="10"/>
      <c r="R86" s="35">
        <v>2</v>
      </c>
      <c r="S86" s="36" t="s">
        <v>588</v>
      </c>
      <c r="T86" s="37"/>
      <c r="U86" s="37"/>
      <c r="V86" s="37"/>
      <c r="W86" s="37"/>
      <c r="X86" s="37"/>
      <c r="Y86" s="37"/>
      <c r="Z86" s="37"/>
      <c r="AA86" s="37"/>
      <c r="AB86" s="37"/>
      <c r="AC86" s="37"/>
      <c r="AD86" s="37"/>
      <c r="AE86" s="38"/>
      <c r="AF86" s="366"/>
      <c r="AG86" s="367"/>
      <c r="AH86" s="284"/>
      <c r="AI86" s="286"/>
      <c r="AJ86" s="284" t="s">
        <v>492</v>
      </c>
      <c r="AK86" s="286"/>
      <c r="AL86" s="284"/>
      <c r="AM86" s="286"/>
      <c r="AN86" s="284"/>
      <c r="AO86" s="286"/>
      <c r="AP86" s="284"/>
      <c r="AQ86" s="286"/>
      <c r="AR86" s="284"/>
      <c r="AS86" s="286"/>
      <c r="AT86" s="284"/>
      <c r="AU86" s="286"/>
      <c r="AV86" s="284"/>
      <c r="AW86" s="286"/>
      <c r="AX86" s="284"/>
      <c r="AY86" s="286"/>
      <c r="AZ86" s="284"/>
      <c r="BA86" s="286"/>
      <c r="BB86" s="284"/>
      <c r="BC86" s="286"/>
      <c r="BD86" s="284"/>
      <c r="BE86" s="286"/>
      <c r="BF86" s="360" t="s">
        <v>142</v>
      </c>
      <c r="BG86" s="361"/>
      <c r="BH86" s="361"/>
      <c r="BI86" s="361"/>
      <c r="BJ86" s="361"/>
      <c r="BK86" s="361"/>
      <c r="BL86" s="361"/>
      <c r="BM86" s="362"/>
      <c r="BN86" s="284" t="s">
        <v>201</v>
      </c>
      <c r="BO86" s="285"/>
      <c r="BP86" s="285"/>
      <c r="BQ86" s="285"/>
      <c r="BR86" s="285"/>
      <c r="BS86" s="285"/>
      <c r="BT86" s="285"/>
      <c r="BU86" s="286"/>
      <c r="BV86" s="288"/>
      <c r="BW86" s="288"/>
      <c r="BX86" s="288"/>
      <c r="BY86" s="288"/>
      <c r="BZ86" s="288"/>
      <c r="CA86" s="288"/>
      <c r="CB86" s="288"/>
      <c r="CC86" s="288"/>
      <c r="CD86" s="288"/>
      <c r="CE86" s="10"/>
      <c r="CF86" s="11"/>
    </row>
    <row r="87" spans="1:84" s="8" customFormat="1">
      <c r="A87" s="9"/>
      <c r="B87" s="32"/>
      <c r="C87" s="42"/>
      <c r="D87" s="42"/>
      <c r="E87" s="42"/>
      <c r="F87" s="42"/>
      <c r="G87" s="42"/>
      <c r="H87" s="42"/>
      <c r="I87" s="10"/>
      <c r="J87" s="33"/>
      <c r="K87" s="42"/>
      <c r="L87" s="42"/>
      <c r="M87" s="42"/>
      <c r="N87" s="42"/>
      <c r="O87" s="42"/>
      <c r="P87" s="42"/>
      <c r="Q87" s="10"/>
      <c r="R87" s="35">
        <v>3</v>
      </c>
      <c r="S87" s="36" t="s">
        <v>589</v>
      </c>
      <c r="T87" s="37"/>
      <c r="U87" s="37"/>
      <c r="V87" s="37"/>
      <c r="W87" s="37"/>
      <c r="X87" s="37"/>
      <c r="Y87" s="37"/>
      <c r="Z87" s="37"/>
      <c r="AA87" s="37"/>
      <c r="AB87" s="37"/>
      <c r="AC87" s="37"/>
      <c r="AD87" s="37"/>
      <c r="AE87" s="38"/>
      <c r="AF87" s="366"/>
      <c r="AG87" s="367"/>
      <c r="AH87" s="284"/>
      <c r="AI87" s="286"/>
      <c r="AJ87" s="284" t="s">
        <v>130</v>
      </c>
      <c r="AK87" s="286"/>
      <c r="AL87" s="284"/>
      <c r="AM87" s="286"/>
      <c r="AN87" s="284"/>
      <c r="AO87" s="286"/>
      <c r="AP87" s="284"/>
      <c r="AQ87" s="286"/>
      <c r="AR87" s="284"/>
      <c r="AS87" s="286"/>
      <c r="AT87" s="284"/>
      <c r="AU87" s="286"/>
      <c r="AV87" s="284"/>
      <c r="AW87" s="286"/>
      <c r="AX87" s="284"/>
      <c r="AY87" s="286"/>
      <c r="AZ87" s="284"/>
      <c r="BA87" s="286"/>
      <c r="BB87" s="284"/>
      <c r="BC87" s="286"/>
      <c r="BD87" s="284"/>
      <c r="BE87" s="286"/>
      <c r="BF87" s="284" t="s">
        <v>143</v>
      </c>
      <c r="BG87" s="285"/>
      <c r="BH87" s="285"/>
      <c r="BI87" s="285"/>
      <c r="BJ87" s="285"/>
      <c r="BK87" s="285"/>
      <c r="BL87" s="285"/>
      <c r="BM87" s="286"/>
      <c r="BN87" s="284" t="s">
        <v>201</v>
      </c>
      <c r="BO87" s="285"/>
      <c r="BP87" s="285"/>
      <c r="BQ87" s="285"/>
      <c r="BR87" s="285"/>
      <c r="BS87" s="285"/>
      <c r="BT87" s="285"/>
      <c r="BU87" s="286"/>
      <c r="BV87" s="288"/>
      <c r="BW87" s="288"/>
      <c r="BX87" s="288"/>
      <c r="BY87" s="288"/>
      <c r="BZ87" s="288"/>
      <c r="CA87" s="288"/>
      <c r="CB87" s="288"/>
      <c r="CC87" s="288"/>
      <c r="CD87" s="288"/>
      <c r="CE87" s="10"/>
      <c r="CF87" s="11"/>
    </row>
    <row r="88" spans="1:84" s="8" customFormat="1">
      <c r="A88" s="9"/>
      <c r="B88" s="33"/>
      <c r="C88" s="42"/>
      <c r="D88" s="42"/>
      <c r="E88" s="42"/>
      <c r="F88" s="42"/>
      <c r="G88" s="42"/>
      <c r="H88" s="42"/>
      <c r="I88" s="10"/>
      <c r="J88" s="29" t="s">
        <v>590</v>
      </c>
      <c r="K88" s="30"/>
      <c r="L88" s="30"/>
      <c r="M88" s="30"/>
      <c r="N88" s="30"/>
      <c r="O88" s="30"/>
      <c r="P88" s="30"/>
      <c r="Q88" s="31"/>
      <c r="R88" s="35">
        <v>1</v>
      </c>
      <c r="S88" s="36" t="s">
        <v>591</v>
      </c>
      <c r="T88" s="37"/>
      <c r="U88" s="37"/>
      <c r="V88" s="37"/>
      <c r="W88" s="37"/>
      <c r="X88" s="37"/>
      <c r="Y88" s="37"/>
      <c r="Z88" s="37"/>
      <c r="AA88" s="37"/>
      <c r="AB88" s="37"/>
      <c r="AC88" s="37"/>
      <c r="AD88" s="37"/>
      <c r="AE88" s="38"/>
      <c r="AF88" s="366"/>
      <c r="AG88" s="367"/>
      <c r="AH88" s="284"/>
      <c r="AI88" s="286"/>
      <c r="AJ88" s="284" t="s">
        <v>492</v>
      </c>
      <c r="AK88" s="286"/>
      <c r="AL88" s="284"/>
      <c r="AM88" s="286"/>
      <c r="AN88" s="284"/>
      <c r="AO88" s="286"/>
      <c r="AP88" s="284"/>
      <c r="AQ88" s="286"/>
      <c r="AR88" s="284"/>
      <c r="AS88" s="286"/>
      <c r="AT88" s="284"/>
      <c r="AU88" s="286"/>
      <c r="AV88" s="284"/>
      <c r="AW88" s="286"/>
      <c r="AX88" s="284"/>
      <c r="AY88" s="286"/>
      <c r="AZ88" s="284"/>
      <c r="BA88" s="286"/>
      <c r="BB88" s="284"/>
      <c r="BC88" s="286"/>
      <c r="BD88" s="284"/>
      <c r="BE88" s="286"/>
      <c r="BF88" s="284" t="s">
        <v>554</v>
      </c>
      <c r="BG88" s="285"/>
      <c r="BH88" s="285"/>
      <c r="BI88" s="285"/>
      <c r="BJ88" s="285"/>
      <c r="BK88" s="285"/>
      <c r="BL88" s="285"/>
      <c r="BM88" s="286"/>
      <c r="BN88" s="287" t="s">
        <v>394</v>
      </c>
      <c r="BO88" s="287"/>
      <c r="BP88" s="287"/>
      <c r="BQ88" s="287"/>
      <c r="BR88" s="287"/>
      <c r="BS88" s="287"/>
      <c r="BT88" s="287"/>
      <c r="BU88" s="287"/>
      <c r="BV88" s="288"/>
      <c r="BW88" s="288"/>
      <c r="BX88" s="288"/>
      <c r="BY88" s="288"/>
      <c r="BZ88" s="288"/>
      <c r="CA88" s="288"/>
      <c r="CB88" s="288"/>
      <c r="CC88" s="288"/>
      <c r="CD88" s="288"/>
      <c r="CE88" s="10"/>
    </row>
    <row r="89" spans="1:84" s="8" customFormat="1">
      <c r="A89" s="9"/>
      <c r="B89" s="32"/>
      <c r="C89" s="42"/>
      <c r="D89" s="42"/>
      <c r="E89" s="42"/>
      <c r="F89" s="42"/>
      <c r="G89" s="42"/>
      <c r="H89" s="42"/>
      <c r="I89" s="10"/>
      <c r="J89" s="33"/>
      <c r="K89" s="42"/>
      <c r="L89" s="42"/>
      <c r="M89" s="42"/>
      <c r="N89" s="42"/>
      <c r="O89" s="42"/>
      <c r="P89" s="42"/>
      <c r="Q89" s="10"/>
      <c r="R89" s="35">
        <v>2</v>
      </c>
      <c r="S89" s="36" t="s">
        <v>592</v>
      </c>
      <c r="T89" s="37"/>
      <c r="U89" s="37"/>
      <c r="V89" s="37"/>
      <c r="W89" s="37"/>
      <c r="X89" s="37"/>
      <c r="Y89" s="37"/>
      <c r="Z89" s="37"/>
      <c r="AA89" s="37"/>
      <c r="AB89" s="37"/>
      <c r="AC89" s="37"/>
      <c r="AD89" s="37"/>
      <c r="AE89" s="38"/>
      <c r="AF89" s="366"/>
      <c r="AG89" s="367"/>
      <c r="AH89" s="284"/>
      <c r="AI89" s="286"/>
      <c r="AJ89" s="284" t="s">
        <v>492</v>
      </c>
      <c r="AK89" s="286"/>
      <c r="AL89" s="284"/>
      <c r="AM89" s="286"/>
      <c r="AN89" s="284"/>
      <c r="AO89" s="286"/>
      <c r="AP89" s="284"/>
      <c r="AQ89" s="286"/>
      <c r="AR89" s="284"/>
      <c r="AS89" s="286"/>
      <c r="AT89" s="284"/>
      <c r="AU89" s="286"/>
      <c r="AV89" s="284"/>
      <c r="AW89" s="286"/>
      <c r="AX89" s="284"/>
      <c r="AY89" s="286"/>
      <c r="AZ89" s="284"/>
      <c r="BA89" s="286"/>
      <c r="BB89" s="284"/>
      <c r="BC89" s="286"/>
      <c r="BD89" s="284"/>
      <c r="BE89" s="286"/>
      <c r="BF89" s="284" t="s">
        <v>143</v>
      </c>
      <c r="BG89" s="285"/>
      <c r="BH89" s="285"/>
      <c r="BI89" s="285"/>
      <c r="BJ89" s="285"/>
      <c r="BK89" s="285"/>
      <c r="BL89" s="285"/>
      <c r="BM89" s="286"/>
      <c r="BN89" s="284" t="s">
        <v>201</v>
      </c>
      <c r="BO89" s="285"/>
      <c r="BP89" s="285"/>
      <c r="BQ89" s="285"/>
      <c r="BR89" s="285"/>
      <c r="BS89" s="285"/>
      <c r="BT89" s="285"/>
      <c r="BU89" s="286"/>
      <c r="BV89" s="288"/>
      <c r="BW89" s="288"/>
      <c r="BX89" s="288"/>
      <c r="BY89" s="288"/>
      <c r="BZ89" s="288"/>
      <c r="CA89" s="288"/>
      <c r="CB89" s="288"/>
      <c r="CC89" s="288"/>
      <c r="CD89" s="288"/>
      <c r="CE89" s="10"/>
      <c r="CF89" s="11"/>
    </row>
    <row r="90" spans="1:84" s="8" customFormat="1">
      <c r="A90" s="9"/>
      <c r="B90" s="32"/>
      <c r="C90" s="42"/>
      <c r="D90" s="42"/>
      <c r="E90" s="42"/>
      <c r="F90" s="42"/>
      <c r="G90" s="42"/>
      <c r="H90" s="42"/>
      <c r="I90" s="10"/>
      <c r="J90" s="33"/>
      <c r="K90" s="42"/>
      <c r="L90" s="42"/>
      <c r="M90" s="42"/>
      <c r="N90" s="42"/>
      <c r="O90" s="42"/>
      <c r="P90" s="42"/>
      <c r="Q90" s="10"/>
      <c r="R90" s="35">
        <v>3</v>
      </c>
      <c r="S90" s="36" t="s">
        <v>593</v>
      </c>
      <c r="T90" s="37"/>
      <c r="U90" s="37"/>
      <c r="V90" s="37"/>
      <c r="W90" s="37"/>
      <c r="X90" s="37"/>
      <c r="Y90" s="37"/>
      <c r="Z90" s="37"/>
      <c r="AA90" s="37"/>
      <c r="AB90" s="37"/>
      <c r="AC90" s="37"/>
      <c r="AD90" s="37"/>
      <c r="AE90" s="38"/>
      <c r="AF90" s="366"/>
      <c r="AG90" s="367"/>
      <c r="AH90" s="284"/>
      <c r="AI90" s="286"/>
      <c r="AJ90" s="284" t="s">
        <v>492</v>
      </c>
      <c r="AK90" s="286"/>
      <c r="AL90" s="284"/>
      <c r="AM90" s="286"/>
      <c r="AN90" s="284"/>
      <c r="AO90" s="286"/>
      <c r="AP90" s="284"/>
      <c r="AQ90" s="286"/>
      <c r="AR90" s="284"/>
      <c r="AS90" s="286"/>
      <c r="AT90" s="284"/>
      <c r="AU90" s="286"/>
      <c r="AV90" s="284"/>
      <c r="AW90" s="286"/>
      <c r="AX90" s="284"/>
      <c r="AY90" s="286"/>
      <c r="AZ90" s="284"/>
      <c r="BA90" s="286"/>
      <c r="BB90" s="284"/>
      <c r="BC90" s="286"/>
      <c r="BD90" s="284"/>
      <c r="BE90" s="286"/>
      <c r="BF90" s="360" t="s">
        <v>142</v>
      </c>
      <c r="BG90" s="361"/>
      <c r="BH90" s="361"/>
      <c r="BI90" s="361"/>
      <c r="BJ90" s="361"/>
      <c r="BK90" s="361"/>
      <c r="BL90" s="361"/>
      <c r="BM90" s="362"/>
      <c r="BN90" s="284" t="s">
        <v>201</v>
      </c>
      <c r="BO90" s="285"/>
      <c r="BP90" s="285"/>
      <c r="BQ90" s="285"/>
      <c r="BR90" s="285"/>
      <c r="BS90" s="285"/>
      <c r="BT90" s="285"/>
      <c r="BU90" s="286"/>
      <c r="BV90" s="288"/>
      <c r="BW90" s="288"/>
      <c r="BX90" s="288"/>
      <c r="BY90" s="288"/>
      <c r="BZ90" s="288"/>
      <c r="CA90" s="288"/>
      <c r="CB90" s="288"/>
      <c r="CC90" s="288"/>
      <c r="CD90" s="288"/>
      <c r="CE90" s="10"/>
      <c r="CF90" s="11"/>
    </row>
    <row r="91" spans="1:84" s="8" customFormat="1">
      <c r="A91" s="9"/>
      <c r="B91" s="32"/>
      <c r="C91" s="42"/>
      <c r="D91" s="42"/>
      <c r="E91" s="42"/>
      <c r="F91" s="42"/>
      <c r="G91" s="42"/>
      <c r="H91" s="42"/>
      <c r="I91" s="10"/>
      <c r="J91" s="47" t="s">
        <v>594</v>
      </c>
      <c r="K91" s="30"/>
      <c r="L91" s="30"/>
      <c r="M91" s="30"/>
      <c r="N91" s="30"/>
      <c r="O91" s="30"/>
      <c r="P91" s="30"/>
      <c r="Q91" s="31"/>
      <c r="R91" s="35">
        <v>1</v>
      </c>
      <c r="S91" s="36" t="s">
        <v>595</v>
      </c>
      <c r="T91" s="37"/>
      <c r="U91" s="37"/>
      <c r="V91" s="37"/>
      <c r="W91" s="37"/>
      <c r="X91" s="37"/>
      <c r="Y91" s="37"/>
      <c r="Z91" s="37"/>
      <c r="AA91" s="37"/>
      <c r="AB91" s="37"/>
      <c r="AC91" s="37"/>
      <c r="AD91" s="37"/>
      <c r="AE91" s="38"/>
      <c r="AF91" s="366"/>
      <c r="AG91" s="367"/>
      <c r="AH91" s="284"/>
      <c r="AI91" s="286"/>
      <c r="AJ91" s="284"/>
      <c r="AK91" s="286"/>
      <c r="AL91" s="284"/>
      <c r="AM91" s="286"/>
      <c r="AN91" s="284"/>
      <c r="AO91" s="286"/>
      <c r="AP91" s="284" t="s">
        <v>492</v>
      </c>
      <c r="AQ91" s="286"/>
      <c r="AR91" s="284"/>
      <c r="AS91" s="286"/>
      <c r="AT91" s="284"/>
      <c r="AU91" s="286"/>
      <c r="AV91" s="284"/>
      <c r="AW91" s="286"/>
      <c r="AX91" s="284"/>
      <c r="AY91" s="286"/>
      <c r="AZ91" s="284"/>
      <c r="BA91" s="286"/>
      <c r="BB91" s="284"/>
      <c r="BC91" s="286"/>
      <c r="BD91" s="284"/>
      <c r="BE91" s="286"/>
      <c r="BF91" s="284" t="s">
        <v>201</v>
      </c>
      <c r="BG91" s="285"/>
      <c r="BH91" s="285"/>
      <c r="BI91" s="285"/>
      <c r="BJ91" s="285"/>
      <c r="BK91" s="285"/>
      <c r="BL91" s="285"/>
      <c r="BM91" s="286"/>
      <c r="BN91" s="284" t="s">
        <v>201</v>
      </c>
      <c r="BO91" s="285"/>
      <c r="BP91" s="285"/>
      <c r="BQ91" s="285"/>
      <c r="BR91" s="285"/>
      <c r="BS91" s="285"/>
      <c r="BT91" s="285"/>
      <c r="BU91" s="286"/>
      <c r="BV91" s="288"/>
      <c r="BW91" s="288"/>
      <c r="BX91" s="288"/>
      <c r="BY91" s="288"/>
      <c r="BZ91" s="288"/>
      <c r="CA91" s="288"/>
      <c r="CB91" s="288"/>
      <c r="CC91" s="288"/>
      <c r="CD91" s="288"/>
      <c r="CE91" s="10"/>
      <c r="CF91" s="11"/>
    </row>
    <row r="92" spans="1:84" s="8" customFormat="1">
      <c r="A92" s="9"/>
      <c r="B92" s="32"/>
      <c r="C92" s="42"/>
      <c r="D92" s="42"/>
      <c r="E92" s="42"/>
      <c r="F92" s="42"/>
      <c r="G92" s="42"/>
      <c r="H92" s="42"/>
      <c r="I92" s="10"/>
      <c r="J92" s="33"/>
      <c r="K92" s="42"/>
      <c r="L92" s="42"/>
      <c r="M92" s="42"/>
      <c r="N92" s="42"/>
      <c r="O92" s="42"/>
      <c r="P92" s="42"/>
      <c r="Q92" s="10"/>
      <c r="R92" s="35">
        <v>2</v>
      </c>
      <c r="S92" s="36" t="s">
        <v>596</v>
      </c>
      <c r="T92" s="37"/>
      <c r="U92" s="37"/>
      <c r="V92" s="37"/>
      <c r="W92" s="37"/>
      <c r="X92" s="37"/>
      <c r="Y92" s="37"/>
      <c r="Z92" s="37"/>
      <c r="AA92" s="37"/>
      <c r="AB92" s="37"/>
      <c r="AC92" s="37"/>
      <c r="AD92" s="37"/>
      <c r="AE92" s="38"/>
      <c r="AF92" s="366"/>
      <c r="AG92" s="367"/>
      <c r="AH92" s="284"/>
      <c r="AI92" s="286"/>
      <c r="AJ92" s="284"/>
      <c r="AK92" s="286"/>
      <c r="AL92" s="284"/>
      <c r="AM92" s="286"/>
      <c r="AN92" s="284"/>
      <c r="AO92" s="286"/>
      <c r="AP92" s="284" t="s">
        <v>492</v>
      </c>
      <c r="AQ92" s="286"/>
      <c r="AR92" s="284"/>
      <c r="AS92" s="286"/>
      <c r="AT92" s="284"/>
      <c r="AU92" s="286"/>
      <c r="AV92" s="284"/>
      <c r="AW92" s="286"/>
      <c r="AX92" s="284"/>
      <c r="AY92" s="286"/>
      <c r="AZ92" s="284"/>
      <c r="BA92" s="286"/>
      <c r="BB92" s="284"/>
      <c r="BC92" s="286"/>
      <c r="BD92" s="284"/>
      <c r="BE92" s="286"/>
      <c r="BF92" s="284" t="s">
        <v>201</v>
      </c>
      <c r="BG92" s="285"/>
      <c r="BH92" s="285"/>
      <c r="BI92" s="285"/>
      <c r="BJ92" s="285"/>
      <c r="BK92" s="285"/>
      <c r="BL92" s="285"/>
      <c r="BM92" s="286"/>
      <c r="BN92" s="284" t="s">
        <v>201</v>
      </c>
      <c r="BO92" s="285"/>
      <c r="BP92" s="285"/>
      <c r="BQ92" s="285"/>
      <c r="BR92" s="285"/>
      <c r="BS92" s="285"/>
      <c r="BT92" s="285"/>
      <c r="BU92" s="286"/>
      <c r="BV92" s="288"/>
      <c r="BW92" s="288"/>
      <c r="BX92" s="288"/>
      <c r="BY92" s="288"/>
      <c r="BZ92" s="288"/>
      <c r="CA92" s="288"/>
      <c r="CB92" s="288"/>
      <c r="CC92" s="288"/>
      <c r="CD92" s="288"/>
      <c r="CE92" s="10"/>
      <c r="CF92" s="11"/>
    </row>
    <row r="93" spans="1:84" s="8" customFormat="1">
      <c r="A93" s="9"/>
      <c r="B93" s="33"/>
      <c r="C93" s="42"/>
      <c r="D93" s="42"/>
      <c r="E93" s="42"/>
      <c r="F93" s="42"/>
      <c r="G93" s="42"/>
      <c r="H93" s="42"/>
      <c r="I93" s="10"/>
      <c r="J93" s="32"/>
      <c r="K93" s="42"/>
      <c r="L93" s="42"/>
      <c r="M93" s="42"/>
      <c r="N93" s="42"/>
      <c r="O93" s="42"/>
      <c r="P93" s="42"/>
      <c r="Q93" s="10"/>
      <c r="R93" s="35">
        <v>3</v>
      </c>
      <c r="S93" s="36" t="s">
        <v>597</v>
      </c>
      <c r="T93" s="37"/>
      <c r="U93" s="37"/>
      <c r="V93" s="37"/>
      <c r="W93" s="37"/>
      <c r="X93" s="37"/>
      <c r="Y93" s="37"/>
      <c r="Z93" s="37"/>
      <c r="AA93" s="37"/>
      <c r="AB93" s="37"/>
      <c r="AC93" s="37"/>
      <c r="AD93" s="37"/>
      <c r="AE93" s="38"/>
      <c r="AF93" s="366"/>
      <c r="AG93" s="367"/>
      <c r="AH93" s="284"/>
      <c r="AI93" s="286"/>
      <c r="AJ93" s="284"/>
      <c r="AK93" s="286"/>
      <c r="AL93" s="284" t="s">
        <v>492</v>
      </c>
      <c r="AM93" s="286"/>
      <c r="AN93" s="284"/>
      <c r="AO93" s="286"/>
      <c r="AP93" s="284"/>
      <c r="AQ93" s="286"/>
      <c r="AR93" s="284"/>
      <c r="AS93" s="286"/>
      <c r="AT93" s="284"/>
      <c r="AU93" s="286"/>
      <c r="AV93" s="284"/>
      <c r="AW93" s="286"/>
      <c r="AX93" s="284"/>
      <c r="AY93" s="286"/>
      <c r="AZ93" s="284"/>
      <c r="BA93" s="286"/>
      <c r="BB93" s="284"/>
      <c r="BC93" s="286"/>
      <c r="BD93" s="284"/>
      <c r="BE93" s="286"/>
      <c r="BF93" s="284" t="s">
        <v>554</v>
      </c>
      <c r="BG93" s="285"/>
      <c r="BH93" s="285"/>
      <c r="BI93" s="285"/>
      <c r="BJ93" s="285"/>
      <c r="BK93" s="285"/>
      <c r="BL93" s="285"/>
      <c r="BM93" s="286"/>
      <c r="BN93" s="284" t="s">
        <v>134</v>
      </c>
      <c r="BO93" s="285"/>
      <c r="BP93" s="285"/>
      <c r="BQ93" s="285"/>
      <c r="BR93" s="285"/>
      <c r="BS93" s="285"/>
      <c r="BT93" s="285"/>
      <c r="BU93" s="286"/>
      <c r="BV93" s="288" t="s">
        <v>598</v>
      </c>
      <c r="BW93" s="288"/>
      <c r="BX93" s="288"/>
      <c r="BY93" s="288"/>
      <c r="BZ93" s="288"/>
      <c r="CA93" s="288"/>
      <c r="CB93" s="288"/>
      <c r="CC93" s="288"/>
      <c r="CD93" s="288"/>
      <c r="CE93" s="10"/>
    </row>
    <row r="94" spans="1:84" s="8" customFormat="1">
      <c r="A94" s="9"/>
      <c r="B94" s="32"/>
      <c r="C94" s="42"/>
      <c r="D94" s="42"/>
      <c r="E94" s="42"/>
      <c r="F94" s="42"/>
      <c r="G94" s="42"/>
      <c r="H94" s="42"/>
      <c r="I94" s="10"/>
      <c r="J94" s="33"/>
      <c r="K94" s="42"/>
      <c r="L94" s="42"/>
      <c r="M94" s="42"/>
      <c r="N94" s="42"/>
      <c r="O94" s="42"/>
      <c r="P94" s="42"/>
      <c r="Q94" s="10"/>
      <c r="R94" s="35">
        <v>4</v>
      </c>
      <c r="S94" s="36" t="s">
        <v>596</v>
      </c>
      <c r="T94" s="37"/>
      <c r="U94" s="37"/>
      <c r="V94" s="37"/>
      <c r="W94" s="37"/>
      <c r="X94" s="37"/>
      <c r="Y94" s="37"/>
      <c r="Z94" s="37"/>
      <c r="AA94" s="37"/>
      <c r="AB94" s="37"/>
      <c r="AC94" s="37"/>
      <c r="AD94" s="37"/>
      <c r="AE94" s="38"/>
      <c r="AF94" s="366"/>
      <c r="AG94" s="367"/>
      <c r="AH94" s="284"/>
      <c r="AI94" s="286"/>
      <c r="AJ94" s="284"/>
      <c r="AK94" s="286"/>
      <c r="AL94" s="284" t="s">
        <v>492</v>
      </c>
      <c r="AM94" s="286"/>
      <c r="AN94" s="284"/>
      <c r="AO94" s="286"/>
      <c r="AP94" s="284"/>
      <c r="AQ94" s="286"/>
      <c r="AR94" s="284"/>
      <c r="AS94" s="286"/>
      <c r="AT94" s="284"/>
      <c r="AU94" s="286"/>
      <c r="AV94" s="284"/>
      <c r="AW94" s="286"/>
      <c r="AX94" s="284"/>
      <c r="AY94" s="286"/>
      <c r="AZ94" s="284"/>
      <c r="BA94" s="286"/>
      <c r="BB94" s="284"/>
      <c r="BC94" s="286"/>
      <c r="BD94" s="284"/>
      <c r="BE94" s="286"/>
      <c r="BF94" s="284" t="s">
        <v>554</v>
      </c>
      <c r="BG94" s="285"/>
      <c r="BH94" s="285"/>
      <c r="BI94" s="285"/>
      <c r="BJ94" s="285"/>
      <c r="BK94" s="285"/>
      <c r="BL94" s="285"/>
      <c r="BM94" s="286"/>
      <c r="BN94" s="284" t="s">
        <v>134</v>
      </c>
      <c r="BO94" s="285"/>
      <c r="BP94" s="285"/>
      <c r="BQ94" s="285"/>
      <c r="BR94" s="285"/>
      <c r="BS94" s="285"/>
      <c r="BT94" s="285"/>
      <c r="BU94" s="286"/>
      <c r="BV94" s="288" t="s">
        <v>518</v>
      </c>
      <c r="BW94" s="288"/>
      <c r="BX94" s="288"/>
      <c r="BY94" s="288"/>
      <c r="BZ94" s="288"/>
      <c r="CA94" s="288"/>
      <c r="CB94" s="288"/>
      <c r="CC94" s="288"/>
      <c r="CD94" s="288"/>
      <c r="CE94" s="10"/>
      <c r="CF94" s="11"/>
    </row>
    <row r="95" spans="1:84" s="8" customFormat="1">
      <c r="A95" s="9"/>
      <c r="B95" s="33"/>
      <c r="C95" s="42"/>
      <c r="D95" s="42"/>
      <c r="E95" s="42"/>
      <c r="F95" s="42"/>
      <c r="G95" s="42"/>
      <c r="H95" s="42"/>
      <c r="I95" s="10"/>
      <c r="J95" s="32"/>
      <c r="K95" s="42"/>
      <c r="L95" s="42"/>
      <c r="M95" s="42"/>
      <c r="N95" s="42"/>
      <c r="O95" s="42"/>
      <c r="P95" s="42"/>
      <c r="Q95" s="10"/>
      <c r="R95" s="35">
        <v>5</v>
      </c>
      <c r="S95" s="36" t="s">
        <v>599</v>
      </c>
      <c r="T95" s="37"/>
      <c r="U95" s="37"/>
      <c r="V95" s="37"/>
      <c r="W95" s="37"/>
      <c r="X95" s="37"/>
      <c r="Y95" s="37"/>
      <c r="Z95" s="37"/>
      <c r="AA95" s="37"/>
      <c r="AB95" s="37"/>
      <c r="AC95" s="37"/>
      <c r="AD95" s="37"/>
      <c r="AE95" s="38"/>
      <c r="AF95" s="366"/>
      <c r="AG95" s="367"/>
      <c r="AH95" s="284"/>
      <c r="AI95" s="286"/>
      <c r="AJ95" s="284"/>
      <c r="AK95" s="286"/>
      <c r="AL95" s="284" t="s">
        <v>492</v>
      </c>
      <c r="AM95" s="286"/>
      <c r="AN95" s="284"/>
      <c r="AO95" s="286"/>
      <c r="AP95" s="284"/>
      <c r="AQ95" s="286"/>
      <c r="AR95" s="284"/>
      <c r="AS95" s="286"/>
      <c r="AT95" s="284"/>
      <c r="AU95" s="286"/>
      <c r="AV95" s="284"/>
      <c r="AW95" s="286"/>
      <c r="AX95" s="284"/>
      <c r="AY95" s="286"/>
      <c r="AZ95" s="284"/>
      <c r="BA95" s="286"/>
      <c r="BB95" s="284"/>
      <c r="BC95" s="286"/>
      <c r="BD95" s="284"/>
      <c r="BE95" s="286"/>
      <c r="BF95" s="284" t="s">
        <v>554</v>
      </c>
      <c r="BG95" s="285"/>
      <c r="BH95" s="285"/>
      <c r="BI95" s="285"/>
      <c r="BJ95" s="285"/>
      <c r="BK95" s="285"/>
      <c r="BL95" s="285"/>
      <c r="BM95" s="286"/>
      <c r="BN95" s="284" t="s">
        <v>132</v>
      </c>
      <c r="BO95" s="285"/>
      <c r="BP95" s="285"/>
      <c r="BQ95" s="285"/>
      <c r="BR95" s="285"/>
      <c r="BS95" s="285"/>
      <c r="BT95" s="285"/>
      <c r="BU95" s="286"/>
      <c r="BV95" s="288"/>
      <c r="BW95" s="288"/>
      <c r="BX95" s="288"/>
      <c r="BY95" s="288"/>
      <c r="BZ95" s="288"/>
      <c r="CA95" s="288"/>
      <c r="CB95" s="288"/>
      <c r="CC95" s="288"/>
      <c r="CD95" s="288"/>
      <c r="CE95" s="10"/>
    </row>
    <row r="96" spans="1:84" s="8" customFormat="1">
      <c r="A96" s="9"/>
      <c r="B96" s="32"/>
      <c r="C96" s="42"/>
      <c r="D96" s="42"/>
      <c r="E96" s="42"/>
      <c r="F96" s="42"/>
      <c r="G96" s="42"/>
      <c r="H96" s="42"/>
      <c r="I96" s="10"/>
      <c r="J96" s="33"/>
      <c r="K96" s="42"/>
      <c r="L96" s="42"/>
      <c r="M96" s="42"/>
      <c r="N96" s="42"/>
      <c r="O96" s="42"/>
      <c r="P96" s="42"/>
      <c r="Q96" s="10"/>
      <c r="R96" s="35">
        <v>6</v>
      </c>
      <c r="S96" s="36" t="s">
        <v>600</v>
      </c>
      <c r="T96" s="37"/>
      <c r="U96" s="37"/>
      <c r="V96" s="37"/>
      <c r="W96" s="37"/>
      <c r="X96" s="37"/>
      <c r="Y96" s="37"/>
      <c r="Z96" s="37"/>
      <c r="AA96" s="37"/>
      <c r="AB96" s="37"/>
      <c r="AC96" s="37"/>
      <c r="AD96" s="37"/>
      <c r="AE96" s="38"/>
      <c r="AF96" s="366"/>
      <c r="AG96" s="367"/>
      <c r="AH96" s="284"/>
      <c r="AI96" s="286"/>
      <c r="AJ96" s="284"/>
      <c r="AK96" s="286"/>
      <c r="AL96" s="284" t="s">
        <v>492</v>
      </c>
      <c r="AM96" s="286"/>
      <c r="AN96" s="284"/>
      <c r="AO96" s="286"/>
      <c r="AP96" s="284"/>
      <c r="AQ96" s="286"/>
      <c r="AR96" s="284"/>
      <c r="AS96" s="286"/>
      <c r="AT96" s="284"/>
      <c r="AU96" s="286"/>
      <c r="AV96" s="284"/>
      <c r="AW96" s="286"/>
      <c r="AX96" s="284"/>
      <c r="AY96" s="286"/>
      <c r="AZ96" s="284"/>
      <c r="BA96" s="286"/>
      <c r="BB96" s="284"/>
      <c r="BC96" s="286"/>
      <c r="BD96" s="284"/>
      <c r="BE96" s="286"/>
      <c r="BF96" s="284" t="s">
        <v>554</v>
      </c>
      <c r="BG96" s="285"/>
      <c r="BH96" s="285"/>
      <c r="BI96" s="285"/>
      <c r="BJ96" s="285"/>
      <c r="BK96" s="285"/>
      <c r="BL96" s="285"/>
      <c r="BM96" s="286"/>
      <c r="BN96" s="287" t="s">
        <v>394</v>
      </c>
      <c r="BO96" s="287"/>
      <c r="BP96" s="287"/>
      <c r="BQ96" s="287"/>
      <c r="BR96" s="287"/>
      <c r="BS96" s="287"/>
      <c r="BT96" s="287"/>
      <c r="BU96" s="287"/>
      <c r="BV96" s="288" t="s">
        <v>601</v>
      </c>
      <c r="BW96" s="288"/>
      <c r="BX96" s="288"/>
      <c r="BY96" s="288"/>
      <c r="BZ96" s="288"/>
      <c r="CA96" s="288"/>
      <c r="CB96" s="288"/>
      <c r="CC96" s="288"/>
      <c r="CD96" s="288"/>
      <c r="CE96" s="10"/>
      <c r="CF96" s="11"/>
    </row>
    <row r="97" spans="1:84" s="8" customFormat="1">
      <c r="A97" s="9"/>
      <c r="B97" s="32"/>
      <c r="C97" s="42"/>
      <c r="D97" s="42"/>
      <c r="E97" s="42"/>
      <c r="F97" s="42"/>
      <c r="G97" s="42"/>
      <c r="H97" s="42"/>
      <c r="I97" s="10"/>
      <c r="J97" s="33"/>
      <c r="K97" s="42"/>
      <c r="L97" s="42"/>
      <c r="M97" s="42"/>
      <c r="N97" s="42"/>
      <c r="O97" s="42"/>
      <c r="P97" s="42"/>
      <c r="Q97" s="10"/>
      <c r="R97" s="35">
        <v>7</v>
      </c>
      <c r="S97" s="36" t="s">
        <v>602</v>
      </c>
      <c r="T97" s="37"/>
      <c r="U97" s="37"/>
      <c r="V97" s="37"/>
      <c r="W97" s="37"/>
      <c r="X97" s="37"/>
      <c r="Y97" s="37"/>
      <c r="Z97" s="37"/>
      <c r="AA97" s="37"/>
      <c r="AB97" s="37"/>
      <c r="AC97" s="37"/>
      <c r="AD97" s="37"/>
      <c r="AE97" s="38"/>
      <c r="AF97" s="366"/>
      <c r="AG97" s="367"/>
      <c r="AH97" s="284"/>
      <c r="AI97" s="286"/>
      <c r="AJ97" s="284"/>
      <c r="AK97" s="286"/>
      <c r="AL97" s="284" t="s">
        <v>492</v>
      </c>
      <c r="AM97" s="286"/>
      <c r="AN97" s="284"/>
      <c r="AO97" s="286"/>
      <c r="AP97" s="284"/>
      <c r="AQ97" s="286"/>
      <c r="AR97" s="284"/>
      <c r="AS97" s="286"/>
      <c r="AT97" s="284"/>
      <c r="AU97" s="286"/>
      <c r="AV97" s="284"/>
      <c r="AW97" s="286"/>
      <c r="AX97" s="284"/>
      <c r="AY97" s="286"/>
      <c r="AZ97" s="284"/>
      <c r="BA97" s="286"/>
      <c r="BB97" s="284"/>
      <c r="BC97" s="286"/>
      <c r="BD97" s="284"/>
      <c r="BE97" s="286"/>
      <c r="BF97" s="284" t="s">
        <v>143</v>
      </c>
      <c r="BG97" s="285"/>
      <c r="BH97" s="285"/>
      <c r="BI97" s="285"/>
      <c r="BJ97" s="285"/>
      <c r="BK97" s="285"/>
      <c r="BL97" s="285"/>
      <c r="BM97" s="286"/>
      <c r="BN97" s="284" t="s">
        <v>201</v>
      </c>
      <c r="BO97" s="285"/>
      <c r="BP97" s="285"/>
      <c r="BQ97" s="285"/>
      <c r="BR97" s="285"/>
      <c r="BS97" s="285"/>
      <c r="BT97" s="285"/>
      <c r="BU97" s="286"/>
      <c r="BV97" s="288" t="s">
        <v>601</v>
      </c>
      <c r="BW97" s="288"/>
      <c r="BX97" s="288"/>
      <c r="BY97" s="288"/>
      <c r="BZ97" s="288"/>
      <c r="CA97" s="288"/>
      <c r="CB97" s="288"/>
      <c r="CC97" s="288"/>
      <c r="CD97" s="288"/>
      <c r="CE97" s="10"/>
      <c r="CF97" s="11"/>
    </row>
    <row r="98" spans="1:84" s="8" customFormat="1">
      <c r="A98" s="9"/>
      <c r="B98" s="32"/>
      <c r="C98" s="42"/>
      <c r="D98" s="42"/>
      <c r="E98" s="42"/>
      <c r="F98" s="42"/>
      <c r="G98" s="42"/>
      <c r="H98" s="42"/>
      <c r="I98" s="10"/>
      <c r="J98" s="47" t="s">
        <v>603</v>
      </c>
      <c r="K98" s="30"/>
      <c r="L98" s="30"/>
      <c r="M98" s="30"/>
      <c r="N98" s="30"/>
      <c r="O98" s="30"/>
      <c r="P98" s="30"/>
      <c r="Q98" s="31"/>
      <c r="R98" s="35">
        <v>1</v>
      </c>
      <c r="S98" s="36" t="s">
        <v>604</v>
      </c>
      <c r="T98" s="37"/>
      <c r="U98" s="37"/>
      <c r="V98" s="37"/>
      <c r="W98" s="37"/>
      <c r="X98" s="37"/>
      <c r="Y98" s="37"/>
      <c r="Z98" s="37"/>
      <c r="AA98" s="37"/>
      <c r="AB98" s="37"/>
      <c r="AC98" s="37"/>
      <c r="AD98" s="37"/>
      <c r="AE98" s="38"/>
      <c r="AF98" s="366"/>
      <c r="AG98" s="367"/>
      <c r="AH98" s="284"/>
      <c r="AI98" s="286"/>
      <c r="AJ98" s="284"/>
      <c r="AK98" s="286"/>
      <c r="AL98" s="284" t="s">
        <v>492</v>
      </c>
      <c r="AM98" s="286"/>
      <c r="AN98" s="284"/>
      <c r="AO98" s="286"/>
      <c r="AP98" s="284"/>
      <c r="AQ98" s="286"/>
      <c r="AR98" s="284"/>
      <c r="AS98" s="286"/>
      <c r="AT98" s="284"/>
      <c r="AU98" s="286"/>
      <c r="AV98" s="284"/>
      <c r="AW98" s="286"/>
      <c r="AX98" s="284"/>
      <c r="AY98" s="286"/>
      <c r="AZ98" s="284"/>
      <c r="BA98" s="286"/>
      <c r="BB98" s="284"/>
      <c r="BC98" s="286"/>
      <c r="BD98" s="284"/>
      <c r="BE98" s="286"/>
      <c r="BF98" s="284" t="s">
        <v>131</v>
      </c>
      <c r="BG98" s="285"/>
      <c r="BH98" s="285"/>
      <c r="BI98" s="285"/>
      <c r="BJ98" s="285"/>
      <c r="BK98" s="285"/>
      <c r="BL98" s="285"/>
      <c r="BM98" s="286"/>
      <c r="BN98" s="284" t="s">
        <v>605</v>
      </c>
      <c r="BO98" s="285"/>
      <c r="BP98" s="285"/>
      <c r="BQ98" s="285"/>
      <c r="BR98" s="285"/>
      <c r="BS98" s="285"/>
      <c r="BT98" s="285"/>
      <c r="BU98" s="286"/>
      <c r="BV98" s="288"/>
      <c r="BW98" s="288"/>
      <c r="BX98" s="288"/>
      <c r="BY98" s="288"/>
      <c r="BZ98" s="288"/>
      <c r="CA98" s="288"/>
      <c r="CB98" s="288"/>
      <c r="CC98" s="288"/>
      <c r="CD98" s="288"/>
      <c r="CE98" s="10"/>
      <c r="CF98" s="11"/>
    </row>
    <row r="99" spans="1:84" s="8" customFormat="1">
      <c r="A99" s="9"/>
      <c r="B99" s="32"/>
      <c r="C99" s="42"/>
      <c r="D99" s="42"/>
      <c r="E99" s="42"/>
      <c r="F99" s="42"/>
      <c r="G99" s="42"/>
      <c r="H99" s="42"/>
      <c r="I99" s="10"/>
      <c r="J99" s="33"/>
      <c r="K99" s="42"/>
      <c r="L99" s="42"/>
      <c r="M99" s="42"/>
      <c r="N99" s="42"/>
      <c r="O99" s="42"/>
      <c r="P99" s="42"/>
      <c r="Q99" s="10"/>
      <c r="R99" s="35">
        <v>2</v>
      </c>
      <c r="S99" s="36" t="s">
        <v>606</v>
      </c>
      <c r="T99" s="37"/>
      <c r="U99" s="37"/>
      <c r="V99" s="37"/>
      <c r="W99" s="37"/>
      <c r="X99" s="37"/>
      <c r="Y99" s="37"/>
      <c r="Z99" s="37"/>
      <c r="AA99" s="37"/>
      <c r="AB99" s="37"/>
      <c r="AC99" s="37"/>
      <c r="AD99" s="37"/>
      <c r="AE99" s="38"/>
      <c r="AF99" s="366"/>
      <c r="AG99" s="367"/>
      <c r="AH99" s="284"/>
      <c r="AI99" s="286"/>
      <c r="AJ99" s="284"/>
      <c r="AK99" s="286"/>
      <c r="AL99" s="284" t="s">
        <v>492</v>
      </c>
      <c r="AM99" s="286"/>
      <c r="AN99" s="284"/>
      <c r="AO99" s="286"/>
      <c r="AP99" s="284"/>
      <c r="AQ99" s="286"/>
      <c r="AR99" s="284"/>
      <c r="AS99" s="286"/>
      <c r="AT99" s="284"/>
      <c r="AU99" s="286"/>
      <c r="AV99" s="284"/>
      <c r="AW99" s="286"/>
      <c r="AX99" s="284"/>
      <c r="AY99" s="286"/>
      <c r="AZ99" s="284"/>
      <c r="BA99" s="286"/>
      <c r="BB99" s="284"/>
      <c r="BC99" s="286"/>
      <c r="BD99" s="284"/>
      <c r="BE99" s="286"/>
      <c r="BF99" s="284" t="s">
        <v>131</v>
      </c>
      <c r="BG99" s="285"/>
      <c r="BH99" s="285"/>
      <c r="BI99" s="285"/>
      <c r="BJ99" s="285"/>
      <c r="BK99" s="285"/>
      <c r="BL99" s="285"/>
      <c r="BM99" s="286"/>
      <c r="BN99" s="284" t="s">
        <v>134</v>
      </c>
      <c r="BO99" s="285"/>
      <c r="BP99" s="285"/>
      <c r="BQ99" s="285"/>
      <c r="BR99" s="285"/>
      <c r="BS99" s="285"/>
      <c r="BT99" s="285"/>
      <c r="BU99" s="286"/>
      <c r="BV99" s="288"/>
      <c r="BW99" s="288"/>
      <c r="BX99" s="288"/>
      <c r="BY99" s="288"/>
      <c r="BZ99" s="288"/>
      <c r="CA99" s="288"/>
      <c r="CB99" s="288"/>
      <c r="CC99" s="288"/>
      <c r="CD99" s="288"/>
      <c r="CE99" s="10"/>
      <c r="CF99" s="11"/>
    </row>
    <row r="100" spans="1:84" s="8" customFormat="1">
      <c r="A100" s="9"/>
      <c r="B100" s="33"/>
      <c r="C100" s="42"/>
      <c r="D100" s="42"/>
      <c r="E100" s="42"/>
      <c r="F100" s="42"/>
      <c r="G100" s="42"/>
      <c r="H100" s="42"/>
      <c r="I100" s="10"/>
      <c r="J100" s="32"/>
      <c r="K100" s="42"/>
      <c r="L100" s="42"/>
      <c r="M100" s="42"/>
      <c r="N100" s="42"/>
      <c r="O100" s="42"/>
      <c r="P100" s="42"/>
      <c r="Q100" s="10"/>
      <c r="R100" s="35">
        <v>3</v>
      </c>
      <c r="S100" s="36" t="s">
        <v>607</v>
      </c>
      <c r="T100" s="37"/>
      <c r="U100" s="37"/>
      <c r="V100" s="37"/>
      <c r="W100" s="37"/>
      <c r="X100" s="37"/>
      <c r="Y100" s="37"/>
      <c r="Z100" s="37"/>
      <c r="AA100" s="37"/>
      <c r="AB100" s="37"/>
      <c r="AC100" s="37"/>
      <c r="AD100" s="37"/>
      <c r="AE100" s="38"/>
      <c r="AF100" s="366"/>
      <c r="AG100" s="367"/>
      <c r="AH100" s="284"/>
      <c r="AI100" s="286"/>
      <c r="AJ100" s="284"/>
      <c r="AK100" s="286"/>
      <c r="AL100" s="284" t="s">
        <v>492</v>
      </c>
      <c r="AM100" s="286"/>
      <c r="AN100" s="284"/>
      <c r="AO100" s="286"/>
      <c r="AP100" s="284"/>
      <c r="AQ100" s="286"/>
      <c r="AR100" s="284"/>
      <c r="AS100" s="286"/>
      <c r="AT100" s="284"/>
      <c r="AU100" s="286"/>
      <c r="AV100" s="284"/>
      <c r="AW100" s="286"/>
      <c r="AX100" s="284"/>
      <c r="AY100" s="286"/>
      <c r="AZ100" s="284"/>
      <c r="BA100" s="286"/>
      <c r="BB100" s="284"/>
      <c r="BC100" s="286"/>
      <c r="BD100" s="284"/>
      <c r="BE100" s="286"/>
      <c r="BF100" s="284" t="s">
        <v>131</v>
      </c>
      <c r="BG100" s="285"/>
      <c r="BH100" s="285"/>
      <c r="BI100" s="285"/>
      <c r="BJ100" s="285"/>
      <c r="BK100" s="285"/>
      <c r="BL100" s="285"/>
      <c r="BM100" s="286"/>
      <c r="BN100" s="284" t="s">
        <v>608</v>
      </c>
      <c r="BO100" s="285"/>
      <c r="BP100" s="285"/>
      <c r="BQ100" s="285"/>
      <c r="BR100" s="285"/>
      <c r="BS100" s="285"/>
      <c r="BT100" s="285"/>
      <c r="BU100" s="286"/>
      <c r="BV100" s="288"/>
      <c r="BW100" s="288"/>
      <c r="BX100" s="288"/>
      <c r="BY100" s="288"/>
      <c r="BZ100" s="288"/>
      <c r="CA100" s="288"/>
      <c r="CB100" s="288"/>
      <c r="CC100" s="288"/>
      <c r="CD100" s="288"/>
      <c r="CE100" s="10"/>
    </row>
    <row r="101" spans="1:84" s="8" customFormat="1">
      <c r="A101" s="9"/>
      <c r="B101" s="32"/>
      <c r="C101" s="42"/>
      <c r="D101" s="42"/>
      <c r="E101" s="42"/>
      <c r="F101" s="42"/>
      <c r="G101" s="42"/>
      <c r="H101" s="42"/>
      <c r="I101" s="10"/>
      <c r="J101" s="33"/>
      <c r="K101" s="42"/>
      <c r="L101" s="42"/>
      <c r="M101" s="42"/>
      <c r="N101" s="42"/>
      <c r="O101" s="42"/>
      <c r="P101" s="42"/>
      <c r="Q101" s="10"/>
      <c r="R101" s="35">
        <v>4</v>
      </c>
      <c r="S101" s="36" t="s">
        <v>519</v>
      </c>
      <c r="T101" s="37"/>
      <c r="U101" s="37"/>
      <c r="V101" s="37"/>
      <c r="W101" s="37"/>
      <c r="X101" s="37"/>
      <c r="Y101" s="37"/>
      <c r="Z101" s="37"/>
      <c r="AA101" s="37"/>
      <c r="AB101" s="37"/>
      <c r="AC101" s="37"/>
      <c r="AD101" s="37"/>
      <c r="AE101" s="38"/>
      <c r="AF101" s="366"/>
      <c r="AG101" s="367"/>
      <c r="AH101" s="284"/>
      <c r="AI101" s="286"/>
      <c r="AJ101" s="284"/>
      <c r="AK101" s="286"/>
      <c r="AL101" s="284"/>
      <c r="AM101" s="286"/>
      <c r="AN101" s="284"/>
      <c r="AO101" s="286"/>
      <c r="AP101" s="284"/>
      <c r="AQ101" s="286"/>
      <c r="AR101" s="284"/>
      <c r="AS101" s="286"/>
      <c r="AT101" s="284"/>
      <c r="AU101" s="286"/>
      <c r="AV101" s="284"/>
      <c r="AW101" s="286"/>
      <c r="AX101" s="284"/>
      <c r="AY101" s="286"/>
      <c r="AZ101" s="284"/>
      <c r="BA101" s="286"/>
      <c r="BB101" s="284"/>
      <c r="BC101" s="286"/>
      <c r="BD101" s="284" t="s">
        <v>492</v>
      </c>
      <c r="BE101" s="286"/>
      <c r="BF101" s="284" t="s">
        <v>131</v>
      </c>
      <c r="BG101" s="285"/>
      <c r="BH101" s="285"/>
      <c r="BI101" s="285"/>
      <c r="BJ101" s="285"/>
      <c r="BK101" s="285"/>
      <c r="BL101" s="285"/>
      <c r="BM101" s="286"/>
      <c r="BN101" s="284" t="s">
        <v>137</v>
      </c>
      <c r="BO101" s="285"/>
      <c r="BP101" s="285"/>
      <c r="BQ101" s="285"/>
      <c r="BR101" s="285"/>
      <c r="BS101" s="285"/>
      <c r="BT101" s="285"/>
      <c r="BU101" s="286"/>
      <c r="BV101" s="288"/>
      <c r="BW101" s="288"/>
      <c r="BX101" s="288"/>
      <c r="BY101" s="288"/>
      <c r="BZ101" s="288"/>
      <c r="CA101" s="288"/>
      <c r="CB101" s="288"/>
      <c r="CC101" s="288"/>
      <c r="CD101" s="288"/>
      <c r="CE101" s="10"/>
      <c r="CF101" s="11"/>
    </row>
    <row r="102" spans="1:84" s="8" customFormat="1">
      <c r="A102" s="9"/>
      <c r="B102" s="29" t="s">
        <v>609</v>
      </c>
      <c r="C102" s="30"/>
      <c r="D102" s="30"/>
      <c r="E102" s="30"/>
      <c r="F102" s="30"/>
      <c r="G102" s="30"/>
      <c r="H102" s="30"/>
      <c r="I102" s="31"/>
      <c r="J102" s="47" t="s">
        <v>610</v>
      </c>
      <c r="K102" s="30"/>
      <c r="L102" s="30"/>
      <c r="M102" s="30"/>
      <c r="N102" s="30"/>
      <c r="O102" s="30"/>
      <c r="P102" s="30"/>
      <c r="Q102" s="31"/>
      <c r="R102" s="35">
        <v>1</v>
      </c>
      <c r="S102" s="36" t="s">
        <v>611</v>
      </c>
      <c r="T102" s="37"/>
      <c r="U102" s="37"/>
      <c r="V102" s="37"/>
      <c r="W102" s="37"/>
      <c r="X102" s="37"/>
      <c r="Y102" s="37"/>
      <c r="Z102" s="37"/>
      <c r="AA102" s="37"/>
      <c r="AB102" s="37"/>
      <c r="AC102" s="37"/>
      <c r="AD102" s="37"/>
      <c r="AE102" s="38"/>
      <c r="AF102" s="366" t="s">
        <v>492</v>
      </c>
      <c r="AG102" s="367"/>
      <c r="AH102" s="284"/>
      <c r="AI102" s="286"/>
      <c r="AJ102" s="284"/>
      <c r="AK102" s="286"/>
      <c r="AL102" s="284"/>
      <c r="AM102" s="286"/>
      <c r="AN102" s="284"/>
      <c r="AO102" s="286"/>
      <c r="AP102" s="284"/>
      <c r="AQ102" s="286"/>
      <c r="AR102" s="284"/>
      <c r="AS102" s="286"/>
      <c r="AT102" s="284"/>
      <c r="AU102" s="286"/>
      <c r="AV102" s="284"/>
      <c r="AW102" s="286"/>
      <c r="AX102" s="284"/>
      <c r="AY102" s="286"/>
      <c r="AZ102" s="284"/>
      <c r="BA102" s="286"/>
      <c r="BB102" s="284"/>
      <c r="BC102" s="286"/>
      <c r="BD102" s="284"/>
      <c r="BE102" s="286"/>
      <c r="BF102" s="284" t="s">
        <v>143</v>
      </c>
      <c r="BG102" s="285"/>
      <c r="BH102" s="285"/>
      <c r="BI102" s="285"/>
      <c r="BJ102" s="285"/>
      <c r="BK102" s="285"/>
      <c r="BL102" s="285"/>
      <c r="BM102" s="286"/>
      <c r="BN102" s="284" t="s">
        <v>201</v>
      </c>
      <c r="BO102" s="285"/>
      <c r="BP102" s="285"/>
      <c r="BQ102" s="285"/>
      <c r="BR102" s="285"/>
      <c r="BS102" s="285"/>
      <c r="BT102" s="285"/>
      <c r="BU102" s="286"/>
      <c r="BV102" s="288"/>
      <c r="BW102" s="288"/>
      <c r="BX102" s="288"/>
      <c r="BY102" s="288"/>
      <c r="BZ102" s="288"/>
      <c r="CA102" s="288"/>
      <c r="CB102" s="288"/>
      <c r="CC102" s="288"/>
      <c r="CD102" s="288"/>
      <c r="CE102" s="10"/>
      <c r="CF102" s="11"/>
    </row>
    <row r="103" spans="1:84" s="8" customFormat="1">
      <c r="A103" s="9"/>
      <c r="B103" s="33"/>
      <c r="C103" s="42"/>
      <c r="D103" s="42"/>
      <c r="E103" s="42"/>
      <c r="F103" s="42"/>
      <c r="G103" s="42"/>
      <c r="H103" s="42"/>
      <c r="I103" s="10"/>
      <c r="J103" s="33"/>
      <c r="K103" s="42"/>
      <c r="L103" s="42"/>
      <c r="M103" s="42"/>
      <c r="N103" s="42"/>
      <c r="O103" s="42"/>
      <c r="P103" s="42"/>
      <c r="Q103" s="10"/>
      <c r="R103" s="35">
        <v>2</v>
      </c>
      <c r="S103" s="36" t="s">
        <v>527</v>
      </c>
      <c r="T103" s="37"/>
      <c r="U103" s="37"/>
      <c r="V103" s="37"/>
      <c r="W103" s="37"/>
      <c r="X103" s="37"/>
      <c r="Y103" s="37"/>
      <c r="Z103" s="37"/>
      <c r="AA103" s="37"/>
      <c r="AB103" s="37"/>
      <c r="AC103" s="37"/>
      <c r="AD103" s="37"/>
      <c r="AE103" s="38"/>
      <c r="AF103" s="366"/>
      <c r="AG103" s="367"/>
      <c r="AH103" s="284"/>
      <c r="AI103" s="286"/>
      <c r="AJ103" s="284"/>
      <c r="AK103" s="286"/>
      <c r="AL103" s="284" t="s">
        <v>492</v>
      </c>
      <c r="AM103" s="286"/>
      <c r="AN103" s="284"/>
      <c r="AO103" s="286"/>
      <c r="AP103" s="284"/>
      <c r="AQ103" s="286"/>
      <c r="AR103" s="284"/>
      <c r="AS103" s="286"/>
      <c r="AT103" s="284"/>
      <c r="AU103" s="286"/>
      <c r="AV103" s="284"/>
      <c r="AW103" s="286"/>
      <c r="AX103" s="284"/>
      <c r="AY103" s="286"/>
      <c r="AZ103" s="284"/>
      <c r="BA103" s="286"/>
      <c r="BB103" s="284"/>
      <c r="BC103" s="286"/>
      <c r="BD103" s="284"/>
      <c r="BE103" s="286"/>
      <c r="BF103" s="284" t="s">
        <v>528</v>
      </c>
      <c r="BG103" s="285"/>
      <c r="BH103" s="285"/>
      <c r="BI103" s="285"/>
      <c r="BJ103" s="285"/>
      <c r="BK103" s="285"/>
      <c r="BL103" s="285"/>
      <c r="BM103" s="286"/>
      <c r="BN103" s="284" t="s">
        <v>201</v>
      </c>
      <c r="BO103" s="285"/>
      <c r="BP103" s="285"/>
      <c r="BQ103" s="285"/>
      <c r="BR103" s="285"/>
      <c r="BS103" s="285"/>
      <c r="BT103" s="285"/>
      <c r="BU103" s="286"/>
      <c r="BV103" s="288"/>
      <c r="BW103" s="288"/>
      <c r="BX103" s="288"/>
      <c r="BY103" s="288"/>
      <c r="BZ103" s="288"/>
      <c r="CA103" s="288"/>
      <c r="CB103" s="288"/>
      <c r="CC103" s="288"/>
      <c r="CD103" s="288"/>
      <c r="CE103" s="10"/>
      <c r="CF103" s="11"/>
    </row>
    <row r="104" spans="1:84" s="8" customFormat="1">
      <c r="A104" s="9"/>
      <c r="B104" s="32"/>
      <c r="C104" s="42"/>
      <c r="D104" s="42"/>
      <c r="E104" s="42"/>
      <c r="F104" s="42"/>
      <c r="G104" s="42"/>
      <c r="H104" s="42"/>
      <c r="I104" s="10"/>
      <c r="J104" s="32"/>
      <c r="K104" s="42"/>
      <c r="L104" s="42"/>
      <c r="M104" s="42"/>
      <c r="N104" s="42"/>
      <c r="O104" s="42"/>
      <c r="P104" s="42"/>
      <c r="Q104" s="10"/>
      <c r="R104" s="35">
        <v>3</v>
      </c>
      <c r="S104" s="36" t="s">
        <v>612</v>
      </c>
      <c r="T104" s="37"/>
      <c r="U104" s="37"/>
      <c r="V104" s="37"/>
      <c r="W104" s="37"/>
      <c r="X104" s="37"/>
      <c r="Y104" s="37"/>
      <c r="Z104" s="37"/>
      <c r="AA104" s="37"/>
      <c r="AB104" s="37"/>
      <c r="AC104" s="37"/>
      <c r="AD104" s="37"/>
      <c r="AE104" s="38"/>
      <c r="AF104" s="366"/>
      <c r="AG104" s="367"/>
      <c r="AH104" s="284"/>
      <c r="AI104" s="286"/>
      <c r="AJ104" s="284"/>
      <c r="AK104" s="286"/>
      <c r="AL104" s="284" t="s">
        <v>492</v>
      </c>
      <c r="AM104" s="286"/>
      <c r="AN104" s="284"/>
      <c r="AO104" s="286"/>
      <c r="AP104" s="284"/>
      <c r="AQ104" s="286"/>
      <c r="AR104" s="284"/>
      <c r="AS104" s="286"/>
      <c r="AT104" s="284"/>
      <c r="AU104" s="286"/>
      <c r="AV104" s="284"/>
      <c r="AW104" s="286"/>
      <c r="AX104" s="284"/>
      <c r="AY104" s="286"/>
      <c r="AZ104" s="284"/>
      <c r="BA104" s="286"/>
      <c r="BB104" s="284"/>
      <c r="BC104" s="286"/>
      <c r="BD104" s="284"/>
      <c r="BE104" s="286"/>
      <c r="BF104" s="284" t="s">
        <v>554</v>
      </c>
      <c r="BG104" s="285"/>
      <c r="BH104" s="285"/>
      <c r="BI104" s="285"/>
      <c r="BJ104" s="285"/>
      <c r="BK104" s="285"/>
      <c r="BL104" s="285"/>
      <c r="BM104" s="286"/>
      <c r="BN104" s="284" t="s">
        <v>555</v>
      </c>
      <c r="BO104" s="285"/>
      <c r="BP104" s="285"/>
      <c r="BQ104" s="285"/>
      <c r="BR104" s="285"/>
      <c r="BS104" s="285"/>
      <c r="BT104" s="285"/>
      <c r="BU104" s="286"/>
      <c r="BV104" s="288"/>
      <c r="BW104" s="288"/>
      <c r="BX104" s="288"/>
      <c r="BY104" s="288"/>
      <c r="BZ104" s="288"/>
      <c r="CA104" s="288"/>
      <c r="CB104" s="288"/>
      <c r="CC104" s="288"/>
      <c r="CD104" s="288"/>
      <c r="CE104" s="10"/>
    </row>
    <row r="105" spans="1:84" s="8" customFormat="1">
      <c r="A105" s="9"/>
      <c r="B105" s="33"/>
      <c r="C105" s="42"/>
      <c r="D105" s="42"/>
      <c r="E105" s="42"/>
      <c r="F105" s="42"/>
      <c r="G105" s="42"/>
      <c r="H105" s="42"/>
      <c r="I105" s="10"/>
      <c r="J105" s="33"/>
      <c r="K105" s="42"/>
      <c r="L105" s="42"/>
      <c r="M105" s="42"/>
      <c r="N105" s="42"/>
      <c r="O105" s="42"/>
      <c r="P105" s="42"/>
      <c r="Q105" s="10"/>
      <c r="R105" s="35">
        <v>4</v>
      </c>
      <c r="S105" s="36" t="s">
        <v>613</v>
      </c>
      <c r="T105" s="37"/>
      <c r="U105" s="37"/>
      <c r="V105" s="37"/>
      <c r="W105" s="37"/>
      <c r="X105" s="37"/>
      <c r="Y105" s="37"/>
      <c r="Z105" s="37"/>
      <c r="AA105" s="37"/>
      <c r="AB105" s="37"/>
      <c r="AC105" s="37"/>
      <c r="AD105" s="37"/>
      <c r="AE105" s="38"/>
      <c r="AF105" s="366"/>
      <c r="AG105" s="367"/>
      <c r="AH105" s="284"/>
      <c r="AI105" s="286"/>
      <c r="AJ105" s="284"/>
      <c r="AK105" s="286"/>
      <c r="AL105" s="284" t="s">
        <v>492</v>
      </c>
      <c r="AM105" s="286"/>
      <c r="AN105" s="284"/>
      <c r="AO105" s="286"/>
      <c r="AP105" s="284"/>
      <c r="AQ105" s="286"/>
      <c r="AR105" s="284"/>
      <c r="AS105" s="286"/>
      <c r="AT105" s="284"/>
      <c r="AU105" s="286"/>
      <c r="AV105" s="284"/>
      <c r="AW105" s="286"/>
      <c r="AX105" s="284"/>
      <c r="AY105" s="286"/>
      <c r="AZ105" s="284"/>
      <c r="BA105" s="286"/>
      <c r="BB105" s="284"/>
      <c r="BC105" s="286"/>
      <c r="BD105" s="284"/>
      <c r="BE105" s="286"/>
      <c r="BF105" s="284" t="s">
        <v>554</v>
      </c>
      <c r="BG105" s="285"/>
      <c r="BH105" s="285"/>
      <c r="BI105" s="285"/>
      <c r="BJ105" s="285"/>
      <c r="BK105" s="285"/>
      <c r="BL105" s="285"/>
      <c r="BM105" s="286"/>
      <c r="BN105" s="284" t="s">
        <v>556</v>
      </c>
      <c r="BO105" s="285"/>
      <c r="BP105" s="285"/>
      <c r="BQ105" s="285"/>
      <c r="BR105" s="285"/>
      <c r="BS105" s="285"/>
      <c r="BT105" s="285"/>
      <c r="BU105" s="286"/>
      <c r="BV105" s="288"/>
      <c r="BW105" s="288"/>
      <c r="BX105" s="288"/>
      <c r="BY105" s="288"/>
      <c r="BZ105" s="288"/>
      <c r="CA105" s="288"/>
      <c r="CB105" s="288"/>
      <c r="CC105" s="288"/>
      <c r="CD105" s="288"/>
      <c r="CE105" s="10"/>
      <c r="CF105" s="11"/>
    </row>
    <row r="106" spans="1:84" s="8" customFormat="1">
      <c r="A106" s="9"/>
      <c r="B106" s="32"/>
      <c r="C106" s="42"/>
      <c r="D106" s="42"/>
      <c r="E106" s="42"/>
      <c r="F106" s="42"/>
      <c r="G106" s="42"/>
      <c r="H106" s="42"/>
      <c r="I106" s="10"/>
      <c r="J106" s="32"/>
      <c r="K106" s="42"/>
      <c r="L106" s="42"/>
      <c r="M106" s="42"/>
      <c r="N106" s="42"/>
      <c r="O106" s="42"/>
      <c r="P106" s="42"/>
      <c r="Q106" s="10"/>
      <c r="R106" s="35">
        <v>5</v>
      </c>
      <c r="S106" s="36" t="s">
        <v>614</v>
      </c>
      <c r="T106" s="37"/>
      <c r="U106" s="37"/>
      <c r="V106" s="37"/>
      <c r="W106" s="37"/>
      <c r="X106" s="37"/>
      <c r="Y106" s="37"/>
      <c r="Z106" s="37"/>
      <c r="AA106" s="37"/>
      <c r="AB106" s="37"/>
      <c r="AC106" s="37"/>
      <c r="AD106" s="37"/>
      <c r="AE106" s="38"/>
      <c r="AF106" s="284"/>
      <c r="AG106" s="286"/>
      <c r="AH106" s="284"/>
      <c r="AI106" s="286"/>
      <c r="AJ106" s="284"/>
      <c r="AK106" s="286"/>
      <c r="AL106" s="284" t="s">
        <v>492</v>
      </c>
      <c r="AM106" s="286"/>
      <c r="AN106" s="284"/>
      <c r="AO106" s="286"/>
      <c r="AP106" s="284"/>
      <c r="AQ106" s="286"/>
      <c r="AR106" s="284"/>
      <c r="AS106" s="286"/>
      <c r="AT106" s="284"/>
      <c r="AU106" s="286"/>
      <c r="AV106" s="284"/>
      <c r="AW106" s="286"/>
      <c r="AX106" s="284"/>
      <c r="AY106" s="286"/>
      <c r="AZ106" s="284"/>
      <c r="BA106" s="286"/>
      <c r="BB106" s="284"/>
      <c r="BC106" s="286"/>
      <c r="BD106" s="284"/>
      <c r="BE106" s="286"/>
      <c r="BF106" s="284" t="s">
        <v>554</v>
      </c>
      <c r="BG106" s="285"/>
      <c r="BH106" s="285"/>
      <c r="BI106" s="285"/>
      <c r="BJ106" s="285"/>
      <c r="BK106" s="285"/>
      <c r="BL106" s="285"/>
      <c r="BM106" s="286"/>
      <c r="BN106" s="284" t="s">
        <v>556</v>
      </c>
      <c r="BO106" s="285"/>
      <c r="BP106" s="285"/>
      <c r="BQ106" s="285"/>
      <c r="BR106" s="285"/>
      <c r="BS106" s="285"/>
      <c r="BT106" s="285"/>
      <c r="BU106" s="286"/>
      <c r="BV106" s="288" t="s">
        <v>518</v>
      </c>
      <c r="BW106" s="288"/>
      <c r="BX106" s="288"/>
      <c r="BY106" s="288"/>
      <c r="BZ106" s="288"/>
      <c r="CA106" s="288"/>
      <c r="CB106" s="288"/>
      <c r="CC106" s="288"/>
      <c r="CD106" s="288"/>
      <c r="CE106" s="10"/>
    </row>
    <row r="107" spans="1:84" s="8" customFormat="1">
      <c r="A107" s="9"/>
      <c r="B107" s="32"/>
      <c r="C107" s="42"/>
      <c r="D107" s="42"/>
      <c r="E107" s="42"/>
      <c r="F107" s="42"/>
      <c r="G107" s="42"/>
      <c r="H107" s="42"/>
      <c r="I107" s="10"/>
      <c r="J107" s="33"/>
      <c r="K107" s="42"/>
      <c r="L107" s="42"/>
      <c r="M107" s="42"/>
      <c r="N107" s="42"/>
      <c r="O107" s="42"/>
      <c r="P107" s="42"/>
      <c r="Q107" s="10"/>
      <c r="R107" s="35">
        <v>6</v>
      </c>
      <c r="S107" s="111" t="s">
        <v>558</v>
      </c>
      <c r="T107" s="37"/>
      <c r="U107" s="37"/>
      <c r="V107" s="37"/>
      <c r="W107" s="37"/>
      <c r="X107" s="37"/>
      <c r="Y107" s="37"/>
      <c r="Z107" s="37"/>
      <c r="AA107" s="37"/>
      <c r="AB107" s="37"/>
      <c r="AC107" s="37"/>
      <c r="AD107" s="37"/>
      <c r="AE107" s="38"/>
      <c r="AF107" s="366"/>
      <c r="AG107" s="367"/>
      <c r="AH107" s="284"/>
      <c r="AI107" s="286"/>
      <c r="AJ107" s="284"/>
      <c r="AK107" s="286"/>
      <c r="AL107" s="284"/>
      <c r="AM107" s="286"/>
      <c r="AN107" s="284"/>
      <c r="AO107" s="286"/>
      <c r="AP107" s="284"/>
      <c r="AQ107" s="286"/>
      <c r="AR107" s="284"/>
      <c r="AS107" s="286"/>
      <c r="AT107" s="284"/>
      <c r="AU107" s="286"/>
      <c r="AV107" s="284"/>
      <c r="AW107" s="286"/>
      <c r="AX107" s="284"/>
      <c r="AY107" s="286"/>
      <c r="AZ107" s="284"/>
      <c r="BA107" s="286"/>
      <c r="BB107" s="284"/>
      <c r="BC107" s="286"/>
      <c r="BD107" s="284" t="s">
        <v>130</v>
      </c>
      <c r="BE107" s="286"/>
      <c r="BF107" s="284" t="s">
        <v>554</v>
      </c>
      <c r="BG107" s="285"/>
      <c r="BH107" s="285"/>
      <c r="BI107" s="285"/>
      <c r="BJ107" s="285"/>
      <c r="BK107" s="285"/>
      <c r="BL107" s="285"/>
      <c r="BM107" s="286"/>
      <c r="BN107" s="284" t="s">
        <v>137</v>
      </c>
      <c r="BO107" s="285"/>
      <c r="BP107" s="285"/>
      <c r="BQ107" s="285"/>
      <c r="BR107" s="285"/>
      <c r="BS107" s="285"/>
      <c r="BT107" s="285"/>
      <c r="BU107" s="286"/>
      <c r="BV107" s="288"/>
      <c r="BW107" s="288"/>
      <c r="BX107" s="288"/>
      <c r="BY107" s="288"/>
      <c r="BZ107" s="288"/>
      <c r="CA107" s="288"/>
      <c r="CB107" s="288"/>
      <c r="CC107" s="288"/>
      <c r="CD107" s="288"/>
      <c r="CE107" s="10"/>
      <c r="CF107" s="11"/>
    </row>
    <row r="108" spans="1:84" s="8" customFormat="1">
      <c r="A108" s="9"/>
      <c r="B108" s="33"/>
      <c r="C108" s="42"/>
      <c r="D108" s="42"/>
      <c r="E108" s="42"/>
      <c r="F108" s="42"/>
      <c r="G108" s="42"/>
      <c r="H108" s="42"/>
      <c r="I108" s="10"/>
      <c r="J108" s="47" t="s">
        <v>615</v>
      </c>
      <c r="K108" s="30"/>
      <c r="L108" s="30"/>
      <c r="M108" s="30"/>
      <c r="N108" s="30"/>
      <c r="O108" s="30"/>
      <c r="P108" s="30"/>
      <c r="Q108" s="31"/>
      <c r="R108" s="35">
        <v>1</v>
      </c>
      <c r="S108" s="36" t="s">
        <v>541</v>
      </c>
      <c r="T108" s="37"/>
      <c r="U108" s="37"/>
      <c r="V108" s="37"/>
      <c r="W108" s="37"/>
      <c r="X108" s="37"/>
      <c r="Y108" s="37"/>
      <c r="Z108" s="37"/>
      <c r="AA108" s="37"/>
      <c r="AB108" s="37"/>
      <c r="AC108" s="37"/>
      <c r="AD108" s="37"/>
      <c r="AE108" s="38"/>
      <c r="AF108" s="366"/>
      <c r="AG108" s="367"/>
      <c r="AH108" s="284"/>
      <c r="AI108" s="286"/>
      <c r="AJ108" s="284" t="s">
        <v>492</v>
      </c>
      <c r="AK108" s="286"/>
      <c r="AL108" s="284"/>
      <c r="AM108" s="286"/>
      <c r="AN108" s="284"/>
      <c r="AO108" s="286"/>
      <c r="AP108" s="284"/>
      <c r="AQ108" s="286"/>
      <c r="AR108" s="284"/>
      <c r="AS108" s="286"/>
      <c r="AT108" s="284"/>
      <c r="AU108" s="286"/>
      <c r="AV108" s="284"/>
      <c r="AW108" s="286"/>
      <c r="AX108" s="284"/>
      <c r="AY108" s="286"/>
      <c r="AZ108" s="284"/>
      <c r="BA108" s="286"/>
      <c r="BB108" s="284"/>
      <c r="BC108" s="286"/>
      <c r="BD108" s="284"/>
      <c r="BE108" s="286"/>
      <c r="BF108" s="284" t="s">
        <v>143</v>
      </c>
      <c r="BG108" s="285"/>
      <c r="BH108" s="285"/>
      <c r="BI108" s="285"/>
      <c r="BJ108" s="285"/>
      <c r="BK108" s="285"/>
      <c r="BL108" s="285"/>
      <c r="BM108" s="286"/>
      <c r="BN108" s="284" t="s">
        <v>201</v>
      </c>
      <c r="BO108" s="285"/>
      <c r="BP108" s="285"/>
      <c r="BQ108" s="285"/>
      <c r="BR108" s="285"/>
      <c r="BS108" s="285"/>
      <c r="BT108" s="285"/>
      <c r="BU108" s="286"/>
      <c r="BV108" s="288"/>
      <c r="BW108" s="288"/>
      <c r="BX108" s="288"/>
      <c r="BY108" s="288"/>
      <c r="BZ108" s="288"/>
      <c r="CA108" s="288"/>
      <c r="CB108" s="288"/>
      <c r="CC108" s="288"/>
      <c r="CD108" s="288"/>
      <c r="CE108" s="10"/>
      <c r="CF108" s="11"/>
    </row>
    <row r="109" spans="1:84" s="8" customFormat="1">
      <c r="A109" s="9"/>
      <c r="B109" s="32"/>
      <c r="C109" s="42"/>
      <c r="D109" s="42"/>
      <c r="E109" s="42"/>
      <c r="F109" s="42"/>
      <c r="G109" s="42"/>
      <c r="H109" s="42"/>
      <c r="I109" s="10"/>
      <c r="J109" s="32"/>
      <c r="K109" s="42"/>
      <c r="L109" s="42"/>
      <c r="M109" s="42"/>
      <c r="N109" s="42"/>
      <c r="O109" s="42"/>
      <c r="P109" s="42"/>
      <c r="Q109" s="10"/>
      <c r="R109" s="35">
        <v>2</v>
      </c>
      <c r="S109" s="36" t="s">
        <v>543</v>
      </c>
      <c r="T109" s="37"/>
      <c r="U109" s="37"/>
      <c r="V109" s="37"/>
      <c r="W109" s="37"/>
      <c r="X109" s="37"/>
      <c r="Y109" s="37"/>
      <c r="Z109" s="37"/>
      <c r="AA109" s="37"/>
      <c r="AB109" s="37"/>
      <c r="AC109" s="37"/>
      <c r="AD109" s="37"/>
      <c r="AE109" s="38"/>
      <c r="AF109" s="366"/>
      <c r="AG109" s="367"/>
      <c r="AH109" s="284"/>
      <c r="AI109" s="286"/>
      <c r="AJ109" s="284" t="s">
        <v>492</v>
      </c>
      <c r="AK109" s="286"/>
      <c r="AL109" s="284"/>
      <c r="AM109" s="286"/>
      <c r="AN109" s="284"/>
      <c r="AO109" s="286"/>
      <c r="AP109" s="284"/>
      <c r="AQ109" s="286"/>
      <c r="AR109" s="284"/>
      <c r="AS109" s="286"/>
      <c r="AT109" s="284"/>
      <c r="AU109" s="286"/>
      <c r="AV109" s="284"/>
      <c r="AW109" s="286"/>
      <c r="AX109" s="284"/>
      <c r="AY109" s="286"/>
      <c r="AZ109" s="284"/>
      <c r="BA109" s="286"/>
      <c r="BB109" s="284"/>
      <c r="BC109" s="286"/>
      <c r="BD109" s="284"/>
      <c r="BE109" s="286"/>
      <c r="BF109" s="360" t="s">
        <v>142</v>
      </c>
      <c r="BG109" s="361"/>
      <c r="BH109" s="361"/>
      <c r="BI109" s="361"/>
      <c r="BJ109" s="361"/>
      <c r="BK109" s="361"/>
      <c r="BL109" s="361"/>
      <c r="BM109" s="362"/>
      <c r="BN109" s="284" t="s">
        <v>201</v>
      </c>
      <c r="BO109" s="285"/>
      <c r="BP109" s="285"/>
      <c r="BQ109" s="285"/>
      <c r="BR109" s="285"/>
      <c r="BS109" s="285"/>
      <c r="BT109" s="285"/>
      <c r="BU109" s="286"/>
      <c r="BV109" s="288"/>
      <c r="BW109" s="288"/>
      <c r="BX109" s="288"/>
      <c r="BY109" s="288"/>
      <c r="BZ109" s="288"/>
      <c r="CA109" s="288"/>
      <c r="CB109" s="288"/>
      <c r="CC109" s="288"/>
      <c r="CD109" s="288"/>
      <c r="CE109" s="10"/>
    </row>
    <row r="110" spans="1:84" s="8" customFormat="1">
      <c r="A110" s="9"/>
      <c r="B110" s="33"/>
      <c r="C110" s="42"/>
      <c r="D110" s="42"/>
      <c r="E110" s="42"/>
      <c r="F110" s="42"/>
      <c r="G110" s="42"/>
      <c r="H110" s="42"/>
      <c r="I110" s="10"/>
      <c r="J110" s="47" t="s">
        <v>616</v>
      </c>
      <c r="K110" s="30"/>
      <c r="L110" s="30"/>
      <c r="M110" s="30"/>
      <c r="N110" s="30"/>
      <c r="O110" s="30"/>
      <c r="P110" s="30"/>
      <c r="Q110" s="31"/>
      <c r="R110" s="35">
        <v>1</v>
      </c>
      <c r="S110" s="36" t="s">
        <v>541</v>
      </c>
      <c r="T110" s="37"/>
      <c r="U110" s="37"/>
      <c r="V110" s="37"/>
      <c r="W110" s="37"/>
      <c r="X110" s="37"/>
      <c r="Y110" s="37"/>
      <c r="Z110" s="37"/>
      <c r="AA110" s="37"/>
      <c r="AB110" s="37"/>
      <c r="AC110" s="37"/>
      <c r="AD110" s="37"/>
      <c r="AE110" s="38"/>
      <c r="AF110" s="366"/>
      <c r="AG110" s="367"/>
      <c r="AH110" s="284"/>
      <c r="AI110" s="286"/>
      <c r="AJ110" s="284"/>
      <c r="AK110" s="286"/>
      <c r="AL110" s="284" t="s">
        <v>492</v>
      </c>
      <c r="AM110" s="286"/>
      <c r="AN110" s="284"/>
      <c r="AO110" s="286"/>
      <c r="AP110" s="284"/>
      <c r="AQ110" s="286"/>
      <c r="AR110" s="284"/>
      <c r="AS110" s="286"/>
      <c r="AT110" s="284"/>
      <c r="AU110" s="286"/>
      <c r="AV110" s="284"/>
      <c r="AW110" s="286"/>
      <c r="AX110" s="284"/>
      <c r="AY110" s="286"/>
      <c r="AZ110" s="284"/>
      <c r="BA110" s="286"/>
      <c r="BB110" s="284"/>
      <c r="BC110" s="286"/>
      <c r="BD110" s="284"/>
      <c r="BE110" s="286"/>
      <c r="BF110" s="284" t="s">
        <v>143</v>
      </c>
      <c r="BG110" s="285"/>
      <c r="BH110" s="285"/>
      <c r="BI110" s="285"/>
      <c r="BJ110" s="285"/>
      <c r="BK110" s="285"/>
      <c r="BL110" s="285"/>
      <c r="BM110" s="286"/>
      <c r="BN110" s="284" t="s">
        <v>201</v>
      </c>
      <c r="BO110" s="285"/>
      <c r="BP110" s="285"/>
      <c r="BQ110" s="285"/>
      <c r="BR110" s="285"/>
      <c r="BS110" s="285"/>
      <c r="BT110" s="285"/>
      <c r="BU110" s="286"/>
      <c r="BV110" s="288"/>
      <c r="BW110" s="288"/>
      <c r="BX110" s="288"/>
      <c r="BY110" s="288"/>
      <c r="BZ110" s="288"/>
      <c r="CA110" s="288"/>
      <c r="CB110" s="288"/>
      <c r="CC110" s="288"/>
      <c r="CD110" s="288"/>
      <c r="CE110" s="10"/>
      <c r="CF110" s="11"/>
    </row>
    <row r="111" spans="1:84" s="8" customFormat="1">
      <c r="A111" s="9"/>
      <c r="B111" s="32"/>
      <c r="C111" s="42"/>
      <c r="D111" s="42"/>
      <c r="E111" s="42"/>
      <c r="F111" s="42"/>
      <c r="G111" s="42"/>
      <c r="H111" s="42"/>
      <c r="I111" s="10"/>
      <c r="J111" s="32"/>
      <c r="K111" s="42"/>
      <c r="L111" s="42"/>
      <c r="M111" s="42"/>
      <c r="N111" s="42"/>
      <c r="O111" s="42"/>
      <c r="P111" s="42"/>
      <c r="Q111" s="10"/>
      <c r="R111" s="35">
        <v>2</v>
      </c>
      <c r="S111" s="36" t="s">
        <v>543</v>
      </c>
      <c r="T111" s="37"/>
      <c r="U111" s="37"/>
      <c r="V111" s="37"/>
      <c r="W111" s="37"/>
      <c r="X111" s="37"/>
      <c r="Y111" s="37"/>
      <c r="Z111" s="37"/>
      <c r="AA111" s="37"/>
      <c r="AB111" s="37"/>
      <c r="AC111" s="37"/>
      <c r="AD111" s="37"/>
      <c r="AE111" s="38"/>
      <c r="AF111" s="366"/>
      <c r="AG111" s="367"/>
      <c r="AH111" s="284"/>
      <c r="AI111" s="286"/>
      <c r="AJ111" s="284"/>
      <c r="AK111" s="286"/>
      <c r="AL111" s="284" t="s">
        <v>492</v>
      </c>
      <c r="AM111" s="286"/>
      <c r="AN111" s="284"/>
      <c r="AO111" s="286"/>
      <c r="AP111" s="284"/>
      <c r="AQ111" s="286"/>
      <c r="AR111" s="284"/>
      <c r="AS111" s="286"/>
      <c r="AT111" s="284"/>
      <c r="AU111" s="286"/>
      <c r="AV111" s="284"/>
      <c r="AW111" s="286"/>
      <c r="AX111" s="284"/>
      <c r="AY111" s="286"/>
      <c r="AZ111" s="284"/>
      <c r="BA111" s="286"/>
      <c r="BB111" s="284"/>
      <c r="BC111" s="286"/>
      <c r="BD111" s="284"/>
      <c r="BE111" s="286"/>
      <c r="BF111" s="284" t="s">
        <v>131</v>
      </c>
      <c r="BG111" s="285"/>
      <c r="BH111" s="285"/>
      <c r="BI111" s="285"/>
      <c r="BJ111" s="285"/>
      <c r="BK111" s="285"/>
      <c r="BL111" s="285"/>
      <c r="BM111" s="286"/>
      <c r="BN111" s="284" t="s">
        <v>514</v>
      </c>
      <c r="BO111" s="285"/>
      <c r="BP111" s="285"/>
      <c r="BQ111" s="285"/>
      <c r="BR111" s="285"/>
      <c r="BS111" s="285"/>
      <c r="BT111" s="285"/>
      <c r="BU111" s="286"/>
      <c r="BV111" s="288"/>
      <c r="BW111" s="288"/>
      <c r="BX111" s="288"/>
      <c r="BY111" s="288"/>
      <c r="BZ111" s="288"/>
      <c r="CA111" s="288"/>
      <c r="CB111" s="288"/>
      <c r="CC111" s="288"/>
      <c r="CD111" s="288"/>
      <c r="CE111" s="10"/>
    </row>
    <row r="112" spans="1:84" s="8" customFormat="1">
      <c r="A112" s="9"/>
      <c r="B112" s="33"/>
      <c r="C112" s="42"/>
      <c r="D112" s="42"/>
      <c r="E112" s="42"/>
      <c r="F112" s="42"/>
      <c r="G112" s="42"/>
      <c r="H112" s="42"/>
      <c r="I112" s="10"/>
      <c r="J112" s="33"/>
      <c r="K112" s="42"/>
      <c r="L112" s="42"/>
      <c r="M112" s="42"/>
      <c r="N112" s="42"/>
      <c r="O112" s="42"/>
      <c r="P112" s="42"/>
      <c r="Q112" s="10"/>
      <c r="R112" s="35">
        <v>3</v>
      </c>
      <c r="S112" s="36" t="s">
        <v>563</v>
      </c>
      <c r="T112" s="37"/>
      <c r="U112" s="37"/>
      <c r="V112" s="37"/>
      <c r="W112" s="37"/>
      <c r="X112" s="37"/>
      <c r="Y112" s="37"/>
      <c r="Z112" s="37"/>
      <c r="AA112" s="37"/>
      <c r="AB112" s="37"/>
      <c r="AC112" s="37"/>
      <c r="AD112" s="37"/>
      <c r="AE112" s="38"/>
      <c r="AF112" s="366"/>
      <c r="AG112" s="367"/>
      <c r="AH112" s="284"/>
      <c r="AI112" s="286"/>
      <c r="AJ112" s="284"/>
      <c r="AK112" s="286"/>
      <c r="AL112" s="284" t="s">
        <v>492</v>
      </c>
      <c r="AM112" s="286"/>
      <c r="AN112" s="284"/>
      <c r="AO112" s="286"/>
      <c r="AP112" s="284"/>
      <c r="AQ112" s="286"/>
      <c r="AR112" s="284"/>
      <c r="AS112" s="286"/>
      <c r="AT112" s="284"/>
      <c r="AU112" s="286"/>
      <c r="AV112" s="284"/>
      <c r="AW112" s="286"/>
      <c r="AX112" s="284"/>
      <c r="AY112" s="286"/>
      <c r="AZ112" s="284"/>
      <c r="BA112" s="286"/>
      <c r="BB112" s="284"/>
      <c r="BC112" s="286"/>
      <c r="BD112" s="284"/>
      <c r="BE112" s="286"/>
      <c r="BF112" s="284" t="s">
        <v>131</v>
      </c>
      <c r="BG112" s="285"/>
      <c r="BH112" s="285"/>
      <c r="BI112" s="285"/>
      <c r="BJ112" s="285"/>
      <c r="BK112" s="285"/>
      <c r="BL112" s="285"/>
      <c r="BM112" s="286"/>
      <c r="BN112" s="284" t="s">
        <v>134</v>
      </c>
      <c r="BO112" s="285"/>
      <c r="BP112" s="285"/>
      <c r="BQ112" s="285"/>
      <c r="BR112" s="285"/>
      <c r="BS112" s="285"/>
      <c r="BT112" s="285"/>
      <c r="BU112" s="286"/>
      <c r="BV112" s="288"/>
      <c r="BW112" s="288"/>
      <c r="BX112" s="288"/>
      <c r="BY112" s="288"/>
      <c r="BZ112" s="288"/>
      <c r="CA112" s="288"/>
      <c r="CB112" s="288"/>
      <c r="CC112" s="288"/>
      <c r="CD112" s="288"/>
      <c r="CE112" s="10"/>
      <c r="CF112" s="11"/>
    </row>
    <row r="113" spans="1:84" s="8" customFormat="1">
      <c r="A113" s="9"/>
      <c r="B113" s="32"/>
      <c r="C113" s="42"/>
      <c r="D113" s="42"/>
      <c r="E113" s="42"/>
      <c r="F113" s="42"/>
      <c r="G113" s="42"/>
      <c r="H113" s="42"/>
      <c r="I113" s="10"/>
      <c r="J113" s="32"/>
      <c r="K113" s="42"/>
      <c r="L113" s="42"/>
      <c r="M113" s="42"/>
      <c r="N113" s="42"/>
      <c r="O113" s="42"/>
      <c r="P113" s="42"/>
      <c r="Q113" s="10"/>
      <c r="R113" s="35">
        <v>4</v>
      </c>
      <c r="S113" s="36" t="s">
        <v>557</v>
      </c>
      <c r="T113" s="37"/>
      <c r="U113" s="37"/>
      <c r="V113" s="37"/>
      <c r="W113" s="37"/>
      <c r="X113" s="37"/>
      <c r="Y113" s="37"/>
      <c r="Z113" s="37"/>
      <c r="AA113" s="37"/>
      <c r="AB113" s="37"/>
      <c r="AC113" s="37"/>
      <c r="AD113" s="37"/>
      <c r="AE113" s="38"/>
      <c r="AF113" s="366"/>
      <c r="AG113" s="367"/>
      <c r="AH113" s="284"/>
      <c r="AI113" s="286"/>
      <c r="AJ113" s="284"/>
      <c r="AK113" s="286"/>
      <c r="AL113" s="284" t="s">
        <v>492</v>
      </c>
      <c r="AM113" s="286"/>
      <c r="AN113" s="284"/>
      <c r="AO113" s="286"/>
      <c r="AP113" s="284"/>
      <c r="AQ113" s="286"/>
      <c r="AR113" s="284"/>
      <c r="AS113" s="286"/>
      <c r="AT113" s="284"/>
      <c r="AU113" s="286"/>
      <c r="AV113" s="284"/>
      <c r="AW113" s="286"/>
      <c r="AX113" s="284"/>
      <c r="AY113" s="286"/>
      <c r="AZ113" s="284"/>
      <c r="BA113" s="286"/>
      <c r="BB113" s="284"/>
      <c r="BC113" s="286"/>
      <c r="BD113" s="284"/>
      <c r="BE113" s="286"/>
      <c r="BF113" s="284" t="s">
        <v>131</v>
      </c>
      <c r="BG113" s="285"/>
      <c r="BH113" s="285"/>
      <c r="BI113" s="285"/>
      <c r="BJ113" s="285"/>
      <c r="BK113" s="285"/>
      <c r="BL113" s="285"/>
      <c r="BM113" s="286"/>
      <c r="BN113" s="284" t="s">
        <v>517</v>
      </c>
      <c r="BO113" s="285"/>
      <c r="BP113" s="285"/>
      <c r="BQ113" s="285"/>
      <c r="BR113" s="285"/>
      <c r="BS113" s="285"/>
      <c r="BT113" s="285"/>
      <c r="BU113" s="286"/>
      <c r="BV113" s="288" t="s">
        <v>518</v>
      </c>
      <c r="BW113" s="288"/>
      <c r="BX113" s="288"/>
      <c r="BY113" s="288"/>
      <c r="BZ113" s="288"/>
      <c r="CA113" s="288"/>
      <c r="CB113" s="288"/>
      <c r="CC113" s="288"/>
      <c r="CD113" s="288"/>
      <c r="CE113" s="10"/>
    </row>
    <row r="114" spans="1:84" s="8" customFormat="1">
      <c r="A114" s="9"/>
      <c r="B114" s="32"/>
      <c r="C114" s="42"/>
      <c r="D114" s="42"/>
      <c r="E114" s="42"/>
      <c r="F114" s="42"/>
      <c r="G114" s="42"/>
      <c r="H114" s="42"/>
      <c r="I114" s="10"/>
      <c r="J114" s="33"/>
      <c r="K114" s="42"/>
      <c r="L114" s="42"/>
      <c r="M114" s="42"/>
      <c r="N114" s="42"/>
      <c r="O114" s="42"/>
      <c r="P114" s="42"/>
      <c r="Q114" s="10"/>
      <c r="R114" s="35">
        <v>5</v>
      </c>
      <c r="S114" s="111" t="s">
        <v>558</v>
      </c>
      <c r="T114" s="37"/>
      <c r="U114" s="37"/>
      <c r="V114" s="37"/>
      <c r="W114" s="37"/>
      <c r="X114" s="37"/>
      <c r="Y114" s="37"/>
      <c r="Z114" s="37"/>
      <c r="AA114" s="37"/>
      <c r="AB114" s="37"/>
      <c r="AC114" s="37"/>
      <c r="AD114" s="37"/>
      <c r="AE114" s="38"/>
      <c r="AF114" s="366"/>
      <c r="AG114" s="367"/>
      <c r="AH114" s="284"/>
      <c r="AI114" s="286"/>
      <c r="AJ114" s="284"/>
      <c r="AK114" s="286"/>
      <c r="AL114" s="284"/>
      <c r="AM114" s="286"/>
      <c r="AN114" s="284"/>
      <c r="AO114" s="286"/>
      <c r="AP114" s="284"/>
      <c r="AQ114" s="286"/>
      <c r="AR114" s="284"/>
      <c r="AS114" s="286"/>
      <c r="AT114" s="284"/>
      <c r="AU114" s="286"/>
      <c r="AV114" s="284"/>
      <c r="AW114" s="286"/>
      <c r="AX114" s="284"/>
      <c r="AY114" s="286"/>
      <c r="AZ114" s="284"/>
      <c r="BA114" s="286"/>
      <c r="BB114" s="284"/>
      <c r="BC114" s="286"/>
      <c r="BD114" s="284" t="s">
        <v>130</v>
      </c>
      <c r="BE114" s="286"/>
      <c r="BF114" s="284" t="s">
        <v>131</v>
      </c>
      <c r="BG114" s="285"/>
      <c r="BH114" s="285"/>
      <c r="BI114" s="285"/>
      <c r="BJ114" s="285"/>
      <c r="BK114" s="285"/>
      <c r="BL114" s="285"/>
      <c r="BM114" s="286"/>
      <c r="BN114" s="284" t="s">
        <v>137</v>
      </c>
      <c r="BO114" s="285"/>
      <c r="BP114" s="285"/>
      <c r="BQ114" s="285"/>
      <c r="BR114" s="285"/>
      <c r="BS114" s="285"/>
      <c r="BT114" s="285"/>
      <c r="BU114" s="286"/>
      <c r="BV114" s="288"/>
      <c r="BW114" s="288"/>
      <c r="BX114" s="288"/>
      <c r="BY114" s="288"/>
      <c r="BZ114" s="288"/>
      <c r="CA114" s="288"/>
      <c r="CB114" s="288"/>
      <c r="CC114" s="288"/>
      <c r="CD114" s="288"/>
      <c r="CE114" s="10"/>
      <c r="CF114" s="11"/>
    </row>
    <row r="115" spans="1:84" s="8" customFormat="1">
      <c r="A115" s="9"/>
      <c r="B115" s="33"/>
      <c r="C115" s="42"/>
      <c r="D115" s="42"/>
      <c r="E115" s="42"/>
      <c r="F115" s="42"/>
      <c r="G115" s="42"/>
      <c r="H115" s="42"/>
      <c r="I115" s="10"/>
      <c r="J115" s="47" t="s">
        <v>617</v>
      </c>
      <c r="K115" s="30"/>
      <c r="L115" s="30"/>
      <c r="M115" s="30"/>
      <c r="N115" s="30"/>
      <c r="O115" s="30"/>
      <c r="P115" s="30"/>
      <c r="Q115" s="31"/>
      <c r="R115" s="35">
        <v>1</v>
      </c>
      <c r="S115" s="36" t="s">
        <v>541</v>
      </c>
      <c r="T115" s="37"/>
      <c r="U115" s="37"/>
      <c r="V115" s="37"/>
      <c r="W115" s="37"/>
      <c r="X115" s="37"/>
      <c r="Y115" s="37"/>
      <c r="Z115" s="37"/>
      <c r="AA115" s="37"/>
      <c r="AB115" s="37"/>
      <c r="AC115" s="37"/>
      <c r="AD115" s="37"/>
      <c r="AE115" s="38"/>
      <c r="AF115" s="366"/>
      <c r="AG115" s="367"/>
      <c r="AH115" s="284"/>
      <c r="AI115" s="286"/>
      <c r="AJ115" s="284"/>
      <c r="AK115" s="286"/>
      <c r="AL115" s="284" t="s">
        <v>492</v>
      </c>
      <c r="AM115" s="286"/>
      <c r="AN115" s="284"/>
      <c r="AO115" s="286"/>
      <c r="AP115" s="284"/>
      <c r="AQ115" s="286"/>
      <c r="AR115" s="284"/>
      <c r="AS115" s="286"/>
      <c r="AT115" s="284"/>
      <c r="AU115" s="286"/>
      <c r="AV115" s="284"/>
      <c r="AW115" s="286"/>
      <c r="AX115" s="284"/>
      <c r="AY115" s="286"/>
      <c r="AZ115" s="284"/>
      <c r="BA115" s="286"/>
      <c r="BB115" s="284"/>
      <c r="BC115" s="286"/>
      <c r="BD115" s="284"/>
      <c r="BE115" s="286"/>
      <c r="BF115" s="284" t="s">
        <v>143</v>
      </c>
      <c r="BG115" s="285"/>
      <c r="BH115" s="285"/>
      <c r="BI115" s="285"/>
      <c r="BJ115" s="285"/>
      <c r="BK115" s="285"/>
      <c r="BL115" s="285"/>
      <c r="BM115" s="286"/>
      <c r="BN115" s="284" t="s">
        <v>201</v>
      </c>
      <c r="BO115" s="285"/>
      <c r="BP115" s="285"/>
      <c r="BQ115" s="285"/>
      <c r="BR115" s="285"/>
      <c r="BS115" s="285"/>
      <c r="BT115" s="285"/>
      <c r="BU115" s="286"/>
      <c r="BV115" s="288"/>
      <c r="BW115" s="288"/>
      <c r="BX115" s="288"/>
      <c r="BY115" s="288"/>
      <c r="BZ115" s="288"/>
      <c r="CA115" s="288"/>
      <c r="CB115" s="288"/>
      <c r="CC115" s="288"/>
      <c r="CD115" s="288"/>
      <c r="CE115" s="10"/>
      <c r="CF115" s="11"/>
    </row>
    <row r="116" spans="1:84" s="8" customFormat="1">
      <c r="A116" s="9"/>
      <c r="B116" s="32"/>
      <c r="C116" s="42"/>
      <c r="D116" s="42"/>
      <c r="E116" s="42"/>
      <c r="F116" s="42"/>
      <c r="G116" s="42"/>
      <c r="H116" s="42"/>
      <c r="I116" s="10"/>
      <c r="J116" s="32"/>
      <c r="K116" s="42"/>
      <c r="L116" s="42"/>
      <c r="M116" s="42"/>
      <c r="N116" s="42"/>
      <c r="O116" s="42"/>
      <c r="P116" s="42"/>
      <c r="Q116" s="10"/>
      <c r="R116" s="35">
        <v>2</v>
      </c>
      <c r="S116" s="36" t="s">
        <v>543</v>
      </c>
      <c r="T116" s="37"/>
      <c r="U116" s="37"/>
      <c r="V116" s="37"/>
      <c r="W116" s="37"/>
      <c r="X116" s="37"/>
      <c r="Y116" s="37"/>
      <c r="Z116" s="37"/>
      <c r="AA116" s="37"/>
      <c r="AB116" s="37"/>
      <c r="AC116" s="37"/>
      <c r="AD116" s="37"/>
      <c r="AE116" s="38"/>
      <c r="AF116" s="366"/>
      <c r="AG116" s="367"/>
      <c r="AH116" s="284"/>
      <c r="AI116" s="286"/>
      <c r="AJ116" s="284"/>
      <c r="AK116" s="286"/>
      <c r="AL116" s="284" t="s">
        <v>492</v>
      </c>
      <c r="AM116" s="286"/>
      <c r="AN116" s="284"/>
      <c r="AO116" s="286"/>
      <c r="AP116" s="284"/>
      <c r="AQ116" s="286"/>
      <c r="AR116" s="284"/>
      <c r="AS116" s="286"/>
      <c r="AT116" s="284"/>
      <c r="AU116" s="286"/>
      <c r="AV116" s="284"/>
      <c r="AW116" s="286"/>
      <c r="AX116" s="284"/>
      <c r="AY116" s="286"/>
      <c r="AZ116" s="284"/>
      <c r="BA116" s="286"/>
      <c r="BB116" s="284"/>
      <c r="BC116" s="286"/>
      <c r="BD116" s="284"/>
      <c r="BE116" s="286"/>
      <c r="BF116" s="360" t="s">
        <v>142</v>
      </c>
      <c r="BG116" s="361"/>
      <c r="BH116" s="361"/>
      <c r="BI116" s="361"/>
      <c r="BJ116" s="361"/>
      <c r="BK116" s="361"/>
      <c r="BL116" s="361"/>
      <c r="BM116" s="362"/>
      <c r="BN116" s="284" t="s">
        <v>201</v>
      </c>
      <c r="BO116" s="285"/>
      <c r="BP116" s="285"/>
      <c r="BQ116" s="285"/>
      <c r="BR116" s="285"/>
      <c r="BS116" s="285"/>
      <c r="BT116" s="285"/>
      <c r="BU116" s="286"/>
      <c r="BV116" s="288"/>
      <c r="BW116" s="288"/>
      <c r="BX116" s="288"/>
      <c r="BY116" s="288"/>
      <c r="BZ116" s="288"/>
      <c r="CA116" s="288"/>
      <c r="CB116" s="288"/>
      <c r="CC116" s="288"/>
      <c r="CD116" s="288"/>
      <c r="CE116" s="10"/>
    </row>
    <row r="117" spans="1:84" s="8" customFormat="1">
      <c r="A117" s="9"/>
      <c r="B117" s="47" t="s">
        <v>618</v>
      </c>
      <c r="C117" s="30"/>
      <c r="D117" s="30"/>
      <c r="E117" s="30"/>
      <c r="F117" s="30"/>
      <c r="G117" s="30"/>
      <c r="H117" s="30"/>
      <c r="I117" s="31"/>
      <c r="J117" s="47" t="s">
        <v>565</v>
      </c>
      <c r="K117" s="30"/>
      <c r="L117" s="30"/>
      <c r="M117" s="30"/>
      <c r="N117" s="30"/>
      <c r="O117" s="30"/>
      <c r="P117" s="30"/>
      <c r="Q117" s="31"/>
      <c r="R117" s="35">
        <v>1</v>
      </c>
      <c r="S117" s="36" t="s">
        <v>566</v>
      </c>
      <c r="T117" s="37"/>
      <c r="U117" s="37"/>
      <c r="V117" s="37"/>
      <c r="W117" s="37"/>
      <c r="X117" s="37"/>
      <c r="Y117" s="37"/>
      <c r="Z117" s="37"/>
      <c r="AA117" s="37"/>
      <c r="AB117" s="37"/>
      <c r="AC117" s="37"/>
      <c r="AD117" s="37"/>
      <c r="AE117" s="38"/>
      <c r="AF117" s="366"/>
      <c r="AG117" s="367"/>
      <c r="AH117" s="284"/>
      <c r="AI117" s="286"/>
      <c r="AJ117" s="284"/>
      <c r="AK117" s="286"/>
      <c r="AL117" s="284" t="s">
        <v>492</v>
      </c>
      <c r="AM117" s="286"/>
      <c r="AN117" s="284"/>
      <c r="AO117" s="286"/>
      <c r="AP117" s="284"/>
      <c r="AQ117" s="286"/>
      <c r="AR117" s="284"/>
      <c r="AS117" s="286"/>
      <c r="AT117" s="284"/>
      <c r="AU117" s="286"/>
      <c r="AV117" s="284"/>
      <c r="AW117" s="286"/>
      <c r="AX117" s="284"/>
      <c r="AY117" s="286"/>
      <c r="AZ117" s="284"/>
      <c r="BA117" s="286"/>
      <c r="BB117" s="284"/>
      <c r="BC117" s="286"/>
      <c r="BD117" s="284"/>
      <c r="BE117" s="286"/>
      <c r="BF117" s="284" t="s">
        <v>131</v>
      </c>
      <c r="BG117" s="285"/>
      <c r="BH117" s="285"/>
      <c r="BI117" s="285"/>
      <c r="BJ117" s="285"/>
      <c r="BK117" s="285"/>
      <c r="BL117" s="285"/>
      <c r="BM117" s="286"/>
      <c r="BN117" s="287" t="s">
        <v>571</v>
      </c>
      <c r="BO117" s="287"/>
      <c r="BP117" s="287"/>
      <c r="BQ117" s="287"/>
      <c r="BR117" s="287"/>
      <c r="BS117" s="287"/>
      <c r="BT117" s="287"/>
      <c r="BU117" s="287"/>
      <c r="BV117" s="288"/>
      <c r="BW117" s="288"/>
      <c r="BX117" s="288"/>
      <c r="BY117" s="288"/>
      <c r="BZ117" s="288"/>
      <c r="CA117" s="288"/>
      <c r="CB117" s="288"/>
      <c r="CC117" s="288"/>
      <c r="CD117" s="288"/>
      <c r="CE117" s="10"/>
      <c r="CF117" s="11"/>
    </row>
    <row r="118" spans="1:84" s="8" customFormat="1">
      <c r="A118" s="9"/>
      <c r="B118" s="29" t="s">
        <v>619</v>
      </c>
      <c r="C118" s="30"/>
      <c r="D118" s="30"/>
      <c r="E118" s="30"/>
      <c r="F118" s="30"/>
      <c r="G118" s="30"/>
      <c r="H118" s="30"/>
      <c r="I118" s="31"/>
      <c r="J118" s="29" t="s">
        <v>620</v>
      </c>
      <c r="K118" s="30"/>
      <c r="L118" s="30"/>
      <c r="M118" s="30"/>
      <c r="N118" s="30"/>
      <c r="O118" s="30"/>
      <c r="P118" s="30"/>
      <c r="Q118" s="31"/>
      <c r="R118" s="38">
        <v>1</v>
      </c>
      <c r="S118" s="36" t="s">
        <v>621</v>
      </c>
      <c r="T118" s="37"/>
      <c r="U118" s="37"/>
      <c r="V118" s="37"/>
      <c r="W118" s="37"/>
      <c r="X118" s="37"/>
      <c r="Y118" s="37"/>
      <c r="Z118" s="37"/>
      <c r="AA118" s="37"/>
      <c r="AB118" s="37"/>
      <c r="AC118" s="37"/>
      <c r="AD118" s="37"/>
      <c r="AE118" s="38"/>
      <c r="AF118" s="366"/>
      <c r="AG118" s="367"/>
      <c r="AH118" s="284"/>
      <c r="AI118" s="286"/>
      <c r="AJ118" s="284" t="s">
        <v>492</v>
      </c>
      <c r="AK118" s="286"/>
      <c r="AL118" s="284"/>
      <c r="AM118" s="286"/>
      <c r="AN118" s="284"/>
      <c r="AO118" s="286"/>
      <c r="AP118" s="284"/>
      <c r="AQ118" s="286"/>
      <c r="AR118" s="284"/>
      <c r="AS118" s="286"/>
      <c r="AT118" s="284"/>
      <c r="AU118" s="286"/>
      <c r="AV118" s="284"/>
      <c r="AW118" s="286"/>
      <c r="AX118" s="284"/>
      <c r="AY118" s="286"/>
      <c r="AZ118" s="284"/>
      <c r="BA118" s="286"/>
      <c r="BB118" s="284"/>
      <c r="BC118" s="286"/>
      <c r="BD118" s="284"/>
      <c r="BE118" s="286"/>
      <c r="BF118" s="284" t="s">
        <v>622</v>
      </c>
      <c r="BG118" s="285"/>
      <c r="BH118" s="285"/>
      <c r="BI118" s="285"/>
      <c r="BJ118" s="285"/>
      <c r="BK118" s="285"/>
      <c r="BL118" s="285"/>
      <c r="BM118" s="286"/>
      <c r="BN118" s="284" t="s">
        <v>201</v>
      </c>
      <c r="BO118" s="285"/>
      <c r="BP118" s="285"/>
      <c r="BQ118" s="285"/>
      <c r="BR118" s="285"/>
      <c r="BS118" s="285"/>
      <c r="BT118" s="285"/>
      <c r="BU118" s="286"/>
      <c r="BV118" s="288"/>
      <c r="BW118" s="288"/>
      <c r="BX118" s="288"/>
      <c r="BY118" s="288"/>
      <c r="BZ118" s="288"/>
      <c r="CA118" s="288"/>
      <c r="CB118" s="288"/>
      <c r="CC118" s="288"/>
      <c r="CD118" s="288"/>
      <c r="CE118" s="10"/>
    </row>
    <row r="119" spans="1:84" s="8" customFormat="1">
      <c r="A119" s="9"/>
      <c r="B119" s="32"/>
      <c r="C119" s="42"/>
      <c r="D119" s="42"/>
      <c r="E119" s="42"/>
      <c r="F119" s="42"/>
      <c r="G119" s="42"/>
      <c r="H119" s="42"/>
      <c r="I119" s="10"/>
      <c r="J119" s="33"/>
      <c r="K119" s="42"/>
      <c r="L119" s="42"/>
      <c r="M119" s="42"/>
      <c r="N119" s="42"/>
      <c r="O119" s="42"/>
      <c r="P119" s="42"/>
      <c r="Q119" s="10"/>
      <c r="R119" s="38">
        <v>2</v>
      </c>
      <c r="S119" s="36" t="s">
        <v>623</v>
      </c>
      <c r="T119" s="37"/>
      <c r="U119" s="37"/>
      <c r="V119" s="37"/>
      <c r="W119" s="37"/>
      <c r="X119" s="37"/>
      <c r="Y119" s="37"/>
      <c r="Z119" s="37"/>
      <c r="AA119" s="37"/>
      <c r="AB119" s="37"/>
      <c r="AC119" s="37"/>
      <c r="AD119" s="37"/>
      <c r="AE119" s="38"/>
      <c r="AF119" s="366"/>
      <c r="AG119" s="367"/>
      <c r="AH119" s="284"/>
      <c r="AI119" s="286"/>
      <c r="AJ119" s="284" t="s">
        <v>492</v>
      </c>
      <c r="AK119" s="286"/>
      <c r="AL119" s="284"/>
      <c r="AM119" s="286"/>
      <c r="AN119" s="284"/>
      <c r="AO119" s="286"/>
      <c r="AP119" s="284"/>
      <c r="AQ119" s="286"/>
      <c r="AR119" s="284"/>
      <c r="AS119" s="286"/>
      <c r="AT119" s="284"/>
      <c r="AU119" s="286"/>
      <c r="AV119" s="284"/>
      <c r="AW119" s="286"/>
      <c r="AX119" s="284"/>
      <c r="AY119" s="286"/>
      <c r="AZ119" s="284"/>
      <c r="BA119" s="286"/>
      <c r="BB119" s="284"/>
      <c r="BC119" s="286"/>
      <c r="BD119" s="284"/>
      <c r="BE119" s="286"/>
      <c r="BF119" s="284" t="s">
        <v>143</v>
      </c>
      <c r="BG119" s="285"/>
      <c r="BH119" s="285"/>
      <c r="BI119" s="285"/>
      <c r="BJ119" s="285"/>
      <c r="BK119" s="285"/>
      <c r="BL119" s="285"/>
      <c r="BM119" s="286"/>
      <c r="BN119" s="284" t="s">
        <v>201</v>
      </c>
      <c r="BO119" s="285"/>
      <c r="BP119" s="285"/>
      <c r="BQ119" s="285"/>
      <c r="BR119" s="285"/>
      <c r="BS119" s="285"/>
      <c r="BT119" s="285"/>
      <c r="BU119" s="286"/>
      <c r="BV119" s="288"/>
      <c r="BW119" s="288"/>
      <c r="BX119" s="288"/>
      <c r="BY119" s="288"/>
      <c r="BZ119" s="288"/>
      <c r="CA119" s="288"/>
      <c r="CB119" s="288"/>
      <c r="CC119" s="288"/>
      <c r="CD119" s="288"/>
      <c r="CE119" s="10"/>
      <c r="CF119" s="11"/>
    </row>
    <row r="120" spans="1:84" s="8" customFormat="1">
      <c r="A120" s="9"/>
      <c r="B120" s="32"/>
      <c r="C120" s="42"/>
      <c r="D120" s="42"/>
      <c r="E120" s="42"/>
      <c r="F120" s="42"/>
      <c r="G120" s="42"/>
      <c r="H120" s="42"/>
      <c r="I120" s="10"/>
      <c r="J120" s="32"/>
      <c r="K120" s="42"/>
      <c r="L120" s="42"/>
      <c r="M120" s="42"/>
      <c r="N120" s="42"/>
      <c r="O120" s="42"/>
      <c r="P120" s="42"/>
      <c r="Q120" s="10"/>
      <c r="R120" s="38">
        <v>3</v>
      </c>
      <c r="S120" s="36" t="s">
        <v>624</v>
      </c>
      <c r="T120" s="37"/>
      <c r="U120" s="37"/>
      <c r="V120" s="37"/>
      <c r="W120" s="37"/>
      <c r="X120" s="37"/>
      <c r="Y120" s="37"/>
      <c r="Z120" s="37"/>
      <c r="AA120" s="37"/>
      <c r="AB120" s="37"/>
      <c r="AC120" s="37"/>
      <c r="AD120" s="37"/>
      <c r="AE120" s="38"/>
      <c r="AF120" s="366"/>
      <c r="AG120" s="367"/>
      <c r="AH120" s="284"/>
      <c r="AI120" s="286"/>
      <c r="AJ120" s="284" t="s">
        <v>492</v>
      </c>
      <c r="AK120" s="286"/>
      <c r="AL120" s="284"/>
      <c r="AM120" s="286"/>
      <c r="AN120" s="284"/>
      <c r="AO120" s="286"/>
      <c r="AP120" s="284"/>
      <c r="AQ120" s="286"/>
      <c r="AR120" s="284"/>
      <c r="AS120" s="286"/>
      <c r="AT120" s="284"/>
      <c r="AU120" s="286"/>
      <c r="AV120" s="284"/>
      <c r="AW120" s="286"/>
      <c r="AX120" s="284"/>
      <c r="AY120" s="286"/>
      <c r="AZ120" s="284"/>
      <c r="BA120" s="286"/>
      <c r="BB120" s="284"/>
      <c r="BC120" s="286"/>
      <c r="BD120" s="284"/>
      <c r="BE120" s="286"/>
      <c r="BF120" s="284" t="s">
        <v>131</v>
      </c>
      <c r="BG120" s="285"/>
      <c r="BH120" s="285"/>
      <c r="BI120" s="285"/>
      <c r="BJ120" s="285"/>
      <c r="BK120" s="285"/>
      <c r="BL120" s="285"/>
      <c r="BM120" s="286"/>
      <c r="BN120" s="284" t="s">
        <v>362</v>
      </c>
      <c r="BO120" s="285"/>
      <c r="BP120" s="285"/>
      <c r="BQ120" s="285"/>
      <c r="BR120" s="285"/>
      <c r="BS120" s="285"/>
      <c r="BT120" s="285"/>
      <c r="BU120" s="286"/>
      <c r="BV120" s="288"/>
      <c r="BW120" s="288"/>
      <c r="BX120" s="288"/>
      <c r="BY120" s="288"/>
      <c r="BZ120" s="288"/>
      <c r="CA120" s="288"/>
      <c r="CB120" s="288"/>
      <c r="CC120" s="288"/>
      <c r="CD120" s="288"/>
      <c r="CE120" s="10"/>
    </row>
    <row r="121" spans="1:84" s="8" customFormat="1">
      <c r="A121" s="9"/>
      <c r="B121" s="32"/>
      <c r="C121" s="42"/>
      <c r="D121" s="42"/>
      <c r="E121" s="42"/>
      <c r="F121" s="42"/>
      <c r="G121" s="42"/>
      <c r="H121" s="42"/>
      <c r="I121" s="10"/>
      <c r="J121" s="33"/>
      <c r="K121" s="42"/>
      <c r="L121" s="42"/>
      <c r="M121" s="42"/>
      <c r="N121" s="42"/>
      <c r="O121" s="42"/>
      <c r="P121" s="42"/>
      <c r="Q121" s="10"/>
      <c r="R121" s="38">
        <v>4</v>
      </c>
      <c r="S121" s="36" t="s">
        <v>625</v>
      </c>
      <c r="T121" s="37"/>
      <c r="U121" s="37"/>
      <c r="V121" s="37"/>
      <c r="W121" s="37"/>
      <c r="X121" s="37"/>
      <c r="Y121" s="37"/>
      <c r="Z121" s="37"/>
      <c r="AA121" s="37"/>
      <c r="AB121" s="37"/>
      <c r="AC121" s="37"/>
      <c r="AD121" s="37"/>
      <c r="AE121" s="38"/>
      <c r="AF121" s="366"/>
      <c r="AG121" s="367"/>
      <c r="AH121" s="284"/>
      <c r="AI121" s="286"/>
      <c r="AJ121" s="284" t="s">
        <v>492</v>
      </c>
      <c r="AK121" s="286"/>
      <c r="AL121" s="284"/>
      <c r="AM121" s="286"/>
      <c r="AN121" s="284"/>
      <c r="AO121" s="286"/>
      <c r="AP121" s="284"/>
      <c r="AQ121" s="286"/>
      <c r="AR121" s="284"/>
      <c r="AS121" s="286"/>
      <c r="AT121" s="284"/>
      <c r="AU121" s="286"/>
      <c r="AV121" s="284"/>
      <c r="AW121" s="286"/>
      <c r="AX121" s="284"/>
      <c r="AY121" s="286"/>
      <c r="AZ121" s="284"/>
      <c r="BA121" s="286"/>
      <c r="BB121" s="284"/>
      <c r="BC121" s="286"/>
      <c r="BD121" s="284"/>
      <c r="BE121" s="286"/>
      <c r="BF121" s="284" t="s">
        <v>143</v>
      </c>
      <c r="BG121" s="285"/>
      <c r="BH121" s="285"/>
      <c r="BI121" s="285"/>
      <c r="BJ121" s="285"/>
      <c r="BK121" s="285"/>
      <c r="BL121" s="285"/>
      <c r="BM121" s="286"/>
      <c r="BN121" s="284" t="s">
        <v>201</v>
      </c>
      <c r="BO121" s="285"/>
      <c r="BP121" s="285"/>
      <c r="BQ121" s="285"/>
      <c r="BR121" s="285"/>
      <c r="BS121" s="285"/>
      <c r="BT121" s="285"/>
      <c r="BU121" s="286"/>
      <c r="BV121" s="288"/>
      <c r="BW121" s="288"/>
      <c r="BX121" s="288"/>
      <c r="BY121" s="288"/>
      <c r="BZ121" s="288"/>
      <c r="CA121" s="288"/>
      <c r="CB121" s="288"/>
      <c r="CC121" s="288"/>
      <c r="CD121" s="288"/>
      <c r="CE121" s="10"/>
      <c r="CF121" s="11"/>
    </row>
    <row r="122" spans="1:84" s="8" customFormat="1">
      <c r="A122" s="9"/>
      <c r="B122" s="32"/>
      <c r="C122" s="42"/>
      <c r="D122" s="42"/>
      <c r="E122" s="42"/>
      <c r="F122" s="42"/>
      <c r="G122" s="42"/>
      <c r="H122" s="42"/>
      <c r="I122" s="10"/>
      <c r="J122" s="32"/>
      <c r="K122" s="42"/>
      <c r="L122" s="42"/>
      <c r="M122" s="42"/>
      <c r="N122" s="42"/>
      <c r="O122" s="42"/>
      <c r="P122" s="42"/>
      <c r="Q122" s="10"/>
      <c r="R122" s="38">
        <v>5</v>
      </c>
      <c r="S122" s="36" t="s">
        <v>626</v>
      </c>
      <c r="T122" s="37"/>
      <c r="U122" s="37"/>
      <c r="V122" s="37"/>
      <c r="W122" s="37"/>
      <c r="X122" s="37"/>
      <c r="Y122" s="37"/>
      <c r="Z122" s="37"/>
      <c r="AA122" s="37"/>
      <c r="AB122" s="37"/>
      <c r="AC122" s="37"/>
      <c r="AD122" s="37"/>
      <c r="AE122" s="38"/>
      <c r="AF122" s="366"/>
      <c r="AG122" s="367"/>
      <c r="AH122" s="284"/>
      <c r="AI122" s="286"/>
      <c r="AJ122" s="284" t="s">
        <v>492</v>
      </c>
      <c r="AK122" s="286"/>
      <c r="AL122" s="284"/>
      <c r="AM122" s="286"/>
      <c r="AN122" s="284"/>
      <c r="AO122" s="286"/>
      <c r="AP122" s="284"/>
      <c r="AQ122" s="286"/>
      <c r="AR122" s="284"/>
      <c r="AS122" s="286"/>
      <c r="AT122" s="284"/>
      <c r="AU122" s="286"/>
      <c r="AV122" s="284"/>
      <c r="AW122" s="286"/>
      <c r="AX122" s="284"/>
      <c r="AY122" s="286"/>
      <c r="AZ122" s="284"/>
      <c r="BA122" s="286"/>
      <c r="BB122" s="284"/>
      <c r="BC122" s="286"/>
      <c r="BD122" s="284"/>
      <c r="BE122" s="286"/>
      <c r="BF122" s="284" t="s">
        <v>622</v>
      </c>
      <c r="BG122" s="285"/>
      <c r="BH122" s="285"/>
      <c r="BI122" s="285"/>
      <c r="BJ122" s="285"/>
      <c r="BK122" s="285"/>
      <c r="BL122" s="285"/>
      <c r="BM122" s="286"/>
      <c r="BN122" s="284" t="s">
        <v>201</v>
      </c>
      <c r="BO122" s="285"/>
      <c r="BP122" s="285"/>
      <c r="BQ122" s="285"/>
      <c r="BR122" s="285"/>
      <c r="BS122" s="285"/>
      <c r="BT122" s="285"/>
      <c r="BU122" s="286"/>
      <c r="BV122" s="288"/>
      <c r="BW122" s="288"/>
      <c r="BX122" s="288"/>
      <c r="BY122" s="288"/>
      <c r="BZ122" s="288"/>
      <c r="CA122" s="288"/>
      <c r="CB122" s="288"/>
      <c r="CC122" s="288"/>
      <c r="CD122" s="288"/>
      <c r="CE122" s="10"/>
    </row>
    <row r="123" spans="1:84" s="8" customFormat="1">
      <c r="A123" s="9"/>
      <c r="B123" s="32"/>
      <c r="C123" s="42"/>
      <c r="D123" s="42"/>
      <c r="E123" s="42"/>
      <c r="F123" s="42"/>
      <c r="G123" s="42"/>
      <c r="H123" s="42"/>
      <c r="I123" s="10"/>
      <c r="J123" s="29" t="s">
        <v>627</v>
      </c>
      <c r="K123" s="30"/>
      <c r="L123" s="30"/>
      <c r="M123" s="30"/>
      <c r="N123" s="30"/>
      <c r="O123" s="30"/>
      <c r="P123" s="30"/>
      <c r="Q123" s="31"/>
      <c r="R123" s="38">
        <v>1</v>
      </c>
      <c r="S123" s="36" t="s">
        <v>628</v>
      </c>
      <c r="T123" s="37"/>
      <c r="U123" s="37"/>
      <c r="V123" s="37"/>
      <c r="W123" s="37"/>
      <c r="X123" s="37"/>
      <c r="Y123" s="37"/>
      <c r="Z123" s="37"/>
      <c r="AA123" s="37"/>
      <c r="AB123" s="37"/>
      <c r="AC123" s="37"/>
      <c r="AD123" s="37"/>
      <c r="AE123" s="38"/>
      <c r="AF123" s="366"/>
      <c r="AG123" s="367"/>
      <c r="AH123" s="284"/>
      <c r="AI123" s="286"/>
      <c r="AJ123" s="284" t="s">
        <v>492</v>
      </c>
      <c r="AK123" s="286"/>
      <c r="AL123" s="284"/>
      <c r="AM123" s="286"/>
      <c r="AN123" s="284"/>
      <c r="AO123" s="286"/>
      <c r="AP123" s="284"/>
      <c r="AQ123" s="286"/>
      <c r="AR123" s="284"/>
      <c r="AS123" s="286"/>
      <c r="AT123" s="284"/>
      <c r="AU123" s="286"/>
      <c r="AV123" s="284"/>
      <c r="AW123" s="286"/>
      <c r="AX123" s="284"/>
      <c r="AY123" s="286"/>
      <c r="AZ123" s="284"/>
      <c r="BA123" s="286"/>
      <c r="BB123" s="284"/>
      <c r="BC123" s="286"/>
      <c r="BD123" s="284"/>
      <c r="BE123" s="286"/>
      <c r="BF123" s="284" t="s">
        <v>131</v>
      </c>
      <c r="BG123" s="285"/>
      <c r="BH123" s="285"/>
      <c r="BI123" s="285"/>
      <c r="BJ123" s="285"/>
      <c r="BK123" s="285"/>
      <c r="BL123" s="285"/>
      <c r="BM123" s="286"/>
      <c r="BN123" s="284" t="s">
        <v>362</v>
      </c>
      <c r="BO123" s="285"/>
      <c r="BP123" s="285"/>
      <c r="BQ123" s="285"/>
      <c r="BR123" s="285"/>
      <c r="BS123" s="285"/>
      <c r="BT123" s="285"/>
      <c r="BU123" s="286"/>
      <c r="BV123" s="288"/>
      <c r="BW123" s="288"/>
      <c r="BX123" s="288"/>
      <c r="BY123" s="288"/>
      <c r="BZ123" s="288"/>
      <c r="CA123" s="288"/>
      <c r="CB123" s="288"/>
      <c r="CC123" s="288"/>
      <c r="CD123" s="288"/>
      <c r="CE123" s="10"/>
      <c r="CF123" s="11"/>
    </row>
    <row r="124" spans="1:84" s="8" customFormat="1">
      <c r="A124" s="9"/>
      <c r="B124" s="32"/>
      <c r="C124" s="42"/>
      <c r="D124" s="42"/>
      <c r="E124" s="42"/>
      <c r="F124" s="42"/>
      <c r="G124" s="42"/>
      <c r="H124" s="42"/>
      <c r="I124" s="10"/>
      <c r="J124" s="33" t="s">
        <v>629</v>
      </c>
      <c r="K124" s="42"/>
      <c r="L124" s="42"/>
      <c r="M124" s="42"/>
      <c r="N124" s="42"/>
      <c r="O124" s="42"/>
      <c r="P124" s="42"/>
      <c r="Q124" s="10"/>
      <c r="R124" s="31">
        <v>2</v>
      </c>
      <c r="S124" s="36" t="s">
        <v>630</v>
      </c>
      <c r="T124" s="37"/>
      <c r="U124" s="37"/>
      <c r="V124" s="37"/>
      <c r="W124" s="37"/>
      <c r="X124" s="37"/>
      <c r="Y124" s="37"/>
      <c r="Z124" s="37"/>
      <c r="AA124" s="37"/>
      <c r="AB124" s="37"/>
      <c r="AC124" s="37"/>
      <c r="AD124" s="37"/>
      <c r="AE124" s="38"/>
      <c r="AF124" s="366"/>
      <c r="AG124" s="367"/>
      <c r="AH124" s="284"/>
      <c r="AI124" s="286"/>
      <c r="AJ124" s="284" t="s">
        <v>492</v>
      </c>
      <c r="AK124" s="286"/>
      <c r="AL124" s="284"/>
      <c r="AM124" s="286"/>
      <c r="AN124" s="284"/>
      <c r="AO124" s="286"/>
      <c r="AP124" s="284"/>
      <c r="AQ124" s="286"/>
      <c r="AR124" s="284"/>
      <c r="AS124" s="286"/>
      <c r="AT124" s="284"/>
      <c r="AU124" s="286"/>
      <c r="AV124" s="284"/>
      <c r="AW124" s="286"/>
      <c r="AX124" s="284"/>
      <c r="AY124" s="286"/>
      <c r="AZ124" s="284"/>
      <c r="BA124" s="286"/>
      <c r="BB124" s="284"/>
      <c r="BC124" s="286"/>
      <c r="BD124" s="284"/>
      <c r="BE124" s="286"/>
      <c r="BF124" s="284" t="s">
        <v>143</v>
      </c>
      <c r="BG124" s="285"/>
      <c r="BH124" s="285"/>
      <c r="BI124" s="285"/>
      <c r="BJ124" s="285"/>
      <c r="BK124" s="285"/>
      <c r="BL124" s="285"/>
      <c r="BM124" s="286"/>
      <c r="BN124" s="284" t="s">
        <v>201</v>
      </c>
      <c r="BO124" s="285"/>
      <c r="BP124" s="285"/>
      <c r="BQ124" s="285"/>
      <c r="BR124" s="285"/>
      <c r="BS124" s="285"/>
      <c r="BT124" s="285"/>
      <c r="BU124" s="286"/>
      <c r="BV124" s="288"/>
      <c r="BW124" s="288"/>
      <c r="BX124" s="288"/>
      <c r="BY124" s="288"/>
      <c r="BZ124" s="288"/>
      <c r="CA124" s="288"/>
      <c r="CB124" s="288"/>
      <c r="CC124" s="288"/>
      <c r="CD124" s="288"/>
      <c r="CE124" s="10"/>
    </row>
    <row r="125" spans="1:84" s="8" customFormat="1">
      <c r="A125" s="9"/>
      <c r="B125" s="32"/>
      <c r="C125" s="42"/>
      <c r="D125" s="42"/>
      <c r="E125" s="42"/>
      <c r="F125" s="42"/>
      <c r="G125" s="42"/>
      <c r="H125" s="42"/>
      <c r="I125" s="10"/>
      <c r="J125" s="29" t="s">
        <v>631</v>
      </c>
      <c r="K125" s="30"/>
      <c r="L125" s="30"/>
      <c r="M125" s="30"/>
      <c r="N125" s="30"/>
      <c r="O125" s="30"/>
      <c r="P125" s="30"/>
      <c r="Q125" s="31"/>
      <c r="R125" s="38">
        <v>1</v>
      </c>
      <c r="S125" s="8" t="s">
        <v>632</v>
      </c>
      <c r="T125" s="37"/>
      <c r="U125" s="37"/>
      <c r="V125" s="37"/>
      <c r="W125" s="37"/>
      <c r="X125" s="37"/>
      <c r="Y125" s="37"/>
      <c r="Z125" s="37"/>
      <c r="AA125" s="37"/>
      <c r="AB125" s="37"/>
      <c r="AC125" s="37"/>
      <c r="AD125" s="37"/>
      <c r="AE125" s="38"/>
      <c r="AF125" s="366"/>
      <c r="AG125" s="367"/>
      <c r="AH125" s="284"/>
      <c r="AI125" s="286"/>
      <c r="AJ125" s="284"/>
      <c r="AK125" s="286"/>
      <c r="AL125" s="284" t="s">
        <v>492</v>
      </c>
      <c r="AM125" s="286"/>
      <c r="AN125" s="284"/>
      <c r="AO125" s="286"/>
      <c r="AP125" s="284"/>
      <c r="AQ125" s="286"/>
      <c r="AR125" s="284"/>
      <c r="AS125" s="286"/>
      <c r="AT125" s="284"/>
      <c r="AU125" s="286"/>
      <c r="AV125" s="284"/>
      <c r="AW125" s="286"/>
      <c r="AX125" s="284"/>
      <c r="AY125" s="286"/>
      <c r="AZ125" s="284"/>
      <c r="BA125" s="286"/>
      <c r="BB125" s="284"/>
      <c r="BC125" s="286"/>
      <c r="BD125" s="284"/>
      <c r="BE125" s="286"/>
      <c r="BF125" s="284" t="s">
        <v>131</v>
      </c>
      <c r="BG125" s="285"/>
      <c r="BH125" s="285"/>
      <c r="BI125" s="285"/>
      <c r="BJ125" s="285"/>
      <c r="BK125" s="285"/>
      <c r="BL125" s="285"/>
      <c r="BM125" s="286"/>
      <c r="BN125" s="287" t="s">
        <v>633</v>
      </c>
      <c r="BO125" s="287"/>
      <c r="BP125" s="287"/>
      <c r="BQ125" s="287"/>
      <c r="BR125" s="287"/>
      <c r="BS125" s="287"/>
      <c r="BT125" s="287"/>
      <c r="BU125" s="287"/>
      <c r="BV125" s="288"/>
      <c r="BW125" s="288"/>
      <c r="BX125" s="288"/>
      <c r="BY125" s="288"/>
      <c r="BZ125" s="288"/>
      <c r="CA125" s="288"/>
      <c r="CB125" s="288"/>
      <c r="CC125" s="288"/>
      <c r="CD125" s="288"/>
      <c r="CE125" s="10"/>
    </row>
    <row r="126" spans="1:84" s="8" customFormat="1">
      <c r="A126" s="9"/>
      <c r="B126" s="32"/>
      <c r="C126" s="42"/>
      <c r="D126" s="42"/>
      <c r="E126" s="42"/>
      <c r="F126" s="42"/>
      <c r="G126" s="42"/>
      <c r="H126" s="42"/>
      <c r="I126" s="10"/>
      <c r="J126" s="33" t="s">
        <v>634</v>
      </c>
      <c r="K126" s="42"/>
      <c r="L126" s="42"/>
      <c r="M126" s="42"/>
      <c r="N126" s="42"/>
      <c r="O126" s="42"/>
      <c r="P126" s="42"/>
      <c r="Q126" s="10"/>
      <c r="R126" s="38">
        <v>2</v>
      </c>
      <c r="S126" s="36" t="s">
        <v>635</v>
      </c>
      <c r="T126" s="37"/>
      <c r="U126" s="37"/>
      <c r="V126" s="37"/>
      <c r="W126" s="37"/>
      <c r="X126" s="37"/>
      <c r="Y126" s="37"/>
      <c r="Z126" s="37"/>
      <c r="AA126" s="37"/>
      <c r="AB126" s="37"/>
      <c r="AC126" s="37"/>
      <c r="AD126" s="37"/>
      <c r="AE126" s="38"/>
      <c r="AF126" s="366"/>
      <c r="AG126" s="367"/>
      <c r="AH126" s="284"/>
      <c r="AI126" s="286"/>
      <c r="AJ126" s="284"/>
      <c r="AK126" s="286"/>
      <c r="AL126" s="284" t="s">
        <v>492</v>
      </c>
      <c r="AM126" s="286"/>
      <c r="AN126" s="284"/>
      <c r="AO126" s="286"/>
      <c r="AP126" s="284"/>
      <c r="AQ126" s="286"/>
      <c r="AR126" s="284"/>
      <c r="AS126" s="286"/>
      <c r="AT126" s="284"/>
      <c r="AU126" s="286"/>
      <c r="AV126" s="284"/>
      <c r="AW126" s="286"/>
      <c r="AX126" s="284"/>
      <c r="AY126" s="286"/>
      <c r="AZ126" s="284"/>
      <c r="BA126" s="286"/>
      <c r="BB126" s="284"/>
      <c r="BC126" s="286"/>
      <c r="BD126" s="284"/>
      <c r="BE126" s="286"/>
      <c r="BF126" s="284" t="s">
        <v>143</v>
      </c>
      <c r="BG126" s="285"/>
      <c r="BH126" s="285"/>
      <c r="BI126" s="285"/>
      <c r="BJ126" s="285"/>
      <c r="BK126" s="285"/>
      <c r="BL126" s="285"/>
      <c r="BM126" s="286"/>
      <c r="BN126" s="284" t="s">
        <v>201</v>
      </c>
      <c r="BO126" s="285"/>
      <c r="BP126" s="285"/>
      <c r="BQ126" s="285"/>
      <c r="BR126" s="285"/>
      <c r="BS126" s="285"/>
      <c r="BT126" s="285"/>
      <c r="BU126" s="286"/>
      <c r="BV126" s="288"/>
      <c r="BW126" s="288"/>
      <c r="BX126" s="288"/>
      <c r="BY126" s="288"/>
      <c r="BZ126" s="288"/>
      <c r="CA126" s="288"/>
      <c r="CB126" s="288"/>
      <c r="CC126" s="288"/>
      <c r="CD126" s="288"/>
      <c r="CE126" s="10"/>
      <c r="CF126" s="11"/>
    </row>
    <row r="127" spans="1:84" s="8" customFormat="1">
      <c r="A127" s="9"/>
      <c r="B127" s="32"/>
      <c r="C127" s="42"/>
      <c r="D127" s="42"/>
      <c r="E127" s="42"/>
      <c r="F127" s="42"/>
      <c r="G127" s="42"/>
      <c r="H127" s="42"/>
      <c r="I127" s="10"/>
      <c r="J127" s="32"/>
      <c r="K127" s="42"/>
      <c r="L127" s="42"/>
      <c r="M127" s="42"/>
      <c r="N127" s="42"/>
      <c r="O127" s="42"/>
      <c r="P127" s="42"/>
      <c r="Q127" s="10"/>
      <c r="R127" s="38">
        <v>3</v>
      </c>
      <c r="S127" s="36" t="s">
        <v>636</v>
      </c>
      <c r="T127" s="37"/>
      <c r="U127" s="37"/>
      <c r="V127" s="37"/>
      <c r="W127" s="37"/>
      <c r="X127" s="37"/>
      <c r="Y127" s="37"/>
      <c r="Z127" s="37"/>
      <c r="AA127" s="37"/>
      <c r="AB127" s="37"/>
      <c r="AC127" s="37"/>
      <c r="AD127" s="37"/>
      <c r="AE127" s="38"/>
      <c r="AF127" s="366"/>
      <c r="AG127" s="367"/>
      <c r="AH127" s="284"/>
      <c r="AI127" s="286"/>
      <c r="AJ127" s="284"/>
      <c r="AK127" s="286"/>
      <c r="AL127" s="284" t="s">
        <v>492</v>
      </c>
      <c r="AM127" s="286"/>
      <c r="AN127" s="284"/>
      <c r="AO127" s="286"/>
      <c r="AP127" s="284"/>
      <c r="AQ127" s="286"/>
      <c r="AR127" s="284"/>
      <c r="AS127" s="286"/>
      <c r="AT127" s="284"/>
      <c r="AU127" s="286"/>
      <c r="AV127" s="284"/>
      <c r="AW127" s="286"/>
      <c r="AX127" s="284"/>
      <c r="AY127" s="286"/>
      <c r="AZ127" s="284"/>
      <c r="BA127" s="286"/>
      <c r="BB127" s="284"/>
      <c r="BC127" s="286"/>
      <c r="BD127" s="284"/>
      <c r="BE127" s="286"/>
      <c r="BF127" s="284" t="s">
        <v>143</v>
      </c>
      <c r="BG127" s="285"/>
      <c r="BH127" s="285"/>
      <c r="BI127" s="285"/>
      <c r="BJ127" s="285"/>
      <c r="BK127" s="285"/>
      <c r="BL127" s="285"/>
      <c r="BM127" s="286"/>
      <c r="BN127" s="284" t="s">
        <v>201</v>
      </c>
      <c r="BO127" s="285"/>
      <c r="BP127" s="285"/>
      <c r="BQ127" s="285"/>
      <c r="BR127" s="285"/>
      <c r="BS127" s="285"/>
      <c r="BT127" s="285"/>
      <c r="BU127" s="286"/>
      <c r="BV127" s="288"/>
      <c r="BW127" s="288"/>
      <c r="BX127" s="288"/>
      <c r="BY127" s="288"/>
      <c r="BZ127" s="288"/>
      <c r="CA127" s="288"/>
      <c r="CB127" s="288"/>
      <c r="CC127" s="288"/>
      <c r="CD127" s="288"/>
      <c r="CE127" s="10"/>
      <c r="CF127" s="11"/>
    </row>
    <row r="128" spans="1:84" s="8" customFormat="1">
      <c r="A128" s="9"/>
      <c r="B128" s="32"/>
      <c r="C128" s="42"/>
      <c r="D128" s="42"/>
      <c r="E128" s="42"/>
      <c r="F128" s="42"/>
      <c r="G128" s="42"/>
      <c r="H128" s="42"/>
      <c r="I128" s="10"/>
      <c r="J128" s="33"/>
      <c r="K128" s="42"/>
      <c r="L128" s="42"/>
      <c r="M128" s="42"/>
      <c r="N128" s="42"/>
      <c r="O128" s="42"/>
      <c r="P128" s="42"/>
      <c r="Q128" s="10"/>
      <c r="R128" s="38">
        <v>4</v>
      </c>
      <c r="S128" s="36" t="s">
        <v>637</v>
      </c>
      <c r="T128" s="37"/>
      <c r="U128" s="37"/>
      <c r="V128" s="37"/>
      <c r="W128" s="37"/>
      <c r="X128" s="37"/>
      <c r="Y128" s="37"/>
      <c r="Z128" s="37"/>
      <c r="AA128" s="37"/>
      <c r="AB128" s="37"/>
      <c r="AC128" s="37"/>
      <c r="AD128" s="37"/>
      <c r="AE128" s="38"/>
      <c r="AF128" s="366"/>
      <c r="AG128" s="367"/>
      <c r="AH128" s="284"/>
      <c r="AI128" s="286"/>
      <c r="AJ128" s="284"/>
      <c r="AK128" s="286"/>
      <c r="AL128" s="284" t="s">
        <v>492</v>
      </c>
      <c r="AM128" s="286"/>
      <c r="AN128" s="284"/>
      <c r="AO128" s="286"/>
      <c r="AP128" s="284"/>
      <c r="AQ128" s="286"/>
      <c r="AR128" s="284"/>
      <c r="AS128" s="286"/>
      <c r="AT128" s="284"/>
      <c r="AU128" s="286"/>
      <c r="AV128" s="284"/>
      <c r="AW128" s="286"/>
      <c r="AX128" s="284"/>
      <c r="AY128" s="286"/>
      <c r="AZ128" s="284"/>
      <c r="BA128" s="286"/>
      <c r="BB128" s="284"/>
      <c r="BC128" s="286"/>
      <c r="BD128" s="284"/>
      <c r="BE128" s="286"/>
      <c r="BF128" s="284" t="s">
        <v>143</v>
      </c>
      <c r="BG128" s="285"/>
      <c r="BH128" s="285"/>
      <c r="BI128" s="285"/>
      <c r="BJ128" s="285"/>
      <c r="BK128" s="285"/>
      <c r="BL128" s="285"/>
      <c r="BM128" s="286"/>
      <c r="BN128" s="284" t="s">
        <v>201</v>
      </c>
      <c r="BO128" s="285"/>
      <c r="BP128" s="285"/>
      <c r="BQ128" s="285"/>
      <c r="BR128" s="285"/>
      <c r="BS128" s="285"/>
      <c r="BT128" s="285"/>
      <c r="BU128" s="286"/>
      <c r="BV128" s="288"/>
      <c r="BW128" s="288"/>
      <c r="BX128" s="288"/>
      <c r="BY128" s="288"/>
      <c r="BZ128" s="288"/>
      <c r="CA128" s="288"/>
      <c r="CB128" s="288"/>
      <c r="CC128" s="288"/>
      <c r="CD128" s="288"/>
      <c r="CE128" s="10"/>
    </row>
    <row r="129" spans="1:84" s="8" customFormat="1">
      <c r="A129" s="9"/>
      <c r="B129" s="32"/>
      <c r="C129" s="42"/>
      <c r="D129" s="42"/>
      <c r="E129" s="42"/>
      <c r="F129" s="42"/>
      <c r="G129" s="42"/>
      <c r="H129" s="42"/>
      <c r="I129" s="10"/>
      <c r="J129" s="32"/>
      <c r="K129" s="42"/>
      <c r="L129" s="42"/>
      <c r="M129" s="42"/>
      <c r="N129" s="42"/>
      <c r="O129" s="42"/>
      <c r="P129" s="42"/>
      <c r="Q129" s="10"/>
      <c r="R129" s="38">
        <v>5</v>
      </c>
      <c r="S129" s="36" t="s">
        <v>638</v>
      </c>
      <c r="T129" s="37"/>
      <c r="U129" s="37"/>
      <c r="V129" s="37"/>
      <c r="W129" s="37"/>
      <c r="X129" s="37"/>
      <c r="Y129" s="37"/>
      <c r="Z129" s="37"/>
      <c r="AA129" s="37"/>
      <c r="AB129" s="37"/>
      <c r="AC129" s="37"/>
      <c r="AD129" s="37"/>
      <c r="AE129" s="38"/>
      <c r="AF129" s="366"/>
      <c r="AG129" s="367"/>
      <c r="AH129" s="284"/>
      <c r="AI129" s="286"/>
      <c r="AJ129" s="284"/>
      <c r="AK129" s="286"/>
      <c r="AL129" s="284"/>
      <c r="AM129" s="286"/>
      <c r="AN129" s="284"/>
      <c r="AO129" s="286"/>
      <c r="AP129" s="284"/>
      <c r="AQ129" s="286"/>
      <c r="AR129" s="284"/>
      <c r="AS129" s="286"/>
      <c r="AT129" s="284"/>
      <c r="AU129" s="286"/>
      <c r="AV129" s="284" t="s">
        <v>492</v>
      </c>
      <c r="AW129" s="286"/>
      <c r="AX129" s="284"/>
      <c r="AY129" s="286"/>
      <c r="AZ129" s="284"/>
      <c r="BA129" s="286"/>
      <c r="BB129" s="284"/>
      <c r="BC129" s="286"/>
      <c r="BD129" s="284"/>
      <c r="BE129" s="286"/>
      <c r="BF129" s="284" t="s">
        <v>143</v>
      </c>
      <c r="BG129" s="285"/>
      <c r="BH129" s="285"/>
      <c r="BI129" s="285"/>
      <c r="BJ129" s="285"/>
      <c r="BK129" s="285"/>
      <c r="BL129" s="285"/>
      <c r="BM129" s="286"/>
      <c r="BN129" s="284" t="s">
        <v>201</v>
      </c>
      <c r="BO129" s="285"/>
      <c r="BP129" s="285"/>
      <c r="BQ129" s="285"/>
      <c r="BR129" s="285"/>
      <c r="BS129" s="285"/>
      <c r="BT129" s="285"/>
      <c r="BU129" s="286"/>
      <c r="BV129" s="288"/>
      <c r="BW129" s="288"/>
      <c r="BX129" s="288"/>
      <c r="BY129" s="288"/>
      <c r="BZ129" s="288"/>
      <c r="CA129" s="288"/>
      <c r="CB129" s="288"/>
      <c r="CC129" s="288"/>
      <c r="CD129" s="288"/>
      <c r="CE129" s="10"/>
      <c r="CF129" s="11"/>
    </row>
    <row r="130" spans="1:84" s="8" customFormat="1">
      <c r="A130" s="9"/>
      <c r="B130" s="32"/>
      <c r="C130" s="42"/>
      <c r="D130" s="42"/>
      <c r="E130" s="42"/>
      <c r="F130" s="42"/>
      <c r="G130" s="42"/>
      <c r="H130" s="42"/>
      <c r="I130" s="10"/>
      <c r="J130" s="47" t="s">
        <v>639</v>
      </c>
      <c r="K130" s="30"/>
      <c r="L130" s="30"/>
      <c r="M130" s="30"/>
      <c r="N130" s="30"/>
      <c r="O130" s="30"/>
      <c r="P130" s="30"/>
      <c r="Q130" s="31"/>
      <c r="R130" s="38">
        <v>1</v>
      </c>
      <c r="S130" s="36" t="s">
        <v>584</v>
      </c>
      <c r="T130" s="37"/>
      <c r="U130" s="37"/>
      <c r="V130" s="37"/>
      <c r="W130" s="37"/>
      <c r="X130" s="37"/>
      <c r="Y130" s="37"/>
      <c r="Z130" s="37"/>
      <c r="AA130" s="37"/>
      <c r="AB130" s="37"/>
      <c r="AC130" s="37"/>
      <c r="AD130" s="37"/>
      <c r="AE130" s="38"/>
      <c r="AF130" s="366"/>
      <c r="AG130" s="367"/>
      <c r="AH130" s="284"/>
      <c r="AI130" s="286"/>
      <c r="AJ130" s="284" t="s">
        <v>492</v>
      </c>
      <c r="AK130" s="286"/>
      <c r="AL130" s="284"/>
      <c r="AM130" s="286"/>
      <c r="AN130" s="284"/>
      <c r="AO130" s="286"/>
      <c r="AP130" s="284"/>
      <c r="AQ130" s="286"/>
      <c r="AR130" s="284"/>
      <c r="AS130" s="286"/>
      <c r="AT130" s="284"/>
      <c r="AU130" s="286"/>
      <c r="AV130" s="284"/>
      <c r="AW130" s="286"/>
      <c r="AX130" s="284"/>
      <c r="AY130" s="286"/>
      <c r="AZ130" s="284"/>
      <c r="BA130" s="286"/>
      <c r="BB130" s="284"/>
      <c r="BC130" s="286"/>
      <c r="BD130" s="284"/>
      <c r="BE130" s="286"/>
      <c r="BF130" s="284" t="s">
        <v>131</v>
      </c>
      <c r="BG130" s="285"/>
      <c r="BH130" s="285"/>
      <c r="BI130" s="285"/>
      <c r="BJ130" s="285"/>
      <c r="BK130" s="285"/>
      <c r="BL130" s="285"/>
      <c r="BM130" s="286"/>
      <c r="BN130" s="284" t="s">
        <v>394</v>
      </c>
      <c r="BO130" s="285"/>
      <c r="BP130" s="285"/>
      <c r="BQ130" s="285"/>
      <c r="BR130" s="285"/>
      <c r="BS130" s="285"/>
      <c r="BT130" s="285"/>
      <c r="BU130" s="286"/>
      <c r="BV130" s="288"/>
      <c r="BW130" s="288"/>
      <c r="BX130" s="288"/>
      <c r="BY130" s="288"/>
      <c r="BZ130" s="288"/>
      <c r="CA130" s="288"/>
      <c r="CB130" s="288"/>
      <c r="CC130" s="288"/>
      <c r="CD130" s="288"/>
      <c r="CE130" s="10"/>
    </row>
    <row r="131" spans="1:84" s="8" customFormat="1">
      <c r="A131" s="9"/>
      <c r="B131" s="32"/>
      <c r="C131" s="42"/>
      <c r="D131" s="42"/>
      <c r="E131" s="42"/>
      <c r="F131" s="42"/>
      <c r="G131" s="42"/>
      <c r="H131" s="42"/>
      <c r="I131" s="10"/>
      <c r="J131" s="32"/>
      <c r="K131" s="42"/>
      <c r="L131" s="42"/>
      <c r="M131" s="42"/>
      <c r="N131" s="42"/>
      <c r="O131" s="42"/>
      <c r="P131" s="42"/>
      <c r="Q131" s="10"/>
      <c r="R131" s="38">
        <v>2</v>
      </c>
      <c r="S131" s="8" t="s">
        <v>640</v>
      </c>
      <c r="T131" s="37"/>
      <c r="U131" s="37"/>
      <c r="V131" s="37"/>
      <c r="W131" s="37"/>
      <c r="X131" s="37"/>
      <c r="Y131" s="37"/>
      <c r="Z131" s="37"/>
      <c r="AA131" s="37"/>
      <c r="AB131" s="37"/>
      <c r="AC131" s="37"/>
      <c r="AD131" s="37"/>
      <c r="AE131" s="38"/>
      <c r="AF131" s="366"/>
      <c r="AG131" s="367"/>
      <c r="AH131" s="284"/>
      <c r="AI131" s="286"/>
      <c r="AJ131" s="284" t="s">
        <v>492</v>
      </c>
      <c r="AK131" s="286"/>
      <c r="AL131" s="284"/>
      <c r="AM131" s="286"/>
      <c r="AN131" s="284"/>
      <c r="AO131" s="286"/>
      <c r="AP131" s="284"/>
      <c r="AQ131" s="286"/>
      <c r="AR131" s="284"/>
      <c r="AS131" s="286"/>
      <c r="AT131" s="284"/>
      <c r="AU131" s="286"/>
      <c r="AV131" s="284"/>
      <c r="AW131" s="286"/>
      <c r="AX131" s="284"/>
      <c r="AY131" s="286"/>
      <c r="AZ131" s="284"/>
      <c r="BA131" s="286"/>
      <c r="BB131" s="284"/>
      <c r="BC131" s="286"/>
      <c r="BD131" s="284"/>
      <c r="BE131" s="286"/>
      <c r="BF131" s="284" t="s">
        <v>143</v>
      </c>
      <c r="BG131" s="285"/>
      <c r="BH131" s="285"/>
      <c r="BI131" s="285"/>
      <c r="BJ131" s="285"/>
      <c r="BK131" s="285"/>
      <c r="BL131" s="285"/>
      <c r="BM131" s="286"/>
      <c r="BN131" s="284" t="s">
        <v>201</v>
      </c>
      <c r="BO131" s="285"/>
      <c r="BP131" s="285"/>
      <c r="BQ131" s="285"/>
      <c r="BR131" s="285"/>
      <c r="BS131" s="285"/>
      <c r="BT131" s="285"/>
      <c r="BU131" s="286"/>
      <c r="BV131" s="288"/>
      <c r="BW131" s="288"/>
      <c r="BX131" s="288"/>
      <c r="BY131" s="288"/>
      <c r="BZ131" s="288"/>
      <c r="CA131" s="288"/>
      <c r="CB131" s="288"/>
      <c r="CC131" s="288"/>
      <c r="CD131" s="288"/>
      <c r="CE131" s="10"/>
    </row>
    <row r="132" spans="1:84" s="8" customFormat="1" ht="27" customHeight="1">
      <c r="A132" s="9"/>
      <c r="B132" s="32"/>
      <c r="C132" s="42"/>
      <c r="D132" s="42"/>
      <c r="E132" s="42"/>
      <c r="F132" s="42"/>
      <c r="G132" s="42"/>
      <c r="H132" s="42"/>
      <c r="I132" s="10"/>
      <c r="J132" s="62" t="s">
        <v>641</v>
      </c>
      <c r="K132" s="30"/>
      <c r="L132" s="30"/>
      <c r="M132" s="30"/>
      <c r="N132" s="30"/>
      <c r="O132" s="30"/>
      <c r="P132" s="30"/>
      <c r="Q132" s="31"/>
      <c r="R132" s="38">
        <v>1</v>
      </c>
      <c r="S132" s="36" t="s">
        <v>642</v>
      </c>
      <c r="T132" s="37"/>
      <c r="U132" s="37"/>
      <c r="V132" s="37"/>
      <c r="W132" s="37"/>
      <c r="X132" s="37"/>
      <c r="Y132" s="37"/>
      <c r="Z132" s="37"/>
      <c r="AA132" s="37"/>
      <c r="AB132" s="37"/>
      <c r="AC132" s="37"/>
      <c r="AD132" s="37"/>
      <c r="AE132" s="38"/>
      <c r="AF132" s="366"/>
      <c r="AG132" s="367"/>
      <c r="AH132" s="284"/>
      <c r="AI132" s="286"/>
      <c r="AJ132" s="284" t="s">
        <v>492</v>
      </c>
      <c r="AK132" s="286"/>
      <c r="AL132" s="284"/>
      <c r="AM132" s="286"/>
      <c r="AN132" s="284"/>
      <c r="AO132" s="286"/>
      <c r="AP132" s="284"/>
      <c r="AQ132" s="286"/>
      <c r="AR132" s="284"/>
      <c r="AS132" s="286"/>
      <c r="AT132" s="284"/>
      <c r="AU132" s="286"/>
      <c r="AV132" s="284"/>
      <c r="AW132" s="286"/>
      <c r="AX132" s="284"/>
      <c r="AY132" s="286"/>
      <c r="AZ132" s="284"/>
      <c r="BA132" s="286"/>
      <c r="BB132" s="284"/>
      <c r="BC132" s="286"/>
      <c r="BD132" s="284"/>
      <c r="BE132" s="286"/>
      <c r="BF132" s="333" t="s">
        <v>493</v>
      </c>
      <c r="BG132" s="358"/>
      <c r="BH132" s="358"/>
      <c r="BI132" s="358"/>
      <c r="BJ132" s="358"/>
      <c r="BK132" s="358"/>
      <c r="BL132" s="358"/>
      <c r="BM132" s="359"/>
      <c r="BN132" s="284" t="s">
        <v>201</v>
      </c>
      <c r="BO132" s="285"/>
      <c r="BP132" s="285"/>
      <c r="BQ132" s="285"/>
      <c r="BR132" s="285"/>
      <c r="BS132" s="285"/>
      <c r="BT132" s="285"/>
      <c r="BU132" s="286"/>
      <c r="BV132" s="288"/>
      <c r="BW132" s="288"/>
      <c r="BX132" s="288"/>
      <c r="BY132" s="288"/>
      <c r="BZ132" s="288"/>
      <c r="CA132" s="288"/>
      <c r="CB132" s="288"/>
      <c r="CC132" s="288"/>
      <c r="CD132" s="288"/>
      <c r="CE132" s="10"/>
      <c r="CF132" s="11"/>
    </row>
    <row r="133" spans="1:84" s="8" customFormat="1">
      <c r="A133" s="9"/>
      <c r="B133" s="32"/>
      <c r="C133" s="42"/>
      <c r="D133" s="42"/>
      <c r="E133" s="42"/>
      <c r="F133" s="42"/>
      <c r="G133" s="42"/>
      <c r="H133" s="42"/>
      <c r="I133" s="10"/>
      <c r="J133" s="32"/>
      <c r="K133" s="42"/>
      <c r="L133" s="42"/>
      <c r="M133" s="42"/>
      <c r="N133" s="42"/>
      <c r="O133" s="42"/>
      <c r="P133" s="42"/>
      <c r="Q133" s="10"/>
      <c r="R133" s="38">
        <v>2</v>
      </c>
      <c r="S133" s="36" t="s">
        <v>643</v>
      </c>
      <c r="T133" s="37"/>
      <c r="U133" s="37"/>
      <c r="V133" s="37"/>
      <c r="W133" s="37"/>
      <c r="X133" s="37"/>
      <c r="Y133" s="37"/>
      <c r="Z133" s="37"/>
      <c r="AA133" s="37"/>
      <c r="AB133" s="37"/>
      <c r="AC133" s="37"/>
      <c r="AD133" s="37"/>
      <c r="AE133" s="38"/>
      <c r="AF133" s="366"/>
      <c r="AG133" s="367"/>
      <c r="AH133" s="284"/>
      <c r="AI133" s="286"/>
      <c r="AJ133" s="284" t="s">
        <v>492</v>
      </c>
      <c r="AK133" s="286"/>
      <c r="AL133" s="284"/>
      <c r="AM133" s="286"/>
      <c r="AN133" s="284"/>
      <c r="AO133" s="286"/>
      <c r="AP133" s="284"/>
      <c r="AQ133" s="286"/>
      <c r="AR133" s="284"/>
      <c r="AS133" s="286"/>
      <c r="AT133" s="284"/>
      <c r="AU133" s="286"/>
      <c r="AV133" s="284"/>
      <c r="AW133" s="286"/>
      <c r="AX133" s="284"/>
      <c r="AY133" s="286"/>
      <c r="AZ133" s="284"/>
      <c r="BA133" s="286"/>
      <c r="BB133" s="284"/>
      <c r="BC133" s="286"/>
      <c r="BD133" s="284"/>
      <c r="BE133" s="286"/>
      <c r="BF133" s="284" t="s">
        <v>143</v>
      </c>
      <c r="BG133" s="285"/>
      <c r="BH133" s="285"/>
      <c r="BI133" s="285"/>
      <c r="BJ133" s="285"/>
      <c r="BK133" s="285"/>
      <c r="BL133" s="285"/>
      <c r="BM133" s="286"/>
      <c r="BN133" s="284" t="s">
        <v>201</v>
      </c>
      <c r="BO133" s="285"/>
      <c r="BP133" s="285"/>
      <c r="BQ133" s="285"/>
      <c r="BR133" s="285"/>
      <c r="BS133" s="285"/>
      <c r="BT133" s="285"/>
      <c r="BU133" s="286"/>
      <c r="BV133" s="288"/>
      <c r="BW133" s="288"/>
      <c r="BX133" s="288"/>
      <c r="BY133" s="288"/>
      <c r="BZ133" s="288"/>
      <c r="CA133" s="288"/>
      <c r="CB133" s="288"/>
      <c r="CC133" s="288"/>
      <c r="CD133" s="288"/>
      <c r="CE133" s="10"/>
    </row>
    <row r="134" spans="1:84" s="8" customFormat="1">
      <c r="A134" s="9"/>
      <c r="B134" s="32"/>
      <c r="C134" s="42"/>
      <c r="D134" s="42"/>
      <c r="E134" s="42"/>
      <c r="F134" s="42"/>
      <c r="G134" s="42"/>
      <c r="H134" s="42"/>
      <c r="I134" s="10"/>
      <c r="J134" s="33"/>
      <c r="K134" s="42"/>
      <c r="L134" s="42"/>
      <c r="M134" s="42"/>
      <c r="N134" s="42"/>
      <c r="O134" s="42"/>
      <c r="P134" s="42"/>
      <c r="Q134" s="10"/>
      <c r="R134" s="38">
        <v>3</v>
      </c>
      <c r="S134" s="36" t="s">
        <v>644</v>
      </c>
      <c r="T134" s="37"/>
      <c r="U134" s="37"/>
      <c r="V134" s="37"/>
      <c r="W134" s="37"/>
      <c r="X134" s="37"/>
      <c r="Y134" s="37"/>
      <c r="Z134" s="37"/>
      <c r="AA134" s="37"/>
      <c r="AB134" s="37"/>
      <c r="AC134" s="37"/>
      <c r="AD134" s="37"/>
      <c r="AE134" s="38"/>
      <c r="AF134" s="366"/>
      <c r="AG134" s="367"/>
      <c r="AH134" s="284"/>
      <c r="AI134" s="286"/>
      <c r="AJ134" s="284" t="s">
        <v>492</v>
      </c>
      <c r="AK134" s="286"/>
      <c r="AL134" s="284"/>
      <c r="AM134" s="286"/>
      <c r="AN134" s="284"/>
      <c r="AO134" s="286"/>
      <c r="AP134" s="284"/>
      <c r="AQ134" s="286"/>
      <c r="AR134" s="284"/>
      <c r="AS134" s="286"/>
      <c r="AT134" s="284"/>
      <c r="AU134" s="286"/>
      <c r="AV134" s="284"/>
      <c r="AW134" s="286"/>
      <c r="AX134" s="284"/>
      <c r="AY134" s="286"/>
      <c r="AZ134" s="284"/>
      <c r="BA134" s="286"/>
      <c r="BB134" s="284"/>
      <c r="BC134" s="286"/>
      <c r="BD134" s="284"/>
      <c r="BE134" s="286"/>
      <c r="BF134" s="284" t="s">
        <v>143</v>
      </c>
      <c r="BG134" s="285"/>
      <c r="BH134" s="285"/>
      <c r="BI134" s="285"/>
      <c r="BJ134" s="285"/>
      <c r="BK134" s="285"/>
      <c r="BL134" s="285"/>
      <c r="BM134" s="286"/>
      <c r="BN134" s="284" t="s">
        <v>201</v>
      </c>
      <c r="BO134" s="285"/>
      <c r="BP134" s="285"/>
      <c r="BQ134" s="285"/>
      <c r="BR134" s="285"/>
      <c r="BS134" s="285"/>
      <c r="BT134" s="285"/>
      <c r="BU134" s="286"/>
      <c r="BV134" s="288"/>
      <c r="BW134" s="288"/>
      <c r="BX134" s="288"/>
      <c r="BY134" s="288"/>
      <c r="BZ134" s="288"/>
      <c r="CA134" s="288"/>
      <c r="CB134" s="288"/>
      <c r="CC134" s="288"/>
      <c r="CD134" s="288"/>
      <c r="CE134" s="10"/>
      <c r="CF134" s="11"/>
    </row>
    <row r="135" spans="1:84" s="8" customFormat="1">
      <c r="A135" s="9"/>
      <c r="B135" s="32"/>
      <c r="C135" s="42"/>
      <c r="D135" s="42"/>
      <c r="E135" s="42"/>
      <c r="F135" s="42"/>
      <c r="G135" s="42"/>
      <c r="H135" s="42"/>
      <c r="I135" s="10"/>
      <c r="J135" s="32"/>
      <c r="K135" s="42"/>
      <c r="L135" s="42"/>
      <c r="M135" s="42"/>
      <c r="N135" s="42"/>
      <c r="O135" s="42"/>
      <c r="P135" s="42"/>
      <c r="Q135" s="10"/>
      <c r="R135" s="38">
        <v>4</v>
      </c>
      <c r="S135" s="36" t="s">
        <v>645</v>
      </c>
      <c r="T135" s="37"/>
      <c r="U135" s="37"/>
      <c r="V135" s="37"/>
      <c r="W135" s="37"/>
      <c r="X135" s="37"/>
      <c r="Y135" s="37"/>
      <c r="Z135" s="37"/>
      <c r="AA135" s="37"/>
      <c r="AB135" s="37"/>
      <c r="AC135" s="37"/>
      <c r="AD135" s="37"/>
      <c r="AE135" s="38"/>
      <c r="AF135" s="366"/>
      <c r="AG135" s="367"/>
      <c r="AH135" s="284"/>
      <c r="AI135" s="286"/>
      <c r="AJ135" s="284"/>
      <c r="AK135" s="286"/>
      <c r="AL135" s="284"/>
      <c r="AM135" s="286"/>
      <c r="AN135" s="284"/>
      <c r="AO135" s="286"/>
      <c r="AP135" s="284"/>
      <c r="AQ135" s="286"/>
      <c r="AR135" s="284"/>
      <c r="AS135" s="286"/>
      <c r="AT135" s="284" t="s">
        <v>492</v>
      </c>
      <c r="AU135" s="286"/>
      <c r="AV135" s="284"/>
      <c r="AW135" s="286"/>
      <c r="AX135" s="284"/>
      <c r="AY135" s="286"/>
      <c r="AZ135" s="284"/>
      <c r="BA135" s="286"/>
      <c r="BB135" s="284"/>
      <c r="BC135" s="286"/>
      <c r="BD135" s="284"/>
      <c r="BE135" s="286"/>
      <c r="BF135" s="284" t="s">
        <v>143</v>
      </c>
      <c r="BG135" s="285"/>
      <c r="BH135" s="285"/>
      <c r="BI135" s="285"/>
      <c r="BJ135" s="285"/>
      <c r="BK135" s="285"/>
      <c r="BL135" s="285"/>
      <c r="BM135" s="286"/>
      <c r="BN135" s="284" t="s">
        <v>201</v>
      </c>
      <c r="BO135" s="285"/>
      <c r="BP135" s="285"/>
      <c r="BQ135" s="285"/>
      <c r="BR135" s="285"/>
      <c r="BS135" s="285"/>
      <c r="BT135" s="285"/>
      <c r="BU135" s="286"/>
      <c r="BV135" s="288"/>
      <c r="BW135" s="288"/>
      <c r="BX135" s="288"/>
      <c r="BY135" s="288"/>
      <c r="BZ135" s="288"/>
      <c r="CA135" s="288"/>
      <c r="CB135" s="288"/>
      <c r="CC135" s="288"/>
      <c r="CD135" s="288"/>
      <c r="CE135" s="10"/>
    </row>
    <row r="136" spans="1:84" s="8" customFormat="1" ht="27" customHeight="1">
      <c r="A136" s="9"/>
      <c r="B136" s="32"/>
      <c r="C136" s="42"/>
      <c r="D136" s="42"/>
      <c r="E136" s="42"/>
      <c r="F136" s="42"/>
      <c r="G136" s="42"/>
      <c r="H136" s="42"/>
      <c r="I136" s="10"/>
      <c r="J136" s="62" t="s">
        <v>646</v>
      </c>
      <c r="K136" s="30"/>
      <c r="L136" s="30"/>
      <c r="M136" s="30"/>
      <c r="N136" s="30"/>
      <c r="O136" s="30"/>
      <c r="P136" s="30"/>
      <c r="Q136" s="31"/>
      <c r="R136" s="38">
        <v>1</v>
      </c>
      <c r="S136" s="36" t="s">
        <v>647</v>
      </c>
      <c r="T136" s="37"/>
      <c r="U136" s="37"/>
      <c r="V136" s="37"/>
      <c r="W136" s="37"/>
      <c r="X136" s="37"/>
      <c r="Y136" s="37"/>
      <c r="Z136" s="37"/>
      <c r="AA136" s="37"/>
      <c r="AB136" s="37"/>
      <c r="AC136" s="37"/>
      <c r="AD136" s="37"/>
      <c r="AE136" s="38"/>
      <c r="AF136" s="366"/>
      <c r="AG136" s="367"/>
      <c r="AH136" s="284"/>
      <c r="AI136" s="286"/>
      <c r="AJ136" s="284" t="s">
        <v>492</v>
      </c>
      <c r="AK136" s="286"/>
      <c r="AL136" s="284"/>
      <c r="AM136" s="286"/>
      <c r="AN136" s="284"/>
      <c r="AO136" s="286"/>
      <c r="AP136" s="284"/>
      <c r="AQ136" s="286"/>
      <c r="AR136" s="284"/>
      <c r="AS136" s="286"/>
      <c r="AT136" s="284"/>
      <c r="AU136" s="286"/>
      <c r="AV136" s="284"/>
      <c r="AW136" s="286"/>
      <c r="AX136" s="284"/>
      <c r="AY136" s="286"/>
      <c r="AZ136" s="284"/>
      <c r="BA136" s="286"/>
      <c r="BB136" s="284"/>
      <c r="BC136" s="286"/>
      <c r="BD136" s="284"/>
      <c r="BE136" s="286"/>
      <c r="BF136" s="333" t="s">
        <v>493</v>
      </c>
      <c r="BG136" s="358"/>
      <c r="BH136" s="358"/>
      <c r="BI136" s="358"/>
      <c r="BJ136" s="358"/>
      <c r="BK136" s="358"/>
      <c r="BL136" s="358"/>
      <c r="BM136" s="359"/>
      <c r="BN136" s="284" t="s">
        <v>201</v>
      </c>
      <c r="BO136" s="285"/>
      <c r="BP136" s="285"/>
      <c r="BQ136" s="285"/>
      <c r="BR136" s="285"/>
      <c r="BS136" s="285"/>
      <c r="BT136" s="285"/>
      <c r="BU136" s="286"/>
      <c r="BV136" s="288"/>
      <c r="BW136" s="288"/>
      <c r="BX136" s="288"/>
      <c r="BY136" s="288"/>
      <c r="BZ136" s="288"/>
      <c r="CA136" s="288"/>
      <c r="CB136" s="288"/>
      <c r="CC136" s="288"/>
      <c r="CD136" s="288"/>
      <c r="CE136" s="10"/>
      <c r="CF136" s="11"/>
    </row>
    <row r="137" spans="1:84" s="8" customFormat="1">
      <c r="A137" s="9"/>
      <c r="B137" s="32"/>
      <c r="C137" s="42"/>
      <c r="D137" s="42"/>
      <c r="E137" s="42"/>
      <c r="F137" s="42"/>
      <c r="G137" s="42"/>
      <c r="H137" s="42"/>
      <c r="I137" s="10"/>
      <c r="J137" s="32" t="s">
        <v>648</v>
      </c>
      <c r="K137" s="42"/>
      <c r="L137" s="42"/>
      <c r="M137" s="42"/>
      <c r="N137" s="42"/>
      <c r="O137" s="42"/>
      <c r="P137" s="42"/>
      <c r="Q137" s="10"/>
      <c r="R137" s="38">
        <v>2</v>
      </c>
      <c r="S137" s="36" t="s">
        <v>649</v>
      </c>
      <c r="T137" s="37"/>
      <c r="U137" s="37"/>
      <c r="V137" s="37"/>
      <c r="W137" s="37"/>
      <c r="X137" s="37"/>
      <c r="Y137" s="37"/>
      <c r="Z137" s="37"/>
      <c r="AA137" s="37"/>
      <c r="AB137" s="37"/>
      <c r="AC137" s="37"/>
      <c r="AD137" s="37"/>
      <c r="AE137" s="38"/>
      <c r="AF137" s="366"/>
      <c r="AG137" s="367"/>
      <c r="AH137" s="284"/>
      <c r="AI137" s="286"/>
      <c r="AJ137" s="284" t="s">
        <v>492</v>
      </c>
      <c r="AK137" s="286"/>
      <c r="AL137" s="284"/>
      <c r="AM137" s="286"/>
      <c r="AN137" s="284"/>
      <c r="AO137" s="286"/>
      <c r="AP137" s="284"/>
      <c r="AQ137" s="286"/>
      <c r="AR137" s="284"/>
      <c r="AS137" s="286"/>
      <c r="AT137" s="284"/>
      <c r="AU137" s="286"/>
      <c r="AV137" s="284"/>
      <c r="AW137" s="286"/>
      <c r="AX137" s="284"/>
      <c r="AY137" s="286"/>
      <c r="AZ137" s="284"/>
      <c r="BA137" s="286"/>
      <c r="BB137" s="284"/>
      <c r="BC137" s="286"/>
      <c r="BD137" s="284"/>
      <c r="BE137" s="286"/>
      <c r="BF137" s="284" t="s">
        <v>131</v>
      </c>
      <c r="BG137" s="285"/>
      <c r="BH137" s="285"/>
      <c r="BI137" s="285"/>
      <c r="BJ137" s="285"/>
      <c r="BK137" s="285"/>
      <c r="BL137" s="285"/>
      <c r="BM137" s="286"/>
      <c r="BN137" s="284" t="s">
        <v>394</v>
      </c>
      <c r="BO137" s="285"/>
      <c r="BP137" s="285"/>
      <c r="BQ137" s="285"/>
      <c r="BR137" s="285"/>
      <c r="BS137" s="285"/>
      <c r="BT137" s="285"/>
      <c r="BU137" s="286"/>
      <c r="BV137" s="288"/>
      <c r="BW137" s="288"/>
      <c r="BX137" s="288"/>
      <c r="BY137" s="288"/>
      <c r="BZ137" s="288"/>
      <c r="CA137" s="288"/>
      <c r="CB137" s="288"/>
      <c r="CC137" s="288"/>
      <c r="CD137" s="288"/>
      <c r="CE137" s="10"/>
    </row>
    <row r="138" spans="1:84" s="8" customFormat="1">
      <c r="A138" s="9"/>
      <c r="B138" s="32"/>
      <c r="C138" s="42"/>
      <c r="D138" s="42"/>
      <c r="E138" s="42"/>
      <c r="F138" s="42"/>
      <c r="G138" s="42"/>
      <c r="H138" s="42"/>
      <c r="I138" s="10"/>
      <c r="J138" s="32" t="s">
        <v>650</v>
      </c>
      <c r="K138" s="42"/>
      <c r="L138" s="42"/>
      <c r="M138" s="42"/>
      <c r="N138" s="42"/>
      <c r="O138" s="42"/>
      <c r="P138" s="42"/>
      <c r="Q138" s="10"/>
      <c r="R138" s="38">
        <v>3</v>
      </c>
      <c r="S138" s="36" t="s">
        <v>651</v>
      </c>
      <c r="T138" s="37"/>
      <c r="U138" s="37"/>
      <c r="V138" s="37"/>
      <c r="W138" s="37"/>
      <c r="X138" s="37"/>
      <c r="Y138" s="37"/>
      <c r="Z138" s="37"/>
      <c r="AA138" s="37"/>
      <c r="AB138" s="37"/>
      <c r="AC138" s="37"/>
      <c r="AD138" s="37"/>
      <c r="AE138" s="38"/>
      <c r="AF138" s="366"/>
      <c r="AG138" s="367"/>
      <c r="AH138" s="284"/>
      <c r="AI138" s="286"/>
      <c r="AJ138" s="284" t="s">
        <v>492</v>
      </c>
      <c r="AK138" s="286"/>
      <c r="AL138" s="284"/>
      <c r="AM138" s="286"/>
      <c r="AN138" s="284"/>
      <c r="AO138" s="286"/>
      <c r="AP138" s="284"/>
      <c r="AQ138" s="286"/>
      <c r="AR138" s="284"/>
      <c r="AS138" s="286"/>
      <c r="AT138" s="284"/>
      <c r="AU138" s="286"/>
      <c r="AV138" s="284"/>
      <c r="AW138" s="286"/>
      <c r="AX138" s="284"/>
      <c r="AY138" s="286"/>
      <c r="AZ138" s="284"/>
      <c r="BA138" s="286"/>
      <c r="BB138" s="284"/>
      <c r="BC138" s="286"/>
      <c r="BD138" s="284"/>
      <c r="BE138" s="286"/>
      <c r="BF138" s="284" t="s">
        <v>143</v>
      </c>
      <c r="BG138" s="285"/>
      <c r="BH138" s="285"/>
      <c r="BI138" s="285"/>
      <c r="BJ138" s="285"/>
      <c r="BK138" s="285"/>
      <c r="BL138" s="285"/>
      <c r="BM138" s="286"/>
      <c r="BN138" s="284" t="s">
        <v>201</v>
      </c>
      <c r="BO138" s="285"/>
      <c r="BP138" s="285"/>
      <c r="BQ138" s="285"/>
      <c r="BR138" s="285"/>
      <c r="BS138" s="285"/>
      <c r="BT138" s="285"/>
      <c r="BU138" s="286"/>
      <c r="BV138" s="288"/>
      <c r="BW138" s="288"/>
      <c r="BX138" s="288"/>
      <c r="BY138" s="288"/>
      <c r="BZ138" s="288"/>
      <c r="CA138" s="288"/>
      <c r="CB138" s="288"/>
      <c r="CC138" s="288"/>
      <c r="CD138" s="288"/>
      <c r="CE138" s="10"/>
      <c r="CF138" s="11"/>
    </row>
    <row r="139" spans="1:84" s="8" customFormat="1">
      <c r="A139" s="9"/>
      <c r="B139" s="32"/>
      <c r="C139" s="42"/>
      <c r="D139" s="42"/>
      <c r="E139" s="42"/>
      <c r="F139" s="42"/>
      <c r="G139" s="42"/>
      <c r="H139" s="42"/>
      <c r="I139" s="10"/>
      <c r="K139" s="42"/>
      <c r="L139" s="42"/>
      <c r="M139" s="42"/>
      <c r="N139" s="42"/>
      <c r="O139" s="42"/>
      <c r="P139" s="42"/>
      <c r="Q139" s="10"/>
      <c r="R139" s="38">
        <v>4</v>
      </c>
      <c r="S139" s="36" t="s">
        <v>652</v>
      </c>
      <c r="T139" s="37"/>
      <c r="U139" s="37"/>
      <c r="V139" s="37"/>
      <c r="W139" s="37"/>
      <c r="X139" s="37"/>
      <c r="Y139" s="37"/>
      <c r="Z139" s="37"/>
      <c r="AA139" s="37"/>
      <c r="AB139" s="37"/>
      <c r="AC139" s="37"/>
      <c r="AD139" s="37"/>
      <c r="AE139" s="38"/>
      <c r="AF139" s="366"/>
      <c r="AG139" s="367"/>
      <c r="AH139" s="284"/>
      <c r="AI139" s="286"/>
      <c r="AJ139" s="284" t="s">
        <v>492</v>
      </c>
      <c r="AK139" s="286"/>
      <c r="AL139" s="284"/>
      <c r="AM139" s="286"/>
      <c r="AN139" s="284"/>
      <c r="AO139" s="286"/>
      <c r="AP139" s="284"/>
      <c r="AQ139" s="286"/>
      <c r="AR139" s="284"/>
      <c r="AS139" s="286"/>
      <c r="AT139" s="284"/>
      <c r="AU139" s="286"/>
      <c r="AV139" s="284"/>
      <c r="AW139" s="286"/>
      <c r="AX139" s="284"/>
      <c r="AY139" s="286"/>
      <c r="AZ139" s="284"/>
      <c r="BA139" s="286"/>
      <c r="BB139" s="284"/>
      <c r="BC139" s="286"/>
      <c r="BD139" s="284"/>
      <c r="BE139" s="286"/>
      <c r="BF139" s="284" t="s">
        <v>143</v>
      </c>
      <c r="BG139" s="285"/>
      <c r="BH139" s="285"/>
      <c r="BI139" s="285"/>
      <c r="BJ139" s="285"/>
      <c r="BK139" s="285"/>
      <c r="BL139" s="285"/>
      <c r="BM139" s="286"/>
      <c r="BN139" s="284" t="s">
        <v>201</v>
      </c>
      <c r="BO139" s="285"/>
      <c r="BP139" s="285"/>
      <c r="BQ139" s="285"/>
      <c r="BR139" s="285"/>
      <c r="BS139" s="285"/>
      <c r="BT139" s="285"/>
      <c r="BU139" s="286"/>
      <c r="BV139" s="288"/>
      <c r="BW139" s="288"/>
      <c r="BX139" s="288"/>
      <c r="BY139" s="288"/>
      <c r="BZ139" s="288"/>
      <c r="CA139" s="288"/>
      <c r="CB139" s="288"/>
      <c r="CC139" s="288"/>
      <c r="CD139" s="288"/>
      <c r="CE139" s="10"/>
    </row>
    <row r="140" spans="1:84" s="8" customFormat="1">
      <c r="A140" s="9"/>
      <c r="B140" s="32"/>
      <c r="C140" s="42"/>
      <c r="D140" s="42"/>
      <c r="E140" s="42"/>
      <c r="F140" s="42"/>
      <c r="G140" s="42"/>
      <c r="H140" s="42"/>
      <c r="I140" s="10"/>
      <c r="J140" s="32"/>
      <c r="K140" s="42"/>
      <c r="L140" s="42"/>
      <c r="M140" s="42"/>
      <c r="N140" s="42"/>
      <c r="O140" s="42"/>
      <c r="P140" s="42"/>
      <c r="Q140" s="10"/>
      <c r="R140" s="31">
        <v>5</v>
      </c>
      <c r="S140" s="36" t="s">
        <v>653</v>
      </c>
      <c r="T140" s="37"/>
      <c r="U140" s="37"/>
      <c r="V140" s="37"/>
      <c r="W140" s="37"/>
      <c r="X140" s="37"/>
      <c r="Y140" s="37"/>
      <c r="Z140" s="37"/>
      <c r="AA140" s="37"/>
      <c r="AB140" s="37"/>
      <c r="AC140" s="37"/>
      <c r="AD140" s="37"/>
      <c r="AE140" s="38"/>
      <c r="AF140" s="366"/>
      <c r="AG140" s="367"/>
      <c r="AH140" s="284"/>
      <c r="AI140" s="286"/>
      <c r="AJ140" s="284"/>
      <c r="AK140" s="286"/>
      <c r="AL140" s="284"/>
      <c r="AM140" s="286"/>
      <c r="AN140" s="284"/>
      <c r="AO140" s="286"/>
      <c r="AP140" s="284"/>
      <c r="AQ140" s="286"/>
      <c r="AR140" s="284"/>
      <c r="AS140" s="286"/>
      <c r="AT140" s="284" t="s">
        <v>492</v>
      </c>
      <c r="AU140" s="286"/>
      <c r="AV140" s="284"/>
      <c r="AW140" s="286"/>
      <c r="AX140" s="284"/>
      <c r="AY140" s="286"/>
      <c r="AZ140" s="284"/>
      <c r="BA140" s="286"/>
      <c r="BB140" s="284"/>
      <c r="BC140" s="286"/>
      <c r="BD140" s="284"/>
      <c r="BE140" s="286"/>
      <c r="BF140" s="284" t="s">
        <v>143</v>
      </c>
      <c r="BG140" s="285"/>
      <c r="BH140" s="285"/>
      <c r="BI140" s="285"/>
      <c r="BJ140" s="285"/>
      <c r="BK140" s="285"/>
      <c r="BL140" s="285"/>
      <c r="BM140" s="286"/>
      <c r="BN140" s="284" t="s">
        <v>201</v>
      </c>
      <c r="BO140" s="285"/>
      <c r="BP140" s="285"/>
      <c r="BQ140" s="285"/>
      <c r="BR140" s="285"/>
      <c r="BS140" s="285"/>
      <c r="BT140" s="285"/>
      <c r="BU140" s="286"/>
      <c r="BV140" s="288"/>
      <c r="BW140" s="288"/>
      <c r="BX140" s="288"/>
      <c r="BY140" s="288"/>
      <c r="BZ140" s="288"/>
      <c r="CA140" s="288"/>
      <c r="CB140" s="288"/>
      <c r="CC140" s="288"/>
      <c r="CD140" s="288"/>
      <c r="CE140" s="10"/>
      <c r="CF140" s="11"/>
    </row>
    <row r="141" spans="1:84" s="8" customFormat="1">
      <c r="A141" s="9"/>
      <c r="B141" s="29" t="s">
        <v>654</v>
      </c>
      <c r="C141" s="30"/>
      <c r="D141" s="30"/>
      <c r="E141" s="30"/>
      <c r="F141" s="30"/>
      <c r="G141" s="30"/>
      <c r="H141" s="30"/>
      <c r="I141" s="31"/>
      <c r="J141" s="47" t="s">
        <v>655</v>
      </c>
      <c r="K141" s="30"/>
      <c r="L141" s="30"/>
      <c r="M141" s="30"/>
      <c r="N141" s="30"/>
      <c r="O141" s="30"/>
      <c r="P141" s="30"/>
      <c r="Q141" s="31"/>
      <c r="R141" s="38">
        <v>1</v>
      </c>
      <c r="S141" s="36" t="s">
        <v>542</v>
      </c>
      <c r="T141" s="37"/>
      <c r="U141" s="37"/>
      <c r="V141" s="37"/>
      <c r="W141" s="37"/>
      <c r="X141" s="37"/>
      <c r="Y141" s="37"/>
      <c r="Z141" s="37"/>
      <c r="AA141" s="37"/>
      <c r="AB141" s="37"/>
      <c r="AC141" s="37"/>
      <c r="AD141" s="37"/>
      <c r="AE141" s="38"/>
      <c r="AF141" s="366"/>
      <c r="AG141" s="367"/>
      <c r="AH141" s="284"/>
      <c r="AI141" s="286"/>
      <c r="AJ141" s="284"/>
      <c r="AK141" s="286"/>
      <c r="AL141" s="284"/>
      <c r="AM141" s="286"/>
      <c r="AN141" s="284"/>
      <c r="AO141" s="286"/>
      <c r="AP141" s="284"/>
      <c r="AQ141" s="286"/>
      <c r="AR141" s="284"/>
      <c r="AS141" s="286"/>
      <c r="AT141" s="284"/>
      <c r="AU141" s="286"/>
      <c r="AV141" s="284"/>
      <c r="AW141" s="286"/>
      <c r="AX141" s="284" t="s">
        <v>492</v>
      </c>
      <c r="AY141" s="286"/>
      <c r="AZ141" s="284"/>
      <c r="BA141" s="286"/>
      <c r="BB141" s="284"/>
      <c r="BC141" s="286"/>
      <c r="BD141" s="284"/>
      <c r="BE141" s="286"/>
      <c r="BF141" s="284" t="s">
        <v>228</v>
      </c>
      <c r="BG141" s="285"/>
      <c r="BH141" s="285"/>
      <c r="BI141" s="285"/>
      <c r="BJ141" s="285"/>
      <c r="BK141" s="285"/>
      <c r="BL141" s="285"/>
      <c r="BM141" s="286"/>
      <c r="BN141" s="284" t="s">
        <v>201</v>
      </c>
      <c r="BO141" s="285"/>
      <c r="BP141" s="285"/>
      <c r="BQ141" s="285"/>
      <c r="BR141" s="285"/>
      <c r="BS141" s="285"/>
      <c r="BT141" s="285"/>
      <c r="BU141" s="286"/>
      <c r="BV141" s="288"/>
      <c r="BW141" s="288"/>
      <c r="BX141" s="288"/>
      <c r="BY141" s="288"/>
      <c r="BZ141" s="288"/>
      <c r="CA141" s="288"/>
      <c r="CB141" s="288"/>
      <c r="CC141" s="288"/>
      <c r="CD141" s="288"/>
      <c r="CE141" s="10"/>
    </row>
    <row r="142" spans="1:84" s="8" customFormat="1">
      <c r="A142" s="9"/>
      <c r="B142" s="32"/>
      <c r="C142" s="42"/>
      <c r="D142" s="42"/>
      <c r="E142" s="42"/>
      <c r="F142" s="42"/>
      <c r="G142" s="42"/>
      <c r="H142" s="42"/>
      <c r="I142" s="10"/>
      <c r="K142" s="42"/>
      <c r="L142" s="42"/>
      <c r="M142" s="42"/>
      <c r="N142" s="42"/>
      <c r="O142" s="42"/>
      <c r="P142" s="42"/>
      <c r="Q142" s="10"/>
      <c r="R142" s="38">
        <v>2</v>
      </c>
      <c r="S142" s="36" t="s">
        <v>656</v>
      </c>
      <c r="T142" s="37"/>
      <c r="U142" s="37"/>
      <c r="V142" s="37"/>
      <c r="W142" s="37"/>
      <c r="X142" s="37"/>
      <c r="Y142" s="37"/>
      <c r="Z142" s="37"/>
      <c r="AA142" s="37"/>
      <c r="AB142" s="37"/>
      <c r="AC142" s="37"/>
      <c r="AD142" s="37"/>
      <c r="AE142" s="38"/>
      <c r="AF142" s="366"/>
      <c r="AG142" s="367"/>
      <c r="AH142" s="284"/>
      <c r="AI142" s="286"/>
      <c r="AJ142" s="284"/>
      <c r="AK142" s="286"/>
      <c r="AL142" s="284"/>
      <c r="AM142" s="286"/>
      <c r="AN142" s="284"/>
      <c r="AO142" s="286"/>
      <c r="AP142" s="284"/>
      <c r="AQ142" s="286"/>
      <c r="AR142" s="284"/>
      <c r="AS142" s="286"/>
      <c r="AT142" s="284"/>
      <c r="AU142" s="286"/>
      <c r="AV142" s="284"/>
      <c r="AW142" s="286"/>
      <c r="AX142" s="284" t="s">
        <v>492</v>
      </c>
      <c r="AY142" s="286"/>
      <c r="AZ142" s="284"/>
      <c r="BA142" s="286"/>
      <c r="BB142" s="284"/>
      <c r="BC142" s="286"/>
      <c r="BD142" s="284"/>
      <c r="BE142" s="286"/>
      <c r="BF142" s="284" t="s">
        <v>143</v>
      </c>
      <c r="BG142" s="285"/>
      <c r="BH142" s="285"/>
      <c r="BI142" s="285"/>
      <c r="BJ142" s="285"/>
      <c r="BK142" s="285"/>
      <c r="BL142" s="285"/>
      <c r="BM142" s="286"/>
      <c r="BN142" s="284" t="s">
        <v>201</v>
      </c>
      <c r="BO142" s="285"/>
      <c r="BP142" s="285"/>
      <c r="BQ142" s="285"/>
      <c r="BR142" s="285"/>
      <c r="BS142" s="285"/>
      <c r="BT142" s="285"/>
      <c r="BU142" s="286"/>
      <c r="BV142" s="288"/>
      <c r="BW142" s="288"/>
      <c r="BX142" s="288"/>
      <c r="BY142" s="288"/>
      <c r="BZ142" s="288"/>
      <c r="CA142" s="288"/>
      <c r="CB142" s="288"/>
      <c r="CC142" s="288"/>
      <c r="CD142" s="288"/>
      <c r="CE142" s="10"/>
    </row>
    <row r="143" spans="1:84" s="8" customFormat="1">
      <c r="A143" s="9"/>
      <c r="B143" s="32"/>
      <c r="C143" s="42"/>
      <c r="D143" s="42"/>
      <c r="E143" s="42"/>
      <c r="F143" s="42"/>
      <c r="G143" s="42"/>
      <c r="H143" s="42"/>
      <c r="I143" s="10"/>
      <c r="J143" s="32"/>
      <c r="K143" s="42"/>
      <c r="L143" s="42"/>
      <c r="M143" s="42"/>
      <c r="N143" s="42"/>
      <c r="O143" s="42"/>
      <c r="P143" s="42"/>
      <c r="Q143" s="10"/>
      <c r="R143" s="38">
        <v>3</v>
      </c>
      <c r="S143" s="36" t="s">
        <v>657</v>
      </c>
      <c r="T143" s="37"/>
      <c r="U143" s="37"/>
      <c r="V143" s="37"/>
      <c r="W143" s="37"/>
      <c r="X143" s="37"/>
      <c r="Y143" s="37"/>
      <c r="Z143" s="37"/>
      <c r="AA143" s="37"/>
      <c r="AB143" s="37"/>
      <c r="AC143" s="37"/>
      <c r="AD143" s="37"/>
      <c r="AE143" s="38"/>
      <c r="AF143" s="366"/>
      <c r="AG143" s="367"/>
      <c r="AH143" s="284"/>
      <c r="AI143" s="286"/>
      <c r="AJ143" s="284"/>
      <c r="AK143" s="286"/>
      <c r="AL143" s="284"/>
      <c r="AM143" s="286"/>
      <c r="AN143" s="284"/>
      <c r="AO143" s="286"/>
      <c r="AP143" s="284"/>
      <c r="AQ143" s="286"/>
      <c r="AR143" s="284"/>
      <c r="AS143" s="286"/>
      <c r="AT143" s="284"/>
      <c r="AU143" s="286"/>
      <c r="AV143" s="284"/>
      <c r="AW143" s="286"/>
      <c r="AX143" s="284" t="s">
        <v>492</v>
      </c>
      <c r="AY143" s="286"/>
      <c r="AZ143" s="284"/>
      <c r="BA143" s="286"/>
      <c r="BB143" s="284"/>
      <c r="BC143" s="286"/>
      <c r="BD143" s="284"/>
      <c r="BE143" s="286"/>
      <c r="BF143" s="284" t="s">
        <v>143</v>
      </c>
      <c r="BG143" s="285"/>
      <c r="BH143" s="285"/>
      <c r="BI143" s="285"/>
      <c r="BJ143" s="285"/>
      <c r="BK143" s="285"/>
      <c r="BL143" s="285"/>
      <c r="BM143" s="286"/>
      <c r="BN143" s="284" t="s">
        <v>201</v>
      </c>
      <c r="BO143" s="285"/>
      <c r="BP143" s="285"/>
      <c r="BQ143" s="285"/>
      <c r="BR143" s="285"/>
      <c r="BS143" s="285"/>
      <c r="BT143" s="285"/>
      <c r="BU143" s="286"/>
      <c r="BV143" s="288"/>
      <c r="BW143" s="288"/>
      <c r="BX143" s="288"/>
      <c r="BY143" s="288"/>
      <c r="BZ143" s="288"/>
      <c r="CA143" s="288"/>
      <c r="CB143" s="288"/>
      <c r="CC143" s="288"/>
      <c r="CD143" s="288"/>
      <c r="CE143" s="10"/>
      <c r="CF143" s="11"/>
    </row>
    <row r="144" spans="1:84" s="8" customFormat="1">
      <c r="A144" s="9"/>
      <c r="B144" s="32"/>
      <c r="C144" s="42"/>
      <c r="D144" s="42"/>
      <c r="E144" s="42"/>
      <c r="F144" s="42"/>
      <c r="G144" s="42"/>
      <c r="H144" s="42"/>
      <c r="I144" s="10"/>
      <c r="J144" s="33"/>
      <c r="K144" s="42"/>
      <c r="L144" s="42"/>
      <c r="M144" s="42"/>
      <c r="N144" s="42"/>
      <c r="O144" s="42"/>
      <c r="P144" s="42"/>
      <c r="Q144" s="10"/>
      <c r="R144" s="38">
        <v>4</v>
      </c>
      <c r="S144" s="36" t="s">
        <v>658</v>
      </c>
      <c r="T144" s="37"/>
      <c r="U144" s="37"/>
      <c r="V144" s="37"/>
      <c r="W144" s="37"/>
      <c r="X144" s="37"/>
      <c r="Y144" s="37"/>
      <c r="Z144" s="37"/>
      <c r="AA144" s="37"/>
      <c r="AB144" s="37"/>
      <c r="AC144" s="37"/>
      <c r="AD144" s="37"/>
      <c r="AE144" s="38"/>
      <c r="AF144" s="366"/>
      <c r="AG144" s="367"/>
      <c r="AH144" s="284"/>
      <c r="AI144" s="286"/>
      <c r="AJ144" s="284"/>
      <c r="AK144" s="286"/>
      <c r="AL144" s="284"/>
      <c r="AM144" s="286"/>
      <c r="AN144" s="284"/>
      <c r="AO144" s="286"/>
      <c r="AP144" s="284"/>
      <c r="AQ144" s="286"/>
      <c r="AR144" s="284"/>
      <c r="AS144" s="286"/>
      <c r="AT144" s="284"/>
      <c r="AU144" s="286"/>
      <c r="AV144" s="284"/>
      <c r="AW144" s="286"/>
      <c r="AX144" s="284" t="s">
        <v>492</v>
      </c>
      <c r="AY144" s="286"/>
      <c r="AZ144" s="284"/>
      <c r="BA144" s="286"/>
      <c r="BB144" s="284"/>
      <c r="BC144" s="286"/>
      <c r="BD144" s="284"/>
      <c r="BE144" s="286"/>
      <c r="BF144" s="284" t="s">
        <v>143</v>
      </c>
      <c r="BG144" s="285"/>
      <c r="BH144" s="285"/>
      <c r="BI144" s="285"/>
      <c r="BJ144" s="285"/>
      <c r="BK144" s="285"/>
      <c r="BL144" s="285"/>
      <c r="BM144" s="286"/>
      <c r="BN144" s="284" t="s">
        <v>201</v>
      </c>
      <c r="BO144" s="285"/>
      <c r="BP144" s="285"/>
      <c r="BQ144" s="285"/>
      <c r="BR144" s="285"/>
      <c r="BS144" s="285"/>
      <c r="BT144" s="285"/>
      <c r="BU144" s="286"/>
      <c r="BV144" s="288" t="s">
        <v>518</v>
      </c>
      <c r="BW144" s="288"/>
      <c r="BX144" s="288"/>
      <c r="BY144" s="288"/>
      <c r="BZ144" s="288"/>
      <c r="CA144" s="288"/>
      <c r="CB144" s="288"/>
      <c r="CC144" s="288"/>
      <c r="CD144" s="288"/>
      <c r="CE144" s="10"/>
    </row>
    <row r="145" spans="1:84" s="8" customFormat="1">
      <c r="A145" s="9"/>
      <c r="B145" s="32"/>
      <c r="C145" s="42"/>
      <c r="D145" s="42"/>
      <c r="E145" s="42"/>
      <c r="F145" s="42"/>
      <c r="G145" s="42"/>
      <c r="H145" s="42"/>
      <c r="I145" s="10"/>
      <c r="K145" s="42"/>
      <c r="L145" s="42"/>
      <c r="M145" s="42"/>
      <c r="N145" s="42"/>
      <c r="O145" s="42"/>
      <c r="P145" s="42"/>
      <c r="Q145" s="10"/>
      <c r="R145" s="38">
        <v>5</v>
      </c>
      <c r="S145" s="36" t="s">
        <v>659</v>
      </c>
      <c r="T145" s="37"/>
      <c r="U145" s="37"/>
      <c r="V145" s="37"/>
      <c r="W145" s="37"/>
      <c r="X145" s="37"/>
      <c r="Y145" s="37"/>
      <c r="Z145" s="37"/>
      <c r="AA145" s="37"/>
      <c r="AB145" s="37"/>
      <c r="AC145" s="37"/>
      <c r="AD145" s="37"/>
      <c r="AE145" s="38"/>
      <c r="AF145" s="366"/>
      <c r="AG145" s="367"/>
      <c r="AH145" s="284"/>
      <c r="AI145" s="286"/>
      <c r="AJ145" s="284"/>
      <c r="AK145" s="286"/>
      <c r="AL145" s="284"/>
      <c r="AM145" s="286"/>
      <c r="AN145" s="284"/>
      <c r="AO145" s="286"/>
      <c r="AP145" s="284"/>
      <c r="AQ145" s="286"/>
      <c r="AR145" s="284"/>
      <c r="AS145" s="286"/>
      <c r="AT145" s="284"/>
      <c r="AU145" s="286"/>
      <c r="AV145" s="284"/>
      <c r="AW145" s="286"/>
      <c r="AX145" s="284" t="s">
        <v>492</v>
      </c>
      <c r="AY145" s="286"/>
      <c r="AZ145" s="284"/>
      <c r="BA145" s="286"/>
      <c r="BB145" s="284"/>
      <c r="BC145" s="286"/>
      <c r="BD145" s="284"/>
      <c r="BE145" s="286"/>
      <c r="BF145" s="284" t="s">
        <v>201</v>
      </c>
      <c r="BG145" s="285"/>
      <c r="BH145" s="285"/>
      <c r="BI145" s="285"/>
      <c r="BJ145" s="285"/>
      <c r="BK145" s="285"/>
      <c r="BL145" s="285"/>
      <c r="BM145" s="286"/>
      <c r="BN145" s="284" t="s">
        <v>201</v>
      </c>
      <c r="BO145" s="285"/>
      <c r="BP145" s="285"/>
      <c r="BQ145" s="285"/>
      <c r="BR145" s="285"/>
      <c r="BS145" s="285"/>
      <c r="BT145" s="285"/>
      <c r="BU145" s="286"/>
      <c r="BV145" s="288"/>
      <c r="BW145" s="288"/>
      <c r="BX145" s="288"/>
      <c r="BY145" s="288"/>
      <c r="BZ145" s="288"/>
      <c r="CA145" s="288"/>
      <c r="CB145" s="288"/>
      <c r="CC145" s="288"/>
      <c r="CD145" s="288"/>
      <c r="CE145" s="10"/>
    </row>
    <row r="146" spans="1:84" s="8" customFormat="1">
      <c r="A146" s="9"/>
      <c r="B146" s="32"/>
      <c r="C146" s="42"/>
      <c r="D146" s="42"/>
      <c r="E146" s="42"/>
      <c r="F146" s="42"/>
      <c r="G146" s="42"/>
      <c r="H146" s="42"/>
      <c r="I146" s="10"/>
      <c r="J146" s="32"/>
      <c r="K146" s="42"/>
      <c r="L146" s="42"/>
      <c r="M146" s="42"/>
      <c r="N146" s="42"/>
      <c r="O146" s="42"/>
      <c r="P146" s="42"/>
      <c r="Q146" s="10"/>
      <c r="R146" s="38">
        <v>6</v>
      </c>
      <c r="S146" s="36" t="s">
        <v>660</v>
      </c>
      <c r="T146" s="37"/>
      <c r="U146" s="37"/>
      <c r="V146" s="37"/>
      <c r="W146" s="37"/>
      <c r="X146" s="37"/>
      <c r="Y146" s="37"/>
      <c r="Z146" s="37"/>
      <c r="AA146" s="37"/>
      <c r="AB146" s="37"/>
      <c r="AC146" s="37"/>
      <c r="AD146" s="37"/>
      <c r="AE146" s="38"/>
      <c r="AF146" s="366"/>
      <c r="AG146" s="367"/>
      <c r="AH146" s="284"/>
      <c r="AI146" s="286"/>
      <c r="AJ146" s="284"/>
      <c r="AK146" s="286"/>
      <c r="AL146" s="284"/>
      <c r="AM146" s="286"/>
      <c r="AN146" s="284"/>
      <c r="AO146" s="286"/>
      <c r="AP146" s="284"/>
      <c r="AQ146" s="286"/>
      <c r="AR146" s="284"/>
      <c r="AS146" s="286"/>
      <c r="AT146" s="284"/>
      <c r="AU146" s="286"/>
      <c r="AV146" s="284"/>
      <c r="AW146" s="286"/>
      <c r="AX146" s="284" t="s">
        <v>492</v>
      </c>
      <c r="AY146" s="286"/>
      <c r="AZ146" s="284"/>
      <c r="BA146" s="286"/>
      <c r="BB146" s="284"/>
      <c r="BC146" s="286"/>
      <c r="BD146" s="284"/>
      <c r="BE146" s="286"/>
      <c r="BF146" s="284" t="s">
        <v>201</v>
      </c>
      <c r="BG146" s="285"/>
      <c r="BH146" s="285"/>
      <c r="BI146" s="285"/>
      <c r="BJ146" s="285"/>
      <c r="BK146" s="285"/>
      <c r="BL146" s="285"/>
      <c r="BM146" s="286"/>
      <c r="BN146" s="284" t="s">
        <v>201</v>
      </c>
      <c r="BO146" s="285"/>
      <c r="BP146" s="285"/>
      <c r="BQ146" s="285"/>
      <c r="BR146" s="285"/>
      <c r="BS146" s="285"/>
      <c r="BT146" s="285"/>
      <c r="BU146" s="286"/>
      <c r="BV146" s="288" t="s">
        <v>518</v>
      </c>
      <c r="BW146" s="288"/>
      <c r="BX146" s="288"/>
      <c r="BY146" s="288"/>
      <c r="BZ146" s="288"/>
      <c r="CA146" s="288"/>
      <c r="CB146" s="288"/>
      <c r="CC146" s="288"/>
      <c r="CD146" s="288"/>
      <c r="CE146" s="10"/>
      <c r="CF146" s="11"/>
    </row>
    <row r="147" spans="1:84" s="8" customFormat="1">
      <c r="A147" s="9"/>
      <c r="B147" s="32"/>
      <c r="C147" s="42"/>
      <c r="D147" s="42"/>
      <c r="E147" s="42"/>
      <c r="F147" s="42"/>
      <c r="G147" s="42"/>
      <c r="H147" s="42"/>
      <c r="I147" s="10"/>
      <c r="J147" s="33"/>
      <c r="K147" s="42"/>
      <c r="L147" s="42"/>
      <c r="M147" s="42"/>
      <c r="N147" s="42"/>
      <c r="O147" s="42"/>
      <c r="P147" s="42"/>
      <c r="Q147" s="10"/>
      <c r="R147" s="38">
        <v>7</v>
      </c>
      <c r="S147" s="36" t="s">
        <v>661</v>
      </c>
      <c r="T147" s="37"/>
      <c r="U147" s="37"/>
      <c r="V147" s="37"/>
      <c r="W147" s="37"/>
      <c r="X147" s="37"/>
      <c r="Y147" s="37"/>
      <c r="Z147" s="37"/>
      <c r="AA147" s="37"/>
      <c r="AB147" s="37"/>
      <c r="AC147" s="37"/>
      <c r="AD147" s="37"/>
      <c r="AE147" s="38"/>
      <c r="AF147" s="366"/>
      <c r="AG147" s="367"/>
      <c r="AH147" s="284"/>
      <c r="AI147" s="286"/>
      <c r="AJ147" s="284"/>
      <c r="AK147" s="286"/>
      <c r="AL147" s="284"/>
      <c r="AM147" s="286"/>
      <c r="AN147" s="284"/>
      <c r="AO147" s="286"/>
      <c r="AP147" s="284"/>
      <c r="AQ147" s="286"/>
      <c r="AR147" s="284"/>
      <c r="AS147" s="286"/>
      <c r="AT147" s="284"/>
      <c r="AU147" s="286"/>
      <c r="AV147" s="284"/>
      <c r="AW147" s="286"/>
      <c r="AX147" s="284" t="s">
        <v>492</v>
      </c>
      <c r="AY147" s="286"/>
      <c r="AZ147" s="284"/>
      <c r="BA147" s="286"/>
      <c r="BB147" s="284"/>
      <c r="BC147" s="286"/>
      <c r="BD147" s="284"/>
      <c r="BE147" s="286"/>
      <c r="BF147" s="284" t="s">
        <v>662</v>
      </c>
      <c r="BG147" s="285"/>
      <c r="BH147" s="285"/>
      <c r="BI147" s="285"/>
      <c r="BJ147" s="285"/>
      <c r="BK147" s="285"/>
      <c r="BL147" s="285"/>
      <c r="BM147" s="286"/>
      <c r="BN147" s="284" t="s">
        <v>201</v>
      </c>
      <c r="BO147" s="285"/>
      <c r="BP147" s="285"/>
      <c r="BQ147" s="285"/>
      <c r="BR147" s="285"/>
      <c r="BS147" s="285"/>
      <c r="BT147" s="285"/>
      <c r="BU147" s="286"/>
      <c r="BV147" s="288"/>
      <c r="BW147" s="288"/>
      <c r="BX147" s="288"/>
      <c r="BY147" s="288"/>
      <c r="BZ147" s="288"/>
      <c r="CA147" s="288"/>
      <c r="CB147" s="288"/>
      <c r="CC147" s="288"/>
      <c r="CD147" s="288"/>
      <c r="CE147" s="10"/>
    </row>
    <row r="148" spans="1:84" s="8" customFormat="1">
      <c r="A148" s="9"/>
      <c r="B148" s="32"/>
      <c r="C148" s="42"/>
      <c r="D148" s="42"/>
      <c r="E148" s="42"/>
      <c r="F148" s="42"/>
      <c r="G148" s="42"/>
      <c r="H148" s="42"/>
      <c r="I148" s="10"/>
      <c r="K148" s="42"/>
      <c r="L148" s="42"/>
      <c r="M148" s="42"/>
      <c r="N148" s="42"/>
      <c r="O148" s="42"/>
      <c r="P148" s="42"/>
      <c r="Q148" s="10"/>
      <c r="R148" s="38">
        <v>8</v>
      </c>
      <c r="S148" s="36" t="s">
        <v>663</v>
      </c>
      <c r="T148" s="37"/>
      <c r="U148" s="37"/>
      <c r="V148" s="37"/>
      <c r="W148" s="37"/>
      <c r="X148" s="37"/>
      <c r="Y148" s="37"/>
      <c r="Z148" s="37"/>
      <c r="AA148" s="37"/>
      <c r="AB148" s="37"/>
      <c r="AC148" s="37"/>
      <c r="AD148" s="37"/>
      <c r="AE148" s="38"/>
      <c r="AF148" s="366"/>
      <c r="AG148" s="367"/>
      <c r="AH148" s="284"/>
      <c r="AI148" s="286"/>
      <c r="AJ148" s="284"/>
      <c r="AK148" s="286"/>
      <c r="AL148" s="284"/>
      <c r="AM148" s="286"/>
      <c r="AN148" s="284"/>
      <c r="AO148" s="286"/>
      <c r="AP148" s="284"/>
      <c r="AQ148" s="286"/>
      <c r="AR148" s="284"/>
      <c r="AS148" s="286"/>
      <c r="AT148" s="284"/>
      <c r="AU148" s="286"/>
      <c r="AV148" s="284"/>
      <c r="AW148" s="286"/>
      <c r="AX148" s="284" t="s">
        <v>492</v>
      </c>
      <c r="AY148" s="286"/>
      <c r="AZ148" s="284"/>
      <c r="BA148" s="286"/>
      <c r="BB148" s="284"/>
      <c r="BC148" s="286"/>
      <c r="BD148" s="284"/>
      <c r="BE148" s="286"/>
      <c r="BF148" s="284" t="s">
        <v>201</v>
      </c>
      <c r="BG148" s="285"/>
      <c r="BH148" s="285"/>
      <c r="BI148" s="285"/>
      <c r="BJ148" s="285"/>
      <c r="BK148" s="285"/>
      <c r="BL148" s="285"/>
      <c r="BM148" s="286"/>
      <c r="BN148" s="284" t="s">
        <v>201</v>
      </c>
      <c r="BO148" s="285"/>
      <c r="BP148" s="285"/>
      <c r="BQ148" s="285"/>
      <c r="BR148" s="285"/>
      <c r="BS148" s="285"/>
      <c r="BT148" s="285"/>
      <c r="BU148" s="286"/>
      <c r="BV148" s="288"/>
      <c r="BW148" s="288"/>
      <c r="BX148" s="288"/>
      <c r="BY148" s="288"/>
      <c r="BZ148" s="288"/>
      <c r="CA148" s="288"/>
      <c r="CB148" s="288"/>
      <c r="CC148" s="288"/>
      <c r="CD148" s="288"/>
      <c r="CE148" s="10"/>
    </row>
    <row r="149" spans="1:84" s="8" customFormat="1">
      <c r="A149" s="9"/>
      <c r="B149" s="32"/>
      <c r="C149" s="42"/>
      <c r="D149" s="42"/>
      <c r="E149" s="42"/>
      <c r="F149" s="42"/>
      <c r="G149" s="42"/>
      <c r="H149" s="42"/>
      <c r="I149" s="10"/>
      <c r="J149" s="32"/>
      <c r="K149" s="42"/>
      <c r="L149" s="42"/>
      <c r="M149" s="42"/>
      <c r="N149" s="42"/>
      <c r="O149" s="42"/>
      <c r="P149" s="42"/>
      <c r="Q149" s="10"/>
      <c r="R149" s="38">
        <v>9</v>
      </c>
      <c r="S149" s="36" t="s">
        <v>664</v>
      </c>
      <c r="T149" s="37"/>
      <c r="U149" s="37"/>
      <c r="V149" s="37"/>
      <c r="W149" s="37"/>
      <c r="X149" s="37"/>
      <c r="Y149" s="37"/>
      <c r="Z149" s="37"/>
      <c r="AA149" s="37"/>
      <c r="AB149" s="37"/>
      <c r="AC149" s="37"/>
      <c r="AD149" s="37"/>
      <c r="AE149" s="38"/>
      <c r="AF149" s="366"/>
      <c r="AG149" s="367"/>
      <c r="AH149" s="284"/>
      <c r="AI149" s="286"/>
      <c r="AJ149" s="284"/>
      <c r="AK149" s="286"/>
      <c r="AL149" s="284"/>
      <c r="AM149" s="286"/>
      <c r="AN149" s="284"/>
      <c r="AO149" s="286"/>
      <c r="AP149" s="284"/>
      <c r="AQ149" s="286"/>
      <c r="AR149" s="284"/>
      <c r="AS149" s="286"/>
      <c r="AT149" s="284"/>
      <c r="AU149" s="286"/>
      <c r="AV149" s="284"/>
      <c r="AW149" s="286"/>
      <c r="AX149" s="284" t="s">
        <v>492</v>
      </c>
      <c r="AY149" s="286"/>
      <c r="AZ149" s="284"/>
      <c r="BA149" s="286"/>
      <c r="BB149" s="284"/>
      <c r="BC149" s="286"/>
      <c r="BD149" s="284"/>
      <c r="BE149" s="286"/>
      <c r="BF149" s="284" t="s">
        <v>201</v>
      </c>
      <c r="BG149" s="285"/>
      <c r="BH149" s="285"/>
      <c r="BI149" s="285"/>
      <c r="BJ149" s="285"/>
      <c r="BK149" s="285"/>
      <c r="BL149" s="285"/>
      <c r="BM149" s="286"/>
      <c r="BN149" s="284" t="s">
        <v>201</v>
      </c>
      <c r="BO149" s="285"/>
      <c r="BP149" s="285"/>
      <c r="BQ149" s="285"/>
      <c r="BR149" s="285"/>
      <c r="BS149" s="285"/>
      <c r="BT149" s="285"/>
      <c r="BU149" s="286"/>
      <c r="BV149" s="288"/>
      <c r="BW149" s="288"/>
      <c r="BX149" s="288"/>
      <c r="BY149" s="288"/>
      <c r="BZ149" s="288"/>
      <c r="CA149" s="288"/>
      <c r="CB149" s="288"/>
      <c r="CC149" s="288"/>
      <c r="CD149" s="288"/>
      <c r="CE149" s="10"/>
      <c r="CF149" s="11"/>
    </row>
    <row r="150" spans="1:84" s="8" customFormat="1">
      <c r="A150" s="9"/>
      <c r="B150" s="32"/>
      <c r="C150" s="42"/>
      <c r="D150" s="42"/>
      <c r="E150" s="42"/>
      <c r="F150" s="42"/>
      <c r="G150" s="42"/>
      <c r="H150" s="42"/>
      <c r="I150" s="10"/>
      <c r="J150" s="32"/>
      <c r="K150" s="42"/>
      <c r="L150" s="42"/>
      <c r="M150" s="42"/>
      <c r="N150" s="42"/>
      <c r="O150" s="42"/>
      <c r="P150" s="42"/>
      <c r="Q150" s="10"/>
      <c r="R150" s="38">
        <v>10</v>
      </c>
      <c r="S150" s="36" t="s">
        <v>665</v>
      </c>
      <c r="T150" s="37"/>
      <c r="U150" s="37"/>
      <c r="V150" s="37"/>
      <c r="W150" s="37"/>
      <c r="X150" s="37"/>
      <c r="Y150" s="37"/>
      <c r="Z150" s="37"/>
      <c r="AA150" s="37"/>
      <c r="AB150" s="37"/>
      <c r="AC150" s="37"/>
      <c r="AD150" s="37"/>
      <c r="AE150" s="38"/>
      <c r="AF150" s="366"/>
      <c r="AG150" s="367"/>
      <c r="AH150" s="284"/>
      <c r="AI150" s="286"/>
      <c r="AJ150" s="284"/>
      <c r="AK150" s="286"/>
      <c r="AL150" s="284" t="s">
        <v>492</v>
      </c>
      <c r="AM150" s="286"/>
      <c r="AN150" s="284"/>
      <c r="AO150" s="286"/>
      <c r="AP150" s="284"/>
      <c r="AQ150" s="286"/>
      <c r="AR150" s="284"/>
      <c r="AS150" s="286"/>
      <c r="AT150" s="284"/>
      <c r="AU150" s="286"/>
      <c r="AV150" s="284"/>
      <c r="AW150" s="286"/>
      <c r="AX150" s="284"/>
      <c r="AY150" s="286"/>
      <c r="AZ150" s="284"/>
      <c r="BA150" s="286"/>
      <c r="BB150" s="284"/>
      <c r="BC150" s="286"/>
      <c r="BD150" s="284"/>
      <c r="BE150" s="286"/>
      <c r="BF150" s="284" t="s">
        <v>131</v>
      </c>
      <c r="BG150" s="285"/>
      <c r="BH150" s="285"/>
      <c r="BI150" s="285"/>
      <c r="BJ150" s="285"/>
      <c r="BK150" s="285"/>
      <c r="BL150" s="285"/>
      <c r="BM150" s="286"/>
      <c r="BN150" s="287" t="s">
        <v>517</v>
      </c>
      <c r="BO150" s="287"/>
      <c r="BP150" s="287"/>
      <c r="BQ150" s="287"/>
      <c r="BR150" s="287"/>
      <c r="BS150" s="287"/>
      <c r="BT150" s="287"/>
      <c r="BU150" s="287"/>
      <c r="BV150" s="288"/>
      <c r="BW150" s="288"/>
      <c r="BX150" s="288"/>
      <c r="BY150" s="288"/>
      <c r="BZ150" s="288"/>
      <c r="CA150" s="288"/>
      <c r="CB150" s="288"/>
      <c r="CC150" s="288"/>
      <c r="CD150" s="288"/>
      <c r="CE150" s="10"/>
      <c r="CF150" s="11"/>
    </row>
    <row r="151" spans="1:84" s="8" customFormat="1">
      <c r="A151" s="9"/>
      <c r="B151" s="32"/>
      <c r="C151" s="42"/>
      <c r="D151" s="42"/>
      <c r="E151" s="42"/>
      <c r="F151" s="42"/>
      <c r="G151" s="42"/>
      <c r="H151" s="42"/>
      <c r="I151" s="10"/>
      <c r="J151" s="33"/>
      <c r="K151" s="42"/>
      <c r="L151" s="42"/>
      <c r="M151" s="42"/>
      <c r="N151" s="42"/>
      <c r="O151" s="42"/>
      <c r="P151" s="42"/>
      <c r="Q151" s="10"/>
      <c r="R151" s="38">
        <v>11</v>
      </c>
      <c r="S151" s="36" t="s">
        <v>666</v>
      </c>
      <c r="T151" s="37"/>
      <c r="U151" s="37"/>
      <c r="V151" s="37"/>
      <c r="W151" s="37"/>
      <c r="X151" s="37"/>
      <c r="Y151" s="37"/>
      <c r="Z151" s="37"/>
      <c r="AA151" s="37"/>
      <c r="AB151" s="37"/>
      <c r="AC151" s="37"/>
      <c r="AD151" s="37"/>
      <c r="AE151" s="38"/>
      <c r="AF151" s="366"/>
      <c r="AG151" s="367"/>
      <c r="AH151" s="284"/>
      <c r="AI151" s="286"/>
      <c r="AJ151" s="284"/>
      <c r="AK151" s="286"/>
      <c r="AL151" s="284" t="s">
        <v>492</v>
      </c>
      <c r="AM151" s="286"/>
      <c r="AN151" s="284"/>
      <c r="AO151" s="286"/>
      <c r="AP151" s="284"/>
      <c r="AQ151" s="286"/>
      <c r="AR151" s="284"/>
      <c r="AS151" s="286"/>
      <c r="AT151" s="284"/>
      <c r="AU151" s="286"/>
      <c r="AV151" s="284"/>
      <c r="AW151" s="286"/>
      <c r="AX151" s="284"/>
      <c r="AY151" s="286"/>
      <c r="AZ151" s="284"/>
      <c r="BA151" s="286"/>
      <c r="BB151" s="284"/>
      <c r="BC151" s="286"/>
      <c r="BD151" s="284"/>
      <c r="BE151" s="286"/>
      <c r="BF151" s="284" t="s">
        <v>131</v>
      </c>
      <c r="BG151" s="285"/>
      <c r="BH151" s="285"/>
      <c r="BI151" s="285"/>
      <c r="BJ151" s="285"/>
      <c r="BK151" s="285"/>
      <c r="BL151" s="285"/>
      <c r="BM151" s="286"/>
      <c r="BN151" s="287" t="s">
        <v>517</v>
      </c>
      <c r="BO151" s="287"/>
      <c r="BP151" s="287"/>
      <c r="BQ151" s="287"/>
      <c r="BR151" s="287"/>
      <c r="BS151" s="287"/>
      <c r="BT151" s="287"/>
      <c r="BU151" s="287"/>
      <c r="BV151" s="288" t="s">
        <v>518</v>
      </c>
      <c r="BW151" s="288"/>
      <c r="BX151" s="288"/>
      <c r="BY151" s="288"/>
      <c r="BZ151" s="288"/>
      <c r="CA151" s="288"/>
      <c r="CB151" s="288"/>
      <c r="CC151" s="288"/>
      <c r="CD151" s="288"/>
      <c r="CE151" s="10"/>
    </row>
    <row r="152" spans="1:84" s="8" customFormat="1">
      <c r="A152" s="9"/>
      <c r="B152" s="32"/>
      <c r="C152" s="42"/>
      <c r="D152" s="42"/>
      <c r="E152" s="42"/>
      <c r="F152" s="42"/>
      <c r="G152" s="42"/>
      <c r="H152" s="42"/>
      <c r="I152" s="10"/>
      <c r="K152" s="42"/>
      <c r="L152" s="42"/>
      <c r="M152" s="42"/>
      <c r="N152" s="42"/>
      <c r="O152" s="42"/>
      <c r="P152" s="42"/>
      <c r="Q152" s="10"/>
      <c r="R152" s="38">
        <v>12</v>
      </c>
      <c r="S152" s="111" t="s">
        <v>558</v>
      </c>
      <c r="T152" s="37"/>
      <c r="U152" s="37"/>
      <c r="V152" s="37"/>
      <c r="W152" s="37"/>
      <c r="X152" s="37"/>
      <c r="Y152" s="37"/>
      <c r="Z152" s="37"/>
      <c r="AA152" s="37"/>
      <c r="AB152" s="37"/>
      <c r="AC152" s="37"/>
      <c r="AD152" s="37"/>
      <c r="AE152" s="38"/>
      <c r="AF152" s="366"/>
      <c r="AG152" s="367"/>
      <c r="AH152" s="284"/>
      <c r="AI152" s="286"/>
      <c r="AJ152" s="284"/>
      <c r="AK152" s="286"/>
      <c r="AL152" s="284"/>
      <c r="AM152" s="286"/>
      <c r="AN152" s="284"/>
      <c r="AO152" s="286"/>
      <c r="AP152" s="284"/>
      <c r="AQ152" s="286"/>
      <c r="AR152" s="284"/>
      <c r="AS152" s="286"/>
      <c r="AT152" s="284"/>
      <c r="AU152" s="286"/>
      <c r="AV152" s="284"/>
      <c r="AW152" s="286"/>
      <c r="AX152" s="284"/>
      <c r="AY152" s="286"/>
      <c r="AZ152" s="284"/>
      <c r="BA152" s="286"/>
      <c r="BB152" s="284"/>
      <c r="BC152" s="286"/>
      <c r="BD152" s="284" t="s">
        <v>130</v>
      </c>
      <c r="BE152" s="286"/>
      <c r="BF152" s="284" t="s">
        <v>554</v>
      </c>
      <c r="BG152" s="285"/>
      <c r="BH152" s="285"/>
      <c r="BI152" s="285"/>
      <c r="BJ152" s="285"/>
      <c r="BK152" s="285"/>
      <c r="BL152" s="285"/>
      <c r="BM152" s="286"/>
      <c r="BN152" s="284" t="s">
        <v>137</v>
      </c>
      <c r="BO152" s="285"/>
      <c r="BP152" s="285"/>
      <c r="BQ152" s="285"/>
      <c r="BR152" s="285"/>
      <c r="BS152" s="285"/>
      <c r="BT152" s="285"/>
      <c r="BU152" s="286"/>
      <c r="BV152" s="288"/>
      <c r="BW152" s="288"/>
      <c r="BX152" s="288"/>
      <c r="BY152" s="288"/>
      <c r="BZ152" s="288"/>
      <c r="CA152" s="288"/>
      <c r="CB152" s="288"/>
      <c r="CC152" s="288"/>
      <c r="CD152" s="288"/>
      <c r="CE152" s="10"/>
    </row>
    <row r="153" spans="1:84" s="8" customFormat="1">
      <c r="A153" s="9"/>
      <c r="B153" s="29" t="s">
        <v>667</v>
      </c>
      <c r="C153" s="30"/>
      <c r="D153" s="30"/>
      <c r="E153" s="30"/>
      <c r="F153" s="30"/>
      <c r="G153" s="30"/>
      <c r="H153" s="30"/>
      <c r="I153" s="31"/>
      <c r="J153" s="29" t="s">
        <v>655</v>
      </c>
      <c r="K153" s="30"/>
      <c r="L153" s="30"/>
      <c r="M153" s="30"/>
      <c r="N153" s="30"/>
      <c r="O153" s="30"/>
      <c r="P153" s="30"/>
      <c r="Q153" s="31"/>
      <c r="R153" s="38">
        <v>1</v>
      </c>
      <c r="S153" s="36" t="s">
        <v>542</v>
      </c>
      <c r="T153" s="37"/>
      <c r="U153" s="37"/>
      <c r="V153" s="37"/>
      <c r="W153" s="37"/>
      <c r="X153" s="37"/>
      <c r="Y153" s="37"/>
      <c r="Z153" s="37"/>
      <c r="AA153" s="37"/>
      <c r="AB153" s="37"/>
      <c r="AC153" s="37"/>
      <c r="AD153" s="37"/>
      <c r="AE153" s="38"/>
      <c r="AF153" s="366"/>
      <c r="AG153" s="367"/>
      <c r="AH153" s="284"/>
      <c r="AI153" s="286"/>
      <c r="AJ153" s="284"/>
      <c r="AK153" s="286"/>
      <c r="AL153" s="284"/>
      <c r="AM153" s="286"/>
      <c r="AN153" s="284"/>
      <c r="AO153" s="286"/>
      <c r="AP153" s="284"/>
      <c r="AQ153" s="286"/>
      <c r="AR153" s="284"/>
      <c r="AS153" s="286"/>
      <c r="AT153" s="284"/>
      <c r="AU153" s="286"/>
      <c r="AV153" s="284"/>
      <c r="AW153" s="286"/>
      <c r="AX153" s="284"/>
      <c r="AY153" s="286"/>
      <c r="AZ153" s="284" t="s">
        <v>492</v>
      </c>
      <c r="BA153" s="286"/>
      <c r="BB153" s="284"/>
      <c r="BC153" s="286"/>
      <c r="BD153" s="284"/>
      <c r="BE153" s="286"/>
      <c r="BF153" s="284" t="s">
        <v>668</v>
      </c>
      <c r="BG153" s="285"/>
      <c r="BH153" s="285"/>
      <c r="BI153" s="285"/>
      <c r="BJ153" s="285"/>
      <c r="BK153" s="285"/>
      <c r="BL153" s="285"/>
      <c r="BM153" s="286"/>
      <c r="BN153" s="284" t="s">
        <v>201</v>
      </c>
      <c r="BO153" s="285"/>
      <c r="BP153" s="285"/>
      <c r="BQ153" s="285"/>
      <c r="BR153" s="285"/>
      <c r="BS153" s="285"/>
      <c r="BT153" s="285"/>
      <c r="BU153" s="286"/>
      <c r="BV153" s="288"/>
      <c r="BW153" s="288"/>
      <c r="BX153" s="288"/>
      <c r="BY153" s="288"/>
      <c r="BZ153" s="288"/>
      <c r="CA153" s="288"/>
      <c r="CB153" s="288"/>
      <c r="CC153" s="288"/>
      <c r="CD153" s="288"/>
      <c r="CE153" s="10"/>
      <c r="CF153" s="11"/>
    </row>
    <row r="154" spans="1:84" s="8" customFormat="1">
      <c r="A154" s="9"/>
      <c r="B154" s="32"/>
      <c r="C154" s="42"/>
      <c r="D154" s="42"/>
      <c r="E154" s="42"/>
      <c r="F154" s="42"/>
      <c r="G154" s="42"/>
      <c r="H154" s="42"/>
      <c r="I154" s="10"/>
      <c r="J154" s="33"/>
      <c r="K154" s="42"/>
      <c r="L154" s="42"/>
      <c r="M154" s="42"/>
      <c r="N154" s="42"/>
      <c r="O154" s="42"/>
      <c r="P154" s="42"/>
      <c r="Q154" s="10"/>
      <c r="R154" s="38">
        <v>2</v>
      </c>
      <c r="S154" s="36" t="s">
        <v>656</v>
      </c>
      <c r="T154" s="37"/>
      <c r="U154" s="37"/>
      <c r="V154" s="37"/>
      <c r="W154" s="37"/>
      <c r="X154" s="37"/>
      <c r="Y154" s="37"/>
      <c r="Z154" s="37"/>
      <c r="AA154" s="37"/>
      <c r="AB154" s="37"/>
      <c r="AC154" s="37"/>
      <c r="AD154" s="37"/>
      <c r="AE154" s="38"/>
      <c r="AF154" s="366"/>
      <c r="AG154" s="367"/>
      <c r="AH154" s="284"/>
      <c r="AI154" s="286"/>
      <c r="AJ154" s="284"/>
      <c r="AK154" s="286"/>
      <c r="AL154" s="284"/>
      <c r="AM154" s="286"/>
      <c r="AN154" s="284"/>
      <c r="AO154" s="286"/>
      <c r="AP154" s="284"/>
      <c r="AQ154" s="286"/>
      <c r="AR154" s="284"/>
      <c r="AS154" s="286"/>
      <c r="AT154" s="284"/>
      <c r="AU154" s="286"/>
      <c r="AV154" s="284"/>
      <c r="AW154" s="286"/>
      <c r="AX154" s="284"/>
      <c r="AY154" s="286"/>
      <c r="AZ154" s="284" t="s">
        <v>492</v>
      </c>
      <c r="BA154" s="286"/>
      <c r="BB154" s="284"/>
      <c r="BC154" s="286"/>
      <c r="BD154" s="284"/>
      <c r="BE154" s="286"/>
      <c r="BF154" s="284" t="s">
        <v>201</v>
      </c>
      <c r="BG154" s="285"/>
      <c r="BH154" s="285"/>
      <c r="BI154" s="285"/>
      <c r="BJ154" s="285"/>
      <c r="BK154" s="285"/>
      <c r="BL154" s="285"/>
      <c r="BM154" s="286"/>
      <c r="BN154" s="284" t="s">
        <v>201</v>
      </c>
      <c r="BO154" s="285"/>
      <c r="BP154" s="285"/>
      <c r="BQ154" s="285"/>
      <c r="BR154" s="285"/>
      <c r="BS154" s="285"/>
      <c r="BT154" s="285"/>
      <c r="BU154" s="286"/>
      <c r="BV154" s="288"/>
      <c r="BW154" s="288"/>
      <c r="BX154" s="288"/>
      <c r="BY154" s="288"/>
      <c r="BZ154" s="288"/>
      <c r="CA154" s="288"/>
      <c r="CB154" s="288"/>
      <c r="CC154" s="288"/>
      <c r="CD154" s="288"/>
      <c r="CE154" s="10"/>
    </row>
    <row r="155" spans="1:84" s="8" customFormat="1">
      <c r="A155" s="9"/>
      <c r="B155" s="32"/>
      <c r="C155" s="42"/>
      <c r="D155" s="42"/>
      <c r="E155" s="42"/>
      <c r="F155" s="42"/>
      <c r="G155" s="42"/>
      <c r="H155" s="42"/>
      <c r="I155" s="10"/>
      <c r="K155" s="42"/>
      <c r="L155" s="42"/>
      <c r="M155" s="42"/>
      <c r="N155" s="42"/>
      <c r="O155" s="42"/>
      <c r="P155" s="42"/>
      <c r="Q155" s="10"/>
      <c r="R155" s="38">
        <v>3</v>
      </c>
      <c r="S155" s="36" t="s">
        <v>657</v>
      </c>
      <c r="T155" s="37"/>
      <c r="U155" s="37"/>
      <c r="V155" s="37"/>
      <c r="W155" s="37"/>
      <c r="X155" s="37"/>
      <c r="Y155" s="37"/>
      <c r="Z155" s="37"/>
      <c r="AA155" s="37"/>
      <c r="AB155" s="37"/>
      <c r="AC155" s="37"/>
      <c r="AD155" s="37"/>
      <c r="AE155" s="38"/>
      <c r="AF155" s="366"/>
      <c r="AG155" s="367"/>
      <c r="AH155" s="284"/>
      <c r="AI155" s="286"/>
      <c r="AJ155" s="284"/>
      <c r="AK155" s="286"/>
      <c r="AL155" s="284"/>
      <c r="AM155" s="286"/>
      <c r="AN155" s="284"/>
      <c r="AO155" s="286"/>
      <c r="AP155" s="284"/>
      <c r="AQ155" s="286"/>
      <c r="AR155" s="284"/>
      <c r="AS155" s="286"/>
      <c r="AT155" s="284"/>
      <c r="AU155" s="286"/>
      <c r="AV155" s="284"/>
      <c r="AW155" s="286"/>
      <c r="AX155" s="284"/>
      <c r="AY155" s="286"/>
      <c r="AZ155" s="284" t="s">
        <v>492</v>
      </c>
      <c r="BA155" s="286"/>
      <c r="BB155" s="284"/>
      <c r="BC155" s="286"/>
      <c r="BD155" s="284"/>
      <c r="BE155" s="286"/>
      <c r="BF155" s="284" t="s">
        <v>201</v>
      </c>
      <c r="BG155" s="285"/>
      <c r="BH155" s="285"/>
      <c r="BI155" s="285"/>
      <c r="BJ155" s="285"/>
      <c r="BK155" s="285"/>
      <c r="BL155" s="285"/>
      <c r="BM155" s="286"/>
      <c r="BN155" s="284" t="s">
        <v>201</v>
      </c>
      <c r="BO155" s="285"/>
      <c r="BP155" s="285"/>
      <c r="BQ155" s="285"/>
      <c r="BR155" s="285"/>
      <c r="BS155" s="285"/>
      <c r="BT155" s="285"/>
      <c r="BU155" s="286"/>
      <c r="BV155" s="288"/>
      <c r="BW155" s="288"/>
      <c r="BX155" s="288"/>
      <c r="BY155" s="288"/>
      <c r="BZ155" s="288"/>
      <c r="CA155" s="288"/>
      <c r="CB155" s="288"/>
      <c r="CC155" s="288"/>
      <c r="CD155" s="288"/>
      <c r="CE155" s="10"/>
    </row>
    <row r="156" spans="1:84" s="8" customFormat="1">
      <c r="A156" s="9"/>
      <c r="B156" s="32"/>
      <c r="C156" s="42"/>
      <c r="D156" s="42"/>
      <c r="E156" s="42"/>
      <c r="F156" s="42"/>
      <c r="G156" s="42"/>
      <c r="H156" s="42"/>
      <c r="I156" s="10"/>
      <c r="J156" s="32"/>
      <c r="K156" s="42"/>
      <c r="L156" s="42"/>
      <c r="M156" s="42"/>
      <c r="N156" s="42"/>
      <c r="O156" s="42"/>
      <c r="P156" s="42"/>
      <c r="Q156" s="10"/>
      <c r="R156" s="38">
        <v>4</v>
      </c>
      <c r="S156" s="36" t="s">
        <v>658</v>
      </c>
      <c r="T156" s="37"/>
      <c r="U156" s="37"/>
      <c r="V156" s="37"/>
      <c r="W156" s="37"/>
      <c r="X156" s="37"/>
      <c r="Y156" s="37"/>
      <c r="Z156" s="37"/>
      <c r="AA156" s="37"/>
      <c r="AB156" s="37"/>
      <c r="AC156" s="37"/>
      <c r="AD156" s="37"/>
      <c r="AE156" s="38"/>
      <c r="AF156" s="366"/>
      <c r="AG156" s="367"/>
      <c r="AH156" s="284"/>
      <c r="AI156" s="286"/>
      <c r="AJ156" s="284"/>
      <c r="AK156" s="286"/>
      <c r="AL156" s="284"/>
      <c r="AM156" s="286"/>
      <c r="AN156" s="284"/>
      <c r="AO156" s="286"/>
      <c r="AP156" s="284"/>
      <c r="AQ156" s="286"/>
      <c r="AR156" s="284"/>
      <c r="AS156" s="286"/>
      <c r="AT156" s="284"/>
      <c r="AU156" s="286"/>
      <c r="AV156" s="284"/>
      <c r="AW156" s="286"/>
      <c r="AX156" s="284"/>
      <c r="AY156" s="286"/>
      <c r="AZ156" s="284" t="s">
        <v>492</v>
      </c>
      <c r="BA156" s="286"/>
      <c r="BB156" s="284"/>
      <c r="BC156" s="286"/>
      <c r="BD156" s="284"/>
      <c r="BE156" s="286"/>
      <c r="BF156" s="284" t="s">
        <v>201</v>
      </c>
      <c r="BG156" s="285"/>
      <c r="BH156" s="285"/>
      <c r="BI156" s="285"/>
      <c r="BJ156" s="285"/>
      <c r="BK156" s="285"/>
      <c r="BL156" s="285"/>
      <c r="BM156" s="286"/>
      <c r="BN156" s="284" t="s">
        <v>201</v>
      </c>
      <c r="BO156" s="285"/>
      <c r="BP156" s="285"/>
      <c r="BQ156" s="285"/>
      <c r="BR156" s="285"/>
      <c r="BS156" s="285"/>
      <c r="BT156" s="285"/>
      <c r="BU156" s="286"/>
      <c r="BV156" s="288" t="s">
        <v>518</v>
      </c>
      <c r="BW156" s="288"/>
      <c r="BX156" s="288"/>
      <c r="BY156" s="288"/>
      <c r="BZ156" s="288"/>
      <c r="CA156" s="288"/>
      <c r="CB156" s="288"/>
      <c r="CC156" s="288"/>
      <c r="CD156" s="288"/>
      <c r="CE156" s="10"/>
      <c r="CF156" s="11"/>
    </row>
    <row r="157" spans="1:84" s="8" customFormat="1">
      <c r="A157" s="9"/>
      <c r="B157" s="32"/>
      <c r="C157" s="42"/>
      <c r="D157" s="42"/>
      <c r="E157" s="42"/>
      <c r="F157" s="42"/>
      <c r="G157" s="42"/>
      <c r="H157" s="42"/>
      <c r="I157" s="10"/>
      <c r="J157" s="33"/>
      <c r="K157" s="42"/>
      <c r="L157" s="42"/>
      <c r="M157" s="42"/>
      <c r="N157" s="42"/>
      <c r="O157" s="42"/>
      <c r="P157" s="42"/>
      <c r="Q157" s="10"/>
      <c r="R157" s="38">
        <v>5</v>
      </c>
      <c r="S157" s="36" t="s">
        <v>659</v>
      </c>
      <c r="T157" s="37"/>
      <c r="U157" s="37"/>
      <c r="V157" s="37"/>
      <c r="W157" s="37"/>
      <c r="X157" s="37"/>
      <c r="Y157" s="37"/>
      <c r="Z157" s="37"/>
      <c r="AA157" s="37"/>
      <c r="AB157" s="37"/>
      <c r="AC157" s="37"/>
      <c r="AD157" s="37"/>
      <c r="AE157" s="38"/>
      <c r="AF157" s="366"/>
      <c r="AG157" s="367"/>
      <c r="AH157" s="284"/>
      <c r="AI157" s="286"/>
      <c r="AJ157" s="284"/>
      <c r="AK157" s="286"/>
      <c r="AL157" s="284"/>
      <c r="AM157" s="286"/>
      <c r="AN157" s="284"/>
      <c r="AO157" s="286"/>
      <c r="AP157" s="284"/>
      <c r="AQ157" s="286"/>
      <c r="AR157" s="284"/>
      <c r="AS157" s="286"/>
      <c r="AT157" s="284"/>
      <c r="AU157" s="286"/>
      <c r="AV157" s="284"/>
      <c r="AW157" s="286"/>
      <c r="AX157" s="284"/>
      <c r="AY157" s="286"/>
      <c r="AZ157" s="284" t="s">
        <v>492</v>
      </c>
      <c r="BA157" s="286"/>
      <c r="BB157" s="284"/>
      <c r="BC157" s="286"/>
      <c r="BD157" s="284"/>
      <c r="BE157" s="286"/>
      <c r="BF157" s="284" t="s">
        <v>201</v>
      </c>
      <c r="BG157" s="285"/>
      <c r="BH157" s="285"/>
      <c r="BI157" s="285"/>
      <c r="BJ157" s="285"/>
      <c r="BK157" s="285"/>
      <c r="BL157" s="285"/>
      <c r="BM157" s="286"/>
      <c r="BN157" s="284" t="s">
        <v>201</v>
      </c>
      <c r="BO157" s="285"/>
      <c r="BP157" s="285"/>
      <c r="BQ157" s="285"/>
      <c r="BR157" s="285"/>
      <c r="BS157" s="285"/>
      <c r="BT157" s="285"/>
      <c r="BU157" s="286"/>
      <c r="BV157" s="288"/>
      <c r="BW157" s="288"/>
      <c r="BX157" s="288"/>
      <c r="BY157" s="288"/>
      <c r="BZ157" s="288"/>
      <c r="CA157" s="288"/>
      <c r="CB157" s="288"/>
      <c r="CC157" s="288"/>
      <c r="CD157" s="288"/>
      <c r="CE157" s="10"/>
    </row>
    <row r="158" spans="1:84" s="8" customFormat="1">
      <c r="A158" s="9"/>
      <c r="B158" s="32"/>
      <c r="C158" s="42"/>
      <c r="D158" s="42"/>
      <c r="E158" s="42"/>
      <c r="F158" s="42"/>
      <c r="G158" s="42"/>
      <c r="H158" s="42"/>
      <c r="I158" s="10"/>
      <c r="K158" s="42"/>
      <c r="L158" s="42"/>
      <c r="M158" s="42"/>
      <c r="N158" s="42"/>
      <c r="O158" s="42"/>
      <c r="P158" s="42"/>
      <c r="Q158" s="10"/>
      <c r="R158" s="38">
        <v>6</v>
      </c>
      <c r="S158" s="36" t="s">
        <v>660</v>
      </c>
      <c r="T158" s="37"/>
      <c r="U158" s="37"/>
      <c r="V158" s="37"/>
      <c r="W158" s="37"/>
      <c r="X158" s="37"/>
      <c r="Y158" s="37"/>
      <c r="Z158" s="37"/>
      <c r="AA158" s="37"/>
      <c r="AB158" s="37"/>
      <c r="AC158" s="37"/>
      <c r="AD158" s="37"/>
      <c r="AE158" s="38"/>
      <c r="AF158" s="366"/>
      <c r="AG158" s="367"/>
      <c r="AH158" s="284"/>
      <c r="AI158" s="286"/>
      <c r="AJ158" s="284"/>
      <c r="AK158" s="286"/>
      <c r="AL158" s="284"/>
      <c r="AM158" s="286"/>
      <c r="AN158" s="284"/>
      <c r="AO158" s="286"/>
      <c r="AP158" s="284"/>
      <c r="AQ158" s="286"/>
      <c r="AR158" s="284"/>
      <c r="AS158" s="286"/>
      <c r="AT158" s="284"/>
      <c r="AU158" s="286"/>
      <c r="AV158" s="284"/>
      <c r="AW158" s="286"/>
      <c r="AX158" s="284"/>
      <c r="AY158" s="286"/>
      <c r="AZ158" s="284" t="s">
        <v>492</v>
      </c>
      <c r="BA158" s="286"/>
      <c r="BB158" s="284"/>
      <c r="BC158" s="286"/>
      <c r="BD158" s="284"/>
      <c r="BE158" s="286"/>
      <c r="BF158" s="284" t="s">
        <v>201</v>
      </c>
      <c r="BG158" s="285"/>
      <c r="BH158" s="285"/>
      <c r="BI158" s="285"/>
      <c r="BJ158" s="285"/>
      <c r="BK158" s="285"/>
      <c r="BL158" s="285"/>
      <c r="BM158" s="286"/>
      <c r="BN158" s="284" t="s">
        <v>201</v>
      </c>
      <c r="BO158" s="285"/>
      <c r="BP158" s="285"/>
      <c r="BQ158" s="285"/>
      <c r="BR158" s="285"/>
      <c r="BS158" s="285"/>
      <c r="BT158" s="285"/>
      <c r="BU158" s="286"/>
      <c r="BV158" s="288" t="s">
        <v>669</v>
      </c>
      <c r="BW158" s="288"/>
      <c r="BX158" s="288"/>
      <c r="BY158" s="288"/>
      <c r="BZ158" s="288"/>
      <c r="CA158" s="288"/>
      <c r="CB158" s="288"/>
      <c r="CC158" s="288"/>
      <c r="CD158" s="288"/>
      <c r="CE158" s="10"/>
    </row>
    <row r="159" spans="1:84" s="8" customFormat="1">
      <c r="A159" s="9"/>
      <c r="B159" s="32"/>
      <c r="C159" s="42"/>
      <c r="D159" s="42"/>
      <c r="E159" s="42"/>
      <c r="F159" s="42"/>
      <c r="G159" s="42"/>
      <c r="H159" s="42"/>
      <c r="I159" s="10"/>
      <c r="J159" s="32"/>
      <c r="K159" s="42"/>
      <c r="L159" s="42"/>
      <c r="M159" s="42"/>
      <c r="N159" s="42"/>
      <c r="O159" s="42"/>
      <c r="P159" s="42"/>
      <c r="Q159" s="10"/>
      <c r="R159" s="38">
        <v>7</v>
      </c>
      <c r="S159" s="36" t="s">
        <v>661</v>
      </c>
      <c r="T159" s="37"/>
      <c r="U159" s="37"/>
      <c r="V159" s="37"/>
      <c r="W159" s="37"/>
      <c r="X159" s="37"/>
      <c r="Y159" s="37"/>
      <c r="Z159" s="37"/>
      <c r="AA159" s="37"/>
      <c r="AB159" s="37"/>
      <c r="AC159" s="37"/>
      <c r="AD159" s="37"/>
      <c r="AE159" s="38"/>
      <c r="AF159" s="366"/>
      <c r="AG159" s="367"/>
      <c r="AH159" s="284"/>
      <c r="AI159" s="286"/>
      <c r="AJ159" s="284"/>
      <c r="AK159" s="286"/>
      <c r="AL159" s="284"/>
      <c r="AM159" s="286"/>
      <c r="AN159" s="284"/>
      <c r="AO159" s="286"/>
      <c r="AP159" s="284"/>
      <c r="AQ159" s="286"/>
      <c r="AR159" s="284"/>
      <c r="AS159" s="286"/>
      <c r="AT159" s="284"/>
      <c r="AU159" s="286"/>
      <c r="AV159" s="284"/>
      <c r="AW159" s="286"/>
      <c r="AX159" s="284"/>
      <c r="AY159" s="286"/>
      <c r="AZ159" s="284" t="s">
        <v>492</v>
      </c>
      <c r="BA159" s="286"/>
      <c r="BB159" s="284"/>
      <c r="BC159" s="286"/>
      <c r="BD159" s="284"/>
      <c r="BE159" s="286"/>
      <c r="BF159" s="284" t="s">
        <v>662</v>
      </c>
      <c r="BG159" s="285"/>
      <c r="BH159" s="285"/>
      <c r="BI159" s="285"/>
      <c r="BJ159" s="285"/>
      <c r="BK159" s="285"/>
      <c r="BL159" s="285"/>
      <c r="BM159" s="286"/>
      <c r="BN159" s="284" t="s">
        <v>201</v>
      </c>
      <c r="BO159" s="285"/>
      <c r="BP159" s="285"/>
      <c r="BQ159" s="285"/>
      <c r="BR159" s="285"/>
      <c r="BS159" s="285"/>
      <c r="BT159" s="285"/>
      <c r="BU159" s="286"/>
      <c r="BV159" s="288"/>
      <c r="BW159" s="288"/>
      <c r="BX159" s="288"/>
      <c r="BY159" s="288"/>
      <c r="BZ159" s="288"/>
      <c r="CA159" s="288"/>
      <c r="CB159" s="288"/>
      <c r="CC159" s="288"/>
      <c r="CD159" s="288"/>
      <c r="CE159" s="10"/>
      <c r="CF159" s="11"/>
    </row>
    <row r="160" spans="1:84" s="8" customFormat="1">
      <c r="A160" s="9"/>
      <c r="B160" s="32"/>
      <c r="C160" s="42"/>
      <c r="D160" s="42"/>
      <c r="E160" s="42"/>
      <c r="F160" s="42"/>
      <c r="G160" s="42"/>
      <c r="H160" s="42"/>
      <c r="I160" s="10"/>
      <c r="J160" s="33"/>
      <c r="K160" s="42"/>
      <c r="L160" s="42"/>
      <c r="M160" s="42"/>
      <c r="N160" s="42"/>
      <c r="O160" s="42"/>
      <c r="P160" s="42"/>
      <c r="Q160" s="10"/>
      <c r="R160" s="38">
        <v>8</v>
      </c>
      <c r="S160" s="36" t="s">
        <v>663</v>
      </c>
      <c r="T160" s="37"/>
      <c r="U160" s="37"/>
      <c r="V160" s="37"/>
      <c r="W160" s="37"/>
      <c r="X160" s="37"/>
      <c r="Y160" s="37"/>
      <c r="Z160" s="37"/>
      <c r="AA160" s="37"/>
      <c r="AB160" s="37"/>
      <c r="AC160" s="37"/>
      <c r="AD160" s="37"/>
      <c r="AE160" s="38"/>
      <c r="AF160" s="366"/>
      <c r="AG160" s="367"/>
      <c r="AH160" s="284"/>
      <c r="AI160" s="286"/>
      <c r="AJ160" s="284"/>
      <c r="AK160" s="286"/>
      <c r="AL160" s="284"/>
      <c r="AM160" s="286"/>
      <c r="AN160" s="284"/>
      <c r="AO160" s="286"/>
      <c r="AP160" s="284"/>
      <c r="AQ160" s="286"/>
      <c r="AR160" s="284"/>
      <c r="AS160" s="286"/>
      <c r="AT160" s="284"/>
      <c r="AU160" s="286"/>
      <c r="AV160" s="284"/>
      <c r="AW160" s="286"/>
      <c r="AX160" s="284"/>
      <c r="AY160" s="286"/>
      <c r="AZ160" s="284" t="s">
        <v>492</v>
      </c>
      <c r="BA160" s="286"/>
      <c r="BB160" s="284"/>
      <c r="BC160" s="286"/>
      <c r="BD160" s="284"/>
      <c r="BE160" s="286"/>
      <c r="BF160" s="284" t="s">
        <v>201</v>
      </c>
      <c r="BG160" s="285"/>
      <c r="BH160" s="285"/>
      <c r="BI160" s="285"/>
      <c r="BJ160" s="285"/>
      <c r="BK160" s="285"/>
      <c r="BL160" s="285"/>
      <c r="BM160" s="286"/>
      <c r="BN160" s="284" t="s">
        <v>201</v>
      </c>
      <c r="BO160" s="285"/>
      <c r="BP160" s="285"/>
      <c r="BQ160" s="285"/>
      <c r="BR160" s="285"/>
      <c r="BS160" s="285"/>
      <c r="BT160" s="285"/>
      <c r="BU160" s="286"/>
      <c r="BV160" s="288"/>
      <c r="BW160" s="288"/>
      <c r="BX160" s="288"/>
      <c r="BY160" s="288"/>
      <c r="BZ160" s="288"/>
      <c r="CA160" s="288"/>
      <c r="CB160" s="288"/>
      <c r="CC160" s="288"/>
      <c r="CD160" s="288"/>
      <c r="CE160" s="10"/>
    </row>
    <row r="161" spans="1:84" s="8" customFormat="1">
      <c r="A161" s="9"/>
      <c r="B161" s="32"/>
      <c r="C161" s="42"/>
      <c r="D161" s="42"/>
      <c r="E161" s="42"/>
      <c r="F161" s="42"/>
      <c r="G161" s="42"/>
      <c r="H161" s="42"/>
      <c r="I161" s="10"/>
      <c r="K161" s="42"/>
      <c r="L161" s="42"/>
      <c r="M161" s="42"/>
      <c r="N161" s="42"/>
      <c r="O161" s="42"/>
      <c r="P161" s="42"/>
      <c r="Q161" s="10"/>
      <c r="R161" s="38">
        <v>9</v>
      </c>
      <c r="S161" s="36" t="s">
        <v>664</v>
      </c>
      <c r="T161" s="37"/>
      <c r="U161" s="37"/>
      <c r="V161" s="37"/>
      <c r="W161" s="37"/>
      <c r="X161" s="37"/>
      <c r="Y161" s="37"/>
      <c r="Z161" s="37"/>
      <c r="AA161" s="37"/>
      <c r="AB161" s="37"/>
      <c r="AC161" s="37"/>
      <c r="AD161" s="37"/>
      <c r="AE161" s="38"/>
      <c r="AF161" s="366"/>
      <c r="AG161" s="367"/>
      <c r="AH161" s="284"/>
      <c r="AI161" s="286"/>
      <c r="AJ161" s="284"/>
      <c r="AK161" s="286"/>
      <c r="AL161" s="284"/>
      <c r="AM161" s="286"/>
      <c r="AN161" s="284"/>
      <c r="AO161" s="286"/>
      <c r="AP161" s="284"/>
      <c r="AQ161" s="286"/>
      <c r="AR161" s="284"/>
      <c r="AS161" s="286"/>
      <c r="AT161" s="284"/>
      <c r="AU161" s="286"/>
      <c r="AV161" s="284"/>
      <c r="AW161" s="286"/>
      <c r="AX161" s="284"/>
      <c r="AY161" s="286"/>
      <c r="AZ161" s="284" t="s">
        <v>492</v>
      </c>
      <c r="BA161" s="286"/>
      <c r="BB161" s="284"/>
      <c r="BC161" s="286"/>
      <c r="BD161" s="284"/>
      <c r="BE161" s="286"/>
      <c r="BF161" s="284" t="s">
        <v>201</v>
      </c>
      <c r="BG161" s="285"/>
      <c r="BH161" s="285"/>
      <c r="BI161" s="285"/>
      <c r="BJ161" s="285"/>
      <c r="BK161" s="285"/>
      <c r="BL161" s="285"/>
      <c r="BM161" s="286"/>
      <c r="BN161" s="284" t="s">
        <v>201</v>
      </c>
      <c r="BO161" s="285"/>
      <c r="BP161" s="285"/>
      <c r="BQ161" s="285"/>
      <c r="BR161" s="285"/>
      <c r="BS161" s="285"/>
      <c r="BT161" s="285"/>
      <c r="BU161" s="286"/>
      <c r="BV161" s="288"/>
      <c r="BW161" s="288"/>
      <c r="BX161" s="288"/>
      <c r="BY161" s="288"/>
      <c r="BZ161" s="288"/>
      <c r="CA161" s="288"/>
      <c r="CB161" s="288"/>
      <c r="CC161" s="288"/>
      <c r="CD161" s="288"/>
      <c r="CE161" s="10"/>
    </row>
    <row r="162" spans="1:84" s="8" customFormat="1">
      <c r="A162" s="9"/>
      <c r="B162" s="32"/>
      <c r="C162" s="42"/>
      <c r="D162" s="42"/>
      <c r="E162" s="42"/>
      <c r="F162" s="42"/>
      <c r="G162" s="42"/>
      <c r="H162" s="42"/>
      <c r="I162" s="10"/>
      <c r="K162" s="42"/>
      <c r="L162" s="42"/>
      <c r="M162" s="42"/>
      <c r="N162" s="42"/>
      <c r="O162" s="42"/>
      <c r="P162" s="42"/>
      <c r="Q162" s="10"/>
      <c r="R162" s="38">
        <v>10</v>
      </c>
      <c r="S162" s="36" t="s">
        <v>665</v>
      </c>
      <c r="T162" s="37"/>
      <c r="U162" s="37"/>
      <c r="V162" s="37"/>
      <c r="W162" s="37"/>
      <c r="X162" s="37"/>
      <c r="Y162" s="37"/>
      <c r="Z162" s="37"/>
      <c r="AA162" s="37"/>
      <c r="AB162" s="37"/>
      <c r="AC162" s="37"/>
      <c r="AD162" s="37"/>
      <c r="AE162" s="38"/>
      <c r="AF162" s="366"/>
      <c r="AG162" s="367"/>
      <c r="AH162" s="284"/>
      <c r="AI162" s="286"/>
      <c r="AJ162" s="284"/>
      <c r="AK162" s="286"/>
      <c r="AL162" s="284" t="s">
        <v>492</v>
      </c>
      <c r="AM162" s="286"/>
      <c r="AN162" s="284"/>
      <c r="AO162" s="286"/>
      <c r="AP162" s="284"/>
      <c r="AQ162" s="286"/>
      <c r="AR162" s="284"/>
      <c r="AS162" s="286"/>
      <c r="AT162" s="284"/>
      <c r="AU162" s="286"/>
      <c r="AV162" s="284"/>
      <c r="AW162" s="286"/>
      <c r="AX162" s="284"/>
      <c r="AY162" s="286"/>
      <c r="AZ162" s="284"/>
      <c r="BA162" s="286"/>
      <c r="BB162" s="284"/>
      <c r="BC162" s="286"/>
      <c r="BD162" s="284"/>
      <c r="BE162" s="286"/>
      <c r="BF162" s="284" t="s">
        <v>131</v>
      </c>
      <c r="BG162" s="285"/>
      <c r="BH162" s="285"/>
      <c r="BI162" s="285"/>
      <c r="BJ162" s="285"/>
      <c r="BK162" s="285"/>
      <c r="BL162" s="285"/>
      <c r="BM162" s="286"/>
      <c r="BN162" s="287" t="s">
        <v>517</v>
      </c>
      <c r="BO162" s="287"/>
      <c r="BP162" s="287"/>
      <c r="BQ162" s="287"/>
      <c r="BR162" s="287"/>
      <c r="BS162" s="287"/>
      <c r="BT162" s="287"/>
      <c r="BU162" s="287"/>
      <c r="BV162" s="288"/>
      <c r="BW162" s="288"/>
      <c r="BX162" s="288"/>
      <c r="BY162" s="288"/>
      <c r="BZ162" s="288"/>
      <c r="CA162" s="288"/>
      <c r="CB162" s="288"/>
      <c r="CC162" s="288"/>
      <c r="CD162" s="288"/>
      <c r="CE162" s="10"/>
    </row>
    <row r="163" spans="1:84" s="8" customFormat="1">
      <c r="A163" s="9"/>
      <c r="B163" s="32"/>
      <c r="C163" s="42"/>
      <c r="D163" s="42"/>
      <c r="E163" s="42"/>
      <c r="F163" s="42"/>
      <c r="G163" s="42"/>
      <c r="H163" s="42"/>
      <c r="I163" s="10"/>
      <c r="J163" s="32"/>
      <c r="K163" s="42"/>
      <c r="L163" s="42"/>
      <c r="M163" s="42"/>
      <c r="N163" s="42"/>
      <c r="O163" s="42"/>
      <c r="P163" s="42"/>
      <c r="Q163" s="10"/>
      <c r="R163" s="38">
        <v>11</v>
      </c>
      <c r="S163" s="36" t="s">
        <v>666</v>
      </c>
      <c r="T163" s="37"/>
      <c r="U163" s="37"/>
      <c r="V163" s="37"/>
      <c r="W163" s="37"/>
      <c r="X163" s="37"/>
      <c r="Y163" s="37"/>
      <c r="Z163" s="37"/>
      <c r="AA163" s="37"/>
      <c r="AB163" s="37"/>
      <c r="AC163" s="37"/>
      <c r="AD163" s="37"/>
      <c r="AE163" s="38"/>
      <c r="AF163" s="366"/>
      <c r="AG163" s="367"/>
      <c r="AH163" s="284"/>
      <c r="AI163" s="286"/>
      <c r="AJ163" s="284"/>
      <c r="AK163" s="286"/>
      <c r="AL163" s="284" t="s">
        <v>492</v>
      </c>
      <c r="AM163" s="286"/>
      <c r="AN163" s="284"/>
      <c r="AO163" s="286"/>
      <c r="AP163" s="284"/>
      <c r="AQ163" s="286"/>
      <c r="AR163" s="284"/>
      <c r="AS163" s="286"/>
      <c r="AT163" s="284"/>
      <c r="AU163" s="286"/>
      <c r="AV163" s="284"/>
      <c r="AW163" s="286"/>
      <c r="AX163" s="284"/>
      <c r="AY163" s="286"/>
      <c r="AZ163" s="284"/>
      <c r="BA163" s="286"/>
      <c r="BB163" s="284"/>
      <c r="BC163" s="286"/>
      <c r="BD163" s="284"/>
      <c r="BE163" s="286"/>
      <c r="BF163" s="284" t="s">
        <v>131</v>
      </c>
      <c r="BG163" s="285"/>
      <c r="BH163" s="285"/>
      <c r="BI163" s="285"/>
      <c r="BJ163" s="285"/>
      <c r="BK163" s="285"/>
      <c r="BL163" s="285"/>
      <c r="BM163" s="286"/>
      <c r="BN163" s="287" t="s">
        <v>517</v>
      </c>
      <c r="BO163" s="287"/>
      <c r="BP163" s="287"/>
      <c r="BQ163" s="287"/>
      <c r="BR163" s="287"/>
      <c r="BS163" s="287"/>
      <c r="BT163" s="287"/>
      <c r="BU163" s="287"/>
      <c r="BV163" s="288" t="s">
        <v>669</v>
      </c>
      <c r="BW163" s="288"/>
      <c r="BX163" s="288"/>
      <c r="BY163" s="288"/>
      <c r="BZ163" s="288"/>
      <c r="CA163" s="288"/>
      <c r="CB163" s="288"/>
      <c r="CC163" s="288"/>
      <c r="CD163" s="288"/>
      <c r="CE163" s="10"/>
      <c r="CF163" s="11"/>
    </row>
    <row r="164" spans="1:84" s="8" customFormat="1">
      <c r="A164" s="9"/>
      <c r="B164" s="32"/>
      <c r="C164" s="42"/>
      <c r="D164" s="42"/>
      <c r="E164" s="42"/>
      <c r="F164" s="42"/>
      <c r="G164" s="42"/>
      <c r="H164" s="42"/>
      <c r="I164" s="10"/>
      <c r="J164" s="33"/>
      <c r="K164" s="42"/>
      <c r="L164" s="42"/>
      <c r="M164" s="42"/>
      <c r="N164" s="42"/>
      <c r="O164" s="42"/>
      <c r="P164" s="42"/>
      <c r="Q164" s="10"/>
      <c r="R164" s="38">
        <v>12</v>
      </c>
      <c r="S164" s="111" t="s">
        <v>558</v>
      </c>
      <c r="T164" s="37"/>
      <c r="U164" s="37"/>
      <c r="V164" s="37"/>
      <c r="W164" s="37"/>
      <c r="X164" s="37"/>
      <c r="Y164" s="37"/>
      <c r="Z164" s="37"/>
      <c r="AA164" s="37"/>
      <c r="AB164" s="37"/>
      <c r="AC164" s="37"/>
      <c r="AD164" s="37"/>
      <c r="AE164" s="38"/>
      <c r="AF164" s="366"/>
      <c r="AG164" s="367"/>
      <c r="AH164" s="284"/>
      <c r="AI164" s="286"/>
      <c r="AJ164" s="284"/>
      <c r="AK164" s="286"/>
      <c r="AL164" s="284"/>
      <c r="AM164" s="286"/>
      <c r="AN164" s="284"/>
      <c r="AO164" s="286"/>
      <c r="AP164" s="284"/>
      <c r="AQ164" s="286"/>
      <c r="AR164" s="284"/>
      <c r="AS164" s="286"/>
      <c r="AT164" s="284"/>
      <c r="AU164" s="286"/>
      <c r="AV164" s="284"/>
      <c r="AW164" s="286"/>
      <c r="AX164" s="284"/>
      <c r="AY164" s="286"/>
      <c r="AZ164" s="284"/>
      <c r="BA164" s="286"/>
      <c r="BB164" s="284"/>
      <c r="BC164" s="286"/>
      <c r="BD164" s="284" t="s">
        <v>130</v>
      </c>
      <c r="BE164" s="286"/>
      <c r="BF164" s="284" t="s">
        <v>554</v>
      </c>
      <c r="BG164" s="285"/>
      <c r="BH164" s="285"/>
      <c r="BI164" s="285"/>
      <c r="BJ164" s="285"/>
      <c r="BK164" s="285"/>
      <c r="BL164" s="285"/>
      <c r="BM164" s="286"/>
      <c r="BN164" s="284" t="s">
        <v>137</v>
      </c>
      <c r="BO164" s="285"/>
      <c r="BP164" s="285"/>
      <c r="BQ164" s="285"/>
      <c r="BR164" s="285"/>
      <c r="BS164" s="285"/>
      <c r="BT164" s="285"/>
      <c r="BU164" s="286"/>
      <c r="BV164" s="288"/>
      <c r="BW164" s="288"/>
      <c r="BX164" s="288"/>
      <c r="BY164" s="288"/>
      <c r="BZ164" s="288"/>
      <c r="CA164" s="288"/>
      <c r="CB164" s="288"/>
      <c r="CC164" s="288"/>
      <c r="CD164" s="288"/>
      <c r="CE164" s="10"/>
    </row>
    <row r="165" spans="1:84" s="8" customFormat="1">
      <c r="A165" s="9"/>
      <c r="B165" s="29" t="s">
        <v>670</v>
      </c>
      <c r="C165" s="30"/>
      <c r="D165" s="30"/>
      <c r="E165" s="30"/>
      <c r="F165" s="30"/>
      <c r="G165" s="30"/>
      <c r="H165" s="30"/>
      <c r="I165" s="31"/>
      <c r="J165" s="44" t="s">
        <v>671</v>
      </c>
      <c r="K165" s="30"/>
      <c r="L165" s="30"/>
      <c r="M165" s="30"/>
      <c r="N165" s="30"/>
      <c r="O165" s="30"/>
      <c r="P165" s="30"/>
      <c r="Q165" s="31"/>
      <c r="R165" s="38">
        <v>1</v>
      </c>
      <c r="S165" s="36" t="s">
        <v>672</v>
      </c>
      <c r="T165" s="37"/>
      <c r="U165" s="37"/>
      <c r="V165" s="37"/>
      <c r="W165" s="37"/>
      <c r="X165" s="37"/>
      <c r="Y165" s="37"/>
      <c r="Z165" s="37"/>
      <c r="AA165" s="37"/>
      <c r="AB165" s="37"/>
      <c r="AC165" s="37"/>
      <c r="AD165" s="37"/>
      <c r="AE165" s="38"/>
      <c r="AF165" s="366"/>
      <c r="AG165" s="367"/>
      <c r="AH165" s="284"/>
      <c r="AI165" s="286"/>
      <c r="AJ165" s="284"/>
      <c r="AK165" s="286"/>
      <c r="AL165" s="284" t="s">
        <v>492</v>
      </c>
      <c r="AM165" s="286"/>
      <c r="AN165" s="284"/>
      <c r="AO165" s="286"/>
      <c r="AP165" s="284"/>
      <c r="AQ165" s="286"/>
      <c r="AR165" s="284"/>
      <c r="AS165" s="286"/>
      <c r="AT165" s="284"/>
      <c r="AU165" s="286"/>
      <c r="AV165" s="284"/>
      <c r="AW165" s="286"/>
      <c r="AX165" s="284"/>
      <c r="AY165" s="286"/>
      <c r="AZ165" s="284"/>
      <c r="BA165" s="286"/>
      <c r="BB165" s="284"/>
      <c r="BC165" s="286"/>
      <c r="BD165" s="284"/>
      <c r="BE165" s="286"/>
      <c r="BF165" s="284" t="s">
        <v>131</v>
      </c>
      <c r="BG165" s="285"/>
      <c r="BH165" s="285"/>
      <c r="BI165" s="285"/>
      <c r="BJ165" s="285"/>
      <c r="BK165" s="285"/>
      <c r="BL165" s="285"/>
      <c r="BM165" s="286"/>
      <c r="BN165" s="284" t="s">
        <v>362</v>
      </c>
      <c r="BO165" s="285"/>
      <c r="BP165" s="285"/>
      <c r="BQ165" s="285"/>
      <c r="BR165" s="285"/>
      <c r="BS165" s="285"/>
      <c r="BT165" s="285"/>
      <c r="BU165" s="286"/>
      <c r="BV165" s="288"/>
      <c r="BW165" s="288"/>
      <c r="BX165" s="288"/>
      <c r="BY165" s="288"/>
      <c r="BZ165" s="288"/>
      <c r="CA165" s="288"/>
      <c r="CB165" s="288"/>
      <c r="CC165" s="288"/>
      <c r="CD165" s="288"/>
      <c r="CE165" s="10"/>
    </row>
    <row r="166" spans="1:84" s="8" customFormat="1">
      <c r="A166" s="9"/>
      <c r="B166" s="32"/>
      <c r="C166" s="42"/>
      <c r="D166" s="42"/>
      <c r="E166" s="42"/>
      <c r="F166" s="42"/>
      <c r="G166" s="42"/>
      <c r="H166" s="42"/>
      <c r="I166" s="10"/>
      <c r="J166" s="32"/>
      <c r="K166" s="42"/>
      <c r="L166" s="42"/>
      <c r="M166" s="42"/>
      <c r="N166" s="42"/>
      <c r="O166" s="42"/>
      <c r="P166" s="42"/>
      <c r="Q166" s="10"/>
      <c r="R166" s="38">
        <v>2</v>
      </c>
      <c r="S166" s="36" t="s">
        <v>673</v>
      </c>
      <c r="T166" s="37"/>
      <c r="U166" s="37"/>
      <c r="V166" s="37"/>
      <c r="W166" s="37"/>
      <c r="X166" s="37"/>
      <c r="Y166" s="37"/>
      <c r="Z166" s="37"/>
      <c r="AA166" s="37"/>
      <c r="AB166" s="37"/>
      <c r="AC166" s="37"/>
      <c r="AD166" s="37"/>
      <c r="AE166" s="38"/>
      <c r="AF166" s="366"/>
      <c r="AG166" s="367"/>
      <c r="AH166" s="284"/>
      <c r="AI166" s="286"/>
      <c r="AJ166" s="284"/>
      <c r="AK166" s="286"/>
      <c r="AL166" s="284" t="s">
        <v>492</v>
      </c>
      <c r="AM166" s="286"/>
      <c r="AN166" s="284"/>
      <c r="AO166" s="286"/>
      <c r="AP166" s="284"/>
      <c r="AQ166" s="286"/>
      <c r="AR166" s="284"/>
      <c r="AS166" s="286"/>
      <c r="AT166" s="284"/>
      <c r="AU166" s="286"/>
      <c r="AV166" s="284"/>
      <c r="AW166" s="286"/>
      <c r="AX166" s="284"/>
      <c r="AY166" s="286"/>
      <c r="AZ166" s="284"/>
      <c r="BA166" s="286"/>
      <c r="BB166" s="284"/>
      <c r="BC166" s="286"/>
      <c r="BD166" s="284"/>
      <c r="BE166" s="286"/>
      <c r="BF166" s="284" t="s">
        <v>143</v>
      </c>
      <c r="BG166" s="285"/>
      <c r="BH166" s="285"/>
      <c r="BI166" s="285"/>
      <c r="BJ166" s="285"/>
      <c r="BK166" s="285"/>
      <c r="BL166" s="285"/>
      <c r="BM166" s="286"/>
      <c r="BN166" s="284" t="s">
        <v>201</v>
      </c>
      <c r="BO166" s="285"/>
      <c r="BP166" s="285"/>
      <c r="BQ166" s="285"/>
      <c r="BR166" s="285"/>
      <c r="BS166" s="285"/>
      <c r="BT166" s="285"/>
      <c r="BU166" s="286"/>
      <c r="BV166" s="288"/>
      <c r="BW166" s="288"/>
      <c r="BX166" s="288"/>
      <c r="BY166" s="288"/>
      <c r="BZ166" s="288"/>
      <c r="CA166" s="288"/>
      <c r="CB166" s="288"/>
      <c r="CC166" s="288"/>
      <c r="CD166" s="288"/>
      <c r="CE166" s="10"/>
      <c r="CF166" s="11"/>
    </row>
    <row r="167" spans="1:84" s="8" customFormat="1">
      <c r="A167" s="9"/>
      <c r="B167" s="32"/>
      <c r="C167" s="42"/>
      <c r="D167" s="42"/>
      <c r="E167" s="42"/>
      <c r="F167" s="42"/>
      <c r="G167" s="42"/>
      <c r="H167" s="42"/>
      <c r="I167" s="10"/>
      <c r="J167" s="33"/>
      <c r="K167" s="42"/>
      <c r="L167" s="42"/>
      <c r="M167" s="42"/>
      <c r="N167" s="42"/>
      <c r="O167" s="42"/>
      <c r="P167" s="42"/>
      <c r="Q167" s="10"/>
      <c r="R167" s="38">
        <v>3</v>
      </c>
      <c r="S167" s="36" t="s">
        <v>652</v>
      </c>
      <c r="T167" s="37"/>
      <c r="U167" s="37"/>
      <c r="V167" s="37"/>
      <c r="W167" s="37"/>
      <c r="X167" s="37"/>
      <c r="Y167" s="37"/>
      <c r="Z167" s="37"/>
      <c r="AA167" s="37"/>
      <c r="AB167" s="37"/>
      <c r="AC167" s="37"/>
      <c r="AD167" s="37"/>
      <c r="AE167" s="38"/>
      <c r="AF167" s="366"/>
      <c r="AG167" s="367"/>
      <c r="AH167" s="284"/>
      <c r="AI167" s="286"/>
      <c r="AJ167" s="284"/>
      <c r="AK167" s="286"/>
      <c r="AL167" s="284" t="s">
        <v>492</v>
      </c>
      <c r="AM167" s="286"/>
      <c r="AN167" s="284"/>
      <c r="AO167" s="286"/>
      <c r="AP167" s="284"/>
      <c r="AQ167" s="286"/>
      <c r="AR167" s="284"/>
      <c r="AS167" s="286"/>
      <c r="AT167" s="284"/>
      <c r="AU167" s="286"/>
      <c r="AV167" s="284"/>
      <c r="AW167" s="286"/>
      <c r="AX167" s="284"/>
      <c r="AY167" s="286"/>
      <c r="AZ167" s="284"/>
      <c r="BA167" s="286"/>
      <c r="BB167" s="284"/>
      <c r="BC167" s="286"/>
      <c r="BD167" s="284"/>
      <c r="BE167" s="286"/>
      <c r="BF167" s="284" t="s">
        <v>143</v>
      </c>
      <c r="BG167" s="285"/>
      <c r="BH167" s="285"/>
      <c r="BI167" s="285"/>
      <c r="BJ167" s="285"/>
      <c r="BK167" s="285"/>
      <c r="BL167" s="285"/>
      <c r="BM167" s="286"/>
      <c r="BN167" s="284" t="s">
        <v>201</v>
      </c>
      <c r="BO167" s="285"/>
      <c r="BP167" s="285"/>
      <c r="BQ167" s="285"/>
      <c r="BR167" s="285"/>
      <c r="BS167" s="285"/>
      <c r="BT167" s="285"/>
      <c r="BU167" s="286"/>
      <c r="BV167" s="288"/>
      <c r="BW167" s="288"/>
      <c r="BX167" s="288"/>
      <c r="BY167" s="288"/>
      <c r="BZ167" s="288"/>
      <c r="CA167" s="288"/>
      <c r="CB167" s="288"/>
      <c r="CC167" s="288"/>
      <c r="CD167" s="288"/>
      <c r="CE167" s="10"/>
    </row>
    <row r="168" spans="1:84" s="8" customFormat="1">
      <c r="A168" s="9"/>
      <c r="B168" s="32"/>
      <c r="C168" s="42"/>
      <c r="D168" s="42"/>
      <c r="E168" s="42"/>
      <c r="F168" s="42"/>
      <c r="G168" s="42"/>
      <c r="H168" s="42"/>
      <c r="I168" s="10"/>
      <c r="K168" s="42"/>
      <c r="L168" s="42"/>
      <c r="M168" s="42"/>
      <c r="N168" s="42"/>
      <c r="O168" s="42"/>
      <c r="P168" s="42"/>
      <c r="Q168" s="10"/>
      <c r="R168" s="31">
        <v>4</v>
      </c>
      <c r="S168" s="36" t="s">
        <v>653</v>
      </c>
      <c r="T168" s="37"/>
      <c r="U168" s="37"/>
      <c r="V168" s="37"/>
      <c r="W168" s="37"/>
      <c r="X168" s="37"/>
      <c r="Y168" s="37"/>
      <c r="Z168" s="37"/>
      <c r="AA168" s="37"/>
      <c r="AB168" s="37"/>
      <c r="AC168" s="37"/>
      <c r="AD168" s="37"/>
      <c r="AE168" s="38"/>
      <c r="AF168" s="366"/>
      <c r="AG168" s="367"/>
      <c r="AH168" s="284"/>
      <c r="AI168" s="286"/>
      <c r="AJ168" s="284"/>
      <c r="AK168" s="286"/>
      <c r="AL168" s="284"/>
      <c r="AM168" s="286"/>
      <c r="AN168" s="284"/>
      <c r="AO168" s="286"/>
      <c r="AP168" s="284"/>
      <c r="AQ168" s="286"/>
      <c r="AR168" s="284"/>
      <c r="AS168" s="286"/>
      <c r="AT168" s="284"/>
      <c r="AU168" s="286"/>
      <c r="AV168" s="284"/>
      <c r="AW168" s="286"/>
      <c r="AX168" s="284"/>
      <c r="AY168" s="286"/>
      <c r="AZ168" s="284"/>
      <c r="BA168" s="286"/>
      <c r="BB168" s="284" t="s">
        <v>492</v>
      </c>
      <c r="BC168" s="286"/>
      <c r="BD168" s="284"/>
      <c r="BE168" s="286"/>
      <c r="BF168" s="284" t="s">
        <v>143</v>
      </c>
      <c r="BG168" s="285"/>
      <c r="BH168" s="285"/>
      <c r="BI168" s="285"/>
      <c r="BJ168" s="285"/>
      <c r="BK168" s="285"/>
      <c r="BL168" s="285"/>
      <c r="BM168" s="286"/>
      <c r="BN168" s="284" t="s">
        <v>201</v>
      </c>
      <c r="BO168" s="285"/>
      <c r="BP168" s="285"/>
      <c r="BQ168" s="285"/>
      <c r="BR168" s="285"/>
      <c r="BS168" s="285"/>
      <c r="BT168" s="285"/>
      <c r="BU168" s="286"/>
      <c r="BV168" s="288"/>
      <c r="BW168" s="288"/>
      <c r="BX168" s="288"/>
      <c r="BY168" s="288"/>
      <c r="BZ168" s="288"/>
      <c r="CA168" s="288"/>
      <c r="CB168" s="288"/>
      <c r="CC168" s="288"/>
      <c r="CD168" s="288"/>
      <c r="CE168" s="10"/>
    </row>
    <row r="169" spans="1:84" s="8" customFormat="1">
      <c r="A169" s="9"/>
      <c r="B169" s="32"/>
      <c r="C169" s="42"/>
      <c r="D169" s="42"/>
      <c r="E169" s="42"/>
      <c r="F169" s="42"/>
      <c r="G169" s="42"/>
      <c r="H169" s="42"/>
      <c r="I169" s="10"/>
      <c r="J169" s="29" t="s">
        <v>674</v>
      </c>
      <c r="K169" s="30"/>
      <c r="L169" s="30"/>
      <c r="M169" s="30"/>
      <c r="N169" s="30"/>
      <c r="O169" s="30"/>
      <c r="P169" s="30"/>
      <c r="Q169" s="31"/>
      <c r="R169" s="38">
        <v>1</v>
      </c>
      <c r="S169" s="36" t="s">
        <v>675</v>
      </c>
      <c r="T169" s="37"/>
      <c r="U169" s="37"/>
      <c r="V169" s="37"/>
      <c r="W169" s="37"/>
      <c r="X169" s="37"/>
      <c r="Y169" s="37"/>
      <c r="Z169" s="37"/>
      <c r="AA169" s="37"/>
      <c r="AB169" s="37"/>
      <c r="AC169" s="37"/>
      <c r="AD169" s="37"/>
      <c r="AE169" s="38"/>
      <c r="AF169" s="366"/>
      <c r="AG169" s="367"/>
      <c r="AH169" s="284"/>
      <c r="AI169" s="286"/>
      <c r="AJ169" s="284" t="s">
        <v>492</v>
      </c>
      <c r="AK169" s="286"/>
      <c r="AL169" s="284"/>
      <c r="AM169" s="286"/>
      <c r="AN169" s="284"/>
      <c r="AO169" s="286"/>
      <c r="AP169" s="284"/>
      <c r="AQ169" s="286"/>
      <c r="AR169" s="284"/>
      <c r="AS169" s="286"/>
      <c r="AT169" s="284"/>
      <c r="AU169" s="286"/>
      <c r="AV169" s="284"/>
      <c r="AW169" s="286"/>
      <c r="AX169" s="284"/>
      <c r="AY169" s="286"/>
      <c r="AZ169" s="284"/>
      <c r="BA169" s="286"/>
      <c r="BB169" s="284"/>
      <c r="BC169" s="286"/>
      <c r="BD169" s="284"/>
      <c r="BE169" s="286"/>
      <c r="BF169" s="360" t="s">
        <v>228</v>
      </c>
      <c r="BG169" s="361"/>
      <c r="BH169" s="361"/>
      <c r="BI169" s="361"/>
      <c r="BJ169" s="361"/>
      <c r="BK169" s="361"/>
      <c r="BL169" s="361"/>
      <c r="BM169" s="362"/>
      <c r="BN169" s="284" t="s">
        <v>201</v>
      </c>
      <c r="BO169" s="285"/>
      <c r="BP169" s="285"/>
      <c r="BQ169" s="285"/>
      <c r="BR169" s="285"/>
      <c r="BS169" s="285"/>
      <c r="BT169" s="285"/>
      <c r="BU169" s="286"/>
      <c r="BV169" s="288"/>
      <c r="BW169" s="288"/>
      <c r="BX169" s="288"/>
      <c r="BY169" s="288"/>
      <c r="BZ169" s="288"/>
      <c r="CA169" s="288"/>
      <c r="CB169" s="288"/>
      <c r="CC169" s="288"/>
      <c r="CD169" s="288"/>
      <c r="CE169" s="10"/>
    </row>
    <row r="170" spans="1:84" s="8" customFormat="1">
      <c r="A170" s="9"/>
      <c r="B170" s="32"/>
      <c r="C170" s="42"/>
      <c r="D170" s="42"/>
      <c r="E170" s="42"/>
      <c r="F170" s="42"/>
      <c r="G170" s="42"/>
      <c r="H170" s="42"/>
      <c r="I170" s="10"/>
      <c r="J170" s="48"/>
      <c r="K170" s="34"/>
      <c r="L170" s="34"/>
      <c r="M170" s="34"/>
      <c r="N170" s="34"/>
      <c r="O170" s="34"/>
      <c r="P170" s="34"/>
      <c r="Q170" s="35"/>
      <c r="R170" s="38">
        <v>2</v>
      </c>
      <c r="S170" s="36" t="s">
        <v>676</v>
      </c>
      <c r="T170" s="37"/>
      <c r="U170" s="37"/>
      <c r="V170" s="37"/>
      <c r="W170" s="37"/>
      <c r="X170" s="37"/>
      <c r="Y170" s="37"/>
      <c r="Z170" s="37"/>
      <c r="AA170" s="37"/>
      <c r="AB170" s="37"/>
      <c r="AC170" s="37"/>
      <c r="AD170" s="37"/>
      <c r="AE170" s="38"/>
      <c r="AF170" s="366"/>
      <c r="AG170" s="367"/>
      <c r="AH170" s="284"/>
      <c r="AI170" s="286"/>
      <c r="AJ170" s="284" t="s">
        <v>492</v>
      </c>
      <c r="AK170" s="286"/>
      <c r="AL170" s="284"/>
      <c r="AM170" s="286"/>
      <c r="AN170" s="284"/>
      <c r="AO170" s="286"/>
      <c r="AP170" s="284"/>
      <c r="AQ170" s="286"/>
      <c r="AR170" s="284"/>
      <c r="AS170" s="286"/>
      <c r="AT170" s="284"/>
      <c r="AU170" s="286"/>
      <c r="AV170" s="284"/>
      <c r="AW170" s="286"/>
      <c r="AX170" s="284"/>
      <c r="AY170" s="286"/>
      <c r="AZ170" s="284"/>
      <c r="BA170" s="286"/>
      <c r="BB170" s="284"/>
      <c r="BC170" s="286"/>
      <c r="BD170" s="284"/>
      <c r="BE170" s="286"/>
      <c r="BF170" s="360" t="s">
        <v>228</v>
      </c>
      <c r="BG170" s="361"/>
      <c r="BH170" s="361"/>
      <c r="BI170" s="361"/>
      <c r="BJ170" s="361"/>
      <c r="BK170" s="361"/>
      <c r="BL170" s="361"/>
      <c r="BM170" s="362"/>
      <c r="BN170" s="284" t="s">
        <v>201</v>
      </c>
      <c r="BO170" s="285"/>
      <c r="BP170" s="285"/>
      <c r="BQ170" s="285"/>
      <c r="BR170" s="285"/>
      <c r="BS170" s="285"/>
      <c r="BT170" s="285"/>
      <c r="BU170" s="286"/>
      <c r="BV170" s="288"/>
      <c r="BW170" s="288"/>
      <c r="BX170" s="288"/>
      <c r="BY170" s="288"/>
      <c r="BZ170" s="288"/>
      <c r="CA170" s="288"/>
      <c r="CB170" s="288"/>
      <c r="CC170" s="288"/>
      <c r="CD170" s="288"/>
      <c r="CE170" s="10"/>
    </row>
    <row r="171" spans="1:84" s="8" customFormat="1">
      <c r="A171" s="9"/>
      <c r="B171" s="32"/>
      <c r="C171" s="42"/>
      <c r="D171" s="42"/>
      <c r="E171" s="42"/>
      <c r="F171" s="42"/>
      <c r="G171" s="42"/>
      <c r="H171" s="42"/>
      <c r="I171" s="10"/>
      <c r="J171" s="33" t="s">
        <v>677</v>
      </c>
      <c r="K171" s="42"/>
      <c r="L171" s="42"/>
      <c r="M171" s="42"/>
      <c r="N171" s="42"/>
      <c r="O171" s="42"/>
      <c r="P171" s="42"/>
      <c r="Q171" s="10"/>
      <c r="R171" s="38">
        <v>1</v>
      </c>
      <c r="S171" s="49" t="s">
        <v>678</v>
      </c>
      <c r="T171" s="37"/>
      <c r="U171" s="37"/>
      <c r="V171" s="37"/>
      <c r="W171" s="37"/>
      <c r="X171" s="37"/>
      <c r="Y171" s="37"/>
      <c r="Z171" s="37"/>
      <c r="AA171" s="37"/>
      <c r="AB171" s="37"/>
      <c r="AC171" s="37"/>
      <c r="AD171" s="37"/>
      <c r="AE171" s="38"/>
      <c r="AF171" s="366"/>
      <c r="AG171" s="367"/>
      <c r="AH171" s="284"/>
      <c r="AI171" s="286"/>
      <c r="AJ171" s="284" t="s">
        <v>492</v>
      </c>
      <c r="AK171" s="286"/>
      <c r="AL171" s="284"/>
      <c r="AM171" s="286"/>
      <c r="AN171" s="284"/>
      <c r="AO171" s="286"/>
      <c r="AP171" s="284"/>
      <c r="AQ171" s="286"/>
      <c r="AR171" s="284"/>
      <c r="AS171" s="286"/>
      <c r="AT171" s="284"/>
      <c r="AU171" s="286"/>
      <c r="AV171" s="284"/>
      <c r="AW171" s="286"/>
      <c r="AX171" s="284"/>
      <c r="AY171" s="286"/>
      <c r="AZ171" s="284"/>
      <c r="BA171" s="286"/>
      <c r="BB171" s="284"/>
      <c r="BC171" s="286"/>
      <c r="BD171" s="284"/>
      <c r="BE171" s="286"/>
      <c r="BF171" s="284" t="s">
        <v>131</v>
      </c>
      <c r="BG171" s="285"/>
      <c r="BH171" s="285"/>
      <c r="BI171" s="285"/>
      <c r="BJ171" s="285"/>
      <c r="BK171" s="285"/>
      <c r="BL171" s="285"/>
      <c r="BM171" s="286"/>
      <c r="BN171" s="284" t="s">
        <v>362</v>
      </c>
      <c r="BO171" s="285"/>
      <c r="BP171" s="285"/>
      <c r="BQ171" s="285"/>
      <c r="BR171" s="285"/>
      <c r="BS171" s="285"/>
      <c r="BT171" s="285"/>
      <c r="BU171" s="286"/>
      <c r="BV171" s="288"/>
      <c r="BW171" s="288"/>
      <c r="BX171" s="288"/>
      <c r="BY171" s="288"/>
      <c r="BZ171" s="288"/>
      <c r="CA171" s="288"/>
      <c r="CB171" s="288"/>
      <c r="CC171" s="288"/>
      <c r="CD171" s="288"/>
      <c r="CE171" s="10"/>
    </row>
    <row r="172" spans="1:84" s="8" customFormat="1">
      <c r="A172" s="9"/>
      <c r="B172" s="12"/>
      <c r="J172" s="12"/>
      <c r="Q172" s="10"/>
      <c r="R172" s="38">
        <v>2</v>
      </c>
      <c r="S172" s="36" t="s">
        <v>679</v>
      </c>
      <c r="T172" s="37"/>
      <c r="U172" s="37"/>
      <c r="V172" s="37"/>
      <c r="W172" s="37"/>
      <c r="X172" s="37"/>
      <c r="Y172" s="37"/>
      <c r="Z172" s="37"/>
      <c r="AA172" s="37"/>
      <c r="AB172" s="37"/>
      <c r="AC172" s="37"/>
      <c r="AD172" s="37"/>
      <c r="AE172" s="38"/>
      <c r="AF172" s="366"/>
      <c r="AG172" s="367"/>
      <c r="AH172" s="284"/>
      <c r="AI172" s="286"/>
      <c r="AJ172" s="284" t="s">
        <v>492</v>
      </c>
      <c r="AK172" s="286"/>
      <c r="AL172" s="284"/>
      <c r="AM172" s="286"/>
      <c r="AN172" s="284"/>
      <c r="AO172" s="286"/>
      <c r="AP172" s="284"/>
      <c r="AQ172" s="286"/>
      <c r="AR172" s="284"/>
      <c r="AS172" s="286"/>
      <c r="AT172" s="284"/>
      <c r="AU172" s="286"/>
      <c r="AV172" s="284"/>
      <c r="AW172" s="286"/>
      <c r="AX172" s="284"/>
      <c r="AY172" s="286"/>
      <c r="AZ172" s="284"/>
      <c r="BA172" s="286"/>
      <c r="BB172" s="284"/>
      <c r="BC172" s="286"/>
      <c r="BD172" s="284"/>
      <c r="BE172" s="286"/>
      <c r="BF172" s="284" t="s">
        <v>143</v>
      </c>
      <c r="BG172" s="285"/>
      <c r="BH172" s="285"/>
      <c r="BI172" s="285"/>
      <c r="BJ172" s="285"/>
      <c r="BK172" s="285"/>
      <c r="BL172" s="285"/>
      <c r="BM172" s="286"/>
      <c r="BN172" s="284" t="s">
        <v>201</v>
      </c>
      <c r="BO172" s="285"/>
      <c r="BP172" s="285"/>
      <c r="BQ172" s="285"/>
      <c r="BR172" s="285"/>
      <c r="BS172" s="285"/>
      <c r="BT172" s="285"/>
      <c r="BU172" s="286"/>
      <c r="BV172" s="288"/>
      <c r="BW172" s="288"/>
      <c r="BX172" s="288"/>
      <c r="BY172" s="288"/>
      <c r="BZ172" s="288"/>
      <c r="CA172" s="288"/>
      <c r="CB172" s="288"/>
      <c r="CC172" s="288"/>
      <c r="CD172" s="288"/>
      <c r="CE172" s="10"/>
      <c r="CF172" s="11"/>
    </row>
    <row r="173" spans="1:84" s="8" customFormat="1">
      <c r="A173" s="9"/>
      <c r="B173" s="29" t="s">
        <v>680</v>
      </c>
      <c r="C173" s="30"/>
      <c r="D173" s="30"/>
      <c r="E173" s="30"/>
      <c r="F173" s="30"/>
      <c r="G173" s="30"/>
      <c r="H173" s="30"/>
      <c r="I173" s="31"/>
      <c r="J173" s="29" t="s">
        <v>681</v>
      </c>
      <c r="K173" s="30"/>
      <c r="L173" s="30"/>
      <c r="M173" s="30"/>
      <c r="N173" s="30"/>
      <c r="O173" s="30"/>
      <c r="P173" s="30"/>
      <c r="Q173" s="31"/>
      <c r="R173" s="38">
        <v>1</v>
      </c>
      <c r="S173" s="36" t="s">
        <v>682</v>
      </c>
      <c r="T173" s="37"/>
      <c r="U173" s="37"/>
      <c r="V173" s="37"/>
      <c r="W173" s="37"/>
      <c r="X173" s="37"/>
      <c r="Y173" s="37"/>
      <c r="Z173" s="37"/>
      <c r="AA173" s="37"/>
      <c r="AB173" s="37"/>
      <c r="AC173" s="37"/>
      <c r="AD173" s="37"/>
      <c r="AE173" s="38"/>
      <c r="AF173" s="284" t="s">
        <v>492</v>
      </c>
      <c r="AG173" s="286"/>
      <c r="AH173" s="284"/>
      <c r="AI173" s="286"/>
      <c r="AJ173" s="284"/>
      <c r="AK173" s="286"/>
      <c r="AL173" s="284"/>
      <c r="AM173" s="286"/>
      <c r="AN173" s="284"/>
      <c r="AO173" s="286"/>
      <c r="AP173" s="284"/>
      <c r="AQ173" s="286"/>
      <c r="AR173" s="284"/>
      <c r="AS173" s="286"/>
      <c r="AT173" s="284"/>
      <c r="AU173" s="286"/>
      <c r="AV173" s="284"/>
      <c r="AW173" s="286"/>
      <c r="AX173" s="284"/>
      <c r="AY173" s="286"/>
      <c r="AZ173" s="284"/>
      <c r="BA173" s="286"/>
      <c r="BB173" s="284"/>
      <c r="BC173" s="286"/>
      <c r="BD173" s="284"/>
      <c r="BE173" s="286"/>
      <c r="BF173" s="284" t="s">
        <v>143</v>
      </c>
      <c r="BG173" s="285"/>
      <c r="BH173" s="285"/>
      <c r="BI173" s="285"/>
      <c r="BJ173" s="285"/>
      <c r="BK173" s="285"/>
      <c r="BL173" s="285"/>
      <c r="BM173" s="286"/>
      <c r="BN173" s="284" t="s">
        <v>201</v>
      </c>
      <c r="BO173" s="285"/>
      <c r="BP173" s="285"/>
      <c r="BQ173" s="285"/>
      <c r="BR173" s="285"/>
      <c r="BS173" s="285"/>
      <c r="BT173" s="285"/>
      <c r="BU173" s="286"/>
      <c r="BV173" s="288"/>
      <c r="BW173" s="288"/>
      <c r="BX173" s="288"/>
      <c r="BY173" s="288"/>
      <c r="BZ173" s="288"/>
      <c r="CA173" s="288"/>
      <c r="CB173" s="288"/>
      <c r="CC173" s="288"/>
      <c r="CD173" s="288"/>
      <c r="CE173" s="10"/>
    </row>
    <row r="174" spans="1:84" s="8" customFormat="1" ht="15" customHeight="1">
      <c r="A174" s="9"/>
      <c r="B174" s="32"/>
      <c r="C174" s="42"/>
      <c r="D174" s="42"/>
      <c r="E174" s="42"/>
      <c r="F174" s="42"/>
      <c r="G174" s="42"/>
      <c r="H174" s="42"/>
      <c r="I174" s="10"/>
      <c r="K174" s="42"/>
      <c r="L174" s="42"/>
      <c r="M174" s="42"/>
      <c r="N174" s="42"/>
      <c r="O174" s="42"/>
      <c r="P174" s="42"/>
      <c r="Q174" s="10"/>
      <c r="R174" s="38">
        <v>2</v>
      </c>
      <c r="S174" s="36" t="s">
        <v>683</v>
      </c>
      <c r="T174" s="37"/>
      <c r="U174" s="37"/>
      <c r="V174" s="37"/>
      <c r="W174" s="37"/>
      <c r="X174" s="37"/>
      <c r="Y174" s="37"/>
      <c r="Z174" s="37"/>
      <c r="AA174" s="37"/>
      <c r="AB174" s="37"/>
      <c r="AC174" s="37"/>
      <c r="AD174" s="37"/>
      <c r="AE174" s="38"/>
      <c r="AF174" s="366"/>
      <c r="AG174" s="367"/>
      <c r="AH174" s="284"/>
      <c r="AI174" s="286"/>
      <c r="AJ174" s="284" t="s">
        <v>492</v>
      </c>
      <c r="AK174" s="286"/>
      <c r="AL174" s="284"/>
      <c r="AM174" s="286"/>
      <c r="AN174" s="284"/>
      <c r="AO174" s="286"/>
      <c r="AP174" s="284"/>
      <c r="AQ174" s="286"/>
      <c r="AR174" s="284"/>
      <c r="AS174" s="286"/>
      <c r="AT174" s="284"/>
      <c r="AU174" s="286"/>
      <c r="AV174" s="284"/>
      <c r="AW174" s="286"/>
      <c r="AX174" s="284"/>
      <c r="AY174" s="286"/>
      <c r="AZ174" s="284"/>
      <c r="BA174" s="286"/>
      <c r="BB174" s="284"/>
      <c r="BC174" s="286"/>
      <c r="BD174" s="284"/>
      <c r="BE174" s="286"/>
      <c r="BF174" s="284" t="s">
        <v>143</v>
      </c>
      <c r="BG174" s="285"/>
      <c r="BH174" s="285"/>
      <c r="BI174" s="285"/>
      <c r="BJ174" s="285"/>
      <c r="BK174" s="285"/>
      <c r="BL174" s="285"/>
      <c r="BM174" s="286"/>
      <c r="BN174" s="284" t="s">
        <v>201</v>
      </c>
      <c r="BO174" s="285"/>
      <c r="BP174" s="285"/>
      <c r="BQ174" s="285"/>
      <c r="BR174" s="285"/>
      <c r="BS174" s="285"/>
      <c r="BT174" s="285"/>
      <c r="BU174" s="286"/>
      <c r="BV174" s="288"/>
      <c r="BW174" s="288"/>
      <c r="BX174" s="288"/>
      <c r="BY174" s="288"/>
      <c r="BZ174" s="288"/>
      <c r="CA174" s="288"/>
      <c r="CB174" s="288"/>
      <c r="CC174" s="288"/>
      <c r="CD174" s="288"/>
      <c r="CE174" s="10"/>
    </row>
    <row r="175" spans="1:84" s="8" customFormat="1" ht="27" customHeight="1">
      <c r="A175" s="9"/>
      <c r="B175" s="32"/>
      <c r="C175" s="42"/>
      <c r="D175" s="42"/>
      <c r="E175" s="42"/>
      <c r="F175" s="42"/>
      <c r="G175" s="42"/>
      <c r="H175" s="42"/>
      <c r="I175" s="10"/>
      <c r="J175" s="32"/>
      <c r="K175" s="42"/>
      <c r="L175" s="42"/>
      <c r="M175" s="42"/>
      <c r="N175" s="42"/>
      <c r="O175" s="42"/>
      <c r="P175" s="42"/>
      <c r="Q175" s="10"/>
      <c r="R175" s="38">
        <v>3</v>
      </c>
      <c r="S175" s="36" t="s">
        <v>684</v>
      </c>
      <c r="T175" s="37"/>
      <c r="U175" s="37"/>
      <c r="V175" s="37"/>
      <c r="W175" s="37"/>
      <c r="X175" s="37"/>
      <c r="Y175" s="37"/>
      <c r="Z175" s="37"/>
      <c r="AA175" s="37"/>
      <c r="AB175" s="37"/>
      <c r="AC175" s="37"/>
      <c r="AD175" s="37"/>
      <c r="AE175" s="38"/>
      <c r="AF175" s="366"/>
      <c r="AG175" s="367"/>
      <c r="AH175" s="284"/>
      <c r="AI175" s="286"/>
      <c r="AJ175" s="284" t="s">
        <v>492</v>
      </c>
      <c r="AK175" s="286"/>
      <c r="AL175" s="284"/>
      <c r="AM175" s="286"/>
      <c r="AN175" s="284"/>
      <c r="AO175" s="286"/>
      <c r="AP175" s="284"/>
      <c r="AQ175" s="286"/>
      <c r="AR175" s="284"/>
      <c r="AS175" s="286"/>
      <c r="AT175" s="284"/>
      <c r="AU175" s="286"/>
      <c r="AV175" s="284"/>
      <c r="AW175" s="286"/>
      <c r="AX175" s="284"/>
      <c r="AY175" s="286"/>
      <c r="AZ175" s="284"/>
      <c r="BA175" s="286"/>
      <c r="BB175" s="284"/>
      <c r="BC175" s="286"/>
      <c r="BD175" s="284"/>
      <c r="BE175" s="286"/>
      <c r="BF175" s="333" t="s">
        <v>493</v>
      </c>
      <c r="BG175" s="358"/>
      <c r="BH175" s="358"/>
      <c r="BI175" s="358"/>
      <c r="BJ175" s="358"/>
      <c r="BK175" s="358"/>
      <c r="BL175" s="358"/>
      <c r="BM175" s="359"/>
      <c r="BN175" s="284" t="s">
        <v>201</v>
      </c>
      <c r="BO175" s="285"/>
      <c r="BP175" s="285"/>
      <c r="BQ175" s="285"/>
      <c r="BR175" s="285"/>
      <c r="BS175" s="285"/>
      <c r="BT175" s="285"/>
      <c r="BU175" s="286"/>
      <c r="BV175" s="288"/>
      <c r="BW175" s="288"/>
      <c r="BX175" s="288"/>
      <c r="BY175" s="288"/>
      <c r="BZ175" s="288"/>
      <c r="CA175" s="288"/>
      <c r="CB175" s="288"/>
      <c r="CC175" s="288"/>
      <c r="CD175" s="288"/>
      <c r="CE175" s="10"/>
      <c r="CF175" s="11"/>
    </row>
    <row r="176" spans="1:84" s="8" customFormat="1">
      <c r="A176" s="9"/>
      <c r="B176" s="32"/>
      <c r="C176" s="42"/>
      <c r="D176" s="42"/>
      <c r="E176" s="42"/>
      <c r="F176" s="42"/>
      <c r="G176" s="42"/>
      <c r="H176" s="42"/>
      <c r="I176" s="10"/>
      <c r="J176" s="33"/>
      <c r="K176" s="42"/>
      <c r="L176" s="42"/>
      <c r="M176" s="42"/>
      <c r="N176" s="42"/>
      <c r="O176" s="42"/>
      <c r="P176" s="42"/>
      <c r="Q176" s="10"/>
      <c r="R176" s="38">
        <v>4</v>
      </c>
      <c r="S176" s="36" t="s">
        <v>682</v>
      </c>
      <c r="T176" s="37"/>
      <c r="U176" s="37"/>
      <c r="V176" s="37"/>
      <c r="W176" s="37"/>
      <c r="X176" s="37"/>
      <c r="Y176" s="37"/>
      <c r="Z176" s="37"/>
      <c r="AA176" s="37"/>
      <c r="AB176" s="37"/>
      <c r="AC176" s="37"/>
      <c r="AD176" s="37"/>
      <c r="AE176" s="38"/>
      <c r="AF176" s="366"/>
      <c r="AG176" s="367"/>
      <c r="AH176" s="284"/>
      <c r="AI176" s="286"/>
      <c r="AJ176" s="284" t="s">
        <v>492</v>
      </c>
      <c r="AK176" s="286"/>
      <c r="AL176" s="284"/>
      <c r="AM176" s="286"/>
      <c r="AN176" s="284"/>
      <c r="AO176" s="286"/>
      <c r="AP176" s="284"/>
      <c r="AQ176" s="286"/>
      <c r="AR176" s="284"/>
      <c r="AS176" s="286"/>
      <c r="AT176" s="284"/>
      <c r="AU176" s="286"/>
      <c r="AV176" s="284"/>
      <c r="AW176" s="286"/>
      <c r="AX176" s="284"/>
      <c r="AY176" s="286"/>
      <c r="AZ176" s="284"/>
      <c r="BA176" s="286"/>
      <c r="BB176" s="284"/>
      <c r="BC176" s="286"/>
      <c r="BD176" s="284"/>
      <c r="BE176" s="286"/>
      <c r="BF176" s="284" t="s">
        <v>143</v>
      </c>
      <c r="BG176" s="285"/>
      <c r="BH176" s="285"/>
      <c r="BI176" s="285"/>
      <c r="BJ176" s="285"/>
      <c r="BK176" s="285"/>
      <c r="BL176" s="285"/>
      <c r="BM176" s="286"/>
      <c r="BN176" s="284" t="s">
        <v>201</v>
      </c>
      <c r="BO176" s="285"/>
      <c r="BP176" s="285"/>
      <c r="BQ176" s="285"/>
      <c r="BR176" s="285"/>
      <c r="BS176" s="285"/>
      <c r="BT176" s="285"/>
      <c r="BU176" s="286"/>
      <c r="BV176" s="288"/>
      <c r="BW176" s="288"/>
      <c r="BX176" s="288"/>
      <c r="BY176" s="288"/>
      <c r="BZ176" s="288"/>
      <c r="CA176" s="288"/>
      <c r="CB176" s="288"/>
      <c r="CC176" s="288"/>
      <c r="CD176" s="288"/>
      <c r="CE176" s="10"/>
    </row>
    <row r="177" spans="1:84" s="8" customFormat="1">
      <c r="A177" s="9"/>
      <c r="B177" s="32"/>
      <c r="C177" s="42"/>
      <c r="D177" s="42"/>
      <c r="E177" s="42"/>
      <c r="F177" s="42"/>
      <c r="G177" s="42"/>
      <c r="H177" s="42"/>
      <c r="I177" s="10"/>
      <c r="K177" s="42"/>
      <c r="L177" s="42"/>
      <c r="M177" s="42"/>
      <c r="N177" s="42"/>
      <c r="O177" s="42"/>
      <c r="P177" s="42"/>
      <c r="Q177" s="10"/>
      <c r="R177" s="38">
        <v>5</v>
      </c>
      <c r="S177" s="36" t="s">
        <v>685</v>
      </c>
      <c r="T177" s="37"/>
      <c r="U177" s="37"/>
      <c r="V177" s="37"/>
      <c r="W177" s="37"/>
      <c r="X177" s="37"/>
      <c r="Y177" s="37"/>
      <c r="Z177" s="37"/>
      <c r="AA177" s="37"/>
      <c r="AB177" s="37"/>
      <c r="AC177" s="37"/>
      <c r="AD177" s="37"/>
      <c r="AE177" s="38"/>
      <c r="AF177" s="366"/>
      <c r="AG177" s="367"/>
      <c r="AH177" s="284"/>
      <c r="AI177" s="286"/>
      <c r="AJ177" s="284"/>
      <c r="AK177" s="286"/>
      <c r="AL177" s="284" t="s">
        <v>492</v>
      </c>
      <c r="AM177" s="286"/>
      <c r="AN177" s="284"/>
      <c r="AO177" s="286"/>
      <c r="AP177" s="284"/>
      <c r="AQ177" s="286"/>
      <c r="AR177" s="284"/>
      <c r="AS177" s="286"/>
      <c r="AT177" s="284"/>
      <c r="AU177" s="286"/>
      <c r="AV177" s="284"/>
      <c r="AW177" s="286"/>
      <c r="AX177" s="284"/>
      <c r="AY177" s="286"/>
      <c r="AZ177" s="284"/>
      <c r="BA177" s="286"/>
      <c r="BB177" s="284"/>
      <c r="BC177" s="286"/>
      <c r="BD177" s="284"/>
      <c r="BE177" s="286"/>
      <c r="BF177" s="284" t="s">
        <v>143</v>
      </c>
      <c r="BG177" s="285"/>
      <c r="BH177" s="285"/>
      <c r="BI177" s="285"/>
      <c r="BJ177" s="285"/>
      <c r="BK177" s="285"/>
      <c r="BL177" s="285"/>
      <c r="BM177" s="286"/>
      <c r="BN177" s="284" t="s">
        <v>201</v>
      </c>
      <c r="BO177" s="285"/>
      <c r="BP177" s="285"/>
      <c r="BQ177" s="285"/>
      <c r="BR177" s="285"/>
      <c r="BS177" s="285"/>
      <c r="BT177" s="285"/>
      <c r="BU177" s="286"/>
      <c r="BV177" s="288"/>
      <c r="BW177" s="288"/>
      <c r="BX177" s="288"/>
      <c r="BY177" s="288"/>
      <c r="BZ177" s="288"/>
      <c r="CA177" s="288"/>
      <c r="CB177" s="288"/>
      <c r="CC177" s="288"/>
      <c r="CD177" s="288"/>
      <c r="CE177" s="10"/>
    </row>
    <row r="178" spans="1:84" s="8" customFormat="1">
      <c r="A178" s="9"/>
      <c r="B178" s="32"/>
      <c r="C178" s="42"/>
      <c r="D178" s="42"/>
      <c r="E178" s="42"/>
      <c r="F178" s="42"/>
      <c r="G178" s="42"/>
      <c r="H178" s="42"/>
      <c r="I178" s="10"/>
      <c r="J178" s="29" t="s">
        <v>686</v>
      </c>
      <c r="K178" s="30"/>
      <c r="L178" s="30"/>
      <c r="M178" s="30"/>
      <c r="N178" s="30"/>
      <c r="O178" s="30"/>
      <c r="P178" s="30"/>
      <c r="Q178" s="31"/>
      <c r="R178" s="38">
        <v>1</v>
      </c>
      <c r="S178" s="36" t="s">
        <v>687</v>
      </c>
      <c r="T178" s="37"/>
      <c r="U178" s="37"/>
      <c r="V178" s="37"/>
      <c r="W178" s="37"/>
      <c r="X178" s="37"/>
      <c r="Y178" s="37"/>
      <c r="Z178" s="37"/>
      <c r="AA178" s="37"/>
      <c r="AB178" s="37"/>
      <c r="AC178" s="37"/>
      <c r="AD178" s="37"/>
      <c r="AE178" s="38"/>
      <c r="AF178" s="366"/>
      <c r="AG178" s="367"/>
      <c r="AH178" s="284"/>
      <c r="AI178" s="286"/>
      <c r="AJ178" s="284"/>
      <c r="AK178" s="286"/>
      <c r="AL178" s="284" t="s">
        <v>492</v>
      </c>
      <c r="AM178" s="286"/>
      <c r="AN178" s="284"/>
      <c r="AO178" s="286"/>
      <c r="AP178" s="284"/>
      <c r="AQ178" s="286"/>
      <c r="AR178" s="284"/>
      <c r="AS178" s="286"/>
      <c r="AT178" s="284"/>
      <c r="AU178" s="286"/>
      <c r="AV178" s="284"/>
      <c r="AW178" s="286"/>
      <c r="AX178" s="284"/>
      <c r="AY178" s="286"/>
      <c r="AZ178" s="284"/>
      <c r="BA178" s="286"/>
      <c r="BB178" s="284"/>
      <c r="BC178" s="286"/>
      <c r="BD178" s="284"/>
      <c r="BE178" s="286"/>
      <c r="BF178" s="284" t="s">
        <v>143</v>
      </c>
      <c r="BG178" s="285"/>
      <c r="BH178" s="285"/>
      <c r="BI178" s="285"/>
      <c r="BJ178" s="285"/>
      <c r="BK178" s="285"/>
      <c r="BL178" s="285"/>
      <c r="BM178" s="286"/>
      <c r="BN178" s="284" t="s">
        <v>201</v>
      </c>
      <c r="BO178" s="285"/>
      <c r="BP178" s="285"/>
      <c r="BQ178" s="285"/>
      <c r="BR178" s="285"/>
      <c r="BS178" s="285"/>
      <c r="BT178" s="285"/>
      <c r="BU178" s="286"/>
      <c r="BV178" s="288"/>
      <c r="BW178" s="288"/>
      <c r="BX178" s="288"/>
      <c r="BY178" s="288"/>
      <c r="BZ178" s="288"/>
      <c r="CA178" s="288"/>
      <c r="CB178" s="288"/>
      <c r="CC178" s="288"/>
      <c r="CD178" s="288"/>
      <c r="CE178" s="10"/>
      <c r="CF178" s="11"/>
    </row>
    <row r="179" spans="1:84" s="8" customFormat="1">
      <c r="A179" s="9"/>
      <c r="B179" s="32"/>
      <c r="C179" s="42"/>
      <c r="D179" s="42"/>
      <c r="E179" s="42"/>
      <c r="F179" s="42"/>
      <c r="G179" s="42"/>
      <c r="H179" s="42"/>
      <c r="I179" s="10"/>
      <c r="J179" s="33"/>
      <c r="K179" s="42"/>
      <c r="L179" s="42"/>
      <c r="M179" s="42"/>
      <c r="N179" s="42"/>
      <c r="O179" s="42"/>
      <c r="P179" s="42"/>
      <c r="Q179" s="10"/>
      <c r="R179" s="38">
        <v>2</v>
      </c>
      <c r="S179" s="36" t="s">
        <v>688</v>
      </c>
      <c r="T179" s="37"/>
      <c r="U179" s="37"/>
      <c r="V179" s="37"/>
      <c r="W179" s="37"/>
      <c r="X179" s="37"/>
      <c r="Y179" s="37"/>
      <c r="Z179" s="37"/>
      <c r="AA179" s="37"/>
      <c r="AB179" s="37"/>
      <c r="AC179" s="37"/>
      <c r="AD179" s="37"/>
      <c r="AE179" s="38"/>
      <c r="AF179" s="284" t="s">
        <v>492</v>
      </c>
      <c r="AG179" s="286"/>
      <c r="AH179" s="284"/>
      <c r="AI179" s="286"/>
      <c r="AJ179" s="284"/>
      <c r="AK179" s="286"/>
      <c r="AL179" s="284"/>
      <c r="AM179" s="286"/>
      <c r="AN179" s="284"/>
      <c r="AO179" s="286"/>
      <c r="AP179" s="284"/>
      <c r="AQ179" s="286"/>
      <c r="AR179" s="284"/>
      <c r="AS179" s="286"/>
      <c r="AT179" s="284"/>
      <c r="AU179" s="286"/>
      <c r="AV179" s="284"/>
      <c r="AW179" s="286"/>
      <c r="AX179" s="284"/>
      <c r="AY179" s="286"/>
      <c r="AZ179" s="284"/>
      <c r="BA179" s="286"/>
      <c r="BB179" s="284"/>
      <c r="BC179" s="286"/>
      <c r="BD179" s="284"/>
      <c r="BE179" s="286"/>
      <c r="BF179" s="284" t="s">
        <v>143</v>
      </c>
      <c r="BG179" s="285"/>
      <c r="BH179" s="285"/>
      <c r="BI179" s="285"/>
      <c r="BJ179" s="285"/>
      <c r="BK179" s="285"/>
      <c r="BL179" s="285"/>
      <c r="BM179" s="286"/>
      <c r="BN179" s="284" t="s">
        <v>201</v>
      </c>
      <c r="BO179" s="285"/>
      <c r="BP179" s="285"/>
      <c r="BQ179" s="285"/>
      <c r="BR179" s="285"/>
      <c r="BS179" s="285"/>
      <c r="BT179" s="285"/>
      <c r="BU179" s="286"/>
      <c r="BV179" s="288"/>
      <c r="BW179" s="288"/>
      <c r="BX179" s="288"/>
      <c r="BY179" s="288"/>
      <c r="BZ179" s="288"/>
      <c r="CA179" s="288"/>
      <c r="CB179" s="288"/>
      <c r="CC179" s="288"/>
      <c r="CD179" s="288"/>
      <c r="CE179" s="10"/>
    </row>
    <row r="180" spans="1:84" s="8" customFormat="1">
      <c r="A180" s="9"/>
      <c r="B180" s="32"/>
      <c r="C180" s="42"/>
      <c r="D180" s="42"/>
      <c r="E180" s="42"/>
      <c r="F180" s="42"/>
      <c r="G180" s="42"/>
      <c r="H180" s="42"/>
      <c r="I180" s="10"/>
      <c r="K180" s="42"/>
      <c r="L180" s="42"/>
      <c r="M180" s="42"/>
      <c r="N180" s="42"/>
      <c r="O180" s="42"/>
      <c r="P180" s="42"/>
      <c r="Q180" s="10"/>
      <c r="R180" s="38">
        <v>3</v>
      </c>
      <c r="S180" s="36" t="s">
        <v>689</v>
      </c>
      <c r="T180" s="37"/>
      <c r="U180" s="37"/>
      <c r="V180" s="37"/>
      <c r="W180" s="37"/>
      <c r="X180" s="37"/>
      <c r="Y180" s="37"/>
      <c r="Z180" s="37"/>
      <c r="AA180" s="37"/>
      <c r="AB180" s="37"/>
      <c r="AC180" s="37"/>
      <c r="AD180" s="37"/>
      <c r="AE180" s="38"/>
      <c r="AF180" s="366"/>
      <c r="AG180" s="367"/>
      <c r="AH180" s="284"/>
      <c r="AI180" s="286"/>
      <c r="AJ180" s="284"/>
      <c r="AK180" s="286"/>
      <c r="AL180" s="284" t="s">
        <v>492</v>
      </c>
      <c r="AM180" s="286"/>
      <c r="AN180" s="284"/>
      <c r="AO180" s="286"/>
      <c r="AP180" s="284"/>
      <c r="AQ180" s="286"/>
      <c r="AR180" s="284"/>
      <c r="AS180" s="286"/>
      <c r="AT180" s="284"/>
      <c r="AU180" s="286"/>
      <c r="AV180" s="284"/>
      <c r="AW180" s="286"/>
      <c r="AX180" s="284"/>
      <c r="AY180" s="286"/>
      <c r="AZ180" s="284"/>
      <c r="BA180" s="286"/>
      <c r="BB180" s="284"/>
      <c r="BC180" s="286"/>
      <c r="BD180" s="284"/>
      <c r="BE180" s="286"/>
      <c r="BF180" s="284" t="s">
        <v>131</v>
      </c>
      <c r="BG180" s="285"/>
      <c r="BH180" s="285"/>
      <c r="BI180" s="285"/>
      <c r="BJ180" s="285"/>
      <c r="BK180" s="285"/>
      <c r="BL180" s="285"/>
      <c r="BM180" s="286"/>
      <c r="BN180" s="284" t="s">
        <v>132</v>
      </c>
      <c r="BO180" s="285"/>
      <c r="BP180" s="285"/>
      <c r="BQ180" s="285"/>
      <c r="BR180" s="285"/>
      <c r="BS180" s="285"/>
      <c r="BT180" s="285"/>
      <c r="BU180" s="286"/>
      <c r="BV180" s="288"/>
      <c r="BW180" s="288"/>
      <c r="BX180" s="288"/>
      <c r="BY180" s="288"/>
      <c r="BZ180" s="288"/>
      <c r="CA180" s="288"/>
      <c r="CB180" s="288"/>
      <c r="CC180" s="288"/>
      <c r="CD180" s="288"/>
      <c r="CE180" s="10"/>
    </row>
    <row r="181" spans="1:84" s="8" customFormat="1">
      <c r="A181" s="9"/>
      <c r="B181" s="32"/>
      <c r="C181" s="42"/>
      <c r="D181" s="42"/>
      <c r="E181" s="42"/>
      <c r="F181" s="42"/>
      <c r="G181" s="42"/>
      <c r="H181" s="42"/>
      <c r="I181" s="10"/>
      <c r="K181" s="42"/>
      <c r="L181" s="42"/>
      <c r="M181" s="42"/>
      <c r="N181" s="42"/>
      <c r="O181" s="42"/>
      <c r="P181" s="42"/>
      <c r="Q181" s="10"/>
      <c r="R181" s="38">
        <v>4</v>
      </c>
      <c r="S181" s="36" t="s">
        <v>690</v>
      </c>
      <c r="T181" s="37"/>
      <c r="U181" s="37"/>
      <c r="V181" s="37"/>
      <c r="W181" s="37"/>
      <c r="X181" s="37"/>
      <c r="Y181" s="37"/>
      <c r="Z181" s="37"/>
      <c r="AA181" s="37"/>
      <c r="AB181" s="37"/>
      <c r="AC181" s="37"/>
      <c r="AD181" s="37"/>
      <c r="AE181" s="38"/>
      <c r="AF181" s="366"/>
      <c r="AG181" s="367"/>
      <c r="AH181" s="284"/>
      <c r="AI181" s="286"/>
      <c r="AJ181" s="284"/>
      <c r="AK181" s="286"/>
      <c r="AL181" s="284" t="s">
        <v>492</v>
      </c>
      <c r="AM181" s="286"/>
      <c r="AN181" s="284"/>
      <c r="AO181" s="286"/>
      <c r="AP181" s="284"/>
      <c r="AQ181" s="286"/>
      <c r="AR181" s="284"/>
      <c r="AS181" s="286"/>
      <c r="AT181" s="284"/>
      <c r="AU181" s="286"/>
      <c r="AV181" s="284"/>
      <c r="AW181" s="286"/>
      <c r="AX181" s="284"/>
      <c r="AY181" s="286"/>
      <c r="AZ181" s="284"/>
      <c r="BA181" s="286"/>
      <c r="BB181" s="284"/>
      <c r="BC181" s="286"/>
      <c r="BD181" s="284"/>
      <c r="BE181" s="286"/>
      <c r="BF181" s="284" t="s">
        <v>131</v>
      </c>
      <c r="BG181" s="285"/>
      <c r="BH181" s="285"/>
      <c r="BI181" s="285"/>
      <c r="BJ181" s="285"/>
      <c r="BK181" s="285"/>
      <c r="BL181" s="285"/>
      <c r="BM181" s="286"/>
      <c r="BN181" s="284" t="s">
        <v>517</v>
      </c>
      <c r="BO181" s="285"/>
      <c r="BP181" s="285"/>
      <c r="BQ181" s="285"/>
      <c r="BR181" s="285"/>
      <c r="BS181" s="285"/>
      <c r="BT181" s="285"/>
      <c r="BU181" s="286"/>
      <c r="BV181" s="288" t="s">
        <v>669</v>
      </c>
      <c r="BW181" s="288"/>
      <c r="BX181" s="288"/>
      <c r="BY181" s="288"/>
      <c r="BZ181" s="288"/>
      <c r="CA181" s="288"/>
      <c r="CB181" s="288"/>
      <c r="CC181" s="288"/>
      <c r="CD181" s="288"/>
      <c r="CE181" s="10"/>
    </row>
    <row r="182" spans="1:84" s="8" customFormat="1">
      <c r="A182" s="9"/>
      <c r="B182" s="32"/>
      <c r="C182" s="42"/>
      <c r="D182" s="42"/>
      <c r="E182" s="42"/>
      <c r="F182" s="42"/>
      <c r="G182" s="42"/>
      <c r="H182" s="42"/>
      <c r="I182" s="10"/>
      <c r="K182" s="42"/>
      <c r="L182" s="42"/>
      <c r="M182" s="42"/>
      <c r="N182" s="42"/>
      <c r="O182" s="42"/>
      <c r="P182" s="42"/>
      <c r="Q182" s="10"/>
      <c r="R182" s="38">
        <v>5</v>
      </c>
      <c r="S182" s="111" t="s">
        <v>558</v>
      </c>
      <c r="T182" s="37"/>
      <c r="U182" s="37"/>
      <c r="V182" s="37"/>
      <c r="W182" s="37"/>
      <c r="X182" s="37"/>
      <c r="Y182" s="37"/>
      <c r="Z182" s="37"/>
      <c r="AA182" s="37"/>
      <c r="AB182" s="37"/>
      <c r="AC182" s="37"/>
      <c r="AD182" s="37"/>
      <c r="AE182" s="38"/>
      <c r="AF182" s="366"/>
      <c r="AG182" s="367"/>
      <c r="AH182" s="284"/>
      <c r="AI182" s="286"/>
      <c r="AJ182" s="284"/>
      <c r="AK182" s="286"/>
      <c r="AL182" s="284"/>
      <c r="AM182" s="286"/>
      <c r="AN182" s="284"/>
      <c r="AO182" s="286"/>
      <c r="AP182" s="284"/>
      <c r="AQ182" s="286"/>
      <c r="AR182" s="284"/>
      <c r="AS182" s="286"/>
      <c r="AT182" s="284"/>
      <c r="AU182" s="286"/>
      <c r="AV182" s="284"/>
      <c r="AW182" s="286"/>
      <c r="AX182" s="284"/>
      <c r="AY182" s="286"/>
      <c r="AZ182" s="284"/>
      <c r="BA182" s="286"/>
      <c r="BB182" s="284"/>
      <c r="BC182" s="286"/>
      <c r="BD182" s="284" t="s">
        <v>130</v>
      </c>
      <c r="BE182" s="286"/>
      <c r="BF182" s="284" t="s">
        <v>554</v>
      </c>
      <c r="BG182" s="285"/>
      <c r="BH182" s="285"/>
      <c r="BI182" s="285"/>
      <c r="BJ182" s="285"/>
      <c r="BK182" s="285"/>
      <c r="BL182" s="285"/>
      <c r="BM182" s="286"/>
      <c r="BN182" s="284" t="s">
        <v>137</v>
      </c>
      <c r="BO182" s="285"/>
      <c r="BP182" s="285"/>
      <c r="BQ182" s="285"/>
      <c r="BR182" s="285"/>
      <c r="BS182" s="285"/>
      <c r="BT182" s="285"/>
      <c r="BU182" s="286"/>
      <c r="BV182" s="288"/>
      <c r="BW182" s="288"/>
      <c r="BX182" s="288"/>
      <c r="BY182" s="288"/>
      <c r="BZ182" s="288"/>
      <c r="CA182" s="288"/>
      <c r="CB182" s="288"/>
      <c r="CC182" s="288"/>
      <c r="CD182" s="288"/>
      <c r="CE182" s="10"/>
    </row>
    <row r="183" spans="1:84" s="8" customFormat="1">
      <c r="A183" s="9"/>
      <c r="B183" s="32"/>
      <c r="C183" s="42"/>
      <c r="D183" s="42"/>
      <c r="E183" s="42"/>
      <c r="F183" s="42"/>
      <c r="G183" s="42"/>
      <c r="H183" s="42"/>
      <c r="I183" s="10"/>
      <c r="J183" s="29" t="s">
        <v>691</v>
      </c>
      <c r="K183" s="30"/>
      <c r="L183" s="30"/>
      <c r="M183" s="30"/>
      <c r="N183" s="30"/>
      <c r="O183" s="30"/>
      <c r="P183" s="30"/>
      <c r="Q183" s="31"/>
      <c r="R183" s="38">
        <v>1</v>
      </c>
      <c r="S183" s="36" t="s">
        <v>692</v>
      </c>
      <c r="T183" s="37"/>
      <c r="U183" s="37"/>
      <c r="V183" s="37"/>
      <c r="W183" s="37"/>
      <c r="X183" s="37"/>
      <c r="Y183" s="37"/>
      <c r="Z183" s="37"/>
      <c r="AA183" s="37"/>
      <c r="AB183" s="37"/>
      <c r="AC183" s="37"/>
      <c r="AD183" s="37"/>
      <c r="AE183" s="38"/>
      <c r="AF183" s="366"/>
      <c r="AG183" s="367"/>
      <c r="AH183" s="284"/>
      <c r="AI183" s="286"/>
      <c r="AJ183" s="284"/>
      <c r="AK183" s="286"/>
      <c r="AL183" s="284" t="s">
        <v>492</v>
      </c>
      <c r="AM183" s="286"/>
      <c r="AN183" s="284"/>
      <c r="AO183" s="286"/>
      <c r="AP183" s="284"/>
      <c r="AQ183" s="286"/>
      <c r="AR183" s="284"/>
      <c r="AS183" s="286"/>
      <c r="AT183" s="284"/>
      <c r="AU183" s="286"/>
      <c r="AV183" s="284"/>
      <c r="AW183" s="286"/>
      <c r="AX183" s="284"/>
      <c r="AY183" s="286"/>
      <c r="AZ183" s="284"/>
      <c r="BA183" s="286"/>
      <c r="BB183" s="284"/>
      <c r="BC183" s="286"/>
      <c r="BD183" s="284"/>
      <c r="BE183" s="286"/>
      <c r="BF183" s="284" t="s">
        <v>143</v>
      </c>
      <c r="BG183" s="285"/>
      <c r="BH183" s="285"/>
      <c r="BI183" s="285"/>
      <c r="BJ183" s="285"/>
      <c r="BK183" s="285"/>
      <c r="BL183" s="285"/>
      <c r="BM183" s="286"/>
      <c r="BN183" s="284" t="s">
        <v>201</v>
      </c>
      <c r="BO183" s="285"/>
      <c r="BP183" s="285"/>
      <c r="BQ183" s="285"/>
      <c r="BR183" s="285"/>
      <c r="BS183" s="285"/>
      <c r="BT183" s="285"/>
      <c r="BU183" s="286"/>
      <c r="BV183" s="288"/>
      <c r="BW183" s="288"/>
      <c r="BX183" s="288"/>
      <c r="BY183" s="288"/>
      <c r="BZ183" s="288"/>
      <c r="CA183" s="288"/>
      <c r="CB183" s="288"/>
      <c r="CC183" s="288"/>
      <c r="CD183" s="288"/>
      <c r="CE183" s="10"/>
      <c r="CF183" s="11"/>
    </row>
    <row r="184" spans="1:84" s="8" customFormat="1">
      <c r="A184" s="9"/>
      <c r="B184" s="32"/>
      <c r="C184" s="42"/>
      <c r="D184" s="42"/>
      <c r="E184" s="42"/>
      <c r="F184" s="42"/>
      <c r="G184" s="42"/>
      <c r="H184" s="42"/>
      <c r="I184" s="10"/>
      <c r="J184" s="33"/>
      <c r="K184" s="42"/>
      <c r="L184" s="42"/>
      <c r="M184" s="42"/>
      <c r="N184" s="42"/>
      <c r="O184" s="42"/>
      <c r="P184" s="42"/>
      <c r="Q184" s="10"/>
      <c r="R184" s="38">
        <v>2</v>
      </c>
      <c r="S184" s="36" t="s">
        <v>693</v>
      </c>
      <c r="T184" s="37"/>
      <c r="U184" s="37"/>
      <c r="V184" s="37"/>
      <c r="W184" s="37"/>
      <c r="X184" s="37"/>
      <c r="Y184" s="37"/>
      <c r="Z184" s="37"/>
      <c r="AA184" s="37"/>
      <c r="AB184" s="37"/>
      <c r="AC184" s="37"/>
      <c r="AD184" s="37"/>
      <c r="AE184" s="38"/>
      <c r="AF184" s="366"/>
      <c r="AG184" s="367"/>
      <c r="AH184" s="284"/>
      <c r="AI184" s="286"/>
      <c r="AJ184" s="284"/>
      <c r="AK184" s="286"/>
      <c r="AL184" s="284" t="s">
        <v>492</v>
      </c>
      <c r="AM184" s="286"/>
      <c r="AN184" s="284"/>
      <c r="AO184" s="286"/>
      <c r="AP184" s="284"/>
      <c r="AQ184" s="286"/>
      <c r="AR184" s="284"/>
      <c r="AS184" s="286"/>
      <c r="AT184" s="284"/>
      <c r="AU184" s="286"/>
      <c r="AV184" s="284"/>
      <c r="AW184" s="286"/>
      <c r="AX184" s="284"/>
      <c r="AY184" s="286"/>
      <c r="AZ184" s="284"/>
      <c r="BA184" s="286"/>
      <c r="BB184" s="284"/>
      <c r="BC184" s="286"/>
      <c r="BD184" s="284"/>
      <c r="BE184" s="286"/>
      <c r="BF184" s="284" t="s">
        <v>131</v>
      </c>
      <c r="BG184" s="285"/>
      <c r="BH184" s="285"/>
      <c r="BI184" s="285"/>
      <c r="BJ184" s="285"/>
      <c r="BK184" s="285"/>
      <c r="BL184" s="285"/>
      <c r="BM184" s="286"/>
      <c r="BN184" s="284" t="s">
        <v>132</v>
      </c>
      <c r="BO184" s="285"/>
      <c r="BP184" s="285"/>
      <c r="BQ184" s="285"/>
      <c r="BR184" s="285"/>
      <c r="BS184" s="285"/>
      <c r="BT184" s="285"/>
      <c r="BU184" s="286"/>
      <c r="BV184" s="288"/>
      <c r="BW184" s="288"/>
      <c r="BX184" s="288"/>
      <c r="BY184" s="288"/>
      <c r="BZ184" s="288"/>
      <c r="CA184" s="288"/>
      <c r="CB184" s="288"/>
      <c r="CC184" s="288"/>
      <c r="CD184" s="288"/>
      <c r="CE184" s="10"/>
    </row>
    <row r="185" spans="1:84" s="8" customFormat="1">
      <c r="A185" s="9"/>
      <c r="B185" s="32"/>
      <c r="C185" s="42"/>
      <c r="D185" s="42"/>
      <c r="E185" s="42"/>
      <c r="F185" s="42"/>
      <c r="G185" s="42"/>
      <c r="H185" s="42"/>
      <c r="I185" s="10"/>
      <c r="K185" s="42"/>
      <c r="L185" s="42"/>
      <c r="M185" s="42"/>
      <c r="N185" s="42"/>
      <c r="O185" s="42"/>
      <c r="P185" s="42"/>
      <c r="Q185" s="10"/>
      <c r="R185" s="38">
        <v>4</v>
      </c>
      <c r="S185" s="36" t="s">
        <v>694</v>
      </c>
      <c r="T185" s="37"/>
      <c r="U185" s="37"/>
      <c r="V185" s="37"/>
      <c r="W185" s="37"/>
      <c r="X185" s="37"/>
      <c r="Y185" s="37"/>
      <c r="Z185" s="37"/>
      <c r="AA185" s="37"/>
      <c r="AB185" s="37"/>
      <c r="AC185" s="37"/>
      <c r="AD185" s="37"/>
      <c r="AE185" s="38"/>
      <c r="AF185" s="366"/>
      <c r="AG185" s="367"/>
      <c r="AH185" s="284"/>
      <c r="AI185" s="286"/>
      <c r="AJ185" s="284"/>
      <c r="AK185" s="286"/>
      <c r="AL185" s="284" t="s">
        <v>492</v>
      </c>
      <c r="AM185" s="286"/>
      <c r="AN185" s="284"/>
      <c r="AO185" s="286"/>
      <c r="AP185" s="284"/>
      <c r="AQ185" s="286"/>
      <c r="AR185" s="284"/>
      <c r="AS185" s="286"/>
      <c r="AT185" s="284"/>
      <c r="AU185" s="286"/>
      <c r="AV185" s="284"/>
      <c r="AW185" s="286"/>
      <c r="AX185" s="284"/>
      <c r="AY185" s="286"/>
      <c r="AZ185" s="284"/>
      <c r="BA185" s="286"/>
      <c r="BB185" s="284"/>
      <c r="BC185" s="286"/>
      <c r="BD185" s="284"/>
      <c r="BE185" s="286"/>
      <c r="BF185" s="284" t="s">
        <v>131</v>
      </c>
      <c r="BG185" s="285"/>
      <c r="BH185" s="285"/>
      <c r="BI185" s="285"/>
      <c r="BJ185" s="285"/>
      <c r="BK185" s="285"/>
      <c r="BL185" s="285"/>
      <c r="BM185" s="286"/>
      <c r="BN185" s="284" t="s">
        <v>517</v>
      </c>
      <c r="BO185" s="285"/>
      <c r="BP185" s="285"/>
      <c r="BQ185" s="285"/>
      <c r="BR185" s="285"/>
      <c r="BS185" s="285"/>
      <c r="BT185" s="285"/>
      <c r="BU185" s="286"/>
      <c r="BV185" s="288" t="s">
        <v>669</v>
      </c>
      <c r="BW185" s="288"/>
      <c r="BX185" s="288"/>
      <c r="BY185" s="288"/>
      <c r="BZ185" s="288"/>
      <c r="CA185" s="288"/>
      <c r="CB185" s="288"/>
      <c r="CC185" s="288"/>
      <c r="CD185" s="288"/>
      <c r="CE185" s="10"/>
    </row>
    <row r="186" spans="1:84" s="8" customFormat="1">
      <c r="A186" s="9"/>
      <c r="B186" s="48"/>
      <c r="C186" s="34"/>
      <c r="D186" s="34"/>
      <c r="E186" s="34"/>
      <c r="F186" s="34"/>
      <c r="G186" s="34"/>
      <c r="H186" s="34"/>
      <c r="I186" s="35"/>
      <c r="J186" s="13"/>
      <c r="K186" s="34"/>
      <c r="L186" s="34"/>
      <c r="M186" s="34"/>
      <c r="N186" s="34"/>
      <c r="O186" s="34"/>
      <c r="P186" s="34"/>
      <c r="Q186" s="35"/>
      <c r="R186" s="38">
        <v>5</v>
      </c>
      <c r="S186" s="148" t="s">
        <v>558</v>
      </c>
      <c r="T186" s="37"/>
      <c r="U186" s="37"/>
      <c r="V186" s="37"/>
      <c r="W186" s="37"/>
      <c r="X186" s="37"/>
      <c r="Y186" s="37"/>
      <c r="Z186" s="37"/>
      <c r="AA186" s="37"/>
      <c r="AB186" s="37"/>
      <c r="AC186" s="37"/>
      <c r="AD186" s="37"/>
      <c r="AE186" s="38"/>
      <c r="AF186" s="366"/>
      <c r="AG186" s="367"/>
      <c r="AH186" s="284"/>
      <c r="AI186" s="286"/>
      <c r="AJ186" s="284"/>
      <c r="AK186" s="286"/>
      <c r="AL186" s="284"/>
      <c r="AM186" s="286"/>
      <c r="AN186" s="284"/>
      <c r="AO186" s="286"/>
      <c r="AP186" s="284"/>
      <c r="AQ186" s="286"/>
      <c r="AR186" s="284"/>
      <c r="AS186" s="286"/>
      <c r="AT186" s="284"/>
      <c r="AU186" s="286"/>
      <c r="AV186" s="284"/>
      <c r="AW186" s="286"/>
      <c r="AX186" s="284"/>
      <c r="AY186" s="286"/>
      <c r="AZ186" s="284"/>
      <c r="BA186" s="286"/>
      <c r="BB186" s="284"/>
      <c r="BC186" s="286"/>
      <c r="BD186" s="284" t="s">
        <v>130</v>
      </c>
      <c r="BE186" s="286"/>
      <c r="BF186" s="284" t="s">
        <v>554</v>
      </c>
      <c r="BG186" s="285"/>
      <c r="BH186" s="285"/>
      <c r="BI186" s="285"/>
      <c r="BJ186" s="285"/>
      <c r="BK186" s="285"/>
      <c r="BL186" s="285"/>
      <c r="BM186" s="286"/>
      <c r="BN186" s="284" t="s">
        <v>137</v>
      </c>
      <c r="BO186" s="285"/>
      <c r="BP186" s="285"/>
      <c r="BQ186" s="285"/>
      <c r="BR186" s="285"/>
      <c r="BS186" s="285"/>
      <c r="BT186" s="285"/>
      <c r="BU186" s="286"/>
      <c r="BV186" s="288"/>
      <c r="BW186" s="288"/>
      <c r="BX186" s="288"/>
      <c r="BY186" s="288"/>
      <c r="BZ186" s="288"/>
      <c r="CA186" s="288"/>
      <c r="CB186" s="288"/>
      <c r="CC186" s="288"/>
      <c r="CD186" s="288"/>
      <c r="CE186" s="10"/>
    </row>
    <row r="187" spans="1:84" s="8" customForma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87"/>
      <c r="AG187" s="387"/>
      <c r="AH187" s="387"/>
      <c r="AI187" s="387"/>
      <c r="AJ187" s="387"/>
      <c r="AK187" s="387"/>
      <c r="AL187" s="387"/>
      <c r="AM187" s="387"/>
      <c r="AN187" s="387"/>
      <c r="AO187" s="387"/>
      <c r="AP187" s="387"/>
      <c r="AQ187" s="387"/>
      <c r="AR187" s="387"/>
      <c r="AS187" s="387"/>
      <c r="AT187" s="387"/>
      <c r="AU187" s="387"/>
      <c r="AV187" s="387"/>
      <c r="AW187" s="387"/>
      <c r="AX187" s="387"/>
      <c r="AY187" s="387"/>
      <c r="AZ187" s="387"/>
      <c r="BA187" s="387"/>
      <c r="BB187" s="387"/>
      <c r="BC187" s="387"/>
      <c r="BD187" s="387"/>
      <c r="BE187" s="387"/>
      <c r="BF187" s="387"/>
      <c r="BG187" s="387"/>
      <c r="BH187" s="387"/>
      <c r="BI187" s="387"/>
      <c r="BJ187" s="387"/>
      <c r="BK187" s="387"/>
      <c r="BL187" s="52"/>
      <c r="BM187" s="52"/>
      <c r="BN187" s="387"/>
      <c r="BO187" s="387"/>
      <c r="BP187" s="387"/>
      <c r="BQ187" s="387"/>
      <c r="BR187" s="387"/>
      <c r="BS187" s="387"/>
      <c r="BT187" s="387"/>
      <c r="BU187" s="387"/>
      <c r="BV187" s="295"/>
      <c r="BW187" s="295"/>
      <c r="BX187" s="295"/>
      <c r="BY187" s="295"/>
      <c r="BZ187" s="295"/>
      <c r="CA187" s="295"/>
      <c r="CB187" s="295"/>
      <c r="CC187" s="295"/>
      <c r="CD187" s="295"/>
      <c r="CE187" s="14"/>
    </row>
  </sheetData>
  <mergeCells count="2867">
    <mergeCell ref="BN115:BU115"/>
    <mergeCell ref="BV115:CD115"/>
    <mergeCell ref="AF116:AG116"/>
    <mergeCell ref="AH116:AI116"/>
    <mergeCell ref="AJ116:AK116"/>
    <mergeCell ref="AL116:AM116"/>
    <mergeCell ref="AN116:AO116"/>
    <mergeCell ref="AP116:AQ116"/>
    <mergeCell ref="AR116:AS116"/>
    <mergeCell ref="AT116:AU116"/>
    <mergeCell ref="AV116:AW116"/>
    <mergeCell ref="AX116:AY116"/>
    <mergeCell ref="AZ116:BA116"/>
    <mergeCell ref="BB116:BC116"/>
    <mergeCell ref="BD116:BE116"/>
    <mergeCell ref="BF116:BM116"/>
    <mergeCell ref="BN116:BU116"/>
    <mergeCell ref="BV116:CD116"/>
    <mergeCell ref="AF100:AG100"/>
    <mergeCell ref="AH100:AI100"/>
    <mergeCell ref="AJ100:AK100"/>
    <mergeCell ref="AL100:AM100"/>
    <mergeCell ref="AN100:AO100"/>
    <mergeCell ref="AP100:AQ100"/>
    <mergeCell ref="AR100:AS100"/>
    <mergeCell ref="AT100:AU100"/>
    <mergeCell ref="AV100:AW100"/>
    <mergeCell ref="AX100:AY100"/>
    <mergeCell ref="AZ100:BA100"/>
    <mergeCell ref="BB100:BC100"/>
    <mergeCell ref="BD100:BE100"/>
    <mergeCell ref="BF100:BM100"/>
    <mergeCell ref="BN100:BU100"/>
    <mergeCell ref="BV100:CD100"/>
    <mergeCell ref="AF101:AG101"/>
    <mergeCell ref="AH101:AI101"/>
    <mergeCell ref="AJ101:AK101"/>
    <mergeCell ref="AL101:AM101"/>
    <mergeCell ref="AN101:AO101"/>
    <mergeCell ref="AP101:AQ101"/>
    <mergeCell ref="AR101:AS101"/>
    <mergeCell ref="AT101:AU101"/>
    <mergeCell ref="AV101:AW101"/>
    <mergeCell ref="AX101:AY101"/>
    <mergeCell ref="AZ101:BA101"/>
    <mergeCell ref="BB101:BC101"/>
    <mergeCell ref="BD101:BE101"/>
    <mergeCell ref="BF101:BM101"/>
    <mergeCell ref="BN101:BU101"/>
    <mergeCell ref="BV101:CD101"/>
    <mergeCell ref="AF98:AG98"/>
    <mergeCell ref="AH98:AI98"/>
    <mergeCell ref="AJ98:AK98"/>
    <mergeCell ref="AL98:AM98"/>
    <mergeCell ref="AN98:AO98"/>
    <mergeCell ref="AP98:AQ98"/>
    <mergeCell ref="AR98:AS98"/>
    <mergeCell ref="AT98:AU98"/>
    <mergeCell ref="AV98:AW98"/>
    <mergeCell ref="AX98:AY98"/>
    <mergeCell ref="AZ98:BA98"/>
    <mergeCell ref="BB98:BC98"/>
    <mergeCell ref="BD98:BE98"/>
    <mergeCell ref="BF98:BM98"/>
    <mergeCell ref="BN98:BU98"/>
    <mergeCell ref="BV98:CD98"/>
    <mergeCell ref="AF99:AG99"/>
    <mergeCell ref="AH99:AI99"/>
    <mergeCell ref="AJ99:AK99"/>
    <mergeCell ref="AL99:AM99"/>
    <mergeCell ref="AN99:AO99"/>
    <mergeCell ref="AP99:AQ99"/>
    <mergeCell ref="AR99:AS99"/>
    <mergeCell ref="AT99:AU99"/>
    <mergeCell ref="AV99:AW99"/>
    <mergeCell ref="AX99:AY99"/>
    <mergeCell ref="AZ99:BA99"/>
    <mergeCell ref="BB99:BC99"/>
    <mergeCell ref="BD99:BE99"/>
    <mergeCell ref="BF99:BM99"/>
    <mergeCell ref="BN99:BU99"/>
    <mergeCell ref="BV99:CD99"/>
    <mergeCell ref="AX27:AY27"/>
    <mergeCell ref="AZ27:BA27"/>
    <mergeCell ref="BB27:BC27"/>
    <mergeCell ref="BD27:BE27"/>
    <mergeCell ref="BF27:BM27"/>
    <mergeCell ref="BN27:BU27"/>
    <mergeCell ref="BV27:CD27"/>
    <mergeCell ref="AF25:AG25"/>
    <mergeCell ref="AH25:AI25"/>
    <mergeCell ref="AJ25:AK25"/>
    <mergeCell ref="AL25:AM25"/>
    <mergeCell ref="AN25:AO25"/>
    <mergeCell ref="AP25:AQ25"/>
    <mergeCell ref="AR25:AS25"/>
    <mergeCell ref="AT25:AU25"/>
    <mergeCell ref="AV25:AW25"/>
    <mergeCell ref="AX25:AY25"/>
    <mergeCell ref="AZ25:BA25"/>
    <mergeCell ref="BB25:BC25"/>
    <mergeCell ref="BD25:BE25"/>
    <mergeCell ref="BF25:BM25"/>
    <mergeCell ref="BN25:BU25"/>
    <mergeCell ref="BV25:CD25"/>
    <mergeCell ref="AP27:AQ27"/>
    <mergeCell ref="AR27:AS27"/>
    <mergeCell ref="AT27:AU27"/>
    <mergeCell ref="AX24:AY24"/>
    <mergeCell ref="AZ24:BA24"/>
    <mergeCell ref="BB24:BC24"/>
    <mergeCell ref="BD24:BE24"/>
    <mergeCell ref="BF24:BM24"/>
    <mergeCell ref="BN24:BU24"/>
    <mergeCell ref="BV24:CD24"/>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BF26:BM26"/>
    <mergeCell ref="BN26:BU26"/>
    <mergeCell ref="BV26:CD26"/>
    <mergeCell ref="AP24:AQ24"/>
    <mergeCell ref="AR24:AS24"/>
    <mergeCell ref="AT24:AU24"/>
    <mergeCell ref="AV185:AW185"/>
    <mergeCell ref="AX185:AY185"/>
    <mergeCell ref="AZ185:BA185"/>
    <mergeCell ref="BB185:BC185"/>
    <mergeCell ref="BD185:BE185"/>
    <mergeCell ref="BF185:BM185"/>
    <mergeCell ref="BN182:BU182"/>
    <mergeCell ref="AR183:AS183"/>
    <mergeCell ref="AT183:AU183"/>
    <mergeCell ref="AV183:AW183"/>
    <mergeCell ref="AX183:AY183"/>
    <mergeCell ref="BN183:BU183"/>
    <mergeCell ref="BN184:BU184"/>
    <mergeCell ref="BV186:CD186"/>
    <mergeCell ref="AF187:AG187"/>
    <mergeCell ref="AH187:AI187"/>
    <mergeCell ref="AJ187:AK187"/>
    <mergeCell ref="AL187:AM187"/>
    <mergeCell ref="AN187:AO187"/>
    <mergeCell ref="AP187:AQ187"/>
    <mergeCell ref="AR187:AS187"/>
    <mergeCell ref="AT187:AU187"/>
    <mergeCell ref="AV187:AW187"/>
    <mergeCell ref="AX187:AY187"/>
    <mergeCell ref="AZ187:BA187"/>
    <mergeCell ref="BB187:BC187"/>
    <mergeCell ref="BD187:BE187"/>
    <mergeCell ref="BF187:BK187"/>
    <mergeCell ref="BN187:BU187"/>
    <mergeCell ref="BV187:CD187"/>
    <mergeCell ref="AF185:AG185"/>
    <mergeCell ref="AH185:AI185"/>
    <mergeCell ref="AJ185:AK185"/>
    <mergeCell ref="AL185:AM185"/>
    <mergeCell ref="AN185:AO185"/>
    <mergeCell ref="AP185:AQ185"/>
    <mergeCell ref="AR185:AS185"/>
    <mergeCell ref="AT185:AU185"/>
    <mergeCell ref="AH109:AI109"/>
    <mergeCell ref="AJ109:AK109"/>
    <mergeCell ref="AL109:AM109"/>
    <mergeCell ref="AN109:AO109"/>
    <mergeCell ref="AX109:AY109"/>
    <mergeCell ref="AZ109:BA109"/>
    <mergeCell ref="BB109:BC109"/>
    <mergeCell ref="BD109:BE109"/>
    <mergeCell ref="BF109:BM109"/>
    <mergeCell ref="BN185:BU185"/>
    <mergeCell ref="AF186:AG186"/>
    <mergeCell ref="AH186:AI186"/>
    <mergeCell ref="AJ186:AK186"/>
    <mergeCell ref="AL186:AM186"/>
    <mergeCell ref="AN186:AO186"/>
    <mergeCell ref="AP186:AQ186"/>
    <mergeCell ref="AR186:AS186"/>
    <mergeCell ref="AT186:AU186"/>
    <mergeCell ref="AV186:AW186"/>
    <mergeCell ref="AX186:AY186"/>
    <mergeCell ref="AZ186:BA186"/>
    <mergeCell ref="BB186:BC186"/>
    <mergeCell ref="BD186:BE186"/>
    <mergeCell ref="BF186:BM186"/>
    <mergeCell ref="BN186:BU186"/>
    <mergeCell ref="BB182:BC182"/>
    <mergeCell ref="BB183:BC183"/>
    <mergeCell ref="BB184:BC184"/>
    <mergeCell ref="BF184:BM184"/>
    <mergeCell ref="AN184:AO184"/>
    <mergeCell ref="AR184:AS184"/>
    <mergeCell ref="AJ183:AK183"/>
    <mergeCell ref="BB170:BC170"/>
    <mergeCell ref="BB171:BC171"/>
    <mergeCell ref="BB172:BC172"/>
    <mergeCell ref="BB173:BC173"/>
    <mergeCell ref="BB174:BC174"/>
    <mergeCell ref="BB175:BC175"/>
    <mergeCell ref="BB176:BC176"/>
    <mergeCell ref="BB177:BC177"/>
    <mergeCell ref="BB140:BC140"/>
    <mergeCell ref="BB141:BC141"/>
    <mergeCell ref="BB142:BC142"/>
    <mergeCell ref="BB143:BC143"/>
    <mergeCell ref="BB144:BC144"/>
    <mergeCell ref="BB145:BC145"/>
    <mergeCell ref="BB146:BC146"/>
    <mergeCell ref="BB147:BC147"/>
    <mergeCell ref="BB148:BC148"/>
    <mergeCell ref="BB149:BC149"/>
    <mergeCell ref="BB150:BC150"/>
    <mergeCell ref="BB151:BC151"/>
    <mergeCell ref="BB152:BC152"/>
    <mergeCell ref="BB153:BC153"/>
    <mergeCell ref="BB154:BC154"/>
    <mergeCell ref="BB155:BC155"/>
    <mergeCell ref="BB156:BC156"/>
    <mergeCell ref="BB161:BC161"/>
    <mergeCell ref="BB163:BC163"/>
    <mergeCell ref="BB164:BC164"/>
    <mergeCell ref="BB165:BC165"/>
    <mergeCell ref="BB166:BC166"/>
    <mergeCell ref="BB167:BC167"/>
    <mergeCell ref="BB85:BC85"/>
    <mergeCell ref="BB86:BC86"/>
    <mergeCell ref="BB87:BC87"/>
    <mergeCell ref="BB127:BC127"/>
    <mergeCell ref="BB128:BC128"/>
    <mergeCell ref="BB88:BC88"/>
    <mergeCell ref="BB89:BC89"/>
    <mergeCell ref="BB90:BC90"/>
    <mergeCell ref="BB91:BC91"/>
    <mergeCell ref="BB92:BC92"/>
    <mergeCell ref="BB93:BC93"/>
    <mergeCell ref="BB94:BC94"/>
    <mergeCell ref="BB95:BC95"/>
    <mergeCell ref="BB96:BC96"/>
    <mergeCell ref="BB97:BC97"/>
    <mergeCell ref="BB102:BC102"/>
    <mergeCell ref="BB103:BC103"/>
    <mergeCell ref="BB104:BC104"/>
    <mergeCell ref="BB105:BC105"/>
    <mergeCell ref="BB110:BC110"/>
    <mergeCell ref="BB111:BC111"/>
    <mergeCell ref="BB112:BC112"/>
    <mergeCell ref="BB113:BC113"/>
    <mergeCell ref="BB114:BC114"/>
    <mergeCell ref="BB117:BC117"/>
    <mergeCell ref="BB118:BC118"/>
    <mergeCell ref="BB115:BC115"/>
    <mergeCell ref="BB53:BC53"/>
    <mergeCell ref="BB54:BC54"/>
    <mergeCell ref="BB55:BC55"/>
    <mergeCell ref="BB56:BC56"/>
    <mergeCell ref="BB57:BC57"/>
    <mergeCell ref="BB58:BC58"/>
    <mergeCell ref="BB59:BC59"/>
    <mergeCell ref="BB60:BC60"/>
    <mergeCell ref="BB61:BC61"/>
    <mergeCell ref="BB62:BC62"/>
    <mergeCell ref="BB63:BC63"/>
    <mergeCell ref="BB64:BC64"/>
    <mergeCell ref="BB65:BC65"/>
    <mergeCell ref="BB66:BC66"/>
    <mergeCell ref="BB67:BC67"/>
    <mergeCell ref="BB68:BC68"/>
    <mergeCell ref="BB69:BC69"/>
    <mergeCell ref="BB35:BC35"/>
    <mergeCell ref="BB36:BC36"/>
    <mergeCell ref="BB37:BC37"/>
    <mergeCell ref="BB38:BC38"/>
    <mergeCell ref="BB39:BC39"/>
    <mergeCell ref="BB40:BC40"/>
    <mergeCell ref="BB41:BC41"/>
    <mergeCell ref="BB42:BC42"/>
    <mergeCell ref="BB43:BC43"/>
    <mergeCell ref="BB44:BC44"/>
    <mergeCell ref="BB45:BC45"/>
    <mergeCell ref="BB46:BC46"/>
    <mergeCell ref="BB47:BC47"/>
    <mergeCell ref="BB48:BC48"/>
    <mergeCell ref="BB49:BC49"/>
    <mergeCell ref="BB50:BC50"/>
    <mergeCell ref="BB51:BC51"/>
    <mergeCell ref="AF170:AG170"/>
    <mergeCell ref="AH170:AI170"/>
    <mergeCell ref="AJ170:AK170"/>
    <mergeCell ref="AL170:AM170"/>
    <mergeCell ref="AN170:AO170"/>
    <mergeCell ref="AP170:AQ170"/>
    <mergeCell ref="AR170:AS170"/>
    <mergeCell ref="AT170:AU170"/>
    <mergeCell ref="AV170:AW170"/>
    <mergeCell ref="AX170:AY170"/>
    <mergeCell ref="AZ170:BA170"/>
    <mergeCell ref="BD170:BE170"/>
    <mergeCell ref="BF170:BM170"/>
    <mergeCell ref="BN170:BU170"/>
    <mergeCell ref="BV170:CD170"/>
    <mergeCell ref="BV164:CD164"/>
    <mergeCell ref="BB12:BC12"/>
    <mergeCell ref="BB13:BC13"/>
    <mergeCell ref="BB14:BC14"/>
    <mergeCell ref="BB15:BC15"/>
    <mergeCell ref="BB16:BC16"/>
    <mergeCell ref="BB17:BC17"/>
    <mergeCell ref="BB18:BC18"/>
    <mergeCell ref="BB19:BC19"/>
    <mergeCell ref="BB20:BC20"/>
    <mergeCell ref="BB21:BC21"/>
    <mergeCell ref="BB22:BC22"/>
    <mergeCell ref="BB23:BC23"/>
    <mergeCell ref="BB28:BC28"/>
    <mergeCell ref="BB29:BC29"/>
    <mergeCell ref="BB30:BC30"/>
    <mergeCell ref="BB31:BC31"/>
    <mergeCell ref="AL105:AM105"/>
    <mergeCell ref="AJ133:AK133"/>
    <mergeCell ref="AL123:AM123"/>
    <mergeCell ref="AL124:AM124"/>
    <mergeCell ref="AJ135:AK135"/>
    <mergeCell ref="BN92:BU92"/>
    <mergeCell ref="BV92:CD92"/>
    <mergeCell ref="AF93:AG93"/>
    <mergeCell ref="AH93:AI93"/>
    <mergeCell ref="AL162:AM162"/>
    <mergeCell ref="AN162:AO162"/>
    <mergeCell ref="AP162:AQ162"/>
    <mergeCell ref="AR162:AS162"/>
    <mergeCell ref="AT162:AU162"/>
    <mergeCell ref="AV162:AW162"/>
    <mergeCell ref="AX162:AY162"/>
    <mergeCell ref="AZ162:BA162"/>
    <mergeCell ref="BD162:BE162"/>
    <mergeCell ref="BF162:BM162"/>
    <mergeCell ref="BN162:BU162"/>
    <mergeCell ref="BV162:CD162"/>
    <mergeCell ref="BB125:BC125"/>
    <mergeCell ref="BB126:BC126"/>
    <mergeCell ref="AF108:AG108"/>
    <mergeCell ref="AH108:AI108"/>
    <mergeCell ref="AJ108:AK108"/>
    <mergeCell ref="AL108:AM108"/>
    <mergeCell ref="AN108:AO108"/>
    <mergeCell ref="BB124:BC124"/>
    <mergeCell ref="BB162:BC162"/>
    <mergeCell ref="AL150:AM150"/>
    <mergeCell ref="AN150:AO150"/>
    <mergeCell ref="AP150:AQ150"/>
    <mergeCell ref="AR150:AS150"/>
    <mergeCell ref="AT150:AU150"/>
    <mergeCell ref="AV150:AW150"/>
    <mergeCell ref="AX150:AY150"/>
    <mergeCell ref="AZ150:BA150"/>
    <mergeCell ref="BD150:BE150"/>
    <mergeCell ref="BF150:BM150"/>
    <mergeCell ref="BN150:BU150"/>
    <mergeCell ref="BV150:CD150"/>
    <mergeCell ref="BF93:BM93"/>
    <mergeCell ref="BN93:BU93"/>
    <mergeCell ref="AL142:AM142"/>
    <mergeCell ref="AP128:AQ128"/>
    <mergeCell ref="AP129:AQ129"/>
    <mergeCell ref="AP130:AQ130"/>
    <mergeCell ref="AP131:AQ131"/>
    <mergeCell ref="AP132:AQ132"/>
    <mergeCell ref="AP108:AQ108"/>
    <mergeCell ref="AR108:AS108"/>
    <mergeCell ref="AT108:AU108"/>
    <mergeCell ref="AV108:AW108"/>
    <mergeCell ref="AX108:AY108"/>
    <mergeCell ref="AZ108:BA108"/>
    <mergeCell ref="BB108:BC108"/>
    <mergeCell ref="BD108:BE108"/>
    <mergeCell ref="BF108:BM108"/>
    <mergeCell ref="AX93:AY93"/>
    <mergeCell ref="AV93:AW93"/>
    <mergeCell ref="AL143:AM143"/>
    <mergeCell ref="AL125:AM125"/>
    <mergeCell ref="AL106:AM106"/>
    <mergeCell ref="AZ80:BA80"/>
    <mergeCell ref="BD80:BE80"/>
    <mergeCell ref="BF80:BM80"/>
    <mergeCell ref="BN80:BU80"/>
    <mergeCell ref="BV80:CD80"/>
    <mergeCell ref="AN81:AO81"/>
    <mergeCell ref="AP81:AQ81"/>
    <mergeCell ref="AR81:AS81"/>
    <mergeCell ref="AT81:AU81"/>
    <mergeCell ref="AV81:AW81"/>
    <mergeCell ref="AX81:AY81"/>
    <mergeCell ref="AZ81:BA81"/>
    <mergeCell ref="BD81:BE81"/>
    <mergeCell ref="BF81:BM81"/>
    <mergeCell ref="BN81:BU81"/>
    <mergeCell ref="BV81:CD81"/>
    <mergeCell ref="BB80:BC80"/>
    <mergeCell ref="BB81:BC81"/>
    <mergeCell ref="AF9:AG9"/>
    <mergeCell ref="B8:I9"/>
    <mergeCell ref="BN10:BU10"/>
    <mergeCell ref="BN11:BU11"/>
    <mergeCell ref="BF11:BK11"/>
    <mergeCell ref="AZ9:BA9"/>
    <mergeCell ref="AN93:AO93"/>
    <mergeCell ref="AP93:AQ93"/>
    <mergeCell ref="AR93:AS93"/>
    <mergeCell ref="AT93:AU93"/>
    <mergeCell ref="AF76:AG76"/>
    <mergeCell ref="AH76:AI76"/>
    <mergeCell ref="AJ76:AK76"/>
    <mergeCell ref="AL76:AM76"/>
    <mergeCell ref="AN76:AO76"/>
    <mergeCell ref="AP76:AQ76"/>
    <mergeCell ref="AR76:AS76"/>
    <mergeCell ref="AT76:AU76"/>
    <mergeCell ref="AV76:AW76"/>
    <mergeCell ref="AX76:AY76"/>
    <mergeCell ref="AZ76:BA76"/>
    <mergeCell ref="AX89:AY89"/>
    <mergeCell ref="AJ88:AK88"/>
    <mergeCell ref="AP86:AQ86"/>
    <mergeCell ref="AZ85:BA85"/>
    <mergeCell ref="AJ85:AK85"/>
    <mergeCell ref="AX90:AY90"/>
    <mergeCell ref="AR79:AS79"/>
    <mergeCell ref="AT79:AU79"/>
    <mergeCell ref="BN78:BU78"/>
    <mergeCell ref="AV79:AW79"/>
    <mergeCell ref="AX79:AY79"/>
    <mergeCell ref="BV15:CD15"/>
    <mergeCell ref="BV23:CD23"/>
    <mergeCell ref="A1:E1"/>
    <mergeCell ref="F1:U1"/>
    <mergeCell ref="V1:AK1"/>
    <mergeCell ref="AL1:AR1"/>
    <mergeCell ref="AS1:AX1"/>
    <mergeCell ref="A2:E3"/>
    <mergeCell ref="F2:U3"/>
    <mergeCell ref="V2:AK3"/>
    <mergeCell ref="AL2:AM2"/>
    <mergeCell ref="AN2:AR2"/>
    <mergeCell ref="AS2:AX2"/>
    <mergeCell ref="AL3:AM3"/>
    <mergeCell ref="AN3:AR3"/>
    <mergeCell ref="AS3:AX3"/>
    <mergeCell ref="AV11:AW11"/>
    <mergeCell ref="AX11:AY11"/>
    <mergeCell ref="AF8:BE8"/>
    <mergeCell ref="AF10:AG10"/>
    <mergeCell ref="AF11:AG11"/>
    <mergeCell ref="S8:AE9"/>
    <mergeCell ref="AH10:AI10"/>
    <mergeCell ref="AJ10:AK10"/>
    <mergeCell ref="AL10:AM10"/>
    <mergeCell ref="AN10:AO10"/>
    <mergeCell ref="AT11:AU11"/>
    <mergeCell ref="AT9:AU9"/>
    <mergeCell ref="AX9:AY9"/>
    <mergeCell ref="BB9:BC9"/>
    <mergeCell ref="BB10:BC10"/>
    <mergeCell ref="BB11:BC11"/>
    <mergeCell ref="BV21:CD21"/>
    <mergeCell ref="BV17:CD17"/>
    <mergeCell ref="AV16:AW16"/>
    <mergeCell ref="AX18:AY18"/>
    <mergeCell ref="AX19:AY19"/>
    <mergeCell ref="BN17:BU17"/>
    <mergeCell ref="AV29:AW29"/>
    <mergeCell ref="BV20:CD20"/>
    <mergeCell ref="AT23:AU23"/>
    <mergeCell ref="AV23:AW23"/>
    <mergeCell ref="BV22:CD22"/>
    <mergeCell ref="BD17:BE17"/>
    <mergeCell ref="BD18:BE18"/>
    <mergeCell ref="BD19:BE19"/>
    <mergeCell ref="BD22:BE22"/>
    <mergeCell ref="AX23:AY23"/>
    <mergeCell ref="AX22:AY22"/>
    <mergeCell ref="BN28:BU28"/>
    <mergeCell ref="BD29:BE29"/>
    <mergeCell ref="AZ19:BA19"/>
    <mergeCell ref="AZ21:BA21"/>
    <mergeCell ref="AZ22:BA22"/>
    <mergeCell ref="AT28:AU28"/>
    <mergeCell ref="AV28:AW28"/>
    <mergeCell ref="AX28:AY28"/>
    <mergeCell ref="AZ23:BA23"/>
    <mergeCell ref="AT29:AU29"/>
    <mergeCell ref="BV18:CD18"/>
    <mergeCell ref="AX20:AY20"/>
    <mergeCell ref="BF21:BM21"/>
    <mergeCell ref="BF22:BM22"/>
    <mergeCell ref="BF17:BM17"/>
    <mergeCell ref="BF12:BM12"/>
    <mergeCell ref="BV13:CD13"/>
    <mergeCell ref="AH13:AI13"/>
    <mergeCell ref="AH12:AI12"/>
    <mergeCell ref="AV18:AW18"/>
    <mergeCell ref="AV19:AW19"/>
    <mergeCell ref="AT20:AU20"/>
    <mergeCell ref="AV20:AW20"/>
    <mergeCell ref="AJ21:AK21"/>
    <mergeCell ref="AR15:AS15"/>
    <mergeCell ref="AX16:AY16"/>
    <mergeCell ref="AX15:AY15"/>
    <mergeCell ref="BN21:BU21"/>
    <mergeCell ref="BD21:BE21"/>
    <mergeCell ref="AT19:AU19"/>
    <mergeCell ref="AT21:AU21"/>
    <mergeCell ref="AV21:AW21"/>
    <mergeCell ref="AX21:AY21"/>
    <mergeCell ref="AZ12:BA12"/>
    <mergeCell ref="AZ13:BA13"/>
    <mergeCell ref="AZ14:BA14"/>
    <mergeCell ref="AZ15:BA15"/>
    <mergeCell ref="AZ16:BA16"/>
    <mergeCell ref="AZ17:BA17"/>
    <mergeCell ref="AZ18:BA18"/>
    <mergeCell ref="BF15:BM15"/>
    <mergeCell ref="BN13:BU13"/>
    <mergeCell ref="BV16:CD16"/>
    <mergeCell ref="BD14:BE14"/>
    <mergeCell ref="BD15:BE15"/>
    <mergeCell ref="BD16:BE16"/>
    <mergeCell ref="BV14:CD14"/>
    <mergeCell ref="BN12:BU12"/>
    <mergeCell ref="BV12:CD12"/>
    <mergeCell ref="AR13:AS13"/>
    <mergeCell ref="AT13:AU13"/>
    <mergeCell ref="AV13:AW13"/>
    <mergeCell ref="AX13:AY13"/>
    <mergeCell ref="AR18:AS18"/>
    <mergeCell ref="BD13:BE13"/>
    <mergeCell ref="BD12:BE12"/>
    <mergeCell ref="AJ12:AK12"/>
    <mergeCell ref="AZ10:BA10"/>
    <mergeCell ref="AZ11:BA11"/>
    <mergeCell ref="AJ16:AK16"/>
    <mergeCell ref="AJ18:AK18"/>
    <mergeCell ref="AR14:AS14"/>
    <mergeCell ref="AT14:AU14"/>
    <mergeCell ref="AV14:AW14"/>
    <mergeCell ref="AP17:AQ17"/>
    <mergeCell ref="AJ15:AK15"/>
    <mergeCell ref="AX10:AY10"/>
    <mergeCell ref="AJ11:AK11"/>
    <mergeCell ref="AN16:AO16"/>
    <mergeCell ref="AV15:AW15"/>
    <mergeCell ref="AP16:AQ16"/>
    <mergeCell ref="BF13:BM13"/>
    <mergeCell ref="BF14:BM14"/>
    <mergeCell ref="BV10:CD10"/>
    <mergeCell ref="BV11:CD11"/>
    <mergeCell ref="AT12:AU12"/>
    <mergeCell ref="AV12:AW12"/>
    <mergeCell ref="BN14:BU14"/>
    <mergeCell ref="AX12:AY12"/>
    <mergeCell ref="AJ124:AK124"/>
    <mergeCell ref="AJ136:AK136"/>
    <mergeCell ref="AJ137:AK137"/>
    <mergeCell ref="AJ138:AK138"/>
    <mergeCell ref="AJ139:AK139"/>
    <mergeCell ref="AJ140:AK140"/>
    <mergeCell ref="AJ117:AK117"/>
    <mergeCell ref="AJ118:AK118"/>
    <mergeCell ref="AL113:AM113"/>
    <mergeCell ref="AL126:AM126"/>
    <mergeCell ref="AL127:AM127"/>
    <mergeCell ref="AV9:AW9"/>
    <mergeCell ref="AH9:AI9"/>
    <mergeCell ref="AJ9:AK9"/>
    <mergeCell ref="AH11:AI11"/>
    <mergeCell ref="AN77:AO77"/>
    <mergeCell ref="AP77:AQ77"/>
    <mergeCell ref="AR77:AS77"/>
    <mergeCell ref="AJ13:AK13"/>
    <mergeCell ref="AP109:AQ109"/>
    <mergeCell ref="AR109:AS109"/>
    <mergeCell ref="AT109:AU109"/>
    <mergeCell ref="AV109:AW109"/>
    <mergeCell ref="AT59:AU59"/>
    <mergeCell ref="AR95:AS95"/>
    <mergeCell ref="AT95:AU95"/>
    <mergeCell ref="AV95:AW95"/>
    <mergeCell ref="AP47:AQ47"/>
    <mergeCell ref="AN13:AO13"/>
    <mergeCell ref="AH80:AI80"/>
    <mergeCell ref="AT78:AU78"/>
    <mergeCell ref="AV78:AW78"/>
    <mergeCell ref="BN89:BU89"/>
    <mergeCell ref="AR94:AS94"/>
    <mergeCell ref="AT94:AU94"/>
    <mergeCell ref="AV94:AW94"/>
    <mergeCell ref="AX94:AY94"/>
    <mergeCell ref="BN94:BU94"/>
    <mergeCell ref="BN76:BU76"/>
    <mergeCell ref="BV76:CD76"/>
    <mergeCell ref="AX66:AY66"/>
    <mergeCell ref="AR67:AS67"/>
    <mergeCell ref="AZ79:BA79"/>
    <mergeCell ref="BD79:BE79"/>
    <mergeCell ref="BB70:BC70"/>
    <mergeCell ref="AV62:AW62"/>
    <mergeCell ref="BV89:CD89"/>
    <mergeCell ref="BV90:CD90"/>
    <mergeCell ref="BV91:CD91"/>
    <mergeCell ref="AT77:AU77"/>
    <mergeCell ref="BB71:BC71"/>
    <mergeCell ref="BB72:BC72"/>
    <mergeCell ref="BB73:BC73"/>
    <mergeCell ref="BB74:BC74"/>
    <mergeCell ref="BB75:BC75"/>
    <mergeCell ref="BB76:BC76"/>
    <mergeCell ref="BB77:BC77"/>
    <mergeCell ref="BB78:BC78"/>
    <mergeCell ref="BB79:BC79"/>
    <mergeCell ref="BB82:BC82"/>
    <mergeCell ref="BB83:BC83"/>
    <mergeCell ref="BB84:BC84"/>
    <mergeCell ref="BV77:CD77"/>
    <mergeCell ref="AR78:AS78"/>
    <mergeCell ref="AZ78:BA78"/>
    <mergeCell ref="BD78:BE78"/>
    <mergeCell ref="BF78:BM78"/>
    <mergeCell ref="BV78:CD78"/>
    <mergeCell ref="BF79:BM79"/>
    <mergeCell ref="BN79:BU79"/>
    <mergeCell ref="BV79:CD79"/>
    <mergeCell ref="AR83:AS83"/>
    <mergeCell ref="AT83:AU83"/>
    <mergeCell ref="AP57:AQ57"/>
    <mergeCell ref="AP58:AQ58"/>
    <mergeCell ref="AP61:AQ61"/>
    <mergeCell ref="AP62:AQ62"/>
    <mergeCell ref="AV58:AW58"/>
    <mergeCell ref="AV59:AW59"/>
    <mergeCell ref="AP71:AQ71"/>
    <mergeCell ref="AR71:AS71"/>
    <mergeCell ref="AT71:AU71"/>
    <mergeCell ref="BV68:CD68"/>
    <mergeCell ref="BN71:BU71"/>
    <mergeCell ref="AV65:AW65"/>
    <mergeCell ref="AT66:AU66"/>
    <mergeCell ref="BV65:CD65"/>
    <mergeCell ref="AR68:AS68"/>
    <mergeCell ref="AT68:AU68"/>
    <mergeCell ref="AP68:AQ68"/>
    <mergeCell ref="AP79:AQ79"/>
    <mergeCell ref="AR70:AS70"/>
    <mergeCell ref="BV83:CD83"/>
    <mergeCell ref="BV64:CD64"/>
    <mergeCell ref="BV66:CD66"/>
    <mergeCell ref="AP80:AQ80"/>
    <mergeCell ref="AP52:AQ52"/>
    <mergeCell ref="AP133:AQ133"/>
    <mergeCell ref="AP134:AQ134"/>
    <mergeCell ref="AP135:AQ135"/>
    <mergeCell ref="AR90:AS90"/>
    <mergeCell ref="AV103:AW103"/>
    <mergeCell ref="AP97:AQ97"/>
    <mergeCell ref="AP102:AQ102"/>
    <mergeCell ref="AP103:AQ103"/>
    <mergeCell ref="AP105:AQ105"/>
    <mergeCell ref="AP106:AQ106"/>
    <mergeCell ref="AP107:AQ107"/>
    <mergeCell ref="AP104:AQ104"/>
    <mergeCell ref="AT104:AU104"/>
    <mergeCell ref="AV104:AW104"/>
    <mergeCell ref="AR106:AS106"/>
    <mergeCell ref="AR119:AS119"/>
    <mergeCell ref="AT119:AU119"/>
    <mergeCell ref="AV113:AW113"/>
    <mergeCell ref="AR104:AS104"/>
    <mergeCell ref="AR121:AS121"/>
    <mergeCell ref="AT121:AU121"/>
    <mergeCell ref="AV121:AW121"/>
    <mergeCell ref="AV90:AW90"/>
    <mergeCell ref="AV83:AW83"/>
    <mergeCell ref="AP69:AQ69"/>
    <mergeCell ref="AP70:AQ70"/>
    <mergeCell ref="AV77:AW77"/>
    <mergeCell ref="AT58:AU58"/>
    <mergeCell ref="AP55:AQ55"/>
    <mergeCell ref="AR54:AS54"/>
    <mergeCell ref="AR80:AS80"/>
    <mergeCell ref="AJ44:AK44"/>
    <mergeCell ref="AL43:AM43"/>
    <mergeCell ref="AL49:AM49"/>
    <mergeCell ref="AL48:AM48"/>
    <mergeCell ref="AJ19:AK19"/>
    <mergeCell ref="AJ46:AK46"/>
    <mergeCell ref="AJ47:AK47"/>
    <mergeCell ref="AJ48:AK48"/>
    <mergeCell ref="AJ49:AK49"/>
    <mergeCell ref="AN32:AO32"/>
    <mergeCell ref="AN31:AO31"/>
    <mergeCell ref="AN37:AO37"/>
    <mergeCell ref="AN42:AO42"/>
    <mergeCell ref="AN43:AO43"/>
    <mergeCell ref="AJ51:AK51"/>
    <mergeCell ref="AJ52:AK52"/>
    <mergeCell ref="AL34:AM34"/>
    <mergeCell ref="AL35:AM35"/>
    <mergeCell ref="AJ24:AK24"/>
    <mergeCell ref="AL24:AM24"/>
    <mergeCell ref="AN24:AO24"/>
    <mergeCell ref="AJ27:AK27"/>
    <mergeCell ref="AL27:AM27"/>
    <mergeCell ref="AN27:AO27"/>
    <mergeCell ref="AL47:AM47"/>
    <mergeCell ref="AJ43:AK43"/>
    <mergeCell ref="AJ45:AK45"/>
    <mergeCell ref="AN30:AO30"/>
    <mergeCell ref="AN23:AO23"/>
    <mergeCell ref="AN40:AO40"/>
    <mergeCell ref="AR43:AS43"/>
    <mergeCell ref="AR44:AS44"/>
    <mergeCell ref="AR45:AS45"/>
    <mergeCell ref="AT56:AU56"/>
    <mergeCell ref="AV57:AW57"/>
    <mergeCell ref="AT46:AU46"/>
    <mergeCell ref="AT47:AU47"/>
    <mergeCell ref="AN19:AO19"/>
    <mergeCell ref="AP29:AQ29"/>
    <mergeCell ref="AP30:AQ30"/>
    <mergeCell ref="AP31:AQ31"/>
    <mergeCell ref="AP32:AQ32"/>
    <mergeCell ref="AP43:AQ43"/>
    <mergeCell ref="AT42:AU42"/>
    <mergeCell ref="AT43:AU43"/>
    <mergeCell ref="AT44:AU44"/>
    <mergeCell ref="AT45:AU45"/>
    <mergeCell ref="AV47:AW47"/>
    <mergeCell ref="AV48:AW48"/>
    <mergeCell ref="AN21:AO21"/>
    <mergeCell ref="AR21:AS21"/>
    <mergeCell ref="AV34:AW34"/>
    <mergeCell ref="AR28:AS28"/>
    <mergeCell ref="AP35:AQ35"/>
    <mergeCell ref="AT57:AU57"/>
    <mergeCell ref="AV24:AW24"/>
    <mergeCell ref="AV27:AW27"/>
    <mergeCell ref="AN52:AO52"/>
    <mergeCell ref="AR46:AS46"/>
    <mergeCell ref="AR47:AS47"/>
    <mergeCell ref="AR19:AS19"/>
    <mergeCell ref="AP51:AQ51"/>
    <mergeCell ref="AX65:AY65"/>
    <mergeCell ref="AP15:AQ15"/>
    <mergeCell ref="AN45:AO45"/>
    <mergeCell ref="AN44:AO44"/>
    <mergeCell ref="AP42:AQ42"/>
    <mergeCell ref="AP45:AQ45"/>
    <mergeCell ref="AP46:AQ46"/>
    <mergeCell ref="AP48:AQ48"/>
    <mergeCell ref="AP49:AQ49"/>
    <mergeCell ref="AP50:AQ50"/>
    <mergeCell ref="AN20:AO20"/>
    <mergeCell ref="AP20:AQ20"/>
    <mergeCell ref="AN22:AO22"/>
    <mergeCell ref="AN33:AO33"/>
    <mergeCell ref="AR61:AS61"/>
    <mergeCell ref="AT61:AU61"/>
    <mergeCell ref="AV64:AW64"/>
    <mergeCell ref="AX64:AY64"/>
    <mergeCell ref="AN15:AO15"/>
    <mergeCell ref="AN18:AO18"/>
    <mergeCell ref="AP33:AQ33"/>
    <mergeCell ref="AP34:AQ34"/>
    <mergeCell ref="AP40:AQ40"/>
    <mergeCell ref="AP41:AQ41"/>
    <mergeCell ref="AP44:AQ44"/>
    <mergeCell ref="AR49:AS49"/>
    <mergeCell ref="AR52:AS52"/>
    <mergeCell ref="AR53:AS53"/>
    <mergeCell ref="AT53:AU53"/>
    <mergeCell ref="AV46:AW46"/>
    <mergeCell ref="AV60:AW60"/>
    <mergeCell ref="AX60:AY60"/>
    <mergeCell ref="AX68:AY68"/>
    <mergeCell ref="BN46:BU46"/>
    <mergeCell ref="BN47:BU47"/>
    <mergeCell ref="BN48:BU48"/>
    <mergeCell ref="BN49:BU49"/>
    <mergeCell ref="BN51:BU51"/>
    <mergeCell ref="BN72:BU72"/>
    <mergeCell ref="BN85:BU85"/>
    <mergeCell ref="BN84:BU84"/>
    <mergeCell ref="BN74:BU74"/>
    <mergeCell ref="AX52:AY52"/>
    <mergeCell ref="AX53:AY53"/>
    <mergeCell ref="AX54:AY54"/>
    <mergeCell ref="BN82:BU82"/>
    <mergeCell ref="BN83:BU83"/>
    <mergeCell ref="AX48:AY48"/>
    <mergeCell ref="AX49:AY49"/>
    <mergeCell ref="AX70:AY70"/>
    <mergeCell ref="AZ49:BA49"/>
    <mergeCell ref="AZ50:BA50"/>
    <mergeCell ref="AX84:AY84"/>
    <mergeCell ref="BF72:BM72"/>
    <mergeCell ref="BN54:BU54"/>
    <mergeCell ref="BN70:BU70"/>
    <mergeCell ref="BN65:BU65"/>
    <mergeCell ref="AX71:AY71"/>
    <mergeCell ref="AX77:AY77"/>
    <mergeCell ref="AZ77:BA77"/>
    <mergeCell ref="BD77:BE77"/>
    <mergeCell ref="BF77:BM77"/>
    <mergeCell ref="BN77:BU77"/>
    <mergeCell ref="BB52:BC52"/>
    <mergeCell ref="AV52:AW52"/>
    <mergeCell ref="BN42:BU42"/>
    <mergeCell ref="BN43:BU43"/>
    <mergeCell ref="BN44:BU44"/>
    <mergeCell ref="BN45:BU45"/>
    <mergeCell ref="BN50:BU50"/>
    <mergeCell ref="BN57:BU57"/>
    <mergeCell ref="BN66:BU66"/>
    <mergeCell ref="BN67:BU67"/>
    <mergeCell ref="BN68:BU68"/>
    <mergeCell ref="BN69:BU69"/>
    <mergeCell ref="AV42:AW42"/>
    <mergeCell ref="AV43:AW43"/>
    <mergeCell ref="AV44:AW44"/>
    <mergeCell ref="AV45:AW45"/>
    <mergeCell ref="AX56:AY56"/>
    <mergeCell ref="AX57:AY57"/>
    <mergeCell ref="AX58:AY58"/>
    <mergeCell ref="AX59:AY59"/>
    <mergeCell ref="AX42:AY42"/>
    <mergeCell ref="AX43:AY43"/>
    <mergeCell ref="AX44:AY44"/>
    <mergeCell ref="AX45:AY45"/>
    <mergeCell ref="AV49:AW49"/>
    <mergeCell ref="AV61:AW61"/>
    <mergeCell ref="AX63:AY63"/>
    <mergeCell ref="BD46:BE46"/>
    <mergeCell ref="BD47:BE47"/>
    <mergeCell ref="AZ54:BA54"/>
    <mergeCell ref="AZ48:BA48"/>
    <mergeCell ref="AZ44:BA44"/>
    <mergeCell ref="AV68:AW68"/>
    <mergeCell ref="BN58:BU58"/>
    <mergeCell ref="BN59:BU59"/>
    <mergeCell ref="BN60:BU60"/>
    <mergeCell ref="BN61:BU61"/>
    <mergeCell ref="BN62:BU62"/>
    <mergeCell ref="BN63:BU63"/>
    <mergeCell ref="BN64:BU64"/>
    <mergeCell ref="AX74:AY74"/>
    <mergeCell ref="AX72:AY72"/>
    <mergeCell ref="AN63:AO63"/>
    <mergeCell ref="AR63:AS63"/>
    <mergeCell ref="AN46:AO46"/>
    <mergeCell ref="AN47:AO47"/>
    <mergeCell ref="AR69:AS69"/>
    <mergeCell ref="AT69:AU69"/>
    <mergeCell ref="AV69:AW69"/>
    <mergeCell ref="AX69:AY69"/>
    <mergeCell ref="AN64:AO64"/>
    <mergeCell ref="AP65:AQ65"/>
    <mergeCell ref="AT67:AU67"/>
    <mergeCell ref="AR66:AS66"/>
    <mergeCell ref="AX61:AY61"/>
    <mergeCell ref="AN62:AO62"/>
    <mergeCell ref="AR62:AS62"/>
    <mergeCell ref="AT62:AU62"/>
    <mergeCell ref="AP59:AQ59"/>
    <mergeCell ref="AP60:AQ60"/>
    <mergeCell ref="AP56:AQ56"/>
    <mergeCell ref="AV55:AW55"/>
    <mergeCell ref="AX55:AY55"/>
    <mergeCell ref="AV56:AW56"/>
    <mergeCell ref="AT52:AU52"/>
    <mergeCell ref="AN58:AO58"/>
    <mergeCell ref="AN57:AO57"/>
    <mergeCell ref="AJ56:AK56"/>
    <mergeCell ref="AJ57:AK57"/>
    <mergeCell ref="AJ58:AK58"/>
    <mergeCell ref="AJ59:AK59"/>
    <mergeCell ref="AR82:AS82"/>
    <mergeCell ref="AT82:AU82"/>
    <mergeCell ref="AP53:AQ53"/>
    <mergeCell ref="AN53:AO53"/>
    <mergeCell ref="AT70:AU70"/>
    <mergeCell ref="AV70:AW70"/>
    <mergeCell ref="AR55:AS55"/>
    <mergeCell ref="AR56:AS56"/>
    <mergeCell ref="AR57:AS57"/>
    <mergeCell ref="AR58:AS58"/>
    <mergeCell ref="AR65:AS65"/>
    <mergeCell ref="AT65:AU65"/>
    <mergeCell ref="AV82:AW82"/>
    <mergeCell ref="AN59:AO59"/>
    <mergeCell ref="AR59:AS59"/>
    <mergeCell ref="AT54:AU54"/>
    <mergeCell ref="AV54:AW54"/>
    <mergeCell ref="AN80:AO80"/>
    <mergeCell ref="AT80:AU80"/>
    <mergeCell ref="AV80:AW80"/>
    <mergeCell ref="AL77:AM77"/>
    <mergeCell ref="AJ74:AK74"/>
    <mergeCell ref="AL73:AM73"/>
    <mergeCell ref="AL74:AM74"/>
    <mergeCell ref="AJ91:AK91"/>
    <mergeCell ref="AL91:AM91"/>
    <mergeCell ref="AN91:AO91"/>
    <mergeCell ref="AR91:AS91"/>
    <mergeCell ref="AT91:AU91"/>
    <mergeCell ref="AV91:AW91"/>
    <mergeCell ref="AX91:AY91"/>
    <mergeCell ref="AN89:AO89"/>
    <mergeCell ref="AR89:AS89"/>
    <mergeCell ref="AP82:AQ82"/>
    <mergeCell ref="AP83:AQ83"/>
    <mergeCell ref="AJ75:AK75"/>
    <mergeCell ref="AL82:AM82"/>
    <mergeCell ref="AJ84:AK84"/>
    <mergeCell ref="AH90:AI90"/>
    <mergeCell ref="AJ90:AK90"/>
    <mergeCell ref="AL90:AM90"/>
    <mergeCell ref="AN90:AO90"/>
    <mergeCell ref="AX85:AY85"/>
    <mergeCell ref="AX87:AY87"/>
    <mergeCell ref="AP85:AQ85"/>
    <mergeCell ref="AX83:AY83"/>
    <mergeCell ref="AP75:AQ75"/>
    <mergeCell ref="AX82:AY82"/>
    <mergeCell ref="AL78:AM78"/>
    <mergeCell ref="AN78:AO78"/>
    <mergeCell ref="AP78:AQ78"/>
    <mergeCell ref="AL79:AM79"/>
    <mergeCell ref="AH83:AI83"/>
    <mergeCell ref="AL85:AM85"/>
    <mergeCell ref="AX78:AY78"/>
    <mergeCell ref="AX80:AY80"/>
    <mergeCell ref="AH82:AI82"/>
    <mergeCell ref="AJ71:AK71"/>
    <mergeCell ref="AH127:AI127"/>
    <mergeCell ref="AH89:AI89"/>
    <mergeCell ref="AJ89:AK89"/>
    <mergeCell ref="AH97:AI97"/>
    <mergeCell ref="AJ96:AK96"/>
    <mergeCell ref="AH63:AI63"/>
    <mergeCell ref="BN87:BU87"/>
    <mergeCell ref="BN86:BU86"/>
    <mergeCell ref="AV66:AW66"/>
    <mergeCell ref="AV71:AW71"/>
    <mergeCell ref="AT86:AU86"/>
    <mergeCell ref="AV86:AW86"/>
    <mergeCell ref="AX86:AY86"/>
    <mergeCell ref="AJ102:AK102"/>
    <mergeCell ref="AL102:AM102"/>
    <mergeCell ref="AJ95:AK95"/>
    <mergeCell ref="AL95:AM95"/>
    <mergeCell ref="AN95:AO95"/>
    <mergeCell ref="AL94:AM94"/>
    <mergeCell ref="AT90:AU90"/>
    <mergeCell ref="AV87:AW87"/>
    <mergeCell ref="AT89:AU89"/>
    <mergeCell ref="AV89:AW89"/>
    <mergeCell ref="AP96:AQ96"/>
    <mergeCell ref="AN94:AO94"/>
    <mergeCell ref="AJ87:AK87"/>
    <mergeCell ref="AN68:AO68"/>
    <mergeCell ref="AL88:AM88"/>
    <mergeCell ref="AV85:AW85"/>
    <mergeCell ref="AH91:AI91"/>
    <mergeCell ref="AL184:AM184"/>
    <mergeCell ref="AH72:AI72"/>
    <mergeCell ref="AJ72:AK72"/>
    <mergeCell ref="AL182:AM182"/>
    <mergeCell ref="AL119:AM119"/>
    <mergeCell ref="AL120:AM120"/>
    <mergeCell ref="AL121:AM121"/>
    <mergeCell ref="AL122:AM122"/>
    <mergeCell ref="AL89:AM89"/>
    <mergeCell ref="AL97:AM97"/>
    <mergeCell ref="AL103:AM103"/>
    <mergeCell ref="AJ184:AK184"/>
    <mergeCell ref="AL183:AM183"/>
    <mergeCell ref="AL129:AM129"/>
    <mergeCell ref="AL130:AM130"/>
    <mergeCell ref="AL131:AM131"/>
    <mergeCell ref="AL132:AM132"/>
    <mergeCell ref="AL133:AM133"/>
    <mergeCell ref="AJ182:AK182"/>
    <mergeCell ref="AJ97:AK97"/>
    <mergeCell ref="AH103:AI103"/>
    <mergeCell ref="AJ103:AK103"/>
    <mergeCell ref="AH111:AI111"/>
    <mergeCell ref="AJ126:AK126"/>
    <mergeCell ref="AH96:AI96"/>
    <mergeCell ref="AH125:AI125"/>
    <mergeCell ref="AL86:AM86"/>
    <mergeCell ref="AL84:AM84"/>
    <mergeCell ref="AL87:AM87"/>
    <mergeCell ref="AL81:AM81"/>
    <mergeCell ref="AJ128:AK128"/>
    <mergeCell ref="AJ93:AK93"/>
    <mergeCell ref="AJ83:AK83"/>
    <mergeCell ref="AL83:AM83"/>
    <mergeCell ref="AN83:AO83"/>
    <mergeCell ref="AH69:AI69"/>
    <mergeCell ref="AJ69:AK69"/>
    <mergeCell ref="AH56:AI56"/>
    <mergeCell ref="AH57:AI57"/>
    <mergeCell ref="AH58:AI58"/>
    <mergeCell ref="AH59:AI59"/>
    <mergeCell ref="AH66:AI66"/>
    <mergeCell ref="AL66:AM66"/>
    <mergeCell ref="AJ66:AK66"/>
    <mergeCell ref="AN69:AO69"/>
    <mergeCell ref="AL64:AM64"/>
    <mergeCell ref="AF83:AG83"/>
    <mergeCell ref="AN65:AO65"/>
    <mergeCell ref="AF74:AG74"/>
    <mergeCell ref="AN82:AO82"/>
    <mergeCell ref="AN71:AO71"/>
    <mergeCell ref="AJ63:AK63"/>
    <mergeCell ref="AN66:AO66"/>
    <mergeCell ref="AH67:AI67"/>
    <mergeCell ref="AJ67:AK67"/>
    <mergeCell ref="AL67:AM67"/>
    <mergeCell ref="AN67:AO67"/>
    <mergeCell ref="AL63:AM63"/>
    <mergeCell ref="AH70:AI70"/>
    <mergeCell ref="AN70:AO70"/>
    <mergeCell ref="AN79:AO79"/>
    <mergeCell ref="AF80:AG80"/>
    <mergeCell ref="AJ82:AK82"/>
    <mergeCell ref="AH65:AI65"/>
    <mergeCell ref="AF94:AG94"/>
    <mergeCell ref="AH94:AI94"/>
    <mergeCell ref="AF92:AG92"/>
    <mergeCell ref="AH92:AI92"/>
    <mergeCell ref="AJ92:AK92"/>
    <mergeCell ref="AF87:AG87"/>
    <mergeCell ref="AF89:AG89"/>
    <mergeCell ref="AF90:AG90"/>
    <mergeCell ref="AJ104:AK104"/>
    <mergeCell ref="AJ105:AK105"/>
    <mergeCell ref="AJ106:AK106"/>
    <mergeCell ref="AJ107:AK107"/>
    <mergeCell ref="AF95:AG95"/>
    <mergeCell ref="AF91:AG91"/>
    <mergeCell ref="AJ127:AK127"/>
    <mergeCell ref="AF105:AG105"/>
    <mergeCell ref="AF106:AG106"/>
    <mergeCell ref="AF111:AG111"/>
    <mergeCell ref="AF96:AG96"/>
    <mergeCell ref="AF97:AG97"/>
    <mergeCell ref="AH110:AI110"/>
    <mergeCell ref="AF113:AG113"/>
    <mergeCell ref="AH113:AI113"/>
    <mergeCell ref="AF122:AG122"/>
    <mergeCell ref="AH122:AI122"/>
    <mergeCell ref="AF110:AG110"/>
    <mergeCell ref="AF109:AG109"/>
    <mergeCell ref="AF125:AG125"/>
    <mergeCell ref="AF127:AG127"/>
    <mergeCell ref="AJ119:AK119"/>
    <mergeCell ref="AJ120:AK120"/>
    <mergeCell ref="AF112:AG112"/>
    <mergeCell ref="AF63:AG63"/>
    <mergeCell ref="AH60:AI60"/>
    <mergeCell ref="AJ60:AK60"/>
    <mergeCell ref="AL60:AM60"/>
    <mergeCell ref="AH61:AI61"/>
    <mergeCell ref="AJ61:AK61"/>
    <mergeCell ref="AL61:AM61"/>
    <mergeCell ref="AH64:AI64"/>
    <mergeCell ref="AJ64:AK64"/>
    <mergeCell ref="AL71:AM71"/>
    <mergeCell ref="AL50:AM50"/>
    <mergeCell ref="AL55:AM55"/>
    <mergeCell ref="AL72:AM72"/>
    <mergeCell ref="AH62:AI62"/>
    <mergeCell ref="AJ62:AK62"/>
    <mergeCell ref="AL62:AM62"/>
    <mergeCell ref="AJ54:AK54"/>
    <mergeCell ref="AJ55:AK55"/>
    <mergeCell ref="AL56:AM56"/>
    <mergeCell ref="AJ53:AK53"/>
    <mergeCell ref="AJ68:AK68"/>
    <mergeCell ref="AL68:AM68"/>
    <mergeCell ref="AJ70:AK70"/>
    <mergeCell ref="AF47:AG47"/>
    <mergeCell ref="AF48:AG48"/>
    <mergeCell ref="AF50:AG50"/>
    <mergeCell ref="AF40:AG40"/>
    <mergeCell ref="AL52:AM52"/>
    <mergeCell ref="AJ80:AK80"/>
    <mergeCell ref="AL80:AM80"/>
    <mergeCell ref="AJ81:AK81"/>
    <mergeCell ref="AN12:AO12"/>
    <mergeCell ref="AR12:AS12"/>
    <mergeCell ref="AR23:AS23"/>
    <mergeCell ref="AL54:AM54"/>
    <mergeCell ref="AP37:AQ37"/>
    <mergeCell ref="AL70:AM70"/>
    <mergeCell ref="AL96:AM96"/>
    <mergeCell ref="AL92:AM92"/>
    <mergeCell ref="AF78:AG78"/>
    <mergeCell ref="AH78:AI78"/>
    <mergeCell ref="AJ78:AK78"/>
    <mergeCell ref="AF79:AG79"/>
    <mergeCell ref="AH79:AI79"/>
    <mergeCell ref="AJ79:AK79"/>
    <mergeCell ref="AF81:AG81"/>
    <mergeCell ref="AH81:AI81"/>
    <mergeCell ref="AL57:AM57"/>
    <mergeCell ref="AL58:AM58"/>
    <mergeCell ref="AL59:AM59"/>
    <mergeCell ref="AJ65:AK65"/>
    <mergeCell ref="AL65:AM65"/>
    <mergeCell ref="AF77:AG77"/>
    <mergeCell ref="AH77:AI77"/>
    <mergeCell ref="AJ77:AK77"/>
    <mergeCell ref="AL9:AM9"/>
    <mergeCell ref="AL12:AM12"/>
    <mergeCell ref="AL13:AM13"/>
    <mergeCell ref="AL14:AM14"/>
    <mergeCell ref="AL15:AM15"/>
    <mergeCell ref="AL16:AM16"/>
    <mergeCell ref="AL17:AM17"/>
    <mergeCell ref="AL18:AM18"/>
    <mergeCell ref="AL19:AM19"/>
    <mergeCell ref="AL22:AM22"/>
    <mergeCell ref="AL23:AM23"/>
    <mergeCell ref="AL28:AM28"/>
    <mergeCell ref="AL29:AM29"/>
    <mergeCell ref="AL30:AM30"/>
    <mergeCell ref="AL31:AM31"/>
    <mergeCell ref="AL32:AM32"/>
    <mergeCell ref="AL33:AM33"/>
    <mergeCell ref="AL21:AM21"/>
    <mergeCell ref="AL20:AM20"/>
    <mergeCell ref="AX14:AY14"/>
    <mergeCell ref="AJ30:AK30"/>
    <mergeCell ref="AF36:AG36"/>
    <mergeCell ref="AN36:AO36"/>
    <mergeCell ref="AR36:AS36"/>
    <mergeCell ref="AT36:AU36"/>
    <mergeCell ref="AV36:AW36"/>
    <mergeCell ref="AX36:AY36"/>
    <mergeCell ref="AF38:AG38"/>
    <mergeCell ref="AN38:AO38"/>
    <mergeCell ref="AR38:AS38"/>
    <mergeCell ref="AF102:AG102"/>
    <mergeCell ref="AF103:AG103"/>
    <mergeCell ref="AF71:AG71"/>
    <mergeCell ref="AF72:AG72"/>
    <mergeCell ref="AX62:AY62"/>
    <mergeCell ref="AV67:AW67"/>
    <mergeCell ref="AX67:AY67"/>
    <mergeCell ref="AT63:AU63"/>
    <mergeCell ref="AV63:AW63"/>
    <mergeCell ref="AT74:AU74"/>
    <mergeCell ref="AJ86:AK86"/>
    <mergeCell ref="AN74:AO74"/>
    <mergeCell ref="AR74:AS74"/>
    <mergeCell ref="AJ41:AK41"/>
    <mergeCell ref="AF54:AG54"/>
    <mergeCell ref="AF82:AG82"/>
    <mergeCell ref="AH71:AI71"/>
    <mergeCell ref="AV74:AW74"/>
    <mergeCell ref="AX29:AY29"/>
    <mergeCell ref="AR64:AS64"/>
    <mergeCell ref="AT64:AU64"/>
    <mergeCell ref="AT15:AU15"/>
    <mergeCell ref="AT18:AU18"/>
    <mergeCell ref="AP19:AQ19"/>
    <mergeCell ref="AF13:AG13"/>
    <mergeCell ref="AH23:AI23"/>
    <mergeCell ref="AL69:AM69"/>
    <mergeCell ref="AJ14:AK14"/>
    <mergeCell ref="AF107:AG107"/>
    <mergeCell ref="AF14:AG14"/>
    <mergeCell ref="AF104:AG104"/>
    <mergeCell ref="AF67:AG67"/>
    <mergeCell ref="AF68:AG68"/>
    <mergeCell ref="AH68:AI68"/>
    <mergeCell ref="AF62:AG62"/>
    <mergeCell ref="AF43:AG43"/>
    <mergeCell ref="AF44:AG44"/>
    <mergeCell ref="AF45:AG45"/>
    <mergeCell ref="AH19:AI19"/>
    <mergeCell ref="AL42:AM42"/>
    <mergeCell ref="AL45:AM45"/>
    <mergeCell ref="AL51:AM51"/>
    <mergeCell ref="AL46:AM46"/>
    <mergeCell ref="AJ38:AK38"/>
    <mergeCell ref="AJ39:AK39"/>
    <mergeCell ref="AJ23:AK23"/>
    <mergeCell ref="AF64:AG64"/>
    <mergeCell ref="AF65:AG65"/>
    <mergeCell ref="AF66:AG66"/>
    <mergeCell ref="AF30:AG30"/>
    <mergeCell ref="AH40:AI40"/>
    <mergeCell ref="AF42:AG42"/>
    <mergeCell ref="AF23:AG23"/>
    <mergeCell ref="AX31:AY31"/>
    <mergeCell ref="AJ31:AK31"/>
    <mergeCell ref="AJ32:AK32"/>
    <mergeCell ref="AZ29:BA29"/>
    <mergeCell ref="AZ30:BA30"/>
    <mergeCell ref="AR31:AS31"/>
    <mergeCell ref="AV32:AW32"/>
    <mergeCell ref="AX32:AY32"/>
    <mergeCell ref="AX30:AY30"/>
    <mergeCell ref="AF28:AG28"/>
    <mergeCell ref="AN28:AO28"/>
    <mergeCell ref="R8:R9"/>
    <mergeCell ref="AH21:AI21"/>
    <mergeCell ref="AF22:AG22"/>
    <mergeCell ref="AF33:AG33"/>
    <mergeCell ref="J8:Q9"/>
    <mergeCell ref="AL44:AM44"/>
    <mergeCell ref="AF32:AG32"/>
    <mergeCell ref="AF19:AG19"/>
    <mergeCell ref="AF21:AG21"/>
    <mergeCell ref="AF18:AG18"/>
    <mergeCell ref="AF37:AG37"/>
    <mergeCell ref="AN9:AO9"/>
    <mergeCell ref="AR9:AS9"/>
    <mergeCell ref="AR10:AS10"/>
    <mergeCell ref="AT10:AU10"/>
    <mergeCell ref="AV10:AW10"/>
    <mergeCell ref="AN14:AO14"/>
    <mergeCell ref="AR16:AS16"/>
    <mergeCell ref="AT16:AU16"/>
    <mergeCell ref="AF12:AG12"/>
    <mergeCell ref="AR20:AS20"/>
    <mergeCell ref="AR30:AS30"/>
    <mergeCell ref="AT30:AU30"/>
    <mergeCell ref="AV30:AW30"/>
    <mergeCell ref="AF34:AG34"/>
    <mergeCell ref="AN34:AO34"/>
    <mergeCell ref="AR34:AS34"/>
    <mergeCell ref="AT34:AU34"/>
    <mergeCell ref="AH30:AI30"/>
    <mergeCell ref="AH29:AI29"/>
    <mergeCell ref="AH28:AI28"/>
    <mergeCell ref="AJ28:AK28"/>
    <mergeCell ref="AJ29:AK29"/>
    <mergeCell ref="AT31:AU31"/>
    <mergeCell ref="AV31:AW31"/>
    <mergeCell ref="AF24:AG24"/>
    <mergeCell ref="AH24:AI24"/>
    <mergeCell ref="AF27:AG27"/>
    <mergeCell ref="AH27:AI27"/>
    <mergeCell ref="AF29:AG29"/>
    <mergeCell ref="AN29:AO29"/>
    <mergeCell ref="AP28:AQ28"/>
    <mergeCell ref="AJ34:AK34"/>
    <mergeCell ref="AR29:AS29"/>
    <mergeCell ref="AP23:AQ23"/>
    <mergeCell ref="AP12:AQ12"/>
    <mergeCell ref="AP13:AQ13"/>
    <mergeCell ref="AP14:AQ14"/>
    <mergeCell ref="AH14:AI14"/>
    <mergeCell ref="BN16:BU16"/>
    <mergeCell ref="BN29:BU29"/>
    <mergeCell ref="AZ20:BA20"/>
    <mergeCell ref="BD20:BE20"/>
    <mergeCell ref="BN20:BU20"/>
    <mergeCell ref="AF17:AG17"/>
    <mergeCell ref="AF20:AG20"/>
    <mergeCell ref="AH20:AI20"/>
    <mergeCell ref="AJ20:AK20"/>
    <mergeCell ref="AN17:AO17"/>
    <mergeCell ref="AR17:AS17"/>
    <mergeCell ref="AT17:AU17"/>
    <mergeCell ref="AV17:AW17"/>
    <mergeCell ref="AX17:AY17"/>
    <mergeCell ref="AH22:AI22"/>
    <mergeCell ref="AJ22:AK22"/>
    <mergeCell ref="AP21:AQ21"/>
    <mergeCell ref="AP22:AQ22"/>
    <mergeCell ref="BF18:BM18"/>
    <mergeCell ref="BF19:BM19"/>
    <mergeCell ref="BF28:BM28"/>
    <mergeCell ref="AH17:AI17"/>
    <mergeCell ref="AJ17:AK17"/>
    <mergeCell ref="AV22:AW22"/>
    <mergeCell ref="AP18:AQ18"/>
    <mergeCell ref="AR22:AS22"/>
    <mergeCell ref="AT22:AU22"/>
    <mergeCell ref="AX125:AY125"/>
    <mergeCell ref="BN125:BU125"/>
    <mergeCell ref="AT139:AU139"/>
    <mergeCell ref="AP184:AQ184"/>
    <mergeCell ref="AP136:AQ136"/>
    <mergeCell ref="BN110:BU110"/>
    <mergeCell ref="BN119:BU119"/>
    <mergeCell ref="AR114:AS114"/>
    <mergeCell ref="AT114:AU114"/>
    <mergeCell ref="AV114:AW114"/>
    <mergeCell ref="BN8:BU9"/>
    <mergeCell ref="AL11:AM11"/>
    <mergeCell ref="AN11:AO11"/>
    <mergeCell ref="AR11:AS11"/>
    <mergeCell ref="BF8:BM9"/>
    <mergeCell ref="BD9:BE9"/>
    <mergeCell ref="BD10:BE10"/>
    <mergeCell ref="BD11:BE11"/>
    <mergeCell ref="AX114:AY114"/>
    <mergeCell ref="AP110:AQ110"/>
    <mergeCell ref="AP111:AQ111"/>
    <mergeCell ref="AP112:AQ112"/>
    <mergeCell ref="AL107:AM107"/>
    <mergeCell ref="AL118:AM118"/>
    <mergeCell ref="AR42:AS42"/>
    <mergeCell ref="AP9:AQ9"/>
    <mergeCell ref="AP10:AQ10"/>
    <mergeCell ref="AP11:AQ11"/>
    <mergeCell ref="AT32:AU32"/>
    <mergeCell ref="AZ28:BA28"/>
    <mergeCell ref="AR32:AS32"/>
    <mergeCell ref="AZ32:BA32"/>
    <mergeCell ref="BV48:CD48"/>
    <mergeCell ref="AT184:AU184"/>
    <mergeCell ref="AV184:AW184"/>
    <mergeCell ref="AX184:AY184"/>
    <mergeCell ref="BN118:BU118"/>
    <mergeCell ref="BN129:BU129"/>
    <mergeCell ref="BN133:BU133"/>
    <mergeCell ref="BN107:BU107"/>
    <mergeCell ref="AN107:AO107"/>
    <mergeCell ref="AR107:AS107"/>
    <mergeCell ref="AT107:AU107"/>
    <mergeCell ref="AV107:AW107"/>
    <mergeCell ref="BN127:BU127"/>
    <mergeCell ref="AP126:AQ126"/>
    <mergeCell ref="AP127:AQ127"/>
    <mergeCell ref="BN142:BU142"/>
    <mergeCell ref="AR110:AS110"/>
    <mergeCell ref="AT110:AU110"/>
    <mergeCell ref="AP121:AQ121"/>
    <mergeCell ref="AP142:AQ142"/>
    <mergeCell ref="AP143:AQ143"/>
    <mergeCell ref="AP144:AQ144"/>
    <mergeCell ref="AP118:AQ118"/>
    <mergeCell ref="AP119:AQ119"/>
    <mergeCell ref="AP120:AQ120"/>
    <mergeCell ref="BD119:BE119"/>
    <mergeCell ref="AN125:AO125"/>
    <mergeCell ref="AR125:AS125"/>
    <mergeCell ref="BV52:CD52"/>
    <mergeCell ref="AT125:AU125"/>
    <mergeCell ref="BV63:CD63"/>
    <mergeCell ref="AV125:AW125"/>
    <mergeCell ref="BV29:CD29"/>
    <mergeCell ref="BB32:BC32"/>
    <mergeCell ref="BF23:BM23"/>
    <mergeCell ref="BV185:CD185"/>
    <mergeCell ref="BV8:CD9"/>
    <mergeCell ref="BV97:CD97"/>
    <mergeCell ref="BV102:CD102"/>
    <mergeCell ref="BV103:CD103"/>
    <mergeCell ref="BV104:CD104"/>
    <mergeCell ref="BV105:CD105"/>
    <mergeCell ref="BV106:CD106"/>
    <mergeCell ref="BV107:CD107"/>
    <mergeCell ref="BV184:CD184"/>
    <mergeCell ref="BV117:CD117"/>
    <mergeCell ref="BV122:CD122"/>
    <mergeCell ref="BV124:CD124"/>
    <mergeCell ref="BV127:CD127"/>
    <mergeCell ref="BV142:CD142"/>
    <mergeCell ref="BV129:CD129"/>
    <mergeCell ref="BV144:CD144"/>
    <mergeCell ref="BV146:CD146"/>
    <mergeCell ref="BV69:CD69"/>
    <mergeCell ref="BV70:CD70"/>
    <mergeCell ref="BV51:CD51"/>
    <mergeCell ref="BV28:CD28"/>
    <mergeCell ref="BV32:CD32"/>
    <mergeCell ref="BV50:CD50"/>
    <mergeCell ref="BV85:CD85"/>
    <mergeCell ref="BD31:BE31"/>
    <mergeCell ref="BD32:BE32"/>
    <mergeCell ref="BD23:BE23"/>
    <mergeCell ref="BD28:BE28"/>
    <mergeCell ref="AZ34:BA34"/>
    <mergeCell ref="AZ35:BA35"/>
    <mergeCell ref="BN33:BU33"/>
    <mergeCell ref="BV34:CD34"/>
    <mergeCell ref="BV33:CD33"/>
    <mergeCell ref="BN30:BU30"/>
    <mergeCell ref="BD30:BE30"/>
    <mergeCell ref="AJ33:AK33"/>
    <mergeCell ref="AX34:AY34"/>
    <mergeCell ref="AF35:AG35"/>
    <mergeCell ref="AN35:AO35"/>
    <mergeCell ref="AR35:AS35"/>
    <mergeCell ref="AT35:AU35"/>
    <mergeCell ref="AV35:AW35"/>
    <mergeCell ref="AX35:AY35"/>
    <mergeCell ref="AR33:AS33"/>
    <mergeCell ref="AT33:AU33"/>
    <mergeCell ref="AV33:AW33"/>
    <mergeCell ref="AX33:AY33"/>
    <mergeCell ref="AF31:AG31"/>
    <mergeCell ref="BN31:BU31"/>
    <mergeCell ref="BV31:CD31"/>
    <mergeCell ref="AZ31:BA31"/>
    <mergeCell ref="AH33:AI33"/>
    <mergeCell ref="BD33:BE33"/>
    <mergeCell ref="BD34:BE34"/>
    <mergeCell ref="BD35:BE35"/>
    <mergeCell ref="AJ35:AK35"/>
    <mergeCell ref="BV30:CD30"/>
    <mergeCell ref="BV35:CD35"/>
    <mergeCell ref="BB33:BC33"/>
    <mergeCell ref="BB34:BC34"/>
    <mergeCell ref="AZ37:BA37"/>
    <mergeCell ref="BD36:BE36"/>
    <mergeCell ref="AT39:AU39"/>
    <mergeCell ref="AV39:AW39"/>
    <mergeCell ref="AX39:AY39"/>
    <mergeCell ref="BN39:BU39"/>
    <mergeCell ref="BV39:CD39"/>
    <mergeCell ref="AJ36:AK36"/>
    <mergeCell ref="AV38:AW38"/>
    <mergeCell ref="AX38:AY38"/>
    <mergeCell ref="BD37:BE37"/>
    <mergeCell ref="BD38:BE38"/>
    <mergeCell ref="BD39:BE39"/>
    <mergeCell ref="AR37:AS37"/>
    <mergeCell ref="AT37:AU37"/>
    <mergeCell ref="AV37:AW37"/>
    <mergeCell ref="AX37:AY37"/>
    <mergeCell ref="BN37:BU37"/>
    <mergeCell ref="BV37:CD37"/>
    <mergeCell ref="AJ37:AK37"/>
    <mergeCell ref="BN38:BU38"/>
    <mergeCell ref="AL39:AM39"/>
    <mergeCell ref="AP39:AQ39"/>
    <mergeCell ref="AZ39:BA39"/>
    <mergeCell ref="AZ36:BA36"/>
    <mergeCell ref="BV38:CD38"/>
    <mergeCell ref="BN36:BU36"/>
    <mergeCell ref="BV36:CD36"/>
    <mergeCell ref="AR40:AS40"/>
    <mergeCell ref="AT40:AU40"/>
    <mergeCell ref="AV40:AW40"/>
    <mergeCell ref="AX40:AY40"/>
    <mergeCell ref="BN40:BU40"/>
    <mergeCell ref="BV40:CD40"/>
    <mergeCell ref="AL40:AM40"/>
    <mergeCell ref="AL41:AM41"/>
    <mergeCell ref="AZ40:BA40"/>
    <mergeCell ref="AZ41:BA41"/>
    <mergeCell ref="AF39:AG39"/>
    <mergeCell ref="AN39:AO39"/>
    <mergeCell ref="AR39:AS39"/>
    <mergeCell ref="BF41:BM41"/>
    <mergeCell ref="AN41:AO41"/>
    <mergeCell ref="AR41:AS41"/>
    <mergeCell ref="AT41:AU41"/>
    <mergeCell ref="AV41:AW41"/>
    <mergeCell ref="AX41:AY41"/>
    <mergeCell ref="AJ40:AK40"/>
    <mergeCell ref="BD40:BE40"/>
    <mergeCell ref="BD41:BE41"/>
    <mergeCell ref="BV41:CD41"/>
    <mergeCell ref="BF40:BM40"/>
    <mergeCell ref="BV42:CD42"/>
    <mergeCell ref="BV43:CD43"/>
    <mergeCell ref="BV44:CD44"/>
    <mergeCell ref="BV47:CD47"/>
    <mergeCell ref="AH16:AI16"/>
    <mergeCell ref="AH31:AI31"/>
    <mergeCell ref="AH32:AI32"/>
    <mergeCell ref="AH34:AI34"/>
    <mergeCell ref="AH35:AI35"/>
    <mergeCell ref="AH36:AI36"/>
    <mergeCell ref="AH37:AI37"/>
    <mergeCell ref="AH38:AI38"/>
    <mergeCell ref="AH39:AI39"/>
    <mergeCell ref="AH41:AI41"/>
    <mergeCell ref="AX46:AY46"/>
    <mergeCell ref="AN49:AO49"/>
    <mergeCell ref="AT50:AU50"/>
    <mergeCell ref="BD48:BE48"/>
    <mergeCell ref="AT48:AU48"/>
    <mergeCell ref="AT49:AU49"/>
    <mergeCell ref="AR48:AS48"/>
    <mergeCell ref="AT38:AU38"/>
    <mergeCell ref="AL38:AM38"/>
    <mergeCell ref="AP38:AQ38"/>
    <mergeCell ref="AZ38:BA38"/>
    <mergeCell ref="AL37:AM37"/>
    <mergeCell ref="AP36:AQ36"/>
    <mergeCell ref="AL36:AM36"/>
    <mergeCell ref="AZ33:BA33"/>
    <mergeCell ref="AV50:AW50"/>
    <mergeCell ref="AX50:AY50"/>
    <mergeCell ref="BD42:BE42"/>
    <mergeCell ref="BD43:BE43"/>
    <mergeCell ref="AF15:AG15"/>
    <mergeCell ref="AX47:AY47"/>
    <mergeCell ref="BV62:CD62"/>
    <mergeCell ref="BV19:CD19"/>
    <mergeCell ref="AF51:AG51"/>
    <mergeCell ref="AN50:AO50"/>
    <mergeCell ref="AR50:AS50"/>
    <mergeCell ref="AF41:AG41"/>
    <mergeCell ref="AH15:AI15"/>
    <mergeCell ref="AF16:AG16"/>
    <mergeCell ref="AH18:AI18"/>
    <mergeCell ref="BN41:BU41"/>
    <mergeCell ref="BV45:CD45"/>
    <mergeCell ref="BV46:CD46"/>
    <mergeCell ref="AH184:AI184"/>
    <mergeCell ref="AN118:AO118"/>
    <mergeCell ref="AR118:AS118"/>
    <mergeCell ref="AT118:AU118"/>
    <mergeCell ref="AV118:AW118"/>
    <mergeCell ref="AX118:AY118"/>
    <mergeCell ref="AR129:AS129"/>
    <mergeCell ref="AT129:AU129"/>
    <mergeCell ref="AV129:AW129"/>
    <mergeCell ref="AX129:AY129"/>
    <mergeCell ref="AX133:AY133"/>
    <mergeCell ref="AH104:AI104"/>
    <mergeCell ref="AH105:AI105"/>
    <mergeCell ref="AH106:AI106"/>
    <mergeCell ref="AH107:AI107"/>
    <mergeCell ref="AX111:AY111"/>
    <mergeCell ref="AX127:AY127"/>
    <mergeCell ref="AJ141:AK141"/>
    <mergeCell ref="AJ142:AK142"/>
    <mergeCell ref="AJ143:AK143"/>
    <mergeCell ref="AJ144:AK144"/>
    <mergeCell ref="AJ145:AK145"/>
    <mergeCell ref="AJ146:AK146"/>
    <mergeCell ref="AJ147:AK147"/>
    <mergeCell ref="AF53:AG53"/>
    <mergeCell ref="BN53:BU53"/>
    <mergeCell ref="BV53:CD53"/>
    <mergeCell ref="AP54:AQ54"/>
    <mergeCell ref="AF56:AG56"/>
    <mergeCell ref="AT55:AU55"/>
    <mergeCell ref="BN56:BU56"/>
    <mergeCell ref="BV56:CD56"/>
    <mergeCell ref="AF55:AG55"/>
    <mergeCell ref="BN55:BU55"/>
    <mergeCell ref="BV55:CD55"/>
    <mergeCell ref="AZ55:BA55"/>
    <mergeCell ref="AH55:AI55"/>
    <mergeCell ref="AL53:AM53"/>
    <mergeCell ref="AV53:AW53"/>
    <mergeCell ref="AN55:AO55"/>
    <mergeCell ref="AN56:AO56"/>
    <mergeCell ref="AN54:AO54"/>
    <mergeCell ref="AF75:AG75"/>
    <mergeCell ref="AP72:AQ72"/>
    <mergeCell ref="AP73:AQ73"/>
    <mergeCell ref="AP74:AQ74"/>
    <mergeCell ref="BV71:CD71"/>
    <mergeCell ref="AF69:AG69"/>
    <mergeCell ref="AF70:AG70"/>
    <mergeCell ref="BV67:CD67"/>
    <mergeCell ref="AN60:AO60"/>
    <mergeCell ref="AR60:AS60"/>
    <mergeCell ref="AT60:AU60"/>
    <mergeCell ref="AN61:AO61"/>
    <mergeCell ref="BD51:BE51"/>
    <mergeCell ref="BD52:BE52"/>
    <mergeCell ref="BD53:BE53"/>
    <mergeCell ref="BD54:BE54"/>
    <mergeCell ref="BD55:BE55"/>
    <mergeCell ref="AZ52:BA52"/>
    <mergeCell ref="AZ53:BA53"/>
    <mergeCell ref="AF52:AG52"/>
    <mergeCell ref="AN51:AO51"/>
    <mergeCell ref="AR51:AS51"/>
    <mergeCell ref="BV59:CD59"/>
    <mergeCell ref="BV60:CD60"/>
    <mergeCell ref="BD56:BE56"/>
    <mergeCell ref="BD57:BE57"/>
    <mergeCell ref="BV57:CD57"/>
    <mergeCell ref="BV61:CD61"/>
    <mergeCell ref="BF66:BM66"/>
    <mergeCell ref="BV58:CD58"/>
    <mergeCell ref="AF57:AG57"/>
    <mergeCell ref="AF58:AG58"/>
    <mergeCell ref="AF60:AG60"/>
    <mergeCell ref="AF61:AG61"/>
    <mergeCell ref="AP63:AQ63"/>
    <mergeCell ref="AP64:AQ64"/>
    <mergeCell ref="AP66:AQ66"/>
    <mergeCell ref="AP67:AQ67"/>
    <mergeCell ref="BV54:CD54"/>
    <mergeCell ref="BV82:CD82"/>
    <mergeCell ref="AN48:AO48"/>
    <mergeCell ref="BV74:CD74"/>
    <mergeCell ref="AH74:AI74"/>
    <mergeCell ref="AF73:AG73"/>
    <mergeCell ref="AN73:AO73"/>
    <mergeCell ref="AR73:AS73"/>
    <mergeCell ref="AT73:AU73"/>
    <mergeCell ref="AV73:AW73"/>
    <mergeCell ref="AL75:AM75"/>
    <mergeCell ref="AN72:AO72"/>
    <mergeCell ref="AR72:AS72"/>
    <mergeCell ref="AT72:AU72"/>
    <mergeCell ref="AV72:AW72"/>
    <mergeCell ref="BF73:BM73"/>
    <mergeCell ref="BV72:CD72"/>
    <mergeCell ref="AX73:AY73"/>
    <mergeCell ref="BN73:BU73"/>
    <mergeCell ref="BV73:CD73"/>
    <mergeCell ref="AH73:AI73"/>
    <mergeCell ref="AZ56:BA56"/>
    <mergeCell ref="AZ57:BA57"/>
    <mergeCell ref="BD49:BE49"/>
    <mergeCell ref="BD50:BE50"/>
    <mergeCell ref="BV75:CD75"/>
    <mergeCell ref="AZ75:BA75"/>
    <mergeCell ref="AJ73:AK73"/>
    <mergeCell ref="BF53:BM53"/>
    <mergeCell ref="BF54:BM54"/>
    <mergeCell ref="BF55:BM55"/>
    <mergeCell ref="BF58:BM58"/>
    <mergeCell ref="BF71:BM71"/>
    <mergeCell ref="AH84:AI84"/>
    <mergeCell ref="AF84:AG84"/>
    <mergeCell ref="AZ82:BA82"/>
    <mergeCell ref="AZ42:BA42"/>
    <mergeCell ref="AZ43:BA43"/>
    <mergeCell ref="AH75:AI75"/>
    <mergeCell ref="AN75:AO75"/>
    <mergeCell ref="AR75:AS75"/>
    <mergeCell ref="AT75:AU75"/>
    <mergeCell ref="AV75:AW75"/>
    <mergeCell ref="AX75:AY75"/>
    <mergeCell ref="BN75:BU75"/>
    <mergeCell ref="AZ66:BA66"/>
    <mergeCell ref="AZ67:BA67"/>
    <mergeCell ref="AZ69:BA69"/>
    <mergeCell ref="AZ70:BA70"/>
    <mergeCell ref="AZ68:BA68"/>
    <mergeCell ref="AZ63:BA63"/>
    <mergeCell ref="AZ64:BA64"/>
    <mergeCell ref="AZ65:BA65"/>
    <mergeCell ref="BF42:BM42"/>
    <mergeCell ref="BF43:BM43"/>
    <mergeCell ref="BF44:BM44"/>
    <mergeCell ref="BF45:BM45"/>
    <mergeCell ref="BF46:BM46"/>
    <mergeCell ref="BF47:BM47"/>
    <mergeCell ref="BF51:BM51"/>
    <mergeCell ref="AT51:AU51"/>
    <mergeCell ref="AV51:AW51"/>
    <mergeCell ref="AX51:AY51"/>
    <mergeCell ref="BN52:BU52"/>
    <mergeCell ref="AF46:AG46"/>
    <mergeCell ref="BD44:BE44"/>
    <mergeCell ref="BD45:BE45"/>
    <mergeCell ref="BV49:CD49"/>
    <mergeCell ref="BV87:CD87"/>
    <mergeCell ref="AF88:AG88"/>
    <mergeCell ref="AH88:AI88"/>
    <mergeCell ref="AN88:AO88"/>
    <mergeCell ref="AR88:AS88"/>
    <mergeCell ref="AT88:AU88"/>
    <mergeCell ref="AV88:AW88"/>
    <mergeCell ref="AX88:AY88"/>
    <mergeCell ref="BN88:BU88"/>
    <mergeCell ref="BV88:CD88"/>
    <mergeCell ref="AH87:AI87"/>
    <mergeCell ref="AN87:AO87"/>
    <mergeCell ref="AR87:AS87"/>
    <mergeCell ref="AT87:AU87"/>
    <mergeCell ref="AZ83:BA83"/>
    <mergeCell ref="AZ84:BA84"/>
    <mergeCell ref="AZ86:BA86"/>
    <mergeCell ref="AZ87:BA87"/>
    <mergeCell ref="AF86:AG86"/>
    <mergeCell ref="AH86:AI86"/>
    <mergeCell ref="AF85:AG85"/>
    <mergeCell ref="AH85:AI85"/>
    <mergeCell ref="AN85:AO85"/>
    <mergeCell ref="AR85:AS85"/>
    <mergeCell ref="BV86:CD86"/>
    <mergeCell ref="AN84:AO84"/>
    <mergeCell ref="AR84:AS84"/>
    <mergeCell ref="AT84:AU84"/>
    <mergeCell ref="AV84:AW84"/>
    <mergeCell ref="BV112:CD112"/>
    <mergeCell ref="AZ97:BA97"/>
    <mergeCell ref="AZ102:BA102"/>
    <mergeCell ref="AL110:AM110"/>
    <mergeCell ref="AL111:AM111"/>
    <mergeCell ref="AN106:AO106"/>
    <mergeCell ref="AT106:AU106"/>
    <mergeCell ref="AV106:AW106"/>
    <mergeCell ref="AZ92:BA92"/>
    <mergeCell ref="BN90:BU90"/>
    <mergeCell ref="AN96:AO96"/>
    <mergeCell ref="AR96:AS96"/>
    <mergeCell ref="AT96:AU96"/>
    <mergeCell ref="AV96:AW96"/>
    <mergeCell ref="AX96:AY96"/>
    <mergeCell ref="AZ103:BA103"/>
    <mergeCell ref="AZ104:BA104"/>
    <mergeCell ref="AN92:AO92"/>
    <mergeCell ref="AP92:AQ92"/>
    <mergeCell ref="AR92:AS92"/>
    <mergeCell ref="AT92:AU92"/>
    <mergeCell ref="AV92:AW92"/>
    <mergeCell ref="AX92:AY92"/>
    <mergeCell ref="BV110:CD110"/>
    <mergeCell ref="BN108:BU108"/>
    <mergeCell ref="BV108:CD108"/>
    <mergeCell ref="BN109:BU109"/>
    <mergeCell ref="BV109:CD109"/>
    <mergeCell ref="BV111:CD111"/>
    <mergeCell ref="BN111:BU111"/>
    <mergeCell ref="AV102:AW102"/>
    <mergeCell ref="AL93:AM93"/>
    <mergeCell ref="BN91:BU91"/>
    <mergeCell ref="BN96:BU96"/>
    <mergeCell ref="BV96:CD96"/>
    <mergeCell ref="BN105:BU105"/>
    <mergeCell ref="AN105:AO105"/>
    <mergeCell ref="AR105:AS105"/>
    <mergeCell ref="AT105:AU105"/>
    <mergeCell ref="AV105:AW105"/>
    <mergeCell ref="AX105:AY105"/>
    <mergeCell ref="AZ94:BA94"/>
    <mergeCell ref="AZ95:BA95"/>
    <mergeCell ref="AZ91:BA91"/>
    <mergeCell ref="AZ96:BA96"/>
    <mergeCell ref="BF91:BM91"/>
    <mergeCell ref="BF96:BM96"/>
    <mergeCell ref="AX104:AY104"/>
    <mergeCell ref="AP84:AQ84"/>
    <mergeCell ref="AT85:AU85"/>
    <mergeCell ref="BV84:CD84"/>
    <mergeCell ref="AP87:AQ87"/>
    <mergeCell ref="AR86:AS86"/>
    <mergeCell ref="AN86:AO86"/>
    <mergeCell ref="AN102:AO102"/>
    <mergeCell ref="AR102:AS102"/>
    <mergeCell ref="AX95:AY95"/>
    <mergeCell ref="AP88:AQ88"/>
    <mergeCell ref="AP89:AQ89"/>
    <mergeCell ref="AP90:AQ90"/>
    <mergeCell ref="AP94:AQ94"/>
    <mergeCell ref="AP95:AQ95"/>
    <mergeCell ref="AP91:AQ91"/>
    <mergeCell ref="BV93:CD93"/>
    <mergeCell ref="AX107:AY107"/>
    <mergeCell ref="BN97:BU97"/>
    <mergeCell ref="BN102:BU102"/>
    <mergeCell ref="BN103:BU103"/>
    <mergeCell ref="AR97:AS97"/>
    <mergeCell ref="AT97:AU97"/>
    <mergeCell ref="BN104:BU104"/>
    <mergeCell ref="AN104:AO104"/>
    <mergeCell ref="BV94:CD94"/>
    <mergeCell ref="AX103:AY103"/>
    <mergeCell ref="AN97:AO97"/>
    <mergeCell ref="AX106:AY106"/>
    <mergeCell ref="AH102:AI102"/>
    <mergeCell ref="AT103:AU103"/>
    <mergeCell ref="BN106:BU106"/>
    <mergeCell ref="BF103:BM103"/>
    <mergeCell ref="BF104:BM104"/>
    <mergeCell ref="BF107:BM107"/>
    <mergeCell ref="BF94:BM94"/>
    <mergeCell ref="AJ94:AK94"/>
    <mergeCell ref="BB106:BC106"/>
    <mergeCell ref="BB107:BC107"/>
    <mergeCell ref="AN103:AO103"/>
    <mergeCell ref="AR103:AS103"/>
    <mergeCell ref="AT102:AU102"/>
    <mergeCell ref="BV95:CD95"/>
    <mergeCell ref="BN95:BU95"/>
    <mergeCell ref="AX102:AY102"/>
    <mergeCell ref="AV97:AW97"/>
    <mergeCell ref="AX97:AY97"/>
    <mergeCell ref="AH95:AI95"/>
    <mergeCell ref="AL104:AM104"/>
    <mergeCell ref="AH112:AI112"/>
    <mergeCell ref="AN112:AO112"/>
    <mergeCell ref="AR112:AS112"/>
    <mergeCell ref="AT112:AU112"/>
    <mergeCell ref="AV112:AW112"/>
    <mergeCell ref="AX112:AY112"/>
    <mergeCell ref="BN112:BU112"/>
    <mergeCell ref="AH114:AI114"/>
    <mergeCell ref="AN114:AO114"/>
    <mergeCell ref="AP113:AQ113"/>
    <mergeCell ref="AP114:AQ114"/>
    <mergeCell ref="AN113:AO113"/>
    <mergeCell ref="AR113:AS113"/>
    <mergeCell ref="AT113:AU113"/>
    <mergeCell ref="BN114:BU114"/>
    <mergeCell ref="AF119:AG119"/>
    <mergeCell ref="AH119:AI119"/>
    <mergeCell ref="AN119:AO119"/>
    <mergeCell ref="AJ113:AK113"/>
    <mergeCell ref="AF114:AG114"/>
    <mergeCell ref="BF117:BM117"/>
    <mergeCell ref="BF118:BM118"/>
    <mergeCell ref="BB119:BC119"/>
    <mergeCell ref="AF118:AG118"/>
    <mergeCell ref="AH118:AI118"/>
    <mergeCell ref="AF115:AG115"/>
    <mergeCell ref="AH115:AI115"/>
    <mergeCell ref="AJ115:AK115"/>
    <mergeCell ref="AL115:AM115"/>
    <mergeCell ref="AN115:AO115"/>
    <mergeCell ref="AP115:AQ115"/>
    <mergeCell ref="AR115:AS115"/>
    <mergeCell ref="AN111:AO111"/>
    <mergeCell ref="AR111:AS111"/>
    <mergeCell ref="AT111:AU111"/>
    <mergeCell ref="AV111:AW111"/>
    <mergeCell ref="BD112:BE112"/>
    <mergeCell ref="AV110:AW110"/>
    <mergeCell ref="AX110:AY110"/>
    <mergeCell ref="AN110:AO110"/>
    <mergeCell ref="BF110:BM110"/>
    <mergeCell ref="BF111:BM111"/>
    <mergeCell ref="BF112:BM112"/>
    <mergeCell ref="AV119:AW119"/>
    <mergeCell ref="AX119:AY119"/>
    <mergeCell ref="AX113:AY113"/>
    <mergeCell ref="AJ114:AK114"/>
    <mergeCell ref="AL114:AM114"/>
    <mergeCell ref="AJ110:AK110"/>
    <mergeCell ref="AJ111:AK111"/>
    <mergeCell ref="AJ112:AK112"/>
    <mergeCell ref="AL112:AM112"/>
    <mergeCell ref="AL117:AM117"/>
    <mergeCell ref="BF113:BM113"/>
    <mergeCell ref="BF114:BM114"/>
    <mergeCell ref="AX117:AY117"/>
    <mergeCell ref="AZ113:BA113"/>
    <mergeCell ref="AZ114:BA114"/>
    <mergeCell ref="AZ117:BA117"/>
    <mergeCell ref="AZ118:BA118"/>
    <mergeCell ref="AZ119:BA119"/>
    <mergeCell ref="AT115:AU115"/>
    <mergeCell ref="AV115:AW115"/>
    <mergeCell ref="AX115:AY115"/>
    <mergeCell ref="BV113:CD113"/>
    <mergeCell ref="AF126:AG126"/>
    <mergeCell ref="AH126:AI126"/>
    <mergeCell ref="AN126:AO126"/>
    <mergeCell ref="AR126:AS126"/>
    <mergeCell ref="AT126:AU126"/>
    <mergeCell ref="AV126:AW126"/>
    <mergeCell ref="AX126:AY126"/>
    <mergeCell ref="BN126:BU126"/>
    <mergeCell ref="BV126:CD126"/>
    <mergeCell ref="BV114:CD114"/>
    <mergeCell ref="AF117:AG117"/>
    <mergeCell ref="AH117:AI117"/>
    <mergeCell ref="AN117:AO117"/>
    <mergeCell ref="AR117:AS117"/>
    <mergeCell ref="AT117:AU117"/>
    <mergeCell ref="AV117:AW117"/>
    <mergeCell ref="BV118:CD118"/>
    <mergeCell ref="BD117:BE117"/>
    <mergeCell ref="BD118:BE118"/>
    <mergeCell ref="AP117:AQ117"/>
    <mergeCell ref="BN113:BU113"/>
    <mergeCell ref="AJ122:AK122"/>
    <mergeCell ref="AJ123:AK123"/>
    <mergeCell ref="AN123:AO123"/>
    <mergeCell ref="AR123:AS123"/>
    <mergeCell ref="AT123:AU123"/>
    <mergeCell ref="AV123:AW123"/>
    <mergeCell ref="AX123:AY123"/>
    <mergeCell ref="BN123:BU123"/>
    <mergeCell ref="BV123:CD123"/>
    <mergeCell ref="BN117:BU117"/>
    <mergeCell ref="BV120:CD120"/>
    <mergeCell ref="AH121:AI121"/>
    <mergeCell ref="AN121:AO121"/>
    <mergeCell ref="BD120:BE120"/>
    <mergeCell ref="BD121:BE121"/>
    <mergeCell ref="BN121:BU121"/>
    <mergeCell ref="BV121:CD121"/>
    <mergeCell ref="AF120:AG120"/>
    <mergeCell ref="AH120:AI120"/>
    <mergeCell ref="AX121:AY121"/>
    <mergeCell ref="AN120:AO120"/>
    <mergeCell ref="AR120:AS120"/>
    <mergeCell ref="AT120:AU120"/>
    <mergeCell ref="AV120:AW120"/>
    <mergeCell ref="AX120:AY120"/>
    <mergeCell ref="BN120:BU120"/>
    <mergeCell ref="BV119:CD119"/>
    <mergeCell ref="AF121:AG121"/>
    <mergeCell ref="BF121:BM121"/>
    <mergeCell ref="AJ121:AK121"/>
    <mergeCell ref="BB120:BC120"/>
    <mergeCell ref="BB121:BC121"/>
    <mergeCell ref="BV125:CD125"/>
    <mergeCell ref="AF124:AG124"/>
    <mergeCell ref="AH124:AI124"/>
    <mergeCell ref="AN124:AO124"/>
    <mergeCell ref="AR124:AS124"/>
    <mergeCell ref="AT124:AU124"/>
    <mergeCell ref="AV124:AW124"/>
    <mergeCell ref="AX124:AY124"/>
    <mergeCell ref="BN124:BU124"/>
    <mergeCell ref="AP124:AQ124"/>
    <mergeCell ref="AP125:AQ125"/>
    <mergeCell ref="BD124:BE124"/>
    <mergeCell ref="BD125:BE125"/>
    <mergeCell ref="AZ125:BA125"/>
    <mergeCell ref="AJ125:AK125"/>
    <mergeCell ref="AZ124:BA124"/>
    <mergeCell ref="AN122:AO122"/>
    <mergeCell ref="AR122:AS122"/>
    <mergeCell ref="AT122:AU122"/>
    <mergeCell ref="AV122:AW122"/>
    <mergeCell ref="AX122:AY122"/>
    <mergeCell ref="BN122:BU122"/>
    <mergeCell ref="AP122:AQ122"/>
    <mergeCell ref="AP123:AQ123"/>
    <mergeCell ref="BD122:BE122"/>
    <mergeCell ref="BD123:BE123"/>
    <mergeCell ref="AZ123:BA123"/>
    <mergeCell ref="AZ122:BA122"/>
    <mergeCell ref="AF123:AG123"/>
    <mergeCell ref="AH123:AI123"/>
    <mergeCell ref="BB122:BC122"/>
    <mergeCell ref="BB123:BC123"/>
    <mergeCell ref="BV136:CD136"/>
    <mergeCell ref="AF128:AG128"/>
    <mergeCell ref="AH128:AI128"/>
    <mergeCell ref="AN128:AO128"/>
    <mergeCell ref="AR128:AS128"/>
    <mergeCell ref="AT128:AU128"/>
    <mergeCell ref="AV128:AW128"/>
    <mergeCell ref="AX128:AY128"/>
    <mergeCell ref="BN128:BU128"/>
    <mergeCell ref="BV128:CD128"/>
    <mergeCell ref="AF129:AG129"/>
    <mergeCell ref="AH129:AI129"/>
    <mergeCell ref="AN129:AO129"/>
    <mergeCell ref="AF132:AG132"/>
    <mergeCell ref="AH132:AI132"/>
    <mergeCell ref="AN132:AO132"/>
    <mergeCell ref="BV132:CD132"/>
    <mergeCell ref="AH133:AI133"/>
    <mergeCell ref="BV133:CD133"/>
    <mergeCell ref="AF130:AG130"/>
    <mergeCell ref="AH130:AI130"/>
    <mergeCell ref="AN130:AO130"/>
    <mergeCell ref="AR130:AS130"/>
    <mergeCell ref="AT130:AU130"/>
    <mergeCell ref="AV130:AW130"/>
    <mergeCell ref="AL128:AM128"/>
    <mergeCell ref="AJ130:AK130"/>
    <mergeCell ref="AJ129:AK129"/>
    <mergeCell ref="AJ134:AK134"/>
    <mergeCell ref="AN127:AO127"/>
    <mergeCell ref="AR127:AS127"/>
    <mergeCell ref="AT127:AU127"/>
    <mergeCell ref="AV127:AW127"/>
    <mergeCell ref="AF136:AG136"/>
    <mergeCell ref="AH136:AI136"/>
    <mergeCell ref="AN136:AO136"/>
    <mergeCell ref="AR136:AS136"/>
    <mergeCell ref="AT136:AU136"/>
    <mergeCell ref="AV136:AW136"/>
    <mergeCell ref="AX136:AY136"/>
    <mergeCell ref="BN136:BU136"/>
    <mergeCell ref="AX130:AY130"/>
    <mergeCell ref="AZ128:BA128"/>
    <mergeCell ref="BB129:BC129"/>
    <mergeCell ref="BB130:BC130"/>
    <mergeCell ref="BB131:BC131"/>
    <mergeCell ref="BB132:BC132"/>
    <mergeCell ref="BB133:BC133"/>
    <mergeCell ref="BB134:BC134"/>
    <mergeCell ref="BB135:BC135"/>
    <mergeCell ref="BD136:BE136"/>
    <mergeCell ref="BN139:BU139"/>
    <mergeCell ref="AF135:AG135"/>
    <mergeCell ref="AH135:AI135"/>
    <mergeCell ref="AN135:AO135"/>
    <mergeCell ref="AR135:AS135"/>
    <mergeCell ref="AT135:AU135"/>
    <mergeCell ref="AV135:AW135"/>
    <mergeCell ref="AX135:AY135"/>
    <mergeCell ref="AR132:AS132"/>
    <mergeCell ref="AT132:AU132"/>
    <mergeCell ref="AV132:AW132"/>
    <mergeCell ref="AX132:AY132"/>
    <mergeCell ref="BN132:BU132"/>
    <mergeCell ref="AF133:AG133"/>
    <mergeCell ref="AJ131:AK131"/>
    <mergeCell ref="AZ133:BA133"/>
    <mergeCell ref="AZ134:BA134"/>
    <mergeCell ref="AZ135:BA135"/>
    <mergeCell ref="AZ136:BA136"/>
    <mergeCell ref="AL134:AM134"/>
    <mergeCell ref="AL135:AM135"/>
    <mergeCell ref="AL136:AM136"/>
    <mergeCell ref="AJ132:AK132"/>
    <mergeCell ref="BN135:BU135"/>
    <mergeCell ref="BF136:BM136"/>
    <mergeCell ref="BF139:BM139"/>
    <mergeCell ref="BB136:BC136"/>
    <mergeCell ref="BB137:BC137"/>
    <mergeCell ref="BB138:BC138"/>
    <mergeCell ref="BB139:BC139"/>
    <mergeCell ref="AZ131:BA131"/>
    <mergeCell ref="AZ132:BA132"/>
    <mergeCell ref="AP140:AQ140"/>
    <mergeCell ref="AP141:AQ141"/>
    <mergeCell ref="AZ140:BA140"/>
    <mergeCell ref="BV137:CD137"/>
    <mergeCell ref="AF138:AG138"/>
    <mergeCell ref="AH138:AI138"/>
    <mergeCell ref="AN138:AO138"/>
    <mergeCell ref="AR138:AS138"/>
    <mergeCell ref="AT138:AU138"/>
    <mergeCell ref="AV138:AW138"/>
    <mergeCell ref="AX138:AY138"/>
    <mergeCell ref="BN138:BU138"/>
    <mergeCell ref="BV138:CD138"/>
    <mergeCell ref="AF137:AG137"/>
    <mergeCell ref="AH137:AI137"/>
    <mergeCell ref="AN137:AO137"/>
    <mergeCell ref="AR137:AS137"/>
    <mergeCell ref="AT137:AU137"/>
    <mergeCell ref="AV137:AW137"/>
    <mergeCell ref="AX137:AY137"/>
    <mergeCell ref="BN137:BU137"/>
    <mergeCell ref="AP137:AQ137"/>
    <mergeCell ref="AP138:AQ138"/>
    <mergeCell ref="AL137:AM137"/>
    <mergeCell ref="AL138:AM138"/>
    <mergeCell ref="AL140:AM140"/>
    <mergeCell ref="AL141:AM141"/>
    <mergeCell ref="AZ138:BA138"/>
    <mergeCell ref="AZ139:BA139"/>
    <mergeCell ref="AZ137:BA137"/>
    <mergeCell ref="AV139:AW139"/>
    <mergeCell ref="AX139:AY139"/>
    <mergeCell ref="BV143:CD143"/>
    <mergeCell ref="BV135:CD135"/>
    <mergeCell ref="AN133:AO133"/>
    <mergeCell ref="AR133:AS133"/>
    <mergeCell ref="AT133:AU133"/>
    <mergeCell ref="AV133:AW133"/>
    <mergeCell ref="BV141:CD141"/>
    <mergeCell ref="AF142:AG142"/>
    <mergeCell ref="AH142:AI142"/>
    <mergeCell ref="AN142:AO142"/>
    <mergeCell ref="AR142:AS142"/>
    <mergeCell ref="AH141:AI141"/>
    <mergeCell ref="AN141:AO141"/>
    <mergeCell ref="AR141:AS141"/>
    <mergeCell ref="AT141:AU141"/>
    <mergeCell ref="AV141:AW141"/>
    <mergeCell ref="AX141:AY141"/>
    <mergeCell ref="BN141:BU141"/>
    <mergeCell ref="BV139:CD139"/>
    <mergeCell ref="AF140:AG140"/>
    <mergeCell ref="AH140:AI140"/>
    <mergeCell ref="AN140:AO140"/>
    <mergeCell ref="AR140:AS140"/>
    <mergeCell ref="AT140:AU140"/>
    <mergeCell ref="AV140:AW140"/>
    <mergeCell ref="AX140:AY140"/>
    <mergeCell ref="BN140:BU140"/>
    <mergeCell ref="BV140:CD140"/>
    <mergeCell ref="AF139:AG139"/>
    <mergeCell ref="AH139:AI139"/>
    <mergeCell ref="AL139:AM139"/>
    <mergeCell ref="AP139:AQ139"/>
    <mergeCell ref="AH144:AI144"/>
    <mergeCell ref="AN144:AO144"/>
    <mergeCell ref="AR144:AS144"/>
    <mergeCell ref="AT144:AU144"/>
    <mergeCell ref="AV144:AW144"/>
    <mergeCell ref="AX144:AY144"/>
    <mergeCell ref="BN144:BU144"/>
    <mergeCell ref="AP145:AQ145"/>
    <mergeCell ref="AZ144:BA144"/>
    <mergeCell ref="AZ145:BA145"/>
    <mergeCell ref="AL145:AM145"/>
    <mergeCell ref="AL144:AM144"/>
    <mergeCell ref="AF141:AG141"/>
    <mergeCell ref="BN130:BU130"/>
    <mergeCell ref="BV130:CD130"/>
    <mergeCell ref="AF131:AG131"/>
    <mergeCell ref="AH131:AI131"/>
    <mergeCell ref="AN131:AO131"/>
    <mergeCell ref="AR131:AS131"/>
    <mergeCell ref="AT131:AU131"/>
    <mergeCell ref="AV131:AW131"/>
    <mergeCell ref="AX131:AY131"/>
    <mergeCell ref="BN131:BU131"/>
    <mergeCell ref="BV131:CD131"/>
    <mergeCell ref="AF143:AG143"/>
    <mergeCell ref="AH143:AI143"/>
    <mergeCell ref="AN143:AO143"/>
    <mergeCell ref="AR143:AS143"/>
    <mergeCell ref="AT143:AU143"/>
    <mergeCell ref="AV143:AW143"/>
    <mergeCell ref="AX143:AY143"/>
    <mergeCell ref="BN143:BU143"/>
    <mergeCell ref="BN147:BU147"/>
    <mergeCell ref="BV147:CD147"/>
    <mergeCell ref="AF146:AG146"/>
    <mergeCell ref="AH146:AI146"/>
    <mergeCell ref="AN146:AO146"/>
    <mergeCell ref="AR146:AS146"/>
    <mergeCell ref="AT146:AU146"/>
    <mergeCell ref="AV146:AW146"/>
    <mergeCell ref="AX146:AY146"/>
    <mergeCell ref="BN146:BU146"/>
    <mergeCell ref="AL146:AM146"/>
    <mergeCell ref="AL147:AM147"/>
    <mergeCell ref="AP146:AQ146"/>
    <mergeCell ref="AP147:AQ147"/>
    <mergeCell ref="AZ146:BA146"/>
    <mergeCell ref="AZ147:BA147"/>
    <mergeCell ref="AF134:AG134"/>
    <mergeCell ref="AH134:AI134"/>
    <mergeCell ref="AN134:AO134"/>
    <mergeCell ref="AR134:AS134"/>
    <mergeCell ref="AT134:AU134"/>
    <mergeCell ref="AV134:AW134"/>
    <mergeCell ref="AX134:AY134"/>
    <mergeCell ref="BN134:BU134"/>
    <mergeCell ref="BV134:CD134"/>
    <mergeCell ref="AN139:AO139"/>
    <mergeCell ref="AR139:AS139"/>
    <mergeCell ref="AV145:AW145"/>
    <mergeCell ref="AX145:AY145"/>
    <mergeCell ref="BN145:BU145"/>
    <mergeCell ref="BV145:CD145"/>
    <mergeCell ref="AF144:AG144"/>
    <mergeCell ref="BV148:CD148"/>
    <mergeCell ref="AF149:AG149"/>
    <mergeCell ref="AH149:AI149"/>
    <mergeCell ref="AN149:AO149"/>
    <mergeCell ref="AR149:AS149"/>
    <mergeCell ref="AT149:AU149"/>
    <mergeCell ref="AV149:AW149"/>
    <mergeCell ref="AX149:AY149"/>
    <mergeCell ref="BN149:BU149"/>
    <mergeCell ref="BV149:CD149"/>
    <mergeCell ref="AF148:AG148"/>
    <mergeCell ref="AH148:AI148"/>
    <mergeCell ref="AN148:AO148"/>
    <mergeCell ref="AR148:AS148"/>
    <mergeCell ref="AT148:AU148"/>
    <mergeCell ref="AV148:AW148"/>
    <mergeCell ref="AX148:AY148"/>
    <mergeCell ref="BN148:BU148"/>
    <mergeCell ref="AL148:AM148"/>
    <mergeCell ref="AL149:AM149"/>
    <mergeCell ref="AP148:AQ148"/>
    <mergeCell ref="AP149:AQ149"/>
    <mergeCell ref="AZ148:BA148"/>
    <mergeCell ref="AZ149:BA149"/>
    <mergeCell ref="AJ149:AK149"/>
    <mergeCell ref="AJ148:AK148"/>
    <mergeCell ref="BV152:CD152"/>
    <mergeCell ref="AF152:AG152"/>
    <mergeCell ref="AH152:AI152"/>
    <mergeCell ref="AN152:AO152"/>
    <mergeCell ref="AR152:AS152"/>
    <mergeCell ref="AT152:AU152"/>
    <mergeCell ref="AV152:AW152"/>
    <mergeCell ref="AX152:AY152"/>
    <mergeCell ref="BN152:BU152"/>
    <mergeCell ref="AF151:AG151"/>
    <mergeCell ref="AH151:AI151"/>
    <mergeCell ref="AN151:AO151"/>
    <mergeCell ref="AR151:AS151"/>
    <mergeCell ref="AT151:AU151"/>
    <mergeCell ref="AV151:AW151"/>
    <mergeCell ref="AX151:AY151"/>
    <mergeCell ref="BN151:BU151"/>
    <mergeCell ref="AL151:AM151"/>
    <mergeCell ref="AL152:AM152"/>
    <mergeCell ref="AP151:AQ151"/>
    <mergeCell ref="AP152:AQ152"/>
    <mergeCell ref="BV151:CD151"/>
    <mergeCell ref="AZ151:BA151"/>
    <mergeCell ref="AZ152:BA152"/>
    <mergeCell ref="AJ152:AK152"/>
    <mergeCell ref="BD151:BE151"/>
    <mergeCell ref="BD152:BE152"/>
    <mergeCell ref="AJ151:AK151"/>
    <mergeCell ref="BV153:CD153"/>
    <mergeCell ref="AF154:AG154"/>
    <mergeCell ref="AH154:AI154"/>
    <mergeCell ref="AN154:AO154"/>
    <mergeCell ref="AR154:AS154"/>
    <mergeCell ref="AT154:AU154"/>
    <mergeCell ref="AV154:AW154"/>
    <mergeCell ref="AX154:AY154"/>
    <mergeCell ref="BN154:BU154"/>
    <mergeCell ref="BV154:CD154"/>
    <mergeCell ref="AF153:AG153"/>
    <mergeCell ref="AH153:AI153"/>
    <mergeCell ref="AN153:AO153"/>
    <mergeCell ref="AR153:AS153"/>
    <mergeCell ref="AT153:AU153"/>
    <mergeCell ref="AV153:AW153"/>
    <mergeCell ref="AX153:AY153"/>
    <mergeCell ref="BN153:BU153"/>
    <mergeCell ref="AJ154:AK154"/>
    <mergeCell ref="AL153:AM153"/>
    <mergeCell ref="AL154:AM154"/>
    <mergeCell ref="AP153:AQ153"/>
    <mergeCell ref="AP154:AQ154"/>
    <mergeCell ref="AZ153:BA153"/>
    <mergeCell ref="AZ154:BA154"/>
    <mergeCell ref="BD154:BE154"/>
    <mergeCell ref="AJ153:AK153"/>
    <mergeCell ref="BD153:BE153"/>
    <mergeCell ref="BF154:BM154"/>
    <mergeCell ref="BV155:CD155"/>
    <mergeCell ref="AF156:AG156"/>
    <mergeCell ref="AH156:AI156"/>
    <mergeCell ref="AN156:AO156"/>
    <mergeCell ref="AR156:AS156"/>
    <mergeCell ref="AT156:AU156"/>
    <mergeCell ref="AV156:AW156"/>
    <mergeCell ref="AX156:AY156"/>
    <mergeCell ref="BN156:BU156"/>
    <mergeCell ref="BV156:CD156"/>
    <mergeCell ref="AF155:AG155"/>
    <mergeCell ref="AH155:AI155"/>
    <mergeCell ref="AN155:AO155"/>
    <mergeCell ref="AR155:AS155"/>
    <mergeCell ref="AT155:AU155"/>
    <mergeCell ref="AV155:AW155"/>
    <mergeCell ref="AX155:AY155"/>
    <mergeCell ref="BN155:BU155"/>
    <mergeCell ref="AJ155:AK155"/>
    <mergeCell ref="AJ156:AK156"/>
    <mergeCell ref="AL155:AM155"/>
    <mergeCell ref="AL156:AM156"/>
    <mergeCell ref="AP155:AQ155"/>
    <mergeCell ref="AP156:AQ156"/>
    <mergeCell ref="AZ155:BA155"/>
    <mergeCell ref="AZ156:BA156"/>
    <mergeCell ref="BD155:BE155"/>
    <mergeCell ref="BD156:BE156"/>
    <mergeCell ref="BF155:BM155"/>
    <mergeCell ref="BF156:BM156"/>
    <mergeCell ref="BV157:CD157"/>
    <mergeCell ref="AF158:AG158"/>
    <mergeCell ref="AH158:AI158"/>
    <mergeCell ref="AN158:AO158"/>
    <mergeCell ref="AR158:AS158"/>
    <mergeCell ref="AT158:AU158"/>
    <mergeCell ref="AV158:AW158"/>
    <mergeCell ref="AX158:AY158"/>
    <mergeCell ref="BN158:BU158"/>
    <mergeCell ref="BV158:CD158"/>
    <mergeCell ref="AF157:AG157"/>
    <mergeCell ref="AH157:AI157"/>
    <mergeCell ref="AN157:AO157"/>
    <mergeCell ref="AR157:AS157"/>
    <mergeCell ref="AT157:AU157"/>
    <mergeCell ref="AV157:AW157"/>
    <mergeCell ref="AX157:AY157"/>
    <mergeCell ref="BN157:BU157"/>
    <mergeCell ref="AJ157:AK157"/>
    <mergeCell ref="AJ158:AK158"/>
    <mergeCell ref="AL157:AM157"/>
    <mergeCell ref="AL158:AM158"/>
    <mergeCell ref="AP157:AQ157"/>
    <mergeCell ref="AP158:AQ158"/>
    <mergeCell ref="AZ157:BA157"/>
    <mergeCell ref="AZ158:BA158"/>
    <mergeCell ref="BD157:BE157"/>
    <mergeCell ref="BD158:BE158"/>
    <mergeCell ref="BF157:BM157"/>
    <mergeCell ref="BF158:BM158"/>
    <mergeCell ref="BB157:BC157"/>
    <mergeCell ref="BB158:BC158"/>
    <mergeCell ref="BV159:CD159"/>
    <mergeCell ref="AF160:AG160"/>
    <mergeCell ref="AH160:AI160"/>
    <mergeCell ref="AN160:AO160"/>
    <mergeCell ref="AR160:AS160"/>
    <mergeCell ref="AT160:AU160"/>
    <mergeCell ref="AV160:AW160"/>
    <mergeCell ref="AX160:AY160"/>
    <mergeCell ref="BN160:BU160"/>
    <mergeCell ref="BV160:CD160"/>
    <mergeCell ref="AF159:AG159"/>
    <mergeCell ref="AH159:AI159"/>
    <mergeCell ref="AN159:AO159"/>
    <mergeCell ref="AR159:AS159"/>
    <mergeCell ref="AT159:AU159"/>
    <mergeCell ref="AV159:AW159"/>
    <mergeCell ref="AX159:AY159"/>
    <mergeCell ref="BN159:BU159"/>
    <mergeCell ref="AJ159:AK159"/>
    <mergeCell ref="AJ160:AK160"/>
    <mergeCell ref="AL159:AM159"/>
    <mergeCell ref="AL160:AM160"/>
    <mergeCell ref="AP159:AQ159"/>
    <mergeCell ref="AP160:AQ160"/>
    <mergeCell ref="AZ159:BA159"/>
    <mergeCell ref="AZ160:BA160"/>
    <mergeCell ref="BD159:BE159"/>
    <mergeCell ref="BD160:BE160"/>
    <mergeCell ref="BF160:BM160"/>
    <mergeCell ref="BF159:BM159"/>
    <mergeCell ref="BB159:BC159"/>
    <mergeCell ref="BB160:BC160"/>
    <mergeCell ref="BV161:CD161"/>
    <mergeCell ref="AF163:AG163"/>
    <mergeCell ref="AH163:AI163"/>
    <mergeCell ref="AN163:AO163"/>
    <mergeCell ref="AR163:AS163"/>
    <mergeCell ref="AT163:AU163"/>
    <mergeCell ref="AV163:AW163"/>
    <mergeCell ref="AX163:AY163"/>
    <mergeCell ref="BN163:BU163"/>
    <mergeCell ref="BV163:CD163"/>
    <mergeCell ref="AF161:AG161"/>
    <mergeCell ref="AH161:AI161"/>
    <mergeCell ref="AN161:AO161"/>
    <mergeCell ref="AR161:AS161"/>
    <mergeCell ref="AT161:AU161"/>
    <mergeCell ref="AV161:AW161"/>
    <mergeCell ref="AX161:AY161"/>
    <mergeCell ref="BN161:BU161"/>
    <mergeCell ref="AJ161:AK161"/>
    <mergeCell ref="AJ163:AK163"/>
    <mergeCell ref="AL161:AM161"/>
    <mergeCell ref="AL163:AM163"/>
    <mergeCell ref="AP161:AQ161"/>
    <mergeCell ref="AP163:AQ163"/>
    <mergeCell ref="AZ161:BA161"/>
    <mergeCell ref="AZ163:BA163"/>
    <mergeCell ref="BD161:BE161"/>
    <mergeCell ref="BD163:BE163"/>
    <mergeCell ref="BF161:BM161"/>
    <mergeCell ref="AF162:AG162"/>
    <mergeCell ref="AH162:AI162"/>
    <mergeCell ref="AJ162:AK162"/>
    <mergeCell ref="BN165:BU165"/>
    <mergeCell ref="BV165:CD165"/>
    <mergeCell ref="AF164:AG164"/>
    <mergeCell ref="AH164:AI164"/>
    <mergeCell ref="AN164:AO164"/>
    <mergeCell ref="AR164:AS164"/>
    <mergeCell ref="AT164:AU164"/>
    <mergeCell ref="AV164:AW164"/>
    <mergeCell ref="AX164:AY164"/>
    <mergeCell ref="BN164:BU164"/>
    <mergeCell ref="AJ164:AK164"/>
    <mergeCell ref="AJ165:AK165"/>
    <mergeCell ref="AL164:AM164"/>
    <mergeCell ref="AL165:AM165"/>
    <mergeCell ref="AP164:AQ164"/>
    <mergeCell ref="AP165:AQ165"/>
    <mergeCell ref="AZ164:BA164"/>
    <mergeCell ref="AZ165:BA165"/>
    <mergeCell ref="BD164:BE164"/>
    <mergeCell ref="BD165:BE165"/>
    <mergeCell ref="BF164:BM164"/>
    <mergeCell ref="BF165:BM165"/>
    <mergeCell ref="AF165:AG165"/>
    <mergeCell ref="AH165:AI165"/>
    <mergeCell ref="AN165:AO165"/>
    <mergeCell ref="AR165:AS165"/>
    <mergeCell ref="BV166:CD166"/>
    <mergeCell ref="AF167:AG167"/>
    <mergeCell ref="AH167:AI167"/>
    <mergeCell ref="AN167:AO167"/>
    <mergeCell ref="AR167:AS167"/>
    <mergeCell ref="AT167:AU167"/>
    <mergeCell ref="AV167:AW167"/>
    <mergeCell ref="AX167:AY167"/>
    <mergeCell ref="BN167:BU167"/>
    <mergeCell ref="BV167:CD167"/>
    <mergeCell ref="AF166:AG166"/>
    <mergeCell ref="AH166:AI166"/>
    <mergeCell ref="AN166:AO166"/>
    <mergeCell ref="AR166:AS166"/>
    <mergeCell ref="AT166:AU166"/>
    <mergeCell ref="AV166:AW166"/>
    <mergeCell ref="AX166:AY166"/>
    <mergeCell ref="BN166:BU166"/>
    <mergeCell ref="AJ166:AK166"/>
    <mergeCell ref="AJ167:AK167"/>
    <mergeCell ref="AL166:AM166"/>
    <mergeCell ref="AL167:AM167"/>
    <mergeCell ref="AP166:AQ166"/>
    <mergeCell ref="AP167:AQ167"/>
    <mergeCell ref="AZ166:BA166"/>
    <mergeCell ref="AZ167:BA167"/>
    <mergeCell ref="BD166:BE166"/>
    <mergeCell ref="BD167:BE167"/>
    <mergeCell ref="BF167:BM167"/>
    <mergeCell ref="BF166:BM166"/>
    <mergeCell ref="BV168:CD168"/>
    <mergeCell ref="AF169:AG169"/>
    <mergeCell ref="AH169:AI169"/>
    <mergeCell ref="AN169:AO169"/>
    <mergeCell ref="AR169:AS169"/>
    <mergeCell ref="AT169:AU169"/>
    <mergeCell ref="AV169:AW169"/>
    <mergeCell ref="AX169:AY169"/>
    <mergeCell ref="BN169:BU169"/>
    <mergeCell ref="BV169:CD169"/>
    <mergeCell ref="AF168:AG168"/>
    <mergeCell ref="AH168:AI168"/>
    <mergeCell ref="AN168:AO168"/>
    <mergeCell ref="AR168:AS168"/>
    <mergeCell ref="AT168:AU168"/>
    <mergeCell ref="AV168:AW168"/>
    <mergeCell ref="AX168:AY168"/>
    <mergeCell ref="BN168:BU168"/>
    <mergeCell ref="AJ168:AK168"/>
    <mergeCell ref="AJ169:AK169"/>
    <mergeCell ref="AL168:AM168"/>
    <mergeCell ref="AL169:AM169"/>
    <mergeCell ref="AP168:AQ168"/>
    <mergeCell ref="AP169:AQ169"/>
    <mergeCell ref="AZ168:BA168"/>
    <mergeCell ref="AZ169:BA169"/>
    <mergeCell ref="BD168:BE168"/>
    <mergeCell ref="BD169:BE169"/>
    <mergeCell ref="BF168:BM168"/>
    <mergeCell ref="BF169:BM169"/>
    <mergeCell ref="BB168:BC168"/>
    <mergeCell ref="BB169:BC169"/>
    <mergeCell ref="BV171:CD171"/>
    <mergeCell ref="AF172:AG172"/>
    <mergeCell ref="AH172:AI172"/>
    <mergeCell ref="AN172:AO172"/>
    <mergeCell ref="AR172:AS172"/>
    <mergeCell ref="AT172:AU172"/>
    <mergeCell ref="AV172:AW172"/>
    <mergeCell ref="AX172:AY172"/>
    <mergeCell ref="BN172:BU172"/>
    <mergeCell ref="BV172:CD172"/>
    <mergeCell ref="AF171:AG171"/>
    <mergeCell ref="AH171:AI171"/>
    <mergeCell ref="AN171:AO171"/>
    <mergeCell ref="AR171:AS171"/>
    <mergeCell ref="AT171:AU171"/>
    <mergeCell ref="AV171:AW171"/>
    <mergeCell ref="AX171:AY171"/>
    <mergeCell ref="BN171:BU171"/>
    <mergeCell ref="AJ171:AK171"/>
    <mergeCell ref="AJ172:AK172"/>
    <mergeCell ref="AL171:AM171"/>
    <mergeCell ref="AL172:AM172"/>
    <mergeCell ref="AP171:AQ171"/>
    <mergeCell ref="AP172:AQ172"/>
    <mergeCell ref="AZ171:BA171"/>
    <mergeCell ref="AZ172:BA172"/>
    <mergeCell ref="BD171:BE171"/>
    <mergeCell ref="BD172:BE172"/>
    <mergeCell ref="BF171:BM171"/>
    <mergeCell ref="BF172:BM172"/>
    <mergeCell ref="BV173:CD173"/>
    <mergeCell ref="AF174:AG174"/>
    <mergeCell ref="AH174:AI174"/>
    <mergeCell ref="AN174:AO174"/>
    <mergeCell ref="AR174:AS174"/>
    <mergeCell ref="AT174:AU174"/>
    <mergeCell ref="AV174:AW174"/>
    <mergeCell ref="AX174:AY174"/>
    <mergeCell ref="BN174:BU174"/>
    <mergeCell ref="BV174:CD174"/>
    <mergeCell ref="AF173:AG173"/>
    <mergeCell ref="AH173:AI173"/>
    <mergeCell ref="AN173:AO173"/>
    <mergeCell ref="AR173:AS173"/>
    <mergeCell ref="AT173:AU173"/>
    <mergeCell ref="AV173:AW173"/>
    <mergeCell ref="AX173:AY173"/>
    <mergeCell ref="BN173:BU173"/>
    <mergeCell ref="AJ173:AK173"/>
    <mergeCell ref="AJ174:AK174"/>
    <mergeCell ref="AL173:AM173"/>
    <mergeCell ref="AL174:AM174"/>
    <mergeCell ref="AP173:AQ173"/>
    <mergeCell ref="AP174:AQ174"/>
    <mergeCell ref="AZ173:BA173"/>
    <mergeCell ref="AZ174:BA174"/>
    <mergeCell ref="BD173:BE173"/>
    <mergeCell ref="BD174:BE174"/>
    <mergeCell ref="BF173:BM173"/>
    <mergeCell ref="BF174:BM174"/>
    <mergeCell ref="BV179:CD179"/>
    <mergeCell ref="BV175:CD175"/>
    <mergeCell ref="AF176:AG176"/>
    <mergeCell ref="AH176:AI176"/>
    <mergeCell ref="AN176:AO176"/>
    <mergeCell ref="AR176:AS176"/>
    <mergeCell ref="AT176:AU176"/>
    <mergeCell ref="AV176:AW176"/>
    <mergeCell ref="AX176:AY176"/>
    <mergeCell ref="BN176:BU176"/>
    <mergeCell ref="BV176:CD176"/>
    <mergeCell ref="AF175:AG175"/>
    <mergeCell ref="AH175:AI175"/>
    <mergeCell ref="AN175:AO175"/>
    <mergeCell ref="AR175:AS175"/>
    <mergeCell ref="AT175:AU175"/>
    <mergeCell ref="AV175:AW175"/>
    <mergeCell ref="AX175:AY175"/>
    <mergeCell ref="BN175:BU175"/>
    <mergeCell ref="AJ176:AK176"/>
    <mergeCell ref="AL175:AM175"/>
    <mergeCell ref="AL176:AM176"/>
    <mergeCell ref="AP175:AQ175"/>
    <mergeCell ref="AP176:AQ176"/>
    <mergeCell ref="AZ175:BA175"/>
    <mergeCell ref="AZ176:BA176"/>
    <mergeCell ref="BD175:BE175"/>
    <mergeCell ref="BD176:BE176"/>
    <mergeCell ref="BF175:BM175"/>
    <mergeCell ref="BV177:CD177"/>
    <mergeCell ref="AF178:AG178"/>
    <mergeCell ref="AH178:AI178"/>
    <mergeCell ref="BV178:CD178"/>
    <mergeCell ref="AF177:AG177"/>
    <mergeCell ref="AH177:AI177"/>
    <mergeCell ref="AN177:AO177"/>
    <mergeCell ref="AR177:AS177"/>
    <mergeCell ref="AT177:AU177"/>
    <mergeCell ref="AV177:AW177"/>
    <mergeCell ref="AX177:AY177"/>
    <mergeCell ref="BN177:BU177"/>
    <mergeCell ref="AJ177:AK177"/>
    <mergeCell ref="AJ178:AK178"/>
    <mergeCell ref="AL177:AM177"/>
    <mergeCell ref="AL178:AM178"/>
    <mergeCell ref="AP177:AQ177"/>
    <mergeCell ref="AP178:AQ178"/>
    <mergeCell ref="AZ177:BA177"/>
    <mergeCell ref="AZ178:BA178"/>
    <mergeCell ref="BD177:BE177"/>
    <mergeCell ref="BD178:BE178"/>
    <mergeCell ref="BF177:BM177"/>
    <mergeCell ref="BB178:BC178"/>
    <mergeCell ref="BN179:BU179"/>
    <mergeCell ref="AJ179:AK179"/>
    <mergeCell ref="AJ180:AK180"/>
    <mergeCell ref="AL179:AM179"/>
    <mergeCell ref="AL180:AM180"/>
    <mergeCell ref="AP179:AQ179"/>
    <mergeCell ref="AP180:AQ180"/>
    <mergeCell ref="BF179:BM179"/>
    <mergeCell ref="BF180:BM180"/>
    <mergeCell ref="AP181:AQ181"/>
    <mergeCell ref="AZ179:BA179"/>
    <mergeCell ref="AZ180:BA180"/>
    <mergeCell ref="BB179:BC179"/>
    <mergeCell ref="BB180:BC180"/>
    <mergeCell ref="BB181:BC181"/>
    <mergeCell ref="AN178:AO178"/>
    <mergeCell ref="AR178:AS178"/>
    <mergeCell ref="AT178:AU178"/>
    <mergeCell ref="AV178:AW178"/>
    <mergeCell ref="AX178:AY178"/>
    <mergeCell ref="BN178:BU178"/>
    <mergeCell ref="BV182:CD182"/>
    <mergeCell ref="AF181:AG181"/>
    <mergeCell ref="AH181:AI181"/>
    <mergeCell ref="AN181:AO181"/>
    <mergeCell ref="AR181:AS181"/>
    <mergeCell ref="AT181:AU181"/>
    <mergeCell ref="AV181:AW181"/>
    <mergeCell ref="AX181:AY181"/>
    <mergeCell ref="AZ181:BA181"/>
    <mergeCell ref="AZ182:BA182"/>
    <mergeCell ref="AZ183:BA183"/>
    <mergeCell ref="BN181:BU181"/>
    <mergeCell ref="AJ181:AK181"/>
    <mergeCell ref="AL181:AM181"/>
    <mergeCell ref="AF180:AG180"/>
    <mergeCell ref="AH180:AI180"/>
    <mergeCell ref="AN180:AO180"/>
    <mergeCell ref="AR180:AS180"/>
    <mergeCell ref="AT180:AU180"/>
    <mergeCell ref="AV180:AW180"/>
    <mergeCell ref="AX180:AY180"/>
    <mergeCell ref="BN180:BU180"/>
    <mergeCell ref="BV180:CD180"/>
    <mergeCell ref="AP182:AQ182"/>
    <mergeCell ref="AP183:AQ183"/>
    <mergeCell ref="BF183:BM183"/>
    <mergeCell ref="BF182:BM182"/>
    <mergeCell ref="BF181:BM181"/>
    <mergeCell ref="BV183:CD183"/>
    <mergeCell ref="AF183:AG183"/>
    <mergeCell ref="AH183:AI183"/>
    <mergeCell ref="AN183:AO183"/>
    <mergeCell ref="BV181:CD181"/>
    <mergeCell ref="AF182:AG182"/>
    <mergeCell ref="AH182:AI182"/>
    <mergeCell ref="AN182:AO182"/>
    <mergeCell ref="AR182:AS182"/>
    <mergeCell ref="AT182:AU182"/>
    <mergeCell ref="AV182:AW182"/>
    <mergeCell ref="AX182:AY182"/>
    <mergeCell ref="AZ45:BA45"/>
    <mergeCell ref="AZ46:BA46"/>
    <mergeCell ref="AZ47:BA47"/>
    <mergeCell ref="AZ51:BA51"/>
    <mergeCell ref="AZ60:BA60"/>
    <mergeCell ref="AZ61:BA61"/>
    <mergeCell ref="AZ62:BA62"/>
    <mergeCell ref="AZ58:BA58"/>
    <mergeCell ref="AZ59:BA59"/>
    <mergeCell ref="AZ71:BA71"/>
    <mergeCell ref="AZ72:BA72"/>
    <mergeCell ref="AZ73:BA73"/>
    <mergeCell ref="AZ74:BA74"/>
    <mergeCell ref="AZ126:BA126"/>
    <mergeCell ref="AZ127:BA127"/>
    <mergeCell ref="AZ105:BA105"/>
    <mergeCell ref="AZ106:BA106"/>
    <mergeCell ref="AZ129:BA129"/>
    <mergeCell ref="AZ130:BA130"/>
    <mergeCell ref="AZ93:BA93"/>
    <mergeCell ref="AZ107:BA107"/>
    <mergeCell ref="AZ110:BA110"/>
    <mergeCell ref="AZ111:BA111"/>
    <mergeCell ref="AZ112:BA112"/>
    <mergeCell ref="AF145:AG145"/>
    <mergeCell ref="AH145:AI145"/>
    <mergeCell ref="AZ120:BA120"/>
    <mergeCell ref="BD95:BE95"/>
    <mergeCell ref="BD91:BE91"/>
    <mergeCell ref="BD96:BE96"/>
    <mergeCell ref="BD113:BE113"/>
    <mergeCell ref="BD97:BE97"/>
    <mergeCell ref="BD93:BE93"/>
    <mergeCell ref="BD92:BE92"/>
    <mergeCell ref="BD61:BE61"/>
    <mergeCell ref="BD62:BE62"/>
    <mergeCell ref="BD68:BE68"/>
    <mergeCell ref="BD63:BE63"/>
    <mergeCell ref="BD64:BE64"/>
    <mergeCell ref="BD65:BE65"/>
    <mergeCell ref="BD66:BE66"/>
    <mergeCell ref="BD67:BE67"/>
    <mergeCell ref="BD69:BE69"/>
    <mergeCell ref="BD70:BE70"/>
    <mergeCell ref="BD76:BE76"/>
    <mergeCell ref="BD73:BE73"/>
    <mergeCell ref="BD74:BE74"/>
    <mergeCell ref="BD75:BE75"/>
    <mergeCell ref="BD82:BE82"/>
    <mergeCell ref="BD114:BE114"/>
    <mergeCell ref="BD83:BE83"/>
    <mergeCell ref="BD84:BE84"/>
    <mergeCell ref="BD85:BE85"/>
    <mergeCell ref="BD86:BE86"/>
    <mergeCell ref="BD87:BE87"/>
    <mergeCell ref="BD89:BE89"/>
    <mergeCell ref="BD138:BE138"/>
    <mergeCell ref="BD139:BE139"/>
    <mergeCell ref="BD140:BE140"/>
    <mergeCell ref="BD141:BE141"/>
    <mergeCell ref="BD142:BE142"/>
    <mergeCell ref="BD143:BE143"/>
    <mergeCell ref="BD144:BE144"/>
    <mergeCell ref="BD145:BE145"/>
    <mergeCell ref="AZ88:BA88"/>
    <mergeCell ref="AZ89:BA89"/>
    <mergeCell ref="AZ90:BA90"/>
    <mergeCell ref="BD146:BE146"/>
    <mergeCell ref="BD147:BE147"/>
    <mergeCell ref="BD148:BE148"/>
    <mergeCell ref="BD149:BE149"/>
    <mergeCell ref="BD90:BE90"/>
    <mergeCell ref="BD94:BE94"/>
    <mergeCell ref="AZ121:BA121"/>
    <mergeCell ref="AZ141:BA141"/>
    <mergeCell ref="AZ115:BA115"/>
    <mergeCell ref="BD115:BE115"/>
    <mergeCell ref="AN145:AO145"/>
    <mergeCell ref="AR145:AS145"/>
    <mergeCell ref="AT145:AU145"/>
    <mergeCell ref="AZ184:BA184"/>
    <mergeCell ref="BD184:BE184"/>
    <mergeCell ref="AJ175:AK175"/>
    <mergeCell ref="AF179:AG179"/>
    <mergeCell ref="AH179:AI179"/>
    <mergeCell ref="AN179:AO179"/>
    <mergeCell ref="AR179:AS179"/>
    <mergeCell ref="AT179:AU179"/>
    <mergeCell ref="AV179:AW179"/>
    <mergeCell ref="AX179:AY179"/>
    <mergeCell ref="AT165:AU165"/>
    <mergeCell ref="AV165:AW165"/>
    <mergeCell ref="AX165:AY165"/>
    <mergeCell ref="AF150:AG150"/>
    <mergeCell ref="AH150:AI150"/>
    <mergeCell ref="AJ150:AK150"/>
    <mergeCell ref="AF184:AG184"/>
    <mergeCell ref="BD179:BE179"/>
    <mergeCell ref="BD180:BE180"/>
    <mergeCell ref="BD181:BE181"/>
    <mergeCell ref="BD182:BE182"/>
    <mergeCell ref="BD183:BE183"/>
    <mergeCell ref="AF147:AG147"/>
    <mergeCell ref="AH147:AI147"/>
    <mergeCell ref="AN147:AO147"/>
    <mergeCell ref="AR147:AS147"/>
    <mergeCell ref="AT147:AU147"/>
    <mergeCell ref="AV147:AW147"/>
    <mergeCell ref="AX147:AY147"/>
    <mergeCell ref="AT142:AU142"/>
    <mergeCell ref="AV142:AW142"/>
    <mergeCell ref="AZ142:BA142"/>
    <mergeCell ref="AZ143:BA143"/>
    <mergeCell ref="AX142:AY142"/>
    <mergeCell ref="AJ50:AK50"/>
    <mergeCell ref="AJ42:AK42"/>
    <mergeCell ref="BD126:BE126"/>
    <mergeCell ref="BD127:BE127"/>
    <mergeCell ref="BD128:BE128"/>
    <mergeCell ref="BD129:BE129"/>
    <mergeCell ref="BD130:BE130"/>
    <mergeCell ref="BD131:BE131"/>
    <mergeCell ref="BD132:BE132"/>
    <mergeCell ref="BD133:BE133"/>
    <mergeCell ref="BD134:BE134"/>
    <mergeCell ref="BD135:BE135"/>
    <mergeCell ref="BD102:BE102"/>
    <mergeCell ref="BD103:BE103"/>
    <mergeCell ref="BD104:BE104"/>
    <mergeCell ref="BD105:BE105"/>
    <mergeCell ref="BD106:BE106"/>
    <mergeCell ref="BD107:BE107"/>
    <mergeCell ref="BD110:BE110"/>
    <mergeCell ref="BD111:BE111"/>
    <mergeCell ref="BD88:BE88"/>
    <mergeCell ref="BD58:BE58"/>
    <mergeCell ref="BD59:BE59"/>
    <mergeCell ref="BD60:BE60"/>
    <mergeCell ref="BD71:BE71"/>
    <mergeCell ref="BD72:BE72"/>
    <mergeCell ref="BD137:BE137"/>
    <mergeCell ref="BF31:BM31"/>
    <mergeCell ref="BF32:BM32"/>
    <mergeCell ref="BF33:BM33"/>
    <mergeCell ref="BF29:BM29"/>
    <mergeCell ref="BF30:BM30"/>
    <mergeCell ref="BF34:BM34"/>
    <mergeCell ref="BF35:BM35"/>
    <mergeCell ref="BF36:BM36"/>
    <mergeCell ref="BF37:BM37"/>
    <mergeCell ref="BF38:BM38"/>
    <mergeCell ref="BF39:BM39"/>
    <mergeCell ref="BN22:BU22"/>
    <mergeCell ref="BN15:BU15"/>
    <mergeCell ref="BN18:BU18"/>
    <mergeCell ref="BN19:BU19"/>
    <mergeCell ref="BN32:BU32"/>
    <mergeCell ref="BF16:BM16"/>
    <mergeCell ref="BF20:BM20"/>
    <mergeCell ref="BN35:BU35"/>
    <mergeCell ref="BN34:BU34"/>
    <mergeCell ref="BN23:BU23"/>
    <mergeCell ref="BF48:BM48"/>
    <mergeCell ref="BF49:BM49"/>
    <mergeCell ref="BF50:BM50"/>
    <mergeCell ref="BF52:BM52"/>
    <mergeCell ref="BF56:BM56"/>
    <mergeCell ref="BF57:BM57"/>
    <mergeCell ref="BF59:BM59"/>
    <mergeCell ref="BF60:BM60"/>
    <mergeCell ref="BF61:BM61"/>
    <mergeCell ref="BF62:BM62"/>
    <mergeCell ref="BF64:BM64"/>
    <mergeCell ref="BF65:BM65"/>
    <mergeCell ref="BF68:BM68"/>
    <mergeCell ref="BF69:BM69"/>
    <mergeCell ref="BF70:BM70"/>
    <mergeCell ref="BF63:BM63"/>
    <mergeCell ref="BF67:BM67"/>
    <mergeCell ref="BF89:BM89"/>
    <mergeCell ref="BF97:BM97"/>
    <mergeCell ref="BF102:BM102"/>
    <mergeCell ref="BF105:BM105"/>
    <mergeCell ref="BF106:BM106"/>
    <mergeCell ref="BF120:BM120"/>
    <mergeCell ref="BF122:BM122"/>
    <mergeCell ref="BF125:BM125"/>
    <mergeCell ref="BF124:BM124"/>
    <mergeCell ref="BF95:BM95"/>
    <mergeCell ref="BF86:BM86"/>
    <mergeCell ref="BF76:BM76"/>
    <mergeCell ref="BF140:BM140"/>
    <mergeCell ref="BF141:BM141"/>
    <mergeCell ref="BF92:BM92"/>
    <mergeCell ref="BF74:BM74"/>
    <mergeCell ref="BF75:BM75"/>
    <mergeCell ref="BF82:BM82"/>
    <mergeCell ref="BF90:BM90"/>
    <mergeCell ref="BF83:BM83"/>
    <mergeCell ref="BF85:BM85"/>
    <mergeCell ref="BF88:BM88"/>
    <mergeCell ref="BF84:BM84"/>
    <mergeCell ref="BF87:BM87"/>
    <mergeCell ref="BF115:BM115"/>
    <mergeCell ref="BF143:BM143"/>
    <mergeCell ref="BF144:BM144"/>
    <mergeCell ref="BF145:BM145"/>
    <mergeCell ref="BF178:BM178"/>
    <mergeCell ref="BF119:BM119"/>
    <mergeCell ref="BF123:BM123"/>
    <mergeCell ref="BF133:BM133"/>
    <mergeCell ref="BF137:BM137"/>
    <mergeCell ref="BF142:BM142"/>
    <mergeCell ref="BF146:BM146"/>
    <mergeCell ref="BF147:BM147"/>
    <mergeCell ref="BF148:BM148"/>
    <mergeCell ref="BF149:BM149"/>
    <mergeCell ref="BF176:BM176"/>
    <mergeCell ref="BF126:BM126"/>
    <mergeCell ref="BF131:BM131"/>
    <mergeCell ref="BF138:BM138"/>
    <mergeCell ref="BF151:BM151"/>
    <mergeCell ref="BF152:BM152"/>
    <mergeCell ref="BF153:BM153"/>
    <mergeCell ref="BF163:BM163"/>
    <mergeCell ref="BF127:BM127"/>
    <mergeCell ref="BF128:BM128"/>
    <mergeCell ref="BF129:BM129"/>
    <mergeCell ref="BF130:BM130"/>
    <mergeCell ref="BF132:BM132"/>
    <mergeCell ref="BF134:BM134"/>
    <mergeCell ref="BF135:BM135"/>
  </mergeCells>
  <phoneticPr fontId="2"/>
  <pageMargins left="0.7" right="0.7" top="0.75" bottom="0.75" header="0.3" footer="0.3"/>
  <pageSetup paperSize="9" scale="69" fitToHeight="0"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0E19-A043-46E1-ADB8-159911377021}">
  <dimension ref="A1:BX97"/>
  <sheetViews>
    <sheetView showGridLines="0" zoomScaleNormal="100" workbookViewId="0">
      <pane ySplit="11" topLeftCell="A12" activePane="bottomLeft" state="frozen"/>
      <selection pane="bottomLeft" sqref="A1:E1"/>
      <selection activeCell="AZ65" sqref="AZ65:BG65"/>
    </sheetView>
  </sheetViews>
  <sheetFormatPr defaultColWidth="2.375" defaultRowHeight="13.5"/>
  <cols>
    <col min="1" max="17" width="2.375" style="1"/>
    <col min="18" max="18" width="3.375" style="1" customWidth="1"/>
    <col min="19" max="31" width="2.375" style="1"/>
    <col min="32" max="49" width="3.75" style="1" customWidth="1"/>
    <col min="50" max="16384" width="2.375" style="1"/>
  </cols>
  <sheetData>
    <row r="1" spans="1:76"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228" t="s">
        <v>10</v>
      </c>
      <c r="AM1" s="229"/>
      <c r="AN1" s="229"/>
      <c r="AO1" s="229"/>
      <c r="AP1" s="229"/>
      <c r="AQ1" s="229"/>
      <c r="AR1" s="230"/>
      <c r="AS1" s="228" t="s">
        <v>11</v>
      </c>
      <c r="AT1" s="229"/>
      <c r="AU1" s="229"/>
      <c r="AV1" s="229"/>
      <c r="AW1" s="229"/>
      <c r="AX1" s="229"/>
      <c r="AY1" s="229"/>
      <c r="AZ1" s="230"/>
    </row>
    <row r="2" spans="1:76"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51">
        <f>変更履歴!AT2</f>
        <v>45420</v>
      </c>
      <c r="AO2" s="252"/>
      <c r="AP2" s="252"/>
      <c r="AQ2" s="252"/>
      <c r="AR2" s="253"/>
      <c r="AS2" s="254" t="str">
        <f>変更履歴!BA2</f>
        <v>JBS井田</v>
      </c>
      <c r="AT2" s="255"/>
      <c r="AU2" s="255"/>
      <c r="AV2" s="255"/>
      <c r="AW2" s="255"/>
      <c r="AX2" s="255"/>
      <c r="AY2" s="255"/>
      <c r="AZ2" s="256"/>
    </row>
    <row r="3" spans="1:76"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9">
        <f ca="1">変更履歴!AT3</f>
        <v>45911</v>
      </c>
      <c r="AO3" s="260"/>
      <c r="AP3" s="260"/>
      <c r="AQ3" s="260"/>
      <c r="AR3" s="261"/>
      <c r="AS3" s="262" t="str">
        <f ca="1">変更履歴!BA3</f>
        <v>JBS加藤</v>
      </c>
      <c r="AT3" s="263"/>
      <c r="AU3" s="263"/>
      <c r="AV3" s="263"/>
      <c r="AW3" s="263"/>
      <c r="AX3" s="263"/>
      <c r="AY3" s="263"/>
      <c r="AZ3" s="264"/>
    </row>
    <row r="4" spans="1:76">
      <c r="A4" s="2"/>
      <c r="B4" s="70"/>
      <c r="C4" s="70"/>
      <c r="D4" s="70"/>
      <c r="E4" s="70"/>
      <c r="F4" s="70"/>
      <c r="G4" s="70"/>
      <c r="H4" s="70"/>
      <c r="I4" s="70"/>
      <c r="J4" s="70"/>
      <c r="K4" s="70"/>
      <c r="L4" s="70"/>
      <c r="M4" s="70"/>
      <c r="N4" s="70"/>
      <c r="O4" s="70"/>
      <c r="P4" s="70"/>
      <c r="Q4" s="70"/>
    </row>
    <row r="5" spans="1:76">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spans="1:76"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7"/>
    </row>
    <row r="7" spans="1:76"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41"/>
      <c r="BP7" s="44"/>
      <c r="BQ7" s="44"/>
      <c r="BR7" s="44"/>
      <c r="BS7" s="44"/>
      <c r="BT7" s="44"/>
      <c r="BU7" s="44"/>
      <c r="BV7" s="44"/>
      <c r="BW7" s="31"/>
    </row>
    <row r="8" spans="1:76" s="8" customFormat="1" ht="14.1" customHeight="1" thickBot="1">
      <c r="A8" s="9"/>
      <c r="B8" s="339" t="s">
        <v>110</v>
      </c>
      <c r="C8" s="374"/>
      <c r="D8" s="374"/>
      <c r="E8" s="374"/>
      <c r="F8" s="374"/>
      <c r="G8" s="374"/>
      <c r="H8" s="374"/>
      <c r="I8" s="383"/>
      <c r="J8" s="340" t="s">
        <v>111</v>
      </c>
      <c r="K8" s="374"/>
      <c r="L8" s="374"/>
      <c r="M8" s="374"/>
      <c r="N8" s="374"/>
      <c r="O8" s="374"/>
      <c r="P8" s="374"/>
      <c r="Q8" s="374"/>
      <c r="R8" s="302" t="s">
        <v>112</v>
      </c>
      <c r="S8" s="318" t="s">
        <v>113</v>
      </c>
      <c r="T8" s="319"/>
      <c r="U8" s="319"/>
      <c r="V8" s="319"/>
      <c r="W8" s="319"/>
      <c r="X8" s="319"/>
      <c r="Y8" s="319"/>
      <c r="Z8" s="319"/>
      <c r="AA8" s="319"/>
      <c r="AB8" s="319"/>
      <c r="AC8" s="319"/>
      <c r="AD8" s="319"/>
      <c r="AE8" s="320"/>
      <c r="AF8" s="393" t="s">
        <v>114</v>
      </c>
      <c r="AG8" s="394"/>
      <c r="AH8" s="394"/>
      <c r="AI8" s="394"/>
      <c r="AJ8" s="394"/>
      <c r="AK8" s="394"/>
      <c r="AL8" s="394"/>
      <c r="AM8" s="394"/>
      <c r="AN8" s="394"/>
      <c r="AO8" s="394"/>
      <c r="AP8" s="394"/>
      <c r="AQ8" s="394"/>
      <c r="AR8" s="394"/>
      <c r="AS8" s="394"/>
      <c r="AT8" s="394"/>
      <c r="AU8" s="394"/>
      <c r="AV8" s="394"/>
      <c r="AW8" s="395"/>
      <c r="AX8" s="390" t="s">
        <v>115</v>
      </c>
      <c r="AY8" s="391"/>
      <c r="AZ8" s="391"/>
      <c r="BA8" s="391"/>
      <c r="BB8" s="391"/>
      <c r="BC8" s="391"/>
      <c r="BD8" s="391"/>
      <c r="BE8" s="392"/>
      <c r="BF8" s="302" t="s">
        <v>116</v>
      </c>
      <c r="BG8" s="302"/>
      <c r="BH8" s="302"/>
      <c r="BI8" s="302"/>
      <c r="BJ8" s="302"/>
      <c r="BK8" s="302"/>
      <c r="BL8" s="302"/>
      <c r="BM8" s="302"/>
      <c r="BN8" s="304" t="s">
        <v>117</v>
      </c>
      <c r="BO8" s="302"/>
      <c r="BP8" s="302"/>
      <c r="BQ8" s="302"/>
      <c r="BR8" s="302"/>
      <c r="BS8" s="302"/>
      <c r="BT8" s="302"/>
      <c r="BU8" s="302"/>
      <c r="BV8" s="305"/>
      <c r="BW8" s="10"/>
    </row>
    <row r="9" spans="1:76" s="8" customFormat="1">
      <c r="A9" s="9"/>
      <c r="B9" s="384"/>
      <c r="C9" s="376"/>
      <c r="D9" s="376"/>
      <c r="E9" s="376"/>
      <c r="F9" s="376"/>
      <c r="G9" s="376"/>
      <c r="H9" s="376"/>
      <c r="I9" s="385"/>
      <c r="J9" s="375"/>
      <c r="K9" s="376"/>
      <c r="L9" s="376"/>
      <c r="M9" s="376"/>
      <c r="N9" s="376"/>
      <c r="O9" s="376"/>
      <c r="P9" s="376"/>
      <c r="Q9" s="376"/>
      <c r="R9" s="303"/>
      <c r="S9" s="292"/>
      <c r="T9" s="321"/>
      <c r="U9" s="321"/>
      <c r="V9" s="321"/>
      <c r="W9" s="321"/>
      <c r="X9" s="321"/>
      <c r="Y9" s="321"/>
      <c r="Z9" s="321"/>
      <c r="AA9" s="321"/>
      <c r="AB9" s="321"/>
      <c r="AC9" s="321"/>
      <c r="AD9" s="321"/>
      <c r="AE9" s="293"/>
      <c r="AF9" s="292" t="s">
        <v>480</v>
      </c>
      <c r="AG9" s="293"/>
      <c r="AH9" s="292" t="s">
        <v>695</v>
      </c>
      <c r="AI9" s="293"/>
      <c r="AJ9" s="292" t="s">
        <v>696</v>
      </c>
      <c r="AK9" s="293"/>
      <c r="AL9" s="292" t="s">
        <v>697</v>
      </c>
      <c r="AM9" s="293"/>
      <c r="AN9" s="292" t="s">
        <v>698</v>
      </c>
      <c r="AO9" s="293"/>
      <c r="AP9" s="292" t="s">
        <v>699</v>
      </c>
      <c r="AQ9" s="293"/>
      <c r="AR9" s="292" t="s">
        <v>118</v>
      </c>
      <c r="AS9" s="293"/>
      <c r="AT9" s="292" t="s">
        <v>370</v>
      </c>
      <c r="AU9" s="321"/>
      <c r="AV9" s="292" t="s">
        <v>124</v>
      </c>
      <c r="AW9" s="321"/>
      <c r="AX9" s="390"/>
      <c r="AY9" s="391"/>
      <c r="AZ9" s="391"/>
      <c r="BA9" s="391"/>
      <c r="BB9" s="391"/>
      <c r="BC9" s="391"/>
      <c r="BD9" s="391"/>
      <c r="BE9" s="392"/>
      <c r="BF9" s="303"/>
      <c r="BG9" s="303"/>
      <c r="BH9" s="303"/>
      <c r="BI9" s="303"/>
      <c r="BJ9" s="303"/>
      <c r="BK9" s="303"/>
      <c r="BL9" s="303"/>
      <c r="BM9" s="303"/>
      <c r="BN9" s="306"/>
      <c r="BO9" s="303"/>
      <c r="BP9" s="303"/>
      <c r="BQ9" s="303"/>
      <c r="BR9" s="303"/>
      <c r="BS9" s="303"/>
      <c r="BT9" s="303"/>
      <c r="BU9" s="303"/>
      <c r="BV9" s="307"/>
      <c r="BW9" s="10"/>
    </row>
    <row r="10" spans="1:76"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371"/>
      <c r="AG10" s="371"/>
      <c r="AH10" s="371"/>
      <c r="AI10" s="371"/>
      <c r="AJ10" s="371"/>
      <c r="AK10" s="371"/>
      <c r="AL10" s="371"/>
      <c r="AM10" s="371"/>
      <c r="AN10" s="371"/>
      <c r="AO10" s="371"/>
      <c r="AP10" s="371"/>
      <c r="AQ10" s="371"/>
      <c r="AR10" s="371"/>
      <c r="AS10" s="371"/>
      <c r="AT10" s="371"/>
      <c r="AU10" s="371"/>
      <c r="AV10" s="371"/>
      <c r="AW10" s="371"/>
      <c r="AX10" s="51"/>
      <c r="AY10" s="51"/>
      <c r="AZ10" s="51"/>
      <c r="BA10" s="51"/>
      <c r="BB10" s="51"/>
      <c r="BC10" s="51"/>
      <c r="BD10" s="51"/>
      <c r="BE10" s="51"/>
      <c r="BF10" s="371"/>
      <c r="BG10" s="371"/>
      <c r="BH10" s="371"/>
      <c r="BI10" s="371"/>
      <c r="BJ10" s="371"/>
      <c r="BK10" s="371"/>
      <c r="BL10" s="371"/>
      <c r="BM10" s="379"/>
      <c r="BN10" s="378"/>
      <c r="BO10" s="371"/>
      <c r="BP10" s="371"/>
      <c r="BQ10" s="371"/>
      <c r="BR10" s="371"/>
      <c r="BS10" s="371"/>
      <c r="BT10" s="371"/>
      <c r="BU10" s="371"/>
      <c r="BV10" s="379"/>
      <c r="BW10" s="10"/>
      <c r="BX10" s="11"/>
    </row>
    <row r="11" spans="1:76" s="8" customFormat="1">
      <c r="A11" s="9"/>
      <c r="B11" s="40" t="s">
        <v>700</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368"/>
      <c r="AG11" s="368"/>
      <c r="AH11" s="368"/>
      <c r="AI11" s="368"/>
      <c r="AJ11" s="368"/>
      <c r="AK11" s="368"/>
      <c r="AL11" s="368"/>
      <c r="AM11" s="368"/>
      <c r="AN11" s="368"/>
      <c r="AO11" s="368"/>
      <c r="AP11" s="368"/>
      <c r="AQ11" s="368"/>
      <c r="AR11" s="368"/>
      <c r="AS11" s="368"/>
      <c r="AT11" s="368"/>
      <c r="AU11" s="368"/>
      <c r="AV11" s="368"/>
      <c r="AW11" s="368"/>
      <c r="AX11" s="396"/>
      <c r="AY11" s="368"/>
      <c r="AZ11" s="368"/>
      <c r="BA11" s="368"/>
      <c r="BB11" s="368"/>
      <c r="BC11" s="368"/>
      <c r="BD11" s="368"/>
      <c r="BE11" s="386"/>
      <c r="BF11" s="396"/>
      <c r="BG11" s="368"/>
      <c r="BH11" s="368"/>
      <c r="BI11" s="368"/>
      <c r="BJ11" s="368"/>
      <c r="BK11" s="368"/>
      <c r="BL11" s="368"/>
      <c r="BM11" s="386"/>
      <c r="BN11" s="396"/>
      <c r="BO11" s="368"/>
      <c r="BP11" s="368"/>
      <c r="BQ11" s="368"/>
      <c r="BR11" s="368"/>
      <c r="BS11" s="368"/>
      <c r="BT11" s="368"/>
      <c r="BU11" s="368"/>
      <c r="BV11" s="386"/>
      <c r="BW11" s="10"/>
      <c r="BX11" s="11"/>
    </row>
    <row r="12" spans="1:76" s="8" customFormat="1">
      <c r="A12" s="9"/>
      <c r="B12" s="29" t="s">
        <v>701</v>
      </c>
      <c r="C12" s="30"/>
      <c r="D12" s="30"/>
      <c r="E12" s="30"/>
      <c r="F12" s="30"/>
      <c r="G12" s="30"/>
      <c r="H12" s="30"/>
      <c r="I12" s="31"/>
      <c r="J12" s="29" t="s">
        <v>702</v>
      </c>
      <c r="K12" s="30"/>
      <c r="L12" s="30"/>
      <c r="M12" s="30"/>
      <c r="N12" s="30"/>
      <c r="O12" s="30"/>
      <c r="P12" s="30"/>
      <c r="Q12" s="31"/>
      <c r="R12" s="38">
        <v>1</v>
      </c>
      <c r="S12" s="36" t="s">
        <v>703</v>
      </c>
      <c r="T12" s="37"/>
      <c r="U12" s="37"/>
      <c r="V12" s="37"/>
      <c r="W12" s="37"/>
      <c r="X12" s="37"/>
      <c r="Y12" s="37"/>
      <c r="Z12" s="37"/>
      <c r="AA12" s="37"/>
      <c r="AB12" s="37"/>
      <c r="AC12" s="37"/>
      <c r="AD12" s="37"/>
      <c r="AE12" s="38"/>
      <c r="AF12" s="284" t="s">
        <v>492</v>
      </c>
      <c r="AG12" s="286"/>
      <c r="AH12" s="284"/>
      <c r="AI12" s="286"/>
      <c r="AJ12" s="284"/>
      <c r="AK12" s="286"/>
      <c r="AL12" s="284"/>
      <c r="AM12" s="286"/>
      <c r="AN12" s="284"/>
      <c r="AO12" s="286"/>
      <c r="AP12" s="284"/>
      <c r="AQ12" s="286"/>
      <c r="AR12" s="284"/>
      <c r="AS12" s="286"/>
      <c r="AT12" s="284"/>
      <c r="AU12" s="286"/>
      <c r="AV12" s="284"/>
      <c r="AW12" s="286"/>
      <c r="AX12" s="284" t="s">
        <v>201</v>
      </c>
      <c r="AY12" s="285"/>
      <c r="AZ12" s="285"/>
      <c r="BA12" s="285"/>
      <c r="BB12" s="285"/>
      <c r="BC12" s="285"/>
      <c r="BD12" s="285"/>
      <c r="BE12" s="286"/>
      <c r="BF12" s="287" t="s">
        <v>143</v>
      </c>
      <c r="BG12" s="287"/>
      <c r="BH12" s="287"/>
      <c r="BI12" s="287"/>
      <c r="BJ12" s="287"/>
      <c r="BK12" s="287"/>
      <c r="BL12" s="287"/>
      <c r="BM12" s="287"/>
      <c r="BN12" s="288"/>
      <c r="BO12" s="288"/>
      <c r="BP12" s="288"/>
      <c r="BQ12" s="288"/>
      <c r="BR12" s="288"/>
      <c r="BS12" s="288"/>
      <c r="BT12" s="288"/>
      <c r="BU12" s="288"/>
      <c r="BV12" s="288"/>
      <c r="BW12" s="10"/>
      <c r="BX12" s="11"/>
    </row>
    <row r="13" spans="1:76" s="8" customFormat="1">
      <c r="A13" s="9"/>
      <c r="B13" s="33"/>
      <c r="C13" s="42"/>
      <c r="D13" s="42"/>
      <c r="E13" s="42"/>
      <c r="F13" s="42"/>
      <c r="G13" s="42"/>
      <c r="H13" s="42"/>
      <c r="I13" s="42"/>
      <c r="J13" s="32"/>
      <c r="K13" s="42"/>
      <c r="L13" s="42"/>
      <c r="M13" s="42"/>
      <c r="N13" s="42"/>
      <c r="O13" s="42"/>
      <c r="P13" s="42"/>
      <c r="Q13" s="10"/>
      <c r="R13" s="38">
        <v>2</v>
      </c>
      <c r="S13" s="36" t="s">
        <v>704</v>
      </c>
      <c r="T13" s="37"/>
      <c r="U13" s="37"/>
      <c r="V13" s="37"/>
      <c r="W13" s="37"/>
      <c r="X13" s="37"/>
      <c r="Y13" s="37"/>
      <c r="Z13" s="37"/>
      <c r="AA13" s="37"/>
      <c r="AB13" s="37"/>
      <c r="AC13" s="37"/>
      <c r="AD13" s="37"/>
      <c r="AE13" s="38"/>
      <c r="AF13" s="284"/>
      <c r="AG13" s="286"/>
      <c r="AH13" s="284" t="s">
        <v>492</v>
      </c>
      <c r="AI13" s="286"/>
      <c r="AJ13" s="284" t="s">
        <v>492</v>
      </c>
      <c r="AK13" s="286"/>
      <c r="AL13" s="284" t="s">
        <v>492</v>
      </c>
      <c r="AM13" s="286"/>
      <c r="AN13" s="284" t="s">
        <v>492</v>
      </c>
      <c r="AO13" s="286"/>
      <c r="AP13" s="284" t="s">
        <v>492</v>
      </c>
      <c r="AQ13" s="286"/>
      <c r="AR13" s="284"/>
      <c r="AS13" s="286"/>
      <c r="AT13" s="284"/>
      <c r="AU13" s="286"/>
      <c r="AV13" s="284"/>
      <c r="AW13" s="286"/>
      <c r="AX13" s="284" t="s">
        <v>201</v>
      </c>
      <c r="AY13" s="285"/>
      <c r="AZ13" s="285"/>
      <c r="BA13" s="285"/>
      <c r="BB13" s="285"/>
      <c r="BC13" s="285"/>
      <c r="BD13" s="285"/>
      <c r="BE13" s="286"/>
      <c r="BF13" s="287" t="s">
        <v>143</v>
      </c>
      <c r="BG13" s="287"/>
      <c r="BH13" s="287"/>
      <c r="BI13" s="287"/>
      <c r="BJ13" s="287"/>
      <c r="BK13" s="287"/>
      <c r="BL13" s="287"/>
      <c r="BM13" s="284"/>
      <c r="BN13" s="377"/>
      <c r="BO13" s="288"/>
      <c r="BP13" s="288"/>
      <c r="BQ13" s="288"/>
      <c r="BR13" s="288"/>
      <c r="BS13" s="288"/>
      <c r="BT13" s="288"/>
      <c r="BU13" s="288"/>
      <c r="BV13" s="288"/>
      <c r="BW13" s="10"/>
    </row>
    <row r="14" spans="1:76" s="8" customFormat="1" ht="27" customHeight="1">
      <c r="A14" s="9"/>
      <c r="B14" s="33"/>
      <c r="C14" s="42"/>
      <c r="D14" s="42"/>
      <c r="E14" s="42"/>
      <c r="F14" s="42"/>
      <c r="G14" s="42"/>
      <c r="H14" s="42"/>
      <c r="I14" s="42"/>
      <c r="J14" s="32"/>
      <c r="K14" s="42"/>
      <c r="L14" s="42"/>
      <c r="M14" s="42"/>
      <c r="N14" s="42"/>
      <c r="O14" s="42"/>
      <c r="P14" s="42"/>
      <c r="Q14" s="10"/>
      <c r="R14" s="38">
        <v>3</v>
      </c>
      <c r="S14" s="36" t="s">
        <v>705</v>
      </c>
      <c r="T14" s="37"/>
      <c r="U14" s="37"/>
      <c r="V14" s="37"/>
      <c r="W14" s="37"/>
      <c r="X14" s="37"/>
      <c r="Y14" s="37"/>
      <c r="Z14" s="37"/>
      <c r="AA14" s="37"/>
      <c r="AB14" s="37"/>
      <c r="AC14" s="37"/>
      <c r="AD14" s="37"/>
      <c r="AE14" s="38"/>
      <c r="AF14" s="284"/>
      <c r="AG14" s="286"/>
      <c r="AH14" s="284" t="s">
        <v>492</v>
      </c>
      <c r="AI14" s="286"/>
      <c r="AJ14" s="284"/>
      <c r="AK14" s="286"/>
      <c r="AL14" s="284"/>
      <c r="AM14" s="286"/>
      <c r="AN14" s="284"/>
      <c r="AO14" s="286"/>
      <c r="AP14" s="284"/>
      <c r="AQ14" s="286"/>
      <c r="AR14" s="284"/>
      <c r="AS14" s="286"/>
      <c r="AT14" s="284"/>
      <c r="AU14" s="286"/>
      <c r="AV14" s="284"/>
      <c r="AW14" s="286"/>
      <c r="AX14" s="333" t="s">
        <v>493</v>
      </c>
      <c r="AY14" s="285"/>
      <c r="AZ14" s="285"/>
      <c r="BA14" s="285"/>
      <c r="BB14" s="285"/>
      <c r="BC14" s="285"/>
      <c r="BD14" s="285"/>
      <c r="BE14" s="286"/>
      <c r="BF14" s="287" t="s">
        <v>143</v>
      </c>
      <c r="BG14" s="287"/>
      <c r="BH14" s="287"/>
      <c r="BI14" s="287"/>
      <c r="BJ14" s="287"/>
      <c r="BK14" s="287"/>
      <c r="BL14" s="287"/>
      <c r="BM14" s="284"/>
      <c r="BN14" s="289"/>
      <c r="BO14" s="290"/>
      <c r="BP14" s="290"/>
      <c r="BQ14" s="290"/>
      <c r="BR14" s="290"/>
      <c r="BS14" s="290"/>
      <c r="BT14" s="290"/>
      <c r="BU14" s="290"/>
      <c r="BV14" s="291"/>
      <c r="BW14" s="10"/>
      <c r="BX14" s="11"/>
    </row>
    <row r="15" spans="1:76" s="8" customFormat="1" ht="27" customHeight="1">
      <c r="A15" s="9"/>
      <c r="B15" s="33"/>
      <c r="C15" s="42"/>
      <c r="D15" s="42"/>
      <c r="E15" s="42"/>
      <c r="F15" s="42"/>
      <c r="G15" s="42"/>
      <c r="H15" s="42"/>
      <c r="I15" s="42"/>
      <c r="J15" s="32"/>
      <c r="K15" s="42"/>
      <c r="L15" s="42"/>
      <c r="M15" s="42"/>
      <c r="N15" s="42"/>
      <c r="O15" s="42"/>
      <c r="P15" s="42"/>
      <c r="Q15" s="10"/>
      <c r="R15" s="38">
        <v>3</v>
      </c>
      <c r="S15" s="36" t="s">
        <v>705</v>
      </c>
      <c r="T15" s="37"/>
      <c r="U15" s="37"/>
      <c r="V15" s="37"/>
      <c r="W15" s="37"/>
      <c r="X15" s="37"/>
      <c r="Y15" s="37"/>
      <c r="Z15" s="37"/>
      <c r="AA15" s="37"/>
      <c r="AB15" s="37"/>
      <c r="AC15" s="37"/>
      <c r="AD15" s="37"/>
      <c r="AE15" s="38"/>
      <c r="AF15" s="284"/>
      <c r="AG15" s="286"/>
      <c r="AH15" s="284"/>
      <c r="AI15" s="286"/>
      <c r="AJ15" s="284" t="s">
        <v>492</v>
      </c>
      <c r="AK15" s="286"/>
      <c r="AL15" s="284"/>
      <c r="AM15" s="286"/>
      <c r="AN15" s="284"/>
      <c r="AO15" s="286"/>
      <c r="AP15" s="284"/>
      <c r="AQ15" s="286"/>
      <c r="AR15" s="284"/>
      <c r="AS15" s="286"/>
      <c r="AT15" s="284"/>
      <c r="AU15" s="286"/>
      <c r="AV15" s="284"/>
      <c r="AW15" s="286"/>
      <c r="AX15" s="333" t="s">
        <v>706</v>
      </c>
      <c r="AY15" s="285"/>
      <c r="AZ15" s="285"/>
      <c r="BA15" s="285"/>
      <c r="BB15" s="285"/>
      <c r="BC15" s="285"/>
      <c r="BD15" s="285"/>
      <c r="BE15" s="286"/>
      <c r="BF15" s="287" t="s">
        <v>143</v>
      </c>
      <c r="BG15" s="287"/>
      <c r="BH15" s="287"/>
      <c r="BI15" s="287"/>
      <c r="BJ15" s="287"/>
      <c r="BK15" s="287"/>
      <c r="BL15" s="287"/>
      <c r="BM15" s="284"/>
      <c r="BN15" s="289"/>
      <c r="BO15" s="290"/>
      <c r="BP15" s="290"/>
      <c r="BQ15" s="290"/>
      <c r="BR15" s="290"/>
      <c r="BS15" s="290"/>
      <c r="BT15" s="290"/>
      <c r="BU15" s="290"/>
      <c r="BV15" s="291"/>
      <c r="BW15" s="10"/>
      <c r="BX15" s="11"/>
    </row>
    <row r="16" spans="1:76" s="8" customFormat="1">
      <c r="A16" s="9"/>
      <c r="B16" s="33"/>
      <c r="C16" s="42"/>
      <c r="D16" s="42"/>
      <c r="E16" s="42"/>
      <c r="F16" s="42"/>
      <c r="G16" s="42"/>
      <c r="H16" s="42"/>
      <c r="I16" s="42"/>
      <c r="J16" s="32"/>
      <c r="K16" s="42"/>
      <c r="L16" s="42"/>
      <c r="M16" s="42"/>
      <c r="N16" s="42"/>
      <c r="O16" s="42"/>
      <c r="P16" s="42"/>
      <c r="Q16" s="10"/>
      <c r="R16" s="38">
        <v>3</v>
      </c>
      <c r="S16" s="36" t="s">
        <v>705</v>
      </c>
      <c r="T16" s="37"/>
      <c r="U16" s="37"/>
      <c r="V16" s="37"/>
      <c r="W16" s="37"/>
      <c r="X16" s="37"/>
      <c r="Y16" s="37"/>
      <c r="Z16" s="37"/>
      <c r="AA16" s="37"/>
      <c r="AB16" s="37"/>
      <c r="AC16" s="37"/>
      <c r="AD16" s="37"/>
      <c r="AE16" s="38"/>
      <c r="AF16" s="284"/>
      <c r="AG16" s="286"/>
      <c r="AH16" s="284"/>
      <c r="AI16" s="286"/>
      <c r="AJ16" s="284"/>
      <c r="AK16" s="286"/>
      <c r="AL16" s="284" t="s">
        <v>492</v>
      </c>
      <c r="AM16" s="286"/>
      <c r="AN16" s="284"/>
      <c r="AO16" s="286"/>
      <c r="AP16" s="284"/>
      <c r="AQ16" s="286"/>
      <c r="AR16" s="284"/>
      <c r="AS16" s="286"/>
      <c r="AT16" s="284"/>
      <c r="AU16" s="286"/>
      <c r="AV16" s="284"/>
      <c r="AW16" s="286"/>
      <c r="AX16" s="284" t="s">
        <v>707</v>
      </c>
      <c r="AY16" s="285"/>
      <c r="AZ16" s="285"/>
      <c r="BA16" s="285"/>
      <c r="BB16" s="285"/>
      <c r="BC16" s="285"/>
      <c r="BD16" s="285"/>
      <c r="BE16" s="286"/>
      <c r="BF16" s="287" t="s">
        <v>143</v>
      </c>
      <c r="BG16" s="287"/>
      <c r="BH16" s="287"/>
      <c r="BI16" s="287"/>
      <c r="BJ16" s="287"/>
      <c r="BK16" s="287"/>
      <c r="BL16" s="287"/>
      <c r="BM16" s="284"/>
      <c r="BN16" s="289"/>
      <c r="BO16" s="290"/>
      <c r="BP16" s="290"/>
      <c r="BQ16" s="290"/>
      <c r="BR16" s="290"/>
      <c r="BS16" s="290"/>
      <c r="BT16" s="290"/>
      <c r="BU16" s="290"/>
      <c r="BV16" s="291"/>
      <c r="BW16" s="10"/>
      <c r="BX16" s="11"/>
    </row>
    <row r="17" spans="1:76" s="8" customFormat="1">
      <c r="A17" s="9"/>
      <c r="B17" s="33"/>
      <c r="C17" s="42"/>
      <c r="D17" s="42"/>
      <c r="E17" s="42"/>
      <c r="F17" s="42"/>
      <c r="G17" s="42"/>
      <c r="H17" s="42"/>
      <c r="I17" s="42"/>
      <c r="J17" s="32"/>
      <c r="K17" s="42"/>
      <c r="L17" s="42"/>
      <c r="M17" s="42"/>
      <c r="N17" s="42"/>
      <c r="O17" s="42"/>
      <c r="P17" s="42"/>
      <c r="Q17" s="10"/>
      <c r="R17" s="38">
        <v>3</v>
      </c>
      <c r="S17" s="36" t="s">
        <v>705</v>
      </c>
      <c r="T17" s="37"/>
      <c r="U17" s="37"/>
      <c r="V17" s="37"/>
      <c r="W17" s="37"/>
      <c r="X17" s="37"/>
      <c r="Y17" s="37"/>
      <c r="Z17" s="37"/>
      <c r="AA17" s="37"/>
      <c r="AB17" s="37"/>
      <c r="AC17" s="37"/>
      <c r="AD17" s="37"/>
      <c r="AE17" s="38"/>
      <c r="AF17" s="284"/>
      <c r="AG17" s="286"/>
      <c r="AH17" s="284"/>
      <c r="AI17" s="286"/>
      <c r="AJ17" s="284"/>
      <c r="AK17" s="286"/>
      <c r="AL17" s="284"/>
      <c r="AM17" s="286"/>
      <c r="AN17" s="284" t="s">
        <v>492</v>
      </c>
      <c r="AO17" s="286"/>
      <c r="AP17" s="284"/>
      <c r="AQ17" s="286"/>
      <c r="AR17" s="284"/>
      <c r="AS17" s="286"/>
      <c r="AT17" s="284"/>
      <c r="AU17" s="286"/>
      <c r="AV17" s="284"/>
      <c r="AW17" s="286"/>
      <c r="AX17" s="284" t="s">
        <v>708</v>
      </c>
      <c r="AY17" s="285"/>
      <c r="AZ17" s="285"/>
      <c r="BA17" s="285"/>
      <c r="BB17" s="285"/>
      <c r="BC17" s="285"/>
      <c r="BD17" s="285"/>
      <c r="BE17" s="286"/>
      <c r="BF17" s="287" t="s">
        <v>143</v>
      </c>
      <c r="BG17" s="287"/>
      <c r="BH17" s="287"/>
      <c r="BI17" s="287"/>
      <c r="BJ17" s="287"/>
      <c r="BK17" s="287"/>
      <c r="BL17" s="287"/>
      <c r="BM17" s="284"/>
      <c r="BN17" s="289"/>
      <c r="BO17" s="290"/>
      <c r="BP17" s="290"/>
      <c r="BQ17" s="290"/>
      <c r="BR17" s="290"/>
      <c r="BS17" s="290"/>
      <c r="BT17" s="290"/>
      <c r="BU17" s="290"/>
      <c r="BV17" s="291"/>
      <c r="BW17" s="10"/>
      <c r="BX17" s="11"/>
    </row>
    <row r="18" spans="1:76" s="8" customFormat="1" ht="27" customHeight="1">
      <c r="A18" s="9"/>
      <c r="B18" s="33"/>
      <c r="C18" s="42"/>
      <c r="D18" s="42"/>
      <c r="E18" s="42"/>
      <c r="F18" s="42"/>
      <c r="G18" s="42"/>
      <c r="H18" s="42"/>
      <c r="I18" s="42"/>
      <c r="J18" s="32"/>
      <c r="K18" s="42"/>
      <c r="L18" s="42"/>
      <c r="M18" s="42"/>
      <c r="N18" s="42"/>
      <c r="O18" s="42"/>
      <c r="P18" s="42"/>
      <c r="Q18" s="10"/>
      <c r="R18" s="38">
        <v>3</v>
      </c>
      <c r="S18" s="36" t="s">
        <v>705</v>
      </c>
      <c r="T18" s="37"/>
      <c r="U18" s="37"/>
      <c r="V18" s="37"/>
      <c r="W18" s="37"/>
      <c r="X18" s="37"/>
      <c r="Y18" s="37"/>
      <c r="Z18" s="37"/>
      <c r="AA18" s="37"/>
      <c r="AB18" s="37"/>
      <c r="AC18" s="37"/>
      <c r="AD18" s="37"/>
      <c r="AE18" s="38"/>
      <c r="AF18" s="284"/>
      <c r="AG18" s="286"/>
      <c r="AH18" s="284"/>
      <c r="AI18" s="286"/>
      <c r="AJ18" s="284"/>
      <c r="AK18" s="286"/>
      <c r="AL18" s="284"/>
      <c r="AM18" s="286"/>
      <c r="AN18" s="284"/>
      <c r="AO18" s="286"/>
      <c r="AP18" s="284" t="s">
        <v>492</v>
      </c>
      <c r="AQ18" s="286"/>
      <c r="AR18" s="284"/>
      <c r="AS18" s="286"/>
      <c r="AT18" s="284"/>
      <c r="AU18" s="286"/>
      <c r="AV18" s="284"/>
      <c r="AW18" s="286"/>
      <c r="AX18" s="333" t="s">
        <v>709</v>
      </c>
      <c r="AY18" s="285"/>
      <c r="AZ18" s="285"/>
      <c r="BA18" s="285"/>
      <c r="BB18" s="285"/>
      <c r="BC18" s="285"/>
      <c r="BD18" s="285"/>
      <c r="BE18" s="286"/>
      <c r="BF18" s="287" t="s">
        <v>143</v>
      </c>
      <c r="BG18" s="287"/>
      <c r="BH18" s="287"/>
      <c r="BI18" s="287"/>
      <c r="BJ18" s="287"/>
      <c r="BK18" s="287"/>
      <c r="BL18" s="287"/>
      <c r="BM18" s="284"/>
      <c r="BN18" s="289"/>
      <c r="BO18" s="290"/>
      <c r="BP18" s="290"/>
      <c r="BQ18" s="290"/>
      <c r="BR18" s="290"/>
      <c r="BS18" s="290"/>
      <c r="BT18" s="290"/>
      <c r="BU18" s="290"/>
      <c r="BV18" s="291"/>
      <c r="BW18" s="10"/>
      <c r="BX18" s="11"/>
    </row>
    <row r="19" spans="1:76" s="8" customFormat="1">
      <c r="A19" s="9"/>
      <c r="B19" s="33"/>
      <c r="C19" s="42"/>
      <c r="D19" s="42"/>
      <c r="E19" s="42"/>
      <c r="F19" s="42"/>
      <c r="G19" s="42"/>
      <c r="H19" s="42"/>
      <c r="I19" s="42"/>
      <c r="J19" s="32"/>
      <c r="K19" s="42"/>
      <c r="L19" s="42"/>
      <c r="M19" s="42"/>
      <c r="N19" s="42"/>
      <c r="O19" s="42"/>
      <c r="P19" s="42"/>
      <c r="Q19" s="10"/>
      <c r="R19" s="38">
        <v>4</v>
      </c>
      <c r="S19" s="36" t="s">
        <v>710</v>
      </c>
      <c r="T19" s="37"/>
      <c r="U19" s="37"/>
      <c r="V19" s="37"/>
      <c r="W19" s="37"/>
      <c r="X19" s="37"/>
      <c r="Y19" s="37"/>
      <c r="Z19" s="37"/>
      <c r="AA19" s="37"/>
      <c r="AB19" s="37"/>
      <c r="AC19" s="37"/>
      <c r="AD19" s="37"/>
      <c r="AE19" s="38"/>
      <c r="AF19" s="284"/>
      <c r="AG19" s="286"/>
      <c r="AH19" s="284" t="s">
        <v>492</v>
      </c>
      <c r="AI19" s="286"/>
      <c r="AJ19" s="284"/>
      <c r="AK19" s="286"/>
      <c r="AL19" s="284"/>
      <c r="AM19" s="286"/>
      <c r="AN19" s="284"/>
      <c r="AO19" s="286"/>
      <c r="AP19" s="284"/>
      <c r="AQ19" s="286"/>
      <c r="AR19" s="284"/>
      <c r="AS19" s="286"/>
      <c r="AT19" s="284"/>
      <c r="AU19" s="286"/>
      <c r="AV19" s="284"/>
      <c r="AW19" s="286"/>
      <c r="AX19" s="333" t="s">
        <v>142</v>
      </c>
      <c r="AY19" s="285"/>
      <c r="AZ19" s="285"/>
      <c r="BA19" s="285"/>
      <c r="BB19" s="285"/>
      <c r="BC19" s="285"/>
      <c r="BD19" s="285"/>
      <c r="BE19" s="286"/>
      <c r="BF19" s="287" t="s">
        <v>143</v>
      </c>
      <c r="BG19" s="287"/>
      <c r="BH19" s="287"/>
      <c r="BI19" s="287"/>
      <c r="BJ19" s="287"/>
      <c r="BK19" s="287"/>
      <c r="BL19" s="287"/>
      <c r="BM19" s="284"/>
      <c r="BN19" s="289"/>
      <c r="BO19" s="290"/>
      <c r="BP19" s="290"/>
      <c r="BQ19" s="290"/>
      <c r="BR19" s="290"/>
      <c r="BS19" s="290"/>
      <c r="BT19" s="290"/>
      <c r="BU19" s="290"/>
      <c r="BV19" s="291"/>
      <c r="BW19" s="10"/>
      <c r="BX19" s="11"/>
    </row>
    <row r="20" spans="1:76" s="8" customFormat="1" ht="27" customHeight="1">
      <c r="A20" s="9"/>
      <c r="B20" s="33"/>
      <c r="C20" s="42"/>
      <c r="D20" s="42"/>
      <c r="E20" s="42"/>
      <c r="F20" s="42"/>
      <c r="G20" s="42"/>
      <c r="H20" s="42"/>
      <c r="I20" s="42"/>
      <c r="J20" s="32"/>
      <c r="K20" s="42"/>
      <c r="L20" s="42"/>
      <c r="M20" s="42"/>
      <c r="N20" s="42"/>
      <c r="O20" s="42"/>
      <c r="P20" s="42"/>
      <c r="Q20" s="10"/>
      <c r="R20" s="38">
        <v>5</v>
      </c>
      <c r="S20" s="36" t="s">
        <v>711</v>
      </c>
      <c r="T20" s="37"/>
      <c r="U20" s="37"/>
      <c r="V20" s="37"/>
      <c r="W20" s="37"/>
      <c r="X20" s="37"/>
      <c r="Y20" s="37"/>
      <c r="Z20" s="37"/>
      <c r="AA20" s="37"/>
      <c r="AB20" s="37"/>
      <c r="AC20" s="37"/>
      <c r="AD20" s="37"/>
      <c r="AE20" s="38"/>
      <c r="AF20" s="284"/>
      <c r="AG20" s="286"/>
      <c r="AH20" s="284" t="s">
        <v>492</v>
      </c>
      <c r="AI20" s="286"/>
      <c r="AJ20" s="284"/>
      <c r="AK20" s="286"/>
      <c r="AL20" s="284"/>
      <c r="AM20" s="286"/>
      <c r="AN20" s="284"/>
      <c r="AO20" s="286"/>
      <c r="AP20" s="284"/>
      <c r="AQ20" s="286"/>
      <c r="AR20" s="284"/>
      <c r="AS20" s="286"/>
      <c r="AT20" s="284"/>
      <c r="AU20" s="286"/>
      <c r="AV20" s="284"/>
      <c r="AW20" s="286"/>
      <c r="AX20" s="333" t="s">
        <v>142</v>
      </c>
      <c r="AY20" s="285"/>
      <c r="AZ20" s="285"/>
      <c r="BA20" s="285"/>
      <c r="BB20" s="285"/>
      <c r="BC20" s="285"/>
      <c r="BD20" s="285"/>
      <c r="BE20" s="286"/>
      <c r="BF20" s="287" t="s">
        <v>143</v>
      </c>
      <c r="BG20" s="287"/>
      <c r="BH20" s="287"/>
      <c r="BI20" s="287"/>
      <c r="BJ20" s="287"/>
      <c r="BK20" s="287"/>
      <c r="BL20" s="287"/>
      <c r="BM20" s="284"/>
      <c r="BN20" s="289"/>
      <c r="BO20" s="290"/>
      <c r="BP20" s="290"/>
      <c r="BQ20" s="290"/>
      <c r="BR20" s="290"/>
      <c r="BS20" s="290"/>
      <c r="BT20" s="290"/>
      <c r="BU20" s="290"/>
      <c r="BV20" s="291"/>
      <c r="BW20" s="10"/>
      <c r="BX20" s="11"/>
    </row>
    <row r="21" spans="1:76" s="8" customFormat="1" ht="27" customHeight="1">
      <c r="A21" s="9"/>
      <c r="B21" s="62" t="s">
        <v>712</v>
      </c>
      <c r="C21" s="30"/>
      <c r="D21" s="30"/>
      <c r="E21" s="30"/>
      <c r="F21" s="30"/>
      <c r="G21" s="30"/>
      <c r="H21" s="30"/>
      <c r="I21" s="31"/>
      <c r="J21" s="63" t="s">
        <v>713</v>
      </c>
      <c r="K21" s="30"/>
      <c r="L21" s="30"/>
      <c r="M21" s="30"/>
      <c r="N21" s="30"/>
      <c r="O21" s="30"/>
      <c r="P21" s="30"/>
      <c r="Q21" s="31"/>
      <c r="R21" s="38">
        <v>1</v>
      </c>
      <c r="S21" s="36" t="s">
        <v>714</v>
      </c>
      <c r="T21" s="37"/>
      <c r="U21" s="37"/>
      <c r="V21" s="37"/>
      <c r="W21" s="37"/>
      <c r="X21" s="37"/>
      <c r="Y21" s="37"/>
      <c r="Z21" s="37"/>
      <c r="AA21" s="37"/>
      <c r="AB21" s="37"/>
      <c r="AC21" s="37"/>
      <c r="AD21" s="37"/>
      <c r="AE21" s="38"/>
      <c r="AF21" s="284"/>
      <c r="AG21" s="286"/>
      <c r="AH21" s="284"/>
      <c r="AI21" s="286"/>
      <c r="AJ21" s="284"/>
      <c r="AK21" s="286"/>
      <c r="AL21" s="284" t="s">
        <v>492</v>
      </c>
      <c r="AM21" s="286"/>
      <c r="AN21" s="284"/>
      <c r="AO21" s="286"/>
      <c r="AP21" s="284"/>
      <c r="AQ21" s="286"/>
      <c r="AR21" s="284"/>
      <c r="AS21" s="286"/>
      <c r="AT21" s="284"/>
      <c r="AU21" s="286"/>
      <c r="AV21" s="284"/>
      <c r="AW21" s="286"/>
      <c r="AX21" s="333" t="s">
        <v>715</v>
      </c>
      <c r="AY21" s="285"/>
      <c r="AZ21" s="285"/>
      <c r="BA21" s="285"/>
      <c r="BB21" s="285"/>
      <c r="BC21" s="285"/>
      <c r="BD21" s="285"/>
      <c r="BE21" s="286"/>
      <c r="BF21" s="287" t="s">
        <v>143</v>
      </c>
      <c r="BG21" s="287"/>
      <c r="BH21" s="287"/>
      <c r="BI21" s="287"/>
      <c r="BJ21" s="287"/>
      <c r="BK21" s="287"/>
      <c r="BL21" s="287"/>
      <c r="BM21" s="284"/>
      <c r="BN21" s="288" t="s">
        <v>716</v>
      </c>
      <c r="BO21" s="288"/>
      <c r="BP21" s="288"/>
      <c r="BQ21" s="288"/>
      <c r="BR21" s="288"/>
      <c r="BS21" s="288"/>
      <c r="BT21" s="288"/>
      <c r="BU21" s="288"/>
      <c r="BV21" s="288"/>
      <c r="BW21" s="10"/>
      <c r="BX21" s="11"/>
    </row>
    <row r="22" spans="1:76" s="8" customFormat="1" ht="27" customHeight="1">
      <c r="A22" s="9"/>
      <c r="B22" s="33"/>
      <c r="C22" s="42"/>
      <c r="D22" s="42"/>
      <c r="E22" s="42"/>
      <c r="F22" s="42"/>
      <c r="G22" s="42"/>
      <c r="H22" s="42"/>
      <c r="I22" s="10"/>
      <c r="J22" s="62" t="s">
        <v>717</v>
      </c>
      <c r="K22" s="30"/>
      <c r="L22" s="30"/>
      <c r="M22" s="30"/>
      <c r="N22" s="30"/>
      <c r="O22" s="30"/>
      <c r="P22" s="30"/>
      <c r="Q22" s="31"/>
      <c r="R22" s="38">
        <v>1</v>
      </c>
      <c r="S22" s="36" t="s">
        <v>718</v>
      </c>
      <c r="T22" s="37"/>
      <c r="U22" s="37"/>
      <c r="V22" s="37"/>
      <c r="W22" s="37"/>
      <c r="X22" s="37"/>
      <c r="Y22" s="37"/>
      <c r="Z22" s="37"/>
      <c r="AA22" s="37"/>
      <c r="AB22" s="37"/>
      <c r="AC22" s="37"/>
      <c r="AD22" s="37"/>
      <c r="AE22" s="38"/>
      <c r="AF22" s="284"/>
      <c r="AG22" s="286"/>
      <c r="AH22" s="284"/>
      <c r="AI22" s="286"/>
      <c r="AJ22" s="284"/>
      <c r="AK22" s="286"/>
      <c r="AL22" s="284" t="s">
        <v>492</v>
      </c>
      <c r="AM22" s="286"/>
      <c r="AN22" s="284"/>
      <c r="AO22" s="286"/>
      <c r="AP22" s="284"/>
      <c r="AQ22" s="286"/>
      <c r="AR22" s="284"/>
      <c r="AS22" s="286"/>
      <c r="AT22" s="284"/>
      <c r="AU22" s="286"/>
      <c r="AV22" s="284"/>
      <c r="AW22" s="286"/>
      <c r="AX22" s="333" t="s">
        <v>131</v>
      </c>
      <c r="AY22" s="285"/>
      <c r="AZ22" s="285"/>
      <c r="BA22" s="285"/>
      <c r="BB22" s="285"/>
      <c r="BC22" s="285"/>
      <c r="BD22" s="285"/>
      <c r="BE22" s="286"/>
      <c r="BF22" s="333" t="s">
        <v>132</v>
      </c>
      <c r="BG22" s="285"/>
      <c r="BH22" s="285"/>
      <c r="BI22" s="285"/>
      <c r="BJ22" s="285"/>
      <c r="BK22" s="285"/>
      <c r="BL22" s="285"/>
      <c r="BM22" s="286"/>
      <c r="BN22" s="288"/>
      <c r="BO22" s="288"/>
      <c r="BP22" s="288"/>
      <c r="BQ22" s="288"/>
      <c r="BR22" s="288"/>
      <c r="BS22" s="288"/>
      <c r="BT22" s="288"/>
      <c r="BU22" s="288"/>
      <c r="BV22" s="288"/>
      <c r="BW22" s="10"/>
      <c r="BX22" s="11"/>
    </row>
    <row r="23" spans="1:76" s="8" customFormat="1" ht="27" customHeight="1">
      <c r="A23" s="9"/>
      <c r="B23" s="33"/>
      <c r="C23" s="42"/>
      <c r="D23" s="42"/>
      <c r="E23" s="42"/>
      <c r="F23" s="42"/>
      <c r="G23" s="42"/>
      <c r="H23" s="42"/>
      <c r="I23" s="10"/>
      <c r="J23" s="134"/>
      <c r="K23" s="42"/>
      <c r="L23" s="42"/>
      <c r="M23" s="42"/>
      <c r="N23" s="42"/>
      <c r="O23" s="42"/>
      <c r="P23" s="42"/>
      <c r="Q23" s="10"/>
      <c r="R23" s="38">
        <v>2</v>
      </c>
      <c r="S23" s="36" t="s">
        <v>719</v>
      </c>
      <c r="T23" s="37"/>
      <c r="U23" s="37"/>
      <c r="V23" s="37"/>
      <c r="W23" s="37"/>
      <c r="X23" s="37"/>
      <c r="Y23" s="37"/>
      <c r="Z23" s="37"/>
      <c r="AA23" s="37"/>
      <c r="AB23" s="37"/>
      <c r="AC23" s="37"/>
      <c r="AD23" s="37"/>
      <c r="AE23" s="38"/>
      <c r="AF23" s="284"/>
      <c r="AG23" s="286"/>
      <c r="AH23" s="284"/>
      <c r="AI23" s="286"/>
      <c r="AJ23" s="284"/>
      <c r="AK23" s="286"/>
      <c r="AL23" s="284" t="s">
        <v>492</v>
      </c>
      <c r="AM23" s="286"/>
      <c r="AN23" s="284"/>
      <c r="AO23" s="286"/>
      <c r="AP23" s="284"/>
      <c r="AQ23" s="286"/>
      <c r="AR23" s="284"/>
      <c r="AS23" s="286"/>
      <c r="AT23" s="284"/>
      <c r="AU23" s="286"/>
      <c r="AV23" s="284"/>
      <c r="AW23" s="286"/>
      <c r="AX23" s="333" t="s">
        <v>131</v>
      </c>
      <c r="AY23" s="285"/>
      <c r="AZ23" s="285"/>
      <c r="BA23" s="285"/>
      <c r="BB23" s="285"/>
      <c r="BC23" s="285"/>
      <c r="BD23" s="285"/>
      <c r="BE23" s="286"/>
      <c r="BF23" s="333" t="s">
        <v>132</v>
      </c>
      <c r="BG23" s="285"/>
      <c r="BH23" s="285"/>
      <c r="BI23" s="285"/>
      <c r="BJ23" s="285"/>
      <c r="BK23" s="285"/>
      <c r="BL23" s="285"/>
      <c r="BM23" s="286"/>
      <c r="BN23" s="288" t="s">
        <v>720</v>
      </c>
      <c r="BO23" s="288"/>
      <c r="BP23" s="288"/>
      <c r="BQ23" s="288"/>
      <c r="BR23" s="288"/>
      <c r="BS23" s="288"/>
      <c r="BT23" s="288"/>
      <c r="BU23" s="288"/>
      <c r="BV23" s="288"/>
      <c r="BW23" s="10"/>
      <c r="BX23" s="11"/>
    </row>
    <row r="24" spans="1:76" s="8" customFormat="1" ht="27" customHeight="1">
      <c r="A24" s="9"/>
      <c r="B24" s="33"/>
      <c r="C24" s="42"/>
      <c r="D24" s="42"/>
      <c r="E24" s="42"/>
      <c r="F24" s="42"/>
      <c r="G24" s="42"/>
      <c r="H24" s="42"/>
      <c r="I24" s="10"/>
      <c r="J24" s="134"/>
      <c r="K24" s="42"/>
      <c r="L24" s="42"/>
      <c r="M24" s="42"/>
      <c r="N24" s="42"/>
      <c r="O24" s="42"/>
      <c r="P24" s="42"/>
      <c r="Q24" s="10"/>
      <c r="R24" s="38">
        <v>3</v>
      </c>
      <c r="S24" s="36" t="s">
        <v>138</v>
      </c>
      <c r="T24" s="37"/>
      <c r="U24" s="37"/>
      <c r="V24" s="37"/>
      <c r="W24" s="37"/>
      <c r="X24" s="37"/>
      <c r="Y24" s="37"/>
      <c r="Z24" s="37"/>
      <c r="AA24" s="37"/>
      <c r="AB24" s="37"/>
      <c r="AC24" s="37"/>
      <c r="AD24" s="37"/>
      <c r="AE24" s="38"/>
      <c r="AF24" s="284"/>
      <c r="AG24" s="286"/>
      <c r="AH24" s="284"/>
      <c r="AI24" s="286"/>
      <c r="AJ24" s="284"/>
      <c r="AK24" s="286"/>
      <c r="AL24" s="284"/>
      <c r="AM24" s="286"/>
      <c r="AN24" s="284"/>
      <c r="AO24" s="286"/>
      <c r="AP24" s="284"/>
      <c r="AQ24" s="286"/>
      <c r="AR24" s="284"/>
      <c r="AS24" s="286"/>
      <c r="AT24" s="284"/>
      <c r="AU24" s="286"/>
      <c r="AV24" s="284" t="s">
        <v>492</v>
      </c>
      <c r="AW24" s="286"/>
      <c r="AX24" s="333" t="s">
        <v>131</v>
      </c>
      <c r="AY24" s="285"/>
      <c r="AZ24" s="285"/>
      <c r="BA24" s="285"/>
      <c r="BB24" s="285"/>
      <c r="BC24" s="285"/>
      <c r="BD24" s="285"/>
      <c r="BE24" s="286"/>
      <c r="BF24" s="287" t="s">
        <v>138</v>
      </c>
      <c r="BG24" s="287"/>
      <c r="BH24" s="287"/>
      <c r="BI24" s="287"/>
      <c r="BJ24" s="287"/>
      <c r="BK24" s="287"/>
      <c r="BL24" s="287"/>
      <c r="BM24" s="284"/>
      <c r="BN24" s="288"/>
      <c r="BO24" s="288"/>
      <c r="BP24" s="288"/>
      <c r="BQ24" s="288"/>
      <c r="BR24" s="288"/>
      <c r="BS24" s="288"/>
      <c r="BT24" s="288"/>
      <c r="BU24" s="288"/>
      <c r="BV24" s="288"/>
      <c r="BW24" s="10"/>
      <c r="BX24" s="11"/>
    </row>
    <row r="25" spans="1:76" s="8" customFormat="1">
      <c r="A25" s="9"/>
      <c r="B25" s="47" t="s">
        <v>721</v>
      </c>
      <c r="C25" s="30"/>
      <c r="D25" s="30"/>
      <c r="E25" s="30"/>
      <c r="F25" s="30"/>
      <c r="G25" s="30"/>
      <c r="H25" s="30"/>
      <c r="I25" s="31"/>
      <c r="J25" s="29" t="s">
        <v>722</v>
      </c>
      <c r="K25" s="30"/>
      <c r="L25" s="30"/>
      <c r="M25" s="30"/>
      <c r="N25" s="30"/>
      <c r="O25" s="30"/>
      <c r="P25" s="30"/>
      <c r="Q25" s="31"/>
      <c r="R25" s="38">
        <v>1</v>
      </c>
      <c r="S25" s="36" t="s">
        <v>723</v>
      </c>
      <c r="T25" s="37"/>
      <c r="U25" s="37"/>
      <c r="V25" s="37"/>
      <c r="W25" s="37"/>
      <c r="X25" s="37"/>
      <c r="Y25" s="37"/>
      <c r="Z25" s="37"/>
      <c r="AA25" s="37"/>
      <c r="AB25" s="37"/>
      <c r="AC25" s="37"/>
      <c r="AD25" s="37"/>
      <c r="AE25" s="38"/>
      <c r="AF25" s="284"/>
      <c r="AG25" s="286"/>
      <c r="AH25" s="284"/>
      <c r="AI25" s="286"/>
      <c r="AJ25" s="284"/>
      <c r="AK25" s="286"/>
      <c r="AL25" s="284"/>
      <c r="AM25" s="286"/>
      <c r="AN25" s="284"/>
      <c r="AO25" s="286"/>
      <c r="AP25" s="284"/>
      <c r="AQ25" s="286"/>
      <c r="AR25" s="284" t="s">
        <v>492</v>
      </c>
      <c r="AS25" s="286"/>
      <c r="AT25" s="284"/>
      <c r="AU25" s="286"/>
      <c r="AV25" s="284"/>
      <c r="AW25" s="286"/>
      <c r="AX25" s="284" t="s">
        <v>142</v>
      </c>
      <c r="AY25" s="285"/>
      <c r="AZ25" s="285"/>
      <c r="BA25" s="285"/>
      <c r="BB25" s="285"/>
      <c r="BC25" s="285"/>
      <c r="BD25" s="285"/>
      <c r="BE25" s="286"/>
      <c r="BF25" s="287" t="s">
        <v>143</v>
      </c>
      <c r="BG25" s="287"/>
      <c r="BH25" s="287"/>
      <c r="BI25" s="287"/>
      <c r="BJ25" s="287"/>
      <c r="BK25" s="287"/>
      <c r="BL25" s="287"/>
      <c r="BM25" s="284"/>
      <c r="BN25" s="288"/>
      <c r="BO25" s="288"/>
      <c r="BP25" s="288"/>
      <c r="BQ25" s="288"/>
      <c r="BR25" s="288"/>
      <c r="BS25" s="288"/>
      <c r="BT25" s="288"/>
      <c r="BU25" s="288"/>
      <c r="BV25" s="288"/>
      <c r="BW25" s="10"/>
      <c r="BX25" s="11"/>
    </row>
    <row r="26" spans="1:76" s="8" customFormat="1">
      <c r="A26" s="9"/>
      <c r="B26" s="32"/>
      <c r="C26" s="42"/>
      <c r="D26" s="42"/>
      <c r="E26" s="42"/>
      <c r="F26" s="42"/>
      <c r="G26" s="42"/>
      <c r="H26" s="42"/>
      <c r="I26" s="42"/>
      <c r="J26" s="32"/>
      <c r="K26" s="42"/>
      <c r="L26" s="42"/>
      <c r="M26" s="42"/>
      <c r="N26" s="42"/>
      <c r="O26" s="42"/>
      <c r="P26" s="42"/>
      <c r="Q26" s="10"/>
      <c r="R26" s="38">
        <v>2</v>
      </c>
      <c r="S26" s="36" t="s">
        <v>724</v>
      </c>
      <c r="T26" s="37"/>
      <c r="U26" s="37"/>
      <c r="V26" s="37"/>
      <c r="W26" s="37"/>
      <c r="X26" s="37"/>
      <c r="Y26" s="37"/>
      <c r="Z26" s="37"/>
      <c r="AA26" s="37"/>
      <c r="AB26" s="37"/>
      <c r="AC26" s="37"/>
      <c r="AD26" s="37"/>
      <c r="AE26" s="38"/>
      <c r="AF26" s="284"/>
      <c r="AG26" s="286"/>
      <c r="AH26" s="284"/>
      <c r="AI26" s="286"/>
      <c r="AJ26" s="284"/>
      <c r="AK26" s="286"/>
      <c r="AL26" s="284" t="s">
        <v>492</v>
      </c>
      <c r="AM26" s="286"/>
      <c r="AN26" s="284"/>
      <c r="AO26" s="286"/>
      <c r="AP26" s="284"/>
      <c r="AQ26" s="286"/>
      <c r="AR26" s="284"/>
      <c r="AS26" s="286"/>
      <c r="AT26" s="284"/>
      <c r="AU26" s="286"/>
      <c r="AV26" s="284"/>
      <c r="AW26" s="286"/>
      <c r="AX26" s="284" t="s">
        <v>131</v>
      </c>
      <c r="AY26" s="285"/>
      <c r="AZ26" s="285"/>
      <c r="BA26" s="285"/>
      <c r="BB26" s="285"/>
      <c r="BC26" s="285"/>
      <c r="BD26" s="285"/>
      <c r="BE26" s="286"/>
      <c r="BF26" s="287" t="s">
        <v>329</v>
      </c>
      <c r="BG26" s="287"/>
      <c r="BH26" s="287"/>
      <c r="BI26" s="287"/>
      <c r="BJ26" s="287"/>
      <c r="BK26" s="287"/>
      <c r="BL26" s="287"/>
      <c r="BM26" s="287"/>
      <c r="BN26" s="288"/>
      <c r="BO26" s="288"/>
      <c r="BP26" s="288"/>
      <c r="BQ26" s="288"/>
      <c r="BR26" s="288"/>
      <c r="BS26" s="288"/>
      <c r="BT26" s="288"/>
      <c r="BU26" s="288"/>
      <c r="BV26" s="288"/>
      <c r="BW26" s="10"/>
      <c r="BX26" s="11"/>
    </row>
    <row r="27" spans="1:76" s="8" customFormat="1" ht="27" customHeight="1">
      <c r="A27" s="9"/>
      <c r="B27" s="47" t="s">
        <v>725</v>
      </c>
      <c r="C27" s="30"/>
      <c r="D27" s="30"/>
      <c r="E27" s="30"/>
      <c r="F27" s="30"/>
      <c r="G27" s="30"/>
      <c r="H27" s="30"/>
      <c r="I27" s="31"/>
      <c r="J27" s="30" t="s">
        <v>726</v>
      </c>
      <c r="K27" s="30"/>
      <c r="L27" s="30"/>
      <c r="M27" s="30"/>
      <c r="N27" s="30"/>
      <c r="O27" s="30"/>
      <c r="P27" s="30"/>
      <c r="Q27" s="31"/>
      <c r="R27" s="38">
        <v>1</v>
      </c>
      <c r="S27" s="36" t="s">
        <v>727</v>
      </c>
      <c r="T27" s="37"/>
      <c r="U27" s="37"/>
      <c r="V27" s="37"/>
      <c r="W27" s="37"/>
      <c r="X27" s="37"/>
      <c r="Y27" s="37"/>
      <c r="Z27" s="37"/>
      <c r="AA27" s="37"/>
      <c r="AB27" s="37"/>
      <c r="AC27" s="37"/>
      <c r="AD27" s="37"/>
      <c r="AE27" s="38"/>
      <c r="AF27" s="284"/>
      <c r="AG27" s="286"/>
      <c r="AH27" s="284"/>
      <c r="AI27" s="286"/>
      <c r="AJ27" s="284"/>
      <c r="AK27" s="286"/>
      <c r="AL27" s="284" t="s">
        <v>492</v>
      </c>
      <c r="AM27" s="286"/>
      <c r="AN27" s="284"/>
      <c r="AO27" s="286"/>
      <c r="AP27" s="284"/>
      <c r="AQ27" s="286"/>
      <c r="AR27" s="284"/>
      <c r="AS27" s="286"/>
      <c r="AT27" s="284"/>
      <c r="AU27" s="286"/>
      <c r="AV27" s="284"/>
      <c r="AW27" s="286"/>
      <c r="AX27" s="284" t="s">
        <v>131</v>
      </c>
      <c r="AY27" s="285"/>
      <c r="AZ27" s="285"/>
      <c r="BA27" s="285"/>
      <c r="BB27" s="285"/>
      <c r="BC27" s="285"/>
      <c r="BD27" s="285"/>
      <c r="BE27" s="286"/>
      <c r="BF27" s="294" t="s">
        <v>728</v>
      </c>
      <c r="BG27" s="287"/>
      <c r="BH27" s="287"/>
      <c r="BI27" s="287"/>
      <c r="BJ27" s="287"/>
      <c r="BK27" s="287"/>
      <c r="BL27" s="287"/>
      <c r="BM27" s="287"/>
      <c r="BN27" s="288"/>
      <c r="BO27" s="288"/>
      <c r="BP27" s="288"/>
      <c r="BQ27" s="288"/>
      <c r="BR27" s="288"/>
      <c r="BS27" s="288"/>
      <c r="BT27" s="288"/>
      <c r="BU27" s="288"/>
      <c r="BV27" s="288"/>
      <c r="BW27" s="10"/>
      <c r="BX27" s="11"/>
    </row>
    <row r="28" spans="1:76" s="8" customFormat="1">
      <c r="A28" s="9"/>
      <c r="B28" s="33"/>
      <c r="C28" s="42"/>
      <c r="D28" s="42"/>
      <c r="E28" s="42"/>
      <c r="F28" s="42"/>
      <c r="G28" s="42"/>
      <c r="H28" s="42"/>
      <c r="I28" s="10"/>
      <c r="J28" s="36" t="s">
        <v>729</v>
      </c>
      <c r="K28" s="37"/>
      <c r="L28" s="37"/>
      <c r="M28" s="37"/>
      <c r="N28" s="37"/>
      <c r="O28" s="37"/>
      <c r="P28" s="37"/>
      <c r="Q28" s="38"/>
      <c r="R28" s="38">
        <v>1</v>
      </c>
      <c r="S28" s="36" t="s">
        <v>730</v>
      </c>
      <c r="T28" s="37"/>
      <c r="U28" s="37"/>
      <c r="V28" s="37"/>
      <c r="W28" s="37"/>
      <c r="X28" s="37"/>
      <c r="Y28" s="37"/>
      <c r="Z28" s="37"/>
      <c r="AA28" s="37"/>
      <c r="AB28" s="37"/>
      <c r="AC28" s="37"/>
      <c r="AD28" s="37"/>
      <c r="AE28" s="38"/>
      <c r="AF28" s="284"/>
      <c r="AG28" s="286"/>
      <c r="AH28" s="372"/>
      <c r="AI28" s="373"/>
      <c r="AJ28" s="372"/>
      <c r="AK28" s="373"/>
      <c r="AL28" s="284" t="s">
        <v>492</v>
      </c>
      <c r="AM28" s="286"/>
      <c r="AN28" s="284"/>
      <c r="AO28" s="286"/>
      <c r="AP28" s="284"/>
      <c r="AQ28" s="286"/>
      <c r="AR28" s="284"/>
      <c r="AS28" s="286"/>
      <c r="AT28" s="284"/>
      <c r="AU28" s="286"/>
      <c r="AV28" s="284"/>
      <c r="AW28" s="286"/>
      <c r="AX28" s="284" t="s">
        <v>131</v>
      </c>
      <c r="AY28" s="285"/>
      <c r="AZ28" s="285"/>
      <c r="BA28" s="285"/>
      <c r="BB28" s="285"/>
      <c r="BC28" s="285"/>
      <c r="BD28" s="285"/>
      <c r="BE28" s="286"/>
      <c r="BF28" s="284" t="s">
        <v>731</v>
      </c>
      <c r="BG28" s="285"/>
      <c r="BH28" s="285"/>
      <c r="BI28" s="285"/>
      <c r="BJ28" s="285"/>
      <c r="BK28" s="285"/>
      <c r="BL28" s="285"/>
      <c r="BM28" s="286"/>
      <c r="BN28" s="289"/>
      <c r="BO28" s="290"/>
      <c r="BP28" s="290"/>
      <c r="BQ28" s="290"/>
      <c r="BR28" s="290"/>
      <c r="BS28" s="290"/>
      <c r="BT28" s="290"/>
      <c r="BU28" s="290"/>
      <c r="BV28" s="291"/>
      <c r="BW28" s="10"/>
    </row>
    <row r="29" spans="1:76" s="8" customFormat="1">
      <c r="A29" s="9"/>
      <c r="B29" s="12"/>
      <c r="C29" s="34"/>
      <c r="D29" s="34"/>
      <c r="E29" s="34"/>
      <c r="F29" s="34"/>
      <c r="G29" s="34"/>
      <c r="H29" s="34"/>
      <c r="I29" s="35"/>
      <c r="J29" s="36" t="s">
        <v>732</v>
      </c>
      <c r="K29" s="37"/>
      <c r="L29" s="37"/>
      <c r="M29" s="37"/>
      <c r="N29" s="37"/>
      <c r="O29" s="37"/>
      <c r="P29" s="37"/>
      <c r="Q29" s="38"/>
      <c r="R29" s="38">
        <v>1</v>
      </c>
      <c r="S29" s="36" t="s">
        <v>733</v>
      </c>
      <c r="T29" s="37"/>
      <c r="U29" s="37"/>
      <c r="V29" s="37"/>
      <c r="W29" s="37"/>
      <c r="X29" s="37"/>
      <c r="Y29" s="37"/>
      <c r="Z29" s="37"/>
      <c r="AA29" s="37"/>
      <c r="AB29" s="37"/>
      <c r="AC29" s="37"/>
      <c r="AD29" s="37"/>
      <c r="AE29" s="38"/>
      <c r="AF29" s="284"/>
      <c r="AG29" s="286"/>
      <c r="AH29" s="372"/>
      <c r="AI29" s="373"/>
      <c r="AJ29" s="372"/>
      <c r="AK29" s="373"/>
      <c r="AL29" s="284" t="s">
        <v>492</v>
      </c>
      <c r="AM29" s="286"/>
      <c r="AN29" s="284"/>
      <c r="AO29" s="286"/>
      <c r="AP29" s="284"/>
      <c r="AQ29" s="286"/>
      <c r="AR29" s="284"/>
      <c r="AS29" s="286"/>
      <c r="AT29" s="284"/>
      <c r="AU29" s="286"/>
      <c r="AV29" s="284"/>
      <c r="AW29" s="286"/>
      <c r="AX29" s="284" t="s">
        <v>131</v>
      </c>
      <c r="AY29" s="285"/>
      <c r="AZ29" s="285"/>
      <c r="BA29" s="285"/>
      <c r="BB29" s="285"/>
      <c r="BC29" s="285"/>
      <c r="BD29" s="285"/>
      <c r="BE29" s="286"/>
      <c r="BF29" s="284" t="s">
        <v>731</v>
      </c>
      <c r="BG29" s="285"/>
      <c r="BH29" s="285"/>
      <c r="BI29" s="285"/>
      <c r="BJ29" s="285"/>
      <c r="BK29" s="285"/>
      <c r="BL29" s="285"/>
      <c r="BM29" s="286"/>
      <c r="BN29" s="289"/>
      <c r="BO29" s="290"/>
      <c r="BP29" s="290"/>
      <c r="BQ29" s="290"/>
      <c r="BR29" s="290"/>
      <c r="BS29" s="290"/>
      <c r="BT29" s="290"/>
      <c r="BU29" s="290"/>
      <c r="BV29" s="291"/>
      <c r="BW29" s="10"/>
    </row>
    <row r="30" spans="1:76" s="8" customFormat="1">
      <c r="A30" s="9"/>
      <c r="B30" s="29" t="s">
        <v>734</v>
      </c>
      <c r="C30" s="30"/>
      <c r="D30" s="30"/>
      <c r="E30" s="30"/>
      <c r="F30" s="30"/>
      <c r="G30" s="30"/>
      <c r="H30" s="30"/>
      <c r="I30" s="31"/>
      <c r="J30" s="29" t="s">
        <v>735</v>
      </c>
      <c r="K30" s="30"/>
      <c r="L30" s="30"/>
      <c r="M30" s="30"/>
      <c r="N30" s="30"/>
      <c r="O30" s="30"/>
      <c r="P30" s="30"/>
      <c r="Q30" s="31"/>
      <c r="R30" s="38">
        <v>1</v>
      </c>
      <c r="S30" s="36" t="s">
        <v>736</v>
      </c>
      <c r="T30" s="37"/>
      <c r="U30" s="37"/>
      <c r="V30" s="37"/>
      <c r="W30" s="37"/>
      <c r="X30" s="37"/>
      <c r="Y30" s="37"/>
      <c r="Z30" s="37"/>
      <c r="AA30" s="37"/>
      <c r="AB30" s="37"/>
      <c r="AC30" s="37"/>
      <c r="AD30" s="37"/>
      <c r="AE30" s="38"/>
      <c r="AF30" s="284"/>
      <c r="AG30" s="286"/>
      <c r="AH30" s="284"/>
      <c r="AI30" s="286"/>
      <c r="AJ30" s="284"/>
      <c r="AK30" s="286"/>
      <c r="AL30" s="284"/>
      <c r="AM30" s="286"/>
      <c r="AN30" s="284"/>
      <c r="AO30" s="286"/>
      <c r="AP30" s="284"/>
      <c r="AQ30" s="286"/>
      <c r="AR30" s="284"/>
      <c r="AS30" s="286"/>
      <c r="AT30" s="284" t="s">
        <v>492</v>
      </c>
      <c r="AU30" s="286"/>
      <c r="AV30" s="284"/>
      <c r="AW30" s="286"/>
      <c r="AX30" s="284" t="s">
        <v>737</v>
      </c>
      <c r="AY30" s="285"/>
      <c r="AZ30" s="285"/>
      <c r="BA30" s="285"/>
      <c r="BB30" s="285"/>
      <c r="BC30" s="285"/>
      <c r="BD30" s="285"/>
      <c r="BE30" s="286"/>
      <c r="BF30" s="287" t="s">
        <v>143</v>
      </c>
      <c r="BG30" s="287"/>
      <c r="BH30" s="287"/>
      <c r="BI30" s="287"/>
      <c r="BJ30" s="287"/>
      <c r="BK30" s="287"/>
      <c r="BL30" s="287"/>
      <c r="BM30" s="284"/>
      <c r="BN30" s="288"/>
      <c r="BO30" s="288"/>
      <c r="BP30" s="288"/>
      <c r="BQ30" s="288"/>
      <c r="BR30" s="288"/>
      <c r="BS30" s="288"/>
      <c r="BT30" s="288"/>
      <c r="BU30" s="288"/>
      <c r="BV30" s="288"/>
      <c r="BW30" s="10"/>
      <c r="BX30" s="11"/>
    </row>
    <row r="31" spans="1:76" s="8" customFormat="1">
      <c r="A31" s="9"/>
      <c r="B31" s="33"/>
      <c r="C31" s="42"/>
      <c r="D31" s="42"/>
      <c r="E31" s="42"/>
      <c r="F31" s="42"/>
      <c r="G31" s="42"/>
      <c r="H31" s="42"/>
      <c r="I31" s="10"/>
      <c r="J31" s="42"/>
      <c r="K31" s="42"/>
      <c r="L31" s="42"/>
      <c r="M31" s="42"/>
      <c r="N31" s="42"/>
      <c r="O31" s="42"/>
      <c r="P31" s="42"/>
      <c r="Q31" s="10"/>
      <c r="R31" s="38">
        <v>2</v>
      </c>
      <c r="S31" s="36" t="s">
        <v>738</v>
      </c>
      <c r="T31" s="37"/>
      <c r="U31" s="37"/>
      <c r="V31" s="37"/>
      <c r="W31" s="37"/>
      <c r="X31" s="37"/>
      <c r="Y31" s="37"/>
      <c r="Z31" s="37"/>
      <c r="AA31" s="37"/>
      <c r="AB31" s="37"/>
      <c r="AC31" s="37"/>
      <c r="AD31" s="37"/>
      <c r="AE31" s="38"/>
      <c r="AF31" s="284"/>
      <c r="AG31" s="286"/>
      <c r="AH31" s="284"/>
      <c r="AI31" s="286"/>
      <c r="AJ31" s="284"/>
      <c r="AK31" s="286"/>
      <c r="AL31" s="284"/>
      <c r="AM31" s="286"/>
      <c r="AN31" s="284"/>
      <c r="AO31" s="286"/>
      <c r="AP31" s="284"/>
      <c r="AQ31" s="286"/>
      <c r="AR31" s="284"/>
      <c r="AS31" s="286"/>
      <c r="AT31" s="284" t="s">
        <v>492</v>
      </c>
      <c r="AU31" s="286"/>
      <c r="AV31" s="284"/>
      <c r="AW31" s="286"/>
      <c r="AX31" s="284" t="s">
        <v>201</v>
      </c>
      <c r="AY31" s="285"/>
      <c r="AZ31" s="285"/>
      <c r="BA31" s="285"/>
      <c r="BB31" s="285"/>
      <c r="BC31" s="285"/>
      <c r="BD31" s="285"/>
      <c r="BE31" s="286"/>
      <c r="BF31" s="287" t="s">
        <v>143</v>
      </c>
      <c r="BG31" s="287"/>
      <c r="BH31" s="287"/>
      <c r="BI31" s="287"/>
      <c r="BJ31" s="287"/>
      <c r="BK31" s="287"/>
      <c r="BL31" s="287"/>
      <c r="BM31" s="284"/>
      <c r="BN31" s="288"/>
      <c r="BO31" s="288"/>
      <c r="BP31" s="288"/>
      <c r="BQ31" s="288"/>
      <c r="BR31" s="288"/>
      <c r="BS31" s="288"/>
      <c r="BT31" s="288"/>
      <c r="BU31" s="288"/>
      <c r="BV31" s="288"/>
      <c r="BW31" s="10"/>
    </row>
    <row r="32" spans="1:76" s="8" customFormat="1">
      <c r="A32" s="9"/>
      <c r="B32" s="33"/>
      <c r="C32" s="42"/>
      <c r="D32" s="42"/>
      <c r="E32" s="42"/>
      <c r="F32" s="42"/>
      <c r="G32" s="42"/>
      <c r="H32" s="42"/>
      <c r="I32" s="42"/>
      <c r="J32" s="32"/>
      <c r="K32" s="42"/>
      <c r="L32" s="42"/>
      <c r="M32" s="42"/>
      <c r="N32" s="42"/>
      <c r="O32" s="42"/>
      <c r="P32" s="42"/>
      <c r="Q32" s="10"/>
      <c r="R32" s="38">
        <v>3</v>
      </c>
      <c r="S32" s="36" t="s">
        <v>739</v>
      </c>
      <c r="T32" s="37"/>
      <c r="U32" s="37"/>
      <c r="V32" s="37"/>
      <c r="W32" s="37"/>
      <c r="X32" s="37"/>
      <c r="Y32" s="37"/>
      <c r="Z32" s="37"/>
      <c r="AA32" s="37"/>
      <c r="AB32" s="37"/>
      <c r="AC32" s="37"/>
      <c r="AD32" s="37"/>
      <c r="AE32" s="38"/>
      <c r="AF32" s="284"/>
      <c r="AG32" s="286"/>
      <c r="AH32" s="284"/>
      <c r="AI32" s="286"/>
      <c r="AJ32" s="284"/>
      <c r="AK32" s="286"/>
      <c r="AL32" s="284" t="s">
        <v>492</v>
      </c>
      <c r="AM32" s="286"/>
      <c r="AN32" s="284"/>
      <c r="AO32" s="286"/>
      <c r="AP32" s="284"/>
      <c r="AQ32" s="286"/>
      <c r="AR32" s="284"/>
      <c r="AS32" s="286"/>
      <c r="AT32" s="284"/>
      <c r="AU32" s="286"/>
      <c r="AV32" s="284"/>
      <c r="AW32" s="286"/>
      <c r="AX32" s="284" t="s">
        <v>201</v>
      </c>
      <c r="AY32" s="285"/>
      <c r="AZ32" s="285"/>
      <c r="BA32" s="285"/>
      <c r="BB32" s="285"/>
      <c r="BC32" s="285"/>
      <c r="BD32" s="285"/>
      <c r="BE32" s="286"/>
      <c r="BF32" s="287" t="s">
        <v>143</v>
      </c>
      <c r="BG32" s="287"/>
      <c r="BH32" s="287"/>
      <c r="BI32" s="287"/>
      <c r="BJ32" s="287"/>
      <c r="BK32" s="287"/>
      <c r="BL32" s="287"/>
      <c r="BM32" s="284"/>
      <c r="BN32" s="288"/>
      <c r="BO32" s="288"/>
      <c r="BP32" s="288"/>
      <c r="BQ32" s="288"/>
      <c r="BR32" s="288"/>
      <c r="BS32" s="288"/>
      <c r="BT32" s="288"/>
      <c r="BU32" s="288"/>
      <c r="BV32" s="288"/>
      <c r="BW32" s="10"/>
      <c r="BX32" s="11"/>
    </row>
    <row r="33" spans="1:76" s="8" customFormat="1">
      <c r="A33" s="9"/>
      <c r="B33" s="33"/>
      <c r="C33" s="42"/>
      <c r="D33" s="42"/>
      <c r="E33" s="42"/>
      <c r="F33" s="42"/>
      <c r="G33" s="42"/>
      <c r="H33" s="42"/>
      <c r="I33" s="10"/>
      <c r="J33" s="42"/>
      <c r="K33" s="42"/>
      <c r="L33" s="42"/>
      <c r="M33" s="42"/>
      <c r="N33" s="42"/>
      <c r="O33" s="42"/>
      <c r="P33" s="42"/>
      <c r="Q33" s="10"/>
      <c r="R33" s="38">
        <v>4</v>
      </c>
      <c r="S33" s="36" t="s">
        <v>740</v>
      </c>
      <c r="T33" s="37"/>
      <c r="U33" s="37"/>
      <c r="V33" s="37"/>
      <c r="W33" s="37"/>
      <c r="X33" s="37"/>
      <c r="Y33" s="37"/>
      <c r="Z33" s="37"/>
      <c r="AA33" s="37"/>
      <c r="AB33" s="37"/>
      <c r="AC33" s="37"/>
      <c r="AD33" s="37"/>
      <c r="AE33" s="38"/>
      <c r="AF33" s="284"/>
      <c r="AG33" s="286"/>
      <c r="AH33" s="284"/>
      <c r="AI33" s="286"/>
      <c r="AJ33" s="284"/>
      <c r="AK33" s="286"/>
      <c r="AL33" s="284" t="s">
        <v>492</v>
      </c>
      <c r="AM33" s="286"/>
      <c r="AN33" s="284"/>
      <c r="AO33" s="286"/>
      <c r="AP33" s="284"/>
      <c r="AQ33" s="286"/>
      <c r="AR33" s="284"/>
      <c r="AS33" s="286"/>
      <c r="AT33" s="284"/>
      <c r="AU33" s="286"/>
      <c r="AV33" s="284"/>
      <c r="AW33" s="286"/>
      <c r="AX33" s="284" t="s">
        <v>131</v>
      </c>
      <c r="AY33" s="285"/>
      <c r="AZ33" s="285"/>
      <c r="BA33" s="285"/>
      <c r="BB33" s="285"/>
      <c r="BC33" s="285"/>
      <c r="BD33" s="285"/>
      <c r="BE33" s="286"/>
      <c r="BF33" s="284" t="s">
        <v>741</v>
      </c>
      <c r="BG33" s="285"/>
      <c r="BH33" s="285"/>
      <c r="BI33" s="285"/>
      <c r="BJ33" s="285"/>
      <c r="BK33" s="285"/>
      <c r="BL33" s="285"/>
      <c r="BM33" s="286"/>
      <c r="BN33" s="288"/>
      <c r="BO33" s="288"/>
      <c r="BP33" s="288"/>
      <c r="BQ33" s="288"/>
      <c r="BR33" s="288"/>
      <c r="BS33" s="288"/>
      <c r="BT33" s="288"/>
      <c r="BU33" s="288"/>
      <c r="BV33" s="288"/>
      <c r="BW33" s="10"/>
    </row>
    <row r="34" spans="1:76" s="8" customFormat="1">
      <c r="A34" s="9"/>
      <c r="B34" s="33"/>
      <c r="C34" s="42"/>
      <c r="D34" s="42"/>
      <c r="E34" s="42"/>
      <c r="F34" s="42"/>
      <c r="G34" s="42"/>
      <c r="H34" s="42"/>
      <c r="I34" s="10"/>
      <c r="J34" s="42"/>
      <c r="K34" s="42"/>
      <c r="L34" s="42"/>
      <c r="M34" s="42"/>
      <c r="N34" s="42"/>
      <c r="O34" s="42"/>
      <c r="P34" s="42"/>
      <c r="Q34" s="10"/>
      <c r="R34" s="38">
        <v>5</v>
      </c>
      <c r="S34" s="36" t="s">
        <v>742</v>
      </c>
      <c r="T34" s="37"/>
      <c r="U34" s="37"/>
      <c r="V34" s="37"/>
      <c r="W34" s="37"/>
      <c r="X34" s="37"/>
      <c r="Y34" s="37"/>
      <c r="Z34" s="37"/>
      <c r="AA34" s="37"/>
      <c r="AB34" s="37"/>
      <c r="AC34" s="37"/>
      <c r="AD34" s="37"/>
      <c r="AE34" s="38"/>
      <c r="AF34" s="284"/>
      <c r="AG34" s="286"/>
      <c r="AH34" s="284"/>
      <c r="AI34" s="286"/>
      <c r="AJ34" s="284"/>
      <c r="AK34" s="286"/>
      <c r="AL34" s="284" t="s">
        <v>492</v>
      </c>
      <c r="AM34" s="286"/>
      <c r="AN34" s="284"/>
      <c r="AO34" s="286"/>
      <c r="AP34" s="284"/>
      <c r="AQ34" s="286"/>
      <c r="AR34" s="284"/>
      <c r="AS34" s="286"/>
      <c r="AT34" s="284"/>
      <c r="AU34" s="286"/>
      <c r="AV34" s="284"/>
      <c r="AW34" s="286"/>
      <c r="AX34" s="284" t="s">
        <v>131</v>
      </c>
      <c r="AY34" s="285"/>
      <c r="AZ34" s="285"/>
      <c r="BA34" s="285"/>
      <c r="BB34" s="285"/>
      <c r="BC34" s="285"/>
      <c r="BD34" s="285"/>
      <c r="BE34" s="286"/>
      <c r="BF34" s="287" t="s">
        <v>743</v>
      </c>
      <c r="BG34" s="287"/>
      <c r="BH34" s="287"/>
      <c r="BI34" s="287"/>
      <c r="BJ34" s="287"/>
      <c r="BK34" s="287"/>
      <c r="BL34" s="287"/>
      <c r="BM34" s="287"/>
      <c r="BN34" s="288"/>
      <c r="BO34" s="288"/>
      <c r="BP34" s="288"/>
      <c r="BQ34" s="288"/>
      <c r="BR34" s="288"/>
      <c r="BS34" s="288"/>
      <c r="BT34" s="288"/>
      <c r="BU34" s="288"/>
      <c r="BV34" s="288"/>
      <c r="BW34" s="10"/>
      <c r="BX34" s="11"/>
    </row>
    <row r="35" spans="1:76" s="8" customFormat="1">
      <c r="A35" s="9"/>
      <c r="B35" s="33"/>
      <c r="C35" s="42"/>
      <c r="D35" s="42"/>
      <c r="E35" s="42"/>
      <c r="F35" s="42"/>
      <c r="G35" s="42"/>
      <c r="H35" s="42"/>
      <c r="I35" s="10"/>
      <c r="J35" s="42"/>
      <c r="K35" s="42"/>
      <c r="L35" s="42"/>
      <c r="M35" s="42"/>
      <c r="N35" s="42"/>
      <c r="O35" s="42"/>
      <c r="P35" s="42"/>
      <c r="Q35" s="10"/>
      <c r="R35" s="38">
        <v>6</v>
      </c>
      <c r="S35" s="36" t="s">
        <v>744</v>
      </c>
      <c r="T35" s="37"/>
      <c r="U35" s="37"/>
      <c r="V35" s="37"/>
      <c r="W35" s="37"/>
      <c r="X35" s="37"/>
      <c r="Y35" s="37"/>
      <c r="Z35" s="37"/>
      <c r="AA35" s="37"/>
      <c r="AB35" s="37"/>
      <c r="AC35" s="37"/>
      <c r="AD35" s="37"/>
      <c r="AE35" s="38"/>
      <c r="AF35" s="284"/>
      <c r="AG35" s="286"/>
      <c r="AH35" s="284"/>
      <c r="AI35" s="286"/>
      <c r="AJ35" s="284"/>
      <c r="AK35" s="286"/>
      <c r="AL35" s="284" t="s">
        <v>492</v>
      </c>
      <c r="AM35" s="286"/>
      <c r="AN35" s="284"/>
      <c r="AO35" s="286"/>
      <c r="AP35" s="284"/>
      <c r="AQ35" s="286"/>
      <c r="AR35" s="284"/>
      <c r="AS35" s="286"/>
      <c r="AT35" s="284"/>
      <c r="AU35" s="286"/>
      <c r="AV35" s="284"/>
      <c r="AW35" s="286"/>
      <c r="AX35" s="284" t="s">
        <v>131</v>
      </c>
      <c r="AY35" s="285"/>
      <c r="AZ35" s="285"/>
      <c r="BA35" s="285"/>
      <c r="BB35" s="285"/>
      <c r="BC35" s="285"/>
      <c r="BD35" s="285"/>
      <c r="BE35" s="286"/>
      <c r="BF35" s="287" t="s">
        <v>743</v>
      </c>
      <c r="BG35" s="287"/>
      <c r="BH35" s="287"/>
      <c r="BI35" s="287"/>
      <c r="BJ35" s="287"/>
      <c r="BK35" s="287"/>
      <c r="BL35" s="287"/>
      <c r="BM35" s="287"/>
      <c r="BN35" s="288" t="s">
        <v>745</v>
      </c>
      <c r="BO35" s="288"/>
      <c r="BP35" s="288"/>
      <c r="BQ35" s="288"/>
      <c r="BR35" s="288"/>
      <c r="BS35" s="288"/>
      <c r="BT35" s="288"/>
      <c r="BU35" s="288"/>
      <c r="BV35" s="288"/>
      <c r="BW35" s="10"/>
      <c r="BX35" s="11"/>
    </row>
    <row r="36" spans="1:76" s="8" customFormat="1">
      <c r="A36" s="9"/>
      <c r="B36" s="33"/>
      <c r="C36" s="42"/>
      <c r="D36" s="42"/>
      <c r="E36" s="42"/>
      <c r="F36" s="42"/>
      <c r="G36" s="42"/>
      <c r="H36" s="42"/>
      <c r="I36" s="42"/>
      <c r="J36" s="32"/>
      <c r="K36" s="42"/>
      <c r="L36" s="42"/>
      <c r="M36" s="42"/>
      <c r="N36" s="42"/>
      <c r="O36" s="42"/>
      <c r="P36" s="42"/>
      <c r="Q36" s="10"/>
      <c r="R36" s="38">
        <v>7</v>
      </c>
      <c r="S36" s="36" t="s">
        <v>746</v>
      </c>
      <c r="T36" s="37"/>
      <c r="U36" s="37"/>
      <c r="V36" s="37"/>
      <c r="W36" s="37"/>
      <c r="X36" s="37"/>
      <c r="Y36" s="37"/>
      <c r="Z36" s="37"/>
      <c r="AA36" s="37"/>
      <c r="AB36" s="37"/>
      <c r="AC36" s="37"/>
      <c r="AD36" s="37"/>
      <c r="AE36" s="38"/>
      <c r="AF36" s="284"/>
      <c r="AG36" s="286"/>
      <c r="AH36" s="284"/>
      <c r="AI36" s="286"/>
      <c r="AJ36" s="284"/>
      <c r="AK36" s="286"/>
      <c r="AL36" s="284" t="s">
        <v>492</v>
      </c>
      <c r="AM36" s="286"/>
      <c r="AN36" s="284"/>
      <c r="AO36" s="286"/>
      <c r="AP36" s="284"/>
      <c r="AQ36" s="286"/>
      <c r="AR36" s="284"/>
      <c r="AS36" s="286"/>
      <c r="AT36" s="284"/>
      <c r="AU36" s="286"/>
      <c r="AV36" s="284"/>
      <c r="AW36" s="286"/>
      <c r="AX36" s="284" t="s">
        <v>131</v>
      </c>
      <c r="AY36" s="285"/>
      <c r="AZ36" s="285"/>
      <c r="BA36" s="285"/>
      <c r="BB36" s="285"/>
      <c r="BC36" s="285"/>
      <c r="BD36" s="285"/>
      <c r="BE36" s="286"/>
      <c r="BF36" s="287" t="s">
        <v>743</v>
      </c>
      <c r="BG36" s="287"/>
      <c r="BH36" s="287"/>
      <c r="BI36" s="287"/>
      <c r="BJ36" s="287"/>
      <c r="BK36" s="287"/>
      <c r="BL36" s="287"/>
      <c r="BM36" s="287"/>
      <c r="BN36" s="288"/>
      <c r="BO36" s="288"/>
      <c r="BP36" s="288"/>
      <c r="BQ36" s="288"/>
      <c r="BR36" s="288"/>
      <c r="BS36" s="288"/>
      <c r="BT36" s="288"/>
      <c r="BU36" s="288"/>
      <c r="BV36" s="288"/>
      <c r="BW36" s="10"/>
    </row>
    <row r="37" spans="1:76" s="8" customFormat="1">
      <c r="A37" s="9"/>
      <c r="B37" s="33"/>
      <c r="C37" s="42"/>
      <c r="D37" s="42"/>
      <c r="E37" s="42"/>
      <c r="F37" s="42"/>
      <c r="G37" s="42"/>
      <c r="H37" s="42"/>
      <c r="I37" s="10"/>
      <c r="J37" s="29" t="s">
        <v>747</v>
      </c>
      <c r="K37" s="30"/>
      <c r="L37" s="30"/>
      <c r="M37" s="30"/>
      <c r="N37" s="30"/>
      <c r="O37" s="30"/>
      <c r="P37" s="30"/>
      <c r="Q37" s="31"/>
      <c r="R37" s="38">
        <v>1</v>
      </c>
      <c r="S37" s="36" t="s">
        <v>748</v>
      </c>
      <c r="T37" s="37"/>
      <c r="U37" s="37"/>
      <c r="V37" s="37"/>
      <c r="W37" s="37"/>
      <c r="X37" s="37"/>
      <c r="Y37" s="37"/>
      <c r="Z37" s="37"/>
      <c r="AA37" s="37"/>
      <c r="AB37" s="37"/>
      <c r="AC37" s="37"/>
      <c r="AD37" s="37"/>
      <c r="AE37" s="38"/>
      <c r="AF37" s="284"/>
      <c r="AG37" s="286"/>
      <c r="AH37" s="284"/>
      <c r="AI37" s="286"/>
      <c r="AJ37" s="284"/>
      <c r="AK37" s="286"/>
      <c r="AL37" s="284"/>
      <c r="AM37" s="286"/>
      <c r="AN37" s="284"/>
      <c r="AO37" s="286"/>
      <c r="AP37" s="284"/>
      <c r="AQ37" s="286"/>
      <c r="AR37" s="284"/>
      <c r="AS37" s="286"/>
      <c r="AT37" s="284" t="s">
        <v>492</v>
      </c>
      <c r="AU37" s="286"/>
      <c r="AV37" s="284"/>
      <c r="AW37" s="286"/>
      <c r="AX37" s="284" t="s">
        <v>737</v>
      </c>
      <c r="AY37" s="285"/>
      <c r="AZ37" s="285"/>
      <c r="BA37" s="285"/>
      <c r="BB37" s="285"/>
      <c r="BC37" s="285"/>
      <c r="BD37" s="285"/>
      <c r="BE37" s="286"/>
      <c r="BF37" s="287" t="s">
        <v>143</v>
      </c>
      <c r="BG37" s="287"/>
      <c r="BH37" s="287"/>
      <c r="BI37" s="287"/>
      <c r="BJ37" s="287"/>
      <c r="BK37" s="287"/>
      <c r="BL37" s="287"/>
      <c r="BM37" s="284"/>
      <c r="BN37" s="288"/>
      <c r="BO37" s="288"/>
      <c r="BP37" s="288"/>
      <c r="BQ37" s="288"/>
      <c r="BR37" s="288"/>
      <c r="BS37" s="288"/>
      <c r="BT37" s="288"/>
      <c r="BU37" s="288"/>
      <c r="BV37" s="288"/>
      <c r="BW37" s="10"/>
      <c r="BX37" s="11"/>
    </row>
    <row r="38" spans="1:76" s="8" customFormat="1">
      <c r="A38" s="9"/>
      <c r="B38" s="33"/>
      <c r="C38" s="42"/>
      <c r="D38" s="42"/>
      <c r="E38" s="42"/>
      <c r="F38" s="42"/>
      <c r="G38" s="42"/>
      <c r="H38" s="42"/>
      <c r="I38" s="10"/>
      <c r="J38" s="42"/>
      <c r="K38" s="42"/>
      <c r="L38" s="42"/>
      <c r="M38" s="42"/>
      <c r="N38" s="42"/>
      <c r="O38" s="42"/>
      <c r="P38" s="42"/>
      <c r="Q38" s="10"/>
      <c r="R38" s="38">
        <v>2</v>
      </c>
      <c r="S38" s="36" t="s">
        <v>749</v>
      </c>
      <c r="T38" s="37"/>
      <c r="U38" s="37"/>
      <c r="V38" s="37"/>
      <c r="W38" s="37"/>
      <c r="X38" s="37"/>
      <c r="Y38" s="37"/>
      <c r="Z38" s="37"/>
      <c r="AA38" s="37"/>
      <c r="AB38" s="37"/>
      <c r="AC38" s="37"/>
      <c r="AD38" s="37"/>
      <c r="AE38" s="38"/>
      <c r="AF38" s="284"/>
      <c r="AG38" s="286"/>
      <c r="AH38" s="284"/>
      <c r="AI38" s="286"/>
      <c r="AJ38" s="284"/>
      <c r="AK38" s="286"/>
      <c r="AL38" s="284"/>
      <c r="AM38" s="286"/>
      <c r="AN38" s="284"/>
      <c r="AO38" s="286"/>
      <c r="AP38" s="284"/>
      <c r="AQ38" s="286"/>
      <c r="AR38" s="284"/>
      <c r="AS38" s="286"/>
      <c r="AT38" s="284" t="s">
        <v>492</v>
      </c>
      <c r="AU38" s="286"/>
      <c r="AV38" s="284"/>
      <c r="AW38" s="286"/>
      <c r="AX38" s="284" t="s">
        <v>201</v>
      </c>
      <c r="AY38" s="285"/>
      <c r="AZ38" s="285"/>
      <c r="BA38" s="285"/>
      <c r="BB38" s="285"/>
      <c r="BC38" s="285"/>
      <c r="BD38" s="285"/>
      <c r="BE38" s="286"/>
      <c r="BF38" s="287" t="s">
        <v>143</v>
      </c>
      <c r="BG38" s="287"/>
      <c r="BH38" s="287"/>
      <c r="BI38" s="287"/>
      <c r="BJ38" s="287"/>
      <c r="BK38" s="287"/>
      <c r="BL38" s="287"/>
      <c r="BM38" s="284"/>
      <c r="BN38" s="288"/>
      <c r="BO38" s="288"/>
      <c r="BP38" s="288"/>
      <c r="BQ38" s="288"/>
      <c r="BR38" s="288"/>
      <c r="BS38" s="288"/>
      <c r="BT38" s="288"/>
      <c r="BU38" s="288"/>
      <c r="BV38" s="288"/>
      <c r="BW38" s="10"/>
    </row>
    <row r="39" spans="1:76" s="8" customFormat="1">
      <c r="A39" s="9"/>
      <c r="B39" s="33"/>
      <c r="C39" s="42"/>
      <c r="D39" s="42"/>
      <c r="E39" s="42"/>
      <c r="F39" s="42"/>
      <c r="G39" s="42"/>
      <c r="H39" s="42"/>
      <c r="I39" s="10"/>
      <c r="J39" s="32"/>
      <c r="K39" s="42"/>
      <c r="L39" s="42"/>
      <c r="M39" s="42"/>
      <c r="N39" s="42"/>
      <c r="O39" s="42"/>
      <c r="P39" s="42"/>
      <c r="Q39" s="10"/>
      <c r="R39" s="38">
        <v>3</v>
      </c>
      <c r="S39" s="36" t="s">
        <v>750</v>
      </c>
      <c r="T39" s="37"/>
      <c r="U39" s="37"/>
      <c r="V39" s="37"/>
      <c r="W39" s="37"/>
      <c r="X39" s="37"/>
      <c r="Y39" s="37"/>
      <c r="Z39" s="37"/>
      <c r="AA39" s="37"/>
      <c r="AB39" s="37"/>
      <c r="AC39" s="37"/>
      <c r="AD39" s="37"/>
      <c r="AE39" s="38"/>
      <c r="AF39" s="284"/>
      <c r="AG39" s="286"/>
      <c r="AH39" s="284"/>
      <c r="AI39" s="286"/>
      <c r="AJ39" s="284"/>
      <c r="AK39" s="286"/>
      <c r="AL39" s="284" t="s">
        <v>492</v>
      </c>
      <c r="AM39" s="286"/>
      <c r="AN39" s="284"/>
      <c r="AO39" s="286"/>
      <c r="AP39" s="284"/>
      <c r="AQ39" s="286"/>
      <c r="AR39" s="284"/>
      <c r="AS39" s="286"/>
      <c r="AT39" s="284"/>
      <c r="AU39" s="286"/>
      <c r="AV39" s="284"/>
      <c r="AW39" s="286"/>
      <c r="AX39" s="284" t="s">
        <v>201</v>
      </c>
      <c r="AY39" s="285"/>
      <c r="AZ39" s="285"/>
      <c r="BA39" s="285"/>
      <c r="BB39" s="285"/>
      <c r="BC39" s="285"/>
      <c r="BD39" s="285"/>
      <c r="BE39" s="286"/>
      <c r="BF39" s="287" t="s">
        <v>143</v>
      </c>
      <c r="BG39" s="287"/>
      <c r="BH39" s="287"/>
      <c r="BI39" s="287"/>
      <c r="BJ39" s="287"/>
      <c r="BK39" s="287"/>
      <c r="BL39" s="287"/>
      <c r="BM39" s="284"/>
      <c r="BN39" s="288"/>
      <c r="BO39" s="288"/>
      <c r="BP39" s="288"/>
      <c r="BQ39" s="288"/>
      <c r="BR39" s="288"/>
      <c r="BS39" s="288"/>
      <c r="BT39" s="288"/>
      <c r="BU39" s="288"/>
      <c r="BV39" s="288"/>
      <c r="BW39" s="10"/>
      <c r="BX39" s="11"/>
    </row>
    <row r="40" spans="1:76" s="8" customFormat="1">
      <c r="A40" s="9"/>
      <c r="B40" s="33"/>
      <c r="C40" s="42"/>
      <c r="D40" s="42"/>
      <c r="E40" s="42"/>
      <c r="F40" s="42"/>
      <c r="G40" s="42"/>
      <c r="H40" s="42"/>
      <c r="I40" s="10"/>
      <c r="J40" s="32"/>
      <c r="K40" s="42"/>
      <c r="L40" s="42"/>
      <c r="M40" s="42"/>
      <c r="N40" s="42"/>
      <c r="O40" s="42"/>
      <c r="P40" s="42"/>
      <c r="Q40" s="10"/>
      <c r="R40" s="38">
        <v>4</v>
      </c>
      <c r="S40" s="36" t="s">
        <v>751</v>
      </c>
      <c r="T40" s="37"/>
      <c r="U40" s="37"/>
      <c r="V40" s="37"/>
      <c r="W40" s="37"/>
      <c r="X40" s="37"/>
      <c r="Y40" s="37"/>
      <c r="Z40" s="37"/>
      <c r="AA40" s="37"/>
      <c r="AB40" s="37"/>
      <c r="AC40" s="37"/>
      <c r="AD40" s="37"/>
      <c r="AE40" s="38"/>
      <c r="AF40" s="284"/>
      <c r="AG40" s="286"/>
      <c r="AH40" s="284"/>
      <c r="AI40" s="286"/>
      <c r="AJ40" s="284"/>
      <c r="AK40" s="286"/>
      <c r="AL40" s="284" t="s">
        <v>492</v>
      </c>
      <c r="AM40" s="286"/>
      <c r="AN40" s="284"/>
      <c r="AO40" s="286"/>
      <c r="AP40" s="284"/>
      <c r="AQ40" s="286"/>
      <c r="AR40" s="284"/>
      <c r="AS40" s="286"/>
      <c r="AT40" s="284"/>
      <c r="AU40" s="286"/>
      <c r="AV40" s="284"/>
      <c r="AW40" s="286"/>
      <c r="AX40" s="284" t="s">
        <v>131</v>
      </c>
      <c r="AY40" s="285"/>
      <c r="AZ40" s="285"/>
      <c r="BA40" s="285"/>
      <c r="BB40" s="285"/>
      <c r="BC40" s="285"/>
      <c r="BD40" s="285"/>
      <c r="BE40" s="286"/>
      <c r="BF40" s="284" t="s">
        <v>743</v>
      </c>
      <c r="BG40" s="285"/>
      <c r="BH40" s="285"/>
      <c r="BI40" s="285"/>
      <c r="BJ40" s="285"/>
      <c r="BK40" s="285"/>
      <c r="BL40" s="285"/>
      <c r="BM40" s="286"/>
      <c r="BN40" s="288"/>
      <c r="BO40" s="288"/>
      <c r="BP40" s="288"/>
      <c r="BQ40" s="288"/>
      <c r="BR40" s="288"/>
      <c r="BS40" s="288"/>
      <c r="BT40" s="288"/>
      <c r="BU40" s="288"/>
      <c r="BV40" s="288"/>
      <c r="BW40" s="10"/>
    </row>
    <row r="41" spans="1:76" s="8" customFormat="1">
      <c r="A41" s="9"/>
      <c r="B41" s="33"/>
      <c r="C41" s="42"/>
      <c r="D41" s="42"/>
      <c r="E41" s="42"/>
      <c r="F41" s="42"/>
      <c r="G41" s="42"/>
      <c r="H41" s="42"/>
      <c r="I41" s="10"/>
      <c r="J41" s="32"/>
      <c r="K41" s="42"/>
      <c r="L41" s="42"/>
      <c r="M41" s="42"/>
      <c r="N41" s="42"/>
      <c r="O41" s="42"/>
      <c r="P41" s="42"/>
      <c r="Q41" s="10"/>
      <c r="R41" s="38">
        <v>5</v>
      </c>
      <c r="S41" s="36" t="s">
        <v>752</v>
      </c>
      <c r="T41" s="37"/>
      <c r="U41" s="37"/>
      <c r="V41" s="37"/>
      <c r="W41" s="37"/>
      <c r="X41" s="37"/>
      <c r="Y41" s="37"/>
      <c r="Z41" s="37"/>
      <c r="AA41" s="37"/>
      <c r="AB41" s="37"/>
      <c r="AC41" s="37"/>
      <c r="AD41" s="37"/>
      <c r="AE41" s="38"/>
      <c r="AF41" s="284"/>
      <c r="AG41" s="286"/>
      <c r="AH41" s="284"/>
      <c r="AI41" s="286"/>
      <c r="AJ41" s="284"/>
      <c r="AK41" s="286"/>
      <c r="AL41" s="284" t="s">
        <v>492</v>
      </c>
      <c r="AM41" s="286"/>
      <c r="AN41" s="284"/>
      <c r="AO41" s="286"/>
      <c r="AP41" s="284"/>
      <c r="AQ41" s="286"/>
      <c r="AR41" s="284"/>
      <c r="AS41" s="286"/>
      <c r="AT41" s="284"/>
      <c r="AU41" s="286"/>
      <c r="AV41" s="284"/>
      <c r="AW41" s="286"/>
      <c r="AX41" s="284" t="s">
        <v>131</v>
      </c>
      <c r="AY41" s="285"/>
      <c r="AZ41" s="285"/>
      <c r="BA41" s="285"/>
      <c r="BB41" s="285"/>
      <c r="BC41" s="285"/>
      <c r="BD41" s="285"/>
      <c r="BE41" s="286"/>
      <c r="BF41" s="284" t="s">
        <v>743</v>
      </c>
      <c r="BG41" s="285"/>
      <c r="BH41" s="285"/>
      <c r="BI41" s="285"/>
      <c r="BJ41" s="285"/>
      <c r="BK41" s="285"/>
      <c r="BL41" s="285"/>
      <c r="BM41" s="286"/>
      <c r="BN41" s="288" t="s">
        <v>745</v>
      </c>
      <c r="BO41" s="288"/>
      <c r="BP41" s="288"/>
      <c r="BQ41" s="288"/>
      <c r="BR41" s="288"/>
      <c r="BS41" s="288"/>
      <c r="BT41" s="288"/>
      <c r="BU41" s="288"/>
      <c r="BV41" s="288"/>
      <c r="BW41" s="10"/>
    </row>
    <row r="42" spans="1:76" s="8" customFormat="1">
      <c r="A42" s="9"/>
      <c r="B42" s="33"/>
      <c r="C42" s="42"/>
      <c r="D42" s="42"/>
      <c r="E42" s="42"/>
      <c r="F42" s="42"/>
      <c r="G42" s="42"/>
      <c r="H42" s="42"/>
      <c r="I42" s="10"/>
      <c r="J42" s="32"/>
      <c r="K42" s="42"/>
      <c r="L42" s="42"/>
      <c r="M42" s="42"/>
      <c r="N42" s="42"/>
      <c r="O42" s="42"/>
      <c r="P42" s="42"/>
      <c r="Q42" s="10"/>
      <c r="R42" s="38">
        <v>6</v>
      </c>
      <c r="S42" s="36" t="s">
        <v>746</v>
      </c>
      <c r="T42" s="37"/>
      <c r="U42" s="37"/>
      <c r="V42" s="37"/>
      <c r="W42" s="37"/>
      <c r="X42" s="37"/>
      <c r="Y42" s="37"/>
      <c r="Z42" s="37"/>
      <c r="AA42" s="37"/>
      <c r="AB42" s="37"/>
      <c r="AC42" s="37"/>
      <c r="AD42" s="37"/>
      <c r="AE42" s="38"/>
      <c r="AF42" s="284"/>
      <c r="AG42" s="286"/>
      <c r="AH42" s="284"/>
      <c r="AI42" s="286"/>
      <c r="AJ42" s="284"/>
      <c r="AK42" s="286"/>
      <c r="AL42" s="284" t="s">
        <v>492</v>
      </c>
      <c r="AM42" s="286"/>
      <c r="AN42" s="284"/>
      <c r="AO42" s="286"/>
      <c r="AP42" s="284"/>
      <c r="AQ42" s="286"/>
      <c r="AR42" s="284"/>
      <c r="AS42" s="286"/>
      <c r="AT42" s="284"/>
      <c r="AU42" s="286"/>
      <c r="AV42" s="284"/>
      <c r="AW42" s="286"/>
      <c r="AX42" s="284" t="s">
        <v>131</v>
      </c>
      <c r="AY42" s="285"/>
      <c r="AZ42" s="285"/>
      <c r="BA42" s="285"/>
      <c r="BB42" s="285"/>
      <c r="BC42" s="285"/>
      <c r="BD42" s="285"/>
      <c r="BE42" s="286"/>
      <c r="BF42" s="284" t="s">
        <v>743</v>
      </c>
      <c r="BG42" s="285"/>
      <c r="BH42" s="285"/>
      <c r="BI42" s="285"/>
      <c r="BJ42" s="285"/>
      <c r="BK42" s="285"/>
      <c r="BL42" s="285"/>
      <c r="BM42" s="286"/>
      <c r="BN42" s="288"/>
      <c r="BO42" s="288"/>
      <c r="BP42" s="288"/>
      <c r="BQ42" s="288"/>
      <c r="BR42" s="288"/>
      <c r="BS42" s="288"/>
      <c r="BT42" s="288"/>
      <c r="BU42" s="288"/>
      <c r="BV42" s="288"/>
      <c r="BW42" s="10"/>
    </row>
    <row r="43" spans="1:76" s="8" customFormat="1">
      <c r="A43" s="9"/>
      <c r="B43" s="33"/>
      <c r="C43" s="42"/>
      <c r="D43" s="42"/>
      <c r="E43" s="42"/>
      <c r="F43" s="42"/>
      <c r="G43" s="42"/>
      <c r="H43" s="42"/>
      <c r="I43" s="42"/>
      <c r="J43" s="32"/>
      <c r="K43" s="42"/>
      <c r="L43" s="42"/>
      <c r="M43" s="42"/>
      <c r="N43" s="42"/>
      <c r="O43" s="42"/>
      <c r="P43" s="42"/>
      <c r="Q43" s="10"/>
      <c r="R43" s="38">
        <v>7</v>
      </c>
      <c r="S43" s="36" t="s">
        <v>753</v>
      </c>
      <c r="T43" s="37"/>
      <c r="U43" s="37"/>
      <c r="V43" s="37"/>
      <c r="W43" s="37"/>
      <c r="X43" s="37"/>
      <c r="Y43" s="37"/>
      <c r="Z43" s="37"/>
      <c r="AA43" s="37"/>
      <c r="AB43" s="37"/>
      <c r="AC43" s="37"/>
      <c r="AD43" s="37"/>
      <c r="AE43" s="38"/>
      <c r="AF43" s="284"/>
      <c r="AG43" s="286"/>
      <c r="AH43" s="284"/>
      <c r="AI43" s="286"/>
      <c r="AJ43" s="284"/>
      <c r="AK43" s="286"/>
      <c r="AL43" s="284"/>
      <c r="AM43" s="286"/>
      <c r="AN43" s="284"/>
      <c r="AO43" s="286"/>
      <c r="AP43" s="284"/>
      <c r="AQ43" s="286"/>
      <c r="AR43" s="284"/>
      <c r="AS43" s="286"/>
      <c r="AT43" s="284" t="s">
        <v>492</v>
      </c>
      <c r="AU43" s="286"/>
      <c r="AV43" s="284"/>
      <c r="AW43" s="286"/>
      <c r="AX43" s="284" t="s">
        <v>201</v>
      </c>
      <c r="AY43" s="285"/>
      <c r="AZ43" s="285"/>
      <c r="BA43" s="285"/>
      <c r="BB43" s="285"/>
      <c r="BC43" s="285"/>
      <c r="BD43" s="285"/>
      <c r="BE43" s="286"/>
      <c r="BF43" s="287"/>
      <c r="BG43" s="287"/>
      <c r="BH43" s="287"/>
      <c r="BI43" s="287"/>
      <c r="BJ43" s="287"/>
      <c r="BK43" s="287"/>
      <c r="BL43" s="287"/>
      <c r="BM43" s="287"/>
      <c r="BN43" s="288"/>
      <c r="BO43" s="288"/>
      <c r="BP43" s="288"/>
      <c r="BQ43" s="288"/>
      <c r="BR43" s="288"/>
      <c r="BS43" s="288"/>
      <c r="BT43" s="288"/>
      <c r="BU43" s="288"/>
      <c r="BV43" s="288"/>
      <c r="BW43" s="10"/>
      <c r="BX43" s="11"/>
    </row>
    <row r="44" spans="1:76" s="8" customFormat="1">
      <c r="A44" s="9"/>
      <c r="B44" s="32"/>
      <c r="C44" s="42"/>
      <c r="D44" s="42"/>
      <c r="E44" s="42"/>
      <c r="F44" s="42"/>
      <c r="G44" s="42"/>
      <c r="H44" s="42"/>
      <c r="I44" s="42"/>
      <c r="J44" s="32"/>
      <c r="K44" s="42"/>
      <c r="L44" s="42"/>
      <c r="M44" s="42"/>
      <c r="N44" s="42"/>
      <c r="O44" s="42"/>
      <c r="P44" s="42"/>
      <c r="Q44" s="10"/>
      <c r="R44" s="38">
        <v>8</v>
      </c>
      <c r="S44" s="36" t="s">
        <v>754</v>
      </c>
      <c r="T44" s="37"/>
      <c r="U44" s="37"/>
      <c r="V44" s="37"/>
      <c r="W44" s="37"/>
      <c r="X44" s="37"/>
      <c r="Y44" s="37"/>
      <c r="Z44" s="37"/>
      <c r="AA44" s="37"/>
      <c r="AB44" s="37"/>
      <c r="AC44" s="37"/>
      <c r="AD44" s="37"/>
      <c r="AE44" s="38"/>
      <c r="AF44" s="284"/>
      <c r="AG44" s="286"/>
      <c r="AH44" s="284"/>
      <c r="AI44" s="286"/>
      <c r="AJ44" s="284"/>
      <c r="AK44" s="286"/>
      <c r="AL44" s="284" t="s">
        <v>492</v>
      </c>
      <c r="AM44" s="286"/>
      <c r="AN44" s="284"/>
      <c r="AO44" s="286"/>
      <c r="AP44" s="284"/>
      <c r="AQ44" s="286"/>
      <c r="AR44" s="284"/>
      <c r="AS44" s="286"/>
      <c r="AT44" s="284"/>
      <c r="AU44" s="286"/>
      <c r="AV44" s="284"/>
      <c r="AW44" s="286"/>
      <c r="AX44" s="284" t="s">
        <v>131</v>
      </c>
      <c r="AY44" s="285"/>
      <c r="AZ44" s="285"/>
      <c r="BA44" s="285"/>
      <c r="BB44" s="285"/>
      <c r="BC44" s="285"/>
      <c r="BD44" s="285"/>
      <c r="BE44" s="286"/>
      <c r="BF44" s="284" t="s">
        <v>755</v>
      </c>
      <c r="BG44" s="285"/>
      <c r="BH44" s="285"/>
      <c r="BI44" s="285"/>
      <c r="BJ44" s="285"/>
      <c r="BK44" s="285"/>
      <c r="BL44" s="285"/>
      <c r="BM44" s="286"/>
      <c r="BN44" s="288" t="s">
        <v>756</v>
      </c>
      <c r="BO44" s="288"/>
      <c r="BP44" s="288"/>
      <c r="BQ44" s="288"/>
      <c r="BR44" s="288"/>
      <c r="BS44" s="288"/>
      <c r="BT44" s="288"/>
      <c r="BU44" s="288"/>
      <c r="BV44" s="288"/>
      <c r="BW44" s="10"/>
    </row>
    <row r="45" spans="1:76" s="8" customFormat="1">
      <c r="A45" s="9"/>
      <c r="B45" s="32"/>
      <c r="C45" s="42"/>
      <c r="D45" s="42"/>
      <c r="E45" s="42"/>
      <c r="F45" s="42"/>
      <c r="G45" s="42"/>
      <c r="H45" s="42"/>
      <c r="I45" s="10"/>
      <c r="J45" s="32"/>
      <c r="K45" s="42"/>
      <c r="L45" s="42"/>
      <c r="M45" s="42"/>
      <c r="N45" s="42"/>
      <c r="O45" s="42"/>
      <c r="P45" s="42"/>
      <c r="Q45" s="10"/>
      <c r="R45" s="38">
        <v>9</v>
      </c>
      <c r="S45" s="36" t="s">
        <v>757</v>
      </c>
      <c r="T45" s="37"/>
      <c r="U45" s="37"/>
      <c r="V45" s="37"/>
      <c r="W45" s="37"/>
      <c r="X45" s="37"/>
      <c r="Y45" s="37"/>
      <c r="Z45" s="37"/>
      <c r="AA45" s="37"/>
      <c r="AB45" s="37"/>
      <c r="AC45" s="37"/>
      <c r="AD45" s="37"/>
      <c r="AE45" s="38"/>
      <c r="AF45" s="284"/>
      <c r="AG45" s="286"/>
      <c r="AH45" s="284"/>
      <c r="AI45" s="286"/>
      <c r="AJ45" s="284"/>
      <c r="AK45" s="286"/>
      <c r="AL45" s="284" t="s">
        <v>492</v>
      </c>
      <c r="AM45" s="286"/>
      <c r="AN45" s="284"/>
      <c r="AO45" s="286"/>
      <c r="AP45" s="284"/>
      <c r="AQ45" s="286"/>
      <c r="AR45" s="284"/>
      <c r="AS45" s="286"/>
      <c r="AT45" s="284"/>
      <c r="AU45" s="286"/>
      <c r="AV45" s="284"/>
      <c r="AW45" s="286"/>
      <c r="AX45" s="284" t="s">
        <v>131</v>
      </c>
      <c r="AY45" s="285"/>
      <c r="AZ45" s="285"/>
      <c r="BA45" s="285"/>
      <c r="BB45" s="285"/>
      <c r="BC45" s="285"/>
      <c r="BD45" s="285"/>
      <c r="BE45" s="286"/>
      <c r="BF45" s="397" t="s">
        <v>758</v>
      </c>
      <c r="BG45" s="397"/>
      <c r="BH45" s="397"/>
      <c r="BI45" s="397"/>
      <c r="BJ45" s="397"/>
      <c r="BK45" s="397"/>
      <c r="BL45" s="397"/>
      <c r="BM45" s="397"/>
      <c r="BN45" s="288"/>
      <c r="BO45" s="288"/>
      <c r="BP45" s="288"/>
      <c r="BQ45" s="288"/>
      <c r="BR45" s="288"/>
      <c r="BS45" s="288"/>
      <c r="BT45" s="288"/>
      <c r="BU45" s="288"/>
      <c r="BV45" s="288"/>
      <c r="BW45" s="10"/>
      <c r="BX45" s="11"/>
    </row>
    <row r="46" spans="1:76" s="8" customFormat="1" ht="78.95" customHeight="1">
      <c r="A46" s="9"/>
      <c r="B46" s="32"/>
      <c r="C46" s="42"/>
      <c r="D46" s="42"/>
      <c r="E46" s="42"/>
      <c r="F46" s="42"/>
      <c r="G46" s="42"/>
      <c r="H46" s="42"/>
      <c r="I46" s="10"/>
      <c r="J46" s="32"/>
      <c r="K46" s="42"/>
      <c r="L46" s="42"/>
      <c r="M46" s="42"/>
      <c r="N46" s="42"/>
      <c r="O46" s="42"/>
      <c r="P46" s="42"/>
      <c r="Q46" s="10"/>
      <c r="R46" s="38">
        <v>10</v>
      </c>
      <c r="S46" s="36" t="s">
        <v>759</v>
      </c>
      <c r="T46" s="37"/>
      <c r="U46" s="37"/>
      <c r="V46" s="37"/>
      <c r="W46" s="37"/>
      <c r="X46" s="37"/>
      <c r="Y46" s="37"/>
      <c r="Z46" s="37"/>
      <c r="AA46" s="37"/>
      <c r="AB46" s="37"/>
      <c r="AC46" s="37"/>
      <c r="AD46" s="37"/>
      <c r="AE46" s="38"/>
      <c r="AF46" s="284"/>
      <c r="AG46" s="286"/>
      <c r="AH46" s="284"/>
      <c r="AI46" s="286"/>
      <c r="AJ46" s="284"/>
      <c r="AK46" s="286"/>
      <c r="AL46" s="284" t="s">
        <v>492</v>
      </c>
      <c r="AM46" s="286"/>
      <c r="AN46" s="284"/>
      <c r="AO46" s="286"/>
      <c r="AP46" s="284"/>
      <c r="AQ46" s="286"/>
      <c r="AR46" s="284"/>
      <c r="AS46" s="286"/>
      <c r="AT46" s="284"/>
      <c r="AU46" s="286"/>
      <c r="AV46" s="284"/>
      <c r="AW46" s="286"/>
      <c r="AX46" s="284" t="s">
        <v>131</v>
      </c>
      <c r="AY46" s="285"/>
      <c r="AZ46" s="285"/>
      <c r="BA46" s="285"/>
      <c r="BB46" s="285"/>
      <c r="BC46" s="285"/>
      <c r="BD46" s="285"/>
      <c r="BE46" s="286"/>
      <c r="BF46" s="333" t="s">
        <v>760</v>
      </c>
      <c r="BG46" s="285"/>
      <c r="BH46" s="285"/>
      <c r="BI46" s="285"/>
      <c r="BJ46" s="285"/>
      <c r="BK46" s="285"/>
      <c r="BL46" s="285"/>
      <c r="BM46" s="286"/>
      <c r="BN46" s="288"/>
      <c r="BO46" s="288"/>
      <c r="BP46" s="288"/>
      <c r="BQ46" s="288"/>
      <c r="BR46" s="288"/>
      <c r="BS46" s="288"/>
      <c r="BT46" s="288"/>
      <c r="BU46" s="288"/>
      <c r="BV46" s="288"/>
      <c r="BW46" s="10"/>
    </row>
    <row r="47" spans="1:76" s="8" customFormat="1" ht="56.45" customHeight="1">
      <c r="A47" s="54"/>
      <c r="B47" s="32"/>
      <c r="C47" s="42"/>
      <c r="D47" s="42"/>
      <c r="E47" s="42"/>
      <c r="F47" s="42"/>
      <c r="G47" s="42"/>
      <c r="H47" s="42"/>
      <c r="I47" s="42"/>
      <c r="J47" s="32"/>
      <c r="K47" s="42"/>
      <c r="L47" s="42"/>
      <c r="M47" s="42"/>
      <c r="N47" s="42"/>
      <c r="O47" s="42"/>
      <c r="P47" s="42"/>
      <c r="Q47" s="10"/>
      <c r="R47" s="38">
        <v>11</v>
      </c>
      <c r="S47" s="36" t="s">
        <v>761</v>
      </c>
      <c r="T47" s="37"/>
      <c r="U47" s="37"/>
      <c r="V47" s="37"/>
      <c r="W47" s="37"/>
      <c r="X47" s="37"/>
      <c r="Y47" s="37"/>
      <c r="Z47" s="37"/>
      <c r="AA47" s="37"/>
      <c r="AB47" s="37"/>
      <c r="AC47" s="37"/>
      <c r="AD47" s="37"/>
      <c r="AE47" s="38"/>
      <c r="AF47" s="284"/>
      <c r="AG47" s="286"/>
      <c r="AH47" s="284"/>
      <c r="AI47" s="286"/>
      <c r="AJ47" s="284"/>
      <c r="AK47" s="286"/>
      <c r="AL47" s="284" t="s">
        <v>492</v>
      </c>
      <c r="AM47" s="286"/>
      <c r="AN47" s="284"/>
      <c r="AO47" s="286"/>
      <c r="AP47" s="284"/>
      <c r="AQ47" s="286"/>
      <c r="AR47" s="284"/>
      <c r="AS47" s="286"/>
      <c r="AT47" s="284"/>
      <c r="AU47" s="286"/>
      <c r="AV47" s="284"/>
      <c r="AW47" s="286"/>
      <c r="AX47" s="284" t="s">
        <v>131</v>
      </c>
      <c r="AY47" s="285"/>
      <c r="AZ47" s="285"/>
      <c r="BA47" s="285"/>
      <c r="BB47" s="285"/>
      <c r="BC47" s="285"/>
      <c r="BD47" s="285"/>
      <c r="BE47" s="286"/>
      <c r="BF47" s="294" t="s">
        <v>762</v>
      </c>
      <c r="BG47" s="287"/>
      <c r="BH47" s="287"/>
      <c r="BI47" s="287"/>
      <c r="BJ47" s="287"/>
      <c r="BK47" s="287"/>
      <c r="BL47" s="287"/>
      <c r="BM47" s="287"/>
      <c r="BN47" s="288"/>
      <c r="BO47" s="288"/>
      <c r="BP47" s="288"/>
      <c r="BQ47" s="288"/>
      <c r="BR47" s="288"/>
      <c r="BS47" s="288"/>
      <c r="BT47" s="288"/>
      <c r="BU47" s="288"/>
      <c r="BV47" s="288"/>
      <c r="BW47" s="10"/>
      <c r="BX47" s="11"/>
    </row>
    <row r="48" spans="1:76" s="8" customFormat="1">
      <c r="A48" s="9"/>
      <c r="B48" s="29" t="s">
        <v>763</v>
      </c>
      <c r="C48" s="30"/>
      <c r="D48" s="30"/>
      <c r="E48" s="30"/>
      <c r="F48" s="30"/>
      <c r="G48" s="30"/>
      <c r="H48" s="30"/>
      <c r="I48" s="31"/>
      <c r="J48" s="29" t="s">
        <v>764</v>
      </c>
      <c r="K48" s="30"/>
      <c r="L48" s="30"/>
      <c r="M48" s="30"/>
      <c r="N48" s="30"/>
      <c r="O48" s="30"/>
      <c r="P48" s="30"/>
      <c r="Q48" s="31"/>
      <c r="R48" s="38">
        <v>1</v>
      </c>
      <c r="S48" s="36" t="s">
        <v>765</v>
      </c>
      <c r="T48" s="37"/>
      <c r="U48" s="37"/>
      <c r="V48" s="37"/>
      <c r="W48" s="37"/>
      <c r="X48" s="37"/>
      <c r="Y48" s="37"/>
      <c r="Z48" s="37"/>
      <c r="AA48" s="37"/>
      <c r="AB48" s="37"/>
      <c r="AC48" s="37"/>
      <c r="AD48" s="37"/>
      <c r="AE48" s="38"/>
      <c r="AF48" s="284"/>
      <c r="AG48" s="286"/>
      <c r="AH48" s="45"/>
      <c r="AI48" s="46"/>
      <c r="AJ48" s="45"/>
      <c r="AK48" s="46"/>
      <c r="AL48" s="284" t="s">
        <v>492</v>
      </c>
      <c r="AM48" s="286"/>
      <c r="AN48" s="284"/>
      <c r="AO48" s="286"/>
      <c r="AP48" s="284"/>
      <c r="AQ48" s="286"/>
      <c r="AR48" s="284"/>
      <c r="AS48" s="286"/>
      <c r="AT48" s="284"/>
      <c r="AU48" s="286"/>
      <c r="AV48" s="284"/>
      <c r="AW48" s="286"/>
      <c r="AX48" s="284" t="s">
        <v>131</v>
      </c>
      <c r="AY48" s="285"/>
      <c r="AZ48" s="285"/>
      <c r="BA48" s="285"/>
      <c r="BB48" s="285"/>
      <c r="BC48" s="285"/>
      <c r="BD48" s="285"/>
      <c r="BE48" s="286"/>
      <c r="BF48" s="284" t="s">
        <v>766</v>
      </c>
      <c r="BG48" s="285"/>
      <c r="BH48" s="285"/>
      <c r="BI48" s="285"/>
      <c r="BJ48" s="285"/>
      <c r="BK48" s="285"/>
      <c r="BL48" s="285"/>
      <c r="BM48" s="286"/>
      <c r="BN48" s="288"/>
      <c r="BO48" s="288"/>
      <c r="BP48" s="288"/>
      <c r="BQ48" s="288"/>
      <c r="BR48" s="288"/>
      <c r="BS48" s="288"/>
      <c r="BT48" s="288"/>
      <c r="BU48" s="288"/>
      <c r="BV48" s="288"/>
      <c r="BW48" s="10"/>
      <c r="BX48" s="11"/>
    </row>
    <row r="49" spans="1:76" s="8" customFormat="1">
      <c r="A49" s="9"/>
      <c r="B49" s="32" t="s">
        <v>767</v>
      </c>
      <c r="C49" s="42"/>
      <c r="D49" s="42"/>
      <c r="E49" s="42"/>
      <c r="F49" s="42"/>
      <c r="G49" s="42"/>
      <c r="H49" s="42"/>
      <c r="I49" s="10"/>
      <c r="J49" s="42" t="s">
        <v>768</v>
      </c>
      <c r="K49" s="42"/>
      <c r="L49" s="42"/>
      <c r="M49" s="42"/>
      <c r="N49" s="42"/>
      <c r="O49" s="42"/>
      <c r="P49" s="42"/>
      <c r="Q49" s="10"/>
      <c r="R49" s="38">
        <v>2</v>
      </c>
      <c r="S49" s="36" t="s">
        <v>769</v>
      </c>
      <c r="T49" s="37"/>
      <c r="U49" s="37"/>
      <c r="V49" s="37"/>
      <c r="W49" s="37"/>
      <c r="X49" s="37"/>
      <c r="Y49" s="37"/>
      <c r="Z49" s="37"/>
      <c r="AA49" s="37"/>
      <c r="AB49" s="37"/>
      <c r="AC49" s="37"/>
      <c r="AD49" s="37"/>
      <c r="AE49" s="38"/>
      <c r="AF49" s="284"/>
      <c r="AG49" s="286"/>
      <c r="AH49" s="45"/>
      <c r="AI49" s="46"/>
      <c r="AJ49" s="284"/>
      <c r="AK49" s="286"/>
      <c r="AL49" s="284" t="s">
        <v>492</v>
      </c>
      <c r="AM49" s="286"/>
      <c r="AN49" s="284"/>
      <c r="AO49" s="286"/>
      <c r="AP49" s="284"/>
      <c r="AQ49" s="286"/>
      <c r="AR49" s="284"/>
      <c r="AS49" s="286"/>
      <c r="AT49" s="284"/>
      <c r="AU49" s="286"/>
      <c r="AV49" s="284"/>
      <c r="AW49" s="286"/>
      <c r="AX49" s="284" t="s">
        <v>131</v>
      </c>
      <c r="AY49" s="285"/>
      <c r="AZ49" s="285"/>
      <c r="BA49" s="285"/>
      <c r="BB49" s="285"/>
      <c r="BC49" s="285"/>
      <c r="BD49" s="285"/>
      <c r="BE49" s="286"/>
      <c r="BF49" s="284" t="s">
        <v>770</v>
      </c>
      <c r="BG49" s="285"/>
      <c r="BH49" s="285"/>
      <c r="BI49" s="285"/>
      <c r="BJ49" s="285"/>
      <c r="BK49" s="285"/>
      <c r="BL49" s="285"/>
      <c r="BM49" s="286"/>
      <c r="BN49" s="288"/>
      <c r="BO49" s="288"/>
      <c r="BP49" s="288"/>
      <c r="BQ49" s="288"/>
      <c r="BR49" s="288"/>
      <c r="BS49" s="288"/>
      <c r="BT49" s="288"/>
      <c r="BU49" s="288"/>
      <c r="BV49" s="288"/>
      <c r="BW49" s="10"/>
      <c r="BX49" s="11"/>
    </row>
    <row r="50" spans="1:76" s="8" customFormat="1">
      <c r="A50" s="9"/>
      <c r="B50" s="32"/>
      <c r="C50" s="42"/>
      <c r="D50" s="42"/>
      <c r="E50" s="42"/>
      <c r="F50" s="42"/>
      <c r="G50" s="42"/>
      <c r="H50" s="42"/>
      <c r="I50" s="10"/>
      <c r="J50" s="42"/>
      <c r="K50" s="42"/>
      <c r="L50" s="42"/>
      <c r="M50" s="42"/>
      <c r="N50" s="42"/>
      <c r="O50" s="42"/>
      <c r="P50" s="42"/>
      <c r="Q50" s="10"/>
      <c r="R50" s="38">
        <v>3</v>
      </c>
      <c r="S50" s="36" t="s">
        <v>771</v>
      </c>
      <c r="T50" s="37"/>
      <c r="U50" s="37"/>
      <c r="V50" s="37"/>
      <c r="W50" s="37"/>
      <c r="X50" s="37"/>
      <c r="Y50" s="37"/>
      <c r="Z50" s="37"/>
      <c r="AA50" s="37"/>
      <c r="AB50" s="37"/>
      <c r="AC50" s="37"/>
      <c r="AD50" s="37"/>
      <c r="AE50" s="38"/>
      <c r="AF50" s="284"/>
      <c r="AG50" s="286"/>
      <c r="AH50" s="45"/>
      <c r="AI50" s="46"/>
      <c r="AJ50" s="284"/>
      <c r="AK50" s="286"/>
      <c r="AL50" s="284" t="s">
        <v>492</v>
      </c>
      <c r="AM50" s="286"/>
      <c r="AN50" s="284"/>
      <c r="AO50" s="286"/>
      <c r="AP50" s="284"/>
      <c r="AQ50" s="286"/>
      <c r="AR50" s="284"/>
      <c r="AS50" s="286"/>
      <c r="AT50" s="284"/>
      <c r="AU50" s="286"/>
      <c r="AV50" s="284"/>
      <c r="AW50" s="286"/>
      <c r="AX50" s="284" t="s">
        <v>131</v>
      </c>
      <c r="AY50" s="285"/>
      <c r="AZ50" s="285"/>
      <c r="BA50" s="285"/>
      <c r="BB50" s="285"/>
      <c r="BC50" s="285"/>
      <c r="BD50" s="285"/>
      <c r="BE50" s="286"/>
      <c r="BF50" s="284" t="s">
        <v>770</v>
      </c>
      <c r="BG50" s="285"/>
      <c r="BH50" s="285"/>
      <c r="BI50" s="285"/>
      <c r="BJ50" s="285"/>
      <c r="BK50" s="285"/>
      <c r="BL50" s="285"/>
      <c r="BM50" s="286"/>
      <c r="BN50" s="288" t="s">
        <v>772</v>
      </c>
      <c r="BO50" s="288"/>
      <c r="BP50" s="288"/>
      <c r="BQ50" s="288"/>
      <c r="BR50" s="288"/>
      <c r="BS50" s="288"/>
      <c r="BT50" s="288"/>
      <c r="BU50" s="288"/>
      <c r="BV50" s="288"/>
      <c r="BW50" s="10"/>
      <c r="BX50" s="11"/>
    </row>
    <row r="51" spans="1:76" s="8" customFormat="1">
      <c r="A51" s="9"/>
      <c r="B51" s="32"/>
      <c r="C51" s="42"/>
      <c r="D51" s="42"/>
      <c r="E51" s="42"/>
      <c r="F51" s="42"/>
      <c r="G51" s="42"/>
      <c r="H51" s="42"/>
      <c r="I51" s="42"/>
      <c r="J51" s="32"/>
      <c r="K51" s="42"/>
      <c r="L51" s="42"/>
      <c r="M51" s="42"/>
      <c r="N51" s="42"/>
      <c r="O51" s="42"/>
      <c r="P51" s="42"/>
      <c r="Q51" s="10"/>
      <c r="R51" s="38">
        <v>4</v>
      </c>
      <c r="S51" s="36" t="s">
        <v>773</v>
      </c>
      <c r="T51" s="37"/>
      <c r="U51" s="37"/>
      <c r="V51" s="37"/>
      <c r="W51" s="37"/>
      <c r="X51" s="37"/>
      <c r="Y51" s="37"/>
      <c r="Z51" s="37"/>
      <c r="AA51" s="37"/>
      <c r="AB51" s="37"/>
      <c r="AC51" s="37"/>
      <c r="AD51" s="37"/>
      <c r="AE51" s="38"/>
      <c r="AF51" s="284"/>
      <c r="AG51" s="286"/>
      <c r="AH51" s="45"/>
      <c r="AI51" s="46"/>
      <c r="AJ51" s="284"/>
      <c r="AK51" s="286"/>
      <c r="AL51" s="284" t="s">
        <v>492</v>
      </c>
      <c r="AM51" s="286"/>
      <c r="AN51" s="284"/>
      <c r="AO51" s="286"/>
      <c r="AP51" s="284"/>
      <c r="AQ51" s="286"/>
      <c r="AR51" s="284"/>
      <c r="AS51" s="286"/>
      <c r="AT51" s="284"/>
      <c r="AU51" s="286"/>
      <c r="AV51" s="284"/>
      <c r="AW51" s="286"/>
      <c r="AX51" s="284" t="s">
        <v>774</v>
      </c>
      <c r="AY51" s="285"/>
      <c r="AZ51" s="285"/>
      <c r="BA51" s="285"/>
      <c r="BB51" s="285"/>
      <c r="BC51" s="285"/>
      <c r="BD51" s="285"/>
      <c r="BE51" s="286"/>
      <c r="BF51" s="287" t="s">
        <v>143</v>
      </c>
      <c r="BG51" s="287"/>
      <c r="BH51" s="287"/>
      <c r="BI51" s="287"/>
      <c r="BJ51" s="287"/>
      <c r="BK51" s="287"/>
      <c r="BL51" s="287"/>
      <c r="BM51" s="284"/>
      <c r="BN51" s="288"/>
      <c r="BO51" s="288"/>
      <c r="BP51" s="288"/>
      <c r="BQ51" s="288"/>
      <c r="BR51" s="288"/>
      <c r="BS51" s="288"/>
      <c r="BT51" s="288"/>
      <c r="BU51" s="288"/>
      <c r="BV51" s="288"/>
      <c r="BW51" s="10"/>
      <c r="BX51" s="11"/>
    </row>
    <row r="52" spans="1:76" s="8" customFormat="1">
      <c r="A52" s="9"/>
      <c r="B52" s="32"/>
      <c r="C52" s="42"/>
      <c r="D52" s="42"/>
      <c r="E52" s="42"/>
      <c r="F52" s="42"/>
      <c r="G52" s="42"/>
      <c r="H52" s="42"/>
      <c r="I52" s="42"/>
      <c r="J52" s="32"/>
      <c r="K52" s="42"/>
      <c r="L52" s="42"/>
      <c r="M52" s="42"/>
      <c r="N52" s="42"/>
      <c r="O52" s="42"/>
      <c r="P52" s="42"/>
      <c r="Q52" s="10"/>
      <c r="R52" s="38">
        <v>5</v>
      </c>
      <c r="S52" s="36" t="s">
        <v>775</v>
      </c>
      <c r="T52" s="37"/>
      <c r="U52" s="37"/>
      <c r="V52" s="37"/>
      <c r="W52" s="37"/>
      <c r="X52" s="37"/>
      <c r="Y52" s="37"/>
      <c r="Z52" s="37"/>
      <c r="AA52" s="37"/>
      <c r="AB52" s="37"/>
      <c r="AC52" s="37"/>
      <c r="AD52" s="37"/>
      <c r="AE52" s="38"/>
      <c r="AF52" s="284"/>
      <c r="AG52" s="286"/>
      <c r="AH52" s="284"/>
      <c r="AI52" s="286"/>
      <c r="AJ52" s="284"/>
      <c r="AK52" s="286"/>
      <c r="AL52" s="284" t="s">
        <v>492</v>
      </c>
      <c r="AM52" s="286"/>
      <c r="AN52" s="284"/>
      <c r="AO52" s="286"/>
      <c r="AP52" s="284"/>
      <c r="AQ52" s="286"/>
      <c r="AR52" s="284"/>
      <c r="AS52" s="286"/>
      <c r="AT52" s="284"/>
      <c r="AU52" s="286"/>
      <c r="AV52" s="284"/>
      <c r="AW52" s="286"/>
      <c r="AX52" s="284" t="s">
        <v>131</v>
      </c>
      <c r="AY52" s="285"/>
      <c r="AZ52" s="285"/>
      <c r="BA52" s="285"/>
      <c r="BB52" s="285"/>
      <c r="BC52" s="285"/>
      <c r="BD52" s="285"/>
      <c r="BE52" s="286"/>
      <c r="BF52" s="287" t="s">
        <v>743</v>
      </c>
      <c r="BG52" s="287"/>
      <c r="BH52" s="287"/>
      <c r="BI52" s="287"/>
      <c r="BJ52" s="287"/>
      <c r="BK52" s="287"/>
      <c r="BL52" s="287"/>
      <c r="BM52" s="287"/>
      <c r="BN52" s="288"/>
      <c r="BO52" s="288"/>
      <c r="BP52" s="288"/>
      <c r="BQ52" s="288"/>
      <c r="BR52" s="288"/>
      <c r="BS52" s="288"/>
      <c r="BT52" s="288"/>
      <c r="BU52" s="288"/>
      <c r="BV52" s="288"/>
      <c r="BW52" s="10"/>
      <c r="BX52" s="11"/>
    </row>
    <row r="53" spans="1:76" s="8" customFormat="1">
      <c r="A53" s="9"/>
      <c r="B53" s="32"/>
      <c r="C53" s="42"/>
      <c r="D53" s="42"/>
      <c r="E53" s="42"/>
      <c r="F53" s="42"/>
      <c r="G53" s="42"/>
      <c r="H53" s="42"/>
      <c r="I53" s="42"/>
      <c r="J53" s="32"/>
      <c r="K53" s="42"/>
      <c r="L53" s="42"/>
      <c r="M53" s="42"/>
      <c r="N53" s="42"/>
      <c r="O53" s="42"/>
      <c r="P53" s="42"/>
      <c r="Q53" s="10"/>
      <c r="R53" s="38">
        <v>6</v>
      </c>
      <c r="S53" s="36" t="s">
        <v>553</v>
      </c>
      <c r="T53" s="37"/>
      <c r="U53" s="37"/>
      <c r="V53" s="37"/>
      <c r="W53" s="37"/>
      <c r="X53" s="37"/>
      <c r="Y53" s="37"/>
      <c r="Z53" s="37"/>
      <c r="AA53" s="37"/>
      <c r="AB53" s="37"/>
      <c r="AC53" s="37"/>
      <c r="AD53" s="37"/>
      <c r="AE53" s="38"/>
      <c r="AF53" s="284"/>
      <c r="AG53" s="286"/>
      <c r="AH53" s="45"/>
      <c r="AI53" s="46"/>
      <c r="AJ53" s="284"/>
      <c r="AK53" s="286"/>
      <c r="AL53" s="284" t="s">
        <v>492</v>
      </c>
      <c r="AM53" s="286"/>
      <c r="AN53" s="284"/>
      <c r="AO53" s="286"/>
      <c r="AP53" s="284"/>
      <c r="AQ53" s="286"/>
      <c r="AR53" s="284"/>
      <c r="AS53" s="286"/>
      <c r="AT53" s="284"/>
      <c r="AU53" s="286"/>
      <c r="AV53" s="284"/>
      <c r="AW53" s="286"/>
      <c r="AX53" s="284" t="s">
        <v>528</v>
      </c>
      <c r="AY53" s="285"/>
      <c r="AZ53" s="285"/>
      <c r="BA53" s="285"/>
      <c r="BB53" s="285"/>
      <c r="BC53" s="285"/>
      <c r="BD53" s="285"/>
      <c r="BE53" s="286"/>
      <c r="BF53" s="287" t="s">
        <v>143</v>
      </c>
      <c r="BG53" s="287"/>
      <c r="BH53" s="287"/>
      <c r="BI53" s="287"/>
      <c r="BJ53" s="287"/>
      <c r="BK53" s="287"/>
      <c r="BL53" s="287"/>
      <c r="BM53" s="284"/>
      <c r="BN53" s="288"/>
      <c r="BO53" s="288"/>
      <c r="BP53" s="288"/>
      <c r="BQ53" s="288"/>
      <c r="BR53" s="288"/>
      <c r="BS53" s="288"/>
      <c r="BT53" s="288"/>
      <c r="BU53" s="288"/>
      <c r="BV53" s="288"/>
      <c r="BW53" s="10"/>
      <c r="BX53" s="11"/>
    </row>
    <row r="54" spans="1:76" s="8" customFormat="1">
      <c r="A54" s="9"/>
      <c r="B54" s="32"/>
      <c r="C54" s="42"/>
      <c r="D54" s="42"/>
      <c r="E54" s="42"/>
      <c r="F54" s="42"/>
      <c r="G54" s="42"/>
      <c r="H54" s="42"/>
      <c r="I54" s="10"/>
      <c r="J54" s="42"/>
      <c r="K54" s="42"/>
      <c r="L54" s="42"/>
      <c r="M54" s="42"/>
      <c r="N54" s="42"/>
      <c r="O54" s="42"/>
      <c r="P54" s="42"/>
      <c r="Q54" s="10"/>
      <c r="R54" s="38">
        <v>7</v>
      </c>
      <c r="S54" s="36" t="s">
        <v>776</v>
      </c>
      <c r="T54" s="37"/>
      <c r="U54" s="37"/>
      <c r="V54" s="37"/>
      <c r="W54" s="37"/>
      <c r="X54" s="37"/>
      <c r="Y54" s="37"/>
      <c r="Z54" s="37"/>
      <c r="AA54" s="37"/>
      <c r="AB54" s="37"/>
      <c r="AC54" s="37"/>
      <c r="AD54" s="37"/>
      <c r="AE54" s="38"/>
      <c r="AF54" s="284"/>
      <c r="AG54" s="286"/>
      <c r="AH54" s="45"/>
      <c r="AI54" s="46"/>
      <c r="AJ54" s="284"/>
      <c r="AK54" s="286"/>
      <c r="AL54" s="284" t="s">
        <v>492</v>
      </c>
      <c r="AM54" s="286"/>
      <c r="AN54" s="284"/>
      <c r="AO54" s="286"/>
      <c r="AP54" s="284"/>
      <c r="AQ54" s="286"/>
      <c r="AR54" s="284"/>
      <c r="AS54" s="286"/>
      <c r="AT54" s="284"/>
      <c r="AU54" s="286"/>
      <c r="AV54" s="284"/>
      <c r="AW54" s="286"/>
      <c r="AX54" s="284" t="s">
        <v>528</v>
      </c>
      <c r="AY54" s="285"/>
      <c r="AZ54" s="285"/>
      <c r="BA54" s="285"/>
      <c r="BB54" s="285"/>
      <c r="BC54" s="285"/>
      <c r="BD54" s="285"/>
      <c r="BE54" s="286"/>
      <c r="BF54" s="287" t="s">
        <v>143</v>
      </c>
      <c r="BG54" s="287"/>
      <c r="BH54" s="287"/>
      <c r="BI54" s="287"/>
      <c r="BJ54" s="287"/>
      <c r="BK54" s="287"/>
      <c r="BL54" s="287"/>
      <c r="BM54" s="284"/>
      <c r="BN54" s="288" t="s">
        <v>772</v>
      </c>
      <c r="BO54" s="288"/>
      <c r="BP54" s="288"/>
      <c r="BQ54" s="288"/>
      <c r="BR54" s="288"/>
      <c r="BS54" s="288"/>
      <c r="BT54" s="288"/>
      <c r="BU54" s="288"/>
      <c r="BV54" s="288"/>
      <c r="BW54" s="10"/>
      <c r="BX54" s="11"/>
    </row>
    <row r="55" spans="1:76" s="8" customFormat="1">
      <c r="A55" s="9"/>
      <c r="B55" s="32"/>
      <c r="C55" s="42"/>
      <c r="D55" s="42"/>
      <c r="E55" s="42"/>
      <c r="F55" s="42"/>
      <c r="G55" s="42"/>
      <c r="H55" s="42"/>
      <c r="I55" s="10"/>
      <c r="J55" s="42"/>
      <c r="K55" s="42"/>
      <c r="L55" s="42"/>
      <c r="M55" s="42"/>
      <c r="N55" s="42"/>
      <c r="O55" s="42"/>
      <c r="P55" s="42"/>
      <c r="Q55" s="10"/>
      <c r="R55" s="38">
        <v>8</v>
      </c>
      <c r="S55" s="36" t="s">
        <v>777</v>
      </c>
      <c r="T55" s="37"/>
      <c r="U55" s="37"/>
      <c r="V55" s="37"/>
      <c r="W55" s="37"/>
      <c r="X55" s="37"/>
      <c r="Y55" s="37"/>
      <c r="Z55" s="37"/>
      <c r="AA55" s="37"/>
      <c r="AB55" s="37"/>
      <c r="AC55" s="37"/>
      <c r="AD55" s="37"/>
      <c r="AE55" s="38"/>
      <c r="AF55" s="284"/>
      <c r="AG55" s="286"/>
      <c r="AH55" s="45"/>
      <c r="AI55" s="46"/>
      <c r="AJ55" s="284"/>
      <c r="AK55" s="286"/>
      <c r="AL55" s="284" t="s">
        <v>492</v>
      </c>
      <c r="AM55" s="286"/>
      <c r="AN55" s="284"/>
      <c r="AO55" s="286"/>
      <c r="AP55" s="284"/>
      <c r="AQ55" s="286"/>
      <c r="AR55" s="284"/>
      <c r="AS55" s="286"/>
      <c r="AT55" s="284"/>
      <c r="AU55" s="286"/>
      <c r="AV55" s="284"/>
      <c r="AW55" s="286"/>
      <c r="AX55" s="284" t="s">
        <v>131</v>
      </c>
      <c r="AY55" s="285"/>
      <c r="AZ55" s="285"/>
      <c r="BA55" s="285"/>
      <c r="BB55" s="285"/>
      <c r="BC55" s="285"/>
      <c r="BD55" s="285"/>
      <c r="BE55" s="286"/>
      <c r="BF55" s="284" t="s">
        <v>743</v>
      </c>
      <c r="BG55" s="285"/>
      <c r="BH55" s="285"/>
      <c r="BI55" s="285"/>
      <c r="BJ55" s="285"/>
      <c r="BK55" s="285"/>
      <c r="BL55" s="285"/>
      <c r="BM55" s="286"/>
      <c r="BN55" s="288"/>
      <c r="BO55" s="288"/>
      <c r="BP55" s="288"/>
      <c r="BQ55" s="288"/>
      <c r="BR55" s="288"/>
      <c r="BS55" s="288"/>
      <c r="BT55" s="288"/>
      <c r="BU55" s="288"/>
      <c r="BV55" s="288"/>
      <c r="BW55" s="10"/>
      <c r="BX55" s="11"/>
    </row>
    <row r="56" spans="1:76" s="8" customFormat="1">
      <c r="A56" s="9"/>
      <c r="B56" s="32"/>
      <c r="C56" s="42"/>
      <c r="D56" s="42"/>
      <c r="E56" s="42"/>
      <c r="F56" s="42"/>
      <c r="G56" s="42"/>
      <c r="H56" s="42"/>
      <c r="I56" s="10"/>
      <c r="J56" s="42"/>
      <c r="K56" s="42"/>
      <c r="L56" s="42"/>
      <c r="M56" s="42"/>
      <c r="N56" s="42"/>
      <c r="O56" s="42"/>
      <c r="P56" s="42"/>
      <c r="Q56" s="10"/>
      <c r="R56" s="38">
        <v>9</v>
      </c>
      <c r="S56" s="36" t="s">
        <v>778</v>
      </c>
      <c r="T56" s="37"/>
      <c r="U56" s="37"/>
      <c r="V56" s="37"/>
      <c r="W56" s="37"/>
      <c r="X56" s="37"/>
      <c r="Y56" s="37"/>
      <c r="Z56" s="37"/>
      <c r="AA56" s="37"/>
      <c r="AB56" s="37"/>
      <c r="AC56" s="37"/>
      <c r="AD56" s="37"/>
      <c r="AE56" s="38"/>
      <c r="AF56" s="284"/>
      <c r="AG56" s="286"/>
      <c r="AH56" s="45"/>
      <c r="AI56" s="46"/>
      <c r="AJ56" s="284"/>
      <c r="AK56" s="286"/>
      <c r="AL56" s="284" t="s">
        <v>492</v>
      </c>
      <c r="AM56" s="286"/>
      <c r="AN56" s="284"/>
      <c r="AO56" s="286"/>
      <c r="AP56" s="284"/>
      <c r="AQ56" s="286"/>
      <c r="AR56" s="284"/>
      <c r="AS56" s="286"/>
      <c r="AT56" s="284"/>
      <c r="AU56" s="286"/>
      <c r="AV56" s="284"/>
      <c r="AW56" s="286"/>
      <c r="AX56" s="284" t="s">
        <v>131</v>
      </c>
      <c r="AY56" s="285"/>
      <c r="AZ56" s="285"/>
      <c r="BA56" s="285"/>
      <c r="BB56" s="285"/>
      <c r="BC56" s="285"/>
      <c r="BD56" s="285"/>
      <c r="BE56" s="286"/>
      <c r="BF56" s="284" t="s">
        <v>779</v>
      </c>
      <c r="BG56" s="285"/>
      <c r="BH56" s="285"/>
      <c r="BI56" s="285"/>
      <c r="BJ56" s="285"/>
      <c r="BK56" s="285"/>
      <c r="BL56" s="285"/>
      <c r="BM56" s="286"/>
      <c r="BN56" s="288"/>
      <c r="BO56" s="288"/>
      <c r="BP56" s="288"/>
      <c r="BQ56" s="288"/>
      <c r="BR56" s="288"/>
      <c r="BS56" s="288"/>
      <c r="BT56" s="288"/>
      <c r="BU56" s="288"/>
      <c r="BV56" s="288"/>
      <c r="BW56" s="10"/>
      <c r="BX56" s="11"/>
    </row>
    <row r="57" spans="1:76" s="8" customFormat="1">
      <c r="A57" s="9"/>
      <c r="B57" s="32"/>
      <c r="C57" s="42"/>
      <c r="D57" s="42"/>
      <c r="E57" s="42"/>
      <c r="F57" s="42"/>
      <c r="G57" s="42"/>
      <c r="H57" s="42"/>
      <c r="I57" s="10"/>
      <c r="J57" s="42"/>
      <c r="K57" s="42"/>
      <c r="L57" s="42"/>
      <c r="M57" s="42"/>
      <c r="N57" s="42"/>
      <c r="O57" s="42"/>
      <c r="P57" s="42"/>
      <c r="Q57" s="10"/>
      <c r="R57" s="38">
        <v>10</v>
      </c>
      <c r="S57" s="36" t="s">
        <v>780</v>
      </c>
      <c r="T57" s="37"/>
      <c r="U57" s="37"/>
      <c r="V57" s="37"/>
      <c r="W57" s="37"/>
      <c r="X57" s="37"/>
      <c r="Y57" s="37"/>
      <c r="Z57" s="37"/>
      <c r="AA57" s="37"/>
      <c r="AB57" s="37"/>
      <c r="AC57" s="37"/>
      <c r="AD57" s="37"/>
      <c r="AE57" s="38"/>
      <c r="AF57" s="284"/>
      <c r="AG57" s="286"/>
      <c r="AH57" s="45"/>
      <c r="AI57" s="46"/>
      <c r="AJ57" s="45"/>
      <c r="AK57" s="46"/>
      <c r="AL57" s="284" t="s">
        <v>492</v>
      </c>
      <c r="AM57" s="286"/>
      <c r="AN57" s="284"/>
      <c r="AO57" s="286"/>
      <c r="AP57" s="284"/>
      <c r="AQ57" s="286"/>
      <c r="AR57" s="284"/>
      <c r="AS57" s="286"/>
      <c r="AT57" s="284"/>
      <c r="AU57" s="286"/>
      <c r="AV57" s="284"/>
      <c r="AW57" s="286"/>
      <c r="AX57" s="284" t="s">
        <v>131</v>
      </c>
      <c r="AY57" s="285"/>
      <c r="AZ57" s="285"/>
      <c r="BA57" s="285"/>
      <c r="BB57" s="285"/>
      <c r="BC57" s="285"/>
      <c r="BD57" s="285"/>
      <c r="BE57" s="286"/>
      <c r="BF57" s="360" t="s">
        <v>781</v>
      </c>
      <c r="BG57" s="361"/>
      <c r="BH57" s="361"/>
      <c r="BI57" s="361"/>
      <c r="BJ57" s="361"/>
      <c r="BK57" s="361"/>
      <c r="BL57" s="361"/>
      <c r="BM57" s="362"/>
      <c r="BN57" s="288"/>
      <c r="BO57" s="288"/>
      <c r="BP57" s="288"/>
      <c r="BQ57" s="288"/>
      <c r="BR57" s="288"/>
      <c r="BS57" s="288"/>
      <c r="BT57" s="288"/>
      <c r="BU57" s="288"/>
      <c r="BV57" s="288"/>
      <c r="BW57" s="10"/>
      <c r="BX57" s="11"/>
    </row>
    <row r="58" spans="1:76" s="8" customFormat="1">
      <c r="A58" s="9"/>
      <c r="B58" s="32"/>
      <c r="C58" s="42"/>
      <c r="D58" s="42"/>
      <c r="E58" s="42"/>
      <c r="F58" s="42"/>
      <c r="G58" s="42"/>
      <c r="H58" s="42"/>
      <c r="I58" s="10"/>
      <c r="J58" s="29" t="s">
        <v>782</v>
      </c>
      <c r="K58" s="30"/>
      <c r="L58" s="30"/>
      <c r="M58" s="30"/>
      <c r="N58" s="30"/>
      <c r="O58" s="30"/>
      <c r="P58" s="30"/>
      <c r="Q58" s="31"/>
      <c r="R58" s="38">
        <v>1</v>
      </c>
      <c r="S58" s="36" t="s">
        <v>783</v>
      </c>
      <c r="T58" s="37"/>
      <c r="U58" s="37"/>
      <c r="V58" s="37"/>
      <c r="W58" s="37"/>
      <c r="X58" s="37"/>
      <c r="Y58" s="37"/>
      <c r="Z58" s="37"/>
      <c r="AA58" s="37"/>
      <c r="AB58" s="37"/>
      <c r="AC58" s="37"/>
      <c r="AD58" s="37"/>
      <c r="AE58" s="38"/>
      <c r="AF58" s="284"/>
      <c r="AG58" s="286"/>
      <c r="AH58" s="45"/>
      <c r="AI58" s="46"/>
      <c r="AJ58" s="45"/>
      <c r="AK58" s="46"/>
      <c r="AL58" s="284" t="s">
        <v>492</v>
      </c>
      <c r="AM58" s="286"/>
      <c r="AN58" s="284"/>
      <c r="AO58" s="286"/>
      <c r="AP58" s="284"/>
      <c r="AQ58" s="286"/>
      <c r="AR58" s="284"/>
      <c r="AS58" s="286"/>
      <c r="AT58" s="284"/>
      <c r="AU58" s="286"/>
      <c r="AV58" s="284"/>
      <c r="AW58" s="286"/>
      <c r="AX58" s="284" t="s">
        <v>131</v>
      </c>
      <c r="AY58" s="285"/>
      <c r="AZ58" s="285"/>
      <c r="BA58" s="285"/>
      <c r="BB58" s="285"/>
      <c r="BC58" s="285"/>
      <c r="BD58" s="285"/>
      <c r="BE58" s="286"/>
      <c r="BF58" s="284" t="s">
        <v>132</v>
      </c>
      <c r="BG58" s="285"/>
      <c r="BH58" s="285"/>
      <c r="BI58" s="285"/>
      <c r="BJ58" s="285"/>
      <c r="BK58" s="285"/>
      <c r="BL58" s="285"/>
      <c r="BM58" s="286"/>
      <c r="BN58" s="288"/>
      <c r="BO58" s="288"/>
      <c r="BP58" s="288"/>
      <c r="BQ58" s="288"/>
      <c r="BR58" s="288"/>
      <c r="BS58" s="288"/>
      <c r="BT58" s="288"/>
      <c r="BU58" s="288"/>
      <c r="BV58" s="288"/>
      <c r="BW58" s="10"/>
      <c r="BX58" s="11"/>
    </row>
    <row r="59" spans="1:76" s="8" customFormat="1">
      <c r="A59" s="9"/>
      <c r="B59" s="32"/>
      <c r="C59" s="42"/>
      <c r="D59" s="42"/>
      <c r="E59" s="42"/>
      <c r="F59" s="42"/>
      <c r="G59" s="42"/>
      <c r="H59" s="42"/>
      <c r="I59" s="10"/>
      <c r="J59" s="42"/>
      <c r="K59" s="42"/>
      <c r="L59" s="42"/>
      <c r="M59" s="42"/>
      <c r="N59" s="42"/>
      <c r="O59" s="42"/>
      <c r="P59" s="42"/>
      <c r="Q59" s="10"/>
      <c r="R59" s="38">
        <v>2</v>
      </c>
      <c r="S59" s="36" t="s">
        <v>135</v>
      </c>
      <c r="T59" s="37"/>
      <c r="U59" s="37"/>
      <c r="V59" s="37"/>
      <c r="W59" s="37"/>
      <c r="X59" s="37"/>
      <c r="Y59" s="37"/>
      <c r="Z59" s="37"/>
      <c r="AA59" s="37"/>
      <c r="AB59" s="37"/>
      <c r="AC59" s="37"/>
      <c r="AD59" s="37"/>
      <c r="AE59" s="38"/>
      <c r="AF59" s="284"/>
      <c r="AG59" s="286"/>
      <c r="AH59" s="45"/>
      <c r="AI59" s="46"/>
      <c r="AJ59" s="284"/>
      <c r="AK59" s="286"/>
      <c r="AL59" s="284" t="s">
        <v>492</v>
      </c>
      <c r="AM59" s="286"/>
      <c r="AN59" s="284"/>
      <c r="AO59" s="286"/>
      <c r="AP59" s="284"/>
      <c r="AQ59" s="286"/>
      <c r="AR59" s="284"/>
      <c r="AS59" s="286"/>
      <c r="AT59" s="284"/>
      <c r="AU59" s="286"/>
      <c r="AV59" s="284"/>
      <c r="AW59" s="286"/>
      <c r="AX59" s="284" t="s">
        <v>131</v>
      </c>
      <c r="AY59" s="285"/>
      <c r="AZ59" s="285"/>
      <c r="BA59" s="285"/>
      <c r="BB59" s="285"/>
      <c r="BC59" s="285"/>
      <c r="BD59" s="285"/>
      <c r="BE59" s="286"/>
      <c r="BF59" s="284" t="s">
        <v>132</v>
      </c>
      <c r="BG59" s="285"/>
      <c r="BH59" s="285"/>
      <c r="BI59" s="285"/>
      <c r="BJ59" s="285"/>
      <c r="BK59" s="285"/>
      <c r="BL59" s="285"/>
      <c r="BM59" s="286"/>
      <c r="BN59" s="288"/>
      <c r="BO59" s="288"/>
      <c r="BP59" s="288"/>
      <c r="BQ59" s="288"/>
      <c r="BR59" s="288"/>
      <c r="BS59" s="288"/>
      <c r="BT59" s="288"/>
      <c r="BU59" s="288"/>
      <c r="BV59" s="288"/>
      <c r="BW59" s="10"/>
      <c r="BX59" s="11"/>
    </row>
    <row r="60" spans="1:76" s="8" customFormat="1">
      <c r="A60" s="9"/>
      <c r="B60" s="32"/>
      <c r="C60" s="42"/>
      <c r="D60" s="42"/>
      <c r="E60" s="42"/>
      <c r="F60" s="42"/>
      <c r="G60" s="42"/>
      <c r="H60" s="42"/>
      <c r="I60" s="10"/>
      <c r="J60" s="42"/>
      <c r="K60" s="42"/>
      <c r="L60" s="42"/>
      <c r="M60" s="42"/>
      <c r="N60" s="42"/>
      <c r="O60" s="42"/>
      <c r="P60" s="42"/>
      <c r="Q60" s="10"/>
      <c r="R60" s="38">
        <v>3</v>
      </c>
      <c r="S60" s="36" t="s">
        <v>138</v>
      </c>
      <c r="T60" s="37"/>
      <c r="U60" s="37"/>
      <c r="V60" s="37"/>
      <c r="W60" s="37"/>
      <c r="X60" s="37"/>
      <c r="Y60" s="37"/>
      <c r="Z60" s="37"/>
      <c r="AA60" s="37"/>
      <c r="AB60" s="37"/>
      <c r="AC60" s="37"/>
      <c r="AD60" s="37"/>
      <c r="AE60" s="38"/>
      <c r="AF60" s="284"/>
      <c r="AG60" s="286"/>
      <c r="AH60" s="45"/>
      <c r="AI60" s="46"/>
      <c r="AJ60" s="284"/>
      <c r="AK60" s="286"/>
      <c r="AL60" s="284"/>
      <c r="AM60" s="286"/>
      <c r="AN60" s="284"/>
      <c r="AO60" s="286"/>
      <c r="AP60" s="284"/>
      <c r="AQ60" s="286"/>
      <c r="AR60" s="284"/>
      <c r="AS60" s="286"/>
      <c r="AT60" s="284"/>
      <c r="AU60" s="286"/>
      <c r="AV60" s="284" t="s">
        <v>492</v>
      </c>
      <c r="AW60" s="286"/>
      <c r="AX60" s="284" t="s">
        <v>131</v>
      </c>
      <c r="AY60" s="285"/>
      <c r="AZ60" s="285"/>
      <c r="BA60" s="285"/>
      <c r="BB60" s="285"/>
      <c r="BC60" s="285"/>
      <c r="BD60" s="285"/>
      <c r="BE60" s="286"/>
      <c r="BF60" s="284" t="s">
        <v>138</v>
      </c>
      <c r="BG60" s="285"/>
      <c r="BH60" s="285"/>
      <c r="BI60" s="285"/>
      <c r="BJ60" s="285"/>
      <c r="BK60" s="285"/>
      <c r="BL60" s="285"/>
      <c r="BM60" s="286"/>
      <c r="BN60" s="288"/>
      <c r="BO60" s="288"/>
      <c r="BP60" s="288"/>
      <c r="BQ60" s="288"/>
      <c r="BR60" s="288"/>
      <c r="BS60" s="288"/>
      <c r="BT60" s="288"/>
      <c r="BU60" s="288"/>
      <c r="BV60" s="288"/>
      <c r="BW60" s="10"/>
      <c r="BX60" s="11"/>
    </row>
    <row r="61" spans="1:76" s="8" customFormat="1">
      <c r="A61" s="9"/>
      <c r="B61" s="29" t="s">
        <v>784</v>
      </c>
      <c r="C61" s="30"/>
      <c r="D61" s="30"/>
      <c r="E61" s="30"/>
      <c r="F61" s="30"/>
      <c r="G61" s="30"/>
      <c r="H61" s="30"/>
      <c r="I61" s="31"/>
      <c r="J61" s="29" t="s">
        <v>785</v>
      </c>
      <c r="K61" s="30"/>
      <c r="L61" s="30"/>
      <c r="M61" s="30"/>
      <c r="N61" s="30"/>
      <c r="O61" s="30"/>
      <c r="P61" s="30"/>
      <c r="Q61" s="31"/>
      <c r="R61" s="38">
        <v>1</v>
      </c>
      <c r="S61" s="36" t="s">
        <v>765</v>
      </c>
      <c r="T61" s="37"/>
      <c r="U61" s="37"/>
      <c r="V61" s="37"/>
      <c r="W61" s="37"/>
      <c r="X61" s="37"/>
      <c r="Y61" s="37"/>
      <c r="Z61" s="37"/>
      <c r="AA61" s="37"/>
      <c r="AB61" s="37"/>
      <c r="AC61" s="37"/>
      <c r="AD61" s="37"/>
      <c r="AE61" s="38"/>
      <c r="AF61" s="284"/>
      <c r="AG61" s="286"/>
      <c r="AH61" s="284"/>
      <c r="AI61" s="286"/>
      <c r="AJ61" s="284"/>
      <c r="AK61" s="286"/>
      <c r="AL61" s="284" t="s">
        <v>492</v>
      </c>
      <c r="AM61" s="286"/>
      <c r="AN61" s="284"/>
      <c r="AO61" s="286"/>
      <c r="AP61" s="284"/>
      <c r="AQ61" s="286"/>
      <c r="AR61" s="284"/>
      <c r="AS61" s="286"/>
      <c r="AT61" s="284"/>
      <c r="AU61" s="286"/>
      <c r="AV61" s="284"/>
      <c r="AW61" s="286"/>
      <c r="AX61" s="284" t="s">
        <v>131</v>
      </c>
      <c r="AY61" s="285"/>
      <c r="AZ61" s="285"/>
      <c r="BA61" s="285"/>
      <c r="BB61" s="285"/>
      <c r="BC61" s="285"/>
      <c r="BD61" s="285"/>
      <c r="BE61" s="286"/>
      <c r="BF61" s="287" t="s">
        <v>786</v>
      </c>
      <c r="BG61" s="287"/>
      <c r="BH61" s="287"/>
      <c r="BI61" s="287"/>
      <c r="BJ61" s="287"/>
      <c r="BK61" s="287"/>
      <c r="BL61" s="287"/>
      <c r="BM61" s="287"/>
      <c r="BN61" s="288"/>
      <c r="BO61" s="288"/>
      <c r="BP61" s="288"/>
      <c r="BQ61" s="288"/>
      <c r="BR61" s="288"/>
      <c r="BS61" s="288"/>
      <c r="BT61" s="288"/>
      <c r="BU61" s="288"/>
      <c r="BV61" s="288"/>
      <c r="BW61" s="10"/>
      <c r="BX61" s="11"/>
    </row>
    <row r="62" spans="1:76" s="8" customFormat="1">
      <c r="A62" s="9"/>
      <c r="B62" s="32"/>
      <c r="C62" s="42"/>
      <c r="D62" s="42"/>
      <c r="E62" s="42"/>
      <c r="F62" s="42"/>
      <c r="G62" s="42"/>
      <c r="H62" s="42"/>
      <c r="I62" s="10"/>
      <c r="J62" s="32"/>
      <c r="K62" s="42"/>
      <c r="L62" s="42"/>
      <c r="M62" s="42"/>
      <c r="N62" s="42"/>
      <c r="O62" s="42"/>
      <c r="P62" s="42"/>
      <c r="Q62" s="10"/>
      <c r="R62" s="38">
        <v>2</v>
      </c>
      <c r="S62" s="36" t="s">
        <v>787</v>
      </c>
      <c r="T62" s="37"/>
      <c r="U62" s="37"/>
      <c r="V62" s="37"/>
      <c r="W62" s="37"/>
      <c r="X62" s="37"/>
      <c r="Y62" s="37"/>
      <c r="Z62" s="37"/>
      <c r="AA62" s="37"/>
      <c r="AB62" s="37"/>
      <c r="AC62" s="37"/>
      <c r="AD62" s="37"/>
      <c r="AE62" s="38"/>
      <c r="AF62" s="284"/>
      <c r="AG62" s="286"/>
      <c r="AH62" s="45"/>
      <c r="AI62" s="46"/>
      <c r="AJ62" s="284"/>
      <c r="AK62" s="286"/>
      <c r="AL62" s="284" t="s">
        <v>492</v>
      </c>
      <c r="AM62" s="286"/>
      <c r="AN62" s="284"/>
      <c r="AO62" s="286"/>
      <c r="AP62" s="284"/>
      <c r="AQ62" s="286"/>
      <c r="AR62" s="284"/>
      <c r="AS62" s="286"/>
      <c r="AT62" s="284"/>
      <c r="AU62" s="286"/>
      <c r="AV62" s="284"/>
      <c r="AW62" s="286"/>
      <c r="AX62" s="284" t="s">
        <v>131</v>
      </c>
      <c r="AY62" s="285"/>
      <c r="AZ62" s="285"/>
      <c r="BA62" s="285"/>
      <c r="BB62" s="285"/>
      <c r="BC62" s="285"/>
      <c r="BD62" s="285"/>
      <c r="BE62" s="286"/>
      <c r="BF62" s="287" t="s">
        <v>788</v>
      </c>
      <c r="BG62" s="287"/>
      <c r="BH62" s="287"/>
      <c r="BI62" s="287"/>
      <c r="BJ62" s="287"/>
      <c r="BK62" s="287"/>
      <c r="BL62" s="287"/>
      <c r="BM62" s="287"/>
      <c r="BN62" s="288"/>
      <c r="BO62" s="288"/>
      <c r="BP62" s="288"/>
      <c r="BQ62" s="288"/>
      <c r="BR62" s="288"/>
      <c r="BS62" s="288"/>
      <c r="BT62" s="288"/>
      <c r="BU62" s="288"/>
      <c r="BV62" s="288"/>
      <c r="BW62" s="10"/>
      <c r="BX62" s="11"/>
    </row>
    <row r="63" spans="1:76" s="8" customFormat="1">
      <c r="A63" s="9"/>
      <c r="B63" s="33"/>
      <c r="C63" s="42"/>
      <c r="D63" s="42"/>
      <c r="E63" s="42"/>
      <c r="F63" s="42"/>
      <c r="G63" s="42"/>
      <c r="H63" s="42"/>
      <c r="I63" s="10"/>
      <c r="J63" s="32"/>
      <c r="K63" s="42"/>
      <c r="L63" s="42"/>
      <c r="M63" s="42"/>
      <c r="N63" s="42"/>
      <c r="O63" s="42"/>
      <c r="P63" s="42"/>
      <c r="Q63" s="10"/>
      <c r="R63" s="38">
        <v>3</v>
      </c>
      <c r="S63" s="36" t="s">
        <v>789</v>
      </c>
      <c r="T63" s="37"/>
      <c r="U63" s="37"/>
      <c r="V63" s="37"/>
      <c r="W63" s="37"/>
      <c r="X63" s="37"/>
      <c r="Y63" s="37"/>
      <c r="Z63" s="37"/>
      <c r="AA63" s="37"/>
      <c r="AB63" s="37"/>
      <c r="AC63" s="37"/>
      <c r="AD63" s="37"/>
      <c r="AE63" s="38"/>
      <c r="AF63" s="284"/>
      <c r="AG63" s="286"/>
      <c r="AH63" s="45"/>
      <c r="AI63" s="46"/>
      <c r="AJ63" s="284"/>
      <c r="AK63" s="286"/>
      <c r="AL63" s="284" t="s">
        <v>492</v>
      </c>
      <c r="AM63" s="286"/>
      <c r="AN63" s="284"/>
      <c r="AO63" s="286"/>
      <c r="AP63" s="284"/>
      <c r="AQ63" s="286"/>
      <c r="AR63" s="284"/>
      <c r="AS63" s="286"/>
      <c r="AT63" s="284"/>
      <c r="AU63" s="286"/>
      <c r="AV63" s="284"/>
      <c r="AW63" s="286"/>
      <c r="AX63" s="284" t="s">
        <v>131</v>
      </c>
      <c r="AY63" s="285"/>
      <c r="AZ63" s="285"/>
      <c r="BA63" s="285"/>
      <c r="BB63" s="285"/>
      <c r="BC63" s="285"/>
      <c r="BD63" s="285"/>
      <c r="BE63" s="286"/>
      <c r="BF63" s="287" t="s">
        <v>788</v>
      </c>
      <c r="BG63" s="287"/>
      <c r="BH63" s="287"/>
      <c r="BI63" s="287"/>
      <c r="BJ63" s="287"/>
      <c r="BK63" s="287"/>
      <c r="BL63" s="287"/>
      <c r="BM63" s="287"/>
      <c r="BN63" s="288" t="s">
        <v>772</v>
      </c>
      <c r="BO63" s="288"/>
      <c r="BP63" s="288"/>
      <c r="BQ63" s="288"/>
      <c r="BR63" s="288"/>
      <c r="BS63" s="288"/>
      <c r="BT63" s="288"/>
      <c r="BU63" s="288"/>
      <c r="BV63" s="288"/>
      <c r="BW63" s="10"/>
    </row>
    <row r="64" spans="1:76" s="8" customFormat="1">
      <c r="A64" s="9"/>
      <c r="B64" s="32"/>
      <c r="C64" s="42"/>
      <c r="D64" s="42"/>
      <c r="E64" s="42"/>
      <c r="F64" s="42"/>
      <c r="G64" s="42"/>
      <c r="H64" s="42"/>
      <c r="I64" s="10"/>
      <c r="J64" s="32"/>
      <c r="K64" s="42"/>
      <c r="L64" s="42"/>
      <c r="M64" s="42"/>
      <c r="N64" s="42"/>
      <c r="O64" s="42"/>
      <c r="P64" s="42"/>
      <c r="Q64" s="10"/>
      <c r="R64" s="38">
        <v>4</v>
      </c>
      <c r="S64" s="36" t="s">
        <v>773</v>
      </c>
      <c r="T64" s="37"/>
      <c r="U64" s="37"/>
      <c r="V64" s="37"/>
      <c r="W64" s="37"/>
      <c r="X64" s="37"/>
      <c r="Y64" s="37"/>
      <c r="Z64" s="37"/>
      <c r="AA64" s="37"/>
      <c r="AB64" s="37"/>
      <c r="AC64" s="37"/>
      <c r="AD64" s="37"/>
      <c r="AE64" s="38"/>
      <c r="AF64" s="284"/>
      <c r="AG64" s="286"/>
      <c r="AH64" s="45"/>
      <c r="AI64" s="46"/>
      <c r="AJ64" s="284"/>
      <c r="AK64" s="286"/>
      <c r="AL64" s="284" t="s">
        <v>492</v>
      </c>
      <c r="AM64" s="286"/>
      <c r="AN64" s="284"/>
      <c r="AO64" s="286"/>
      <c r="AP64" s="284"/>
      <c r="AQ64" s="286"/>
      <c r="AR64" s="284"/>
      <c r="AS64" s="286"/>
      <c r="AT64" s="284"/>
      <c r="AU64" s="286"/>
      <c r="AV64" s="284"/>
      <c r="AW64" s="286"/>
      <c r="AX64" s="284" t="s">
        <v>790</v>
      </c>
      <c r="AY64" s="285"/>
      <c r="AZ64" s="285"/>
      <c r="BA64" s="285"/>
      <c r="BB64" s="285"/>
      <c r="BC64" s="285"/>
      <c r="BD64" s="285"/>
      <c r="BE64" s="286"/>
      <c r="BF64" s="287" t="s">
        <v>143</v>
      </c>
      <c r="BG64" s="287"/>
      <c r="BH64" s="287"/>
      <c r="BI64" s="287"/>
      <c r="BJ64" s="287"/>
      <c r="BK64" s="287"/>
      <c r="BL64" s="287"/>
      <c r="BM64" s="284"/>
      <c r="BN64" s="288"/>
      <c r="BO64" s="288"/>
      <c r="BP64" s="288"/>
      <c r="BQ64" s="288"/>
      <c r="BR64" s="288"/>
      <c r="BS64" s="288"/>
      <c r="BT64" s="288"/>
      <c r="BU64" s="288"/>
      <c r="BV64" s="288"/>
      <c r="BW64" s="10"/>
      <c r="BX64" s="11"/>
    </row>
    <row r="65" spans="1:76" s="8" customFormat="1">
      <c r="A65" s="9"/>
      <c r="B65" s="33"/>
      <c r="C65" s="42"/>
      <c r="D65" s="42"/>
      <c r="E65" s="42"/>
      <c r="F65" s="42"/>
      <c r="G65" s="42"/>
      <c r="H65" s="42"/>
      <c r="I65" s="10"/>
      <c r="J65" s="33"/>
      <c r="K65" s="42"/>
      <c r="L65" s="42"/>
      <c r="M65" s="42"/>
      <c r="N65" s="42"/>
      <c r="O65" s="42"/>
      <c r="P65" s="42"/>
      <c r="Q65" s="10"/>
      <c r="R65" s="38">
        <v>5</v>
      </c>
      <c r="S65" s="36" t="s">
        <v>775</v>
      </c>
      <c r="T65" s="37"/>
      <c r="U65" s="37"/>
      <c r="V65" s="37"/>
      <c r="W65" s="37"/>
      <c r="X65" s="37"/>
      <c r="Y65" s="37"/>
      <c r="Z65" s="37"/>
      <c r="AA65" s="37"/>
      <c r="AB65" s="37"/>
      <c r="AC65" s="37"/>
      <c r="AD65" s="37"/>
      <c r="AE65" s="38"/>
      <c r="AF65" s="284"/>
      <c r="AG65" s="286"/>
      <c r="AH65" s="284"/>
      <c r="AI65" s="286"/>
      <c r="AJ65" s="284"/>
      <c r="AK65" s="286"/>
      <c r="AL65" s="284" t="s">
        <v>492</v>
      </c>
      <c r="AM65" s="286"/>
      <c r="AN65" s="284"/>
      <c r="AO65" s="286"/>
      <c r="AP65" s="284"/>
      <c r="AQ65" s="286"/>
      <c r="AR65" s="284"/>
      <c r="AS65" s="286"/>
      <c r="AT65" s="284"/>
      <c r="AU65" s="286"/>
      <c r="AV65" s="284"/>
      <c r="AW65" s="286"/>
      <c r="AX65" s="284" t="s">
        <v>131</v>
      </c>
      <c r="AY65" s="285"/>
      <c r="AZ65" s="285"/>
      <c r="BA65" s="285"/>
      <c r="BB65" s="285"/>
      <c r="BC65" s="285"/>
      <c r="BD65" s="285"/>
      <c r="BE65" s="286"/>
      <c r="BF65" s="287" t="s">
        <v>791</v>
      </c>
      <c r="BG65" s="287"/>
      <c r="BH65" s="287"/>
      <c r="BI65" s="287"/>
      <c r="BJ65" s="287"/>
      <c r="BK65" s="287"/>
      <c r="BL65" s="287"/>
      <c r="BM65" s="287"/>
      <c r="BN65" s="288"/>
      <c r="BO65" s="288"/>
      <c r="BP65" s="288"/>
      <c r="BQ65" s="288"/>
      <c r="BR65" s="288"/>
      <c r="BS65" s="288"/>
      <c r="BT65" s="288"/>
      <c r="BU65" s="288"/>
      <c r="BV65" s="288"/>
      <c r="BW65" s="10"/>
      <c r="BX65" s="11"/>
    </row>
    <row r="66" spans="1:76" s="8" customFormat="1">
      <c r="A66" s="9"/>
      <c r="B66" s="33"/>
      <c r="C66" s="42"/>
      <c r="D66" s="42"/>
      <c r="E66" s="42"/>
      <c r="F66" s="42"/>
      <c r="G66" s="42"/>
      <c r="H66" s="42"/>
      <c r="I66" s="10"/>
      <c r="J66" s="33"/>
      <c r="K66" s="42"/>
      <c r="L66" s="42"/>
      <c r="M66" s="42"/>
      <c r="N66" s="42"/>
      <c r="O66" s="42"/>
      <c r="P66" s="42"/>
      <c r="Q66" s="10"/>
      <c r="R66" s="38">
        <v>6</v>
      </c>
      <c r="S66" s="36" t="s">
        <v>553</v>
      </c>
      <c r="T66" s="37"/>
      <c r="U66" s="37"/>
      <c r="V66" s="37"/>
      <c r="W66" s="37"/>
      <c r="X66" s="37"/>
      <c r="Y66" s="37"/>
      <c r="Z66" s="37"/>
      <c r="AA66" s="37"/>
      <c r="AB66" s="37"/>
      <c r="AC66" s="37"/>
      <c r="AD66" s="37"/>
      <c r="AE66" s="38"/>
      <c r="AF66" s="284"/>
      <c r="AG66" s="286"/>
      <c r="AH66" s="284"/>
      <c r="AI66" s="286"/>
      <c r="AJ66" s="284"/>
      <c r="AK66" s="286"/>
      <c r="AL66" s="284" t="s">
        <v>492</v>
      </c>
      <c r="AM66" s="286"/>
      <c r="AN66" s="284"/>
      <c r="AO66" s="286"/>
      <c r="AP66" s="284"/>
      <c r="AQ66" s="286"/>
      <c r="AR66" s="284"/>
      <c r="AS66" s="286"/>
      <c r="AT66" s="284"/>
      <c r="AU66" s="286"/>
      <c r="AV66" s="284"/>
      <c r="AW66" s="286"/>
      <c r="AX66" s="284" t="s">
        <v>792</v>
      </c>
      <c r="AY66" s="285"/>
      <c r="AZ66" s="285"/>
      <c r="BA66" s="285"/>
      <c r="BB66" s="285"/>
      <c r="BC66" s="285"/>
      <c r="BD66" s="285"/>
      <c r="BE66" s="286"/>
      <c r="BF66" s="287" t="s">
        <v>143</v>
      </c>
      <c r="BG66" s="287"/>
      <c r="BH66" s="287"/>
      <c r="BI66" s="287"/>
      <c r="BJ66" s="287"/>
      <c r="BK66" s="287"/>
      <c r="BL66" s="287"/>
      <c r="BM66" s="284"/>
      <c r="BN66" s="288" t="s">
        <v>793</v>
      </c>
      <c r="BO66" s="288"/>
      <c r="BP66" s="288"/>
      <c r="BQ66" s="288"/>
      <c r="BR66" s="288"/>
      <c r="BS66" s="288"/>
      <c r="BT66" s="288"/>
      <c r="BU66" s="288"/>
      <c r="BV66" s="288"/>
      <c r="BW66" s="10"/>
    </row>
    <row r="67" spans="1:76" s="8" customFormat="1">
      <c r="A67" s="9"/>
      <c r="B67" s="33"/>
      <c r="C67" s="42"/>
      <c r="D67" s="42"/>
      <c r="E67" s="42"/>
      <c r="F67" s="42"/>
      <c r="G67" s="42"/>
      <c r="H67" s="42"/>
      <c r="I67" s="10"/>
      <c r="J67" s="33"/>
      <c r="K67" s="42"/>
      <c r="L67" s="42"/>
      <c r="M67" s="42"/>
      <c r="N67" s="42"/>
      <c r="O67" s="42"/>
      <c r="P67" s="42"/>
      <c r="Q67" s="10"/>
      <c r="R67" s="38">
        <v>6</v>
      </c>
      <c r="S67" s="36" t="s">
        <v>553</v>
      </c>
      <c r="T67" s="37"/>
      <c r="U67" s="37"/>
      <c r="V67" s="37"/>
      <c r="W67" s="37"/>
      <c r="X67" s="37"/>
      <c r="Y67" s="37"/>
      <c r="Z67" s="37"/>
      <c r="AA67" s="37"/>
      <c r="AB67" s="37"/>
      <c r="AC67" s="37"/>
      <c r="AD67" s="37"/>
      <c r="AE67" s="38"/>
      <c r="AF67" s="284"/>
      <c r="AG67" s="286"/>
      <c r="AH67" s="284"/>
      <c r="AI67" s="286"/>
      <c r="AJ67" s="284"/>
      <c r="AK67" s="286"/>
      <c r="AL67" s="284" t="s">
        <v>492</v>
      </c>
      <c r="AM67" s="286"/>
      <c r="AN67" s="284"/>
      <c r="AO67" s="286"/>
      <c r="AP67" s="284"/>
      <c r="AQ67" s="286"/>
      <c r="AR67" s="284"/>
      <c r="AS67" s="286"/>
      <c r="AT67" s="284"/>
      <c r="AU67" s="286"/>
      <c r="AV67" s="284"/>
      <c r="AW67" s="286"/>
      <c r="AX67" s="284" t="s">
        <v>794</v>
      </c>
      <c r="AY67" s="285"/>
      <c r="AZ67" s="285"/>
      <c r="BA67" s="285"/>
      <c r="BB67" s="285"/>
      <c r="BC67" s="285"/>
      <c r="BD67" s="285"/>
      <c r="BE67" s="286"/>
      <c r="BF67" s="287" t="s">
        <v>143</v>
      </c>
      <c r="BG67" s="287"/>
      <c r="BH67" s="287"/>
      <c r="BI67" s="287"/>
      <c r="BJ67" s="287"/>
      <c r="BK67" s="287"/>
      <c r="BL67" s="287"/>
      <c r="BM67" s="284"/>
      <c r="BN67" s="288" t="s">
        <v>795</v>
      </c>
      <c r="BO67" s="288"/>
      <c r="BP67" s="288"/>
      <c r="BQ67" s="288"/>
      <c r="BR67" s="288"/>
      <c r="BS67" s="288"/>
      <c r="BT67" s="288"/>
      <c r="BU67" s="288"/>
      <c r="BV67" s="288"/>
      <c r="BW67" s="10"/>
    </row>
    <row r="68" spans="1:76" s="8" customFormat="1">
      <c r="A68" s="9"/>
      <c r="B68" s="33"/>
      <c r="C68" s="42"/>
      <c r="D68" s="42"/>
      <c r="E68" s="42"/>
      <c r="F68" s="42"/>
      <c r="G68" s="42"/>
      <c r="H68" s="42"/>
      <c r="I68" s="10"/>
      <c r="J68" s="33"/>
      <c r="K68" s="42"/>
      <c r="L68" s="42"/>
      <c r="M68" s="42"/>
      <c r="N68" s="42"/>
      <c r="O68" s="42"/>
      <c r="P68" s="42"/>
      <c r="Q68" s="10"/>
      <c r="R68" s="38">
        <v>7</v>
      </c>
      <c r="S68" s="36" t="s">
        <v>776</v>
      </c>
      <c r="T68" s="37"/>
      <c r="U68" s="37"/>
      <c r="V68" s="37"/>
      <c r="W68" s="37"/>
      <c r="X68" s="37"/>
      <c r="Y68" s="37"/>
      <c r="Z68" s="37"/>
      <c r="AA68" s="37"/>
      <c r="AB68" s="37"/>
      <c r="AC68" s="37"/>
      <c r="AD68" s="37"/>
      <c r="AE68" s="38"/>
      <c r="AF68" s="284"/>
      <c r="AG68" s="286"/>
      <c r="AH68" s="284"/>
      <c r="AI68" s="286"/>
      <c r="AJ68" s="284"/>
      <c r="AK68" s="286"/>
      <c r="AL68" s="284" t="s">
        <v>492</v>
      </c>
      <c r="AM68" s="286"/>
      <c r="AN68" s="284"/>
      <c r="AO68" s="286"/>
      <c r="AP68" s="284"/>
      <c r="AQ68" s="286"/>
      <c r="AR68" s="284"/>
      <c r="AS68" s="286"/>
      <c r="AT68" s="284"/>
      <c r="AU68" s="286"/>
      <c r="AV68" s="284"/>
      <c r="AW68" s="286"/>
      <c r="AX68" s="284" t="s">
        <v>792</v>
      </c>
      <c r="AY68" s="285"/>
      <c r="AZ68" s="285"/>
      <c r="BA68" s="285"/>
      <c r="BB68" s="285"/>
      <c r="BC68" s="285"/>
      <c r="BD68" s="285"/>
      <c r="BE68" s="286"/>
      <c r="BF68" s="287" t="s">
        <v>143</v>
      </c>
      <c r="BG68" s="287"/>
      <c r="BH68" s="287"/>
      <c r="BI68" s="287"/>
      <c r="BJ68" s="287"/>
      <c r="BK68" s="287"/>
      <c r="BL68" s="287"/>
      <c r="BM68" s="284"/>
      <c r="BN68" s="288" t="s">
        <v>772</v>
      </c>
      <c r="BO68" s="288"/>
      <c r="BP68" s="288"/>
      <c r="BQ68" s="288"/>
      <c r="BR68" s="288"/>
      <c r="BS68" s="288"/>
      <c r="BT68" s="288"/>
      <c r="BU68" s="288"/>
      <c r="BV68" s="288"/>
      <c r="BW68" s="10"/>
      <c r="BX68" s="11"/>
    </row>
    <row r="69" spans="1:76" s="8" customFormat="1">
      <c r="A69" s="9"/>
      <c r="B69" s="33"/>
      <c r="C69" s="42"/>
      <c r="D69" s="42"/>
      <c r="E69" s="42"/>
      <c r="F69" s="42"/>
      <c r="G69" s="42"/>
      <c r="H69" s="42"/>
      <c r="I69" s="10"/>
      <c r="J69" s="33"/>
      <c r="K69" s="42"/>
      <c r="L69" s="42"/>
      <c r="M69" s="42"/>
      <c r="N69" s="42"/>
      <c r="O69" s="42"/>
      <c r="P69" s="42"/>
      <c r="Q69" s="10"/>
      <c r="R69" s="38">
        <v>7</v>
      </c>
      <c r="S69" s="36" t="s">
        <v>776</v>
      </c>
      <c r="T69" s="37"/>
      <c r="U69" s="37"/>
      <c r="V69" s="37"/>
      <c r="W69" s="37"/>
      <c r="X69" s="37"/>
      <c r="Y69" s="37"/>
      <c r="Z69" s="37"/>
      <c r="AA69" s="37"/>
      <c r="AB69" s="37"/>
      <c r="AC69" s="37"/>
      <c r="AD69" s="37"/>
      <c r="AE69" s="38"/>
      <c r="AF69" s="284"/>
      <c r="AG69" s="286"/>
      <c r="AH69" s="284"/>
      <c r="AI69" s="286"/>
      <c r="AJ69" s="284"/>
      <c r="AK69" s="286"/>
      <c r="AL69" s="284" t="s">
        <v>492</v>
      </c>
      <c r="AM69" s="286"/>
      <c r="AN69" s="284"/>
      <c r="AO69" s="286"/>
      <c r="AP69" s="284"/>
      <c r="AQ69" s="286"/>
      <c r="AR69" s="284"/>
      <c r="AS69" s="286"/>
      <c r="AT69" s="284"/>
      <c r="AU69" s="286"/>
      <c r="AV69" s="284"/>
      <c r="AW69" s="286"/>
      <c r="AX69" s="284" t="s">
        <v>794</v>
      </c>
      <c r="AY69" s="285"/>
      <c r="AZ69" s="285"/>
      <c r="BA69" s="285"/>
      <c r="BB69" s="285"/>
      <c r="BC69" s="285"/>
      <c r="BD69" s="285"/>
      <c r="BE69" s="286"/>
      <c r="BF69" s="287" t="s">
        <v>143</v>
      </c>
      <c r="BG69" s="287"/>
      <c r="BH69" s="287"/>
      <c r="BI69" s="287"/>
      <c r="BJ69" s="287"/>
      <c r="BK69" s="287"/>
      <c r="BL69" s="287"/>
      <c r="BM69" s="284"/>
      <c r="BN69" s="288" t="s">
        <v>772</v>
      </c>
      <c r="BO69" s="288"/>
      <c r="BP69" s="288"/>
      <c r="BQ69" s="288"/>
      <c r="BR69" s="288"/>
      <c r="BS69" s="288"/>
      <c r="BT69" s="288"/>
      <c r="BU69" s="288"/>
      <c r="BV69" s="288"/>
      <c r="BW69" s="10"/>
      <c r="BX69" s="11"/>
    </row>
    <row r="70" spans="1:76" s="8" customFormat="1">
      <c r="A70" s="9"/>
      <c r="B70" s="32"/>
      <c r="C70" s="42"/>
      <c r="D70" s="42"/>
      <c r="E70" s="42"/>
      <c r="F70" s="42"/>
      <c r="G70" s="42"/>
      <c r="H70" s="42"/>
      <c r="I70" s="10"/>
      <c r="J70" s="33"/>
      <c r="K70" s="42"/>
      <c r="L70" s="42"/>
      <c r="M70" s="42"/>
      <c r="N70" s="42"/>
      <c r="O70" s="42"/>
      <c r="P70" s="42"/>
      <c r="Q70" s="10"/>
      <c r="R70" s="38">
        <v>8</v>
      </c>
      <c r="S70" s="36" t="s">
        <v>796</v>
      </c>
      <c r="T70" s="37"/>
      <c r="U70" s="37"/>
      <c r="V70" s="37"/>
      <c r="W70" s="37"/>
      <c r="X70" s="37"/>
      <c r="Y70" s="37"/>
      <c r="Z70" s="37"/>
      <c r="AA70" s="37"/>
      <c r="AB70" s="37"/>
      <c r="AC70" s="37"/>
      <c r="AD70" s="37"/>
      <c r="AE70" s="38"/>
      <c r="AF70" s="284"/>
      <c r="AG70" s="286"/>
      <c r="AH70" s="284"/>
      <c r="AI70" s="286"/>
      <c r="AJ70" s="284"/>
      <c r="AK70" s="286"/>
      <c r="AL70" s="284" t="s">
        <v>492</v>
      </c>
      <c r="AM70" s="286"/>
      <c r="AN70" s="284"/>
      <c r="AO70" s="286"/>
      <c r="AP70" s="284"/>
      <c r="AQ70" s="286"/>
      <c r="AR70" s="284"/>
      <c r="AS70" s="286"/>
      <c r="AT70" s="284"/>
      <c r="AU70" s="286"/>
      <c r="AV70" s="284"/>
      <c r="AW70" s="286"/>
      <c r="AX70" s="284" t="s">
        <v>131</v>
      </c>
      <c r="AY70" s="285"/>
      <c r="AZ70" s="285"/>
      <c r="BA70" s="285"/>
      <c r="BB70" s="285"/>
      <c r="BC70" s="285"/>
      <c r="BD70" s="285"/>
      <c r="BE70" s="286"/>
      <c r="BF70" s="284" t="s">
        <v>791</v>
      </c>
      <c r="BG70" s="285"/>
      <c r="BH70" s="285"/>
      <c r="BI70" s="285"/>
      <c r="BJ70" s="285"/>
      <c r="BK70" s="285"/>
      <c r="BL70" s="285"/>
      <c r="BM70" s="286"/>
      <c r="BN70" s="288"/>
      <c r="BO70" s="288"/>
      <c r="BP70" s="288"/>
      <c r="BQ70" s="288"/>
      <c r="BR70" s="288"/>
      <c r="BS70" s="288"/>
      <c r="BT70" s="288"/>
      <c r="BU70" s="288"/>
      <c r="BV70" s="288"/>
      <c r="BW70" s="10"/>
      <c r="BX70" s="11"/>
    </row>
    <row r="71" spans="1:76" s="8" customFormat="1" ht="28.15" customHeight="1">
      <c r="A71" s="9"/>
      <c r="B71" s="32"/>
      <c r="C71" s="42"/>
      <c r="D71" s="42"/>
      <c r="E71" s="42"/>
      <c r="F71" s="42"/>
      <c r="G71" s="42"/>
      <c r="H71" s="42"/>
      <c r="I71" s="10"/>
      <c r="J71" s="33"/>
      <c r="K71" s="42"/>
      <c r="L71" s="42"/>
      <c r="M71" s="42"/>
      <c r="N71" s="42"/>
      <c r="O71" s="42"/>
      <c r="P71" s="42"/>
      <c r="Q71" s="10"/>
      <c r="R71" s="38">
        <v>9</v>
      </c>
      <c r="S71" s="36" t="s">
        <v>797</v>
      </c>
      <c r="T71" s="37"/>
      <c r="U71" s="37"/>
      <c r="V71" s="37"/>
      <c r="W71" s="37"/>
      <c r="X71" s="37"/>
      <c r="Y71" s="37"/>
      <c r="Z71" s="37"/>
      <c r="AA71" s="37"/>
      <c r="AB71" s="37"/>
      <c r="AC71" s="37"/>
      <c r="AD71" s="37"/>
      <c r="AE71" s="38"/>
      <c r="AF71" s="284"/>
      <c r="AG71" s="286"/>
      <c r="AH71" s="284"/>
      <c r="AI71" s="286"/>
      <c r="AJ71" s="284"/>
      <c r="AK71" s="286"/>
      <c r="AL71" s="284" t="s">
        <v>492</v>
      </c>
      <c r="AM71" s="286"/>
      <c r="AN71" s="284"/>
      <c r="AO71" s="286"/>
      <c r="AP71" s="284"/>
      <c r="AQ71" s="286"/>
      <c r="AR71" s="284"/>
      <c r="AS71" s="286"/>
      <c r="AT71" s="284"/>
      <c r="AU71" s="286"/>
      <c r="AV71" s="284"/>
      <c r="AW71" s="286"/>
      <c r="AX71" s="284" t="s">
        <v>131</v>
      </c>
      <c r="AY71" s="285"/>
      <c r="AZ71" s="285"/>
      <c r="BA71" s="285"/>
      <c r="BB71" s="285"/>
      <c r="BC71" s="285"/>
      <c r="BD71" s="285"/>
      <c r="BE71" s="286"/>
      <c r="BF71" s="398" t="s">
        <v>798</v>
      </c>
      <c r="BG71" s="361"/>
      <c r="BH71" s="361"/>
      <c r="BI71" s="361"/>
      <c r="BJ71" s="361"/>
      <c r="BK71" s="361"/>
      <c r="BL71" s="361"/>
      <c r="BM71" s="362"/>
      <c r="BN71" s="288"/>
      <c r="BO71" s="288"/>
      <c r="BP71" s="288"/>
      <c r="BQ71" s="288"/>
      <c r="BR71" s="288"/>
      <c r="BS71" s="288"/>
      <c r="BT71" s="288"/>
      <c r="BU71" s="288"/>
      <c r="BV71" s="288"/>
      <c r="BW71" s="10"/>
      <c r="BX71" s="11"/>
    </row>
    <row r="72" spans="1:76" s="8" customFormat="1">
      <c r="A72" s="9"/>
      <c r="B72" s="32"/>
      <c r="C72" s="42"/>
      <c r="D72" s="42"/>
      <c r="E72" s="42"/>
      <c r="F72" s="42"/>
      <c r="G72" s="42"/>
      <c r="H72" s="42"/>
      <c r="I72" s="10"/>
      <c r="J72" s="47" t="s">
        <v>799</v>
      </c>
      <c r="K72" s="30"/>
      <c r="L72" s="30"/>
      <c r="M72" s="30"/>
      <c r="N72" s="30"/>
      <c r="O72" s="30"/>
      <c r="P72" s="30"/>
      <c r="Q72" s="31"/>
      <c r="R72" s="35">
        <v>1</v>
      </c>
      <c r="S72" s="36" t="s">
        <v>800</v>
      </c>
      <c r="T72" s="37"/>
      <c r="U72" s="37"/>
      <c r="V72" s="37"/>
      <c r="W72" s="37"/>
      <c r="X72" s="37"/>
      <c r="Y72" s="37"/>
      <c r="Z72" s="37"/>
      <c r="AA72" s="37"/>
      <c r="AB72" s="37"/>
      <c r="AC72" s="37"/>
      <c r="AD72" s="37"/>
      <c r="AE72" s="38"/>
      <c r="AF72" s="45"/>
      <c r="AG72" s="46"/>
      <c r="AH72" s="284"/>
      <c r="AI72" s="286"/>
      <c r="AJ72" s="284"/>
      <c r="AK72" s="286"/>
      <c r="AL72" s="284" t="s">
        <v>492</v>
      </c>
      <c r="AM72" s="286"/>
      <c r="AN72" s="284"/>
      <c r="AO72" s="286"/>
      <c r="AP72" s="284"/>
      <c r="AQ72" s="286"/>
      <c r="AR72" s="284"/>
      <c r="AS72" s="286"/>
      <c r="AT72" s="284"/>
      <c r="AU72" s="286"/>
      <c r="AV72" s="284"/>
      <c r="AW72" s="286"/>
      <c r="AX72" s="284" t="s">
        <v>131</v>
      </c>
      <c r="AY72" s="285"/>
      <c r="AZ72" s="285"/>
      <c r="BA72" s="285"/>
      <c r="BB72" s="285"/>
      <c r="BC72" s="285"/>
      <c r="BD72" s="285"/>
      <c r="BE72" s="286"/>
      <c r="BF72" s="284" t="s">
        <v>801</v>
      </c>
      <c r="BG72" s="285"/>
      <c r="BH72" s="285"/>
      <c r="BI72" s="285"/>
      <c r="BJ72" s="285"/>
      <c r="BK72" s="285"/>
      <c r="BL72" s="285"/>
      <c r="BM72" s="286"/>
      <c r="BN72" s="288"/>
      <c r="BO72" s="288"/>
      <c r="BP72" s="288"/>
      <c r="BQ72" s="288"/>
      <c r="BR72" s="288"/>
      <c r="BS72" s="288"/>
      <c r="BT72" s="288"/>
      <c r="BU72" s="288"/>
      <c r="BV72" s="288"/>
      <c r="BW72" s="10"/>
      <c r="BX72" s="11"/>
    </row>
    <row r="73" spans="1:76" s="8" customFormat="1">
      <c r="A73" s="9"/>
      <c r="B73" s="32"/>
      <c r="C73" s="42"/>
      <c r="D73" s="42"/>
      <c r="E73" s="42"/>
      <c r="F73" s="42"/>
      <c r="G73" s="42"/>
      <c r="H73" s="42"/>
      <c r="I73" s="10"/>
      <c r="J73" s="33"/>
      <c r="K73" s="42"/>
      <c r="L73" s="42"/>
      <c r="M73" s="42"/>
      <c r="N73" s="42"/>
      <c r="O73" s="42"/>
      <c r="P73" s="42"/>
      <c r="Q73" s="10"/>
      <c r="R73" s="35">
        <v>2</v>
      </c>
      <c r="S73" s="36" t="s">
        <v>802</v>
      </c>
      <c r="T73" s="37"/>
      <c r="U73" s="37"/>
      <c r="V73" s="37"/>
      <c r="W73" s="37"/>
      <c r="X73" s="37"/>
      <c r="Y73" s="37"/>
      <c r="Z73" s="37"/>
      <c r="AA73" s="37"/>
      <c r="AB73" s="37"/>
      <c r="AC73" s="37"/>
      <c r="AD73" s="37"/>
      <c r="AE73" s="38"/>
      <c r="AF73" s="388"/>
      <c r="AG73" s="389"/>
      <c r="AH73" s="284"/>
      <c r="AI73" s="286"/>
      <c r="AJ73" s="284"/>
      <c r="AK73" s="286"/>
      <c r="AL73" s="284" t="s">
        <v>492</v>
      </c>
      <c r="AM73" s="286"/>
      <c r="AN73" s="284"/>
      <c r="AO73" s="286"/>
      <c r="AP73" s="284"/>
      <c r="AQ73" s="286"/>
      <c r="AR73" s="284"/>
      <c r="AS73" s="286"/>
      <c r="AT73" s="284"/>
      <c r="AU73" s="286"/>
      <c r="AV73" s="284"/>
      <c r="AW73" s="286"/>
      <c r="AX73" s="284" t="s">
        <v>131</v>
      </c>
      <c r="AY73" s="285"/>
      <c r="AZ73" s="285"/>
      <c r="BA73" s="285"/>
      <c r="BB73" s="285"/>
      <c r="BC73" s="285"/>
      <c r="BD73" s="285"/>
      <c r="BE73" s="286"/>
      <c r="BF73" s="284" t="s">
        <v>803</v>
      </c>
      <c r="BG73" s="285"/>
      <c r="BH73" s="285"/>
      <c r="BI73" s="285"/>
      <c r="BJ73" s="285"/>
      <c r="BK73" s="285"/>
      <c r="BL73" s="285"/>
      <c r="BM73" s="286"/>
      <c r="BN73" s="288"/>
      <c r="BO73" s="288"/>
      <c r="BP73" s="288"/>
      <c r="BQ73" s="288"/>
      <c r="BR73" s="288"/>
      <c r="BS73" s="288"/>
      <c r="BT73" s="288"/>
      <c r="BU73" s="288"/>
      <c r="BV73" s="288"/>
      <c r="BW73" s="10"/>
      <c r="BX73" s="11"/>
    </row>
    <row r="74" spans="1:76" s="8" customFormat="1">
      <c r="A74" s="9"/>
      <c r="B74" s="32"/>
      <c r="C74" s="42"/>
      <c r="D74" s="42"/>
      <c r="E74" s="42"/>
      <c r="F74" s="42"/>
      <c r="G74" s="42"/>
      <c r="H74" s="42"/>
      <c r="I74" s="10"/>
      <c r="J74" s="33"/>
      <c r="K74" s="42"/>
      <c r="L74" s="42"/>
      <c r="M74" s="42"/>
      <c r="N74" s="42"/>
      <c r="O74" s="42"/>
      <c r="P74" s="42"/>
      <c r="Q74" s="10"/>
      <c r="R74" s="35">
        <v>3</v>
      </c>
      <c r="S74" s="36" t="s">
        <v>804</v>
      </c>
      <c r="T74" s="37"/>
      <c r="U74" s="37"/>
      <c r="V74" s="37"/>
      <c r="W74" s="37"/>
      <c r="X74" s="37"/>
      <c r="Y74" s="37"/>
      <c r="Z74" s="37"/>
      <c r="AA74" s="37"/>
      <c r="AB74" s="37"/>
      <c r="AC74" s="37"/>
      <c r="AD74" s="37"/>
      <c r="AE74" s="38"/>
      <c r="AF74" s="388"/>
      <c r="AG74" s="389"/>
      <c r="AH74" s="284"/>
      <c r="AI74" s="286"/>
      <c r="AJ74" s="284"/>
      <c r="AK74" s="286"/>
      <c r="AL74" s="284" t="s">
        <v>492</v>
      </c>
      <c r="AM74" s="286"/>
      <c r="AN74" s="284"/>
      <c r="AO74" s="286"/>
      <c r="AP74" s="284"/>
      <c r="AQ74" s="286"/>
      <c r="AR74" s="284"/>
      <c r="AS74" s="286"/>
      <c r="AT74" s="284"/>
      <c r="AU74" s="286"/>
      <c r="AV74" s="284"/>
      <c r="AW74" s="286"/>
      <c r="AX74" s="284" t="s">
        <v>131</v>
      </c>
      <c r="AY74" s="285"/>
      <c r="AZ74" s="285"/>
      <c r="BA74" s="285"/>
      <c r="BB74" s="285"/>
      <c r="BC74" s="285"/>
      <c r="BD74" s="285"/>
      <c r="BE74" s="286"/>
      <c r="BF74" s="284" t="s">
        <v>803</v>
      </c>
      <c r="BG74" s="285"/>
      <c r="BH74" s="285"/>
      <c r="BI74" s="285"/>
      <c r="BJ74" s="285"/>
      <c r="BK74" s="285"/>
      <c r="BL74" s="285"/>
      <c r="BM74" s="286"/>
      <c r="BN74" s="288" t="s">
        <v>772</v>
      </c>
      <c r="BO74" s="288"/>
      <c r="BP74" s="288"/>
      <c r="BQ74" s="288"/>
      <c r="BR74" s="288"/>
      <c r="BS74" s="288"/>
      <c r="BT74" s="288"/>
      <c r="BU74" s="288"/>
      <c r="BV74" s="288"/>
      <c r="BW74" s="10"/>
      <c r="BX74" s="11"/>
    </row>
    <row r="75" spans="1:76" s="8" customFormat="1">
      <c r="A75" s="9"/>
      <c r="B75" s="32"/>
      <c r="C75" s="42"/>
      <c r="D75" s="42"/>
      <c r="E75" s="42"/>
      <c r="F75" s="42"/>
      <c r="G75" s="42"/>
      <c r="H75" s="42"/>
      <c r="I75" s="10"/>
      <c r="J75" s="33"/>
      <c r="K75" s="42"/>
      <c r="L75" s="42"/>
      <c r="M75" s="42"/>
      <c r="N75" s="42"/>
      <c r="O75" s="42"/>
      <c r="P75" s="42"/>
      <c r="Q75" s="10"/>
      <c r="R75" s="35">
        <v>4</v>
      </c>
      <c r="S75" s="36" t="s">
        <v>773</v>
      </c>
      <c r="T75" s="37"/>
      <c r="U75" s="37"/>
      <c r="V75" s="37"/>
      <c r="W75" s="37"/>
      <c r="X75" s="37"/>
      <c r="Y75" s="37"/>
      <c r="Z75" s="37"/>
      <c r="AA75" s="37"/>
      <c r="AB75" s="37"/>
      <c r="AC75" s="37"/>
      <c r="AD75" s="37"/>
      <c r="AE75" s="38"/>
      <c r="AF75" s="388"/>
      <c r="AG75" s="389"/>
      <c r="AH75" s="284"/>
      <c r="AI75" s="286"/>
      <c r="AJ75" s="284"/>
      <c r="AK75" s="286"/>
      <c r="AL75" s="284" t="s">
        <v>492</v>
      </c>
      <c r="AM75" s="286"/>
      <c r="AN75" s="284"/>
      <c r="AO75" s="286"/>
      <c r="AP75" s="284"/>
      <c r="AQ75" s="286"/>
      <c r="AR75" s="284"/>
      <c r="AS75" s="286"/>
      <c r="AT75" s="284"/>
      <c r="AU75" s="286"/>
      <c r="AV75" s="284"/>
      <c r="AW75" s="286"/>
      <c r="AX75" s="284" t="s">
        <v>131</v>
      </c>
      <c r="AY75" s="285"/>
      <c r="AZ75" s="285"/>
      <c r="BA75" s="285"/>
      <c r="BB75" s="285"/>
      <c r="BC75" s="285"/>
      <c r="BD75" s="285"/>
      <c r="BE75" s="286"/>
      <c r="BF75" s="284" t="s">
        <v>805</v>
      </c>
      <c r="BG75" s="285"/>
      <c r="BH75" s="285"/>
      <c r="BI75" s="285"/>
      <c r="BJ75" s="285"/>
      <c r="BK75" s="285"/>
      <c r="BL75" s="285"/>
      <c r="BM75" s="286"/>
      <c r="BN75" s="288"/>
      <c r="BO75" s="288"/>
      <c r="BP75" s="288"/>
      <c r="BQ75" s="288"/>
      <c r="BR75" s="288"/>
      <c r="BS75" s="288"/>
      <c r="BT75" s="288"/>
      <c r="BU75" s="288"/>
      <c r="BV75" s="288"/>
      <c r="BW75" s="10"/>
      <c r="BX75" s="11"/>
    </row>
    <row r="76" spans="1:76" s="8" customFormat="1">
      <c r="A76" s="9"/>
      <c r="B76" s="32"/>
      <c r="C76" s="42"/>
      <c r="D76" s="42"/>
      <c r="E76" s="42"/>
      <c r="F76" s="42"/>
      <c r="G76" s="42"/>
      <c r="H76" s="42"/>
      <c r="I76" s="10"/>
      <c r="J76" s="33"/>
      <c r="K76" s="42"/>
      <c r="L76" s="42"/>
      <c r="M76" s="42"/>
      <c r="N76" s="42"/>
      <c r="O76" s="42"/>
      <c r="P76" s="42"/>
      <c r="Q76" s="10"/>
      <c r="R76" s="35">
        <v>5</v>
      </c>
      <c r="S76" s="36" t="s">
        <v>806</v>
      </c>
      <c r="T76" s="37"/>
      <c r="U76" s="37"/>
      <c r="V76" s="37"/>
      <c r="W76" s="37"/>
      <c r="X76" s="37"/>
      <c r="Y76" s="37"/>
      <c r="Z76" s="37"/>
      <c r="AA76" s="37"/>
      <c r="AB76" s="37"/>
      <c r="AC76" s="37"/>
      <c r="AD76" s="37"/>
      <c r="AE76" s="38"/>
      <c r="AF76" s="388"/>
      <c r="AG76" s="389"/>
      <c r="AH76" s="284"/>
      <c r="AI76" s="286"/>
      <c r="AJ76" s="284"/>
      <c r="AK76" s="286"/>
      <c r="AL76" s="284" t="s">
        <v>492</v>
      </c>
      <c r="AM76" s="286"/>
      <c r="AN76" s="284"/>
      <c r="AO76" s="286"/>
      <c r="AP76" s="284"/>
      <c r="AQ76" s="286"/>
      <c r="AR76" s="284"/>
      <c r="AS76" s="286"/>
      <c r="AT76" s="284"/>
      <c r="AU76" s="286"/>
      <c r="AV76" s="284"/>
      <c r="AW76" s="286"/>
      <c r="AX76" s="284" t="s">
        <v>131</v>
      </c>
      <c r="AY76" s="285"/>
      <c r="AZ76" s="285"/>
      <c r="BA76" s="285"/>
      <c r="BB76" s="285"/>
      <c r="BC76" s="285"/>
      <c r="BD76" s="285"/>
      <c r="BE76" s="286"/>
      <c r="BF76" s="284" t="s">
        <v>805</v>
      </c>
      <c r="BG76" s="285"/>
      <c r="BH76" s="285"/>
      <c r="BI76" s="285"/>
      <c r="BJ76" s="285"/>
      <c r="BK76" s="285"/>
      <c r="BL76" s="285"/>
      <c r="BM76" s="286"/>
      <c r="BN76" s="288"/>
      <c r="BO76" s="288"/>
      <c r="BP76" s="288"/>
      <c r="BQ76" s="288"/>
      <c r="BR76" s="288"/>
      <c r="BS76" s="288"/>
      <c r="BT76" s="288"/>
      <c r="BU76" s="288"/>
      <c r="BV76" s="288"/>
      <c r="BW76" s="10"/>
      <c r="BX76" s="11"/>
    </row>
    <row r="77" spans="1:76" s="8" customFormat="1" ht="28.15" customHeight="1">
      <c r="A77" s="9"/>
      <c r="B77" s="32"/>
      <c r="C77" s="42"/>
      <c r="D77" s="42"/>
      <c r="E77" s="42"/>
      <c r="F77" s="42"/>
      <c r="G77" s="42"/>
      <c r="H77" s="42"/>
      <c r="I77" s="10"/>
      <c r="J77" s="33"/>
      <c r="K77" s="42"/>
      <c r="L77" s="42"/>
      <c r="M77" s="42"/>
      <c r="N77" s="42"/>
      <c r="O77" s="42"/>
      <c r="P77" s="42"/>
      <c r="Q77" s="10"/>
      <c r="R77" s="35">
        <v>6</v>
      </c>
      <c r="S77" s="36" t="s">
        <v>807</v>
      </c>
      <c r="T77" s="37"/>
      <c r="U77" s="37"/>
      <c r="V77" s="37"/>
      <c r="W77" s="37"/>
      <c r="X77" s="37"/>
      <c r="Y77" s="37"/>
      <c r="Z77" s="37"/>
      <c r="AA77" s="37"/>
      <c r="AB77" s="37"/>
      <c r="AC77" s="37"/>
      <c r="AD77" s="37"/>
      <c r="AE77" s="38"/>
      <c r="AF77" s="388"/>
      <c r="AG77" s="389"/>
      <c r="AH77" s="284"/>
      <c r="AI77" s="286"/>
      <c r="AJ77" s="284"/>
      <c r="AK77" s="286"/>
      <c r="AL77" s="284" t="s">
        <v>492</v>
      </c>
      <c r="AM77" s="286"/>
      <c r="AN77" s="284"/>
      <c r="AO77" s="286"/>
      <c r="AP77" s="284"/>
      <c r="AQ77" s="286"/>
      <c r="AR77" s="284"/>
      <c r="AS77" s="286"/>
      <c r="AT77" s="284"/>
      <c r="AU77" s="286"/>
      <c r="AV77" s="284"/>
      <c r="AW77" s="286"/>
      <c r="AX77" s="284" t="s">
        <v>131</v>
      </c>
      <c r="AY77" s="285"/>
      <c r="AZ77" s="285"/>
      <c r="BA77" s="285"/>
      <c r="BB77" s="285"/>
      <c r="BC77" s="285"/>
      <c r="BD77" s="285"/>
      <c r="BE77" s="286"/>
      <c r="BF77" s="398" t="s">
        <v>798</v>
      </c>
      <c r="BG77" s="361"/>
      <c r="BH77" s="361"/>
      <c r="BI77" s="361"/>
      <c r="BJ77" s="361"/>
      <c r="BK77" s="361"/>
      <c r="BL77" s="361"/>
      <c r="BM77" s="362"/>
      <c r="BN77" s="288"/>
      <c r="BO77" s="288"/>
      <c r="BP77" s="288"/>
      <c r="BQ77" s="288"/>
      <c r="BR77" s="288"/>
      <c r="BS77" s="288"/>
      <c r="BT77" s="288"/>
      <c r="BU77" s="288"/>
      <c r="BV77" s="288"/>
      <c r="BW77" s="10"/>
      <c r="BX77" s="11"/>
    </row>
    <row r="78" spans="1:76" s="8" customFormat="1">
      <c r="A78" s="9"/>
      <c r="B78" s="32"/>
      <c r="C78" s="42"/>
      <c r="D78" s="42"/>
      <c r="E78" s="42"/>
      <c r="F78" s="42"/>
      <c r="G78" s="42"/>
      <c r="H78" s="42"/>
      <c r="I78" s="10"/>
      <c r="J78" s="33"/>
      <c r="K78" s="42"/>
      <c r="L78" s="42"/>
      <c r="M78" s="42"/>
      <c r="N78" s="42"/>
      <c r="O78" s="42"/>
      <c r="P78" s="42"/>
      <c r="Q78" s="10"/>
      <c r="R78" s="35">
        <v>7</v>
      </c>
      <c r="S78" s="36" t="s">
        <v>780</v>
      </c>
      <c r="T78" s="37"/>
      <c r="U78" s="37"/>
      <c r="V78" s="37"/>
      <c r="W78" s="37"/>
      <c r="X78" s="37"/>
      <c r="Y78" s="37"/>
      <c r="Z78" s="37"/>
      <c r="AA78" s="37"/>
      <c r="AB78" s="37"/>
      <c r="AC78" s="37"/>
      <c r="AD78" s="37"/>
      <c r="AE78" s="38"/>
      <c r="AF78" s="388"/>
      <c r="AG78" s="389"/>
      <c r="AH78" s="284"/>
      <c r="AI78" s="286"/>
      <c r="AJ78" s="284"/>
      <c r="AK78" s="286"/>
      <c r="AL78" s="284" t="s">
        <v>492</v>
      </c>
      <c r="AM78" s="286"/>
      <c r="AN78" s="284"/>
      <c r="AO78" s="286"/>
      <c r="AP78" s="284"/>
      <c r="AQ78" s="286"/>
      <c r="AR78" s="284"/>
      <c r="AS78" s="286"/>
      <c r="AT78" s="284"/>
      <c r="AU78" s="286"/>
      <c r="AV78" s="284"/>
      <c r="AW78" s="286"/>
      <c r="AX78" s="284" t="s">
        <v>131</v>
      </c>
      <c r="AY78" s="285"/>
      <c r="AZ78" s="285"/>
      <c r="BA78" s="285"/>
      <c r="BB78" s="285"/>
      <c r="BC78" s="285"/>
      <c r="BD78" s="285"/>
      <c r="BE78" s="286"/>
      <c r="BF78" s="360" t="s">
        <v>781</v>
      </c>
      <c r="BG78" s="361"/>
      <c r="BH78" s="361"/>
      <c r="BI78" s="361"/>
      <c r="BJ78" s="361"/>
      <c r="BK78" s="361"/>
      <c r="BL78" s="361"/>
      <c r="BM78" s="362"/>
      <c r="BN78" s="288"/>
      <c r="BO78" s="288"/>
      <c r="BP78" s="288"/>
      <c r="BQ78" s="288"/>
      <c r="BR78" s="288"/>
      <c r="BS78" s="288"/>
      <c r="BT78" s="288"/>
      <c r="BU78" s="288"/>
      <c r="BV78" s="288"/>
      <c r="BW78" s="10"/>
      <c r="BX78" s="11"/>
    </row>
    <row r="79" spans="1:76" s="8" customFormat="1">
      <c r="A79" s="9"/>
      <c r="B79" s="32"/>
      <c r="C79" s="42"/>
      <c r="D79" s="42"/>
      <c r="E79" s="42"/>
      <c r="F79" s="42"/>
      <c r="G79" s="42"/>
      <c r="H79" s="42"/>
      <c r="I79" s="10"/>
      <c r="J79" s="33"/>
      <c r="K79" s="42"/>
      <c r="L79" s="42"/>
      <c r="M79" s="42"/>
      <c r="N79" s="42"/>
      <c r="O79" s="42"/>
      <c r="P79" s="42"/>
      <c r="Q79" s="10"/>
      <c r="R79" s="35">
        <v>8</v>
      </c>
      <c r="S79" s="36" t="s">
        <v>808</v>
      </c>
      <c r="T79" s="37"/>
      <c r="U79" s="37"/>
      <c r="V79" s="37"/>
      <c r="W79" s="37"/>
      <c r="X79" s="37"/>
      <c r="Y79" s="37"/>
      <c r="Z79" s="37"/>
      <c r="AA79" s="37"/>
      <c r="AB79" s="37"/>
      <c r="AC79" s="37"/>
      <c r="AD79" s="37"/>
      <c r="AE79" s="38"/>
      <c r="AF79" s="388"/>
      <c r="AG79" s="389"/>
      <c r="AH79" s="284"/>
      <c r="AI79" s="286"/>
      <c r="AJ79" s="284"/>
      <c r="AK79" s="286"/>
      <c r="AL79" s="284" t="s">
        <v>492</v>
      </c>
      <c r="AM79" s="286"/>
      <c r="AN79" s="284"/>
      <c r="AO79" s="286"/>
      <c r="AP79" s="284"/>
      <c r="AQ79" s="286"/>
      <c r="AR79" s="284"/>
      <c r="AS79" s="286"/>
      <c r="AT79" s="284"/>
      <c r="AU79" s="286"/>
      <c r="AV79" s="284"/>
      <c r="AW79" s="286"/>
      <c r="AX79" s="284" t="s">
        <v>131</v>
      </c>
      <c r="AY79" s="285"/>
      <c r="AZ79" s="285"/>
      <c r="BA79" s="285"/>
      <c r="BB79" s="285"/>
      <c r="BC79" s="285"/>
      <c r="BD79" s="285"/>
      <c r="BE79" s="286"/>
      <c r="BF79" s="284" t="s">
        <v>809</v>
      </c>
      <c r="BG79" s="285"/>
      <c r="BH79" s="285"/>
      <c r="BI79" s="285"/>
      <c r="BJ79" s="285"/>
      <c r="BK79" s="285"/>
      <c r="BL79" s="285"/>
      <c r="BM79" s="286"/>
      <c r="BN79" s="288"/>
      <c r="BO79" s="288"/>
      <c r="BP79" s="288"/>
      <c r="BQ79" s="288"/>
      <c r="BR79" s="288"/>
      <c r="BS79" s="288"/>
      <c r="BT79" s="288"/>
      <c r="BU79" s="288"/>
      <c r="BV79" s="288"/>
      <c r="BW79" s="10"/>
      <c r="BX79" s="11"/>
    </row>
    <row r="80" spans="1:76" s="8" customFormat="1">
      <c r="A80" s="9"/>
      <c r="B80" s="29" t="s">
        <v>810</v>
      </c>
      <c r="C80" s="30"/>
      <c r="D80" s="30"/>
      <c r="E80" s="30"/>
      <c r="F80" s="30"/>
      <c r="G80" s="30"/>
      <c r="H80" s="30"/>
      <c r="I80" s="31"/>
      <c r="J80" s="47" t="s">
        <v>811</v>
      </c>
      <c r="K80" s="30"/>
      <c r="L80" s="30"/>
      <c r="M80" s="30"/>
      <c r="N80" s="30"/>
      <c r="O80" s="30"/>
      <c r="P80" s="30"/>
      <c r="Q80" s="31"/>
      <c r="R80" s="35">
        <v>1</v>
      </c>
      <c r="S80" s="36" t="s">
        <v>812</v>
      </c>
      <c r="T80" s="37"/>
      <c r="U80" s="37"/>
      <c r="V80" s="37"/>
      <c r="W80" s="37"/>
      <c r="X80" s="37"/>
      <c r="Y80" s="37"/>
      <c r="Z80" s="37"/>
      <c r="AA80" s="37"/>
      <c r="AB80" s="37"/>
      <c r="AC80" s="37"/>
      <c r="AD80" s="37"/>
      <c r="AE80" s="38"/>
      <c r="AF80" s="284"/>
      <c r="AG80" s="286"/>
      <c r="AH80" s="284"/>
      <c r="AI80" s="286"/>
      <c r="AJ80" s="284"/>
      <c r="AK80" s="286"/>
      <c r="AL80" s="284" t="s">
        <v>492</v>
      </c>
      <c r="AM80" s="286"/>
      <c r="AN80" s="284"/>
      <c r="AO80" s="286"/>
      <c r="AP80" s="284"/>
      <c r="AQ80" s="286"/>
      <c r="AR80" s="284"/>
      <c r="AS80" s="286"/>
      <c r="AT80" s="284"/>
      <c r="AU80" s="286"/>
      <c r="AV80" s="284"/>
      <c r="AW80" s="286"/>
      <c r="AX80" s="284" t="s">
        <v>131</v>
      </c>
      <c r="AY80" s="285"/>
      <c r="AZ80" s="285"/>
      <c r="BA80" s="285"/>
      <c r="BB80" s="285"/>
      <c r="BC80" s="285"/>
      <c r="BD80" s="285"/>
      <c r="BE80" s="286"/>
      <c r="BF80" s="284" t="s">
        <v>813</v>
      </c>
      <c r="BG80" s="285"/>
      <c r="BH80" s="285"/>
      <c r="BI80" s="285"/>
      <c r="BJ80" s="285"/>
      <c r="BK80" s="285"/>
      <c r="BL80" s="285"/>
      <c r="BM80" s="286"/>
      <c r="BN80" s="288" t="s">
        <v>814</v>
      </c>
      <c r="BO80" s="288"/>
      <c r="BP80" s="288"/>
      <c r="BQ80" s="288"/>
      <c r="BR80" s="288"/>
      <c r="BS80" s="288"/>
      <c r="BT80" s="288"/>
      <c r="BU80" s="288"/>
      <c r="BV80" s="288"/>
      <c r="BW80" s="10"/>
      <c r="BX80" s="11"/>
    </row>
    <row r="81" spans="1:76" s="8" customFormat="1">
      <c r="A81" s="9"/>
      <c r="B81" s="32"/>
      <c r="C81" s="42"/>
      <c r="D81" s="42"/>
      <c r="E81" s="42"/>
      <c r="F81" s="42"/>
      <c r="G81" s="42"/>
      <c r="H81" s="42"/>
      <c r="I81" s="10"/>
      <c r="J81" s="47" t="s">
        <v>815</v>
      </c>
      <c r="K81" s="30"/>
      <c r="L81" s="30"/>
      <c r="M81" s="30"/>
      <c r="N81" s="30"/>
      <c r="O81" s="30"/>
      <c r="P81" s="30"/>
      <c r="Q81" s="31"/>
      <c r="R81" s="35">
        <v>1</v>
      </c>
      <c r="S81" s="36" t="s">
        <v>816</v>
      </c>
      <c r="T81" s="37"/>
      <c r="U81" s="37"/>
      <c r="V81" s="37"/>
      <c r="W81" s="37"/>
      <c r="X81" s="37"/>
      <c r="Y81" s="37"/>
      <c r="Z81" s="37"/>
      <c r="AA81" s="37"/>
      <c r="AB81" s="37"/>
      <c r="AC81" s="37"/>
      <c r="AD81" s="37"/>
      <c r="AE81" s="38"/>
      <c r="AF81" s="388"/>
      <c r="AG81" s="389"/>
      <c r="AH81" s="284"/>
      <c r="AI81" s="286"/>
      <c r="AJ81" s="284"/>
      <c r="AK81" s="286"/>
      <c r="AL81" s="284" t="s">
        <v>492</v>
      </c>
      <c r="AM81" s="286"/>
      <c r="AN81" s="284"/>
      <c r="AO81" s="286"/>
      <c r="AP81" s="284"/>
      <c r="AQ81" s="286"/>
      <c r="AR81" s="284"/>
      <c r="AS81" s="286"/>
      <c r="AT81" s="284"/>
      <c r="AU81" s="286"/>
      <c r="AV81" s="284"/>
      <c r="AW81" s="286"/>
      <c r="AX81" s="284" t="s">
        <v>131</v>
      </c>
      <c r="AY81" s="285"/>
      <c r="AZ81" s="285"/>
      <c r="BA81" s="285"/>
      <c r="BB81" s="285"/>
      <c r="BC81" s="285"/>
      <c r="BD81" s="285"/>
      <c r="BE81" s="286"/>
      <c r="BF81" s="360" t="s">
        <v>817</v>
      </c>
      <c r="BG81" s="361"/>
      <c r="BH81" s="361"/>
      <c r="BI81" s="361"/>
      <c r="BJ81" s="361"/>
      <c r="BK81" s="361"/>
      <c r="BL81" s="361"/>
      <c r="BM81" s="362"/>
      <c r="BN81" s="288" t="s">
        <v>818</v>
      </c>
      <c r="BO81" s="288"/>
      <c r="BP81" s="288"/>
      <c r="BQ81" s="288"/>
      <c r="BR81" s="288"/>
      <c r="BS81" s="288"/>
      <c r="BT81" s="288"/>
      <c r="BU81" s="288"/>
      <c r="BV81" s="288"/>
      <c r="BW81" s="10"/>
      <c r="BX81" s="11"/>
    </row>
    <row r="82" spans="1:76" s="8" customFormat="1">
      <c r="A82" s="9"/>
      <c r="B82" s="32"/>
      <c r="C82" s="42"/>
      <c r="D82" s="42"/>
      <c r="E82" s="42"/>
      <c r="F82" s="42"/>
      <c r="G82" s="42"/>
      <c r="H82" s="42"/>
      <c r="I82" s="10"/>
      <c r="J82" s="33"/>
      <c r="K82" s="42"/>
      <c r="L82" s="42"/>
      <c r="M82" s="42"/>
      <c r="N82" s="42"/>
      <c r="O82" s="42"/>
      <c r="P82" s="42"/>
      <c r="Q82" s="10"/>
      <c r="R82" s="35">
        <v>2</v>
      </c>
      <c r="S82" s="36" t="s">
        <v>819</v>
      </c>
      <c r="T82" s="37"/>
      <c r="U82" s="37"/>
      <c r="V82" s="37"/>
      <c r="W82" s="37"/>
      <c r="X82" s="37"/>
      <c r="Y82" s="37"/>
      <c r="Z82" s="37"/>
      <c r="AA82" s="37"/>
      <c r="AB82" s="37"/>
      <c r="AC82" s="37"/>
      <c r="AD82" s="37"/>
      <c r="AE82" s="38"/>
      <c r="AF82" s="388"/>
      <c r="AG82" s="389"/>
      <c r="AH82" s="284"/>
      <c r="AI82" s="286"/>
      <c r="AJ82" s="284"/>
      <c r="AK82" s="286"/>
      <c r="AL82" s="284" t="s">
        <v>492</v>
      </c>
      <c r="AM82" s="286"/>
      <c r="AN82" s="284"/>
      <c r="AO82" s="286"/>
      <c r="AP82" s="284"/>
      <c r="AQ82" s="286"/>
      <c r="AR82" s="284"/>
      <c r="AS82" s="286"/>
      <c r="AT82" s="284"/>
      <c r="AU82" s="286"/>
      <c r="AV82" s="284"/>
      <c r="AW82" s="286"/>
      <c r="AX82" s="284" t="s">
        <v>131</v>
      </c>
      <c r="AY82" s="285"/>
      <c r="AZ82" s="285"/>
      <c r="BA82" s="285"/>
      <c r="BB82" s="285"/>
      <c r="BC82" s="285"/>
      <c r="BD82" s="285"/>
      <c r="BE82" s="286"/>
      <c r="BF82" s="360" t="s">
        <v>820</v>
      </c>
      <c r="BG82" s="361"/>
      <c r="BH82" s="361"/>
      <c r="BI82" s="361"/>
      <c r="BJ82" s="361"/>
      <c r="BK82" s="361"/>
      <c r="BL82" s="361"/>
      <c r="BM82" s="362"/>
      <c r="BN82" s="288"/>
      <c r="BO82" s="288"/>
      <c r="BP82" s="288"/>
      <c r="BQ82" s="288"/>
      <c r="BR82" s="288"/>
      <c r="BS82" s="288"/>
      <c r="BT82" s="288"/>
      <c r="BU82" s="288"/>
      <c r="BV82" s="288"/>
      <c r="BW82" s="10"/>
      <c r="BX82" s="11"/>
    </row>
    <row r="83" spans="1:76" s="8" customFormat="1">
      <c r="A83" s="9"/>
      <c r="B83" s="32"/>
      <c r="C83" s="42"/>
      <c r="D83" s="42"/>
      <c r="E83" s="42"/>
      <c r="F83" s="42"/>
      <c r="G83" s="42"/>
      <c r="H83" s="42"/>
      <c r="I83" s="10"/>
      <c r="J83" s="33"/>
      <c r="K83" s="42"/>
      <c r="L83" s="42"/>
      <c r="M83" s="42"/>
      <c r="N83" s="42"/>
      <c r="O83" s="42"/>
      <c r="P83" s="42"/>
      <c r="Q83" s="10"/>
      <c r="R83" s="35">
        <v>3</v>
      </c>
      <c r="S83" s="36" t="s">
        <v>821</v>
      </c>
      <c r="T83" s="37"/>
      <c r="U83" s="37"/>
      <c r="V83" s="37"/>
      <c r="W83" s="37"/>
      <c r="X83" s="37"/>
      <c r="Y83" s="37"/>
      <c r="Z83" s="37"/>
      <c r="AA83" s="37"/>
      <c r="AB83" s="37"/>
      <c r="AC83" s="37"/>
      <c r="AD83" s="37"/>
      <c r="AE83" s="38"/>
      <c r="AF83" s="388"/>
      <c r="AG83" s="389"/>
      <c r="AH83" s="284"/>
      <c r="AI83" s="286"/>
      <c r="AJ83" s="284"/>
      <c r="AK83" s="286"/>
      <c r="AL83" s="284" t="s">
        <v>492</v>
      </c>
      <c r="AM83" s="286"/>
      <c r="AN83" s="284"/>
      <c r="AO83" s="286"/>
      <c r="AP83" s="284"/>
      <c r="AQ83" s="286"/>
      <c r="AR83" s="284"/>
      <c r="AS83" s="286"/>
      <c r="AT83" s="284"/>
      <c r="AU83" s="286"/>
      <c r="AV83" s="284"/>
      <c r="AW83" s="286"/>
      <c r="AX83" s="284" t="s">
        <v>131</v>
      </c>
      <c r="AY83" s="285"/>
      <c r="AZ83" s="285"/>
      <c r="BA83" s="285"/>
      <c r="BB83" s="285"/>
      <c r="BC83" s="285"/>
      <c r="BD83" s="285"/>
      <c r="BE83" s="286"/>
      <c r="BF83" s="360" t="s">
        <v>817</v>
      </c>
      <c r="BG83" s="361"/>
      <c r="BH83" s="361"/>
      <c r="BI83" s="361"/>
      <c r="BJ83" s="361"/>
      <c r="BK83" s="361"/>
      <c r="BL83" s="361"/>
      <c r="BM83" s="362"/>
      <c r="BN83" s="288"/>
      <c r="BO83" s="288"/>
      <c r="BP83" s="288"/>
      <c r="BQ83" s="288"/>
      <c r="BR83" s="288"/>
      <c r="BS83" s="288"/>
      <c r="BT83" s="288"/>
      <c r="BU83" s="288"/>
      <c r="BV83" s="288"/>
      <c r="BW83" s="10"/>
      <c r="BX83" s="11"/>
    </row>
    <row r="84" spans="1:76" s="8" customFormat="1">
      <c r="A84" s="9"/>
      <c r="B84" s="48"/>
      <c r="C84" s="34"/>
      <c r="D84" s="34"/>
      <c r="E84" s="34"/>
      <c r="F84" s="34"/>
      <c r="G84" s="34"/>
      <c r="H84" s="34"/>
      <c r="I84" s="35"/>
      <c r="J84" s="12"/>
      <c r="K84" s="34"/>
      <c r="L84" s="34"/>
      <c r="M84" s="34"/>
      <c r="N84" s="34"/>
      <c r="O84" s="34"/>
      <c r="P84" s="34"/>
      <c r="Q84" s="35"/>
      <c r="R84" s="35">
        <v>4</v>
      </c>
      <c r="S84" s="36" t="s">
        <v>822</v>
      </c>
      <c r="T84" s="37"/>
      <c r="U84" s="37"/>
      <c r="V84" s="37"/>
      <c r="W84" s="37"/>
      <c r="X84" s="37"/>
      <c r="Y84" s="37"/>
      <c r="Z84" s="37"/>
      <c r="AA84" s="37"/>
      <c r="AB84" s="37"/>
      <c r="AC84" s="37"/>
      <c r="AD84" s="37"/>
      <c r="AE84" s="38"/>
      <c r="AF84" s="388"/>
      <c r="AG84" s="389"/>
      <c r="AH84" s="284"/>
      <c r="AI84" s="286"/>
      <c r="AJ84" s="284"/>
      <c r="AK84" s="286"/>
      <c r="AL84" s="284" t="s">
        <v>492</v>
      </c>
      <c r="AM84" s="286"/>
      <c r="AN84" s="284"/>
      <c r="AO84" s="286"/>
      <c r="AP84" s="284"/>
      <c r="AQ84" s="286"/>
      <c r="AR84" s="284"/>
      <c r="AS84" s="286"/>
      <c r="AT84" s="284"/>
      <c r="AU84" s="286"/>
      <c r="AV84" s="284"/>
      <c r="AW84" s="286"/>
      <c r="AX84" s="284" t="s">
        <v>131</v>
      </c>
      <c r="AY84" s="285"/>
      <c r="AZ84" s="285"/>
      <c r="BA84" s="285"/>
      <c r="BB84" s="285"/>
      <c r="BC84" s="285"/>
      <c r="BD84" s="285"/>
      <c r="BE84" s="286"/>
      <c r="BF84" s="360" t="s">
        <v>817</v>
      </c>
      <c r="BG84" s="361"/>
      <c r="BH84" s="361"/>
      <c r="BI84" s="361"/>
      <c r="BJ84" s="361"/>
      <c r="BK84" s="361"/>
      <c r="BL84" s="361"/>
      <c r="BM84" s="362"/>
      <c r="BN84" s="288"/>
      <c r="BO84" s="288"/>
      <c r="BP84" s="288"/>
      <c r="BQ84" s="288"/>
      <c r="BR84" s="288"/>
      <c r="BS84" s="288"/>
      <c r="BT84" s="288"/>
      <c r="BU84" s="288"/>
      <c r="BV84" s="288"/>
      <c r="BW84" s="10"/>
      <c r="BX84" s="11"/>
    </row>
    <row r="85" spans="1:76" s="8" customFormat="1">
      <c r="A85" s="9"/>
      <c r="B85" s="29" t="s">
        <v>823</v>
      </c>
      <c r="C85" s="30"/>
      <c r="D85" s="30"/>
      <c r="E85" s="30"/>
      <c r="F85" s="30"/>
      <c r="G85" s="30"/>
      <c r="H85" s="30"/>
      <c r="I85" s="31"/>
      <c r="J85" s="47" t="s">
        <v>824</v>
      </c>
      <c r="K85" s="30"/>
      <c r="L85" s="30"/>
      <c r="M85" s="30"/>
      <c r="N85" s="30"/>
      <c r="O85" s="30"/>
      <c r="P85" s="30"/>
      <c r="Q85" s="31"/>
      <c r="R85" s="35">
        <v>1</v>
      </c>
      <c r="S85" s="47" t="s">
        <v>825</v>
      </c>
      <c r="T85" s="37"/>
      <c r="U85" s="37"/>
      <c r="V85" s="37"/>
      <c r="W85" s="37"/>
      <c r="X85" s="37"/>
      <c r="Y85" s="37"/>
      <c r="Z85" s="37"/>
      <c r="AA85" s="37"/>
      <c r="AB85" s="37"/>
      <c r="AC85" s="37"/>
      <c r="AD85" s="37"/>
      <c r="AE85" s="38"/>
      <c r="AF85" s="284"/>
      <c r="AG85" s="286"/>
      <c r="AH85" s="284"/>
      <c r="AI85" s="286"/>
      <c r="AJ85" s="284"/>
      <c r="AK85" s="286"/>
      <c r="AL85" s="284"/>
      <c r="AM85" s="286"/>
      <c r="AN85" s="284"/>
      <c r="AO85" s="286"/>
      <c r="AP85" s="284"/>
      <c r="AQ85" s="286"/>
      <c r="AR85" s="284"/>
      <c r="AS85" s="286"/>
      <c r="AT85" s="284"/>
      <c r="AU85" s="286"/>
      <c r="AV85" s="284" t="s">
        <v>492</v>
      </c>
      <c r="AW85" s="286"/>
      <c r="AX85" s="284" t="s">
        <v>131</v>
      </c>
      <c r="AY85" s="285"/>
      <c r="AZ85" s="285"/>
      <c r="BA85" s="285"/>
      <c r="BB85" s="285"/>
      <c r="BC85" s="285"/>
      <c r="BD85" s="285"/>
      <c r="BE85" s="286"/>
      <c r="BF85" s="287" t="s">
        <v>826</v>
      </c>
      <c r="BG85" s="287"/>
      <c r="BH85" s="287"/>
      <c r="BI85" s="287"/>
      <c r="BJ85" s="287"/>
      <c r="BK85" s="287"/>
      <c r="BL85" s="287"/>
      <c r="BM85" s="284"/>
      <c r="BN85" s="288"/>
      <c r="BO85" s="288"/>
      <c r="BP85" s="288"/>
      <c r="BQ85" s="288"/>
      <c r="BR85" s="288"/>
      <c r="BS85" s="288"/>
      <c r="BT85" s="288"/>
      <c r="BU85" s="288"/>
      <c r="BV85" s="288"/>
      <c r="BW85" s="10"/>
      <c r="BX85" s="11"/>
    </row>
    <row r="86" spans="1:76" s="8" customFormat="1">
      <c r="A86" s="9"/>
      <c r="B86" s="32"/>
      <c r="C86" s="42"/>
      <c r="D86" s="42"/>
      <c r="E86" s="42"/>
      <c r="F86" s="42"/>
      <c r="G86" s="42"/>
      <c r="H86" s="42"/>
      <c r="I86" s="10"/>
      <c r="J86" s="33"/>
      <c r="K86" s="42"/>
      <c r="L86" s="42"/>
      <c r="M86" s="42"/>
      <c r="N86" s="42"/>
      <c r="O86" s="42"/>
      <c r="P86" s="42"/>
      <c r="Q86" s="10"/>
      <c r="R86" s="35">
        <v>2</v>
      </c>
      <c r="S86" s="50" t="s">
        <v>827</v>
      </c>
      <c r="T86" s="37"/>
      <c r="U86" s="37"/>
      <c r="V86" s="37"/>
      <c r="W86" s="37"/>
      <c r="X86" s="37"/>
      <c r="Y86" s="37"/>
      <c r="Z86" s="37"/>
      <c r="AA86" s="37"/>
      <c r="AB86" s="37"/>
      <c r="AC86" s="37"/>
      <c r="AD86" s="37"/>
      <c r="AE86" s="38"/>
      <c r="AF86" s="388"/>
      <c r="AG86" s="389"/>
      <c r="AH86" s="284"/>
      <c r="AI86" s="286"/>
      <c r="AJ86" s="284"/>
      <c r="AK86" s="286"/>
      <c r="AL86" s="284"/>
      <c r="AM86" s="286"/>
      <c r="AN86" s="284"/>
      <c r="AO86" s="286"/>
      <c r="AP86" s="284"/>
      <c r="AQ86" s="286"/>
      <c r="AR86" s="284"/>
      <c r="AS86" s="286"/>
      <c r="AT86" s="284"/>
      <c r="AU86" s="286"/>
      <c r="AV86" s="284" t="s">
        <v>492</v>
      </c>
      <c r="AW86" s="286"/>
      <c r="AX86" s="284" t="s">
        <v>131</v>
      </c>
      <c r="AY86" s="285"/>
      <c r="AZ86" s="285"/>
      <c r="BA86" s="285"/>
      <c r="BB86" s="285"/>
      <c r="BC86" s="285"/>
      <c r="BD86" s="285"/>
      <c r="BE86" s="286"/>
      <c r="BF86" s="284" t="s">
        <v>828</v>
      </c>
      <c r="BG86" s="285"/>
      <c r="BH86" s="285"/>
      <c r="BI86" s="285"/>
      <c r="BJ86" s="285"/>
      <c r="BK86" s="285"/>
      <c r="BL86" s="285"/>
      <c r="BM86" s="286"/>
      <c r="BN86" s="288"/>
      <c r="BO86" s="288"/>
      <c r="BP86" s="288"/>
      <c r="BQ86" s="288"/>
      <c r="BR86" s="288"/>
      <c r="BS86" s="288"/>
      <c r="BT86" s="288"/>
      <c r="BU86" s="288"/>
      <c r="BV86" s="288"/>
      <c r="BW86" s="10"/>
      <c r="BX86" s="11"/>
    </row>
    <row r="87" spans="1:76" s="8" customFormat="1">
      <c r="A87" s="9"/>
      <c r="B87" s="48"/>
      <c r="C87" s="34"/>
      <c r="D87" s="34"/>
      <c r="E87" s="34"/>
      <c r="F87" s="34"/>
      <c r="G87" s="34"/>
      <c r="H87" s="34"/>
      <c r="I87" s="35"/>
      <c r="J87" s="12"/>
      <c r="K87" s="34"/>
      <c r="L87" s="34"/>
      <c r="M87" s="34"/>
      <c r="N87" s="34"/>
      <c r="O87" s="34"/>
      <c r="P87" s="34"/>
      <c r="Q87" s="35"/>
      <c r="R87" s="35">
        <v>3</v>
      </c>
      <c r="S87" s="50" t="s">
        <v>829</v>
      </c>
      <c r="T87" s="37"/>
      <c r="U87" s="37"/>
      <c r="V87" s="37"/>
      <c r="W87" s="37"/>
      <c r="X87" s="37"/>
      <c r="Y87" s="37"/>
      <c r="Z87" s="37"/>
      <c r="AA87" s="37"/>
      <c r="AB87" s="37"/>
      <c r="AC87" s="37"/>
      <c r="AD87" s="37"/>
      <c r="AE87" s="38"/>
      <c r="AF87" s="388"/>
      <c r="AG87" s="389"/>
      <c r="AH87" s="284"/>
      <c r="AI87" s="286"/>
      <c r="AJ87" s="284"/>
      <c r="AK87" s="286"/>
      <c r="AL87" s="284"/>
      <c r="AM87" s="286"/>
      <c r="AN87" s="284"/>
      <c r="AO87" s="286"/>
      <c r="AP87" s="284"/>
      <c r="AQ87" s="286"/>
      <c r="AR87" s="284"/>
      <c r="AS87" s="286"/>
      <c r="AT87" s="284"/>
      <c r="AU87" s="286"/>
      <c r="AV87" s="284" t="s">
        <v>492</v>
      </c>
      <c r="AW87" s="286"/>
      <c r="AX87" s="284" t="s">
        <v>131</v>
      </c>
      <c r="AY87" s="285"/>
      <c r="AZ87" s="285"/>
      <c r="BA87" s="285"/>
      <c r="BB87" s="285"/>
      <c r="BC87" s="285"/>
      <c r="BD87" s="285"/>
      <c r="BE87" s="286"/>
      <c r="BF87" s="284" t="s">
        <v>830</v>
      </c>
      <c r="BG87" s="285"/>
      <c r="BH87" s="285"/>
      <c r="BI87" s="285"/>
      <c r="BJ87" s="285"/>
      <c r="BK87" s="285"/>
      <c r="BL87" s="285"/>
      <c r="BM87" s="286"/>
      <c r="BN87" s="288"/>
      <c r="BO87" s="288"/>
      <c r="BP87" s="288"/>
      <c r="BQ87" s="288"/>
      <c r="BR87" s="288"/>
      <c r="BS87" s="288"/>
      <c r="BT87" s="288"/>
      <c r="BU87" s="288"/>
      <c r="BV87" s="288"/>
      <c r="BW87" s="10"/>
      <c r="BX87" s="11"/>
    </row>
    <row r="88" spans="1:76" s="8" customFormat="1">
      <c r="A88" s="9"/>
      <c r="B88" s="29" t="s">
        <v>831</v>
      </c>
      <c r="C88" s="30"/>
      <c r="D88" s="30"/>
      <c r="E88" s="30"/>
      <c r="F88" s="30"/>
      <c r="G88" s="30"/>
      <c r="H88" s="30"/>
      <c r="I88" s="31"/>
      <c r="J88" s="47" t="s">
        <v>832</v>
      </c>
      <c r="K88" s="30"/>
      <c r="L88" s="30"/>
      <c r="M88" s="30"/>
      <c r="N88" s="30"/>
      <c r="O88" s="30"/>
      <c r="P88" s="30"/>
      <c r="Q88" s="31"/>
      <c r="R88" s="35">
        <v>1</v>
      </c>
      <c r="S88" s="50" t="s">
        <v>833</v>
      </c>
      <c r="T88" s="37"/>
      <c r="U88" s="37"/>
      <c r="V88" s="37"/>
      <c r="W88" s="37"/>
      <c r="X88" s="37"/>
      <c r="Y88" s="37"/>
      <c r="Z88" s="37"/>
      <c r="AA88" s="37"/>
      <c r="AB88" s="37"/>
      <c r="AC88" s="37"/>
      <c r="AD88" s="37"/>
      <c r="AE88" s="38"/>
      <c r="AF88" s="388"/>
      <c r="AG88" s="389"/>
      <c r="AH88" s="284"/>
      <c r="AI88" s="286"/>
      <c r="AJ88" s="284"/>
      <c r="AK88" s="286"/>
      <c r="AL88" s="284" t="s">
        <v>492</v>
      </c>
      <c r="AM88" s="286"/>
      <c r="AN88" s="284"/>
      <c r="AO88" s="286"/>
      <c r="AP88" s="284"/>
      <c r="AQ88" s="286"/>
      <c r="AR88" s="284"/>
      <c r="AS88" s="286"/>
      <c r="AT88" s="284"/>
      <c r="AU88" s="286"/>
      <c r="AV88" s="284"/>
      <c r="AW88" s="286"/>
      <c r="AX88" s="284" t="s">
        <v>131</v>
      </c>
      <c r="AY88" s="285"/>
      <c r="AZ88" s="285"/>
      <c r="BA88" s="285"/>
      <c r="BB88" s="285"/>
      <c r="BC88" s="285"/>
      <c r="BD88" s="285"/>
      <c r="BE88" s="286"/>
      <c r="BF88" s="284" t="s">
        <v>834</v>
      </c>
      <c r="BG88" s="285"/>
      <c r="BH88" s="285"/>
      <c r="BI88" s="285"/>
      <c r="BJ88" s="285"/>
      <c r="BK88" s="285"/>
      <c r="BL88" s="285"/>
      <c r="BM88" s="286"/>
      <c r="BN88" s="288"/>
      <c r="BO88" s="288"/>
      <c r="BP88" s="288"/>
      <c r="BQ88" s="288"/>
      <c r="BR88" s="288"/>
      <c r="BS88" s="288"/>
      <c r="BT88" s="288"/>
      <c r="BU88" s="288"/>
      <c r="BV88" s="288"/>
      <c r="BW88" s="10"/>
      <c r="BX88" s="11"/>
    </row>
    <row r="89" spans="1:76" s="8" customFormat="1">
      <c r="A89" s="9"/>
      <c r="B89" s="48"/>
      <c r="C89" s="34"/>
      <c r="D89" s="34"/>
      <c r="E89" s="34"/>
      <c r="F89" s="34"/>
      <c r="G89" s="34"/>
      <c r="H89" s="34"/>
      <c r="I89" s="35"/>
      <c r="J89" s="12"/>
      <c r="K89" s="34"/>
      <c r="L89" s="34"/>
      <c r="M89" s="34"/>
      <c r="N89" s="34"/>
      <c r="O89" s="34"/>
      <c r="P89" s="34"/>
      <c r="Q89" s="35"/>
      <c r="R89" s="35">
        <v>2</v>
      </c>
      <c r="S89" s="50" t="s">
        <v>835</v>
      </c>
      <c r="T89" s="37"/>
      <c r="U89" s="37"/>
      <c r="V89" s="37"/>
      <c r="W89" s="37"/>
      <c r="X89" s="37"/>
      <c r="Y89" s="37"/>
      <c r="Z89" s="37"/>
      <c r="AA89" s="37"/>
      <c r="AB89" s="37"/>
      <c r="AC89" s="37"/>
      <c r="AD89" s="37"/>
      <c r="AE89" s="38"/>
      <c r="AF89" s="388"/>
      <c r="AG89" s="389"/>
      <c r="AH89" s="284"/>
      <c r="AI89" s="286"/>
      <c r="AJ89" s="284"/>
      <c r="AK89" s="286"/>
      <c r="AL89" s="284" t="s">
        <v>492</v>
      </c>
      <c r="AM89" s="286"/>
      <c r="AN89" s="284"/>
      <c r="AO89" s="286"/>
      <c r="AP89" s="284"/>
      <c r="AQ89" s="286"/>
      <c r="AR89" s="284"/>
      <c r="AS89" s="286"/>
      <c r="AT89" s="284"/>
      <c r="AU89" s="286"/>
      <c r="AV89" s="284"/>
      <c r="AW89" s="286"/>
      <c r="AX89" s="284" t="s">
        <v>131</v>
      </c>
      <c r="AY89" s="285"/>
      <c r="AZ89" s="285"/>
      <c r="BA89" s="285"/>
      <c r="BB89" s="285"/>
      <c r="BC89" s="285"/>
      <c r="BD89" s="285"/>
      <c r="BE89" s="286"/>
      <c r="BF89" s="284" t="s">
        <v>834</v>
      </c>
      <c r="BG89" s="285"/>
      <c r="BH89" s="285"/>
      <c r="BI89" s="285"/>
      <c r="BJ89" s="285"/>
      <c r="BK89" s="285"/>
      <c r="BL89" s="285"/>
      <c r="BM89" s="286"/>
      <c r="BN89" s="288"/>
      <c r="BO89" s="288"/>
      <c r="BP89" s="288"/>
      <c r="BQ89" s="288"/>
      <c r="BR89" s="288"/>
      <c r="BS89" s="288"/>
      <c r="BT89" s="288"/>
      <c r="BU89" s="288"/>
      <c r="BV89" s="288"/>
      <c r="BW89" s="10"/>
      <c r="BX89" s="11"/>
    </row>
    <row r="90" spans="1:76" s="8" customFormat="1">
      <c r="A90" s="9"/>
      <c r="B90" s="29" t="s">
        <v>836</v>
      </c>
      <c r="C90" s="30"/>
      <c r="D90" s="30"/>
      <c r="E90" s="30"/>
      <c r="F90" s="30"/>
      <c r="G90" s="30"/>
      <c r="H90" s="30"/>
      <c r="I90" s="31"/>
      <c r="J90" s="47" t="s">
        <v>837</v>
      </c>
      <c r="K90" s="30"/>
      <c r="L90" s="30"/>
      <c r="M90" s="30"/>
      <c r="N90" s="30"/>
      <c r="O90" s="30"/>
      <c r="P90" s="30"/>
      <c r="Q90" s="31"/>
      <c r="R90" s="35">
        <v>1</v>
      </c>
      <c r="S90" s="47" t="s">
        <v>838</v>
      </c>
      <c r="T90" s="37"/>
      <c r="U90" s="37"/>
      <c r="V90" s="37"/>
      <c r="W90" s="37"/>
      <c r="X90" s="37"/>
      <c r="Y90" s="37"/>
      <c r="Z90" s="37"/>
      <c r="AA90" s="37"/>
      <c r="AB90" s="37"/>
      <c r="AC90" s="37"/>
      <c r="AD90" s="37"/>
      <c r="AE90" s="38"/>
      <c r="AF90" s="284"/>
      <c r="AG90" s="286"/>
      <c r="AH90" s="284"/>
      <c r="AI90" s="286"/>
      <c r="AJ90" s="284"/>
      <c r="AK90" s="286"/>
      <c r="AL90" s="284"/>
      <c r="AM90" s="286"/>
      <c r="AN90" s="284"/>
      <c r="AO90" s="286"/>
      <c r="AP90" s="284"/>
      <c r="AQ90" s="286"/>
      <c r="AR90" s="284"/>
      <c r="AS90" s="286"/>
      <c r="AT90" s="284"/>
      <c r="AU90" s="286"/>
      <c r="AV90" s="284" t="s">
        <v>492</v>
      </c>
      <c r="AW90" s="286"/>
      <c r="AX90" s="284" t="s">
        <v>131</v>
      </c>
      <c r="AY90" s="285"/>
      <c r="AZ90" s="285"/>
      <c r="BA90" s="285"/>
      <c r="BB90" s="285"/>
      <c r="BC90" s="285"/>
      <c r="BD90" s="285"/>
      <c r="BE90" s="286"/>
      <c r="BF90" s="284" t="s">
        <v>828</v>
      </c>
      <c r="BG90" s="285"/>
      <c r="BH90" s="285"/>
      <c r="BI90" s="285"/>
      <c r="BJ90" s="285"/>
      <c r="BK90" s="285"/>
      <c r="BL90" s="285"/>
      <c r="BM90" s="286"/>
      <c r="BN90" s="288"/>
      <c r="BO90" s="288"/>
      <c r="BP90" s="288"/>
      <c r="BQ90" s="288"/>
      <c r="BR90" s="288"/>
      <c r="BS90" s="288"/>
      <c r="BT90" s="288"/>
      <c r="BU90" s="288"/>
      <c r="BV90" s="288"/>
      <c r="BW90" s="10"/>
      <c r="BX90" s="11"/>
    </row>
    <row r="91" spans="1:76" s="8" customFormat="1" ht="27.95" customHeight="1">
      <c r="A91" s="9"/>
      <c r="B91" s="32" t="s">
        <v>839</v>
      </c>
      <c r="C91" s="42"/>
      <c r="D91" s="42"/>
      <c r="E91" s="42"/>
      <c r="F91" s="42"/>
      <c r="G91" s="42"/>
      <c r="H91" s="42"/>
      <c r="I91" s="10"/>
      <c r="J91" s="32" t="s">
        <v>840</v>
      </c>
      <c r="K91" s="42"/>
      <c r="L91" s="42"/>
      <c r="M91" s="42"/>
      <c r="N91" s="42"/>
      <c r="O91" s="42"/>
      <c r="P91" s="42"/>
      <c r="Q91" s="10"/>
      <c r="R91" s="35">
        <v>2</v>
      </c>
      <c r="S91" s="50" t="s">
        <v>841</v>
      </c>
      <c r="T91" s="37"/>
      <c r="U91" s="37"/>
      <c r="V91" s="37"/>
      <c r="W91" s="37"/>
      <c r="X91" s="37"/>
      <c r="Y91" s="37"/>
      <c r="Z91" s="37"/>
      <c r="AA91" s="37"/>
      <c r="AB91" s="37"/>
      <c r="AC91" s="37"/>
      <c r="AD91" s="37"/>
      <c r="AE91" s="38"/>
      <c r="AF91" s="388"/>
      <c r="AG91" s="389"/>
      <c r="AH91" s="284"/>
      <c r="AI91" s="286"/>
      <c r="AJ91" s="284"/>
      <c r="AK91" s="286"/>
      <c r="AL91" s="284" t="s">
        <v>492</v>
      </c>
      <c r="AM91" s="286"/>
      <c r="AN91" s="284"/>
      <c r="AO91" s="286"/>
      <c r="AP91" s="284"/>
      <c r="AQ91" s="286"/>
      <c r="AR91" s="284"/>
      <c r="AS91" s="286"/>
      <c r="AT91" s="284"/>
      <c r="AU91" s="286"/>
      <c r="AV91" s="284"/>
      <c r="AW91" s="286"/>
      <c r="AX91" s="333" t="s">
        <v>842</v>
      </c>
      <c r="AY91" s="285"/>
      <c r="AZ91" s="285"/>
      <c r="BA91" s="285"/>
      <c r="BB91" s="285"/>
      <c r="BC91" s="285"/>
      <c r="BD91" s="285"/>
      <c r="BE91" s="286"/>
      <c r="BF91" s="287" t="s">
        <v>143</v>
      </c>
      <c r="BG91" s="287"/>
      <c r="BH91" s="287"/>
      <c r="BI91" s="287"/>
      <c r="BJ91" s="287"/>
      <c r="BK91" s="287"/>
      <c r="BL91" s="287"/>
      <c r="BM91" s="284"/>
      <c r="BN91" s="288"/>
      <c r="BO91" s="288"/>
      <c r="BP91" s="288"/>
      <c r="BQ91" s="288"/>
      <c r="BR91" s="288"/>
      <c r="BS91" s="288"/>
      <c r="BT91" s="288"/>
      <c r="BU91" s="288"/>
      <c r="BV91" s="288"/>
      <c r="BW91" s="10"/>
      <c r="BX91" s="11"/>
    </row>
    <row r="92" spans="1:76" s="8" customFormat="1">
      <c r="A92" s="9"/>
      <c r="B92" s="32"/>
      <c r="C92" s="42"/>
      <c r="D92" s="42"/>
      <c r="E92" s="42"/>
      <c r="F92" s="42"/>
      <c r="G92" s="42"/>
      <c r="H92" s="42"/>
      <c r="I92" s="10"/>
      <c r="J92" s="33"/>
      <c r="K92" s="42"/>
      <c r="L92" s="42"/>
      <c r="M92" s="42"/>
      <c r="N92" s="42"/>
      <c r="O92" s="42"/>
      <c r="P92" s="42"/>
      <c r="Q92" s="10"/>
      <c r="R92" s="35">
        <v>3</v>
      </c>
      <c r="S92" s="50" t="s">
        <v>843</v>
      </c>
      <c r="T92" s="37"/>
      <c r="U92" s="37"/>
      <c r="V92" s="37"/>
      <c r="W92" s="37"/>
      <c r="X92" s="37"/>
      <c r="Y92" s="37"/>
      <c r="Z92" s="37"/>
      <c r="AA92" s="37"/>
      <c r="AB92" s="37"/>
      <c r="AC92" s="37"/>
      <c r="AD92" s="37"/>
      <c r="AE92" s="38"/>
      <c r="AF92" s="388"/>
      <c r="AG92" s="389"/>
      <c r="AH92" s="284"/>
      <c r="AI92" s="286"/>
      <c r="AJ92" s="284"/>
      <c r="AK92" s="286"/>
      <c r="AL92" s="284" t="s">
        <v>492</v>
      </c>
      <c r="AM92" s="286"/>
      <c r="AN92" s="284"/>
      <c r="AO92" s="286"/>
      <c r="AP92" s="284"/>
      <c r="AQ92" s="286"/>
      <c r="AR92" s="284"/>
      <c r="AS92" s="286"/>
      <c r="AT92" s="284"/>
      <c r="AU92" s="286"/>
      <c r="AV92" s="284"/>
      <c r="AW92" s="286"/>
      <c r="AX92" s="284" t="s">
        <v>131</v>
      </c>
      <c r="AY92" s="285"/>
      <c r="AZ92" s="285"/>
      <c r="BA92" s="285"/>
      <c r="BB92" s="285"/>
      <c r="BC92" s="285"/>
      <c r="BD92" s="285"/>
      <c r="BE92" s="286"/>
      <c r="BF92" s="284" t="s">
        <v>844</v>
      </c>
      <c r="BG92" s="285"/>
      <c r="BH92" s="285"/>
      <c r="BI92" s="285"/>
      <c r="BJ92" s="285"/>
      <c r="BK92" s="285"/>
      <c r="BL92" s="285"/>
      <c r="BM92" s="286"/>
      <c r="BN92" s="288"/>
      <c r="BO92" s="288"/>
      <c r="BP92" s="288"/>
      <c r="BQ92" s="288"/>
      <c r="BR92" s="288"/>
      <c r="BS92" s="288"/>
      <c r="BT92" s="288"/>
      <c r="BU92" s="288"/>
      <c r="BV92" s="288"/>
      <c r="BW92" s="10"/>
      <c r="BX92" s="11"/>
    </row>
    <row r="93" spans="1:76" s="8" customFormat="1">
      <c r="A93" s="9"/>
      <c r="B93" s="32"/>
      <c r="C93" s="42"/>
      <c r="D93" s="42"/>
      <c r="E93" s="42"/>
      <c r="F93" s="42"/>
      <c r="G93" s="42"/>
      <c r="H93" s="42"/>
      <c r="I93" s="10"/>
      <c r="J93" s="33"/>
      <c r="K93" s="42"/>
      <c r="L93" s="42"/>
      <c r="M93" s="42"/>
      <c r="N93" s="42"/>
      <c r="O93" s="42"/>
      <c r="P93" s="42"/>
      <c r="Q93" s="10"/>
      <c r="R93" s="35">
        <v>4</v>
      </c>
      <c r="S93" s="50" t="s">
        <v>845</v>
      </c>
      <c r="T93" s="37"/>
      <c r="U93" s="37"/>
      <c r="V93" s="37"/>
      <c r="W93" s="37"/>
      <c r="X93" s="37"/>
      <c r="Y93" s="37"/>
      <c r="Z93" s="37"/>
      <c r="AA93" s="37"/>
      <c r="AB93" s="37"/>
      <c r="AC93" s="37"/>
      <c r="AD93" s="37"/>
      <c r="AE93" s="38"/>
      <c r="AF93" s="388"/>
      <c r="AG93" s="389"/>
      <c r="AH93" s="284"/>
      <c r="AI93" s="286"/>
      <c r="AJ93" s="284"/>
      <c r="AK93" s="286"/>
      <c r="AL93" s="284" t="s">
        <v>492</v>
      </c>
      <c r="AM93" s="286"/>
      <c r="AN93" s="284"/>
      <c r="AO93" s="286"/>
      <c r="AP93" s="284"/>
      <c r="AQ93" s="286"/>
      <c r="AR93" s="284"/>
      <c r="AS93" s="286"/>
      <c r="AT93" s="284"/>
      <c r="AU93" s="286"/>
      <c r="AV93" s="284"/>
      <c r="AW93" s="286"/>
      <c r="AX93" s="284" t="s">
        <v>131</v>
      </c>
      <c r="AY93" s="285"/>
      <c r="AZ93" s="285"/>
      <c r="BA93" s="285"/>
      <c r="BB93" s="285"/>
      <c r="BC93" s="285"/>
      <c r="BD93" s="285"/>
      <c r="BE93" s="286"/>
      <c r="BF93" s="284" t="s">
        <v>844</v>
      </c>
      <c r="BG93" s="285"/>
      <c r="BH93" s="285"/>
      <c r="BI93" s="285"/>
      <c r="BJ93" s="285"/>
      <c r="BK93" s="285"/>
      <c r="BL93" s="285"/>
      <c r="BM93" s="286"/>
      <c r="BN93" s="288"/>
      <c r="BO93" s="288"/>
      <c r="BP93" s="288"/>
      <c r="BQ93" s="288"/>
      <c r="BR93" s="288"/>
      <c r="BS93" s="288"/>
      <c r="BT93" s="288"/>
      <c r="BU93" s="288"/>
      <c r="BV93" s="288"/>
      <c r="BW93" s="10"/>
      <c r="BX93" s="11"/>
    </row>
    <row r="94" spans="1:76" s="8" customFormat="1">
      <c r="A94" s="9"/>
      <c r="B94" s="32"/>
      <c r="C94" s="42"/>
      <c r="D94" s="42"/>
      <c r="E94" s="42"/>
      <c r="F94" s="42"/>
      <c r="G94" s="42"/>
      <c r="H94" s="42"/>
      <c r="I94" s="10"/>
      <c r="J94" s="33"/>
      <c r="K94" s="42"/>
      <c r="L94" s="42"/>
      <c r="M94" s="42"/>
      <c r="N94" s="42"/>
      <c r="O94" s="42"/>
      <c r="P94" s="42"/>
      <c r="Q94" s="10"/>
      <c r="R94" s="35">
        <v>5</v>
      </c>
      <c r="S94" s="50" t="s">
        <v>846</v>
      </c>
      <c r="T94" s="37"/>
      <c r="U94" s="37"/>
      <c r="V94" s="37"/>
      <c r="W94" s="37"/>
      <c r="X94" s="37"/>
      <c r="Y94" s="37"/>
      <c r="Z94" s="37"/>
      <c r="AA94" s="37"/>
      <c r="AB94" s="37"/>
      <c r="AC94" s="37"/>
      <c r="AD94" s="37"/>
      <c r="AE94" s="38"/>
      <c r="AF94" s="388"/>
      <c r="AG94" s="389"/>
      <c r="AH94" s="284"/>
      <c r="AI94" s="286"/>
      <c r="AJ94" s="284"/>
      <c r="AK94" s="286"/>
      <c r="AL94" s="284" t="s">
        <v>492</v>
      </c>
      <c r="AM94" s="286"/>
      <c r="AN94" s="284"/>
      <c r="AO94" s="286"/>
      <c r="AP94" s="284"/>
      <c r="AQ94" s="286"/>
      <c r="AR94" s="284"/>
      <c r="AS94" s="286"/>
      <c r="AT94" s="284"/>
      <c r="AU94" s="286"/>
      <c r="AV94" s="284"/>
      <c r="AW94" s="286"/>
      <c r="AX94" s="284" t="s">
        <v>131</v>
      </c>
      <c r="AY94" s="285"/>
      <c r="AZ94" s="285"/>
      <c r="BA94" s="285"/>
      <c r="BB94" s="285"/>
      <c r="BC94" s="285"/>
      <c r="BD94" s="285"/>
      <c r="BE94" s="286"/>
      <c r="BF94" s="284" t="s">
        <v>839</v>
      </c>
      <c r="BG94" s="285"/>
      <c r="BH94" s="285"/>
      <c r="BI94" s="285"/>
      <c r="BJ94" s="285"/>
      <c r="BK94" s="285"/>
      <c r="BL94" s="285"/>
      <c r="BM94" s="286"/>
      <c r="BN94" s="288"/>
      <c r="BO94" s="288"/>
      <c r="BP94" s="288"/>
      <c r="BQ94" s="288"/>
      <c r="BR94" s="288"/>
      <c r="BS94" s="288"/>
      <c r="BT94" s="288"/>
      <c r="BU94" s="288"/>
      <c r="BV94" s="288"/>
      <c r="BW94" s="10"/>
      <c r="BX94" s="11"/>
    </row>
    <row r="95" spans="1:76" s="8" customFormat="1">
      <c r="A95" s="9"/>
      <c r="B95" s="48"/>
      <c r="C95" s="34"/>
      <c r="D95" s="34"/>
      <c r="E95" s="34"/>
      <c r="F95" s="34"/>
      <c r="G95" s="34"/>
      <c r="H95" s="34"/>
      <c r="I95" s="35"/>
      <c r="J95" s="12"/>
      <c r="K95" s="34"/>
      <c r="L95" s="34"/>
      <c r="M95" s="34"/>
      <c r="N95" s="34"/>
      <c r="O95" s="34"/>
      <c r="P95" s="34"/>
      <c r="Q95" s="35"/>
      <c r="R95" s="35">
        <v>6</v>
      </c>
      <c r="S95" s="50" t="s">
        <v>847</v>
      </c>
      <c r="T95" s="37"/>
      <c r="U95" s="37"/>
      <c r="V95" s="37"/>
      <c r="W95" s="37"/>
      <c r="X95" s="37"/>
      <c r="Y95" s="37"/>
      <c r="Z95" s="37"/>
      <c r="AA95" s="37"/>
      <c r="AB95" s="37"/>
      <c r="AC95" s="37"/>
      <c r="AD95" s="37"/>
      <c r="AE95" s="38"/>
      <c r="AF95" s="388"/>
      <c r="AG95" s="389"/>
      <c r="AH95" s="284"/>
      <c r="AI95" s="286"/>
      <c r="AJ95" s="284"/>
      <c r="AK95" s="286"/>
      <c r="AL95" s="284" t="s">
        <v>492</v>
      </c>
      <c r="AM95" s="286"/>
      <c r="AN95" s="284"/>
      <c r="AO95" s="286"/>
      <c r="AP95" s="284"/>
      <c r="AQ95" s="286"/>
      <c r="AR95" s="284"/>
      <c r="AS95" s="286"/>
      <c r="AT95" s="284"/>
      <c r="AU95" s="286"/>
      <c r="AV95" s="284"/>
      <c r="AW95" s="286"/>
      <c r="AX95" s="284" t="s">
        <v>131</v>
      </c>
      <c r="AY95" s="285"/>
      <c r="AZ95" s="285"/>
      <c r="BA95" s="285"/>
      <c r="BB95" s="285"/>
      <c r="BC95" s="285"/>
      <c r="BD95" s="285"/>
      <c r="BE95" s="286"/>
      <c r="BF95" s="284" t="s">
        <v>839</v>
      </c>
      <c r="BG95" s="285"/>
      <c r="BH95" s="285"/>
      <c r="BI95" s="285"/>
      <c r="BJ95" s="285"/>
      <c r="BK95" s="285"/>
      <c r="BL95" s="285"/>
      <c r="BM95" s="286"/>
      <c r="BN95" s="288"/>
      <c r="BO95" s="288"/>
      <c r="BP95" s="288"/>
      <c r="BQ95" s="288"/>
      <c r="BR95" s="288"/>
      <c r="BS95" s="288"/>
      <c r="BT95" s="288"/>
      <c r="BU95" s="288"/>
      <c r="BV95" s="288"/>
      <c r="BW95" s="10"/>
      <c r="BX95" s="11"/>
    </row>
    <row r="96" spans="1:76" s="8" customForma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87"/>
      <c r="AG96" s="387"/>
      <c r="AH96" s="387"/>
      <c r="AI96" s="387"/>
      <c r="AJ96" s="387"/>
      <c r="AK96" s="387"/>
      <c r="AL96" s="387"/>
      <c r="AM96" s="387"/>
      <c r="AN96" s="387"/>
      <c r="AO96" s="387"/>
      <c r="AP96" s="387"/>
      <c r="AQ96" s="387"/>
      <c r="AR96" s="387"/>
      <c r="AS96" s="387"/>
      <c r="AT96" s="387"/>
      <c r="AU96" s="387"/>
      <c r="AV96" s="387"/>
      <c r="AW96" s="387"/>
      <c r="AX96" s="387"/>
      <c r="AY96" s="387"/>
      <c r="AZ96" s="387"/>
      <c r="BA96" s="387"/>
      <c r="BB96" s="387"/>
      <c r="BC96" s="387"/>
      <c r="BD96" s="387"/>
      <c r="BE96" s="387"/>
      <c r="BF96" s="387"/>
      <c r="BG96" s="387"/>
      <c r="BH96" s="387"/>
      <c r="BI96" s="387"/>
      <c r="BJ96" s="387"/>
      <c r="BK96" s="387"/>
      <c r="BL96" s="387"/>
      <c r="BM96" s="387"/>
      <c r="BN96" s="295"/>
      <c r="BO96" s="295"/>
      <c r="BP96" s="295"/>
      <c r="BQ96" s="295"/>
      <c r="BR96" s="295"/>
      <c r="BS96" s="295"/>
      <c r="BT96" s="295"/>
      <c r="BU96" s="295"/>
      <c r="BV96" s="295"/>
      <c r="BW96" s="14"/>
    </row>
    <row r="97" spans="66:74">
      <c r="BN97" s="399"/>
      <c r="BO97" s="399"/>
      <c r="BP97" s="399"/>
      <c r="BQ97" s="399"/>
      <c r="BR97" s="399"/>
      <c r="BS97" s="399"/>
      <c r="BT97" s="399"/>
      <c r="BU97" s="399"/>
      <c r="BV97" s="399"/>
    </row>
  </sheetData>
  <mergeCells count="1056">
    <mergeCell ref="BF88:BM88"/>
    <mergeCell ref="BN88:BV88"/>
    <mergeCell ref="AX23:BE23"/>
    <mergeCell ref="BF23:BM23"/>
    <mergeCell ref="BN23:BV23"/>
    <mergeCell ref="AF29:AG29"/>
    <mergeCell ref="AH29:AI29"/>
    <mergeCell ref="AJ29:AK29"/>
    <mergeCell ref="AL29:AM29"/>
    <mergeCell ref="AN29:AO29"/>
    <mergeCell ref="AP29:AQ29"/>
    <mergeCell ref="AR29:AS29"/>
    <mergeCell ref="AT29:AU29"/>
    <mergeCell ref="AV29:AW29"/>
    <mergeCell ref="AX29:BE29"/>
    <mergeCell ref="BF29:BM29"/>
    <mergeCell ref="BN29:BV29"/>
    <mergeCell ref="AF23:AG23"/>
    <mergeCell ref="AH23:AI23"/>
    <mergeCell ref="AJ23:AK23"/>
    <mergeCell ref="AL23:AM23"/>
    <mergeCell ref="AN23:AO23"/>
    <mergeCell ref="AP23:AQ23"/>
    <mergeCell ref="AR23:AS23"/>
    <mergeCell ref="BF69:BM69"/>
    <mergeCell ref="BN69:BV69"/>
    <mergeCell ref="AF69:AG69"/>
    <mergeCell ref="AH69:AI69"/>
    <mergeCell ref="AJ69:AK69"/>
    <mergeCell ref="AL69:AM69"/>
    <mergeCell ref="AN69:AO69"/>
    <mergeCell ref="AP69:AQ69"/>
    <mergeCell ref="AR69:AS69"/>
    <mergeCell ref="AT69:AU69"/>
    <mergeCell ref="AX69:BE69"/>
    <mergeCell ref="AT23:AU23"/>
    <mergeCell ref="AV23:AW23"/>
    <mergeCell ref="A1:E1"/>
    <mergeCell ref="F1:U1"/>
    <mergeCell ref="V1:AK1"/>
    <mergeCell ref="AL1:AR1"/>
    <mergeCell ref="AS1:AZ1"/>
    <mergeCell ref="A2:E3"/>
    <mergeCell ref="F2:U3"/>
    <mergeCell ref="V2:AK3"/>
    <mergeCell ref="AL2:AM2"/>
    <mergeCell ref="AN2:AR2"/>
    <mergeCell ref="AS2:AZ2"/>
    <mergeCell ref="AL3:AM3"/>
    <mergeCell ref="AN3:AR3"/>
    <mergeCell ref="AS3:AZ3"/>
    <mergeCell ref="AX21:BE21"/>
    <mergeCell ref="B8:I9"/>
    <mergeCell ref="AJ68:AK68"/>
    <mergeCell ref="J8:Q9"/>
    <mergeCell ref="R8:R9"/>
    <mergeCell ref="S8:AE9"/>
    <mergeCell ref="AP16:AQ16"/>
    <mergeCell ref="AL68:AM68"/>
    <mergeCell ref="AN68:AO68"/>
    <mergeCell ref="AP68:AQ68"/>
    <mergeCell ref="AR68:AS68"/>
    <mergeCell ref="AT68:AU68"/>
    <mergeCell ref="AX66:BE66"/>
    <mergeCell ref="AF96:AG96"/>
    <mergeCell ref="AH96:AI96"/>
    <mergeCell ref="AJ96:AK96"/>
    <mergeCell ref="AL96:AM96"/>
    <mergeCell ref="AN96:AO96"/>
    <mergeCell ref="AP96:AQ96"/>
    <mergeCell ref="AF67:AG67"/>
    <mergeCell ref="AH67:AI67"/>
    <mergeCell ref="AJ67:AK67"/>
    <mergeCell ref="AL67:AM67"/>
    <mergeCell ref="AN67:AO67"/>
    <mergeCell ref="AP67:AQ67"/>
    <mergeCell ref="AF84:AG84"/>
    <mergeCell ref="AH84:AI84"/>
    <mergeCell ref="AJ84:AK84"/>
    <mergeCell ref="AL84:AM84"/>
    <mergeCell ref="AN84:AO84"/>
    <mergeCell ref="AP84:AQ84"/>
    <mergeCell ref="AF90:AG90"/>
    <mergeCell ref="AH90:AI90"/>
    <mergeCell ref="AJ90:AK90"/>
    <mergeCell ref="AL90:AM90"/>
    <mergeCell ref="AN90:AO90"/>
    <mergeCell ref="AP90:AQ90"/>
    <mergeCell ref="AF74:AG74"/>
    <mergeCell ref="AH74:AI74"/>
    <mergeCell ref="AJ74:AK74"/>
    <mergeCell ref="AL74:AM74"/>
    <mergeCell ref="AN74:AO74"/>
    <mergeCell ref="AP74:AQ74"/>
    <mergeCell ref="AF68:AG68"/>
    <mergeCell ref="AH68:AI68"/>
    <mergeCell ref="AX96:BE96"/>
    <mergeCell ref="BF96:BM96"/>
    <mergeCell ref="BN96:BV96"/>
    <mergeCell ref="BN97:BV97"/>
    <mergeCell ref="AR96:AS96"/>
    <mergeCell ref="AT96:AU96"/>
    <mergeCell ref="AX84:BE84"/>
    <mergeCell ref="BN84:BV84"/>
    <mergeCell ref="AR84:AS84"/>
    <mergeCell ref="AT84:AU84"/>
    <mergeCell ref="AR90:AS90"/>
    <mergeCell ref="AT90:AU90"/>
    <mergeCell ref="AX90:BE90"/>
    <mergeCell ref="BF90:BM90"/>
    <mergeCell ref="BN90:BV90"/>
    <mergeCell ref="BF93:BM93"/>
    <mergeCell ref="BN93:BV93"/>
    <mergeCell ref="BF91:BM91"/>
    <mergeCell ref="BN91:BV91"/>
    <mergeCell ref="AV84:AW84"/>
    <mergeCell ref="AV90:AW90"/>
    <mergeCell ref="AV96:AW96"/>
    <mergeCell ref="AX95:BE95"/>
    <mergeCell ref="BF84:BM84"/>
    <mergeCell ref="BF95:BM95"/>
    <mergeCell ref="BN95:BV95"/>
    <mergeCell ref="AX86:BE86"/>
    <mergeCell ref="BF86:BM86"/>
    <mergeCell ref="BN86:BV86"/>
    <mergeCell ref="AX89:BE89"/>
    <mergeCell ref="BF89:BM89"/>
    <mergeCell ref="BN89:BV89"/>
    <mergeCell ref="AX80:BE80"/>
    <mergeCell ref="BF80:BM80"/>
    <mergeCell ref="BN80:BV80"/>
    <mergeCell ref="BN79:BV79"/>
    <mergeCell ref="AF80:AG80"/>
    <mergeCell ref="AH80:AI80"/>
    <mergeCell ref="AJ80:AK80"/>
    <mergeCell ref="AL80:AM80"/>
    <mergeCell ref="AN80:AO80"/>
    <mergeCell ref="AP80:AQ80"/>
    <mergeCell ref="AR80:AS80"/>
    <mergeCell ref="AT80:AU80"/>
    <mergeCell ref="AX79:BE79"/>
    <mergeCell ref="BF79:BM79"/>
    <mergeCell ref="AF79:AG79"/>
    <mergeCell ref="AH79:AI79"/>
    <mergeCell ref="AJ79:AK79"/>
    <mergeCell ref="AL79:AM79"/>
    <mergeCell ref="AN79:AO79"/>
    <mergeCell ref="AP79:AQ79"/>
    <mergeCell ref="AR79:AS79"/>
    <mergeCell ref="AT79:AU79"/>
    <mergeCell ref="AV79:AW79"/>
    <mergeCell ref="AV80:AW80"/>
    <mergeCell ref="AX77:BE77"/>
    <mergeCell ref="BF77:BM77"/>
    <mergeCell ref="BN77:BV77"/>
    <mergeCell ref="AF78:AG78"/>
    <mergeCell ref="AH78:AI78"/>
    <mergeCell ref="AJ78:AK78"/>
    <mergeCell ref="AL78:AM78"/>
    <mergeCell ref="AN78:AO78"/>
    <mergeCell ref="AP78:AQ78"/>
    <mergeCell ref="AR78:AS78"/>
    <mergeCell ref="AR77:AS77"/>
    <mergeCell ref="AT77:AU77"/>
    <mergeCell ref="BF78:BM78"/>
    <mergeCell ref="BN78:BV78"/>
    <mergeCell ref="AT78:AU78"/>
    <mergeCell ref="AX78:BE78"/>
    <mergeCell ref="AF77:AG77"/>
    <mergeCell ref="AH77:AI77"/>
    <mergeCell ref="AJ77:AK77"/>
    <mergeCell ref="AL77:AM77"/>
    <mergeCell ref="AN77:AO77"/>
    <mergeCell ref="AP77:AQ77"/>
    <mergeCell ref="AV77:AW77"/>
    <mergeCell ref="AV78:AW78"/>
    <mergeCell ref="AX76:BE76"/>
    <mergeCell ref="BF76:BM76"/>
    <mergeCell ref="BN76:BV76"/>
    <mergeCell ref="BN75:BV75"/>
    <mergeCell ref="AF76:AG76"/>
    <mergeCell ref="AH76:AI76"/>
    <mergeCell ref="AJ76:AK76"/>
    <mergeCell ref="AL76:AM76"/>
    <mergeCell ref="AN76:AO76"/>
    <mergeCell ref="AP76:AQ76"/>
    <mergeCell ref="AR76:AS76"/>
    <mergeCell ref="AT76:AU76"/>
    <mergeCell ref="AX75:BE75"/>
    <mergeCell ref="BF75:BM75"/>
    <mergeCell ref="AF75:AG75"/>
    <mergeCell ref="AH75:AI75"/>
    <mergeCell ref="AJ75:AK75"/>
    <mergeCell ref="AL75:AM75"/>
    <mergeCell ref="AN75:AO75"/>
    <mergeCell ref="AP75:AQ75"/>
    <mergeCell ref="AR75:AS75"/>
    <mergeCell ref="AT75:AU75"/>
    <mergeCell ref="AV76:AW76"/>
    <mergeCell ref="AV75:AW75"/>
    <mergeCell ref="AR74:AS74"/>
    <mergeCell ref="AR73:AS73"/>
    <mergeCell ref="AT73:AU73"/>
    <mergeCell ref="BF74:BM74"/>
    <mergeCell ref="BN74:BV74"/>
    <mergeCell ref="AT74:AU74"/>
    <mergeCell ref="AX74:BE74"/>
    <mergeCell ref="AF73:AG73"/>
    <mergeCell ref="AH73:AI73"/>
    <mergeCell ref="AJ73:AK73"/>
    <mergeCell ref="AL73:AM73"/>
    <mergeCell ref="AN73:AO73"/>
    <mergeCell ref="AP73:AQ73"/>
    <mergeCell ref="AX72:BE72"/>
    <mergeCell ref="BF72:BM72"/>
    <mergeCell ref="BN72:BV72"/>
    <mergeCell ref="BF71:BM71"/>
    <mergeCell ref="BN71:BV71"/>
    <mergeCell ref="AH72:AI72"/>
    <mergeCell ref="AJ72:AK72"/>
    <mergeCell ref="AL72:AM72"/>
    <mergeCell ref="AN72:AO72"/>
    <mergeCell ref="AP72:AQ72"/>
    <mergeCell ref="AR72:AS72"/>
    <mergeCell ref="AT72:AU72"/>
    <mergeCell ref="AT71:AU71"/>
    <mergeCell ref="AX71:BE71"/>
    <mergeCell ref="AX73:BE73"/>
    <mergeCell ref="BF73:BM73"/>
    <mergeCell ref="BN73:BV73"/>
    <mergeCell ref="AX70:BE70"/>
    <mergeCell ref="BF70:BM70"/>
    <mergeCell ref="BN70:BV70"/>
    <mergeCell ref="AF71:AG71"/>
    <mergeCell ref="AH71:AI71"/>
    <mergeCell ref="AJ71:AK71"/>
    <mergeCell ref="AL71:AM71"/>
    <mergeCell ref="AN71:AO71"/>
    <mergeCell ref="AP71:AQ71"/>
    <mergeCell ref="AR71:AS71"/>
    <mergeCell ref="AR70:AS70"/>
    <mergeCell ref="AT70:AU70"/>
    <mergeCell ref="AF70:AG70"/>
    <mergeCell ref="AH70:AI70"/>
    <mergeCell ref="AJ70:AK70"/>
    <mergeCell ref="AL70:AM70"/>
    <mergeCell ref="AN70:AO70"/>
    <mergeCell ref="AP70:AQ70"/>
    <mergeCell ref="BF66:BM66"/>
    <mergeCell ref="AR67:AS67"/>
    <mergeCell ref="AT67:AU67"/>
    <mergeCell ref="AX67:BE67"/>
    <mergeCell ref="BF67:BM67"/>
    <mergeCell ref="BN67:BV67"/>
    <mergeCell ref="AF66:AG66"/>
    <mergeCell ref="AH66:AI66"/>
    <mergeCell ref="AJ66:AK66"/>
    <mergeCell ref="AL66:AM66"/>
    <mergeCell ref="AN66:AO66"/>
    <mergeCell ref="AP66:AQ66"/>
    <mergeCell ref="AR66:AS66"/>
    <mergeCell ref="AT66:AU66"/>
    <mergeCell ref="AX68:BE68"/>
    <mergeCell ref="BF68:BM68"/>
    <mergeCell ref="BN68:BV68"/>
    <mergeCell ref="BN66:BV66"/>
    <mergeCell ref="BF65:BM65"/>
    <mergeCell ref="BN65:BV65"/>
    <mergeCell ref="AX65:BE65"/>
    <mergeCell ref="AX64:BE64"/>
    <mergeCell ref="BF64:BM64"/>
    <mergeCell ref="BN64:BV64"/>
    <mergeCell ref="AX63:BE63"/>
    <mergeCell ref="BF63:BM63"/>
    <mergeCell ref="BN63:BV63"/>
    <mergeCell ref="AT65:AU65"/>
    <mergeCell ref="AF65:AG65"/>
    <mergeCell ref="AH65:AI65"/>
    <mergeCell ref="AJ65:AK65"/>
    <mergeCell ref="AL65:AM65"/>
    <mergeCell ref="AN65:AO65"/>
    <mergeCell ref="AP65:AQ65"/>
    <mergeCell ref="AT63:AU63"/>
    <mergeCell ref="AR65:AS65"/>
    <mergeCell ref="AR64:AS64"/>
    <mergeCell ref="AT64:AU64"/>
    <mergeCell ref="AL64:AM64"/>
    <mergeCell ref="AN64:AO64"/>
    <mergeCell ref="AP64:AQ64"/>
    <mergeCell ref="AF63:AG63"/>
    <mergeCell ref="AJ63:AK63"/>
    <mergeCell ref="AL63:AM63"/>
    <mergeCell ref="AN63:AO63"/>
    <mergeCell ref="AP63:AQ63"/>
    <mergeCell ref="AR63:AS63"/>
    <mergeCell ref="AF64:AG64"/>
    <mergeCell ref="AJ64:AK64"/>
    <mergeCell ref="BF61:BM61"/>
    <mergeCell ref="BN61:BV61"/>
    <mergeCell ref="AF62:AG62"/>
    <mergeCell ref="AJ62:AK62"/>
    <mergeCell ref="AL62:AM62"/>
    <mergeCell ref="AN62:AO62"/>
    <mergeCell ref="AP62:AQ62"/>
    <mergeCell ref="AR62:AS62"/>
    <mergeCell ref="AT62:AU62"/>
    <mergeCell ref="AR61:AS61"/>
    <mergeCell ref="AT61:AU61"/>
    <mergeCell ref="AF61:AG61"/>
    <mergeCell ref="AH61:AI61"/>
    <mergeCell ref="AJ61:AK61"/>
    <mergeCell ref="AL61:AM61"/>
    <mergeCell ref="AN61:AO61"/>
    <mergeCell ref="AP61:AQ61"/>
    <mergeCell ref="BN62:BV62"/>
    <mergeCell ref="BF62:BM62"/>
    <mergeCell ref="AV61:AW61"/>
    <mergeCell ref="AV62:AW62"/>
    <mergeCell ref="AX61:BE61"/>
    <mergeCell ref="AX62:BE62"/>
    <mergeCell ref="AX56:BE56"/>
    <mergeCell ref="BF56:BM56"/>
    <mergeCell ref="BN56:BV56"/>
    <mergeCell ref="AF57:AG57"/>
    <mergeCell ref="AL57:AM57"/>
    <mergeCell ref="AN57:AO57"/>
    <mergeCell ref="AP57:AQ57"/>
    <mergeCell ref="AR57:AS57"/>
    <mergeCell ref="AF56:AG56"/>
    <mergeCell ref="AJ56:AK56"/>
    <mergeCell ref="AL56:AM56"/>
    <mergeCell ref="AN56:AO56"/>
    <mergeCell ref="AP56:AQ56"/>
    <mergeCell ref="AR56:AS56"/>
    <mergeCell ref="AT56:AU56"/>
    <mergeCell ref="BF57:BM57"/>
    <mergeCell ref="BN57:BV57"/>
    <mergeCell ref="AT57:AU57"/>
    <mergeCell ref="AX57:BE57"/>
    <mergeCell ref="AV56:AW56"/>
    <mergeCell ref="AV57:AW57"/>
    <mergeCell ref="AX54:BE54"/>
    <mergeCell ref="BF54:BM54"/>
    <mergeCell ref="BN54:BV54"/>
    <mergeCell ref="AF55:AG55"/>
    <mergeCell ref="AJ55:AK55"/>
    <mergeCell ref="AL55:AM55"/>
    <mergeCell ref="AN55:AO55"/>
    <mergeCell ref="AP55:AQ55"/>
    <mergeCell ref="AR55:AS55"/>
    <mergeCell ref="AT55:AU55"/>
    <mergeCell ref="AR54:AS54"/>
    <mergeCell ref="AT54:AU54"/>
    <mergeCell ref="AF54:AG54"/>
    <mergeCell ref="AJ54:AK54"/>
    <mergeCell ref="AL54:AM54"/>
    <mergeCell ref="AN54:AO54"/>
    <mergeCell ref="AP54:AQ54"/>
    <mergeCell ref="BN55:BV55"/>
    <mergeCell ref="AX55:BE55"/>
    <mergeCell ref="BF55:BM55"/>
    <mergeCell ref="AV55:AW55"/>
    <mergeCell ref="BF52:BM52"/>
    <mergeCell ref="AX53:BE53"/>
    <mergeCell ref="BF53:BM53"/>
    <mergeCell ref="BF51:BM51"/>
    <mergeCell ref="BN51:BV51"/>
    <mergeCell ref="AF52:AG52"/>
    <mergeCell ref="AH52:AI52"/>
    <mergeCell ref="AJ52:AK52"/>
    <mergeCell ref="AL52:AM52"/>
    <mergeCell ref="AN52:AO52"/>
    <mergeCell ref="AP52:AQ52"/>
    <mergeCell ref="AR52:AS52"/>
    <mergeCell ref="AT52:AU52"/>
    <mergeCell ref="AT51:AU51"/>
    <mergeCell ref="AX51:BE51"/>
    <mergeCell ref="BN52:BV52"/>
    <mergeCell ref="AN51:AO51"/>
    <mergeCell ref="AP51:AQ51"/>
    <mergeCell ref="AR51:AS51"/>
    <mergeCell ref="BN53:BV53"/>
    <mergeCell ref="AF51:AG51"/>
    <mergeCell ref="AJ51:AK51"/>
    <mergeCell ref="AL51:AM51"/>
    <mergeCell ref="AF53:AG53"/>
    <mergeCell ref="AJ53:AK53"/>
    <mergeCell ref="AL53:AM53"/>
    <mergeCell ref="AN53:AO53"/>
    <mergeCell ref="AP53:AQ53"/>
    <mergeCell ref="AR53:AS53"/>
    <mergeCell ref="AT53:AU53"/>
    <mergeCell ref="AX52:BE52"/>
    <mergeCell ref="AV51:AW51"/>
    <mergeCell ref="AX50:BE50"/>
    <mergeCell ref="BF50:BM50"/>
    <mergeCell ref="BN50:BV50"/>
    <mergeCell ref="BF49:BM49"/>
    <mergeCell ref="BN49:BV49"/>
    <mergeCell ref="AF50:AG50"/>
    <mergeCell ref="AJ50:AK50"/>
    <mergeCell ref="AL50:AM50"/>
    <mergeCell ref="AN50:AO50"/>
    <mergeCell ref="AP50:AQ50"/>
    <mergeCell ref="AR50:AS50"/>
    <mergeCell ref="AT50:AU50"/>
    <mergeCell ref="AT49:AU49"/>
    <mergeCell ref="AX49:BE49"/>
    <mergeCell ref="AF49:AG49"/>
    <mergeCell ref="AJ49:AK49"/>
    <mergeCell ref="AL49:AM49"/>
    <mergeCell ref="AN49:AO49"/>
    <mergeCell ref="AP49:AQ49"/>
    <mergeCell ref="AR49:AS49"/>
    <mergeCell ref="AX48:BE48"/>
    <mergeCell ref="BF48:BM48"/>
    <mergeCell ref="BN48:BV48"/>
    <mergeCell ref="AX47:BE47"/>
    <mergeCell ref="BF47:BM47"/>
    <mergeCell ref="BN47:BV47"/>
    <mergeCell ref="BN46:BV46"/>
    <mergeCell ref="AF47:AG47"/>
    <mergeCell ref="AH47:AI47"/>
    <mergeCell ref="AJ47:AK47"/>
    <mergeCell ref="AL47:AM47"/>
    <mergeCell ref="AN47:AO47"/>
    <mergeCell ref="AP47:AQ47"/>
    <mergeCell ref="AR47:AS47"/>
    <mergeCell ref="AT47:AU47"/>
    <mergeCell ref="AX46:BE46"/>
    <mergeCell ref="BF46:BM46"/>
    <mergeCell ref="AF46:AG46"/>
    <mergeCell ref="AH46:AI46"/>
    <mergeCell ref="AJ46:AK46"/>
    <mergeCell ref="AL46:AM46"/>
    <mergeCell ref="AN46:AO46"/>
    <mergeCell ref="AP46:AQ46"/>
    <mergeCell ref="AR46:AS46"/>
    <mergeCell ref="AT46:AU46"/>
    <mergeCell ref="AF48:AG48"/>
    <mergeCell ref="AL48:AM48"/>
    <mergeCell ref="AN48:AO48"/>
    <mergeCell ref="AP48:AQ48"/>
    <mergeCell ref="AR48:AS48"/>
    <mergeCell ref="AT48:AU48"/>
    <mergeCell ref="BN43:BV43"/>
    <mergeCell ref="BN40:BV40"/>
    <mergeCell ref="AX44:BE44"/>
    <mergeCell ref="BF44:BM44"/>
    <mergeCell ref="BN44:BV44"/>
    <mergeCell ref="AF45:AG45"/>
    <mergeCell ref="AH45:AI45"/>
    <mergeCell ref="AJ45:AK45"/>
    <mergeCell ref="AL45:AM45"/>
    <mergeCell ref="AN45:AO45"/>
    <mergeCell ref="AP45:AQ45"/>
    <mergeCell ref="AR45:AS45"/>
    <mergeCell ref="AR44:AS44"/>
    <mergeCell ref="AT44:AU44"/>
    <mergeCell ref="BF45:BM45"/>
    <mergeCell ref="BN45:BV45"/>
    <mergeCell ref="AT45:AU45"/>
    <mergeCell ref="AX45:BE45"/>
    <mergeCell ref="BF40:BM40"/>
    <mergeCell ref="AF44:AG44"/>
    <mergeCell ref="AH44:AI44"/>
    <mergeCell ref="AJ44:AK44"/>
    <mergeCell ref="AL44:AM44"/>
    <mergeCell ref="AN44:AO44"/>
    <mergeCell ref="AX43:BE43"/>
    <mergeCell ref="BF43:BM43"/>
    <mergeCell ref="AF43:AG43"/>
    <mergeCell ref="AH43:AI43"/>
    <mergeCell ref="AJ43:AK43"/>
    <mergeCell ref="AL43:AM43"/>
    <mergeCell ref="AN43:AO43"/>
    <mergeCell ref="AP43:AQ43"/>
    <mergeCell ref="AR43:AS43"/>
    <mergeCell ref="AT43:AU43"/>
    <mergeCell ref="AP44:AQ44"/>
    <mergeCell ref="AF40:AG40"/>
    <mergeCell ref="AH40:AI40"/>
    <mergeCell ref="AJ40:AK40"/>
    <mergeCell ref="AL40:AM40"/>
    <mergeCell ref="AN40:AO40"/>
    <mergeCell ref="AP40:AQ40"/>
    <mergeCell ref="AR40:AS40"/>
    <mergeCell ref="AT40:AU40"/>
    <mergeCell ref="AF42:AG42"/>
    <mergeCell ref="AH42:AI42"/>
    <mergeCell ref="AJ42:AK42"/>
    <mergeCell ref="AL42:AM42"/>
    <mergeCell ref="AN42:AO42"/>
    <mergeCell ref="AP42:AQ42"/>
    <mergeCell ref="AR42:AS42"/>
    <mergeCell ref="AT42:AU42"/>
    <mergeCell ref="AF41:AG41"/>
    <mergeCell ref="AJ41:AK41"/>
    <mergeCell ref="AL41:AM41"/>
    <mergeCell ref="AN41:AO41"/>
    <mergeCell ref="AP41:AQ41"/>
    <mergeCell ref="AR41:AS41"/>
    <mergeCell ref="AT41:AU41"/>
    <mergeCell ref="AH41:AI41"/>
    <mergeCell ref="BF32:BM32"/>
    <mergeCell ref="AX34:BE34"/>
    <mergeCell ref="BF34:BM34"/>
    <mergeCell ref="BN34:BV34"/>
    <mergeCell ref="AP33:AQ33"/>
    <mergeCell ref="AR33:AS33"/>
    <mergeCell ref="AT33:AU33"/>
    <mergeCell ref="AP34:AQ34"/>
    <mergeCell ref="AX33:BE33"/>
    <mergeCell ref="BF33:BM33"/>
    <mergeCell ref="BN33:BV33"/>
    <mergeCell ref="AP32:AQ32"/>
    <mergeCell ref="AR32:AS32"/>
    <mergeCell ref="AT32:AU32"/>
    <mergeCell ref="AX32:BE32"/>
    <mergeCell ref="AV33:AW33"/>
    <mergeCell ref="AX40:BE40"/>
    <mergeCell ref="AX38:BE38"/>
    <mergeCell ref="BF39:BM39"/>
    <mergeCell ref="BN38:BV38"/>
    <mergeCell ref="AP39:AQ39"/>
    <mergeCell ref="AR39:AS39"/>
    <mergeCell ref="AR38:AS38"/>
    <mergeCell ref="AT38:AU38"/>
    <mergeCell ref="BN39:BV39"/>
    <mergeCell ref="AT39:AU39"/>
    <mergeCell ref="AX39:BE39"/>
    <mergeCell ref="AP38:AQ38"/>
    <mergeCell ref="BF38:BM38"/>
    <mergeCell ref="AX37:BE37"/>
    <mergeCell ref="BF37:BM37"/>
    <mergeCell ref="BN37:BV37"/>
    <mergeCell ref="AF32:AG32"/>
    <mergeCell ref="AH32:AI32"/>
    <mergeCell ref="AJ32:AK32"/>
    <mergeCell ref="AL32:AM32"/>
    <mergeCell ref="AN32:AO32"/>
    <mergeCell ref="AL33:AM33"/>
    <mergeCell ref="AN33:AO33"/>
    <mergeCell ref="AF34:AG34"/>
    <mergeCell ref="AH34:AI34"/>
    <mergeCell ref="AJ34:AK34"/>
    <mergeCell ref="AL34:AM34"/>
    <mergeCell ref="AN34:AO34"/>
    <mergeCell ref="AF33:AG33"/>
    <mergeCell ref="AH33:AI33"/>
    <mergeCell ref="AJ33:AK33"/>
    <mergeCell ref="AR34:AS34"/>
    <mergeCell ref="AT34:AU34"/>
    <mergeCell ref="AF28:AG28"/>
    <mergeCell ref="AH28:AI28"/>
    <mergeCell ref="AJ28:AK28"/>
    <mergeCell ref="AL28:AM28"/>
    <mergeCell ref="AN28:AO28"/>
    <mergeCell ref="AP28:AQ28"/>
    <mergeCell ref="AF30:AG30"/>
    <mergeCell ref="AH30:AI30"/>
    <mergeCell ref="AR28:AS28"/>
    <mergeCell ref="BN31:BV31"/>
    <mergeCell ref="BN32:BV32"/>
    <mergeCell ref="BF27:BM27"/>
    <mergeCell ref="BN27:BV27"/>
    <mergeCell ref="AX27:BE27"/>
    <mergeCell ref="AR30:AS30"/>
    <mergeCell ref="AT30:AU30"/>
    <mergeCell ref="AX28:BE28"/>
    <mergeCell ref="BF28:BM28"/>
    <mergeCell ref="AX30:BE30"/>
    <mergeCell ref="BF30:BM30"/>
    <mergeCell ref="AV31:AW31"/>
    <mergeCell ref="AV32:AW32"/>
    <mergeCell ref="AF31:AG31"/>
    <mergeCell ref="AH31:AI31"/>
    <mergeCell ref="AJ31:AK31"/>
    <mergeCell ref="AL31:AM31"/>
    <mergeCell ref="AN31:AO31"/>
    <mergeCell ref="AP31:AQ31"/>
    <mergeCell ref="BF31:BM31"/>
    <mergeCell ref="AR31:AS31"/>
    <mergeCell ref="AT31:AU31"/>
    <mergeCell ref="AX31:BE31"/>
    <mergeCell ref="BN30:BV30"/>
    <mergeCell ref="BN28:BV28"/>
    <mergeCell ref="AJ30:AK30"/>
    <mergeCell ref="AL30:AM30"/>
    <mergeCell ref="AN30:AO30"/>
    <mergeCell ref="AP30:AQ30"/>
    <mergeCell ref="AT28:AU28"/>
    <mergeCell ref="AT27:AU27"/>
    <mergeCell ref="AX26:BE26"/>
    <mergeCell ref="AV25:AW25"/>
    <mergeCell ref="AV26:AW26"/>
    <mergeCell ref="AV27:AW27"/>
    <mergeCell ref="AV28:AW28"/>
    <mergeCell ref="AV30:AW30"/>
    <mergeCell ref="AP25:AQ25"/>
    <mergeCell ref="AR25:AS25"/>
    <mergeCell ref="AT25:AU25"/>
    <mergeCell ref="AP26:AQ26"/>
    <mergeCell ref="AR26:AS26"/>
    <mergeCell ref="AT26:AU26"/>
    <mergeCell ref="AX25:BE25"/>
    <mergeCell ref="BF25:BM25"/>
    <mergeCell ref="BN25:BV25"/>
    <mergeCell ref="BF26:BM26"/>
    <mergeCell ref="BN26:BV26"/>
    <mergeCell ref="BF21:BM21"/>
    <mergeCell ref="BN21:BV21"/>
    <mergeCell ref="AF22:AG22"/>
    <mergeCell ref="AH22:AI22"/>
    <mergeCell ref="BF22:BM22"/>
    <mergeCell ref="BN22:BV22"/>
    <mergeCell ref="AT22:AU22"/>
    <mergeCell ref="AX22:BE22"/>
    <mergeCell ref="AF21:AG21"/>
    <mergeCell ref="AH21:AI21"/>
    <mergeCell ref="AJ21:AK21"/>
    <mergeCell ref="AL21:AM21"/>
    <mergeCell ref="AN21:AO21"/>
    <mergeCell ref="AP21:AQ21"/>
    <mergeCell ref="AJ22:AK22"/>
    <mergeCell ref="AL22:AM22"/>
    <mergeCell ref="AN22:AO22"/>
    <mergeCell ref="AP22:AQ22"/>
    <mergeCell ref="AR22:AS22"/>
    <mergeCell ref="AR21:AS21"/>
    <mergeCell ref="AT21:AU21"/>
    <mergeCell ref="AV21:AW21"/>
    <mergeCell ref="AV22:AW22"/>
    <mergeCell ref="BF14:BM14"/>
    <mergeCell ref="BN14:BV14"/>
    <mergeCell ref="BN13:BV13"/>
    <mergeCell ref="AF14:AG14"/>
    <mergeCell ref="AH14:AI14"/>
    <mergeCell ref="AJ14:AK14"/>
    <mergeCell ref="AL14:AM14"/>
    <mergeCell ref="AN14:AO14"/>
    <mergeCell ref="AP14:AQ14"/>
    <mergeCell ref="AR14:AS14"/>
    <mergeCell ref="AT14:AU14"/>
    <mergeCell ref="AX13:BE13"/>
    <mergeCell ref="BF13:BM13"/>
    <mergeCell ref="AF13:AG13"/>
    <mergeCell ref="AH13:AI13"/>
    <mergeCell ref="AJ13:AK13"/>
    <mergeCell ref="AL13:AM13"/>
    <mergeCell ref="AN13:AO13"/>
    <mergeCell ref="AP13:AQ13"/>
    <mergeCell ref="AR13:AS13"/>
    <mergeCell ref="AT13:AU13"/>
    <mergeCell ref="AX14:BE14"/>
    <mergeCell ref="AX20:BE20"/>
    <mergeCell ref="BF20:BM20"/>
    <mergeCell ref="BN20:BV20"/>
    <mergeCell ref="AF19:AG19"/>
    <mergeCell ref="AJ12:AK12"/>
    <mergeCell ref="AL12:AM12"/>
    <mergeCell ref="AN12:AO12"/>
    <mergeCell ref="AP12:AQ12"/>
    <mergeCell ref="AR12:AS12"/>
    <mergeCell ref="AR11:AS11"/>
    <mergeCell ref="AT11:AU11"/>
    <mergeCell ref="BF12:BM12"/>
    <mergeCell ref="BN12:BV12"/>
    <mergeCell ref="AT12:AU12"/>
    <mergeCell ref="AX12:BE12"/>
    <mergeCell ref="AF11:AG11"/>
    <mergeCell ref="AH11:AI11"/>
    <mergeCell ref="AJ11:AK11"/>
    <mergeCell ref="AL11:AM11"/>
    <mergeCell ref="AN11:AO11"/>
    <mergeCell ref="AP11:AQ11"/>
    <mergeCell ref="AX11:BE11"/>
    <mergeCell ref="AH19:AI19"/>
    <mergeCell ref="AJ19:AK19"/>
    <mergeCell ref="AL19:AM19"/>
    <mergeCell ref="AN19:AO19"/>
    <mergeCell ref="AP19:AQ19"/>
    <mergeCell ref="AR19:AS19"/>
    <mergeCell ref="AT19:AU19"/>
    <mergeCell ref="AX19:BE19"/>
    <mergeCell ref="BF19:BM19"/>
    <mergeCell ref="BN19:BV19"/>
    <mergeCell ref="AV9:AW9"/>
    <mergeCell ref="AV10:AW10"/>
    <mergeCell ref="AV11:AW11"/>
    <mergeCell ref="AV12:AW12"/>
    <mergeCell ref="AV13:AW13"/>
    <mergeCell ref="AV14:AW14"/>
    <mergeCell ref="BF8:BM9"/>
    <mergeCell ref="BF10:BM10"/>
    <mergeCell ref="BN10:BV10"/>
    <mergeCell ref="AF10:AG10"/>
    <mergeCell ref="AH10:AI10"/>
    <mergeCell ref="AJ10:AK10"/>
    <mergeCell ref="AL10:AM10"/>
    <mergeCell ref="AN10:AO10"/>
    <mergeCell ref="AP10:AQ10"/>
    <mergeCell ref="AR10:AS10"/>
    <mergeCell ref="AT10:AU10"/>
    <mergeCell ref="BN8:BV9"/>
    <mergeCell ref="AF9:AG9"/>
    <mergeCell ref="AH9:AI9"/>
    <mergeCell ref="AJ9:AK9"/>
    <mergeCell ref="AL9:AM9"/>
    <mergeCell ref="AN9:AO9"/>
    <mergeCell ref="AP9:AQ9"/>
    <mergeCell ref="AR9:AS9"/>
    <mergeCell ref="AT9:AU9"/>
    <mergeCell ref="AX8:BE9"/>
    <mergeCell ref="AF8:AW8"/>
    <mergeCell ref="BF11:BM11"/>
    <mergeCell ref="BN11:BV11"/>
    <mergeCell ref="AF12:AG12"/>
    <mergeCell ref="AH12:AI12"/>
    <mergeCell ref="AF20:AG20"/>
    <mergeCell ref="AH20:AI20"/>
    <mergeCell ref="AJ20:AK20"/>
    <mergeCell ref="AP20:AQ20"/>
    <mergeCell ref="AR20:AS20"/>
    <mergeCell ref="AT20:AU20"/>
    <mergeCell ref="AL20:AM20"/>
    <mergeCell ref="AN20:AO20"/>
    <mergeCell ref="AV19:AW19"/>
    <mergeCell ref="AV20:AW20"/>
    <mergeCell ref="BF16:BM16"/>
    <mergeCell ref="BN16:BV16"/>
    <mergeCell ref="AF15:AG15"/>
    <mergeCell ref="AH15:AI15"/>
    <mergeCell ref="AJ15:AK15"/>
    <mergeCell ref="AL15:AM15"/>
    <mergeCell ref="AN15:AO15"/>
    <mergeCell ref="AP15:AQ15"/>
    <mergeCell ref="AR15:AS15"/>
    <mergeCell ref="AT15:AU15"/>
    <mergeCell ref="AX15:BE15"/>
    <mergeCell ref="BF15:BM15"/>
    <mergeCell ref="BN15:BV15"/>
    <mergeCell ref="AF16:AG16"/>
    <mergeCell ref="AH16:AI16"/>
    <mergeCell ref="AJ16:AK16"/>
    <mergeCell ref="AL16:AM16"/>
    <mergeCell ref="AN16:AO16"/>
    <mergeCell ref="AV15:AW15"/>
    <mergeCell ref="AV16:AW16"/>
    <mergeCell ref="AX16:BE16"/>
    <mergeCell ref="AR16:AS16"/>
    <mergeCell ref="AT16:AU16"/>
    <mergeCell ref="AV52:AW52"/>
    <mergeCell ref="AV53:AW53"/>
    <mergeCell ref="AV54:AW54"/>
    <mergeCell ref="AV34:AW34"/>
    <mergeCell ref="AV37:AW37"/>
    <mergeCell ref="AV38:AW38"/>
    <mergeCell ref="AV39:AW39"/>
    <mergeCell ref="AV40:AW40"/>
    <mergeCell ref="AV43:AW43"/>
    <mergeCell ref="AV44:AW44"/>
    <mergeCell ref="AV45:AW45"/>
    <mergeCell ref="AV42:AW42"/>
    <mergeCell ref="AH91:AI91"/>
    <mergeCell ref="AJ91:AK91"/>
    <mergeCell ref="AL91:AM91"/>
    <mergeCell ref="AN91:AO91"/>
    <mergeCell ref="AP91:AQ91"/>
    <mergeCell ref="AR91:AS91"/>
    <mergeCell ref="AT91:AU91"/>
    <mergeCell ref="AV91:AW91"/>
    <mergeCell ref="AH39:AI39"/>
    <mergeCell ref="AJ39:AK39"/>
    <mergeCell ref="AL39:AM39"/>
    <mergeCell ref="AN39:AO39"/>
    <mergeCell ref="AH38:AI38"/>
    <mergeCell ref="AJ38:AK38"/>
    <mergeCell ref="AL38:AM38"/>
    <mergeCell ref="AN38:AO38"/>
    <mergeCell ref="AH37:AI37"/>
    <mergeCell ref="AJ37:AK37"/>
    <mergeCell ref="AL37:AM37"/>
    <mergeCell ref="AF95:AG95"/>
    <mergeCell ref="AH95:AI95"/>
    <mergeCell ref="AJ95:AK95"/>
    <mergeCell ref="AL95:AM95"/>
    <mergeCell ref="AN95:AO95"/>
    <mergeCell ref="AP95:AQ95"/>
    <mergeCell ref="AR95:AS95"/>
    <mergeCell ref="AT95:AU95"/>
    <mergeCell ref="AV95:AW95"/>
    <mergeCell ref="AV82:AW82"/>
    <mergeCell ref="BN85:BV85"/>
    <mergeCell ref="AX82:BE82"/>
    <mergeCell ref="BF82:BM82"/>
    <mergeCell ref="BN82:BV82"/>
    <mergeCell ref="AF83:AG83"/>
    <mergeCell ref="AH83:AI83"/>
    <mergeCell ref="AJ83:AK83"/>
    <mergeCell ref="AL83:AM83"/>
    <mergeCell ref="AF91:AG91"/>
    <mergeCell ref="AX91:BE91"/>
    <mergeCell ref="AF93:AG93"/>
    <mergeCell ref="AH93:AI93"/>
    <mergeCell ref="AJ93:AK93"/>
    <mergeCell ref="AL93:AM93"/>
    <mergeCell ref="AN93:AO93"/>
    <mergeCell ref="AP93:AQ93"/>
    <mergeCell ref="AR93:AS93"/>
    <mergeCell ref="AT93:AU93"/>
    <mergeCell ref="AX93:BE93"/>
    <mergeCell ref="AV93:AW93"/>
    <mergeCell ref="AV85:AW85"/>
    <mergeCell ref="AN83:AO83"/>
    <mergeCell ref="AV41:AW41"/>
    <mergeCell ref="AX41:BE41"/>
    <mergeCell ref="BF41:BM41"/>
    <mergeCell ref="BN41:BV41"/>
    <mergeCell ref="AF35:AG35"/>
    <mergeCell ref="AH35:AI35"/>
    <mergeCell ref="AJ35:AK35"/>
    <mergeCell ref="AL35:AM35"/>
    <mergeCell ref="AN35:AO35"/>
    <mergeCell ref="AP35:AQ35"/>
    <mergeCell ref="AR35:AS35"/>
    <mergeCell ref="AT35:AU35"/>
    <mergeCell ref="AV35:AW35"/>
    <mergeCell ref="AF39:AG39"/>
    <mergeCell ref="AF38:AG38"/>
    <mergeCell ref="AF37:AG37"/>
    <mergeCell ref="AN37:AO37"/>
    <mergeCell ref="AP37:AQ37"/>
    <mergeCell ref="AR37:AS37"/>
    <mergeCell ref="AT37:AU37"/>
    <mergeCell ref="AX35:BE35"/>
    <mergeCell ref="BF35:BM35"/>
    <mergeCell ref="BN35:BV35"/>
    <mergeCell ref="AF36:AG36"/>
    <mergeCell ref="AH36:AI36"/>
    <mergeCell ref="AJ36:AK36"/>
    <mergeCell ref="AL36:AM36"/>
    <mergeCell ref="AN36:AO36"/>
    <mergeCell ref="AP36:AQ36"/>
    <mergeCell ref="AR36:AS36"/>
    <mergeCell ref="AT36:AU36"/>
    <mergeCell ref="AV36:AW36"/>
    <mergeCell ref="AX36:BE36"/>
    <mergeCell ref="BF36:BM36"/>
    <mergeCell ref="BN36:BV36"/>
    <mergeCell ref="AX24:BE24"/>
    <mergeCell ref="BF24:BM24"/>
    <mergeCell ref="BN24:BV24"/>
    <mergeCell ref="AF24:AG24"/>
    <mergeCell ref="AH24:AI24"/>
    <mergeCell ref="AJ24:AK24"/>
    <mergeCell ref="AL24:AM24"/>
    <mergeCell ref="AN24:AO24"/>
    <mergeCell ref="AP24:AQ24"/>
    <mergeCell ref="AR24:AS24"/>
    <mergeCell ref="AT24:AU24"/>
    <mergeCell ref="AV24:AW24"/>
    <mergeCell ref="AF25:AG25"/>
    <mergeCell ref="AH25:AI25"/>
    <mergeCell ref="AJ25:AK25"/>
    <mergeCell ref="AL25:AM25"/>
    <mergeCell ref="AN25:AO25"/>
    <mergeCell ref="AH27:AI27"/>
    <mergeCell ref="AJ27:AK27"/>
    <mergeCell ref="AL27:AM27"/>
    <mergeCell ref="AN27:AO27"/>
    <mergeCell ref="AP27:AQ27"/>
    <mergeCell ref="AR27:AS27"/>
    <mergeCell ref="AF27:AG27"/>
    <mergeCell ref="AF26:AG26"/>
    <mergeCell ref="AH26:AI26"/>
    <mergeCell ref="AJ26:AK26"/>
    <mergeCell ref="AL26:AM26"/>
    <mergeCell ref="AN26:AO26"/>
    <mergeCell ref="AX42:BE42"/>
    <mergeCell ref="BF42:BM42"/>
    <mergeCell ref="BN42:BV42"/>
    <mergeCell ref="AF81:AG81"/>
    <mergeCell ref="AH81:AI81"/>
    <mergeCell ref="AJ81:AK81"/>
    <mergeCell ref="AL81:AM81"/>
    <mergeCell ref="AN81:AO81"/>
    <mergeCell ref="AP81:AQ81"/>
    <mergeCell ref="AR81:AS81"/>
    <mergeCell ref="AT81:AU81"/>
    <mergeCell ref="AV81:AW81"/>
    <mergeCell ref="AX81:BE81"/>
    <mergeCell ref="BF81:BM81"/>
    <mergeCell ref="BN81:BV81"/>
    <mergeCell ref="AV67:AW67"/>
    <mergeCell ref="AV68:AW68"/>
    <mergeCell ref="AV69:AW69"/>
    <mergeCell ref="AV70:AW70"/>
    <mergeCell ref="AV71:AW71"/>
    <mergeCell ref="AV72:AW72"/>
    <mergeCell ref="AV73:AW73"/>
    <mergeCell ref="AV74:AW74"/>
    <mergeCell ref="AV63:AW63"/>
    <mergeCell ref="AV64:AW64"/>
    <mergeCell ref="AV65:AW65"/>
    <mergeCell ref="AV66:AW66"/>
    <mergeCell ref="AV46:AW46"/>
    <mergeCell ref="AV47:AW47"/>
    <mergeCell ref="AV48:AW48"/>
    <mergeCell ref="AV49:AW49"/>
    <mergeCell ref="AV50:AW50"/>
    <mergeCell ref="AP83:AQ83"/>
    <mergeCell ref="AR83:AS83"/>
    <mergeCell ref="AT83:AU83"/>
    <mergeCell ref="AV83:AW83"/>
    <mergeCell ref="AX83:BE83"/>
    <mergeCell ref="BF83:BM83"/>
    <mergeCell ref="BN83:BV83"/>
    <mergeCell ref="AF82:AG82"/>
    <mergeCell ref="AH82:AI82"/>
    <mergeCell ref="AJ82:AK82"/>
    <mergeCell ref="AL82:AM82"/>
    <mergeCell ref="AN82:AO82"/>
    <mergeCell ref="AP82:AQ82"/>
    <mergeCell ref="AR82:AS82"/>
    <mergeCell ref="AT82:AU82"/>
    <mergeCell ref="AX85:BE85"/>
    <mergeCell ref="BF85:BM85"/>
    <mergeCell ref="AF85:AG85"/>
    <mergeCell ref="AH85:AI85"/>
    <mergeCell ref="AJ85:AK85"/>
    <mergeCell ref="AL85:AM85"/>
    <mergeCell ref="AN85:AO85"/>
    <mergeCell ref="AP85:AQ85"/>
    <mergeCell ref="AR85:AS85"/>
    <mergeCell ref="AT85:AU85"/>
    <mergeCell ref="AF87:AG87"/>
    <mergeCell ref="AH87:AI87"/>
    <mergeCell ref="AJ87:AK87"/>
    <mergeCell ref="AL87:AM87"/>
    <mergeCell ref="AN87:AO87"/>
    <mergeCell ref="AP87:AQ87"/>
    <mergeCell ref="AR87:AS87"/>
    <mergeCell ref="AT87:AU87"/>
    <mergeCell ref="AV87:AW87"/>
    <mergeCell ref="AX87:BE87"/>
    <mergeCell ref="BF87:BM87"/>
    <mergeCell ref="BN87:BV87"/>
    <mergeCell ref="AF86:AG86"/>
    <mergeCell ref="AH86:AI86"/>
    <mergeCell ref="AJ86:AK86"/>
    <mergeCell ref="AL86:AM86"/>
    <mergeCell ref="AN86:AO86"/>
    <mergeCell ref="AP86:AQ86"/>
    <mergeCell ref="AR86:AS86"/>
    <mergeCell ref="AT86:AU86"/>
    <mergeCell ref="AV86:AW86"/>
    <mergeCell ref="AF89:AG89"/>
    <mergeCell ref="AH89:AI89"/>
    <mergeCell ref="AJ89:AK89"/>
    <mergeCell ref="AL89:AM89"/>
    <mergeCell ref="AN89:AO89"/>
    <mergeCell ref="AP89:AQ89"/>
    <mergeCell ref="AR89:AS89"/>
    <mergeCell ref="AT89:AU89"/>
    <mergeCell ref="AV89:AW89"/>
    <mergeCell ref="AF88:AG88"/>
    <mergeCell ref="AH88:AI88"/>
    <mergeCell ref="AJ88:AK88"/>
    <mergeCell ref="AL88:AM88"/>
    <mergeCell ref="AN88:AO88"/>
    <mergeCell ref="AP88:AQ88"/>
    <mergeCell ref="AR88:AS88"/>
    <mergeCell ref="AT88:AU88"/>
    <mergeCell ref="AV88:AW88"/>
    <mergeCell ref="AX88:BE88"/>
    <mergeCell ref="AX17:BE17"/>
    <mergeCell ref="BF17:BM17"/>
    <mergeCell ref="BN17:BV17"/>
    <mergeCell ref="AF18:AG18"/>
    <mergeCell ref="AH18:AI18"/>
    <mergeCell ref="AJ18:AK18"/>
    <mergeCell ref="AL18:AM18"/>
    <mergeCell ref="AN18:AO18"/>
    <mergeCell ref="AP18:AQ18"/>
    <mergeCell ref="AR18:AS18"/>
    <mergeCell ref="AT18:AU18"/>
    <mergeCell ref="AV18:AW18"/>
    <mergeCell ref="AX18:BE18"/>
    <mergeCell ref="BF18:BM18"/>
    <mergeCell ref="BN18:BV18"/>
    <mergeCell ref="AF17:AG17"/>
    <mergeCell ref="AH17:AI17"/>
    <mergeCell ref="AJ17:AK17"/>
    <mergeCell ref="AL17:AM17"/>
    <mergeCell ref="AN17:AO17"/>
    <mergeCell ref="AP17:AQ17"/>
    <mergeCell ref="AR17:AS17"/>
    <mergeCell ref="AT17:AU17"/>
    <mergeCell ref="AV17:AW17"/>
    <mergeCell ref="BF60:BM60"/>
    <mergeCell ref="BN60:BV60"/>
    <mergeCell ref="AF60:AG60"/>
    <mergeCell ref="AJ60:AK60"/>
    <mergeCell ref="AL60:AM60"/>
    <mergeCell ref="AN60:AO60"/>
    <mergeCell ref="AP60:AQ60"/>
    <mergeCell ref="AR60:AS60"/>
    <mergeCell ref="AT60:AU60"/>
    <mergeCell ref="AV60:AW60"/>
    <mergeCell ref="AX60:BE60"/>
    <mergeCell ref="BN58:BV58"/>
    <mergeCell ref="AF59:AG59"/>
    <mergeCell ref="AJ59:AK59"/>
    <mergeCell ref="AL59:AM59"/>
    <mergeCell ref="AN59:AO59"/>
    <mergeCell ref="AP59:AQ59"/>
    <mergeCell ref="AR59:AS59"/>
    <mergeCell ref="AT59:AU59"/>
    <mergeCell ref="AV59:AW59"/>
    <mergeCell ref="AX59:BE59"/>
    <mergeCell ref="BF59:BM59"/>
    <mergeCell ref="BN59:BV59"/>
    <mergeCell ref="AF58:AG58"/>
    <mergeCell ref="AL58:AM58"/>
    <mergeCell ref="AN58:AO58"/>
    <mergeCell ref="AP58:AQ58"/>
    <mergeCell ref="AR58:AS58"/>
    <mergeCell ref="AT58:AU58"/>
    <mergeCell ref="AV58:AW58"/>
    <mergeCell ref="AX58:BE58"/>
    <mergeCell ref="BF58:BM58"/>
    <mergeCell ref="AX92:BE92"/>
    <mergeCell ref="BF92:BM92"/>
    <mergeCell ref="BN92:BV92"/>
    <mergeCell ref="AF94:AG94"/>
    <mergeCell ref="AH94:AI94"/>
    <mergeCell ref="AJ94:AK94"/>
    <mergeCell ref="AL94:AM94"/>
    <mergeCell ref="AN94:AO94"/>
    <mergeCell ref="AP94:AQ94"/>
    <mergeCell ref="AR94:AS94"/>
    <mergeCell ref="AT94:AU94"/>
    <mergeCell ref="AV94:AW94"/>
    <mergeCell ref="AX94:BE94"/>
    <mergeCell ref="BF94:BM94"/>
    <mergeCell ref="BN94:BV94"/>
    <mergeCell ref="AF92:AG92"/>
    <mergeCell ref="AH92:AI92"/>
    <mergeCell ref="AJ92:AK92"/>
    <mergeCell ref="AL92:AM92"/>
    <mergeCell ref="AN92:AO92"/>
    <mergeCell ref="AP92:AQ92"/>
    <mergeCell ref="AR92:AS92"/>
    <mergeCell ref="AT92:AU92"/>
    <mergeCell ref="AV92:AW92"/>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8EF4-AC73-43D7-B779-3ACB78BD5EE5}">
  <dimension ref="A1:BP137"/>
  <sheetViews>
    <sheetView showGridLines="0" zoomScale="85" zoomScaleNormal="85" workbookViewId="0">
      <pane xSplit="18" ySplit="9" topLeftCell="S65" activePane="bottomRight" state="frozen"/>
      <selection pane="bottomRight" activeCell="S10" sqref="S10"/>
      <selection pane="bottomLeft" activeCell="A10" sqref="A10"/>
      <selection pane="topRight" activeCell="S1" sqref="S1"/>
    </sheetView>
  </sheetViews>
  <sheetFormatPr defaultColWidth="2.375" defaultRowHeight="13.5"/>
  <cols>
    <col min="1" max="17" width="2.375" style="1"/>
    <col min="18" max="18" width="3.375" style="1" customWidth="1"/>
    <col min="19" max="31" width="2.375" style="1"/>
    <col min="32" max="41" width="3.75" style="1" customWidth="1"/>
    <col min="42" max="42" width="2.375" style="1" customWidth="1"/>
    <col min="43" max="45" width="2.375" style="1"/>
    <col min="46" max="47" width="2.375" style="1" customWidth="1"/>
    <col min="48" max="16384" width="2.375" style="1"/>
  </cols>
  <sheetData>
    <row r="1" spans="1:68"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8" t="s">
        <v>10</v>
      </c>
      <c r="AI1" s="229"/>
      <c r="AJ1" s="229"/>
      <c r="AK1" s="229"/>
      <c r="AL1" s="229"/>
      <c r="AM1" s="229"/>
      <c r="AN1" s="230"/>
      <c r="AO1" s="228" t="s">
        <v>11</v>
      </c>
      <c r="AP1" s="229"/>
      <c r="AQ1" s="229"/>
      <c r="AR1" s="229"/>
      <c r="AS1" s="229"/>
      <c r="AT1" s="230"/>
    </row>
    <row r="2" spans="1:68"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49" t="s">
        <v>13</v>
      </c>
      <c r="AI2" s="250"/>
      <c r="AJ2" s="251">
        <f>変更履歴!AT2</f>
        <v>45420</v>
      </c>
      <c r="AK2" s="252"/>
      <c r="AL2" s="252"/>
      <c r="AM2" s="252"/>
      <c r="AN2" s="253"/>
      <c r="AO2" s="254" t="str">
        <f>変更履歴!BA2</f>
        <v>JBS井田</v>
      </c>
      <c r="AP2" s="255"/>
      <c r="AQ2" s="255"/>
      <c r="AR2" s="255"/>
      <c r="AS2" s="255"/>
      <c r="AT2" s="256"/>
    </row>
    <row r="3" spans="1:68"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57" t="s">
        <v>14</v>
      </c>
      <c r="AI3" s="258"/>
      <c r="AJ3" s="259">
        <f ca="1">変更履歴!AT3</f>
        <v>45911</v>
      </c>
      <c r="AK3" s="260"/>
      <c r="AL3" s="260"/>
      <c r="AM3" s="260"/>
      <c r="AN3" s="261"/>
      <c r="AO3" s="262" t="str">
        <f ca="1">変更履歴!BA3</f>
        <v>JBS加藤</v>
      </c>
      <c r="AP3" s="263"/>
      <c r="AQ3" s="263"/>
      <c r="AR3" s="263"/>
      <c r="AS3" s="263"/>
      <c r="AT3" s="264"/>
    </row>
    <row r="4" spans="1:68">
      <c r="A4" s="2"/>
      <c r="B4" s="70"/>
      <c r="C4" s="70"/>
      <c r="D4" s="70"/>
      <c r="E4" s="70"/>
      <c r="F4" s="70"/>
      <c r="G4" s="70"/>
      <c r="H4" s="70"/>
      <c r="I4" s="70"/>
      <c r="J4" s="70"/>
      <c r="K4" s="70"/>
      <c r="L4" s="70"/>
      <c r="M4" s="70"/>
      <c r="N4" s="70"/>
      <c r="O4" s="70"/>
      <c r="P4" s="70"/>
      <c r="Q4" s="70"/>
    </row>
    <row r="5" spans="1:68">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row>
    <row r="6" spans="1:68"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7"/>
    </row>
    <row r="7" spans="1:68"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41"/>
      <c r="BH7" s="44"/>
      <c r="BI7" s="44"/>
      <c r="BJ7" s="44"/>
      <c r="BK7" s="44"/>
      <c r="BL7" s="44"/>
      <c r="BM7" s="44"/>
      <c r="BN7" s="44"/>
      <c r="BO7" s="31"/>
    </row>
    <row r="8" spans="1:68" s="8" customFormat="1" ht="14.1" customHeight="1" thickBot="1">
      <c r="A8" s="9"/>
      <c r="B8" s="339" t="s">
        <v>110</v>
      </c>
      <c r="C8" s="374"/>
      <c r="D8" s="374"/>
      <c r="E8" s="374"/>
      <c r="F8" s="374"/>
      <c r="G8" s="374"/>
      <c r="H8" s="374"/>
      <c r="I8" s="383"/>
      <c r="J8" s="340" t="s">
        <v>111</v>
      </c>
      <c r="K8" s="374"/>
      <c r="L8" s="374"/>
      <c r="M8" s="374"/>
      <c r="N8" s="374"/>
      <c r="O8" s="374"/>
      <c r="P8" s="374"/>
      <c r="Q8" s="374"/>
      <c r="R8" s="302" t="s">
        <v>112</v>
      </c>
      <c r="S8" s="318" t="s">
        <v>113</v>
      </c>
      <c r="T8" s="319"/>
      <c r="U8" s="319"/>
      <c r="V8" s="319"/>
      <c r="W8" s="319"/>
      <c r="X8" s="319"/>
      <c r="Y8" s="319"/>
      <c r="Z8" s="319"/>
      <c r="AA8" s="319"/>
      <c r="AB8" s="319"/>
      <c r="AC8" s="319"/>
      <c r="AD8" s="319"/>
      <c r="AE8" s="320"/>
      <c r="AF8" s="323"/>
      <c r="AG8" s="323"/>
      <c r="AH8" s="323"/>
      <c r="AI8" s="323"/>
      <c r="AJ8" s="323"/>
      <c r="AK8" s="323"/>
      <c r="AL8" s="323"/>
      <c r="AM8" s="323"/>
      <c r="AN8" s="323"/>
      <c r="AO8" s="323"/>
      <c r="AP8" s="369" t="s">
        <v>115</v>
      </c>
      <c r="AQ8" s="347"/>
      <c r="AR8" s="347"/>
      <c r="AS8" s="347"/>
      <c r="AT8" s="347"/>
      <c r="AU8" s="347"/>
      <c r="AV8" s="347"/>
      <c r="AW8" s="348"/>
      <c r="AX8" s="318" t="s">
        <v>116</v>
      </c>
      <c r="AY8" s="319"/>
      <c r="AZ8" s="319"/>
      <c r="BA8" s="319"/>
      <c r="BB8" s="319"/>
      <c r="BC8" s="319"/>
      <c r="BD8" s="319"/>
      <c r="BE8" s="320"/>
      <c r="BF8" s="318" t="s">
        <v>117</v>
      </c>
      <c r="BG8" s="319"/>
      <c r="BH8" s="319"/>
      <c r="BI8" s="319"/>
      <c r="BJ8" s="319"/>
      <c r="BK8" s="319"/>
      <c r="BL8" s="319"/>
      <c r="BM8" s="319"/>
      <c r="BN8" s="409"/>
      <c r="BO8" s="10"/>
    </row>
    <row r="9" spans="1:68" s="8" customFormat="1">
      <c r="A9" s="9"/>
      <c r="B9" s="384"/>
      <c r="C9" s="376"/>
      <c r="D9" s="376"/>
      <c r="E9" s="376"/>
      <c r="F9" s="376"/>
      <c r="G9" s="376"/>
      <c r="H9" s="376"/>
      <c r="I9" s="385"/>
      <c r="J9" s="375"/>
      <c r="K9" s="376"/>
      <c r="L9" s="376"/>
      <c r="M9" s="376"/>
      <c r="N9" s="376"/>
      <c r="O9" s="376"/>
      <c r="P9" s="376"/>
      <c r="Q9" s="376"/>
      <c r="R9" s="303"/>
      <c r="S9" s="292"/>
      <c r="T9" s="321"/>
      <c r="U9" s="321"/>
      <c r="V9" s="321"/>
      <c r="W9" s="321"/>
      <c r="X9" s="321"/>
      <c r="Y9" s="321"/>
      <c r="Z9" s="321"/>
      <c r="AA9" s="321"/>
      <c r="AB9" s="321"/>
      <c r="AC9" s="321"/>
      <c r="AD9" s="321"/>
      <c r="AE9" s="293"/>
      <c r="AF9" s="292" t="s">
        <v>118</v>
      </c>
      <c r="AG9" s="293"/>
      <c r="AH9" s="292" t="s">
        <v>122</v>
      </c>
      <c r="AI9" s="293"/>
      <c r="AJ9" s="292" t="s">
        <v>120</v>
      </c>
      <c r="AK9" s="293"/>
      <c r="AL9" s="292" t="s">
        <v>848</v>
      </c>
      <c r="AM9" s="411"/>
      <c r="AN9" s="292" t="s">
        <v>124</v>
      </c>
      <c r="AO9" s="321"/>
      <c r="AP9" s="370"/>
      <c r="AQ9" s="349"/>
      <c r="AR9" s="349"/>
      <c r="AS9" s="349"/>
      <c r="AT9" s="349"/>
      <c r="AU9" s="349"/>
      <c r="AV9" s="349"/>
      <c r="AW9" s="350"/>
      <c r="AX9" s="292"/>
      <c r="AY9" s="321"/>
      <c r="AZ9" s="321"/>
      <c r="BA9" s="321"/>
      <c r="BB9" s="321"/>
      <c r="BC9" s="321"/>
      <c r="BD9" s="321"/>
      <c r="BE9" s="293"/>
      <c r="BF9" s="292"/>
      <c r="BG9" s="321"/>
      <c r="BH9" s="321"/>
      <c r="BI9" s="321"/>
      <c r="BJ9" s="321"/>
      <c r="BK9" s="321"/>
      <c r="BL9" s="321"/>
      <c r="BM9" s="321"/>
      <c r="BN9" s="410"/>
      <c r="BO9" s="10"/>
    </row>
    <row r="10" spans="1:68"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6"/>
      <c r="BF10" s="25"/>
      <c r="BG10" s="25"/>
      <c r="BH10" s="25"/>
      <c r="BI10" s="25"/>
      <c r="BJ10" s="25"/>
      <c r="BK10" s="25"/>
      <c r="BL10" s="25"/>
      <c r="BM10" s="25"/>
      <c r="BN10" s="26"/>
      <c r="BO10" s="10"/>
      <c r="BP10" s="11"/>
    </row>
    <row r="11" spans="1:68" s="8" customFormat="1">
      <c r="A11" s="9"/>
      <c r="B11" s="40" t="s">
        <v>246</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8"/>
      <c r="BF11" s="27"/>
      <c r="BG11" s="27"/>
      <c r="BH11" s="27"/>
      <c r="BI11" s="27"/>
      <c r="BJ11" s="27"/>
      <c r="BK11" s="27"/>
      <c r="BL11" s="27"/>
      <c r="BM11" s="27"/>
      <c r="BN11" s="28"/>
      <c r="BO11" s="10"/>
      <c r="BP11" s="11"/>
    </row>
    <row r="12" spans="1:68" s="8" customFormat="1">
      <c r="A12" s="9"/>
      <c r="B12" s="29" t="s">
        <v>849</v>
      </c>
      <c r="C12" s="30"/>
      <c r="D12" s="30"/>
      <c r="E12" s="30"/>
      <c r="F12" s="30"/>
      <c r="G12" s="30"/>
      <c r="H12" s="30"/>
      <c r="I12" s="31"/>
      <c r="J12" s="400" t="s">
        <v>850</v>
      </c>
      <c r="K12" s="401"/>
      <c r="L12" s="401"/>
      <c r="M12" s="401"/>
      <c r="N12" s="401"/>
      <c r="O12" s="401"/>
      <c r="P12" s="401"/>
      <c r="Q12" s="402"/>
      <c r="R12" s="38">
        <v>1</v>
      </c>
      <c r="S12" s="36" t="s">
        <v>851</v>
      </c>
      <c r="T12" s="37"/>
      <c r="U12" s="37"/>
      <c r="V12" s="37"/>
      <c r="W12" s="37"/>
      <c r="X12" s="37"/>
      <c r="Y12" s="37"/>
      <c r="Z12" s="37"/>
      <c r="AA12" s="37"/>
      <c r="AB12" s="37"/>
      <c r="AC12" s="37"/>
      <c r="AD12" s="37"/>
      <c r="AE12" s="38"/>
      <c r="AF12" s="284" t="s">
        <v>492</v>
      </c>
      <c r="AG12" s="286"/>
      <c r="AH12" s="284" t="s">
        <v>492</v>
      </c>
      <c r="AI12" s="286"/>
      <c r="AJ12" s="284" t="s">
        <v>492</v>
      </c>
      <c r="AK12" s="286"/>
      <c r="AL12" s="284"/>
      <c r="AM12" s="286"/>
      <c r="AN12" s="284"/>
      <c r="AO12" s="286"/>
      <c r="AP12" s="284" t="s">
        <v>131</v>
      </c>
      <c r="AQ12" s="285"/>
      <c r="AR12" s="285"/>
      <c r="AS12" s="285"/>
      <c r="AT12" s="285"/>
      <c r="AU12" s="285"/>
      <c r="AV12" s="285"/>
      <c r="AW12" s="286"/>
      <c r="AX12" s="287" t="s">
        <v>852</v>
      </c>
      <c r="AY12" s="287"/>
      <c r="AZ12" s="287"/>
      <c r="BA12" s="287"/>
      <c r="BB12" s="287"/>
      <c r="BC12" s="287"/>
      <c r="BD12" s="287"/>
      <c r="BE12" s="287"/>
      <c r="BF12" s="288" t="s">
        <v>853</v>
      </c>
      <c r="BG12" s="288"/>
      <c r="BH12" s="288"/>
      <c r="BI12" s="288"/>
      <c r="BJ12" s="288"/>
      <c r="BK12" s="288"/>
      <c r="BL12" s="288"/>
      <c r="BM12" s="288"/>
      <c r="BN12" s="288"/>
      <c r="BO12" s="10"/>
      <c r="BP12" s="11"/>
    </row>
    <row r="13" spans="1:68" s="8" customFormat="1">
      <c r="A13" s="9"/>
      <c r="B13" s="33"/>
      <c r="C13" s="42"/>
      <c r="D13" s="42"/>
      <c r="E13" s="42"/>
      <c r="F13" s="42"/>
      <c r="G13" s="42"/>
      <c r="H13" s="42"/>
      <c r="I13" s="10"/>
      <c r="J13" s="403"/>
      <c r="K13" s="404"/>
      <c r="L13" s="404"/>
      <c r="M13" s="404"/>
      <c r="N13" s="404"/>
      <c r="O13" s="404"/>
      <c r="P13" s="404"/>
      <c r="Q13" s="405"/>
      <c r="R13" s="38">
        <v>2</v>
      </c>
      <c r="S13" s="36" t="s">
        <v>854</v>
      </c>
      <c r="T13" s="37"/>
      <c r="U13" s="37"/>
      <c r="V13" s="37"/>
      <c r="W13" s="37"/>
      <c r="X13" s="37"/>
      <c r="Y13" s="37"/>
      <c r="Z13" s="37"/>
      <c r="AA13" s="37"/>
      <c r="AB13" s="37"/>
      <c r="AC13" s="37"/>
      <c r="AD13" s="37"/>
      <c r="AE13" s="38"/>
      <c r="AF13" s="284" t="s">
        <v>492</v>
      </c>
      <c r="AG13" s="286"/>
      <c r="AH13" s="284" t="s">
        <v>492</v>
      </c>
      <c r="AI13" s="286"/>
      <c r="AJ13" s="284" t="s">
        <v>492</v>
      </c>
      <c r="AK13" s="286"/>
      <c r="AL13" s="284"/>
      <c r="AM13" s="286"/>
      <c r="AN13" s="284"/>
      <c r="AO13" s="286"/>
      <c r="AP13" s="284" t="s">
        <v>131</v>
      </c>
      <c r="AQ13" s="285"/>
      <c r="AR13" s="285"/>
      <c r="AS13" s="285"/>
      <c r="AT13" s="285"/>
      <c r="AU13" s="285"/>
      <c r="AV13" s="285"/>
      <c r="AW13" s="286"/>
      <c r="AX13" s="287" t="s">
        <v>514</v>
      </c>
      <c r="AY13" s="287"/>
      <c r="AZ13" s="287"/>
      <c r="BA13" s="287"/>
      <c r="BB13" s="287"/>
      <c r="BC13" s="287"/>
      <c r="BD13" s="287"/>
      <c r="BE13" s="284"/>
      <c r="BF13" s="377" t="s">
        <v>855</v>
      </c>
      <c r="BG13" s="377"/>
      <c r="BH13" s="377"/>
      <c r="BI13" s="377"/>
      <c r="BJ13" s="377"/>
      <c r="BK13" s="377"/>
      <c r="BL13" s="377"/>
      <c r="BM13" s="377"/>
      <c r="BN13" s="377"/>
      <c r="BO13" s="10"/>
    </row>
    <row r="14" spans="1:68" s="8" customFormat="1">
      <c r="A14" s="9"/>
      <c r="B14" s="32"/>
      <c r="C14" s="42"/>
      <c r="D14" s="42"/>
      <c r="E14" s="42"/>
      <c r="F14" s="42"/>
      <c r="G14" s="42"/>
      <c r="H14" s="42"/>
      <c r="I14" s="10"/>
      <c r="J14" s="403"/>
      <c r="K14" s="404"/>
      <c r="L14" s="404"/>
      <c r="M14" s="404"/>
      <c r="N14" s="404"/>
      <c r="O14" s="404"/>
      <c r="P14" s="404"/>
      <c r="Q14" s="405"/>
      <c r="R14" s="38">
        <v>3</v>
      </c>
      <c r="S14" s="36" t="s">
        <v>856</v>
      </c>
      <c r="T14" s="37"/>
      <c r="U14" s="37"/>
      <c r="V14" s="37"/>
      <c r="W14" s="37"/>
      <c r="X14" s="37"/>
      <c r="Y14" s="37"/>
      <c r="Z14" s="37"/>
      <c r="AA14" s="37"/>
      <c r="AB14" s="37"/>
      <c r="AC14" s="37"/>
      <c r="AD14" s="37"/>
      <c r="AE14" s="38"/>
      <c r="AF14" s="284" t="s">
        <v>492</v>
      </c>
      <c r="AG14" s="286"/>
      <c r="AH14" s="284" t="s">
        <v>492</v>
      </c>
      <c r="AI14" s="286"/>
      <c r="AJ14" s="284" t="s">
        <v>492</v>
      </c>
      <c r="AK14" s="286"/>
      <c r="AL14" s="284"/>
      <c r="AM14" s="286"/>
      <c r="AN14" s="284"/>
      <c r="AO14" s="286"/>
      <c r="AP14" s="284" t="s">
        <v>131</v>
      </c>
      <c r="AQ14" s="285"/>
      <c r="AR14" s="285"/>
      <c r="AS14" s="285"/>
      <c r="AT14" s="285"/>
      <c r="AU14" s="285"/>
      <c r="AV14" s="285"/>
      <c r="AW14" s="286"/>
      <c r="AX14" s="287" t="s">
        <v>857</v>
      </c>
      <c r="AY14" s="287"/>
      <c r="AZ14" s="287"/>
      <c r="BA14" s="287"/>
      <c r="BB14" s="287"/>
      <c r="BC14" s="287"/>
      <c r="BD14" s="287"/>
      <c r="BE14" s="284"/>
      <c r="BF14" s="289"/>
      <c r="BG14" s="290"/>
      <c r="BH14" s="290"/>
      <c r="BI14" s="290"/>
      <c r="BJ14" s="290"/>
      <c r="BK14" s="290"/>
      <c r="BL14" s="290"/>
      <c r="BM14" s="290"/>
      <c r="BN14" s="291"/>
      <c r="BO14" s="10"/>
      <c r="BP14" s="11"/>
    </row>
    <row r="15" spans="1:68" s="8" customFormat="1">
      <c r="A15" s="9"/>
      <c r="B15" s="33"/>
      <c r="C15" s="42"/>
      <c r="D15" s="42"/>
      <c r="E15" s="42"/>
      <c r="F15" s="42"/>
      <c r="G15" s="42"/>
      <c r="H15" s="42"/>
      <c r="I15" s="10"/>
      <c r="J15" s="403"/>
      <c r="K15" s="404"/>
      <c r="L15" s="404"/>
      <c r="M15" s="404"/>
      <c r="N15" s="404"/>
      <c r="O15" s="404"/>
      <c r="P15" s="404"/>
      <c r="Q15" s="405"/>
      <c r="R15" s="38">
        <v>4</v>
      </c>
      <c r="S15" s="36" t="s">
        <v>858</v>
      </c>
      <c r="T15" s="37"/>
      <c r="U15" s="37"/>
      <c r="V15" s="37"/>
      <c r="W15" s="37"/>
      <c r="X15" s="37"/>
      <c r="Y15" s="37"/>
      <c r="Z15" s="37"/>
      <c r="AA15" s="37"/>
      <c r="AB15" s="37"/>
      <c r="AC15" s="37"/>
      <c r="AD15" s="37"/>
      <c r="AE15" s="38"/>
      <c r="AF15" s="284" t="s">
        <v>492</v>
      </c>
      <c r="AG15" s="286"/>
      <c r="AH15" s="284" t="s">
        <v>492</v>
      </c>
      <c r="AI15" s="286"/>
      <c r="AJ15" s="284" t="s">
        <v>492</v>
      </c>
      <c r="AK15" s="286"/>
      <c r="AL15" s="284"/>
      <c r="AM15" s="286"/>
      <c r="AN15" s="284"/>
      <c r="AO15" s="286"/>
      <c r="AP15" s="284" t="s">
        <v>131</v>
      </c>
      <c r="AQ15" s="285"/>
      <c r="AR15" s="285"/>
      <c r="AS15" s="285"/>
      <c r="AT15" s="285"/>
      <c r="AU15" s="285"/>
      <c r="AV15" s="285"/>
      <c r="AW15" s="286"/>
      <c r="AX15" s="287" t="s">
        <v>859</v>
      </c>
      <c r="AY15" s="287"/>
      <c r="AZ15" s="287"/>
      <c r="BA15" s="287"/>
      <c r="BB15" s="287"/>
      <c r="BC15" s="287"/>
      <c r="BD15" s="287"/>
      <c r="BE15" s="284"/>
      <c r="BF15" s="288"/>
      <c r="BG15" s="288"/>
      <c r="BH15" s="288"/>
      <c r="BI15" s="288"/>
      <c r="BJ15" s="288"/>
      <c r="BK15" s="288"/>
      <c r="BL15" s="288"/>
      <c r="BM15" s="288"/>
      <c r="BN15" s="288"/>
      <c r="BO15" s="10"/>
    </row>
    <row r="16" spans="1:68" s="8" customFormat="1">
      <c r="A16" s="9"/>
      <c r="B16" s="32"/>
      <c r="C16" s="42"/>
      <c r="D16" s="42"/>
      <c r="E16" s="42"/>
      <c r="F16" s="42"/>
      <c r="G16" s="42"/>
      <c r="H16" s="42"/>
      <c r="I16" s="10"/>
      <c r="J16" s="403"/>
      <c r="K16" s="404"/>
      <c r="L16" s="404"/>
      <c r="M16" s="404"/>
      <c r="N16" s="404"/>
      <c r="O16" s="404"/>
      <c r="P16" s="404"/>
      <c r="Q16" s="405"/>
      <c r="R16" s="38">
        <v>5</v>
      </c>
      <c r="S16" s="36" t="s">
        <v>860</v>
      </c>
      <c r="T16" s="37"/>
      <c r="U16" s="37"/>
      <c r="V16" s="37"/>
      <c r="W16" s="37"/>
      <c r="X16" s="37"/>
      <c r="Y16" s="37"/>
      <c r="Z16" s="37"/>
      <c r="AA16" s="37"/>
      <c r="AB16" s="37"/>
      <c r="AC16" s="37"/>
      <c r="AD16" s="37"/>
      <c r="AE16" s="38"/>
      <c r="AF16" s="284" t="s">
        <v>492</v>
      </c>
      <c r="AG16" s="286"/>
      <c r="AH16" s="284" t="s">
        <v>492</v>
      </c>
      <c r="AI16" s="286"/>
      <c r="AJ16" s="284" t="s">
        <v>492</v>
      </c>
      <c r="AK16" s="286"/>
      <c r="AL16" s="284"/>
      <c r="AM16" s="286"/>
      <c r="AN16" s="284"/>
      <c r="AO16" s="286"/>
      <c r="AP16" s="284" t="s">
        <v>131</v>
      </c>
      <c r="AQ16" s="285"/>
      <c r="AR16" s="285"/>
      <c r="AS16" s="285"/>
      <c r="AT16" s="285"/>
      <c r="AU16" s="285"/>
      <c r="AV16" s="285"/>
      <c r="AW16" s="286"/>
      <c r="AX16" s="287" t="s">
        <v>334</v>
      </c>
      <c r="AY16" s="287"/>
      <c r="AZ16" s="287"/>
      <c r="BA16" s="287"/>
      <c r="BB16" s="287"/>
      <c r="BC16" s="287"/>
      <c r="BD16" s="287"/>
      <c r="BE16" s="287"/>
      <c r="BF16" s="288"/>
      <c r="BG16" s="288"/>
      <c r="BH16" s="288"/>
      <c r="BI16" s="288"/>
      <c r="BJ16" s="288"/>
      <c r="BK16" s="288"/>
      <c r="BL16" s="288"/>
      <c r="BM16" s="288"/>
      <c r="BN16" s="288"/>
      <c r="BO16" s="10"/>
      <c r="BP16" s="11"/>
    </row>
    <row r="17" spans="1:68" s="8" customFormat="1">
      <c r="A17" s="9"/>
      <c r="B17" s="33"/>
      <c r="C17" s="42"/>
      <c r="D17" s="42"/>
      <c r="E17" s="42"/>
      <c r="F17" s="42"/>
      <c r="G17" s="42"/>
      <c r="H17" s="42"/>
      <c r="I17" s="10"/>
      <c r="J17" s="403"/>
      <c r="K17" s="404"/>
      <c r="L17" s="404"/>
      <c r="M17" s="404"/>
      <c r="N17" s="404"/>
      <c r="O17" s="404"/>
      <c r="P17" s="404"/>
      <c r="Q17" s="405"/>
      <c r="R17" s="38">
        <v>6</v>
      </c>
      <c r="S17" s="36" t="s">
        <v>861</v>
      </c>
      <c r="T17" s="37"/>
      <c r="U17" s="37"/>
      <c r="V17" s="37"/>
      <c r="W17" s="37"/>
      <c r="X17" s="37"/>
      <c r="Y17" s="37"/>
      <c r="Z17" s="37"/>
      <c r="AA17" s="37"/>
      <c r="AB17" s="37"/>
      <c r="AC17" s="37"/>
      <c r="AD17" s="37"/>
      <c r="AE17" s="38"/>
      <c r="AF17" s="284" t="s">
        <v>492</v>
      </c>
      <c r="AG17" s="286"/>
      <c r="AH17" s="284" t="s">
        <v>492</v>
      </c>
      <c r="AI17" s="286"/>
      <c r="AJ17" s="284" t="s">
        <v>492</v>
      </c>
      <c r="AK17" s="286"/>
      <c r="AL17" s="284"/>
      <c r="AM17" s="286"/>
      <c r="AN17" s="284"/>
      <c r="AO17" s="286"/>
      <c r="AP17" s="284" t="s">
        <v>131</v>
      </c>
      <c r="AQ17" s="285"/>
      <c r="AR17" s="285"/>
      <c r="AS17" s="285"/>
      <c r="AT17" s="285"/>
      <c r="AU17" s="285"/>
      <c r="AV17" s="285"/>
      <c r="AW17" s="286"/>
      <c r="AX17" s="287" t="s">
        <v>334</v>
      </c>
      <c r="AY17" s="287"/>
      <c r="AZ17" s="287"/>
      <c r="BA17" s="287"/>
      <c r="BB17" s="287"/>
      <c r="BC17" s="287"/>
      <c r="BD17" s="287"/>
      <c r="BE17" s="287"/>
      <c r="BF17" s="288"/>
      <c r="BG17" s="288"/>
      <c r="BH17" s="288"/>
      <c r="BI17" s="288"/>
      <c r="BJ17" s="288"/>
      <c r="BK17" s="288"/>
      <c r="BL17" s="288"/>
      <c r="BM17" s="288"/>
      <c r="BN17" s="288"/>
      <c r="BO17" s="10"/>
    </row>
    <row r="18" spans="1:68" s="8" customFormat="1">
      <c r="A18" s="9"/>
      <c r="B18" s="32"/>
      <c r="C18" s="42"/>
      <c r="D18" s="42"/>
      <c r="E18" s="42"/>
      <c r="F18" s="42"/>
      <c r="G18" s="42"/>
      <c r="H18" s="42"/>
      <c r="I18" s="10"/>
      <c r="J18" s="403"/>
      <c r="K18" s="404"/>
      <c r="L18" s="404"/>
      <c r="M18" s="404"/>
      <c r="N18" s="404"/>
      <c r="O18" s="404"/>
      <c r="P18" s="404"/>
      <c r="Q18" s="405"/>
      <c r="R18" s="38">
        <v>7</v>
      </c>
      <c r="S18" s="36" t="s">
        <v>773</v>
      </c>
      <c r="T18" s="37"/>
      <c r="U18" s="37"/>
      <c r="V18" s="37"/>
      <c r="W18" s="37"/>
      <c r="X18" s="37"/>
      <c r="Y18" s="37"/>
      <c r="Z18" s="37"/>
      <c r="AA18" s="37"/>
      <c r="AB18" s="37"/>
      <c r="AC18" s="37"/>
      <c r="AD18" s="37"/>
      <c r="AE18" s="38"/>
      <c r="AF18" s="284" t="s">
        <v>492</v>
      </c>
      <c r="AG18" s="286"/>
      <c r="AH18" s="284" t="s">
        <v>492</v>
      </c>
      <c r="AI18" s="286"/>
      <c r="AJ18" s="284" t="s">
        <v>492</v>
      </c>
      <c r="AK18" s="286"/>
      <c r="AL18" s="284"/>
      <c r="AM18" s="286"/>
      <c r="AN18" s="284"/>
      <c r="AO18" s="286"/>
      <c r="AP18" s="284" t="s">
        <v>131</v>
      </c>
      <c r="AQ18" s="285"/>
      <c r="AR18" s="285"/>
      <c r="AS18" s="285"/>
      <c r="AT18" s="285"/>
      <c r="AU18" s="285"/>
      <c r="AV18" s="285"/>
      <c r="AW18" s="286"/>
      <c r="AX18" s="287" t="s">
        <v>334</v>
      </c>
      <c r="AY18" s="287"/>
      <c r="AZ18" s="287"/>
      <c r="BA18" s="287"/>
      <c r="BB18" s="287"/>
      <c r="BC18" s="287"/>
      <c r="BD18" s="287"/>
      <c r="BE18" s="287"/>
      <c r="BF18" s="288"/>
      <c r="BG18" s="288"/>
      <c r="BH18" s="288"/>
      <c r="BI18" s="288"/>
      <c r="BJ18" s="288"/>
      <c r="BK18" s="288"/>
      <c r="BL18" s="288"/>
      <c r="BM18" s="288"/>
      <c r="BN18" s="288"/>
      <c r="BO18" s="10"/>
      <c r="BP18" s="11"/>
    </row>
    <row r="19" spans="1:68" s="8" customFormat="1">
      <c r="A19" s="9"/>
      <c r="B19" s="33"/>
      <c r="C19" s="42"/>
      <c r="D19" s="42"/>
      <c r="E19" s="42"/>
      <c r="F19" s="42"/>
      <c r="G19" s="42"/>
      <c r="H19" s="42"/>
      <c r="I19" s="10"/>
      <c r="J19" s="403"/>
      <c r="K19" s="404"/>
      <c r="L19" s="404"/>
      <c r="M19" s="404"/>
      <c r="N19" s="404"/>
      <c r="O19" s="404"/>
      <c r="P19" s="404"/>
      <c r="Q19" s="405"/>
      <c r="R19" s="38">
        <v>8</v>
      </c>
      <c r="S19" s="36" t="s">
        <v>558</v>
      </c>
      <c r="T19" s="37"/>
      <c r="U19" s="37"/>
      <c r="V19" s="37"/>
      <c r="W19" s="37"/>
      <c r="X19" s="37"/>
      <c r="Y19" s="37"/>
      <c r="Z19" s="37"/>
      <c r="AA19" s="37"/>
      <c r="AB19" s="37"/>
      <c r="AC19" s="37"/>
      <c r="AD19" s="37"/>
      <c r="AE19" s="38"/>
      <c r="AF19" s="284" t="s">
        <v>492</v>
      </c>
      <c r="AG19" s="286"/>
      <c r="AH19" s="284" t="s">
        <v>492</v>
      </c>
      <c r="AI19" s="286"/>
      <c r="AJ19" s="284" t="s">
        <v>492</v>
      </c>
      <c r="AK19" s="286"/>
      <c r="AL19" s="284"/>
      <c r="AM19" s="286"/>
      <c r="AN19" s="284"/>
      <c r="AO19" s="286"/>
      <c r="AP19" s="284" t="s">
        <v>131</v>
      </c>
      <c r="AQ19" s="285"/>
      <c r="AR19" s="285"/>
      <c r="AS19" s="285"/>
      <c r="AT19" s="285"/>
      <c r="AU19" s="285"/>
      <c r="AV19" s="285"/>
      <c r="AW19" s="286"/>
      <c r="AX19" s="287" t="s">
        <v>334</v>
      </c>
      <c r="AY19" s="287"/>
      <c r="AZ19" s="287"/>
      <c r="BA19" s="287"/>
      <c r="BB19" s="287"/>
      <c r="BC19" s="287"/>
      <c r="BD19" s="287"/>
      <c r="BE19" s="287"/>
      <c r="BF19" s="288"/>
      <c r="BG19" s="288"/>
      <c r="BH19" s="288"/>
      <c r="BI19" s="288"/>
      <c r="BJ19" s="288"/>
      <c r="BK19" s="288"/>
      <c r="BL19" s="288"/>
      <c r="BM19" s="288"/>
      <c r="BN19" s="288"/>
      <c r="BO19" s="10"/>
    </row>
    <row r="20" spans="1:68" s="8" customFormat="1">
      <c r="A20" s="9"/>
      <c r="B20" s="32"/>
      <c r="C20" s="42"/>
      <c r="D20" s="42"/>
      <c r="E20" s="42"/>
      <c r="F20" s="42"/>
      <c r="G20" s="42"/>
      <c r="H20" s="42"/>
      <c r="I20" s="10"/>
      <c r="J20" s="403"/>
      <c r="K20" s="404"/>
      <c r="L20" s="404"/>
      <c r="M20" s="404"/>
      <c r="N20" s="404"/>
      <c r="O20" s="404"/>
      <c r="P20" s="404"/>
      <c r="Q20" s="405"/>
      <c r="R20" s="38">
        <v>9</v>
      </c>
      <c r="S20" s="36" t="s">
        <v>862</v>
      </c>
      <c r="T20" s="37"/>
      <c r="U20" s="37"/>
      <c r="V20" s="37"/>
      <c r="W20" s="37"/>
      <c r="X20" s="37"/>
      <c r="Y20" s="37"/>
      <c r="Z20" s="37"/>
      <c r="AA20" s="37"/>
      <c r="AB20" s="37"/>
      <c r="AC20" s="37"/>
      <c r="AD20" s="37"/>
      <c r="AE20" s="38"/>
      <c r="AF20" s="284"/>
      <c r="AG20" s="286"/>
      <c r="AH20" s="284" t="s">
        <v>492</v>
      </c>
      <c r="AI20" s="286"/>
      <c r="AJ20" s="284" t="s">
        <v>492</v>
      </c>
      <c r="AK20" s="286"/>
      <c r="AL20" s="284"/>
      <c r="AM20" s="286"/>
      <c r="AN20" s="284"/>
      <c r="AO20" s="286"/>
      <c r="AP20" s="284" t="s">
        <v>131</v>
      </c>
      <c r="AQ20" s="285"/>
      <c r="AR20" s="285"/>
      <c r="AS20" s="285"/>
      <c r="AT20" s="285"/>
      <c r="AU20" s="285"/>
      <c r="AV20" s="285"/>
      <c r="AW20" s="286"/>
      <c r="AX20" s="287" t="s">
        <v>863</v>
      </c>
      <c r="AY20" s="287"/>
      <c r="AZ20" s="287"/>
      <c r="BA20" s="287"/>
      <c r="BB20" s="287"/>
      <c r="BC20" s="287"/>
      <c r="BD20" s="287"/>
      <c r="BE20" s="287"/>
      <c r="BF20" s="288"/>
      <c r="BG20" s="288"/>
      <c r="BH20" s="288"/>
      <c r="BI20" s="288"/>
      <c r="BJ20" s="288"/>
      <c r="BK20" s="288"/>
      <c r="BL20" s="288"/>
      <c r="BM20" s="288"/>
      <c r="BN20" s="288"/>
      <c r="BO20" s="10"/>
      <c r="BP20" s="11"/>
    </row>
    <row r="21" spans="1:68" s="8" customFormat="1">
      <c r="A21" s="9"/>
      <c r="B21" s="33"/>
      <c r="C21" s="42"/>
      <c r="D21" s="42"/>
      <c r="E21" s="42"/>
      <c r="F21" s="42"/>
      <c r="G21" s="42"/>
      <c r="H21" s="42"/>
      <c r="I21" s="10"/>
      <c r="J21" s="406"/>
      <c r="K21" s="407"/>
      <c r="L21" s="407"/>
      <c r="M21" s="407"/>
      <c r="N21" s="407"/>
      <c r="O21" s="407"/>
      <c r="P21" s="407"/>
      <c r="Q21" s="408"/>
      <c r="R21" s="31">
        <v>10</v>
      </c>
      <c r="S21" s="36" t="s">
        <v>864</v>
      </c>
      <c r="T21" s="37"/>
      <c r="U21" s="37"/>
      <c r="V21" s="37"/>
      <c r="W21" s="37"/>
      <c r="X21" s="37"/>
      <c r="Y21" s="37"/>
      <c r="Z21" s="37"/>
      <c r="AA21" s="37"/>
      <c r="AB21" s="37"/>
      <c r="AC21" s="37"/>
      <c r="AD21" s="37"/>
      <c r="AE21" s="38"/>
      <c r="AF21" s="284" t="s">
        <v>492</v>
      </c>
      <c r="AG21" s="286"/>
      <c r="AH21" s="284"/>
      <c r="AI21" s="286"/>
      <c r="AJ21" s="284"/>
      <c r="AK21" s="286"/>
      <c r="AL21" s="284"/>
      <c r="AM21" s="286"/>
      <c r="AN21" s="284"/>
      <c r="AO21" s="286"/>
      <c r="AP21" s="284" t="s">
        <v>131</v>
      </c>
      <c r="AQ21" s="285"/>
      <c r="AR21" s="285"/>
      <c r="AS21" s="285"/>
      <c r="AT21" s="285"/>
      <c r="AU21" s="285"/>
      <c r="AV21" s="285"/>
      <c r="AW21" s="286"/>
      <c r="AX21" s="287" t="s">
        <v>334</v>
      </c>
      <c r="AY21" s="287"/>
      <c r="AZ21" s="287"/>
      <c r="BA21" s="287"/>
      <c r="BB21" s="287"/>
      <c r="BC21" s="287"/>
      <c r="BD21" s="287"/>
      <c r="BE21" s="287"/>
      <c r="BF21" s="288"/>
      <c r="BG21" s="288"/>
      <c r="BH21" s="288"/>
      <c r="BI21" s="288"/>
      <c r="BJ21" s="288"/>
      <c r="BK21" s="288"/>
      <c r="BL21" s="288"/>
      <c r="BM21" s="288"/>
      <c r="BN21" s="288"/>
      <c r="BO21" s="10"/>
    </row>
    <row r="22" spans="1:68" s="8" customFormat="1">
      <c r="A22" s="9"/>
      <c r="B22" s="32"/>
      <c r="C22" s="42"/>
      <c r="D22" s="42"/>
      <c r="E22" s="42"/>
      <c r="F22" s="42"/>
      <c r="G22" s="42"/>
      <c r="H22" s="42"/>
      <c r="I22" s="42"/>
      <c r="J22" s="400" t="s">
        <v>865</v>
      </c>
      <c r="K22" s="401"/>
      <c r="L22" s="401"/>
      <c r="M22" s="401"/>
      <c r="N22" s="401"/>
      <c r="O22" s="401"/>
      <c r="P22" s="401"/>
      <c r="Q22" s="402"/>
      <c r="R22" s="38">
        <v>1</v>
      </c>
      <c r="S22" s="36" t="s">
        <v>851</v>
      </c>
      <c r="T22" s="37"/>
      <c r="U22" s="37"/>
      <c r="V22" s="37"/>
      <c r="W22" s="37"/>
      <c r="X22" s="37"/>
      <c r="Y22" s="37"/>
      <c r="Z22" s="37"/>
      <c r="AA22" s="37"/>
      <c r="AB22" s="37"/>
      <c r="AC22" s="37"/>
      <c r="AD22" s="37"/>
      <c r="AE22" s="38"/>
      <c r="AF22" s="284" t="s">
        <v>492</v>
      </c>
      <c r="AG22" s="286"/>
      <c r="AH22" s="284" t="s">
        <v>492</v>
      </c>
      <c r="AI22" s="286"/>
      <c r="AJ22" s="284" t="s">
        <v>492</v>
      </c>
      <c r="AK22" s="286"/>
      <c r="AL22" s="284"/>
      <c r="AM22" s="286"/>
      <c r="AN22" s="284"/>
      <c r="AO22" s="286"/>
      <c r="AP22" s="284" t="s">
        <v>131</v>
      </c>
      <c r="AQ22" s="285"/>
      <c r="AR22" s="285"/>
      <c r="AS22" s="285"/>
      <c r="AT22" s="285"/>
      <c r="AU22" s="285"/>
      <c r="AV22" s="285"/>
      <c r="AW22" s="286"/>
      <c r="AX22" s="287" t="s">
        <v>852</v>
      </c>
      <c r="AY22" s="287"/>
      <c r="AZ22" s="287"/>
      <c r="BA22" s="287"/>
      <c r="BB22" s="287"/>
      <c r="BC22" s="287"/>
      <c r="BD22" s="287"/>
      <c r="BE22" s="287"/>
      <c r="BF22" s="288"/>
      <c r="BG22" s="288"/>
      <c r="BH22" s="288"/>
      <c r="BI22" s="288"/>
      <c r="BJ22" s="288"/>
      <c r="BK22" s="288"/>
      <c r="BL22" s="288"/>
      <c r="BM22" s="288"/>
      <c r="BN22" s="288"/>
      <c r="BO22" s="10"/>
      <c r="BP22" s="11"/>
    </row>
    <row r="23" spans="1:68" s="8" customFormat="1">
      <c r="A23" s="9"/>
      <c r="B23" s="33"/>
      <c r="C23" s="42"/>
      <c r="D23" s="42"/>
      <c r="E23" s="42"/>
      <c r="F23" s="42"/>
      <c r="G23" s="42"/>
      <c r="H23" s="42"/>
      <c r="I23" s="10"/>
      <c r="J23" s="403"/>
      <c r="K23" s="404"/>
      <c r="L23" s="404"/>
      <c r="M23" s="404"/>
      <c r="N23" s="404"/>
      <c r="O23" s="404"/>
      <c r="P23" s="404"/>
      <c r="Q23" s="405"/>
      <c r="R23" s="38">
        <v>2</v>
      </c>
      <c r="S23" s="36" t="s">
        <v>866</v>
      </c>
      <c r="T23" s="37"/>
      <c r="U23" s="37"/>
      <c r="V23" s="37"/>
      <c r="W23" s="37"/>
      <c r="X23" s="37"/>
      <c r="Y23" s="37"/>
      <c r="Z23" s="37"/>
      <c r="AA23" s="37"/>
      <c r="AB23" s="37"/>
      <c r="AC23" s="37"/>
      <c r="AD23" s="37"/>
      <c r="AE23" s="38"/>
      <c r="AF23" s="284" t="s">
        <v>492</v>
      </c>
      <c r="AG23" s="286"/>
      <c r="AH23" s="284" t="s">
        <v>492</v>
      </c>
      <c r="AI23" s="286"/>
      <c r="AJ23" s="284" t="s">
        <v>492</v>
      </c>
      <c r="AK23" s="286"/>
      <c r="AL23" s="284"/>
      <c r="AM23" s="286"/>
      <c r="AN23" s="284"/>
      <c r="AO23" s="286"/>
      <c r="AP23" s="284" t="s">
        <v>131</v>
      </c>
      <c r="AQ23" s="285"/>
      <c r="AR23" s="285"/>
      <c r="AS23" s="285"/>
      <c r="AT23" s="285"/>
      <c r="AU23" s="285"/>
      <c r="AV23" s="285"/>
      <c r="AW23" s="286"/>
      <c r="AX23" s="287" t="s">
        <v>132</v>
      </c>
      <c r="AY23" s="287"/>
      <c r="AZ23" s="287"/>
      <c r="BA23" s="287"/>
      <c r="BB23" s="287"/>
      <c r="BC23" s="287"/>
      <c r="BD23" s="287"/>
      <c r="BE23" s="284"/>
      <c r="BF23" s="377" t="s">
        <v>855</v>
      </c>
      <c r="BG23" s="377"/>
      <c r="BH23" s="377"/>
      <c r="BI23" s="377"/>
      <c r="BJ23" s="377"/>
      <c r="BK23" s="377"/>
      <c r="BL23" s="377"/>
      <c r="BM23" s="377"/>
      <c r="BN23" s="377"/>
      <c r="BO23" s="10"/>
    </row>
    <row r="24" spans="1:68" s="8" customFormat="1">
      <c r="A24" s="9"/>
      <c r="B24" s="32"/>
      <c r="C24" s="42"/>
      <c r="D24" s="42"/>
      <c r="E24" s="42"/>
      <c r="F24" s="42"/>
      <c r="G24" s="42"/>
      <c r="H24" s="42"/>
      <c r="I24" s="42"/>
      <c r="J24" s="403"/>
      <c r="K24" s="404"/>
      <c r="L24" s="404"/>
      <c r="M24" s="404"/>
      <c r="N24" s="404"/>
      <c r="O24" s="404"/>
      <c r="P24" s="404"/>
      <c r="Q24" s="405"/>
      <c r="R24" s="38">
        <v>3</v>
      </c>
      <c r="S24" s="36" t="s">
        <v>867</v>
      </c>
      <c r="T24" s="37"/>
      <c r="U24" s="37"/>
      <c r="V24" s="37"/>
      <c r="W24" s="37"/>
      <c r="X24" s="37"/>
      <c r="Y24" s="37"/>
      <c r="Z24" s="37"/>
      <c r="AA24" s="37"/>
      <c r="AB24" s="37"/>
      <c r="AC24" s="37"/>
      <c r="AD24" s="37"/>
      <c r="AE24" s="38"/>
      <c r="AF24" s="284" t="s">
        <v>492</v>
      </c>
      <c r="AG24" s="286"/>
      <c r="AH24" s="284" t="s">
        <v>492</v>
      </c>
      <c r="AI24" s="286"/>
      <c r="AJ24" s="284" t="s">
        <v>492</v>
      </c>
      <c r="AK24" s="286"/>
      <c r="AL24" s="284"/>
      <c r="AM24" s="286"/>
      <c r="AN24" s="284"/>
      <c r="AO24" s="286"/>
      <c r="AP24" s="284" t="s">
        <v>131</v>
      </c>
      <c r="AQ24" s="285"/>
      <c r="AR24" s="285"/>
      <c r="AS24" s="285"/>
      <c r="AT24" s="285"/>
      <c r="AU24" s="285"/>
      <c r="AV24" s="285"/>
      <c r="AW24" s="286"/>
      <c r="AX24" s="287" t="s">
        <v>329</v>
      </c>
      <c r="AY24" s="287"/>
      <c r="AZ24" s="287"/>
      <c r="BA24" s="287"/>
      <c r="BB24" s="287"/>
      <c r="BC24" s="287"/>
      <c r="BD24" s="287"/>
      <c r="BE24" s="284"/>
      <c r="BF24" s="288"/>
      <c r="BG24" s="288"/>
      <c r="BH24" s="288"/>
      <c r="BI24" s="288"/>
      <c r="BJ24" s="288"/>
      <c r="BK24" s="288"/>
      <c r="BL24" s="288"/>
      <c r="BM24" s="288"/>
      <c r="BN24" s="288"/>
      <c r="BO24" s="10"/>
      <c r="BP24" s="11"/>
    </row>
    <row r="25" spans="1:68" s="8" customFormat="1">
      <c r="A25" s="9"/>
      <c r="B25" s="33"/>
      <c r="C25" s="42"/>
      <c r="D25" s="42"/>
      <c r="E25" s="42"/>
      <c r="F25" s="42"/>
      <c r="G25" s="42"/>
      <c r="H25" s="42"/>
      <c r="I25" s="42"/>
      <c r="J25" s="403"/>
      <c r="K25" s="404"/>
      <c r="L25" s="404"/>
      <c r="M25" s="404"/>
      <c r="N25" s="404"/>
      <c r="O25" s="404"/>
      <c r="P25" s="404"/>
      <c r="Q25" s="405"/>
      <c r="R25" s="38">
        <v>4</v>
      </c>
      <c r="S25" s="36" t="s">
        <v>854</v>
      </c>
      <c r="T25" s="37"/>
      <c r="U25" s="37"/>
      <c r="V25" s="37"/>
      <c r="W25" s="37"/>
      <c r="X25" s="37"/>
      <c r="Y25" s="37"/>
      <c r="Z25" s="37"/>
      <c r="AA25" s="37"/>
      <c r="AB25" s="37"/>
      <c r="AC25" s="37"/>
      <c r="AD25" s="37"/>
      <c r="AE25" s="38"/>
      <c r="AF25" s="284" t="s">
        <v>492</v>
      </c>
      <c r="AG25" s="286"/>
      <c r="AH25" s="284" t="s">
        <v>492</v>
      </c>
      <c r="AI25" s="286"/>
      <c r="AJ25" s="284" t="s">
        <v>492</v>
      </c>
      <c r="AK25" s="286"/>
      <c r="AL25" s="284"/>
      <c r="AM25" s="286"/>
      <c r="AN25" s="284"/>
      <c r="AO25" s="286"/>
      <c r="AP25" s="284" t="s">
        <v>131</v>
      </c>
      <c r="AQ25" s="285"/>
      <c r="AR25" s="285"/>
      <c r="AS25" s="285"/>
      <c r="AT25" s="285"/>
      <c r="AU25" s="285"/>
      <c r="AV25" s="285"/>
      <c r="AW25" s="286"/>
      <c r="AX25" s="287" t="s">
        <v>132</v>
      </c>
      <c r="AY25" s="287"/>
      <c r="AZ25" s="287"/>
      <c r="BA25" s="287"/>
      <c r="BB25" s="287"/>
      <c r="BC25" s="287"/>
      <c r="BD25" s="287"/>
      <c r="BE25" s="284"/>
      <c r="BF25" s="288" t="s">
        <v>868</v>
      </c>
      <c r="BG25" s="288"/>
      <c r="BH25" s="288"/>
      <c r="BI25" s="288"/>
      <c r="BJ25" s="288"/>
      <c r="BK25" s="288"/>
      <c r="BL25" s="288"/>
      <c r="BM25" s="288"/>
      <c r="BN25" s="288"/>
      <c r="BO25" s="10"/>
    </row>
    <row r="26" spans="1:68" s="8" customFormat="1">
      <c r="A26" s="9"/>
      <c r="B26" s="32"/>
      <c r="C26" s="42"/>
      <c r="D26" s="42"/>
      <c r="E26" s="42"/>
      <c r="F26" s="42"/>
      <c r="G26" s="42"/>
      <c r="H26" s="42"/>
      <c r="I26" s="42"/>
      <c r="J26" s="403"/>
      <c r="K26" s="404"/>
      <c r="L26" s="404"/>
      <c r="M26" s="404"/>
      <c r="N26" s="404"/>
      <c r="O26" s="404"/>
      <c r="P26" s="404"/>
      <c r="Q26" s="405"/>
      <c r="R26" s="38">
        <v>5</v>
      </c>
      <c r="S26" s="36" t="s">
        <v>856</v>
      </c>
      <c r="T26" s="37"/>
      <c r="U26" s="37"/>
      <c r="V26" s="37"/>
      <c r="W26" s="37"/>
      <c r="X26" s="37"/>
      <c r="Y26" s="37"/>
      <c r="Z26" s="37"/>
      <c r="AA26" s="37"/>
      <c r="AB26" s="37"/>
      <c r="AC26" s="37"/>
      <c r="AD26" s="37"/>
      <c r="AE26" s="38"/>
      <c r="AF26" s="284" t="s">
        <v>492</v>
      </c>
      <c r="AG26" s="286"/>
      <c r="AH26" s="284" t="s">
        <v>492</v>
      </c>
      <c r="AI26" s="286"/>
      <c r="AJ26" s="284" t="s">
        <v>492</v>
      </c>
      <c r="AK26" s="286"/>
      <c r="AL26" s="284"/>
      <c r="AM26" s="286"/>
      <c r="AN26" s="284"/>
      <c r="AO26" s="286"/>
      <c r="AP26" s="284" t="s">
        <v>131</v>
      </c>
      <c r="AQ26" s="285"/>
      <c r="AR26" s="285"/>
      <c r="AS26" s="285"/>
      <c r="AT26" s="285"/>
      <c r="AU26" s="285"/>
      <c r="AV26" s="285"/>
      <c r="AW26" s="286"/>
      <c r="AX26" s="287" t="s">
        <v>857</v>
      </c>
      <c r="AY26" s="287"/>
      <c r="AZ26" s="287"/>
      <c r="BA26" s="287"/>
      <c r="BB26" s="287"/>
      <c r="BC26" s="287"/>
      <c r="BD26" s="287"/>
      <c r="BE26" s="287"/>
      <c r="BF26" s="288"/>
      <c r="BG26" s="288"/>
      <c r="BH26" s="288"/>
      <c r="BI26" s="288"/>
      <c r="BJ26" s="288"/>
      <c r="BK26" s="288"/>
      <c r="BL26" s="288"/>
      <c r="BM26" s="288"/>
      <c r="BN26" s="288"/>
      <c r="BO26" s="10"/>
      <c r="BP26" s="11"/>
    </row>
    <row r="27" spans="1:68" s="8" customFormat="1">
      <c r="A27" s="9"/>
      <c r="B27" s="32"/>
      <c r="C27" s="42"/>
      <c r="D27" s="42"/>
      <c r="E27" s="42"/>
      <c r="F27" s="42"/>
      <c r="G27" s="42"/>
      <c r="H27" s="42"/>
      <c r="I27" s="42"/>
      <c r="J27" s="403"/>
      <c r="K27" s="404"/>
      <c r="L27" s="404"/>
      <c r="M27" s="404"/>
      <c r="N27" s="404"/>
      <c r="O27" s="404"/>
      <c r="P27" s="404"/>
      <c r="Q27" s="405"/>
      <c r="R27" s="38">
        <v>6</v>
      </c>
      <c r="S27" s="36" t="s">
        <v>858</v>
      </c>
      <c r="T27" s="37"/>
      <c r="U27" s="37"/>
      <c r="V27" s="37"/>
      <c r="W27" s="37"/>
      <c r="X27" s="37"/>
      <c r="Y27" s="37"/>
      <c r="Z27" s="37"/>
      <c r="AA27" s="37"/>
      <c r="AB27" s="37"/>
      <c r="AC27" s="37"/>
      <c r="AD27" s="37"/>
      <c r="AE27" s="38"/>
      <c r="AF27" s="284" t="s">
        <v>492</v>
      </c>
      <c r="AG27" s="286"/>
      <c r="AH27" s="284" t="s">
        <v>492</v>
      </c>
      <c r="AI27" s="286"/>
      <c r="AJ27" s="284" t="s">
        <v>492</v>
      </c>
      <c r="AK27" s="286"/>
      <c r="AL27" s="284"/>
      <c r="AM27" s="286"/>
      <c r="AN27" s="284"/>
      <c r="AO27" s="286"/>
      <c r="AP27" s="284" t="s">
        <v>131</v>
      </c>
      <c r="AQ27" s="285"/>
      <c r="AR27" s="285"/>
      <c r="AS27" s="285"/>
      <c r="AT27" s="285"/>
      <c r="AU27" s="285"/>
      <c r="AV27" s="285"/>
      <c r="AW27" s="286"/>
      <c r="AX27" s="287" t="s">
        <v>859</v>
      </c>
      <c r="AY27" s="287"/>
      <c r="AZ27" s="287"/>
      <c r="BA27" s="287"/>
      <c r="BB27" s="287"/>
      <c r="BC27" s="287"/>
      <c r="BD27" s="287"/>
      <c r="BE27" s="287"/>
      <c r="BF27" s="288"/>
      <c r="BG27" s="288"/>
      <c r="BH27" s="288"/>
      <c r="BI27" s="288"/>
      <c r="BJ27" s="288"/>
      <c r="BK27" s="288"/>
      <c r="BL27" s="288"/>
      <c r="BM27" s="288"/>
      <c r="BN27" s="288"/>
      <c r="BO27" s="10"/>
      <c r="BP27" s="11"/>
    </row>
    <row r="28" spans="1:68" s="8" customFormat="1">
      <c r="A28" s="9"/>
      <c r="B28" s="33"/>
      <c r="C28" s="42"/>
      <c r="D28" s="42"/>
      <c r="E28" s="42"/>
      <c r="F28" s="42"/>
      <c r="G28" s="42"/>
      <c r="H28" s="42"/>
      <c r="I28" s="10"/>
      <c r="J28" s="403"/>
      <c r="K28" s="404"/>
      <c r="L28" s="404"/>
      <c r="M28" s="404"/>
      <c r="N28" s="404"/>
      <c r="O28" s="404"/>
      <c r="P28" s="404"/>
      <c r="Q28" s="405"/>
      <c r="R28" s="38">
        <v>7</v>
      </c>
      <c r="S28" s="36" t="s">
        <v>860</v>
      </c>
      <c r="T28" s="37"/>
      <c r="U28" s="37"/>
      <c r="V28" s="37"/>
      <c r="W28" s="37"/>
      <c r="X28" s="37"/>
      <c r="Y28" s="37"/>
      <c r="Z28" s="37"/>
      <c r="AA28" s="37"/>
      <c r="AB28" s="37"/>
      <c r="AC28" s="37"/>
      <c r="AD28" s="37"/>
      <c r="AE28" s="38"/>
      <c r="AF28" s="284" t="s">
        <v>492</v>
      </c>
      <c r="AG28" s="286"/>
      <c r="AH28" s="284" t="s">
        <v>492</v>
      </c>
      <c r="AI28" s="286"/>
      <c r="AJ28" s="284" t="s">
        <v>492</v>
      </c>
      <c r="AK28" s="286"/>
      <c r="AL28" s="284"/>
      <c r="AM28" s="286"/>
      <c r="AN28" s="284"/>
      <c r="AO28" s="286"/>
      <c r="AP28" s="284" t="s">
        <v>131</v>
      </c>
      <c r="AQ28" s="285"/>
      <c r="AR28" s="285"/>
      <c r="AS28" s="285"/>
      <c r="AT28" s="285"/>
      <c r="AU28" s="285"/>
      <c r="AV28" s="285"/>
      <c r="AW28" s="286"/>
      <c r="AX28" s="287" t="s">
        <v>334</v>
      </c>
      <c r="AY28" s="287"/>
      <c r="AZ28" s="287"/>
      <c r="BA28" s="287"/>
      <c r="BB28" s="287"/>
      <c r="BC28" s="287"/>
      <c r="BD28" s="287"/>
      <c r="BE28" s="287"/>
      <c r="BF28" s="288"/>
      <c r="BG28" s="288"/>
      <c r="BH28" s="288"/>
      <c r="BI28" s="288"/>
      <c r="BJ28" s="288"/>
      <c r="BK28" s="288"/>
      <c r="BL28" s="288"/>
      <c r="BM28" s="288"/>
      <c r="BN28" s="288"/>
      <c r="BO28" s="10"/>
    </row>
    <row r="29" spans="1:68" s="8" customFormat="1">
      <c r="A29" s="9"/>
      <c r="B29" s="32"/>
      <c r="C29" s="42"/>
      <c r="D29" s="42"/>
      <c r="E29" s="42"/>
      <c r="F29" s="42"/>
      <c r="G29" s="42"/>
      <c r="H29" s="42"/>
      <c r="I29" s="42"/>
      <c r="J29" s="403"/>
      <c r="K29" s="404"/>
      <c r="L29" s="404"/>
      <c r="M29" s="404"/>
      <c r="N29" s="404"/>
      <c r="O29" s="404"/>
      <c r="P29" s="404"/>
      <c r="Q29" s="405"/>
      <c r="R29" s="38">
        <v>8</v>
      </c>
      <c r="S29" s="36" t="s">
        <v>861</v>
      </c>
      <c r="T29" s="37"/>
      <c r="U29" s="37"/>
      <c r="V29" s="37"/>
      <c r="W29" s="37"/>
      <c r="X29" s="37"/>
      <c r="Y29" s="37"/>
      <c r="Z29" s="37"/>
      <c r="AA29" s="37"/>
      <c r="AB29" s="37"/>
      <c r="AC29" s="37"/>
      <c r="AD29" s="37"/>
      <c r="AE29" s="38"/>
      <c r="AF29" s="284" t="s">
        <v>492</v>
      </c>
      <c r="AG29" s="286"/>
      <c r="AH29" s="284" t="s">
        <v>492</v>
      </c>
      <c r="AI29" s="286"/>
      <c r="AJ29" s="284" t="s">
        <v>492</v>
      </c>
      <c r="AK29" s="286"/>
      <c r="AL29" s="284"/>
      <c r="AM29" s="286"/>
      <c r="AN29" s="284"/>
      <c r="AO29" s="286"/>
      <c r="AP29" s="284" t="s">
        <v>131</v>
      </c>
      <c r="AQ29" s="285"/>
      <c r="AR29" s="285"/>
      <c r="AS29" s="285"/>
      <c r="AT29" s="285"/>
      <c r="AU29" s="285"/>
      <c r="AV29" s="285"/>
      <c r="AW29" s="286"/>
      <c r="AX29" s="287" t="s">
        <v>334</v>
      </c>
      <c r="AY29" s="287"/>
      <c r="AZ29" s="287"/>
      <c r="BA29" s="287"/>
      <c r="BB29" s="287"/>
      <c r="BC29" s="287"/>
      <c r="BD29" s="287"/>
      <c r="BE29" s="287"/>
      <c r="BF29" s="288"/>
      <c r="BG29" s="288"/>
      <c r="BH29" s="288"/>
      <c r="BI29" s="288"/>
      <c r="BJ29" s="288"/>
      <c r="BK29" s="288"/>
      <c r="BL29" s="288"/>
      <c r="BM29" s="288"/>
      <c r="BN29" s="288"/>
      <c r="BO29" s="10"/>
      <c r="BP29" s="11"/>
    </row>
    <row r="30" spans="1:68" s="8" customFormat="1">
      <c r="A30" s="9"/>
      <c r="B30" s="32"/>
      <c r="C30" s="42"/>
      <c r="D30" s="42"/>
      <c r="E30" s="42"/>
      <c r="F30" s="42"/>
      <c r="G30" s="42"/>
      <c r="H30" s="42"/>
      <c r="I30" s="42"/>
      <c r="J30" s="403"/>
      <c r="K30" s="404"/>
      <c r="L30" s="404"/>
      <c r="M30" s="404"/>
      <c r="N30" s="404"/>
      <c r="O30" s="404"/>
      <c r="P30" s="404"/>
      <c r="Q30" s="405"/>
      <c r="R30" s="38">
        <v>9</v>
      </c>
      <c r="S30" s="36" t="s">
        <v>773</v>
      </c>
      <c r="T30" s="37"/>
      <c r="U30" s="37"/>
      <c r="V30" s="37"/>
      <c r="W30" s="37"/>
      <c r="X30" s="37"/>
      <c r="Y30" s="37"/>
      <c r="Z30" s="37"/>
      <c r="AA30" s="37"/>
      <c r="AB30" s="37"/>
      <c r="AC30" s="37"/>
      <c r="AD30" s="37"/>
      <c r="AE30" s="38"/>
      <c r="AF30" s="284" t="s">
        <v>492</v>
      </c>
      <c r="AG30" s="286"/>
      <c r="AH30" s="284" t="s">
        <v>492</v>
      </c>
      <c r="AI30" s="286"/>
      <c r="AJ30" s="284" t="s">
        <v>492</v>
      </c>
      <c r="AK30" s="286"/>
      <c r="AL30" s="284"/>
      <c r="AM30" s="286"/>
      <c r="AN30" s="284"/>
      <c r="AO30" s="286"/>
      <c r="AP30" s="284" t="s">
        <v>131</v>
      </c>
      <c r="AQ30" s="285"/>
      <c r="AR30" s="285"/>
      <c r="AS30" s="285"/>
      <c r="AT30" s="285"/>
      <c r="AU30" s="285"/>
      <c r="AV30" s="285"/>
      <c r="AW30" s="286"/>
      <c r="AX30" s="287" t="s">
        <v>334</v>
      </c>
      <c r="AY30" s="287"/>
      <c r="AZ30" s="287"/>
      <c r="BA30" s="287"/>
      <c r="BB30" s="287"/>
      <c r="BC30" s="287"/>
      <c r="BD30" s="287"/>
      <c r="BE30" s="287"/>
      <c r="BF30" s="288"/>
      <c r="BG30" s="288"/>
      <c r="BH30" s="288"/>
      <c r="BI30" s="288"/>
      <c r="BJ30" s="288"/>
      <c r="BK30" s="288"/>
      <c r="BL30" s="288"/>
      <c r="BM30" s="288"/>
      <c r="BN30" s="288"/>
      <c r="BO30" s="10"/>
      <c r="BP30" s="11"/>
    </row>
    <row r="31" spans="1:68" s="8" customFormat="1">
      <c r="A31" s="9"/>
      <c r="B31" s="32"/>
      <c r="C31" s="42"/>
      <c r="D31" s="42"/>
      <c r="E31" s="42"/>
      <c r="F31" s="42"/>
      <c r="G31" s="42"/>
      <c r="H31" s="42"/>
      <c r="I31" s="42"/>
      <c r="J31" s="403"/>
      <c r="K31" s="404"/>
      <c r="L31" s="404"/>
      <c r="M31" s="404"/>
      <c r="N31" s="404"/>
      <c r="O31" s="404"/>
      <c r="P31" s="404"/>
      <c r="Q31" s="405"/>
      <c r="R31" s="38">
        <v>10</v>
      </c>
      <c r="S31" s="36" t="s">
        <v>558</v>
      </c>
      <c r="T31" s="37"/>
      <c r="U31" s="37"/>
      <c r="V31" s="37"/>
      <c r="W31" s="37"/>
      <c r="X31" s="37"/>
      <c r="Y31" s="37"/>
      <c r="Z31" s="37"/>
      <c r="AA31" s="37"/>
      <c r="AB31" s="37"/>
      <c r="AC31" s="37"/>
      <c r="AD31" s="37"/>
      <c r="AE31" s="38"/>
      <c r="AF31" s="284" t="s">
        <v>492</v>
      </c>
      <c r="AG31" s="286"/>
      <c r="AH31" s="284" t="s">
        <v>492</v>
      </c>
      <c r="AI31" s="286"/>
      <c r="AJ31" s="284" t="s">
        <v>492</v>
      </c>
      <c r="AK31" s="286"/>
      <c r="AL31" s="284"/>
      <c r="AM31" s="286"/>
      <c r="AN31" s="284"/>
      <c r="AO31" s="286"/>
      <c r="AP31" s="284" t="s">
        <v>131</v>
      </c>
      <c r="AQ31" s="285"/>
      <c r="AR31" s="285"/>
      <c r="AS31" s="285"/>
      <c r="AT31" s="285"/>
      <c r="AU31" s="285"/>
      <c r="AV31" s="285"/>
      <c r="AW31" s="286"/>
      <c r="AX31" s="287" t="s">
        <v>334</v>
      </c>
      <c r="AY31" s="287"/>
      <c r="AZ31" s="287"/>
      <c r="BA31" s="287"/>
      <c r="BB31" s="287"/>
      <c r="BC31" s="287"/>
      <c r="BD31" s="287"/>
      <c r="BE31" s="287"/>
      <c r="BF31" s="288"/>
      <c r="BG31" s="288"/>
      <c r="BH31" s="288"/>
      <c r="BI31" s="288"/>
      <c r="BJ31" s="288"/>
      <c r="BK31" s="288"/>
      <c r="BL31" s="288"/>
      <c r="BM31" s="288"/>
      <c r="BN31" s="288"/>
      <c r="BO31" s="10"/>
      <c r="BP31" s="11"/>
    </row>
    <row r="32" spans="1:68" s="8" customFormat="1">
      <c r="A32" s="9"/>
      <c r="B32" s="33"/>
      <c r="C32" s="42"/>
      <c r="D32" s="42"/>
      <c r="E32" s="42"/>
      <c r="F32" s="42"/>
      <c r="G32" s="42"/>
      <c r="H32" s="42"/>
      <c r="I32" s="10"/>
      <c r="J32" s="403"/>
      <c r="K32" s="404"/>
      <c r="L32" s="404"/>
      <c r="M32" s="404"/>
      <c r="N32" s="404"/>
      <c r="O32" s="404"/>
      <c r="P32" s="404"/>
      <c r="Q32" s="405"/>
      <c r="R32" s="38">
        <v>11</v>
      </c>
      <c r="S32" s="36" t="s">
        <v>862</v>
      </c>
      <c r="T32" s="37"/>
      <c r="U32" s="37"/>
      <c r="V32" s="37"/>
      <c r="W32" s="37"/>
      <c r="X32" s="37"/>
      <c r="Y32" s="37"/>
      <c r="Z32" s="37"/>
      <c r="AA32" s="37"/>
      <c r="AB32" s="37"/>
      <c r="AC32" s="37"/>
      <c r="AD32" s="37"/>
      <c r="AE32" s="38"/>
      <c r="AF32" s="284"/>
      <c r="AG32" s="286"/>
      <c r="AH32" s="284" t="s">
        <v>492</v>
      </c>
      <c r="AI32" s="286"/>
      <c r="AJ32" s="284" t="s">
        <v>492</v>
      </c>
      <c r="AK32" s="286"/>
      <c r="AL32" s="45"/>
      <c r="AM32" s="46"/>
      <c r="AN32" s="45"/>
      <c r="AO32" s="46"/>
      <c r="AP32" s="284" t="s">
        <v>131</v>
      </c>
      <c r="AQ32" s="285"/>
      <c r="AR32" s="285"/>
      <c r="AS32" s="285"/>
      <c r="AT32" s="285"/>
      <c r="AU32" s="285"/>
      <c r="AV32" s="285"/>
      <c r="AW32" s="286"/>
      <c r="AX32" s="287" t="s">
        <v>863</v>
      </c>
      <c r="AY32" s="287"/>
      <c r="AZ32" s="287"/>
      <c r="BA32" s="287"/>
      <c r="BB32" s="287"/>
      <c r="BC32" s="287"/>
      <c r="BD32" s="287"/>
      <c r="BE32" s="287"/>
      <c r="BF32" s="288"/>
      <c r="BG32" s="288"/>
      <c r="BH32" s="288"/>
      <c r="BI32" s="288"/>
      <c r="BJ32" s="288"/>
      <c r="BK32" s="288"/>
      <c r="BL32" s="288"/>
      <c r="BM32" s="288"/>
      <c r="BN32" s="288"/>
      <c r="BO32" s="10"/>
    </row>
    <row r="33" spans="1:68" s="8" customFormat="1">
      <c r="A33" s="9"/>
      <c r="B33" s="32"/>
      <c r="C33" s="42"/>
      <c r="D33" s="42"/>
      <c r="E33" s="42"/>
      <c r="F33" s="42"/>
      <c r="G33" s="42"/>
      <c r="H33" s="42"/>
      <c r="I33" s="10"/>
      <c r="J33" s="406"/>
      <c r="K33" s="407"/>
      <c r="L33" s="407"/>
      <c r="M33" s="407"/>
      <c r="N33" s="407"/>
      <c r="O33" s="407"/>
      <c r="P33" s="407"/>
      <c r="Q33" s="408"/>
      <c r="R33" s="38">
        <v>12</v>
      </c>
      <c r="S33" s="36" t="s">
        <v>864</v>
      </c>
      <c r="T33" s="37"/>
      <c r="U33" s="37"/>
      <c r="V33" s="37"/>
      <c r="W33" s="37"/>
      <c r="X33" s="37"/>
      <c r="Y33" s="37"/>
      <c r="Z33" s="37"/>
      <c r="AA33" s="37"/>
      <c r="AB33" s="37"/>
      <c r="AC33" s="37"/>
      <c r="AD33" s="37"/>
      <c r="AE33" s="38"/>
      <c r="AF33" s="284" t="s">
        <v>492</v>
      </c>
      <c r="AG33" s="286"/>
      <c r="AH33" s="284"/>
      <c r="AI33" s="286"/>
      <c r="AJ33" s="284"/>
      <c r="AK33" s="286"/>
      <c r="AL33" s="45"/>
      <c r="AM33" s="46"/>
      <c r="AN33" s="45"/>
      <c r="AO33" s="46"/>
      <c r="AP33" s="284" t="s">
        <v>131</v>
      </c>
      <c r="AQ33" s="285"/>
      <c r="AR33" s="285"/>
      <c r="AS33" s="285"/>
      <c r="AT33" s="285"/>
      <c r="AU33" s="285"/>
      <c r="AV33" s="285"/>
      <c r="AW33" s="286"/>
      <c r="AX33" s="287" t="s">
        <v>334</v>
      </c>
      <c r="AY33" s="287"/>
      <c r="AZ33" s="287"/>
      <c r="BA33" s="287"/>
      <c r="BB33" s="287"/>
      <c r="BC33" s="287"/>
      <c r="BD33" s="287"/>
      <c r="BE33" s="287"/>
      <c r="BF33" s="288"/>
      <c r="BG33" s="288"/>
      <c r="BH33" s="288"/>
      <c r="BI33" s="288"/>
      <c r="BJ33" s="288"/>
      <c r="BK33" s="288"/>
      <c r="BL33" s="288"/>
      <c r="BM33" s="288"/>
      <c r="BN33" s="288"/>
      <c r="BO33" s="10"/>
      <c r="BP33" s="11"/>
    </row>
    <row r="34" spans="1:68" s="8" customFormat="1">
      <c r="A34" s="9"/>
      <c r="B34" s="32"/>
      <c r="C34" s="42"/>
      <c r="D34" s="42"/>
      <c r="E34" s="42"/>
      <c r="F34" s="42"/>
      <c r="G34" s="42"/>
      <c r="H34" s="42"/>
      <c r="I34" s="10"/>
      <c r="J34" s="400" t="s">
        <v>869</v>
      </c>
      <c r="K34" s="401"/>
      <c r="L34" s="401"/>
      <c r="M34" s="401"/>
      <c r="N34" s="401"/>
      <c r="O34" s="401"/>
      <c r="P34" s="401"/>
      <c r="Q34" s="402"/>
      <c r="R34" s="38">
        <v>1</v>
      </c>
      <c r="S34" s="36" t="s">
        <v>870</v>
      </c>
      <c r="T34" s="37"/>
      <c r="U34" s="37"/>
      <c r="V34" s="37"/>
      <c r="W34" s="37"/>
      <c r="X34" s="37"/>
      <c r="Y34" s="37"/>
      <c r="Z34" s="37"/>
      <c r="AA34" s="37"/>
      <c r="AB34" s="37"/>
      <c r="AC34" s="37"/>
      <c r="AD34" s="37"/>
      <c r="AE34" s="38"/>
      <c r="AF34" s="45"/>
      <c r="AG34" s="46"/>
      <c r="AH34" s="284" t="s">
        <v>492</v>
      </c>
      <c r="AI34" s="286"/>
      <c r="AJ34" s="284" t="s">
        <v>492</v>
      </c>
      <c r="AK34" s="286"/>
      <c r="AL34" s="45"/>
      <c r="AM34" s="46"/>
      <c r="AN34" s="45"/>
      <c r="AO34" s="46"/>
      <c r="AP34" s="284" t="s">
        <v>131</v>
      </c>
      <c r="AQ34" s="285"/>
      <c r="AR34" s="285"/>
      <c r="AS34" s="285"/>
      <c r="AT34" s="285"/>
      <c r="AU34" s="285"/>
      <c r="AV34" s="285"/>
      <c r="AW34" s="286"/>
      <c r="AX34" s="287" t="s">
        <v>871</v>
      </c>
      <c r="AY34" s="287"/>
      <c r="AZ34" s="287"/>
      <c r="BA34" s="287"/>
      <c r="BB34" s="287"/>
      <c r="BC34" s="287"/>
      <c r="BD34" s="287"/>
      <c r="BE34" s="287"/>
      <c r="BF34" s="288"/>
      <c r="BG34" s="288"/>
      <c r="BH34" s="288"/>
      <c r="BI34" s="288"/>
      <c r="BJ34" s="288"/>
      <c r="BK34" s="288"/>
      <c r="BL34" s="288"/>
      <c r="BM34" s="288"/>
      <c r="BN34" s="288"/>
      <c r="BO34" s="10"/>
      <c r="BP34" s="11"/>
    </row>
    <row r="35" spans="1:68" s="8" customFormat="1">
      <c r="A35" s="9"/>
      <c r="B35" s="32"/>
      <c r="C35" s="42"/>
      <c r="D35" s="42"/>
      <c r="E35" s="42"/>
      <c r="F35" s="42"/>
      <c r="G35" s="42"/>
      <c r="H35" s="42"/>
      <c r="I35" s="10"/>
      <c r="J35" s="406"/>
      <c r="K35" s="407"/>
      <c r="L35" s="407"/>
      <c r="M35" s="407"/>
      <c r="N35" s="407"/>
      <c r="O35" s="407"/>
      <c r="P35" s="407"/>
      <c r="Q35" s="408"/>
      <c r="R35" s="38">
        <v>2</v>
      </c>
      <c r="S35" s="36" t="s">
        <v>872</v>
      </c>
      <c r="T35" s="37"/>
      <c r="U35" s="37"/>
      <c r="V35" s="37"/>
      <c r="W35" s="37"/>
      <c r="X35" s="37"/>
      <c r="Y35" s="37"/>
      <c r="Z35" s="37"/>
      <c r="AA35" s="37"/>
      <c r="AB35" s="37"/>
      <c r="AC35" s="37"/>
      <c r="AD35" s="37"/>
      <c r="AE35" s="38"/>
      <c r="AF35" s="284"/>
      <c r="AG35" s="286"/>
      <c r="AH35" s="284" t="s">
        <v>492</v>
      </c>
      <c r="AI35" s="286"/>
      <c r="AJ35" s="284" t="s">
        <v>492</v>
      </c>
      <c r="AK35" s="286"/>
      <c r="AL35" s="284"/>
      <c r="AM35" s="286"/>
      <c r="AN35" s="284"/>
      <c r="AO35" s="286"/>
      <c r="AP35" s="284" t="s">
        <v>131</v>
      </c>
      <c r="AQ35" s="285"/>
      <c r="AR35" s="285"/>
      <c r="AS35" s="285"/>
      <c r="AT35" s="285"/>
      <c r="AU35" s="285"/>
      <c r="AV35" s="285"/>
      <c r="AW35" s="286"/>
      <c r="AX35" s="284" t="s">
        <v>334</v>
      </c>
      <c r="AY35" s="285"/>
      <c r="AZ35" s="285"/>
      <c r="BA35" s="285"/>
      <c r="BB35" s="285"/>
      <c r="BC35" s="285"/>
      <c r="BD35" s="285"/>
      <c r="BE35" s="286"/>
      <c r="BF35" s="288"/>
      <c r="BG35" s="288"/>
      <c r="BH35" s="288"/>
      <c r="BI35" s="288"/>
      <c r="BJ35" s="288"/>
      <c r="BK35" s="288"/>
      <c r="BL35" s="288"/>
      <c r="BM35" s="288"/>
      <c r="BN35" s="288"/>
      <c r="BO35" s="10"/>
      <c r="BP35" s="11"/>
    </row>
    <row r="36" spans="1:68" s="8" customFormat="1">
      <c r="A36" s="9"/>
      <c r="B36" s="32"/>
      <c r="C36" s="42"/>
      <c r="D36" s="42"/>
      <c r="E36" s="42"/>
      <c r="F36" s="42"/>
      <c r="G36" s="42"/>
      <c r="H36" s="42"/>
      <c r="I36" s="10"/>
      <c r="J36" s="400" t="s">
        <v>873</v>
      </c>
      <c r="K36" s="401"/>
      <c r="L36" s="401"/>
      <c r="M36" s="401"/>
      <c r="N36" s="401"/>
      <c r="O36" s="401"/>
      <c r="P36" s="401"/>
      <c r="Q36" s="402"/>
      <c r="R36" s="38">
        <v>1</v>
      </c>
      <c r="S36" s="36" t="s">
        <v>874</v>
      </c>
      <c r="T36" s="37"/>
      <c r="U36" s="37"/>
      <c r="V36" s="37"/>
      <c r="W36" s="37"/>
      <c r="X36" s="37"/>
      <c r="Y36" s="37"/>
      <c r="Z36" s="37"/>
      <c r="AA36" s="37"/>
      <c r="AB36" s="37"/>
      <c r="AC36" s="37"/>
      <c r="AD36" s="37"/>
      <c r="AE36" s="38"/>
      <c r="AF36" s="284" t="s">
        <v>492</v>
      </c>
      <c r="AG36" s="286"/>
      <c r="AH36" s="284" t="s">
        <v>492</v>
      </c>
      <c r="AI36" s="286"/>
      <c r="AJ36" s="284" t="s">
        <v>492</v>
      </c>
      <c r="AK36" s="286"/>
      <c r="AL36" s="284"/>
      <c r="AM36" s="286"/>
      <c r="AN36" s="284"/>
      <c r="AO36" s="286"/>
      <c r="AP36" s="284" t="s">
        <v>201</v>
      </c>
      <c r="AQ36" s="285"/>
      <c r="AR36" s="285"/>
      <c r="AS36" s="285"/>
      <c r="AT36" s="285"/>
      <c r="AU36" s="285"/>
      <c r="AV36" s="285"/>
      <c r="AW36" s="286"/>
      <c r="AX36" s="284" t="s">
        <v>201</v>
      </c>
      <c r="AY36" s="285"/>
      <c r="AZ36" s="285"/>
      <c r="BA36" s="285"/>
      <c r="BB36" s="285"/>
      <c r="BC36" s="285"/>
      <c r="BD36" s="285"/>
      <c r="BE36" s="286"/>
      <c r="BF36" s="288" t="s">
        <v>875</v>
      </c>
      <c r="BG36" s="288"/>
      <c r="BH36" s="288"/>
      <c r="BI36" s="288"/>
      <c r="BJ36" s="288"/>
      <c r="BK36" s="288"/>
      <c r="BL36" s="288"/>
      <c r="BM36" s="288"/>
      <c r="BN36" s="288"/>
      <c r="BO36" s="10"/>
      <c r="BP36" s="11"/>
    </row>
    <row r="37" spans="1:68" s="8" customFormat="1">
      <c r="A37" s="9"/>
      <c r="B37" s="33"/>
      <c r="C37" s="42"/>
      <c r="D37" s="42"/>
      <c r="E37" s="42"/>
      <c r="F37" s="42"/>
      <c r="G37" s="42"/>
      <c r="H37" s="42"/>
      <c r="I37" s="10"/>
      <c r="J37" s="406"/>
      <c r="K37" s="407"/>
      <c r="L37" s="407"/>
      <c r="M37" s="407"/>
      <c r="N37" s="407"/>
      <c r="O37" s="407"/>
      <c r="P37" s="407"/>
      <c r="Q37" s="408"/>
      <c r="R37" s="38">
        <v>2</v>
      </c>
      <c r="S37" s="36" t="s">
        <v>876</v>
      </c>
      <c r="T37" s="37"/>
      <c r="U37" s="37"/>
      <c r="V37" s="37"/>
      <c r="W37" s="37"/>
      <c r="X37" s="37"/>
      <c r="Y37" s="37"/>
      <c r="Z37" s="37"/>
      <c r="AA37" s="37"/>
      <c r="AB37" s="37"/>
      <c r="AC37" s="37"/>
      <c r="AD37" s="37"/>
      <c r="AE37" s="38"/>
      <c r="AF37" s="284" t="s">
        <v>492</v>
      </c>
      <c r="AG37" s="286"/>
      <c r="AH37" s="284" t="s">
        <v>492</v>
      </c>
      <c r="AI37" s="286"/>
      <c r="AJ37" s="284" t="s">
        <v>492</v>
      </c>
      <c r="AK37" s="286"/>
      <c r="AL37" s="284"/>
      <c r="AM37" s="286"/>
      <c r="AN37" s="284"/>
      <c r="AO37" s="286"/>
      <c r="AP37" s="284" t="s">
        <v>131</v>
      </c>
      <c r="AQ37" s="285"/>
      <c r="AR37" s="285"/>
      <c r="AS37" s="285"/>
      <c r="AT37" s="285"/>
      <c r="AU37" s="285"/>
      <c r="AV37" s="285"/>
      <c r="AW37" s="286"/>
      <c r="AX37" s="284" t="s">
        <v>877</v>
      </c>
      <c r="AY37" s="285"/>
      <c r="AZ37" s="285"/>
      <c r="BA37" s="285"/>
      <c r="BB37" s="285"/>
      <c r="BC37" s="285"/>
      <c r="BD37" s="285"/>
      <c r="BE37" s="286"/>
      <c r="BF37" s="288" t="s">
        <v>878</v>
      </c>
      <c r="BG37" s="288"/>
      <c r="BH37" s="288"/>
      <c r="BI37" s="288"/>
      <c r="BJ37" s="288"/>
      <c r="BK37" s="288"/>
      <c r="BL37" s="288"/>
      <c r="BM37" s="288"/>
      <c r="BN37" s="288"/>
      <c r="BO37" s="10"/>
    </row>
    <row r="38" spans="1:68" s="8" customFormat="1">
      <c r="A38" s="9"/>
      <c r="B38" s="33"/>
      <c r="C38" s="42"/>
      <c r="D38" s="42"/>
      <c r="E38" s="42"/>
      <c r="F38" s="42"/>
      <c r="G38" s="42"/>
      <c r="H38" s="42"/>
      <c r="I38" s="10"/>
      <c r="J38" s="400" t="s">
        <v>879</v>
      </c>
      <c r="K38" s="401"/>
      <c r="L38" s="401"/>
      <c r="M38" s="401"/>
      <c r="N38" s="401"/>
      <c r="O38" s="401"/>
      <c r="P38" s="401"/>
      <c r="Q38" s="402"/>
      <c r="R38" s="38">
        <v>1</v>
      </c>
      <c r="S38" s="36" t="s">
        <v>880</v>
      </c>
      <c r="T38" s="37"/>
      <c r="U38" s="37"/>
      <c r="V38" s="37"/>
      <c r="W38" s="37"/>
      <c r="X38" s="37"/>
      <c r="Y38" s="37"/>
      <c r="Z38" s="37"/>
      <c r="AA38" s="37"/>
      <c r="AB38" s="37"/>
      <c r="AC38" s="37"/>
      <c r="AD38" s="37"/>
      <c r="AE38" s="38"/>
      <c r="AF38" s="284" t="s">
        <v>492</v>
      </c>
      <c r="AG38" s="286"/>
      <c r="AH38" s="284" t="s">
        <v>492</v>
      </c>
      <c r="AI38" s="286"/>
      <c r="AJ38" s="284" t="s">
        <v>492</v>
      </c>
      <c r="AK38" s="286"/>
      <c r="AL38" s="284"/>
      <c r="AM38" s="286"/>
      <c r="AN38" s="284"/>
      <c r="AO38" s="286"/>
      <c r="AP38" s="284" t="s">
        <v>201</v>
      </c>
      <c r="AQ38" s="285"/>
      <c r="AR38" s="285"/>
      <c r="AS38" s="285"/>
      <c r="AT38" s="285"/>
      <c r="AU38" s="285"/>
      <c r="AV38" s="285"/>
      <c r="AW38" s="286"/>
      <c r="AX38" s="284" t="s">
        <v>201</v>
      </c>
      <c r="AY38" s="285"/>
      <c r="AZ38" s="285"/>
      <c r="BA38" s="285"/>
      <c r="BB38" s="285"/>
      <c r="BC38" s="285"/>
      <c r="BD38" s="285"/>
      <c r="BE38" s="286"/>
      <c r="BF38" s="288"/>
      <c r="BG38" s="288"/>
      <c r="BH38" s="288"/>
      <c r="BI38" s="288"/>
      <c r="BJ38" s="288"/>
      <c r="BK38" s="288"/>
      <c r="BL38" s="288"/>
      <c r="BM38" s="288"/>
      <c r="BN38" s="288"/>
      <c r="BO38" s="10"/>
    </row>
    <row r="39" spans="1:68" s="8" customFormat="1">
      <c r="A39" s="9"/>
      <c r="B39" s="32"/>
      <c r="C39" s="42"/>
      <c r="D39" s="42"/>
      <c r="E39" s="42"/>
      <c r="F39" s="42"/>
      <c r="G39" s="42"/>
      <c r="H39" s="42"/>
      <c r="I39" s="42"/>
      <c r="J39" s="403"/>
      <c r="K39" s="404"/>
      <c r="L39" s="404"/>
      <c r="M39" s="404"/>
      <c r="N39" s="404"/>
      <c r="O39" s="404"/>
      <c r="P39" s="404"/>
      <c r="Q39" s="405"/>
      <c r="R39" s="38">
        <v>2</v>
      </c>
      <c r="S39" s="36" t="s">
        <v>881</v>
      </c>
      <c r="T39" s="37"/>
      <c r="U39" s="37"/>
      <c r="V39" s="37"/>
      <c r="W39" s="37"/>
      <c r="X39" s="37"/>
      <c r="Y39" s="37"/>
      <c r="Z39" s="37"/>
      <c r="AA39" s="37"/>
      <c r="AB39" s="37"/>
      <c r="AC39" s="37"/>
      <c r="AD39" s="37"/>
      <c r="AE39" s="38"/>
      <c r="AF39" s="284" t="s">
        <v>492</v>
      </c>
      <c r="AG39" s="286"/>
      <c r="AH39" s="284" t="s">
        <v>492</v>
      </c>
      <c r="AI39" s="286"/>
      <c r="AJ39" s="284" t="s">
        <v>492</v>
      </c>
      <c r="AK39" s="286"/>
      <c r="AL39" s="284"/>
      <c r="AM39" s="286"/>
      <c r="AN39" s="284"/>
      <c r="AO39" s="286"/>
      <c r="AP39" s="284" t="s">
        <v>131</v>
      </c>
      <c r="AQ39" s="285"/>
      <c r="AR39" s="285"/>
      <c r="AS39" s="285"/>
      <c r="AT39" s="285"/>
      <c r="AU39" s="285"/>
      <c r="AV39" s="285"/>
      <c r="AW39" s="286"/>
      <c r="AX39" s="284" t="s">
        <v>882</v>
      </c>
      <c r="AY39" s="285"/>
      <c r="AZ39" s="285"/>
      <c r="BA39" s="285"/>
      <c r="BB39" s="285"/>
      <c r="BC39" s="285"/>
      <c r="BD39" s="285"/>
      <c r="BE39" s="286"/>
      <c r="BF39" s="288"/>
      <c r="BG39" s="288"/>
      <c r="BH39" s="288"/>
      <c r="BI39" s="288"/>
      <c r="BJ39" s="288"/>
      <c r="BK39" s="288"/>
      <c r="BL39" s="288"/>
      <c r="BM39" s="288"/>
      <c r="BN39" s="288"/>
      <c r="BO39" s="10"/>
      <c r="BP39" s="11"/>
    </row>
    <row r="40" spans="1:68" s="8" customFormat="1">
      <c r="A40" s="9"/>
      <c r="B40" s="33"/>
      <c r="C40" s="42"/>
      <c r="D40" s="42"/>
      <c r="E40" s="42"/>
      <c r="F40" s="42"/>
      <c r="G40" s="42"/>
      <c r="H40" s="42"/>
      <c r="I40" s="42"/>
      <c r="J40" s="403"/>
      <c r="K40" s="404"/>
      <c r="L40" s="404"/>
      <c r="M40" s="404"/>
      <c r="N40" s="404"/>
      <c r="O40" s="404"/>
      <c r="P40" s="404"/>
      <c r="Q40" s="405"/>
      <c r="R40" s="38">
        <v>3</v>
      </c>
      <c r="S40" s="36" t="s">
        <v>883</v>
      </c>
      <c r="T40" s="37"/>
      <c r="U40" s="37"/>
      <c r="V40" s="37"/>
      <c r="W40" s="37"/>
      <c r="X40" s="37"/>
      <c r="Y40" s="37"/>
      <c r="Z40" s="37"/>
      <c r="AA40" s="37"/>
      <c r="AB40" s="37"/>
      <c r="AC40" s="37"/>
      <c r="AD40" s="37"/>
      <c r="AE40" s="38"/>
      <c r="AF40" s="284" t="s">
        <v>492</v>
      </c>
      <c r="AG40" s="286"/>
      <c r="AH40" s="284" t="s">
        <v>492</v>
      </c>
      <c r="AI40" s="286"/>
      <c r="AJ40" s="284" t="s">
        <v>492</v>
      </c>
      <c r="AK40" s="286"/>
      <c r="AL40" s="284"/>
      <c r="AM40" s="286"/>
      <c r="AN40" s="284"/>
      <c r="AO40" s="286"/>
      <c r="AP40" s="284" t="s">
        <v>131</v>
      </c>
      <c r="AQ40" s="285"/>
      <c r="AR40" s="285"/>
      <c r="AS40" s="285"/>
      <c r="AT40" s="285"/>
      <c r="AU40" s="285"/>
      <c r="AV40" s="285"/>
      <c r="AW40" s="286"/>
      <c r="AX40" s="284" t="s">
        <v>882</v>
      </c>
      <c r="AY40" s="285"/>
      <c r="AZ40" s="285"/>
      <c r="BA40" s="285"/>
      <c r="BB40" s="285"/>
      <c r="BC40" s="285"/>
      <c r="BD40" s="285"/>
      <c r="BE40" s="286"/>
      <c r="BF40" s="288"/>
      <c r="BG40" s="288"/>
      <c r="BH40" s="288"/>
      <c r="BI40" s="288"/>
      <c r="BJ40" s="288"/>
      <c r="BK40" s="288"/>
      <c r="BL40" s="288"/>
      <c r="BM40" s="288"/>
      <c r="BN40" s="288"/>
      <c r="BO40" s="10"/>
    </row>
    <row r="41" spans="1:68" s="8" customFormat="1">
      <c r="A41" s="9"/>
      <c r="B41" s="32"/>
      <c r="C41" s="42"/>
      <c r="D41" s="42"/>
      <c r="E41" s="42"/>
      <c r="F41" s="42"/>
      <c r="G41" s="42"/>
      <c r="H41" s="42"/>
      <c r="I41" s="10"/>
      <c r="J41" s="403"/>
      <c r="K41" s="404"/>
      <c r="L41" s="404"/>
      <c r="M41" s="404"/>
      <c r="N41" s="404"/>
      <c r="O41" s="404"/>
      <c r="P41" s="404"/>
      <c r="Q41" s="405"/>
      <c r="R41" s="38">
        <v>4</v>
      </c>
      <c r="S41" s="36" t="s">
        <v>884</v>
      </c>
      <c r="T41" s="37"/>
      <c r="U41" s="37"/>
      <c r="V41" s="37"/>
      <c r="W41" s="37"/>
      <c r="X41" s="37"/>
      <c r="Y41" s="37"/>
      <c r="Z41" s="37"/>
      <c r="AA41" s="37"/>
      <c r="AB41" s="37"/>
      <c r="AC41" s="37"/>
      <c r="AD41" s="37"/>
      <c r="AE41" s="38"/>
      <c r="AF41" s="284" t="s">
        <v>492</v>
      </c>
      <c r="AG41" s="286"/>
      <c r="AH41" s="284" t="s">
        <v>492</v>
      </c>
      <c r="AI41" s="286"/>
      <c r="AJ41" s="284" t="s">
        <v>492</v>
      </c>
      <c r="AK41" s="286"/>
      <c r="AL41" s="284"/>
      <c r="AM41" s="286"/>
      <c r="AN41" s="284"/>
      <c r="AO41" s="286"/>
      <c r="AP41" s="284" t="s">
        <v>131</v>
      </c>
      <c r="AQ41" s="285"/>
      <c r="AR41" s="285"/>
      <c r="AS41" s="285"/>
      <c r="AT41" s="285"/>
      <c r="AU41" s="285"/>
      <c r="AV41" s="285"/>
      <c r="AW41" s="286"/>
      <c r="AX41" s="284" t="s">
        <v>882</v>
      </c>
      <c r="AY41" s="285"/>
      <c r="AZ41" s="285"/>
      <c r="BA41" s="285"/>
      <c r="BB41" s="285"/>
      <c r="BC41" s="285"/>
      <c r="BD41" s="285"/>
      <c r="BE41" s="286"/>
      <c r="BF41" s="288"/>
      <c r="BG41" s="288"/>
      <c r="BH41" s="288"/>
      <c r="BI41" s="288"/>
      <c r="BJ41" s="288"/>
      <c r="BK41" s="288"/>
      <c r="BL41" s="288"/>
      <c r="BM41" s="288"/>
      <c r="BN41" s="288"/>
      <c r="BO41" s="10"/>
      <c r="BP41" s="11"/>
    </row>
    <row r="42" spans="1:68" s="8" customFormat="1">
      <c r="A42" s="9"/>
      <c r="B42" s="33"/>
      <c r="C42" s="42"/>
      <c r="D42" s="42"/>
      <c r="E42" s="42"/>
      <c r="F42" s="42"/>
      <c r="G42" s="42"/>
      <c r="H42" s="42"/>
      <c r="I42" s="10"/>
      <c r="J42" s="403"/>
      <c r="K42" s="404"/>
      <c r="L42" s="404"/>
      <c r="M42" s="404"/>
      <c r="N42" s="404"/>
      <c r="O42" s="404"/>
      <c r="P42" s="404"/>
      <c r="Q42" s="405"/>
      <c r="R42" s="38">
        <v>5</v>
      </c>
      <c r="S42" s="36" t="s">
        <v>773</v>
      </c>
      <c r="T42" s="37"/>
      <c r="U42" s="37"/>
      <c r="V42" s="37"/>
      <c r="W42" s="37"/>
      <c r="X42" s="37"/>
      <c r="Y42" s="37"/>
      <c r="Z42" s="37"/>
      <c r="AA42" s="37"/>
      <c r="AB42" s="37"/>
      <c r="AC42" s="37"/>
      <c r="AD42" s="37"/>
      <c r="AE42" s="38"/>
      <c r="AF42" s="284" t="s">
        <v>492</v>
      </c>
      <c r="AG42" s="286"/>
      <c r="AH42" s="284" t="s">
        <v>492</v>
      </c>
      <c r="AI42" s="286"/>
      <c r="AJ42" s="284" t="s">
        <v>492</v>
      </c>
      <c r="AK42" s="286"/>
      <c r="AL42" s="284"/>
      <c r="AM42" s="286"/>
      <c r="AN42" s="284"/>
      <c r="AO42" s="286"/>
      <c r="AP42" s="284" t="s">
        <v>131</v>
      </c>
      <c r="AQ42" s="285"/>
      <c r="AR42" s="285"/>
      <c r="AS42" s="285"/>
      <c r="AT42" s="285"/>
      <c r="AU42" s="285"/>
      <c r="AV42" s="285"/>
      <c r="AW42" s="286"/>
      <c r="AX42" s="284" t="s">
        <v>882</v>
      </c>
      <c r="AY42" s="285"/>
      <c r="AZ42" s="285"/>
      <c r="BA42" s="285"/>
      <c r="BB42" s="285"/>
      <c r="BC42" s="285"/>
      <c r="BD42" s="285"/>
      <c r="BE42" s="286"/>
      <c r="BF42" s="288"/>
      <c r="BG42" s="288"/>
      <c r="BH42" s="288"/>
      <c r="BI42" s="288"/>
      <c r="BJ42" s="288"/>
      <c r="BK42" s="288"/>
      <c r="BL42" s="288"/>
      <c r="BM42" s="288"/>
      <c r="BN42" s="288"/>
      <c r="BO42" s="10"/>
    </row>
    <row r="43" spans="1:68" s="8" customFormat="1">
      <c r="A43" s="9"/>
      <c r="B43" s="33"/>
      <c r="C43" s="42"/>
      <c r="D43" s="42"/>
      <c r="E43" s="42"/>
      <c r="F43" s="42"/>
      <c r="G43" s="42"/>
      <c r="H43" s="42"/>
      <c r="I43" s="10"/>
      <c r="J43" s="403"/>
      <c r="K43" s="404"/>
      <c r="L43" s="404"/>
      <c r="M43" s="404"/>
      <c r="N43" s="404"/>
      <c r="O43" s="404"/>
      <c r="P43" s="404"/>
      <c r="Q43" s="405"/>
      <c r="R43" s="38">
        <v>6</v>
      </c>
      <c r="S43" s="36" t="s">
        <v>558</v>
      </c>
      <c r="T43" s="37"/>
      <c r="U43" s="37"/>
      <c r="V43" s="37"/>
      <c r="W43" s="37"/>
      <c r="X43" s="37"/>
      <c r="Y43" s="37"/>
      <c r="Z43" s="37"/>
      <c r="AA43" s="37"/>
      <c r="AB43" s="37"/>
      <c r="AC43" s="37"/>
      <c r="AD43" s="37"/>
      <c r="AE43" s="38"/>
      <c r="AF43" s="284" t="s">
        <v>492</v>
      </c>
      <c r="AG43" s="286"/>
      <c r="AH43" s="284" t="s">
        <v>492</v>
      </c>
      <c r="AI43" s="286"/>
      <c r="AJ43" s="284" t="s">
        <v>492</v>
      </c>
      <c r="AK43" s="286"/>
      <c r="AL43" s="284"/>
      <c r="AM43" s="286"/>
      <c r="AN43" s="284"/>
      <c r="AO43" s="286"/>
      <c r="AP43" s="284" t="s">
        <v>131</v>
      </c>
      <c r="AQ43" s="285"/>
      <c r="AR43" s="285"/>
      <c r="AS43" s="285"/>
      <c r="AT43" s="285"/>
      <c r="AU43" s="285"/>
      <c r="AV43" s="285"/>
      <c r="AW43" s="286"/>
      <c r="AX43" s="284" t="s">
        <v>882</v>
      </c>
      <c r="AY43" s="285"/>
      <c r="AZ43" s="285"/>
      <c r="BA43" s="285"/>
      <c r="BB43" s="285"/>
      <c r="BC43" s="285"/>
      <c r="BD43" s="285"/>
      <c r="BE43" s="286"/>
      <c r="BF43" s="288"/>
      <c r="BG43" s="288"/>
      <c r="BH43" s="288"/>
      <c r="BI43" s="288"/>
      <c r="BJ43" s="288"/>
      <c r="BK43" s="288"/>
      <c r="BL43" s="288"/>
      <c r="BM43" s="288"/>
      <c r="BN43" s="288"/>
      <c r="BO43" s="10"/>
    </row>
    <row r="44" spans="1:68" s="8" customFormat="1">
      <c r="A44" s="9"/>
      <c r="B44" s="33"/>
      <c r="C44" s="42"/>
      <c r="D44" s="42"/>
      <c r="E44" s="42"/>
      <c r="F44" s="42"/>
      <c r="G44" s="42"/>
      <c r="H44" s="42"/>
      <c r="I44" s="10"/>
      <c r="J44" s="403"/>
      <c r="K44" s="404"/>
      <c r="L44" s="404"/>
      <c r="M44" s="404"/>
      <c r="N44" s="404"/>
      <c r="O44" s="404"/>
      <c r="P44" s="404"/>
      <c r="Q44" s="405"/>
      <c r="R44" s="38">
        <v>7</v>
      </c>
      <c r="S44" s="36" t="s">
        <v>885</v>
      </c>
      <c r="T44" s="37"/>
      <c r="U44" s="37"/>
      <c r="V44" s="37"/>
      <c r="W44" s="37"/>
      <c r="X44" s="37"/>
      <c r="Y44" s="37"/>
      <c r="Z44" s="37"/>
      <c r="AA44" s="37"/>
      <c r="AB44" s="37"/>
      <c r="AC44" s="37"/>
      <c r="AD44" s="37"/>
      <c r="AE44" s="38"/>
      <c r="AF44" s="284" t="s">
        <v>492</v>
      </c>
      <c r="AG44" s="286"/>
      <c r="AH44" s="284" t="s">
        <v>492</v>
      </c>
      <c r="AI44" s="286"/>
      <c r="AJ44" s="284" t="s">
        <v>492</v>
      </c>
      <c r="AK44" s="286"/>
      <c r="AL44" s="284"/>
      <c r="AM44" s="286"/>
      <c r="AN44" s="284"/>
      <c r="AO44" s="286"/>
      <c r="AP44" s="284" t="s">
        <v>131</v>
      </c>
      <c r="AQ44" s="285"/>
      <c r="AR44" s="285"/>
      <c r="AS44" s="285"/>
      <c r="AT44" s="285"/>
      <c r="AU44" s="285"/>
      <c r="AV44" s="285"/>
      <c r="AW44" s="286"/>
      <c r="AX44" s="284" t="s">
        <v>132</v>
      </c>
      <c r="AY44" s="285"/>
      <c r="AZ44" s="285"/>
      <c r="BA44" s="285"/>
      <c r="BB44" s="285"/>
      <c r="BC44" s="285"/>
      <c r="BD44" s="285"/>
      <c r="BE44" s="286"/>
      <c r="BF44" s="377" t="s">
        <v>886</v>
      </c>
      <c r="BG44" s="288"/>
      <c r="BH44" s="288"/>
      <c r="BI44" s="288"/>
      <c r="BJ44" s="288"/>
      <c r="BK44" s="288"/>
      <c r="BL44" s="288"/>
      <c r="BM44" s="288"/>
      <c r="BN44" s="288"/>
      <c r="BO44" s="10"/>
    </row>
    <row r="45" spans="1:68" s="8" customFormat="1">
      <c r="A45" s="9"/>
      <c r="B45" s="33"/>
      <c r="C45" s="42"/>
      <c r="D45" s="42"/>
      <c r="E45" s="42"/>
      <c r="F45" s="42"/>
      <c r="G45" s="42"/>
      <c r="H45" s="42"/>
      <c r="I45" s="10"/>
      <c r="J45" s="403"/>
      <c r="K45" s="404"/>
      <c r="L45" s="404"/>
      <c r="M45" s="404"/>
      <c r="N45" s="404"/>
      <c r="O45" s="404"/>
      <c r="P45" s="404"/>
      <c r="Q45" s="405"/>
      <c r="R45" s="38">
        <v>8</v>
      </c>
      <c r="S45" s="166" t="s">
        <v>887</v>
      </c>
      <c r="T45" s="37"/>
      <c r="U45" s="37"/>
      <c r="V45" s="37"/>
      <c r="W45" s="37"/>
      <c r="X45" s="37"/>
      <c r="Y45" s="37"/>
      <c r="Z45" s="37"/>
      <c r="AA45" s="37"/>
      <c r="AB45" s="37"/>
      <c r="AC45" s="37"/>
      <c r="AD45" s="37"/>
      <c r="AE45" s="38"/>
      <c r="AF45" s="284" t="s">
        <v>492</v>
      </c>
      <c r="AG45" s="286"/>
      <c r="AH45" s="284" t="s">
        <v>492</v>
      </c>
      <c r="AI45" s="286"/>
      <c r="AJ45" s="284" t="s">
        <v>492</v>
      </c>
      <c r="AK45" s="286"/>
      <c r="AL45" s="284"/>
      <c r="AM45" s="286"/>
      <c r="AN45" s="284"/>
      <c r="AO45" s="286"/>
      <c r="AP45" s="284" t="s">
        <v>131</v>
      </c>
      <c r="AQ45" s="285"/>
      <c r="AR45" s="285"/>
      <c r="AS45" s="285"/>
      <c r="AT45" s="285"/>
      <c r="AU45" s="285"/>
      <c r="AV45" s="285"/>
      <c r="AW45" s="286"/>
      <c r="AX45" s="284" t="s">
        <v>132</v>
      </c>
      <c r="AY45" s="285"/>
      <c r="AZ45" s="285"/>
      <c r="BA45" s="285"/>
      <c r="BB45" s="285"/>
      <c r="BC45" s="285"/>
      <c r="BD45" s="285"/>
      <c r="BE45" s="286"/>
      <c r="BF45" s="288"/>
      <c r="BG45" s="288"/>
      <c r="BH45" s="288"/>
      <c r="BI45" s="288"/>
      <c r="BJ45" s="288"/>
      <c r="BK45" s="288"/>
      <c r="BL45" s="288"/>
      <c r="BM45" s="288"/>
      <c r="BN45" s="288"/>
      <c r="BO45" s="10"/>
    </row>
    <row r="46" spans="1:68" s="8" customFormat="1">
      <c r="A46" s="9"/>
      <c r="B46" s="33"/>
      <c r="C46" s="42"/>
      <c r="D46" s="42"/>
      <c r="E46" s="42"/>
      <c r="F46" s="42"/>
      <c r="G46" s="42"/>
      <c r="H46" s="42"/>
      <c r="I46" s="10"/>
      <c r="J46" s="403"/>
      <c r="K46" s="404"/>
      <c r="L46" s="404"/>
      <c r="M46" s="404"/>
      <c r="N46" s="404"/>
      <c r="O46" s="404"/>
      <c r="P46" s="404"/>
      <c r="Q46" s="405"/>
      <c r="R46" s="38">
        <v>9</v>
      </c>
      <c r="S46" s="166" t="s">
        <v>888</v>
      </c>
      <c r="T46" s="37"/>
      <c r="U46" s="37"/>
      <c r="V46" s="37"/>
      <c r="W46" s="37"/>
      <c r="X46" s="37"/>
      <c r="Y46" s="37"/>
      <c r="Z46" s="37"/>
      <c r="AA46" s="37"/>
      <c r="AB46" s="37"/>
      <c r="AC46" s="37"/>
      <c r="AD46" s="37"/>
      <c r="AE46" s="38"/>
      <c r="AF46" s="284" t="s">
        <v>492</v>
      </c>
      <c r="AG46" s="286"/>
      <c r="AH46" s="284" t="s">
        <v>492</v>
      </c>
      <c r="AI46" s="286"/>
      <c r="AJ46" s="284" t="s">
        <v>492</v>
      </c>
      <c r="AK46" s="286"/>
      <c r="AL46" s="284"/>
      <c r="AM46" s="286"/>
      <c r="AN46" s="284"/>
      <c r="AO46" s="286"/>
      <c r="AP46" s="284" t="s">
        <v>131</v>
      </c>
      <c r="AQ46" s="285"/>
      <c r="AR46" s="285"/>
      <c r="AS46" s="285"/>
      <c r="AT46" s="285"/>
      <c r="AU46" s="285"/>
      <c r="AV46" s="285"/>
      <c r="AW46" s="286"/>
      <c r="AX46" s="284" t="s">
        <v>132</v>
      </c>
      <c r="AY46" s="285"/>
      <c r="AZ46" s="285"/>
      <c r="BA46" s="285"/>
      <c r="BB46" s="285"/>
      <c r="BC46" s="285"/>
      <c r="BD46" s="285"/>
      <c r="BE46" s="286"/>
      <c r="BF46" s="288"/>
      <c r="BG46" s="288"/>
      <c r="BH46" s="288"/>
      <c r="BI46" s="288"/>
      <c r="BJ46" s="288"/>
      <c r="BK46" s="288"/>
      <c r="BL46" s="288"/>
      <c r="BM46" s="288"/>
      <c r="BN46" s="288"/>
      <c r="BO46" s="10"/>
    </row>
    <row r="47" spans="1:68" s="8" customFormat="1">
      <c r="A47" s="9"/>
      <c r="B47" s="33"/>
      <c r="C47" s="42"/>
      <c r="D47" s="42"/>
      <c r="E47" s="42"/>
      <c r="F47" s="42"/>
      <c r="G47" s="42"/>
      <c r="H47" s="42"/>
      <c r="I47" s="42"/>
      <c r="J47" s="403"/>
      <c r="K47" s="404"/>
      <c r="L47" s="404"/>
      <c r="M47" s="404"/>
      <c r="N47" s="404"/>
      <c r="O47" s="404"/>
      <c r="P47" s="404"/>
      <c r="Q47" s="405"/>
      <c r="R47" s="38">
        <v>10</v>
      </c>
      <c r="S47" s="36" t="s">
        <v>773</v>
      </c>
      <c r="T47" s="37"/>
      <c r="U47" s="37"/>
      <c r="V47" s="37"/>
      <c r="W47" s="37"/>
      <c r="X47" s="37"/>
      <c r="Y47" s="37"/>
      <c r="Z47" s="37"/>
      <c r="AA47" s="37"/>
      <c r="AB47" s="37"/>
      <c r="AC47" s="37"/>
      <c r="AD47" s="37"/>
      <c r="AE47" s="38"/>
      <c r="AF47" s="284" t="s">
        <v>492</v>
      </c>
      <c r="AG47" s="286"/>
      <c r="AH47" s="284" t="s">
        <v>492</v>
      </c>
      <c r="AI47" s="286"/>
      <c r="AJ47" s="284" t="s">
        <v>492</v>
      </c>
      <c r="AK47" s="286"/>
      <c r="AL47" s="284"/>
      <c r="AM47" s="286"/>
      <c r="AN47" s="284"/>
      <c r="AO47" s="286"/>
      <c r="AP47" s="284" t="s">
        <v>131</v>
      </c>
      <c r="AQ47" s="285"/>
      <c r="AR47" s="285"/>
      <c r="AS47" s="285"/>
      <c r="AT47" s="285"/>
      <c r="AU47" s="285"/>
      <c r="AV47" s="285"/>
      <c r="AW47" s="286"/>
      <c r="AX47" s="284" t="s">
        <v>132</v>
      </c>
      <c r="AY47" s="285"/>
      <c r="AZ47" s="285"/>
      <c r="BA47" s="285"/>
      <c r="BB47" s="285"/>
      <c r="BC47" s="285"/>
      <c r="BD47" s="285"/>
      <c r="BE47" s="286"/>
      <c r="BF47" s="288"/>
      <c r="BG47" s="288"/>
      <c r="BH47" s="288"/>
      <c r="BI47" s="288"/>
      <c r="BJ47" s="288"/>
      <c r="BK47" s="288"/>
      <c r="BL47" s="288"/>
      <c r="BM47" s="288"/>
      <c r="BN47" s="288"/>
      <c r="BO47" s="10"/>
    </row>
    <row r="48" spans="1:68" s="8" customFormat="1">
      <c r="A48" s="9"/>
      <c r="B48" s="33"/>
      <c r="C48" s="42"/>
      <c r="D48" s="42"/>
      <c r="E48" s="42"/>
      <c r="F48" s="42"/>
      <c r="G48" s="42"/>
      <c r="H48" s="42"/>
      <c r="I48" s="42"/>
      <c r="J48" s="403"/>
      <c r="K48" s="404"/>
      <c r="L48" s="404"/>
      <c r="M48" s="404"/>
      <c r="N48" s="404"/>
      <c r="O48" s="404"/>
      <c r="P48" s="404"/>
      <c r="Q48" s="405"/>
      <c r="R48" s="38">
        <v>11</v>
      </c>
      <c r="S48" s="36" t="s">
        <v>558</v>
      </c>
      <c r="T48" s="37"/>
      <c r="U48" s="37"/>
      <c r="V48" s="37"/>
      <c r="W48" s="37"/>
      <c r="X48" s="37"/>
      <c r="Y48" s="37"/>
      <c r="Z48" s="37"/>
      <c r="AA48" s="37"/>
      <c r="AB48" s="37"/>
      <c r="AC48" s="37"/>
      <c r="AD48" s="37"/>
      <c r="AE48" s="38"/>
      <c r="AF48" s="45"/>
      <c r="AG48" s="46"/>
      <c r="AH48" s="284" t="s">
        <v>492</v>
      </c>
      <c r="AI48" s="286"/>
      <c r="AJ48" s="284" t="s">
        <v>492</v>
      </c>
      <c r="AK48" s="286"/>
      <c r="AL48" s="45"/>
      <c r="AM48" s="46"/>
      <c r="AN48" s="45"/>
      <c r="AO48" s="46"/>
      <c r="AP48" s="284" t="s">
        <v>131</v>
      </c>
      <c r="AQ48" s="285"/>
      <c r="AR48" s="285"/>
      <c r="AS48" s="285"/>
      <c r="AT48" s="285"/>
      <c r="AU48" s="285"/>
      <c r="AV48" s="285"/>
      <c r="AW48" s="286"/>
      <c r="AX48" s="284" t="s">
        <v>889</v>
      </c>
      <c r="AY48" s="285"/>
      <c r="AZ48" s="285"/>
      <c r="BA48" s="285"/>
      <c r="BB48" s="285"/>
      <c r="BC48" s="285"/>
      <c r="BD48" s="285"/>
      <c r="BE48" s="286"/>
      <c r="BF48" s="288"/>
      <c r="BG48" s="288"/>
      <c r="BH48" s="288"/>
      <c r="BI48" s="288"/>
      <c r="BJ48" s="288"/>
      <c r="BK48" s="288"/>
      <c r="BL48" s="288"/>
      <c r="BM48" s="288"/>
      <c r="BN48" s="288"/>
      <c r="BO48" s="10"/>
    </row>
    <row r="49" spans="1:68" s="8" customFormat="1">
      <c r="A49" s="9"/>
      <c r="B49" s="33"/>
      <c r="C49" s="42"/>
      <c r="D49" s="42"/>
      <c r="E49" s="42"/>
      <c r="F49" s="42"/>
      <c r="G49" s="42"/>
      <c r="H49" s="42"/>
      <c r="I49" s="42"/>
      <c r="J49" s="403"/>
      <c r="K49" s="404"/>
      <c r="L49" s="404"/>
      <c r="M49" s="404"/>
      <c r="N49" s="404"/>
      <c r="O49" s="404"/>
      <c r="P49" s="404"/>
      <c r="Q49" s="405"/>
      <c r="R49" s="38">
        <v>12</v>
      </c>
      <c r="S49" s="36" t="s">
        <v>890</v>
      </c>
      <c r="T49" s="37"/>
      <c r="U49" s="37"/>
      <c r="V49" s="37"/>
      <c r="W49" s="37"/>
      <c r="X49" s="37"/>
      <c r="Y49" s="37"/>
      <c r="Z49" s="37"/>
      <c r="AA49" s="37"/>
      <c r="AB49" s="37"/>
      <c r="AC49" s="37"/>
      <c r="AD49" s="37"/>
      <c r="AE49" s="38"/>
      <c r="AF49" s="284"/>
      <c r="AG49" s="286"/>
      <c r="AH49" s="284" t="s">
        <v>492</v>
      </c>
      <c r="AI49" s="286"/>
      <c r="AJ49" s="284" t="s">
        <v>492</v>
      </c>
      <c r="AK49" s="286"/>
      <c r="AL49" s="45"/>
      <c r="AM49" s="46"/>
      <c r="AN49" s="45"/>
      <c r="AO49" s="46"/>
      <c r="AP49" s="284" t="s">
        <v>131</v>
      </c>
      <c r="AQ49" s="285"/>
      <c r="AR49" s="285"/>
      <c r="AS49" s="285"/>
      <c r="AT49" s="285"/>
      <c r="AU49" s="285"/>
      <c r="AV49" s="285"/>
      <c r="AW49" s="286"/>
      <c r="AX49" s="284" t="s">
        <v>334</v>
      </c>
      <c r="AY49" s="285"/>
      <c r="AZ49" s="285"/>
      <c r="BA49" s="285"/>
      <c r="BB49" s="285"/>
      <c r="BC49" s="285"/>
      <c r="BD49" s="285"/>
      <c r="BE49" s="286"/>
      <c r="BF49" s="288"/>
      <c r="BG49" s="288"/>
      <c r="BH49" s="288"/>
      <c r="BI49" s="288"/>
      <c r="BJ49" s="288"/>
      <c r="BK49" s="288"/>
      <c r="BL49" s="288"/>
      <c r="BM49" s="288"/>
      <c r="BN49" s="288"/>
      <c r="BO49" s="10"/>
    </row>
    <row r="50" spans="1:68" s="8" customFormat="1" ht="36.950000000000003" customHeight="1">
      <c r="A50" s="9"/>
      <c r="B50" s="33"/>
      <c r="C50" s="42"/>
      <c r="D50" s="42"/>
      <c r="E50" s="42"/>
      <c r="F50" s="42"/>
      <c r="G50" s="42"/>
      <c r="H50" s="42"/>
      <c r="I50" s="42"/>
      <c r="J50" s="403"/>
      <c r="K50" s="404"/>
      <c r="L50" s="404"/>
      <c r="M50" s="404"/>
      <c r="N50" s="404"/>
      <c r="O50" s="404"/>
      <c r="P50" s="404"/>
      <c r="Q50" s="405"/>
      <c r="R50" s="38">
        <v>13</v>
      </c>
      <c r="S50" s="36" t="s">
        <v>864</v>
      </c>
      <c r="T50" s="37"/>
      <c r="U50" s="37"/>
      <c r="V50" s="37"/>
      <c r="W50" s="37"/>
      <c r="X50" s="37"/>
      <c r="Y50" s="37"/>
      <c r="Z50" s="37"/>
      <c r="AA50" s="37"/>
      <c r="AB50" s="37"/>
      <c r="AC50" s="37"/>
      <c r="AD50" s="37"/>
      <c r="AE50" s="38"/>
      <c r="AF50" s="284" t="s">
        <v>492</v>
      </c>
      <c r="AG50" s="286"/>
      <c r="AH50" s="45"/>
      <c r="AI50" s="46"/>
      <c r="AJ50" s="45"/>
      <c r="AK50" s="46"/>
      <c r="AL50" s="45"/>
      <c r="AM50" s="46"/>
      <c r="AN50" s="45"/>
      <c r="AO50" s="46"/>
      <c r="AP50" s="284" t="s">
        <v>131</v>
      </c>
      <c r="AQ50" s="285"/>
      <c r="AR50" s="285"/>
      <c r="AS50" s="285"/>
      <c r="AT50" s="285"/>
      <c r="AU50" s="285"/>
      <c r="AV50" s="285"/>
      <c r="AW50" s="286"/>
      <c r="AX50" s="333" t="s">
        <v>891</v>
      </c>
      <c r="AY50" s="285"/>
      <c r="AZ50" s="285"/>
      <c r="BA50" s="285"/>
      <c r="BB50" s="285"/>
      <c r="BC50" s="285"/>
      <c r="BD50" s="285"/>
      <c r="BE50" s="286"/>
      <c r="BF50" s="288"/>
      <c r="BG50" s="288"/>
      <c r="BH50" s="288"/>
      <c r="BI50" s="288"/>
      <c r="BJ50" s="288"/>
      <c r="BK50" s="288"/>
      <c r="BL50" s="288"/>
      <c r="BM50" s="288"/>
      <c r="BN50" s="288"/>
      <c r="BO50" s="10"/>
    </row>
    <row r="51" spans="1:68" s="8" customFormat="1">
      <c r="A51" s="9"/>
      <c r="B51" s="33"/>
      <c r="C51" s="42"/>
      <c r="D51" s="42"/>
      <c r="E51" s="42"/>
      <c r="F51" s="42"/>
      <c r="G51" s="42"/>
      <c r="H51" s="42"/>
      <c r="I51" s="42"/>
      <c r="J51" s="403"/>
      <c r="K51" s="404"/>
      <c r="L51" s="404"/>
      <c r="M51" s="404"/>
      <c r="N51" s="404"/>
      <c r="O51" s="404"/>
      <c r="P51" s="404"/>
      <c r="Q51" s="405"/>
      <c r="R51" s="38">
        <v>14</v>
      </c>
      <c r="S51" s="36" t="s">
        <v>892</v>
      </c>
      <c r="T51" s="37"/>
      <c r="U51" s="37"/>
      <c r="V51" s="37"/>
      <c r="W51" s="37"/>
      <c r="X51" s="37"/>
      <c r="Y51" s="37"/>
      <c r="Z51" s="37"/>
      <c r="AA51" s="37"/>
      <c r="AB51" s="37"/>
      <c r="AC51" s="37"/>
      <c r="AD51" s="37"/>
      <c r="AE51" s="38"/>
      <c r="AF51" s="45"/>
      <c r="AG51" s="46"/>
      <c r="AH51" s="284" t="s">
        <v>492</v>
      </c>
      <c r="AI51" s="286"/>
      <c r="AJ51" s="284" t="s">
        <v>492</v>
      </c>
      <c r="AK51" s="286"/>
      <c r="AL51" s="45"/>
      <c r="AM51" s="46"/>
      <c r="AN51" s="45"/>
      <c r="AO51" s="46"/>
      <c r="AP51" s="284" t="s">
        <v>131</v>
      </c>
      <c r="AQ51" s="285"/>
      <c r="AR51" s="285"/>
      <c r="AS51" s="285"/>
      <c r="AT51" s="285"/>
      <c r="AU51" s="285"/>
      <c r="AV51" s="285"/>
      <c r="AW51" s="286"/>
      <c r="AX51" s="284" t="s">
        <v>514</v>
      </c>
      <c r="AY51" s="285"/>
      <c r="AZ51" s="285"/>
      <c r="BA51" s="285"/>
      <c r="BB51" s="285"/>
      <c r="BC51" s="285"/>
      <c r="BD51" s="285"/>
      <c r="BE51" s="286"/>
      <c r="BF51" s="377" t="s">
        <v>893</v>
      </c>
      <c r="BG51" s="288"/>
      <c r="BH51" s="288"/>
      <c r="BI51" s="288"/>
      <c r="BJ51" s="288"/>
      <c r="BK51" s="288"/>
      <c r="BL51" s="288"/>
      <c r="BM51" s="288"/>
      <c r="BN51" s="288"/>
      <c r="BO51" s="10"/>
    </row>
    <row r="52" spans="1:68" s="8" customFormat="1">
      <c r="A52" s="9"/>
      <c r="B52" s="33"/>
      <c r="C52" s="42"/>
      <c r="D52" s="42"/>
      <c r="E52" s="42"/>
      <c r="F52" s="42"/>
      <c r="G52" s="42"/>
      <c r="H52" s="42"/>
      <c r="I52" s="42"/>
      <c r="J52" s="403"/>
      <c r="K52" s="404"/>
      <c r="L52" s="404"/>
      <c r="M52" s="404"/>
      <c r="N52" s="404"/>
      <c r="O52" s="404"/>
      <c r="P52" s="404"/>
      <c r="Q52" s="405"/>
      <c r="R52" s="38">
        <v>15</v>
      </c>
      <c r="S52" s="36" t="s">
        <v>894</v>
      </c>
      <c r="T52" s="37"/>
      <c r="U52" s="37"/>
      <c r="V52" s="37"/>
      <c r="W52" s="37"/>
      <c r="X52" s="37"/>
      <c r="Y52" s="37"/>
      <c r="Z52" s="37"/>
      <c r="AA52" s="37"/>
      <c r="AB52" s="37"/>
      <c r="AC52" s="37"/>
      <c r="AD52" s="37"/>
      <c r="AE52" s="38"/>
      <c r="AF52" s="45"/>
      <c r="AG52" s="46"/>
      <c r="AH52" s="284" t="s">
        <v>492</v>
      </c>
      <c r="AI52" s="286"/>
      <c r="AJ52" s="284" t="s">
        <v>492</v>
      </c>
      <c r="AK52" s="286"/>
      <c r="AL52" s="45"/>
      <c r="AM52" s="46"/>
      <c r="AN52" s="45"/>
      <c r="AO52" s="46"/>
      <c r="AP52" s="284" t="s">
        <v>131</v>
      </c>
      <c r="AQ52" s="285"/>
      <c r="AR52" s="285"/>
      <c r="AS52" s="285"/>
      <c r="AT52" s="285"/>
      <c r="AU52" s="285"/>
      <c r="AV52" s="285"/>
      <c r="AW52" s="286"/>
      <c r="AX52" s="284" t="s">
        <v>514</v>
      </c>
      <c r="AY52" s="285"/>
      <c r="AZ52" s="285"/>
      <c r="BA52" s="285"/>
      <c r="BB52" s="285"/>
      <c r="BC52" s="285"/>
      <c r="BD52" s="285"/>
      <c r="BE52" s="286"/>
      <c r="BF52" s="377" t="s">
        <v>893</v>
      </c>
      <c r="BG52" s="288"/>
      <c r="BH52" s="288"/>
      <c r="BI52" s="288"/>
      <c r="BJ52" s="288"/>
      <c r="BK52" s="288"/>
      <c r="BL52" s="288"/>
      <c r="BM52" s="288"/>
      <c r="BN52" s="288"/>
      <c r="BO52" s="10"/>
    </row>
    <row r="53" spans="1:68" s="8" customFormat="1">
      <c r="A53" s="9"/>
      <c r="B53" s="33"/>
      <c r="C53" s="42"/>
      <c r="D53" s="42"/>
      <c r="E53" s="42"/>
      <c r="F53" s="42"/>
      <c r="G53" s="42"/>
      <c r="H53" s="42"/>
      <c r="I53" s="42"/>
      <c r="J53" s="403"/>
      <c r="K53" s="404"/>
      <c r="L53" s="404"/>
      <c r="M53" s="404"/>
      <c r="N53" s="404"/>
      <c r="O53" s="404"/>
      <c r="P53" s="404"/>
      <c r="Q53" s="405"/>
      <c r="R53" s="38">
        <v>16</v>
      </c>
      <c r="S53" s="36" t="s">
        <v>895</v>
      </c>
      <c r="T53" s="37"/>
      <c r="U53" s="37"/>
      <c r="V53" s="37"/>
      <c r="W53" s="37"/>
      <c r="X53" s="37"/>
      <c r="Y53" s="37"/>
      <c r="Z53" s="37"/>
      <c r="AA53" s="37"/>
      <c r="AB53" s="37"/>
      <c r="AC53" s="37"/>
      <c r="AD53" s="37"/>
      <c r="AE53" s="38"/>
      <c r="AF53" s="45"/>
      <c r="AG53" s="46"/>
      <c r="AH53" s="284" t="s">
        <v>492</v>
      </c>
      <c r="AI53" s="286"/>
      <c r="AJ53" s="284" t="s">
        <v>492</v>
      </c>
      <c r="AK53" s="286"/>
      <c r="AL53" s="45"/>
      <c r="AM53" s="46"/>
      <c r="AN53" s="45"/>
      <c r="AO53" s="46"/>
      <c r="AP53" s="284" t="s">
        <v>131</v>
      </c>
      <c r="AQ53" s="285"/>
      <c r="AR53" s="285"/>
      <c r="AS53" s="285"/>
      <c r="AT53" s="285"/>
      <c r="AU53" s="285"/>
      <c r="AV53" s="285"/>
      <c r="AW53" s="286"/>
      <c r="AX53" s="284" t="s">
        <v>514</v>
      </c>
      <c r="AY53" s="285"/>
      <c r="AZ53" s="285"/>
      <c r="BA53" s="285"/>
      <c r="BB53" s="285"/>
      <c r="BC53" s="285"/>
      <c r="BD53" s="285"/>
      <c r="BE53" s="286"/>
      <c r="BF53" s="377" t="s">
        <v>893</v>
      </c>
      <c r="BG53" s="288"/>
      <c r="BH53" s="288"/>
      <c r="BI53" s="288"/>
      <c r="BJ53" s="288"/>
      <c r="BK53" s="288"/>
      <c r="BL53" s="288"/>
      <c r="BM53" s="288"/>
      <c r="BN53" s="288"/>
      <c r="BO53" s="10"/>
    </row>
    <row r="54" spans="1:68" s="8" customFormat="1">
      <c r="A54" s="9"/>
      <c r="B54" s="33"/>
      <c r="C54" s="42"/>
      <c r="D54" s="42"/>
      <c r="E54" s="42"/>
      <c r="F54" s="42"/>
      <c r="G54" s="42"/>
      <c r="H54" s="42"/>
      <c r="I54" s="42"/>
      <c r="J54" s="403"/>
      <c r="K54" s="404"/>
      <c r="L54" s="404"/>
      <c r="M54" s="404"/>
      <c r="N54" s="404"/>
      <c r="O54" s="404"/>
      <c r="P54" s="404"/>
      <c r="Q54" s="405"/>
      <c r="R54" s="38">
        <v>17</v>
      </c>
      <c r="S54" s="36" t="s">
        <v>896</v>
      </c>
      <c r="T54" s="37"/>
      <c r="U54" s="37"/>
      <c r="V54" s="37"/>
      <c r="W54" s="37"/>
      <c r="X54" s="37"/>
      <c r="Y54" s="37"/>
      <c r="Z54" s="37"/>
      <c r="AA54" s="37"/>
      <c r="AB54" s="37"/>
      <c r="AC54" s="37"/>
      <c r="AD54" s="37"/>
      <c r="AE54" s="38"/>
      <c r="AF54" s="45"/>
      <c r="AG54" s="46"/>
      <c r="AH54" s="284" t="s">
        <v>492</v>
      </c>
      <c r="AI54" s="286"/>
      <c r="AJ54" s="284" t="s">
        <v>492</v>
      </c>
      <c r="AK54" s="286"/>
      <c r="AL54" s="45"/>
      <c r="AM54" s="46"/>
      <c r="AN54" s="45"/>
      <c r="AO54" s="46"/>
      <c r="AP54" s="284" t="s">
        <v>131</v>
      </c>
      <c r="AQ54" s="285"/>
      <c r="AR54" s="285"/>
      <c r="AS54" s="285"/>
      <c r="AT54" s="285"/>
      <c r="AU54" s="285"/>
      <c r="AV54" s="285"/>
      <c r="AW54" s="286"/>
      <c r="AX54" s="284" t="s">
        <v>514</v>
      </c>
      <c r="AY54" s="285"/>
      <c r="AZ54" s="285"/>
      <c r="BA54" s="285"/>
      <c r="BB54" s="285"/>
      <c r="BC54" s="285"/>
      <c r="BD54" s="285"/>
      <c r="BE54" s="286"/>
      <c r="BF54" s="288"/>
      <c r="BG54" s="288"/>
      <c r="BH54" s="288"/>
      <c r="BI54" s="288"/>
      <c r="BJ54" s="288"/>
      <c r="BK54" s="288"/>
      <c r="BL54" s="288"/>
      <c r="BM54" s="288"/>
      <c r="BN54" s="288"/>
      <c r="BO54" s="10"/>
    </row>
    <row r="55" spans="1:68" s="8" customFormat="1">
      <c r="A55" s="9"/>
      <c r="B55" s="33"/>
      <c r="C55" s="42"/>
      <c r="D55" s="42"/>
      <c r="E55" s="42"/>
      <c r="F55" s="42"/>
      <c r="G55" s="42"/>
      <c r="H55" s="42"/>
      <c r="I55" s="42"/>
      <c r="J55" s="403"/>
      <c r="K55" s="404"/>
      <c r="L55" s="404"/>
      <c r="M55" s="404"/>
      <c r="N55" s="404"/>
      <c r="O55" s="404"/>
      <c r="P55" s="404"/>
      <c r="Q55" s="405"/>
      <c r="R55" s="38">
        <v>18</v>
      </c>
      <c r="S55" s="36" t="s">
        <v>897</v>
      </c>
      <c r="T55" s="37"/>
      <c r="U55" s="37"/>
      <c r="V55" s="37"/>
      <c r="W55" s="37"/>
      <c r="X55" s="37"/>
      <c r="Y55" s="37"/>
      <c r="Z55" s="37"/>
      <c r="AA55" s="37"/>
      <c r="AB55" s="37"/>
      <c r="AC55" s="37"/>
      <c r="AD55" s="37"/>
      <c r="AE55" s="38"/>
      <c r="AF55" s="45"/>
      <c r="AG55" s="46"/>
      <c r="AH55" s="284" t="s">
        <v>492</v>
      </c>
      <c r="AI55" s="286"/>
      <c r="AJ55" s="284" t="s">
        <v>492</v>
      </c>
      <c r="AK55" s="286"/>
      <c r="AL55" s="45"/>
      <c r="AM55" s="46"/>
      <c r="AN55" s="45"/>
      <c r="AO55" s="46"/>
      <c r="AP55" s="284" t="s">
        <v>131</v>
      </c>
      <c r="AQ55" s="285"/>
      <c r="AR55" s="285"/>
      <c r="AS55" s="285"/>
      <c r="AT55" s="285"/>
      <c r="AU55" s="285"/>
      <c r="AV55" s="285"/>
      <c r="AW55" s="286"/>
      <c r="AX55" s="284" t="s">
        <v>514</v>
      </c>
      <c r="AY55" s="285"/>
      <c r="AZ55" s="285"/>
      <c r="BA55" s="285"/>
      <c r="BB55" s="285"/>
      <c r="BC55" s="285"/>
      <c r="BD55" s="285"/>
      <c r="BE55" s="286"/>
      <c r="BF55" s="288"/>
      <c r="BG55" s="288"/>
      <c r="BH55" s="288"/>
      <c r="BI55" s="288"/>
      <c r="BJ55" s="288"/>
      <c r="BK55" s="288"/>
      <c r="BL55" s="288"/>
      <c r="BM55" s="288"/>
      <c r="BN55" s="288"/>
      <c r="BO55" s="10"/>
    </row>
    <row r="56" spans="1:68" s="8" customFormat="1">
      <c r="A56" s="9"/>
      <c r="B56" s="33"/>
      <c r="C56" s="42"/>
      <c r="D56" s="42"/>
      <c r="E56" s="42"/>
      <c r="F56" s="42"/>
      <c r="G56" s="42"/>
      <c r="H56" s="42"/>
      <c r="I56" s="42"/>
      <c r="J56" s="403"/>
      <c r="K56" s="404"/>
      <c r="L56" s="404"/>
      <c r="M56" s="404"/>
      <c r="N56" s="404"/>
      <c r="O56" s="404"/>
      <c r="P56" s="404"/>
      <c r="Q56" s="405"/>
      <c r="R56" s="38">
        <v>19</v>
      </c>
      <c r="S56" s="36" t="s">
        <v>898</v>
      </c>
      <c r="T56" s="37"/>
      <c r="U56" s="37"/>
      <c r="V56" s="37"/>
      <c r="W56" s="37"/>
      <c r="X56" s="37"/>
      <c r="Y56" s="37"/>
      <c r="Z56" s="37"/>
      <c r="AA56" s="37"/>
      <c r="AB56" s="37"/>
      <c r="AC56" s="37"/>
      <c r="AD56" s="37"/>
      <c r="AE56" s="38"/>
      <c r="AF56" s="45"/>
      <c r="AG56" s="46"/>
      <c r="AH56" s="284" t="s">
        <v>492</v>
      </c>
      <c r="AI56" s="286"/>
      <c r="AJ56" s="284" t="s">
        <v>492</v>
      </c>
      <c r="AK56" s="286"/>
      <c r="AL56" s="45"/>
      <c r="AM56" s="46"/>
      <c r="AN56" s="45"/>
      <c r="AO56" s="46"/>
      <c r="AP56" s="284" t="s">
        <v>131</v>
      </c>
      <c r="AQ56" s="285"/>
      <c r="AR56" s="285"/>
      <c r="AS56" s="285"/>
      <c r="AT56" s="285"/>
      <c r="AU56" s="285"/>
      <c r="AV56" s="285"/>
      <c r="AW56" s="286"/>
      <c r="AX56" s="284" t="s">
        <v>514</v>
      </c>
      <c r="AY56" s="285"/>
      <c r="AZ56" s="285"/>
      <c r="BA56" s="285"/>
      <c r="BB56" s="285"/>
      <c r="BC56" s="285"/>
      <c r="BD56" s="285"/>
      <c r="BE56" s="286"/>
      <c r="BF56" s="288"/>
      <c r="BG56" s="288"/>
      <c r="BH56" s="288"/>
      <c r="BI56" s="288"/>
      <c r="BJ56" s="288"/>
      <c r="BK56" s="288"/>
      <c r="BL56" s="288"/>
      <c r="BM56" s="288"/>
      <c r="BN56" s="288"/>
      <c r="BO56" s="10"/>
    </row>
    <row r="57" spans="1:68" s="8" customFormat="1">
      <c r="A57" s="9"/>
      <c r="B57" s="33"/>
      <c r="C57" s="42"/>
      <c r="D57" s="42"/>
      <c r="E57" s="42"/>
      <c r="F57" s="42"/>
      <c r="G57" s="42"/>
      <c r="H57" s="42"/>
      <c r="I57" s="42"/>
      <c r="J57" s="403"/>
      <c r="K57" s="404"/>
      <c r="L57" s="404"/>
      <c r="M57" s="404"/>
      <c r="N57" s="404"/>
      <c r="O57" s="404"/>
      <c r="P57" s="404"/>
      <c r="Q57" s="405"/>
      <c r="R57" s="38">
        <v>20</v>
      </c>
      <c r="S57" s="36" t="s">
        <v>899</v>
      </c>
      <c r="T57" s="37"/>
      <c r="U57" s="37"/>
      <c r="V57" s="37"/>
      <c r="W57" s="37"/>
      <c r="X57" s="37"/>
      <c r="Y57" s="37"/>
      <c r="Z57" s="37"/>
      <c r="AA57" s="37"/>
      <c r="AB57" s="37"/>
      <c r="AC57" s="37"/>
      <c r="AD57" s="37"/>
      <c r="AE57" s="38"/>
      <c r="AF57" s="45"/>
      <c r="AG57" s="46"/>
      <c r="AH57" s="284" t="s">
        <v>492</v>
      </c>
      <c r="AI57" s="286"/>
      <c r="AJ57" s="284" t="s">
        <v>492</v>
      </c>
      <c r="AK57" s="286"/>
      <c r="AL57" s="45"/>
      <c r="AM57" s="46"/>
      <c r="AN57" s="45"/>
      <c r="AO57" s="46"/>
      <c r="AP57" s="284" t="s">
        <v>131</v>
      </c>
      <c r="AQ57" s="285"/>
      <c r="AR57" s="285"/>
      <c r="AS57" s="285"/>
      <c r="AT57" s="285"/>
      <c r="AU57" s="285"/>
      <c r="AV57" s="285"/>
      <c r="AW57" s="286"/>
      <c r="AX57" s="284" t="s">
        <v>514</v>
      </c>
      <c r="AY57" s="285"/>
      <c r="AZ57" s="285"/>
      <c r="BA57" s="285"/>
      <c r="BB57" s="285"/>
      <c r="BC57" s="285"/>
      <c r="BD57" s="285"/>
      <c r="BE57" s="286"/>
      <c r="BF57" s="288"/>
      <c r="BG57" s="288"/>
      <c r="BH57" s="288"/>
      <c r="BI57" s="288"/>
      <c r="BJ57" s="288"/>
      <c r="BK57" s="288"/>
      <c r="BL57" s="288"/>
      <c r="BM57" s="288"/>
      <c r="BN57" s="288"/>
      <c r="BO57" s="10"/>
    </row>
    <row r="58" spans="1:68" s="8" customFormat="1">
      <c r="A58" s="9"/>
      <c r="B58" s="33"/>
      <c r="C58" s="42"/>
      <c r="D58" s="42"/>
      <c r="E58" s="42"/>
      <c r="F58" s="42"/>
      <c r="G58" s="42"/>
      <c r="H58" s="42"/>
      <c r="I58" s="42"/>
      <c r="J58" s="403"/>
      <c r="K58" s="404"/>
      <c r="L58" s="404"/>
      <c r="M58" s="404"/>
      <c r="N58" s="404"/>
      <c r="O58" s="404"/>
      <c r="P58" s="404"/>
      <c r="Q58" s="405"/>
      <c r="R58" s="38">
        <v>21</v>
      </c>
      <c r="S58" s="36" t="s">
        <v>900</v>
      </c>
      <c r="T58" s="37"/>
      <c r="U58" s="37"/>
      <c r="V58" s="37"/>
      <c r="W58" s="37"/>
      <c r="X58" s="37"/>
      <c r="Y58" s="37"/>
      <c r="Z58" s="37"/>
      <c r="AA58" s="37"/>
      <c r="AB58" s="37"/>
      <c r="AC58" s="37"/>
      <c r="AD58" s="37"/>
      <c r="AE58" s="38"/>
      <c r="AF58" s="45"/>
      <c r="AG58" s="46"/>
      <c r="AH58" s="284" t="s">
        <v>492</v>
      </c>
      <c r="AI58" s="286"/>
      <c r="AJ58" s="284" t="s">
        <v>492</v>
      </c>
      <c r="AK58" s="286"/>
      <c r="AL58" s="45"/>
      <c r="AM58" s="46"/>
      <c r="AN58" s="45"/>
      <c r="AO58" s="46"/>
      <c r="AP58" s="284" t="s">
        <v>131</v>
      </c>
      <c r="AQ58" s="285"/>
      <c r="AR58" s="285"/>
      <c r="AS58" s="285"/>
      <c r="AT58" s="285"/>
      <c r="AU58" s="285"/>
      <c r="AV58" s="285"/>
      <c r="AW58" s="286"/>
      <c r="AX58" s="284" t="s">
        <v>514</v>
      </c>
      <c r="AY58" s="285"/>
      <c r="AZ58" s="285"/>
      <c r="BA58" s="285"/>
      <c r="BB58" s="285"/>
      <c r="BC58" s="285"/>
      <c r="BD58" s="285"/>
      <c r="BE58" s="286"/>
      <c r="BF58" s="288"/>
      <c r="BG58" s="288"/>
      <c r="BH58" s="288"/>
      <c r="BI58" s="288"/>
      <c r="BJ58" s="288"/>
      <c r="BK58" s="288"/>
      <c r="BL58" s="288"/>
      <c r="BM58" s="288"/>
      <c r="BN58" s="288"/>
      <c r="BO58" s="10"/>
    </row>
    <row r="59" spans="1:68" s="8" customFormat="1">
      <c r="A59" s="9"/>
      <c r="B59" s="33"/>
      <c r="C59" s="42"/>
      <c r="D59" s="42"/>
      <c r="E59" s="42"/>
      <c r="F59" s="42"/>
      <c r="G59" s="42"/>
      <c r="H59" s="42"/>
      <c r="I59" s="42"/>
      <c r="J59" s="403"/>
      <c r="K59" s="404"/>
      <c r="L59" s="404"/>
      <c r="M59" s="404"/>
      <c r="N59" s="404"/>
      <c r="O59" s="404"/>
      <c r="P59" s="404"/>
      <c r="Q59" s="405"/>
      <c r="R59" s="38">
        <v>22</v>
      </c>
      <c r="S59" s="36" t="s">
        <v>773</v>
      </c>
      <c r="T59" s="37"/>
      <c r="U59" s="37"/>
      <c r="V59" s="37"/>
      <c r="W59" s="37"/>
      <c r="X59" s="37"/>
      <c r="Y59" s="37"/>
      <c r="Z59" s="37"/>
      <c r="AA59" s="37"/>
      <c r="AB59" s="37"/>
      <c r="AC59" s="37"/>
      <c r="AD59" s="37"/>
      <c r="AE59" s="38"/>
      <c r="AF59" s="45"/>
      <c r="AG59" s="46"/>
      <c r="AH59" s="284" t="s">
        <v>492</v>
      </c>
      <c r="AI59" s="286"/>
      <c r="AJ59" s="284" t="s">
        <v>492</v>
      </c>
      <c r="AK59" s="286"/>
      <c r="AL59" s="45"/>
      <c r="AM59" s="46"/>
      <c r="AN59" s="45"/>
      <c r="AO59" s="46"/>
      <c r="AP59" s="284" t="s">
        <v>131</v>
      </c>
      <c r="AQ59" s="285"/>
      <c r="AR59" s="285"/>
      <c r="AS59" s="285"/>
      <c r="AT59" s="285"/>
      <c r="AU59" s="285"/>
      <c r="AV59" s="285"/>
      <c r="AW59" s="286"/>
      <c r="AX59" s="284" t="s">
        <v>514</v>
      </c>
      <c r="AY59" s="285"/>
      <c r="AZ59" s="285"/>
      <c r="BA59" s="285"/>
      <c r="BB59" s="285"/>
      <c r="BC59" s="285"/>
      <c r="BD59" s="285"/>
      <c r="BE59" s="286"/>
      <c r="BF59" s="288"/>
      <c r="BG59" s="288"/>
      <c r="BH59" s="288"/>
      <c r="BI59" s="288"/>
      <c r="BJ59" s="288"/>
      <c r="BK59" s="288"/>
      <c r="BL59" s="288"/>
      <c r="BM59" s="288"/>
      <c r="BN59" s="288"/>
      <c r="BO59" s="10"/>
    </row>
    <row r="60" spans="1:68" s="8" customFormat="1">
      <c r="A60" s="9"/>
      <c r="B60" s="33"/>
      <c r="C60" s="42"/>
      <c r="D60" s="42"/>
      <c r="E60" s="42"/>
      <c r="F60" s="42"/>
      <c r="G60" s="42"/>
      <c r="H60" s="42"/>
      <c r="I60" s="42"/>
      <c r="J60" s="406"/>
      <c r="K60" s="407"/>
      <c r="L60" s="407"/>
      <c r="M60" s="407"/>
      <c r="N60" s="407"/>
      <c r="O60" s="407"/>
      <c r="P60" s="407"/>
      <c r="Q60" s="408"/>
      <c r="R60" s="38">
        <v>23</v>
      </c>
      <c r="S60" s="36" t="s">
        <v>558</v>
      </c>
      <c r="T60" s="37"/>
      <c r="U60" s="37"/>
      <c r="V60" s="37"/>
      <c r="W60" s="37"/>
      <c r="X60" s="37"/>
      <c r="Y60" s="37"/>
      <c r="Z60" s="37"/>
      <c r="AA60" s="37"/>
      <c r="AB60" s="37"/>
      <c r="AC60" s="37"/>
      <c r="AD60" s="37"/>
      <c r="AE60" s="38"/>
      <c r="AF60" s="45"/>
      <c r="AG60" s="46"/>
      <c r="AH60" s="284" t="s">
        <v>492</v>
      </c>
      <c r="AI60" s="286"/>
      <c r="AJ60" s="284" t="s">
        <v>492</v>
      </c>
      <c r="AK60" s="286"/>
      <c r="AL60" s="45"/>
      <c r="AM60" s="46"/>
      <c r="AN60" s="45"/>
      <c r="AO60" s="46"/>
      <c r="AP60" s="284" t="s">
        <v>131</v>
      </c>
      <c r="AQ60" s="285"/>
      <c r="AR60" s="285"/>
      <c r="AS60" s="285"/>
      <c r="AT60" s="285"/>
      <c r="AU60" s="285"/>
      <c r="AV60" s="285"/>
      <c r="AW60" s="286"/>
      <c r="AX60" s="284" t="s">
        <v>514</v>
      </c>
      <c r="AY60" s="285"/>
      <c r="AZ60" s="285"/>
      <c r="BA60" s="285"/>
      <c r="BB60" s="285"/>
      <c r="BC60" s="285"/>
      <c r="BD60" s="285"/>
      <c r="BE60" s="286"/>
      <c r="BF60" s="288"/>
      <c r="BG60" s="288"/>
      <c r="BH60" s="288"/>
      <c r="BI60" s="288"/>
      <c r="BJ60" s="288"/>
      <c r="BK60" s="288"/>
      <c r="BL60" s="288"/>
      <c r="BM60" s="288"/>
      <c r="BN60" s="288"/>
      <c r="BO60" s="10"/>
    </row>
    <row r="61" spans="1:68" s="8" customFormat="1">
      <c r="A61" s="9"/>
      <c r="B61" s="33"/>
      <c r="C61" s="42"/>
      <c r="D61" s="42"/>
      <c r="E61" s="42"/>
      <c r="F61" s="42"/>
      <c r="G61" s="42"/>
      <c r="H61" s="42"/>
      <c r="I61" s="10"/>
      <c r="J61" s="400" t="s">
        <v>901</v>
      </c>
      <c r="K61" s="401"/>
      <c r="L61" s="401"/>
      <c r="M61" s="401"/>
      <c r="N61" s="401"/>
      <c r="O61" s="401"/>
      <c r="P61" s="401"/>
      <c r="Q61" s="402"/>
      <c r="R61" s="38">
        <v>1</v>
      </c>
      <c r="S61" s="36" t="s">
        <v>902</v>
      </c>
      <c r="T61" s="37"/>
      <c r="U61" s="37"/>
      <c r="V61" s="37"/>
      <c r="W61" s="37"/>
      <c r="X61" s="37"/>
      <c r="Y61" s="37"/>
      <c r="Z61" s="37"/>
      <c r="AA61" s="37"/>
      <c r="AB61" s="37"/>
      <c r="AC61" s="37"/>
      <c r="AD61" s="37"/>
      <c r="AE61" s="38"/>
      <c r="AF61" s="284"/>
      <c r="AG61" s="286"/>
      <c r="AH61" s="284" t="s">
        <v>492</v>
      </c>
      <c r="AI61" s="286"/>
      <c r="AJ61" s="284" t="s">
        <v>492</v>
      </c>
      <c r="AK61" s="286"/>
      <c r="AL61" s="284"/>
      <c r="AM61" s="286"/>
      <c r="AN61" s="284"/>
      <c r="AO61" s="286"/>
      <c r="AP61" s="284" t="s">
        <v>201</v>
      </c>
      <c r="AQ61" s="285"/>
      <c r="AR61" s="285"/>
      <c r="AS61" s="285"/>
      <c r="AT61" s="285"/>
      <c r="AU61" s="285"/>
      <c r="AV61" s="285"/>
      <c r="AW61" s="286"/>
      <c r="AX61" s="284" t="s">
        <v>143</v>
      </c>
      <c r="AY61" s="285"/>
      <c r="AZ61" s="285"/>
      <c r="BA61" s="285"/>
      <c r="BB61" s="285"/>
      <c r="BC61" s="285"/>
      <c r="BD61" s="285"/>
      <c r="BE61" s="286"/>
      <c r="BF61" s="288"/>
      <c r="BG61" s="288"/>
      <c r="BH61" s="288"/>
      <c r="BI61" s="288"/>
      <c r="BJ61" s="288"/>
      <c r="BK61" s="288"/>
      <c r="BL61" s="288"/>
      <c r="BM61" s="288"/>
      <c r="BN61" s="288"/>
      <c r="BO61" s="10"/>
    </row>
    <row r="62" spans="1:68" s="8" customFormat="1">
      <c r="A62" s="9"/>
      <c r="B62" s="32"/>
      <c r="C62" s="42"/>
      <c r="D62" s="42"/>
      <c r="E62" s="42"/>
      <c r="F62" s="42"/>
      <c r="G62" s="42"/>
      <c r="H62" s="42"/>
      <c r="I62" s="42"/>
      <c r="J62" s="403"/>
      <c r="K62" s="404"/>
      <c r="L62" s="404"/>
      <c r="M62" s="404"/>
      <c r="N62" s="404"/>
      <c r="O62" s="404"/>
      <c r="P62" s="404"/>
      <c r="Q62" s="405"/>
      <c r="R62" s="38">
        <v>2</v>
      </c>
      <c r="S62" s="36" t="s">
        <v>903</v>
      </c>
      <c r="T62" s="37"/>
      <c r="U62" s="37"/>
      <c r="V62" s="37"/>
      <c r="W62" s="37"/>
      <c r="X62" s="37"/>
      <c r="Y62" s="37"/>
      <c r="Z62" s="37"/>
      <c r="AA62" s="37"/>
      <c r="AB62" s="37"/>
      <c r="AC62" s="37"/>
      <c r="AD62" s="37"/>
      <c r="AE62" s="38"/>
      <c r="AF62" s="284"/>
      <c r="AG62" s="286"/>
      <c r="AH62" s="284" t="s">
        <v>492</v>
      </c>
      <c r="AI62" s="286"/>
      <c r="AJ62" s="284" t="s">
        <v>492</v>
      </c>
      <c r="AK62" s="286"/>
      <c r="AL62" s="284"/>
      <c r="AM62" s="286"/>
      <c r="AN62" s="284"/>
      <c r="AO62" s="286"/>
      <c r="AP62" s="284" t="s">
        <v>131</v>
      </c>
      <c r="AQ62" s="285"/>
      <c r="AR62" s="285"/>
      <c r="AS62" s="285"/>
      <c r="AT62" s="285"/>
      <c r="AU62" s="285"/>
      <c r="AV62" s="285"/>
      <c r="AW62" s="286"/>
      <c r="AX62" s="284" t="s">
        <v>904</v>
      </c>
      <c r="AY62" s="285"/>
      <c r="AZ62" s="285"/>
      <c r="BA62" s="285"/>
      <c r="BB62" s="285"/>
      <c r="BC62" s="285"/>
      <c r="BD62" s="285"/>
      <c r="BE62" s="286"/>
      <c r="BF62" s="288"/>
      <c r="BG62" s="288"/>
      <c r="BH62" s="288"/>
      <c r="BI62" s="288"/>
      <c r="BJ62" s="288"/>
      <c r="BK62" s="288"/>
      <c r="BL62" s="288"/>
      <c r="BM62" s="288"/>
      <c r="BN62" s="288"/>
      <c r="BO62" s="10"/>
      <c r="BP62" s="11"/>
    </row>
    <row r="63" spans="1:68" s="8" customFormat="1">
      <c r="A63" s="9"/>
      <c r="B63" s="33"/>
      <c r="C63" s="42"/>
      <c r="D63" s="42"/>
      <c r="E63" s="42"/>
      <c r="F63" s="42"/>
      <c r="G63" s="42"/>
      <c r="H63" s="42"/>
      <c r="I63" s="42"/>
      <c r="J63" s="403"/>
      <c r="K63" s="404"/>
      <c r="L63" s="404"/>
      <c r="M63" s="404"/>
      <c r="N63" s="404"/>
      <c r="O63" s="404"/>
      <c r="P63" s="404"/>
      <c r="Q63" s="405"/>
      <c r="R63" s="38">
        <v>3</v>
      </c>
      <c r="S63" s="36" t="s">
        <v>905</v>
      </c>
      <c r="T63" s="37"/>
      <c r="U63" s="37"/>
      <c r="V63" s="37"/>
      <c r="W63" s="37"/>
      <c r="X63" s="37"/>
      <c r="Y63" s="37"/>
      <c r="Z63" s="37"/>
      <c r="AA63" s="37"/>
      <c r="AB63" s="37"/>
      <c r="AC63" s="37"/>
      <c r="AD63" s="37"/>
      <c r="AE63" s="38"/>
      <c r="AF63" s="284"/>
      <c r="AG63" s="286"/>
      <c r="AH63" s="284" t="s">
        <v>492</v>
      </c>
      <c r="AI63" s="286"/>
      <c r="AJ63" s="284" t="s">
        <v>492</v>
      </c>
      <c r="AK63" s="286"/>
      <c r="AL63" s="284"/>
      <c r="AM63" s="286"/>
      <c r="AN63" s="284"/>
      <c r="AO63" s="286"/>
      <c r="AP63" s="284" t="s">
        <v>131</v>
      </c>
      <c r="AQ63" s="285"/>
      <c r="AR63" s="285"/>
      <c r="AS63" s="285"/>
      <c r="AT63" s="285"/>
      <c r="AU63" s="285"/>
      <c r="AV63" s="285"/>
      <c r="AW63" s="286"/>
      <c r="AX63" s="284" t="s">
        <v>906</v>
      </c>
      <c r="AY63" s="285"/>
      <c r="AZ63" s="285"/>
      <c r="BA63" s="285"/>
      <c r="BB63" s="285"/>
      <c r="BC63" s="285"/>
      <c r="BD63" s="285"/>
      <c r="BE63" s="286"/>
      <c r="BF63" s="288"/>
      <c r="BG63" s="288"/>
      <c r="BH63" s="288"/>
      <c r="BI63" s="288"/>
      <c r="BJ63" s="288"/>
      <c r="BK63" s="288"/>
      <c r="BL63" s="288"/>
      <c r="BM63" s="288"/>
      <c r="BN63" s="288"/>
      <c r="BO63" s="10"/>
    </row>
    <row r="64" spans="1:68" s="8" customFormat="1">
      <c r="A64" s="9"/>
      <c r="B64" s="32"/>
      <c r="C64" s="42"/>
      <c r="D64" s="42"/>
      <c r="E64" s="42"/>
      <c r="F64" s="42"/>
      <c r="G64" s="42"/>
      <c r="H64" s="42"/>
      <c r="I64" s="10"/>
      <c r="J64" s="403"/>
      <c r="K64" s="404"/>
      <c r="L64" s="404"/>
      <c r="M64" s="404"/>
      <c r="N64" s="404"/>
      <c r="O64" s="404"/>
      <c r="P64" s="404"/>
      <c r="Q64" s="405"/>
      <c r="R64" s="38">
        <v>4</v>
      </c>
      <c r="S64" s="36" t="s">
        <v>907</v>
      </c>
      <c r="T64" s="37"/>
      <c r="U64" s="37"/>
      <c r="V64" s="37"/>
      <c r="W64" s="37"/>
      <c r="X64" s="37"/>
      <c r="Y64" s="37"/>
      <c r="Z64" s="37"/>
      <c r="AA64" s="37"/>
      <c r="AB64" s="37"/>
      <c r="AC64" s="37"/>
      <c r="AD64" s="37"/>
      <c r="AE64" s="38"/>
      <c r="AF64" s="284"/>
      <c r="AG64" s="286"/>
      <c r="AH64" s="284" t="s">
        <v>492</v>
      </c>
      <c r="AI64" s="286"/>
      <c r="AJ64" s="284" t="s">
        <v>492</v>
      </c>
      <c r="AK64" s="286"/>
      <c r="AL64" s="284"/>
      <c r="AM64" s="286"/>
      <c r="AN64" s="284"/>
      <c r="AO64" s="286"/>
      <c r="AP64" s="284" t="s">
        <v>131</v>
      </c>
      <c r="AQ64" s="285"/>
      <c r="AR64" s="285"/>
      <c r="AS64" s="285"/>
      <c r="AT64" s="285"/>
      <c r="AU64" s="285"/>
      <c r="AV64" s="285"/>
      <c r="AW64" s="286"/>
      <c r="AX64" s="284" t="s">
        <v>906</v>
      </c>
      <c r="AY64" s="285"/>
      <c r="AZ64" s="285"/>
      <c r="BA64" s="285"/>
      <c r="BB64" s="285"/>
      <c r="BC64" s="285"/>
      <c r="BD64" s="285"/>
      <c r="BE64" s="286"/>
      <c r="BF64" s="288"/>
      <c r="BG64" s="288"/>
      <c r="BH64" s="288"/>
      <c r="BI64" s="288"/>
      <c r="BJ64" s="288"/>
      <c r="BK64" s="288"/>
      <c r="BL64" s="288"/>
      <c r="BM64" s="288"/>
      <c r="BN64" s="288"/>
      <c r="BO64" s="10"/>
      <c r="BP64" s="11"/>
    </row>
    <row r="65" spans="1:67" s="8" customFormat="1">
      <c r="A65" s="9"/>
      <c r="B65" s="33"/>
      <c r="C65" s="42"/>
      <c r="D65" s="42"/>
      <c r="E65" s="42"/>
      <c r="F65" s="42"/>
      <c r="G65" s="42"/>
      <c r="H65" s="42"/>
      <c r="I65" s="10"/>
      <c r="J65" s="403"/>
      <c r="K65" s="404"/>
      <c r="L65" s="404"/>
      <c r="M65" s="404"/>
      <c r="N65" s="404"/>
      <c r="O65" s="404"/>
      <c r="P65" s="404"/>
      <c r="Q65" s="405"/>
      <c r="R65" s="38">
        <v>5</v>
      </c>
      <c r="S65" s="36" t="s">
        <v>908</v>
      </c>
      <c r="T65" s="37"/>
      <c r="U65" s="37"/>
      <c r="V65" s="37"/>
      <c r="W65" s="37"/>
      <c r="X65" s="37"/>
      <c r="Y65" s="37"/>
      <c r="Z65" s="37"/>
      <c r="AA65" s="37"/>
      <c r="AB65" s="37"/>
      <c r="AC65" s="37"/>
      <c r="AD65" s="37"/>
      <c r="AE65" s="38"/>
      <c r="AF65" s="284"/>
      <c r="AG65" s="286"/>
      <c r="AH65" s="284" t="s">
        <v>492</v>
      </c>
      <c r="AI65" s="286"/>
      <c r="AJ65" s="284" t="s">
        <v>492</v>
      </c>
      <c r="AK65" s="286"/>
      <c r="AL65" s="284"/>
      <c r="AM65" s="286"/>
      <c r="AN65" s="284"/>
      <c r="AO65" s="286"/>
      <c r="AP65" s="284" t="s">
        <v>131</v>
      </c>
      <c r="AQ65" s="285"/>
      <c r="AR65" s="285"/>
      <c r="AS65" s="285"/>
      <c r="AT65" s="285"/>
      <c r="AU65" s="285"/>
      <c r="AV65" s="285"/>
      <c r="AW65" s="286"/>
      <c r="AX65" s="284" t="s">
        <v>882</v>
      </c>
      <c r="AY65" s="285"/>
      <c r="AZ65" s="285"/>
      <c r="BA65" s="285"/>
      <c r="BB65" s="285"/>
      <c r="BC65" s="285"/>
      <c r="BD65" s="285"/>
      <c r="BE65" s="286"/>
      <c r="BF65" s="288"/>
      <c r="BG65" s="288"/>
      <c r="BH65" s="288"/>
      <c r="BI65" s="288"/>
      <c r="BJ65" s="288"/>
      <c r="BK65" s="288"/>
      <c r="BL65" s="288"/>
      <c r="BM65" s="288"/>
      <c r="BN65" s="288"/>
      <c r="BO65" s="10"/>
    </row>
    <row r="66" spans="1:67" s="8" customFormat="1">
      <c r="A66" s="9"/>
      <c r="B66" s="33"/>
      <c r="C66" s="42"/>
      <c r="D66" s="42"/>
      <c r="E66" s="42"/>
      <c r="F66" s="42"/>
      <c r="G66" s="42"/>
      <c r="H66" s="42"/>
      <c r="I66" s="10"/>
      <c r="J66" s="403"/>
      <c r="K66" s="404"/>
      <c r="L66" s="404"/>
      <c r="M66" s="404"/>
      <c r="N66" s="404"/>
      <c r="O66" s="404"/>
      <c r="P66" s="404"/>
      <c r="Q66" s="405"/>
      <c r="R66" s="38">
        <v>6</v>
      </c>
      <c r="S66" s="36" t="s">
        <v>909</v>
      </c>
      <c r="T66" s="37"/>
      <c r="U66" s="37"/>
      <c r="V66" s="37"/>
      <c r="W66" s="37"/>
      <c r="X66" s="37"/>
      <c r="Y66" s="37"/>
      <c r="Z66" s="37"/>
      <c r="AA66" s="37"/>
      <c r="AB66" s="37"/>
      <c r="AC66" s="37"/>
      <c r="AD66" s="37"/>
      <c r="AE66" s="38"/>
      <c r="AF66" s="284"/>
      <c r="AG66" s="286"/>
      <c r="AH66" s="284" t="s">
        <v>492</v>
      </c>
      <c r="AI66" s="286"/>
      <c r="AJ66" s="284" t="s">
        <v>492</v>
      </c>
      <c r="AK66" s="286"/>
      <c r="AL66" s="284"/>
      <c r="AM66" s="286"/>
      <c r="AN66" s="284"/>
      <c r="AO66" s="286"/>
      <c r="AP66" s="284" t="s">
        <v>131</v>
      </c>
      <c r="AQ66" s="285"/>
      <c r="AR66" s="285"/>
      <c r="AS66" s="285"/>
      <c r="AT66" s="285"/>
      <c r="AU66" s="285"/>
      <c r="AV66" s="285"/>
      <c r="AW66" s="286"/>
      <c r="AX66" s="284" t="s">
        <v>882</v>
      </c>
      <c r="AY66" s="285"/>
      <c r="AZ66" s="285"/>
      <c r="BA66" s="285"/>
      <c r="BB66" s="285"/>
      <c r="BC66" s="285"/>
      <c r="BD66" s="285"/>
      <c r="BE66" s="286"/>
      <c r="BF66" s="288"/>
      <c r="BG66" s="288"/>
      <c r="BH66" s="288"/>
      <c r="BI66" s="288"/>
      <c r="BJ66" s="288"/>
      <c r="BK66" s="288"/>
      <c r="BL66" s="288"/>
      <c r="BM66" s="288"/>
      <c r="BN66" s="288"/>
      <c r="BO66" s="10"/>
    </row>
    <row r="67" spans="1:67" s="8" customFormat="1">
      <c r="A67" s="9"/>
      <c r="B67" s="33"/>
      <c r="C67" s="42"/>
      <c r="D67" s="42"/>
      <c r="E67" s="42"/>
      <c r="F67" s="42"/>
      <c r="G67" s="42"/>
      <c r="H67" s="42"/>
      <c r="I67" s="10"/>
      <c r="J67" s="403"/>
      <c r="K67" s="404"/>
      <c r="L67" s="404"/>
      <c r="M67" s="404"/>
      <c r="N67" s="404"/>
      <c r="O67" s="404"/>
      <c r="P67" s="404"/>
      <c r="Q67" s="405"/>
      <c r="R67" s="38">
        <v>7</v>
      </c>
      <c r="S67" s="36" t="s">
        <v>773</v>
      </c>
      <c r="T67" s="37"/>
      <c r="U67" s="37"/>
      <c r="V67" s="37"/>
      <c r="W67" s="37"/>
      <c r="X67" s="37"/>
      <c r="Y67" s="37"/>
      <c r="Z67" s="37"/>
      <c r="AA67" s="37"/>
      <c r="AB67" s="37"/>
      <c r="AC67" s="37"/>
      <c r="AD67" s="37"/>
      <c r="AE67" s="38"/>
      <c r="AF67" s="284"/>
      <c r="AG67" s="286"/>
      <c r="AH67" s="284" t="s">
        <v>492</v>
      </c>
      <c r="AI67" s="286"/>
      <c r="AJ67" s="284" t="s">
        <v>492</v>
      </c>
      <c r="AK67" s="286"/>
      <c r="AL67" s="284"/>
      <c r="AM67" s="286"/>
      <c r="AN67" s="284"/>
      <c r="AO67" s="286"/>
      <c r="AP67" s="284" t="s">
        <v>131</v>
      </c>
      <c r="AQ67" s="285"/>
      <c r="AR67" s="285"/>
      <c r="AS67" s="285"/>
      <c r="AT67" s="285"/>
      <c r="AU67" s="285"/>
      <c r="AV67" s="285"/>
      <c r="AW67" s="286"/>
      <c r="AX67" s="284" t="s">
        <v>882</v>
      </c>
      <c r="AY67" s="285"/>
      <c r="AZ67" s="285"/>
      <c r="BA67" s="285"/>
      <c r="BB67" s="285"/>
      <c r="BC67" s="285"/>
      <c r="BD67" s="285"/>
      <c r="BE67" s="286"/>
      <c r="BF67" s="377"/>
      <c r="BG67" s="288"/>
      <c r="BH67" s="288"/>
      <c r="BI67" s="288"/>
      <c r="BJ67" s="288"/>
      <c r="BK67" s="288"/>
      <c r="BL67" s="288"/>
      <c r="BM67" s="288"/>
      <c r="BN67" s="288"/>
      <c r="BO67" s="10"/>
    </row>
    <row r="68" spans="1:67" s="8" customFormat="1">
      <c r="A68" s="9"/>
      <c r="B68" s="33"/>
      <c r="C68" s="42"/>
      <c r="D68" s="42"/>
      <c r="E68" s="42"/>
      <c r="F68" s="42"/>
      <c r="G68" s="42"/>
      <c r="H68" s="42"/>
      <c r="I68" s="42"/>
      <c r="J68" s="403"/>
      <c r="K68" s="404"/>
      <c r="L68" s="404"/>
      <c r="M68" s="404"/>
      <c r="N68" s="404"/>
      <c r="O68" s="404"/>
      <c r="P68" s="404"/>
      <c r="Q68" s="405"/>
      <c r="R68" s="38">
        <v>8</v>
      </c>
      <c r="S68" s="36" t="s">
        <v>558</v>
      </c>
      <c r="T68" s="37"/>
      <c r="U68" s="37"/>
      <c r="V68" s="37"/>
      <c r="W68" s="37"/>
      <c r="X68" s="37"/>
      <c r="Y68" s="37"/>
      <c r="Z68" s="37"/>
      <c r="AA68" s="37"/>
      <c r="AB68" s="37"/>
      <c r="AC68" s="37"/>
      <c r="AD68" s="37"/>
      <c r="AE68" s="38"/>
      <c r="AF68" s="45"/>
      <c r="AG68" s="46"/>
      <c r="AH68" s="284" t="s">
        <v>492</v>
      </c>
      <c r="AI68" s="286"/>
      <c r="AJ68" s="284" t="s">
        <v>492</v>
      </c>
      <c r="AK68" s="286"/>
      <c r="AL68" s="45"/>
      <c r="AM68" s="46"/>
      <c r="AN68" s="45"/>
      <c r="AO68" s="46"/>
      <c r="AP68" s="284" t="s">
        <v>131</v>
      </c>
      <c r="AQ68" s="285"/>
      <c r="AR68" s="285"/>
      <c r="AS68" s="285"/>
      <c r="AT68" s="285"/>
      <c r="AU68" s="285"/>
      <c r="AV68" s="285"/>
      <c r="AW68" s="286"/>
      <c r="AX68" s="284" t="s">
        <v>882</v>
      </c>
      <c r="AY68" s="285"/>
      <c r="AZ68" s="285"/>
      <c r="BA68" s="285"/>
      <c r="BB68" s="285"/>
      <c r="BC68" s="285"/>
      <c r="BD68" s="285"/>
      <c r="BE68" s="286"/>
      <c r="BF68" s="288"/>
      <c r="BG68" s="288"/>
      <c r="BH68" s="288"/>
      <c r="BI68" s="288"/>
      <c r="BJ68" s="288"/>
      <c r="BK68" s="288"/>
      <c r="BL68" s="288"/>
      <c r="BM68" s="288"/>
      <c r="BN68" s="288"/>
      <c r="BO68" s="10"/>
    </row>
    <row r="69" spans="1:67" s="8" customFormat="1">
      <c r="A69" s="9"/>
      <c r="B69" s="33"/>
      <c r="C69" s="42"/>
      <c r="D69" s="42"/>
      <c r="E69" s="42"/>
      <c r="F69" s="42"/>
      <c r="G69" s="42"/>
      <c r="H69" s="42"/>
      <c r="I69" s="42"/>
      <c r="J69" s="400" t="s">
        <v>910</v>
      </c>
      <c r="K69" s="401"/>
      <c r="L69" s="401"/>
      <c r="M69" s="401"/>
      <c r="N69" s="401"/>
      <c r="O69" s="401"/>
      <c r="P69" s="401"/>
      <c r="Q69" s="402"/>
      <c r="R69" s="38">
        <v>1</v>
      </c>
      <c r="S69" s="36" t="s">
        <v>856</v>
      </c>
      <c r="T69" s="37"/>
      <c r="U69" s="37"/>
      <c r="V69" s="37"/>
      <c r="W69" s="37"/>
      <c r="X69" s="37"/>
      <c r="Y69" s="37"/>
      <c r="Z69" s="37"/>
      <c r="AA69" s="37"/>
      <c r="AB69" s="37"/>
      <c r="AC69" s="37"/>
      <c r="AD69" s="37"/>
      <c r="AE69" s="38"/>
      <c r="AF69" s="284" t="s">
        <v>492</v>
      </c>
      <c r="AG69" s="286"/>
      <c r="AH69" s="284" t="s">
        <v>492</v>
      </c>
      <c r="AI69" s="286"/>
      <c r="AJ69" s="284" t="s">
        <v>492</v>
      </c>
      <c r="AK69" s="286"/>
      <c r="AL69" s="45"/>
      <c r="AM69" s="46"/>
      <c r="AN69" s="45"/>
      <c r="AO69" s="46"/>
      <c r="AP69" s="284" t="s">
        <v>131</v>
      </c>
      <c r="AQ69" s="285"/>
      <c r="AR69" s="285"/>
      <c r="AS69" s="285"/>
      <c r="AT69" s="285"/>
      <c r="AU69" s="285"/>
      <c r="AV69" s="285"/>
      <c r="AW69" s="286"/>
      <c r="AX69" s="284" t="s">
        <v>904</v>
      </c>
      <c r="AY69" s="285"/>
      <c r="AZ69" s="285"/>
      <c r="BA69" s="285"/>
      <c r="BB69" s="285"/>
      <c r="BC69" s="285"/>
      <c r="BD69" s="285"/>
      <c r="BE69" s="286"/>
      <c r="BF69" s="288"/>
      <c r="BG69" s="288"/>
      <c r="BH69" s="288"/>
      <c r="BI69" s="288"/>
      <c r="BJ69" s="288"/>
      <c r="BK69" s="288"/>
      <c r="BL69" s="288"/>
      <c r="BM69" s="288"/>
      <c r="BN69" s="288"/>
      <c r="BO69" s="10"/>
    </row>
    <row r="70" spans="1:67" s="8" customFormat="1">
      <c r="A70" s="9"/>
      <c r="B70" s="33"/>
      <c r="C70" s="42"/>
      <c r="D70" s="42"/>
      <c r="E70" s="42"/>
      <c r="F70" s="42"/>
      <c r="G70" s="42"/>
      <c r="H70" s="42"/>
      <c r="I70" s="42"/>
      <c r="J70" s="403"/>
      <c r="K70" s="404"/>
      <c r="L70" s="404"/>
      <c r="M70" s="404"/>
      <c r="N70" s="404"/>
      <c r="O70" s="404"/>
      <c r="P70" s="404"/>
      <c r="Q70" s="405"/>
      <c r="R70" s="38">
        <v>2</v>
      </c>
      <c r="S70" s="36" t="s">
        <v>911</v>
      </c>
      <c r="T70" s="37"/>
      <c r="U70" s="37"/>
      <c r="V70" s="37"/>
      <c r="W70" s="37"/>
      <c r="X70" s="37"/>
      <c r="Y70" s="37"/>
      <c r="Z70" s="37"/>
      <c r="AA70" s="37"/>
      <c r="AB70" s="37"/>
      <c r="AC70" s="37"/>
      <c r="AD70" s="37"/>
      <c r="AE70" s="38"/>
      <c r="AF70" s="284" t="s">
        <v>492</v>
      </c>
      <c r="AG70" s="286"/>
      <c r="AH70" s="284" t="s">
        <v>492</v>
      </c>
      <c r="AI70" s="286"/>
      <c r="AJ70" s="284" t="s">
        <v>492</v>
      </c>
      <c r="AK70" s="286"/>
      <c r="AL70" s="45"/>
      <c r="AM70" s="46"/>
      <c r="AN70" s="45"/>
      <c r="AO70" s="46"/>
      <c r="AP70" s="284" t="s">
        <v>131</v>
      </c>
      <c r="AQ70" s="285"/>
      <c r="AR70" s="285"/>
      <c r="AS70" s="285"/>
      <c r="AT70" s="285"/>
      <c r="AU70" s="285"/>
      <c r="AV70" s="285"/>
      <c r="AW70" s="286"/>
      <c r="AX70" s="284" t="s">
        <v>857</v>
      </c>
      <c r="AY70" s="285"/>
      <c r="AZ70" s="285"/>
      <c r="BA70" s="285"/>
      <c r="BB70" s="285"/>
      <c r="BC70" s="285"/>
      <c r="BD70" s="285"/>
      <c r="BE70" s="286"/>
      <c r="BF70" s="288"/>
      <c r="BG70" s="288"/>
      <c r="BH70" s="288"/>
      <c r="BI70" s="288"/>
      <c r="BJ70" s="288"/>
      <c r="BK70" s="288"/>
      <c r="BL70" s="288"/>
      <c r="BM70" s="288"/>
      <c r="BN70" s="288"/>
      <c r="BO70" s="10"/>
    </row>
    <row r="71" spans="1:67" s="8" customFormat="1">
      <c r="A71" s="9"/>
      <c r="B71" s="33"/>
      <c r="C71" s="42"/>
      <c r="D71" s="42"/>
      <c r="E71" s="42"/>
      <c r="F71" s="42"/>
      <c r="G71" s="42"/>
      <c r="H71" s="42"/>
      <c r="I71" s="42"/>
      <c r="J71" s="403"/>
      <c r="K71" s="404"/>
      <c r="L71" s="404"/>
      <c r="M71" s="404"/>
      <c r="N71" s="404"/>
      <c r="O71" s="404"/>
      <c r="P71" s="404"/>
      <c r="Q71" s="405"/>
      <c r="R71" s="38">
        <v>3</v>
      </c>
      <c r="S71" s="36" t="s">
        <v>912</v>
      </c>
      <c r="T71" s="37"/>
      <c r="U71" s="37"/>
      <c r="V71" s="37"/>
      <c r="W71" s="37"/>
      <c r="X71" s="37"/>
      <c r="Y71" s="37"/>
      <c r="Z71" s="37"/>
      <c r="AA71" s="37"/>
      <c r="AB71" s="37"/>
      <c r="AC71" s="37"/>
      <c r="AD71" s="37"/>
      <c r="AE71" s="38"/>
      <c r="AF71" s="284" t="s">
        <v>492</v>
      </c>
      <c r="AG71" s="286"/>
      <c r="AH71" s="284" t="s">
        <v>492</v>
      </c>
      <c r="AI71" s="286"/>
      <c r="AJ71" s="284" t="s">
        <v>492</v>
      </c>
      <c r="AK71" s="286"/>
      <c r="AL71" s="45"/>
      <c r="AM71" s="46"/>
      <c r="AN71" s="45"/>
      <c r="AO71" s="46"/>
      <c r="AP71" s="284" t="s">
        <v>131</v>
      </c>
      <c r="AQ71" s="285"/>
      <c r="AR71" s="285"/>
      <c r="AS71" s="285"/>
      <c r="AT71" s="285"/>
      <c r="AU71" s="285"/>
      <c r="AV71" s="285"/>
      <c r="AW71" s="286"/>
      <c r="AX71" s="284" t="s">
        <v>246</v>
      </c>
      <c r="AY71" s="285"/>
      <c r="AZ71" s="285"/>
      <c r="BA71" s="285"/>
      <c r="BB71" s="285"/>
      <c r="BC71" s="285"/>
      <c r="BD71" s="285"/>
      <c r="BE71" s="286"/>
      <c r="BF71" s="288"/>
      <c r="BG71" s="288"/>
      <c r="BH71" s="288"/>
      <c r="BI71" s="288"/>
      <c r="BJ71" s="288"/>
      <c r="BK71" s="288"/>
      <c r="BL71" s="288"/>
      <c r="BM71" s="288"/>
      <c r="BN71" s="288"/>
      <c r="BO71" s="10"/>
    </row>
    <row r="72" spans="1:67" s="8" customFormat="1">
      <c r="A72" s="9"/>
      <c r="B72" s="33"/>
      <c r="C72" s="42"/>
      <c r="D72" s="42"/>
      <c r="E72" s="42"/>
      <c r="F72" s="42"/>
      <c r="G72" s="42"/>
      <c r="H72" s="42"/>
      <c r="I72" s="42"/>
      <c r="J72" s="403"/>
      <c r="K72" s="404"/>
      <c r="L72" s="404"/>
      <c r="M72" s="404"/>
      <c r="N72" s="404"/>
      <c r="O72" s="404"/>
      <c r="P72" s="404"/>
      <c r="Q72" s="405"/>
      <c r="R72" s="38">
        <v>4</v>
      </c>
      <c r="S72" s="36" t="s">
        <v>913</v>
      </c>
      <c r="T72" s="37"/>
      <c r="U72" s="37"/>
      <c r="V72" s="37"/>
      <c r="W72" s="37"/>
      <c r="X72" s="37"/>
      <c r="Y72" s="37"/>
      <c r="Z72" s="37"/>
      <c r="AA72" s="37"/>
      <c r="AB72" s="37"/>
      <c r="AC72" s="37"/>
      <c r="AD72" s="37"/>
      <c r="AE72" s="38"/>
      <c r="AF72" s="284" t="s">
        <v>492</v>
      </c>
      <c r="AG72" s="286"/>
      <c r="AH72" s="284" t="s">
        <v>492</v>
      </c>
      <c r="AI72" s="286"/>
      <c r="AJ72" s="284" t="s">
        <v>492</v>
      </c>
      <c r="AK72" s="286"/>
      <c r="AL72" s="284"/>
      <c r="AM72" s="286"/>
      <c r="AN72" s="284"/>
      <c r="AO72" s="286"/>
      <c r="AP72" s="284" t="s">
        <v>131</v>
      </c>
      <c r="AQ72" s="285"/>
      <c r="AR72" s="285"/>
      <c r="AS72" s="285"/>
      <c r="AT72" s="285"/>
      <c r="AU72" s="285"/>
      <c r="AV72" s="285"/>
      <c r="AW72" s="286"/>
      <c r="AX72" s="284" t="s">
        <v>914</v>
      </c>
      <c r="AY72" s="285"/>
      <c r="AZ72" s="285"/>
      <c r="BA72" s="285"/>
      <c r="BB72" s="285"/>
      <c r="BC72" s="285"/>
      <c r="BD72" s="285"/>
      <c r="BE72" s="286"/>
      <c r="BF72" s="288"/>
      <c r="BG72" s="288"/>
      <c r="BH72" s="288"/>
      <c r="BI72" s="288"/>
      <c r="BJ72" s="288"/>
      <c r="BK72" s="288"/>
      <c r="BL72" s="288"/>
      <c r="BM72" s="288"/>
      <c r="BN72" s="288"/>
      <c r="BO72" s="10"/>
    </row>
    <row r="73" spans="1:67" s="8" customFormat="1">
      <c r="A73" s="9"/>
      <c r="B73" s="33"/>
      <c r="C73" s="42"/>
      <c r="D73" s="42"/>
      <c r="E73" s="42"/>
      <c r="F73" s="42"/>
      <c r="G73" s="42"/>
      <c r="H73" s="42"/>
      <c r="I73" s="42"/>
      <c r="J73" s="403"/>
      <c r="K73" s="404"/>
      <c r="L73" s="404"/>
      <c r="M73" s="404"/>
      <c r="N73" s="404"/>
      <c r="O73" s="404"/>
      <c r="P73" s="404"/>
      <c r="Q73" s="405"/>
      <c r="R73" s="38">
        <v>5</v>
      </c>
      <c r="S73" s="36" t="s">
        <v>773</v>
      </c>
      <c r="T73" s="37"/>
      <c r="U73" s="37"/>
      <c r="V73" s="37"/>
      <c r="W73" s="37"/>
      <c r="X73" s="37"/>
      <c r="Y73" s="37"/>
      <c r="Z73" s="37"/>
      <c r="AA73" s="37"/>
      <c r="AB73" s="37"/>
      <c r="AC73" s="37"/>
      <c r="AD73" s="37"/>
      <c r="AE73" s="38"/>
      <c r="AF73" s="284" t="s">
        <v>492</v>
      </c>
      <c r="AG73" s="286"/>
      <c r="AH73" s="284" t="s">
        <v>492</v>
      </c>
      <c r="AI73" s="286"/>
      <c r="AJ73" s="284" t="s">
        <v>492</v>
      </c>
      <c r="AK73" s="286"/>
      <c r="AL73" s="284"/>
      <c r="AM73" s="286"/>
      <c r="AN73" s="284"/>
      <c r="AO73" s="286"/>
      <c r="AP73" s="284" t="s">
        <v>131</v>
      </c>
      <c r="AQ73" s="285"/>
      <c r="AR73" s="285"/>
      <c r="AS73" s="285"/>
      <c r="AT73" s="285"/>
      <c r="AU73" s="285"/>
      <c r="AV73" s="285"/>
      <c r="AW73" s="286"/>
      <c r="AX73" s="284" t="s">
        <v>882</v>
      </c>
      <c r="AY73" s="285"/>
      <c r="AZ73" s="285"/>
      <c r="BA73" s="285"/>
      <c r="BB73" s="285"/>
      <c r="BC73" s="285"/>
      <c r="BD73" s="285"/>
      <c r="BE73" s="286"/>
      <c r="BF73" s="288"/>
      <c r="BG73" s="288"/>
      <c r="BH73" s="288"/>
      <c r="BI73" s="288"/>
      <c r="BJ73" s="288"/>
      <c r="BK73" s="288"/>
      <c r="BL73" s="288"/>
      <c r="BM73" s="288"/>
      <c r="BN73" s="288"/>
      <c r="BO73" s="10"/>
    </row>
    <row r="74" spans="1:67" s="8" customFormat="1">
      <c r="A74" s="9"/>
      <c r="B74" s="33"/>
      <c r="C74" s="42"/>
      <c r="D74" s="42"/>
      <c r="E74" s="42"/>
      <c r="F74" s="42"/>
      <c r="G74" s="42"/>
      <c r="H74" s="42"/>
      <c r="I74" s="10"/>
      <c r="J74" s="406"/>
      <c r="K74" s="407"/>
      <c r="L74" s="407"/>
      <c r="M74" s="407"/>
      <c r="N74" s="407"/>
      <c r="O74" s="407"/>
      <c r="P74" s="407"/>
      <c r="Q74" s="408"/>
      <c r="R74" s="38">
        <v>6</v>
      </c>
      <c r="S74" s="36" t="s">
        <v>558</v>
      </c>
      <c r="T74" s="37"/>
      <c r="U74" s="37"/>
      <c r="V74" s="37"/>
      <c r="W74" s="37"/>
      <c r="X74" s="37"/>
      <c r="Y74" s="37"/>
      <c r="Z74" s="37"/>
      <c r="AA74" s="37"/>
      <c r="AB74" s="37"/>
      <c r="AC74" s="37"/>
      <c r="AD74" s="37"/>
      <c r="AE74" s="38"/>
      <c r="AF74" s="284" t="s">
        <v>492</v>
      </c>
      <c r="AG74" s="286"/>
      <c r="AH74" s="284" t="s">
        <v>492</v>
      </c>
      <c r="AI74" s="286"/>
      <c r="AJ74" s="284" t="s">
        <v>492</v>
      </c>
      <c r="AK74" s="286"/>
      <c r="AL74" s="45"/>
      <c r="AM74" s="46"/>
      <c r="AN74" s="45"/>
      <c r="AO74" s="46"/>
      <c r="AP74" s="284" t="s">
        <v>131</v>
      </c>
      <c r="AQ74" s="285"/>
      <c r="AR74" s="285"/>
      <c r="AS74" s="285"/>
      <c r="AT74" s="285"/>
      <c r="AU74" s="285"/>
      <c r="AV74" s="285"/>
      <c r="AW74" s="286"/>
      <c r="AX74" s="284" t="s">
        <v>882</v>
      </c>
      <c r="AY74" s="285"/>
      <c r="AZ74" s="285"/>
      <c r="BA74" s="285"/>
      <c r="BB74" s="285"/>
      <c r="BC74" s="285"/>
      <c r="BD74" s="285"/>
      <c r="BE74" s="286"/>
      <c r="BF74" s="288"/>
      <c r="BG74" s="288"/>
      <c r="BH74" s="288"/>
      <c r="BI74" s="288"/>
      <c r="BJ74" s="288"/>
      <c r="BK74" s="288"/>
      <c r="BL74" s="288"/>
      <c r="BM74" s="288"/>
      <c r="BN74" s="288"/>
      <c r="BO74" s="10"/>
    </row>
    <row r="75" spans="1:67" s="8" customFormat="1">
      <c r="A75" s="9"/>
      <c r="B75" s="33"/>
      <c r="C75" s="42"/>
      <c r="D75" s="42"/>
      <c r="E75" s="42"/>
      <c r="F75" s="42"/>
      <c r="G75" s="42"/>
      <c r="H75" s="42"/>
      <c r="I75" s="42"/>
      <c r="J75" s="400" t="s">
        <v>915</v>
      </c>
      <c r="K75" s="401"/>
      <c r="L75" s="401"/>
      <c r="M75" s="401"/>
      <c r="N75" s="401"/>
      <c r="O75" s="401"/>
      <c r="P75" s="401"/>
      <c r="Q75" s="402"/>
      <c r="R75" s="38">
        <v>1</v>
      </c>
      <c r="S75" s="36" t="s">
        <v>916</v>
      </c>
      <c r="T75" s="37"/>
      <c r="U75" s="37"/>
      <c r="V75" s="37"/>
      <c r="W75" s="37"/>
      <c r="X75" s="37"/>
      <c r="Y75" s="37"/>
      <c r="Z75" s="37"/>
      <c r="AA75" s="37"/>
      <c r="AB75" s="37"/>
      <c r="AC75" s="37"/>
      <c r="AD75" s="37"/>
      <c r="AE75" s="38"/>
      <c r="AF75" s="45"/>
      <c r="AG75" s="46"/>
      <c r="AH75" s="284" t="s">
        <v>492</v>
      </c>
      <c r="AI75" s="286"/>
      <c r="AJ75" s="284" t="s">
        <v>492</v>
      </c>
      <c r="AK75" s="286"/>
      <c r="AL75" s="45"/>
      <c r="AM75" s="46"/>
      <c r="AN75" s="45"/>
      <c r="AO75" s="46"/>
      <c r="AP75" s="284" t="s">
        <v>131</v>
      </c>
      <c r="AQ75" s="285"/>
      <c r="AR75" s="285"/>
      <c r="AS75" s="285"/>
      <c r="AT75" s="285"/>
      <c r="AU75" s="285"/>
      <c r="AV75" s="285"/>
      <c r="AW75" s="286"/>
      <c r="AX75" s="284" t="s">
        <v>917</v>
      </c>
      <c r="AY75" s="285"/>
      <c r="AZ75" s="285"/>
      <c r="BA75" s="285"/>
      <c r="BB75" s="285"/>
      <c r="BC75" s="285"/>
      <c r="BD75" s="285"/>
      <c r="BE75" s="286"/>
      <c r="BF75" s="288"/>
      <c r="BG75" s="288"/>
      <c r="BH75" s="288"/>
      <c r="BI75" s="288"/>
      <c r="BJ75" s="288"/>
      <c r="BK75" s="288"/>
      <c r="BL75" s="288"/>
      <c r="BM75" s="288"/>
      <c r="BN75" s="288"/>
      <c r="BO75" s="10"/>
    </row>
    <row r="76" spans="1:67" s="8" customFormat="1">
      <c r="A76" s="9"/>
      <c r="B76" s="33"/>
      <c r="C76" s="42"/>
      <c r="D76" s="42"/>
      <c r="E76" s="42"/>
      <c r="F76" s="42"/>
      <c r="G76" s="42"/>
      <c r="H76" s="42"/>
      <c r="I76" s="42"/>
      <c r="J76" s="403"/>
      <c r="K76" s="404"/>
      <c r="L76" s="404"/>
      <c r="M76" s="404"/>
      <c r="N76" s="404"/>
      <c r="O76" s="404"/>
      <c r="P76" s="404"/>
      <c r="Q76" s="405"/>
      <c r="R76" s="38">
        <v>2</v>
      </c>
      <c r="S76" s="36" t="s">
        <v>918</v>
      </c>
      <c r="T76" s="37"/>
      <c r="U76" s="37"/>
      <c r="V76" s="37"/>
      <c r="W76" s="37"/>
      <c r="X76" s="37"/>
      <c r="Y76" s="37"/>
      <c r="Z76" s="37"/>
      <c r="AA76" s="37"/>
      <c r="AB76" s="37"/>
      <c r="AC76" s="37"/>
      <c r="AD76" s="37"/>
      <c r="AE76" s="38"/>
      <c r="AF76" s="45"/>
      <c r="AG76" s="46"/>
      <c r="AH76" s="284" t="s">
        <v>492</v>
      </c>
      <c r="AI76" s="286"/>
      <c r="AJ76" s="284" t="s">
        <v>492</v>
      </c>
      <c r="AK76" s="286"/>
      <c r="AL76" s="45"/>
      <c r="AM76" s="46"/>
      <c r="AN76" s="45"/>
      <c r="AO76" s="46"/>
      <c r="AP76" s="284" t="s">
        <v>131</v>
      </c>
      <c r="AQ76" s="285"/>
      <c r="AR76" s="285"/>
      <c r="AS76" s="285"/>
      <c r="AT76" s="285"/>
      <c r="AU76" s="285"/>
      <c r="AV76" s="285"/>
      <c r="AW76" s="286"/>
      <c r="AX76" s="284" t="s">
        <v>246</v>
      </c>
      <c r="AY76" s="285"/>
      <c r="AZ76" s="285"/>
      <c r="BA76" s="285"/>
      <c r="BB76" s="285"/>
      <c r="BC76" s="285"/>
      <c r="BD76" s="285"/>
      <c r="BE76" s="286"/>
      <c r="BF76" s="288"/>
      <c r="BG76" s="288"/>
      <c r="BH76" s="288"/>
      <c r="BI76" s="288"/>
      <c r="BJ76" s="288"/>
      <c r="BK76" s="288"/>
      <c r="BL76" s="288"/>
      <c r="BM76" s="288"/>
      <c r="BN76" s="288"/>
      <c r="BO76" s="10"/>
    </row>
    <row r="77" spans="1:67" s="8" customFormat="1">
      <c r="A77" s="9"/>
      <c r="B77" s="33"/>
      <c r="C77" s="42"/>
      <c r="D77" s="42"/>
      <c r="E77" s="42"/>
      <c r="F77" s="42"/>
      <c r="G77" s="42"/>
      <c r="H77" s="42"/>
      <c r="I77" s="42"/>
      <c r="J77" s="403"/>
      <c r="K77" s="404"/>
      <c r="L77" s="404"/>
      <c r="M77" s="404"/>
      <c r="N77" s="404"/>
      <c r="O77" s="404"/>
      <c r="P77" s="404"/>
      <c r="Q77" s="405"/>
      <c r="R77" s="38">
        <v>3</v>
      </c>
      <c r="S77" s="36" t="s">
        <v>919</v>
      </c>
      <c r="T77" s="37"/>
      <c r="U77" s="37"/>
      <c r="V77" s="37"/>
      <c r="W77" s="37"/>
      <c r="X77" s="37"/>
      <c r="Y77" s="37"/>
      <c r="Z77" s="37"/>
      <c r="AA77" s="37"/>
      <c r="AB77" s="37"/>
      <c r="AC77" s="37"/>
      <c r="AD77" s="37"/>
      <c r="AE77" s="38"/>
      <c r="AF77" s="45"/>
      <c r="AG77" s="46"/>
      <c r="AH77" s="284" t="s">
        <v>492</v>
      </c>
      <c r="AI77" s="286"/>
      <c r="AJ77" s="284" t="s">
        <v>492</v>
      </c>
      <c r="AK77" s="286"/>
      <c r="AL77" s="45"/>
      <c r="AM77" s="46"/>
      <c r="AN77" s="45"/>
      <c r="AO77" s="46"/>
      <c r="AP77" s="284" t="s">
        <v>131</v>
      </c>
      <c r="AQ77" s="285"/>
      <c r="AR77" s="285"/>
      <c r="AS77" s="285"/>
      <c r="AT77" s="285"/>
      <c r="AU77" s="285"/>
      <c r="AV77" s="285"/>
      <c r="AW77" s="286"/>
      <c r="AX77" s="284" t="s">
        <v>914</v>
      </c>
      <c r="AY77" s="285"/>
      <c r="AZ77" s="285"/>
      <c r="BA77" s="285"/>
      <c r="BB77" s="285"/>
      <c r="BC77" s="285"/>
      <c r="BD77" s="285"/>
      <c r="BE77" s="286"/>
      <c r="BF77" s="288"/>
      <c r="BG77" s="288"/>
      <c r="BH77" s="288"/>
      <c r="BI77" s="288"/>
      <c r="BJ77" s="288"/>
      <c r="BK77" s="288"/>
      <c r="BL77" s="288"/>
      <c r="BM77" s="288"/>
      <c r="BN77" s="288"/>
      <c r="BO77" s="10"/>
    </row>
    <row r="78" spans="1:67" s="8" customFormat="1">
      <c r="A78" s="9"/>
      <c r="B78" s="33"/>
      <c r="C78" s="42"/>
      <c r="D78" s="42"/>
      <c r="E78" s="42"/>
      <c r="F78" s="42"/>
      <c r="G78" s="42"/>
      <c r="H78" s="42"/>
      <c r="I78" s="42"/>
      <c r="J78" s="403"/>
      <c r="K78" s="404"/>
      <c r="L78" s="404"/>
      <c r="M78" s="404"/>
      <c r="N78" s="404"/>
      <c r="O78" s="404"/>
      <c r="P78" s="404"/>
      <c r="Q78" s="405"/>
      <c r="R78" s="38">
        <v>4</v>
      </c>
      <c r="S78" s="36" t="s">
        <v>920</v>
      </c>
      <c r="T78" s="37"/>
      <c r="U78" s="37"/>
      <c r="V78" s="37"/>
      <c r="W78" s="37"/>
      <c r="X78" s="37"/>
      <c r="Y78" s="37"/>
      <c r="Z78" s="37"/>
      <c r="AA78" s="37"/>
      <c r="AB78" s="37"/>
      <c r="AC78" s="37"/>
      <c r="AD78" s="37"/>
      <c r="AE78" s="38"/>
      <c r="AF78" s="284"/>
      <c r="AG78" s="286"/>
      <c r="AH78" s="284" t="s">
        <v>492</v>
      </c>
      <c r="AI78" s="286"/>
      <c r="AJ78" s="284" t="s">
        <v>492</v>
      </c>
      <c r="AK78" s="286"/>
      <c r="AL78" s="284"/>
      <c r="AM78" s="286"/>
      <c r="AN78" s="284"/>
      <c r="AO78" s="286"/>
      <c r="AP78" s="284" t="s">
        <v>131</v>
      </c>
      <c r="AQ78" s="285"/>
      <c r="AR78" s="285"/>
      <c r="AS78" s="285"/>
      <c r="AT78" s="285"/>
      <c r="AU78" s="285"/>
      <c r="AV78" s="285"/>
      <c r="AW78" s="286"/>
      <c r="AX78" s="284" t="s">
        <v>882</v>
      </c>
      <c r="AY78" s="285"/>
      <c r="AZ78" s="285"/>
      <c r="BA78" s="285"/>
      <c r="BB78" s="285"/>
      <c r="BC78" s="285"/>
      <c r="BD78" s="285"/>
      <c r="BE78" s="286"/>
      <c r="BF78" s="288"/>
      <c r="BG78" s="288"/>
      <c r="BH78" s="288"/>
      <c r="BI78" s="288"/>
      <c r="BJ78" s="288"/>
      <c r="BK78" s="288"/>
      <c r="BL78" s="288"/>
      <c r="BM78" s="288"/>
      <c r="BN78" s="288"/>
      <c r="BO78" s="10"/>
    </row>
    <row r="79" spans="1:67" s="8" customFormat="1">
      <c r="A79" s="9"/>
      <c r="B79" s="33"/>
      <c r="C79" s="42"/>
      <c r="D79" s="42"/>
      <c r="E79" s="42"/>
      <c r="F79" s="42"/>
      <c r="G79" s="42"/>
      <c r="H79" s="42"/>
      <c r="I79" s="42"/>
      <c r="J79" s="403"/>
      <c r="K79" s="404"/>
      <c r="L79" s="404"/>
      <c r="M79" s="404"/>
      <c r="N79" s="404"/>
      <c r="O79" s="404"/>
      <c r="P79" s="404"/>
      <c r="Q79" s="405"/>
      <c r="R79" s="38">
        <v>5</v>
      </c>
      <c r="S79" s="36" t="s">
        <v>921</v>
      </c>
      <c r="T79" s="37"/>
      <c r="U79" s="37"/>
      <c r="V79" s="37"/>
      <c r="W79" s="37"/>
      <c r="X79" s="37"/>
      <c r="Y79" s="37"/>
      <c r="Z79" s="37"/>
      <c r="AA79" s="37"/>
      <c r="AB79" s="37"/>
      <c r="AC79" s="37"/>
      <c r="AD79" s="37"/>
      <c r="AE79" s="38"/>
      <c r="AF79" s="284"/>
      <c r="AG79" s="286"/>
      <c r="AH79" s="284" t="s">
        <v>492</v>
      </c>
      <c r="AI79" s="286"/>
      <c r="AJ79" s="284" t="s">
        <v>492</v>
      </c>
      <c r="AK79" s="286"/>
      <c r="AL79" s="284"/>
      <c r="AM79" s="286"/>
      <c r="AN79" s="284"/>
      <c r="AO79" s="286"/>
      <c r="AP79" s="284" t="s">
        <v>131</v>
      </c>
      <c r="AQ79" s="285"/>
      <c r="AR79" s="285"/>
      <c r="AS79" s="285"/>
      <c r="AT79" s="285"/>
      <c r="AU79" s="285"/>
      <c r="AV79" s="285"/>
      <c r="AW79" s="286"/>
      <c r="AX79" s="284" t="s">
        <v>882</v>
      </c>
      <c r="AY79" s="285"/>
      <c r="AZ79" s="285"/>
      <c r="BA79" s="285"/>
      <c r="BB79" s="285"/>
      <c r="BC79" s="285"/>
      <c r="BD79" s="285"/>
      <c r="BE79" s="286"/>
      <c r="BF79" s="288"/>
      <c r="BG79" s="288"/>
      <c r="BH79" s="288"/>
      <c r="BI79" s="288"/>
      <c r="BJ79" s="288"/>
      <c r="BK79" s="288"/>
      <c r="BL79" s="288"/>
      <c r="BM79" s="288"/>
      <c r="BN79" s="288"/>
      <c r="BO79" s="10"/>
    </row>
    <row r="80" spans="1:67" s="8" customFormat="1">
      <c r="A80" s="9"/>
      <c r="B80" s="33"/>
      <c r="C80" s="42"/>
      <c r="D80" s="42"/>
      <c r="E80" s="42"/>
      <c r="F80" s="42"/>
      <c r="G80" s="42"/>
      <c r="H80" s="42"/>
      <c r="I80" s="10"/>
      <c r="J80" s="403"/>
      <c r="K80" s="404"/>
      <c r="L80" s="404"/>
      <c r="M80" s="404"/>
      <c r="N80" s="404"/>
      <c r="O80" s="404"/>
      <c r="P80" s="404"/>
      <c r="Q80" s="405"/>
      <c r="R80" s="38">
        <v>6</v>
      </c>
      <c r="S80" s="36" t="s">
        <v>773</v>
      </c>
      <c r="T80" s="37"/>
      <c r="U80" s="37"/>
      <c r="V80" s="37"/>
      <c r="W80" s="37"/>
      <c r="X80" s="37"/>
      <c r="Y80" s="37"/>
      <c r="Z80" s="37"/>
      <c r="AA80" s="37"/>
      <c r="AB80" s="37"/>
      <c r="AC80" s="37"/>
      <c r="AD80" s="37"/>
      <c r="AE80" s="38"/>
      <c r="AF80" s="284"/>
      <c r="AG80" s="286"/>
      <c r="AH80" s="284" t="s">
        <v>492</v>
      </c>
      <c r="AI80" s="286"/>
      <c r="AJ80" s="284" t="s">
        <v>492</v>
      </c>
      <c r="AK80" s="286"/>
      <c r="AL80" s="284"/>
      <c r="AM80" s="286"/>
      <c r="AN80" s="284"/>
      <c r="AO80" s="286"/>
      <c r="AP80" s="284" t="s">
        <v>131</v>
      </c>
      <c r="AQ80" s="285"/>
      <c r="AR80" s="285"/>
      <c r="AS80" s="285"/>
      <c r="AT80" s="285"/>
      <c r="AU80" s="285"/>
      <c r="AV80" s="285"/>
      <c r="AW80" s="286"/>
      <c r="AX80" s="284" t="s">
        <v>882</v>
      </c>
      <c r="AY80" s="285"/>
      <c r="AZ80" s="285"/>
      <c r="BA80" s="285"/>
      <c r="BB80" s="285"/>
      <c r="BC80" s="285"/>
      <c r="BD80" s="285"/>
      <c r="BE80" s="286"/>
      <c r="BF80" s="288"/>
      <c r="BG80" s="288"/>
      <c r="BH80" s="288"/>
      <c r="BI80" s="288"/>
      <c r="BJ80" s="288"/>
      <c r="BK80" s="288"/>
      <c r="BL80" s="288"/>
      <c r="BM80" s="288"/>
      <c r="BN80" s="288"/>
      <c r="BO80" s="10"/>
    </row>
    <row r="81" spans="1:68" s="8" customFormat="1">
      <c r="A81" s="9"/>
      <c r="B81" s="33"/>
      <c r="C81" s="42"/>
      <c r="D81" s="42"/>
      <c r="E81" s="42"/>
      <c r="F81" s="42"/>
      <c r="G81" s="42"/>
      <c r="H81" s="42"/>
      <c r="I81" s="10"/>
      <c r="J81" s="406"/>
      <c r="K81" s="407"/>
      <c r="L81" s="407"/>
      <c r="M81" s="407"/>
      <c r="N81" s="407"/>
      <c r="O81" s="407"/>
      <c r="P81" s="407"/>
      <c r="Q81" s="408"/>
      <c r="R81" s="38">
        <v>7</v>
      </c>
      <c r="S81" s="36" t="s">
        <v>558</v>
      </c>
      <c r="T81" s="37"/>
      <c r="U81" s="37"/>
      <c r="V81" s="37"/>
      <c r="W81" s="37"/>
      <c r="X81" s="37"/>
      <c r="Y81" s="37"/>
      <c r="Z81" s="37"/>
      <c r="AA81" s="37"/>
      <c r="AB81" s="37"/>
      <c r="AC81" s="37"/>
      <c r="AD81" s="37"/>
      <c r="AE81" s="38"/>
      <c r="AF81" s="45"/>
      <c r="AG81" s="46"/>
      <c r="AH81" s="284" t="s">
        <v>492</v>
      </c>
      <c r="AI81" s="286"/>
      <c r="AJ81" s="284" t="s">
        <v>492</v>
      </c>
      <c r="AK81" s="286"/>
      <c r="AL81" s="45"/>
      <c r="AM81" s="46"/>
      <c r="AN81" s="45"/>
      <c r="AO81" s="46"/>
      <c r="AP81" s="284" t="s">
        <v>131</v>
      </c>
      <c r="AQ81" s="285"/>
      <c r="AR81" s="285"/>
      <c r="AS81" s="285"/>
      <c r="AT81" s="285"/>
      <c r="AU81" s="285"/>
      <c r="AV81" s="285"/>
      <c r="AW81" s="286"/>
      <c r="AX81" s="284" t="s">
        <v>882</v>
      </c>
      <c r="AY81" s="285"/>
      <c r="AZ81" s="285"/>
      <c r="BA81" s="285"/>
      <c r="BB81" s="285"/>
      <c r="BC81" s="285"/>
      <c r="BD81" s="285"/>
      <c r="BE81" s="286"/>
      <c r="BF81" s="288"/>
      <c r="BG81" s="288"/>
      <c r="BH81" s="288"/>
      <c r="BI81" s="288"/>
      <c r="BJ81" s="288"/>
      <c r="BK81" s="288"/>
      <c r="BL81" s="288"/>
      <c r="BM81" s="288"/>
      <c r="BN81" s="288"/>
      <c r="BO81" s="10"/>
    </row>
    <row r="82" spans="1:68" s="8" customFormat="1" ht="47.1" customHeight="1">
      <c r="A82" s="9"/>
      <c r="B82" s="33"/>
      <c r="C82" s="42"/>
      <c r="D82" s="42"/>
      <c r="E82" s="42"/>
      <c r="F82" s="42"/>
      <c r="G82" s="42"/>
      <c r="H82" s="42"/>
      <c r="I82" s="10"/>
      <c r="J82" s="427" t="s">
        <v>922</v>
      </c>
      <c r="K82" s="428"/>
      <c r="L82" s="428"/>
      <c r="M82" s="428"/>
      <c r="N82" s="428"/>
      <c r="O82" s="428"/>
      <c r="P82" s="428"/>
      <c r="Q82" s="429"/>
      <c r="R82" s="31">
        <v>1</v>
      </c>
      <c r="S82" s="29" t="s">
        <v>923</v>
      </c>
      <c r="T82" s="30"/>
      <c r="U82" s="37"/>
      <c r="V82" s="37"/>
      <c r="W82" s="37"/>
      <c r="X82" s="37"/>
      <c r="Y82" s="37"/>
      <c r="Z82" s="37"/>
      <c r="AA82" s="37"/>
      <c r="AB82" s="37"/>
      <c r="AC82" s="37"/>
      <c r="AD82" s="37"/>
      <c r="AE82" s="38"/>
      <c r="AF82" s="284" t="s">
        <v>492</v>
      </c>
      <c r="AG82" s="286"/>
      <c r="AH82" s="284" t="s">
        <v>492</v>
      </c>
      <c r="AI82" s="286"/>
      <c r="AJ82" s="284" t="s">
        <v>492</v>
      </c>
      <c r="AK82" s="286"/>
      <c r="AL82" s="45"/>
      <c r="AM82" s="46"/>
      <c r="AN82" s="45"/>
      <c r="AO82" s="46"/>
      <c r="AP82" s="284" t="s">
        <v>131</v>
      </c>
      <c r="AQ82" s="285"/>
      <c r="AR82" s="285"/>
      <c r="AS82" s="285"/>
      <c r="AT82" s="285"/>
      <c r="AU82" s="285"/>
      <c r="AV82" s="285"/>
      <c r="AW82" s="286"/>
      <c r="AX82" s="284" t="s">
        <v>924</v>
      </c>
      <c r="AY82" s="285"/>
      <c r="AZ82" s="285"/>
      <c r="BA82" s="285"/>
      <c r="BB82" s="285"/>
      <c r="BC82" s="285"/>
      <c r="BD82" s="285"/>
      <c r="BE82" s="286"/>
      <c r="BF82" s="288"/>
      <c r="BG82" s="288"/>
      <c r="BH82" s="288"/>
      <c r="BI82" s="288"/>
      <c r="BJ82" s="288"/>
      <c r="BK82" s="288"/>
      <c r="BL82" s="288"/>
      <c r="BM82" s="288"/>
      <c r="BN82" s="288"/>
      <c r="BO82" s="10"/>
    </row>
    <row r="83" spans="1:68" s="8" customFormat="1" ht="42" customHeight="1">
      <c r="A83" s="9"/>
      <c r="B83" s="33"/>
      <c r="C83" s="42"/>
      <c r="D83" s="42"/>
      <c r="E83" s="42"/>
      <c r="F83" s="42"/>
      <c r="G83" s="42"/>
      <c r="H83" s="42"/>
      <c r="I83" s="10"/>
      <c r="J83" s="427" t="s">
        <v>925</v>
      </c>
      <c r="K83" s="428"/>
      <c r="L83" s="428"/>
      <c r="M83" s="428"/>
      <c r="N83" s="428"/>
      <c r="O83" s="428"/>
      <c r="P83" s="428"/>
      <c r="Q83" s="429"/>
      <c r="R83" s="31">
        <v>1</v>
      </c>
      <c r="S83" s="36" t="s">
        <v>926</v>
      </c>
      <c r="T83" s="37"/>
      <c r="U83" s="37"/>
      <c r="V83" s="37"/>
      <c r="W83" s="37"/>
      <c r="X83" s="37"/>
      <c r="Y83" s="37"/>
      <c r="Z83" s="37"/>
      <c r="AA83" s="37"/>
      <c r="AB83" s="37"/>
      <c r="AC83" s="37"/>
      <c r="AD83" s="37"/>
      <c r="AE83" s="38"/>
      <c r="AF83" s="45"/>
      <c r="AG83" s="46"/>
      <c r="AH83" s="284" t="s">
        <v>492</v>
      </c>
      <c r="AI83" s="286"/>
      <c r="AJ83" s="284" t="s">
        <v>492</v>
      </c>
      <c r="AK83" s="286"/>
      <c r="AL83" s="45"/>
      <c r="AM83" s="46"/>
      <c r="AN83" s="45"/>
      <c r="AO83" s="46"/>
      <c r="AP83" s="284" t="s">
        <v>131</v>
      </c>
      <c r="AQ83" s="285"/>
      <c r="AR83" s="285"/>
      <c r="AS83" s="285"/>
      <c r="AT83" s="285"/>
      <c r="AU83" s="285"/>
      <c r="AV83" s="285"/>
      <c r="AW83" s="286"/>
      <c r="AX83" s="284" t="s">
        <v>927</v>
      </c>
      <c r="AY83" s="285"/>
      <c r="AZ83" s="285"/>
      <c r="BA83" s="285"/>
      <c r="BB83" s="285"/>
      <c r="BC83" s="285"/>
      <c r="BD83" s="285"/>
      <c r="BE83" s="286"/>
      <c r="BF83" s="288"/>
      <c r="BG83" s="288"/>
      <c r="BH83" s="288"/>
      <c r="BI83" s="288"/>
      <c r="BJ83" s="288"/>
      <c r="BK83" s="288"/>
      <c r="BL83" s="288"/>
      <c r="BM83" s="288"/>
      <c r="BN83" s="288"/>
      <c r="BO83" s="10"/>
    </row>
    <row r="84" spans="1:68" s="8" customFormat="1">
      <c r="A84" s="9"/>
      <c r="B84" s="33"/>
      <c r="C84" s="42"/>
      <c r="D84" s="42"/>
      <c r="E84" s="42"/>
      <c r="F84" s="42"/>
      <c r="G84" s="42"/>
      <c r="H84" s="42"/>
      <c r="I84" s="10"/>
      <c r="J84" s="400" t="s">
        <v>928</v>
      </c>
      <c r="K84" s="401"/>
      <c r="L84" s="401"/>
      <c r="M84" s="401"/>
      <c r="N84" s="401"/>
      <c r="O84" s="401"/>
      <c r="P84" s="401"/>
      <c r="Q84" s="402"/>
      <c r="R84" s="38">
        <v>1</v>
      </c>
      <c r="S84" s="36" t="s">
        <v>929</v>
      </c>
      <c r="T84" s="37"/>
      <c r="U84" s="37"/>
      <c r="V84" s="37"/>
      <c r="W84" s="37"/>
      <c r="X84" s="37"/>
      <c r="Y84" s="37"/>
      <c r="Z84" s="37"/>
      <c r="AA84" s="37"/>
      <c r="AB84" s="37"/>
      <c r="AC84" s="37"/>
      <c r="AD84" s="37"/>
      <c r="AE84" s="38"/>
      <c r="AF84" s="45"/>
      <c r="AG84" s="46"/>
      <c r="AH84" s="284" t="s">
        <v>492</v>
      </c>
      <c r="AI84" s="286"/>
      <c r="AJ84" s="284" t="s">
        <v>492</v>
      </c>
      <c r="AK84" s="286"/>
      <c r="AL84" s="45"/>
      <c r="AM84" s="46"/>
      <c r="AN84" s="45"/>
      <c r="AO84" s="46"/>
      <c r="AP84" s="284" t="s">
        <v>131</v>
      </c>
      <c r="AQ84" s="285"/>
      <c r="AR84" s="285"/>
      <c r="AS84" s="285"/>
      <c r="AT84" s="285"/>
      <c r="AU84" s="285"/>
      <c r="AV84" s="285"/>
      <c r="AW84" s="286"/>
      <c r="AX84" s="284" t="s">
        <v>863</v>
      </c>
      <c r="AY84" s="285"/>
      <c r="AZ84" s="285"/>
      <c r="BA84" s="285"/>
      <c r="BB84" s="285"/>
      <c r="BC84" s="285"/>
      <c r="BD84" s="285"/>
      <c r="BE84" s="286"/>
      <c r="BF84" s="288"/>
      <c r="BG84" s="288"/>
      <c r="BH84" s="288"/>
      <c r="BI84" s="288"/>
      <c r="BJ84" s="288"/>
      <c r="BK84" s="288"/>
      <c r="BL84" s="288"/>
      <c r="BM84" s="288"/>
      <c r="BN84" s="288"/>
      <c r="BO84" s="10"/>
    </row>
    <row r="85" spans="1:68" s="8" customFormat="1">
      <c r="A85" s="9"/>
      <c r="B85" s="33"/>
      <c r="C85" s="42"/>
      <c r="D85" s="42"/>
      <c r="E85" s="42"/>
      <c r="F85" s="42"/>
      <c r="G85" s="42"/>
      <c r="H85" s="42"/>
      <c r="I85" s="10"/>
      <c r="J85" s="403"/>
      <c r="K85" s="404"/>
      <c r="L85" s="404"/>
      <c r="M85" s="404"/>
      <c r="N85" s="404"/>
      <c r="O85" s="404"/>
      <c r="P85" s="404"/>
      <c r="Q85" s="405"/>
      <c r="R85" s="38">
        <v>2</v>
      </c>
      <c r="S85" s="36" t="s">
        <v>930</v>
      </c>
      <c r="T85" s="37"/>
      <c r="U85" s="37"/>
      <c r="V85" s="37"/>
      <c r="W85" s="37"/>
      <c r="X85" s="37"/>
      <c r="Y85" s="37"/>
      <c r="Z85" s="37"/>
      <c r="AA85" s="37"/>
      <c r="AB85" s="37"/>
      <c r="AC85" s="37"/>
      <c r="AD85" s="37"/>
      <c r="AE85" s="38"/>
      <c r="AF85" s="45"/>
      <c r="AG85" s="46"/>
      <c r="AH85" s="284" t="s">
        <v>492</v>
      </c>
      <c r="AI85" s="286"/>
      <c r="AJ85" s="284" t="s">
        <v>492</v>
      </c>
      <c r="AK85" s="286"/>
      <c r="AL85" s="45"/>
      <c r="AM85" s="46"/>
      <c r="AN85" s="45"/>
      <c r="AO85" s="46"/>
      <c r="AP85" s="284" t="s">
        <v>131</v>
      </c>
      <c r="AQ85" s="285"/>
      <c r="AR85" s="285"/>
      <c r="AS85" s="285"/>
      <c r="AT85" s="285"/>
      <c r="AU85" s="285"/>
      <c r="AV85" s="285"/>
      <c r="AW85" s="286"/>
      <c r="AX85" s="284" t="s">
        <v>931</v>
      </c>
      <c r="AY85" s="285"/>
      <c r="AZ85" s="285"/>
      <c r="BA85" s="285"/>
      <c r="BB85" s="285"/>
      <c r="BC85" s="285"/>
      <c r="BD85" s="285"/>
      <c r="BE85" s="286"/>
      <c r="BF85" s="288"/>
      <c r="BG85" s="288"/>
      <c r="BH85" s="288"/>
      <c r="BI85" s="288"/>
      <c r="BJ85" s="288"/>
      <c r="BK85" s="288"/>
      <c r="BL85" s="288"/>
      <c r="BM85" s="288"/>
      <c r="BN85" s="288"/>
      <c r="BO85" s="10"/>
    </row>
    <row r="86" spans="1:68" s="8" customFormat="1">
      <c r="A86" s="9"/>
      <c r="B86" s="33"/>
      <c r="C86" s="42"/>
      <c r="D86" s="42"/>
      <c r="E86" s="42"/>
      <c r="F86" s="42"/>
      <c r="G86" s="42"/>
      <c r="H86" s="42"/>
      <c r="I86" s="10"/>
      <c r="J86" s="403"/>
      <c r="K86" s="404"/>
      <c r="L86" s="404"/>
      <c r="M86" s="404"/>
      <c r="N86" s="404"/>
      <c r="O86" s="404"/>
      <c r="P86" s="404"/>
      <c r="Q86" s="405"/>
      <c r="R86" s="38">
        <v>3</v>
      </c>
      <c r="S86" s="36" t="s">
        <v>932</v>
      </c>
      <c r="T86" s="37"/>
      <c r="U86" s="37"/>
      <c r="V86" s="37"/>
      <c r="W86" s="37"/>
      <c r="X86" s="37"/>
      <c r="Y86" s="37"/>
      <c r="Z86" s="37"/>
      <c r="AA86" s="37"/>
      <c r="AB86" s="37"/>
      <c r="AC86" s="37"/>
      <c r="AD86" s="37"/>
      <c r="AE86" s="38"/>
      <c r="AF86" s="45"/>
      <c r="AG86" s="46"/>
      <c r="AH86" s="284" t="s">
        <v>492</v>
      </c>
      <c r="AI86" s="286"/>
      <c r="AJ86" s="284" t="s">
        <v>492</v>
      </c>
      <c r="AK86" s="286"/>
      <c r="AL86" s="45"/>
      <c r="AM86" s="46"/>
      <c r="AN86" s="45"/>
      <c r="AO86" s="46"/>
      <c r="AP86" s="284" t="s">
        <v>131</v>
      </c>
      <c r="AQ86" s="285"/>
      <c r="AR86" s="285"/>
      <c r="AS86" s="285"/>
      <c r="AT86" s="285"/>
      <c r="AU86" s="285"/>
      <c r="AV86" s="285"/>
      <c r="AW86" s="286"/>
      <c r="AX86" s="284" t="s">
        <v>889</v>
      </c>
      <c r="AY86" s="285"/>
      <c r="AZ86" s="285"/>
      <c r="BA86" s="285"/>
      <c r="BB86" s="285"/>
      <c r="BC86" s="285"/>
      <c r="BD86" s="285"/>
      <c r="BE86" s="286"/>
      <c r="BF86" s="288"/>
      <c r="BG86" s="288"/>
      <c r="BH86" s="288"/>
      <c r="BI86" s="288"/>
      <c r="BJ86" s="288"/>
      <c r="BK86" s="288"/>
      <c r="BL86" s="288"/>
      <c r="BM86" s="288"/>
      <c r="BN86" s="288"/>
      <c r="BO86" s="10"/>
    </row>
    <row r="87" spans="1:68" s="8" customFormat="1">
      <c r="A87" s="9"/>
      <c r="B87" s="33"/>
      <c r="C87" s="42"/>
      <c r="D87" s="42"/>
      <c r="E87" s="42"/>
      <c r="F87" s="42"/>
      <c r="G87" s="42"/>
      <c r="H87" s="42"/>
      <c r="I87" s="10"/>
      <c r="J87" s="403"/>
      <c r="K87" s="404"/>
      <c r="L87" s="404"/>
      <c r="M87" s="404"/>
      <c r="N87" s="404"/>
      <c r="O87" s="404"/>
      <c r="P87" s="404"/>
      <c r="Q87" s="405"/>
      <c r="R87" s="38">
        <v>4</v>
      </c>
      <c r="S87" s="36" t="s">
        <v>933</v>
      </c>
      <c r="T87" s="37"/>
      <c r="U87" s="37"/>
      <c r="V87" s="37"/>
      <c r="W87" s="37"/>
      <c r="X87" s="37"/>
      <c r="Y87" s="37"/>
      <c r="Z87" s="37"/>
      <c r="AA87" s="37"/>
      <c r="AB87" s="37"/>
      <c r="AC87" s="37"/>
      <c r="AD87" s="37"/>
      <c r="AE87" s="38"/>
      <c r="AF87" s="45"/>
      <c r="AG87" s="46"/>
      <c r="AH87" s="284" t="s">
        <v>492</v>
      </c>
      <c r="AI87" s="286"/>
      <c r="AJ87" s="284" t="s">
        <v>492</v>
      </c>
      <c r="AK87" s="286"/>
      <c r="AL87" s="45"/>
      <c r="AM87" s="46"/>
      <c r="AN87" s="45"/>
      <c r="AO87" s="46"/>
      <c r="AP87" s="284" t="s">
        <v>131</v>
      </c>
      <c r="AQ87" s="285"/>
      <c r="AR87" s="285"/>
      <c r="AS87" s="285"/>
      <c r="AT87" s="285"/>
      <c r="AU87" s="285"/>
      <c r="AV87" s="285"/>
      <c r="AW87" s="286"/>
      <c r="AX87" s="284" t="s">
        <v>934</v>
      </c>
      <c r="AY87" s="285"/>
      <c r="AZ87" s="285"/>
      <c r="BA87" s="285"/>
      <c r="BB87" s="285"/>
      <c r="BC87" s="285"/>
      <c r="BD87" s="285"/>
      <c r="BE87" s="286"/>
      <c r="BF87" s="288"/>
      <c r="BG87" s="288"/>
      <c r="BH87" s="288"/>
      <c r="BI87" s="288"/>
      <c r="BJ87" s="288"/>
      <c r="BK87" s="288"/>
      <c r="BL87" s="288"/>
      <c r="BM87" s="288"/>
      <c r="BN87" s="288"/>
      <c r="BO87" s="10"/>
    </row>
    <row r="88" spans="1:68" s="8" customFormat="1">
      <c r="A88" s="9"/>
      <c r="B88" s="33"/>
      <c r="C88" s="42"/>
      <c r="D88" s="42"/>
      <c r="E88" s="42"/>
      <c r="F88" s="42"/>
      <c r="G88" s="42"/>
      <c r="H88" s="42"/>
      <c r="I88" s="10"/>
      <c r="J88" s="406"/>
      <c r="K88" s="407"/>
      <c r="L88" s="407"/>
      <c r="M88" s="407"/>
      <c r="N88" s="407"/>
      <c r="O88" s="407"/>
      <c r="P88" s="407"/>
      <c r="Q88" s="408"/>
      <c r="R88" s="38">
        <v>5</v>
      </c>
      <c r="S88" s="36" t="s">
        <v>935</v>
      </c>
      <c r="T88" s="37"/>
      <c r="U88" s="37"/>
      <c r="V88" s="37"/>
      <c r="W88" s="37"/>
      <c r="X88" s="37"/>
      <c r="Y88" s="37"/>
      <c r="Z88" s="37"/>
      <c r="AA88" s="37"/>
      <c r="AB88" s="37"/>
      <c r="AC88" s="37"/>
      <c r="AD88" s="37"/>
      <c r="AE88" s="38"/>
      <c r="AF88" s="45"/>
      <c r="AG88" s="46"/>
      <c r="AH88" s="284" t="s">
        <v>492</v>
      </c>
      <c r="AI88" s="286"/>
      <c r="AJ88" s="284" t="s">
        <v>492</v>
      </c>
      <c r="AK88" s="286"/>
      <c r="AL88" s="45"/>
      <c r="AM88" s="46"/>
      <c r="AN88" s="45"/>
      <c r="AO88" s="46"/>
      <c r="AP88" s="284" t="s">
        <v>131</v>
      </c>
      <c r="AQ88" s="285"/>
      <c r="AR88" s="285"/>
      <c r="AS88" s="285"/>
      <c r="AT88" s="285"/>
      <c r="AU88" s="285"/>
      <c r="AV88" s="285"/>
      <c r="AW88" s="286"/>
      <c r="AX88" s="284" t="s">
        <v>936</v>
      </c>
      <c r="AY88" s="285"/>
      <c r="AZ88" s="285"/>
      <c r="BA88" s="285"/>
      <c r="BB88" s="285"/>
      <c r="BC88" s="285"/>
      <c r="BD88" s="285"/>
      <c r="BE88" s="286"/>
      <c r="BF88" s="288"/>
      <c r="BG88" s="288"/>
      <c r="BH88" s="288"/>
      <c r="BI88" s="288"/>
      <c r="BJ88" s="288"/>
      <c r="BK88" s="288"/>
      <c r="BL88" s="288"/>
      <c r="BM88" s="288"/>
      <c r="BN88" s="288"/>
      <c r="BO88" s="10"/>
    </row>
    <row r="89" spans="1:68" s="8" customFormat="1" ht="30.6" customHeight="1">
      <c r="A89" s="9"/>
      <c r="B89" s="33"/>
      <c r="C89" s="42"/>
      <c r="D89" s="42"/>
      <c r="E89" s="42"/>
      <c r="F89" s="42"/>
      <c r="G89" s="42"/>
      <c r="H89" s="42"/>
      <c r="I89" s="10"/>
      <c r="J89" s="400" t="s">
        <v>937</v>
      </c>
      <c r="K89" s="401"/>
      <c r="L89" s="401"/>
      <c r="M89" s="401"/>
      <c r="N89" s="401"/>
      <c r="O89" s="401"/>
      <c r="P89" s="401"/>
      <c r="Q89" s="402"/>
      <c r="R89" s="38">
        <v>1</v>
      </c>
      <c r="S89" s="36" t="s">
        <v>938</v>
      </c>
      <c r="T89" s="37"/>
      <c r="U89" s="37"/>
      <c r="V89" s="37"/>
      <c r="W89" s="37"/>
      <c r="X89" s="37"/>
      <c r="Y89" s="37"/>
      <c r="Z89" s="37"/>
      <c r="AA89" s="37"/>
      <c r="AB89" s="37"/>
      <c r="AC89" s="37"/>
      <c r="AD89" s="37"/>
      <c r="AE89" s="38"/>
      <c r="AF89" s="45"/>
      <c r="AG89" s="46"/>
      <c r="AH89" s="284" t="s">
        <v>492</v>
      </c>
      <c r="AI89" s="286"/>
      <c r="AJ89" s="284" t="s">
        <v>492</v>
      </c>
      <c r="AK89" s="286"/>
      <c r="AL89" s="45"/>
      <c r="AM89" s="46"/>
      <c r="AN89" s="45"/>
      <c r="AO89" s="46"/>
      <c r="AP89" s="284" t="s">
        <v>131</v>
      </c>
      <c r="AQ89" s="285"/>
      <c r="AR89" s="285"/>
      <c r="AS89" s="285"/>
      <c r="AT89" s="285"/>
      <c r="AU89" s="285"/>
      <c r="AV89" s="285"/>
      <c r="AW89" s="286"/>
      <c r="AX89" s="333" t="s">
        <v>939</v>
      </c>
      <c r="AY89" s="358"/>
      <c r="AZ89" s="358"/>
      <c r="BA89" s="358"/>
      <c r="BB89" s="358"/>
      <c r="BC89" s="358"/>
      <c r="BD89" s="358"/>
      <c r="BE89" s="359"/>
      <c r="BF89" s="288"/>
      <c r="BG89" s="288"/>
      <c r="BH89" s="288"/>
      <c r="BI89" s="288"/>
      <c r="BJ89" s="288"/>
      <c r="BK89" s="288"/>
      <c r="BL89" s="288"/>
      <c r="BM89" s="288"/>
      <c r="BN89" s="288"/>
      <c r="BO89" s="10"/>
    </row>
    <row r="90" spans="1:68" s="8" customFormat="1" ht="44.45" customHeight="1">
      <c r="A90" s="9"/>
      <c r="B90" s="33"/>
      <c r="C90" s="42"/>
      <c r="D90" s="42"/>
      <c r="E90" s="42"/>
      <c r="F90" s="42"/>
      <c r="G90" s="42"/>
      <c r="H90" s="42"/>
      <c r="I90" s="10"/>
      <c r="J90" s="403"/>
      <c r="K90" s="404"/>
      <c r="L90" s="404"/>
      <c r="M90" s="404"/>
      <c r="N90" s="404"/>
      <c r="O90" s="404"/>
      <c r="P90" s="404"/>
      <c r="Q90" s="405"/>
      <c r="R90" s="38">
        <v>2</v>
      </c>
      <c r="S90" s="36" t="s">
        <v>940</v>
      </c>
      <c r="T90" s="37"/>
      <c r="U90" s="37"/>
      <c r="V90" s="37"/>
      <c r="W90" s="37"/>
      <c r="X90" s="37"/>
      <c r="Y90" s="37"/>
      <c r="Z90" s="37"/>
      <c r="AA90" s="37"/>
      <c r="AB90" s="37"/>
      <c r="AC90" s="37"/>
      <c r="AD90" s="37"/>
      <c r="AE90" s="38"/>
      <c r="AF90" s="45"/>
      <c r="AG90" s="46"/>
      <c r="AH90" s="284" t="s">
        <v>492</v>
      </c>
      <c r="AI90" s="286"/>
      <c r="AJ90" s="284" t="s">
        <v>492</v>
      </c>
      <c r="AK90" s="286"/>
      <c r="AL90" s="45"/>
      <c r="AM90" s="46"/>
      <c r="AN90" s="45"/>
      <c r="AO90" s="46"/>
      <c r="AP90" s="284" t="s">
        <v>131</v>
      </c>
      <c r="AQ90" s="285"/>
      <c r="AR90" s="285"/>
      <c r="AS90" s="285"/>
      <c r="AT90" s="285"/>
      <c r="AU90" s="285"/>
      <c r="AV90" s="285"/>
      <c r="AW90" s="286"/>
      <c r="AX90" s="333" t="s">
        <v>941</v>
      </c>
      <c r="AY90" s="358"/>
      <c r="AZ90" s="358"/>
      <c r="BA90" s="358"/>
      <c r="BB90" s="358"/>
      <c r="BC90" s="358"/>
      <c r="BD90" s="358"/>
      <c r="BE90" s="359"/>
      <c r="BF90" s="288"/>
      <c r="BG90" s="288"/>
      <c r="BH90" s="288"/>
      <c r="BI90" s="288"/>
      <c r="BJ90" s="288"/>
      <c r="BK90" s="288"/>
      <c r="BL90" s="288"/>
      <c r="BM90" s="288"/>
      <c r="BN90" s="288"/>
      <c r="BO90" s="10"/>
    </row>
    <row r="91" spans="1:68" s="8" customFormat="1" ht="44.1" customHeight="1">
      <c r="A91" s="9"/>
      <c r="B91" s="33"/>
      <c r="C91" s="42"/>
      <c r="D91" s="42"/>
      <c r="E91" s="42"/>
      <c r="F91" s="42"/>
      <c r="G91" s="42"/>
      <c r="H91" s="42"/>
      <c r="I91" s="10"/>
      <c r="J91" s="403"/>
      <c r="K91" s="404"/>
      <c r="L91" s="404"/>
      <c r="M91" s="404"/>
      <c r="N91" s="404"/>
      <c r="O91" s="404"/>
      <c r="P91" s="404"/>
      <c r="Q91" s="405"/>
      <c r="R91" s="38">
        <v>3</v>
      </c>
      <c r="S91" s="36" t="s">
        <v>942</v>
      </c>
      <c r="T91" s="37"/>
      <c r="U91" s="37"/>
      <c r="V91" s="37"/>
      <c r="W91" s="37"/>
      <c r="X91" s="37"/>
      <c r="Y91" s="37"/>
      <c r="Z91" s="37"/>
      <c r="AA91" s="37"/>
      <c r="AB91" s="37"/>
      <c r="AC91" s="37"/>
      <c r="AD91" s="37"/>
      <c r="AE91" s="38"/>
      <c r="AF91" s="45"/>
      <c r="AG91" s="46"/>
      <c r="AH91" s="284" t="s">
        <v>492</v>
      </c>
      <c r="AI91" s="286"/>
      <c r="AJ91" s="284" t="s">
        <v>492</v>
      </c>
      <c r="AK91" s="286"/>
      <c r="AL91" s="45"/>
      <c r="AM91" s="46"/>
      <c r="AN91" s="45"/>
      <c r="AO91" s="46"/>
      <c r="AP91" s="284" t="s">
        <v>131</v>
      </c>
      <c r="AQ91" s="285"/>
      <c r="AR91" s="285"/>
      <c r="AS91" s="285"/>
      <c r="AT91" s="285"/>
      <c r="AU91" s="285"/>
      <c r="AV91" s="285"/>
      <c r="AW91" s="286"/>
      <c r="AX91" s="333" t="s">
        <v>943</v>
      </c>
      <c r="AY91" s="358"/>
      <c r="AZ91" s="358"/>
      <c r="BA91" s="358"/>
      <c r="BB91" s="358"/>
      <c r="BC91" s="358"/>
      <c r="BD91" s="358"/>
      <c r="BE91" s="359"/>
      <c r="BF91" s="288"/>
      <c r="BG91" s="288"/>
      <c r="BH91" s="288"/>
      <c r="BI91" s="288"/>
      <c r="BJ91" s="288"/>
      <c r="BK91" s="288"/>
      <c r="BL91" s="288"/>
      <c r="BM91" s="288"/>
      <c r="BN91" s="288"/>
      <c r="BO91" s="10"/>
    </row>
    <row r="92" spans="1:68" s="8" customFormat="1">
      <c r="A92" s="9"/>
      <c r="B92" s="33"/>
      <c r="C92" s="42"/>
      <c r="D92" s="42"/>
      <c r="E92" s="42"/>
      <c r="F92" s="42"/>
      <c r="G92" s="42"/>
      <c r="H92" s="42"/>
      <c r="I92" s="10"/>
      <c r="J92" s="406"/>
      <c r="K92" s="407"/>
      <c r="L92" s="407"/>
      <c r="M92" s="407"/>
      <c r="N92" s="407"/>
      <c r="O92" s="407"/>
      <c r="P92" s="407"/>
      <c r="Q92" s="408"/>
      <c r="R92" s="31">
        <v>4</v>
      </c>
      <c r="S92" s="36" t="s">
        <v>944</v>
      </c>
      <c r="T92" s="37"/>
      <c r="U92" s="37"/>
      <c r="V92" s="37"/>
      <c r="W92" s="37"/>
      <c r="X92" s="37"/>
      <c r="Y92" s="37"/>
      <c r="Z92" s="37"/>
      <c r="AA92" s="37"/>
      <c r="AB92" s="37"/>
      <c r="AC92" s="37"/>
      <c r="AD92" s="37"/>
      <c r="AE92" s="38"/>
      <c r="AF92" s="45"/>
      <c r="AG92" s="46"/>
      <c r="AH92" s="284" t="s">
        <v>492</v>
      </c>
      <c r="AI92" s="286"/>
      <c r="AJ92" s="284" t="s">
        <v>492</v>
      </c>
      <c r="AK92" s="286"/>
      <c r="AL92" s="45"/>
      <c r="AM92" s="46"/>
      <c r="AN92" s="45"/>
      <c r="AO92" s="46"/>
      <c r="AP92" s="284" t="s">
        <v>131</v>
      </c>
      <c r="AQ92" s="285"/>
      <c r="AR92" s="285"/>
      <c r="AS92" s="285"/>
      <c r="AT92" s="285"/>
      <c r="AU92" s="285"/>
      <c r="AV92" s="285"/>
      <c r="AW92" s="286"/>
      <c r="AX92" s="333" t="s">
        <v>945</v>
      </c>
      <c r="AY92" s="358"/>
      <c r="AZ92" s="358"/>
      <c r="BA92" s="358"/>
      <c r="BB92" s="358"/>
      <c r="BC92" s="358"/>
      <c r="BD92" s="358"/>
      <c r="BE92" s="359"/>
      <c r="BF92" s="288"/>
      <c r="BG92" s="288"/>
      <c r="BH92" s="288"/>
      <c r="BI92" s="288"/>
      <c r="BJ92" s="288"/>
      <c r="BK92" s="288"/>
      <c r="BL92" s="288"/>
      <c r="BM92" s="288"/>
      <c r="BN92" s="288"/>
      <c r="BO92" s="10"/>
    </row>
    <row r="93" spans="1:68" s="8" customFormat="1">
      <c r="A93" s="9"/>
      <c r="B93" s="33"/>
      <c r="C93" s="42"/>
      <c r="D93" s="42"/>
      <c r="E93" s="42"/>
      <c r="F93" s="42"/>
      <c r="G93" s="42"/>
      <c r="H93" s="42"/>
      <c r="I93" s="10"/>
      <c r="J93" s="400" t="s">
        <v>946</v>
      </c>
      <c r="K93" s="401"/>
      <c r="L93" s="401"/>
      <c r="M93" s="401"/>
      <c r="N93" s="401"/>
      <c r="O93" s="401"/>
      <c r="P93" s="401"/>
      <c r="Q93" s="402"/>
      <c r="R93" s="38">
        <v>1</v>
      </c>
      <c r="S93" s="36" t="s">
        <v>947</v>
      </c>
      <c r="T93" s="37"/>
      <c r="U93" s="37"/>
      <c r="V93" s="37"/>
      <c r="W93" s="37"/>
      <c r="X93" s="37"/>
      <c r="Y93" s="37"/>
      <c r="Z93" s="37"/>
      <c r="AA93" s="37"/>
      <c r="AB93" s="37"/>
      <c r="AC93" s="37"/>
      <c r="AD93" s="37"/>
      <c r="AE93" s="38"/>
      <c r="AF93" s="45"/>
      <c r="AG93" s="46"/>
      <c r="AH93" s="284" t="s">
        <v>492</v>
      </c>
      <c r="AI93" s="286"/>
      <c r="AJ93" s="284" t="s">
        <v>492</v>
      </c>
      <c r="AK93" s="286"/>
      <c r="AL93" s="45"/>
      <c r="AM93" s="46"/>
      <c r="AN93" s="45"/>
      <c r="AO93" s="46"/>
      <c r="AP93" s="284" t="s">
        <v>131</v>
      </c>
      <c r="AQ93" s="285"/>
      <c r="AR93" s="285"/>
      <c r="AS93" s="285"/>
      <c r="AT93" s="285"/>
      <c r="AU93" s="285"/>
      <c r="AV93" s="285"/>
      <c r="AW93" s="286"/>
      <c r="AX93" s="333" t="s">
        <v>948</v>
      </c>
      <c r="AY93" s="358"/>
      <c r="AZ93" s="358"/>
      <c r="BA93" s="358"/>
      <c r="BB93" s="358"/>
      <c r="BC93" s="358"/>
      <c r="BD93" s="358"/>
      <c r="BE93" s="359"/>
      <c r="BF93" s="288"/>
      <c r="BG93" s="288"/>
      <c r="BH93" s="288"/>
      <c r="BI93" s="288"/>
      <c r="BJ93" s="288"/>
      <c r="BK93" s="288"/>
      <c r="BL93" s="288"/>
      <c r="BM93" s="288"/>
      <c r="BN93" s="288"/>
      <c r="BO93" s="10"/>
    </row>
    <row r="94" spans="1:68" s="8" customFormat="1">
      <c r="A94" s="9"/>
      <c r="B94" s="33"/>
      <c r="C94" s="42"/>
      <c r="D94" s="42"/>
      <c r="E94" s="42"/>
      <c r="F94" s="42"/>
      <c r="G94" s="42"/>
      <c r="H94" s="42"/>
      <c r="I94" s="10"/>
      <c r="J94" s="406"/>
      <c r="K94" s="407"/>
      <c r="L94" s="407"/>
      <c r="M94" s="407"/>
      <c r="N94" s="407"/>
      <c r="O94" s="407"/>
      <c r="P94" s="407"/>
      <c r="Q94" s="408"/>
      <c r="R94" s="38">
        <v>2</v>
      </c>
      <c r="S94" s="36" t="s">
        <v>949</v>
      </c>
      <c r="T94" s="37"/>
      <c r="U94" s="37"/>
      <c r="V94" s="37"/>
      <c r="W94" s="37"/>
      <c r="X94" s="37"/>
      <c r="Y94" s="37"/>
      <c r="Z94" s="37"/>
      <c r="AA94" s="37"/>
      <c r="AB94" s="37"/>
      <c r="AC94" s="37"/>
      <c r="AD94" s="37"/>
      <c r="AE94" s="38"/>
      <c r="AF94" s="45"/>
      <c r="AG94" s="46"/>
      <c r="AH94" s="284" t="s">
        <v>492</v>
      </c>
      <c r="AI94" s="286"/>
      <c r="AJ94" s="284" t="s">
        <v>492</v>
      </c>
      <c r="AK94" s="286"/>
      <c r="AL94" s="45"/>
      <c r="AM94" s="46"/>
      <c r="AN94" s="45"/>
      <c r="AO94" s="46"/>
      <c r="AP94" s="284" t="s">
        <v>201</v>
      </c>
      <c r="AQ94" s="285"/>
      <c r="AR94" s="285"/>
      <c r="AS94" s="285"/>
      <c r="AT94" s="285"/>
      <c r="AU94" s="285"/>
      <c r="AV94" s="285"/>
      <c r="AW94" s="286"/>
      <c r="AX94" s="284" t="s">
        <v>201</v>
      </c>
      <c r="AY94" s="285"/>
      <c r="AZ94" s="285"/>
      <c r="BA94" s="285"/>
      <c r="BB94" s="285"/>
      <c r="BC94" s="285"/>
      <c r="BD94" s="285"/>
      <c r="BE94" s="286"/>
      <c r="BF94" s="288"/>
      <c r="BG94" s="288"/>
      <c r="BH94" s="288"/>
      <c r="BI94" s="288"/>
      <c r="BJ94" s="288"/>
      <c r="BK94" s="288"/>
      <c r="BL94" s="288"/>
      <c r="BM94" s="288"/>
      <c r="BN94" s="288"/>
      <c r="BO94" s="10"/>
    </row>
    <row r="95" spans="1:68" s="8" customFormat="1">
      <c r="A95" s="9"/>
      <c r="B95" s="40" t="s">
        <v>950</v>
      </c>
      <c r="C95" s="39"/>
      <c r="D95" s="39"/>
      <c r="E95" s="39"/>
      <c r="F95" s="39"/>
      <c r="G95" s="39"/>
      <c r="H95" s="39"/>
      <c r="I95" s="39"/>
      <c r="J95" s="39"/>
      <c r="K95" s="39"/>
      <c r="L95" s="39"/>
      <c r="M95" s="39"/>
      <c r="N95" s="39"/>
      <c r="O95" s="39"/>
      <c r="P95" s="39"/>
      <c r="Q95" s="39"/>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8"/>
      <c r="BF95" s="27"/>
      <c r="BG95" s="27"/>
      <c r="BH95" s="27"/>
      <c r="BI95" s="27"/>
      <c r="BJ95" s="27"/>
      <c r="BK95" s="27"/>
      <c r="BL95" s="27"/>
      <c r="BM95" s="27"/>
      <c r="BN95" s="28"/>
      <c r="BO95" s="10"/>
      <c r="BP95" s="11"/>
    </row>
    <row r="96" spans="1:68" s="8" customFormat="1">
      <c r="A96" s="9"/>
      <c r="B96" s="29" t="s">
        <v>951</v>
      </c>
      <c r="C96" s="30"/>
      <c r="D96" s="30"/>
      <c r="E96" s="30"/>
      <c r="F96" s="30"/>
      <c r="G96" s="30"/>
      <c r="H96" s="30"/>
      <c r="I96" s="31"/>
      <c r="J96" s="29" t="s">
        <v>952</v>
      </c>
      <c r="K96" s="30"/>
      <c r="L96" s="30"/>
      <c r="M96" s="30"/>
      <c r="N96" s="30"/>
      <c r="O96" s="30"/>
      <c r="P96" s="30"/>
      <c r="Q96" s="31"/>
      <c r="R96" s="38">
        <v>1</v>
      </c>
      <c r="S96" s="412" t="s">
        <v>953</v>
      </c>
      <c r="T96" s="434"/>
      <c r="U96" s="434"/>
      <c r="V96" s="434"/>
      <c r="W96" s="434"/>
      <c r="X96" s="434"/>
      <c r="Y96" s="434"/>
      <c r="Z96" s="434"/>
      <c r="AA96" s="434"/>
      <c r="AB96" s="434"/>
      <c r="AC96" s="434"/>
      <c r="AD96" s="434"/>
      <c r="AE96" s="435"/>
      <c r="AF96" s="284" t="s">
        <v>492</v>
      </c>
      <c r="AG96" s="286"/>
      <c r="AH96" s="284"/>
      <c r="AI96" s="286"/>
      <c r="AJ96" s="284"/>
      <c r="AK96" s="286"/>
      <c r="AL96" s="284"/>
      <c r="AM96" s="286"/>
      <c r="AN96" s="284"/>
      <c r="AO96" s="286"/>
      <c r="AP96" s="284" t="s">
        <v>201</v>
      </c>
      <c r="AQ96" s="285"/>
      <c r="AR96" s="285"/>
      <c r="AS96" s="285"/>
      <c r="AT96" s="285"/>
      <c r="AU96" s="285"/>
      <c r="AV96" s="285"/>
      <c r="AW96" s="286"/>
      <c r="AX96" s="287" t="s">
        <v>143</v>
      </c>
      <c r="AY96" s="287"/>
      <c r="AZ96" s="287"/>
      <c r="BA96" s="287"/>
      <c r="BB96" s="287"/>
      <c r="BC96" s="287"/>
      <c r="BD96" s="287"/>
      <c r="BE96" s="284"/>
      <c r="BF96" s="288"/>
      <c r="BG96" s="288"/>
      <c r="BH96" s="288"/>
      <c r="BI96" s="288"/>
      <c r="BJ96" s="288"/>
      <c r="BK96" s="288"/>
      <c r="BL96" s="288"/>
      <c r="BM96" s="288"/>
      <c r="BN96" s="288"/>
      <c r="BO96" s="10"/>
      <c r="BP96" s="11"/>
    </row>
    <row r="97" spans="1:68" s="8" customFormat="1">
      <c r="A97" s="9"/>
      <c r="B97" s="33"/>
      <c r="C97" s="42"/>
      <c r="D97" s="42"/>
      <c r="E97" s="42"/>
      <c r="F97" s="42"/>
      <c r="G97" s="42"/>
      <c r="H97" s="42"/>
      <c r="I97" s="42"/>
      <c r="J97" s="32"/>
      <c r="K97" s="42"/>
      <c r="L97" s="42"/>
      <c r="M97" s="42"/>
      <c r="N97" s="42"/>
      <c r="O97" s="42"/>
      <c r="P97" s="42"/>
      <c r="Q97" s="10"/>
      <c r="R97" s="38">
        <v>2</v>
      </c>
      <c r="S97" s="412" t="s">
        <v>954</v>
      </c>
      <c r="T97" s="434"/>
      <c r="U97" s="434"/>
      <c r="V97" s="434"/>
      <c r="W97" s="434"/>
      <c r="X97" s="434"/>
      <c r="Y97" s="434"/>
      <c r="Z97" s="434"/>
      <c r="AA97" s="434"/>
      <c r="AB97" s="434"/>
      <c r="AC97" s="434"/>
      <c r="AD97" s="434"/>
      <c r="AE97" s="435"/>
      <c r="AF97" s="284"/>
      <c r="AG97" s="286"/>
      <c r="AH97" s="284"/>
      <c r="AI97" s="286"/>
      <c r="AJ97" s="284" t="s">
        <v>492</v>
      </c>
      <c r="AK97" s="286"/>
      <c r="AL97" s="284" t="s">
        <v>492</v>
      </c>
      <c r="AM97" s="286"/>
      <c r="AN97" s="284"/>
      <c r="AO97" s="286"/>
      <c r="AP97" s="284" t="s">
        <v>201</v>
      </c>
      <c r="AQ97" s="285"/>
      <c r="AR97" s="285"/>
      <c r="AS97" s="285"/>
      <c r="AT97" s="285"/>
      <c r="AU97" s="285"/>
      <c r="AV97" s="285"/>
      <c r="AW97" s="286"/>
      <c r="AX97" s="287" t="s">
        <v>143</v>
      </c>
      <c r="AY97" s="287"/>
      <c r="AZ97" s="287"/>
      <c r="BA97" s="287"/>
      <c r="BB97" s="287"/>
      <c r="BC97" s="287"/>
      <c r="BD97" s="287"/>
      <c r="BE97" s="284"/>
      <c r="BF97" s="288"/>
      <c r="BG97" s="288"/>
      <c r="BH97" s="288"/>
      <c r="BI97" s="288"/>
      <c r="BJ97" s="288"/>
      <c r="BK97" s="288"/>
      <c r="BL97" s="288"/>
      <c r="BM97" s="288"/>
      <c r="BN97" s="288"/>
      <c r="BO97" s="10"/>
    </row>
    <row r="98" spans="1:68" s="8" customFormat="1">
      <c r="A98" s="9"/>
      <c r="B98" s="32"/>
      <c r="C98" s="42"/>
      <c r="D98" s="42"/>
      <c r="E98" s="42"/>
      <c r="F98" s="42"/>
      <c r="G98" s="42"/>
      <c r="H98" s="42"/>
      <c r="I98" s="42"/>
      <c r="J98" s="32"/>
      <c r="K98" s="42"/>
      <c r="L98" s="42"/>
      <c r="M98" s="42"/>
      <c r="N98" s="42"/>
      <c r="O98" s="42"/>
      <c r="P98" s="42"/>
      <c r="Q98" s="10"/>
      <c r="R98" s="38">
        <v>3</v>
      </c>
      <c r="S98" s="412" t="s">
        <v>955</v>
      </c>
      <c r="T98" s="434"/>
      <c r="U98" s="434"/>
      <c r="V98" s="434"/>
      <c r="W98" s="434"/>
      <c r="X98" s="434"/>
      <c r="Y98" s="434"/>
      <c r="Z98" s="434"/>
      <c r="AA98" s="434"/>
      <c r="AB98" s="434"/>
      <c r="AC98" s="434"/>
      <c r="AD98" s="434"/>
      <c r="AE98" s="435"/>
      <c r="AF98" s="284"/>
      <c r="AG98" s="286"/>
      <c r="AH98" s="284"/>
      <c r="AI98" s="286"/>
      <c r="AJ98" s="284" t="s">
        <v>492</v>
      </c>
      <c r="AK98" s="286"/>
      <c r="AL98" s="284" t="s">
        <v>492</v>
      </c>
      <c r="AM98" s="286"/>
      <c r="AN98" s="284"/>
      <c r="AO98" s="286"/>
      <c r="AP98" s="284" t="s">
        <v>131</v>
      </c>
      <c r="AQ98" s="285"/>
      <c r="AR98" s="285"/>
      <c r="AS98" s="285"/>
      <c r="AT98" s="285"/>
      <c r="AU98" s="285"/>
      <c r="AV98" s="285"/>
      <c r="AW98" s="286"/>
      <c r="AX98" s="284" t="s">
        <v>956</v>
      </c>
      <c r="AY98" s="285"/>
      <c r="AZ98" s="285"/>
      <c r="BA98" s="285"/>
      <c r="BB98" s="285"/>
      <c r="BC98" s="285"/>
      <c r="BD98" s="285"/>
      <c r="BE98" s="286"/>
      <c r="BF98" s="288"/>
      <c r="BG98" s="288"/>
      <c r="BH98" s="288"/>
      <c r="BI98" s="288"/>
      <c r="BJ98" s="288"/>
      <c r="BK98" s="288"/>
      <c r="BL98" s="288"/>
      <c r="BM98" s="288"/>
      <c r="BN98" s="288"/>
      <c r="BO98" s="10"/>
      <c r="BP98" s="11"/>
    </row>
    <row r="99" spans="1:68" s="156" customFormat="1">
      <c r="A99" s="151"/>
      <c r="B99" s="157"/>
      <c r="C99" s="153"/>
      <c r="D99" s="153"/>
      <c r="E99" s="153"/>
      <c r="F99" s="153"/>
      <c r="G99" s="153"/>
      <c r="H99" s="153"/>
      <c r="I99" s="153"/>
      <c r="J99" s="152"/>
      <c r="K99" s="153"/>
      <c r="L99" s="153"/>
      <c r="M99" s="153"/>
      <c r="N99" s="153"/>
      <c r="O99" s="153"/>
      <c r="P99" s="153"/>
      <c r="Q99" s="154"/>
      <c r="R99" s="155">
        <v>4</v>
      </c>
      <c r="S99" s="421" t="s">
        <v>957</v>
      </c>
      <c r="T99" s="436"/>
      <c r="U99" s="436"/>
      <c r="V99" s="436"/>
      <c r="W99" s="436"/>
      <c r="X99" s="436"/>
      <c r="Y99" s="436"/>
      <c r="Z99" s="436"/>
      <c r="AA99" s="436"/>
      <c r="AB99" s="436"/>
      <c r="AC99" s="436"/>
      <c r="AD99" s="436"/>
      <c r="AE99" s="437"/>
      <c r="AF99" s="413"/>
      <c r="AG99" s="414"/>
      <c r="AH99" s="413"/>
      <c r="AI99" s="414"/>
      <c r="AJ99" s="413" t="s">
        <v>492</v>
      </c>
      <c r="AK99" s="414"/>
      <c r="AL99" s="413"/>
      <c r="AM99" s="414"/>
      <c r="AN99" s="413"/>
      <c r="AO99" s="414"/>
      <c r="AP99" s="413" t="s">
        <v>131</v>
      </c>
      <c r="AQ99" s="422"/>
      <c r="AR99" s="422"/>
      <c r="AS99" s="422"/>
      <c r="AT99" s="422"/>
      <c r="AU99" s="422"/>
      <c r="AV99" s="422"/>
      <c r="AW99" s="414"/>
      <c r="AX99" s="413" t="s">
        <v>857</v>
      </c>
      <c r="AY99" s="422"/>
      <c r="AZ99" s="422"/>
      <c r="BA99" s="422"/>
      <c r="BB99" s="422"/>
      <c r="BC99" s="422"/>
      <c r="BD99" s="422"/>
      <c r="BE99" s="414"/>
      <c r="BF99" s="423"/>
      <c r="BG99" s="423"/>
      <c r="BH99" s="423"/>
      <c r="BI99" s="423"/>
      <c r="BJ99" s="423"/>
      <c r="BK99" s="423"/>
      <c r="BL99" s="423"/>
      <c r="BM99" s="423"/>
      <c r="BN99" s="423"/>
      <c r="BO99" s="154"/>
    </row>
    <row r="100" spans="1:68" s="8" customFormat="1">
      <c r="A100" s="9"/>
      <c r="B100" s="32"/>
      <c r="C100" s="42"/>
      <c r="D100" s="42"/>
      <c r="E100" s="42"/>
      <c r="F100" s="42"/>
      <c r="G100" s="42"/>
      <c r="H100" s="42"/>
      <c r="I100" s="42"/>
      <c r="J100" s="32"/>
      <c r="K100" s="42"/>
      <c r="L100" s="42"/>
      <c r="M100" s="42"/>
      <c r="N100" s="42"/>
      <c r="O100" s="42"/>
      <c r="P100" s="42"/>
      <c r="Q100" s="10"/>
      <c r="R100" s="38">
        <v>4</v>
      </c>
      <c r="S100" s="412" t="s">
        <v>958</v>
      </c>
      <c r="T100" s="434"/>
      <c r="U100" s="434"/>
      <c r="V100" s="434"/>
      <c r="W100" s="434"/>
      <c r="X100" s="434"/>
      <c r="Y100" s="434"/>
      <c r="Z100" s="434"/>
      <c r="AA100" s="434"/>
      <c r="AB100" s="434"/>
      <c r="AC100" s="434"/>
      <c r="AD100" s="434"/>
      <c r="AE100" s="435"/>
      <c r="AF100" s="284"/>
      <c r="AG100" s="286"/>
      <c r="AH100" s="284"/>
      <c r="AI100" s="286"/>
      <c r="AJ100" s="284" t="s">
        <v>492</v>
      </c>
      <c r="AK100" s="286"/>
      <c r="AL100" s="284" t="s">
        <v>492</v>
      </c>
      <c r="AM100" s="286"/>
      <c r="AN100" s="284"/>
      <c r="AO100" s="286"/>
      <c r="AP100" s="284" t="s">
        <v>131</v>
      </c>
      <c r="AQ100" s="285"/>
      <c r="AR100" s="285"/>
      <c r="AS100" s="285"/>
      <c r="AT100" s="285"/>
      <c r="AU100" s="285"/>
      <c r="AV100" s="285"/>
      <c r="AW100" s="286"/>
      <c r="AX100" s="284" t="s">
        <v>959</v>
      </c>
      <c r="AY100" s="285"/>
      <c r="AZ100" s="285"/>
      <c r="BA100" s="285"/>
      <c r="BB100" s="285"/>
      <c r="BC100" s="285"/>
      <c r="BD100" s="285"/>
      <c r="BE100" s="286"/>
      <c r="BF100" s="288"/>
      <c r="BG100" s="288"/>
      <c r="BH100" s="288"/>
      <c r="BI100" s="288"/>
      <c r="BJ100" s="288"/>
      <c r="BK100" s="288"/>
      <c r="BL100" s="288"/>
      <c r="BM100" s="288"/>
      <c r="BN100" s="288"/>
      <c r="BO100" s="10"/>
      <c r="BP100" s="11"/>
    </row>
    <row r="101" spans="1:68" s="8" customFormat="1">
      <c r="A101" s="9"/>
      <c r="B101" s="33"/>
      <c r="C101" s="42"/>
      <c r="D101" s="42"/>
      <c r="E101" s="42"/>
      <c r="F101" s="42"/>
      <c r="G101" s="42"/>
      <c r="H101" s="42"/>
      <c r="I101" s="42"/>
      <c r="J101" s="32"/>
      <c r="K101" s="42"/>
      <c r="L101" s="42"/>
      <c r="M101" s="42"/>
      <c r="N101" s="42"/>
      <c r="O101" s="42"/>
      <c r="P101" s="42"/>
      <c r="Q101" s="10"/>
      <c r="R101" s="38">
        <v>5</v>
      </c>
      <c r="S101" s="412" t="s">
        <v>960</v>
      </c>
      <c r="T101" s="434"/>
      <c r="U101" s="434"/>
      <c r="V101" s="434"/>
      <c r="W101" s="434"/>
      <c r="X101" s="434"/>
      <c r="Y101" s="434"/>
      <c r="Z101" s="434"/>
      <c r="AA101" s="434"/>
      <c r="AB101" s="434"/>
      <c r="AC101" s="434"/>
      <c r="AD101" s="434"/>
      <c r="AE101" s="435"/>
      <c r="AF101" s="284"/>
      <c r="AG101" s="286"/>
      <c r="AH101" s="284"/>
      <c r="AI101" s="286"/>
      <c r="AJ101" s="284" t="s">
        <v>492</v>
      </c>
      <c r="AK101" s="286"/>
      <c r="AL101" s="284" t="s">
        <v>492</v>
      </c>
      <c r="AM101" s="286"/>
      <c r="AN101" s="284"/>
      <c r="AO101" s="286"/>
      <c r="AP101" s="284" t="s">
        <v>131</v>
      </c>
      <c r="AQ101" s="285"/>
      <c r="AR101" s="285"/>
      <c r="AS101" s="285"/>
      <c r="AT101" s="285"/>
      <c r="AU101" s="285"/>
      <c r="AV101" s="285"/>
      <c r="AW101" s="286"/>
      <c r="AX101" s="284" t="s">
        <v>961</v>
      </c>
      <c r="AY101" s="285"/>
      <c r="AZ101" s="285"/>
      <c r="BA101" s="285"/>
      <c r="BB101" s="285"/>
      <c r="BC101" s="285"/>
      <c r="BD101" s="285"/>
      <c r="BE101" s="286"/>
      <c r="BF101" s="288"/>
      <c r="BG101" s="288"/>
      <c r="BH101" s="288"/>
      <c r="BI101" s="288"/>
      <c r="BJ101" s="288"/>
      <c r="BK101" s="288"/>
      <c r="BL101" s="288"/>
      <c r="BM101" s="288"/>
      <c r="BN101" s="288"/>
      <c r="BO101" s="10"/>
    </row>
    <row r="102" spans="1:68" s="8" customFormat="1">
      <c r="A102" s="9"/>
      <c r="B102" s="32"/>
      <c r="C102" s="42"/>
      <c r="D102" s="42"/>
      <c r="E102" s="42"/>
      <c r="F102" s="42"/>
      <c r="G102" s="42"/>
      <c r="H102" s="42"/>
      <c r="I102" s="42"/>
      <c r="J102" s="32"/>
      <c r="K102" s="42"/>
      <c r="L102" s="42"/>
      <c r="M102" s="42"/>
      <c r="N102" s="42"/>
      <c r="O102" s="42"/>
      <c r="P102" s="42"/>
      <c r="Q102" s="10"/>
      <c r="R102" s="38">
        <v>6</v>
      </c>
      <c r="S102" s="412" t="s">
        <v>962</v>
      </c>
      <c r="T102" s="434"/>
      <c r="U102" s="434"/>
      <c r="V102" s="434"/>
      <c r="W102" s="434"/>
      <c r="X102" s="434"/>
      <c r="Y102" s="434"/>
      <c r="Z102" s="434"/>
      <c r="AA102" s="434"/>
      <c r="AB102" s="434"/>
      <c r="AC102" s="434"/>
      <c r="AD102" s="434"/>
      <c r="AE102" s="435"/>
      <c r="AF102" s="284"/>
      <c r="AG102" s="286"/>
      <c r="AH102" s="284"/>
      <c r="AI102" s="286"/>
      <c r="AJ102" s="284" t="s">
        <v>492</v>
      </c>
      <c r="AK102" s="286"/>
      <c r="AL102" s="284"/>
      <c r="AM102" s="286"/>
      <c r="AN102" s="284"/>
      <c r="AO102" s="286"/>
      <c r="AP102" s="284" t="s">
        <v>131</v>
      </c>
      <c r="AQ102" s="285"/>
      <c r="AR102" s="285"/>
      <c r="AS102" s="285"/>
      <c r="AT102" s="285"/>
      <c r="AU102" s="285"/>
      <c r="AV102" s="285"/>
      <c r="AW102" s="286"/>
      <c r="AX102" s="284" t="s">
        <v>961</v>
      </c>
      <c r="AY102" s="285"/>
      <c r="AZ102" s="285"/>
      <c r="BA102" s="285"/>
      <c r="BB102" s="285"/>
      <c r="BC102" s="285"/>
      <c r="BD102" s="285"/>
      <c r="BE102" s="286"/>
      <c r="BF102" s="288"/>
      <c r="BG102" s="288"/>
      <c r="BH102" s="288"/>
      <c r="BI102" s="288"/>
      <c r="BJ102" s="288"/>
      <c r="BK102" s="288"/>
      <c r="BL102" s="288"/>
      <c r="BM102" s="288"/>
      <c r="BN102" s="288"/>
      <c r="BO102" s="10"/>
      <c r="BP102" s="11"/>
    </row>
    <row r="103" spans="1:68" s="8" customFormat="1">
      <c r="A103" s="9"/>
      <c r="B103" s="33"/>
      <c r="C103" s="42"/>
      <c r="D103" s="42"/>
      <c r="E103" s="42"/>
      <c r="F103" s="42"/>
      <c r="G103" s="42"/>
      <c r="H103" s="42"/>
      <c r="I103" s="42"/>
      <c r="J103" s="32"/>
      <c r="K103" s="42"/>
      <c r="L103" s="42"/>
      <c r="M103" s="42"/>
      <c r="N103" s="42"/>
      <c r="O103" s="42"/>
      <c r="P103" s="42"/>
      <c r="Q103" s="10"/>
      <c r="R103" s="38">
        <v>7</v>
      </c>
      <c r="S103" s="412" t="s">
        <v>963</v>
      </c>
      <c r="T103" s="434"/>
      <c r="U103" s="434"/>
      <c r="V103" s="434"/>
      <c r="W103" s="434"/>
      <c r="X103" s="434"/>
      <c r="Y103" s="434"/>
      <c r="Z103" s="434"/>
      <c r="AA103" s="434"/>
      <c r="AB103" s="434"/>
      <c r="AC103" s="434"/>
      <c r="AD103" s="434"/>
      <c r="AE103" s="435"/>
      <c r="AF103" s="284"/>
      <c r="AG103" s="286"/>
      <c r="AH103" s="284"/>
      <c r="AI103" s="286"/>
      <c r="AJ103" s="284" t="s">
        <v>492</v>
      </c>
      <c r="AK103" s="286"/>
      <c r="AL103" s="284" t="s">
        <v>492</v>
      </c>
      <c r="AM103" s="286"/>
      <c r="AN103" s="284"/>
      <c r="AO103" s="286"/>
      <c r="AP103" s="284" t="s">
        <v>131</v>
      </c>
      <c r="AQ103" s="285"/>
      <c r="AR103" s="285"/>
      <c r="AS103" s="285"/>
      <c r="AT103" s="285"/>
      <c r="AU103" s="285"/>
      <c r="AV103" s="285"/>
      <c r="AW103" s="286"/>
      <c r="AX103" s="284" t="s">
        <v>964</v>
      </c>
      <c r="AY103" s="285"/>
      <c r="AZ103" s="285"/>
      <c r="BA103" s="285"/>
      <c r="BB103" s="285"/>
      <c r="BC103" s="285"/>
      <c r="BD103" s="285"/>
      <c r="BE103" s="286"/>
      <c r="BF103" s="288"/>
      <c r="BG103" s="288"/>
      <c r="BH103" s="288"/>
      <c r="BI103" s="288"/>
      <c r="BJ103" s="288"/>
      <c r="BK103" s="288"/>
      <c r="BL103" s="288"/>
      <c r="BM103" s="288"/>
      <c r="BN103" s="288"/>
      <c r="BO103" s="10"/>
    </row>
    <row r="104" spans="1:68" s="8" customFormat="1">
      <c r="A104" s="9"/>
      <c r="B104" s="32"/>
      <c r="C104" s="42"/>
      <c r="D104" s="42"/>
      <c r="E104" s="42"/>
      <c r="F104" s="42"/>
      <c r="G104" s="42"/>
      <c r="H104" s="42"/>
      <c r="I104" s="42"/>
      <c r="J104" s="32"/>
      <c r="K104" s="42"/>
      <c r="L104" s="42"/>
      <c r="M104" s="42"/>
      <c r="N104" s="42"/>
      <c r="O104" s="42"/>
      <c r="P104" s="42"/>
      <c r="Q104" s="10"/>
      <c r="R104" s="38">
        <v>8</v>
      </c>
      <c r="S104" s="412" t="s">
        <v>965</v>
      </c>
      <c r="T104" s="434"/>
      <c r="U104" s="434"/>
      <c r="V104" s="434"/>
      <c r="W104" s="434"/>
      <c r="X104" s="434"/>
      <c r="Y104" s="434"/>
      <c r="Z104" s="434"/>
      <c r="AA104" s="434"/>
      <c r="AB104" s="434"/>
      <c r="AC104" s="434"/>
      <c r="AD104" s="434"/>
      <c r="AE104" s="435"/>
      <c r="AF104" s="284"/>
      <c r="AG104" s="286"/>
      <c r="AH104" s="284"/>
      <c r="AI104" s="286"/>
      <c r="AJ104" s="284" t="s">
        <v>492</v>
      </c>
      <c r="AK104" s="286"/>
      <c r="AL104" s="284" t="s">
        <v>492</v>
      </c>
      <c r="AM104" s="286"/>
      <c r="AN104" s="284"/>
      <c r="AO104" s="286"/>
      <c r="AP104" s="284" t="s">
        <v>131</v>
      </c>
      <c r="AQ104" s="285"/>
      <c r="AR104" s="285"/>
      <c r="AS104" s="285"/>
      <c r="AT104" s="285"/>
      <c r="AU104" s="285"/>
      <c r="AV104" s="285"/>
      <c r="AW104" s="286"/>
      <c r="AX104" s="284" t="s">
        <v>966</v>
      </c>
      <c r="AY104" s="285"/>
      <c r="AZ104" s="285"/>
      <c r="BA104" s="285"/>
      <c r="BB104" s="285"/>
      <c r="BC104" s="285"/>
      <c r="BD104" s="285"/>
      <c r="BE104" s="286"/>
      <c r="BF104" s="377" t="s">
        <v>967</v>
      </c>
      <c r="BG104" s="288"/>
      <c r="BH104" s="288"/>
      <c r="BI104" s="288"/>
      <c r="BJ104" s="288"/>
      <c r="BK104" s="288"/>
      <c r="BL104" s="288"/>
      <c r="BM104" s="288"/>
      <c r="BN104" s="288"/>
      <c r="BO104" s="10"/>
      <c r="BP104" s="11"/>
    </row>
    <row r="105" spans="1:68" s="8" customFormat="1">
      <c r="A105" s="9"/>
      <c r="B105" s="33"/>
      <c r="C105" s="42"/>
      <c r="D105" s="42"/>
      <c r="E105" s="42"/>
      <c r="F105" s="42"/>
      <c r="G105" s="42"/>
      <c r="H105" s="42"/>
      <c r="I105" s="42"/>
      <c r="J105" s="32"/>
      <c r="K105" s="42"/>
      <c r="L105" s="42"/>
      <c r="M105" s="42"/>
      <c r="N105" s="42"/>
      <c r="O105" s="42"/>
      <c r="P105" s="42"/>
      <c r="Q105" s="10"/>
      <c r="R105" s="38">
        <v>9</v>
      </c>
      <c r="S105" s="412" t="s">
        <v>968</v>
      </c>
      <c r="T105" s="434"/>
      <c r="U105" s="434"/>
      <c r="V105" s="434"/>
      <c r="W105" s="434"/>
      <c r="X105" s="434"/>
      <c r="Y105" s="434"/>
      <c r="Z105" s="434"/>
      <c r="AA105" s="434"/>
      <c r="AB105" s="434"/>
      <c r="AC105" s="434"/>
      <c r="AD105" s="434"/>
      <c r="AE105" s="435"/>
      <c r="AF105" s="284"/>
      <c r="AG105" s="286"/>
      <c r="AH105" s="284"/>
      <c r="AI105" s="286"/>
      <c r="AJ105" s="284" t="s">
        <v>492</v>
      </c>
      <c r="AK105" s="286"/>
      <c r="AL105" s="284" t="s">
        <v>492</v>
      </c>
      <c r="AM105" s="286"/>
      <c r="AN105" s="284"/>
      <c r="AO105" s="286"/>
      <c r="AP105" s="284" t="s">
        <v>131</v>
      </c>
      <c r="AQ105" s="285"/>
      <c r="AR105" s="285"/>
      <c r="AS105" s="285"/>
      <c r="AT105" s="285"/>
      <c r="AU105" s="285"/>
      <c r="AV105" s="285"/>
      <c r="AW105" s="286"/>
      <c r="AX105" s="284" t="s">
        <v>969</v>
      </c>
      <c r="AY105" s="285"/>
      <c r="AZ105" s="285"/>
      <c r="BA105" s="285"/>
      <c r="BB105" s="285"/>
      <c r="BC105" s="285"/>
      <c r="BD105" s="285"/>
      <c r="BE105" s="286"/>
      <c r="BF105" s="288"/>
      <c r="BG105" s="288"/>
      <c r="BH105" s="288"/>
      <c r="BI105" s="288"/>
      <c r="BJ105" s="288"/>
      <c r="BK105" s="288"/>
      <c r="BL105" s="288"/>
      <c r="BM105" s="288"/>
      <c r="BN105" s="288"/>
      <c r="BO105" s="10"/>
    </row>
    <row r="106" spans="1:68" s="8" customFormat="1">
      <c r="A106" s="9"/>
      <c r="B106" s="32"/>
      <c r="C106" s="42"/>
      <c r="D106" s="42"/>
      <c r="E106" s="42"/>
      <c r="F106" s="42"/>
      <c r="G106" s="42"/>
      <c r="H106" s="42"/>
      <c r="I106" s="42"/>
      <c r="J106" s="32"/>
      <c r="K106" s="42"/>
      <c r="L106" s="42"/>
      <c r="M106" s="42"/>
      <c r="N106" s="42"/>
      <c r="O106" s="42"/>
      <c r="P106" s="42"/>
      <c r="Q106" s="10"/>
      <c r="R106" s="38">
        <v>10</v>
      </c>
      <c r="S106" s="412" t="s">
        <v>970</v>
      </c>
      <c r="T106" s="434"/>
      <c r="U106" s="434"/>
      <c r="V106" s="434"/>
      <c r="W106" s="434"/>
      <c r="X106" s="434"/>
      <c r="Y106" s="434"/>
      <c r="Z106" s="434"/>
      <c r="AA106" s="434"/>
      <c r="AB106" s="434"/>
      <c r="AC106" s="434"/>
      <c r="AD106" s="434"/>
      <c r="AE106" s="435"/>
      <c r="AF106" s="284"/>
      <c r="AG106" s="286"/>
      <c r="AH106" s="284"/>
      <c r="AI106" s="286"/>
      <c r="AJ106" s="284" t="s">
        <v>492</v>
      </c>
      <c r="AK106" s="286"/>
      <c r="AL106" s="284" t="s">
        <v>492</v>
      </c>
      <c r="AM106" s="286"/>
      <c r="AN106" s="284"/>
      <c r="AO106" s="286"/>
      <c r="AP106" s="284" t="s">
        <v>131</v>
      </c>
      <c r="AQ106" s="285"/>
      <c r="AR106" s="285"/>
      <c r="AS106" s="285"/>
      <c r="AT106" s="285"/>
      <c r="AU106" s="285"/>
      <c r="AV106" s="285"/>
      <c r="AW106" s="286"/>
      <c r="AX106" s="284" t="s">
        <v>969</v>
      </c>
      <c r="AY106" s="285"/>
      <c r="AZ106" s="285"/>
      <c r="BA106" s="285"/>
      <c r="BB106" s="285"/>
      <c r="BC106" s="285"/>
      <c r="BD106" s="285"/>
      <c r="BE106" s="286"/>
      <c r="BF106" s="288"/>
      <c r="BG106" s="288"/>
      <c r="BH106" s="288"/>
      <c r="BI106" s="288"/>
      <c r="BJ106" s="288"/>
      <c r="BK106" s="288"/>
      <c r="BL106" s="288"/>
      <c r="BM106" s="288"/>
      <c r="BN106" s="288"/>
      <c r="BO106" s="10"/>
      <c r="BP106" s="11"/>
    </row>
    <row r="107" spans="1:68" s="8" customFormat="1">
      <c r="A107" s="9"/>
      <c r="B107" s="33"/>
      <c r="C107" s="42"/>
      <c r="D107" s="42"/>
      <c r="E107" s="42"/>
      <c r="F107" s="42"/>
      <c r="G107" s="42"/>
      <c r="H107" s="42"/>
      <c r="I107" s="42"/>
      <c r="J107" s="32"/>
      <c r="K107" s="42"/>
      <c r="L107" s="42"/>
      <c r="M107" s="42"/>
      <c r="N107" s="42"/>
      <c r="O107" s="42"/>
      <c r="P107" s="42"/>
      <c r="Q107" s="10"/>
      <c r="R107" s="38">
        <v>11</v>
      </c>
      <c r="S107" s="412" t="s">
        <v>138</v>
      </c>
      <c r="T107" s="434"/>
      <c r="U107" s="434"/>
      <c r="V107" s="434"/>
      <c r="W107" s="434"/>
      <c r="X107" s="434"/>
      <c r="Y107" s="434"/>
      <c r="Z107" s="434"/>
      <c r="AA107" s="434"/>
      <c r="AB107" s="434"/>
      <c r="AC107" s="434"/>
      <c r="AD107" s="434"/>
      <c r="AE107" s="435"/>
      <c r="AF107" s="284"/>
      <c r="AG107" s="286"/>
      <c r="AH107" s="284"/>
      <c r="AI107" s="286"/>
      <c r="AJ107" s="284"/>
      <c r="AK107" s="286"/>
      <c r="AL107" s="284"/>
      <c r="AM107" s="286"/>
      <c r="AN107" s="284" t="s">
        <v>492</v>
      </c>
      <c r="AO107" s="286"/>
      <c r="AP107" s="284" t="s">
        <v>131</v>
      </c>
      <c r="AQ107" s="285"/>
      <c r="AR107" s="285"/>
      <c r="AS107" s="285"/>
      <c r="AT107" s="285"/>
      <c r="AU107" s="285"/>
      <c r="AV107" s="285"/>
      <c r="AW107" s="286"/>
      <c r="AX107" s="284" t="s">
        <v>138</v>
      </c>
      <c r="AY107" s="285"/>
      <c r="AZ107" s="285"/>
      <c r="BA107" s="285"/>
      <c r="BB107" s="285"/>
      <c r="BC107" s="285"/>
      <c r="BD107" s="285"/>
      <c r="BE107" s="286"/>
      <c r="BF107" s="288"/>
      <c r="BG107" s="288"/>
      <c r="BH107" s="288"/>
      <c r="BI107" s="288"/>
      <c r="BJ107" s="288"/>
      <c r="BK107" s="288"/>
      <c r="BL107" s="288"/>
      <c r="BM107" s="288"/>
      <c r="BN107" s="288"/>
      <c r="BO107" s="10"/>
    </row>
    <row r="108" spans="1:68" s="8" customFormat="1">
      <c r="A108" s="9"/>
      <c r="B108" s="33"/>
      <c r="C108" s="42"/>
      <c r="D108" s="42"/>
      <c r="E108" s="42"/>
      <c r="F108" s="42"/>
      <c r="G108" s="42"/>
      <c r="H108" s="42"/>
      <c r="I108" s="42"/>
      <c r="J108" s="32"/>
      <c r="K108" s="42"/>
      <c r="L108" s="42"/>
      <c r="M108" s="42"/>
      <c r="N108" s="42"/>
      <c r="O108" s="42"/>
      <c r="P108" s="42"/>
      <c r="Q108" s="10"/>
      <c r="R108" s="38">
        <v>12</v>
      </c>
      <c r="S108" s="412" t="s">
        <v>971</v>
      </c>
      <c r="T108" s="434"/>
      <c r="U108" s="434"/>
      <c r="V108" s="434"/>
      <c r="W108" s="434"/>
      <c r="X108" s="434"/>
      <c r="Y108" s="434"/>
      <c r="Z108" s="434"/>
      <c r="AA108" s="434"/>
      <c r="AB108" s="434"/>
      <c r="AC108" s="434"/>
      <c r="AD108" s="434"/>
      <c r="AE108" s="435"/>
      <c r="AF108" s="284"/>
      <c r="AG108" s="286"/>
      <c r="AH108" s="284"/>
      <c r="AI108" s="286"/>
      <c r="AJ108" s="284" t="s">
        <v>492</v>
      </c>
      <c r="AK108" s="286"/>
      <c r="AL108" s="284"/>
      <c r="AM108" s="286"/>
      <c r="AN108" s="284"/>
      <c r="AO108" s="286"/>
      <c r="AP108" s="284" t="s">
        <v>131</v>
      </c>
      <c r="AQ108" s="285"/>
      <c r="AR108" s="285"/>
      <c r="AS108" s="285"/>
      <c r="AT108" s="285"/>
      <c r="AU108" s="285"/>
      <c r="AV108" s="285"/>
      <c r="AW108" s="286"/>
      <c r="AX108" s="284" t="s">
        <v>132</v>
      </c>
      <c r="AY108" s="285"/>
      <c r="AZ108" s="285"/>
      <c r="BA108" s="285"/>
      <c r="BB108" s="285"/>
      <c r="BC108" s="285"/>
      <c r="BD108" s="285"/>
      <c r="BE108" s="286"/>
      <c r="BF108" s="288"/>
      <c r="BG108" s="288"/>
      <c r="BH108" s="288"/>
      <c r="BI108" s="288"/>
      <c r="BJ108" s="288"/>
      <c r="BK108" s="288"/>
      <c r="BL108" s="288"/>
      <c r="BM108" s="288"/>
      <c r="BN108" s="288"/>
      <c r="BO108" s="10"/>
    </row>
    <row r="109" spans="1:68" s="8" customFormat="1">
      <c r="A109" s="9"/>
      <c r="B109" s="32"/>
      <c r="C109" s="42"/>
      <c r="D109" s="42"/>
      <c r="E109" s="42"/>
      <c r="F109" s="42"/>
      <c r="G109" s="42"/>
      <c r="H109" s="42"/>
      <c r="I109" s="42"/>
      <c r="J109" s="32"/>
      <c r="K109" s="42"/>
      <c r="L109" s="42"/>
      <c r="M109" s="42"/>
      <c r="N109" s="42"/>
      <c r="O109" s="42"/>
      <c r="P109" s="42"/>
      <c r="Q109" s="10"/>
      <c r="R109" s="38">
        <v>13</v>
      </c>
      <c r="S109" s="412" t="s">
        <v>607</v>
      </c>
      <c r="T109" s="434"/>
      <c r="U109" s="434"/>
      <c r="V109" s="434"/>
      <c r="W109" s="434"/>
      <c r="X109" s="434"/>
      <c r="Y109" s="434"/>
      <c r="Z109" s="434"/>
      <c r="AA109" s="434"/>
      <c r="AB109" s="434"/>
      <c r="AC109" s="434"/>
      <c r="AD109" s="434"/>
      <c r="AE109" s="435"/>
      <c r="AF109" s="284"/>
      <c r="AG109" s="286"/>
      <c r="AH109" s="284"/>
      <c r="AI109" s="286"/>
      <c r="AJ109" s="284" t="s">
        <v>492</v>
      </c>
      <c r="AK109" s="286"/>
      <c r="AL109" s="284"/>
      <c r="AM109" s="286"/>
      <c r="AN109" s="284"/>
      <c r="AO109" s="286"/>
      <c r="AP109" s="284" t="s">
        <v>131</v>
      </c>
      <c r="AQ109" s="285"/>
      <c r="AR109" s="285"/>
      <c r="AS109" s="285"/>
      <c r="AT109" s="285"/>
      <c r="AU109" s="285"/>
      <c r="AV109" s="285"/>
      <c r="AW109" s="286"/>
      <c r="AX109" s="284" t="s">
        <v>132</v>
      </c>
      <c r="AY109" s="285"/>
      <c r="AZ109" s="285"/>
      <c r="BA109" s="285"/>
      <c r="BB109" s="285"/>
      <c r="BC109" s="285"/>
      <c r="BD109" s="285"/>
      <c r="BE109" s="286"/>
      <c r="BF109" s="288"/>
      <c r="BG109" s="288"/>
      <c r="BH109" s="288"/>
      <c r="BI109" s="288"/>
      <c r="BJ109" s="288"/>
      <c r="BK109" s="288"/>
      <c r="BL109" s="288"/>
      <c r="BM109" s="288"/>
      <c r="BN109" s="288"/>
      <c r="BO109" s="10"/>
      <c r="BP109" s="11"/>
    </row>
    <row r="110" spans="1:68" s="8" customFormat="1">
      <c r="A110" s="9"/>
      <c r="B110" s="33"/>
      <c r="C110" s="42"/>
      <c r="D110" s="42"/>
      <c r="E110" s="42"/>
      <c r="F110" s="42"/>
      <c r="G110" s="42"/>
      <c r="H110" s="42"/>
      <c r="I110" s="42"/>
      <c r="J110" s="32"/>
      <c r="K110" s="42"/>
      <c r="L110" s="42"/>
      <c r="M110" s="42"/>
      <c r="N110" s="42"/>
      <c r="O110" s="42"/>
      <c r="P110" s="42"/>
      <c r="Q110" s="10"/>
      <c r="R110" s="38">
        <v>14</v>
      </c>
      <c r="S110" s="412" t="s">
        <v>138</v>
      </c>
      <c r="T110" s="434"/>
      <c r="U110" s="434"/>
      <c r="V110" s="434"/>
      <c r="W110" s="434"/>
      <c r="X110" s="434"/>
      <c r="Y110" s="434"/>
      <c r="Z110" s="434"/>
      <c r="AA110" s="434"/>
      <c r="AB110" s="434"/>
      <c r="AC110" s="434"/>
      <c r="AD110" s="434"/>
      <c r="AE110" s="435"/>
      <c r="AF110" s="284"/>
      <c r="AG110" s="286"/>
      <c r="AH110" s="284"/>
      <c r="AI110" s="286"/>
      <c r="AJ110" s="284"/>
      <c r="AK110" s="286"/>
      <c r="AL110" s="284"/>
      <c r="AM110" s="286"/>
      <c r="AN110" s="284" t="s">
        <v>492</v>
      </c>
      <c r="AO110" s="286"/>
      <c r="AP110" s="284" t="s">
        <v>131</v>
      </c>
      <c r="AQ110" s="285"/>
      <c r="AR110" s="285"/>
      <c r="AS110" s="285"/>
      <c r="AT110" s="285"/>
      <c r="AU110" s="285"/>
      <c r="AV110" s="285"/>
      <c r="AW110" s="286"/>
      <c r="AX110" s="284" t="s">
        <v>138</v>
      </c>
      <c r="AY110" s="285"/>
      <c r="AZ110" s="285"/>
      <c r="BA110" s="285"/>
      <c r="BB110" s="285"/>
      <c r="BC110" s="285"/>
      <c r="BD110" s="285"/>
      <c r="BE110" s="286"/>
      <c r="BF110" s="288"/>
      <c r="BG110" s="288"/>
      <c r="BH110" s="288"/>
      <c r="BI110" s="288"/>
      <c r="BJ110" s="288"/>
      <c r="BK110" s="288"/>
      <c r="BL110" s="288"/>
      <c r="BM110" s="288"/>
      <c r="BN110" s="288"/>
      <c r="BO110" s="10"/>
    </row>
    <row r="111" spans="1:68" s="8" customFormat="1" ht="27" customHeight="1">
      <c r="A111" s="9"/>
      <c r="B111" s="32"/>
      <c r="C111" s="42"/>
      <c r="D111" s="42"/>
      <c r="E111" s="42"/>
      <c r="F111" s="42"/>
      <c r="G111" s="42"/>
      <c r="H111" s="42"/>
      <c r="I111" s="42"/>
      <c r="J111" s="32"/>
      <c r="K111" s="42"/>
      <c r="L111" s="42"/>
      <c r="M111" s="42"/>
      <c r="N111" s="42"/>
      <c r="O111" s="42"/>
      <c r="P111" s="42"/>
      <c r="Q111" s="10"/>
      <c r="R111" s="38">
        <v>15</v>
      </c>
      <c r="S111" s="412" t="s">
        <v>972</v>
      </c>
      <c r="T111" s="434"/>
      <c r="U111" s="434"/>
      <c r="V111" s="434"/>
      <c r="W111" s="434"/>
      <c r="X111" s="434"/>
      <c r="Y111" s="434"/>
      <c r="Z111" s="434"/>
      <c r="AA111" s="434"/>
      <c r="AB111" s="434"/>
      <c r="AC111" s="434"/>
      <c r="AD111" s="434"/>
      <c r="AE111" s="435"/>
      <c r="AF111" s="284"/>
      <c r="AG111" s="286"/>
      <c r="AH111" s="284"/>
      <c r="AI111" s="286"/>
      <c r="AJ111" s="284" t="s">
        <v>492</v>
      </c>
      <c r="AK111" s="286"/>
      <c r="AL111" s="284" t="s">
        <v>492</v>
      </c>
      <c r="AM111" s="286"/>
      <c r="AN111" s="284"/>
      <c r="AO111" s="286"/>
      <c r="AP111" s="284" t="s">
        <v>131</v>
      </c>
      <c r="AQ111" s="285"/>
      <c r="AR111" s="285"/>
      <c r="AS111" s="285"/>
      <c r="AT111" s="285"/>
      <c r="AU111" s="285"/>
      <c r="AV111" s="285"/>
      <c r="AW111" s="286"/>
      <c r="AX111" s="333" t="s">
        <v>973</v>
      </c>
      <c r="AY111" s="285"/>
      <c r="AZ111" s="285"/>
      <c r="BA111" s="285"/>
      <c r="BB111" s="285"/>
      <c r="BC111" s="285"/>
      <c r="BD111" s="285"/>
      <c r="BE111" s="286"/>
      <c r="BF111" s="288"/>
      <c r="BG111" s="288"/>
      <c r="BH111" s="288"/>
      <c r="BI111" s="288"/>
      <c r="BJ111" s="288"/>
      <c r="BK111" s="288"/>
      <c r="BL111" s="288"/>
      <c r="BM111" s="288"/>
      <c r="BN111" s="288"/>
      <c r="BO111" s="10"/>
      <c r="BP111" s="11"/>
    </row>
    <row r="112" spans="1:68" s="8" customFormat="1" ht="27.95" customHeight="1">
      <c r="A112" s="9"/>
      <c r="B112" s="33"/>
      <c r="C112" s="42"/>
      <c r="D112" s="42"/>
      <c r="E112" s="42"/>
      <c r="F112" s="42"/>
      <c r="G112" s="42"/>
      <c r="H112" s="42"/>
      <c r="I112" s="42"/>
      <c r="J112" s="415" t="s">
        <v>974</v>
      </c>
      <c r="K112" s="416"/>
      <c r="L112" s="416"/>
      <c r="M112" s="416"/>
      <c r="N112" s="416"/>
      <c r="O112" s="416"/>
      <c r="P112" s="416"/>
      <c r="Q112" s="417"/>
      <c r="R112" s="38">
        <v>1</v>
      </c>
      <c r="S112" s="412" t="s">
        <v>975</v>
      </c>
      <c r="T112" s="434"/>
      <c r="U112" s="434"/>
      <c r="V112" s="434"/>
      <c r="W112" s="434"/>
      <c r="X112" s="434"/>
      <c r="Y112" s="434"/>
      <c r="Z112" s="434"/>
      <c r="AA112" s="434"/>
      <c r="AB112" s="434"/>
      <c r="AC112" s="434"/>
      <c r="AD112" s="434"/>
      <c r="AE112" s="435"/>
      <c r="AF112" s="284"/>
      <c r="AG112" s="286"/>
      <c r="AH112" s="284"/>
      <c r="AI112" s="286"/>
      <c r="AJ112" s="284" t="s">
        <v>492</v>
      </c>
      <c r="AK112" s="286"/>
      <c r="AL112" s="284"/>
      <c r="AM112" s="286"/>
      <c r="AN112" s="284"/>
      <c r="AO112" s="286"/>
      <c r="AP112" s="284" t="s">
        <v>131</v>
      </c>
      <c r="AQ112" s="285"/>
      <c r="AR112" s="285"/>
      <c r="AS112" s="285"/>
      <c r="AT112" s="285"/>
      <c r="AU112" s="285"/>
      <c r="AV112" s="285"/>
      <c r="AW112" s="286"/>
      <c r="AX112" s="284" t="s">
        <v>966</v>
      </c>
      <c r="AY112" s="285"/>
      <c r="AZ112" s="285"/>
      <c r="BA112" s="285"/>
      <c r="BB112" s="285"/>
      <c r="BC112" s="285"/>
      <c r="BD112" s="285"/>
      <c r="BE112" s="286"/>
      <c r="BF112" s="377" t="s">
        <v>976</v>
      </c>
      <c r="BG112" s="288"/>
      <c r="BH112" s="288"/>
      <c r="BI112" s="288"/>
      <c r="BJ112" s="288"/>
      <c r="BK112" s="288"/>
      <c r="BL112" s="288"/>
      <c r="BM112" s="288"/>
      <c r="BN112" s="288"/>
      <c r="BO112" s="10"/>
    </row>
    <row r="113" spans="1:68" s="8" customFormat="1" ht="27.95" customHeight="1">
      <c r="A113" s="9"/>
      <c r="B113" s="32"/>
      <c r="C113" s="42"/>
      <c r="D113" s="42"/>
      <c r="E113" s="42"/>
      <c r="F113" s="42"/>
      <c r="G113" s="42"/>
      <c r="H113" s="42"/>
      <c r="I113" s="42"/>
      <c r="J113" s="418" t="s">
        <v>977</v>
      </c>
      <c r="K113" s="419"/>
      <c r="L113" s="419"/>
      <c r="M113" s="419"/>
      <c r="N113" s="419"/>
      <c r="O113" s="419"/>
      <c r="P113" s="419"/>
      <c r="Q113" s="420"/>
      <c r="R113" s="38">
        <v>1</v>
      </c>
      <c r="S113" s="412" t="s">
        <v>978</v>
      </c>
      <c r="T113" s="434"/>
      <c r="U113" s="434"/>
      <c r="V113" s="434"/>
      <c r="W113" s="434"/>
      <c r="X113" s="434"/>
      <c r="Y113" s="434"/>
      <c r="Z113" s="434"/>
      <c r="AA113" s="434"/>
      <c r="AB113" s="434"/>
      <c r="AC113" s="434"/>
      <c r="AD113" s="434"/>
      <c r="AE113" s="435"/>
      <c r="AF113" s="284"/>
      <c r="AG113" s="286"/>
      <c r="AH113" s="284"/>
      <c r="AI113" s="286"/>
      <c r="AJ113" s="284" t="s">
        <v>492</v>
      </c>
      <c r="AK113" s="286"/>
      <c r="AL113" s="284"/>
      <c r="AM113" s="286"/>
      <c r="AN113" s="284"/>
      <c r="AO113" s="286"/>
      <c r="AP113" s="284" t="s">
        <v>131</v>
      </c>
      <c r="AQ113" s="285"/>
      <c r="AR113" s="285"/>
      <c r="AS113" s="285"/>
      <c r="AT113" s="285"/>
      <c r="AU113" s="285"/>
      <c r="AV113" s="285"/>
      <c r="AW113" s="286"/>
      <c r="AX113" s="284" t="s">
        <v>966</v>
      </c>
      <c r="AY113" s="285"/>
      <c r="AZ113" s="285"/>
      <c r="BA113" s="285"/>
      <c r="BB113" s="285"/>
      <c r="BC113" s="285"/>
      <c r="BD113" s="285"/>
      <c r="BE113" s="286"/>
      <c r="BF113" s="377" t="s">
        <v>979</v>
      </c>
      <c r="BG113" s="288"/>
      <c r="BH113" s="288"/>
      <c r="BI113" s="288"/>
      <c r="BJ113" s="288"/>
      <c r="BK113" s="288"/>
      <c r="BL113" s="288"/>
      <c r="BM113" s="288"/>
      <c r="BN113" s="288"/>
      <c r="BO113" s="10"/>
      <c r="BP113" s="11"/>
    </row>
    <row r="114" spans="1:68" s="8" customFormat="1">
      <c r="A114" s="9"/>
      <c r="B114" s="32"/>
      <c r="C114" s="42"/>
      <c r="D114" s="42"/>
      <c r="E114" s="42"/>
      <c r="F114" s="42"/>
      <c r="G114" s="42"/>
      <c r="H114" s="42"/>
      <c r="I114" s="42"/>
      <c r="J114" s="29" t="s">
        <v>980</v>
      </c>
      <c r="K114" s="149"/>
      <c r="L114" s="149"/>
      <c r="M114" s="149"/>
      <c r="N114" s="149"/>
      <c r="O114" s="149"/>
      <c r="P114" s="149"/>
      <c r="Q114" s="150"/>
      <c r="R114" s="38">
        <v>1</v>
      </c>
      <c r="S114" s="36" t="s">
        <v>981</v>
      </c>
      <c r="T114" s="37"/>
      <c r="U114" s="37"/>
      <c r="V114" s="37"/>
      <c r="W114" s="37"/>
      <c r="X114" s="37"/>
      <c r="Y114" s="37"/>
      <c r="Z114" s="37"/>
      <c r="AA114" s="37"/>
      <c r="AB114" s="37"/>
      <c r="AC114" s="37"/>
      <c r="AD114" s="37"/>
      <c r="AE114" s="38"/>
      <c r="AF114" s="284"/>
      <c r="AG114" s="286"/>
      <c r="AH114" s="284"/>
      <c r="AI114" s="286"/>
      <c r="AJ114" s="284" t="s">
        <v>492</v>
      </c>
      <c r="AK114" s="286"/>
      <c r="AL114" s="284"/>
      <c r="AM114" s="286"/>
      <c r="AN114" s="284"/>
      <c r="AO114" s="286"/>
      <c r="AP114" s="284" t="s">
        <v>131</v>
      </c>
      <c r="AQ114" s="285"/>
      <c r="AR114" s="285"/>
      <c r="AS114" s="285"/>
      <c r="AT114" s="285"/>
      <c r="AU114" s="285"/>
      <c r="AV114" s="285"/>
      <c r="AW114" s="286"/>
      <c r="AX114" s="287" t="s">
        <v>605</v>
      </c>
      <c r="AY114" s="287"/>
      <c r="AZ114" s="287"/>
      <c r="BA114" s="287"/>
      <c r="BB114" s="287"/>
      <c r="BC114" s="287"/>
      <c r="BD114" s="287"/>
      <c r="BE114" s="287"/>
      <c r="BF114" s="377"/>
      <c r="BG114" s="377"/>
      <c r="BH114" s="377"/>
      <c r="BI114" s="377"/>
      <c r="BJ114" s="377"/>
      <c r="BK114" s="377"/>
      <c r="BL114" s="377"/>
      <c r="BM114" s="377"/>
      <c r="BN114" s="377"/>
      <c r="BO114" s="10"/>
      <c r="BP114" s="11"/>
    </row>
    <row r="115" spans="1:68" s="8" customFormat="1">
      <c r="A115" s="9"/>
      <c r="B115" s="33"/>
      <c r="C115" s="42"/>
      <c r="D115" s="42"/>
      <c r="E115" s="42"/>
      <c r="F115" s="42"/>
      <c r="G115" s="42"/>
      <c r="H115" s="42"/>
      <c r="I115" s="42"/>
      <c r="J115" s="158"/>
      <c r="K115" s="160"/>
      <c r="L115" s="160"/>
      <c r="M115" s="160"/>
      <c r="N115" s="160"/>
      <c r="O115" s="160"/>
      <c r="P115" s="160"/>
      <c r="Q115" s="159"/>
      <c r="R115" s="38">
        <v>2</v>
      </c>
      <c r="S115" s="36" t="s">
        <v>982</v>
      </c>
      <c r="T115" s="37"/>
      <c r="U115" s="37"/>
      <c r="V115" s="37"/>
      <c r="W115" s="37"/>
      <c r="X115" s="37"/>
      <c r="Y115" s="37"/>
      <c r="Z115" s="37"/>
      <c r="AA115" s="37"/>
      <c r="AB115" s="37"/>
      <c r="AC115" s="37"/>
      <c r="AD115" s="37"/>
      <c r="AE115" s="38"/>
      <c r="AF115" s="284"/>
      <c r="AG115" s="286"/>
      <c r="AH115" s="284"/>
      <c r="AI115" s="286"/>
      <c r="AJ115" s="284" t="s">
        <v>492</v>
      </c>
      <c r="AK115" s="286"/>
      <c r="AL115" s="284"/>
      <c r="AM115" s="286"/>
      <c r="AN115" s="284"/>
      <c r="AO115" s="286"/>
      <c r="AP115" s="284" t="s">
        <v>131</v>
      </c>
      <c r="AQ115" s="285"/>
      <c r="AR115" s="285"/>
      <c r="AS115" s="285"/>
      <c r="AT115" s="285"/>
      <c r="AU115" s="285"/>
      <c r="AV115" s="285"/>
      <c r="AW115" s="286"/>
      <c r="AX115" s="284" t="s">
        <v>132</v>
      </c>
      <c r="AY115" s="285"/>
      <c r="AZ115" s="285"/>
      <c r="BA115" s="285"/>
      <c r="BB115" s="285"/>
      <c r="BC115" s="285"/>
      <c r="BD115" s="285"/>
      <c r="BE115" s="286"/>
      <c r="BF115" s="288"/>
      <c r="BG115" s="288"/>
      <c r="BH115" s="288"/>
      <c r="BI115" s="288"/>
      <c r="BJ115" s="288"/>
      <c r="BK115" s="288"/>
      <c r="BL115" s="288"/>
      <c r="BM115" s="288"/>
      <c r="BN115" s="288"/>
      <c r="BO115" s="10"/>
    </row>
    <row r="116" spans="1:68" s="8" customFormat="1">
      <c r="A116" s="9"/>
      <c r="B116" s="32"/>
      <c r="C116" s="42"/>
      <c r="D116" s="42"/>
      <c r="E116" s="42"/>
      <c r="F116" s="42"/>
      <c r="G116" s="42"/>
      <c r="H116" s="42"/>
      <c r="I116" s="42"/>
      <c r="J116" s="161"/>
      <c r="K116" s="160"/>
      <c r="L116" s="160"/>
      <c r="M116" s="160"/>
      <c r="N116" s="160"/>
      <c r="O116" s="160"/>
      <c r="P116" s="160"/>
      <c r="Q116" s="159"/>
      <c r="R116" s="38">
        <v>3</v>
      </c>
      <c r="S116" s="36" t="s">
        <v>607</v>
      </c>
      <c r="T116" s="37"/>
      <c r="U116" s="37"/>
      <c r="V116" s="37"/>
      <c r="W116" s="37"/>
      <c r="X116" s="37"/>
      <c r="Y116" s="37"/>
      <c r="Z116" s="37"/>
      <c r="AA116" s="37"/>
      <c r="AB116" s="37"/>
      <c r="AC116" s="37"/>
      <c r="AD116" s="37"/>
      <c r="AE116" s="38"/>
      <c r="AF116" s="284"/>
      <c r="AG116" s="286"/>
      <c r="AH116" s="284"/>
      <c r="AI116" s="286"/>
      <c r="AJ116" s="284" t="s">
        <v>492</v>
      </c>
      <c r="AK116" s="286"/>
      <c r="AL116" s="284"/>
      <c r="AM116" s="286"/>
      <c r="AN116" s="284"/>
      <c r="AO116" s="286"/>
      <c r="AP116" s="284" t="s">
        <v>131</v>
      </c>
      <c r="AQ116" s="285"/>
      <c r="AR116" s="285"/>
      <c r="AS116" s="285"/>
      <c r="AT116" s="285"/>
      <c r="AU116" s="285"/>
      <c r="AV116" s="285"/>
      <c r="AW116" s="286"/>
      <c r="AX116" s="284" t="s">
        <v>132</v>
      </c>
      <c r="AY116" s="285"/>
      <c r="AZ116" s="285"/>
      <c r="BA116" s="285"/>
      <c r="BB116" s="285"/>
      <c r="BC116" s="285"/>
      <c r="BD116" s="285"/>
      <c r="BE116" s="286"/>
      <c r="BF116" s="377"/>
      <c r="BG116" s="377"/>
      <c r="BH116" s="377"/>
      <c r="BI116" s="377"/>
      <c r="BJ116" s="377"/>
      <c r="BK116" s="377"/>
      <c r="BL116" s="377"/>
      <c r="BM116" s="377"/>
      <c r="BN116" s="377"/>
      <c r="BO116" s="10"/>
      <c r="BP116" s="11"/>
    </row>
    <row r="117" spans="1:68" s="8" customFormat="1">
      <c r="A117" s="9"/>
      <c r="B117" s="33"/>
      <c r="C117" s="42"/>
      <c r="D117" s="42"/>
      <c r="E117" s="42"/>
      <c r="F117" s="42"/>
      <c r="G117" s="42"/>
      <c r="H117" s="42"/>
      <c r="I117" s="42"/>
      <c r="J117" s="162"/>
      <c r="K117" s="163"/>
      <c r="L117" s="163"/>
      <c r="M117" s="163"/>
      <c r="N117" s="163"/>
      <c r="O117" s="163"/>
      <c r="P117" s="163"/>
      <c r="Q117" s="164"/>
      <c r="R117" s="38">
        <v>4</v>
      </c>
      <c r="S117" s="36" t="s">
        <v>138</v>
      </c>
      <c r="T117" s="37"/>
      <c r="U117" s="37"/>
      <c r="V117" s="37"/>
      <c r="W117" s="37"/>
      <c r="X117" s="37"/>
      <c r="Y117" s="37"/>
      <c r="Z117" s="37"/>
      <c r="AA117" s="37"/>
      <c r="AB117" s="37"/>
      <c r="AC117" s="37"/>
      <c r="AD117" s="37"/>
      <c r="AE117" s="38"/>
      <c r="AF117" s="284"/>
      <c r="AG117" s="286"/>
      <c r="AH117" s="284"/>
      <c r="AI117" s="286"/>
      <c r="AJ117" s="284"/>
      <c r="AK117" s="286"/>
      <c r="AL117" s="284"/>
      <c r="AM117" s="286"/>
      <c r="AN117" s="284" t="s">
        <v>492</v>
      </c>
      <c r="AO117" s="286"/>
      <c r="AP117" s="284" t="s">
        <v>131</v>
      </c>
      <c r="AQ117" s="285"/>
      <c r="AR117" s="285"/>
      <c r="AS117" s="285"/>
      <c r="AT117" s="285"/>
      <c r="AU117" s="285"/>
      <c r="AV117" s="285"/>
      <c r="AW117" s="286"/>
      <c r="AX117" s="284" t="s">
        <v>138</v>
      </c>
      <c r="AY117" s="285"/>
      <c r="AZ117" s="285"/>
      <c r="BA117" s="285"/>
      <c r="BB117" s="285"/>
      <c r="BC117" s="285"/>
      <c r="BD117" s="285"/>
      <c r="BE117" s="286"/>
      <c r="BF117" s="288"/>
      <c r="BG117" s="288"/>
      <c r="BH117" s="288"/>
      <c r="BI117" s="288"/>
      <c r="BJ117" s="288"/>
      <c r="BK117" s="288"/>
      <c r="BL117" s="288"/>
      <c r="BM117" s="288"/>
      <c r="BN117" s="288"/>
      <c r="BO117" s="10"/>
    </row>
    <row r="118" spans="1:68" s="8" customFormat="1" ht="26.45" customHeight="1">
      <c r="A118" s="9"/>
      <c r="B118" s="33"/>
      <c r="C118" s="42"/>
      <c r="D118" s="42"/>
      <c r="E118" s="42"/>
      <c r="F118" s="42"/>
      <c r="G118" s="42"/>
      <c r="H118" s="42"/>
      <c r="I118" s="42"/>
      <c r="J118" s="424" t="s">
        <v>983</v>
      </c>
      <c r="K118" s="425"/>
      <c r="L118" s="425"/>
      <c r="M118" s="425"/>
      <c r="N118" s="425"/>
      <c r="O118" s="425"/>
      <c r="P118" s="425"/>
      <c r="Q118" s="426"/>
      <c r="R118" s="38">
        <v>1</v>
      </c>
      <c r="S118" s="412" t="s">
        <v>984</v>
      </c>
      <c r="T118" s="434"/>
      <c r="U118" s="434"/>
      <c r="V118" s="434"/>
      <c r="W118" s="434"/>
      <c r="X118" s="434"/>
      <c r="Y118" s="434"/>
      <c r="Z118" s="434"/>
      <c r="AA118" s="434"/>
      <c r="AB118" s="434"/>
      <c r="AC118" s="434"/>
      <c r="AD118" s="434"/>
      <c r="AE118" s="435"/>
      <c r="AF118" s="284"/>
      <c r="AG118" s="286"/>
      <c r="AH118" s="284"/>
      <c r="AI118" s="286"/>
      <c r="AJ118" s="284" t="s">
        <v>492</v>
      </c>
      <c r="AK118" s="286"/>
      <c r="AL118" s="284"/>
      <c r="AM118" s="286"/>
      <c r="AN118" s="284"/>
      <c r="AO118" s="286"/>
      <c r="AP118" s="284" t="s">
        <v>131</v>
      </c>
      <c r="AQ118" s="285"/>
      <c r="AR118" s="285"/>
      <c r="AS118" s="285"/>
      <c r="AT118" s="285"/>
      <c r="AU118" s="285"/>
      <c r="AV118" s="285"/>
      <c r="AW118" s="286"/>
      <c r="AX118" s="284" t="s">
        <v>966</v>
      </c>
      <c r="AY118" s="285"/>
      <c r="AZ118" s="285"/>
      <c r="BA118" s="285"/>
      <c r="BB118" s="285"/>
      <c r="BC118" s="285"/>
      <c r="BD118" s="285"/>
      <c r="BE118" s="286"/>
      <c r="BF118" s="377" t="s">
        <v>985</v>
      </c>
      <c r="BG118" s="288"/>
      <c r="BH118" s="288"/>
      <c r="BI118" s="288"/>
      <c r="BJ118" s="288"/>
      <c r="BK118" s="288"/>
      <c r="BL118" s="288"/>
      <c r="BM118" s="288"/>
      <c r="BN118" s="288"/>
      <c r="BO118" s="10"/>
    </row>
    <row r="119" spans="1:68" s="8" customFormat="1">
      <c r="A119" s="9"/>
      <c r="B119" s="32"/>
      <c r="C119" s="42"/>
      <c r="D119" s="42"/>
      <c r="E119" s="42"/>
      <c r="F119" s="42"/>
      <c r="G119" s="42"/>
      <c r="H119" s="42"/>
      <c r="I119" s="42"/>
      <c r="J119" s="29" t="s">
        <v>986</v>
      </c>
      <c r="K119" s="149"/>
      <c r="L119" s="149"/>
      <c r="M119" s="149"/>
      <c r="N119" s="149"/>
      <c r="O119" s="149"/>
      <c r="P119" s="149"/>
      <c r="Q119" s="150"/>
      <c r="R119" s="38">
        <v>1</v>
      </c>
      <c r="S119" s="36" t="s">
        <v>987</v>
      </c>
      <c r="T119" s="37"/>
      <c r="U119" s="37"/>
      <c r="V119" s="37"/>
      <c r="W119" s="37"/>
      <c r="X119" s="37"/>
      <c r="Y119" s="37"/>
      <c r="Z119" s="37"/>
      <c r="AA119" s="37"/>
      <c r="AB119" s="37"/>
      <c r="AC119" s="37"/>
      <c r="AD119" s="37"/>
      <c r="AE119" s="38"/>
      <c r="AF119" s="284"/>
      <c r="AG119" s="286"/>
      <c r="AH119" s="284"/>
      <c r="AI119" s="286"/>
      <c r="AJ119" s="284" t="s">
        <v>492</v>
      </c>
      <c r="AK119" s="286"/>
      <c r="AL119" s="284"/>
      <c r="AM119" s="286"/>
      <c r="AN119" s="284"/>
      <c r="AO119" s="286"/>
      <c r="AP119" s="284" t="s">
        <v>131</v>
      </c>
      <c r="AQ119" s="285"/>
      <c r="AR119" s="285"/>
      <c r="AS119" s="285"/>
      <c r="AT119" s="285"/>
      <c r="AU119" s="285"/>
      <c r="AV119" s="285"/>
      <c r="AW119" s="286"/>
      <c r="AX119" s="284" t="s">
        <v>132</v>
      </c>
      <c r="AY119" s="285"/>
      <c r="AZ119" s="285"/>
      <c r="BA119" s="285"/>
      <c r="BB119" s="285"/>
      <c r="BC119" s="285"/>
      <c r="BD119" s="285"/>
      <c r="BE119" s="286"/>
      <c r="BF119" s="377"/>
      <c r="BG119" s="377"/>
      <c r="BH119" s="377"/>
      <c r="BI119" s="377"/>
      <c r="BJ119" s="377"/>
      <c r="BK119" s="377"/>
      <c r="BL119" s="377"/>
      <c r="BM119" s="377"/>
      <c r="BN119" s="377"/>
      <c r="BO119" s="10"/>
      <c r="BP119" s="11"/>
    </row>
    <row r="120" spans="1:68" s="8" customFormat="1">
      <c r="A120" s="9"/>
      <c r="B120" s="33"/>
      <c r="C120" s="42"/>
      <c r="D120" s="42"/>
      <c r="E120" s="42"/>
      <c r="F120" s="42"/>
      <c r="G120" s="42"/>
      <c r="H120" s="42"/>
      <c r="I120" s="42"/>
      <c r="J120" s="158"/>
      <c r="K120" s="160"/>
      <c r="L120" s="160"/>
      <c r="M120" s="160"/>
      <c r="N120" s="160"/>
      <c r="O120" s="160"/>
      <c r="P120" s="160"/>
      <c r="Q120" s="159"/>
      <c r="R120" s="38">
        <v>2</v>
      </c>
      <c r="S120" s="36" t="s">
        <v>988</v>
      </c>
      <c r="T120" s="37"/>
      <c r="U120" s="37"/>
      <c r="V120" s="37"/>
      <c r="W120" s="37"/>
      <c r="X120" s="37"/>
      <c r="Y120" s="37"/>
      <c r="Z120" s="37"/>
      <c r="AA120" s="37"/>
      <c r="AB120" s="37"/>
      <c r="AC120" s="37"/>
      <c r="AD120" s="37"/>
      <c r="AE120" s="38"/>
      <c r="AF120" s="284"/>
      <c r="AG120" s="286"/>
      <c r="AH120" s="284"/>
      <c r="AI120" s="286"/>
      <c r="AJ120" s="284" t="s">
        <v>492</v>
      </c>
      <c r="AK120" s="286"/>
      <c r="AL120" s="284"/>
      <c r="AM120" s="286"/>
      <c r="AN120" s="284"/>
      <c r="AO120" s="286"/>
      <c r="AP120" s="284" t="s">
        <v>131</v>
      </c>
      <c r="AQ120" s="285"/>
      <c r="AR120" s="285"/>
      <c r="AS120" s="285"/>
      <c r="AT120" s="285"/>
      <c r="AU120" s="285"/>
      <c r="AV120" s="285"/>
      <c r="AW120" s="286"/>
      <c r="AX120" s="284" t="s">
        <v>132</v>
      </c>
      <c r="AY120" s="285"/>
      <c r="AZ120" s="285"/>
      <c r="BA120" s="285"/>
      <c r="BB120" s="285"/>
      <c r="BC120" s="285"/>
      <c r="BD120" s="285"/>
      <c r="BE120" s="286"/>
      <c r="BF120" s="288"/>
      <c r="BG120" s="288"/>
      <c r="BH120" s="288"/>
      <c r="BI120" s="288"/>
      <c r="BJ120" s="288"/>
      <c r="BK120" s="288"/>
      <c r="BL120" s="288"/>
      <c r="BM120" s="288"/>
      <c r="BN120" s="288"/>
      <c r="BO120" s="10"/>
    </row>
    <row r="121" spans="1:68" s="8" customFormat="1">
      <c r="A121" s="9"/>
      <c r="B121" s="32"/>
      <c r="C121" s="42"/>
      <c r="D121" s="42"/>
      <c r="E121" s="42"/>
      <c r="F121" s="42"/>
      <c r="G121" s="42"/>
      <c r="H121" s="42"/>
      <c r="I121" s="42"/>
      <c r="J121" s="161"/>
      <c r="K121" s="160"/>
      <c r="L121" s="160"/>
      <c r="M121" s="160"/>
      <c r="N121" s="160"/>
      <c r="O121" s="160"/>
      <c r="P121" s="160"/>
      <c r="Q121" s="159"/>
      <c r="R121" s="38">
        <v>3</v>
      </c>
      <c r="S121" s="36" t="s">
        <v>989</v>
      </c>
      <c r="T121" s="37"/>
      <c r="U121" s="37"/>
      <c r="V121" s="37"/>
      <c r="W121" s="37"/>
      <c r="X121" s="37"/>
      <c r="Y121" s="37"/>
      <c r="Z121" s="37"/>
      <c r="AA121" s="37"/>
      <c r="AB121" s="37"/>
      <c r="AC121" s="37"/>
      <c r="AD121" s="37"/>
      <c r="AE121" s="38"/>
      <c r="AF121" s="284"/>
      <c r="AG121" s="286"/>
      <c r="AH121" s="284"/>
      <c r="AI121" s="286"/>
      <c r="AJ121" s="284" t="s">
        <v>492</v>
      </c>
      <c r="AK121" s="286"/>
      <c r="AL121" s="284"/>
      <c r="AM121" s="286"/>
      <c r="AN121" s="284"/>
      <c r="AO121" s="286"/>
      <c r="AP121" s="284" t="s">
        <v>131</v>
      </c>
      <c r="AQ121" s="285"/>
      <c r="AR121" s="285"/>
      <c r="AS121" s="285"/>
      <c r="AT121" s="285"/>
      <c r="AU121" s="285"/>
      <c r="AV121" s="285"/>
      <c r="AW121" s="286"/>
      <c r="AX121" s="284" t="s">
        <v>132</v>
      </c>
      <c r="AY121" s="285"/>
      <c r="AZ121" s="285"/>
      <c r="BA121" s="285"/>
      <c r="BB121" s="285"/>
      <c r="BC121" s="285"/>
      <c r="BD121" s="285"/>
      <c r="BE121" s="286"/>
      <c r="BF121" s="377"/>
      <c r="BG121" s="377"/>
      <c r="BH121" s="377"/>
      <c r="BI121" s="377"/>
      <c r="BJ121" s="377"/>
      <c r="BK121" s="377"/>
      <c r="BL121" s="377"/>
      <c r="BM121" s="377"/>
      <c r="BN121" s="377"/>
      <c r="BO121" s="10"/>
      <c r="BP121" s="11"/>
    </row>
    <row r="122" spans="1:68" s="8" customFormat="1">
      <c r="A122" s="9"/>
      <c r="B122" s="33"/>
      <c r="C122" s="42"/>
      <c r="D122" s="42"/>
      <c r="E122" s="42"/>
      <c r="F122" s="42"/>
      <c r="G122" s="42"/>
      <c r="H122" s="42"/>
      <c r="I122" s="42"/>
      <c r="J122" s="162"/>
      <c r="K122" s="163"/>
      <c r="L122" s="163"/>
      <c r="M122" s="163"/>
      <c r="N122" s="163"/>
      <c r="O122" s="163"/>
      <c r="P122" s="163"/>
      <c r="Q122" s="164"/>
      <c r="R122" s="38">
        <v>4</v>
      </c>
      <c r="S122" s="36" t="s">
        <v>138</v>
      </c>
      <c r="T122" s="37"/>
      <c r="U122" s="37"/>
      <c r="V122" s="37"/>
      <c r="W122" s="37"/>
      <c r="X122" s="37"/>
      <c r="Y122" s="37"/>
      <c r="Z122" s="37"/>
      <c r="AA122" s="37"/>
      <c r="AB122" s="37"/>
      <c r="AC122" s="37"/>
      <c r="AD122" s="37"/>
      <c r="AE122" s="38"/>
      <c r="AF122" s="284"/>
      <c r="AG122" s="286"/>
      <c r="AH122" s="284"/>
      <c r="AI122" s="286"/>
      <c r="AJ122" s="284"/>
      <c r="AK122" s="286"/>
      <c r="AL122" s="284"/>
      <c r="AM122" s="286"/>
      <c r="AN122" s="284" t="s">
        <v>492</v>
      </c>
      <c r="AO122" s="286"/>
      <c r="AP122" s="284" t="s">
        <v>131</v>
      </c>
      <c r="AQ122" s="285"/>
      <c r="AR122" s="285"/>
      <c r="AS122" s="285"/>
      <c r="AT122" s="285"/>
      <c r="AU122" s="285"/>
      <c r="AV122" s="285"/>
      <c r="AW122" s="286"/>
      <c r="AX122" s="284" t="s">
        <v>138</v>
      </c>
      <c r="AY122" s="285"/>
      <c r="AZ122" s="285"/>
      <c r="BA122" s="285"/>
      <c r="BB122" s="285"/>
      <c r="BC122" s="285"/>
      <c r="BD122" s="285"/>
      <c r="BE122" s="286"/>
      <c r="BF122" s="288"/>
      <c r="BG122" s="288"/>
      <c r="BH122" s="288"/>
      <c r="BI122" s="288"/>
      <c r="BJ122" s="288"/>
      <c r="BK122" s="288"/>
      <c r="BL122" s="288"/>
      <c r="BM122" s="288"/>
      <c r="BN122" s="288"/>
      <c r="BO122" s="10"/>
    </row>
    <row r="123" spans="1:68" s="8" customFormat="1">
      <c r="A123" s="9"/>
      <c r="B123" s="32"/>
      <c r="C123" s="42"/>
      <c r="D123" s="42"/>
      <c r="E123" s="42"/>
      <c r="F123" s="42"/>
      <c r="G123" s="42"/>
      <c r="H123" s="42"/>
      <c r="I123" s="42"/>
      <c r="J123" s="29" t="s">
        <v>990</v>
      </c>
      <c r="K123" s="149"/>
      <c r="L123" s="149"/>
      <c r="M123" s="149"/>
      <c r="N123" s="149"/>
      <c r="O123" s="149"/>
      <c r="P123" s="149"/>
      <c r="Q123" s="150"/>
      <c r="R123" s="38">
        <v>1</v>
      </c>
      <c r="S123" s="36" t="s">
        <v>991</v>
      </c>
      <c r="T123" s="37"/>
      <c r="U123" s="37"/>
      <c r="V123" s="37"/>
      <c r="W123" s="37"/>
      <c r="X123" s="37"/>
      <c r="Y123" s="37"/>
      <c r="Z123" s="37"/>
      <c r="AA123" s="37"/>
      <c r="AB123" s="37"/>
      <c r="AC123" s="37"/>
      <c r="AD123" s="37"/>
      <c r="AE123" s="38"/>
      <c r="AF123" s="284"/>
      <c r="AG123" s="286"/>
      <c r="AH123" s="284"/>
      <c r="AI123" s="286"/>
      <c r="AJ123" s="284" t="s">
        <v>492</v>
      </c>
      <c r="AK123" s="286"/>
      <c r="AL123" s="284"/>
      <c r="AM123" s="286"/>
      <c r="AN123" s="284"/>
      <c r="AO123" s="286"/>
      <c r="AP123" s="284" t="s">
        <v>131</v>
      </c>
      <c r="AQ123" s="285"/>
      <c r="AR123" s="285"/>
      <c r="AS123" s="285"/>
      <c r="AT123" s="285"/>
      <c r="AU123" s="285"/>
      <c r="AV123" s="285"/>
      <c r="AW123" s="286"/>
      <c r="AX123" s="284" t="s">
        <v>992</v>
      </c>
      <c r="AY123" s="285"/>
      <c r="AZ123" s="285"/>
      <c r="BA123" s="285"/>
      <c r="BB123" s="285"/>
      <c r="BC123" s="285"/>
      <c r="BD123" s="285"/>
      <c r="BE123" s="286"/>
      <c r="BF123" s="377"/>
      <c r="BG123" s="377"/>
      <c r="BH123" s="377"/>
      <c r="BI123" s="377"/>
      <c r="BJ123" s="377"/>
      <c r="BK123" s="377"/>
      <c r="BL123" s="377"/>
      <c r="BM123" s="377"/>
      <c r="BN123" s="377"/>
      <c r="BO123" s="10"/>
      <c r="BP123" s="11"/>
    </row>
    <row r="124" spans="1:68" s="8" customFormat="1">
      <c r="A124" s="9"/>
      <c r="B124" s="32"/>
      <c r="C124" s="42"/>
      <c r="D124" s="42"/>
      <c r="E124" s="42"/>
      <c r="F124" s="42"/>
      <c r="G124" s="42"/>
      <c r="H124" s="42"/>
      <c r="I124" s="42"/>
      <c r="J124" s="29" t="s">
        <v>993</v>
      </c>
      <c r="K124" s="149"/>
      <c r="L124" s="149"/>
      <c r="M124" s="149"/>
      <c r="N124" s="149"/>
      <c r="O124" s="149"/>
      <c r="P124" s="149"/>
      <c r="Q124" s="150"/>
      <c r="R124" s="38">
        <v>1</v>
      </c>
      <c r="S124" s="36" t="s">
        <v>994</v>
      </c>
      <c r="T124" s="37"/>
      <c r="U124" s="37"/>
      <c r="V124" s="37"/>
      <c r="W124" s="37"/>
      <c r="X124" s="37"/>
      <c r="Y124" s="37"/>
      <c r="Z124" s="37"/>
      <c r="AA124" s="37"/>
      <c r="AB124" s="37"/>
      <c r="AC124" s="37"/>
      <c r="AD124" s="37"/>
      <c r="AE124" s="38"/>
      <c r="AF124" s="284"/>
      <c r="AG124" s="286"/>
      <c r="AH124" s="284"/>
      <c r="AI124" s="286"/>
      <c r="AJ124" s="284" t="s">
        <v>492</v>
      </c>
      <c r="AK124" s="286"/>
      <c r="AL124" s="284"/>
      <c r="AM124" s="286"/>
      <c r="AN124" s="284"/>
      <c r="AO124" s="286"/>
      <c r="AP124" s="284" t="s">
        <v>131</v>
      </c>
      <c r="AQ124" s="285"/>
      <c r="AR124" s="285"/>
      <c r="AS124" s="285"/>
      <c r="AT124" s="285"/>
      <c r="AU124" s="285"/>
      <c r="AV124" s="285"/>
      <c r="AW124" s="286"/>
      <c r="AX124" s="284" t="s">
        <v>992</v>
      </c>
      <c r="AY124" s="285"/>
      <c r="AZ124" s="285"/>
      <c r="BA124" s="285"/>
      <c r="BB124" s="285"/>
      <c r="BC124" s="285"/>
      <c r="BD124" s="285"/>
      <c r="BE124" s="286"/>
      <c r="BF124" s="377"/>
      <c r="BG124" s="377"/>
      <c r="BH124" s="377"/>
      <c r="BI124" s="377"/>
      <c r="BJ124" s="377"/>
      <c r="BK124" s="377"/>
      <c r="BL124" s="377"/>
      <c r="BM124" s="377"/>
      <c r="BN124" s="377"/>
      <c r="BO124" s="10"/>
      <c r="BP124" s="11"/>
    </row>
    <row r="125" spans="1:68" s="8" customFormat="1">
      <c r="A125" s="9"/>
      <c r="B125" s="33"/>
      <c r="C125" s="42"/>
      <c r="D125" s="42"/>
      <c r="E125" s="42"/>
      <c r="F125" s="42"/>
      <c r="G125" s="42"/>
      <c r="H125" s="42"/>
      <c r="I125" s="42"/>
      <c r="J125" s="158"/>
      <c r="K125" s="160"/>
      <c r="L125" s="160"/>
      <c r="M125" s="160"/>
      <c r="N125" s="160"/>
      <c r="O125" s="160"/>
      <c r="P125" s="160"/>
      <c r="Q125" s="159"/>
      <c r="R125" s="38">
        <v>2</v>
      </c>
      <c r="S125" s="36" t="s">
        <v>995</v>
      </c>
      <c r="T125" s="37"/>
      <c r="U125" s="37"/>
      <c r="V125" s="37"/>
      <c r="W125" s="37"/>
      <c r="X125" s="37"/>
      <c r="Y125" s="37"/>
      <c r="Z125" s="37"/>
      <c r="AA125" s="37"/>
      <c r="AB125" s="37"/>
      <c r="AC125" s="37"/>
      <c r="AD125" s="37"/>
      <c r="AE125" s="38"/>
      <c r="AF125" s="284"/>
      <c r="AG125" s="286"/>
      <c r="AH125" s="284"/>
      <c r="AI125" s="286"/>
      <c r="AJ125" s="284" t="s">
        <v>492</v>
      </c>
      <c r="AK125" s="286"/>
      <c r="AL125" s="284"/>
      <c r="AM125" s="286"/>
      <c r="AN125" s="284"/>
      <c r="AO125" s="286"/>
      <c r="AP125" s="284" t="s">
        <v>131</v>
      </c>
      <c r="AQ125" s="285"/>
      <c r="AR125" s="285"/>
      <c r="AS125" s="285"/>
      <c r="AT125" s="285"/>
      <c r="AU125" s="285"/>
      <c r="AV125" s="285"/>
      <c r="AW125" s="286"/>
      <c r="AX125" s="284" t="s">
        <v>132</v>
      </c>
      <c r="AY125" s="285"/>
      <c r="AZ125" s="285"/>
      <c r="BA125" s="285"/>
      <c r="BB125" s="285"/>
      <c r="BC125" s="285"/>
      <c r="BD125" s="285"/>
      <c r="BE125" s="286"/>
      <c r="BF125" s="288"/>
      <c r="BG125" s="288"/>
      <c r="BH125" s="288"/>
      <c r="BI125" s="288"/>
      <c r="BJ125" s="288"/>
      <c r="BK125" s="288"/>
      <c r="BL125" s="288"/>
      <c r="BM125" s="288"/>
      <c r="BN125" s="288"/>
      <c r="BO125" s="10"/>
    </row>
    <row r="126" spans="1:68" s="8" customFormat="1">
      <c r="A126" s="9"/>
      <c r="B126" s="32"/>
      <c r="C126" s="42"/>
      <c r="D126" s="42"/>
      <c r="E126" s="42"/>
      <c r="F126" s="42"/>
      <c r="G126" s="42"/>
      <c r="H126" s="42"/>
      <c r="I126" s="42"/>
      <c r="J126" s="161"/>
      <c r="K126" s="160"/>
      <c r="L126" s="160"/>
      <c r="M126" s="160"/>
      <c r="N126" s="160"/>
      <c r="O126" s="160"/>
      <c r="P126" s="160"/>
      <c r="Q126" s="159"/>
      <c r="R126" s="38">
        <v>3</v>
      </c>
      <c r="S126" s="36" t="s">
        <v>996</v>
      </c>
      <c r="T126" s="37"/>
      <c r="U126" s="37"/>
      <c r="V126" s="37"/>
      <c r="W126" s="37"/>
      <c r="X126" s="37"/>
      <c r="Y126" s="37"/>
      <c r="Z126" s="37"/>
      <c r="AA126" s="37"/>
      <c r="AB126" s="37"/>
      <c r="AC126" s="37"/>
      <c r="AD126" s="37"/>
      <c r="AE126" s="38"/>
      <c r="AF126" s="284"/>
      <c r="AG126" s="286"/>
      <c r="AH126" s="284"/>
      <c r="AI126" s="286"/>
      <c r="AJ126" s="284" t="s">
        <v>492</v>
      </c>
      <c r="AK126" s="286"/>
      <c r="AL126" s="284"/>
      <c r="AM126" s="286"/>
      <c r="AN126" s="284"/>
      <c r="AO126" s="286"/>
      <c r="AP126" s="284" t="s">
        <v>131</v>
      </c>
      <c r="AQ126" s="285"/>
      <c r="AR126" s="285"/>
      <c r="AS126" s="285"/>
      <c r="AT126" s="285"/>
      <c r="AU126" s="285"/>
      <c r="AV126" s="285"/>
      <c r="AW126" s="286"/>
      <c r="AX126" s="284" t="s">
        <v>132</v>
      </c>
      <c r="AY126" s="285"/>
      <c r="AZ126" s="285"/>
      <c r="BA126" s="285"/>
      <c r="BB126" s="285"/>
      <c r="BC126" s="285"/>
      <c r="BD126" s="285"/>
      <c r="BE126" s="286"/>
      <c r="BF126" s="377"/>
      <c r="BG126" s="377"/>
      <c r="BH126" s="377"/>
      <c r="BI126" s="377"/>
      <c r="BJ126" s="377"/>
      <c r="BK126" s="377"/>
      <c r="BL126" s="377"/>
      <c r="BM126" s="377"/>
      <c r="BN126" s="377"/>
      <c r="BO126" s="10"/>
      <c r="BP126" s="11"/>
    </row>
    <row r="127" spans="1:68" s="8" customFormat="1">
      <c r="A127" s="9"/>
      <c r="B127" s="32"/>
      <c r="C127" s="42"/>
      <c r="D127" s="42"/>
      <c r="E127" s="42"/>
      <c r="F127" s="42"/>
      <c r="G127" s="42"/>
      <c r="H127" s="42"/>
      <c r="I127" s="42"/>
      <c r="J127" s="161"/>
      <c r="K127" s="160"/>
      <c r="L127" s="160"/>
      <c r="M127" s="160"/>
      <c r="N127" s="160"/>
      <c r="O127" s="160"/>
      <c r="P127" s="160"/>
      <c r="Q127" s="159"/>
      <c r="R127" s="38">
        <v>4</v>
      </c>
      <c r="S127" s="36" t="s">
        <v>997</v>
      </c>
      <c r="T127" s="37"/>
      <c r="U127" s="37"/>
      <c r="V127" s="37"/>
      <c r="W127" s="37"/>
      <c r="X127" s="37"/>
      <c r="Y127" s="37"/>
      <c r="Z127" s="37"/>
      <c r="AA127" s="37"/>
      <c r="AB127" s="37"/>
      <c r="AC127" s="37"/>
      <c r="AD127" s="37"/>
      <c r="AE127" s="38"/>
      <c r="AF127" s="284"/>
      <c r="AG127" s="286"/>
      <c r="AH127" s="284"/>
      <c r="AI127" s="286"/>
      <c r="AJ127" s="284" t="s">
        <v>492</v>
      </c>
      <c r="AK127" s="286"/>
      <c r="AL127" s="284"/>
      <c r="AM127" s="286"/>
      <c r="AN127" s="284"/>
      <c r="AO127" s="286"/>
      <c r="AP127" s="284" t="s">
        <v>131</v>
      </c>
      <c r="AQ127" s="285"/>
      <c r="AR127" s="285"/>
      <c r="AS127" s="285"/>
      <c r="AT127" s="285"/>
      <c r="AU127" s="285"/>
      <c r="AV127" s="285"/>
      <c r="AW127" s="286"/>
      <c r="AX127" s="284" t="s">
        <v>132</v>
      </c>
      <c r="AY127" s="285"/>
      <c r="AZ127" s="285"/>
      <c r="BA127" s="285"/>
      <c r="BB127" s="285"/>
      <c r="BC127" s="285"/>
      <c r="BD127" s="285"/>
      <c r="BE127" s="286"/>
      <c r="BF127" s="377"/>
      <c r="BG127" s="377"/>
      <c r="BH127" s="377"/>
      <c r="BI127" s="377"/>
      <c r="BJ127" s="377"/>
      <c r="BK127" s="377"/>
      <c r="BL127" s="377"/>
      <c r="BM127" s="377"/>
      <c r="BN127" s="377"/>
      <c r="BO127" s="10"/>
      <c r="BP127" s="11"/>
    </row>
    <row r="128" spans="1:68" s="8" customFormat="1">
      <c r="A128" s="9"/>
      <c r="B128" s="33"/>
      <c r="C128" s="42"/>
      <c r="D128" s="42"/>
      <c r="E128" s="42"/>
      <c r="F128" s="42"/>
      <c r="G128" s="42"/>
      <c r="H128" s="42"/>
      <c r="I128" s="42"/>
      <c r="J128" s="162"/>
      <c r="K128" s="163"/>
      <c r="L128" s="163"/>
      <c r="M128" s="163"/>
      <c r="N128" s="163"/>
      <c r="O128" s="163"/>
      <c r="P128" s="163"/>
      <c r="Q128" s="164"/>
      <c r="R128" s="38">
        <v>5</v>
      </c>
      <c r="S128" s="36" t="s">
        <v>138</v>
      </c>
      <c r="T128" s="37"/>
      <c r="U128" s="37"/>
      <c r="V128" s="37"/>
      <c r="W128" s="37"/>
      <c r="X128" s="37"/>
      <c r="Y128" s="37"/>
      <c r="Z128" s="37"/>
      <c r="AA128" s="37"/>
      <c r="AB128" s="37"/>
      <c r="AC128" s="37"/>
      <c r="AD128" s="37"/>
      <c r="AE128" s="38"/>
      <c r="AF128" s="284"/>
      <c r="AG128" s="286"/>
      <c r="AH128" s="284"/>
      <c r="AI128" s="286"/>
      <c r="AJ128" s="284"/>
      <c r="AK128" s="286"/>
      <c r="AL128" s="284"/>
      <c r="AM128" s="286"/>
      <c r="AN128" s="284" t="s">
        <v>492</v>
      </c>
      <c r="AO128" s="286"/>
      <c r="AP128" s="284" t="s">
        <v>131</v>
      </c>
      <c r="AQ128" s="285"/>
      <c r="AR128" s="285"/>
      <c r="AS128" s="285"/>
      <c r="AT128" s="285"/>
      <c r="AU128" s="285"/>
      <c r="AV128" s="285"/>
      <c r="AW128" s="286"/>
      <c r="AX128" s="284" t="s">
        <v>138</v>
      </c>
      <c r="AY128" s="285"/>
      <c r="AZ128" s="285"/>
      <c r="BA128" s="285"/>
      <c r="BB128" s="285"/>
      <c r="BC128" s="285"/>
      <c r="BD128" s="285"/>
      <c r="BE128" s="286"/>
      <c r="BF128" s="288"/>
      <c r="BG128" s="288"/>
      <c r="BH128" s="288"/>
      <c r="BI128" s="288"/>
      <c r="BJ128" s="288"/>
      <c r="BK128" s="288"/>
      <c r="BL128" s="288"/>
      <c r="BM128" s="288"/>
      <c r="BN128" s="288"/>
      <c r="BO128" s="10"/>
    </row>
    <row r="129" spans="1:68" s="8" customFormat="1">
      <c r="A129" s="9"/>
      <c r="B129" s="32"/>
      <c r="C129" s="42"/>
      <c r="D129" s="42"/>
      <c r="E129" s="42"/>
      <c r="F129" s="42"/>
      <c r="G129" s="42"/>
      <c r="H129" s="42"/>
      <c r="I129" s="42"/>
      <c r="J129" s="29" t="s">
        <v>998</v>
      </c>
      <c r="K129" s="149"/>
      <c r="L129" s="149"/>
      <c r="M129" s="149"/>
      <c r="N129" s="149"/>
      <c r="O129" s="149"/>
      <c r="P129" s="149"/>
      <c r="Q129" s="150"/>
      <c r="R129" s="38">
        <v>1</v>
      </c>
      <c r="S129" s="36" t="s">
        <v>999</v>
      </c>
      <c r="T129" s="37"/>
      <c r="U129" s="37"/>
      <c r="V129" s="37"/>
      <c r="W129" s="37"/>
      <c r="X129" s="37"/>
      <c r="Y129" s="37"/>
      <c r="Z129" s="37"/>
      <c r="AA129" s="37"/>
      <c r="AB129" s="37"/>
      <c r="AC129" s="37"/>
      <c r="AD129" s="37"/>
      <c r="AE129" s="38"/>
      <c r="AF129" s="284"/>
      <c r="AG129" s="286"/>
      <c r="AH129" s="284"/>
      <c r="AI129" s="286"/>
      <c r="AJ129" s="284" t="s">
        <v>492</v>
      </c>
      <c r="AK129" s="286"/>
      <c r="AL129" s="284" t="s">
        <v>492</v>
      </c>
      <c r="AM129" s="286"/>
      <c r="AN129" s="284"/>
      <c r="AO129" s="286"/>
      <c r="AP129" s="284" t="s">
        <v>131</v>
      </c>
      <c r="AQ129" s="285"/>
      <c r="AR129" s="285"/>
      <c r="AS129" s="285"/>
      <c r="AT129" s="285"/>
      <c r="AU129" s="285"/>
      <c r="AV129" s="285"/>
      <c r="AW129" s="286"/>
      <c r="AX129" s="284" t="s">
        <v>992</v>
      </c>
      <c r="AY129" s="285"/>
      <c r="AZ129" s="285"/>
      <c r="BA129" s="285"/>
      <c r="BB129" s="285"/>
      <c r="BC129" s="285"/>
      <c r="BD129" s="285"/>
      <c r="BE129" s="286"/>
      <c r="BF129" s="377"/>
      <c r="BG129" s="377"/>
      <c r="BH129" s="377"/>
      <c r="BI129" s="377"/>
      <c r="BJ129" s="377"/>
      <c r="BK129" s="377"/>
      <c r="BL129" s="377"/>
      <c r="BM129" s="377"/>
      <c r="BN129" s="377"/>
      <c r="BO129" s="10"/>
      <c r="BP129" s="11"/>
    </row>
    <row r="130" spans="1:68" s="8" customFormat="1">
      <c r="A130" s="9"/>
      <c r="B130" s="33"/>
      <c r="C130" s="42"/>
      <c r="D130" s="42"/>
      <c r="E130" s="42"/>
      <c r="F130" s="42"/>
      <c r="G130" s="42"/>
      <c r="H130" s="42"/>
      <c r="I130" s="42"/>
      <c r="J130" s="158"/>
      <c r="K130" s="160"/>
      <c r="L130" s="160"/>
      <c r="M130" s="160"/>
      <c r="N130" s="160"/>
      <c r="O130" s="160"/>
      <c r="P130" s="160"/>
      <c r="Q130" s="159"/>
      <c r="R130" s="38">
        <v>2</v>
      </c>
      <c r="S130" s="36" t="s">
        <v>1000</v>
      </c>
      <c r="T130" s="37"/>
      <c r="U130" s="37"/>
      <c r="V130" s="37"/>
      <c r="W130" s="37"/>
      <c r="X130" s="37"/>
      <c r="Y130" s="37"/>
      <c r="Z130" s="37"/>
      <c r="AA130" s="37"/>
      <c r="AB130" s="37"/>
      <c r="AC130" s="37"/>
      <c r="AD130" s="37"/>
      <c r="AE130" s="38"/>
      <c r="AF130" s="284"/>
      <c r="AG130" s="286"/>
      <c r="AH130" s="284"/>
      <c r="AI130" s="286"/>
      <c r="AJ130" s="284" t="s">
        <v>492</v>
      </c>
      <c r="AK130" s="286"/>
      <c r="AL130" s="284" t="s">
        <v>492</v>
      </c>
      <c r="AM130" s="286"/>
      <c r="AN130" s="284"/>
      <c r="AO130" s="286"/>
      <c r="AP130" s="284" t="s">
        <v>131</v>
      </c>
      <c r="AQ130" s="285"/>
      <c r="AR130" s="285"/>
      <c r="AS130" s="285"/>
      <c r="AT130" s="285"/>
      <c r="AU130" s="285"/>
      <c r="AV130" s="285"/>
      <c r="AW130" s="286"/>
      <c r="AX130" s="284" t="s">
        <v>1001</v>
      </c>
      <c r="AY130" s="285"/>
      <c r="AZ130" s="285"/>
      <c r="BA130" s="285"/>
      <c r="BB130" s="285"/>
      <c r="BC130" s="285"/>
      <c r="BD130" s="285"/>
      <c r="BE130" s="286"/>
      <c r="BF130" s="288"/>
      <c r="BG130" s="288"/>
      <c r="BH130" s="288"/>
      <c r="BI130" s="288"/>
      <c r="BJ130" s="288"/>
      <c r="BK130" s="288"/>
      <c r="BL130" s="288"/>
      <c r="BM130" s="288"/>
      <c r="BN130" s="288"/>
      <c r="BO130" s="10"/>
    </row>
    <row r="131" spans="1:68" s="8" customFormat="1">
      <c r="A131" s="9"/>
      <c r="B131" s="32"/>
      <c r="C131" s="42"/>
      <c r="D131" s="42"/>
      <c r="E131" s="42"/>
      <c r="F131" s="42"/>
      <c r="G131" s="42"/>
      <c r="H131" s="42"/>
      <c r="I131" s="42"/>
      <c r="J131" s="161"/>
      <c r="K131" s="160"/>
      <c r="L131" s="160"/>
      <c r="M131" s="160"/>
      <c r="N131" s="160"/>
      <c r="O131" s="160"/>
      <c r="P131" s="160"/>
      <c r="Q131" s="159"/>
      <c r="R131" s="38">
        <v>3</v>
      </c>
      <c r="S131" s="36" t="s">
        <v>1002</v>
      </c>
      <c r="T131" s="37"/>
      <c r="U131" s="37"/>
      <c r="V131" s="37"/>
      <c r="W131" s="37"/>
      <c r="X131" s="37"/>
      <c r="Y131" s="37"/>
      <c r="Z131" s="37"/>
      <c r="AA131" s="37"/>
      <c r="AB131" s="37"/>
      <c r="AC131" s="37"/>
      <c r="AD131" s="37"/>
      <c r="AE131" s="38"/>
      <c r="AF131" s="284"/>
      <c r="AG131" s="286"/>
      <c r="AH131" s="284"/>
      <c r="AI131" s="286"/>
      <c r="AJ131" s="284" t="s">
        <v>492</v>
      </c>
      <c r="AK131" s="286"/>
      <c r="AL131" s="284" t="s">
        <v>492</v>
      </c>
      <c r="AM131" s="286"/>
      <c r="AN131" s="284"/>
      <c r="AO131" s="286"/>
      <c r="AP131" s="284" t="s">
        <v>131</v>
      </c>
      <c r="AQ131" s="285"/>
      <c r="AR131" s="285"/>
      <c r="AS131" s="285"/>
      <c r="AT131" s="285"/>
      <c r="AU131" s="285"/>
      <c r="AV131" s="285"/>
      <c r="AW131" s="286"/>
      <c r="AX131" s="284" t="s">
        <v>1001</v>
      </c>
      <c r="AY131" s="285"/>
      <c r="AZ131" s="285"/>
      <c r="BA131" s="285"/>
      <c r="BB131" s="285"/>
      <c r="BC131" s="285"/>
      <c r="BD131" s="285"/>
      <c r="BE131" s="286"/>
      <c r="BF131" s="377"/>
      <c r="BG131" s="377"/>
      <c r="BH131" s="377"/>
      <c r="BI131" s="377"/>
      <c r="BJ131" s="377"/>
      <c r="BK131" s="377"/>
      <c r="BL131" s="377"/>
      <c r="BM131" s="377"/>
      <c r="BN131" s="377"/>
      <c r="BO131" s="10"/>
      <c r="BP131" s="11"/>
    </row>
    <row r="132" spans="1:68" s="8" customFormat="1">
      <c r="A132" s="9"/>
      <c r="B132" s="32"/>
      <c r="C132" s="42"/>
      <c r="D132" s="42"/>
      <c r="E132" s="42"/>
      <c r="F132" s="42"/>
      <c r="G132" s="42"/>
      <c r="H132" s="42"/>
      <c r="I132" s="42"/>
      <c r="J132" s="161"/>
      <c r="K132" s="160"/>
      <c r="L132" s="160"/>
      <c r="M132" s="160"/>
      <c r="N132" s="160"/>
      <c r="O132" s="160"/>
      <c r="P132" s="160"/>
      <c r="Q132" s="159"/>
      <c r="R132" s="38">
        <v>4</v>
      </c>
      <c r="S132" s="36" t="s">
        <v>1003</v>
      </c>
      <c r="T132" s="37"/>
      <c r="U132" s="37"/>
      <c r="V132" s="37"/>
      <c r="W132" s="37"/>
      <c r="X132" s="37"/>
      <c r="Y132" s="37"/>
      <c r="Z132" s="37"/>
      <c r="AA132" s="37"/>
      <c r="AB132" s="37"/>
      <c r="AC132" s="37"/>
      <c r="AD132" s="37"/>
      <c r="AE132" s="38"/>
      <c r="AF132" s="284"/>
      <c r="AG132" s="286"/>
      <c r="AH132" s="284"/>
      <c r="AI132" s="286"/>
      <c r="AJ132" s="284" t="s">
        <v>492</v>
      </c>
      <c r="AK132" s="286"/>
      <c r="AL132" s="284" t="s">
        <v>492</v>
      </c>
      <c r="AM132" s="286"/>
      <c r="AN132" s="284"/>
      <c r="AO132" s="286"/>
      <c r="AP132" s="284" t="s">
        <v>131</v>
      </c>
      <c r="AQ132" s="285"/>
      <c r="AR132" s="285"/>
      <c r="AS132" s="285"/>
      <c r="AT132" s="285"/>
      <c r="AU132" s="285"/>
      <c r="AV132" s="285"/>
      <c r="AW132" s="286"/>
      <c r="AX132" s="284" t="s">
        <v>1001</v>
      </c>
      <c r="AY132" s="285"/>
      <c r="AZ132" s="285"/>
      <c r="BA132" s="285"/>
      <c r="BB132" s="285"/>
      <c r="BC132" s="285"/>
      <c r="BD132" s="285"/>
      <c r="BE132" s="286"/>
      <c r="BF132" s="377"/>
      <c r="BG132" s="377"/>
      <c r="BH132" s="377"/>
      <c r="BI132" s="377"/>
      <c r="BJ132" s="377"/>
      <c r="BK132" s="377"/>
      <c r="BL132" s="377"/>
      <c r="BM132" s="377"/>
      <c r="BN132" s="377"/>
      <c r="BO132" s="10"/>
      <c r="BP132" s="11"/>
    </row>
    <row r="133" spans="1:68" s="8" customFormat="1">
      <c r="A133" s="9"/>
      <c r="B133" s="32"/>
      <c r="C133" s="42"/>
      <c r="D133" s="42"/>
      <c r="E133" s="42"/>
      <c r="F133" s="42"/>
      <c r="G133" s="42"/>
      <c r="H133" s="42"/>
      <c r="I133" s="42"/>
      <c r="J133" s="29" t="s">
        <v>1004</v>
      </c>
      <c r="K133" s="149"/>
      <c r="L133" s="149"/>
      <c r="M133" s="149"/>
      <c r="N133" s="149"/>
      <c r="O133" s="149"/>
      <c r="P133" s="149"/>
      <c r="Q133" s="150"/>
      <c r="R133" s="38">
        <v>1</v>
      </c>
      <c r="S133" s="36" t="s">
        <v>1005</v>
      </c>
      <c r="T133" s="37"/>
      <c r="U133" s="37"/>
      <c r="V133" s="37"/>
      <c r="W133" s="37"/>
      <c r="X133" s="37"/>
      <c r="Y133" s="37"/>
      <c r="Z133" s="37"/>
      <c r="AA133" s="37"/>
      <c r="AB133" s="37"/>
      <c r="AC133" s="37"/>
      <c r="AD133" s="37"/>
      <c r="AE133" s="38"/>
      <c r="AF133" s="284"/>
      <c r="AG133" s="286"/>
      <c r="AH133" s="284"/>
      <c r="AI133" s="286"/>
      <c r="AJ133" s="284" t="s">
        <v>492</v>
      </c>
      <c r="AK133" s="286"/>
      <c r="AL133" s="284" t="s">
        <v>492</v>
      </c>
      <c r="AM133" s="286"/>
      <c r="AN133" s="284"/>
      <c r="AO133" s="286"/>
      <c r="AP133" s="284" t="s">
        <v>131</v>
      </c>
      <c r="AQ133" s="285"/>
      <c r="AR133" s="285"/>
      <c r="AS133" s="285"/>
      <c r="AT133" s="285"/>
      <c r="AU133" s="285"/>
      <c r="AV133" s="285"/>
      <c r="AW133" s="286"/>
      <c r="AX133" s="284" t="s">
        <v>132</v>
      </c>
      <c r="AY133" s="285"/>
      <c r="AZ133" s="285"/>
      <c r="BA133" s="285"/>
      <c r="BB133" s="285"/>
      <c r="BC133" s="285"/>
      <c r="BD133" s="285"/>
      <c r="BE133" s="286"/>
      <c r="BF133" s="377"/>
      <c r="BG133" s="377"/>
      <c r="BH133" s="377"/>
      <c r="BI133" s="377"/>
      <c r="BJ133" s="377"/>
      <c r="BK133" s="377"/>
      <c r="BL133" s="377"/>
      <c r="BM133" s="377"/>
      <c r="BN133" s="377"/>
      <c r="BO133" s="10"/>
      <c r="BP133" s="11"/>
    </row>
    <row r="134" spans="1:68" s="8" customFormat="1">
      <c r="A134" s="9"/>
      <c r="B134" s="33"/>
      <c r="C134" s="42"/>
      <c r="D134" s="42"/>
      <c r="E134" s="42"/>
      <c r="F134" s="42"/>
      <c r="G134" s="42"/>
      <c r="H134" s="42"/>
      <c r="I134" s="42"/>
      <c r="J134" s="158"/>
      <c r="K134" s="160"/>
      <c r="L134" s="160"/>
      <c r="M134" s="160"/>
      <c r="N134" s="160"/>
      <c r="O134" s="160"/>
      <c r="P134" s="160"/>
      <c r="Q134" s="159"/>
      <c r="R134" s="38">
        <v>2</v>
      </c>
      <c r="S134" s="36" t="s">
        <v>607</v>
      </c>
      <c r="T134" s="37"/>
      <c r="U134" s="37"/>
      <c r="V134" s="37"/>
      <c r="W134" s="37"/>
      <c r="X134" s="37"/>
      <c r="Y134" s="37"/>
      <c r="Z134" s="37"/>
      <c r="AA134" s="37"/>
      <c r="AB134" s="37"/>
      <c r="AC134" s="37"/>
      <c r="AD134" s="37"/>
      <c r="AE134" s="38"/>
      <c r="AF134" s="284"/>
      <c r="AG134" s="286"/>
      <c r="AH134" s="284"/>
      <c r="AI134" s="286"/>
      <c r="AJ134" s="284" t="s">
        <v>492</v>
      </c>
      <c r="AK134" s="286"/>
      <c r="AL134" s="284" t="s">
        <v>492</v>
      </c>
      <c r="AM134" s="286"/>
      <c r="AN134" s="284"/>
      <c r="AO134" s="286"/>
      <c r="AP134" s="284" t="s">
        <v>131</v>
      </c>
      <c r="AQ134" s="285"/>
      <c r="AR134" s="285"/>
      <c r="AS134" s="285"/>
      <c r="AT134" s="285"/>
      <c r="AU134" s="285"/>
      <c r="AV134" s="285"/>
      <c r="AW134" s="286"/>
      <c r="AX134" s="284" t="s">
        <v>132</v>
      </c>
      <c r="AY134" s="285"/>
      <c r="AZ134" s="285"/>
      <c r="BA134" s="285"/>
      <c r="BB134" s="285"/>
      <c r="BC134" s="285"/>
      <c r="BD134" s="285"/>
      <c r="BE134" s="286"/>
      <c r="BF134" s="288"/>
      <c r="BG134" s="288"/>
      <c r="BH134" s="288"/>
      <c r="BI134" s="288"/>
      <c r="BJ134" s="288"/>
      <c r="BK134" s="288"/>
      <c r="BL134" s="288"/>
      <c r="BM134" s="288"/>
      <c r="BN134" s="288"/>
      <c r="BO134" s="10"/>
    </row>
    <row r="135" spans="1:68" s="8" customFormat="1">
      <c r="A135" s="9"/>
      <c r="B135" s="48"/>
      <c r="C135" s="34"/>
      <c r="D135" s="34"/>
      <c r="E135" s="34"/>
      <c r="F135" s="34"/>
      <c r="G135" s="34"/>
      <c r="H135" s="34"/>
      <c r="I135" s="34"/>
      <c r="J135" s="165"/>
      <c r="K135" s="163"/>
      <c r="L135" s="163"/>
      <c r="M135" s="163"/>
      <c r="N135" s="163"/>
      <c r="O135" s="163"/>
      <c r="P135" s="163"/>
      <c r="Q135" s="164"/>
      <c r="R135" s="38">
        <v>3</v>
      </c>
      <c r="S135" s="36" t="s">
        <v>138</v>
      </c>
      <c r="T135" s="37"/>
      <c r="U135" s="37"/>
      <c r="V135" s="37"/>
      <c r="W135" s="37"/>
      <c r="X135" s="37"/>
      <c r="Y135" s="37"/>
      <c r="Z135" s="37"/>
      <c r="AA135" s="37"/>
      <c r="AB135" s="37"/>
      <c r="AC135" s="37"/>
      <c r="AD135" s="37"/>
      <c r="AE135" s="38"/>
      <c r="AF135" s="284"/>
      <c r="AG135" s="286"/>
      <c r="AH135" s="284"/>
      <c r="AI135" s="286"/>
      <c r="AJ135" s="284"/>
      <c r="AK135" s="286"/>
      <c r="AL135" s="284"/>
      <c r="AM135" s="286"/>
      <c r="AN135" s="284" t="s">
        <v>492</v>
      </c>
      <c r="AO135" s="286"/>
      <c r="AP135" s="284" t="s">
        <v>131</v>
      </c>
      <c r="AQ135" s="285"/>
      <c r="AR135" s="285"/>
      <c r="AS135" s="285"/>
      <c r="AT135" s="285"/>
      <c r="AU135" s="285"/>
      <c r="AV135" s="285"/>
      <c r="AW135" s="286"/>
      <c r="AX135" s="284" t="s">
        <v>138</v>
      </c>
      <c r="AY135" s="285"/>
      <c r="AZ135" s="285"/>
      <c r="BA135" s="285"/>
      <c r="BB135" s="285"/>
      <c r="BC135" s="285"/>
      <c r="BD135" s="285"/>
      <c r="BE135" s="286"/>
      <c r="BF135" s="377"/>
      <c r="BG135" s="377"/>
      <c r="BH135" s="377"/>
      <c r="BI135" s="377"/>
      <c r="BJ135" s="377"/>
      <c r="BK135" s="377"/>
      <c r="BL135" s="377"/>
      <c r="BM135" s="377"/>
      <c r="BN135" s="377"/>
      <c r="BO135" s="10"/>
      <c r="BP135" s="11"/>
    </row>
    <row r="136" spans="1:68" s="8" customFormat="1">
      <c r="A136" s="1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295"/>
      <c r="BG136" s="295"/>
      <c r="BH136" s="295"/>
      <c r="BI136" s="295"/>
      <c r="BJ136" s="295"/>
      <c r="BK136" s="295"/>
      <c r="BL136" s="295"/>
      <c r="BM136" s="295"/>
      <c r="BN136" s="295"/>
      <c r="BO136" s="14"/>
    </row>
    <row r="137" spans="1:68">
      <c r="BF137" s="399"/>
      <c r="BG137" s="399"/>
      <c r="BH137" s="399"/>
      <c r="BI137" s="399"/>
      <c r="BJ137" s="399"/>
      <c r="BK137" s="399"/>
      <c r="BL137" s="399"/>
      <c r="BM137" s="399"/>
      <c r="BN137" s="399"/>
    </row>
  </sheetData>
  <mergeCells count="941">
    <mergeCell ref="J89:Q92"/>
    <mergeCell ref="J93:Q94"/>
    <mergeCell ref="BF48:BN48"/>
    <mergeCell ref="BF49:BN49"/>
    <mergeCell ref="BF50:BN50"/>
    <mergeCell ref="BF51:BN51"/>
    <mergeCell ref="BF52:BN52"/>
    <mergeCell ref="BF53:BN53"/>
    <mergeCell ref="BF54:BN54"/>
    <mergeCell ref="BF55:BN55"/>
    <mergeCell ref="BF56:BN56"/>
    <mergeCell ref="BF57:BN57"/>
    <mergeCell ref="BF58:BN58"/>
    <mergeCell ref="BF59:BN59"/>
    <mergeCell ref="BF60:BN60"/>
    <mergeCell ref="BF75:BN75"/>
    <mergeCell ref="J75:Q81"/>
    <mergeCell ref="J38:Q60"/>
    <mergeCell ref="J82:Q82"/>
    <mergeCell ref="J83:Q83"/>
    <mergeCell ref="J84:Q88"/>
    <mergeCell ref="BF92:BN92"/>
    <mergeCell ref="BF93:BN93"/>
    <mergeCell ref="BF94:BN94"/>
    <mergeCell ref="J12:Q21"/>
    <mergeCell ref="J22:Q33"/>
    <mergeCell ref="AJ46:AK46"/>
    <mergeCell ref="AL46:AM46"/>
    <mergeCell ref="AN46:AO46"/>
    <mergeCell ref="J34:Q35"/>
    <mergeCell ref="J36:Q37"/>
    <mergeCell ref="AF12:AG12"/>
    <mergeCell ref="AF13:AG13"/>
    <mergeCell ref="AF16:AG16"/>
    <mergeCell ref="AF17:AG17"/>
    <mergeCell ref="AF21:AG21"/>
    <mergeCell ref="AF22:AG22"/>
    <mergeCell ref="AH22:AI22"/>
    <mergeCell ref="AJ22:AK22"/>
    <mergeCell ref="AL22:AM22"/>
    <mergeCell ref="AF20:AG20"/>
    <mergeCell ref="AF19:AG19"/>
    <mergeCell ref="AH19:AI19"/>
    <mergeCell ref="AJ19:AK19"/>
    <mergeCell ref="AL19:AM19"/>
    <mergeCell ref="AF15:AG15"/>
    <mergeCell ref="AH15:AI15"/>
    <mergeCell ref="AJ15:AK15"/>
    <mergeCell ref="V2:AG3"/>
    <mergeCell ref="AH2:AI2"/>
    <mergeCell ref="AJ2:AN2"/>
    <mergeCell ref="AO2:AT2"/>
    <mergeCell ref="AH3:AI3"/>
    <mergeCell ref="AJ3:AN3"/>
    <mergeCell ref="AO3:AT3"/>
    <mergeCell ref="AP135:AW135"/>
    <mergeCell ref="AX135:BE135"/>
    <mergeCell ref="AH134:AI134"/>
    <mergeCell ref="AJ134:AK134"/>
    <mergeCell ref="AL134:AM134"/>
    <mergeCell ref="AN134:AO134"/>
    <mergeCell ref="AF133:AG133"/>
    <mergeCell ref="AH133:AI133"/>
    <mergeCell ref="AJ133:AK133"/>
    <mergeCell ref="AL133:AM133"/>
    <mergeCell ref="AX129:BE129"/>
    <mergeCell ref="AX127:BE127"/>
    <mergeCell ref="AP126:AW126"/>
    <mergeCell ref="AX126:BE126"/>
    <mergeCell ref="AN124:AO124"/>
    <mergeCell ref="AH132:AI132"/>
    <mergeCell ref="AJ132:AK132"/>
    <mergeCell ref="BF135:BN135"/>
    <mergeCell ref="A1:E1"/>
    <mergeCell ref="F1:U1"/>
    <mergeCell ref="V1:AG1"/>
    <mergeCell ref="AH1:AN1"/>
    <mergeCell ref="AO1:AT1"/>
    <mergeCell ref="A2:E3"/>
    <mergeCell ref="F2:U3"/>
    <mergeCell ref="AP134:AW134"/>
    <mergeCell ref="AX134:BE134"/>
    <mergeCell ref="BF134:BN134"/>
    <mergeCell ref="AF135:AG135"/>
    <mergeCell ref="AH135:AI135"/>
    <mergeCell ref="AJ135:AK135"/>
    <mergeCell ref="AL135:AM135"/>
    <mergeCell ref="AN135:AO135"/>
    <mergeCell ref="AN133:AO133"/>
    <mergeCell ref="AP133:AW133"/>
    <mergeCell ref="AX133:BE133"/>
    <mergeCell ref="BF133:BN133"/>
    <mergeCell ref="AF134:AG134"/>
    <mergeCell ref="BF132:BN132"/>
    <mergeCell ref="BF131:BN131"/>
    <mergeCell ref="AF132:AG132"/>
    <mergeCell ref="AL132:AM132"/>
    <mergeCell ref="AN132:AO132"/>
    <mergeCell ref="AP132:AW132"/>
    <mergeCell ref="AX132:BE132"/>
    <mergeCell ref="AF131:AG131"/>
    <mergeCell ref="AH131:AI131"/>
    <mergeCell ref="AJ131:AK131"/>
    <mergeCell ref="AL131:AM131"/>
    <mergeCell ref="AN131:AO131"/>
    <mergeCell ref="AP131:AW131"/>
    <mergeCell ref="AX131:BE131"/>
    <mergeCell ref="AF130:AG130"/>
    <mergeCell ref="AH130:AI130"/>
    <mergeCell ref="AJ130:AK130"/>
    <mergeCell ref="AL130:AM130"/>
    <mergeCell ref="AN130:AO130"/>
    <mergeCell ref="AP130:AW130"/>
    <mergeCell ref="AX130:BE130"/>
    <mergeCell ref="BF130:BN130"/>
    <mergeCell ref="BF127:BN127"/>
    <mergeCell ref="AF129:AG129"/>
    <mergeCell ref="AH129:AI129"/>
    <mergeCell ref="AJ129:AK129"/>
    <mergeCell ref="AL129:AM129"/>
    <mergeCell ref="AN129:AO129"/>
    <mergeCell ref="AP129:AW129"/>
    <mergeCell ref="AX128:BE128"/>
    <mergeCell ref="BF128:BN128"/>
    <mergeCell ref="AF127:AG127"/>
    <mergeCell ref="AH127:AI127"/>
    <mergeCell ref="AJ127:AK127"/>
    <mergeCell ref="AL127:AM127"/>
    <mergeCell ref="AN127:AO127"/>
    <mergeCell ref="AP127:AW127"/>
    <mergeCell ref="BF129:BN129"/>
    <mergeCell ref="AF125:AG125"/>
    <mergeCell ref="AH125:AI125"/>
    <mergeCell ref="AJ125:AK125"/>
    <mergeCell ref="AL125:AM125"/>
    <mergeCell ref="AN125:AO125"/>
    <mergeCell ref="BF126:BN126"/>
    <mergeCell ref="AF128:AG128"/>
    <mergeCell ref="AH128:AI128"/>
    <mergeCell ref="AJ128:AK128"/>
    <mergeCell ref="AL128:AM128"/>
    <mergeCell ref="AN128:AO128"/>
    <mergeCell ref="AP128:AW128"/>
    <mergeCell ref="AP125:AW125"/>
    <mergeCell ref="AX125:BE125"/>
    <mergeCell ref="BF125:BN125"/>
    <mergeCell ref="AF126:AG126"/>
    <mergeCell ref="AH126:AI126"/>
    <mergeCell ref="AJ126:AK126"/>
    <mergeCell ref="AL126:AM126"/>
    <mergeCell ref="AN126:AO126"/>
    <mergeCell ref="AN123:AO123"/>
    <mergeCell ref="AP123:AW123"/>
    <mergeCell ref="AX123:BE123"/>
    <mergeCell ref="BF123:BN123"/>
    <mergeCell ref="AF124:AG124"/>
    <mergeCell ref="AH124:AI124"/>
    <mergeCell ref="AJ124:AK124"/>
    <mergeCell ref="AL124:AM124"/>
    <mergeCell ref="AF123:AG123"/>
    <mergeCell ref="AH123:AI123"/>
    <mergeCell ref="AJ123:AK123"/>
    <mergeCell ref="AL123:AM123"/>
    <mergeCell ref="AP124:AW124"/>
    <mergeCell ref="AX124:BE124"/>
    <mergeCell ref="BF124:BN124"/>
    <mergeCell ref="AH120:AI120"/>
    <mergeCell ref="AJ120:AK120"/>
    <mergeCell ref="AL120:AM120"/>
    <mergeCell ref="AN120:AO120"/>
    <mergeCell ref="AP120:AW120"/>
    <mergeCell ref="AX120:BE120"/>
    <mergeCell ref="BF120:BN120"/>
    <mergeCell ref="BF121:BN121"/>
    <mergeCell ref="AF122:AG122"/>
    <mergeCell ref="AH122:AI122"/>
    <mergeCell ref="AJ122:AK122"/>
    <mergeCell ref="AL122:AM122"/>
    <mergeCell ref="AN122:AO122"/>
    <mergeCell ref="AP122:AW122"/>
    <mergeCell ref="AX122:BE122"/>
    <mergeCell ref="BF122:BN122"/>
    <mergeCell ref="AF121:AG121"/>
    <mergeCell ref="AH121:AI121"/>
    <mergeCell ref="AJ121:AK121"/>
    <mergeCell ref="AL121:AM121"/>
    <mergeCell ref="AN121:AO121"/>
    <mergeCell ref="AP121:AW121"/>
    <mergeCell ref="AX121:BE121"/>
    <mergeCell ref="BF108:BN108"/>
    <mergeCell ref="AL106:AM106"/>
    <mergeCell ref="J118:Q118"/>
    <mergeCell ref="AF119:AG119"/>
    <mergeCell ref="AH119:AI119"/>
    <mergeCell ref="AJ119:AK119"/>
    <mergeCell ref="AL119:AM119"/>
    <mergeCell ref="AP119:AW119"/>
    <mergeCell ref="AN119:AO119"/>
    <mergeCell ref="AN118:AO118"/>
    <mergeCell ref="AF117:AG117"/>
    <mergeCell ref="AH117:AI117"/>
    <mergeCell ref="AJ117:AK117"/>
    <mergeCell ref="AL117:AM117"/>
    <mergeCell ref="AN117:AO117"/>
    <mergeCell ref="AP117:AW117"/>
    <mergeCell ref="AP116:AW116"/>
    <mergeCell ref="AX116:BE116"/>
    <mergeCell ref="BF116:BN116"/>
    <mergeCell ref="AN114:AO114"/>
    <mergeCell ref="AJ109:AK109"/>
    <mergeCell ref="AF114:AG114"/>
    <mergeCell ref="AL116:AM116"/>
    <mergeCell ref="AN115:AO115"/>
    <mergeCell ref="AN116:AO116"/>
    <mergeCell ref="AL111:AM111"/>
    <mergeCell ref="AL114:AM114"/>
    <mergeCell ref="AP114:AW114"/>
    <mergeCell ref="AX114:BE114"/>
    <mergeCell ref="BF114:BN114"/>
    <mergeCell ref="BF109:BN109"/>
    <mergeCell ref="AN109:AO109"/>
    <mergeCell ref="AP109:AW109"/>
    <mergeCell ref="AX109:BE109"/>
    <mergeCell ref="AH114:AI114"/>
    <mergeCell ref="AJ114:AK114"/>
    <mergeCell ref="AL113:AM113"/>
    <mergeCell ref="AP113:AW113"/>
    <mergeCell ref="AX113:BE113"/>
    <mergeCell ref="BF81:BN81"/>
    <mergeCell ref="BF82:BN82"/>
    <mergeCell ref="BF83:BN83"/>
    <mergeCell ref="BF84:BN84"/>
    <mergeCell ref="BF85:BN85"/>
    <mergeCell ref="BF86:BN86"/>
    <mergeCell ref="BF87:BN87"/>
    <mergeCell ref="AX106:BE106"/>
    <mergeCell ref="BF106:BN106"/>
    <mergeCell ref="BF105:BN105"/>
    <mergeCell ref="BF104:BN104"/>
    <mergeCell ref="BF103:BN103"/>
    <mergeCell ref="BF102:BN102"/>
    <mergeCell ref="BF96:BN96"/>
    <mergeCell ref="BF98:BN98"/>
    <mergeCell ref="BF100:BN100"/>
    <mergeCell ref="BF99:BN99"/>
    <mergeCell ref="AX86:BE86"/>
    <mergeCell ref="BF88:BN88"/>
    <mergeCell ref="AN111:AO111"/>
    <mergeCell ref="AN112:AO112"/>
    <mergeCell ref="AN108:AO108"/>
    <mergeCell ref="AH105:AI105"/>
    <mergeCell ref="AJ105:AK105"/>
    <mergeCell ref="AL105:AM105"/>
    <mergeCell ref="AL108:AM108"/>
    <mergeCell ref="AL109:AM109"/>
    <mergeCell ref="AL110:AM110"/>
    <mergeCell ref="AH110:AI110"/>
    <mergeCell ref="AJ110:AK110"/>
    <mergeCell ref="AN110:AO110"/>
    <mergeCell ref="AP110:AW110"/>
    <mergeCell ref="AX110:BE110"/>
    <mergeCell ref="AP103:AW103"/>
    <mergeCell ref="AX103:BE103"/>
    <mergeCell ref="AX102:BE102"/>
    <mergeCell ref="AP102:AW102"/>
    <mergeCell ref="AP106:AW106"/>
    <mergeCell ref="AX104:BE104"/>
    <mergeCell ref="AH108:AI108"/>
    <mergeCell ref="AJ108:AK108"/>
    <mergeCell ref="AN105:AO105"/>
    <mergeCell ref="AN106:AO106"/>
    <mergeCell ref="AN107:AO107"/>
    <mergeCell ref="AN102:AO102"/>
    <mergeCell ref="AN103:AO103"/>
    <mergeCell ref="AN104:AO104"/>
    <mergeCell ref="AP108:AW108"/>
    <mergeCell ref="AX108:BE108"/>
    <mergeCell ref="AN100:AO100"/>
    <mergeCell ref="AN101:AO101"/>
    <mergeCell ref="AX37:BE37"/>
    <mergeCell ref="AX57:BE57"/>
    <mergeCell ref="AX58:BE58"/>
    <mergeCell ref="AX59:BE59"/>
    <mergeCell ref="AX60:BE60"/>
    <mergeCell ref="BF97:BN97"/>
    <mergeCell ref="BF101:BN101"/>
    <mergeCell ref="AX98:BE98"/>
    <mergeCell ref="AP99:AW99"/>
    <mergeCell ref="BF89:BN89"/>
    <mergeCell ref="BF90:BN90"/>
    <mergeCell ref="BF91:BN91"/>
    <mergeCell ref="AP89:AW89"/>
    <mergeCell ref="AP90:AW90"/>
    <mergeCell ref="AP91:AW91"/>
    <mergeCell ref="AP92:AW92"/>
    <mergeCell ref="AP93:AW93"/>
    <mergeCell ref="AX96:BE96"/>
    <mergeCell ref="AX97:BE97"/>
    <mergeCell ref="AP101:AW101"/>
    <mergeCell ref="AX101:BE101"/>
    <mergeCell ref="AP100:AW100"/>
    <mergeCell ref="AX100:BE100"/>
    <mergeCell ref="AX99:BE99"/>
    <mergeCell ref="AX52:BE52"/>
    <mergeCell ref="AX53:BE53"/>
    <mergeCell ref="AP48:AW48"/>
    <mergeCell ref="AP49:AW49"/>
    <mergeCell ref="AP50:AW50"/>
    <mergeCell ref="AP51:AW51"/>
    <mergeCell ref="AP52:AW52"/>
    <mergeCell ref="AP53:AW53"/>
    <mergeCell ref="AX48:BE48"/>
    <mergeCell ref="AX49:BE49"/>
    <mergeCell ref="AX50:BE50"/>
    <mergeCell ref="AX54:BE54"/>
    <mergeCell ref="AX55:BE55"/>
    <mergeCell ref="AX56:BE56"/>
    <mergeCell ref="AX51:BE51"/>
    <mergeCell ref="AP83:AW83"/>
    <mergeCell ref="AP84:AW84"/>
    <mergeCell ref="AP85:AW85"/>
    <mergeCell ref="S103:AE103"/>
    <mergeCell ref="AF103:AG103"/>
    <mergeCell ref="AH103:AI103"/>
    <mergeCell ref="AJ103:AK103"/>
    <mergeCell ref="AL103:AM103"/>
    <mergeCell ref="AL104:AM104"/>
    <mergeCell ref="AL98:AM98"/>
    <mergeCell ref="AL100:AM100"/>
    <mergeCell ref="AL101:AM101"/>
    <mergeCell ref="S100:AE100"/>
    <mergeCell ref="AF100:AG100"/>
    <mergeCell ref="AH100:AI100"/>
    <mergeCell ref="AJ100:AK100"/>
    <mergeCell ref="S102:AE102"/>
    <mergeCell ref="AF102:AG102"/>
    <mergeCell ref="AH102:AI102"/>
    <mergeCell ref="AJ102:AK102"/>
    <mergeCell ref="AL102:AM102"/>
    <mergeCell ref="S99:AE99"/>
    <mergeCell ref="AF99:AG99"/>
    <mergeCell ref="AH99:AI99"/>
    <mergeCell ref="AJ99:AK99"/>
    <mergeCell ref="AL99:AM99"/>
    <mergeCell ref="S98:AE98"/>
    <mergeCell ref="S105:AE105"/>
    <mergeCell ref="AF105:AG105"/>
    <mergeCell ref="S104:AE104"/>
    <mergeCell ref="AF104:AG104"/>
    <mergeCell ref="AH104:AI104"/>
    <mergeCell ref="AJ104:AK104"/>
    <mergeCell ref="AP104:AW104"/>
    <mergeCell ref="AX105:BE105"/>
    <mergeCell ref="S106:AE106"/>
    <mergeCell ref="AF106:AG106"/>
    <mergeCell ref="AH106:AI106"/>
    <mergeCell ref="AJ106:AK106"/>
    <mergeCell ref="AP105:AW105"/>
    <mergeCell ref="BF136:BN136"/>
    <mergeCell ref="AX107:BE107"/>
    <mergeCell ref="BF107:BN107"/>
    <mergeCell ref="S111:AE111"/>
    <mergeCell ref="AF111:AG111"/>
    <mergeCell ref="AH111:AI111"/>
    <mergeCell ref="AJ111:AK111"/>
    <mergeCell ref="AP111:AW111"/>
    <mergeCell ref="S107:AE107"/>
    <mergeCell ref="AF107:AG107"/>
    <mergeCell ref="AH107:AI107"/>
    <mergeCell ref="AJ107:AK107"/>
    <mergeCell ref="AL107:AM107"/>
    <mergeCell ref="AP107:AW107"/>
    <mergeCell ref="AX111:BE111"/>
    <mergeCell ref="BF111:BN111"/>
    <mergeCell ref="S108:AE108"/>
    <mergeCell ref="AF108:AG108"/>
    <mergeCell ref="S110:AE110"/>
    <mergeCell ref="AF110:AG110"/>
    <mergeCell ref="BF110:BN110"/>
    <mergeCell ref="S109:AE109"/>
    <mergeCell ref="AF109:AG109"/>
    <mergeCell ref="AH109:AI109"/>
    <mergeCell ref="BF137:BN137"/>
    <mergeCell ref="BF118:BN118"/>
    <mergeCell ref="AX115:BE115"/>
    <mergeCell ref="BF115:BN115"/>
    <mergeCell ref="S118:AE118"/>
    <mergeCell ref="AF118:AG118"/>
    <mergeCell ref="AH118:AI118"/>
    <mergeCell ref="AJ118:AK118"/>
    <mergeCell ref="AL118:AM118"/>
    <mergeCell ref="AP118:AW118"/>
    <mergeCell ref="AX118:BE118"/>
    <mergeCell ref="AF115:AG115"/>
    <mergeCell ref="AH115:AI115"/>
    <mergeCell ref="AJ115:AK115"/>
    <mergeCell ref="AL115:AM115"/>
    <mergeCell ref="AP115:AW115"/>
    <mergeCell ref="AF116:AG116"/>
    <mergeCell ref="AH116:AI116"/>
    <mergeCell ref="AJ116:AK116"/>
    <mergeCell ref="AX117:BE117"/>
    <mergeCell ref="BF117:BN117"/>
    <mergeCell ref="AX119:BE119"/>
    <mergeCell ref="BF119:BN119"/>
    <mergeCell ref="AF120:AG120"/>
    <mergeCell ref="J112:Q112"/>
    <mergeCell ref="S112:AE112"/>
    <mergeCell ref="AF112:AG112"/>
    <mergeCell ref="AH112:AI112"/>
    <mergeCell ref="AJ112:AK112"/>
    <mergeCell ref="AL112:AM112"/>
    <mergeCell ref="BF113:BN113"/>
    <mergeCell ref="J113:Q113"/>
    <mergeCell ref="S113:AE113"/>
    <mergeCell ref="AF113:AG113"/>
    <mergeCell ref="AH113:AI113"/>
    <mergeCell ref="AJ113:AK113"/>
    <mergeCell ref="AP112:AW112"/>
    <mergeCell ref="AX112:BE112"/>
    <mergeCell ref="BF112:BN112"/>
    <mergeCell ref="AN113:AO113"/>
    <mergeCell ref="AF98:AG98"/>
    <mergeCell ref="AH98:AI98"/>
    <mergeCell ref="AJ98:AK98"/>
    <mergeCell ref="AP98:AW98"/>
    <mergeCell ref="S101:AE101"/>
    <mergeCell ref="AF101:AG101"/>
    <mergeCell ref="AH101:AI101"/>
    <mergeCell ref="AJ101:AK101"/>
    <mergeCell ref="S96:AE96"/>
    <mergeCell ref="AF96:AG96"/>
    <mergeCell ref="AH96:AI96"/>
    <mergeCell ref="AJ96:AK96"/>
    <mergeCell ref="AL96:AM96"/>
    <mergeCell ref="AP96:AW96"/>
    <mergeCell ref="AN96:AO96"/>
    <mergeCell ref="S97:AE97"/>
    <mergeCell ref="AF97:AG97"/>
    <mergeCell ref="AH97:AI97"/>
    <mergeCell ref="AJ97:AK97"/>
    <mergeCell ref="AP97:AW97"/>
    <mergeCell ref="AL97:AM97"/>
    <mergeCell ref="AN97:AO97"/>
    <mergeCell ref="AN98:AO98"/>
    <mergeCell ref="AN99:AO99"/>
    <mergeCell ref="BF80:BN80"/>
    <mergeCell ref="BF76:BN76"/>
    <mergeCell ref="BF77:BN77"/>
    <mergeCell ref="BF78:BN78"/>
    <mergeCell ref="AF79:AG79"/>
    <mergeCell ref="AH79:AI79"/>
    <mergeCell ref="AJ79:AK79"/>
    <mergeCell ref="AL79:AM79"/>
    <mergeCell ref="AP79:AW79"/>
    <mergeCell ref="AX79:BE79"/>
    <mergeCell ref="BF79:BN79"/>
    <mergeCell ref="AN78:AO78"/>
    <mergeCell ref="AN79:AO79"/>
    <mergeCell ref="AF78:AG78"/>
    <mergeCell ref="AH78:AI78"/>
    <mergeCell ref="AJ78:AK78"/>
    <mergeCell ref="AL78:AM78"/>
    <mergeCell ref="AP78:AW78"/>
    <mergeCell ref="AX78:BE78"/>
    <mergeCell ref="AX80:BE80"/>
    <mergeCell ref="AP76:AW76"/>
    <mergeCell ref="AP77:AW77"/>
    <mergeCell ref="AN80:AO80"/>
    <mergeCell ref="BF45:BN45"/>
    <mergeCell ref="AF46:AG46"/>
    <mergeCell ref="AF47:AG47"/>
    <mergeCell ref="AH46:AI46"/>
    <mergeCell ref="AH47:AI47"/>
    <mergeCell ref="AJ47:AK47"/>
    <mergeCell ref="AL47:AM47"/>
    <mergeCell ref="AP47:AW47"/>
    <mergeCell ref="AX47:BE47"/>
    <mergeCell ref="BF47:BN47"/>
    <mergeCell ref="AN45:AO45"/>
    <mergeCell ref="AN47:AO47"/>
    <mergeCell ref="AP46:AW46"/>
    <mergeCell ref="AX46:BE46"/>
    <mergeCell ref="BF46:BN46"/>
    <mergeCell ref="AF45:AG45"/>
    <mergeCell ref="AH45:AI45"/>
    <mergeCell ref="AJ45:AK45"/>
    <mergeCell ref="AL45:AM45"/>
    <mergeCell ref="AP45:AW45"/>
    <mergeCell ref="AX45:BE45"/>
    <mergeCell ref="BF43:BN43"/>
    <mergeCell ref="AF44:AG44"/>
    <mergeCell ref="AH44:AI44"/>
    <mergeCell ref="AJ44:AK44"/>
    <mergeCell ref="AL44:AM44"/>
    <mergeCell ref="AP44:AW44"/>
    <mergeCell ref="AX44:BE44"/>
    <mergeCell ref="BF44:BN44"/>
    <mergeCell ref="AN43:AO43"/>
    <mergeCell ref="AN44:AO44"/>
    <mergeCell ref="AF43:AG43"/>
    <mergeCell ref="AH43:AI43"/>
    <mergeCell ref="AJ43:AK43"/>
    <mergeCell ref="AL43:AM43"/>
    <mergeCell ref="AP43:AW43"/>
    <mergeCell ref="AX43:BE43"/>
    <mergeCell ref="BF41:BN41"/>
    <mergeCell ref="AF42:AG42"/>
    <mergeCell ref="AH42:AI42"/>
    <mergeCell ref="AJ42:AK42"/>
    <mergeCell ref="AL42:AM42"/>
    <mergeCell ref="AP42:AW42"/>
    <mergeCell ref="AX42:BE42"/>
    <mergeCell ref="BF42:BN42"/>
    <mergeCell ref="AN41:AO41"/>
    <mergeCell ref="AN42:AO42"/>
    <mergeCell ref="AF41:AG41"/>
    <mergeCell ref="AH41:AI41"/>
    <mergeCell ref="AJ41:AK41"/>
    <mergeCell ref="AL41:AM41"/>
    <mergeCell ref="AP41:AW41"/>
    <mergeCell ref="AX41:BE41"/>
    <mergeCell ref="BF39:BN39"/>
    <mergeCell ref="AF40:AG40"/>
    <mergeCell ref="AH40:AI40"/>
    <mergeCell ref="AJ40:AK40"/>
    <mergeCell ref="AL40:AM40"/>
    <mergeCell ref="AP40:AW40"/>
    <mergeCell ref="AX40:BE40"/>
    <mergeCell ref="BF40:BN40"/>
    <mergeCell ref="AN39:AO39"/>
    <mergeCell ref="AN40:AO40"/>
    <mergeCell ref="AF39:AG39"/>
    <mergeCell ref="AH39:AI39"/>
    <mergeCell ref="AJ39:AK39"/>
    <mergeCell ref="AL39:AM39"/>
    <mergeCell ref="AP39:AW39"/>
    <mergeCell ref="AX39:BE39"/>
    <mergeCell ref="BF37:BN37"/>
    <mergeCell ref="AF38:AG38"/>
    <mergeCell ref="AH38:AI38"/>
    <mergeCell ref="AJ38:AK38"/>
    <mergeCell ref="AL38:AM38"/>
    <mergeCell ref="AP38:AW38"/>
    <mergeCell ref="AX38:BE38"/>
    <mergeCell ref="BF38:BN38"/>
    <mergeCell ref="AN37:AO37"/>
    <mergeCell ref="AN38:AO38"/>
    <mergeCell ref="AF37:AG37"/>
    <mergeCell ref="AH37:AI37"/>
    <mergeCell ref="AJ37:AK37"/>
    <mergeCell ref="AL37:AM37"/>
    <mergeCell ref="AP37:AW37"/>
    <mergeCell ref="BF35:BN35"/>
    <mergeCell ref="AF36:AG36"/>
    <mergeCell ref="AH36:AI36"/>
    <mergeCell ref="AJ36:AK36"/>
    <mergeCell ref="AL36:AM36"/>
    <mergeCell ref="AP36:AW36"/>
    <mergeCell ref="AX36:BE36"/>
    <mergeCell ref="BF36:BN36"/>
    <mergeCell ref="AN35:AO35"/>
    <mergeCell ref="AN36:AO36"/>
    <mergeCell ref="AF35:AG35"/>
    <mergeCell ref="AH35:AI35"/>
    <mergeCell ref="AJ35:AK35"/>
    <mergeCell ref="AL35:AM35"/>
    <mergeCell ref="AP35:AW35"/>
    <mergeCell ref="AX35:BE35"/>
    <mergeCell ref="BF33:BN33"/>
    <mergeCell ref="AP34:AW34"/>
    <mergeCell ref="AX34:BE34"/>
    <mergeCell ref="BF34:BN34"/>
    <mergeCell ref="AF33:AG33"/>
    <mergeCell ref="AH33:AI33"/>
    <mergeCell ref="AJ33:AK33"/>
    <mergeCell ref="AP33:AW33"/>
    <mergeCell ref="AX33:BE33"/>
    <mergeCell ref="AH34:AI34"/>
    <mergeCell ref="AJ34:AK34"/>
    <mergeCell ref="BF31:BN31"/>
    <mergeCell ref="AF32:AG32"/>
    <mergeCell ref="AH32:AI32"/>
    <mergeCell ref="AJ32:AK32"/>
    <mergeCell ref="AP32:AW32"/>
    <mergeCell ref="AX32:BE32"/>
    <mergeCell ref="BF32:BN32"/>
    <mergeCell ref="AN31:AO31"/>
    <mergeCell ref="AF31:AG31"/>
    <mergeCell ref="AH31:AI31"/>
    <mergeCell ref="AJ31:AK31"/>
    <mergeCell ref="AL31:AM31"/>
    <mergeCell ref="AP31:AW31"/>
    <mergeCell ref="AX31:BE31"/>
    <mergeCell ref="BF29:BN29"/>
    <mergeCell ref="AF30:AG30"/>
    <mergeCell ref="AH30:AI30"/>
    <mergeCell ref="AJ30:AK30"/>
    <mergeCell ref="AL30:AM30"/>
    <mergeCell ref="AP30:AW30"/>
    <mergeCell ref="AX30:BE30"/>
    <mergeCell ref="BF30:BN30"/>
    <mergeCell ref="AN29:AO29"/>
    <mergeCell ref="AN30:AO30"/>
    <mergeCell ref="AF29:AG29"/>
    <mergeCell ref="AH29:AI29"/>
    <mergeCell ref="AJ29:AK29"/>
    <mergeCell ref="AL29:AM29"/>
    <mergeCell ref="AP29:AW29"/>
    <mergeCell ref="AX29:BE29"/>
    <mergeCell ref="BF27:BN27"/>
    <mergeCell ref="AF28:AG28"/>
    <mergeCell ref="AH28:AI28"/>
    <mergeCell ref="AJ28:AK28"/>
    <mergeCell ref="AL28:AM28"/>
    <mergeCell ref="AP28:AW28"/>
    <mergeCell ref="AX28:BE28"/>
    <mergeCell ref="BF28:BN28"/>
    <mergeCell ref="AN27:AO27"/>
    <mergeCell ref="AN28:AO28"/>
    <mergeCell ref="AF27:AG27"/>
    <mergeCell ref="AH27:AI27"/>
    <mergeCell ref="AJ27:AK27"/>
    <mergeCell ref="AL27:AM27"/>
    <mergeCell ref="AP27:AW27"/>
    <mergeCell ref="AX27:BE27"/>
    <mergeCell ref="BF25:BN25"/>
    <mergeCell ref="AF26:AG26"/>
    <mergeCell ref="AH26:AI26"/>
    <mergeCell ref="AJ26:AK26"/>
    <mergeCell ref="AL26:AM26"/>
    <mergeCell ref="AP26:AW26"/>
    <mergeCell ref="AX26:BE26"/>
    <mergeCell ref="BF26:BN26"/>
    <mergeCell ref="AN25:AO25"/>
    <mergeCell ref="AN26:AO26"/>
    <mergeCell ref="AF25:AG25"/>
    <mergeCell ref="AH25:AI25"/>
    <mergeCell ref="AJ25:AK25"/>
    <mergeCell ref="AL25:AM25"/>
    <mergeCell ref="AP25:AW25"/>
    <mergeCell ref="AX25:BE25"/>
    <mergeCell ref="BF23:BN23"/>
    <mergeCell ref="AF24:AG24"/>
    <mergeCell ref="AH24:AI24"/>
    <mergeCell ref="AJ24:AK24"/>
    <mergeCell ref="AL24:AM24"/>
    <mergeCell ref="AP24:AW24"/>
    <mergeCell ref="AX24:BE24"/>
    <mergeCell ref="BF24:BN24"/>
    <mergeCell ref="AN23:AO23"/>
    <mergeCell ref="AN24:AO24"/>
    <mergeCell ref="AF23:AG23"/>
    <mergeCell ref="AH23:AI23"/>
    <mergeCell ref="AJ23:AK23"/>
    <mergeCell ref="AL23:AM23"/>
    <mergeCell ref="AP23:AW23"/>
    <mergeCell ref="AX23:BE23"/>
    <mergeCell ref="BF22:BN22"/>
    <mergeCell ref="AN22:AO22"/>
    <mergeCell ref="AP20:AW20"/>
    <mergeCell ref="AX20:BE20"/>
    <mergeCell ref="BF20:BN20"/>
    <mergeCell ref="AH21:AI21"/>
    <mergeCell ref="AJ21:AK21"/>
    <mergeCell ref="AL21:AM21"/>
    <mergeCell ref="AP21:AW21"/>
    <mergeCell ref="AH20:AI20"/>
    <mergeCell ref="AJ20:AK20"/>
    <mergeCell ref="AL20:AM20"/>
    <mergeCell ref="AX21:BE21"/>
    <mergeCell ref="BF21:BN21"/>
    <mergeCell ref="AN20:AO20"/>
    <mergeCell ref="AN21:AO21"/>
    <mergeCell ref="AP22:AW22"/>
    <mergeCell ref="AX22:BE22"/>
    <mergeCell ref="BF19:BN19"/>
    <mergeCell ref="AN19:AO19"/>
    <mergeCell ref="AF18:AG18"/>
    <mergeCell ref="AH18:AI18"/>
    <mergeCell ref="AJ18:AK18"/>
    <mergeCell ref="AL18:AM18"/>
    <mergeCell ref="AP18:AW18"/>
    <mergeCell ref="AX18:BE18"/>
    <mergeCell ref="BF18:BN18"/>
    <mergeCell ref="AN18:AO18"/>
    <mergeCell ref="AP19:AW19"/>
    <mergeCell ref="AX19:BE19"/>
    <mergeCell ref="AP16:AW16"/>
    <mergeCell ref="AX16:BE16"/>
    <mergeCell ref="BF16:BN16"/>
    <mergeCell ref="AH17:AI17"/>
    <mergeCell ref="AJ17:AK17"/>
    <mergeCell ref="AL17:AM17"/>
    <mergeCell ref="AP17:AW17"/>
    <mergeCell ref="AH16:AI16"/>
    <mergeCell ref="AJ16:AK16"/>
    <mergeCell ref="AL16:AM16"/>
    <mergeCell ref="AX17:BE17"/>
    <mergeCell ref="BF17:BN17"/>
    <mergeCell ref="AN16:AO16"/>
    <mergeCell ref="AN17:AO17"/>
    <mergeCell ref="AL15:AM15"/>
    <mergeCell ref="AP15:AW15"/>
    <mergeCell ref="AX15:BE15"/>
    <mergeCell ref="BF15:BN15"/>
    <mergeCell ref="AF14:AG14"/>
    <mergeCell ref="AH14:AI14"/>
    <mergeCell ref="AJ14:AK14"/>
    <mergeCell ref="AL14:AM14"/>
    <mergeCell ref="AP14:AW14"/>
    <mergeCell ref="AX14:BE14"/>
    <mergeCell ref="BF14:BN14"/>
    <mergeCell ref="AN14:AO14"/>
    <mergeCell ref="AN15:AO15"/>
    <mergeCell ref="AP12:AW12"/>
    <mergeCell ref="AX12:BE12"/>
    <mergeCell ref="BF12:BN12"/>
    <mergeCell ref="AH13:AI13"/>
    <mergeCell ref="AJ13:AK13"/>
    <mergeCell ref="AL13:AM13"/>
    <mergeCell ref="AP13:AW13"/>
    <mergeCell ref="AH12:AI12"/>
    <mergeCell ref="AJ12:AK12"/>
    <mergeCell ref="AL12:AM12"/>
    <mergeCell ref="AX13:BE13"/>
    <mergeCell ref="BF13:BN13"/>
    <mergeCell ref="AN12:AO12"/>
    <mergeCell ref="AN13:AO13"/>
    <mergeCell ref="AX8:BE9"/>
    <mergeCell ref="BF8:BN9"/>
    <mergeCell ref="AF9:AG9"/>
    <mergeCell ref="AH9:AI9"/>
    <mergeCell ref="AJ9:AK9"/>
    <mergeCell ref="AL9:AM9"/>
    <mergeCell ref="B8:I9"/>
    <mergeCell ref="J8:Q9"/>
    <mergeCell ref="R8:R9"/>
    <mergeCell ref="S8:AE9"/>
    <mergeCell ref="AP8:AW9"/>
    <mergeCell ref="AF8:AO8"/>
    <mergeCell ref="AN9:AO9"/>
    <mergeCell ref="AH48:AI48"/>
    <mergeCell ref="AJ48:AK48"/>
    <mergeCell ref="AH52:AI52"/>
    <mergeCell ref="AJ52:AK52"/>
    <mergeCell ref="AH53:AI53"/>
    <mergeCell ref="AJ53:AK53"/>
    <mergeCell ref="AF49:AG49"/>
    <mergeCell ref="AH49:AI49"/>
    <mergeCell ref="AJ49:AK49"/>
    <mergeCell ref="AF50:AG50"/>
    <mergeCell ref="AH51:AI51"/>
    <mergeCell ref="AJ51:AK51"/>
    <mergeCell ref="AH59:AI59"/>
    <mergeCell ref="AJ59:AK59"/>
    <mergeCell ref="AH60:AI60"/>
    <mergeCell ref="AJ60:AK60"/>
    <mergeCell ref="AP54:AW54"/>
    <mergeCell ref="AP55:AW55"/>
    <mergeCell ref="AP56:AW56"/>
    <mergeCell ref="AP57:AW57"/>
    <mergeCell ref="AP58:AW58"/>
    <mergeCell ref="AP59:AW59"/>
    <mergeCell ref="AP60:AW60"/>
    <mergeCell ref="AH54:AI54"/>
    <mergeCell ref="AJ54:AK54"/>
    <mergeCell ref="AH55:AI55"/>
    <mergeCell ref="AJ55:AK55"/>
    <mergeCell ref="AH56:AI56"/>
    <mergeCell ref="AJ56:AK56"/>
    <mergeCell ref="AH57:AI57"/>
    <mergeCell ref="AJ57:AK57"/>
    <mergeCell ref="AH58:AI58"/>
    <mergeCell ref="AJ58:AK58"/>
    <mergeCell ref="J69:Q74"/>
    <mergeCell ref="AH69:AI69"/>
    <mergeCell ref="AJ69:AK69"/>
    <mergeCell ref="AP69:AW69"/>
    <mergeCell ref="AX69:BE69"/>
    <mergeCell ref="BF69:BN69"/>
    <mergeCell ref="AH70:AI70"/>
    <mergeCell ref="AJ70:AK70"/>
    <mergeCell ref="AP70:AW70"/>
    <mergeCell ref="AX70:BE70"/>
    <mergeCell ref="BF70:BN70"/>
    <mergeCell ref="AH71:AI71"/>
    <mergeCell ref="AJ71:AK71"/>
    <mergeCell ref="AP71:AW71"/>
    <mergeCell ref="AX71:BE71"/>
    <mergeCell ref="BF71:BN71"/>
    <mergeCell ref="AF72:AG72"/>
    <mergeCell ref="AH72:AI72"/>
    <mergeCell ref="AJ72:AK72"/>
    <mergeCell ref="AL72:AM72"/>
    <mergeCell ref="AN72:AO72"/>
    <mergeCell ref="AP72:AW72"/>
    <mergeCell ref="AX72:BE72"/>
    <mergeCell ref="BF74:BN74"/>
    <mergeCell ref="BF72:BN72"/>
    <mergeCell ref="AF73:AG73"/>
    <mergeCell ref="AH73:AI73"/>
    <mergeCell ref="AJ73:AK73"/>
    <mergeCell ref="AL73:AM73"/>
    <mergeCell ref="AN73:AO73"/>
    <mergeCell ref="AP73:AW73"/>
    <mergeCell ref="AX73:BE73"/>
    <mergeCell ref="BF73:BN73"/>
    <mergeCell ref="J61:Q68"/>
    <mergeCell ref="AF61:AG61"/>
    <mergeCell ref="AH61:AI61"/>
    <mergeCell ref="AJ61:AK61"/>
    <mergeCell ref="AL61:AM61"/>
    <mergeCell ref="AN61:AO61"/>
    <mergeCell ref="AP61:AW61"/>
    <mergeCell ref="AX61:BE61"/>
    <mergeCell ref="BF61:BN61"/>
    <mergeCell ref="AF62:AG62"/>
    <mergeCell ref="AH62:AI62"/>
    <mergeCell ref="AJ62:AK62"/>
    <mergeCell ref="AL62:AM62"/>
    <mergeCell ref="AN62:AO62"/>
    <mergeCell ref="AP62:AW62"/>
    <mergeCell ref="AX62:BE62"/>
    <mergeCell ref="BF62:BN62"/>
    <mergeCell ref="AF63:AG63"/>
    <mergeCell ref="AH63:AI63"/>
    <mergeCell ref="AJ63:AK63"/>
    <mergeCell ref="AL63:AM63"/>
    <mergeCell ref="AN63:AO63"/>
    <mergeCell ref="AP63:AW63"/>
    <mergeCell ref="AX63:BE63"/>
    <mergeCell ref="BF63:BN63"/>
    <mergeCell ref="AF64:AG64"/>
    <mergeCell ref="AH64:AI64"/>
    <mergeCell ref="AJ64:AK64"/>
    <mergeCell ref="AL64:AM64"/>
    <mergeCell ref="AN64:AO64"/>
    <mergeCell ref="AP64:AW64"/>
    <mergeCell ref="AX64:BE64"/>
    <mergeCell ref="BF64:BN64"/>
    <mergeCell ref="AF65:AG65"/>
    <mergeCell ref="AH65:AI65"/>
    <mergeCell ref="AJ65:AK65"/>
    <mergeCell ref="AL65:AM65"/>
    <mergeCell ref="AN65:AO65"/>
    <mergeCell ref="AP65:AW65"/>
    <mergeCell ref="AX65:BE65"/>
    <mergeCell ref="BF65:BN65"/>
    <mergeCell ref="AF66:AG66"/>
    <mergeCell ref="AH66:AI66"/>
    <mergeCell ref="AJ66:AK66"/>
    <mergeCell ref="AL66:AM66"/>
    <mergeCell ref="AN66:AO66"/>
    <mergeCell ref="AP66:AW66"/>
    <mergeCell ref="AX66:BE66"/>
    <mergeCell ref="BF66:BN66"/>
    <mergeCell ref="AF70:AG70"/>
    <mergeCell ref="AH68:AI68"/>
    <mergeCell ref="AJ68:AK68"/>
    <mergeCell ref="AP68:AW68"/>
    <mergeCell ref="AX68:BE68"/>
    <mergeCell ref="BF68:BN68"/>
    <mergeCell ref="AF69:AG69"/>
    <mergeCell ref="AF67:AG67"/>
    <mergeCell ref="AH67:AI67"/>
    <mergeCell ref="AJ67:AK67"/>
    <mergeCell ref="AL67:AM67"/>
    <mergeCell ref="AN67:AO67"/>
    <mergeCell ref="AP67:AW67"/>
    <mergeCell ref="AX67:BE67"/>
    <mergeCell ref="BF67:BN67"/>
    <mergeCell ref="AF71:AG71"/>
    <mergeCell ref="AF82:AG82"/>
    <mergeCell ref="AH82:AI82"/>
    <mergeCell ref="AJ82:AK82"/>
    <mergeCell ref="AH83:AI83"/>
    <mergeCell ref="AJ83:AK83"/>
    <mergeCell ref="AH84:AI84"/>
    <mergeCell ref="AJ84:AK84"/>
    <mergeCell ref="AH85:AI85"/>
    <mergeCell ref="AJ85:AK85"/>
    <mergeCell ref="AH75:AI75"/>
    <mergeCell ref="AJ75:AK75"/>
    <mergeCell ref="AH76:AI76"/>
    <mergeCell ref="AJ76:AK76"/>
    <mergeCell ref="AH77:AI77"/>
    <mergeCell ref="AJ77:AK77"/>
    <mergeCell ref="AH81:AI81"/>
    <mergeCell ref="AJ81:AK81"/>
    <mergeCell ref="AF80:AG80"/>
    <mergeCell ref="AH80:AI80"/>
    <mergeCell ref="AJ80:AK80"/>
    <mergeCell ref="AH86:AI86"/>
    <mergeCell ref="AJ86:AK86"/>
    <mergeCell ref="AX82:BE82"/>
    <mergeCell ref="AX83:BE83"/>
    <mergeCell ref="AX84:BE84"/>
    <mergeCell ref="AX85:BE85"/>
    <mergeCell ref="AX75:BE75"/>
    <mergeCell ref="AF74:AG74"/>
    <mergeCell ref="AH74:AI74"/>
    <mergeCell ref="AJ74:AK74"/>
    <mergeCell ref="AP74:AW74"/>
    <mergeCell ref="AX74:BE74"/>
    <mergeCell ref="AP75:AW75"/>
    <mergeCell ref="AP81:AW81"/>
    <mergeCell ref="AX76:BE76"/>
    <mergeCell ref="AX77:BE77"/>
    <mergeCell ref="AX81:BE81"/>
    <mergeCell ref="AP82:AW82"/>
    <mergeCell ref="AL80:AM80"/>
    <mergeCell ref="AP80:AW80"/>
    <mergeCell ref="AP86:AW86"/>
    <mergeCell ref="AH87:AI87"/>
    <mergeCell ref="AJ87:AK87"/>
    <mergeCell ref="AH88:AI88"/>
    <mergeCell ref="AJ88:AK88"/>
    <mergeCell ref="AX87:BE87"/>
    <mergeCell ref="AX88:BE88"/>
    <mergeCell ref="AX89:BE89"/>
    <mergeCell ref="AX90:BE90"/>
    <mergeCell ref="AX91:BE91"/>
    <mergeCell ref="AP88:AW88"/>
    <mergeCell ref="AP87:AW87"/>
    <mergeCell ref="AH93:AI93"/>
    <mergeCell ref="AJ93:AK93"/>
    <mergeCell ref="AH94:AI94"/>
    <mergeCell ref="AJ94:AK94"/>
    <mergeCell ref="AX93:BE93"/>
    <mergeCell ref="AX94:BE94"/>
    <mergeCell ref="AX92:BE92"/>
    <mergeCell ref="AH89:AI89"/>
    <mergeCell ref="AJ89:AK89"/>
    <mergeCell ref="AH90:AI90"/>
    <mergeCell ref="AJ90:AK90"/>
    <mergeCell ref="AH91:AI91"/>
    <mergeCell ref="AJ91:AK91"/>
    <mergeCell ref="AH92:AI92"/>
    <mergeCell ref="AJ92:AK92"/>
    <mergeCell ref="AP94:AW94"/>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AA70-DA2E-4834-BD8F-20695BA3568C}">
  <dimension ref="A1:BN52"/>
  <sheetViews>
    <sheetView showGridLines="0" zoomScaleNormal="100" workbookViewId="0">
      <selection sqref="A1:E1"/>
    </sheetView>
  </sheetViews>
  <sheetFormatPr defaultColWidth="2.375" defaultRowHeight="13.5"/>
  <cols>
    <col min="1" max="17" width="2.375" style="1"/>
    <col min="18" max="18" width="3.375" style="1" customWidth="1"/>
    <col min="19" max="31" width="2.375" style="1"/>
    <col min="32" max="39" width="3.75" style="1" customWidth="1"/>
    <col min="40" max="16384" width="2.375" style="1"/>
  </cols>
  <sheetData>
    <row r="1" spans="1:66" ht="14.1" customHeight="1" thickBot="1">
      <c r="A1" s="228" t="s">
        <v>8</v>
      </c>
      <c r="B1" s="229"/>
      <c r="C1" s="229"/>
      <c r="D1" s="229"/>
      <c r="E1" s="230"/>
      <c r="F1" s="225" t="str">
        <f>変更履歴!F1</f>
        <v>会計システム刷新プロジェクト（LIBRA）</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228" t="s">
        <v>10</v>
      </c>
      <c r="AM1" s="229"/>
      <c r="AN1" s="229"/>
      <c r="AO1" s="229"/>
      <c r="AP1" s="229"/>
      <c r="AQ1" s="229"/>
      <c r="AR1" s="230"/>
      <c r="AS1" s="228" t="s">
        <v>11</v>
      </c>
      <c r="AT1" s="229"/>
      <c r="AU1" s="229"/>
      <c r="AV1" s="229"/>
      <c r="AW1" s="229"/>
      <c r="AX1" s="230"/>
    </row>
    <row r="2" spans="1:66" ht="14.1" customHeight="1">
      <c r="A2" s="296" t="s">
        <v>12</v>
      </c>
      <c r="B2" s="297"/>
      <c r="C2" s="297"/>
      <c r="D2" s="297"/>
      <c r="E2" s="298"/>
      <c r="F2" s="237" t="str">
        <f>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51">
        <f>変更履歴!AT2</f>
        <v>45420</v>
      </c>
      <c r="AO2" s="252"/>
      <c r="AP2" s="252"/>
      <c r="AQ2" s="252"/>
      <c r="AR2" s="253"/>
      <c r="AS2" s="254" t="str">
        <f>変更履歴!BA2</f>
        <v>JBS井田</v>
      </c>
      <c r="AT2" s="255"/>
      <c r="AU2" s="255"/>
      <c r="AV2" s="255"/>
      <c r="AW2" s="255"/>
      <c r="AX2" s="256"/>
    </row>
    <row r="3" spans="1:66"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9">
        <f ca="1">変更履歴!AT3</f>
        <v>45911</v>
      </c>
      <c r="AO3" s="260"/>
      <c r="AP3" s="260"/>
      <c r="AQ3" s="260"/>
      <c r="AR3" s="261"/>
      <c r="AS3" s="262" t="str">
        <f ca="1">変更履歴!BA3</f>
        <v>JBS加藤</v>
      </c>
      <c r="AT3" s="263"/>
      <c r="AU3" s="263"/>
      <c r="AV3" s="263"/>
      <c r="AW3" s="263"/>
      <c r="AX3" s="264"/>
    </row>
    <row r="4" spans="1:66">
      <c r="A4" s="2"/>
      <c r="B4" s="70"/>
      <c r="C4" s="70"/>
      <c r="D4" s="70"/>
      <c r="E4" s="70"/>
      <c r="F4" s="70"/>
      <c r="G4" s="70"/>
      <c r="H4" s="70"/>
      <c r="I4" s="70"/>
      <c r="J4" s="70"/>
      <c r="K4" s="70"/>
      <c r="L4" s="70"/>
      <c r="M4" s="70"/>
      <c r="N4" s="70"/>
      <c r="O4" s="70"/>
      <c r="P4" s="70"/>
      <c r="Q4" s="70"/>
    </row>
    <row r="5" spans="1:66">
      <c r="A5" s="60"/>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59"/>
      <c r="AX5" s="59"/>
      <c r="AY5" s="59"/>
      <c r="AZ5" s="59"/>
      <c r="BA5" s="59"/>
      <c r="BB5" s="59"/>
      <c r="BC5" s="59"/>
      <c r="BD5" s="59"/>
      <c r="BE5" s="59"/>
      <c r="BF5" s="59"/>
      <c r="BG5" s="59"/>
      <c r="BH5" s="59"/>
      <c r="BI5" s="59"/>
      <c r="BJ5" s="59"/>
      <c r="BK5" s="59"/>
      <c r="BL5" s="59"/>
      <c r="BM5" s="59"/>
      <c r="BN5" s="59"/>
    </row>
    <row r="6" spans="1:66"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7"/>
    </row>
    <row r="7" spans="1:66"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41"/>
      <c r="BF7" s="44"/>
      <c r="BG7" s="44"/>
      <c r="BH7" s="44"/>
      <c r="BI7" s="44"/>
      <c r="BJ7" s="44"/>
      <c r="BK7" s="44"/>
      <c r="BL7" s="44"/>
      <c r="BM7" s="31"/>
    </row>
    <row r="8" spans="1:66" s="8" customFormat="1" ht="14.1" customHeight="1" thickBot="1">
      <c r="A8" s="9"/>
      <c r="B8" s="339" t="s">
        <v>110</v>
      </c>
      <c r="C8" s="374"/>
      <c r="D8" s="374"/>
      <c r="E8" s="374"/>
      <c r="F8" s="374"/>
      <c r="G8" s="374"/>
      <c r="H8" s="374"/>
      <c r="I8" s="383"/>
      <c r="J8" s="340" t="s">
        <v>111</v>
      </c>
      <c r="K8" s="374"/>
      <c r="L8" s="374"/>
      <c r="M8" s="374"/>
      <c r="N8" s="374"/>
      <c r="O8" s="374"/>
      <c r="P8" s="374"/>
      <c r="Q8" s="374"/>
      <c r="R8" s="302" t="s">
        <v>112</v>
      </c>
      <c r="S8" s="318" t="s">
        <v>113</v>
      </c>
      <c r="T8" s="319"/>
      <c r="U8" s="319"/>
      <c r="V8" s="319"/>
      <c r="W8" s="319"/>
      <c r="X8" s="319"/>
      <c r="Y8" s="319"/>
      <c r="Z8" s="319"/>
      <c r="AA8" s="319"/>
      <c r="AB8" s="319"/>
      <c r="AC8" s="319"/>
      <c r="AD8" s="319"/>
      <c r="AE8" s="320"/>
      <c r="AF8" s="322" t="s">
        <v>114</v>
      </c>
      <c r="AG8" s="323"/>
      <c r="AH8" s="323"/>
      <c r="AI8" s="323"/>
      <c r="AJ8" s="323"/>
      <c r="AK8" s="323"/>
      <c r="AL8" s="323"/>
      <c r="AM8" s="304"/>
      <c r="AN8" s="347" t="s">
        <v>115</v>
      </c>
      <c r="AO8" s="347"/>
      <c r="AP8" s="347"/>
      <c r="AQ8" s="347"/>
      <c r="AR8" s="347"/>
      <c r="AS8" s="347"/>
      <c r="AT8" s="347"/>
      <c r="AU8" s="348"/>
      <c r="AV8" s="302" t="s">
        <v>116</v>
      </c>
      <c r="AW8" s="302"/>
      <c r="AX8" s="302"/>
      <c r="AY8" s="302"/>
      <c r="AZ8" s="302"/>
      <c r="BA8" s="302"/>
      <c r="BB8" s="302"/>
      <c r="BC8" s="302"/>
      <c r="BD8" s="304" t="s">
        <v>117</v>
      </c>
      <c r="BE8" s="302"/>
      <c r="BF8" s="302"/>
      <c r="BG8" s="302"/>
      <c r="BH8" s="302"/>
      <c r="BI8" s="302"/>
      <c r="BJ8" s="302"/>
      <c r="BK8" s="302"/>
      <c r="BL8" s="305"/>
      <c r="BM8" s="10"/>
    </row>
    <row r="9" spans="1:66" s="8" customFormat="1">
      <c r="A9" s="9"/>
      <c r="B9" s="384"/>
      <c r="C9" s="376"/>
      <c r="D9" s="376"/>
      <c r="E9" s="376"/>
      <c r="F9" s="376"/>
      <c r="G9" s="376"/>
      <c r="H9" s="376"/>
      <c r="I9" s="385"/>
      <c r="J9" s="375"/>
      <c r="K9" s="376"/>
      <c r="L9" s="376"/>
      <c r="M9" s="376"/>
      <c r="N9" s="376"/>
      <c r="O9" s="376"/>
      <c r="P9" s="376"/>
      <c r="Q9" s="376"/>
      <c r="R9" s="303"/>
      <c r="S9" s="292"/>
      <c r="T9" s="321"/>
      <c r="U9" s="321"/>
      <c r="V9" s="321"/>
      <c r="W9" s="321"/>
      <c r="X9" s="321"/>
      <c r="Y9" s="321"/>
      <c r="Z9" s="321"/>
      <c r="AA9" s="321"/>
      <c r="AB9" s="321"/>
      <c r="AC9" s="321"/>
      <c r="AD9" s="321"/>
      <c r="AE9" s="293"/>
      <c r="AF9" s="292" t="s">
        <v>1006</v>
      </c>
      <c r="AG9" s="293"/>
      <c r="AH9" s="308" t="s">
        <v>118</v>
      </c>
      <c r="AI9" s="309"/>
      <c r="AJ9" s="292" t="s">
        <v>121</v>
      </c>
      <c r="AK9" s="293"/>
      <c r="AL9" s="292" t="s">
        <v>1007</v>
      </c>
      <c r="AM9" s="293"/>
      <c r="AN9" s="349"/>
      <c r="AO9" s="349"/>
      <c r="AP9" s="349"/>
      <c r="AQ9" s="349"/>
      <c r="AR9" s="349"/>
      <c r="AS9" s="349"/>
      <c r="AT9" s="349"/>
      <c r="AU9" s="350"/>
      <c r="AV9" s="303"/>
      <c r="AW9" s="303"/>
      <c r="AX9" s="303"/>
      <c r="AY9" s="303"/>
      <c r="AZ9" s="303"/>
      <c r="BA9" s="303"/>
      <c r="BB9" s="303"/>
      <c r="BC9" s="303"/>
      <c r="BD9" s="306"/>
      <c r="BE9" s="303"/>
      <c r="BF9" s="303"/>
      <c r="BG9" s="303"/>
      <c r="BH9" s="303"/>
      <c r="BI9" s="303"/>
      <c r="BJ9" s="303"/>
      <c r="BK9" s="303"/>
      <c r="BL9" s="307"/>
      <c r="BM9" s="10"/>
    </row>
    <row r="10" spans="1:66"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6"/>
      <c r="BD10" s="25"/>
      <c r="BE10" s="25"/>
      <c r="BF10" s="25"/>
      <c r="BG10" s="25"/>
      <c r="BH10" s="25"/>
      <c r="BI10" s="25"/>
      <c r="BJ10" s="25"/>
      <c r="BK10" s="25"/>
      <c r="BL10" s="26"/>
      <c r="BM10" s="10"/>
      <c r="BN10" s="11"/>
    </row>
    <row r="11" spans="1:66" s="8" customFormat="1">
      <c r="A11" s="9"/>
      <c r="B11" s="40" t="s">
        <v>1008</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8"/>
      <c r="BD11" s="27"/>
      <c r="BE11" s="27"/>
      <c r="BF11" s="27"/>
      <c r="BG11" s="27"/>
      <c r="BH11" s="27"/>
      <c r="BI11" s="27"/>
      <c r="BJ11" s="27"/>
      <c r="BK11" s="27"/>
      <c r="BL11" s="28"/>
      <c r="BM11" s="10"/>
      <c r="BN11" s="11"/>
    </row>
    <row r="12" spans="1:66" s="8" customFormat="1">
      <c r="A12" s="9"/>
      <c r="B12" s="29" t="s">
        <v>1009</v>
      </c>
      <c r="C12" s="30"/>
      <c r="D12" s="30"/>
      <c r="E12" s="30"/>
      <c r="F12" s="30"/>
      <c r="G12" s="30"/>
      <c r="H12" s="30"/>
      <c r="I12" s="30"/>
      <c r="J12" s="29" t="s">
        <v>1010</v>
      </c>
      <c r="K12" s="30"/>
      <c r="L12" s="30"/>
      <c r="M12" s="30"/>
      <c r="N12" s="30"/>
      <c r="O12" s="30"/>
      <c r="P12" s="30"/>
      <c r="Q12" s="31"/>
      <c r="R12" s="38">
        <v>1</v>
      </c>
      <c r="S12" s="112" t="s">
        <v>1011</v>
      </c>
      <c r="T12" s="37"/>
      <c r="U12" s="37"/>
      <c r="V12" s="37"/>
      <c r="W12" s="37"/>
      <c r="X12" s="37"/>
      <c r="Y12" s="37"/>
      <c r="Z12" s="37"/>
      <c r="AA12" s="37"/>
      <c r="AB12" s="37"/>
      <c r="AC12" s="37"/>
      <c r="AD12" s="37"/>
      <c r="AE12" s="38"/>
      <c r="AF12" s="284"/>
      <c r="AG12" s="286"/>
      <c r="AH12" s="284"/>
      <c r="AI12" s="286"/>
      <c r="AJ12" s="284"/>
      <c r="AK12" s="286"/>
      <c r="AL12" s="284" t="s">
        <v>130</v>
      </c>
      <c r="AM12" s="286"/>
      <c r="AN12" s="284" t="s">
        <v>131</v>
      </c>
      <c r="AO12" s="285"/>
      <c r="AP12" s="285"/>
      <c r="AQ12" s="285"/>
      <c r="AR12" s="285"/>
      <c r="AS12" s="285"/>
      <c r="AT12" s="285"/>
      <c r="AU12" s="286"/>
      <c r="AV12" s="287" t="s">
        <v>1012</v>
      </c>
      <c r="AW12" s="287"/>
      <c r="AX12" s="287"/>
      <c r="AY12" s="287"/>
      <c r="AZ12" s="287"/>
      <c r="BA12" s="287"/>
      <c r="BB12" s="287"/>
      <c r="BC12" s="287"/>
      <c r="BD12" s="288"/>
      <c r="BE12" s="288"/>
      <c r="BF12" s="288"/>
      <c r="BG12" s="288"/>
      <c r="BH12" s="288"/>
      <c r="BI12" s="288"/>
      <c r="BJ12" s="288"/>
      <c r="BK12" s="288"/>
      <c r="BL12" s="288"/>
      <c r="BM12" s="10"/>
      <c r="BN12" s="11"/>
    </row>
    <row r="13" spans="1:66" s="8" customFormat="1">
      <c r="A13" s="9"/>
      <c r="B13" s="32"/>
      <c r="C13" s="42"/>
      <c r="D13" s="42"/>
      <c r="E13" s="42"/>
      <c r="F13" s="42"/>
      <c r="G13" s="42"/>
      <c r="H13" s="42"/>
      <c r="I13" s="42"/>
      <c r="J13" s="32"/>
      <c r="K13" s="42"/>
      <c r="L13" s="42"/>
      <c r="M13" s="42"/>
      <c r="N13" s="42"/>
      <c r="O13" s="42"/>
      <c r="P13" s="42"/>
      <c r="Q13" s="10"/>
      <c r="R13" s="38">
        <v>2</v>
      </c>
      <c r="S13" s="112" t="s">
        <v>1013</v>
      </c>
      <c r="T13" s="37"/>
      <c r="U13" s="37"/>
      <c r="V13" s="37"/>
      <c r="W13" s="37"/>
      <c r="X13" s="37"/>
      <c r="Y13" s="37"/>
      <c r="Z13" s="37"/>
      <c r="AA13" s="37"/>
      <c r="AB13" s="37"/>
      <c r="AC13" s="37"/>
      <c r="AD13" s="37"/>
      <c r="AE13" s="38"/>
      <c r="AF13" s="284"/>
      <c r="AG13" s="286"/>
      <c r="AH13" s="284"/>
      <c r="AI13" s="286"/>
      <c r="AJ13" s="284"/>
      <c r="AK13" s="286"/>
      <c r="AL13" s="284" t="s">
        <v>130</v>
      </c>
      <c r="AM13" s="286"/>
      <c r="AN13" s="284" t="s">
        <v>131</v>
      </c>
      <c r="AO13" s="285"/>
      <c r="AP13" s="285"/>
      <c r="AQ13" s="285"/>
      <c r="AR13" s="285"/>
      <c r="AS13" s="285"/>
      <c r="AT13" s="285"/>
      <c r="AU13" s="286"/>
      <c r="AV13" s="287" t="s">
        <v>1014</v>
      </c>
      <c r="AW13" s="287"/>
      <c r="AX13" s="287"/>
      <c r="AY13" s="287"/>
      <c r="AZ13" s="287"/>
      <c r="BA13" s="287"/>
      <c r="BB13" s="287"/>
      <c r="BC13" s="287"/>
      <c r="BD13" s="288"/>
      <c r="BE13" s="288"/>
      <c r="BF13" s="288"/>
      <c r="BG13" s="288"/>
      <c r="BH13" s="288"/>
      <c r="BI13" s="288"/>
      <c r="BJ13" s="288"/>
      <c r="BK13" s="288"/>
      <c r="BL13" s="288"/>
      <c r="BM13" s="10"/>
      <c r="BN13" s="11"/>
    </row>
    <row r="14" spans="1:66" s="8" customFormat="1">
      <c r="A14" s="9"/>
      <c r="B14" s="32"/>
      <c r="C14" s="42"/>
      <c r="D14" s="42"/>
      <c r="E14" s="42"/>
      <c r="F14" s="42"/>
      <c r="G14" s="42"/>
      <c r="H14" s="42"/>
      <c r="I14" s="42"/>
      <c r="J14" s="32"/>
      <c r="K14" s="42"/>
      <c r="L14" s="42"/>
      <c r="M14" s="42"/>
      <c r="N14" s="42"/>
      <c r="O14" s="42"/>
      <c r="P14" s="42"/>
      <c r="Q14" s="10"/>
      <c r="R14" s="38">
        <v>3</v>
      </c>
      <c r="S14" s="58" t="s">
        <v>1015</v>
      </c>
      <c r="T14" s="37"/>
      <c r="U14" s="37"/>
      <c r="V14" s="37"/>
      <c r="W14" s="37"/>
      <c r="X14" s="37"/>
      <c r="Y14" s="37"/>
      <c r="Z14" s="37"/>
      <c r="AA14" s="37"/>
      <c r="AB14" s="37"/>
      <c r="AC14" s="37"/>
      <c r="AD14" s="37"/>
      <c r="AE14" s="38"/>
      <c r="AF14" s="284"/>
      <c r="AG14" s="286"/>
      <c r="AH14" s="284"/>
      <c r="AI14" s="286"/>
      <c r="AJ14" s="284"/>
      <c r="AK14" s="286"/>
      <c r="AL14" s="284" t="s">
        <v>130</v>
      </c>
      <c r="AM14" s="286"/>
      <c r="AN14" s="284" t="s">
        <v>131</v>
      </c>
      <c r="AO14" s="285"/>
      <c r="AP14" s="285"/>
      <c r="AQ14" s="285"/>
      <c r="AR14" s="285"/>
      <c r="AS14" s="285"/>
      <c r="AT14" s="285"/>
      <c r="AU14" s="286"/>
      <c r="AV14" s="287" t="s">
        <v>1016</v>
      </c>
      <c r="AW14" s="287"/>
      <c r="AX14" s="287"/>
      <c r="AY14" s="287"/>
      <c r="AZ14" s="287"/>
      <c r="BA14" s="287"/>
      <c r="BB14" s="287"/>
      <c r="BC14" s="287"/>
      <c r="BD14" s="288"/>
      <c r="BE14" s="288"/>
      <c r="BF14" s="288"/>
      <c r="BG14" s="288"/>
      <c r="BH14" s="288"/>
      <c r="BI14" s="288"/>
      <c r="BJ14" s="288"/>
      <c r="BK14" s="288"/>
      <c r="BL14" s="288"/>
      <c r="BM14" s="10"/>
      <c r="BN14" s="11"/>
    </row>
    <row r="15" spans="1:66" s="8" customFormat="1">
      <c r="A15" s="9"/>
      <c r="B15" s="32"/>
      <c r="C15" s="42"/>
      <c r="D15" s="42"/>
      <c r="E15" s="42"/>
      <c r="F15" s="42"/>
      <c r="G15" s="42"/>
      <c r="H15" s="42"/>
      <c r="I15" s="42"/>
      <c r="J15" s="29" t="s">
        <v>1017</v>
      </c>
      <c r="K15" s="30"/>
      <c r="L15" s="30"/>
      <c r="M15" s="30"/>
      <c r="N15" s="30"/>
      <c r="O15" s="30"/>
      <c r="P15" s="30"/>
      <c r="Q15" s="31"/>
      <c r="R15" s="38">
        <v>1</v>
      </c>
      <c r="S15" s="112" t="s">
        <v>1018</v>
      </c>
      <c r="T15" s="37"/>
      <c r="U15" s="37"/>
      <c r="V15" s="37"/>
      <c r="W15" s="37"/>
      <c r="X15" s="37"/>
      <c r="Y15" s="37"/>
      <c r="Z15" s="37"/>
      <c r="AA15" s="37"/>
      <c r="AB15" s="37"/>
      <c r="AC15" s="37"/>
      <c r="AD15" s="37"/>
      <c r="AE15" s="38"/>
      <c r="AF15" s="284"/>
      <c r="AG15" s="286"/>
      <c r="AH15" s="284"/>
      <c r="AI15" s="286"/>
      <c r="AJ15" s="284"/>
      <c r="AK15" s="286"/>
      <c r="AL15" s="284" t="s">
        <v>130</v>
      </c>
      <c r="AM15" s="286"/>
      <c r="AN15" s="284" t="s">
        <v>143</v>
      </c>
      <c r="AO15" s="285"/>
      <c r="AP15" s="285"/>
      <c r="AQ15" s="285"/>
      <c r="AR15" s="285"/>
      <c r="AS15" s="285"/>
      <c r="AT15" s="285"/>
      <c r="AU15" s="286"/>
      <c r="AV15" s="287" t="s">
        <v>143</v>
      </c>
      <c r="AW15" s="287"/>
      <c r="AX15" s="287"/>
      <c r="AY15" s="287"/>
      <c r="AZ15" s="287"/>
      <c r="BA15" s="287"/>
      <c r="BB15" s="287"/>
      <c r="BC15" s="287"/>
      <c r="BD15" s="288" t="s">
        <v>1019</v>
      </c>
      <c r="BE15" s="288"/>
      <c r="BF15" s="288"/>
      <c r="BG15" s="288"/>
      <c r="BH15" s="288"/>
      <c r="BI15" s="288"/>
      <c r="BJ15" s="288"/>
      <c r="BK15" s="288"/>
      <c r="BL15" s="288"/>
      <c r="BM15" s="10"/>
      <c r="BN15" s="11"/>
    </row>
    <row r="16" spans="1:66" s="8" customFormat="1">
      <c r="A16" s="9"/>
      <c r="B16" s="33"/>
      <c r="C16" s="42"/>
      <c r="D16" s="42"/>
      <c r="E16" s="42"/>
      <c r="F16" s="42"/>
      <c r="G16" s="42"/>
      <c r="H16" s="42"/>
      <c r="I16" s="42"/>
      <c r="J16" s="32"/>
      <c r="K16" s="42"/>
      <c r="L16" s="42"/>
      <c r="M16" s="42"/>
      <c r="N16" s="42"/>
      <c r="O16" s="42"/>
      <c r="P16" s="42"/>
      <c r="Q16" s="10"/>
      <c r="R16" s="38">
        <v>2</v>
      </c>
      <c r="S16" s="58" t="s">
        <v>1020</v>
      </c>
      <c r="T16" s="37"/>
      <c r="U16" s="37"/>
      <c r="V16" s="37"/>
      <c r="W16" s="37"/>
      <c r="X16" s="37"/>
      <c r="Y16" s="37"/>
      <c r="Z16" s="37"/>
      <c r="AA16" s="37"/>
      <c r="AB16" s="37"/>
      <c r="AC16" s="37"/>
      <c r="AD16" s="37"/>
      <c r="AE16" s="38"/>
      <c r="AF16" s="284"/>
      <c r="AG16" s="286"/>
      <c r="AH16" s="284"/>
      <c r="AI16" s="286"/>
      <c r="AJ16" s="284" t="s">
        <v>130</v>
      </c>
      <c r="AK16" s="286"/>
      <c r="AL16" s="284"/>
      <c r="AM16" s="286"/>
      <c r="AN16" s="284" t="s">
        <v>143</v>
      </c>
      <c r="AO16" s="285"/>
      <c r="AP16" s="285"/>
      <c r="AQ16" s="285"/>
      <c r="AR16" s="285"/>
      <c r="AS16" s="285"/>
      <c r="AT16" s="285"/>
      <c r="AU16" s="286"/>
      <c r="AV16" s="287" t="s">
        <v>143</v>
      </c>
      <c r="AW16" s="287"/>
      <c r="AX16" s="287"/>
      <c r="AY16" s="287"/>
      <c r="AZ16" s="287"/>
      <c r="BA16" s="287"/>
      <c r="BB16" s="287"/>
      <c r="BC16" s="287"/>
      <c r="BD16" s="288" t="s">
        <v>1019</v>
      </c>
      <c r="BE16" s="288"/>
      <c r="BF16" s="288"/>
      <c r="BG16" s="288"/>
      <c r="BH16" s="288"/>
      <c r="BI16" s="288"/>
      <c r="BJ16" s="288"/>
      <c r="BK16" s="288"/>
      <c r="BL16" s="288"/>
      <c r="BM16" s="10"/>
    </row>
    <row r="17" spans="1:66" s="8" customFormat="1">
      <c r="A17" s="9"/>
      <c r="B17" s="32"/>
      <c r="C17" s="42"/>
      <c r="D17" s="42"/>
      <c r="E17" s="42"/>
      <c r="F17" s="42"/>
      <c r="G17" s="42"/>
      <c r="H17" s="42"/>
      <c r="I17" s="42"/>
      <c r="J17" s="32"/>
      <c r="K17" s="42"/>
      <c r="L17" s="42"/>
      <c r="M17" s="42"/>
      <c r="N17" s="42"/>
      <c r="O17" s="42"/>
      <c r="P17" s="42"/>
      <c r="Q17" s="10"/>
      <c r="R17" s="38">
        <v>3</v>
      </c>
      <c r="S17" s="36" t="s">
        <v>1021</v>
      </c>
      <c r="T17" s="37"/>
      <c r="U17" s="37"/>
      <c r="V17" s="37"/>
      <c r="W17" s="37"/>
      <c r="X17" s="37"/>
      <c r="Y17" s="37"/>
      <c r="Z17" s="37"/>
      <c r="AA17" s="37"/>
      <c r="AB17" s="37"/>
      <c r="AC17" s="37"/>
      <c r="AD17" s="37"/>
      <c r="AE17" s="38"/>
      <c r="AF17" s="284"/>
      <c r="AG17" s="286"/>
      <c r="AH17" s="284"/>
      <c r="AI17" s="286"/>
      <c r="AJ17" s="284" t="s">
        <v>130</v>
      </c>
      <c r="AK17" s="286"/>
      <c r="AL17" s="284"/>
      <c r="AM17" s="286"/>
      <c r="AN17" s="284" t="s">
        <v>143</v>
      </c>
      <c r="AO17" s="285"/>
      <c r="AP17" s="285"/>
      <c r="AQ17" s="285"/>
      <c r="AR17" s="285"/>
      <c r="AS17" s="285"/>
      <c r="AT17" s="285"/>
      <c r="AU17" s="286"/>
      <c r="AV17" s="287" t="s">
        <v>143</v>
      </c>
      <c r="AW17" s="287"/>
      <c r="AX17" s="287"/>
      <c r="AY17" s="287"/>
      <c r="AZ17" s="287"/>
      <c r="BA17" s="287"/>
      <c r="BB17" s="287"/>
      <c r="BC17" s="287"/>
      <c r="BD17" s="289"/>
      <c r="BE17" s="290"/>
      <c r="BF17" s="290"/>
      <c r="BG17" s="290"/>
      <c r="BH17" s="290"/>
      <c r="BI17" s="290"/>
      <c r="BJ17" s="290"/>
      <c r="BK17" s="290"/>
      <c r="BL17" s="291"/>
      <c r="BM17" s="10"/>
      <c r="BN17" s="11"/>
    </row>
    <row r="18" spans="1:66" s="8" customFormat="1">
      <c r="A18" s="9"/>
      <c r="B18" s="33"/>
      <c r="C18" s="42"/>
      <c r="D18" s="42"/>
      <c r="E18" s="42"/>
      <c r="F18" s="42"/>
      <c r="G18" s="42"/>
      <c r="H18" s="42"/>
      <c r="I18" s="42"/>
      <c r="J18" s="32"/>
      <c r="K18" s="42"/>
      <c r="L18" s="42"/>
      <c r="M18" s="42"/>
      <c r="N18" s="42"/>
      <c r="O18" s="42"/>
      <c r="P18" s="42"/>
      <c r="Q18" s="10"/>
      <c r="R18" s="38">
        <v>4</v>
      </c>
      <c r="S18" s="36" t="s">
        <v>1022</v>
      </c>
      <c r="T18" s="37"/>
      <c r="U18" s="37"/>
      <c r="V18" s="37"/>
      <c r="W18" s="37"/>
      <c r="X18" s="37"/>
      <c r="Y18" s="37"/>
      <c r="Z18" s="37"/>
      <c r="AA18" s="37"/>
      <c r="AB18" s="37"/>
      <c r="AC18" s="37"/>
      <c r="AD18" s="37"/>
      <c r="AE18" s="38"/>
      <c r="AF18" s="284" t="s">
        <v>130</v>
      </c>
      <c r="AG18" s="286"/>
      <c r="AH18" s="284"/>
      <c r="AI18" s="286"/>
      <c r="AJ18" s="284"/>
      <c r="AK18" s="286"/>
      <c r="AL18" s="284"/>
      <c r="AM18" s="286"/>
      <c r="AN18" s="284" t="s">
        <v>201</v>
      </c>
      <c r="AO18" s="285"/>
      <c r="AP18" s="285"/>
      <c r="AQ18" s="285"/>
      <c r="AR18" s="285"/>
      <c r="AS18" s="285"/>
      <c r="AT18" s="285"/>
      <c r="AU18" s="286"/>
      <c r="AV18" s="287" t="s">
        <v>143</v>
      </c>
      <c r="AW18" s="287"/>
      <c r="AX18" s="287"/>
      <c r="AY18" s="287"/>
      <c r="AZ18" s="287"/>
      <c r="BA18" s="287"/>
      <c r="BB18" s="287"/>
      <c r="BC18" s="287"/>
      <c r="BD18" s="288" t="s">
        <v>1023</v>
      </c>
      <c r="BE18" s="288"/>
      <c r="BF18" s="288"/>
      <c r="BG18" s="288"/>
      <c r="BH18" s="288"/>
      <c r="BI18" s="288"/>
      <c r="BJ18" s="288"/>
      <c r="BK18" s="288"/>
      <c r="BL18" s="288"/>
      <c r="BM18" s="10"/>
    </row>
    <row r="19" spans="1:66" s="8" customFormat="1">
      <c r="A19" s="9"/>
      <c r="B19" s="32"/>
      <c r="C19" s="42"/>
      <c r="D19" s="42"/>
      <c r="E19" s="42"/>
      <c r="F19" s="42"/>
      <c r="G19" s="42"/>
      <c r="H19" s="42"/>
      <c r="I19" s="42"/>
      <c r="J19" s="32"/>
      <c r="K19" s="42"/>
      <c r="L19" s="42"/>
      <c r="M19" s="42"/>
      <c r="N19" s="42"/>
      <c r="O19" s="42"/>
      <c r="P19" s="42"/>
      <c r="Q19" s="10"/>
      <c r="R19" s="38">
        <v>5</v>
      </c>
      <c r="S19" s="36" t="s">
        <v>1024</v>
      </c>
      <c r="T19" s="37"/>
      <c r="U19" s="37"/>
      <c r="V19" s="37"/>
      <c r="W19" s="37"/>
      <c r="X19" s="37"/>
      <c r="Y19" s="37"/>
      <c r="Z19" s="37"/>
      <c r="AA19" s="37"/>
      <c r="AB19" s="37"/>
      <c r="AC19" s="37"/>
      <c r="AD19" s="37"/>
      <c r="AE19" s="38"/>
      <c r="AF19" s="284"/>
      <c r="AG19" s="286"/>
      <c r="AH19" s="284"/>
      <c r="AI19" s="286"/>
      <c r="AJ19" s="284" t="s">
        <v>130</v>
      </c>
      <c r="AK19" s="286"/>
      <c r="AL19" s="284"/>
      <c r="AM19" s="286"/>
      <c r="AN19" s="333" t="s">
        <v>1025</v>
      </c>
      <c r="AO19" s="285"/>
      <c r="AP19" s="285"/>
      <c r="AQ19" s="285"/>
      <c r="AR19" s="285"/>
      <c r="AS19" s="285"/>
      <c r="AT19" s="285"/>
      <c r="AU19" s="286"/>
      <c r="AV19" s="287" t="s">
        <v>201</v>
      </c>
      <c r="AW19" s="287"/>
      <c r="AX19" s="287"/>
      <c r="AY19" s="287"/>
      <c r="AZ19" s="287"/>
      <c r="BA19" s="287"/>
      <c r="BB19" s="287"/>
      <c r="BC19" s="287"/>
      <c r="BD19" s="288" t="s">
        <v>1026</v>
      </c>
      <c r="BE19" s="288"/>
      <c r="BF19" s="288"/>
      <c r="BG19" s="288"/>
      <c r="BH19" s="288"/>
      <c r="BI19" s="288"/>
      <c r="BJ19" s="288"/>
      <c r="BK19" s="288"/>
      <c r="BL19" s="288"/>
      <c r="BM19" s="10"/>
      <c r="BN19" s="11"/>
    </row>
    <row r="20" spans="1:66" s="8" customFormat="1">
      <c r="A20" s="9"/>
      <c r="B20" s="33"/>
      <c r="C20" s="42"/>
      <c r="D20" s="42"/>
      <c r="E20" s="42"/>
      <c r="F20" s="42"/>
      <c r="G20" s="42"/>
      <c r="H20" s="42"/>
      <c r="I20" s="42"/>
      <c r="J20" s="32"/>
      <c r="K20" s="42"/>
      <c r="L20" s="42"/>
      <c r="M20" s="42"/>
      <c r="N20" s="42"/>
      <c r="O20" s="42"/>
      <c r="P20" s="42"/>
      <c r="Q20" s="10"/>
      <c r="R20" s="38">
        <v>6</v>
      </c>
      <c r="S20" s="36" t="s">
        <v>1027</v>
      </c>
      <c r="T20" s="37"/>
      <c r="U20" s="37"/>
      <c r="V20" s="37"/>
      <c r="W20" s="37"/>
      <c r="X20" s="37"/>
      <c r="Y20" s="37"/>
      <c r="Z20" s="37"/>
      <c r="AA20" s="37"/>
      <c r="AB20" s="37"/>
      <c r="AC20" s="37"/>
      <c r="AD20" s="37"/>
      <c r="AE20" s="38"/>
      <c r="AF20" s="284"/>
      <c r="AG20" s="286"/>
      <c r="AH20" s="284"/>
      <c r="AI20" s="286"/>
      <c r="AJ20" s="284" t="s">
        <v>130</v>
      </c>
      <c r="AK20" s="286"/>
      <c r="AL20" s="284"/>
      <c r="AM20" s="286"/>
      <c r="AN20" s="333" t="s">
        <v>1025</v>
      </c>
      <c r="AO20" s="285"/>
      <c r="AP20" s="285"/>
      <c r="AQ20" s="285"/>
      <c r="AR20" s="285"/>
      <c r="AS20" s="285"/>
      <c r="AT20" s="285"/>
      <c r="AU20" s="286"/>
      <c r="AV20" s="287" t="s">
        <v>201</v>
      </c>
      <c r="AW20" s="287"/>
      <c r="AX20" s="287"/>
      <c r="AY20" s="287"/>
      <c r="AZ20" s="287"/>
      <c r="BA20" s="287"/>
      <c r="BB20" s="287"/>
      <c r="BC20" s="287"/>
      <c r="BD20" s="288"/>
      <c r="BE20" s="288"/>
      <c r="BF20" s="288"/>
      <c r="BG20" s="288"/>
      <c r="BH20" s="288"/>
      <c r="BI20" s="288"/>
      <c r="BJ20" s="288"/>
      <c r="BK20" s="288"/>
      <c r="BL20" s="288"/>
      <c r="BM20" s="10"/>
    </row>
    <row r="21" spans="1:66" s="8" customFormat="1">
      <c r="A21" s="9"/>
      <c r="B21" s="32"/>
      <c r="C21" s="42"/>
      <c r="D21" s="42"/>
      <c r="E21" s="42"/>
      <c r="F21" s="42"/>
      <c r="G21" s="42"/>
      <c r="H21" s="42"/>
      <c r="I21" s="42"/>
      <c r="J21" s="32"/>
      <c r="K21" s="42"/>
      <c r="L21" s="42"/>
      <c r="M21" s="42"/>
      <c r="N21" s="42"/>
      <c r="O21" s="42"/>
      <c r="P21" s="42"/>
      <c r="Q21" s="10"/>
      <c r="R21" s="38">
        <v>7</v>
      </c>
      <c r="S21" s="36" t="s">
        <v>1028</v>
      </c>
      <c r="T21" s="37"/>
      <c r="U21" s="37"/>
      <c r="V21" s="37"/>
      <c r="W21" s="37"/>
      <c r="X21" s="37"/>
      <c r="Y21" s="37"/>
      <c r="Z21" s="37"/>
      <c r="AA21" s="37"/>
      <c r="AB21" s="37"/>
      <c r="AC21" s="37"/>
      <c r="AD21" s="37"/>
      <c r="AE21" s="38"/>
      <c r="AF21" s="284"/>
      <c r="AG21" s="286"/>
      <c r="AH21" s="284"/>
      <c r="AI21" s="286"/>
      <c r="AJ21" s="284" t="s">
        <v>130</v>
      </c>
      <c r="AK21" s="286"/>
      <c r="AL21" s="284"/>
      <c r="AM21" s="286"/>
      <c r="AN21" s="284" t="s">
        <v>131</v>
      </c>
      <c r="AO21" s="285"/>
      <c r="AP21" s="285"/>
      <c r="AQ21" s="285"/>
      <c r="AR21" s="285"/>
      <c r="AS21" s="285"/>
      <c r="AT21" s="285"/>
      <c r="AU21" s="286"/>
      <c r="AV21" s="287" t="s">
        <v>1029</v>
      </c>
      <c r="AW21" s="287"/>
      <c r="AX21" s="287"/>
      <c r="AY21" s="287"/>
      <c r="AZ21" s="287"/>
      <c r="BA21" s="287"/>
      <c r="BB21" s="287"/>
      <c r="BC21" s="287"/>
      <c r="BD21" s="288"/>
      <c r="BE21" s="288"/>
      <c r="BF21" s="288"/>
      <c r="BG21" s="288"/>
      <c r="BH21" s="288"/>
      <c r="BI21" s="288"/>
      <c r="BJ21" s="288"/>
      <c r="BK21" s="288"/>
      <c r="BL21" s="288"/>
      <c r="BM21" s="10"/>
      <c r="BN21" s="11"/>
    </row>
    <row r="22" spans="1:66" s="8" customFormat="1">
      <c r="A22" s="9"/>
      <c r="B22" s="33"/>
      <c r="C22" s="42"/>
      <c r="D22" s="42"/>
      <c r="E22" s="42"/>
      <c r="F22" s="42"/>
      <c r="G22" s="42"/>
      <c r="H22" s="42"/>
      <c r="I22" s="42"/>
      <c r="J22" s="32"/>
      <c r="K22" s="42"/>
      <c r="L22" s="42"/>
      <c r="M22" s="42"/>
      <c r="N22" s="42"/>
      <c r="O22" s="42"/>
      <c r="P22" s="42"/>
      <c r="Q22" s="10"/>
      <c r="R22" s="38">
        <v>8</v>
      </c>
      <c r="S22" s="36" t="s">
        <v>1030</v>
      </c>
      <c r="T22" s="37"/>
      <c r="U22" s="37"/>
      <c r="V22" s="37"/>
      <c r="W22" s="37"/>
      <c r="X22" s="37"/>
      <c r="Y22" s="37"/>
      <c r="Z22" s="37"/>
      <c r="AA22" s="37"/>
      <c r="AB22" s="37"/>
      <c r="AC22" s="37"/>
      <c r="AD22" s="37"/>
      <c r="AE22" s="38"/>
      <c r="AF22" s="284"/>
      <c r="AG22" s="286"/>
      <c r="AH22" s="284"/>
      <c r="AI22" s="286"/>
      <c r="AJ22" s="284" t="s">
        <v>130</v>
      </c>
      <c r="AK22" s="286"/>
      <c r="AL22" s="284"/>
      <c r="AM22" s="286"/>
      <c r="AN22" s="284" t="s">
        <v>143</v>
      </c>
      <c r="AO22" s="285"/>
      <c r="AP22" s="285"/>
      <c r="AQ22" s="285"/>
      <c r="AR22" s="285"/>
      <c r="AS22" s="285"/>
      <c r="AT22" s="285"/>
      <c r="AU22" s="286"/>
      <c r="AV22" s="287" t="s">
        <v>143</v>
      </c>
      <c r="AW22" s="287"/>
      <c r="AX22" s="287"/>
      <c r="AY22" s="287"/>
      <c r="AZ22" s="287"/>
      <c r="BA22" s="287"/>
      <c r="BB22" s="287"/>
      <c r="BC22" s="287"/>
      <c r="BD22" s="288"/>
      <c r="BE22" s="288"/>
      <c r="BF22" s="288"/>
      <c r="BG22" s="288"/>
      <c r="BH22" s="288"/>
      <c r="BI22" s="288"/>
      <c r="BJ22" s="288"/>
      <c r="BK22" s="288"/>
      <c r="BL22" s="288"/>
      <c r="BM22" s="10"/>
    </row>
    <row r="23" spans="1:66" s="8" customFormat="1">
      <c r="A23" s="9"/>
      <c r="B23" s="32"/>
      <c r="C23" s="42"/>
      <c r="D23" s="42"/>
      <c r="E23" s="42"/>
      <c r="F23" s="42"/>
      <c r="G23" s="42"/>
      <c r="H23" s="42"/>
      <c r="I23" s="42"/>
      <c r="J23" s="32"/>
      <c r="K23" s="42"/>
      <c r="L23" s="42"/>
      <c r="M23" s="42"/>
      <c r="N23" s="42"/>
      <c r="O23" s="42"/>
      <c r="P23" s="42"/>
      <c r="Q23" s="10"/>
      <c r="R23" s="38">
        <v>9</v>
      </c>
      <c r="S23" s="36" t="s">
        <v>1031</v>
      </c>
      <c r="T23" s="37"/>
      <c r="U23" s="37"/>
      <c r="V23" s="37"/>
      <c r="W23" s="37"/>
      <c r="X23" s="37"/>
      <c r="Y23" s="37"/>
      <c r="Z23" s="37"/>
      <c r="AA23" s="37"/>
      <c r="AB23" s="37"/>
      <c r="AC23" s="37"/>
      <c r="AD23" s="37"/>
      <c r="AE23" s="38"/>
      <c r="AF23" s="284" t="s">
        <v>130</v>
      </c>
      <c r="AG23" s="286"/>
      <c r="AH23" s="284"/>
      <c r="AI23" s="286"/>
      <c r="AJ23" s="284"/>
      <c r="AK23" s="286"/>
      <c r="AL23" s="284"/>
      <c r="AM23" s="286"/>
      <c r="AN23" s="284" t="s">
        <v>143</v>
      </c>
      <c r="AO23" s="285"/>
      <c r="AP23" s="285"/>
      <c r="AQ23" s="285"/>
      <c r="AR23" s="285"/>
      <c r="AS23" s="285"/>
      <c r="AT23" s="285"/>
      <c r="AU23" s="286"/>
      <c r="AV23" s="287" t="s">
        <v>143</v>
      </c>
      <c r="AW23" s="287"/>
      <c r="AX23" s="287"/>
      <c r="AY23" s="287"/>
      <c r="AZ23" s="287"/>
      <c r="BA23" s="287"/>
      <c r="BB23" s="287"/>
      <c r="BC23" s="287"/>
      <c r="BD23" s="288"/>
      <c r="BE23" s="288"/>
      <c r="BF23" s="288"/>
      <c r="BG23" s="288"/>
      <c r="BH23" s="288"/>
      <c r="BI23" s="288"/>
      <c r="BJ23" s="288"/>
      <c r="BK23" s="288"/>
      <c r="BL23" s="288"/>
      <c r="BM23" s="10"/>
      <c r="BN23" s="11"/>
    </row>
    <row r="24" spans="1:66" s="8" customFormat="1">
      <c r="A24" s="9"/>
      <c r="B24" s="33"/>
      <c r="C24" s="42"/>
      <c r="D24" s="42"/>
      <c r="E24" s="42"/>
      <c r="F24" s="42"/>
      <c r="G24" s="42"/>
      <c r="H24" s="42"/>
      <c r="I24" s="42"/>
      <c r="J24" s="32"/>
      <c r="K24" s="42"/>
      <c r="L24" s="42"/>
      <c r="M24" s="42"/>
      <c r="N24" s="42"/>
      <c r="O24" s="42"/>
      <c r="P24" s="42"/>
      <c r="Q24" s="10"/>
      <c r="R24" s="38">
        <v>10</v>
      </c>
      <c r="S24" s="36" t="s">
        <v>1032</v>
      </c>
      <c r="T24" s="37"/>
      <c r="U24" s="37"/>
      <c r="V24" s="37"/>
      <c r="W24" s="37"/>
      <c r="X24" s="37"/>
      <c r="Y24" s="37"/>
      <c r="Z24" s="37"/>
      <c r="AA24" s="37"/>
      <c r="AB24" s="37"/>
      <c r="AC24" s="37"/>
      <c r="AD24" s="37"/>
      <c r="AE24" s="38"/>
      <c r="AF24" s="284"/>
      <c r="AG24" s="286"/>
      <c r="AH24" s="284"/>
      <c r="AI24" s="286"/>
      <c r="AJ24" s="284"/>
      <c r="AK24" s="286"/>
      <c r="AL24" s="284" t="s">
        <v>130</v>
      </c>
      <c r="AM24" s="286"/>
      <c r="AN24" s="284" t="s">
        <v>131</v>
      </c>
      <c r="AO24" s="285"/>
      <c r="AP24" s="285"/>
      <c r="AQ24" s="285"/>
      <c r="AR24" s="285"/>
      <c r="AS24" s="285"/>
      <c r="AT24" s="285"/>
      <c r="AU24" s="286"/>
      <c r="AV24" s="287" t="s">
        <v>1033</v>
      </c>
      <c r="AW24" s="287"/>
      <c r="AX24" s="287"/>
      <c r="AY24" s="287"/>
      <c r="AZ24" s="287"/>
      <c r="BA24" s="287"/>
      <c r="BB24" s="287"/>
      <c r="BC24" s="287"/>
      <c r="BD24" s="288"/>
      <c r="BE24" s="288"/>
      <c r="BF24" s="288"/>
      <c r="BG24" s="288"/>
      <c r="BH24" s="288"/>
      <c r="BI24" s="288"/>
      <c r="BJ24" s="288"/>
      <c r="BK24" s="288"/>
      <c r="BL24" s="288"/>
      <c r="BM24" s="10"/>
    </row>
    <row r="25" spans="1:66" s="8" customFormat="1">
      <c r="A25" s="9"/>
      <c r="B25" s="32"/>
      <c r="C25" s="42"/>
      <c r="D25" s="42"/>
      <c r="E25" s="42"/>
      <c r="F25" s="42"/>
      <c r="G25" s="42"/>
      <c r="H25" s="42"/>
      <c r="I25" s="42"/>
      <c r="J25" s="32"/>
      <c r="K25" s="42"/>
      <c r="L25" s="42"/>
      <c r="M25" s="42"/>
      <c r="N25" s="42"/>
      <c r="O25" s="42"/>
      <c r="P25" s="42"/>
      <c r="Q25" s="10"/>
      <c r="R25" s="38">
        <v>11</v>
      </c>
      <c r="S25" s="36" t="s">
        <v>1034</v>
      </c>
      <c r="T25" s="37"/>
      <c r="U25" s="37"/>
      <c r="V25" s="37"/>
      <c r="W25" s="37"/>
      <c r="X25" s="37"/>
      <c r="Y25" s="37"/>
      <c r="Z25" s="37"/>
      <c r="AA25" s="37"/>
      <c r="AB25" s="37"/>
      <c r="AC25" s="37"/>
      <c r="AD25" s="37"/>
      <c r="AE25" s="38"/>
      <c r="AF25" s="284"/>
      <c r="AG25" s="286"/>
      <c r="AH25" s="284"/>
      <c r="AI25" s="286"/>
      <c r="AJ25" s="284"/>
      <c r="AK25" s="286"/>
      <c r="AL25" s="284" t="s">
        <v>130</v>
      </c>
      <c r="AM25" s="286"/>
      <c r="AN25" s="284" t="s">
        <v>131</v>
      </c>
      <c r="AO25" s="285"/>
      <c r="AP25" s="285"/>
      <c r="AQ25" s="285"/>
      <c r="AR25" s="285"/>
      <c r="AS25" s="285"/>
      <c r="AT25" s="285"/>
      <c r="AU25" s="286"/>
      <c r="AV25" s="284" t="s">
        <v>205</v>
      </c>
      <c r="AW25" s="285"/>
      <c r="AX25" s="285"/>
      <c r="AY25" s="285"/>
      <c r="AZ25" s="285"/>
      <c r="BA25" s="285"/>
      <c r="BB25" s="285"/>
      <c r="BC25" s="286"/>
      <c r="BD25" s="288"/>
      <c r="BE25" s="288"/>
      <c r="BF25" s="288"/>
      <c r="BG25" s="288"/>
      <c r="BH25" s="288"/>
      <c r="BI25" s="288"/>
      <c r="BJ25" s="288"/>
      <c r="BK25" s="288"/>
      <c r="BL25" s="288"/>
      <c r="BM25" s="10"/>
      <c r="BN25" s="11"/>
    </row>
    <row r="26" spans="1:66" s="8" customFormat="1">
      <c r="A26" s="9"/>
      <c r="B26" s="32"/>
      <c r="C26" s="42"/>
      <c r="D26" s="42"/>
      <c r="E26" s="42"/>
      <c r="F26" s="42"/>
      <c r="G26" s="42"/>
      <c r="H26" s="42"/>
      <c r="I26" s="42"/>
      <c r="J26" s="32"/>
      <c r="K26" s="42"/>
      <c r="L26" s="42"/>
      <c r="M26" s="42"/>
      <c r="N26" s="42"/>
      <c r="O26" s="42"/>
      <c r="P26" s="42"/>
      <c r="Q26" s="10"/>
      <c r="R26" s="38">
        <v>12</v>
      </c>
      <c r="S26" s="36" t="s">
        <v>1035</v>
      </c>
      <c r="T26" s="37"/>
      <c r="U26" s="37"/>
      <c r="V26" s="37"/>
      <c r="W26" s="37"/>
      <c r="X26" s="37"/>
      <c r="Y26" s="37"/>
      <c r="Z26" s="37"/>
      <c r="AA26" s="37"/>
      <c r="AB26" s="37"/>
      <c r="AC26" s="37"/>
      <c r="AD26" s="37"/>
      <c r="AE26" s="38"/>
      <c r="AF26" s="284"/>
      <c r="AG26" s="286"/>
      <c r="AH26" s="284"/>
      <c r="AI26" s="286"/>
      <c r="AJ26" s="284"/>
      <c r="AK26" s="286"/>
      <c r="AL26" s="284" t="s">
        <v>130</v>
      </c>
      <c r="AM26" s="286"/>
      <c r="AN26" s="284" t="s">
        <v>131</v>
      </c>
      <c r="AO26" s="285"/>
      <c r="AP26" s="285"/>
      <c r="AQ26" s="285"/>
      <c r="AR26" s="285"/>
      <c r="AS26" s="285"/>
      <c r="AT26" s="285"/>
      <c r="AU26" s="286"/>
      <c r="AV26" s="284" t="s">
        <v>205</v>
      </c>
      <c r="AW26" s="285"/>
      <c r="AX26" s="285"/>
      <c r="AY26" s="285"/>
      <c r="AZ26" s="285"/>
      <c r="BA26" s="285"/>
      <c r="BB26" s="285"/>
      <c r="BC26" s="286"/>
      <c r="BD26" s="288"/>
      <c r="BE26" s="288"/>
      <c r="BF26" s="288"/>
      <c r="BG26" s="288"/>
      <c r="BH26" s="288"/>
      <c r="BI26" s="288"/>
      <c r="BJ26" s="288"/>
      <c r="BK26" s="288"/>
      <c r="BL26" s="288"/>
      <c r="BM26" s="10"/>
      <c r="BN26" s="11"/>
    </row>
    <row r="27" spans="1:66" s="8" customFormat="1">
      <c r="A27" s="9"/>
      <c r="B27" s="33"/>
      <c r="C27" s="42"/>
      <c r="D27" s="42"/>
      <c r="E27" s="42"/>
      <c r="F27" s="42"/>
      <c r="G27" s="42"/>
      <c r="H27" s="42"/>
      <c r="I27" s="42"/>
      <c r="J27" s="32"/>
      <c r="K27" s="42"/>
      <c r="L27" s="42"/>
      <c r="M27" s="42"/>
      <c r="N27" s="42"/>
      <c r="O27" s="42"/>
      <c r="P27" s="42"/>
      <c r="Q27" s="10"/>
      <c r="R27" s="38">
        <v>13</v>
      </c>
      <c r="S27" s="36" t="s">
        <v>1036</v>
      </c>
      <c r="T27" s="37"/>
      <c r="U27" s="37"/>
      <c r="V27" s="37"/>
      <c r="W27" s="37"/>
      <c r="X27" s="37"/>
      <c r="Y27" s="37"/>
      <c r="Z27" s="37"/>
      <c r="AA27" s="37"/>
      <c r="AB27" s="37"/>
      <c r="AC27" s="37"/>
      <c r="AD27" s="37"/>
      <c r="AE27" s="38"/>
      <c r="AF27" s="284"/>
      <c r="AG27" s="286"/>
      <c r="AH27" s="284"/>
      <c r="AI27" s="286"/>
      <c r="AJ27" s="284"/>
      <c r="AK27" s="286"/>
      <c r="AL27" s="284" t="s">
        <v>130</v>
      </c>
      <c r="AM27" s="286"/>
      <c r="AN27" s="284" t="s">
        <v>131</v>
      </c>
      <c r="AO27" s="285"/>
      <c r="AP27" s="285"/>
      <c r="AQ27" s="285"/>
      <c r="AR27" s="285"/>
      <c r="AS27" s="285"/>
      <c r="AT27" s="285"/>
      <c r="AU27" s="286"/>
      <c r="AV27" s="287" t="s">
        <v>1037</v>
      </c>
      <c r="AW27" s="287"/>
      <c r="AX27" s="287"/>
      <c r="AY27" s="287"/>
      <c r="AZ27" s="287"/>
      <c r="BA27" s="287"/>
      <c r="BB27" s="287"/>
      <c r="BC27" s="287"/>
      <c r="BD27" s="288"/>
      <c r="BE27" s="288"/>
      <c r="BF27" s="288"/>
      <c r="BG27" s="288"/>
      <c r="BH27" s="288"/>
      <c r="BI27" s="288"/>
      <c r="BJ27" s="288"/>
      <c r="BK27" s="288"/>
      <c r="BL27" s="288"/>
      <c r="BM27" s="10"/>
    </row>
    <row r="28" spans="1:66" s="8" customFormat="1">
      <c r="A28" s="9"/>
      <c r="B28" s="32"/>
      <c r="C28" s="42"/>
      <c r="D28" s="42"/>
      <c r="E28" s="42"/>
      <c r="F28" s="42"/>
      <c r="G28" s="42"/>
      <c r="H28" s="42"/>
      <c r="I28" s="42"/>
      <c r="J28" s="32"/>
      <c r="K28" s="42"/>
      <c r="L28" s="42"/>
      <c r="M28" s="42"/>
      <c r="N28" s="42"/>
      <c r="O28" s="42"/>
      <c r="P28" s="42"/>
      <c r="Q28" s="10"/>
      <c r="R28" s="38">
        <v>14</v>
      </c>
      <c r="S28" s="36" t="s">
        <v>1038</v>
      </c>
      <c r="T28" s="37"/>
      <c r="U28" s="37"/>
      <c r="V28" s="37"/>
      <c r="W28" s="37"/>
      <c r="X28" s="37"/>
      <c r="Y28" s="37"/>
      <c r="Z28" s="37"/>
      <c r="AA28" s="37"/>
      <c r="AB28" s="37"/>
      <c r="AC28" s="37"/>
      <c r="AD28" s="37"/>
      <c r="AE28" s="38"/>
      <c r="AF28" s="284"/>
      <c r="AG28" s="286"/>
      <c r="AH28" s="284"/>
      <c r="AI28" s="286"/>
      <c r="AJ28" s="284" t="s">
        <v>130</v>
      </c>
      <c r="AK28" s="286"/>
      <c r="AL28" s="284"/>
      <c r="AM28" s="286"/>
      <c r="AN28" s="284" t="s">
        <v>131</v>
      </c>
      <c r="AO28" s="285"/>
      <c r="AP28" s="285"/>
      <c r="AQ28" s="285"/>
      <c r="AR28" s="285"/>
      <c r="AS28" s="285"/>
      <c r="AT28" s="285"/>
      <c r="AU28" s="286"/>
      <c r="AV28" s="284" t="s">
        <v>1037</v>
      </c>
      <c r="AW28" s="285"/>
      <c r="AX28" s="285"/>
      <c r="AY28" s="285"/>
      <c r="AZ28" s="285"/>
      <c r="BA28" s="285"/>
      <c r="BB28" s="285"/>
      <c r="BC28" s="286"/>
      <c r="BD28" s="288"/>
      <c r="BE28" s="288"/>
      <c r="BF28" s="288"/>
      <c r="BG28" s="288"/>
      <c r="BH28" s="288"/>
      <c r="BI28" s="288"/>
      <c r="BJ28" s="288"/>
      <c r="BK28" s="288"/>
      <c r="BL28" s="288"/>
      <c r="BM28" s="10"/>
      <c r="BN28" s="11"/>
    </row>
    <row r="29" spans="1:66" s="8" customFormat="1" ht="43.9" customHeight="1">
      <c r="A29" s="9"/>
      <c r="B29" s="33"/>
      <c r="C29" s="42"/>
      <c r="D29" s="42"/>
      <c r="E29" s="42"/>
      <c r="F29" s="42"/>
      <c r="G29" s="42"/>
      <c r="H29" s="42"/>
      <c r="I29" s="42"/>
      <c r="J29" s="32"/>
      <c r="K29" s="42"/>
      <c r="L29" s="42"/>
      <c r="M29" s="42"/>
      <c r="N29" s="42"/>
      <c r="O29" s="42"/>
      <c r="P29" s="42"/>
      <c r="Q29" s="10"/>
      <c r="R29" s="38">
        <v>15</v>
      </c>
      <c r="S29" s="36" t="s">
        <v>1039</v>
      </c>
      <c r="T29" s="37"/>
      <c r="U29" s="37"/>
      <c r="V29" s="37"/>
      <c r="W29" s="37"/>
      <c r="X29" s="37"/>
      <c r="Y29" s="37"/>
      <c r="Z29" s="37"/>
      <c r="AA29" s="37"/>
      <c r="AB29" s="37"/>
      <c r="AC29" s="37"/>
      <c r="AD29" s="37"/>
      <c r="AE29" s="38"/>
      <c r="AF29" s="284"/>
      <c r="AG29" s="286"/>
      <c r="AH29" s="284"/>
      <c r="AI29" s="286"/>
      <c r="AJ29" s="284" t="s">
        <v>130</v>
      </c>
      <c r="AK29" s="286"/>
      <c r="AL29" s="284"/>
      <c r="AM29" s="286"/>
      <c r="AN29" s="333" t="s">
        <v>1040</v>
      </c>
      <c r="AO29" s="285"/>
      <c r="AP29" s="285"/>
      <c r="AQ29" s="285"/>
      <c r="AR29" s="285"/>
      <c r="AS29" s="285"/>
      <c r="AT29" s="285"/>
      <c r="AU29" s="286"/>
      <c r="AV29" s="287" t="s">
        <v>143</v>
      </c>
      <c r="AW29" s="287"/>
      <c r="AX29" s="287"/>
      <c r="AY29" s="287"/>
      <c r="AZ29" s="287"/>
      <c r="BA29" s="287"/>
      <c r="BB29" s="287"/>
      <c r="BC29" s="287"/>
      <c r="BD29" s="288"/>
      <c r="BE29" s="288"/>
      <c r="BF29" s="288"/>
      <c r="BG29" s="288"/>
      <c r="BH29" s="288"/>
      <c r="BI29" s="288"/>
      <c r="BJ29" s="288"/>
      <c r="BK29" s="288"/>
      <c r="BL29" s="288"/>
      <c r="BM29" s="10"/>
    </row>
    <row r="30" spans="1:66" s="8" customFormat="1">
      <c r="A30" s="9"/>
      <c r="B30" s="32"/>
      <c r="C30" s="42"/>
      <c r="D30" s="42"/>
      <c r="E30" s="42"/>
      <c r="F30" s="42"/>
      <c r="G30" s="42"/>
      <c r="H30" s="42"/>
      <c r="I30" s="42"/>
      <c r="J30" s="48"/>
      <c r="K30" s="34"/>
      <c r="L30" s="34"/>
      <c r="M30" s="34"/>
      <c r="N30" s="34"/>
      <c r="O30" s="34"/>
      <c r="P30" s="34"/>
      <c r="Q30" s="35"/>
      <c r="R30" s="38">
        <v>16</v>
      </c>
      <c r="S30" s="36" t="s">
        <v>1041</v>
      </c>
      <c r="T30" s="37"/>
      <c r="U30" s="37"/>
      <c r="V30" s="37"/>
      <c r="W30" s="37"/>
      <c r="X30" s="37"/>
      <c r="Y30" s="37"/>
      <c r="Z30" s="37"/>
      <c r="AA30" s="37"/>
      <c r="AB30" s="37"/>
      <c r="AC30" s="37"/>
      <c r="AD30" s="37"/>
      <c r="AE30" s="38"/>
      <c r="AF30" s="284"/>
      <c r="AG30" s="286"/>
      <c r="AH30" s="284"/>
      <c r="AI30" s="286"/>
      <c r="AJ30" s="284" t="s">
        <v>130</v>
      </c>
      <c r="AK30" s="286"/>
      <c r="AL30" s="284"/>
      <c r="AM30" s="286"/>
      <c r="AN30" s="284" t="s">
        <v>1042</v>
      </c>
      <c r="AO30" s="285"/>
      <c r="AP30" s="285"/>
      <c r="AQ30" s="285"/>
      <c r="AR30" s="285"/>
      <c r="AS30" s="285"/>
      <c r="AT30" s="285"/>
      <c r="AU30" s="286"/>
      <c r="AV30" s="284" t="s">
        <v>1042</v>
      </c>
      <c r="AW30" s="285"/>
      <c r="AX30" s="285"/>
      <c r="AY30" s="285"/>
      <c r="AZ30" s="285"/>
      <c r="BA30" s="285"/>
      <c r="BB30" s="285"/>
      <c r="BC30" s="286"/>
      <c r="BD30" s="288"/>
      <c r="BE30" s="288"/>
      <c r="BF30" s="288"/>
      <c r="BG30" s="288"/>
      <c r="BH30" s="288"/>
      <c r="BI30" s="288"/>
      <c r="BJ30" s="288"/>
      <c r="BK30" s="288"/>
      <c r="BL30" s="288"/>
      <c r="BM30" s="10"/>
      <c r="BN30" s="11"/>
    </row>
    <row r="31" spans="1:66" s="8" customFormat="1">
      <c r="A31" s="9"/>
      <c r="B31" s="32"/>
      <c r="C31" s="42"/>
      <c r="D31" s="42"/>
      <c r="E31" s="42"/>
      <c r="F31" s="42"/>
      <c r="G31" s="42"/>
      <c r="H31" s="42"/>
      <c r="I31" s="42"/>
      <c r="J31" s="36" t="s">
        <v>1043</v>
      </c>
      <c r="K31" s="37"/>
      <c r="L31" s="37"/>
      <c r="M31" s="37"/>
      <c r="N31" s="37"/>
      <c r="O31" s="37"/>
      <c r="P31" s="37"/>
      <c r="Q31" s="38"/>
      <c r="R31" s="38">
        <v>1</v>
      </c>
      <c r="S31" s="36" t="s">
        <v>1044</v>
      </c>
      <c r="T31" s="37"/>
      <c r="U31" s="37"/>
      <c r="V31" s="37"/>
      <c r="W31" s="37"/>
      <c r="X31" s="37"/>
      <c r="Y31" s="37"/>
      <c r="Z31" s="37"/>
      <c r="AA31" s="37"/>
      <c r="AB31" s="37"/>
      <c r="AC31" s="37"/>
      <c r="AD31" s="37"/>
      <c r="AE31" s="38"/>
      <c r="AF31" s="284" t="s">
        <v>130</v>
      </c>
      <c r="AG31" s="286"/>
      <c r="AH31" s="284"/>
      <c r="AI31" s="286"/>
      <c r="AJ31" s="284" t="s">
        <v>130</v>
      </c>
      <c r="AK31" s="286"/>
      <c r="AL31" s="284" t="s">
        <v>130</v>
      </c>
      <c r="AM31" s="286"/>
      <c r="AN31" s="284" t="s">
        <v>1042</v>
      </c>
      <c r="AO31" s="285"/>
      <c r="AP31" s="285"/>
      <c r="AQ31" s="285"/>
      <c r="AR31" s="285"/>
      <c r="AS31" s="285"/>
      <c r="AT31" s="285"/>
      <c r="AU31" s="286"/>
      <c r="AV31" s="284" t="s">
        <v>1042</v>
      </c>
      <c r="AW31" s="285"/>
      <c r="AX31" s="285"/>
      <c r="AY31" s="285"/>
      <c r="AZ31" s="285"/>
      <c r="BA31" s="285"/>
      <c r="BB31" s="285"/>
      <c r="BC31" s="286"/>
      <c r="BD31" s="288"/>
      <c r="BE31" s="288"/>
      <c r="BF31" s="288"/>
      <c r="BG31" s="288"/>
      <c r="BH31" s="288"/>
      <c r="BI31" s="288"/>
      <c r="BJ31" s="288"/>
      <c r="BK31" s="288"/>
      <c r="BL31" s="288"/>
      <c r="BM31" s="10"/>
      <c r="BN31" s="11"/>
    </row>
    <row r="32" spans="1:66" s="8" customFormat="1">
      <c r="A32" s="9"/>
      <c r="B32" s="29" t="s">
        <v>1045</v>
      </c>
      <c r="C32" s="30"/>
      <c r="D32" s="30"/>
      <c r="E32" s="30"/>
      <c r="F32" s="30"/>
      <c r="G32" s="30"/>
      <c r="H32" s="30"/>
      <c r="I32" s="30"/>
      <c r="J32" s="29" t="s">
        <v>1010</v>
      </c>
      <c r="K32" s="30"/>
      <c r="L32" s="30"/>
      <c r="M32" s="30"/>
      <c r="N32" s="30"/>
      <c r="O32" s="30"/>
      <c r="P32" s="30"/>
      <c r="Q32" s="31"/>
      <c r="R32" s="38">
        <v>1</v>
      </c>
      <c r="S32" s="112" t="s">
        <v>1011</v>
      </c>
      <c r="T32" s="37"/>
      <c r="U32" s="37"/>
      <c r="V32" s="37"/>
      <c r="W32" s="37"/>
      <c r="X32" s="37"/>
      <c r="Y32" s="37"/>
      <c r="Z32" s="37"/>
      <c r="AA32" s="37"/>
      <c r="AB32" s="37"/>
      <c r="AC32" s="37"/>
      <c r="AD32" s="37"/>
      <c r="AE32" s="38"/>
      <c r="AF32" s="284"/>
      <c r="AG32" s="286"/>
      <c r="AH32" s="284"/>
      <c r="AI32" s="286"/>
      <c r="AJ32" s="284"/>
      <c r="AK32" s="286"/>
      <c r="AL32" s="284" t="s">
        <v>130</v>
      </c>
      <c r="AM32" s="286"/>
      <c r="AN32" s="284" t="s">
        <v>131</v>
      </c>
      <c r="AO32" s="285"/>
      <c r="AP32" s="285"/>
      <c r="AQ32" s="285"/>
      <c r="AR32" s="285"/>
      <c r="AS32" s="285"/>
      <c r="AT32" s="285"/>
      <c r="AU32" s="286"/>
      <c r="AV32" s="287" t="s">
        <v>1012</v>
      </c>
      <c r="AW32" s="287"/>
      <c r="AX32" s="287"/>
      <c r="AY32" s="287"/>
      <c r="AZ32" s="287"/>
      <c r="BA32" s="287"/>
      <c r="BB32" s="287"/>
      <c r="BC32" s="287"/>
      <c r="BD32" s="288"/>
      <c r="BE32" s="288"/>
      <c r="BF32" s="288"/>
      <c r="BG32" s="288"/>
      <c r="BH32" s="288"/>
      <c r="BI32" s="288"/>
      <c r="BJ32" s="288"/>
      <c r="BK32" s="288"/>
      <c r="BL32" s="288"/>
      <c r="BM32" s="10"/>
      <c r="BN32" s="11"/>
    </row>
    <row r="33" spans="1:66" s="8" customFormat="1">
      <c r="A33" s="9"/>
      <c r="B33" s="32"/>
      <c r="C33" s="42"/>
      <c r="D33" s="42"/>
      <c r="E33" s="42"/>
      <c r="F33" s="42"/>
      <c r="G33" s="42"/>
      <c r="H33" s="42"/>
      <c r="I33" s="42"/>
      <c r="J33" s="32"/>
      <c r="K33" s="42"/>
      <c r="L33" s="42"/>
      <c r="M33" s="42"/>
      <c r="N33" s="42"/>
      <c r="O33" s="42"/>
      <c r="P33" s="42"/>
      <c r="Q33" s="10"/>
      <c r="R33" s="38">
        <v>2</v>
      </c>
      <c r="S33" s="112" t="s">
        <v>1013</v>
      </c>
      <c r="T33" s="37"/>
      <c r="U33" s="37"/>
      <c r="V33" s="37"/>
      <c r="W33" s="37"/>
      <c r="X33" s="37"/>
      <c r="Y33" s="37"/>
      <c r="Z33" s="37"/>
      <c r="AA33" s="37"/>
      <c r="AB33" s="37"/>
      <c r="AC33" s="37"/>
      <c r="AD33" s="37"/>
      <c r="AE33" s="38"/>
      <c r="AF33" s="284"/>
      <c r="AG33" s="286"/>
      <c r="AH33" s="284"/>
      <c r="AI33" s="286"/>
      <c r="AJ33" s="284"/>
      <c r="AK33" s="286"/>
      <c r="AL33" s="284" t="s">
        <v>130</v>
      </c>
      <c r="AM33" s="286"/>
      <c r="AN33" s="284" t="s">
        <v>131</v>
      </c>
      <c r="AO33" s="285"/>
      <c r="AP33" s="285"/>
      <c r="AQ33" s="285"/>
      <c r="AR33" s="285"/>
      <c r="AS33" s="285"/>
      <c r="AT33" s="285"/>
      <c r="AU33" s="286"/>
      <c r="AV33" s="287" t="s">
        <v>1014</v>
      </c>
      <c r="AW33" s="287"/>
      <c r="AX33" s="287"/>
      <c r="AY33" s="287"/>
      <c r="AZ33" s="287"/>
      <c r="BA33" s="287"/>
      <c r="BB33" s="287"/>
      <c r="BC33" s="287"/>
      <c r="BD33" s="288"/>
      <c r="BE33" s="288"/>
      <c r="BF33" s="288"/>
      <c r="BG33" s="288"/>
      <c r="BH33" s="288"/>
      <c r="BI33" s="288"/>
      <c r="BJ33" s="288"/>
      <c r="BK33" s="288"/>
      <c r="BL33" s="288"/>
      <c r="BM33" s="10"/>
      <c r="BN33" s="11"/>
    </row>
    <row r="34" spans="1:66" s="8" customFormat="1">
      <c r="A34" s="9"/>
      <c r="B34" s="32"/>
      <c r="C34" s="42"/>
      <c r="D34" s="42"/>
      <c r="E34" s="42"/>
      <c r="F34" s="42"/>
      <c r="G34" s="42"/>
      <c r="H34" s="42"/>
      <c r="I34" s="42"/>
      <c r="J34" s="32"/>
      <c r="K34" s="42"/>
      <c r="L34" s="42"/>
      <c r="M34" s="42"/>
      <c r="N34" s="42"/>
      <c r="O34" s="42"/>
      <c r="P34" s="42"/>
      <c r="Q34" s="10"/>
      <c r="R34" s="38">
        <v>3</v>
      </c>
      <c r="S34" s="58" t="s">
        <v>1015</v>
      </c>
      <c r="T34" s="37"/>
      <c r="U34" s="37"/>
      <c r="V34" s="37"/>
      <c r="W34" s="37"/>
      <c r="X34" s="37"/>
      <c r="Y34" s="37"/>
      <c r="Z34" s="37"/>
      <c r="AA34" s="37"/>
      <c r="AB34" s="37"/>
      <c r="AC34" s="37"/>
      <c r="AD34" s="37"/>
      <c r="AE34" s="38"/>
      <c r="AF34" s="284"/>
      <c r="AG34" s="286"/>
      <c r="AH34" s="284"/>
      <c r="AI34" s="286"/>
      <c r="AJ34" s="284"/>
      <c r="AK34" s="286"/>
      <c r="AL34" s="284" t="s">
        <v>130</v>
      </c>
      <c r="AM34" s="286"/>
      <c r="AN34" s="284" t="s">
        <v>131</v>
      </c>
      <c r="AO34" s="285"/>
      <c r="AP34" s="285"/>
      <c r="AQ34" s="285"/>
      <c r="AR34" s="285"/>
      <c r="AS34" s="285"/>
      <c r="AT34" s="285"/>
      <c r="AU34" s="286"/>
      <c r="AV34" s="287" t="s">
        <v>1016</v>
      </c>
      <c r="AW34" s="287"/>
      <c r="AX34" s="287"/>
      <c r="AY34" s="287"/>
      <c r="AZ34" s="287"/>
      <c r="BA34" s="287"/>
      <c r="BB34" s="287"/>
      <c r="BC34" s="287"/>
      <c r="BD34" s="288"/>
      <c r="BE34" s="288"/>
      <c r="BF34" s="288"/>
      <c r="BG34" s="288"/>
      <c r="BH34" s="288"/>
      <c r="BI34" s="288"/>
      <c r="BJ34" s="288"/>
      <c r="BK34" s="288"/>
      <c r="BL34" s="288"/>
      <c r="BM34" s="10"/>
      <c r="BN34" s="11"/>
    </row>
    <row r="35" spans="1:66" s="8" customFormat="1">
      <c r="A35" s="9"/>
      <c r="B35" s="32"/>
      <c r="C35" s="42"/>
      <c r="D35" s="42"/>
      <c r="E35" s="42"/>
      <c r="F35" s="42"/>
      <c r="G35" s="42"/>
      <c r="H35" s="42"/>
      <c r="I35" s="42"/>
      <c r="J35" s="29" t="s">
        <v>1017</v>
      </c>
      <c r="K35" s="30"/>
      <c r="L35" s="30"/>
      <c r="M35" s="30"/>
      <c r="N35" s="30"/>
      <c r="O35" s="30"/>
      <c r="P35" s="30"/>
      <c r="Q35" s="31"/>
      <c r="R35" s="35">
        <v>1</v>
      </c>
      <c r="S35" s="36" t="s">
        <v>1046</v>
      </c>
      <c r="T35" s="37"/>
      <c r="U35" s="37"/>
      <c r="V35" s="37"/>
      <c r="W35" s="37"/>
      <c r="X35" s="37"/>
      <c r="Y35" s="37"/>
      <c r="Z35" s="37"/>
      <c r="AA35" s="37"/>
      <c r="AB35" s="37"/>
      <c r="AC35" s="37"/>
      <c r="AD35" s="37"/>
      <c r="AE35" s="38"/>
      <c r="AF35" s="284"/>
      <c r="AG35" s="286"/>
      <c r="AH35" s="284"/>
      <c r="AI35" s="286"/>
      <c r="AJ35" s="284"/>
      <c r="AK35" s="286"/>
      <c r="AL35" s="284" t="s">
        <v>130</v>
      </c>
      <c r="AM35" s="286"/>
      <c r="AN35" s="284" t="s">
        <v>143</v>
      </c>
      <c r="AO35" s="285"/>
      <c r="AP35" s="285"/>
      <c r="AQ35" s="285"/>
      <c r="AR35" s="285"/>
      <c r="AS35" s="285"/>
      <c r="AT35" s="285"/>
      <c r="AU35" s="286"/>
      <c r="AV35" s="287" t="s">
        <v>143</v>
      </c>
      <c r="AW35" s="287"/>
      <c r="AX35" s="287"/>
      <c r="AY35" s="287"/>
      <c r="AZ35" s="287"/>
      <c r="BA35" s="287"/>
      <c r="BB35" s="287"/>
      <c r="BC35" s="287"/>
      <c r="BD35" s="288" t="s">
        <v>1019</v>
      </c>
      <c r="BE35" s="288"/>
      <c r="BF35" s="288"/>
      <c r="BG35" s="288"/>
      <c r="BH35" s="288"/>
      <c r="BI35" s="288"/>
      <c r="BJ35" s="288"/>
      <c r="BK35" s="288"/>
      <c r="BL35" s="288"/>
      <c r="BM35" s="10"/>
      <c r="BN35" s="11"/>
    </row>
    <row r="36" spans="1:66" s="8" customFormat="1">
      <c r="A36" s="9"/>
      <c r="B36" s="33"/>
      <c r="C36" s="42"/>
      <c r="D36" s="42"/>
      <c r="E36" s="42"/>
      <c r="F36" s="42"/>
      <c r="G36" s="42"/>
      <c r="H36" s="42"/>
      <c r="I36" s="42"/>
      <c r="J36" s="32"/>
      <c r="K36" s="42"/>
      <c r="L36" s="42"/>
      <c r="M36" s="42"/>
      <c r="N36" s="42"/>
      <c r="O36" s="42"/>
      <c r="P36" s="42"/>
      <c r="Q36" s="10"/>
      <c r="R36" s="38">
        <v>2</v>
      </c>
      <c r="S36" s="36" t="s">
        <v>1047</v>
      </c>
      <c r="T36" s="37"/>
      <c r="U36" s="37"/>
      <c r="V36" s="37"/>
      <c r="W36" s="37"/>
      <c r="X36" s="37"/>
      <c r="Y36" s="37"/>
      <c r="Z36" s="37"/>
      <c r="AA36" s="37"/>
      <c r="AB36" s="37"/>
      <c r="AC36" s="37"/>
      <c r="AD36" s="37"/>
      <c r="AE36" s="38"/>
      <c r="AF36" s="284"/>
      <c r="AG36" s="286"/>
      <c r="AH36" s="284"/>
      <c r="AI36" s="286"/>
      <c r="AJ36" s="284"/>
      <c r="AK36" s="286"/>
      <c r="AL36" s="284" t="s">
        <v>130</v>
      </c>
      <c r="AM36" s="286"/>
      <c r="AN36" s="284" t="s">
        <v>143</v>
      </c>
      <c r="AO36" s="285"/>
      <c r="AP36" s="285"/>
      <c r="AQ36" s="285"/>
      <c r="AR36" s="285"/>
      <c r="AS36" s="285"/>
      <c r="AT36" s="285"/>
      <c r="AU36" s="286"/>
      <c r="AV36" s="287" t="s">
        <v>143</v>
      </c>
      <c r="AW36" s="287"/>
      <c r="AX36" s="287"/>
      <c r="AY36" s="287"/>
      <c r="AZ36" s="287"/>
      <c r="BA36" s="287"/>
      <c r="BB36" s="287"/>
      <c r="BC36" s="287"/>
      <c r="BD36" s="288" t="s">
        <v>1019</v>
      </c>
      <c r="BE36" s="288"/>
      <c r="BF36" s="288"/>
      <c r="BG36" s="288"/>
      <c r="BH36" s="288"/>
      <c r="BI36" s="288"/>
      <c r="BJ36" s="288"/>
      <c r="BK36" s="288"/>
      <c r="BL36" s="288"/>
      <c r="BM36" s="10"/>
    </row>
    <row r="37" spans="1:66" s="8" customFormat="1">
      <c r="A37" s="9"/>
      <c r="B37" s="32"/>
      <c r="C37" s="42"/>
      <c r="D37" s="42"/>
      <c r="E37" s="42"/>
      <c r="F37" s="42"/>
      <c r="G37" s="42"/>
      <c r="H37" s="42"/>
      <c r="I37" s="42"/>
      <c r="J37" s="32"/>
      <c r="K37" s="42"/>
      <c r="L37" s="42"/>
      <c r="M37" s="42"/>
      <c r="N37" s="42"/>
      <c r="O37" s="42"/>
      <c r="P37" s="42"/>
      <c r="Q37" s="10"/>
      <c r="R37" s="38">
        <v>3</v>
      </c>
      <c r="S37" s="36" t="s">
        <v>1048</v>
      </c>
      <c r="T37" s="37"/>
      <c r="U37" s="37"/>
      <c r="V37" s="37"/>
      <c r="W37" s="37"/>
      <c r="X37" s="37"/>
      <c r="Y37" s="37"/>
      <c r="Z37" s="37"/>
      <c r="AA37" s="37"/>
      <c r="AB37" s="37"/>
      <c r="AC37" s="37"/>
      <c r="AD37" s="37"/>
      <c r="AE37" s="38"/>
      <c r="AF37" s="284"/>
      <c r="AG37" s="286"/>
      <c r="AH37" s="284"/>
      <c r="AI37" s="286"/>
      <c r="AJ37" s="284"/>
      <c r="AK37" s="286"/>
      <c r="AL37" s="284" t="s">
        <v>130</v>
      </c>
      <c r="AM37" s="286"/>
      <c r="AN37" s="284" t="s">
        <v>143</v>
      </c>
      <c r="AO37" s="285"/>
      <c r="AP37" s="285"/>
      <c r="AQ37" s="285"/>
      <c r="AR37" s="285"/>
      <c r="AS37" s="285"/>
      <c r="AT37" s="285"/>
      <c r="AU37" s="286"/>
      <c r="AV37" s="287" t="s">
        <v>143</v>
      </c>
      <c r="AW37" s="287"/>
      <c r="AX37" s="287"/>
      <c r="AY37" s="287"/>
      <c r="AZ37" s="287"/>
      <c r="BA37" s="287"/>
      <c r="BB37" s="287"/>
      <c r="BC37" s="287"/>
      <c r="BD37" s="289"/>
      <c r="BE37" s="290"/>
      <c r="BF37" s="290"/>
      <c r="BG37" s="290"/>
      <c r="BH37" s="290"/>
      <c r="BI37" s="290"/>
      <c r="BJ37" s="290"/>
      <c r="BK37" s="290"/>
      <c r="BL37" s="291"/>
      <c r="BM37" s="10"/>
      <c r="BN37" s="11"/>
    </row>
    <row r="38" spans="1:66" s="8" customFormat="1">
      <c r="A38" s="9"/>
      <c r="B38" s="33"/>
      <c r="C38" s="42"/>
      <c r="D38" s="42"/>
      <c r="E38" s="42"/>
      <c r="F38" s="42"/>
      <c r="G38" s="42"/>
      <c r="H38" s="42"/>
      <c r="I38" s="42"/>
      <c r="J38" s="32"/>
      <c r="K38" s="42"/>
      <c r="L38" s="42"/>
      <c r="M38" s="42"/>
      <c r="N38" s="42"/>
      <c r="O38" s="42"/>
      <c r="P38" s="42"/>
      <c r="Q38" s="10"/>
      <c r="R38" s="38">
        <v>4</v>
      </c>
      <c r="S38" s="36" t="s">
        <v>1049</v>
      </c>
      <c r="T38" s="37"/>
      <c r="U38" s="37"/>
      <c r="V38" s="37"/>
      <c r="W38" s="37"/>
      <c r="X38" s="37"/>
      <c r="Y38" s="37"/>
      <c r="Z38" s="37"/>
      <c r="AA38" s="37"/>
      <c r="AB38" s="37"/>
      <c r="AC38" s="37"/>
      <c r="AD38" s="37"/>
      <c r="AE38" s="38"/>
      <c r="AF38" s="284"/>
      <c r="AG38" s="286"/>
      <c r="AH38" s="284" t="s">
        <v>130</v>
      </c>
      <c r="AI38" s="286"/>
      <c r="AJ38" s="284"/>
      <c r="AK38" s="286"/>
      <c r="AL38" s="284"/>
      <c r="AM38" s="286"/>
      <c r="AN38" s="284" t="s">
        <v>143</v>
      </c>
      <c r="AO38" s="285"/>
      <c r="AP38" s="285"/>
      <c r="AQ38" s="285"/>
      <c r="AR38" s="285"/>
      <c r="AS38" s="285"/>
      <c r="AT38" s="285"/>
      <c r="AU38" s="286"/>
      <c r="AV38" s="287" t="s">
        <v>143</v>
      </c>
      <c r="AW38" s="287"/>
      <c r="AX38" s="287"/>
      <c r="AY38" s="287"/>
      <c r="AZ38" s="287"/>
      <c r="BA38" s="287"/>
      <c r="BB38" s="287"/>
      <c r="BC38" s="287"/>
      <c r="BD38" s="288"/>
      <c r="BE38" s="288"/>
      <c r="BF38" s="288"/>
      <c r="BG38" s="288"/>
      <c r="BH38" s="288"/>
      <c r="BI38" s="288"/>
      <c r="BJ38" s="288"/>
      <c r="BK38" s="288"/>
      <c r="BL38" s="288"/>
      <c r="BM38" s="10"/>
    </row>
    <row r="39" spans="1:66" s="8" customFormat="1">
      <c r="A39" s="9"/>
      <c r="B39" s="32"/>
      <c r="C39" s="42"/>
      <c r="D39" s="42"/>
      <c r="E39" s="42"/>
      <c r="F39" s="42"/>
      <c r="G39" s="42"/>
      <c r="H39" s="42"/>
      <c r="I39" s="42"/>
      <c r="J39" s="32"/>
      <c r="K39" s="42"/>
      <c r="L39" s="42"/>
      <c r="M39" s="42"/>
      <c r="N39" s="42"/>
      <c r="O39" s="42"/>
      <c r="P39" s="42"/>
      <c r="Q39" s="10"/>
      <c r="R39" s="38">
        <v>5</v>
      </c>
      <c r="S39" s="36" t="s">
        <v>1050</v>
      </c>
      <c r="T39" s="37"/>
      <c r="U39" s="37"/>
      <c r="V39" s="37"/>
      <c r="W39" s="37"/>
      <c r="X39" s="37"/>
      <c r="Y39" s="37"/>
      <c r="Z39" s="37"/>
      <c r="AA39" s="37"/>
      <c r="AB39" s="37"/>
      <c r="AC39" s="37"/>
      <c r="AD39" s="37"/>
      <c r="AE39" s="38"/>
      <c r="AF39" s="284"/>
      <c r="AG39" s="286"/>
      <c r="AH39" s="284"/>
      <c r="AI39" s="286"/>
      <c r="AJ39" s="284"/>
      <c r="AK39" s="286"/>
      <c r="AL39" s="284" t="s">
        <v>130</v>
      </c>
      <c r="AM39" s="286"/>
      <c r="AN39" s="284" t="s">
        <v>201</v>
      </c>
      <c r="AO39" s="285"/>
      <c r="AP39" s="285"/>
      <c r="AQ39" s="285"/>
      <c r="AR39" s="285"/>
      <c r="AS39" s="285"/>
      <c r="AT39" s="285"/>
      <c r="AU39" s="286"/>
      <c r="AV39" s="287" t="s">
        <v>143</v>
      </c>
      <c r="AW39" s="287"/>
      <c r="AX39" s="287"/>
      <c r="AY39" s="287"/>
      <c r="AZ39" s="287"/>
      <c r="BA39" s="287"/>
      <c r="BB39" s="287"/>
      <c r="BC39" s="287"/>
      <c r="BD39" s="288" t="s">
        <v>1051</v>
      </c>
      <c r="BE39" s="288"/>
      <c r="BF39" s="288"/>
      <c r="BG39" s="288"/>
      <c r="BH39" s="288"/>
      <c r="BI39" s="288"/>
      <c r="BJ39" s="288"/>
      <c r="BK39" s="288"/>
      <c r="BL39" s="288"/>
      <c r="BM39" s="10"/>
      <c r="BN39" s="11"/>
    </row>
    <row r="40" spans="1:66" s="8" customFormat="1">
      <c r="A40" s="9"/>
      <c r="B40" s="33"/>
      <c r="C40" s="42"/>
      <c r="D40" s="42"/>
      <c r="E40" s="42"/>
      <c r="F40" s="42"/>
      <c r="G40" s="42"/>
      <c r="H40" s="42"/>
      <c r="I40" s="42"/>
      <c r="J40" s="32"/>
      <c r="K40" s="42"/>
      <c r="L40" s="42"/>
      <c r="M40" s="42"/>
      <c r="N40" s="42"/>
      <c r="O40" s="42"/>
      <c r="P40" s="42"/>
      <c r="Q40" s="10"/>
      <c r="R40" s="38">
        <v>6</v>
      </c>
      <c r="S40" s="36" t="s">
        <v>1052</v>
      </c>
      <c r="T40" s="37"/>
      <c r="U40" s="37"/>
      <c r="V40" s="37"/>
      <c r="W40" s="37"/>
      <c r="X40" s="37"/>
      <c r="Y40" s="37"/>
      <c r="Z40" s="37"/>
      <c r="AA40" s="37"/>
      <c r="AB40" s="37"/>
      <c r="AC40" s="37"/>
      <c r="AD40" s="37"/>
      <c r="AE40" s="38"/>
      <c r="AF40" s="284"/>
      <c r="AG40" s="286"/>
      <c r="AH40" s="284" t="s">
        <v>130</v>
      </c>
      <c r="AI40" s="286"/>
      <c r="AJ40" s="284"/>
      <c r="AK40" s="286"/>
      <c r="AL40" s="284"/>
      <c r="AM40" s="286"/>
      <c r="AN40" s="284" t="s">
        <v>1053</v>
      </c>
      <c r="AO40" s="285"/>
      <c r="AP40" s="285"/>
      <c r="AQ40" s="285"/>
      <c r="AR40" s="285"/>
      <c r="AS40" s="285"/>
      <c r="AT40" s="285"/>
      <c r="AU40" s="286"/>
      <c r="AV40" s="287" t="s">
        <v>143</v>
      </c>
      <c r="AW40" s="287"/>
      <c r="AX40" s="287"/>
      <c r="AY40" s="287"/>
      <c r="AZ40" s="287"/>
      <c r="BA40" s="287"/>
      <c r="BB40" s="287"/>
      <c r="BC40" s="287"/>
      <c r="BD40" s="288"/>
      <c r="BE40" s="288"/>
      <c r="BF40" s="288"/>
      <c r="BG40" s="288"/>
      <c r="BH40" s="288"/>
      <c r="BI40" s="288"/>
      <c r="BJ40" s="288"/>
      <c r="BK40" s="288"/>
      <c r="BL40" s="288"/>
      <c r="BM40" s="10"/>
    </row>
    <row r="41" spans="1:66" s="8" customFormat="1">
      <c r="A41" s="9"/>
      <c r="B41" s="32"/>
      <c r="C41" s="42"/>
      <c r="D41" s="42"/>
      <c r="E41" s="42"/>
      <c r="F41" s="42"/>
      <c r="G41" s="42"/>
      <c r="H41" s="42"/>
      <c r="I41" s="42"/>
      <c r="J41" s="32"/>
      <c r="K41" s="42"/>
      <c r="L41" s="42"/>
      <c r="M41" s="42"/>
      <c r="N41" s="42"/>
      <c r="O41" s="42"/>
      <c r="P41" s="42"/>
      <c r="Q41" s="10"/>
      <c r="R41" s="38">
        <v>7</v>
      </c>
      <c r="S41" s="36" t="s">
        <v>1054</v>
      </c>
      <c r="T41" s="37"/>
      <c r="U41" s="37"/>
      <c r="V41" s="37"/>
      <c r="W41" s="37"/>
      <c r="X41" s="37"/>
      <c r="Y41" s="37"/>
      <c r="Z41" s="37"/>
      <c r="AA41" s="37"/>
      <c r="AB41" s="37"/>
      <c r="AC41" s="37"/>
      <c r="AD41" s="37"/>
      <c r="AE41" s="38"/>
      <c r="AF41" s="284"/>
      <c r="AG41" s="286"/>
      <c r="AH41" s="284"/>
      <c r="AI41" s="286"/>
      <c r="AJ41" s="284"/>
      <c r="AK41" s="286"/>
      <c r="AL41" s="284" t="s">
        <v>130</v>
      </c>
      <c r="AM41" s="286"/>
      <c r="AN41" s="284" t="s">
        <v>1053</v>
      </c>
      <c r="AO41" s="285"/>
      <c r="AP41" s="285"/>
      <c r="AQ41" s="285"/>
      <c r="AR41" s="285"/>
      <c r="AS41" s="285"/>
      <c r="AT41" s="285"/>
      <c r="AU41" s="286"/>
      <c r="AV41" s="287" t="s">
        <v>143</v>
      </c>
      <c r="AW41" s="287"/>
      <c r="AX41" s="287"/>
      <c r="AY41" s="287"/>
      <c r="AZ41" s="287"/>
      <c r="BA41" s="287"/>
      <c r="BB41" s="287"/>
      <c r="BC41" s="287"/>
      <c r="BD41" s="288"/>
      <c r="BE41" s="288"/>
      <c r="BF41" s="288"/>
      <c r="BG41" s="288"/>
      <c r="BH41" s="288"/>
      <c r="BI41" s="288"/>
      <c r="BJ41" s="288"/>
      <c r="BK41" s="288"/>
      <c r="BL41" s="288"/>
      <c r="BM41" s="10"/>
      <c r="BN41" s="11"/>
    </row>
    <row r="42" spans="1:66" s="8" customFormat="1">
      <c r="A42" s="9"/>
      <c r="B42" s="33"/>
      <c r="C42" s="42"/>
      <c r="D42" s="42"/>
      <c r="E42" s="42"/>
      <c r="F42" s="42"/>
      <c r="G42" s="42"/>
      <c r="H42" s="42"/>
      <c r="I42" s="42"/>
      <c r="J42" s="32"/>
      <c r="K42" s="42"/>
      <c r="L42" s="42"/>
      <c r="M42" s="42"/>
      <c r="N42" s="42"/>
      <c r="O42" s="42"/>
      <c r="P42" s="42"/>
      <c r="Q42" s="10"/>
      <c r="R42" s="38">
        <v>8</v>
      </c>
      <c r="S42" s="36" t="s">
        <v>1028</v>
      </c>
      <c r="T42" s="37"/>
      <c r="U42" s="37"/>
      <c r="V42" s="37"/>
      <c r="W42" s="37"/>
      <c r="X42" s="37"/>
      <c r="Y42" s="37"/>
      <c r="Z42" s="37"/>
      <c r="AA42" s="37"/>
      <c r="AB42" s="37"/>
      <c r="AC42" s="37"/>
      <c r="AD42" s="37"/>
      <c r="AE42" s="38"/>
      <c r="AF42" s="284"/>
      <c r="AG42" s="286"/>
      <c r="AH42" s="284"/>
      <c r="AI42" s="286"/>
      <c r="AJ42" s="284"/>
      <c r="AK42" s="286"/>
      <c r="AL42" s="284" t="s">
        <v>130</v>
      </c>
      <c r="AM42" s="286"/>
      <c r="AN42" s="284" t="s">
        <v>131</v>
      </c>
      <c r="AO42" s="285"/>
      <c r="AP42" s="285"/>
      <c r="AQ42" s="285"/>
      <c r="AR42" s="285"/>
      <c r="AS42" s="285"/>
      <c r="AT42" s="285"/>
      <c r="AU42" s="286"/>
      <c r="AV42" s="287" t="s">
        <v>1029</v>
      </c>
      <c r="AW42" s="287"/>
      <c r="AX42" s="287"/>
      <c r="AY42" s="287"/>
      <c r="AZ42" s="287"/>
      <c r="BA42" s="287"/>
      <c r="BB42" s="287"/>
      <c r="BC42" s="287"/>
      <c r="BD42" s="288"/>
      <c r="BE42" s="288"/>
      <c r="BF42" s="288"/>
      <c r="BG42" s="288"/>
      <c r="BH42" s="288"/>
      <c r="BI42" s="288"/>
      <c r="BJ42" s="288"/>
      <c r="BK42" s="288"/>
      <c r="BL42" s="288"/>
      <c r="BM42" s="10"/>
    </row>
    <row r="43" spans="1:66" s="8" customFormat="1">
      <c r="A43" s="9"/>
      <c r="B43" s="32"/>
      <c r="C43" s="42"/>
      <c r="D43" s="42"/>
      <c r="E43" s="42"/>
      <c r="F43" s="42"/>
      <c r="G43" s="42"/>
      <c r="H43" s="42"/>
      <c r="I43" s="42"/>
      <c r="J43" s="32"/>
      <c r="K43" s="42"/>
      <c r="L43" s="42"/>
      <c r="M43" s="42"/>
      <c r="N43" s="42"/>
      <c r="O43" s="42"/>
      <c r="P43" s="42"/>
      <c r="Q43" s="10"/>
      <c r="R43" s="38">
        <v>9</v>
      </c>
      <c r="S43" s="36" t="s">
        <v>1055</v>
      </c>
      <c r="T43" s="37"/>
      <c r="U43" s="37"/>
      <c r="V43" s="37"/>
      <c r="W43" s="37"/>
      <c r="X43" s="37"/>
      <c r="Y43" s="37"/>
      <c r="Z43" s="37"/>
      <c r="AA43" s="37"/>
      <c r="AB43" s="37"/>
      <c r="AC43" s="37"/>
      <c r="AD43" s="37"/>
      <c r="AE43" s="38"/>
      <c r="AF43" s="284"/>
      <c r="AG43" s="286"/>
      <c r="AH43" s="284" t="s">
        <v>130</v>
      </c>
      <c r="AI43" s="286"/>
      <c r="AJ43" s="284"/>
      <c r="AK43" s="286"/>
      <c r="AL43" s="284"/>
      <c r="AM43" s="286"/>
      <c r="AN43" s="284" t="s">
        <v>1053</v>
      </c>
      <c r="AO43" s="285"/>
      <c r="AP43" s="285"/>
      <c r="AQ43" s="285"/>
      <c r="AR43" s="285"/>
      <c r="AS43" s="285"/>
      <c r="AT43" s="285"/>
      <c r="AU43" s="286"/>
      <c r="AV43" s="287" t="s">
        <v>143</v>
      </c>
      <c r="AW43" s="287"/>
      <c r="AX43" s="287"/>
      <c r="AY43" s="287"/>
      <c r="AZ43" s="287"/>
      <c r="BA43" s="287"/>
      <c r="BB43" s="287"/>
      <c r="BC43" s="287"/>
      <c r="BD43" s="288" t="s">
        <v>1056</v>
      </c>
      <c r="BE43" s="288"/>
      <c r="BF43" s="288"/>
      <c r="BG43" s="288"/>
      <c r="BH43" s="288"/>
      <c r="BI43" s="288"/>
      <c r="BJ43" s="288"/>
      <c r="BK43" s="288"/>
      <c r="BL43" s="288"/>
      <c r="BM43" s="10"/>
      <c r="BN43" s="11"/>
    </row>
    <row r="44" spans="1:66" s="8" customFormat="1">
      <c r="A44" s="9"/>
      <c r="B44" s="33"/>
      <c r="C44" s="42"/>
      <c r="D44" s="42"/>
      <c r="E44" s="42"/>
      <c r="F44" s="42"/>
      <c r="G44" s="42"/>
      <c r="H44" s="42"/>
      <c r="I44" s="42"/>
      <c r="J44" s="32"/>
      <c r="K44" s="42"/>
      <c r="L44" s="42"/>
      <c r="M44" s="42"/>
      <c r="N44" s="42"/>
      <c r="O44" s="42"/>
      <c r="P44" s="42"/>
      <c r="Q44" s="10"/>
      <c r="R44" s="38">
        <v>10</v>
      </c>
      <c r="S44" s="36" t="s">
        <v>1033</v>
      </c>
      <c r="T44" s="37"/>
      <c r="U44" s="37"/>
      <c r="V44" s="37"/>
      <c r="W44" s="37"/>
      <c r="X44" s="37"/>
      <c r="Y44" s="37"/>
      <c r="Z44" s="37"/>
      <c r="AA44" s="37"/>
      <c r="AB44" s="37"/>
      <c r="AC44" s="37"/>
      <c r="AD44" s="37"/>
      <c r="AE44" s="38"/>
      <c r="AF44" s="284"/>
      <c r="AG44" s="286"/>
      <c r="AH44" s="284"/>
      <c r="AI44" s="286"/>
      <c r="AJ44" s="284"/>
      <c r="AK44" s="286"/>
      <c r="AL44" s="284" t="s">
        <v>130</v>
      </c>
      <c r="AM44" s="286"/>
      <c r="AN44" s="284" t="s">
        <v>131</v>
      </c>
      <c r="AO44" s="285"/>
      <c r="AP44" s="285"/>
      <c r="AQ44" s="285"/>
      <c r="AR44" s="285"/>
      <c r="AS44" s="285"/>
      <c r="AT44" s="285"/>
      <c r="AU44" s="286"/>
      <c r="AV44" s="287" t="s">
        <v>1033</v>
      </c>
      <c r="AW44" s="287"/>
      <c r="AX44" s="287"/>
      <c r="AY44" s="287"/>
      <c r="AZ44" s="287"/>
      <c r="BA44" s="287"/>
      <c r="BB44" s="287"/>
      <c r="BC44" s="287"/>
      <c r="BD44" s="288"/>
      <c r="BE44" s="288"/>
      <c r="BF44" s="288"/>
      <c r="BG44" s="288"/>
      <c r="BH44" s="288"/>
      <c r="BI44" s="288"/>
      <c r="BJ44" s="288"/>
      <c r="BK44" s="288"/>
      <c r="BL44" s="288"/>
      <c r="BM44" s="10"/>
    </row>
    <row r="45" spans="1:66" s="8" customFormat="1">
      <c r="A45" s="9"/>
      <c r="B45" s="32"/>
      <c r="C45" s="42"/>
      <c r="D45" s="42"/>
      <c r="E45" s="42"/>
      <c r="F45" s="42"/>
      <c r="G45" s="42"/>
      <c r="H45" s="42"/>
      <c r="I45" s="42"/>
      <c r="J45" s="32"/>
      <c r="K45" s="42"/>
      <c r="L45" s="42"/>
      <c r="M45" s="42"/>
      <c r="N45" s="42"/>
      <c r="O45" s="42"/>
      <c r="P45" s="42"/>
      <c r="Q45" s="10"/>
      <c r="R45" s="38">
        <v>11</v>
      </c>
      <c r="S45" s="36" t="s">
        <v>1034</v>
      </c>
      <c r="T45" s="37"/>
      <c r="U45" s="37"/>
      <c r="V45" s="37"/>
      <c r="W45" s="37"/>
      <c r="X45" s="37"/>
      <c r="Y45" s="37"/>
      <c r="Z45" s="37"/>
      <c r="AA45" s="37"/>
      <c r="AB45" s="37"/>
      <c r="AC45" s="37"/>
      <c r="AD45" s="37"/>
      <c r="AE45" s="38"/>
      <c r="AF45" s="284"/>
      <c r="AG45" s="286"/>
      <c r="AH45" s="284"/>
      <c r="AI45" s="286"/>
      <c r="AJ45" s="284"/>
      <c r="AK45" s="286"/>
      <c r="AL45" s="284" t="s">
        <v>130</v>
      </c>
      <c r="AM45" s="286"/>
      <c r="AN45" s="284" t="s">
        <v>131</v>
      </c>
      <c r="AO45" s="285"/>
      <c r="AP45" s="285"/>
      <c r="AQ45" s="285"/>
      <c r="AR45" s="285"/>
      <c r="AS45" s="285"/>
      <c r="AT45" s="285"/>
      <c r="AU45" s="286"/>
      <c r="AV45" s="284" t="s">
        <v>205</v>
      </c>
      <c r="AW45" s="285"/>
      <c r="AX45" s="285"/>
      <c r="AY45" s="285"/>
      <c r="AZ45" s="285"/>
      <c r="BA45" s="285"/>
      <c r="BB45" s="285"/>
      <c r="BC45" s="286"/>
      <c r="BD45" s="288"/>
      <c r="BE45" s="288"/>
      <c r="BF45" s="288"/>
      <c r="BG45" s="288"/>
      <c r="BH45" s="288"/>
      <c r="BI45" s="288"/>
      <c r="BJ45" s="288"/>
      <c r="BK45" s="288"/>
      <c r="BL45" s="288"/>
      <c r="BM45" s="10"/>
      <c r="BN45" s="11"/>
    </row>
    <row r="46" spans="1:66" s="8" customFormat="1">
      <c r="A46" s="9"/>
      <c r="B46" s="32"/>
      <c r="C46" s="42"/>
      <c r="D46" s="42"/>
      <c r="E46" s="42"/>
      <c r="F46" s="42"/>
      <c r="G46" s="42"/>
      <c r="H46" s="42"/>
      <c r="I46" s="42"/>
      <c r="J46" s="32"/>
      <c r="K46" s="42"/>
      <c r="L46" s="42"/>
      <c r="M46" s="42"/>
      <c r="N46" s="42"/>
      <c r="O46" s="42"/>
      <c r="P46" s="42"/>
      <c r="Q46" s="10"/>
      <c r="R46" s="38">
        <v>12</v>
      </c>
      <c r="S46" s="36" t="s">
        <v>1057</v>
      </c>
      <c r="T46" s="37"/>
      <c r="U46" s="37"/>
      <c r="V46" s="37"/>
      <c r="W46" s="37"/>
      <c r="X46" s="37"/>
      <c r="Y46" s="37"/>
      <c r="Z46" s="37"/>
      <c r="AA46" s="37"/>
      <c r="AB46" s="37"/>
      <c r="AC46" s="37"/>
      <c r="AD46" s="37"/>
      <c r="AE46" s="38"/>
      <c r="AF46" s="284"/>
      <c r="AG46" s="286"/>
      <c r="AH46" s="284"/>
      <c r="AI46" s="286"/>
      <c r="AJ46" s="284"/>
      <c r="AK46" s="286"/>
      <c r="AL46" s="284" t="s">
        <v>130</v>
      </c>
      <c r="AM46" s="286"/>
      <c r="AN46" s="284" t="s">
        <v>131</v>
      </c>
      <c r="AO46" s="285"/>
      <c r="AP46" s="285"/>
      <c r="AQ46" s="285"/>
      <c r="AR46" s="285"/>
      <c r="AS46" s="285"/>
      <c r="AT46" s="285"/>
      <c r="AU46" s="286"/>
      <c r="AV46" s="284" t="s">
        <v>205</v>
      </c>
      <c r="AW46" s="285"/>
      <c r="AX46" s="285"/>
      <c r="AY46" s="285"/>
      <c r="AZ46" s="285"/>
      <c r="BA46" s="285"/>
      <c r="BB46" s="285"/>
      <c r="BC46" s="286"/>
      <c r="BD46" s="288"/>
      <c r="BE46" s="288"/>
      <c r="BF46" s="288"/>
      <c r="BG46" s="288"/>
      <c r="BH46" s="288"/>
      <c r="BI46" s="288"/>
      <c r="BJ46" s="288"/>
      <c r="BK46" s="288"/>
      <c r="BL46" s="288"/>
      <c r="BM46" s="10"/>
      <c r="BN46" s="11"/>
    </row>
    <row r="47" spans="1:66" s="8" customFormat="1">
      <c r="A47" s="9"/>
      <c r="B47" s="33"/>
      <c r="C47" s="42"/>
      <c r="D47" s="42"/>
      <c r="E47" s="42"/>
      <c r="F47" s="42"/>
      <c r="G47" s="42"/>
      <c r="H47" s="42"/>
      <c r="I47" s="42"/>
      <c r="J47" s="32"/>
      <c r="K47" s="42"/>
      <c r="L47" s="42"/>
      <c r="M47" s="42"/>
      <c r="N47" s="42"/>
      <c r="O47" s="42"/>
      <c r="P47" s="42"/>
      <c r="Q47" s="10"/>
      <c r="R47" s="38">
        <v>13</v>
      </c>
      <c r="S47" s="36" t="s">
        <v>1036</v>
      </c>
      <c r="T47" s="37"/>
      <c r="U47" s="37"/>
      <c r="V47" s="37"/>
      <c r="W47" s="37"/>
      <c r="X47" s="37"/>
      <c r="Y47" s="37"/>
      <c r="Z47" s="37"/>
      <c r="AA47" s="37"/>
      <c r="AB47" s="37"/>
      <c r="AC47" s="37"/>
      <c r="AD47" s="37"/>
      <c r="AE47" s="38"/>
      <c r="AF47" s="284"/>
      <c r="AG47" s="286"/>
      <c r="AH47" s="284"/>
      <c r="AI47" s="286"/>
      <c r="AJ47" s="284"/>
      <c r="AK47" s="286"/>
      <c r="AL47" s="284" t="s">
        <v>130</v>
      </c>
      <c r="AM47" s="286"/>
      <c r="AN47" s="284" t="s">
        <v>131</v>
      </c>
      <c r="AO47" s="285"/>
      <c r="AP47" s="285"/>
      <c r="AQ47" s="285"/>
      <c r="AR47" s="285"/>
      <c r="AS47" s="285"/>
      <c r="AT47" s="285"/>
      <c r="AU47" s="286"/>
      <c r="AV47" s="287" t="s">
        <v>1037</v>
      </c>
      <c r="AW47" s="287"/>
      <c r="AX47" s="287"/>
      <c r="AY47" s="287"/>
      <c r="AZ47" s="287"/>
      <c r="BA47" s="287"/>
      <c r="BB47" s="287"/>
      <c r="BC47" s="287"/>
      <c r="BD47" s="288"/>
      <c r="BE47" s="288"/>
      <c r="BF47" s="288"/>
      <c r="BG47" s="288"/>
      <c r="BH47" s="288"/>
      <c r="BI47" s="288"/>
      <c r="BJ47" s="288"/>
      <c r="BK47" s="288"/>
      <c r="BL47" s="288"/>
      <c r="BM47" s="10"/>
    </row>
    <row r="48" spans="1:66" s="8" customFormat="1" ht="13.5" customHeight="1">
      <c r="A48" s="9"/>
      <c r="B48" s="32"/>
      <c r="C48" s="42"/>
      <c r="D48" s="42"/>
      <c r="E48" s="42"/>
      <c r="F48" s="42"/>
      <c r="G48" s="42"/>
      <c r="H48" s="42"/>
      <c r="I48" s="42"/>
      <c r="J48" s="32"/>
      <c r="K48" s="42"/>
      <c r="L48" s="42"/>
      <c r="M48" s="42"/>
      <c r="N48" s="42"/>
      <c r="O48" s="42"/>
      <c r="P48" s="42"/>
      <c r="Q48" s="10"/>
      <c r="R48" s="38">
        <v>14</v>
      </c>
      <c r="S48" s="36" t="s">
        <v>1058</v>
      </c>
      <c r="T48" s="37"/>
      <c r="U48" s="37"/>
      <c r="V48" s="37"/>
      <c r="W48" s="37"/>
      <c r="X48" s="37"/>
      <c r="Y48" s="37"/>
      <c r="Z48" s="37"/>
      <c r="AA48" s="37"/>
      <c r="AB48" s="37"/>
      <c r="AC48" s="37"/>
      <c r="AD48" s="37"/>
      <c r="AE48" s="38"/>
      <c r="AF48" s="284"/>
      <c r="AG48" s="286"/>
      <c r="AH48" s="284"/>
      <c r="AI48" s="286"/>
      <c r="AJ48" s="284" t="s">
        <v>130</v>
      </c>
      <c r="AK48" s="286"/>
      <c r="AL48" s="284"/>
      <c r="AM48" s="286"/>
      <c r="AN48" s="284" t="s">
        <v>131</v>
      </c>
      <c r="AO48" s="285"/>
      <c r="AP48" s="285"/>
      <c r="AQ48" s="285"/>
      <c r="AR48" s="285"/>
      <c r="AS48" s="285"/>
      <c r="AT48" s="285"/>
      <c r="AU48" s="286"/>
      <c r="AV48" s="284" t="s">
        <v>1037</v>
      </c>
      <c r="AW48" s="285"/>
      <c r="AX48" s="285"/>
      <c r="AY48" s="285"/>
      <c r="AZ48" s="285"/>
      <c r="BA48" s="285"/>
      <c r="BB48" s="285"/>
      <c r="BC48" s="286"/>
      <c r="BD48" s="288"/>
      <c r="BE48" s="288"/>
      <c r="BF48" s="288"/>
      <c r="BG48" s="288"/>
      <c r="BH48" s="288"/>
      <c r="BI48" s="288"/>
      <c r="BJ48" s="288"/>
      <c r="BK48" s="288"/>
      <c r="BL48" s="288"/>
      <c r="BM48" s="10"/>
      <c r="BN48" s="11"/>
    </row>
    <row r="49" spans="1:66" s="8" customFormat="1" ht="42" customHeight="1">
      <c r="A49" s="9"/>
      <c r="B49" s="33"/>
      <c r="C49" s="42"/>
      <c r="D49" s="42"/>
      <c r="E49" s="42"/>
      <c r="F49" s="42"/>
      <c r="G49" s="42"/>
      <c r="H49" s="42"/>
      <c r="I49" s="42"/>
      <c r="J49" s="32"/>
      <c r="K49" s="42"/>
      <c r="L49" s="42"/>
      <c r="M49" s="42"/>
      <c r="N49" s="42"/>
      <c r="O49" s="42"/>
      <c r="P49" s="42"/>
      <c r="Q49" s="10"/>
      <c r="R49" s="38">
        <v>15</v>
      </c>
      <c r="S49" s="36" t="s">
        <v>1039</v>
      </c>
      <c r="T49" s="37"/>
      <c r="U49" s="37"/>
      <c r="V49" s="37"/>
      <c r="W49" s="37"/>
      <c r="X49" s="37"/>
      <c r="Y49" s="37"/>
      <c r="Z49" s="37"/>
      <c r="AA49" s="37"/>
      <c r="AB49" s="37"/>
      <c r="AC49" s="37"/>
      <c r="AD49" s="37"/>
      <c r="AE49" s="38"/>
      <c r="AF49" s="284"/>
      <c r="AG49" s="286"/>
      <c r="AH49" s="284"/>
      <c r="AI49" s="286"/>
      <c r="AJ49" s="284" t="s">
        <v>130</v>
      </c>
      <c r="AK49" s="286"/>
      <c r="AL49" s="284"/>
      <c r="AM49" s="286"/>
      <c r="AN49" s="333" t="s">
        <v>1040</v>
      </c>
      <c r="AO49" s="285"/>
      <c r="AP49" s="285"/>
      <c r="AQ49" s="285"/>
      <c r="AR49" s="285"/>
      <c r="AS49" s="285"/>
      <c r="AT49" s="285"/>
      <c r="AU49" s="286"/>
      <c r="AV49" s="287" t="s">
        <v>143</v>
      </c>
      <c r="AW49" s="287"/>
      <c r="AX49" s="287"/>
      <c r="AY49" s="287"/>
      <c r="AZ49" s="287"/>
      <c r="BA49" s="287"/>
      <c r="BB49" s="287"/>
      <c r="BC49" s="287"/>
      <c r="BD49" s="288"/>
      <c r="BE49" s="288"/>
      <c r="BF49" s="288"/>
      <c r="BG49" s="288"/>
      <c r="BH49" s="288"/>
      <c r="BI49" s="288"/>
      <c r="BJ49" s="288"/>
      <c r="BK49" s="288"/>
      <c r="BL49" s="288"/>
      <c r="BM49" s="10"/>
    </row>
    <row r="50" spans="1:66" s="8" customFormat="1">
      <c r="A50" s="9"/>
      <c r="B50" s="32"/>
      <c r="C50" s="42"/>
      <c r="D50" s="42"/>
      <c r="E50" s="42"/>
      <c r="F50" s="42"/>
      <c r="G50" s="42"/>
      <c r="H50" s="42"/>
      <c r="I50" s="42"/>
      <c r="J50" s="32"/>
      <c r="K50" s="42"/>
      <c r="L50" s="42"/>
      <c r="M50" s="42"/>
      <c r="N50" s="42"/>
      <c r="O50" s="42"/>
      <c r="P50" s="42"/>
      <c r="Q50" s="10"/>
      <c r="R50" s="38">
        <v>16</v>
      </c>
      <c r="S50" s="36" t="s">
        <v>1059</v>
      </c>
      <c r="T50" s="37"/>
      <c r="U50" s="37"/>
      <c r="V50" s="37"/>
      <c r="W50" s="37"/>
      <c r="X50" s="37"/>
      <c r="Y50" s="37"/>
      <c r="Z50" s="37"/>
      <c r="AA50" s="37"/>
      <c r="AB50" s="37"/>
      <c r="AC50" s="37"/>
      <c r="AD50" s="37"/>
      <c r="AE50" s="38"/>
      <c r="AF50" s="284"/>
      <c r="AG50" s="286"/>
      <c r="AH50" s="284"/>
      <c r="AI50" s="286"/>
      <c r="AJ50" s="284"/>
      <c r="AK50" s="286"/>
      <c r="AL50" s="284" t="s">
        <v>130</v>
      </c>
      <c r="AM50" s="286"/>
      <c r="AN50" s="284" t="s">
        <v>1042</v>
      </c>
      <c r="AO50" s="285"/>
      <c r="AP50" s="285"/>
      <c r="AQ50" s="285"/>
      <c r="AR50" s="285"/>
      <c r="AS50" s="285"/>
      <c r="AT50" s="285"/>
      <c r="AU50" s="286"/>
      <c r="AV50" s="287" t="s">
        <v>143</v>
      </c>
      <c r="AW50" s="287"/>
      <c r="AX50" s="287"/>
      <c r="AY50" s="287"/>
      <c r="AZ50" s="287"/>
      <c r="BA50" s="287"/>
      <c r="BB50" s="287"/>
      <c r="BC50" s="287"/>
      <c r="BD50" s="288"/>
      <c r="BE50" s="288"/>
      <c r="BF50" s="288"/>
      <c r="BG50" s="288"/>
      <c r="BH50" s="288"/>
      <c r="BI50" s="288"/>
      <c r="BJ50" s="288"/>
      <c r="BK50" s="288"/>
      <c r="BL50" s="288"/>
      <c r="BM50" s="10"/>
      <c r="BN50" s="11"/>
    </row>
    <row r="51" spans="1:66" s="8" customFormat="1">
      <c r="A51" s="9"/>
      <c r="B51" s="48"/>
      <c r="C51" s="34"/>
      <c r="D51" s="34"/>
      <c r="E51" s="34"/>
      <c r="F51" s="34"/>
      <c r="G51" s="34"/>
      <c r="H51" s="34"/>
      <c r="I51" s="34"/>
      <c r="J51" s="36" t="s">
        <v>1043</v>
      </c>
      <c r="K51" s="37"/>
      <c r="L51" s="37"/>
      <c r="M51" s="37"/>
      <c r="N51" s="37"/>
      <c r="O51" s="37"/>
      <c r="P51" s="37"/>
      <c r="Q51" s="38"/>
      <c r="R51" s="38">
        <v>1</v>
      </c>
      <c r="S51" s="36" t="s">
        <v>1044</v>
      </c>
      <c r="T51" s="37"/>
      <c r="U51" s="37"/>
      <c r="V51" s="37"/>
      <c r="W51" s="37"/>
      <c r="X51" s="37"/>
      <c r="Y51" s="37"/>
      <c r="Z51" s="37"/>
      <c r="AA51" s="37"/>
      <c r="AB51" s="37"/>
      <c r="AC51" s="37"/>
      <c r="AD51" s="37"/>
      <c r="AE51" s="38"/>
      <c r="AF51" s="284"/>
      <c r="AG51" s="286"/>
      <c r="AH51" s="284" t="s">
        <v>130</v>
      </c>
      <c r="AI51" s="286"/>
      <c r="AJ51" s="284" t="s">
        <v>130</v>
      </c>
      <c r="AK51" s="286"/>
      <c r="AL51" s="284" t="s">
        <v>130</v>
      </c>
      <c r="AM51" s="286"/>
      <c r="AN51" s="284" t="s">
        <v>1042</v>
      </c>
      <c r="AO51" s="285"/>
      <c r="AP51" s="285"/>
      <c r="AQ51" s="285"/>
      <c r="AR51" s="285"/>
      <c r="AS51" s="285"/>
      <c r="AT51" s="285"/>
      <c r="AU51" s="286"/>
      <c r="AV51" s="287" t="s">
        <v>143</v>
      </c>
      <c r="AW51" s="287"/>
      <c r="AX51" s="287"/>
      <c r="AY51" s="287"/>
      <c r="AZ51" s="287"/>
      <c r="BA51" s="287"/>
      <c r="BB51" s="287"/>
      <c r="BC51" s="287"/>
      <c r="BD51" s="288"/>
      <c r="BE51" s="288"/>
      <c r="BF51" s="288"/>
      <c r="BG51" s="288"/>
      <c r="BH51" s="288"/>
      <c r="BI51" s="288"/>
      <c r="BJ51" s="288"/>
      <c r="BK51" s="288"/>
      <c r="BL51" s="288"/>
      <c r="BM51" s="10"/>
      <c r="BN51" s="11"/>
    </row>
    <row r="52" spans="1:66" s="59" customForma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295"/>
      <c r="BE52" s="295"/>
      <c r="BF52" s="295"/>
      <c r="BG52" s="295"/>
      <c r="BH52" s="295"/>
      <c r="BI52" s="295"/>
      <c r="BJ52" s="295"/>
      <c r="BK52" s="295"/>
      <c r="BL52" s="295"/>
      <c r="BM52" s="14"/>
    </row>
  </sheetData>
  <mergeCells count="307">
    <mergeCell ref="AJ30:AK30"/>
    <mergeCell ref="AH37:AI37"/>
    <mergeCell ref="BD28:BL28"/>
    <mergeCell ref="AH36:AI36"/>
    <mergeCell ref="AV29:BC29"/>
    <mergeCell ref="BD29:BL29"/>
    <mergeCell ref="BD35:BL35"/>
    <mergeCell ref="AN37:AU37"/>
    <mergeCell ref="AV37:BC37"/>
    <mergeCell ref="BD37:BL37"/>
    <mergeCell ref="AL33:AM33"/>
    <mergeCell ref="AN33:AU33"/>
    <mergeCell ref="AV33:BC33"/>
    <mergeCell ref="BD33:BL33"/>
    <mergeCell ref="AV30:BC30"/>
    <mergeCell ref="BD30:BL30"/>
    <mergeCell ref="AV36:BC36"/>
    <mergeCell ref="BD36:BL36"/>
    <mergeCell ref="AV35:BC35"/>
    <mergeCell ref="AL36:AM36"/>
    <mergeCell ref="AH31:AI31"/>
    <mergeCell ref="AJ31:AK31"/>
    <mergeCell ref="AL31:AM31"/>
    <mergeCell ref="AV31:BC31"/>
    <mergeCell ref="AN12:AU12"/>
    <mergeCell ref="AV12:BC12"/>
    <mergeCell ref="BD12:BL12"/>
    <mergeCell ref="AF14:AG14"/>
    <mergeCell ref="AH14:AI14"/>
    <mergeCell ref="AJ14:AK14"/>
    <mergeCell ref="AL14:AM14"/>
    <mergeCell ref="AN14:AU14"/>
    <mergeCell ref="AV14:BC14"/>
    <mergeCell ref="BD14:BL14"/>
    <mergeCell ref="AF13:AG13"/>
    <mergeCell ref="AH13:AI13"/>
    <mergeCell ref="AJ13:AK13"/>
    <mergeCell ref="AL13:AM13"/>
    <mergeCell ref="AN13:AU13"/>
    <mergeCell ref="AV13:BC13"/>
    <mergeCell ref="BD13:BL13"/>
    <mergeCell ref="AF48:AG48"/>
    <mergeCell ref="AH44:AI44"/>
    <mergeCell ref="AF43:AG43"/>
    <mergeCell ref="AF47:AG47"/>
    <mergeCell ref="AF12:AG12"/>
    <mergeCell ref="AH12:AI12"/>
    <mergeCell ref="AJ12:AK12"/>
    <mergeCell ref="AN48:AU48"/>
    <mergeCell ref="AN43:AU43"/>
    <mergeCell ref="AF46:AG46"/>
    <mergeCell ref="AN46:AU46"/>
    <mergeCell ref="AJ26:AK26"/>
    <mergeCell ref="AL26:AM26"/>
    <mergeCell ref="AH26:AI26"/>
    <mergeCell ref="AF29:AG29"/>
    <mergeCell ref="AN29:AU29"/>
    <mergeCell ref="AF28:AG28"/>
    <mergeCell ref="AJ28:AK28"/>
    <mergeCell ref="AL28:AM28"/>
    <mergeCell ref="AJ29:AK29"/>
    <mergeCell ref="AL29:AM29"/>
    <mergeCell ref="AH28:AI28"/>
    <mergeCell ref="AH29:AI29"/>
    <mergeCell ref="AL12:AM12"/>
    <mergeCell ref="AV48:BC48"/>
    <mergeCell ref="BD48:BL48"/>
    <mergeCell ref="AJ48:AK48"/>
    <mergeCell ref="AL48:AM48"/>
    <mergeCell ref="AH48:AI48"/>
    <mergeCell ref="BD49:BL49"/>
    <mergeCell ref="AN50:AU50"/>
    <mergeCell ref="AV50:BC50"/>
    <mergeCell ref="BD50:BL50"/>
    <mergeCell ref="AN49:AU49"/>
    <mergeCell ref="AV49:BC49"/>
    <mergeCell ref="AV46:BC46"/>
    <mergeCell ref="BD46:BL46"/>
    <mergeCell ref="AJ46:AK46"/>
    <mergeCell ref="AL46:AM46"/>
    <mergeCell ref="AH46:AI46"/>
    <mergeCell ref="AF42:AG42"/>
    <mergeCell ref="AH42:AI42"/>
    <mergeCell ref="BD42:BL42"/>
    <mergeCell ref="AN42:AU42"/>
    <mergeCell ref="AV42:BC42"/>
    <mergeCell ref="AF44:AG44"/>
    <mergeCell ref="AJ42:AK42"/>
    <mergeCell ref="AL42:AM42"/>
    <mergeCell ref="AF45:AG45"/>
    <mergeCell ref="AJ45:AK45"/>
    <mergeCell ref="AL45:AM45"/>
    <mergeCell ref="AN45:AU45"/>
    <mergeCell ref="AV45:BC45"/>
    <mergeCell ref="BD45:BL45"/>
    <mergeCell ref="BD38:BL38"/>
    <mergeCell ref="BD40:BL40"/>
    <mergeCell ref="BD39:BL39"/>
    <mergeCell ref="BD41:BL41"/>
    <mergeCell ref="AL38:AM38"/>
    <mergeCell ref="AH38:AI38"/>
    <mergeCell ref="AF40:AG40"/>
    <mergeCell ref="AN40:AU40"/>
    <mergeCell ref="AV40:BC40"/>
    <mergeCell ref="AJ40:AK40"/>
    <mergeCell ref="AL40:AM40"/>
    <mergeCell ref="AH40:AI40"/>
    <mergeCell ref="AF39:AG39"/>
    <mergeCell ref="AV41:BC41"/>
    <mergeCell ref="AL39:AM39"/>
    <mergeCell ref="AJ41:AK41"/>
    <mergeCell ref="AL41:AM41"/>
    <mergeCell ref="AN38:AU38"/>
    <mergeCell ref="AH41:AI41"/>
    <mergeCell ref="AV23:BC23"/>
    <mergeCell ref="BD23:BL23"/>
    <mergeCell ref="AF24:AG24"/>
    <mergeCell ref="AN24:AU24"/>
    <mergeCell ref="AF23:AG23"/>
    <mergeCell ref="AV24:BC24"/>
    <mergeCell ref="BD24:BL24"/>
    <mergeCell ref="AJ23:AK23"/>
    <mergeCell ref="AL23:AM23"/>
    <mergeCell ref="AJ24:AK24"/>
    <mergeCell ref="AL24:AM24"/>
    <mergeCell ref="AH23:AI23"/>
    <mergeCell ref="AH24:AI24"/>
    <mergeCell ref="AV22:BC22"/>
    <mergeCell ref="BD22:BL22"/>
    <mergeCell ref="AF21:AG21"/>
    <mergeCell ref="AN21:AU21"/>
    <mergeCell ref="AV21:BC21"/>
    <mergeCell ref="BD21:BL21"/>
    <mergeCell ref="AJ21:AK21"/>
    <mergeCell ref="AL21:AM21"/>
    <mergeCell ref="AJ22:AK22"/>
    <mergeCell ref="AL22:AM22"/>
    <mergeCell ref="AH21:AI21"/>
    <mergeCell ref="AH22:AI22"/>
    <mergeCell ref="AV19:BC19"/>
    <mergeCell ref="BD19:BL19"/>
    <mergeCell ref="AF20:AG20"/>
    <mergeCell ref="AN20:AU20"/>
    <mergeCell ref="AF19:AG19"/>
    <mergeCell ref="AV20:BC20"/>
    <mergeCell ref="BD20:BL20"/>
    <mergeCell ref="AJ19:AK19"/>
    <mergeCell ref="AL19:AM19"/>
    <mergeCell ref="AJ20:AK20"/>
    <mergeCell ref="AL20:AM20"/>
    <mergeCell ref="AV18:BC18"/>
    <mergeCell ref="BD18:BL18"/>
    <mergeCell ref="AF17:AG17"/>
    <mergeCell ref="AN17:AU17"/>
    <mergeCell ref="AV17:BC17"/>
    <mergeCell ref="BD17:BL17"/>
    <mergeCell ref="AJ17:AK17"/>
    <mergeCell ref="AL17:AM17"/>
    <mergeCell ref="AJ18:AK18"/>
    <mergeCell ref="AL18:AM18"/>
    <mergeCell ref="A1:E1"/>
    <mergeCell ref="F1:U1"/>
    <mergeCell ref="A2:E3"/>
    <mergeCell ref="F2:U3"/>
    <mergeCell ref="AV15:BC15"/>
    <mergeCell ref="BD15:BL15"/>
    <mergeCell ref="AF16:AG16"/>
    <mergeCell ref="AN16:AU16"/>
    <mergeCell ref="AF15:AG15"/>
    <mergeCell ref="AV16:BC16"/>
    <mergeCell ref="BD16:BL16"/>
    <mergeCell ref="AJ15:AK15"/>
    <mergeCell ref="AL15:AM15"/>
    <mergeCell ref="AJ16:AK16"/>
    <mergeCell ref="AL16:AM16"/>
    <mergeCell ref="AV8:BC9"/>
    <mergeCell ref="BD8:BL9"/>
    <mergeCell ref="AF9:AG9"/>
    <mergeCell ref="AJ9:AK9"/>
    <mergeCell ref="AL9:AM9"/>
    <mergeCell ref="AH9:AI9"/>
    <mergeCell ref="B8:I9"/>
    <mergeCell ref="J8:Q9"/>
    <mergeCell ref="R8:R9"/>
    <mergeCell ref="S8:AE9"/>
    <mergeCell ref="AF8:AM8"/>
    <mergeCell ref="AN8:AU9"/>
    <mergeCell ref="AF41:AG41"/>
    <mergeCell ref="AN41:AU41"/>
    <mergeCell ref="AN15:AU15"/>
    <mergeCell ref="AF18:AG18"/>
    <mergeCell ref="AN18:AU18"/>
    <mergeCell ref="AN19:AU19"/>
    <mergeCell ref="AF22:AG22"/>
    <mergeCell ref="AN22:AU22"/>
    <mergeCell ref="AN23:AU23"/>
    <mergeCell ref="AF27:AG27"/>
    <mergeCell ref="AN27:AU27"/>
    <mergeCell ref="AN28:AU28"/>
    <mergeCell ref="AN31:AU31"/>
    <mergeCell ref="AN36:AU36"/>
    <mergeCell ref="AF35:AG35"/>
    <mergeCell ref="AN35:AU35"/>
    <mergeCell ref="AJ36:AK36"/>
    <mergeCell ref="AF37:AG37"/>
    <mergeCell ref="AF30:AG30"/>
    <mergeCell ref="AN30:AU30"/>
    <mergeCell ref="AN39:AU39"/>
    <mergeCell ref="BD31:BL31"/>
    <mergeCell ref="AJ35:AK35"/>
    <mergeCell ref="AL35:AM35"/>
    <mergeCell ref="AH32:AI32"/>
    <mergeCell ref="AJ32:AK32"/>
    <mergeCell ref="AL32:AM32"/>
    <mergeCell ref="AN32:AU32"/>
    <mergeCell ref="AV32:BC32"/>
    <mergeCell ref="BD32:BL32"/>
    <mergeCell ref="AH33:AI33"/>
    <mergeCell ref="AJ33:AK33"/>
    <mergeCell ref="AH35:AI35"/>
    <mergeCell ref="AN47:AU47"/>
    <mergeCell ref="AV47:BC47"/>
    <mergeCell ref="BD47:BL47"/>
    <mergeCell ref="AJ47:AK47"/>
    <mergeCell ref="AL47:AM47"/>
    <mergeCell ref="AH47:AI47"/>
    <mergeCell ref="AJ37:AK37"/>
    <mergeCell ref="AL37:AM37"/>
    <mergeCell ref="AJ38:AK38"/>
    <mergeCell ref="AH39:AI39"/>
    <mergeCell ref="AV43:BC43"/>
    <mergeCell ref="BD43:BL43"/>
    <mergeCell ref="AJ43:AK43"/>
    <mergeCell ref="AL43:AM43"/>
    <mergeCell ref="AH43:AI43"/>
    <mergeCell ref="AV39:BC39"/>
    <mergeCell ref="AJ39:AK39"/>
    <mergeCell ref="AN44:AU44"/>
    <mergeCell ref="AV44:BC44"/>
    <mergeCell ref="BD44:BL44"/>
    <mergeCell ref="AJ44:AK44"/>
    <mergeCell ref="AL44:AM44"/>
    <mergeCell ref="AV38:BC38"/>
    <mergeCell ref="AH45:AI45"/>
    <mergeCell ref="BD52:BL52"/>
    <mergeCell ref="AH51:AI51"/>
    <mergeCell ref="AF49:AG49"/>
    <mergeCell ref="AF50:AG50"/>
    <mergeCell ref="AJ49:AK49"/>
    <mergeCell ref="AL49:AM49"/>
    <mergeCell ref="AJ50:AK50"/>
    <mergeCell ref="AL50:AM50"/>
    <mergeCell ref="AJ51:AK51"/>
    <mergeCell ref="AL51:AM51"/>
    <mergeCell ref="AH49:AI49"/>
    <mergeCell ref="AH50:AI50"/>
    <mergeCell ref="BD51:BL51"/>
    <mergeCell ref="AF51:AG51"/>
    <mergeCell ref="AN51:AU51"/>
    <mergeCell ref="AV51:BC51"/>
    <mergeCell ref="AS1:AX1"/>
    <mergeCell ref="AS2:AX2"/>
    <mergeCell ref="AS3:AX3"/>
    <mergeCell ref="V1:AK1"/>
    <mergeCell ref="V2:AK3"/>
    <mergeCell ref="AL2:AM2"/>
    <mergeCell ref="AN2:AR2"/>
    <mergeCell ref="AL3:AM3"/>
    <mergeCell ref="AN3:AR3"/>
    <mergeCell ref="AL1:AR1"/>
    <mergeCell ref="AH15:AI15"/>
    <mergeCell ref="AH16:AI16"/>
    <mergeCell ref="AH17:AI17"/>
    <mergeCell ref="AH18:AI18"/>
    <mergeCell ref="AH19:AI19"/>
    <mergeCell ref="AH20:AI20"/>
    <mergeCell ref="AF38:AG38"/>
    <mergeCell ref="AF25:AG25"/>
    <mergeCell ref="AH25:AI25"/>
    <mergeCell ref="AF36:AG36"/>
    <mergeCell ref="AF32:AG32"/>
    <mergeCell ref="AF33:AG33"/>
    <mergeCell ref="AH30:AI30"/>
    <mergeCell ref="AJ25:AK25"/>
    <mergeCell ref="AL25:AM25"/>
    <mergeCell ref="AN25:AU25"/>
    <mergeCell ref="AV25:BC25"/>
    <mergeCell ref="BD25:BL25"/>
    <mergeCell ref="AF34:AG34"/>
    <mergeCell ref="AH34:AI34"/>
    <mergeCell ref="AJ34:AK34"/>
    <mergeCell ref="AL34:AM34"/>
    <mergeCell ref="AN34:AU34"/>
    <mergeCell ref="AV34:BC34"/>
    <mergeCell ref="BD34:BL34"/>
    <mergeCell ref="AF31:AG31"/>
    <mergeCell ref="AV27:BC27"/>
    <mergeCell ref="BD27:BL27"/>
    <mergeCell ref="AJ27:AK27"/>
    <mergeCell ref="AL27:AM27"/>
    <mergeCell ref="AH27:AI27"/>
    <mergeCell ref="AF26:AG26"/>
    <mergeCell ref="AN26:AU26"/>
    <mergeCell ref="AV26:BC26"/>
    <mergeCell ref="BD26:BL26"/>
    <mergeCell ref="AL30:AM30"/>
    <mergeCell ref="AV28:BC28"/>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4D17-A686-438E-A0BA-C0B312D435E1}">
  <dimension ref="A1:BL34"/>
  <sheetViews>
    <sheetView showGridLines="0" zoomScale="90" zoomScaleNormal="90" workbookViewId="0">
      <pane ySplit="9" topLeftCell="A10" activePane="bottomLeft" state="frozen"/>
      <selection pane="bottomLeft" activeCell="BI24" sqref="BI24"/>
    </sheetView>
  </sheetViews>
  <sheetFormatPr defaultColWidth="2.375" defaultRowHeight="13.5"/>
  <cols>
    <col min="1" max="5" width="2.375" style="1"/>
    <col min="6" max="10" width="2.375" style="1" customWidth="1"/>
    <col min="11" max="17" width="2.375" style="1"/>
    <col min="18" max="18" width="3.375" style="1" customWidth="1"/>
    <col min="19" max="31" width="2.375" style="1"/>
    <col min="32" max="55" width="3.75" style="1" customWidth="1"/>
    <col min="56" max="65" width="2.375" style="1"/>
    <col min="66" max="66" width="2.375" style="1" customWidth="1"/>
    <col min="67" max="16384" width="2.375" style="1"/>
  </cols>
  <sheetData>
    <row r="1" spans="1:64" ht="14.1" customHeight="1" thickBot="1">
      <c r="A1" s="228" t="s">
        <v>8</v>
      </c>
      <c r="B1" s="229"/>
      <c r="C1" s="229"/>
      <c r="D1" s="229"/>
      <c r="E1" s="230"/>
      <c r="F1" s="225" t="str">
        <f>[2]変更履歴!F1</f>
        <v>会計システム刷新プロジェクト（LIBRA）Branch2</v>
      </c>
      <c r="G1" s="226"/>
      <c r="H1" s="226"/>
      <c r="I1" s="226"/>
      <c r="J1" s="226"/>
      <c r="K1" s="226"/>
      <c r="L1" s="226"/>
      <c r="M1" s="226"/>
      <c r="N1" s="226"/>
      <c r="O1" s="226"/>
      <c r="P1" s="226"/>
      <c r="Q1" s="226"/>
      <c r="R1" s="226"/>
      <c r="S1" s="226"/>
      <c r="T1" s="226"/>
      <c r="U1" s="227"/>
      <c r="V1" s="228" t="s">
        <v>108</v>
      </c>
      <c r="W1" s="229"/>
      <c r="X1" s="229"/>
      <c r="Y1" s="229"/>
      <c r="Z1" s="229"/>
      <c r="AA1" s="229"/>
      <c r="AB1" s="229"/>
      <c r="AC1" s="229"/>
      <c r="AD1" s="229"/>
      <c r="AE1" s="229"/>
      <c r="AF1" s="229"/>
      <c r="AG1" s="229"/>
      <c r="AH1" s="229"/>
      <c r="AI1" s="229"/>
      <c r="AJ1" s="229"/>
      <c r="AK1" s="230"/>
      <c r="AL1" s="228" t="s">
        <v>10</v>
      </c>
      <c r="AM1" s="229"/>
      <c r="AN1" s="229"/>
      <c r="AO1" s="229"/>
      <c r="AP1" s="229"/>
      <c r="AQ1" s="229"/>
      <c r="AR1" s="230"/>
      <c r="AS1" s="228" t="s">
        <v>11</v>
      </c>
      <c r="AT1" s="229"/>
      <c r="AU1" s="229"/>
      <c r="AV1" s="229"/>
      <c r="AW1" s="229"/>
      <c r="AX1" s="230"/>
    </row>
    <row r="2" spans="1:64" ht="14.1" customHeight="1">
      <c r="A2" s="296" t="s">
        <v>12</v>
      </c>
      <c r="B2" s="297"/>
      <c r="C2" s="297"/>
      <c r="D2" s="297"/>
      <c r="E2" s="298"/>
      <c r="F2" s="237" t="str">
        <f>[2]変更履歴!F2</f>
        <v>To-Be業務一覧</v>
      </c>
      <c r="G2" s="238"/>
      <c r="H2" s="238"/>
      <c r="I2" s="238"/>
      <c r="J2" s="238"/>
      <c r="K2" s="238"/>
      <c r="L2" s="238"/>
      <c r="M2" s="238"/>
      <c r="N2" s="238"/>
      <c r="O2" s="238"/>
      <c r="P2" s="238"/>
      <c r="Q2" s="238"/>
      <c r="R2" s="238"/>
      <c r="S2" s="238"/>
      <c r="T2" s="238"/>
      <c r="U2" s="239"/>
      <c r="V2" s="237" t="e">
        <f ca="1">MID(CELL("filename",$A$1),FIND("]",CELL("filename",$A$1))+1,31)</f>
        <v>#VALUE!</v>
      </c>
      <c r="W2" s="238"/>
      <c r="X2" s="238"/>
      <c r="Y2" s="238"/>
      <c r="Z2" s="238"/>
      <c r="AA2" s="238"/>
      <c r="AB2" s="238"/>
      <c r="AC2" s="238"/>
      <c r="AD2" s="238"/>
      <c r="AE2" s="238"/>
      <c r="AF2" s="238"/>
      <c r="AG2" s="238"/>
      <c r="AH2" s="238"/>
      <c r="AI2" s="238"/>
      <c r="AJ2" s="238"/>
      <c r="AK2" s="239"/>
      <c r="AL2" s="249" t="s">
        <v>13</v>
      </c>
      <c r="AM2" s="250"/>
      <c r="AN2" s="251">
        <f>[2]変更履歴!AT2</f>
        <v>45650</v>
      </c>
      <c r="AO2" s="252"/>
      <c r="AP2" s="252"/>
      <c r="AQ2" s="252"/>
      <c r="AR2" s="253"/>
      <c r="AS2" s="254" t="str">
        <f>[2]変更履歴!BA2</f>
        <v>JBS北井</v>
      </c>
      <c r="AT2" s="255"/>
      <c r="AU2" s="255"/>
      <c r="AV2" s="255"/>
      <c r="AW2" s="255"/>
      <c r="AX2" s="256"/>
    </row>
    <row r="3" spans="1:64" ht="14.1" customHeight="1" thickBot="1">
      <c r="A3" s="299"/>
      <c r="B3" s="300"/>
      <c r="C3" s="300"/>
      <c r="D3" s="300"/>
      <c r="E3" s="301"/>
      <c r="F3" s="240"/>
      <c r="G3" s="241"/>
      <c r="H3" s="241"/>
      <c r="I3" s="241"/>
      <c r="J3" s="241"/>
      <c r="K3" s="241"/>
      <c r="L3" s="241"/>
      <c r="M3" s="241"/>
      <c r="N3" s="241"/>
      <c r="O3" s="241"/>
      <c r="P3" s="241"/>
      <c r="Q3" s="241"/>
      <c r="R3" s="241"/>
      <c r="S3" s="241"/>
      <c r="T3" s="241"/>
      <c r="U3" s="242"/>
      <c r="V3" s="240"/>
      <c r="W3" s="241"/>
      <c r="X3" s="241"/>
      <c r="Y3" s="241"/>
      <c r="Z3" s="241"/>
      <c r="AA3" s="241"/>
      <c r="AB3" s="241"/>
      <c r="AC3" s="241"/>
      <c r="AD3" s="241"/>
      <c r="AE3" s="241"/>
      <c r="AF3" s="241"/>
      <c r="AG3" s="241"/>
      <c r="AH3" s="241"/>
      <c r="AI3" s="241"/>
      <c r="AJ3" s="241"/>
      <c r="AK3" s="242"/>
      <c r="AL3" s="257" t="s">
        <v>14</v>
      </c>
      <c r="AM3" s="258"/>
      <c r="AN3" s="259">
        <f>[2]変更履歴!AT3</f>
        <v>45650</v>
      </c>
      <c r="AO3" s="260"/>
      <c r="AP3" s="260"/>
      <c r="AQ3" s="260"/>
      <c r="AR3" s="261"/>
      <c r="AS3" s="262" t="str">
        <f>[2]変更履歴!BA3</f>
        <v>JBS北井</v>
      </c>
      <c r="AT3" s="263"/>
      <c r="AU3" s="263"/>
      <c r="AV3" s="263"/>
      <c r="AW3" s="263"/>
      <c r="AX3" s="264"/>
    </row>
    <row r="4" spans="1:64">
      <c r="A4" s="2"/>
      <c r="B4" s="70"/>
      <c r="C4" s="70"/>
      <c r="D4" s="70"/>
      <c r="E4" s="70"/>
      <c r="F4" s="70"/>
      <c r="G4" s="70"/>
      <c r="H4" s="70"/>
      <c r="I4" s="70"/>
      <c r="J4" s="70"/>
      <c r="K4" s="70"/>
      <c r="L4" s="70"/>
      <c r="M4" s="70"/>
      <c r="N4" s="70"/>
      <c r="O4" s="70"/>
      <c r="P4" s="70"/>
      <c r="Q4" s="70"/>
    </row>
    <row r="5" spans="1:64">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4" s="8" customFormat="1">
      <c r="A6" s="5" t="s">
        <v>109</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7"/>
      <c r="BJ6" s="1"/>
      <c r="BK6" s="1"/>
      <c r="BL6" s="1"/>
    </row>
    <row r="7" spans="1:64" s="8" customFormat="1">
      <c r="A7" s="43"/>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41"/>
      <c r="BB7" s="44"/>
      <c r="BC7" s="44"/>
      <c r="BD7" s="44"/>
      <c r="BE7" s="44"/>
      <c r="BF7" s="44"/>
      <c r="BG7" s="44"/>
      <c r="BH7" s="44"/>
      <c r="BI7" s="31"/>
      <c r="BJ7" s="1"/>
      <c r="BK7" s="1"/>
      <c r="BL7" s="1"/>
    </row>
    <row r="8" spans="1:64" s="8" customFormat="1" ht="14.1" customHeight="1" thickBot="1">
      <c r="A8" s="9"/>
      <c r="B8" s="339" t="s">
        <v>110</v>
      </c>
      <c r="C8" s="374"/>
      <c r="D8" s="374"/>
      <c r="E8" s="374"/>
      <c r="F8" s="374"/>
      <c r="G8" s="374"/>
      <c r="H8" s="374"/>
      <c r="I8" s="383"/>
      <c r="J8" s="340" t="s">
        <v>111</v>
      </c>
      <c r="K8" s="374"/>
      <c r="L8" s="374"/>
      <c r="M8" s="374"/>
      <c r="N8" s="374"/>
      <c r="O8" s="374"/>
      <c r="P8" s="374"/>
      <c r="Q8" s="374"/>
      <c r="R8" s="302" t="s">
        <v>112</v>
      </c>
      <c r="S8" s="318" t="s">
        <v>113</v>
      </c>
      <c r="T8" s="319"/>
      <c r="U8" s="319"/>
      <c r="V8" s="319"/>
      <c r="W8" s="319"/>
      <c r="X8" s="319"/>
      <c r="Y8" s="319"/>
      <c r="Z8" s="319"/>
      <c r="AA8" s="319"/>
      <c r="AB8" s="319"/>
      <c r="AC8" s="319"/>
      <c r="AD8" s="319"/>
      <c r="AE8" s="320"/>
      <c r="AF8" s="322" t="s">
        <v>114</v>
      </c>
      <c r="AG8" s="323"/>
      <c r="AH8" s="323"/>
      <c r="AI8" s="304"/>
      <c r="AJ8" s="369" t="s">
        <v>115</v>
      </c>
      <c r="AK8" s="347"/>
      <c r="AL8" s="347"/>
      <c r="AM8" s="347"/>
      <c r="AN8" s="347"/>
      <c r="AO8" s="348"/>
      <c r="AP8" s="348"/>
      <c r="AQ8" s="348"/>
      <c r="AR8" s="302" t="s">
        <v>116</v>
      </c>
      <c r="AS8" s="302"/>
      <c r="AT8" s="302"/>
      <c r="AU8" s="302"/>
      <c r="AV8" s="302"/>
      <c r="AW8" s="302"/>
      <c r="AX8" s="302"/>
      <c r="AY8" s="302"/>
      <c r="AZ8" s="304" t="s">
        <v>117</v>
      </c>
      <c r="BA8" s="302"/>
      <c r="BB8" s="302"/>
      <c r="BC8" s="302"/>
      <c r="BD8" s="302"/>
      <c r="BE8" s="302"/>
      <c r="BF8" s="302"/>
      <c r="BG8" s="302"/>
      <c r="BH8" s="305"/>
      <c r="BI8" s="10"/>
      <c r="BJ8" s="1"/>
      <c r="BK8" s="1"/>
      <c r="BL8" s="1"/>
    </row>
    <row r="9" spans="1:64" s="8" customFormat="1">
      <c r="A9" s="9"/>
      <c r="B9" s="384"/>
      <c r="C9" s="376"/>
      <c r="D9" s="376"/>
      <c r="E9" s="376"/>
      <c r="F9" s="376"/>
      <c r="G9" s="376"/>
      <c r="H9" s="376"/>
      <c r="I9" s="385"/>
      <c r="J9" s="375"/>
      <c r="K9" s="376"/>
      <c r="L9" s="376"/>
      <c r="M9" s="376"/>
      <c r="N9" s="376"/>
      <c r="O9" s="376"/>
      <c r="P9" s="376"/>
      <c r="Q9" s="376"/>
      <c r="R9" s="303"/>
      <c r="S9" s="292"/>
      <c r="T9" s="321"/>
      <c r="U9" s="321"/>
      <c r="V9" s="321"/>
      <c r="W9" s="321"/>
      <c r="X9" s="321"/>
      <c r="Y9" s="321"/>
      <c r="Z9" s="321"/>
      <c r="AA9" s="321"/>
      <c r="AB9" s="321"/>
      <c r="AC9" s="321"/>
      <c r="AD9" s="321"/>
      <c r="AE9" s="293"/>
      <c r="AF9" s="430" t="s">
        <v>124</v>
      </c>
      <c r="AG9" s="431"/>
      <c r="AH9" s="430" t="s">
        <v>1060</v>
      </c>
      <c r="AI9" s="431"/>
      <c r="AJ9" s="370"/>
      <c r="AK9" s="349"/>
      <c r="AL9" s="349"/>
      <c r="AM9" s="349"/>
      <c r="AN9" s="349"/>
      <c r="AO9" s="349"/>
      <c r="AP9" s="349"/>
      <c r="AQ9" s="350"/>
      <c r="AR9" s="303"/>
      <c r="AS9" s="303"/>
      <c r="AT9" s="303"/>
      <c r="AU9" s="303"/>
      <c r="AV9" s="303"/>
      <c r="AW9" s="303"/>
      <c r="AX9" s="303"/>
      <c r="AY9" s="303"/>
      <c r="AZ9" s="306"/>
      <c r="BA9" s="303"/>
      <c r="BB9" s="303"/>
      <c r="BC9" s="303"/>
      <c r="BD9" s="303"/>
      <c r="BE9" s="303"/>
      <c r="BF9" s="303"/>
      <c r="BG9" s="303"/>
      <c r="BH9" s="307"/>
      <c r="BI9" s="10"/>
      <c r="BJ9" s="1"/>
      <c r="BK9" s="1"/>
      <c r="BL9" s="1"/>
    </row>
    <row r="10" spans="1:64" s="8" customFormat="1">
      <c r="A10" s="9"/>
      <c r="B10" s="24" t="s">
        <v>125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371"/>
      <c r="AG10" s="371"/>
      <c r="AH10" s="371"/>
      <c r="AI10" s="371"/>
      <c r="AJ10" s="25"/>
      <c r="AK10" s="25"/>
      <c r="AL10" s="25"/>
      <c r="AM10" s="25"/>
      <c r="AN10" s="25"/>
      <c r="AO10" s="25"/>
      <c r="AP10" s="25"/>
      <c r="AQ10" s="25"/>
      <c r="AR10" s="371"/>
      <c r="AS10" s="371"/>
      <c r="AT10" s="371"/>
      <c r="AU10" s="371"/>
      <c r="AV10" s="371"/>
      <c r="AW10" s="371"/>
      <c r="AX10" s="371"/>
      <c r="AY10" s="379"/>
      <c r="AZ10" s="378"/>
      <c r="BA10" s="371"/>
      <c r="BB10" s="371"/>
      <c r="BC10" s="371"/>
      <c r="BD10" s="371"/>
      <c r="BE10" s="371"/>
      <c r="BF10" s="371"/>
      <c r="BG10" s="371"/>
      <c r="BH10" s="379"/>
      <c r="BI10" s="10"/>
      <c r="BJ10" s="1"/>
      <c r="BK10" s="1"/>
      <c r="BL10" s="1"/>
    </row>
    <row r="11" spans="1:64" s="8" customFormat="1">
      <c r="A11" s="9"/>
      <c r="B11" s="40" t="s">
        <v>1061</v>
      </c>
      <c r="C11" s="39"/>
      <c r="D11" s="39"/>
      <c r="E11" s="39"/>
      <c r="F11" s="39"/>
      <c r="G11" s="39"/>
      <c r="H11" s="39"/>
      <c r="I11" s="39"/>
      <c r="J11" s="39"/>
      <c r="K11" s="39"/>
      <c r="L11" s="39"/>
      <c r="M11" s="39"/>
      <c r="N11" s="39"/>
      <c r="O11" s="39"/>
      <c r="P11" s="39"/>
      <c r="Q11" s="39"/>
      <c r="R11" s="27"/>
      <c r="S11" s="27"/>
      <c r="T11" s="27"/>
      <c r="U11" s="27"/>
      <c r="V11" s="27"/>
      <c r="W11" s="27"/>
      <c r="X11" s="27"/>
      <c r="Y11" s="27"/>
      <c r="Z11" s="27"/>
      <c r="AA11" s="27"/>
      <c r="AB11" s="27"/>
      <c r="AC11" s="27"/>
      <c r="AD11" s="27"/>
      <c r="AE11" s="27"/>
      <c r="AF11" s="368"/>
      <c r="AG11" s="368"/>
      <c r="AH11" s="368"/>
      <c r="AI11" s="368"/>
      <c r="AJ11" s="368"/>
      <c r="AK11" s="368"/>
      <c r="AL11" s="368"/>
      <c r="AM11" s="368"/>
      <c r="AN11" s="368"/>
      <c r="AO11" s="368"/>
      <c r="AP11" s="53"/>
      <c r="AQ11" s="53"/>
      <c r="AR11" s="368"/>
      <c r="AS11" s="368"/>
      <c r="AT11" s="368"/>
      <c r="AU11" s="368"/>
      <c r="AV11" s="368"/>
      <c r="AW11" s="368"/>
      <c r="AX11" s="368"/>
      <c r="AY11" s="386"/>
      <c r="AZ11" s="380"/>
      <c r="BA11" s="381"/>
      <c r="BB11" s="381"/>
      <c r="BC11" s="381"/>
      <c r="BD11" s="381"/>
      <c r="BE11" s="381"/>
      <c r="BF11" s="381"/>
      <c r="BG11" s="381"/>
      <c r="BH11" s="382"/>
      <c r="BI11" s="10"/>
      <c r="BJ11" s="11"/>
    </row>
    <row r="12" spans="1:64" s="8" customFormat="1">
      <c r="A12" s="9"/>
      <c r="B12" s="113" t="s">
        <v>1062</v>
      </c>
      <c r="C12" s="114"/>
      <c r="D12" s="114"/>
      <c r="E12" s="114"/>
      <c r="F12" s="114"/>
      <c r="G12" s="114"/>
      <c r="H12" s="114"/>
      <c r="I12" s="114"/>
      <c r="J12" s="113" t="s">
        <v>1063</v>
      </c>
      <c r="K12" s="114"/>
      <c r="L12" s="114"/>
      <c r="M12" s="114"/>
      <c r="N12" s="114"/>
      <c r="O12" s="114"/>
      <c r="P12" s="114"/>
      <c r="Q12" s="115"/>
      <c r="R12" s="116">
        <v>1</v>
      </c>
      <c r="S12" s="36" t="s">
        <v>1064</v>
      </c>
      <c r="T12" s="37"/>
      <c r="U12" s="37"/>
      <c r="V12" s="37"/>
      <c r="W12" s="37"/>
      <c r="X12" s="37"/>
      <c r="Y12" s="37"/>
      <c r="Z12" s="37"/>
      <c r="AA12" s="37"/>
      <c r="AB12" s="37"/>
      <c r="AC12" s="37"/>
      <c r="AD12" s="37"/>
      <c r="AE12" s="38"/>
      <c r="AF12" s="284" t="s">
        <v>492</v>
      </c>
      <c r="AG12" s="286"/>
      <c r="AH12" s="284"/>
      <c r="AI12" s="286"/>
      <c r="AJ12" s="333" t="s">
        <v>662</v>
      </c>
      <c r="AK12" s="358"/>
      <c r="AL12" s="358"/>
      <c r="AM12" s="358"/>
      <c r="AN12" s="358"/>
      <c r="AO12" s="358"/>
      <c r="AP12" s="358"/>
      <c r="AQ12" s="359"/>
      <c r="AR12" s="287" t="s">
        <v>201</v>
      </c>
      <c r="AS12" s="287"/>
      <c r="AT12" s="287"/>
      <c r="AU12" s="287"/>
      <c r="AV12" s="287"/>
      <c r="AW12" s="287"/>
      <c r="AX12" s="287"/>
      <c r="AY12" s="287"/>
      <c r="AZ12" s="288"/>
      <c r="BA12" s="288"/>
      <c r="BB12" s="288"/>
      <c r="BC12" s="288"/>
      <c r="BD12" s="288"/>
      <c r="BE12" s="288"/>
      <c r="BF12" s="288"/>
      <c r="BG12" s="288"/>
      <c r="BH12" s="288"/>
      <c r="BI12" s="10"/>
      <c r="BJ12" s="11"/>
    </row>
    <row r="13" spans="1:64" s="8" customFormat="1">
      <c r="A13" s="9"/>
      <c r="B13" s="117" t="s">
        <v>1065</v>
      </c>
      <c r="C13" s="118"/>
      <c r="D13" s="118"/>
      <c r="E13" s="118"/>
      <c r="F13" s="118"/>
      <c r="G13" s="118"/>
      <c r="H13" s="118"/>
      <c r="I13" s="118"/>
      <c r="J13" s="117"/>
      <c r="K13" s="118"/>
      <c r="L13" s="118"/>
      <c r="M13" s="118"/>
      <c r="N13" s="118"/>
      <c r="O13" s="118"/>
      <c r="P13" s="118"/>
      <c r="Q13" s="119"/>
      <c r="R13" s="116">
        <v>2</v>
      </c>
      <c r="S13" s="36" t="s">
        <v>1066</v>
      </c>
      <c r="T13" s="37"/>
      <c r="U13" s="37"/>
      <c r="V13" s="37"/>
      <c r="W13" s="37"/>
      <c r="X13" s="37"/>
      <c r="Y13" s="37"/>
      <c r="Z13" s="37"/>
      <c r="AA13" s="37"/>
      <c r="AB13" s="37"/>
      <c r="AC13" s="37"/>
      <c r="AD13" s="37"/>
      <c r="AE13" s="38"/>
      <c r="AF13" s="284" t="s">
        <v>492</v>
      </c>
      <c r="AG13" s="286"/>
      <c r="AH13" s="45"/>
      <c r="AI13" s="46"/>
      <c r="AJ13" s="333" t="s">
        <v>131</v>
      </c>
      <c r="AK13" s="358"/>
      <c r="AL13" s="358"/>
      <c r="AM13" s="358"/>
      <c r="AN13" s="358"/>
      <c r="AO13" s="358"/>
      <c r="AP13" s="358"/>
      <c r="AQ13" s="359"/>
      <c r="AR13" s="287" t="s">
        <v>1067</v>
      </c>
      <c r="AS13" s="287"/>
      <c r="AT13" s="287"/>
      <c r="AU13" s="287"/>
      <c r="AV13" s="287"/>
      <c r="AW13" s="287"/>
      <c r="AX13" s="287"/>
      <c r="AY13" s="287"/>
      <c r="AZ13" s="288"/>
      <c r="BA13" s="288"/>
      <c r="BB13" s="288"/>
      <c r="BC13" s="288"/>
      <c r="BD13" s="288"/>
      <c r="BE13" s="288"/>
      <c r="BF13" s="288"/>
      <c r="BG13" s="288"/>
      <c r="BH13" s="288"/>
      <c r="BI13" s="10"/>
      <c r="BJ13" s="11"/>
    </row>
    <row r="14" spans="1:64" s="8" customFormat="1">
      <c r="A14" s="9"/>
      <c r="B14" s="117"/>
      <c r="C14" s="118"/>
      <c r="D14" s="118"/>
      <c r="E14" s="118"/>
      <c r="F14" s="118"/>
      <c r="G14" s="118"/>
      <c r="H14" s="118"/>
      <c r="I14" s="118"/>
      <c r="J14" s="117"/>
      <c r="K14" s="118"/>
      <c r="L14" s="118"/>
      <c r="M14" s="118"/>
      <c r="N14" s="118"/>
      <c r="O14" s="118"/>
      <c r="P14" s="118"/>
      <c r="Q14" s="119"/>
      <c r="R14" s="116">
        <v>3</v>
      </c>
      <c r="S14" s="36" t="s">
        <v>1068</v>
      </c>
      <c r="T14" s="37"/>
      <c r="U14" s="37"/>
      <c r="V14" s="37"/>
      <c r="W14" s="37"/>
      <c r="X14" s="37"/>
      <c r="Y14" s="37"/>
      <c r="Z14" s="37"/>
      <c r="AA14" s="37"/>
      <c r="AB14" s="37"/>
      <c r="AC14" s="37"/>
      <c r="AD14" s="37"/>
      <c r="AE14" s="38"/>
      <c r="AF14" s="284" t="s">
        <v>492</v>
      </c>
      <c r="AG14" s="286"/>
      <c r="AH14" s="45"/>
      <c r="AI14" s="46"/>
      <c r="AJ14" s="333" t="s">
        <v>131</v>
      </c>
      <c r="AK14" s="358"/>
      <c r="AL14" s="358"/>
      <c r="AM14" s="358"/>
      <c r="AN14" s="358"/>
      <c r="AO14" s="358"/>
      <c r="AP14" s="358"/>
      <c r="AQ14" s="359"/>
      <c r="AR14" s="287" t="s">
        <v>1069</v>
      </c>
      <c r="AS14" s="287"/>
      <c r="AT14" s="287"/>
      <c r="AU14" s="287"/>
      <c r="AV14" s="287"/>
      <c r="AW14" s="287"/>
      <c r="AX14" s="287"/>
      <c r="AY14" s="287"/>
      <c r="AZ14" s="288"/>
      <c r="BA14" s="288"/>
      <c r="BB14" s="288"/>
      <c r="BC14" s="288"/>
      <c r="BD14" s="288"/>
      <c r="BE14" s="288"/>
      <c r="BF14" s="288"/>
      <c r="BG14" s="288"/>
      <c r="BH14" s="288"/>
      <c r="BI14" s="10"/>
      <c r="BJ14" s="11"/>
    </row>
    <row r="15" spans="1:64" s="8" customFormat="1">
      <c r="A15" s="9"/>
      <c r="B15" s="117"/>
      <c r="C15" s="118"/>
      <c r="D15" s="118"/>
      <c r="E15" s="118"/>
      <c r="F15" s="118"/>
      <c r="G15" s="118"/>
      <c r="H15" s="118"/>
      <c r="I15" s="118"/>
      <c r="J15" s="117"/>
      <c r="K15" s="118"/>
      <c r="L15" s="118"/>
      <c r="M15" s="118"/>
      <c r="N15" s="118"/>
      <c r="O15" s="118"/>
      <c r="P15" s="118"/>
      <c r="Q15" s="119"/>
      <c r="R15" s="116">
        <v>4</v>
      </c>
      <c r="S15" s="36" t="s">
        <v>1070</v>
      </c>
      <c r="T15" s="37"/>
      <c r="U15" s="37"/>
      <c r="V15" s="37"/>
      <c r="W15" s="37"/>
      <c r="X15" s="37"/>
      <c r="Y15" s="37"/>
      <c r="Z15" s="37"/>
      <c r="AA15" s="37"/>
      <c r="AB15" s="37"/>
      <c r="AC15" s="37"/>
      <c r="AD15" s="37"/>
      <c r="AE15" s="38"/>
      <c r="AF15" s="284" t="s">
        <v>492</v>
      </c>
      <c r="AG15" s="286"/>
      <c r="AH15" s="45"/>
      <c r="AI15" s="46"/>
      <c r="AJ15" s="333" t="s">
        <v>131</v>
      </c>
      <c r="AK15" s="358"/>
      <c r="AL15" s="358"/>
      <c r="AM15" s="358"/>
      <c r="AN15" s="358"/>
      <c r="AO15" s="358"/>
      <c r="AP15" s="358"/>
      <c r="AQ15" s="359"/>
      <c r="AR15" s="287" t="s">
        <v>1069</v>
      </c>
      <c r="AS15" s="287"/>
      <c r="AT15" s="287"/>
      <c r="AU15" s="287"/>
      <c r="AV15" s="287"/>
      <c r="AW15" s="287"/>
      <c r="AX15" s="287"/>
      <c r="AY15" s="287"/>
      <c r="AZ15" s="288"/>
      <c r="BA15" s="288"/>
      <c r="BB15" s="288"/>
      <c r="BC15" s="288"/>
      <c r="BD15" s="288"/>
      <c r="BE15" s="288"/>
      <c r="BF15" s="288"/>
      <c r="BG15" s="288"/>
      <c r="BH15" s="288"/>
      <c r="BI15" s="10"/>
      <c r="BJ15" s="11"/>
    </row>
    <row r="16" spans="1:64" s="8" customFormat="1">
      <c r="A16" s="9"/>
      <c r="B16" s="117"/>
      <c r="C16" s="118"/>
      <c r="D16" s="118"/>
      <c r="E16" s="118"/>
      <c r="F16" s="118"/>
      <c r="G16" s="118"/>
      <c r="H16" s="118"/>
      <c r="I16" s="119"/>
      <c r="J16" s="120"/>
      <c r="K16" s="121"/>
      <c r="L16" s="121"/>
      <c r="M16" s="121"/>
      <c r="N16" s="121"/>
      <c r="O16" s="121"/>
      <c r="P16" s="121"/>
      <c r="Q16" s="122"/>
      <c r="R16" s="116">
        <v>5</v>
      </c>
      <c r="S16" s="36" t="s">
        <v>1071</v>
      </c>
      <c r="T16" s="37"/>
      <c r="U16" s="37"/>
      <c r="V16" s="37"/>
      <c r="W16" s="37"/>
      <c r="X16" s="37"/>
      <c r="Y16" s="37"/>
      <c r="Z16" s="37"/>
      <c r="AA16" s="37"/>
      <c r="AB16" s="37"/>
      <c r="AC16" s="37"/>
      <c r="AD16" s="37"/>
      <c r="AE16" s="38"/>
      <c r="AF16" s="284" t="s">
        <v>492</v>
      </c>
      <c r="AG16" s="286"/>
      <c r="AH16" s="45"/>
      <c r="AI16" s="46"/>
      <c r="AJ16" s="333" t="s">
        <v>131</v>
      </c>
      <c r="AK16" s="358"/>
      <c r="AL16" s="358"/>
      <c r="AM16" s="358"/>
      <c r="AN16" s="358"/>
      <c r="AO16" s="358"/>
      <c r="AP16" s="358"/>
      <c r="AQ16" s="359"/>
      <c r="AR16" s="287" t="s">
        <v>1072</v>
      </c>
      <c r="AS16" s="287"/>
      <c r="AT16" s="287"/>
      <c r="AU16" s="287"/>
      <c r="AV16" s="287"/>
      <c r="AW16" s="287"/>
      <c r="AX16" s="287"/>
      <c r="AY16" s="287"/>
      <c r="AZ16" s="288"/>
      <c r="BA16" s="288"/>
      <c r="BB16" s="288"/>
      <c r="BC16" s="288"/>
      <c r="BD16" s="288"/>
      <c r="BE16" s="288"/>
      <c r="BF16" s="288"/>
      <c r="BG16" s="288"/>
      <c r="BH16" s="288"/>
      <c r="BI16" s="10"/>
      <c r="BJ16" s="11"/>
    </row>
    <row r="17" spans="1:62" s="8" customFormat="1">
      <c r="A17" s="9"/>
      <c r="B17" s="117"/>
      <c r="C17" s="118"/>
      <c r="D17" s="118"/>
      <c r="E17" s="118"/>
      <c r="F17" s="118"/>
      <c r="G17" s="118"/>
      <c r="H17" s="118"/>
      <c r="I17" s="119"/>
      <c r="J17" s="113" t="s">
        <v>1073</v>
      </c>
      <c r="K17" s="114"/>
      <c r="L17" s="114"/>
      <c r="M17" s="114"/>
      <c r="N17" s="114"/>
      <c r="O17" s="114"/>
      <c r="P17" s="114"/>
      <c r="Q17" s="115"/>
      <c r="R17" s="116">
        <v>1</v>
      </c>
      <c r="S17" s="36" t="s">
        <v>1074</v>
      </c>
      <c r="T17" s="37"/>
      <c r="U17" s="37"/>
      <c r="V17" s="37"/>
      <c r="W17" s="37"/>
      <c r="X17" s="37"/>
      <c r="Y17" s="37"/>
      <c r="Z17" s="37"/>
      <c r="AA17" s="37"/>
      <c r="AB17" s="37"/>
      <c r="AC17" s="37"/>
      <c r="AD17" s="37"/>
      <c r="AE17" s="38"/>
      <c r="AF17" s="284" t="s">
        <v>492</v>
      </c>
      <c r="AG17" s="286"/>
      <c r="AH17" s="284"/>
      <c r="AI17" s="286"/>
      <c r="AJ17" s="333" t="s">
        <v>662</v>
      </c>
      <c r="AK17" s="358"/>
      <c r="AL17" s="358"/>
      <c r="AM17" s="358"/>
      <c r="AN17" s="358"/>
      <c r="AO17" s="358"/>
      <c r="AP17" s="358"/>
      <c r="AQ17" s="359"/>
      <c r="AR17" s="287" t="s">
        <v>201</v>
      </c>
      <c r="AS17" s="287"/>
      <c r="AT17" s="287"/>
      <c r="AU17" s="287"/>
      <c r="AV17" s="287"/>
      <c r="AW17" s="287"/>
      <c r="AX17" s="287"/>
      <c r="AY17" s="287"/>
      <c r="AZ17" s="288"/>
      <c r="BA17" s="288"/>
      <c r="BB17" s="288"/>
      <c r="BC17" s="288"/>
      <c r="BD17" s="288"/>
      <c r="BE17" s="288"/>
      <c r="BF17" s="288"/>
      <c r="BG17" s="288"/>
      <c r="BH17" s="288"/>
      <c r="BI17" s="10"/>
      <c r="BJ17" s="11"/>
    </row>
    <row r="18" spans="1:62" s="8" customFormat="1">
      <c r="A18" s="9"/>
      <c r="B18" s="120"/>
      <c r="C18" s="121"/>
      <c r="D18" s="121"/>
      <c r="E18" s="121"/>
      <c r="F18" s="121"/>
      <c r="G18" s="121"/>
      <c r="H18" s="121"/>
      <c r="I18" s="122"/>
      <c r="J18" s="120"/>
      <c r="K18" s="121"/>
      <c r="L18" s="121"/>
      <c r="M18" s="121"/>
      <c r="N18" s="121"/>
      <c r="O18" s="121"/>
      <c r="P18" s="121"/>
      <c r="Q18" s="122"/>
      <c r="R18" s="116">
        <v>2</v>
      </c>
      <c r="S18" s="36" t="s">
        <v>1075</v>
      </c>
      <c r="T18" s="37"/>
      <c r="U18" s="37"/>
      <c r="V18" s="37"/>
      <c r="W18" s="37"/>
      <c r="X18" s="37"/>
      <c r="Y18" s="37"/>
      <c r="Z18" s="37"/>
      <c r="AA18" s="37"/>
      <c r="AB18" s="37"/>
      <c r="AC18" s="37"/>
      <c r="AD18" s="37"/>
      <c r="AE18" s="38"/>
      <c r="AF18" s="284" t="s">
        <v>492</v>
      </c>
      <c r="AG18" s="286"/>
      <c r="AH18" s="284"/>
      <c r="AI18" s="286"/>
      <c r="AJ18" s="333" t="s">
        <v>131</v>
      </c>
      <c r="AK18" s="358"/>
      <c r="AL18" s="358"/>
      <c r="AM18" s="358"/>
      <c r="AN18" s="358"/>
      <c r="AO18" s="358"/>
      <c r="AP18" s="358"/>
      <c r="AQ18" s="359"/>
      <c r="AR18" s="287" t="s">
        <v>1076</v>
      </c>
      <c r="AS18" s="287"/>
      <c r="AT18" s="287"/>
      <c r="AU18" s="287"/>
      <c r="AV18" s="287"/>
      <c r="AW18" s="287"/>
      <c r="AX18" s="287"/>
      <c r="AY18" s="287"/>
      <c r="AZ18" s="288"/>
      <c r="BA18" s="288"/>
      <c r="BB18" s="288"/>
      <c r="BC18" s="288"/>
      <c r="BD18" s="288"/>
      <c r="BE18" s="288"/>
      <c r="BF18" s="288"/>
      <c r="BG18" s="288"/>
      <c r="BH18" s="288"/>
      <c r="BI18" s="10"/>
      <c r="BJ18" s="11"/>
    </row>
    <row r="19" spans="1:62" s="8" customFormat="1">
      <c r="A19" s="9"/>
      <c r="B19" s="40" t="s">
        <v>1077</v>
      </c>
      <c r="C19" s="39"/>
      <c r="D19" s="39"/>
      <c r="E19" s="39"/>
      <c r="F19" s="39"/>
      <c r="G19" s="39"/>
      <c r="H19" s="39"/>
      <c r="I19" s="39"/>
      <c r="J19" s="39"/>
      <c r="K19" s="39"/>
      <c r="L19" s="39"/>
      <c r="M19" s="39"/>
      <c r="N19" s="39"/>
      <c r="O19" s="39"/>
      <c r="P19" s="39"/>
      <c r="Q19" s="39"/>
      <c r="R19" s="27"/>
      <c r="S19" s="27"/>
      <c r="T19" s="27"/>
      <c r="U19" s="27"/>
      <c r="V19" s="27"/>
      <c r="W19" s="27"/>
      <c r="X19" s="27"/>
      <c r="Y19" s="27"/>
      <c r="Z19" s="27"/>
      <c r="AA19" s="27"/>
      <c r="AB19" s="27"/>
      <c r="AC19" s="27"/>
      <c r="AD19" s="27"/>
      <c r="AE19" s="27"/>
      <c r="AF19" s="368"/>
      <c r="AG19" s="368"/>
      <c r="AH19" s="368"/>
      <c r="AI19" s="368"/>
      <c r="AJ19" s="368"/>
      <c r="AK19" s="368"/>
      <c r="AL19" s="368"/>
      <c r="AM19" s="368"/>
      <c r="AN19" s="368"/>
      <c r="AO19" s="368"/>
      <c r="AP19" s="53"/>
      <c r="AQ19" s="53"/>
      <c r="AR19" s="368"/>
      <c r="AS19" s="368"/>
      <c r="AT19" s="368"/>
      <c r="AU19" s="368"/>
      <c r="AV19" s="368"/>
      <c r="AW19" s="368"/>
      <c r="AX19" s="368"/>
      <c r="AY19" s="386"/>
      <c r="AZ19" s="380"/>
      <c r="BA19" s="381"/>
      <c r="BB19" s="381"/>
      <c r="BC19" s="381"/>
      <c r="BD19" s="381"/>
      <c r="BE19" s="381"/>
      <c r="BF19" s="381"/>
      <c r="BG19" s="381"/>
      <c r="BH19" s="382"/>
      <c r="BI19" s="10"/>
      <c r="BJ19" s="11"/>
    </row>
    <row r="20" spans="1:62" s="8" customFormat="1">
      <c r="A20" s="9"/>
      <c r="B20" s="113" t="s">
        <v>1077</v>
      </c>
      <c r="C20" s="114"/>
      <c r="D20" s="114"/>
      <c r="E20" s="114"/>
      <c r="F20" s="114"/>
      <c r="G20" s="114"/>
      <c r="H20" s="114"/>
      <c r="I20" s="115"/>
      <c r="J20" s="113" t="s">
        <v>1078</v>
      </c>
      <c r="K20" s="114"/>
      <c r="L20" s="114"/>
      <c r="M20" s="114"/>
      <c r="N20" s="114"/>
      <c r="O20" s="114"/>
      <c r="P20" s="114"/>
      <c r="Q20" s="115"/>
      <c r="R20" s="116">
        <v>1</v>
      </c>
      <c r="S20" s="36" t="s">
        <v>1079</v>
      </c>
      <c r="T20" s="37"/>
      <c r="U20" s="37"/>
      <c r="V20" s="37"/>
      <c r="W20" s="37"/>
      <c r="X20" s="37"/>
      <c r="Y20" s="37"/>
      <c r="Z20" s="37"/>
      <c r="AA20" s="37"/>
      <c r="AB20" s="37"/>
      <c r="AC20" s="37"/>
      <c r="AD20" s="37"/>
      <c r="AE20" s="38"/>
      <c r="AF20" s="284" t="s">
        <v>492</v>
      </c>
      <c r="AG20" s="286"/>
      <c r="AH20" s="284"/>
      <c r="AI20" s="286"/>
      <c r="AJ20" s="333" t="s">
        <v>662</v>
      </c>
      <c r="AK20" s="358"/>
      <c r="AL20" s="358"/>
      <c r="AM20" s="358"/>
      <c r="AN20" s="358"/>
      <c r="AO20" s="358"/>
      <c r="AP20" s="358"/>
      <c r="AQ20" s="359"/>
      <c r="AR20" s="287" t="s">
        <v>201</v>
      </c>
      <c r="AS20" s="287"/>
      <c r="AT20" s="287"/>
      <c r="AU20" s="287"/>
      <c r="AV20" s="287"/>
      <c r="AW20" s="287"/>
      <c r="AX20" s="287"/>
      <c r="AY20" s="287"/>
      <c r="AZ20" s="288"/>
      <c r="BA20" s="288"/>
      <c r="BB20" s="288"/>
      <c r="BC20" s="288"/>
      <c r="BD20" s="288"/>
      <c r="BE20" s="288"/>
      <c r="BF20" s="288"/>
      <c r="BG20" s="288"/>
      <c r="BH20" s="288"/>
      <c r="BI20" s="10"/>
      <c r="BJ20" s="11"/>
    </row>
    <row r="21" spans="1:62" s="8" customFormat="1" ht="14.45" customHeight="1">
      <c r="A21" s="9"/>
      <c r="B21" s="117"/>
      <c r="C21" s="118"/>
      <c r="D21" s="118"/>
      <c r="E21" s="118"/>
      <c r="F21" s="118"/>
      <c r="G21" s="118"/>
      <c r="H21" s="118"/>
      <c r="I21" s="119"/>
      <c r="J21" s="120"/>
      <c r="K21" s="121"/>
      <c r="L21" s="121"/>
      <c r="M21" s="121"/>
      <c r="N21" s="121"/>
      <c r="O21" s="121"/>
      <c r="P21" s="121"/>
      <c r="Q21" s="122"/>
      <c r="R21" s="116">
        <v>2</v>
      </c>
      <c r="S21" s="36" t="s">
        <v>1080</v>
      </c>
      <c r="T21" s="37"/>
      <c r="U21" s="37"/>
      <c r="V21" s="37"/>
      <c r="W21" s="37"/>
      <c r="X21" s="37"/>
      <c r="Y21" s="37"/>
      <c r="Z21" s="37"/>
      <c r="AA21" s="37"/>
      <c r="AB21" s="37"/>
      <c r="AC21" s="37"/>
      <c r="AD21" s="37"/>
      <c r="AE21" s="38"/>
      <c r="AF21" s="284" t="s">
        <v>492</v>
      </c>
      <c r="AG21" s="286"/>
      <c r="AH21" s="45"/>
      <c r="AI21" s="46"/>
      <c r="AJ21" s="333" t="s">
        <v>131</v>
      </c>
      <c r="AK21" s="358"/>
      <c r="AL21" s="358"/>
      <c r="AM21" s="358"/>
      <c r="AN21" s="358"/>
      <c r="AO21" s="358"/>
      <c r="AP21" s="358"/>
      <c r="AQ21" s="359"/>
      <c r="AR21" s="287" t="s">
        <v>1081</v>
      </c>
      <c r="AS21" s="287"/>
      <c r="AT21" s="287"/>
      <c r="AU21" s="287"/>
      <c r="AV21" s="287"/>
      <c r="AW21" s="287"/>
      <c r="AX21" s="287"/>
      <c r="AY21" s="287"/>
      <c r="AZ21" s="288"/>
      <c r="BA21" s="288"/>
      <c r="BB21" s="288"/>
      <c r="BC21" s="288"/>
      <c r="BD21" s="288"/>
      <c r="BE21" s="288"/>
      <c r="BF21" s="288"/>
      <c r="BG21" s="288"/>
      <c r="BH21" s="288"/>
      <c r="BI21" s="10"/>
      <c r="BJ21" s="11"/>
    </row>
    <row r="22" spans="1:62" s="8" customFormat="1">
      <c r="A22" s="9"/>
      <c r="B22" s="120"/>
      <c r="C22" s="121"/>
      <c r="D22" s="121"/>
      <c r="E22" s="121"/>
      <c r="F22" s="121"/>
      <c r="G22" s="121"/>
      <c r="H22" s="121"/>
      <c r="I22" s="122"/>
      <c r="J22" s="123" t="s">
        <v>1082</v>
      </c>
      <c r="K22" s="114"/>
      <c r="L22" s="114"/>
      <c r="M22" s="114"/>
      <c r="N22" s="114"/>
      <c r="O22" s="114"/>
      <c r="P22" s="114"/>
      <c r="Q22" s="114"/>
      <c r="R22" s="116">
        <v>1</v>
      </c>
      <c r="S22" s="36" t="s">
        <v>1083</v>
      </c>
      <c r="T22" s="37"/>
      <c r="U22" s="37"/>
      <c r="V22" s="37"/>
      <c r="W22" s="37"/>
      <c r="X22" s="37"/>
      <c r="Y22" s="37"/>
      <c r="Z22" s="37"/>
      <c r="AA22" s="37"/>
      <c r="AB22" s="37"/>
      <c r="AC22" s="37"/>
      <c r="AD22" s="37"/>
      <c r="AE22" s="38"/>
      <c r="AF22" s="284" t="s">
        <v>492</v>
      </c>
      <c r="AG22" s="286"/>
      <c r="AH22" s="284"/>
      <c r="AI22" s="286"/>
      <c r="AJ22" s="333" t="s">
        <v>131</v>
      </c>
      <c r="AK22" s="358"/>
      <c r="AL22" s="358"/>
      <c r="AM22" s="358"/>
      <c r="AN22" s="358"/>
      <c r="AO22" s="358"/>
      <c r="AP22" s="358"/>
      <c r="AQ22" s="359"/>
      <c r="AR22" s="287" t="s">
        <v>1084</v>
      </c>
      <c r="AS22" s="287"/>
      <c r="AT22" s="287"/>
      <c r="AU22" s="287"/>
      <c r="AV22" s="287"/>
      <c r="AW22" s="287"/>
      <c r="AX22" s="287"/>
      <c r="AY22" s="287"/>
      <c r="AZ22" s="288"/>
      <c r="BA22" s="288"/>
      <c r="BB22" s="288"/>
      <c r="BC22" s="288"/>
      <c r="BD22" s="288"/>
      <c r="BE22" s="288"/>
      <c r="BF22" s="288"/>
      <c r="BG22" s="288"/>
      <c r="BH22" s="288"/>
      <c r="BI22" s="10"/>
      <c r="BJ22" s="11"/>
    </row>
    <row r="23" spans="1:62" s="8" customFormat="1">
      <c r="A23" s="9"/>
      <c r="B23" s="40" t="s">
        <v>1085</v>
      </c>
      <c r="C23" s="39"/>
      <c r="D23" s="39"/>
      <c r="E23" s="39"/>
      <c r="F23" s="39"/>
      <c r="G23" s="39"/>
      <c r="H23" s="39"/>
      <c r="I23" s="39"/>
      <c r="J23" s="39"/>
      <c r="K23" s="39"/>
      <c r="L23" s="39"/>
      <c r="M23" s="39"/>
      <c r="N23" s="39"/>
      <c r="O23" s="39"/>
      <c r="P23" s="39"/>
      <c r="Q23" s="39"/>
      <c r="R23" s="27"/>
      <c r="S23" s="27"/>
      <c r="T23" s="27"/>
      <c r="U23" s="27"/>
      <c r="V23" s="27"/>
      <c r="W23" s="27"/>
      <c r="X23" s="27"/>
      <c r="Y23" s="27"/>
      <c r="Z23" s="27"/>
      <c r="AA23" s="27"/>
      <c r="AB23" s="27"/>
      <c r="AC23" s="27"/>
      <c r="AD23" s="27"/>
      <c r="AE23" s="27"/>
      <c r="AF23" s="368"/>
      <c r="AG23" s="368"/>
      <c r="AH23" s="368"/>
      <c r="AI23" s="368"/>
      <c r="AJ23" s="368"/>
      <c r="AK23" s="368"/>
      <c r="AL23" s="368"/>
      <c r="AM23" s="368"/>
      <c r="AN23" s="368"/>
      <c r="AO23" s="368"/>
      <c r="AP23" s="53"/>
      <c r="AQ23" s="53"/>
      <c r="AR23" s="368"/>
      <c r="AS23" s="368"/>
      <c r="AT23" s="368"/>
      <c r="AU23" s="368"/>
      <c r="AV23" s="368"/>
      <c r="AW23" s="368"/>
      <c r="AX23" s="368"/>
      <c r="AY23" s="386"/>
      <c r="AZ23" s="380"/>
      <c r="BA23" s="381"/>
      <c r="BB23" s="381"/>
      <c r="BC23" s="381"/>
      <c r="BD23" s="381"/>
      <c r="BE23" s="381"/>
      <c r="BF23" s="381"/>
      <c r="BG23" s="381"/>
      <c r="BH23" s="382"/>
      <c r="BI23" s="10"/>
      <c r="BJ23" s="11"/>
    </row>
    <row r="24" spans="1:62" s="8" customFormat="1" ht="14.45" customHeight="1">
      <c r="A24" s="9"/>
      <c r="B24" s="113" t="s">
        <v>1085</v>
      </c>
      <c r="C24" s="114"/>
      <c r="D24" s="114"/>
      <c r="E24" s="114"/>
      <c r="F24" s="114"/>
      <c r="G24" s="114"/>
      <c r="H24" s="114"/>
      <c r="I24" s="115"/>
      <c r="J24" s="29" t="s">
        <v>1086</v>
      </c>
      <c r="K24" s="30"/>
      <c r="L24" s="30"/>
      <c r="M24" s="30"/>
      <c r="N24" s="30"/>
      <c r="O24" s="30"/>
      <c r="P24" s="30"/>
      <c r="Q24" s="31"/>
      <c r="R24" s="38">
        <v>1</v>
      </c>
      <c r="S24" s="36" t="s">
        <v>491</v>
      </c>
      <c r="T24" s="37"/>
      <c r="U24" s="37"/>
      <c r="V24" s="37"/>
      <c r="W24" s="37"/>
      <c r="X24" s="37"/>
      <c r="Y24" s="37"/>
      <c r="Z24" s="37"/>
      <c r="AA24" s="37"/>
      <c r="AB24" s="37"/>
      <c r="AC24" s="37"/>
      <c r="AD24" s="37"/>
      <c r="AE24" s="38"/>
      <c r="AF24" s="284" t="s">
        <v>492</v>
      </c>
      <c r="AG24" s="286"/>
      <c r="AH24" s="284"/>
      <c r="AI24" s="286"/>
      <c r="AJ24" s="333" t="s">
        <v>1087</v>
      </c>
      <c r="AK24" s="358"/>
      <c r="AL24" s="358"/>
      <c r="AM24" s="358"/>
      <c r="AN24" s="358"/>
      <c r="AO24" s="358"/>
      <c r="AP24" s="358"/>
      <c r="AQ24" s="359"/>
      <c r="AR24" s="284" t="s">
        <v>143</v>
      </c>
      <c r="AS24" s="285"/>
      <c r="AT24" s="285"/>
      <c r="AU24" s="285"/>
      <c r="AV24" s="285"/>
      <c r="AW24" s="285"/>
      <c r="AX24" s="285"/>
      <c r="AY24" s="286"/>
      <c r="AZ24" s="377" t="s">
        <v>494</v>
      </c>
      <c r="BA24" s="288"/>
      <c r="BB24" s="288"/>
      <c r="BC24" s="288"/>
      <c r="BD24" s="288"/>
      <c r="BE24" s="288"/>
      <c r="BF24" s="288"/>
      <c r="BG24" s="288"/>
      <c r="BH24" s="288"/>
      <c r="BI24" s="10"/>
      <c r="BJ24" s="11"/>
    </row>
    <row r="25" spans="1:62" s="8" customFormat="1" ht="14.45" customHeight="1">
      <c r="A25" s="9"/>
      <c r="B25" s="117"/>
      <c r="C25" s="118"/>
      <c r="D25" s="118"/>
      <c r="E25" s="118"/>
      <c r="F25" s="118"/>
      <c r="G25" s="118"/>
      <c r="H25" s="118"/>
      <c r="I25" s="119"/>
      <c r="J25" s="33"/>
      <c r="K25" s="42"/>
      <c r="L25" s="42"/>
      <c r="M25" s="42"/>
      <c r="N25" s="42"/>
      <c r="O25" s="42"/>
      <c r="P25" s="42"/>
      <c r="Q25" s="10"/>
      <c r="R25" s="38">
        <v>2</v>
      </c>
      <c r="S25" s="36" t="s">
        <v>495</v>
      </c>
      <c r="T25" s="37"/>
      <c r="U25" s="37"/>
      <c r="V25" s="37"/>
      <c r="W25" s="37"/>
      <c r="X25" s="37"/>
      <c r="Y25" s="37"/>
      <c r="Z25" s="37"/>
      <c r="AA25" s="37"/>
      <c r="AB25" s="37"/>
      <c r="AC25" s="37"/>
      <c r="AD25" s="37"/>
      <c r="AE25" s="38"/>
      <c r="AF25" s="284" t="s">
        <v>492</v>
      </c>
      <c r="AG25" s="286"/>
      <c r="AH25" s="284"/>
      <c r="AI25" s="286"/>
      <c r="AJ25" s="333" t="s">
        <v>1087</v>
      </c>
      <c r="AK25" s="358"/>
      <c r="AL25" s="358"/>
      <c r="AM25" s="358"/>
      <c r="AN25" s="358"/>
      <c r="AO25" s="358"/>
      <c r="AP25" s="358"/>
      <c r="AQ25" s="359"/>
      <c r="AR25" s="284" t="s">
        <v>143</v>
      </c>
      <c r="AS25" s="285"/>
      <c r="AT25" s="285"/>
      <c r="AU25" s="285"/>
      <c r="AV25" s="285"/>
      <c r="AW25" s="285"/>
      <c r="AX25" s="285"/>
      <c r="AY25" s="286"/>
      <c r="AZ25" s="377" t="s">
        <v>494</v>
      </c>
      <c r="BA25" s="288"/>
      <c r="BB25" s="288"/>
      <c r="BC25" s="288"/>
      <c r="BD25" s="288"/>
      <c r="BE25" s="288"/>
      <c r="BF25" s="288"/>
      <c r="BG25" s="288"/>
      <c r="BH25" s="288"/>
      <c r="BI25" s="10"/>
      <c r="BJ25" s="11"/>
    </row>
    <row r="26" spans="1:62" s="8" customFormat="1" ht="14.45" customHeight="1">
      <c r="A26" s="9"/>
      <c r="B26" s="117"/>
      <c r="C26" s="118"/>
      <c r="D26" s="118"/>
      <c r="E26" s="118"/>
      <c r="F26" s="118"/>
      <c r="G26" s="118"/>
      <c r="H26" s="118"/>
      <c r="I26" s="119"/>
      <c r="J26" s="12"/>
      <c r="K26" s="34"/>
      <c r="L26" s="34"/>
      <c r="M26" s="34"/>
      <c r="N26" s="34"/>
      <c r="O26" s="34"/>
      <c r="P26" s="34"/>
      <c r="Q26" s="35"/>
      <c r="R26" s="38">
        <v>3</v>
      </c>
      <c r="S26" s="36" t="s">
        <v>1088</v>
      </c>
      <c r="T26" s="37"/>
      <c r="U26" s="37"/>
      <c r="V26" s="37"/>
      <c r="W26" s="37"/>
      <c r="X26" s="37"/>
      <c r="Y26" s="37"/>
      <c r="Z26" s="37"/>
      <c r="AA26" s="37"/>
      <c r="AB26" s="37"/>
      <c r="AC26" s="37"/>
      <c r="AD26" s="37"/>
      <c r="AE26" s="38"/>
      <c r="AF26" s="284" t="s">
        <v>492</v>
      </c>
      <c r="AG26" s="286"/>
      <c r="AH26" s="284"/>
      <c r="AI26" s="286"/>
      <c r="AJ26" s="333" t="s">
        <v>131</v>
      </c>
      <c r="AK26" s="358"/>
      <c r="AL26" s="358"/>
      <c r="AM26" s="358"/>
      <c r="AN26" s="358"/>
      <c r="AO26" s="358"/>
      <c r="AP26" s="358"/>
      <c r="AQ26" s="359"/>
      <c r="AR26" s="284" t="s">
        <v>1089</v>
      </c>
      <c r="AS26" s="285"/>
      <c r="AT26" s="285"/>
      <c r="AU26" s="285"/>
      <c r="AV26" s="285"/>
      <c r="AW26" s="285"/>
      <c r="AX26" s="285"/>
      <c r="AY26" s="286"/>
      <c r="AZ26" s="377"/>
      <c r="BA26" s="288"/>
      <c r="BB26" s="288"/>
      <c r="BC26" s="288"/>
      <c r="BD26" s="288"/>
      <c r="BE26" s="288"/>
      <c r="BF26" s="288"/>
      <c r="BG26" s="288"/>
      <c r="BH26" s="288"/>
      <c r="BI26" s="10"/>
      <c r="BJ26" s="11"/>
    </row>
    <row r="27" spans="1:62" s="8" customFormat="1" ht="14.45" customHeight="1">
      <c r="A27" s="9"/>
      <c r="B27" s="124"/>
      <c r="C27" s="125"/>
      <c r="D27" s="125"/>
      <c r="E27" s="125"/>
      <c r="F27" s="125"/>
      <c r="G27" s="125"/>
      <c r="H27" s="125"/>
      <c r="I27" s="126"/>
      <c r="J27" s="127" t="s">
        <v>1090</v>
      </c>
      <c r="K27" s="128"/>
      <c r="L27" s="128"/>
      <c r="M27" s="128"/>
      <c r="N27" s="128"/>
      <c r="O27" s="128"/>
      <c r="P27" s="128"/>
      <c r="Q27" s="129"/>
      <c r="R27" s="129">
        <v>1</v>
      </c>
      <c r="S27" s="130" t="s">
        <v>1091</v>
      </c>
      <c r="T27" s="128"/>
      <c r="U27" s="128"/>
      <c r="V27" s="128"/>
      <c r="W27" s="128"/>
      <c r="X27" s="128"/>
      <c r="Y27" s="128"/>
      <c r="Z27" s="128"/>
      <c r="AA27" s="128"/>
      <c r="AB27" s="128"/>
      <c r="AC27" s="128"/>
      <c r="AD27" s="128"/>
      <c r="AE27" s="129"/>
      <c r="AF27" s="326" t="s">
        <v>492</v>
      </c>
      <c r="AG27" s="328"/>
      <c r="AH27" s="326"/>
      <c r="AI27" s="328"/>
      <c r="AJ27" s="329" t="s">
        <v>131</v>
      </c>
      <c r="AK27" s="432"/>
      <c r="AL27" s="432"/>
      <c r="AM27" s="432"/>
      <c r="AN27" s="432"/>
      <c r="AO27" s="432"/>
      <c r="AP27" s="432"/>
      <c r="AQ27" s="433"/>
      <c r="AR27" s="326" t="s">
        <v>1092</v>
      </c>
      <c r="AS27" s="327"/>
      <c r="AT27" s="327"/>
      <c r="AU27" s="327"/>
      <c r="AV27" s="327"/>
      <c r="AW27" s="327"/>
      <c r="AX27" s="327"/>
      <c r="AY27" s="328"/>
      <c r="AZ27" s="357"/>
      <c r="BA27" s="337"/>
      <c r="BB27" s="337"/>
      <c r="BC27" s="337"/>
      <c r="BD27" s="337"/>
      <c r="BE27" s="337"/>
      <c r="BF27" s="337"/>
      <c r="BG27" s="337"/>
      <c r="BH27" s="337"/>
      <c r="BI27" s="10"/>
      <c r="BJ27" s="11"/>
    </row>
    <row r="28" spans="1:62" s="8" customFormat="1" ht="14.45" customHeight="1">
      <c r="A28" s="131"/>
      <c r="B28" s="123"/>
      <c r="C28" s="132"/>
      <c r="D28" s="132"/>
      <c r="E28" s="132"/>
      <c r="F28" s="132"/>
      <c r="G28" s="132"/>
      <c r="H28" s="132"/>
      <c r="I28" s="133"/>
      <c r="J28" s="50"/>
      <c r="K28" s="37"/>
      <c r="L28" s="37"/>
      <c r="M28" s="37"/>
      <c r="N28" s="37"/>
      <c r="O28" s="37"/>
      <c r="P28" s="37"/>
      <c r="Q28" s="38"/>
      <c r="R28" s="38"/>
      <c r="S28" s="36"/>
      <c r="T28" s="37"/>
      <c r="U28" s="37"/>
      <c r="V28" s="37"/>
      <c r="W28" s="37"/>
      <c r="X28" s="37"/>
      <c r="Y28" s="37"/>
      <c r="Z28" s="37"/>
      <c r="AA28" s="37"/>
      <c r="AB28" s="37"/>
      <c r="AC28" s="37"/>
      <c r="AD28" s="37"/>
      <c r="AE28" s="38"/>
      <c r="AF28" s="45"/>
      <c r="AG28" s="46"/>
      <c r="AH28" s="45"/>
      <c r="AI28" s="46"/>
      <c r="AJ28" s="333"/>
      <c r="AK28" s="358"/>
      <c r="AL28" s="358"/>
      <c r="AM28" s="358"/>
      <c r="AN28" s="358"/>
      <c r="AO28" s="358"/>
      <c r="AP28" s="358"/>
      <c r="AQ28" s="359"/>
      <c r="AR28" s="284"/>
      <c r="AS28" s="285"/>
      <c r="AT28" s="285"/>
      <c r="AU28" s="285"/>
      <c r="AV28" s="285"/>
      <c r="AW28" s="285"/>
      <c r="AX28" s="285"/>
      <c r="AY28" s="286"/>
      <c r="AZ28" s="377"/>
      <c r="BA28" s="288"/>
      <c r="BB28" s="288"/>
      <c r="BC28" s="288"/>
      <c r="BD28" s="288"/>
      <c r="BE28" s="288"/>
      <c r="BF28" s="288"/>
      <c r="BG28" s="288"/>
      <c r="BH28" s="288"/>
      <c r="BI28" s="10"/>
      <c r="BJ28" s="11"/>
    </row>
    <row r="29" spans="1:62" s="8" customFormat="1" ht="14.45" customHeight="1">
      <c r="A29" s="131"/>
      <c r="B29" s="123"/>
      <c r="C29" s="132"/>
      <c r="D29" s="132"/>
      <c r="E29" s="132"/>
      <c r="F29" s="132"/>
      <c r="G29" s="132"/>
      <c r="H29" s="132"/>
      <c r="I29" s="133"/>
      <c r="J29" s="50"/>
      <c r="K29" s="37"/>
      <c r="L29" s="37"/>
      <c r="M29" s="37"/>
      <c r="N29" s="37"/>
      <c r="O29" s="37"/>
      <c r="P29" s="37"/>
      <c r="Q29" s="38"/>
      <c r="R29" s="38"/>
      <c r="S29" s="36"/>
      <c r="T29" s="37"/>
      <c r="U29" s="37"/>
      <c r="V29" s="37"/>
      <c r="W29" s="37"/>
      <c r="X29" s="37"/>
      <c r="Y29" s="37"/>
      <c r="Z29" s="37"/>
      <c r="AA29" s="37"/>
      <c r="AB29" s="37"/>
      <c r="AC29" s="37"/>
      <c r="AD29" s="37"/>
      <c r="AE29" s="38"/>
      <c r="AF29" s="45"/>
      <c r="AG29" s="46"/>
      <c r="AH29" s="45"/>
      <c r="AI29" s="46"/>
      <c r="AJ29" s="333"/>
      <c r="AK29" s="358"/>
      <c r="AL29" s="358"/>
      <c r="AM29" s="358"/>
      <c r="AN29" s="358"/>
      <c r="AO29" s="358"/>
      <c r="AP29" s="358"/>
      <c r="AQ29" s="359"/>
      <c r="AR29" s="284"/>
      <c r="AS29" s="285"/>
      <c r="AT29" s="285"/>
      <c r="AU29" s="285"/>
      <c r="AV29" s="285"/>
      <c r="AW29" s="285"/>
      <c r="AX29" s="285"/>
      <c r="AY29" s="286"/>
      <c r="AZ29" s="377"/>
      <c r="BA29" s="288"/>
      <c r="BB29" s="288"/>
      <c r="BC29" s="288"/>
      <c r="BD29" s="288"/>
      <c r="BE29" s="288"/>
      <c r="BF29" s="288"/>
      <c r="BG29" s="288"/>
      <c r="BH29" s="288"/>
      <c r="BI29" s="10"/>
      <c r="BJ29" s="11"/>
    </row>
    <row r="30" spans="1:62" s="8" customFormat="1" ht="14.45" customHeight="1">
      <c r="A30" s="131"/>
      <c r="B30" s="123"/>
      <c r="C30" s="132"/>
      <c r="D30" s="132"/>
      <c r="E30" s="132"/>
      <c r="F30" s="132"/>
      <c r="G30" s="132"/>
      <c r="H30" s="132"/>
      <c r="I30" s="133"/>
      <c r="J30" s="50"/>
      <c r="K30" s="37"/>
      <c r="L30" s="37"/>
      <c r="M30" s="37"/>
      <c r="N30" s="37"/>
      <c r="O30" s="37"/>
      <c r="P30" s="37"/>
      <c r="Q30" s="38"/>
      <c r="R30" s="38"/>
      <c r="S30" s="36"/>
      <c r="T30" s="37"/>
      <c r="U30" s="37"/>
      <c r="V30" s="37"/>
      <c r="W30" s="37"/>
      <c r="X30" s="37"/>
      <c r="Y30" s="37"/>
      <c r="Z30" s="37"/>
      <c r="AA30" s="37"/>
      <c r="AB30" s="37"/>
      <c r="AC30" s="37"/>
      <c r="AD30" s="37"/>
      <c r="AE30" s="38"/>
      <c r="AF30" s="45"/>
      <c r="AG30" s="46"/>
      <c r="AH30" s="45"/>
      <c r="AI30" s="46"/>
      <c r="AJ30" s="333"/>
      <c r="AK30" s="358"/>
      <c r="AL30" s="358"/>
      <c r="AM30" s="358"/>
      <c r="AN30" s="358"/>
      <c r="AO30" s="358"/>
      <c r="AP30" s="358"/>
      <c r="AQ30" s="359"/>
      <c r="AR30" s="284"/>
      <c r="AS30" s="285"/>
      <c r="AT30" s="285"/>
      <c r="AU30" s="285"/>
      <c r="AV30" s="285"/>
      <c r="AW30" s="285"/>
      <c r="AX30" s="285"/>
      <c r="AY30" s="286"/>
      <c r="AZ30" s="377"/>
      <c r="BA30" s="288"/>
      <c r="BB30" s="288"/>
      <c r="BC30" s="288"/>
      <c r="BD30" s="288"/>
      <c r="BE30" s="288"/>
      <c r="BF30" s="288"/>
      <c r="BG30" s="288"/>
      <c r="BH30" s="288"/>
      <c r="BI30" s="10"/>
      <c r="BJ30" s="11"/>
    </row>
    <row r="31" spans="1:62" s="8" customFormat="1" ht="14.45" customHeight="1">
      <c r="A31" s="131"/>
      <c r="B31" s="123"/>
      <c r="C31" s="132"/>
      <c r="D31" s="132"/>
      <c r="E31" s="132"/>
      <c r="F31" s="132"/>
      <c r="G31" s="132"/>
      <c r="H31" s="132"/>
      <c r="I31" s="133"/>
      <c r="J31" s="50"/>
      <c r="K31" s="37"/>
      <c r="L31" s="37"/>
      <c r="M31" s="37"/>
      <c r="N31" s="37"/>
      <c r="O31" s="37"/>
      <c r="P31" s="37"/>
      <c r="Q31" s="38"/>
      <c r="R31" s="38"/>
      <c r="S31" s="36"/>
      <c r="T31" s="37"/>
      <c r="U31" s="37"/>
      <c r="V31" s="37"/>
      <c r="W31" s="37"/>
      <c r="X31" s="37"/>
      <c r="Y31" s="37"/>
      <c r="Z31" s="37"/>
      <c r="AA31" s="37"/>
      <c r="AB31" s="37"/>
      <c r="AC31" s="37"/>
      <c r="AD31" s="37"/>
      <c r="AE31" s="38"/>
      <c r="AF31" s="45"/>
      <c r="AG31" s="46"/>
      <c r="AH31" s="45"/>
      <c r="AI31" s="46"/>
      <c r="AJ31" s="333"/>
      <c r="AK31" s="358"/>
      <c r="AL31" s="358"/>
      <c r="AM31" s="358"/>
      <c r="AN31" s="358"/>
      <c r="AO31" s="358"/>
      <c r="AP31" s="358"/>
      <c r="AQ31" s="359"/>
      <c r="AR31" s="284"/>
      <c r="AS31" s="285"/>
      <c r="AT31" s="285"/>
      <c r="AU31" s="285"/>
      <c r="AV31" s="285"/>
      <c r="AW31" s="285"/>
      <c r="AX31" s="285"/>
      <c r="AY31" s="286"/>
      <c r="AZ31" s="377"/>
      <c r="BA31" s="288"/>
      <c r="BB31" s="288"/>
      <c r="BC31" s="288"/>
      <c r="BD31" s="288"/>
      <c r="BE31" s="288"/>
      <c r="BF31" s="288"/>
      <c r="BG31" s="288"/>
      <c r="BH31" s="288"/>
      <c r="BI31" s="10"/>
      <c r="BJ31" s="11"/>
    </row>
    <row r="32" spans="1:62" s="8" customFormat="1" ht="14.45" customHeight="1">
      <c r="A32" s="131"/>
      <c r="B32" s="123"/>
      <c r="C32" s="132"/>
      <c r="D32" s="132"/>
      <c r="E32" s="132"/>
      <c r="F32" s="132"/>
      <c r="G32" s="132"/>
      <c r="H32" s="132"/>
      <c r="I32" s="133"/>
      <c r="J32" s="50"/>
      <c r="K32" s="37"/>
      <c r="L32" s="37"/>
      <c r="M32" s="37"/>
      <c r="N32" s="37"/>
      <c r="O32" s="37"/>
      <c r="P32" s="37"/>
      <c r="Q32" s="38"/>
      <c r="R32" s="38"/>
      <c r="S32" s="36"/>
      <c r="T32" s="37"/>
      <c r="U32" s="37"/>
      <c r="V32" s="37"/>
      <c r="W32" s="37"/>
      <c r="X32" s="37"/>
      <c r="Y32" s="37"/>
      <c r="Z32" s="37"/>
      <c r="AA32" s="37"/>
      <c r="AB32" s="37"/>
      <c r="AC32" s="37"/>
      <c r="AD32" s="37"/>
      <c r="AE32" s="38"/>
      <c r="AF32" s="45"/>
      <c r="AG32" s="46"/>
      <c r="AH32" s="45"/>
      <c r="AI32" s="46"/>
      <c r="AJ32" s="333"/>
      <c r="AK32" s="358"/>
      <c r="AL32" s="358"/>
      <c r="AM32" s="358"/>
      <c r="AN32" s="358"/>
      <c r="AO32" s="358"/>
      <c r="AP32" s="358"/>
      <c r="AQ32" s="359"/>
      <c r="AR32" s="284"/>
      <c r="AS32" s="285"/>
      <c r="AT32" s="285"/>
      <c r="AU32" s="285"/>
      <c r="AV32" s="285"/>
      <c r="AW32" s="285"/>
      <c r="AX32" s="285"/>
      <c r="AY32" s="286"/>
      <c r="AZ32" s="377"/>
      <c r="BA32" s="288"/>
      <c r="BB32" s="288"/>
      <c r="BC32" s="288"/>
      <c r="BD32" s="288"/>
      <c r="BE32" s="288"/>
      <c r="BF32" s="288"/>
      <c r="BG32" s="288"/>
      <c r="BH32" s="288"/>
      <c r="BI32" s="10"/>
      <c r="BJ32" s="11"/>
    </row>
    <row r="33" spans="1:61" s="8" customForma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87"/>
      <c r="AG33" s="387"/>
      <c r="AH33" s="387"/>
      <c r="AI33" s="387"/>
      <c r="AJ33" s="387"/>
      <c r="AK33" s="387"/>
      <c r="AL33" s="387"/>
      <c r="AM33" s="387"/>
      <c r="AN33" s="387"/>
      <c r="AO33" s="387"/>
      <c r="AP33" s="52"/>
      <c r="AQ33" s="52"/>
      <c r="AR33" s="387"/>
      <c r="AS33" s="387"/>
      <c r="AT33" s="387"/>
      <c r="AU33" s="387"/>
      <c r="AV33" s="387"/>
      <c r="AW33" s="387"/>
      <c r="AX33" s="387"/>
      <c r="AY33" s="387"/>
      <c r="AZ33" s="295"/>
      <c r="BA33" s="295"/>
      <c r="BB33" s="295"/>
      <c r="BC33" s="295"/>
      <c r="BD33" s="295"/>
      <c r="BE33" s="295"/>
      <c r="BF33" s="295"/>
      <c r="BG33" s="295"/>
      <c r="BH33" s="295"/>
      <c r="BI33" s="14"/>
    </row>
    <row r="34" spans="1:61">
      <c r="AZ34" s="399"/>
      <c r="BA34" s="399"/>
      <c r="BB34" s="399"/>
      <c r="BC34" s="399"/>
      <c r="BD34" s="399"/>
      <c r="BE34" s="399"/>
      <c r="BF34" s="399"/>
      <c r="BG34" s="399"/>
      <c r="BH34" s="399"/>
    </row>
  </sheetData>
  <mergeCells count="129">
    <mergeCell ref="AZ34:BH34"/>
    <mergeCell ref="AJ32:AQ32"/>
    <mergeCell ref="AR32:AY32"/>
    <mergeCell ref="AZ32:BH32"/>
    <mergeCell ref="AF33:AG33"/>
    <mergeCell ref="AH33:AI33"/>
    <mergeCell ref="AJ33:AO33"/>
    <mergeCell ref="AR33:AY33"/>
    <mergeCell ref="AZ33:BH33"/>
    <mergeCell ref="AJ30:AQ30"/>
    <mergeCell ref="AR30:AY30"/>
    <mergeCell ref="AZ30:BH30"/>
    <mergeCell ref="AJ31:AQ31"/>
    <mergeCell ref="AR31:AY31"/>
    <mergeCell ref="AZ31:BH31"/>
    <mergeCell ref="AJ28:AQ28"/>
    <mergeCell ref="AR28:AY28"/>
    <mergeCell ref="AZ28:BH28"/>
    <mergeCell ref="AJ29:AQ29"/>
    <mergeCell ref="AR29:AY29"/>
    <mergeCell ref="AZ29:BH29"/>
    <mergeCell ref="AF26:AG26"/>
    <mergeCell ref="AH26:AI26"/>
    <mergeCell ref="AJ26:AQ26"/>
    <mergeCell ref="AR26:AY26"/>
    <mergeCell ref="AZ26:BH26"/>
    <mergeCell ref="AF27:AG27"/>
    <mergeCell ref="AH27:AI27"/>
    <mergeCell ref="AJ27:AQ27"/>
    <mergeCell ref="AR27:AY27"/>
    <mergeCell ref="AZ27:BH27"/>
    <mergeCell ref="AF24:AG24"/>
    <mergeCell ref="AH24:AI24"/>
    <mergeCell ref="AJ24:AQ24"/>
    <mergeCell ref="AR24:AY24"/>
    <mergeCell ref="AZ24:BH24"/>
    <mergeCell ref="AF25:AG25"/>
    <mergeCell ref="AH25:AI25"/>
    <mergeCell ref="AJ25:AQ25"/>
    <mergeCell ref="AR25:AY25"/>
    <mergeCell ref="AZ25:BH25"/>
    <mergeCell ref="AF22:AG22"/>
    <mergeCell ref="AH22:AI22"/>
    <mergeCell ref="AJ22:AQ22"/>
    <mergeCell ref="AR22:AY22"/>
    <mergeCell ref="AZ22:BH22"/>
    <mergeCell ref="AF23:AG23"/>
    <mergeCell ref="AH23:AI23"/>
    <mergeCell ref="AJ23:AO23"/>
    <mergeCell ref="AR23:AY23"/>
    <mergeCell ref="AZ23:BH23"/>
    <mergeCell ref="AF20:AG20"/>
    <mergeCell ref="AH20:AI20"/>
    <mergeCell ref="AJ20:AQ20"/>
    <mergeCell ref="AR20:AY20"/>
    <mergeCell ref="AZ20:BH20"/>
    <mergeCell ref="AF21:AG21"/>
    <mergeCell ref="AJ21:AQ21"/>
    <mergeCell ref="AR21:AY21"/>
    <mergeCell ref="AZ21:BH21"/>
    <mergeCell ref="AF18:AG18"/>
    <mergeCell ref="AH18:AI18"/>
    <mergeCell ref="AJ18:AQ18"/>
    <mergeCell ref="AR18:AY18"/>
    <mergeCell ref="AZ18:BH18"/>
    <mergeCell ref="AF19:AG19"/>
    <mergeCell ref="AH19:AI19"/>
    <mergeCell ref="AJ19:AO19"/>
    <mergeCell ref="AR19:AY19"/>
    <mergeCell ref="AZ19:BH19"/>
    <mergeCell ref="AF16:AG16"/>
    <mergeCell ref="AJ16:AQ16"/>
    <mergeCell ref="AR16:AY16"/>
    <mergeCell ref="AZ16:BH16"/>
    <mergeCell ref="AF17:AG17"/>
    <mergeCell ref="AH17:AI17"/>
    <mergeCell ref="AJ17:AQ17"/>
    <mergeCell ref="AR17:AY17"/>
    <mergeCell ref="AZ17:BH17"/>
    <mergeCell ref="AF13:AG13"/>
    <mergeCell ref="AJ13:AQ13"/>
    <mergeCell ref="AR13:AY13"/>
    <mergeCell ref="AZ13:BH13"/>
    <mergeCell ref="AF15:AG15"/>
    <mergeCell ref="AJ15:AQ15"/>
    <mergeCell ref="AR15:AY15"/>
    <mergeCell ref="AZ15:BH15"/>
    <mergeCell ref="AF11:AG11"/>
    <mergeCell ref="AH11:AI11"/>
    <mergeCell ref="AJ11:AO11"/>
    <mergeCell ref="AR11:AY11"/>
    <mergeCell ref="AZ11:BH11"/>
    <mergeCell ref="AF12:AG12"/>
    <mergeCell ref="AH12:AI12"/>
    <mergeCell ref="AJ12:AQ12"/>
    <mergeCell ref="AR12:AY12"/>
    <mergeCell ref="AZ12:BH12"/>
    <mergeCell ref="AF14:AG14"/>
    <mergeCell ref="AJ14:AQ14"/>
    <mergeCell ref="AR14:AY14"/>
    <mergeCell ref="AZ14:BH14"/>
    <mergeCell ref="AZ8:BH9"/>
    <mergeCell ref="AF9:AG9"/>
    <mergeCell ref="AH9:AI9"/>
    <mergeCell ref="AF10:AG10"/>
    <mergeCell ref="AH10:AI10"/>
    <mergeCell ref="AR10:AY10"/>
    <mergeCell ref="AZ10:BH10"/>
    <mergeCell ref="AS2:AX2"/>
    <mergeCell ref="AL3:AM3"/>
    <mergeCell ref="AN3:AR3"/>
    <mergeCell ref="AS3:AX3"/>
    <mergeCell ref="AS1:AX1"/>
    <mergeCell ref="A2:E3"/>
    <mergeCell ref="F2:U3"/>
    <mergeCell ref="V2:AK3"/>
    <mergeCell ref="AL2:AM2"/>
    <mergeCell ref="AN2:AR2"/>
    <mergeCell ref="B8:I9"/>
    <mergeCell ref="J8:Q9"/>
    <mergeCell ref="R8:R9"/>
    <mergeCell ref="S8:AE9"/>
    <mergeCell ref="AF8:AI8"/>
    <mergeCell ref="AJ8:AQ9"/>
    <mergeCell ref="A1:E1"/>
    <mergeCell ref="F1:U1"/>
    <mergeCell ref="V1:AK1"/>
    <mergeCell ref="AL1:AR1"/>
    <mergeCell ref="AR8:AY9"/>
  </mergeCells>
  <phoneticPr fontId="2"/>
  <pageMargins left="0.7" right="0.7" top="0.75" bottom="0.75" header="0.3" footer="0.3"/>
  <pageSetup paperSize="9" scale="69" fitToHeight="0"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779690-C4A4-46AB-A222-D3F8F640D3F9}"/>
</file>

<file path=customXml/itemProps2.xml><?xml version="1.0" encoding="utf-8"?>
<ds:datastoreItem xmlns:ds="http://schemas.openxmlformats.org/officeDocument/2006/customXml" ds:itemID="{4FC74DAF-25E2-4414-85D6-D7F6D8C94719}"/>
</file>

<file path=customXml/itemProps3.xml><?xml version="1.0" encoding="utf-8"?>
<ds:datastoreItem xmlns:ds="http://schemas.openxmlformats.org/officeDocument/2006/customXml" ds:itemID="{CE02BAAB-F44C-40C0-9E41-54BDACEFC1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Fujihira, Rio</dc:creator>
  <cp:keywords/>
  <dc:description/>
  <cp:lastModifiedBy>Ida, Mizuho</cp:lastModifiedBy>
  <cp:revision/>
  <dcterms:created xsi:type="dcterms:W3CDTF">2022-02-22T02:24:24Z</dcterms:created>
  <dcterms:modified xsi:type="dcterms:W3CDTF">2026-05-08T02:06:50Z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y fmtid="{D5CDD505-2E9C-101B-9397-08002B2CF9AE}" pid="4" name="Order">
    <vt:r8>44587200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