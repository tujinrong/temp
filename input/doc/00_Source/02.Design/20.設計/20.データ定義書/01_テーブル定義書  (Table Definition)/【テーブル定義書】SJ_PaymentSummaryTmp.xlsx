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TruongPX10\OneDrive - FPT Corporation\Desktop\SJ\"/>
    </mc:Choice>
  </mc:AlternateContent>
  <xr:revisionPtr revIDLastSave="2" documentId="11_50E281347529A7531C014D8241B9D7AB1925C85F" xr6:coauthVersionLast="47" xr6:coauthVersionMax="47" xr10:uidLastSave="{D8BF11B8-497F-40F8-AE76-3B72E69964BC}"/>
  <bookViews>
    <workbookView xWindow="0" yWindow="0" windowWidth="28800" windowHeight="12390" firstSheet="1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\a">#N/A</definedName>
    <definedName name="\c">#N/A</definedName>
    <definedName name="\d">#N/A</definedName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対応日_WK">#REF!</definedName>
    <definedName name="M_対応日_WK_Ｉ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ｼｰﾄ範囲">#REF!</definedName>
    <definedName name="シート選択見だし">"ラベル 5"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列">#REF!</definedName>
    <definedName name="フォーム共通定義_「画面ＩＤ」入力セルの位置_行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一次見積">#REF!</definedName>
    <definedName name="中間他部">#REF!</definedName>
    <definedName name="中間委託実績">#REF!</definedName>
    <definedName name="中間委託諸経費">#REF!</definedName>
    <definedName name="中間委託開発費">#REF!</definedName>
    <definedName name="中間当収">#REF!</definedName>
    <definedName name="中間日付">#REF!</definedName>
    <definedName name="中間検収">#REF!</definedName>
    <definedName name="中間社員">#REF!</definedName>
    <definedName name="中間社員実績">#REF!</definedName>
    <definedName name="中間社員開発費">#REF!</definedName>
    <definedName name="交渉経緯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他部名">#REF!</definedName>
    <definedName name="件名">#REF!</definedName>
    <definedName name="件名コード">#REF!</definedName>
    <definedName name="件数">#REF!</definedName>
    <definedName name="作成日">DATE(2000,3,21)</definedName>
    <definedName name="作成者">#REF!</definedName>
    <definedName name="作成資源">#REF!</definedName>
    <definedName name="共通_入力パス_FDX" localSheetId="0">#REF!</definedName>
    <definedName name="共通_入力パス_FDX">#REF!</definedName>
    <definedName name="内容検索条件">#REF!</definedName>
    <definedName name="初期画面CTL">#REF!</definedName>
    <definedName name="前回検索Ａ">#REF!</definedName>
    <definedName name="前回検索Ｂ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収支評価">#REF!</definedName>
    <definedName name="取得元">[4]マスタ!$K$3:$K$7</definedName>
    <definedName name="受託業務概要">#REF!</definedName>
    <definedName name="問題２">#REF!</definedName>
    <definedName name="回答_WK" localSheetId="0">#REF!</definedName>
    <definedName name="回答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回答者_WK" localSheetId="0">#REF!</definedName>
    <definedName name="回答者_WK">#REF!</definedName>
    <definedName name="契約中間">#REF!</definedName>
    <definedName name="契約最終">#REF!</definedName>
    <definedName name="委託略称">#REF!</definedName>
    <definedName name="完了日付">#REF!</definedName>
    <definedName name="完了社員">#REF!</definedName>
    <definedName name="対応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対応者_WK">#REF!</definedName>
    <definedName name="工数査定">#REF!</definedName>
    <definedName name="工数評価">#REF!</definedName>
    <definedName name="工程評価">#REF!</definedName>
    <definedName name="引継ぎリスト項目">#REF!</definedName>
    <definedName name="当日">#REF!</definedName>
    <definedName name="影響1_WK">#REF!</definedName>
    <definedName name="影響2_WK">#REF!</definedName>
    <definedName name="影響3_WK">#REF!</definedName>
    <definedName name="後１週間">#REF!</definedName>
    <definedName name="所属名">#REF!</definedName>
    <definedName name="手続き">#REF!</definedName>
    <definedName name="手続日付">#REF!</definedName>
    <definedName name="担務名">#REF!</definedName>
    <definedName name="担当">#REF!</definedName>
    <definedName name="担当者_WK">#REF!</definedName>
    <definedName name="指示形態">#REF!</definedName>
    <definedName name="提起日">#REF!</definedName>
    <definedName name="提起日_WK">#REF!</definedName>
    <definedName name="提起日1_L">#REF!</definedName>
    <definedName name="提起者_WK">#REF!</definedName>
    <definedName name="日付検索条件">#REF!</definedName>
    <definedName name="更新日">#REF!</definedName>
    <definedName name="最終他部">#REF!</definedName>
    <definedName name="最終委託実績">#REF!</definedName>
    <definedName name="最終委託諸経費">#REF!</definedName>
    <definedName name="最終委託開発費">#REF!</definedName>
    <definedName name="最終当収">#REF!</definedName>
    <definedName name="最終検収">#REF!</definedName>
    <definedName name="最終社員実績">#REF!</definedName>
    <definedName name="最終社員開発費">#REF!</definedName>
    <definedName name="最終見積">#REF!</definedName>
    <definedName name="期限">#REF!</definedName>
    <definedName name="期限_WK">#REF!</definedName>
    <definedName name="未選択リスト項目">#REF!</definedName>
    <definedName name="検索条件表示">#REF!</definedName>
    <definedName name="業務コード">#REF!</definedName>
    <definedName name="業務名">#REF!</definedName>
    <definedName name="業者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残作業評価">#REF!</definedName>
    <definedName name="特記事項">#REF!</definedName>
    <definedName name="現在日付">#REF!</definedName>
    <definedName name="生産性阻害要因">#REF!</definedName>
    <definedName name="画面イベント定義_「画面ＩＤ」入力セルの位置_列">#REF!</definedName>
    <definedName name="画面イベント定義_「画面ＩＤ」入力セルの位置_行">#REF!</definedName>
    <definedName name="画面項目ID・名">[7]画面項目!$B$5:$D$408</definedName>
    <definedName name="着手日付">#REF!</definedName>
    <definedName name="着手社員">#REF!</definedName>
    <definedName name="確認日">#REF!</definedName>
    <definedName name="確認日_WK">#REF!</definedName>
    <definedName name="確認日_未定">#REF!</definedName>
    <definedName name="確認日4_L">#REF!</definedName>
    <definedName name="確認者_WK">#REF!</definedName>
    <definedName name="稟議Ｎｏ">#REF!</definedName>
    <definedName name="結果">[3]テスト仕様テンプレート!#REF!</definedName>
    <definedName name="表示リスト項目">#REF!</definedName>
    <definedName name="記述方法" localSheetId="0">#REF!</definedName>
    <definedName name="記述方法">#REF!</definedName>
    <definedName name="質問課題データ">#REF!</definedName>
    <definedName name="通常オブジェクト">#REF!</definedName>
    <definedName name="部品追加情報">#REF!</definedName>
    <definedName name="金額査定">#REF!</definedName>
    <definedName name="開始年">#REF!</definedName>
    <definedName name="開始月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5" l="1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BA2" i="9" l="1"/>
  <c r="H3" i="5" s="1"/>
  <c r="AT2" i="9"/>
  <c r="H2" i="5" s="1"/>
  <c r="BA3" i="9"/>
  <c r="AT3" i="9" a="1"/>
  <c r="M3" i="5" l="1"/>
  <c r="AT3" i="9"/>
  <c r="M2" i="5" s="1"/>
  <c r="B50" i="5" l="1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00000000-0006-0000-0100-000005000000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00000000-0006-0000-0100-0000060000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00000000-0006-0000-01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00000000-0006-0000-01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00000000-0006-0000-0100-00000B000000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00000000-0006-0000-01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<sst xmlns="http://schemas.openxmlformats.org/spreadsheetml/2006/main" count="213" uniqueCount="148">
  <si>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</si>
  <si>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</si>
  <si>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</si>
  <si>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</si>
  <si>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</si>
  <si>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</si>
  <si>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【テーブル】SJ_PaymentSummaryTmp</t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</si>
  <si>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</si>
  <si>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</si>
  <si>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</si>
  <si>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</si>
  <si>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</si>
  <si>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</si>
  <si>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</si>
  <si>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</si>
  <si>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</si>
  <si>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FPT</t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</si>
  <si>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</si>
  <si>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</si>
  <si>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</si>
  <si>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</si>
  <si>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</si>
  <si>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</si>
  <si>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</si>
  <si>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</si>
  <si>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</si>
  <si>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</si>
  <si>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</si>
  <si>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</si>
  <si>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</si>
  <si>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</si>
  <si>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</si>
  <si>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SJ_PaymentSummaryTmp</t>
  </si>
  <si>
    <t>TempDB</t>
  </si>
  <si>
    <t>Miscellaneous</t>
  </si>
  <si>
    <t>アドオン</t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</si>
  <si>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</si>
  <si>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</si>
  <si>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</si>
  <si>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</si>
  <si>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</si>
  <si>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</si>
  <si>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</si>
  <si>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</si>
  <si>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仕入先</t>
  </si>
  <si>
    <t>SYS14048</t>
  </si>
  <si>
    <t>VendAccount</t>
  </si>
  <si>
    <t>String</t>
  </si>
  <si>
    <t>20</t>
  </si>
  <si>
    <t>NO</t>
  </si>
  <si>
    <t>名前</t>
  </si>
  <si>
    <t xml:space="preserve">
SJ00429</t>
  </si>
  <si>
    <t>VendName</t>
  </si>
  <si>
    <t>SJ_VendName</t>
  </si>
  <si>
    <t>集計勘定</t>
  </si>
  <si>
    <t>SYS135766</t>
  </si>
  <si>
    <t>SummaryAccountId</t>
  </si>
  <si>
    <t>MainAccountNum</t>
  </si>
  <si>
    <t>SYS7399</t>
  </si>
  <si>
    <t>SummaryAccountName</t>
  </si>
  <si>
    <t>AccountName</t>
  </si>
  <si>
    <t>60</t>
  </si>
  <si>
    <t>買掛金</t>
  </si>
  <si>
    <t>SJ00804</t>
  </si>
  <si>
    <t>PayableAmount</t>
  </si>
  <si>
    <t>Real</t>
  </si>
  <si>
    <t>AmountMSTDebCred</t>
  </si>
  <si>
    <t>-</t>
  </si>
  <si>
    <t>電子記録債務</t>
  </si>
  <si>
    <t>SJ00809</t>
  </si>
  <si>
    <t>ElectronicRecordingDebt</t>
  </si>
  <si>
    <t>期日振込</t>
  </si>
  <si>
    <t>SJ00811</t>
  </si>
  <si>
    <t>DueDateTransfer</t>
  </si>
  <si>
    <t>振込</t>
  </si>
  <si>
    <t>SJ00812</t>
  </si>
  <si>
    <t>Transfer</t>
  </si>
  <si>
    <t>支払サイト</t>
  </si>
  <si>
    <t>SJ00016</t>
  </si>
  <si>
    <t>PaymSiteElect</t>
  </si>
  <si>
    <t>Integer</t>
  </si>
  <si>
    <t>SJ_PaymSite</t>
  </si>
  <si>
    <t>PaymSiteDue</t>
  </si>
  <si>
    <t>相殺</t>
  </si>
  <si>
    <t>SJ00813</t>
  </si>
  <si>
    <t>OffsetAmount</t>
  </si>
  <si>
    <t>支払金額</t>
  </si>
  <si>
    <t>PaymentAmount</t>
  </si>
  <si>
    <t>合計金額</t>
  </si>
  <si>
    <t>SJ00808</t>
  </si>
  <si>
    <t>TotalPrice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</si>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</sst>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yyyy/m/d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Calibr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5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64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49" fontId="8" fillId="0" borderId="3" xfId="2" applyNumberFormat="1" applyFont="1" applyBorder="1" applyAlignment="1">
      <alignment horizontal="left" vertical="center" wrapText="1"/>
    </xf>
    <xf numFmtId="49" fontId="8" fillId="0" borderId="3" xfId="2" quotePrefix="1" applyNumberFormat="1" applyFont="1" applyBorder="1" applyAlignment="1">
      <alignment horizontal="righ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65" fontId="10" fillId="2" borderId="22" xfId="4" applyNumberFormat="1" applyFont="1" applyFill="1" applyBorder="1" applyAlignment="1">
      <alignment horizontal="center" vertical="center"/>
    </xf>
    <xf numFmtId="165" fontId="10" fillId="2" borderId="23" xfId="4" applyNumberFormat="1" applyFont="1" applyFill="1" applyBorder="1" applyAlignment="1">
      <alignment horizontal="center" vertical="center"/>
    </xf>
    <xf numFmtId="165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65" fontId="10" fillId="2" borderId="30" xfId="4" applyNumberFormat="1" applyFont="1" applyFill="1" applyBorder="1" applyAlignment="1">
      <alignment horizontal="center" vertical="center"/>
    </xf>
    <xf numFmtId="165" fontId="10" fillId="2" borderId="31" xfId="4" applyNumberFormat="1" applyFont="1" applyFill="1" applyBorder="1" applyAlignment="1">
      <alignment horizontal="center" vertical="center"/>
    </xf>
    <xf numFmtId="165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64" fontId="10" fillId="0" borderId="1" xfId="2" applyNumberFormat="1" applyFont="1" applyBorder="1" applyAlignment="1">
      <alignment horizontal="center" vertical="center"/>
    </xf>
    <xf numFmtId="164" fontId="10" fillId="0" borderId="2" xfId="2" applyNumberFormat="1" applyFont="1" applyBorder="1" applyAlignment="1">
      <alignment horizontal="center" vertical="center"/>
    </xf>
    <xf numFmtId="164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7">
    <cellStyle name="Normal" xfId="0" builtinId="0"/>
    <cellStyle name="標準 2" xfId="2" xr:uid="{00000000-0005-0000-0000-000001000000}"/>
    <cellStyle name="標準 2 2" xfId="4" xr:uid="{00000000-0005-0000-0000-000002000000}"/>
    <cellStyle name="標準 21" xfId="1" xr:uid="{00000000-0005-0000-0000-000003000000}"/>
    <cellStyle name="標準 3" xfId="5" xr:uid="{00000000-0005-0000-0000-000004000000}"/>
    <cellStyle name="標準 4" xfId="3" xr:uid="{00000000-0005-0000-0000-000005000000}"/>
    <cellStyle name="標準 6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bsbpos1.sharepoint.com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22"/>
  <sheetViews>
    <sheetView showGridLines="0" topLeftCell="AC1" zoomScale="265" zoomScaleNormal="265" workbookViewId="0">
      <selection activeCell="T10" sqref="T10:AY10"/>
    </sheetView>
  </sheetViews>
  <sheetFormatPr defaultColWidth="2.42578125" defaultRowHeight="15" customHeight="1"/>
  <cols>
    <col min="1" max="16384" width="2.42578125" style="15"/>
  </cols>
  <sheetData>
    <row r="1" spans="1:68" s="16" customFormat="1" ht="15" customHeight="1" thickBot="1">
      <c r="A1" s="53" t="s">
        <v>0</v>
      </c>
      <c r="B1" s="54"/>
      <c r="C1" s="54"/>
      <c r="D1" s="54"/>
      <c r="E1" s="55"/>
      <c r="F1" s="56" t="s">
        <v>1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8"/>
      <c r="W1" s="59" t="s">
        <v>2</v>
      </c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1"/>
      <c r="AR1" s="59" t="s">
        <v>3</v>
      </c>
      <c r="AS1" s="60"/>
      <c r="AT1" s="60"/>
      <c r="AU1" s="60"/>
      <c r="AV1" s="60"/>
      <c r="AW1" s="60"/>
      <c r="AX1" s="60"/>
      <c r="AY1" s="60"/>
      <c r="AZ1" s="61"/>
      <c r="BA1" s="59" t="s">
        <v>4</v>
      </c>
      <c r="BB1" s="60"/>
      <c r="BC1" s="60"/>
      <c r="BD1" s="60"/>
      <c r="BE1" s="60"/>
      <c r="BF1" s="60"/>
      <c r="BG1" s="60"/>
      <c r="BH1" s="60"/>
      <c r="BI1" s="61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62" t="s">
        <v>5</v>
      </c>
      <c r="B2" s="63"/>
      <c r="C2" s="63"/>
      <c r="D2" s="63"/>
      <c r="E2" s="64"/>
      <c r="F2" s="68" t="s">
        <v>6</v>
      </c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70"/>
      <c r="W2" s="74" t="s">
        <v>7</v>
      </c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6"/>
      <c r="AR2" s="80" t="s">
        <v>8</v>
      </c>
      <c r="AS2" s="81"/>
      <c r="AT2" s="82">
        <f>A6</f>
        <v>45622</v>
      </c>
      <c r="AU2" s="83"/>
      <c r="AV2" s="83"/>
      <c r="AW2" s="83"/>
      <c r="AX2" s="83"/>
      <c r="AY2" s="83"/>
      <c r="AZ2" s="84"/>
      <c r="BA2" s="85" t="str">
        <f>AZ6</f>
        <v>FPT</v>
      </c>
      <c r="BB2" s="86"/>
      <c r="BC2" s="86"/>
      <c r="BD2" s="86"/>
      <c r="BE2" s="86"/>
      <c r="BF2" s="86"/>
      <c r="BG2" s="86"/>
      <c r="BH2" s="86"/>
      <c r="BI2" s="87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65"/>
      <c r="B3" s="66"/>
      <c r="C3" s="66"/>
      <c r="D3" s="66"/>
      <c r="E3" s="67"/>
      <c r="F3" s="71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3"/>
      <c r="W3" s="77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9"/>
      <c r="AR3" s="88" t="s">
        <v>9</v>
      </c>
      <c r="AS3" s="89"/>
      <c r="AT3" s="90" cm="1">
        <f t="array" aca="1" ref="AT3" ca="1">IF(OR(COUNTA(A:E)=3),"",INDIRECT("A"&amp;COUNTA(A:E)+2))</f>
        <v>45622</v>
      </c>
      <c r="AU3" s="91"/>
      <c r="AV3" s="91"/>
      <c r="AW3" s="91"/>
      <c r="AX3" s="91"/>
      <c r="AY3" s="91"/>
      <c r="AZ3" s="92"/>
      <c r="BA3" s="93" t="str">
        <f ca="1">IF(COUNTA(AZ5:BD100000)=1,"",INDIRECT("変更履歴!AZ"&amp;COUNTA(AZ5:BD100000)+4))</f>
        <v>FPT</v>
      </c>
      <c r="BB3" s="94"/>
      <c r="BC3" s="94"/>
      <c r="BD3" s="94"/>
      <c r="BE3" s="94"/>
      <c r="BF3" s="94"/>
      <c r="BG3" s="94"/>
      <c r="BH3" s="94"/>
      <c r="BI3" s="95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46" t="s">
        <v>10</v>
      </c>
      <c r="B5" s="46"/>
      <c r="C5" s="46"/>
      <c r="D5" s="46"/>
      <c r="E5" s="46"/>
      <c r="F5" s="46" t="s">
        <v>11</v>
      </c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 t="s">
        <v>12</v>
      </c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 t="s">
        <v>13</v>
      </c>
      <c r="BA5" s="46"/>
      <c r="BB5" s="46"/>
      <c r="BC5" s="46"/>
      <c r="BD5" s="46"/>
      <c r="BE5" s="46" t="s">
        <v>14</v>
      </c>
      <c r="BF5" s="46"/>
      <c r="BG5" s="46"/>
      <c r="BH5" s="46"/>
      <c r="BI5" s="46"/>
    </row>
    <row r="6" spans="1:68" ht="12">
      <c r="A6" s="47">
        <v>45622</v>
      </c>
      <c r="B6" s="47"/>
      <c r="C6" s="47"/>
      <c r="D6" s="47"/>
      <c r="E6" s="47"/>
      <c r="F6" s="48" t="s">
        <v>15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9" t="s">
        <v>15</v>
      </c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50" t="s">
        <v>16</v>
      </c>
      <c r="BA6" s="50"/>
      <c r="BB6" s="50"/>
      <c r="BC6" s="50"/>
      <c r="BD6" s="50"/>
      <c r="BE6" s="51" t="s">
        <v>17</v>
      </c>
      <c r="BF6" s="52"/>
      <c r="BG6" s="52"/>
      <c r="BH6" s="52"/>
      <c r="BI6" s="52"/>
    </row>
    <row r="7" spans="1:68" ht="12">
      <c r="A7" s="35"/>
      <c r="B7" s="35"/>
      <c r="C7" s="35"/>
      <c r="D7" s="35"/>
      <c r="E7" s="35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45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8"/>
      <c r="BA7" s="38"/>
      <c r="BB7" s="38"/>
      <c r="BC7" s="38"/>
      <c r="BD7" s="38"/>
      <c r="BE7" s="39"/>
      <c r="BF7" s="39"/>
      <c r="BG7" s="39"/>
      <c r="BH7" s="39"/>
      <c r="BI7" s="39"/>
    </row>
    <row r="8" spans="1:68" ht="12">
      <c r="A8" s="35"/>
      <c r="B8" s="35"/>
      <c r="C8" s="35"/>
      <c r="D8" s="35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8"/>
      <c r="BA8" s="38"/>
      <c r="BB8" s="38"/>
      <c r="BC8" s="38"/>
      <c r="BD8" s="38"/>
      <c r="BE8" s="39"/>
      <c r="BF8" s="39"/>
      <c r="BG8" s="39"/>
      <c r="BH8" s="39"/>
      <c r="BI8" s="39"/>
    </row>
    <row r="9" spans="1:68" ht="12">
      <c r="A9" s="35"/>
      <c r="B9" s="35"/>
      <c r="C9" s="35"/>
      <c r="D9" s="35"/>
      <c r="E9" s="35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45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8"/>
      <c r="BA9" s="38"/>
      <c r="BB9" s="38"/>
      <c r="BC9" s="38"/>
      <c r="BD9" s="38"/>
      <c r="BE9" s="39"/>
      <c r="BF9" s="39"/>
      <c r="BG9" s="39"/>
      <c r="BH9" s="39"/>
      <c r="BI9" s="39"/>
    </row>
    <row r="10" spans="1:68" ht="15" customHeight="1">
      <c r="A10" s="35"/>
      <c r="B10" s="35"/>
      <c r="C10" s="35"/>
      <c r="D10" s="35"/>
      <c r="E10" s="35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8"/>
      <c r="BA10" s="38"/>
      <c r="BB10" s="38"/>
      <c r="BC10" s="38"/>
      <c r="BD10" s="38"/>
      <c r="BE10" s="39"/>
      <c r="BF10" s="39"/>
      <c r="BG10" s="39"/>
      <c r="BH10" s="39"/>
      <c r="BI10" s="39"/>
    </row>
    <row r="11" spans="1:68" ht="15" customHeight="1">
      <c r="A11" s="35"/>
      <c r="B11" s="35"/>
      <c r="C11" s="35"/>
      <c r="D11" s="35"/>
      <c r="E11" s="35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8"/>
      <c r="BA11" s="38"/>
      <c r="BB11" s="38"/>
      <c r="BC11" s="38"/>
      <c r="BD11" s="38"/>
      <c r="BE11" s="39"/>
      <c r="BF11" s="39"/>
      <c r="BG11" s="39"/>
      <c r="BH11" s="39"/>
      <c r="BI11" s="39"/>
    </row>
    <row r="12" spans="1:68" ht="15" customHeight="1">
      <c r="A12" s="35"/>
      <c r="B12" s="35"/>
      <c r="C12" s="35"/>
      <c r="D12" s="35"/>
      <c r="E12" s="35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8"/>
      <c r="BA12" s="38"/>
      <c r="BB12" s="38"/>
      <c r="BC12" s="38"/>
      <c r="BD12" s="38"/>
      <c r="BE12" s="39"/>
      <c r="BF12" s="39"/>
      <c r="BG12" s="39"/>
      <c r="BH12" s="39"/>
      <c r="BI12" s="39"/>
    </row>
    <row r="13" spans="1:68" ht="15" customHeight="1">
      <c r="A13" s="35"/>
      <c r="B13" s="35"/>
      <c r="C13" s="35"/>
      <c r="D13" s="35"/>
      <c r="E13" s="35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8"/>
      <c r="BA13" s="38"/>
      <c r="BB13" s="38"/>
      <c r="BC13" s="38"/>
      <c r="BD13" s="38"/>
      <c r="BE13" s="39"/>
      <c r="BF13" s="39"/>
      <c r="BG13" s="39"/>
      <c r="BH13" s="39"/>
      <c r="BI13" s="39"/>
    </row>
    <row r="14" spans="1:68" ht="15" customHeight="1">
      <c r="A14" s="35"/>
      <c r="B14" s="35"/>
      <c r="C14" s="35"/>
      <c r="D14" s="35"/>
      <c r="E14" s="35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8"/>
      <c r="BA14" s="38"/>
      <c r="BB14" s="38"/>
      <c r="BC14" s="38"/>
      <c r="BD14" s="38"/>
      <c r="BE14" s="39"/>
      <c r="BF14" s="39"/>
      <c r="BG14" s="39"/>
      <c r="BH14" s="39"/>
      <c r="BI14" s="39"/>
    </row>
    <row r="15" spans="1:68" ht="15" customHeight="1">
      <c r="A15" s="35"/>
      <c r="B15" s="35"/>
      <c r="C15" s="35"/>
      <c r="D15" s="35"/>
      <c r="E15" s="35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8"/>
      <c r="BA15" s="38"/>
      <c r="BB15" s="38"/>
      <c r="BC15" s="38"/>
      <c r="BD15" s="38"/>
      <c r="BE15" s="39"/>
      <c r="BF15" s="39"/>
      <c r="BG15" s="39"/>
      <c r="BH15" s="39"/>
      <c r="BI15" s="39"/>
    </row>
    <row r="16" spans="1:68" ht="15" customHeight="1">
      <c r="A16" s="35"/>
      <c r="B16" s="35"/>
      <c r="C16" s="35"/>
      <c r="D16" s="35"/>
      <c r="E16" s="35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8"/>
      <c r="BA16" s="38"/>
      <c r="BB16" s="38"/>
      <c r="BC16" s="38"/>
      <c r="BD16" s="38"/>
      <c r="BE16" s="39"/>
      <c r="BF16" s="39"/>
      <c r="BG16" s="39"/>
      <c r="BH16" s="39"/>
      <c r="BI16" s="39"/>
    </row>
    <row r="17" spans="1:61" ht="15" customHeight="1">
      <c r="A17" s="35"/>
      <c r="B17" s="35"/>
      <c r="C17" s="35"/>
      <c r="D17" s="35"/>
      <c r="E17" s="35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8"/>
      <c r="BA17" s="38"/>
      <c r="BB17" s="38"/>
      <c r="BC17" s="38"/>
      <c r="BD17" s="38"/>
      <c r="BE17" s="39"/>
      <c r="BF17" s="39"/>
      <c r="BG17" s="39"/>
      <c r="BH17" s="39"/>
      <c r="BI17" s="39"/>
    </row>
    <row r="18" spans="1:61" ht="15" customHeight="1">
      <c r="A18" s="35"/>
      <c r="B18" s="35"/>
      <c r="C18" s="35"/>
      <c r="D18" s="35"/>
      <c r="E18" s="35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8"/>
      <c r="BA18" s="38"/>
      <c r="BB18" s="38"/>
      <c r="BC18" s="38"/>
      <c r="BD18" s="38"/>
      <c r="BE18" s="39"/>
      <c r="BF18" s="39"/>
      <c r="BG18" s="39"/>
      <c r="BH18" s="39"/>
      <c r="BI18" s="39"/>
    </row>
    <row r="19" spans="1:61" ht="15" customHeight="1">
      <c r="A19" s="35"/>
      <c r="B19" s="35"/>
      <c r="C19" s="35"/>
      <c r="D19" s="35"/>
      <c r="E19" s="35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8"/>
      <c r="BA19" s="38"/>
      <c r="BB19" s="38"/>
      <c r="BC19" s="38"/>
      <c r="BD19" s="38"/>
      <c r="BE19" s="39"/>
      <c r="BF19" s="39"/>
      <c r="BG19" s="39"/>
      <c r="BH19" s="39"/>
      <c r="BI19" s="39"/>
    </row>
    <row r="20" spans="1:61" ht="15" customHeight="1">
      <c r="A20" s="35"/>
      <c r="B20" s="35"/>
      <c r="C20" s="35"/>
      <c r="D20" s="35"/>
      <c r="E20" s="35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8"/>
      <c r="BA20" s="38"/>
      <c r="BB20" s="38"/>
      <c r="BC20" s="38"/>
      <c r="BD20" s="38"/>
      <c r="BE20" s="39"/>
      <c r="BF20" s="39"/>
      <c r="BG20" s="39"/>
      <c r="BH20" s="39"/>
      <c r="BI20" s="39"/>
    </row>
    <row r="21" spans="1:61" ht="15" customHeight="1">
      <c r="A21" s="35"/>
      <c r="B21" s="35"/>
      <c r="C21" s="35"/>
      <c r="D21" s="35"/>
      <c r="E21" s="35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8"/>
      <c r="BB21" s="38"/>
      <c r="BC21" s="38"/>
      <c r="BD21" s="38"/>
      <c r="BE21" s="39"/>
      <c r="BF21" s="39"/>
      <c r="BG21" s="39"/>
      <c r="BH21" s="39"/>
      <c r="BI21" s="39"/>
    </row>
    <row r="22" spans="1:61" ht="15" customHeight="1" thickBot="1">
      <c r="A22" s="40"/>
      <c r="B22" s="40"/>
      <c r="C22" s="40"/>
      <c r="D22" s="40"/>
      <c r="E22" s="40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3"/>
      <c r="BA22" s="43"/>
      <c r="BB22" s="43"/>
      <c r="BC22" s="43"/>
      <c r="BD22" s="43"/>
      <c r="BE22" s="44"/>
      <c r="BF22" s="44"/>
      <c r="BG22" s="44"/>
      <c r="BH22" s="44"/>
      <c r="BI22" s="44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M50"/>
  <sheetViews>
    <sheetView showGridLines="0" tabSelected="1" zoomScale="265" zoomScaleNormal="265" zoomScaleSheetLayoutView="89" workbookViewId="0">
      <selection activeCell="C12" sqref="C12"/>
    </sheetView>
  </sheetViews>
  <sheetFormatPr defaultColWidth="9" defaultRowHeight="11.25"/>
  <cols>
    <col min="1" max="1" width="0.7109375" style="19" customWidth="1"/>
    <col min="2" max="2" width="3.7109375" style="19" bestFit="1" customWidth="1"/>
    <col min="3" max="3" width="18.5703125" style="19" customWidth="1"/>
    <col min="4" max="4" width="14.140625" style="19" bestFit="1" customWidth="1"/>
    <col min="5" max="5" width="28.28515625" style="19" customWidth="1"/>
    <col min="6" max="6" width="9.7109375" style="19" customWidth="1"/>
    <col min="7" max="7" width="22.28515625" style="19" customWidth="1"/>
    <col min="8" max="8" width="8.7109375" style="19" customWidth="1"/>
    <col min="9" max="10" width="5.42578125" style="19" customWidth="1"/>
    <col min="11" max="11" width="2.5703125" style="19" customWidth="1"/>
    <col min="12" max="12" width="17" style="19" customWidth="1"/>
    <col min="13" max="13" width="23.28515625" style="19" customWidth="1"/>
    <col min="14" max="14" width="0.7109375" style="19" customWidth="1"/>
    <col min="15" max="16384" width="9" style="19"/>
  </cols>
  <sheetData>
    <row r="1" spans="2:13" ht="5.0999999999999996" customHeight="1"/>
    <row r="2" spans="2:13">
      <c r="B2" s="96" t="s">
        <v>18</v>
      </c>
      <c r="C2" s="96"/>
      <c r="D2" s="96"/>
      <c r="E2" s="96" t="s">
        <v>19</v>
      </c>
      <c r="F2" s="96"/>
      <c r="G2" s="20" t="s">
        <v>20</v>
      </c>
      <c r="H2" s="97">
        <f>変更履歴!AT2</f>
        <v>45622</v>
      </c>
      <c r="I2" s="98"/>
      <c r="J2" s="98"/>
      <c r="K2" s="99"/>
      <c r="L2" s="10" t="s">
        <v>21</v>
      </c>
      <c r="M2" s="6">
        <f ca="1">変更履歴!AT3</f>
        <v>45622</v>
      </c>
    </row>
    <row r="3" spans="2:13">
      <c r="B3" s="100" t="s">
        <v>22</v>
      </c>
      <c r="C3" s="100"/>
      <c r="D3" s="100"/>
      <c r="E3" s="100" t="s">
        <v>23</v>
      </c>
      <c r="F3" s="100"/>
      <c r="G3" s="20" t="s">
        <v>24</v>
      </c>
      <c r="H3" s="101" t="str">
        <f>変更履歴!BA2</f>
        <v>FPT</v>
      </c>
      <c r="I3" s="102"/>
      <c r="J3" s="102"/>
      <c r="K3" s="103"/>
      <c r="L3" s="10" t="s">
        <v>25</v>
      </c>
      <c r="M3" s="2" t="str">
        <f ca="1">変更履歴!BA3</f>
        <v>FPT</v>
      </c>
    </row>
    <row r="4" spans="2:13">
      <c r="B4" s="96" t="s">
        <v>26</v>
      </c>
      <c r="C4" s="96"/>
      <c r="D4" s="9" t="s">
        <v>27</v>
      </c>
      <c r="E4" s="107" t="s">
        <v>28</v>
      </c>
      <c r="F4" s="108"/>
      <c r="G4" s="20" t="s">
        <v>29</v>
      </c>
      <c r="H4" s="139" t="s">
        <v>30</v>
      </c>
      <c r="I4" s="140"/>
      <c r="J4" s="140"/>
      <c r="K4" s="141"/>
      <c r="L4" s="20" t="s">
        <v>31</v>
      </c>
      <c r="M4" s="11"/>
    </row>
    <row r="5" spans="2:13">
      <c r="B5" s="100"/>
      <c r="C5" s="100"/>
      <c r="D5" s="1"/>
      <c r="E5" s="104" t="s">
        <v>32</v>
      </c>
      <c r="F5" s="106"/>
      <c r="G5" s="21" t="s">
        <v>33</v>
      </c>
      <c r="H5" s="109" t="s">
        <v>34</v>
      </c>
      <c r="I5" s="110"/>
      <c r="J5" s="110"/>
      <c r="K5" s="111"/>
      <c r="L5" s="21" t="s">
        <v>35</v>
      </c>
      <c r="M5" s="22"/>
    </row>
    <row r="6" spans="2:13" ht="5.0999999999999996" customHeight="1"/>
    <row r="7" spans="2:13">
      <c r="B7" s="8" t="s">
        <v>36</v>
      </c>
      <c r="C7" s="8" t="s">
        <v>37</v>
      </c>
      <c r="D7" s="8" t="s">
        <v>27</v>
      </c>
      <c r="E7" s="8" t="s">
        <v>38</v>
      </c>
      <c r="F7" s="8" t="s">
        <v>39</v>
      </c>
      <c r="G7" s="8" t="s">
        <v>40</v>
      </c>
      <c r="H7" s="8" t="s">
        <v>41</v>
      </c>
      <c r="I7" s="8" t="s">
        <v>42</v>
      </c>
      <c r="J7" s="8" t="s">
        <v>43</v>
      </c>
      <c r="K7" s="112"/>
      <c r="L7" s="112"/>
      <c r="M7" s="113"/>
    </row>
    <row r="8" spans="2:13">
      <c r="B8" s="2">
        <f t="shared" ref="B8:B50" si="0">ROW()-7</f>
        <v>1</v>
      </c>
      <c r="C8" s="1" t="s">
        <v>44</v>
      </c>
      <c r="D8" s="1" t="s">
        <v>45</v>
      </c>
      <c r="E8" s="23" t="s">
        <v>46</v>
      </c>
      <c r="F8" s="24" t="s">
        <v>47</v>
      </c>
      <c r="G8" s="23" t="s">
        <v>46</v>
      </c>
      <c r="H8" s="4" t="s">
        <v>48</v>
      </c>
      <c r="I8" s="2" t="s">
        <v>49</v>
      </c>
      <c r="J8" s="2" t="s">
        <v>49</v>
      </c>
      <c r="K8" s="104"/>
      <c r="L8" s="105"/>
      <c r="M8" s="106"/>
    </row>
    <row r="9" spans="2:13" ht="22.5">
      <c r="B9" s="2">
        <f t="shared" si="0"/>
        <v>2</v>
      </c>
      <c r="C9" s="1" t="s">
        <v>50</v>
      </c>
      <c r="D9" s="33" t="s">
        <v>51</v>
      </c>
      <c r="E9" s="23" t="s">
        <v>52</v>
      </c>
      <c r="F9" s="24" t="s">
        <v>47</v>
      </c>
      <c r="G9" s="23" t="s">
        <v>53</v>
      </c>
      <c r="H9" s="3">
        <v>160</v>
      </c>
      <c r="I9" s="2" t="s">
        <v>49</v>
      </c>
      <c r="J9" s="2" t="s">
        <v>49</v>
      </c>
      <c r="K9" s="104"/>
      <c r="L9" s="105"/>
      <c r="M9" s="106"/>
    </row>
    <row r="10" spans="2:13">
      <c r="B10" s="2">
        <f t="shared" si="0"/>
        <v>3</v>
      </c>
      <c r="C10" s="1" t="s">
        <v>54</v>
      </c>
      <c r="D10" s="1" t="s">
        <v>55</v>
      </c>
      <c r="E10" s="23" t="s">
        <v>56</v>
      </c>
      <c r="F10" s="24" t="s">
        <v>47</v>
      </c>
      <c r="G10" s="1" t="s">
        <v>57</v>
      </c>
      <c r="H10" s="3">
        <v>20</v>
      </c>
      <c r="I10" s="2" t="s">
        <v>49</v>
      </c>
      <c r="J10" s="2" t="s">
        <v>49</v>
      </c>
      <c r="K10" s="104"/>
      <c r="L10" s="105"/>
      <c r="M10" s="106"/>
    </row>
    <row r="11" spans="2:13">
      <c r="B11" s="2">
        <f t="shared" si="0"/>
        <v>4</v>
      </c>
      <c r="C11" s="1" t="s">
        <v>50</v>
      </c>
      <c r="D11" s="1" t="s">
        <v>58</v>
      </c>
      <c r="E11" s="23" t="s">
        <v>59</v>
      </c>
      <c r="F11" s="24" t="s">
        <v>47</v>
      </c>
      <c r="G11" s="1" t="s">
        <v>60</v>
      </c>
      <c r="H11" s="4" t="s">
        <v>61</v>
      </c>
      <c r="I11" s="2" t="s">
        <v>49</v>
      </c>
      <c r="J11" s="2" t="s">
        <v>49</v>
      </c>
      <c r="K11" s="104"/>
      <c r="L11" s="105"/>
      <c r="M11" s="106"/>
    </row>
    <row r="12" spans="2:13">
      <c r="B12" s="2">
        <f t="shared" si="0"/>
        <v>5</v>
      </c>
      <c r="C12" s="1" t="s">
        <v>62</v>
      </c>
      <c r="D12" s="1" t="s">
        <v>63</v>
      </c>
      <c r="E12" s="23" t="s">
        <v>64</v>
      </c>
      <c r="F12" s="24" t="s">
        <v>65</v>
      </c>
      <c r="G12" s="1" t="s">
        <v>66</v>
      </c>
      <c r="H12" s="34" t="s">
        <v>67</v>
      </c>
      <c r="I12" s="2" t="s">
        <v>49</v>
      </c>
      <c r="J12" s="2" t="s">
        <v>49</v>
      </c>
      <c r="K12" s="104"/>
      <c r="L12" s="105"/>
      <c r="M12" s="106"/>
    </row>
    <row r="13" spans="2:13">
      <c r="B13" s="2">
        <f t="shared" si="0"/>
        <v>6</v>
      </c>
      <c r="C13" s="1" t="s">
        <v>68</v>
      </c>
      <c r="D13" s="1" t="s">
        <v>69</v>
      </c>
      <c r="E13" s="23" t="s">
        <v>70</v>
      </c>
      <c r="F13" s="24" t="s">
        <v>65</v>
      </c>
      <c r="G13" s="1" t="s">
        <v>66</v>
      </c>
      <c r="H13" s="34" t="s">
        <v>67</v>
      </c>
      <c r="I13" s="2" t="s">
        <v>49</v>
      </c>
      <c r="J13" s="2" t="s">
        <v>49</v>
      </c>
      <c r="K13" s="104"/>
      <c r="L13" s="105"/>
      <c r="M13" s="106"/>
    </row>
    <row r="14" spans="2:13">
      <c r="B14" s="2">
        <f t="shared" si="0"/>
        <v>7</v>
      </c>
      <c r="C14" s="1" t="s">
        <v>71</v>
      </c>
      <c r="D14" s="1" t="s">
        <v>72</v>
      </c>
      <c r="E14" s="23" t="s">
        <v>73</v>
      </c>
      <c r="F14" s="24" t="s">
        <v>65</v>
      </c>
      <c r="G14" s="1" t="s">
        <v>66</v>
      </c>
      <c r="H14" s="34" t="s">
        <v>67</v>
      </c>
      <c r="I14" s="2" t="s">
        <v>49</v>
      </c>
      <c r="J14" s="2" t="s">
        <v>49</v>
      </c>
      <c r="K14" s="104"/>
      <c r="L14" s="105"/>
      <c r="M14" s="106"/>
    </row>
    <row r="15" spans="2:13">
      <c r="B15" s="2">
        <f t="shared" si="0"/>
        <v>8</v>
      </c>
      <c r="C15" s="1" t="s">
        <v>74</v>
      </c>
      <c r="D15" s="1" t="s">
        <v>75</v>
      </c>
      <c r="E15" s="23" t="s">
        <v>76</v>
      </c>
      <c r="F15" s="24" t="s">
        <v>65</v>
      </c>
      <c r="G15" s="1" t="s">
        <v>66</v>
      </c>
      <c r="H15" s="34" t="s">
        <v>67</v>
      </c>
      <c r="I15" s="2" t="s">
        <v>49</v>
      </c>
      <c r="J15" s="2" t="s">
        <v>49</v>
      </c>
      <c r="K15" s="104"/>
      <c r="L15" s="105"/>
      <c r="M15" s="106"/>
    </row>
    <row r="16" spans="2:13">
      <c r="B16" s="2">
        <f t="shared" si="0"/>
        <v>9</v>
      </c>
      <c r="C16" s="23" t="s">
        <v>77</v>
      </c>
      <c r="D16" s="1" t="s">
        <v>78</v>
      </c>
      <c r="E16" s="1" t="s">
        <v>79</v>
      </c>
      <c r="F16" s="24" t="s">
        <v>80</v>
      </c>
      <c r="G16" s="1" t="s">
        <v>81</v>
      </c>
      <c r="H16" s="34" t="s">
        <v>67</v>
      </c>
      <c r="I16" s="2" t="s">
        <v>49</v>
      </c>
      <c r="J16" s="2" t="s">
        <v>49</v>
      </c>
      <c r="K16" s="104"/>
      <c r="L16" s="105"/>
      <c r="M16" s="106"/>
    </row>
    <row r="17" spans="2:13">
      <c r="B17" s="2">
        <f t="shared" si="0"/>
        <v>10</v>
      </c>
      <c r="C17" s="23" t="s">
        <v>77</v>
      </c>
      <c r="D17" s="1" t="s">
        <v>78</v>
      </c>
      <c r="E17" s="1" t="s">
        <v>82</v>
      </c>
      <c r="F17" s="24" t="s">
        <v>80</v>
      </c>
      <c r="G17" s="1" t="s">
        <v>81</v>
      </c>
      <c r="H17" s="34" t="s">
        <v>67</v>
      </c>
      <c r="I17" s="2" t="s">
        <v>49</v>
      </c>
      <c r="J17" s="2" t="s">
        <v>49</v>
      </c>
      <c r="K17" s="104"/>
      <c r="L17" s="105"/>
      <c r="M17" s="106"/>
    </row>
    <row r="18" spans="2:13">
      <c r="B18" s="2">
        <f t="shared" si="0"/>
        <v>11</v>
      </c>
      <c r="C18" s="23" t="s">
        <v>83</v>
      </c>
      <c r="D18" s="1" t="s">
        <v>84</v>
      </c>
      <c r="E18" s="1" t="s">
        <v>85</v>
      </c>
      <c r="F18" s="24" t="s">
        <v>65</v>
      </c>
      <c r="G18" s="1" t="s">
        <v>66</v>
      </c>
      <c r="H18" s="34" t="s">
        <v>67</v>
      </c>
      <c r="I18" s="2" t="s">
        <v>49</v>
      </c>
      <c r="J18" s="2" t="s">
        <v>49</v>
      </c>
      <c r="K18" s="104"/>
      <c r="L18" s="105"/>
      <c r="M18" s="106"/>
    </row>
    <row r="19" spans="2:13">
      <c r="B19" s="2">
        <f t="shared" si="0"/>
        <v>12</v>
      </c>
      <c r="C19" s="23" t="s">
        <v>86</v>
      </c>
      <c r="D19" s="1" t="s">
        <v>84</v>
      </c>
      <c r="E19" s="1" t="s">
        <v>87</v>
      </c>
      <c r="F19" s="24" t="s">
        <v>65</v>
      </c>
      <c r="G19" s="1" t="s">
        <v>66</v>
      </c>
      <c r="H19" s="34" t="s">
        <v>67</v>
      </c>
      <c r="I19" s="2" t="s">
        <v>49</v>
      </c>
      <c r="J19" s="2" t="s">
        <v>49</v>
      </c>
      <c r="K19" s="104"/>
      <c r="L19" s="105"/>
      <c r="M19" s="106"/>
    </row>
    <row r="20" spans="2:13">
      <c r="B20" s="2">
        <f t="shared" si="0"/>
        <v>13</v>
      </c>
      <c r="C20" s="23" t="s">
        <v>88</v>
      </c>
      <c r="D20" s="1" t="s">
        <v>89</v>
      </c>
      <c r="E20" s="1" t="s">
        <v>90</v>
      </c>
      <c r="F20" s="24" t="s">
        <v>65</v>
      </c>
      <c r="G20" s="1" t="s">
        <v>66</v>
      </c>
      <c r="H20" s="34" t="s">
        <v>67</v>
      </c>
      <c r="I20" s="2" t="s">
        <v>49</v>
      </c>
      <c r="J20" s="2" t="s">
        <v>49</v>
      </c>
      <c r="K20" s="104"/>
      <c r="L20" s="105"/>
      <c r="M20" s="106"/>
    </row>
    <row r="21" spans="2:13">
      <c r="B21" s="2">
        <f t="shared" si="0"/>
        <v>14</v>
      </c>
      <c r="C21" s="23"/>
      <c r="D21" s="1"/>
      <c r="E21" s="1"/>
      <c r="F21" s="24"/>
      <c r="G21" s="1"/>
      <c r="H21" s="4"/>
      <c r="I21" s="2"/>
      <c r="J21" s="2"/>
      <c r="K21" s="104"/>
      <c r="L21" s="105"/>
      <c r="M21" s="106"/>
    </row>
    <row r="22" spans="2:13">
      <c r="B22" s="2">
        <f t="shared" si="0"/>
        <v>15</v>
      </c>
      <c r="C22" s="23"/>
      <c r="D22" s="1"/>
      <c r="E22" s="1"/>
      <c r="F22" s="24"/>
      <c r="G22" s="1"/>
      <c r="H22" s="4"/>
      <c r="I22" s="2"/>
      <c r="J22" s="2"/>
      <c r="K22" s="104"/>
      <c r="L22" s="105"/>
      <c r="M22" s="106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104"/>
      <c r="L23" s="105"/>
      <c r="M23" s="106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104"/>
      <c r="L24" s="105"/>
      <c r="M24" s="106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104"/>
      <c r="L25" s="105"/>
      <c r="M25" s="106"/>
    </row>
    <row r="26" spans="2:13">
      <c r="B26" s="2">
        <f t="shared" si="0"/>
        <v>19</v>
      </c>
      <c r="C26" s="1"/>
      <c r="D26" s="1"/>
      <c r="E26" s="1"/>
      <c r="F26" s="24"/>
      <c r="G26" s="1"/>
      <c r="H26" s="4"/>
      <c r="I26" s="2"/>
      <c r="J26" s="2"/>
      <c r="K26" s="104"/>
      <c r="L26" s="105"/>
      <c r="M26" s="106"/>
    </row>
    <row r="27" spans="2:13">
      <c r="B27" s="2">
        <f t="shared" si="0"/>
        <v>20</v>
      </c>
      <c r="C27" s="1"/>
      <c r="D27" s="1"/>
      <c r="E27" s="1"/>
      <c r="F27" s="24"/>
      <c r="G27" s="1"/>
      <c r="H27" s="4"/>
      <c r="I27" s="2"/>
      <c r="J27" s="2"/>
      <c r="K27" s="104"/>
      <c r="L27" s="105"/>
      <c r="M27" s="106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104"/>
      <c r="L28" s="105"/>
      <c r="M28" s="106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104"/>
      <c r="L29" s="105"/>
      <c r="M29" s="106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104"/>
      <c r="L30" s="105"/>
      <c r="M30" s="106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104"/>
      <c r="L31" s="105"/>
      <c r="M31" s="106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104"/>
      <c r="L32" s="105"/>
      <c r="M32" s="106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104"/>
      <c r="L33" s="105"/>
      <c r="M33" s="106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104"/>
      <c r="L34" s="105"/>
      <c r="M34" s="106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104"/>
      <c r="L35" s="105"/>
      <c r="M35" s="106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104"/>
      <c r="L36" s="105"/>
      <c r="M36" s="106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104"/>
      <c r="L37" s="105"/>
      <c r="M37" s="106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104"/>
      <c r="L38" s="105"/>
      <c r="M38" s="106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104"/>
      <c r="L39" s="105"/>
      <c r="M39" s="106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104"/>
      <c r="L40" s="105"/>
      <c r="M40" s="106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104"/>
      <c r="L41" s="105"/>
      <c r="M41" s="106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104"/>
      <c r="L42" s="105"/>
      <c r="M42" s="106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104"/>
      <c r="L43" s="105"/>
      <c r="M43" s="106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104"/>
      <c r="L44" s="105"/>
      <c r="M44" s="106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104"/>
      <c r="L45" s="105"/>
      <c r="M45" s="106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104"/>
      <c r="L46" s="105"/>
      <c r="M46" s="106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104"/>
      <c r="L47" s="105"/>
      <c r="M47" s="106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104"/>
      <c r="L48" s="105"/>
      <c r="M48" s="106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104"/>
      <c r="L49" s="105"/>
      <c r="M49" s="106"/>
    </row>
    <row r="50" spans="2:13">
      <c r="B50" s="2">
        <f t="shared" si="0"/>
        <v>43</v>
      </c>
      <c r="C50" s="23"/>
      <c r="D50" s="23"/>
      <c r="E50" s="23"/>
      <c r="F50" s="23"/>
      <c r="G50" s="5"/>
      <c r="H50" s="23"/>
      <c r="I50" s="23"/>
      <c r="J50" s="2"/>
      <c r="K50" s="105"/>
      <c r="L50" s="105"/>
      <c r="M50" s="106"/>
    </row>
  </sheetData>
  <mergeCells count="56"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2"/>
  <dataValidations count="1">
    <dataValidation type="list" allowBlank="1" showInputMessage="1" showErrorMessage="1" sqref="I8:J49" xr:uid="{00000000-0002-0000-0100-000000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1000000}">
          <x14:formula1>
            <xm:f>マスタ!$A$2:$A$3</xm:f>
          </x14:formula1>
          <xm:sqref>E3:F3</xm:sqref>
        </x14:dataValidation>
        <x14:dataValidation type="list" allowBlank="1" showInputMessage="1" showErrorMessage="1" xr:uid="{00000000-0002-0000-0100-000002000000}">
          <x14:formula1>
            <xm:f>マスタ!$E$2:$E$11</xm:f>
          </x14:formula1>
          <xm:sqref>F8:F50</xm:sqref>
        </x14:dataValidation>
        <x14:dataValidation type="list" allowBlank="1" showInputMessage="1" showErrorMessage="1" xr:uid="{00000000-0002-0000-0100-000003000000}">
          <x14:formula1>
            <xm:f>マスタ!$D$2:$D$3</xm:f>
          </x14:formula1>
          <xm:sqref>L5</xm:sqref>
        </x14:dataValidation>
        <x14:dataValidation type="list" allowBlank="1" showInputMessage="1" showErrorMessage="1" xr:uid="{00000000-0002-0000-0100-000004000000}">
          <x14:formula1>
            <xm:f>マスタ!$C$2:$C$13</xm:f>
          </x14:formula1>
          <xm:sqref>H5:K5</xm:sqref>
        </x14:dataValidation>
        <x14:dataValidation type="list" allowBlank="1" showInputMessage="1" showErrorMessage="1" xr:uid="{00000000-0002-0000-0100-000005000000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G29"/>
  <sheetViews>
    <sheetView showGridLines="0" zoomScaleNormal="100" zoomScaleSheetLayoutView="100" workbookViewId="0">
      <selection activeCell="AT27" sqref="AT27"/>
    </sheetView>
  </sheetViews>
  <sheetFormatPr defaultColWidth="2.5703125" defaultRowHeight="16.5" customHeight="1"/>
  <cols>
    <col min="1" max="12" width="2.5703125" style="7"/>
    <col min="13" max="17" width="3.28515625" style="7" customWidth="1"/>
    <col min="18" max="22" width="2.5703125" style="7"/>
    <col min="23" max="27" width="3.5703125" style="7" customWidth="1"/>
    <col min="28" max="16384" width="2.5703125" style="7"/>
  </cols>
  <sheetData>
    <row r="1" spans="1:59" ht="11.25" customHeight="1">
      <c r="A1" s="114" t="s">
        <v>91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  <c r="BF1" s="115"/>
      <c r="BG1" s="116"/>
    </row>
    <row r="2" spans="1:59" ht="11.25" customHeight="1">
      <c r="A2" s="117" t="s">
        <v>36</v>
      </c>
      <c r="B2" s="118"/>
      <c r="C2" s="117" t="s">
        <v>92</v>
      </c>
      <c r="D2" s="119"/>
      <c r="E2" s="119"/>
      <c r="F2" s="119"/>
      <c r="G2" s="119"/>
      <c r="H2" s="119"/>
      <c r="I2" s="119"/>
      <c r="J2" s="119"/>
      <c r="K2" s="119"/>
      <c r="L2" s="118"/>
      <c r="M2" s="117" t="s">
        <v>93</v>
      </c>
      <c r="N2" s="119"/>
      <c r="O2" s="119"/>
      <c r="P2" s="118"/>
      <c r="Q2" s="117" t="s">
        <v>94</v>
      </c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18"/>
      <c r="BB2" s="117" t="s">
        <v>95</v>
      </c>
      <c r="BC2" s="119"/>
      <c r="BD2" s="119"/>
      <c r="BE2" s="119"/>
      <c r="BF2" s="119"/>
      <c r="BG2" s="118"/>
    </row>
    <row r="3" spans="1:59" ht="11.25" customHeight="1">
      <c r="A3" s="120">
        <v>1</v>
      </c>
      <c r="B3" s="121"/>
      <c r="C3" s="122"/>
      <c r="D3" s="123"/>
      <c r="E3" s="123"/>
      <c r="F3" s="123"/>
      <c r="G3" s="123"/>
      <c r="H3" s="123"/>
      <c r="I3" s="123"/>
      <c r="J3" s="123"/>
      <c r="K3" s="123"/>
      <c r="L3" s="124"/>
      <c r="M3" s="125"/>
      <c r="N3" s="126"/>
      <c r="O3" s="126"/>
      <c r="P3" s="127"/>
      <c r="Q3" s="122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4"/>
      <c r="BB3" s="122"/>
      <c r="BC3" s="123"/>
      <c r="BD3" s="123"/>
      <c r="BE3" s="123"/>
      <c r="BF3" s="123"/>
      <c r="BG3" s="124"/>
    </row>
    <row r="4" spans="1:59" ht="11.25" customHeight="1">
      <c r="A4" s="120">
        <v>2</v>
      </c>
      <c r="B4" s="121"/>
      <c r="C4" s="122"/>
      <c r="D4" s="123"/>
      <c r="E4" s="123"/>
      <c r="F4" s="123"/>
      <c r="G4" s="123"/>
      <c r="H4" s="123"/>
      <c r="I4" s="123"/>
      <c r="J4" s="123"/>
      <c r="K4" s="123"/>
      <c r="L4" s="124"/>
      <c r="M4" s="125"/>
      <c r="N4" s="126"/>
      <c r="O4" s="126"/>
      <c r="P4" s="127"/>
      <c r="Q4" s="122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3"/>
      <c r="AQ4" s="123"/>
      <c r="AR4" s="123"/>
      <c r="AS4" s="123"/>
      <c r="AT4" s="123"/>
      <c r="AU4" s="123"/>
      <c r="AV4" s="123"/>
      <c r="AW4" s="123"/>
      <c r="AX4" s="123"/>
      <c r="AY4" s="123"/>
      <c r="AZ4" s="123"/>
      <c r="BA4" s="124"/>
      <c r="BB4" s="122"/>
      <c r="BC4" s="123"/>
      <c r="BD4" s="123"/>
      <c r="BE4" s="123"/>
      <c r="BF4" s="123"/>
      <c r="BG4" s="124"/>
    </row>
    <row r="5" spans="1:59" ht="11.25" customHeight="1">
      <c r="A5" s="120">
        <v>3</v>
      </c>
      <c r="B5" s="121"/>
      <c r="C5" s="122"/>
      <c r="D5" s="123"/>
      <c r="E5" s="123"/>
      <c r="F5" s="123"/>
      <c r="G5" s="123"/>
      <c r="H5" s="123"/>
      <c r="I5" s="123"/>
      <c r="J5" s="123"/>
      <c r="K5" s="123"/>
      <c r="L5" s="124"/>
      <c r="M5" s="125"/>
      <c r="N5" s="126"/>
      <c r="O5" s="126"/>
      <c r="P5" s="127"/>
      <c r="Q5" s="122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3"/>
      <c r="AQ5" s="123"/>
      <c r="AR5" s="123"/>
      <c r="AS5" s="123"/>
      <c r="AT5" s="123"/>
      <c r="AU5" s="123"/>
      <c r="AV5" s="123"/>
      <c r="AW5" s="123"/>
      <c r="AX5" s="123"/>
      <c r="AY5" s="123"/>
      <c r="AZ5" s="123"/>
      <c r="BA5" s="124"/>
      <c r="BB5" s="122"/>
      <c r="BC5" s="123"/>
      <c r="BD5" s="123"/>
      <c r="BE5" s="123"/>
      <c r="BF5" s="123"/>
      <c r="BG5" s="124"/>
    </row>
    <row r="6" spans="1:59" ht="11.25" customHeight="1">
      <c r="A6" s="120">
        <v>4</v>
      </c>
      <c r="B6" s="121"/>
      <c r="C6" s="122"/>
      <c r="D6" s="123"/>
      <c r="E6" s="123"/>
      <c r="F6" s="123"/>
      <c r="G6" s="123"/>
      <c r="H6" s="123"/>
      <c r="I6" s="123"/>
      <c r="J6" s="123"/>
      <c r="K6" s="123"/>
      <c r="L6" s="124"/>
      <c r="M6" s="125"/>
      <c r="N6" s="126"/>
      <c r="O6" s="126"/>
      <c r="P6" s="127"/>
      <c r="Q6" s="122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/>
      <c r="AY6" s="123"/>
      <c r="AZ6" s="123"/>
      <c r="BA6" s="124"/>
      <c r="BB6" s="122"/>
      <c r="BC6" s="123"/>
      <c r="BD6" s="123"/>
      <c r="BE6" s="123"/>
      <c r="BF6" s="123"/>
      <c r="BG6" s="124"/>
    </row>
    <row r="7" spans="1:59" ht="11.25" customHeight="1">
      <c r="A7" s="120">
        <v>5</v>
      </c>
      <c r="B7" s="121"/>
      <c r="C7" s="122"/>
      <c r="D7" s="123"/>
      <c r="E7" s="123"/>
      <c r="F7" s="123"/>
      <c r="G7" s="123"/>
      <c r="H7" s="123"/>
      <c r="I7" s="123"/>
      <c r="J7" s="123"/>
      <c r="K7" s="123"/>
      <c r="L7" s="124"/>
      <c r="M7" s="125"/>
      <c r="N7" s="126"/>
      <c r="O7" s="126"/>
      <c r="P7" s="127"/>
      <c r="Q7" s="122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3"/>
      <c r="AQ7" s="123"/>
      <c r="AR7" s="123"/>
      <c r="AS7" s="123"/>
      <c r="AT7" s="123"/>
      <c r="AU7" s="123"/>
      <c r="AV7" s="123"/>
      <c r="AW7" s="123"/>
      <c r="AX7" s="123"/>
      <c r="AY7" s="123"/>
      <c r="AZ7" s="123"/>
      <c r="BA7" s="124"/>
      <c r="BB7" s="122"/>
      <c r="BC7" s="123"/>
      <c r="BD7" s="123"/>
      <c r="BE7" s="123"/>
      <c r="BF7" s="123"/>
      <c r="BG7" s="124"/>
    </row>
    <row r="8" spans="1:59" ht="11.25" customHeight="1">
      <c r="A8" s="114" t="s">
        <v>96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</row>
    <row r="9" spans="1:59" ht="11.25" customHeight="1">
      <c r="A9" s="117" t="s">
        <v>36</v>
      </c>
      <c r="B9" s="118"/>
      <c r="C9" s="117" t="s">
        <v>97</v>
      </c>
      <c r="D9" s="119"/>
      <c r="E9" s="119"/>
      <c r="F9" s="119"/>
      <c r="G9" s="119"/>
      <c r="H9" s="119"/>
      <c r="I9" s="119"/>
      <c r="J9" s="119"/>
      <c r="K9" s="119"/>
      <c r="L9" s="118"/>
      <c r="M9" s="117" t="s">
        <v>98</v>
      </c>
      <c r="N9" s="119"/>
      <c r="O9" s="118"/>
      <c r="P9" s="117" t="s">
        <v>94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8"/>
      <c r="AQ9" s="117" t="s">
        <v>95</v>
      </c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19"/>
      <c r="BD9" s="119"/>
      <c r="BE9" s="119"/>
      <c r="BF9" s="119"/>
      <c r="BG9" s="118"/>
    </row>
    <row r="10" spans="1:59" ht="11.25" customHeight="1">
      <c r="A10" s="120">
        <v>1</v>
      </c>
      <c r="B10" s="121"/>
      <c r="C10" s="122"/>
      <c r="D10" s="123"/>
      <c r="E10" s="123"/>
      <c r="F10" s="123"/>
      <c r="G10" s="123"/>
      <c r="H10" s="123"/>
      <c r="I10" s="123"/>
      <c r="J10" s="123"/>
      <c r="K10" s="123"/>
      <c r="L10" s="124"/>
      <c r="M10" s="128"/>
      <c r="N10" s="128"/>
      <c r="O10" s="128"/>
      <c r="P10" s="122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4"/>
      <c r="AQ10" s="122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4"/>
    </row>
    <row r="11" spans="1:59" ht="11.25" customHeight="1">
      <c r="A11" s="120">
        <v>2</v>
      </c>
      <c r="B11" s="121"/>
      <c r="C11" s="122"/>
      <c r="D11" s="123"/>
      <c r="E11" s="123"/>
      <c r="F11" s="123"/>
      <c r="G11" s="123"/>
      <c r="H11" s="123"/>
      <c r="I11" s="123"/>
      <c r="J11" s="123"/>
      <c r="K11" s="123"/>
      <c r="L11" s="124"/>
      <c r="M11" s="128"/>
      <c r="N11" s="128"/>
      <c r="O11" s="128"/>
      <c r="P11" s="122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4"/>
      <c r="AQ11" s="122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4"/>
    </row>
    <row r="12" spans="1:59" ht="11.25" customHeight="1">
      <c r="A12" s="120">
        <v>3</v>
      </c>
      <c r="B12" s="121"/>
      <c r="C12" s="122"/>
      <c r="D12" s="123"/>
      <c r="E12" s="123"/>
      <c r="F12" s="123"/>
      <c r="G12" s="123"/>
      <c r="H12" s="123"/>
      <c r="I12" s="123"/>
      <c r="J12" s="123"/>
      <c r="K12" s="123"/>
      <c r="L12" s="124"/>
      <c r="M12" s="128"/>
      <c r="N12" s="128"/>
      <c r="O12" s="128"/>
      <c r="P12" s="122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4"/>
      <c r="AQ12" s="122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4"/>
    </row>
    <row r="13" spans="1:59" ht="11.25" customHeight="1">
      <c r="A13" s="120">
        <v>4</v>
      </c>
      <c r="B13" s="121"/>
      <c r="C13" s="122"/>
      <c r="D13" s="123"/>
      <c r="E13" s="123"/>
      <c r="F13" s="123"/>
      <c r="G13" s="123"/>
      <c r="H13" s="123"/>
      <c r="I13" s="123"/>
      <c r="J13" s="123"/>
      <c r="K13" s="123"/>
      <c r="L13" s="124"/>
      <c r="M13" s="128"/>
      <c r="N13" s="128"/>
      <c r="O13" s="128"/>
      <c r="P13" s="122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4"/>
      <c r="AQ13" s="122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3"/>
      <c r="BF13" s="123"/>
      <c r="BG13" s="124"/>
    </row>
    <row r="14" spans="1:59" ht="11.25" customHeight="1">
      <c r="A14" s="120">
        <v>5</v>
      </c>
      <c r="B14" s="121"/>
      <c r="C14" s="122"/>
      <c r="D14" s="123"/>
      <c r="E14" s="123"/>
      <c r="F14" s="123"/>
      <c r="G14" s="123"/>
      <c r="H14" s="123"/>
      <c r="I14" s="123"/>
      <c r="J14" s="123"/>
      <c r="K14" s="123"/>
      <c r="L14" s="124"/>
      <c r="M14" s="128"/>
      <c r="N14" s="128"/>
      <c r="O14" s="128"/>
      <c r="P14" s="122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4"/>
      <c r="AQ14" s="122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3"/>
      <c r="BF14" s="123"/>
      <c r="BG14" s="124"/>
    </row>
    <row r="15" spans="1:59" ht="11.25" customHeight="1">
      <c r="A15" s="114" t="s">
        <v>99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</row>
    <row r="16" spans="1:59" ht="11.25" customHeight="1">
      <c r="A16" s="117" t="s">
        <v>36</v>
      </c>
      <c r="B16" s="118"/>
      <c r="C16" s="117" t="s">
        <v>100</v>
      </c>
      <c r="D16" s="119"/>
      <c r="E16" s="119"/>
      <c r="F16" s="119"/>
      <c r="G16" s="119"/>
      <c r="H16" s="119"/>
      <c r="I16" s="119"/>
      <c r="J16" s="119"/>
      <c r="K16" s="119"/>
      <c r="L16" s="118"/>
      <c r="M16" s="117" t="s">
        <v>101</v>
      </c>
      <c r="N16" s="119"/>
      <c r="O16" s="119"/>
      <c r="P16" s="119"/>
      <c r="Q16" s="118"/>
      <c r="R16" s="117" t="s">
        <v>102</v>
      </c>
      <c r="S16" s="119"/>
      <c r="T16" s="119"/>
      <c r="U16" s="119"/>
      <c r="V16" s="118"/>
      <c r="W16" s="117" t="s">
        <v>103</v>
      </c>
      <c r="X16" s="119"/>
      <c r="Y16" s="119"/>
      <c r="Z16" s="119"/>
      <c r="AA16" s="118"/>
      <c r="AB16" s="117" t="s">
        <v>104</v>
      </c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8"/>
    </row>
    <row r="17" spans="1:59" ht="11.25" customHeight="1">
      <c r="A17" s="120">
        <v>1</v>
      </c>
      <c r="B17" s="121"/>
      <c r="C17" s="122"/>
      <c r="D17" s="123"/>
      <c r="E17" s="123"/>
      <c r="F17" s="123"/>
      <c r="G17" s="123"/>
      <c r="H17" s="123"/>
      <c r="I17" s="123"/>
      <c r="J17" s="123"/>
      <c r="K17" s="123"/>
      <c r="L17" s="124"/>
      <c r="M17" s="120"/>
      <c r="N17" s="129"/>
      <c r="O17" s="129"/>
      <c r="P17" s="129"/>
      <c r="Q17" s="121"/>
      <c r="R17" s="120"/>
      <c r="S17" s="129"/>
      <c r="T17" s="129"/>
      <c r="U17" s="129"/>
      <c r="V17" s="121"/>
      <c r="W17" s="120"/>
      <c r="X17" s="129"/>
      <c r="Y17" s="129"/>
      <c r="Z17" s="129"/>
      <c r="AA17" s="121"/>
      <c r="AB17" s="122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4"/>
    </row>
    <row r="18" spans="1:59" ht="11.25" customHeight="1">
      <c r="A18" s="120">
        <v>2</v>
      </c>
      <c r="B18" s="121"/>
      <c r="C18" s="122"/>
      <c r="D18" s="123"/>
      <c r="E18" s="123"/>
      <c r="F18" s="123"/>
      <c r="G18" s="123"/>
      <c r="H18" s="123"/>
      <c r="I18" s="123"/>
      <c r="J18" s="123"/>
      <c r="K18" s="123"/>
      <c r="L18" s="124"/>
      <c r="M18" s="120"/>
      <c r="N18" s="129"/>
      <c r="O18" s="129"/>
      <c r="P18" s="129"/>
      <c r="Q18" s="121"/>
      <c r="R18" s="120"/>
      <c r="S18" s="129"/>
      <c r="T18" s="129"/>
      <c r="U18" s="129"/>
      <c r="V18" s="121"/>
      <c r="W18" s="120"/>
      <c r="X18" s="129"/>
      <c r="Y18" s="129"/>
      <c r="Z18" s="129"/>
      <c r="AA18" s="121"/>
      <c r="AB18" s="122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4"/>
    </row>
    <row r="19" spans="1:59" ht="11.25" customHeight="1">
      <c r="A19" s="120">
        <v>3</v>
      </c>
      <c r="B19" s="121"/>
      <c r="C19" s="122"/>
      <c r="D19" s="123"/>
      <c r="E19" s="123"/>
      <c r="F19" s="123"/>
      <c r="G19" s="123"/>
      <c r="H19" s="123"/>
      <c r="I19" s="123"/>
      <c r="J19" s="123"/>
      <c r="K19" s="123"/>
      <c r="L19" s="124"/>
      <c r="M19" s="120"/>
      <c r="N19" s="129"/>
      <c r="O19" s="129"/>
      <c r="P19" s="129"/>
      <c r="Q19" s="121"/>
      <c r="R19" s="120"/>
      <c r="S19" s="129"/>
      <c r="T19" s="129"/>
      <c r="U19" s="129"/>
      <c r="V19" s="121"/>
      <c r="W19" s="120"/>
      <c r="X19" s="129"/>
      <c r="Y19" s="129"/>
      <c r="Z19" s="129"/>
      <c r="AA19" s="121"/>
      <c r="AB19" s="130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4"/>
    </row>
    <row r="20" spans="1:59" ht="11.25" customHeight="1">
      <c r="A20" s="114" t="s">
        <v>105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</row>
    <row r="21" spans="1:59" ht="11.25" customHeight="1">
      <c r="A21" s="117" t="s">
        <v>36</v>
      </c>
      <c r="B21" s="118"/>
      <c r="C21" s="117" t="s">
        <v>106</v>
      </c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8"/>
      <c r="R21" s="117" t="s">
        <v>107</v>
      </c>
      <c r="S21" s="119"/>
      <c r="T21" s="119"/>
      <c r="U21" s="119"/>
      <c r="V21" s="119"/>
      <c r="W21" s="119"/>
      <c r="X21" s="119"/>
      <c r="Y21" s="119"/>
      <c r="Z21" s="119"/>
      <c r="AA21" s="118"/>
      <c r="AB21" s="117" t="s">
        <v>108</v>
      </c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8"/>
      <c r="BB21" s="117" t="s">
        <v>95</v>
      </c>
      <c r="BC21" s="119"/>
      <c r="BD21" s="119"/>
      <c r="BE21" s="119"/>
      <c r="BF21" s="119"/>
      <c r="BG21" s="118"/>
    </row>
    <row r="22" spans="1:59" ht="11.25" customHeight="1">
      <c r="A22" s="120">
        <v>1</v>
      </c>
      <c r="B22" s="121"/>
      <c r="C22" s="122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4"/>
      <c r="R22" s="120"/>
      <c r="S22" s="129"/>
      <c r="T22" s="129"/>
      <c r="U22" s="129"/>
      <c r="V22" s="129"/>
      <c r="W22" s="129"/>
      <c r="X22" s="129"/>
      <c r="Y22" s="129"/>
      <c r="Z22" s="129"/>
      <c r="AA22" s="121"/>
      <c r="AB22" s="122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4"/>
      <c r="BB22" s="122"/>
      <c r="BC22" s="123"/>
      <c r="BD22" s="123"/>
      <c r="BE22" s="123"/>
      <c r="BF22" s="123"/>
      <c r="BG22" s="124"/>
    </row>
    <row r="23" spans="1:59" ht="11.25" customHeight="1">
      <c r="A23" s="120">
        <v>2</v>
      </c>
      <c r="B23" s="121"/>
      <c r="C23" s="122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4"/>
      <c r="R23" s="120"/>
      <c r="S23" s="129"/>
      <c r="T23" s="129"/>
      <c r="U23" s="129"/>
      <c r="V23" s="129"/>
      <c r="W23" s="129"/>
      <c r="X23" s="129"/>
      <c r="Y23" s="129"/>
      <c r="Z23" s="129"/>
      <c r="AA23" s="121"/>
      <c r="AB23" s="122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4"/>
      <c r="BB23" s="122"/>
      <c r="BC23" s="123"/>
      <c r="BD23" s="123"/>
      <c r="BE23" s="123"/>
      <c r="BF23" s="123"/>
      <c r="BG23" s="124"/>
    </row>
    <row r="24" spans="1:59" ht="11.25" customHeight="1">
      <c r="A24" s="120">
        <v>3</v>
      </c>
      <c r="B24" s="121"/>
      <c r="C24" s="122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  <c r="R24" s="120"/>
      <c r="S24" s="129"/>
      <c r="T24" s="129"/>
      <c r="U24" s="129"/>
      <c r="V24" s="129"/>
      <c r="W24" s="129"/>
      <c r="X24" s="129"/>
      <c r="Y24" s="129"/>
      <c r="Z24" s="129"/>
      <c r="AA24" s="121"/>
      <c r="AB24" s="122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4"/>
      <c r="BB24" s="122"/>
      <c r="BC24" s="123"/>
      <c r="BD24" s="123"/>
      <c r="BE24" s="123"/>
      <c r="BF24" s="123"/>
      <c r="BG24" s="124"/>
    </row>
    <row r="25" spans="1:59" ht="11.25" customHeight="1">
      <c r="A25" s="135" t="s">
        <v>109</v>
      </c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7"/>
    </row>
    <row r="26" spans="1:59" ht="11.25" customHeight="1">
      <c r="A26" s="131" t="s">
        <v>110</v>
      </c>
      <c r="B26" s="138"/>
      <c r="C26" s="131" t="s">
        <v>111</v>
      </c>
      <c r="D26" s="132"/>
      <c r="E26" s="132"/>
      <c r="F26" s="132"/>
      <c r="G26" s="132"/>
      <c r="H26" s="132"/>
      <c r="I26" s="132"/>
      <c r="J26" s="132"/>
      <c r="K26" s="132"/>
      <c r="L26" s="138"/>
      <c r="M26" s="131" t="s">
        <v>112</v>
      </c>
      <c r="N26" s="132"/>
      <c r="O26" s="132"/>
      <c r="P26" s="132"/>
      <c r="Q26" s="132"/>
      <c r="R26" s="132"/>
      <c r="S26" s="132"/>
      <c r="T26" s="138"/>
      <c r="U26" s="131" t="s">
        <v>113</v>
      </c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2"/>
      <c r="AJ26" s="138"/>
      <c r="AK26" s="131" t="s">
        <v>114</v>
      </c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2"/>
      <c r="BE26" s="132"/>
      <c r="BF26" s="132"/>
      <c r="BG26" s="132"/>
    </row>
    <row r="27" spans="1:59" ht="11.25" customHeight="1">
      <c r="A27" s="133">
        <v>1</v>
      </c>
      <c r="B27" s="134"/>
      <c r="C27" s="142"/>
      <c r="D27" s="143"/>
      <c r="E27" s="143"/>
      <c r="F27" s="143"/>
      <c r="G27" s="143"/>
      <c r="H27" s="143"/>
      <c r="I27" s="143"/>
      <c r="J27" s="143"/>
      <c r="K27" s="143"/>
      <c r="L27" s="144"/>
      <c r="M27" s="142"/>
      <c r="N27" s="143"/>
      <c r="O27" s="143"/>
      <c r="P27" s="143"/>
      <c r="Q27" s="143"/>
      <c r="R27" s="143"/>
      <c r="S27" s="143"/>
      <c r="T27" s="144"/>
      <c r="U27" s="142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4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33">
        <v>2</v>
      </c>
      <c r="B28" s="134"/>
      <c r="C28" s="142"/>
      <c r="D28" s="143"/>
      <c r="E28" s="143"/>
      <c r="F28" s="143"/>
      <c r="G28" s="143"/>
      <c r="H28" s="143"/>
      <c r="I28" s="143"/>
      <c r="J28" s="143"/>
      <c r="K28" s="143"/>
      <c r="L28" s="144"/>
      <c r="M28" s="142"/>
      <c r="N28" s="143"/>
      <c r="O28" s="143"/>
      <c r="P28" s="143"/>
      <c r="Q28" s="143"/>
      <c r="R28" s="143"/>
      <c r="S28" s="143"/>
      <c r="T28" s="144"/>
      <c r="U28" s="142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4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33">
        <v>3</v>
      </c>
      <c r="B29" s="134"/>
      <c r="C29" s="142"/>
      <c r="D29" s="143"/>
      <c r="E29" s="143"/>
      <c r="F29" s="143"/>
      <c r="G29" s="143"/>
      <c r="H29" s="143"/>
      <c r="I29" s="143"/>
      <c r="J29" s="143"/>
      <c r="K29" s="143"/>
      <c r="L29" s="144"/>
      <c r="M29" s="142"/>
      <c r="N29" s="143"/>
      <c r="O29" s="143"/>
      <c r="P29" s="143"/>
      <c r="Q29" s="143"/>
      <c r="R29" s="143"/>
      <c r="S29" s="143"/>
      <c r="T29" s="144"/>
      <c r="U29" s="142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4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00000000-0002-0000-0200-000000000000}">
      <formula1>"Cascade,Restricted,Cascade + Restricted"</formula1>
    </dataValidation>
    <dataValidation type="list" allowBlank="1" showInputMessage="1" showErrorMessage="1" sqref="W17:AA19" xr:uid="{00000000-0002-0000-0200-000001000000}">
      <formula1>"ZeroOne,ExactlyOne,NotSpecified"</formula1>
    </dataValidation>
    <dataValidation type="list" allowBlank="1" showInputMessage="1" showErrorMessage="1" sqref="R17:V19" xr:uid="{00000000-0002-0000-0200-000002000000}">
      <formula1>"ZeroMore,OneMore,ZeroOne,ExactlyOne,NotSpecified"</formula1>
    </dataValidation>
    <dataValidation type="list" showInputMessage="1" showErrorMessage="1" sqref="M17:Q19" xr:uid="{00000000-0002-0000-0200-000003000000}">
      <formula1>"Association,Aggregation,Composition,Specialization,NotSpecified"</formula1>
    </dataValidation>
    <dataValidation type="list" showInputMessage="1" showErrorMessage="1" sqref="M10:O14" xr:uid="{00000000-0002-0000-0200-000004000000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activeCell="B9" sqref="B9"/>
    </sheetView>
  </sheetViews>
  <sheetFormatPr defaultRowHeight="15"/>
  <cols>
    <col min="1" max="2" width="15.140625" bestFit="1" customWidth="1"/>
    <col min="3" max="3" width="18.5703125" bestFit="1" customWidth="1"/>
    <col min="4" max="4" width="15.5703125" bestFit="1" customWidth="1"/>
    <col min="5" max="5" width="13" bestFit="1" customWidth="1"/>
  </cols>
  <sheetData>
    <row r="1" spans="1:5" ht="15.75" thickBot="1">
      <c r="A1" s="25" t="s">
        <v>115</v>
      </c>
      <c r="B1" s="25" t="s">
        <v>116</v>
      </c>
      <c r="C1" s="26" t="s">
        <v>117</v>
      </c>
      <c r="D1" s="27" t="s">
        <v>118</v>
      </c>
      <c r="E1" s="28" t="s">
        <v>119</v>
      </c>
    </row>
    <row r="2" spans="1:5">
      <c r="A2" s="29" t="s">
        <v>23</v>
      </c>
      <c r="B2" s="29" t="s">
        <v>120</v>
      </c>
      <c r="C2" s="30" t="s">
        <v>121</v>
      </c>
      <c r="D2" s="30" t="s">
        <v>122</v>
      </c>
      <c r="E2" s="29" t="s">
        <v>123</v>
      </c>
    </row>
    <row r="3" spans="1:5" ht="15.75" thickBot="1">
      <c r="A3" s="31" t="s">
        <v>124</v>
      </c>
      <c r="B3" s="29" t="s">
        <v>125</v>
      </c>
      <c r="C3" s="30" t="s">
        <v>126</v>
      </c>
      <c r="D3" s="32" t="s">
        <v>127</v>
      </c>
      <c r="E3" s="29" t="s">
        <v>128</v>
      </c>
    </row>
    <row r="4" spans="1:5" ht="15.75" thickBot="1">
      <c r="B4" s="31" t="s">
        <v>129</v>
      </c>
      <c r="C4" s="30" t="s">
        <v>130</v>
      </c>
      <c r="E4" s="29" t="s">
        <v>131</v>
      </c>
    </row>
    <row r="5" spans="1:5">
      <c r="C5" s="29" t="s">
        <v>132</v>
      </c>
      <c r="E5" s="29" t="s">
        <v>133</v>
      </c>
    </row>
    <row r="6" spans="1:5">
      <c r="C6" s="29" t="s">
        <v>134</v>
      </c>
      <c r="E6" s="29" t="s">
        <v>135</v>
      </c>
    </row>
    <row r="7" spans="1:5">
      <c r="C7" s="29" t="s">
        <v>136</v>
      </c>
      <c r="E7" s="29" t="s">
        <v>137</v>
      </c>
    </row>
    <row r="8" spans="1:5">
      <c r="C8" s="29" t="s">
        <v>138</v>
      </c>
      <c r="E8" s="29" t="s">
        <v>139</v>
      </c>
    </row>
    <row r="9" spans="1:5">
      <c r="C9" s="29" t="s">
        <v>140</v>
      </c>
      <c r="E9" s="29" t="s">
        <v>141</v>
      </c>
    </row>
    <row r="10" spans="1:5">
      <c r="C10" s="29" t="s">
        <v>142</v>
      </c>
      <c r="E10" s="29" t="s">
        <v>143</v>
      </c>
    </row>
    <row r="11" spans="1:5" ht="15.75" thickBot="1">
      <c r="C11" s="29" t="s">
        <v>144</v>
      </c>
      <c r="E11" s="31" t="s">
        <v>145</v>
      </c>
    </row>
    <row r="12" spans="1:5">
      <c r="C12" s="29" t="s">
        <v>146</v>
      </c>
    </row>
    <row r="13" spans="1:5" ht="15.75" thickBot="1">
      <c r="C13" s="31" t="s">
        <v>147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C339F-D4B1-434B-8CC0-0954F0CFB986}"/>
</file>

<file path=customXml/itemProps2.xml><?xml version="1.0" encoding="utf-8"?>
<ds:datastoreItem xmlns:ds="http://schemas.openxmlformats.org/officeDocument/2006/customXml" ds:itemID="{A0AED36B-4D24-4927-ADE7-674926389CAC}"/>
</file>

<file path=customXml/itemProps3.xml><?xml version="1.0" encoding="utf-8"?>
<ds:datastoreItem xmlns:ds="http://schemas.openxmlformats.org/officeDocument/2006/customXml" ds:itemID="{0CD90A09-F9C1-4822-8BFB-245A099C4C80}"/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Linh Ly My</cp:lastModifiedBy>
  <cp:revision/>
  <dcterms:created xsi:type="dcterms:W3CDTF">2015-06-05T18:19:34Z</dcterms:created>
  <dcterms:modified xsi:type="dcterms:W3CDTF">2024-11-26T09:58:12Z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