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201" documentId="13_ncr:1_{FA9CD2F2-440D-4F3D-9CFC-95F56A15253D}" xr6:coauthVersionLast="47" xr6:coauthVersionMax="47" xr10:uidLastSave="{011C69BB-64F4-4AC0-B843-D1544B2A16C9}"/>
  <bookViews>
    <workbookView minimized="1" xWindow="0" yWindow="4305" windowWidth="17280" windowHeight="9960" activeTab="1" xr2:uid="{00000000-000D-0000-FFFF-FFFF00000000}"/>
  </bookViews>
  <sheets>
    <sheet name="変更履歴" sheetId="9" r:id="rId1"/>
    <sheet name="テーブル定義(アップロード履歴)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'テーブル定義(アップロード履歴)'!aaaaaa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'テーブル定義(アップロード履歴)'!$A$1:$M$54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'テーブル定義(アップロード履歴)'!SubButtonEnable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'テーブル定義(アップロード履歴)'!SubGetTogether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'テーブル定義(アップロード履歴)'!SubMakeSQL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'テーブル定義(アップロード履歴)'!ｚｚｚｚ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B10" i="5" l="1"/>
  <c r="B9" i="5"/>
  <c r="B25" i="5"/>
  <c r="B24" i="5"/>
  <c r="B23" i="5"/>
  <c r="B22" i="5"/>
  <c r="B21" i="5"/>
  <c r="B8" i="5"/>
  <c r="B11" i="5"/>
  <c r="B12" i="5"/>
  <c r="B13" i="5"/>
  <c r="B15" i="5"/>
  <c r="B16" i="5"/>
  <c r="B17" i="5"/>
  <c r="B18" i="5"/>
  <c r="B19" i="5"/>
  <c r="B20" i="5"/>
  <c r="B26" i="5"/>
  <c r="BA2" i="9" l="1"/>
  <c r="AT2" i="9"/>
  <c r="H2" i="5" s="1"/>
  <c r="AT3" i="9" a="1"/>
  <c r="BA3" i="9"/>
  <c r="H3" i="5" l="1"/>
  <c r="M3" i="5"/>
  <c r="AT3" i="9"/>
  <c r="M2" i="5" l="1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<sst xmlns="http://schemas.openxmlformats.org/spreadsheetml/2006/main" count="198" uniqueCount="145">
  <si>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</si>
  <si>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</si>
  <si>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</si>
  <si>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</si>
  <si>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</si>
  <si>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</si>
  <si>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一般仕訳帳アップロード履歴</t>
    <rPh sb="0" eb="5">
      <t>イッパンシワケチョウ</t>
    </rPh>
    <rPh sb="11" eb="13">
      <t>リレキ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</si>
  <si>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</si>
  <si>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</si>
  <si>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</si>
  <si>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</si>
  <si>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</si>
  <si>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</si>
  <si>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</si>
  <si>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</si>
  <si>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</si>
  <si>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福田</t>
    <rPh sb="4" eb="6">
      <t>フクタ</t>
    </rPh>
    <phoneticPr fontId="2"/>
  </si>
  <si>
    <t>1.0</t>
    <phoneticPr fontId="2"/>
  </si>
  <si>
    <t>その他定義</t>
  </si>
  <si>
    <t>インデックスを追加</t>
  </si>
  <si>
    <t>FPT Edward</t>
  </si>
  <si>
    <t>1.1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</si>
  <si>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</si>
  <si>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</si>
  <si>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</si>
  <si>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</si>
  <si>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</si>
  <si>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</si>
  <si>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</si>
  <si>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</si>
  <si>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</si>
  <si>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</si>
  <si>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</si>
  <si>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</si>
  <si>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</si>
  <si>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</si>
  <si>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一般仕訳帳アップロード履歴</t>
    <phoneticPr fontId="2"/>
  </si>
  <si>
    <t>SJ00195</t>
  </si>
  <si>
    <t>SJ_LedgerJournalExcelUploadHistory</t>
    <phoneticPr fontId="2"/>
  </si>
  <si>
    <t>Regular</t>
  </si>
  <si>
    <t>Miscellaneous</t>
  </si>
  <si>
    <t>アドオン</t>
    <phoneticPr fontId="2"/>
  </si>
  <si>
    <t>Yes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</si>
  <si>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</si>
  <si>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</si>
  <si>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</si>
  <si>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</si>
  <si>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</si>
  <si>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</si>
  <si>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</si>
  <si>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</si>
  <si>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会社コード</t>
  </si>
  <si>
    <t>CompanyCode</t>
    <phoneticPr fontId="2"/>
  </si>
  <si>
    <t>String</t>
  </si>
  <si>
    <t>SJ_DataAreaId</t>
    <phoneticPr fontId="2"/>
  </si>
  <si>
    <t>NO</t>
  </si>
  <si>
    <t>YES</t>
  </si>
  <si>
    <t>ExecutionDateTime</t>
    <phoneticPr fontId="2"/>
  </si>
  <si>
    <t>Date</t>
    <phoneticPr fontId="2"/>
  </si>
  <si>
    <t>SJ_ExecutionDateTime</t>
    <phoneticPr fontId="2"/>
  </si>
  <si>
    <t>ファイル名</t>
    <rPh sb="4" eb="5">
      <t>メイ</t>
    </rPh>
    <phoneticPr fontId="2"/>
  </si>
  <si>
    <t>SJ00030</t>
  </si>
  <si>
    <t>UploadFileName</t>
    <phoneticPr fontId="2"/>
  </si>
  <si>
    <t>String</t>
    <phoneticPr fontId="2"/>
  </si>
  <si>
    <t>SJ_UploadFileName</t>
    <phoneticPr fontId="2"/>
  </si>
  <si>
    <t>正常/エラー</t>
    <rPh sb="0" eb="2">
      <t>セイジョウ</t>
    </rPh>
    <phoneticPr fontId="2"/>
  </si>
  <si>
    <t>SJ00192</t>
  </si>
  <si>
    <t>Result</t>
    <phoneticPr fontId="2"/>
  </si>
  <si>
    <t>SJ_Result</t>
    <phoneticPr fontId="2"/>
  </si>
  <si>
    <t>実行ユーザー</t>
    <rPh sb="0" eb="2">
      <t>ジッコウ</t>
    </rPh>
    <phoneticPr fontId="2"/>
  </si>
  <si>
    <t>UserID</t>
    <phoneticPr fontId="2"/>
  </si>
  <si>
    <t>ExecutionUser</t>
    <phoneticPr fontId="2"/>
  </si>
  <si>
    <t>UserId</t>
    <phoneticPr fontId="2"/>
  </si>
  <si>
    <t>20</t>
    <phoneticPr fontId="2"/>
  </si>
  <si>
    <t>作成者</t>
  </si>
  <si>
    <t>-</t>
    <phoneticPr fontId="2"/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</si>
  <si>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</si>
  <si>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</si>
  <si>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</si>
  <si>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</si>
  <si>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</si>
  <si>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</si>
  <si>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</si>
  <si>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</si>
  <si>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</si>
  <si>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</si>
  <si>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</si>
  <si>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system項目　ModifiedBy:Yes</t>
    <rPh sb="6" eb="8">
      <t>コウモク</t>
    </rPh>
    <phoneticPr fontId="2"/>
  </si>
  <si>
    <t>変更日時</t>
  </si>
  <si>
    <t>modifiedDateTime</t>
  </si>
  <si>
    <t>UtcDateTim</t>
    <phoneticPr fontId="2"/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</si>
  <si>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</si>
  <si>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</si>
  <si>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</si>
  <si>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</si>
  <si>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</si>
  <si>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</si>
  <si>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</si>
  <si>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</si>
  <si>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</si>
  <si>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</si>
  <si>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UploadLogIdx</t>
  </si>
  <si>
    <t>Yes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</si>
  <si>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</si>
  <si>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</si>
  <si>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</si>
  <si>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</si>
  <si>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</si>
  <si>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</si>
  <si>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</si>
  <si>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</si>
  <si>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</si>
  <si>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</si>
  <si>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</si>
  <si>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</si>
  <si>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</si>
  <si>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</si>
  <si>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</si>
  <si>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</si>
  <si>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 山田</t>
    <rPh sb="4" eb="6">
      <t>ヤマダ</t>
    </rPh>
    <phoneticPr fontId="2"/>
  </si>
  <si>
    <t>1.2</t>
    <phoneticPr fontId="2"/>
  </si>
  <si>
    <t>「SJ_DataAreaId」フィールド
標準のDataAreaIdに変更</t>
    <rPh sb="21" eb="23">
      <t>ヒョウジュン</t>
    </rPh>
    <rPh sb="35" eb="37">
      <t>ヘンコウ</t>
    </rPh>
    <phoneticPr fontId="2"/>
  </si>
  <si>
    <t>※RecIDをPKとする</t>
    <phoneticPr fontId="2"/>
  </si>
  <si>
    <t>2024/12/6 JBS山田
標準の「DataAreaId」を使用するため削除</t>
    <rPh sb="13" eb="15">
      <t>ヤマダ</t>
    </rPh>
    <rPh sb="16" eb="18">
      <t>ヒョウジュン</t>
    </rPh>
    <rPh sb="32" eb="34">
      <t>シヨウ</t>
    </rPh>
    <rPh sb="38" eb="40">
      <t>サクジョ</t>
    </rPh>
    <phoneticPr fontId="2"/>
  </si>
  <si>
    <t>-DataAreaId
-ExecutionDateTime
-UploadFileName</t>
    <phoneticPr fontId="2"/>
  </si>
  <si>
    <t>テーブル定義(アップロード履歴)
その他定義</t>
    <rPh sb="19" eb="22">
      <t>タテイギ</t>
    </rPh>
    <phoneticPr fontId="2"/>
  </si>
  <si>
    <t>SJ00023</t>
  </si>
  <si>
    <t>処理開始日時</t>
    <rPh sb="0" eb="6">
      <t>ショリカイシニチジ</t>
    </rPh>
    <phoneticPr fontId="2"/>
  </si>
  <si>
    <t>処理終了日時</t>
    <rPh sb="0" eb="2">
      <t>ショリ</t>
    </rPh>
    <rPh sb="2" eb="4">
      <t>シュウリョウ</t>
    </rPh>
    <rPh sb="4" eb="6">
      <t>ニチジ</t>
    </rPh>
    <phoneticPr fontId="2"/>
  </si>
  <si>
    <t>SJ00024</t>
  </si>
  <si>
    <t>バッチ ジョブID</t>
    <phoneticPr fontId="2"/>
  </si>
  <si>
    <t>SJ00020</t>
    <phoneticPr fontId="2"/>
  </si>
  <si>
    <t>BatchJobId</t>
    <phoneticPr fontId="2"/>
  </si>
  <si>
    <t>Int64</t>
  </si>
  <si>
    <t>SJ_BatchJobId</t>
    <phoneticPr fontId="2"/>
  </si>
  <si>
    <t>BatchJobHistory</t>
    <phoneticPr fontId="2"/>
  </si>
  <si>
    <t>NotSpecified</t>
  </si>
  <si>
    <t>SJ_LedgerJournalExcelUploadHistory.BatchJobId = BatchJobHistory.BatchJobId</t>
    <phoneticPr fontId="2"/>
  </si>
  <si>
    <t>テーブル定義(アップロード履歴)</t>
    <phoneticPr fontId="2"/>
  </si>
  <si>
    <t>EndDateTime</t>
    <phoneticPr fontId="2"/>
  </si>
  <si>
    <t>・ExecutionDateTimeのラベルを変更（実行日時→処理開始日時）
・処理終了日時（EndDateTime）を追加。
・バッチジョブID（BatchJobId）を追加。</t>
    <rPh sb="23" eb="25">
      <t>ヘンコウ</t>
    </rPh>
    <rPh sb="26" eb="30">
      <t>ジッコウニチジ</t>
    </rPh>
    <rPh sb="31" eb="37">
      <t>ショリカイシニチジ</t>
    </rPh>
    <rPh sb="40" eb="46">
      <t>ショリシュウリョウニチジ</t>
    </rPh>
    <rPh sb="60" eb="62">
      <t>ツイカ</t>
    </rPh>
    <rPh sb="86" eb="88">
      <t>ツイカ</t>
    </rPh>
    <phoneticPr fontId="2"/>
  </si>
  <si>
    <t>その他定義</t>
    <phoneticPr fontId="2"/>
  </si>
  <si>
    <t>リレーションを追加。（SJ_LedgerJournalExcelUploadHistory.BatchJobId = BatchJobHistory.BatchJobId）</t>
    <rPh sb="7" eb="9">
      <t>ツイカ</t>
    </rPh>
    <phoneticPr fontId="2"/>
  </si>
  <si>
    <t>JBS井田</t>
    <rPh sb="0" eb="5">
      <t>j</t>
    </rPh>
    <phoneticPr fontId="2"/>
  </si>
  <si>
    <t>1.3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</si>
</sst>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7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 applyAlignment="1">
      <alignment horizontal="right" vertical="center"/>
    </xf>
    <xf numFmtId="49" fontId="8" fillId="6" borderId="3" xfId="2" applyNumberFormat="1" applyFont="1" applyFill="1" applyBorder="1" applyAlignment="1">
      <alignment horizontal="left" vertical="center"/>
    </xf>
    <xf numFmtId="49" fontId="8" fillId="6" borderId="3" xfId="2" applyNumberFormat="1" applyFont="1" applyFill="1" applyBorder="1">
      <alignment vertical="center"/>
    </xf>
    <xf numFmtId="49" fontId="10" fillId="6" borderId="3" xfId="2" applyNumberFormat="1" applyFont="1" applyFill="1" applyBorder="1">
      <alignment vertical="center"/>
    </xf>
    <xf numFmtId="0" fontId="8" fillId="6" borderId="3" xfId="2" applyFont="1" applyFill="1" applyBorder="1" applyAlignment="1">
      <alignment horizontal="right" vertical="center"/>
    </xf>
    <xf numFmtId="0" fontId="8" fillId="6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23" fillId="6" borderId="1" xfId="2" applyFont="1" applyFill="1" applyBorder="1" applyAlignment="1">
      <alignment horizontal="left" vertical="center" wrapText="1"/>
    </xf>
    <xf numFmtId="0" fontId="23" fillId="0" borderId="2" xfId="2" applyFont="1" applyBorder="1" applyAlignment="1">
      <alignment horizontal="left" vertical="center"/>
    </xf>
    <xf numFmtId="0" fontId="23" fillId="0" borderId="4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 wrapText="1"/>
    </xf>
    <xf numFmtId="0" fontId="12" fillId="4" borderId="33" xfId="4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23" fillId="0" borderId="1" xfId="3" applyFont="1" applyBorder="1" applyAlignment="1">
      <alignment vertical="center"/>
    </xf>
    <xf numFmtId="0" fontId="23" fillId="0" borderId="2" xfId="3" applyFont="1" applyBorder="1" applyAlignment="1">
      <alignment vertical="center"/>
    </xf>
    <xf numFmtId="0" fontId="23" fillId="0" borderId="4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49" fontId="23" fillId="0" borderId="3" xfId="2" applyNumberFormat="1" applyFont="1" applyBorder="1" applyAlignment="1">
      <alignment horizontal="left" vertical="center"/>
    </xf>
    <xf numFmtId="0" fontId="23" fillId="0" borderId="3" xfId="2" applyFont="1" applyBorder="1" applyAlignment="1">
      <alignment horizontal="center" vertical="center"/>
    </xf>
    <xf numFmtId="49" fontId="23" fillId="0" borderId="3" xfId="2" applyNumberFormat="1" applyFont="1" applyBorder="1">
      <alignment vertical="center"/>
    </xf>
    <xf numFmtId="49" fontId="23" fillId="0" borderId="3" xfId="2" applyNumberFormat="1" applyFont="1" applyBorder="1" applyAlignment="1">
      <alignment horizontal="right" vertical="center"/>
    </xf>
    <xf numFmtId="0" fontId="23" fillId="0" borderId="1" xfId="2" applyFont="1" applyBorder="1" applyAlignment="1">
      <alignment horizontal="left" vertical="center"/>
    </xf>
    <xf numFmtId="0" fontId="23" fillId="0" borderId="0" xfId="2" applyFont="1">
      <alignment vertical="center"/>
    </xf>
    <xf numFmtId="0" fontId="23" fillId="0" borderId="3" xfId="2" applyFont="1" applyBorder="1" applyAlignment="1">
      <alignment horizontal="right" vertical="center"/>
    </xf>
    <xf numFmtId="0" fontId="23" fillId="0" borderId="1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0" fontId="23" fillId="0" borderId="0" xfId="3" applyFont="1" applyAlignment="1">
      <alignment vertical="center"/>
    </xf>
    <xf numFmtId="0" fontId="24" fillId="0" borderId="1" xfId="3" applyFont="1" applyBorder="1" applyAlignment="1">
      <alignment horizontal="center" vertical="center"/>
    </xf>
    <xf numFmtId="0" fontId="24" fillId="0" borderId="4" xfId="3" applyFont="1" applyBorder="1" applyAlignment="1">
      <alignment horizontal="center" vertical="center"/>
    </xf>
    <xf numFmtId="0" fontId="24" fillId="0" borderId="1" xfId="3" applyFont="1" applyBorder="1" applyAlignment="1">
      <alignment vertical="center"/>
    </xf>
    <xf numFmtId="0" fontId="24" fillId="0" borderId="2" xfId="3" applyFont="1" applyBorder="1" applyAlignment="1">
      <alignment vertical="center"/>
    </xf>
    <xf numFmtId="0" fontId="24" fillId="0" borderId="4" xfId="3" applyFont="1" applyBorder="1" applyAlignment="1">
      <alignment vertical="center"/>
    </xf>
    <xf numFmtId="0" fontId="24" fillId="0" borderId="3" xfId="3" applyFont="1" applyBorder="1" applyAlignment="1">
      <alignment horizontal="center" vertical="center"/>
    </xf>
    <xf numFmtId="0" fontId="24" fillId="0" borderId="1" xfId="3" quotePrefix="1" applyFont="1" applyBorder="1" applyAlignment="1">
      <alignment vertical="center" wrapText="1"/>
    </xf>
    <xf numFmtId="0" fontId="24" fillId="0" borderId="0" xfId="3" applyFont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3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  <sheetName val="テーブル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  <sheetName val="テスト仕様テンプレート"/>
    </sheetNames>
    <sheetDataSet>
      <sheetData sheetId="0"/>
      <sheetData sheetId="1"/>
      <sheetData sheetId="2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  <sheetName val="Q3 Financi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Z28" sqref="AZ28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82" t="s">
        <v>0</v>
      </c>
      <c r="B1" s="83"/>
      <c r="C1" s="83"/>
      <c r="D1" s="83"/>
      <c r="E1" s="84"/>
      <c r="F1" s="85" t="s">
        <v>1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88" t="s">
        <v>2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90"/>
      <c r="AR1" s="88" t="s">
        <v>3</v>
      </c>
      <c r="AS1" s="89"/>
      <c r="AT1" s="89"/>
      <c r="AU1" s="89"/>
      <c r="AV1" s="89"/>
      <c r="AW1" s="89"/>
      <c r="AX1" s="89"/>
      <c r="AY1" s="89"/>
      <c r="AZ1" s="90"/>
      <c r="BA1" s="88" t="s">
        <v>4</v>
      </c>
      <c r="BB1" s="89"/>
      <c r="BC1" s="89"/>
      <c r="BD1" s="89"/>
      <c r="BE1" s="89"/>
      <c r="BF1" s="89"/>
      <c r="BG1" s="89"/>
      <c r="BH1" s="89"/>
      <c r="BI1" s="90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91" t="s">
        <v>5</v>
      </c>
      <c r="B2" s="92"/>
      <c r="C2" s="92"/>
      <c r="D2" s="92"/>
      <c r="E2" s="93"/>
      <c r="F2" s="97" t="s">
        <v>6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3" t="s">
        <v>7</v>
      </c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5"/>
      <c r="AR2" s="109" t="s">
        <v>8</v>
      </c>
      <c r="AS2" s="110"/>
      <c r="AT2" s="111">
        <f>A6</f>
        <v>45448</v>
      </c>
      <c r="AU2" s="112"/>
      <c r="AV2" s="112"/>
      <c r="AW2" s="112"/>
      <c r="AX2" s="112"/>
      <c r="AY2" s="112"/>
      <c r="AZ2" s="113"/>
      <c r="BA2" s="114" t="str">
        <f>AZ6</f>
        <v>JBS　福田</v>
      </c>
      <c r="BB2" s="115"/>
      <c r="BC2" s="115"/>
      <c r="BD2" s="115"/>
      <c r="BE2" s="115"/>
      <c r="BF2" s="115"/>
      <c r="BG2" s="115"/>
      <c r="BH2" s="115"/>
      <c r="BI2" s="116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94"/>
      <c r="B3" s="95"/>
      <c r="C3" s="95"/>
      <c r="D3" s="95"/>
      <c r="E3" s="96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8"/>
      <c r="AR3" s="117" t="s">
        <v>9</v>
      </c>
      <c r="AS3" s="118"/>
      <c r="AT3" s="119" cm="1">
        <f t="array" aca="1" ref="AT3" ca="1">IF(OR(COUNTA(A:E)=3),"",INDIRECT("A"&amp;COUNTA(A:E)+2))</f>
        <v>46192</v>
      </c>
      <c r="AU3" s="120"/>
      <c r="AV3" s="120"/>
      <c r="AW3" s="120"/>
      <c r="AX3" s="120"/>
      <c r="AY3" s="120"/>
      <c r="AZ3" s="121"/>
      <c r="BA3" s="122" t="str">
        <f ca="1">IF(COUNTA(AZ5:BD100000)=1,"",INDIRECT("変更履歴!AZ"&amp;COUNTA(AZ5:BD100000)+4))</f>
        <v>JBS井田</v>
      </c>
      <c r="BB3" s="123"/>
      <c r="BC3" s="123"/>
      <c r="BD3" s="123"/>
      <c r="BE3" s="123"/>
      <c r="BF3" s="123"/>
      <c r="BG3" s="123"/>
      <c r="BH3" s="123"/>
      <c r="BI3" s="124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10</v>
      </c>
      <c r="B5" s="76"/>
      <c r="C5" s="76"/>
      <c r="D5" s="76"/>
      <c r="E5" s="76"/>
      <c r="F5" s="76" t="s">
        <v>11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12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13</v>
      </c>
      <c r="BA5" s="76"/>
      <c r="BB5" s="76"/>
      <c r="BC5" s="76"/>
      <c r="BD5" s="76"/>
      <c r="BE5" s="76" t="s">
        <v>14</v>
      </c>
      <c r="BF5" s="76"/>
      <c r="BG5" s="76"/>
      <c r="BH5" s="76"/>
      <c r="BI5" s="76"/>
    </row>
    <row r="6" spans="1:68" ht="14.4">
      <c r="A6" s="74">
        <v>45448</v>
      </c>
      <c r="B6" s="74"/>
      <c r="C6" s="74"/>
      <c r="D6" s="74"/>
      <c r="E6" s="74"/>
      <c r="F6" s="77" t="s">
        <v>15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 t="s">
        <v>15</v>
      </c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9" t="s">
        <v>16</v>
      </c>
      <c r="BA6" s="79"/>
      <c r="BB6" s="79"/>
      <c r="BC6" s="79"/>
      <c r="BD6" s="79"/>
      <c r="BE6" s="80" t="s">
        <v>17</v>
      </c>
      <c r="BF6" s="81"/>
      <c r="BG6" s="81"/>
      <c r="BH6" s="81"/>
      <c r="BI6" s="81"/>
    </row>
    <row r="7" spans="1:68" ht="14.4">
      <c r="A7" s="74">
        <v>45627</v>
      </c>
      <c r="B7" s="74"/>
      <c r="C7" s="74"/>
      <c r="D7" s="74"/>
      <c r="E7" s="74"/>
      <c r="F7" s="64" t="s">
        <v>18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73" t="s">
        <v>19</v>
      </c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6" t="s">
        <v>20</v>
      </c>
      <c r="BA7" s="66"/>
      <c r="BB7" s="66"/>
      <c r="BC7" s="66"/>
      <c r="BD7" s="66"/>
      <c r="BE7" s="67" t="s">
        <v>21</v>
      </c>
      <c r="BF7" s="67"/>
      <c r="BG7" s="67"/>
      <c r="BH7" s="67"/>
      <c r="BI7" s="67"/>
    </row>
    <row r="8" spans="1:68" ht="29.55" customHeight="1">
      <c r="A8" s="63">
        <v>45632</v>
      </c>
      <c r="B8" s="63"/>
      <c r="C8" s="63"/>
      <c r="D8" s="63"/>
      <c r="E8" s="63"/>
      <c r="F8" s="75" t="s">
        <v>125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73" t="s">
        <v>121</v>
      </c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6" t="s">
        <v>119</v>
      </c>
      <c r="BA8" s="66"/>
      <c r="BB8" s="66"/>
      <c r="BC8" s="66"/>
      <c r="BD8" s="66"/>
      <c r="BE8" s="67" t="s">
        <v>120</v>
      </c>
      <c r="BF8" s="67"/>
      <c r="BG8" s="67"/>
      <c r="BH8" s="67"/>
      <c r="BI8" s="67"/>
    </row>
    <row r="9" spans="1:68" ht="49.8" customHeight="1">
      <c r="A9" s="63">
        <v>46192</v>
      </c>
      <c r="B9" s="63"/>
      <c r="C9" s="63"/>
      <c r="D9" s="63"/>
      <c r="E9" s="63"/>
      <c r="F9" s="64" t="s">
        <v>138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73" t="s">
        <v>140</v>
      </c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6" t="s">
        <v>143</v>
      </c>
      <c r="BA9" s="66"/>
      <c r="BB9" s="66"/>
      <c r="BC9" s="66"/>
      <c r="BD9" s="66"/>
      <c r="BE9" s="67" t="s">
        <v>144</v>
      </c>
      <c r="BF9" s="67"/>
      <c r="BG9" s="67"/>
      <c r="BH9" s="67"/>
      <c r="BI9" s="67"/>
    </row>
    <row r="10" spans="1:68" ht="15" customHeight="1">
      <c r="A10" s="63">
        <v>46192</v>
      </c>
      <c r="B10" s="63"/>
      <c r="C10" s="63"/>
      <c r="D10" s="63"/>
      <c r="E10" s="63"/>
      <c r="F10" s="64" t="s">
        <v>141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5" t="s">
        <v>142</v>
      </c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6" t="s">
        <v>143</v>
      </c>
      <c r="BA10" s="66"/>
      <c r="BB10" s="66"/>
      <c r="BC10" s="66"/>
      <c r="BD10" s="66"/>
      <c r="BE10" s="67" t="s">
        <v>144</v>
      </c>
      <c r="BF10" s="67"/>
      <c r="BG10" s="67"/>
      <c r="BH10" s="67"/>
      <c r="BI10" s="67"/>
    </row>
    <row r="11" spans="1:68" ht="15" customHeight="1">
      <c r="A11" s="63"/>
      <c r="B11" s="63"/>
      <c r="C11" s="63"/>
      <c r="D11" s="63"/>
      <c r="E11" s="63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6"/>
      <c r="BA11" s="66"/>
      <c r="BB11" s="66"/>
      <c r="BC11" s="66"/>
      <c r="BD11" s="66"/>
      <c r="BE11" s="67"/>
      <c r="BF11" s="67"/>
      <c r="BG11" s="67"/>
      <c r="BH11" s="67"/>
      <c r="BI11" s="67"/>
    </row>
    <row r="12" spans="1:68" ht="15" customHeight="1">
      <c r="A12" s="63"/>
      <c r="B12" s="63"/>
      <c r="C12" s="63"/>
      <c r="D12" s="63"/>
      <c r="E12" s="63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6"/>
      <c r="BA12" s="66"/>
      <c r="BB12" s="66"/>
      <c r="BC12" s="66"/>
      <c r="BD12" s="66"/>
      <c r="BE12" s="67"/>
      <c r="BF12" s="67"/>
      <c r="BG12" s="67"/>
      <c r="BH12" s="67"/>
      <c r="BI12" s="67"/>
    </row>
    <row r="13" spans="1:68" ht="15" customHeight="1">
      <c r="A13" s="63"/>
      <c r="B13" s="63"/>
      <c r="C13" s="63"/>
      <c r="D13" s="63"/>
      <c r="E13" s="63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6"/>
      <c r="BA13" s="66"/>
      <c r="BB13" s="66"/>
      <c r="BC13" s="66"/>
      <c r="BD13" s="66"/>
      <c r="BE13" s="67"/>
      <c r="BF13" s="67"/>
      <c r="BG13" s="67"/>
      <c r="BH13" s="67"/>
      <c r="BI13" s="67"/>
    </row>
    <row r="14" spans="1:68" ht="15" customHeight="1">
      <c r="A14" s="63"/>
      <c r="B14" s="63"/>
      <c r="C14" s="63"/>
      <c r="D14" s="63"/>
      <c r="E14" s="63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6"/>
      <c r="BA14" s="66"/>
      <c r="BB14" s="66"/>
      <c r="BC14" s="66"/>
      <c r="BD14" s="66"/>
      <c r="BE14" s="67"/>
      <c r="BF14" s="67"/>
      <c r="BG14" s="67"/>
      <c r="BH14" s="67"/>
      <c r="BI14" s="67"/>
    </row>
    <row r="15" spans="1:68" ht="15" customHeight="1">
      <c r="A15" s="63"/>
      <c r="B15" s="63"/>
      <c r="C15" s="63"/>
      <c r="D15" s="63"/>
      <c r="E15" s="63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6"/>
      <c r="BA15" s="66"/>
      <c r="BB15" s="66"/>
      <c r="BC15" s="66"/>
      <c r="BD15" s="66"/>
      <c r="BE15" s="67"/>
      <c r="BF15" s="67"/>
      <c r="BG15" s="67"/>
      <c r="BH15" s="67"/>
      <c r="BI15" s="67"/>
    </row>
    <row r="16" spans="1:68" ht="15" customHeight="1">
      <c r="A16" s="63"/>
      <c r="B16" s="63"/>
      <c r="C16" s="63"/>
      <c r="D16" s="63"/>
      <c r="E16" s="63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6"/>
      <c r="BA16" s="66"/>
      <c r="BB16" s="66"/>
      <c r="BC16" s="66"/>
      <c r="BD16" s="66"/>
      <c r="BE16" s="67"/>
      <c r="BF16" s="67"/>
      <c r="BG16" s="67"/>
      <c r="BH16" s="67"/>
      <c r="BI16" s="67"/>
    </row>
    <row r="17" spans="1:61" ht="15" customHeight="1">
      <c r="A17" s="63"/>
      <c r="B17" s="63"/>
      <c r="C17" s="63"/>
      <c r="D17" s="63"/>
      <c r="E17" s="63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6"/>
      <c r="BA17" s="66"/>
      <c r="BB17" s="66"/>
      <c r="BC17" s="66"/>
      <c r="BD17" s="66"/>
      <c r="BE17" s="67"/>
      <c r="BF17" s="67"/>
      <c r="BG17" s="67"/>
      <c r="BH17" s="67"/>
      <c r="BI17" s="67"/>
    </row>
    <row r="18" spans="1:61" ht="15" customHeight="1">
      <c r="A18" s="63"/>
      <c r="B18" s="63"/>
      <c r="C18" s="63"/>
      <c r="D18" s="63"/>
      <c r="E18" s="63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6"/>
      <c r="BA18" s="66"/>
      <c r="BB18" s="66"/>
      <c r="BC18" s="66"/>
      <c r="BD18" s="66"/>
      <c r="BE18" s="67"/>
      <c r="BF18" s="67"/>
      <c r="BG18" s="67"/>
      <c r="BH18" s="67"/>
      <c r="BI18" s="67"/>
    </row>
    <row r="19" spans="1:61" ht="15" customHeight="1">
      <c r="A19" s="63"/>
      <c r="B19" s="63"/>
      <c r="C19" s="63"/>
      <c r="D19" s="63"/>
      <c r="E19" s="63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6"/>
      <c r="BA19" s="66"/>
      <c r="BB19" s="66"/>
      <c r="BC19" s="66"/>
      <c r="BD19" s="66"/>
      <c r="BE19" s="67"/>
      <c r="BF19" s="67"/>
      <c r="BG19" s="67"/>
      <c r="BH19" s="67"/>
      <c r="BI19" s="67"/>
    </row>
    <row r="20" spans="1:61" ht="15" customHeight="1">
      <c r="A20" s="63"/>
      <c r="B20" s="63"/>
      <c r="C20" s="63"/>
      <c r="D20" s="63"/>
      <c r="E20" s="63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6"/>
      <c r="BA20" s="66"/>
      <c r="BB20" s="66"/>
      <c r="BC20" s="66"/>
      <c r="BD20" s="66"/>
      <c r="BE20" s="67"/>
      <c r="BF20" s="67"/>
      <c r="BG20" s="67"/>
      <c r="BH20" s="67"/>
      <c r="BI20" s="67"/>
    </row>
    <row r="21" spans="1:61" ht="15" customHeight="1">
      <c r="A21" s="63"/>
      <c r="B21" s="63"/>
      <c r="C21" s="63"/>
      <c r="D21" s="63"/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6"/>
      <c r="BA21" s="66"/>
      <c r="BB21" s="66"/>
      <c r="BC21" s="66"/>
      <c r="BD21" s="66"/>
      <c r="BE21" s="67"/>
      <c r="BF21" s="67"/>
      <c r="BG21" s="67"/>
      <c r="BH21" s="67"/>
      <c r="BI21" s="67"/>
    </row>
    <row r="22" spans="1:61" ht="15" customHeight="1" thickBot="1">
      <c r="A22" s="68"/>
      <c r="B22" s="68"/>
      <c r="C22" s="68"/>
      <c r="D22" s="68"/>
      <c r="E22" s="68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1"/>
      <c r="BA22" s="71"/>
      <c r="BB22" s="71"/>
      <c r="BC22" s="71"/>
      <c r="BD22" s="71"/>
      <c r="BE22" s="72"/>
      <c r="BF22" s="72"/>
      <c r="BG22" s="72"/>
      <c r="BH22" s="72"/>
      <c r="BI22" s="72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3"/>
  <sheetViews>
    <sheetView showGridLines="0" tabSelected="1" zoomScaleNormal="100" zoomScaleSheetLayoutView="89" workbookViewId="0">
      <selection activeCell="E14" sqref="E14"/>
    </sheetView>
  </sheetViews>
  <sheetFormatPr defaultColWidth="9" defaultRowHeight="12.6"/>
  <cols>
    <col min="1" max="1" width="0.7968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2968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796875" style="19" customWidth="1"/>
    <col min="15" max="16384" width="9" style="19"/>
  </cols>
  <sheetData>
    <row r="1" spans="2:13" ht="5.0999999999999996" customHeight="1"/>
    <row r="2" spans="2:13">
      <c r="B2" s="36" t="s">
        <v>22</v>
      </c>
      <c r="C2" s="36"/>
      <c r="D2" s="36"/>
      <c r="E2" s="36" t="s">
        <v>23</v>
      </c>
      <c r="F2" s="36"/>
      <c r="G2" s="20" t="s">
        <v>24</v>
      </c>
      <c r="H2" s="37">
        <f>変更履歴!AT2</f>
        <v>45448</v>
      </c>
      <c r="I2" s="38"/>
      <c r="J2" s="38"/>
      <c r="K2" s="39"/>
      <c r="L2" s="10" t="s">
        <v>25</v>
      </c>
      <c r="M2" s="6">
        <f ca="1">変更履歴!AT3</f>
        <v>46192</v>
      </c>
    </row>
    <row r="3" spans="2:13">
      <c r="B3" s="40" t="s">
        <v>26</v>
      </c>
      <c r="C3" s="40"/>
      <c r="D3" s="40"/>
      <c r="E3" s="40" t="s">
        <v>27</v>
      </c>
      <c r="F3" s="40"/>
      <c r="G3" s="20" t="s">
        <v>28</v>
      </c>
      <c r="H3" s="41" t="str">
        <f>変更履歴!BA2</f>
        <v>JBS　福田</v>
      </c>
      <c r="I3" s="42"/>
      <c r="J3" s="42"/>
      <c r="K3" s="43"/>
      <c r="L3" s="10" t="s">
        <v>29</v>
      </c>
      <c r="M3" s="2" t="str">
        <f ca="1">変更履歴!BA3</f>
        <v>JBS井田</v>
      </c>
    </row>
    <row r="4" spans="2:13">
      <c r="B4" s="36" t="s">
        <v>30</v>
      </c>
      <c r="C4" s="36"/>
      <c r="D4" s="9" t="s">
        <v>31</v>
      </c>
      <c r="E4" s="47" t="s">
        <v>32</v>
      </c>
      <c r="F4" s="48"/>
      <c r="G4" s="20" t="s">
        <v>33</v>
      </c>
      <c r="H4" s="49" t="s">
        <v>34</v>
      </c>
      <c r="I4" s="50"/>
      <c r="J4" s="50"/>
      <c r="K4" s="51"/>
      <c r="L4" s="20" t="s">
        <v>35</v>
      </c>
      <c r="M4" s="11"/>
    </row>
    <row r="5" spans="2:13">
      <c r="B5" s="40" t="s">
        <v>36</v>
      </c>
      <c r="C5" s="40"/>
      <c r="D5" s="1" t="s">
        <v>37</v>
      </c>
      <c r="E5" s="52" t="s">
        <v>38</v>
      </c>
      <c r="F5" s="53"/>
      <c r="G5" s="21" t="s">
        <v>39</v>
      </c>
      <c r="H5" s="54" t="s">
        <v>40</v>
      </c>
      <c r="I5" s="55"/>
      <c r="J5" s="55"/>
      <c r="K5" s="56"/>
      <c r="L5" s="21" t="s">
        <v>41</v>
      </c>
      <c r="M5" s="22" t="s">
        <v>42</v>
      </c>
    </row>
    <row r="6" spans="2:13" ht="5.0999999999999996" customHeight="1"/>
    <row r="7" spans="2:13">
      <c r="B7" s="8" t="s">
        <v>43</v>
      </c>
      <c r="C7" s="8" t="s">
        <v>44</v>
      </c>
      <c r="D7" s="8" t="s">
        <v>31</v>
      </c>
      <c r="E7" s="8" t="s">
        <v>45</v>
      </c>
      <c r="F7" s="8" t="s">
        <v>46</v>
      </c>
      <c r="G7" s="8" t="s">
        <v>47</v>
      </c>
      <c r="H7" s="8" t="s">
        <v>48</v>
      </c>
      <c r="I7" s="8" t="s">
        <v>49</v>
      </c>
      <c r="J7" s="8" t="s">
        <v>50</v>
      </c>
      <c r="K7" s="57"/>
      <c r="L7" s="57"/>
      <c r="M7" s="58"/>
    </row>
    <row r="8" spans="2:13" ht="25.5" customHeight="1">
      <c r="B8" s="2">
        <f t="shared" ref="B8:B53" si="0">ROW()-7</f>
        <v>1</v>
      </c>
      <c r="C8" s="31" t="s">
        <v>51</v>
      </c>
      <c r="D8" s="31" t="s">
        <v>52</v>
      </c>
      <c r="E8" s="32" t="s">
        <v>54</v>
      </c>
      <c r="F8" s="33" t="s">
        <v>53</v>
      </c>
      <c r="G8" s="32" t="s">
        <v>54</v>
      </c>
      <c r="H8" s="34">
        <v>4</v>
      </c>
      <c r="I8" s="35" t="s">
        <v>55</v>
      </c>
      <c r="J8" s="35" t="s">
        <v>56</v>
      </c>
      <c r="K8" s="59" t="s">
        <v>123</v>
      </c>
      <c r="L8" s="60"/>
      <c r="M8" s="61"/>
    </row>
    <row r="9" spans="2:13">
      <c r="B9" s="2">
        <f t="shared" si="0"/>
        <v>2</v>
      </c>
      <c r="C9" s="156" t="s">
        <v>127</v>
      </c>
      <c r="D9" s="156" t="s">
        <v>126</v>
      </c>
      <c r="E9" s="23" t="s">
        <v>57</v>
      </c>
      <c r="F9" s="24" t="s">
        <v>58</v>
      </c>
      <c r="G9" s="1" t="s">
        <v>59</v>
      </c>
      <c r="H9" s="4"/>
      <c r="I9" s="2" t="s">
        <v>55</v>
      </c>
      <c r="J9" s="2" t="s">
        <v>56</v>
      </c>
      <c r="K9" s="52" t="s">
        <v>122</v>
      </c>
      <c r="L9" s="62"/>
      <c r="M9" s="53"/>
    </row>
    <row r="10" spans="2:13" s="161" customFormat="1">
      <c r="B10" s="157">
        <f t="shared" si="0"/>
        <v>3</v>
      </c>
      <c r="C10" s="156" t="s">
        <v>128</v>
      </c>
      <c r="D10" s="156" t="s">
        <v>129</v>
      </c>
      <c r="E10" s="158" t="s">
        <v>139</v>
      </c>
      <c r="F10" s="158" t="s">
        <v>58</v>
      </c>
      <c r="G10" s="156" t="s">
        <v>59</v>
      </c>
      <c r="H10" s="159"/>
      <c r="I10" s="157" t="s">
        <v>55</v>
      </c>
      <c r="J10" s="157" t="s">
        <v>55</v>
      </c>
      <c r="K10" s="160"/>
      <c r="L10" s="60"/>
      <c r="M10" s="61"/>
    </row>
    <row r="11" spans="2:13">
      <c r="B11" s="2">
        <f t="shared" si="0"/>
        <v>4</v>
      </c>
      <c r="C11" s="1" t="s">
        <v>60</v>
      </c>
      <c r="D11" s="1" t="s">
        <v>61</v>
      </c>
      <c r="E11" s="23" t="s">
        <v>62</v>
      </c>
      <c r="F11" s="24" t="s">
        <v>63</v>
      </c>
      <c r="G11" s="1" t="s">
        <v>64</v>
      </c>
      <c r="H11" s="3">
        <v>40</v>
      </c>
      <c r="I11" s="2" t="s">
        <v>55</v>
      </c>
      <c r="J11" s="2" t="s">
        <v>56</v>
      </c>
      <c r="K11" s="52"/>
      <c r="L11" s="62"/>
      <c r="M11" s="53"/>
    </row>
    <row r="12" spans="2:13">
      <c r="B12" s="2">
        <f t="shared" si="0"/>
        <v>5</v>
      </c>
      <c r="C12" s="1" t="s">
        <v>65</v>
      </c>
      <c r="D12" s="1" t="s">
        <v>66</v>
      </c>
      <c r="E12" s="23" t="s">
        <v>67</v>
      </c>
      <c r="F12" s="24" t="s">
        <v>63</v>
      </c>
      <c r="G12" s="1" t="s">
        <v>68</v>
      </c>
      <c r="H12" s="3">
        <v>20</v>
      </c>
      <c r="I12" s="2" t="s">
        <v>55</v>
      </c>
      <c r="J12" s="2" t="s">
        <v>55</v>
      </c>
      <c r="K12" s="52"/>
      <c r="L12" s="62"/>
      <c r="M12" s="53"/>
    </row>
    <row r="13" spans="2:13">
      <c r="B13" s="2">
        <f t="shared" si="0"/>
        <v>6</v>
      </c>
      <c r="C13" s="1" t="s">
        <v>69</v>
      </c>
      <c r="D13" s="1" t="s">
        <v>70</v>
      </c>
      <c r="E13" s="23" t="s">
        <v>71</v>
      </c>
      <c r="F13" s="24" t="s">
        <v>63</v>
      </c>
      <c r="G13" s="1" t="s">
        <v>72</v>
      </c>
      <c r="H13" s="4" t="s">
        <v>73</v>
      </c>
      <c r="I13" s="2" t="s">
        <v>55</v>
      </c>
      <c r="J13" s="2" t="s">
        <v>55</v>
      </c>
      <c r="K13" s="52"/>
      <c r="L13" s="62"/>
      <c r="M13" s="53"/>
    </row>
    <row r="14" spans="2:13" s="161" customFormat="1">
      <c r="B14" s="157">
        <f t="shared" si="0"/>
        <v>7</v>
      </c>
      <c r="C14" s="156" t="s">
        <v>130</v>
      </c>
      <c r="D14" s="156" t="s">
        <v>131</v>
      </c>
      <c r="E14" s="158" t="s">
        <v>132</v>
      </c>
      <c r="F14" s="158" t="s">
        <v>133</v>
      </c>
      <c r="G14" s="156" t="s">
        <v>134</v>
      </c>
      <c r="H14" s="162"/>
      <c r="I14" s="157" t="s">
        <v>55</v>
      </c>
      <c r="J14" s="157" t="s">
        <v>55</v>
      </c>
      <c r="K14" s="160"/>
      <c r="L14" s="60"/>
      <c r="M14" s="61"/>
    </row>
    <row r="15" spans="2:13">
      <c r="B15" s="2">
        <f t="shared" si="0"/>
        <v>8</v>
      </c>
      <c r="C15" s="25" t="s">
        <v>74</v>
      </c>
      <c r="D15" s="26" t="s">
        <v>75</v>
      </c>
      <c r="E15" s="26" t="s">
        <v>76</v>
      </c>
      <c r="F15" s="27" t="s">
        <v>53</v>
      </c>
      <c r="G15" s="26" t="s">
        <v>77</v>
      </c>
      <c r="H15" s="28">
        <v>20</v>
      </c>
      <c r="I15" s="29" t="s">
        <v>55</v>
      </c>
      <c r="J15" s="29" t="s">
        <v>55</v>
      </c>
      <c r="K15" s="44" t="s">
        <v>78</v>
      </c>
      <c r="L15" s="45"/>
      <c r="M15" s="46"/>
    </row>
    <row r="16" spans="2:13">
      <c r="B16" s="2">
        <f t="shared" si="0"/>
        <v>9</v>
      </c>
      <c r="C16" s="25" t="s">
        <v>79</v>
      </c>
      <c r="D16" s="26" t="s">
        <v>75</v>
      </c>
      <c r="E16" s="26" t="s">
        <v>80</v>
      </c>
      <c r="F16" s="27" t="s">
        <v>81</v>
      </c>
      <c r="G16" s="26" t="s">
        <v>82</v>
      </c>
      <c r="H16" s="30"/>
      <c r="I16" s="29" t="s">
        <v>55</v>
      </c>
      <c r="J16" s="29" t="s">
        <v>55</v>
      </c>
      <c r="K16" s="44" t="s">
        <v>83</v>
      </c>
      <c r="L16" s="45"/>
      <c r="M16" s="46"/>
    </row>
    <row r="17" spans="2:13">
      <c r="B17" s="2">
        <f t="shared" si="0"/>
        <v>10</v>
      </c>
      <c r="C17" s="25" t="s">
        <v>84</v>
      </c>
      <c r="D17" s="26" t="s">
        <v>75</v>
      </c>
      <c r="E17" s="26" t="s">
        <v>85</v>
      </c>
      <c r="F17" s="27" t="s">
        <v>53</v>
      </c>
      <c r="G17" s="26" t="s">
        <v>86</v>
      </c>
      <c r="H17" s="30" t="s">
        <v>73</v>
      </c>
      <c r="I17" s="29" t="s">
        <v>55</v>
      </c>
      <c r="J17" s="29" t="s">
        <v>55</v>
      </c>
      <c r="K17" s="44" t="s">
        <v>87</v>
      </c>
      <c r="L17" s="45"/>
      <c r="M17" s="46"/>
    </row>
    <row r="18" spans="2:13">
      <c r="B18" s="2">
        <f t="shared" si="0"/>
        <v>11</v>
      </c>
      <c r="C18" s="25" t="s">
        <v>88</v>
      </c>
      <c r="D18" s="26" t="s">
        <v>75</v>
      </c>
      <c r="E18" s="26" t="s">
        <v>89</v>
      </c>
      <c r="F18" s="27" t="s">
        <v>90</v>
      </c>
      <c r="G18" s="26" t="s">
        <v>91</v>
      </c>
      <c r="H18" s="30"/>
      <c r="I18" s="29" t="s">
        <v>55</v>
      </c>
      <c r="J18" s="29" t="s">
        <v>55</v>
      </c>
      <c r="K18" s="44" t="s">
        <v>92</v>
      </c>
      <c r="L18" s="45"/>
      <c r="M18" s="46"/>
    </row>
    <row r="19" spans="2:13">
      <c r="B19" s="2">
        <f t="shared" si="0"/>
        <v>12</v>
      </c>
      <c r="C19" s="1"/>
      <c r="D19" s="1" t="s">
        <v>75</v>
      </c>
      <c r="E19" s="23"/>
      <c r="F19" s="24"/>
      <c r="G19" s="1"/>
      <c r="H19" s="4"/>
      <c r="I19" s="2"/>
      <c r="J19" s="2"/>
      <c r="K19" s="52"/>
      <c r="L19" s="62"/>
      <c r="M19" s="53"/>
    </row>
    <row r="20" spans="2:13">
      <c r="B20" s="2">
        <f t="shared" si="0"/>
        <v>13</v>
      </c>
      <c r="C20" s="23"/>
      <c r="D20" s="1" t="s">
        <v>75</v>
      </c>
      <c r="E20" s="1"/>
      <c r="F20" s="24"/>
      <c r="G20" s="1"/>
      <c r="H20" s="4"/>
      <c r="I20" s="2"/>
      <c r="J20" s="2"/>
      <c r="K20" s="52"/>
      <c r="L20" s="62"/>
      <c r="M20" s="53"/>
    </row>
    <row r="21" spans="2:13">
      <c r="B21" s="2">
        <f t="shared" si="0"/>
        <v>14</v>
      </c>
      <c r="C21" s="23"/>
      <c r="D21" s="1" t="s">
        <v>75</v>
      </c>
      <c r="E21" s="1"/>
      <c r="F21" s="24"/>
      <c r="G21" s="1"/>
      <c r="H21" s="4"/>
      <c r="I21" s="2"/>
      <c r="J21" s="2"/>
      <c r="K21" s="52"/>
      <c r="L21" s="62"/>
      <c r="M21" s="53"/>
    </row>
    <row r="22" spans="2:13">
      <c r="B22" s="2">
        <f t="shared" si="0"/>
        <v>15</v>
      </c>
      <c r="C22" s="23"/>
      <c r="D22" s="1" t="s">
        <v>75</v>
      </c>
      <c r="E22" s="1"/>
      <c r="F22" s="24"/>
      <c r="G22" s="1"/>
      <c r="H22" s="4"/>
      <c r="I22" s="2"/>
      <c r="J22" s="2"/>
      <c r="K22" s="52"/>
      <c r="L22" s="62"/>
      <c r="M22" s="53"/>
    </row>
    <row r="23" spans="2:13">
      <c r="B23" s="2">
        <f t="shared" si="0"/>
        <v>16</v>
      </c>
      <c r="C23" s="23"/>
      <c r="D23" s="1" t="s">
        <v>75</v>
      </c>
      <c r="E23" s="1"/>
      <c r="F23" s="24"/>
      <c r="G23" s="1"/>
      <c r="H23" s="4"/>
      <c r="I23" s="2"/>
      <c r="J23" s="2"/>
      <c r="K23" s="52"/>
      <c r="L23" s="62"/>
      <c r="M23" s="53"/>
    </row>
    <row r="24" spans="2:13">
      <c r="B24" s="2">
        <f t="shared" si="0"/>
        <v>17</v>
      </c>
      <c r="C24" s="23"/>
      <c r="D24" s="1" t="s">
        <v>75</v>
      </c>
      <c r="E24" s="1"/>
      <c r="F24" s="24"/>
      <c r="G24" s="1"/>
      <c r="H24" s="4"/>
      <c r="I24" s="2"/>
      <c r="J24" s="2"/>
      <c r="K24" s="52"/>
      <c r="L24" s="62"/>
      <c r="M24" s="53"/>
    </row>
    <row r="25" spans="2:13">
      <c r="B25" s="2">
        <f t="shared" si="0"/>
        <v>18</v>
      </c>
      <c r="C25" s="23"/>
      <c r="D25" s="1" t="s">
        <v>75</v>
      </c>
      <c r="E25" s="1"/>
      <c r="F25" s="24"/>
      <c r="G25" s="1"/>
      <c r="H25" s="4"/>
      <c r="I25" s="2"/>
      <c r="J25" s="2"/>
      <c r="K25" s="52"/>
      <c r="L25" s="62"/>
      <c r="M25" s="53"/>
    </row>
    <row r="26" spans="2:13">
      <c r="B26" s="2">
        <f t="shared" si="0"/>
        <v>19</v>
      </c>
      <c r="C26" s="1"/>
      <c r="D26" s="1" t="s">
        <v>75</v>
      </c>
      <c r="E26" s="1"/>
      <c r="F26" s="24"/>
      <c r="G26" s="1"/>
      <c r="H26" s="4"/>
      <c r="I26" s="2"/>
      <c r="J26" s="2"/>
      <c r="K26" s="52"/>
      <c r="L26" s="62"/>
      <c r="M26" s="53"/>
    </row>
    <row r="27" spans="2:13">
      <c r="B27" s="2">
        <f t="shared" si="0"/>
        <v>20</v>
      </c>
      <c r="C27" s="1"/>
      <c r="D27" s="1" t="s">
        <v>75</v>
      </c>
      <c r="E27" s="1"/>
      <c r="F27" s="24"/>
      <c r="G27" s="1"/>
      <c r="H27" s="4"/>
      <c r="I27" s="2"/>
      <c r="J27" s="2"/>
      <c r="K27" s="52"/>
      <c r="L27" s="62"/>
      <c r="M27" s="53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52"/>
      <c r="L28" s="62"/>
      <c r="M28" s="53"/>
    </row>
    <row r="29" spans="2:13">
      <c r="B29" s="2">
        <f t="shared" si="0"/>
        <v>22</v>
      </c>
      <c r="C29" s="1"/>
      <c r="D29" s="1"/>
      <c r="E29" s="1"/>
      <c r="F29" s="24"/>
      <c r="G29" s="1"/>
      <c r="H29" s="4"/>
      <c r="I29" s="2"/>
      <c r="J29" s="2"/>
      <c r="K29" s="52"/>
      <c r="L29" s="62"/>
      <c r="M29" s="53"/>
    </row>
    <row r="30" spans="2:13">
      <c r="B30" s="2">
        <f t="shared" si="0"/>
        <v>23</v>
      </c>
      <c r="C30" s="1"/>
      <c r="D30" s="1"/>
      <c r="E30" s="1"/>
      <c r="F30" s="24"/>
      <c r="G30" s="1"/>
      <c r="H30" s="4"/>
      <c r="I30" s="2"/>
      <c r="J30" s="2"/>
      <c r="K30" s="52"/>
      <c r="L30" s="62"/>
      <c r="M30" s="53"/>
    </row>
    <row r="31" spans="2:13">
      <c r="B31" s="2">
        <f t="shared" si="0"/>
        <v>24</v>
      </c>
      <c r="C31" s="1"/>
      <c r="D31" s="1"/>
      <c r="E31" s="1"/>
      <c r="F31" s="24"/>
      <c r="G31" s="1"/>
      <c r="H31" s="4"/>
      <c r="I31" s="2"/>
      <c r="J31" s="2"/>
      <c r="K31" s="52"/>
      <c r="L31" s="62"/>
      <c r="M31" s="53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52"/>
      <c r="L32" s="62"/>
      <c r="M32" s="53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52"/>
      <c r="L33" s="62"/>
      <c r="M33" s="53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52"/>
      <c r="L34" s="62"/>
      <c r="M34" s="53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52"/>
      <c r="L35" s="62"/>
      <c r="M35" s="53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52"/>
      <c r="L36" s="62"/>
      <c r="M36" s="53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52"/>
      <c r="L37" s="62"/>
      <c r="M37" s="53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52"/>
      <c r="L38" s="62"/>
      <c r="M38" s="53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52"/>
      <c r="L39" s="62"/>
      <c r="M39" s="53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52"/>
      <c r="L40" s="62"/>
      <c r="M40" s="53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52"/>
      <c r="L41" s="62"/>
      <c r="M41" s="53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52"/>
      <c r="L42" s="62"/>
      <c r="M42" s="53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52"/>
      <c r="L43" s="62"/>
      <c r="M43" s="53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52"/>
      <c r="L44" s="62"/>
      <c r="M44" s="53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52"/>
      <c r="L45" s="62"/>
      <c r="M45" s="53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52"/>
      <c r="L46" s="62"/>
      <c r="M46" s="53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52"/>
      <c r="L47" s="62"/>
      <c r="M47" s="53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52"/>
      <c r="L48" s="62"/>
      <c r="M48" s="53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52"/>
      <c r="L49" s="62"/>
      <c r="M49" s="53"/>
    </row>
    <row r="50" spans="2:13">
      <c r="B50" s="2">
        <f t="shared" si="0"/>
        <v>43</v>
      </c>
      <c r="C50" s="23"/>
      <c r="D50" s="1"/>
      <c r="E50" s="1"/>
      <c r="F50" s="24"/>
      <c r="G50" s="1"/>
      <c r="H50" s="4"/>
      <c r="I50" s="2"/>
      <c r="J50" s="2"/>
      <c r="K50" s="52"/>
      <c r="L50" s="62"/>
      <c r="M50" s="53"/>
    </row>
    <row r="51" spans="2:13">
      <c r="B51" s="2">
        <f t="shared" si="0"/>
        <v>44</v>
      </c>
      <c r="C51" s="23"/>
      <c r="D51" s="1"/>
      <c r="E51" s="1"/>
      <c r="F51" s="24"/>
      <c r="G51" s="1"/>
      <c r="H51" s="4"/>
      <c r="I51" s="2"/>
      <c r="J51" s="2"/>
      <c r="K51" s="52"/>
      <c r="L51" s="62"/>
      <c r="M51" s="53"/>
    </row>
    <row r="52" spans="2:13">
      <c r="B52" s="2">
        <f t="shared" si="0"/>
        <v>45</v>
      </c>
      <c r="C52" s="23"/>
      <c r="D52" s="1"/>
      <c r="E52" s="1"/>
      <c r="F52" s="24"/>
      <c r="G52" s="1"/>
      <c r="H52" s="4"/>
      <c r="I52" s="2"/>
      <c r="J52" s="2"/>
      <c r="K52" s="52"/>
      <c r="L52" s="62"/>
      <c r="M52" s="53"/>
    </row>
    <row r="53" spans="2:13">
      <c r="B53" s="2">
        <f t="shared" si="0"/>
        <v>46</v>
      </c>
      <c r="C53" s="23"/>
      <c r="D53" s="23"/>
      <c r="E53" s="23"/>
      <c r="F53" s="23"/>
      <c r="G53" s="5"/>
      <c r="H53" s="23"/>
      <c r="I53" s="23"/>
      <c r="J53" s="2"/>
      <c r="K53" s="62"/>
      <c r="L53" s="62"/>
      <c r="M53" s="53"/>
    </row>
  </sheetData>
  <mergeCells count="59">
    <mergeCell ref="K51:M51"/>
    <mergeCell ref="K52:M52"/>
    <mergeCell ref="K53:M53"/>
    <mergeCell ref="K50:M50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38:M38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26:M26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15:M15"/>
    <mergeCell ref="B4:C4"/>
    <mergeCell ref="E4:F4"/>
    <mergeCell ref="H4:K4"/>
    <mergeCell ref="B5:C5"/>
    <mergeCell ref="E5:F5"/>
    <mergeCell ref="H5:K5"/>
    <mergeCell ref="K7:M7"/>
    <mergeCell ref="K8:M8"/>
    <mergeCell ref="K11:M11"/>
    <mergeCell ref="K12:M12"/>
    <mergeCell ref="K13:M13"/>
    <mergeCell ref="K9:M9"/>
    <mergeCell ref="K10:M10"/>
    <mergeCell ref="K14:M14"/>
    <mergeCell ref="B2:D2"/>
    <mergeCell ref="E2:F2"/>
    <mergeCell ref="H2:K2"/>
    <mergeCell ref="B3:D3"/>
    <mergeCell ref="E3:F3"/>
    <mergeCell ref="H3:K3"/>
  </mergeCells>
  <phoneticPr fontId="2"/>
  <conditionalFormatting sqref="H8">
    <cfRule type="expression" dxfId="2" priority="2">
      <formula>$F8&lt;&gt;"String"</formula>
    </cfRule>
  </conditionalFormatting>
  <conditionalFormatting sqref="H15:H18">
    <cfRule type="expression" dxfId="1" priority="3">
      <formula>$F15&lt;&gt;"String"</formula>
    </cfRule>
  </conditionalFormatting>
  <conditionalFormatting sqref="H14">
    <cfRule type="expression" dxfId="0" priority="1">
      <formula>$F14&lt;&gt;"String"</formula>
    </cfRule>
  </conditionalFormatting>
  <dataValidations count="1">
    <dataValidation type="list" allowBlank="1" showInputMessage="1" showErrorMessage="1" sqref="I8:J52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AB17" sqref="AB17:BG17"/>
    </sheetView>
  </sheetViews>
  <sheetFormatPr defaultColWidth="2.59765625" defaultRowHeight="16.5" customHeight="1"/>
  <cols>
    <col min="1" max="12" width="2.59765625" style="7"/>
    <col min="13" max="17" width="3.2968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25" t="s">
        <v>93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7"/>
    </row>
    <row r="2" spans="1:59" ht="11.25" customHeight="1">
      <c r="A2" s="128" t="s">
        <v>43</v>
      </c>
      <c r="B2" s="129"/>
      <c r="C2" s="128" t="s">
        <v>94</v>
      </c>
      <c r="D2" s="130"/>
      <c r="E2" s="130"/>
      <c r="F2" s="130"/>
      <c r="G2" s="130"/>
      <c r="H2" s="130"/>
      <c r="I2" s="130"/>
      <c r="J2" s="130"/>
      <c r="K2" s="130"/>
      <c r="L2" s="129"/>
      <c r="M2" s="128" t="s">
        <v>95</v>
      </c>
      <c r="N2" s="130"/>
      <c r="O2" s="130"/>
      <c r="P2" s="129"/>
      <c r="Q2" s="128" t="s">
        <v>96</v>
      </c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29"/>
      <c r="BB2" s="128" t="s">
        <v>97</v>
      </c>
      <c r="BC2" s="130"/>
      <c r="BD2" s="130"/>
      <c r="BE2" s="130"/>
      <c r="BF2" s="130"/>
      <c r="BG2" s="129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36"/>
      <c r="N3" s="137"/>
      <c r="O3" s="137"/>
      <c r="P3" s="138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36"/>
      <c r="N4" s="137"/>
      <c r="O4" s="137"/>
      <c r="P4" s="138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36"/>
      <c r="N5" s="137"/>
      <c r="O5" s="137"/>
      <c r="P5" s="138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36"/>
      <c r="N6" s="137"/>
      <c r="O6" s="137"/>
      <c r="P6" s="138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36"/>
      <c r="N7" s="137"/>
      <c r="O7" s="137"/>
      <c r="P7" s="138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25" t="s">
        <v>98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</row>
    <row r="9" spans="1:59" ht="11.25" customHeight="1">
      <c r="A9" s="128" t="s">
        <v>43</v>
      </c>
      <c r="B9" s="129"/>
      <c r="C9" s="128" t="s">
        <v>99</v>
      </c>
      <c r="D9" s="130"/>
      <c r="E9" s="130"/>
      <c r="F9" s="130"/>
      <c r="G9" s="130"/>
      <c r="H9" s="130"/>
      <c r="I9" s="130"/>
      <c r="J9" s="130"/>
      <c r="K9" s="130"/>
      <c r="L9" s="129"/>
      <c r="M9" s="128" t="s">
        <v>100</v>
      </c>
      <c r="N9" s="130"/>
      <c r="O9" s="129"/>
      <c r="P9" s="128" t="s">
        <v>96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29"/>
      <c r="AQ9" s="128" t="s">
        <v>97</v>
      </c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29"/>
    </row>
    <row r="10" spans="1:59" s="174" customFormat="1" ht="42.75" customHeight="1">
      <c r="A10" s="167">
        <v>1</v>
      </c>
      <c r="B10" s="168"/>
      <c r="C10" s="169" t="s">
        <v>101</v>
      </c>
      <c r="D10" s="170"/>
      <c r="E10" s="170"/>
      <c r="F10" s="170"/>
      <c r="G10" s="170"/>
      <c r="H10" s="170"/>
      <c r="I10" s="170"/>
      <c r="J10" s="170"/>
      <c r="K10" s="170"/>
      <c r="L10" s="171"/>
      <c r="M10" s="172" t="s">
        <v>102</v>
      </c>
      <c r="N10" s="172"/>
      <c r="O10" s="172"/>
      <c r="P10" s="173" t="s">
        <v>124</v>
      </c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1"/>
      <c r="AQ10" s="169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1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2"/>
      <c r="N11" s="142"/>
      <c r="O11" s="142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2"/>
      <c r="N12" s="142"/>
      <c r="O12" s="142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2"/>
      <c r="N13" s="142"/>
      <c r="O13" s="142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2"/>
      <c r="N14" s="142"/>
      <c r="O14" s="142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25" t="s">
        <v>103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</row>
    <row r="16" spans="1:59" ht="11.25" customHeight="1">
      <c r="A16" s="128" t="s">
        <v>43</v>
      </c>
      <c r="B16" s="129"/>
      <c r="C16" s="128" t="s">
        <v>104</v>
      </c>
      <c r="D16" s="130"/>
      <c r="E16" s="130"/>
      <c r="F16" s="130"/>
      <c r="G16" s="130"/>
      <c r="H16" s="130"/>
      <c r="I16" s="130"/>
      <c r="J16" s="130"/>
      <c r="K16" s="130"/>
      <c r="L16" s="129"/>
      <c r="M16" s="128" t="s">
        <v>105</v>
      </c>
      <c r="N16" s="130"/>
      <c r="O16" s="130"/>
      <c r="P16" s="130"/>
      <c r="Q16" s="129"/>
      <c r="R16" s="128" t="s">
        <v>106</v>
      </c>
      <c r="S16" s="130"/>
      <c r="T16" s="130"/>
      <c r="U16" s="130"/>
      <c r="V16" s="129"/>
      <c r="W16" s="128" t="s">
        <v>107</v>
      </c>
      <c r="X16" s="130"/>
      <c r="Y16" s="130"/>
      <c r="Z16" s="130"/>
      <c r="AA16" s="129"/>
      <c r="AB16" s="128" t="s">
        <v>108</v>
      </c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29"/>
    </row>
    <row r="17" spans="1:59" s="166" customFormat="1" ht="11.25" customHeight="1">
      <c r="A17" s="163">
        <v>1</v>
      </c>
      <c r="B17" s="164"/>
      <c r="C17" s="139" t="s">
        <v>135</v>
      </c>
      <c r="D17" s="140"/>
      <c r="E17" s="140"/>
      <c r="F17" s="140"/>
      <c r="G17" s="140"/>
      <c r="H17" s="140"/>
      <c r="I17" s="140"/>
      <c r="J17" s="140"/>
      <c r="K17" s="140"/>
      <c r="L17" s="141"/>
      <c r="M17" s="163" t="s">
        <v>136</v>
      </c>
      <c r="N17" s="165"/>
      <c r="O17" s="165"/>
      <c r="P17" s="165"/>
      <c r="Q17" s="164"/>
      <c r="R17" s="163" t="s">
        <v>136</v>
      </c>
      <c r="S17" s="165"/>
      <c r="T17" s="165"/>
      <c r="U17" s="165"/>
      <c r="V17" s="164"/>
      <c r="W17" s="163" t="s">
        <v>136</v>
      </c>
      <c r="X17" s="165"/>
      <c r="Y17" s="165"/>
      <c r="Z17" s="165"/>
      <c r="AA17" s="164"/>
      <c r="AB17" s="139" t="s">
        <v>137</v>
      </c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1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43"/>
      <c r="O18" s="143"/>
      <c r="P18" s="143"/>
      <c r="Q18" s="132"/>
      <c r="R18" s="131"/>
      <c r="S18" s="143"/>
      <c r="T18" s="143"/>
      <c r="U18" s="143"/>
      <c r="V18" s="132"/>
      <c r="W18" s="131"/>
      <c r="X18" s="143"/>
      <c r="Y18" s="143"/>
      <c r="Z18" s="143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43"/>
      <c r="O19" s="143"/>
      <c r="P19" s="143"/>
      <c r="Q19" s="132"/>
      <c r="R19" s="131"/>
      <c r="S19" s="143"/>
      <c r="T19" s="143"/>
      <c r="U19" s="143"/>
      <c r="V19" s="132"/>
      <c r="W19" s="131"/>
      <c r="X19" s="143"/>
      <c r="Y19" s="143"/>
      <c r="Z19" s="143"/>
      <c r="AA19" s="132"/>
      <c r="AB19" s="14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25" t="s">
        <v>109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</row>
    <row r="21" spans="1:59" ht="11.25" customHeight="1">
      <c r="A21" s="128" t="s">
        <v>43</v>
      </c>
      <c r="B21" s="129"/>
      <c r="C21" s="128" t="s">
        <v>110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29"/>
      <c r="R21" s="128" t="s">
        <v>111</v>
      </c>
      <c r="S21" s="130"/>
      <c r="T21" s="130"/>
      <c r="U21" s="130"/>
      <c r="V21" s="130"/>
      <c r="W21" s="130"/>
      <c r="X21" s="130"/>
      <c r="Y21" s="130"/>
      <c r="Z21" s="130"/>
      <c r="AA21" s="129"/>
      <c r="AB21" s="128" t="s">
        <v>112</v>
      </c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29"/>
      <c r="BB21" s="128" t="s">
        <v>97</v>
      </c>
      <c r="BC21" s="130"/>
      <c r="BD21" s="130"/>
      <c r="BE21" s="130"/>
      <c r="BF21" s="130"/>
      <c r="BG21" s="129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43"/>
      <c r="T22" s="143"/>
      <c r="U22" s="143"/>
      <c r="V22" s="143"/>
      <c r="W22" s="143"/>
      <c r="X22" s="143"/>
      <c r="Y22" s="143"/>
      <c r="Z22" s="143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43"/>
      <c r="T23" s="143"/>
      <c r="U23" s="143"/>
      <c r="V23" s="143"/>
      <c r="W23" s="143"/>
      <c r="X23" s="143"/>
      <c r="Y23" s="143"/>
      <c r="Z23" s="143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43"/>
      <c r="T24" s="143"/>
      <c r="U24" s="143"/>
      <c r="V24" s="143"/>
      <c r="W24" s="143"/>
      <c r="X24" s="143"/>
      <c r="Y24" s="143"/>
      <c r="Z24" s="143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52" t="s">
        <v>113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4"/>
    </row>
    <row r="26" spans="1:59" ht="11.25" customHeight="1">
      <c r="A26" s="145" t="s">
        <v>114</v>
      </c>
      <c r="B26" s="155"/>
      <c r="C26" s="145" t="s">
        <v>115</v>
      </c>
      <c r="D26" s="146"/>
      <c r="E26" s="146"/>
      <c r="F26" s="146"/>
      <c r="G26" s="146"/>
      <c r="H26" s="146"/>
      <c r="I26" s="146"/>
      <c r="J26" s="146"/>
      <c r="K26" s="146"/>
      <c r="L26" s="155"/>
      <c r="M26" s="145" t="s">
        <v>116</v>
      </c>
      <c r="N26" s="146"/>
      <c r="O26" s="146"/>
      <c r="P26" s="146"/>
      <c r="Q26" s="146"/>
      <c r="R26" s="146"/>
      <c r="S26" s="146"/>
      <c r="T26" s="155"/>
      <c r="U26" s="145" t="s">
        <v>117</v>
      </c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55"/>
      <c r="AK26" s="145" t="s">
        <v>118</v>
      </c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</row>
    <row r="27" spans="1:59" ht="11.25" customHeight="1">
      <c r="A27" s="147">
        <v>1</v>
      </c>
      <c r="B27" s="148"/>
      <c r="C27" s="149"/>
      <c r="D27" s="150"/>
      <c r="E27" s="150"/>
      <c r="F27" s="150"/>
      <c r="G27" s="150"/>
      <c r="H27" s="150"/>
      <c r="I27" s="150"/>
      <c r="J27" s="150"/>
      <c r="K27" s="150"/>
      <c r="L27" s="151"/>
      <c r="M27" s="149"/>
      <c r="N27" s="150"/>
      <c r="O27" s="150"/>
      <c r="P27" s="150"/>
      <c r="Q27" s="150"/>
      <c r="R27" s="150"/>
      <c r="S27" s="150"/>
      <c r="T27" s="151"/>
      <c r="U27" s="149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1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47">
        <v>2</v>
      </c>
      <c r="B28" s="148"/>
      <c r="C28" s="149"/>
      <c r="D28" s="150"/>
      <c r="E28" s="150"/>
      <c r="F28" s="150"/>
      <c r="G28" s="150"/>
      <c r="H28" s="150"/>
      <c r="I28" s="150"/>
      <c r="J28" s="150"/>
      <c r="K28" s="150"/>
      <c r="L28" s="151"/>
      <c r="M28" s="149"/>
      <c r="N28" s="150"/>
      <c r="O28" s="150"/>
      <c r="P28" s="150"/>
      <c r="Q28" s="150"/>
      <c r="R28" s="150"/>
      <c r="S28" s="150"/>
      <c r="T28" s="151"/>
      <c r="U28" s="149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1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47">
        <v>3</v>
      </c>
      <c r="B29" s="148"/>
      <c r="C29" s="149"/>
      <c r="D29" s="150"/>
      <c r="E29" s="150"/>
      <c r="F29" s="150"/>
      <c r="G29" s="150"/>
      <c r="H29" s="150"/>
      <c r="I29" s="150"/>
      <c r="J29" s="150"/>
      <c r="K29" s="150"/>
      <c r="L29" s="151"/>
      <c r="M29" s="149"/>
      <c r="N29" s="150"/>
      <c r="O29" s="150"/>
      <c r="P29" s="150"/>
      <c r="Q29" s="150"/>
      <c r="R29" s="150"/>
      <c r="S29" s="150"/>
      <c r="T29" s="151"/>
      <c r="U29" s="149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1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19E767-A76F-4423-A893-D0E70AD81BB6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  <ds:schemaRef ds:uri="5bd2875c-1d77-4e59-90f4-883ca6a86c01"/>
    <ds:schemaRef ds:uri="0e104af9-8863-48b3-a0f9-b99702920d19"/>
  </ds:schemaRefs>
</ds:datastoreItem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テーブル定義(アップロード履歴)</vt:lpstr>
      <vt:lpstr>その他定義</vt:lpstr>
      <vt:lpstr>その他定義!Print_Area</vt:lpstr>
      <vt:lpstr>'テーブル定義(アップロード履歴)'!Print_Area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2026-06-23T10:17:11Z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