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jbsbpos1.sharepoint.com/sites/msteams_358ee9/Shared Documents/General/01_LIBRA/04_要件定義/12_パラメータ定義書/02_SEJ/"/>
    </mc:Choice>
  </mc:AlternateContent>
  <xr:revisionPtr revIDLastSave="168" documentId="13_ncr:1_{23749766-2DFF-443E-BFBA-742EC7434F5D}" xr6:coauthVersionLast="47" xr6:coauthVersionMax="47" xr10:uidLastSave="{322094A2-42DF-4CA9-B65E-F46E0578D7AE}"/>
  <bookViews>
    <workbookView xWindow="-108" yWindow="-108" windowWidth="23256" windowHeight="12456" tabRatio="778" xr2:uid="{FF37A431-138E-498D-9932-FE4CAD8F52B8}"/>
  </bookViews>
  <sheets>
    <sheet name="表紙" sheetId="369" r:id="rId1"/>
    <sheet name="パラメータ設定一覧" sheetId="4" r:id="rId2"/>
    <sheet name="販売とマーケティング パラメーター" sheetId="184" r:id="rId3"/>
    <sheet name="販売とマーケティング-番号順序" sheetId="185" r:id="rId4"/>
    <sheet name="業種" sheetId="349" r:id="rId5"/>
    <sheet name="業種-設定値" sheetId="350" r:id="rId6"/>
    <sheet name="価格割引の有効化" sheetId="354" r:id="rId7"/>
    <sheet name="廃棄コード" sheetId="361" r:id="rId8"/>
    <sheet name="廃棄コード-設定値" sheetId="362" r:id="rId9"/>
    <sheet name="返品理由コードグループ" sheetId="363" r:id="rId10"/>
    <sheet name="返品理由コードグループ-設定値" sheetId="364" r:id="rId11"/>
    <sheet name="返品理由コード" sheetId="365" r:id="rId12"/>
    <sheet name="返品理由コード-設定値" sheetId="366" r:id="rId13"/>
  </sheets>
  <externalReferences>
    <externalReference r:id="rId14"/>
  </externalReferences>
  <definedNames>
    <definedName name="_Fill" localSheetId="6" hidden="1">[1]テーブル仕様!#REF!</definedName>
    <definedName name="_Fill" localSheetId="7" hidden="1">[1]テーブル仕様!#REF!</definedName>
    <definedName name="_Fill" localSheetId="8" hidden="1">[1]テーブル仕様!#REF!</definedName>
    <definedName name="_Fill" localSheetId="11" hidden="1">[1]テーブル仕様!#REF!</definedName>
    <definedName name="_Fill" localSheetId="9" hidden="1">[1]テーブル仕様!#REF!</definedName>
    <definedName name="_Fill" localSheetId="10" hidden="1">[1]テーブル仕様!#REF!</definedName>
    <definedName name="_Fill" localSheetId="12" hidden="1">[1]テーブル仕様!#REF!</definedName>
    <definedName name="_Fill" hidden="1">[1]テーブル仕様!#REF!</definedName>
    <definedName name="_Order1" hidden="1">255</definedName>
    <definedName name="_Order2" hidden="1">255</definedName>
    <definedName name="_Regression_X" hidden="1">#REF!</definedName>
    <definedName name="A" hidden="1">#REF!</definedName>
    <definedName name="adf" hidden="1">#REF!</definedName>
    <definedName name="AS2DocOpenMode" hidden="1">"AS2DocumentEdit"</definedName>
    <definedName name="AX" hidden="1">#REF!</definedName>
    <definedName name="AZ" hidden="1">#REF!</definedName>
    <definedName name="bbb" hidden="1">[1]テーブル仕様!#REF!</definedName>
    <definedName name="ＧＷメッセージ一覧" hidden="1">#REF!</definedName>
    <definedName name="H" localSheetId="6" hidden="1">{"'Sheet1'!$B$5:$H$34"}</definedName>
    <definedName name="H" localSheetId="7" hidden="1">{"'Sheet1'!$B$5:$H$34"}</definedName>
    <definedName name="H" localSheetId="8" hidden="1">{"'Sheet1'!$B$5:$H$34"}</definedName>
    <definedName name="H" localSheetId="11" hidden="1">{"'Sheet1'!$B$5:$H$34"}</definedName>
    <definedName name="H" localSheetId="9" hidden="1">{"'Sheet1'!$B$5:$H$34"}</definedName>
    <definedName name="H" localSheetId="10" hidden="1">{"'Sheet1'!$B$5:$H$34"}</definedName>
    <definedName name="H" localSheetId="12" hidden="1">{"'Sheet1'!$B$5:$H$34"}</definedName>
    <definedName name="H" hidden="1">{"'Sheet1'!$B$5:$H$34"}</definedName>
    <definedName name="HTML_CodePage" hidden="1">932</definedName>
    <definedName name="HTML_Control" localSheetId="6" hidden="1">{"'分担ﾙｰﾙ'!$A$1:$M$72","'分担ﾙｰﾙ'!$A$19:$M$71"}</definedName>
    <definedName name="HTML_Control" localSheetId="7" hidden="1">{"'分担ﾙｰﾙ'!$A$1:$M$72","'分担ﾙｰﾙ'!$A$19:$M$71"}</definedName>
    <definedName name="HTML_Control" localSheetId="8" hidden="1">{"'分担ﾙｰﾙ'!$A$1:$M$72","'分担ﾙｰﾙ'!$A$19:$M$71"}</definedName>
    <definedName name="HTML_Control" localSheetId="0" hidden="1">{"'分担ﾙｰﾙ'!$A$1:$M$72","'分担ﾙｰﾙ'!$A$19:$M$71"}</definedName>
    <definedName name="HTML_Control" localSheetId="11" hidden="1">{"'分担ﾙｰﾙ'!$A$1:$M$72","'分担ﾙｰﾙ'!$A$19:$M$71"}</definedName>
    <definedName name="HTML_Control" localSheetId="9" hidden="1">{"'分担ﾙｰﾙ'!$A$1:$M$72","'分担ﾙｰﾙ'!$A$19:$M$71"}</definedName>
    <definedName name="HTML_Control" localSheetId="10" hidden="1">{"'分担ﾙｰﾙ'!$A$1:$M$72","'分担ﾙｰﾙ'!$A$19:$M$71"}</definedName>
    <definedName name="HTML_Control" localSheetId="12" hidden="1">{"'分担ﾙｰﾙ'!$A$1:$M$72","'分担ﾙｰﾙ'!$A$19:$M$71"}</definedName>
    <definedName name="HTML_Control" hidden="1">{"'分担ﾙｰﾙ'!$A$1:$M$72","'分担ﾙｰﾙ'!$A$19:$M$71"}</definedName>
    <definedName name="HTML_Control_copy" localSheetId="6" hidden="1">{"'Sheet1'!$B$5:$H$34"}</definedName>
    <definedName name="HTML_Control_copy" localSheetId="7" hidden="1">{"'Sheet1'!$B$5:$H$34"}</definedName>
    <definedName name="HTML_Control_copy" localSheetId="8" hidden="1">{"'Sheet1'!$B$5:$H$34"}</definedName>
    <definedName name="HTML_Control_copy" localSheetId="11" hidden="1">{"'Sheet1'!$B$5:$H$34"}</definedName>
    <definedName name="HTML_Control_copy" localSheetId="9" hidden="1">{"'Sheet1'!$B$5:$H$34"}</definedName>
    <definedName name="HTML_Control_copy" localSheetId="10" hidden="1">{"'Sheet1'!$B$5:$H$34"}</definedName>
    <definedName name="HTML_Control_copy" localSheetId="12" hidden="1">{"'Sheet1'!$B$5:$H$34"}</definedName>
    <definedName name="HTML_Control_copy" hidden="1">{"'Sheet1'!$B$5:$H$34"}</definedName>
    <definedName name="HTML_Control_Copy2" localSheetId="6" hidden="1">{"'Sheet1'!$B$5:$H$34"}</definedName>
    <definedName name="HTML_Control_Copy2" localSheetId="7" hidden="1">{"'Sheet1'!$B$5:$H$34"}</definedName>
    <definedName name="HTML_Control_Copy2" localSheetId="8" hidden="1">{"'Sheet1'!$B$5:$H$34"}</definedName>
    <definedName name="HTML_Control_Copy2" localSheetId="11" hidden="1">{"'Sheet1'!$B$5:$H$34"}</definedName>
    <definedName name="HTML_Control_Copy2" localSheetId="9" hidden="1">{"'Sheet1'!$B$5:$H$34"}</definedName>
    <definedName name="HTML_Control_Copy2" localSheetId="10" hidden="1">{"'Sheet1'!$B$5:$H$34"}</definedName>
    <definedName name="HTML_Control_Copy2" localSheetId="12" hidden="1">{"'Sheet1'!$B$5:$H$34"}</definedName>
    <definedName name="HTML_Control_Copy2" hidden="1">{"'Sheet1'!$B$5:$H$34"}</definedName>
    <definedName name="HTML_Control1" localSheetId="6" hidden="1">{"'分担ﾙｰﾙ'!$A$1:$M$72","'分担ﾙｰﾙ'!$A$19:$M$71"}</definedName>
    <definedName name="HTML_Control1" localSheetId="7" hidden="1">{"'分担ﾙｰﾙ'!$A$1:$M$72","'分担ﾙｰﾙ'!$A$19:$M$71"}</definedName>
    <definedName name="HTML_Control1" localSheetId="8" hidden="1">{"'分担ﾙｰﾙ'!$A$1:$M$72","'分担ﾙｰﾙ'!$A$19:$M$71"}</definedName>
    <definedName name="HTML_Control1" localSheetId="0" hidden="1">{"'分担ﾙｰﾙ'!$A$1:$M$72","'分担ﾙｰﾙ'!$A$19:$M$71"}</definedName>
    <definedName name="HTML_Control1" localSheetId="11" hidden="1">{"'分担ﾙｰﾙ'!$A$1:$M$72","'分担ﾙｰﾙ'!$A$19:$M$71"}</definedName>
    <definedName name="HTML_Control1" localSheetId="9" hidden="1">{"'分担ﾙｰﾙ'!$A$1:$M$72","'分担ﾙｰﾙ'!$A$19:$M$71"}</definedName>
    <definedName name="HTML_Control1" localSheetId="10" hidden="1">{"'分担ﾙｰﾙ'!$A$1:$M$72","'分担ﾙｰﾙ'!$A$19:$M$71"}</definedName>
    <definedName name="HTML_Control1" localSheetId="12" hidden="1">{"'分担ﾙｰﾙ'!$A$1:$M$72","'分担ﾙｰﾙ'!$A$19:$M$71"}</definedName>
    <definedName name="HTML_Control1" hidden="1">{"'分担ﾙｰﾙ'!$A$1:$M$72","'分担ﾙｰﾙ'!$A$19:$M$71"}</definedName>
    <definedName name="HTML_Control2" localSheetId="6" hidden="1">{"'Sheet1'!$B$5:$H$34"}</definedName>
    <definedName name="HTML_Control2" localSheetId="7" hidden="1">{"'Sheet1'!$B$5:$H$34"}</definedName>
    <definedName name="HTML_Control2" localSheetId="8" hidden="1">{"'Sheet1'!$B$5:$H$34"}</definedName>
    <definedName name="HTML_Control2" localSheetId="11" hidden="1">{"'Sheet1'!$B$5:$H$34"}</definedName>
    <definedName name="HTML_Control2" localSheetId="9" hidden="1">{"'Sheet1'!$B$5:$H$34"}</definedName>
    <definedName name="HTML_Control2" localSheetId="10" hidden="1">{"'Sheet1'!$B$5:$H$34"}</definedName>
    <definedName name="HTML_Control2" localSheetId="12" hidden="1">{"'Sheet1'!$B$5:$H$34"}</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localSheetId="6" hidden="1">#REF!</definedName>
    <definedName name="ｋ" localSheetId="7" hidden="1">#REF!</definedName>
    <definedName name="ｋ" localSheetId="8" hidden="1">#REF!</definedName>
    <definedName name="ｋ" localSheetId="11" hidden="1">#REF!</definedName>
    <definedName name="ｋ" localSheetId="9" hidden="1">#REF!</definedName>
    <definedName name="ｋ" localSheetId="10" hidden="1">#REF!</definedName>
    <definedName name="ｋ" localSheetId="12" hidden="1">#REF!</definedName>
    <definedName name="ｐ" hidden="1">#REF!</definedName>
    <definedName name="_xlnm.Print_Area" localSheetId="1">パラメータ設定一覧!$A$1:$J$5</definedName>
    <definedName name="s" localSheetId="6" hidden="1">{"'Sheet1'!$B$5:$H$34"}</definedName>
    <definedName name="s" localSheetId="7" hidden="1">{"'Sheet1'!$B$5:$H$34"}</definedName>
    <definedName name="s" localSheetId="8" hidden="1">{"'Sheet1'!$B$5:$H$34"}</definedName>
    <definedName name="s" localSheetId="11" hidden="1">{"'Sheet1'!$B$5:$H$34"}</definedName>
    <definedName name="s" localSheetId="9" hidden="1">{"'Sheet1'!$B$5:$H$34"}</definedName>
    <definedName name="s" localSheetId="10" hidden="1">{"'Sheet1'!$B$5:$H$34"}</definedName>
    <definedName name="s" localSheetId="12" hidden="1">{"'Sheet1'!$B$5:$H$34"}</definedName>
    <definedName name="s" hidden="1">{"'Sheet1'!$B$5:$H$34"}</definedName>
    <definedName name="t" localSheetId="6" hidden="1">{"'Sheet1'!$B$5:$H$34"}</definedName>
    <definedName name="t" localSheetId="7" hidden="1">{"'Sheet1'!$B$5:$H$34"}</definedName>
    <definedName name="t" localSheetId="8" hidden="1">{"'Sheet1'!$B$5:$H$34"}</definedName>
    <definedName name="t" localSheetId="11" hidden="1">{"'Sheet1'!$B$5:$H$34"}</definedName>
    <definedName name="t" localSheetId="9" hidden="1">{"'Sheet1'!$B$5:$H$34"}</definedName>
    <definedName name="t" localSheetId="10" hidden="1">{"'Sheet1'!$B$5:$H$34"}</definedName>
    <definedName name="t" localSheetId="12" hidden="1">{"'Sheet1'!$B$5:$H$34"}</definedName>
    <definedName name="t" hidden="1">{"'Sheet1'!$B$5:$H$34"}</definedName>
    <definedName name="TEST" localSheetId="6" hidden="1">{"'Sheet1'!$B$5:$H$34"}</definedName>
    <definedName name="TEST" localSheetId="7" hidden="1">{"'Sheet1'!$B$5:$H$34"}</definedName>
    <definedName name="TEST" localSheetId="8" hidden="1">{"'Sheet1'!$B$5:$H$34"}</definedName>
    <definedName name="TEST" localSheetId="11" hidden="1">{"'Sheet1'!$B$5:$H$34"}</definedName>
    <definedName name="TEST" localSheetId="9" hidden="1">{"'Sheet1'!$B$5:$H$34"}</definedName>
    <definedName name="TEST" localSheetId="10" hidden="1">{"'Sheet1'!$B$5:$H$34"}</definedName>
    <definedName name="TEST" localSheetId="12" hidden="1">{"'Sheet1'!$B$5:$H$34"}</definedName>
    <definedName name="TEST" hidden="1">{"'Sheet1'!$B$5:$H$34"}</definedName>
    <definedName name="VV" hidden="1">#REF!</definedName>
    <definedName name="ｗ" localSheetId="6" hidden="1">{"'Sheet1'!$B$5:$H$34"}</definedName>
    <definedName name="ｗ" localSheetId="7" hidden="1">{"'Sheet1'!$B$5:$H$34"}</definedName>
    <definedName name="ｗ" localSheetId="8" hidden="1">{"'Sheet1'!$B$5:$H$34"}</definedName>
    <definedName name="ｗ" localSheetId="11" hidden="1">{"'Sheet1'!$B$5:$H$34"}</definedName>
    <definedName name="ｗ" localSheetId="9" hidden="1">{"'Sheet1'!$B$5:$H$34"}</definedName>
    <definedName name="ｗ" localSheetId="10" hidden="1">{"'Sheet1'!$B$5:$H$34"}</definedName>
    <definedName name="ｗ" localSheetId="12" hidden="1">{"'Sheet1'!$B$5:$H$34"}</definedName>
    <definedName name="ｗ" hidden="1">{"'Sheet1'!$B$5:$H$34"}</definedName>
    <definedName name="work" hidden="1">#REF!</definedName>
    <definedName name="Z_5FB70CD0_6C58_413B_B7A8_B2222A9FFAB3_.wvu.FilterData" hidden="1">#REF!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あ" hidden="1">#REF!</definedName>
    <definedName name="あああ" localSheetId="0" hidden="1">[1]テーブル仕様!#REF!</definedName>
    <definedName name="あああ" hidden="1">[1]テーブル仕様!#REF!</definedName>
    <definedName name="い" localSheetId="6" hidden="1">#REF!</definedName>
    <definedName name="い" localSheetId="7" hidden="1">#REF!</definedName>
    <definedName name="い" localSheetId="8" hidden="1">#REF!</definedName>
    <definedName name="い" localSheetId="11" hidden="1">#REF!</definedName>
    <definedName name="い" localSheetId="9" hidden="1">#REF!</definedName>
    <definedName name="い" localSheetId="10" hidden="1">#REF!</definedName>
    <definedName name="い" localSheetId="12" hidden="1">#REF!</definedName>
    <definedName name="い" hidden="1">#REF!</definedName>
    <definedName name="う" localSheetId="6" hidden="1">#REF!</definedName>
    <definedName name="う" localSheetId="7" hidden="1">#REF!</definedName>
    <definedName name="う" localSheetId="8" hidden="1">#REF!</definedName>
    <definedName name="う" localSheetId="11" hidden="1">#REF!</definedName>
    <definedName name="う" localSheetId="9" hidden="1">#REF!</definedName>
    <definedName name="う" localSheetId="10" hidden="1">#REF!</definedName>
    <definedName name="う" localSheetId="12" hidden="1">#REF!</definedName>
    <definedName name="う" hidden="1">#REF!</definedName>
    <definedName name="ええ" localSheetId="6" hidden="1">{"'Sheet1'!$B$5:$H$34"}</definedName>
    <definedName name="ええ" localSheetId="7" hidden="1">{"'Sheet1'!$B$5:$H$34"}</definedName>
    <definedName name="ええ" localSheetId="8" hidden="1">{"'Sheet1'!$B$5:$H$34"}</definedName>
    <definedName name="ええ" localSheetId="11" hidden="1">{"'Sheet1'!$B$5:$H$34"}</definedName>
    <definedName name="ええ" localSheetId="9" hidden="1">{"'Sheet1'!$B$5:$H$34"}</definedName>
    <definedName name="ええ" localSheetId="10" hidden="1">{"'Sheet1'!$B$5:$H$34"}</definedName>
    <definedName name="ええ" localSheetId="12" hidden="1">{"'Sheet1'!$B$5:$H$34"}</definedName>
    <definedName name="ええ" hidden="1">{"'Sheet1'!$B$5:$H$34"}</definedName>
    <definedName name="えええ" localSheetId="6" hidden="1">{"'9.項目'!$B$5:$AW$60"}</definedName>
    <definedName name="えええ" localSheetId="7" hidden="1">{"'9.項目'!$B$5:$AW$60"}</definedName>
    <definedName name="えええ" localSheetId="8" hidden="1">{"'9.項目'!$B$5:$AW$60"}</definedName>
    <definedName name="えええ" localSheetId="0" hidden="1">{"'9.項目'!$B$5:$AW$60"}</definedName>
    <definedName name="えええ" localSheetId="11" hidden="1">{"'9.項目'!$B$5:$AW$60"}</definedName>
    <definedName name="えええ" localSheetId="9" hidden="1">{"'9.項目'!$B$5:$AW$60"}</definedName>
    <definedName name="えええ" localSheetId="10" hidden="1">{"'9.項目'!$B$5:$AW$60"}</definedName>
    <definedName name="えええ" localSheetId="12" hidden="1">{"'9.項目'!$B$5:$AW$60"}</definedName>
    <definedName name="えええ" hidden="1">{"'9.項目'!$B$5:$AW$60"}</definedName>
    <definedName name="お" localSheetId="6" hidden="1">{"'Sheet1'!$B$5:$H$34"}</definedName>
    <definedName name="お" localSheetId="7" hidden="1">{"'Sheet1'!$B$5:$H$34"}</definedName>
    <definedName name="お" localSheetId="8" hidden="1">{"'Sheet1'!$B$5:$H$34"}</definedName>
    <definedName name="お" localSheetId="11" hidden="1">{"'Sheet1'!$B$5:$H$34"}</definedName>
    <definedName name="お" localSheetId="9" hidden="1">{"'Sheet1'!$B$5:$H$34"}</definedName>
    <definedName name="お" localSheetId="10" hidden="1">{"'Sheet1'!$B$5:$H$34"}</definedName>
    <definedName name="お" localSheetId="12" hidden="1">{"'Sheet1'!$B$5:$H$34"}</definedName>
    <definedName name="お" hidden="1">{"'Sheet1'!$B$5:$H$34"}</definedName>
    <definedName name="サンプル" localSheetId="6" hidden="1">#REF!</definedName>
    <definedName name="サンプル" localSheetId="7" hidden="1">#REF!</definedName>
    <definedName name="サンプル" localSheetId="8" hidden="1">#REF!</definedName>
    <definedName name="サンプル" localSheetId="11" hidden="1">#REF!</definedName>
    <definedName name="サンプル" localSheetId="9" hidden="1">#REF!</definedName>
    <definedName name="サンプル" localSheetId="10" hidden="1">#REF!</definedName>
    <definedName name="サンプル" localSheetId="12" hidden="1">#REF!</definedName>
    <definedName name="サンプル" hidden="1">#REF!</definedName>
    <definedName name="タスクドキュメント１" localSheetId="6" hidden="1">#REF!</definedName>
    <definedName name="タスクドキュメント１" localSheetId="7" hidden="1">#REF!</definedName>
    <definedName name="タスクドキュメント１" localSheetId="8" hidden="1">#REF!</definedName>
    <definedName name="タスクドキュメント１" localSheetId="11" hidden="1">#REF!</definedName>
    <definedName name="タスクドキュメント１" localSheetId="9" hidden="1">#REF!</definedName>
    <definedName name="タスクドキュメント１" localSheetId="10" hidden="1">#REF!</definedName>
    <definedName name="タスクドキュメント１" localSheetId="12" hidden="1">#REF!</definedName>
    <definedName name="タスクドキュメント１" hidden="1">#REF!</definedName>
    <definedName name="安藤" localSheetId="6" hidden="1">#REF!</definedName>
    <definedName name="安藤" localSheetId="7" hidden="1">#REF!</definedName>
    <definedName name="安藤" localSheetId="8" hidden="1">#REF!</definedName>
    <definedName name="安藤" localSheetId="11" hidden="1">#REF!</definedName>
    <definedName name="安藤" localSheetId="9" hidden="1">#REF!</definedName>
    <definedName name="安藤" localSheetId="10" hidden="1">#REF!</definedName>
    <definedName name="安藤" localSheetId="12" hidden="1">#REF!</definedName>
    <definedName name="安藤" hidden="1">#REF!</definedName>
    <definedName name="関連" localSheetId="6" hidden="1">#REF!</definedName>
    <definedName name="関連" localSheetId="7" hidden="1">#REF!</definedName>
    <definedName name="関連" localSheetId="8" hidden="1">#REF!</definedName>
    <definedName name="関連" localSheetId="11" hidden="1">#REF!</definedName>
    <definedName name="関連" localSheetId="9" hidden="1">#REF!</definedName>
    <definedName name="関連" localSheetId="10" hidden="1">#REF!</definedName>
    <definedName name="関連" localSheetId="12" hidden="1">#REF!</definedName>
    <definedName name="関連" hidden="1">#REF!</definedName>
    <definedName name="関連表" hidden="1">#REF!</definedName>
    <definedName name="仕様書" localSheetId="6" hidden="1">#REF!</definedName>
    <definedName name="仕様書" localSheetId="7" hidden="1">#REF!</definedName>
    <definedName name="仕様書" localSheetId="8" hidden="1">#REF!</definedName>
    <definedName name="仕様書" localSheetId="11" hidden="1">#REF!</definedName>
    <definedName name="仕様書" localSheetId="9" hidden="1">#REF!</definedName>
    <definedName name="仕様書" localSheetId="10" hidden="1">#REF!</definedName>
    <definedName name="仕様書" localSheetId="12" hidden="1">#REF!</definedName>
    <definedName name="仕様書" hidden="1">#REF!</definedName>
    <definedName name="束原" localSheetId="6" hidden="1">#REF!</definedName>
    <definedName name="束原" localSheetId="7" hidden="1">#REF!</definedName>
    <definedName name="束原" localSheetId="8" hidden="1">#REF!</definedName>
    <definedName name="束原" localSheetId="11" hidden="1">#REF!</definedName>
    <definedName name="束原" localSheetId="9" hidden="1">#REF!</definedName>
    <definedName name="束原" localSheetId="10" hidden="1">#REF!</definedName>
    <definedName name="束原" localSheetId="12" hidden="1">#REF!</definedName>
    <definedName name="束原" hidden="1">#REF!</definedName>
    <definedName name="導入時期う" localSheetId="6" hidden="1">#REF!</definedName>
    <definedName name="導入時期う" localSheetId="7" hidden="1">#REF!</definedName>
    <definedName name="導入時期う" localSheetId="8" hidden="1">#REF!</definedName>
    <definedName name="導入時期う" localSheetId="11" hidden="1">#REF!</definedName>
    <definedName name="導入時期う" localSheetId="9" hidden="1">#REF!</definedName>
    <definedName name="導入時期う" localSheetId="10" hidden="1">#REF!</definedName>
    <definedName name="導入時期う" localSheetId="12" hidden="1">#REF!</definedName>
    <definedName name="導入時期う"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366" l="1"/>
  <c r="B10" i="366"/>
  <c r="B9" i="366"/>
  <c r="B8" i="366"/>
  <c r="B7" i="366"/>
  <c r="B11" i="364"/>
  <c r="B10" i="364"/>
  <c r="B9" i="364"/>
  <c r="B8" i="364"/>
  <c r="B7" i="364"/>
  <c r="B11" i="362"/>
  <c r="B10" i="362"/>
  <c r="B9" i="362"/>
  <c r="B8" i="362"/>
  <c r="B7" i="362"/>
  <c r="B25" i="350"/>
  <c r="B24" i="350"/>
  <c r="B23" i="350"/>
  <c r="B22" i="350"/>
  <c r="B21" i="350"/>
  <c r="B20" i="350"/>
  <c r="B19" i="350"/>
  <c r="B18" i="350"/>
  <c r="B17" i="350"/>
  <c r="B16" i="350"/>
  <c r="B15" i="350"/>
  <c r="B14" i="350"/>
  <c r="B13" i="350"/>
  <c r="B12" i="350"/>
  <c r="B11" i="350"/>
  <c r="B10" i="350"/>
  <c r="B9" i="350"/>
  <c r="B8" i="350"/>
  <c r="B7" i="350"/>
  <c r="B6" i="350"/>
  <c r="B8" i="365" l="1"/>
  <c r="B7" i="365"/>
  <c r="B6" i="365"/>
  <c r="B7" i="363"/>
  <c r="B6" i="363"/>
  <c r="B8" i="361"/>
  <c r="B7" i="361"/>
  <c r="B6" i="361"/>
  <c r="B26" i="354"/>
  <c r="B25" i="354"/>
  <c r="B24" i="354"/>
  <c r="B23" i="354"/>
  <c r="B22" i="354"/>
  <c r="B21" i="354"/>
  <c r="B20" i="354"/>
  <c r="B19" i="354"/>
  <c r="B18" i="354"/>
  <c r="B17" i="354"/>
  <c r="B16" i="354"/>
  <c r="B15" i="354"/>
  <c r="B14" i="354"/>
  <c r="B13" i="354"/>
  <c r="B12" i="354"/>
  <c r="B11" i="354"/>
  <c r="B10" i="354"/>
  <c r="B9" i="354"/>
  <c r="B8" i="354"/>
  <c r="B7" i="354"/>
  <c r="B6" i="354"/>
  <c r="B12" i="4"/>
  <c r="B11" i="4"/>
  <c r="B10" i="4"/>
  <c r="B9" i="4"/>
  <c r="B8" i="4"/>
  <c r="B7" i="4"/>
  <c r="B6" i="4"/>
  <c r="B7" i="349" l="1"/>
  <c r="B6" i="349"/>
  <c r="B5" i="4"/>
  <c r="B68" i="184" l="1"/>
  <c r="B67" i="184"/>
  <c r="B48" i="184"/>
  <c r="B47" i="184"/>
  <c r="B58" i="184"/>
  <c r="B57" i="184"/>
  <c r="B59" i="184"/>
  <c r="B60" i="184"/>
  <c r="B16" i="185" l="1"/>
  <c r="B15" i="185"/>
  <c r="B14" i="185"/>
  <c r="B13" i="185"/>
  <c r="B12" i="185"/>
  <c r="B11" i="185"/>
  <c r="B10" i="185"/>
  <c r="B9" i="185"/>
  <c r="B8" i="185"/>
  <c r="B7" i="185"/>
  <c r="B6" i="185"/>
  <c r="B101" i="184"/>
  <c r="B100" i="184"/>
  <c r="B99" i="184"/>
  <c r="B98" i="184"/>
  <c r="B97" i="184"/>
  <c r="B96" i="184"/>
  <c r="B95" i="184"/>
  <c r="B94" i="184"/>
  <c r="B93" i="184"/>
  <c r="B92" i="184"/>
  <c r="B91" i="184"/>
  <c r="B90" i="184"/>
  <c r="B89" i="184"/>
  <c r="B88" i="184"/>
  <c r="B87" i="184"/>
  <c r="B86" i="184"/>
  <c r="B85" i="184"/>
  <c r="B84" i="184"/>
  <c r="B83" i="184"/>
  <c r="B82" i="184"/>
  <c r="B81" i="184"/>
  <c r="B80" i="184"/>
  <c r="B79" i="184"/>
  <c r="B78" i="184"/>
  <c r="B77" i="184"/>
  <c r="B76" i="184"/>
  <c r="B75" i="184"/>
  <c r="B74" i="184"/>
  <c r="B73" i="184"/>
  <c r="B72" i="184"/>
  <c r="B71" i="184"/>
  <c r="B70" i="184"/>
  <c r="B69" i="184"/>
  <c r="B66" i="184"/>
  <c r="B65" i="184"/>
  <c r="B64" i="184"/>
  <c r="B63" i="184"/>
  <c r="B62" i="184"/>
  <c r="B61" i="184"/>
  <c r="B56" i="184"/>
  <c r="B55" i="184"/>
  <c r="B54" i="184"/>
  <c r="B53" i="184"/>
  <c r="B52" i="184"/>
  <c r="B51" i="184"/>
  <c r="B50" i="184"/>
  <c r="B49" i="184"/>
  <c r="B46" i="184"/>
  <c r="B45" i="184"/>
  <c r="B44" i="184"/>
  <c r="B43" i="184"/>
  <c r="B42" i="184"/>
  <c r="B41" i="184"/>
  <c r="B40" i="184"/>
  <c r="B39" i="184"/>
  <c r="B38" i="184"/>
  <c r="B37" i="184"/>
  <c r="B36" i="184"/>
  <c r="B35" i="184"/>
  <c r="B34" i="184"/>
  <c r="B33" i="184"/>
  <c r="B32" i="184"/>
  <c r="B31" i="184"/>
  <c r="B30" i="184"/>
  <c r="B29" i="184"/>
  <c r="B28" i="184"/>
  <c r="B27" i="184"/>
  <c r="B26" i="184"/>
  <c r="B25" i="184"/>
  <c r="B24" i="184"/>
  <c r="B23" i="184"/>
  <c r="B22" i="184"/>
  <c r="B21" i="184"/>
  <c r="B20" i="184"/>
  <c r="B19" i="184"/>
  <c r="B18" i="184"/>
  <c r="B17" i="184"/>
  <c r="B16" i="184"/>
  <c r="B15" i="184"/>
  <c r="B14" i="184"/>
  <c r="B13" i="184"/>
  <c r="B12" i="184"/>
  <c r="B11" i="184"/>
  <c r="B10" i="184"/>
  <c r="B9" i="184"/>
  <c r="B8" i="184"/>
  <c r="B7" i="184"/>
  <c r="B6" i="184"/>
  <c r="B4" i="4" l="1"/>
</calcChain>
</file>

<file path=xl/sharedStrings.xml><?xml version="1.0" encoding="utf-8"?>
<sst xmlns="http://schemas.openxmlformats.org/spreadsheetml/2006/main" count="1001" uniqueCount="383">
  <si>
    <t>日本ビジネスシステムズ株式会社</t>
    <rPh sb="0" eb="2">
      <t>ニホン</t>
    </rPh>
    <rPh sb="11" eb="15">
      <t>カブシキガイシャ</t>
    </rPh>
    <phoneticPr fontId="26"/>
  </si>
  <si>
    <t>No</t>
  </si>
  <si>
    <t>該当モジュール</t>
  </si>
  <si>
    <t>設定項目</t>
  </si>
  <si>
    <t>説明</t>
  </si>
  <si>
    <t>パス</t>
    <phoneticPr fontId="12"/>
  </si>
  <si>
    <t>販売とマーケティング</t>
  </si>
  <si>
    <t>販売とマーケティングパラメータ</t>
  </si>
  <si>
    <t>販売とマーケティングモジュール用パラメータ定義となる。
販売とマーケティングモジュールは、売上管理に使用するため、パラメータ値を設定する。</t>
    <phoneticPr fontId="12"/>
  </si>
  <si>
    <t>販売とマーケティング＞設定＞販売とマーケティングパラメーター
Sales and marketing &gt; Setup &gt; Sales and marketing parameters</t>
    <phoneticPr fontId="12"/>
  </si>
  <si>
    <t>業種</t>
    <rPh sb="0" eb="2">
      <t>ギョウシュ</t>
    </rPh>
    <phoneticPr fontId="12"/>
  </si>
  <si>
    <t>販売とマーケティング＞設定＞統計＞業種
Sales and marketing &gt; Setup &gt; Statistics &gt; Line of business</t>
    <rPh sb="14" eb="16">
      <t>トウケイ</t>
    </rPh>
    <rPh sb="17" eb="19">
      <t>ギョウシュ</t>
    </rPh>
    <phoneticPr fontId="12"/>
  </si>
  <si>
    <t>販売とマーケティング パラメーター</t>
    <phoneticPr fontId="12"/>
  </si>
  <si>
    <t>販売とマーケティング＞設定＞販売とマーケティングパラメーター</t>
  </si>
  <si>
    <t>Sales and marketing &gt; Setup &gt; Sales and marketing parameters</t>
    <phoneticPr fontId="12"/>
  </si>
  <si>
    <t>#</t>
  </si>
  <si>
    <t>タブ</t>
  </si>
  <si>
    <t>タブ説明</t>
    <rPh sb="2" eb="4">
      <t>セツメイ</t>
    </rPh>
    <phoneticPr fontId="20"/>
  </si>
  <si>
    <t>項目分類</t>
    <rPh sb="0" eb="2">
      <t>コウモク</t>
    </rPh>
    <rPh sb="2" eb="4">
      <t>ブンルイ</t>
    </rPh>
    <phoneticPr fontId="15"/>
  </si>
  <si>
    <t>項目</t>
  </si>
  <si>
    <t>Description（標準）</t>
    <rPh sb="12" eb="14">
      <t>ヒョウジュン</t>
    </rPh>
    <phoneticPr fontId="15"/>
  </si>
  <si>
    <t>設定可能値</t>
  </si>
  <si>
    <t>デフォルト値</t>
    <rPh sb="5" eb="6">
      <t>チ</t>
    </rPh>
    <phoneticPr fontId="20"/>
  </si>
  <si>
    <t>備考</t>
  </si>
  <si>
    <t>設定値</t>
  </si>
  <si>
    <t>設定基準</t>
  </si>
  <si>
    <t>一般</t>
    <rPh sb="0" eb="2">
      <t>イッパン</t>
    </rPh>
    <phoneticPr fontId="12"/>
  </si>
  <si>
    <t>見込顧客、潜在顧客、および営業案件の一般パラメーターの定義</t>
  </si>
  <si>
    <t>期間</t>
    <rPh sb="0" eb="2">
      <t>キカン</t>
    </rPh>
    <phoneticPr fontId="12"/>
  </si>
  <si>
    <t>期間コード</t>
    <rPh sb="0" eb="2">
      <t>キカン</t>
    </rPh>
    <phoneticPr fontId="12"/>
  </si>
  <si>
    <t>必要な情報の期間を選択します。</t>
    <phoneticPr fontId="12"/>
  </si>
  <si>
    <t>-</t>
    <phoneticPr fontId="12"/>
  </si>
  <si>
    <t>開始日</t>
    <rPh sb="0" eb="3">
      <t>カイシビ</t>
    </rPh>
    <phoneticPr fontId="12"/>
  </si>
  <si>
    <t>見込顧客の統計および売上目標に対する既定の開始日を選択します。</t>
  </si>
  <si>
    <t>終了日</t>
    <rPh sb="0" eb="3">
      <t>シュウリョウビ</t>
    </rPh>
    <phoneticPr fontId="12"/>
  </si>
  <si>
    <t>見込顧客の統計および売上目標に対する既定の終了日を選択します。</t>
  </si>
  <si>
    <t>潜在顧客</t>
    <rPh sb="0" eb="2">
      <t>センザイ</t>
    </rPh>
    <rPh sb="2" eb="4">
      <t>コキャク</t>
    </rPh>
    <phoneticPr fontId="12"/>
  </si>
  <si>
    <t>見込みがある営業案件の作成</t>
  </si>
  <si>
    <t>潜在顧客レコードを見込みありと見なしたときに営業案件レコードを自動的に作成するには、このチェック ボックスを選択します。</t>
    <phoneticPr fontId="12"/>
  </si>
  <si>
    <t>はい/いいえ</t>
    <phoneticPr fontId="12"/>
  </si>
  <si>
    <t>いいえ</t>
    <phoneticPr fontId="12"/>
  </si>
  <si>
    <t>適格とされた顧客の作成</t>
  </si>
  <si>
    <t>潜在顧客レコードを見込みありと見なしたときに顧客レコードを自動的に作成するには、このチェック ボックスを選択します。</t>
    <phoneticPr fontId="12"/>
  </si>
  <si>
    <t>営業案件</t>
    <rPh sb="0" eb="2">
      <t>エイギョウ</t>
    </rPh>
    <rPh sb="2" eb="4">
      <t>アンケン</t>
    </rPh>
    <phoneticPr fontId="12"/>
  </si>
  <si>
    <t>販売見積の営業案件の作成</t>
  </si>
  <si>
    <t>販売見積の作成時に営業案件レコードを作成するかどうかを選択します。</t>
    <phoneticPr fontId="12"/>
  </si>
  <si>
    <t>なし
確認
常時</t>
  </si>
  <si>
    <t>確認</t>
    <rPh sb="0" eb="2">
      <t>カクニン</t>
    </rPh>
    <phoneticPr fontId="12"/>
  </si>
  <si>
    <t>プロジェクト見積の営業案件の作成</t>
  </si>
  <si>
    <t>プロジェクト見積の作成時に営業案件レコードを作成するかどうかを選択します。</t>
    <phoneticPr fontId="12"/>
  </si>
  <si>
    <t>販売見積状態変更時に営業案件を更新</t>
  </si>
  <si>
    <t>販売見積ステータスの変更時に営業案件レコードを更新するかどうかを選択します。</t>
    <phoneticPr fontId="12"/>
  </si>
  <si>
    <t>プロジェクト見積状態変更時に営業案件を更新</t>
  </si>
  <si>
    <t>プロジェクト見積ステータスの変更時に営業案件レコードを更新するかどうかを選択します。</t>
    <phoneticPr fontId="12"/>
  </si>
  <si>
    <t>見込顧客</t>
    <rPh sb="0" eb="2">
      <t>ミコミ</t>
    </rPh>
    <rPh sb="2" eb="4">
      <t>コキャク</t>
    </rPh>
    <phoneticPr fontId="12"/>
  </si>
  <si>
    <t>見込顧客の既定値の設定</t>
  </si>
  <si>
    <t>見込顧客の既定</t>
  </si>
  <si>
    <t>言語</t>
    <rPh sb="0" eb="2">
      <t>ゲンゴ</t>
    </rPh>
    <phoneticPr fontId="12"/>
  </si>
  <si>
    <t>見込顧客の詳細ページを作成する場合、新しい見込顧客に対する既定の言語を選択します。</t>
    <phoneticPr fontId="12"/>
  </si>
  <si>
    <t>42か国語から選択</t>
    <rPh sb="3" eb="5">
      <t>コクゴ</t>
    </rPh>
    <rPh sb="7" eb="9">
      <t>センタク</t>
    </rPh>
    <phoneticPr fontId="12"/>
  </si>
  <si>
    <t>未選択</t>
    <rPh sb="0" eb="1">
      <t>ミ</t>
    </rPh>
    <rPh sb="1" eb="3">
      <t>センタク</t>
    </rPh>
    <phoneticPr fontId="12"/>
  </si>
  <si>
    <t>顧客グループ</t>
    <rPh sb="0" eb="2">
      <t>コキャク</t>
    </rPh>
    <phoneticPr fontId="12"/>
  </si>
  <si>
    <t>見込顧客の詳細ページで、新しい見込顧客に対する既定の顧客グループを選択します。</t>
    <phoneticPr fontId="12"/>
  </si>
  <si>
    <t>未選択</t>
    <rPh sb="0" eb="3">
      <t>ミセンタク</t>
    </rPh>
    <phoneticPr fontId="12"/>
  </si>
  <si>
    <t>仕入先グループ</t>
    <rPh sb="0" eb="3">
      <t>シイレサキ</t>
    </rPh>
    <phoneticPr fontId="12"/>
  </si>
  <si>
    <t>見込顧客の詳細ページで、新しい見込顧客に対する既定の仕入先グループを選択します。</t>
    <phoneticPr fontId="12"/>
  </si>
  <si>
    <t>通貨</t>
  </si>
  <si>
    <t>見込顧客の詳細ページで、新しい見込顧客に対する既定の通貨コードを選択します。</t>
    <phoneticPr fontId="12"/>
  </si>
  <si>
    <t>世界各国の通貨から選択</t>
    <rPh sb="0" eb="2">
      <t>セカイ</t>
    </rPh>
    <rPh sb="2" eb="4">
      <t>カッコク</t>
    </rPh>
    <rPh sb="5" eb="7">
      <t>ツウカ</t>
    </rPh>
    <rPh sb="9" eb="11">
      <t>センタク</t>
    </rPh>
    <phoneticPr fontId="12"/>
  </si>
  <si>
    <t>タイプ</t>
  </si>
  <si>
    <t>見込顧客の詳細ページで、新しい見込顧客に対する既定の見込顧客のタイプを選択します。 見込顧客のタイプは、関係のタイプ ページで定義されます。</t>
    <phoneticPr fontId="12"/>
  </si>
  <si>
    <t>始業時刻</t>
    <rPh sb="0" eb="2">
      <t>シギョウ</t>
    </rPh>
    <rPh sb="2" eb="4">
      <t>ジコク</t>
    </rPh>
    <phoneticPr fontId="12"/>
  </si>
  <si>
    <t>新たに作成された見込顧客の既定の始業時刻を入力します。</t>
    <rPh sb="0" eb="1">
      <t>アラ</t>
    </rPh>
    <rPh sb="3" eb="5">
      <t>サクセイ</t>
    </rPh>
    <rPh sb="8" eb="10">
      <t>ミコ</t>
    </rPh>
    <rPh sb="10" eb="12">
      <t>コキャク</t>
    </rPh>
    <rPh sb="13" eb="15">
      <t>キテイ</t>
    </rPh>
    <rPh sb="16" eb="18">
      <t>シギョウ</t>
    </rPh>
    <rPh sb="18" eb="20">
      <t>ジコク</t>
    </rPh>
    <rPh sb="21" eb="23">
      <t>ニュウリョク</t>
    </rPh>
    <phoneticPr fontId="12"/>
  </si>
  <si>
    <t>時刻</t>
    <rPh sb="0" eb="2">
      <t>ジコク</t>
    </rPh>
    <phoneticPr fontId="12"/>
  </si>
  <si>
    <t>終業時刻</t>
    <rPh sb="0" eb="2">
      <t>シュウギョウ</t>
    </rPh>
    <rPh sb="2" eb="4">
      <t>ジコク</t>
    </rPh>
    <phoneticPr fontId="12"/>
  </si>
  <si>
    <t>新たに作成された見込顧客の既定の就業時刻を入力します。</t>
    <rPh sb="0" eb="1">
      <t>アラ</t>
    </rPh>
    <rPh sb="3" eb="5">
      <t>サクセイ</t>
    </rPh>
    <rPh sb="8" eb="10">
      <t>ミコ</t>
    </rPh>
    <rPh sb="10" eb="12">
      <t>コキャク</t>
    </rPh>
    <rPh sb="13" eb="15">
      <t>キテイ</t>
    </rPh>
    <rPh sb="16" eb="18">
      <t>シュウギョウ</t>
    </rPh>
    <rPh sb="18" eb="20">
      <t>ジコク</t>
    </rPh>
    <rPh sb="21" eb="23">
      <t>ニュウリョク</t>
    </rPh>
    <phoneticPr fontId="12"/>
  </si>
  <si>
    <t>ステータス</t>
  </si>
  <si>
    <t>既定の見込顧客ステータスを選択します。</t>
    <phoneticPr fontId="12"/>
  </si>
  <si>
    <t>その他の情報</t>
    <rPh sb="2" eb="3">
      <t>タ</t>
    </rPh>
    <rPh sb="4" eb="6">
      <t>ジョウホウ</t>
    </rPh>
    <phoneticPr fontId="12"/>
  </si>
  <si>
    <t>電子メール グループのコピー タイプ</t>
  </si>
  <si>
    <t>電子メール グループを介して送信される電子メール メッセージを受信者に送信する方法を選択します。</t>
    <phoneticPr fontId="12"/>
  </si>
  <si>
    <t>なし
宛先
cc
BCC</t>
    <rPh sb="3" eb="5">
      <t>アテサキ</t>
    </rPh>
    <phoneticPr fontId="12"/>
  </si>
  <si>
    <t>なし</t>
    <phoneticPr fontId="12"/>
  </si>
  <si>
    <t>見込顧客の変換時に顧客または仕入先を開く</t>
  </si>
  <si>
    <t>取引関係を作成時に、そのタイプに応じて仕入先ページまたは顧客ページのいずれかを開くには、このチェック ボックスを選択します。</t>
    <phoneticPr fontId="12"/>
  </si>
  <si>
    <t>はい</t>
    <phoneticPr fontId="12"/>
  </si>
  <si>
    <t>ドキュメント</t>
    <phoneticPr fontId="12"/>
  </si>
  <si>
    <t>ドキュメント管理の設定</t>
    <phoneticPr fontId="12"/>
  </si>
  <si>
    <t>これより古いドキュメントを非表示にする</t>
  </si>
  <si>
    <t>ドキュメント ページに表示されるドキュメントの年数制限の上限を入力します。 年数制限の上限は、現在の日付から、このフィールドの値 (日数) を差し引いた値として定義されます。 「10」と入力した場合、10 日前から今日の間に作成されたドキュメントだけが表示されます。</t>
    <phoneticPr fontId="12"/>
  </si>
  <si>
    <t>数値</t>
    <rPh sb="0" eb="2">
      <t>スウチ</t>
    </rPh>
    <phoneticPr fontId="12"/>
  </si>
  <si>
    <t>メーリング ファイル ディレクトリ</t>
  </si>
  <si>
    <t>メーリング ファイルを格納するのに使用するディレクトリを選択します。</t>
    <phoneticPr fontId="12"/>
  </si>
  <si>
    <t>文字列</t>
    <rPh sb="0" eb="3">
      <t>モジレツ</t>
    </rPh>
    <phoneticPr fontId="12"/>
  </si>
  <si>
    <t>着信電子メールのドキュメント タイプ</t>
  </si>
  <si>
    <t>着信電子メール メッセージを標準ドキュメントとして保存するときに使用するドキュメント タイプを選択します。 ドキュメントタイプは、ドキュメント タイプ ページで設定されます。</t>
    <phoneticPr fontId="12"/>
  </si>
  <si>
    <t>送信電子メールのドキュメント タイプ</t>
  </si>
  <si>
    <t>送信電子メール メッセージを標準ドキュメントとして保存するときに使用するドキュメント タイプを選択します。 ドキュメントタイプは、ドキュメント タイプ ページで設定されます。</t>
    <phoneticPr fontId="12"/>
  </si>
  <si>
    <t>その他のドキュメントのドキュメント タイプ</t>
  </si>
  <si>
    <t>ファイルを保存するときに使用するドキュメント タイプを、ドラッグ アンド ドロップ機能を使用して選択します。 ドキュメントタイプは、ドキュメント タイプ ページで設定されます。</t>
    <phoneticPr fontId="12"/>
  </si>
  <si>
    <t>キャンペーン</t>
  </si>
  <si>
    <t>キャンペーンの既定値の設定</t>
  </si>
  <si>
    <t>キャンペーンの既定値</t>
    <rPh sb="7" eb="10">
      <t>キテイチ</t>
    </rPh>
    <phoneticPr fontId="12"/>
  </si>
  <si>
    <t>状態</t>
    <rPh sb="0" eb="2">
      <t>ジョウタイ</t>
    </rPh>
    <phoneticPr fontId="12"/>
  </si>
  <si>
    <t>既定のキャンペーンのステータスを選択します。 ステータスは、キャンペーン ページで新しいキャンペーンを作成するときに表示されます。</t>
    <phoneticPr fontId="12"/>
  </si>
  <si>
    <t>計画
進行中
応答
フォローアップ
クローズ済
キャンセル済</t>
    <rPh sb="0" eb="2">
      <t>ケイカク</t>
    </rPh>
    <rPh sb="3" eb="6">
      <t>シンコウチュウ</t>
    </rPh>
    <rPh sb="7" eb="9">
      <t>オウトウ</t>
    </rPh>
    <rPh sb="22" eb="23">
      <t>ズ</t>
    </rPh>
    <rPh sb="29" eb="30">
      <t>ズミ</t>
    </rPh>
    <phoneticPr fontId="12"/>
  </si>
  <si>
    <t>計画</t>
    <rPh sb="0" eb="2">
      <t>ケイカク</t>
    </rPh>
    <phoneticPr fontId="12"/>
  </si>
  <si>
    <t>タイプ</t>
    <phoneticPr fontId="12"/>
  </si>
  <si>
    <t>既定のキャンペーン タイプを選択します。 このキャンペーン タイプは、キャンペーン ページで新しいキャンペーンが作成されるときに既定で使用されます。</t>
    <phoneticPr fontId="12"/>
  </si>
  <si>
    <t>グループ</t>
  </si>
  <si>
    <t>既定のキャンペーン グループを選択します。 このキャンペーン グループは、キャンペーン ページで新しいキャンペーンを作成するときに既定で使用されます。</t>
    <phoneticPr fontId="12"/>
  </si>
  <si>
    <t>目標</t>
    <rPh sb="0" eb="2">
      <t>モクヒョウ</t>
    </rPh>
    <phoneticPr fontId="12"/>
  </si>
  <si>
    <t>既定のキャンペーン ターゲットを選択します。 このキャンペーン ターゲットは、キャンペーン ページで新しいキャンペーンを作成するときに既定で使用されます。</t>
    <phoneticPr fontId="12"/>
  </si>
  <si>
    <t>キャンペーンの有効期限が切れるまでの日数</t>
  </si>
  <si>
    <t>キャンペーンの既定の日数 (開始日から有効期限まで) を入力します。</t>
    <phoneticPr fontId="12"/>
  </si>
  <si>
    <t>フォローアップまでの日数</t>
  </si>
  <si>
    <t>既定のフォローアップ日数 (開始日からフォローアップ日まで) を入力します。 注記: このフィールドは、キャンペーンに基づいて生成されるすべての自動活動で使用されます。</t>
    <phoneticPr fontId="12"/>
  </si>
  <si>
    <t>コラボレーション サイトの既定</t>
  </si>
  <si>
    <t>ユーザーID</t>
  </si>
  <si>
    <t>Web で配信され、Web から反応を収集するキャンペーンを作成するとき、既定の Web サイト ユーザー ID を選択します。</t>
    <phoneticPr fontId="12"/>
  </si>
  <si>
    <t>インターネットアドレス</t>
  </si>
  <si>
    <t>キャンペーンに関連付ける既定の Web サイトを選択します。 キャンペーン ページの Web 配信機能を使用するときには、この Web サイトが使用されます。</t>
    <phoneticPr fontId="12"/>
  </si>
  <si>
    <t>活動</t>
    <rPh sb="0" eb="2">
      <t>カツドウ</t>
    </rPh>
    <phoneticPr fontId="12"/>
  </si>
  <si>
    <t>販売とマーケティング活動の既定のパラメーターの定義</t>
  </si>
  <si>
    <t>バッチ ジョブの既定の活動</t>
  </si>
  <si>
    <t>活動の作成</t>
  </si>
  <si>
    <t>バッチ ジョブを使用してレコードを作成したときに活動を自動的に作成するかどうかを選択します。</t>
    <phoneticPr fontId="12"/>
  </si>
  <si>
    <t>はい
いいえ</t>
  </si>
  <si>
    <t>見積書の既定の活動</t>
  </si>
  <si>
    <t>はい
いいえ
確認
詳細設定確認</t>
    <rPh sb="7" eb="9">
      <t>カクニン</t>
    </rPh>
    <rPh sb="10" eb="12">
      <t>ショウサイ</t>
    </rPh>
    <rPh sb="12" eb="14">
      <t>セッテイ</t>
    </rPh>
    <rPh sb="14" eb="16">
      <t>カクニン</t>
    </rPh>
    <phoneticPr fontId="12"/>
  </si>
  <si>
    <t>カテゴリ</t>
    <phoneticPr fontId="12"/>
  </si>
  <si>
    <t>予定
タスク
アクション
イベント</t>
    <rPh sb="0" eb="2">
      <t>ヨテイ</t>
    </rPh>
    <phoneticPr fontId="12"/>
  </si>
  <si>
    <t>タスク</t>
    <phoneticPr fontId="12"/>
  </si>
  <si>
    <t>使用方法</t>
    <rPh sb="0" eb="2">
      <t>シヨウ</t>
    </rPh>
    <rPh sb="2" eb="4">
      <t>ホウホウ</t>
    </rPh>
    <phoneticPr fontId="12"/>
  </si>
  <si>
    <t>フェーズ</t>
  </si>
  <si>
    <t>キャンペーン活動の既定値</t>
  </si>
  <si>
    <t>販売見積の作成時に販売見積の活動を自動的に作成するかどうかを選択します。</t>
    <phoneticPr fontId="12"/>
  </si>
  <si>
    <t>キャンペーン ターゲットの既定の活動</t>
  </si>
  <si>
    <t>予定</t>
    <rPh sb="0" eb="2">
      <t>ヨテイ</t>
    </rPh>
    <phoneticPr fontId="12"/>
  </si>
  <si>
    <t>テレマーケティング活動の既定値</t>
  </si>
  <si>
    <t>使用方法</t>
    <rPh sb="0" eb="4">
      <t>シヨウホウホウ</t>
    </rPh>
    <phoneticPr fontId="12"/>
  </si>
  <si>
    <t>テレマーケティング コールバック活動の既定値</t>
  </si>
  <si>
    <t>テレマーケティング ターゲットの既定の活動</t>
  </si>
  <si>
    <t>カタログ要求の活動の既定値</t>
  </si>
  <si>
    <t>カタログ要求時に活動を作成</t>
  </si>
  <si>
    <t>カタログ要求済カテゴリ</t>
  </si>
  <si>
    <t>カタログ要求の活動タイプ</t>
  </si>
  <si>
    <t>カタログ要求の活動目的</t>
  </si>
  <si>
    <t>カタログ要求の活動フェーズ</t>
  </si>
  <si>
    <t>カタログ送信済の活動の既定値</t>
  </si>
  <si>
    <t>カタログ送信時に活動を作成</t>
  </si>
  <si>
    <t>カタログ送信済のカテゴリ</t>
  </si>
  <si>
    <t>カタログ送信済の活動タイプ</t>
  </si>
  <si>
    <t>カタログ送信済の活動目的</t>
    <rPh sb="4" eb="6">
      <t>ソウシン</t>
    </rPh>
    <rPh sb="6" eb="7">
      <t>ズ</t>
    </rPh>
    <rPh sb="8" eb="10">
      <t>カツドウ</t>
    </rPh>
    <rPh sb="10" eb="12">
      <t>モクテキ</t>
    </rPh>
    <phoneticPr fontId="12"/>
  </si>
  <si>
    <t>カタログ送信済の活動フェーズ</t>
  </si>
  <si>
    <t>トランザクション ログ</t>
    <phoneticPr fontId="12"/>
  </si>
  <si>
    <t>トランザクション追跡の設定</t>
  </si>
  <si>
    <t>追跡の変更対象</t>
  </si>
  <si>
    <t>顧客</t>
  </si>
  <si>
    <t>顧客トランザクション</t>
  </si>
  <si>
    <t>仕入先</t>
  </si>
  <si>
    <t>仕入先トランザクション</t>
  </si>
  <si>
    <t>連絡先</t>
  </si>
  <si>
    <t>活動</t>
  </si>
  <si>
    <t>ドキュメントの参照</t>
  </si>
  <si>
    <t>販売注文</t>
  </si>
  <si>
    <t>見積</t>
  </si>
  <si>
    <t>メーリング</t>
  </si>
  <si>
    <t>見込顧客</t>
  </si>
  <si>
    <t>通話リスト</t>
  </si>
  <si>
    <t>営業案件</t>
  </si>
  <si>
    <t>潜在顧客</t>
  </si>
  <si>
    <t>ケース</t>
  </si>
  <si>
    <t>オプション</t>
    <phoneticPr fontId="12"/>
  </si>
  <si>
    <t>ログを保持する日数</t>
  </si>
  <si>
    <t>新しいトランザクションの追跡</t>
  </si>
  <si>
    <t>削除済トランザクションの追跡</t>
  </si>
  <si>
    <t>更新済トランザクションの追跡</t>
  </si>
  <si>
    <t>すべて更新
最終更新
更新なし</t>
    <rPh sb="3" eb="5">
      <t>コウシン</t>
    </rPh>
    <rPh sb="6" eb="8">
      <t>サイシュウ</t>
    </rPh>
    <rPh sb="8" eb="10">
      <t>コウシン</t>
    </rPh>
    <rPh sb="11" eb="13">
      <t>コウシンコウシン</t>
    </rPh>
    <phoneticPr fontId="12"/>
  </si>
  <si>
    <t>最終更新</t>
    <rPh sb="0" eb="2">
      <t>サイシュウ</t>
    </rPh>
    <rPh sb="2" eb="4">
      <t>コウシン</t>
    </rPh>
    <phoneticPr fontId="12"/>
  </si>
  <si>
    <t>番号順序</t>
    <rPh sb="0" eb="2">
      <t>バンゴウ</t>
    </rPh>
    <rPh sb="2" eb="4">
      <t>ジュンジョ</t>
    </rPh>
    <phoneticPr fontId="12"/>
  </si>
  <si>
    <t>販売とマーケティング モジュールの番号順序の設定</t>
  </si>
  <si>
    <t>参照</t>
    <rPh sb="0" eb="2">
      <t>サンショウ</t>
    </rPh>
    <phoneticPr fontId="12"/>
  </si>
  <si>
    <t>（システム自動入力）</t>
    <rPh sb="5" eb="7">
      <t>ジドウ</t>
    </rPh>
    <rPh sb="7" eb="9">
      <t>ニュウリョク</t>
    </rPh>
    <phoneticPr fontId="12"/>
  </si>
  <si>
    <t>「販売とマーケティング-番号順序」を参照</t>
    <rPh sb="1" eb="3">
      <t>ハンバイ</t>
    </rPh>
    <rPh sb="12" eb="14">
      <t>バンゴウ</t>
    </rPh>
    <rPh sb="14" eb="16">
      <t>ジュンジョ</t>
    </rPh>
    <rPh sb="18" eb="20">
      <t>サンショウ</t>
    </rPh>
    <phoneticPr fontId="12"/>
  </si>
  <si>
    <t>番号順序コード</t>
    <rPh sb="0" eb="2">
      <t>バンゴウ</t>
    </rPh>
    <rPh sb="2" eb="4">
      <t>ジュンジョ</t>
    </rPh>
    <phoneticPr fontId="12"/>
  </si>
  <si>
    <t>データベースのレコードの固有 ID</t>
  </si>
  <si>
    <t>説明</t>
    <rPh sb="0" eb="2">
      <t>セツメイ</t>
    </rPh>
    <phoneticPr fontId="12"/>
  </si>
  <si>
    <t>システム自動入力</t>
    <rPh sb="4" eb="8">
      <t>ジドウニュウリョク</t>
    </rPh>
    <phoneticPr fontId="12"/>
  </si>
  <si>
    <t>販売とマーケティング-番号順序</t>
    <phoneticPr fontId="12"/>
  </si>
  <si>
    <t>参照</t>
  </si>
  <si>
    <t>番号順序コード</t>
    <rPh sb="2" eb="4">
      <t>ジュンジョ</t>
    </rPh>
    <phoneticPr fontId="20"/>
  </si>
  <si>
    <t>説明</t>
    <rPh sb="0" eb="2">
      <t>セツメイ</t>
    </rPh>
    <phoneticPr fontId="20"/>
  </si>
  <si>
    <t>（システム自動入力）</t>
  </si>
  <si>
    <t>取引 ID 参照</t>
  </si>
  <si>
    <t>関係勘定</t>
  </si>
  <si>
    <t>関係勘定参照</t>
  </si>
  <si>
    <t>仕訳帳</t>
  </si>
  <si>
    <t>関係仕訳帳の ID 参照</t>
  </si>
  <si>
    <t>メンバー ID</t>
  </si>
  <si>
    <t>メンバー ID 参照</t>
  </si>
  <si>
    <t>キャンペーン ID</t>
  </si>
  <si>
    <t>キャンペーン ID 参照</t>
  </si>
  <si>
    <t>ナレッジ記事の項目 ID</t>
  </si>
  <si>
    <t>ナレッジ記事 ID の参照</t>
  </si>
  <si>
    <t>販売単位メンバー ID</t>
  </si>
  <si>
    <t>販売単位メンバー ID 参照</t>
  </si>
  <si>
    <t>キー</t>
  </si>
  <si>
    <t>キー参照</t>
  </si>
  <si>
    <t>通話リスト ID</t>
  </si>
  <si>
    <t>通話リスト ID の参照</t>
  </si>
  <si>
    <t>潜在顧客 ID</t>
  </si>
  <si>
    <t>潜在顧客 ID の参照</t>
  </si>
  <si>
    <t>営業案件 ID</t>
  </si>
  <si>
    <t>営業案件 ID の参照</t>
  </si>
  <si>
    <t>「業種-設定値」を参照</t>
    <rPh sb="1" eb="3">
      <t>ギョウシュ</t>
    </rPh>
    <rPh sb="4" eb="7">
      <t>セッテイチ</t>
    </rPh>
    <rPh sb="9" eb="11">
      <t>サンショウ</t>
    </rPh>
    <phoneticPr fontId="12"/>
  </si>
  <si>
    <t>業種-設定値</t>
    <phoneticPr fontId="12"/>
  </si>
  <si>
    <t>品目</t>
    <rPh sb="0" eb="2">
      <t>ヒンモク</t>
    </rPh>
    <phoneticPr fontId="12"/>
  </si>
  <si>
    <t>廃棄コード</t>
    <rPh sb="0" eb="2">
      <t>ハイキ</t>
    </rPh>
    <phoneticPr fontId="12"/>
  </si>
  <si>
    <t>貸方</t>
    <rPh sb="0" eb="2">
      <t>カシカタ</t>
    </rPh>
    <phoneticPr fontId="12"/>
  </si>
  <si>
    <t>作成者</t>
    <rPh sb="0" eb="3">
      <t>サクセイシャ</t>
    </rPh>
    <phoneticPr fontId="26"/>
  </si>
  <si>
    <t>JBS承認者</t>
    <rPh sb="3" eb="6">
      <t>ショウニンシャ</t>
    </rPh>
    <phoneticPr fontId="26"/>
  </si>
  <si>
    <t>第1.0版</t>
  </si>
  <si>
    <t>法人共通/個別</t>
    <rPh sb="0" eb="4">
      <t>ホウジンキョウツウ</t>
    </rPh>
    <rPh sb="5" eb="7">
      <t>コベツ</t>
    </rPh>
    <phoneticPr fontId="12"/>
  </si>
  <si>
    <t>個別</t>
    <rPh sb="0" eb="2">
      <t>コベツ</t>
    </rPh>
    <phoneticPr fontId="12"/>
  </si>
  <si>
    <t>08:00:00</t>
    <phoneticPr fontId="12"/>
  </si>
  <si>
    <t>16:00:00</t>
    <phoneticPr fontId="12"/>
  </si>
  <si>
    <t>URL
File
Note
画像</t>
    <rPh sb="14" eb="16">
      <t>ガゾウ</t>
    </rPh>
    <phoneticPr fontId="12"/>
  </si>
  <si>
    <t>フォローアップ販売見積活動に対する既定の活動カテゴリを選択します。</t>
    <phoneticPr fontId="12"/>
  </si>
  <si>
    <t>フォローアップ販売見積活動に対する既定の活動タイプを選択します。</t>
    <phoneticPr fontId="12"/>
  </si>
  <si>
    <t>フォローアップ販売見積活動に対する既定の目的を入力します。</t>
    <phoneticPr fontId="12"/>
  </si>
  <si>
    <t>フォローアップ販売見積活動に対する既定の活動フェーズを選択します。</t>
    <phoneticPr fontId="12"/>
  </si>
  <si>
    <t>キャンペーンの作成時に、キャンペーンのフォローアップ活動を自動的に作成するかどうかを選択します。</t>
    <phoneticPr fontId="12"/>
  </si>
  <si>
    <t>フォローアップ キャンペーン活動の既定の活動カテゴリを選択します。</t>
    <phoneticPr fontId="12"/>
  </si>
  <si>
    <t>キャンペーン ターゲットを従業員に割り当てるときに、担当従業員の活動を自動的に作成するかどうかを選択します。</t>
    <phoneticPr fontId="12"/>
  </si>
  <si>
    <t>キャンペーン ターゲット活動の既定の活動カテゴリを選択します。</t>
    <phoneticPr fontId="12"/>
  </si>
  <si>
    <t>キャンペーン ターゲット活動の既定の活動タイプを選択します。</t>
    <phoneticPr fontId="12"/>
  </si>
  <si>
    <t>キャンペーン ターゲット活動の既定の目的を入力します。</t>
    <phoneticPr fontId="12"/>
  </si>
  <si>
    <t>キャンペーン ターゲット活動の既定の活動フェーズを選択します。</t>
    <phoneticPr fontId="12"/>
  </si>
  <si>
    <t>テレマーケティング通話リストの作成時に活動を自動的に作成するかどうかを選択します。</t>
    <phoneticPr fontId="12"/>
  </si>
  <si>
    <t>テレマーケティング通話リスト活動に対する既定の活動カテゴリを選択します。</t>
    <phoneticPr fontId="12"/>
  </si>
  <si>
    <t>テレマーケティング通話リスト活動に対する既定の活動タイプを選択します。</t>
    <phoneticPr fontId="12"/>
  </si>
  <si>
    <t>テレマーケティング通話リスト活動に対する既定の目的を入力します。</t>
    <phoneticPr fontId="12"/>
  </si>
  <si>
    <t>テレマーケティング通話リスト活動に対する既定の活動フェーズを選択します。</t>
    <phoneticPr fontId="12"/>
  </si>
  <si>
    <t>テレマーケティング通話リストで、通話リスト ターゲットのステータスがコールバックに変更されたときに、活動を自動的に作成するかどうかを選択します。</t>
    <phoneticPr fontId="12"/>
  </si>
  <si>
    <t>テレマーケティング コールバック活動に対する既定の活動カテゴリを選択します。</t>
    <phoneticPr fontId="12"/>
  </si>
  <si>
    <t>テレマーケティング コールバック活動に対する既定の活動タイプを選択します。</t>
    <phoneticPr fontId="12"/>
  </si>
  <si>
    <t>テレマーケティング コールバック活動に対する既定の目的を入力します。</t>
    <phoneticPr fontId="12"/>
  </si>
  <si>
    <t>テレマーケティング コールバック活動に対する既定の活動フェーズを選択します。</t>
    <phoneticPr fontId="12"/>
  </si>
  <si>
    <t>テレマーケティング通話リスト ターゲットを従業員に割り当てるときに、担当従業員の活動を自動的に作成するかどうかを選択します。</t>
    <phoneticPr fontId="12"/>
  </si>
  <si>
    <t>テレマーケティング通話リスト ターゲット活動に対する既定の活動カテゴリを選択します。</t>
    <phoneticPr fontId="12"/>
  </si>
  <si>
    <t>テレマーケティング通話リスト ターゲット活動に対する既定の活動タイプを選択します。</t>
    <phoneticPr fontId="12"/>
  </si>
  <si>
    <t>テレマーケティング通話リスト ターゲット活動に対する既定の目的を入力します。</t>
    <phoneticPr fontId="12"/>
  </si>
  <si>
    <t>テレマーケティング通話リスト ターゲット活動に対する既定の活動フェーズを選択します。</t>
    <phoneticPr fontId="12"/>
  </si>
  <si>
    <t>顧客からカタログが要求されたときに活動を自動的に作成するかどうか、いつ作成するかを選択します。</t>
    <phoneticPr fontId="12"/>
  </si>
  <si>
    <t>カタログ要求活動の既定の活動カテゴリを選択します。</t>
    <phoneticPr fontId="12"/>
  </si>
  <si>
    <t>カタログ要求活動の既定の活動タイプを選択します。</t>
    <phoneticPr fontId="12"/>
  </si>
  <si>
    <t>カタログ要求活動の既定の目的を入力します。</t>
    <phoneticPr fontId="12"/>
  </si>
  <si>
    <t>カタログ要求活動の既定の活動フェーズを選択します。</t>
    <phoneticPr fontId="12"/>
  </si>
  <si>
    <t>顧客にカタログが送信されたときに活動を自動的に作成するかどうか、いつ作成するかを選択します。</t>
    <phoneticPr fontId="12"/>
  </si>
  <si>
    <t>カタログ送信済の活動に対する既定の活動カテゴリを選択します。</t>
    <phoneticPr fontId="12"/>
  </si>
  <si>
    <t>カタログ送信済の活動に対する既定の活動タイプを選択します。</t>
    <phoneticPr fontId="12"/>
  </si>
  <si>
    <t>カタログ送信済の活動に対する既定の目的を入力します。</t>
    <phoneticPr fontId="12"/>
  </si>
  <si>
    <t>カタログ送信済の活動に対する既定の活動フェーズを選択します。</t>
    <phoneticPr fontId="12"/>
  </si>
  <si>
    <t>Quotation expires</t>
    <phoneticPr fontId="12"/>
  </si>
  <si>
    <t>campaign end</t>
    <phoneticPr fontId="12"/>
  </si>
  <si>
    <t>Telemarketing</t>
    <phoneticPr fontId="12"/>
  </si>
  <si>
    <t>Telemarketing callback</t>
    <phoneticPr fontId="12"/>
  </si>
  <si>
    <t>トランザクション ログでの顧客レコードに対するユーザー変更を追跡する場合は、このチェック ボックスを選択します。</t>
    <phoneticPr fontId="12"/>
  </si>
  <si>
    <t>トランザクション ログでの顧客取引に対するユーザー変更を追跡する場合は、このチェック ボックスを選択します。</t>
    <phoneticPr fontId="12"/>
  </si>
  <si>
    <t>トランザクション ログでの仕入先に対するユーザー変更を追跡する場合は、このチェック ボックスを選択します。</t>
    <phoneticPr fontId="12"/>
  </si>
  <si>
    <t>トランザクション ログでの仕入先トランザクションに対するユーザー変更を追跡する場合は、このチェック ボックスを選択します。</t>
    <phoneticPr fontId="12"/>
  </si>
  <si>
    <t>トランザクション ログでの連絡先に対するユーザー変更を追跡する場合は、このチェック ボックスを選択します。</t>
    <phoneticPr fontId="12"/>
  </si>
  <si>
    <t>トランザクション ログでの活動に対するユーザー変更を追跡する場合は、このチェック ボックスを選択します。</t>
    <phoneticPr fontId="12"/>
  </si>
  <si>
    <t>トランザクション ログでのドキュメント参照に対するユーザー変更を追跡する場合は、このチェック ボックスを選択します。</t>
    <phoneticPr fontId="12"/>
  </si>
  <si>
    <t>トランザクション ログでの販売注文に対するユーザー変更を追跡する場合は、このチェック ボックスを選択します。</t>
    <phoneticPr fontId="12"/>
  </si>
  <si>
    <t>トランザクション ログでの見積に対するユーザー変更を追跡する場合は、このチェック ボックスを選択します。</t>
    <phoneticPr fontId="12"/>
  </si>
  <si>
    <t>トランザクション ログでのメーリングに対するユーザー変更を追跡する場合は、このチェック ボックスを選択します。</t>
    <phoneticPr fontId="12"/>
  </si>
  <si>
    <t>トランザクション ログでの見込顧客に対するユーザー変更を追跡する場合は、このチェック ボックスを選択します。</t>
    <phoneticPr fontId="12"/>
  </si>
  <si>
    <t>トランザクション ログでの通話リストに対するユーザー変更を追跡する場合は、このチェック ボックスを選択します。</t>
    <phoneticPr fontId="12"/>
  </si>
  <si>
    <t>トランザクション ログでのキャンペーンに対するユーザー変更を追跡する場合は、このチェック ボックスを選択します。</t>
    <phoneticPr fontId="12"/>
  </si>
  <si>
    <t>トランザクション ログでの営業案件に対するユーザー変更を追跡する場合は、このチェック ボックスを選択します。</t>
    <phoneticPr fontId="12"/>
  </si>
  <si>
    <t>トランザクション ログでの潜在顧客に対するユーザー変更を追跡する場合は、このチェック ボックスを選択します。</t>
    <phoneticPr fontId="12"/>
  </si>
  <si>
    <t>トランザクション ログでのケースに対するユーザー変更を追跡する場合は、このチェック ボックスを選択します。</t>
    <phoneticPr fontId="12"/>
  </si>
  <si>
    <t>見込顧客および連絡担当者ログ タブ ページに表示するトランザクションの期間を入力します。 期間は日数で表示します。</t>
    <phoneticPr fontId="12"/>
  </si>
  <si>
    <t>トランザクション ログに挿入トランザクションを含める場合は、このチェック ボックスを選択します。 挿入トランザクションとは、見込顧客やキャンペーンを新規作成する場合など、関連するテーブルに新しいレコードを挿入するトランザクションのことです。</t>
    <phoneticPr fontId="12"/>
  </si>
  <si>
    <t>トランザクション ログに削除トランザクションを含める場合は、このチェック ボックスを選択します。 削除トランザクションとは、見込顧客やキャンペーンを削除する場合など、関連するテーブルからレコードを削除するトランザクションのことです。</t>
    <phoneticPr fontId="12"/>
  </si>
  <si>
    <t>更新が実行されるたびにトランザクション ログに新しいトランザクション ログを作成するか、最後のレコードへの更新を実行するか、または更新が実行されてもトランザクション ログを作成しないかを選択します。</t>
    <phoneticPr fontId="12"/>
  </si>
  <si>
    <t>個別</t>
  </si>
  <si>
    <t>価格/割引の有効化</t>
  </si>
  <si>
    <t>顧客の価格/割引グループ</t>
    <rPh sb="0" eb="2">
      <t>コキャク</t>
    </rPh>
    <phoneticPr fontId="2"/>
  </si>
  <si>
    <t>荷渡方法</t>
  </si>
  <si>
    <t>廃棄コード</t>
  </si>
  <si>
    <t>返品理由コードグループ</t>
  </si>
  <si>
    <t>返品理由コード</t>
  </si>
  <si>
    <t>価格/割引の有効化</t>
    <rPh sb="0" eb="2">
      <t>カカク</t>
    </rPh>
    <rPh sb="3" eb="5">
      <t>ワリビキ</t>
    </rPh>
    <rPh sb="6" eb="8">
      <t>ユウコウ</t>
    </rPh>
    <rPh sb="8" eb="9">
      <t>カ</t>
    </rPh>
    <phoneticPr fontId="12"/>
  </si>
  <si>
    <t>Description（標準）</t>
    <phoneticPr fontId="15"/>
  </si>
  <si>
    <t>価格</t>
    <rPh sb="0" eb="2">
      <t>カカク</t>
    </rPh>
    <phoneticPr fontId="12"/>
  </si>
  <si>
    <t xml:space="preserve">顧客
</t>
    <phoneticPr fontId="12"/>
  </si>
  <si>
    <t>はい
いいえ</t>
    <phoneticPr fontId="12"/>
  </si>
  <si>
    <t>売買契約仕訳帳で設定された金額を販売注文側へ反映させるための設定</t>
    <rPh sb="0" eb="2">
      <t>バイバイ</t>
    </rPh>
    <rPh sb="2" eb="7">
      <t>ケイヤクシワケチョウ</t>
    </rPh>
    <rPh sb="8" eb="10">
      <t>セッテイ</t>
    </rPh>
    <rPh sb="13" eb="15">
      <t>キンガク</t>
    </rPh>
    <rPh sb="16" eb="18">
      <t>ハンバイ</t>
    </rPh>
    <rPh sb="18" eb="20">
      <t>チュウモン</t>
    </rPh>
    <rPh sb="20" eb="21">
      <t>ガワ</t>
    </rPh>
    <rPh sb="22" eb="24">
      <t>ハンエイ</t>
    </rPh>
    <rPh sb="30" eb="32">
      <t>セッテイ</t>
    </rPh>
    <phoneticPr fontId="12"/>
  </si>
  <si>
    <t xml:space="preserve">すべての顧客
</t>
    <phoneticPr fontId="12"/>
  </si>
  <si>
    <t>行割引</t>
    <rPh sb="0" eb="1">
      <t>ギョウ</t>
    </rPh>
    <rPh sb="1" eb="3">
      <t>ワリビキ</t>
    </rPh>
    <phoneticPr fontId="12"/>
  </si>
  <si>
    <t>割引金額等を売買契約仕訳帳で使用する場合は、"はい"に変更する</t>
    <rPh sb="0" eb="2">
      <t>ワリビキ</t>
    </rPh>
    <rPh sb="2" eb="4">
      <t>キンガク</t>
    </rPh>
    <rPh sb="4" eb="5">
      <t>トウ</t>
    </rPh>
    <rPh sb="6" eb="13">
      <t>バイバイケイヤクシワケチョウ</t>
    </rPh>
    <rPh sb="14" eb="16">
      <t>シヨウ</t>
    </rPh>
    <rPh sb="18" eb="20">
      <t>バアイ</t>
    </rPh>
    <rPh sb="27" eb="29">
      <t>ヘンコウ</t>
    </rPh>
    <phoneticPr fontId="12"/>
  </si>
  <si>
    <t>品目グループ</t>
    <rPh sb="0" eb="2">
      <t>ヒンモク</t>
    </rPh>
    <phoneticPr fontId="12"/>
  </si>
  <si>
    <t>すべての品目</t>
    <rPh sb="4" eb="6">
      <t>ヒンモク</t>
    </rPh>
    <phoneticPr fontId="12"/>
  </si>
  <si>
    <t>複数行割引</t>
    <rPh sb="0" eb="2">
      <t>フクスウ</t>
    </rPh>
    <rPh sb="2" eb="3">
      <t>ギョウ</t>
    </rPh>
    <rPh sb="3" eb="5">
      <t>ワリビキ</t>
    </rPh>
    <phoneticPr fontId="12"/>
  </si>
  <si>
    <t>割引合計</t>
    <rPh sb="0" eb="2">
      <t>ワリビキ</t>
    </rPh>
    <rPh sb="2" eb="4">
      <t>ゴウケイ</t>
    </rPh>
    <phoneticPr fontId="12"/>
  </si>
  <si>
    <t>ー</t>
    <phoneticPr fontId="12"/>
  </si>
  <si>
    <t>文字列</t>
    <rPh sb="0" eb="2">
      <t>モジ</t>
    </rPh>
    <rPh sb="2" eb="3">
      <t>レツ</t>
    </rPh>
    <phoneticPr fontId="12"/>
  </si>
  <si>
    <t>シート「廃棄コード-設定値」を参照</t>
    <rPh sb="4" eb="6">
      <t>ハイキ</t>
    </rPh>
    <rPh sb="10" eb="12">
      <t>セッテイ</t>
    </rPh>
    <rPh sb="12" eb="13">
      <t>チ</t>
    </rPh>
    <rPh sb="15" eb="17">
      <t>サンショウ</t>
    </rPh>
    <phoneticPr fontId="12"/>
  </si>
  <si>
    <t>操作</t>
    <rPh sb="0" eb="2">
      <t>ソウサ</t>
    </rPh>
    <phoneticPr fontId="12"/>
  </si>
  <si>
    <t>貸方
貸方のみ
仕損
置換と貸方転記
置換と仕損
顧客に戻る</t>
    <rPh sb="0" eb="2">
      <t>カシカタ</t>
    </rPh>
    <rPh sb="3" eb="5">
      <t>カシカタ</t>
    </rPh>
    <rPh sb="8" eb="9">
      <t>シ</t>
    </rPh>
    <rPh sb="9" eb="10">
      <t>ソン</t>
    </rPh>
    <rPh sb="11" eb="13">
      <t>チカン</t>
    </rPh>
    <rPh sb="14" eb="16">
      <t>カシカタ</t>
    </rPh>
    <rPh sb="16" eb="18">
      <t>テンキ</t>
    </rPh>
    <rPh sb="19" eb="21">
      <t>チカン</t>
    </rPh>
    <rPh sb="22" eb="24">
      <t>シソン</t>
    </rPh>
    <rPh sb="25" eb="27">
      <t>コキャク</t>
    </rPh>
    <rPh sb="28" eb="29">
      <t>モド</t>
    </rPh>
    <phoneticPr fontId="12"/>
  </si>
  <si>
    <t>貸方/貸方のみ/仕損/置換と貸方転記/置換と仕損/顧客に戻る</t>
    <rPh sb="0" eb="2">
      <t>カシカタ</t>
    </rPh>
    <rPh sb="3" eb="5">
      <t>カシカタ</t>
    </rPh>
    <rPh sb="8" eb="10">
      <t>シソン</t>
    </rPh>
    <rPh sb="11" eb="13">
      <t>チカン</t>
    </rPh>
    <rPh sb="14" eb="16">
      <t>カシカタ</t>
    </rPh>
    <rPh sb="16" eb="18">
      <t>テンキ</t>
    </rPh>
    <rPh sb="19" eb="21">
      <t>チカン</t>
    </rPh>
    <rPh sb="22" eb="24">
      <t>シソン</t>
    </rPh>
    <rPh sb="25" eb="27">
      <t>コキャク</t>
    </rPh>
    <rPh sb="28" eb="29">
      <t>モド</t>
    </rPh>
    <phoneticPr fontId="12"/>
  </si>
  <si>
    <t>返品理由コードグループ</t>
    <rPh sb="0" eb="2">
      <t>ヘンピン</t>
    </rPh>
    <rPh sb="2" eb="4">
      <t>リユウ</t>
    </rPh>
    <phoneticPr fontId="12"/>
  </si>
  <si>
    <t>返品理由コードグループ</t>
    <rPh sb="0" eb="4">
      <t>ヘンピンリユウ</t>
    </rPh>
    <phoneticPr fontId="12"/>
  </si>
  <si>
    <t>シート「返品理由コードグループ-設定値」を参照</t>
    <rPh sb="4" eb="8">
      <t>ヘンピンリユウ</t>
    </rPh>
    <rPh sb="16" eb="18">
      <t>セッテイ</t>
    </rPh>
    <rPh sb="18" eb="19">
      <t>チ</t>
    </rPh>
    <rPh sb="21" eb="23">
      <t>サンショウ</t>
    </rPh>
    <phoneticPr fontId="12"/>
  </si>
  <si>
    <t>返品理由コード</t>
    <rPh sb="0" eb="2">
      <t>ヘンピン</t>
    </rPh>
    <rPh sb="2" eb="4">
      <t>リユウ</t>
    </rPh>
    <phoneticPr fontId="12"/>
  </si>
  <si>
    <t>返品理由コード</t>
    <rPh sb="0" eb="4">
      <t>ヘンピンリユウ</t>
    </rPh>
    <phoneticPr fontId="12"/>
  </si>
  <si>
    <t>シート「返品理由コード-設定値」を参照</t>
    <rPh sb="4" eb="8">
      <t>ヘンピンリユウ</t>
    </rPh>
    <rPh sb="12" eb="14">
      <t>セッテイ</t>
    </rPh>
    <rPh sb="14" eb="15">
      <t>チ</t>
    </rPh>
    <rPh sb="17" eb="19">
      <t>サンショウ</t>
    </rPh>
    <phoneticPr fontId="12"/>
  </si>
  <si>
    <t>顧客グループ</t>
    <phoneticPr fontId="12"/>
  </si>
  <si>
    <t>廃棄コードに関する説明テキストを入力、または表示します。</t>
    <phoneticPr fontId="12"/>
  </si>
  <si>
    <t>この廃棄コードに割り当てられている品目のフォローアップ アクションを選択するか、または表示します。</t>
    <phoneticPr fontId="12"/>
  </si>
  <si>
    <t>廃棄コードが対応するアクションの種類を説明する説明を入力します。</t>
    <phoneticPr fontId="12"/>
  </si>
  <si>
    <t>販売とマーケティング ＞ 設定 &gt; 価格と割引 &gt; 価格/割引の有効化
Sales and marketing &gt; Setup &gt; Prices and discounts &gt; Activate price/discount</t>
    <phoneticPr fontId="12"/>
  </si>
  <si>
    <t xml:space="preserve">販売とマーケティング ＞ 設定 &gt; 返品 &gt; 廃棄コード
Sales and marketing &gt; Setup &gt; Disposition codes </t>
    <phoneticPr fontId="12"/>
  </si>
  <si>
    <t>販売とマーケティング ＞ 設定 &gt; 返品 &gt; 返品理由コードグループ
Sales and marketing &gt; Setup &gt; Return reason code groups</t>
    <rPh sb="23" eb="27">
      <t>ヘンピンリユウ</t>
    </rPh>
    <phoneticPr fontId="12"/>
  </si>
  <si>
    <t>販売とマーケティング ＞ 設定 &gt; 返品 &gt; 返品理由コード
Sales and marketing &gt; Setup &gt; Return reason codes</t>
    <rPh sb="23" eb="27">
      <t>ヘンピンリユウ</t>
    </rPh>
    <phoneticPr fontId="12"/>
  </si>
  <si>
    <t>販売とマーケティング ＞ 設定 &gt; 価格と割引 &gt; 価格/割引の有効化</t>
  </si>
  <si>
    <t>Sales and marketing &gt; Setup &gt; Prices and discounts &gt; Activate price/discount</t>
  </si>
  <si>
    <t>販売とマーケティング＞設定＞統計＞業種</t>
  </si>
  <si>
    <t>Sales and marketing &gt; Setup &gt; Statistics &gt; Line of business</t>
  </si>
  <si>
    <t>販売とマーケティング ＞ 設定 &gt; 返品 &gt; 返品理由コード</t>
  </si>
  <si>
    <t>Sales and marketing &gt; Setup &gt; Return reason codes</t>
  </si>
  <si>
    <t>販売とマーケティング ＞ 設定 &gt; 返品 &gt; 返品理由コードグループ</t>
  </si>
  <si>
    <t>Sales and marketing &gt; Setup &gt; Return reason code groups</t>
  </si>
  <si>
    <t>販売とマーケティング ＞ 設定 &gt; 返品 &gt; 廃棄コード</t>
  </si>
  <si>
    <t xml:space="preserve">Sales and marketing &gt; Setup &gt; Disposition codes </t>
  </si>
  <si>
    <t>売買契約仕訳帳名</t>
    <phoneticPr fontId="12"/>
  </si>
  <si>
    <t>期間タイプ（ユーザー定義）</t>
    <rPh sb="0" eb="2">
      <t>キカン</t>
    </rPh>
    <phoneticPr fontId="12"/>
  </si>
  <si>
    <t>顧客グループ（ユーザー定義）</t>
    <rPh sb="0" eb="2">
      <t>コキャク</t>
    </rPh>
    <phoneticPr fontId="12"/>
  </si>
  <si>
    <t>仕入先グループ（ユーザー定義）</t>
    <rPh sb="0" eb="3">
      <t>シイレサキ</t>
    </rPh>
    <phoneticPr fontId="12"/>
  </si>
  <si>
    <t>タイプ（ユーザー定義）</t>
  </si>
  <si>
    <t>ステータス（ユーザー定義）</t>
  </si>
  <si>
    <t>グループ（ユーザー定義）</t>
  </si>
  <si>
    <t>目標（ユーザー定義）</t>
    <rPh sb="0" eb="2">
      <t>モクヒョウ</t>
    </rPh>
    <phoneticPr fontId="12"/>
  </si>
  <si>
    <t>ID（ユーザー定義）</t>
  </si>
  <si>
    <t>フェーズ（ユーザー定義）</t>
  </si>
  <si>
    <t>番号順序コード（ユーザー定義）</t>
    <rPh sb="0" eb="4">
      <t>バンゴウジュンジョ</t>
    </rPh>
    <phoneticPr fontId="12"/>
  </si>
  <si>
    <t>番号順序（ユーザー定義）</t>
  </si>
  <si>
    <t>返品理由コードグループ（ユーザー定義）</t>
    <rPh sb="0" eb="4">
      <t>ヘンピンリユウ</t>
    </rPh>
    <phoneticPr fontId="12"/>
  </si>
  <si>
    <t>パラメータ設定一覧</t>
  </si>
  <si>
    <t>パラメータ設定一覧へ</t>
  </si>
  <si>
    <t>GC設定担当者</t>
    <rPh sb="2" eb="4">
      <t>セッテイ</t>
    </rPh>
    <rPh sb="4" eb="7">
      <t>タントウシャ</t>
    </rPh>
    <phoneticPr fontId="12"/>
  </si>
  <si>
    <t>GC設定完了日</t>
    <rPh sb="2" eb="4">
      <t>セッテイ</t>
    </rPh>
    <rPh sb="4" eb="7">
      <t>カンリョウビ</t>
    </rPh>
    <phoneticPr fontId="12"/>
  </si>
  <si>
    <t>「FOパラメータ定義書-法人_99.マスタ」側に記載</t>
    <rPh sb="8" eb="11">
      <t>テイギショ</t>
    </rPh>
    <rPh sb="12" eb="14">
      <t>ホウジン</t>
    </rPh>
    <rPh sb="22" eb="23">
      <t>ガワ</t>
    </rPh>
    <rPh sb="24" eb="26">
      <t>キサイ</t>
    </rPh>
    <phoneticPr fontId="2"/>
  </si>
  <si>
    <t>-</t>
  </si>
  <si>
    <t>いいえ</t>
  </si>
  <si>
    <t>営業案件・見積関連の機能は不使用のため、既定値のまま。</t>
    <rPh sb="0" eb="2">
      <t>エイギョウ</t>
    </rPh>
    <rPh sb="2" eb="4">
      <t>アンケン</t>
    </rPh>
    <rPh sb="5" eb="7">
      <t>ミツモリ</t>
    </rPh>
    <rPh sb="7" eb="9">
      <t>カンレン</t>
    </rPh>
    <rPh sb="10" eb="12">
      <t>キノウ</t>
    </rPh>
    <rPh sb="13" eb="16">
      <t>フシヨウ</t>
    </rPh>
    <rPh sb="20" eb="23">
      <t>キテイチ</t>
    </rPh>
    <phoneticPr fontId="12"/>
  </si>
  <si>
    <t>08:00:00</t>
  </si>
  <si>
    <t>16:00:00</t>
  </si>
  <si>
    <t>なし</t>
  </si>
  <si>
    <t>はい</t>
  </si>
  <si>
    <t>タスク</t>
  </si>
  <si>
    <t>Quotation expires</t>
  </si>
  <si>
    <t>campaign end</t>
  </si>
  <si>
    <t>Telemarketing</t>
  </si>
  <si>
    <t>Telemarketing callback</t>
  </si>
  <si>
    <t>価格・割引定義は不使用のため。</t>
    <rPh sb="0" eb="2">
      <t>カカク</t>
    </rPh>
    <rPh sb="3" eb="5">
      <t>ワリビキ</t>
    </rPh>
    <rPh sb="5" eb="7">
      <t>テイギ</t>
    </rPh>
    <rPh sb="8" eb="11">
      <t>フシヨウ</t>
    </rPh>
    <phoneticPr fontId="12"/>
  </si>
  <si>
    <t>価格/割引の有効化を設定する。
→2024/11/12時点の想定としては価格マスタ（売買契約仕訳帳）は使用しない想定のため、不要の認識。</t>
    <rPh sb="10" eb="12">
      <t>セッテイ</t>
    </rPh>
    <rPh sb="27" eb="29">
      <t>ジテン</t>
    </rPh>
    <rPh sb="30" eb="32">
      <t>ソウテイ</t>
    </rPh>
    <rPh sb="36" eb="38">
      <t>カカク</t>
    </rPh>
    <rPh sb="42" eb="46">
      <t>バイバイケイヤク</t>
    </rPh>
    <rPh sb="46" eb="49">
      <t>シワケチョウ</t>
    </rPh>
    <rPh sb="51" eb="53">
      <t>シヨウ</t>
    </rPh>
    <rPh sb="56" eb="58">
      <t>ソウテイ</t>
    </rPh>
    <rPh sb="62" eb="64">
      <t>フヨウ</t>
    </rPh>
    <rPh sb="65" eb="67">
      <t>ニンシキ</t>
    </rPh>
    <phoneticPr fontId="12"/>
  </si>
  <si>
    <t>廃棄コードを設定する。
→2024/11/12時点の想定としては返品注文は使用しない想定のため、不要の認識。</t>
    <rPh sb="0" eb="2">
      <t>ハイキ</t>
    </rPh>
    <rPh sb="6" eb="8">
      <t>セッテイ</t>
    </rPh>
    <rPh sb="23" eb="25">
      <t>ジテン</t>
    </rPh>
    <rPh sb="26" eb="28">
      <t>ソウテイ</t>
    </rPh>
    <rPh sb="32" eb="34">
      <t>ヘンピン</t>
    </rPh>
    <rPh sb="34" eb="36">
      <t>チュウモン</t>
    </rPh>
    <rPh sb="37" eb="39">
      <t>シヨウ</t>
    </rPh>
    <rPh sb="42" eb="44">
      <t>ソウテイ</t>
    </rPh>
    <rPh sb="48" eb="50">
      <t>フヨウ</t>
    </rPh>
    <rPh sb="51" eb="53">
      <t>ニンシキ</t>
    </rPh>
    <phoneticPr fontId="12"/>
  </si>
  <si>
    <t>返品理由コードグループを設定する。
→2024/11/12時点の想定としては返品注文は使用しない想定のため、不要の認識。</t>
    <rPh sb="0" eb="4">
      <t>ヘンピンリユウ</t>
    </rPh>
    <rPh sb="12" eb="14">
      <t>セッテイ</t>
    </rPh>
    <phoneticPr fontId="12"/>
  </si>
  <si>
    <t>返品理由コードを設定する。
→2024/11/12時点の想定としては返品注文は使用しない想定のため、不要の認識。</t>
    <rPh sb="0" eb="4">
      <t>ヘンピンリユウ</t>
    </rPh>
    <rPh sb="8" eb="10">
      <t>セッテイ</t>
    </rPh>
    <phoneticPr fontId="12"/>
  </si>
  <si>
    <t>会計システム刷新プロジェクト（LIBRA）</t>
    <phoneticPr fontId="26"/>
  </si>
  <si>
    <t>サンスター株式会社　御中</t>
    <phoneticPr fontId="26"/>
  </si>
  <si>
    <t>顧客マスタに設定する業種のマスタとなる
→2024/11/19時点の想定としては使用しない想定のため、不要の認識。</t>
    <rPh sb="0" eb="2">
      <t>コキャク</t>
    </rPh>
    <rPh sb="6" eb="8">
      <t>セッテイ</t>
    </rPh>
    <rPh sb="10" eb="12">
      <t>ギョウシュ</t>
    </rPh>
    <phoneticPr fontId="12"/>
  </si>
  <si>
    <t>FOパラメータ定義書-SEJ_06.販売とマーケティング</t>
    <rPh sb="7" eb="10">
      <t>テイギショ</t>
    </rPh>
    <phoneticPr fontId="12"/>
  </si>
  <si>
    <t>JBS竹田</t>
    <rPh sb="3" eb="5">
      <t>タケダ</t>
    </rPh>
    <phoneticPr fontId="26"/>
  </si>
  <si>
    <t>＜YYYY/MM/DD＞</t>
    <phoneticPr fontId="26"/>
  </si>
  <si>
    <t>氏名</t>
    <rPh sb="0" eb="2">
      <t>シメイ</t>
    </rPh>
    <phoneticPr fontId="26"/>
  </si>
  <si>
    <t>ja</t>
    <phoneticPr fontId="12"/>
  </si>
  <si>
    <t>JPY</t>
    <phoneticPr fontId="12"/>
  </si>
  <si>
    <t>JBS竹田</t>
    <rPh sb="3" eb="5">
      <t>タケダ</t>
    </rPh>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</si>
</sst>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1"/>
      <color theme="1"/>
      <name val="游ゴシック"/>
      <family val="2"/>
      <scheme val="minor"/>
    </font>
    <font>
      <sz val="16"/>
      <color theme="1"/>
      <name val="Meiryo UI"/>
      <family val="3"/>
      <charset val="128"/>
    </font>
    <font>
      <u/>
      <sz val="11"/>
      <color theme="1"/>
      <name val="Meiryo UI"/>
      <family val="3"/>
      <charset val="128"/>
    </font>
    <font>
      <sz val="6"/>
      <name val="游ゴシック"/>
      <family val="3"/>
      <charset val="128"/>
      <scheme val="minor"/>
    </font>
    <font>
      <sz val="18"/>
      <color theme="1"/>
      <name val="Meiryo UI"/>
      <family val="3"/>
      <charset val="128"/>
    </font>
    <font>
      <sz val="20"/>
      <color theme="1"/>
      <name val="Meiryo UI"/>
      <family val="3"/>
      <charset val="128"/>
    </font>
    <font>
      <sz val="12"/>
      <color theme="1"/>
      <name val="Meiryo UI"/>
      <family val="3"/>
      <charset val="128"/>
    </font>
    <font>
      <b/>
      <sz val="11"/>
      <color theme="1"/>
      <name val="Meiryo UI"/>
      <family val="3"/>
      <charset val="128"/>
    </font>
    <font>
      <u/>
      <sz val="11"/>
      <color theme="10"/>
      <name val="Meiryo UI"/>
      <family val="3"/>
      <charset val="128"/>
    </font>
  </fonts>
  <fills count="9">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rgb="FFE2EFDA"/>
        <bgColor indexed="64"/>
      </patternFill>
    </fill>
    <fill>
      <patternFill patternType="solid">
        <fgColor theme="0" tint="-0.249977111117893"/>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0">
    <xf numFmtId="0" fontId="0" fillId="0" borderId="0">
      <alignment vertical="center"/>
    </xf>
    <xf numFmtId="0" fontId="13" fillId="0" borderId="0">
      <alignment vertical="center"/>
    </xf>
    <xf numFmtId="0" fontId="17" fillId="0" borderId="0"/>
    <xf numFmtId="0" fontId="22" fillId="0" borderId="0" applyNumberFormat="0" applyFill="0" applyBorder="0" applyAlignment="0" applyProtection="0">
      <alignment vertical="center"/>
    </xf>
    <xf numFmtId="0" fontId="11" fillId="0" borderId="0">
      <alignment vertical="center"/>
    </xf>
    <xf numFmtId="0" fontId="10" fillId="0" borderId="0">
      <alignment vertical="center"/>
    </xf>
    <xf numFmtId="0" fontId="9" fillId="0" borderId="0">
      <alignment vertical="center"/>
    </xf>
    <xf numFmtId="0" fontId="8" fillId="0" borderId="0">
      <alignment vertical="center"/>
    </xf>
    <xf numFmtId="0" fontId="8" fillId="0" borderId="0">
      <alignment vertical="center"/>
    </xf>
    <xf numFmtId="0" fontId="8" fillId="0" borderId="0">
      <alignment vertical="center"/>
    </xf>
    <xf numFmtId="0" fontId="23" fillId="0" borderId="0"/>
    <xf numFmtId="0" fontId="7"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alignment vertical="center"/>
    </xf>
    <xf numFmtId="0" fontId="4" fillId="0" borderId="0">
      <alignment vertical="center"/>
    </xf>
    <xf numFmtId="0" fontId="3" fillId="0" borderId="0">
      <alignment vertical="center"/>
    </xf>
    <xf numFmtId="0" fontId="2" fillId="0" borderId="0">
      <alignment vertical="center"/>
    </xf>
    <xf numFmtId="0" fontId="1" fillId="0" borderId="0">
      <alignment vertical="center"/>
    </xf>
  </cellStyleXfs>
  <cellXfs count="136">
    <xf numFmtId="0" fontId="0" fillId="0" borderId="0" xfId="0">
      <alignment vertical="center"/>
    </xf>
    <xf numFmtId="0" fontId="19" fillId="6" borderId="1" xfId="0" applyFont="1" applyFill="1" applyBorder="1" applyAlignment="1" applyProtection="1">
      <alignment vertical="top" wrapText="1"/>
      <protection locked="0"/>
    </xf>
    <xf numFmtId="0" fontId="18" fillId="5" borderId="1" xfId="0" applyFont="1" applyFill="1" applyBorder="1" applyAlignment="1">
      <alignment vertical="top" wrapText="1"/>
    </xf>
    <xf numFmtId="0" fontId="18" fillId="6" borderId="13" xfId="0" applyFont="1" applyFill="1" applyBorder="1" applyAlignment="1">
      <alignment vertical="top" wrapText="1"/>
    </xf>
    <xf numFmtId="0" fontId="18" fillId="6" borderId="1" xfId="0" applyFont="1" applyFill="1" applyBorder="1" applyAlignment="1">
      <alignment vertical="top" wrapText="1"/>
    </xf>
    <xf numFmtId="0" fontId="14" fillId="0" borderId="0" xfId="5" applyFont="1">
      <alignment vertical="center"/>
    </xf>
    <xf numFmtId="0" fontId="19" fillId="6" borderId="1" xfId="0" applyFont="1" applyFill="1" applyBorder="1" applyAlignment="1" applyProtection="1">
      <alignment horizontal="left" vertical="center" wrapText="1"/>
      <protection locked="0"/>
    </xf>
    <xf numFmtId="0" fontId="22" fillId="0" borderId="0" xfId="3" applyProtection="1">
      <alignment vertical="center"/>
    </xf>
    <xf numFmtId="0" fontId="21" fillId="4" borderId="1" xfId="0" applyFont="1" applyFill="1" applyBorder="1" applyAlignment="1">
      <alignment horizontal="center" vertical="top" wrapText="1"/>
    </xf>
    <xf numFmtId="0" fontId="21" fillId="5" borderId="1" xfId="0" applyFont="1" applyFill="1" applyBorder="1" applyAlignment="1">
      <alignment horizontal="center" vertical="top"/>
    </xf>
    <xf numFmtId="0" fontId="19" fillId="0" borderId="11" xfId="0" applyFont="1" applyBorder="1" applyAlignment="1">
      <alignment vertical="top" wrapText="1"/>
    </xf>
    <xf numFmtId="0" fontId="19" fillId="0" borderId="12" xfId="0" applyFont="1" applyBorder="1" applyAlignment="1">
      <alignment vertical="top" wrapText="1"/>
    </xf>
    <xf numFmtId="0" fontId="19" fillId="0" borderId="10" xfId="0" applyFont="1" applyBorder="1" applyAlignment="1">
      <alignment vertical="top" wrapText="1"/>
    </xf>
    <xf numFmtId="0" fontId="21" fillId="4" borderId="1" xfId="0" applyFont="1" applyFill="1" applyBorder="1" applyAlignment="1">
      <alignment horizontal="center" vertical="top"/>
    </xf>
    <xf numFmtId="0" fontId="19" fillId="0" borderId="1" xfId="0" applyFont="1" applyBorder="1" applyAlignment="1">
      <alignment vertical="top"/>
    </xf>
    <xf numFmtId="0" fontId="18" fillId="0" borderId="1" xfId="0" applyFont="1" applyBorder="1" applyAlignment="1">
      <alignment horizontal="left" vertical="top" wrapText="1"/>
    </xf>
    <xf numFmtId="0" fontId="19" fillId="0" borderId="1" xfId="0" applyFont="1" applyBorder="1" applyAlignment="1">
      <alignment horizontal="left" vertical="top" wrapText="1"/>
    </xf>
    <xf numFmtId="0" fontId="19" fillId="6" borderId="1" xfId="0" applyFont="1" applyFill="1" applyBorder="1" applyAlignment="1">
      <alignment vertical="top" wrapText="1"/>
    </xf>
    <xf numFmtId="0" fontId="18" fillId="5" borderId="13" xfId="0" applyFont="1" applyFill="1" applyBorder="1" applyAlignment="1">
      <alignment vertical="top" wrapText="1"/>
    </xf>
    <xf numFmtId="0" fontId="18" fillId="0" borderId="11" xfId="0" applyFont="1" applyBorder="1" applyAlignment="1">
      <alignment horizontal="left" vertical="top" wrapText="1"/>
    </xf>
    <xf numFmtId="0" fontId="19" fillId="0" borderId="5" xfId="0" applyFont="1" applyBorder="1" applyAlignment="1">
      <alignment vertical="top" wrapText="1"/>
    </xf>
    <xf numFmtId="0" fontId="19" fillId="0" borderId="7" xfId="0" applyFont="1" applyBorder="1" applyAlignment="1">
      <alignment vertical="top" wrapText="1"/>
    </xf>
    <xf numFmtId="0" fontId="19" fillId="0" borderId="1" xfId="0" applyFont="1" applyBorder="1" applyAlignment="1">
      <alignment horizontal="left" vertical="center" wrapText="1"/>
    </xf>
    <xf numFmtId="0" fontId="19" fillId="0" borderId="0" xfId="0" applyFont="1">
      <alignment vertical="center"/>
    </xf>
    <xf numFmtId="0" fontId="18" fillId="0" borderId="1" xfId="0" applyFont="1" applyBorder="1" applyAlignment="1">
      <alignment horizontal="left" vertical="center" wrapText="1"/>
    </xf>
    <xf numFmtId="0" fontId="19" fillId="6" borderId="1" xfId="0" applyFont="1" applyFill="1" applyBorder="1" applyAlignment="1">
      <alignment horizontal="left" vertical="center" wrapText="1"/>
    </xf>
    <xf numFmtId="0" fontId="19" fillId="0" borderId="11" xfId="0" applyFont="1" applyBorder="1" applyAlignment="1">
      <alignment vertical="top"/>
    </xf>
    <xf numFmtId="0" fontId="19" fillId="0" borderId="0" xfId="0" applyFont="1" applyAlignment="1">
      <alignment horizontal="left" vertical="center"/>
    </xf>
    <xf numFmtId="0" fontId="21" fillId="4" borderId="1" xfId="0" applyFont="1" applyFill="1" applyBorder="1" applyAlignment="1">
      <alignment horizontal="center" vertical="center" wrapText="1"/>
    </xf>
    <xf numFmtId="0" fontId="19" fillId="0" borderId="2" xfId="0" applyFont="1" applyBorder="1" applyAlignment="1">
      <alignment vertical="top" wrapText="1"/>
    </xf>
    <xf numFmtId="0" fontId="14" fillId="0" borderId="0" xfId="14" applyFont="1">
      <alignment vertical="center"/>
    </xf>
    <xf numFmtId="21" fontId="19" fillId="6" borderId="1" xfId="0" quotePrefix="1" applyNumberFormat="1" applyFont="1" applyFill="1" applyBorder="1" applyAlignment="1" applyProtection="1">
      <alignment horizontal="left" vertical="center" wrapText="1"/>
      <protection locked="0"/>
    </xf>
    <xf numFmtId="21" fontId="19" fillId="0" borderId="1" xfId="0" quotePrefix="1" applyNumberFormat="1" applyFont="1" applyBorder="1" applyAlignment="1">
      <alignment horizontal="left" vertical="center" wrapText="1"/>
    </xf>
    <xf numFmtId="0" fontId="19" fillId="6" borderId="1" xfId="0" quotePrefix="1" applyFont="1" applyFill="1" applyBorder="1" applyAlignment="1" applyProtection="1">
      <alignment horizontal="left" vertical="center" wrapText="1"/>
      <protection locked="0"/>
    </xf>
    <xf numFmtId="0" fontId="19" fillId="7" borderId="1" xfId="0" applyFont="1" applyFill="1" applyBorder="1" applyAlignment="1" applyProtection="1">
      <alignment horizontal="left" vertical="center" wrapText="1"/>
      <protection locked="0"/>
    </xf>
    <xf numFmtId="0" fontId="16" fillId="0" borderId="0" xfId="0" applyFont="1" applyAlignment="1"/>
    <xf numFmtId="0" fontId="16" fillId="2" borderId="0" xfId="10" applyFont="1" applyFill="1"/>
    <xf numFmtId="0" fontId="25" fillId="0" borderId="0" xfId="0" applyFont="1" applyAlignment="1"/>
    <xf numFmtId="0" fontId="25" fillId="0" borderId="0" xfId="0" applyFont="1">
      <alignment vertical="center"/>
    </xf>
    <xf numFmtId="0" fontId="27" fillId="0" borderId="0" xfId="0" applyFont="1" applyAlignment="1"/>
    <xf numFmtId="0" fontId="27" fillId="0" borderId="15" xfId="0" applyFont="1" applyBorder="1" applyAlignment="1"/>
    <xf numFmtId="0" fontId="16" fillId="0" borderId="0" xfId="0" applyFont="1">
      <alignment vertical="center"/>
    </xf>
    <xf numFmtId="0" fontId="16" fillId="0" borderId="5" xfId="0" applyFont="1" applyBorder="1">
      <alignment vertical="center"/>
    </xf>
    <xf numFmtId="0" fontId="14" fillId="0" borderId="0" xfId="18" applyFont="1">
      <alignment vertical="center"/>
    </xf>
    <xf numFmtId="0" fontId="19" fillId="0" borderId="11" xfId="0" applyFont="1" applyBorder="1">
      <alignment vertical="center"/>
    </xf>
    <xf numFmtId="0" fontId="19" fillId="0" borderId="1" xfId="0" applyFont="1" applyBorder="1" applyAlignment="1">
      <alignment vertical="top" wrapText="1"/>
    </xf>
    <xf numFmtId="0" fontId="19" fillId="6" borderId="1" xfId="0" applyFont="1" applyFill="1" applyBorder="1" applyAlignment="1" applyProtection="1">
      <alignment horizontal="left" vertical="top" wrapText="1"/>
      <protection locked="0"/>
    </xf>
    <xf numFmtId="0" fontId="19" fillId="0" borderId="8" xfId="0" applyFont="1" applyBorder="1" applyAlignment="1">
      <alignment vertical="center" wrapText="1"/>
    </xf>
    <xf numFmtId="0" fontId="18" fillId="5" borderId="2" xfId="0" applyFont="1" applyFill="1" applyBorder="1" applyAlignment="1">
      <alignment vertical="center" wrapText="1"/>
    </xf>
    <xf numFmtId="0" fontId="18" fillId="0" borderId="8" xfId="0" applyFont="1" applyBorder="1" applyAlignment="1">
      <alignment horizontal="left" vertical="top" wrapText="1"/>
    </xf>
    <xf numFmtId="0" fontId="18" fillId="5" borderId="3" xfId="0" applyFont="1" applyFill="1" applyBorder="1" applyAlignment="1">
      <alignment vertical="center" wrapText="1"/>
    </xf>
    <xf numFmtId="0" fontId="19" fillId="0" borderId="12" xfId="0" applyFont="1" applyBorder="1">
      <alignment vertical="center"/>
    </xf>
    <xf numFmtId="0" fontId="30" fillId="0" borderId="0" xfId="0" applyFont="1">
      <alignment vertical="center"/>
    </xf>
    <xf numFmtId="0" fontId="16" fillId="0" borderId="0" xfId="0" applyFont="1" applyAlignment="1">
      <alignment horizontal="center" vertical="center"/>
    </xf>
    <xf numFmtId="49" fontId="16" fillId="0" borderId="0" xfId="0" applyNumberFormat="1" applyFont="1" applyAlignment="1">
      <alignment horizontal="left" vertical="center"/>
    </xf>
    <xf numFmtId="49" fontId="16" fillId="0" borderId="0" xfId="0" applyNumberFormat="1" applyFont="1" applyAlignment="1">
      <alignment horizontal="center" vertical="center"/>
    </xf>
    <xf numFmtId="0" fontId="16" fillId="4" borderId="1" xfId="0" applyFont="1" applyFill="1" applyBorder="1">
      <alignment vertical="center"/>
    </xf>
    <xf numFmtId="0" fontId="16" fillId="4" borderId="11" xfId="0" applyFont="1" applyFill="1" applyBorder="1" applyAlignment="1">
      <alignment horizontal="center" vertical="center"/>
    </xf>
    <xf numFmtId="0" fontId="16" fillId="0" borderId="1" xfId="0" applyFont="1" applyBorder="1">
      <alignment vertical="center"/>
    </xf>
    <xf numFmtId="0" fontId="16" fillId="0" borderId="1" xfId="0" applyFont="1" applyBorder="1" applyAlignment="1">
      <alignment horizontal="center" vertical="center"/>
    </xf>
    <xf numFmtId="0" fontId="31" fillId="0" borderId="1" xfId="3" applyFont="1" applyFill="1" applyBorder="1" applyProtection="1">
      <alignment vertical="center"/>
    </xf>
    <xf numFmtId="0" fontId="16" fillId="0" borderId="1" xfId="0" applyFont="1" applyBorder="1" applyAlignment="1">
      <alignment vertical="center" wrapText="1"/>
    </xf>
    <xf numFmtId="0" fontId="16" fillId="0" borderId="0" xfId="0" quotePrefix="1" applyFont="1">
      <alignment vertical="center"/>
    </xf>
    <xf numFmtId="0" fontId="16" fillId="8" borderId="1" xfId="0" applyFont="1" applyFill="1" applyBorder="1">
      <alignment vertical="center"/>
    </xf>
    <xf numFmtId="0" fontId="16" fillId="8" borderId="1" xfId="0" applyFont="1" applyFill="1" applyBorder="1" applyAlignment="1">
      <alignment horizontal="center" vertical="center" wrapText="1"/>
    </xf>
    <xf numFmtId="0" fontId="16" fillId="8" borderId="1" xfId="0" applyFont="1" applyFill="1" applyBorder="1" applyAlignment="1">
      <alignment horizontal="left" vertical="center" wrapText="1"/>
    </xf>
    <xf numFmtId="0" fontId="0" fillId="0" borderId="0" xfId="0"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8" borderId="1" xfId="0" applyFill="1" applyBorder="1" applyAlignment="1">
      <alignment horizontal="center" vertical="center" wrapText="1"/>
    </xf>
    <xf numFmtId="0" fontId="0" fillId="8" borderId="0" xfId="0" applyFill="1">
      <alignment vertical="center"/>
    </xf>
    <xf numFmtId="0" fontId="0" fillId="8" borderId="1" xfId="0" applyFill="1" applyBorder="1">
      <alignment vertical="center"/>
    </xf>
    <xf numFmtId="0" fontId="18" fillId="5" borderId="11" xfId="0" applyFont="1" applyFill="1" applyBorder="1" applyAlignment="1">
      <alignment vertical="center" wrapText="1"/>
    </xf>
    <xf numFmtId="0" fontId="18" fillId="5" borderId="4" xfId="0" applyFont="1" applyFill="1" applyBorder="1" applyAlignment="1">
      <alignment horizontal="left" vertical="center" wrapText="1"/>
    </xf>
    <xf numFmtId="0" fontId="19" fillId="3" borderId="1" xfId="0" applyFont="1" applyFill="1" applyBorder="1" applyAlignment="1"/>
    <xf numFmtId="0" fontId="19" fillId="3" borderId="13" xfId="0" applyFont="1" applyFill="1" applyBorder="1" applyAlignment="1"/>
    <xf numFmtId="0" fontId="19" fillId="3" borderId="1" xfId="0" applyFont="1" applyFill="1" applyBorder="1" applyAlignment="1" applyProtection="1">
      <protection locked="0"/>
    </xf>
    <xf numFmtId="0" fontId="19" fillId="3" borderId="14" xfId="0" applyFont="1" applyFill="1" applyBorder="1" applyAlignment="1"/>
    <xf numFmtId="0" fontId="19" fillId="2" borderId="13" xfId="0" applyFont="1" applyFill="1" applyBorder="1" applyAlignment="1"/>
    <xf numFmtId="0" fontId="19" fillId="2" borderId="14" xfId="0" applyFont="1" applyFill="1" applyBorder="1" applyAlignment="1"/>
    <xf numFmtId="0" fontId="19" fillId="5" borderId="11" xfId="0" applyFont="1" applyFill="1" applyBorder="1">
      <alignment vertical="center"/>
    </xf>
    <xf numFmtId="0" fontId="19" fillId="0" borderId="1" xfId="0" applyFont="1" applyBorder="1">
      <alignment vertical="center"/>
    </xf>
    <xf numFmtId="0" fontId="14" fillId="0" borderId="0" xfId="18" applyFont="1" applyAlignment="1">
      <alignment vertical="top"/>
    </xf>
    <xf numFmtId="0" fontId="0" fillId="0" borderId="0" xfId="0" applyAlignment="1">
      <alignment vertical="top"/>
    </xf>
    <xf numFmtId="0" fontId="19" fillId="0" borderId="0" xfId="0" applyFont="1" applyAlignment="1">
      <alignment vertical="top"/>
    </xf>
    <xf numFmtId="0" fontId="19" fillId="0" borderId="0" xfId="0" applyFont="1" applyAlignment="1">
      <alignment horizontal="left" vertical="top"/>
    </xf>
    <xf numFmtId="0" fontId="22" fillId="0" borderId="0" xfId="3" applyAlignment="1" applyProtection="1">
      <alignment vertical="top"/>
    </xf>
    <xf numFmtId="0" fontId="19" fillId="0" borderId="8" xfId="0" applyFont="1" applyBorder="1" applyAlignment="1">
      <alignment vertical="top" wrapText="1"/>
    </xf>
    <xf numFmtId="0" fontId="19" fillId="0" borderId="1" xfId="0" quotePrefix="1" applyFont="1" applyBorder="1" applyAlignment="1" applyProtection="1">
      <protection locked="0"/>
    </xf>
    <xf numFmtId="0" fontId="19" fillId="0" borderId="1" xfId="0" applyFont="1" applyBorder="1" applyAlignment="1" applyProtection="1">
      <protection locked="0"/>
    </xf>
    <xf numFmtId="0" fontId="31" fillId="8" borderId="1" xfId="3" applyFont="1" applyFill="1" applyBorder="1" applyAlignment="1">
      <alignment horizontal="left" vertical="center"/>
    </xf>
    <xf numFmtId="0" fontId="16" fillId="8" borderId="1" xfId="0" applyFont="1" applyFill="1" applyBorder="1" applyAlignment="1">
      <alignment vertical="center" wrapText="1"/>
    </xf>
    <xf numFmtId="0" fontId="16" fillId="8" borderId="1" xfId="0" applyFont="1" applyFill="1" applyBorder="1" applyAlignment="1">
      <alignment horizontal="center" vertical="center"/>
    </xf>
    <xf numFmtId="0" fontId="31" fillId="8" borderId="1" xfId="3" applyFont="1" applyFill="1" applyBorder="1" applyProtection="1">
      <alignment vertical="center"/>
    </xf>
    <xf numFmtId="0" fontId="29" fillId="0" borderId="0" xfId="0" applyFont="1" applyAlignment="1">
      <alignment horizontal="center" vertical="center"/>
    </xf>
    <xf numFmtId="0" fontId="24" fillId="0" borderId="0" xfId="0" applyFont="1" applyAlignment="1">
      <alignment horizontal="center"/>
    </xf>
    <xf numFmtId="0" fontId="24" fillId="0" borderId="15" xfId="0" applyFont="1" applyBorder="1" applyAlignment="1">
      <alignment horizontal="center"/>
    </xf>
    <xf numFmtId="0" fontId="28" fillId="0" borderId="2" xfId="0" applyFont="1" applyBorder="1" applyAlignment="1">
      <alignment horizontal="center" vertical="center"/>
    </xf>
    <xf numFmtId="0" fontId="28" fillId="0" borderId="3" xfId="0" applyFont="1" applyBorder="1" applyAlignment="1">
      <alignment horizontal="center" vertical="center"/>
    </xf>
    <xf numFmtId="0" fontId="28" fillId="0" borderId="4" xfId="0" applyFont="1" applyBorder="1" applyAlignment="1">
      <alignment horizontal="center" vertical="center"/>
    </xf>
    <xf numFmtId="0" fontId="28" fillId="0" borderId="5" xfId="0" applyFont="1" applyBorder="1" applyAlignment="1">
      <alignment horizontal="center" vertical="center"/>
    </xf>
    <xf numFmtId="0" fontId="28" fillId="0" borderId="0" xfId="0" applyFont="1" applyAlignment="1">
      <alignment horizontal="center" vertical="center"/>
    </xf>
    <xf numFmtId="0" fontId="28" fillId="0" borderId="6" xfId="0" applyFont="1" applyBorder="1" applyAlignment="1">
      <alignment horizontal="center" vertical="center"/>
    </xf>
    <xf numFmtId="0" fontId="24" fillId="0" borderId="5" xfId="0" applyFont="1" applyBorder="1" applyAlignment="1">
      <alignment horizontal="center" vertical="center"/>
    </xf>
    <xf numFmtId="0" fontId="24" fillId="0" borderId="0" xfId="0" applyFont="1" applyAlignment="1">
      <alignment horizontal="center" vertical="center"/>
    </xf>
    <xf numFmtId="0" fontId="24" fillId="0" borderId="6" xfId="0" applyFont="1" applyBorder="1" applyAlignment="1">
      <alignment horizontal="center" vertical="center"/>
    </xf>
    <xf numFmtId="0" fontId="24" fillId="0" borderId="7" xfId="0" applyFont="1" applyBorder="1" applyAlignment="1">
      <alignment horizontal="center" vertical="center"/>
    </xf>
    <xf numFmtId="0" fontId="24" fillId="0" borderId="8" xfId="0" applyFont="1" applyBorder="1" applyAlignment="1">
      <alignment horizontal="center" vertical="center"/>
    </xf>
    <xf numFmtId="0" fontId="24" fillId="0" borderId="9" xfId="0" applyFont="1" applyBorder="1" applyAlignment="1">
      <alignment horizontal="center" vertical="center"/>
    </xf>
    <xf numFmtId="14" fontId="29" fillId="0" borderId="0" xfId="0" applyNumberFormat="1" applyFont="1" applyAlignment="1">
      <alignment horizontal="center" vertical="center"/>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0" xfId="0" applyFont="1" applyAlignment="1">
      <alignment horizontal="center" vertical="center" wrapText="1"/>
    </xf>
    <xf numFmtId="0" fontId="16" fillId="0" borderId="6"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9" xfId="0" applyFont="1" applyBorder="1" applyAlignment="1">
      <alignment horizontal="center" vertical="center" wrapText="1"/>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0" xfId="0" applyFont="1" applyAlignment="1">
      <alignment horizontal="center" vertical="center"/>
    </xf>
    <xf numFmtId="0" fontId="16" fillId="0" borderId="6" xfId="0" applyFont="1" applyBorder="1" applyAlignment="1">
      <alignment horizontal="center" vertical="center"/>
    </xf>
    <xf numFmtId="0" fontId="16" fillId="0" borderId="7" xfId="0" applyFont="1" applyBorder="1" applyAlignment="1">
      <alignment horizontal="center" vertical="center"/>
    </xf>
    <xf numFmtId="0" fontId="16" fillId="0" borderId="8" xfId="0" applyFont="1" applyBorder="1" applyAlignment="1">
      <alignment horizontal="center" vertical="center"/>
    </xf>
    <xf numFmtId="0" fontId="16" fillId="0" borderId="9" xfId="0" applyFont="1" applyBorder="1" applyAlignment="1">
      <alignment horizontal="center" vertical="center"/>
    </xf>
    <xf numFmtId="14" fontId="16" fillId="0" borderId="16" xfId="0" applyNumberFormat="1" applyFont="1" applyBorder="1" applyAlignment="1">
      <alignment horizontal="center" vertical="center"/>
    </xf>
    <xf numFmtId="14" fontId="16" fillId="0" borderId="17" xfId="0" applyNumberFormat="1" applyFont="1" applyBorder="1" applyAlignment="1">
      <alignment horizontal="center" vertical="center"/>
    </xf>
    <xf numFmtId="14" fontId="16" fillId="0" borderId="14" xfId="0" applyNumberFormat="1" applyFont="1" applyBorder="1" applyAlignment="1">
      <alignment horizontal="center" vertical="center"/>
    </xf>
    <xf numFmtId="0" fontId="19" fillId="5" borderId="1" xfId="0" applyFont="1" applyFill="1" applyBorder="1">
      <alignment vertical="center"/>
    </xf>
    <xf numFmtId="0" fontId="18" fillId="5" borderId="11" xfId="0" applyFont="1" applyFill="1" applyBorder="1" applyAlignment="1">
      <alignment vertical="center" wrapText="1"/>
    </xf>
    <xf numFmtId="0" fontId="18" fillId="5" borderId="10" xfId="0" applyFont="1" applyFill="1" applyBorder="1" applyAlignment="1">
      <alignment vertical="center" wrapText="1"/>
    </xf>
    <xf numFmtId="0" fontId="19" fillId="5" borderId="11" xfId="0" applyFont="1" applyFill="1" applyBorder="1">
      <alignment vertical="center"/>
    </xf>
    <xf numFmtId="0" fontId="19" fillId="5" borderId="10" xfId="0" applyFont="1" applyFill="1" applyBorder="1">
      <alignment vertical="center"/>
    </xf>
  </cellXfs>
  <cellStyles count="20">
    <cellStyle name="Normal 2" xfId="2" xr:uid="{27607F87-74DF-431C-BA9A-A29AE75CBB21}"/>
    <cellStyle name="ハイパーリンク" xfId="3" builtinId="8"/>
    <cellStyle name="標準" xfId="0" builtinId="0"/>
    <cellStyle name="標準 2" xfId="1" xr:uid="{9C6C678F-D78D-45ED-8C3A-9DDD1CABF8D9}"/>
    <cellStyle name="標準 2 2" xfId="4" xr:uid="{7D5CCFCA-9FFD-487C-A232-A75349CBE837}"/>
    <cellStyle name="標準 2 2 2" xfId="5" xr:uid="{47B1882D-DD95-48A9-9F73-2F557752BE23}"/>
    <cellStyle name="標準 2 2 2 2" xfId="6" xr:uid="{0AE5EB88-0695-4E71-968D-CFB0874A97CC}"/>
    <cellStyle name="標準 2 2 2 2 2" xfId="7" xr:uid="{4D13E008-9907-4DAC-B7DF-40C7D5469D4F}"/>
    <cellStyle name="標準 2 2 2 2 2 2" xfId="8" xr:uid="{E79910AA-DE7C-4F12-9866-043680C6BD24}"/>
    <cellStyle name="標準 2 2 2 2 2 3" xfId="9" xr:uid="{F21DC37F-6F2E-4EF0-B13D-E8150630710F}"/>
    <cellStyle name="標準 2 2 2 2 3" xfId="14" xr:uid="{0BC89B50-B996-4F32-A12A-F6A89F010291}"/>
    <cellStyle name="標準 2 2 3" xfId="11" xr:uid="{AB8DAD6B-6F07-4F84-AFF4-9001F04CD5BE}"/>
    <cellStyle name="標準 2 2 4" xfId="13" xr:uid="{FAA0CA57-CC80-47D6-86EC-D6EBE1EFFACE}"/>
    <cellStyle name="標準 2 3" xfId="12" xr:uid="{1C014ACD-DAA1-4DF1-9B40-427746B15741}"/>
    <cellStyle name="標準 2 4" xfId="15" xr:uid="{9F25C8E6-9714-4DB7-8282-F332EBEF3C83}"/>
    <cellStyle name="標準 2 5" xfId="16" xr:uid="{BE49A1B3-77C8-4BCE-9651-B89AC4D8D825}"/>
    <cellStyle name="標準 2 6" xfId="17" xr:uid="{FEE0937A-D2C8-4275-A4C3-AFDD11A62679}"/>
    <cellStyle name="標準 2 6 2" xfId="18" xr:uid="{51C7AFB8-5177-4064-BAA0-EB2A8B161ADE}"/>
    <cellStyle name="標準 2 6 3" xfId="19" xr:uid="{83C725DC-CFA2-4E68-8ED6-DA8A88FED9BD}"/>
    <cellStyle name="標準 3" xfId="10" xr:uid="{942EA3AA-1AAC-488E-A27D-5DABE16255B0}"/>
  </cellStyles>
  <dxfs count="0"/>
  <tableStyles count="0" defaultTableStyle="TableStyleMedium2" defaultPivotStyle="PivotStyleLight16"/>
  <colors>
    <mruColors>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3</xdr:col>
      <xdr:colOff>91440</xdr:colOff>
      <xdr:row>5</xdr:row>
      <xdr:rowOff>91440</xdr:rowOff>
    </xdr:from>
    <xdr:to>
      <xdr:col>3</xdr:col>
      <xdr:colOff>1432560</xdr:colOff>
      <xdr:row>15</xdr:row>
      <xdr:rowOff>114300</xdr:rowOff>
    </xdr:to>
    <xdr:sp macro="" textlink="">
      <xdr:nvSpPr>
        <xdr:cNvPr id="2" name="テキスト ボックス 1">
          <a:extLst>
            <a:ext uri="{FF2B5EF4-FFF2-40B4-BE49-F238E27FC236}">
              <a16:creationId xmlns:a16="http://schemas.microsoft.com/office/drawing/2014/main" id="{98A7B036-72B5-7029-1EC4-160D49AEFB86}"/>
            </a:ext>
          </a:extLst>
        </xdr:cNvPr>
        <xdr:cNvSpPr txBox="1"/>
      </xdr:nvSpPr>
      <xdr:spPr>
        <a:xfrm>
          <a:off x="2819400" y="1257300"/>
          <a:ext cx="1341120" cy="185166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1" kern="1200">
              <a:solidFill>
                <a:srgbClr val="002060"/>
              </a:solidFill>
            </a:rPr>
            <a:t>システム自動生成</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2286F-4B5E-48CB-B68E-8959C2F2EAB6}">
  <sheetPr>
    <pageSetUpPr autoPageBreaks="0"/>
  </sheetPr>
  <dimension ref="A1:AK37"/>
  <sheetViews>
    <sheetView showGridLines="0" tabSelected="1" zoomScaleNormal="100" zoomScaleSheetLayoutView="100" workbookViewId="0"/>
  </sheetViews>
  <sheetFormatPr defaultColWidth="2.1796875" defaultRowHeight="15" customHeight="1" x14ac:dyDescent="0.3"/>
  <cols>
    <col min="1" max="16384" width="2.1796875" style="36"/>
  </cols>
  <sheetData>
    <row r="1" spans="1:37" ht="15" customHeight="1" x14ac:dyDescent="0.3">
      <c r="A1" s="35"/>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row>
    <row r="2" spans="1:37" ht="15" customHeight="1" x14ac:dyDescent="0.3">
      <c r="A2" s="35"/>
      <c r="B2" s="35"/>
      <c r="C2" s="37"/>
      <c r="D2" s="37"/>
      <c r="E2" s="37"/>
      <c r="F2" s="37"/>
      <c r="G2" s="37"/>
      <c r="H2" s="37"/>
      <c r="I2" s="37"/>
      <c r="J2" s="37"/>
      <c r="K2" s="37"/>
      <c r="L2" s="37"/>
      <c r="M2" s="37"/>
      <c r="N2" s="37"/>
      <c r="O2" s="37"/>
      <c r="P2" s="37"/>
      <c r="Q2" s="37"/>
      <c r="R2" s="35"/>
      <c r="S2" s="35"/>
      <c r="T2" s="35"/>
      <c r="U2" s="35"/>
      <c r="V2" s="35"/>
      <c r="W2" s="35"/>
      <c r="X2" s="35"/>
      <c r="Y2" s="35"/>
      <c r="Z2" s="35"/>
      <c r="AA2" s="35"/>
      <c r="AB2" s="35"/>
      <c r="AC2" s="35"/>
      <c r="AD2" s="35"/>
      <c r="AE2" s="35"/>
      <c r="AF2" s="35"/>
      <c r="AG2" s="35"/>
      <c r="AH2" s="35"/>
      <c r="AI2" s="35"/>
      <c r="AJ2" s="35"/>
      <c r="AK2" s="35"/>
    </row>
    <row r="3" spans="1:37" ht="15" customHeight="1" x14ac:dyDescent="0.3">
      <c r="A3" s="35"/>
      <c r="B3" s="38" t="s">
        <v>374</v>
      </c>
      <c r="C3" s="35"/>
      <c r="D3" s="35"/>
      <c r="E3" s="35"/>
      <c r="F3" s="35"/>
      <c r="G3" s="35"/>
      <c r="H3" s="35"/>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row>
    <row r="4" spans="1:37" ht="15" customHeight="1" x14ac:dyDescent="0.45">
      <c r="A4" s="39"/>
      <c r="B4" s="39"/>
      <c r="C4" s="39"/>
      <c r="D4" s="39"/>
      <c r="E4" s="39"/>
      <c r="F4" s="39"/>
      <c r="G4" s="39"/>
      <c r="H4" s="39"/>
      <c r="I4" s="39"/>
      <c r="J4" s="96"/>
      <c r="K4" s="96"/>
      <c r="L4" s="96"/>
      <c r="M4" s="35"/>
      <c r="N4" s="35"/>
      <c r="O4" s="35"/>
      <c r="P4" s="35"/>
      <c r="Q4" s="35"/>
      <c r="R4" s="35"/>
      <c r="S4" s="35"/>
      <c r="T4" s="35"/>
      <c r="U4" s="35"/>
      <c r="V4" s="35"/>
      <c r="W4" s="35"/>
      <c r="X4" s="35"/>
      <c r="Y4" s="35"/>
      <c r="Z4" s="35"/>
      <c r="AA4" s="35"/>
      <c r="AB4" s="35"/>
      <c r="AC4" s="35"/>
      <c r="AD4" s="35"/>
      <c r="AE4" s="35"/>
      <c r="AF4" s="35"/>
      <c r="AG4" s="35"/>
      <c r="AH4" s="35"/>
      <c r="AI4" s="35"/>
      <c r="AJ4" s="35"/>
      <c r="AK4" s="35"/>
    </row>
    <row r="5" spans="1:37" ht="15" customHeight="1" x14ac:dyDescent="0.45">
      <c r="A5" s="40"/>
      <c r="B5" s="40"/>
      <c r="C5" s="40"/>
      <c r="D5" s="40"/>
      <c r="E5" s="40"/>
      <c r="F5" s="40"/>
      <c r="G5" s="40"/>
      <c r="H5" s="40"/>
      <c r="I5" s="40"/>
      <c r="J5" s="97"/>
      <c r="K5" s="97"/>
      <c r="L5" s="97"/>
      <c r="M5" s="35"/>
      <c r="N5" s="35"/>
      <c r="O5" s="35"/>
      <c r="P5" s="35"/>
      <c r="Q5" s="35"/>
      <c r="R5" s="35"/>
      <c r="S5" s="35"/>
      <c r="T5" s="35"/>
      <c r="U5" s="35"/>
      <c r="V5" s="35"/>
      <c r="W5" s="35"/>
      <c r="X5" s="35"/>
      <c r="Y5" s="35"/>
      <c r="Z5" s="35"/>
      <c r="AA5" s="35"/>
      <c r="AB5" s="35"/>
      <c r="AC5" s="35"/>
      <c r="AD5" s="35"/>
      <c r="AE5" s="35"/>
      <c r="AF5" s="35"/>
      <c r="AG5" s="35"/>
      <c r="AH5" s="35"/>
      <c r="AI5" s="35"/>
      <c r="AJ5" s="35"/>
      <c r="AK5" s="35"/>
    </row>
    <row r="6" spans="1:37" ht="15" customHeight="1" x14ac:dyDescent="0.3">
      <c r="A6" s="35"/>
      <c r="B6" s="35"/>
      <c r="C6" s="35"/>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5"/>
      <c r="AF6" s="35"/>
      <c r="AG6" s="35"/>
      <c r="AH6" s="35"/>
      <c r="AI6" s="35"/>
      <c r="AJ6" s="35"/>
      <c r="AK6" s="35"/>
    </row>
    <row r="7" spans="1:37" ht="15" customHeight="1" x14ac:dyDescent="0.3">
      <c r="A7" s="35"/>
      <c r="B7" s="35"/>
      <c r="C7" s="35"/>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row>
    <row r="8" spans="1:37" ht="15" customHeight="1" x14ac:dyDescent="0.3">
      <c r="A8" s="35"/>
      <c r="B8" s="35"/>
      <c r="C8" s="35"/>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row>
    <row r="9" spans="1:37" ht="15" customHeight="1" x14ac:dyDescent="0.3">
      <c r="A9" s="35"/>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row>
    <row r="10" spans="1:37" ht="15" customHeight="1" x14ac:dyDescent="0.3">
      <c r="A10" s="35"/>
      <c r="B10" s="98" t="s">
        <v>373</v>
      </c>
      <c r="C10" s="99"/>
      <c r="D10" s="99"/>
      <c r="E10" s="99"/>
      <c r="F10" s="99"/>
      <c r="G10" s="99"/>
      <c r="H10" s="99"/>
      <c r="I10" s="99"/>
      <c r="J10" s="99"/>
      <c r="K10" s="99"/>
      <c r="L10" s="99"/>
      <c r="M10" s="99"/>
      <c r="N10" s="99"/>
      <c r="O10" s="99"/>
      <c r="P10" s="99"/>
      <c r="Q10" s="99"/>
      <c r="R10" s="99"/>
      <c r="S10" s="99"/>
      <c r="T10" s="99"/>
      <c r="U10" s="99"/>
      <c r="V10" s="99"/>
      <c r="W10" s="99"/>
      <c r="X10" s="99"/>
      <c r="Y10" s="99"/>
      <c r="Z10" s="99"/>
      <c r="AA10" s="99"/>
      <c r="AB10" s="99"/>
      <c r="AC10" s="99"/>
      <c r="AD10" s="99"/>
      <c r="AE10" s="100"/>
      <c r="AF10" s="35"/>
      <c r="AG10" s="35"/>
      <c r="AH10" s="35"/>
      <c r="AI10" s="35"/>
      <c r="AJ10" s="35"/>
      <c r="AK10" s="35"/>
    </row>
    <row r="11" spans="1:37" ht="15" customHeight="1" x14ac:dyDescent="0.3">
      <c r="A11" s="35"/>
      <c r="B11" s="101"/>
      <c r="C11" s="102"/>
      <c r="D11" s="102"/>
      <c r="E11" s="102"/>
      <c r="F11" s="102"/>
      <c r="G11" s="102"/>
      <c r="H11" s="102"/>
      <c r="I11" s="102"/>
      <c r="J11" s="102"/>
      <c r="K11" s="102"/>
      <c r="L11" s="102"/>
      <c r="M11" s="102"/>
      <c r="N11" s="102"/>
      <c r="O11" s="102"/>
      <c r="P11" s="102"/>
      <c r="Q11" s="102"/>
      <c r="R11" s="102"/>
      <c r="S11" s="102"/>
      <c r="T11" s="102"/>
      <c r="U11" s="102"/>
      <c r="V11" s="102"/>
      <c r="W11" s="102"/>
      <c r="X11" s="102"/>
      <c r="Y11" s="102"/>
      <c r="Z11" s="102"/>
      <c r="AA11" s="102"/>
      <c r="AB11" s="102"/>
      <c r="AC11" s="102"/>
      <c r="AD11" s="102"/>
      <c r="AE11" s="103"/>
      <c r="AF11" s="35"/>
      <c r="AG11" s="35"/>
      <c r="AH11" s="35"/>
      <c r="AI11" s="35"/>
      <c r="AJ11" s="35"/>
      <c r="AK11" s="35"/>
    </row>
    <row r="12" spans="1:37" ht="15" customHeight="1" x14ac:dyDescent="0.3">
      <c r="A12" s="35"/>
      <c r="B12" s="101"/>
      <c r="C12" s="102"/>
      <c r="D12" s="102"/>
      <c r="E12" s="102"/>
      <c r="F12" s="102"/>
      <c r="G12" s="102"/>
      <c r="H12" s="102"/>
      <c r="I12" s="102"/>
      <c r="J12" s="102"/>
      <c r="K12" s="102"/>
      <c r="L12" s="102"/>
      <c r="M12" s="102"/>
      <c r="N12" s="102"/>
      <c r="O12" s="102"/>
      <c r="P12" s="102"/>
      <c r="Q12" s="102"/>
      <c r="R12" s="102"/>
      <c r="S12" s="102"/>
      <c r="T12" s="102"/>
      <c r="U12" s="102"/>
      <c r="V12" s="102"/>
      <c r="W12" s="102"/>
      <c r="X12" s="102"/>
      <c r="Y12" s="102"/>
      <c r="Z12" s="102"/>
      <c r="AA12" s="102"/>
      <c r="AB12" s="102"/>
      <c r="AC12" s="102"/>
      <c r="AD12" s="102"/>
      <c r="AE12" s="103"/>
      <c r="AF12" s="35"/>
      <c r="AG12" s="35"/>
      <c r="AH12" s="35"/>
      <c r="AI12" s="35"/>
      <c r="AJ12" s="35"/>
      <c r="AK12" s="35"/>
    </row>
    <row r="13" spans="1:37" ht="15" customHeight="1" x14ac:dyDescent="0.3">
      <c r="A13" s="35"/>
      <c r="B13" s="101"/>
      <c r="C13" s="102"/>
      <c r="D13" s="102"/>
      <c r="E13" s="102"/>
      <c r="F13" s="102"/>
      <c r="G13" s="102"/>
      <c r="H13" s="102"/>
      <c r="I13" s="102"/>
      <c r="J13" s="102"/>
      <c r="K13" s="102"/>
      <c r="L13" s="102"/>
      <c r="M13" s="102"/>
      <c r="N13" s="102"/>
      <c r="O13" s="102"/>
      <c r="P13" s="102"/>
      <c r="Q13" s="102"/>
      <c r="R13" s="102"/>
      <c r="S13" s="102"/>
      <c r="T13" s="102"/>
      <c r="U13" s="102"/>
      <c r="V13" s="102"/>
      <c r="W13" s="102"/>
      <c r="X13" s="102"/>
      <c r="Y13" s="102"/>
      <c r="Z13" s="102"/>
      <c r="AA13" s="102"/>
      <c r="AB13" s="102"/>
      <c r="AC13" s="102"/>
      <c r="AD13" s="102"/>
      <c r="AE13" s="103"/>
      <c r="AF13" s="35"/>
      <c r="AG13" s="35"/>
      <c r="AH13" s="35"/>
      <c r="AI13" s="35"/>
      <c r="AJ13" s="35"/>
      <c r="AK13" s="35"/>
    </row>
    <row r="14" spans="1:37" ht="15" customHeight="1" x14ac:dyDescent="0.3">
      <c r="A14" s="35"/>
      <c r="B14" s="104" t="s">
        <v>376</v>
      </c>
      <c r="C14" s="105"/>
      <c r="D14" s="105"/>
      <c r="E14" s="105"/>
      <c r="F14" s="105"/>
      <c r="G14" s="105"/>
      <c r="H14" s="105"/>
      <c r="I14" s="105"/>
      <c r="J14" s="105"/>
      <c r="K14" s="105"/>
      <c r="L14" s="105"/>
      <c r="M14" s="105"/>
      <c r="N14" s="105"/>
      <c r="O14" s="105"/>
      <c r="P14" s="105"/>
      <c r="Q14" s="105"/>
      <c r="R14" s="105"/>
      <c r="S14" s="105"/>
      <c r="T14" s="105"/>
      <c r="U14" s="105"/>
      <c r="V14" s="105"/>
      <c r="W14" s="105"/>
      <c r="X14" s="105"/>
      <c r="Y14" s="105"/>
      <c r="Z14" s="105"/>
      <c r="AA14" s="105"/>
      <c r="AB14" s="105"/>
      <c r="AC14" s="105"/>
      <c r="AD14" s="105"/>
      <c r="AE14" s="106"/>
      <c r="AF14" s="35"/>
      <c r="AG14" s="35"/>
      <c r="AH14" s="35"/>
      <c r="AI14" s="35"/>
      <c r="AJ14" s="35"/>
      <c r="AK14" s="35"/>
    </row>
    <row r="15" spans="1:37" ht="15" customHeight="1" x14ac:dyDescent="0.3">
      <c r="A15" s="35"/>
      <c r="B15" s="104"/>
      <c r="C15" s="105"/>
      <c r="D15" s="105"/>
      <c r="E15" s="105"/>
      <c r="F15" s="105"/>
      <c r="G15" s="105"/>
      <c r="H15" s="105"/>
      <c r="I15" s="105"/>
      <c r="J15" s="105"/>
      <c r="K15" s="105"/>
      <c r="L15" s="105"/>
      <c r="M15" s="105"/>
      <c r="N15" s="105"/>
      <c r="O15" s="105"/>
      <c r="P15" s="105"/>
      <c r="Q15" s="105"/>
      <c r="R15" s="105"/>
      <c r="S15" s="105"/>
      <c r="T15" s="105"/>
      <c r="U15" s="105"/>
      <c r="V15" s="105"/>
      <c r="W15" s="105"/>
      <c r="X15" s="105"/>
      <c r="Y15" s="105"/>
      <c r="Z15" s="105"/>
      <c r="AA15" s="105"/>
      <c r="AB15" s="105"/>
      <c r="AC15" s="105"/>
      <c r="AD15" s="105"/>
      <c r="AE15" s="106"/>
      <c r="AF15" s="35"/>
      <c r="AG15" s="35"/>
      <c r="AH15" s="35"/>
      <c r="AI15" s="35"/>
      <c r="AJ15" s="35"/>
      <c r="AK15" s="35"/>
    </row>
    <row r="16" spans="1:37" ht="15" customHeight="1" x14ac:dyDescent="0.3">
      <c r="A16" s="35"/>
      <c r="B16" s="107"/>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c r="AA16" s="108"/>
      <c r="AB16" s="108"/>
      <c r="AC16" s="108"/>
      <c r="AD16" s="108"/>
      <c r="AE16" s="109"/>
      <c r="AF16" s="35"/>
      <c r="AG16" s="35"/>
      <c r="AH16" s="35"/>
      <c r="AI16" s="35"/>
      <c r="AJ16" s="35"/>
      <c r="AK16" s="35"/>
    </row>
    <row r="17" spans="1:37" ht="15" customHeight="1" x14ac:dyDescent="0.3">
      <c r="A17" s="35"/>
      <c r="B17" s="35"/>
      <c r="C17" s="35"/>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row>
    <row r="18" spans="1:37" ht="15" customHeight="1" x14ac:dyDescent="0.3">
      <c r="A18" s="35"/>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row>
    <row r="19" spans="1:37" ht="15" customHeight="1" x14ac:dyDescent="0.3">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row>
    <row r="20" spans="1:37" ht="15" customHeight="1" x14ac:dyDescent="0.3">
      <c r="A20" s="35"/>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row>
    <row r="21" spans="1:37" ht="15" customHeight="1" x14ac:dyDescent="0.3">
      <c r="A21" s="35"/>
      <c r="B21" s="35"/>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row>
    <row r="22" spans="1:37" ht="15" customHeight="1" x14ac:dyDescent="0.3">
      <c r="A22" s="35"/>
      <c r="B22" s="95" t="s">
        <v>222</v>
      </c>
      <c r="C22" s="95"/>
      <c r="D22" s="95"/>
      <c r="E22" s="95"/>
      <c r="F22" s="95"/>
      <c r="G22" s="95"/>
      <c r="H22" s="95"/>
      <c r="I22" s="95"/>
      <c r="J22" s="95"/>
      <c r="K22" s="95"/>
      <c r="L22" s="95"/>
      <c r="M22" s="95"/>
      <c r="N22" s="95"/>
      <c r="O22" s="95"/>
      <c r="P22" s="95"/>
      <c r="Q22" s="95"/>
      <c r="R22" s="95"/>
      <c r="S22" s="95"/>
      <c r="T22" s="95"/>
      <c r="U22" s="95"/>
      <c r="V22" s="95"/>
      <c r="W22" s="95"/>
      <c r="X22" s="95"/>
      <c r="Y22" s="95"/>
      <c r="Z22" s="95"/>
      <c r="AA22" s="95"/>
      <c r="AB22" s="95"/>
      <c r="AC22" s="95"/>
      <c r="AD22" s="95"/>
      <c r="AE22" s="95"/>
      <c r="AF22" s="35"/>
      <c r="AG22" s="35"/>
      <c r="AH22" s="35"/>
      <c r="AI22" s="35"/>
      <c r="AJ22" s="35"/>
      <c r="AK22" s="35"/>
    </row>
    <row r="23" spans="1:37" ht="15" customHeight="1" x14ac:dyDescent="0.3">
      <c r="A23" s="35"/>
      <c r="B23" s="95"/>
      <c r="C23" s="95"/>
      <c r="D23" s="95"/>
      <c r="E23" s="95"/>
      <c r="F23" s="95"/>
      <c r="G23" s="95"/>
      <c r="H23" s="95"/>
      <c r="I23" s="95"/>
      <c r="J23" s="95"/>
      <c r="K23" s="95"/>
      <c r="L23" s="95"/>
      <c r="M23" s="95"/>
      <c r="N23" s="95"/>
      <c r="O23" s="95"/>
      <c r="P23" s="95"/>
      <c r="Q23" s="95"/>
      <c r="R23" s="95"/>
      <c r="S23" s="95"/>
      <c r="T23" s="95"/>
      <c r="U23" s="95"/>
      <c r="V23" s="95"/>
      <c r="W23" s="95"/>
      <c r="X23" s="95"/>
      <c r="Y23" s="95"/>
      <c r="Z23" s="95"/>
      <c r="AA23" s="95"/>
      <c r="AB23" s="95"/>
      <c r="AC23" s="95"/>
      <c r="AD23" s="95"/>
      <c r="AE23" s="95"/>
      <c r="AF23" s="35"/>
      <c r="AG23" s="35"/>
      <c r="AH23" s="35"/>
      <c r="AI23" s="35"/>
      <c r="AJ23" s="35"/>
      <c r="AK23" s="35"/>
    </row>
    <row r="24" spans="1:37" ht="15" customHeight="1" x14ac:dyDescent="0.3">
      <c r="A24" s="35"/>
      <c r="B24" s="110">
        <v>45643</v>
      </c>
      <c r="C24" s="110"/>
      <c r="D24" s="110"/>
      <c r="E24" s="110"/>
      <c r="F24" s="110"/>
      <c r="G24" s="110"/>
      <c r="H24" s="110"/>
      <c r="I24" s="110"/>
      <c r="J24" s="110"/>
      <c r="K24" s="110"/>
      <c r="L24" s="110"/>
      <c r="M24" s="110"/>
      <c r="N24" s="110"/>
      <c r="O24" s="110"/>
      <c r="P24" s="110"/>
      <c r="Q24" s="110"/>
      <c r="R24" s="110"/>
      <c r="S24" s="110"/>
      <c r="T24" s="110"/>
      <c r="U24" s="110"/>
      <c r="V24" s="110"/>
      <c r="W24" s="110"/>
      <c r="X24" s="110"/>
      <c r="Y24" s="110"/>
      <c r="Z24" s="110"/>
      <c r="AA24" s="110"/>
      <c r="AB24" s="110"/>
      <c r="AC24" s="110"/>
      <c r="AD24" s="110"/>
      <c r="AE24" s="110"/>
      <c r="AF24" s="35"/>
      <c r="AG24" s="35"/>
      <c r="AH24" s="35"/>
      <c r="AI24" s="35"/>
      <c r="AJ24" s="35"/>
      <c r="AK24" s="35"/>
    </row>
    <row r="25" spans="1:37" ht="15" customHeight="1" x14ac:dyDescent="0.3">
      <c r="A25" s="35"/>
      <c r="B25" s="110"/>
      <c r="C25" s="110"/>
      <c r="D25" s="110"/>
      <c r="E25" s="110"/>
      <c r="F25" s="110"/>
      <c r="G25" s="110"/>
      <c r="H25" s="110"/>
      <c r="I25" s="110"/>
      <c r="J25" s="110"/>
      <c r="K25" s="110"/>
      <c r="L25" s="110"/>
      <c r="M25" s="110"/>
      <c r="N25" s="110"/>
      <c r="O25" s="110"/>
      <c r="P25" s="110"/>
      <c r="Q25" s="110"/>
      <c r="R25" s="110"/>
      <c r="S25" s="110"/>
      <c r="T25" s="110"/>
      <c r="U25" s="110"/>
      <c r="V25" s="110"/>
      <c r="W25" s="110"/>
      <c r="X25" s="110"/>
      <c r="Y25" s="110"/>
      <c r="Z25" s="110"/>
      <c r="AA25" s="110"/>
      <c r="AB25" s="110"/>
      <c r="AC25" s="110"/>
      <c r="AD25" s="110"/>
      <c r="AE25" s="110"/>
      <c r="AF25" s="35"/>
      <c r="AG25" s="35"/>
      <c r="AH25" s="35"/>
      <c r="AI25" s="35"/>
      <c r="AJ25" s="35"/>
      <c r="AK25" s="35"/>
    </row>
    <row r="26" spans="1:37" ht="15" customHeight="1" x14ac:dyDescent="0.3">
      <c r="A26" s="35"/>
      <c r="B26" s="95" t="s">
        <v>0</v>
      </c>
      <c r="C26" s="95"/>
      <c r="D26" s="95"/>
      <c r="E26" s="95"/>
      <c r="F26" s="95"/>
      <c r="G26" s="95"/>
      <c r="H26" s="95"/>
      <c r="I26" s="95"/>
      <c r="J26" s="95"/>
      <c r="K26" s="95"/>
      <c r="L26" s="95"/>
      <c r="M26" s="95"/>
      <c r="N26" s="95"/>
      <c r="O26" s="95"/>
      <c r="P26" s="95"/>
      <c r="Q26" s="95"/>
      <c r="R26" s="95"/>
      <c r="S26" s="95"/>
      <c r="T26" s="95"/>
      <c r="U26" s="95"/>
      <c r="V26" s="95"/>
      <c r="W26" s="95"/>
      <c r="X26" s="95"/>
      <c r="Y26" s="95"/>
      <c r="Z26" s="95"/>
      <c r="AA26" s="95"/>
      <c r="AB26" s="95"/>
      <c r="AC26" s="95"/>
      <c r="AD26" s="95"/>
      <c r="AE26" s="95"/>
      <c r="AF26" s="35"/>
      <c r="AG26" s="35"/>
      <c r="AH26" s="35"/>
      <c r="AI26" s="35"/>
      <c r="AJ26" s="35"/>
      <c r="AK26" s="35"/>
    </row>
    <row r="27" spans="1:37" ht="15" customHeight="1" x14ac:dyDescent="0.3">
      <c r="A27" s="35"/>
      <c r="B27" s="95"/>
      <c r="C27" s="95"/>
      <c r="D27" s="95"/>
      <c r="E27" s="95"/>
      <c r="F27" s="95"/>
      <c r="G27" s="95"/>
      <c r="H27" s="95"/>
      <c r="I27" s="95"/>
      <c r="J27" s="95"/>
      <c r="K27" s="95"/>
      <c r="L27" s="95"/>
      <c r="M27" s="95"/>
      <c r="N27" s="95"/>
      <c r="O27" s="95"/>
      <c r="P27" s="95"/>
      <c r="Q27" s="95"/>
      <c r="R27" s="95"/>
      <c r="S27" s="95"/>
      <c r="T27" s="95"/>
      <c r="U27" s="95"/>
      <c r="V27" s="95"/>
      <c r="W27" s="95"/>
      <c r="X27" s="95"/>
      <c r="Y27" s="95"/>
      <c r="Z27" s="95"/>
      <c r="AA27" s="95"/>
      <c r="AB27" s="95"/>
      <c r="AC27" s="95"/>
      <c r="AD27" s="95"/>
      <c r="AE27" s="95"/>
      <c r="AF27" s="35"/>
      <c r="AG27" s="35"/>
      <c r="AH27" s="35"/>
      <c r="AI27" s="35"/>
      <c r="AJ27" s="35"/>
      <c r="AK27" s="35"/>
    </row>
    <row r="28" spans="1:37" ht="15" customHeight="1" x14ac:dyDescent="0.3">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row>
    <row r="29" spans="1:37" ht="15" customHeight="1" x14ac:dyDescent="0.3">
      <c r="A29" s="35"/>
      <c r="B29" s="35"/>
      <c r="C29" s="35"/>
      <c r="D29" s="35"/>
      <c r="E29" s="35"/>
      <c r="F29" s="126" t="s">
        <v>220</v>
      </c>
      <c r="G29" s="126"/>
      <c r="H29" s="126"/>
      <c r="I29" s="126"/>
      <c r="J29" s="126"/>
      <c r="K29" s="126"/>
      <c r="L29" s="41"/>
      <c r="M29" s="41"/>
      <c r="N29" s="41"/>
      <c r="O29" s="118" t="s">
        <v>221</v>
      </c>
      <c r="P29" s="126"/>
      <c r="Q29" s="126"/>
      <c r="R29" s="126"/>
      <c r="S29" s="41"/>
      <c r="T29" s="41"/>
      <c r="U29" s="41"/>
      <c r="V29" s="35"/>
      <c r="W29" s="35"/>
      <c r="X29" s="35"/>
      <c r="Y29" s="35"/>
      <c r="Z29" s="35"/>
      <c r="AA29" s="35"/>
      <c r="AB29" s="35"/>
      <c r="AC29" s="35"/>
      <c r="AD29" s="35"/>
      <c r="AE29" s="35"/>
      <c r="AF29" s="35"/>
      <c r="AG29" s="35"/>
      <c r="AH29" s="35"/>
      <c r="AI29" s="35"/>
      <c r="AJ29" s="35"/>
      <c r="AK29" s="35"/>
    </row>
    <row r="30" spans="1:37" x14ac:dyDescent="0.3">
      <c r="A30" s="35"/>
      <c r="B30" s="35"/>
      <c r="C30" s="35"/>
      <c r="D30" s="35"/>
      <c r="E30" s="35"/>
      <c r="F30" s="128">
        <v>45643</v>
      </c>
      <c r="G30" s="129"/>
      <c r="H30" s="129"/>
      <c r="I30" s="129"/>
      <c r="J30" s="129"/>
      <c r="K30" s="129"/>
      <c r="L30" s="42"/>
      <c r="M30" s="41"/>
      <c r="N30" s="128" t="s">
        <v>378</v>
      </c>
      <c r="O30" s="129"/>
      <c r="P30" s="129"/>
      <c r="Q30" s="129"/>
      <c r="R30" s="129"/>
      <c r="S30" s="130"/>
      <c r="T30" s="41"/>
      <c r="U30" s="41"/>
      <c r="V30" s="35"/>
      <c r="W30" s="35"/>
      <c r="X30" s="35"/>
      <c r="Y30" s="35"/>
      <c r="Z30" s="35"/>
      <c r="AA30" s="35"/>
      <c r="AB30" s="35"/>
      <c r="AC30" s="35"/>
      <c r="AD30" s="35"/>
      <c r="AE30" s="35"/>
      <c r="AF30" s="35"/>
      <c r="AG30" s="35"/>
      <c r="AH30" s="35"/>
      <c r="AI30" s="35"/>
      <c r="AJ30" s="35"/>
      <c r="AK30" s="35"/>
    </row>
    <row r="31" spans="1:37" ht="15" customHeight="1" x14ac:dyDescent="0.3">
      <c r="A31" s="35"/>
      <c r="B31" s="35"/>
      <c r="C31" s="35"/>
      <c r="D31" s="35"/>
      <c r="E31" s="35"/>
      <c r="F31" s="111" t="s">
        <v>377</v>
      </c>
      <c r="G31" s="112"/>
      <c r="H31" s="112"/>
      <c r="I31" s="112"/>
      <c r="J31" s="112"/>
      <c r="K31" s="113"/>
      <c r="L31" s="42"/>
      <c r="M31" s="41"/>
      <c r="N31" s="111" t="s">
        <v>379</v>
      </c>
      <c r="O31" s="120"/>
      <c r="P31" s="120"/>
      <c r="Q31" s="120"/>
      <c r="R31" s="120"/>
      <c r="S31" s="121"/>
      <c r="T31" s="41"/>
      <c r="U31" s="41"/>
      <c r="V31" s="35"/>
      <c r="W31" s="35"/>
      <c r="X31" s="35"/>
      <c r="Y31" s="35"/>
      <c r="Z31" s="35"/>
      <c r="AA31" s="35"/>
      <c r="AB31" s="35"/>
      <c r="AC31" s="35"/>
      <c r="AD31" s="35"/>
      <c r="AE31" s="35"/>
      <c r="AF31" s="35"/>
      <c r="AG31" s="35"/>
      <c r="AH31" s="35"/>
      <c r="AI31" s="35"/>
      <c r="AJ31" s="35"/>
      <c r="AK31" s="35"/>
    </row>
    <row r="32" spans="1:37" x14ac:dyDescent="0.3">
      <c r="A32" s="35"/>
      <c r="B32" s="35"/>
      <c r="C32" s="35"/>
      <c r="D32" s="35"/>
      <c r="E32" s="35"/>
      <c r="F32" s="114"/>
      <c r="G32" s="115"/>
      <c r="H32" s="115"/>
      <c r="I32" s="115"/>
      <c r="J32" s="115"/>
      <c r="K32" s="116"/>
      <c r="L32" s="42"/>
      <c r="M32" s="41"/>
      <c r="N32" s="122"/>
      <c r="O32" s="123"/>
      <c r="P32" s="123"/>
      <c r="Q32" s="123"/>
      <c r="R32" s="123"/>
      <c r="S32" s="124"/>
      <c r="T32" s="41"/>
      <c r="U32" s="41"/>
      <c r="V32" s="35"/>
      <c r="W32" s="35"/>
      <c r="X32" s="35"/>
      <c r="Y32" s="35"/>
      <c r="Z32" s="35"/>
      <c r="AA32" s="35"/>
      <c r="AB32" s="35"/>
      <c r="AC32" s="35"/>
      <c r="AD32" s="35"/>
      <c r="AE32" s="35"/>
      <c r="AF32" s="35"/>
      <c r="AG32" s="35"/>
      <c r="AH32" s="35"/>
      <c r="AI32" s="35"/>
      <c r="AJ32" s="35"/>
      <c r="AK32" s="35"/>
    </row>
    <row r="33" spans="1:37" x14ac:dyDescent="0.3">
      <c r="A33" s="35"/>
      <c r="B33" s="35"/>
      <c r="C33" s="35"/>
      <c r="D33" s="35"/>
      <c r="E33" s="35"/>
      <c r="F33" s="114"/>
      <c r="G33" s="115"/>
      <c r="H33" s="115"/>
      <c r="I33" s="115"/>
      <c r="J33" s="115"/>
      <c r="K33" s="116"/>
      <c r="L33" s="42"/>
      <c r="M33" s="41"/>
      <c r="N33" s="122"/>
      <c r="O33" s="123"/>
      <c r="P33" s="123"/>
      <c r="Q33" s="123"/>
      <c r="R33" s="123"/>
      <c r="S33" s="124"/>
      <c r="T33" s="41"/>
      <c r="U33" s="41"/>
      <c r="V33" s="35"/>
      <c r="W33" s="35"/>
      <c r="X33" s="35"/>
      <c r="Y33" s="35"/>
      <c r="Z33" s="35"/>
      <c r="AA33" s="35"/>
      <c r="AB33" s="35"/>
      <c r="AC33" s="35"/>
      <c r="AD33" s="35"/>
      <c r="AE33" s="35"/>
      <c r="AF33" s="35"/>
      <c r="AG33" s="35"/>
      <c r="AH33" s="35"/>
      <c r="AI33" s="35"/>
      <c r="AJ33" s="35"/>
      <c r="AK33" s="35"/>
    </row>
    <row r="34" spans="1:37" x14ac:dyDescent="0.3">
      <c r="A34" s="35"/>
      <c r="B34" s="35"/>
      <c r="C34" s="35"/>
      <c r="D34" s="35"/>
      <c r="E34" s="35"/>
      <c r="F34" s="114"/>
      <c r="G34" s="115"/>
      <c r="H34" s="115"/>
      <c r="I34" s="115"/>
      <c r="J34" s="115"/>
      <c r="K34" s="116"/>
      <c r="L34" s="42"/>
      <c r="M34" s="41"/>
      <c r="N34" s="122"/>
      <c r="O34" s="123"/>
      <c r="P34" s="123"/>
      <c r="Q34" s="123"/>
      <c r="R34" s="123"/>
      <c r="S34" s="124"/>
      <c r="T34" s="41"/>
      <c r="U34" s="41"/>
      <c r="V34" s="35"/>
      <c r="W34" s="35"/>
      <c r="X34" s="35"/>
      <c r="Y34" s="35"/>
      <c r="Z34" s="35"/>
      <c r="AA34" s="35"/>
      <c r="AB34" s="35"/>
      <c r="AC34" s="35"/>
      <c r="AD34" s="35"/>
      <c r="AE34" s="35"/>
      <c r="AF34" s="35"/>
      <c r="AG34" s="35"/>
      <c r="AH34" s="35"/>
      <c r="AI34" s="35"/>
      <c r="AJ34" s="35"/>
      <c r="AK34" s="35"/>
    </row>
    <row r="35" spans="1:37" x14ac:dyDescent="0.3">
      <c r="A35" s="35"/>
      <c r="B35" s="35"/>
      <c r="C35" s="35"/>
      <c r="D35" s="35"/>
      <c r="E35" s="35"/>
      <c r="F35" s="117"/>
      <c r="G35" s="118"/>
      <c r="H35" s="118"/>
      <c r="I35" s="118"/>
      <c r="J35" s="118"/>
      <c r="K35" s="119"/>
      <c r="L35" s="42"/>
      <c r="M35" s="41"/>
      <c r="N35" s="125"/>
      <c r="O35" s="126"/>
      <c r="P35" s="126"/>
      <c r="Q35" s="126"/>
      <c r="R35" s="126"/>
      <c r="S35" s="127"/>
      <c r="T35" s="41"/>
      <c r="U35" s="41"/>
      <c r="V35" s="35"/>
      <c r="W35" s="35"/>
      <c r="X35" s="35"/>
      <c r="Y35" s="35"/>
      <c r="Z35" s="35"/>
      <c r="AA35" s="35"/>
      <c r="AB35" s="35"/>
      <c r="AC35" s="35"/>
      <c r="AD35" s="35"/>
      <c r="AE35" s="35"/>
      <c r="AF35" s="35"/>
      <c r="AG35" s="35"/>
      <c r="AH35" s="35"/>
      <c r="AI35" s="35"/>
      <c r="AJ35" s="35"/>
      <c r="AK35" s="35"/>
    </row>
    <row r="36" spans="1:37" ht="15" customHeight="1" x14ac:dyDescent="0.3">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row>
    <row r="37" spans="1:37" ht="15" customHeight="1" x14ac:dyDescent="0.3">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row>
  </sheetData>
  <mergeCells count="12">
    <mergeCell ref="F31:K35"/>
    <mergeCell ref="N31:S35"/>
    <mergeCell ref="F29:K29"/>
    <mergeCell ref="O29:R29"/>
    <mergeCell ref="F30:K30"/>
    <mergeCell ref="N30:S30"/>
    <mergeCell ref="B26:AE27"/>
    <mergeCell ref="J4:L5"/>
    <mergeCell ref="B10:AE13"/>
    <mergeCell ref="B14:AE16"/>
    <mergeCell ref="B22:AE23"/>
    <mergeCell ref="B24:AE25"/>
  </mergeCells>
  <phoneticPr fontId="12"/>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53BD8-CEC2-4BDA-8887-60A9F8EA5334}">
  <sheetPr codeName="Sheet4"/>
  <dimension ref="A1:J17"/>
  <sheetViews>
    <sheetView showGridLines="0" zoomScaleNormal="100" zoomScaleSheetLayoutView="100" workbookViewId="0">
      <pane ySplit="3" topLeftCell="A4" activePane="bottomLeft" state="frozen"/>
      <selection pane="bottomLeft" activeCell="A4" sqref="A4"/>
    </sheetView>
  </sheetViews>
  <sheetFormatPr defaultColWidth="8.81640625" defaultRowHeight="15" x14ac:dyDescent="0.3"/>
  <cols>
    <col min="1" max="1" width="2.81640625" style="41" customWidth="1"/>
    <col min="2" max="2" width="3.81640625" style="41" bestFit="1" customWidth="1"/>
    <col min="3" max="3" width="16" style="41" bestFit="1" customWidth="1"/>
    <col min="4" max="4" width="12.81640625" style="53" customWidth="1"/>
    <col min="5" max="5" width="24.453125" style="41" bestFit="1" customWidth="1"/>
    <col min="6" max="7" width="12.1796875" style="66" bestFit="1" customWidth="1"/>
    <col min="8" max="8" width="59.453125" style="41" customWidth="1"/>
    <col min="9" max="9" width="66.6328125" style="41" customWidth="1"/>
    <col min="10" max="10" width="9.1796875" style="41" customWidth="1"/>
    <col min="11" max="16384" width="8.81640625" style="41"/>
  </cols>
  <sheetData>
    <row r="1" spans="1:10" ht="18.600000000000001" x14ac:dyDescent="0.3">
      <c r="A1" s="30" t="s">
        <v>351</v>
      </c>
    </row>
    <row r="2" spans="1:10" x14ac:dyDescent="0.3">
      <c r="C2" s="54"/>
      <c r="D2" s="55"/>
    </row>
    <row r="3" spans="1:10" x14ac:dyDescent="0.3">
      <c r="B3" s="56" t="s">
        <v>1</v>
      </c>
      <c r="C3" s="56" t="s">
        <v>2</v>
      </c>
      <c r="D3" s="57" t="s">
        <v>223</v>
      </c>
      <c r="E3" s="56" t="s">
        <v>3</v>
      </c>
      <c r="F3" s="67" t="s">
        <v>353</v>
      </c>
      <c r="G3" s="67" t="s">
        <v>354</v>
      </c>
      <c r="H3" s="56" t="s">
        <v>4</v>
      </c>
      <c r="I3" s="56" t="s">
        <v>5</v>
      </c>
    </row>
    <row r="4" spans="1:10" ht="30" x14ac:dyDescent="0.3">
      <c r="B4" s="58">
        <f t="shared" ref="B4:B12" si="0">ROW()-3</f>
        <v>1</v>
      </c>
      <c r="C4" s="58" t="s">
        <v>6</v>
      </c>
      <c r="D4" s="59" t="s">
        <v>224</v>
      </c>
      <c r="E4" s="60" t="s">
        <v>7</v>
      </c>
      <c r="F4" s="68" t="s">
        <v>382</v>
      </c>
      <c r="G4" s="69">
        <v>45651</v>
      </c>
      <c r="H4" s="61" t="s">
        <v>8</v>
      </c>
      <c r="I4" s="61" t="s">
        <v>9</v>
      </c>
    </row>
    <row r="5" spans="1:10" ht="30" x14ac:dyDescent="0.3">
      <c r="B5" s="63">
        <f t="shared" si="0"/>
        <v>2</v>
      </c>
      <c r="C5" s="63" t="s">
        <v>6</v>
      </c>
      <c r="D5" s="93" t="s">
        <v>224</v>
      </c>
      <c r="E5" s="94" t="s">
        <v>10</v>
      </c>
      <c r="F5" s="70"/>
      <c r="G5" s="70"/>
      <c r="H5" s="92" t="s">
        <v>375</v>
      </c>
      <c r="I5" s="92" t="s">
        <v>11</v>
      </c>
      <c r="J5" s="62"/>
    </row>
    <row r="6" spans="1:10" ht="45" x14ac:dyDescent="0.3">
      <c r="B6" s="63">
        <f t="shared" si="0"/>
        <v>3</v>
      </c>
      <c r="C6" s="63" t="s">
        <v>6</v>
      </c>
      <c r="D6" s="64" t="s">
        <v>288</v>
      </c>
      <c r="E6" s="91" t="s">
        <v>289</v>
      </c>
      <c r="F6" s="70"/>
      <c r="G6" s="70"/>
      <c r="H6" s="65" t="s">
        <v>369</v>
      </c>
      <c r="I6" s="92" t="s">
        <v>324</v>
      </c>
    </row>
    <row r="7" spans="1:10" x14ac:dyDescent="0.3">
      <c r="B7" s="63">
        <f t="shared" si="0"/>
        <v>4</v>
      </c>
      <c r="C7" s="63" t="s">
        <v>6</v>
      </c>
      <c r="D7" s="64" t="s">
        <v>288</v>
      </c>
      <c r="E7" s="72" t="s">
        <v>290</v>
      </c>
      <c r="F7" s="70"/>
      <c r="G7" s="70"/>
      <c r="H7" s="65" t="s">
        <v>355</v>
      </c>
      <c r="I7" s="65" t="s">
        <v>355</v>
      </c>
    </row>
    <row r="8" spans="1:10" x14ac:dyDescent="0.3">
      <c r="B8" s="63">
        <f t="shared" si="0"/>
        <v>5</v>
      </c>
      <c r="C8" s="63" t="s">
        <v>6</v>
      </c>
      <c r="D8" s="64" t="s">
        <v>288</v>
      </c>
      <c r="E8" s="72" t="s">
        <v>338</v>
      </c>
      <c r="F8" s="70"/>
      <c r="G8" s="70"/>
      <c r="H8" s="65" t="s">
        <v>355</v>
      </c>
      <c r="I8" s="65" t="s">
        <v>355</v>
      </c>
      <c r="J8" s="52"/>
    </row>
    <row r="9" spans="1:10" x14ac:dyDescent="0.3">
      <c r="B9" s="63">
        <f t="shared" si="0"/>
        <v>6</v>
      </c>
      <c r="C9" s="63" t="s">
        <v>6</v>
      </c>
      <c r="D9" s="64" t="s">
        <v>288</v>
      </c>
      <c r="E9" s="71" t="s">
        <v>291</v>
      </c>
      <c r="F9" s="70"/>
      <c r="G9" s="70"/>
      <c r="H9" s="65" t="s">
        <v>355</v>
      </c>
      <c r="I9" s="65" t="s">
        <v>355</v>
      </c>
    </row>
    <row r="10" spans="1:10" ht="30" x14ac:dyDescent="0.3">
      <c r="B10" s="63">
        <f t="shared" si="0"/>
        <v>7</v>
      </c>
      <c r="C10" s="63" t="s">
        <v>6</v>
      </c>
      <c r="D10" s="64" t="s">
        <v>288</v>
      </c>
      <c r="E10" s="91" t="s">
        <v>292</v>
      </c>
      <c r="F10" s="70"/>
      <c r="G10" s="70"/>
      <c r="H10" s="92" t="s">
        <v>370</v>
      </c>
      <c r="I10" s="92" t="s">
        <v>325</v>
      </c>
    </row>
    <row r="11" spans="1:10" ht="30" x14ac:dyDescent="0.3">
      <c r="B11" s="63">
        <f t="shared" si="0"/>
        <v>8</v>
      </c>
      <c r="C11" s="63" t="s">
        <v>6</v>
      </c>
      <c r="D11" s="64" t="s">
        <v>288</v>
      </c>
      <c r="E11" s="91" t="s">
        <v>293</v>
      </c>
      <c r="F11" s="70"/>
      <c r="G11" s="70"/>
      <c r="H11" s="92" t="s">
        <v>371</v>
      </c>
      <c r="I11" s="92" t="s">
        <v>326</v>
      </c>
    </row>
    <row r="12" spans="1:10" ht="30" x14ac:dyDescent="0.3">
      <c r="B12" s="63">
        <f t="shared" si="0"/>
        <v>9</v>
      </c>
      <c r="C12" s="63" t="s">
        <v>6</v>
      </c>
      <c r="D12" s="64" t="s">
        <v>288</v>
      </c>
      <c r="E12" s="91" t="s">
        <v>294</v>
      </c>
      <c r="F12" s="70"/>
      <c r="G12" s="70"/>
      <c r="H12" s="92" t="s">
        <v>372</v>
      </c>
      <c r="I12" s="92" t="s">
        <v>327</v>
      </c>
    </row>
    <row r="13" spans="1:10" x14ac:dyDescent="0.3">
      <c r="F13" s="41"/>
      <c r="G13" s="41"/>
    </row>
    <row r="14" spans="1:10" x14ac:dyDescent="0.3">
      <c r="F14" s="41"/>
      <c r="G14" s="41"/>
    </row>
    <row r="15" spans="1:10" x14ac:dyDescent="0.3">
      <c r="F15" s="41"/>
      <c r="G15" s="41"/>
    </row>
    <row r="16" spans="1:10" x14ac:dyDescent="0.3">
      <c r="F16" s="41"/>
      <c r="G16" s="41"/>
    </row>
    <row r="17" spans="6:7" x14ac:dyDescent="0.3">
      <c r="F17" s="41"/>
      <c r="G17" s="41"/>
    </row>
  </sheetData>
  <phoneticPr fontId="12"/>
  <dataValidations count="1">
    <dataValidation type="list" allowBlank="1" showInputMessage="1" showErrorMessage="1" sqref="D4:D12" xr:uid="{C7CA4B98-FA13-4838-99AF-7D634E3E777A}">
      <formula1>"共通,個別"</formula1>
    </dataValidation>
  </dataValidations>
  <hyperlinks>
    <hyperlink ref="E4" location="'販売とマーケティング パラメーター'!A1" display="販売とマーケティングパラメータ" xr:uid="{C33C0B6E-C434-4D39-BE74-F210354D5F12}"/>
    <hyperlink ref="E5" location="業種!A1" display="業種" xr:uid="{E5E3CE39-98E6-4E29-BAF6-5170A13419F0}"/>
    <hyperlink ref="E6" location="価格割引の有効化!A1" display="価格/割引の有効化" xr:uid="{11F8B65A-E71C-4479-9852-DE853308F8F0}"/>
    <hyperlink ref="E10" location="廃棄コード!A1" display="廃棄コード" xr:uid="{E75C9A0B-6A52-4361-9031-1D3FA981593D}"/>
    <hyperlink ref="E11" location="返品理由コードグループ!A1" display="返品理由コードグループ" xr:uid="{C876FF57-6CFC-4A42-8F01-FDA4855DD9DE}"/>
    <hyperlink ref="E12" location="返品理由コード!A1" display="返品理由コード" xr:uid="{EAF0E3C1-DD10-42A1-9406-E8E82BC2B160}"/>
  </hyperlinks>
  <pageMargins left="0.7" right="0.7" top="0.75" bottom="0.75" header="0.3" footer="0.3"/>
  <pageSetup paperSize="9" scale="31"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6F586-2CF1-4C25-947A-2CF0E357AE72}">
  <sheetPr codeName="Sheet102"/>
  <dimension ref="A1:L122"/>
  <sheetViews>
    <sheetView showGridLines="0" zoomScaleNormal="100" workbookViewId="0">
      <pane xSplit="6" ySplit="5" topLeftCell="J91" activePane="bottomRight" state="frozen"/>
      <selection pane="topRight"/>
      <selection pane="bottomLeft"/>
      <selection pane="bottomRight" activeCell="K98" sqref="K98"/>
    </sheetView>
  </sheetViews>
  <sheetFormatPr defaultColWidth="8.81640625" defaultRowHeight="14.4" x14ac:dyDescent="0.3"/>
  <cols>
    <col min="1" max="1" width="2.81640625" style="23" customWidth="1"/>
    <col min="2" max="2" width="3.81640625" style="23" customWidth="1"/>
    <col min="3" max="3" width="16.81640625" style="23" customWidth="1"/>
    <col min="4" max="4" width="19.1796875" style="23" customWidth="1"/>
    <col min="5" max="5" width="16.54296875" style="23" customWidth="1"/>
    <col min="6" max="6" width="22.54296875" style="23" customWidth="1"/>
    <col min="7" max="7" width="44.6328125" style="23" customWidth="1"/>
    <col min="8" max="8" width="27.54296875" style="23" customWidth="1"/>
    <col min="9" max="9" width="17.453125" style="27" customWidth="1"/>
    <col min="10" max="10" width="22.453125" style="23" customWidth="1"/>
    <col min="11" max="11" width="18.1796875" style="23" customWidth="1"/>
    <col min="12" max="12" width="28.6328125" style="23" customWidth="1"/>
    <col min="13" max="16384" width="8.81640625" style="23"/>
  </cols>
  <sheetData>
    <row r="1" spans="1:12" s="41" customFormat="1" ht="18.600000000000001" x14ac:dyDescent="0.3">
      <c r="A1" s="5" t="s">
        <v>12</v>
      </c>
      <c r="C1" s="23"/>
      <c r="D1" s="23"/>
      <c r="E1" s="23"/>
      <c r="F1" s="23"/>
      <c r="G1" s="23"/>
      <c r="H1" s="23"/>
      <c r="I1" s="27"/>
    </row>
    <row r="2" spans="1:12" s="41" customFormat="1" ht="15" x14ac:dyDescent="0.3">
      <c r="B2" s="41" t="s">
        <v>13</v>
      </c>
      <c r="C2" s="23"/>
      <c r="D2" s="23"/>
      <c r="E2" s="23"/>
      <c r="F2" s="23"/>
      <c r="G2" s="23"/>
      <c r="H2" s="23"/>
      <c r="I2" s="27"/>
    </row>
    <row r="3" spans="1:12" s="41" customFormat="1" ht="15" x14ac:dyDescent="0.3">
      <c r="B3" s="41" t="s">
        <v>14</v>
      </c>
      <c r="C3" s="23"/>
      <c r="D3" s="23"/>
      <c r="E3" s="23"/>
      <c r="F3" s="23"/>
      <c r="G3" s="23"/>
      <c r="H3" s="23"/>
      <c r="I3" s="27"/>
    </row>
    <row r="4" spans="1:12" s="41" customFormat="1" ht="15" x14ac:dyDescent="0.3">
      <c r="A4" s="7" t="s">
        <v>352</v>
      </c>
      <c r="C4" s="23"/>
      <c r="D4" s="23"/>
      <c r="E4" s="23"/>
      <c r="F4" s="23"/>
      <c r="G4" s="23"/>
      <c r="H4" s="23"/>
      <c r="I4" s="27"/>
    </row>
    <row r="5" spans="1:12" x14ac:dyDescent="0.3">
      <c r="B5" s="8" t="s">
        <v>15</v>
      </c>
      <c r="C5" s="8" t="s">
        <v>16</v>
      </c>
      <c r="D5" s="8" t="s">
        <v>17</v>
      </c>
      <c r="E5" s="8" t="s">
        <v>18</v>
      </c>
      <c r="F5" s="13" t="s">
        <v>19</v>
      </c>
      <c r="G5" s="13" t="s">
        <v>20</v>
      </c>
      <c r="H5" s="8" t="s">
        <v>21</v>
      </c>
      <c r="I5" s="28" t="s">
        <v>22</v>
      </c>
      <c r="J5" s="8" t="s">
        <v>23</v>
      </c>
      <c r="K5" s="9" t="s">
        <v>24</v>
      </c>
      <c r="L5" s="9" t="s">
        <v>25</v>
      </c>
    </row>
    <row r="6" spans="1:12" ht="30.6" customHeight="1" x14ac:dyDescent="0.3">
      <c r="B6" s="14">
        <f>ROW() - 5</f>
        <v>1</v>
      </c>
      <c r="C6" s="10" t="s">
        <v>26</v>
      </c>
      <c r="D6" s="10" t="s">
        <v>27</v>
      </c>
      <c r="E6" s="19" t="s">
        <v>28</v>
      </c>
      <c r="F6" s="15" t="s">
        <v>29</v>
      </c>
      <c r="G6" s="15" t="s">
        <v>30</v>
      </c>
      <c r="H6" s="24" t="s">
        <v>339</v>
      </c>
      <c r="I6" s="22" t="s">
        <v>31</v>
      </c>
      <c r="J6" s="16"/>
      <c r="K6" s="25" t="s">
        <v>31</v>
      </c>
      <c r="L6" s="17" t="s">
        <v>358</v>
      </c>
    </row>
    <row r="7" spans="1:12" ht="28.8" x14ac:dyDescent="0.3">
      <c r="B7" s="14">
        <f>ROW() - 5</f>
        <v>2</v>
      </c>
      <c r="C7" s="11"/>
      <c r="D7" s="20"/>
      <c r="E7" s="11"/>
      <c r="F7" s="15" t="s">
        <v>32</v>
      </c>
      <c r="G7" s="15" t="s">
        <v>33</v>
      </c>
      <c r="H7" s="24" t="s">
        <v>339</v>
      </c>
      <c r="I7" s="22" t="s">
        <v>31</v>
      </c>
      <c r="J7" s="16"/>
      <c r="K7" s="25" t="s">
        <v>31</v>
      </c>
      <c r="L7" s="17" t="s">
        <v>358</v>
      </c>
    </row>
    <row r="8" spans="1:12" ht="28.8" x14ac:dyDescent="0.3">
      <c r="B8" s="14">
        <f t="shared" ref="B8:B71" si="0">ROW() - 5</f>
        <v>3</v>
      </c>
      <c r="C8" s="11"/>
      <c r="D8" s="20"/>
      <c r="E8" s="11"/>
      <c r="F8" s="15" t="s">
        <v>34</v>
      </c>
      <c r="G8" s="15" t="s">
        <v>35</v>
      </c>
      <c r="H8" s="24" t="s">
        <v>339</v>
      </c>
      <c r="I8" s="22" t="s">
        <v>31</v>
      </c>
      <c r="J8" s="16"/>
      <c r="K8" s="25" t="s">
        <v>31</v>
      </c>
      <c r="L8" s="17" t="s">
        <v>358</v>
      </c>
    </row>
    <row r="9" spans="1:12" ht="28.8" x14ac:dyDescent="0.3">
      <c r="B9" s="14">
        <f t="shared" si="0"/>
        <v>4</v>
      </c>
      <c r="C9" s="11"/>
      <c r="D9" s="20"/>
      <c r="E9" s="10" t="s">
        <v>36</v>
      </c>
      <c r="F9" s="15" t="s">
        <v>37</v>
      </c>
      <c r="G9" s="15" t="s">
        <v>38</v>
      </c>
      <c r="H9" s="24" t="s">
        <v>39</v>
      </c>
      <c r="I9" s="22" t="s">
        <v>40</v>
      </c>
      <c r="J9" s="16"/>
      <c r="K9" s="6" t="s">
        <v>40</v>
      </c>
      <c r="L9" s="17" t="s">
        <v>358</v>
      </c>
    </row>
    <row r="10" spans="1:12" ht="28.8" x14ac:dyDescent="0.3">
      <c r="B10" s="14">
        <f t="shared" si="0"/>
        <v>5</v>
      </c>
      <c r="C10" s="11"/>
      <c r="D10" s="20"/>
      <c r="E10" s="11"/>
      <c r="F10" s="15" t="s">
        <v>41</v>
      </c>
      <c r="G10" s="15" t="s">
        <v>42</v>
      </c>
      <c r="H10" s="24" t="s">
        <v>39</v>
      </c>
      <c r="I10" s="22" t="s">
        <v>40</v>
      </c>
      <c r="J10" s="16"/>
      <c r="K10" s="6" t="s">
        <v>40</v>
      </c>
      <c r="L10" s="17" t="s">
        <v>358</v>
      </c>
    </row>
    <row r="11" spans="1:12" ht="43.2" x14ac:dyDescent="0.3">
      <c r="B11" s="14">
        <f t="shared" si="0"/>
        <v>6</v>
      </c>
      <c r="C11" s="11"/>
      <c r="D11" s="20"/>
      <c r="E11" s="10" t="s">
        <v>43</v>
      </c>
      <c r="F11" s="15" t="s">
        <v>44</v>
      </c>
      <c r="G11" s="15" t="s">
        <v>45</v>
      </c>
      <c r="H11" s="24" t="s">
        <v>46</v>
      </c>
      <c r="I11" s="22" t="s">
        <v>47</v>
      </c>
      <c r="J11" s="16"/>
      <c r="K11" s="6" t="s">
        <v>47</v>
      </c>
      <c r="L11" s="17" t="s">
        <v>358</v>
      </c>
    </row>
    <row r="12" spans="1:12" ht="43.2" x14ac:dyDescent="0.3">
      <c r="B12" s="14">
        <f t="shared" si="0"/>
        <v>7</v>
      </c>
      <c r="C12" s="11"/>
      <c r="D12" s="20"/>
      <c r="E12" s="11"/>
      <c r="F12" s="15" t="s">
        <v>48</v>
      </c>
      <c r="G12" s="15" t="s">
        <v>49</v>
      </c>
      <c r="H12" s="24" t="s">
        <v>46</v>
      </c>
      <c r="I12" s="22" t="s">
        <v>47</v>
      </c>
      <c r="J12" s="16"/>
      <c r="K12" s="6" t="s">
        <v>47</v>
      </c>
      <c r="L12" s="17" t="s">
        <v>358</v>
      </c>
    </row>
    <row r="13" spans="1:12" ht="43.2" x14ac:dyDescent="0.3">
      <c r="B13" s="14">
        <f t="shared" si="0"/>
        <v>8</v>
      </c>
      <c r="C13" s="11"/>
      <c r="D13" s="20"/>
      <c r="E13" s="11"/>
      <c r="F13" s="15" t="s">
        <v>50</v>
      </c>
      <c r="G13" s="15" t="s">
        <v>51</v>
      </c>
      <c r="H13" s="24" t="s">
        <v>46</v>
      </c>
      <c r="I13" s="22" t="s">
        <v>47</v>
      </c>
      <c r="J13" s="16"/>
      <c r="K13" s="6" t="s">
        <v>47</v>
      </c>
      <c r="L13" s="17" t="s">
        <v>358</v>
      </c>
    </row>
    <row r="14" spans="1:12" ht="43.2" x14ac:dyDescent="0.3">
      <c r="B14" s="14">
        <f t="shared" si="0"/>
        <v>9</v>
      </c>
      <c r="C14" s="11"/>
      <c r="D14" s="20"/>
      <c r="E14" s="11"/>
      <c r="F14" s="15" t="s">
        <v>52</v>
      </c>
      <c r="G14" s="15" t="s">
        <v>53</v>
      </c>
      <c r="H14" s="24" t="s">
        <v>46</v>
      </c>
      <c r="I14" s="22" t="s">
        <v>47</v>
      </c>
      <c r="J14" s="16"/>
      <c r="K14" s="6" t="s">
        <v>47</v>
      </c>
      <c r="L14" s="17" t="s">
        <v>358</v>
      </c>
    </row>
    <row r="15" spans="1:12" ht="28.8" x14ac:dyDescent="0.3">
      <c r="B15" s="14">
        <f t="shared" si="0"/>
        <v>10</v>
      </c>
      <c r="C15" s="10" t="s">
        <v>54</v>
      </c>
      <c r="D15" s="29" t="s">
        <v>55</v>
      </c>
      <c r="E15" s="10" t="s">
        <v>56</v>
      </c>
      <c r="F15" s="15" t="s">
        <v>57</v>
      </c>
      <c r="G15" s="15" t="s">
        <v>58</v>
      </c>
      <c r="H15" s="24" t="s">
        <v>59</v>
      </c>
      <c r="I15" s="22" t="s">
        <v>60</v>
      </c>
      <c r="J15" s="16"/>
      <c r="K15" s="6" t="s">
        <v>380</v>
      </c>
      <c r="L15" s="17" t="s">
        <v>358</v>
      </c>
    </row>
    <row r="16" spans="1:12" ht="28.8" x14ac:dyDescent="0.3">
      <c r="B16" s="14">
        <f t="shared" si="0"/>
        <v>11</v>
      </c>
      <c r="C16" s="11"/>
      <c r="D16" s="20"/>
      <c r="E16" s="11"/>
      <c r="F16" s="15" t="s">
        <v>61</v>
      </c>
      <c r="G16" s="15" t="s">
        <v>62</v>
      </c>
      <c r="H16" s="24" t="s">
        <v>340</v>
      </c>
      <c r="I16" s="22" t="s">
        <v>63</v>
      </c>
      <c r="J16" s="16"/>
      <c r="K16" s="6" t="s">
        <v>31</v>
      </c>
      <c r="L16" s="17" t="s">
        <v>358</v>
      </c>
    </row>
    <row r="17" spans="2:12" ht="28.8" x14ac:dyDescent="0.3">
      <c r="B17" s="14">
        <f t="shared" si="0"/>
        <v>12</v>
      </c>
      <c r="C17" s="11"/>
      <c r="D17" s="20"/>
      <c r="E17" s="11"/>
      <c r="F17" s="15" t="s">
        <v>64</v>
      </c>
      <c r="G17" s="15" t="s">
        <v>65</v>
      </c>
      <c r="H17" s="24" t="s">
        <v>341</v>
      </c>
      <c r="I17" s="22" t="s">
        <v>60</v>
      </c>
      <c r="J17" s="16"/>
      <c r="K17" s="6" t="s">
        <v>31</v>
      </c>
      <c r="L17" s="17" t="s">
        <v>358</v>
      </c>
    </row>
    <row r="18" spans="2:12" ht="28.8" x14ac:dyDescent="0.3">
      <c r="B18" s="14">
        <f t="shared" si="0"/>
        <v>13</v>
      </c>
      <c r="C18" s="11"/>
      <c r="D18" s="20"/>
      <c r="E18" s="11"/>
      <c r="F18" s="15" t="s">
        <v>66</v>
      </c>
      <c r="G18" s="15" t="s">
        <v>67</v>
      </c>
      <c r="H18" s="24" t="s">
        <v>68</v>
      </c>
      <c r="I18" s="22" t="s">
        <v>60</v>
      </c>
      <c r="J18" s="16"/>
      <c r="K18" s="6" t="s">
        <v>381</v>
      </c>
      <c r="L18" s="17" t="s">
        <v>358</v>
      </c>
    </row>
    <row r="19" spans="2:12" ht="43.2" x14ac:dyDescent="0.3">
      <c r="B19" s="14">
        <f t="shared" si="0"/>
        <v>14</v>
      </c>
      <c r="C19" s="11"/>
      <c r="D19" s="20"/>
      <c r="E19" s="11"/>
      <c r="F19" s="15" t="s">
        <v>69</v>
      </c>
      <c r="G19" s="15" t="s">
        <v>70</v>
      </c>
      <c r="H19" s="24" t="s">
        <v>342</v>
      </c>
      <c r="I19" s="22" t="s">
        <v>60</v>
      </c>
      <c r="J19" s="16"/>
      <c r="K19" s="6" t="s">
        <v>31</v>
      </c>
      <c r="L19" s="17" t="s">
        <v>358</v>
      </c>
    </row>
    <row r="20" spans="2:12" ht="28.8" x14ac:dyDescent="0.3">
      <c r="B20" s="14">
        <f t="shared" si="0"/>
        <v>15</v>
      </c>
      <c r="C20" s="11"/>
      <c r="D20" s="20"/>
      <c r="E20" s="11"/>
      <c r="F20" s="15" t="s">
        <v>71</v>
      </c>
      <c r="G20" s="15" t="s">
        <v>72</v>
      </c>
      <c r="H20" s="24" t="s">
        <v>73</v>
      </c>
      <c r="I20" s="32" t="s">
        <v>225</v>
      </c>
      <c r="J20" s="16"/>
      <c r="K20" s="31" t="s">
        <v>359</v>
      </c>
      <c r="L20" s="17" t="s">
        <v>358</v>
      </c>
    </row>
    <row r="21" spans="2:12" ht="28.8" x14ac:dyDescent="0.3">
      <c r="B21" s="14">
        <f t="shared" si="0"/>
        <v>16</v>
      </c>
      <c r="C21" s="11"/>
      <c r="D21" s="20"/>
      <c r="E21" s="11"/>
      <c r="F21" s="15" t="s">
        <v>74</v>
      </c>
      <c r="G21" s="15" t="s">
        <v>75</v>
      </c>
      <c r="H21" s="24" t="s">
        <v>73</v>
      </c>
      <c r="I21" s="32" t="s">
        <v>226</v>
      </c>
      <c r="J21" s="16"/>
      <c r="K21" s="31" t="s">
        <v>360</v>
      </c>
      <c r="L21" s="17" t="s">
        <v>358</v>
      </c>
    </row>
    <row r="22" spans="2:12" ht="28.8" x14ac:dyDescent="0.3">
      <c r="B22" s="14">
        <f t="shared" si="0"/>
        <v>17</v>
      </c>
      <c r="C22" s="11"/>
      <c r="D22" s="20"/>
      <c r="E22" s="11"/>
      <c r="F22" s="15" t="s">
        <v>76</v>
      </c>
      <c r="G22" s="15" t="s">
        <v>77</v>
      </c>
      <c r="H22" s="24" t="s">
        <v>343</v>
      </c>
      <c r="I22" s="22" t="s">
        <v>63</v>
      </c>
      <c r="J22" s="16"/>
      <c r="K22" s="6" t="s">
        <v>31</v>
      </c>
      <c r="L22" s="17" t="s">
        <v>358</v>
      </c>
    </row>
    <row r="23" spans="2:12" ht="57.6" x14ac:dyDescent="0.3">
      <c r="B23" s="14">
        <f t="shared" si="0"/>
        <v>18</v>
      </c>
      <c r="C23" s="11"/>
      <c r="D23" s="20"/>
      <c r="E23" s="10" t="s">
        <v>78</v>
      </c>
      <c r="F23" s="15" t="s">
        <v>79</v>
      </c>
      <c r="G23" s="15" t="s">
        <v>80</v>
      </c>
      <c r="H23" s="24" t="s">
        <v>81</v>
      </c>
      <c r="I23" s="22" t="s">
        <v>82</v>
      </c>
      <c r="J23" s="16"/>
      <c r="K23" s="6" t="s">
        <v>361</v>
      </c>
      <c r="L23" s="17" t="s">
        <v>358</v>
      </c>
    </row>
    <row r="24" spans="2:12" ht="28.8" x14ac:dyDescent="0.3">
      <c r="B24" s="14">
        <f t="shared" si="0"/>
        <v>19</v>
      </c>
      <c r="C24" s="11"/>
      <c r="D24" s="20"/>
      <c r="E24" s="11"/>
      <c r="F24" s="15" t="s">
        <v>83</v>
      </c>
      <c r="G24" s="15" t="s">
        <v>84</v>
      </c>
      <c r="H24" s="24" t="s">
        <v>39</v>
      </c>
      <c r="I24" s="22" t="s">
        <v>85</v>
      </c>
      <c r="J24" s="16"/>
      <c r="K24" s="6" t="s">
        <v>362</v>
      </c>
      <c r="L24" s="17" t="s">
        <v>358</v>
      </c>
    </row>
    <row r="25" spans="2:12" ht="57.6" x14ac:dyDescent="0.3">
      <c r="B25" s="14">
        <f t="shared" si="0"/>
        <v>20</v>
      </c>
      <c r="C25" s="10" t="s">
        <v>86</v>
      </c>
      <c r="D25" s="29" t="s">
        <v>87</v>
      </c>
      <c r="E25" s="10"/>
      <c r="F25" s="15" t="s">
        <v>88</v>
      </c>
      <c r="G25" s="15" t="s">
        <v>89</v>
      </c>
      <c r="H25" s="24" t="s">
        <v>90</v>
      </c>
      <c r="I25" s="22">
        <v>365</v>
      </c>
      <c r="J25" s="16"/>
      <c r="K25" s="33">
        <v>365</v>
      </c>
      <c r="L25" s="17" t="s">
        <v>358</v>
      </c>
    </row>
    <row r="26" spans="2:12" ht="28.8" x14ac:dyDescent="0.3">
      <c r="B26" s="14">
        <f t="shared" si="0"/>
        <v>21</v>
      </c>
      <c r="C26" s="11"/>
      <c r="D26" s="20"/>
      <c r="E26" s="11"/>
      <c r="F26" s="15" t="s">
        <v>91</v>
      </c>
      <c r="G26" s="15" t="s">
        <v>92</v>
      </c>
      <c r="H26" s="24" t="s">
        <v>93</v>
      </c>
      <c r="I26" s="22" t="s">
        <v>31</v>
      </c>
      <c r="J26" s="16"/>
      <c r="K26" s="6" t="s">
        <v>356</v>
      </c>
      <c r="L26" s="17" t="s">
        <v>358</v>
      </c>
    </row>
    <row r="27" spans="2:12" ht="57.6" x14ac:dyDescent="0.3">
      <c r="B27" s="14">
        <f t="shared" si="0"/>
        <v>22</v>
      </c>
      <c r="C27" s="11"/>
      <c r="D27" s="20"/>
      <c r="E27" s="11"/>
      <c r="F27" s="15" t="s">
        <v>94</v>
      </c>
      <c r="G27" s="15" t="s">
        <v>95</v>
      </c>
      <c r="H27" s="24" t="s">
        <v>227</v>
      </c>
      <c r="I27" s="22" t="s">
        <v>60</v>
      </c>
      <c r="J27" s="16"/>
      <c r="K27" s="6" t="s">
        <v>356</v>
      </c>
      <c r="L27" s="17" t="s">
        <v>358</v>
      </c>
    </row>
    <row r="28" spans="2:12" ht="57.6" x14ac:dyDescent="0.3">
      <c r="B28" s="14">
        <f t="shared" si="0"/>
        <v>23</v>
      </c>
      <c r="C28" s="11"/>
      <c r="D28" s="20"/>
      <c r="E28" s="11"/>
      <c r="F28" s="15" t="s">
        <v>96</v>
      </c>
      <c r="G28" s="15" t="s">
        <v>97</v>
      </c>
      <c r="H28" s="24" t="s">
        <v>227</v>
      </c>
      <c r="I28" s="22" t="s">
        <v>60</v>
      </c>
      <c r="J28" s="16"/>
      <c r="K28" s="6" t="s">
        <v>356</v>
      </c>
      <c r="L28" s="17" t="s">
        <v>358</v>
      </c>
    </row>
    <row r="29" spans="2:12" ht="57.6" x14ac:dyDescent="0.3">
      <c r="B29" s="26">
        <f t="shared" si="0"/>
        <v>24</v>
      </c>
      <c r="C29" s="11"/>
      <c r="D29" s="20"/>
      <c r="E29" s="11"/>
      <c r="F29" s="15" t="s">
        <v>98</v>
      </c>
      <c r="G29" s="15" t="s">
        <v>99</v>
      </c>
      <c r="H29" s="24" t="s">
        <v>227</v>
      </c>
      <c r="I29" s="22" t="s">
        <v>60</v>
      </c>
      <c r="J29" s="16"/>
      <c r="K29" s="6" t="s">
        <v>356</v>
      </c>
      <c r="L29" s="17" t="s">
        <v>358</v>
      </c>
    </row>
    <row r="30" spans="2:12" ht="86.4" x14ac:dyDescent="0.3">
      <c r="B30" s="14">
        <f t="shared" si="0"/>
        <v>25</v>
      </c>
      <c r="C30" s="10" t="s">
        <v>100</v>
      </c>
      <c r="D30" s="29" t="s">
        <v>101</v>
      </c>
      <c r="E30" s="10" t="s">
        <v>102</v>
      </c>
      <c r="F30" s="15" t="s">
        <v>103</v>
      </c>
      <c r="G30" s="15" t="s">
        <v>104</v>
      </c>
      <c r="H30" s="24" t="s">
        <v>105</v>
      </c>
      <c r="I30" s="22" t="s">
        <v>106</v>
      </c>
      <c r="J30" s="16"/>
      <c r="K30" s="6" t="s">
        <v>106</v>
      </c>
      <c r="L30" s="17" t="s">
        <v>358</v>
      </c>
    </row>
    <row r="31" spans="2:12" ht="43.2" x14ac:dyDescent="0.3">
      <c r="B31" s="14">
        <f t="shared" si="0"/>
        <v>26</v>
      </c>
      <c r="C31" s="11"/>
      <c r="D31" s="20"/>
      <c r="E31" s="11"/>
      <c r="F31" s="15" t="s">
        <v>107</v>
      </c>
      <c r="G31" s="15" t="s">
        <v>108</v>
      </c>
      <c r="H31" s="24" t="s">
        <v>342</v>
      </c>
      <c r="I31" s="22" t="s">
        <v>31</v>
      </c>
      <c r="J31" s="16"/>
      <c r="K31" s="6" t="s">
        <v>356</v>
      </c>
      <c r="L31" s="17" t="s">
        <v>358</v>
      </c>
    </row>
    <row r="32" spans="2:12" ht="43.2" x14ac:dyDescent="0.3">
      <c r="B32" s="14">
        <f t="shared" si="0"/>
        <v>27</v>
      </c>
      <c r="C32" s="11"/>
      <c r="D32" s="20"/>
      <c r="E32" s="11"/>
      <c r="F32" s="15" t="s">
        <v>109</v>
      </c>
      <c r="G32" s="15" t="s">
        <v>110</v>
      </c>
      <c r="H32" s="24" t="s">
        <v>344</v>
      </c>
      <c r="I32" s="22" t="s">
        <v>31</v>
      </c>
      <c r="J32" s="16"/>
      <c r="K32" s="6" t="s">
        <v>356</v>
      </c>
      <c r="L32" s="17" t="s">
        <v>358</v>
      </c>
    </row>
    <row r="33" spans="2:12" ht="43.2" x14ac:dyDescent="0.3">
      <c r="B33" s="14">
        <f t="shared" si="0"/>
        <v>28</v>
      </c>
      <c r="C33" s="11"/>
      <c r="D33" s="20"/>
      <c r="E33" s="11"/>
      <c r="F33" s="15" t="s">
        <v>111</v>
      </c>
      <c r="G33" s="15" t="s">
        <v>112</v>
      </c>
      <c r="H33" s="24" t="s">
        <v>345</v>
      </c>
      <c r="I33" s="22" t="s">
        <v>31</v>
      </c>
      <c r="J33" s="16"/>
      <c r="K33" s="6" t="s">
        <v>356</v>
      </c>
      <c r="L33" s="17" t="s">
        <v>358</v>
      </c>
    </row>
    <row r="34" spans="2:12" ht="28.8" x14ac:dyDescent="0.3">
      <c r="B34" s="14">
        <f t="shared" si="0"/>
        <v>29</v>
      </c>
      <c r="C34" s="11"/>
      <c r="D34" s="20"/>
      <c r="E34" s="11"/>
      <c r="F34" s="15" t="s">
        <v>113</v>
      </c>
      <c r="G34" s="15" t="s">
        <v>114</v>
      </c>
      <c r="H34" s="24" t="s">
        <v>90</v>
      </c>
      <c r="I34" s="22">
        <v>21</v>
      </c>
      <c r="J34" s="16"/>
      <c r="K34" s="33">
        <v>21</v>
      </c>
      <c r="L34" s="17" t="s">
        <v>358</v>
      </c>
    </row>
    <row r="35" spans="2:12" ht="43.2" x14ac:dyDescent="0.3">
      <c r="B35" s="14">
        <f t="shared" si="0"/>
        <v>30</v>
      </c>
      <c r="C35" s="11"/>
      <c r="D35" s="20"/>
      <c r="E35" s="11"/>
      <c r="F35" s="15" t="s">
        <v>115</v>
      </c>
      <c r="G35" s="15" t="s">
        <v>116</v>
      </c>
      <c r="H35" s="24" t="s">
        <v>90</v>
      </c>
      <c r="I35" s="22">
        <v>3</v>
      </c>
      <c r="J35" s="16"/>
      <c r="K35" s="33">
        <v>3</v>
      </c>
      <c r="L35" s="17" t="s">
        <v>358</v>
      </c>
    </row>
    <row r="36" spans="2:12" ht="30.75" customHeight="1" x14ac:dyDescent="0.3">
      <c r="B36" s="14">
        <f t="shared" si="0"/>
        <v>31</v>
      </c>
      <c r="C36" s="11"/>
      <c r="D36" s="20"/>
      <c r="E36" s="10" t="s">
        <v>117</v>
      </c>
      <c r="F36" s="15" t="s">
        <v>118</v>
      </c>
      <c r="G36" s="15" t="s">
        <v>119</v>
      </c>
      <c r="H36" s="24" t="s">
        <v>346</v>
      </c>
      <c r="I36" s="22" t="s">
        <v>60</v>
      </c>
      <c r="J36" s="16"/>
      <c r="K36" s="6" t="s">
        <v>31</v>
      </c>
      <c r="L36" s="17" t="s">
        <v>358</v>
      </c>
    </row>
    <row r="37" spans="2:12" ht="43.2" x14ac:dyDescent="0.3">
      <c r="B37" s="14">
        <f t="shared" si="0"/>
        <v>32</v>
      </c>
      <c r="C37" s="12"/>
      <c r="D37" s="21"/>
      <c r="E37" s="12"/>
      <c r="F37" s="15" t="s">
        <v>120</v>
      </c>
      <c r="G37" s="15" t="s">
        <v>121</v>
      </c>
      <c r="H37" s="24" t="s">
        <v>93</v>
      </c>
      <c r="I37" s="22" t="s">
        <v>31</v>
      </c>
      <c r="J37" s="16"/>
      <c r="K37" s="34" t="s">
        <v>31</v>
      </c>
      <c r="L37" s="17" t="s">
        <v>358</v>
      </c>
    </row>
    <row r="38" spans="2:12" ht="28.8" x14ac:dyDescent="0.3">
      <c r="B38" s="14">
        <f t="shared" si="0"/>
        <v>33</v>
      </c>
      <c r="C38" s="11" t="s">
        <v>122</v>
      </c>
      <c r="D38" s="20" t="s">
        <v>123</v>
      </c>
      <c r="E38" s="11" t="s">
        <v>124</v>
      </c>
      <c r="F38" s="15" t="s">
        <v>125</v>
      </c>
      <c r="G38" s="15" t="s">
        <v>126</v>
      </c>
      <c r="H38" s="24" t="s">
        <v>127</v>
      </c>
      <c r="I38" s="22" t="s">
        <v>85</v>
      </c>
      <c r="J38" s="16"/>
      <c r="K38" s="34" t="s">
        <v>362</v>
      </c>
      <c r="L38" s="17" t="s">
        <v>358</v>
      </c>
    </row>
    <row r="39" spans="2:12" ht="57.6" x14ac:dyDescent="0.3">
      <c r="B39" s="14">
        <f t="shared" si="0"/>
        <v>34</v>
      </c>
      <c r="C39" s="11"/>
      <c r="D39" s="20"/>
      <c r="E39" s="10" t="s">
        <v>128</v>
      </c>
      <c r="F39" s="15" t="s">
        <v>125</v>
      </c>
      <c r="G39" s="15" t="s">
        <v>136</v>
      </c>
      <c r="H39" s="24" t="s">
        <v>129</v>
      </c>
      <c r="I39" s="22" t="s">
        <v>85</v>
      </c>
      <c r="J39" s="16"/>
      <c r="K39" s="6" t="s">
        <v>362</v>
      </c>
      <c r="L39" s="17" t="s">
        <v>358</v>
      </c>
    </row>
    <row r="40" spans="2:12" ht="57.6" x14ac:dyDescent="0.3">
      <c r="B40" s="14">
        <f t="shared" si="0"/>
        <v>35</v>
      </c>
      <c r="C40" s="11"/>
      <c r="D40" s="20"/>
      <c r="E40" s="11"/>
      <c r="F40" s="15" t="s">
        <v>130</v>
      </c>
      <c r="G40" s="15" t="s">
        <v>228</v>
      </c>
      <c r="H40" s="24" t="s">
        <v>131</v>
      </c>
      <c r="I40" s="22" t="s">
        <v>132</v>
      </c>
      <c r="J40" s="16"/>
      <c r="K40" s="6" t="s">
        <v>363</v>
      </c>
      <c r="L40" s="17" t="s">
        <v>358</v>
      </c>
    </row>
    <row r="41" spans="2:12" ht="28.8" x14ac:dyDescent="0.3">
      <c r="B41" s="14">
        <f t="shared" si="0"/>
        <v>36</v>
      </c>
      <c r="C41" s="11"/>
      <c r="D41" s="20"/>
      <c r="E41" s="11"/>
      <c r="F41" s="15" t="s">
        <v>107</v>
      </c>
      <c r="G41" s="15" t="s">
        <v>229</v>
      </c>
      <c r="H41" s="24" t="s">
        <v>342</v>
      </c>
      <c r="I41" s="22" t="s">
        <v>60</v>
      </c>
      <c r="J41" s="16"/>
      <c r="K41" s="6" t="s">
        <v>31</v>
      </c>
      <c r="L41" s="17" t="s">
        <v>358</v>
      </c>
    </row>
    <row r="42" spans="2:12" ht="28.8" x14ac:dyDescent="0.3">
      <c r="B42" s="14">
        <f t="shared" si="0"/>
        <v>37</v>
      </c>
      <c r="C42" s="11"/>
      <c r="D42" s="20"/>
      <c r="E42" s="11"/>
      <c r="F42" s="15" t="s">
        <v>133</v>
      </c>
      <c r="G42" s="15" t="s">
        <v>230</v>
      </c>
      <c r="H42" s="24" t="s">
        <v>93</v>
      </c>
      <c r="I42" s="22" t="s">
        <v>264</v>
      </c>
      <c r="J42" s="16"/>
      <c r="K42" s="6" t="s">
        <v>364</v>
      </c>
      <c r="L42" s="17" t="s">
        <v>358</v>
      </c>
    </row>
    <row r="43" spans="2:12" ht="28.8" x14ac:dyDescent="0.3">
      <c r="B43" s="14">
        <f t="shared" si="0"/>
        <v>38</v>
      </c>
      <c r="C43" s="11"/>
      <c r="D43" s="20"/>
      <c r="E43" s="11"/>
      <c r="F43" s="15" t="s">
        <v>134</v>
      </c>
      <c r="G43" s="15" t="s">
        <v>231</v>
      </c>
      <c r="H43" s="24" t="s">
        <v>347</v>
      </c>
      <c r="I43" s="22" t="s">
        <v>31</v>
      </c>
      <c r="J43" s="16"/>
      <c r="K43" s="6" t="s">
        <v>31</v>
      </c>
      <c r="L43" s="17" t="s">
        <v>358</v>
      </c>
    </row>
    <row r="44" spans="2:12" ht="57.6" x14ac:dyDescent="0.3">
      <c r="B44" s="14">
        <f t="shared" si="0"/>
        <v>39</v>
      </c>
      <c r="C44" s="11"/>
      <c r="D44" s="20"/>
      <c r="E44" s="10" t="s">
        <v>135</v>
      </c>
      <c r="F44" s="15" t="s">
        <v>125</v>
      </c>
      <c r="G44" s="15" t="s">
        <v>232</v>
      </c>
      <c r="H44" s="24" t="s">
        <v>129</v>
      </c>
      <c r="I44" s="22" t="s">
        <v>85</v>
      </c>
      <c r="J44" s="16"/>
      <c r="K44" s="6" t="s">
        <v>362</v>
      </c>
      <c r="L44" s="17" t="s">
        <v>358</v>
      </c>
    </row>
    <row r="45" spans="2:12" ht="57.6" x14ac:dyDescent="0.3">
      <c r="B45" s="14">
        <f t="shared" si="0"/>
        <v>40</v>
      </c>
      <c r="C45" s="11"/>
      <c r="D45" s="20"/>
      <c r="E45" s="11"/>
      <c r="F45" s="15" t="s">
        <v>130</v>
      </c>
      <c r="G45" s="15" t="s">
        <v>233</v>
      </c>
      <c r="H45" s="24" t="s">
        <v>131</v>
      </c>
      <c r="I45" s="22" t="s">
        <v>132</v>
      </c>
      <c r="J45" s="16"/>
      <c r="K45" s="6" t="s">
        <v>363</v>
      </c>
      <c r="L45" s="17" t="s">
        <v>358</v>
      </c>
    </row>
    <row r="46" spans="2:12" ht="28.8" x14ac:dyDescent="0.3">
      <c r="B46" s="14">
        <f t="shared" si="0"/>
        <v>41</v>
      </c>
      <c r="C46" s="11"/>
      <c r="D46" s="20"/>
      <c r="E46" s="11"/>
      <c r="F46" s="15" t="s">
        <v>107</v>
      </c>
      <c r="G46" s="15"/>
      <c r="H46" s="24" t="s">
        <v>342</v>
      </c>
      <c r="I46" s="22" t="s">
        <v>60</v>
      </c>
      <c r="J46" s="16"/>
      <c r="K46" s="6" t="s">
        <v>31</v>
      </c>
      <c r="L46" s="17" t="s">
        <v>358</v>
      </c>
    </row>
    <row r="47" spans="2:12" ht="28.8" x14ac:dyDescent="0.3">
      <c r="B47" s="14">
        <f t="shared" si="0"/>
        <v>42</v>
      </c>
      <c r="C47" s="11"/>
      <c r="D47" s="20"/>
      <c r="E47" s="11"/>
      <c r="F47" s="15" t="s">
        <v>133</v>
      </c>
      <c r="G47" s="15" t="s">
        <v>136</v>
      </c>
      <c r="H47" s="24" t="s">
        <v>93</v>
      </c>
      <c r="I47" s="22" t="s">
        <v>265</v>
      </c>
      <c r="J47" s="16"/>
      <c r="K47" s="6" t="s">
        <v>365</v>
      </c>
      <c r="L47" s="17" t="s">
        <v>358</v>
      </c>
    </row>
    <row r="48" spans="2:12" ht="28.8" x14ac:dyDescent="0.3">
      <c r="B48" s="14">
        <f t="shared" si="0"/>
        <v>43</v>
      </c>
      <c r="C48" s="11"/>
      <c r="D48" s="20"/>
      <c r="E48" s="11"/>
      <c r="F48" s="15" t="s">
        <v>134</v>
      </c>
      <c r="G48" s="15" t="s">
        <v>136</v>
      </c>
      <c r="H48" s="24" t="s">
        <v>347</v>
      </c>
      <c r="I48" s="22" t="s">
        <v>31</v>
      </c>
      <c r="J48" s="16"/>
      <c r="K48" s="6" t="s">
        <v>31</v>
      </c>
      <c r="L48" s="17" t="s">
        <v>358</v>
      </c>
    </row>
    <row r="49" spans="2:12" ht="57.6" x14ac:dyDescent="0.3">
      <c r="B49" s="14">
        <f t="shared" si="0"/>
        <v>44</v>
      </c>
      <c r="C49" s="11"/>
      <c r="D49" s="20"/>
      <c r="E49" s="10" t="s">
        <v>137</v>
      </c>
      <c r="F49" s="15" t="s">
        <v>125</v>
      </c>
      <c r="G49" s="15" t="s">
        <v>234</v>
      </c>
      <c r="H49" s="24" t="s">
        <v>129</v>
      </c>
      <c r="I49" s="22" t="s">
        <v>85</v>
      </c>
      <c r="J49" s="16"/>
      <c r="K49" s="6" t="s">
        <v>362</v>
      </c>
      <c r="L49" s="17" t="s">
        <v>358</v>
      </c>
    </row>
    <row r="50" spans="2:12" ht="57.6" x14ac:dyDescent="0.3">
      <c r="B50" s="14">
        <f t="shared" si="0"/>
        <v>45</v>
      </c>
      <c r="C50" s="11"/>
      <c r="D50" s="20"/>
      <c r="E50" s="11"/>
      <c r="F50" s="15" t="s">
        <v>130</v>
      </c>
      <c r="G50" s="15" t="s">
        <v>235</v>
      </c>
      <c r="H50" s="24" t="s">
        <v>131</v>
      </c>
      <c r="I50" s="22" t="s">
        <v>138</v>
      </c>
      <c r="J50" s="16"/>
      <c r="K50" s="6" t="s">
        <v>138</v>
      </c>
      <c r="L50" s="17" t="s">
        <v>358</v>
      </c>
    </row>
    <row r="51" spans="2:12" ht="28.8" x14ac:dyDescent="0.3">
      <c r="B51" s="14">
        <f t="shared" si="0"/>
        <v>46</v>
      </c>
      <c r="C51" s="11"/>
      <c r="D51" s="20"/>
      <c r="E51" s="11"/>
      <c r="F51" s="15" t="s">
        <v>107</v>
      </c>
      <c r="G51" s="15" t="s">
        <v>236</v>
      </c>
      <c r="H51" s="24" t="s">
        <v>342</v>
      </c>
      <c r="I51" s="22" t="s">
        <v>60</v>
      </c>
      <c r="J51" s="16"/>
      <c r="K51" s="6" t="s">
        <v>31</v>
      </c>
      <c r="L51" s="17" t="s">
        <v>358</v>
      </c>
    </row>
    <row r="52" spans="2:12" ht="23.25" customHeight="1" x14ac:dyDescent="0.3">
      <c r="B52" s="14">
        <f t="shared" si="0"/>
        <v>47</v>
      </c>
      <c r="C52" s="11"/>
      <c r="D52" s="20"/>
      <c r="E52" s="11"/>
      <c r="F52" s="15" t="s">
        <v>133</v>
      </c>
      <c r="G52" s="15" t="s">
        <v>237</v>
      </c>
      <c r="H52" s="24" t="s">
        <v>93</v>
      </c>
      <c r="I52" s="22" t="s">
        <v>31</v>
      </c>
      <c r="J52" s="16"/>
      <c r="K52" s="6" t="s">
        <v>31</v>
      </c>
      <c r="L52" s="17" t="s">
        <v>358</v>
      </c>
    </row>
    <row r="53" spans="2:12" ht="28.8" x14ac:dyDescent="0.3">
      <c r="B53" s="14">
        <f t="shared" si="0"/>
        <v>48</v>
      </c>
      <c r="C53" s="11"/>
      <c r="D53" s="20"/>
      <c r="E53" s="11"/>
      <c r="F53" s="15" t="s">
        <v>134</v>
      </c>
      <c r="G53" s="15" t="s">
        <v>238</v>
      </c>
      <c r="H53" s="24" t="s">
        <v>347</v>
      </c>
      <c r="I53" s="22" t="s">
        <v>31</v>
      </c>
      <c r="J53" s="16"/>
      <c r="K53" s="6" t="s">
        <v>31</v>
      </c>
      <c r="L53" s="17" t="s">
        <v>358</v>
      </c>
    </row>
    <row r="54" spans="2:12" ht="57.6" x14ac:dyDescent="0.3">
      <c r="B54" s="14">
        <f t="shared" si="0"/>
        <v>49</v>
      </c>
      <c r="C54" s="11"/>
      <c r="D54" s="20"/>
      <c r="E54" s="10" t="s">
        <v>139</v>
      </c>
      <c r="F54" s="15" t="s">
        <v>125</v>
      </c>
      <c r="G54" s="15" t="s">
        <v>239</v>
      </c>
      <c r="H54" s="24" t="s">
        <v>129</v>
      </c>
      <c r="I54" s="22" t="s">
        <v>85</v>
      </c>
      <c r="J54" s="16"/>
      <c r="K54" s="6" t="s">
        <v>362</v>
      </c>
      <c r="L54" s="17" t="s">
        <v>358</v>
      </c>
    </row>
    <row r="55" spans="2:12" ht="57.6" x14ac:dyDescent="0.3">
      <c r="B55" s="14">
        <f t="shared" si="0"/>
        <v>50</v>
      </c>
      <c r="C55" s="11"/>
      <c r="D55" s="20"/>
      <c r="E55" s="11"/>
      <c r="F55" s="15" t="s">
        <v>130</v>
      </c>
      <c r="G55" s="15" t="s">
        <v>240</v>
      </c>
      <c r="H55" s="24" t="s">
        <v>131</v>
      </c>
      <c r="I55" s="22" t="s">
        <v>138</v>
      </c>
      <c r="J55" s="16"/>
      <c r="K55" s="6" t="s">
        <v>138</v>
      </c>
      <c r="L55" s="17" t="s">
        <v>358</v>
      </c>
    </row>
    <row r="56" spans="2:12" ht="28.8" x14ac:dyDescent="0.3">
      <c r="B56" s="14">
        <f t="shared" si="0"/>
        <v>51</v>
      </c>
      <c r="C56" s="11"/>
      <c r="D56" s="20"/>
      <c r="E56" s="11"/>
      <c r="F56" s="15" t="s">
        <v>107</v>
      </c>
      <c r="G56" s="15" t="s">
        <v>241</v>
      </c>
      <c r="H56" s="24" t="s">
        <v>342</v>
      </c>
      <c r="I56" s="22" t="s">
        <v>60</v>
      </c>
      <c r="J56" s="16"/>
      <c r="K56" s="6" t="s">
        <v>31</v>
      </c>
      <c r="L56" s="17" t="s">
        <v>358</v>
      </c>
    </row>
    <row r="57" spans="2:12" ht="28.8" x14ac:dyDescent="0.3">
      <c r="B57" s="14">
        <f t="shared" si="0"/>
        <v>52</v>
      </c>
      <c r="C57" s="11"/>
      <c r="D57" s="20"/>
      <c r="E57" s="51"/>
      <c r="F57" s="15" t="s">
        <v>140</v>
      </c>
      <c r="G57" s="15" t="s">
        <v>242</v>
      </c>
      <c r="H57" s="24" t="s">
        <v>93</v>
      </c>
      <c r="I57" s="22" t="s">
        <v>266</v>
      </c>
      <c r="J57" s="16"/>
      <c r="K57" s="6" t="s">
        <v>366</v>
      </c>
      <c r="L57" s="17" t="s">
        <v>358</v>
      </c>
    </row>
    <row r="58" spans="2:12" ht="28.8" x14ac:dyDescent="0.3">
      <c r="B58" s="14">
        <f t="shared" si="0"/>
        <v>53</v>
      </c>
      <c r="C58" s="11"/>
      <c r="D58" s="20"/>
      <c r="E58" s="12"/>
      <c r="F58" s="15" t="s">
        <v>134</v>
      </c>
      <c r="G58" s="15" t="s">
        <v>243</v>
      </c>
      <c r="H58" s="24" t="s">
        <v>347</v>
      </c>
      <c r="I58" s="22" t="s">
        <v>31</v>
      </c>
      <c r="J58" s="16"/>
      <c r="K58" s="6" t="s">
        <v>31</v>
      </c>
      <c r="L58" s="17" t="s">
        <v>358</v>
      </c>
    </row>
    <row r="59" spans="2:12" ht="57.6" x14ac:dyDescent="0.3">
      <c r="B59" s="14">
        <f t="shared" si="0"/>
        <v>54</v>
      </c>
      <c r="C59" s="11"/>
      <c r="D59" s="20"/>
      <c r="E59" s="11" t="s">
        <v>141</v>
      </c>
      <c r="F59" s="15" t="s">
        <v>125</v>
      </c>
      <c r="G59" s="15" t="s">
        <v>244</v>
      </c>
      <c r="H59" s="24" t="s">
        <v>129</v>
      </c>
      <c r="I59" s="22" t="s">
        <v>85</v>
      </c>
      <c r="J59" s="16"/>
      <c r="K59" s="6" t="s">
        <v>362</v>
      </c>
      <c r="L59" s="17" t="s">
        <v>358</v>
      </c>
    </row>
    <row r="60" spans="2:12" ht="57.6" x14ac:dyDescent="0.3">
      <c r="B60" s="14">
        <f t="shared" si="0"/>
        <v>55</v>
      </c>
      <c r="C60" s="11"/>
      <c r="D60" s="20"/>
      <c r="E60" s="11"/>
      <c r="F60" s="15" t="s">
        <v>130</v>
      </c>
      <c r="G60" s="15" t="s">
        <v>245</v>
      </c>
      <c r="H60" s="24" t="s">
        <v>131</v>
      </c>
      <c r="I60" s="22" t="s">
        <v>138</v>
      </c>
      <c r="J60" s="16"/>
      <c r="K60" s="6" t="s">
        <v>138</v>
      </c>
      <c r="L60" s="17" t="s">
        <v>358</v>
      </c>
    </row>
    <row r="61" spans="2:12" ht="28.8" x14ac:dyDescent="0.3">
      <c r="B61" s="14">
        <f t="shared" si="0"/>
        <v>56</v>
      </c>
      <c r="C61" s="11"/>
      <c r="D61" s="20"/>
      <c r="E61" s="11"/>
      <c r="F61" s="15" t="s">
        <v>107</v>
      </c>
      <c r="G61" s="15" t="s">
        <v>246</v>
      </c>
      <c r="H61" s="24" t="s">
        <v>342</v>
      </c>
      <c r="I61" s="22" t="s">
        <v>60</v>
      </c>
      <c r="J61" s="16"/>
      <c r="K61" s="6" t="s">
        <v>31</v>
      </c>
      <c r="L61" s="17" t="s">
        <v>358</v>
      </c>
    </row>
    <row r="62" spans="2:12" ht="30.75" customHeight="1" x14ac:dyDescent="0.3">
      <c r="B62" s="14">
        <f t="shared" si="0"/>
        <v>57</v>
      </c>
      <c r="C62" s="11"/>
      <c r="D62" s="20"/>
      <c r="E62" s="11"/>
      <c r="F62" s="15" t="s">
        <v>133</v>
      </c>
      <c r="G62" s="15" t="s">
        <v>247</v>
      </c>
      <c r="H62" s="24" t="s">
        <v>93</v>
      </c>
      <c r="I62" s="22" t="s">
        <v>267</v>
      </c>
      <c r="J62" s="16"/>
      <c r="K62" s="6" t="s">
        <v>367</v>
      </c>
      <c r="L62" s="17" t="s">
        <v>358</v>
      </c>
    </row>
    <row r="63" spans="2:12" ht="28.8" x14ac:dyDescent="0.3">
      <c r="B63" s="14">
        <f t="shared" si="0"/>
        <v>58</v>
      </c>
      <c r="C63" s="11"/>
      <c r="D63" s="20"/>
      <c r="E63" s="12"/>
      <c r="F63" s="15" t="s">
        <v>134</v>
      </c>
      <c r="G63" s="15" t="s">
        <v>248</v>
      </c>
      <c r="H63" s="24" t="s">
        <v>347</v>
      </c>
      <c r="I63" s="22" t="s">
        <v>31</v>
      </c>
      <c r="J63" s="16"/>
      <c r="K63" s="6" t="s">
        <v>31</v>
      </c>
      <c r="L63" s="17" t="s">
        <v>358</v>
      </c>
    </row>
    <row r="64" spans="2:12" ht="57.6" x14ac:dyDescent="0.3">
      <c r="B64" s="14">
        <f t="shared" si="0"/>
        <v>59</v>
      </c>
      <c r="C64" s="11"/>
      <c r="D64" s="20"/>
      <c r="E64" s="11" t="s">
        <v>142</v>
      </c>
      <c r="F64" s="15" t="s">
        <v>125</v>
      </c>
      <c r="G64" s="15" t="s">
        <v>249</v>
      </c>
      <c r="H64" s="24" t="s">
        <v>129</v>
      </c>
      <c r="I64" s="22" t="s">
        <v>85</v>
      </c>
      <c r="J64" s="16"/>
      <c r="K64" s="6" t="s">
        <v>362</v>
      </c>
      <c r="L64" s="17" t="s">
        <v>358</v>
      </c>
    </row>
    <row r="65" spans="2:12" ht="57.6" x14ac:dyDescent="0.3">
      <c r="B65" s="14">
        <f t="shared" si="0"/>
        <v>60</v>
      </c>
      <c r="C65" s="11"/>
      <c r="D65" s="20"/>
      <c r="E65" s="11"/>
      <c r="F65" s="15" t="s">
        <v>130</v>
      </c>
      <c r="G65" s="15" t="s">
        <v>250</v>
      </c>
      <c r="H65" s="24" t="s">
        <v>131</v>
      </c>
      <c r="I65" s="22" t="s">
        <v>138</v>
      </c>
      <c r="J65" s="16"/>
      <c r="K65" s="6" t="s">
        <v>138</v>
      </c>
      <c r="L65" s="17" t="s">
        <v>358</v>
      </c>
    </row>
    <row r="66" spans="2:12" ht="28.8" x14ac:dyDescent="0.3">
      <c r="B66" s="14">
        <f t="shared" si="0"/>
        <v>61</v>
      </c>
      <c r="C66" s="11"/>
      <c r="D66" s="20"/>
      <c r="E66" s="11"/>
      <c r="F66" s="15" t="s">
        <v>107</v>
      </c>
      <c r="G66" s="15" t="s">
        <v>251</v>
      </c>
      <c r="H66" s="24" t="s">
        <v>342</v>
      </c>
      <c r="I66" s="22" t="s">
        <v>60</v>
      </c>
      <c r="J66" s="16"/>
      <c r="K66" s="6" t="s">
        <v>31</v>
      </c>
      <c r="L66" s="17" t="s">
        <v>358</v>
      </c>
    </row>
    <row r="67" spans="2:12" ht="28.8" x14ac:dyDescent="0.3">
      <c r="B67" s="14">
        <f t="shared" si="0"/>
        <v>62</v>
      </c>
      <c r="C67" s="11"/>
      <c r="D67" s="20"/>
      <c r="E67" s="51"/>
      <c r="F67" s="15" t="s">
        <v>133</v>
      </c>
      <c r="G67" s="15" t="s">
        <v>252</v>
      </c>
      <c r="H67" s="24" t="s">
        <v>93</v>
      </c>
      <c r="I67" s="22" t="s">
        <v>31</v>
      </c>
      <c r="J67" s="16"/>
      <c r="K67" s="6" t="s">
        <v>31</v>
      </c>
      <c r="L67" s="17" t="s">
        <v>358</v>
      </c>
    </row>
    <row r="68" spans="2:12" ht="28.8" x14ac:dyDescent="0.3">
      <c r="B68" s="14">
        <f t="shared" si="0"/>
        <v>63</v>
      </c>
      <c r="C68" s="11"/>
      <c r="D68" s="20"/>
      <c r="E68" s="12"/>
      <c r="F68" s="15" t="s">
        <v>134</v>
      </c>
      <c r="G68" s="15" t="s">
        <v>253</v>
      </c>
      <c r="H68" s="24" t="s">
        <v>347</v>
      </c>
      <c r="I68" s="22" t="s">
        <v>31</v>
      </c>
      <c r="J68" s="16"/>
      <c r="K68" s="6" t="s">
        <v>31</v>
      </c>
      <c r="L68" s="17" t="s">
        <v>358</v>
      </c>
    </row>
    <row r="69" spans="2:12" ht="57.6" x14ac:dyDescent="0.3">
      <c r="B69" s="14">
        <f t="shared" si="0"/>
        <v>64</v>
      </c>
      <c r="C69" s="11"/>
      <c r="D69" s="20"/>
      <c r="E69" s="10" t="s">
        <v>143</v>
      </c>
      <c r="F69" s="15" t="s">
        <v>144</v>
      </c>
      <c r="G69" s="15" t="s">
        <v>254</v>
      </c>
      <c r="H69" s="24" t="s">
        <v>129</v>
      </c>
      <c r="I69" s="22" t="s">
        <v>85</v>
      </c>
      <c r="J69" s="16"/>
      <c r="K69" s="6" t="s">
        <v>362</v>
      </c>
      <c r="L69" s="17" t="s">
        <v>358</v>
      </c>
    </row>
    <row r="70" spans="2:12" ht="57.6" x14ac:dyDescent="0.3">
      <c r="B70" s="14">
        <f t="shared" si="0"/>
        <v>65</v>
      </c>
      <c r="C70" s="11"/>
      <c r="D70" s="20"/>
      <c r="E70" s="11"/>
      <c r="F70" s="15" t="s">
        <v>145</v>
      </c>
      <c r="G70" s="15" t="s">
        <v>255</v>
      </c>
      <c r="H70" s="24" t="s">
        <v>131</v>
      </c>
      <c r="I70" s="22" t="s">
        <v>138</v>
      </c>
      <c r="J70" s="16"/>
      <c r="K70" s="6" t="s">
        <v>138</v>
      </c>
      <c r="L70" s="17" t="s">
        <v>358</v>
      </c>
    </row>
    <row r="71" spans="2:12" ht="28.8" x14ac:dyDescent="0.3">
      <c r="B71" s="14">
        <f t="shared" si="0"/>
        <v>66</v>
      </c>
      <c r="C71" s="11"/>
      <c r="D71" s="20"/>
      <c r="E71" s="11"/>
      <c r="F71" s="15" t="s">
        <v>146</v>
      </c>
      <c r="G71" s="15" t="s">
        <v>256</v>
      </c>
      <c r="H71" s="24" t="s">
        <v>342</v>
      </c>
      <c r="I71" s="22" t="s">
        <v>60</v>
      </c>
      <c r="J71" s="16"/>
      <c r="K71" s="6" t="s">
        <v>31</v>
      </c>
      <c r="L71" s="17" t="s">
        <v>358</v>
      </c>
    </row>
    <row r="72" spans="2:12" ht="28.8" x14ac:dyDescent="0.3">
      <c r="B72" s="14">
        <f t="shared" ref="B72:B101" si="1">ROW() - 5</f>
        <v>67</v>
      </c>
      <c r="C72" s="11"/>
      <c r="D72" s="20"/>
      <c r="E72" s="11"/>
      <c r="F72" s="15" t="s">
        <v>147</v>
      </c>
      <c r="G72" s="15" t="s">
        <v>257</v>
      </c>
      <c r="H72" s="24" t="s">
        <v>93</v>
      </c>
      <c r="I72" s="22" t="s">
        <v>31</v>
      </c>
      <c r="J72" s="16"/>
      <c r="K72" s="6" t="s">
        <v>31</v>
      </c>
      <c r="L72" s="17" t="s">
        <v>358</v>
      </c>
    </row>
    <row r="73" spans="2:12" ht="28.8" x14ac:dyDescent="0.3">
      <c r="B73" s="14">
        <f t="shared" si="1"/>
        <v>68</v>
      </c>
      <c r="C73" s="11"/>
      <c r="D73" s="20"/>
      <c r="E73" s="11"/>
      <c r="F73" s="15" t="s">
        <v>148</v>
      </c>
      <c r="G73" s="15" t="s">
        <v>258</v>
      </c>
      <c r="H73" s="24" t="s">
        <v>347</v>
      </c>
      <c r="I73" s="22" t="s">
        <v>31</v>
      </c>
      <c r="J73" s="16"/>
      <c r="K73" s="6" t="s">
        <v>31</v>
      </c>
      <c r="L73" s="17" t="s">
        <v>358</v>
      </c>
    </row>
    <row r="74" spans="2:12" ht="57.6" x14ac:dyDescent="0.3">
      <c r="B74" s="14">
        <f t="shared" si="1"/>
        <v>69</v>
      </c>
      <c r="C74" s="11"/>
      <c r="D74" s="20"/>
      <c r="E74" s="10" t="s">
        <v>149</v>
      </c>
      <c r="F74" s="15" t="s">
        <v>150</v>
      </c>
      <c r="G74" s="15" t="s">
        <v>259</v>
      </c>
      <c r="H74" s="24" t="s">
        <v>129</v>
      </c>
      <c r="I74" s="22" t="s">
        <v>85</v>
      </c>
      <c r="J74" s="16"/>
      <c r="K74" s="6" t="s">
        <v>362</v>
      </c>
      <c r="L74" s="17" t="s">
        <v>358</v>
      </c>
    </row>
    <row r="75" spans="2:12" ht="57.6" x14ac:dyDescent="0.3">
      <c r="B75" s="14">
        <f t="shared" si="1"/>
        <v>70</v>
      </c>
      <c r="C75" s="11"/>
      <c r="D75" s="20"/>
      <c r="E75" s="11"/>
      <c r="F75" s="15" t="s">
        <v>151</v>
      </c>
      <c r="G75" s="15" t="s">
        <v>260</v>
      </c>
      <c r="H75" s="24" t="s">
        <v>131</v>
      </c>
      <c r="I75" s="22" t="s">
        <v>138</v>
      </c>
      <c r="J75" s="16"/>
      <c r="K75" s="6" t="s">
        <v>138</v>
      </c>
      <c r="L75" s="17" t="s">
        <v>358</v>
      </c>
    </row>
    <row r="76" spans="2:12" ht="28.8" x14ac:dyDescent="0.3">
      <c r="B76" s="14">
        <f t="shared" si="1"/>
        <v>71</v>
      </c>
      <c r="C76" s="11"/>
      <c r="D76" s="20"/>
      <c r="E76" s="11"/>
      <c r="F76" s="15" t="s">
        <v>152</v>
      </c>
      <c r="G76" s="15" t="s">
        <v>261</v>
      </c>
      <c r="H76" s="24" t="s">
        <v>342</v>
      </c>
      <c r="I76" s="22" t="s">
        <v>60</v>
      </c>
      <c r="J76" s="16"/>
      <c r="K76" s="6" t="s">
        <v>31</v>
      </c>
      <c r="L76" s="17" t="s">
        <v>358</v>
      </c>
    </row>
    <row r="77" spans="2:12" ht="28.8" x14ac:dyDescent="0.3">
      <c r="B77" s="14">
        <f t="shared" si="1"/>
        <v>72</v>
      </c>
      <c r="C77" s="11"/>
      <c r="D77" s="20"/>
      <c r="E77" s="11"/>
      <c r="F77" s="15" t="s">
        <v>153</v>
      </c>
      <c r="G77" s="15" t="s">
        <v>262</v>
      </c>
      <c r="H77" s="24" t="s">
        <v>93</v>
      </c>
      <c r="I77" s="22" t="s">
        <v>31</v>
      </c>
      <c r="J77" s="16"/>
      <c r="K77" s="6" t="s">
        <v>31</v>
      </c>
      <c r="L77" s="17" t="s">
        <v>358</v>
      </c>
    </row>
    <row r="78" spans="2:12" ht="28.8" x14ac:dyDescent="0.3">
      <c r="B78" s="14">
        <f t="shared" si="1"/>
        <v>73</v>
      </c>
      <c r="C78" s="11"/>
      <c r="D78" s="20"/>
      <c r="E78" s="11"/>
      <c r="F78" s="15" t="s">
        <v>154</v>
      </c>
      <c r="G78" s="15" t="s">
        <v>263</v>
      </c>
      <c r="H78" s="24" t="s">
        <v>347</v>
      </c>
      <c r="I78" s="22" t="s">
        <v>31</v>
      </c>
      <c r="J78" s="16"/>
      <c r="K78" s="6" t="s">
        <v>31</v>
      </c>
      <c r="L78" s="17" t="s">
        <v>358</v>
      </c>
    </row>
    <row r="79" spans="2:12" ht="28.8" x14ac:dyDescent="0.3">
      <c r="B79" s="14">
        <f t="shared" si="1"/>
        <v>74</v>
      </c>
      <c r="C79" s="10" t="s">
        <v>155</v>
      </c>
      <c r="D79" s="29" t="s">
        <v>156</v>
      </c>
      <c r="E79" s="10" t="s">
        <v>157</v>
      </c>
      <c r="F79" s="15" t="s">
        <v>158</v>
      </c>
      <c r="G79" s="15" t="s">
        <v>268</v>
      </c>
      <c r="H79" s="24" t="s">
        <v>39</v>
      </c>
      <c r="I79" s="22" t="s">
        <v>40</v>
      </c>
      <c r="J79" s="16"/>
      <c r="K79" s="6" t="s">
        <v>357</v>
      </c>
      <c r="L79" s="17" t="s">
        <v>358</v>
      </c>
    </row>
    <row r="80" spans="2:12" ht="28.8" x14ac:dyDescent="0.3">
      <c r="B80" s="14">
        <f t="shared" si="1"/>
        <v>75</v>
      </c>
      <c r="C80" s="11"/>
      <c r="D80" s="20"/>
      <c r="E80" s="11"/>
      <c r="F80" s="15" t="s">
        <v>159</v>
      </c>
      <c r="G80" s="15" t="s">
        <v>269</v>
      </c>
      <c r="H80" s="24" t="s">
        <v>39</v>
      </c>
      <c r="I80" s="22" t="s">
        <v>40</v>
      </c>
      <c r="J80" s="16"/>
      <c r="K80" s="6" t="s">
        <v>357</v>
      </c>
      <c r="L80" s="17" t="s">
        <v>358</v>
      </c>
    </row>
    <row r="81" spans="2:12" ht="28.8" x14ac:dyDescent="0.3">
      <c r="B81" s="14">
        <f t="shared" si="1"/>
        <v>76</v>
      </c>
      <c r="C81" s="11"/>
      <c r="D81" s="20"/>
      <c r="E81" s="11"/>
      <c r="F81" s="15" t="s">
        <v>160</v>
      </c>
      <c r="G81" s="15" t="s">
        <v>270</v>
      </c>
      <c r="H81" s="24" t="s">
        <v>39</v>
      </c>
      <c r="I81" s="22" t="s">
        <v>40</v>
      </c>
      <c r="J81" s="16"/>
      <c r="K81" s="6" t="s">
        <v>357</v>
      </c>
      <c r="L81" s="17" t="s">
        <v>358</v>
      </c>
    </row>
    <row r="82" spans="2:12" ht="28.8" x14ac:dyDescent="0.3">
      <c r="B82" s="14">
        <f t="shared" si="1"/>
        <v>77</v>
      </c>
      <c r="C82" s="11"/>
      <c r="D82" s="20"/>
      <c r="E82" s="11"/>
      <c r="F82" s="15" t="s">
        <v>161</v>
      </c>
      <c r="G82" s="15" t="s">
        <v>271</v>
      </c>
      <c r="H82" s="24" t="s">
        <v>39</v>
      </c>
      <c r="I82" s="22" t="s">
        <v>40</v>
      </c>
      <c r="J82" s="16"/>
      <c r="K82" s="6" t="s">
        <v>357</v>
      </c>
      <c r="L82" s="17" t="s">
        <v>358</v>
      </c>
    </row>
    <row r="83" spans="2:12" ht="28.8" x14ac:dyDescent="0.3">
      <c r="B83" s="14">
        <f t="shared" si="1"/>
        <v>78</v>
      </c>
      <c r="C83" s="11"/>
      <c r="D83" s="20"/>
      <c r="E83" s="11"/>
      <c r="F83" s="15" t="s">
        <v>162</v>
      </c>
      <c r="G83" s="15" t="s">
        <v>272</v>
      </c>
      <c r="H83" s="24" t="s">
        <v>39</v>
      </c>
      <c r="I83" s="22" t="s">
        <v>40</v>
      </c>
      <c r="J83" s="16"/>
      <c r="K83" s="6" t="s">
        <v>357</v>
      </c>
      <c r="L83" s="17" t="s">
        <v>358</v>
      </c>
    </row>
    <row r="84" spans="2:12" ht="28.8" x14ac:dyDescent="0.3">
      <c r="B84" s="14">
        <f t="shared" si="1"/>
        <v>79</v>
      </c>
      <c r="C84" s="11"/>
      <c r="D84" s="20"/>
      <c r="E84" s="11"/>
      <c r="F84" s="15" t="s">
        <v>163</v>
      </c>
      <c r="G84" s="15" t="s">
        <v>273</v>
      </c>
      <c r="H84" s="24" t="s">
        <v>39</v>
      </c>
      <c r="I84" s="22" t="s">
        <v>40</v>
      </c>
      <c r="J84" s="16"/>
      <c r="K84" s="6" t="s">
        <v>357</v>
      </c>
      <c r="L84" s="17" t="s">
        <v>358</v>
      </c>
    </row>
    <row r="85" spans="2:12" ht="28.8" x14ac:dyDescent="0.3">
      <c r="B85" s="14">
        <f t="shared" si="1"/>
        <v>80</v>
      </c>
      <c r="C85" s="11"/>
      <c r="D85" s="20"/>
      <c r="E85" s="11"/>
      <c r="F85" s="15" t="s">
        <v>164</v>
      </c>
      <c r="G85" s="15" t="s">
        <v>274</v>
      </c>
      <c r="H85" s="24" t="s">
        <v>39</v>
      </c>
      <c r="I85" s="22" t="s">
        <v>40</v>
      </c>
      <c r="J85" s="16"/>
      <c r="K85" s="6" t="s">
        <v>357</v>
      </c>
      <c r="L85" s="17" t="s">
        <v>358</v>
      </c>
    </row>
    <row r="86" spans="2:12" ht="28.8" x14ac:dyDescent="0.3">
      <c r="B86" s="14">
        <f t="shared" si="1"/>
        <v>81</v>
      </c>
      <c r="C86" s="11"/>
      <c r="D86" s="20"/>
      <c r="E86" s="11"/>
      <c r="F86" s="15" t="s">
        <v>165</v>
      </c>
      <c r="G86" s="15" t="s">
        <v>275</v>
      </c>
      <c r="H86" s="24" t="s">
        <v>39</v>
      </c>
      <c r="I86" s="22" t="s">
        <v>40</v>
      </c>
      <c r="J86" s="16"/>
      <c r="K86" s="6" t="s">
        <v>357</v>
      </c>
      <c r="L86" s="17" t="s">
        <v>358</v>
      </c>
    </row>
    <row r="87" spans="2:12" ht="28.8" x14ac:dyDescent="0.3">
      <c r="B87" s="14">
        <f t="shared" si="1"/>
        <v>82</v>
      </c>
      <c r="C87" s="11"/>
      <c r="D87" s="20"/>
      <c r="E87" s="11"/>
      <c r="F87" s="15" t="s">
        <v>166</v>
      </c>
      <c r="G87" s="15" t="s">
        <v>276</v>
      </c>
      <c r="H87" s="24" t="s">
        <v>39</v>
      </c>
      <c r="I87" s="22" t="s">
        <v>40</v>
      </c>
      <c r="J87" s="16"/>
      <c r="K87" s="6" t="s">
        <v>357</v>
      </c>
      <c r="L87" s="17" t="s">
        <v>358</v>
      </c>
    </row>
    <row r="88" spans="2:12" ht="28.8" x14ac:dyDescent="0.3">
      <c r="B88" s="14">
        <f t="shared" si="1"/>
        <v>83</v>
      </c>
      <c r="C88" s="11"/>
      <c r="D88" s="20"/>
      <c r="E88" s="11"/>
      <c r="F88" s="15" t="s">
        <v>167</v>
      </c>
      <c r="G88" s="15" t="s">
        <v>277</v>
      </c>
      <c r="H88" s="24" t="s">
        <v>39</v>
      </c>
      <c r="I88" s="22" t="s">
        <v>40</v>
      </c>
      <c r="J88" s="16"/>
      <c r="K88" s="6" t="s">
        <v>357</v>
      </c>
      <c r="L88" s="17" t="s">
        <v>358</v>
      </c>
    </row>
    <row r="89" spans="2:12" ht="28.8" x14ac:dyDescent="0.3">
      <c r="B89" s="14">
        <f t="shared" si="1"/>
        <v>84</v>
      </c>
      <c r="C89" s="11"/>
      <c r="D89" s="20"/>
      <c r="E89" s="11"/>
      <c r="F89" s="15" t="s">
        <v>168</v>
      </c>
      <c r="G89" s="15" t="s">
        <v>278</v>
      </c>
      <c r="H89" s="24" t="s">
        <v>39</v>
      </c>
      <c r="I89" s="22" t="s">
        <v>40</v>
      </c>
      <c r="J89" s="16"/>
      <c r="K89" s="6" t="s">
        <v>357</v>
      </c>
      <c r="L89" s="17" t="s">
        <v>358</v>
      </c>
    </row>
    <row r="90" spans="2:12" ht="28.8" x14ac:dyDescent="0.3">
      <c r="B90" s="14">
        <f t="shared" si="1"/>
        <v>85</v>
      </c>
      <c r="C90" s="11"/>
      <c r="D90" s="20"/>
      <c r="E90" s="11"/>
      <c r="F90" s="15" t="s">
        <v>169</v>
      </c>
      <c r="G90" s="15" t="s">
        <v>279</v>
      </c>
      <c r="H90" s="24" t="s">
        <v>39</v>
      </c>
      <c r="I90" s="22" t="s">
        <v>40</v>
      </c>
      <c r="J90" s="16"/>
      <c r="K90" s="6" t="s">
        <v>357</v>
      </c>
      <c r="L90" s="17" t="s">
        <v>358</v>
      </c>
    </row>
    <row r="91" spans="2:12" ht="28.8" x14ac:dyDescent="0.3">
      <c r="B91" s="14">
        <f t="shared" si="1"/>
        <v>86</v>
      </c>
      <c r="C91" s="11"/>
      <c r="D91" s="20"/>
      <c r="E91" s="11"/>
      <c r="F91" s="15" t="s">
        <v>100</v>
      </c>
      <c r="G91" s="15" t="s">
        <v>280</v>
      </c>
      <c r="H91" s="24" t="s">
        <v>39</v>
      </c>
      <c r="I91" s="22" t="s">
        <v>40</v>
      </c>
      <c r="J91" s="16"/>
      <c r="K91" s="6" t="s">
        <v>357</v>
      </c>
      <c r="L91" s="17" t="s">
        <v>358</v>
      </c>
    </row>
    <row r="92" spans="2:12" ht="28.8" x14ac:dyDescent="0.3">
      <c r="B92" s="14">
        <f t="shared" si="1"/>
        <v>87</v>
      </c>
      <c r="C92" s="11"/>
      <c r="D92" s="20"/>
      <c r="E92" s="11"/>
      <c r="F92" s="15" t="s">
        <v>170</v>
      </c>
      <c r="G92" s="15" t="s">
        <v>281</v>
      </c>
      <c r="H92" s="24" t="s">
        <v>39</v>
      </c>
      <c r="I92" s="22" t="s">
        <v>40</v>
      </c>
      <c r="J92" s="16"/>
      <c r="K92" s="6" t="s">
        <v>357</v>
      </c>
      <c r="L92" s="17" t="s">
        <v>358</v>
      </c>
    </row>
    <row r="93" spans="2:12" ht="28.8" x14ac:dyDescent="0.3">
      <c r="B93" s="14">
        <f t="shared" si="1"/>
        <v>88</v>
      </c>
      <c r="C93" s="11"/>
      <c r="D93" s="20"/>
      <c r="E93" s="11"/>
      <c r="F93" s="15" t="s">
        <v>171</v>
      </c>
      <c r="G93" s="15" t="s">
        <v>282</v>
      </c>
      <c r="H93" s="24" t="s">
        <v>39</v>
      </c>
      <c r="I93" s="22" t="s">
        <v>40</v>
      </c>
      <c r="J93" s="16"/>
      <c r="K93" s="6" t="s">
        <v>357</v>
      </c>
      <c r="L93" s="17" t="s">
        <v>358</v>
      </c>
    </row>
    <row r="94" spans="2:12" ht="28.8" x14ac:dyDescent="0.3">
      <c r="B94" s="14">
        <f t="shared" si="1"/>
        <v>89</v>
      </c>
      <c r="C94" s="11"/>
      <c r="D94" s="20"/>
      <c r="E94" s="11"/>
      <c r="F94" s="15" t="s">
        <v>172</v>
      </c>
      <c r="G94" s="15" t="s">
        <v>283</v>
      </c>
      <c r="H94" s="24" t="s">
        <v>39</v>
      </c>
      <c r="I94" s="22" t="s">
        <v>40</v>
      </c>
      <c r="J94" s="16"/>
      <c r="K94" s="6" t="s">
        <v>357</v>
      </c>
      <c r="L94" s="17" t="s">
        <v>358</v>
      </c>
    </row>
    <row r="95" spans="2:12" ht="28.8" x14ac:dyDescent="0.3">
      <c r="B95" s="14">
        <f t="shared" si="1"/>
        <v>90</v>
      </c>
      <c r="C95" s="11"/>
      <c r="D95" s="20"/>
      <c r="E95" s="10" t="s">
        <v>173</v>
      </c>
      <c r="F95" s="15" t="s">
        <v>174</v>
      </c>
      <c r="G95" s="15" t="s">
        <v>284</v>
      </c>
      <c r="H95" s="24" t="s">
        <v>90</v>
      </c>
      <c r="I95" s="22">
        <v>365</v>
      </c>
      <c r="J95" s="16"/>
      <c r="K95" s="6">
        <v>365</v>
      </c>
      <c r="L95" s="17" t="s">
        <v>358</v>
      </c>
    </row>
    <row r="96" spans="2:12" ht="57.6" x14ac:dyDescent="0.3">
      <c r="B96" s="14">
        <f t="shared" si="1"/>
        <v>91</v>
      </c>
      <c r="C96" s="11"/>
      <c r="D96" s="20"/>
      <c r="E96" s="11"/>
      <c r="F96" s="15" t="s">
        <v>175</v>
      </c>
      <c r="G96" s="15" t="s">
        <v>285</v>
      </c>
      <c r="H96" s="24" t="s">
        <v>39</v>
      </c>
      <c r="I96" s="22" t="s">
        <v>85</v>
      </c>
      <c r="J96" s="16"/>
      <c r="K96" s="6" t="s">
        <v>362</v>
      </c>
      <c r="L96" s="17" t="s">
        <v>358</v>
      </c>
    </row>
    <row r="97" spans="2:12" ht="57.6" x14ac:dyDescent="0.3">
      <c r="B97" s="14">
        <f t="shared" si="1"/>
        <v>92</v>
      </c>
      <c r="C97" s="11"/>
      <c r="D97" s="20"/>
      <c r="E97" s="11"/>
      <c r="F97" s="15" t="s">
        <v>176</v>
      </c>
      <c r="G97" s="15" t="s">
        <v>286</v>
      </c>
      <c r="H97" s="24" t="s">
        <v>39</v>
      </c>
      <c r="I97" s="22" t="s">
        <v>85</v>
      </c>
      <c r="J97" s="16"/>
      <c r="K97" s="6" t="s">
        <v>362</v>
      </c>
      <c r="L97" s="17" t="s">
        <v>358</v>
      </c>
    </row>
    <row r="98" spans="2:12" ht="43.2" x14ac:dyDescent="0.3">
      <c r="B98" s="14">
        <f t="shared" si="1"/>
        <v>93</v>
      </c>
      <c r="C98" s="11"/>
      <c r="D98" s="20"/>
      <c r="E98" s="11"/>
      <c r="F98" s="15" t="s">
        <v>177</v>
      </c>
      <c r="G98" s="15" t="s">
        <v>287</v>
      </c>
      <c r="H98" s="24" t="s">
        <v>178</v>
      </c>
      <c r="I98" s="22" t="s">
        <v>179</v>
      </c>
      <c r="J98" s="16"/>
      <c r="K98" s="6" t="s">
        <v>179</v>
      </c>
      <c r="L98" s="17" t="s">
        <v>358</v>
      </c>
    </row>
    <row r="99" spans="2:12" ht="28.8" x14ac:dyDescent="0.3">
      <c r="B99" s="14">
        <f t="shared" si="1"/>
        <v>94</v>
      </c>
      <c r="C99" s="10" t="s">
        <v>180</v>
      </c>
      <c r="D99" s="29" t="s">
        <v>181</v>
      </c>
      <c r="E99" s="10"/>
      <c r="F99" s="15" t="s">
        <v>182</v>
      </c>
      <c r="G99" s="15"/>
      <c r="H99" s="24" t="s">
        <v>183</v>
      </c>
      <c r="I99" s="22" t="s">
        <v>31</v>
      </c>
      <c r="J99" s="16"/>
      <c r="K99" s="6" t="s">
        <v>184</v>
      </c>
      <c r="L99" s="1"/>
    </row>
    <row r="100" spans="2:12" ht="28.8" x14ac:dyDescent="0.3">
      <c r="B100" s="14">
        <f t="shared" si="1"/>
        <v>95</v>
      </c>
      <c r="C100" s="11"/>
      <c r="D100" s="20"/>
      <c r="E100" s="11"/>
      <c r="F100" s="15" t="s">
        <v>185</v>
      </c>
      <c r="G100" s="15" t="s">
        <v>186</v>
      </c>
      <c r="H100" s="24" t="s">
        <v>348</v>
      </c>
      <c r="I100" s="22" t="s">
        <v>31</v>
      </c>
      <c r="J100" s="16"/>
      <c r="K100" s="6" t="s">
        <v>184</v>
      </c>
      <c r="L100" s="1"/>
    </row>
    <row r="101" spans="2:12" ht="28.8" x14ac:dyDescent="0.3">
      <c r="B101" s="14">
        <f t="shared" si="1"/>
        <v>96</v>
      </c>
      <c r="C101" s="12"/>
      <c r="D101" s="21"/>
      <c r="E101" s="12"/>
      <c r="F101" s="15" t="s">
        <v>187</v>
      </c>
      <c r="G101" s="15"/>
      <c r="H101" s="24" t="s">
        <v>188</v>
      </c>
      <c r="I101" s="22" t="s">
        <v>31</v>
      </c>
      <c r="J101" s="16"/>
      <c r="K101" s="6" t="s">
        <v>184</v>
      </c>
      <c r="L101" s="1"/>
    </row>
    <row r="102" spans="2:12" x14ac:dyDescent="0.3">
      <c r="I102" s="23"/>
    </row>
    <row r="103" spans="2:12" x14ac:dyDescent="0.3">
      <c r="I103" s="23"/>
    </row>
    <row r="104" spans="2:12" x14ac:dyDescent="0.3">
      <c r="I104" s="23"/>
    </row>
    <row r="105" spans="2:12" x14ac:dyDescent="0.3">
      <c r="I105" s="23"/>
    </row>
    <row r="106" spans="2:12" x14ac:dyDescent="0.3">
      <c r="I106" s="23"/>
    </row>
    <row r="107" spans="2:12" x14ac:dyDescent="0.3">
      <c r="I107" s="23"/>
    </row>
    <row r="108" spans="2:12" x14ac:dyDescent="0.3">
      <c r="I108" s="23"/>
    </row>
    <row r="109" spans="2:12" x14ac:dyDescent="0.3">
      <c r="I109" s="23"/>
    </row>
    <row r="110" spans="2:12" ht="2.25" customHeight="1" x14ac:dyDescent="0.3">
      <c r="I110" s="23"/>
    </row>
    <row r="111" spans="2:12" ht="409.5" customHeight="1" x14ac:dyDescent="0.3">
      <c r="I111" s="23"/>
    </row>
    <row r="112" spans="2:12" x14ac:dyDescent="0.3">
      <c r="I112" s="23"/>
    </row>
    <row r="113" spans="9:9" x14ac:dyDescent="0.3">
      <c r="I113" s="23"/>
    </row>
    <row r="114" spans="9:9" x14ac:dyDescent="0.3">
      <c r="I114" s="23"/>
    </row>
    <row r="115" spans="9:9" x14ac:dyDescent="0.3">
      <c r="I115" s="23"/>
    </row>
    <row r="116" spans="9:9" x14ac:dyDescent="0.3">
      <c r="I116" s="23"/>
    </row>
    <row r="117" spans="9:9" x14ac:dyDescent="0.3">
      <c r="I117" s="23"/>
    </row>
    <row r="118" spans="9:9" x14ac:dyDescent="0.3">
      <c r="I118" s="23"/>
    </row>
    <row r="119" spans="9:9" x14ac:dyDescent="0.3">
      <c r="I119" s="23"/>
    </row>
    <row r="120" spans="9:9" x14ac:dyDescent="0.3">
      <c r="I120" s="23"/>
    </row>
    <row r="121" spans="9:9" x14ac:dyDescent="0.3">
      <c r="I121" s="23"/>
    </row>
    <row r="122" spans="9:9" x14ac:dyDescent="0.3">
      <c r="I122" s="23"/>
    </row>
  </sheetData>
  <phoneticPr fontId="12"/>
  <hyperlinks>
    <hyperlink ref="A4" location="パラメータ設定一覧!A1" display="パラメータ設定一覧へ" xr:uid="{71CBB99A-197B-4AC7-8191-09D42C11279C}"/>
  </hyperlink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F3397-C9EC-47EB-AF84-6D6A090B1692}">
  <sheetPr codeName="Sheet103"/>
  <dimension ref="A1:E16"/>
  <sheetViews>
    <sheetView showGridLines="0" zoomScaleNormal="100" workbookViewId="0">
      <pane ySplit="5" topLeftCell="A6" activePane="bottomLeft" state="frozen"/>
      <selection pane="bottomLeft" activeCell="A6" sqref="A6"/>
    </sheetView>
  </sheetViews>
  <sheetFormatPr defaultColWidth="8.81640625" defaultRowHeight="14.4" x14ac:dyDescent="0.3"/>
  <cols>
    <col min="1" max="1" width="2.81640625" style="23" customWidth="1"/>
    <col min="2" max="2" width="3.54296875" style="23" bestFit="1" customWidth="1"/>
    <col min="3" max="3" width="26.1796875" style="23" bestFit="1" customWidth="1"/>
    <col min="4" max="4" width="17.81640625" style="23" customWidth="1"/>
    <col min="5" max="5" width="20.54296875" style="23" bestFit="1" customWidth="1"/>
    <col min="6" max="16384" width="8.81640625" style="23"/>
  </cols>
  <sheetData>
    <row r="1" spans="1:5" customFormat="1" ht="18.600000000000001" x14ac:dyDescent="0.3">
      <c r="A1" s="5" t="s">
        <v>189</v>
      </c>
    </row>
    <row r="2" spans="1:5" customFormat="1" ht="15" x14ac:dyDescent="0.3"/>
    <row r="3" spans="1:5" customFormat="1" ht="15" x14ac:dyDescent="0.3">
      <c r="A3" s="7" t="s">
        <v>352</v>
      </c>
    </row>
    <row r="4" spans="1:5" x14ac:dyDescent="0.3">
      <c r="B4" s="131" t="s">
        <v>15</v>
      </c>
      <c r="C4" s="18" t="s">
        <v>190</v>
      </c>
      <c r="D4" s="2" t="s">
        <v>191</v>
      </c>
      <c r="E4" s="132" t="s">
        <v>192</v>
      </c>
    </row>
    <row r="5" spans="1:5" ht="28.8" x14ac:dyDescent="0.3">
      <c r="B5" s="131"/>
      <c r="C5" s="3" t="s">
        <v>193</v>
      </c>
      <c r="D5" s="4" t="s">
        <v>349</v>
      </c>
      <c r="E5" s="133"/>
    </row>
    <row r="6" spans="1:5" x14ac:dyDescent="0.3">
      <c r="B6" s="75">
        <f t="shared" ref="B6:B16" si="0">ROW() - 5</f>
        <v>1</v>
      </c>
      <c r="C6" s="76" t="s">
        <v>168</v>
      </c>
      <c r="D6" s="77"/>
      <c r="E6" s="78" t="s">
        <v>194</v>
      </c>
    </row>
    <row r="7" spans="1:5" x14ac:dyDescent="0.3">
      <c r="B7" s="75">
        <f t="shared" si="0"/>
        <v>2</v>
      </c>
      <c r="C7" s="76" t="s">
        <v>195</v>
      </c>
      <c r="D7" s="77"/>
      <c r="E7" s="78" t="s">
        <v>196</v>
      </c>
    </row>
    <row r="8" spans="1:5" x14ac:dyDescent="0.3">
      <c r="B8" s="75">
        <f t="shared" si="0"/>
        <v>3</v>
      </c>
      <c r="C8" s="76" t="s">
        <v>197</v>
      </c>
      <c r="D8" s="77"/>
      <c r="E8" s="78" t="s">
        <v>198</v>
      </c>
    </row>
    <row r="9" spans="1:5" x14ac:dyDescent="0.3">
      <c r="B9" s="75">
        <f t="shared" si="0"/>
        <v>4</v>
      </c>
      <c r="C9" s="79" t="s">
        <v>199</v>
      </c>
      <c r="D9" s="77"/>
      <c r="E9" s="80" t="s">
        <v>200</v>
      </c>
    </row>
    <row r="10" spans="1:5" x14ac:dyDescent="0.3">
      <c r="B10" s="75">
        <f t="shared" si="0"/>
        <v>5</v>
      </c>
      <c r="C10" s="79" t="s">
        <v>201</v>
      </c>
      <c r="D10" s="77"/>
      <c r="E10" s="80" t="s">
        <v>202</v>
      </c>
    </row>
    <row r="11" spans="1:5" x14ac:dyDescent="0.3">
      <c r="B11" s="75">
        <f t="shared" si="0"/>
        <v>6</v>
      </c>
      <c r="C11" s="79" t="s">
        <v>203</v>
      </c>
      <c r="D11" s="77"/>
      <c r="E11" s="80" t="s">
        <v>204</v>
      </c>
    </row>
    <row r="12" spans="1:5" x14ac:dyDescent="0.3">
      <c r="B12" s="75">
        <f t="shared" si="0"/>
        <v>7</v>
      </c>
      <c r="C12" s="79" t="s">
        <v>205</v>
      </c>
      <c r="D12" s="77"/>
      <c r="E12" s="80" t="s">
        <v>206</v>
      </c>
    </row>
    <row r="13" spans="1:5" x14ac:dyDescent="0.3">
      <c r="B13" s="75">
        <f t="shared" si="0"/>
        <v>8</v>
      </c>
      <c r="C13" s="79" t="s">
        <v>207</v>
      </c>
      <c r="D13" s="77"/>
      <c r="E13" s="80" t="s">
        <v>208</v>
      </c>
    </row>
    <row r="14" spans="1:5" x14ac:dyDescent="0.3">
      <c r="B14" s="75">
        <f t="shared" si="0"/>
        <v>9</v>
      </c>
      <c r="C14" s="79" t="s">
        <v>209</v>
      </c>
      <c r="D14" s="77"/>
      <c r="E14" s="80" t="s">
        <v>210</v>
      </c>
    </row>
    <row r="15" spans="1:5" x14ac:dyDescent="0.3">
      <c r="B15" s="75">
        <f t="shared" si="0"/>
        <v>10</v>
      </c>
      <c r="C15" s="79" t="s">
        <v>211</v>
      </c>
      <c r="D15" s="77"/>
      <c r="E15" s="80" t="s">
        <v>212</v>
      </c>
    </row>
    <row r="16" spans="1:5" x14ac:dyDescent="0.3">
      <c r="B16" s="75">
        <f t="shared" si="0"/>
        <v>11</v>
      </c>
      <c r="C16" s="79" t="s">
        <v>213</v>
      </c>
      <c r="D16" s="77"/>
      <c r="E16" s="80" t="s">
        <v>214</v>
      </c>
    </row>
  </sheetData>
  <mergeCells count="2">
    <mergeCell ref="B4:B5"/>
    <mergeCell ref="E4:E5"/>
  </mergeCells>
  <phoneticPr fontId="12"/>
  <hyperlinks>
    <hyperlink ref="A3" location="パラメータ設定一覧!A1" display="パラメータ設定一覧へ" xr:uid="{20982F71-ABD5-4017-8CC4-53F73C80424D}"/>
  </hyperlinks>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FE9C2-5AB6-4641-8545-DC3D2AC015E4}">
  <sheetPr>
    <tabColor theme="0" tint="-0.499984740745262"/>
  </sheetPr>
  <dimension ref="A1:L28"/>
  <sheetViews>
    <sheetView showGridLines="0" zoomScaleNormal="100" workbookViewId="0">
      <pane xSplit="6" ySplit="5" topLeftCell="G6" activePane="bottomRight" state="frozen"/>
      <selection activeCell="F36" sqref="F36"/>
      <selection pane="topRight" activeCell="F36" sqref="F36"/>
      <selection pane="bottomLeft" activeCell="F36" sqref="F36"/>
      <selection pane="bottomRight" activeCell="F36" sqref="F36"/>
    </sheetView>
  </sheetViews>
  <sheetFormatPr defaultColWidth="8.81640625" defaultRowHeight="14.4" x14ac:dyDescent="0.3"/>
  <cols>
    <col min="1" max="1" width="2.81640625" style="23" customWidth="1"/>
    <col min="2" max="2" width="3.81640625" style="23" customWidth="1"/>
    <col min="3" max="3" width="16.81640625" style="23" customWidth="1"/>
    <col min="4" max="4" width="19.1796875" style="23" customWidth="1"/>
    <col min="5" max="5" width="16.54296875" style="23" customWidth="1"/>
    <col min="6" max="6" width="22.54296875" style="23" customWidth="1"/>
    <col min="7" max="7" width="27" style="23" customWidth="1"/>
    <col min="8" max="8" width="8.26953125" style="23" bestFit="1" customWidth="1"/>
    <col min="9" max="9" width="17.453125" style="27" customWidth="1"/>
    <col min="10" max="10" width="22.453125" style="23" customWidth="1"/>
    <col min="11" max="11" width="18.1796875" style="23" customWidth="1"/>
    <col min="12" max="12" width="13.1796875" style="23" customWidth="1"/>
    <col min="13" max="16384" width="8.81640625" style="23"/>
  </cols>
  <sheetData>
    <row r="1" spans="1:12" customFormat="1" ht="18.600000000000001" x14ac:dyDescent="0.3">
      <c r="A1" s="5" t="s">
        <v>10</v>
      </c>
      <c r="C1" s="23"/>
      <c r="D1" s="23"/>
      <c r="E1" s="23"/>
      <c r="F1" s="23"/>
      <c r="G1" s="23"/>
      <c r="H1" s="23"/>
      <c r="I1" s="27"/>
    </row>
    <row r="2" spans="1:12" customFormat="1" ht="15" x14ac:dyDescent="0.3">
      <c r="B2" t="s">
        <v>330</v>
      </c>
      <c r="C2" s="23"/>
      <c r="D2" s="23"/>
      <c r="E2" s="23"/>
      <c r="F2" s="23"/>
      <c r="G2" s="23"/>
      <c r="H2" s="23"/>
      <c r="I2" s="27"/>
    </row>
    <row r="3" spans="1:12" customFormat="1" ht="15" x14ac:dyDescent="0.3">
      <c r="B3" t="s">
        <v>331</v>
      </c>
      <c r="C3" s="23"/>
      <c r="D3" s="23"/>
      <c r="E3" s="23"/>
      <c r="F3" s="23"/>
      <c r="G3" s="23"/>
      <c r="H3" s="23"/>
      <c r="I3" s="27"/>
    </row>
    <row r="4" spans="1:12" customFormat="1" ht="15" x14ac:dyDescent="0.3">
      <c r="A4" s="7" t="s">
        <v>352</v>
      </c>
      <c r="C4" s="23"/>
      <c r="D4" s="23"/>
      <c r="E4" s="23"/>
      <c r="F4" s="23"/>
      <c r="G4" s="23"/>
      <c r="H4" s="23"/>
      <c r="I4" s="27"/>
    </row>
    <row r="5" spans="1:12" ht="28.8" x14ac:dyDescent="0.3">
      <c r="B5" s="8" t="s">
        <v>15</v>
      </c>
      <c r="C5" s="8" t="s">
        <v>16</v>
      </c>
      <c r="D5" s="8" t="s">
        <v>17</v>
      </c>
      <c r="E5" s="8" t="s">
        <v>18</v>
      </c>
      <c r="F5" s="13" t="s">
        <v>19</v>
      </c>
      <c r="G5" s="13" t="s">
        <v>20</v>
      </c>
      <c r="H5" s="8" t="s">
        <v>21</v>
      </c>
      <c r="I5" s="28" t="s">
        <v>22</v>
      </c>
      <c r="J5" s="8" t="s">
        <v>23</v>
      </c>
      <c r="K5" s="9" t="s">
        <v>24</v>
      </c>
      <c r="L5" s="9" t="s">
        <v>25</v>
      </c>
    </row>
    <row r="6" spans="1:12" x14ac:dyDescent="0.3">
      <c r="B6" s="14">
        <f>ROW() - 5</f>
        <v>1</v>
      </c>
      <c r="C6" s="10" t="s">
        <v>31</v>
      </c>
      <c r="D6" s="10" t="s">
        <v>31</v>
      </c>
      <c r="E6" s="19" t="s">
        <v>31</v>
      </c>
      <c r="F6" s="15" t="s">
        <v>10</v>
      </c>
      <c r="G6" s="15" t="s">
        <v>31</v>
      </c>
      <c r="H6" s="24" t="s">
        <v>93</v>
      </c>
      <c r="I6" s="22" t="s">
        <v>31</v>
      </c>
      <c r="J6" s="16"/>
      <c r="K6" s="6" t="s">
        <v>215</v>
      </c>
      <c r="L6" s="17"/>
    </row>
    <row r="7" spans="1:12" x14ac:dyDescent="0.3">
      <c r="B7" s="14">
        <f>ROW() - 5</f>
        <v>2</v>
      </c>
      <c r="C7" s="12"/>
      <c r="D7" s="21"/>
      <c r="E7" s="12"/>
      <c r="F7" s="15" t="s">
        <v>187</v>
      </c>
      <c r="G7" s="15" t="s">
        <v>31</v>
      </c>
      <c r="H7" s="24" t="s">
        <v>93</v>
      </c>
      <c r="I7" s="22" t="s">
        <v>31</v>
      </c>
      <c r="J7" s="16"/>
      <c r="K7" s="6" t="s">
        <v>215</v>
      </c>
      <c r="L7" s="17"/>
    </row>
    <row r="8" spans="1:12" x14ac:dyDescent="0.3">
      <c r="I8" s="23"/>
    </row>
    <row r="9" spans="1:12" x14ac:dyDescent="0.3">
      <c r="I9" s="23"/>
    </row>
    <row r="10" spans="1:12" x14ac:dyDescent="0.3">
      <c r="I10" s="23"/>
    </row>
    <row r="11" spans="1:12" x14ac:dyDescent="0.3">
      <c r="I11" s="23"/>
    </row>
    <row r="12" spans="1:12" x14ac:dyDescent="0.3">
      <c r="I12" s="23"/>
    </row>
    <row r="13" spans="1:12" x14ac:dyDescent="0.3">
      <c r="I13" s="23"/>
    </row>
    <row r="14" spans="1:12" x14ac:dyDescent="0.3">
      <c r="I14" s="23"/>
    </row>
    <row r="15" spans="1:12" x14ac:dyDescent="0.3">
      <c r="I15" s="23"/>
    </row>
    <row r="16" spans="1:12" ht="2.25" customHeight="1" x14ac:dyDescent="0.3">
      <c r="I16" s="23"/>
    </row>
    <row r="17" spans="9:9" ht="409.5" customHeight="1" x14ac:dyDescent="0.3">
      <c r="I17" s="23"/>
    </row>
    <row r="18" spans="9:9" x14ac:dyDescent="0.3">
      <c r="I18" s="23"/>
    </row>
    <row r="19" spans="9:9" x14ac:dyDescent="0.3">
      <c r="I19" s="23"/>
    </row>
    <row r="20" spans="9:9" x14ac:dyDescent="0.3">
      <c r="I20" s="23"/>
    </row>
    <row r="21" spans="9:9" x14ac:dyDescent="0.3">
      <c r="I21" s="23"/>
    </row>
    <row r="22" spans="9:9" x14ac:dyDescent="0.3">
      <c r="I22" s="23"/>
    </row>
    <row r="23" spans="9:9" x14ac:dyDescent="0.3">
      <c r="I23" s="23"/>
    </row>
    <row r="24" spans="9:9" x14ac:dyDescent="0.3">
      <c r="I24" s="23"/>
    </row>
    <row r="25" spans="9:9" x14ac:dyDescent="0.3">
      <c r="I25" s="23"/>
    </row>
    <row r="26" spans="9:9" x14ac:dyDescent="0.3">
      <c r="I26" s="23"/>
    </row>
    <row r="27" spans="9:9" x14ac:dyDescent="0.3">
      <c r="I27" s="23"/>
    </row>
    <row r="28" spans="9:9" x14ac:dyDescent="0.3">
      <c r="I28" s="23"/>
    </row>
  </sheetData>
  <phoneticPr fontId="12"/>
  <hyperlinks>
    <hyperlink ref="A4" location="パラメータ設定一覧!A1" display="パラメータ設定一覧へ" xr:uid="{A3DD71B5-553D-46B7-9BF9-137744186025}"/>
  </hyperlink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F204C-28FB-4095-A063-09F71E625EA6}">
  <sheetPr>
    <tabColor theme="0" tint="-0.499984740745262"/>
  </sheetPr>
  <dimension ref="A1:D25"/>
  <sheetViews>
    <sheetView showGridLines="0" zoomScaleNormal="100" workbookViewId="0">
      <pane ySplit="5" topLeftCell="A6" activePane="bottomLeft" state="frozen"/>
      <selection activeCell="F36" sqref="F36"/>
      <selection pane="bottomLeft" activeCell="F36" sqref="F36"/>
    </sheetView>
  </sheetViews>
  <sheetFormatPr defaultColWidth="8.81640625" defaultRowHeight="14.4" x14ac:dyDescent="0.3"/>
  <cols>
    <col min="1" max="1" width="2.81640625" style="23" customWidth="1"/>
    <col min="2" max="2" width="3.54296875" style="23" bestFit="1" customWidth="1"/>
    <col min="3" max="3" width="17.81640625" style="23" bestFit="1" customWidth="1"/>
    <col min="4" max="4" width="30.1796875" style="23" customWidth="1"/>
    <col min="5" max="16384" width="8.81640625" style="23"/>
  </cols>
  <sheetData>
    <row r="1" spans="1:4" customFormat="1" ht="18.600000000000001" x14ac:dyDescent="0.3">
      <c r="A1" s="5" t="s">
        <v>216</v>
      </c>
    </row>
    <row r="2" spans="1:4" customFormat="1" ht="15" x14ac:dyDescent="0.3"/>
    <row r="3" spans="1:4" customFormat="1" ht="15" x14ac:dyDescent="0.3">
      <c r="A3" s="7" t="s">
        <v>352</v>
      </c>
    </row>
    <row r="4" spans="1:4" x14ac:dyDescent="0.3">
      <c r="B4" s="134" t="s">
        <v>15</v>
      </c>
      <c r="C4" s="81" t="s">
        <v>10</v>
      </c>
      <c r="D4" s="73" t="s">
        <v>192</v>
      </c>
    </row>
    <row r="5" spans="1:4" x14ac:dyDescent="0.3">
      <c r="B5" s="135"/>
      <c r="C5" s="4" t="s">
        <v>309</v>
      </c>
      <c r="D5" s="4" t="s">
        <v>309</v>
      </c>
    </row>
    <row r="6" spans="1:4" x14ac:dyDescent="0.3">
      <c r="B6" s="75">
        <f>ROW() - 5</f>
        <v>1</v>
      </c>
      <c r="C6" s="77"/>
      <c r="D6" s="77"/>
    </row>
    <row r="7" spans="1:4" x14ac:dyDescent="0.3">
      <c r="B7" s="75">
        <f t="shared" ref="B7:B25" si="0">ROW() - 5</f>
        <v>2</v>
      </c>
      <c r="C7" s="77"/>
      <c r="D7" s="77"/>
    </row>
    <row r="8" spans="1:4" x14ac:dyDescent="0.3">
      <c r="B8" s="75">
        <f t="shared" si="0"/>
        <v>3</v>
      </c>
      <c r="C8" s="77"/>
      <c r="D8" s="77"/>
    </row>
    <row r="9" spans="1:4" x14ac:dyDescent="0.3">
      <c r="B9" s="75">
        <f t="shared" si="0"/>
        <v>4</v>
      </c>
      <c r="C9" s="77"/>
      <c r="D9" s="77"/>
    </row>
    <row r="10" spans="1:4" x14ac:dyDescent="0.3">
      <c r="B10" s="75">
        <f t="shared" si="0"/>
        <v>5</v>
      </c>
      <c r="C10" s="77"/>
      <c r="D10" s="77"/>
    </row>
    <row r="11" spans="1:4" x14ac:dyDescent="0.3">
      <c r="B11" s="75">
        <f t="shared" si="0"/>
        <v>6</v>
      </c>
      <c r="C11" s="77"/>
      <c r="D11" s="77"/>
    </row>
    <row r="12" spans="1:4" x14ac:dyDescent="0.3">
      <c r="B12" s="75">
        <f t="shared" si="0"/>
        <v>7</v>
      </c>
      <c r="C12" s="77"/>
      <c r="D12" s="77"/>
    </row>
    <row r="13" spans="1:4" x14ac:dyDescent="0.3">
      <c r="B13" s="75">
        <f t="shared" si="0"/>
        <v>8</v>
      </c>
      <c r="C13" s="77"/>
      <c r="D13" s="77"/>
    </row>
    <row r="14" spans="1:4" x14ac:dyDescent="0.3">
      <c r="B14" s="75">
        <f t="shared" si="0"/>
        <v>9</v>
      </c>
      <c r="C14" s="77"/>
      <c r="D14" s="77"/>
    </row>
    <row r="15" spans="1:4" x14ac:dyDescent="0.3">
      <c r="B15" s="75">
        <f t="shared" si="0"/>
        <v>10</v>
      </c>
      <c r="C15" s="77"/>
      <c r="D15" s="77"/>
    </row>
    <row r="16" spans="1:4" x14ac:dyDescent="0.3">
      <c r="B16" s="75">
        <f t="shared" si="0"/>
        <v>11</v>
      </c>
      <c r="C16" s="77"/>
      <c r="D16" s="77"/>
    </row>
    <row r="17" spans="2:4" x14ac:dyDescent="0.3">
      <c r="B17" s="75">
        <f t="shared" si="0"/>
        <v>12</v>
      </c>
      <c r="C17" s="82"/>
      <c r="D17" s="82"/>
    </row>
    <row r="18" spans="2:4" x14ac:dyDescent="0.3">
      <c r="B18" s="75">
        <f t="shared" si="0"/>
        <v>13</v>
      </c>
      <c r="C18" s="82"/>
      <c r="D18" s="82"/>
    </row>
    <row r="19" spans="2:4" x14ac:dyDescent="0.3">
      <c r="B19" s="75">
        <f t="shared" si="0"/>
        <v>14</v>
      </c>
      <c r="C19" s="82"/>
      <c r="D19" s="82"/>
    </row>
    <row r="20" spans="2:4" x14ac:dyDescent="0.3">
      <c r="B20" s="75">
        <f t="shared" si="0"/>
        <v>15</v>
      </c>
      <c r="C20" s="82"/>
      <c r="D20" s="82"/>
    </row>
    <row r="21" spans="2:4" x14ac:dyDescent="0.3">
      <c r="B21" s="75">
        <f t="shared" si="0"/>
        <v>16</v>
      </c>
      <c r="C21" s="82"/>
      <c r="D21" s="82"/>
    </row>
    <row r="22" spans="2:4" x14ac:dyDescent="0.3">
      <c r="B22" s="75">
        <f t="shared" si="0"/>
        <v>17</v>
      </c>
      <c r="C22" s="82"/>
      <c r="D22" s="82"/>
    </row>
    <row r="23" spans="2:4" x14ac:dyDescent="0.3">
      <c r="B23" s="75">
        <f t="shared" si="0"/>
        <v>18</v>
      </c>
      <c r="C23" s="82"/>
      <c r="D23" s="82"/>
    </row>
    <row r="24" spans="2:4" x14ac:dyDescent="0.3">
      <c r="B24" s="75">
        <f t="shared" si="0"/>
        <v>19</v>
      </c>
      <c r="C24" s="82"/>
      <c r="D24" s="82"/>
    </row>
    <row r="25" spans="2:4" x14ac:dyDescent="0.3">
      <c r="B25" s="75">
        <f t="shared" si="0"/>
        <v>20</v>
      </c>
      <c r="C25" s="82"/>
      <c r="D25" s="82"/>
    </row>
  </sheetData>
  <mergeCells count="1">
    <mergeCell ref="B4:B5"/>
  </mergeCells>
  <phoneticPr fontId="12"/>
  <hyperlinks>
    <hyperlink ref="A3" location="パラメータ設定一覧!A1" display="パラメータ設定一覧へ" xr:uid="{BED47799-B350-4253-A3CC-8D0E0E887A7E}"/>
  </hyperlinks>
  <pageMargins left="0.7" right="0.7" top="0.75" bottom="0.75" header="0.3" footer="0.3"/>
  <pageSetup paperSize="9" orientation="portrait"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E8ED2-F2B5-4E6B-B705-FDD514BE5D60}">
  <sheetPr>
    <tabColor theme="0" tint="-0.499984740745262"/>
  </sheetPr>
  <dimension ref="A1:L197"/>
  <sheetViews>
    <sheetView showGridLines="0" zoomScaleNormal="100" workbookViewId="0">
      <pane xSplit="6" ySplit="5" topLeftCell="H6" activePane="bottomRight" state="frozen"/>
      <selection activeCell="A7" sqref="A7"/>
      <selection pane="topRight" activeCell="A7" sqref="A7"/>
      <selection pane="bottomLeft" activeCell="A7" sqref="A7"/>
      <selection pane="bottomRight" activeCell="A7" sqref="A7"/>
    </sheetView>
  </sheetViews>
  <sheetFormatPr defaultColWidth="8.81640625" defaultRowHeight="14.4" x14ac:dyDescent="0.3"/>
  <cols>
    <col min="1" max="1" width="2.81640625" style="85" customWidth="1"/>
    <col min="2" max="2" width="3.81640625" style="85" customWidth="1"/>
    <col min="3" max="3" width="16.81640625" style="85" customWidth="1"/>
    <col min="4" max="4" width="19.1796875" style="85" customWidth="1"/>
    <col min="5" max="5" width="16.54296875" style="85" customWidth="1"/>
    <col min="6" max="6" width="8.6328125" style="85" bestFit="1" customWidth="1"/>
    <col min="7" max="7" width="19" style="85" customWidth="1"/>
    <col min="8" max="8" width="23.1796875" style="85" customWidth="1"/>
    <col min="9" max="9" width="8.08984375" style="86" bestFit="1" customWidth="1"/>
    <col min="10" max="10" width="43.1796875" style="85" customWidth="1"/>
    <col min="11" max="11" width="18.1796875" style="85" customWidth="1"/>
    <col min="12" max="12" width="29.1796875" style="85" customWidth="1"/>
    <col min="13" max="16384" width="8.81640625" style="85"/>
  </cols>
  <sheetData>
    <row r="1" spans="1:12" s="84" customFormat="1" ht="18.600000000000001" x14ac:dyDescent="0.3">
      <c r="A1" s="83" t="s">
        <v>295</v>
      </c>
      <c r="C1" s="85"/>
      <c r="D1" s="85"/>
      <c r="E1" s="85"/>
      <c r="F1" s="85"/>
      <c r="G1" s="85"/>
      <c r="H1" s="85"/>
      <c r="I1" s="86"/>
    </row>
    <row r="2" spans="1:12" s="84" customFormat="1" ht="15" x14ac:dyDescent="0.3">
      <c r="B2" s="84" t="s">
        <v>328</v>
      </c>
      <c r="C2" s="85"/>
      <c r="D2" s="85"/>
      <c r="E2" s="85"/>
      <c r="F2" s="85"/>
      <c r="G2" s="85"/>
      <c r="H2" s="85"/>
      <c r="I2" s="86"/>
    </row>
    <row r="3" spans="1:12" s="84" customFormat="1" ht="15" x14ac:dyDescent="0.3">
      <c r="B3" s="84" t="s">
        <v>329</v>
      </c>
      <c r="C3" s="85"/>
      <c r="D3" s="85"/>
      <c r="E3" s="85"/>
      <c r="F3" s="85"/>
      <c r="G3" s="85"/>
      <c r="H3" s="85"/>
      <c r="I3" s="86"/>
    </row>
    <row r="4" spans="1:12" s="84" customFormat="1" ht="15" x14ac:dyDescent="0.3">
      <c r="A4" s="87" t="s">
        <v>352</v>
      </c>
      <c r="C4" s="85"/>
      <c r="D4" s="85"/>
      <c r="E4" s="85"/>
      <c r="F4" s="85"/>
      <c r="G4" s="85"/>
      <c r="H4" s="85"/>
      <c r="I4" s="86"/>
    </row>
    <row r="5" spans="1:12" x14ac:dyDescent="0.3">
      <c r="B5" s="8" t="s">
        <v>15</v>
      </c>
      <c r="C5" s="8" t="s">
        <v>16</v>
      </c>
      <c r="D5" s="8" t="s">
        <v>17</v>
      </c>
      <c r="E5" s="8" t="s">
        <v>18</v>
      </c>
      <c r="F5" s="13" t="s">
        <v>19</v>
      </c>
      <c r="G5" s="13" t="s">
        <v>296</v>
      </c>
      <c r="H5" s="8" t="s">
        <v>21</v>
      </c>
      <c r="I5" s="8" t="s">
        <v>22</v>
      </c>
      <c r="J5" s="8" t="s">
        <v>23</v>
      </c>
      <c r="K5" s="9" t="s">
        <v>24</v>
      </c>
      <c r="L5" s="9" t="s">
        <v>25</v>
      </c>
    </row>
    <row r="6" spans="1:12" ht="28.8" x14ac:dyDescent="0.3">
      <c r="B6" s="14">
        <f t="shared" ref="B6:B26" si="0">ROW() - 5</f>
        <v>1</v>
      </c>
      <c r="C6" s="10" t="s">
        <v>297</v>
      </c>
      <c r="D6" s="10"/>
      <c r="E6" s="26" t="s">
        <v>217</v>
      </c>
      <c r="F6" s="15" t="s">
        <v>298</v>
      </c>
      <c r="G6" s="15"/>
      <c r="H6" s="16" t="s">
        <v>299</v>
      </c>
      <c r="I6" s="16" t="s">
        <v>40</v>
      </c>
      <c r="J6" s="45" t="s">
        <v>300</v>
      </c>
      <c r="K6" s="46" t="s">
        <v>357</v>
      </c>
      <c r="L6" s="1" t="s">
        <v>368</v>
      </c>
    </row>
    <row r="7" spans="1:12" ht="28.8" x14ac:dyDescent="0.3">
      <c r="B7" s="14">
        <f t="shared" si="0"/>
        <v>2</v>
      </c>
      <c r="C7" s="11"/>
      <c r="D7" s="11"/>
      <c r="E7" s="11"/>
      <c r="F7" s="15" t="s">
        <v>320</v>
      </c>
      <c r="G7" s="15"/>
      <c r="H7" s="16" t="s">
        <v>299</v>
      </c>
      <c r="I7" s="16" t="s">
        <v>40</v>
      </c>
      <c r="J7" s="16" t="s">
        <v>300</v>
      </c>
      <c r="K7" s="46" t="s">
        <v>357</v>
      </c>
      <c r="L7" s="1" t="s">
        <v>368</v>
      </c>
    </row>
    <row r="8" spans="1:12" ht="43.2" x14ac:dyDescent="0.3">
      <c r="B8" s="14">
        <f t="shared" si="0"/>
        <v>3</v>
      </c>
      <c r="C8" s="12"/>
      <c r="D8" s="12"/>
      <c r="E8" s="12"/>
      <c r="F8" s="15" t="s">
        <v>301</v>
      </c>
      <c r="G8" s="88"/>
      <c r="H8" s="16" t="s">
        <v>299</v>
      </c>
      <c r="I8" s="16" t="s">
        <v>40</v>
      </c>
      <c r="J8" s="16" t="s">
        <v>300</v>
      </c>
      <c r="K8" s="46" t="s">
        <v>357</v>
      </c>
      <c r="L8" s="1" t="s">
        <v>368</v>
      </c>
    </row>
    <row r="9" spans="1:12" ht="28.8" x14ac:dyDescent="0.3">
      <c r="B9" s="14">
        <f t="shared" si="0"/>
        <v>4</v>
      </c>
      <c r="C9" s="10" t="s">
        <v>302</v>
      </c>
      <c r="D9" s="10"/>
      <c r="E9" s="26" t="s">
        <v>217</v>
      </c>
      <c r="F9" s="15" t="s">
        <v>298</v>
      </c>
      <c r="G9" s="15"/>
      <c r="H9" s="16" t="s">
        <v>299</v>
      </c>
      <c r="I9" s="16" t="s">
        <v>40</v>
      </c>
      <c r="J9" s="45" t="s">
        <v>303</v>
      </c>
      <c r="K9" s="46" t="s">
        <v>357</v>
      </c>
      <c r="L9" s="1" t="s">
        <v>368</v>
      </c>
    </row>
    <row r="10" spans="1:12" ht="28.8" x14ac:dyDescent="0.3">
      <c r="B10" s="14">
        <f t="shared" si="0"/>
        <v>5</v>
      </c>
      <c r="C10" s="11"/>
      <c r="D10" s="11"/>
      <c r="E10" s="11"/>
      <c r="F10" s="15" t="s">
        <v>320</v>
      </c>
      <c r="G10" s="15"/>
      <c r="H10" s="16" t="s">
        <v>299</v>
      </c>
      <c r="I10" s="16" t="s">
        <v>40</v>
      </c>
      <c r="J10" s="16" t="s">
        <v>303</v>
      </c>
      <c r="K10" s="46" t="s">
        <v>357</v>
      </c>
      <c r="L10" s="1" t="s">
        <v>368</v>
      </c>
    </row>
    <row r="11" spans="1:12" ht="43.2" x14ac:dyDescent="0.3">
      <c r="B11" s="14">
        <f t="shared" si="0"/>
        <v>6</v>
      </c>
      <c r="C11" s="11"/>
      <c r="D11" s="12"/>
      <c r="E11" s="12"/>
      <c r="F11" s="15" t="s">
        <v>301</v>
      </c>
      <c r="G11" s="88"/>
      <c r="H11" s="16" t="s">
        <v>299</v>
      </c>
      <c r="I11" s="16" t="s">
        <v>40</v>
      </c>
      <c r="J11" s="16" t="s">
        <v>303</v>
      </c>
      <c r="K11" s="46" t="s">
        <v>357</v>
      </c>
      <c r="L11" s="1" t="s">
        <v>368</v>
      </c>
    </row>
    <row r="12" spans="1:12" ht="28.8" x14ac:dyDescent="0.3">
      <c r="B12" s="14">
        <f t="shared" si="0"/>
        <v>7</v>
      </c>
      <c r="C12" s="11"/>
      <c r="D12" s="10"/>
      <c r="E12" s="26" t="s">
        <v>304</v>
      </c>
      <c r="F12" s="15" t="s">
        <v>298</v>
      </c>
      <c r="G12" s="15"/>
      <c r="H12" s="16" t="s">
        <v>299</v>
      </c>
      <c r="I12" s="16" t="s">
        <v>40</v>
      </c>
      <c r="J12" s="45" t="s">
        <v>303</v>
      </c>
      <c r="K12" s="46" t="s">
        <v>357</v>
      </c>
      <c r="L12" s="1" t="s">
        <v>368</v>
      </c>
    </row>
    <row r="13" spans="1:12" ht="28.8" x14ac:dyDescent="0.3">
      <c r="B13" s="14">
        <f t="shared" si="0"/>
        <v>8</v>
      </c>
      <c r="C13" s="11"/>
      <c r="D13" s="11"/>
      <c r="E13" s="11"/>
      <c r="F13" s="15" t="s">
        <v>320</v>
      </c>
      <c r="G13" s="15"/>
      <c r="H13" s="16" t="s">
        <v>299</v>
      </c>
      <c r="I13" s="16" t="s">
        <v>40</v>
      </c>
      <c r="J13" s="16" t="s">
        <v>303</v>
      </c>
      <c r="K13" s="46" t="s">
        <v>357</v>
      </c>
      <c r="L13" s="1" t="s">
        <v>368</v>
      </c>
    </row>
    <row r="14" spans="1:12" ht="43.2" x14ac:dyDescent="0.3">
      <c r="B14" s="14">
        <f t="shared" si="0"/>
        <v>9</v>
      </c>
      <c r="C14" s="11"/>
      <c r="D14" s="12"/>
      <c r="E14" s="12"/>
      <c r="F14" s="15" t="s">
        <v>301</v>
      </c>
      <c r="G14" s="88"/>
      <c r="H14" s="16" t="s">
        <v>299</v>
      </c>
      <c r="I14" s="16" t="s">
        <v>40</v>
      </c>
      <c r="J14" s="16" t="s">
        <v>303</v>
      </c>
      <c r="K14" s="46" t="s">
        <v>357</v>
      </c>
      <c r="L14" s="1" t="s">
        <v>368</v>
      </c>
    </row>
    <row r="15" spans="1:12" ht="28.8" x14ac:dyDescent="0.3">
      <c r="B15" s="14">
        <f t="shared" si="0"/>
        <v>10</v>
      </c>
      <c r="C15" s="11"/>
      <c r="D15" s="10"/>
      <c r="E15" s="26" t="s">
        <v>305</v>
      </c>
      <c r="F15" s="15" t="s">
        <v>298</v>
      </c>
      <c r="G15" s="15"/>
      <c r="H15" s="16" t="s">
        <v>299</v>
      </c>
      <c r="I15" s="16" t="s">
        <v>40</v>
      </c>
      <c r="J15" s="45" t="s">
        <v>303</v>
      </c>
      <c r="K15" s="46" t="s">
        <v>357</v>
      </c>
      <c r="L15" s="1" t="s">
        <v>368</v>
      </c>
    </row>
    <row r="16" spans="1:12" ht="28.8" x14ac:dyDescent="0.3">
      <c r="B16" s="14">
        <f t="shared" si="0"/>
        <v>11</v>
      </c>
      <c r="C16" s="11"/>
      <c r="D16" s="11"/>
      <c r="E16" s="11"/>
      <c r="F16" s="15" t="s">
        <v>320</v>
      </c>
      <c r="G16" s="15"/>
      <c r="H16" s="16" t="s">
        <v>299</v>
      </c>
      <c r="I16" s="16" t="s">
        <v>40</v>
      </c>
      <c r="J16" s="16" t="s">
        <v>303</v>
      </c>
      <c r="K16" s="46" t="s">
        <v>357</v>
      </c>
      <c r="L16" s="1" t="s">
        <v>368</v>
      </c>
    </row>
    <row r="17" spans="2:12" ht="43.2" x14ac:dyDescent="0.3">
      <c r="B17" s="14">
        <f t="shared" si="0"/>
        <v>12</v>
      </c>
      <c r="C17" s="12"/>
      <c r="D17" s="12"/>
      <c r="E17" s="12"/>
      <c r="F17" s="15" t="s">
        <v>301</v>
      </c>
      <c r="G17" s="88"/>
      <c r="H17" s="16" t="s">
        <v>299</v>
      </c>
      <c r="I17" s="16" t="s">
        <v>40</v>
      </c>
      <c r="J17" s="16" t="s">
        <v>303</v>
      </c>
      <c r="K17" s="46" t="s">
        <v>357</v>
      </c>
      <c r="L17" s="1" t="s">
        <v>368</v>
      </c>
    </row>
    <row r="18" spans="2:12" ht="28.8" x14ac:dyDescent="0.3">
      <c r="B18" s="14">
        <f t="shared" si="0"/>
        <v>13</v>
      </c>
      <c r="C18" s="10" t="s">
        <v>306</v>
      </c>
      <c r="D18" s="10"/>
      <c r="E18" s="26" t="s">
        <v>304</v>
      </c>
      <c r="F18" s="15" t="s">
        <v>298</v>
      </c>
      <c r="G18" s="15"/>
      <c r="H18" s="16" t="s">
        <v>299</v>
      </c>
      <c r="I18" s="16" t="s">
        <v>40</v>
      </c>
      <c r="J18" s="45" t="s">
        <v>303</v>
      </c>
      <c r="K18" s="46" t="s">
        <v>357</v>
      </c>
      <c r="L18" s="1" t="s">
        <v>368</v>
      </c>
    </row>
    <row r="19" spans="2:12" ht="28.8" x14ac:dyDescent="0.3">
      <c r="B19" s="14">
        <f t="shared" si="0"/>
        <v>14</v>
      </c>
      <c r="C19" s="11"/>
      <c r="D19" s="11"/>
      <c r="E19" s="11"/>
      <c r="F19" s="15" t="s">
        <v>320</v>
      </c>
      <c r="G19" s="15"/>
      <c r="H19" s="16" t="s">
        <v>299</v>
      </c>
      <c r="I19" s="16" t="s">
        <v>40</v>
      </c>
      <c r="J19" s="16" t="s">
        <v>303</v>
      </c>
      <c r="K19" s="46" t="s">
        <v>357</v>
      </c>
      <c r="L19" s="1" t="s">
        <v>368</v>
      </c>
    </row>
    <row r="20" spans="2:12" ht="43.2" x14ac:dyDescent="0.3">
      <c r="B20" s="14">
        <f t="shared" si="0"/>
        <v>15</v>
      </c>
      <c r="C20" s="11"/>
      <c r="D20" s="12"/>
      <c r="E20" s="12"/>
      <c r="F20" s="15" t="s">
        <v>301</v>
      </c>
      <c r="G20" s="88"/>
      <c r="H20" s="16" t="s">
        <v>299</v>
      </c>
      <c r="I20" s="16" t="s">
        <v>40</v>
      </c>
      <c r="J20" s="16" t="s">
        <v>303</v>
      </c>
      <c r="K20" s="46" t="s">
        <v>357</v>
      </c>
      <c r="L20" s="1" t="s">
        <v>368</v>
      </c>
    </row>
    <row r="21" spans="2:12" ht="28.8" x14ac:dyDescent="0.3">
      <c r="B21" s="14">
        <f t="shared" si="0"/>
        <v>16</v>
      </c>
      <c r="C21" s="11"/>
      <c r="D21" s="10"/>
      <c r="E21" s="26" t="s">
        <v>305</v>
      </c>
      <c r="F21" s="15" t="s">
        <v>298</v>
      </c>
      <c r="G21" s="15"/>
      <c r="H21" s="16" t="s">
        <v>299</v>
      </c>
      <c r="I21" s="16" t="s">
        <v>40</v>
      </c>
      <c r="J21" s="45" t="s">
        <v>303</v>
      </c>
      <c r="K21" s="46" t="s">
        <v>357</v>
      </c>
      <c r="L21" s="1" t="s">
        <v>368</v>
      </c>
    </row>
    <row r="22" spans="2:12" ht="28.8" x14ac:dyDescent="0.3">
      <c r="B22" s="14">
        <f t="shared" si="0"/>
        <v>17</v>
      </c>
      <c r="C22" s="11"/>
      <c r="D22" s="11"/>
      <c r="E22" s="11"/>
      <c r="F22" s="15" t="s">
        <v>320</v>
      </c>
      <c r="G22" s="15"/>
      <c r="H22" s="16" t="s">
        <v>299</v>
      </c>
      <c r="I22" s="16" t="s">
        <v>40</v>
      </c>
      <c r="J22" s="16" t="s">
        <v>303</v>
      </c>
      <c r="K22" s="46" t="s">
        <v>357</v>
      </c>
      <c r="L22" s="1" t="s">
        <v>368</v>
      </c>
    </row>
    <row r="23" spans="2:12" ht="43.2" x14ac:dyDescent="0.3">
      <c r="B23" s="14">
        <f t="shared" si="0"/>
        <v>18</v>
      </c>
      <c r="C23" s="12"/>
      <c r="D23" s="12"/>
      <c r="E23" s="12"/>
      <c r="F23" s="15" t="s">
        <v>301</v>
      </c>
      <c r="G23" s="88"/>
      <c r="H23" s="16" t="s">
        <v>299</v>
      </c>
      <c r="I23" s="16" t="s">
        <v>40</v>
      </c>
      <c r="J23" s="16" t="s">
        <v>303</v>
      </c>
      <c r="K23" s="46" t="s">
        <v>357</v>
      </c>
      <c r="L23" s="1" t="s">
        <v>368</v>
      </c>
    </row>
    <row r="24" spans="2:12" ht="28.8" x14ac:dyDescent="0.3">
      <c r="B24" s="14">
        <f t="shared" si="0"/>
        <v>19</v>
      </c>
      <c r="C24" s="10" t="s">
        <v>307</v>
      </c>
      <c r="D24" s="10"/>
      <c r="E24" s="26" t="s">
        <v>305</v>
      </c>
      <c r="F24" s="15" t="s">
        <v>298</v>
      </c>
      <c r="G24" s="15"/>
      <c r="H24" s="16" t="s">
        <v>299</v>
      </c>
      <c r="I24" s="16" t="s">
        <v>40</v>
      </c>
      <c r="J24" s="45" t="s">
        <v>303</v>
      </c>
      <c r="K24" s="46" t="s">
        <v>357</v>
      </c>
      <c r="L24" s="1" t="s">
        <v>368</v>
      </c>
    </row>
    <row r="25" spans="2:12" ht="28.8" x14ac:dyDescent="0.3">
      <c r="B25" s="14">
        <f t="shared" si="0"/>
        <v>20</v>
      </c>
      <c r="C25" s="11"/>
      <c r="D25" s="11"/>
      <c r="E25" s="11"/>
      <c r="F25" s="15" t="s">
        <v>320</v>
      </c>
      <c r="G25" s="15"/>
      <c r="H25" s="16" t="s">
        <v>299</v>
      </c>
      <c r="I25" s="16" t="s">
        <v>40</v>
      </c>
      <c r="J25" s="16" t="s">
        <v>303</v>
      </c>
      <c r="K25" s="46" t="s">
        <v>357</v>
      </c>
      <c r="L25" s="1" t="s">
        <v>368</v>
      </c>
    </row>
    <row r="26" spans="2:12" ht="43.2" x14ac:dyDescent="0.3">
      <c r="B26" s="14">
        <f t="shared" si="0"/>
        <v>21</v>
      </c>
      <c r="C26" s="12"/>
      <c r="D26" s="12"/>
      <c r="E26" s="12"/>
      <c r="F26" s="15" t="s">
        <v>301</v>
      </c>
      <c r="G26" s="88"/>
      <c r="H26" s="16" t="s">
        <v>299</v>
      </c>
      <c r="I26" s="16" t="s">
        <v>40</v>
      </c>
      <c r="J26" s="16" t="s">
        <v>303</v>
      </c>
      <c r="K26" s="46" t="s">
        <v>357</v>
      </c>
      <c r="L26" s="1" t="s">
        <v>368</v>
      </c>
    </row>
    <row r="27" spans="2:12" x14ac:dyDescent="0.3">
      <c r="I27" s="85"/>
    </row>
    <row r="28" spans="2:12" x14ac:dyDescent="0.3">
      <c r="I28" s="85"/>
    </row>
    <row r="29" spans="2:12" x14ac:dyDescent="0.3">
      <c r="I29" s="85"/>
    </row>
    <row r="30" spans="2:12" x14ac:dyDescent="0.3">
      <c r="I30" s="85"/>
    </row>
    <row r="31" spans="2:12" x14ac:dyDescent="0.3">
      <c r="I31" s="85"/>
    </row>
    <row r="32" spans="2:12" x14ac:dyDescent="0.3">
      <c r="I32" s="85"/>
    </row>
    <row r="33" s="85" customFormat="1" x14ac:dyDescent="0.3"/>
    <row r="34" s="85" customFormat="1" x14ac:dyDescent="0.3"/>
    <row r="35" s="85" customFormat="1" x14ac:dyDescent="0.3"/>
    <row r="36" s="85" customFormat="1" x14ac:dyDescent="0.3"/>
    <row r="37" s="85" customFormat="1" x14ac:dyDescent="0.3"/>
    <row r="38" s="85" customFormat="1" x14ac:dyDescent="0.3"/>
    <row r="39" s="85" customFormat="1" x14ac:dyDescent="0.3"/>
    <row r="40" s="85" customFormat="1" x14ac:dyDescent="0.3"/>
    <row r="41" s="85" customFormat="1" x14ac:dyDescent="0.3"/>
    <row r="42" s="85" customFormat="1" x14ac:dyDescent="0.3"/>
    <row r="43" s="85" customFormat="1" x14ac:dyDescent="0.3"/>
    <row r="44" s="85" customFormat="1" x14ac:dyDescent="0.3"/>
    <row r="45" s="85" customFormat="1" ht="33" customHeight="1" x14ac:dyDescent="0.3"/>
    <row r="46" s="85" customFormat="1" x14ac:dyDescent="0.3"/>
    <row r="47" s="85" customFormat="1" x14ac:dyDescent="0.3"/>
    <row r="48" s="85" customFormat="1" x14ac:dyDescent="0.3"/>
    <row r="49" s="85" customFormat="1" x14ac:dyDescent="0.3"/>
    <row r="50" s="85" customFormat="1" ht="31.5" customHeight="1" x14ac:dyDescent="0.3"/>
    <row r="51" s="85" customFormat="1" x14ac:dyDescent="0.3"/>
    <row r="52" s="85" customFormat="1" x14ac:dyDescent="0.3"/>
    <row r="53" s="85" customFormat="1" x14ac:dyDescent="0.3"/>
    <row r="54" s="85" customFormat="1" x14ac:dyDescent="0.3"/>
    <row r="55" s="85" customFormat="1" x14ac:dyDescent="0.3"/>
    <row r="56" s="85" customFormat="1" x14ac:dyDescent="0.3"/>
    <row r="57" s="85" customFormat="1" x14ac:dyDescent="0.3"/>
    <row r="58" s="85" customFormat="1" x14ac:dyDescent="0.3"/>
    <row r="59" s="85" customFormat="1" x14ac:dyDescent="0.3"/>
    <row r="60" s="85" customFormat="1" ht="30.75" customHeight="1" x14ac:dyDescent="0.3"/>
    <row r="61" s="85" customFormat="1" ht="33" customHeight="1" x14ac:dyDescent="0.3"/>
    <row r="62" s="85" customFormat="1" x14ac:dyDescent="0.3"/>
    <row r="63" s="85" customFormat="1" x14ac:dyDescent="0.3"/>
    <row r="64" s="85" customFormat="1" x14ac:dyDescent="0.3"/>
    <row r="65" s="85" customFormat="1" x14ac:dyDescent="0.3"/>
    <row r="66" s="85" customFormat="1" ht="31.5" customHeight="1" x14ac:dyDescent="0.3"/>
    <row r="67" s="85" customFormat="1" x14ac:dyDescent="0.3"/>
    <row r="68" s="85" customFormat="1" ht="30.75" customHeight="1" x14ac:dyDescent="0.3"/>
    <row r="69" s="85" customFormat="1" x14ac:dyDescent="0.3"/>
    <row r="70" s="85" customFormat="1" ht="31.5" customHeight="1" x14ac:dyDescent="0.3"/>
    <row r="71" s="85" customFormat="1" x14ac:dyDescent="0.3"/>
    <row r="72" s="85" customFormat="1" x14ac:dyDescent="0.3"/>
    <row r="73" s="85" customFormat="1" x14ac:dyDescent="0.3"/>
    <row r="74" s="85" customFormat="1" ht="33" customHeight="1" x14ac:dyDescent="0.3"/>
    <row r="75" s="85" customFormat="1" x14ac:dyDescent="0.3"/>
    <row r="76" s="85" customFormat="1" ht="30.75" customHeight="1" x14ac:dyDescent="0.3"/>
    <row r="77" s="85" customFormat="1" ht="27" customHeight="1" x14ac:dyDescent="0.3"/>
    <row r="78" s="85" customFormat="1" x14ac:dyDescent="0.3"/>
    <row r="79" s="85" customFormat="1" x14ac:dyDescent="0.3"/>
    <row r="80" s="85" customFormat="1" x14ac:dyDescent="0.3"/>
    <row r="81" s="85" customFormat="1" x14ac:dyDescent="0.3"/>
    <row r="82" s="85" customFormat="1" x14ac:dyDescent="0.3"/>
    <row r="83" s="85" customFormat="1" x14ac:dyDescent="0.3"/>
    <row r="84" s="85" customFormat="1" x14ac:dyDescent="0.3"/>
    <row r="85" s="85" customFormat="1" x14ac:dyDescent="0.3"/>
    <row r="86" s="85" customFormat="1" x14ac:dyDescent="0.3"/>
    <row r="87" s="85" customFormat="1" x14ac:dyDescent="0.3"/>
    <row r="88" s="85" customFormat="1" x14ac:dyDescent="0.3"/>
    <row r="89" s="85" customFormat="1" x14ac:dyDescent="0.3"/>
    <row r="90" s="85" customFormat="1" x14ac:dyDescent="0.3"/>
    <row r="91" s="85" customFormat="1" x14ac:dyDescent="0.3"/>
    <row r="92" s="85" customFormat="1" x14ac:dyDescent="0.3"/>
    <row r="93" s="85" customFormat="1" x14ac:dyDescent="0.3"/>
    <row r="94" s="85" customFormat="1" x14ac:dyDescent="0.3"/>
    <row r="95" s="85" customFormat="1" x14ac:dyDescent="0.3"/>
    <row r="96" s="85" customFormat="1" x14ac:dyDescent="0.3"/>
    <row r="97" s="85" customFormat="1" x14ac:dyDescent="0.3"/>
    <row r="98" s="85" customFormat="1" x14ac:dyDescent="0.3"/>
    <row r="99" s="85" customFormat="1" x14ac:dyDescent="0.3"/>
    <row r="100" s="85" customFormat="1" x14ac:dyDescent="0.3"/>
    <row r="101" s="85" customFormat="1" x14ac:dyDescent="0.3"/>
    <row r="102" s="85" customFormat="1" x14ac:dyDescent="0.3"/>
    <row r="103" s="85" customFormat="1" x14ac:dyDescent="0.3"/>
    <row r="104" s="85" customFormat="1" x14ac:dyDescent="0.3"/>
    <row r="105" s="85" customFormat="1" x14ac:dyDescent="0.3"/>
    <row r="106" s="85" customFormat="1" x14ac:dyDescent="0.3"/>
    <row r="107" s="85" customFormat="1" x14ac:dyDescent="0.3"/>
    <row r="108" s="85" customFormat="1" ht="409.05" customHeight="1" x14ac:dyDescent="0.3"/>
    <row r="109" s="85" customFormat="1" x14ac:dyDescent="0.3"/>
    <row r="110" s="85" customFormat="1" x14ac:dyDescent="0.3"/>
    <row r="111" s="85" customFormat="1" x14ac:dyDescent="0.3"/>
    <row r="112" s="85" customFormat="1" x14ac:dyDescent="0.3"/>
    <row r="113" s="85" customFormat="1" x14ac:dyDescent="0.3"/>
    <row r="114" s="85" customFormat="1" x14ac:dyDescent="0.3"/>
    <row r="115" s="85" customFormat="1" x14ac:dyDescent="0.3"/>
    <row r="116" s="85" customFormat="1" x14ac:dyDescent="0.3"/>
    <row r="117" s="85" customFormat="1" x14ac:dyDescent="0.3"/>
    <row r="118" s="85" customFormat="1" x14ac:dyDescent="0.3"/>
    <row r="119" s="85" customFormat="1" x14ac:dyDescent="0.3"/>
    <row r="120" s="85" customFormat="1" x14ac:dyDescent="0.3"/>
    <row r="121" s="85" customFormat="1" x14ac:dyDescent="0.3"/>
    <row r="122" s="85" customFormat="1" x14ac:dyDescent="0.3"/>
    <row r="123" s="85" customFormat="1" x14ac:dyDescent="0.3"/>
    <row r="124" s="85" customFormat="1" x14ac:dyDescent="0.3"/>
    <row r="125" s="85" customFormat="1" x14ac:dyDescent="0.3"/>
    <row r="126" s="85" customFormat="1" x14ac:dyDescent="0.3"/>
    <row r="127" s="85" customFormat="1" x14ac:dyDescent="0.3"/>
    <row r="128" s="85" customFormat="1" x14ac:dyDescent="0.3"/>
    <row r="129" s="85" customFormat="1" x14ac:dyDescent="0.3"/>
    <row r="130" s="85" customFormat="1" x14ac:dyDescent="0.3"/>
    <row r="131" s="85" customFormat="1" x14ac:dyDescent="0.3"/>
    <row r="132" s="85" customFormat="1" x14ac:dyDescent="0.3"/>
    <row r="133" s="85" customFormat="1" x14ac:dyDescent="0.3"/>
    <row r="134" s="85" customFormat="1" x14ac:dyDescent="0.3"/>
    <row r="135" s="85" customFormat="1" x14ac:dyDescent="0.3"/>
    <row r="136" s="85" customFormat="1" x14ac:dyDescent="0.3"/>
    <row r="137" s="85" customFormat="1" x14ac:dyDescent="0.3"/>
    <row r="138" s="85" customFormat="1" x14ac:dyDescent="0.3"/>
    <row r="139" s="85" customFormat="1" x14ac:dyDescent="0.3"/>
    <row r="140" s="85" customFormat="1" x14ac:dyDescent="0.3"/>
    <row r="141" s="85" customFormat="1" x14ac:dyDescent="0.3"/>
    <row r="142" s="85" customFormat="1" x14ac:dyDescent="0.3"/>
    <row r="143" s="85" customFormat="1" x14ac:dyDescent="0.3"/>
    <row r="144" s="85" customFormat="1" x14ac:dyDescent="0.3"/>
    <row r="145" s="85" customFormat="1" x14ac:dyDescent="0.3"/>
    <row r="146" s="85" customFormat="1" x14ac:dyDescent="0.3"/>
    <row r="147" s="85" customFormat="1" x14ac:dyDescent="0.3"/>
    <row r="148" s="85" customFormat="1" x14ac:dyDescent="0.3"/>
    <row r="149" s="85" customFormat="1" x14ac:dyDescent="0.3"/>
    <row r="150" s="85" customFormat="1" x14ac:dyDescent="0.3"/>
    <row r="151" s="85" customFormat="1" x14ac:dyDescent="0.3"/>
    <row r="152" s="85" customFormat="1" x14ac:dyDescent="0.3"/>
    <row r="153" s="85" customFormat="1" x14ac:dyDescent="0.3"/>
    <row r="154" s="85" customFormat="1" x14ac:dyDescent="0.3"/>
    <row r="155" s="85" customFormat="1" x14ac:dyDescent="0.3"/>
    <row r="156" s="85" customFormat="1" x14ac:dyDescent="0.3"/>
    <row r="157" s="85" customFormat="1" x14ac:dyDescent="0.3"/>
    <row r="158" s="85" customFormat="1" x14ac:dyDescent="0.3"/>
    <row r="159" s="85" customFormat="1" x14ac:dyDescent="0.3"/>
    <row r="160" s="85" customFormat="1" x14ac:dyDescent="0.3"/>
    <row r="161" s="85" customFormat="1" x14ac:dyDescent="0.3"/>
    <row r="162" s="85" customFormat="1" x14ac:dyDescent="0.3"/>
    <row r="163" s="85" customFormat="1" x14ac:dyDescent="0.3"/>
    <row r="164" s="85" customFormat="1" x14ac:dyDescent="0.3"/>
    <row r="165" s="85" customFormat="1" x14ac:dyDescent="0.3"/>
    <row r="166" s="85" customFormat="1" x14ac:dyDescent="0.3"/>
    <row r="167" s="85" customFormat="1" x14ac:dyDescent="0.3"/>
    <row r="168" s="85" customFormat="1" x14ac:dyDescent="0.3"/>
    <row r="169" s="85" customFormat="1" x14ac:dyDescent="0.3"/>
    <row r="170" s="85" customFormat="1" x14ac:dyDescent="0.3"/>
    <row r="171" s="85" customFormat="1" x14ac:dyDescent="0.3"/>
    <row r="172" s="85" customFormat="1" x14ac:dyDescent="0.3"/>
    <row r="173" s="85" customFormat="1" x14ac:dyDescent="0.3"/>
    <row r="174" s="85" customFormat="1" x14ac:dyDescent="0.3"/>
    <row r="175" s="85" customFormat="1" x14ac:dyDescent="0.3"/>
    <row r="176" s="85" customFormat="1" x14ac:dyDescent="0.3"/>
    <row r="177" s="85" customFormat="1" x14ac:dyDescent="0.3"/>
    <row r="178" s="85" customFormat="1" x14ac:dyDescent="0.3"/>
    <row r="179" s="85" customFormat="1" x14ac:dyDescent="0.3"/>
    <row r="180" s="85" customFormat="1" x14ac:dyDescent="0.3"/>
    <row r="181" s="85" customFormat="1" x14ac:dyDescent="0.3"/>
    <row r="182" s="85" customFormat="1" x14ac:dyDescent="0.3"/>
    <row r="183" s="85" customFormat="1" x14ac:dyDescent="0.3"/>
    <row r="184" s="85" customFormat="1" x14ac:dyDescent="0.3"/>
    <row r="185" s="85" customFormat="1" ht="2.25" customHeight="1" x14ac:dyDescent="0.3"/>
    <row r="186" s="85" customFormat="1" ht="409.5" customHeight="1" x14ac:dyDescent="0.3"/>
    <row r="187" s="85" customFormat="1" x14ac:dyDescent="0.3"/>
    <row r="188" s="85" customFormat="1" x14ac:dyDescent="0.3"/>
    <row r="189" s="85" customFormat="1" x14ac:dyDescent="0.3"/>
    <row r="190" s="85" customFormat="1" x14ac:dyDescent="0.3"/>
    <row r="191" s="85" customFormat="1" x14ac:dyDescent="0.3"/>
    <row r="192" s="85" customFormat="1" x14ac:dyDescent="0.3"/>
    <row r="193" spans="9:9" x14ac:dyDescent="0.3">
      <c r="I193" s="85"/>
    </row>
    <row r="194" spans="9:9" x14ac:dyDescent="0.3">
      <c r="I194" s="85"/>
    </row>
    <row r="195" spans="9:9" x14ac:dyDescent="0.3">
      <c r="I195" s="85"/>
    </row>
    <row r="196" spans="9:9" x14ac:dyDescent="0.3">
      <c r="I196" s="85"/>
    </row>
    <row r="197" spans="9:9" x14ac:dyDescent="0.3">
      <c r="I197" s="85"/>
    </row>
  </sheetData>
  <phoneticPr fontId="12"/>
  <hyperlinks>
    <hyperlink ref="A4" location="パラメータ設定一覧!A1" display="パラメータ設定一覧へ" xr:uid="{E48FBBD6-E40A-41C9-99E8-C10363BF1044}"/>
  </hyperlink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B8F1B-AE67-4513-983E-5D3DF8B48C2C}">
  <sheetPr>
    <tabColor theme="0" tint="-0.499984740745262"/>
  </sheetPr>
  <dimension ref="A1:L179"/>
  <sheetViews>
    <sheetView showGridLines="0" zoomScaleNormal="100" workbookViewId="0">
      <pane xSplit="6" ySplit="5" topLeftCell="G6" activePane="bottomRight" state="frozen"/>
      <selection activeCell="A7" sqref="A7"/>
      <selection pane="topRight" activeCell="A7" sqref="A7"/>
      <selection pane="bottomLeft" activeCell="A7" sqref="A7"/>
      <selection pane="bottomRight" activeCell="A7" sqref="A7"/>
    </sheetView>
  </sheetViews>
  <sheetFormatPr defaultColWidth="8.81640625" defaultRowHeight="14.4" x14ac:dyDescent="0.3"/>
  <cols>
    <col min="1" max="1" width="2.81640625" style="23" customWidth="1"/>
    <col min="2" max="2" width="3.81640625" style="23" customWidth="1"/>
    <col min="3" max="3" width="16.81640625" style="23" customWidth="1"/>
    <col min="4" max="4" width="19.1796875" style="23" customWidth="1"/>
    <col min="5" max="5" width="16.54296875" style="23" customWidth="1"/>
    <col min="6" max="6" width="22.54296875" style="23" customWidth="1"/>
    <col min="7" max="7" width="19" style="23" customWidth="1"/>
    <col min="8" max="8" width="23.1796875" style="23" customWidth="1"/>
    <col min="9" max="9" width="17.453125" style="27" customWidth="1"/>
    <col min="10" max="10" width="22.453125" style="23" customWidth="1"/>
    <col min="11" max="11" width="18.1796875" style="23" customWidth="1"/>
    <col min="12" max="12" width="13.1796875" style="23" customWidth="1"/>
    <col min="13" max="16384" width="8.81640625" style="23"/>
  </cols>
  <sheetData>
    <row r="1" spans="1:12" customFormat="1" ht="18.600000000000001" x14ac:dyDescent="0.3">
      <c r="A1" s="43" t="s">
        <v>218</v>
      </c>
      <c r="C1" s="23"/>
      <c r="D1" s="23"/>
      <c r="E1" s="23"/>
      <c r="F1" s="23"/>
      <c r="G1" s="23"/>
      <c r="H1" s="23"/>
      <c r="I1" s="27"/>
    </row>
    <row r="2" spans="1:12" customFormat="1" ht="15" x14ac:dyDescent="0.3">
      <c r="B2" t="s">
        <v>336</v>
      </c>
      <c r="C2" s="23"/>
      <c r="D2" s="23"/>
      <c r="E2" s="23"/>
      <c r="F2" s="23"/>
      <c r="G2" s="23"/>
      <c r="H2" s="23"/>
      <c r="I2" s="27"/>
    </row>
    <row r="3" spans="1:12" customFormat="1" ht="15" x14ac:dyDescent="0.3">
      <c r="B3" t="s">
        <v>337</v>
      </c>
      <c r="C3" s="23"/>
      <c r="D3" s="23"/>
      <c r="E3" s="23"/>
      <c r="F3" s="23"/>
      <c r="G3" s="23"/>
      <c r="H3" s="23"/>
      <c r="I3" s="27"/>
    </row>
    <row r="4" spans="1:12" customFormat="1" ht="15" x14ac:dyDescent="0.3">
      <c r="A4" s="7" t="s">
        <v>352</v>
      </c>
      <c r="C4" s="23"/>
      <c r="D4" s="23"/>
      <c r="E4" s="23"/>
      <c r="F4" s="23"/>
      <c r="G4" s="23"/>
      <c r="H4" s="23"/>
      <c r="I4" s="27"/>
    </row>
    <row r="5" spans="1:12" x14ac:dyDescent="0.3">
      <c r="B5" s="8" t="s">
        <v>15</v>
      </c>
      <c r="C5" s="8" t="s">
        <v>16</v>
      </c>
      <c r="D5" s="8" t="s">
        <v>17</v>
      </c>
      <c r="E5" s="8" t="s">
        <v>18</v>
      </c>
      <c r="F5" s="13" t="s">
        <v>19</v>
      </c>
      <c r="G5" s="13" t="s">
        <v>296</v>
      </c>
      <c r="H5" s="8" t="s">
        <v>21</v>
      </c>
      <c r="I5" s="28" t="s">
        <v>22</v>
      </c>
      <c r="J5" s="8" t="s">
        <v>23</v>
      </c>
      <c r="K5" s="9" t="s">
        <v>24</v>
      </c>
      <c r="L5" s="9" t="s">
        <v>25</v>
      </c>
    </row>
    <row r="6" spans="1:12" ht="43.2" x14ac:dyDescent="0.3">
      <c r="B6" s="14">
        <f t="shared" ref="B6:B8" si="0">ROW() - 5</f>
        <v>1</v>
      </c>
      <c r="C6" s="10" t="s">
        <v>218</v>
      </c>
      <c r="D6" s="10"/>
      <c r="E6" s="44"/>
      <c r="F6" s="15" t="s">
        <v>218</v>
      </c>
      <c r="G6" s="15" t="s">
        <v>321</v>
      </c>
      <c r="H6" s="22" t="s">
        <v>93</v>
      </c>
      <c r="I6" s="22" t="s">
        <v>308</v>
      </c>
      <c r="J6" s="45"/>
      <c r="K6" s="46" t="s">
        <v>310</v>
      </c>
      <c r="L6" s="1"/>
    </row>
    <row r="7" spans="1:12" ht="86.4" x14ac:dyDescent="0.3">
      <c r="B7" s="14">
        <f t="shared" si="0"/>
        <v>2</v>
      </c>
      <c r="C7" s="11"/>
      <c r="D7" s="11"/>
      <c r="E7" s="11"/>
      <c r="F7" s="15" t="s">
        <v>311</v>
      </c>
      <c r="G7" s="15" t="s">
        <v>322</v>
      </c>
      <c r="H7" s="22" t="s">
        <v>312</v>
      </c>
      <c r="I7" s="22" t="s">
        <v>219</v>
      </c>
      <c r="J7" s="16"/>
      <c r="K7" s="46" t="s">
        <v>310</v>
      </c>
      <c r="L7" s="1"/>
    </row>
    <row r="8" spans="1:12" ht="43.2" x14ac:dyDescent="0.3">
      <c r="B8" s="14">
        <f t="shared" si="0"/>
        <v>3</v>
      </c>
      <c r="C8" s="12"/>
      <c r="D8" s="12"/>
      <c r="E8" s="12"/>
      <c r="F8" s="15" t="s">
        <v>187</v>
      </c>
      <c r="G8" s="47" t="s">
        <v>323</v>
      </c>
      <c r="H8" s="22" t="s">
        <v>93</v>
      </c>
      <c r="I8" s="22" t="s">
        <v>308</v>
      </c>
      <c r="J8" s="16"/>
      <c r="K8" s="46" t="s">
        <v>310</v>
      </c>
      <c r="L8" s="1"/>
    </row>
    <row r="9" spans="1:12" x14ac:dyDescent="0.3">
      <c r="I9" s="23"/>
    </row>
    <row r="10" spans="1:12" x14ac:dyDescent="0.3">
      <c r="I10" s="23"/>
    </row>
    <row r="11" spans="1:12" x14ac:dyDescent="0.3">
      <c r="I11" s="23"/>
    </row>
    <row r="12" spans="1:12" x14ac:dyDescent="0.3">
      <c r="I12" s="23"/>
    </row>
    <row r="13" spans="1:12" x14ac:dyDescent="0.3">
      <c r="I13" s="23"/>
    </row>
    <row r="14" spans="1:12" x14ac:dyDescent="0.3">
      <c r="I14" s="23"/>
    </row>
    <row r="15" spans="1:12" x14ac:dyDescent="0.3">
      <c r="I15" s="23"/>
    </row>
    <row r="16" spans="1:12" x14ac:dyDescent="0.3">
      <c r="I16" s="23"/>
    </row>
    <row r="17" s="23" customFormat="1" x14ac:dyDescent="0.3"/>
    <row r="18" s="23" customFormat="1" x14ac:dyDescent="0.3"/>
    <row r="19" s="23" customFormat="1" x14ac:dyDescent="0.3"/>
    <row r="20" s="23" customFormat="1" x14ac:dyDescent="0.3"/>
    <row r="21" s="23" customFormat="1" x14ac:dyDescent="0.3"/>
    <row r="22" s="23" customFormat="1" x14ac:dyDescent="0.3"/>
    <row r="23" s="23" customFormat="1" x14ac:dyDescent="0.3"/>
    <row r="24" s="23" customFormat="1" x14ac:dyDescent="0.3"/>
    <row r="25" s="23" customFormat="1" x14ac:dyDescent="0.3"/>
    <row r="26" s="23" customFormat="1" x14ac:dyDescent="0.3"/>
    <row r="27" s="23" customFormat="1" ht="33" customHeight="1" x14ac:dyDescent="0.3"/>
    <row r="28" s="23" customFormat="1" x14ac:dyDescent="0.3"/>
    <row r="29" s="23" customFormat="1" x14ac:dyDescent="0.3"/>
    <row r="30" s="23" customFormat="1" x14ac:dyDescent="0.3"/>
    <row r="31" s="23" customFormat="1" x14ac:dyDescent="0.3"/>
    <row r="32" s="23" customFormat="1" ht="31.5" customHeight="1" x14ac:dyDescent="0.3"/>
    <row r="33" s="23" customFormat="1" x14ac:dyDescent="0.3"/>
    <row r="34" s="23" customFormat="1" x14ac:dyDescent="0.3"/>
    <row r="35" s="23" customFormat="1" x14ac:dyDescent="0.3"/>
    <row r="36" s="23" customFormat="1" x14ac:dyDescent="0.3"/>
    <row r="37" s="23" customFormat="1" x14ac:dyDescent="0.3"/>
    <row r="38" s="23" customFormat="1" x14ac:dyDescent="0.3"/>
    <row r="39" s="23" customFormat="1" x14ac:dyDescent="0.3"/>
    <row r="40" s="23" customFormat="1" x14ac:dyDescent="0.3"/>
    <row r="41" s="23" customFormat="1" x14ac:dyDescent="0.3"/>
    <row r="42" s="23" customFormat="1" ht="30.75" customHeight="1" x14ac:dyDescent="0.3"/>
    <row r="43" s="23" customFormat="1" ht="33" customHeight="1" x14ac:dyDescent="0.3"/>
    <row r="44" s="23" customFormat="1" x14ac:dyDescent="0.3"/>
    <row r="45" s="23" customFormat="1" x14ac:dyDescent="0.3"/>
    <row r="46" s="23" customFormat="1" x14ac:dyDescent="0.3"/>
    <row r="47" s="23" customFormat="1" x14ac:dyDescent="0.3"/>
    <row r="48" s="23" customFormat="1" ht="31.5" customHeight="1" x14ac:dyDescent="0.3"/>
    <row r="49" s="23" customFormat="1" x14ac:dyDescent="0.3"/>
    <row r="50" s="23" customFormat="1" ht="30.75" customHeight="1" x14ac:dyDescent="0.3"/>
    <row r="51" s="23" customFormat="1" x14ac:dyDescent="0.3"/>
    <row r="52" s="23" customFormat="1" ht="31.5" customHeight="1" x14ac:dyDescent="0.3"/>
    <row r="53" s="23" customFormat="1" x14ac:dyDescent="0.3"/>
    <row r="54" s="23" customFormat="1" x14ac:dyDescent="0.3"/>
    <row r="55" s="23" customFormat="1" x14ac:dyDescent="0.3"/>
    <row r="56" s="23" customFormat="1" ht="33" customHeight="1" x14ac:dyDescent="0.3"/>
    <row r="57" s="23" customFormat="1" x14ac:dyDescent="0.3"/>
    <row r="58" s="23" customFormat="1" ht="30.75" customHeight="1" x14ac:dyDescent="0.3"/>
    <row r="59" s="23" customFormat="1" ht="27" customHeight="1" x14ac:dyDescent="0.3"/>
    <row r="60" s="23" customFormat="1" x14ac:dyDescent="0.3"/>
    <row r="61" s="23" customFormat="1" x14ac:dyDescent="0.3"/>
    <row r="62" s="23" customFormat="1" x14ac:dyDescent="0.3"/>
    <row r="63" s="23" customFormat="1" x14ac:dyDescent="0.3"/>
    <row r="64" s="23" customFormat="1" x14ac:dyDescent="0.3"/>
    <row r="65" s="23" customFormat="1" x14ac:dyDescent="0.3"/>
    <row r="66" s="23" customFormat="1" x14ac:dyDescent="0.3"/>
    <row r="67" s="23" customFormat="1" x14ac:dyDescent="0.3"/>
    <row r="68" s="23" customFormat="1" x14ac:dyDescent="0.3"/>
    <row r="69" s="23" customFormat="1" x14ac:dyDescent="0.3"/>
    <row r="70" s="23" customFormat="1" x14ac:dyDescent="0.3"/>
    <row r="71" s="23" customFormat="1" x14ac:dyDescent="0.3"/>
    <row r="72" s="23" customFormat="1" x14ac:dyDescent="0.3"/>
    <row r="73" s="23" customFormat="1" x14ac:dyDescent="0.3"/>
    <row r="74" s="23" customFormat="1" x14ac:dyDescent="0.3"/>
    <row r="75" s="23" customFormat="1" x14ac:dyDescent="0.3"/>
    <row r="76" s="23" customFormat="1" x14ac:dyDescent="0.3"/>
    <row r="77" s="23" customFormat="1" x14ac:dyDescent="0.3"/>
    <row r="78" s="23" customFormat="1" x14ac:dyDescent="0.3"/>
    <row r="79" s="23" customFormat="1" x14ac:dyDescent="0.3"/>
    <row r="80" s="23" customFormat="1" x14ac:dyDescent="0.3"/>
    <row r="81" s="23" customFormat="1" x14ac:dyDescent="0.3"/>
    <row r="82" s="23" customFormat="1" x14ac:dyDescent="0.3"/>
    <row r="83" s="23" customFormat="1" x14ac:dyDescent="0.3"/>
    <row r="84" s="23" customFormat="1" x14ac:dyDescent="0.3"/>
    <row r="85" s="23" customFormat="1" x14ac:dyDescent="0.3"/>
    <row r="86" s="23" customFormat="1" x14ac:dyDescent="0.3"/>
    <row r="87" s="23" customFormat="1" x14ac:dyDescent="0.3"/>
    <row r="88" s="23" customFormat="1" x14ac:dyDescent="0.3"/>
    <row r="89" s="23" customFormat="1" x14ac:dyDescent="0.3"/>
    <row r="90" s="23" customFormat="1" ht="409.05" customHeight="1" x14ac:dyDescent="0.3"/>
    <row r="91" s="23" customFormat="1" x14ac:dyDescent="0.3"/>
    <row r="92" s="23" customFormat="1" x14ac:dyDescent="0.3"/>
    <row r="93" s="23" customFormat="1" x14ac:dyDescent="0.3"/>
    <row r="94" s="23" customFormat="1" x14ac:dyDescent="0.3"/>
    <row r="95" s="23" customFormat="1" x14ac:dyDescent="0.3"/>
    <row r="96" s="23" customFormat="1" x14ac:dyDescent="0.3"/>
    <row r="97" s="23" customFormat="1" x14ac:dyDescent="0.3"/>
    <row r="98" s="23" customFormat="1" x14ac:dyDescent="0.3"/>
    <row r="99" s="23" customFormat="1" x14ac:dyDescent="0.3"/>
    <row r="100" s="23" customFormat="1" x14ac:dyDescent="0.3"/>
    <row r="101" s="23" customFormat="1" x14ac:dyDescent="0.3"/>
    <row r="102" s="23" customFormat="1" x14ac:dyDescent="0.3"/>
    <row r="103" s="23" customFormat="1" x14ac:dyDescent="0.3"/>
    <row r="104" s="23" customFormat="1" x14ac:dyDescent="0.3"/>
    <row r="105" s="23" customFormat="1" x14ac:dyDescent="0.3"/>
    <row r="106" s="23" customFormat="1" x14ac:dyDescent="0.3"/>
    <row r="107" s="23" customFormat="1" x14ac:dyDescent="0.3"/>
    <row r="108" s="23" customFormat="1" x14ac:dyDescent="0.3"/>
    <row r="109" s="23" customFormat="1" x14ac:dyDescent="0.3"/>
    <row r="110" s="23" customFormat="1" x14ac:dyDescent="0.3"/>
    <row r="111" s="23" customFormat="1" x14ac:dyDescent="0.3"/>
    <row r="112" s="23" customFormat="1" x14ac:dyDescent="0.3"/>
    <row r="113" s="23" customFormat="1" x14ac:dyDescent="0.3"/>
    <row r="114" s="23" customFormat="1" x14ac:dyDescent="0.3"/>
    <row r="115" s="23" customFormat="1" x14ac:dyDescent="0.3"/>
    <row r="116" s="23" customFormat="1" x14ac:dyDescent="0.3"/>
    <row r="117" s="23" customFormat="1" x14ac:dyDescent="0.3"/>
    <row r="118" s="23" customFormat="1" x14ac:dyDescent="0.3"/>
    <row r="119" s="23" customFormat="1" x14ac:dyDescent="0.3"/>
    <row r="120" s="23" customFormat="1" x14ac:dyDescent="0.3"/>
    <row r="121" s="23" customFormat="1" x14ac:dyDescent="0.3"/>
    <row r="122" s="23" customFormat="1" x14ac:dyDescent="0.3"/>
    <row r="123" s="23" customFormat="1" x14ac:dyDescent="0.3"/>
    <row r="124" s="23" customFormat="1" x14ac:dyDescent="0.3"/>
    <row r="125" s="23" customFormat="1" x14ac:dyDescent="0.3"/>
    <row r="126" s="23" customFormat="1" x14ac:dyDescent="0.3"/>
    <row r="127" s="23" customFormat="1" x14ac:dyDescent="0.3"/>
    <row r="128" s="23" customFormat="1" x14ac:dyDescent="0.3"/>
    <row r="129" s="23" customFormat="1" x14ac:dyDescent="0.3"/>
    <row r="130" s="23" customFormat="1" x14ac:dyDescent="0.3"/>
    <row r="131" s="23" customFormat="1" x14ac:dyDescent="0.3"/>
    <row r="132" s="23" customFormat="1" x14ac:dyDescent="0.3"/>
    <row r="133" s="23" customFormat="1" x14ac:dyDescent="0.3"/>
    <row r="134" s="23" customFormat="1" x14ac:dyDescent="0.3"/>
    <row r="135" s="23" customFormat="1" x14ac:dyDescent="0.3"/>
    <row r="136" s="23" customFormat="1" x14ac:dyDescent="0.3"/>
    <row r="137" s="23" customFormat="1" x14ac:dyDescent="0.3"/>
    <row r="138" s="23" customFormat="1" x14ac:dyDescent="0.3"/>
    <row r="139" s="23" customFormat="1" x14ac:dyDescent="0.3"/>
    <row r="140" s="23" customFormat="1" x14ac:dyDescent="0.3"/>
    <row r="141" s="23" customFormat="1" x14ac:dyDescent="0.3"/>
    <row r="142" s="23" customFormat="1" x14ac:dyDescent="0.3"/>
    <row r="143" s="23" customFormat="1" x14ac:dyDescent="0.3"/>
    <row r="144" s="23" customFormat="1" x14ac:dyDescent="0.3"/>
    <row r="145" s="23" customFormat="1" x14ac:dyDescent="0.3"/>
    <row r="146" s="23" customFormat="1" x14ac:dyDescent="0.3"/>
    <row r="147" s="23" customFormat="1" x14ac:dyDescent="0.3"/>
    <row r="148" s="23" customFormat="1" x14ac:dyDescent="0.3"/>
    <row r="149" s="23" customFormat="1" x14ac:dyDescent="0.3"/>
    <row r="150" s="23" customFormat="1" x14ac:dyDescent="0.3"/>
    <row r="151" s="23" customFormat="1" x14ac:dyDescent="0.3"/>
    <row r="152" s="23" customFormat="1" x14ac:dyDescent="0.3"/>
    <row r="153" s="23" customFormat="1" x14ac:dyDescent="0.3"/>
    <row r="154" s="23" customFormat="1" x14ac:dyDescent="0.3"/>
    <row r="155" s="23" customFormat="1" x14ac:dyDescent="0.3"/>
    <row r="156" s="23" customFormat="1" x14ac:dyDescent="0.3"/>
    <row r="157" s="23" customFormat="1" x14ac:dyDescent="0.3"/>
    <row r="158" s="23" customFormat="1" x14ac:dyDescent="0.3"/>
    <row r="159" s="23" customFormat="1" x14ac:dyDescent="0.3"/>
    <row r="160" s="23" customFormat="1" x14ac:dyDescent="0.3"/>
    <row r="161" s="23" customFormat="1" x14ac:dyDescent="0.3"/>
    <row r="162" s="23" customFormat="1" x14ac:dyDescent="0.3"/>
    <row r="163" s="23" customFormat="1" x14ac:dyDescent="0.3"/>
    <row r="164" s="23" customFormat="1" x14ac:dyDescent="0.3"/>
    <row r="165" s="23" customFormat="1" x14ac:dyDescent="0.3"/>
    <row r="166" s="23" customFormat="1" x14ac:dyDescent="0.3"/>
    <row r="167" s="23" customFormat="1" ht="2.25" customHeight="1" x14ac:dyDescent="0.3"/>
    <row r="168" s="23" customFormat="1" ht="409.5" customHeight="1" x14ac:dyDescent="0.3"/>
    <row r="169" s="23" customFormat="1" x14ac:dyDescent="0.3"/>
    <row r="170" s="23" customFormat="1" x14ac:dyDescent="0.3"/>
    <row r="171" s="23" customFormat="1" x14ac:dyDescent="0.3"/>
    <row r="172" s="23" customFormat="1" x14ac:dyDescent="0.3"/>
    <row r="173" s="23" customFormat="1" x14ac:dyDescent="0.3"/>
    <row r="174" s="23" customFormat="1" x14ac:dyDescent="0.3"/>
    <row r="175" s="23" customFormat="1" x14ac:dyDescent="0.3"/>
    <row r="176" s="23" customFormat="1" x14ac:dyDescent="0.3"/>
    <row r="177" spans="9:9" x14ac:dyDescent="0.3">
      <c r="I177" s="23"/>
    </row>
    <row r="178" spans="9:9" x14ac:dyDescent="0.3">
      <c r="I178" s="23"/>
    </row>
    <row r="179" spans="9:9" x14ac:dyDescent="0.3">
      <c r="I179" s="23"/>
    </row>
  </sheetData>
  <phoneticPr fontId="12"/>
  <hyperlinks>
    <hyperlink ref="A4" location="パラメータ設定一覧!A1" display="パラメータ設定一覧へ" xr:uid="{8C5CCCB1-B1DF-41DA-B713-BB0545FA4C5D}"/>
  </hyperlink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E66D8-3818-4982-ABD1-9AA99CA63B89}">
  <sheetPr>
    <tabColor theme="0" tint="-0.499984740745262"/>
  </sheetPr>
  <dimension ref="A1:E11"/>
  <sheetViews>
    <sheetView showGridLines="0" zoomScaleNormal="100" workbookViewId="0">
      <pane ySplit="6" topLeftCell="A7" activePane="bottomLeft" state="frozen"/>
      <selection activeCell="A7" sqref="A7"/>
      <selection pane="bottomLeft" activeCell="A7" sqref="A7"/>
    </sheetView>
  </sheetViews>
  <sheetFormatPr defaultColWidth="8.81640625" defaultRowHeight="14.4" x14ac:dyDescent="0.3"/>
  <cols>
    <col min="1" max="1" width="2.81640625" style="23" customWidth="1"/>
    <col min="2" max="2" width="3.54296875" style="23" bestFit="1" customWidth="1"/>
    <col min="3" max="4" width="19.36328125" style="23" customWidth="1"/>
    <col min="5" max="5" width="10.1796875" style="23" bestFit="1" customWidth="1"/>
    <col min="6" max="6" width="19.6328125" style="23" bestFit="1" customWidth="1"/>
    <col min="7" max="7" width="15.1796875" style="23" bestFit="1" customWidth="1"/>
    <col min="8" max="9" width="15.1796875" style="23" customWidth="1"/>
    <col min="10" max="10" width="20.6328125" style="23" bestFit="1" customWidth="1"/>
    <col min="11" max="11" width="14.453125" style="23" bestFit="1" customWidth="1"/>
    <col min="12" max="12" width="11.81640625" style="23" customWidth="1"/>
    <col min="13" max="13" width="8.1796875" style="23" bestFit="1" customWidth="1"/>
    <col min="14" max="16384" width="8.81640625" style="23"/>
  </cols>
  <sheetData>
    <row r="1" spans="1:5" customFormat="1" ht="18.600000000000001" x14ac:dyDescent="0.3">
      <c r="A1" s="43" t="s">
        <v>218</v>
      </c>
    </row>
    <row r="2" spans="1:5" customFormat="1" ht="15" x14ac:dyDescent="0.3"/>
    <row r="3" spans="1:5" customFormat="1" ht="15" x14ac:dyDescent="0.3">
      <c r="A3" s="7" t="s">
        <v>352</v>
      </c>
    </row>
    <row r="4" spans="1:5" ht="15.75" customHeight="1" x14ac:dyDescent="0.3">
      <c r="B4" s="131" t="s">
        <v>15</v>
      </c>
      <c r="C4" s="48" t="s">
        <v>218</v>
      </c>
      <c r="D4" s="50"/>
      <c r="E4" s="74"/>
    </row>
    <row r="5" spans="1:5" x14ac:dyDescent="0.3">
      <c r="B5" s="131"/>
      <c r="C5" s="2" t="s">
        <v>218</v>
      </c>
      <c r="D5" s="2" t="s">
        <v>311</v>
      </c>
      <c r="E5" s="2" t="s">
        <v>187</v>
      </c>
    </row>
    <row r="6" spans="1:5" ht="43.2" x14ac:dyDescent="0.3">
      <c r="B6" s="131"/>
      <c r="C6" s="4" t="s">
        <v>93</v>
      </c>
      <c r="D6" s="4" t="s">
        <v>313</v>
      </c>
      <c r="E6" s="4" t="s">
        <v>93</v>
      </c>
    </row>
    <row r="7" spans="1:5" x14ac:dyDescent="0.3">
      <c r="B7" s="77">
        <f>ROW() - 6</f>
        <v>1</v>
      </c>
      <c r="C7" s="77"/>
      <c r="D7" s="77"/>
      <c r="E7" s="89"/>
    </row>
    <row r="8" spans="1:5" x14ac:dyDescent="0.3">
      <c r="B8" s="77">
        <f t="shared" ref="B8:B11" si="0">ROW() - 6</f>
        <v>2</v>
      </c>
      <c r="C8" s="77"/>
      <c r="D8" s="77"/>
      <c r="E8" s="89"/>
    </row>
    <row r="9" spans="1:5" x14ac:dyDescent="0.3">
      <c r="B9" s="77">
        <f t="shared" si="0"/>
        <v>3</v>
      </c>
      <c r="C9" s="77"/>
      <c r="D9" s="77"/>
      <c r="E9" s="90"/>
    </row>
    <row r="10" spans="1:5" x14ac:dyDescent="0.3">
      <c r="B10" s="77">
        <f t="shared" si="0"/>
        <v>4</v>
      </c>
      <c r="C10" s="77"/>
      <c r="D10" s="77"/>
      <c r="E10" s="90"/>
    </row>
    <row r="11" spans="1:5" x14ac:dyDescent="0.3">
      <c r="B11" s="77">
        <f t="shared" si="0"/>
        <v>5</v>
      </c>
      <c r="C11" s="77"/>
      <c r="D11" s="77"/>
      <c r="E11" s="90"/>
    </row>
  </sheetData>
  <sheetProtection insertRows="0" deleteRows="0" sort="0" autoFilter="0"/>
  <mergeCells count="1">
    <mergeCell ref="B4:B6"/>
  </mergeCells>
  <phoneticPr fontId="12"/>
  <hyperlinks>
    <hyperlink ref="A3" location="パラメータ設定一覧!A1" display="パラメータ設定一覧へ" xr:uid="{53086249-90D6-4CDB-A63E-B358FDE5D0FA}"/>
  </hyperlinks>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268B3-16F3-4C7E-9848-6356E6F757CD}">
  <sheetPr>
    <tabColor theme="0" tint="-0.499984740745262"/>
  </sheetPr>
  <dimension ref="A1:L178"/>
  <sheetViews>
    <sheetView showGridLines="0" zoomScaleNormal="100" workbookViewId="0">
      <pane xSplit="6" ySplit="5" topLeftCell="G6" activePane="bottomRight" state="frozen"/>
      <selection activeCell="A7" sqref="A7"/>
      <selection pane="topRight" activeCell="A7" sqref="A7"/>
      <selection pane="bottomLeft" activeCell="A7" sqref="A7"/>
      <selection pane="bottomRight" activeCell="A7" sqref="A7"/>
    </sheetView>
  </sheetViews>
  <sheetFormatPr defaultColWidth="8.81640625" defaultRowHeight="14.4" x14ac:dyDescent="0.3"/>
  <cols>
    <col min="1" max="1" width="2.81640625" style="23" customWidth="1"/>
    <col min="2" max="2" width="3.81640625" style="23" customWidth="1"/>
    <col min="3" max="3" width="16.81640625" style="23" customWidth="1"/>
    <col min="4" max="4" width="19.1796875" style="23" customWidth="1"/>
    <col min="5" max="5" width="16.54296875" style="23" customWidth="1"/>
    <col min="6" max="6" width="22.54296875" style="23" customWidth="1"/>
    <col min="7" max="7" width="19" style="23" customWidth="1"/>
    <col min="8" max="8" width="23.1796875" style="23" customWidth="1"/>
    <col min="9" max="9" width="17.453125" style="27" customWidth="1"/>
    <col min="10" max="10" width="22.453125" style="23" customWidth="1"/>
    <col min="11" max="11" width="18.1796875" style="23" customWidth="1"/>
    <col min="12" max="12" width="13.1796875" style="23" customWidth="1"/>
    <col min="13" max="16384" width="8.81640625" style="23"/>
  </cols>
  <sheetData>
    <row r="1" spans="1:12" customFormat="1" ht="18.600000000000001" x14ac:dyDescent="0.3">
      <c r="A1" s="43" t="s">
        <v>314</v>
      </c>
      <c r="C1" s="23"/>
      <c r="D1" s="23"/>
      <c r="E1" s="23"/>
      <c r="F1" s="23"/>
      <c r="G1" s="23"/>
      <c r="H1" s="23"/>
      <c r="I1" s="27"/>
    </row>
    <row r="2" spans="1:12" customFormat="1" ht="15" x14ac:dyDescent="0.3">
      <c r="B2" t="s">
        <v>334</v>
      </c>
      <c r="C2" s="23"/>
      <c r="D2" s="23"/>
      <c r="E2" s="23"/>
      <c r="F2" s="23"/>
      <c r="G2" s="23"/>
      <c r="H2" s="23"/>
      <c r="I2" s="27"/>
    </row>
    <row r="3" spans="1:12" customFormat="1" ht="15" x14ac:dyDescent="0.3">
      <c r="B3" t="s">
        <v>335</v>
      </c>
      <c r="C3" s="23"/>
      <c r="D3" s="23"/>
      <c r="E3" s="23"/>
      <c r="F3" s="23"/>
      <c r="G3" s="23"/>
      <c r="H3" s="23"/>
      <c r="I3" s="27"/>
    </row>
    <row r="4" spans="1:12" customFormat="1" ht="15" x14ac:dyDescent="0.3">
      <c r="A4" s="7" t="s">
        <v>352</v>
      </c>
      <c r="C4" s="23"/>
      <c r="D4" s="23"/>
      <c r="E4" s="23"/>
      <c r="F4" s="23"/>
      <c r="G4" s="23"/>
      <c r="H4" s="23"/>
      <c r="I4" s="27"/>
    </row>
    <row r="5" spans="1:12" x14ac:dyDescent="0.3">
      <c r="B5" s="8" t="s">
        <v>15</v>
      </c>
      <c r="C5" s="8" t="s">
        <v>16</v>
      </c>
      <c r="D5" s="8" t="s">
        <v>17</v>
      </c>
      <c r="E5" s="8" t="s">
        <v>18</v>
      </c>
      <c r="F5" s="13" t="s">
        <v>19</v>
      </c>
      <c r="G5" s="13" t="s">
        <v>296</v>
      </c>
      <c r="H5" s="8" t="s">
        <v>21</v>
      </c>
      <c r="I5" s="28" t="s">
        <v>22</v>
      </c>
      <c r="J5" s="8" t="s">
        <v>23</v>
      </c>
      <c r="K5" s="9" t="s">
        <v>24</v>
      </c>
      <c r="L5" s="9" t="s">
        <v>25</v>
      </c>
    </row>
    <row r="6" spans="1:12" ht="28.8" x14ac:dyDescent="0.3">
      <c r="B6" s="14">
        <f t="shared" ref="B6:B7" si="0">ROW() - 5</f>
        <v>1</v>
      </c>
      <c r="C6" s="10" t="s">
        <v>315</v>
      </c>
      <c r="D6" s="10"/>
      <c r="E6" s="44"/>
      <c r="F6" s="15" t="s">
        <v>315</v>
      </c>
      <c r="G6" s="15"/>
      <c r="H6" s="22" t="s">
        <v>93</v>
      </c>
      <c r="I6" s="22" t="s">
        <v>308</v>
      </c>
      <c r="J6" s="45"/>
      <c r="K6" s="46" t="s">
        <v>316</v>
      </c>
      <c r="L6" s="1"/>
    </row>
    <row r="7" spans="1:12" ht="28.8" x14ac:dyDescent="0.3">
      <c r="B7" s="14">
        <f t="shared" si="0"/>
        <v>2</v>
      </c>
      <c r="C7" s="12"/>
      <c r="D7" s="12"/>
      <c r="E7" s="12"/>
      <c r="F7" s="15" t="s">
        <v>187</v>
      </c>
      <c r="G7" s="47"/>
      <c r="H7" s="22" t="s">
        <v>93</v>
      </c>
      <c r="I7" s="22" t="s">
        <v>308</v>
      </c>
      <c r="J7" s="16"/>
      <c r="K7" s="46" t="s">
        <v>316</v>
      </c>
      <c r="L7" s="1"/>
    </row>
    <row r="8" spans="1:12" x14ac:dyDescent="0.3">
      <c r="I8" s="23"/>
    </row>
    <row r="9" spans="1:12" x14ac:dyDescent="0.3">
      <c r="I9" s="23"/>
    </row>
    <row r="10" spans="1:12" x14ac:dyDescent="0.3">
      <c r="I10" s="23"/>
    </row>
    <row r="11" spans="1:12" x14ac:dyDescent="0.3">
      <c r="I11" s="23"/>
    </row>
    <row r="12" spans="1:12" x14ac:dyDescent="0.3">
      <c r="I12" s="23"/>
    </row>
    <row r="13" spans="1:12" x14ac:dyDescent="0.3">
      <c r="I13" s="23"/>
    </row>
    <row r="14" spans="1:12" x14ac:dyDescent="0.3">
      <c r="I14" s="23"/>
    </row>
    <row r="15" spans="1:12" x14ac:dyDescent="0.3">
      <c r="I15" s="23"/>
    </row>
    <row r="16" spans="1:12" x14ac:dyDescent="0.3">
      <c r="I16" s="23"/>
    </row>
    <row r="17" s="23" customFormat="1" x14ac:dyDescent="0.3"/>
    <row r="18" s="23" customFormat="1" x14ac:dyDescent="0.3"/>
    <row r="19" s="23" customFormat="1" x14ac:dyDescent="0.3"/>
    <row r="20" s="23" customFormat="1" x14ac:dyDescent="0.3"/>
    <row r="21" s="23" customFormat="1" x14ac:dyDescent="0.3"/>
    <row r="22" s="23" customFormat="1" x14ac:dyDescent="0.3"/>
    <row r="23" s="23" customFormat="1" x14ac:dyDescent="0.3"/>
    <row r="24" s="23" customFormat="1" x14ac:dyDescent="0.3"/>
    <row r="25" s="23" customFormat="1" x14ac:dyDescent="0.3"/>
    <row r="26" s="23" customFormat="1" ht="33" customHeight="1" x14ac:dyDescent="0.3"/>
    <row r="27" s="23" customFormat="1" x14ac:dyDescent="0.3"/>
    <row r="28" s="23" customFormat="1" x14ac:dyDescent="0.3"/>
    <row r="29" s="23" customFormat="1" x14ac:dyDescent="0.3"/>
    <row r="30" s="23" customFormat="1" x14ac:dyDescent="0.3"/>
    <row r="31" s="23" customFormat="1" ht="31.5" customHeight="1" x14ac:dyDescent="0.3"/>
    <row r="32" s="23" customFormat="1" x14ac:dyDescent="0.3"/>
    <row r="33" s="23" customFormat="1" x14ac:dyDescent="0.3"/>
    <row r="34" s="23" customFormat="1" x14ac:dyDescent="0.3"/>
    <row r="35" s="23" customFormat="1" x14ac:dyDescent="0.3"/>
    <row r="36" s="23" customFormat="1" x14ac:dyDescent="0.3"/>
    <row r="37" s="23" customFormat="1" x14ac:dyDescent="0.3"/>
    <row r="38" s="23" customFormat="1" x14ac:dyDescent="0.3"/>
    <row r="39" s="23" customFormat="1" x14ac:dyDescent="0.3"/>
    <row r="40" s="23" customFormat="1" x14ac:dyDescent="0.3"/>
    <row r="41" s="23" customFormat="1" ht="30.75" customHeight="1" x14ac:dyDescent="0.3"/>
    <row r="42" s="23" customFormat="1" ht="33" customHeight="1" x14ac:dyDescent="0.3"/>
    <row r="43" s="23" customFormat="1" x14ac:dyDescent="0.3"/>
    <row r="44" s="23" customFormat="1" x14ac:dyDescent="0.3"/>
    <row r="45" s="23" customFormat="1" x14ac:dyDescent="0.3"/>
    <row r="46" s="23" customFormat="1" x14ac:dyDescent="0.3"/>
    <row r="47" s="23" customFormat="1" ht="31.5" customHeight="1" x14ac:dyDescent="0.3"/>
    <row r="48" s="23" customFormat="1" x14ac:dyDescent="0.3"/>
    <row r="49" s="23" customFormat="1" ht="30.75" customHeight="1" x14ac:dyDescent="0.3"/>
    <row r="50" s="23" customFormat="1" x14ac:dyDescent="0.3"/>
    <row r="51" s="23" customFormat="1" ht="31.5" customHeight="1" x14ac:dyDescent="0.3"/>
    <row r="52" s="23" customFormat="1" x14ac:dyDescent="0.3"/>
    <row r="53" s="23" customFormat="1" x14ac:dyDescent="0.3"/>
    <row r="54" s="23" customFormat="1" x14ac:dyDescent="0.3"/>
    <row r="55" s="23" customFormat="1" ht="33" customHeight="1" x14ac:dyDescent="0.3"/>
    <row r="56" s="23" customFormat="1" x14ac:dyDescent="0.3"/>
    <row r="57" s="23" customFormat="1" ht="30.75" customHeight="1" x14ac:dyDescent="0.3"/>
    <row r="58" s="23" customFormat="1" ht="27" customHeight="1" x14ac:dyDescent="0.3"/>
    <row r="59" s="23" customFormat="1" x14ac:dyDescent="0.3"/>
    <row r="60" s="23" customFormat="1" x14ac:dyDescent="0.3"/>
    <row r="61" s="23" customFormat="1" x14ac:dyDescent="0.3"/>
    <row r="62" s="23" customFormat="1" x14ac:dyDescent="0.3"/>
    <row r="63" s="23" customFormat="1" x14ac:dyDescent="0.3"/>
    <row r="64" s="23" customFormat="1" x14ac:dyDescent="0.3"/>
    <row r="65" s="23" customFormat="1" x14ac:dyDescent="0.3"/>
    <row r="66" s="23" customFormat="1" x14ac:dyDescent="0.3"/>
    <row r="67" s="23" customFormat="1" x14ac:dyDescent="0.3"/>
    <row r="68" s="23" customFormat="1" x14ac:dyDescent="0.3"/>
    <row r="69" s="23" customFormat="1" x14ac:dyDescent="0.3"/>
    <row r="70" s="23" customFormat="1" x14ac:dyDescent="0.3"/>
    <row r="71" s="23" customFormat="1" x14ac:dyDescent="0.3"/>
    <row r="72" s="23" customFormat="1" x14ac:dyDescent="0.3"/>
    <row r="73" s="23" customFormat="1" x14ac:dyDescent="0.3"/>
    <row r="74" s="23" customFormat="1" x14ac:dyDescent="0.3"/>
    <row r="75" s="23" customFormat="1" x14ac:dyDescent="0.3"/>
    <row r="76" s="23" customFormat="1" x14ac:dyDescent="0.3"/>
    <row r="77" s="23" customFormat="1" x14ac:dyDescent="0.3"/>
    <row r="78" s="23" customFormat="1" x14ac:dyDescent="0.3"/>
    <row r="79" s="23" customFormat="1" x14ac:dyDescent="0.3"/>
    <row r="80" s="23" customFormat="1" x14ac:dyDescent="0.3"/>
    <row r="81" s="23" customFormat="1" x14ac:dyDescent="0.3"/>
    <row r="82" s="23" customFormat="1" x14ac:dyDescent="0.3"/>
    <row r="83" s="23" customFormat="1" x14ac:dyDescent="0.3"/>
    <row r="84" s="23" customFormat="1" x14ac:dyDescent="0.3"/>
    <row r="85" s="23" customFormat="1" x14ac:dyDescent="0.3"/>
    <row r="86" s="23" customFormat="1" x14ac:dyDescent="0.3"/>
    <row r="87" s="23" customFormat="1" x14ac:dyDescent="0.3"/>
    <row r="88" s="23" customFormat="1" x14ac:dyDescent="0.3"/>
    <row r="89" s="23" customFormat="1" ht="409.05" customHeight="1" x14ac:dyDescent="0.3"/>
    <row r="90" s="23" customFormat="1" x14ac:dyDescent="0.3"/>
    <row r="91" s="23" customFormat="1" x14ac:dyDescent="0.3"/>
    <row r="92" s="23" customFormat="1" x14ac:dyDescent="0.3"/>
    <row r="93" s="23" customFormat="1" x14ac:dyDescent="0.3"/>
    <row r="94" s="23" customFormat="1" x14ac:dyDescent="0.3"/>
    <row r="95" s="23" customFormat="1" x14ac:dyDescent="0.3"/>
    <row r="96" s="23" customFormat="1" x14ac:dyDescent="0.3"/>
    <row r="97" s="23" customFormat="1" x14ac:dyDescent="0.3"/>
    <row r="98" s="23" customFormat="1" x14ac:dyDescent="0.3"/>
    <row r="99" s="23" customFormat="1" x14ac:dyDescent="0.3"/>
    <row r="100" s="23" customFormat="1" x14ac:dyDescent="0.3"/>
    <row r="101" s="23" customFormat="1" x14ac:dyDescent="0.3"/>
    <row r="102" s="23" customFormat="1" x14ac:dyDescent="0.3"/>
    <row r="103" s="23" customFormat="1" x14ac:dyDescent="0.3"/>
    <row r="104" s="23" customFormat="1" x14ac:dyDescent="0.3"/>
    <row r="105" s="23" customFormat="1" x14ac:dyDescent="0.3"/>
    <row r="106" s="23" customFormat="1" x14ac:dyDescent="0.3"/>
    <row r="107" s="23" customFormat="1" x14ac:dyDescent="0.3"/>
    <row r="108" s="23" customFormat="1" x14ac:dyDescent="0.3"/>
    <row r="109" s="23" customFormat="1" x14ac:dyDescent="0.3"/>
    <row r="110" s="23" customFormat="1" x14ac:dyDescent="0.3"/>
    <row r="111" s="23" customFormat="1" x14ac:dyDescent="0.3"/>
    <row r="112" s="23" customFormat="1" x14ac:dyDescent="0.3"/>
    <row r="113" s="23" customFormat="1" x14ac:dyDescent="0.3"/>
    <row r="114" s="23" customFormat="1" x14ac:dyDescent="0.3"/>
    <row r="115" s="23" customFormat="1" x14ac:dyDescent="0.3"/>
    <row r="116" s="23" customFormat="1" x14ac:dyDescent="0.3"/>
    <row r="117" s="23" customFormat="1" x14ac:dyDescent="0.3"/>
    <row r="118" s="23" customFormat="1" x14ac:dyDescent="0.3"/>
    <row r="119" s="23" customFormat="1" x14ac:dyDescent="0.3"/>
    <row r="120" s="23" customFormat="1" x14ac:dyDescent="0.3"/>
    <row r="121" s="23" customFormat="1" x14ac:dyDescent="0.3"/>
    <row r="122" s="23" customFormat="1" x14ac:dyDescent="0.3"/>
    <row r="123" s="23" customFormat="1" x14ac:dyDescent="0.3"/>
    <row r="124" s="23" customFormat="1" x14ac:dyDescent="0.3"/>
    <row r="125" s="23" customFormat="1" x14ac:dyDescent="0.3"/>
    <row r="126" s="23" customFormat="1" x14ac:dyDescent="0.3"/>
    <row r="127" s="23" customFormat="1" x14ac:dyDescent="0.3"/>
    <row r="128" s="23" customFormat="1" x14ac:dyDescent="0.3"/>
    <row r="129" s="23" customFormat="1" x14ac:dyDescent="0.3"/>
    <row r="130" s="23" customFormat="1" x14ac:dyDescent="0.3"/>
    <row r="131" s="23" customFormat="1" x14ac:dyDescent="0.3"/>
    <row r="132" s="23" customFormat="1" x14ac:dyDescent="0.3"/>
    <row r="133" s="23" customFormat="1" x14ac:dyDescent="0.3"/>
    <row r="134" s="23" customFormat="1" x14ac:dyDescent="0.3"/>
    <row r="135" s="23" customFormat="1" x14ac:dyDescent="0.3"/>
    <row r="136" s="23" customFormat="1" x14ac:dyDescent="0.3"/>
    <row r="137" s="23" customFormat="1" x14ac:dyDescent="0.3"/>
    <row r="138" s="23" customFormat="1" x14ac:dyDescent="0.3"/>
    <row r="139" s="23" customFormat="1" x14ac:dyDescent="0.3"/>
    <row r="140" s="23" customFormat="1" x14ac:dyDescent="0.3"/>
    <row r="141" s="23" customFormat="1" x14ac:dyDescent="0.3"/>
    <row r="142" s="23" customFormat="1" x14ac:dyDescent="0.3"/>
    <row r="143" s="23" customFormat="1" x14ac:dyDescent="0.3"/>
    <row r="144" s="23" customFormat="1" x14ac:dyDescent="0.3"/>
    <row r="145" s="23" customFormat="1" x14ac:dyDescent="0.3"/>
    <row r="146" s="23" customFormat="1" x14ac:dyDescent="0.3"/>
    <row r="147" s="23" customFormat="1" x14ac:dyDescent="0.3"/>
    <row r="148" s="23" customFormat="1" x14ac:dyDescent="0.3"/>
    <row r="149" s="23" customFormat="1" x14ac:dyDescent="0.3"/>
    <row r="150" s="23" customFormat="1" x14ac:dyDescent="0.3"/>
    <row r="151" s="23" customFormat="1" x14ac:dyDescent="0.3"/>
    <row r="152" s="23" customFormat="1" x14ac:dyDescent="0.3"/>
    <row r="153" s="23" customFormat="1" x14ac:dyDescent="0.3"/>
    <row r="154" s="23" customFormat="1" x14ac:dyDescent="0.3"/>
    <row r="155" s="23" customFormat="1" x14ac:dyDescent="0.3"/>
    <row r="156" s="23" customFormat="1" x14ac:dyDescent="0.3"/>
    <row r="157" s="23" customFormat="1" x14ac:dyDescent="0.3"/>
    <row r="158" s="23" customFormat="1" x14ac:dyDescent="0.3"/>
    <row r="159" s="23" customFormat="1" x14ac:dyDescent="0.3"/>
    <row r="160" s="23" customFormat="1" x14ac:dyDescent="0.3"/>
    <row r="161" s="23" customFormat="1" x14ac:dyDescent="0.3"/>
    <row r="162" s="23" customFormat="1" x14ac:dyDescent="0.3"/>
    <row r="163" s="23" customFormat="1" x14ac:dyDescent="0.3"/>
    <row r="164" s="23" customFormat="1" x14ac:dyDescent="0.3"/>
    <row r="165" s="23" customFormat="1" x14ac:dyDescent="0.3"/>
    <row r="166" s="23" customFormat="1" ht="2.25" customHeight="1" x14ac:dyDescent="0.3"/>
    <row r="167" s="23" customFormat="1" ht="409.5" customHeight="1" x14ac:dyDescent="0.3"/>
    <row r="168" s="23" customFormat="1" x14ac:dyDescent="0.3"/>
    <row r="169" s="23" customFormat="1" x14ac:dyDescent="0.3"/>
    <row r="170" s="23" customFormat="1" x14ac:dyDescent="0.3"/>
    <row r="171" s="23" customFormat="1" x14ac:dyDescent="0.3"/>
    <row r="172" s="23" customFormat="1" x14ac:dyDescent="0.3"/>
    <row r="173" s="23" customFormat="1" x14ac:dyDescent="0.3"/>
    <row r="174" s="23" customFormat="1" x14ac:dyDescent="0.3"/>
    <row r="175" s="23" customFormat="1" x14ac:dyDescent="0.3"/>
    <row r="176" s="23" customFormat="1" x14ac:dyDescent="0.3"/>
    <row r="177" spans="9:9" x14ac:dyDescent="0.3">
      <c r="I177" s="23"/>
    </row>
    <row r="178" spans="9:9" x14ac:dyDescent="0.3">
      <c r="I178" s="23"/>
    </row>
  </sheetData>
  <phoneticPr fontId="12"/>
  <hyperlinks>
    <hyperlink ref="A4" location="パラメータ設定一覧!A1" display="パラメータ設定一覧へ" xr:uid="{457BFF33-5C2E-444D-AA62-9D404F2B8D5B}"/>
  </hyperlinks>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7EAA7-2D52-4A8F-B06C-31DBE7166DF6}">
  <sheetPr>
    <tabColor theme="0" tint="-0.499984740745262"/>
  </sheetPr>
  <dimension ref="A1:D11"/>
  <sheetViews>
    <sheetView showGridLines="0" zoomScaleNormal="100" workbookViewId="0">
      <pane ySplit="6" topLeftCell="A7" activePane="bottomLeft" state="frozen"/>
      <selection activeCell="A7" sqref="A7"/>
      <selection pane="bottomLeft" activeCell="A7" sqref="A7"/>
    </sheetView>
  </sheetViews>
  <sheetFormatPr defaultColWidth="8.81640625" defaultRowHeight="14.4" x14ac:dyDescent="0.3"/>
  <cols>
    <col min="1" max="1" width="2.81640625" style="23" customWidth="1"/>
    <col min="2" max="2" width="3.54296875" style="23" bestFit="1" customWidth="1"/>
    <col min="3" max="3" width="19.36328125" style="23" customWidth="1"/>
    <col min="4" max="4" width="10.1796875" style="23" bestFit="1" customWidth="1"/>
    <col min="5" max="5" width="19.6328125" style="23" bestFit="1" customWidth="1"/>
    <col min="6" max="6" width="15.1796875" style="23" bestFit="1" customWidth="1"/>
    <col min="7" max="8" width="15.1796875" style="23" customWidth="1"/>
    <col min="9" max="9" width="20.6328125" style="23" bestFit="1" customWidth="1"/>
    <col min="10" max="10" width="14.453125" style="23" bestFit="1" customWidth="1"/>
    <col min="11" max="11" width="11.81640625" style="23" customWidth="1"/>
    <col min="12" max="12" width="8.1796875" style="23" bestFit="1" customWidth="1"/>
    <col min="13" max="16384" width="8.81640625" style="23"/>
  </cols>
  <sheetData>
    <row r="1" spans="1:4" customFormat="1" ht="18.600000000000001" x14ac:dyDescent="0.3">
      <c r="A1" s="43" t="s">
        <v>315</v>
      </c>
    </row>
    <row r="2" spans="1:4" customFormat="1" ht="15" x14ac:dyDescent="0.3"/>
    <row r="3" spans="1:4" customFormat="1" ht="15" x14ac:dyDescent="0.3">
      <c r="A3" s="7" t="s">
        <v>352</v>
      </c>
    </row>
    <row r="4" spans="1:4" ht="15.75" customHeight="1" x14ac:dyDescent="0.3">
      <c r="B4" s="131" t="s">
        <v>15</v>
      </c>
      <c r="C4" s="48" t="s">
        <v>315</v>
      </c>
      <c r="D4" s="74"/>
    </row>
    <row r="5" spans="1:4" x14ac:dyDescent="0.3">
      <c r="B5" s="131"/>
      <c r="C5" s="2" t="s">
        <v>315</v>
      </c>
      <c r="D5" s="2" t="s">
        <v>187</v>
      </c>
    </row>
    <row r="6" spans="1:4" x14ac:dyDescent="0.3">
      <c r="B6" s="131"/>
      <c r="C6" s="4" t="s">
        <v>93</v>
      </c>
      <c r="D6" s="4" t="s">
        <v>93</v>
      </c>
    </row>
    <row r="7" spans="1:4" x14ac:dyDescent="0.3">
      <c r="B7" s="77">
        <f>ROW() - 6</f>
        <v>1</v>
      </c>
      <c r="C7" s="77"/>
      <c r="D7" s="89"/>
    </row>
    <row r="8" spans="1:4" x14ac:dyDescent="0.3">
      <c r="B8" s="77">
        <f t="shared" ref="B8:B11" si="0">ROW() - 6</f>
        <v>2</v>
      </c>
      <c r="C8" s="77"/>
      <c r="D8" s="89"/>
    </row>
    <row r="9" spans="1:4" x14ac:dyDescent="0.3">
      <c r="B9" s="77">
        <f t="shared" si="0"/>
        <v>3</v>
      </c>
      <c r="C9" s="77"/>
      <c r="D9" s="90"/>
    </row>
    <row r="10" spans="1:4" x14ac:dyDescent="0.3">
      <c r="B10" s="77">
        <f t="shared" si="0"/>
        <v>4</v>
      </c>
      <c r="C10" s="77"/>
      <c r="D10" s="90"/>
    </row>
    <row r="11" spans="1:4" x14ac:dyDescent="0.3">
      <c r="B11" s="77">
        <f t="shared" si="0"/>
        <v>5</v>
      </c>
      <c r="C11" s="77"/>
      <c r="D11" s="90"/>
    </row>
  </sheetData>
  <sheetProtection insertRows="0" deleteRows="0" sort="0" autoFilter="0"/>
  <mergeCells count="1">
    <mergeCell ref="B4:B6"/>
  </mergeCells>
  <phoneticPr fontId="12"/>
  <hyperlinks>
    <hyperlink ref="A3" location="パラメータ設定一覧!A1" display="パラメータ設定一覧へ" xr:uid="{E7880827-765E-4EE2-A64B-83E3473EA517}"/>
  </hyperlinks>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6E67B-0B0F-4F72-A489-DED8A5B80EA5}">
  <sheetPr>
    <tabColor theme="0" tint="-0.499984740745262"/>
  </sheetPr>
  <dimension ref="A1:L179"/>
  <sheetViews>
    <sheetView showGridLines="0" zoomScaleNormal="100" workbookViewId="0">
      <pane xSplit="6" ySplit="5" topLeftCell="G6" activePane="bottomRight" state="frozen"/>
      <selection activeCell="A7" sqref="A7"/>
      <selection pane="topRight" activeCell="A7" sqref="A7"/>
      <selection pane="bottomLeft" activeCell="A7" sqref="A7"/>
      <selection pane="bottomRight" activeCell="A7" sqref="A7"/>
    </sheetView>
  </sheetViews>
  <sheetFormatPr defaultColWidth="8.81640625" defaultRowHeight="14.4" x14ac:dyDescent="0.3"/>
  <cols>
    <col min="1" max="1" width="2.81640625" style="23" customWidth="1"/>
    <col min="2" max="2" width="3.81640625" style="23" customWidth="1"/>
    <col min="3" max="3" width="16.81640625" style="23" customWidth="1"/>
    <col min="4" max="4" width="19.1796875" style="23" customWidth="1"/>
    <col min="5" max="5" width="16.54296875" style="23" customWidth="1"/>
    <col min="6" max="6" width="22.54296875" style="23" customWidth="1"/>
    <col min="7" max="7" width="19" style="23" customWidth="1"/>
    <col min="8" max="8" width="23.1796875" style="23" customWidth="1"/>
    <col min="9" max="9" width="17.453125" style="27" customWidth="1"/>
    <col min="10" max="10" width="22.453125" style="23" customWidth="1"/>
    <col min="11" max="11" width="18.1796875" style="23" customWidth="1"/>
    <col min="12" max="12" width="13.1796875" style="23" customWidth="1"/>
    <col min="13" max="16384" width="8.81640625" style="23"/>
  </cols>
  <sheetData>
    <row r="1" spans="1:12" customFormat="1" ht="18.600000000000001" x14ac:dyDescent="0.3">
      <c r="A1" s="43" t="s">
        <v>317</v>
      </c>
      <c r="C1" s="23"/>
      <c r="D1" s="23"/>
      <c r="E1" s="23"/>
      <c r="F1" s="23"/>
      <c r="G1" s="23"/>
      <c r="H1" s="23"/>
      <c r="I1" s="27"/>
    </row>
    <row r="2" spans="1:12" customFormat="1" ht="15" x14ac:dyDescent="0.3">
      <c r="B2" t="s">
        <v>332</v>
      </c>
      <c r="C2" s="23"/>
      <c r="D2" s="23"/>
      <c r="E2" s="23"/>
      <c r="F2" s="23"/>
      <c r="G2" s="23"/>
      <c r="H2" s="23"/>
      <c r="I2" s="27"/>
    </row>
    <row r="3" spans="1:12" customFormat="1" ht="15" x14ac:dyDescent="0.3">
      <c r="B3" t="s">
        <v>333</v>
      </c>
      <c r="C3" s="23"/>
      <c r="D3" s="23"/>
      <c r="E3" s="23"/>
      <c r="F3" s="23"/>
      <c r="G3" s="23"/>
      <c r="H3" s="23"/>
      <c r="I3" s="27"/>
    </row>
    <row r="4" spans="1:12" customFormat="1" ht="15" x14ac:dyDescent="0.3">
      <c r="A4" s="7" t="s">
        <v>352</v>
      </c>
      <c r="C4" s="23"/>
      <c r="D4" s="23"/>
      <c r="E4" s="23"/>
      <c r="F4" s="23"/>
      <c r="G4" s="23"/>
      <c r="H4" s="23"/>
      <c r="I4" s="27"/>
    </row>
    <row r="5" spans="1:12" x14ac:dyDescent="0.3">
      <c r="B5" s="8" t="s">
        <v>15</v>
      </c>
      <c r="C5" s="8" t="s">
        <v>16</v>
      </c>
      <c r="D5" s="8" t="s">
        <v>17</v>
      </c>
      <c r="E5" s="8" t="s">
        <v>18</v>
      </c>
      <c r="F5" s="13" t="s">
        <v>19</v>
      </c>
      <c r="G5" s="13" t="s">
        <v>296</v>
      </c>
      <c r="H5" s="8" t="s">
        <v>21</v>
      </c>
      <c r="I5" s="28" t="s">
        <v>22</v>
      </c>
      <c r="J5" s="8" t="s">
        <v>23</v>
      </c>
      <c r="K5" s="9" t="s">
        <v>24</v>
      </c>
      <c r="L5" s="9" t="s">
        <v>25</v>
      </c>
    </row>
    <row r="6" spans="1:12" ht="28.8" x14ac:dyDescent="0.3">
      <c r="B6" s="14">
        <f t="shared" ref="B6:B8" si="0">ROW() - 5</f>
        <v>1</v>
      </c>
      <c r="C6" s="10" t="s">
        <v>318</v>
      </c>
      <c r="D6" s="10"/>
      <c r="E6" s="44"/>
      <c r="F6" s="15" t="s">
        <v>318</v>
      </c>
      <c r="G6" s="15"/>
      <c r="H6" s="22" t="s">
        <v>93</v>
      </c>
      <c r="I6" s="22" t="s">
        <v>308</v>
      </c>
      <c r="J6" s="45"/>
      <c r="K6" s="46" t="s">
        <v>319</v>
      </c>
      <c r="L6" s="1"/>
    </row>
    <row r="7" spans="1:12" ht="28.8" x14ac:dyDescent="0.3">
      <c r="B7" s="14">
        <f t="shared" si="0"/>
        <v>2</v>
      </c>
      <c r="C7" s="11"/>
      <c r="D7" s="11"/>
      <c r="E7" s="51"/>
      <c r="F7" s="15" t="s">
        <v>187</v>
      </c>
      <c r="G7" s="49"/>
      <c r="H7" s="22" t="s">
        <v>93</v>
      </c>
      <c r="I7" s="22"/>
      <c r="J7" s="45"/>
      <c r="K7" s="46" t="s">
        <v>319</v>
      </c>
      <c r="L7" s="1"/>
    </row>
    <row r="8" spans="1:12" ht="28.8" x14ac:dyDescent="0.3">
      <c r="B8" s="14">
        <f t="shared" si="0"/>
        <v>3</v>
      </c>
      <c r="C8" s="12"/>
      <c r="D8" s="12"/>
      <c r="E8" s="12"/>
      <c r="F8" s="15" t="s">
        <v>315</v>
      </c>
      <c r="G8" s="47"/>
      <c r="H8" s="22" t="s">
        <v>350</v>
      </c>
      <c r="I8" s="22" t="s">
        <v>308</v>
      </c>
      <c r="J8" s="16"/>
      <c r="K8" s="46" t="s">
        <v>319</v>
      </c>
      <c r="L8" s="1"/>
    </row>
    <row r="9" spans="1:12" x14ac:dyDescent="0.3">
      <c r="I9" s="23"/>
    </row>
    <row r="10" spans="1:12" x14ac:dyDescent="0.3">
      <c r="I10" s="23"/>
    </row>
    <row r="11" spans="1:12" x14ac:dyDescent="0.3">
      <c r="I11" s="23"/>
    </row>
    <row r="12" spans="1:12" x14ac:dyDescent="0.3">
      <c r="I12" s="23"/>
    </row>
    <row r="13" spans="1:12" x14ac:dyDescent="0.3">
      <c r="I13" s="23"/>
    </row>
    <row r="14" spans="1:12" x14ac:dyDescent="0.3">
      <c r="I14" s="23"/>
    </row>
    <row r="15" spans="1:12" x14ac:dyDescent="0.3">
      <c r="I15" s="23"/>
    </row>
    <row r="16" spans="1:12" x14ac:dyDescent="0.3">
      <c r="I16" s="23"/>
    </row>
    <row r="17" s="23" customFormat="1" x14ac:dyDescent="0.3"/>
    <row r="18" s="23" customFormat="1" x14ac:dyDescent="0.3"/>
    <row r="19" s="23" customFormat="1" x14ac:dyDescent="0.3"/>
    <row r="20" s="23" customFormat="1" x14ac:dyDescent="0.3"/>
    <row r="21" s="23" customFormat="1" x14ac:dyDescent="0.3"/>
    <row r="22" s="23" customFormat="1" x14ac:dyDescent="0.3"/>
    <row r="23" s="23" customFormat="1" x14ac:dyDescent="0.3"/>
    <row r="24" s="23" customFormat="1" x14ac:dyDescent="0.3"/>
    <row r="25" s="23" customFormat="1" x14ac:dyDescent="0.3"/>
    <row r="26" s="23" customFormat="1" x14ac:dyDescent="0.3"/>
    <row r="27" s="23" customFormat="1" ht="33" customHeight="1" x14ac:dyDescent="0.3"/>
    <row r="28" s="23" customFormat="1" x14ac:dyDescent="0.3"/>
    <row r="29" s="23" customFormat="1" x14ac:dyDescent="0.3"/>
    <row r="30" s="23" customFormat="1" x14ac:dyDescent="0.3"/>
    <row r="31" s="23" customFormat="1" x14ac:dyDescent="0.3"/>
    <row r="32" s="23" customFormat="1" ht="31.5" customHeight="1" x14ac:dyDescent="0.3"/>
    <row r="33" s="23" customFormat="1" x14ac:dyDescent="0.3"/>
    <row r="34" s="23" customFormat="1" x14ac:dyDescent="0.3"/>
    <row r="35" s="23" customFormat="1" x14ac:dyDescent="0.3"/>
    <row r="36" s="23" customFormat="1" x14ac:dyDescent="0.3"/>
    <row r="37" s="23" customFormat="1" x14ac:dyDescent="0.3"/>
    <row r="38" s="23" customFormat="1" x14ac:dyDescent="0.3"/>
    <row r="39" s="23" customFormat="1" x14ac:dyDescent="0.3"/>
    <row r="40" s="23" customFormat="1" x14ac:dyDescent="0.3"/>
    <row r="41" s="23" customFormat="1" x14ac:dyDescent="0.3"/>
    <row r="42" s="23" customFormat="1" ht="30.75" customHeight="1" x14ac:dyDescent="0.3"/>
    <row r="43" s="23" customFormat="1" ht="33" customHeight="1" x14ac:dyDescent="0.3"/>
    <row r="44" s="23" customFormat="1" x14ac:dyDescent="0.3"/>
    <row r="45" s="23" customFormat="1" x14ac:dyDescent="0.3"/>
    <row r="46" s="23" customFormat="1" x14ac:dyDescent="0.3"/>
    <row r="47" s="23" customFormat="1" x14ac:dyDescent="0.3"/>
    <row r="48" s="23" customFormat="1" ht="31.5" customHeight="1" x14ac:dyDescent="0.3"/>
    <row r="49" s="23" customFormat="1" x14ac:dyDescent="0.3"/>
    <row r="50" s="23" customFormat="1" ht="30.75" customHeight="1" x14ac:dyDescent="0.3"/>
    <row r="51" s="23" customFormat="1" x14ac:dyDescent="0.3"/>
    <row r="52" s="23" customFormat="1" ht="31.5" customHeight="1" x14ac:dyDescent="0.3"/>
    <row r="53" s="23" customFormat="1" x14ac:dyDescent="0.3"/>
    <row r="54" s="23" customFormat="1" x14ac:dyDescent="0.3"/>
    <row r="55" s="23" customFormat="1" x14ac:dyDescent="0.3"/>
    <row r="56" s="23" customFormat="1" ht="33" customHeight="1" x14ac:dyDescent="0.3"/>
    <row r="57" s="23" customFormat="1" x14ac:dyDescent="0.3"/>
    <row r="58" s="23" customFormat="1" ht="30.75" customHeight="1" x14ac:dyDescent="0.3"/>
    <row r="59" s="23" customFormat="1" ht="27" customHeight="1" x14ac:dyDescent="0.3"/>
    <row r="60" s="23" customFormat="1" x14ac:dyDescent="0.3"/>
    <row r="61" s="23" customFormat="1" x14ac:dyDescent="0.3"/>
    <row r="62" s="23" customFormat="1" x14ac:dyDescent="0.3"/>
    <row r="63" s="23" customFormat="1" x14ac:dyDescent="0.3"/>
    <row r="64" s="23" customFormat="1" x14ac:dyDescent="0.3"/>
    <row r="65" s="23" customFormat="1" x14ac:dyDescent="0.3"/>
    <row r="66" s="23" customFormat="1" x14ac:dyDescent="0.3"/>
    <row r="67" s="23" customFormat="1" x14ac:dyDescent="0.3"/>
    <row r="68" s="23" customFormat="1" x14ac:dyDescent="0.3"/>
    <row r="69" s="23" customFormat="1" x14ac:dyDescent="0.3"/>
    <row r="70" s="23" customFormat="1" x14ac:dyDescent="0.3"/>
    <row r="71" s="23" customFormat="1" x14ac:dyDescent="0.3"/>
    <row r="72" s="23" customFormat="1" x14ac:dyDescent="0.3"/>
    <row r="73" s="23" customFormat="1" x14ac:dyDescent="0.3"/>
    <row r="74" s="23" customFormat="1" x14ac:dyDescent="0.3"/>
    <row r="75" s="23" customFormat="1" x14ac:dyDescent="0.3"/>
    <row r="76" s="23" customFormat="1" x14ac:dyDescent="0.3"/>
    <row r="77" s="23" customFormat="1" x14ac:dyDescent="0.3"/>
    <row r="78" s="23" customFormat="1" x14ac:dyDescent="0.3"/>
    <row r="79" s="23" customFormat="1" x14ac:dyDescent="0.3"/>
    <row r="80" s="23" customFormat="1" x14ac:dyDescent="0.3"/>
    <row r="81" s="23" customFormat="1" x14ac:dyDescent="0.3"/>
    <row r="82" s="23" customFormat="1" x14ac:dyDescent="0.3"/>
    <row r="83" s="23" customFormat="1" x14ac:dyDescent="0.3"/>
    <row r="84" s="23" customFormat="1" x14ac:dyDescent="0.3"/>
    <row r="85" s="23" customFormat="1" x14ac:dyDescent="0.3"/>
    <row r="86" s="23" customFormat="1" x14ac:dyDescent="0.3"/>
    <row r="87" s="23" customFormat="1" x14ac:dyDescent="0.3"/>
    <row r="88" s="23" customFormat="1" x14ac:dyDescent="0.3"/>
    <row r="89" s="23" customFormat="1" x14ac:dyDescent="0.3"/>
    <row r="90" s="23" customFormat="1" ht="409.05" customHeight="1" x14ac:dyDescent="0.3"/>
    <row r="91" s="23" customFormat="1" x14ac:dyDescent="0.3"/>
    <row r="92" s="23" customFormat="1" x14ac:dyDescent="0.3"/>
    <row r="93" s="23" customFormat="1" x14ac:dyDescent="0.3"/>
    <row r="94" s="23" customFormat="1" x14ac:dyDescent="0.3"/>
    <row r="95" s="23" customFormat="1" x14ac:dyDescent="0.3"/>
    <row r="96" s="23" customFormat="1" x14ac:dyDescent="0.3"/>
    <row r="97" s="23" customFormat="1" x14ac:dyDescent="0.3"/>
    <row r="98" s="23" customFormat="1" x14ac:dyDescent="0.3"/>
    <row r="99" s="23" customFormat="1" x14ac:dyDescent="0.3"/>
    <row r="100" s="23" customFormat="1" x14ac:dyDescent="0.3"/>
    <row r="101" s="23" customFormat="1" x14ac:dyDescent="0.3"/>
    <row r="102" s="23" customFormat="1" x14ac:dyDescent="0.3"/>
    <row r="103" s="23" customFormat="1" x14ac:dyDescent="0.3"/>
    <row r="104" s="23" customFormat="1" x14ac:dyDescent="0.3"/>
    <row r="105" s="23" customFormat="1" x14ac:dyDescent="0.3"/>
    <row r="106" s="23" customFormat="1" x14ac:dyDescent="0.3"/>
    <row r="107" s="23" customFormat="1" x14ac:dyDescent="0.3"/>
    <row r="108" s="23" customFormat="1" x14ac:dyDescent="0.3"/>
    <row r="109" s="23" customFormat="1" x14ac:dyDescent="0.3"/>
    <row r="110" s="23" customFormat="1" x14ac:dyDescent="0.3"/>
    <row r="111" s="23" customFormat="1" x14ac:dyDescent="0.3"/>
    <row r="112" s="23" customFormat="1" x14ac:dyDescent="0.3"/>
    <row r="113" s="23" customFormat="1" x14ac:dyDescent="0.3"/>
    <row r="114" s="23" customFormat="1" x14ac:dyDescent="0.3"/>
    <row r="115" s="23" customFormat="1" x14ac:dyDescent="0.3"/>
    <row r="116" s="23" customFormat="1" x14ac:dyDescent="0.3"/>
    <row r="117" s="23" customFormat="1" x14ac:dyDescent="0.3"/>
    <row r="118" s="23" customFormat="1" x14ac:dyDescent="0.3"/>
    <row r="119" s="23" customFormat="1" x14ac:dyDescent="0.3"/>
    <row r="120" s="23" customFormat="1" x14ac:dyDescent="0.3"/>
    <row r="121" s="23" customFormat="1" x14ac:dyDescent="0.3"/>
    <row r="122" s="23" customFormat="1" x14ac:dyDescent="0.3"/>
    <row r="123" s="23" customFormat="1" x14ac:dyDescent="0.3"/>
    <row r="124" s="23" customFormat="1" x14ac:dyDescent="0.3"/>
    <row r="125" s="23" customFormat="1" x14ac:dyDescent="0.3"/>
    <row r="126" s="23" customFormat="1" x14ac:dyDescent="0.3"/>
    <row r="127" s="23" customFormat="1" x14ac:dyDescent="0.3"/>
    <row r="128" s="23" customFormat="1" x14ac:dyDescent="0.3"/>
    <row r="129" s="23" customFormat="1" x14ac:dyDescent="0.3"/>
    <row r="130" s="23" customFormat="1" x14ac:dyDescent="0.3"/>
    <row r="131" s="23" customFormat="1" x14ac:dyDescent="0.3"/>
    <row r="132" s="23" customFormat="1" x14ac:dyDescent="0.3"/>
    <row r="133" s="23" customFormat="1" x14ac:dyDescent="0.3"/>
    <row r="134" s="23" customFormat="1" x14ac:dyDescent="0.3"/>
    <row r="135" s="23" customFormat="1" x14ac:dyDescent="0.3"/>
    <row r="136" s="23" customFormat="1" x14ac:dyDescent="0.3"/>
    <row r="137" s="23" customFormat="1" x14ac:dyDescent="0.3"/>
    <row r="138" s="23" customFormat="1" x14ac:dyDescent="0.3"/>
    <row r="139" s="23" customFormat="1" x14ac:dyDescent="0.3"/>
    <row r="140" s="23" customFormat="1" x14ac:dyDescent="0.3"/>
    <row r="141" s="23" customFormat="1" x14ac:dyDescent="0.3"/>
    <row r="142" s="23" customFormat="1" x14ac:dyDescent="0.3"/>
    <row r="143" s="23" customFormat="1" x14ac:dyDescent="0.3"/>
    <row r="144" s="23" customFormat="1" x14ac:dyDescent="0.3"/>
    <row r="145" s="23" customFormat="1" x14ac:dyDescent="0.3"/>
    <row r="146" s="23" customFormat="1" x14ac:dyDescent="0.3"/>
    <row r="147" s="23" customFormat="1" x14ac:dyDescent="0.3"/>
    <row r="148" s="23" customFormat="1" x14ac:dyDescent="0.3"/>
    <row r="149" s="23" customFormat="1" x14ac:dyDescent="0.3"/>
    <row r="150" s="23" customFormat="1" x14ac:dyDescent="0.3"/>
    <row r="151" s="23" customFormat="1" x14ac:dyDescent="0.3"/>
    <row r="152" s="23" customFormat="1" x14ac:dyDescent="0.3"/>
    <row r="153" s="23" customFormat="1" x14ac:dyDescent="0.3"/>
    <row r="154" s="23" customFormat="1" x14ac:dyDescent="0.3"/>
    <row r="155" s="23" customFormat="1" x14ac:dyDescent="0.3"/>
    <row r="156" s="23" customFormat="1" x14ac:dyDescent="0.3"/>
    <row r="157" s="23" customFormat="1" x14ac:dyDescent="0.3"/>
    <row r="158" s="23" customFormat="1" x14ac:dyDescent="0.3"/>
    <row r="159" s="23" customFormat="1" x14ac:dyDescent="0.3"/>
    <row r="160" s="23" customFormat="1" x14ac:dyDescent="0.3"/>
    <row r="161" s="23" customFormat="1" x14ac:dyDescent="0.3"/>
    <row r="162" s="23" customFormat="1" x14ac:dyDescent="0.3"/>
    <row r="163" s="23" customFormat="1" x14ac:dyDescent="0.3"/>
    <row r="164" s="23" customFormat="1" x14ac:dyDescent="0.3"/>
    <row r="165" s="23" customFormat="1" x14ac:dyDescent="0.3"/>
    <row r="166" s="23" customFormat="1" x14ac:dyDescent="0.3"/>
    <row r="167" s="23" customFormat="1" ht="2.25" customHeight="1" x14ac:dyDescent="0.3"/>
    <row r="168" s="23" customFormat="1" ht="409.5" customHeight="1" x14ac:dyDescent="0.3"/>
    <row r="169" s="23" customFormat="1" x14ac:dyDescent="0.3"/>
    <row r="170" s="23" customFormat="1" x14ac:dyDescent="0.3"/>
    <row r="171" s="23" customFormat="1" x14ac:dyDescent="0.3"/>
    <row r="172" s="23" customFormat="1" x14ac:dyDescent="0.3"/>
    <row r="173" s="23" customFormat="1" x14ac:dyDescent="0.3"/>
    <row r="174" s="23" customFormat="1" x14ac:dyDescent="0.3"/>
    <row r="175" s="23" customFormat="1" x14ac:dyDescent="0.3"/>
    <row r="176" s="23" customFormat="1" x14ac:dyDescent="0.3"/>
    <row r="177" spans="9:9" x14ac:dyDescent="0.3">
      <c r="I177" s="23"/>
    </row>
    <row r="178" spans="9:9" x14ac:dyDescent="0.3">
      <c r="I178" s="23"/>
    </row>
    <row r="179" spans="9:9" x14ac:dyDescent="0.3">
      <c r="I179" s="23"/>
    </row>
  </sheetData>
  <phoneticPr fontId="12"/>
  <hyperlinks>
    <hyperlink ref="A4" location="パラメータ設定一覧!A1" display="パラメータ設定一覧へ" xr:uid="{E7B52002-705E-4C8F-AFD7-8980252DB0D1}"/>
  </hyperlinks>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CAD75-6328-4196-A6B5-1B3D430ED08B}">
  <sheetPr>
    <tabColor theme="0" tint="-0.499984740745262"/>
  </sheetPr>
  <dimension ref="A1:E11"/>
  <sheetViews>
    <sheetView showGridLines="0" zoomScaleNormal="100" workbookViewId="0">
      <pane ySplit="6" topLeftCell="A7" activePane="bottomLeft" state="frozen"/>
      <selection activeCell="A7" sqref="A7"/>
      <selection pane="bottomLeft" activeCell="A7" sqref="A7"/>
    </sheetView>
  </sheetViews>
  <sheetFormatPr defaultColWidth="8.81640625" defaultRowHeight="14.4" x14ac:dyDescent="0.3"/>
  <cols>
    <col min="1" max="1" width="2.81640625" style="23" customWidth="1"/>
    <col min="2" max="2" width="3.54296875" style="23" bestFit="1" customWidth="1"/>
    <col min="3" max="4" width="19.36328125" style="23" customWidth="1"/>
    <col min="5" max="5" width="22.81640625" style="23" customWidth="1"/>
    <col min="6" max="6" width="19.6328125" style="23" bestFit="1" customWidth="1"/>
    <col min="7" max="7" width="15.1796875" style="23" bestFit="1" customWidth="1"/>
    <col min="8" max="9" width="15.1796875" style="23" customWidth="1"/>
    <col min="10" max="10" width="20.6328125" style="23" bestFit="1" customWidth="1"/>
    <col min="11" max="11" width="14.453125" style="23" bestFit="1" customWidth="1"/>
    <col min="12" max="12" width="11.81640625" style="23" customWidth="1"/>
    <col min="13" max="13" width="8.1796875" style="23" bestFit="1" customWidth="1"/>
    <col min="14" max="16384" width="8.81640625" style="23"/>
  </cols>
  <sheetData>
    <row r="1" spans="1:5" customFormat="1" ht="18.600000000000001" x14ac:dyDescent="0.3">
      <c r="A1" s="43" t="s">
        <v>315</v>
      </c>
    </row>
    <row r="2" spans="1:5" customFormat="1" ht="15" x14ac:dyDescent="0.3"/>
    <row r="3" spans="1:5" customFormat="1" ht="15" x14ac:dyDescent="0.3">
      <c r="A3" s="7" t="s">
        <v>352</v>
      </c>
    </row>
    <row r="4" spans="1:5" ht="15.75" customHeight="1" x14ac:dyDescent="0.3">
      <c r="B4" s="131" t="s">
        <v>15</v>
      </c>
      <c r="C4" s="48" t="s">
        <v>315</v>
      </c>
      <c r="D4" s="50"/>
      <c r="E4" s="74"/>
    </row>
    <row r="5" spans="1:5" x14ac:dyDescent="0.3">
      <c r="B5" s="131"/>
      <c r="C5" s="2" t="s">
        <v>318</v>
      </c>
      <c r="D5" s="2" t="s">
        <v>187</v>
      </c>
      <c r="E5" s="2" t="s">
        <v>315</v>
      </c>
    </row>
    <row r="6" spans="1:5" ht="28.8" x14ac:dyDescent="0.3">
      <c r="B6" s="131"/>
      <c r="C6" s="4" t="s">
        <v>93</v>
      </c>
      <c r="D6" s="4" t="s">
        <v>93</v>
      </c>
      <c r="E6" s="4" t="s">
        <v>350</v>
      </c>
    </row>
    <row r="7" spans="1:5" x14ac:dyDescent="0.3">
      <c r="B7" s="77">
        <f>ROW() - 6</f>
        <v>1</v>
      </c>
      <c r="C7" s="77"/>
      <c r="D7" s="77"/>
      <c r="E7" s="89"/>
    </row>
    <row r="8" spans="1:5" x14ac:dyDescent="0.3">
      <c r="B8" s="77">
        <f t="shared" ref="B8:B11" si="0">ROW() - 6</f>
        <v>2</v>
      </c>
      <c r="C8" s="77"/>
      <c r="D8" s="77"/>
      <c r="E8" s="89"/>
    </row>
    <row r="9" spans="1:5" x14ac:dyDescent="0.3">
      <c r="B9" s="77">
        <f t="shared" si="0"/>
        <v>3</v>
      </c>
      <c r="C9" s="77"/>
      <c r="D9" s="77"/>
      <c r="E9" s="90"/>
    </row>
    <row r="10" spans="1:5" x14ac:dyDescent="0.3">
      <c r="B10" s="77">
        <f t="shared" si="0"/>
        <v>4</v>
      </c>
      <c r="C10" s="77"/>
      <c r="D10" s="77"/>
      <c r="E10" s="90"/>
    </row>
    <row r="11" spans="1:5" x14ac:dyDescent="0.3">
      <c r="B11" s="77">
        <f t="shared" si="0"/>
        <v>5</v>
      </c>
      <c r="C11" s="77"/>
      <c r="D11" s="77"/>
      <c r="E11" s="90"/>
    </row>
  </sheetData>
  <sheetProtection insertRows="0" deleteRows="0" sort="0" autoFilter="0"/>
  <mergeCells count="1">
    <mergeCell ref="B4:B6"/>
  </mergeCells>
  <phoneticPr fontId="12"/>
  <hyperlinks>
    <hyperlink ref="A3" location="パラメータ設定一覧!A1" display="パラメータ設定一覧へ" xr:uid="{9A69E8CA-CCF1-4381-A551-EF4AD9B09664}"/>
  </hyperlink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96C502C-1368-45CD-A3C1-7E037EDB4396}"/>
</file>

<file path=customXml/itemProps2.xml><?xml version="1.0" encoding="utf-8"?>
<ds:datastoreItem xmlns:ds="http://schemas.openxmlformats.org/officeDocument/2006/customXml" ds:itemID="{C2DE05E9-9F9C-482E-8A2F-60E8FCD11549}">
  <ds:schemaRefs>
    <ds:schemaRef ds:uri="http://schemas.microsoft.com/sharepoint/v3/contenttype/forms"/>
  </ds:schemaRefs>
</ds:datastoreItem>
</file>

<file path=customXml/itemProps3.xml><?xml version="1.0" encoding="utf-8"?>
<ds:datastoreItem xmlns:ds="http://schemas.openxmlformats.org/officeDocument/2006/customXml" ds:itemID="{391605AE-180C-4357-9531-2DC69F7FC83D}">
  <ds:schemaRefs>
    <ds:schemaRef ds:uri="1f1f8a3f-673e-4aee-b429-7a8185133956"/>
    <ds:schemaRef ds:uri="http://purl.org/dc/terms/"/>
    <ds:schemaRef ds:uri="http://schemas.microsoft.com/office/2006/metadata/properties"/>
    <ds:schemaRef ds:uri="http://purl.org/dc/dcmitype/"/>
    <ds:schemaRef ds:uri="http://www.w3.org/XML/1998/namespace"/>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1df7edc7-a6f5-4c90-ac32-5bbbd499fd6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13</vt:i4>
      </vt:variant>
      <vt:variant>
        <vt:lpstr>名前付き一覧</vt:lpstr>
      </vt:variant>
      <vt:variant>
        <vt:i4>1</vt:i4>
      </vt:variant>
    </vt:vector>
  </HeadingPairs>
  <TitlesOfParts>
    <vt:vector size="14" baseType="lpstr">
      <vt:lpstr>表紙</vt:lpstr>
      <vt:lpstr>パラメータ設定一覧</vt:lpstr>
      <vt:lpstr>販売とマーケティング パラメーター</vt:lpstr>
      <vt:lpstr>販売とマーケティング-番号順序</vt:lpstr>
      <vt:lpstr>業種</vt:lpstr>
      <vt:lpstr>業種-設定値</vt:lpstr>
      <vt:lpstr>価格割引の有効化</vt:lpstr>
      <vt:lpstr>廃棄コード</vt:lpstr>
      <vt:lpstr>廃棄コード-設定値</vt:lpstr>
      <vt:lpstr>返品理由コードグループ</vt:lpstr>
      <vt:lpstr>返品理由コードグループ-設定値</vt:lpstr>
      <vt:lpstr>返品理由コード</vt:lpstr>
      <vt:lpstr>返品理由コード-設定値</vt:lpstr>
      <vt:lpstr>パラメータ設定一覧!Print_Area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Takeda, Kei</cp:lastModifiedBy>
  <cp:revision/>
  <dcterms:created xsi:type="dcterms:W3CDTF">2019-08-21T01:28:53Z</dcterms:created>
  <dcterms:modified xsi:type="dcterms:W3CDTF">2024-12-26T06:43:42Z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