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fileSharing readOnlyRecommended="1"/>
  <workbookPr updateLinks="never" codeName="ThisWorkbook"/>
  <mc:AlternateContent xmlns:mc="http://schemas.openxmlformats.org/markup-compatibility/2006">
    <mc:Choice Requires="x15">
      <x15ac:absPath xmlns:x15ac="http://schemas.microsoft.com/office/spreadsheetml/2010/11/ac" url="https://sunstarsuisse.sharepoint.com/sites/JP_668/Shared Documents/General/02_要件定義フェーズ/03_ToBe業務フロー/"/>
    </mc:Choice>
  </mc:AlternateContent>
  <xr:revisionPtr revIDLastSave="239" documentId="6_{1C9F50E3-BC01-4773-806B-62900C03BE98}" xr6:coauthVersionLast="47" xr6:coauthVersionMax="47" xr10:uidLastSave="{8229E67A-85C1-42A9-A0EA-38893121A889}"/>
  <bookViews>
    <workbookView xWindow="-110" yWindow="-110" windowWidth="21820" windowHeight="13900" tabRatio="872" firstSheet="6" activeTab="6" xr2:uid="{00000000-000D-0000-FFFF-FFFF00000000}"/>
  </bookViews>
  <sheets>
    <sheet name="表紙" sheetId="233" r:id="rId1"/>
    <sheet name="変更履歴" sheetId="234" r:id="rId2"/>
    <sheet name="凡例" sheetId="241" r:id="rId3"/>
    <sheet name="固定資産管理" sheetId="263" r:id="rId4"/>
    <sheet name="資産リース管理_old" sheetId="271" state="hidden" r:id="rId5"/>
    <sheet name="資産リース管理_old20250730" sheetId="273" state="hidden" r:id="rId6"/>
    <sheet name="資産リース管理" sheetId="274" r:id="rId7"/>
    <sheet name="資産リース管理 (JBS整理中)_0509" sheetId="272"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274" l="1"/>
  <c r="A6" i="273"/>
  <c r="V2" i="274"/>
  <c r="AC2" i="273" l="1"/>
  <c r="A6" i="272"/>
  <c r="AC2" i="272"/>
  <c r="A6" i="271"/>
  <c r="V2" i="271"/>
  <c r="V2" i="263"/>
  <c r="A6" i="263"/>
  <c r="V2" i="241" l="1"/>
  <c r="W2" i="234" l="1"/>
  <c r="F2" i="234" l="1"/>
  <c r="F1" i="234"/>
  <c r="B22" i="233"/>
  <c r="B24" i="233" a="1"/>
  <c r="F1" i="274" l="1"/>
  <c r="F1" i="272"/>
  <c r="F1" i="273"/>
  <c r="F2" i="274"/>
  <c r="F2" i="272"/>
  <c r="F2" i="273"/>
  <c r="F1" i="271"/>
  <c r="F1" i="263"/>
  <c r="F1" i="241"/>
  <c r="F2" i="271"/>
  <c r="F2" i="263"/>
  <c r="F2" i="241"/>
  <c r="B24" i="233"/>
  <c r="BA2" i="234" l="1"/>
  <c r="AQ2" i="263" s="1"/>
  <c r="AT2" i="234"/>
  <c r="AL2" i="263" s="1"/>
  <c r="AT3" i="234" a="1"/>
  <c r="BA3" i="234" a="1"/>
  <c r="AL2" i="274" l="1"/>
  <c r="AS2" i="273"/>
  <c r="AS2" i="272"/>
  <c r="AQ2" i="274"/>
  <c r="AX2" i="273"/>
  <c r="AX2" i="272"/>
  <c r="AL2" i="271"/>
  <c r="AL2" i="241"/>
  <c r="AQ2" i="271"/>
  <c r="AQ2" i="241"/>
  <c r="AT3" i="234"/>
  <c r="BA3" i="234"/>
  <c r="AQ3" i="274" l="1"/>
  <c r="AQ3" i="263"/>
  <c r="AL3" i="274"/>
  <c r="AL3" i="263"/>
  <c r="AX3" i="272"/>
  <c r="AX3" i="273"/>
  <c r="AS3" i="272"/>
  <c r="AS3" i="273"/>
  <c r="AQ3" i="271"/>
  <c r="AL3" i="271"/>
  <c r="AQ3" i="241"/>
  <c r="AL3" i="24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<sst xmlns="http://schemas.openxmlformats.org/spreadsheetml/2006/main" count="1715" uniqueCount="835">
  <si>
    <t>サンスター株式会社　御中</t>
    <phoneticPr fontId="4"/>
  </si>
  <si>
    <t>会計システム刷新プロジェクト（LIBRA）</t>
    <rPh sb="0" eb="2">
      <t>カイケイ</t>
    </rPh>
    <rPh sb="6" eb="8">
      <t>サッシン</t>
    </rPh>
    <phoneticPr fontId="4"/>
  </si>
  <si>
    <t>ToBe業務フロー（5.固定資産_リース）</t>
    <phoneticPr fontId="3"/>
  </si>
  <si>
    <t>日本ビジネスシステムズ株式会社</t>
    <rPh sb="0" eb="2">
      <t>ニホン</t>
    </rPh>
    <rPh sb="11" eb="15">
      <t>カブシキガイシャ</t>
    </rPh>
    <phoneticPr fontId="4"/>
  </si>
  <si>
    <t>作成者</t>
    <rPh sb="0" eb="3">
      <t>サクセイシャ</t>
    </rPh>
    <phoneticPr fontId="4"/>
  </si>
  <si>
    <t>JBS承認者</t>
    <rPh sb="3" eb="6">
      <t>ショウニンシャ</t>
    </rPh>
    <phoneticPr fontId="4"/>
  </si>
  <si>
    <t>承認者</t>
    <rPh sb="0" eb="3">
      <t>ショウニンシャシャ</t>
    </rPh>
    <phoneticPr fontId="4"/>
  </si>
  <si>
    <t>JBS大河原</t>
    <rPh sb="3" eb="6">
      <t>オオカワラ</t>
    </rPh>
    <phoneticPr fontId="3"/>
  </si>
  <si>
    <t>JBS加藤</t>
    <rPh sb="3" eb="5">
      <t>カトウ</t>
    </rPh>
    <phoneticPr fontId="3"/>
  </si>
  <si>
    <t>システム名</t>
    <rPh sb="4" eb="5">
      <t>メイ</t>
    </rPh>
    <phoneticPr fontId="11"/>
  </si>
  <si>
    <t>タイトル</t>
  </si>
  <si>
    <t>日付</t>
    <rPh sb="0" eb="2">
      <t>ヒヅケ</t>
    </rPh>
    <phoneticPr fontId="24"/>
  </si>
  <si>
    <t>更新者</t>
    <rPh sb="0" eb="2">
      <t>コウシン</t>
    </rPh>
    <rPh sb="2" eb="3">
      <t>シャ</t>
    </rPh>
    <phoneticPr fontId="11"/>
  </si>
  <si>
    <t>文書名</t>
    <rPh sb="0" eb="2">
      <t>ブンショ</t>
    </rPh>
    <rPh sb="2" eb="3">
      <t>メイ</t>
    </rPh>
    <phoneticPr fontId="11"/>
  </si>
  <si>
    <t>作成</t>
    <rPh sb="0" eb="2">
      <t>サクセイ</t>
    </rPh>
    <phoneticPr fontId="11"/>
  </si>
  <si>
    <t>更新</t>
    <rPh sb="0" eb="2">
      <t>コウシン</t>
    </rPh>
    <phoneticPr fontId="11"/>
  </si>
  <si>
    <t>変更年月日</t>
    <rPh sb="0" eb="2">
      <t>ヘンコウ</t>
    </rPh>
    <rPh sb="2" eb="5">
      <t>ネンガッピ</t>
    </rPh>
    <phoneticPr fontId="25"/>
  </si>
  <si>
    <t>変更箇所</t>
    <rPh sb="0" eb="2">
      <t>ヘンコウ</t>
    </rPh>
    <rPh sb="2" eb="4">
      <t>カショ</t>
    </rPh>
    <phoneticPr fontId="25"/>
  </si>
  <si>
    <t>変更内容</t>
    <rPh sb="0" eb="2">
      <t>ヘンコウ</t>
    </rPh>
    <rPh sb="2" eb="4">
      <t>ナイヨウ</t>
    </rPh>
    <phoneticPr fontId="25"/>
  </si>
  <si>
    <t>変更者</t>
    <rPh sb="0" eb="2">
      <t>ヘンコウ</t>
    </rPh>
    <rPh sb="2" eb="3">
      <t>シャ</t>
    </rPh>
    <phoneticPr fontId="25"/>
  </si>
  <si>
    <t>版数</t>
    <rPh sb="0" eb="1">
      <t>ハン</t>
    </rPh>
    <rPh sb="1" eb="2">
      <t>スウ</t>
    </rPh>
    <phoneticPr fontId="25"/>
  </si>
  <si>
    <t>新規作成</t>
    <rPh sb="0" eb="2">
      <t>シンキ</t>
    </rPh>
    <rPh sb="2" eb="4">
      <t>サクセイ</t>
    </rPh>
    <phoneticPr fontId="4"/>
  </si>
  <si>
    <t>新規作成</t>
    <rPh sb="0" eb="4">
      <t>シンキサクセイ</t>
    </rPh>
    <phoneticPr fontId="24"/>
  </si>
  <si>
    <t>JBS大河原</t>
    <rPh sb="3" eb="6">
      <t>オオカワラ</t>
    </rPh>
    <phoneticPr fontId="4"/>
  </si>
  <si>
    <t>0.1</t>
    <phoneticPr fontId="3"/>
  </si>
  <si>
    <t>初版確定</t>
    <rPh sb="0" eb="4">
      <t>ショハンカクテイ</t>
    </rPh>
    <phoneticPr fontId="3"/>
  </si>
  <si>
    <t>1.0</t>
    <phoneticPr fontId="3"/>
  </si>
  <si>
    <t>シート「固定資産管理」</t>
    <rPh sb="4" eb="6">
      <t>コテイ</t>
    </rPh>
    <rPh sb="6" eb="8">
      <t>シサン</t>
    </rPh>
    <rPh sb="8" eb="10">
      <t>カンリ</t>
    </rPh>
    <phoneticPr fontId="3"/>
  </si>
  <si>
    <t>建設仮勘定の総額を認識するフローを修正。固定資産管理シート　　　　　１．固定資産取得を修正</t>
    <rPh sb="0" eb="2">
      <t>ケンセツ</t>
    </rPh>
    <rPh sb="2" eb="5">
      <t>カリカンジョウ</t>
    </rPh>
    <rPh sb="6" eb="8">
      <t>ソウガク</t>
    </rPh>
    <rPh sb="9" eb="11">
      <t>ニンシキ</t>
    </rPh>
    <rPh sb="17" eb="19">
      <t>シュウセイ</t>
    </rPh>
    <rPh sb="20" eb="24">
      <t>コテイシサン</t>
    </rPh>
    <rPh sb="24" eb="26">
      <t>カンリ</t>
    </rPh>
    <rPh sb="43" eb="45">
      <t>シュウセイ</t>
    </rPh>
    <phoneticPr fontId="3"/>
  </si>
  <si>
    <t>1.1</t>
    <phoneticPr fontId="3"/>
  </si>
  <si>
    <t>建設仮勘定に関するフローを修正。固定資産管理シート　　　　　１．固定資産取得 を修正</t>
    <rPh sb="0" eb="2">
      <t>ケンセツ</t>
    </rPh>
    <rPh sb="2" eb="5">
      <t>カリカンジョウ</t>
    </rPh>
    <rPh sb="6" eb="7">
      <t>カン</t>
    </rPh>
    <rPh sb="13" eb="15">
      <t>シュウセイ</t>
    </rPh>
    <rPh sb="16" eb="20">
      <t>コテイシサン</t>
    </rPh>
    <rPh sb="20" eb="22">
      <t>カンリ</t>
    </rPh>
    <rPh sb="40" eb="42">
      <t>シュウセイ</t>
    </rPh>
    <phoneticPr fontId="3"/>
  </si>
  <si>
    <t>JBS中村</t>
    <rPh sb="3" eb="5">
      <t>ナカムラ</t>
    </rPh>
    <phoneticPr fontId="3"/>
  </si>
  <si>
    <t>1.2</t>
    <phoneticPr fontId="3"/>
  </si>
  <si>
    <r>
      <t xml:space="preserve">・固定資産の通常取得：購入と資産計上が同時期に実施される場合と建設仮勘定対応：購入と資産計上の時期にずれがある場合のフローを分離
</t>
    </r>
    <r>
      <rPr>
        <sz val="10"/>
        <color rgb="FF000000"/>
        <rFont val="Meiryo UI"/>
        <family val="3"/>
        <charset val="128"/>
      </rPr>
      <t>6．固定資産現物管理(分割処理) ⇒　修正(追記)
8．固定資産台帳（随時）⇒　追記
9．償却シミュレーション一覧（適宜）⇒　追記
11．月次レポート（償却資産申告書作成）⇒　修正(追記)</t>
    </r>
    <r>
      <rPr>
        <b/>
        <sz val="10"/>
        <color rgb="FF000000"/>
        <rFont val="Meiryo UI"/>
        <family val="3"/>
        <charset val="128"/>
      </rPr>
      <t xml:space="preserve">
</t>
    </r>
    <r>
      <rPr>
        <sz val="10"/>
        <color indexed="8"/>
        <rFont val="Meiryo UI"/>
        <family val="3"/>
        <charset val="128"/>
      </rPr>
      <t>12．年次レポート(償却資産税情報出力（eLTAX)) ⇒　追記</t>
    </r>
    <phoneticPr fontId="3"/>
  </si>
  <si>
    <t>1.3</t>
  </si>
  <si>
    <t>固定資産取得について、下記修正・追記
・指図は生産部・研究部門、業務推進・財務にて登録
・各部署、生産部・研究部門、業務推進・財務それぞれで取得処理を行い、最終確認は業務推進・財務で行う
・入力部署での1段階承認とし、業務推進・財務での最終確認は承認なし
・固定資産登録：少額資産・美術品について帳簿注意、財務分析コードの指定が必要
・決済勘定へ振替（通常取得）：楽楽精算の処理は「支払」であり、貸方は一律で「未払金(設備)」となる
・振替金額の認識（建設仮勘定対応）：指図コードがない場合は財務タグで判別する</t>
    <rPh sb="11" eb="13">
      <t>カキ</t>
    </rPh>
    <rPh sb="13" eb="15">
      <t>シュウセイ</t>
    </rPh>
    <rPh sb="16" eb="18">
      <t>ツイキ</t>
    </rPh>
    <rPh sb="20" eb="22">
      <t>サシズ</t>
    </rPh>
    <rPh sb="45" eb="48">
      <t>カクブショ</t>
    </rPh>
    <rPh sb="70" eb="74">
      <t>シュトクショリ</t>
    </rPh>
    <rPh sb="75" eb="76">
      <t>オコナ</t>
    </rPh>
    <rPh sb="78" eb="82">
      <t>サイシュウカクニン</t>
    </rPh>
    <rPh sb="91" eb="92">
      <t>オコナ</t>
    </rPh>
    <rPh sb="95" eb="99">
      <t>ニュウリョクブショ</t>
    </rPh>
    <rPh sb="102" eb="106">
      <t>ダンカイショウニン</t>
    </rPh>
    <rPh sb="109" eb="113">
      <t>ギョウムスイシン</t>
    </rPh>
    <rPh sb="114" eb="116">
      <t>ザイム</t>
    </rPh>
    <rPh sb="118" eb="122">
      <t>サイシュウカクニン</t>
    </rPh>
    <rPh sb="123" eb="125">
      <t>ショウニン</t>
    </rPh>
    <rPh sb="129" eb="133">
      <t>コテイシサン</t>
    </rPh>
    <rPh sb="136" eb="140">
      <t>ショウガクシサン</t>
    </rPh>
    <rPh sb="141" eb="144">
      <t>ビジュツヒン</t>
    </rPh>
    <rPh sb="148" eb="150">
      <t>チョウボ</t>
    </rPh>
    <rPh sb="150" eb="152">
      <t>チュウイ</t>
    </rPh>
    <rPh sb="164" eb="166">
      <t>ヒツヨウ</t>
    </rPh>
    <rPh sb="176" eb="180">
      <t>ツウジョウシュトク</t>
    </rPh>
    <rPh sb="198" eb="200">
      <t>カシカタ</t>
    </rPh>
    <rPh sb="201" eb="203">
      <t>イチリツ</t>
    </rPh>
    <rPh sb="226" eb="228">
      <t>ケンセツ</t>
    </rPh>
    <rPh sb="228" eb="231">
      <t>カリカンジョウ</t>
    </rPh>
    <rPh sb="231" eb="233">
      <t>タイオウ</t>
    </rPh>
    <rPh sb="235" eb="237">
      <t>サシズ</t>
    </rPh>
    <rPh sb="243" eb="245">
      <t>バアイ</t>
    </rPh>
    <phoneticPr fontId="3"/>
  </si>
  <si>
    <t>1.4</t>
    <phoneticPr fontId="3"/>
  </si>
  <si>
    <t>下記フロー修正・追記
・3．固定資産現物管理（移動）：移動概要（固定資産の場所の移動）の追記
・4．固定資産現物管理（売却・処分）：未収入金への振替を追記
・5．固定資産現物管理（減損処理）：一般会計・決算フローとの繋がりを追記
・11．月次レポート（償却資産申告書作成）：固定資産移動一覧の追記</t>
    <rPh sb="0" eb="2">
      <t>カキ</t>
    </rPh>
    <rPh sb="5" eb="7">
      <t>シュウセイ</t>
    </rPh>
    <rPh sb="8" eb="10">
      <t>ツイキ</t>
    </rPh>
    <rPh sb="27" eb="29">
      <t>イドウ</t>
    </rPh>
    <rPh sb="29" eb="31">
      <t>ガイヨウ</t>
    </rPh>
    <rPh sb="32" eb="36">
      <t>コテイシサン</t>
    </rPh>
    <rPh sb="37" eb="39">
      <t>バショ</t>
    </rPh>
    <rPh sb="40" eb="42">
      <t>イドウ</t>
    </rPh>
    <rPh sb="44" eb="46">
      <t>ツイキ</t>
    </rPh>
    <rPh sb="66" eb="70">
      <t>ミシュウニュウキン</t>
    </rPh>
    <rPh sb="72" eb="74">
      <t>フリカエ</t>
    </rPh>
    <rPh sb="75" eb="77">
      <t>ツイキ</t>
    </rPh>
    <rPh sb="96" eb="98">
      <t>イッパン</t>
    </rPh>
    <rPh sb="98" eb="100">
      <t>カイケイ</t>
    </rPh>
    <rPh sb="101" eb="103">
      <t>ケッサン</t>
    </rPh>
    <rPh sb="108" eb="109">
      <t>ツナ</t>
    </rPh>
    <rPh sb="112" eb="114">
      <t>ツイキ</t>
    </rPh>
    <rPh sb="137" eb="145">
      <t>コテイシサンイドウイチラン</t>
    </rPh>
    <rPh sb="146" eb="148">
      <t>ツイキ</t>
    </rPh>
    <phoneticPr fontId="3"/>
  </si>
  <si>
    <t>1.5</t>
    <phoneticPr fontId="3"/>
  </si>
  <si>
    <t>下記フロー修正・追記
下記フロー修正・追記
・ヘッダ部：各部署と生産部・研究部門は同一フローとなるため、同一レーンとして記載
・1-1．固定資産取得(通常取得)：建設仮勘定対応と同様、決済勘定へ振替→固定資産マスタ登録 の流れとする
・1．固定資産取得(通常取得・建設仮勘定対応)：振替金額の認識や決済勘定へ振替は各部門で行う
・1．固定資産取得(通常取得・建設仮勘定対応)：仕訳帳全体の取消は登録部署で行う
・3．固定資産現物管理（移動）：それぞれの資産の管理部署が移動処理を行う
・4．固定資産現物管理（売却・処分）：それぞれの資産の管理部署が売却・処分処理を行う
・4．固定資産現物管理（売却・処分）：各部門で承認を行い、最終確認は業務推進・財務で行う
・5．固定資産現物管理（減損処理）：減損処理の判断はシステム外となる（FO内での減損処理判断の記載削除）
・5．固定資産現物管理（減損処理）：業務推進・財務にて入力・承認を行う
・7．固定資産現物管理（圧縮記帳処理ー直接減額方式）：業務推進・財務にて入力・承認を行う
・11．年次レポート（償却資産申告書作成）：月次ではなく年次で出力となる</t>
    <rPh sb="26" eb="27">
      <t>ブ</t>
    </rPh>
    <rPh sb="28" eb="31">
      <t>カクブショ</t>
    </rPh>
    <rPh sb="32" eb="35">
      <t>セイサンブ</t>
    </rPh>
    <rPh sb="36" eb="40">
      <t>ケンキュウブモン</t>
    </rPh>
    <rPh sb="41" eb="43">
      <t>ドウイツ</t>
    </rPh>
    <rPh sb="52" eb="54">
      <t>ドウイツ</t>
    </rPh>
    <rPh sb="60" eb="62">
      <t>キサイ</t>
    </rPh>
    <rPh sb="157" eb="160">
      <t>カクブモン</t>
    </rPh>
    <rPh sb="161" eb="162">
      <t>オコナ</t>
    </rPh>
    <rPh sb="188" eb="191">
      <t>シワケチョウ</t>
    </rPh>
    <rPh sb="191" eb="193">
      <t>ゼンタイ</t>
    </rPh>
    <rPh sb="194" eb="196">
      <t>トリケシ</t>
    </rPh>
    <rPh sb="197" eb="199">
      <t>トウロク</t>
    </rPh>
    <rPh sb="199" eb="201">
      <t>ブショ</t>
    </rPh>
    <rPh sb="202" eb="203">
      <t>オコナ</t>
    </rPh>
    <rPh sb="239" eb="240">
      <t>オコナ</t>
    </rPh>
    <rPh sb="274" eb="276">
      <t>バイキャク</t>
    </rPh>
    <rPh sb="277" eb="279">
      <t>ショブン</t>
    </rPh>
    <rPh sb="304" eb="307">
      <t>カクブモン</t>
    </rPh>
    <rPh sb="308" eb="310">
      <t>ショウニン</t>
    </rPh>
    <rPh sb="311" eb="312">
      <t>オコナ</t>
    </rPh>
    <rPh sb="348" eb="350">
      <t>ゲンソン</t>
    </rPh>
    <rPh sb="350" eb="352">
      <t>ショリ</t>
    </rPh>
    <rPh sb="353" eb="355">
      <t>ハンダン</t>
    </rPh>
    <rPh sb="360" eb="361">
      <t>ガイ</t>
    </rPh>
    <rPh sb="367" eb="368">
      <t>ナイ</t>
    </rPh>
    <rPh sb="370" eb="374">
      <t>ゲンソンショリ</t>
    </rPh>
    <rPh sb="374" eb="376">
      <t>ハンダン</t>
    </rPh>
    <rPh sb="377" eb="379">
      <t>キサイ</t>
    </rPh>
    <rPh sb="379" eb="381">
      <t>サクジョ</t>
    </rPh>
    <rPh sb="410" eb="412">
      <t>ニュウリョク</t>
    </rPh>
    <rPh sb="413" eb="415">
      <t>ショウニン</t>
    </rPh>
    <rPh sb="416" eb="417">
      <t>オコナ</t>
    </rPh>
    <rPh sb="486" eb="488">
      <t>ゲツジ</t>
    </rPh>
    <rPh sb="492" eb="494">
      <t>ネンジ</t>
    </rPh>
    <rPh sb="495" eb="497">
      <t>シュツリョク</t>
    </rPh>
    <phoneticPr fontId="3"/>
  </si>
  <si>
    <t>1.6</t>
    <phoneticPr fontId="3"/>
  </si>
  <si>
    <t>6．固定資産現物管理（分割処理）について、承認フローの追記</t>
    <rPh sb="21" eb="23">
      <t>ショウニン</t>
    </rPh>
    <rPh sb="27" eb="29">
      <t>ツイキ</t>
    </rPh>
    <phoneticPr fontId="3"/>
  </si>
  <si>
    <t>下記フロー修正・追記
・ヘッダ部：各部署を記載するレーンへ「山梨設備G」を追加
・5．固定資産現物管理（減損処理）：機能制約条件の文言を削除
・6．固定資産現物管理（分割処理）：全部署で処理を行うようフロー変更
・８．固定資産台帳（随時）：全部署で使用するようフロー変更</t>
    <rPh sb="0" eb="2">
      <t>カキ</t>
    </rPh>
    <rPh sb="5" eb="7">
      <t>シュウセイ</t>
    </rPh>
    <rPh sb="8" eb="10">
      <t>ツイキ</t>
    </rPh>
    <rPh sb="15" eb="16">
      <t>ブ</t>
    </rPh>
    <rPh sb="17" eb="20">
      <t>カクブショ</t>
    </rPh>
    <rPh sb="21" eb="23">
      <t>キサイ</t>
    </rPh>
    <rPh sb="30" eb="32">
      <t>ヤマナシ</t>
    </rPh>
    <rPh sb="32" eb="34">
      <t>セツビ</t>
    </rPh>
    <rPh sb="37" eb="39">
      <t>ツイカ</t>
    </rPh>
    <rPh sb="58" eb="60">
      <t>キノウ</t>
    </rPh>
    <rPh sb="60" eb="62">
      <t>セイヤク</t>
    </rPh>
    <rPh sb="62" eb="64">
      <t>ジョウケン</t>
    </rPh>
    <rPh sb="65" eb="67">
      <t>モンゴン</t>
    </rPh>
    <rPh sb="68" eb="70">
      <t>サクジョ</t>
    </rPh>
    <rPh sb="89" eb="92">
      <t>ゼンブショ</t>
    </rPh>
    <rPh sb="93" eb="95">
      <t>ショリ</t>
    </rPh>
    <rPh sb="96" eb="97">
      <t>オコナ</t>
    </rPh>
    <rPh sb="103" eb="105">
      <t>ヘンコウ</t>
    </rPh>
    <rPh sb="124" eb="126">
      <t>シヨウ</t>
    </rPh>
    <phoneticPr fontId="3"/>
  </si>
  <si>
    <t>決算Gを追加。（※決算Gが固定資産計上することは、イレギュラー）</t>
    <rPh sb="0" eb="2">
      <t>ケッサン</t>
    </rPh>
    <rPh sb="4" eb="6">
      <t>ツイカ</t>
    </rPh>
    <phoneticPr fontId="3"/>
  </si>
  <si>
    <t>JBS秋信</t>
    <rPh sb="3" eb="5">
      <t>アキノブ</t>
    </rPh>
    <phoneticPr fontId="3"/>
  </si>
  <si>
    <t>1.7</t>
    <phoneticPr fontId="3"/>
  </si>
  <si>
    <t>シート「資産リース管理」</t>
    <rPh sb="4" eb="6">
      <t>シサン</t>
    </rPh>
    <rPh sb="9" eb="11">
      <t>カンリ</t>
    </rPh>
    <phoneticPr fontId="3"/>
  </si>
  <si>
    <t>結合テストのシナリオ作成の業務ヒアリングの結果を受け、全体的に見直しを実施。</t>
    <rPh sb="0" eb="2">
      <t>ケツゴウ</t>
    </rPh>
    <rPh sb="10" eb="12">
      <t>サクセイ</t>
    </rPh>
    <rPh sb="13" eb="15">
      <t>ギョウム</t>
    </rPh>
    <rPh sb="21" eb="23">
      <t>ケッカ</t>
    </rPh>
    <rPh sb="24" eb="25">
      <t>ウ</t>
    </rPh>
    <rPh sb="27" eb="29">
      <t>ゼンタイ</t>
    </rPh>
    <rPh sb="29" eb="30">
      <t>テキ</t>
    </rPh>
    <rPh sb="31" eb="33">
      <t>ミナオ</t>
    </rPh>
    <rPh sb="35" eb="37">
      <t>ジッシ</t>
    </rPh>
    <phoneticPr fontId="3"/>
  </si>
  <si>
    <t>4．固定資産現物管理（売却・処分）について、下記フロー修正
・7．未収入金への振替：SLJのみ処理発生想定の旨 追記
・14．ネッティング仕訳入力~23．自動転記バッチ 追記</t>
    <rPh sb="22" eb="24">
      <t>カキ</t>
    </rPh>
    <rPh sb="27" eb="29">
      <t>シュウセイ</t>
    </rPh>
    <rPh sb="47" eb="49">
      <t>ショリ</t>
    </rPh>
    <rPh sb="49" eb="51">
      <t>ハッセイ</t>
    </rPh>
    <rPh sb="51" eb="53">
      <t>ソウテイ</t>
    </rPh>
    <rPh sb="54" eb="55">
      <t>ムネ</t>
    </rPh>
    <rPh sb="56" eb="58">
      <t>ツイキ</t>
    </rPh>
    <rPh sb="85" eb="87">
      <t>ツイキ</t>
    </rPh>
    <phoneticPr fontId="3"/>
  </si>
  <si>
    <t>1.8</t>
    <phoneticPr fontId="3"/>
  </si>
  <si>
    <t>5．固定資産現物管理（減損処理）について、下記文言を追記
・全体：現行（会社法）とカスタムレイヤー1（IFRS）の各転記階層でそれぞれ処理を行う
・１．減損インジケータの更新：回収可能金額：0 の設定は不可なため、仮で金額を入力
・４．減損提案の実行：適切な減損金額であることを確認（必要に応じて金額修正）</t>
    <rPh sb="21" eb="23">
      <t>カキ</t>
    </rPh>
    <rPh sb="23" eb="25">
      <t>モンゴン</t>
    </rPh>
    <rPh sb="26" eb="28">
      <t>ツイキ</t>
    </rPh>
    <rPh sb="30" eb="32">
      <t>ゼンタイ</t>
    </rPh>
    <phoneticPr fontId="3"/>
  </si>
  <si>
    <t>1.9</t>
    <phoneticPr fontId="3"/>
  </si>
  <si>
    <t xml:space="preserve">・１．資産リース取得
消費税の対応の業務追加（300万以上のファイナンスリースのリース債務に消費税込で登録する）
・4．IFRS　賃借料の振替
タイトル変更（変更前：4．リース資産の経費スケジュールの作成・転記）
経費スケジュールから、一般仕訳帳アップロードを使用に変更
・8．減損処理
無形の日本会計について、間接法への振替対応から除外
</t>
    <rPh sb="11" eb="14">
      <t>ショウヒゼイ</t>
    </rPh>
    <rPh sb="15" eb="17">
      <t>タイオウ</t>
    </rPh>
    <rPh sb="18" eb="22">
      <t>ギョウムツイカ</t>
    </rPh>
    <rPh sb="26" eb="29">
      <t>マンイジョウ</t>
    </rPh>
    <rPh sb="43" eb="45">
      <t>サイム</t>
    </rPh>
    <rPh sb="46" eb="49">
      <t>ショウヒゼイ</t>
    </rPh>
    <rPh sb="49" eb="50">
      <t>コ</t>
    </rPh>
    <rPh sb="51" eb="53">
      <t>トウロク</t>
    </rPh>
    <rPh sb="76" eb="78">
      <t>ヘンコウ</t>
    </rPh>
    <rPh sb="79" eb="82">
      <t>ヘンコウマエ</t>
    </rPh>
    <rPh sb="107" eb="109">
      <t>ケイヒ</t>
    </rPh>
    <rPh sb="118" eb="123">
      <t>イッパンシワケチョウ</t>
    </rPh>
    <rPh sb="130" eb="132">
      <t>シヨウ</t>
    </rPh>
    <rPh sb="133" eb="135">
      <t>ヘンコウ</t>
    </rPh>
    <rPh sb="144" eb="146">
      <t>ムケイ</t>
    </rPh>
    <rPh sb="147" eb="151">
      <t>ニホンカイケイ</t>
    </rPh>
    <rPh sb="156" eb="159">
      <t>カンセツホウ</t>
    </rPh>
    <rPh sb="161" eb="163">
      <t>フリカエ</t>
    </rPh>
    <rPh sb="163" eb="165">
      <t>タイオウ</t>
    </rPh>
    <rPh sb="167" eb="169">
      <t>ジョガイ</t>
    </rPh>
    <phoneticPr fontId="3"/>
  </si>
  <si>
    <t>1.10</t>
    <phoneticPr fontId="3"/>
  </si>
  <si>
    <t>・１．資産リース取得
１．資産リース取得の11．自動転記バッチ　【300万以上ファイナンスリースのみ発生】の仕訳例
未払金/リース債務(固定) を未払金/リース資産　に修正</t>
    <rPh sb="13" eb="15">
      <t>シサン</t>
    </rPh>
    <rPh sb="18" eb="20">
      <t>シュトク</t>
    </rPh>
    <rPh sb="24" eb="26">
      <t>ジドウ</t>
    </rPh>
    <rPh sb="26" eb="28">
      <t>テンキ</t>
    </rPh>
    <rPh sb="36" eb="39">
      <t>マンイジョウ</t>
    </rPh>
    <rPh sb="50" eb="52">
      <t>ハッセイ</t>
    </rPh>
    <rPh sb="54" eb="56">
      <t>シワケ</t>
    </rPh>
    <rPh sb="56" eb="57">
      <t>レイ</t>
    </rPh>
    <rPh sb="58" eb="60">
      <t>ミバライ</t>
    </rPh>
    <rPh sb="60" eb="61">
      <t>キン</t>
    </rPh>
    <rPh sb="65" eb="67">
      <t>サイム</t>
    </rPh>
    <rPh sb="68" eb="70">
      <t>コテイ</t>
    </rPh>
    <rPh sb="73" eb="75">
      <t>ミバライ</t>
    </rPh>
    <rPh sb="75" eb="76">
      <t>キン</t>
    </rPh>
    <rPh sb="80" eb="82">
      <t>シサン</t>
    </rPh>
    <rPh sb="84" eb="86">
      <t>シュウセイ</t>
    </rPh>
    <phoneticPr fontId="3"/>
  </si>
  <si>
    <t>1.11</t>
    <phoneticPr fontId="3"/>
  </si>
  <si>
    <t>・9．リース解約処理
減損されているリース場合、間接法の振替取消仕訳の登録手順を追加（5．間接法の振替取消仕訳の登録 以降）</t>
    <rPh sb="11" eb="13">
      <t>ゲンソン</t>
    </rPh>
    <rPh sb="30" eb="32">
      <t>トリケシ</t>
    </rPh>
    <rPh sb="37" eb="39">
      <t>テジュン</t>
    </rPh>
    <rPh sb="59" eb="61">
      <t>イコウトリケシテジュンツイカ</t>
    </rPh>
    <phoneticPr fontId="3"/>
  </si>
  <si>
    <t>1.12</t>
    <phoneticPr fontId="3"/>
  </si>
  <si>
    <t>・1-1．1-2.固定資産取得
税申告分も派生帳簿での対応となったため、各転記階層（現行・税申告）での実施が必要 の旨削除</t>
    <rPh sb="16" eb="19">
      <t>ゼイシンコク</t>
    </rPh>
    <rPh sb="19" eb="20">
      <t>ブン</t>
    </rPh>
    <rPh sb="21" eb="25">
      <t>ハセイチョウボ</t>
    </rPh>
    <rPh sb="27" eb="29">
      <t>タイオウ</t>
    </rPh>
    <rPh sb="58" eb="59">
      <t>ムネ</t>
    </rPh>
    <rPh sb="59" eb="61">
      <t>サクジョ</t>
    </rPh>
    <phoneticPr fontId="3"/>
  </si>
  <si>
    <t>1.13</t>
    <phoneticPr fontId="3"/>
  </si>
  <si>
    <t>・2．固定資産現物管理（減価償却）
償却提案の実行について、現行・IFRSそれぞれ実施が必要 の旨追記
（現行・IFRSと償却額が異なる場合があるため、派生帳簿を廃止）</t>
  </si>
  <si>
    <t>1.14</t>
    <phoneticPr fontId="3"/>
  </si>
  <si>
    <t>・13．固定資産の休止
新規作成</t>
    <rPh sb="12" eb="14">
      <t>シンキ</t>
    </rPh>
    <rPh sb="14" eb="16">
      <t>サクセイ</t>
    </rPh>
    <phoneticPr fontId="3"/>
  </si>
  <si>
    <t>1.15</t>
    <phoneticPr fontId="3"/>
  </si>
  <si>
    <t>タイトル</t>
    <phoneticPr fontId="4"/>
  </si>
  <si>
    <t>凡例</t>
    <rPh sb="0" eb="2">
      <t>ハンレイ</t>
    </rPh>
    <phoneticPr fontId="11"/>
  </si>
  <si>
    <t>：</t>
    <phoneticPr fontId="3"/>
  </si>
  <si>
    <t>フローの開始</t>
    <rPh sb="4" eb="6">
      <t>カイシ</t>
    </rPh>
    <phoneticPr fontId="3"/>
  </si>
  <si>
    <t>フローの終了</t>
    <rPh sb="4" eb="6">
      <t>シュウリョウ</t>
    </rPh>
    <phoneticPr fontId="3"/>
  </si>
  <si>
    <t>システムを伴わない業務</t>
    <rPh sb="5" eb="6">
      <t>トモナ</t>
    </rPh>
    <rPh sb="9" eb="11">
      <t>ギョウム</t>
    </rPh>
    <phoneticPr fontId="3"/>
  </si>
  <si>
    <t>システム上での業務</t>
    <rPh sb="4" eb="5">
      <t>ジョウ</t>
    </rPh>
    <rPh sb="7" eb="9">
      <t>ギョウム</t>
    </rPh>
    <phoneticPr fontId="3"/>
  </si>
  <si>
    <t>帳票（システムで作成される帳票）</t>
    <rPh sb="0" eb="2">
      <t>チョウヒョウ</t>
    </rPh>
    <rPh sb="8" eb="10">
      <t>サクセイ</t>
    </rPh>
    <rPh sb="13" eb="15">
      <t>チョウヒョウ</t>
    </rPh>
    <phoneticPr fontId="3"/>
  </si>
  <si>
    <t>帳票（システム外で作成される帳票）</t>
    <rPh sb="0" eb="2">
      <t>チョウヒョウ</t>
    </rPh>
    <rPh sb="7" eb="8">
      <t>ガイ</t>
    </rPh>
    <rPh sb="9" eb="11">
      <t>サクセイ</t>
    </rPh>
    <rPh sb="14" eb="16">
      <t>チョウヒョウ</t>
    </rPh>
    <phoneticPr fontId="3"/>
  </si>
  <si>
    <t>業務の流れ</t>
    <rPh sb="0" eb="2">
      <t>ギョウム</t>
    </rPh>
    <rPh sb="3" eb="4">
      <t>ナガ</t>
    </rPh>
    <phoneticPr fontId="3"/>
  </si>
  <si>
    <t>システムへの連携</t>
    <rPh sb="6" eb="8">
      <t>レンケイ</t>
    </rPh>
    <phoneticPr fontId="3"/>
  </si>
  <si>
    <t>分岐</t>
    <rPh sb="0" eb="2">
      <t>ブンキ</t>
    </rPh>
    <phoneticPr fontId="3"/>
  </si>
  <si>
    <t>システム</t>
    <phoneticPr fontId="3"/>
  </si>
  <si>
    <t>フロー間の繋がりを示す</t>
    <rPh sb="3" eb="4">
      <t>カン</t>
    </rPh>
    <rPh sb="5" eb="6">
      <t>ツナ</t>
    </rPh>
    <rPh sb="9" eb="10">
      <t>シメ</t>
    </rPh>
    <phoneticPr fontId="3"/>
  </si>
  <si>
    <t>ファイル（CSVファイル等）</t>
    <rPh sb="12" eb="13">
      <t>トウ</t>
    </rPh>
    <phoneticPr fontId="3"/>
  </si>
  <si>
    <t>社内部署</t>
    <rPh sb="0" eb="2">
      <t>シャナイ</t>
    </rPh>
    <rPh sb="2" eb="4">
      <t>ブショ</t>
    </rPh>
    <phoneticPr fontId="3"/>
  </si>
  <si>
    <t>フローに登場する社内の部署を記載</t>
    <rPh sb="4" eb="6">
      <t>トウジョウ</t>
    </rPh>
    <rPh sb="8" eb="10">
      <t>シャナイ</t>
    </rPh>
    <rPh sb="11" eb="13">
      <t>ブショ</t>
    </rPh>
    <rPh sb="14" eb="16">
      <t>キサイ</t>
    </rPh>
    <phoneticPr fontId="3"/>
  </si>
  <si>
    <t>部署内の担当者が分かれる場合は以下の通りに分ける</t>
    <rPh sb="0" eb="2">
      <t>ブショ</t>
    </rPh>
    <rPh sb="2" eb="3">
      <t>ナイ</t>
    </rPh>
    <rPh sb="4" eb="7">
      <t>タントウシャ</t>
    </rPh>
    <rPh sb="8" eb="9">
      <t>ワ</t>
    </rPh>
    <rPh sb="12" eb="14">
      <t>バアイ</t>
    </rPh>
    <rPh sb="15" eb="17">
      <t>イカ</t>
    </rPh>
    <rPh sb="18" eb="19">
      <t>トオ</t>
    </rPh>
    <rPh sb="21" eb="22">
      <t>ワ</t>
    </rPh>
    <phoneticPr fontId="3"/>
  </si>
  <si>
    <t>担当者</t>
    <rPh sb="0" eb="3">
      <t>タントウシャ</t>
    </rPh>
    <phoneticPr fontId="3"/>
  </si>
  <si>
    <t>責任者</t>
    <rPh sb="0" eb="3">
      <t>セキニンシャ</t>
    </rPh>
    <phoneticPr fontId="3"/>
  </si>
  <si>
    <t>外部担当者</t>
    <rPh sb="0" eb="2">
      <t>ガイブ</t>
    </rPh>
    <rPh sb="2" eb="5">
      <t>タントウシャ</t>
    </rPh>
    <phoneticPr fontId="3"/>
  </si>
  <si>
    <t>フローに登場する社外担当者の部署を記載</t>
    <rPh sb="4" eb="6">
      <t>トウジョウ</t>
    </rPh>
    <rPh sb="8" eb="10">
      <t>シャガイ</t>
    </rPh>
    <rPh sb="10" eb="13">
      <t>タントウシャ</t>
    </rPh>
    <rPh sb="14" eb="16">
      <t>ブショ</t>
    </rPh>
    <rPh sb="17" eb="19">
      <t>キサイ</t>
    </rPh>
    <phoneticPr fontId="3"/>
  </si>
  <si>
    <t>例）得意先、仕入先</t>
    <rPh sb="0" eb="1">
      <t>レイ</t>
    </rPh>
    <rPh sb="2" eb="4">
      <t>トクイ</t>
    </rPh>
    <rPh sb="4" eb="5">
      <t>サキ</t>
    </rPh>
    <rPh sb="6" eb="9">
      <t>シイレサキ</t>
    </rPh>
    <phoneticPr fontId="3"/>
  </si>
  <si>
    <t>フロー上で実施されるシステムの機能を記載する列</t>
    <rPh sb="3" eb="4">
      <t>ジョウ</t>
    </rPh>
    <rPh sb="5" eb="7">
      <t>ジッシ</t>
    </rPh>
    <rPh sb="15" eb="17">
      <t>キノウ</t>
    </rPh>
    <rPh sb="18" eb="20">
      <t>キサイ</t>
    </rPh>
    <rPh sb="22" eb="23">
      <t>レツ</t>
    </rPh>
    <phoneticPr fontId="3"/>
  </si>
  <si>
    <t>XX</t>
    <phoneticPr fontId="3"/>
  </si>
  <si>
    <t>XXの部分にフローで登場するシステム名を記載</t>
    <rPh sb="3" eb="5">
      <t>ブブン</t>
    </rPh>
    <rPh sb="10" eb="12">
      <t>トウジョウ</t>
    </rPh>
    <rPh sb="18" eb="19">
      <t>メイ</t>
    </rPh>
    <rPh sb="20" eb="22">
      <t>キサイ</t>
    </rPh>
    <phoneticPr fontId="3"/>
  </si>
  <si>
    <t>例は以下の通り（JBSで導入するシステム外のものは「外部システム」で統一）</t>
    <rPh sb="0" eb="1">
      <t>レイ</t>
    </rPh>
    <rPh sb="2" eb="4">
      <t>イカ</t>
    </rPh>
    <rPh sb="5" eb="6">
      <t>トオ</t>
    </rPh>
    <rPh sb="12" eb="14">
      <t>ドウニュウ</t>
    </rPh>
    <rPh sb="20" eb="21">
      <t>ガイ</t>
    </rPh>
    <rPh sb="26" eb="28">
      <t>ガイブ</t>
    </rPh>
    <rPh sb="34" eb="36">
      <t>トウイツ</t>
    </rPh>
    <phoneticPr fontId="3"/>
  </si>
  <si>
    <t>FO</t>
    <phoneticPr fontId="3"/>
  </si>
  <si>
    <t>CE</t>
    <phoneticPr fontId="3"/>
  </si>
  <si>
    <t>外部システム</t>
    <rPh sb="0" eb="2">
      <t>ガイブ</t>
    </rPh>
    <phoneticPr fontId="3"/>
  </si>
  <si>
    <t>説明</t>
    <rPh sb="0" eb="2">
      <t>セツメイ</t>
    </rPh>
    <phoneticPr fontId="3"/>
  </si>
  <si>
    <t>フロー内容を説明する列</t>
    <rPh sb="3" eb="5">
      <t>ナイヨウ</t>
    </rPh>
    <rPh sb="6" eb="8">
      <t>セツメイ</t>
    </rPh>
    <rPh sb="10" eb="11">
      <t>レツ</t>
    </rPh>
    <phoneticPr fontId="3"/>
  </si>
  <si>
    <t>Gap
（Add-On）</t>
    <phoneticPr fontId="3"/>
  </si>
  <si>
    <t>フローに対してのGapを記載する列</t>
    <rPh sb="4" eb="5">
      <t>タイ</t>
    </rPh>
    <rPh sb="12" eb="14">
      <t>キサイ</t>
    </rPh>
    <rPh sb="16" eb="17">
      <t>レツ</t>
    </rPh>
    <phoneticPr fontId="3"/>
  </si>
  <si>
    <t>１．パターン１</t>
    <phoneticPr fontId="3"/>
  </si>
  <si>
    <t>フローのパターンごとに記載する</t>
    <rPh sb="11" eb="13">
      <t>キサイ</t>
    </rPh>
    <phoneticPr fontId="3"/>
  </si>
  <si>
    <t>高槻設備G・徳島設備G・MC生産技術G・山梨設備G
CH生産技術G・CH研究戦略G・購買G・ITDXG・総務G</t>
    <phoneticPr fontId="3"/>
  </si>
  <si>
    <t>事務管理G・決算G</t>
    <rPh sb="6" eb="8">
      <t>ケッサン</t>
    </rPh>
    <phoneticPr fontId="3"/>
  </si>
  <si>
    <t>質問内容</t>
    <rPh sb="0" eb="2">
      <t>シツモン</t>
    </rPh>
    <rPh sb="2" eb="4">
      <t>ナイヨウ</t>
    </rPh>
    <phoneticPr fontId="3"/>
  </si>
  <si>
    <t>回答</t>
    <rPh sb="0" eb="2">
      <t>カイトウ</t>
    </rPh>
    <phoneticPr fontId="3"/>
  </si>
  <si>
    <t>1-1．固定資産取得(通常取得：購入と資産計上が同時期に実施される場合)</t>
    <rPh sb="4" eb="6">
      <t>コテイ</t>
    </rPh>
    <rPh sb="6" eb="8">
      <t>シサン</t>
    </rPh>
    <rPh sb="8" eb="10">
      <t>シュトク</t>
    </rPh>
    <rPh sb="11" eb="15">
      <t>ツウジョウシュトク</t>
    </rPh>
    <rPh sb="16" eb="18">
      <t>コウニュウ</t>
    </rPh>
    <rPh sb="19" eb="23">
      <t>シサンケイジョウ</t>
    </rPh>
    <rPh sb="24" eb="27">
      <t>ドウジキ</t>
    </rPh>
    <rPh sb="28" eb="30">
      <t>ジッシ</t>
    </rPh>
    <rPh sb="33" eb="35">
      <t>バアイ</t>
    </rPh>
    <phoneticPr fontId="3"/>
  </si>
  <si>
    <t>・</t>
    <phoneticPr fontId="3"/>
  </si>
  <si>
    <t>固定資産登録を行うのは、下記グループでしょうか？</t>
    <rPh sb="0" eb="4">
      <t>コテイシサン</t>
    </rPh>
    <rPh sb="4" eb="6">
      <t>トウロク</t>
    </rPh>
    <rPh sb="7" eb="8">
      <t>オコナ</t>
    </rPh>
    <phoneticPr fontId="3"/>
  </si>
  <si>
    <t>→</t>
    <phoneticPr fontId="3"/>
  </si>
  <si>
    <t>※固定資産番号の発番はFOにて行う</t>
    <rPh sb="1" eb="7">
      <t>コテイシサンバンゴウ</t>
    </rPh>
    <rPh sb="8" eb="10">
      <t>ハツバン</t>
    </rPh>
    <rPh sb="15" eb="16">
      <t>オコナ</t>
    </rPh>
    <phoneticPr fontId="3"/>
  </si>
  <si>
    <t>（仕訳帳名の作成単位となる）</t>
    <phoneticPr fontId="3"/>
  </si>
  <si>
    <t>※標準承認フローは元帳転記の承認ワークフローが存在します。</t>
    <rPh sb="1" eb="3">
      <t>ヒョウジュン</t>
    </rPh>
    <rPh sb="3" eb="5">
      <t>ショウニン</t>
    </rPh>
    <rPh sb="9" eb="11">
      <t>モトチョウ</t>
    </rPh>
    <rPh sb="11" eb="13">
      <t>テンキ</t>
    </rPh>
    <rPh sb="14" eb="16">
      <t>ショウニン</t>
    </rPh>
    <phoneticPr fontId="3"/>
  </si>
  <si>
    <t>-</t>
    <phoneticPr fontId="3"/>
  </si>
  <si>
    <t>決算G承認</t>
    <phoneticPr fontId="3"/>
  </si>
  <si>
    <t>…</t>
    <phoneticPr fontId="3"/>
  </si>
  <si>
    <t>各部署？←こちらはどういう意味でしょうか？</t>
    <rPh sb="0" eb="3">
      <t>カクブショ</t>
    </rPh>
    <rPh sb="13" eb="15">
      <t>イミ</t>
    </rPh>
    <phoneticPr fontId="3"/>
  </si>
  <si>
    <t>⇒失礼しました。固定資産関連では不要Gでした。</t>
    <rPh sb="8" eb="12">
      <t>コテイシサン</t>
    </rPh>
    <rPh sb="12" eb="14">
      <t>カンレン</t>
    </rPh>
    <phoneticPr fontId="3"/>
  </si>
  <si>
    <t>高槻設備G</t>
    <phoneticPr fontId="3"/>
  </si>
  <si>
    <r>
      <rPr>
        <strike/>
        <sz val="10"/>
        <rFont val="Meiryo UI"/>
        <family val="3"/>
        <charset val="128"/>
      </rPr>
      <t>各部署？</t>
    </r>
    <r>
      <rPr>
        <sz val="10"/>
        <rFont val="Meiryo UI"/>
        <family val="3"/>
        <charset val="128"/>
      </rPr>
      <t>生産部・研究部門</t>
    </r>
    <rPh sb="0" eb="3">
      <t>カクブショ</t>
    </rPh>
    <phoneticPr fontId="3"/>
  </si>
  <si>
    <t>※</t>
    <phoneticPr fontId="3"/>
  </si>
  <si>
    <t>決算Gが固定資産計上することは、イレギュラー</t>
    <rPh sb="0" eb="2">
      <t>ケッサン</t>
    </rPh>
    <rPh sb="4" eb="10">
      <t>コテイシサンケイジョウ</t>
    </rPh>
    <phoneticPr fontId="3"/>
  </si>
  <si>
    <t>徳島設備G</t>
    <phoneticPr fontId="3"/>
  </si>
  <si>
    <t>山梨設備G</t>
    <rPh sb="0" eb="2">
      <t>ヤマナシ</t>
    </rPh>
    <phoneticPr fontId="3"/>
  </si>
  <si>
    <t>生産部・研究部門</t>
  </si>
  <si>
    <t>MC生産技術G</t>
    <phoneticPr fontId="3"/>
  </si>
  <si>
    <t>生産部・研究部門</t>
    <rPh sb="0" eb="3">
      <t>セイサンブ</t>
    </rPh>
    <rPh sb="4" eb="8">
      <t>ケンキュウブモン</t>
    </rPh>
    <phoneticPr fontId="3"/>
  </si>
  <si>
    <t>CH生産技術G</t>
    <phoneticPr fontId="3"/>
  </si>
  <si>
    <t>CH研究戦略G</t>
    <phoneticPr fontId="3"/>
  </si>
  <si>
    <t>購買G</t>
    <phoneticPr fontId="3"/>
  </si>
  <si>
    <t>ITDXG</t>
    <phoneticPr fontId="3"/>
  </si>
  <si>
    <t>各部署？→はい</t>
    <rPh sb="0" eb="3">
      <t>カクブショ</t>
    </rPh>
    <phoneticPr fontId="3"/>
  </si>
  <si>
    <t>業務推進事務管理G</t>
    <phoneticPr fontId="3"/>
  </si>
  <si>
    <t>業務推進・財務</t>
    <rPh sb="0" eb="2">
      <t>ギョウム</t>
    </rPh>
    <rPh sb="2" eb="4">
      <t>スイシン</t>
    </rPh>
    <rPh sb="5" eb="7">
      <t>ザイム</t>
    </rPh>
    <phoneticPr fontId="3"/>
  </si>
  <si>
    <t>総務G</t>
    <phoneticPr fontId="3"/>
  </si>
  <si>
    <t>⇒</t>
    <phoneticPr fontId="3"/>
  </si>
  <si>
    <t>取得・承認を行うのは以下Gとなり、</t>
    <rPh sb="0" eb="2">
      <t>シュトク</t>
    </rPh>
    <rPh sb="3" eb="5">
      <t>ショウニン</t>
    </rPh>
    <rPh sb="6" eb="7">
      <t>オコナ</t>
    </rPh>
    <rPh sb="10" eb="12">
      <t>イカ</t>
    </rPh>
    <phoneticPr fontId="3"/>
  </si>
  <si>
    <t>現状は記載頂いた括りで合っております。</t>
    <rPh sb="0" eb="2">
      <t>ゲンジョウ</t>
    </rPh>
    <rPh sb="3" eb="5">
      <t>キサイ</t>
    </rPh>
    <rPh sb="5" eb="6">
      <t>イタダ</t>
    </rPh>
    <rPh sb="8" eb="9">
      <t>クク</t>
    </rPh>
    <rPh sb="11" eb="12">
      <t>ア</t>
    </rPh>
    <phoneticPr fontId="3"/>
  </si>
  <si>
    <t>１．財務分析コード値の更新(指図番号の登録)</t>
    <rPh sb="2" eb="6">
      <t>ザイムブンセキ</t>
    </rPh>
    <rPh sb="9" eb="10">
      <t>チ</t>
    </rPh>
    <rPh sb="11" eb="13">
      <t>コウシン</t>
    </rPh>
    <rPh sb="14" eb="16">
      <t>サシズ</t>
    </rPh>
    <rPh sb="16" eb="18">
      <t>バンゴウ</t>
    </rPh>
    <rPh sb="19" eb="21">
      <t>トウロク</t>
    </rPh>
    <phoneticPr fontId="3"/>
  </si>
  <si>
    <t>各括りの定義についても、認識合っておりますでしょうか？</t>
    <rPh sb="1" eb="2">
      <t>クク</t>
    </rPh>
    <phoneticPr fontId="3"/>
  </si>
  <si>
    <t>今後追加で取得・承認する部署が発生した場合は</t>
    <rPh sb="0" eb="2">
      <t>コンゴ</t>
    </rPh>
    <rPh sb="2" eb="4">
      <t>ツイカ</t>
    </rPh>
    <rPh sb="5" eb="7">
      <t>シュトク</t>
    </rPh>
    <rPh sb="8" eb="10">
      <t>ショウニン</t>
    </rPh>
    <rPh sb="12" eb="14">
      <t>ブショ</t>
    </rPh>
    <rPh sb="15" eb="17">
      <t>ハッセイ</t>
    </rPh>
    <rPh sb="19" eb="21">
      <t>バアイ</t>
    </rPh>
    <phoneticPr fontId="3"/>
  </si>
  <si>
    <r>
      <t>財務分析コード</t>
    </r>
    <r>
      <rPr>
        <b/>
        <sz val="10"/>
        <color theme="1"/>
        <rFont val="Meiryo UI"/>
        <family val="3"/>
        <charset val="128"/>
      </rPr>
      <t>値</t>
    </r>
    <r>
      <rPr>
        <sz val="10"/>
        <color theme="1"/>
        <rFont val="Meiryo UI"/>
        <family val="3"/>
        <charset val="128"/>
      </rPr>
      <t>（プロジェクト：指図コード）の登録を行う。</t>
    </r>
    <rPh sb="0" eb="2">
      <t>ザイム</t>
    </rPh>
    <rPh sb="2" eb="4">
      <t>ブンセキ</t>
    </rPh>
    <rPh sb="7" eb="8">
      <t>チ</t>
    </rPh>
    <rPh sb="16" eb="18">
      <t>サシズ</t>
    </rPh>
    <rPh sb="23" eb="25">
      <t>トウロク</t>
    </rPh>
    <rPh sb="26" eb="27">
      <t>オコナ</t>
    </rPh>
    <phoneticPr fontId="3"/>
  </si>
  <si>
    <t>各部署</t>
    <rPh sb="0" eb="3">
      <t>カクブショ</t>
    </rPh>
    <phoneticPr fontId="3"/>
  </si>
  <si>
    <t>ITDXG・総務G</t>
    <phoneticPr fontId="3"/>
  </si>
  <si>
    <t>どのようにすればいいでしょうか。</t>
  </si>
  <si>
    <t>指図マスタ情報連携により、FOで登録された指図番号が</t>
    <rPh sb="0" eb="2">
      <t>サシズ</t>
    </rPh>
    <rPh sb="5" eb="7">
      <t>ジョウホウ</t>
    </rPh>
    <rPh sb="7" eb="9">
      <t>レンケイ</t>
    </rPh>
    <rPh sb="16" eb="18">
      <t>トウロク</t>
    </rPh>
    <rPh sb="21" eb="23">
      <t>サシズ</t>
    </rPh>
    <rPh sb="23" eb="25">
      <t>バンゴウ</t>
    </rPh>
    <phoneticPr fontId="3"/>
  </si>
  <si>
    <r>
      <t>高槻設備G・徳島設備G・</t>
    </r>
    <r>
      <rPr>
        <sz val="10"/>
        <color theme="7"/>
        <rFont val="Meiryo UI"/>
        <family val="3"/>
        <charset val="128"/>
      </rPr>
      <t>山梨設備Ｇ</t>
    </r>
    <rPh sb="12" eb="14">
      <t>ヤマナシ</t>
    </rPh>
    <rPh sb="14" eb="16">
      <t>セツビ</t>
    </rPh>
    <phoneticPr fontId="3"/>
  </si>
  <si>
    <t>各種追加設定が必要となります。</t>
    <rPh sb="0" eb="2">
      <t>カクシュ</t>
    </rPh>
    <rPh sb="2" eb="4">
      <t>ツイカ</t>
    </rPh>
    <rPh sb="4" eb="6">
      <t>セッテイ</t>
    </rPh>
    <rPh sb="7" eb="9">
      <t>ヒツヨウ</t>
    </rPh>
    <phoneticPr fontId="3"/>
  </si>
  <si>
    <t>翌日以降に各外部システムへ連携される。</t>
    <rPh sb="0" eb="2">
      <t>ヨクジツ</t>
    </rPh>
    <rPh sb="2" eb="4">
      <t>イコウ</t>
    </rPh>
    <rPh sb="5" eb="6">
      <t>カク</t>
    </rPh>
    <rPh sb="6" eb="8">
      <t>ガイブ</t>
    </rPh>
    <rPh sb="13" eb="15">
      <t>レンケイ</t>
    </rPh>
    <phoneticPr fontId="3"/>
  </si>
  <si>
    <t>・MC生産技術G・CH生産技術G・CH研究戦略G・購買G</t>
    <phoneticPr fontId="3"/>
  </si>
  <si>
    <t>①</t>
    <phoneticPr fontId="3"/>
  </si>
  <si>
    <t>ライセンス足りなければ追加購入（＋FOユーザー登録）</t>
    <phoneticPr fontId="3"/>
  </si>
  <si>
    <t>業務推進・財務</t>
    <rPh sb="0" eb="4">
      <t>ギョウムスイシン</t>
    </rPh>
    <rPh sb="5" eb="7">
      <t>ザイム</t>
    </rPh>
    <phoneticPr fontId="3"/>
  </si>
  <si>
    <t>②</t>
    <phoneticPr fontId="3"/>
  </si>
  <si>
    <t>ユーザーグループ作成＋責任者ユーザー追加</t>
    <phoneticPr fontId="3"/>
  </si>
  <si>
    <t>③</t>
    <phoneticPr fontId="3"/>
  </si>
  <si>
    <t>WF定義作成＋承認ステップで追加ユーザーグループ指定</t>
    <phoneticPr fontId="3"/>
  </si>
  <si>
    <t>④</t>
    <phoneticPr fontId="3"/>
  </si>
  <si>
    <t>仕訳帳名作成</t>
    <phoneticPr fontId="3"/>
  </si>
  <si>
    <t>⇒②~④の追加設定は弊社で実施するのでしょうか？</t>
    <rPh sb="5" eb="7">
      <t>ツイカ</t>
    </rPh>
    <rPh sb="7" eb="9">
      <t>セッテイ</t>
    </rPh>
    <rPh sb="10" eb="12">
      <t>ヘイシャ</t>
    </rPh>
    <rPh sb="13" eb="15">
      <t>ジッシ</t>
    </rPh>
    <phoneticPr fontId="3"/>
  </si>
  <si>
    <t>2．決済勘定へ振替</t>
    <rPh sb="2" eb="4">
      <t>ケッサイ</t>
    </rPh>
    <rPh sb="4" eb="6">
      <t>カンジョウ</t>
    </rPh>
    <rPh sb="7" eb="9">
      <t>フリカエ</t>
    </rPh>
    <phoneticPr fontId="3"/>
  </si>
  <si>
    <t>各部署からの指図申請は、業務推進・財務宛てとなり、</t>
    <rPh sb="0" eb="3">
      <t>カクブショ</t>
    </rPh>
    <rPh sb="6" eb="8">
      <t>サシズ</t>
    </rPh>
    <rPh sb="8" eb="10">
      <t>シンセイ</t>
    </rPh>
    <rPh sb="12" eb="16">
      <t>ギョウムスイシン</t>
    </rPh>
    <rPh sb="17" eb="19">
      <t>ザイム</t>
    </rPh>
    <rPh sb="19" eb="20">
      <t>ア</t>
    </rPh>
    <phoneticPr fontId="3"/>
  </si>
  <si>
    <t>貴社作業となりますが、権限の兼ね合いでシステム管理者(ITDX？)が行う形となり、</t>
    <rPh sb="0" eb="2">
      <t>キシャ</t>
    </rPh>
    <rPh sb="2" eb="4">
      <t>サギョウ</t>
    </rPh>
    <rPh sb="11" eb="13">
      <t>ケンゲン</t>
    </rPh>
    <rPh sb="14" eb="15">
      <t>カ</t>
    </rPh>
    <rPh sb="16" eb="17">
      <t>ア</t>
    </rPh>
    <rPh sb="23" eb="26">
      <t>カンリシャ</t>
    </rPh>
    <rPh sb="34" eb="35">
      <t>オコナ</t>
    </rPh>
    <rPh sb="36" eb="37">
      <t>カタチ</t>
    </rPh>
    <phoneticPr fontId="3"/>
  </si>
  <si>
    <t>未払金を決済勘定へ振り替える。</t>
    <rPh sb="0" eb="3">
      <t>ミバライキン</t>
    </rPh>
    <rPh sb="4" eb="6">
      <t>ケッサイ</t>
    </rPh>
    <rPh sb="6" eb="8">
      <t>カンジョウ</t>
    </rPh>
    <rPh sb="9" eb="10">
      <t>フ</t>
    </rPh>
    <rPh sb="11" eb="12">
      <t>カ</t>
    </rPh>
    <phoneticPr fontId="3"/>
  </si>
  <si>
    <t>業務推進・財務にて登録後、各部署へ登録完了連絡を</t>
    <rPh sb="0" eb="4">
      <t>ギョウムスイシン</t>
    </rPh>
    <rPh sb="5" eb="7">
      <t>ザイム</t>
    </rPh>
    <rPh sb="9" eb="11">
      <t>トウロク</t>
    </rPh>
    <rPh sb="11" eb="12">
      <t>ゴ</t>
    </rPh>
    <rPh sb="13" eb="16">
      <t>カクブショ</t>
    </rPh>
    <rPh sb="17" eb="19">
      <t>トウロク</t>
    </rPh>
    <rPh sb="19" eb="21">
      <t>カンリョウ</t>
    </rPh>
    <rPh sb="21" eb="23">
      <t>レンラク</t>
    </rPh>
    <phoneticPr fontId="3"/>
  </si>
  <si>
    <t>現場の方々が行う作業にはならないかと思われます。</t>
    <rPh sb="0" eb="2">
      <t>ゲンバ</t>
    </rPh>
    <rPh sb="3" eb="5">
      <t>カタガタ</t>
    </rPh>
    <rPh sb="6" eb="7">
      <t>オコナ</t>
    </rPh>
    <rPh sb="8" eb="10">
      <t>サギョウ</t>
    </rPh>
    <rPh sb="18" eb="19">
      <t>オモ</t>
    </rPh>
    <phoneticPr fontId="3"/>
  </si>
  <si>
    <t>楽々精算の処理は「支払」となり、</t>
    <rPh sb="0" eb="2">
      <t>ラクラク</t>
    </rPh>
    <rPh sb="2" eb="4">
      <t>セイサン</t>
    </rPh>
    <rPh sb="5" eb="7">
      <t>ショリ</t>
    </rPh>
    <rPh sb="9" eb="11">
      <t>シハライ</t>
    </rPh>
    <phoneticPr fontId="3"/>
  </si>
  <si>
    <t>行う流れのイメージでしょうか？</t>
    <rPh sb="0" eb="1">
      <t>オコナ</t>
    </rPh>
    <rPh sb="2" eb="3">
      <t>ナガ</t>
    </rPh>
    <phoneticPr fontId="3"/>
  </si>
  <si>
    <t>指図コード登録は各部署にて行う</t>
    <rPh sb="0" eb="2">
      <t>サシズ</t>
    </rPh>
    <rPh sb="5" eb="7">
      <t>トウロク</t>
    </rPh>
    <rPh sb="8" eb="9">
      <t>カク</t>
    </rPh>
    <rPh sb="9" eb="11">
      <t>ブショ</t>
    </rPh>
    <rPh sb="13" eb="14">
      <t>オコナ</t>
    </rPh>
    <phoneticPr fontId="3"/>
  </si>
  <si>
    <t>会計伝票情報連携により、FO一般仕訳帳のデータとなる。</t>
    <phoneticPr fontId="3"/>
  </si>
  <si>
    <t>仕訳例：建物決済勘定/未払金（設備）</t>
    <rPh sb="0" eb="3">
      <t>シワケレイ</t>
    </rPh>
    <rPh sb="4" eb="6">
      <t>タテモノ</t>
    </rPh>
    <rPh sb="6" eb="8">
      <t>ケッサイ</t>
    </rPh>
    <rPh sb="8" eb="10">
      <t>カンジョウ</t>
    </rPh>
    <rPh sb="11" eb="14">
      <t>ミバライキン</t>
    </rPh>
    <rPh sb="15" eb="17">
      <t>セツビ</t>
    </rPh>
    <phoneticPr fontId="3"/>
  </si>
  <si>
    <t>楽々精算での支払処理は、</t>
    <phoneticPr fontId="3"/>
  </si>
  <si>
    <t>支払処理は各部署(生産、研究、総務、ＩＴなど)にて行う</t>
    <rPh sb="0" eb="2">
      <t>シハライ</t>
    </rPh>
    <rPh sb="2" eb="4">
      <t>ショリ</t>
    </rPh>
    <rPh sb="5" eb="6">
      <t>カク</t>
    </rPh>
    <rPh sb="6" eb="8">
      <t>ブショ</t>
    </rPh>
    <rPh sb="9" eb="11">
      <t>セイサン</t>
    </rPh>
    <rPh sb="12" eb="14">
      <t>ケンキュウ</t>
    </rPh>
    <rPh sb="15" eb="17">
      <t>ソウム</t>
    </rPh>
    <rPh sb="25" eb="26">
      <t>オコナ</t>
    </rPh>
    <phoneticPr fontId="3"/>
  </si>
  <si>
    <t>業務推進・財務のみが行う形でしょうか？</t>
    <phoneticPr fontId="3"/>
  </si>
  <si>
    <t>指図コード登録＝財務分析コード値の更新 や支払処理も</t>
    <rPh sb="0" eb="2">
      <t>サシズ</t>
    </rPh>
    <rPh sb="5" eb="7">
      <t>トウロク</t>
    </rPh>
    <rPh sb="8" eb="12">
      <t>ザイムブンセキ</t>
    </rPh>
    <rPh sb="15" eb="16">
      <t>アタイ</t>
    </rPh>
    <rPh sb="17" eb="19">
      <t>コウシン</t>
    </rPh>
    <rPh sb="21" eb="23">
      <t>シハライ</t>
    </rPh>
    <rPh sb="23" eb="25">
      <t>ショリ</t>
    </rPh>
    <phoneticPr fontId="3"/>
  </si>
  <si>
    <t>各部署で行うとのことであれば、"各部署"と"生産部・研究部門"の</t>
    <rPh sb="0" eb="3">
      <t>カクブショ</t>
    </rPh>
    <rPh sb="4" eb="5">
      <t>オコナ</t>
    </rPh>
    <rPh sb="16" eb="19">
      <t>カクブショ</t>
    </rPh>
    <rPh sb="22" eb="25">
      <t>セイサンブ</t>
    </rPh>
    <rPh sb="26" eb="30">
      <t>ケンキュウブモン</t>
    </rPh>
    <phoneticPr fontId="3"/>
  </si>
  <si>
    <t>括りを分ける必要はない（業務フローは全て同じになる）</t>
    <phoneticPr fontId="3"/>
  </si>
  <si>
    <t>という認識で合っていますでしょうか？</t>
    <phoneticPr fontId="3"/>
  </si>
  <si>
    <t>⇒基本同様のフローです。</t>
    <rPh sb="1" eb="3">
      <t>キホン</t>
    </rPh>
    <rPh sb="3" eb="5">
      <t>ドウヨウ</t>
    </rPh>
    <phoneticPr fontId="3"/>
  </si>
  <si>
    <t>3．固定資産登録</t>
    <rPh sb="2" eb="4">
      <t>コテイ</t>
    </rPh>
    <rPh sb="4" eb="6">
      <t>シサン</t>
    </rPh>
    <rPh sb="6" eb="8">
      <t>トウロク</t>
    </rPh>
    <phoneticPr fontId="3"/>
  </si>
  <si>
    <t>(現状の運用は、SSJ生産部以外は指図コード必須ではありません。)</t>
    <rPh sb="4" eb="6">
      <t>ウンヨウ</t>
    </rPh>
    <phoneticPr fontId="3"/>
  </si>
  <si>
    <t>固定資産マスタに取得した固定資産を登録する。</t>
    <rPh sb="0" eb="4">
      <t>コテイシサン</t>
    </rPh>
    <rPh sb="8" eb="10">
      <t>シュトク</t>
    </rPh>
    <rPh sb="12" eb="16">
      <t>コテイシサン</t>
    </rPh>
    <rPh sb="17" eb="19">
      <t>トウロク</t>
    </rPh>
    <phoneticPr fontId="3"/>
  </si>
  <si>
    <t>登録を行う全部署へFOのライセンスの付与が必要</t>
    <phoneticPr fontId="3"/>
  </si>
  <si>
    <t>少額資産・美術品の場合は、紐づける帳簿注意。</t>
    <rPh sb="0" eb="4">
      <t>ショウガクシサン</t>
    </rPh>
    <rPh sb="5" eb="8">
      <t>ビジュツヒン</t>
    </rPh>
    <rPh sb="9" eb="11">
      <t>バアイ</t>
    </rPh>
    <rPh sb="13" eb="14">
      <t>ヒモ</t>
    </rPh>
    <rPh sb="17" eb="19">
      <t>チョウボ</t>
    </rPh>
    <rPh sb="19" eb="21">
      <t>チュウイ</t>
    </rPh>
    <phoneticPr fontId="3"/>
  </si>
  <si>
    <t>財務分析コードの指定必要。</t>
    <rPh sb="0" eb="4">
      <t>ザイムブンセキ</t>
    </rPh>
    <rPh sb="8" eb="10">
      <t>シテイ</t>
    </rPh>
    <rPh sb="10" eb="12">
      <t>ヒツヨウ</t>
    </rPh>
    <phoneticPr fontId="3"/>
  </si>
  <si>
    <t>4．取得提案</t>
    <rPh sb="2" eb="4">
      <t>シュトク</t>
    </rPh>
    <rPh sb="4" eb="6">
      <t>テイアン</t>
    </rPh>
    <phoneticPr fontId="3"/>
  </si>
  <si>
    <t>取得提案にてトランザクション(伝票)を作成する。</t>
    <rPh sb="0" eb="2">
      <t>シュトク</t>
    </rPh>
    <rPh sb="2" eb="4">
      <t>テイアン</t>
    </rPh>
    <rPh sb="15" eb="17">
      <t>デンヒョウ</t>
    </rPh>
    <rPh sb="19" eb="21">
      <t>サクセイ</t>
    </rPh>
    <phoneticPr fontId="3"/>
  </si>
  <si>
    <t>5．取得承認申請</t>
    <rPh sb="2" eb="4">
      <t>シュトク</t>
    </rPh>
    <rPh sb="4" eb="6">
      <t>ショウニン</t>
    </rPh>
    <rPh sb="6" eb="8">
      <t>シンセイ</t>
    </rPh>
    <phoneticPr fontId="3"/>
  </si>
  <si>
    <t>入力担当者が責任者に申請する。</t>
    <rPh sb="0" eb="2">
      <t>ニュウリョク</t>
    </rPh>
    <rPh sb="2" eb="5">
      <t>タントウシャ</t>
    </rPh>
    <rPh sb="6" eb="9">
      <t>セキニンシャ</t>
    </rPh>
    <rPh sb="10" eb="12">
      <t>シンセイ</t>
    </rPh>
    <phoneticPr fontId="3"/>
  </si>
  <si>
    <t>6．取得の承認/変更依頼</t>
    <rPh sb="2" eb="4">
      <t>シュトク</t>
    </rPh>
    <rPh sb="5" eb="7">
      <t>ショウニン</t>
    </rPh>
    <rPh sb="8" eb="10">
      <t>ヘンコウ</t>
    </rPh>
    <rPh sb="10" eb="12">
      <t>イライ</t>
    </rPh>
    <phoneticPr fontId="3"/>
  </si>
  <si>
    <t>承認者にシステムとメール上で承認依頼通知がくる。</t>
    <rPh sb="0" eb="3">
      <t>ショウニンシャ</t>
    </rPh>
    <rPh sb="12" eb="13">
      <t>ジョウ</t>
    </rPh>
    <rPh sb="18" eb="20">
      <t>ツウチ</t>
    </rPh>
    <phoneticPr fontId="3"/>
  </si>
  <si>
    <t>7．不備修正</t>
    <rPh sb="2" eb="4">
      <t>フビ</t>
    </rPh>
    <rPh sb="4" eb="6">
      <t>シュウセイ</t>
    </rPh>
    <phoneticPr fontId="3"/>
  </si>
  <si>
    <t>変更依頼された固定資産仕訳帳の取得内容を</t>
    <rPh sb="0" eb="4">
      <t>ヘンコウイライ</t>
    </rPh>
    <rPh sb="7" eb="9">
      <t>コテイ</t>
    </rPh>
    <rPh sb="9" eb="11">
      <t>シサン</t>
    </rPh>
    <rPh sb="11" eb="14">
      <t>シワケチョウ</t>
    </rPh>
    <rPh sb="15" eb="17">
      <t>シュトク</t>
    </rPh>
    <phoneticPr fontId="3"/>
  </si>
  <si>
    <t>確認し、不備の内容を修正する。</t>
    <phoneticPr fontId="3"/>
  </si>
  <si>
    <t>修正後、取得承認申請を再度行う。</t>
    <rPh sb="0" eb="3">
      <t>シュウセイゴ</t>
    </rPh>
    <rPh sb="4" eb="6">
      <t>シュトク</t>
    </rPh>
    <rPh sb="11" eb="13">
      <t>サイド</t>
    </rPh>
    <rPh sb="13" eb="14">
      <t>オコナ</t>
    </rPh>
    <phoneticPr fontId="3"/>
  </si>
  <si>
    <t>８．自動転記バッチ</t>
    <rPh sb="2" eb="4">
      <t>ジドウ</t>
    </rPh>
    <rPh sb="4" eb="6">
      <t>テンキ</t>
    </rPh>
    <phoneticPr fontId="3"/>
  </si>
  <si>
    <t>スケジュールされたバッチ処置により</t>
    <rPh sb="12" eb="14">
      <t>ショチ</t>
    </rPh>
    <phoneticPr fontId="3"/>
  </si>
  <si>
    <t>承認済の固定資産仕訳帳が自動転記処理される。</t>
    <rPh sb="0" eb="3">
      <t>ショウニンズ</t>
    </rPh>
    <rPh sb="4" eb="8">
      <t>コテイシサン</t>
    </rPh>
    <rPh sb="8" eb="10">
      <t>シワケ</t>
    </rPh>
    <rPh sb="10" eb="11">
      <t>チョウ</t>
    </rPh>
    <rPh sb="12" eb="14">
      <t>ジドウ</t>
    </rPh>
    <rPh sb="14" eb="16">
      <t>テンキ</t>
    </rPh>
    <rPh sb="16" eb="18">
      <t>ショリ</t>
    </rPh>
    <phoneticPr fontId="3"/>
  </si>
  <si>
    <t>4.で作成されたトランザクションを使用し転記、固定資産を</t>
    <rPh sb="3" eb="5">
      <t>サクセイ</t>
    </rPh>
    <rPh sb="17" eb="19">
      <t>シヨウ</t>
    </rPh>
    <rPh sb="20" eb="22">
      <t>テンキ</t>
    </rPh>
    <rPh sb="23" eb="27">
      <t>コテイシサン</t>
    </rPh>
    <phoneticPr fontId="3"/>
  </si>
  <si>
    <t>取得(資産計上)させる。</t>
    <rPh sb="0" eb="2">
      <t>シュトク</t>
    </rPh>
    <rPh sb="3" eb="7">
      <t>シサンケイジョウ</t>
    </rPh>
    <phoneticPr fontId="3"/>
  </si>
  <si>
    <t>仮勘定対応かに限らず、</t>
  </si>
  <si>
    <t>取得することで、「建物/建物決済勘定」の振替仕訳が生成される</t>
    <rPh sb="0" eb="2">
      <t>シュトク</t>
    </rPh>
    <rPh sb="9" eb="11">
      <t>タテモノ</t>
    </rPh>
    <rPh sb="12" eb="14">
      <t>タテモノ</t>
    </rPh>
    <rPh sb="14" eb="16">
      <t>ケッサイ</t>
    </rPh>
    <rPh sb="16" eb="18">
      <t>カンジョウ</t>
    </rPh>
    <rPh sb="20" eb="22">
      <t>フリカエ</t>
    </rPh>
    <phoneticPr fontId="3"/>
  </si>
  <si>
    <t>ex</t>
    <phoneticPr fontId="3"/>
  </si>
  <si>
    <t>固定資産グループ</t>
    <rPh sb="0" eb="4">
      <t>コテイシサン</t>
    </rPh>
    <phoneticPr fontId="3"/>
  </si>
  <si>
    <t>主勘定(借方)</t>
    <rPh sb="0" eb="3">
      <t>シュカンジョウ</t>
    </rPh>
    <rPh sb="4" eb="6">
      <t>カリカタ</t>
    </rPh>
    <phoneticPr fontId="3"/>
  </si>
  <si>
    <t>相手勘定(貸方)</t>
    <rPh sb="0" eb="4">
      <t>アイテカンジョウ</t>
    </rPh>
    <rPh sb="5" eb="7">
      <t>カシカタ</t>
    </rPh>
    <phoneticPr fontId="3"/>
  </si>
  <si>
    <t>機械装置</t>
    <rPh sb="0" eb="2">
      <t>キカイ</t>
    </rPh>
    <rPh sb="2" eb="4">
      <t>ソウチ</t>
    </rPh>
    <phoneticPr fontId="3"/>
  </si>
  <si>
    <t>1310301:機械装置</t>
    <rPh sb="8" eb="10">
      <t>キカイ</t>
    </rPh>
    <rPh sb="10" eb="12">
      <t>ソウチ</t>
    </rPh>
    <phoneticPr fontId="3"/>
  </si>
  <si>
    <t>1310804:機械装置決済勘定</t>
    <rPh sb="8" eb="10">
      <t>キカイ</t>
    </rPh>
    <rPh sb="10" eb="12">
      <t>ソウチ</t>
    </rPh>
    <rPh sb="12" eb="14">
      <t>ケッサイ</t>
    </rPh>
    <rPh sb="14" eb="16">
      <t>カンジョウ</t>
    </rPh>
    <phoneticPr fontId="3"/>
  </si>
  <si>
    <t>建物</t>
    <rPh sb="0" eb="2">
      <t>タテモノ</t>
    </rPh>
    <phoneticPr fontId="3"/>
  </si>
  <si>
    <t>1310101:建物</t>
    <rPh sb="8" eb="10">
      <t>タテモノ</t>
    </rPh>
    <phoneticPr fontId="3"/>
  </si>
  <si>
    <t>1310801:建物決済勘定</t>
    <rPh sb="8" eb="10">
      <t>タテモノ</t>
    </rPh>
    <rPh sb="10" eb="12">
      <t>ケッサイ</t>
    </rPh>
    <rPh sb="12" eb="14">
      <t>カンジョウ</t>
    </rPh>
    <phoneticPr fontId="3"/>
  </si>
  <si>
    <r>
      <t>自動振替の設定は</t>
    </r>
    <r>
      <rPr>
        <b/>
        <u/>
        <sz val="10"/>
        <color rgb="FFFF0000"/>
        <rFont val="Meiryo UI"/>
        <family val="3"/>
        <charset val="128"/>
      </rPr>
      <t>固定資産転記プロファイル</t>
    </r>
    <r>
      <rPr>
        <b/>
        <sz val="10"/>
        <color theme="1"/>
        <rFont val="Meiryo UI"/>
        <family val="3"/>
        <charset val="128"/>
      </rPr>
      <t>で行う</t>
    </r>
    <rPh sb="0" eb="4">
      <t>ジドウフリカエ</t>
    </rPh>
    <rPh sb="5" eb="7">
      <t>セッテイ</t>
    </rPh>
    <rPh sb="8" eb="14">
      <t>コテイシサンテンキ</t>
    </rPh>
    <rPh sb="21" eb="22">
      <t>オコナ</t>
    </rPh>
    <phoneticPr fontId="3"/>
  </si>
  <si>
    <t>決済勘定を使用するため、固定資産グループは分割しない。</t>
    <rPh sb="0" eb="2">
      <t>ケッサイ</t>
    </rPh>
    <rPh sb="2" eb="4">
      <t>カンジョウ</t>
    </rPh>
    <rPh sb="5" eb="7">
      <t>シヨウ</t>
    </rPh>
    <rPh sb="12" eb="16">
      <t>コテイシサン</t>
    </rPh>
    <rPh sb="21" eb="23">
      <t>ブンカツ</t>
    </rPh>
    <phoneticPr fontId="3"/>
  </si>
  <si>
    <t>※固定資産グループ＝資産クラスと同義</t>
    <rPh sb="1" eb="5">
      <t>コテイシサン</t>
    </rPh>
    <rPh sb="10" eb="12">
      <t>シサン</t>
    </rPh>
    <rPh sb="16" eb="18">
      <t>ドウギ</t>
    </rPh>
    <phoneticPr fontId="3"/>
  </si>
  <si>
    <t>業務推進・財務での最終確認は</t>
    <phoneticPr fontId="3"/>
  </si>
  <si>
    <t>通常、確認作業は登録(振替、除却など)した月度に行う</t>
    <rPh sb="0" eb="2">
      <t>ツウジョウ</t>
    </rPh>
    <rPh sb="3" eb="5">
      <t>カクニン</t>
    </rPh>
    <rPh sb="5" eb="7">
      <t>サギョウ</t>
    </rPh>
    <rPh sb="8" eb="10">
      <t>トウロク</t>
    </rPh>
    <rPh sb="11" eb="13">
      <t>フリカエ</t>
    </rPh>
    <rPh sb="14" eb="16">
      <t>ジョキャク</t>
    </rPh>
    <rPh sb="21" eb="23">
      <t>ガツド</t>
    </rPh>
    <rPh sb="24" eb="25">
      <t>オコナ</t>
    </rPh>
    <phoneticPr fontId="3"/>
  </si>
  <si>
    <t>9．取得内容確認</t>
    <rPh sb="2" eb="6">
      <t>シュトクナイヨウ</t>
    </rPh>
    <rPh sb="6" eb="8">
      <t>カクニン</t>
    </rPh>
    <phoneticPr fontId="3"/>
  </si>
  <si>
    <t>どのような期間で行われますでしょうか？</t>
    <phoneticPr fontId="3"/>
  </si>
  <si>
    <t>※監査等で指摘があれば年度内での修正の可能性あり</t>
    <rPh sb="1" eb="3">
      <t>カンサ</t>
    </rPh>
    <rPh sb="3" eb="4">
      <t>トウ</t>
    </rPh>
    <rPh sb="5" eb="7">
      <t>シテキ</t>
    </rPh>
    <rPh sb="11" eb="13">
      <t>ネンド</t>
    </rPh>
    <rPh sb="13" eb="14">
      <t>ナイ</t>
    </rPh>
    <rPh sb="16" eb="18">
      <t>シュウセイ</t>
    </rPh>
    <rPh sb="19" eb="21">
      <t>カノウ</t>
    </rPh>
    <rPh sb="21" eb="22">
      <t>セイ</t>
    </rPh>
    <phoneticPr fontId="3"/>
  </si>
  <si>
    <t>事務管理G以外で登録された取得内容について、</t>
    <rPh sb="5" eb="7">
      <t>イガイ</t>
    </rPh>
    <rPh sb="8" eb="10">
      <t>トウロク</t>
    </rPh>
    <rPh sb="13" eb="17">
      <t>シュトクナイヨウ</t>
    </rPh>
    <phoneticPr fontId="3"/>
  </si>
  <si>
    <t>（取消処理の兼ね合い）</t>
    <phoneticPr fontId="3"/>
  </si>
  <si>
    <t>事務管理Gにて最終確認を行う。</t>
    <rPh sb="7" eb="11">
      <t>サイシュウカクニン</t>
    </rPh>
    <rPh sb="12" eb="13">
      <t>オコナ</t>
    </rPh>
    <phoneticPr fontId="3"/>
  </si>
  <si>
    <t>承認機能は介さず、レポート等での確認となる。</t>
    <rPh sb="0" eb="2">
      <t>ショウニン</t>
    </rPh>
    <rPh sb="2" eb="4">
      <t>キノウ</t>
    </rPh>
    <rPh sb="5" eb="6">
      <t>カイ</t>
    </rPh>
    <rPh sb="13" eb="14">
      <t>ナド</t>
    </rPh>
    <rPh sb="16" eb="18">
      <t>カクニン</t>
    </rPh>
    <phoneticPr fontId="3"/>
  </si>
  <si>
    <t>・「取得された固定資産」と「固定資産仕訳帳」が外部システムの欄に</t>
    <rPh sb="2" eb="4">
      <t>シュトク</t>
    </rPh>
    <rPh sb="7" eb="11">
      <t>コテイシサン</t>
    </rPh>
    <rPh sb="14" eb="18">
      <t>コテイシサン</t>
    </rPh>
    <rPh sb="18" eb="21">
      <t>シワケチョウ</t>
    </rPh>
    <rPh sb="23" eb="25">
      <t>ガイブ</t>
    </rPh>
    <rPh sb="30" eb="31">
      <t>ラン</t>
    </rPh>
    <phoneticPr fontId="3"/>
  </si>
  <si>
    <t>失礼いたしました。</t>
    <rPh sb="0" eb="2">
      <t>シツレイ</t>
    </rPh>
    <phoneticPr fontId="3"/>
  </si>
  <si>
    <t>記載されていますがこちらはどういう意味でしょうか。</t>
    <rPh sb="0" eb="2">
      <t>キサイ</t>
    </rPh>
    <rPh sb="17" eb="19">
      <t>イミ</t>
    </rPh>
    <phoneticPr fontId="3"/>
  </si>
  <si>
    <t>FOでのデータになりますので、記載を修正しました。</t>
    <rPh sb="15" eb="17">
      <t>キサイ</t>
    </rPh>
    <rPh sb="18" eb="20">
      <t>シュウセイ</t>
    </rPh>
    <phoneticPr fontId="3"/>
  </si>
  <si>
    <t>FOではないということでしょうか。</t>
    <phoneticPr fontId="3"/>
  </si>
  <si>
    <t>10．仕訳帳全体の取消</t>
    <rPh sb="3" eb="6">
      <t>シワケチョウ</t>
    </rPh>
    <rPh sb="6" eb="8">
      <t>ゼンタイ</t>
    </rPh>
    <rPh sb="9" eb="11">
      <t>トリケシ</t>
    </rPh>
    <phoneticPr fontId="3"/>
  </si>
  <si>
    <t>事務管理Gにて不備が見つかった場合は</t>
    <rPh sb="0" eb="2">
      <t>ジム</t>
    </rPh>
    <rPh sb="2" eb="4">
      <t>カンリ</t>
    </rPh>
    <rPh sb="7" eb="9">
      <t>フビ</t>
    </rPh>
    <rPh sb="10" eb="11">
      <t>ミ</t>
    </rPh>
    <rPh sb="15" eb="17">
      <t>バアイ</t>
    </rPh>
    <phoneticPr fontId="3"/>
  </si>
  <si>
    <t>入力担当者へ連絡し、登録部署にて仕訳帳全体の取消を行う。</t>
    <rPh sb="10" eb="14">
      <t>トウロクブショ</t>
    </rPh>
    <rPh sb="16" eb="19">
      <t>シワケチョウ</t>
    </rPh>
    <rPh sb="19" eb="21">
      <t>ゼンタイ</t>
    </rPh>
    <rPh sb="22" eb="24">
      <t>トリケシ</t>
    </rPh>
    <rPh sb="25" eb="26">
      <t>オコナ</t>
    </rPh>
    <phoneticPr fontId="3"/>
  </si>
  <si>
    <r>
      <rPr>
        <b/>
        <u/>
        <sz val="10"/>
        <color rgb="FFFF0000"/>
        <rFont val="Meiryo UI"/>
        <family val="3"/>
        <charset val="128"/>
      </rPr>
      <t>月次締め処理前の仕訳帳に対して</t>
    </r>
    <r>
      <rPr>
        <sz val="10"/>
        <color rgb="FFFF0000"/>
        <rFont val="Meiryo UI"/>
        <family val="3"/>
        <charset val="128"/>
      </rPr>
      <t>取消が可能。</t>
    </r>
    <rPh sb="0" eb="3">
      <t>ゲツジシ</t>
    </rPh>
    <rPh sb="4" eb="6">
      <t>ショリ</t>
    </rPh>
    <rPh sb="6" eb="7">
      <t>マエ</t>
    </rPh>
    <rPh sb="8" eb="11">
      <t>シワケチョウ</t>
    </rPh>
    <rPh sb="12" eb="13">
      <t>タイ</t>
    </rPh>
    <rPh sb="15" eb="17">
      <t>トリケシ</t>
    </rPh>
    <rPh sb="18" eb="20">
      <t>カノウ</t>
    </rPh>
    <phoneticPr fontId="3"/>
  </si>
  <si>
    <t>取消を行うと未取得状態に戻り、取得提案より再度行う。</t>
    <rPh sb="0" eb="2">
      <t>トリケシ</t>
    </rPh>
    <rPh sb="3" eb="4">
      <t>オコナ</t>
    </rPh>
    <rPh sb="6" eb="11">
      <t>ミシュトクジョウタイ</t>
    </rPh>
    <rPh sb="12" eb="13">
      <t>モド</t>
    </rPh>
    <rPh sb="15" eb="19">
      <t>シュトクテイアン</t>
    </rPh>
    <rPh sb="21" eb="23">
      <t>サイド</t>
    </rPh>
    <rPh sb="23" eb="24">
      <t>オコナ</t>
    </rPh>
    <phoneticPr fontId="3"/>
  </si>
  <si>
    <t>1-2．固定資産取得(建設仮勘定対応：購入と資産計上の時期にずれがある場合)</t>
    <rPh sb="4" eb="6">
      <t>コテイ</t>
    </rPh>
    <rPh sb="6" eb="8">
      <t>シサン</t>
    </rPh>
    <rPh sb="8" eb="10">
      <t>シュトク</t>
    </rPh>
    <rPh sb="11" eb="16">
      <t>ケンセツカリカンジョウ</t>
    </rPh>
    <rPh sb="16" eb="18">
      <t>タイオウ</t>
    </rPh>
    <phoneticPr fontId="3"/>
  </si>
  <si>
    <t>２．建設仮勘定仕訳入力(毎月)</t>
    <rPh sb="2" eb="4">
      <t>ケンセツ</t>
    </rPh>
    <rPh sb="4" eb="7">
      <t>カリカンジョウ</t>
    </rPh>
    <rPh sb="7" eb="9">
      <t>シワケ</t>
    </rPh>
    <rPh sb="9" eb="11">
      <t>ニュウリョク</t>
    </rPh>
    <phoneticPr fontId="3"/>
  </si>
  <si>
    <t>建設仮勘定に割り当てる費用を計上する。</t>
    <rPh sb="0" eb="5">
      <t>ケンセツカリカンジョウ</t>
    </rPh>
    <rPh sb="6" eb="7">
      <t>ワ</t>
    </rPh>
    <rPh sb="8" eb="9">
      <t>ア</t>
    </rPh>
    <rPh sb="11" eb="13">
      <t>ヒヨウ</t>
    </rPh>
    <rPh sb="14" eb="16">
      <t>ケイジョウ</t>
    </rPh>
    <phoneticPr fontId="3"/>
  </si>
  <si>
    <r>
      <t>この時費用計上の</t>
    </r>
    <r>
      <rPr>
        <b/>
        <u/>
        <sz val="10"/>
        <color theme="1"/>
        <rFont val="Meiryo UI"/>
        <family val="3"/>
        <charset val="128"/>
      </rPr>
      <t>伝票には指図コードを付与</t>
    </r>
    <r>
      <rPr>
        <sz val="10"/>
        <color theme="1"/>
        <rFont val="Meiryo UI"/>
        <family val="3"/>
        <charset val="128"/>
      </rPr>
      <t>して計上する</t>
    </r>
    <rPh sb="2" eb="3">
      <t>トキ</t>
    </rPh>
    <rPh sb="3" eb="7">
      <t>ヒヨウケイジョウ</t>
    </rPh>
    <rPh sb="8" eb="10">
      <t>デンヒョウ</t>
    </rPh>
    <rPh sb="12" eb="14">
      <t>サシズ</t>
    </rPh>
    <rPh sb="18" eb="20">
      <t>フヨ</t>
    </rPh>
    <rPh sb="22" eb="24">
      <t>ケイジョウ</t>
    </rPh>
    <phoneticPr fontId="3"/>
  </si>
  <si>
    <t>仕訳入力は楽々精算orBtoBで行い、</t>
    <rPh sb="0" eb="2">
      <t>シワケ</t>
    </rPh>
    <rPh sb="2" eb="4">
      <t>ニュウリョク</t>
    </rPh>
    <rPh sb="5" eb="7">
      <t>ラクラク</t>
    </rPh>
    <rPh sb="7" eb="9">
      <t>セイサン</t>
    </rPh>
    <rPh sb="16" eb="17">
      <t>オコナ</t>
    </rPh>
    <phoneticPr fontId="3"/>
  </si>
  <si>
    <t>仕訳例：建設仮勘定/未払金（設備）</t>
    <rPh sb="0" eb="3">
      <t>シワケレイ</t>
    </rPh>
    <rPh sb="4" eb="6">
      <t>ケンセツ</t>
    </rPh>
    <rPh sb="6" eb="9">
      <t>カリカンジョウ</t>
    </rPh>
    <rPh sb="10" eb="13">
      <t>ミバライキン</t>
    </rPh>
    <rPh sb="14" eb="16">
      <t>セツビ</t>
    </rPh>
    <phoneticPr fontId="3"/>
  </si>
  <si>
    <t>3．振替金額の認識</t>
    <rPh sb="2" eb="4">
      <t>フリカエ</t>
    </rPh>
    <rPh sb="4" eb="6">
      <t>キンガク</t>
    </rPh>
    <rPh sb="7" eb="9">
      <t>ニンシキ</t>
    </rPh>
    <phoneticPr fontId="3"/>
  </si>
  <si>
    <t>決済勘定に累積された経費の</t>
    <rPh sb="0" eb="2">
      <t>ケッサイ</t>
    </rPh>
    <rPh sb="2" eb="4">
      <t>カンジョウ</t>
    </rPh>
    <rPh sb="5" eb="7">
      <t>ルイセキ</t>
    </rPh>
    <rPh sb="10" eb="12">
      <t>ケイヒ</t>
    </rPh>
    <phoneticPr fontId="3"/>
  </si>
  <si>
    <t>総額を認識する。この金額を固定資産の取得額として登録する。</t>
    <rPh sb="0" eb="2">
      <t>ソウガク</t>
    </rPh>
    <rPh sb="3" eb="5">
      <t>ニンシキ</t>
    </rPh>
    <rPh sb="10" eb="12">
      <t>キンガク</t>
    </rPh>
    <rPh sb="13" eb="17">
      <t>コテイシサン</t>
    </rPh>
    <rPh sb="18" eb="21">
      <t>シュトクガク</t>
    </rPh>
    <phoneticPr fontId="3"/>
  </si>
  <si>
    <t>振替金額の認識～楽々精算での振替処理は、</t>
    <rPh sb="0" eb="4">
      <t>フリカエキンガク</t>
    </rPh>
    <rPh sb="5" eb="7">
      <t>ニンシキ</t>
    </rPh>
    <rPh sb="14" eb="16">
      <t>フリカエ</t>
    </rPh>
    <phoneticPr fontId="3"/>
  </si>
  <si>
    <t>生産部・研究部門、各部署(総務部、ITDX部)</t>
    <rPh sb="9" eb="10">
      <t>カク</t>
    </rPh>
    <rPh sb="10" eb="12">
      <t>ブショ</t>
    </rPh>
    <rPh sb="13" eb="16">
      <t>ソウムブ</t>
    </rPh>
    <rPh sb="21" eb="22">
      <t>ブ</t>
    </rPh>
    <phoneticPr fontId="3"/>
  </si>
  <si>
    <t>検索時はメインアカウント(勘定科目)＋財務分析コード(指図番号)</t>
    <rPh sb="0" eb="3">
      <t>ケンサクジ</t>
    </rPh>
    <rPh sb="19" eb="23">
      <t>ザイムブンセキ</t>
    </rPh>
    <rPh sb="27" eb="29">
      <t>サシズ</t>
    </rPh>
    <rPh sb="29" eb="31">
      <t>バンゴウ</t>
    </rPh>
    <phoneticPr fontId="3"/>
  </si>
  <si>
    <t>それぞれが行う</t>
  </si>
  <si>
    <t>指図コードがない場合は、指図番号が空白となり集約されるが、</t>
    <rPh sb="0" eb="2">
      <t>サシズ</t>
    </rPh>
    <rPh sb="8" eb="10">
      <t>バアイ</t>
    </rPh>
    <rPh sb="12" eb="14">
      <t>サシズ</t>
    </rPh>
    <rPh sb="14" eb="16">
      <t>バンゴウ</t>
    </rPh>
    <rPh sb="17" eb="19">
      <t>クウハク</t>
    </rPh>
    <rPh sb="22" eb="24">
      <t>シュウヤク</t>
    </rPh>
    <phoneticPr fontId="3"/>
  </si>
  <si>
    <t>金額を押下することで財務タグ（社内稟議番号＝伺い番号）にて判別する。</t>
    <rPh sb="0" eb="2">
      <t>キンガク</t>
    </rPh>
    <rPh sb="3" eb="5">
      <t>オウカ</t>
    </rPh>
    <rPh sb="10" eb="12">
      <t>ザイム</t>
    </rPh>
    <rPh sb="15" eb="21">
      <t>シャナイリンギバンゴウ</t>
    </rPh>
    <rPh sb="22" eb="23">
      <t>ウカガ</t>
    </rPh>
    <rPh sb="24" eb="26">
      <t>バンゴウ</t>
    </rPh>
    <rPh sb="29" eb="31">
      <t>ハンベツ</t>
    </rPh>
    <phoneticPr fontId="3"/>
  </si>
  <si>
    <t>4．決済勘定へ振替</t>
    <rPh sb="2" eb="4">
      <t>ケッサイ</t>
    </rPh>
    <rPh sb="4" eb="6">
      <t>カンジョウ</t>
    </rPh>
    <rPh sb="7" eb="9">
      <t>フリカエ</t>
    </rPh>
    <phoneticPr fontId="3"/>
  </si>
  <si>
    <t>建設仮勘定を決済勘定へ振り替える。</t>
    <rPh sb="0" eb="2">
      <t>ケンセツ</t>
    </rPh>
    <rPh sb="2" eb="5">
      <t>カリカンジョウ</t>
    </rPh>
    <rPh sb="6" eb="8">
      <t>ケッサイ</t>
    </rPh>
    <rPh sb="8" eb="10">
      <t>カンジョウ</t>
    </rPh>
    <rPh sb="11" eb="12">
      <t>フ</t>
    </rPh>
    <rPh sb="13" eb="14">
      <t>カ</t>
    </rPh>
    <phoneticPr fontId="3"/>
  </si>
  <si>
    <t>振替処理は楽々精算で行い、</t>
    <rPh sb="0" eb="2">
      <t>フリカエ</t>
    </rPh>
    <rPh sb="2" eb="4">
      <t>ショリ</t>
    </rPh>
    <rPh sb="5" eb="7">
      <t>ラクラク</t>
    </rPh>
    <rPh sb="7" eb="9">
      <t>セイサン</t>
    </rPh>
    <rPh sb="10" eb="11">
      <t>オコナ</t>
    </rPh>
    <phoneticPr fontId="3"/>
  </si>
  <si>
    <t>仕訳例：建物決済勘定/建設仮勘定</t>
    <rPh sb="0" eb="3">
      <t>シワケレイ</t>
    </rPh>
    <rPh sb="4" eb="6">
      <t>タテモノ</t>
    </rPh>
    <rPh sb="6" eb="8">
      <t>ケッサイ</t>
    </rPh>
    <rPh sb="8" eb="10">
      <t>カンジョウ</t>
    </rPh>
    <rPh sb="11" eb="13">
      <t>ケンセツ</t>
    </rPh>
    <rPh sb="13" eb="16">
      <t>カリカンジョウ</t>
    </rPh>
    <phoneticPr fontId="3"/>
  </si>
  <si>
    <t>５．固定資産登録</t>
    <rPh sb="2" eb="4">
      <t>コテイ</t>
    </rPh>
    <rPh sb="4" eb="6">
      <t>シサン</t>
    </rPh>
    <rPh sb="6" eb="8">
      <t>トウロク</t>
    </rPh>
    <phoneticPr fontId="3"/>
  </si>
  <si>
    <t>6．取得提案</t>
    <rPh sb="2" eb="4">
      <t>シュトク</t>
    </rPh>
    <rPh sb="4" eb="6">
      <t>テイアン</t>
    </rPh>
    <phoneticPr fontId="3"/>
  </si>
  <si>
    <t>7．取得承認申請</t>
    <rPh sb="2" eb="4">
      <t>シュトク</t>
    </rPh>
    <rPh sb="4" eb="6">
      <t>ショウニン</t>
    </rPh>
    <rPh sb="6" eb="8">
      <t>シンセイ</t>
    </rPh>
    <phoneticPr fontId="3"/>
  </si>
  <si>
    <t>8．取得の承認/変更依頼</t>
    <rPh sb="2" eb="4">
      <t>シュトク</t>
    </rPh>
    <rPh sb="5" eb="7">
      <t>ショウニン</t>
    </rPh>
    <rPh sb="8" eb="10">
      <t>ヘンコウ</t>
    </rPh>
    <rPh sb="10" eb="12">
      <t>イライ</t>
    </rPh>
    <phoneticPr fontId="3"/>
  </si>
  <si>
    <t>9．不備修正</t>
    <rPh sb="2" eb="4">
      <t>フビ</t>
    </rPh>
    <rPh sb="4" eb="6">
      <t>シュウセイ</t>
    </rPh>
    <phoneticPr fontId="3"/>
  </si>
  <si>
    <t>10．自動転記バッチ</t>
    <rPh sb="3" eb="5">
      <t>ジドウ</t>
    </rPh>
    <rPh sb="5" eb="7">
      <t>テンキ</t>
    </rPh>
    <phoneticPr fontId="3"/>
  </si>
  <si>
    <t>11．取得内容確認</t>
    <rPh sb="3" eb="7">
      <t>シュトクナイヨウ</t>
    </rPh>
    <rPh sb="7" eb="9">
      <t>カクニン</t>
    </rPh>
    <phoneticPr fontId="3"/>
  </si>
  <si>
    <t>FOではないということでしょうか。</t>
  </si>
  <si>
    <t>12．仕訳帳全体の取消</t>
    <rPh sb="3" eb="6">
      <t>シワケチョウ</t>
    </rPh>
    <rPh sb="6" eb="8">
      <t>ゼンタイ</t>
    </rPh>
    <rPh sb="9" eb="11">
      <t>トリケシ</t>
    </rPh>
    <phoneticPr fontId="3"/>
  </si>
  <si>
    <t>事務管理Gにて不備が見つかった場合は</t>
    <rPh sb="7" eb="9">
      <t>フビ</t>
    </rPh>
    <rPh sb="10" eb="11">
      <t>ミ</t>
    </rPh>
    <rPh sb="15" eb="17">
      <t>バアイ</t>
    </rPh>
    <phoneticPr fontId="3"/>
  </si>
  <si>
    <t>2．固定資産現物管理（減価償却）</t>
    <rPh sb="2" eb="4">
      <t>コテイ</t>
    </rPh>
    <rPh sb="4" eb="6">
      <t>シサン</t>
    </rPh>
    <rPh sb="6" eb="8">
      <t>ゲンブツ</t>
    </rPh>
    <rPh sb="8" eb="10">
      <t>カンリ</t>
    </rPh>
    <rPh sb="11" eb="13">
      <t>ゲンカ</t>
    </rPh>
    <rPh sb="13" eb="15">
      <t>ショウキャク</t>
    </rPh>
    <phoneticPr fontId="3"/>
  </si>
  <si>
    <t>１．償却提案の実行</t>
    <rPh sb="2" eb="4">
      <t>ショウキャク</t>
    </rPh>
    <rPh sb="4" eb="6">
      <t>テイアン</t>
    </rPh>
    <rPh sb="7" eb="9">
      <t>ジッコウ</t>
    </rPh>
    <phoneticPr fontId="3"/>
  </si>
  <si>
    <t>償却提案を実行する。</t>
    <rPh sb="0" eb="2">
      <t>ショウキャク</t>
    </rPh>
    <rPh sb="2" eb="4">
      <t>テイアン</t>
    </rPh>
    <rPh sb="5" eb="7">
      <t>ジッコウ</t>
    </rPh>
    <phoneticPr fontId="3"/>
  </si>
  <si>
    <r>
      <t>※手動実行以外に</t>
    </r>
    <r>
      <rPr>
        <b/>
        <u/>
        <sz val="10"/>
        <rFont val="Meiryo UI"/>
        <family val="3"/>
        <charset val="128"/>
      </rPr>
      <t>バッチ実行も可能</t>
    </r>
    <r>
      <rPr>
        <b/>
        <sz val="10"/>
        <rFont val="Meiryo UI"/>
        <family val="3"/>
        <charset val="128"/>
      </rPr>
      <t>。</t>
    </r>
    <rPh sb="1" eb="5">
      <t>シュドウジッコウ</t>
    </rPh>
    <rPh sb="5" eb="7">
      <t>イガイ</t>
    </rPh>
    <rPh sb="11" eb="13">
      <t>ジッコウ</t>
    </rPh>
    <rPh sb="14" eb="16">
      <t>カノウ</t>
    </rPh>
    <phoneticPr fontId="3"/>
  </si>
  <si>
    <t>　なお、償却用帳簿は国税(法人税)用、</t>
    <rPh sb="4" eb="7">
      <t>ショウキャクヨウ</t>
    </rPh>
    <rPh sb="7" eb="9">
      <t>チョウボ</t>
    </rPh>
    <rPh sb="10" eb="12">
      <t>コクゼイ</t>
    </rPh>
    <rPh sb="13" eb="16">
      <t>ホウジンゼイ</t>
    </rPh>
    <rPh sb="17" eb="18">
      <t>ヨウ</t>
    </rPh>
    <phoneticPr fontId="3"/>
  </si>
  <si>
    <t>減価償却にて承認は不要でしょうか？</t>
    <rPh sb="0" eb="4">
      <t>ゲンカショウキャク</t>
    </rPh>
    <rPh sb="6" eb="8">
      <t>ショウニン</t>
    </rPh>
    <rPh sb="9" eb="11">
      <t>フヨウ</t>
    </rPh>
    <phoneticPr fontId="3"/>
  </si>
  <si>
    <t>自動転記の予定なので、承認は無し</t>
    <rPh sb="0" eb="2">
      <t>ジドウ</t>
    </rPh>
    <rPh sb="2" eb="4">
      <t>テンキ</t>
    </rPh>
    <rPh sb="5" eb="7">
      <t>ヨテイ</t>
    </rPh>
    <rPh sb="11" eb="13">
      <t>ショウニン</t>
    </rPh>
    <rPh sb="14" eb="15">
      <t>ナ</t>
    </rPh>
    <phoneticPr fontId="3"/>
  </si>
  <si>
    <t>　地方税(固定資産税)用、IFRS用の３種必要。</t>
    <rPh sb="1" eb="4">
      <t>チホウゼイ</t>
    </rPh>
    <rPh sb="5" eb="10">
      <t>コテイシサンゼイ</t>
    </rPh>
    <rPh sb="11" eb="12">
      <t>ヨウ</t>
    </rPh>
    <rPh sb="17" eb="18">
      <t>ヨウ</t>
    </rPh>
    <rPh sb="20" eb="21">
      <t>シュ</t>
    </rPh>
    <phoneticPr fontId="3"/>
  </si>
  <si>
    <t>※現行・IFRSそれぞれ実施が必要</t>
    <rPh sb="1" eb="3">
      <t>ゲンコウ</t>
    </rPh>
    <rPh sb="12" eb="14">
      <t>ジッシ</t>
    </rPh>
    <rPh sb="15" eb="17">
      <t>ヒツヨウ</t>
    </rPh>
    <phoneticPr fontId="3"/>
  </si>
  <si>
    <t>JBS備忘</t>
    <rPh sb="3" eb="5">
      <t>ビボウ</t>
    </rPh>
    <phoneticPr fontId="3"/>
  </si>
  <si>
    <t>2．転記処理</t>
    <rPh sb="2" eb="4">
      <t>テンキ</t>
    </rPh>
    <rPh sb="4" eb="6">
      <t>ショリ</t>
    </rPh>
    <phoneticPr fontId="3"/>
  </si>
  <si>
    <t>手動でのバッチ実行想定</t>
    <rPh sb="0" eb="2">
      <t>シュドウ</t>
    </rPh>
    <rPh sb="7" eb="11">
      <t>ジッコウソウテイ</t>
    </rPh>
    <phoneticPr fontId="3"/>
  </si>
  <si>
    <t>償却提案にて生成された仕訳データを転記する。</t>
    <rPh sb="0" eb="4">
      <t>ショウキャクテイアン</t>
    </rPh>
    <rPh sb="6" eb="8">
      <t>セイセイ</t>
    </rPh>
    <rPh sb="11" eb="13">
      <t>シワケ</t>
    </rPh>
    <rPh sb="17" eb="19">
      <t>テンキ</t>
    </rPh>
    <phoneticPr fontId="3"/>
  </si>
  <si>
    <t>エラーの際、バッチジョブから確認必要（権限考慮必要）</t>
    <rPh sb="4" eb="5">
      <t>サイ</t>
    </rPh>
    <rPh sb="14" eb="16">
      <t>カクニン</t>
    </rPh>
    <rPh sb="16" eb="18">
      <t>ヒツヨウ</t>
    </rPh>
    <rPh sb="19" eb="21">
      <t>ケンゲン</t>
    </rPh>
    <rPh sb="21" eb="23">
      <t>コウリョ</t>
    </rPh>
    <rPh sb="23" eb="25">
      <t>ヒツヨウ</t>
    </rPh>
    <phoneticPr fontId="3"/>
  </si>
  <si>
    <t>運用担当者？が行うのか最終確認必要（権限考慮必要）</t>
    <rPh sb="0" eb="5">
      <t>ウンヨウタントウシャ</t>
    </rPh>
    <rPh sb="7" eb="8">
      <t>オコナ</t>
    </rPh>
    <rPh sb="11" eb="15">
      <t>サイシュウカクニン</t>
    </rPh>
    <rPh sb="15" eb="17">
      <t>ヒツヨウ</t>
    </rPh>
    <rPh sb="18" eb="20">
      <t>ケンゲン</t>
    </rPh>
    <rPh sb="20" eb="22">
      <t>コウリョ</t>
    </rPh>
    <rPh sb="22" eb="24">
      <t>ヒツヨウ</t>
    </rPh>
    <phoneticPr fontId="3"/>
  </si>
  <si>
    <t>承認有無確認必要</t>
    <rPh sb="0" eb="2">
      <t>ショウニン</t>
    </rPh>
    <rPh sb="2" eb="4">
      <t>ウム</t>
    </rPh>
    <rPh sb="4" eb="6">
      <t>カクニン</t>
    </rPh>
    <rPh sb="6" eb="8">
      <t>ヒツヨウ</t>
    </rPh>
    <phoneticPr fontId="3"/>
  </si>
  <si>
    <t>取得のみ承認ありも可能だが、仕訳帳名が分かれる</t>
    <rPh sb="0" eb="2">
      <t>シュトク</t>
    </rPh>
    <rPh sb="4" eb="6">
      <t>ショウニン</t>
    </rPh>
    <rPh sb="9" eb="11">
      <t>カノウ</t>
    </rPh>
    <rPh sb="14" eb="18">
      <t>シワケチョウメイ</t>
    </rPh>
    <rPh sb="19" eb="20">
      <t>ワ</t>
    </rPh>
    <phoneticPr fontId="3"/>
  </si>
  <si>
    <t>・過年度の修正は可能かどうか</t>
  </si>
  <si>
    <t>償却処理は事務管理Gで行う（運用担当者ではない）</t>
    <rPh sb="0" eb="4">
      <t>ショウキャクショリ</t>
    </rPh>
    <rPh sb="5" eb="9">
      <t>ジムカンリ</t>
    </rPh>
    <rPh sb="11" eb="12">
      <t>オコナ</t>
    </rPh>
    <rPh sb="14" eb="19">
      <t>ウンヨウタントウシャ</t>
    </rPh>
    <phoneticPr fontId="3"/>
  </si>
  <si>
    <t>※基本的に遡及対応はできません</t>
    <rPh sb="1" eb="4">
      <t>キホンテキ</t>
    </rPh>
    <rPh sb="5" eb="7">
      <t>ソキュウ</t>
    </rPh>
    <rPh sb="7" eb="9">
      <t>タイオウ</t>
    </rPh>
    <phoneticPr fontId="3"/>
  </si>
  <si>
    <t>3．固定資産現物管理（移動）</t>
    <rPh sb="2" eb="4">
      <t>コテイ</t>
    </rPh>
    <rPh sb="4" eb="6">
      <t>シサン</t>
    </rPh>
    <rPh sb="6" eb="8">
      <t>ゲンブツ</t>
    </rPh>
    <rPh sb="8" eb="10">
      <t>カンリ</t>
    </rPh>
    <rPh sb="11" eb="13">
      <t>イドウ</t>
    </rPh>
    <phoneticPr fontId="3"/>
  </si>
  <si>
    <t>１．移動伝票の発行</t>
    <rPh sb="2" eb="4">
      <t>イドウ</t>
    </rPh>
    <rPh sb="4" eb="5">
      <t>デン</t>
    </rPh>
    <rPh sb="5" eb="6">
      <t>ヒョウ</t>
    </rPh>
    <rPh sb="7" eb="9">
      <t>ハッコウ</t>
    </rPh>
    <phoneticPr fontId="3"/>
  </si>
  <si>
    <t>移動伝票を発行</t>
    <rPh sb="0" eb="2">
      <t>イドウ</t>
    </rPh>
    <rPh sb="2" eb="4">
      <t>デンヒョウ</t>
    </rPh>
    <rPh sb="5" eb="7">
      <t>ハッコウ</t>
    </rPh>
    <phoneticPr fontId="3"/>
  </si>
  <si>
    <t>2．固定資産移動処理</t>
    <rPh sb="2" eb="4">
      <t>コテイ</t>
    </rPh>
    <rPh sb="4" eb="6">
      <t>シサン</t>
    </rPh>
    <rPh sb="6" eb="8">
      <t>イドウ</t>
    </rPh>
    <rPh sb="8" eb="10">
      <t>ショリ</t>
    </rPh>
    <phoneticPr fontId="3"/>
  </si>
  <si>
    <t>資産の管理部署にて、</t>
    <phoneticPr fontId="3"/>
  </si>
  <si>
    <t>固定資産の移動（主観部門や保管場所の財務分析コード変更</t>
    <rPh sb="0" eb="4">
      <t>コテイシサン</t>
    </rPh>
    <rPh sb="5" eb="7">
      <t>イドウ</t>
    </rPh>
    <rPh sb="8" eb="10">
      <t>シュカン</t>
    </rPh>
    <rPh sb="10" eb="12">
      <t>ブモン</t>
    </rPh>
    <rPh sb="13" eb="17">
      <t>ホカンバショ</t>
    </rPh>
    <rPh sb="18" eb="22">
      <t>ザイムブンセキ</t>
    </rPh>
    <rPh sb="25" eb="27">
      <t>ヘンコウ</t>
    </rPh>
    <phoneticPr fontId="3"/>
  </si>
  <si>
    <t>または保管場所（固定資産の場所）変更)を実行する。</t>
    <phoneticPr fontId="3"/>
  </si>
  <si>
    <t>主観部門・保管場所変更：当該勘定科目内の財務分析コードが付け変わる</t>
    <rPh sb="5" eb="9">
      <t>ホカンバショ</t>
    </rPh>
    <phoneticPr fontId="3"/>
  </si>
  <si>
    <t>4．固定資産現物管理（売却・処分）</t>
    <rPh sb="2" eb="4">
      <t>コテイ</t>
    </rPh>
    <rPh sb="4" eb="6">
      <t>シサン</t>
    </rPh>
    <rPh sb="6" eb="8">
      <t>ゲンブツ</t>
    </rPh>
    <rPh sb="8" eb="10">
      <t>カンリ</t>
    </rPh>
    <phoneticPr fontId="3"/>
  </si>
  <si>
    <t>１．売却・処分伝票の発行</t>
    <rPh sb="2" eb="4">
      <t>バイキャク</t>
    </rPh>
    <rPh sb="5" eb="7">
      <t>ショブン</t>
    </rPh>
    <rPh sb="7" eb="8">
      <t>デン</t>
    </rPh>
    <rPh sb="8" eb="9">
      <t>ヒョウ</t>
    </rPh>
    <rPh sb="10" eb="12">
      <t>ハッコウ</t>
    </rPh>
    <phoneticPr fontId="3"/>
  </si>
  <si>
    <t>売却・処分伝票を発行</t>
    <rPh sb="0" eb="2">
      <t>バイキャク</t>
    </rPh>
    <rPh sb="3" eb="5">
      <t>ショブン</t>
    </rPh>
    <rPh sb="5" eb="7">
      <t>デンヒョウ</t>
    </rPh>
    <rPh sb="8" eb="10">
      <t>ハッコウ</t>
    </rPh>
    <phoneticPr fontId="3"/>
  </si>
  <si>
    <t>2．売却・処分提案の実行</t>
    <rPh sb="2" eb="4">
      <t>バイキャク</t>
    </rPh>
    <rPh sb="5" eb="7">
      <t>ショブン</t>
    </rPh>
    <rPh sb="7" eb="9">
      <t>テイアン</t>
    </rPh>
    <rPh sb="10" eb="12">
      <t>ジッコウ</t>
    </rPh>
    <phoneticPr fontId="3"/>
  </si>
  <si>
    <t>仕訳帳に売却・処分する固定資産を設定し、</t>
    <rPh sb="0" eb="3">
      <t>シワケチョウ</t>
    </rPh>
    <rPh sb="4" eb="6">
      <t>バイキャク</t>
    </rPh>
    <rPh sb="7" eb="9">
      <t>ショブン</t>
    </rPh>
    <rPh sb="11" eb="15">
      <t>コテイシサン</t>
    </rPh>
    <rPh sb="16" eb="18">
      <t>セッテイ</t>
    </rPh>
    <phoneticPr fontId="3"/>
  </si>
  <si>
    <t>転記する。</t>
    <rPh sb="0" eb="2">
      <t>テンキ</t>
    </rPh>
    <phoneticPr fontId="3"/>
  </si>
  <si>
    <t>売却・処分処理にて承認は不要でしょうか？</t>
    <rPh sb="0" eb="2">
      <t>バイキャク</t>
    </rPh>
    <rPh sb="3" eb="5">
      <t>ショブン</t>
    </rPh>
    <rPh sb="5" eb="7">
      <t>ショリ</t>
    </rPh>
    <rPh sb="9" eb="11">
      <t>ショウニン</t>
    </rPh>
    <rPh sb="12" eb="14">
      <t>フヨウ</t>
    </rPh>
    <phoneticPr fontId="3"/>
  </si>
  <si>
    <t>必要</t>
    <rPh sb="0" eb="2">
      <t>ヒツヨウ</t>
    </rPh>
    <phoneticPr fontId="3"/>
  </si>
  <si>
    <t>承認ルートはどのようになりますでしょうか？</t>
    <rPh sb="0" eb="2">
      <t>ショウニン</t>
    </rPh>
    <phoneticPr fontId="3"/>
  </si>
  <si>
    <t>ご記載頂いた通りです</t>
    <rPh sb="1" eb="3">
      <t>キサイ</t>
    </rPh>
    <rPh sb="3" eb="4">
      <t>イタダ</t>
    </rPh>
    <rPh sb="6" eb="7">
      <t>トオ</t>
    </rPh>
    <phoneticPr fontId="3"/>
  </si>
  <si>
    <t>3．売却・処分承認申請</t>
    <rPh sb="2" eb="4">
      <t>バイキャク</t>
    </rPh>
    <rPh sb="5" eb="7">
      <t>ショブン</t>
    </rPh>
    <rPh sb="7" eb="9">
      <t>ショウニン</t>
    </rPh>
    <rPh sb="9" eb="11">
      <t>シンセイ</t>
    </rPh>
    <phoneticPr fontId="3"/>
  </si>
  <si>
    <t>（取得と同じく、各部署で入力・承認し、</t>
    <rPh sb="1" eb="3">
      <t>シュトク</t>
    </rPh>
    <rPh sb="4" eb="5">
      <t>オナ</t>
    </rPh>
    <rPh sb="8" eb="11">
      <t>カクブショ</t>
    </rPh>
    <rPh sb="12" eb="14">
      <t>ニュウリョク</t>
    </rPh>
    <rPh sb="15" eb="17">
      <t>ショウニン</t>
    </rPh>
    <phoneticPr fontId="3"/>
  </si>
  <si>
    <t>　　業務推進・財務にて最終確認？）</t>
    <phoneticPr fontId="3"/>
  </si>
  <si>
    <t>4．売却・処分の_x000B_承認/変更依頼</t>
    <rPh sb="2" eb="4">
      <t>バイキャク</t>
    </rPh>
    <rPh sb="5" eb="7">
      <t>ショブン</t>
    </rPh>
    <rPh sb="9" eb="11">
      <t>ショウニン</t>
    </rPh>
    <rPh sb="12" eb="14">
      <t>ヘンコウ</t>
    </rPh>
    <rPh sb="14" eb="16">
      <t>イライ</t>
    </rPh>
    <phoneticPr fontId="3"/>
  </si>
  <si>
    <t>5．不備修正</t>
    <rPh sb="2" eb="4">
      <t>フビ</t>
    </rPh>
    <rPh sb="4" eb="6">
      <t>シュウセイ</t>
    </rPh>
    <phoneticPr fontId="3"/>
  </si>
  <si>
    <t>変更依頼された固定資産仕訳帳の売却・処分内容を</t>
    <rPh sb="0" eb="4">
      <t>ヘンコウイライ</t>
    </rPh>
    <rPh sb="7" eb="9">
      <t>コテイ</t>
    </rPh>
    <rPh sb="9" eb="11">
      <t>シサン</t>
    </rPh>
    <rPh sb="11" eb="14">
      <t>シワケチョウ</t>
    </rPh>
    <rPh sb="15" eb="17">
      <t>バイキャク</t>
    </rPh>
    <rPh sb="18" eb="20">
      <t>ショブン</t>
    </rPh>
    <rPh sb="20" eb="22">
      <t>ナイヨウ</t>
    </rPh>
    <phoneticPr fontId="3"/>
  </si>
  <si>
    <t>修正後、売却・処分承認申請を再度行う。</t>
    <rPh sb="0" eb="3">
      <t>シュウセイゴ</t>
    </rPh>
    <rPh sb="4" eb="6">
      <t>バイキャク</t>
    </rPh>
    <rPh sb="7" eb="9">
      <t>ショブン</t>
    </rPh>
    <rPh sb="9" eb="11">
      <t>ショウニン</t>
    </rPh>
    <rPh sb="14" eb="16">
      <t>サイド</t>
    </rPh>
    <rPh sb="16" eb="17">
      <t>オコナ</t>
    </rPh>
    <phoneticPr fontId="3"/>
  </si>
  <si>
    <t>6．自動転記バッチ</t>
    <rPh sb="2" eb="4">
      <t>ジドウ</t>
    </rPh>
    <rPh sb="4" eb="6">
      <t>テンキ</t>
    </rPh>
    <phoneticPr fontId="3"/>
  </si>
  <si>
    <t>2.で作成されたトランザクションを使用し転記、固定資産を</t>
    <rPh sb="3" eb="5">
      <t>サクセイ</t>
    </rPh>
    <rPh sb="17" eb="19">
      <t>シヨウ</t>
    </rPh>
    <rPh sb="20" eb="22">
      <t>テンキ</t>
    </rPh>
    <rPh sb="23" eb="27">
      <t>コテイシサン</t>
    </rPh>
    <phoneticPr fontId="3"/>
  </si>
  <si>
    <t>売却・処分させる。</t>
    <rPh sb="0" eb="2">
      <t>バイキャク</t>
    </rPh>
    <rPh sb="3" eb="5">
      <t>ショブン</t>
    </rPh>
    <phoneticPr fontId="3"/>
  </si>
  <si>
    <t>7．未収入金への振替</t>
    <rPh sb="2" eb="6">
      <t>ミシュウニュウキン</t>
    </rPh>
    <rPh sb="8" eb="10">
      <t>フリカエ</t>
    </rPh>
    <phoneticPr fontId="3"/>
  </si>
  <si>
    <t>・未収入金への振替はどのように行うのでしょうか(サンスター寺澤)</t>
    <rPh sb="1" eb="2">
      <t>ミ</t>
    </rPh>
    <rPh sb="2" eb="5">
      <t>シュウニュウキン</t>
    </rPh>
    <rPh sb="7" eb="9">
      <t>フリカエ</t>
    </rPh>
    <rPh sb="15" eb="16">
      <t>オコナ</t>
    </rPh>
    <rPh sb="29" eb="31">
      <t>テラザワ</t>
    </rPh>
    <phoneticPr fontId="3"/>
  </si>
  <si>
    <t>転記プロファイルの兼ね合いより、</t>
    <rPh sb="0" eb="2">
      <t>テンキ</t>
    </rPh>
    <rPh sb="9" eb="10">
      <t>カ</t>
    </rPh>
    <rPh sb="11" eb="12">
      <t>ア</t>
    </rPh>
    <phoneticPr fontId="3"/>
  </si>
  <si>
    <t>※FOにも外部システムにも記載が無いのでお伺いしました</t>
    <rPh sb="5" eb="7">
      <t>ガイブ</t>
    </rPh>
    <rPh sb="13" eb="15">
      <t>キサイ</t>
    </rPh>
    <rPh sb="16" eb="17">
      <t>ナ</t>
    </rPh>
    <rPh sb="21" eb="22">
      <t>ウカガ</t>
    </rPh>
    <phoneticPr fontId="3"/>
  </si>
  <si>
    <t>売掛金計上となった伝票については、未収入金への振替を行う。</t>
    <rPh sb="17" eb="21">
      <t>ミシュウニュウキン</t>
    </rPh>
    <rPh sb="23" eb="25">
      <t>フリカエ</t>
    </rPh>
    <rPh sb="26" eb="27">
      <t>オコナ</t>
    </rPh>
    <phoneticPr fontId="3"/>
  </si>
  <si>
    <t>計上科目は顧客グループにより決定する。</t>
    <rPh sb="0" eb="4">
      <t>ケイジョウカモク</t>
    </rPh>
    <rPh sb="5" eb="7">
      <t>コキャク</t>
    </rPh>
    <rPh sb="14" eb="16">
      <t>ケッテイ</t>
    </rPh>
    <phoneticPr fontId="3"/>
  </si>
  <si>
    <t>一般仕訳帳にて振替となりますので、FOシステムへ追記しました。</t>
    <phoneticPr fontId="3"/>
  </si>
  <si>
    <t>SLJのみ処理発生想定</t>
    <rPh sb="5" eb="7">
      <t>ショリ</t>
    </rPh>
    <rPh sb="7" eb="9">
      <t>ハッセイ</t>
    </rPh>
    <rPh sb="9" eb="11">
      <t>ソウテイ</t>
    </rPh>
    <phoneticPr fontId="3"/>
  </si>
  <si>
    <t>FOにて振替時に仕入先コードを入力するということで</t>
    <rPh sb="4" eb="6">
      <t>フリカエ</t>
    </rPh>
    <rPh sb="6" eb="7">
      <t>ジ</t>
    </rPh>
    <rPh sb="8" eb="11">
      <t>シイレサキ</t>
    </rPh>
    <rPh sb="15" eb="17">
      <t>ニュウリョク</t>
    </rPh>
    <phoneticPr fontId="3"/>
  </si>
  <si>
    <t>よかったでしょうか。</t>
  </si>
  <si>
    <t>8．振替承認申請</t>
    <rPh sb="2" eb="4">
      <t>フリカエ</t>
    </rPh>
    <rPh sb="4" eb="6">
      <t>ショウニン</t>
    </rPh>
    <rPh sb="6" eb="8">
      <t>シンセイ</t>
    </rPh>
    <phoneticPr fontId="3"/>
  </si>
  <si>
    <t>仕入先コードを指定する想定はありません。</t>
    <rPh sb="0" eb="3">
      <t>シイレサキ</t>
    </rPh>
    <rPh sb="7" eb="9">
      <t>シテイ</t>
    </rPh>
    <rPh sb="11" eb="13">
      <t>ソウテイ</t>
    </rPh>
    <phoneticPr fontId="3"/>
  </si>
  <si>
    <t>下記流れとなります。</t>
    <rPh sb="0" eb="2">
      <t>カキ</t>
    </rPh>
    <rPh sb="2" eb="3">
      <t>ナガ</t>
    </rPh>
    <phoneticPr fontId="3"/>
  </si>
  <si>
    <t>売却先の顧客コードを指定する。</t>
    <rPh sb="0" eb="3">
      <t>バイキャクサキ</t>
    </rPh>
    <rPh sb="4" eb="6">
      <t>コキャク</t>
    </rPh>
    <rPh sb="10" eb="12">
      <t>シテイ</t>
    </rPh>
    <phoneticPr fontId="3"/>
  </si>
  <si>
    <t>顧客コードに紐づく転記プロファイルにより、</t>
    <rPh sb="0" eb="2">
      <t>コキャク</t>
    </rPh>
    <rPh sb="6" eb="7">
      <t>ヒモ</t>
    </rPh>
    <rPh sb="9" eb="11">
      <t>テンキ</t>
    </rPh>
    <phoneticPr fontId="3"/>
  </si>
  <si>
    <t>9．.振替の承認/変更依頼</t>
    <rPh sb="3" eb="5">
      <t>フリカエ</t>
    </rPh>
    <rPh sb="6" eb="8">
      <t>ショウニン</t>
    </rPh>
    <rPh sb="9" eb="11">
      <t>ヘンコウ</t>
    </rPh>
    <rPh sb="11" eb="13">
      <t>イライ</t>
    </rPh>
    <phoneticPr fontId="3"/>
  </si>
  <si>
    <t>計上科目（売掛金 or 未収入金）が決まる。</t>
    <rPh sb="0" eb="2">
      <t>ケイジョウ</t>
    </rPh>
    <rPh sb="2" eb="4">
      <t>カモク</t>
    </rPh>
    <rPh sb="5" eb="8">
      <t>ウリカケキン</t>
    </rPh>
    <rPh sb="12" eb="16">
      <t>ミシュウニュウキン</t>
    </rPh>
    <rPh sb="18" eb="19">
      <t>キ</t>
    </rPh>
    <phoneticPr fontId="3"/>
  </si>
  <si>
    <t>売掛金 or 未収入金</t>
    <rPh sb="0" eb="3">
      <t>ウリカケキン</t>
    </rPh>
    <rPh sb="7" eb="11">
      <t>ミシュウニュウキン</t>
    </rPh>
    <phoneticPr fontId="3"/>
  </si>
  <si>
    <t>/</t>
    <phoneticPr fontId="3"/>
  </si>
  <si>
    <t>固定資産</t>
    <rPh sb="0" eb="4">
      <t>コテイシサン</t>
    </rPh>
    <phoneticPr fontId="3"/>
  </si>
  <si>
    <t>売掛金での計上となっている場合、</t>
    <rPh sb="0" eb="3">
      <t>ウリカケキン</t>
    </rPh>
    <rPh sb="5" eb="7">
      <t>ケイジョウ</t>
    </rPh>
    <rPh sb="13" eb="15">
      <t>バアイ</t>
    </rPh>
    <phoneticPr fontId="3"/>
  </si>
  <si>
    <t>未収入金へ振替を行う。</t>
    <rPh sb="0" eb="4">
      <t>ミシュウニュウキン</t>
    </rPh>
    <rPh sb="5" eb="7">
      <t>フリカエ</t>
    </rPh>
    <rPh sb="8" eb="9">
      <t>オコナ</t>
    </rPh>
    <phoneticPr fontId="3"/>
  </si>
  <si>
    <t>未収入金を計上する転記プロファイルを指定する。</t>
    <rPh sb="0" eb="4">
      <t>ミシュウニュウキン</t>
    </rPh>
    <rPh sb="5" eb="7">
      <t>ケイジョウ</t>
    </rPh>
    <rPh sb="9" eb="11">
      <t>テンキ</t>
    </rPh>
    <rPh sb="18" eb="20">
      <t>シテイ</t>
    </rPh>
    <phoneticPr fontId="3"/>
  </si>
  <si>
    <t>未収入金</t>
    <rPh sb="0" eb="4">
      <t>ミシュウニュウキン</t>
    </rPh>
    <phoneticPr fontId="3"/>
  </si>
  <si>
    <t>売掛金</t>
    <rPh sb="0" eb="3">
      <t>ウリカケキン</t>
    </rPh>
    <phoneticPr fontId="3"/>
  </si>
  <si>
    <t>顧客コードに未収入金の登録がない場合、自動で売掛金に計上されるということでしょうか。</t>
    <phoneticPr fontId="3"/>
  </si>
  <si>
    <t>10．不備修正</t>
    <rPh sb="3" eb="5">
      <t>フビ</t>
    </rPh>
    <rPh sb="5" eb="7">
      <t>シュウセイ</t>
    </rPh>
    <phoneticPr fontId="3"/>
  </si>
  <si>
    <t>現状の処理と大きく変更になるため、トレーニングにてご説明をお願い致します。</t>
    <phoneticPr fontId="3"/>
  </si>
  <si>
    <t>変更依頼された一般仕訳帳の振替内容を</t>
    <rPh sb="0" eb="4">
      <t>ヘンコウイライ</t>
    </rPh>
    <rPh sb="7" eb="9">
      <t>イッパン</t>
    </rPh>
    <rPh sb="9" eb="12">
      <t>シワケチョウ</t>
    </rPh>
    <rPh sb="13" eb="15">
      <t>フリカエ</t>
    </rPh>
    <rPh sb="15" eb="17">
      <t>ナイヨウ</t>
    </rPh>
    <phoneticPr fontId="3"/>
  </si>
  <si>
    <t>顧客コードに紐づく顧客グループによって、計上科目が決まります。（転記プロファイルにて管理）</t>
    <rPh sb="0" eb="2">
      <t>コキャク</t>
    </rPh>
    <rPh sb="6" eb="7">
      <t>ヒモ</t>
    </rPh>
    <rPh sb="9" eb="11">
      <t>コキャク</t>
    </rPh>
    <rPh sb="20" eb="24">
      <t>ケイジョウカモク</t>
    </rPh>
    <rPh sb="25" eb="26">
      <t>キ</t>
    </rPh>
    <rPh sb="32" eb="34">
      <t>テンキ</t>
    </rPh>
    <rPh sb="42" eb="44">
      <t>カンリ</t>
    </rPh>
    <phoneticPr fontId="3"/>
  </si>
  <si>
    <t>顧客コードに紐づく顧客グループの計上科目設定が「売掛金」である場合は、</t>
    <rPh sb="0" eb="2">
      <t>コキャク</t>
    </rPh>
    <rPh sb="6" eb="7">
      <t>ヒモ</t>
    </rPh>
    <rPh sb="9" eb="11">
      <t>コキャク</t>
    </rPh>
    <rPh sb="16" eb="20">
      <t>ケイジョウカモク</t>
    </rPh>
    <rPh sb="20" eb="22">
      <t>セッテイ</t>
    </rPh>
    <rPh sb="24" eb="27">
      <t>ウリカケキン</t>
    </rPh>
    <rPh sb="31" eb="33">
      <t>バアイ</t>
    </rPh>
    <phoneticPr fontId="3"/>
  </si>
  <si>
    <t>修正後、振替承認申請を再度行う。</t>
    <rPh sb="0" eb="3">
      <t>シュウセイゴ</t>
    </rPh>
    <rPh sb="4" eb="6">
      <t>フリカエ</t>
    </rPh>
    <rPh sb="6" eb="8">
      <t>ショウニン</t>
    </rPh>
    <rPh sb="11" eb="13">
      <t>サイド</t>
    </rPh>
    <rPh sb="13" eb="14">
      <t>オコナ</t>
    </rPh>
    <phoneticPr fontId="3"/>
  </si>
  <si>
    <t>一度自動で「売掛金」として計上される形となります。</t>
    <rPh sb="0" eb="2">
      <t>イチド</t>
    </rPh>
    <rPh sb="2" eb="4">
      <t>ジドウ</t>
    </rPh>
    <rPh sb="6" eb="9">
      <t>ウリカケキン</t>
    </rPh>
    <rPh sb="13" eb="15">
      <t>ケイジョウ</t>
    </rPh>
    <rPh sb="18" eb="19">
      <t>カタチ</t>
    </rPh>
    <phoneticPr fontId="3"/>
  </si>
  <si>
    <t>ただ固定資産売却は未収入金として計上すべきとお伺いしていますので、</t>
    <rPh sb="2" eb="6">
      <t>コテイシサン</t>
    </rPh>
    <rPh sb="6" eb="8">
      <t>バイキャク</t>
    </rPh>
    <rPh sb="9" eb="13">
      <t>ミシュウニュウキン</t>
    </rPh>
    <rPh sb="16" eb="18">
      <t>ケイジョウ</t>
    </rPh>
    <rPh sb="23" eb="24">
      <t>ウカガ</t>
    </rPh>
    <phoneticPr fontId="3"/>
  </si>
  <si>
    <t>自動計上された「売掛金」より、「未収入金」に振替を行う　という流れです。</t>
    <rPh sb="0" eb="2">
      <t>ジドウ</t>
    </rPh>
    <rPh sb="2" eb="4">
      <t>ケイジョウ</t>
    </rPh>
    <rPh sb="8" eb="11">
      <t>ウリカケキン</t>
    </rPh>
    <rPh sb="16" eb="20">
      <t>ミシュウニュウキン</t>
    </rPh>
    <rPh sb="22" eb="24">
      <t>フリカエ</t>
    </rPh>
    <rPh sb="25" eb="26">
      <t>オコナ</t>
    </rPh>
    <rPh sb="31" eb="32">
      <t>ナガ</t>
    </rPh>
    <phoneticPr fontId="3"/>
  </si>
  <si>
    <t>トレーニングの際にも、売却フローはご説明させていただきます。</t>
    <rPh sb="7" eb="8">
      <t>サイ</t>
    </rPh>
    <rPh sb="11" eb="13">
      <t>バイキャク</t>
    </rPh>
    <rPh sb="18" eb="20">
      <t>セツメイ</t>
    </rPh>
    <phoneticPr fontId="3"/>
  </si>
  <si>
    <t>11．自動転記バッチ</t>
    <rPh sb="3" eb="5">
      <t>ジドウ</t>
    </rPh>
    <rPh sb="5" eb="7">
      <t>テンキ</t>
    </rPh>
    <phoneticPr fontId="3"/>
  </si>
  <si>
    <t>承認済の一般仕訳帳が自動転記処理される。</t>
    <rPh sb="0" eb="3">
      <t>ショウニンズ</t>
    </rPh>
    <rPh sb="4" eb="6">
      <t>イッパン</t>
    </rPh>
    <rPh sb="6" eb="8">
      <t>シワケ</t>
    </rPh>
    <rPh sb="8" eb="9">
      <t>チョウ</t>
    </rPh>
    <rPh sb="10" eb="12">
      <t>ジドウ</t>
    </rPh>
    <rPh sb="12" eb="14">
      <t>テンキ</t>
    </rPh>
    <rPh sb="14" eb="16">
      <t>ショリ</t>
    </rPh>
    <phoneticPr fontId="3"/>
  </si>
  <si>
    <t>7.で作成した仕訳を転記、売掛金を未収入金へ振り替える。</t>
    <rPh sb="3" eb="5">
      <t>サクセイ</t>
    </rPh>
    <rPh sb="7" eb="9">
      <t>シワケ</t>
    </rPh>
    <rPh sb="10" eb="12">
      <t>テンキ</t>
    </rPh>
    <rPh sb="13" eb="16">
      <t>ウリカケキン</t>
    </rPh>
    <rPh sb="17" eb="21">
      <t>ミシュウニュウキン</t>
    </rPh>
    <rPh sb="22" eb="23">
      <t>フ</t>
    </rPh>
    <rPh sb="24" eb="25">
      <t>カ</t>
    </rPh>
    <phoneticPr fontId="3"/>
  </si>
  <si>
    <t>12．売却・処分内容確認</t>
    <rPh sb="3" eb="5">
      <t>バイキャク</t>
    </rPh>
    <rPh sb="6" eb="8">
      <t>ショブン</t>
    </rPh>
    <rPh sb="8" eb="10">
      <t>ナイヨウ</t>
    </rPh>
    <rPh sb="10" eb="12">
      <t>カクニン</t>
    </rPh>
    <phoneticPr fontId="3"/>
  </si>
  <si>
    <t>・「取得された固定資産」、「固定資産仕訳帳」、「一般仕訳帳」</t>
    <rPh sb="2" eb="4">
      <t>シュトク</t>
    </rPh>
    <rPh sb="7" eb="11">
      <t>コテイシサン</t>
    </rPh>
    <rPh sb="14" eb="18">
      <t>コテイシサン</t>
    </rPh>
    <rPh sb="18" eb="21">
      <t>シワケチョウ</t>
    </rPh>
    <rPh sb="24" eb="26">
      <t>イッパン</t>
    </rPh>
    <rPh sb="26" eb="29">
      <t>シワケチョウ</t>
    </rPh>
    <phoneticPr fontId="3"/>
  </si>
  <si>
    <t>事務管理G以外で登録された売却・処分内容について、</t>
    <rPh sb="5" eb="7">
      <t>イガイ</t>
    </rPh>
    <rPh sb="8" eb="10">
      <t>トウロク</t>
    </rPh>
    <rPh sb="13" eb="15">
      <t>バイキャク</t>
    </rPh>
    <rPh sb="16" eb="18">
      <t>ショブン</t>
    </rPh>
    <rPh sb="18" eb="20">
      <t>ナイヨウ</t>
    </rPh>
    <phoneticPr fontId="3"/>
  </si>
  <si>
    <t>が外部システムの欄に</t>
  </si>
  <si>
    <t>記載されていますが、こちらはどういう意味でしょうか。</t>
    <rPh sb="0" eb="2">
      <t>キサイ</t>
    </rPh>
    <rPh sb="18" eb="20">
      <t>イミ</t>
    </rPh>
    <phoneticPr fontId="3"/>
  </si>
  <si>
    <t>13．仕訳帳全体の取消</t>
    <rPh sb="3" eb="6">
      <t>シワケチョウ</t>
    </rPh>
    <rPh sb="6" eb="8">
      <t>ゼンタイ</t>
    </rPh>
    <rPh sb="9" eb="11">
      <t>トリケシ</t>
    </rPh>
    <phoneticPr fontId="3"/>
  </si>
  <si>
    <t>未収入金への振替仕訳を入力している場合、あわせて取消を行う。</t>
    <rPh sb="0" eb="4">
      <t>ミシュウニュウキン</t>
    </rPh>
    <rPh sb="6" eb="8">
      <t>フリカエ</t>
    </rPh>
    <rPh sb="8" eb="10">
      <t>シワケ</t>
    </rPh>
    <rPh sb="11" eb="13">
      <t>ニュウリョク</t>
    </rPh>
    <rPh sb="17" eb="19">
      <t>バアイ</t>
    </rPh>
    <rPh sb="24" eb="26">
      <t>トリケシ</t>
    </rPh>
    <rPh sb="27" eb="28">
      <t>オコナ</t>
    </rPh>
    <phoneticPr fontId="3"/>
  </si>
  <si>
    <t>取消を行うと未売却・未処分状態に戻り、売却・処分提案の実行より再度行う。</t>
    <rPh sb="0" eb="2">
      <t>トリケシ</t>
    </rPh>
    <rPh sb="3" eb="4">
      <t>オコナ</t>
    </rPh>
    <rPh sb="6" eb="9">
      <t>ミバイキャク</t>
    </rPh>
    <rPh sb="10" eb="11">
      <t>ミ</t>
    </rPh>
    <rPh sb="11" eb="13">
      <t>ショブン</t>
    </rPh>
    <rPh sb="13" eb="15">
      <t>ジョウタイ</t>
    </rPh>
    <rPh sb="16" eb="17">
      <t>モド</t>
    </rPh>
    <rPh sb="19" eb="21">
      <t>バイキャク</t>
    </rPh>
    <rPh sb="22" eb="24">
      <t>ショブン</t>
    </rPh>
    <rPh sb="24" eb="26">
      <t>テイアン</t>
    </rPh>
    <rPh sb="27" eb="29">
      <t>ジッコウ</t>
    </rPh>
    <rPh sb="31" eb="33">
      <t>サイド</t>
    </rPh>
    <rPh sb="33" eb="34">
      <t>オコナ</t>
    </rPh>
    <phoneticPr fontId="3"/>
  </si>
  <si>
    <t>14．ネッティング仕訳入力　※売却益となる場合のみ</t>
    <rPh sb="9" eb="11">
      <t>シワケ</t>
    </rPh>
    <rPh sb="11" eb="13">
      <t>ニュウリョク</t>
    </rPh>
    <rPh sb="15" eb="18">
      <t>バイキャクエキ</t>
    </rPh>
    <rPh sb="21" eb="23">
      <t>バアイ</t>
    </rPh>
    <phoneticPr fontId="3"/>
  </si>
  <si>
    <t>売却益となる場合、ネッティング仕訳（売却損/売却益）を入力する。</t>
    <rPh sb="0" eb="3">
      <t>バイキャクエキ</t>
    </rPh>
    <rPh sb="6" eb="8">
      <t>バアイ</t>
    </rPh>
    <rPh sb="15" eb="17">
      <t>シワケ</t>
    </rPh>
    <rPh sb="18" eb="20">
      <t>バイキャク</t>
    </rPh>
    <rPh sb="20" eb="21">
      <t>ソン</t>
    </rPh>
    <rPh sb="22" eb="25">
      <t>バイキャクエキ</t>
    </rPh>
    <rPh sb="27" eb="29">
      <t>ニュウリョク</t>
    </rPh>
    <phoneticPr fontId="3"/>
  </si>
  <si>
    <t>15．ネッティング仕訳承認申請　※売却益となる場合のみ</t>
    <rPh sb="9" eb="11">
      <t>シワケ</t>
    </rPh>
    <rPh sb="11" eb="13">
      <t>ショウニン</t>
    </rPh>
    <rPh sb="13" eb="15">
      <t>シンセイ</t>
    </rPh>
    <phoneticPr fontId="3"/>
  </si>
  <si>
    <t>16．ネッティング仕訳承認/変更依頼　※売却益となる場合のみ</t>
    <rPh sb="9" eb="11">
      <t>シワケ</t>
    </rPh>
    <rPh sb="11" eb="13">
      <t>ショウニン</t>
    </rPh>
    <rPh sb="14" eb="16">
      <t>ヘンコウ</t>
    </rPh>
    <rPh sb="16" eb="18">
      <t>イライ</t>
    </rPh>
    <phoneticPr fontId="3"/>
  </si>
  <si>
    <t>17．不備修正　※売却益となる場合のみ</t>
    <rPh sb="3" eb="5">
      <t>フビ</t>
    </rPh>
    <rPh sb="5" eb="7">
      <t>シュウセイ</t>
    </rPh>
    <phoneticPr fontId="3"/>
  </si>
  <si>
    <t>変更依頼されたネッティング仕訳を確認し、</t>
    <rPh sb="0" eb="4">
      <t>ヘンコウイライ</t>
    </rPh>
    <rPh sb="13" eb="15">
      <t>シワケ</t>
    </rPh>
    <phoneticPr fontId="3"/>
  </si>
  <si>
    <t>不備の内容を修正する。</t>
    <phoneticPr fontId="3"/>
  </si>
  <si>
    <t>修正後、ネッティング仕訳承認申請を再度行う。</t>
    <rPh sb="0" eb="3">
      <t>シュウセイゴ</t>
    </rPh>
    <rPh sb="10" eb="12">
      <t>シワケ</t>
    </rPh>
    <rPh sb="12" eb="14">
      <t>ショウニン</t>
    </rPh>
    <rPh sb="17" eb="19">
      <t>サイド</t>
    </rPh>
    <rPh sb="19" eb="20">
      <t>オコナ</t>
    </rPh>
    <phoneticPr fontId="3"/>
  </si>
  <si>
    <t>18．自動転記バッチ　※売却益となる場合のみ</t>
    <rPh sb="3" eb="5">
      <t>ジドウ</t>
    </rPh>
    <rPh sb="5" eb="7">
      <t>テンキ</t>
    </rPh>
    <phoneticPr fontId="3"/>
  </si>
  <si>
    <t>14.で作成した仕訳を転記、売却損・売却益の相殺が行われる。</t>
    <rPh sb="4" eb="6">
      <t>サクセイ</t>
    </rPh>
    <rPh sb="8" eb="10">
      <t>シワケ</t>
    </rPh>
    <rPh sb="11" eb="13">
      <t>テンキ</t>
    </rPh>
    <rPh sb="14" eb="17">
      <t>バイキャクソン</t>
    </rPh>
    <rPh sb="18" eb="21">
      <t>バイキャクエキ</t>
    </rPh>
    <rPh sb="22" eb="24">
      <t>ソウサイ</t>
    </rPh>
    <rPh sb="25" eb="26">
      <t>オコナ</t>
    </rPh>
    <phoneticPr fontId="3"/>
  </si>
  <si>
    <t>19．消費税仕訳入力</t>
    <rPh sb="3" eb="6">
      <t>ショウヒゼイ</t>
    </rPh>
    <rPh sb="6" eb="8">
      <t>シワケ</t>
    </rPh>
    <rPh sb="8" eb="10">
      <t>ニュウリョク</t>
    </rPh>
    <phoneticPr fontId="3"/>
  </si>
  <si>
    <t>売却に対する消費税仕訳（未収入金/預り消費税）を入力する。</t>
    <rPh sb="3" eb="4">
      <t>タイ</t>
    </rPh>
    <rPh sb="6" eb="9">
      <t>ショウヒゼイ</t>
    </rPh>
    <rPh sb="9" eb="11">
      <t>シワケ</t>
    </rPh>
    <rPh sb="12" eb="16">
      <t>ミシュウニュウキン</t>
    </rPh>
    <rPh sb="17" eb="18">
      <t>アズカ</t>
    </rPh>
    <rPh sb="19" eb="22">
      <t>ショウヒゼイ</t>
    </rPh>
    <rPh sb="24" eb="26">
      <t>ニュウリョク</t>
    </rPh>
    <phoneticPr fontId="3"/>
  </si>
  <si>
    <t>転記プロファイルの兼ね合いより、売掛金計上となった場合は、</t>
    <rPh sb="0" eb="2">
      <t>テンキ</t>
    </rPh>
    <rPh sb="9" eb="10">
      <t>カ</t>
    </rPh>
    <rPh sb="11" eb="12">
      <t>ア</t>
    </rPh>
    <rPh sb="16" eb="18">
      <t>ウリカケ</t>
    </rPh>
    <rPh sb="18" eb="19">
      <t>キン</t>
    </rPh>
    <rPh sb="19" eb="21">
      <t>ケイジョウ</t>
    </rPh>
    <rPh sb="25" eb="27">
      <t>バアイ</t>
    </rPh>
    <phoneticPr fontId="3"/>
  </si>
  <si>
    <t>7．未収入金への振替~11．自動転記バッチ の処理が必要となる</t>
    <rPh sb="23" eb="25">
      <t>ショリ</t>
    </rPh>
    <rPh sb="26" eb="28">
      <t>ヒツヨウ</t>
    </rPh>
    <phoneticPr fontId="3"/>
  </si>
  <si>
    <t>除却は消費税発生なし</t>
    <rPh sb="0" eb="2">
      <t>ジョキャク</t>
    </rPh>
    <rPh sb="3" eb="6">
      <t>ショウヒゼイ</t>
    </rPh>
    <rPh sb="6" eb="8">
      <t>ハッセイ</t>
    </rPh>
    <phoneticPr fontId="3"/>
  </si>
  <si>
    <t>20．消費税仕訳承認申請</t>
    <rPh sb="3" eb="6">
      <t>ショウヒゼイ</t>
    </rPh>
    <rPh sb="6" eb="8">
      <t>シワケ</t>
    </rPh>
    <rPh sb="8" eb="10">
      <t>ショウニン</t>
    </rPh>
    <rPh sb="10" eb="12">
      <t>シンセイ</t>
    </rPh>
    <phoneticPr fontId="3"/>
  </si>
  <si>
    <t>21．消費税仕訳承認/変更依頼</t>
    <rPh sb="3" eb="6">
      <t>ショウヒゼイ</t>
    </rPh>
    <rPh sb="6" eb="8">
      <t>シワケ</t>
    </rPh>
    <rPh sb="8" eb="10">
      <t>ショウニン</t>
    </rPh>
    <rPh sb="11" eb="13">
      <t>ヘンコウ</t>
    </rPh>
    <rPh sb="13" eb="15">
      <t>イライ</t>
    </rPh>
    <phoneticPr fontId="3"/>
  </si>
  <si>
    <t>22．不備修正</t>
    <rPh sb="3" eb="5">
      <t>フビ</t>
    </rPh>
    <rPh sb="5" eb="7">
      <t>シュウセイ</t>
    </rPh>
    <phoneticPr fontId="3"/>
  </si>
  <si>
    <t>変更依頼された消費税仕訳を確認し、</t>
    <rPh sb="0" eb="4">
      <t>ヘンコウイライ</t>
    </rPh>
    <rPh sb="7" eb="10">
      <t>ショウヒゼイ</t>
    </rPh>
    <rPh sb="10" eb="12">
      <t>シワケ</t>
    </rPh>
    <phoneticPr fontId="3"/>
  </si>
  <si>
    <t>修正後、消費税仕訳承認申請を再度行う。</t>
    <rPh sb="0" eb="3">
      <t>シュウセイゴ</t>
    </rPh>
    <rPh sb="4" eb="7">
      <t>ショウヒゼイ</t>
    </rPh>
    <rPh sb="7" eb="9">
      <t>シワケ</t>
    </rPh>
    <rPh sb="9" eb="11">
      <t>ショウニン</t>
    </rPh>
    <rPh sb="14" eb="16">
      <t>サイド</t>
    </rPh>
    <rPh sb="16" eb="17">
      <t>オコナ</t>
    </rPh>
    <phoneticPr fontId="3"/>
  </si>
  <si>
    <t>23．自動転記バッチ</t>
    <rPh sb="3" eb="5">
      <t>ジドウ</t>
    </rPh>
    <rPh sb="5" eb="7">
      <t>テンキ</t>
    </rPh>
    <phoneticPr fontId="3"/>
  </si>
  <si>
    <t>19.で作成した仕訳を転記、消費税処理が行われる。</t>
    <rPh sb="4" eb="6">
      <t>サクセイ</t>
    </rPh>
    <rPh sb="8" eb="10">
      <t>シワケ</t>
    </rPh>
    <rPh sb="11" eb="13">
      <t>テンキ</t>
    </rPh>
    <rPh sb="14" eb="17">
      <t>ショウヒゼイ</t>
    </rPh>
    <rPh sb="17" eb="19">
      <t>ショリ</t>
    </rPh>
    <rPh sb="20" eb="21">
      <t>オコナ</t>
    </rPh>
    <phoneticPr fontId="3"/>
  </si>
  <si>
    <t>5．固定資産現物管理（減損処理）</t>
    <rPh sb="2" eb="4">
      <t>コテイ</t>
    </rPh>
    <rPh sb="4" eb="6">
      <t>シサン</t>
    </rPh>
    <rPh sb="6" eb="8">
      <t>ゲンブツ</t>
    </rPh>
    <rPh sb="8" eb="10">
      <t>カンリ</t>
    </rPh>
    <rPh sb="11" eb="13">
      <t>ゲンソン</t>
    </rPh>
    <rPh sb="13" eb="15">
      <t>ショリ</t>
    </rPh>
    <phoneticPr fontId="3"/>
  </si>
  <si>
    <t>減損対象の判断はシステム外での対応となる。</t>
    <rPh sb="0" eb="2">
      <t>ゲンソン</t>
    </rPh>
    <rPh sb="2" eb="4">
      <t>タイショウ</t>
    </rPh>
    <rPh sb="5" eb="7">
      <t>ハンダン</t>
    </rPh>
    <rPh sb="12" eb="13">
      <t>ガイ</t>
    </rPh>
    <rPh sb="15" eb="17">
      <t>タイオウ</t>
    </rPh>
    <phoneticPr fontId="3"/>
  </si>
  <si>
    <t>ただ減損提案の実行を行う際に、FOにて採番した減損テストIDを指定する必要があるため、</t>
    <phoneticPr fontId="3"/>
  </si>
  <si>
    <t>減損対象について減損インジケータの更新～減損対象の識別 もFO処理として行う。</t>
    <rPh sb="0" eb="2">
      <t>ゲンソン</t>
    </rPh>
    <rPh sb="2" eb="4">
      <t>タイショウ</t>
    </rPh>
    <rPh sb="31" eb="33">
      <t>ショリ</t>
    </rPh>
    <rPh sb="36" eb="37">
      <t>オコナ</t>
    </rPh>
    <phoneticPr fontId="3"/>
  </si>
  <si>
    <t>現行（会社法）とカスタムレイヤー1（IFRS）の各転記階層でそれぞれ処理を行う。</t>
    <rPh sb="37" eb="38">
      <t>オコナ</t>
    </rPh>
    <phoneticPr fontId="3"/>
  </si>
  <si>
    <t>※定周期（月/四半期/半期等の周期）で減損された可能性のある</t>
    <rPh sb="1" eb="4">
      <t>テイシュウキ</t>
    </rPh>
    <rPh sb="5" eb="6">
      <t>ツキ</t>
    </rPh>
    <rPh sb="7" eb="10">
      <t>シハンキ</t>
    </rPh>
    <rPh sb="11" eb="13">
      <t>ハンキ</t>
    </rPh>
    <rPh sb="13" eb="14">
      <t>トウ</t>
    </rPh>
    <rPh sb="15" eb="17">
      <t>シュウキ</t>
    </rPh>
    <phoneticPr fontId="3"/>
  </si>
  <si>
    <t>　固定資産の一覧を生成します。 一覧の各資産の値引き前キャッシュ フロー、</t>
    <phoneticPr fontId="3"/>
  </si>
  <si>
    <t>　公正価額、復旧可能な金額を手動で確認し、計算して、固定資産が</t>
    <phoneticPr fontId="3"/>
  </si>
  <si>
    <r>
      <t>　</t>
    </r>
    <r>
      <rPr>
        <b/>
        <sz val="10"/>
        <color rgb="FFFF0000"/>
        <rFont val="Meiryo UI"/>
        <family val="3"/>
        <charset val="128"/>
      </rPr>
      <t>減損されるかどうかを決定します。</t>
    </r>
    <phoneticPr fontId="3"/>
  </si>
  <si>
    <t>１．減損インジケータの更新</t>
    <rPh sb="2" eb="4">
      <t>ゲンソン</t>
    </rPh>
    <rPh sb="11" eb="13">
      <t>コウシン</t>
    </rPh>
    <phoneticPr fontId="3"/>
  </si>
  <si>
    <t>当該固定資産に対し、減損(評価）の値引き前キャッシュ フローや</t>
    <rPh sb="0" eb="2">
      <t>トウガイ</t>
    </rPh>
    <rPh sb="2" eb="4">
      <t>コテイ</t>
    </rPh>
    <rPh sb="4" eb="6">
      <t>シサン</t>
    </rPh>
    <rPh sb="7" eb="8">
      <t>タイ</t>
    </rPh>
    <rPh sb="10" eb="12">
      <t>ゲンソン</t>
    </rPh>
    <rPh sb="13" eb="15">
      <t>ヒョウカ</t>
    </rPh>
    <phoneticPr fontId="3"/>
  </si>
  <si>
    <t>回収可能金額などをインジケータに登録します。</t>
    <rPh sb="0" eb="6">
      <t>カイシュウカノウキンガク</t>
    </rPh>
    <rPh sb="16" eb="18">
      <t>トウロク</t>
    </rPh>
    <phoneticPr fontId="3"/>
  </si>
  <si>
    <t>回収可能金額：0 の設定は不可なため、仮で金額を入力</t>
    <rPh sb="0" eb="6">
      <t>カイシュウカノウキンガク</t>
    </rPh>
    <rPh sb="10" eb="12">
      <t>セッテイ</t>
    </rPh>
    <rPh sb="13" eb="15">
      <t>フカ</t>
    </rPh>
    <rPh sb="19" eb="20">
      <t>カリ</t>
    </rPh>
    <rPh sb="21" eb="23">
      <t>キンガク</t>
    </rPh>
    <rPh sb="24" eb="26">
      <t>ニュウリョク</t>
    </rPh>
    <phoneticPr fontId="3"/>
  </si>
  <si>
    <t>２．減損認識テスト</t>
    <rPh sb="2" eb="4">
      <t>ゲンソン</t>
    </rPh>
    <rPh sb="4" eb="6">
      <t>ニンシキ</t>
    </rPh>
    <phoneticPr fontId="3"/>
  </si>
  <si>
    <t>減損のインジケーターを使用して減損の認識テストを実行し、</t>
    <rPh sb="0" eb="2">
      <t>ゲンソン</t>
    </rPh>
    <rPh sb="11" eb="13">
      <t>シヨウ</t>
    </rPh>
    <rPh sb="15" eb="17">
      <t>ゲンソン</t>
    </rPh>
    <rPh sb="18" eb="20">
      <t>ニンシキ</t>
    </rPh>
    <rPh sb="24" eb="26">
      <t>ジッコウ</t>
    </rPh>
    <phoneticPr fontId="3"/>
  </si>
  <si>
    <t>減損された固定資産の一覧を生成します</t>
    <rPh sb="0" eb="2">
      <t>ゲンソン</t>
    </rPh>
    <rPh sb="5" eb="7">
      <t>コテイ</t>
    </rPh>
    <rPh sb="7" eb="9">
      <t>シサン</t>
    </rPh>
    <rPh sb="10" eb="12">
      <t>イチラン</t>
    </rPh>
    <rPh sb="13" eb="15">
      <t>セイセイ</t>
    </rPh>
    <phoneticPr fontId="3"/>
  </si>
  <si>
    <t>３．減損対象の識別</t>
    <rPh sb="2" eb="4">
      <t>ゲンソン</t>
    </rPh>
    <rPh sb="4" eb="6">
      <t>タイショウ</t>
    </rPh>
    <rPh sb="7" eb="9">
      <t>シキベツ</t>
    </rPh>
    <phoneticPr fontId="3"/>
  </si>
  <si>
    <t>減損対象と識別された固定資産一覧を保存します。</t>
    <rPh sb="0" eb="2">
      <t>ゲンソン</t>
    </rPh>
    <rPh sb="2" eb="4">
      <t>タイショウ</t>
    </rPh>
    <rPh sb="5" eb="7">
      <t>シキベツ</t>
    </rPh>
    <rPh sb="10" eb="12">
      <t>コテイ</t>
    </rPh>
    <rPh sb="12" eb="14">
      <t>シサン</t>
    </rPh>
    <rPh sb="14" eb="16">
      <t>イチラン</t>
    </rPh>
    <rPh sb="17" eb="19">
      <t>ホゾン</t>
    </rPh>
    <phoneticPr fontId="3"/>
  </si>
  <si>
    <t>この時減損テストIDが付与されます</t>
    <rPh sb="2" eb="3">
      <t>トキ</t>
    </rPh>
    <rPh sb="3" eb="5">
      <t>ゲンソン</t>
    </rPh>
    <rPh sb="11" eb="13">
      <t>フヨ</t>
    </rPh>
    <phoneticPr fontId="3"/>
  </si>
  <si>
    <t>４．減損提案の実行</t>
    <rPh sb="2" eb="4">
      <t>ゲンソン</t>
    </rPh>
    <rPh sb="4" eb="6">
      <t>テイアン</t>
    </rPh>
    <rPh sb="7" eb="9">
      <t>ジッコウ</t>
    </rPh>
    <phoneticPr fontId="3"/>
  </si>
  <si>
    <t>減損処理にて承認は不要でしょうか？</t>
    <rPh sb="0" eb="2">
      <t>ゲンソン</t>
    </rPh>
    <rPh sb="2" eb="4">
      <t>ショリ</t>
    </rPh>
    <rPh sb="6" eb="8">
      <t>ショウニン</t>
    </rPh>
    <rPh sb="9" eb="11">
      <t>フヨウ</t>
    </rPh>
    <phoneticPr fontId="3"/>
  </si>
  <si>
    <t>減損提案を実行する。</t>
    <rPh sb="0" eb="2">
      <t>ゲンソン</t>
    </rPh>
    <rPh sb="2" eb="4">
      <t>テイアン</t>
    </rPh>
    <rPh sb="5" eb="7">
      <t>ジッコウ</t>
    </rPh>
    <phoneticPr fontId="3"/>
  </si>
  <si>
    <t>この時減損テストIDを指定し、対象となる固定資産を特定します</t>
    <rPh sb="2" eb="3">
      <t>トキ</t>
    </rPh>
    <rPh sb="3" eb="5">
      <t>ゲンソン</t>
    </rPh>
    <rPh sb="11" eb="13">
      <t>シテイ</t>
    </rPh>
    <rPh sb="15" eb="17">
      <t>タイショウ</t>
    </rPh>
    <rPh sb="20" eb="24">
      <t>コテイシサン</t>
    </rPh>
    <rPh sb="25" eb="27">
      <t>トクテイ</t>
    </rPh>
    <phoneticPr fontId="3"/>
  </si>
  <si>
    <t>（業務推進・財務にて入力・承認のみ？）</t>
    <rPh sb="1" eb="3">
      <t>ギョウム</t>
    </rPh>
    <rPh sb="3" eb="5">
      <t>スイシン</t>
    </rPh>
    <rPh sb="6" eb="8">
      <t>ザイム</t>
    </rPh>
    <rPh sb="10" eb="12">
      <t>ニュウリョク</t>
    </rPh>
    <rPh sb="13" eb="15">
      <t>ショウニン</t>
    </rPh>
    <phoneticPr fontId="3"/>
  </si>
  <si>
    <t>適切な減損金額であることを確認（必要に応じて金額修正）</t>
    <rPh sb="0" eb="2">
      <t>テキセツ</t>
    </rPh>
    <rPh sb="3" eb="5">
      <t>ゲンソン</t>
    </rPh>
    <rPh sb="5" eb="7">
      <t>キンガク</t>
    </rPh>
    <rPh sb="13" eb="15">
      <t>カクニン</t>
    </rPh>
    <rPh sb="16" eb="18">
      <t>ヒツヨウ</t>
    </rPh>
    <rPh sb="19" eb="20">
      <t>オウ</t>
    </rPh>
    <rPh sb="22" eb="24">
      <t>キンガク</t>
    </rPh>
    <rPh sb="24" eb="26">
      <t>シュウセイ</t>
    </rPh>
    <phoneticPr fontId="3"/>
  </si>
  <si>
    <t>5．減損承認申請</t>
    <rPh sb="2" eb="4">
      <t>ゲンソン</t>
    </rPh>
    <rPh sb="4" eb="6">
      <t>ショウニン</t>
    </rPh>
    <rPh sb="6" eb="8">
      <t>シンセイ</t>
    </rPh>
    <phoneticPr fontId="3"/>
  </si>
  <si>
    <t>6．減損の承認/変更依頼</t>
    <rPh sb="2" eb="4">
      <t>ゲンソン</t>
    </rPh>
    <rPh sb="5" eb="7">
      <t>ショウニン</t>
    </rPh>
    <rPh sb="8" eb="10">
      <t>ヘンコウ</t>
    </rPh>
    <rPh sb="10" eb="12">
      <t>イライ</t>
    </rPh>
    <phoneticPr fontId="3"/>
  </si>
  <si>
    <t>変更依頼された固定資産仕訳帳の減損内容を</t>
    <rPh sb="0" eb="4">
      <t>ヘンコウイライ</t>
    </rPh>
    <rPh sb="7" eb="9">
      <t>コテイ</t>
    </rPh>
    <rPh sb="9" eb="11">
      <t>シサン</t>
    </rPh>
    <rPh sb="11" eb="14">
      <t>シワケチョウ</t>
    </rPh>
    <rPh sb="15" eb="17">
      <t>ゲンソン</t>
    </rPh>
    <rPh sb="17" eb="19">
      <t>ナイヨウ</t>
    </rPh>
    <phoneticPr fontId="3"/>
  </si>
  <si>
    <t>修正後、減損承認申請を再度行う。</t>
    <rPh sb="0" eb="3">
      <t>シュウセイゴ</t>
    </rPh>
    <rPh sb="4" eb="6">
      <t>ゲンソン</t>
    </rPh>
    <rPh sb="6" eb="8">
      <t>ショウニン</t>
    </rPh>
    <rPh sb="11" eb="13">
      <t>サイド</t>
    </rPh>
    <rPh sb="13" eb="14">
      <t>オコナ</t>
    </rPh>
    <phoneticPr fontId="3"/>
  </si>
  <si>
    <t>8．自動転記バッチ</t>
    <rPh sb="2" eb="4">
      <t>ジドウ</t>
    </rPh>
    <rPh sb="4" eb="6">
      <t>テンキ</t>
    </rPh>
    <phoneticPr fontId="3"/>
  </si>
  <si>
    <t>減損させる。</t>
    <rPh sb="0" eb="2">
      <t>ゲンソン</t>
    </rPh>
    <phoneticPr fontId="3"/>
  </si>
  <si>
    <t>6．固定資産現物管理（分割処理）</t>
    <rPh sb="2" eb="4">
      <t>コテイ</t>
    </rPh>
    <rPh sb="4" eb="6">
      <t>シサン</t>
    </rPh>
    <rPh sb="6" eb="8">
      <t>ゲンブツ</t>
    </rPh>
    <rPh sb="8" eb="10">
      <t>カンリ</t>
    </rPh>
    <rPh sb="11" eb="13">
      <t>ブンカツ</t>
    </rPh>
    <rPh sb="13" eb="15">
      <t>ショリ</t>
    </rPh>
    <phoneticPr fontId="3"/>
  </si>
  <si>
    <t>・分割処理についてはＱＡにも記載しましたが、</t>
    <rPh sb="1" eb="3">
      <t>ブンカツ</t>
    </rPh>
    <rPh sb="3" eb="5">
      <t>ショリ</t>
    </rPh>
    <rPh sb="14" eb="16">
      <t>キサイ</t>
    </rPh>
    <phoneticPr fontId="3"/>
  </si>
  <si>
    <t>標準機能があるのであれば設定をお願いしたいと思っております。</t>
    <phoneticPr fontId="3"/>
  </si>
  <si>
    <t>別途開発が必要とのことであれば不要です。</t>
    <phoneticPr fontId="3"/>
  </si>
  <si>
    <t>１．固定資産登録</t>
    <rPh sb="2" eb="4">
      <t>コテイ</t>
    </rPh>
    <rPh sb="4" eb="6">
      <t>シサン</t>
    </rPh>
    <rPh sb="6" eb="8">
      <t>トウロク</t>
    </rPh>
    <phoneticPr fontId="3"/>
  </si>
  <si>
    <t>FOでの処理フローを記載しました。</t>
    <rPh sb="4" eb="6">
      <t>ショリ</t>
    </rPh>
    <rPh sb="10" eb="12">
      <t>キサイ</t>
    </rPh>
    <phoneticPr fontId="3"/>
  </si>
  <si>
    <t>分割先となる固定資産を登録する。</t>
    <rPh sb="0" eb="2">
      <t>ブンカツ</t>
    </rPh>
    <rPh sb="2" eb="3">
      <t>サキ</t>
    </rPh>
    <rPh sb="6" eb="10">
      <t>コテイシサン</t>
    </rPh>
    <rPh sb="11" eb="13">
      <t>トウロク</t>
    </rPh>
    <phoneticPr fontId="3"/>
  </si>
  <si>
    <t>分割先の固定資産を登録し、割合で分割させるイメージとなります。</t>
    <rPh sb="0" eb="3">
      <t>ブンカツサキ</t>
    </rPh>
    <rPh sb="4" eb="8">
      <t>コテイシサン</t>
    </rPh>
    <rPh sb="9" eb="11">
      <t>トウロク</t>
    </rPh>
    <rPh sb="13" eb="15">
      <t>ワリアイ</t>
    </rPh>
    <rPh sb="16" eb="18">
      <t>ブンカツ</t>
    </rPh>
    <phoneticPr fontId="3"/>
  </si>
  <si>
    <t>FO分割処理の使用可否において、以下確認させてください。</t>
    <rPh sb="2" eb="4">
      <t>ブンカツ</t>
    </rPh>
    <rPh sb="4" eb="6">
      <t>ショリ</t>
    </rPh>
    <rPh sb="7" eb="9">
      <t>シヨウ</t>
    </rPh>
    <rPh sb="9" eb="11">
      <t>カヒ</t>
    </rPh>
    <rPh sb="16" eb="18">
      <t>イカ</t>
    </rPh>
    <rPh sb="18" eb="20">
      <t>カクニン</t>
    </rPh>
    <phoneticPr fontId="3"/>
  </si>
  <si>
    <t>固定資産の分割とは、どのような場合に発生するか？</t>
    <rPh sb="0" eb="4">
      <t>コテイシサン</t>
    </rPh>
    <rPh sb="5" eb="7">
      <t>ブンカツ</t>
    </rPh>
    <rPh sb="15" eb="17">
      <t>バアイ</t>
    </rPh>
    <rPh sb="18" eb="20">
      <t>ハッセイ</t>
    </rPh>
    <phoneticPr fontId="3"/>
  </si>
  <si>
    <t>①何等かの理由で部課コードを分ける必要が出てきた。</t>
    <rPh sb="1" eb="3">
      <t>ナンラ</t>
    </rPh>
    <rPh sb="5" eb="7">
      <t>リユウ</t>
    </rPh>
    <rPh sb="8" eb="10">
      <t>ブカ</t>
    </rPh>
    <rPh sb="14" eb="15">
      <t>ワ</t>
    </rPh>
    <rPh sb="17" eb="19">
      <t>ヒツヨウ</t>
    </rPh>
    <rPh sb="20" eb="21">
      <t>デ</t>
    </rPh>
    <phoneticPr fontId="3"/>
  </si>
  <si>
    <t>②複数の資産をまとめて１つの資産として登録していたが、分割する必要が出てきた(どれかを除却する必要が出た)</t>
    <rPh sb="1" eb="3">
      <t>フクスウ</t>
    </rPh>
    <rPh sb="4" eb="6">
      <t>シサン</t>
    </rPh>
    <rPh sb="14" eb="16">
      <t>シサン</t>
    </rPh>
    <rPh sb="19" eb="21">
      <t>トウロク</t>
    </rPh>
    <rPh sb="27" eb="29">
      <t>ブンカツ</t>
    </rPh>
    <rPh sb="31" eb="33">
      <t>ヒツヨウ</t>
    </rPh>
    <rPh sb="34" eb="35">
      <t>デ</t>
    </rPh>
    <rPh sb="43" eb="45">
      <t>ジョキャク</t>
    </rPh>
    <rPh sb="47" eb="49">
      <t>ヒツヨウ</t>
    </rPh>
    <rPh sb="50" eb="51">
      <t>デ</t>
    </rPh>
    <phoneticPr fontId="3"/>
  </si>
  <si>
    <t>等が考えられるかと思います。</t>
    <rPh sb="0" eb="1">
      <t>ナド</t>
    </rPh>
    <rPh sb="2" eb="3">
      <t>カンガ</t>
    </rPh>
    <rPh sb="9" eb="10">
      <t>オモ</t>
    </rPh>
    <phoneticPr fontId="3"/>
  </si>
  <si>
    <t>２．分割処理</t>
    <rPh sb="2" eb="4">
      <t>ブンカツ</t>
    </rPh>
    <rPh sb="4" eb="6">
      <t>ショリ</t>
    </rPh>
    <phoneticPr fontId="3"/>
  </si>
  <si>
    <t>発生頻度はどのくらいか？</t>
    <rPh sb="0" eb="2">
      <t>ハッセイ</t>
    </rPh>
    <rPh sb="2" eb="4">
      <t>ヒンド</t>
    </rPh>
    <phoneticPr fontId="3"/>
  </si>
  <si>
    <t>なし(SAPでは機能がなかった？)</t>
    <rPh sb="8" eb="10">
      <t>キノウ</t>
    </rPh>
    <phoneticPr fontId="3"/>
  </si>
  <si>
    <t>事前に登録しておいた固定資産(分割先)に対し</t>
    <rPh sb="0" eb="2">
      <t>ジゼン</t>
    </rPh>
    <rPh sb="3" eb="5">
      <t>トウロク</t>
    </rPh>
    <rPh sb="10" eb="14">
      <t>コテイシサン</t>
    </rPh>
    <rPh sb="15" eb="18">
      <t>ブンカツサキ</t>
    </rPh>
    <rPh sb="20" eb="21">
      <t>タイ</t>
    </rPh>
    <phoneticPr fontId="3"/>
  </si>
  <si>
    <t>分割処理の承認は必要か？</t>
    <rPh sb="0" eb="2">
      <t>ブンカツ</t>
    </rPh>
    <rPh sb="2" eb="4">
      <t>ショリ</t>
    </rPh>
    <rPh sb="5" eb="7">
      <t>ショウニン</t>
    </rPh>
    <rPh sb="8" eb="10">
      <t>ヒツヨウ</t>
    </rPh>
    <phoneticPr fontId="3"/>
  </si>
  <si>
    <t>割合で分割します</t>
    <rPh sb="0" eb="2">
      <t>ワリアイ</t>
    </rPh>
    <rPh sb="3" eb="5">
      <t>ブンカツ</t>
    </rPh>
    <phoneticPr fontId="3"/>
  </si>
  <si>
    <t>（必要であれば承認フローはどうなるか？）</t>
    <rPh sb="1" eb="3">
      <t>ヒツヨウ</t>
    </rPh>
    <rPh sb="7" eb="9">
      <t>ショウニン</t>
    </rPh>
    <phoneticPr fontId="3"/>
  </si>
  <si>
    <t>登録等の承認フローと同様</t>
    <rPh sb="0" eb="2">
      <t>トウロク</t>
    </rPh>
    <rPh sb="2" eb="3">
      <t>ナド</t>
    </rPh>
    <rPh sb="4" eb="6">
      <t>ショウニン</t>
    </rPh>
    <rPh sb="10" eb="12">
      <t>ドウヨウ</t>
    </rPh>
    <phoneticPr fontId="3"/>
  </si>
  <si>
    <t>分割元：</t>
    <rPh sb="0" eb="3">
      <t>ブンカツモト</t>
    </rPh>
    <phoneticPr fontId="3"/>
  </si>
  <si>
    <t>割合に応じて、取得原価調整・減価償却調整が行われる</t>
    <rPh sb="0" eb="2">
      <t>ワリアイ</t>
    </rPh>
    <rPh sb="3" eb="4">
      <t>オウ</t>
    </rPh>
    <rPh sb="7" eb="11">
      <t>シュトクゲンカ</t>
    </rPh>
    <rPh sb="11" eb="13">
      <t>チョウセイ</t>
    </rPh>
    <rPh sb="14" eb="20">
      <t>ゲンカショウキャクチョウセイ</t>
    </rPh>
    <rPh sb="21" eb="22">
      <t>オコナ</t>
    </rPh>
    <phoneticPr fontId="3"/>
  </si>
  <si>
    <t>分割先：</t>
    <rPh sb="0" eb="3">
      <t>ブンカツサキ</t>
    </rPh>
    <phoneticPr fontId="3"/>
  </si>
  <si>
    <t>割合に応じて、取得・減価償却が行われる</t>
    <rPh sb="0" eb="2">
      <t>ワリアイ</t>
    </rPh>
    <rPh sb="3" eb="4">
      <t>オウ</t>
    </rPh>
    <rPh sb="7" eb="9">
      <t>シュトク</t>
    </rPh>
    <rPh sb="10" eb="12">
      <t>ゲンカ</t>
    </rPh>
    <rPh sb="12" eb="14">
      <t>ショウキャク</t>
    </rPh>
    <rPh sb="15" eb="16">
      <t>オコナ</t>
    </rPh>
    <phoneticPr fontId="3"/>
  </si>
  <si>
    <t>分割元の過去減価償却分も分割先に付け代わる形</t>
    <rPh sb="0" eb="3">
      <t>ブンカツモト</t>
    </rPh>
    <rPh sb="4" eb="6">
      <t>カコ</t>
    </rPh>
    <rPh sb="6" eb="11">
      <t>ゲンカショウキャクブン</t>
    </rPh>
    <rPh sb="12" eb="15">
      <t>ブンカツサキ</t>
    </rPh>
    <rPh sb="16" eb="17">
      <t>ツ</t>
    </rPh>
    <rPh sb="18" eb="19">
      <t>カ</t>
    </rPh>
    <rPh sb="21" eb="22">
      <t>カタチ</t>
    </rPh>
    <phoneticPr fontId="3"/>
  </si>
  <si>
    <t>分割により分割元の償却金額が変わるため、償却期間が変動する</t>
    <rPh sb="0" eb="2">
      <t>ブンカツ</t>
    </rPh>
    <rPh sb="5" eb="8">
      <t>ブンカツモト</t>
    </rPh>
    <rPh sb="9" eb="11">
      <t>ショウキャク</t>
    </rPh>
    <rPh sb="11" eb="13">
      <t>キンガク</t>
    </rPh>
    <rPh sb="14" eb="15">
      <t>カ</t>
    </rPh>
    <rPh sb="20" eb="24">
      <t>ショウキャクキカン</t>
    </rPh>
    <rPh sb="25" eb="27">
      <t>ヘンドウ</t>
    </rPh>
    <phoneticPr fontId="3"/>
  </si>
  <si>
    <t>3．分割承認申請</t>
    <rPh sb="2" eb="4">
      <t>ブンカツ</t>
    </rPh>
    <rPh sb="4" eb="6">
      <t>ショウニン</t>
    </rPh>
    <rPh sb="6" eb="8">
      <t>シンセイ</t>
    </rPh>
    <phoneticPr fontId="3"/>
  </si>
  <si>
    <t>・分割処理も他のフローと同様に他部門でも</t>
    <rPh sb="1" eb="3">
      <t>ブンカツ</t>
    </rPh>
    <rPh sb="3" eb="5">
      <t>ショリ</t>
    </rPh>
    <rPh sb="6" eb="7">
      <t>タ</t>
    </rPh>
    <rPh sb="12" eb="14">
      <t>ドウヨウ</t>
    </rPh>
    <rPh sb="15" eb="18">
      <t>タブモン</t>
    </rPh>
    <phoneticPr fontId="3"/>
  </si>
  <si>
    <t>事務管理Gと同様のフローを、各部署レーンへ追加しました。</t>
    <rPh sb="0" eb="4">
      <t>ジムカンリ</t>
    </rPh>
    <rPh sb="6" eb="8">
      <t>ドウヨウ</t>
    </rPh>
    <rPh sb="14" eb="17">
      <t>カクブショ</t>
    </rPh>
    <rPh sb="21" eb="23">
      <t>ツイカ</t>
    </rPh>
    <phoneticPr fontId="3"/>
  </si>
  <si>
    <t>処理する(資産管理部門)ことを想定していますので</t>
    <rPh sb="5" eb="7">
      <t>シサン</t>
    </rPh>
    <rPh sb="7" eb="9">
      <t>カンリ</t>
    </rPh>
    <rPh sb="9" eb="11">
      <t>ブモン</t>
    </rPh>
    <phoneticPr fontId="3"/>
  </si>
  <si>
    <t>フローの修正をお願い致します。</t>
    <rPh sb="4" eb="6">
      <t>シュウセイ</t>
    </rPh>
    <rPh sb="8" eb="9">
      <t>ネガ</t>
    </rPh>
    <rPh sb="10" eb="11">
      <t>イタ</t>
    </rPh>
    <phoneticPr fontId="3"/>
  </si>
  <si>
    <t>4．分割の承認/変更依頼</t>
    <rPh sb="2" eb="4">
      <t>ブンカツ</t>
    </rPh>
    <rPh sb="5" eb="7">
      <t>ショウニン</t>
    </rPh>
    <rPh sb="8" eb="10">
      <t>ヘンコウ</t>
    </rPh>
    <rPh sb="10" eb="12">
      <t>イライ</t>
    </rPh>
    <phoneticPr fontId="3"/>
  </si>
  <si>
    <t>変更依頼された固定資産仕訳帳の分割内容を</t>
    <rPh sb="0" eb="4">
      <t>ヘンコウイライ</t>
    </rPh>
    <rPh sb="7" eb="9">
      <t>コテイ</t>
    </rPh>
    <rPh sb="9" eb="11">
      <t>シサン</t>
    </rPh>
    <rPh sb="11" eb="14">
      <t>シワケチョウ</t>
    </rPh>
    <rPh sb="15" eb="17">
      <t>ブンカツ</t>
    </rPh>
    <rPh sb="17" eb="19">
      <t>ナイヨウ</t>
    </rPh>
    <phoneticPr fontId="3"/>
  </si>
  <si>
    <t>修正後、分割承認申請を再度行う。</t>
    <rPh sb="0" eb="3">
      <t>シュウセイゴ</t>
    </rPh>
    <rPh sb="4" eb="6">
      <t>ブンカツ</t>
    </rPh>
    <rPh sb="11" eb="13">
      <t>サイド</t>
    </rPh>
    <rPh sb="13" eb="14">
      <t>オコナ</t>
    </rPh>
    <phoneticPr fontId="3"/>
  </si>
  <si>
    <t>分割処理自体をやり直す場合は、対象の仕訳帳を削除して再度2.から行う</t>
    <rPh sb="0" eb="2">
      <t>ブンカツ</t>
    </rPh>
    <rPh sb="2" eb="4">
      <t>ショリ</t>
    </rPh>
    <rPh sb="4" eb="6">
      <t>ジタイ</t>
    </rPh>
    <rPh sb="9" eb="10">
      <t>ナオ</t>
    </rPh>
    <rPh sb="11" eb="13">
      <t>バアイ</t>
    </rPh>
    <rPh sb="15" eb="17">
      <t>タイショウ</t>
    </rPh>
    <rPh sb="18" eb="21">
      <t>シワケチョウ</t>
    </rPh>
    <rPh sb="22" eb="24">
      <t>サクジョ</t>
    </rPh>
    <rPh sb="26" eb="28">
      <t>サイド</t>
    </rPh>
    <rPh sb="32" eb="33">
      <t>オコナ</t>
    </rPh>
    <phoneticPr fontId="3"/>
  </si>
  <si>
    <t>分割させる。</t>
    <rPh sb="0" eb="2">
      <t>ブンカツ</t>
    </rPh>
    <phoneticPr fontId="3"/>
  </si>
  <si>
    <t>7．固定資産現物管理（圧縮記帳処理ー直接減額方式）</t>
    <rPh sb="2" eb="4">
      <t>コテイ</t>
    </rPh>
    <rPh sb="4" eb="6">
      <t>シサン</t>
    </rPh>
    <rPh sb="6" eb="8">
      <t>ゲンブツ</t>
    </rPh>
    <rPh sb="8" eb="10">
      <t>カンリ</t>
    </rPh>
    <rPh sb="11" eb="13">
      <t>アッシュク</t>
    </rPh>
    <rPh sb="13" eb="15">
      <t>キチョウ</t>
    </rPh>
    <rPh sb="15" eb="17">
      <t>ショリ</t>
    </rPh>
    <rPh sb="18" eb="20">
      <t>チョクセツ</t>
    </rPh>
    <rPh sb="20" eb="24">
      <t>ゲンガクホウシキ</t>
    </rPh>
    <phoneticPr fontId="3"/>
  </si>
  <si>
    <t>１．圧縮記帳の文書を登録</t>
    <rPh sb="2" eb="4">
      <t>アッシュク</t>
    </rPh>
    <rPh sb="4" eb="6">
      <t>キチョウ</t>
    </rPh>
    <rPh sb="7" eb="9">
      <t>ブンショ</t>
    </rPh>
    <rPh sb="10" eb="12">
      <t>トウロク</t>
    </rPh>
    <phoneticPr fontId="3"/>
  </si>
  <si>
    <t>直接減額方式で文書の登録を行います</t>
    <rPh sb="0" eb="4">
      <t>チョクセツゲンガク</t>
    </rPh>
    <rPh sb="4" eb="6">
      <t>ホウシキ</t>
    </rPh>
    <rPh sb="7" eb="9">
      <t>ブンショ</t>
    </rPh>
    <rPh sb="10" eb="12">
      <t>トウロク</t>
    </rPh>
    <rPh sb="13" eb="14">
      <t>オコナ</t>
    </rPh>
    <phoneticPr fontId="3"/>
  </si>
  <si>
    <t>2．帳簿への文書登録</t>
    <rPh sb="2" eb="4">
      <t>チョウボ</t>
    </rPh>
    <rPh sb="6" eb="10">
      <t>ブンショトウロク</t>
    </rPh>
    <phoneticPr fontId="3"/>
  </si>
  <si>
    <t>登録した文章を対象帳簿に登録します</t>
    <rPh sb="0" eb="2">
      <t>トウロク</t>
    </rPh>
    <rPh sb="4" eb="6">
      <t>ブンショウ</t>
    </rPh>
    <rPh sb="7" eb="11">
      <t>タイショウチョウボ</t>
    </rPh>
    <rPh sb="12" eb="14">
      <t>トウロク</t>
    </rPh>
    <phoneticPr fontId="3"/>
  </si>
  <si>
    <t>3．圧縮記帳提案の実行</t>
    <rPh sb="2" eb="4">
      <t>アッシュク</t>
    </rPh>
    <rPh sb="4" eb="6">
      <t>キチョウ</t>
    </rPh>
    <rPh sb="6" eb="8">
      <t>テイアン</t>
    </rPh>
    <rPh sb="9" eb="11">
      <t>ジッコウ</t>
    </rPh>
    <phoneticPr fontId="3"/>
  </si>
  <si>
    <t>圧縮記帳の提案機能を使用し処理を行います</t>
    <rPh sb="0" eb="4">
      <t>アッシュクキチョウ</t>
    </rPh>
    <rPh sb="5" eb="9">
      <t>テイアンキノウ</t>
    </rPh>
    <rPh sb="10" eb="12">
      <t>シヨウ</t>
    </rPh>
    <rPh sb="13" eb="15">
      <t>ショリ</t>
    </rPh>
    <rPh sb="16" eb="17">
      <t>オコナ</t>
    </rPh>
    <phoneticPr fontId="3"/>
  </si>
  <si>
    <t>※</t>
  </si>
  <si>
    <t>電算処理方式の兼ね合いより、NSL_TAXは処理対象外となる</t>
  </si>
  <si>
    <t>圧縮記帳処理にて承認は不要でしょうか？</t>
    <rPh sb="0" eb="4">
      <t>アッシュクキチョウ</t>
    </rPh>
    <rPh sb="4" eb="6">
      <t>ショリ</t>
    </rPh>
    <rPh sb="8" eb="10">
      <t>ショウニン</t>
    </rPh>
    <rPh sb="11" eb="13">
      <t>フヨウ</t>
    </rPh>
    <phoneticPr fontId="3"/>
  </si>
  <si>
    <t>帳簿タブより削除を行う</t>
  </si>
  <si>
    <t>⇒</t>
  </si>
  <si>
    <t>4．圧縮記帳承認申請</t>
    <rPh sb="2" eb="6">
      <t>アッシュクキチョウ</t>
    </rPh>
    <rPh sb="6" eb="8">
      <t>ショウニン</t>
    </rPh>
    <rPh sb="8" eb="10">
      <t>シンセイ</t>
    </rPh>
    <phoneticPr fontId="3"/>
  </si>
  <si>
    <t>5．圧縮記帳の承認/変更依頼</t>
    <rPh sb="2" eb="4">
      <t>アッシュク</t>
    </rPh>
    <rPh sb="4" eb="6">
      <t>キチョウ</t>
    </rPh>
    <rPh sb="7" eb="9">
      <t>ショウニン</t>
    </rPh>
    <rPh sb="10" eb="12">
      <t>ヘンコウ</t>
    </rPh>
    <rPh sb="12" eb="14">
      <t>イライ</t>
    </rPh>
    <phoneticPr fontId="3"/>
  </si>
  <si>
    <t>6．不備修正</t>
    <rPh sb="2" eb="4">
      <t>フビ</t>
    </rPh>
    <rPh sb="4" eb="6">
      <t>シュウセイ</t>
    </rPh>
    <phoneticPr fontId="3"/>
  </si>
  <si>
    <t>7．自動転記バッチ</t>
    <rPh sb="2" eb="4">
      <t>ジドウ</t>
    </rPh>
    <rPh sb="4" eb="6">
      <t>テンキ</t>
    </rPh>
    <phoneticPr fontId="3"/>
  </si>
  <si>
    <t>3.で作成されたトランザクションを使用し転記、固定資産を</t>
    <rPh sb="3" eb="5">
      <t>サクセイ</t>
    </rPh>
    <rPh sb="17" eb="19">
      <t>シヨウ</t>
    </rPh>
    <rPh sb="20" eb="22">
      <t>テンキ</t>
    </rPh>
    <rPh sb="23" eb="27">
      <t>コテイシサン</t>
    </rPh>
    <phoneticPr fontId="3"/>
  </si>
  <si>
    <t>圧縮記帳させる。</t>
    <rPh sb="0" eb="4">
      <t>アッシュクキチョウ</t>
    </rPh>
    <phoneticPr fontId="3"/>
  </si>
  <si>
    <t>８．固定資産台帳（随時）</t>
    <rPh sb="2" eb="8">
      <t>コテイシサンダイチョウ</t>
    </rPh>
    <rPh sb="9" eb="11">
      <t>ズイジ</t>
    </rPh>
    <phoneticPr fontId="3"/>
  </si>
  <si>
    <t>・こちらの固定資産台帳は他部門の者(ライセンス保持者)でも</t>
    <rPh sb="5" eb="9">
      <t>コテイシサン</t>
    </rPh>
    <rPh sb="9" eb="11">
      <t>ダイチョウ</t>
    </rPh>
    <rPh sb="12" eb="15">
      <t>タブモン</t>
    </rPh>
    <rPh sb="16" eb="17">
      <t>モノ</t>
    </rPh>
    <rPh sb="23" eb="26">
      <t>ホジシャ</t>
    </rPh>
    <phoneticPr fontId="3"/>
  </si>
  <si>
    <t>権限を付与すれば、使用可能となります。</t>
    <rPh sb="0" eb="2">
      <t>ケンゲン</t>
    </rPh>
    <rPh sb="3" eb="5">
      <t>フヨ</t>
    </rPh>
    <rPh sb="9" eb="11">
      <t>シヨウ</t>
    </rPh>
    <rPh sb="11" eb="13">
      <t>カノウ</t>
    </rPh>
    <phoneticPr fontId="3"/>
  </si>
  <si>
    <t>出力可能でしょうか。</t>
    <rPh sb="0" eb="2">
      <t>シュツリョク</t>
    </rPh>
    <rPh sb="2" eb="4">
      <t>カノウ</t>
    </rPh>
    <phoneticPr fontId="3"/>
  </si>
  <si>
    <t>現状、各部署と事務管理Gで権限設定を分ける想定でおり、</t>
    <rPh sb="0" eb="2">
      <t>ゲンジョウ</t>
    </rPh>
    <rPh sb="3" eb="6">
      <t>カクブショ</t>
    </rPh>
    <rPh sb="7" eb="11">
      <t>ジムカンリ</t>
    </rPh>
    <rPh sb="13" eb="15">
      <t>ケンゲン</t>
    </rPh>
    <rPh sb="15" eb="17">
      <t>セッテイ</t>
    </rPh>
    <rPh sb="18" eb="19">
      <t>ワ</t>
    </rPh>
    <rPh sb="21" eb="23">
      <t>ソウテイ</t>
    </rPh>
    <phoneticPr fontId="3"/>
  </si>
  <si>
    <t>１．固定資産台帳</t>
    <rPh sb="2" eb="4">
      <t>コテイ</t>
    </rPh>
    <rPh sb="4" eb="6">
      <t>シサン</t>
    </rPh>
    <rPh sb="6" eb="8">
      <t>ダイチョウ</t>
    </rPh>
    <phoneticPr fontId="3"/>
  </si>
  <si>
    <t>各部署には、固定資産台帳の使用権限は付与しておりません。</t>
    <rPh sb="0" eb="3">
      <t>カクブショ</t>
    </rPh>
    <rPh sb="6" eb="10">
      <t>コテイシサン</t>
    </rPh>
    <rPh sb="10" eb="12">
      <t>ダイチョウ</t>
    </rPh>
    <rPh sb="13" eb="15">
      <t>シヨウ</t>
    </rPh>
    <rPh sb="15" eb="17">
      <t>ケンゲン</t>
    </rPh>
    <rPh sb="18" eb="20">
      <t>フヨ</t>
    </rPh>
    <phoneticPr fontId="3"/>
  </si>
  <si>
    <t>取得対象の会計年度を指定し実行する</t>
    <rPh sb="0" eb="4">
      <t>シュトクタイショウ</t>
    </rPh>
    <rPh sb="5" eb="9">
      <t>カイケイネンド</t>
    </rPh>
    <rPh sb="10" eb="12">
      <t>シテイ</t>
    </rPh>
    <rPh sb="13" eb="15">
      <t>ジッコウ</t>
    </rPh>
    <phoneticPr fontId="3"/>
  </si>
  <si>
    <t>もし使用する場合、フロー修正とあわせて権限設定の変更を行います。</t>
    <rPh sb="2" eb="4">
      <t>シヨウ</t>
    </rPh>
    <rPh sb="6" eb="8">
      <t>バアイ</t>
    </rPh>
    <rPh sb="12" eb="14">
      <t>シュウセイ</t>
    </rPh>
    <rPh sb="19" eb="21">
      <t>ケンゲン</t>
    </rPh>
    <rPh sb="21" eb="23">
      <t>セッテイ</t>
    </rPh>
    <rPh sb="24" eb="26">
      <t>ヘンコウ</t>
    </rPh>
    <rPh sb="27" eb="28">
      <t>オコナ</t>
    </rPh>
    <phoneticPr fontId="3"/>
  </si>
  <si>
    <t>出力レポート：固定資産台帳</t>
    <rPh sb="0" eb="2">
      <t>シュツリョク</t>
    </rPh>
    <rPh sb="7" eb="13">
      <t>コテイシサンダイチョウ</t>
    </rPh>
    <phoneticPr fontId="3"/>
  </si>
  <si>
    <t>→お願い致します。(登録等の業務を実施する部署は使用権限を付与して頂きたいです。)</t>
    <rPh sb="2" eb="3">
      <t>ネガ</t>
    </rPh>
    <rPh sb="4" eb="5">
      <t>イタ</t>
    </rPh>
    <rPh sb="10" eb="12">
      <t>トウロク</t>
    </rPh>
    <rPh sb="12" eb="13">
      <t>ナド</t>
    </rPh>
    <rPh sb="14" eb="16">
      <t>ギョウム</t>
    </rPh>
    <rPh sb="17" eb="19">
      <t>ジッシ</t>
    </rPh>
    <rPh sb="21" eb="23">
      <t>ブショ</t>
    </rPh>
    <rPh sb="24" eb="26">
      <t>シヨウ</t>
    </rPh>
    <rPh sb="26" eb="28">
      <t>ケンゲン</t>
    </rPh>
    <rPh sb="29" eb="31">
      <t>フヨ</t>
    </rPh>
    <rPh sb="33" eb="34">
      <t>イタダ</t>
    </rPh>
    <phoneticPr fontId="3"/>
  </si>
  <si>
    <t>9．償却シミュレーション一覧（適宜）</t>
    <rPh sb="2" eb="4">
      <t>ショウキャク</t>
    </rPh>
    <rPh sb="12" eb="14">
      <t>イチラン</t>
    </rPh>
    <rPh sb="15" eb="17">
      <t>テキギ</t>
    </rPh>
    <phoneticPr fontId="3"/>
  </si>
  <si>
    <t>１．償却シミュレーション一覧</t>
    <rPh sb="2" eb="4">
      <t>ショウキャク</t>
    </rPh>
    <rPh sb="12" eb="14">
      <t>イチラン</t>
    </rPh>
    <phoneticPr fontId="3"/>
  </si>
  <si>
    <t>翌年の予算検討資料として翌会計年度を指定して</t>
    <rPh sb="0" eb="2">
      <t>ヨクネン</t>
    </rPh>
    <rPh sb="3" eb="7">
      <t>ヨサンケントウ</t>
    </rPh>
    <rPh sb="7" eb="9">
      <t>シリョウ</t>
    </rPh>
    <rPh sb="12" eb="13">
      <t>ヨク</t>
    </rPh>
    <rPh sb="13" eb="17">
      <t>カイケイネンド</t>
    </rPh>
    <rPh sb="18" eb="20">
      <t>シテイ</t>
    </rPh>
    <phoneticPr fontId="3"/>
  </si>
  <si>
    <t>償却シミュレーションリストの出力を実行する</t>
    <rPh sb="0" eb="2">
      <t>ショウキャク</t>
    </rPh>
    <rPh sb="14" eb="16">
      <t>シュツリョク</t>
    </rPh>
    <rPh sb="17" eb="19">
      <t>ジッコウ</t>
    </rPh>
    <phoneticPr fontId="3"/>
  </si>
  <si>
    <t>出力レポート：償却シミュレーション一覧</t>
    <rPh sb="0" eb="2">
      <t>シュツリョク</t>
    </rPh>
    <phoneticPr fontId="3"/>
  </si>
  <si>
    <t>10．月次レポート（増減台帳作成）</t>
    <rPh sb="3" eb="5">
      <t>ゲツジ</t>
    </rPh>
    <rPh sb="10" eb="14">
      <t>ゾウゲンダイチョウ</t>
    </rPh>
    <rPh sb="14" eb="16">
      <t>サクセイ</t>
    </rPh>
    <phoneticPr fontId="3"/>
  </si>
  <si>
    <t>１．固定資産の取得</t>
    <rPh sb="2" eb="4">
      <t>コテイ</t>
    </rPh>
    <rPh sb="4" eb="6">
      <t>シサン</t>
    </rPh>
    <rPh sb="7" eb="9">
      <t>シュトク</t>
    </rPh>
    <phoneticPr fontId="3"/>
  </si>
  <si>
    <t>D365レポート：固定資産の取得レポート</t>
    <rPh sb="9" eb="11">
      <t>コテイ</t>
    </rPh>
    <rPh sb="11" eb="13">
      <t>シサン</t>
    </rPh>
    <rPh sb="14" eb="16">
      <t>シュトク</t>
    </rPh>
    <phoneticPr fontId="3"/>
  </si>
  <si>
    <t>レポート一覧：資産取得(Rep156)</t>
    <rPh sb="4" eb="6">
      <t>イチラン</t>
    </rPh>
    <rPh sb="7" eb="9">
      <t>シサン</t>
    </rPh>
    <rPh sb="9" eb="11">
      <t>シュトク</t>
    </rPh>
    <phoneticPr fontId="3"/>
  </si>
  <si>
    <t>２．固定資産の移動</t>
    <rPh sb="2" eb="4">
      <t>コテイ</t>
    </rPh>
    <rPh sb="4" eb="6">
      <t>シサン</t>
    </rPh>
    <rPh sb="7" eb="9">
      <t>イドウ</t>
    </rPh>
    <phoneticPr fontId="3"/>
  </si>
  <si>
    <t>D365レポート：固定資産の移動レポート</t>
    <rPh sb="9" eb="11">
      <t>コテイ</t>
    </rPh>
    <rPh sb="11" eb="13">
      <t>シサン</t>
    </rPh>
    <rPh sb="14" eb="16">
      <t>イドウ</t>
    </rPh>
    <phoneticPr fontId="3"/>
  </si>
  <si>
    <t>レポート一覧：</t>
    <rPh sb="4" eb="6">
      <t>イチラン</t>
    </rPh>
    <phoneticPr fontId="3"/>
  </si>
  <si>
    <t>３．固定資産の処分</t>
    <rPh sb="2" eb="4">
      <t>コテイ</t>
    </rPh>
    <rPh sb="4" eb="6">
      <t>シサン</t>
    </rPh>
    <rPh sb="7" eb="9">
      <t>ショブン</t>
    </rPh>
    <phoneticPr fontId="3"/>
  </si>
  <si>
    <t>D365レポート：固定資産の処分レポート</t>
    <rPh sb="9" eb="11">
      <t>コテイ</t>
    </rPh>
    <rPh sb="11" eb="13">
      <t>シサン</t>
    </rPh>
    <rPh sb="14" eb="16">
      <t>ショブン</t>
    </rPh>
    <phoneticPr fontId="3"/>
  </si>
  <si>
    <t>レポート一覧：除却(Rep157)</t>
    <rPh sb="4" eb="6">
      <t>イチラン</t>
    </rPh>
    <rPh sb="7" eb="9">
      <t>ジョキャク</t>
    </rPh>
    <phoneticPr fontId="3"/>
  </si>
  <si>
    <t>４．固定資産トランザクション</t>
    <rPh sb="2" eb="6">
      <t>コテイシサン</t>
    </rPh>
    <phoneticPr fontId="3"/>
  </si>
  <si>
    <t>D365レポート：固定資産トランザクションレポート</t>
    <rPh sb="9" eb="11">
      <t>コテイ</t>
    </rPh>
    <rPh sb="11" eb="13">
      <t>シサン</t>
    </rPh>
    <phoneticPr fontId="3"/>
  </si>
  <si>
    <t>・建仮、ソフト仮明細関連</t>
    <rPh sb="10" eb="12">
      <t>カンレン</t>
    </rPh>
    <phoneticPr fontId="3"/>
  </si>
  <si>
    <t>５・６．固定資産トランザクション</t>
    <rPh sb="4" eb="8">
      <t>コテイシサン</t>
    </rPh>
    <phoneticPr fontId="3"/>
  </si>
  <si>
    <t>D365レポート：試算表、伝票トランザクション</t>
    <rPh sb="9" eb="12">
      <t>シサンヒョウ</t>
    </rPh>
    <rPh sb="13" eb="15">
      <t>デンピョウ</t>
    </rPh>
    <phoneticPr fontId="3"/>
  </si>
  <si>
    <t>11．年次レポート（償却資産申告書作成）</t>
    <rPh sb="3" eb="5">
      <t>ネンジ</t>
    </rPh>
    <phoneticPr fontId="3"/>
  </si>
  <si>
    <t>１．償却資産申告書（償却資産課税台帳）</t>
    <rPh sb="2" eb="4">
      <t>ショウキャク</t>
    </rPh>
    <rPh sb="4" eb="6">
      <t>シサン</t>
    </rPh>
    <rPh sb="6" eb="9">
      <t>シンコクショ</t>
    </rPh>
    <rPh sb="10" eb="12">
      <t>ショウキャク</t>
    </rPh>
    <rPh sb="12" eb="14">
      <t>シサン</t>
    </rPh>
    <rPh sb="14" eb="16">
      <t>カゼイ</t>
    </rPh>
    <rPh sb="16" eb="18">
      <t>ダイチョウ</t>
    </rPh>
    <phoneticPr fontId="3"/>
  </si>
  <si>
    <t>償却資産申告書（償却資産課税台帳）を発行する</t>
    <rPh sb="18" eb="20">
      <t>ハッコウ</t>
    </rPh>
    <phoneticPr fontId="3"/>
  </si>
  <si>
    <t>・償却資産申告書が月次レポートになっていますが、</t>
    <rPh sb="1" eb="3">
      <t>ショウキャク</t>
    </rPh>
    <rPh sb="3" eb="5">
      <t>シサン</t>
    </rPh>
    <rPh sb="5" eb="8">
      <t>シンコクショ</t>
    </rPh>
    <rPh sb="9" eb="11">
      <t>ゲツジ</t>
    </rPh>
    <phoneticPr fontId="3"/>
  </si>
  <si>
    <t>※パラメータを指定することにより全申告書の一括発行が可能</t>
    <rPh sb="7" eb="9">
      <t>シテイ</t>
    </rPh>
    <rPh sb="16" eb="20">
      <t>ゼンシンコクショ</t>
    </rPh>
    <rPh sb="21" eb="23">
      <t>イッカツ</t>
    </rPh>
    <rPh sb="23" eb="25">
      <t>ハッコウ</t>
    </rPh>
    <rPh sb="26" eb="28">
      <t>カノウ</t>
    </rPh>
    <phoneticPr fontId="3"/>
  </si>
  <si>
    <t>申告書は年１回の出力(基準日は翌年の1月1日時点で</t>
    <rPh sb="11" eb="14">
      <t>キジュンビ</t>
    </rPh>
    <rPh sb="15" eb="16">
      <t>ヨク</t>
    </rPh>
    <rPh sb="16" eb="17">
      <t>ネン</t>
    </rPh>
    <rPh sb="19" eb="20">
      <t>ガツ</t>
    </rPh>
    <rPh sb="21" eb="22">
      <t>ニチ</t>
    </rPh>
    <rPh sb="22" eb="24">
      <t>ジテン</t>
    </rPh>
    <phoneticPr fontId="3"/>
  </si>
  <si>
    <r>
      <t>年次での出力となるため、「11．</t>
    </r>
    <r>
      <rPr>
        <b/>
        <sz val="10"/>
        <color rgb="FF0070C0"/>
        <rFont val="Meiryo UI"/>
        <family val="3"/>
        <charset val="128"/>
      </rPr>
      <t>年次</t>
    </r>
    <r>
      <rPr>
        <sz val="10"/>
        <color rgb="FF0070C0"/>
        <rFont val="Meiryo UI"/>
        <family val="3"/>
        <charset val="128"/>
      </rPr>
      <t>レポート（…」</t>
    </r>
    <rPh sb="0" eb="2">
      <t>ネンジ</t>
    </rPh>
    <rPh sb="4" eb="6">
      <t>シュツリョク</t>
    </rPh>
    <phoneticPr fontId="3"/>
  </si>
  <si>
    <t>所有している資産について申告)になります。</t>
    <rPh sb="0" eb="2">
      <t>ショユウ</t>
    </rPh>
    <rPh sb="12" eb="14">
      <t>シンコク</t>
    </rPh>
    <phoneticPr fontId="3"/>
  </si>
  <si>
    <t>と修正しました。</t>
    <rPh sb="1" eb="3">
      <t>シュウセイ</t>
    </rPh>
    <phoneticPr fontId="3"/>
  </si>
  <si>
    <t>・「別表の印刷」⇒はいの場合</t>
    <rPh sb="2" eb="4">
      <t>ベツヒョウ</t>
    </rPh>
    <rPh sb="5" eb="7">
      <t>インサツ</t>
    </rPh>
    <rPh sb="12" eb="14">
      <t>バアイ</t>
    </rPh>
    <phoneticPr fontId="3"/>
  </si>
  <si>
    <t>こちらは月次で出力されるということでしょうか？</t>
    <rPh sb="4" eb="6">
      <t>ゲツジ</t>
    </rPh>
    <rPh sb="7" eb="9">
      <t>シュツリョク</t>
    </rPh>
    <phoneticPr fontId="3"/>
  </si>
  <si>
    <t>出力レポート：償却資産申告書（償却資産課税台帳）</t>
    <rPh sb="0" eb="2">
      <t>シュツリョク</t>
    </rPh>
    <rPh sb="7" eb="9">
      <t>ショウキャク</t>
    </rPh>
    <rPh sb="9" eb="11">
      <t>シサン</t>
    </rPh>
    <rPh sb="11" eb="14">
      <t>シンコクショ</t>
    </rPh>
    <rPh sb="15" eb="17">
      <t>ショウキャク</t>
    </rPh>
    <rPh sb="17" eb="19">
      <t>シサン</t>
    </rPh>
    <rPh sb="19" eb="21">
      <t>カゼイ</t>
    </rPh>
    <rPh sb="21" eb="23">
      <t>ダイチョウ</t>
    </rPh>
    <phoneticPr fontId="3"/>
  </si>
  <si>
    <t>出力レポート：種類別明細書（増加資産・全資産用）</t>
    <rPh sb="0" eb="2">
      <t>シュツリョク</t>
    </rPh>
    <rPh sb="7" eb="9">
      <t>シュルイ</t>
    </rPh>
    <rPh sb="9" eb="10">
      <t>ベツ</t>
    </rPh>
    <rPh sb="10" eb="13">
      <t>メイサイショ</t>
    </rPh>
    <rPh sb="14" eb="16">
      <t>ゾウカ</t>
    </rPh>
    <rPh sb="16" eb="18">
      <t>シサン</t>
    </rPh>
    <rPh sb="19" eb="20">
      <t>ゼン</t>
    </rPh>
    <rPh sb="20" eb="22">
      <t>シサン</t>
    </rPh>
    <rPh sb="22" eb="23">
      <t>ヨウ</t>
    </rPh>
    <phoneticPr fontId="3"/>
  </si>
  <si>
    <t>出力レポート：種類別明細書（減少資産用）</t>
    <rPh sb="0" eb="2">
      <t>シュツリョク</t>
    </rPh>
    <rPh sb="7" eb="9">
      <t>シュルイ</t>
    </rPh>
    <rPh sb="9" eb="10">
      <t>ベツ</t>
    </rPh>
    <rPh sb="10" eb="13">
      <t>メイサイショ</t>
    </rPh>
    <rPh sb="14" eb="16">
      <t>ゲンショウ</t>
    </rPh>
    <rPh sb="16" eb="18">
      <t>シサン</t>
    </rPh>
    <rPh sb="18" eb="19">
      <t>ヨウ</t>
    </rPh>
    <phoneticPr fontId="3"/>
  </si>
  <si>
    <t>・「別表の印刷」⇒いいえの場合</t>
    <rPh sb="2" eb="4">
      <t>ベツヒョウ</t>
    </rPh>
    <rPh sb="5" eb="7">
      <t>インサツ</t>
    </rPh>
    <rPh sb="13" eb="15">
      <t>バアイ</t>
    </rPh>
    <phoneticPr fontId="3"/>
  </si>
  <si>
    <t>２．種類別明細書（増加資産・全資産用）</t>
    <rPh sb="2" eb="4">
      <t>シュルイ</t>
    </rPh>
    <rPh sb="4" eb="5">
      <t>ベツ</t>
    </rPh>
    <rPh sb="5" eb="8">
      <t>メイサイショ</t>
    </rPh>
    <rPh sb="9" eb="11">
      <t>ゾウカ</t>
    </rPh>
    <rPh sb="11" eb="13">
      <t>シサン</t>
    </rPh>
    <rPh sb="14" eb="15">
      <t>ゼン</t>
    </rPh>
    <rPh sb="15" eb="17">
      <t>シサン</t>
    </rPh>
    <rPh sb="17" eb="18">
      <t>ヨウ</t>
    </rPh>
    <phoneticPr fontId="3"/>
  </si>
  <si>
    <t>種類別明細書（増加資産・全資産用）を発行する</t>
    <rPh sb="18" eb="20">
      <t>ハッコウ</t>
    </rPh>
    <phoneticPr fontId="3"/>
  </si>
  <si>
    <t>３．種類別明細書（減少資産用）</t>
    <rPh sb="2" eb="4">
      <t>シュルイ</t>
    </rPh>
    <rPh sb="4" eb="5">
      <t>ベツ</t>
    </rPh>
    <rPh sb="5" eb="8">
      <t>メイサイショ</t>
    </rPh>
    <rPh sb="9" eb="11">
      <t>ゲンショウ</t>
    </rPh>
    <rPh sb="11" eb="13">
      <t>シサン</t>
    </rPh>
    <rPh sb="13" eb="14">
      <t>ヨウ</t>
    </rPh>
    <phoneticPr fontId="3"/>
  </si>
  <si>
    <t>種類別明細書（減少資産用）を発行する</t>
    <rPh sb="14" eb="16">
      <t>ハッコウ</t>
    </rPh>
    <phoneticPr fontId="3"/>
  </si>
  <si>
    <t>申告26－減価償却資産　⇒　償却資産申告書（償却資産課税台帳）</t>
    <rPh sb="0" eb="2">
      <t>シンコク</t>
    </rPh>
    <rPh sb="5" eb="7">
      <t>ゲンカ</t>
    </rPh>
    <rPh sb="7" eb="9">
      <t>ショウキャク</t>
    </rPh>
    <rPh sb="9" eb="11">
      <t>シサン</t>
    </rPh>
    <rPh sb="14" eb="16">
      <t>ショウキャク</t>
    </rPh>
    <rPh sb="16" eb="18">
      <t>シサン</t>
    </rPh>
    <rPh sb="18" eb="21">
      <t>シンコクショ</t>
    </rPh>
    <rPh sb="22" eb="24">
      <t>ショウキャク</t>
    </rPh>
    <rPh sb="24" eb="26">
      <t>シサン</t>
    </rPh>
    <rPh sb="26" eb="28">
      <t>カゼイ</t>
    </rPh>
    <rPh sb="28" eb="30">
      <t>ダイチョウ</t>
    </rPh>
    <phoneticPr fontId="3"/>
  </si>
  <si>
    <t>申告26－減価償却資産・別表一　⇒　種類別明細書（増加資産・全資産用）</t>
    <rPh sb="0" eb="2">
      <t>シンコク</t>
    </rPh>
    <rPh sb="5" eb="7">
      <t>ゲンカ</t>
    </rPh>
    <rPh sb="7" eb="9">
      <t>ショウキャク</t>
    </rPh>
    <rPh sb="9" eb="11">
      <t>シサン</t>
    </rPh>
    <rPh sb="12" eb="14">
      <t>ベッピョウ</t>
    </rPh>
    <rPh sb="14" eb="15">
      <t>イチ</t>
    </rPh>
    <rPh sb="18" eb="20">
      <t>シュルイ</t>
    </rPh>
    <rPh sb="20" eb="21">
      <t>ベツ</t>
    </rPh>
    <rPh sb="21" eb="24">
      <t>メイサイショ</t>
    </rPh>
    <rPh sb="25" eb="27">
      <t>ゾウカ</t>
    </rPh>
    <rPh sb="27" eb="29">
      <t>シサン</t>
    </rPh>
    <rPh sb="30" eb="31">
      <t>ゼン</t>
    </rPh>
    <rPh sb="31" eb="33">
      <t>シサン</t>
    </rPh>
    <rPh sb="33" eb="34">
      <t>ヨウ</t>
    </rPh>
    <phoneticPr fontId="3"/>
  </si>
  <si>
    <t>申告26－減価償却資産・別表二　⇒　出力レポート：種類別明細書（減少資産用）</t>
    <rPh sb="18" eb="20">
      <t>シュツリョク</t>
    </rPh>
    <rPh sb="25" eb="27">
      <t>シュルイ</t>
    </rPh>
    <rPh sb="27" eb="28">
      <t>ベツ</t>
    </rPh>
    <rPh sb="28" eb="31">
      <t>メイサイショ</t>
    </rPh>
    <rPh sb="32" eb="34">
      <t>ゲンショウ</t>
    </rPh>
    <rPh sb="34" eb="36">
      <t>シサン</t>
    </rPh>
    <rPh sb="36" eb="37">
      <t>ヨウ</t>
    </rPh>
    <phoneticPr fontId="3"/>
  </si>
  <si>
    <t>4．固定資産移動一覧</t>
    <rPh sb="2" eb="4">
      <t>コテイ</t>
    </rPh>
    <rPh sb="4" eb="6">
      <t>シサン</t>
    </rPh>
    <rPh sb="6" eb="8">
      <t>イドウ</t>
    </rPh>
    <rPh sb="8" eb="10">
      <t>イチラン</t>
    </rPh>
    <phoneticPr fontId="3"/>
  </si>
  <si>
    <t>財務分析コード転送履歴、場所移動履歴を確認する。</t>
    <rPh sb="0" eb="4">
      <t>ザイムブンセキ</t>
    </rPh>
    <rPh sb="7" eb="11">
      <t>テンソウリレキ</t>
    </rPh>
    <rPh sb="12" eb="14">
      <t>バショ</t>
    </rPh>
    <rPh sb="14" eb="18">
      <t>イドウリレキ</t>
    </rPh>
    <rPh sb="19" eb="21">
      <t>カクニン</t>
    </rPh>
    <phoneticPr fontId="3"/>
  </si>
  <si>
    <t>財務分析コード転送履歴は、保管場所（StorageSite）のみ確認可能</t>
    <rPh sb="0" eb="4">
      <t>ザイムブンセキ</t>
    </rPh>
    <rPh sb="7" eb="11">
      <t>テンソウリレキ</t>
    </rPh>
    <rPh sb="13" eb="17">
      <t>ホカンバショ</t>
    </rPh>
    <rPh sb="32" eb="34">
      <t>カクニン</t>
    </rPh>
    <rPh sb="34" eb="36">
      <t>カノウ</t>
    </rPh>
    <phoneticPr fontId="3"/>
  </si>
  <si>
    <t>12．年次レポート</t>
    <rPh sb="3" eb="5">
      <t>ネンジ</t>
    </rPh>
    <phoneticPr fontId="3"/>
  </si>
  <si>
    <t>１．償却資産税情報出力</t>
    <rPh sb="2" eb="4">
      <t>ショウキャク</t>
    </rPh>
    <rPh sb="4" eb="7">
      <t>シサンゼイ</t>
    </rPh>
    <rPh sb="7" eb="9">
      <t>ジョウホウ</t>
    </rPh>
    <rPh sb="9" eb="11">
      <t>シュツリョク</t>
    </rPh>
    <phoneticPr fontId="3"/>
  </si>
  <si>
    <t>eLTAXで取り込み設定を行うEXCEL(CSV)ファイル</t>
    <rPh sb="6" eb="7">
      <t>ト</t>
    </rPh>
    <rPh sb="8" eb="9">
      <t>コ</t>
    </rPh>
    <rPh sb="10" eb="12">
      <t>セッテイ</t>
    </rPh>
    <rPh sb="13" eb="14">
      <t>オコナ</t>
    </rPh>
    <phoneticPr fontId="3"/>
  </si>
  <si>
    <t>の出力を行う</t>
    <rPh sb="1" eb="3">
      <t>シュツリョク</t>
    </rPh>
    <rPh sb="4" eb="5">
      <t>オコナ</t>
    </rPh>
    <phoneticPr fontId="3"/>
  </si>
  <si>
    <t>２．eLTAX</t>
    <phoneticPr fontId="3"/>
  </si>
  <si>
    <t>地方税ポータルサイトにて出力された償却資産種類明細を登録し</t>
    <rPh sb="0" eb="3">
      <t>チホウゼイ</t>
    </rPh>
    <rPh sb="12" eb="14">
      <t>シュツリョク</t>
    </rPh>
    <rPh sb="26" eb="28">
      <t>トウロク</t>
    </rPh>
    <phoneticPr fontId="3"/>
  </si>
  <si>
    <t>固定資産税の電子申告を行う</t>
    <rPh sb="0" eb="5">
      <t>コテイシサンゼイ</t>
    </rPh>
    <rPh sb="6" eb="10">
      <t>デンシシンコク</t>
    </rPh>
    <rPh sb="11" eb="12">
      <t>オコナ</t>
    </rPh>
    <phoneticPr fontId="3"/>
  </si>
  <si>
    <t>https://www.eltax.lta.go.jp/support/shiyosho/</t>
    <phoneticPr fontId="3"/>
  </si>
  <si>
    <t>13．固定資産の休止</t>
    <rPh sb="3" eb="5">
      <t>コテイ</t>
    </rPh>
    <rPh sb="5" eb="7">
      <t>シサン</t>
    </rPh>
    <rPh sb="8" eb="10">
      <t>キュウシ</t>
    </rPh>
    <phoneticPr fontId="3"/>
  </si>
  <si>
    <t>１．資産活動コードの修正</t>
    <rPh sb="2" eb="4">
      <t>シサン</t>
    </rPh>
    <rPh sb="4" eb="6">
      <t>カツドウ</t>
    </rPh>
    <rPh sb="10" eb="12">
      <t>シュウセイ</t>
    </rPh>
    <phoneticPr fontId="3"/>
  </si>
  <si>
    <t>固定資産マスタの資産活動コードを修正する。</t>
    <rPh sb="0" eb="4">
      <t>コテイシサン</t>
    </rPh>
    <rPh sb="8" eb="10">
      <t>シサン</t>
    </rPh>
    <rPh sb="10" eb="12">
      <t>カツドウ</t>
    </rPh>
    <rPh sb="16" eb="18">
      <t>シュウセイ</t>
    </rPh>
    <phoneticPr fontId="3"/>
  </si>
  <si>
    <t>＜資産活動コード＞</t>
    <phoneticPr fontId="3"/>
  </si>
  <si>
    <t>①001 通常ー活用</t>
    <phoneticPr fontId="3"/>
  </si>
  <si>
    <t>運用中の通常資産に設定。</t>
    <phoneticPr fontId="3"/>
  </si>
  <si>
    <t>減価償却処理：対象、eLTAX申告：対象</t>
    <phoneticPr fontId="3"/>
  </si>
  <si>
    <t>②002 通常ー休止</t>
    <rPh sb="8" eb="10">
      <t>キュウシ</t>
    </rPh>
    <phoneticPr fontId="3"/>
  </si>
  <si>
    <t>事業目的で取得したが、現在は使用されていない資産（将来的な使用可能性あり）に設定。</t>
    <phoneticPr fontId="3"/>
  </si>
  <si>
    <t>減価償却処理：対象、eLTAX申告：対象（遊休資産であってもいつでも使用できる状態であれば申告対象）</t>
    <phoneticPr fontId="3"/>
  </si>
  <si>
    <t>③003 通常ー遊休</t>
    <rPh sb="8" eb="10">
      <t>ユウキュウ</t>
    </rPh>
    <phoneticPr fontId="3"/>
  </si>
  <si>
    <t>長期的に使用予定がなく、再稼働の見込みがない資産に設定。</t>
    <phoneticPr fontId="3"/>
  </si>
  <si>
    <t>減価償却処理：対象外、eLTAX申告：対象外</t>
    <phoneticPr fontId="3"/>
  </si>
  <si>
    <t>２．固定資産へのアイドル期間の割り当て</t>
    <rPh sb="2" eb="4">
      <t>コテイ</t>
    </rPh>
    <rPh sb="4" eb="6">
      <t>シサン</t>
    </rPh>
    <rPh sb="12" eb="14">
      <t>キカン</t>
    </rPh>
    <rPh sb="15" eb="16">
      <t>ワ</t>
    </rPh>
    <rPh sb="17" eb="18">
      <t>ア</t>
    </rPh>
    <phoneticPr fontId="3"/>
  </si>
  <si>
    <t>固定資産へのアイドル期間の割り当てを設定する。</t>
    <rPh sb="0" eb="4">
      <t>コテイシサン</t>
    </rPh>
    <rPh sb="10" eb="12">
      <t>キカン</t>
    </rPh>
    <rPh sb="13" eb="14">
      <t>ワ</t>
    </rPh>
    <rPh sb="15" eb="16">
      <t>ア</t>
    </rPh>
    <rPh sb="18" eb="20">
      <t>セッテイ</t>
    </rPh>
    <phoneticPr fontId="3"/>
  </si>
  <si>
    <t>アイドル期間として登録された期間は、減価償却計算から対象外となり、</t>
    <phoneticPr fontId="3"/>
  </si>
  <si>
    <t>アイドル期間終了日以降に減価償却計算が再開される。</t>
    <phoneticPr fontId="3"/>
  </si>
  <si>
    <t>再開が未定の場合は、アイドル期間終了日を遠い未来日付で設定しておく。</t>
    <rPh sb="0" eb="2">
      <t>サイカイ</t>
    </rPh>
    <rPh sb="3" eb="5">
      <t>ミテイ</t>
    </rPh>
    <rPh sb="6" eb="8">
      <t>バアイ</t>
    </rPh>
    <rPh sb="14" eb="16">
      <t>キカン</t>
    </rPh>
    <rPh sb="16" eb="18">
      <t>シュウリョウ</t>
    </rPh>
    <rPh sb="18" eb="19">
      <t>ヒ</t>
    </rPh>
    <rPh sb="20" eb="21">
      <t>トオ</t>
    </rPh>
    <rPh sb="22" eb="24">
      <t>ミライ</t>
    </rPh>
    <rPh sb="24" eb="26">
      <t>ヒヅケ</t>
    </rPh>
    <rPh sb="27" eb="29">
      <t>セッテイ</t>
    </rPh>
    <phoneticPr fontId="3"/>
  </si>
  <si>
    <t>（意図せず再開とならないよう注意）</t>
    <phoneticPr fontId="3"/>
  </si>
  <si>
    <t>休止のまま除却も可能。</t>
    <rPh sb="0" eb="2">
      <t>キュウシ</t>
    </rPh>
    <rPh sb="5" eb="7">
      <t>ジョキャク</t>
    </rPh>
    <rPh sb="8" eb="10">
      <t>カノウ</t>
    </rPh>
    <phoneticPr fontId="3"/>
  </si>
  <si>
    <t>登録は社員サポートグループも実施しているため</t>
    <rPh sb="0" eb="2">
      <t>トウロク</t>
    </rPh>
    <rPh sb="3" eb="5">
      <t>シャイン</t>
    </rPh>
    <rPh sb="14" eb="16">
      <t>ジッシ</t>
    </rPh>
    <phoneticPr fontId="3"/>
  </si>
  <si>
    <t>担当グループ追加が必要</t>
    <rPh sb="0" eb="2">
      <t>タントウ</t>
    </rPh>
    <rPh sb="6" eb="8">
      <t>ツイカ</t>
    </rPh>
    <rPh sb="9" eb="11">
      <t>ヒツヨウ</t>
    </rPh>
    <phoneticPr fontId="3"/>
  </si>
  <si>
    <t>各部署</t>
    <phoneticPr fontId="3"/>
  </si>
  <si>
    <t>購買部</t>
    <rPh sb="0" eb="3">
      <t>コウバイブ</t>
    </rPh>
    <phoneticPr fontId="3"/>
  </si>
  <si>
    <t>財務(事務管理)</t>
    <rPh sb="0" eb="2">
      <t>ザイム</t>
    </rPh>
    <rPh sb="3" eb="7">
      <t>ジムカンリ</t>
    </rPh>
    <phoneticPr fontId="3"/>
  </si>
  <si>
    <t>責任者／役員</t>
    <rPh sb="0" eb="3">
      <t>セキニンシャ</t>
    </rPh>
    <rPh sb="4" eb="6">
      <t>ヤクイン</t>
    </rPh>
    <phoneticPr fontId="3"/>
  </si>
  <si>
    <t>１．資産リース取得</t>
    <rPh sb="2" eb="4">
      <t>シサン</t>
    </rPh>
    <rPh sb="7" eb="9">
      <t>シュトク</t>
    </rPh>
    <phoneticPr fontId="3"/>
  </si>
  <si>
    <t>・使用権資産は総務の賃貸借契約を基に更新登録している</t>
    <rPh sb="1" eb="6">
      <t>シヨウケンシサン</t>
    </rPh>
    <rPh sb="7" eb="9">
      <t>ソウム</t>
    </rPh>
    <rPh sb="10" eb="15">
      <t>チンタイシャクケイヤク</t>
    </rPh>
    <rPh sb="16" eb="17">
      <t>モト</t>
    </rPh>
    <rPh sb="18" eb="20">
      <t>コウシン</t>
    </rPh>
    <rPh sb="20" eb="22">
      <t>トウロク</t>
    </rPh>
    <phoneticPr fontId="3"/>
  </si>
  <si>
    <t>※再リースはFO管理対象外とする</t>
    <rPh sb="1" eb="2">
      <t>サイ</t>
    </rPh>
    <rPh sb="8" eb="10">
      <t>カンリ</t>
    </rPh>
    <rPh sb="10" eb="13">
      <t>タイショウガイ</t>
    </rPh>
    <phoneticPr fontId="3"/>
  </si>
  <si>
    <t>・車両リースはリース会社から届く車両入替情報を基に更新している</t>
    <rPh sb="1" eb="3">
      <t>シャリョウ</t>
    </rPh>
    <rPh sb="10" eb="12">
      <t>ガイシャ</t>
    </rPh>
    <rPh sb="14" eb="15">
      <t>トド</t>
    </rPh>
    <rPh sb="16" eb="18">
      <t>シャリョウ</t>
    </rPh>
    <rPh sb="18" eb="22">
      <t>イレカエジョウホウ</t>
    </rPh>
    <rPh sb="23" eb="24">
      <t>モト</t>
    </rPh>
    <rPh sb="25" eb="27">
      <t>コウシン</t>
    </rPh>
    <phoneticPr fontId="3"/>
  </si>
  <si>
    <t>・社宅は社員サポートグループが社宅の賃貸借契約を基に更新している</t>
    <rPh sb="1" eb="3">
      <t>シャタク</t>
    </rPh>
    <rPh sb="4" eb="6">
      <t>シャイン</t>
    </rPh>
    <rPh sb="15" eb="17">
      <t>シャタク</t>
    </rPh>
    <rPh sb="18" eb="23">
      <t>チンタイシャクケイヤク</t>
    </rPh>
    <rPh sb="24" eb="25">
      <t>モト</t>
    </rPh>
    <rPh sb="26" eb="28">
      <t>コウシン</t>
    </rPh>
    <phoneticPr fontId="3"/>
  </si>
  <si>
    <t>1．自動引落申請書発行</t>
    <rPh sb="2" eb="4">
      <t>ジドウ</t>
    </rPh>
    <rPh sb="4" eb="6">
      <t>ヒキオトシ</t>
    </rPh>
    <rPh sb="6" eb="9">
      <t>シンセイショ</t>
    </rPh>
    <rPh sb="9" eb="11">
      <t>ハッコウ</t>
    </rPh>
    <phoneticPr fontId="3"/>
  </si>
  <si>
    <t>各部署は引落申請を行う</t>
    <rPh sb="0" eb="3">
      <t>カクブショ</t>
    </rPh>
    <rPh sb="4" eb="8">
      <t>ヒキオトシシンセイ</t>
    </rPh>
    <rPh sb="9" eb="10">
      <t>オコナ</t>
    </rPh>
    <phoneticPr fontId="3"/>
  </si>
  <si>
    <t>2．自動引落申請書の受領</t>
    <rPh sb="2" eb="4">
      <t>ジドウ</t>
    </rPh>
    <rPh sb="4" eb="6">
      <t>ヒキオトシ</t>
    </rPh>
    <rPh sb="6" eb="9">
      <t>シンセイショ</t>
    </rPh>
    <rPh sb="10" eb="12">
      <t>ジュリョウ</t>
    </rPh>
    <phoneticPr fontId="3"/>
  </si>
  <si>
    <t>各部署からの引落申請書を受領する</t>
    <rPh sb="0" eb="3">
      <t>カクブショ</t>
    </rPh>
    <rPh sb="6" eb="10">
      <t>ヒキオトシシンセイ</t>
    </rPh>
    <rPh sb="10" eb="11">
      <t>ショ</t>
    </rPh>
    <rPh sb="12" eb="14">
      <t>ジュリョウ</t>
    </rPh>
    <phoneticPr fontId="3"/>
  </si>
  <si>
    <t>3．リース資産登録</t>
    <rPh sb="5" eb="7">
      <t>シサン</t>
    </rPh>
    <rPh sb="7" eb="9">
      <t>トウロク</t>
    </rPh>
    <phoneticPr fontId="3"/>
  </si>
  <si>
    <t>リース情報を登録する。</t>
    <rPh sb="3" eb="5">
      <t>ジョウホウ</t>
    </rPh>
    <rPh sb="6" eb="8">
      <t>トウロク</t>
    </rPh>
    <phoneticPr fontId="3"/>
  </si>
  <si>
    <t>※50万以下は少額資産リースとして登録（自動判定）</t>
    <rPh sb="3" eb="6">
      <t>マンイカ</t>
    </rPh>
    <rPh sb="7" eb="11">
      <t>ショウガクシサン</t>
    </rPh>
    <rPh sb="17" eb="19">
      <t>トウロク</t>
    </rPh>
    <rPh sb="20" eb="24">
      <t>ジドウハンテイ</t>
    </rPh>
    <phoneticPr fontId="3"/>
  </si>
  <si>
    <t>50万円以下、もしくは12か月以下の契約は登録しない</t>
    <rPh sb="2" eb="4">
      <t>マンエン</t>
    </rPh>
    <rPh sb="4" eb="6">
      <t>イカ</t>
    </rPh>
    <rPh sb="14" eb="15">
      <t>ゲツ</t>
    </rPh>
    <rPh sb="15" eb="17">
      <t>イカ</t>
    </rPh>
    <rPh sb="18" eb="20">
      <t>ケイヤク</t>
    </rPh>
    <rPh sb="21" eb="23">
      <t>トウロク</t>
    </rPh>
    <phoneticPr fontId="3"/>
  </si>
  <si>
    <t>　　12か月以下は短期リースとして登録（自動判定）</t>
    <rPh sb="5" eb="6">
      <t>ゲツ</t>
    </rPh>
    <rPh sb="6" eb="8">
      <t>イカ</t>
    </rPh>
    <rPh sb="9" eb="11">
      <t>タンキ</t>
    </rPh>
    <rPh sb="17" eb="19">
      <t>トウロク</t>
    </rPh>
    <rPh sb="20" eb="24">
      <t>ジドウハンテイ</t>
    </rPh>
    <phoneticPr fontId="3"/>
  </si>
  <si>
    <t>判定条件</t>
    <phoneticPr fontId="3"/>
  </si>
  <si>
    <t>300万円以上のリース資産の場合、</t>
    <rPh sb="14" eb="16">
      <t>バアイ</t>
    </rPh>
    <phoneticPr fontId="3"/>
  </si>
  <si>
    <t>「リース料総額」が300万円以上（税抜）の場合～に変更</t>
    <rPh sb="4" eb="5">
      <t>リョウ</t>
    </rPh>
    <rPh sb="5" eb="7">
      <t>ソウガク</t>
    </rPh>
    <rPh sb="12" eb="14">
      <t>マンエン</t>
    </rPh>
    <rPh sb="14" eb="16">
      <t>イジョウ</t>
    </rPh>
    <rPh sb="17" eb="19">
      <t>ゼイヌ</t>
    </rPh>
    <rPh sb="21" eb="23">
      <t>バアイ</t>
    </rPh>
    <rPh sb="25" eb="27">
      <t>ヘンコウ</t>
    </rPh>
    <phoneticPr fontId="3"/>
  </si>
  <si>
    <t>日本基準・IFRSで固定資産計上</t>
    <phoneticPr fontId="3"/>
  </si>
  <si>
    <t>50万円以上300万円未満（税抜）の資産はIFRS帳簿のみ資産計上</t>
    <rPh sb="2" eb="4">
      <t>マンエン</t>
    </rPh>
    <rPh sb="4" eb="6">
      <t>イジョウ</t>
    </rPh>
    <rPh sb="9" eb="11">
      <t>マンエン</t>
    </rPh>
    <rPh sb="11" eb="13">
      <t>ミマン</t>
    </rPh>
    <rPh sb="18" eb="20">
      <t>シサン</t>
    </rPh>
    <rPh sb="25" eb="27">
      <t>チョウボ</t>
    </rPh>
    <rPh sb="29" eb="31">
      <t>シサン</t>
    </rPh>
    <rPh sb="31" eb="33">
      <t>ケイジョウ</t>
    </rPh>
    <phoneticPr fontId="3"/>
  </si>
  <si>
    <t>4．固定資産登録</t>
    <rPh sb="2" eb="4">
      <t>コテイ</t>
    </rPh>
    <rPh sb="4" eb="6">
      <t>シサン</t>
    </rPh>
    <rPh sb="6" eb="8">
      <t>トウロク</t>
    </rPh>
    <phoneticPr fontId="3"/>
  </si>
  <si>
    <t>正：資産リース登録</t>
    <rPh sb="0" eb="1">
      <t>セイ</t>
    </rPh>
    <rPh sb="2" eb="4">
      <t>シサン</t>
    </rPh>
    <rPh sb="7" eb="9">
      <t>トウロク</t>
    </rPh>
    <phoneticPr fontId="3"/>
  </si>
  <si>
    <t>固定資産として計上する場合は、固定資産情報</t>
    <rPh sb="0" eb="2">
      <t>コテイ</t>
    </rPh>
    <rPh sb="2" eb="4">
      <t>シサン</t>
    </rPh>
    <rPh sb="7" eb="9">
      <t>ケイジョウ</t>
    </rPh>
    <rPh sb="11" eb="13">
      <t>バアイ</t>
    </rPh>
    <rPh sb="15" eb="19">
      <t>コテイシサン</t>
    </rPh>
    <rPh sb="19" eb="21">
      <t>ジョウホウ</t>
    </rPh>
    <phoneticPr fontId="3"/>
  </si>
  <si>
    <t>リース資産として登録する場合は、リース資産マスタに情報登録する</t>
    <rPh sb="3" eb="5">
      <t>シサン</t>
    </rPh>
    <rPh sb="8" eb="10">
      <t>トウロク</t>
    </rPh>
    <rPh sb="12" eb="14">
      <t>バアイ</t>
    </rPh>
    <rPh sb="19" eb="21">
      <t>シサン</t>
    </rPh>
    <rPh sb="25" eb="27">
      <t>ジョウホウ</t>
    </rPh>
    <rPh sb="27" eb="29">
      <t>トウロク</t>
    </rPh>
    <phoneticPr fontId="3"/>
  </si>
  <si>
    <t>を登録する。</t>
  </si>
  <si>
    <t>登録後、固定資産番号をリース情報に登録する</t>
    <rPh sb="0" eb="3">
      <t>トウロクゴ</t>
    </rPh>
    <rPh sb="4" eb="10">
      <t>コテイシサンバンゴウ</t>
    </rPh>
    <rPh sb="14" eb="16">
      <t>ジョウホウ</t>
    </rPh>
    <rPh sb="17" eb="19">
      <t>トウロク</t>
    </rPh>
    <phoneticPr fontId="3"/>
  </si>
  <si>
    <t>5．支払スケジュールの作成</t>
    <rPh sb="2" eb="4">
      <t>シハライ</t>
    </rPh>
    <rPh sb="11" eb="13">
      <t>サクセイ</t>
    </rPh>
    <phoneticPr fontId="3"/>
  </si>
  <si>
    <t>リース会社より提示された支払スケジュールを登録</t>
    <rPh sb="3" eb="5">
      <t>ガイシャ</t>
    </rPh>
    <rPh sb="7" eb="9">
      <t>テイジ</t>
    </rPh>
    <rPh sb="12" eb="14">
      <t>シハライ</t>
    </rPh>
    <rPh sb="21" eb="23">
      <t>トウロク</t>
    </rPh>
    <phoneticPr fontId="3"/>
  </si>
  <si>
    <t>6．支払スケジュールの確認</t>
    <rPh sb="2" eb="4">
      <t>シハライ</t>
    </rPh>
    <rPh sb="11" eb="13">
      <t>カクニン</t>
    </rPh>
    <phoneticPr fontId="3"/>
  </si>
  <si>
    <t>責任者の支払スケジュール確認は不要</t>
    <rPh sb="0" eb="3">
      <t>セキニンシャ</t>
    </rPh>
    <rPh sb="4" eb="6">
      <t>シハラ</t>
    </rPh>
    <rPh sb="12" eb="14">
      <t>カクニン</t>
    </rPh>
    <rPh sb="15" eb="17">
      <t>フヨウ</t>
    </rPh>
    <phoneticPr fontId="3"/>
  </si>
  <si>
    <t>作成した支払スケジュールを確認（承認）する</t>
    <rPh sb="0" eb="2">
      <t>サクセイ</t>
    </rPh>
    <rPh sb="4" eb="6">
      <t>シハライ</t>
    </rPh>
    <rPh sb="13" eb="15">
      <t>カクニン</t>
    </rPh>
    <rPh sb="16" eb="18">
      <t>ショウニン</t>
    </rPh>
    <phoneticPr fontId="3"/>
  </si>
  <si>
    <t>不要</t>
    <rPh sb="0" eb="2">
      <t>フヨウ</t>
    </rPh>
    <phoneticPr fontId="3"/>
  </si>
  <si>
    <t>7．支払スケジュールの確認</t>
    <rPh sb="2" eb="4">
      <t>シハライ</t>
    </rPh>
    <rPh sb="11" eb="13">
      <t>カクニン</t>
    </rPh>
    <phoneticPr fontId="3"/>
  </si>
  <si>
    <t>初年度負債計上を押下後、資産リース仕訳にて</t>
    <rPh sb="0" eb="3">
      <t>ショネンド</t>
    </rPh>
    <rPh sb="3" eb="7">
      <t>フサイケイジョウ</t>
    </rPh>
    <rPh sb="8" eb="11">
      <t>オウカゴ</t>
    </rPh>
    <rPh sb="12" eb="14">
      <t>シサン</t>
    </rPh>
    <rPh sb="17" eb="19">
      <t>シワケ</t>
    </rPh>
    <phoneticPr fontId="3"/>
  </si>
  <si>
    <t>リース資産/負債を計上する</t>
    <rPh sb="3" eb="5">
      <t>シサン</t>
    </rPh>
    <rPh sb="6" eb="8">
      <t>フサイ</t>
    </rPh>
    <rPh sb="9" eb="11">
      <t>ケイジョウ</t>
    </rPh>
    <phoneticPr fontId="3"/>
  </si>
  <si>
    <t>担当者が登録後に責任者が承認を行う</t>
    <rPh sb="0" eb="3">
      <t>タントウシャ</t>
    </rPh>
    <rPh sb="4" eb="6">
      <t>トウロク</t>
    </rPh>
    <rPh sb="6" eb="7">
      <t>ゴ</t>
    </rPh>
    <rPh sb="8" eb="11">
      <t>セキニンシャ</t>
    </rPh>
    <rPh sb="12" eb="14">
      <t>ショウニン</t>
    </rPh>
    <rPh sb="15" eb="16">
      <t>オコナ</t>
    </rPh>
    <phoneticPr fontId="3"/>
  </si>
  <si>
    <t>責任者は、承認時に4のマスタ登録と5の支払スケジュールも併せて確認</t>
    <rPh sb="0" eb="3">
      <t>セキニンシャ</t>
    </rPh>
    <rPh sb="5" eb="8">
      <t>ショウニンジ</t>
    </rPh>
    <rPh sb="14" eb="16">
      <t>トウロク</t>
    </rPh>
    <rPh sb="19" eb="21">
      <t>シハラ</t>
    </rPh>
    <rPh sb="28" eb="29">
      <t>アワ</t>
    </rPh>
    <rPh sb="31" eb="33">
      <t>カクニン</t>
    </rPh>
    <phoneticPr fontId="3"/>
  </si>
  <si>
    <t>した上で承認を行う</t>
    <rPh sb="2" eb="3">
      <t>ウエ</t>
    </rPh>
    <rPh sb="4" eb="6">
      <t>ショウニン</t>
    </rPh>
    <rPh sb="7" eb="8">
      <t>オコナ</t>
    </rPh>
    <phoneticPr fontId="3"/>
  </si>
  <si>
    <t>2．リース支払いスケジュールの計上・転記</t>
    <rPh sb="5" eb="7">
      <t>シハラ</t>
    </rPh>
    <rPh sb="15" eb="17">
      <t>ケイジョウ</t>
    </rPh>
    <rPh sb="18" eb="20">
      <t>テンキ</t>
    </rPh>
    <phoneticPr fontId="3"/>
  </si>
  <si>
    <t>資産リース取得の5と重複している</t>
    <rPh sb="0" eb="2">
      <t>シサン</t>
    </rPh>
    <rPh sb="5" eb="7">
      <t>シュトク</t>
    </rPh>
    <rPh sb="10" eb="12">
      <t>チョウフク</t>
    </rPh>
    <phoneticPr fontId="3"/>
  </si>
  <si>
    <t>1．仕訳帳の作成</t>
    <rPh sb="2" eb="5">
      <t>シワケチョウ</t>
    </rPh>
    <rPh sb="6" eb="8">
      <t>サクセイ</t>
    </rPh>
    <phoneticPr fontId="3"/>
  </si>
  <si>
    <t>仕訳帳の作成機能にて仕訳帳番号を取得する</t>
    <rPh sb="0" eb="3">
      <t>シワケチョウ</t>
    </rPh>
    <rPh sb="4" eb="6">
      <t>サクセイ</t>
    </rPh>
    <rPh sb="6" eb="8">
      <t>キノウ</t>
    </rPh>
    <rPh sb="10" eb="13">
      <t>シワケチョウ</t>
    </rPh>
    <rPh sb="13" eb="15">
      <t>バンゴウ</t>
    </rPh>
    <rPh sb="16" eb="18">
      <t>シュトク</t>
    </rPh>
    <phoneticPr fontId="3"/>
  </si>
  <si>
    <t>2．承認処理</t>
    <rPh sb="2" eb="4">
      <t>ショウニン</t>
    </rPh>
    <rPh sb="4" eb="6">
      <t>ショリ</t>
    </rPh>
    <phoneticPr fontId="3"/>
  </si>
  <si>
    <t>作成された仕訳バッチ（請求仕訳帳）の承認をおこなう</t>
    <rPh sb="0" eb="2">
      <t>サクセイ</t>
    </rPh>
    <rPh sb="5" eb="7">
      <t>シワケ</t>
    </rPh>
    <rPh sb="18" eb="20">
      <t>ショウニン</t>
    </rPh>
    <phoneticPr fontId="3"/>
  </si>
  <si>
    <t>3．転記処理</t>
    <rPh sb="2" eb="4">
      <t>テンキ</t>
    </rPh>
    <rPh sb="4" eb="6">
      <t>ショリ</t>
    </rPh>
    <phoneticPr fontId="3"/>
  </si>
  <si>
    <t>作成された仕訳バッチ（請求仕訳帳）の転記処理を行う</t>
    <rPh sb="0" eb="2">
      <t>サクセイ</t>
    </rPh>
    <rPh sb="5" eb="7">
      <t>シワケ</t>
    </rPh>
    <rPh sb="18" eb="22">
      <t>テンキショリ</t>
    </rPh>
    <rPh sb="23" eb="24">
      <t>オコナ</t>
    </rPh>
    <phoneticPr fontId="3"/>
  </si>
  <si>
    <t>3．リース資産の負債償却スケジュールの作成・転記</t>
    <rPh sb="5" eb="7">
      <t>シサン</t>
    </rPh>
    <rPh sb="8" eb="10">
      <t>フサイ</t>
    </rPh>
    <rPh sb="10" eb="12">
      <t>ショウキャク</t>
    </rPh>
    <rPh sb="19" eb="21">
      <t>サクセイ</t>
    </rPh>
    <rPh sb="22" eb="24">
      <t>テンキ</t>
    </rPh>
    <phoneticPr fontId="3"/>
  </si>
  <si>
    <t>生成された負債償却仕訳データを転記する。</t>
    <rPh sb="0" eb="2">
      <t>セイセイ</t>
    </rPh>
    <rPh sb="5" eb="7">
      <t>フサイ</t>
    </rPh>
    <rPh sb="7" eb="9">
      <t>ショウキャク</t>
    </rPh>
    <rPh sb="9" eb="11">
      <t>シワケ</t>
    </rPh>
    <rPh sb="15" eb="17">
      <t>テンキ</t>
    </rPh>
    <phoneticPr fontId="3"/>
  </si>
  <si>
    <t>4．リース資産の経費スケジュールの作成・転記⇒業務対象外</t>
    <rPh sb="5" eb="7">
      <t>シサン</t>
    </rPh>
    <rPh sb="8" eb="10">
      <t>ケイヒ</t>
    </rPh>
    <rPh sb="17" eb="19">
      <t>サクセイ</t>
    </rPh>
    <rPh sb="20" eb="22">
      <t>テンキ</t>
    </rPh>
    <rPh sb="23" eb="25">
      <t>ギョウム</t>
    </rPh>
    <rPh sb="25" eb="28">
      <t>タイショウガイ</t>
    </rPh>
    <phoneticPr fontId="3"/>
  </si>
  <si>
    <t>※リースにかかわる費用についてはFOで計上しないとのこと⇒不要</t>
    <rPh sb="9" eb="11">
      <t>ヒヨウ</t>
    </rPh>
    <rPh sb="19" eb="21">
      <t>ケイジョウ</t>
    </rPh>
    <rPh sb="29" eb="31">
      <t>フヨウ</t>
    </rPh>
    <phoneticPr fontId="3"/>
  </si>
  <si>
    <t>５．リース資産現物管理（減価償却）</t>
    <rPh sb="5" eb="7">
      <t>シサン</t>
    </rPh>
    <rPh sb="7" eb="9">
      <t>ゲンブツ</t>
    </rPh>
    <rPh sb="9" eb="11">
      <t>カンリ</t>
    </rPh>
    <rPh sb="12" eb="16">
      <t>ゲンカショウキャク</t>
    </rPh>
    <phoneticPr fontId="3"/>
  </si>
  <si>
    <t>生成された資産減価償却仕訳データを転記する。</t>
    <rPh sb="0" eb="2">
      <t>セイセイ</t>
    </rPh>
    <rPh sb="5" eb="7">
      <t>シサン</t>
    </rPh>
    <rPh sb="7" eb="9">
      <t>ゲンカ</t>
    </rPh>
    <rPh sb="9" eb="11">
      <t>ショウキャク</t>
    </rPh>
    <rPh sb="11" eb="13">
      <t>シワケ</t>
    </rPh>
    <rPh sb="17" eb="19">
      <t>テンキ</t>
    </rPh>
    <phoneticPr fontId="3"/>
  </si>
  <si>
    <t>※固定資産と連携した資産リースについては固定資産機能にて</t>
    <rPh sb="1" eb="5">
      <t>コテイシサン</t>
    </rPh>
    <rPh sb="6" eb="8">
      <t>レンケイ</t>
    </rPh>
    <rPh sb="10" eb="12">
      <t>シサン</t>
    </rPh>
    <rPh sb="20" eb="24">
      <t>コテイシサン</t>
    </rPh>
    <rPh sb="24" eb="26">
      <t>キノウ</t>
    </rPh>
    <phoneticPr fontId="3"/>
  </si>
  <si>
    <t>減価償却処理が実行され資産リース側では実施できないので注意が必要</t>
    <rPh sb="0" eb="4">
      <t>ゲンカショウキャク</t>
    </rPh>
    <rPh sb="4" eb="6">
      <t>ショリ</t>
    </rPh>
    <rPh sb="7" eb="9">
      <t>ジッコウ</t>
    </rPh>
    <rPh sb="11" eb="13">
      <t>シサン</t>
    </rPh>
    <rPh sb="16" eb="17">
      <t>ガワ</t>
    </rPh>
    <rPh sb="19" eb="21">
      <t>ジッシ</t>
    </rPh>
    <rPh sb="27" eb="29">
      <t>チュウイ</t>
    </rPh>
    <rPh sb="30" eb="32">
      <t>ヒツヨウ</t>
    </rPh>
    <phoneticPr fontId="3"/>
  </si>
  <si>
    <t>6．短期リース負債の再分類⇒業務対象外</t>
    <rPh sb="2" eb="4">
      <t>タンキ</t>
    </rPh>
    <rPh sb="7" eb="9">
      <t>フサイ</t>
    </rPh>
    <rPh sb="10" eb="11">
      <t>サイ</t>
    </rPh>
    <rPh sb="11" eb="13">
      <t>ブンルイ</t>
    </rPh>
    <phoneticPr fontId="3"/>
  </si>
  <si>
    <t>※長短期組替え：楽々清算にて実施のため不要</t>
    <phoneticPr fontId="3"/>
  </si>
  <si>
    <t>7．リース資産終了（解約・契約満了時）</t>
    <rPh sb="5" eb="7">
      <t>シサン</t>
    </rPh>
    <rPh sb="7" eb="9">
      <t>シュウリョウ</t>
    </rPh>
    <rPh sb="10" eb="12">
      <t>カイヤク</t>
    </rPh>
    <rPh sb="13" eb="18">
      <t>ケイヤクマンリョウジ</t>
    </rPh>
    <phoneticPr fontId="3"/>
  </si>
  <si>
    <t>1．終了提案</t>
    <rPh sb="2" eb="6">
      <t>シュウリョウテイアン</t>
    </rPh>
    <phoneticPr fontId="3"/>
  </si>
  <si>
    <t>リース終了トランザクションを作成する</t>
    <rPh sb="3" eb="5">
      <t>シュウリョウ</t>
    </rPh>
    <rPh sb="14" eb="16">
      <t>サクセイ</t>
    </rPh>
    <phoneticPr fontId="3"/>
  </si>
  <si>
    <t>2．リース終了</t>
    <rPh sb="5" eb="7">
      <t>シュウリョウ</t>
    </rPh>
    <phoneticPr fontId="3"/>
  </si>
  <si>
    <t>リース終了トランザクションを実行し終了を転記する。</t>
    <rPh sb="3" eb="5">
      <t>シュウリョウ</t>
    </rPh>
    <rPh sb="14" eb="16">
      <t>ジッコウ</t>
    </rPh>
    <rPh sb="17" eb="19">
      <t>シュウリョウ</t>
    </rPh>
    <rPh sb="20" eb="22">
      <t>テンキ</t>
    </rPh>
    <phoneticPr fontId="3"/>
  </si>
  <si>
    <t>社員サポートG</t>
    <rPh sb="0" eb="2">
      <t>シャイン</t>
    </rPh>
    <phoneticPr fontId="3"/>
  </si>
  <si>
    <t>事務管理G</t>
    <rPh sb="0" eb="4">
      <t>ジムカンリ</t>
    </rPh>
    <phoneticPr fontId="3"/>
  </si>
  <si>
    <t>4．リースに紐づく帳簿の作成</t>
    <rPh sb="6" eb="7">
      <t>ヒモ</t>
    </rPh>
    <rPh sb="9" eb="11">
      <t>チョウボ</t>
    </rPh>
    <rPh sb="12" eb="14">
      <t>サクセイ</t>
    </rPh>
    <phoneticPr fontId="3"/>
  </si>
  <si>
    <t>登録したリースに帳簿を作成する。</t>
    <rPh sb="0" eb="2">
      <t>トウロク</t>
    </rPh>
    <rPh sb="8" eb="10">
      <t>チョウボ</t>
    </rPh>
    <rPh sb="11" eb="13">
      <t>サクセイ</t>
    </rPh>
    <phoneticPr fontId="3"/>
  </si>
  <si>
    <t>支払リース料総額（税抜）が300万円以上かどうかで判断</t>
    <rPh sb="0" eb="2">
      <t>シハラ</t>
    </rPh>
    <rPh sb="5" eb="6">
      <t>リョウ</t>
    </rPh>
    <rPh sb="6" eb="8">
      <t>ソウガク</t>
    </rPh>
    <rPh sb="9" eb="11">
      <t>ゼイヌ</t>
    </rPh>
    <rPh sb="16" eb="18">
      <t>マンエン</t>
    </rPh>
    <rPh sb="18" eb="20">
      <t>イジョウ</t>
    </rPh>
    <rPh sb="25" eb="27">
      <t>ハンダン</t>
    </rPh>
    <phoneticPr fontId="3"/>
  </si>
  <si>
    <t>社員サポートGは使用権資産のみ登録</t>
  </si>
  <si>
    <t>5．不要な帳簿の削除</t>
    <rPh sb="2" eb="4">
      <t>フヨウ</t>
    </rPh>
    <rPh sb="5" eb="7">
      <t>チョウボ</t>
    </rPh>
    <rPh sb="8" eb="10">
      <t>サクジョ</t>
    </rPh>
    <phoneticPr fontId="3"/>
  </si>
  <si>
    <t>ファイナンスリースにおいて、300万未満のリースで</t>
    <rPh sb="17" eb="20">
      <t>マンミマン</t>
    </rPh>
    <phoneticPr fontId="3"/>
  </si>
  <si>
    <t>不要な帳簿（会社会計、税務）の削除を行う。</t>
    <rPh sb="0" eb="2">
      <t>フヨウ</t>
    </rPh>
    <rPh sb="3" eb="5">
      <t>チョウボ</t>
    </rPh>
    <rPh sb="6" eb="10">
      <t>カイシャカイケイ</t>
    </rPh>
    <rPh sb="11" eb="13">
      <t>ゼイム</t>
    </rPh>
    <rPh sb="15" eb="17">
      <t>サクジョ</t>
    </rPh>
    <rPh sb="18" eb="19">
      <t>オコナ</t>
    </rPh>
    <phoneticPr fontId="3"/>
  </si>
  <si>
    <t>6．支払スケジュール確定処理</t>
    <rPh sb="2" eb="4">
      <t>シハライ</t>
    </rPh>
    <rPh sb="10" eb="12">
      <t>カクテイ</t>
    </rPh>
    <rPh sb="12" eb="14">
      <t>ショリ</t>
    </rPh>
    <phoneticPr fontId="3"/>
  </si>
  <si>
    <t>確認バッチを使用して、登録したリースの支払スケジュール</t>
    <rPh sb="0" eb="2">
      <t>カクニン</t>
    </rPh>
    <rPh sb="6" eb="8">
      <t>シヨウ</t>
    </rPh>
    <rPh sb="11" eb="13">
      <t>トウロク</t>
    </rPh>
    <rPh sb="19" eb="21">
      <t>シハライ</t>
    </rPh>
    <phoneticPr fontId="3"/>
  </si>
  <si>
    <t>の確定処理を行う。</t>
    <rPh sb="1" eb="5">
      <t>カクテイショリ</t>
    </rPh>
    <rPh sb="6" eb="7">
      <t>オコナ</t>
    </rPh>
    <phoneticPr fontId="3"/>
  </si>
  <si>
    <t>7．初期認識</t>
    <rPh sb="2" eb="6">
      <t>ショキニンシキ</t>
    </rPh>
    <phoneticPr fontId="3"/>
  </si>
  <si>
    <t>初期認識を行い、リース資産計上の仕訳登録を行う。</t>
    <rPh sb="0" eb="4">
      <t>ショキニンシキ</t>
    </rPh>
    <rPh sb="5" eb="6">
      <t>オコナ</t>
    </rPh>
    <rPh sb="11" eb="15">
      <t>シサンケイジョウ</t>
    </rPh>
    <rPh sb="16" eb="18">
      <t>シワケ</t>
    </rPh>
    <rPh sb="18" eb="20">
      <t>トウロク</t>
    </rPh>
    <rPh sb="21" eb="22">
      <t>オコナ</t>
    </rPh>
    <phoneticPr fontId="3"/>
  </si>
  <si>
    <r>
      <t>スケジュールの選択：</t>
    </r>
    <r>
      <rPr>
        <b/>
        <sz val="10"/>
        <color rgb="FFFF0000"/>
        <rFont val="Meiryo UI"/>
        <family val="3"/>
        <charset val="128"/>
      </rPr>
      <t>初期認識</t>
    </r>
    <rPh sb="7" eb="9">
      <t>センタク</t>
    </rPh>
    <rPh sb="10" eb="14">
      <t>ショキニンシキ</t>
    </rPh>
    <phoneticPr fontId="3"/>
  </si>
  <si>
    <r>
      <t>転記：</t>
    </r>
    <r>
      <rPr>
        <b/>
        <sz val="10"/>
        <color rgb="FFFF0000"/>
        <rFont val="Meiryo UI"/>
        <family val="3"/>
        <charset val="128"/>
      </rPr>
      <t>いいえ</t>
    </r>
    <r>
      <rPr>
        <sz val="10"/>
        <color theme="1"/>
        <rFont val="Meiryo UI"/>
        <family val="3"/>
        <charset val="128"/>
      </rPr>
      <t>　を選択</t>
    </r>
    <rPh sb="0" eb="2">
      <t>テンキ</t>
    </rPh>
    <rPh sb="8" eb="10">
      <t>センタク</t>
    </rPh>
    <phoneticPr fontId="3"/>
  </si>
  <si>
    <t>8．リース資産計上仕訳の承認依頼</t>
    <rPh sb="5" eb="7">
      <t>シサン</t>
    </rPh>
    <rPh sb="7" eb="9">
      <t>ケイジョウ</t>
    </rPh>
    <rPh sb="9" eb="11">
      <t>シワケ</t>
    </rPh>
    <rPh sb="12" eb="14">
      <t>ショウニン</t>
    </rPh>
    <rPh sb="14" eb="16">
      <t>イライ</t>
    </rPh>
    <phoneticPr fontId="3"/>
  </si>
  <si>
    <t>作成されたリース資産計上の仕訳の承認依頼を行う。</t>
    <rPh sb="0" eb="2">
      <t>サクセイ</t>
    </rPh>
    <rPh sb="8" eb="12">
      <t>シサンケイジョウ</t>
    </rPh>
    <rPh sb="13" eb="15">
      <t>シワケ</t>
    </rPh>
    <rPh sb="16" eb="18">
      <t>ショウニン</t>
    </rPh>
    <rPh sb="18" eb="20">
      <t>イライ</t>
    </rPh>
    <rPh sb="21" eb="22">
      <t>オコナ</t>
    </rPh>
    <phoneticPr fontId="3"/>
  </si>
  <si>
    <t>各帳簿ごとに承認依頼作業を行う。</t>
    <rPh sb="0" eb="3">
      <t>カクチョウボ</t>
    </rPh>
    <rPh sb="6" eb="12">
      <t>ショウニンイライサギョウ</t>
    </rPh>
    <rPh sb="13" eb="14">
      <t>オコナ</t>
    </rPh>
    <phoneticPr fontId="3"/>
  </si>
  <si>
    <t>9．リース資産計上仕訳の承認</t>
    <rPh sb="5" eb="7">
      <t>シサン</t>
    </rPh>
    <rPh sb="7" eb="9">
      <t>ケイジョウ</t>
    </rPh>
    <rPh sb="9" eb="11">
      <t>シワケ</t>
    </rPh>
    <rPh sb="12" eb="14">
      <t>ショウニン</t>
    </rPh>
    <phoneticPr fontId="3"/>
  </si>
  <si>
    <t>責任者は作成されたリース資産計上の仕訳の承認を行う。</t>
    <rPh sb="0" eb="3">
      <t>セキニンシャ</t>
    </rPh>
    <rPh sb="4" eb="6">
      <t>サクセイ</t>
    </rPh>
    <rPh sb="12" eb="16">
      <t>シサンケイジョウ</t>
    </rPh>
    <rPh sb="17" eb="19">
      <t>シワケ</t>
    </rPh>
    <rPh sb="20" eb="22">
      <t>ショウニン</t>
    </rPh>
    <rPh sb="23" eb="24">
      <t>オコナ</t>
    </rPh>
    <phoneticPr fontId="3"/>
  </si>
  <si>
    <t>責任者はマスタ登録も併せて内容確認した上で承認を行う</t>
    <rPh sb="0" eb="3">
      <t>セキニンシャ</t>
    </rPh>
    <rPh sb="7" eb="9">
      <t>トウロク</t>
    </rPh>
    <rPh sb="10" eb="11">
      <t>アワ</t>
    </rPh>
    <rPh sb="13" eb="15">
      <t>ナイヨウ</t>
    </rPh>
    <rPh sb="15" eb="17">
      <t>カクニン</t>
    </rPh>
    <phoneticPr fontId="3"/>
  </si>
  <si>
    <t>各帳簿ごとに承認作業を行う。</t>
    <rPh sb="0" eb="3">
      <t>カクチョウボ</t>
    </rPh>
    <rPh sb="6" eb="8">
      <t>ショウニン</t>
    </rPh>
    <rPh sb="8" eb="10">
      <t>サギョウ</t>
    </rPh>
    <rPh sb="11" eb="12">
      <t>オコナ</t>
    </rPh>
    <phoneticPr fontId="3"/>
  </si>
  <si>
    <t>【仕訳例】</t>
    <rPh sb="1" eb="3">
      <t>シワケ</t>
    </rPh>
    <rPh sb="3" eb="4">
      <t>レイ</t>
    </rPh>
    <phoneticPr fontId="3"/>
  </si>
  <si>
    <t>リース資産</t>
    <rPh sb="3" eb="5">
      <t>シサン</t>
    </rPh>
    <phoneticPr fontId="3"/>
  </si>
  <si>
    <t>リース債務(固定)</t>
    <rPh sb="3" eb="5">
      <t>サイム</t>
    </rPh>
    <rPh sb="6" eb="8">
      <t>コテイ</t>
    </rPh>
    <phoneticPr fontId="3"/>
  </si>
  <si>
    <t>転記処理は自動転記バッチ(アドオン)で処理</t>
    <rPh sb="0" eb="4">
      <t>テンキショリ</t>
    </rPh>
    <rPh sb="5" eb="9">
      <t>ジドウテンキ</t>
    </rPh>
    <rPh sb="19" eb="21">
      <t>ショリ</t>
    </rPh>
    <phoneticPr fontId="3"/>
  </si>
  <si>
    <t>10．レポート内容確認</t>
    <rPh sb="7" eb="11">
      <t>ナイヨウカクニン</t>
    </rPh>
    <phoneticPr fontId="3"/>
  </si>
  <si>
    <t>リース資産台帳、リース利息一覧で</t>
    <rPh sb="3" eb="7">
      <t>シサンダイチョウ</t>
    </rPh>
    <rPh sb="11" eb="15">
      <t>リソクイチラン</t>
    </rPh>
    <phoneticPr fontId="3"/>
  </si>
  <si>
    <t>登録されたリース内容を確認する。</t>
    <rPh sb="0" eb="2">
      <t>トウロク</t>
    </rPh>
    <rPh sb="8" eb="10">
      <t>ナイヨウ</t>
    </rPh>
    <rPh sb="11" eb="13">
      <t>カクニン</t>
    </rPh>
    <phoneticPr fontId="3"/>
  </si>
  <si>
    <t>1．支払仕訳の作成・転記</t>
    <rPh sb="2" eb="6">
      <t>シハライシワケ</t>
    </rPh>
    <rPh sb="7" eb="9">
      <t>サクセイ</t>
    </rPh>
    <rPh sb="10" eb="12">
      <t>テンキ</t>
    </rPh>
    <phoneticPr fontId="3"/>
  </si>
  <si>
    <t>バッチ仕訳の作成を使用し、支払スケジュールに</t>
    <rPh sb="3" eb="5">
      <t>シワケ</t>
    </rPh>
    <rPh sb="6" eb="8">
      <t>サクセイ</t>
    </rPh>
    <rPh sb="9" eb="11">
      <t>シヨウ</t>
    </rPh>
    <rPh sb="13" eb="15">
      <t>シハライ</t>
    </rPh>
    <phoneticPr fontId="3"/>
  </si>
  <si>
    <t>登録されている支払仕訳の作成・転記を行う。</t>
    <rPh sb="0" eb="2">
      <t>トウロク</t>
    </rPh>
    <rPh sb="7" eb="11">
      <t>シハライシワケ</t>
    </rPh>
    <rPh sb="12" eb="14">
      <t>サクセイ</t>
    </rPh>
    <rPh sb="15" eb="17">
      <t>テンキ</t>
    </rPh>
    <rPh sb="18" eb="19">
      <t>オコナ</t>
    </rPh>
    <phoneticPr fontId="3"/>
  </si>
  <si>
    <r>
      <t>スケジュールの選択：</t>
    </r>
    <r>
      <rPr>
        <b/>
        <sz val="10"/>
        <color rgb="FFFF0000"/>
        <rFont val="Meiryo UI"/>
        <family val="3"/>
        <charset val="128"/>
      </rPr>
      <t>支払スケジュール</t>
    </r>
    <rPh sb="7" eb="9">
      <t>センタク</t>
    </rPh>
    <rPh sb="10" eb="12">
      <t>シハライ</t>
    </rPh>
    <phoneticPr fontId="3"/>
  </si>
  <si>
    <r>
      <t>転記：</t>
    </r>
    <r>
      <rPr>
        <b/>
        <sz val="10"/>
        <color rgb="FFFF0000"/>
        <rFont val="Meiryo UI"/>
        <family val="3"/>
        <charset val="128"/>
      </rPr>
      <t>はい</t>
    </r>
    <r>
      <rPr>
        <sz val="10"/>
        <color theme="1"/>
        <rFont val="Meiryo UI"/>
        <family val="3"/>
        <charset val="128"/>
      </rPr>
      <t>　を選択</t>
    </r>
    <rPh sb="0" eb="2">
      <t>テンキ</t>
    </rPh>
    <rPh sb="7" eb="9">
      <t>センタク</t>
    </rPh>
    <phoneticPr fontId="3"/>
  </si>
  <si>
    <t>未払金(リース料)</t>
    <rPh sb="0" eb="3">
      <t>ミバライキン</t>
    </rPh>
    <rPh sb="7" eb="8">
      <t>リョウ</t>
    </rPh>
    <phoneticPr fontId="3"/>
  </si>
  <si>
    <t>以下リースについては、経費スケジュールを使用して、</t>
    <rPh sb="0" eb="2">
      <t>イカ</t>
    </rPh>
    <rPh sb="11" eb="13">
      <t>ケイヒ</t>
    </rPh>
    <rPh sb="20" eb="22">
      <t>シヨウ</t>
    </rPh>
    <phoneticPr fontId="3"/>
  </si>
  <si>
    <t>未払金(リース料)から賃借料への振替作業を</t>
    <rPh sb="0" eb="3">
      <t>ミバライキン</t>
    </rPh>
    <rPh sb="7" eb="8">
      <t>リョウ</t>
    </rPh>
    <rPh sb="11" eb="14">
      <t>チンシャクリョウ</t>
    </rPh>
    <rPh sb="16" eb="20">
      <t>フリカエサギョウ</t>
    </rPh>
    <phoneticPr fontId="3"/>
  </si>
  <si>
    <t>実施する。</t>
    <rPh sb="0" eb="2">
      <t>ジッシ</t>
    </rPh>
    <phoneticPr fontId="3"/>
  </si>
  <si>
    <t>・300万円未満のファイナンスリース</t>
    <rPh sb="4" eb="6">
      <t>マンエン</t>
    </rPh>
    <rPh sb="6" eb="8">
      <t>ミマン</t>
    </rPh>
    <phoneticPr fontId="3"/>
  </si>
  <si>
    <t>・オペレーティングリース</t>
    <phoneticPr fontId="3"/>
  </si>
  <si>
    <t>・IFRS使用権資産</t>
    <rPh sb="5" eb="10">
      <t>シヨウケンシサン</t>
    </rPh>
    <phoneticPr fontId="3"/>
  </si>
  <si>
    <t>1．利息計上仕訳の作成・転記</t>
    <rPh sb="2" eb="4">
      <t>リソク</t>
    </rPh>
    <rPh sb="4" eb="6">
      <t>ケイジョウ</t>
    </rPh>
    <rPh sb="6" eb="8">
      <t>シワケ</t>
    </rPh>
    <rPh sb="9" eb="11">
      <t>サクセイ</t>
    </rPh>
    <rPh sb="12" eb="14">
      <t>テンキ</t>
    </rPh>
    <phoneticPr fontId="3"/>
  </si>
  <si>
    <t>バッチ仕訳の作成を使用し、負債償却スケジュールに</t>
    <rPh sb="3" eb="5">
      <t>シワケ</t>
    </rPh>
    <rPh sb="6" eb="8">
      <t>サクセイ</t>
    </rPh>
    <rPh sb="9" eb="11">
      <t>シヨウ</t>
    </rPh>
    <rPh sb="13" eb="17">
      <t>フサイショウキャク</t>
    </rPh>
    <phoneticPr fontId="3"/>
  </si>
  <si>
    <t>登録されている利息計上仕訳の作成・転記を行う。</t>
    <rPh sb="0" eb="2">
      <t>トウロク</t>
    </rPh>
    <rPh sb="7" eb="9">
      <t>リソク</t>
    </rPh>
    <rPh sb="9" eb="11">
      <t>ケイジョウ</t>
    </rPh>
    <rPh sb="11" eb="13">
      <t>シワケ</t>
    </rPh>
    <rPh sb="14" eb="16">
      <t>サクセイ</t>
    </rPh>
    <rPh sb="17" eb="19">
      <t>テンキ</t>
    </rPh>
    <rPh sb="20" eb="21">
      <t>オコナ</t>
    </rPh>
    <phoneticPr fontId="3"/>
  </si>
  <si>
    <r>
      <t>スケジュールの選択：</t>
    </r>
    <r>
      <rPr>
        <b/>
        <sz val="10"/>
        <color rgb="FFFF0000"/>
        <rFont val="Meiryo UI"/>
        <family val="3"/>
        <charset val="128"/>
      </rPr>
      <t>負債償却スケジュール</t>
    </r>
    <rPh sb="7" eb="9">
      <t>センタク</t>
    </rPh>
    <rPh sb="10" eb="12">
      <t>フサイ</t>
    </rPh>
    <rPh sb="12" eb="14">
      <t>ショウキャク</t>
    </rPh>
    <phoneticPr fontId="3"/>
  </si>
  <si>
    <t>支払利息(リース資産)</t>
    <phoneticPr fontId="3"/>
  </si>
  <si>
    <t>4．リース資産の経費スケジュールの作成・転記</t>
    <rPh sb="5" eb="7">
      <t>シサン</t>
    </rPh>
    <rPh sb="8" eb="10">
      <t>ケイヒ</t>
    </rPh>
    <rPh sb="17" eb="19">
      <t>サクセイ</t>
    </rPh>
    <rPh sb="20" eb="22">
      <t>テンキ</t>
    </rPh>
    <phoneticPr fontId="3"/>
  </si>
  <si>
    <t>1．振替仕訳の作成・転記</t>
    <rPh sb="2" eb="4">
      <t>フリカエ</t>
    </rPh>
    <rPh sb="4" eb="6">
      <t>シワケ</t>
    </rPh>
    <rPh sb="7" eb="9">
      <t>サクセイ</t>
    </rPh>
    <rPh sb="10" eb="12">
      <t>テンキ</t>
    </rPh>
    <phoneticPr fontId="3"/>
  </si>
  <si>
    <t>バッチ仕訳の作成を使用し、以下対象のリースは</t>
    <rPh sb="3" eb="5">
      <t>シワケ</t>
    </rPh>
    <rPh sb="6" eb="8">
      <t>サクセイ</t>
    </rPh>
    <rPh sb="9" eb="11">
      <t>シヨウ</t>
    </rPh>
    <rPh sb="13" eb="15">
      <t>イカ</t>
    </rPh>
    <rPh sb="15" eb="17">
      <t>タイショウ</t>
    </rPh>
    <phoneticPr fontId="3"/>
  </si>
  <si>
    <t>経費スケジュールに登録されている仕訳の作成・転記を</t>
    <rPh sb="9" eb="11">
      <t>トウロク</t>
    </rPh>
    <rPh sb="16" eb="18">
      <t>シワケ</t>
    </rPh>
    <rPh sb="19" eb="21">
      <t>サクセイ</t>
    </rPh>
    <rPh sb="22" eb="24">
      <t>テンキ</t>
    </rPh>
    <phoneticPr fontId="3"/>
  </si>
  <si>
    <t>行う。</t>
  </si>
  <si>
    <r>
      <t>スケジュールの選択：</t>
    </r>
    <r>
      <rPr>
        <b/>
        <sz val="10"/>
        <color rgb="FFFF0000"/>
        <rFont val="Meiryo UI"/>
        <family val="3"/>
        <charset val="128"/>
      </rPr>
      <t>経費スケジュール</t>
    </r>
    <rPh sb="7" eb="9">
      <t>センタク</t>
    </rPh>
    <rPh sb="10" eb="12">
      <t>ケイヒ</t>
    </rPh>
    <phoneticPr fontId="3"/>
  </si>
  <si>
    <t>経費タイプ：リースに登録されている経費タイプ</t>
    <rPh sb="0" eb="2">
      <t>ケイヒ</t>
    </rPh>
    <rPh sb="10" eb="12">
      <t>トウロク</t>
    </rPh>
    <rPh sb="17" eb="19">
      <t>ケイヒ</t>
    </rPh>
    <phoneticPr fontId="3"/>
  </si>
  <si>
    <t>賃借料</t>
    <rPh sb="0" eb="3">
      <t>チンシャクリョウ</t>
    </rPh>
    <phoneticPr fontId="3"/>
  </si>
  <si>
    <t>1．減価償却計上仕訳の作成・転記</t>
    <rPh sb="2" eb="6">
      <t>ゲンカショウキャク</t>
    </rPh>
    <rPh sb="6" eb="8">
      <t>ケイジョウ</t>
    </rPh>
    <rPh sb="8" eb="10">
      <t>シワケ</t>
    </rPh>
    <rPh sb="11" eb="13">
      <t>サクセイ</t>
    </rPh>
    <rPh sb="14" eb="16">
      <t>テンキ</t>
    </rPh>
    <phoneticPr fontId="3"/>
  </si>
  <si>
    <t>バッチ仕訳の作成を使用し、資産減価償却スケジュールに</t>
    <rPh sb="3" eb="5">
      <t>シワケ</t>
    </rPh>
    <rPh sb="6" eb="8">
      <t>サクセイ</t>
    </rPh>
    <rPh sb="9" eb="11">
      <t>シヨウ</t>
    </rPh>
    <rPh sb="13" eb="19">
      <t>シサンゲンカショウキャク</t>
    </rPh>
    <phoneticPr fontId="3"/>
  </si>
  <si>
    <t>登録されている減価償却計上仕訳の作成・転記を行う。</t>
    <rPh sb="0" eb="2">
      <t>トウロク</t>
    </rPh>
    <rPh sb="7" eb="11">
      <t>ゲンカショウキャク</t>
    </rPh>
    <rPh sb="11" eb="13">
      <t>ケイジョウ</t>
    </rPh>
    <rPh sb="13" eb="15">
      <t>シワケ</t>
    </rPh>
    <rPh sb="16" eb="18">
      <t>サクセイ</t>
    </rPh>
    <rPh sb="19" eb="21">
      <t>テンキ</t>
    </rPh>
    <rPh sb="22" eb="23">
      <t>オコナ</t>
    </rPh>
    <phoneticPr fontId="3"/>
  </si>
  <si>
    <r>
      <t>スケジュールの選択：</t>
    </r>
    <r>
      <rPr>
        <b/>
        <sz val="10"/>
        <color rgb="FFFF0000"/>
        <rFont val="Meiryo UI"/>
        <family val="3"/>
        <charset val="128"/>
      </rPr>
      <t>資産減価償却スケジュール</t>
    </r>
    <rPh sb="7" eb="9">
      <t>センタク</t>
    </rPh>
    <rPh sb="10" eb="12">
      <t>シサン</t>
    </rPh>
    <rPh sb="12" eb="14">
      <t>ゲンカ</t>
    </rPh>
    <rPh sb="14" eb="16">
      <t>ショウキャク</t>
    </rPh>
    <phoneticPr fontId="3"/>
  </si>
  <si>
    <t>減価償却費</t>
    <rPh sb="4" eb="5">
      <t>ヒ</t>
    </rPh>
    <phoneticPr fontId="3"/>
  </si>
  <si>
    <t>減価償却累計額</t>
    <rPh sb="0" eb="4">
      <t>ゲンカショウキャク</t>
    </rPh>
    <rPh sb="4" eb="7">
      <t>ルイケイガク</t>
    </rPh>
    <phoneticPr fontId="3"/>
  </si>
  <si>
    <t>6．短期リース負債の再分類</t>
    <rPh sb="2" eb="4">
      <t>タンキ</t>
    </rPh>
    <rPh sb="7" eb="9">
      <t>フサイ</t>
    </rPh>
    <rPh sb="10" eb="11">
      <t>サイ</t>
    </rPh>
    <rPh sb="11" eb="13">
      <t>ブンルイ</t>
    </rPh>
    <phoneticPr fontId="3"/>
  </si>
  <si>
    <t>1．長短振替登録</t>
    <rPh sb="2" eb="4">
      <t>チョウタン</t>
    </rPh>
    <rPh sb="4" eb="6">
      <t>フリカエ</t>
    </rPh>
    <rPh sb="6" eb="8">
      <t>トウロク</t>
    </rPh>
    <phoneticPr fontId="3"/>
  </si>
  <si>
    <t>決算時に、一般仕訳帳を使用して、</t>
    <rPh sb="0" eb="3">
      <t>ケッサンジ</t>
    </rPh>
    <rPh sb="5" eb="10">
      <t>イッパンシワケチョウ</t>
    </rPh>
    <rPh sb="11" eb="13">
      <t>シヨウ</t>
    </rPh>
    <phoneticPr fontId="3"/>
  </si>
  <si>
    <t>リース債務の長期から短期への振替処理を行う。</t>
    <rPh sb="3" eb="5">
      <t>サイム</t>
    </rPh>
    <rPh sb="6" eb="8">
      <t>チョウキ</t>
    </rPh>
    <rPh sb="10" eb="12">
      <t>タンキ</t>
    </rPh>
    <rPh sb="14" eb="18">
      <t>フリカエショリ</t>
    </rPh>
    <rPh sb="19" eb="20">
      <t>オコナ</t>
    </rPh>
    <phoneticPr fontId="3"/>
  </si>
  <si>
    <t>各転記階層各帳簿（日本会計、IFRS）ごとに</t>
    <rPh sb="0" eb="1">
      <t>カク</t>
    </rPh>
    <rPh sb="1" eb="3">
      <t>テンキ</t>
    </rPh>
    <rPh sb="3" eb="5">
      <t>カイソウ</t>
    </rPh>
    <phoneticPr fontId="3"/>
  </si>
  <si>
    <t>作業を行う。</t>
  </si>
  <si>
    <t>2．長短振替仕訳承認依頼</t>
    <rPh sb="2" eb="4">
      <t>チョウタン</t>
    </rPh>
    <rPh sb="4" eb="6">
      <t>フリカエ</t>
    </rPh>
    <rPh sb="6" eb="8">
      <t>シワケ</t>
    </rPh>
    <rPh sb="8" eb="10">
      <t>ショウニン</t>
    </rPh>
    <rPh sb="10" eb="12">
      <t>イライ</t>
    </rPh>
    <phoneticPr fontId="3"/>
  </si>
  <si>
    <t>上記で登録した仕訳の承認依頼を行う。</t>
    <rPh sb="0" eb="2">
      <t>ジョウキ</t>
    </rPh>
    <rPh sb="3" eb="5">
      <t>トウロク</t>
    </rPh>
    <rPh sb="7" eb="9">
      <t>シワケ</t>
    </rPh>
    <rPh sb="10" eb="14">
      <t>ショウニンイライ</t>
    </rPh>
    <rPh sb="15" eb="16">
      <t>オコナ</t>
    </rPh>
    <phoneticPr fontId="3"/>
  </si>
  <si>
    <t>3．長短振替仕訳承認</t>
    <rPh sb="2" eb="4">
      <t>チョウタン</t>
    </rPh>
    <rPh sb="4" eb="6">
      <t>フリカエ</t>
    </rPh>
    <rPh sb="6" eb="8">
      <t>シワケ</t>
    </rPh>
    <rPh sb="8" eb="10">
      <t>ショウニン</t>
    </rPh>
    <phoneticPr fontId="3"/>
  </si>
  <si>
    <t>長短振替仕訳の承認を行う。</t>
    <rPh sb="0" eb="4">
      <t>チョウタンフリカエ</t>
    </rPh>
    <rPh sb="4" eb="6">
      <t>シワケ</t>
    </rPh>
    <rPh sb="7" eb="9">
      <t>ショウニン</t>
    </rPh>
    <rPh sb="10" eb="11">
      <t>オコナ</t>
    </rPh>
    <phoneticPr fontId="3"/>
  </si>
  <si>
    <t>リース債務(流動)</t>
    <rPh sb="3" eb="5">
      <t>サイム</t>
    </rPh>
    <rPh sb="6" eb="8">
      <t>リュウドウ</t>
    </rPh>
    <phoneticPr fontId="3"/>
  </si>
  <si>
    <t>決算処理後に長短振替の仕訳を戻す作業を行う。</t>
    <rPh sb="0" eb="4">
      <t>ケッサンショリ</t>
    </rPh>
    <rPh sb="4" eb="5">
      <t>ゴ</t>
    </rPh>
    <rPh sb="6" eb="10">
      <t>チョウタンフリカエ</t>
    </rPh>
    <rPh sb="11" eb="13">
      <t>シワケ</t>
    </rPh>
    <rPh sb="14" eb="15">
      <t>モド</t>
    </rPh>
    <rPh sb="16" eb="18">
      <t>サギョウ</t>
    </rPh>
    <rPh sb="19" eb="20">
      <t>オコナ</t>
    </rPh>
    <phoneticPr fontId="3"/>
  </si>
  <si>
    <t>7．リース解約処理</t>
    <rPh sb="5" eb="7">
      <t>カイヤク</t>
    </rPh>
    <rPh sb="7" eb="9">
      <t>ショリ</t>
    </rPh>
    <phoneticPr fontId="3"/>
  </si>
  <si>
    <t>2．リース終了承認依頼</t>
    <rPh sb="5" eb="7">
      <t>シュウリョウ</t>
    </rPh>
    <rPh sb="7" eb="11">
      <t>ショウニンイライ</t>
    </rPh>
    <phoneticPr fontId="3"/>
  </si>
  <si>
    <t>リース終了画面からリースの解約内容の</t>
    <rPh sb="3" eb="7">
      <t>シュウリョウガメン</t>
    </rPh>
    <rPh sb="13" eb="17">
      <t>カイヤクナイヨウ</t>
    </rPh>
    <phoneticPr fontId="3"/>
  </si>
  <si>
    <t>承認依頼を実施。</t>
    <rPh sb="0" eb="4">
      <t>ショウニンイライ</t>
    </rPh>
    <rPh sb="5" eb="7">
      <t>ジッシ</t>
    </rPh>
    <phoneticPr fontId="3"/>
  </si>
  <si>
    <t>3．リース終了承認</t>
    <rPh sb="5" eb="7">
      <t>シュウリョウ</t>
    </rPh>
    <rPh sb="7" eb="9">
      <t>ショウニン</t>
    </rPh>
    <phoneticPr fontId="3"/>
  </si>
  <si>
    <t>承認を実施。</t>
    <rPh sb="0" eb="2">
      <t>ショウニン</t>
    </rPh>
    <rPh sb="3" eb="5">
      <t>ジッシ</t>
    </rPh>
    <phoneticPr fontId="3"/>
  </si>
  <si>
    <t>4．リース終了処理</t>
    <rPh sb="5" eb="7">
      <t>シュウリョウ</t>
    </rPh>
    <rPh sb="7" eb="9">
      <t>ショリ</t>
    </rPh>
    <phoneticPr fontId="3"/>
  </si>
  <si>
    <t>退職ボタンを押下し、リース終了トランザクションの</t>
    <rPh sb="0" eb="2">
      <t>タイショク</t>
    </rPh>
    <rPh sb="6" eb="8">
      <t>オウカ</t>
    </rPh>
    <rPh sb="13" eb="15">
      <t>シュウリョウ</t>
    </rPh>
    <phoneticPr fontId="3"/>
  </si>
  <si>
    <t>転記処理を行う。</t>
  </si>
  <si>
    <t>減価償却累計額</t>
    <rPh sb="0" eb="7">
      <t>ゲンカショウキャクルイケイガク</t>
    </rPh>
    <phoneticPr fontId="3"/>
  </si>
  <si>
    <t>特損／リース資除却損</t>
  </si>
  <si>
    <t>8．リース内容変更（名称変更）</t>
    <rPh sb="5" eb="9">
      <t>ナイヨウヘンコウ</t>
    </rPh>
    <rPh sb="10" eb="14">
      <t>メイショウヘンコウ</t>
    </rPh>
    <phoneticPr fontId="3"/>
  </si>
  <si>
    <t>1．リース(帳簿)名称変更</t>
    <rPh sb="6" eb="8">
      <t>チョウボ</t>
    </rPh>
    <rPh sb="9" eb="13">
      <t>メイショウヘンコウ</t>
    </rPh>
    <phoneticPr fontId="3"/>
  </si>
  <si>
    <t>対象のリース選択し、各帳簿のリースの名称</t>
    <rPh sb="0" eb="2">
      <t>タイショウ</t>
    </rPh>
    <rPh sb="6" eb="8">
      <t>センタク</t>
    </rPh>
    <rPh sb="10" eb="13">
      <t>カクチョウボ</t>
    </rPh>
    <rPh sb="18" eb="20">
      <t>メイショウ</t>
    </rPh>
    <phoneticPr fontId="3"/>
  </si>
  <si>
    <t>(項目名：リースの説明）を変更する。</t>
    <rPh sb="1" eb="4">
      <t>コウモクメイ</t>
    </rPh>
    <rPh sb="9" eb="11">
      <t>セツメイ</t>
    </rPh>
    <rPh sb="13" eb="15">
      <t>ヘンコウ</t>
    </rPh>
    <phoneticPr fontId="3"/>
  </si>
  <si>
    <t>他修正（金額、割引率、開始日、回数）については、</t>
    <rPh sb="0" eb="1">
      <t>ホカ</t>
    </rPh>
    <rPh sb="1" eb="3">
      <t>シュウセイ</t>
    </rPh>
    <phoneticPr fontId="3"/>
  </si>
  <si>
    <t>入力ミスの防止、発生した場合は</t>
    <rPh sb="0" eb="2">
      <t>ニュウリョク</t>
    </rPh>
    <rPh sb="5" eb="7">
      <t>ボウシ</t>
    </rPh>
    <phoneticPr fontId="3"/>
  </si>
  <si>
    <t>削除（解約処理）＋新規登録で対応する。</t>
    <phoneticPr fontId="3"/>
  </si>
  <si>
    <t>9．減損処理</t>
    <rPh sb="2" eb="6">
      <t>ゲンソンショリ</t>
    </rPh>
    <phoneticPr fontId="3"/>
  </si>
  <si>
    <t>※減価償却を実施してから、減損を行う。</t>
    <rPh sb="1" eb="5">
      <t>ゲンカショウキャク</t>
    </rPh>
    <rPh sb="6" eb="8">
      <t>ジッシ</t>
    </rPh>
    <rPh sb="13" eb="15">
      <t>ゲンソン</t>
    </rPh>
    <rPh sb="16" eb="17">
      <t>オコナ</t>
    </rPh>
    <phoneticPr fontId="3"/>
  </si>
  <si>
    <t>1．減損登録</t>
    <rPh sb="2" eb="6">
      <t>ゲンソントウロク</t>
    </rPh>
    <phoneticPr fontId="3"/>
  </si>
  <si>
    <t>対象のリース選択後、減損の登録を行う。</t>
    <rPh sb="0" eb="2">
      <t>タイショウ</t>
    </rPh>
    <rPh sb="6" eb="8">
      <t>センタク</t>
    </rPh>
    <rPh sb="8" eb="9">
      <t>ゴ</t>
    </rPh>
    <rPh sb="10" eb="12">
      <t>ゲンソン</t>
    </rPh>
    <rPh sb="13" eb="15">
      <t>トウロク</t>
    </rPh>
    <rPh sb="16" eb="17">
      <t>オコナ</t>
    </rPh>
    <phoneticPr fontId="3"/>
  </si>
  <si>
    <t>各帳簿（日本会計、IFRS）で実施が必要。</t>
    <rPh sb="0" eb="3">
      <t>カクチョウボ</t>
    </rPh>
    <rPh sb="4" eb="8">
      <t>ニホンカイケイ</t>
    </rPh>
    <rPh sb="15" eb="17">
      <t>ジッシ</t>
    </rPh>
    <rPh sb="18" eb="20">
      <t>ヒツヨウ</t>
    </rPh>
    <phoneticPr fontId="3"/>
  </si>
  <si>
    <t>特損／減損損失</t>
    <phoneticPr fontId="3"/>
  </si>
  <si>
    <t>※減損機能では、直接法で仕訳を作成</t>
    <rPh sb="1" eb="5">
      <t>ゲンソンキノウ</t>
    </rPh>
    <rPh sb="8" eb="11">
      <t>チョクセツホウ</t>
    </rPh>
    <rPh sb="12" eb="14">
      <t>シワケ</t>
    </rPh>
    <rPh sb="15" eb="17">
      <t>サクセイ</t>
    </rPh>
    <phoneticPr fontId="3"/>
  </si>
  <si>
    <t>2．間接法の振替仕訳の登録</t>
    <rPh sb="2" eb="5">
      <t>カンセツホウ</t>
    </rPh>
    <rPh sb="6" eb="10">
      <t>フリカエシワケ</t>
    </rPh>
    <rPh sb="11" eb="13">
      <t>トウロク</t>
    </rPh>
    <phoneticPr fontId="3"/>
  </si>
  <si>
    <t>一般仕訳帳を使用して、間接法の振替処理を行う。</t>
    <rPh sb="0" eb="5">
      <t>イッパンシワケチョウ</t>
    </rPh>
    <rPh sb="6" eb="8">
      <t>シヨウ</t>
    </rPh>
    <phoneticPr fontId="3"/>
  </si>
  <si>
    <t>各転記階層ごとに作業を行う。</t>
    <rPh sb="0" eb="1">
      <t>カク</t>
    </rPh>
    <rPh sb="1" eb="3">
      <t>テンキ</t>
    </rPh>
    <rPh sb="3" eb="5">
      <t>カイソウ</t>
    </rPh>
    <rPh sb="8" eb="10">
      <t>サギョウ</t>
    </rPh>
    <rPh sb="11" eb="12">
      <t>オコナ</t>
    </rPh>
    <phoneticPr fontId="3"/>
  </si>
  <si>
    <t>3．間接法の振替仕訳の承認依頼</t>
    <rPh sb="2" eb="5">
      <t>カンセツホウ</t>
    </rPh>
    <rPh sb="6" eb="10">
      <t>フリカエシワケ</t>
    </rPh>
    <rPh sb="11" eb="15">
      <t>ショウニンイライ</t>
    </rPh>
    <phoneticPr fontId="3"/>
  </si>
  <si>
    <t>4．間接法の振替仕訳承認</t>
    <rPh sb="2" eb="5">
      <t>カンセツホウ</t>
    </rPh>
    <rPh sb="6" eb="8">
      <t>フリカエ</t>
    </rPh>
    <rPh sb="8" eb="10">
      <t>シワケ</t>
    </rPh>
    <rPh sb="10" eb="12">
      <t>ショウニン</t>
    </rPh>
    <phoneticPr fontId="3"/>
  </si>
  <si>
    <t>間接法の振替仕訳の承認を行う。</t>
    <rPh sb="0" eb="2">
      <t>カンセツ</t>
    </rPh>
    <rPh sb="2" eb="3">
      <t>ホウ</t>
    </rPh>
    <rPh sb="4" eb="6">
      <t>フリカエ</t>
    </rPh>
    <rPh sb="6" eb="8">
      <t>シワケ</t>
    </rPh>
    <rPh sb="9" eb="11">
      <t>ショウニン</t>
    </rPh>
    <rPh sb="12" eb="13">
      <t>オコナ</t>
    </rPh>
    <phoneticPr fontId="3"/>
  </si>
  <si>
    <t>各転記階層（日本会計、IFRS）ごとに作業を行う。</t>
    <rPh sb="0" eb="1">
      <t>カク</t>
    </rPh>
    <rPh sb="1" eb="3">
      <t>テンキ</t>
    </rPh>
    <rPh sb="3" eb="5">
      <t>カイソウ</t>
    </rPh>
    <rPh sb="6" eb="10">
      <t>ニホンカイケイ</t>
    </rPh>
    <rPh sb="19" eb="21">
      <t>サギョウ</t>
    </rPh>
    <rPh sb="22" eb="23">
      <t>オコナ</t>
    </rPh>
    <phoneticPr fontId="3"/>
  </si>
  <si>
    <t>減損損失累計額</t>
    <rPh sb="0" eb="4">
      <t>ゲンソンソンシツ</t>
    </rPh>
    <phoneticPr fontId="3"/>
  </si>
  <si>
    <t>ITDX</t>
    <phoneticPr fontId="3"/>
  </si>
  <si>
    <t>※2027年以降の新会計基準での対応検討が必要</t>
    <rPh sb="5" eb="8">
      <t>ネンイコウ</t>
    </rPh>
    <rPh sb="9" eb="10">
      <t>シン</t>
    </rPh>
    <rPh sb="10" eb="12">
      <t>カイケイ</t>
    </rPh>
    <rPh sb="12" eb="14">
      <t>キジュン</t>
    </rPh>
    <rPh sb="16" eb="18">
      <t>タイオウ</t>
    </rPh>
    <rPh sb="18" eb="20">
      <t>ケントウ</t>
    </rPh>
    <rPh sb="21" eb="23">
      <t>ヒツヨウ</t>
    </rPh>
    <phoneticPr fontId="3"/>
  </si>
  <si>
    <t>６．消費税額の登録</t>
    <rPh sb="2" eb="5">
      <t>ショウヒゼイ</t>
    </rPh>
    <rPh sb="5" eb="6">
      <t>ガク</t>
    </rPh>
    <rPh sb="7" eb="9">
      <t>トウロク</t>
    </rPh>
    <phoneticPr fontId="3"/>
  </si>
  <si>
    <t>300万以上ファイナンスリースは、リース債務を</t>
    <rPh sb="3" eb="6">
      <t>マンイジョウ</t>
    </rPh>
    <rPh sb="20" eb="22">
      <t>サイム</t>
    </rPh>
    <phoneticPr fontId="3"/>
  </si>
  <si>
    <t>税込みで登録を行う。</t>
    <rPh sb="0" eb="2">
      <t>ゼイコ</t>
    </rPh>
    <rPh sb="4" eb="6">
      <t>トウロク</t>
    </rPh>
    <rPh sb="7" eb="8">
      <t>オコナ</t>
    </rPh>
    <phoneticPr fontId="3"/>
  </si>
  <si>
    <t>リース資産には、消費税を含めないために、</t>
    <rPh sb="3" eb="5">
      <t>シサン</t>
    </rPh>
    <rPh sb="8" eb="11">
      <t>ショウヒゼイ</t>
    </rPh>
    <rPh sb="12" eb="13">
      <t>フク</t>
    </rPh>
    <phoneticPr fontId="3"/>
  </si>
  <si>
    <t>リースインセンティブ項目を使用して、消費税金額分</t>
    <rPh sb="10" eb="12">
      <t>コウモク</t>
    </rPh>
    <rPh sb="13" eb="15">
      <t>シヨウ</t>
    </rPh>
    <rPh sb="18" eb="24">
      <t>ショウヒゼイキンガクブン</t>
    </rPh>
    <phoneticPr fontId="3"/>
  </si>
  <si>
    <t>控除するよう登録を行う。</t>
    <rPh sb="0" eb="2">
      <t>コウジョ</t>
    </rPh>
    <rPh sb="6" eb="8">
      <t>トウロク</t>
    </rPh>
    <rPh sb="9" eb="10">
      <t>オコナ</t>
    </rPh>
    <phoneticPr fontId="3"/>
  </si>
  <si>
    <t>※300万円以上のファイナンスリースは税込の</t>
    <rPh sb="4" eb="6">
      <t>マンエン</t>
    </rPh>
    <rPh sb="6" eb="8">
      <t>イジョウ</t>
    </rPh>
    <rPh sb="19" eb="21">
      <t>ゼイコ</t>
    </rPh>
    <phoneticPr fontId="3"/>
  </si>
  <si>
    <t>　月額リース料、見積購入価格を基に利率を算出</t>
    <rPh sb="1" eb="3">
      <t>ゲツガク</t>
    </rPh>
    <rPh sb="6" eb="7">
      <t>リョウ</t>
    </rPh>
    <rPh sb="8" eb="10">
      <t>ミツ</t>
    </rPh>
    <rPh sb="10" eb="12">
      <t>コウニュウ</t>
    </rPh>
    <rPh sb="12" eb="14">
      <t>カカク</t>
    </rPh>
    <rPh sb="15" eb="16">
      <t>モト</t>
    </rPh>
    <rPh sb="17" eb="19">
      <t>リリツ</t>
    </rPh>
    <rPh sb="20" eb="22">
      <t>サンシュツ</t>
    </rPh>
    <phoneticPr fontId="3"/>
  </si>
  <si>
    <t>７．支払スケジュール確定処理</t>
    <rPh sb="2" eb="4">
      <t>シハライ</t>
    </rPh>
    <rPh sb="10" eb="12">
      <t>カクテイ</t>
    </rPh>
    <rPh sb="12" eb="14">
      <t>ショリ</t>
    </rPh>
    <phoneticPr fontId="3"/>
  </si>
  <si>
    <t>８．初期認識</t>
    <rPh sb="2" eb="6">
      <t>ショキニンシキ</t>
    </rPh>
    <phoneticPr fontId="3"/>
  </si>
  <si>
    <t>９．リース資産計上仕訳の承認依頼</t>
    <rPh sb="5" eb="7">
      <t>シサン</t>
    </rPh>
    <rPh sb="7" eb="9">
      <t>ケイジョウ</t>
    </rPh>
    <rPh sb="9" eb="11">
      <t>シワケ</t>
    </rPh>
    <rPh sb="12" eb="14">
      <t>ショウニン</t>
    </rPh>
    <rPh sb="14" eb="16">
      <t>イライ</t>
    </rPh>
    <phoneticPr fontId="3"/>
  </si>
  <si>
    <t>１０．リース資産計上仕訳の承認</t>
    <rPh sb="6" eb="8">
      <t>シサン</t>
    </rPh>
    <rPh sb="8" eb="10">
      <t>ケイジョウ</t>
    </rPh>
    <rPh sb="10" eb="12">
      <t>シワケ</t>
    </rPh>
    <rPh sb="13" eb="15">
      <t>ショウニン</t>
    </rPh>
    <phoneticPr fontId="3"/>
  </si>
  <si>
    <t>スケジュールされたバッチ処理により</t>
    <rPh sb="12" eb="14">
      <t>ショリ</t>
    </rPh>
    <phoneticPr fontId="3"/>
  </si>
  <si>
    <t>承認済の資産リース仕訳が自動転記処理される</t>
    <rPh sb="0" eb="3">
      <t>ショウニンスミ</t>
    </rPh>
    <rPh sb="4" eb="6">
      <t>シサン</t>
    </rPh>
    <rPh sb="9" eb="11">
      <t>シワケ</t>
    </rPh>
    <rPh sb="12" eb="14">
      <t>ジドウ</t>
    </rPh>
    <rPh sb="14" eb="18">
      <t>テンキショリ</t>
    </rPh>
    <phoneticPr fontId="3"/>
  </si>
  <si>
    <t>300万以上のファイナンスリース</t>
    <phoneticPr fontId="3"/>
  </si>
  <si>
    <t>転記階層：日本会計、税申告、IFRS</t>
    <rPh sb="0" eb="4">
      <t>テンキカイソウ</t>
    </rPh>
    <phoneticPr fontId="3"/>
  </si>
  <si>
    <t>300万未満のファイナンスリース、</t>
    <rPh sb="4" eb="6">
      <t>ミマン</t>
    </rPh>
    <phoneticPr fontId="3"/>
  </si>
  <si>
    <t>オペレーティングリース、レンタル、少額、IFRS使用権資産</t>
    <rPh sb="17" eb="19">
      <t>ショウガク</t>
    </rPh>
    <phoneticPr fontId="3"/>
  </si>
  <si>
    <t>転記階層：IFRS</t>
    <rPh sb="0" eb="4">
      <t>テンキカイソウ</t>
    </rPh>
    <phoneticPr fontId="3"/>
  </si>
  <si>
    <t>【300万以上ファイナンスリースのみ発生】</t>
    <rPh sb="5" eb="7">
      <t>イジョウ</t>
    </rPh>
    <phoneticPr fontId="3"/>
  </si>
  <si>
    <t>未払金（リース料）</t>
    <rPh sb="0" eb="3">
      <t>ミバライキン</t>
    </rPh>
    <rPh sb="7" eb="8">
      <t>リョウ</t>
    </rPh>
    <phoneticPr fontId="3"/>
  </si>
  <si>
    <t>リースインセンティブ項目</t>
  </si>
  <si>
    <t>１２．消費税振替登録</t>
    <rPh sb="3" eb="6">
      <t>ショウヒゼイ</t>
    </rPh>
    <rPh sb="6" eb="8">
      <t>フリカエ</t>
    </rPh>
    <rPh sb="8" eb="10">
      <t>トウロク</t>
    </rPh>
    <phoneticPr fontId="3"/>
  </si>
  <si>
    <t>１０で発生した未払金を仮払消費税への</t>
    <rPh sb="3" eb="5">
      <t>ハッセイ</t>
    </rPh>
    <rPh sb="7" eb="10">
      <t>ミバライキン</t>
    </rPh>
    <rPh sb="11" eb="13">
      <t>カリバライ</t>
    </rPh>
    <rPh sb="13" eb="16">
      <t>ショウヒゼイ</t>
    </rPh>
    <phoneticPr fontId="3"/>
  </si>
  <si>
    <t>振替登録を行う。</t>
    <rPh sb="0" eb="4">
      <t>フリカエトウロク</t>
    </rPh>
    <rPh sb="5" eb="6">
      <t>オコナ</t>
    </rPh>
    <phoneticPr fontId="3"/>
  </si>
  <si>
    <t>１３．承認</t>
    <rPh sb="3" eb="5">
      <t>ショウニン</t>
    </rPh>
    <phoneticPr fontId="3"/>
  </si>
  <si>
    <t>事務管理G責任者が該当する仕訳帳の内容を</t>
    <rPh sb="0" eb="4">
      <t>ジムカンリ</t>
    </rPh>
    <rPh sb="5" eb="8">
      <t>セキニンシャ</t>
    </rPh>
    <rPh sb="9" eb="11">
      <t>ガイトウ</t>
    </rPh>
    <rPh sb="13" eb="16">
      <t>シワケチョウ</t>
    </rPh>
    <rPh sb="17" eb="19">
      <t>ナイヨウ</t>
    </rPh>
    <phoneticPr fontId="3"/>
  </si>
  <si>
    <t>確認し、一般仕訳帳（承認）画面から、承認を行う。</t>
    <rPh sb="4" eb="6">
      <t>イッパン</t>
    </rPh>
    <rPh sb="6" eb="9">
      <t>シワケチョウ</t>
    </rPh>
    <rPh sb="10" eb="12">
      <t>ショウニン</t>
    </rPh>
    <rPh sb="13" eb="15">
      <t>ガメン</t>
    </rPh>
    <rPh sb="18" eb="20">
      <t>ショウニン</t>
    </rPh>
    <rPh sb="21" eb="22">
      <t>オコナ</t>
    </rPh>
    <phoneticPr fontId="3"/>
  </si>
  <si>
    <t>1４．自動転記バッチ</t>
    <rPh sb="3" eb="5">
      <t>ジドウ</t>
    </rPh>
    <rPh sb="5" eb="7">
      <t>テンキ</t>
    </rPh>
    <phoneticPr fontId="3"/>
  </si>
  <si>
    <t>承認済の一般仕訳帳が自動転記処理される</t>
    <rPh sb="0" eb="3">
      <t>ショウニンスミ</t>
    </rPh>
    <rPh sb="4" eb="9">
      <t>イッパンシワケチョウ</t>
    </rPh>
    <rPh sb="10" eb="12">
      <t>ジドウ</t>
    </rPh>
    <rPh sb="12" eb="16">
      <t>テンキショリ</t>
    </rPh>
    <phoneticPr fontId="3"/>
  </si>
  <si>
    <t>【300万以上ファイナンスリースのみ登録】</t>
    <rPh sb="5" eb="7">
      <t>イジョウ</t>
    </rPh>
    <rPh sb="18" eb="20">
      <t>トウロク</t>
    </rPh>
    <phoneticPr fontId="3"/>
  </si>
  <si>
    <t>仮払消費税</t>
    <rPh sb="0" eb="5">
      <t>カリバライショウヒゼイ</t>
    </rPh>
    <phoneticPr fontId="3"/>
  </si>
  <si>
    <t>1５．レポート内容確認</t>
    <rPh sb="7" eb="11">
      <t>ナイヨウカクニン</t>
    </rPh>
    <phoneticPr fontId="3"/>
  </si>
  <si>
    <t>以下リースについては、一般仕訳帳アップロードを使用して、</t>
    <rPh sb="0" eb="2">
      <t>イカ</t>
    </rPh>
    <rPh sb="11" eb="13">
      <t>イッパン</t>
    </rPh>
    <rPh sb="13" eb="16">
      <t>シワケチョウ</t>
    </rPh>
    <rPh sb="23" eb="25">
      <t>シヨウ</t>
    </rPh>
    <phoneticPr fontId="3"/>
  </si>
  <si>
    <t>・レンタル</t>
    <phoneticPr fontId="3"/>
  </si>
  <si>
    <t>・少額</t>
    <rPh sb="1" eb="3">
      <t>ショウガク</t>
    </rPh>
    <phoneticPr fontId="3"/>
  </si>
  <si>
    <t>4．IFRS　賃借料の振替</t>
    <rPh sb="7" eb="10">
      <t>チンシャクリョウ</t>
    </rPh>
    <rPh sb="11" eb="13">
      <t>フリカエ</t>
    </rPh>
    <phoneticPr fontId="3"/>
  </si>
  <si>
    <t>1．振替仕訳の作成</t>
    <rPh sb="2" eb="4">
      <t>フリカエ</t>
    </rPh>
    <rPh sb="4" eb="6">
      <t>シワケ</t>
    </rPh>
    <rPh sb="7" eb="9">
      <t>サクセイ</t>
    </rPh>
    <phoneticPr fontId="3"/>
  </si>
  <si>
    <t>一般仕訳帳アップロードで、以下対象のリースは</t>
    <rPh sb="0" eb="5">
      <t>イッパンシワケチョウ</t>
    </rPh>
    <phoneticPr fontId="3"/>
  </si>
  <si>
    <t>支払スケジュールで発生した未払金の</t>
    <rPh sb="0" eb="2">
      <t>シハライ</t>
    </rPh>
    <rPh sb="9" eb="11">
      <t>ハッセイ</t>
    </rPh>
    <rPh sb="13" eb="16">
      <t>ミバライキン</t>
    </rPh>
    <phoneticPr fontId="3"/>
  </si>
  <si>
    <t>賃借料への振替処理を行う。</t>
    <rPh sb="0" eb="3">
      <t>チンシャクリョウ</t>
    </rPh>
    <rPh sb="5" eb="7">
      <t>フリカエ</t>
    </rPh>
    <rPh sb="7" eb="9">
      <t>ショリ</t>
    </rPh>
    <rPh sb="10" eb="11">
      <t>オコナ</t>
    </rPh>
    <phoneticPr fontId="3"/>
  </si>
  <si>
    <t>２．承認依頼</t>
    <rPh sb="2" eb="6">
      <t>ショウニンイライ</t>
    </rPh>
    <phoneticPr fontId="3"/>
  </si>
  <si>
    <t>担当者は、登録した仕訳帳の承認依頼を行う。</t>
    <rPh sb="0" eb="3">
      <t>タントウシャ</t>
    </rPh>
    <rPh sb="5" eb="7">
      <t>トウロク</t>
    </rPh>
    <rPh sb="9" eb="12">
      <t>シワケチョウ</t>
    </rPh>
    <rPh sb="13" eb="17">
      <t>ショウニンイライ</t>
    </rPh>
    <rPh sb="18" eb="19">
      <t>オコナ</t>
    </rPh>
    <phoneticPr fontId="3"/>
  </si>
  <si>
    <t>３．承認</t>
    <rPh sb="2" eb="4">
      <t>ショウニン</t>
    </rPh>
    <phoneticPr fontId="3"/>
  </si>
  <si>
    <t>責任者は、申請された伝票の内容を確認し、</t>
    <rPh sb="0" eb="3">
      <t>セキニンシャ</t>
    </rPh>
    <rPh sb="5" eb="7">
      <t>シンセイ</t>
    </rPh>
    <rPh sb="10" eb="12">
      <t>デンピョウ</t>
    </rPh>
    <rPh sb="13" eb="15">
      <t>ナイヨウ</t>
    </rPh>
    <rPh sb="16" eb="18">
      <t>カクニン</t>
    </rPh>
    <phoneticPr fontId="3"/>
  </si>
  <si>
    <t>承認を行う。</t>
    <rPh sb="0" eb="2">
      <t>ショウニン</t>
    </rPh>
    <rPh sb="3" eb="4">
      <t>オコナ</t>
    </rPh>
    <phoneticPr fontId="3"/>
  </si>
  <si>
    <t>仕訳帳承認対象一覧でも承認可能</t>
    <phoneticPr fontId="3"/>
  </si>
  <si>
    <t>4．自動転記バッチ</t>
    <rPh sb="2" eb="4">
      <t>ジドウ</t>
    </rPh>
    <rPh sb="4" eb="6">
      <t>テンキ</t>
    </rPh>
    <phoneticPr fontId="3"/>
  </si>
  <si>
    <t>承認済仕訳帳が自動転記処理される</t>
    <rPh sb="0" eb="3">
      <t>ショウニンスミ</t>
    </rPh>
    <rPh sb="3" eb="6">
      <t>シワケチョウ</t>
    </rPh>
    <rPh sb="7" eb="9">
      <t>ジドウ</t>
    </rPh>
    <rPh sb="9" eb="13">
      <t>テンキショリ</t>
    </rPh>
    <phoneticPr fontId="3"/>
  </si>
  <si>
    <t>【有形資産】</t>
    <rPh sb="1" eb="3">
      <t>ユウケイ</t>
    </rPh>
    <rPh sb="3" eb="5">
      <t>シサン</t>
    </rPh>
    <phoneticPr fontId="3"/>
  </si>
  <si>
    <t>【無形資産】</t>
    <rPh sb="1" eb="3">
      <t>ムケイ</t>
    </rPh>
    <rPh sb="3" eb="5">
      <t>シサン</t>
    </rPh>
    <phoneticPr fontId="3"/>
  </si>
  <si>
    <t>300万以上のファイナンスリース、</t>
    <phoneticPr fontId="3"/>
  </si>
  <si>
    <t>資産リース</t>
    <rPh sb="0" eb="2">
      <t>シサン</t>
    </rPh>
    <phoneticPr fontId="3"/>
  </si>
  <si>
    <t>転記階層：日本会計、税申告</t>
    <rPh sb="0" eb="4">
      <t>テンキカイソウ</t>
    </rPh>
    <rPh sb="5" eb="7">
      <t>ニホン</t>
    </rPh>
    <rPh sb="7" eb="9">
      <t>カイケイ</t>
    </rPh>
    <rPh sb="10" eb="13">
      <t>ゼイシンコク</t>
    </rPh>
    <phoneticPr fontId="3"/>
  </si>
  <si>
    <t>４．自動転記バッチ</t>
    <rPh sb="2" eb="4">
      <t>ジドウ</t>
    </rPh>
    <rPh sb="4" eb="6">
      <t>テンキ</t>
    </rPh>
    <phoneticPr fontId="3"/>
  </si>
  <si>
    <t>7．リース内容変更（名称変更）</t>
    <rPh sb="5" eb="9">
      <t>ナイヨウヘンコウ</t>
    </rPh>
    <rPh sb="10" eb="14">
      <t>メイショウヘンコウ</t>
    </rPh>
    <phoneticPr fontId="3"/>
  </si>
  <si>
    <t>8．減損処理</t>
    <rPh sb="2" eb="6">
      <t>ゲンソンショリ</t>
    </rPh>
    <phoneticPr fontId="3"/>
  </si>
  <si>
    <t>転記階層：日本会計、IFRS</t>
    <rPh sb="0" eb="4">
      <t>テンキカイソウ</t>
    </rPh>
    <phoneticPr fontId="3"/>
  </si>
  <si>
    <t>5．自動転記バッチ</t>
    <rPh sb="2" eb="4">
      <t>ジドウ</t>
    </rPh>
    <rPh sb="4" eb="6">
      <t>テンキ</t>
    </rPh>
    <phoneticPr fontId="3"/>
  </si>
  <si>
    <t>9．リース解約処理</t>
    <rPh sb="5" eb="7">
      <t>カイヤク</t>
    </rPh>
    <rPh sb="7" eb="9">
      <t>ショリ</t>
    </rPh>
    <phoneticPr fontId="3"/>
  </si>
  <si>
    <t>特損／リース資除却損</t>
    <phoneticPr fontId="3"/>
  </si>
  <si>
    <t>5．間接法の振替取消仕訳の登録</t>
    <rPh sb="2" eb="5">
      <t>カンセツホウ</t>
    </rPh>
    <rPh sb="6" eb="8">
      <t>フリカエ</t>
    </rPh>
    <rPh sb="8" eb="10">
      <t>トリケシ</t>
    </rPh>
    <rPh sb="10" eb="12">
      <t>シワケ</t>
    </rPh>
    <rPh sb="13" eb="15">
      <t>トウロク</t>
    </rPh>
    <phoneticPr fontId="3"/>
  </si>
  <si>
    <t>一般仕訳帳を使用して、間接法の振替処理の取消を行う。</t>
    <rPh sb="0" eb="5">
      <t>イッパンシワケチョウ</t>
    </rPh>
    <rPh sb="6" eb="8">
      <t>シヨウ</t>
    </rPh>
    <rPh sb="20" eb="22">
      <t>トリケシ</t>
    </rPh>
    <phoneticPr fontId="3"/>
  </si>
  <si>
    <t>6．間接法の振替取消仕訳の承認依頼</t>
    <rPh sb="2" eb="5">
      <t>カンセツホウ</t>
    </rPh>
    <rPh sb="6" eb="8">
      <t>フリカエ</t>
    </rPh>
    <rPh sb="8" eb="10">
      <t>トリケシ</t>
    </rPh>
    <rPh sb="10" eb="12">
      <t>シワケ</t>
    </rPh>
    <rPh sb="13" eb="17">
      <t>ショウニンイライ</t>
    </rPh>
    <phoneticPr fontId="3"/>
  </si>
  <si>
    <t>7．間接法の振替取消仕訳承認</t>
    <rPh sb="2" eb="5">
      <t>カンセツホウ</t>
    </rPh>
    <rPh sb="6" eb="8">
      <t>フリカエ</t>
    </rPh>
    <rPh sb="8" eb="10">
      <t>トリケシ</t>
    </rPh>
    <rPh sb="10" eb="12">
      <t>シワケ</t>
    </rPh>
    <rPh sb="12" eb="14">
      <t>ショウニン</t>
    </rPh>
    <phoneticPr fontId="3"/>
  </si>
  <si>
    <t>間接法の振替取消仕訳の承認を行う。</t>
    <rPh sb="0" eb="2">
      <t>カンセツ</t>
    </rPh>
    <rPh sb="2" eb="3">
      <t>ホウ</t>
    </rPh>
    <rPh sb="4" eb="6">
      <t>フリカエ</t>
    </rPh>
    <rPh sb="6" eb="8">
      <t>トリケシ</t>
    </rPh>
    <rPh sb="8" eb="10">
      <t>シワケ</t>
    </rPh>
    <rPh sb="11" eb="13">
      <t>ショウニン</t>
    </rPh>
    <rPh sb="14" eb="15">
      <t>オコナ</t>
    </rPh>
    <phoneticPr fontId="3"/>
  </si>
  <si>
    <t>減損損失累計額</t>
    <phoneticPr fontId="3"/>
  </si>
  <si>
    <t>10．クローズ処理</t>
    <rPh sb="7" eb="9">
      <t>ショリ</t>
    </rPh>
    <phoneticPr fontId="3"/>
  </si>
  <si>
    <t>1．クローズ仕訳登録</t>
    <rPh sb="6" eb="8">
      <t>シワケ</t>
    </rPh>
    <rPh sb="8" eb="10">
      <t>トウロク</t>
    </rPh>
    <phoneticPr fontId="3"/>
  </si>
  <si>
    <t>一般仕訳帳でクローズ仕訳の登録を行う。</t>
    <rPh sb="0" eb="5">
      <t>イッパンシワケチョウ</t>
    </rPh>
    <rPh sb="10" eb="12">
      <t>シワケ</t>
    </rPh>
    <rPh sb="13" eb="15">
      <t>トウロク</t>
    </rPh>
    <rPh sb="16" eb="17">
      <t>オコナ</t>
    </rPh>
    <phoneticPr fontId="3"/>
  </si>
  <si>
    <t>2．承認</t>
    <rPh sb="2" eb="4">
      <t>ショウニン</t>
    </rPh>
    <phoneticPr fontId="3"/>
  </si>
  <si>
    <t>責任者が該当する仕訳帳の内容を確認し、</t>
    <rPh sb="0" eb="3">
      <t>セキニンシャ</t>
    </rPh>
    <rPh sb="4" eb="6">
      <t>ガイトウ</t>
    </rPh>
    <rPh sb="8" eb="11">
      <t>シワケチョウ</t>
    </rPh>
    <rPh sb="12" eb="14">
      <t>ナイヨウ</t>
    </rPh>
    <phoneticPr fontId="3"/>
  </si>
  <si>
    <t>一般仕訳帳（承認）画面から、承認を行う。</t>
    <rPh sb="0" eb="2">
      <t>イッパン</t>
    </rPh>
    <rPh sb="2" eb="5">
      <t>シワケチョウ</t>
    </rPh>
    <rPh sb="6" eb="8">
      <t>ショウニン</t>
    </rPh>
    <rPh sb="9" eb="11">
      <t>ガメン</t>
    </rPh>
    <rPh sb="14" eb="16">
      <t>ショウニン</t>
    </rPh>
    <rPh sb="17" eb="18">
      <t>オコナ</t>
    </rPh>
    <phoneticPr fontId="3"/>
  </si>
  <si>
    <t>3．自動転記バッチ</t>
    <rPh sb="2" eb="6">
      <t>ジドウテンキ</t>
    </rPh>
    <phoneticPr fontId="3"/>
  </si>
  <si>
    <t>(減損累計額)</t>
    <rPh sb="1" eb="3">
      <t>ゲンソン</t>
    </rPh>
    <rPh sb="3" eb="6">
      <t>ルイケイガク</t>
    </rPh>
    <phoneticPr fontId="3"/>
  </si>
  <si>
    <t>⇒JBS：スイムレーンを追加しました。</t>
    <rPh sb="12" eb="14">
      <t>ツイカ</t>
    </rPh>
    <phoneticPr fontId="3"/>
  </si>
  <si>
    <t>社員サポートGは使用権資産のみ登録のためファイナンスリース</t>
    <rPh sb="0" eb="2">
      <t>シャイン</t>
    </rPh>
    <rPh sb="8" eb="13">
      <t>シヨウケンシサン</t>
    </rPh>
    <rPh sb="15" eb="17">
      <t>トウロク</t>
    </rPh>
    <phoneticPr fontId="3"/>
  </si>
  <si>
    <t>は登録しないため300万円の判定は不要</t>
    <phoneticPr fontId="3"/>
  </si>
  <si>
    <t>IFRS帳簿のみ登録のため、会社会計、税務は登録不要</t>
    <rPh sb="4" eb="6">
      <t>チョウボ</t>
    </rPh>
    <rPh sb="8" eb="10">
      <t>トウロク</t>
    </rPh>
    <rPh sb="14" eb="16">
      <t>カイシャ</t>
    </rPh>
    <rPh sb="16" eb="18">
      <t>カイケイ</t>
    </rPh>
    <rPh sb="19" eb="21">
      <t>ゼイム</t>
    </rPh>
    <rPh sb="22" eb="24">
      <t>トウロク</t>
    </rPh>
    <rPh sb="24" eb="26">
      <t>フヨウ</t>
    </rPh>
    <phoneticPr fontId="3"/>
  </si>
  <si>
    <t>作成されたリース資産計上の仕訳の承認を行う。</t>
    <rPh sb="0" eb="2">
      <t>サクセイ</t>
    </rPh>
    <rPh sb="8" eb="12">
      <t>シサンケイジョウ</t>
    </rPh>
    <rPh sb="13" eb="15">
      <t>シワケ</t>
    </rPh>
    <rPh sb="16" eb="18">
      <t>ショウニン</t>
    </rPh>
    <rPh sb="19" eb="20">
      <t>オコナ</t>
    </rPh>
    <phoneticPr fontId="3"/>
  </si>
  <si>
    <t>責任者は、承認時に5のマスタ登録も併せて内容確認した上で承認を行う</t>
    <rPh sb="0" eb="3">
      <t>セキニンシャ</t>
    </rPh>
    <rPh sb="5" eb="8">
      <t>ショウニンジ</t>
    </rPh>
    <rPh sb="14" eb="16">
      <t>トウロク</t>
    </rPh>
    <rPh sb="17" eb="18">
      <t>アワ</t>
    </rPh>
    <rPh sb="20" eb="22">
      <t>ナイヨウ</t>
    </rPh>
    <rPh sb="22" eb="24">
      <t>カクニン</t>
    </rPh>
    <phoneticPr fontId="3"/>
  </si>
  <si>
    <t>この作業は１.資産リース取得には入らずに別作業になりますか？</t>
    <rPh sb="2" eb="4">
      <t>サギョウ</t>
    </rPh>
    <rPh sb="7" eb="9">
      <t>シサン</t>
    </rPh>
    <rPh sb="12" eb="14">
      <t>シュトク</t>
    </rPh>
    <rPh sb="16" eb="17">
      <t>ハイ</t>
    </rPh>
    <rPh sb="20" eb="21">
      <t>ベツ</t>
    </rPh>
    <rPh sb="21" eb="23">
      <t>サギョウ</t>
    </rPh>
    <phoneticPr fontId="3"/>
  </si>
  <si>
    <t>⇒JBS：社員サポートGも業務を実施しますでしょうか？</t>
    <rPh sb="5" eb="7">
      <t>シャイン</t>
    </rPh>
    <rPh sb="13" eb="15">
      <t>ギョウム</t>
    </rPh>
    <rPh sb="16" eb="18">
      <t>ジッシ</t>
    </rPh>
    <phoneticPr fontId="3"/>
  </si>
  <si>
    <t>→資産登録時に行う作業と認識しているため社員サポートG</t>
    <rPh sb="1" eb="3">
      <t>シサン</t>
    </rPh>
    <rPh sb="3" eb="5">
      <t>トウロク</t>
    </rPh>
    <rPh sb="5" eb="6">
      <t>ジ</t>
    </rPh>
    <rPh sb="7" eb="8">
      <t>オコナ</t>
    </rPh>
    <rPh sb="9" eb="11">
      <t>サギョウ</t>
    </rPh>
    <rPh sb="12" eb="14">
      <t>ニンシキ</t>
    </rPh>
    <rPh sb="20" eb="22">
      <t>シャイン</t>
    </rPh>
    <phoneticPr fontId="3"/>
  </si>
  <si>
    <t>　も行う想定でおります。</t>
    <rPh sb="2" eb="3">
      <t>オコナ</t>
    </rPh>
    <rPh sb="4" eb="6">
      <t>ソウテイ</t>
    </rPh>
    <phoneticPr fontId="3"/>
  </si>
  <si>
    <t>　この作業は１.資産リース取得には入らずに別作業になりますか？</t>
    <phoneticPr fontId="3"/>
  </si>
  <si>
    <t>⇒別途チャットで回答しておりますが、バッチ仕訳の作成の業務は必要になります。</t>
    <rPh sb="1" eb="3">
      <t>ベット</t>
    </rPh>
    <rPh sb="8" eb="10">
      <t>カイトウ</t>
    </rPh>
    <rPh sb="21" eb="23">
      <t>シワケ</t>
    </rPh>
    <rPh sb="24" eb="26">
      <t>サクセイ</t>
    </rPh>
    <rPh sb="27" eb="29">
      <t>ギョウム</t>
    </rPh>
    <rPh sb="30" eb="32">
      <t>ヒツヨウ</t>
    </rPh>
    <phoneticPr fontId="3"/>
  </si>
  <si>
    <t>　ここをすべて自動化にするには、開発が必要になってきますので、ご検討のほどよろしくお願いいたします。</t>
    <rPh sb="7" eb="10">
      <t>ジドウカ</t>
    </rPh>
    <rPh sb="16" eb="18">
      <t>カイハツ</t>
    </rPh>
    <rPh sb="19" eb="21">
      <t>ヒツヨウ</t>
    </rPh>
    <rPh sb="32" eb="34">
      <t>ケントウ</t>
    </rPh>
    <rPh sb="42" eb="43">
      <t>ネガ</t>
    </rPh>
    <phoneticPr fontId="3"/>
  </si>
  <si>
    <t>　対象を空欄等リースを1つずつ選択しない運用であれば、業務付加は少ないと考えております。</t>
    <rPh sb="1" eb="3">
      <t>タイショウ</t>
    </rPh>
    <rPh sb="4" eb="6">
      <t>クウラン</t>
    </rPh>
    <rPh sb="6" eb="7">
      <t>トウ</t>
    </rPh>
    <rPh sb="15" eb="17">
      <t>センタク</t>
    </rPh>
    <rPh sb="20" eb="22">
      <t>ウンヨウ</t>
    </rPh>
    <rPh sb="27" eb="29">
      <t>ギョウム</t>
    </rPh>
    <rPh sb="29" eb="31">
      <t>フカ</t>
    </rPh>
    <rPh sb="32" eb="33">
      <t>スク</t>
    </rPh>
    <rPh sb="36" eb="37">
      <t>カンガ</t>
    </rPh>
    <phoneticPr fontId="3"/>
  </si>
  <si>
    <t>月次転記は承認不要</t>
    <rPh sb="0" eb="2">
      <t>ゲツジ</t>
    </rPh>
    <rPh sb="2" eb="4">
      <t>テンキ</t>
    </rPh>
    <rPh sb="5" eb="9">
      <t>ショウニンフヨウ</t>
    </rPh>
    <phoneticPr fontId="3"/>
  </si>
  <si>
    <t>→実施しません</t>
    <rPh sb="1" eb="3">
      <t>ジッシ</t>
    </rPh>
    <phoneticPr fontId="3"/>
  </si>
  <si>
    <t>支払利息(リース資産)</t>
  </si>
  <si>
    <t>この仕訳が計上される資産の区別（マスタにフラグを立てるなど）方法を</t>
    <rPh sb="2" eb="4">
      <t>シワケ</t>
    </rPh>
    <rPh sb="5" eb="7">
      <t>ケイジョウ</t>
    </rPh>
    <rPh sb="10" eb="12">
      <t>シサン</t>
    </rPh>
    <rPh sb="13" eb="15">
      <t>クベツ</t>
    </rPh>
    <rPh sb="24" eb="25">
      <t>タ</t>
    </rPh>
    <rPh sb="30" eb="32">
      <t>ホウホウ</t>
    </rPh>
    <phoneticPr fontId="3"/>
  </si>
  <si>
    <t>もう一度お伺いさせてください</t>
    <rPh sb="2" eb="4">
      <t>イチド</t>
    </rPh>
    <rPh sb="5" eb="6">
      <t>ウカガ</t>
    </rPh>
    <phoneticPr fontId="3"/>
  </si>
  <si>
    <t>⇒JBS：フラグが必要な意図を教えてください。</t>
    <rPh sb="9" eb="11">
      <t>ヒツヨウ</t>
    </rPh>
    <rPh sb="12" eb="14">
      <t>イト</t>
    </rPh>
    <rPh sb="15" eb="16">
      <t>オシ</t>
    </rPh>
    <phoneticPr fontId="3"/>
  </si>
  <si>
    <t>バッチ仕訳の作成では、経費タイプが登録されていなければ、仕訳対象外です。</t>
    <rPh sb="3" eb="5">
      <t>シワケ</t>
    </rPh>
    <rPh sb="6" eb="8">
      <t>サクセイ</t>
    </rPh>
    <rPh sb="11" eb="13">
      <t>ケイヒ</t>
    </rPh>
    <rPh sb="17" eb="19">
      <t>トウロク</t>
    </rPh>
    <rPh sb="28" eb="30">
      <t>シワケ</t>
    </rPh>
    <rPh sb="30" eb="33">
      <t>タイショウガイ</t>
    </rPh>
    <phoneticPr fontId="3"/>
  </si>
  <si>
    <t>（空欄にして全件にしても、経費タイプが登録されているものが仕訳作成される。）</t>
    <rPh sb="1" eb="3">
      <t>クウラン</t>
    </rPh>
    <rPh sb="6" eb="8">
      <t>ゼンケン</t>
    </rPh>
    <rPh sb="13" eb="15">
      <t>ケイヒ</t>
    </rPh>
    <rPh sb="19" eb="21">
      <t>トウロク</t>
    </rPh>
    <rPh sb="29" eb="31">
      <t>シワケ</t>
    </rPh>
    <rPh sb="31" eb="33">
      <t>サクセイ</t>
    </rPh>
    <phoneticPr fontId="3"/>
  </si>
  <si>
    <t>→下記のとおり理解しました。</t>
    <rPh sb="1" eb="3">
      <t>カキ</t>
    </rPh>
    <rPh sb="7" eb="9">
      <t>リカイ</t>
    </rPh>
    <phoneticPr fontId="3"/>
  </si>
  <si>
    <t>　　資産マスタの経費タイプが空欄…仕訳対象外</t>
    <rPh sb="2" eb="4">
      <t>シサン</t>
    </rPh>
    <rPh sb="8" eb="10">
      <t>ケイヒ</t>
    </rPh>
    <rPh sb="14" eb="16">
      <t>クウラン</t>
    </rPh>
    <rPh sb="17" eb="19">
      <t>シワケ</t>
    </rPh>
    <rPh sb="19" eb="22">
      <t>タイショウガイ</t>
    </rPh>
    <phoneticPr fontId="3"/>
  </si>
  <si>
    <t>　　資産マスタの経費タイプに入力あり…仕訳対象</t>
    <rPh sb="2" eb="4">
      <t>シサン</t>
    </rPh>
    <rPh sb="8" eb="10">
      <t>ケイヒ</t>
    </rPh>
    <rPh sb="14" eb="16">
      <t>ニュウリョク</t>
    </rPh>
    <rPh sb="19" eb="21">
      <t>シワケ</t>
    </rPh>
    <rPh sb="21" eb="23">
      <t>タイショウ</t>
    </rPh>
    <phoneticPr fontId="3"/>
  </si>
  <si>
    <t>　　経費タイプはマスタ画面の入力項目かと思いますが、空欄にした場合、他への</t>
    <rPh sb="2" eb="4">
      <t>ケイヒ</t>
    </rPh>
    <rPh sb="11" eb="13">
      <t>ガメン</t>
    </rPh>
    <rPh sb="14" eb="16">
      <t>ニュウリョク</t>
    </rPh>
    <rPh sb="16" eb="18">
      <t>コウモク</t>
    </rPh>
    <rPh sb="20" eb="21">
      <t>オモ</t>
    </rPh>
    <rPh sb="26" eb="28">
      <t>クウラン</t>
    </rPh>
    <rPh sb="31" eb="33">
      <t>バアイ</t>
    </rPh>
    <rPh sb="34" eb="35">
      <t>ホカ</t>
    </rPh>
    <phoneticPr fontId="3"/>
  </si>
  <si>
    <t>　　影響はございますでしょうか</t>
    <rPh sb="2" eb="4">
      <t>エイキョウ</t>
    </rPh>
    <phoneticPr fontId="3"/>
  </si>
  <si>
    <t>⇒JBS：影響はない理解でおります。</t>
    <rPh sb="5" eb="7">
      <t>エイキョウ</t>
    </rPh>
    <rPh sb="10" eb="12">
      <t>リカイ</t>
    </rPh>
    <phoneticPr fontId="3"/>
  </si>
  <si>
    <t>仕訳修正しました</t>
    <rPh sb="0" eb="2">
      <t>シワケ</t>
    </rPh>
    <rPh sb="2" eb="4">
      <t>シュウセイ</t>
    </rPh>
    <phoneticPr fontId="3"/>
  </si>
  <si>
    <t>⇒JBS：利息の関係上、貸方に計上されることのほうが多いかと思います。</t>
    <rPh sb="5" eb="7">
      <t>リソク</t>
    </rPh>
    <rPh sb="8" eb="11">
      <t>カンケイジョウ</t>
    </rPh>
    <rPh sb="12" eb="14">
      <t>カシカタ</t>
    </rPh>
    <rPh sb="15" eb="17">
      <t>ケイジョウ</t>
    </rPh>
    <rPh sb="26" eb="27">
      <t>オオ</t>
    </rPh>
    <rPh sb="30" eb="31">
      <t>オモ</t>
    </rPh>
    <phoneticPr fontId="3"/>
  </si>
  <si>
    <t>SAPでも同じようなことが起こっている理解でおります。ご確認をお願いできますでしょうか？</t>
    <rPh sb="5" eb="6">
      <t>オナ</t>
    </rPh>
    <rPh sb="13" eb="14">
      <t>オ</t>
    </rPh>
    <rPh sb="19" eb="21">
      <t>リカイ</t>
    </rPh>
    <rPh sb="28" eb="30">
      <t>カクニン</t>
    </rPh>
    <rPh sb="32" eb="33">
      <t>ネガ</t>
    </rPh>
    <phoneticPr fontId="3"/>
  </si>
  <si>
    <t>→こちらの認識間違いでした。途中解約に伴って発生する損益はリース資産除却損で調整する設定で</t>
    <rPh sb="5" eb="7">
      <t>ニンシキ</t>
    </rPh>
    <rPh sb="7" eb="9">
      <t>マチガ</t>
    </rPh>
    <rPh sb="14" eb="18">
      <t>トチュウカイヤク</t>
    </rPh>
    <rPh sb="19" eb="20">
      <t>トモナ</t>
    </rPh>
    <rPh sb="22" eb="24">
      <t>ハッセイ</t>
    </rPh>
    <rPh sb="26" eb="28">
      <t>ソンエキ</t>
    </rPh>
    <rPh sb="32" eb="34">
      <t>シサン</t>
    </rPh>
    <rPh sb="34" eb="37">
      <t>ジョキャクソン</t>
    </rPh>
    <rPh sb="38" eb="40">
      <t>チョウセイ</t>
    </rPh>
    <rPh sb="42" eb="44">
      <t>セッテイ</t>
    </rPh>
    <phoneticPr fontId="3"/>
  </si>
  <si>
    <t>　問題ございません。</t>
    <rPh sb="1" eb="3">
      <t>モンダイ</t>
    </rPh>
    <phoneticPr fontId="3"/>
  </si>
  <si>
    <t>会計仕訳に影響がある変更のフローを追加</t>
    <rPh sb="0" eb="2">
      <t>カイケイ</t>
    </rPh>
    <rPh sb="2" eb="4">
      <t>シワケ</t>
    </rPh>
    <rPh sb="5" eb="7">
      <t>エイキョウ</t>
    </rPh>
    <rPh sb="10" eb="12">
      <t>ヘンコウ</t>
    </rPh>
    <rPh sb="17" eb="19">
      <t>ツイカ</t>
    </rPh>
    <phoneticPr fontId="3"/>
  </si>
  <si>
    <t>⇒JBS：リース名の修正が発生することは、認識しておりますが、それ以外の会計仕訳が発生する変更を把握しておりません。</t>
    <rPh sb="8" eb="9">
      <t>メイ</t>
    </rPh>
    <rPh sb="10" eb="12">
      <t>シュウセイ</t>
    </rPh>
    <rPh sb="13" eb="15">
      <t>ハッセイ</t>
    </rPh>
    <rPh sb="21" eb="23">
      <t>ニンシキ</t>
    </rPh>
    <rPh sb="33" eb="35">
      <t>イガイ</t>
    </rPh>
    <rPh sb="36" eb="40">
      <t>カイケイシワケ</t>
    </rPh>
    <rPh sb="41" eb="43">
      <t>ハッセイ</t>
    </rPh>
    <rPh sb="45" eb="47">
      <t>ヘンコウ</t>
    </rPh>
    <rPh sb="48" eb="50">
      <t>ハアク</t>
    </rPh>
    <phoneticPr fontId="3"/>
  </si>
  <si>
    <t>ご教授いただけますでしょうか？FOで対応できるのか、調査が必要な認識です。</t>
    <rPh sb="1" eb="3">
      <t>キョウジュ</t>
    </rPh>
    <rPh sb="18" eb="20">
      <t>タイオウ</t>
    </rPh>
    <rPh sb="26" eb="28">
      <t>チョウサ</t>
    </rPh>
    <rPh sb="29" eb="31">
      <t>ヒツヨウ</t>
    </rPh>
    <rPh sb="32" eb="34">
      <t>ニンシキ</t>
    </rPh>
    <phoneticPr fontId="3"/>
  </si>
  <si>
    <t>金額、割引率、開始日、回数の入力間違いなどです。</t>
    <rPh sb="0" eb="2">
      <t>キンガク</t>
    </rPh>
    <rPh sb="3" eb="6">
      <t>ワリビキリツ</t>
    </rPh>
    <rPh sb="7" eb="9">
      <t>カイシ</t>
    </rPh>
    <rPh sb="9" eb="10">
      <t>ヒ</t>
    </rPh>
    <rPh sb="11" eb="13">
      <t>カイスウ</t>
    </rPh>
    <rPh sb="14" eb="16">
      <t>ニュウリョク</t>
    </rPh>
    <rPh sb="16" eb="18">
      <t>マチガ</t>
    </rPh>
    <phoneticPr fontId="3"/>
  </si>
  <si>
    <t>各帳簿で実施が必要。</t>
    <rPh sb="0" eb="3">
      <t>カクチョウボ</t>
    </rPh>
    <rPh sb="4" eb="6">
      <t>ジッシ</t>
    </rPh>
    <rPh sb="7" eb="9">
      <t>ヒツヨウ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</si>
</sst>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63">
    <font>
      <sz val="10"/>
      <color theme="1"/>
      <name val="Meiryo UI"/>
      <family val="2"/>
      <charset val="128"/>
    </font>
    <font>
      <sz val="11"/>
      <color theme="1"/>
      <name val="Meiryo UI"/>
      <family val="2"/>
      <charset val="128"/>
      <scheme val="minor"/>
    </font>
    <font>
      <sz val="11"/>
      <color theme="1"/>
      <name val="Meiryo UI"/>
      <family val="2"/>
      <charset val="128"/>
      <scheme val="minor"/>
    </font>
    <font>
      <sz val="6"/>
      <name val="Meiryo UI"/>
      <family val="2"/>
      <charset val="128"/>
    </font>
    <font>
      <sz val="6"/>
      <name val="Meiryo UI"/>
      <family val="3"/>
      <charset val="128"/>
      <scheme val="minor"/>
    </font>
    <font>
      <sz val="10"/>
      <color theme="1"/>
      <name val="Meiryo UI"/>
      <family val="3"/>
      <charset val="128"/>
    </font>
    <font>
      <b/>
      <sz val="10"/>
      <color theme="0"/>
      <name val="Meiryo UI"/>
      <family val="3"/>
      <charset val="128"/>
    </font>
    <font>
      <sz val="10"/>
      <name val="Meiryo UI"/>
      <family val="3"/>
      <charset val="128"/>
    </font>
    <font>
      <sz val="18"/>
      <color theme="3"/>
      <name val="Meiryo UI"/>
      <family val="2"/>
      <charset val="128"/>
      <scheme val="major"/>
    </font>
    <font>
      <b/>
      <sz val="10"/>
      <color theme="0"/>
      <name val="Meiryo UI"/>
      <family val="2"/>
      <charset val="128"/>
    </font>
    <font>
      <b/>
      <u/>
      <sz val="10"/>
      <color theme="1"/>
      <name val="Meiryo UI"/>
      <family val="3"/>
      <charset val="128"/>
    </font>
    <font>
      <sz val="6"/>
      <name val="ＭＳ Ｐゴシック"/>
      <family val="3"/>
      <charset val="128"/>
    </font>
    <font>
      <sz val="10"/>
      <color theme="1"/>
      <name val="Meiryo UI"/>
      <family val="2"/>
      <charset val="128"/>
    </font>
    <font>
      <b/>
      <sz val="10"/>
      <name val="Meiryo UI"/>
      <family val="3"/>
      <charset val="128"/>
    </font>
    <font>
      <sz val="10"/>
      <name val="Arial"/>
      <family val="2"/>
      <charset val="238"/>
    </font>
    <font>
      <sz val="11"/>
      <color theme="1"/>
      <name val="Meiryo UI"/>
      <family val="2"/>
      <scheme val="minor"/>
    </font>
    <font>
      <sz val="11"/>
      <color theme="1"/>
      <name val="Meiryo UI"/>
      <family val="3"/>
      <charset val="128"/>
    </font>
    <font>
      <u/>
      <sz val="11"/>
      <color theme="1"/>
      <name val="Meiryo UI"/>
      <family val="3"/>
      <charset val="128"/>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sz val="10"/>
      <color theme="0"/>
      <name val="Meiryo UI"/>
      <family val="3"/>
      <charset val="128"/>
    </font>
    <font>
      <sz val="10"/>
      <color indexed="8"/>
      <name val="Meiryo UI"/>
      <family val="3"/>
      <charset val="128"/>
    </font>
    <font>
      <sz val="6"/>
      <name val="メイリオ"/>
      <family val="2"/>
      <charset val="128"/>
    </font>
    <font>
      <sz val="6"/>
      <name val="ＭＳ ゴシック"/>
      <family val="3"/>
      <charset val="128"/>
    </font>
    <font>
      <b/>
      <sz val="10"/>
      <color theme="1"/>
      <name val="Meiryo UI"/>
      <family val="3"/>
      <charset val="128"/>
    </font>
    <font>
      <b/>
      <u/>
      <sz val="10"/>
      <name val="Meiryo UI"/>
      <family val="3"/>
      <charset val="128"/>
    </font>
    <font>
      <sz val="11"/>
      <name val="ＭＳ Ｐゴシック"/>
      <family val="3"/>
      <charset val="128"/>
    </font>
    <font>
      <sz val="11"/>
      <color theme="1"/>
      <name val="Arial"/>
      <family val="2"/>
      <charset val="128"/>
    </font>
    <font>
      <sz val="10"/>
      <color rgb="FFFF0000"/>
      <name val="Meiryo UI"/>
      <family val="3"/>
      <charset val="128"/>
    </font>
    <font>
      <b/>
      <sz val="10"/>
      <color rgb="FFFF0000"/>
      <name val="Meiryo UI"/>
      <family val="3"/>
      <charset val="128"/>
    </font>
    <font>
      <strike/>
      <sz val="10"/>
      <color theme="1"/>
      <name val="Meiryo UI"/>
      <family val="3"/>
      <charset val="128"/>
    </font>
    <font>
      <b/>
      <strike/>
      <u/>
      <sz val="10"/>
      <color theme="1"/>
      <name val="Meiryo UI"/>
      <family val="3"/>
      <charset val="128"/>
    </font>
    <font>
      <b/>
      <u/>
      <sz val="10"/>
      <color rgb="FFFF0000"/>
      <name val="Meiryo UI"/>
      <family val="3"/>
      <charset val="128"/>
    </font>
    <font>
      <b/>
      <sz val="10"/>
      <color rgb="FF00B0F0"/>
      <name val="Meiryo UI"/>
      <family val="3"/>
      <charset val="128"/>
    </font>
    <font>
      <u/>
      <sz val="10"/>
      <color theme="10"/>
      <name val="Meiryo UI"/>
      <family val="2"/>
      <charset val="128"/>
    </font>
    <font>
      <sz val="10"/>
      <color theme="1"/>
      <name val="Meiryo UI"/>
      <family val="3"/>
    </font>
    <font>
      <sz val="10"/>
      <color theme="0"/>
      <name val="Meiryo UI"/>
      <family val="3"/>
    </font>
    <font>
      <sz val="10"/>
      <color rgb="FFFF0000"/>
      <name val="Meiryo UI"/>
      <family val="3"/>
    </font>
    <font>
      <sz val="10"/>
      <name val="Meiryo UI"/>
      <family val="3"/>
    </font>
    <font>
      <b/>
      <strike/>
      <u/>
      <sz val="10"/>
      <color theme="1"/>
      <name val="Meiryo UI"/>
      <family val="3"/>
    </font>
    <font>
      <b/>
      <u/>
      <sz val="10"/>
      <color theme="1"/>
      <name val="Meiryo UI"/>
      <family val="3"/>
    </font>
    <font>
      <b/>
      <sz val="10"/>
      <color theme="1"/>
      <name val="Meiryo UI"/>
      <family val="3"/>
    </font>
    <font>
      <b/>
      <sz val="10"/>
      <color rgb="FFFF0000"/>
      <name val="Meiryo UI"/>
      <family val="3"/>
    </font>
    <font>
      <b/>
      <sz val="10"/>
      <name val="Meiryo UI"/>
      <family val="3"/>
    </font>
    <font>
      <b/>
      <u/>
      <sz val="10"/>
      <name val="Meiryo UI"/>
      <family val="3"/>
    </font>
    <font>
      <b/>
      <sz val="10"/>
      <color rgb="FF000000"/>
      <name val="Meiryo UI"/>
      <family val="3"/>
      <charset val="128"/>
    </font>
    <font>
      <sz val="10"/>
      <color rgb="FF000000"/>
      <name val="Meiryo UI"/>
      <family val="3"/>
      <charset val="128"/>
    </font>
    <font>
      <strike/>
      <sz val="10"/>
      <name val="Meiryo UI"/>
      <family val="3"/>
      <charset val="128"/>
    </font>
    <font>
      <sz val="10"/>
      <color rgb="FF0070C0"/>
      <name val="Meiryo UI"/>
      <family val="3"/>
      <charset val="128"/>
    </font>
    <font>
      <sz val="10"/>
      <color rgb="FF0070C0"/>
      <name val="Meiryo UI"/>
      <family val="3"/>
    </font>
    <font>
      <b/>
      <sz val="10"/>
      <color rgb="FF0070C0"/>
      <name val="Meiryo UI"/>
      <family val="3"/>
      <charset val="128"/>
    </font>
    <font>
      <b/>
      <strike/>
      <sz val="10"/>
      <color theme="0" tint="-0.34998626667073579"/>
      <name val="Meiryo UI"/>
      <family val="3"/>
      <charset val="128"/>
    </font>
    <font>
      <strike/>
      <sz val="10"/>
      <color theme="0" tint="-0.34998626667073579"/>
      <name val="Meiryo UI"/>
      <family val="3"/>
      <charset val="128"/>
    </font>
    <font>
      <b/>
      <sz val="8"/>
      <name val="Meiryo UI"/>
      <family val="3"/>
      <charset val="128"/>
    </font>
    <font>
      <b/>
      <u/>
      <sz val="10"/>
      <color rgb="FF0070C0"/>
      <name val="Meiryo UI"/>
      <family val="3"/>
      <charset val="128"/>
    </font>
    <font>
      <strike/>
      <sz val="10"/>
      <color theme="1"/>
      <name val="Meiryo UI"/>
      <family val="3"/>
    </font>
    <font>
      <sz val="10"/>
      <color theme="7"/>
      <name val="Meiryo UI"/>
      <family val="3"/>
      <charset val="128"/>
    </font>
    <font>
      <sz val="10"/>
      <color rgb="FF4CB491"/>
      <name val="Meiryo UI"/>
      <family val="3"/>
      <charset val="128"/>
    </font>
    <font>
      <sz val="10"/>
      <color theme="10"/>
      <name val="Meiryo UI"/>
      <family val="3"/>
      <charset val="128"/>
    </font>
    <font>
      <sz val="10"/>
      <color theme="5"/>
      <name val="Meiryo UI"/>
      <family val="3"/>
      <charset val="128"/>
    </font>
    <font>
      <sz val="10"/>
      <color rgb="FF00B0F0"/>
      <name val="Meiryo UI"/>
      <family val="3"/>
      <charset val="128"/>
    </font>
  </fonts>
  <fills count="16">
    <fill>
      <patternFill patternType="none"/>
    </fill>
    <fill>
      <patternFill patternType="gray125"/>
    </fill>
    <fill>
      <patternFill patternType="solid">
        <fgColor theme="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9"/>
      </patternFill>
    </fill>
    <fill>
      <patternFill patternType="solid">
        <fgColor theme="8" tint="-0.499984740745262"/>
        <bgColor indexed="64"/>
      </patternFill>
    </fill>
    <fill>
      <patternFill patternType="solid">
        <fgColor theme="4" tint="-0.499984740745262"/>
        <bgColor indexed="64"/>
      </patternFill>
    </fill>
    <fill>
      <patternFill patternType="solid">
        <fgColor rgb="FF2F75B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EDB3"/>
        <bgColor indexed="64"/>
      </patternFill>
    </fill>
    <fill>
      <patternFill patternType="solid">
        <fgColor theme="2"/>
        <bgColor indexed="64"/>
      </patternFill>
    </fill>
  </fills>
  <borders count="54">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theme="0" tint="-0.499984740745262"/>
      </right>
      <top style="medium">
        <color indexed="64"/>
      </top>
      <bottom style="medium">
        <color indexed="64"/>
      </bottom>
      <diagonal/>
    </border>
    <border>
      <left style="thin">
        <color theme="0" tint="-0.499984740745262"/>
      </left>
      <right style="thin">
        <color theme="0" tint="-0.499984740745262"/>
      </right>
      <top style="medium">
        <color indexed="64"/>
      </top>
      <bottom style="medium">
        <color indexed="64"/>
      </bottom>
      <diagonal/>
    </border>
    <border>
      <left style="thin">
        <color theme="0" tint="-0.499984740745262"/>
      </left>
      <right style="medium">
        <color indexed="64"/>
      </right>
      <top style="medium">
        <color indexed="64"/>
      </top>
      <bottom style="medium">
        <color indexed="64"/>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style="medium">
        <color indexed="64"/>
      </left>
      <right/>
      <top style="medium">
        <color indexed="64"/>
      </top>
      <bottom style="thin">
        <color theme="1" tint="0.499984740745262"/>
      </bottom>
      <diagonal/>
    </border>
    <border>
      <left/>
      <right/>
      <top style="medium">
        <color indexed="64"/>
      </top>
      <bottom style="thin">
        <color theme="1" tint="0.499984740745262"/>
      </bottom>
      <diagonal/>
    </border>
    <border>
      <left/>
      <right style="medium">
        <color indexed="64"/>
      </right>
      <top style="medium">
        <color indexed="64"/>
      </top>
      <bottom style="thin">
        <color theme="1"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top style="thin">
        <color theme="0" tint="-0.499984740745262"/>
      </top>
      <bottom style="medium">
        <color indexed="64"/>
      </bottom>
      <diagonal/>
    </border>
    <border>
      <left/>
      <right style="thin">
        <color theme="0" tint="-0.499984740745262"/>
      </right>
      <top style="thin">
        <color theme="0" tint="-0.499984740745262"/>
      </top>
      <bottom style="medium">
        <color indexed="64"/>
      </bottom>
      <diagonal/>
    </border>
    <border>
      <left style="thin">
        <color theme="0"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medium">
        <color indexed="64"/>
      </right>
      <top style="thin">
        <color theme="0" tint="-0.499984740745262"/>
      </top>
      <bottom style="medium">
        <color indexed="64"/>
      </bottom>
      <diagonal/>
    </border>
    <border>
      <left style="medium">
        <color indexed="64"/>
      </left>
      <right/>
      <top style="thin">
        <color theme="1" tint="0.499984740745262"/>
      </top>
      <bottom style="medium">
        <color indexed="64"/>
      </bottom>
      <diagonal/>
    </border>
    <border>
      <left/>
      <right/>
      <top style="thin">
        <color theme="1" tint="0.499984740745262"/>
      </top>
      <bottom style="medium">
        <color indexed="64"/>
      </bottom>
      <diagonal/>
    </border>
    <border>
      <left/>
      <right style="medium">
        <color indexed="64"/>
      </right>
      <top style="thin">
        <color theme="1" tint="0.499984740745262"/>
      </top>
      <bottom style="medium">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theme="0" tint="-0.499984740745262"/>
      </bottom>
      <diagonal/>
    </border>
    <border>
      <left style="medium">
        <color auto="1"/>
      </left>
      <right style="medium">
        <color auto="1"/>
      </right>
      <top style="thin">
        <color theme="0" tint="-0.499984740745262"/>
      </top>
      <bottom style="thin">
        <color theme="0" tint="-0.499984740745262"/>
      </bottom>
      <diagonal/>
    </border>
    <border>
      <left style="medium">
        <color auto="1"/>
      </left>
      <right style="medium">
        <color auto="1"/>
      </right>
      <top style="thin">
        <color theme="0" tint="-0.499984740745262"/>
      </top>
      <bottom style="medium">
        <color indexed="64"/>
      </bottom>
      <diagonal/>
    </border>
    <border>
      <left style="thin">
        <color indexed="64"/>
      </left>
      <right/>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s>
  <cellStyleXfs count="22">
    <xf numFmtId="0" fontId="0" fillId="0" borderId="0">
      <alignment vertical="center"/>
    </xf>
    <xf numFmtId="0" fontId="8" fillId="0" borderId="0" applyNumberFormat="0" applyFill="0" applyBorder="0" applyAlignment="0" applyProtection="0">
      <alignment vertical="center"/>
    </xf>
    <xf numFmtId="0" fontId="9" fillId="3" borderId="0" applyNumberFormat="0" applyBorder="0" applyProtection="0">
      <alignment horizontal="center" vertical="center"/>
    </xf>
    <xf numFmtId="0" fontId="9" fillId="4" borderId="0" applyNumberFormat="0" applyBorder="0" applyProtection="0">
      <alignment horizontal="center" vertical="center"/>
    </xf>
    <xf numFmtId="0" fontId="9" fillId="5" borderId="0" applyNumberFormat="0" applyBorder="0" applyProtection="0">
      <alignment horizontal="center" vertical="center"/>
    </xf>
    <xf numFmtId="0" fontId="9" fillId="6" borderId="0" applyNumberFormat="0" applyBorder="0" applyProtection="0">
      <alignment horizontal="center" vertical="center"/>
    </xf>
    <xf numFmtId="0" fontId="9" fillId="8" borderId="0" applyNumberFormat="0" applyBorder="0" applyProtection="0">
      <alignment horizontal="center" vertical="center"/>
    </xf>
    <xf numFmtId="0" fontId="9" fillId="7" borderId="0" applyNumberFormat="0" applyBorder="0" applyProtection="0">
      <alignment horizontal="center" vertical="center"/>
    </xf>
    <xf numFmtId="0" fontId="12" fillId="0" borderId="0">
      <alignment vertical="center"/>
    </xf>
    <xf numFmtId="0" fontId="14" fillId="0" borderId="0"/>
    <xf numFmtId="0" fontId="15" fillId="0" borderId="0"/>
    <xf numFmtId="0" fontId="12" fillId="0" borderId="0">
      <alignment vertical="center"/>
    </xf>
    <xf numFmtId="0" fontId="15" fillId="0" borderId="0"/>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28" fillId="0" borderId="0">
      <alignment vertical="center"/>
    </xf>
    <xf numFmtId="0" fontId="29"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36" fillId="0" borderId="0" applyNumberFormat="0" applyFill="0" applyBorder="0" applyAlignment="0" applyProtection="0">
      <alignment vertical="center"/>
    </xf>
  </cellStyleXfs>
  <cellXfs count="294">
    <xf numFmtId="0" fontId="0" fillId="0" borderId="0" xfId="0">
      <alignment vertical="center"/>
    </xf>
    <xf numFmtId="0" fontId="16" fillId="0" borderId="0" xfId="10" applyFont="1"/>
    <xf numFmtId="0" fontId="17" fillId="0" borderId="0" xfId="10" applyFont="1"/>
    <xf numFmtId="0" fontId="18" fillId="0" borderId="0" xfId="10" applyFont="1"/>
    <xf numFmtId="0" fontId="18" fillId="0" borderId="4" xfId="10" applyFont="1" applyBorder="1"/>
    <xf numFmtId="0" fontId="5" fillId="0" borderId="0" xfId="11" applyFont="1" applyAlignment="1"/>
    <xf numFmtId="0" fontId="7" fillId="0" borderId="0" xfId="11" applyFont="1" applyAlignment="1"/>
    <xf numFmtId="0" fontId="5" fillId="0" borderId="6" xfId="11" applyFont="1" applyBorder="1" applyAlignment="1"/>
    <xf numFmtId="0" fontId="5" fillId="0" borderId="0" xfId="10" applyFont="1"/>
    <xf numFmtId="0" fontId="5" fillId="0" borderId="6" xfId="10" applyFont="1" applyBorder="1"/>
    <xf numFmtId="0" fontId="5" fillId="0" borderId="2" xfId="10" applyFont="1" applyBorder="1"/>
    <xf numFmtId="0" fontId="7" fillId="0" borderId="0" xfId="10" applyFont="1"/>
    <xf numFmtId="0" fontId="7" fillId="0" borderId="0" xfId="10" applyFont="1" applyAlignment="1">
      <alignment vertical="center"/>
    </xf>
    <xf numFmtId="0" fontId="7" fillId="0" borderId="1" xfId="10" applyFont="1" applyBorder="1"/>
    <xf numFmtId="0" fontId="5" fillId="0" borderId="1" xfId="10" applyFont="1" applyBorder="1"/>
    <xf numFmtId="0" fontId="5" fillId="0" borderId="3" xfId="10" applyFont="1" applyBorder="1"/>
    <xf numFmtId="0" fontId="10" fillId="0" borderId="0" xfId="10" applyFont="1"/>
    <xf numFmtId="0" fontId="5" fillId="0" borderId="0" xfId="0" applyFont="1">
      <alignment vertical="center"/>
    </xf>
    <xf numFmtId="0" fontId="0" fillId="0" borderId="0" xfId="0" applyAlignment="1">
      <alignment vertical="top"/>
    </xf>
    <xf numFmtId="0" fontId="0" fillId="0" borderId="1" xfId="0" applyBorder="1">
      <alignment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27" fillId="0" borderId="0" xfId="10" applyFont="1"/>
    <xf numFmtId="0" fontId="6" fillId="9" borderId="0" xfId="0" applyFont="1" applyFill="1" applyAlignment="1">
      <alignment horizontal="center" vertical="center"/>
    </xf>
    <xf numFmtId="0" fontId="5" fillId="0" borderId="43" xfId="10" applyFont="1" applyBorder="1"/>
    <xf numFmtId="0" fontId="13" fillId="0" borderId="43" xfId="10" applyFont="1" applyBorder="1" applyAlignment="1">
      <alignment vertical="center"/>
    </xf>
    <xf numFmtId="0" fontId="6" fillId="9" borderId="43" xfId="0" applyFont="1" applyFill="1" applyBorder="1" applyAlignment="1">
      <alignment horizontal="left" vertical="center"/>
    </xf>
    <xf numFmtId="0" fontId="6" fillId="0" borderId="43" xfId="0" applyFont="1" applyBorder="1" applyAlignment="1">
      <alignment horizontal="center" vertical="center"/>
    </xf>
    <xf numFmtId="0" fontId="0" fillId="0" borderId="43" xfId="0" applyBorder="1">
      <alignment vertical="center"/>
    </xf>
    <xf numFmtId="0" fontId="7" fillId="0" borderId="43" xfId="10" applyFont="1" applyBorder="1"/>
    <xf numFmtId="0" fontId="6" fillId="9" borderId="43" xfId="0" applyFont="1" applyFill="1" applyBorder="1" applyAlignment="1">
      <alignment horizontal="center" vertical="center"/>
    </xf>
    <xf numFmtId="0" fontId="6" fillId="9" borderId="0" xfId="0" applyFont="1" applyFill="1" applyAlignment="1">
      <alignment horizontal="left" vertical="center"/>
    </xf>
    <xf numFmtId="0" fontId="7" fillId="0" borderId="2" xfId="10" applyFont="1" applyBorder="1"/>
    <xf numFmtId="0" fontId="16" fillId="0" borderId="43" xfId="10" applyFont="1" applyBorder="1"/>
    <xf numFmtId="0" fontId="16" fillId="0" borderId="43" xfId="10" applyFont="1" applyBorder="1" applyAlignment="1">
      <alignment vertical="center"/>
    </xf>
    <xf numFmtId="0" fontId="22" fillId="10" borderId="46" xfId="12" applyFont="1" applyFill="1" applyBorder="1" applyAlignment="1">
      <alignment vertical="center"/>
    </xf>
    <xf numFmtId="0" fontId="22" fillId="10" borderId="49" xfId="12" applyFont="1" applyFill="1" applyBorder="1" applyAlignment="1">
      <alignment vertical="center"/>
    </xf>
    <xf numFmtId="0" fontId="6" fillId="9" borderId="46" xfId="0" applyFont="1" applyFill="1" applyBorder="1" applyAlignment="1">
      <alignment horizontal="left" vertical="center"/>
    </xf>
    <xf numFmtId="0" fontId="6" fillId="0" borderId="47" xfId="0" applyFont="1" applyBorder="1" applyAlignment="1">
      <alignment horizontal="center" vertical="center"/>
    </xf>
    <xf numFmtId="0" fontId="6" fillId="0" borderId="48" xfId="0" applyFont="1" applyBorder="1" applyAlignment="1">
      <alignment horizontal="center" vertical="center"/>
    </xf>
    <xf numFmtId="0" fontId="6" fillId="0" borderId="50" xfId="0" applyFont="1" applyBorder="1" applyAlignment="1">
      <alignment horizontal="center" vertical="center"/>
    </xf>
    <xf numFmtId="0" fontId="5" fillId="0" borderId="52" xfId="10" applyFont="1" applyBorder="1"/>
    <xf numFmtId="0" fontId="5" fillId="0" borderId="44" xfId="10" applyFont="1" applyBorder="1"/>
    <xf numFmtId="0" fontId="22" fillId="10" borderId="51" xfId="12" applyFont="1" applyFill="1" applyBorder="1" applyAlignment="1">
      <alignment vertical="center"/>
    </xf>
    <xf numFmtId="0" fontId="6" fillId="9" borderId="51" xfId="0" applyFont="1" applyFill="1" applyBorder="1" applyAlignment="1">
      <alignment horizontal="center" vertical="center"/>
    </xf>
    <xf numFmtId="0" fontId="30" fillId="0" borderId="0" xfId="10" applyFont="1"/>
    <xf numFmtId="0" fontId="31" fillId="0" borderId="43" xfId="10" applyFont="1" applyBorder="1"/>
    <xf numFmtId="0" fontId="32" fillId="0" borderId="0" xfId="10" applyFont="1"/>
    <xf numFmtId="0" fontId="33" fillId="0" borderId="0" xfId="10" applyFont="1"/>
    <xf numFmtId="0" fontId="26" fillId="0" borderId="0" xfId="10" applyFont="1"/>
    <xf numFmtId="0" fontId="31" fillId="0" borderId="0" xfId="10" applyFont="1"/>
    <xf numFmtId="0" fontId="31" fillId="0" borderId="0" xfId="0" applyFont="1" applyAlignment="1">
      <alignment horizontal="left" vertical="center"/>
    </xf>
    <xf numFmtId="0" fontId="13" fillId="0" borderId="0" xfId="0" applyFont="1" applyAlignment="1">
      <alignment horizontal="center" vertical="center"/>
    </xf>
    <xf numFmtId="0" fontId="26" fillId="0" borderId="43" xfId="10" applyFont="1" applyBorder="1"/>
    <xf numFmtId="0" fontId="31" fillId="0" borderId="1" xfId="10" applyFont="1" applyBorder="1"/>
    <xf numFmtId="0" fontId="30" fillId="10" borderId="51" xfId="12" applyFont="1" applyFill="1" applyBorder="1" applyAlignment="1">
      <alignment vertical="center"/>
    </xf>
    <xf numFmtId="0" fontId="35" fillId="0" borderId="43" xfId="10" applyFont="1" applyBorder="1"/>
    <xf numFmtId="0" fontId="35" fillId="0" borderId="0" xfId="10" applyFont="1"/>
    <xf numFmtId="0" fontId="31" fillId="0" borderId="43" xfId="0" applyFont="1" applyBorder="1" applyAlignment="1">
      <alignment horizontal="left" vertical="center"/>
    </xf>
    <xf numFmtId="0" fontId="13" fillId="0" borderId="0" xfId="0" applyFont="1" applyAlignment="1">
      <alignment horizontal="left" vertical="center"/>
    </xf>
    <xf numFmtId="0" fontId="31" fillId="0" borderId="2" xfId="10" applyFont="1" applyBorder="1"/>
    <xf numFmtId="0" fontId="26" fillId="0" borderId="2" xfId="10" applyFont="1" applyBorder="1"/>
    <xf numFmtId="0" fontId="26" fillId="0" borderId="3" xfId="10" applyFont="1" applyBorder="1"/>
    <xf numFmtId="0" fontId="5" fillId="0" borderId="47" xfId="10" applyFont="1" applyBorder="1"/>
    <xf numFmtId="0" fontId="5" fillId="0" borderId="48" xfId="10" applyFont="1" applyBorder="1"/>
    <xf numFmtId="0" fontId="5" fillId="0" borderId="50" xfId="10" applyFont="1" applyBorder="1"/>
    <xf numFmtId="0" fontId="37" fillId="0" borderId="0" xfId="10" applyFont="1"/>
    <xf numFmtId="0" fontId="37" fillId="0" borderId="2" xfId="10" applyFont="1" applyBorder="1"/>
    <xf numFmtId="0" fontId="38" fillId="10" borderId="51" xfId="12" applyFont="1" applyFill="1" applyBorder="1" applyAlignment="1">
      <alignment vertical="center"/>
    </xf>
    <xf numFmtId="0" fontId="39" fillId="10" borderId="51" xfId="12" applyFont="1" applyFill="1" applyBorder="1" applyAlignment="1">
      <alignment vertical="center"/>
    </xf>
    <xf numFmtId="0" fontId="40" fillId="0" borderId="0" xfId="10" applyFont="1"/>
    <xf numFmtId="0" fontId="37" fillId="0" borderId="43" xfId="10" applyFont="1" applyBorder="1"/>
    <xf numFmtId="0" fontId="37" fillId="0" borderId="1" xfId="10" applyFont="1" applyBorder="1"/>
    <xf numFmtId="0" fontId="40" fillId="0" borderId="2" xfId="10" applyFont="1" applyBorder="1"/>
    <xf numFmtId="0" fontId="39" fillId="0" borderId="0" xfId="10" applyFont="1"/>
    <xf numFmtId="0" fontId="41" fillId="0" borderId="0" xfId="10" applyFont="1"/>
    <xf numFmtId="0" fontId="42" fillId="0" borderId="0" xfId="10" applyFont="1"/>
    <xf numFmtId="0" fontId="43" fillId="0" borderId="0" xfId="10" applyFont="1"/>
    <xf numFmtId="0" fontId="44" fillId="0" borderId="0" xfId="10" applyFont="1"/>
    <xf numFmtId="0" fontId="45" fillId="0" borderId="0" xfId="10" applyFont="1"/>
    <xf numFmtId="0" fontId="46" fillId="0" borderId="0" xfId="10" applyFont="1"/>
    <xf numFmtId="0" fontId="37" fillId="0" borderId="52" xfId="10" applyFont="1" applyBorder="1"/>
    <xf numFmtId="0" fontId="43" fillId="0" borderId="43" xfId="10" applyFont="1" applyBorder="1"/>
    <xf numFmtId="0" fontId="44" fillId="0" borderId="43" xfId="10" applyFont="1" applyBorder="1"/>
    <xf numFmtId="0" fontId="40" fillId="0" borderId="43" xfId="10" applyFont="1" applyBorder="1"/>
    <xf numFmtId="0" fontId="36" fillId="0" borderId="0" xfId="21" applyAlignment="1"/>
    <xf numFmtId="0" fontId="5" fillId="15" borderId="50" xfId="10" applyFont="1" applyFill="1" applyBorder="1"/>
    <xf numFmtId="0" fontId="5" fillId="15" borderId="47" xfId="10" applyFont="1" applyFill="1" applyBorder="1"/>
    <xf numFmtId="0" fontId="5" fillId="15" borderId="48" xfId="10" applyFont="1" applyFill="1" applyBorder="1"/>
    <xf numFmtId="0" fontId="5" fillId="0" borderId="46" xfId="10" applyFont="1" applyBorder="1"/>
    <xf numFmtId="0" fontId="5" fillId="0" borderId="51" xfId="10" applyFont="1" applyBorder="1"/>
    <xf numFmtId="0" fontId="5" fillId="0" borderId="49" xfId="10" applyFont="1" applyBorder="1"/>
    <xf numFmtId="0" fontId="13" fillId="0" borderId="0" xfId="10" applyFont="1"/>
    <xf numFmtId="0" fontId="7" fillId="0" borderId="50" xfId="10" applyFont="1" applyBorder="1"/>
    <xf numFmtId="0" fontId="7" fillId="0" borderId="47" xfId="10" applyFont="1" applyBorder="1"/>
    <xf numFmtId="0" fontId="7" fillId="0" borderId="48" xfId="10" applyFont="1" applyBorder="1"/>
    <xf numFmtId="0" fontId="50" fillId="0" borderId="0" xfId="10" applyFont="1"/>
    <xf numFmtId="0" fontId="51" fillId="0" borderId="0" xfId="10" applyFont="1"/>
    <xf numFmtId="0" fontId="50" fillId="0" borderId="43" xfId="10" applyFont="1" applyBorder="1"/>
    <xf numFmtId="0" fontId="53" fillId="0" borderId="0" xfId="10" applyFont="1"/>
    <xf numFmtId="0" fontId="54" fillId="0" borderId="0" xfId="10" applyFont="1"/>
    <xf numFmtId="0" fontId="56" fillId="0" borderId="0" xfId="10" applyFont="1"/>
    <xf numFmtId="0" fontId="52" fillId="0" borderId="0" xfId="10" applyFont="1"/>
    <xf numFmtId="0" fontId="37" fillId="0" borderId="49" xfId="10" applyFont="1" applyBorder="1"/>
    <xf numFmtId="0" fontId="37" fillId="0" borderId="51" xfId="10" applyFont="1" applyBorder="1"/>
    <xf numFmtId="0" fontId="40" fillId="0" borderId="51" xfId="10" applyFont="1" applyBorder="1"/>
    <xf numFmtId="0" fontId="37" fillId="0" borderId="46" xfId="10" applyFont="1" applyBorder="1"/>
    <xf numFmtId="0" fontId="40" fillId="0" borderId="1" xfId="10" applyFont="1" applyBorder="1"/>
    <xf numFmtId="0" fontId="37" fillId="0" borderId="3" xfId="10" applyFont="1" applyBorder="1"/>
    <xf numFmtId="0" fontId="50" fillId="0" borderId="1" xfId="10" applyFont="1" applyBorder="1"/>
    <xf numFmtId="0" fontId="30" fillId="0" borderId="1" xfId="10" applyFont="1" applyBorder="1"/>
    <xf numFmtId="0" fontId="32" fillId="0" borderId="43" xfId="10" applyFont="1" applyBorder="1"/>
    <xf numFmtId="0" fontId="57" fillId="0" borderId="43" xfId="10" applyFont="1" applyBorder="1"/>
    <xf numFmtId="0" fontId="58" fillId="0" borderId="0" xfId="10" applyFont="1"/>
    <xf numFmtId="0" fontId="58" fillId="0" borderId="43" xfId="10" applyFont="1" applyBorder="1"/>
    <xf numFmtId="0" fontId="59" fillId="0" borderId="43" xfId="10" applyFont="1" applyBorder="1"/>
    <xf numFmtId="0" fontId="59" fillId="0" borderId="0" xfId="10" applyFont="1"/>
    <xf numFmtId="0" fontId="7" fillId="0" borderId="44" xfId="10" applyFont="1" applyBorder="1"/>
    <xf numFmtId="0" fontId="30" fillId="0" borderId="46" xfId="10" applyFont="1" applyBorder="1"/>
    <xf numFmtId="0" fontId="7" fillId="0" borderId="51" xfId="10" applyFont="1" applyBorder="1"/>
    <xf numFmtId="0" fontId="5" fillId="15" borderId="46" xfId="10" applyFont="1" applyFill="1" applyBorder="1"/>
    <xf numFmtId="0" fontId="5" fillId="15" borderId="51" xfId="10" applyFont="1" applyFill="1" applyBorder="1"/>
    <xf numFmtId="0" fontId="5" fillId="15" borderId="49" xfId="10" applyFont="1" applyFill="1" applyBorder="1"/>
    <xf numFmtId="0" fontId="61" fillId="0" borderId="0" xfId="10" applyFont="1"/>
    <xf numFmtId="0" fontId="39" fillId="0" borderId="43" xfId="10" applyFont="1" applyBorder="1"/>
    <xf numFmtId="0" fontId="62" fillId="0" borderId="0" xfId="10" applyFont="1"/>
    <xf numFmtId="0" fontId="7" fillId="0" borderId="46" xfId="10" applyFont="1" applyBorder="1"/>
    <xf numFmtId="0" fontId="7" fillId="0" borderId="0" xfId="21" applyFont="1" applyAlignment="1"/>
    <xf numFmtId="0" fontId="22" fillId="10" borderId="10" xfId="12" applyFont="1" applyFill="1" applyBorder="1" applyAlignment="1">
      <alignment horizontal="center" vertical="center"/>
    </xf>
    <xf numFmtId="0" fontId="22" fillId="10" borderId="11" xfId="12" applyFont="1" applyFill="1" applyBorder="1" applyAlignment="1">
      <alignment horizontal="center" vertical="center"/>
    </xf>
    <xf numFmtId="0" fontId="22" fillId="10" borderId="12" xfId="12" applyFont="1" applyFill="1" applyBorder="1" applyAlignment="1">
      <alignment horizontal="center" vertical="center"/>
    </xf>
    <xf numFmtId="0" fontId="22" fillId="10" borderId="5" xfId="12" applyFont="1" applyFill="1" applyBorder="1" applyAlignment="1">
      <alignment horizontal="center" vertical="center"/>
    </xf>
    <xf numFmtId="0" fontId="13" fillId="12" borderId="45" xfId="0" applyFont="1" applyFill="1" applyBorder="1" applyAlignment="1">
      <alignment horizontal="center" vertical="center" wrapText="1"/>
    </xf>
    <xf numFmtId="0" fontId="13" fillId="12" borderId="45" xfId="0" applyFont="1" applyFill="1" applyBorder="1" applyAlignment="1">
      <alignment horizontal="center" vertical="center"/>
    </xf>
    <xf numFmtId="0" fontId="13" fillId="11" borderId="46" xfId="0" applyFont="1" applyFill="1" applyBorder="1" applyAlignment="1">
      <alignment horizontal="center" vertical="center"/>
    </xf>
    <xf numFmtId="0" fontId="13" fillId="11" borderId="51" xfId="0" applyFont="1" applyFill="1" applyBorder="1" applyAlignment="1">
      <alignment horizontal="center" vertical="center"/>
    </xf>
    <xf numFmtId="0" fontId="13" fillId="11" borderId="49" xfId="0" applyFont="1" applyFill="1" applyBorder="1" applyAlignment="1">
      <alignment horizontal="center" vertical="center"/>
    </xf>
    <xf numFmtId="0" fontId="13" fillId="14" borderId="46" xfId="0" applyFont="1" applyFill="1" applyBorder="1" applyAlignment="1">
      <alignment horizontal="center" vertical="center"/>
    </xf>
    <xf numFmtId="0" fontId="13" fillId="14" borderId="51" xfId="0" applyFont="1" applyFill="1" applyBorder="1" applyAlignment="1">
      <alignment horizontal="center" vertical="center"/>
    </xf>
    <xf numFmtId="0" fontId="13" fillId="14" borderId="49" xfId="0" applyFont="1" applyFill="1" applyBorder="1" applyAlignment="1">
      <alignment horizontal="center" vertical="center"/>
    </xf>
    <xf numFmtId="0" fontId="60" fillId="0" borderId="6" xfId="21" applyFont="1" applyBorder="1" applyAlignment="1">
      <alignment vertical="center"/>
    </xf>
    <xf numFmtId="0" fontId="38" fillId="10" borderId="10" xfId="12" applyFont="1" applyFill="1" applyBorder="1" applyAlignment="1">
      <alignment horizontal="center" vertical="center"/>
    </xf>
    <xf numFmtId="0" fontId="23" fillId="0" borderId="10" xfId="12" applyFont="1" applyBorder="1" applyAlignment="1">
      <alignment horizontal="left" vertical="center"/>
    </xf>
    <xf numFmtId="0" fontId="13" fillId="11" borderId="45" xfId="0" applyFont="1" applyFill="1" applyBorder="1" applyAlignment="1">
      <alignment horizontal="center" vertical="center"/>
    </xf>
    <xf numFmtId="0" fontId="13" fillId="11" borderId="50" xfId="0" applyFont="1" applyFill="1" applyBorder="1" applyAlignment="1">
      <alignment horizontal="center" vertical="center"/>
    </xf>
    <xf numFmtId="0" fontId="13" fillId="11" borderId="47" xfId="0" applyFont="1" applyFill="1" applyBorder="1" applyAlignment="1">
      <alignment horizontal="center" vertical="center"/>
    </xf>
    <xf numFmtId="0" fontId="13" fillId="11" borderId="48" xfId="0" applyFont="1" applyFill="1" applyBorder="1" applyAlignment="1">
      <alignment horizontal="center" vertical="center"/>
    </xf>
    <xf numFmtId="0" fontId="13" fillId="11" borderId="52" xfId="0" applyFont="1" applyFill="1" applyBorder="1" applyAlignment="1">
      <alignment horizontal="center" vertical="center"/>
    </xf>
    <xf numFmtId="0" fontId="13" fillId="11" borderId="2" xfId="0" applyFont="1" applyFill="1" applyBorder="1" applyAlignment="1">
      <alignment horizontal="center" vertical="center"/>
    </xf>
    <xf numFmtId="0" fontId="13" fillId="11" borderId="3" xfId="0" applyFont="1" applyFill="1" applyBorder="1" applyAlignment="1">
      <alignment horizontal="center" vertical="center"/>
    </xf>
    <xf numFmtId="0" fontId="23" fillId="0" borderId="5" xfId="12" applyFont="1" applyBorder="1" applyAlignment="1">
      <alignment horizontal="left" vertical="center"/>
    </xf>
    <xf numFmtId="0" fontId="23" fillId="0" borderId="53" xfId="12" applyFont="1" applyBorder="1" applyAlignment="1">
      <alignment horizontal="left" vertical="center"/>
    </xf>
    <xf numFmtId="0" fontId="23" fillId="0" borderId="39" xfId="12" applyFont="1" applyBorder="1" applyAlignment="1">
      <alignment horizontal="left" vertical="center"/>
    </xf>
    <xf numFmtId="0" fontId="23" fillId="2" borderId="20" xfId="12" applyFont="1" applyFill="1" applyBorder="1" applyAlignment="1">
      <alignment horizontal="center" vertical="center"/>
    </xf>
    <xf numFmtId="0" fontId="23" fillId="2" borderId="21" xfId="12" applyFont="1" applyFill="1" applyBorder="1" applyAlignment="1">
      <alignment horizontal="center" vertical="center"/>
    </xf>
    <xf numFmtId="176" fontId="7" fillId="2" borderId="22" xfId="12" applyNumberFormat="1" applyFont="1" applyFill="1" applyBorder="1" applyAlignment="1">
      <alignment horizontal="center" vertical="center"/>
    </xf>
    <xf numFmtId="176" fontId="7" fillId="2" borderId="23" xfId="12" applyNumberFormat="1" applyFont="1" applyFill="1" applyBorder="1" applyAlignment="1">
      <alignment horizontal="center" vertical="center"/>
    </xf>
    <xf numFmtId="176" fontId="7" fillId="2" borderId="24" xfId="12" applyNumberFormat="1" applyFont="1" applyFill="1" applyBorder="1" applyAlignment="1">
      <alignment horizontal="center" vertical="center"/>
    </xf>
    <xf numFmtId="0" fontId="7" fillId="2" borderId="25" xfId="12" applyFont="1" applyFill="1" applyBorder="1" applyAlignment="1">
      <alignment horizontal="center" vertical="center"/>
    </xf>
    <xf numFmtId="0" fontId="7" fillId="2" borderId="26" xfId="12" applyFont="1" applyFill="1" applyBorder="1" applyAlignment="1">
      <alignment horizontal="center" vertical="center"/>
    </xf>
    <xf numFmtId="0" fontId="7" fillId="2" borderId="27" xfId="12" applyFont="1" applyFill="1" applyBorder="1" applyAlignment="1">
      <alignment horizontal="center" vertical="center"/>
    </xf>
    <xf numFmtId="0" fontId="23" fillId="2" borderId="31" xfId="12" applyFont="1" applyFill="1" applyBorder="1" applyAlignment="1">
      <alignment horizontal="center" vertical="center"/>
    </xf>
    <xf numFmtId="0" fontId="23" fillId="2" borderId="32" xfId="12" applyFont="1" applyFill="1" applyBorder="1" applyAlignment="1">
      <alignment horizontal="center" vertical="center"/>
    </xf>
    <xf numFmtId="176" fontId="7" fillId="2" borderId="33" xfId="12" applyNumberFormat="1" applyFont="1" applyFill="1" applyBorder="1" applyAlignment="1">
      <alignment horizontal="center" vertical="center"/>
    </xf>
    <xf numFmtId="176" fontId="7" fillId="2" borderId="34" xfId="12" applyNumberFormat="1" applyFont="1" applyFill="1" applyBorder="1" applyAlignment="1">
      <alignment horizontal="center" vertical="center"/>
    </xf>
    <xf numFmtId="176" fontId="7" fillId="2" borderId="35" xfId="12" applyNumberFormat="1" applyFont="1" applyFill="1" applyBorder="1" applyAlignment="1">
      <alignment horizontal="center" vertical="center"/>
    </xf>
    <xf numFmtId="0" fontId="7" fillId="2" borderId="36" xfId="12" applyFont="1" applyFill="1" applyBorder="1" applyAlignment="1">
      <alignment horizontal="center" vertical="center"/>
    </xf>
    <xf numFmtId="0" fontId="7" fillId="2" borderId="37" xfId="12" applyFont="1" applyFill="1" applyBorder="1" applyAlignment="1">
      <alignment horizontal="center" vertical="center"/>
    </xf>
    <xf numFmtId="0" fontId="7" fillId="2" borderId="38" xfId="12" applyFont="1" applyFill="1" applyBorder="1" applyAlignment="1">
      <alignment horizontal="center" vertical="center"/>
    </xf>
    <xf numFmtId="0" fontId="16" fillId="0" borderId="50" xfId="10" applyFont="1" applyBorder="1" applyAlignment="1">
      <alignment horizontal="center" vertical="center" wrapText="1"/>
    </xf>
    <xf numFmtId="0" fontId="16" fillId="0" borderId="47" xfId="10" applyFont="1" applyBorder="1" applyAlignment="1">
      <alignment horizontal="center" vertical="center"/>
    </xf>
    <xf numFmtId="0" fontId="16" fillId="0" borderId="43" xfId="10" applyFont="1" applyBorder="1" applyAlignment="1">
      <alignment horizontal="center" vertical="center"/>
    </xf>
    <xf numFmtId="0" fontId="16" fillId="0" borderId="0" xfId="10" applyFont="1" applyAlignment="1">
      <alignment horizontal="center" vertical="center"/>
    </xf>
    <xf numFmtId="0" fontId="16" fillId="0" borderId="52" xfId="10" applyFont="1" applyBorder="1" applyAlignment="1">
      <alignment horizontal="center" vertical="center"/>
    </xf>
    <xf numFmtId="0" fontId="16" fillId="0" borderId="2" xfId="10" applyFont="1" applyBorder="1" applyAlignment="1">
      <alignment horizontal="center" vertical="center"/>
    </xf>
    <xf numFmtId="0" fontId="16" fillId="0" borderId="50" xfId="11" applyFont="1" applyBorder="1" applyAlignment="1">
      <alignment horizontal="center" vertical="center" wrapText="1"/>
    </xf>
    <xf numFmtId="0" fontId="16" fillId="0" borderId="47" xfId="11" applyFont="1" applyBorder="1" applyAlignment="1">
      <alignment horizontal="center" vertical="center"/>
    </xf>
    <xf numFmtId="0" fontId="16" fillId="0" borderId="48" xfId="11" applyFont="1" applyBorder="1" applyAlignment="1">
      <alignment horizontal="center" vertical="center"/>
    </xf>
    <xf numFmtId="0" fontId="16" fillId="0" borderId="43" xfId="11" applyFont="1" applyBorder="1" applyAlignment="1">
      <alignment horizontal="center" vertical="center"/>
    </xf>
    <xf numFmtId="0" fontId="16" fillId="0" borderId="0" xfId="11" applyFont="1" applyAlignment="1">
      <alignment horizontal="center" vertical="center"/>
    </xf>
    <xf numFmtId="0" fontId="16" fillId="0" borderId="1" xfId="11" applyFont="1" applyBorder="1" applyAlignment="1">
      <alignment horizontal="center" vertical="center"/>
    </xf>
    <xf numFmtId="0" fontId="16" fillId="0" borderId="52" xfId="11" applyFont="1" applyBorder="1" applyAlignment="1">
      <alignment horizontal="center" vertical="center"/>
    </xf>
    <xf numFmtId="0" fontId="16" fillId="0" borderId="2" xfId="11" applyFont="1" applyBorder="1" applyAlignment="1">
      <alignment horizontal="center" vertical="center"/>
    </xf>
    <xf numFmtId="0" fontId="16" fillId="0" borderId="3" xfId="11" applyFont="1" applyBorder="1" applyAlignment="1">
      <alignment horizontal="center" vertical="center"/>
    </xf>
    <xf numFmtId="0" fontId="16" fillId="0" borderId="2" xfId="10" applyFont="1" applyBorder="1" applyAlignment="1">
      <alignment horizontal="center"/>
    </xf>
    <xf numFmtId="0" fontId="16" fillId="0" borderId="2" xfId="10" applyFont="1" applyBorder="1" applyAlignment="1">
      <alignment horizontal="center" wrapText="1"/>
    </xf>
    <xf numFmtId="0" fontId="16" fillId="2" borderId="2" xfId="10" applyFont="1" applyFill="1" applyBorder="1" applyAlignment="1">
      <alignment horizontal="center" wrapText="1"/>
    </xf>
    <xf numFmtId="0" fontId="16" fillId="2" borderId="2" xfId="10" applyFont="1" applyFill="1" applyBorder="1" applyAlignment="1">
      <alignment horizontal="center"/>
    </xf>
    <xf numFmtId="14" fontId="16" fillId="0" borderId="46" xfId="10" applyNumberFormat="1" applyFont="1" applyBorder="1" applyAlignment="1">
      <alignment horizontal="center"/>
    </xf>
    <xf numFmtId="14" fontId="16" fillId="0" borderId="51" xfId="10" applyNumberFormat="1" applyFont="1" applyBorder="1" applyAlignment="1">
      <alignment horizontal="center"/>
    </xf>
    <xf numFmtId="14" fontId="16" fillId="0" borderId="49" xfId="10" applyNumberFormat="1" applyFont="1" applyBorder="1" applyAlignment="1">
      <alignment horizontal="center"/>
    </xf>
    <xf numFmtId="0" fontId="21" fillId="0" borderId="0" xfId="10" applyFont="1" applyAlignment="1">
      <alignment horizontal="center" vertical="center"/>
    </xf>
    <xf numFmtId="0" fontId="19" fillId="0" borderId="0" xfId="10" applyFont="1" applyAlignment="1">
      <alignment horizontal="center"/>
    </xf>
    <xf numFmtId="0" fontId="19" fillId="0" borderId="4" xfId="10" applyFont="1" applyBorder="1" applyAlignment="1">
      <alignment horizontal="center"/>
    </xf>
    <xf numFmtId="0" fontId="20" fillId="0" borderId="50" xfId="10" applyFont="1" applyBorder="1" applyAlignment="1">
      <alignment horizontal="center" vertical="center"/>
    </xf>
    <xf numFmtId="0" fontId="20" fillId="0" borderId="47" xfId="10" applyFont="1" applyBorder="1" applyAlignment="1">
      <alignment horizontal="center" vertical="center"/>
    </xf>
    <xf numFmtId="0" fontId="20" fillId="0" borderId="48" xfId="10" applyFont="1" applyBorder="1" applyAlignment="1">
      <alignment horizontal="center" vertical="center"/>
    </xf>
    <xf numFmtId="0" fontId="20" fillId="0" borderId="43" xfId="10" applyFont="1" applyBorder="1" applyAlignment="1">
      <alignment horizontal="center" vertical="center"/>
    </xf>
    <xf numFmtId="0" fontId="20" fillId="0" borderId="0" xfId="10" applyFont="1" applyAlignment="1">
      <alignment horizontal="center" vertical="center"/>
    </xf>
    <xf numFmtId="0" fontId="20" fillId="0" borderId="1" xfId="10" applyFont="1" applyBorder="1" applyAlignment="1">
      <alignment horizontal="center" vertical="center"/>
    </xf>
    <xf numFmtId="0" fontId="19" fillId="0" borderId="43" xfId="10" applyFont="1" applyBorder="1" applyAlignment="1">
      <alignment horizontal="center" vertical="center"/>
    </xf>
    <xf numFmtId="0" fontId="19" fillId="0" borderId="0" xfId="10" applyFont="1" applyAlignment="1">
      <alignment horizontal="center" vertical="center"/>
    </xf>
    <xf numFmtId="0" fontId="19" fillId="0" borderId="1" xfId="10" applyFont="1" applyBorder="1" applyAlignment="1">
      <alignment horizontal="center" vertical="center"/>
    </xf>
    <xf numFmtId="0" fontId="19" fillId="0" borderId="52" xfId="10" applyFont="1" applyBorder="1" applyAlignment="1">
      <alignment horizontal="center" vertical="center"/>
    </xf>
    <xf numFmtId="0" fontId="19" fillId="0" borderId="2" xfId="10" applyFont="1" applyBorder="1" applyAlignment="1">
      <alignment horizontal="center" vertical="center"/>
    </xf>
    <xf numFmtId="0" fontId="19" fillId="0" borderId="3" xfId="10" applyFont="1" applyBorder="1" applyAlignment="1">
      <alignment horizontal="center" vertical="center"/>
    </xf>
    <xf numFmtId="14" fontId="21" fillId="0" borderId="0" xfId="10" applyNumberFormat="1" applyFont="1" applyAlignment="1">
      <alignment horizontal="center" vertical="center"/>
    </xf>
    <xf numFmtId="14" fontId="23" fillId="2" borderId="41" xfId="12" applyNumberFormat="1" applyFont="1" applyFill="1" applyBorder="1" applyAlignment="1">
      <alignment horizontal="left" vertical="top"/>
    </xf>
    <xf numFmtId="0" fontId="23" fillId="2" borderId="41" xfId="12" applyFont="1" applyFill="1" applyBorder="1" applyAlignment="1">
      <alignment horizontal="left" vertical="top"/>
    </xf>
    <xf numFmtId="0" fontId="23" fillId="2" borderId="41" xfId="12" applyFont="1" applyFill="1" applyBorder="1" applyAlignment="1">
      <alignment vertical="top" wrapText="1"/>
    </xf>
    <xf numFmtId="0" fontId="23" fillId="2" borderId="41" xfId="12" applyFont="1" applyFill="1" applyBorder="1" applyAlignment="1">
      <alignment vertical="top"/>
    </xf>
    <xf numFmtId="0" fontId="23" fillId="2" borderId="41" xfId="12" applyFont="1" applyFill="1" applyBorder="1" applyAlignment="1">
      <alignment horizontal="center" vertical="top" wrapText="1"/>
    </xf>
    <xf numFmtId="49" fontId="23" fillId="2" borderId="41" xfId="12" applyNumberFormat="1" applyFont="1" applyFill="1" applyBorder="1" applyAlignment="1">
      <alignment horizontal="center" vertical="top"/>
    </xf>
    <xf numFmtId="14" fontId="23" fillId="2" borderId="42" xfId="12" applyNumberFormat="1" applyFont="1" applyFill="1" applyBorder="1" applyAlignment="1">
      <alignment horizontal="left" vertical="top"/>
    </xf>
    <xf numFmtId="0" fontId="23" fillId="2" borderId="42" xfId="12" applyFont="1" applyFill="1" applyBorder="1" applyAlignment="1">
      <alignment horizontal="left" vertical="top"/>
    </xf>
    <xf numFmtId="0" fontId="23" fillId="2" borderId="42" xfId="12" applyFont="1" applyFill="1" applyBorder="1" applyAlignment="1">
      <alignment vertical="top"/>
    </xf>
    <xf numFmtId="0" fontId="23" fillId="2" borderId="42" xfId="12" applyFont="1" applyFill="1" applyBorder="1" applyAlignment="1">
      <alignment horizontal="center" vertical="top" wrapText="1"/>
    </xf>
    <xf numFmtId="49" fontId="23" fillId="2" borderId="42" xfId="12" applyNumberFormat="1" applyFont="1" applyFill="1" applyBorder="1" applyAlignment="1">
      <alignment horizontal="center" vertical="top"/>
    </xf>
    <xf numFmtId="49" fontId="23" fillId="2" borderId="40" xfId="12" applyNumberFormat="1" applyFont="1" applyFill="1" applyBorder="1" applyAlignment="1">
      <alignment horizontal="center" vertical="top"/>
    </xf>
    <xf numFmtId="49" fontId="23" fillId="2" borderId="40" xfId="12" quotePrefix="1" applyNumberFormat="1" applyFont="1" applyFill="1" applyBorder="1" applyAlignment="1">
      <alignment horizontal="center" vertical="top"/>
    </xf>
    <xf numFmtId="0" fontId="22" fillId="10" borderId="14" xfId="12" applyFont="1" applyFill="1" applyBorder="1" applyAlignment="1">
      <alignment horizontal="center" vertical="center"/>
    </xf>
    <xf numFmtId="0" fontId="22" fillId="10" borderId="15" xfId="12" applyFont="1" applyFill="1" applyBorder="1" applyAlignment="1">
      <alignment horizontal="center" vertical="center"/>
    </xf>
    <xf numFmtId="0" fontId="22" fillId="10" borderId="16" xfId="12" applyFont="1" applyFill="1" applyBorder="1" applyAlignment="1">
      <alignment horizontal="center" vertical="center"/>
    </xf>
    <xf numFmtId="0" fontId="23" fillId="0" borderId="11" xfId="12" applyFont="1" applyBorder="1" applyAlignment="1">
      <alignment horizontal="left" vertical="center"/>
    </xf>
    <xf numFmtId="0" fontId="23" fillId="0" borderId="12" xfId="12" applyFont="1" applyBorder="1" applyAlignment="1">
      <alignment horizontal="left" vertical="center"/>
    </xf>
    <xf numFmtId="0" fontId="22" fillId="10" borderId="17" xfId="12" applyFont="1" applyFill="1" applyBorder="1" applyAlignment="1">
      <alignment horizontal="center" vertical="center"/>
    </xf>
    <xf numFmtId="0" fontId="22" fillId="10" borderId="18" xfId="12" applyFont="1" applyFill="1" applyBorder="1" applyAlignment="1">
      <alignment horizontal="center" vertical="center"/>
    </xf>
    <xf numFmtId="0" fontId="22" fillId="10" borderId="19" xfId="12" applyFont="1" applyFill="1" applyBorder="1" applyAlignment="1">
      <alignment horizontal="center" vertical="center"/>
    </xf>
    <xf numFmtId="0" fontId="22" fillId="10" borderId="28" xfId="12" applyFont="1" applyFill="1" applyBorder="1" applyAlignment="1">
      <alignment horizontal="center" vertical="center"/>
    </xf>
    <xf numFmtId="0" fontId="22" fillId="10" borderId="29" xfId="12" applyFont="1" applyFill="1" applyBorder="1" applyAlignment="1">
      <alignment horizontal="center" vertical="center"/>
    </xf>
    <xf numFmtId="0" fontId="22" fillId="10" borderId="30" xfId="12" applyFont="1" applyFill="1" applyBorder="1" applyAlignment="1">
      <alignment horizontal="center" vertical="center"/>
    </xf>
    <xf numFmtId="0" fontId="23" fillId="0" borderId="6" xfId="12" applyFont="1" applyBorder="1" applyAlignment="1">
      <alignment horizontal="left" vertical="center"/>
    </xf>
    <xf numFmtId="0" fontId="23" fillId="0" borderId="8" xfId="12" applyFont="1" applyBorder="1" applyAlignment="1">
      <alignment horizontal="left" vertical="center"/>
    </xf>
    <xf numFmtId="0" fontId="23" fillId="0" borderId="9" xfId="12" applyFont="1" applyBorder="1" applyAlignment="1">
      <alignment horizontal="left" vertical="center"/>
    </xf>
    <xf numFmtId="0" fontId="23" fillId="0" borderId="7" xfId="12" applyFont="1" applyBorder="1" applyAlignment="1">
      <alignment horizontal="left" vertical="center"/>
    </xf>
    <xf numFmtId="0" fontId="23" fillId="0" borderId="13" xfId="12" applyFont="1" applyBorder="1" applyAlignment="1">
      <alignment horizontal="left" vertical="center"/>
    </xf>
    <xf numFmtId="0" fontId="23" fillId="2" borderId="5" xfId="12" applyFont="1" applyFill="1" applyBorder="1" applyAlignment="1">
      <alignment horizontal="center" vertical="center"/>
    </xf>
    <xf numFmtId="0" fontId="23" fillId="2" borderId="6" xfId="12" applyFont="1" applyFill="1" applyBorder="1" applyAlignment="1">
      <alignment horizontal="center" vertical="center"/>
    </xf>
    <xf numFmtId="0" fontId="23" fillId="2" borderId="8" xfId="12" applyFont="1" applyFill="1" applyBorder="1" applyAlignment="1">
      <alignment horizontal="center" vertical="center"/>
    </xf>
    <xf numFmtId="0" fontId="23" fillId="2" borderId="9" xfId="12" applyFont="1" applyFill="1" applyBorder="1" applyAlignment="1">
      <alignment horizontal="center" vertical="center"/>
    </xf>
    <xf numFmtId="0" fontId="23" fillId="2" borderId="7" xfId="12" applyFont="1" applyFill="1" applyBorder="1" applyAlignment="1">
      <alignment horizontal="center" vertical="center"/>
    </xf>
    <xf numFmtId="0" fontId="23" fillId="2" borderId="13" xfId="12" applyFont="1" applyFill="1" applyBorder="1" applyAlignment="1">
      <alignment horizontal="center" vertical="center"/>
    </xf>
    <xf numFmtId="0" fontId="22" fillId="10" borderId="39" xfId="12" applyFont="1" applyFill="1" applyBorder="1" applyAlignment="1">
      <alignment horizontal="center" vertical="center"/>
    </xf>
    <xf numFmtId="14" fontId="23" fillId="2" borderId="40" xfId="12" applyNumberFormat="1" applyFont="1" applyFill="1" applyBorder="1" applyAlignment="1">
      <alignment horizontal="left" vertical="top"/>
    </xf>
    <xf numFmtId="0" fontId="23" fillId="2" borderId="40" xfId="12" applyFont="1" applyFill="1" applyBorder="1" applyAlignment="1">
      <alignment horizontal="left" vertical="top"/>
    </xf>
    <xf numFmtId="0" fontId="23" fillId="2" borderId="40" xfId="12" applyFont="1" applyFill="1" applyBorder="1" applyAlignment="1">
      <alignment vertical="top"/>
    </xf>
    <xf numFmtId="0" fontId="23" fillId="2" borderId="40" xfId="12" applyFont="1" applyFill="1" applyBorder="1" applyAlignment="1">
      <alignment horizontal="center" vertical="top" wrapText="1"/>
    </xf>
    <xf numFmtId="0" fontId="13" fillId="13" borderId="50" xfId="0" applyFont="1" applyFill="1" applyBorder="1" applyAlignment="1">
      <alignment horizontal="center" vertical="center"/>
    </xf>
    <xf numFmtId="0" fontId="13" fillId="13" borderId="47" xfId="0" applyFont="1" applyFill="1" applyBorder="1" applyAlignment="1">
      <alignment horizontal="center" vertical="center"/>
    </xf>
    <xf numFmtId="0" fontId="13" fillId="13" borderId="48" xfId="0" applyFont="1" applyFill="1" applyBorder="1" applyAlignment="1">
      <alignment horizontal="center" vertical="center"/>
    </xf>
    <xf numFmtId="0" fontId="13" fillId="13" borderId="52" xfId="0" applyFont="1" applyFill="1" applyBorder="1" applyAlignment="1">
      <alignment horizontal="center" vertical="center"/>
    </xf>
    <xf numFmtId="0" fontId="13" fillId="13" borderId="2" xfId="0" applyFont="1" applyFill="1" applyBorder="1" applyAlignment="1">
      <alignment horizontal="center" vertical="center"/>
    </xf>
    <xf numFmtId="0" fontId="13" fillId="13" borderId="3" xfId="0" applyFont="1" applyFill="1" applyBorder="1" applyAlignment="1">
      <alignment horizontal="center" vertical="center"/>
    </xf>
    <xf numFmtId="0" fontId="22" fillId="10" borderId="6" xfId="12" applyFont="1" applyFill="1" applyBorder="1" applyAlignment="1">
      <alignment horizontal="center" vertical="center"/>
    </xf>
    <xf numFmtId="0" fontId="22" fillId="10" borderId="8" xfId="12" applyFont="1" applyFill="1" applyBorder="1" applyAlignment="1">
      <alignment horizontal="center" vertical="center"/>
    </xf>
    <xf numFmtId="0" fontId="22" fillId="10" borderId="9" xfId="12" applyFont="1" applyFill="1" applyBorder="1" applyAlignment="1">
      <alignment horizontal="center" vertical="center"/>
    </xf>
    <xf numFmtId="0" fontId="22" fillId="10" borderId="7" xfId="12" applyFont="1" applyFill="1" applyBorder="1" applyAlignment="1">
      <alignment horizontal="center" vertical="center"/>
    </xf>
    <xf numFmtId="0" fontId="22" fillId="10" borderId="13" xfId="12" applyFont="1" applyFill="1" applyBorder="1" applyAlignment="1">
      <alignment horizontal="center" vertical="center"/>
    </xf>
    <xf numFmtId="0" fontId="13" fillId="11" borderId="45" xfId="0" applyFont="1" applyFill="1" applyBorder="1" applyAlignment="1">
      <alignment horizontal="center" vertical="center" wrapText="1"/>
    </xf>
    <xf numFmtId="0" fontId="36" fillId="0" borderId="6" xfId="21" applyBorder="1" applyAlignment="1">
      <alignment vertical="center"/>
    </xf>
    <xf numFmtId="0" fontId="38" fillId="10" borderId="11" xfId="12" applyFont="1" applyFill="1" applyBorder="1" applyAlignment="1">
      <alignment horizontal="center" vertical="center"/>
    </xf>
    <xf numFmtId="0" fontId="38" fillId="10" borderId="12" xfId="12" applyFont="1" applyFill="1" applyBorder="1" applyAlignment="1">
      <alignment horizontal="center" vertical="center"/>
    </xf>
    <xf numFmtId="0" fontId="13" fillId="12" borderId="50" xfId="0" applyFont="1" applyFill="1" applyBorder="1" applyAlignment="1">
      <alignment horizontal="center" vertical="center"/>
    </xf>
    <xf numFmtId="0" fontId="13" fillId="12" borderId="47" xfId="0" applyFont="1" applyFill="1" applyBorder="1" applyAlignment="1">
      <alignment horizontal="center" vertical="center"/>
    </xf>
    <xf numFmtId="0" fontId="13" fillId="12" borderId="48" xfId="0" applyFont="1" applyFill="1" applyBorder="1" applyAlignment="1">
      <alignment horizontal="center" vertical="center"/>
    </xf>
    <xf numFmtId="0" fontId="13" fillId="12" borderId="43" xfId="0" applyFont="1" applyFill="1" applyBorder="1" applyAlignment="1">
      <alignment horizontal="center" vertical="center"/>
    </xf>
    <xf numFmtId="0" fontId="13" fillId="12" borderId="0" xfId="0" applyFont="1" applyFill="1" applyAlignment="1">
      <alignment horizontal="center" vertical="center"/>
    </xf>
    <xf numFmtId="0" fontId="13" fillId="12" borderId="1" xfId="0" applyFont="1" applyFill="1" applyBorder="1" applyAlignment="1">
      <alignment horizontal="center" vertical="center"/>
    </xf>
    <xf numFmtId="0" fontId="13" fillId="12" borderId="52" xfId="0" applyFont="1" applyFill="1" applyBorder="1" applyAlignment="1">
      <alignment horizontal="center" vertical="center"/>
    </xf>
    <xf numFmtId="0" fontId="13" fillId="12" borderId="2" xfId="0" applyFont="1" applyFill="1" applyBorder="1" applyAlignment="1">
      <alignment horizontal="center" vertical="center"/>
    </xf>
    <xf numFmtId="0" fontId="13" fillId="12" borderId="3" xfId="0" applyFont="1" applyFill="1" applyBorder="1" applyAlignment="1">
      <alignment horizontal="center" vertical="center"/>
    </xf>
    <xf numFmtId="0" fontId="55" fillId="11" borderId="50" xfId="0" applyFont="1" applyFill="1" applyBorder="1" applyAlignment="1">
      <alignment horizontal="center" vertical="center" wrapText="1"/>
    </xf>
    <xf numFmtId="0" fontId="55" fillId="11" borderId="47" xfId="0" applyFont="1" applyFill="1" applyBorder="1" applyAlignment="1">
      <alignment horizontal="center" vertical="center" wrapText="1"/>
    </xf>
    <xf numFmtId="0" fontId="55" fillId="11" borderId="48" xfId="0" applyFont="1" applyFill="1" applyBorder="1" applyAlignment="1">
      <alignment horizontal="center" vertical="center" wrapText="1"/>
    </xf>
    <xf numFmtId="0" fontId="55" fillId="11" borderId="52" xfId="0" applyFont="1" applyFill="1" applyBorder="1" applyAlignment="1">
      <alignment horizontal="center" vertical="center" wrapText="1"/>
    </xf>
    <xf numFmtId="0" fontId="55" fillId="11" borderId="2" xfId="0" applyFont="1" applyFill="1" applyBorder="1" applyAlignment="1">
      <alignment horizontal="center" vertical="center" wrapText="1"/>
    </xf>
    <xf numFmtId="0" fontId="55" fillId="11" borderId="3" xfId="0" applyFont="1" applyFill="1" applyBorder="1" applyAlignment="1">
      <alignment horizontal="center" vertical="center" wrapText="1"/>
    </xf>
    <xf numFmtId="0" fontId="13" fillId="14" borderId="50" xfId="0" applyFont="1" applyFill="1" applyBorder="1" applyAlignment="1">
      <alignment horizontal="center" vertical="center" wrapText="1"/>
    </xf>
    <xf numFmtId="0" fontId="13" fillId="14" borderId="47" xfId="0" applyFont="1" applyFill="1" applyBorder="1" applyAlignment="1">
      <alignment horizontal="center" vertical="center" wrapText="1"/>
    </xf>
    <xf numFmtId="0" fontId="13" fillId="14" borderId="48" xfId="0" applyFont="1" applyFill="1" applyBorder="1" applyAlignment="1">
      <alignment horizontal="center" vertical="center" wrapText="1"/>
    </xf>
    <xf numFmtId="0" fontId="13" fillId="14" borderId="52" xfId="0" applyFont="1" applyFill="1" applyBorder="1" applyAlignment="1">
      <alignment horizontal="center" vertical="center" wrapText="1"/>
    </xf>
    <xf numFmtId="0" fontId="13" fillId="14" borderId="2" xfId="0" applyFont="1" applyFill="1" applyBorder="1" applyAlignment="1">
      <alignment horizontal="center" vertical="center" wrapText="1"/>
    </xf>
    <xf numFmtId="0" fontId="13" fillId="14" borderId="3" xfId="0" applyFont="1" applyFill="1" applyBorder="1" applyAlignment="1">
      <alignment horizontal="center" vertical="center" wrapText="1"/>
    </xf>
    <xf numFmtId="0" fontId="13" fillId="12" borderId="50" xfId="0" applyFont="1" applyFill="1" applyBorder="1" applyAlignment="1">
      <alignment horizontal="center" vertical="center" wrapText="1"/>
    </xf>
    <xf numFmtId="0" fontId="13" fillId="12" borderId="47" xfId="0" applyFont="1" applyFill="1" applyBorder="1" applyAlignment="1">
      <alignment horizontal="center" vertical="center" wrapText="1"/>
    </xf>
    <xf numFmtId="0" fontId="13" fillId="12" borderId="48" xfId="0" applyFont="1" applyFill="1" applyBorder="1" applyAlignment="1">
      <alignment horizontal="center" vertical="center" wrapText="1"/>
    </xf>
    <xf numFmtId="0" fontId="13" fillId="12" borderId="43" xfId="0" applyFont="1" applyFill="1" applyBorder="1" applyAlignment="1">
      <alignment horizontal="center" vertical="center" wrapText="1"/>
    </xf>
    <xf numFmtId="0" fontId="13" fillId="12" borderId="0" xfId="0" applyFont="1" applyFill="1" applyAlignment="1">
      <alignment horizontal="center" vertical="center" wrapText="1"/>
    </xf>
    <xf numFmtId="0" fontId="13" fillId="12" borderId="1" xfId="0" applyFont="1" applyFill="1" applyBorder="1" applyAlignment="1">
      <alignment horizontal="center" vertical="center" wrapText="1"/>
    </xf>
    <xf numFmtId="0" fontId="13" fillId="12" borderId="52" xfId="0" applyFont="1" applyFill="1" applyBorder="1" applyAlignment="1">
      <alignment horizontal="center" vertical="center" wrapText="1"/>
    </xf>
    <xf numFmtId="0" fontId="13" fillId="12" borderId="2"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0" fillId="0" borderId="6" xfId="0" applyBorder="1" applyAlignment="1">
      <alignment vertical="center"/>
    </xf>
    <xf numFmtId="0" fontId="5" fillId="0" borderId="6" xfId="0" applyFont="1" applyBorder="1" applyAlignment="1">
      <alignment vertical="center"/>
    </xf>
  </cellXfs>
  <cellStyles count="22">
    <cellStyle name="アクセント 1" xfId="2" builtinId="29" customBuiltin="1"/>
    <cellStyle name="アクセント 2" xfId="3" builtinId="33" customBuiltin="1"/>
    <cellStyle name="アクセント 3" xfId="4" builtinId="37" customBuiltin="1"/>
    <cellStyle name="アクセント 4" xfId="5" builtinId="41" customBuiltin="1"/>
    <cellStyle name="アクセント 5" xfId="6" builtinId="45" customBuiltin="1"/>
    <cellStyle name="アクセント 6" xfId="7" builtinId="49" customBuiltin="1"/>
    <cellStyle name="タイトル" xfId="1" builtinId="15" hidden="1"/>
    <cellStyle name="ハイパーリンク" xfId="21" builtinId="8"/>
    <cellStyle name="桁区切り 2" xfId="14" xr:uid="{00000000-0005-0000-0000-000007000000}"/>
    <cellStyle name="桁区切り 2 2" xfId="19" xr:uid="{48595E72-5CC2-40EA-A33C-8E5B35BC7AD2}"/>
    <cellStyle name="標準" xfId="0" builtinId="0"/>
    <cellStyle name="標準 2" xfId="8" xr:uid="{00000000-0005-0000-0000-000009000000}"/>
    <cellStyle name="標準 2 2" xfId="10" xr:uid="{00000000-0005-0000-0000-00000A000000}"/>
    <cellStyle name="標準 2 2 2" xfId="12" xr:uid="{00000000-0005-0000-0000-00000B000000}"/>
    <cellStyle name="標準 3" xfId="9" xr:uid="{00000000-0005-0000-0000-00000C000000}"/>
    <cellStyle name="標準 4" xfId="13" xr:uid="{00000000-0005-0000-0000-00000D000000}"/>
    <cellStyle name="標準 4 2" xfId="17" xr:uid="{00000000-0005-0000-0000-00000E000000}"/>
    <cellStyle name="標準 4 3" xfId="18" xr:uid="{422C485B-43C0-4489-BC1A-5511A7F74BF2}"/>
    <cellStyle name="標準 5" xfId="16" xr:uid="{00000000-0005-0000-0000-00000F000000}"/>
    <cellStyle name="標準 6" xfId="11" xr:uid="{00000000-0005-0000-0000-000010000000}"/>
    <cellStyle name="標準 7 3" xfId="15" xr:uid="{00000000-0005-0000-0000-000011000000}"/>
    <cellStyle name="標準 7 3 2" xfId="20" xr:uid="{29EE450A-2E27-4F51-9C9B-C734CA1273A3}"/>
  </cellStyles>
  <dxfs count="0"/>
  <tableStyles count="0" defaultTableStyle="TableStyleMedium2" defaultPivotStyle="PivotStyleLight16"/>
  <colors>
    <mruColors>
      <color rgb="FF4CB491"/>
      <color rgb="FFFFFFB3"/>
      <color rgb="FFFFE389"/>
      <color rgb="FFFFEDB3"/>
      <color rgb="FFFFCC66"/>
      <color rgb="FFFF9933"/>
      <color rgb="FF8FD377"/>
      <color rgb="FFC47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34925</xdr:colOff>
      <xdr:row>24</xdr:row>
      <xdr:rowOff>89834</xdr:rowOff>
    </xdr:from>
    <xdr:to>
      <xdr:col>5</xdr:col>
      <xdr:colOff>164375</xdr:colOff>
      <xdr:row>24</xdr:row>
      <xdr:rowOff>89834</xdr:rowOff>
    </xdr:to>
    <xdr:cxnSp macro="">
      <xdr:nvCxnSpPr>
        <xdr:cNvPr id="2" name="直線矢印コネクタ 1">
          <a:extLst>
            <a:ext uri="{FF2B5EF4-FFF2-40B4-BE49-F238E27FC236}">
              <a16:creationId xmlns:a16="http://schemas.microsoft.com/office/drawing/2014/main" id="{00000000-0008-0000-0200-000002000000}"/>
            </a:ext>
          </a:extLst>
        </xdr:cNvPr>
        <xdr:cNvCxnSpPr/>
      </xdr:nvCxnSpPr>
      <xdr:spPr>
        <a:xfrm>
          <a:off x="434975" y="4404659"/>
          <a:ext cx="729525" cy="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190501</xdr:colOff>
      <xdr:row>18</xdr:row>
      <xdr:rowOff>63500</xdr:rowOff>
    </xdr:from>
    <xdr:to>
      <xdr:col>5</xdr:col>
      <xdr:colOff>88901</xdr:colOff>
      <xdr:row>20</xdr:row>
      <xdr:rowOff>87217</xdr:rowOff>
    </xdr:to>
    <xdr:grpSp>
      <xdr:nvGrpSpPr>
        <xdr:cNvPr id="3" name="グループ化 2">
          <a:extLst>
            <a:ext uri="{FF2B5EF4-FFF2-40B4-BE49-F238E27FC236}">
              <a16:creationId xmlns:a16="http://schemas.microsoft.com/office/drawing/2014/main" id="{00000000-0008-0000-0200-000003000000}"/>
            </a:ext>
          </a:extLst>
        </xdr:cNvPr>
        <xdr:cNvGrpSpPr>
          <a:grpSpLocks noChangeAspect="1"/>
        </xdr:cNvGrpSpPr>
      </xdr:nvGrpSpPr>
      <xdr:grpSpPr>
        <a:xfrm>
          <a:off x="361951" y="3263900"/>
          <a:ext cx="631825" cy="376142"/>
          <a:chOff x="2791278" y="18514786"/>
          <a:chExt cx="773793" cy="417285"/>
        </a:xfrm>
      </xdr:grpSpPr>
      <xdr:sp macro="" textlink="">
        <xdr:nvSpPr>
          <xdr:cNvPr id="4" name="フローチャート: 書類 3">
            <a:extLst>
              <a:ext uri="{FF2B5EF4-FFF2-40B4-BE49-F238E27FC236}">
                <a16:creationId xmlns:a16="http://schemas.microsoft.com/office/drawing/2014/main" id="{00000000-0008-0000-0200-000004000000}"/>
              </a:ext>
            </a:extLst>
          </xdr:cNvPr>
          <xdr:cNvSpPr/>
        </xdr:nvSpPr>
        <xdr:spPr>
          <a:xfrm>
            <a:off x="2878818" y="18545175"/>
            <a:ext cx="598714" cy="386896"/>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22</xdr:col>
      <xdr:colOff>133351</xdr:colOff>
      <xdr:row>18</xdr:row>
      <xdr:rowOff>53975</xdr:rowOff>
    </xdr:from>
    <xdr:to>
      <xdr:col>26</xdr:col>
      <xdr:colOff>18633</xdr:colOff>
      <xdr:row>20</xdr:row>
      <xdr:rowOff>76200</xdr:rowOff>
    </xdr:to>
    <xdr:grpSp>
      <xdr:nvGrpSpPr>
        <xdr:cNvPr id="6" name="グループ化 5">
          <a:extLst>
            <a:ext uri="{FF2B5EF4-FFF2-40B4-BE49-F238E27FC236}">
              <a16:creationId xmlns:a16="http://schemas.microsoft.com/office/drawing/2014/main" id="{00000000-0008-0000-0200-000006000000}"/>
            </a:ext>
          </a:extLst>
        </xdr:cNvPr>
        <xdr:cNvGrpSpPr>
          <a:grpSpLocks noChangeAspect="1"/>
        </xdr:cNvGrpSpPr>
      </xdr:nvGrpSpPr>
      <xdr:grpSpPr>
        <a:xfrm>
          <a:off x="4114801" y="3254375"/>
          <a:ext cx="609182" cy="374650"/>
          <a:chOff x="2791278" y="18514786"/>
          <a:chExt cx="773793" cy="417285"/>
        </a:xfrm>
      </xdr:grpSpPr>
      <xdr:sp macro="" textlink="">
        <xdr:nvSpPr>
          <xdr:cNvPr id="7" name="フローチャート: 書類 6">
            <a:extLst>
              <a:ext uri="{FF2B5EF4-FFF2-40B4-BE49-F238E27FC236}">
                <a16:creationId xmlns:a16="http://schemas.microsoft.com/office/drawing/2014/main" id="{00000000-0008-0000-0200-00000700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2791278" y="1851478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帳票名</a:t>
            </a:r>
          </a:p>
        </xdr:txBody>
      </xdr:sp>
    </xdr:grpSp>
    <xdr:clientData/>
  </xdr:twoCellAnchor>
  <xdr:twoCellAnchor>
    <xdr:from>
      <xdr:col>23</xdr:col>
      <xdr:colOff>3175</xdr:colOff>
      <xdr:row>27</xdr:row>
      <xdr:rowOff>149225</xdr:rowOff>
    </xdr:from>
    <xdr:to>
      <xdr:col>26</xdr:col>
      <xdr:colOff>101600</xdr:colOff>
      <xdr:row>31</xdr:row>
      <xdr:rowOff>61107</xdr:rowOff>
    </xdr:to>
    <xdr:grpSp>
      <xdr:nvGrpSpPr>
        <xdr:cNvPr id="9" name="グループ化 8">
          <a:extLst>
            <a:ext uri="{FF2B5EF4-FFF2-40B4-BE49-F238E27FC236}">
              <a16:creationId xmlns:a16="http://schemas.microsoft.com/office/drawing/2014/main" id="{00000000-0008-0000-0200-000009000000}"/>
            </a:ext>
          </a:extLst>
        </xdr:cNvPr>
        <xdr:cNvGrpSpPr/>
      </xdr:nvGrpSpPr>
      <xdr:grpSpPr>
        <a:xfrm>
          <a:off x="4165600" y="4959350"/>
          <a:ext cx="641350" cy="626257"/>
          <a:chOff x="7204075" y="2892425"/>
          <a:chExt cx="688975" cy="597682"/>
        </a:xfrm>
      </xdr:grpSpPr>
      <xdr:sp macro="" textlink="">
        <xdr:nvSpPr>
          <xdr:cNvPr id="10" name="フローチャート: 磁気ディスク 9">
            <a:extLst>
              <a:ext uri="{FF2B5EF4-FFF2-40B4-BE49-F238E27FC236}">
                <a16:creationId xmlns:a16="http://schemas.microsoft.com/office/drawing/2014/main" id="{00000000-0008-0000-0200-00000A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システム</a:t>
            </a:r>
            <a:endParaRPr kumimoji="1" lang="en-US" altLang="ja-JP" sz="900"/>
          </a:p>
          <a:p>
            <a:pPr algn="ctr"/>
            <a:r>
              <a:rPr kumimoji="1" lang="ja-JP" altLang="en-US" sz="900"/>
              <a:t>機能名</a:t>
            </a:r>
          </a:p>
        </xdr:txBody>
      </xdr:sp>
    </xdr:grpSp>
    <xdr:clientData/>
  </xdr:twoCellAnchor>
  <xdr:twoCellAnchor>
    <xdr:from>
      <xdr:col>2</xdr:col>
      <xdr:colOff>12700</xdr:colOff>
      <xdr:row>8</xdr:row>
      <xdr:rowOff>139700</xdr:rowOff>
    </xdr:from>
    <xdr:to>
      <xdr:col>5</xdr:col>
      <xdr:colOff>113350</xdr:colOff>
      <xdr:row>10</xdr:row>
      <xdr:rowOff>57150</xdr:rowOff>
    </xdr:to>
    <xdr:sp macro="" textlink="">
      <xdr:nvSpPr>
        <xdr:cNvPr id="12" name="フローチャート: 端子 11">
          <a:extLst>
            <a:ext uri="{FF2B5EF4-FFF2-40B4-BE49-F238E27FC236}">
              <a16:creationId xmlns:a16="http://schemas.microsoft.com/office/drawing/2014/main" id="{00000000-0008-0000-0200-00000C000000}"/>
            </a:ext>
          </a:extLst>
        </xdr:cNvPr>
        <xdr:cNvSpPr/>
      </xdr:nvSpPr>
      <xdr:spPr>
        <a:xfrm>
          <a:off x="412750" y="1558925"/>
          <a:ext cx="700725"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22</xdr:col>
      <xdr:colOff>120650</xdr:colOff>
      <xdr:row>8</xdr:row>
      <xdr:rowOff>133350</xdr:rowOff>
    </xdr:from>
    <xdr:to>
      <xdr:col>26</xdr:col>
      <xdr:colOff>25400</xdr:colOff>
      <xdr:row>10</xdr:row>
      <xdr:rowOff>50800</xdr:rowOff>
    </xdr:to>
    <xdr:sp macro="" textlink="">
      <xdr:nvSpPr>
        <xdr:cNvPr id="13" name="フローチャート: 端子 12">
          <a:extLst>
            <a:ext uri="{FF2B5EF4-FFF2-40B4-BE49-F238E27FC236}">
              <a16:creationId xmlns:a16="http://schemas.microsoft.com/office/drawing/2014/main" id="{00000000-0008-0000-0200-00000D000000}"/>
            </a:ext>
          </a:extLst>
        </xdr:cNvPr>
        <xdr:cNvSpPr/>
      </xdr:nvSpPr>
      <xdr:spPr>
        <a:xfrm>
          <a:off x="4521200" y="1552575"/>
          <a:ext cx="704850" cy="2794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22</xdr:col>
      <xdr:colOff>174625</xdr:colOff>
      <xdr:row>24</xdr:row>
      <xdr:rowOff>89834</xdr:rowOff>
    </xdr:from>
    <xdr:to>
      <xdr:col>26</xdr:col>
      <xdr:colOff>107225</xdr:colOff>
      <xdr:row>24</xdr:row>
      <xdr:rowOff>89834</xdr:rowOff>
    </xdr:to>
    <xdr:cxnSp macro="">
      <xdr:nvCxnSpPr>
        <xdr:cNvPr id="14" name="直線矢印コネクタ 13">
          <a:extLst>
            <a:ext uri="{FF2B5EF4-FFF2-40B4-BE49-F238E27FC236}">
              <a16:creationId xmlns:a16="http://schemas.microsoft.com/office/drawing/2014/main" id="{00000000-0008-0000-0200-00000E000000}"/>
            </a:ext>
          </a:extLst>
        </xdr:cNvPr>
        <xdr:cNvCxnSpPr/>
      </xdr:nvCxnSpPr>
      <xdr:spPr>
        <a:xfrm>
          <a:off x="4575175" y="4404659"/>
          <a:ext cx="73270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63500</xdr:colOff>
      <xdr:row>28</xdr:row>
      <xdr:rowOff>25400</xdr:rowOff>
    </xdr:from>
    <xdr:to>
      <xdr:col>6</xdr:col>
      <xdr:colOff>82550</xdr:colOff>
      <xdr:row>31</xdr:row>
      <xdr:rowOff>0</xdr:rowOff>
    </xdr:to>
    <xdr:grpSp>
      <xdr:nvGrpSpPr>
        <xdr:cNvPr id="15" name="グループ化 14">
          <a:extLst>
            <a:ext uri="{FF2B5EF4-FFF2-40B4-BE49-F238E27FC236}">
              <a16:creationId xmlns:a16="http://schemas.microsoft.com/office/drawing/2014/main" id="{00000000-0008-0000-0200-00000F000000}"/>
            </a:ext>
          </a:extLst>
        </xdr:cNvPr>
        <xdr:cNvGrpSpPr/>
      </xdr:nvGrpSpPr>
      <xdr:grpSpPr>
        <a:xfrm>
          <a:off x="244475" y="5016500"/>
          <a:ext cx="923925" cy="508000"/>
          <a:chOff x="285750" y="4845050"/>
          <a:chExt cx="1003300" cy="488950"/>
        </a:xfrm>
      </xdr:grpSpPr>
      <xdr:sp macro="" textlink="">
        <xdr:nvSpPr>
          <xdr:cNvPr id="16" name="フローチャート: 判断 15">
            <a:extLst>
              <a:ext uri="{FF2B5EF4-FFF2-40B4-BE49-F238E27FC236}">
                <a16:creationId xmlns:a16="http://schemas.microsoft.com/office/drawing/2014/main" id="{00000000-0008-0000-0200-000010000000}"/>
              </a:ext>
            </a:extLst>
          </xdr:cNvPr>
          <xdr:cNvSpPr/>
        </xdr:nvSpPr>
        <xdr:spPr>
          <a:xfrm>
            <a:off x="368300" y="4845050"/>
            <a:ext cx="844550" cy="48895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7" name="正方形/長方形 48">
            <a:extLst>
              <a:ext uri="{FF2B5EF4-FFF2-40B4-BE49-F238E27FC236}">
                <a16:creationId xmlns:a16="http://schemas.microsoft.com/office/drawing/2014/main" id="{00000000-0008-0000-0200-000011000000}"/>
              </a:ext>
            </a:extLst>
          </xdr:cNvPr>
          <xdr:cNvSpPr/>
        </xdr:nvSpPr>
        <xdr:spPr>
          <a:xfrm>
            <a:off x="285750" y="4927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条件</a:t>
            </a:r>
          </a:p>
        </xdr:txBody>
      </xdr:sp>
    </xdr:grpSp>
    <xdr:clientData/>
  </xdr:twoCellAnchor>
  <xdr:twoCellAnchor>
    <xdr:from>
      <xdr:col>1</xdr:col>
      <xdr:colOff>12700</xdr:colOff>
      <xdr:row>13</xdr:row>
      <xdr:rowOff>25400</xdr:rowOff>
    </xdr:from>
    <xdr:to>
      <xdr:col>6</xdr:col>
      <xdr:colOff>114300</xdr:colOff>
      <xdr:row>15</xdr:row>
      <xdr:rowOff>158750</xdr:rowOff>
    </xdr:to>
    <xdr:grpSp>
      <xdr:nvGrpSpPr>
        <xdr:cNvPr id="18" name="グループ化 17">
          <a:extLst>
            <a:ext uri="{FF2B5EF4-FFF2-40B4-BE49-F238E27FC236}">
              <a16:creationId xmlns:a16="http://schemas.microsoft.com/office/drawing/2014/main" id="{00000000-0008-0000-0200-000012000000}"/>
            </a:ext>
          </a:extLst>
        </xdr:cNvPr>
        <xdr:cNvGrpSpPr/>
      </xdr:nvGrpSpPr>
      <xdr:grpSpPr>
        <a:xfrm>
          <a:off x="193675" y="2330450"/>
          <a:ext cx="1006475" cy="485775"/>
          <a:chOff x="1612900" y="2457450"/>
          <a:chExt cx="933032" cy="374650"/>
        </a:xfrm>
      </xdr:grpSpPr>
      <xdr:sp macro="" textlink="">
        <xdr:nvSpPr>
          <xdr:cNvPr id="19" name="フローチャート: 処理 18">
            <a:extLst>
              <a:ext uri="{FF2B5EF4-FFF2-40B4-BE49-F238E27FC236}">
                <a16:creationId xmlns:a16="http://schemas.microsoft.com/office/drawing/2014/main" id="{00000000-0008-0000-0200-000013000000}"/>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 name="正方形/長方形 48">
            <a:extLst>
              <a:ext uri="{FF2B5EF4-FFF2-40B4-BE49-F238E27FC236}">
                <a16:creationId xmlns:a16="http://schemas.microsoft.com/office/drawing/2014/main" id="{00000000-0008-0000-0200-000014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133350</xdr:colOff>
      <xdr:row>13</xdr:row>
      <xdr:rowOff>63500</xdr:rowOff>
    </xdr:from>
    <xdr:to>
      <xdr:col>27</xdr:col>
      <xdr:colOff>38100</xdr:colOff>
      <xdr:row>16</xdr:row>
      <xdr:rowOff>25400</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3933825" y="2368550"/>
          <a:ext cx="990600" cy="495300"/>
          <a:chOff x="1612900" y="2457450"/>
          <a:chExt cx="933032" cy="374650"/>
        </a:xfrm>
      </xdr:grpSpPr>
      <xdr:sp macro="" textlink="">
        <xdr:nvSpPr>
          <xdr:cNvPr id="22" name="フローチャート: 定義済み処理 21">
            <a:extLst>
              <a:ext uri="{FF2B5EF4-FFF2-40B4-BE49-F238E27FC236}">
                <a16:creationId xmlns:a16="http://schemas.microsoft.com/office/drawing/2014/main" id="{00000000-0008-0000-0200-000016000000}"/>
              </a:ext>
            </a:extLst>
          </xdr:cNvPr>
          <xdr:cNvSpPr/>
        </xdr:nvSpPr>
        <xdr:spPr>
          <a:xfrm>
            <a:off x="168275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00000000-0008-0000-0200-00001700000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業務</a:t>
            </a:r>
            <a:endParaRPr kumimoji="1" lang="en-US" altLang="ja-JP" sz="900"/>
          </a:p>
        </xdr:txBody>
      </xdr:sp>
    </xdr:grpSp>
    <xdr:clientData/>
  </xdr:twoCellAnchor>
  <xdr:twoCellAnchor>
    <xdr:from>
      <xdr:col>21</xdr:col>
      <xdr:colOff>171450</xdr:colOff>
      <xdr:row>33</xdr:row>
      <xdr:rowOff>53975</xdr:rowOff>
    </xdr:from>
    <xdr:to>
      <xdr:col>26</xdr:col>
      <xdr:colOff>190500</xdr:colOff>
      <xdr:row>35</xdr:row>
      <xdr:rowOff>136525</xdr:rowOff>
    </xdr:to>
    <xdr:grpSp>
      <xdr:nvGrpSpPr>
        <xdr:cNvPr id="24" name="グループ化 23">
          <a:extLst>
            <a:ext uri="{FF2B5EF4-FFF2-40B4-BE49-F238E27FC236}">
              <a16:creationId xmlns:a16="http://schemas.microsoft.com/office/drawing/2014/main" id="{00000000-0008-0000-0200-000018000000}"/>
            </a:ext>
          </a:extLst>
        </xdr:cNvPr>
        <xdr:cNvGrpSpPr/>
      </xdr:nvGrpSpPr>
      <xdr:grpSpPr>
        <a:xfrm>
          <a:off x="3971925" y="5940425"/>
          <a:ext cx="914400" cy="434975"/>
          <a:chOff x="4305300" y="5730875"/>
          <a:chExt cx="1003300" cy="425450"/>
        </a:xfrm>
      </xdr:grpSpPr>
      <xdr:sp macro="" textlink="">
        <xdr:nvSpPr>
          <xdr:cNvPr id="25" name="AutoShape 49">
            <a:extLst>
              <a:ext uri="{FF2B5EF4-FFF2-40B4-BE49-F238E27FC236}">
                <a16:creationId xmlns:a16="http://schemas.microsoft.com/office/drawing/2014/main" id="{00000000-0008-0000-0200-000019000000}"/>
              </a:ext>
            </a:extLst>
          </xdr:cNvPr>
          <xdr:cNvSpPr>
            <a:spLocks noChangeArrowheads="1"/>
          </xdr:cNvSpPr>
        </xdr:nvSpPr>
        <xdr:spPr bwMode="gray">
          <a:xfrm>
            <a:off x="4410075"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26" name="正方形/長方形 48">
            <a:extLst>
              <a:ext uri="{FF2B5EF4-FFF2-40B4-BE49-F238E27FC236}">
                <a16:creationId xmlns:a16="http://schemas.microsoft.com/office/drawing/2014/main" id="{00000000-0008-0000-0200-00001A000000}"/>
              </a:ext>
            </a:extLst>
          </xdr:cNvPr>
          <xdr:cNvSpPr/>
        </xdr:nvSpPr>
        <xdr:spPr>
          <a:xfrm>
            <a:off x="4305300" y="579755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ファイル名</a:t>
            </a:r>
          </a:p>
        </xdr:txBody>
      </xdr:sp>
    </xdr:grpSp>
    <xdr:clientData/>
  </xdr:twoCellAnchor>
  <xdr:twoCellAnchor>
    <xdr:from>
      <xdr:col>1</xdr:col>
      <xdr:colOff>88900</xdr:colOff>
      <xdr:row>33</xdr:row>
      <xdr:rowOff>104775</xdr:rowOff>
    </xdr:from>
    <xdr:to>
      <xdr:col>6</xdr:col>
      <xdr:colOff>107950</xdr:colOff>
      <xdr:row>36</xdr:row>
      <xdr:rowOff>34925</xdr:rowOff>
    </xdr:to>
    <xdr:grpSp>
      <xdr:nvGrpSpPr>
        <xdr:cNvPr id="27" name="グループ化 26">
          <a:extLst>
            <a:ext uri="{FF2B5EF4-FFF2-40B4-BE49-F238E27FC236}">
              <a16:creationId xmlns:a16="http://schemas.microsoft.com/office/drawing/2014/main" id="{00000000-0008-0000-0200-00001B000000}"/>
            </a:ext>
          </a:extLst>
        </xdr:cNvPr>
        <xdr:cNvGrpSpPr/>
      </xdr:nvGrpSpPr>
      <xdr:grpSpPr>
        <a:xfrm>
          <a:off x="269875" y="5991225"/>
          <a:ext cx="923925" cy="463550"/>
          <a:chOff x="285750" y="5781675"/>
          <a:chExt cx="1003300" cy="444500"/>
        </a:xfrm>
      </xdr:grpSpPr>
      <xdr:sp macro="" textlink="">
        <xdr:nvSpPr>
          <xdr:cNvPr id="28" name="フローチャート: 他ページ結合子 27">
            <a:extLst>
              <a:ext uri="{FF2B5EF4-FFF2-40B4-BE49-F238E27FC236}">
                <a16:creationId xmlns:a16="http://schemas.microsoft.com/office/drawing/2014/main" id="{00000000-0008-0000-0200-00001C000000}"/>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 name="正方形/長方形 48">
            <a:extLst>
              <a:ext uri="{FF2B5EF4-FFF2-40B4-BE49-F238E27FC236}">
                <a16:creationId xmlns:a16="http://schemas.microsoft.com/office/drawing/2014/main" id="{00000000-0008-0000-0200-00001D000000}"/>
              </a:ext>
            </a:extLst>
          </xdr:cNvPr>
          <xdr:cNvSpPr/>
        </xdr:nvSpPr>
        <xdr:spPr>
          <a:xfrm>
            <a:off x="285750" y="5816600"/>
            <a:ext cx="1003300"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フロー名</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148027</xdr:colOff>
      <xdr:row>850</xdr:row>
      <xdr:rowOff>151696</xdr:rowOff>
    </xdr:from>
    <xdr:to>
      <xdr:col>18</xdr:col>
      <xdr:colOff>729</xdr:colOff>
      <xdr:row>850</xdr:row>
      <xdr:rowOff>154799</xdr:rowOff>
    </xdr:to>
    <xdr:cxnSp macro="">
      <xdr:nvCxnSpPr>
        <xdr:cNvPr id="551" name="直線矢印コネクタ 550">
          <a:extLst>
            <a:ext uri="{FF2B5EF4-FFF2-40B4-BE49-F238E27FC236}">
              <a16:creationId xmlns:a16="http://schemas.microsoft.com/office/drawing/2014/main" id="{A7515929-E4A0-46E1-AA39-215D7C841875}"/>
            </a:ext>
          </a:extLst>
        </xdr:cNvPr>
        <xdr:cNvCxnSpPr/>
      </xdr:nvCxnSpPr>
      <xdr:spPr>
        <a:xfrm flipV="1">
          <a:off x="1481527" y="146736910"/>
          <a:ext cx="1948202" cy="31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90714</xdr:colOff>
      <xdr:row>863</xdr:row>
      <xdr:rowOff>0</xdr:rowOff>
    </xdr:from>
    <xdr:to>
      <xdr:col>19</xdr:col>
      <xdr:colOff>63500</xdr:colOff>
      <xdr:row>863</xdr:row>
      <xdr:rowOff>9072</xdr:rowOff>
    </xdr:to>
    <xdr:cxnSp macro="">
      <xdr:nvCxnSpPr>
        <xdr:cNvPr id="566" name="直線矢印コネクタ 565">
          <a:extLst>
            <a:ext uri="{FF2B5EF4-FFF2-40B4-BE49-F238E27FC236}">
              <a16:creationId xmlns:a16="http://schemas.microsoft.com/office/drawing/2014/main" id="{C231F01E-9855-4D7E-889F-35B603E3A6B6}"/>
            </a:ext>
          </a:extLst>
        </xdr:cNvPr>
        <xdr:cNvCxnSpPr/>
      </xdr:nvCxnSpPr>
      <xdr:spPr>
        <a:xfrm flipV="1">
          <a:off x="1424214" y="148825857"/>
          <a:ext cx="2258786" cy="907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127191</xdr:colOff>
      <xdr:row>461</xdr:row>
      <xdr:rowOff>115046</xdr:rowOff>
    </xdr:from>
    <xdr:to>
      <xdr:col>28</xdr:col>
      <xdr:colOff>22706</xdr:colOff>
      <xdr:row>463</xdr:row>
      <xdr:rowOff>38867</xdr:rowOff>
    </xdr:to>
    <xdr:sp macro="" textlink="">
      <xdr:nvSpPr>
        <xdr:cNvPr id="319" name="フローチャート: 端子 26">
          <a:extLst>
            <a:ext uri="{FF2B5EF4-FFF2-40B4-BE49-F238E27FC236}">
              <a16:creationId xmlns:a16="http://schemas.microsoft.com/office/drawing/2014/main" id="{ADA499E5-163E-42FF-95F4-EB3327C0E18A}"/>
            </a:ext>
          </a:extLst>
        </xdr:cNvPr>
        <xdr:cNvSpPr/>
      </xdr:nvSpPr>
      <xdr:spPr>
        <a:xfrm>
          <a:off x="4889691" y="80664796"/>
          <a:ext cx="689265" cy="27307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7</xdr:col>
      <xdr:colOff>37130</xdr:colOff>
      <xdr:row>663</xdr:row>
      <xdr:rowOff>128041</xdr:rowOff>
    </xdr:from>
    <xdr:to>
      <xdr:col>30</xdr:col>
      <xdr:colOff>183215</xdr:colOff>
      <xdr:row>663</xdr:row>
      <xdr:rowOff>145703</xdr:rowOff>
    </xdr:to>
    <xdr:cxnSp macro="">
      <xdr:nvCxnSpPr>
        <xdr:cNvPr id="321" name="直線矢印コネクタ 320">
          <a:extLst>
            <a:ext uri="{FF2B5EF4-FFF2-40B4-BE49-F238E27FC236}">
              <a16:creationId xmlns:a16="http://schemas.microsoft.com/office/drawing/2014/main" id="{0112D041-AE7A-4207-A3D3-1620B897C652}"/>
            </a:ext>
          </a:extLst>
        </xdr:cNvPr>
        <xdr:cNvCxnSpPr>
          <a:stCxn id="22" idx="3"/>
        </xdr:cNvCxnSpPr>
      </xdr:nvCxnSpPr>
      <xdr:spPr>
        <a:xfrm>
          <a:off x="1453974" y="98914197"/>
          <a:ext cx="4801429" cy="1766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7735</xdr:colOff>
      <xdr:row>556</xdr:row>
      <xdr:rowOff>129731</xdr:rowOff>
    </xdr:from>
    <xdr:to>
      <xdr:col>30</xdr:col>
      <xdr:colOff>121728</xdr:colOff>
      <xdr:row>556</xdr:row>
      <xdr:rowOff>159356</xdr:rowOff>
    </xdr:to>
    <xdr:cxnSp macro="">
      <xdr:nvCxnSpPr>
        <xdr:cNvPr id="113" name="直線矢印コネクタ 112">
          <a:extLst>
            <a:ext uri="{FF2B5EF4-FFF2-40B4-BE49-F238E27FC236}">
              <a16:creationId xmlns:a16="http://schemas.microsoft.com/office/drawing/2014/main" id="{908E6DE8-463A-4C72-B5AD-B2B26149A65C}"/>
            </a:ext>
          </a:extLst>
        </xdr:cNvPr>
        <xdr:cNvCxnSpPr>
          <a:cxnSpLocks/>
          <a:stCxn id="120" idx="3"/>
        </xdr:cNvCxnSpPr>
      </xdr:nvCxnSpPr>
      <xdr:spPr>
        <a:xfrm>
          <a:off x="1424579" y="81080325"/>
          <a:ext cx="4769337" cy="2962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35849</xdr:colOff>
      <xdr:row>291</xdr:row>
      <xdr:rowOff>57288</xdr:rowOff>
    </xdr:from>
    <xdr:to>
      <xdr:col>21</xdr:col>
      <xdr:colOff>162706</xdr:colOff>
      <xdr:row>295</xdr:row>
      <xdr:rowOff>49744</xdr:rowOff>
    </xdr:to>
    <xdr:grpSp>
      <xdr:nvGrpSpPr>
        <xdr:cNvPr id="567" name="グループ化 566">
          <a:extLst>
            <a:ext uri="{FF2B5EF4-FFF2-40B4-BE49-F238E27FC236}">
              <a16:creationId xmlns:a16="http://schemas.microsoft.com/office/drawing/2014/main" id="{E620FA56-1973-4819-A7A1-451AE0E86185}"/>
            </a:ext>
          </a:extLst>
        </xdr:cNvPr>
        <xdr:cNvGrpSpPr/>
      </xdr:nvGrpSpPr>
      <xdr:grpSpPr>
        <a:xfrm>
          <a:off x="2750474" y="50111163"/>
          <a:ext cx="1212707" cy="678256"/>
          <a:chOff x="1538822" y="2368741"/>
          <a:chExt cx="1083415" cy="562109"/>
        </a:xfrm>
      </xdr:grpSpPr>
      <xdr:sp macro="" textlink="">
        <xdr:nvSpPr>
          <xdr:cNvPr id="568" name="フローチャート: 処理 567">
            <a:extLst>
              <a:ext uri="{FF2B5EF4-FFF2-40B4-BE49-F238E27FC236}">
                <a16:creationId xmlns:a16="http://schemas.microsoft.com/office/drawing/2014/main" id="{D694C408-6D78-181B-0B89-176E72906CBB}"/>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69" name="正方形/長方形 48">
            <a:extLst>
              <a:ext uri="{FF2B5EF4-FFF2-40B4-BE49-F238E27FC236}">
                <a16:creationId xmlns:a16="http://schemas.microsoft.com/office/drawing/2014/main" id="{67C2FDA6-3D81-9744-2B16-4452EA7F1985}"/>
              </a:ext>
            </a:extLst>
          </xdr:cNvPr>
          <xdr:cNvSpPr/>
        </xdr:nvSpPr>
        <xdr:spPr>
          <a:xfrm>
            <a:off x="1538822" y="2368741"/>
            <a:ext cx="1083415" cy="56210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en-US" altLang="ja-JP" sz="900" baseline="0"/>
              <a:t> </a:t>
            </a:r>
            <a:r>
              <a:rPr kumimoji="1" lang="ja-JP" altLang="en-US" sz="900">
                <a:solidFill>
                  <a:schemeClr val="dk1"/>
                </a:solidFill>
                <a:effectLst/>
                <a:latin typeface="+mn-lt"/>
                <a:ea typeface="+mn-ea"/>
                <a:cs typeface="+mn-cs"/>
              </a:rPr>
              <a:t>売却・処分</a:t>
            </a:r>
            <a:r>
              <a:rPr kumimoji="1" lang="ja-JP" altLang="en-US" sz="900"/>
              <a:t>伝票</a:t>
            </a:r>
            <a:endParaRPr kumimoji="1" lang="en-US" altLang="ja-JP" sz="900"/>
          </a:p>
          <a:p>
            <a:pPr algn="ctr"/>
            <a:r>
              <a:rPr kumimoji="1" lang="ja-JP" altLang="en-US" sz="900"/>
              <a:t>の発行</a:t>
            </a:r>
          </a:p>
        </xdr:txBody>
      </xdr:sp>
    </xdr:grpSp>
    <xdr:clientData/>
  </xdr:twoCellAnchor>
  <xdr:twoCellAnchor>
    <xdr:from>
      <xdr:col>67</xdr:col>
      <xdr:colOff>70971</xdr:colOff>
      <xdr:row>45</xdr:row>
      <xdr:rowOff>21876</xdr:rowOff>
    </xdr:from>
    <xdr:to>
      <xdr:col>81</xdr:col>
      <xdr:colOff>5871</xdr:colOff>
      <xdr:row>58</xdr:row>
      <xdr:rowOff>63500</xdr:rowOff>
    </xdr:to>
    <xdr:sp macro="" textlink="">
      <xdr:nvSpPr>
        <xdr:cNvPr id="127" name="吹き出し: 角を丸めた四角形 76">
          <a:extLst>
            <a:ext uri="{FF2B5EF4-FFF2-40B4-BE49-F238E27FC236}">
              <a16:creationId xmlns:a16="http://schemas.microsoft.com/office/drawing/2014/main" id="{1FB50241-0B88-4106-8A4E-3D7A53DECFF0}"/>
            </a:ext>
          </a:extLst>
        </xdr:cNvPr>
        <xdr:cNvSpPr/>
      </xdr:nvSpPr>
      <xdr:spPr>
        <a:xfrm>
          <a:off x="13442257" y="7687233"/>
          <a:ext cx="2728900" cy="2282267"/>
        </a:xfrm>
        <a:prstGeom prst="wedgeRoundRectCallout">
          <a:avLst>
            <a:gd name="adj1" fmla="val -119656"/>
            <a:gd name="adj2" fmla="val -63463"/>
            <a:gd name="adj3" fmla="val 16667"/>
          </a:avLst>
        </a:prstGeom>
        <a:solidFill>
          <a:srgbClr val="FFDD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フローの順番を「</a:t>
          </a:r>
          <a:r>
            <a:rPr kumimoji="1" lang="en-US" altLang="ja-JP" sz="1100"/>
            <a:t>1-2</a:t>
          </a:r>
          <a:r>
            <a:rPr kumimoji="1" lang="ja-JP" altLang="en-US" sz="1100"/>
            <a:t> 建仮処理」と同様にしたく、３と２を入れ替えて頂けないでしょうか。入れ替えて頂くと</a:t>
          </a:r>
          <a:r>
            <a:rPr kumimoji="1" lang="en-US" altLang="ja-JP" sz="1100"/>
            <a:t>FO</a:t>
          </a:r>
          <a:r>
            <a:rPr kumimoji="1" lang="ja-JP" altLang="en-US" sz="1100"/>
            <a:t>での処理が一連の流れになるかと思います。</a:t>
          </a:r>
          <a:endParaRPr kumimoji="1" lang="en-US" altLang="ja-JP" sz="1100"/>
        </a:p>
        <a:p>
          <a:pPr algn="l"/>
          <a:r>
            <a:rPr kumimoji="1" lang="ja-JP" altLang="en-US" sz="1100"/>
            <a:t>細かいところで申し訳ありません。。</a:t>
          </a:r>
          <a:endParaRPr kumimoji="1" lang="en-US" altLang="ja-JP" sz="1100"/>
        </a:p>
        <a:p>
          <a:pPr algn="l"/>
          <a:r>
            <a:rPr kumimoji="1" lang="en-US" altLang="ja-JP" sz="1100"/>
            <a:t>※</a:t>
          </a:r>
          <a:r>
            <a:rPr kumimoji="1" lang="ja-JP" altLang="en-US" sz="1100"/>
            <a:t>処理上、この流れでないと出来ない場合はこのままで結構です。</a:t>
          </a:r>
          <a:br>
            <a:rPr kumimoji="1" lang="en-US" altLang="ja-JP" sz="1100"/>
          </a:br>
          <a:r>
            <a:rPr kumimoji="1" lang="ja-JP" altLang="en-US" sz="1100">
              <a:solidFill>
                <a:srgbClr val="0070C0"/>
              </a:solidFill>
            </a:rPr>
            <a:t>⇒修正しました</a:t>
          </a:r>
        </a:p>
      </xdr:txBody>
    </xdr:sp>
    <xdr:clientData/>
  </xdr:twoCellAnchor>
  <xdr:twoCellAnchor>
    <xdr:from>
      <xdr:col>7</xdr:col>
      <xdr:colOff>13287</xdr:colOff>
      <xdr:row>154</xdr:row>
      <xdr:rowOff>1376</xdr:rowOff>
    </xdr:from>
    <xdr:to>
      <xdr:col>30</xdr:col>
      <xdr:colOff>189756</xdr:colOff>
      <xdr:row>154</xdr:row>
      <xdr:rowOff>5041</xdr:rowOff>
    </xdr:to>
    <xdr:cxnSp macro="">
      <xdr:nvCxnSpPr>
        <xdr:cNvPr id="1709" name="直線矢印コネクタ 592">
          <a:extLst>
            <a:ext uri="{FF2B5EF4-FFF2-40B4-BE49-F238E27FC236}">
              <a16:creationId xmlns:a16="http://schemas.microsoft.com/office/drawing/2014/main" id="{3799F0AC-A0A1-4E6C-A3B1-BEC442B086A4}"/>
            </a:ext>
          </a:extLst>
        </xdr:cNvPr>
        <xdr:cNvCxnSpPr>
          <a:cxnSpLocks/>
          <a:stCxn id="226" idx="3"/>
        </xdr:cNvCxnSpPr>
      </xdr:nvCxnSpPr>
      <xdr:spPr>
        <a:xfrm flipV="1">
          <a:off x="1410287" y="26453662"/>
          <a:ext cx="4766612" cy="366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197437</xdr:colOff>
      <xdr:row>47</xdr:row>
      <xdr:rowOff>11133</xdr:rowOff>
    </xdr:from>
    <xdr:to>
      <xdr:col>30</xdr:col>
      <xdr:colOff>178012</xdr:colOff>
      <xdr:row>47</xdr:row>
      <xdr:rowOff>35408</xdr:rowOff>
    </xdr:to>
    <xdr:cxnSp macro="">
      <xdr:nvCxnSpPr>
        <xdr:cNvPr id="280" name="直線矢印コネクタ 506">
          <a:extLst>
            <a:ext uri="{FF2B5EF4-FFF2-40B4-BE49-F238E27FC236}">
              <a16:creationId xmlns:a16="http://schemas.microsoft.com/office/drawing/2014/main" id="{D9307A08-B2A1-4879-A178-2783CA50765A}"/>
            </a:ext>
          </a:extLst>
        </xdr:cNvPr>
        <xdr:cNvCxnSpPr>
          <a:cxnSpLocks/>
          <a:stCxn id="1254" idx="3"/>
          <a:endCxn id="1297" idx="2"/>
        </xdr:cNvCxnSpPr>
      </xdr:nvCxnSpPr>
      <xdr:spPr>
        <a:xfrm>
          <a:off x="1394866" y="6297633"/>
          <a:ext cx="4770289" cy="2427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22035</xdr:colOff>
      <xdr:row>160</xdr:row>
      <xdr:rowOff>24285</xdr:rowOff>
    </xdr:from>
    <xdr:to>
      <xdr:col>37</xdr:col>
      <xdr:colOff>166384</xdr:colOff>
      <xdr:row>160</xdr:row>
      <xdr:rowOff>27291</xdr:rowOff>
    </xdr:to>
    <xdr:cxnSp macro="">
      <xdr:nvCxnSpPr>
        <xdr:cNvPr id="1420" name="直線矢印コネクタ 506">
          <a:extLst>
            <a:ext uri="{FF2B5EF4-FFF2-40B4-BE49-F238E27FC236}">
              <a16:creationId xmlns:a16="http://schemas.microsoft.com/office/drawing/2014/main" id="{C254A10F-7176-4189-8B80-536ACF7297F5}"/>
            </a:ext>
          </a:extLst>
        </xdr:cNvPr>
        <xdr:cNvCxnSpPr>
          <a:cxnSpLocks/>
          <a:stCxn id="249" idx="3"/>
          <a:endCxn id="1418" idx="2"/>
        </xdr:cNvCxnSpPr>
      </xdr:nvCxnSpPr>
      <xdr:spPr>
        <a:xfrm flipV="1">
          <a:off x="1419035" y="27510714"/>
          <a:ext cx="6131492" cy="300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12965</xdr:colOff>
      <xdr:row>35</xdr:row>
      <xdr:rowOff>139641</xdr:rowOff>
    </xdr:from>
    <xdr:to>
      <xdr:col>37</xdr:col>
      <xdr:colOff>178427</xdr:colOff>
      <xdr:row>35</xdr:row>
      <xdr:rowOff>163362</xdr:rowOff>
    </xdr:to>
    <xdr:cxnSp macro="">
      <xdr:nvCxnSpPr>
        <xdr:cNvPr id="145" name="直線矢印コネクタ 506">
          <a:extLst>
            <a:ext uri="{FF2B5EF4-FFF2-40B4-BE49-F238E27FC236}">
              <a16:creationId xmlns:a16="http://schemas.microsoft.com/office/drawing/2014/main" id="{42C8C2A4-FD83-4F1B-A784-37D79EC5FD24}"/>
            </a:ext>
          </a:extLst>
        </xdr:cNvPr>
        <xdr:cNvCxnSpPr>
          <a:cxnSpLocks/>
          <a:stCxn id="211" idx="3"/>
          <a:endCxn id="132" idx="2"/>
        </xdr:cNvCxnSpPr>
      </xdr:nvCxnSpPr>
      <xdr:spPr>
        <a:xfrm flipV="1">
          <a:off x="1409965" y="6253784"/>
          <a:ext cx="6152605" cy="2372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82838</xdr:colOff>
      <xdr:row>141</xdr:row>
      <xdr:rowOff>45389</xdr:rowOff>
    </xdr:from>
    <xdr:to>
      <xdr:col>37</xdr:col>
      <xdr:colOff>110426</xdr:colOff>
      <xdr:row>141</xdr:row>
      <xdr:rowOff>69344</xdr:rowOff>
    </xdr:to>
    <xdr:cxnSp macro="">
      <xdr:nvCxnSpPr>
        <xdr:cNvPr id="1595" name="直線矢印コネクタ 1594">
          <a:extLst>
            <a:ext uri="{FF2B5EF4-FFF2-40B4-BE49-F238E27FC236}">
              <a16:creationId xmlns:a16="http://schemas.microsoft.com/office/drawing/2014/main" id="{A2FE21DB-8642-46DD-B625-60494D10879C}"/>
            </a:ext>
          </a:extLst>
        </xdr:cNvPr>
        <xdr:cNvCxnSpPr>
          <a:stCxn id="1660" idx="3"/>
          <a:endCxn id="1593" idx="2"/>
        </xdr:cNvCxnSpPr>
      </xdr:nvCxnSpPr>
      <xdr:spPr>
        <a:xfrm>
          <a:off x="4273838" y="24057460"/>
          <a:ext cx="6014731" cy="239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22779</xdr:colOff>
      <xdr:row>53</xdr:row>
      <xdr:rowOff>86581</xdr:rowOff>
    </xdr:from>
    <xdr:to>
      <xdr:col>31</xdr:col>
      <xdr:colOff>19965</xdr:colOff>
      <xdr:row>53</xdr:row>
      <xdr:rowOff>100383</xdr:rowOff>
    </xdr:to>
    <xdr:cxnSp macro="">
      <xdr:nvCxnSpPr>
        <xdr:cNvPr id="1311" name="直線矢印コネクタ 1310">
          <a:extLst>
            <a:ext uri="{FF2B5EF4-FFF2-40B4-BE49-F238E27FC236}">
              <a16:creationId xmlns:a16="http://schemas.microsoft.com/office/drawing/2014/main" id="{7A100201-525F-4CD4-BB46-233EDD93E5A8}"/>
            </a:ext>
          </a:extLst>
        </xdr:cNvPr>
        <xdr:cNvCxnSpPr>
          <a:cxnSpLocks/>
          <a:stCxn id="549" idx="3"/>
          <a:endCxn id="1313" idx="2"/>
        </xdr:cNvCxnSpPr>
      </xdr:nvCxnSpPr>
      <xdr:spPr>
        <a:xfrm flipV="1">
          <a:off x="4213779" y="8931224"/>
          <a:ext cx="4786900" cy="1380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136254</xdr:colOff>
      <xdr:row>268</xdr:row>
      <xdr:rowOff>94203</xdr:rowOff>
    </xdr:from>
    <xdr:to>
      <xdr:col>6</xdr:col>
      <xdr:colOff>43894</xdr:colOff>
      <xdr:row>270</xdr:row>
      <xdr:rowOff>23014</xdr:rowOff>
    </xdr:to>
    <xdr:sp macro="" textlink="">
      <xdr:nvSpPr>
        <xdr:cNvPr id="323" name="フローチャート: 端子 26">
          <a:extLst>
            <a:ext uri="{FF2B5EF4-FFF2-40B4-BE49-F238E27FC236}">
              <a16:creationId xmlns:a16="http://schemas.microsoft.com/office/drawing/2014/main" id="{00000000-0008-0000-0300-000043010000}"/>
            </a:ext>
          </a:extLst>
        </xdr:cNvPr>
        <xdr:cNvSpPr/>
      </xdr:nvSpPr>
      <xdr:spPr>
        <a:xfrm>
          <a:off x="3329397" y="45995632"/>
          <a:ext cx="705926" cy="2735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xdr:col>
      <xdr:colOff>165515</xdr:colOff>
      <xdr:row>281</xdr:row>
      <xdr:rowOff>41680</xdr:rowOff>
    </xdr:from>
    <xdr:to>
      <xdr:col>6</xdr:col>
      <xdr:colOff>65232</xdr:colOff>
      <xdr:row>282</xdr:row>
      <xdr:rowOff>137324</xdr:rowOff>
    </xdr:to>
    <xdr:sp macro="" textlink="">
      <xdr:nvSpPr>
        <xdr:cNvPr id="198" name="フローチャート: 端子 26">
          <a:extLst>
            <a:ext uri="{FF2B5EF4-FFF2-40B4-BE49-F238E27FC236}">
              <a16:creationId xmlns:a16="http://schemas.microsoft.com/office/drawing/2014/main" id="{00000000-0008-0000-0300-0000C6000000}"/>
            </a:ext>
          </a:extLst>
        </xdr:cNvPr>
        <xdr:cNvSpPr/>
      </xdr:nvSpPr>
      <xdr:spPr>
        <a:xfrm>
          <a:off x="564658" y="48555680"/>
          <a:ext cx="698003" cy="26800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xdr:col>
      <xdr:colOff>118877</xdr:colOff>
      <xdr:row>272</xdr:row>
      <xdr:rowOff>21302</xdr:rowOff>
    </xdr:from>
    <xdr:to>
      <xdr:col>7</xdr:col>
      <xdr:colOff>38589</xdr:colOff>
      <xdr:row>274</xdr:row>
      <xdr:rowOff>170572</xdr:rowOff>
    </xdr:to>
    <xdr:grpSp>
      <xdr:nvGrpSpPr>
        <xdr:cNvPr id="200" name="グループ化 199">
          <a:extLst>
            <a:ext uri="{FF2B5EF4-FFF2-40B4-BE49-F238E27FC236}">
              <a16:creationId xmlns:a16="http://schemas.microsoft.com/office/drawing/2014/main" id="{00000000-0008-0000-0300-0000C8000000}"/>
            </a:ext>
          </a:extLst>
        </xdr:cNvPr>
        <xdr:cNvGrpSpPr/>
      </xdr:nvGrpSpPr>
      <xdr:grpSpPr>
        <a:xfrm>
          <a:off x="299852" y="46817627"/>
          <a:ext cx="1005562" cy="492170"/>
          <a:chOff x="1632852" y="2452651"/>
          <a:chExt cx="905767" cy="408691"/>
        </a:xfrm>
      </xdr:grpSpPr>
      <xdr:sp macro="" textlink="">
        <xdr:nvSpPr>
          <xdr:cNvPr id="201" name="フローチャート: 処理 200">
            <a:extLst>
              <a:ext uri="{FF2B5EF4-FFF2-40B4-BE49-F238E27FC236}">
                <a16:creationId xmlns:a16="http://schemas.microsoft.com/office/drawing/2014/main" id="{00000000-0008-0000-0300-0000C9000000}"/>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2" name="正方形/長方形 48">
            <a:extLst>
              <a:ext uri="{FF2B5EF4-FFF2-40B4-BE49-F238E27FC236}">
                <a16:creationId xmlns:a16="http://schemas.microsoft.com/office/drawing/2014/main" id="{00000000-0008-0000-0300-0000CA000000}"/>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en-US" altLang="ja-JP" sz="900" baseline="0">
                <a:solidFill>
                  <a:schemeClr val="dk1"/>
                </a:solidFill>
                <a:effectLst/>
                <a:latin typeface="+mn-lt"/>
                <a:ea typeface="+mn-ea"/>
                <a:cs typeface="+mn-cs"/>
              </a:rPr>
              <a:t> </a:t>
            </a:r>
            <a:r>
              <a:rPr kumimoji="1" lang="ja-JP" altLang="en-US" sz="900"/>
              <a:t>移動伝票の発行</a:t>
            </a:r>
          </a:p>
        </xdr:txBody>
      </xdr:sp>
    </xdr:grpSp>
    <xdr:clientData/>
  </xdr:twoCellAnchor>
  <xdr:twoCellAnchor>
    <xdr:from>
      <xdr:col>1</xdr:col>
      <xdr:colOff>142085</xdr:colOff>
      <xdr:row>276</xdr:row>
      <xdr:rowOff>79148</xdr:rowOff>
    </xdr:from>
    <xdr:to>
      <xdr:col>7</xdr:col>
      <xdr:colOff>28271</xdr:colOff>
      <xdr:row>279</xdr:row>
      <xdr:rowOff>98428</xdr:rowOff>
    </xdr:to>
    <xdr:grpSp>
      <xdr:nvGrpSpPr>
        <xdr:cNvPr id="207" name="グループ化 8">
          <a:extLst>
            <a:ext uri="{FF2B5EF4-FFF2-40B4-BE49-F238E27FC236}">
              <a16:creationId xmlns:a16="http://schemas.microsoft.com/office/drawing/2014/main" id="{00000000-0008-0000-0300-0000CF000000}"/>
            </a:ext>
          </a:extLst>
        </xdr:cNvPr>
        <xdr:cNvGrpSpPr/>
      </xdr:nvGrpSpPr>
      <xdr:grpSpPr>
        <a:xfrm>
          <a:off x="323060" y="47561273"/>
          <a:ext cx="972036" cy="533630"/>
          <a:chOff x="1615543" y="2430783"/>
          <a:chExt cx="908902" cy="422628"/>
        </a:xfrm>
      </xdr:grpSpPr>
      <xdr:sp macro="" textlink="">
        <xdr:nvSpPr>
          <xdr:cNvPr id="208" name="フローチャート: 定義済み処理 9">
            <a:extLst>
              <a:ext uri="{FF2B5EF4-FFF2-40B4-BE49-F238E27FC236}">
                <a16:creationId xmlns:a16="http://schemas.microsoft.com/office/drawing/2014/main" id="{00000000-0008-0000-0300-0000D0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9" name="正方形/長方形 48">
            <a:extLst>
              <a:ext uri="{FF2B5EF4-FFF2-40B4-BE49-F238E27FC236}">
                <a16:creationId xmlns:a16="http://schemas.microsoft.com/office/drawing/2014/main" id="{00000000-0008-0000-0300-0000D1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固定資産</a:t>
            </a:r>
            <a:br>
              <a:rPr kumimoji="1" lang="en-US" altLang="ja-JP" sz="900"/>
            </a:br>
            <a:r>
              <a:rPr kumimoji="1" lang="ja-JP" altLang="en-US" sz="900"/>
              <a:t>移動処理</a:t>
            </a:r>
          </a:p>
        </xdr:txBody>
      </xdr:sp>
    </xdr:grpSp>
    <xdr:clientData/>
  </xdr:twoCellAnchor>
  <xdr:twoCellAnchor>
    <xdr:from>
      <xdr:col>7</xdr:col>
      <xdr:colOff>1313</xdr:colOff>
      <xdr:row>278</xdr:row>
      <xdr:rowOff>3533</xdr:rowOff>
    </xdr:from>
    <xdr:to>
      <xdr:col>30</xdr:col>
      <xdr:colOff>167182</xdr:colOff>
      <xdr:row>278</xdr:row>
      <xdr:rowOff>16676</xdr:rowOff>
    </xdr:to>
    <xdr:cxnSp macro="">
      <xdr:nvCxnSpPr>
        <xdr:cNvPr id="210" name="直線矢印コネクタ 209">
          <a:extLst>
            <a:ext uri="{FF2B5EF4-FFF2-40B4-BE49-F238E27FC236}">
              <a16:creationId xmlns:a16="http://schemas.microsoft.com/office/drawing/2014/main" id="{00000000-0008-0000-0300-0000D2000000}"/>
            </a:ext>
          </a:extLst>
        </xdr:cNvPr>
        <xdr:cNvCxnSpPr>
          <a:stCxn id="208" idx="3"/>
          <a:endCxn id="931" idx="2"/>
        </xdr:cNvCxnSpPr>
      </xdr:nvCxnSpPr>
      <xdr:spPr>
        <a:xfrm>
          <a:off x="1398313" y="48000462"/>
          <a:ext cx="4756012" cy="131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167182</xdr:colOff>
      <xdr:row>276</xdr:row>
      <xdr:rowOff>94206</xdr:rowOff>
    </xdr:from>
    <xdr:to>
      <xdr:col>34</xdr:col>
      <xdr:colOff>66547</xdr:colOff>
      <xdr:row>280</xdr:row>
      <xdr:rowOff>2</xdr:rowOff>
    </xdr:to>
    <xdr:grpSp>
      <xdr:nvGrpSpPr>
        <xdr:cNvPr id="930" name="グループ化 210">
          <a:extLst>
            <a:ext uri="{FF2B5EF4-FFF2-40B4-BE49-F238E27FC236}">
              <a16:creationId xmlns:a16="http://schemas.microsoft.com/office/drawing/2014/main" id="{00000000-0008-0000-0300-0000D3000000}"/>
            </a:ext>
          </a:extLst>
        </xdr:cNvPr>
        <xdr:cNvGrpSpPr/>
      </xdr:nvGrpSpPr>
      <xdr:grpSpPr>
        <a:xfrm>
          <a:off x="5596432" y="47576331"/>
          <a:ext cx="623265" cy="591596"/>
          <a:chOff x="7204075" y="2892425"/>
          <a:chExt cx="688975" cy="597682"/>
        </a:xfrm>
      </xdr:grpSpPr>
      <xdr:sp macro="" textlink="">
        <xdr:nvSpPr>
          <xdr:cNvPr id="931" name="フローチャート: 磁気ディスク 211">
            <a:extLst>
              <a:ext uri="{FF2B5EF4-FFF2-40B4-BE49-F238E27FC236}">
                <a16:creationId xmlns:a16="http://schemas.microsoft.com/office/drawing/2014/main" id="{00000000-0008-0000-0300-0000D4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2" name="正方形/長方形 212">
            <a:extLst>
              <a:ext uri="{FF2B5EF4-FFF2-40B4-BE49-F238E27FC236}">
                <a16:creationId xmlns:a16="http://schemas.microsoft.com/office/drawing/2014/main" id="{00000000-0008-0000-0300-0000D5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固定資産移動</a:t>
            </a:r>
          </a:p>
        </xdr:txBody>
      </xdr:sp>
    </xdr:grpSp>
    <xdr:clientData/>
  </xdr:twoCellAnchor>
  <xdr:twoCellAnchor>
    <xdr:from>
      <xdr:col>16</xdr:col>
      <xdr:colOff>165225</xdr:colOff>
      <xdr:row>247</xdr:row>
      <xdr:rowOff>83736</xdr:rowOff>
    </xdr:from>
    <xdr:to>
      <xdr:col>20</xdr:col>
      <xdr:colOff>73830</xdr:colOff>
      <xdr:row>249</xdr:row>
      <xdr:rowOff>15722</xdr:rowOff>
    </xdr:to>
    <xdr:sp macro="" textlink="">
      <xdr:nvSpPr>
        <xdr:cNvPr id="235" name="フローチャート: 端子 26">
          <a:extLst>
            <a:ext uri="{FF2B5EF4-FFF2-40B4-BE49-F238E27FC236}">
              <a16:creationId xmlns:a16="http://schemas.microsoft.com/office/drawing/2014/main" id="{00000000-0008-0000-0300-0000EB000000}"/>
            </a:ext>
          </a:extLst>
        </xdr:cNvPr>
        <xdr:cNvSpPr/>
      </xdr:nvSpPr>
      <xdr:spPr>
        <a:xfrm>
          <a:off x="3957082" y="38918522"/>
          <a:ext cx="706891" cy="2767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15</xdr:col>
      <xdr:colOff>148685</xdr:colOff>
      <xdr:row>251</xdr:row>
      <xdr:rowOff>131412</xdr:rowOff>
    </xdr:from>
    <xdr:to>
      <xdr:col>21</xdr:col>
      <xdr:colOff>35837</xdr:colOff>
      <xdr:row>254</xdr:row>
      <xdr:rowOff>163393</xdr:rowOff>
    </xdr:to>
    <xdr:grpSp>
      <xdr:nvGrpSpPr>
        <xdr:cNvPr id="236" name="グループ化 8">
          <a:extLst>
            <a:ext uri="{FF2B5EF4-FFF2-40B4-BE49-F238E27FC236}">
              <a16:creationId xmlns:a16="http://schemas.microsoft.com/office/drawing/2014/main" id="{00000000-0008-0000-0300-0000EC000000}"/>
            </a:ext>
          </a:extLst>
        </xdr:cNvPr>
        <xdr:cNvGrpSpPr/>
      </xdr:nvGrpSpPr>
      <xdr:grpSpPr>
        <a:xfrm>
          <a:off x="2863310" y="43327287"/>
          <a:ext cx="973002" cy="546331"/>
          <a:chOff x="1615543" y="2430783"/>
          <a:chExt cx="908902" cy="422628"/>
        </a:xfrm>
      </xdr:grpSpPr>
      <xdr:sp macro="" textlink="">
        <xdr:nvSpPr>
          <xdr:cNvPr id="237" name="フローチャート: 定義済み処理 9">
            <a:extLst>
              <a:ext uri="{FF2B5EF4-FFF2-40B4-BE49-F238E27FC236}">
                <a16:creationId xmlns:a16="http://schemas.microsoft.com/office/drawing/2014/main" id="{00000000-0008-0000-0300-0000ED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8" name="正方形/長方形 48">
            <a:extLst>
              <a:ext uri="{FF2B5EF4-FFF2-40B4-BE49-F238E27FC236}">
                <a16:creationId xmlns:a16="http://schemas.microsoft.com/office/drawing/2014/main" id="{00000000-0008-0000-0300-0000EE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償却提案</a:t>
            </a:r>
            <a:br>
              <a:rPr kumimoji="1" lang="en-US" altLang="ja-JP" sz="900"/>
            </a:br>
            <a:r>
              <a:rPr kumimoji="1" lang="ja-JP" altLang="en-US" sz="900"/>
              <a:t>の実行</a:t>
            </a:r>
          </a:p>
        </xdr:txBody>
      </xdr:sp>
    </xdr:grpSp>
    <xdr:clientData/>
  </xdr:twoCellAnchor>
  <xdr:twoCellAnchor>
    <xdr:from>
      <xdr:col>21</xdr:col>
      <xdr:colOff>8708</xdr:colOff>
      <xdr:row>253</xdr:row>
      <xdr:rowOff>72572</xdr:rowOff>
    </xdr:from>
    <xdr:to>
      <xdr:col>30</xdr:col>
      <xdr:colOff>170353</xdr:colOff>
      <xdr:row>253</xdr:row>
      <xdr:rowOff>73679</xdr:rowOff>
    </xdr:to>
    <xdr:cxnSp macro="">
      <xdr:nvCxnSpPr>
        <xdr:cNvPr id="239" name="直線矢印コネクタ 238">
          <a:extLst>
            <a:ext uri="{FF2B5EF4-FFF2-40B4-BE49-F238E27FC236}">
              <a16:creationId xmlns:a16="http://schemas.microsoft.com/office/drawing/2014/main" id="{00000000-0008-0000-0300-0000EF000000}"/>
            </a:ext>
          </a:extLst>
        </xdr:cNvPr>
        <xdr:cNvCxnSpPr/>
      </xdr:nvCxnSpPr>
      <xdr:spPr>
        <a:xfrm>
          <a:off x="6878253" y="41139754"/>
          <a:ext cx="1928100" cy="110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152525</xdr:colOff>
      <xdr:row>263</xdr:row>
      <xdr:rowOff>31400</xdr:rowOff>
    </xdr:from>
    <xdr:to>
      <xdr:col>20</xdr:col>
      <xdr:colOff>72257</xdr:colOff>
      <xdr:row>264</xdr:row>
      <xdr:rowOff>121336</xdr:rowOff>
    </xdr:to>
    <xdr:sp macro="" textlink="">
      <xdr:nvSpPr>
        <xdr:cNvPr id="245" name="フローチャート: 端子 26">
          <a:extLst>
            <a:ext uri="{FF2B5EF4-FFF2-40B4-BE49-F238E27FC236}">
              <a16:creationId xmlns:a16="http://schemas.microsoft.com/office/drawing/2014/main" id="{00000000-0008-0000-0300-0000F5000000}"/>
            </a:ext>
          </a:extLst>
        </xdr:cNvPr>
        <xdr:cNvSpPr/>
      </xdr:nvSpPr>
      <xdr:spPr>
        <a:xfrm>
          <a:off x="3944382" y="41623900"/>
          <a:ext cx="718018" cy="26229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18</xdr:col>
      <xdr:colOff>117602</xdr:colOff>
      <xdr:row>249</xdr:row>
      <xdr:rowOff>15722</xdr:rowOff>
    </xdr:from>
    <xdr:to>
      <xdr:col>18</xdr:col>
      <xdr:colOff>119528</xdr:colOff>
      <xdr:row>251</xdr:row>
      <xdr:rowOff>165565</xdr:rowOff>
    </xdr:to>
    <xdr:cxnSp macro="">
      <xdr:nvCxnSpPr>
        <xdr:cNvPr id="264" name="直線矢印コネクタ 263">
          <a:extLst>
            <a:ext uri="{FF2B5EF4-FFF2-40B4-BE49-F238E27FC236}">
              <a16:creationId xmlns:a16="http://schemas.microsoft.com/office/drawing/2014/main" id="{00000000-0008-0000-0300-000008010000}"/>
            </a:ext>
          </a:extLst>
        </xdr:cNvPr>
        <xdr:cNvCxnSpPr>
          <a:cxnSpLocks/>
          <a:stCxn id="235" idx="2"/>
          <a:endCxn id="237" idx="0"/>
        </xdr:cNvCxnSpPr>
      </xdr:nvCxnSpPr>
      <xdr:spPr>
        <a:xfrm flipH="1">
          <a:off x="4308602" y="39195222"/>
          <a:ext cx="1926" cy="49455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170353</xdr:colOff>
      <xdr:row>251</xdr:row>
      <xdr:rowOff>104669</xdr:rowOff>
    </xdr:from>
    <xdr:to>
      <xdr:col>34</xdr:col>
      <xdr:colOff>76200</xdr:colOff>
      <xdr:row>255</xdr:row>
      <xdr:rowOff>16422</xdr:rowOff>
    </xdr:to>
    <xdr:sp macro="" textlink="">
      <xdr:nvSpPr>
        <xdr:cNvPr id="884" name="フローチャート: 磁気ディスク 265">
          <a:extLst>
            <a:ext uri="{FF2B5EF4-FFF2-40B4-BE49-F238E27FC236}">
              <a16:creationId xmlns:a16="http://schemas.microsoft.com/office/drawing/2014/main" id="{00000000-0008-0000-0300-00000A010000}"/>
            </a:ext>
          </a:extLst>
        </xdr:cNvPr>
        <xdr:cNvSpPr/>
      </xdr:nvSpPr>
      <xdr:spPr>
        <a:xfrm>
          <a:off x="6771178" y="16963919"/>
          <a:ext cx="705947" cy="597553"/>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30</xdr:col>
      <xdr:colOff>63754</xdr:colOff>
      <xdr:row>252</xdr:row>
      <xdr:rowOff>30982</xdr:rowOff>
    </xdr:from>
    <xdr:to>
      <xdr:col>34</xdr:col>
      <xdr:colOff>180975</xdr:colOff>
      <xdr:row>255</xdr:row>
      <xdr:rowOff>86665</xdr:rowOff>
    </xdr:to>
    <xdr:sp macro="" textlink="">
      <xdr:nvSpPr>
        <xdr:cNvPr id="870" name="正方形/長方形 266">
          <a:extLst>
            <a:ext uri="{FF2B5EF4-FFF2-40B4-BE49-F238E27FC236}">
              <a16:creationId xmlns:a16="http://schemas.microsoft.com/office/drawing/2014/main" id="{00000000-0008-0000-0300-00000B010000}"/>
            </a:ext>
          </a:extLst>
        </xdr:cNvPr>
        <xdr:cNvSpPr/>
      </xdr:nvSpPr>
      <xdr:spPr>
        <a:xfrm>
          <a:off x="6664579" y="17061682"/>
          <a:ext cx="917321" cy="5700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償却提案</a:t>
          </a:r>
        </a:p>
      </xdr:txBody>
    </xdr:sp>
    <xdr:clientData/>
  </xdr:twoCellAnchor>
  <xdr:twoCellAnchor>
    <xdr:from>
      <xdr:col>18</xdr:col>
      <xdr:colOff>116646</xdr:colOff>
      <xdr:row>254</xdr:row>
      <xdr:rowOff>131210</xdr:rowOff>
    </xdr:from>
    <xdr:to>
      <xdr:col>18</xdr:col>
      <xdr:colOff>117602</xdr:colOff>
      <xdr:row>257</xdr:row>
      <xdr:rowOff>154909</xdr:rowOff>
    </xdr:to>
    <xdr:cxnSp macro="">
      <xdr:nvCxnSpPr>
        <xdr:cNvPr id="274" name="直線矢印コネクタ 273">
          <a:extLst>
            <a:ext uri="{FF2B5EF4-FFF2-40B4-BE49-F238E27FC236}">
              <a16:creationId xmlns:a16="http://schemas.microsoft.com/office/drawing/2014/main" id="{00000000-0008-0000-0300-000012010000}"/>
            </a:ext>
          </a:extLst>
        </xdr:cNvPr>
        <xdr:cNvCxnSpPr>
          <a:cxnSpLocks/>
          <a:stCxn id="237" idx="2"/>
          <a:endCxn id="276" idx="0"/>
        </xdr:cNvCxnSpPr>
      </xdr:nvCxnSpPr>
      <xdr:spPr>
        <a:xfrm flipH="1">
          <a:off x="4307646" y="40172496"/>
          <a:ext cx="956" cy="5407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144407</xdr:colOff>
      <xdr:row>257</xdr:row>
      <xdr:rowOff>120946</xdr:rowOff>
    </xdr:from>
    <xdr:to>
      <xdr:col>21</xdr:col>
      <xdr:colOff>37909</xdr:colOff>
      <xdr:row>260</xdr:row>
      <xdr:rowOff>149751</xdr:rowOff>
    </xdr:to>
    <xdr:grpSp>
      <xdr:nvGrpSpPr>
        <xdr:cNvPr id="275" name="グループ化 8">
          <a:extLst>
            <a:ext uri="{FF2B5EF4-FFF2-40B4-BE49-F238E27FC236}">
              <a16:creationId xmlns:a16="http://schemas.microsoft.com/office/drawing/2014/main" id="{00000000-0008-0000-0300-000013010000}"/>
            </a:ext>
          </a:extLst>
        </xdr:cNvPr>
        <xdr:cNvGrpSpPr/>
      </xdr:nvGrpSpPr>
      <xdr:grpSpPr>
        <a:xfrm>
          <a:off x="2859032" y="44345521"/>
          <a:ext cx="979352" cy="543155"/>
          <a:chOff x="1615543" y="2430783"/>
          <a:chExt cx="908902" cy="422628"/>
        </a:xfrm>
      </xdr:grpSpPr>
      <xdr:sp macro="" textlink="">
        <xdr:nvSpPr>
          <xdr:cNvPr id="276" name="フローチャート: 定義済み処理 9">
            <a:extLst>
              <a:ext uri="{FF2B5EF4-FFF2-40B4-BE49-F238E27FC236}">
                <a16:creationId xmlns:a16="http://schemas.microsoft.com/office/drawing/2014/main" id="{00000000-0008-0000-0300-000014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7" name="正方形/長方形 48">
            <a:extLst>
              <a:ext uri="{FF2B5EF4-FFF2-40B4-BE49-F238E27FC236}">
                <a16:creationId xmlns:a16="http://schemas.microsoft.com/office/drawing/2014/main" id="{00000000-0008-0000-0300-00001501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転記処理</a:t>
            </a:r>
          </a:p>
        </xdr:txBody>
      </xdr:sp>
    </xdr:grpSp>
    <xdr:clientData/>
  </xdr:twoCellAnchor>
  <xdr:twoCellAnchor>
    <xdr:from>
      <xdr:col>21</xdr:col>
      <xdr:colOff>10622</xdr:colOff>
      <xdr:row>259</xdr:row>
      <xdr:rowOff>58854</xdr:rowOff>
    </xdr:from>
    <xdr:to>
      <xdr:col>30</xdr:col>
      <xdr:colOff>156247</xdr:colOff>
      <xdr:row>259</xdr:row>
      <xdr:rowOff>63687</xdr:rowOff>
    </xdr:to>
    <xdr:cxnSp macro="">
      <xdr:nvCxnSpPr>
        <xdr:cNvPr id="278" name="直線矢印コネクタ 277">
          <a:extLst>
            <a:ext uri="{FF2B5EF4-FFF2-40B4-BE49-F238E27FC236}">
              <a16:creationId xmlns:a16="http://schemas.microsoft.com/office/drawing/2014/main" id="{00000000-0008-0000-0300-000016010000}"/>
            </a:ext>
          </a:extLst>
        </xdr:cNvPr>
        <xdr:cNvCxnSpPr>
          <a:cxnSpLocks/>
        </xdr:cNvCxnSpPr>
      </xdr:nvCxnSpPr>
      <xdr:spPr>
        <a:xfrm flipV="1">
          <a:off x="6880167" y="42165127"/>
          <a:ext cx="1912080" cy="48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45488</xdr:colOff>
      <xdr:row>257</xdr:row>
      <xdr:rowOff>94199</xdr:rowOff>
    </xdr:from>
    <xdr:to>
      <xdr:col>34</xdr:col>
      <xdr:colOff>180976</xdr:colOff>
      <xdr:row>261</xdr:row>
      <xdr:rowOff>73959</xdr:rowOff>
    </xdr:to>
    <xdr:grpSp>
      <xdr:nvGrpSpPr>
        <xdr:cNvPr id="860" name="グループ化 278">
          <a:extLst>
            <a:ext uri="{FF2B5EF4-FFF2-40B4-BE49-F238E27FC236}">
              <a16:creationId xmlns:a16="http://schemas.microsoft.com/office/drawing/2014/main" id="{00000000-0008-0000-0300-000017010000}"/>
            </a:ext>
          </a:extLst>
        </xdr:cNvPr>
        <xdr:cNvGrpSpPr>
          <a:grpSpLocks noChangeAspect="1"/>
        </xdr:cNvGrpSpPr>
      </xdr:nvGrpSpPr>
      <xdr:grpSpPr>
        <a:xfrm>
          <a:off x="5474738" y="44318774"/>
          <a:ext cx="859388" cy="665560"/>
          <a:chOff x="7102989" y="2892424"/>
          <a:chExt cx="873125" cy="603230"/>
        </a:xfrm>
      </xdr:grpSpPr>
      <xdr:sp macro="" textlink="">
        <xdr:nvSpPr>
          <xdr:cNvPr id="861" name="フローチャート: 磁気ディスク 279">
            <a:extLst>
              <a:ext uri="{FF2B5EF4-FFF2-40B4-BE49-F238E27FC236}">
                <a16:creationId xmlns:a16="http://schemas.microsoft.com/office/drawing/2014/main" id="{00000000-0008-0000-0300-00001801000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2" name="正方形/長方形 280">
            <a:extLst>
              <a:ext uri="{FF2B5EF4-FFF2-40B4-BE49-F238E27FC236}">
                <a16:creationId xmlns:a16="http://schemas.microsoft.com/office/drawing/2014/main" id="{00000000-0008-0000-0300-00001901000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p>
        </xdr:txBody>
      </xdr:sp>
    </xdr:grpSp>
    <xdr:clientData/>
  </xdr:twoCellAnchor>
  <xdr:twoCellAnchor>
    <xdr:from>
      <xdr:col>18</xdr:col>
      <xdr:colOff>112391</xdr:colOff>
      <xdr:row>260</xdr:row>
      <xdr:rowOff>117747</xdr:rowOff>
    </xdr:from>
    <xdr:to>
      <xdr:col>18</xdr:col>
      <xdr:colOff>116646</xdr:colOff>
      <xdr:row>263</xdr:row>
      <xdr:rowOff>31400</xdr:rowOff>
    </xdr:to>
    <xdr:cxnSp macro="">
      <xdr:nvCxnSpPr>
        <xdr:cNvPr id="283" name="直線矢印コネクタ 282">
          <a:extLst>
            <a:ext uri="{FF2B5EF4-FFF2-40B4-BE49-F238E27FC236}">
              <a16:creationId xmlns:a16="http://schemas.microsoft.com/office/drawing/2014/main" id="{00000000-0008-0000-0300-00001B010000}"/>
            </a:ext>
          </a:extLst>
        </xdr:cNvPr>
        <xdr:cNvCxnSpPr>
          <a:cxnSpLocks/>
          <a:stCxn id="276" idx="2"/>
          <a:endCxn id="245" idx="0"/>
        </xdr:cNvCxnSpPr>
      </xdr:nvCxnSpPr>
      <xdr:spPr>
        <a:xfrm flipH="1">
          <a:off x="4303391" y="41193176"/>
          <a:ext cx="4255" cy="43072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114063</xdr:colOff>
      <xdr:row>297</xdr:row>
      <xdr:rowOff>149555</xdr:rowOff>
    </xdr:from>
    <xdr:to>
      <xdr:col>6</xdr:col>
      <xdr:colOff>197611</xdr:colOff>
      <xdr:row>301</xdr:row>
      <xdr:rowOff>6004</xdr:rowOff>
    </xdr:to>
    <xdr:grpSp>
      <xdr:nvGrpSpPr>
        <xdr:cNvPr id="348" name="グループ化 8">
          <a:extLst>
            <a:ext uri="{FF2B5EF4-FFF2-40B4-BE49-F238E27FC236}">
              <a16:creationId xmlns:a16="http://schemas.microsoft.com/office/drawing/2014/main" id="{00000000-0008-0000-0300-00005C010000}"/>
            </a:ext>
          </a:extLst>
        </xdr:cNvPr>
        <xdr:cNvGrpSpPr/>
      </xdr:nvGrpSpPr>
      <xdr:grpSpPr>
        <a:xfrm>
          <a:off x="295038" y="51232130"/>
          <a:ext cx="969373" cy="542249"/>
          <a:chOff x="1615543" y="2430783"/>
          <a:chExt cx="908902" cy="422628"/>
        </a:xfrm>
      </xdr:grpSpPr>
      <xdr:sp macro="" textlink="">
        <xdr:nvSpPr>
          <xdr:cNvPr id="349" name="フローチャート: 定義済み処理 9">
            <a:extLst>
              <a:ext uri="{FF2B5EF4-FFF2-40B4-BE49-F238E27FC236}">
                <a16:creationId xmlns:a16="http://schemas.microsoft.com/office/drawing/2014/main" id="{00000000-0008-0000-0300-00005D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0" name="正方形/長方形 48">
            <a:extLst>
              <a:ext uri="{FF2B5EF4-FFF2-40B4-BE49-F238E27FC236}">
                <a16:creationId xmlns:a16="http://schemas.microsoft.com/office/drawing/2014/main" id="{00000000-0008-0000-0300-00005E01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売却・処分</a:t>
            </a:r>
            <a:endParaRPr kumimoji="1" lang="en-US" altLang="ja-JP" sz="900"/>
          </a:p>
          <a:p>
            <a:pPr algn="ctr"/>
            <a:r>
              <a:rPr kumimoji="1" lang="ja-JP" altLang="en-US" sz="900"/>
              <a:t>提案の実行</a:t>
            </a:r>
          </a:p>
        </xdr:txBody>
      </xdr:sp>
    </xdr:grpSp>
    <xdr:clientData/>
  </xdr:twoCellAnchor>
  <xdr:twoCellAnchor>
    <xdr:from>
      <xdr:col>6</xdr:col>
      <xdr:colOff>170708</xdr:colOff>
      <xdr:row>299</xdr:row>
      <xdr:rowOff>72383</xdr:rowOff>
    </xdr:from>
    <xdr:to>
      <xdr:col>30</xdr:col>
      <xdr:colOff>181127</xdr:colOff>
      <xdr:row>299</xdr:row>
      <xdr:rowOff>78720</xdr:rowOff>
    </xdr:to>
    <xdr:cxnSp macro="">
      <xdr:nvCxnSpPr>
        <xdr:cNvPr id="351" name="直線矢印コネクタ 350">
          <a:extLst>
            <a:ext uri="{FF2B5EF4-FFF2-40B4-BE49-F238E27FC236}">
              <a16:creationId xmlns:a16="http://schemas.microsoft.com/office/drawing/2014/main" id="{00000000-0008-0000-0300-00005F010000}"/>
            </a:ext>
          </a:extLst>
        </xdr:cNvPr>
        <xdr:cNvCxnSpPr>
          <a:stCxn id="349" idx="3"/>
          <a:endCxn id="937" idx="2"/>
        </xdr:cNvCxnSpPr>
      </xdr:nvCxnSpPr>
      <xdr:spPr>
        <a:xfrm flipV="1">
          <a:off x="1368137" y="52378240"/>
          <a:ext cx="4800133" cy="63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133838</xdr:colOff>
      <xdr:row>297</xdr:row>
      <xdr:rowOff>134678</xdr:rowOff>
    </xdr:from>
    <xdr:to>
      <xdr:col>35</xdr:col>
      <xdr:colOff>125006</xdr:colOff>
      <xdr:row>301</xdr:row>
      <xdr:rowOff>93035</xdr:rowOff>
    </xdr:to>
    <xdr:grpSp>
      <xdr:nvGrpSpPr>
        <xdr:cNvPr id="936" name="グループ化 4">
          <a:extLst>
            <a:ext uri="{FF2B5EF4-FFF2-40B4-BE49-F238E27FC236}">
              <a16:creationId xmlns:a16="http://schemas.microsoft.com/office/drawing/2014/main" id="{00000000-0008-0000-0300-000068010000}"/>
            </a:ext>
          </a:extLst>
        </xdr:cNvPr>
        <xdr:cNvGrpSpPr/>
      </xdr:nvGrpSpPr>
      <xdr:grpSpPr>
        <a:xfrm>
          <a:off x="5382113" y="51217253"/>
          <a:ext cx="1077018" cy="644157"/>
          <a:chOff x="6963423" y="2894585"/>
          <a:chExt cx="1158702" cy="615373"/>
        </a:xfrm>
      </xdr:grpSpPr>
      <xdr:sp macro="" textlink="">
        <xdr:nvSpPr>
          <xdr:cNvPr id="937" name="フローチャート: 磁気ディスク 5">
            <a:extLst>
              <a:ext uri="{FF2B5EF4-FFF2-40B4-BE49-F238E27FC236}">
                <a16:creationId xmlns:a16="http://schemas.microsoft.com/office/drawing/2014/main" id="{00000000-0008-0000-0300-000069010000}"/>
              </a:ext>
            </a:extLst>
          </xdr:cNvPr>
          <xdr:cNvSpPr/>
        </xdr:nvSpPr>
        <xdr:spPr>
          <a:xfrm>
            <a:off x="7204075" y="289458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38" name="正方形/長方形 6">
            <a:extLst>
              <a:ext uri="{FF2B5EF4-FFF2-40B4-BE49-F238E27FC236}">
                <a16:creationId xmlns:a16="http://schemas.microsoft.com/office/drawing/2014/main" id="{00000000-0008-0000-0300-00006B010000}"/>
              </a:ext>
            </a:extLst>
          </xdr:cNvPr>
          <xdr:cNvSpPr/>
        </xdr:nvSpPr>
        <xdr:spPr>
          <a:xfrm>
            <a:off x="6963423" y="3004351"/>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15</xdr:col>
      <xdr:colOff>152921</xdr:colOff>
      <xdr:row>479</xdr:row>
      <xdr:rowOff>131412</xdr:rowOff>
    </xdr:from>
    <xdr:to>
      <xdr:col>21</xdr:col>
      <xdr:colOff>41131</xdr:colOff>
      <xdr:row>482</xdr:row>
      <xdr:rowOff>160218</xdr:rowOff>
    </xdr:to>
    <xdr:grpSp>
      <xdr:nvGrpSpPr>
        <xdr:cNvPr id="224" name="グループ化 8">
          <a:extLst>
            <a:ext uri="{FF2B5EF4-FFF2-40B4-BE49-F238E27FC236}">
              <a16:creationId xmlns:a16="http://schemas.microsoft.com/office/drawing/2014/main" id="{00000000-0008-0000-0300-0000E0000000}"/>
            </a:ext>
          </a:extLst>
        </xdr:cNvPr>
        <xdr:cNvGrpSpPr/>
      </xdr:nvGrpSpPr>
      <xdr:grpSpPr>
        <a:xfrm>
          <a:off x="2867546" y="82417887"/>
          <a:ext cx="974060" cy="543156"/>
          <a:chOff x="1615543" y="2430783"/>
          <a:chExt cx="908902" cy="422628"/>
        </a:xfrm>
      </xdr:grpSpPr>
      <xdr:sp macro="" textlink="">
        <xdr:nvSpPr>
          <xdr:cNvPr id="225" name="フローチャート: 定義済み処理 9">
            <a:extLst>
              <a:ext uri="{FF2B5EF4-FFF2-40B4-BE49-F238E27FC236}">
                <a16:creationId xmlns:a16="http://schemas.microsoft.com/office/drawing/2014/main" id="{00000000-0008-0000-0300-0000E1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0" name="正方形/長方形 48">
            <a:extLst>
              <a:ext uri="{FF2B5EF4-FFF2-40B4-BE49-F238E27FC236}">
                <a16:creationId xmlns:a16="http://schemas.microsoft.com/office/drawing/2014/main" id="{00000000-0008-0000-0300-0000F0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減損インジケータ</a:t>
            </a:r>
            <a:endParaRPr kumimoji="1" lang="en-US" altLang="ja-JP" sz="900"/>
          </a:p>
          <a:p>
            <a:pPr algn="ctr"/>
            <a:r>
              <a:rPr kumimoji="1" lang="ja-JP" altLang="en-US" sz="900"/>
              <a:t>の更新</a:t>
            </a:r>
          </a:p>
        </xdr:txBody>
      </xdr:sp>
    </xdr:grpSp>
    <xdr:clientData/>
  </xdr:twoCellAnchor>
  <xdr:twoCellAnchor>
    <xdr:from>
      <xdr:col>21</xdr:col>
      <xdr:colOff>48692</xdr:colOff>
      <xdr:row>481</xdr:row>
      <xdr:rowOff>85709</xdr:rowOff>
    </xdr:from>
    <xdr:to>
      <xdr:col>31</xdr:col>
      <xdr:colOff>9385</xdr:colOff>
      <xdr:row>481</xdr:row>
      <xdr:rowOff>91139</xdr:rowOff>
    </xdr:to>
    <xdr:cxnSp macro="">
      <xdr:nvCxnSpPr>
        <xdr:cNvPr id="241" name="直線矢印コネクタ 240">
          <a:extLst>
            <a:ext uri="{FF2B5EF4-FFF2-40B4-BE49-F238E27FC236}">
              <a16:creationId xmlns:a16="http://schemas.microsoft.com/office/drawing/2014/main" id="{00000000-0008-0000-0300-0000F1000000}"/>
            </a:ext>
          </a:extLst>
        </xdr:cNvPr>
        <xdr:cNvCxnSpPr/>
      </xdr:nvCxnSpPr>
      <xdr:spPr>
        <a:xfrm>
          <a:off x="6918237" y="58817436"/>
          <a:ext cx="1923421" cy="54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121440</xdr:colOff>
      <xdr:row>474</xdr:row>
      <xdr:rowOff>143786</xdr:rowOff>
    </xdr:from>
    <xdr:to>
      <xdr:col>18</xdr:col>
      <xdr:colOff>125981</xdr:colOff>
      <xdr:row>479</xdr:row>
      <xdr:rowOff>163925</xdr:rowOff>
    </xdr:to>
    <xdr:cxnSp macro="">
      <xdr:nvCxnSpPr>
        <xdr:cNvPr id="242" name="直線矢印コネクタ 241">
          <a:extLst>
            <a:ext uri="{FF2B5EF4-FFF2-40B4-BE49-F238E27FC236}">
              <a16:creationId xmlns:a16="http://schemas.microsoft.com/office/drawing/2014/main" id="{00000000-0008-0000-0300-0000F2000000}"/>
            </a:ext>
          </a:extLst>
        </xdr:cNvPr>
        <xdr:cNvCxnSpPr>
          <a:cxnSpLocks/>
          <a:stCxn id="149" idx="2"/>
          <a:endCxn id="225" idx="0"/>
        </xdr:cNvCxnSpPr>
      </xdr:nvCxnSpPr>
      <xdr:spPr>
        <a:xfrm flipH="1">
          <a:off x="6336969" y="58780433"/>
          <a:ext cx="4541" cy="87925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122244</xdr:colOff>
      <xdr:row>482</xdr:row>
      <xdr:rowOff>132639</xdr:rowOff>
    </xdr:from>
    <xdr:to>
      <xdr:col>18</xdr:col>
      <xdr:colOff>125113</xdr:colOff>
      <xdr:row>484</xdr:row>
      <xdr:rowOff>80367</xdr:rowOff>
    </xdr:to>
    <xdr:cxnSp macro="">
      <xdr:nvCxnSpPr>
        <xdr:cNvPr id="243" name="直線矢印コネクタ 242">
          <a:extLst>
            <a:ext uri="{FF2B5EF4-FFF2-40B4-BE49-F238E27FC236}">
              <a16:creationId xmlns:a16="http://schemas.microsoft.com/office/drawing/2014/main" id="{00000000-0008-0000-0300-0000F3000000}"/>
            </a:ext>
          </a:extLst>
        </xdr:cNvPr>
        <xdr:cNvCxnSpPr>
          <a:cxnSpLocks/>
          <a:stCxn id="225" idx="2"/>
          <a:endCxn id="578" idx="0"/>
        </xdr:cNvCxnSpPr>
      </xdr:nvCxnSpPr>
      <xdr:spPr>
        <a:xfrm>
          <a:off x="4313244" y="53445425"/>
          <a:ext cx="2869" cy="29244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134781</xdr:colOff>
      <xdr:row>479</xdr:row>
      <xdr:rowOff>133242</xdr:rowOff>
    </xdr:from>
    <xdr:to>
      <xdr:col>35</xdr:col>
      <xdr:colOff>122774</xdr:colOff>
      <xdr:row>483</xdr:row>
      <xdr:rowOff>56639</xdr:rowOff>
    </xdr:to>
    <xdr:grpSp>
      <xdr:nvGrpSpPr>
        <xdr:cNvPr id="927" name="グループ化 4">
          <a:extLst>
            <a:ext uri="{FF2B5EF4-FFF2-40B4-BE49-F238E27FC236}">
              <a16:creationId xmlns:a16="http://schemas.microsoft.com/office/drawing/2014/main" id="{00000000-0008-0000-0300-0000F4000000}"/>
            </a:ext>
          </a:extLst>
        </xdr:cNvPr>
        <xdr:cNvGrpSpPr/>
      </xdr:nvGrpSpPr>
      <xdr:grpSpPr>
        <a:xfrm>
          <a:off x="5383056" y="82419717"/>
          <a:ext cx="1073843" cy="609197"/>
          <a:chOff x="6973664" y="2892425"/>
          <a:chExt cx="1158702" cy="588536"/>
        </a:xfrm>
      </xdr:grpSpPr>
      <xdr:sp macro="" textlink="">
        <xdr:nvSpPr>
          <xdr:cNvPr id="928" name="フローチャート: 磁気ディスク 5">
            <a:extLst>
              <a:ext uri="{FF2B5EF4-FFF2-40B4-BE49-F238E27FC236}">
                <a16:creationId xmlns:a16="http://schemas.microsoft.com/office/drawing/2014/main" id="{00000000-0008-0000-0300-0000F6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29" name="正方形/長方形 6">
            <a:extLst>
              <a:ext uri="{FF2B5EF4-FFF2-40B4-BE49-F238E27FC236}">
                <a16:creationId xmlns:a16="http://schemas.microsoft.com/office/drawing/2014/main" id="{00000000-0008-0000-0300-0000F7000000}"/>
              </a:ext>
            </a:extLst>
          </xdr:cNvPr>
          <xdr:cNvSpPr/>
        </xdr:nvSpPr>
        <xdr:spPr>
          <a:xfrm>
            <a:off x="6973664" y="2975354"/>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インジケータ</a:t>
            </a:r>
            <a:endParaRPr kumimoji="1" lang="en-US" altLang="ja-JP" sz="900"/>
          </a:p>
        </xdr:txBody>
      </xdr:sp>
    </xdr:grpSp>
    <xdr:clientData/>
  </xdr:twoCellAnchor>
  <xdr:twoCellAnchor>
    <xdr:from>
      <xdr:col>15</xdr:col>
      <xdr:colOff>74604</xdr:colOff>
      <xdr:row>702</xdr:row>
      <xdr:rowOff>26743</xdr:rowOff>
    </xdr:from>
    <xdr:to>
      <xdr:col>20</xdr:col>
      <xdr:colOff>162839</xdr:colOff>
      <xdr:row>705</xdr:row>
      <xdr:rowOff>58725</xdr:rowOff>
    </xdr:to>
    <xdr:grpSp>
      <xdr:nvGrpSpPr>
        <xdr:cNvPr id="8" name="グループ化 8">
          <a:extLst>
            <a:ext uri="{FF2B5EF4-FFF2-40B4-BE49-F238E27FC236}">
              <a16:creationId xmlns:a16="http://schemas.microsoft.com/office/drawing/2014/main" id="{00000000-0008-0000-0300-000008000000}"/>
            </a:ext>
          </a:extLst>
        </xdr:cNvPr>
        <xdr:cNvGrpSpPr/>
      </xdr:nvGrpSpPr>
      <xdr:grpSpPr>
        <a:xfrm>
          <a:off x="2789229" y="120546568"/>
          <a:ext cx="993110" cy="546332"/>
          <a:chOff x="1615543" y="2430783"/>
          <a:chExt cx="908902" cy="422628"/>
        </a:xfrm>
      </xdr:grpSpPr>
      <xdr:sp macro="" textlink="">
        <xdr:nvSpPr>
          <xdr:cNvPr id="9" name="フローチャート: 定義済み処理 9">
            <a:extLst>
              <a:ext uri="{FF2B5EF4-FFF2-40B4-BE49-F238E27FC236}">
                <a16:creationId xmlns:a16="http://schemas.microsoft.com/office/drawing/2014/main" id="{00000000-0008-0000-0300-000009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 name="正方形/長方形 48">
            <a:extLst>
              <a:ext uri="{FF2B5EF4-FFF2-40B4-BE49-F238E27FC236}">
                <a16:creationId xmlns:a16="http://schemas.microsoft.com/office/drawing/2014/main" id="{00000000-0008-0000-0300-00000A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固定資産の取得</a:t>
            </a:r>
          </a:p>
        </xdr:txBody>
      </xdr:sp>
    </xdr:grpSp>
    <xdr:clientData/>
  </xdr:twoCellAnchor>
  <xdr:twoCellAnchor>
    <xdr:from>
      <xdr:col>18</xdr:col>
      <xdr:colOff>43521</xdr:colOff>
      <xdr:row>705</xdr:row>
      <xdr:rowOff>26542</xdr:rowOff>
    </xdr:from>
    <xdr:to>
      <xdr:col>18</xdr:col>
      <xdr:colOff>46115</xdr:colOff>
      <xdr:row>706</xdr:row>
      <xdr:rowOff>47828</xdr:rowOff>
    </xdr:to>
    <xdr:cxnSp macro="">
      <xdr:nvCxnSpPr>
        <xdr:cNvPr id="13" name="直線矢印コネクタ 12">
          <a:extLst>
            <a:ext uri="{FF2B5EF4-FFF2-40B4-BE49-F238E27FC236}">
              <a16:creationId xmlns:a16="http://schemas.microsoft.com/office/drawing/2014/main" id="{00000000-0008-0000-0300-00000D000000}"/>
            </a:ext>
          </a:extLst>
        </xdr:cNvPr>
        <xdr:cNvCxnSpPr>
          <a:stCxn id="9" idx="2"/>
          <a:endCxn id="19" idx="0"/>
        </xdr:cNvCxnSpPr>
      </xdr:nvCxnSpPr>
      <xdr:spPr>
        <a:xfrm>
          <a:off x="4234521" y="76952256"/>
          <a:ext cx="2594" cy="19364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188524</xdr:colOff>
      <xdr:row>705</xdr:row>
      <xdr:rowOff>156996</xdr:rowOff>
    </xdr:from>
    <xdr:to>
      <xdr:col>20</xdr:col>
      <xdr:colOff>104788</xdr:colOff>
      <xdr:row>708</xdr:row>
      <xdr:rowOff>146533</xdr:rowOff>
    </xdr:to>
    <xdr:grpSp>
      <xdr:nvGrpSpPr>
        <xdr:cNvPr id="18" name="グループ化 17">
          <a:extLst>
            <a:ext uri="{FF2B5EF4-FFF2-40B4-BE49-F238E27FC236}">
              <a16:creationId xmlns:a16="http://schemas.microsoft.com/office/drawing/2014/main" id="{00000000-0008-0000-0300-000012000000}"/>
            </a:ext>
          </a:extLst>
        </xdr:cNvPr>
        <xdr:cNvGrpSpPr>
          <a:grpSpLocks noChangeAspect="1"/>
        </xdr:cNvGrpSpPr>
      </xdr:nvGrpSpPr>
      <xdr:grpSpPr>
        <a:xfrm>
          <a:off x="2893624" y="121191171"/>
          <a:ext cx="830664" cy="503887"/>
          <a:chOff x="2675325" y="18469486"/>
          <a:chExt cx="1008791" cy="566261"/>
        </a:xfrm>
      </xdr:grpSpPr>
      <xdr:sp macro="" textlink="">
        <xdr:nvSpPr>
          <xdr:cNvPr id="19" name="フローチャート: 書類 18">
            <a:extLst>
              <a:ext uri="{FF2B5EF4-FFF2-40B4-BE49-F238E27FC236}">
                <a16:creationId xmlns:a16="http://schemas.microsoft.com/office/drawing/2014/main" id="{00000000-0008-0000-0300-000013000000}"/>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0" name="正方形/長方形 19">
            <a:extLst>
              <a:ext uri="{FF2B5EF4-FFF2-40B4-BE49-F238E27FC236}">
                <a16:creationId xmlns:a16="http://schemas.microsoft.com/office/drawing/2014/main" id="{00000000-0008-0000-0300-000014000000}"/>
              </a:ext>
            </a:extLst>
          </xdr:cNvPr>
          <xdr:cNvSpPr/>
        </xdr:nvSpPr>
        <xdr:spPr>
          <a:xfrm>
            <a:off x="2710110" y="18469486"/>
            <a:ext cx="936130"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固定資産の取得レポート</a:t>
            </a:r>
          </a:p>
        </xdr:txBody>
      </xdr:sp>
    </xdr:grpSp>
    <xdr:clientData/>
  </xdr:twoCellAnchor>
  <xdr:twoCellAnchor>
    <xdr:from>
      <xdr:col>15</xdr:col>
      <xdr:colOff>74604</xdr:colOff>
      <xdr:row>710</xdr:row>
      <xdr:rowOff>26743</xdr:rowOff>
    </xdr:from>
    <xdr:to>
      <xdr:col>20</xdr:col>
      <xdr:colOff>162839</xdr:colOff>
      <xdr:row>713</xdr:row>
      <xdr:rowOff>58725</xdr:rowOff>
    </xdr:to>
    <xdr:grpSp>
      <xdr:nvGrpSpPr>
        <xdr:cNvPr id="24" name="グループ化 8">
          <a:extLst>
            <a:ext uri="{FF2B5EF4-FFF2-40B4-BE49-F238E27FC236}">
              <a16:creationId xmlns:a16="http://schemas.microsoft.com/office/drawing/2014/main" id="{00000000-0008-0000-0300-000018000000}"/>
            </a:ext>
          </a:extLst>
        </xdr:cNvPr>
        <xdr:cNvGrpSpPr/>
      </xdr:nvGrpSpPr>
      <xdr:grpSpPr>
        <a:xfrm>
          <a:off x="2789229" y="121918168"/>
          <a:ext cx="993110" cy="546332"/>
          <a:chOff x="1615543" y="2430783"/>
          <a:chExt cx="908902" cy="422628"/>
        </a:xfrm>
      </xdr:grpSpPr>
      <xdr:sp macro="" textlink="">
        <xdr:nvSpPr>
          <xdr:cNvPr id="25" name="フローチャート: 定義済み処理 9">
            <a:extLst>
              <a:ext uri="{FF2B5EF4-FFF2-40B4-BE49-F238E27FC236}">
                <a16:creationId xmlns:a16="http://schemas.microsoft.com/office/drawing/2014/main" id="{00000000-0008-0000-0300-000019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 name="正方形/長方形 48">
            <a:extLst>
              <a:ext uri="{FF2B5EF4-FFF2-40B4-BE49-F238E27FC236}">
                <a16:creationId xmlns:a16="http://schemas.microsoft.com/office/drawing/2014/main" id="{00000000-0008-0000-0300-00001A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固定資産の移動</a:t>
            </a:r>
          </a:p>
        </xdr:txBody>
      </xdr:sp>
    </xdr:grpSp>
    <xdr:clientData/>
  </xdr:twoCellAnchor>
  <xdr:twoCellAnchor>
    <xdr:from>
      <xdr:col>18</xdr:col>
      <xdr:colOff>43521</xdr:colOff>
      <xdr:row>713</xdr:row>
      <xdr:rowOff>26542</xdr:rowOff>
    </xdr:from>
    <xdr:to>
      <xdr:col>18</xdr:col>
      <xdr:colOff>46115</xdr:colOff>
      <xdr:row>714</xdr:row>
      <xdr:rowOff>47827</xdr:rowOff>
    </xdr:to>
    <xdr:cxnSp macro="">
      <xdr:nvCxnSpPr>
        <xdr:cNvPr id="27" name="直線矢印コネクタ 26">
          <a:extLst>
            <a:ext uri="{FF2B5EF4-FFF2-40B4-BE49-F238E27FC236}">
              <a16:creationId xmlns:a16="http://schemas.microsoft.com/office/drawing/2014/main" id="{00000000-0008-0000-0300-00001B000000}"/>
            </a:ext>
          </a:extLst>
        </xdr:cNvPr>
        <xdr:cNvCxnSpPr>
          <a:stCxn id="25" idx="2"/>
          <a:endCxn id="30" idx="0"/>
        </xdr:cNvCxnSpPr>
      </xdr:nvCxnSpPr>
      <xdr:spPr>
        <a:xfrm>
          <a:off x="4266271" y="38698042"/>
          <a:ext cx="2594" cy="2012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188524</xdr:colOff>
      <xdr:row>713</xdr:row>
      <xdr:rowOff>156996</xdr:rowOff>
    </xdr:from>
    <xdr:to>
      <xdr:col>20</xdr:col>
      <xdr:colOff>104788</xdr:colOff>
      <xdr:row>716</xdr:row>
      <xdr:rowOff>146533</xdr:rowOff>
    </xdr:to>
    <xdr:grpSp>
      <xdr:nvGrpSpPr>
        <xdr:cNvPr id="28" name="グループ化 27">
          <a:extLst>
            <a:ext uri="{FF2B5EF4-FFF2-40B4-BE49-F238E27FC236}">
              <a16:creationId xmlns:a16="http://schemas.microsoft.com/office/drawing/2014/main" id="{00000000-0008-0000-0300-00001C000000}"/>
            </a:ext>
          </a:extLst>
        </xdr:cNvPr>
        <xdr:cNvGrpSpPr>
          <a:grpSpLocks noChangeAspect="1"/>
        </xdr:cNvGrpSpPr>
      </xdr:nvGrpSpPr>
      <xdr:grpSpPr>
        <a:xfrm>
          <a:off x="2893624" y="122562771"/>
          <a:ext cx="830664" cy="503887"/>
          <a:chOff x="2675325" y="18469486"/>
          <a:chExt cx="1008791" cy="566261"/>
        </a:xfrm>
      </xdr:grpSpPr>
      <xdr:sp macro="" textlink="">
        <xdr:nvSpPr>
          <xdr:cNvPr id="30" name="フローチャート: 書類 29">
            <a:extLst>
              <a:ext uri="{FF2B5EF4-FFF2-40B4-BE49-F238E27FC236}">
                <a16:creationId xmlns:a16="http://schemas.microsoft.com/office/drawing/2014/main" id="{00000000-0008-0000-0300-00001E000000}"/>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31" name="正方形/長方形 30">
            <a:extLst>
              <a:ext uri="{FF2B5EF4-FFF2-40B4-BE49-F238E27FC236}">
                <a16:creationId xmlns:a16="http://schemas.microsoft.com/office/drawing/2014/main" id="{00000000-0008-0000-0300-00001F000000}"/>
              </a:ext>
            </a:extLst>
          </xdr:cNvPr>
          <xdr:cNvSpPr/>
        </xdr:nvSpPr>
        <xdr:spPr>
          <a:xfrm>
            <a:off x="2710110" y="18469486"/>
            <a:ext cx="936130"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固定資産の移動レポート</a:t>
            </a:r>
          </a:p>
        </xdr:txBody>
      </xdr:sp>
    </xdr:grpSp>
    <xdr:clientData/>
  </xdr:twoCellAnchor>
  <xdr:twoCellAnchor>
    <xdr:from>
      <xdr:col>15</xdr:col>
      <xdr:colOff>74604</xdr:colOff>
      <xdr:row>718</xdr:row>
      <xdr:rowOff>26743</xdr:rowOff>
    </xdr:from>
    <xdr:to>
      <xdr:col>20</xdr:col>
      <xdr:colOff>162839</xdr:colOff>
      <xdr:row>721</xdr:row>
      <xdr:rowOff>58725</xdr:rowOff>
    </xdr:to>
    <xdr:grpSp>
      <xdr:nvGrpSpPr>
        <xdr:cNvPr id="39" name="グループ化 8">
          <a:extLst>
            <a:ext uri="{FF2B5EF4-FFF2-40B4-BE49-F238E27FC236}">
              <a16:creationId xmlns:a16="http://schemas.microsoft.com/office/drawing/2014/main" id="{00000000-0008-0000-0300-000027000000}"/>
            </a:ext>
          </a:extLst>
        </xdr:cNvPr>
        <xdr:cNvGrpSpPr/>
      </xdr:nvGrpSpPr>
      <xdr:grpSpPr>
        <a:xfrm>
          <a:off x="2789229" y="123289768"/>
          <a:ext cx="993110" cy="546332"/>
          <a:chOff x="1615543" y="2430783"/>
          <a:chExt cx="908902" cy="422628"/>
        </a:xfrm>
      </xdr:grpSpPr>
      <xdr:sp macro="" textlink="">
        <xdr:nvSpPr>
          <xdr:cNvPr id="40" name="フローチャート: 定義済み処理 9">
            <a:extLst>
              <a:ext uri="{FF2B5EF4-FFF2-40B4-BE49-F238E27FC236}">
                <a16:creationId xmlns:a16="http://schemas.microsoft.com/office/drawing/2014/main" id="{00000000-0008-0000-0300-000028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1" name="正方形/長方形 48">
            <a:extLst>
              <a:ext uri="{FF2B5EF4-FFF2-40B4-BE49-F238E27FC236}">
                <a16:creationId xmlns:a16="http://schemas.microsoft.com/office/drawing/2014/main" id="{00000000-0008-0000-0300-000029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固定資産の処分</a:t>
            </a:r>
          </a:p>
        </xdr:txBody>
      </xdr:sp>
    </xdr:grpSp>
    <xdr:clientData/>
  </xdr:twoCellAnchor>
  <xdr:twoCellAnchor>
    <xdr:from>
      <xdr:col>18</xdr:col>
      <xdr:colOff>43521</xdr:colOff>
      <xdr:row>721</xdr:row>
      <xdr:rowOff>26542</xdr:rowOff>
    </xdr:from>
    <xdr:to>
      <xdr:col>18</xdr:col>
      <xdr:colOff>47277</xdr:colOff>
      <xdr:row>722</xdr:row>
      <xdr:rowOff>48912</xdr:rowOff>
    </xdr:to>
    <xdr:cxnSp macro="">
      <xdr:nvCxnSpPr>
        <xdr:cNvPr id="42" name="直線矢印コネクタ 41">
          <a:extLst>
            <a:ext uri="{FF2B5EF4-FFF2-40B4-BE49-F238E27FC236}">
              <a16:creationId xmlns:a16="http://schemas.microsoft.com/office/drawing/2014/main" id="{00000000-0008-0000-0300-00002A000000}"/>
            </a:ext>
          </a:extLst>
        </xdr:cNvPr>
        <xdr:cNvCxnSpPr>
          <a:stCxn id="40" idx="2"/>
          <a:endCxn id="44" idx="0"/>
        </xdr:cNvCxnSpPr>
      </xdr:nvCxnSpPr>
      <xdr:spPr>
        <a:xfrm>
          <a:off x="4266271" y="40137375"/>
          <a:ext cx="3756" cy="20228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63149</xdr:colOff>
      <xdr:row>721</xdr:row>
      <xdr:rowOff>73499</xdr:rowOff>
    </xdr:from>
    <xdr:to>
      <xdr:col>21</xdr:col>
      <xdr:colOff>63149</xdr:colOff>
      <xdr:row>725</xdr:row>
      <xdr:rowOff>94429</xdr:rowOff>
    </xdr:to>
    <xdr:grpSp>
      <xdr:nvGrpSpPr>
        <xdr:cNvPr id="43" name="グループ化 42">
          <a:extLst>
            <a:ext uri="{FF2B5EF4-FFF2-40B4-BE49-F238E27FC236}">
              <a16:creationId xmlns:a16="http://schemas.microsoft.com/office/drawing/2014/main" id="{00000000-0008-0000-0300-00002B000000}"/>
            </a:ext>
          </a:extLst>
        </xdr:cNvPr>
        <xdr:cNvGrpSpPr>
          <a:grpSpLocks noChangeAspect="1"/>
        </xdr:cNvGrpSpPr>
      </xdr:nvGrpSpPr>
      <xdr:grpSpPr>
        <a:xfrm>
          <a:off x="2777774" y="123850874"/>
          <a:ext cx="1085850" cy="706730"/>
          <a:chOff x="2536178" y="18378907"/>
          <a:chExt cx="1321864" cy="792756"/>
        </a:xfrm>
      </xdr:grpSpPr>
      <xdr:sp macro="" textlink="">
        <xdr:nvSpPr>
          <xdr:cNvPr id="44" name="フローチャート: 書類 43">
            <a:extLst>
              <a:ext uri="{FF2B5EF4-FFF2-40B4-BE49-F238E27FC236}">
                <a16:creationId xmlns:a16="http://schemas.microsoft.com/office/drawing/2014/main" id="{00000000-0008-0000-0300-00002C000000}"/>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536178" y="18378907"/>
            <a:ext cx="1321864" cy="79275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固定資産の処分</a:t>
            </a:r>
            <a:endParaRPr kumimoji="1" lang="en-US" altLang="ja-JP" sz="900"/>
          </a:p>
          <a:p>
            <a:pPr algn="ctr"/>
            <a:r>
              <a:rPr kumimoji="1" lang="ja-JP" altLang="en-US" sz="900"/>
              <a:t>レポート</a:t>
            </a:r>
          </a:p>
        </xdr:txBody>
      </xdr:sp>
    </xdr:grpSp>
    <xdr:clientData/>
  </xdr:twoCellAnchor>
  <xdr:twoCellAnchor>
    <xdr:from>
      <xdr:col>15</xdr:col>
      <xdr:colOff>74604</xdr:colOff>
      <xdr:row>726</xdr:row>
      <xdr:rowOff>26743</xdr:rowOff>
    </xdr:from>
    <xdr:to>
      <xdr:col>20</xdr:col>
      <xdr:colOff>162839</xdr:colOff>
      <xdr:row>729</xdr:row>
      <xdr:rowOff>58725</xdr:rowOff>
    </xdr:to>
    <xdr:grpSp>
      <xdr:nvGrpSpPr>
        <xdr:cNvPr id="46" name="グループ化 8">
          <a:extLst>
            <a:ext uri="{FF2B5EF4-FFF2-40B4-BE49-F238E27FC236}">
              <a16:creationId xmlns:a16="http://schemas.microsoft.com/office/drawing/2014/main" id="{00000000-0008-0000-0300-00002E000000}"/>
            </a:ext>
          </a:extLst>
        </xdr:cNvPr>
        <xdr:cNvGrpSpPr/>
      </xdr:nvGrpSpPr>
      <xdr:grpSpPr>
        <a:xfrm>
          <a:off x="2789229" y="124661368"/>
          <a:ext cx="993110" cy="546332"/>
          <a:chOff x="1615543" y="2430783"/>
          <a:chExt cx="908902" cy="422628"/>
        </a:xfrm>
      </xdr:grpSpPr>
      <xdr:sp macro="" textlink="">
        <xdr:nvSpPr>
          <xdr:cNvPr id="47" name="フローチャート: 定義済み処理 9">
            <a:extLst>
              <a:ext uri="{FF2B5EF4-FFF2-40B4-BE49-F238E27FC236}">
                <a16:creationId xmlns:a16="http://schemas.microsoft.com/office/drawing/2014/main" id="{00000000-0008-0000-0300-00002F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8" name="正方形/長方形 48">
            <a:extLst>
              <a:ext uri="{FF2B5EF4-FFF2-40B4-BE49-F238E27FC236}">
                <a16:creationId xmlns:a16="http://schemas.microsoft.com/office/drawing/2014/main" id="{00000000-0008-0000-0300-000030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固定資産</a:t>
            </a:r>
            <a:endParaRPr kumimoji="1" lang="en-US" altLang="ja-JP" sz="900"/>
          </a:p>
          <a:p>
            <a:pPr algn="ctr"/>
            <a:r>
              <a:rPr kumimoji="1" lang="ja-JP" altLang="en-US" sz="900"/>
              <a:t>トランザクション</a:t>
            </a:r>
          </a:p>
        </xdr:txBody>
      </xdr:sp>
    </xdr:grpSp>
    <xdr:clientData/>
  </xdr:twoCellAnchor>
  <xdr:twoCellAnchor>
    <xdr:from>
      <xdr:col>18</xdr:col>
      <xdr:colOff>43521</xdr:colOff>
      <xdr:row>729</xdr:row>
      <xdr:rowOff>26542</xdr:rowOff>
    </xdr:from>
    <xdr:to>
      <xdr:col>18</xdr:col>
      <xdr:colOff>46115</xdr:colOff>
      <xdr:row>730</xdr:row>
      <xdr:rowOff>48800</xdr:rowOff>
    </xdr:to>
    <xdr:cxnSp macro="">
      <xdr:nvCxnSpPr>
        <xdr:cNvPr id="49" name="直線矢印コネクタ 48">
          <a:extLst>
            <a:ext uri="{FF2B5EF4-FFF2-40B4-BE49-F238E27FC236}">
              <a16:creationId xmlns:a16="http://schemas.microsoft.com/office/drawing/2014/main" id="{00000000-0008-0000-0300-000031000000}"/>
            </a:ext>
          </a:extLst>
        </xdr:cNvPr>
        <xdr:cNvCxnSpPr>
          <a:stCxn id="47" idx="2"/>
          <a:endCxn id="51" idx="0"/>
        </xdr:cNvCxnSpPr>
      </xdr:nvCxnSpPr>
      <xdr:spPr>
        <a:xfrm>
          <a:off x="4266271" y="41576709"/>
          <a:ext cx="2594" cy="20217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147122</xdr:colOff>
      <xdr:row>729</xdr:row>
      <xdr:rowOff>62800</xdr:rowOff>
    </xdr:from>
    <xdr:to>
      <xdr:col>22</xdr:col>
      <xdr:colOff>29775</xdr:colOff>
      <xdr:row>733</xdr:row>
      <xdr:rowOff>83730</xdr:rowOff>
    </xdr:to>
    <xdr:grpSp>
      <xdr:nvGrpSpPr>
        <xdr:cNvPr id="50" name="グループ化 49">
          <a:extLst>
            <a:ext uri="{FF2B5EF4-FFF2-40B4-BE49-F238E27FC236}">
              <a16:creationId xmlns:a16="http://schemas.microsoft.com/office/drawing/2014/main" id="{00000000-0008-0000-0300-000032000000}"/>
            </a:ext>
          </a:extLst>
        </xdr:cNvPr>
        <xdr:cNvGrpSpPr>
          <a:grpSpLocks noChangeAspect="1"/>
        </xdr:cNvGrpSpPr>
      </xdr:nvGrpSpPr>
      <xdr:grpSpPr>
        <a:xfrm>
          <a:off x="2680772" y="125211775"/>
          <a:ext cx="1330453" cy="706730"/>
          <a:chOff x="2408662" y="18367575"/>
          <a:chExt cx="1634936" cy="792756"/>
        </a:xfrm>
      </xdr:grpSpPr>
      <xdr:sp macro="" textlink="">
        <xdr:nvSpPr>
          <xdr:cNvPr id="51" name="フローチャート: 書類 50">
            <a:extLst>
              <a:ext uri="{FF2B5EF4-FFF2-40B4-BE49-F238E27FC236}">
                <a16:creationId xmlns:a16="http://schemas.microsoft.com/office/drawing/2014/main" id="{00000000-0008-0000-0300-000033000000}"/>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3" name="正方形/長方形 52">
            <a:extLst>
              <a:ext uri="{FF2B5EF4-FFF2-40B4-BE49-F238E27FC236}">
                <a16:creationId xmlns:a16="http://schemas.microsoft.com/office/drawing/2014/main" id="{00000000-0008-0000-0300-000035000000}"/>
              </a:ext>
            </a:extLst>
          </xdr:cNvPr>
          <xdr:cNvSpPr/>
        </xdr:nvSpPr>
        <xdr:spPr>
          <a:xfrm>
            <a:off x="2408662" y="18367575"/>
            <a:ext cx="1634936" cy="79275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固定資産トランザクション</a:t>
            </a:r>
            <a:endParaRPr kumimoji="1" lang="en-US" altLang="ja-JP" sz="900"/>
          </a:p>
          <a:p>
            <a:pPr algn="ctr"/>
            <a:r>
              <a:rPr kumimoji="1" lang="ja-JP" altLang="en-US" sz="900"/>
              <a:t>レポート</a:t>
            </a:r>
          </a:p>
        </xdr:txBody>
      </xdr:sp>
    </xdr:grpSp>
    <xdr:clientData/>
  </xdr:twoCellAnchor>
  <xdr:twoCellAnchor>
    <xdr:from>
      <xdr:col>15</xdr:col>
      <xdr:colOff>95770</xdr:colOff>
      <xdr:row>736</xdr:row>
      <xdr:rowOff>26743</xdr:rowOff>
    </xdr:from>
    <xdr:to>
      <xdr:col>20</xdr:col>
      <xdr:colOff>184005</xdr:colOff>
      <xdr:row>739</xdr:row>
      <xdr:rowOff>58725</xdr:rowOff>
    </xdr:to>
    <xdr:grpSp>
      <xdr:nvGrpSpPr>
        <xdr:cNvPr id="55" name="グループ化 8">
          <a:extLst>
            <a:ext uri="{FF2B5EF4-FFF2-40B4-BE49-F238E27FC236}">
              <a16:creationId xmlns:a16="http://schemas.microsoft.com/office/drawing/2014/main" id="{00000000-0008-0000-0300-000037000000}"/>
            </a:ext>
          </a:extLst>
        </xdr:cNvPr>
        <xdr:cNvGrpSpPr/>
      </xdr:nvGrpSpPr>
      <xdr:grpSpPr>
        <a:xfrm>
          <a:off x="2810395" y="126375868"/>
          <a:ext cx="993110" cy="546332"/>
          <a:chOff x="1615543" y="2430783"/>
          <a:chExt cx="908902" cy="422628"/>
        </a:xfrm>
      </xdr:grpSpPr>
      <xdr:sp macro="" textlink="">
        <xdr:nvSpPr>
          <xdr:cNvPr id="56" name="フローチャート: 定義済み処理 9">
            <a:extLst>
              <a:ext uri="{FF2B5EF4-FFF2-40B4-BE49-F238E27FC236}">
                <a16:creationId xmlns:a16="http://schemas.microsoft.com/office/drawing/2014/main" id="{00000000-0008-0000-0300-000038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7" name="正方形/長方形 48">
            <a:extLst>
              <a:ext uri="{FF2B5EF4-FFF2-40B4-BE49-F238E27FC236}">
                <a16:creationId xmlns:a16="http://schemas.microsoft.com/office/drawing/2014/main" id="{00000000-0008-0000-0300-000039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試算表⇒主勘定をドリルダウン</a:t>
            </a:r>
          </a:p>
        </xdr:txBody>
      </xdr:sp>
    </xdr:grpSp>
    <xdr:clientData/>
  </xdr:twoCellAnchor>
  <xdr:twoCellAnchor>
    <xdr:from>
      <xdr:col>18</xdr:col>
      <xdr:colOff>56700</xdr:colOff>
      <xdr:row>739</xdr:row>
      <xdr:rowOff>26542</xdr:rowOff>
    </xdr:from>
    <xdr:to>
      <xdr:col>18</xdr:col>
      <xdr:colOff>64687</xdr:colOff>
      <xdr:row>741</xdr:row>
      <xdr:rowOff>153911</xdr:rowOff>
    </xdr:to>
    <xdr:cxnSp macro="">
      <xdr:nvCxnSpPr>
        <xdr:cNvPr id="58" name="直線矢印コネクタ 57">
          <a:extLst>
            <a:ext uri="{FF2B5EF4-FFF2-40B4-BE49-F238E27FC236}">
              <a16:creationId xmlns:a16="http://schemas.microsoft.com/office/drawing/2014/main" id="{00000000-0008-0000-0300-00003A000000}"/>
            </a:ext>
          </a:extLst>
        </xdr:cNvPr>
        <xdr:cNvCxnSpPr>
          <a:stCxn id="56" idx="2"/>
          <a:endCxn id="60" idx="0"/>
        </xdr:cNvCxnSpPr>
      </xdr:nvCxnSpPr>
      <xdr:spPr>
        <a:xfrm flipH="1">
          <a:off x="4279450" y="43375875"/>
          <a:ext cx="7987" cy="4872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125954</xdr:colOff>
      <xdr:row>741</xdr:row>
      <xdr:rowOff>8718</xdr:rowOff>
    </xdr:from>
    <xdr:to>
      <xdr:col>22</xdr:col>
      <xdr:colOff>8606</xdr:colOff>
      <xdr:row>745</xdr:row>
      <xdr:rowOff>31626</xdr:rowOff>
    </xdr:to>
    <xdr:grpSp>
      <xdr:nvGrpSpPr>
        <xdr:cNvPr id="59" name="グループ化 58">
          <a:extLst>
            <a:ext uri="{FF2B5EF4-FFF2-40B4-BE49-F238E27FC236}">
              <a16:creationId xmlns:a16="http://schemas.microsoft.com/office/drawing/2014/main" id="{00000000-0008-0000-0300-00003B000000}"/>
            </a:ext>
          </a:extLst>
        </xdr:cNvPr>
        <xdr:cNvGrpSpPr>
          <a:grpSpLocks noChangeAspect="1"/>
        </xdr:cNvGrpSpPr>
      </xdr:nvGrpSpPr>
      <xdr:grpSpPr>
        <a:xfrm>
          <a:off x="2659604" y="127215093"/>
          <a:ext cx="1330452" cy="708708"/>
          <a:chOff x="2397056" y="18390171"/>
          <a:chExt cx="1634935" cy="792756"/>
        </a:xfrm>
      </xdr:grpSpPr>
      <xdr:sp macro="" textlink="">
        <xdr:nvSpPr>
          <xdr:cNvPr id="60" name="フローチャート: 書類 59">
            <a:extLst>
              <a:ext uri="{FF2B5EF4-FFF2-40B4-BE49-F238E27FC236}">
                <a16:creationId xmlns:a16="http://schemas.microsoft.com/office/drawing/2014/main" id="{00000000-0008-0000-0300-00003C000000}"/>
              </a:ext>
            </a:extLst>
          </xdr:cNvPr>
          <xdr:cNvSpPr/>
        </xdr:nvSpPr>
        <xdr:spPr>
          <a:xfrm>
            <a:off x="2698529"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61" name="正方形/長方形 60">
            <a:extLst>
              <a:ext uri="{FF2B5EF4-FFF2-40B4-BE49-F238E27FC236}">
                <a16:creationId xmlns:a16="http://schemas.microsoft.com/office/drawing/2014/main" id="{00000000-0008-0000-0300-00003D000000}"/>
              </a:ext>
            </a:extLst>
          </xdr:cNvPr>
          <xdr:cNvSpPr/>
        </xdr:nvSpPr>
        <xdr:spPr>
          <a:xfrm>
            <a:off x="2397056" y="18390171"/>
            <a:ext cx="1634935" cy="79275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伝票トランザクション</a:t>
            </a:r>
            <a:endParaRPr kumimoji="1" lang="en-US" altLang="ja-JP" sz="900"/>
          </a:p>
          <a:p>
            <a:pPr algn="ctr"/>
            <a:r>
              <a:rPr kumimoji="1" lang="ja-JP" altLang="en-US" sz="900"/>
              <a:t>レポート</a:t>
            </a:r>
          </a:p>
        </xdr:txBody>
      </xdr:sp>
    </xdr:grpSp>
    <xdr:clientData/>
  </xdr:twoCellAnchor>
  <xdr:twoCellAnchor>
    <xdr:from>
      <xdr:col>20</xdr:col>
      <xdr:colOff>132685</xdr:colOff>
      <xdr:row>736</xdr:row>
      <xdr:rowOff>31165</xdr:rowOff>
    </xdr:from>
    <xdr:to>
      <xdr:col>26</xdr:col>
      <xdr:colOff>22046</xdr:colOff>
      <xdr:row>739</xdr:row>
      <xdr:rowOff>63147</xdr:rowOff>
    </xdr:to>
    <xdr:grpSp>
      <xdr:nvGrpSpPr>
        <xdr:cNvPr id="62" name="グループ化 8">
          <a:extLst>
            <a:ext uri="{FF2B5EF4-FFF2-40B4-BE49-F238E27FC236}">
              <a16:creationId xmlns:a16="http://schemas.microsoft.com/office/drawing/2014/main" id="{00000000-0008-0000-0300-00003E000000}"/>
            </a:ext>
          </a:extLst>
        </xdr:cNvPr>
        <xdr:cNvGrpSpPr/>
      </xdr:nvGrpSpPr>
      <xdr:grpSpPr>
        <a:xfrm>
          <a:off x="3752185" y="126380290"/>
          <a:ext cx="975211" cy="546332"/>
          <a:chOff x="1615543" y="2430783"/>
          <a:chExt cx="908902" cy="422628"/>
        </a:xfrm>
      </xdr:grpSpPr>
      <xdr:sp macro="" textlink="">
        <xdr:nvSpPr>
          <xdr:cNvPr id="63" name="フローチャート: 定義済み処理 9">
            <a:extLst>
              <a:ext uri="{FF2B5EF4-FFF2-40B4-BE49-F238E27FC236}">
                <a16:creationId xmlns:a16="http://schemas.microsoft.com/office/drawing/2014/main" id="{00000000-0008-0000-0300-00003F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48" name="正方形/長方形 48">
            <a:extLst>
              <a:ext uri="{FF2B5EF4-FFF2-40B4-BE49-F238E27FC236}">
                <a16:creationId xmlns:a16="http://schemas.microsoft.com/office/drawing/2014/main" id="{00000000-0008-0000-0300-0000C001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伝票</a:t>
            </a:r>
            <a:endParaRPr kumimoji="1" lang="en-US" altLang="ja-JP" sz="900"/>
          </a:p>
          <a:p>
            <a:pPr algn="ctr"/>
            <a:r>
              <a:rPr kumimoji="1" lang="ja-JP" altLang="en-US" sz="900"/>
              <a:t>トランザクション</a:t>
            </a:r>
          </a:p>
        </xdr:txBody>
      </xdr:sp>
    </xdr:grpSp>
    <xdr:clientData/>
  </xdr:twoCellAnchor>
  <xdr:twoCellAnchor>
    <xdr:from>
      <xdr:col>18</xdr:col>
      <xdr:colOff>56626</xdr:colOff>
      <xdr:row>739</xdr:row>
      <xdr:rowOff>31187</xdr:rowOff>
    </xdr:from>
    <xdr:to>
      <xdr:col>23</xdr:col>
      <xdr:colOff>102941</xdr:colOff>
      <xdr:row>741</xdr:row>
      <xdr:rowOff>152877</xdr:rowOff>
    </xdr:to>
    <xdr:cxnSp macro="">
      <xdr:nvCxnSpPr>
        <xdr:cNvPr id="449" name="コネクタ: カギ線 448">
          <a:extLst>
            <a:ext uri="{FF2B5EF4-FFF2-40B4-BE49-F238E27FC236}">
              <a16:creationId xmlns:a16="http://schemas.microsoft.com/office/drawing/2014/main" id="{00000000-0008-0000-0300-0000C1010000}"/>
            </a:ext>
          </a:extLst>
        </xdr:cNvPr>
        <xdr:cNvCxnSpPr>
          <a:stCxn id="63" idx="2"/>
          <a:endCxn id="60" idx="0"/>
        </xdr:cNvCxnSpPr>
      </xdr:nvCxnSpPr>
      <xdr:spPr>
        <a:xfrm rot="5400000">
          <a:off x="4596892" y="44199390"/>
          <a:ext cx="478877" cy="10583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91144</xdr:colOff>
      <xdr:row>551</xdr:row>
      <xdr:rowOff>83736</xdr:rowOff>
    </xdr:from>
    <xdr:to>
      <xdr:col>19</xdr:col>
      <xdr:colOff>194483</xdr:colOff>
      <xdr:row>553</xdr:row>
      <xdr:rowOff>15722</xdr:rowOff>
    </xdr:to>
    <xdr:sp macro="" textlink="">
      <xdr:nvSpPr>
        <xdr:cNvPr id="452" name="フローチャート: 端子 26">
          <a:extLst>
            <a:ext uri="{FF2B5EF4-FFF2-40B4-BE49-F238E27FC236}">
              <a16:creationId xmlns:a16="http://schemas.microsoft.com/office/drawing/2014/main" id="{00000000-0008-0000-0300-0000C4010000}"/>
            </a:ext>
          </a:extLst>
        </xdr:cNvPr>
        <xdr:cNvSpPr/>
      </xdr:nvSpPr>
      <xdr:spPr>
        <a:xfrm>
          <a:off x="3883001" y="60290807"/>
          <a:ext cx="702053" cy="27670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15</xdr:col>
      <xdr:colOff>74604</xdr:colOff>
      <xdr:row>561</xdr:row>
      <xdr:rowOff>131412</xdr:rowOff>
    </xdr:from>
    <xdr:to>
      <xdr:col>20</xdr:col>
      <xdr:colOff>162839</xdr:colOff>
      <xdr:row>564</xdr:row>
      <xdr:rowOff>163393</xdr:rowOff>
    </xdr:to>
    <xdr:grpSp>
      <xdr:nvGrpSpPr>
        <xdr:cNvPr id="453" name="グループ化 8">
          <a:extLst>
            <a:ext uri="{FF2B5EF4-FFF2-40B4-BE49-F238E27FC236}">
              <a16:creationId xmlns:a16="http://schemas.microsoft.com/office/drawing/2014/main" id="{00000000-0008-0000-0300-0000C5010000}"/>
            </a:ext>
          </a:extLst>
        </xdr:cNvPr>
        <xdr:cNvGrpSpPr/>
      </xdr:nvGrpSpPr>
      <xdr:grpSpPr>
        <a:xfrm>
          <a:off x="2789229" y="96476787"/>
          <a:ext cx="993110" cy="546331"/>
          <a:chOff x="1615543" y="2430783"/>
          <a:chExt cx="908902" cy="422628"/>
        </a:xfrm>
      </xdr:grpSpPr>
      <xdr:sp macro="" textlink="">
        <xdr:nvSpPr>
          <xdr:cNvPr id="454" name="フローチャート: 定義済み処理 9">
            <a:extLst>
              <a:ext uri="{FF2B5EF4-FFF2-40B4-BE49-F238E27FC236}">
                <a16:creationId xmlns:a16="http://schemas.microsoft.com/office/drawing/2014/main" id="{00000000-0008-0000-0300-0000C6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55" name="正方形/長方形 48">
            <a:extLst>
              <a:ext uri="{FF2B5EF4-FFF2-40B4-BE49-F238E27FC236}">
                <a16:creationId xmlns:a16="http://schemas.microsoft.com/office/drawing/2014/main" id="{00000000-0008-0000-0300-0000C701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分割処理</a:t>
            </a:r>
          </a:p>
        </xdr:txBody>
      </xdr:sp>
    </xdr:grpSp>
    <xdr:clientData/>
  </xdr:twoCellAnchor>
  <xdr:twoCellAnchor>
    <xdr:from>
      <xdr:col>7</xdr:col>
      <xdr:colOff>18792</xdr:colOff>
      <xdr:row>563</xdr:row>
      <xdr:rowOff>51075</xdr:rowOff>
    </xdr:from>
    <xdr:to>
      <xdr:col>30</xdr:col>
      <xdr:colOff>191778</xdr:colOff>
      <xdr:row>563</xdr:row>
      <xdr:rowOff>73741</xdr:rowOff>
    </xdr:to>
    <xdr:cxnSp macro="">
      <xdr:nvCxnSpPr>
        <xdr:cNvPr id="456" name="直線矢印コネクタ 455">
          <a:extLst>
            <a:ext uri="{FF2B5EF4-FFF2-40B4-BE49-F238E27FC236}">
              <a16:creationId xmlns:a16="http://schemas.microsoft.com/office/drawing/2014/main" id="{00000000-0008-0000-0300-0000C8010000}"/>
            </a:ext>
          </a:extLst>
        </xdr:cNvPr>
        <xdr:cNvCxnSpPr>
          <a:stCxn id="65" idx="3"/>
        </xdr:cNvCxnSpPr>
      </xdr:nvCxnSpPr>
      <xdr:spPr>
        <a:xfrm>
          <a:off x="1435636" y="82168481"/>
          <a:ext cx="4828330" cy="226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42801</xdr:colOff>
      <xdr:row>553</xdr:row>
      <xdr:rowOff>12547</xdr:rowOff>
    </xdr:from>
    <xdr:to>
      <xdr:col>18</xdr:col>
      <xdr:colOff>52083</xdr:colOff>
      <xdr:row>555</xdr:row>
      <xdr:rowOff>77411</xdr:rowOff>
    </xdr:to>
    <xdr:cxnSp macro="">
      <xdr:nvCxnSpPr>
        <xdr:cNvPr id="457" name="直線矢印コネクタ 456">
          <a:extLst>
            <a:ext uri="{FF2B5EF4-FFF2-40B4-BE49-F238E27FC236}">
              <a16:creationId xmlns:a16="http://schemas.microsoft.com/office/drawing/2014/main" id="{00000000-0008-0000-0300-0000C9010000}"/>
            </a:ext>
          </a:extLst>
        </xdr:cNvPr>
        <xdr:cNvCxnSpPr>
          <a:cxnSpLocks/>
          <a:stCxn id="452" idx="2"/>
        </xdr:cNvCxnSpPr>
      </xdr:nvCxnSpPr>
      <xdr:spPr>
        <a:xfrm>
          <a:off x="4233801" y="60564333"/>
          <a:ext cx="9282" cy="40957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39188</xdr:colOff>
      <xdr:row>564</xdr:row>
      <xdr:rowOff>131210</xdr:rowOff>
    </xdr:from>
    <xdr:to>
      <xdr:col>18</xdr:col>
      <xdr:colOff>43521</xdr:colOff>
      <xdr:row>599</xdr:row>
      <xdr:rowOff>29888</xdr:rowOff>
    </xdr:to>
    <xdr:cxnSp macro="">
      <xdr:nvCxnSpPr>
        <xdr:cNvPr id="458" name="直線矢印コネクタ 457">
          <a:extLst>
            <a:ext uri="{FF2B5EF4-FFF2-40B4-BE49-F238E27FC236}">
              <a16:creationId xmlns:a16="http://schemas.microsoft.com/office/drawing/2014/main" id="{00000000-0008-0000-0300-0000CA010000}"/>
            </a:ext>
          </a:extLst>
        </xdr:cNvPr>
        <xdr:cNvCxnSpPr>
          <a:cxnSpLocks/>
          <a:stCxn id="454" idx="2"/>
          <a:endCxn id="462" idx="0"/>
        </xdr:cNvCxnSpPr>
      </xdr:nvCxnSpPr>
      <xdr:spPr>
        <a:xfrm flipH="1">
          <a:off x="4230188" y="62578924"/>
          <a:ext cx="4333" cy="24339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131606</xdr:colOff>
      <xdr:row>561</xdr:row>
      <xdr:rowOff>121600</xdr:rowOff>
    </xdr:from>
    <xdr:to>
      <xdr:col>34</xdr:col>
      <xdr:colOff>196850</xdr:colOff>
      <xdr:row>565</xdr:row>
      <xdr:rowOff>57697</xdr:rowOff>
    </xdr:to>
    <xdr:grpSp>
      <xdr:nvGrpSpPr>
        <xdr:cNvPr id="881" name="グループ化 4">
          <a:extLst>
            <a:ext uri="{FF2B5EF4-FFF2-40B4-BE49-F238E27FC236}">
              <a16:creationId xmlns:a16="http://schemas.microsoft.com/office/drawing/2014/main" id="{00000000-0008-0000-0300-0000CB010000}"/>
            </a:ext>
          </a:extLst>
        </xdr:cNvPr>
        <xdr:cNvGrpSpPr/>
      </xdr:nvGrpSpPr>
      <xdr:grpSpPr>
        <a:xfrm>
          <a:off x="5379881" y="96466975"/>
          <a:ext cx="951069" cy="621897"/>
          <a:chOff x="6973664" y="2892425"/>
          <a:chExt cx="1158702" cy="588536"/>
        </a:xfrm>
      </xdr:grpSpPr>
      <xdr:sp macro="" textlink="">
        <xdr:nvSpPr>
          <xdr:cNvPr id="882" name="フローチャート: 磁気ディスク 5">
            <a:extLst>
              <a:ext uri="{FF2B5EF4-FFF2-40B4-BE49-F238E27FC236}">
                <a16:creationId xmlns:a16="http://schemas.microsoft.com/office/drawing/2014/main" id="{00000000-0008-0000-0300-0000CC0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83" name="正方形/長方形 6">
            <a:extLst>
              <a:ext uri="{FF2B5EF4-FFF2-40B4-BE49-F238E27FC236}">
                <a16:creationId xmlns:a16="http://schemas.microsoft.com/office/drawing/2014/main" id="{00000000-0008-0000-0300-0000CD010000}"/>
              </a:ext>
            </a:extLst>
          </xdr:cNvPr>
          <xdr:cNvSpPr/>
        </xdr:nvSpPr>
        <xdr:spPr>
          <a:xfrm>
            <a:off x="6973664" y="2975354"/>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xdr:txBody>
      </xdr:sp>
    </xdr:grpSp>
    <xdr:clientData/>
  </xdr:twoCellAnchor>
  <xdr:twoCellAnchor>
    <xdr:from>
      <xdr:col>16</xdr:col>
      <xdr:colOff>84084</xdr:colOff>
      <xdr:row>599</xdr:row>
      <xdr:rowOff>29888</xdr:rowOff>
    </xdr:from>
    <xdr:to>
      <xdr:col>19</xdr:col>
      <xdr:colOff>195375</xdr:colOff>
      <xdr:row>600</xdr:row>
      <xdr:rowOff>129092</xdr:rowOff>
    </xdr:to>
    <xdr:sp macro="" textlink="">
      <xdr:nvSpPr>
        <xdr:cNvPr id="462" name="フローチャート: 端子 26">
          <a:extLst>
            <a:ext uri="{FF2B5EF4-FFF2-40B4-BE49-F238E27FC236}">
              <a16:creationId xmlns:a16="http://schemas.microsoft.com/office/drawing/2014/main" id="{00000000-0008-0000-0300-0000CE010000}"/>
            </a:ext>
          </a:extLst>
        </xdr:cNvPr>
        <xdr:cNvSpPr/>
      </xdr:nvSpPr>
      <xdr:spPr>
        <a:xfrm>
          <a:off x="3875941" y="62822317"/>
          <a:ext cx="710005" cy="2715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85510</xdr:colOff>
      <xdr:row>270</xdr:row>
      <xdr:rowOff>23014</xdr:rowOff>
    </xdr:from>
    <xdr:to>
      <xdr:col>4</xdr:col>
      <xdr:colOff>90073</xdr:colOff>
      <xdr:row>272</xdr:row>
      <xdr:rowOff>27306</xdr:rowOff>
    </xdr:to>
    <xdr:cxnSp macro="">
      <xdr:nvCxnSpPr>
        <xdr:cNvPr id="14" name="直線矢印コネクタ 13">
          <a:extLst>
            <a:ext uri="{FF2B5EF4-FFF2-40B4-BE49-F238E27FC236}">
              <a16:creationId xmlns:a16="http://schemas.microsoft.com/office/drawing/2014/main" id="{00000000-0008-0000-0300-00000E000000}"/>
            </a:ext>
          </a:extLst>
        </xdr:cNvPr>
        <xdr:cNvCxnSpPr>
          <a:stCxn id="323" idx="2"/>
          <a:endCxn id="201" idx="0"/>
        </xdr:cNvCxnSpPr>
      </xdr:nvCxnSpPr>
      <xdr:spPr>
        <a:xfrm flipH="1">
          <a:off x="3677796" y="46269157"/>
          <a:ext cx="4563" cy="34900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107046</xdr:colOff>
      <xdr:row>274</xdr:row>
      <xdr:rowOff>145143</xdr:rowOff>
    </xdr:from>
    <xdr:to>
      <xdr:col>4</xdr:col>
      <xdr:colOff>110496</xdr:colOff>
      <xdr:row>276</xdr:row>
      <xdr:rowOff>110646</xdr:rowOff>
    </xdr:to>
    <xdr:cxnSp macro="">
      <xdr:nvCxnSpPr>
        <xdr:cNvPr id="17" name="直線矢印コネクタ 16">
          <a:extLst>
            <a:ext uri="{FF2B5EF4-FFF2-40B4-BE49-F238E27FC236}">
              <a16:creationId xmlns:a16="http://schemas.microsoft.com/office/drawing/2014/main" id="{00000000-0008-0000-0300-000011000000}"/>
            </a:ext>
          </a:extLst>
        </xdr:cNvPr>
        <xdr:cNvCxnSpPr>
          <a:cxnSpLocks/>
          <a:endCxn id="208" idx="0"/>
        </xdr:cNvCxnSpPr>
      </xdr:nvCxnSpPr>
      <xdr:spPr>
        <a:xfrm>
          <a:off x="905332" y="47452643"/>
          <a:ext cx="3450" cy="31021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110583</xdr:colOff>
      <xdr:row>279</xdr:row>
      <xdr:rowOff>65782</xdr:rowOff>
    </xdr:from>
    <xdr:to>
      <xdr:col>4</xdr:col>
      <xdr:colOff>116961</xdr:colOff>
      <xdr:row>281</xdr:row>
      <xdr:rowOff>38505</xdr:rowOff>
    </xdr:to>
    <xdr:cxnSp macro="">
      <xdr:nvCxnSpPr>
        <xdr:cNvPr id="33" name="直線矢印コネクタ 32">
          <a:extLst>
            <a:ext uri="{FF2B5EF4-FFF2-40B4-BE49-F238E27FC236}">
              <a16:creationId xmlns:a16="http://schemas.microsoft.com/office/drawing/2014/main" id="{00000000-0008-0000-0300-000021000000}"/>
            </a:ext>
          </a:extLst>
        </xdr:cNvPr>
        <xdr:cNvCxnSpPr>
          <a:cxnSpLocks/>
          <a:stCxn id="208" idx="2"/>
          <a:endCxn id="198" idx="0"/>
        </xdr:cNvCxnSpPr>
      </xdr:nvCxnSpPr>
      <xdr:spPr>
        <a:xfrm>
          <a:off x="908869" y="48235068"/>
          <a:ext cx="6378" cy="31743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136534</xdr:colOff>
      <xdr:row>604</xdr:row>
      <xdr:rowOff>94203</xdr:rowOff>
    </xdr:from>
    <xdr:to>
      <xdr:col>20</xdr:col>
      <xdr:colOff>44174</xdr:colOff>
      <xdr:row>606</xdr:row>
      <xdr:rowOff>23014</xdr:rowOff>
    </xdr:to>
    <xdr:sp macro="" textlink="">
      <xdr:nvSpPr>
        <xdr:cNvPr id="451" name="フローチャート: 端子 26">
          <a:extLst>
            <a:ext uri="{FF2B5EF4-FFF2-40B4-BE49-F238E27FC236}">
              <a16:creationId xmlns:a16="http://schemas.microsoft.com/office/drawing/2014/main" id="{00000000-0008-0000-0300-0000C3010000}"/>
            </a:ext>
          </a:extLst>
        </xdr:cNvPr>
        <xdr:cNvSpPr/>
      </xdr:nvSpPr>
      <xdr:spPr>
        <a:xfrm>
          <a:off x="3928391" y="63748417"/>
          <a:ext cx="705926" cy="27352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15</xdr:col>
      <xdr:colOff>196407</xdr:colOff>
      <xdr:row>613</xdr:row>
      <xdr:rowOff>79860</xdr:rowOff>
    </xdr:from>
    <xdr:to>
      <xdr:col>20</xdr:col>
      <xdr:colOff>177737</xdr:colOff>
      <xdr:row>616</xdr:row>
      <xdr:rowOff>37773</xdr:rowOff>
    </xdr:to>
    <xdr:sp macro="" textlink="">
      <xdr:nvSpPr>
        <xdr:cNvPr id="463" name="フローチャート: 定義済み処理 9">
          <a:extLst>
            <a:ext uri="{FF2B5EF4-FFF2-40B4-BE49-F238E27FC236}">
              <a16:creationId xmlns:a16="http://schemas.microsoft.com/office/drawing/2014/main" id="{00000000-0008-0000-0300-0000CF010000}"/>
            </a:ext>
          </a:extLst>
        </xdr:cNvPr>
        <xdr:cNvSpPr/>
      </xdr:nvSpPr>
      <xdr:spPr>
        <a:xfrm>
          <a:off x="3788693" y="65285289"/>
          <a:ext cx="979187" cy="47498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15</xdr:col>
      <xdr:colOff>161399</xdr:colOff>
      <xdr:row>613</xdr:row>
      <xdr:rowOff>57097</xdr:rowOff>
    </xdr:from>
    <xdr:to>
      <xdr:col>21</xdr:col>
      <xdr:colOff>47585</xdr:colOff>
      <xdr:row>616</xdr:row>
      <xdr:rowOff>79553</xdr:rowOff>
    </xdr:to>
    <xdr:sp macro="" textlink="">
      <xdr:nvSpPr>
        <xdr:cNvPr id="464" name="正方形/長方形 48">
          <a:extLst>
            <a:ext uri="{FF2B5EF4-FFF2-40B4-BE49-F238E27FC236}">
              <a16:creationId xmlns:a16="http://schemas.microsoft.com/office/drawing/2014/main" id="{00000000-0008-0000-0300-0000D0010000}"/>
            </a:ext>
          </a:extLst>
        </xdr:cNvPr>
        <xdr:cNvSpPr/>
      </xdr:nvSpPr>
      <xdr:spPr>
        <a:xfrm>
          <a:off x="3780899" y="33511014"/>
          <a:ext cx="1092686" cy="56220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帳簿への文書</a:t>
          </a:r>
          <a:endParaRPr kumimoji="1" lang="en-US" altLang="ja-JP" sz="900"/>
        </a:p>
        <a:p>
          <a:pPr algn="ctr"/>
          <a:r>
            <a:rPr kumimoji="1" lang="ja-JP" altLang="en-US" sz="900"/>
            <a:t>登録</a:t>
          </a:r>
        </a:p>
      </xdr:txBody>
    </xdr:sp>
    <xdr:clientData/>
  </xdr:twoCellAnchor>
  <xdr:twoCellAnchor>
    <xdr:from>
      <xdr:col>15</xdr:col>
      <xdr:colOff>115022</xdr:colOff>
      <xdr:row>618</xdr:row>
      <xdr:rowOff>109536</xdr:rowOff>
    </xdr:from>
    <xdr:to>
      <xdr:col>21</xdr:col>
      <xdr:colOff>1208</xdr:colOff>
      <xdr:row>621</xdr:row>
      <xdr:rowOff>128817</xdr:rowOff>
    </xdr:to>
    <xdr:grpSp>
      <xdr:nvGrpSpPr>
        <xdr:cNvPr id="470" name="グループ化 8">
          <a:extLst>
            <a:ext uri="{FF2B5EF4-FFF2-40B4-BE49-F238E27FC236}">
              <a16:creationId xmlns:a16="http://schemas.microsoft.com/office/drawing/2014/main" id="{00000000-0008-0000-0300-0000D6010000}"/>
            </a:ext>
          </a:extLst>
        </xdr:cNvPr>
        <xdr:cNvGrpSpPr/>
      </xdr:nvGrpSpPr>
      <xdr:grpSpPr>
        <a:xfrm>
          <a:off x="2829647" y="106227561"/>
          <a:ext cx="972036" cy="533631"/>
          <a:chOff x="1615543" y="2430783"/>
          <a:chExt cx="908902" cy="422628"/>
        </a:xfrm>
      </xdr:grpSpPr>
      <xdr:sp macro="" textlink="">
        <xdr:nvSpPr>
          <xdr:cNvPr id="471" name="フローチャート: 定義済み処理 9">
            <a:extLst>
              <a:ext uri="{FF2B5EF4-FFF2-40B4-BE49-F238E27FC236}">
                <a16:creationId xmlns:a16="http://schemas.microsoft.com/office/drawing/2014/main" id="{00000000-0008-0000-0300-0000D7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72" name="正方形/長方形 48">
            <a:extLst>
              <a:ext uri="{FF2B5EF4-FFF2-40B4-BE49-F238E27FC236}">
                <a16:creationId xmlns:a16="http://schemas.microsoft.com/office/drawing/2014/main" id="{00000000-0008-0000-0300-0000D801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圧縮記帳提案</a:t>
            </a:r>
            <a:endParaRPr kumimoji="1" lang="en-US" altLang="ja-JP" sz="900"/>
          </a:p>
          <a:p>
            <a:pPr algn="ctr"/>
            <a:r>
              <a:rPr kumimoji="1" lang="ja-JP" altLang="en-US" sz="900"/>
              <a:t>の実行</a:t>
            </a:r>
          </a:p>
        </xdr:txBody>
      </xdr:sp>
    </xdr:grpSp>
    <xdr:clientData/>
  </xdr:twoCellAnchor>
  <xdr:twoCellAnchor>
    <xdr:from>
      <xdr:col>20</xdr:col>
      <xdr:colOff>185752</xdr:colOff>
      <xdr:row>620</xdr:row>
      <xdr:rowOff>18382</xdr:rowOff>
    </xdr:from>
    <xdr:to>
      <xdr:col>30</xdr:col>
      <xdr:colOff>175554</xdr:colOff>
      <xdr:row>620</xdr:row>
      <xdr:rowOff>19651</xdr:rowOff>
    </xdr:to>
    <xdr:cxnSp macro="">
      <xdr:nvCxnSpPr>
        <xdr:cNvPr id="473" name="直線矢印コネクタ 472">
          <a:extLst>
            <a:ext uri="{FF2B5EF4-FFF2-40B4-BE49-F238E27FC236}">
              <a16:creationId xmlns:a16="http://schemas.microsoft.com/office/drawing/2014/main" id="{00000000-0008-0000-0300-0000D9010000}"/>
            </a:ext>
          </a:extLst>
        </xdr:cNvPr>
        <xdr:cNvCxnSpPr/>
      </xdr:nvCxnSpPr>
      <xdr:spPr>
        <a:xfrm flipV="1">
          <a:off x="6859025" y="72085109"/>
          <a:ext cx="1952529" cy="126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167183</xdr:colOff>
      <xdr:row>618</xdr:row>
      <xdr:rowOff>94203</xdr:rowOff>
    </xdr:from>
    <xdr:to>
      <xdr:col>34</xdr:col>
      <xdr:colOff>66548</xdr:colOff>
      <xdr:row>622</xdr:row>
      <xdr:rowOff>32287</xdr:rowOff>
    </xdr:to>
    <xdr:grpSp>
      <xdr:nvGrpSpPr>
        <xdr:cNvPr id="910" name="グループ化 473">
          <a:extLst>
            <a:ext uri="{FF2B5EF4-FFF2-40B4-BE49-F238E27FC236}">
              <a16:creationId xmlns:a16="http://schemas.microsoft.com/office/drawing/2014/main" id="{00000000-0008-0000-0300-0000DA010000}"/>
            </a:ext>
          </a:extLst>
        </xdr:cNvPr>
        <xdr:cNvGrpSpPr/>
      </xdr:nvGrpSpPr>
      <xdr:grpSpPr>
        <a:xfrm>
          <a:off x="5596433" y="106212228"/>
          <a:ext cx="623265" cy="623884"/>
          <a:chOff x="7204075" y="2892425"/>
          <a:chExt cx="688975" cy="597682"/>
        </a:xfrm>
      </xdr:grpSpPr>
      <xdr:sp macro="" textlink="">
        <xdr:nvSpPr>
          <xdr:cNvPr id="911" name="フローチャート: 磁気ディスク 474">
            <a:extLst>
              <a:ext uri="{FF2B5EF4-FFF2-40B4-BE49-F238E27FC236}">
                <a16:creationId xmlns:a16="http://schemas.microsoft.com/office/drawing/2014/main" id="{00000000-0008-0000-0300-0000DB0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12" name="正方形/長方形 475">
            <a:extLst>
              <a:ext uri="{FF2B5EF4-FFF2-40B4-BE49-F238E27FC236}">
                <a16:creationId xmlns:a16="http://schemas.microsoft.com/office/drawing/2014/main" id="{00000000-0008-0000-0300-0000DC01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br>
              <a:rPr kumimoji="1" lang="en-US" altLang="ja-JP" sz="900"/>
            </a:br>
            <a:r>
              <a:rPr kumimoji="1" lang="ja-JP" altLang="en-US" sz="900"/>
              <a:t>仕訳帳</a:t>
            </a:r>
          </a:p>
        </xdr:txBody>
      </xdr:sp>
    </xdr:grpSp>
    <xdr:clientData/>
  </xdr:twoCellAnchor>
  <xdr:twoCellAnchor>
    <xdr:from>
      <xdr:col>18</xdr:col>
      <xdr:colOff>90354</xdr:colOff>
      <xdr:row>606</xdr:row>
      <xdr:rowOff>23014</xdr:rowOff>
    </xdr:from>
    <xdr:to>
      <xdr:col>18</xdr:col>
      <xdr:colOff>90759</xdr:colOff>
      <xdr:row>608</xdr:row>
      <xdr:rowOff>31177</xdr:rowOff>
    </xdr:to>
    <xdr:cxnSp macro="">
      <xdr:nvCxnSpPr>
        <xdr:cNvPr id="480" name="直線矢印コネクタ 479">
          <a:extLst>
            <a:ext uri="{FF2B5EF4-FFF2-40B4-BE49-F238E27FC236}">
              <a16:creationId xmlns:a16="http://schemas.microsoft.com/office/drawing/2014/main" id="{00000000-0008-0000-0300-0000E0010000}"/>
            </a:ext>
          </a:extLst>
        </xdr:cNvPr>
        <xdr:cNvCxnSpPr>
          <a:cxnSpLocks/>
          <a:stCxn id="451" idx="2"/>
          <a:endCxn id="54" idx="0"/>
        </xdr:cNvCxnSpPr>
      </xdr:nvCxnSpPr>
      <xdr:spPr>
        <a:xfrm>
          <a:off x="4281354" y="64021943"/>
          <a:ext cx="405" cy="35287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83433</xdr:colOff>
      <xdr:row>616</xdr:row>
      <xdr:rowOff>37773</xdr:rowOff>
    </xdr:from>
    <xdr:to>
      <xdr:col>18</xdr:col>
      <xdr:colOff>86531</xdr:colOff>
      <xdr:row>618</xdr:row>
      <xdr:rowOff>142930</xdr:rowOff>
    </xdr:to>
    <xdr:cxnSp macro="">
      <xdr:nvCxnSpPr>
        <xdr:cNvPr id="481" name="直線矢印コネクタ 480">
          <a:extLst>
            <a:ext uri="{FF2B5EF4-FFF2-40B4-BE49-F238E27FC236}">
              <a16:creationId xmlns:a16="http://schemas.microsoft.com/office/drawing/2014/main" id="{00000000-0008-0000-0300-0000E1010000}"/>
            </a:ext>
          </a:extLst>
        </xdr:cNvPr>
        <xdr:cNvCxnSpPr>
          <a:cxnSpLocks/>
          <a:stCxn id="463" idx="2"/>
          <a:endCxn id="471" idx="0"/>
        </xdr:cNvCxnSpPr>
      </xdr:nvCxnSpPr>
      <xdr:spPr>
        <a:xfrm flipH="1">
          <a:off x="4274433" y="65760273"/>
          <a:ext cx="3098" cy="44987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86531</xdr:colOff>
      <xdr:row>610</xdr:row>
      <xdr:rowOff>169006</xdr:rowOff>
    </xdr:from>
    <xdr:to>
      <xdr:col>18</xdr:col>
      <xdr:colOff>90759</xdr:colOff>
      <xdr:row>613</xdr:row>
      <xdr:rowOff>79860</xdr:rowOff>
    </xdr:to>
    <xdr:cxnSp macro="">
      <xdr:nvCxnSpPr>
        <xdr:cNvPr id="3" name="直線矢印コネクタ 2">
          <a:extLst>
            <a:ext uri="{FF2B5EF4-FFF2-40B4-BE49-F238E27FC236}">
              <a16:creationId xmlns:a16="http://schemas.microsoft.com/office/drawing/2014/main" id="{00000000-0008-0000-0300-000003000000}"/>
            </a:ext>
          </a:extLst>
        </xdr:cNvPr>
        <xdr:cNvCxnSpPr>
          <a:cxnSpLocks/>
          <a:stCxn id="54" idx="2"/>
          <a:endCxn id="463" idx="0"/>
        </xdr:cNvCxnSpPr>
      </xdr:nvCxnSpPr>
      <xdr:spPr>
        <a:xfrm flipH="1">
          <a:off x="4277531" y="64857363"/>
          <a:ext cx="4228" cy="42792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194285</xdr:colOff>
      <xdr:row>608</xdr:row>
      <xdr:rowOff>31177</xdr:rowOff>
    </xdr:from>
    <xdr:to>
      <xdr:col>20</xdr:col>
      <xdr:colOff>181965</xdr:colOff>
      <xdr:row>610</xdr:row>
      <xdr:rowOff>169006</xdr:rowOff>
    </xdr:to>
    <xdr:sp macro="" textlink="">
      <xdr:nvSpPr>
        <xdr:cNvPr id="54" name="フローチャート: 定義済み処理 9">
          <a:extLst>
            <a:ext uri="{FF2B5EF4-FFF2-40B4-BE49-F238E27FC236}">
              <a16:creationId xmlns:a16="http://schemas.microsoft.com/office/drawing/2014/main" id="{00000000-0008-0000-0300-000036000000}"/>
            </a:ext>
          </a:extLst>
        </xdr:cNvPr>
        <xdr:cNvSpPr/>
      </xdr:nvSpPr>
      <xdr:spPr>
        <a:xfrm>
          <a:off x="3786571" y="64374820"/>
          <a:ext cx="985537" cy="48254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15</xdr:col>
      <xdr:colOff>140324</xdr:colOff>
      <xdr:row>608</xdr:row>
      <xdr:rowOff>10719</xdr:rowOff>
    </xdr:from>
    <xdr:to>
      <xdr:col>21</xdr:col>
      <xdr:colOff>55225</xdr:colOff>
      <xdr:row>610</xdr:row>
      <xdr:rowOff>166339</xdr:rowOff>
    </xdr:to>
    <xdr:sp macro="" textlink="">
      <xdr:nvSpPr>
        <xdr:cNvPr id="469" name="正方形/長方形 48">
          <a:extLst>
            <a:ext uri="{FF2B5EF4-FFF2-40B4-BE49-F238E27FC236}">
              <a16:creationId xmlns:a16="http://schemas.microsoft.com/office/drawing/2014/main" id="{00000000-0008-0000-0300-0000D5010000}"/>
            </a:ext>
          </a:extLst>
        </xdr:cNvPr>
        <xdr:cNvSpPr/>
      </xdr:nvSpPr>
      <xdr:spPr>
        <a:xfrm>
          <a:off x="3759824" y="32565052"/>
          <a:ext cx="1121401" cy="5154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en-US" altLang="ja-JP" sz="900" baseline="0"/>
            <a:t> </a:t>
          </a:r>
          <a:r>
            <a:rPr kumimoji="1" lang="ja-JP" altLang="en-US" sz="900"/>
            <a:t>圧縮記帳の文書を登録</a:t>
          </a:r>
        </a:p>
      </xdr:txBody>
    </xdr:sp>
    <xdr:clientData/>
  </xdr:twoCellAnchor>
  <xdr:twoCellAnchor>
    <xdr:from>
      <xdr:col>15</xdr:col>
      <xdr:colOff>105833</xdr:colOff>
      <xdr:row>747</xdr:row>
      <xdr:rowOff>74066</xdr:rowOff>
    </xdr:from>
    <xdr:to>
      <xdr:col>21</xdr:col>
      <xdr:colOff>10582</xdr:colOff>
      <xdr:row>750</xdr:row>
      <xdr:rowOff>0</xdr:rowOff>
    </xdr:to>
    <xdr:grpSp>
      <xdr:nvGrpSpPr>
        <xdr:cNvPr id="488" name="グループ化 487">
          <a:extLst>
            <a:ext uri="{FF2B5EF4-FFF2-40B4-BE49-F238E27FC236}">
              <a16:creationId xmlns:a16="http://schemas.microsoft.com/office/drawing/2014/main" id="{00000000-0008-0000-0300-0000E8010000}"/>
            </a:ext>
          </a:extLst>
        </xdr:cNvPr>
        <xdr:cNvGrpSpPr>
          <a:grpSpLocks noChangeAspect="1"/>
        </xdr:cNvGrpSpPr>
      </xdr:nvGrpSpPr>
      <xdr:grpSpPr>
        <a:xfrm>
          <a:off x="2820458" y="128309141"/>
          <a:ext cx="990599" cy="440284"/>
          <a:chOff x="2791278" y="18528966"/>
          <a:chExt cx="773793" cy="403105"/>
        </a:xfrm>
      </xdr:grpSpPr>
      <xdr:sp macro="" textlink="">
        <xdr:nvSpPr>
          <xdr:cNvPr id="489" name="フローチャート: 書類 488">
            <a:extLst>
              <a:ext uri="{FF2B5EF4-FFF2-40B4-BE49-F238E27FC236}">
                <a16:creationId xmlns:a16="http://schemas.microsoft.com/office/drawing/2014/main" id="{00000000-0008-0000-0300-0000E901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91" name="正方形/長方形 490">
            <a:extLst>
              <a:ext uri="{FF2B5EF4-FFF2-40B4-BE49-F238E27FC236}">
                <a16:creationId xmlns:a16="http://schemas.microsoft.com/office/drawing/2014/main" id="{00000000-0008-0000-0300-0000EB010000}"/>
              </a:ext>
            </a:extLst>
          </xdr:cNvPr>
          <xdr:cNvSpPr/>
        </xdr:nvSpPr>
        <xdr:spPr>
          <a:xfrm>
            <a:off x="2791278" y="18528966"/>
            <a:ext cx="773793" cy="32974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増減台帳</a:t>
            </a:r>
          </a:p>
        </xdr:txBody>
      </xdr:sp>
    </xdr:grpSp>
    <xdr:clientData/>
  </xdr:twoCellAnchor>
  <xdr:twoCellAnchor>
    <xdr:from>
      <xdr:col>15</xdr:col>
      <xdr:colOff>188523</xdr:colOff>
      <xdr:row>715</xdr:row>
      <xdr:rowOff>86599</xdr:rowOff>
    </xdr:from>
    <xdr:to>
      <xdr:col>18</xdr:col>
      <xdr:colOff>58208</xdr:colOff>
      <xdr:row>747</xdr:row>
      <xdr:rowOff>98279</xdr:rowOff>
    </xdr:to>
    <xdr:cxnSp macro="">
      <xdr:nvCxnSpPr>
        <xdr:cNvPr id="499" name="コネクタ: カギ線 498">
          <a:extLst>
            <a:ext uri="{FF2B5EF4-FFF2-40B4-BE49-F238E27FC236}">
              <a16:creationId xmlns:a16="http://schemas.microsoft.com/office/drawing/2014/main" id="{00000000-0008-0000-0300-0000F3010000}"/>
            </a:ext>
          </a:extLst>
        </xdr:cNvPr>
        <xdr:cNvCxnSpPr>
          <a:stCxn id="30" idx="1"/>
          <a:endCxn id="489" idx="0"/>
        </xdr:cNvCxnSpPr>
      </xdr:nvCxnSpPr>
      <xdr:spPr>
        <a:xfrm rot="10800000" flipH="1" flipV="1">
          <a:off x="3808023" y="39117932"/>
          <a:ext cx="472935" cy="5769014"/>
        </a:xfrm>
        <a:prstGeom prst="bentConnector4">
          <a:avLst>
            <a:gd name="adj1" fmla="val -108757"/>
            <a:gd name="adj2" fmla="val 9372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188523</xdr:colOff>
      <xdr:row>707</xdr:row>
      <xdr:rowOff>86598</xdr:rowOff>
    </xdr:from>
    <xdr:to>
      <xdr:col>18</xdr:col>
      <xdr:colOff>58208</xdr:colOff>
      <xdr:row>747</xdr:row>
      <xdr:rowOff>98270</xdr:rowOff>
    </xdr:to>
    <xdr:cxnSp macro="">
      <xdr:nvCxnSpPr>
        <xdr:cNvPr id="87" name="コネクタ: カギ線 86">
          <a:extLst>
            <a:ext uri="{FF2B5EF4-FFF2-40B4-BE49-F238E27FC236}">
              <a16:creationId xmlns:a16="http://schemas.microsoft.com/office/drawing/2014/main" id="{00000000-0008-0000-0300-000057000000}"/>
            </a:ext>
          </a:extLst>
        </xdr:cNvPr>
        <xdr:cNvCxnSpPr>
          <a:stCxn id="19" idx="1"/>
          <a:endCxn id="489" idx="0"/>
        </xdr:cNvCxnSpPr>
      </xdr:nvCxnSpPr>
      <xdr:spPr>
        <a:xfrm rot="10800000" flipH="1" flipV="1">
          <a:off x="3808023" y="37678598"/>
          <a:ext cx="472935" cy="7208339"/>
        </a:xfrm>
        <a:prstGeom prst="bentConnector4">
          <a:avLst>
            <a:gd name="adj1" fmla="val -108756"/>
            <a:gd name="adj2" fmla="val 94976"/>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190151</xdr:colOff>
      <xdr:row>723</xdr:row>
      <xdr:rowOff>87565</xdr:rowOff>
    </xdr:from>
    <xdr:to>
      <xdr:col>18</xdr:col>
      <xdr:colOff>58208</xdr:colOff>
      <xdr:row>747</xdr:row>
      <xdr:rowOff>98271</xdr:rowOff>
    </xdr:to>
    <xdr:cxnSp macro="">
      <xdr:nvCxnSpPr>
        <xdr:cNvPr id="128" name="コネクタ: カギ線 127">
          <a:extLst>
            <a:ext uri="{FF2B5EF4-FFF2-40B4-BE49-F238E27FC236}">
              <a16:creationId xmlns:a16="http://schemas.microsoft.com/office/drawing/2014/main" id="{00000000-0008-0000-0300-000080000000}"/>
            </a:ext>
          </a:extLst>
        </xdr:cNvPr>
        <xdr:cNvCxnSpPr>
          <a:stCxn id="44" idx="1"/>
          <a:endCxn id="489" idx="0"/>
        </xdr:cNvCxnSpPr>
      </xdr:nvCxnSpPr>
      <xdr:spPr>
        <a:xfrm rot="10800000" flipH="1" flipV="1">
          <a:off x="3809651" y="40558232"/>
          <a:ext cx="471307" cy="4328706"/>
        </a:xfrm>
        <a:prstGeom prst="bentConnector4">
          <a:avLst>
            <a:gd name="adj1" fmla="val -109133"/>
            <a:gd name="adj2" fmla="val 91644"/>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189277</xdr:colOff>
      <xdr:row>731</xdr:row>
      <xdr:rowOff>87454</xdr:rowOff>
    </xdr:from>
    <xdr:to>
      <xdr:col>18</xdr:col>
      <xdr:colOff>58209</xdr:colOff>
      <xdr:row>747</xdr:row>
      <xdr:rowOff>98270</xdr:rowOff>
    </xdr:to>
    <xdr:cxnSp macro="">
      <xdr:nvCxnSpPr>
        <xdr:cNvPr id="136" name="コネクタ: カギ線 135">
          <a:extLst>
            <a:ext uri="{FF2B5EF4-FFF2-40B4-BE49-F238E27FC236}">
              <a16:creationId xmlns:a16="http://schemas.microsoft.com/office/drawing/2014/main" id="{00000000-0008-0000-0300-000088000000}"/>
            </a:ext>
          </a:extLst>
        </xdr:cNvPr>
        <xdr:cNvCxnSpPr>
          <a:stCxn id="51" idx="1"/>
          <a:endCxn id="489" idx="0"/>
        </xdr:cNvCxnSpPr>
      </xdr:nvCxnSpPr>
      <xdr:spPr>
        <a:xfrm rot="10800000" flipH="1" flipV="1">
          <a:off x="3808777" y="41997454"/>
          <a:ext cx="472182" cy="2889483"/>
        </a:xfrm>
        <a:prstGeom prst="bentConnector4">
          <a:avLst>
            <a:gd name="adj1" fmla="val -108931"/>
            <a:gd name="adj2" fmla="val 87479"/>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56699</xdr:colOff>
      <xdr:row>744</xdr:row>
      <xdr:rowOff>23492</xdr:rowOff>
    </xdr:from>
    <xdr:to>
      <xdr:col>18</xdr:col>
      <xdr:colOff>58209</xdr:colOff>
      <xdr:row>747</xdr:row>
      <xdr:rowOff>98271</xdr:rowOff>
    </xdr:to>
    <xdr:cxnSp macro="">
      <xdr:nvCxnSpPr>
        <xdr:cNvPr id="150" name="直線矢印コネクタ 149">
          <a:extLst>
            <a:ext uri="{FF2B5EF4-FFF2-40B4-BE49-F238E27FC236}">
              <a16:creationId xmlns:a16="http://schemas.microsoft.com/office/drawing/2014/main" id="{00000000-0008-0000-0300-000096000000}"/>
            </a:ext>
          </a:extLst>
        </xdr:cNvPr>
        <xdr:cNvCxnSpPr>
          <a:stCxn id="60" idx="2"/>
          <a:endCxn id="489" idx="0"/>
        </xdr:cNvCxnSpPr>
      </xdr:nvCxnSpPr>
      <xdr:spPr>
        <a:xfrm>
          <a:off x="4279449" y="44272409"/>
          <a:ext cx="1510" cy="61452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192457</xdr:colOff>
      <xdr:row>614</xdr:row>
      <xdr:rowOff>134584</xdr:rowOff>
    </xdr:from>
    <xdr:to>
      <xdr:col>30</xdr:col>
      <xdr:colOff>175554</xdr:colOff>
      <xdr:row>614</xdr:row>
      <xdr:rowOff>138726</xdr:rowOff>
    </xdr:to>
    <xdr:cxnSp macro="">
      <xdr:nvCxnSpPr>
        <xdr:cNvPr id="115" name="直線矢印コネクタ 114">
          <a:extLst>
            <a:ext uri="{FF2B5EF4-FFF2-40B4-BE49-F238E27FC236}">
              <a16:creationId xmlns:a16="http://schemas.microsoft.com/office/drawing/2014/main" id="{00000000-0008-0000-0300-000073000000}"/>
            </a:ext>
          </a:extLst>
        </xdr:cNvPr>
        <xdr:cNvCxnSpPr>
          <a:cxnSpLocks/>
        </xdr:cNvCxnSpPr>
      </xdr:nvCxnSpPr>
      <xdr:spPr>
        <a:xfrm>
          <a:off x="6865730" y="71162220"/>
          <a:ext cx="1945824" cy="414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160833</xdr:colOff>
      <xdr:row>613</xdr:row>
      <xdr:rowOff>34935</xdr:rowOff>
    </xdr:from>
    <xdr:to>
      <xdr:col>34</xdr:col>
      <xdr:colOff>60198</xdr:colOff>
      <xdr:row>616</xdr:row>
      <xdr:rowOff>152936</xdr:rowOff>
    </xdr:to>
    <xdr:grpSp>
      <xdr:nvGrpSpPr>
        <xdr:cNvPr id="889" name="グループ化 115">
          <a:extLst>
            <a:ext uri="{FF2B5EF4-FFF2-40B4-BE49-F238E27FC236}">
              <a16:creationId xmlns:a16="http://schemas.microsoft.com/office/drawing/2014/main" id="{00000000-0008-0000-0300-000074000000}"/>
            </a:ext>
          </a:extLst>
        </xdr:cNvPr>
        <xdr:cNvGrpSpPr/>
      </xdr:nvGrpSpPr>
      <xdr:grpSpPr>
        <a:xfrm>
          <a:off x="5590083" y="105295710"/>
          <a:ext cx="623265" cy="632351"/>
          <a:chOff x="7204075" y="2892425"/>
          <a:chExt cx="688975" cy="597682"/>
        </a:xfrm>
      </xdr:grpSpPr>
      <xdr:sp macro="" textlink="">
        <xdr:nvSpPr>
          <xdr:cNvPr id="890" name="フローチャート: 磁気ディスク 116">
            <a:extLst>
              <a:ext uri="{FF2B5EF4-FFF2-40B4-BE49-F238E27FC236}">
                <a16:creationId xmlns:a16="http://schemas.microsoft.com/office/drawing/2014/main" id="{00000000-0008-0000-0300-000075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91" name="正方形/長方形 117">
            <a:extLst>
              <a:ext uri="{FF2B5EF4-FFF2-40B4-BE49-F238E27FC236}">
                <a16:creationId xmlns:a16="http://schemas.microsoft.com/office/drawing/2014/main" id="{00000000-0008-0000-0300-000076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p>
        </xdr:txBody>
      </xdr:sp>
    </xdr:grpSp>
    <xdr:clientData/>
  </xdr:twoCellAnchor>
  <xdr:twoCellAnchor>
    <xdr:from>
      <xdr:col>30</xdr:col>
      <xdr:colOff>169301</xdr:colOff>
      <xdr:row>607</xdr:row>
      <xdr:rowOff>162996</xdr:rowOff>
    </xdr:from>
    <xdr:to>
      <xdr:col>34</xdr:col>
      <xdr:colOff>65491</xdr:colOff>
      <xdr:row>611</xdr:row>
      <xdr:rowOff>107431</xdr:rowOff>
    </xdr:to>
    <xdr:grpSp>
      <xdr:nvGrpSpPr>
        <xdr:cNvPr id="878" name="グループ化 130">
          <a:extLst>
            <a:ext uri="{FF2B5EF4-FFF2-40B4-BE49-F238E27FC236}">
              <a16:creationId xmlns:a16="http://schemas.microsoft.com/office/drawing/2014/main" id="{00000000-0008-0000-0300-000083000000}"/>
            </a:ext>
          </a:extLst>
        </xdr:cNvPr>
        <xdr:cNvGrpSpPr/>
      </xdr:nvGrpSpPr>
      <xdr:grpSpPr>
        <a:xfrm>
          <a:off x="5598551" y="104395071"/>
          <a:ext cx="620090" cy="630235"/>
          <a:chOff x="7204075" y="2892425"/>
          <a:chExt cx="688975" cy="597682"/>
        </a:xfrm>
      </xdr:grpSpPr>
      <xdr:sp macro="" textlink="">
        <xdr:nvSpPr>
          <xdr:cNvPr id="879" name="フローチャート: 磁気ディスク 131">
            <a:extLst>
              <a:ext uri="{FF2B5EF4-FFF2-40B4-BE49-F238E27FC236}">
                <a16:creationId xmlns:a16="http://schemas.microsoft.com/office/drawing/2014/main" id="{00000000-0008-0000-0300-000084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80" name="正方形/長方形 132">
            <a:extLst>
              <a:ext uri="{FF2B5EF4-FFF2-40B4-BE49-F238E27FC236}">
                <a16:creationId xmlns:a16="http://schemas.microsoft.com/office/drawing/2014/main" id="{00000000-0008-0000-0300-000085000000}"/>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圧縮記帳の文書</a:t>
            </a:r>
          </a:p>
        </xdr:txBody>
      </xdr:sp>
    </xdr:grpSp>
    <xdr:clientData/>
  </xdr:twoCellAnchor>
  <xdr:twoCellAnchor>
    <xdr:from>
      <xdr:col>24</xdr:col>
      <xdr:colOff>13846</xdr:colOff>
      <xdr:row>652</xdr:row>
      <xdr:rowOff>22329</xdr:rowOff>
    </xdr:from>
    <xdr:to>
      <xdr:col>27</xdr:col>
      <xdr:colOff>139499</xdr:colOff>
      <xdr:row>653</xdr:row>
      <xdr:rowOff>112265</xdr:rowOff>
    </xdr:to>
    <xdr:sp macro="" textlink="">
      <xdr:nvSpPr>
        <xdr:cNvPr id="151" name="フローチャート: 端子 26">
          <a:extLst>
            <a:ext uri="{FF2B5EF4-FFF2-40B4-BE49-F238E27FC236}">
              <a16:creationId xmlns:a16="http://schemas.microsoft.com/office/drawing/2014/main" id="{00000000-0008-0000-0300-000097000000}"/>
            </a:ext>
          </a:extLst>
        </xdr:cNvPr>
        <xdr:cNvSpPr/>
      </xdr:nvSpPr>
      <xdr:spPr>
        <a:xfrm>
          <a:off x="4803560" y="94555686"/>
          <a:ext cx="724368" cy="26229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25</xdr:col>
      <xdr:colOff>176458</xdr:colOff>
      <xdr:row>649</xdr:row>
      <xdr:rowOff>110283</xdr:rowOff>
    </xdr:from>
    <xdr:to>
      <xdr:col>25</xdr:col>
      <xdr:colOff>179052</xdr:colOff>
      <xdr:row>652</xdr:row>
      <xdr:rowOff>19154</xdr:rowOff>
    </xdr:to>
    <xdr:cxnSp macro="">
      <xdr:nvCxnSpPr>
        <xdr:cNvPr id="163" name="直線矢印コネクタ 162">
          <a:extLst>
            <a:ext uri="{FF2B5EF4-FFF2-40B4-BE49-F238E27FC236}">
              <a16:creationId xmlns:a16="http://schemas.microsoft.com/office/drawing/2014/main" id="{00000000-0008-0000-0300-0000A3000000}"/>
            </a:ext>
          </a:extLst>
        </xdr:cNvPr>
        <xdr:cNvCxnSpPr>
          <a:cxnSpLocks/>
          <a:endCxn id="151" idx="0"/>
        </xdr:cNvCxnSpPr>
      </xdr:nvCxnSpPr>
      <xdr:spPr>
        <a:xfrm flipH="1">
          <a:off x="5165744" y="94126569"/>
          <a:ext cx="2594" cy="42594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97631</xdr:colOff>
      <xdr:row>751</xdr:row>
      <xdr:rowOff>168978</xdr:rowOff>
    </xdr:from>
    <xdr:to>
      <xdr:col>20</xdr:col>
      <xdr:colOff>17363</xdr:colOff>
      <xdr:row>753</xdr:row>
      <xdr:rowOff>83494</xdr:rowOff>
    </xdr:to>
    <xdr:sp macro="" textlink="">
      <xdr:nvSpPr>
        <xdr:cNvPr id="167" name="フローチャート: 端子 26">
          <a:extLst>
            <a:ext uri="{FF2B5EF4-FFF2-40B4-BE49-F238E27FC236}">
              <a16:creationId xmlns:a16="http://schemas.microsoft.com/office/drawing/2014/main" id="{00000000-0008-0000-0300-0000A7000000}"/>
            </a:ext>
          </a:extLst>
        </xdr:cNvPr>
        <xdr:cNvSpPr/>
      </xdr:nvSpPr>
      <xdr:spPr>
        <a:xfrm>
          <a:off x="3898106" y="49946628"/>
          <a:ext cx="719832" cy="25741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20</xdr:col>
      <xdr:colOff>144212</xdr:colOff>
      <xdr:row>703</xdr:row>
      <xdr:rowOff>130982</xdr:rowOff>
    </xdr:from>
    <xdr:to>
      <xdr:col>30</xdr:col>
      <xdr:colOff>186390</xdr:colOff>
      <xdr:row>703</xdr:row>
      <xdr:rowOff>132648</xdr:rowOff>
    </xdr:to>
    <xdr:cxnSp macro="">
      <xdr:nvCxnSpPr>
        <xdr:cNvPr id="168" name="直線矢印コネクタ 167">
          <a:extLst>
            <a:ext uri="{FF2B5EF4-FFF2-40B4-BE49-F238E27FC236}">
              <a16:creationId xmlns:a16="http://schemas.microsoft.com/office/drawing/2014/main" id="{00000000-0008-0000-0300-0000A8000000}"/>
            </a:ext>
          </a:extLst>
        </xdr:cNvPr>
        <xdr:cNvCxnSpPr/>
      </xdr:nvCxnSpPr>
      <xdr:spPr>
        <a:xfrm>
          <a:off x="6817485" y="82415437"/>
          <a:ext cx="2004905" cy="16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73142</xdr:colOff>
      <xdr:row>702</xdr:row>
      <xdr:rowOff>7147</xdr:rowOff>
    </xdr:from>
    <xdr:to>
      <xdr:col>34</xdr:col>
      <xdr:colOff>151479</xdr:colOff>
      <xdr:row>705</xdr:row>
      <xdr:rowOff>160474</xdr:rowOff>
    </xdr:to>
    <xdr:grpSp>
      <xdr:nvGrpSpPr>
        <xdr:cNvPr id="857" name="グループ化 170">
          <a:extLst>
            <a:ext uri="{FF2B5EF4-FFF2-40B4-BE49-F238E27FC236}">
              <a16:creationId xmlns:a16="http://schemas.microsoft.com/office/drawing/2014/main" id="{00000000-0008-0000-0300-0000AB000000}"/>
            </a:ext>
          </a:extLst>
        </xdr:cNvPr>
        <xdr:cNvGrpSpPr>
          <a:grpSpLocks noChangeAspect="1"/>
        </xdr:cNvGrpSpPr>
      </xdr:nvGrpSpPr>
      <xdr:grpSpPr>
        <a:xfrm>
          <a:off x="5502392" y="120526972"/>
          <a:ext cx="802237" cy="667677"/>
          <a:chOff x="7102989" y="2892424"/>
          <a:chExt cx="873125" cy="603230"/>
        </a:xfrm>
      </xdr:grpSpPr>
      <xdr:sp macro="" textlink="">
        <xdr:nvSpPr>
          <xdr:cNvPr id="858" name="フローチャート: 磁気ディスク 171">
            <a:extLst>
              <a:ext uri="{FF2B5EF4-FFF2-40B4-BE49-F238E27FC236}">
                <a16:creationId xmlns:a16="http://schemas.microsoft.com/office/drawing/2014/main" id="{00000000-0008-0000-0300-0000AC00000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9" name="正方形/長方形 172">
            <a:extLst>
              <a:ext uri="{FF2B5EF4-FFF2-40B4-BE49-F238E27FC236}">
                <a16:creationId xmlns:a16="http://schemas.microsoft.com/office/drawing/2014/main" id="{00000000-0008-0000-0300-0000AD00000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取得された</a:t>
            </a:r>
            <a:endParaRPr kumimoji="1" lang="en-US" altLang="ja-JP" sz="900"/>
          </a:p>
          <a:p>
            <a:pPr algn="ctr"/>
            <a:r>
              <a:rPr kumimoji="1" lang="ja-JP" altLang="en-US" sz="900"/>
              <a:t>固定資産</a:t>
            </a:r>
          </a:p>
        </xdr:txBody>
      </xdr:sp>
    </xdr:grpSp>
    <xdr:clientData/>
  </xdr:twoCellAnchor>
  <xdr:twoCellAnchor>
    <xdr:from>
      <xdr:col>18</xdr:col>
      <xdr:colOff>55033</xdr:colOff>
      <xdr:row>749</xdr:row>
      <xdr:rowOff>143513</xdr:rowOff>
    </xdr:from>
    <xdr:to>
      <xdr:col>18</xdr:col>
      <xdr:colOff>57497</xdr:colOff>
      <xdr:row>751</xdr:row>
      <xdr:rowOff>168978</xdr:rowOff>
    </xdr:to>
    <xdr:cxnSp macro="">
      <xdr:nvCxnSpPr>
        <xdr:cNvPr id="174" name="直線矢印コネクタ 173">
          <a:extLst>
            <a:ext uri="{FF2B5EF4-FFF2-40B4-BE49-F238E27FC236}">
              <a16:creationId xmlns:a16="http://schemas.microsoft.com/office/drawing/2014/main" id="{00000000-0008-0000-0300-0000AE000000}"/>
            </a:ext>
          </a:extLst>
        </xdr:cNvPr>
        <xdr:cNvCxnSpPr>
          <a:stCxn id="489" idx="2"/>
          <a:endCxn id="167" idx="0"/>
        </xdr:cNvCxnSpPr>
      </xdr:nvCxnSpPr>
      <xdr:spPr>
        <a:xfrm>
          <a:off x="4255558" y="49578263"/>
          <a:ext cx="2464" cy="36836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66792</xdr:colOff>
      <xdr:row>735</xdr:row>
      <xdr:rowOff>171188</xdr:rowOff>
    </xdr:from>
    <xdr:to>
      <xdr:col>34</xdr:col>
      <xdr:colOff>152538</xdr:colOff>
      <xdr:row>739</xdr:row>
      <xdr:rowOff>160473</xdr:rowOff>
    </xdr:to>
    <xdr:grpSp>
      <xdr:nvGrpSpPr>
        <xdr:cNvPr id="898" name="グループ化 192">
          <a:extLst>
            <a:ext uri="{FF2B5EF4-FFF2-40B4-BE49-F238E27FC236}">
              <a16:creationId xmlns:a16="http://schemas.microsoft.com/office/drawing/2014/main" id="{00000000-0008-0000-0300-0000C1000000}"/>
            </a:ext>
          </a:extLst>
        </xdr:cNvPr>
        <xdr:cNvGrpSpPr>
          <a:grpSpLocks noChangeAspect="1"/>
        </xdr:cNvGrpSpPr>
      </xdr:nvGrpSpPr>
      <xdr:grpSpPr>
        <a:xfrm>
          <a:off x="5496042" y="126348863"/>
          <a:ext cx="809646" cy="675085"/>
          <a:chOff x="7102989" y="2892424"/>
          <a:chExt cx="873125" cy="603230"/>
        </a:xfrm>
      </xdr:grpSpPr>
      <xdr:sp macro="" textlink="">
        <xdr:nvSpPr>
          <xdr:cNvPr id="899" name="フローチャート: 磁気ディスク 193">
            <a:extLst>
              <a:ext uri="{FF2B5EF4-FFF2-40B4-BE49-F238E27FC236}">
                <a16:creationId xmlns:a16="http://schemas.microsoft.com/office/drawing/2014/main" id="{00000000-0008-0000-0300-0000C200000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0" name="正方形/長方形 194">
            <a:extLst>
              <a:ext uri="{FF2B5EF4-FFF2-40B4-BE49-F238E27FC236}">
                <a16:creationId xmlns:a16="http://schemas.microsoft.com/office/drawing/2014/main" id="{00000000-0008-0000-0300-0000C300000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伝票</a:t>
            </a:r>
            <a:endParaRPr kumimoji="1" lang="en-US" altLang="ja-JP" sz="900"/>
          </a:p>
          <a:p>
            <a:pPr algn="ctr"/>
            <a:r>
              <a:rPr kumimoji="1" lang="ja-JP" altLang="en-US" sz="900"/>
              <a:t>トランザクション</a:t>
            </a:r>
          </a:p>
        </xdr:txBody>
      </xdr:sp>
    </xdr:grpSp>
    <xdr:clientData/>
  </xdr:twoCellAnchor>
  <xdr:twoCellAnchor>
    <xdr:from>
      <xdr:col>20</xdr:col>
      <xdr:colOff>144212</xdr:colOff>
      <xdr:row>711</xdr:row>
      <xdr:rowOff>130982</xdr:rowOff>
    </xdr:from>
    <xdr:to>
      <xdr:col>30</xdr:col>
      <xdr:colOff>190423</xdr:colOff>
      <xdr:row>711</xdr:row>
      <xdr:rowOff>131591</xdr:rowOff>
    </xdr:to>
    <xdr:cxnSp macro="">
      <xdr:nvCxnSpPr>
        <xdr:cNvPr id="196" name="直線矢印コネクタ 195">
          <a:extLst>
            <a:ext uri="{FF2B5EF4-FFF2-40B4-BE49-F238E27FC236}">
              <a16:creationId xmlns:a16="http://schemas.microsoft.com/office/drawing/2014/main" id="{00000000-0008-0000-0300-0000C4000000}"/>
            </a:ext>
          </a:extLst>
        </xdr:cNvPr>
        <xdr:cNvCxnSpPr/>
      </xdr:nvCxnSpPr>
      <xdr:spPr>
        <a:xfrm>
          <a:off x="6817485" y="83800891"/>
          <a:ext cx="2008938" cy="60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76317</xdr:colOff>
      <xdr:row>710</xdr:row>
      <xdr:rowOff>1854</xdr:rowOff>
    </xdr:from>
    <xdr:to>
      <xdr:col>34</xdr:col>
      <xdr:colOff>162063</xdr:colOff>
      <xdr:row>713</xdr:row>
      <xdr:rowOff>164706</xdr:rowOff>
    </xdr:to>
    <xdr:grpSp>
      <xdr:nvGrpSpPr>
        <xdr:cNvPr id="894" name="グループ化 196">
          <a:extLst>
            <a:ext uri="{FF2B5EF4-FFF2-40B4-BE49-F238E27FC236}">
              <a16:creationId xmlns:a16="http://schemas.microsoft.com/office/drawing/2014/main" id="{00000000-0008-0000-0300-0000C5000000}"/>
            </a:ext>
          </a:extLst>
        </xdr:cNvPr>
        <xdr:cNvGrpSpPr>
          <a:grpSpLocks noChangeAspect="1"/>
        </xdr:cNvGrpSpPr>
      </xdr:nvGrpSpPr>
      <xdr:grpSpPr>
        <a:xfrm>
          <a:off x="5505567" y="121893279"/>
          <a:ext cx="809646" cy="677202"/>
          <a:chOff x="7102989" y="2892424"/>
          <a:chExt cx="873125" cy="603230"/>
        </a:xfrm>
      </xdr:grpSpPr>
      <xdr:sp macro="" textlink="">
        <xdr:nvSpPr>
          <xdr:cNvPr id="895" name="フローチャート: 磁気ディスク 198">
            <a:extLst>
              <a:ext uri="{FF2B5EF4-FFF2-40B4-BE49-F238E27FC236}">
                <a16:creationId xmlns:a16="http://schemas.microsoft.com/office/drawing/2014/main" id="{00000000-0008-0000-0300-0000C700000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96" name="正方形/長方形 202">
            <a:extLst>
              <a:ext uri="{FF2B5EF4-FFF2-40B4-BE49-F238E27FC236}">
                <a16:creationId xmlns:a16="http://schemas.microsoft.com/office/drawing/2014/main" id="{00000000-0008-0000-0300-0000CB00000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の移動</a:t>
            </a:r>
          </a:p>
        </xdr:txBody>
      </xdr:sp>
    </xdr:grpSp>
    <xdr:clientData/>
  </xdr:twoCellAnchor>
  <xdr:twoCellAnchor>
    <xdr:from>
      <xdr:col>20</xdr:col>
      <xdr:colOff>144212</xdr:colOff>
      <xdr:row>719</xdr:row>
      <xdr:rowOff>130982</xdr:rowOff>
    </xdr:from>
    <xdr:to>
      <xdr:col>30</xdr:col>
      <xdr:colOff>192453</xdr:colOff>
      <xdr:row>719</xdr:row>
      <xdr:rowOff>134762</xdr:rowOff>
    </xdr:to>
    <xdr:cxnSp macro="">
      <xdr:nvCxnSpPr>
        <xdr:cNvPr id="204" name="直線矢印コネクタ 203">
          <a:extLst>
            <a:ext uri="{FF2B5EF4-FFF2-40B4-BE49-F238E27FC236}">
              <a16:creationId xmlns:a16="http://schemas.microsoft.com/office/drawing/2014/main" id="{00000000-0008-0000-0300-0000CC000000}"/>
            </a:ext>
          </a:extLst>
        </xdr:cNvPr>
        <xdr:cNvCxnSpPr/>
      </xdr:nvCxnSpPr>
      <xdr:spPr>
        <a:xfrm>
          <a:off x="6817485" y="85186346"/>
          <a:ext cx="2010968" cy="378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85728</xdr:colOff>
      <xdr:row>718</xdr:row>
      <xdr:rowOff>12437</xdr:rowOff>
    </xdr:from>
    <xdr:to>
      <xdr:col>34</xdr:col>
      <xdr:colOff>197779</xdr:colOff>
      <xdr:row>721</xdr:row>
      <xdr:rowOff>168939</xdr:rowOff>
    </xdr:to>
    <xdr:grpSp>
      <xdr:nvGrpSpPr>
        <xdr:cNvPr id="867" name="グループ化 204">
          <a:extLst>
            <a:ext uri="{FF2B5EF4-FFF2-40B4-BE49-F238E27FC236}">
              <a16:creationId xmlns:a16="http://schemas.microsoft.com/office/drawing/2014/main" id="{00000000-0008-0000-0300-0000CD000000}"/>
            </a:ext>
          </a:extLst>
        </xdr:cNvPr>
        <xdr:cNvGrpSpPr>
          <a:grpSpLocks noChangeAspect="1"/>
        </xdr:cNvGrpSpPr>
      </xdr:nvGrpSpPr>
      <xdr:grpSpPr>
        <a:xfrm>
          <a:off x="5514978" y="123275462"/>
          <a:ext cx="816901" cy="670852"/>
          <a:chOff x="7109750" y="2892424"/>
          <a:chExt cx="906582" cy="611918"/>
        </a:xfrm>
      </xdr:grpSpPr>
      <xdr:sp macro="" textlink="">
        <xdr:nvSpPr>
          <xdr:cNvPr id="868" name="フローチャート: 磁気ディスク 205">
            <a:extLst>
              <a:ext uri="{FF2B5EF4-FFF2-40B4-BE49-F238E27FC236}">
                <a16:creationId xmlns:a16="http://schemas.microsoft.com/office/drawing/2014/main" id="{00000000-0008-0000-0300-0000CE00000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9" name="正方形/長方形 213">
            <a:extLst>
              <a:ext uri="{FF2B5EF4-FFF2-40B4-BE49-F238E27FC236}">
                <a16:creationId xmlns:a16="http://schemas.microsoft.com/office/drawing/2014/main" id="{00000000-0008-0000-0300-0000D6000000}"/>
              </a:ext>
            </a:extLst>
          </xdr:cNvPr>
          <xdr:cNvSpPr/>
        </xdr:nvSpPr>
        <xdr:spPr>
          <a:xfrm>
            <a:off x="7109750" y="2998735"/>
            <a:ext cx="90658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の処分</a:t>
            </a:r>
          </a:p>
        </xdr:txBody>
      </xdr:sp>
    </xdr:grpSp>
    <xdr:clientData/>
  </xdr:twoCellAnchor>
  <xdr:twoCellAnchor>
    <xdr:from>
      <xdr:col>20</xdr:col>
      <xdr:colOff>144212</xdr:colOff>
      <xdr:row>727</xdr:row>
      <xdr:rowOff>127478</xdr:rowOff>
    </xdr:from>
    <xdr:to>
      <xdr:col>30</xdr:col>
      <xdr:colOff>181588</xdr:colOff>
      <xdr:row>727</xdr:row>
      <xdr:rowOff>130982</xdr:rowOff>
    </xdr:to>
    <xdr:cxnSp macro="">
      <xdr:nvCxnSpPr>
        <xdr:cNvPr id="215" name="直線矢印コネクタ 214">
          <a:extLst>
            <a:ext uri="{FF2B5EF4-FFF2-40B4-BE49-F238E27FC236}">
              <a16:creationId xmlns:a16="http://schemas.microsoft.com/office/drawing/2014/main" id="{00000000-0008-0000-0300-0000D7000000}"/>
            </a:ext>
          </a:extLst>
        </xdr:cNvPr>
        <xdr:cNvCxnSpPr/>
      </xdr:nvCxnSpPr>
      <xdr:spPr>
        <a:xfrm flipV="1">
          <a:off x="6817485" y="86568296"/>
          <a:ext cx="2000103" cy="35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67850</xdr:colOff>
      <xdr:row>725</xdr:row>
      <xdr:rowOff>170133</xdr:rowOff>
    </xdr:from>
    <xdr:to>
      <xdr:col>34</xdr:col>
      <xdr:colOff>150421</xdr:colOff>
      <xdr:row>729</xdr:row>
      <xdr:rowOff>159418</xdr:rowOff>
    </xdr:to>
    <xdr:grpSp>
      <xdr:nvGrpSpPr>
        <xdr:cNvPr id="851" name="グループ化 225">
          <a:extLst>
            <a:ext uri="{FF2B5EF4-FFF2-40B4-BE49-F238E27FC236}">
              <a16:creationId xmlns:a16="http://schemas.microsoft.com/office/drawing/2014/main" id="{00000000-0008-0000-0300-0000E2000000}"/>
            </a:ext>
          </a:extLst>
        </xdr:cNvPr>
        <xdr:cNvGrpSpPr>
          <a:grpSpLocks noChangeAspect="1"/>
        </xdr:cNvGrpSpPr>
      </xdr:nvGrpSpPr>
      <xdr:grpSpPr>
        <a:xfrm>
          <a:off x="5497100" y="124633308"/>
          <a:ext cx="806471" cy="675085"/>
          <a:chOff x="7102989" y="2892424"/>
          <a:chExt cx="873125" cy="603230"/>
        </a:xfrm>
      </xdr:grpSpPr>
      <xdr:sp macro="" textlink="">
        <xdr:nvSpPr>
          <xdr:cNvPr id="852" name="フローチャート: 磁気ディスク 226">
            <a:extLst>
              <a:ext uri="{FF2B5EF4-FFF2-40B4-BE49-F238E27FC236}">
                <a16:creationId xmlns:a16="http://schemas.microsoft.com/office/drawing/2014/main" id="{00000000-0008-0000-0300-0000E300000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3" name="正方形/長方形 229">
            <a:extLst>
              <a:ext uri="{FF2B5EF4-FFF2-40B4-BE49-F238E27FC236}">
                <a16:creationId xmlns:a16="http://schemas.microsoft.com/office/drawing/2014/main" id="{00000000-0008-0000-0300-0000E600000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トランザクション</a:t>
            </a:r>
          </a:p>
        </xdr:txBody>
      </xdr:sp>
    </xdr:grpSp>
    <xdr:clientData/>
  </xdr:twoCellAnchor>
  <xdr:twoCellAnchor>
    <xdr:from>
      <xdr:col>4</xdr:col>
      <xdr:colOff>105553</xdr:colOff>
      <xdr:row>273</xdr:row>
      <xdr:rowOff>148167</xdr:rowOff>
    </xdr:from>
    <xdr:to>
      <xdr:col>10</xdr:col>
      <xdr:colOff>197579</xdr:colOff>
      <xdr:row>275</xdr:row>
      <xdr:rowOff>170382</xdr:rowOff>
    </xdr:to>
    <xdr:grpSp>
      <xdr:nvGrpSpPr>
        <xdr:cNvPr id="265" name="グループ化 264">
          <a:extLst>
            <a:ext uri="{FF2B5EF4-FFF2-40B4-BE49-F238E27FC236}">
              <a16:creationId xmlns:a16="http://schemas.microsoft.com/office/drawing/2014/main" id="{00000000-0008-0000-0300-000009010000}"/>
            </a:ext>
          </a:extLst>
        </xdr:cNvPr>
        <xdr:cNvGrpSpPr>
          <a:grpSpLocks noChangeAspect="1"/>
        </xdr:cNvGrpSpPr>
      </xdr:nvGrpSpPr>
      <xdr:grpSpPr>
        <a:xfrm>
          <a:off x="829453" y="47115942"/>
          <a:ext cx="1158826" cy="365115"/>
          <a:chOff x="2468410" y="18514795"/>
          <a:chExt cx="1417557" cy="417276"/>
        </a:xfrm>
      </xdr:grpSpPr>
      <xdr:sp macro="" textlink="">
        <xdr:nvSpPr>
          <xdr:cNvPr id="268" name="フローチャート: 書類 267">
            <a:extLst>
              <a:ext uri="{FF2B5EF4-FFF2-40B4-BE49-F238E27FC236}">
                <a16:creationId xmlns:a16="http://schemas.microsoft.com/office/drawing/2014/main" id="{00000000-0008-0000-0300-00000C01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69" name="正方形/長方形 268">
            <a:extLst>
              <a:ext uri="{FF2B5EF4-FFF2-40B4-BE49-F238E27FC236}">
                <a16:creationId xmlns:a16="http://schemas.microsoft.com/office/drawing/2014/main" id="{00000000-0008-0000-0300-00000D010000}"/>
              </a:ext>
            </a:extLst>
          </xdr:cNvPr>
          <xdr:cNvSpPr/>
        </xdr:nvSpPr>
        <xdr:spPr>
          <a:xfrm>
            <a:off x="2468410" y="18514795"/>
            <a:ext cx="1417557"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移動伝票</a:t>
            </a:r>
            <a:endParaRPr kumimoji="1" lang="en-US" altLang="ja-JP" sz="900"/>
          </a:p>
        </xdr:txBody>
      </xdr:sp>
    </xdr:grpSp>
    <xdr:clientData/>
  </xdr:twoCellAnchor>
  <xdr:twoCellAnchor>
    <xdr:from>
      <xdr:col>2</xdr:col>
      <xdr:colOff>127184</xdr:colOff>
      <xdr:row>288</xdr:row>
      <xdr:rowOff>94203</xdr:rowOff>
    </xdr:from>
    <xdr:to>
      <xdr:col>6</xdr:col>
      <xdr:colOff>34824</xdr:colOff>
      <xdr:row>290</xdr:row>
      <xdr:rowOff>23014</xdr:rowOff>
    </xdr:to>
    <xdr:sp macro="" textlink="">
      <xdr:nvSpPr>
        <xdr:cNvPr id="270" name="フローチャート: 端子 26">
          <a:extLst>
            <a:ext uri="{FF2B5EF4-FFF2-40B4-BE49-F238E27FC236}">
              <a16:creationId xmlns:a16="http://schemas.microsoft.com/office/drawing/2014/main" id="{00000000-0008-0000-0300-00000E010000}"/>
            </a:ext>
          </a:extLst>
        </xdr:cNvPr>
        <xdr:cNvSpPr/>
      </xdr:nvSpPr>
      <xdr:spPr>
        <a:xfrm>
          <a:off x="3320327" y="50132203"/>
          <a:ext cx="705926" cy="2735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xdr:col>
      <xdr:colOff>1377</xdr:colOff>
      <xdr:row>291</xdr:row>
      <xdr:rowOff>95388</xdr:rowOff>
    </xdr:from>
    <xdr:to>
      <xdr:col>7</xdr:col>
      <xdr:colOff>128234</xdr:colOff>
      <xdr:row>295</xdr:row>
      <xdr:rowOff>87844</xdr:rowOff>
    </xdr:to>
    <xdr:grpSp>
      <xdr:nvGrpSpPr>
        <xdr:cNvPr id="271" name="グループ化 270">
          <a:extLst>
            <a:ext uri="{FF2B5EF4-FFF2-40B4-BE49-F238E27FC236}">
              <a16:creationId xmlns:a16="http://schemas.microsoft.com/office/drawing/2014/main" id="{00000000-0008-0000-0300-00000F010000}"/>
            </a:ext>
          </a:extLst>
        </xdr:cNvPr>
        <xdr:cNvGrpSpPr/>
      </xdr:nvGrpSpPr>
      <xdr:grpSpPr>
        <a:xfrm>
          <a:off x="182352" y="50149263"/>
          <a:ext cx="1212707" cy="678256"/>
          <a:chOff x="1538822" y="2368741"/>
          <a:chExt cx="1083415" cy="562109"/>
        </a:xfrm>
      </xdr:grpSpPr>
      <xdr:sp macro="" textlink="">
        <xdr:nvSpPr>
          <xdr:cNvPr id="272" name="フローチャート: 処理 271">
            <a:extLst>
              <a:ext uri="{FF2B5EF4-FFF2-40B4-BE49-F238E27FC236}">
                <a16:creationId xmlns:a16="http://schemas.microsoft.com/office/drawing/2014/main" id="{00000000-0008-0000-0300-000010010000}"/>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3" name="正方形/長方形 48">
            <a:extLst>
              <a:ext uri="{FF2B5EF4-FFF2-40B4-BE49-F238E27FC236}">
                <a16:creationId xmlns:a16="http://schemas.microsoft.com/office/drawing/2014/main" id="{00000000-0008-0000-0300-000011010000}"/>
              </a:ext>
            </a:extLst>
          </xdr:cNvPr>
          <xdr:cNvSpPr/>
        </xdr:nvSpPr>
        <xdr:spPr>
          <a:xfrm>
            <a:off x="1538822" y="2368741"/>
            <a:ext cx="1083415" cy="56210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en-US" altLang="ja-JP" sz="900" baseline="0"/>
              <a:t> </a:t>
            </a:r>
            <a:r>
              <a:rPr kumimoji="1" lang="ja-JP" altLang="en-US" sz="900">
                <a:solidFill>
                  <a:schemeClr val="dk1"/>
                </a:solidFill>
                <a:effectLst/>
                <a:latin typeface="+mn-lt"/>
                <a:ea typeface="+mn-ea"/>
                <a:cs typeface="+mn-cs"/>
              </a:rPr>
              <a:t>売却・処分</a:t>
            </a:r>
            <a:r>
              <a:rPr kumimoji="1" lang="ja-JP" altLang="en-US" sz="900"/>
              <a:t>伝票</a:t>
            </a:r>
            <a:endParaRPr kumimoji="1" lang="en-US" altLang="ja-JP" sz="900"/>
          </a:p>
          <a:p>
            <a:pPr algn="ctr"/>
            <a:r>
              <a:rPr kumimoji="1" lang="ja-JP" altLang="en-US" sz="900"/>
              <a:t>の発行</a:t>
            </a:r>
          </a:p>
        </xdr:txBody>
      </xdr:sp>
    </xdr:grpSp>
    <xdr:clientData/>
  </xdr:twoCellAnchor>
  <xdr:twoCellAnchor>
    <xdr:from>
      <xdr:col>4</xdr:col>
      <xdr:colOff>78592</xdr:colOff>
      <xdr:row>290</xdr:row>
      <xdr:rowOff>26189</xdr:rowOff>
    </xdr:from>
    <xdr:to>
      <xdr:col>4</xdr:col>
      <xdr:colOff>78592</xdr:colOff>
      <xdr:row>292</xdr:row>
      <xdr:rowOff>30526</xdr:rowOff>
    </xdr:to>
    <xdr:cxnSp macro="">
      <xdr:nvCxnSpPr>
        <xdr:cNvPr id="282" name="直線矢印コネクタ 281">
          <a:extLst>
            <a:ext uri="{FF2B5EF4-FFF2-40B4-BE49-F238E27FC236}">
              <a16:creationId xmlns:a16="http://schemas.microsoft.com/office/drawing/2014/main" id="{00000000-0008-0000-0300-00001A010000}"/>
            </a:ext>
          </a:extLst>
        </xdr:cNvPr>
        <xdr:cNvCxnSpPr>
          <a:stCxn id="270" idx="2"/>
          <a:endCxn id="272" idx="0"/>
        </xdr:cNvCxnSpPr>
      </xdr:nvCxnSpPr>
      <xdr:spPr>
        <a:xfrm flipH="1">
          <a:off x="3670878" y="50408903"/>
          <a:ext cx="0" cy="34905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23363</xdr:colOff>
      <xdr:row>293</xdr:row>
      <xdr:rowOff>118342</xdr:rowOff>
    </xdr:from>
    <xdr:to>
      <xdr:col>10</xdr:col>
      <xdr:colOff>112089</xdr:colOff>
      <xdr:row>295</xdr:row>
      <xdr:rowOff>146907</xdr:rowOff>
    </xdr:to>
    <xdr:grpSp>
      <xdr:nvGrpSpPr>
        <xdr:cNvPr id="285" name="グループ化 284">
          <a:extLst>
            <a:ext uri="{FF2B5EF4-FFF2-40B4-BE49-F238E27FC236}">
              <a16:creationId xmlns:a16="http://schemas.microsoft.com/office/drawing/2014/main" id="{00000000-0008-0000-0300-00001D010000}"/>
            </a:ext>
          </a:extLst>
        </xdr:cNvPr>
        <xdr:cNvGrpSpPr>
          <a:grpSpLocks noChangeAspect="1"/>
        </xdr:cNvGrpSpPr>
      </xdr:nvGrpSpPr>
      <xdr:grpSpPr>
        <a:xfrm>
          <a:off x="747263" y="50515117"/>
          <a:ext cx="1174576" cy="371465"/>
          <a:chOff x="2468410" y="18514795"/>
          <a:chExt cx="1417557" cy="417276"/>
        </a:xfrm>
      </xdr:grpSpPr>
      <xdr:sp macro="" textlink="">
        <xdr:nvSpPr>
          <xdr:cNvPr id="286" name="フローチャート: 書類 285">
            <a:extLst>
              <a:ext uri="{FF2B5EF4-FFF2-40B4-BE49-F238E27FC236}">
                <a16:creationId xmlns:a16="http://schemas.microsoft.com/office/drawing/2014/main" id="{00000000-0008-0000-0300-00001E010000}"/>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87" name="正方形/長方形 286">
            <a:extLst>
              <a:ext uri="{FF2B5EF4-FFF2-40B4-BE49-F238E27FC236}">
                <a16:creationId xmlns:a16="http://schemas.microsoft.com/office/drawing/2014/main" id="{00000000-0008-0000-0300-00001F010000}"/>
              </a:ext>
            </a:extLst>
          </xdr:cNvPr>
          <xdr:cNvSpPr/>
        </xdr:nvSpPr>
        <xdr:spPr>
          <a:xfrm>
            <a:off x="2468410" y="18514795"/>
            <a:ext cx="1417557"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売却・処分伝票</a:t>
            </a:r>
            <a:endParaRPr kumimoji="1" lang="en-US" altLang="ja-JP" sz="900"/>
          </a:p>
        </xdr:txBody>
      </xdr:sp>
    </xdr:grpSp>
    <xdr:clientData/>
  </xdr:twoCellAnchor>
  <xdr:twoCellAnchor>
    <xdr:from>
      <xdr:col>4</xdr:col>
      <xdr:colOff>79224</xdr:colOff>
      <xdr:row>294</xdr:row>
      <xdr:rowOff>140408</xdr:rowOff>
    </xdr:from>
    <xdr:to>
      <xdr:col>4</xdr:col>
      <xdr:colOff>81108</xdr:colOff>
      <xdr:row>298</xdr:row>
      <xdr:rowOff>9806</xdr:rowOff>
    </xdr:to>
    <xdr:cxnSp macro="">
      <xdr:nvCxnSpPr>
        <xdr:cNvPr id="288" name="コネクタ: カギ線 287">
          <a:extLst>
            <a:ext uri="{FF2B5EF4-FFF2-40B4-BE49-F238E27FC236}">
              <a16:creationId xmlns:a16="http://schemas.microsoft.com/office/drawing/2014/main" id="{00000000-0008-0000-0300-000020010000}"/>
            </a:ext>
          </a:extLst>
        </xdr:cNvPr>
        <xdr:cNvCxnSpPr>
          <a:cxnSpLocks/>
          <a:stCxn id="272" idx="2"/>
          <a:endCxn id="349" idx="0"/>
        </xdr:cNvCxnSpPr>
      </xdr:nvCxnSpPr>
      <xdr:spPr>
        <a:xfrm rot="16200000" flipH="1">
          <a:off x="81967" y="52380022"/>
          <a:ext cx="1592970" cy="188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95259</xdr:colOff>
      <xdr:row>698</xdr:row>
      <xdr:rowOff>94203</xdr:rowOff>
    </xdr:from>
    <xdr:to>
      <xdr:col>20</xdr:col>
      <xdr:colOff>177</xdr:colOff>
      <xdr:row>700</xdr:row>
      <xdr:rowOff>26189</xdr:rowOff>
    </xdr:to>
    <xdr:sp macro="" textlink="">
      <xdr:nvSpPr>
        <xdr:cNvPr id="2" name="フローチャート: 端子 26">
          <a:extLst>
            <a:ext uri="{FF2B5EF4-FFF2-40B4-BE49-F238E27FC236}">
              <a16:creationId xmlns:a16="http://schemas.microsoft.com/office/drawing/2014/main" id="{F9894936-0DCB-46E0-9D05-AC3EC906BB8B}"/>
            </a:ext>
          </a:extLst>
        </xdr:cNvPr>
        <xdr:cNvSpPr/>
      </xdr:nvSpPr>
      <xdr:spPr>
        <a:xfrm>
          <a:off x="3887116" y="75813417"/>
          <a:ext cx="703204" cy="27670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42266</xdr:colOff>
      <xdr:row>700</xdr:row>
      <xdr:rowOff>29364</xdr:rowOff>
    </xdr:from>
    <xdr:to>
      <xdr:col>18</xdr:col>
      <xdr:colOff>49079</xdr:colOff>
      <xdr:row>702</xdr:row>
      <xdr:rowOff>62364</xdr:rowOff>
    </xdr:to>
    <xdr:cxnSp macro="">
      <xdr:nvCxnSpPr>
        <xdr:cNvPr id="4" name="直線矢印コネクタ 3">
          <a:extLst>
            <a:ext uri="{FF2B5EF4-FFF2-40B4-BE49-F238E27FC236}">
              <a16:creationId xmlns:a16="http://schemas.microsoft.com/office/drawing/2014/main" id="{6BAC439E-C3F6-4B6E-B74C-1CB3D8AF5E36}"/>
            </a:ext>
          </a:extLst>
        </xdr:cNvPr>
        <xdr:cNvCxnSpPr>
          <a:stCxn id="2" idx="2"/>
          <a:endCxn id="9" idx="0"/>
        </xdr:cNvCxnSpPr>
      </xdr:nvCxnSpPr>
      <xdr:spPr>
        <a:xfrm flipH="1">
          <a:off x="4233266" y="76093293"/>
          <a:ext cx="6813" cy="37771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163504</xdr:colOff>
      <xdr:row>757</xdr:row>
      <xdr:rowOff>26742</xdr:rowOff>
    </xdr:from>
    <xdr:to>
      <xdr:col>22</xdr:col>
      <xdr:colOff>1426</xdr:colOff>
      <xdr:row>760</xdr:row>
      <xdr:rowOff>57553</xdr:rowOff>
    </xdr:to>
    <xdr:grpSp>
      <xdr:nvGrpSpPr>
        <xdr:cNvPr id="331" name="グループ化 8">
          <a:extLst>
            <a:ext uri="{FF2B5EF4-FFF2-40B4-BE49-F238E27FC236}">
              <a16:creationId xmlns:a16="http://schemas.microsoft.com/office/drawing/2014/main" id="{D3DBFC16-B5BB-42B2-935E-C21D471648A5}"/>
            </a:ext>
          </a:extLst>
        </xdr:cNvPr>
        <xdr:cNvGrpSpPr/>
      </xdr:nvGrpSpPr>
      <xdr:grpSpPr>
        <a:xfrm>
          <a:off x="2697154" y="129976317"/>
          <a:ext cx="1285722" cy="545161"/>
          <a:chOff x="1521550" y="2429606"/>
          <a:chExt cx="1202453" cy="422628"/>
        </a:xfrm>
      </xdr:grpSpPr>
      <xdr:sp macro="" textlink="">
        <xdr:nvSpPr>
          <xdr:cNvPr id="332" name="フローチャート: 定義済み処理 9">
            <a:extLst>
              <a:ext uri="{FF2B5EF4-FFF2-40B4-BE49-F238E27FC236}">
                <a16:creationId xmlns:a16="http://schemas.microsoft.com/office/drawing/2014/main" id="{8A4F345A-8FC5-D639-53BA-648278506F0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33" name="正方形/長方形 48">
            <a:extLst>
              <a:ext uri="{FF2B5EF4-FFF2-40B4-BE49-F238E27FC236}">
                <a16:creationId xmlns:a16="http://schemas.microsoft.com/office/drawing/2014/main" id="{FA1A568E-419A-5193-1E06-BD11E923DB68}"/>
              </a:ext>
            </a:extLst>
          </xdr:cNvPr>
          <xdr:cNvSpPr/>
        </xdr:nvSpPr>
        <xdr:spPr>
          <a:xfrm>
            <a:off x="1521550" y="2429606"/>
            <a:ext cx="1202453"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申告 </a:t>
            </a:r>
            <a:r>
              <a:rPr kumimoji="1" lang="en-US" altLang="ja-JP" sz="900"/>
              <a:t>26: </a:t>
            </a:r>
            <a:r>
              <a:rPr kumimoji="1" lang="ja-JP" altLang="en-US" sz="900"/>
              <a:t>償却資産税の元帳レポート</a:t>
            </a:r>
          </a:p>
        </xdr:txBody>
      </xdr:sp>
    </xdr:grpSp>
    <xdr:clientData/>
  </xdr:twoCellAnchor>
  <xdr:twoCellAnchor>
    <xdr:from>
      <xdr:col>18</xdr:col>
      <xdr:colOff>43238</xdr:colOff>
      <xdr:row>760</xdr:row>
      <xdr:rowOff>28384</xdr:rowOff>
    </xdr:from>
    <xdr:to>
      <xdr:col>18</xdr:col>
      <xdr:colOff>44525</xdr:colOff>
      <xdr:row>762</xdr:row>
      <xdr:rowOff>82967</xdr:rowOff>
    </xdr:to>
    <xdr:cxnSp macro="">
      <xdr:nvCxnSpPr>
        <xdr:cNvPr id="334" name="直線矢印コネクタ 333">
          <a:extLst>
            <a:ext uri="{FF2B5EF4-FFF2-40B4-BE49-F238E27FC236}">
              <a16:creationId xmlns:a16="http://schemas.microsoft.com/office/drawing/2014/main" id="{D8CA4EB0-66A6-4E0F-97D8-5E20695C6618}"/>
            </a:ext>
          </a:extLst>
        </xdr:cNvPr>
        <xdr:cNvCxnSpPr>
          <a:stCxn id="332" idx="2"/>
          <a:endCxn id="336" idx="0"/>
        </xdr:cNvCxnSpPr>
      </xdr:nvCxnSpPr>
      <xdr:spPr>
        <a:xfrm flipH="1">
          <a:off x="4243763" y="86667784"/>
          <a:ext cx="1287" cy="3974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133350</xdr:colOff>
      <xdr:row>762</xdr:row>
      <xdr:rowOff>19431</xdr:rowOff>
    </xdr:from>
    <xdr:to>
      <xdr:col>21</xdr:col>
      <xdr:colOff>171451</xdr:colOff>
      <xdr:row>764</xdr:row>
      <xdr:rowOff>159838</xdr:rowOff>
    </xdr:to>
    <xdr:grpSp>
      <xdr:nvGrpSpPr>
        <xdr:cNvPr id="335" name="グループ化 334">
          <a:extLst>
            <a:ext uri="{FF2B5EF4-FFF2-40B4-BE49-F238E27FC236}">
              <a16:creationId xmlns:a16="http://schemas.microsoft.com/office/drawing/2014/main" id="{353136C3-179F-4625-B784-EB90423C1B29}"/>
            </a:ext>
          </a:extLst>
        </xdr:cNvPr>
        <xdr:cNvGrpSpPr>
          <a:grpSpLocks noChangeAspect="1"/>
        </xdr:cNvGrpSpPr>
      </xdr:nvGrpSpPr>
      <xdr:grpSpPr>
        <a:xfrm>
          <a:off x="2667000" y="130826256"/>
          <a:ext cx="1304926" cy="483307"/>
          <a:chOff x="2366294" y="18472896"/>
          <a:chExt cx="1592199" cy="566261"/>
        </a:xfrm>
      </xdr:grpSpPr>
      <xdr:sp macro="" textlink="">
        <xdr:nvSpPr>
          <xdr:cNvPr id="336" name="フローチャート: 書類 335">
            <a:extLst>
              <a:ext uri="{FF2B5EF4-FFF2-40B4-BE49-F238E27FC236}">
                <a16:creationId xmlns:a16="http://schemas.microsoft.com/office/drawing/2014/main" id="{5EABDD7D-4F4F-3AB5-BE83-3BB8995CBEC3}"/>
              </a:ext>
            </a:extLst>
          </xdr:cNvPr>
          <xdr:cNvSpPr/>
        </xdr:nvSpPr>
        <xdr:spPr>
          <a:xfrm>
            <a:off x="2654238" y="18545176"/>
            <a:ext cx="1008792"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337" name="正方形/長方形 336">
            <a:extLst>
              <a:ext uri="{FF2B5EF4-FFF2-40B4-BE49-F238E27FC236}">
                <a16:creationId xmlns:a16="http://schemas.microsoft.com/office/drawing/2014/main" id="{F800911D-9B66-8889-4C06-F8671C93AAE0}"/>
              </a:ext>
            </a:extLst>
          </xdr:cNvPr>
          <xdr:cNvSpPr/>
        </xdr:nvSpPr>
        <xdr:spPr>
          <a:xfrm>
            <a:off x="2366294" y="18472896"/>
            <a:ext cx="1592199"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償却資産申告書</a:t>
            </a:r>
            <a:endParaRPr kumimoji="1" lang="en-US" altLang="ja-JP" sz="900"/>
          </a:p>
          <a:p>
            <a:pPr algn="ctr"/>
            <a:r>
              <a:rPr kumimoji="1" lang="ja-JP" altLang="en-US" sz="900"/>
              <a:t>（償却資産課税台帳）</a:t>
            </a:r>
          </a:p>
        </xdr:txBody>
      </xdr:sp>
    </xdr:grpSp>
    <xdr:clientData/>
  </xdr:twoCellAnchor>
  <xdr:twoCellAnchor>
    <xdr:from>
      <xdr:col>18</xdr:col>
      <xdr:colOff>42853</xdr:colOff>
      <xdr:row>760</xdr:row>
      <xdr:rowOff>28552</xdr:rowOff>
    </xdr:from>
    <xdr:to>
      <xdr:col>21</xdr:col>
      <xdr:colOff>185819</xdr:colOff>
      <xdr:row>764</xdr:row>
      <xdr:rowOff>117881</xdr:rowOff>
    </xdr:to>
    <xdr:cxnSp macro="">
      <xdr:nvCxnSpPr>
        <xdr:cNvPr id="512" name="コネクタ: カギ線 511">
          <a:extLst>
            <a:ext uri="{FF2B5EF4-FFF2-40B4-BE49-F238E27FC236}">
              <a16:creationId xmlns:a16="http://schemas.microsoft.com/office/drawing/2014/main" id="{36384117-ADCF-4856-8E47-217E380461F1}"/>
            </a:ext>
          </a:extLst>
        </xdr:cNvPr>
        <xdr:cNvCxnSpPr>
          <a:stCxn id="332" idx="2"/>
          <a:endCxn id="495" idx="0"/>
        </xdr:cNvCxnSpPr>
      </xdr:nvCxnSpPr>
      <xdr:spPr>
        <a:xfrm rot="16200000" flipH="1">
          <a:off x="4227334" y="86683996"/>
          <a:ext cx="775129" cy="743041"/>
        </a:xfrm>
        <a:prstGeom prst="bentConnector3">
          <a:avLst>
            <a:gd name="adj1" fmla="val 24195"/>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94456</xdr:colOff>
      <xdr:row>785</xdr:row>
      <xdr:rowOff>153103</xdr:rowOff>
    </xdr:from>
    <xdr:to>
      <xdr:col>20</xdr:col>
      <xdr:colOff>20538</xdr:colOff>
      <xdr:row>787</xdr:row>
      <xdr:rowOff>64444</xdr:rowOff>
    </xdr:to>
    <xdr:sp macro="" textlink="">
      <xdr:nvSpPr>
        <xdr:cNvPr id="515" name="フローチャート: 端子 26">
          <a:extLst>
            <a:ext uri="{FF2B5EF4-FFF2-40B4-BE49-F238E27FC236}">
              <a16:creationId xmlns:a16="http://schemas.microsoft.com/office/drawing/2014/main" id="{3C4692A0-04A6-4380-835F-35C30F13E8F8}"/>
            </a:ext>
          </a:extLst>
        </xdr:cNvPr>
        <xdr:cNvSpPr/>
      </xdr:nvSpPr>
      <xdr:spPr>
        <a:xfrm>
          <a:off x="3894931" y="90392953"/>
          <a:ext cx="726182" cy="2542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20</xdr:col>
      <xdr:colOff>135763</xdr:colOff>
      <xdr:row>758</xdr:row>
      <xdr:rowOff>146213</xdr:rowOff>
    </xdr:from>
    <xdr:to>
      <xdr:col>30</xdr:col>
      <xdr:colOff>181563</xdr:colOff>
      <xdr:row>758</xdr:row>
      <xdr:rowOff>149316</xdr:rowOff>
    </xdr:to>
    <xdr:cxnSp macro="">
      <xdr:nvCxnSpPr>
        <xdr:cNvPr id="516" name="直線矢印コネクタ 515">
          <a:extLst>
            <a:ext uri="{FF2B5EF4-FFF2-40B4-BE49-F238E27FC236}">
              <a16:creationId xmlns:a16="http://schemas.microsoft.com/office/drawing/2014/main" id="{65AC29FD-49C4-44E7-AB83-95B629A7A4FE}"/>
            </a:ext>
          </a:extLst>
        </xdr:cNvPr>
        <xdr:cNvCxnSpPr/>
      </xdr:nvCxnSpPr>
      <xdr:spPr>
        <a:xfrm flipV="1">
          <a:off x="6809036" y="92648395"/>
          <a:ext cx="2008527" cy="31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74955</xdr:colOff>
      <xdr:row>757</xdr:row>
      <xdr:rowOff>799</xdr:rowOff>
    </xdr:from>
    <xdr:to>
      <xdr:col>35</xdr:col>
      <xdr:colOff>0</xdr:colOff>
      <xdr:row>761</xdr:row>
      <xdr:rowOff>99786</xdr:rowOff>
    </xdr:to>
    <xdr:grpSp>
      <xdr:nvGrpSpPr>
        <xdr:cNvPr id="118" name="グループ化 516">
          <a:extLst>
            <a:ext uri="{FF2B5EF4-FFF2-40B4-BE49-F238E27FC236}">
              <a16:creationId xmlns:a16="http://schemas.microsoft.com/office/drawing/2014/main" id="{3C985273-CECE-4FC6-84B5-894D98469715}"/>
            </a:ext>
          </a:extLst>
        </xdr:cNvPr>
        <xdr:cNvGrpSpPr>
          <a:grpSpLocks noChangeAspect="1"/>
        </xdr:cNvGrpSpPr>
      </xdr:nvGrpSpPr>
      <xdr:grpSpPr>
        <a:xfrm>
          <a:off x="5504205" y="129950374"/>
          <a:ext cx="829920" cy="784787"/>
          <a:chOff x="7088583" y="2892424"/>
          <a:chExt cx="880336" cy="712805"/>
        </a:xfrm>
      </xdr:grpSpPr>
      <xdr:sp macro="" textlink="">
        <xdr:nvSpPr>
          <xdr:cNvPr id="123" name="フローチャート: 磁気ディスク 517">
            <a:extLst>
              <a:ext uri="{FF2B5EF4-FFF2-40B4-BE49-F238E27FC236}">
                <a16:creationId xmlns:a16="http://schemas.microsoft.com/office/drawing/2014/main" id="{E8D54763-9358-026E-337C-110EB110BC3B}"/>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2" name="正方形/長方形 518">
            <a:extLst>
              <a:ext uri="{FF2B5EF4-FFF2-40B4-BE49-F238E27FC236}">
                <a16:creationId xmlns:a16="http://schemas.microsoft.com/office/drawing/2014/main" id="{F785FE8F-8AD4-79B6-8844-A1FB0CB9B74B}"/>
              </a:ext>
            </a:extLst>
          </xdr:cNvPr>
          <xdr:cNvSpPr/>
        </xdr:nvSpPr>
        <xdr:spPr>
          <a:xfrm>
            <a:off x="7088583" y="3006047"/>
            <a:ext cx="880336" cy="59918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申告 </a:t>
            </a:r>
            <a:r>
              <a:rPr kumimoji="1" lang="en-US" altLang="ja-JP" sz="900"/>
              <a:t>26: </a:t>
            </a:r>
            <a:r>
              <a:rPr kumimoji="1" lang="ja-JP" altLang="en-US" sz="900"/>
              <a:t>償却資産税の元帳レポート</a:t>
            </a:r>
          </a:p>
        </xdr:txBody>
      </xdr:sp>
    </xdr:grpSp>
    <xdr:clientData/>
  </xdr:twoCellAnchor>
  <xdr:twoCellAnchor>
    <xdr:from>
      <xdr:col>18</xdr:col>
      <xdr:colOff>46517</xdr:colOff>
      <xdr:row>783</xdr:row>
      <xdr:rowOff>32527</xdr:rowOff>
    </xdr:from>
    <xdr:to>
      <xdr:col>18</xdr:col>
      <xdr:colOff>57497</xdr:colOff>
      <xdr:row>785</xdr:row>
      <xdr:rowOff>153103</xdr:rowOff>
    </xdr:to>
    <xdr:cxnSp macro="">
      <xdr:nvCxnSpPr>
        <xdr:cNvPr id="520" name="直線矢印コネクタ 519">
          <a:extLst>
            <a:ext uri="{FF2B5EF4-FFF2-40B4-BE49-F238E27FC236}">
              <a16:creationId xmlns:a16="http://schemas.microsoft.com/office/drawing/2014/main" id="{A301EE4C-D897-4AA0-898A-B0F2DDFC5727}"/>
            </a:ext>
          </a:extLst>
        </xdr:cNvPr>
        <xdr:cNvCxnSpPr>
          <a:stCxn id="676" idx="2"/>
          <a:endCxn id="515" idx="0"/>
        </xdr:cNvCxnSpPr>
      </xdr:nvCxnSpPr>
      <xdr:spPr>
        <a:xfrm>
          <a:off x="4247042" y="89929477"/>
          <a:ext cx="10980" cy="4634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113622</xdr:colOff>
      <xdr:row>487</xdr:row>
      <xdr:rowOff>46089</xdr:rowOff>
    </xdr:from>
    <xdr:to>
      <xdr:col>18</xdr:col>
      <xdr:colOff>124308</xdr:colOff>
      <xdr:row>489</xdr:row>
      <xdr:rowOff>164114</xdr:rowOff>
    </xdr:to>
    <xdr:cxnSp macro="">
      <xdr:nvCxnSpPr>
        <xdr:cNvPr id="557" name="直線矢印コネクタ 556">
          <a:extLst>
            <a:ext uri="{FF2B5EF4-FFF2-40B4-BE49-F238E27FC236}">
              <a16:creationId xmlns:a16="http://schemas.microsoft.com/office/drawing/2014/main" id="{E8BF5916-C3F6-44F9-B2D0-5C91448D9D0D}"/>
            </a:ext>
          </a:extLst>
        </xdr:cNvPr>
        <xdr:cNvCxnSpPr>
          <a:cxnSpLocks/>
          <a:stCxn id="578" idx="2"/>
          <a:endCxn id="634" idx="0"/>
        </xdr:cNvCxnSpPr>
      </xdr:nvCxnSpPr>
      <xdr:spPr>
        <a:xfrm flipH="1">
          <a:off x="3609857" y="71591913"/>
          <a:ext cx="10686" cy="20080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149699</xdr:colOff>
      <xdr:row>484</xdr:row>
      <xdr:rowOff>47921</xdr:rowOff>
    </xdr:from>
    <xdr:to>
      <xdr:col>21</xdr:col>
      <xdr:colOff>49551</xdr:colOff>
      <xdr:row>487</xdr:row>
      <xdr:rowOff>76726</xdr:rowOff>
    </xdr:to>
    <xdr:grpSp>
      <xdr:nvGrpSpPr>
        <xdr:cNvPr id="577" name="グループ化 8">
          <a:extLst>
            <a:ext uri="{FF2B5EF4-FFF2-40B4-BE49-F238E27FC236}">
              <a16:creationId xmlns:a16="http://schemas.microsoft.com/office/drawing/2014/main" id="{C0016561-E977-4D71-AC88-102F669278D9}"/>
            </a:ext>
          </a:extLst>
        </xdr:cNvPr>
        <xdr:cNvGrpSpPr/>
      </xdr:nvGrpSpPr>
      <xdr:grpSpPr>
        <a:xfrm>
          <a:off x="2864324" y="83191646"/>
          <a:ext cx="985702" cy="543155"/>
          <a:chOff x="1615543" y="2430783"/>
          <a:chExt cx="908902" cy="422628"/>
        </a:xfrm>
      </xdr:grpSpPr>
      <xdr:sp macro="" textlink="">
        <xdr:nvSpPr>
          <xdr:cNvPr id="578" name="フローチャート: 定義済み処理 9">
            <a:extLst>
              <a:ext uri="{FF2B5EF4-FFF2-40B4-BE49-F238E27FC236}">
                <a16:creationId xmlns:a16="http://schemas.microsoft.com/office/drawing/2014/main" id="{5E3809C7-822C-4BBD-6600-EF2914DC316B}"/>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79" name="正方形/長方形 48">
            <a:extLst>
              <a:ext uri="{FF2B5EF4-FFF2-40B4-BE49-F238E27FC236}">
                <a16:creationId xmlns:a16="http://schemas.microsoft.com/office/drawing/2014/main" id="{CDD07D2A-391A-57E2-CCEC-F9F4FB48B127}"/>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減損認識テスト</a:t>
            </a:r>
          </a:p>
        </xdr:txBody>
      </xdr:sp>
    </xdr:grpSp>
    <xdr:clientData/>
  </xdr:twoCellAnchor>
  <xdr:twoCellAnchor>
    <xdr:from>
      <xdr:col>21</xdr:col>
      <xdr:colOff>23285</xdr:colOff>
      <xdr:row>485</xdr:row>
      <xdr:rowOff>157642</xdr:rowOff>
    </xdr:from>
    <xdr:to>
      <xdr:col>30</xdr:col>
      <xdr:colOff>147207</xdr:colOff>
      <xdr:row>485</xdr:row>
      <xdr:rowOff>169552</xdr:rowOff>
    </xdr:to>
    <xdr:cxnSp macro="">
      <xdr:nvCxnSpPr>
        <xdr:cNvPr id="594" name="直線矢印コネクタ 593">
          <a:extLst>
            <a:ext uri="{FF2B5EF4-FFF2-40B4-BE49-F238E27FC236}">
              <a16:creationId xmlns:a16="http://schemas.microsoft.com/office/drawing/2014/main" id="{B897B38F-19CC-492A-9B0E-25F1F865CAB2}"/>
            </a:ext>
          </a:extLst>
        </xdr:cNvPr>
        <xdr:cNvCxnSpPr/>
      </xdr:nvCxnSpPr>
      <xdr:spPr>
        <a:xfrm flipV="1">
          <a:off x="6892830" y="59582097"/>
          <a:ext cx="1890377" cy="1191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133426</xdr:colOff>
      <xdr:row>484</xdr:row>
      <xdr:rowOff>25400</xdr:rowOff>
    </xdr:from>
    <xdr:to>
      <xdr:col>35</xdr:col>
      <xdr:colOff>124594</xdr:colOff>
      <xdr:row>487</xdr:row>
      <xdr:rowOff>126597</xdr:rowOff>
    </xdr:to>
    <xdr:grpSp>
      <xdr:nvGrpSpPr>
        <xdr:cNvPr id="901" name="グループ化 4">
          <a:extLst>
            <a:ext uri="{FF2B5EF4-FFF2-40B4-BE49-F238E27FC236}">
              <a16:creationId xmlns:a16="http://schemas.microsoft.com/office/drawing/2014/main" id="{D3369C28-56AE-4354-B09E-E7D470EA6811}"/>
            </a:ext>
          </a:extLst>
        </xdr:cNvPr>
        <xdr:cNvGrpSpPr/>
      </xdr:nvGrpSpPr>
      <xdr:grpSpPr>
        <a:xfrm>
          <a:off x="5381701" y="83169125"/>
          <a:ext cx="1077018" cy="615547"/>
          <a:chOff x="6973664" y="2892425"/>
          <a:chExt cx="1158702" cy="588536"/>
        </a:xfrm>
      </xdr:grpSpPr>
      <xdr:sp macro="" textlink="">
        <xdr:nvSpPr>
          <xdr:cNvPr id="902" name="フローチャート: 磁気ディスク 5">
            <a:extLst>
              <a:ext uri="{FF2B5EF4-FFF2-40B4-BE49-F238E27FC236}">
                <a16:creationId xmlns:a16="http://schemas.microsoft.com/office/drawing/2014/main" id="{43337A52-1536-BA45-4F0D-FD0BC612FA9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3" name="正方形/長方形 6">
            <a:extLst>
              <a:ext uri="{FF2B5EF4-FFF2-40B4-BE49-F238E27FC236}">
                <a16:creationId xmlns:a16="http://schemas.microsoft.com/office/drawing/2014/main" id="{27192D5B-6A29-4810-22C6-3A92FBAF9081}"/>
              </a:ext>
            </a:extLst>
          </xdr:cNvPr>
          <xdr:cNvSpPr/>
        </xdr:nvSpPr>
        <xdr:spPr>
          <a:xfrm>
            <a:off x="6973664" y="2975354"/>
            <a:ext cx="1158702"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減損認識</a:t>
            </a:r>
            <a:endParaRPr kumimoji="1" lang="en-US" altLang="ja-JP" sz="900"/>
          </a:p>
          <a:p>
            <a:pPr algn="ctr"/>
            <a:r>
              <a:rPr kumimoji="1" lang="ja-JP" altLang="en-US" sz="900"/>
              <a:t>テスト</a:t>
            </a:r>
            <a:endParaRPr kumimoji="1" lang="en-US" altLang="ja-JP" sz="900"/>
          </a:p>
        </xdr:txBody>
      </xdr:sp>
    </xdr:grpSp>
    <xdr:clientData/>
  </xdr:twoCellAnchor>
  <xdr:twoCellAnchor>
    <xdr:from>
      <xdr:col>15</xdr:col>
      <xdr:colOff>145510</xdr:colOff>
      <xdr:row>495</xdr:row>
      <xdr:rowOff>131412</xdr:rowOff>
    </xdr:from>
    <xdr:to>
      <xdr:col>21</xdr:col>
      <xdr:colOff>35837</xdr:colOff>
      <xdr:row>498</xdr:row>
      <xdr:rowOff>160218</xdr:rowOff>
    </xdr:to>
    <xdr:grpSp>
      <xdr:nvGrpSpPr>
        <xdr:cNvPr id="600" name="グループ化 8">
          <a:extLst>
            <a:ext uri="{FF2B5EF4-FFF2-40B4-BE49-F238E27FC236}">
              <a16:creationId xmlns:a16="http://schemas.microsoft.com/office/drawing/2014/main" id="{C99EF4E0-1987-4EA1-9B4F-466A549848C2}"/>
            </a:ext>
          </a:extLst>
        </xdr:cNvPr>
        <xdr:cNvGrpSpPr/>
      </xdr:nvGrpSpPr>
      <xdr:grpSpPr>
        <a:xfrm>
          <a:off x="2860135" y="85161087"/>
          <a:ext cx="976177" cy="543156"/>
          <a:chOff x="1615543" y="2430783"/>
          <a:chExt cx="908902" cy="422628"/>
        </a:xfrm>
      </xdr:grpSpPr>
      <xdr:sp macro="" textlink="">
        <xdr:nvSpPr>
          <xdr:cNvPr id="601" name="フローチャート: 定義済み処理 9">
            <a:extLst>
              <a:ext uri="{FF2B5EF4-FFF2-40B4-BE49-F238E27FC236}">
                <a16:creationId xmlns:a16="http://schemas.microsoft.com/office/drawing/2014/main" id="{CDAE2046-C469-F2C0-AB59-D94148BF6477}"/>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02" name="正方形/長方形 48">
            <a:extLst>
              <a:ext uri="{FF2B5EF4-FFF2-40B4-BE49-F238E27FC236}">
                <a16:creationId xmlns:a16="http://schemas.microsoft.com/office/drawing/2014/main" id="{16FA7D03-3F71-01E8-D54D-8C14D117522C}"/>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減損提案</a:t>
            </a:r>
            <a:br>
              <a:rPr kumimoji="1" lang="en-US" altLang="ja-JP" sz="900"/>
            </a:br>
            <a:r>
              <a:rPr kumimoji="1" lang="ja-JP" altLang="en-US" sz="900"/>
              <a:t>の実行</a:t>
            </a:r>
          </a:p>
        </xdr:txBody>
      </xdr:sp>
    </xdr:grpSp>
    <xdr:clientData/>
  </xdr:twoCellAnchor>
  <xdr:twoCellAnchor>
    <xdr:from>
      <xdr:col>21</xdr:col>
      <xdr:colOff>20175</xdr:colOff>
      <xdr:row>497</xdr:row>
      <xdr:rowOff>62133</xdr:rowOff>
    </xdr:from>
    <xdr:to>
      <xdr:col>30</xdr:col>
      <xdr:colOff>182996</xdr:colOff>
      <xdr:row>497</xdr:row>
      <xdr:rowOff>62618</xdr:rowOff>
    </xdr:to>
    <xdr:cxnSp macro="">
      <xdr:nvCxnSpPr>
        <xdr:cNvPr id="603" name="直線矢印コネクタ 602">
          <a:extLst>
            <a:ext uri="{FF2B5EF4-FFF2-40B4-BE49-F238E27FC236}">
              <a16:creationId xmlns:a16="http://schemas.microsoft.com/office/drawing/2014/main" id="{D03255AF-3CD7-47A5-9133-ECAA256EF66E}"/>
            </a:ext>
          </a:extLst>
        </xdr:cNvPr>
        <xdr:cNvCxnSpPr/>
      </xdr:nvCxnSpPr>
      <xdr:spPr>
        <a:xfrm flipV="1">
          <a:off x="6889720" y="63123406"/>
          <a:ext cx="1929276" cy="4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171450</xdr:colOff>
      <xdr:row>495</xdr:row>
      <xdr:rowOff>104669</xdr:rowOff>
    </xdr:from>
    <xdr:to>
      <xdr:col>34</xdr:col>
      <xdr:colOff>57150</xdr:colOff>
      <xdr:row>499</xdr:row>
      <xdr:rowOff>16422</xdr:rowOff>
    </xdr:to>
    <xdr:sp macro="" textlink="">
      <xdr:nvSpPr>
        <xdr:cNvPr id="877" name="フローチャート: 磁気ディスク 603">
          <a:extLst>
            <a:ext uri="{FF2B5EF4-FFF2-40B4-BE49-F238E27FC236}">
              <a16:creationId xmlns:a16="http://schemas.microsoft.com/office/drawing/2014/main" id="{A65E6944-65CB-47F2-AA8D-B922E8510453}"/>
            </a:ext>
          </a:extLst>
        </xdr:cNvPr>
        <xdr:cNvSpPr/>
      </xdr:nvSpPr>
      <xdr:spPr>
        <a:xfrm>
          <a:off x="6772275" y="35137619"/>
          <a:ext cx="685800" cy="597553"/>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30</xdr:col>
      <xdr:colOff>82804</xdr:colOff>
      <xdr:row>496</xdr:row>
      <xdr:rowOff>27807</xdr:rowOff>
    </xdr:from>
    <xdr:to>
      <xdr:col>34</xdr:col>
      <xdr:colOff>152400</xdr:colOff>
      <xdr:row>499</xdr:row>
      <xdr:rowOff>83490</xdr:rowOff>
    </xdr:to>
    <xdr:sp macro="" textlink="">
      <xdr:nvSpPr>
        <xdr:cNvPr id="892" name="正方形/長方形 604">
          <a:extLst>
            <a:ext uri="{FF2B5EF4-FFF2-40B4-BE49-F238E27FC236}">
              <a16:creationId xmlns:a16="http://schemas.microsoft.com/office/drawing/2014/main" id="{A9123CAA-BB4C-42B8-AD33-5593A81DA8D8}"/>
            </a:ext>
          </a:extLst>
        </xdr:cNvPr>
        <xdr:cNvSpPr/>
      </xdr:nvSpPr>
      <xdr:spPr>
        <a:xfrm>
          <a:off x="6683629" y="35232207"/>
          <a:ext cx="869696" cy="5700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p>
      </xdr:txBody>
    </xdr:sp>
    <xdr:clientData/>
  </xdr:twoCellAnchor>
  <xdr:twoCellAnchor>
    <xdr:from>
      <xdr:col>26</xdr:col>
      <xdr:colOff>2374</xdr:colOff>
      <xdr:row>527</xdr:row>
      <xdr:rowOff>103848</xdr:rowOff>
    </xdr:from>
    <xdr:to>
      <xdr:col>26</xdr:col>
      <xdr:colOff>5561</xdr:colOff>
      <xdr:row>534</xdr:row>
      <xdr:rowOff>3418</xdr:rowOff>
    </xdr:to>
    <xdr:cxnSp macro="">
      <xdr:nvCxnSpPr>
        <xdr:cNvPr id="614" name="直線矢印コネクタ 613">
          <a:extLst>
            <a:ext uri="{FF2B5EF4-FFF2-40B4-BE49-F238E27FC236}">
              <a16:creationId xmlns:a16="http://schemas.microsoft.com/office/drawing/2014/main" id="{C4E51CEB-E4A5-4FEC-8D01-8E312E8045C1}"/>
            </a:ext>
          </a:extLst>
        </xdr:cNvPr>
        <xdr:cNvCxnSpPr>
          <a:cxnSpLocks/>
          <a:stCxn id="1328" idx="2"/>
          <a:endCxn id="178" idx="0"/>
        </xdr:cNvCxnSpPr>
      </xdr:nvCxnSpPr>
      <xdr:spPr>
        <a:xfrm flipH="1">
          <a:off x="5052492" y="78522613"/>
          <a:ext cx="3187" cy="110233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142335</xdr:colOff>
      <xdr:row>489</xdr:row>
      <xdr:rowOff>131412</xdr:rowOff>
    </xdr:from>
    <xdr:to>
      <xdr:col>21</xdr:col>
      <xdr:colOff>35837</xdr:colOff>
      <xdr:row>492</xdr:row>
      <xdr:rowOff>163393</xdr:rowOff>
    </xdr:to>
    <xdr:grpSp>
      <xdr:nvGrpSpPr>
        <xdr:cNvPr id="633" name="グループ化 8">
          <a:extLst>
            <a:ext uri="{FF2B5EF4-FFF2-40B4-BE49-F238E27FC236}">
              <a16:creationId xmlns:a16="http://schemas.microsoft.com/office/drawing/2014/main" id="{4CDF782A-38C2-47FA-8D68-8922EFC05683}"/>
            </a:ext>
          </a:extLst>
        </xdr:cNvPr>
        <xdr:cNvGrpSpPr/>
      </xdr:nvGrpSpPr>
      <xdr:grpSpPr>
        <a:xfrm>
          <a:off x="2856960" y="84132387"/>
          <a:ext cx="979352" cy="546331"/>
          <a:chOff x="1615543" y="2430783"/>
          <a:chExt cx="908902" cy="422628"/>
        </a:xfrm>
      </xdr:grpSpPr>
      <xdr:sp macro="" textlink="">
        <xdr:nvSpPr>
          <xdr:cNvPr id="634" name="フローチャート: 定義済み処理 9">
            <a:extLst>
              <a:ext uri="{FF2B5EF4-FFF2-40B4-BE49-F238E27FC236}">
                <a16:creationId xmlns:a16="http://schemas.microsoft.com/office/drawing/2014/main" id="{0FA20E4B-940D-80AC-C1FA-4AD68D606773}"/>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35" name="正方形/長方形 48">
            <a:extLst>
              <a:ext uri="{FF2B5EF4-FFF2-40B4-BE49-F238E27FC236}">
                <a16:creationId xmlns:a16="http://schemas.microsoft.com/office/drawing/2014/main" id="{E1835691-D0CD-C8C2-65CC-4E9392588065}"/>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減損対象の識別</a:t>
            </a:r>
          </a:p>
        </xdr:txBody>
      </xdr:sp>
    </xdr:grpSp>
    <xdr:clientData/>
  </xdr:twoCellAnchor>
  <xdr:twoCellAnchor>
    <xdr:from>
      <xdr:col>21</xdr:col>
      <xdr:colOff>20254</xdr:colOff>
      <xdr:row>491</xdr:row>
      <xdr:rowOff>61026</xdr:rowOff>
    </xdr:from>
    <xdr:to>
      <xdr:col>30</xdr:col>
      <xdr:colOff>182996</xdr:colOff>
      <xdr:row>491</xdr:row>
      <xdr:rowOff>62133</xdr:rowOff>
    </xdr:to>
    <xdr:cxnSp macro="">
      <xdr:nvCxnSpPr>
        <xdr:cNvPr id="636" name="直線矢印コネクタ 635">
          <a:extLst>
            <a:ext uri="{FF2B5EF4-FFF2-40B4-BE49-F238E27FC236}">
              <a16:creationId xmlns:a16="http://schemas.microsoft.com/office/drawing/2014/main" id="{B5224DBB-9737-41A5-8E63-A0D671A7D90A}"/>
            </a:ext>
          </a:extLst>
        </xdr:cNvPr>
        <xdr:cNvCxnSpPr/>
      </xdr:nvCxnSpPr>
      <xdr:spPr>
        <a:xfrm>
          <a:off x="6889799" y="62083208"/>
          <a:ext cx="1929197" cy="110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171450</xdr:colOff>
      <xdr:row>489</xdr:row>
      <xdr:rowOff>104669</xdr:rowOff>
    </xdr:from>
    <xdr:to>
      <xdr:col>34</xdr:col>
      <xdr:colOff>57150</xdr:colOff>
      <xdr:row>493</xdr:row>
      <xdr:rowOff>16422</xdr:rowOff>
    </xdr:to>
    <xdr:sp macro="" textlink="">
      <xdr:nvSpPr>
        <xdr:cNvPr id="893" name="フローチャート: 磁気ディスク 636">
          <a:extLst>
            <a:ext uri="{FF2B5EF4-FFF2-40B4-BE49-F238E27FC236}">
              <a16:creationId xmlns:a16="http://schemas.microsoft.com/office/drawing/2014/main" id="{29AA35A2-76F3-48D0-9E91-D23A8B9EF008}"/>
            </a:ext>
          </a:extLst>
        </xdr:cNvPr>
        <xdr:cNvSpPr/>
      </xdr:nvSpPr>
      <xdr:spPr>
        <a:xfrm>
          <a:off x="6772275" y="35140794"/>
          <a:ext cx="685800" cy="594378"/>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30</xdr:col>
      <xdr:colOff>82804</xdr:colOff>
      <xdr:row>490</xdr:row>
      <xdr:rowOff>27807</xdr:rowOff>
    </xdr:from>
    <xdr:to>
      <xdr:col>34</xdr:col>
      <xdr:colOff>152400</xdr:colOff>
      <xdr:row>493</xdr:row>
      <xdr:rowOff>83490</xdr:rowOff>
    </xdr:to>
    <xdr:sp macro="" textlink="">
      <xdr:nvSpPr>
        <xdr:cNvPr id="897" name="正方形/長方形 637">
          <a:extLst>
            <a:ext uri="{FF2B5EF4-FFF2-40B4-BE49-F238E27FC236}">
              <a16:creationId xmlns:a16="http://schemas.microsoft.com/office/drawing/2014/main" id="{CC42BE3A-56B9-4D3C-ADDD-CBF97F202F06}"/>
            </a:ext>
          </a:extLst>
        </xdr:cNvPr>
        <xdr:cNvSpPr/>
      </xdr:nvSpPr>
      <xdr:spPr>
        <a:xfrm>
          <a:off x="6686804" y="35235382"/>
          <a:ext cx="866521" cy="5700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減損認識</a:t>
          </a:r>
          <a:endParaRPr kumimoji="1" lang="en-US" altLang="ja-JP" sz="900"/>
        </a:p>
        <a:p>
          <a:pPr algn="ctr"/>
          <a:r>
            <a:rPr kumimoji="1" lang="ja-JP" altLang="en-US" sz="900"/>
            <a:t>テスト</a:t>
          </a:r>
        </a:p>
      </xdr:txBody>
    </xdr:sp>
    <xdr:clientData/>
  </xdr:twoCellAnchor>
  <xdr:twoCellAnchor>
    <xdr:from>
      <xdr:col>18</xdr:col>
      <xdr:colOff>114427</xdr:colOff>
      <xdr:row>492</xdr:row>
      <xdr:rowOff>129644</xdr:rowOff>
    </xdr:from>
    <xdr:to>
      <xdr:col>18</xdr:col>
      <xdr:colOff>115941</xdr:colOff>
      <xdr:row>495</xdr:row>
      <xdr:rowOff>164047</xdr:rowOff>
    </xdr:to>
    <xdr:cxnSp macro="">
      <xdr:nvCxnSpPr>
        <xdr:cNvPr id="643" name="直線矢印コネクタ 642">
          <a:extLst>
            <a:ext uri="{FF2B5EF4-FFF2-40B4-BE49-F238E27FC236}">
              <a16:creationId xmlns:a16="http://schemas.microsoft.com/office/drawing/2014/main" id="{4ADA25E0-F7CC-4685-B634-BDFDD7B73A02}"/>
            </a:ext>
          </a:extLst>
        </xdr:cNvPr>
        <xdr:cNvCxnSpPr>
          <a:cxnSpLocks/>
          <a:stCxn id="634" idx="2"/>
          <a:endCxn id="601" idx="0"/>
        </xdr:cNvCxnSpPr>
      </xdr:nvCxnSpPr>
      <xdr:spPr>
        <a:xfrm flipH="1">
          <a:off x="4305427" y="56717215"/>
          <a:ext cx="1514" cy="5514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51726</xdr:colOff>
      <xdr:row>45</xdr:row>
      <xdr:rowOff>109158</xdr:rowOff>
    </xdr:from>
    <xdr:to>
      <xdr:col>6</xdr:col>
      <xdr:colOff>197437</xdr:colOff>
      <xdr:row>48</xdr:row>
      <xdr:rowOff>85464</xdr:rowOff>
    </xdr:to>
    <xdr:sp macro="" textlink="">
      <xdr:nvSpPr>
        <xdr:cNvPr id="1254" name="フローチャート: 定義済み処理 1253">
          <a:extLst>
            <a:ext uri="{FF2B5EF4-FFF2-40B4-BE49-F238E27FC236}">
              <a16:creationId xmlns:a16="http://schemas.microsoft.com/office/drawing/2014/main" id="{BE9452CE-F5B5-4B18-8102-07D5C9CC3438}"/>
            </a:ext>
          </a:extLst>
        </xdr:cNvPr>
        <xdr:cNvSpPr/>
      </xdr:nvSpPr>
      <xdr:spPr>
        <a:xfrm>
          <a:off x="2448851" y="23137433"/>
          <a:ext cx="952161" cy="4970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30</xdr:col>
      <xdr:colOff>195151</xdr:colOff>
      <xdr:row>57</xdr:row>
      <xdr:rowOff>65297</xdr:rowOff>
    </xdr:from>
    <xdr:to>
      <xdr:col>34</xdr:col>
      <xdr:colOff>172362</xdr:colOff>
      <xdr:row>61</xdr:row>
      <xdr:rowOff>473</xdr:rowOff>
    </xdr:to>
    <xdr:grpSp>
      <xdr:nvGrpSpPr>
        <xdr:cNvPr id="1277" name="グループ化 92">
          <a:extLst>
            <a:ext uri="{FF2B5EF4-FFF2-40B4-BE49-F238E27FC236}">
              <a16:creationId xmlns:a16="http://schemas.microsoft.com/office/drawing/2014/main" id="{B23C7EE0-6F65-442D-BD71-1927733D0140}"/>
            </a:ext>
          </a:extLst>
        </xdr:cNvPr>
        <xdr:cNvGrpSpPr/>
      </xdr:nvGrpSpPr>
      <xdr:grpSpPr>
        <a:xfrm>
          <a:off x="5614876" y="9999872"/>
          <a:ext cx="710636" cy="620976"/>
          <a:chOff x="7144737" y="2892425"/>
          <a:chExt cx="763434" cy="597682"/>
        </a:xfrm>
      </xdr:grpSpPr>
      <xdr:sp macro="" textlink="">
        <xdr:nvSpPr>
          <xdr:cNvPr id="1278" name="フローチャート: 磁気ディスク 93">
            <a:extLst>
              <a:ext uri="{FF2B5EF4-FFF2-40B4-BE49-F238E27FC236}">
                <a16:creationId xmlns:a16="http://schemas.microsoft.com/office/drawing/2014/main" id="{425AED6A-5A2D-0114-6993-8E99DB62EDA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79" name="正方形/長方形 94">
            <a:extLst>
              <a:ext uri="{FF2B5EF4-FFF2-40B4-BE49-F238E27FC236}">
                <a16:creationId xmlns:a16="http://schemas.microsoft.com/office/drawing/2014/main" id="{C168969F-DAD8-3120-B852-A012D29401BF}"/>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xdr:col>
      <xdr:colOff>169217</xdr:colOff>
      <xdr:row>11</xdr:row>
      <xdr:rowOff>170609</xdr:rowOff>
    </xdr:from>
    <xdr:to>
      <xdr:col>6</xdr:col>
      <xdr:colOff>77480</xdr:colOff>
      <xdr:row>13</xdr:row>
      <xdr:rowOff>83800</xdr:rowOff>
    </xdr:to>
    <xdr:sp macro="" textlink="">
      <xdr:nvSpPr>
        <xdr:cNvPr id="1293" name="フローチャート: 端子 26">
          <a:extLst>
            <a:ext uri="{FF2B5EF4-FFF2-40B4-BE49-F238E27FC236}">
              <a16:creationId xmlns:a16="http://schemas.microsoft.com/office/drawing/2014/main" id="{C22F25F7-56EF-428C-88AB-CB438D2FC144}"/>
            </a:ext>
          </a:extLst>
        </xdr:cNvPr>
        <xdr:cNvSpPr/>
      </xdr:nvSpPr>
      <xdr:spPr>
        <a:xfrm>
          <a:off x="2569517" y="21830459"/>
          <a:ext cx="708363" cy="25926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xdr:col>
      <xdr:colOff>3059</xdr:colOff>
      <xdr:row>45</xdr:row>
      <xdr:rowOff>107855</xdr:rowOff>
    </xdr:from>
    <xdr:to>
      <xdr:col>7</xdr:col>
      <xdr:colOff>50569</xdr:colOff>
      <xdr:row>48</xdr:row>
      <xdr:rowOff>145511</xdr:rowOff>
    </xdr:to>
    <xdr:sp macro="" textlink="">
      <xdr:nvSpPr>
        <xdr:cNvPr id="1294" name="正方形/長方形 48">
          <a:extLst>
            <a:ext uri="{FF2B5EF4-FFF2-40B4-BE49-F238E27FC236}">
              <a16:creationId xmlns:a16="http://schemas.microsoft.com/office/drawing/2014/main" id="{B00F2A16-1F46-49E2-8FC9-A34E498A9093}"/>
            </a:ext>
          </a:extLst>
        </xdr:cNvPr>
        <xdr:cNvSpPr/>
      </xdr:nvSpPr>
      <xdr:spPr>
        <a:xfrm>
          <a:off x="3196202" y="4471212"/>
          <a:ext cx="1045367" cy="5547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固定資産</a:t>
          </a:r>
          <a:endParaRPr kumimoji="1" lang="en-US" altLang="ja-JP" sz="900"/>
        </a:p>
        <a:p>
          <a:pPr algn="ctr"/>
          <a:r>
            <a:rPr kumimoji="1" lang="ja-JP" altLang="en-US" sz="900"/>
            <a:t>登録</a:t>
          </a:r>
          <a:endParaRPr kumimoji="1" lang="en-US" altLang="ja-JP" sz="900"/>
        </a:p>
      </xdr:txBody>
    </xdr:sp>
    <xdr:clientData/>
  </xdr:twoCellAnchor>
  <xdr:twoCellAnchor>
    <xdr:from>
      <xdr:col>30</xdr:col>
      <xdr:colOff>178012</xdr:colOff>
      <xdr:row>45</xdr:row>
      <xdr:rowOff>105518</xdr:rowOff>
    </xdr:from>
    <xdr:to>
      <xdr:col>34</xdr:col>
      <xdr:colOff>74203</xdr:colOff>
      <xdr:row>49</xdr:row>
      <xdr:rowOff>27844</xdr:rowOff>
    </xdr:to>
    <xdr:grpSp>
      <xdr:nvGrpSpPr>
        <xdr:cNvPr id="1296" name="グループ化 467">
          <a:extLst>
            <a:ext uri="{FF2B5EF4-FFF2-40B4-BE49-F238E27FC236}">
              <a16:creationId xmlns:a16="http://schemas.microsoft.com/office/drawing/2014/main" id="{7D5FDAD3-863B-4F41-A43B-6E76DCCA4073}"/>
            </a:ext>
          </a:extLst>
        </xdr:cNvPr>
        <xdr:cNvGrpSpPr/>
      </xdr:nvGrpSpPr>
      <xdr:grpSpPr>
        <a:xfrm>
          <a:off x="5607262" y="7925543"/>
          <a:ext cx="620091" cy="608126"/>
          <a:chOff x="7204075" y="2892425"/>
          <a:chExt cx="688975" cy="597682"/>
        </a:xfrm>
      </xdr:grpSpPr>
      <xdr:sp macro="" textlink="">
        <xdr:nvSpPr>
          <xdr:cNvPr id="1297" name="フローチャート: 磁気ディスク 476">
            <a:extLst>
              <a:ext uri="{FF2B5EF4-FFF2-40B4-BE49-F238E27FC236}">
                <a16:creationId xmlns:a16="http://schemas.microsoft.com/office/drawing/2014/main" id="{8B2B98C5-AD65-45F9-3277-0EAE9A0FEB9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98" name="正方形/長方形 477">
            <a:extLst>
              <a:ext uri="{FF2B5EF4-FFF2-40B4-BE49-F238E27FC236}">
                <a16:creationId xmlns:a16="http://schemas.microsoft.com/office/drawing/2014/main" id="{88E0C85F-0D62-0592-51FA-96544E7E16D3}"/>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br>
              <a:rPr kumimoji="1" lang="en-US" altLang="ja-JP" sz="900"/>
            </a:br>
            <a:r>
              <a:rPr kumimoji="1" lang="en-US" altLang="ja-JP" sz="900"/>
              <a:t>(</a:t>
            </a:r>
            <a:r>
              <a:rPr kumimoji="1" lang="ja-JP" altLang="en-US" sz="900"/>
              <a:t>マスタ</a:t>
            </a:r>
            <a:r>
              <a:rPr kumimoji="1" lang="en-US" altLang="ja-JP" sz="900"/>
              <a:t>)</a:t>
            </a:r>
            <a:endParaRPr kumimoji="1" lang="ja-JP" altLang="en-US" sz="900"/>
          </a:p>
        </xdr:txBody>
      </xdr:sp>
    </xdr:grpSp>
    <xdr:clientData/>
  </xdr:twoCellAnchor>
  <xdr:twoCellAnchor>
    <xdr:from>
      <xdr:col>4</xdr:col>
      <xdr:colOff>30110</xdr:colOff>
      <xdr:row>48</xdr:row>
      <xdr:rowOff>12622</xdr:rowOff>
    </xdr:from>
    <xdr:to>
      <xdr:col>9</xdr:col>
      <xdr:colOff>111414</xdr:colOff>
      <xdr:row>49</xdr:row>
      <xdr:rowOff>164874</xdr:rowOff>
    </xdr:to>
    <xdr:grpSp>
      <xdr:nvGrpSpPr>
        <xdr:cNvPr id="1301" name="グループ化 1300">
          <a:extLst>
            <a:ext uri="{FF2B5EF4-FFF2-40B4-BE49-F238E27FC236}">
              <a16:creationId xmlns:a16="http://schemas.microsoft.com/office/drawing/2014/main" id="{ABFF40CC-93D4-43E2-BBA2-563DA9F535CA}"/>
            </a:ext>
          </a:extLst>
        </xdr:cNvPr>
        <xdr:cNvGrpSpPr>
          <a:grpSpLocks noChangeAspect="1"/>
        </xdr:cNvGrpSpPr>
      </xdr:nvGrpSpPr>
      <xdr:grpSpPr>
        <a:xfrm>
          <a:off x="754010" y="8346997"/>
          <a:ext cx="986179" cy="323702"/>
          <a:chOff x="2595824" y="18514780"/>
          <a:chExt cx="1182905" cy="417291"/>
        </a:xfrm>
      </xdr:grpSpPr>
      <xdr:sp macro="" textlink="">
        <xdr:nvSpPr>
          <xdr:cNvPr id="1302" name="フローチャート: 書類 1301">
            <a:extLst>
              <a:ext uri="{FF2B5EF4-FFF2-40B4-BE49-F238E27FC236}">
                <a16:creationId xmlns:a16="http://schemas.microsoft.com/office/drawing/2014/main" id="{57A4DF12-AABE-B06E-4BB9-6FD7A4780E9E}"/>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303" name="正方形/長方形 1302">
            <a:extLst>
              <a:ext uri="{FF2B5EF4-FFF2-40B4-BE49-F238E27FC236}">
                <a16:creationId xmlns:a16="http://schemas.microsoft.com/office/drawing/2014/main" id="{1517BCD1-046C-7F6C-F063-26BB43948A51}"/>
              </a:ext>
            </a:extLst>
          </xdr:cNvPr>
          <xdr:cNvSpPr/>
        </xdr:nvSpPr>
        <xdr:spPr>
          <a:xfrm>
            <a:off x="2595824" y="18514780"/>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登録関連資料</a:t>
            </a:r>
            <a:endParaRPr kumimoji="1" lang="en-US" altLang="ja-JP" sz="900"/>
          </a:p>
        </xdr:txBody>
      </xdr:sp>
    </xdr:grpSp>
    <xdr:clientData/>
  </xdr:twoCellAnchor>
  <xdr:twoCellAnchor>
    <xdr:from>
      <xdr:col>16</xdr:col>
      <xdr:colOff>64907</xdr:colOff>
      <xdr:row>52</xdr:row>
      <xdr:rowOff>17321</xdr:rowOff>
    </xdr:from>
    <xdr:to>
      <xdr:col>21</xdr:col>
      <xdr:colOff>56512</xdr:colOff>
      <xdr:row>54</xdr:row>
      <xdr:rowOff>158639</xdr:rowOff>
    </xdr:to>
    <xdr:sp macro="" textlink="">
      <xdr:nvSpPr>
        <xdr:cNvPr id="1309" name="フローチャート: 定義済み処理 9">
          <a:extLst>
            <a:ext uri="{FF2B5EF4-FFF2-40B4-BE49-F238E27FC236}">
              <a16:creationId xmlns:a16="http://schemas.microsoft.com/office/drawing/2014/main" id="{172345E4-44E9-423D-A677-FA35C9345535}"/>
            </a:ext>
          </a:extLst>
        </xdr:cNvPr>
        <xdr:cNvSpPr/>
      </xdr:nvSpPr>
      <xdr:spPr>
        <a:xfrm>
          <a:off x="6052050" y="7310750"/>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33734</xdr:colOff>
      <xdr:row>51</xdr:row>
      <xdr:rowOff>150883</xdr:rowOff>
    </xdr:from>
    <xdr:to>
      <xdr:col>21</xdr:col>
      <xdr:colOff>133158</xdr:colOff>
      <xdr:row>55</xdr:row>
      <xdr:rowOff>7331</xdr:rowOff>
    </xdr:to>
    <xdr:sp macro="" textlink="">
      <xdr:nvSpPr>
        <xdr:cNvPr id="1310" name="正方形/長方形 48">
          <a:extLst>
            <a:ext uri="{FF2B5EF4-FFF2-40B4-BE49-F238E27FC236}">
              <a16:creationId xmlns:a16="http://schemas.microsoft.com/office/drawing/2014/main" id="{2BDF4706-FF66-4BA8-A9E9-4A25FCDC5DB7}"/>
            </a:ext>
          </a:extLst>
        </xdr:cNvPr>
        <xdr:cNvSpPr/>
      </xdr:nvSpPr>
      <xdr:spPr>
        <a:xfrm>
          <a:off x="6020877" y="7271954"/>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取得提案</a:t>
          </a:r>
        </a:p>
      </xdr:txBody>
    </xdr:sp>
    <xdr:clientData/>
  </xdr:twoCellAnchor>
  <xdr:twoCellAnchor>
    <xdr:from>
      <xdr:col>30</xdr:col>
      <xdr:colOff>112162</xdr:colOff>
      <xdr:row>51</xdr:row>
      <xdr:rowOff>130486</xdr:rowOff>
    </xdr:from>
    <xdr:to>
      <xdr:col>35</xdr:col>
      <xdr:colOff>41729</xdr:colOff>
      <xdr:row>55</xdr:row>
      <xdr:rowOff>80737</xdr:rowOff>
    </xdr:to>
    <xdr:grpSp>
      <xdr:nvGrpSpPr>
        <xdr:cNvPr id="1312" name="グループ化 84">
          <a:extLst>
            <a:ext uri="{FF2B5EF4-FFF2-40B4-BE49-F238E27FC236}">
              <a16:creationId xmlns:a16="http://schemas.microsoft.com/office/drawing/2014/main" id="{FB40FFB2-3252-4BC4-A70C-B3A9FC57732D}"/>
            </a:ext>
          </a:extLst>
        </xdr:cNvPr>
        <xdr:cNvGrpSpPr>
          <a:grpSpLocks noChangeAspect="1"/>
        </xdr:cNvGrpSpPr>
      </xdr:nvGrpSpPr>
      <xdr:grpSpPr>
        <a:xfrm>
          <a:off x="5541412" y="8998261"/>
          <a:ext cx="834442" cy="655101"/>
          <a:chOff x="7102989" y="2892424"/>
          <a:chExt cx="873125" cy="570522"/>
        </a:xfrm>
      </xdr:grpSpPr>
      <xdr:sp macro="" textlink="">
        <xdr:nvSpPr>
          <xdr:cNvPr id="1313" name="フローチャート: 磁気ディスク 87">
            <a:extLst>
              <a:ext uri="{FF2B5EF4-FFF2-40B4-BE49-F238E27FC236}">
                <a16:creationId xmlns:a16="http://schemas.microsoft.com/office/drawing/2014/main" id="{003714D6-0DEA-AB07-D458-7993BF8D702E}"/>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14" name="正方形/長方形 96">
            <a:extLst>
              <a:ext uri="{FF2B5EF4-FFF2-40B4-BE49-F238E27FC236}">
                <a16:creationId xmlns:a16="http://schemas.microsoft.com/office/drawing/2014/main" id="{24CDBC59-25DA-6FA6-8F85-E46290121265}"/>
              </a:ext>
            </a:extLst>
          </xdr:cNvPr>
          <xdr:cNvSpPr/>
        </xdr:nvSpPr>
        <xdr:spPr>
          <a:xfrm>
            <a:off x="7102989" y="2990047"/>
            <a:ext cx="873125" cy="4728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取得提案</a:t>
            </a:r>
          </a:p>
        </xdr:txBody>
      </xdr:sp>
    </xdr:grpSp>
    <xdr:clientData/>
  </xdr:twoCellAnchor>
  <xdr:twoCellAnchor>
    <xdr:from>
      <xdr:col>4</xdr:col>
      <xdr:colOff>121381</xdr:colOff>
      <xdr:row>13</xdr:row>
      <xdr:rowOff>86975</xdr:rowOff>
    </xdr:from>
    <xdr:to>
      <xdr:col>4</xdr:col>
      <xdr:colOff>123349</xdr:colOff>
      <xdr:row>15</xdr:row>
      <xdr:rowOff>48662</xdr:rowOff>
    </xdr:to>
    <xdr:cxnSp macro="">
      <xdr:nvCxnSpPr>
        <xdr:cNvPr id="79" name="直線矢印コネクタ 27">
          <a:extLst>
            <a:ext uri="{FF2B5EF4-FFF2-40B4-BE49-F238E27FC236}">
              <a16:creationId xmlns:a16="http://schemas.microsoft.com/office/drawing/2014/main" id="{46804187-C20F-4C96-8154-1A466203458A}"/>
            </a:ext>
          </a:extLst>
        </xdr:cNvPr>
        <xdr:cNvCxnSpPr>
          <a:cxnSpLocks/>
          <a:stCxn id="1293" idx="2"/>
          <a:endCxn id="85" idx="0"/>
        </xdr:cNvCxnSpPr>
      </xdr:nvCxnSpPr>
      <xdr:spPr>
        <a:xfrm flipH="1">
          <a:off x="2921731" y="2201525"/>
          <a:ext cx="1968" cy="30458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7582</xdr:colOff>
      <xdr:row>15</xdr:row>
      <xdr:rowOff>48662</xdr:rowOff>
    </xdr:from>
    <xdr:to>
      <xdr:col>7</xdr:col>
      <xdr:colOff>47184</xdr:colOff>
      <xdr:row>18</xdr:row>
      <xdr:rowOff>56687</xdr:rowOff>
    </xdr:to>
    <xdr:grpSp>
      <xdr:nvGrpSpPr>
        <xdr:cNvPr id="83" name="グループ化 82">
          <a:extLst>
            <a:ext uri="{FF2B5EF4-FFF2-40B4-BE49-F238E27FC236}">
              <a16:creationId xmlns:a16="http://schemas.microsoft.com/office/drawing/2014/main" id="{8C8D0421-9FDE-48EF-8C35-7AFB7C0DC0A3}"/>
            </a:ext>
          </a:extLst>
        </xdr:cNvPr>
        <xdr:cNvGrpSpPr/>
      </xdr:nvGrpSpPr>
      <xdr:grpSpPr>
        <a:xfrm>
          <a:off x="369532" y="2715662"/>
          <a:ext cx="944477" cy="522375"/>
          <a:chOff x="287474" y="4845794"/>
          <a:chExt cx="1021504" cy="505814"/>
        </a:xfrm>
      </xdr:grpSpPr>
      <xdr:sp macro="" textlink="">
        <xdr:nvSpPr>
          <xdr:cNvPr id="85" name="フローチャート: 判断 84">
            <a:extLst>
              <a:ext uri="{FF2B5EF4-FFF2-40B4-BE49-F238E27FC236}">
                <a16:creationId xmlns:a16="http://schemas.microsoft.com/office/drawing/2014/main" id="{D3980088-B393-6177-0BC5-D21C5E35404A}"/>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86" name="正方形/長方形 48">
            <a:extLst>
              <a:ext uri="{FF2B5EF4-FFF2-40B4-BE49-F238E27FC236}">
                <a16:creationId xmlns:a16="http://schemas.microsoft.com/office/drawing/2014/main" id="{432D77A6-D2AE-9D49-A2AF-7D4EB888ADF7}"/>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プロジェクト</a:t>
            </a:r>
            <a:endParaRPr kumimoji="1" lang="en-US" altLang="ja-JP" sz="900"/>
          </a:p>
          <a:p>
            <a:pPr algn="ctr"/>
            <a:r>
              <a:rPr kumimoji="1" lang="ja-JP" altLang="en-US" sz="900"/>
              <a:t>管理対象</a:t>
            </a:r>
          </a:p>
        </xdr:txBody>
      </xdr:sp>
    </xdr:grpSp>
    <xdr:clientData/>
  </xdr:twoCellAnchor>
  <xdr:twoCellAnchor>
    <xdr:from>
      <xdr:col>4</xdr:col>
      <xdr:colOff>102938</xdr:colOff>
      <xdr:row>14</xdr:row>
      <xdr:rowOff>67024</xdr:rowOff>
    </xdr:from>
    <xdr:to>
      <xdr:col>6</xdr:col>
      <xdr:colOff>157304</xdr:colOff>
      <xdr:row>23</xdr:row>
      <xdr:rowOff>112857</xdr:rowOff>
    </xdr:to>
    <xdr:sp macro="" textlink="">
      <xdr:nvSpPr>
        <xdr:cNvPr id="88" name="テキスト ボックス 87">
          <a:extLst>
            <a:ext uri="{FF2B5EF4-FFF2-40B4-BE49-F238E27FC236}">
              <a16:creationId xmlns:a16="http://schemas.microsoft.com/office/drawing/2014/main" id="{45B99A4B-0531-4EB4-B8E2-277DAFD99746}"/>
            </a:ext>
          </a:extLst>
        </xdr:cNvPr>
        <xdr:cNvSpPr txBox="1"/>
      </xdr:nvSpPr>
      <xdr:spPr>
        <a:xfrm>
          <a:off x="3635847" y="2341479"/>
          <a:ext cx="446912" cy="160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xdr:col>
      <xdr:colOff>27700</xdr:colOff>
      <xdr:row>14</xdr:row>
      <xdr:rowOff>144468</xdr:rowOff>
    </xdr:from>
    <xdr:to>
      <xdr:col>3</xdr:col>
      <xdr:colOff>102658</xdr:colOff>
      <xdr:row>16</xdr:row>
      <xdr:rowOff>63500</xdr:rowOff>
    </xdr:to>
    <xdr:sp macro="" textlink="">
      <xdr:nvSpPr>
        <xdr:cNvPr id="90" name="テキスト ボックス 89">
          <a:extLst>
            <a:ext uri="{FF2B5EF4-FFF2-40B4-BE49-F238E27FC236}">
              <a16:creationId xmlns:a16="http://schemas.microsoft.com/office/drawing/2014/main" id="{B50B2283-C0EE-4146-9AE8-A3EDEC06C8BD}"/>
            </a:ext>
          </a:extLst>
        </xdr:cNvPr>
        <xdr:cNvSpPr txBox="1"/>
      </xdr:nvSpPr>
      <xdr:spPr>
        <a:xfrm>
          <a:off x="2227975" y="2430468"/>
          <a:ext cx="475008" cy="26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4</xdr:col>
      <xdr:colOff>124556</xdr:colOff>
      <xdr:row>18</xdr:row>
      <xdr:rowOff>34611</xdr:rowOff>
    </xdr:from>
    <xdr:to>
      <xdr:col>4</xdr:col>
      <xdr:colOff>129871</xdr:colOff>
      <xdr:row>27</xdr:row>
      <xdr:rowOff>163136</xdr:rowOff>
    </xdr:to>
    <xdr:cxnSp macro="">
      <xdr:nvCxnSpPr>
        <xdr:cNvPr id="93" name="直線矢印コネクタ 92">
          <a:extLst>
            <a:ext uri="{FF2B5EF4-FFF2-40B4-BE49-F238E27FC236}">
              <a16:creationId xmlns:a16="http://schemas.microsoft.com/office/drawing/2014/main" id="{AE386932-FA19-4627-83C9-667C7C13F5C5}"/>
            </a:ext>
          </a:extLst>
        </xdr:cNvPr>
        <xdr:cNvCxnSpPr>
          <a:cxnSpLocks/>
          <a:stCxn id="85" idx="2"/>
          <a:endCxn id="94" idx="0"/>
        </xdr:cNvCxnSpPr>
      </xdr:nvCxnSpPr>
      <xdr:spPr>
        <a:xfrm>
          <a:off x="2924906" y="3006411"/>
          <a:ext cx="5315" cy="2999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59132</xdr:colOff>
      <xdr:row>27</xdr:row>
      <xdr:rowOff>159961</xdr:rowOff>
    </xdr:from>
    <xdr:to>
      <xdr:col>6</xdr:col>
      <xdr:colOff>197434</xdr:colOff>
      <xdr:row>30</xdr:row>
      <xdr:rowOff>135208</xdr:rowOff>
    </xdr:to>
    <xdr:sp macro="" textlink="">
      <xdr:nvSpPr>
        <xdr:cNvPr id="94" name="フローチャート: 定義済み処理 93">
          <a:extLst>
            <a:ext uri="{FF2B5EF4-FFF2-40B4-BE49-F238E27FC236}">
              <a16:creationId xmlns:a16="http://schemas.microsoft.com/office/drawing/2014/main" id="{EE09CDB2-FCF8-4449-BB3D-DB34E0D58B09}"/>
            </a:ext>
          </a:extLst>
        </xdr:cNvPr>
        <xdr:cNvSpPr/>
      </xdr:nvSpPr>
      <xdr:spPr>
        <a:xfrm>
          <a:off x="2459432" y="3303211"/>
          <a:ext cx="938402" cy="48959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96190</xdr:colOff>
      <xdr:row>27</xdr:row>
      <xdr:rowOff>112075</xdr:rowOff>
    </xdr:from>
    <xdr:to>
      <xdr:col>7</xdr:col>
      <xdr:colOff>6350</xdr:colOff>
      <xdr:row>30</xdr:row>
      <xdr:rowOff>145497</xdr:rowOff>
    </xdr:to>
    <xdr:sp macro="" textlink="">
      <xdr:nvSpPr>
        <xdr:cNvPr id="95" name="正方形/長方形 48">
          <a:extLst>
            <a:ext uri="{FF2B5EF4-FFF2-40B4-BE49-F238E27FC236}">
              <a16:creationId xmlns:a16="http://schemas.microsoft.com/office/drawing/2014/main" id="{B5F4A12F-458E-42E5-93F0-7D1DEC19647F}"/>
            </a:ext>
          </a:extLst>
        </xdr:cNvPr>
        <xdr:cNvSpPr/>
      </xdr:nvSpPr>
      <xdr:spPr>
        <a:xfrm>
          <a:off x="2496490" y="3255325"/>
          <a:ext cx="910285" cy="54777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財務分析コード値の更新</a:t>
          </a:r>
          <a:endParaRPr kumimoji="1" lang="en-US" altLang="ja-JP" sz="900"/>
        </a:p>
      </xdr:txBody>
    </xdr:sp>
    <xdr:clientData/>
  </xdr:twoCellAnchor>
  <xdr:twoCellAnchor>
    <xdr:from>
      <xdr:col>30</xdr:col>
      <xdr:colOff>181187</xdr:colOff>
      <xdr:row>27</xdr:row>
      <xdr:rowOff>167949</xdr:rowOff>
    </xdr:from>
    <xdr:to>
      <xdr:col>34</xdr:col>
      <xdr:colOff>86903</xdr:colOff>
      <xdr:row>31</xdr:row>
      <xdr:rowOff>81808</xdr:rowOff>
    </xdr:to>
    <xdr:grpSp>
      <xdr:nvGrpSpPr>
        <xdr:cNvPr id="97" name="グループ化 552">
          <a:extLst>
            <a:ext uri="{FF2B5EF4-FFF2-40B4-BE49-F238E27FC236}">
              <a16:creationId xmlns:a16="http://schemas.microsoft.com/office/drawing/2014/main" id="{BF4F2C3B-B266-4476-B847-629B9EDE49C3}"/>
            </a:ext>
          </a:extLst>
        </xdr:cNvPr>
        <xdr:cNvGrpSpPr/>
      </xdr:nvGrpSpPr>
      <xdr:grpSpPr>
        <a:xfrm>
          <a:off x="5610437" y="4892349"/>
          <a:ext cx="629616" cy="599659"/>
          <a:chOff x="7204075" y="2892425"/>
          <a:chExt cx="688975" cy="597682"/>
        </a:xfrm>
      </xdr:grpSpPr>
      <xdr:sp macro="" textlink="">
        <xdr:nvSpPr>
          <xdr:cNvPr id="98" name="フローチャート: 磁気ディスク 553">
            <a:extLst>
              <a:ext uri="{FF2B5EF4-FFF2-40B4-BE49-F238E27FC236}">
                <a16:creationId xmlns:a16="http://schemas.microsoft.com/office/drawing/2014/main" id="{E853D4A1-4492-33E2-0DAA-1C44E3D8B0E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0" name="正方形/長方形 554">
            <a:extLst>
              <a:ext uri="{FF2B5EF4-FFF2-40B4-BE49-F238E27FC236}">
                <a16:creationId xmlns:a16="http://schemas.microsoft.com/office/drawing/2014/main" id="{570AC09B-237F-E90F-6CB5-362631AF5E6C}"/>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指図</a:t>
            </a:r>
            <a:br>
              <a:rPr kumimoji="1" lang="en-US" altLang="ja-JP" sz="900"/>
            </a:br>
            <a:r>
              <a:rPr kumimoji="1" lang="en-US" altLang="ja-JP" sz="900"/>
              <a:t>(</a:t>
            </a:r>
            <a:r>
              <a:rPr kumimoji="1" lang="ja-JP" altLang="en-US" sz="900"/>
              <a:t>マスタ</a:t>
            </a:r>
            <a:r>
              <a:rPr kumimoji="1" lang="en-US" altLang="ja-JP" sz="900"/>
              <a:t>)</a:t>
            </a:r>
            <a:endParaRPr kumimoji="1" lang="ja-JP" altLang="en-US" sz="900"/>
          </a:p>
        </xdr:txBody>
      </xdr:sp>
    </xdr:grpSp>
    <xdr:clientData/>
  </xdr:twoCellAnchor>
  <xdr:twoCellAnchor>
    <xdr:from>
      <xdr:col>6</xdr:col>
      <xdr:colOff>197434</xdr:colOff>
      <xdr:row>29</xdr:row>
      <xdr:rowOff>61407</xdr:rowOff>
    </xdr:from>
    <xdr:to>
      <xdr:col>30</xdr:col>
      <xdr:colOff>181187</xdr:colOff>
      <xdr:row>29</xdr:row>
      <xdr:rowOff>94039</xdr:rowOff>
    </xdr:to>
    <xdr:cxnSp macro="">
      <xdr:nvCxnSpPr>
        <xdr:cNvPr id="101" name="直線矢印コネクタ 100">
          <a:extLst>
            <a:ext uri="{FF2B5EF4-FFF2-40B4-BE49-F238E27FC236}">
              <a16:creationId xmlns:a16="http://schemas.microsoft.com/office/drawing/2014/main" id="{9889986C-02D0-412B-A87A-6046331E80ED}"/>
            </a:ext>
          </a:extLst>
        </xdr:cNvPr>
        <xdr:cNvCxnSpPr>
          <a:stCxn id="94" idx="3"/>
          <a:endCxn id="98" idx="2"/>
        </xdr:cNvCxnSpPr>
      </xdr:nvCxnSpPr>
      <xdr:spPr>
        <a:xfrm>
          <a:off x="4188863" y="3562978"/>
          <a:ext cx="4773467" cy="3263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89669</xdr:colOff>
      <xdr:row>16</xdr:row>
      <xdr:rowOff>127825</xdr:rowOff>
    </xdr:from>
    <xdr:to>
      <xdr:col>4</xdr:col>
      <xdr:colOff>140209</xdr:colOff>
      <xdr:row>34</xdr:row>
      <xdr:rowOff>89354</xdr:rowOff>
    </xdr:to>
    <xdr:cxnSp macro="">
      <xdr:nvCxnSpPr>
        <xdr:cNvPr id="105" name="コネクタ: カギ線 104">
          <a:extLst>
            <a:ext uri="{FF2B5EF4-FFF2-40B4-BE49-F238E27FC236}">
              <a16:creationId xmlns:a16="http://schemas.microsoft.com/office/drawing/2014/main" id="{22335BC0-91C9-479D-92DE-43422D1655CC}"/>
            </a:ext>
          </a:extLst>
        </xdr:cNvPr>
        <xdr:cNvCxnSpPr>
          <a:stCxn id="85" idx="1"/>
          <a:endCxn id="211" idx="0"/>
        </xdr:cNvCxnSpPr>
      </xdr:nvCxnSpPr>
      <xdr:spPr>
        <a:xfrm rot="10800000" flipH="1" flipV="1">
          <a:off x="488812" y="2967182"/>
          <a:ext cx="449683" cy="3063958"/>
        </a:xfrm>
        <a:prstGeom prst="bentConnector4">
          <a:avLst>
            <a:gd name="adj1" fmla="val -50836"/>
            <a:gd name="adj2" fmla="val 8815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104171</xdr:colOff>
      <xdr:row>34</xdr:row>
      <xdr:rowOff>62137</xdr:rowOff>
    </xdr:from>
    <xdr:to>
      <xdr:col>21</xdr:col>
      <xdr:colOff>49252</xdr:colOff>
      <xdr:row>37</xdr:row>
      <xdr:rowOff>37796</xdr:rowOff>
    </xdr:to>
    <xdr:sp macro="" textlink="">
      <xdr:nvSpPr>
        <xdr:cNvPr id="131" name="フローチャート: 定義済み処理 130">
          <a:extLst>
            <a:ext uri="{FF2B5EF4-FFF2-40B4-BE49-F238E27FC236}">
              <a16:creationId xmlns:a16="http://schemas.microsoft.com/office/drawing/2014/main" id="{83F0CF62-89D0-46D6-9CD5-DFA43E9DE4C7}"/>
            </a:ext>
          </a:extLst>
        </xdr:cNvPr>
        <xdr:cNvSpPr/>
      </xdr:nvSpPr>
      <xdr:spPr>
        <a:xfrm>
          <a:off x="3297314" y="6003923"/>
          <a:ext cx="942938" cy="4927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37</xdr:col>
      <xdr:colOff>178427</xdr:colOff>
      <xdr:row>34</xdr:row>
      <xdr:rowOff>32501</xdr:rowOff>
    </xdr:from>
    <xdr:to>
      <xdr:col>41</xdr:col>
      <xdr:colOff>78195</xdr:colOff>
      <xdr:row>37</xdr:row>
      <xdr:rowOff>74425</xdr:rowOff>
    </xdr:to>
    <xdr:sp macro="" textlink="">
      <xdr:nvSpPr>
        <xdr:cNvPr id="132" name="フローチャート: 磁気ディスク 502">
          <a:extLst>
            <a:ext uri="{FF2B5EF4-FFF2-40B4-BE49-F238E27FC236}">
              <a16:creationId xmlns:a16="http://schemas.microsoft.com/office/drawing/2014/main" id="{5FA00DE6-2162-4F45-957F-E8526821F3C5}"/>
            </a:ext>
          </a:extLst>
        </xdr:cNvPr>
        <xdr:cNvSpPr/>
      </xdr:nvSpPr>
      <xdr:spPr>
        <a:xfrm>
          <a:off x="7562570" y="5974287"/>
          <a:ext cx="698054" cy="55899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37</xdr:col>
      <xdr:colOff>121670</xdr:colOff>
      <xdr:row>34</xdr:row>
      <xdr:rowOff>119846</xdr:rowOff>
    </xdr:from>
    <xdr:to>
      <xdr:col>41</xdr:col>
      <xdr:colOff>123035</xdr:colOff>
      <xdr:row>37</xdr:row>
      <xdr:rowOff>120832</xdr:rowOff>
    </xdr:to>
    <xdr:sp macro="" textlink="">
      <xdr:nvSpPr>
        <xdr:cNvPr id="133" name="正方形/長方形 503">
          <a:extLst>
            <a:ext uri="{FF2B5EF4-FFF2-40B4-BE49-F238E27FC236}">
              <a16:creationId xmlns:a16="http://schemas.microsoft.com/office/drawing/2014/main" id="{5FBAB387-3A79-4C0B-A6BF-42BD7B397FEB}"/>
            </a:ext>
          </a:extLst>
        </xdr:cNvPr>
        <xdr:cNvSpPr/>
      </xdr:nvSpPr>
      <xdr:spPr>
        <a:xfrm>
          <a:off x="7505813" y="6061632"/>
          <a:ext cx="799651" cy="51805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楽々精算</a:t>
          </a:r>
          <a:endParaRPr kumimoji="1" lang="en-US" altLang="ja-JP" sz="900"/>
        </a:p>
      </xdr:txBody>
    </xdr:sp>
    <xdr:clientData/>
  </xdr:twoCellAnchor>
  <xdr:twoCellAnchor>
    <xdr:from>
      <xdr:col>34</xdr:col>
      <xdr:colOff>123892</xdr:colOff>
      <xdr:row>37</xdr:row>
      <xdr:rowOff>74425</xdr:rowOff>
    </xdr:from>
    <xdr:to>
      <xdr:col>39</xdr:col>
      <xdr:colOff>129899</xdr:colOff>
      <xdr:row>41</xdr:row>
      <xdr:rowOff>164194</xdr:rowOff>
    </xdr:to>
    <xdr:cxnSp macro="">
      <xdr:nvCxnSpPr>
        <xdr:cNvPr id="146" name="コネクタ: カギ線 779">
          <a:extLst>
            <a:ext uri="{FF2B5EF4-FFF2-40B4-BE49-F238E27FC236}">
              <a16:creationId xmlns:a16="http://schemas.microsoft.com/office/drawing/2014/main" id="{011B35DE-35F0-4EC2-8BFA-EA9FE6D158C1}"/>
            </a:ext>
          </a:extLst>
        </xdr:cNvPr>
        <xdr:cNvCxnSpPr>
          <a:stCxn id="132" idx="3"/>
          <a:endCxn id="147" idx="4"/>
        </xdr:cNvCxnSpPr>
      </xdr:nvCxnSpPr>
      <xdr:spPr>
        <a:xfrm rot="5400000">
          <a:off x="7108099" y="6268336"/>
          <a:ext cx="762122" cy="1014536"/>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37253</xdr:colOff>
      <xdr:row>40</xdr:row>
      <xdr:rowOff>58055</xdr:rowOff>
    </xdr:from>
    <xdr:to>
      <xdr:col>34</xdr:col>
      <xdr:colOff>127067</xdr:colOff>
      <xdr:row>43</xdr:row>
      <xdr:rowOff>99071</xdr:rowOff>
    </xdr:to>
    <xdr:sp macro="" textlink="">
      <xdr:nvSpPr>
        <xdr:cNvPr id="147" name="フローチャート: 磁気ディスク 502">
          <a:extLst>
            <a:ext uri="{FF2B5EF4-FFF2-40B4-BE49-F238E27FC236}">
              <a16:creationId xmlns:a16="http://schemas.microsoft.com/office/drawing/2014/main" id="{378BABA8-8B8E-4A27-ADAD-7F55257590E9}"/>
            </a:ext>
          </a:extLst>
        </xdr:cNvPr>
        <xdr:cNvSpPr/>
      </xdr:nvSpPr>
      <xdr:spPr>
        <a:xfrm>
          <a:off x="6223967" y="7033984"/>
          <a:ext cx="688529" cy="55808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30</xdr:col>
      <xdr:colOff>176892</xdr:colOff>
      <xdr:row>40</xdr:row>
      <xdr:rowOff>144493</xdr:rowOff>
    </xdr:from>
    <xdr:to>
      <xdr:col>34</xdr:col>
      <xdr:colOff>178257</xdr:colOff>
      <xdr:row>43</xdr:row>
      <xdr:rowOff>145480</xdr:rowOff>
    </xdr:to>
    <xdr:sp macro="" textlink="">
      <xdr:nvSpPr>
        <xdr:cNvPr id="155" name="正方形/長方形 503">
          <a:extLst>
            <a:ext uri="{FF2B5EF4-FFF2-40B4-BE49-F238E27FC236}">
              <a16:creationId xmlns:a16="http://schemas.microsoft.com/office/drawing/2014/main" id="{7E53DB02-F522-442B-B65A-9C450A5CF343}"/>
            </a:ext>
          </a:extLst>
        </xdr:cNvPr>
        <xdr:cNvSpPr/>
      </xdr:nvSpPr>
      <xdr:spPr>
        <a:xfrm>
          <a:off x="6164035" y="7120422"/>
          <a:ext cx="799651" cy="5180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clientData/>
  </xdr:twoCellAnchor>
  <xdr:twoCellAnchor>
    <xdr:from>
      <xdr:col>38</xdr:col>
      <xdr:colOff>174733</xdr:colOff>
      <xdr:row>36</xdr:row>
      <xdr:rowOff>131881</xdr:rowOff>
    </xdr:from>
    <xdr:to>
      <xdr:col>44</xdr:col>
      <xdr:colOff>76761</xdr:colOff>
      <xdr:row>39</xdr:row>
      <xdr:rowOff>134657</xdr:rowOff>
    </xdr:to>
    <xdr:grpSp>
      <xdr:nvGrpSpPr>
        <xdr:cNvPr id="156" name="グループ化 782">
          <a:extLst>
            <a:ext uri="{FF2B5EF4-FFF2-40B4-BE49-F238E27FC236}">
              <a16:creationId xmlns:a16="http://schemas.microsoft.com/office/drawing/2014/main" id="{86DF9E2D-2D0C-4998-8B7E-4E0558C86E82}"/>
            </a:ext>
          </a:extLst>
        </xdr:cNvPr>
        <xdr:cNvGrpSpPr/>
      </xdr:nvGrpSpPr>
      <xdr:grpSpPr>
        <a:xfrm>
          <a:off x="7051783" y="6399331"/>
          <a:ext cx="987878" cy="517126"/>
          <a:chOff x="4401349" y="5661025"/>
          <a:chExt cx="1006217" cy="529847"/>
        </a:xfrm>
      </xdr:grpSpPr>
      <xdr:sp macro="" textlink="">
        <xdr:nvSpPr>
          <xdr:cNvPr id="157" name="AutoShape 49">
            <a:extLst>
              <a:ext uri="{FF2B5EF4-FFF2-40B4-BE49-F238E27FC236}">
                <a16:creationId xmlns:a16="http://schemas.microsoft.com/office/drawing/2014/main" id="{6029DE0E-FD23-835A-E857-D6A3FA7094F1}"/>
              </a:ext>
            </a:extLst>
          </xdr:cNvPr>
          <xdr:cNvSpPr>
            <a:spLocks noChangeArrowheads="1"/>
          </xdr:cNvSpPr>
        </xdr:nvSpPr>
        <xdr:spPr bwMode="gray">
          <a:xfrm>
            <a:off x="4506324"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59" name="正方形/長方形 48">
            <a:extLst>
              <a:ext uri="{FF2B5EF4-FFF2-40B4-BE49-F238E27FC236}">
                <a16:creationId xmlns:a16="http://schemas.microsoft.com/office/drawing/2014/main" id="{229600F9-713E-8B36-1E0B-0F37CA337E0D}"/>
              </a:ext>
            </a:extLst>
          </xdr:cNvPr>
          <xdr:cNvSpPr/>
        </xdr:nvSpPr>
        <xdr:spPr>
          <a:xfrm>
            <a:off x="4401349" y="5661025"/>
            <a:ext cx="1006217" cy="5298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会計伝票</a:t>
            </a:r>
            <a:endParaRPr kumimoji="1" lang="en-US" altLang="ja-JP" sz="900"/>
          </a:p>
          <a:p>
            <a:pPr algn="ctr"/>
            <a:r>
              <a:rPr kumimoji="1" lang="ja-JP" altLang="en-US" sz="900"/>
              <a:t>情報連携</a:t>
            </a:r>
          </a:p>
        </xdr:txBody>
      </xdr:sp>
    </xdr:grpSp>
    <xdr:clientData/>
  </xdr:twoCellAnchor>
  <xdr:twoCellAnchor>
    <xdr:from>
      <xdr:col>15</xdr:col>
      <xdr:colOff>74604</xdr:colOff>
      <xdr:row>823</xdr:row>
      <xdr:rowOff>26743</xdr:rowOff>
    </xdr:from>
    <xdr:to>
      <xdr:col>20</xdr:col>
      <xdr:colOff>162839</xdr:colOff>
      <xdr:row>826</xdr:row>
      <xdr:rowOff>58725</xdr:rowOff>
    </xdr:to>
    <xdr:grpSp>
      <xdr:nvGrpSpPr>
        <xdr:cNvPr id="6" name="グループ化 8">
          <a:extLst>
            <a:ext uri="{FF2B5EF4-FFF2-40B4-BE49-F238E27FC236}">
              <a16:creationId xmlns:a16="http://schemas.microsoft.com/office/drawing/2014/main" id="{99F4ABB2-5465-4377-8CB5-5EEDEDDE3178}"/>
            </a:ext>
          </a:extLst>
        </xdr:cNvPr>
        <xdr:cNvGrpSpPr/>
      </xdr:nvGrpSpPr>
      <xdr:grpSpPr>
        <a:xfrm>
          <a:off x="2789229" y="141292018"/>
          <a:ext cx="993110" cy="546332"/>
          <a:chOff x="1615543" y="2430783"/>
          <a:chExt cx="908902" cy="422628"/>
        </a:xfrm>
      </xdr:grpSpPr>
      <xdr:sp macro="" textlink="">
        <xdr:nvSpPr>
          <xdr:cNvPr id="7" name="フローチャート: 定義済み処理 9">
            <a:extLst>
              <a:ext uri="{FF2B5EF4-FFF2-40B4-BE49-F238E27FC236}">
                <a16:creationId xmlns:a16="http://schemas.microsoft.com/office/drawing/2014/main" id="{E6607E1E-ED76-08DA-E418-7F0AD935EF6B}"/>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 name="正方形/長方形 48">
            <a:extLst>
              <a:ext uri="{FF2B5EF4-FFF2-40B4-BE49-F238E27FC236}">
                <a16:creationId xmlns:a16="http://schemas.microsoft.com/office/drawing/2014/main" id="{1CC9A07B-D3CF-C860-E7B1-E0D95E851462}"/>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償却資産税</a:t>
            </a:r>
            <a:endParaRPr kumimoji="1" lang="en-US" altLang="ja-JP" sz="900"/>
          </a:p>
          <a:p>
            <a:pPr algn="ctr"/>
            <a:r>
              <a:rPr kumimoji="1" lang="ja-JP" altLang="en-US" sz="900"/>
              <a:t>情報出力</a:t>
            </a:r>
          </a:p>
        </xdr:txBody>
      </xdr:sp>
    </xdr:grpSp>
    <xdr:clientData/>
  </xdr:twoCellAnchor>
  <xdr:twoCellAnchor>
    <xdr:from>
      <xdr:col>18</xdr:col>
      <xdr:colOff>17122</xdr:colOff>
      <xdr:row>826</xdr:row>
      <xdr:rowOff>58725</xdr:rowOff>
    </xdr:from>
    <xdr:to>
      <xdr:col>18</xdr:col>
      <xdr:colOff>19632</xdr:colOff>
      <xdr:row>828</xdr:row>
      <xdr:rowOff>58399</xdr:rowOff>
    </xdr:to>
    <xdr:cxnSp macro="">
      <xdr:nvCxnSpPr>
        <xdr:cNvPr id="102" name="直線矢印コネクタ 101">
          <a:extLst>
            <a:ext uri="{FF2B5EF4-FFF2-40B4-BE49-F238E27FC236}">
              <a16:creationId xmlns:a16="http://schemas.microsoft.com/office/drawing/2014/main" id="{73ACEE9E-D2F8-4BF7-A1B3-EF4C736DAC11}"/>
            </a:ext>
          </a:extLst>
        </xdr:cNvPr>
        <xdr:cNvCxnSpPr>
          <a:stCxn id="16" idx="2"/>
          <a:endCxn id="106" idx="0"/>
        </xdr:cNvCxnSpPr>
      </xdr:nvCxnSpPr>
      <xdr:spPr>
        <a:xfrm>
          <a:off x="4217647" y="86869575"/>
          <a:ext cx="2510" cy="34257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48666</xdr:colOff>
      <xdr:row>827</xdr:row>
      <xdr:rowOff>171134</xdr:rowOff>
    </xdr:from>
    <xdr:to>
      <xdr:col>21</xdr:col>
      <xdr:colOff>3174</xdr:colOff>
      <xdr:row>830</xdr:row>
      <xdr:rowOff>152882</xdr:rowOff>
    </xdr:to>
    <xdr:grpSp>
      <xdr:nvGrpSpPr>
        <xdr:cNvPr id="103" name="グループ化 102">
          <a:extLst>
            <a:ext uri="{FF2B5EF4-FFF2-40B4-BE49-F238E27FC236}">
              <a16:creationId xmlns:a16="http://schemas.microsoft.com/office/drawing/2014/main" id="{BBD3548A-EA03-4F7B-914E-80055CD21754}"/>
            </a:ext>
          </a:extLst>
        </xdr:cNvPr>
        <xdr:cNvGrpSpPr>
          <a:grpSpLocks noChangeAspect="1"/>
        </xdr:cNvGrpSpPr>
      </xdr:nvGrpSpPr>
      <xdr:grpSpPr>
        <a:xfrm>
          <a:off x="2763291" y="142122209"/>
          <a:ext cx="1040358" cy="496098"/>
          <a:chOff x="2510886" y="18456444"/>
          <a:chExt cx="1267594" cy="566261"/>
        </a:xfrm>
      </xdr:grpSpPr>
      <xdr:sp macro="" textlink="">
        <xdr:nvSpPr>
          <xdr:cNvPr id="106" name="フローチャート: 書類 105">
            <a:extLst>
              <a:ext uri="{FF2B5EF4-FFF2-40B4-BE49-F238E27FC236}">
                <a16:creationId xmlns:a16="http://schemas.microsoft.com/office/drawing/2014/main" id="{D82A9D4E-1ABF-27D4-B3C1-9A1A306C1BEF}"/>
              </a:ext>
            </a:extLst>
          </xdr:cNvPr>
          <xdr:cNvSpPr/>
        </xdr:nvSpPr>
        <xdr:spPr>
          <a:xfrm>
            <a:off x="2633385" y="18523463"/>
            <a:ext cx="1008790"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07" name="正方形/長方形 106">
            <a:extLst>
              <a:ext uri="{FF2B5EF4-FFF2-40B4-BE49-F238E27FC236}">
                <a16:creationId xmlns:a16="http://schemas.microsoft.com/office/drawing/2014/main" id="{978B64F7-7021-722B-7341-91003729E63A}"/>
              </a:ext>
            </a:extLst>
          </xdr:cNvPr>
          <xdr:cNvSpPr/>
        </xdr:nvSpPr>
        <xdr:spPr>
          <a:xfrm>
            <a:off x="2510886" y="18456444"/>
            <a:ext cx="126759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eaLnBrk="1" fontAlgn="auto" latinLnBrk="0" hangingPunct="1"/>
            <a:r>
              <a:rPr kumimoji="1" lang="ja-JP" altLang="ja-JP" sz="900">
                <a:solidFill>
                  <a:schemeClr val="dk1"/>
                </a:solidFill>
                <a:effectLst/>
                <a:latin typeface="+mn-lt"/>
                <a:ea typeface="+mn-ea"/>
                <a:cs typeface="+mn-cs"/>
              </a:rPr>
              <a:t>償却資産種類明細</a:t>
            </a:r>
            <a:r>
              <a:rPr kumimoji="1" lang="en-US" altLang="ja-JP" sz="900">
                <a:solidFill>
                  <a:schemeClr val="dk1"/>
                </a:solidFill>
                <a:effectLst/>
                <a:latin typeface="+mn-lt"/>
                <a:ea typeface="+mn-ea"/>
                <a:cs typeface="+mn-cs"/>
              </a:rPr>
              <a:t>(</a:t>
            </a:r>
            <a:r>
              <a:rPr kumimoji="1" lang="en-US" altLang="ja-JP" sz="900" b="0" i="0" baseline="0">
                <a:solidFill>
                  <a:schemeClr val="dk1"/>
                </a:solidFill>
                <a:effectLst/>
                <a:latin typeface="+mn-lt"/>
                <a:ea typeface="+mn-ea"/>
                <a:cs typeface="+mn-cs"/>
              </a:rPr>
              <a:t>EXCEL</a:t>
            </a:r>
            <a:r>
              <a:rPr kumimoji="1" lang="en-US" altLang="ja-JP" sz="900">
                <a:solidFill>
                  <a:schemeClr val="dk1"/>
                </a:solidFill>
                <a:effectLst/>
                <a:latin typeface="+mn-lt"/>
                <a:ea typeface="+mn-ea"/>
                <a:cs typeface="+mn-cs"/>
              </a:rPr>
              <a:t>)</a:t>
            </a:r>
            <a:endParaRPr lang="ja-JP" altLang="ja-JP" sz="900">
              <a:effectLst/>
            </a:endParaRPr>
          </a:p>
        </xdr:txBody>
      </xdr:sp>
    </xdr:grpSp>
    <xdr:clientData/>
  </xdr:twoCellAnchor>
  <xdr:twoCellAnchor>
    <xdr:from>
      <xdr:col>15</xdr:col>
      <xdr:colOff>58729</xdr:colOff>
      <xdr:row>832</xdr:row>
      <xdr:rowOff>87068</xdr:rowOff>
    </xdr:from>
    <xdr:to>
      <xdr:col>20</xdr:col>
      <xdr:colOff>143789</xdr:colOff>
      <xdr:row>835</xdr:row>
      <xdr:rowOff>115875</xdr:rowOff>
    </xdr:to>
    <xdr:grpSp>
      <xdr:nvGrpSpPr>
        <xdr:cNvPr id="108" name="グループ化 8">
          <a:extLst>
            <a:ext uri="{FF2B5EF4-FFF2-40B4-BE49-F238E27FC236}">
              <a16:creationId xmlns:a16="http://schemas.microsoft.com/office/drawing/2014/main" id="{4D54BB3D-C6BE-46AA-96F5-744A55827A98}"/>
            </a:ext>
          </a:extLst>
        </xdr:cNvPr>
        <xdr:cNvGrpSpPr/>
      </xdr:nvGrpSpPr>
      <xdr:grpSpPr>
        <a:xfrm>
          <a:off x="2773354" y="142895393"/>
          <a:ext cx="989935" cy="543157"/>
          <a:chOff x="1615543" y="2430783"/>
          <a:chExt cx="908902" cy="422628"/>
        </a:xfrm>
      </xdr:grpSpPr>
      <xdr:sp macro="" textlink="">
        <xdr:nvSpPr>
          <xdr:cNvPr id="110" name="フローチャート: 定義済み処理 9">
            <a:extLst>
              <a:ext uri="{FF2B5EF4-FFF2-40B4-BE49-F238E27FC236}">
                <a16:creationId xmlns:a16="http://schemas.microsoft.com/office/drawing/2014/main" id="{690A84BA-A477-4EAC-971E-58B96DF04EC1}"/>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1" name="正方形/長方形 48">
            <a:extLst>
              <a:ext uri="{FF2B5EF4-FFF2-40B4-BE49-F238E27FC236}">
                <a16:creationId xmlns:a16="http://schemas.microsoft.com/office/drawing/2014/main" id="{879CDEE5-7A99-D505-0159-D7D7E39AC605}"/>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2.eLTAX</a:t>
            </a:r>
          </a:p>
        </xdr:txBody>
      </xdr:sp>
    </xdr:grpSp>
    <xdr:clientData/>
  </xdr:twoCellAnchor>
  <xdr:twoCellAnchor>
    <xdr:from>
      <xdr:col>16</xdr:col>
      <xdr:colOff>46831</xdr:colOff>
      <xdr:row>838</xdr:row>
      <xdr:rowOff>45153</xdr:rowOff>
    </xdr:from>
    <xdr:to>
      <xdr:col>19</xdr:col>
      <xdr:colOff>169763</xdr:colOff>
      <xdr:row>839</xdr:row>
      <xdr:rowOff>131119</xdr:rowOff>
    </xdr:to>
    <xdr:sp macro="" textlink="">
      <xdr:nvSpPr>
        <xdr:cNvPr id="175" name="フローチャート: 端子 26">
          <a:extLst>
            <a:ext uri="{FF2B5EF4-FFF2-40B4-BE49-F238E27FC236}">
              <a16:creationId xmlns:a16="http://schemas.microsoft.com/office/drawing/2014/main" id="{D5CB74FE-C433-48AF-ABDB-D1C68C7DA849}"/>
            </a:ext>
          </a:extLst>
        </xdr:cNvPr>
        <xdr:cNvSpPr/>
      </xdr:nvSpPr>
      <xdr:spPr>
        <a:xfrm>
          <a:off x="3847306" y="88913403"/>
          <a:ext cx="723007" cy="25741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20</xdr:col>
      <xdr:colOff>147307</xdr:colOff>
      <xdr:row>824</xdr:row>
      <xdr:rowOff>126298</xdr:rowOff>
    </xdr:from>
    <xdr:to>
      <xdr:col>31</xdr:col>
      <xdr:colOff>9</xdr:colOff>
      <xdr:row>824</xdr:row>
      <xdr:rowOff>129401</xdr:rowOff>
    </xdr:to>
    <xdr:cxnSp macro="">
      <xdr:nvCxnSpPr>
        <xdr:cNvPr id="176" name="直線矢印コネクタ 175">
          <a:extLst>
            <a:ext uri="{FF2B5EF4-FFF2-40B4-BE49-F238E27FC236}">
              <a16:creationId xmlns:a16="http://schemas.microsoft.com/office/drawing/2014/main" id="{C2082CCF-4601-47CE-B1F2-5CCC637B1D73}"/>
            </a:ext>
          </a:extLst>
        </xdr:cNvPr>
        <xdr:cNvCxnSpPr/>
      </xdr:nvCxnSpPr>
      <xdr:spPr>
        <a:xfrm flipV="1">
          <a:off x="6820580" y="101980298"/>
          <a:ext cx="2011702" cy="31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85842</xdr:colOff>
      <xdr:row>823</xdr:row>
      <xdr:rowOff>797</xdr:rowOff>
    </xdr:from>
    <xdr:to>
      <xdr:col>34</xdr:col>
      <xdr:colOff>161004</xdr:colOff>
      <xdr:row>826</xdr:row>
      <xdr:rowOff>154124</xdr:rowOff>
    </xdr:to>
    <xdr:grpSp>
      <xdr:nvGrpSpPr>
        <xdr:cNvPr id="184" name="グループ化 516">
          <a:extLst>
            <a:ext uri="{FF2B5EF4-FFF2-40B4-BE49-F238E27FC236}">
              <a16:creationId xmlns:a16="http://schemas.microsoft.com/office/drawing/2014/main" id="{97DCEC5E-06D9-4D82-83E3-2D3BD41BE864}"/>
            </a:ext>
          </a:extLst>
        </xdr:cNvPr>
        <xdr:cNvGrpSpPr>
          <a:grpSpLocks noChangeAspect="1"/>
        </xdr:cNvGrpSpPr>
      </xdr:nvGrpSpPr>
      <xdr:grpSpPr>
        <a:xfrm>
          <a:off x="5515092" y="141266072"/>
          <a:ext cx="799062" cy="667677"/>
          <a:chOff x="7102989" y="2892424"/>
          <a:chExt cx="873125" cy="603230"/>
        </a:xfrm>
      </xdr:grpSpPr>
      <xdr:sp macro="" textlink="">
        <xdr:nvSpPr>
          <xdr:cNvPr id="185" name="フローチャート: 磁気ディスク 517">
            <a:extLst>
              <a:ext uri="{FF2B5EF4-FFF2-40B4-BE49-F238E27FC236}">
                <a16:creationId xmlns:a16="http://schemas.microsoft.com/office/drawing/2014/main" id="{5662E5BB-0590-CC5A-47B2-245A32149BB1}"/>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6" name="正方形/長方形 518">
            <a:extLst>
              <a:ext uri="{FF2B5EF4-FFF2-40B4-BE49-F238E27FC236}">
                <a16:creationId xmlns:a16="http://schemas.microsoft.com/office/drawing/2014/main" id="{AF884A45-5DB5-D492-3A81-24B88AEDC484}"/>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償却資産税</a:t>
            </a:r>
            <a:endParaRPr lang="ja-JP" altLang="ja-JP" sz="900">
              <a:effectLst/>
            </a:endParaRPr>
          </a:p>
          <a:p>
            <a:pPr algn="ctr"/>
            <a:r>
              <a:rPr kumimoji="1" lang="ja-JP" altLang="ja-JP" sz="900">
                <a:solidFill>
                  <a:schemeClr val="dk1"/>
                </a:solidFill>
                <a:effectLst/>
                <a:latin typeface="+mn-lt"/>
                <a:ea typeface="+mn-ea"/>
                <a:cs typeface="+mn-cs"/>
              </a:rPr>
              <a:t>情報出力</a:t>
            </a:r>
            <a:endParaRPr lang="ja-JP" altLang="ja-JP" sz="900">
              <a:effectLst/>
            </a:endParaRPr>
          </a:p>
        </xdr:txBody>
      </xdr:sp>
    </xdr:grpSp>
    <xdr:clientData/>
  </xdr:twoCellAnchor>
  <xdr:twoCellAnchor>
    <xdr:from>
      <xdr:col>17</xdr:col>
      <xdr:colOff>199684</xdr:colOff>
      <xdr:row>835</xdr:row>
      <xdr:rowOff>115875</xdr:rowOff>
    </xdr:from>
    <xdr:to>
      <xdr:col>18</xdr:col>
      <xdr:colOff>9872</xdr:colOff>
      <xdr:row>838</xdr:row>
      <xdr:rowOff>48328</xdr:rowOff>
    </xdr:to>
    <xdr:cxnSp macro="">
      <xdr:nvCxnSpPr>
        <xdr:cNvPr id="180" name="直線矢印コネクタ 179">
          <a:extLst>
            <a:ext uri="{FF2B5EF4-FFF2-40B4-BE49-F238E27FC236}">
              <a16:creationId xmlns:a16="http://schemas.microsoft.com/office/drawing/2014/main" id="{E586BB87-D6F1-4F90-9D56-77977E14FD88}"/>
            </a:ext>
          </a:extLst>
        </xdr:cNvPr>
        <xdr:cNvCxnSpPr>
          <a:stCxn id="111" idx="2"/>
          <a:endCxn id="175" idx="0"/>
        </xdr:cNvCxnSpPr>
      </xdr:nvCxnSpPr>
      <xdr:spPr>
        <a:xfrm>
          <a:off x="4200184" y="88469775"/>
          <a:ext cx="10213" cy="4468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95259</xdr:colOff>
      <xdr:row>819</xdr:row>
      <xdr:rowOff>94203</xdr:rowOff>
    </xdr:from>
    <xdr:to>
      <xdr:col>19</xdr:col>
      <xdr:colOff>199749</xdr:colOff>
      <xdr:row>821</xdr:row>
      <xdr:rowOff>26189</xdr:rowOff>
    </xdr:to>
    <xdr:sp macro="" textlink="">
      <xdr:nvSpPr>
        <xdr:cNvPr id="193" name="フローチャート: 端子 26">
          <a:extLst>
            <a:ext uri="{FF2B5EF4-FFF2-40B4-BE49-F238E27FC236}">
              <a16:creationId xmlns:a16="http://schemas.microsoft.com/office/drawing/2014/main" id="{FB30D5DC-0D4C-422D-A266-50BB5700865F}"/>
            </a:ext>
          </a:extLst>
        </xdr:cNvPr>
        <xdr:cNvSpPr/>
      </xdr:nvSpPr>
      <xdr:spPr>
        <a:xfrm>
          <a:off x="3895734" y="77475303"/>
          <a:ext cx="707740"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42266</xdr:colOff>
      <xdr:row>821</xdr:row>
      <xdr:rowOff>29364</xdr:rowOff>
    </xdr:from>
    <xdr:to>
      <xdr:col>18</xdr:col>
      <xdr:colOff>49079</xdr:colOff>
      <xdr:row>823</xdr:row>
      <xdr:rowOff>62364</xdr:rowOff>
    </xdr:to>
    <xdr:cxnSp macro="">
      <xdr:nvCxnSpPr>
        <xdr:cNvPr id="194" name="直線矢印コネクタ 193">
          <a:extLst>
            <a:ext uri="{FF2B5EF4-FFF2-40B4-BE49-F238E27FC236}">
              <a16:creationId xmlns:a16="http://schemas.microsoft.com/office/drawing/2014/main" id="{8B7425C3-B60A-491C-B639-D5D1EF62CE37}"/>
            </a:ext>
          </a:extLst>
        </xdr:cNvPr>
        <xdr:cNvCxnSpPr>
          <a:stCxn id="193" idx="2"/>
          <a:endCxn id="7" idx="0"/>
        </xdr:cNvCxnSpPr>
      </xdr:nvCxnSpPr>
      <xdr:spPr>
        <a:xfrm flipH="1">
          <a:off x="4245966" y="77750189"/>
          <a:ext cx="463" cy="3822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18028</xdr:colOff>
      <xdr:row>830</xdr:row>
      <xdr:rowOff>98346</xdr:rowOff>
    </xdr:from>
    <xdr:to>
      <xdr:col>18</xdr:col>
      <xdr:colOff>26391</xdr:colOff>
      <xdr:row>832</xdr:row>
      <xdr:rowOff>119514</xdr:rowOff>
    </xdr:to>
    <xdr:cxnSp macro="">
      <xdr:nvCxnSpPr>
        <xdr:cNvPr id="199" name="直線矢印コネクタ 198">
          <a:extLst>
            <a:ext uri="{FF2B5EF4-FFF2-40B4-BE49-F238E27FC236}">
              <a16:creationId xmlns:a16="http://schemas.microsoft.com/office/drawing/2014/main" id="{983E1C62-7B45-44FF-9148-731DC4340EE5}"/>
            </a:ext>
          </a:extLst>
        </xdr:cNvPr>
        <xdr:cNvCxnSpPr>
          <a:stCxn id="106" idx="2"/>
          <a:endCxn id="110" idx="0"/>
        </xdr:cNvCxnSpPr>
      </xdr:nvCxnSpPr>
      <xdr:spPr>
        <a:xfrm>
          <a:off x="4218553" y="87594996"/>
          <a:ext cx="8363" cy="36406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179782</xdr:colOff>
      <xdr:row>555</xdr:row>
      <xdr:rowOff>77411</xdr:rowOff>
    </xdr:from>
    <xdr:to>
      <xdr:col>20</xdr:col>
      <xdr:colOff>124409</xdr:colOff>
      <xdr:row>558</xdr:row>
      <xdr:rowOff>49483</xdr:rowOff>
    </xdr:to>
    <xdr:sp macro="" textlink="">
      <xdr:nvSpPr>
        <xdr:cNvPr id="78" name="フローチャート: 定義済み処理 77">
          <a:extLst>
            <a:ext uri="{FF2B5EF4-FFF2-40B4-BE49-F238E27FC236}">
              <a16:creationId xmlns:a16="http://schemas.microsoft.com/office/drawing/2014/main" id="{17B25E08-E353-4BF0-8454-FC36BCD2C6F1}"/>
            </a:ext>
          </a:extLst>
        </xdr:cNvPr>
        <xdr:cNvSpPr/>
      </xdr:nvSpPr>
      <xdr:spPr>
        <a:xfrm>
          <a:off x="3780232" y="60656411"/>
          <a:ext cx="944752" cy="48642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7290</xdr:colOff>
      <xdr:row>555</xdr:row>
      <xdr:rowOff>39050</xdr:rowOff>
    </xdr:from>
    <xdr:to>
      <xdr:col>20</xdr:col>
      <xdr:colOff>76200</xdr:colOff>
      <xdr:row>558</xdr:row>
      <xdr:rowOff>69297</xdr:rowOff>
    </xdr:to>
    <xdr:sp macro="" textlink="">
      <xdr:nvSpPr>
        <xdr:cNvPr id="80" name="正方形/長方形 48">
          <a:extLst>
            <a:ext uri="{FF2B5EF4-FFF2-40B4-BE49-F238E27FC236}">
              <a16:creationId xmlns:a16="http://schemas.microsoft.com/office/drawing/2014/main" id="{B434A5F2-7AED-4174-A6AF-A884978ABB51}"/>
            </a:ext>
          </a:extLst>
        </xdr:cNvPr>
        <xdr:cNvSpPr/>
      </xdr:nvSpPr>
      <xdr:spPr>
        <a:xfrm>
          <a:off x="3807765" y="60618050"/>
          <a:ext cx="869010" cy="5445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固定資産</a:t>
          </a:r>
          <a:endParaRPr kumimoji="1" lang="en-US" altLang="ja-JP" sz="900"/>
        </a:p>
        <a:p>
          <a:pPr algn="ctr"/>
          <a:r>
            <a:rPr kumimoji="1" lang="ja-JP" altLang="en-US" sz="900"/>
            <a:t>登録</a:t>
          </a:r>
          <a:endParaRPr kumimoji="1" lang="en-US" altLang="ja-JP" sz="900"/>
        </a:p>
      </xdr:txBody>
    </xdr:sp>
    <xdr:clientData/>
  </xdr:twoCellAnchor>
  <xdr:twoCellAnchor>
    <xdr:from>
      <xdr:col>30</xdr:col>
      <xdr:colOff>181187</xdr:colOff>
      <xdr:row>555</xdr:row>
      <xdr:rowOff>48661</xdr:rowOff>
    </xdr:from>
    <xdr:to>
      <xdr:col>34</xdr:col>
      <xdr:colOff>86903</xdr:colOff>
      <xdr:row>558</xdr:row>
      <xdr:rowOff>133970</xdr:rowOff>
    </xdr:to>
    <xdr:grpSp>
      <xdr:nvGrpSpPr>
        <xdr:cNvPr id="81" name="グループ化 509">
          <a:extLst>
            <a:ext uri="{FF2B5EF4-FFF2-40B4-BE49-F238E27FC236}">
              <a16:creationId xmlns:a16="http://schemas.microsoft.com/office/drawing/2014/main" id="{F73B8CA4-DBFF-471A-8853-4BEA0ECC502D}"/>
            </a:ext>
          </a:extLst>
        </xdr:cNvPr>
        <xdr:cNvGrpSpPr/>
      </xdr:nvGrpSpPr>
      <xdr:grpSpPr>
        <a:xfrm>
          <a:off x="5610437" y="95365336"/>
          <a:ext cx="629616" cy="599659"/>
          <a:chOff x="7204075" y="2892425"/>
          <a:chExt cx="688975" cy="597682"/>
        </a:xfrm>
      </xdr:grpSpPr>
      <xdr:sp macro="" textlink="">
        <xdr:nvSpPr>
          <xdr:cNvPr id="82" name="フローチャート: 磁気ディスク 510">
            <a:extLst>
              <a:ext uri="{FF2B5EF4-FFF2-40B4-BE49-F238E27FC236}">
                <a16:creationId xmlns:a16="http://schemas.microsoft.com/office/drawing/2014/main" id="{5CF42311-CF6A-C372-9587-7038A553EFC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6" name="正方形/長方形 65">
            <a:extLst>
              <a:ext uri="{FF2B5EF4-FFF2-40B4-BE49-F238E27FC236}">
                <a16:creationId xmlns:a16="http://schemas.microsoft.com/office/drawing/2014/main" id="{C75EC0D9-8A9E-8D0D-CB49-41BB0251EC0E}"/>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br>
              <a:rPr kumimoji="1" lang="en-US" altLang="ja-JP" sz="900"/>
            </a:br>
            <a:r>
              <a:rPr kumimoji="1" lang="en-US" altLang="ja-JP" sz="900"/>
              <a:t>(</a:t>
            </a:r>
            <a:r>
              <a:rPr kumimoji="1" lang="ja-JP" altLang="en-US" sz="900"/>
              <a:t>マスタ</a:t>
            </a:r>
            <a:r>
              <a:rPr kumimoji="1" lang="en-US" altLang="ja-JP" sz="900"/>
              <a:t>)</a:t>
            </a:r>
            <a:endParaRPr kumimoji="1" lang="ja-JP" altLang="en-US" sz="900"/>
          </a:p>
        </xdr:txBody>
      </xdr:sp>
    </xdr:grpSp>
    <xdr:clientData/>
  </xdr:twoCellAnchor>
  <xdr:twoCellAnchor>
    <xdr:from>
      <xdr:col>18</xdr:col>
      <xdr:colOff>42266</xdr:colOff>
      <xdr:row>558</xdr:row>
      <xdr:rowOff>66122</xdr:rowOff>
    </xdr:from>
    <xdr:to>
      <xdr:col>18</xdr:col>
      <xdr:colOff>43333</xdr:colOff>
      <xdr:row>561</xdr:row>
      <xdr:rowOff>163858</xdr:rowOff>
    </xdr:to>
    <xdr:cxnSp macro="">
      <xdr:nvCxnSpPr>
        <xdr:cNvPr id="250" name="直線矢印コネクタ 249">
          <a:extLst>
            <a:ext uri="{FF2B5EF4-FFF2-40B4-BE49-F238E27FC236}">
              <a16:creationId xmlns:a16="http://schemas.microsoft.com/office/drawing/2014/main" id="{222E483B-FA94-41B4-9E27-259E76C1709D}"/>
            </a:ext>
          </a:extLst>
        </xdr:cNvPr>
        <xdr:cNvCxnSpPr>
          <a:cxnSpLocks/>
          <a:stCxn id="80" idx="2"/>
          <a:endCxn id="454" idx="0"/>
        </xdr:cNvCxnSpPr>
      </xdr:nvCxnSpPr>
      <xdr:spPr>
        <a:xfrm flipH="1">
          <a:off x="4233266" y="61479693"/>
          <a:ext cx="1067" cy="61480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74604</xdr:colOff>
      <xdr:row>662</xdr:row>
      <xdr:rowOff>29918</xdr:rowOff>
    </xdr:from>
    <xdr:to>
      <xdr:col>20</xdr:col>
      <xdr:colOff>159664</xdr:colOff>
      <xdr:row>665</xdr:row>
      <xdr:rowOff>58725</xdr:rowOff>
    </xdr:to>
    <xdr:grpSp>
      <xdr:nvGrpSpPr>
        <xdr:cNvPr id="253" name="グループ化 8">
          <a:extLst>
            <a:ext uri="{FF2B5EF4-FFF2-40B4-BE49-F238E27FC236}">
              <a16:creationId xmlns:a16="http://schemas.microsoft.com/office/drawing/2014/main" id="{2680464F-1BF3-4E4F-969D-26ECEFA40FDA}"/>
            </a:ext>
          </a:extLst>
        </xdr:cNvPr>
        <xdr:cNvGrpSpPr/>
      </xdr:nvGrpSpPr>
      <xdr:grpSpPr>
        <a:xfrm>
          <a:off x="2789229" y="113691743"/>
          <a:ext cx="989935" cy="543157"/>
          <a:chOff x="1615543" y="2430783"/>
          <a:chExt cx="908902" cy="422628"/>
        </a:xfrm>
      </xdr:grpSpPr>
      <xdr:sp macro="" textlink="">
        <xdr:nvSpPr>
          <xdr:cNvPr id="254" name="フローチャート: 定義済み処理 9">
            <a:extLst>
              <a:ext uri="{FF2B5EF4-FFF2-40B4-BE49-F238E27FC236}">
                <a16:creationId xmlns:a16="http://schemas.microsoft.com/office/drawing/2014/main" id="{7BF1EC5D-C9E3-BDCD-D26C-6256A6057118}"/>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5" name="正方形/長方形 48">
            <a:extLst>
              <a:ext uri="{FF2B5EF4-FFF2-40B4-BE49-F238E27FC236}">
                <a16:creationId xmlns:a16="http://schemas.microsoft.com/office/drawing/2014/main" id="{44D54F11-4E71-8C48-6692-B27DD68F6D97}"/>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固定資産台帳</a:t>
            </a:r>
          </a:p>
        </xdr:txBody>
      </xdr:sp>
    </xdr:grpSp>
    <xdr:clientData/>
  </xdr:twoCellAnchor>
  <xdr:twoCellAnchor>
    <xdr:from>
      <xdr:col>18</xdr:col>
      <xdr:colOff>43927</xdr:colOff>
      <xdr:row>665</xdr:row>
      <xdr:rowOff>27972</xdr:rowOff>
    </xdr:from>
    <xdr:to>
      <xdr:col>18</xdr:col>
      <xdr:colOff>46492</xdr:colOff>
      <xdr:row>667</xdr:row>
      <xdr:rowOff>115063</xdr:rowOff>
    </xdr:to>
    <xdr:cxnSp macro="">
      <xdr:nvCxnSpPr>
        <xdr:cNvPr id="256" name="直線矢印コネクタ 255">
          <a:extLst>
            <a:ext uri="{FF2B5EF4-FFF2-40B4-BE49-F238E27FC236}">
              <a16:creationId xmlns:a16="http://schemas.microsoft.com/office/drawing/2014/main" id="{9440CD64-A803-4A6C-894B-330F2F4BA58D}"/>
            </a:ext>
          </a:extLst>
        </xdr:cNvPr>
        <xdr:cNvCxnSpPr>
          <a:cxnSpLocks/>
          <a:stCxn id="254" idx="2"/>
          <a:endCxn id="258" idx="0"/>
        </xdr:cNvCxnSpPr>
      </xdr:nvCxnSpPr>
      <xdr:spPr>
        <a:xfrm>
          <a:off x="4234927" y="70059401"/>
          <a:ext cx="2565" cy="4318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188406</xdr:colOff>
      <xdr:row>667</xdr:row>
      <xdr:rowOff>37959</xdr:rowOff>
    </xdr:from>
    <xdr:to>
      <xdr:col>20</xdr:col>
      <xdr:colOff>139728</xdr:colOff>
      <xdr:row>670</xdr:row>
      <xdr:rowOff>16378</xdr:rowOff>
    </xdr:to>
    <xdr:grpSp>
      <xdr:nvGrpSpPr>
        <xdr:cNvPr id="257" name="グループ化 256">
          <a:extLst>
            <a:ext uri="{FF2B5EF4-FFF2-40B4-BE49-F238E27FC236}">
              <a16:creationId xmlns:a16="http://schemas.microsoft.com/office/drawing/2014/main" id="{54BD7A36-77C8-4995-9757-5328B05518A4}"/>
            </a:ext>
          </a:extLst>
        </xdr:cNvPr>
        <xdr:cNvGrpSpPr>
          <a:grpSpLocks noChangeAspect="1"/>
        </xdr:cNvGrpSpPr>
      </xdr:nvGrpSpPr>
      <xdr:grpSpPr>
        <a:xfrm>
          <a:off x="2893506" y="114557034"/>
          <a:ext cx="865722" cy="492769"/>
          <a:chOff x="2675325" y="18456558"/>
          <a:chExt cx="1048401" cy="566261"/>
        </a:xfrm>
      </xdr:grpSpPr>
      <xdr:sp macro="" textlink="">
        <xdr:nvSpPr>
          <xdr:cNvPr id="258" name="フローチャート: 書類 257">
            <a:extLst>
              <a:ext uri="{FF2B5EF4-FFF2-40B4-BE49-F238E27FC236}">
                <a16:creationId xmlns:a16="http://schemas.microsoft.com/office/drawing/2014/main" id="{B055C564-7827-38EF-0FD4-F75B41F713A0}"/>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59" name="正方形/長方形 258">
            <a:extLst>
              <a:ext uri="{FF2B5EF4-FFF2-40B4-BE49-F238E27FC236}">
                <a16:creationId xmlns:a16="http://schemas.microsoft.com/office/drawing/2014/main" id="{13EB79C0-CDA9-B96F-AF2B-AABEA46F1C62}"/>
              </a:ext>
            </a:extLst>
          </xdr:cNvPr>
          <xdr:cNvSpPr/>
        </xdr:nvSpPr>
        <xdr:spPr>
          <a:xfrm>
            <a:off x="2686822" y="18456558"/>
            <a:ext cx="103690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固定資産台帳</a:t>
            </a:r>
          </a:p>
        </xdr:txBody>
      </xdr:sp>
    </xdr:grpSp>
    <xdr:clientData/>
  </xdr:twoCellAnchor>
  <xdr:twoCellAnchor>
    <xdr:from>
      <xdr:col>16</xdr:col>
      <xdr:colOff>97631</xdr:colOff>
      <xdr:row>672</xdr:row>
      <xdr:rowOff>168978</xdr:rowOff>
    </xdr:from>
    <xdr:to>
      <xdr:col>20</xdr:col>
      <xdr:colOff>17363</xdr:colOff>
      <xdr:row>674</xdr:row>
      <xdr:rowOff>83494</xdr:rowOff>
    </xdr:to>
    <xdr:sp macro="" textlink="">
      <xdr:nvSpPr>
        <xdr:cNvPr id="320" name="フローチャート: 端子 26">
          <a:extLst>
            <a:ext uri="{FF2B5EF4-FFF2-40B4-BE49-F238E27FC236}">
              <a16:creationId xmlns:a16="http://schemas.microsoft.com/office/drawing/2014/main" id="{B7F95F2B-9D0A-4C5D-BCEE-92212EC486B2}"/>
            </a:ext>
          </a:extLst>
        </xdr:cNvPr>
        <xdr:cNvSpPr/>
      </xdr:nvSpPr>
      <xdr:spPr>
        <a:xfrm>
          <a:off x="3889488" y="71406907"/>
          <a:ext cx="718018" cy="2592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30</xdr:col>
      <xdr:colOff>73142</xdr:colOff>
      <xdr:row>662</xdr:row>
      <xdr:rowOff>10322</xdr:rowOff>
    </xdr:from>
    <xdr:to>
      <xdr:col>34</xdr:col>
      <xdr:colOff>151479</xdr:colOff>
      <xdr:row>665</xdr:row>
      <xdr:rowOff>163649</xdr:rowOff>
    </xdr:to>
    <xdr:grpSp>
      <xdr:nvGrpSpPr>
        <xdr:cNvPr id="322" name="グループ化 170">
          <a:extLst>
            <a:ext uri="{FF2B5EF4-FFF2-40B4-BE49-F238E27FC236}">
              <a16:creationId xmlns:a16="http://schemas.microsoft.com/office/drawing/2014/main" id="{CA613374-8BEF-4318-836A-EA204D1138BA}"/>
            </a:ext>
          </a:extLst>
        </xdr:cNvPr>
        <xdr:cNvGrpSpPr>
          <a:grpSpLocks noChangeAspect="1"/>
        </xdr:cNvGrpSpPr>
      </xdr:nvGrpSpPr>
      <xdr:grpSpPr>
        <a:xfrm>
          <a:off x="5502392" y="113672147"/>
          <a:ext cx="802237" cy="667677"/>
          <a:chOff x="7102989" y="2892424"/>
          <a:chExt cx="873125" cy="603230"/>
        </a:xfrm>
      </xdr:grpSpPr>
      <xdr:sp macro="" textlink="">
        <xdr:nvSpPr>
          <xdr:cNvPr id="324" name="フローチャート: 磁気ディスク 171">
            <a:extLst>
              <a:ext uri="{FF2B5EF4-FFF2-40B4-BE49-F238E27FC236}">
                <a16:creationId xmlns:a16="http://schemas.microsoft.com/office/drawing/2014/main" id="{FAC85C4A-3ADF-0560-D030-538361D8D56C}"/>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25" name="正方形/長方形 172">
            <a:extLst>
              <a:ext uri="{FF2B5EF4-FFF2-40B4-BE49-F238E27FC236}">
                <a16:creationId xmlns:a16="http://schemas.microsoft.com/office/drawing/2014/main" id="{A5A8EC3F-BF46-0F0E-2B24-F528DBA8B76F}"/>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台帳</a:t>
            </a:r>
          </a:p>
        </xdr:txBody>
      </xdr:sp>
    </xdr:grpSp>
    <xdr:clientData/>
  </xdr:twoCellAnchor>
  <xdr:twoCellAnchor>
    <xdr:from>
      <xdr:col>18</xdr:col>
      <xdr:colOff>46492</xdr:colOff>
      <xdr:row>669</xdr:row>
      <xdr:rowOff>153870</xdr:rowOff>
    </xdr:from>
    <xdr:to>
      <xdr:col>18</xdr:col>
      <xdr:colOff>57497</xdr:colOff>
      <xdr:row>672</xdr:row>
      <xdr:rowOff>168978</xdr:rowOff>
    </xdr:to>
    <xdr:cxnSp macro="">
      <xdr:nvCxnSpPr>
        <xdr:cNvPr id="326" name="直線矢印コネクタ 325">
          <a:extLst>
            <a:ext uri="{FF2B5EF4-FFF2-40B4-BE49-F238E27FC236}">
              <a16:creationId xmlns:a16="http://schemas.microsoft.com/office/drawing/2014/main" id="{7415851C-BDF9-4F99-918B-2D8B418E7E13}"/>
            </a:ext>
          </a:extLst>
        </xdr:cNvPr>
        <xdr:cNvCxnSpPr>
          <a:stCxn id="258" idx="2"/>
          <a:endCxn id="320" idx="0"/>
        </xdr:cNvCxnSpPr>
      </xdr:nvCxnSpPr>
      <xdr:spPr>
        <a:xfrm>
          <a:off x="4237492" y="70874727"/>
          <a:ext cx="11005" cy="5321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95259</xdr:colOff>
      <xdr:row>658</xdr:row>
      <xdr:rowOff>94203</xdr:rowOff>
    </xdr:from>
    <xdr:to>
      <xdr:col>20</xdr:col>
      <xdr:colOff>177</xdr:colOff>
      <xdr:row>660</xdr:row>
      <xdr:rowOff>26189</xdr:rowOff>
    </xdr:to>
    <xdr:sp macro="" textlink="">
      <xdr:nvSpPr>
        <xdr:cNvPr id="375" name="フローチャート: 端子 26">
          <a:extLst>
            <a:ext uri="{FF2B5EF4-FFF2-40B4-BE49-F238E27FC236}">
              <a16:creationId xmlns:a16="http://schemas.microsoft.com/office/drawing/2014/main" id="{6C0157A9-E9C5-415E-8A79-8CE72D74BB65}"/>
            </a:ext>
          </a:extLst>
        </xdr:cNvPr>
        <xdr:cNvSpPr/>
      </xdr:nvSpPr>
      <xdr:spPr>
        <a:xfrm>
          <a:off x="3887116" y="68919132"/>
          <a:ext cx="703204" cy="27670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42266</xdr:colOff>
      <xdr:row>660</xdr:row>
      <xdr:rowOff>29364</xdr:rowOff>
    </xdr:from>
    <xdr:to>
      <xdr:col>18</xdr:col>
      <xdr:colOff>49079</xdr:colOff>
      <xdr:row>662</xdr:row>
      <xdr:rowOff>62364</xdr:rowOff>
    </xdr:to>
    <xdr:cxnSp macro="">
      <xdr:nvCxnSpPr>
        <xdr:cNvPr id="376" name="直線矢印コネクタ 375">
          <a:extLst>
            <a:ext uri="{FF2B5EF4-FFF2-40B4-BE49-F238E27FC236}">
              <a16:creationId xmlns:a16="http://schemas.microsoft.com/office/drawing/2014/main" id="{D8174F03-DCC4-4EDA-B285-431C7DECF211}"/>
            </a:ext>
          </a:extLst>
        </xdr:cNvPr>
        <xdr:cNvCxnSpPr>
          <a:cxnSpLocks/>
          <a:stCxn id="375" idx="2"/>
          <a:endCxn id="254" idx="0"/>
        </xdr:cNvCxnSpPr>
      </xdr:nvCxnSpPr>
      <xdr:spPr>
        <a:xfrm flipH="1">
          <a:off x="4233266" y="69199007"/>
          <a:ext cx="6813" cy="37771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74604</xdr:colOff>
      <xdr:row>682</xdr:row>
      <xdr:rowOff>26743</xdr:rowOff>
    </xdr:from>
    <xdr:to>
      <xdr:col>20</xdr:col>
      <xdr:colOff>162839</xdr:colOff>
      <xdr:row>685</xdr:row>
      <xdr:rowOff>58725</xdr:rowOff>
    </xdr:to>
    <xdr:grpSp>
      <xdr:nvGrpSpPr>
        <xdr:cNvPr id="459" name="グループ化 8">
          <a:extLst>
            <a:ext uri="{FF2B5EF4-FFF2-40B4-BE49-F238E27FC236}">
              <a16:creationId xmlns:a16="http://schemas.microsoft.com/office/drawing/2014/main" id="{2A829243-AAF6-4A10-95F5-42433602A391}"/>
            </a:ext>
          </a:extLst>
        </xdr:cNvPr>
        <xdr:cNvGrpSpPr/>
      </xdr:nvGrpSpPr>
      <xdr:grpSpPr>
        <a:xfrm>
          <a:off x="2789229" y="117117568"/>
          <a:ext cx="993110" cy="546332"/>
          <a:chOff x="1615543" y="2430783"/>
          <a:chExt cx="908902" cy="422628"/>
        </a:xfrm>
      </xdr:grpSpPr>
      <xdr:sp macro="" textlink="">
        <xdr:nvSpPr>
          <xdr:cNvPr id="460" name="フローチャート: 定義済み処理 9">
            <a:extLst>
              <a:ext uri="{FF2B5EF4-FFF2-40B4-BE49-F238E27FC236}">
                <a16:creationId xmlns:a16="http://schemas.microsoft.com/office/drawing/2014/main" id="{6C308858-390F-7BCC-5415-7EE708924B5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1" name="正方形/長方形 48">
            <a:extLst>
              <a:ext uri="{FF2B5EF4-FFF2-40B4-BE49-F238E27FC236}">
                <a16:creationId xmlns:a16="http://schemas.microsoft.com/office/drawing/2014/main" id="{956E0291-09D5-763D-5200-A273EF430A22}"/>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償却シミュレーション一覧</a:t>
            </a:r>
          </a:p>
        </xdr:txBody>
      </xdr:sp>
    </xdr:grpSp>
    <xdr:clientData/>
  </xdr:twoCellAnchor>
  <xdr:twoCellAnchor>
    <xdr:from>
      <xdr:col>18</xdr:col>
      <xdr:colOff>43927</xdr:colOff>
      <xdr:row>685</xdr:row>
      <xdr:rowOff>27972</xdr:rowOff>
    </xdr:from>
    <xdr:to>
      <xdr:col>18</xdr:col>
      <xdr:colOff>46492</xdr:colOff>
      <xdr:row>687</xdr:row>
      <xdr:rowOff>115063</xdr:rowOff>
    </xdr:to>
    <xdr:cxnSp macro="">
      <xdr:nvCxnSpPr>
        <xdr:cNvPr id="466" name="直線矢印コネクタ 465">
          <a:extLst>
            <a:ext uri="{FF2B5EF4-FFF2-40B4-BE49-F238E27FC236}">
              <a16:creationId xmlns:a16="http://schemas.microsoft.com/office/drawing/2014/main" id="{41B35B7A-B359-44D0-97D0-2FAB3DC8FC6F}"/>
            </a:ext>
          </a:extLst>
        </xdr:cNvPr>
        <xdr:cNvCxnSpPr>
          <a:cxnSpLocks/>
          <a:stCxn id="460" idx="2"/>
          <a:endCxn id="468" idx="0"/>
        </xdr:cNvCxnSpPr>
      </xdr:nvCxnSpPr>
      <xdr:spPr>
        <a:xfrm>
          <a:off x="4234927" y="73506543"/>
          <a:ext cx="2565" cy="43180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188406</xdr:colOff>
      <xdr:row>687</xdr:row>
      <xdr:rowOff>37959</xdr:rowOff>
    </xdr:from>
    <xdr:to>
      <xdr:col>20</xdr:col>
      <xdr:colOff>142903</xdr:colOff>
      <xdr:row>690</xdr:row>
      <xdr:rowOff>16378</xdr:rowOff>
    </xdr:to>
    <xdr:grpSp>
      <xdr:nvGrpSpPr>
        <xdr:cNvPr id="467" name="グループ化 466">
          <a:extLst>
            <a:ext uri="{FF2B5EF4-FFF2-40B4-BE49-F238E27FC236}">
              <a16:creationId xmlns:a16="http://schemas.microsoft.com/office/drawing/2014/main" id="{9FA4824F-EA60-427F-B64D-F364707D4900}"/>
            </a:ext>
          </a:extLst>
        </xdr:cNvPr>
        <xdr:cNvGrpSpPr>
          <a:grpSpLocks noChangeAspect="1"/>
        </xdr:cNvGrpSpPr>
      </xdr:nvGrpSpPr>
      <xdr:grpSpPr>
        <a:xfrm>
          <a:off x="2893506" y="117986034"/>
          <a:ext cx="868897" cy="492769"/>
          <a:chOff x="2675325" y="18456558"/>
          <a:chExt cx="1048401" cy="566261"/>
        </a:xfrm>
      </xdr:grpSpPr>
      <xdr:sp macro="" textlink="">
        <xdr:nvSpPr>
          <xdr:cNvPr id="468" name="フローチャート: 書類 467">
            <a:extLst>
              <a:ext uri="{FF2B5EF4-FFF2-40B4-BE49-F238E27FC236}">
                <a16:creationId xmlns:a16="http://schemas.microsoft.com/office/drawing/2014/main" id="{E1188A2F-F668-BA26-E3FD-EFE3C519E172}"/>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74" name="正方形/長方形 473">
            <a:extLst>
              <a:ext uri="{FF2B5EF4-FFF2-40B4-BE49-F238E27FC236}">
                <a16:creationId xmlns:a16="http://schemas.microsoft.com/office/drawing/2014/main" id="{71FA1510-3563-2E47-4685-4BCA85A6E2B5}"/>
              </a:ext>
            </a:extLst>
          </xdr:cNvPr>
          <xdr:cNvSpPr/>
        </xdr:nvSpPr>
        <xdr:spPr>
          <a:xfrm>
            <a:off x="2686822" y="18456558"/>
            <a:ext cx="103690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償却シミュレーション一覧</a:t>
            </a:r>
          </a:p>
        </xdr:txBody>
      </xdr:sp>
    </xdr:grpSp>
    <xdr:clientData/>
  </xdr:twoCellAnchor>
  <xdr:twoCellAnchor>
    <xdr:from>
      <xdr:col>16</xdr:col>
      <xdr:colOff>97631</xdr:colOff>
      <xdr:row>692</xdr:row>
      <xdr:rowOff>168978</xdr:rowOff>
    </xdr:from>
    <xdr:to>
      <xdr:col>20</xdr:col>
      <xdr:colOff>17363</xdr:colOff>
      <xdr:row>694</xdr:row>
      <xdr:rowOff>83494</xdr:rowOff>
    </xdr:to>
    <xdr:sp macro="" textlink="">
      <xdr:nvSpPr>
        <xdr:cNvPr id="475" name="フローチャート: 端子 26">
          <a:extLst>
            <a:ext uri="{FF2B5EF4-FFF2-40B4-BE49-F238E27FC236}">
              <a16:creationId xmlns:a16="http://schemas.microsoft.com/office/drawing/2014/main" id="{A3569300-4E93-4FAC-B894-77C13DC5003F}"/>
            </a:ext>
          </a:extLst>
        </xdr:cNvPr>
        <xdr:cNvSpPr/>
      </xdr:nvSpPr>
      <xdr:spPr>
        <a:xfrm>
          <a:off x="3889488" y="74854049"/>
          <a:ext cx="718018" cy="25923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20</xdr:col>
      <xdr:colOff>178848</xdr:colOff>
      <xdr:row>683</xdr:row>
      <xdr:rowOff>142527</xdr:rowOff>
    </xdr:from>
    <xdr:to>
      <xdr:col>31</xdr:col>
      <xdr:colOff>24753</xdr:colOff>
      <xdr:row>683</xdr:row>
      <xdr:rowOff>144193</xdr:rowOff>
    </xdr:to>
    <xdr:cxnSp macro="">
      <xdr:nvCxnSpPr>
        <xdr:cNvPr id="476" name="直線矢印コネクタ 475">
          <a:extLst>
            <a:ext uri="{FF2B5EF4-FFF2-40B4-BE49-F238E27FC236}">
              <a16:creationId xmlns:a16="http://schemas.microsoft.com/office/drawing/2014/main" id="{F8AF9315-14B9-4F56-8A6B-662AA1170B38}"/>
            </a:ext>
          </a:extLst>
        </xdr:cNvPr>
        <xdr:cNvCxnSpPr/>
      </xdr:nvCxnSpPr>
      <xdr:spPr>
        <a:xfrm>
          <a:off x="6852121" y="78963345"/>
          <a:ext cx="2004905" cy="166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73142</xdr:colOff>
      <xdr:row>682</xdr:row>
      <xdr:rowOff>7147</xdr:rowOff>
    </xdr:from>
    <xdr:to>
      <xdr:col>34</xdr:col>
      <xdr:colOff>151479</xdr:colOff>
      <xdr:row>685</xdr:row>
      <xdr:rowOff>160474</xdr:rowOff>
    </xdr:to>
    <xdr:grpSp>
      <xdr:nvGrpSpPr>
        <xdr:cNvPr id="477" name="グループ化 170">
          <a:extLst>
            <a:ext uri="{FF2B5EF4-FFF2-40B4-BE49-F238E27FC236}">
              <a16:creationId xmlns:a16="http://schemas.microsoft.com/office/drawing/2014/main" id="{998B3B1B-2CE8-4342-916C-F0F1A5F174B9}"/>
            </a:ext>
          </a:extLst>
        </xdr:cNvPr>
        <xdr:cNvGrpSpPr>
          <a:grpSpLocks noChangeAspect="1"/>
        </xdr:cNvGrpSpPr>
      </xdr:nvGrpSpPr>
      <xdr:grpSpPr>
        <a:xfrm>
          <a:off x="5502392" y="117097972"/>
          <a:ext cx="802237" cy="667677"/>
          <a:chOff x="7102989" y="2892424"/>
          <a:chExt cx="873125" cy="603230"/>
        </a:xfrm>
      </xdr:grpSpPr>
      <xdr:sp macro="" textlink="">
        <xdr:nvSpPr>
          <xdr:cNvPr id="478" name="フローチャート: 磁気ディスク 171">
            <a:extLst>
              <a:ext uri="{FF2B5EF4-FFF2-40B4-BE49-F238E27FC236}">
                <a16:creationId xmlns:a16="http://schemas.microsoft.com/office/drawing/2014/main" id="{E569E0A0-132B-E4D8-C41B-3A43C56AA39B}"/>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83" name="正方形/長方形 172">
            <a:extLst>
              <a:ext uri="{FF2B5EF4-FFF2-40B4-BE49-F238E27FC236}">
                <a16:creationId xmlns:a16="http://schemas.microsoft.com/office/drawing/2014/main" id="{80CC1A03-C0C9-0E15-3F83-FC6996840BB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償却シミュレーション一覧</a:t>
            </a:r>
          </a:p>
        </xdr:txBody>
      </xdr:sp>
    </xdr:grpSp>
    <xdr:clientData/>
  </xdr:twoCellAnchor>
  <xdr:twoCellAnchor>
    <xdr:from>
      <xdr:col>18</xdr:col>
      <xdr:colOff>46492</xdr:colOff>
      <xdr:row>689</xdr:row>
      <xdr:rowOff>153870</xdr:rowOff>
    </xdr:from>
    <xdr:to>
      <xdr:col>18</xdr:col>
      <xdr:colOff>57497</xdr:colOff>
      <xdr:row>692</xdr:row>
      <xdr:rowOff>168978</xdr:rowOff>
    </xdr:to>
    <xdr:cxnSp macro="">
      <xdr:nvCxnSpPr>
        <xdr:cNvPr id="484" name="直線矢印コネクタ 483">
          <a:extLst>
            <a:ext uri="{FF2B5EF4-FFF2-40B4-BE49-F238E27FC236}">
              <a16:creationId xmlns:a16="http://schemas.microsoft.com/office/drawing/2014/main" id="{EF490D95-B5A3-451C-932E-7B38F7E1497E}"/>
            </a:ext>
          </a:extLst>
        </xdr:cNvPr>
        <xdr:cNvCxnSpPr>
          <a:stCxn id="468" idx="2"/>
          <a:endCxn id="475" idx="0"/>
        </xdr:cNvCxnSpPr>
      </xdr:nvCxnSpPr>
      <xdr:spPr>
        <a:xfrm>
          <a:off x="4237492" y="74321870"/>
          <a:ext cx="11005" cy="53217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95259</xdr:colOff>
      <xdr:row>678</xdr:row>
      <xdr:rowOff>94203</xdr:rowOff>
    </xdr:from>
    <xdr:to>
      <xdr:col>20</xdr:col>
      <xdr:colOff>177</xdr:colOff>
      <xdr:row>680</xdr:row>
      <xdr:rowOff>26189</xdr:rowOff>
    </xdr:to>
    <xdr:sp macro="" textlink="">
      <xdr:nvSpPr>
        <xdr:cNvPr id="485" name="フローチャート: 端子 26">
          <a:extLst>
            <a:ext uri="{FF2B5EF4-FFF2-40B4-BE49-F238E27FC236}">
              <a16:creationId xmlns:a16="http://schemas.microsoft.com/office/drawing/2014/main" id="{8EBBE3A9-BED9-4438-99B4-57E965787405}"/>
            </a:ext>
          </a:extLst>
        </xdr:cNvPr>
        <xdr:cNvSpPr/>
      </xdr:nvSpPr>
      <xdr:spPr>
        <a:xfrm>
          <a:off x="3887116" y="72366274"/>
          <a:ext cx="703204" cy="27670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42266</xdr:colOff>
      <xdr:row>680</xdr:row>
      <xdr:rowOff>29364</xdr:rowOff>
    </xdr:from>
    <xdr:to>
      <xdr:col>18</xdr:col>
      <xdr:colOff>49079</xdr:colOff>
      <xdr:row>682</xdr:row>
      <xdr:rowOff>62364</xdr:rowOff>
    </xdr:to>
    <xdr:cxnSp macro="">
      <xdr:nvCxnSpPr>
        <xdr:cNvPr id="486" name="直線矢印コネクタ 485">
          <a:extLst>
            <a:ext uri="{FF2B5EF4-FFF2-40B4-BE49-F238E27FC236}">
              <a16:creationId xmlns:a16="http://schemas.microsoft.com/office/drawing/2014/main" id="{A5B80BEC-9147-4040-AE4B-67633FDA04DA}"/>
            </a:ext>
          </a:extLst>
        </xdr:cNvPr>
        <xdr:cNvCxnSpPr>
          <a:cxnSpLocks/>
          <a:stCxn id="485" idx="2"/>
          <a:endCxn id="460" idx="0"/>
        </xdr:cNvCxnSpPr>
      </xdr:nvCxnSpPr>
      <xdr:spPr>
        <a:xfrm flipH="1">
          <a:off x="4233266" y="72646150"/>
          <a:ext cx="6813" cy="37771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112682</xdr:colOff>
      <xdr:row>764</xdr:row>
      <xdr:rowOff>44830</xdr:rowOff>
    </xdr:from>
    <xdr:to>
      <xdr:col>25</xdr:col>
      <xdr:colOff>142876</xdr:colOff>
      <xdr:row>767</xdr:row>
      <xdr:rowOff>22726</xdr:rowOff>
    </xdr:to>
    <xdr:grpSp>
      <xdr:nvGrpSpPr>
        <xdr:cNvPr id="490" name="グループ化 489">
          <a:extLst>
            <a:ext uri="{FF2B5EF4-FFF2-40B4-BE49-F238E27FC236}">
              <a16:creationId xmlns:a16="http://schemas.microsoft.com/office/drawing/2014/main" id="{2A46D2B4-B888-45C6-B689-DB89DA2154BD}"/>
            </a:ext>
          </a:extLst>
        </xdr:cNvPr>
        <xdr:cNvGrpSpPr>
          <a:grpSpLocks noChangeAspect="1"/>
        </xdr:cNvGrpSpPr>
      </xdr:nvGrpSpPr>
      <xdr:grpSpPr>
        <a:xfrm>
          <a:off x="3370232" y="131194555"/>
          <a:ext cx="1297019" cy="492246"/>
          <a:chOff x="2411978" y="18461128"/>
          <a:chExt cx="1586413" cy="566261"/>
        </a:xfrm>
      </xdr:grpSpPr>
      <xdr:sp macro="" textlink="">
        <xdr:nvSpPr>
          <xdr:cNvPr id="495" name="フローチャート: 書類 494">
            <a:extLst>
              <a:ext uri="{FF2B5EF4-FFF2-40B4-BE49-F238E27FC236}">
                <a16:creationId xmlns:a16="http://schemas.microsoft.com/office/drawing/2014/main" id="{14FA094E-644F-43DD-B3EA-AADE7BF7738B}"/>
              </a:ext>
            </a:extLst>
          </xdr:cNvPr>
          <xdr:cNvSpPr/>
        </xdr:nvSpPr>
        <xdr:spPr>
          <a:xfrm>
            <a:off x="2654238" y="18545176"/>
            <a:ext cx="1008792"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96" name="正方形/長方形 495">
            <a:extLst>
              <a:ext uri="{FF2B5EF4-FFF2-40B4-BE49-F238E27FC236}">
                <a16:creationId xmlns:a16="http://schemas.microsoft.com/office/drawing/2014/main" id="{2F88F385-34EC-CE1B-15CD-30314822432B}"/>
              </a:ext>
            </a:extLst>
          </xdr:cNvPr>
          <xdr:cNvSpPr/>
        </xdr:nvSpPr>
        <xdr:spPr>
          <a:xfrm>
            <a:off x="2411978" y="18461128"/>
            <a:ext cx="1586413"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種類別明細書</a:t>
            </a:r>
            <a:endParaRPr kumimoji="1" lang="en-US" altLang="ja-JP" sz="900"/>
          </a:p>
          <a:p>
            <a:pPr algn="ctr"/>
            <a:r>
              <a:rPr kumimoji="1" lang="ja-JP" altLang="en-US" sz="900"/>
              <a:t>（増加資産・全資産用）</a:t>
            </a:r>
          </a:p>
        </xdr:txBody>
      </xdr:sp>
    </xdr:grpSp>
    <xdr:clientData/>
  </xdr:twoCellAnchor>
  <xdr:twoCellAnchor>
    <xdr:from>
      <xdr:col>23</xdr:col>
      <xdr:colOff>18859</xdr:colOff>
      <xdr:row>766</xdr:row>
      <xdr:rowOff>143235</xdr:rowOff>
    </xdr:from>
    <xdr:to>
      <xdr:col>28</xdr:col>
      <xdr:colOff>44451</xdr:colOff>
      <xdr:row>769</xdr:row>
      <xdr:rowOff>125264</xdr:rowOff>
    </xdr:to>
    <xdr:grpSp>
      <xdr:nvGrpSpPr>
        <xdr:cNvPr id="501" name="グループ化 500">
          <a:extLst>
            <a:ext uri="{FF2B5EF4-FFF2-40B4-BE49-F238E27FC236}">
              <a16:creationId xmlns:a16="http://schemas.microsoft.com/office/drawing/2014/main" id="{4C1F1134-C029-46C8-914D-AC858AB55740}"/>
            </a:ext>
          </a:extLst>
        </xdr:cNvPr>
        <xdr:cNvGrpSpPr>
          <a:grpSpLocks noChangeAspect="1"/>
        </xdr:cNvGrpSpPr>
      </xdr:nvGrpSpPr>
      <xdr:grpSpPr>
        <a:xfrm>
          <a:off x="4181284" y="131635860"/>
          <a:ext cx="930467" cy="496379"/>
          <a:chOff x="2589538" y="18484438"/>
          <a:chExt cx="1138909" cy="566261"/>
        </a:xfrm>
      </xdr:grpSpPr>
      <xdr:sp macro="" textlink="">
        <xdr:nvSpPr>
          <xdr:cNvPr id="502" name="フローチャート: 書類 501">
            <a:extLst>
              <a:ext uri="{FF2B5EF4-FFF2-40B4-BE49-F238E27FC236}">
                <a16:creationId xmlns:a16="http://schemas.microsoft.com/office/drawing/2014/main" id="{6F8CAB26-BB43-8800-3AE7-55B3CEED76C6}"/>
              </a:ext>
            </a:extLst>
          </xdr:cNvPr>
          <xdr:cNvSpPr/>
        </xdr:nvSpPr>
        <xdr:spPr>
          <a:xfrm>
            <a:off x="2654238" y="18545176"/>
            <a:ext cx="1008792"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03" name="正方形/長方形 502">
            <a:extLst>
              <a:ext uri="{FF2B5EF4-FFF2-40B4-BE49-F238E27FC236}">
                <a16:creationId xmlns:a16="http://schemas.microsoft.com/office/drawing/2014/main" id="{453D942F-1B13-0F69-0AFD-19A545CBF55E}"/>
              </a:ext>
            </a:extLst>
          </xdr:cNvPr>
          <xdr:cNvSpPr/>
        </xdr:nvSpPr>
        <xdr:spPr>
          <a:xfrm>
            <a:off x="2589538" y="18484438"/>
            <a:ext cx="1138909"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種類別明細書</a:t>
            </a:r>
            <a:endParaRPr kumimoji="1" lang="en-US" altLang="ja-JP" sz="900"/>
          </a:p>
          <a:p>
            <a:pPr algn="ctr"/>
            <a:r>
              <a:rPr kumimoji="1" lang="ja-JP" altLang="en-US" sz="900"/>
              <a:t>（減少資産用）</a:t>
            </a:r>
          </a:p>
        </xdr:txBody>
      </xdr:sp>
    </xdr:grpSp>
    <xdr:clientData/>
  </xdr:twoCellAnchor>
  <xdr:twoCellAnchor>
    <xdr:from>
      <xdr:col>13</xdr:col>
      <xdr:colOff>134928</xdr:colOff>
      <xdr:row>775</xdr:row>
      <xdr:rowOff>136305</xdr:rowOff>
    </xdr:from>
    <xdr:to>
      <xdr:col>23</xdr:col>
      <xdr:colOff>19303</xdr:colOff>
      <xdr:row>779</xdr:row>
      <xdr:rowOff>39682</xdr:rowOff>
    </xdr:to>
    <xdr:grpSp>
      <xdr:nvGrpSpPr>
        <xdr:cNvPr id="511" name="グループ化 8">
          <a:extLst>
            <a:ext uri="{FF2B5EF4-FFF2-40B4-BE49-F238E27FC236}">
              <a16:creationId xmlns:a16="http://schemas.microsoft.com/office/drawing/2014/main" id="{23010443-2CEE-41F8-BD49-C244EA3E1234}"/>
            </a:ext>
          </a:extLst>
        </xdr:cNvPr>
        <xdr:cNvGrpSpPr/>
      </xdr:nvGrpSpPr>
      <xdr:grpSpPr>
        <a:xfrm>
          <a:off x="2487603" y="133171980"/>
          <a:ext cx="1694125" cy="589177"/>
          <a:chOff x="1202425" y="3664538"/>
          <a:chExt cx="1576312" cy="457603"/>
        </a:xfrm>
      </xdr:grpSpPr>
      <xdr:sp macro="" textlink="">
        <xdr:nvSpPr>
          <xdr:cNvPr id="514" name="フローチャート: 定義済み処理 9">
            <a:extLst>
              <a:ext uri="{FF2B5EF4-FFF2-40B4-BE49-F238E27FC236}">
                <a16:creationId xmlns:a16="http://schemas.microsoft.com/office/drawing/2014/main" id="{5EBFEC4E-09CB-4737-25EA-71D64AA43EBA}"/>
              </a:ext>
            </a:extLst>
          </xdr:cNvPr>
          <xdr:cNvSpPr/>
        </xdr:nvSpPr>
        <xdr:spPr>
          <a:xfrm>
            <a:off x="1553003" y="3697387"/>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17" name="正方形/長方形 48">
            <a:extLst>
              <a:ext uri="{FF2B5EF4-FFF2-40B4-BE49-F238E27FC236}">
                <a16:creationId xmlns:a16="http://schemas.microsoft.com/office/drawing/2014/main" id="{6EC2CB32-B556-6F18-8460-9F377F9F0F43}"/>
              </a:ext>
            </a:extLst>
          </xdr:cNvPr>
          <xdr:cNvSpPr/>
        </xdr:nvSpPr>
        <xdr:spPr>
          <a:xfrm>
            <a:off x="1202425" y="3664538"/>
            <a:ext cx="1576312" cy="4576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申告 </a:t>
            </a:r>
            <a:r>
              <a:rPr kumimoji="1" lang="en-US" altLang="ja-JP" sz="900"/>
              <a:t>26 - 1: </a:t>
            </a:r>
            <a:r>
              <a:rPr kumimoji="1" lang="ja-JP" altLang="en-US" sz="900"/>
              <a:t>全資産および増加資産のタイプごとの詳細レポート</a:t>
            </a:r>
          </a:p>
        </xdr:txBody>
      </xdr:sp>
    </xdr:grpSp>
    <xdr:clientData/>
  </xdr:twoCellAnchor>
  <xdr:twoCellAnchor>
    <xdr:from>
      <xdr:col>18</xdr:col>
      <xdr:colOff>42854</xdr:colOff>
      <xdr:row>760</xdr:row>
      <xdr:rowOff>28552</xdr:rowOff>
    </xdr:from>
    <xdr:to>
      <xdr:col>25</xdr:col>
      <xdr:colOff>131345</xdr:colOff>
      <xdr:row>767</xdr:row>
      <xdr:rowOff>25037</xdr:rowOff>
    </xdr:to>
    <xdr:cxnSp macro="">
      <xdr:nvCxnSpPr>
        <xdr:cNvPr id="648" name="コネクタ: カギ線 647">
          <a:extLst>
            <a:ext uri="{FF2B5EF4-FFF2-40B4-BE49-F238E27FC236}">
              <a16:creationId xmlns:a16="http://schemas.microsoft.com/office/drawing/2014/main" id="{0A8DE310-05B5-44B9-8B2F-2FA838B70732}"/>
            </a:ext>
          </a:extLst>
        </xdr:cNvPr>
        <xdr:cNvCxnSpPr>
          <a:stCxn id="332" idx="2"/>
          <a:endCxn id="502" idx="0"/>
        </xdr:cNvCxnSpPr>
      </xdr:nvCxnSpPr>
      <xdr:spPr>
        <a:xfrm rot="16200000" flipH="1">
          <a:off x="4389394" y="86521937"/>
          <a:ext cx="1196635" cy="1488666"/>
        </a:xfrm>
        <a:prstGeom prst="bentConnector3">
          <a:avLst>
            <a:gd name="adj1" fmla="val 1577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135952</xdr:colOff>
      <xdr:row>777</xdr:row>
      <xdr:rowOff>76131</xdr:rowOff>
    </xdr:from>
    <xdr:to>
      <xdr:col>30</xdr:col>
      <xdr:colOff>189158</xdr:colOff>
      <xdr:row>777</xdr:row>
      <xdr:rowOff>77309</xdr:rowOff>
    </xdr:to>
    <xdr:cxnSp macro="">
      <xdr:nvCxnSpPr>
        <xdr:cNvPr id="665" name="直線矢印コネクタ 664">
          <a:extLst>
            <a:ext uri="{FF2B5EF4-FFF2-40B4-BE49-F238E27FC236}">
              <a16:creationId xmlns:a16="http://schemas.microsoft.com/office/drawing/2014/main" id="{45515D9D-939C-4F6C-BDB4-79CA32207270}"/>
            </a:ext>
          </a:extLst>
        </xdr:cNvPr>
        <xdr:cNvCxnSpPr>
          <a:stCxn id="514" idx="3"/>
        </xdr:cNvCxnSpPr>
      </xdr:nvCxnSpPr>
      <xdr:spPr>
        <a:xfrm>
          <a:off x="6809225" y="95868767"/>
          <a:ext cx="2015933" cy="117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143299</xdr:colOff>
      <xdr:row>775</xdr:row>
      <xdr:rowOff>106726</xdr:rowOff>
    </xdr:from>
    <xdr:to>
      <xdr:col>35</xdr:col>
      <xdr:colOff>199570</xdr:colOff>
      <xdr:row>780</xdr:row>
      <xdr:rowOff>79813</xdr:rowOff>
    </xdr:to>
    <xdr:grpSp>
      <xdr:nvGrpSpPr>
        <xdr:cNvPr id="169" name="グループ化 516">
          <a:extLst>
            <a:ext uri="{FF2B5EF4-FFF2-40B4-BE49-F238E27FC236}">
              <a16:creationId xmlns:a16="http://schemas.microsoft.com/office/drawing/2014/main" id="{CD9759AB-E215-4BDE-8BAC-02D4B57A9046}"/>
            </a:ext>
          </a:extLst>
        </xdr:cNvPr>
        <xdr:cNvGrpSpPr>
          <a:grpSpLocks noChangeAspect="1"/>
        </xdr:cNvGrpSpPr>
      </xdr:nvGrpSpPr>
      <xdr:grpSpPr>
        <a:xfrm>
          <a:off x="5391574" y="133142401"/>
          <a:ext cx="1123071" cy="830337"/>
          <a:chOff x="6898121" y="2840539"/>
          <a:chExt cx="1924459" cy="752616"/>
        </a:xfrm>
      </xdr:grpSpPr>
      <xdr:sp macro="" textlink="">
        <xdr:nvSpPr>
          <xdr:cNvPr id="172" name="フローチャート: 磁気ディスク 517">
            <a:extLst>
              <a:ext uri="{FF2B5EF4-FFF2-40B4-BE49-F238E27FC236}">
                <a16:creationId xmlns:a16="http://schemas.microsoft.com/office/drawing/2014/main" id="{3D338109-9A2C-22CB-C2EA-EB180E0B4694}"/>
              </a:ext>
            </a:extLst>
          </xdr:cNvPr>
          <xdr:cNvSpPr/>
        </xdr:nvSpPr>
        <xdr:spPr>
          <a:xfrm>
            <a:off x="7204076" y="2840539"/>
            <a:ext cx="1306429"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3" name="正方形/長方形 518">
            <a:extLst>
              <a:ext uri="{FF2B5EF4-FFF2-40B4-BE49-F238E27FC236}">
                <a16:creationId xmlns:a16="http://schemas.microsoft.com/office/drawing/2014/main" id="{F6DB52F7-604D-BF2C-D0AE-B9B429739943}"/>
              </a:ext>
            </a:extLst>
          </xdr:cNvPr>
          <xdr:cNvSpPr/>
        </xdr:nvSpPr>
        <xdr:spPr>
          <a:xfrm>
            <a:off x="6898121" y="2931216"/>
            <a:ext cx="1924459" cy="6619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申告 </a:t>
            </a:r>
            <a:r>
              <a:rPr kumimoji="1" lang="en-US" altLang="ja-JP" sz="900"/>
              <a:t>26 - 1: </a:t>
            </a:r>
            <a:r>
              <a:rPr kumimoji="1" lang="ja-JP" altLang="en-US" sz="900"/>
              <a:t>全資産および増加資産のタイプごとの詳細レポート</a:t>
            </a:r>
          </a:p>
        </xdr:txBody>
      </xdr:sp>
    </xdr:grpSp>
    <xdr:clientData/>
  </xdr:twoCellAnchor>
  <xdr:twoCellAnchor>
    <xdr:from>
      <xdr:col>18</xdr:col>
      <xdr:colOff>45714</xdr:colOff>
      <xdr:row>778</xdr:row>
      <xdr:rowOff>146217</xdr:rowOff>
    </xdr:from>
    <xdr:to>
      <xdr:col>18</xdr:col>
      <xdr:colOff>46905</xdr:colOff>
      <xdr:row>780</xdr:row>
      <xdr:rowOff>165976</xdr:rowOff>
    </xdr:to>
    <xdr:cxnSp macro="">
      <xdr:nvCxnSpPr>
        <xdr:cNvPr id="674" name="直線矢印コネクタ 673">
          <a:extLst>
            <a:ext uri="{FF2B5EF4-FFF2-40B4-BE49-F238E27FC236}">
              <a16:creationId xmlns:a16="http://schemas.microsoft.com/office/drawing/2014/main" id="{D81E2BD5-BC09-46BA-81A4-65B94C41FE65}"/>
            </a:ext>
          </a:extLst>
        </xdr:cNvPr>
        <xdr:cNvCxnSpPr>
          <a:stCxn id="514" idx="2"/>
          <a:endCxn id="676" idx="0"/>
        </xdr:cNvCxnSpPr>
      </xdr:nvCxnSpPr>
      <xdr:spPr>
        <a:xfrm>
          <a:off x="6326441" y="96112035"/>
          <a:ext cx="1191" cy="3661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85725</xdr:colOff>
      <xdr:row>780</xdr:row>
      <xdr:rowOff>96470</xdr:rowOff>
    </xdr:from>
    <xdr:to>
      <xdr:col>22</xdr:col>
      <xdr:colOff>47625</xdr:colOff>
      <xdr:row>783</xdr:row>
      <xdr:rowOff>73740</xdr:rowOff>
    </xdr:to>
    <xdr:grpSp>
      <xdr:nvGrpSpPr>
        <xdr:cNvPr id="675" name="グループ化 674">
          <a:extLst>
            <a:ext uri="{FF2B5EF4-FFF2-40B4-BE49-F238E27FC236}">
              <a16:creationId xmlns:a16="http://schemas.microsoft.com/office/drawing/2014/main" id="{A37732BB-A135-45CD-9A09-E57FA0609130}"/>
            </a:ext>
          </a:extLst>
        </xdr:cNvPr>
        <xdr:cNvGrpSpPr>
          <a:grpSpLocks noChangeAspect="1"/>
        </xdr:cNvGrpSpPr>
      </xdr:nvGrpSpPr>
      <xdr:grpSpPr>
        <a:xfrm>
          <a:off x="2619375" y="133989395"/>
          <a:ext cx="1409700" cy="491620"/>
          <a:chOff x="2319711" y="18465954"/>
          <a:chExt cx="1722296" cy="566261"/>
        </a:xfrm>
      </xdr:grpSpPr>
      <xdr:sp macro="" textlink="">
        <xdr:nvSpPr>
          <xdr:cNvPr id="676" name="フローチャート: 書類 675">
            <a:extLst>
              <a:ext uri="{FF2B5EF4-FFF2-40B4-BE49-F238E27FC236}">
                <a16:creationId xmlns:a16="http://schemas.microsoft.com/office/drawing/2014/main" id="{684DAEC6-CBE2-85D5-2F5C-736FB28DE168}"/>
              </a:ext>
            </a:extLst>
          </xdr:cNvPr>
          <xdr:cNvSpPr/>
        </xdr:nvSpPr>
        <xdr:spPr>
          <a:xfrm>
            <a:off x="2654238" y="18545176"/>
            <a:ext cx="1008792"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677" name="正方形/長方形 676">
            <a:extLst>
              <a:ext uri="{FF2B5EF4-FFF2-40B4-BE49-F238E27FC236}">
                <a16:creationId xmlns:a16="http://schemas.microsoft.com/office/drawing/2014/main" id="{77E303F1-E73F-F271-E620-DC127EA0FA5D}"/>
              </a:ext>
            </a:extLst>
          </xdr:cNvPr>
          <xdr:cNvSpPr/>
        </xdr:nvSpPr>
        <xdr:spPr>
          <a:xfrm>
            <a:off x="2319711" y="18465954"/>
            <a:ext cx="1722296"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種類別明細書</a:t>
            </a:r>
            <a:endParaRPr kumimoji="1" lang="en-US" altLang="ja-JP" sz="900"/>
          </a:p>
          <a:p>
            <a:pPr algn="ctr"/>
            <a:r>
              <a:rPr kumimoji="1" lang="ja-JP" altLang="en-US" sz="900"/>
              <a:t>（増加資産・全資産用）</a:t>
            </a:r>
          </a:p>
        </xdr:txBody>
      </xdr:sp>
    </xdr:grpSp>
    <xdr:clientData/>
  </xdr:twoCellAnchor>
  <xdr:twoCellAnchor>
    <xdr:from>
      <xdr:col>13</xdr:col>
      <xdr:colOff>134928</xdr:colOff>
      <xdr:row>789</xdr:row>
      <xdr:rowOff>136305</xdr:rowOff>
    </xdr:from>
    <xdr:to>
      <xdr:col>23</xdr:col>
      <xdr:colOff>19303</xdr:colOff>
      <xdr:row>793</xdr:row>
      <xdr:rowOff>39682</xdr:rowOff>
    </xdr:to>
    <xdr:grpSp>
      <xdr:nvGrpSpPr>
        <xdr:cNvPr id="687" name="グループ化 8">
          <a:extLst>
            <a:ext uri="{FF2B5EF4-FFF2-40B4-BE49-F238E27FC236}">
              <a16:creationId xmlns:a16="http://schemas.microsoft.com/office/drawing/2014/main" id="{11C4F324-DA91-414B-983D-364067D4A2FC}"/>
            </a:ext>
          </a:extLst>
        </xdr:cNvPr>
        <xdr:cNvGrpSpPr/>
      </xdr:nvGrpSpPr>
      <xdr:grpSpPr>
        <a:xfrm>
          <a:off x="2487603" y="135572280"/>
          <a:ext cx="1694125" cy="589177"/>
          <a:chOff x="1202425" y="3664538"/>
          <a:chExt cx="1576312" cy="457603"/>
        </a:xfrm>
      </xdr:grpSpPr>
      <xdr:sp macro="" textlink="">
        <xdr:nvSpPr>
          <xdr:cNvPr id="688" name="フローチャート: 定義済み処理 9">
            <a:extLst>
              <a:ext uri="{FF2B5EF4-FFF2-40B4-BE49-F238E27FC236}">
                <a16:creationId xmlns:a16="http://schemas.microsoft.com/office/drawing/2014/main" id="{76A1E216-4338-64A4-A36A-B81EACF60333}"/>
              </a:ext>
            </a:extLst>
          </xdr:cNvPr>
          <xdr:cNvSpPr/>
        </xdr:nvSpPr>
        <xdr:spPr>
          <a:xfrm>
            <a:off x="1553003" y="3697387"/>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89" name="正方形/長方形 48">
            <a:extLst>
              <a:ext uri="{FF2B5EF4-FFF2-40B4-BE49-F238E27FC236}">
                <a16:creationId xmlns:a16="http://schemas.microsoft.com/office/drawing/2014/main" id="{7C600476-9313-5B99-035A-E81AAD8632FC}"/>
              </a:ext>
            </a:extLst>
          </xdr:cNvPr>
          <xdr:cNvSpPr/>
        </xdr:nvSpPr>
        <xdr:spPr>
          <a:xfrm>
            <a:off x="1202425" y="3664538"/>
            <a:ext cx="1576312" cy="4576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申告 </a:t>
            </a:r>
            <a:r>
              <a:rPr kumimoji="1" lang="en-US" altLang="ja-JP" sz="900"/>
              <a:t>26 - 2: </a:t>
            </a:r>
            <a:r>
              <a:rPr kumimoji="1" lang="ja-JP" altLang="en-US" sz="900"/>
              <a:t>減少資産のタイプごとの詳細レポート</a:t>
            </a:r>
          </a:p>
        </xdr:txBody>
      </xdr:sp>
    </xdr:grpSp>
    <xdr:clientData/>
  </xdr:twoCellAnchor>
  <xdr:twoCellAnchor>
    <xdr:from>
      <xdr:col>20</xdr:col>
      <xdr:colOff>135952</xdr:colOff>
      <xdr:row>791</xdr:row>
      <xdr:rowOff>76131</xdr:rowOff>
    </xdr:from>
    <xdr:to>
      <xdr:col>31</xdr:col>
      <xdr:colOff>3065</xdr:colOff>
      <xdr:row>791</xdr:row>
      <xdr:rowOff>80596</xdr:rowOff>
    </xdr:to>
    <xdr:cxnSp macro="">
      <xdr:nvCxnSpPr>
        <xdr:cNvPr id="690" name="直線矢印コネクタ 689">
          <a:extLst>
            <a:ext uri="{FF2B5EF4-FFF2-40B4-BE49-F238E27FC236}">
              <a16:creationId xmlns:a16="http://schemas.microsoft.com/office/drawing/2014/main" id="{5AF8F963-4B8D-4702-BDC6-B20D31CEA6F3}"/>
            </a:ext>
          </a:extLst>
        </xdr:cNvPr>
        <xdr:cNvCxnSpPr>
          <a:stCxn id="688" idx="3"/>
        </xdr:cNvCxnSpPr>
      </xdr:nvCxnSpPr>
      <xdr:spPr>
        <a:xfrm>
          <a:off x="6809225" y="98293313"/>
          <a:ext cx="2026113" cy="446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25373</xdr:colOff>
      <xdr:row>789</xdr:row>
      <xdr:rowOff>103573</xdr:rowOff>
    </xdr:from>
    <xdr:to>
      <xdr:col>35</xdr:col>
      <xdr:colOff>145146</xdr:colOff>
      <xdr:row>794</xdr:row>
      <xdr:rowOff>43553</xdr:rowOff>
    </xdr:to>
    <xdr:grpSp>
      <xdr:nvGrpSpPr>
        <xdr:cNvPr id="691" name="グループ化 516">
          <a:extLst>
            <a:ext uri="{FF2B5EF4-FFF2-40B4-BE49-F238E27FC236}">
              <a16:creationId xmlns:a16="http://schemas.microsoft.com/office/drawing/2014/main" id="{57ED2516-1E2B-4F48-84D5-D5C2C0F4557C}"/>
            </a:ext>
          </a:extLst>
        </xdr:cNvPr>
        <xdr:cNvGrpSpPr>
          <a:grpSpLocks noChangeAspect="1"/>
        </xdr:cNvGrpSpPr>
      </xdr:nvGrpSpPr>
      <xdr:grpSpPr>
        <a:xfrm>
          <a:off x="5454623" y="135539548"/>
          <a:ext cx="1024648" cy="797230"/>
          <a:chOff x="7033310" y="2840539"/>
          <a:chExt cx="1076632" cy="720246"/>
        </a:xfrm>
      </xdr:grpSpPr>
      <xdr:sp macro="" textlink="">
        <xdr:nvSpPr>
          <xdr:cNvPr id="692" name="フローチャート: 磁気ディスク 517">
            <a:extLst>
              <a:ext uri="{FF2B5EF4-FFF2-40B4-BE49-F238E27FC236}">
                <a16:creationId xmlns:a16="http://schemas.microsoft.com/office/drawing/2014/main" id="{1B9002E2-F7FF-843A-9AB3-22D28F45244C}"/>
              </a:ext>
            </a:extLst>
          </xdr:cNvPr>
          <xdr:cNvSpPr/>
        </xdr:nvSpPr>
        <xdr:spPr>
          <a:xfrm>
            <a:off x="7204076" y="2840539"/>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93" name="正方形/長方形 518">
            <a:extLst>
              <a:ext uri="{FF2B5EF4-FFF2-40B4-BE49-F238E27FC236}">
                <a16:creationId xmlns:a16="http://schemas.microsoft.com/office/drawing/2014/main" id="{A5836B2F-BC3A-9291-572E-D337B013D0D3}"/>
              </a:ext>
            </a:extLst>
          </xdr:cNvPr>
          <xdr:cNvSpPr/>
        </xdr:nvSpPr>
        <xdr:spPr>
          <a:xfrm>
            <a:off x="7033310" y="2898846"/>
            <a:ext cx="1076632" cy="66193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申告 </a:t>
            </a:r>
            <a:r>
              <a:rPr kumimoji="1" lang="en-US" altLang="ja-JP" sz="900"/>
              <a:t>26 - 2: </a:t>
            </a:r>
            <a:r>
              <a:rPr kumimoji="1" lang="ja-JP" altLang="en-US" sz="900"/>
              <a:t>減少資産のタイプごとの詳細レポート</a:t>
            </a:r>
          </a:p>
        </xdr:txBody>
      </xdr:sp>
    </xdr:grpSp>
    <xdr:clientData/>
  </xdr:twoCellAnchor>
  <xdr:twoCellAnchor>
    <xdr:from>
      <xdr:col>18</xdr:col>
      <xdr:colOff>45714</xdr:colOff>
      <xdr:row>792</xdr:row>
      <xdr:rowOff>146216</xdr:rowOff>
    </xdr:from>
    <xdr:to>
      <xdr:col>18</xdr:col>
      <xdr:colOff>46754</xdr:colOff>
      <xdr:row>794</xdr:row>
      <xdr:rowOff>163317</xdr:rowOff>
    </xdr:to>
    <xdr:cxnSp macro="">
      <xdr:nvCxnSpPr>
        <xdr:cNvPr id="694" name="直線矢印コネクタ 693">
          <a:extLst>
            <a:ext uri="{FF2B5EF4-FFF2-40B4-BE49-F238E27FC236}">
              <a16:creationId xmlns:a16="http://schemas.microsoft.com/office/drawing/2014/main" id="{13803504-6492-4091-89CA-DF736DC74F33}"/>
            </a:ext>
          </a:extLst>
        </xdr:cNvPr>
        <xdr:cNvCxnSpPr>
          <a:stCxn id="688" idx="2"/>
          <a:endCxn id="696" idx="0"/>
        </xdr:cNvCxnSpPr>
      </xdr:nvCxnSpPr>
      <xdr:spPr>
        <a:xfrm>
          <a:off x="6326441" y="98536580"/>
          <a:ext cx="1040" cy="36346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85725</xdr:colOff>
      <xdr:row>794</xdr:row>
      <xdr:rowOff>93295</xdr:rowOff>
    </xdr:from>
    <xdr:to>
      <xdr:col>21</xdr:col>
      <xdr:colOff>31406</xdr:colOff>
      <xdr:row>797</xdr:row>
      <xdr:rowOff>76915</xdr:rowOff>
    </xdr:to>
    <xdr:grpSp>
      <xdr:nvGrpSpPr>
        <xdr:cNvPr id="695" name="グループ化 694">
          <a:extLst>
            <a:ext uri="{FF2B5EF4-FFF2-40B4-BE49-F238E27FC236}">
              <a16:creationId xmlns:a16="http://schemas.microsoft.com/office/drawing/2014/main" id="{706E395F-FEF7-489B-B844-A9223E794EDC}"/>
            </a:ext>
          </a:extLst>
        </xdr:cNvPr>
        <xdr:cNvGrpSpPr>
          <a:grpSpLocks noChangeAspect="1"/>
        </xdr:cNvGrpSpPr>
      </xdr:nvGrpSpPr>
      <xdr:grpSpPr>
        <a:xfrm>
          <a:off x="2800350" y="136386520"/>
          <a:ext cx="1031531" cy="497970"/>
          <a:chOff x="2540249" y="18466373"/>
          <a:chExt cx="1263338" cy="566261"/>
        </a:xfrm>
      </xdr:grpSpPr>
      <xdr:sp macro="" textlink="">
        <xdr:nvSpPr>
          <xdr:cNvPr id="696" name="フローチャート: 書類 695">
            <a:extLst>
              <a:ext uri="{FF2B5EF4-FFF2-40B4-BE49-F238E27FC236}">
                <a16:creationId xmlns:a16="http://schemas.microsoft.com/office/drawing/2014/main" id="{8E2AB581-A5DF-84A5-4DBC-38DBD61773B8}"/>
              </a:ext>
            </a:extLst>
          </xdr:cNvPr>
          <xdr:cNvSpPr/>
        </xdr:nvSpPr>
        <xdr:spPr>
          <a:xfrm>
            <a:off x="2654238" y="18545176"/>
            <a:ext cx="1008792"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697" name="正方形/長方形 696">
            <a:extLst>
              <a:ext uri="{FF2B5EF4-FFF2-40B4-BE49-F238E27FC236}">
                <a16:creationId xmlns:a16="http://schemas.microsoft.com/office/drawing/2014/main" id="{12E3DBAF-B69A-A2A6-40B3-5EC5C0767CB0}"/>
              </a:ext>
            </a:extLst>
          </xdr:cNvPr>
          <xdr:cNvSpPr/>
        </xdr:nvSpPr>
        <xdr:spPr>
          <a:xfrm>
            <a:off x="2540249" y="18466373"/>
            <a:ext cx="1263338"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種類別明細書</a:t>
            </a:r>
            <a:endParaRPr kumimoji="1" lang="en-US" altLang="ja-JP" sz="900"/>
          </a:p>
          <a:p>
            <a:pPr algn="ctr"/>
            <a:r>
              <a:rPr kumimoji="1" lang="ja-JP" altLang="en-US" sz="900"/>
              <a:t>（減少資産用）</a:t>
            </a:r>
          </a:p>
        </xdr:txBody>
      </xdr:sp>
    </xdr:grpSp>
    <xdr:clientData/>
  </xdr:twoCellAnchor>
  <xdr:twoCellAnchor>
    <xdr:from>
      <xdr:col>16</xdr:col>
      <xdr:colOff>84931</xdr:colOff>
      <xdr:row>771</xdr:row>
      <xdr:rowOff>7053</xdr:rowOff>
    </xdr:from>
    <xdr:to>
      <xdr:col>20</xdr:col>
      <xdr:colOff>11013</xdr:colOff>
      <xdr:row>772</xdr:row>
      <xdr:rowOff>93019</xdr:rowOff>
    </xdr:to>
    <xdr:sp macro="" textlink="">
      <xdr:nvSpPr>
        <xdr:cNvPr id="698" name="フローチャート: 端子 26">
          <a:extLst>
            <a:ext uri="{FF2B5EF4-FFF2-40B4-BE49-F238E27FC236}">
              <a16:creationId xmlns:a16="http://schemas.microsoft.com/office/drawing/2014/main" id="{8221DD65-78C8-478B-8544-14C35CCB4922}"/>
            </a:ext>
          </a:extLst>
        </xdr:cNvPr>
        <xdr:cNvSpPr/>
      </xdr:nvSpPr>
      <xdr:spPr>
        <a:xfrm>
          <a:off x="3885406" y="88532403"/>
          <a:ext cx="726182" cy="25741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18</xdr:col>
      <xdr:colOff>47972</xdr:colOff>
      <xdr:row>764</xdr:row>
      <xdr:rowOff>116920</xdr:rowOff>
    </xdr:from>
    <xdr:to>
      <xdr:col>18</xdr:col>
      <xdr:colOff>48991</xdr:colOff>
      <xdr:row>771</xdr:row>
      <xdr:rowOff>10228</xdr:rowOff>
    </xdr:to>
    <xdr:cxnSp macro="">
      <xdr:nvCxnSpPr>
        <xdr:cNvPr id="699" name="直線矢印コネクタ 698">
          <a:extLst>
            <a:ext uri="{FF2B5EF4-FFF2-40B4-BE49-F238E27FC236}">
              <a16:creationId xmlns:a16="http://schemas.microsoft.com/office/drawing/2014/main" id="{045FC1F4-B2F8-4696-8517-EFD4C021557F}"/>
            </a:ext>
          </a:extLst>
        </xdr:cNvPr>
        <xdr:cNvCxnSpPr>
          <a:stCxn id="336" idx="2"/>
          <a:endCxn id="698" idx="0"/>
        </xdr:cNvCxnSpPr>
      </xdr:nvCxnSpPr>
      <xdr:spPr>
        <a:xfrm flipH="1">
          <a:off x="4248497" y="87442120"/>
          <a:ext cx="1019" cy="109345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5447</xdr:colOff>
      <xdr:row>11</xdr:row>
      <xdr:rowOff>172356</xdr:rowOff>
    </xdr:from>
    <xdr:to>
      <xdr:col>20</xdr:col>
      <xdr:colOff>113281</xdr:colOff>
      <xdr:row>13</xdr:row>
      <xdr:rowOff>85547</xdr:rowOff>
    </xdr:to>
    <xdr:sp macro="" textlink="">
      <xdr:nvSpPr>
        <xdr:cNvPr id="299" name="フローチャート: 端子 26">
          <a:extLst>
            <a:ext uri="{FF2B5EF4-FFF2-40B4-BE49-F238E27FC236}">
              <a16:creationId xmlns:a16="http://schemas.microsoft.com/office/drawing/2014/main" id="{0908EC5C-0404-4640-8069-C8447B39B57F}"/>
            </a:ext>
          </a:extLst>
        </xdr:cNvPr>
        <xdr:cNvSpPr/>
      </xdr:nvSpPr>
      <xdr:spPr>
        <a:xfrm>
          <a:off x="6192161" y="1950356"/>
          <a:ext cx="706549" cy="25790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157182</xdr:colOff>
      <xdr:row>13</xdr:row>
      <xdr:rowOff>88722</xdr:rowOff>
    </xdr:from>
    <xdr:to>
      <xdr:col>18</xdr:col>
      <xdr:colOff>159150</xdr:colOff>
      <xdr:row>15</xdr:row>
      <xdr:rowOff>50409</xdr:rowOff>
    </xdr:to>
    <xdr:cxnSp macro="">
      <xdr:nvCxnSpPr>
        <xdr:cNvPr id="300" name="直線矢印コネクタ 27">
          <a:extLst>
            <a:ext uri="{FF2B5EF4-FFF2-40B4-BE49-F238E27FC236}">
              <a16:creationId xmlns:a16="http://schemas.microsoft.com/office/drawing/2014/main" id="{8D18F0C1-816A-4452-AA6B-9846E1FB52ED}"/>
            </a:ext>
          </a:extLst>
        </xdr:cNvPr>
        <xdr:cNvCxnSpPr>
          <a:cxnSpLocks/>
          <a:stCxn id="299" idx="2"/>
          <a:endCxn id="302" idx="0"/>
        </xdr:cNvCxnSpPr>
      </xdr:nvCxnSpPr>
      <xdr:spPr>
        <a:xfrm flipH="1">
          <a:off x="6543468" y="2211436"/>
          <a:ext cx="1968" cy="3064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43383</xdr:colOff>
      <xdr:row>15</xdr:row>
      <xdr:rowOff>50409</xdr:rowOff>
    </xdr:from>
    <xdr:to>
      <xdr:col>21</xdr:col>
      <xdr:colOff>82985</xdr:colOff>
      <xdr:row>18</xdr:row>
      <xdr:rowOff>58434</xdr:rowOff>
    </xdr:to>
    <xdr:grpSp>
      <xdr:nvGrpSpPr>
        <xdr:cNvPr id="301" name="グループ化 300">
          <a:extLst>
            <a:ext uri="{FF2B5EF4-FFF2-40B4-BE49-F238E27FC236}">
              <a16:creationId xmlns:a16="http://schemas.microsoft.com/office/drawing/2014/main" id="{EF692472-0BF3-46B2-A26E-63ADF0D3000C}"/>
            </a:ext>
          </a:extLst>
        </xdr:cNvPr>
        <xdr:cNvGrpSpPr/>
      </xdr:nvGrpSpPr>
      <xdr:grpSpPr>
        <a:xfrm>
          <a:off x="2938983" y="2717409"/>
          <a:ext cx="944477" cy="522375"/>
          <a:chOff x="287474" y="4845794"/>
          <a:chExt cx="1021504" cy="505814"/>
        </a:xfrm>
      </xdr:grpSpPr>
      <xdr:sp macro="" textlink="">
        <xdr:nvSpPr>
          <xdr:cNvPr id="302" name="フローチャート: 判断 301">
            <a:extLst>
              <a:ext uri="{FF2B5EF4-FFF2-40B4-BE49-F238E27FC236}">
                <a16:creationId xmlns:a16="http://schemas.microsoft.com/office/drawing/2014/main" id="{ECCDC089-162B-7D04-0FF1-8A39928DAF5E}"/>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303" name="正方形/長方形 48">
            <a:extLst>
              <a:ext uri="{FF2B5EF4-FFF2-40B4-BE49-F238E27FC236}">
                <a16:creationId xmlns:a16="http://schemas.microsoft.com/office/drawing/2014/main" id="{56BCF3FE-5219-794F-0C02-F9CF7F3064BA}"/>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プロジェクト</a:t>
            </a:r>
            <a:endParaRPr kumimoji="1" lang="en-US" altLang="ja-JP" sz="900"/>
          </a:p>
          <a:p>
            <a:pPr algn="ctr"/>
            <a:r>
              <a:rPr kumimoji="1" lang="ja-JP" altLang="en-US" sz="900"/>
              <a:t>管理対象</a:t>
            </a:r>
          </a:p>
        </xdr:txBody>
      </xdr:sp>
    </xdr:grpSp>
    <xdr:clientData/>
  </xdr:twoCellAnchor>
  <xdr:twoCellAnchor>
    <xdr:from>
      <xdr:col>19</xdr:col>
      <xdr:colOff>57919</xdr:colOff>
      <xdr:row>14</xdr:row>
      <xdr:rowOff>22588</xdr:rowOff>
    </xdr:from>
    <xdr:to>
      <xdr:col>21</xdr:col>
      <xdr:colOff>108987</xdr:colOff>
      <xdr:row>23</xdr:row>
      <xdr:rowOff>68421</xdr:rowOff>
    </xdr:to>
    <xdr:sp macro="" textlink="">
      <xdr:nvSpPr>
        <xdr:cNvPr id="304" name="テキスト ボックス 303">
          <a:extLst>
            <a:ext uri="{FF2B5EF4-FFF2-40B4-BE49-F238E27FC236}">
              <a16:creationId xmlns:a16="http://schemas.microsoft.com/office/drawing/2014/main" id="{4B500D88-152B-4B6D-8A52-32F69114488C}"/>
            </a:ext>
          </a:extLst>
        </xdr:cNvPr>
        <xdr:cNvSpPr txBox="1"/>
      </xdr:nvSpPr>
      <xdr:spPr>
        <a:xfrm>
          <a:off x="6534919" y="2297043"/>
          <a:ext cx="443613" cy="1604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15</xdr:col>
      <xdr:colOff>63501</xdr:colOff>
      <xdr:row>14</xdr:row>
      <xdr:rowOff>146215</xdr:rowOff>
    </xdr:from>
    <xdr:to>
      <xdr:col>17</xdr:col>
      <xdr:colOff>138459</xdr:colOff>
      <xdr:row>16</xdr:row>
      <xdr:rowOff>65247</xdr:rowOff>
    </xdr:to>
    <xdr:sp macro="" textlink="">
      <xdr:nvSpPr>
        <xdr:cNvPr id="305" name="テキスト ボックス 304">
          <a:extLst>
            <a:ext uri="{FF2B5EF4-FFF2-40B4-BE49-F238E27FC236}">
              <a16:creationId xmlns:a16="http://schemas.microsoft.com/office/drawing/2014/main" id="{171EE2AB-A3B4-4E4C-99EB-655C530204D6}"/>
            </a:ext>
          </a:extLst>
        </xdr:cNvPr>
        <xdr:cNvSpPr txBox="1"/>
      </xdr:nvSpPr>
      <xdr:spPr>
        <a:xfrm>
          <a:off x="5851072" y="2441286"/>
          <a:ext cx="474101" cy="263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18</xdr:col>
      <xdr:colOff>160357</xdr:colOff>
      <xdr:row>18</xdr:row>
      <xdr:rowOff>36358</xdr:rowOff>
    </xdr:from>
    <xdr:to>
      <xdr:col>18</xdr:col>
      <xdr:colOff>165672</xdr:colOff>
      <xdr:row>27</xdr:row>
      <xdr:rowOff>164883</xdr:rowOff>
    </xdr:to>
    <xdr:cxnSp macro="">
      <xdr:nvCxnSpPr>
        <xdr:cNvPr id="306" name="直線矢印コネクタ 305">
          <a:extLst>
            <a:ext uri="{FF2B5EF4-FFF2-40B4-BE49-F238E27FC236}">
              <a16:creationId xmlns:a16="http://schemas.microsoft.com/office/drawing/2014/main" id="{7310C9FD-D394-4FFE-84BF-3AB546D8531F}"/>
            </a:ext>
          </a:extLst>
        </xdr:cNvPr>
        <xdr:cNvCxnSpPr>
          <a:cxnSpLocks/>
          <a:stCxn id="302" idx="2"/>
          <a:endCxn id="307" idx="0"/>
        </xdr:cNvCxnSpPr>
      </xdr:nvCxnSpPr>
      <xdr:spPr>
        <a:xfrm>
          <a:off x="6546643" y="3020858"/>
          <a:ext cx="5315" cy="3008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94933</xdr:colOff>
      <xdr:row>27</xdr:row>
      <xdr:rowOff>161708</xdr:rowOff>
    </xdr:from>
    <xdr:to>
      <xdr:col>21</xdr:col>
      <xdr:colOff>33664</xdr:colOff>
      <xdr:row>30</xdr:row>
      <xdr:rowOff>136955</xdr:rowOff>
    </xdr:to>
    <xdr:sp macro="" textlink="">
      <xdr:nvSpPr>
        <xdr:cNvPr id="307" name="フローチャート: 定義済み処理 306">
          <a:extLst>
            <a:ext uri="{FF2B5EF4-FFF2-40B4-BE49-F238E27FC236}">
              <a16:creationId xmlns:a16="http://schemas.microsoft.com/office/drawing/2014/main" id="{D3316B9E-9EB5-4FE7-99DF-B42420F90D5A}"/>
            </a:ext>
          </a:extLst>
        </xdr:cNvPr>
        <xdr:cNvSpPr/>
      </xdr:nvSpPr>
      <xdr:spPr>
        <a:xfrm>
          <a:off x="6082076" y="3318565"/>
          <a:ext cx="936588" cy="492319"/>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131991</xdr:colOff>
      <xdr:row>27</xdr:row>
      <xdr:rowOff>113822</xdr:rowOff>
    </xdr:from>
    <xdr:to>
      <xdr:col>21</xdr:col>
      <xdr:colOff>42151</xdr:colOff>
      <xdr:row>30</xdr:row>
      <xdr:rowOff>147244</xdr:rowOff>
    </xdr:to>
    <xdr:sp macro="" textlink="">
      <xdr:nvSpPr>
        <xdr:cNvPr id="308" name="正方形/長方形 48">
          <a:extLst>
            <a:ext uri="{FF2B5EF4-FFF2-40B4-BE49-F238E27FC236}">
              <a16:creationId xmlns:a16="http://schemas.microsoft.com/office/drawing/2014/main" id="{AC64C725-47D8-4C58-90A1-C620EBCB985C}"/>
            </a:ext>
          </a:extLst>
        </xdr:cNvPr>
        <xdr:cNvSpPr/>
      </xdr:nvSpPr>
      <xdr:spPr>
        <a:xfrm>
          <a:off x="6119134" y="3270679"/>
          <a:ext cx="908017" cy="5504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財務分析コード値の更新</a:t>
          </a:r>
          <a:endParaRPr kumimoji="1" lang="en-US" altLang="ja-JP" sz="900"/>
        </a:p>
      </xdr:txBody>
    </xdr:sp>
    <xdr:clientData/>
  </xdr:twoCellAnchor>
  <xdr:twoCellAnchor>
    <xdr:from>
      <xdr:col>16</xdr:col>
      <xdr:colOff>125470</xdr:colOff>
      <xdr:row>16</xdr:row>
      <xdr:rowOff>129572</xdr:rowOff>
    </xdr:from>
    <xdr:to>
      <xdr:col>18</xdr:col>
      <xdr:colOff>176496</xdr:colOff>
      <xdr:row>34</xdr:row>
      <xdr:rowOff>62137</xdr:rowOff>
    </xdr:to>
    <xdr:cxnSp macro="">
      <xdr:nvCxnSpPr>
        <xdr:cNvPr id="99" name="コネクタ: カギ線 308">
          <a:extLst>
            <a:ext uri="{FF2B5EF4-FFF2-40B4-BE49-F238E27FC236}">
              <a16:creationId xmlns:a16="http://schemas.microsoft.com/office/drawing/2014/main" id="{4BFD245A-A051-4C45-976B-4C1B37DF08B7}"/>
            </a:ext>
          </a:extLst>
        </xdr:cNvPr>
        <xdr:cNvCxnSpPr>
          <a:stCxn id="302" idx="1"/>
          <a:endCxn id="131" idx="0"/>
        </xdr:cNvCxnSpPr>
      </xdr:nvCxnSpPr>
      <xdr:spPr>
        <a:xfrm rot="10800000" flipH="1" flipV="1">
          <a:off x="3318613" y="2968929"/>
          <a:ext cx="450169" cy="3034994"/>
        </a:xfrm>
        <a:prstGeom prst="bentConnector4">
          <a:avLst>
            <a:gd name="adj1" fmla="val -50781"/>
            <a:gd name="adj2" fmla="val 8702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84952</xdr:colOff>
      <xdr:row>45</xdr:row>
      <xdr:rowOff>119231</xdr:rowOff>
    </xdr:from>
    <xdr:to>
      <xdr:col>21</xdr:col>
      <xdr:colOff>31092</xdr:colOff>
      <xdr:row>48</xdr:row>
      <xdr:rowOff>95537</xdr:rowOff>
    </xdr:to>
    <xdr:sp macro="" textlink="">
      <xdr:nvSpPr>
        <xdr:cNvPr id="329" name="フローチャート: 定義済み処理 328">
          <a:extLst>
            <a:ext uri="{FF2B5EF4-FFF2-40B4-BE49-F238E27FC236}">
              <a16:creationId xmlns:a16="http://schemas.microsoft.com/office/drawing/2014/main" id="{AD305D5F-A3D4-4B1C-B47D-2B3E8D526913}"/>
            </a:ext>
          </a:extLst>
        </xdr:cNvPr>
        <xdr:cNvSpPr/>
      </xdr:nvSpPr>
      <xdr:spPr>
        <a:xfrm>
          <a:off x="6072095" y="4482588"/>
          <a:ext cx="943997" cy="49337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36285</xdr:colOff>
      <xdr:row>45</xdr:row>
      <xdr:rowOff>117928</xdr:rowOff>
    </xdr:from>
    <xdr:to>
      <xdr:col>21</xdr:col>
      <xdr:colOff>83795</xdr:colOff>
      <xdr:row>48</xdr:row>
      <xdr:rowOff>155584</xdr:rowOff>
    </xdr:to>
    <xdr:sp macro="" textlink="">
      <xdr:nvSpPr>
        <xdr:cNvPr id="330" name="正方形/長方形 48">
          <a:extLst>
            <a:ext uri="{FF2B5EF4-FFF2-40B4-BE49-F238E27FC236}">
              <a16:creationId xmlns:a16="http://schemas.microsoft.com/office/drawing/2014/main" id="{BBD8887D-78A8-4443-87F6-66CFFC94F044}"/>
            </a:ext>
          </a:extLst>
        </xdr:cNvPr>
        <xdr:cNvSpPr/>
      </xdr:nvSpPr>
      <xdr:spPr>
        <a:xfrm>
          <a:off x="6023428" y="4481285"/>
          <a:ext cx="1045367" cy="5547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固定資産</a:t>
          </a:r>
          <a:endParaRPr kumimoji="1" lang="en-US" altLang="ja-JP" sz="900"/>
        </a:p>
        <a:p>
          <a:pPr algn="ctr"/>
          <a:r>
            <a:rPr kumimoji="1" lang="ja-JP" altLang="en-US" sz="900"/>
            <a:t>登録</a:t>
          </a:r>
          <a:endParaRPr kumimoji="1" lang="en-US" altLang="ja-JP" sz="900"/>
        </a:p>
      </xdr:txBody>
    </xdr:sp>
    <xdr:clientData/>
  </xdr:twoCellAnchor>
  <xdr:twoCellAnchor>
    <xdr:from>
      <xdr:col>16</xdr:col>
      <xdr:colOff>54430</xdr:colOff>
      <xdr:row>34</xdr:row>
      <xdr:rowOff>18139</xdr:rowOff>
    </xdr:from>
    <xdr:to>
      <xdr:col>21</xdr:col>
      <xdr:colOff>101940</xdr:colOff>
      <xdr:row>37</xdr:row>
      <xdr:rowOff>55797</xdr:rowOff>
    </xdr:to>
    <xdr:sp macro="" textlink="">
      <xdr:nvSpPr>
        <xdr:cNvPr id="522" name="正方形/長方形 48">
          <a:extLst>
            <a:ext uri="{FF2B5EF4-FFF2-40B4-BE49-F238E27FC236}">
              <a16:creationId xmlns:a16="http://schemas.microsoft.com/office/drawing/2014/main" id="{2A7A3CFC-7236-42CA-9106-72CEB5C9C9B7}"/>
            </a:ext>
          </a:extLst>
        </xdr:cNvPr>
        <xdr:cNvSpPr/>
      </xdr:nvSpPr>
      <xdr:spPr>
        <a:xfrm>
          <a:off x="3247573" y="5959925"/>
          <a:ext cx="1045367" cy="5547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決済勘定</a:t>
          </a:r>
          <a:br>
            <a:rPr kumimoji="1" lang="en-US" altLang="ja-JP" sz="900"/>
          </a:br>
          <a:r>
            <a:rPr kumimoji="1" lang="ja-JP" altLang="en-US" sz="900"/>
            <a:t>へ振替</a:t>
          </a:r>
          <a:endParaRPr kumimoji="1" lang="en-US" altLang="ja-JP" sz="900"/>
        </a:p>
      </xdr:txBody>
    </xdr:sp>
    <xdr:clientData/>
  </xdr:twoCellAnchor>
  <xdr:twoCellAnchor>
    <xdr:from>
      <xdr:col>2</xdr:col>
      <xdr:colOff>31174</xdr:colOff>
      <xdr:row>52</xdr:row>
      <xdr:rowOff>29724</xdr:rowOff>
    </xdr:from>
    <xdr:to>
      <xdr:col>7</xdr:col>
      <xdr:colOff>22779</xdr:colOff>
      <xdr:row>54</xdr:row>
      <xdr:rowOff>171042</xdr:rowOff>
    </xdr:to>
    <xdr:sp macro="" textlink="">
      <xdr:nvSpPr>
        <xdr:cNvPr id="549" name="フローチャート: 定義済み処理 9">
          <a:extLst>
            <a:ext uri="{FF2B5EF4-FFF2-40B4-BE49-F238E27FC236}">
              <a16:creationId xmlns:a16="http://schemas.microsoft.com/office/drawing/2014/main" id="{48FC960E-AAF3-430A-B7E7-528E98382FEC}"/>
            </a:ext>
          </a:extLst>
        </xdr:cNvPr>
        <xdr:cNvSpPr/>
      </xdr:nvSpPr>
      <xdr:spPr>
        <a:xfrm>
          <a:off x="3224317" y="7323153"/>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xdr:colOff>
      <xdr:row>51</xdr:row>
      <xdr:rowOff>163286</xdr:rowOff>
    </xdr:from>
    <xdr:to>
      <xdr:col>7</xdr:col>
      <xdr:colOff>99425</xdr:colOff>
      <xdr:row>55</xdr:row>
      <xdr:rowOff>19734</xdr:rowOff>
    </xdr:to>
    <xdr:sp macro="" textlink="">
      <xdr:nvSpPr>
        <xdr:cNvPr id="550" name="正方形/長方形 48">
          <a:extLst>
            <a:ext uri="{FF2B5EF4-FFF2-40B4-BE49-F238E27FC236}">
              <a16:creationId xmlns:a16="http://schemas.microsoft.com/office/drawing/2014/main" id="{F011A411-EA11-4FCF-B692-23C63269AAAA}"/>
            </a:ext>
          </a:extLst>
        </xdr:cNvPr>
        <xdr:cNvSpPr/>
      </xdr:nvSpPr>
      <xdr:spPr>
        <a:xfrm>
          <a:off x="3193144" y="7284357"/>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取得提案</a:t>
          </a:r>
        </a:p>
      </xdr:txBody>
    </xdr:sp>
    <xdr:clientData/>
  </xdr:twoCellAnchor>
  <xdr:twoCellAnchor>
    <xdr:from>
      <xdr:col>7</xdr:col>
      <xdr:colOff>49990</xdr:colOff>
      <xdr:row>59</xdr:row>
      <xdr:rowOff>955</xdr:rowOff>
    </xdr:from>
    <xdr:to>
      <xdr:col>31</xdr:col>
      <xdr:colOff>55856</xdr:colOff>
      <xdr:row>59</xdr:row>
      <xdr:rowOff>18740</xdr:rowOff>
    </xdr:to>
    <xdr:cxnSp macro="">
      <xdr:nvCxnSpPr>
        <xdr:cNvPr id="1026" name="直線矢印コネクタ 1025">
          <a:extLst>
            <a:ext uri="{FF2B5EF4-FFF2-40B4-BE49-F238E27FC236}">
              <a16:creationId xmlns:a16="http://schemas.microsoft.com/office/drawing/2014/main" id="{A5776E79-BBB7-4D09-ADD1-59FEA76F16E2}"/>
            </a:ext>
          </a:extLst>
        </xdr:cNvPr>
        <xdr:cNvCxnSpPr>
          <a:cxnSpLocks/>
          <a:stCxn id="1158" idx="3"/>
          <a:endCxn id="1278" idx="2"/>
        </xdr:cNvCxnSpPr>
      </xdr:nvCxnSpPr>
      <xdr:spPr>
        <a:xfrm flipV="1">
          <a:off x="4240990" y="9879741"/>
          <a:ext cx="4795580" cy="177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157051</xdr:colOff>
      <xdr:row>63</xdr:row>
      <xdr:rowOff>145128</xdr:rowOff>
    </xdr:from>
    <xdr:to>
      <xdr:col>34</xdr:col>
      <xdr:colOff>134262</xdr:colOff>
      <xdr:row>67</xdr:row>
      <xdr:rowOff>80304</xdr:rowOff>
    </xdr:to>
    <xdr:grpSp>
      <xdr:nvGrpSpPr>
        <xdr:cNvPr id="1040" name="グループ化 92">
          <a:extLst>
            <a:ext uri="{FF2B5EF4-FFF2-40B4-BE49-F238E27FC236}">
              <a16:creationId xmlns:a16="http://schemas.microsoft.com/office/drawing/2014/main" id="{E7F5E126-DAEB-4FA8-A0E2-C43AF435DF47}"/>
            </a:ext>
          </a:extLst>
        </xdr:cNvPr>
        <xdr:cNvGrpSpPr/>
      </xdr:nvGrpSpPr>
      <xdr:grpSpPr>
        <a:xfrm>
          <a:off x="5586301" y="11108403"/>
          <a:ext cx="701111" cy="620976"/>
          <a:chOff x="7144737" y="2892425"/>
          <a:chExt cx="763434" cy="597682"/>
        </a:xfrm>
      </xdr:grpSpPr>
      <xdr:sp macro="" textlink="">
        <xdr:nvSpPr>
          <xdr:cNvPr id="1041" name="フローチャート: 磁気ディスク 93">
            <a:extLst>
              <a:ext uri="{FF2B5EF4-FFF2-40B4-BE49-F238E27FC236}">
                <a16:creationId xmlns:a16="http://schemas.microsoft.com/office/drawing/2014/main" id="{CC064164-5D6B-7844-B37B-CD4F407DECC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42" name="正方形/長方形 94">
            <a:extLst>
              <a:ext uri="{FF2B5EF4-FFF2-40B4-BE49-F238E27FC236}">
                <a16:creationId xmlns:a16="http://schemas.microsoft.com/office/drawing/2014/main" id="{8C7224F7-8232-5A3F-4378-CDEB93A04547}"/>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49991</xdr:colOff>
      <xdr:row>65</xdr:row>
      <xdr:rowOff>80786</xdr:rowOff>
    </xdr:from>
    <xdr:to>
      <xdr:col>31</xdr:col>
      <xdr:colOff>17756</xdr:colOff>
      <xdr:row>65</xdr:row>
      <xdr:rowOff>91310</xdr:rowOff>
    </xdr:to>
    <xdr:cxnSp macro="">
      <xdr:nvCxnSpPr>
        <xdr:cNvPr id="1043" name="直線矢印コネクタ 1042">
          <a:extLst>
            <a:ext uri="{FF2B5EF4-FFF2-40B4-BE49-F238E27FC236}">
              <a16:creationId xmlns:a16="http://schemas.microsoft.com/office/drawing/2014/main" id="{021236C4-2425-48CF-A52B-CBAB85526D05}"/>
            </a:ext>
          </a:extLst>
        </xdr:cNvPr>
        <xdr:cNvCxnSpPr>
          <a:cxnSpLocks/>
          <a:stCxn id="1162" idx="3"/>
          <a:endCxn id="1041" idx="2"/>
        </xdr:cNvCxnSpPr>
      </xdr:nvCxnSpPr>
      <xdr:spPr>
        <a:xfrm flipV="1">
          <a:off x="5637991" y="10993715"/>
          <a:ext cx="3360479" cy="105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1023</xdr:colOff>
      <xdr:row>80</xdr:row>
      <xdr:rowOff>25385</xdr:rowOff>
    </xdr:from>
    <xdr:to>
      <xdr:col>34</xdr:col>
      <xdr:colOff>177805</xdr:colOff>
      <xdr:row>83</xdr:row>
      <xdr:rowOff>132919</xdr:rowOff>
    </xdr:to>
    <xdr:grpSp>
      <xdr:nvGrpSpPr>
        <xdr:cNvPr id="1096" name="グループ化 92">
          <a:extLst>
            <a:ext uri="{FF2B5EF4-FFF2-40B4-BE49-F238E27FC236}">
              <a16:creationId xmlns:a16="http://schemas.microsoft.com/office/drawing/2014/main" id="{8F585239-9E80-4BF8-8CB5-69C2DCAC90AB}"/>
            </a:ext>
          </a:extLst>
        </xdr:cNvPr>
        <xdr:cNvGrpSpPr/>
      </xdr:nvGrpSpPr>
      <xdr:grpSpPr>
        <a:xfrm>
          <a:off x="5611248" y="13903310"/>
          <a:ext cx="719707" cy="621884"/>
          <a:chOff x="7144737" y="2892425"/>
          <a:chExt cx="763434" cy="597682"/>
        </a:xfrm>
      </xdr:grpSpPr>
      <xdr:sp macro="" textlink="">
        <xdr:nvSpPr>
          <xdr:cNvPr id="1097" name="フローチャート: 磁気ディスク 93">
            <a:extLst>
              <a:ext uri="{FF2B5EF4-FFF2-40B4-BE49-F238E27FC236}">
                <a16:creationId xmlns:a16="http://schemas.microsoft.com/office/drawing/2014/main" id="{9448535A-EC06-8FF3-BC77-93350CF04C5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98" name="正方形/長方形 94">
            <a:extLst>
              <a:ext uri="{FF2B5EF4-FFF2-40B4-BE49-F238E27FC236}">
                <a16:creationId xmlns:a16="http://schemas.microsoft.com/office/drawing/2014/main" id="{3118B09B-64DD-3D4F-FD92-C8183290899A}"/>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71763</xdr:colOff>
      <xdr:row>81</xdr:row>
      <xdr:rowOff>122155</xdr:rowOff>
    </xdr:from>
    <xdr:to>
      <xdr:col>31</xdr:col>
      <xdr:colOff>61299</xdr:colOff>
      <xdr:row>81</xdr:row>
      <xdr:rowOff>133401</xdr:rowOff>
    </xdr:to>
    <xdr:cxnSp macro="">
      <xdr:nvCxnSpPr>
        <xdr:cNvPr id="1099" name="直線矢印コネクタ 1098">
          <a:extLst>
            <a:ext uri="{FF2B5EF4-FFF2-40B4-BE49-F238E27FC236}">
              <a16:creationId xmlns:a16="http://schemas.microsoft.com/office/drawing/2014/main" id="{6649EBA6-BE7B-4047-A7B3-E13DE2B5112D}"/>
            </a:ext>
          </a:extLst>
        </xdr:cNvPr>
        <xdr:cNvCxnSpPr>
          <a:cxnSpLocks/>
          <a:stCxn id="1176" idx="3"/>
          <a:endCxn id="1097" idx="2"/>
        </xdr:cNvCxnSpPr>
      </xdr:nvCxnSpPr>
      <xdr:spPr>
        <a:xfrm>
          <a:off x="5659763" y="13792798"/>
          <a:ext cx="3382250" cy="112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183257</xdr:colOff>
      <xdr:row>74</xdr:row>
      <xdr:rowOff>90713</xdr:rowOff>
    </xdr:from>
    <xdr:to>
      <xdr:col>34</xdr:col>
      <xdr:colOff>160468</xdr:colOff>
      <xdr:row>78</xdr:row>
      <xdr:rowOff>25890</xdr:rowOff>
    </xdr:to>
    <xdr:grpSp>
      <xdr:nvGrpSpPr>
        <xdr:cNvPr id="1102" name="グループ化 92">
          <a:extLst>
            <a:ext uri="{FF2B5EF4-FFF2-40B4-BE49-F238E27FC236}">
              <a16:creationId xmlns:a16="http://schemas.microsoft.com/office/drawing/2014/main" id="{E72A2046-123B-4B1E-B6DD-5C03320F4A72}"/>
            </a:ext>
          </a:extLst>
        </xdr:cNvPr>
        <xdr:cNvGrpSpPr/>
      </xdr:nvGrpSpPr>
      <xdr:grpSpPr>
        <a:xfrm>
          <a:off x="5612507" y="12939938"/>
          <a:ext cx="701111" cy="620977"/>
          <a:chOff x="7144737" y="2892425"/>
          <a:chExt cx="763434" cy="597682"/>
        </a:xfrm>
      </xdr:grpSpPr>
      <xdr:sp macro="" textlink="">
        <xdr:nvSpPr>
          <xdr:cNvPr id="1103" name="フローチャート: 磁気ディスク 93">
            <a:extLst>
              <a:ext uri="{FF2B5EF4-FFF2-40B4-BE49-F238E27FC236}">
                <a16:creationId xmlns:a16="http://schemas.microsoft.com/office/drawing/2014/main" id="{C74FBD20-5352-5F44-7906-5E968D1A153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05" name="正方形/長方形 94">
            <a:extLst>
              <a:ext uri="{FF2B5EF4-FFF2-40B4-BE49-F238E27FC236}">
                <a16:creationId xmlns:a16="http://schemas.microsoft.com/office/drawing/2014/main" id="{0C3C04F4-25B7-37CE-4007-7118DADF626D}"/>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6</xdr:col>
      <xdr:colOff>136071</xdr:colOff>
      <xdr:row>76</xdr:row>
      <xdr:rowOff>26372</xdr:rowOff>
    </xdr:from>
    <xdr:to>
      <xdr:col>31</xdr:col>
      <xdr:colOff>43962</xdr:colOff>
      <xdr:row>76</xdr:row>
      <xdr:rowOff>54429</xdr:rowOff>
    </xdr:to>
    <xdr:cxnSp macro="">
      <xdr:nvCxnSpPr>
        <xdr:cNvPr id="1106" name="直線矢印コネクタ 1105">
          <a:extLst>
            <a:ext uri="{FF2B5EF4-FFF2-40B4-BE49-F238E27FC236}">
              <a16:creationId xmlns:a16="http://schemas.microsoft.com/office/drawing/2014/main" id="{6FCF5838-5ED8-4297-8D08-180707C0B524}"/>
            </a:ext>
          </a:extLst>
        </xdr:cNvPr>
        <xdr:cNvCxnSpPr>
          <a:cxnSpLocks/>
          <a:endCxn id="1103" idx="2"/>
        </xdr:cNvCxnSpPr>
      </xdr:nvCxnSpPr>
      <xdr:spPr>
        <a:xfrm flipV="1">
          <a:off x="4127500" y="12835229"/>
          <a:ext cx="4897176" cy="2805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58385</xdr:colOff>
      <xdr:row>57</xdr:row>
      <xdr:rowOff>120439</xdr:rowOff>
    </xdr:from>
    <xdr:to>
      <xdr:col>7</xdr:col>
      <xdr:colOff>49990</xdr:colOff>
      <xdr:row>60</xdr:row>
      <xdr:rowOff>89399</xdr:rowOff>
    </xdr:to>
    <xdr:sp macro="" textlink="">
      <xdr:nvSpPr>
        <xdr:cNvPr id="1158" name="フローチャート: 定義済み処理 9">
          <a:extLst>
            <a:ext uri="{FF2B5EF4-FFF2-40B4-BE49-F238E27FC236}">
              <a16:creationId xmlns:a16="http://schemas.microsoft.com/office/drawing/2014/main" id="{5273AD46-0327-4D6C-88B3-1641529E84AB}"/>
            </a:ext>
          </a:extLst>
        </xdr:cNvPr>
        <xdr:cNvSpPr/>
      </xdr:nvSpPr>
      <xdr:spPr>
        <a:xfrm>
          <a:off x="3251528" y="8275653"/>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9070</xdr:colOff>
      <xdr:row>57</xdr:row>
      <xdr:rowOff>81643</xdr:rowOff>
    </xdr:from>
    <xdr:to>
      <xdr:col>7</xdr:col>
      <xdr:colOff>108494</xdr:colOff>
      <xdr:row>60</xdr:row>
      <xdr:rowOff>110448</xdr:rowOff>
    </xdr:to>
    <xdr:sp macro="" textlink="">
      <xdr:nvSpPr>
        <xdr:cNvPr id="1159" name="正方形/長方形 48">
          <a:extLst>
            <a:ext uri="{FF2B5EF4-FFF2-40B4-BE49-F238E27FC236}">
              <a16:creationId xmlns:a16="http://schemas.microsoft.com/office/drawing/2014/main" id="{ED88F665-32CB-4F34-9371-527A0EE83F90}"/>
            </a:ext>
          </a:extLst>
        </xdr:cNvPr>
        <xdr:cNvSpPr/>
      </xdr:nvSpPr>
      <xdr:spPr>
        <a:xfrm>
          <a:off x="3202213" y="8236857"/>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取得</a:t>
          </a:r>
          <a:br>
            <a:rPr kumimoji="1" lang="en-US" altLang="ja-JP" sz="900"/>
          </a:br>
          <a:r>
            <a:rPr kumimoji="1" lang="ja-JP" altLang="en-US" sz="900"/>
            <a:t>承認申請</a:t>
          </a:r>
        </a:p>
      </xdr:txBody>
    </xdr:sp>
    <xdr:clientData/>
  </xdr:twoCellAnchor>
  <xdr:twoCellAnchor>
    <xdr:from>
      <xdr:col>4</xdr:col>
      <xdr:colOff>153974</xdr:colOff>
      <xdr:row>60</xdr:row>
      <xdr:rowOff>89398</xdr:rowOff>
    </xdr:from>
    <xdr:to>
      <xdr:col>11</xdr:col>
      <xdr:colOff>176712</xdr:colOff>
      <xdr:row>63</xdr:row>
      <xdr:rowOff>154212</xdr:rowOff>
    </xdr:to>
    <xdr:cxnSp macro="">
      <xdr:nvCxnSpPr>
        <xdr:cNvPr id="1160" name="コネクタ: カギ線 1159">
          <a:extLst>
            <a:ext uri="{FF2B5EF4-FFF2-40B4-BE49-F238E27FC236}">
              <a16:creationId xmlns:a16="http://schemas.microsoft.com/office/drawing/2014/main" id="{B5416AE5-39D5-4BCE-B0D5-CD9E807FB3A8}"/>
            </a:ext>
          </a:extLst>
        </xdr:cNvPr>
        <xdr:cNvCxnSpPr>
          <a:stCxn id="1158" idx="2"/>
          <a:endCxn id="1163" idx="0"/>
        </xdr:cNvCxnSpPr>
      </xdr:nvCxnSpPr>
      <xdr:spPr>
        <a:xfrm rot="16200000" flipH="1">
          <a:off x="4165186" y="8342758"/>
          <a:ext cx="581885" cy="141973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58386</xdr:colOff>
      <xdr:row>64</xdr:row>
      <xdr:rowOff>20652</xdr:rowOff>
    </xdr:from>
    <xdr:to>
      <xdr:col>14</xdr:col>
      <xdr:colOff>49991</xdr:colOff>
      <xdr:row>66</xdr:row>
      <xdr:rowOff>161969</xdr:rowOff>
    </xdr:to>
    <xdr:sp macro="" textlink="">
      <xdr:nvSpPr>
        <xdr:cNvPr id="1162" name="フローチャート: 定義済み処理 9">
          <a:extLst>
            <a:ext uri="{FF2B5EF4-FFF2-40B4-BE49-F238E27FC236}">
              <a16:creationId xmlns:a16="http://schemas.microsoft.com/office/drawing/2014/main" id="{D1E7E55F-215A-4B8E-ABA6-14B3A8F14F37}"/>
            </a:ext>
          </a:extLst>
        </xdr:cNvPr>
        <xdr:cNvSpPr/>
      </xdr:nvSpPr>
      <xdr:spPr>
        <a:xfrm>
          <a:off x="4648529" y="9382366"/>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27213</xdr:colOff>
      <xdr:row>63</xdr:row>
      <xdr:rowOff>154213</xdr:rowOff>
    </xdr:from>
    <xdr:to>
      <xdr:col>14</xdr:col>
      <xdr:colOff>126637</xdr:colOff>
      <xdr:row>67</xdr:row>
      <xdr:rowOff>10661</xdr:rowOff>
    </xdr:to>
    <xdr:sp macro="" textlink="">
      <xdr:nvSpPr>
        <xdr:cNvPr id="1163" name="正方形/長方形 48">
          <a:extLst>
            <a:ext uri="{FF2B5EF4-FFF2-40B4-BE49-F238E27FC236}">
              <a16:creationId xmlns:a16="http://schemas.microsoft.com/office/drawing/2014/main" id="{D7F87E28-2931-4496-9542-75ABBFD580E4}"/>
            </a:ext>
          </a:extLst>
        </xdr:cNvPr>
        <xdr:cNvSpPr/>
      </xdr:nvSpPr>
      <xdr:spPr>
        <a:xfrm>
          <a:off x="4617356" y="9343570"/>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取得の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11</xdr:col>
      <xdr:colOff>175667</xdr:colOff>
      <xdr:row>67</xdr:row>
      <xdr:rowOff>10661</xdr:rowOff>
    </xdr:from>
    <xdr:to>
      <xdr:col>11</xdr:col>
      <xdr:colOff>176711</xdr:colOff>
      <xdr:row>68</xdr:row>
      <xdr:rowOff>163399</xdr:rowOff>
    </xdr:to>
    <xdr:cxnSp macro="">
      <xdr:nvCxnSpPr>
        <xdr:cNvPr id="1164" name="直線矢印コネクタ 27">
          <a:extLst>
            <a:ext uri="{FF2B5EF4-FFF2-40B4-BE49-F238E27FC236}">
              <a16:creationId xmlns:a16="http://schemas.microsoft.com/office/drawing/2014/main" id="{9B4C9087-F23A-40D3-A03B-95C1ADC112FC}"/>
            </a:ext>
          </a:extLst>
        </xdr:cNvPr>
        <xdr:cNvCxnSpPr>
          <a:cxnSpLocks/>
          <a:stCxn id="1163" idx="2"/>
          <a:endCxn id="1167" idx="0"/>
        </xdr:cNvCxnSpPr>
      </xdr:nvCxnSpPr>
      <xdr:spPr>
        <a:xfrm flipH="1">
          <a:off x="5164953" y="9889447"/>
          <a:ext cx="1044" cy="3250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56080</xdr:colOff>
      <xdr:row>68</xdr:row>
      <xdr:rowOff>152752</xdr:rowOff>
    </xdr:from>
    <xdr:to>
      <xdr:col>14</xdr:col>
      <xdr:colOff>95682</xdr:colOff>
      <xdr:row>71</xdr:row>
      <xdr:rowOff>160777</xdr:rowOff>
    </xdr:to>
    <xdr:grpSp>
      <xdr:nvGrpSpPr>
        <xdr:cNvPr id="1165" name="グループ化 1164">
          <a:extLst>
            <a:ext uri="{FF2B5EF4-FFF2-40B4-BE49-F238E27FC236}">
              <a16:creationId xmlns:a16="http://schemas.microsoft.com/office/drawing/2014/main" id="{5387486F-A6E7-4B78-967A-9C5CDAF39E99}"/>
            </a:ext>
          </a:extLst>
        </xdr:cNvPr>
        <xdr:cNvGrpSpPr/>
      </xdr:nvGrpSpPr>
      <xdr:grpSpPr>
        <a:xfrm>
          <a:off x="1684855" y="11973277"/>
          <a:ext cx="944477" cy="522375"/>
          <a:chOff x="287474" y="4845794"/>
          <a:chExt cx="1021504" cy="505814"/>
        </a:xfrm>
      </xdr:grpSpPr>
      <xdr:sp macro="" textlink="">
        <xdr:nvSpPr>
          <xdr:cNvPr id="1166" name="フローチャート: 判断 1165">
            <a:extLst>
              <a:ext uri="{FF2B5EF4-FFF2-40B4-BE49-F238E27FC236}">
                <a16:creationId xmlns:a16="http://schemas.microsoft.com/office/drawing/2014/main" id="{DDB28CBD-F254-6F59-F73A-C080E17E3249}"/>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167" name="正方形/長方形 48">
            <a:extLst>
              <a:ext uri="{FF2B5EF4-FFF2-40B4-BE49-F238E27FC236}">
                <a16:creationId xmlns:a16="http://schemas.microsoft.com/office/drawing/2014/main" id="{2B8727B6-09F8-E782-BC6D-EF043E90924C}"/>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11</xdr:col>
      <xdr:colOff>192668</xdr:colOff>
      <xdr:row>71</xdr:row>
      <xdr:rowOff>124932</xdr:rowOff>
    </xdr:from>
    <xdr:to>
      <xdr:col>14</xdr:col>
      <xdr:colOff>47463</xdr:colOff>
      <xdr:row>72</xdr:row>
      <xdr:rowOff>170765</xdr:rowOff>
    </xdr:to>
    <xdr:sp macro="" textlink="">
      <xdr:nvSpPr>
        <xdr:cNvPr id="1168" name="テキスト ボックス 1167">
          <a:extLst>
            <a:ext uri="{FF2B5EF4-FFF2-40B4-BE49-F238E27FC236}">
              <a16:creationId xmlns:a16="http://schemas.microsoft.com/office/drawing/2014/main" id="{F49DC512-3E53-4D0D-A7E1-8177D712E91A}"/>
            </a:ext>
          </a:extLst>
        </xdr:cNvPr>
        <xdr:cNvSpPr txBox="1"/>
      </xdr:nvSpPr>
      <xdr:spPr>
        <a:xfrm>
          <a:off x="5181954" y="10693146"/>
          <a:ext cx="453509"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7</xdr:col>
      <xdr:colOff>94340</xdr:colOff>
      <xdr:row>68</xdr:row>
      <xdr:rowOff>76200</xdr:rowOff>
    </xdr:from>
    <xdr:to>
      <xdr:col>11</xdr:col>
      <xdr:colOff>33223</xdr:colOff>
      <xdr:row>70</xdr:row>
      <xdr:rowOff>3629</xdr:rowOff>
    </xdr:to>
    <xdr:sp macro="" textlink="">
      <xdr:nvSpPr>
        <xdr:cNvPr id="1169" name="テキスト ボックス 1168">
          <a:extLst>
            <a:ext uri="{FF2B5EF4-FFF2-40B4-BE49-F238E27FC236}">
              <a16:creationId xmlns:a16="http://schemas.microsoft.com/office/drawing/2014/main" id="{5BC47EBC-2440-4420-B243-16E130CF0811}"/>
            </a:ext>
          </a:extLst>
        </xdr:cNvPr>
        <xdr:cNvSpPr txBox="1"/>
      </xdr:nvSpPr>
      <xdr:spPr>
        <a:xfrm>
          <a:off x="4285340" y="10127343"/>
          <a:ext cx="73716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169665</xdr:colOff>
      <xdr:row>71</xdr:row>
      <xdr:rowOff>138720</xdr:rowOff>
    </xdr:from>
    <xdr:to>
      <xdr:col>11</xdr:col>
      <xdr:colOff>175746</xdr:colOff>
      <xdr:row>80</xdr:row>
      <xdr:rowOff>51496</xdr:rowOff>
    </xdr:to>
    <xdr:cxnSp macro="">
      <xdr:nvCxnSpPr>
        <xdr:cNvPr id="1170" name="直線矢印コネクタ 1169">
          <a:extLst>
            <a:ext uri="{FF2B5EF4-FFF2-40B4-BE49-F238E27FC236}">
              <a16:creationId xmlns:a16="http://schemas.microsoft.com/office/drawing/2014/main" id="{42DF3419-7107-4760-952B-81747F0B4804}"/>
            </a:ext>
          </a:extLst>
        </xdr:cNvPr>
        <xdr:cNvCxnSpPr>
          <a:cxnSpLocks/>
          <a:stCxn id="1166" idx="2"/>
          <a:endCxn id="1176" idx="0"/>
        </xdr:cNvCxnSpPr>
      </xdr:nvCxnSpPr>
      <xdr:spPr>
        <a:xfrm>
          <a:off x="5158951" y="10706934"/>
          <a:ext cx="6081" cy="146399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171267</xdr:colOff>
      <xdr:row>70</xdr:row>
      <xdr:rowOff>59558</xdr:rowOff>
    </xdr:from>
    <xdr:to>
      <xdr:col>9</xdr:col>
      <xdr:colOff>138169</xdr:colOff>
      <xdr:row>74</xdr:row>
      <xdr:rowOff>67129</xdr:rowOff>
    </xdr:to>
    <xdr:cxnSp macro="">
      <xdr:nvCxnSpPr>
        <xdr:cNvPr id="1171" name="コネクタ: カギ線 1170">
          <a:extLst>
            <a:ext uri="{FF2B5EF4-FFF2-40B4-BE49-F238E27FC236}">
              <a16:creationId xmlns:a16="http://schemas.microsoft.com/office/drawing/2014/main" id="{C775246D-54D0-452E-8FDC-D06BD8EFD0B0}"/>
            </a:ext>
          </a:extLst>
        </xdr:cNvPr>
        <xdr:cNvCxnSpPr>
          <a:stCxn id="1166" idx="1"/>
          <a:endCxn id="1173" idx="0"/>
        </xdr:cNvCxnSpPr>
      </xdr:nvCxnSpPr>
      <xdr:spPr>
        <a:xfrm rot="10800000" flipV="1">
          <a:off x="3763553" y="10455415"/>
          <a:ext cx="964759" cy="69700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52941</xdr:colOff>
      <xdr:row>74</xdr:row>
      <xdr:rowOff>105925</xdr:rowOff>
    </xdr:from>
    <xdr:to>
      <xdr:col>7</xdr:col>
      <xdr:colOff>44546</xdr:colOff>
      <xdr:row>77</xdr:row>
      <xdr:rowOff>74886</xdr:rowOff>
    </xdr:to>
    <xdr:sp macro="" textlink="">
      <xdr:nvSpPr>
        <xdr:cNvPr id="1172" name="フローチャート: 定義済み処理 9">
          <a:extLst>
            <a:ext uri="{FF2B5EF4-FFF2-40B4-BE49-F238E27FC236}">
              <a16:creationId xmlns:a16="http://schemas.microsoft.com/office/drawing/2014/main" id="{B2BC7D96-F37A-4F61-AAA1-795863DF4779}"/>
            </a:ext>
          </a:extLst>
        </xdr:cNvPr>
        <xdr:cNvSpPr/>
      </xdr:nvSpPr>
      <xdr:spPr>
        <a:xfrm>
          <a:off x="3246084" y="11191211"/>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21768</xdr:colOff>
      <xdr:row>74</xdr:row>
      <xdr:rowOff>67129</xdr:rowOff>
    </xdr:from>
    <xdr:to>
      <xdr:col>7</xdr:col>
      <xdr:colOff>121192</xdr:colOff>
      <xdr:row>77</xdr:row>
      <xdr:rowOff>95935</xdr:rowOff>
    </xdr:to>
    <xdr:sp macro="" textlink="">
      <xdr:nvSpPr>
        <xdr:cNvPr id="1173" name="正方形/長方形 48">
          <a:extLst>
            <a:ext uri="{FF2B5EF4-FFF2-40B4-BE49-F238E27FC236}">
              <a16:creationId xmlns:a16="http://schemas.microsoft.com/office/drawing/2014/main" id="{2731F31C-378C-4D4F-9075-7A3F83869D81}"/>
            </a:ext>
          </a:extLst>
        </xdr:cNvPr>
        <xdr:cNvSpPr/>
      </xdr:nvSpPr>
      <xdr:spPr>
        <a:xfrm>
          <a:off x="3214911" y="11152415"/>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不備修正</a:t>
          </a:r>
        </a:p>
      </xdr:txBody>
    </xdr:sp>
    <xdr:clientData/>
  </xdr:twoCellAnchor>
  <xdr:twoCellAnchor>
    <xdr:from>
      <xdr:col>2</xdr:col>
      <xdr:colOff>21767</xdr:colOff>
      <xdr:row>59</xdr:row>
      <xdr:rowOff>18741</xdr:rowOff>
    </xdr:from>
    <xdr:to>
      <xdr:col>2</xdr:col>
      <xdr:colOff>58384</xdr:colOff>
      <xdr:row>75</xdr:row>
      <xdr:rowOff>167712</xdr:rowOff>
    </xdr:to>
    <xdr:cxnSp macro="">
      <xdr:nvCxnSpPr>
        <xdr:cNvPr id="1174" name="コネクタ: カギ線 1173">
          <a:extLst>
            <a:ext uri="{FF2B5EF4-FFF2-40B4-BE49-F238E27FC236}">
              <a16:creationId xmlns:a16="http://schemas.microsoft.com/office/drawing/2014/main" id="{99CBBC02-E21E-4170-B1FF-D8E087C8F9E4}"/>
            </a:ext>
          </a:extLst>
        </xdr:cNvPr>
        <xdr:cNvCxnSpPr>
          <a:stCxn id="1173" idx="1"/>
          <a:endCxn id="1158" idx="1"/>
        </xdr:cNvCxnSpPr>
      </xdr:nvCxnSpPr>
      <xdr:spPr>
        <a:xfrm rot="10800000" flipH="1">
          <a:off x="3214910" y="8518670"/>
          <a:ext cx="36617" cy="2906685"/>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185052</xdr:colOff>
      <xdr:row>70</xdr:row>
      <xdr:rowOff>94341</xdr:rowOff>
    </xdr:from>
    <xdr:to>
      <xdr:col>10</xdr:col>
      <xdr:colOff>126999</xdr:colOff>
      <xdr:row>72</xdr:row>
      <xdr:rowOff>23091</xdr:rowOff>
    </xdr:to>
    <xdr:sp macro="" textlink="">
      <xdr:nvSpPr>
        <xdr:cNvPr id="1175" name="テキスト ボックス 1174">
          <a:extLst>
            <a:ext uri="{FF2B5EF4-FFF2-40B4-BE49-F238E27FC236}">
              <a16:creationId xmlns:a16="http://schemas.microsoft.com/office/drawing/2014/main" id="{2E5967DA-93B8-4606-985A-3EC8334A0CCC}"/>
            </a:ext>
          </a:extLst>
        </xdr:cNvPr>
        <xdr:cNvSpPr txBox="1"/>
      </xdr:nvSpPr>
      <xdr:spPr>
        <a:xfrm>
          <a:off x="3717961" y="10508341"/>
          <a:ext cx="1119583" cy="27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9</xdr:col>
      <xdr:colOff>80158</xdr:colOff>
      <xdr:row>80</xdr:row>
      <xdr:rowOff>51496</xdr:rowOff>
    </xdr:from>
    <xdr:to>
      <xdr:col>14</xdr:col>
      <xdr:colOff>71763</xdr:colOff>
      <xdr:row>83</xdr:row>
      <xdr:rowOff>20457</xdr:rowOff>
    </xdr:to>
    <xdr:sp macro="" textlink="">
      <xdr:nvSpPr>
        <xdr:cNvPr id="1176" name="フローチャート: 定義済み処理 9">
          <a:extLst>
            <a:ext uri="{FF2B5EF4-FFF2-40B4-BE49-F238E27FC236}">
              <a16:creationId xmlns:a16="http://schemas.microsoft.com/office/drawing/2014/main" id="{2C261F8E-B145-472E-9341-0DFA37AC6E6B}"/>
            </a:ext>
          </a:extLst>
        </xdr:cNvPr>
        <xdr:cNvSpPr/>
      </xdr:nvSpPr>
      <xdr:spPr>
        <a:xfrm>
          <a:off x="4670301" y="12170925"/>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48985</xdr:colOff>
      <xdr:row>80</xdr:row>
      <xdr:rowOff>12700</xdr:rowOff>
    </xdr:from>
    <xdr:to>
      <xdr:col>14</xdr:col>
      <xdr:colOff>148409</xdr:colOff>
      <xdr:row>83</xdr:row>
      <xdr:rowOff>41506</xdr:rowOff>
    </xdr:to>
    <xdr:sp macro="" textlink="">
      <xdr:nvSpPr>
        <xdr:cNvPr id="1177" name="正方形/長方形 48">
          <a:extLst>
            <a:ext uri="{FF2B5EF4-FFF2-40B4-BE49-F238E27FC236}">
              <a16:creationId xmlns:a16="http://schemas.microsoft.com/office/drawing/2014/main" id="{3B2D975E-8B21-4D2B-9668-93E666FFBD6C}"/>
            </a:ext>
          </a:extLst>
        </xdr:cNvPr>
        <xdr:cNvSpPr/>
      </xdr:nvSpPr>
      <xdr:spPr>
        <a:xfrm>
          <a:off x="4639128" y="12132129"/>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自動転記バッチ</a:t>
          </a:r>
        </a:p>
      </xdr:txBody>
    </xdr:sp>
    <xdr:clientData/>
  </xdr:twoCellAnchor>
  <xdr:twoCellAnchor>
    <xdr:from>
      <xdr:col>4</xdr:col>
      <xdr:colOff>149499</xdr:colOff>
      <xdr:row>55</xdr:row>
      <xdr:rowOff>19734</xdr:rowOff>
    </xdr:from>
    <xdr:to>
      <xdr:col>4</xdr:col>
      <xdr:colOff>153973</xdr:colOff>
      <xdr:row>57</xdr:row>
      <xdr:rowOff>120439</xdr:rowOff>
    </xdr:to>
    <xdr:cxnSp macro="">
      <xdr:nvCxnSpPr>
        <xdr:cNvPr id="1204" name="直線矢印コネクタ 27">
          <a:extLst>
            <a:ext uri="{FF2B5EF4-FFF2-40B4-BE49-F238E27FC236}">
              <a16:creationId xmlns:a16="http://schemas.microsoft.com/office/drawing/2014/main" id="{282D1FB2-0F0C-439A-AC38-D3BDEC44245D}"/>
            </a:ext>
          </a:extLst>
        </xdr:cNvPr>
        <xdr:cNvCxnSpPr>
          <a:cxnSpLocks/>
          <a:stCxn id="550" idx="2"/>
          <a:endCxn id="1158" idx="0"/>
        </xdr:cNvCxnSpPr>
      </xdr:nvCxnSpPr>
      <xdr:spPr>
        <a:xfrm>
          <a:off x="3741785" y="7830234"/>
          <a:ext cx="4474" cy="44541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67458</xdr:colOff>
      <xdr:row>57</xdr:row>
      <xdr:rowOff>75083</xdr:rowOff>
    </xdr:from>
    <xdr:to>
      <xdr:col>21</xdr:col>
      <xdr:colOff>59063</xdr:colOff>
      <xdr:row>60</xdr:row>
      <xdr:rowOff>44043</xdr:rowOff>
    </xdr:to>
    <xdr:sp macro="" textlink="">
      <xdr:nvSpPr>
        <xdr:cNvPr id="1211" name="フローチャート: 定義済み処理 9">
          <a:extLst>
            <a:ext uri="{FF2B5EF4-FFF2-40B4-BE49-F238E27FC236}">
              <a16:creationId xmlns:a16="http://schemas.microsoft.com/office/drawing/2014/main" id="{D66F46C8-9273-4E11-A0C6-B6F188CCFB60}"/>
            </a:ext>
          </a:extLst>
        </xdr:cNvPr>
        <xdr:cNvSpPr/>
      </xdr:nvSpPr>
      <xdr:spPr>
        <a:xfrm>
          <a:off x="6054601" y="8230297"/>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18143</xdr:colOff>
      <xdr:row>57</xdr:row>
      <xdr:rowOff>36287</xdr:rowOff>
    </xdr:from>
    <xdr:to>
      <xdr:col>21</xdr:col>
      <xdr:colOff>117567</xdr:colOff>
      <xdr:row>60</xdr:row>
      <xdr:rowOff>65092</xdr:rowOff>
    </xdr:to>
    <xdr:sp macro="" textlink="">
      <xdr:nvSpPr>
        <xdr:cNvPr id="1213" name="正方形/長方形 48">
          <a:extLst>
            <a:ext uri="{FF2B5EF4-FFF2-40B4-BE49-F238E27FC236}">
              <a16:creationId xmlns:a16="http://schemas.microsoft.com/office/drawing/2014/main" id="{3216FAC2-5FFE-4661-A468-046D88F047AE}"/>
            </a:ext>
          </a:extLst>
        </xdr:cNvPr>
        <xdr:cNvSpPr/>
      </xdr:nvSpPr>
      <xdr:spPr>
        <a:xfrm>
          <a:off x="6005286" y="8191501"/>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取得</a:t>
          </a:r>
          <a:br>
            <a:rPr kumimoji="1" lang="en-US" altLang="ja-JP" sz="900"/>
          </a:br>
          <a:r>
            <a:rPr kumimoji="1" lang="ja-JP" altLang="en-US" sz="900"/>
            <a:t>承認申請</a:t>
          </a:r>
        </a:p>
      </xdr:txBody>
    </xdr:sp>
    <xdr:clientData/>
  </xdr:twoCellAnchor>
  <xdr:twoCellAnchor>
    <xdr:from>
      <xdr:col>18</xdr:col>
      <xdr:colOff>163047</xdr:colOff>
      <xdr:row>60</xdr:row>
      <xdr:rowOff>44042</xdr:rowOff>
    </xdr:from>
    <xdr:to>
      <xdr:col>25</xdr:col>
      <xdr:colOff>185785</xdr:colOff>
      <xdr:row>63</xdr:row>
      <xdr:rowOff>108856</xdr:rowOff>
    </xdr:to>
    <xdr:cxnSp macro="">
      <xdr:nvCxnSpPr>
        <xdr:cNvPr id="1216" name="コネクタ: カギ線 1215">
          <a:extLst>
            <a:ext uri="{FF2B5EF4-FFF2-40B4-BE49-F238E27FC236}">
              <a16:creationId xmlns:a16="http://schemas.microsoft.com/office/drawing/2014/main" id="{AF66BA47-1E1B-419A-BC4D-A992642375DF}"/>
            </a:ext>
          </a:extLst>
        </xdr:cNvPr>
        <xdr:cNvCxnSpPr>
          <a:stCxn id="1211" idx="2"/>
          <a:endCxn id="1219" idx="0"/>
        </xdr:cNvCxnSpPr>
      </xdr:nvCxnSpPr>
      <xdr:spPr>
        <a:xfrm rot="16200000" flipH="1">
          <a:off x="6968259" y="8297402"/>
          <a:ext cx="581885" cy="141973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67459</xdr:colOff>
      <xdr:row>63</xdr:row>
      <xdr:rowOff>147653</xdr:rowOff>
    </xdr:from>
    <xdr:to>
      <xdr:col>28</xdr:col>
      <xdr:colOff>59064</xdr:colOff>
      <xdr:row>66</xdr:row>
      <xdr:rowOff>116613</xdr:rowOff>
    </xdr:to>
    <xdr:sp macro="" textlink="">
      <xdr:nvSpPr>
        <xdr:cNvPr id="1218" name="フローチャート: 定義済み処理 9">
          <a:extLst>
            <a:ext uri="{FF2B5EF4-FFF2-40B4-BE49-F238E27FC236}">
              <a16:creationId xmlns:a16="http://schemas.microsoft.com/office/drawing/2014/main" id="{66F4E8AF-E515-4A1C-8391-447D5A8AB58F}"/>
            </a:ext>
          </a:extLst>
        </xdr:cNvPr>
        <xdr:cNvSpPr/>
      </xdr:nvSpPr>
      <xdr:spPr>
        <a:xfrm>
          <a:off x="7451602" y="9337010"/>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36286</xdr:colOff>
      <xdr:row>63</xdr:row>
      <xdr:rowOff>108857</xdr:rowOff>
    </xdr:from>
    <xdr:to>
      <xdr:col>28</xdr:col>
      <xdr:colOff>135710</xdr:colOff>
      <xdr:row>66</xdr:row>
      <xdr:rowOff>137662</xdr:rowOff>
    </xdr:to>
    <xdr:sp macro="" textlink="">
      <xdr:nvSpPr>
        <xdr:cNvPr id="1219" name="正方形/長方形 48">
          <a:extLst>
            <a:ext uri="{FF2B5EF4-FFF2-40B4-BE49-F238E27FC236}">
              <a16:creationId xmlns:a16="http://schemas.microsoft.com/office/drawing/2014/main" id="{92882EA7-1EF3-4698-8D6C-16A5AE5A6E46}"/>
            </a:ext>
          </a:extLst>
        </xdr:cNvPr>
        <xdr:cNvSpPr/>
      </xdr:nvSpPr>
      <xdr:spPr>
        <a:xfrm>
          <a:off x="7420429" y="9298214"/>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取得の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25</xdr:col>
      <xdr:colOff>184740</xdr:colOff>
      <xdr:row>66</xdr:row>
      <xdr:rowOff>137662</xdr:rowOff>
    </xdr:from>
    <xdr:to>
      <xdr:col>25</xdr:col>
      <xdr:colOff>185784</xdr:colOff>
      <xdr:row>68</xdr:row>
      <xdr:rowOff>118043</xdr:rowOff>
    </xdr:to>
    <xdr:cxnSp macro="">
      <xdr:nvCxnSpPr>
        <xdr:cNvPr id="1220" name="直線矢印コネクタ 27">
          <a:extLst>
            <a:ext uri="{FF2B5EF4-FFF2-40B4-BE49-F238E27FC236}">
              <a16:creationId xmlns:a16="http://schemas.microsoft.com/office/drawing/2014/main" id="{D8B7BF6D-34AE-47A7-BC6F-F2DA8C187FEA}"/>
            </a:ext>
          </a:extLst>
        </xdr:cNvPr>
        <xdr:cNvCxnSpPr>
          <a:cxnSpLocks/>
          <a:stCxn id="1219" idx="2"/>
          <a:endCxn id="1224" idx="0"/>
        </xdr:cNvCxnSpPr>
      </xdr:nvCxnSpPr>
      <xdr:spPr>
        <a:xfrm flipH="1">
          <a:off x="7968026" y="9844091"/>
          <a:ext cx="1044" cy="3250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65153</xdr:colOff>
      <xdr:row>68</xdr:row>
      <xdr:rowOff>107396</xdr:rowOff>
    </xdr:from>
    <xdr:to>
      <xdr:col>28</xdr:col>
      <xdr:colOff>104755</xdr:colOff>
      <xdr:row>71</xdr:row>
      <xdr:rowOff>115421</xdr:rowOff>
    </xdr:to>
    <xdr:grpSp>
      <xdr:nvGrpSpPr>
        <xdr:cNvPr id="1221" name="グループ化 1220">
          <a:extLst>
            <a:ext uri="{FF2B5EF4-FFF2-40B4-BE49-F238E27FC236}">
              <a16:creationId xmlns:a16="http://schemas.microsoft.com/office/drawing/2014/main" id="{E511B5EC-9077-4E66-BE12-843C0F4C7155}"/>
            </a:ext>
          </a:extLst>
        </xdr:cNvPr>
        <xdr:cNvGrpSpPr/>
      </xdr:nvGrpSpPr>
      <xdr:grpSpPr>
        <a:xfrm>
          <a:off x="4227578" y="11927921"/>
          <a:ext cx="944477" cy="522375"/>
          <a:chOff x="287474" y="4845794"/>
          <a:chExt cx="1021504" cy="505814"/>
        </a:xfrm>
      </xdr:grpSpPr>
      <xdr:sp macro="" textlink="">
        <xdr:nvSpPr>
          <xdr:cNvPr id="1222" name="フローチャート: 判断 1221">
            <a:extLst>
              <a:ext uri="{FF2B5EF4-FFF2-40B4-BE49-F238E27FC236}">
                <a16:creationId xmlns:a16="http://schemas.microsoft.com/office/drawing/2014/main" id="{AEA59098-1244-3BF2-A4C0-164E93E77E6A}"/>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224" name="正方形/長方形 48">
            <a:extLst>
              <a:ext uri="{FF2B5EF4-FFF2-40B4-BE49-F238E27FC236}">
                <a16:creationId xmlns:a16="http://schemas.microsoft.com/office/drawing/2014/main" id="{2EF14A6A-7441-15F9-E88D-142E01556325}"/>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2170</xdr:colOff>
      <xdr:row>71</xdr:row>
      <xdr:rowOff>79576</xdr:rowOff>
    </xdr:from>
    <xdr:to>
      <xdr:col>28</xdr:col>
      <xdr:colOff>56536</xdr:colOff>
      <xdr:row>72</xdr:row>
      <xdr:rowOff>125409</xdr:rowOff>
    </xdr:to>
    <xdr:sp macro="" textlink="">
      <xdr:nvSpPr>
        <xdr:cNvPr id="1225" name="テキスト ボックス 1224">
          <a:extLst>
            <a:ext uri="{FF2B5EF4-FFF2-40B4-BE49-F238E27FC236}">
              <a16:creationId xmlns:a16="http://schemas.microsoft.com/office/drawing/2014/main" id="{9D2F70E2-2880-4587-9084-959962970784}"/>
            </a:ext>
          </a:extLst>
        </xdr:cNvPr>
        <xdr:cNvSpPr txBox="1"/>
      </xdr:nvSpPr>
      <xdr:spPr>
        <a:xfrm>
          <a:off x="7985027" y="10647790"/>
          <a:ext cx="453509"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103413</xdr:colOff>
      <xdr:row>68</xdr:row>
      <xdr:rowOff>30844</xdr:rowOff>
    </xdr:from>
    <xdr:to>
      <xdr:col>25</xdr:col>
      <xdr:colOff>42296</xdr:colOff>
      <xdr:row>69</xdr:row>
      <xdr:rowOff>130630</xdr:rowOff>
    </xdr:to>
    <xdr:sp macro="" textlink="">
      <xdr:nvSpPr>
        <xdr:cNvPr id="1226" name="テキスト ボックス 1225">
          <a:extLst>
            <a:ext uri="{FF2B5EF4-FFF2-40B4-BE49-F238E27FC236}">
              <a16:creationId xmlns:a16="http://schemas.microsoft.com/office/drawing/2014/main" id="{4ECF782B-BD16-4F0A-B8BC-7BFAC8C2FA36}"/>
            </a:ext>
          </a:extLst>
        </xdr:cNvPr>
        <xdr:cNvSpPr txBox="1"/>
      </xdr:nvSpPr>
      <xdr:spPr>
        <a:xfrm>
          <a:off x="7088413" y="10081987"/>
          <a:ext cx="737169"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25</xdr:col>
      <xdr:colOff>178738</xdr:colOff>
      <xdr:row>71</xdr:row>
      <xdr:rowOff>93364</xdr:rowOff>
    </xdr:from>
    <xdr:to>
      <xdr:col>25</xdr:col>
      <xdr:colOff>184819</xdr:colOff>
      <xdr:row>80</xdr:row>
      <xdr:rowOff>6140</xdr:rowOff>
    </xdr:to>
    <xdr:cxnSp macro="">
      <xdr:nvCxnSpPr>
        <xdr:cNvPr id="1227" name="直線矢印コネクタ 1226">
          <a:extLst>
            <a:ext uri="{FF2B5EF4-FFF2-40B4-BE49-F238E27FC236}">
              <a16:creationId xmlns:a16="http://schemas.microsoft.com/office/drawing/2014/main" id="{9FA5703D-DBC0-4A30-8754-0387BB320383}"/>
            </a:ext>
          </a:extLst>
        </xdr:cNvPr>
        <xdr:cNvCxnSpPr>
          <a:cxnSpLocks/>
          <a:stCxn id="1222" idx="2"/>
          <a:endCxn id="1233" idx="0"/>
        </xdr:cNvCxnSpPr>
      </xdr:nvCxnSpPr>
      <xdr:spPr>
        <a:xfrm>
          <a:off x="7962024" y="10661578"/>
          <a:ext cx="6081" cy="146399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180340</xdr:colOff>
      <xdr:row>70</xdr:row>
      <xdr:rowOff>14202</xdr:rowOff>
    </xdr:from>
    <xdr:to>
      <xdr:col>23</xdr:col>
      <xdr:colOff>147242</xdr:colOff>
      <xdr:row>74</xdr:row>
      <xdr:rowOff>21773</xdr:rowOff>
    </xdr:to>
    <xdr:cxnSp macro="">
      <xdr:nvCxnSpPr>
        <xdr:cNvPr id="1228" name="コネクタ: カギ線 1227">
          <a:extLst>
            <a:ext uri="{FF2B5EF4-FFF2-40B4-BE49-F238E27FC236}">
              <a16:creationId xmlns:a16="http://schemas.microsoft.com/office/drawing/2014/main" id="{C0362F5A-6D09-41FE-93CA-1D6C1ACE4B95}"/>
            </a:ext>
          </a:extLst>
        </xdr:cNvPr>
        <xdr:cNvCxnSpPr>
          <a:stCxn id="1222" idx="1"/>
          <a:endCxn id="1230" idx="0"/>
        </xdr:cNvCxnSpPr>
      </xdr:nvCxnSpPr>
      <xdr:spPr>
        <a:xfrm rot="10800000" flipV="1">
          <a:off x="6566626" y="10410059"/>
          <a:ext cx="964759" cy="69700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62014</xdr:colOff>
      <xdr:row>74</xdr:row>
      <xdr:rowOff>60569</xdr:rowOff>
    </xdr:from>
    <xdr:to>
      <xdr:col>21</xdr:col>
      <xdr:colOff>53619</xdr:colOff>
      <xdr:row>77</xdr:row>
      <xdr:rowOff>29530</xdr:rowOff>
    </xdr:to>
    <xdr:sp macro="" textlink="">
      <xdr:nvSpPr>
        <xdr:cNvPr id="1229" name="フローチャート: 定義済み処理 9">
          <a:extLst>
            <a:ext uri="{FF2B5EF4-FFF2-40B4-BE49-F238E27FC236}">
              <a16:creationId xmlns:a16="http://schemas.microsoft.com/office/drawing/2014/main" id="{5F629596-89CD-4C55-9612-B1D119F8FF09}"/>
            </a:ext>
          </a:extLst>
        </xdr:cNvPr>
        <xdr:cNvSpPr/>
      </xdr:nvSpPr>
      <xdr:spPr>
        <a:xfrm>
          <a:off x="6049157" y="11145855"/>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30841</xdr:colOff>
      <xdr:row>74</xdr:row>
      <xdr:rowOff>21773</xdr:rowOff>
    </xdr:from>
    <xdr:to>
      <xdr:col>21</xdr:col>
      <xdr:colOff>130265</xdr:colOff>
      <xdr:row>77</xdr:row>
      <xdr:rowOff>50579</xdr:rowOff>
    </xdr:to>
    <xdr:sp macro="" textlink="">
      <xdr:nvSpPr>
        <xdr:cNvPr id="1230" name="正方形/長方形 48">
          <a:extLst>
            <a:ext uri="{FF2B5EF4-FFF2-40B4-BE49-F238E27FC236}">
              <a16:creationId xmlns:a16="http://schemas.microsoft.com/office/drawing/2014/main" id="{C6207973-E6F5-4260-89E5-1FFEDC915AD1}"/>
            </a:ext>
          </a:extLst>
        </xdr:cNvPr>
        <xdr:cNvSpPr/>
      </xdr:nvSpPr>
      <xdr:spPr>
        <a:xfrm>
          <a:off x="6017984" y="11107059"/>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不備修正</a:t>
          </a:r>
        </a:p>
      </xdr:txBody>
    </xdr:sp>
    <xdr:clientData/>
  </xdr:twoCellAnchor>
  <xdr:twoCellAnchor>
    <xdr:from>
      <xdr:col>16</xdr:col>
      <xdr:colOff>30840</xdr:colOff>
      <xdr:row>58</xdr:row>
      <xdr:rowOff>145743</xdr:rowOff>
    </xdr:from>
    <xdr:to>
      <xdr:col>16</xdr:col>
      <xdr:colOff>67457</xdr:colOff>
      <xdr:row>75</xdr:row>
      <xdr:rowOff>122356</xdr:rowOff>
    </xdr:to>
    <xdr:cxnSp macro="">
      <xdr:nvCxnSpPr>
        <xdr:cNvPr id="1231" name="コネクタ: カギ線 1230">
          <a:extLst>
            <a:ext uri="{FF2B5EF4-FFF2-40B4-BE49-F238E27FC236}">
              <a16:creationId xmlns:a16="http://schemas.microsoft.com/office/drawing/2014/main" id="{459C4415-F21F-4AF3-B6F9-654D20BCEBA0}"/>
            </a:ext>
          </a:extLst>
        </xdr:cNvPr>
        <xdr:cNvCxnSpPr>
          <a:stCxn id="1230" idx="1"/>
          <a:endCxn id="1211" idx="1"/>
        </xdr:cNvCxnSpPr>
      </xdr:nvCxnSpPr>
      <xdr:spPr>
        <a:xfrm rot="10800000" flipH="1">
          <a:off x="6017983" y="8473314"/>
          <a:ext cx="36617" cy="2906685"/>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194126</xdr:colOff>
      <xdr:row>70</xdr:row>
      <xdr:rowOff>48984</xdr:rowOff>
    </xdr:from>
    <xdr:to>
      <xdr:col>25</xdr:col>
      <xdr:colOff>0</xdr:colOff>
      <xdr:row>72</xdr:row>
      <xdr:rowOff>-1</xdr:rowOff>
    </xdr:to>
    <xdr:sp macro="" textlink="">
      <xdr:nvSpPr>
        <xdr:cNvPr id="1232" name="テキスト ボックス 1231">
          <a:extLst>
            <a:ext uri="{FF2B5EF4-FFF2-40B4-BE49-F238E27FC236}">
              <a16:creationId xmlns:a16="http://schemas.microsoft.com/office/drawing/2014/main" id="{4C4157BF-68EC-4981-BCC8-A95298FFC111}"/>
            </a:ext>
          </a:extLst>
        </xdr:cNvPr>
        <xdr:cNvSpPr txBox="1"/>
      </xdr:nvSpPr>
      <xdr:spPr>
        <a:xfrm>
          <a:off x="6474853" y="10462984"/>
          <a:ext cx="1179783" cy="297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89231</xdr:colOff>
      <xdr:row>80</xdr:row>
      <xdr:rowOff>6140</xdr:rowOff>
    </xdr:from>
    <xdr:to>
      <xdr:col>28</xdr:col>
      <xdr:colOff>80836</xdr:colOff>
      <xdr:row>82</xdr:row>
      <xdr:rowOff>147458</xdr:rowOff>
    </xdr:to>
    <xdr:sp macro="" textlink="">
      <xdr:nvSpPr>
        <xdr:cNvPr id="1233" name="フローチャート: 定義済み処理 9">
          <a:extLst>
            <a:ext uri="{FF2B5EF4-FFF2-40B4-BE49-F238E27FC236}">
              <a16:creationId xmlns:a16="http://schemas.microsoft.com/office/drawing/2014/main" id="{E28A772F-F512-4394-91B7-7B6FC93FD9B4}"/>
            </a:ext>
          </a:extLst>
        </xdr:cNvPr>
        <xdr:cNvSpPr/>
      </xdr:nvSpPr>
      <xdr:spPr>
        <a:xfrm>
          <a:off x="7473374" y="12125569"/>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39916</xdr:colOff>
      <xdr:row>79</xdr:row>
      <xdr:rowOff>139702</xdr:rowOff>
    </xdr:from>
    <xdr:to>
      <xdr:col>28</xdr:col>
      <xdr:colOff>139340</xdr:colOff>
      <xdr:row>82</xdr:row>
      <xdr:rowOff>168507</xdr:rowOff>
    </xdr:to>
    <xdr:sp macro="" textlink="">
      <xdr:nvSpPr>
        <xdr:cNvPr id="1234" name="正方形/長方形 48">
          <a:extLst>
            <a:ext uri="{FF2B5EF4-FFF2-40B4-BE49-F238E27FC236}">
              <a16:creationId xmlns:a16="http://schemas.microsoft.com/office/drawing/2014/main" id="{A4F88344-666F-456E-8857-B55D86771821}"/>
            </a:ext>
          </a:extLst>
        </xdr:cNvPr>
        <xdr:cNvSpPr/>
      </xdr:nvSpPr>
      <xdr:spPr>
        <a:xfrm>
          <a:off x="7424059" y="12086773"/>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自動転記バッチ</a:t>
          </a:r>
        </a:p>
      </xdr:txBody>
    </xdr:sp>
    <xdr:clientData/>
  </xdr:twoCellAnchor>
  <xdr:twoCellAnchor>
    <xdr:from>
      <xdr:col>18</xdr:col>
      <xdr:colOff>160495</xdr:colOff>
      <xdr:row>54</xdr:row>
      <xdr:rowOff>158639</xdr:rowOff>
    </xdr:from>
    <xdr:to>
      <xdr:col>18</xdr:col>
      <xdr:colOff>163046</xdr:colOff>
      <xdr:row>57</xdr:row>
      <xdr:rowOff>75083</xdr:rowOff>
    </xdr:to>
    <xdr:cxnSp macro="">
      <xdr:nvCxnSpPr>
        <xdr:cNvPr id="1235" name="直線矢印コネクタ 27">
          <a:extLst>
            <a:ext uri="{FF2B5EF4-FFF2-40B4-BE49-F238E27FC236}">
              <a16:creationId xmlns:a16="http://schemas.microsoft.com/office/drawing/2014/main" id="{0614EB4D-32D4-40EA-A101-F6CFD9316F16}"/>
            </a:ext>
          </a:extLst>
        </xdr:cNvPr>
        <xdr:cNvCxnSpPr>
          <a:cxnSpLocks/>
          <a:stCxn id="1309" idx="2"/>
          <a:endCxn id="1211" idx="0"/>
        </xdr:cNvCxnSpPr>
      </xdr:nvCxnSpPr>
      <xdr:spPr>
        <a:xfrm>
          <a:off x="6546781" y="7796782"/>
          <a:ext cx="2551" cy="43351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23915</xdr:colOff>
      <xdr:row>93</xdr:row>
      <xdr:rowOff>76896</xdr:rowOff>
    </xdr:from>
    <xdr:to>
      <xdr:col>21</xdr:col>
      <xdr:colOff>15520</xdr:colOff>
      <xdr:row>96</xdr:row>
      <xdr:rowOff>45857</xdr:rowOff>
    </xdr:to>
    <xdr:sp macro="" textlink="">
      <xdr:nvSpPr>
        <xdr:cNvPr id="1243" name="フローチャート: 定義済み処理 9">
          <a:extLst>
            <a:ext uri="{FF2B5EF4-FFF2-40B4-BE49-F238E27FC236}">
              <a16:creationId xmlns:a16="http://schemas.microsoft.com/office/drawing/2014/main" id="{93877B31-901B-4239-9506-B76762B04EF6}"/>
            </a:ext>
          </a:extLst>
        </xdr:cNvPr>
        <xdr:cNvSpPr/>
      </xdr:nvSpPr>
      <xdr:spPr>
        <a:xfrm>
          <a:off x="6011058" y="13402825"/>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15</xdr:col>
      <xdr:colOff>183242</xdr:colOff>
      <xdr:row>93</xdr:row>
      <xdr:rowOff>38099</xdr:rowOff>
    </xdr:from>
    <xdr:to>
      <xdr:col>21</xdr:col>
      <xdr:colOff>83094</xdr:colOff>
      <xdr:row>96</xdr:row>
      <xdr:rowOff>66905</xdr:rowOff>
    </xdr:to>
    <xdr:sp macro="" textlink="">
      <xdr:nvSpPr>
        <xdr:cNvPr id="1244" name="正方形/長方形 48">
          <a:extLst>
            <a:ext uri="{FF2B5EF4-FFF2-40B4-BE49-F238E27FC236}">
              <a16:creationId xmlns:a16="http://schemas.microsoft.com/office/drawing/2014/main" id="{03FF0D80-5833-4E79-8B41-F5B59B7F893E}"/>
            </a:ext>
          </a:extLst>
        </xdr:cNvPr>
        <xdr:cNvSpPr/>
      </xdr:nvSpPr>
      <xdr:spPr>
        <a:xfrm>
          <a:off x="5970813" y="13364028"/>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9.</a:t>
          </a:r>
          <a:r>
            <a:rPr kumimoji="1" lang="ja-JP" altLang="en-US" sz="900"/>
            <a:t>取得内容確認</a:t>
          </a:r>
        </a:p>
      </xdr:txBody>
    </xdr:sp>
    <xdr:clientData/>
  </xdr:twoCellAnchor>
  <xdr:twoCellAnchor>
    <xdr:from>
      <xdr:col>11</xdr:col>
      <xdr:colOff>198484</xdr:colOff>
      <xdr:row>83</xdr:row>
      <xdr:rowOff>41505</xdr:rowOff>
    </xdr:from>
    <xdr:to>
      <xdr:col>15</xdr:col>
      <xdr:colOff>183243</xdr:colOff>
      <xdr:row>94</xdr:row>
      <xdr:rowOff>138680</xdr:rowOff>
    </xdr:to>
    <xdr:cxnSp macro="">
      <xdr:nvCxnSpPr>
        <xdr:cNvPr id="1246" name="コネクタ: カギ線 1245">
          <a:extLst>
            <a:ext uri="{FF2B5EF4-FFF2-40B4-BE49-F238E27FC236}">
              <a16:creationId xmlns:a16="http://schemas.microsoft.com/office/drawing/2014/main" id="{59FA5064-8DF0-403A-80E3-3E734CB9552D}"/>
            </a:ext>
          </a:extLst>
        </xdr:cNvPr>
        <xdr:cNvCxnSpPr>
          <a:stCxn id="1177" idx="2"/>
          <a:endCxn id="1244" idx="1"/>
        </xdr:cNvCxnSpPr>
      </xdr:nvCxnSpPr>
      <xdr:spPr>
        <a:xfrm rot="16200000" flipH="1">
          <a:off x="5099811" y="12765964"/>
          <a:ext cx="958961" cy="783044"/>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183171</xdr:colOff>
      <xdr:row>82</xdr:row>
      <xdr:rowOff>147458</xdr:rowOff>
    </xdr:from>
    <xdr:to>
      <xdr:col>25</xdr:col>
      <xdr:colOff>194158</xdr:colOff>
      <xdr:row>115</xdr:row>
      <xdr:rowOff>156240</xdr:rowOff>
    </xdr:to>
    <xdr:cxnSp macro="">
      <xdr:nvCxnSpPr>
        <xdr:cNvPr id="1317" name="直線矢印コネクタ 1316">
          <a:extLst>
            <a:ext uri="{FF2B5EF4-FFF2-40B4-BE49-F238E27FC236}">
              <a16:creationId xmlns:a16="http://schemas.microsoft.com/office/drawing/2014/main" id="{01F1258F-C4D1-411B-A0E3-F3166028B3EA}"/>
            </a:ext>
          </a:extLst>
        </xdr:cNvPr>
        <xdr:cNvCxnSpPr>
          <a:cxnSpLocks/>
          <a:stCxn id="1233" idx="2"/>
          <a:endCxn id="1318" idx="0"/>
        </xdr:cNvCxnSpPr>
      </xdr:nvCxnSpPr>
      <xdr:spPr>
        <a:xfrm>
          <a:off x="7837807" y="12639640"/>
          <a:ext cx="10987" cy="468469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38758</xdr:colOff>
      <xdr:row>115</xdr:row>
      <xdr:rowOff>156240</xdr:rowOff>
    </xdr:from>
    <xdr:to>
      <xdr:col>27</xdr:col>
      <xdr:colOff>153284</xdr:colOff>
      <xdr:row>117</xdr:row>
      <xdr:rowOff>80144</xdr:rowOff>
    </xdr:to>
    <xdr:sp macro="" textlink="">
      <xdr:nvSpPr>
        <xdr:cNvPr id="1318" name="フローチャート: 端子 26">
          <a:extLst>
            <a:ext uri="{FF2B5EF4-FFF2-40B4-BE49-F238E27FC236}">
              <a16:creationId xmlns:a16="http://schemas.microsoft.com/office/drawing/2014/main" id="{385AE6A4-3AA3-4292-A564-7E8DFC67D44C}"/>
            </a:ext>
          </a:extLst>
        </xdr:cNvPr>
        <xdr:cNvSpPr/>
      </xdr:nvSpPr>
      <xdr:spPr>
        <a:xfrm>
          <a:off x="7497122" y="17324331"/>
          <a:ext cx="703344" cy="27026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16</xdr:col>
      <xdr:colOff>20884</xdr:colOff>
      <xdr:row>98</xdr:row>
      <xdr:rowOff>167266</xdr:rowOff>
    </xdr:from>
    <xdr:to>
      <xdr:col>21</xdr:col>
      <xdr:colOff>60486</xdr:colOff>
      <xdr:row>102</xdr:row>
      <xdr:rowOff>2933</xdr:rowOff>
    </xdr:to>
    <xdr:grpSp>
      <xdr:nvGrpSpPr>
        <xdr:cNvPr id="1329" name="グループ化 1328">
          <a:extLst>
            <a:ext uri="{FF2B5EF4-FFF2-40B4-BE49-F238E27FC236}">
              <a16:creationId xmlns:a16="http://schemas.microsoft.com/office/drawing/2014/main" id="{D0FC442B-E2AF-4AA5-AD27-8E691FFD15D7}"/>
            </a:ext>
          </a:extLst>
        </xdr:cNvPr>
        <xdr:cNvGrpSpPr/>
      </xdr:nvGrpSpPr>
      <xdr:grpSpPr>
        <a:xfrm>
          <a:off x="2916484" y="17131291"/>
          <a:ext cx="944477" cy="521467"/>
          <a:chOff x="287474" y="4845794"/>
          <a:chExt cx="1021504" cy="505814"/>
        </a:xfrm>
      </xdr:grpSpPr>
      <xdr:sp macro="" textlink="">
        <xdr:nvSpPr>
          <xdr:cNvPr id="1330" name="フローチャート: 判断 1329">
            <a:extLst>
              <a:ext uri="{FF2B5EF4-FFF2-40B4-BE49-F238E27FC236}">
                <a16:creationId xmlns:a16="http://schemas.microsoft.com/office/drawing/2014/main" id="{63144709-EB22-CFCC-1960-5F74C5ECD6C5}"/>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331" name="正方形/長方形 48">
            <a:extLst>
              <a:ext uri="{FF2B5EF4-FFF2-40B4-BE49-F238E27FC236}">
                <a16:creationId xmlns:a16="http://schemas.microsoft.com/office/drawing/2014/main" id="{F0C96354-1FB8-2282-E42E-D153CABADF4E}"/>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最終確認</a:t>
            </a:r>
          </a:p>
        </xdr:txBody>
      </xdr:sp>
    </xdr:grpSp>
    <xdr:clientData/>
  </xdr:twoCellAnchor>
  <xdr:twoCellAnchor>
    <xdr:from>
      <xdr:col>18</xdr:col>
      <xdr:colOff>157472</xdr:colOff>
      <xdr:row>101</xdr:row>
      <xdr:rowOff>139445</xdr:rowOff>
    </xdr:from>
    <xdr:to>
      <xdr:col>21</xdr:col>
      <xdr:colOff>12267</xdr:colOff>
      <xdr:row>103</xdr:row>
      <xdr:rowOff>12921</xdr:rowOff>
    </xdr:to>
    <xdr:sp macro="" textlink="">
      <xdr:nvSpPr>
        <xdr:cNvPr id="1332" name="テキスト ボックス 1331">
          <a:extLst>
            <a:ext uri="{FF2B5EF4-FFF2-40B4-BE49-F238E27FC236}">
              <a16:creationId xmlns:a16="http://schemas.microsoft.com/office/drawing/2014/main" id="{E757AB4A-4F28-4EC0-9E7A-4EC8DEB19DF8}"/>
            </a:ext>
          </a:extLst>
        </xdr:cNvPr>
        <xdr:cNvSpPr txBox="1"/>
      </xdr:nvSpPr>
      <xdr:spPr>
        <a:xfrm>
          <a:off x="6543758" y="14844231"/>
          <a:ext cx="453509"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OK</a:t>
          </a:r>
          <a:endParaRPr kumimoji="1" lang="ja-JP" altLang="en-US" sz="900"/>
        </a:p>
      </xdr:txBody>
    </xdr:sp>
    <xdr:clientData/>
  </xdr:twoCellAnchor>
  <xdr:twoCellAnchor>
    <xdr:from>
      <xdr:col>14</xdr:col>
      <xdr:colOff>12964</xdr:colOff>
      <xdr:row>98</xdr:row>
      <xdr:rowOff>74221</xdr:rowOff>
    </xdr:from>
    <xdr:to>
      <xdr:col>17</xdr:col>
      <xdr:colOff>148119</xdr:colOff>
      <xdr:row>100</xdr:row>
      <xdr:rowOff>11544</xdr:rowOff>
    </xdr:to>
    <xdr:sp macro="" textlink="">
      <xdr:nvSpPr>
        <xdr:cNvPr id="1333" name="テキスト ボックス 1332">
          <a:extLst>
            <a:ext uri="{FF2B5EF4-FFF2-40B4-BE49-F238E27FC236}">
              <a16:creationId xmlns:a16="http://schemas.microsoft.com/office/drawing/2014/main" id="{61BF33EF-47BF-4AAD-921F-BF9CF54C3713}"/>
            </a:ext>
          </a:extLst>
        </xdr:cNvPr>
        <xdr:cNvSpPr txBox="1"/>
      </xdr:nvSpPr>
      <xdr:spPr>
        <a:xfrm>
          <a:off x="5508600" y="15337312"/>
          <a:ext cx="723974" cy="28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NG</a:t>
          </a:r>
          <a:endParaRPr kumimoji="1" lang="ja-JP" altLang="en-US" sz="900"/>
        </a:p>
      </xdr:txBody>
    </xdr:sp>
    <xdr:clientData/>
  </xdr:twoCellAnchor>
  <xdr:twoCellAnchor>
    <xdr:from>
      <xdr:col>18</xdr:col>
      <xdr:colOff>134469</xdr:colOff>
      <xdr:row>101</xdr:row>
      <xdr:rowOff>153233</xdr:rowOff>
    </xdr:from>
    <xdr:to>
      <xdr:col>18</xdr:col>
      <xdr:colOff>147977</xdr:colOff>
      <xdr:row>115</xdr:row>
      <xdr:rowOff>154214</xdr:rowOff>
    </xdr:to>
    <xdr:cxnSp macro="">
      <xdr:nvCxnSpPr>
        <xdr:cNvPr id="1334" name="直線矢印コネクタ 1333">
          <a:extLst>
            <a:ext uri="{FF2B5EF4-FFF2-40B4-BE49-F238E27FC236}">
              <a16:creationId xmlns:a16="http://schemas.microsoft.com/office/drawing/2014/main" id="{B575765E-E837-480E-8021-4B1C2DCBB773}"/>
            </a:ext>
          </a:extLst>
        </xdr:cNvPr>
        <xdr:cNvCxnSpPr>
          <a:cxnSpLocks/>
          <a:stCxn id="1330" idx="2"/>
          <a:endCxn id="1340" idx="0"/>
        </xdr:cNvCxnSpPr>
      </xdr:nvCxnSpPr>
      <xdr:spPr>
        <a:xfrm>
          <a:off x="6520755" y="14858019"/>
          <a:ext cx="13508" cy="241398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104139</xdr:colOff>
      <xdr:row>100</xdr:row>
      <xdr:rowOff>74070</xdr:rowOff>
    </xdr:from>
    <xdr:to>
      <xdr:col>16</xdr:col>
      <xdr:colOff>102972</xdr:colOff>
      <xdr:row>104</xdr:row>
      <xdr:rowOff>63498</xdr:rowOff>
    </xdr:to>
    <xdr:cxnSp macro="">
      <xdr:nvCxnSpPr>
        <xdr:cNvPr id="1335" name="コネクタ: カギ線 1334">
          <a:extLst>
            <a:ext uri="{FF2B5EF4-FFF2-40B4-BE49-F238E27FC236}">
              <a16:creationId xmlns:a16="http://schemas.microsoft.com/office/drawing/2014/main" id="{B8B8F890-373A-4C47-A422-16007B83594D}"/>
            </a:ext>
          </a:extLst>
        </xdr:cNvPr>
        <xdr:cNvCxnSpPr>
          <a:stCxn id="1330" idx="1"/>
          <a:endCxn id="1346" idx="0"/>
        </xdr:cNvCxnSpPr>
      </xdr:nvCxnSpPr>
      <xdr:spPr>
        <a:xfrm rot="10800000" flipV="1">
          <a:off x="902425" y="17391427"/>
          <a:ext cx="2393690" cy="678857"/>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133168</xdr:colOff>
      <xdr:row>96</xdr:row>
      <xdr:rowOff>66905</xdr:rowOff>
    </xdr:from>
    <xdr:to>
      <xdr:col>18</xdr:col>
      <xdr:colOff>134469</xdr:colOff>
      <xdr:row>98</xdr:row>
      <xdr:rowOff>167266</xdr:rowOff>
    </xdr:to>
    <xdr:cxnSp macro="">
      <xdr:nvCxnSpPr>
        <xdr:cNvPr id="1336" name="直線矢印コネクタ 1335">
          <a:extLst>
            <a:ext uri="{FF2B5EF4-FFF2-40B4-BE49-F238E27FC236}">
              <a16:creationId xmlns:a16="http://schemas.microsoft.com/office/drawing/2014/main" id="{0DBD231E-4C5B-43C5-BC15-6EBDD2C595AA}"/>
            </a:ext>
          </a:extLst>
        </xdr:cNvPr>
        <xdr:cNvCxnSpPr>
          <a:cxnSpLocks/>
          <a:stCxn id="1244" idx="2"/>
          <a:endCxn id="1330" idx="0"/>
        </xdr:cNvCxnSpPr>
      </xdr:nvCxnSpPr>
      <xdr:spPr>
        <a:xfrm>
          <a:off x="6519454" y="13909905"/>
          <a:ext cx="1301" cy="4450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190499</xdr:colOff>
      <xdr:row>115</xdr:row>
      <xdr:rowOff>154214</xdr:rowOff>
    </xdr:from>
    <xdr:to>
      <xdr:col>20</xdr:col>
      <xdr:colOff>105454</xdr:colOff>
      <xdr:row>117</xdr:row>
      <xdr:rowOff>78943</xdr:rowOff>
    </xdr:to>
    <xdr:sp macro="" textlink="">
      <xdr:nvSpPr>
        <xdr:cNvPr id="1340" name="フローチャート: 端子 26">
          <a:extLst>
            <a:ext uri="{FF2B5EF4-FFF2-40B4-BE49-F238E27FC236}">
              <a16:creationId xmlns:a16="http://schemas.microsoft.com/office/drawing/2014/main" id="{91336AE1-A138-493D-8060-E683F0CCE8CB}"/>
            </a:ext>
          </a:extLst>
        </xdr:cNvPr>
        <xdr:cNvSpPr/>
      </xdr:nvSpPr>
      <xdr:spPr>
        <a:xfrm>
          <a:off x="6177642" y="17272000"/>
          <a:ext cx="713241" cy="26944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19</xdr:col>
      <xdr:colOff>27214</xdr:colOff>
      <xdr:row>95</xdr:row>
      <xdr:rowOff>54428</xdr:rowOff>
    </xdr:from>
    <xdr:to>
      <xdr:col>24</xdr:col>
      <xdr:colOff>90587</xdr:colOff>
      <xdr:row>98</xdr:row>
      <xdr:rowOff>43966</xdr:rowOff>
    </xdr:to>
    <xdr:grpSp>
      <xdr:nvGrpSpPr>
        <xdr:cNvPr id="1342" name="グループ化 1341">
          <a:extLst>
            <a:ext uri="{FF2B5EF4-FFF2-40B4-BE49-F238E27FC236}">
              <a16:creationId xmlns:a16="http://schemas.microsoft.com/office/drawing/2014/main" id="{5829844E-9F23-4149-A947-D414B3F014D8}"/>
            </a:ext>
          </a:extLst>
        </xdr:cNvPr>
        <xdr:cNvGrpSpPr>
          <a:grpSpLocks noChangeAspect="1"/>
        </xdr:cNvGrpSpPr>
      </xdr:nvGrpSpPr>
      <xdr:grpSpPr>
        <a:xfrm>
          <a:off x="3465739" y="16504103"/>
          <a:ext cx="968248" cy="503888"/>
          <a:chOff x="2615259" y="18489765"/>
          <a:chExt cx="1171134" cy="566261"/>
        </a:xfrm>
      </xdr:grpSpPr>
      <xdr:sp macro="" textlink="">
        <xdr:nvSpPr>
          <xdr:cNvPr id="1343" name="フローチャート: 書類 1342">
            <a:extLst>
              <a:ext uri="{FF2B5EF4-FFF2-40B4-BE49-F238E27FC236}">
                <a16:creationId xmlns:a16="http://schemas.microsoft.com/office/drawing/2014/main" id="{8D33CACF-550B-A363-4272-DE32571DA486}"/>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344" name="正方形/長方形 1343">
            <a:extLst>
              <a:ext uri="{FF2B5EF4-FFF2-40B4-BE49-F238E27FC236}">
                <a16:creationId xmlns:a16="http://schemas.microsoft.com/office/drawing/2014/main" id="{9EE6A565-07E8-D2E2-CAC7-96AA7134C070}"/>
              </a:ext>
            </a:extLst>
          </xdr:cNvPr>
          <xdr:cNvSpPr/>
        </xdr:nvSpPr>
        <xdr:spPr>
          <a:xfrm>
            <a:off x="2615259" y="18489765"/>
            <a:ext cx="117113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固定資産の取得</a:t>
            </a:r>
            <a:br>
              <a:rPr kumimoji="1" lang="en-US" altLang="ja-JP" sz="900"/>
            </a:br>
            <a:r>
              <a:rPr kumimoji="1" lang="ja-JP" altLang="en-US" sz="900"/>
              <a:t>レポート</a:t>
            </a:r>
          </a:p>
        </xdr:txBody>
      </xdr:sp>
    </xdr:grpSp>
    <xdr:clientData/>
  </xdr:twoCellAnchor>
  <xdr:twoCellAnchor>
    <xdr:from>
      <xdr:col>1</xdr:col>
      <xdr:colOff>194458</xdr:colOff>
      <xdr:row>104</xdr:row>
      <xdr:rowOff>102296</xdr:rowOff>
    </xdr:from>
    <xdr:to>
      <xdr:col>6</xdr:col>
      <xdr:colOff>186062</xdr:colOff>
      <xdr:row>107</xdr:row>
      <xdr:rowOff>71256</xdr:rowOff>
    </xdr:to>
    <xdr:sp macro="" textlink="">
      <xdr:nvSpPr>
        <xdr:cNvPr id="1345" name="フローチャート: 定義済み処理 9">
          <a:extLst>
            <a:ext uri="{FF2B5EF4-FFF2-40B4-BE49-F238E27FC236}">
              <a16:creationId xmlns:a16="http://schemas.microsoft.com/office/drawing/2014/main" id="{B503F90D-4A50-496C-B3D0-4DE0A4518BE1}"/>
            </a:ext>
          </a:extLst>
        </xdr:cNvPr>
        <xdr:cNvSpPr/>
      </xdr:nvSpPr>
      <xdr:spPr>
        <a:xfrm>
          <a:off x="394029" y="18109082"/>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154213</xdr:colOff>
      <xdr:row>104</xdr:row>
      <xdr:rowOff>63499</xdr:rowOff>
    </xdr:from>
    <xdr:to>
      <xdr:col>7</xdr:col>
      <xdr:colOff>54065</xdr:colOff>
      <xdr:row>107</xdr:row>
      <xdr:rowOff>92304</xdr:rowOff>
    </xdr:to>
    <xdr:sp macro="" textlink="">
      <xdr:nvSpPr>
        <xdr:cNvPr id="1346" name="正方形/長方形 48">
          <a:extLst>
            <a:ext uri="{FF2B5EF4-FFF2-40B4-BE49-F238E27FC236}">
              <a16:creationId xmlns:a16="http://schemas.microsoft.com/office/drawing/2014/main" id="{A5B65D2D-287B-4D95-B561-57FE6D86D3D2}"/>
            </a:ext>
          </a:extLst>
        </xdr:cNvPr>
        <xdr:cNvSpPr/>
      </xdr:nvSpPr>
      <xdr:spPr>
        <a:xfrm>
          <a:off x="353784" y="18070285"/>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仕訳帳</a:t>
          </a:r>
          <a:br>
            <a:rPr kumimoji="1" lang="en-US" altLang="ja-JP" sz="900"/>
          </a:br>
          <a:r>
            <a:rPr kumimoji="1" lang="ja-JP" altLang="en-US" sz="900"/>
            <a:t>全体の取消</a:t>
          </a:r>
        </a:p>
      </xdr:txBody>
    </xdr:sp>
    <xdr:clientData/>
  </xdr:twoCellAnchor>
  <xdr:twoCellAnchor>
    <xdr:from>
      <xdr:col>0</xdr:col>
      <xdr:colOff>117928</xdr:colOff>
      <xdr:row>109</xdr:row>
      <xdr:rowOff>27215</xdr:rowOff>
    </xdr:from>
    <xdr:to>
      <xdr:col>15</xdr:col>
      <xdr:colOff>99786</xdr:colOff>
      <xdr:row>113</xdr:row>
      <xdr:rowOff>27215</xdr:rowOff>
    </xdr:to>
    <xdr:grpSp>
      <xdr:nvGrpSpPr>
        <xdr:cNvPr id="1351" name="グループ化 1350">
          <a:extLst>
            <a:ext uri="{FF2B5EF4-FFF2-40B4-BE49-F238E27FC236}">
              <a16:creationId xmlns:a16="http://schemas.microsoft.com/office/drawing/2014/main" id="{75C2BFE4-291A-461C-9005-8190194178ED}"/>
            </a:ext>
          </a:extLst>
        </xdr:cNvPr>
        <xdr:cNvGrpSpPr/>
      </xdr:nvGrpSpPr>
      <xdr:grpSpPr>
        <a:xfrm>
          <a:off x="117928" y="18877190"/>
          <a:ext cx="2696483" cy="685800"/>
          <a:chOff x="1612900" y="2457450"/>
          <a:chExt cx="933032" cy="374650"/>
        </a:xfrm>
      </xdr:grpSpPr>
      <xdr:sp macro="" textlink="">
        <xdr:nvSpPr>
          <xdr:cNvPr id="1352" name="フローチャート: 処理 1351">
            <a:extLst>
              <a:ext uri="{FF2B5EF4-FFF2-40B4-BE49-F238E27FC236}">
                <a16:creationId xmlns:a16="http://schemas.microsoft.com/office/drawing/2014/main" id="{D9D3545D-0407-B410-74C3-0510952497D8}"/>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53" name="正方形/長方形 48">
            <a:extLst>
              <a:ext uri="{FF2B5EF4-FFF2-40B4-BE49-F238E27FC236}">
                <a16:creationId xmlns:a16="http://schemas.microsoft.com/office/drawing/2014/main" id="{5C5B2BA3-B1AB-4819-205C-284051E4FC85}"/>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内容修正を行い、再度取得提案より行う</a:t>
            </a:r>
            <a:endParaRPr kumimoji="1" lang="en-US" altLang="ja-JP" sz="900"/>
          </a:p>
        </xdr:txBody>
      </xdr:sp>
    </xdr:grpSp>
    <xdr:clientData/>
  </xdr:twoCellAnchor>
  <xdr:twoCellAnchor>
    <xdr:from>
      <xdr:col>7</xdr:col>
      <xdr:colOff>192684</xdr:colOff>
      <xdr:row>60</xdr:row>
      <xdr:rowOff>60229</xdr:rowOff>
    </xdr:from>
    <xdr:to>
      <xdr:col>13</xdr:col>
      <xdr:colOff>175491</xdr:colOff>
      <xdr:row>61</xdr:row>
      <xdr:rowOff>117763</xdr:rowOff>
    </xdr:to>
    <xdr:sp macro="" textlink="">
      <xdr:nvSpPr>
        <xdr:cNvPr id="1357" name="テキスト ボックス 1356">
          <a:extLst>
            <a:ext uri="{FF2B5EF4-FFF2-40B4-BE49-F238E27FC236}">
              <a16:creationId xmlns:a16="http://schemas.microsoft.com/office/drawing/2014/main" id="{EFD5D6D0-FC61-4ADD-87AE-88A95ACCDE04}"/>
            </a:ext>
          </a:extLst>
        </xdr:cNvPr>
        <xdr:cNvSpPr txBox="1"/>
      </xdr:nvSpPr>
      <xdr:spPr>
        <a:xfrm>
          <a:off x="4314411" y="8742411"/>
          <a:ext cx="1160444" cy="23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21</xdr:col>
      <xdr:colOff>183448</xdr:colOff>
      <xdr:row>60</xdr:row>
      <xdr:rowOff>39447</xdr:rowOff>
    </xdr:from>
    <xdr:to>
      <xdr:col>27</xdr:col>
      <xdr:colOff>166255</xdr:colOff>
      <xdr:row>61</xdr:row>
      <xdr:rowOff>96981</xdr:rowOff>
    </xdr:to>
    <xdr:sp macro="" textlink="">
      <xdr:nvSpPr>
        <xdr:cNvPr id="1358" name="テキスト ボックス 1357">
          <a:extLst>
            <a:ext uri="{FF2B5EF4-FFF2-40B4-BE49-F238E27FC236}">
              <a16:creationId xmlns:a16="http://schemas.microsoft.com/office/drawing/2014/main" id="{83E45938-E2F2-42A5-90BC-B0C330987EE7}"/>
            </a:ext>
          </a:extLst>
        </xdr:cNvPr>
        <xdr:cNvSpPr txBox="1"/>
      </xdr:nvSpPr>
      <xdr:spPr>
        <a:xfrm>
          <a:off x="7052993" y="8721629"/>
          <a:ext cx="1160444" cy="23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30</xdr:col>
      <xdr:colOff>121510</xdr:colOff>
      <xdr:row>104</xdr:row>
      <xdr:rowOff>54191</xdr:rowOff>
    </xdr:from>
    <xdr:to>
      <xdr:col>34</xdr:col>
      <xdr:colOff>102019</xdr:colOff>
      <xdr:row>107</xdr:row>
      <xdr:rowOff>164756</xdr:rowOff>
    </xdr:to>
    <xdr:grpSp>
      <xdr:nvGrpSpPr>
        <xdr:cNvPr id="1360" name="グループ化 92">
          <a:extLst>
            <a:ext uri="{FF2B5EF4-FFF2-40B4-BE49-F238E27FC236}">
              <a16:creationId xmlns:a16="http://schemas.microsoft.com/office/drawing/2014/main" id="{8806ACDE-0530-4DE3-92F9-C2D3F34BA508}"/>
            </a:ext>
          </a:extLst>
        </xdr:cNvPr>
        <xdr:cNvGrpSpPr/>
      </xdr:nvGrpSpPr>
      <xdr:grpSpPr>
        <a:xfrm>
          <a:off x="5550760" y="18046916"/>
          <a:ext cx="704409" cy="624915"/>
          <a:chOff x="7144737" y="2892425"/>
          <a:chExt cx="763434" cy="597682"/>
        </a:xfrm>
      </xdr:grpSpPr>
      <xdr:sp macro="" textlink="">
        <xdr:nvSpPr>
          <xdr:cNvPr id="1361" name="フローチャート: 磁気ディスク 93">
            <a:extLst>
              <a:ext uri="{FF2B5EF4-FFF2-40B4-BE49-F238E27FC236}">
                <a16:creationId xmlns:a16="http://schemas.microsoft.com/office/drawing/2014/main" id="{FC1173D1-FDC5-5486-B147-38FEC8580A3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62" name="正方形/長方形 94">
            <a:extLst>
              <a:ext uri="{FF2B5EF4-FFF2-40B4-BE49-F238E27FC236}">
                <a16:creationId xmlns:a16="http://schemas.microsoft.com/office/drawing/2014/main" id="{A253807B-5855-7D73-E705-FDD769EC1310}"/>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6</xdr:col>
      <xdr:colOff>182887</xdr:colOff>
      <xdr:row>105</xdr:row>
      <xdr:rowOff>161602</xdr:rowOff>
    </xdr:from>
    <xdr:to>
      <xdr:col>30</xdr:col>
      <xdr:colOff>182923</xdr:colOff>
      <xdr:row>106</xdr:row>
      <xdr:rowOff>3433</xdr:rowOff>
    </xdr:to>
    <xdr:cxnSp macro="">
      <xdr:nvCxnSpPr>
        <xdr:cNvPr id="1363" name="直線矢印コネクタ 1362">
          <a:extLst>
            <a:ext uri="{FF2B5EF4-FFF2-40B4-BE49-F238E27FC236}">
              <a16:creationId xmlns:a16="http://schemas.microsoft.com/office/drawing/2014/main" id="{C7B0EC1D-945B-4BC7-9FC3-F210C9AE5CE0}"/>
            </a:ext>
          </a:extLst>
        </xdr:cNvPr>
        <xdr:cNvCxnSpPr>
          <a:cxnSpLocks/>
          <a:stCxn id="1345" idx="3"/>
          <a:endCxn id="1361" idx="2"/>
        </xdr:cNvCxnSpPr>
      </xdr:nvCxnSpPr>
      <xdr:spPr>
        <a:xfrm flipV="1">
          <a:off x="1397325" y="17770946"/>
          <a:ext cx="4857786" cy="851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58449</xdr:colOff>
      <xdr:row>93</xdr:row>
      <xdr:rowOff>14722</xdr:rowOff>
    </xdr:from>
    <xdr:to>
      <xdr:col>34</xdr:col>
      <xdr:colOff>139961</xdr:colOff>
      <xdr:row>96</xdr:row>
      <xdr:rowOff>164875</xdr:rowOff>
    </xdr:to>
    <xdr:grpSp>
      <xdr:nvGrpSpPr>
        <xdr:cNvPr id="1369" name="グループ化 170">
          <a:extLst>
            <a:ext uri="{FF2B5EF4-FFF2-40B4-BE49-F238E27FC236}">
              <a16:creationId xmlns:a16="http://schemas.microsoft.com/office/drawing/2014/main" id="{2CCF37C7-80D0-4675-BB33-52C365FB6C3B}"/>
            </a:ext>
          </a:extLst>
        </xdr:cNvPr>
        <xdr:cNvGrpSpPr>
          <a:grpSpLocks noChangeAspect="1"/>
        </xdr:cNvGrpSpPr>
      </xdr:nvGrpSpPr>
      <xdr:grpSpPr>
        <a:xfrm>
          <a:off x="5487699" y="16121497"/>
          <a:ext cx="805412" cy="664503"/>
          <a:chOff x="7102989" y="2892424"/>
          <a:chExt cx="873125" cy="603230"/>
        </a:xfrm>
      </xdr:grpSpPr>
      <xdr:sp macro="" textlink="">
        <xdr:nvSpPr>
          <xdr:cNvPr id="1370" name="フローチャート: 磁気ディスク 171">
            <a:extLst>
              <a:ext uri="{FF2B5EF4-FFF2-40B4-BE49-F238E27FC236}">
                <a16:creationId xmlns:a16="http://schemas.microsoft.com/office/drawing/2014/main" id="{EA8E9F9E-D168-562C-516F-9F64097E79F5}"/>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71" name="正方形/長方形 172">
            <a:extLst>
              <a:ext uri="{FF2B5EF4-FFF2-40B4-BE49-F238E27FC236}">
                <a16:creationId xmlns:a16="http://schemas.microsoft.com/office/drawing/2014/main" id="{CF1D6381-6B8A-C0E6-0668-6825730A3B40}"/>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取得された</a:t>
            </a:r>
            <a:endParaRPr kumimoji="1" lang="en-US" altLang="ja-JP" sz="900"/>
          </a:p>
          <a:p>
            <a:pPr algn="ctr"/>
            <a:r>
              <a:rPr kumimoji="1" lang="ja-JP" altLang="en-US" sz="900"/>
              <a:t>固定資産</a:t>
            </a:r>
          </a:p>
        </xdr:txBody>
      </xdr:sp>
    </xdr:grpSp>
    <xdr:clientData/>
  </xdr:twoCellAnchor>
  <xdr:twoCellAnchor>
    <xdr:from>
      <xdr:col>21</xdr:col>
      <xdr:colOff>12345</xdr:colOff>
      <xdr:row>94</xdr:row>
      <xdr:rowOff>137219</xdr:rowOff>
    </xdr:from>
    <xdr:to>
      <xdr:col>30</xdr:col>
      <xdr:colOff>161621</xdr:colOff>
      <xdr:row>94</xdr:row>
      <xdr:rowOff>146308</xdr:rowOff>
    </xdr:to>
    <xdr:cxnSp macro="">
      <xdr:nvCxnSpPr>
        <xdr:cNvPr id="1372" name="直線矢印コネクタ 1371">
          <a:extLst>
            <a:ext uri="{FF2B5EF4-FFF2-40B4-BE49-F238E27FC236}">
              <a16:creationId xmlns:a16="http://schemas.microsoft.com/office/drawing/2014/main" id="{BBE1BF4C-F517-4E7E-9997-82174E453BDB}"/>
            </a:ext>
          </a:extLst>
        </xdr:cNvPr>
        <xdr:cNvCxnSpPr>
          <a:stCxn id="1243" idx="3"/>
          <a:endCxn id="1370" idx="2"/>
        </xdr:cNvCxnSpPr>
      </xdr:nvCxnSpPr>
      <xdr:spPr>
        <a:xfrm flipV="1">
          <a:off x="4262876" y="15913000"/>
          <a:ext cx="1970933" cy="908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40424</xdr:colOff>
      <xdr:row>178</xdr:row>
      <xdr:rowOff>42970</xdr:rowOff>
    </xdr:from>
    <xdr:to>
      <xdr:col>31</xdr:col>
      <xdr:colOff>37610</xdr:colOff>
      <xdr:row>178</xdr:row>
      <xdr:rowOff>57185</xdr:rowOff>
    </xdr:to>
    <xdr:cxnSp macro="">
      <xdr:nvCxnSpPr>
        <xdr:cNvPr id="1381" name="直線矢印コネクタ 1380">
          <a:extLst>
            <a:ext uri="{FF2B5EF4-FFF2-40B4-BE49-F238E27FC236}">
              <a16:creationId xmlns:a16="http://schemas.microsoft.com/office/drawing/2014/main" id="{E62619EE-9937-4A35-9D2D-2C62FD00078F}"/>
            </a:ext>
          </a:extLst>
        </xdr:cNvPr>
        <xdr:cNvCxnSpPr>
          <a:cxnSpLocks/>
          <a:stCxn id="1460" idx="3"/>
          <a:endCxn id="1400" idx="2"/>
        </xdr:cNvCxnSpPr>
      </xdr:nvCxnSpPr>
      <xdr:spPr>
        <a:xfrm flipV="1">
          <a:off x="4231424" y="30432256"/>
          <a:ext cx="4786900" cy="142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18810</xdr:colOff>
      <xdr:row>170</xdr:row>
      <xdr:rowOff>139879</xdr:rowOff>
    </xdr:from>
    <xdr:to>
      <xdr:col>30</xdr:col>
      <xdr:colOff>195657</xdr:colOff>
      <xdr:row>170</xdr:row>
      <xdr:rowOff>164525</xdr:rowOff>
    </xdr:to>
    <xdr:cxnSp macro="">
      <xdr:nvCxnSpPr>
        <xdr:cNvPr id="1382" name="直線矢印コネクタ 1381">
          <a:extLst>
            <a:ext uri="{FF2B5EF4-FFF2-40B4-BE49-F238E27FC236}">
              <a16:creationId xmlns:a16="http://schemas.microsoft.com/office/drawing/2014/main" id="{13767323-4229-4ADF-835F-E72D8042D9FD}"/>
            </a:ext>
          </a:extLst>
        </xdr:cNvPr>
        <xdr:cNvCxnSpPr>
          <a:cxnSpLocks/>
          <a:stCxn id="1383" idx="3"/>
          <a:endCxn id="1391" idx="2"/>
        </xdr:cNvCxnSpPr>
      </xdr:nvCxnSpPr>
      <xdr:spPr>
        <a:xfrm>
          <a:off x="4209810" y="29150308"/>
          <a:ext cx="4766990" cy="246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69371</xdr:colOff>
      <xdr:row>169</xdr:row>
      <xdr:rowOff>65548</xdr:rowOff>
    </xdr:from>
    <xdr:to>
      <xdr:col>7</xdr:col>
      <xdr:colOff>18810</xdr:colOff>
      <xdr:row>172</xdr:row>
      <xdr:rowOff>41854</xdr:rowOff>
    </xdr:to>
    <xdr:sp macro="" textlink="">
      <xdr:nvSpPr>
        <xdr:cNvPr id="1383" name="フローチャート: 定義済み処理 1382">
          <a:extLst>
            <a:ext uri="{FF2B5EF4-FFF2-40B4-BE49-F238E27FC236}">
              <a16:creationId xmlns:a16="http://schemas.microsoft.com/office/drawing/2014/main" id="{6F0E4658-4D9D-47F0-B6F0-D59843069F7F}"/>
            </a:ext>
          </a:extLst>
        </xdr:cNvPr>
        <xdr:cNvSpPr/>
      </xdr:nvSpPr>
      <xdr:spPr>
        <a:xfrm>
          <a:off x="3209735" y="22429093"/>
          <a:ext cx="930802" cy="49585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31</xdr:col>
      <xdr:colOff>16523</xdr:colOff>
      <xdr:row>182</xdr:row>
      <xdr:rowOff>21687</xdr:rowOff>
    </xdr:from>
    <xdr:to>
      <xdr:col>34</xdr:col>
      <xdr:colOff>190007</xdr:colOff>
      <xdr:row>185</xdr:row>
      <xdr:rowOff>130045</xdr:rowOff>
    </xdr:to>
    <xdr:grpSp>
      <xdr:nvGrpSpPr>
        <xdr:cNvPr id="1385" name="グループ化 92">
          <a:extLst>
            <a:ext uri="{FF2B5EF4-FFF2-40B4-BE49-F238E27FC236}">
              <a16:creationId xmlns:a16="http://schemas.microsoft.com/office/drawing/2014/main" id="{1E52C412-8DEB-4C6B-B10C-67279C4399D6}"/>
            </a:ext>
          </a:extLst>
        </xdr:cNvPr>
        <xdr:cNvGrpSpPr/>
      </xdr:nvGrpSpPr>
      <xdr:grpSpPr>
        <a:xfrm>
          <a:off x="5626748" y="31387512"/>
          <a:ext cx="706884" cy="622708"/>
          <a:chOff x="7144737" y="2892425"/>
          <a:chExt cx="763434" cy="597682"/>
        </a:xfrm>
      </xdr:grpSpPr>
      <xdr:sp macro="" textlink="">
        <xdr:nvSpPr>
          <xdr:cNvPr id="1386" name="フローチャート: 磁気ディスク 93">
            <a:extLst>
              <a:ext uri="{FF2B5EF4-FFF2-40B4-BE49-F238E27FC236}">
                <a16:creationId xmlns:a16="http://schemas.microsoft.com/office/drawing/2014/main" id="{2960CE17-4A5E-7958-8740-DEE34D3E8D8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87" name="正方形/長方形 94">
            <a:extLst>
              <a:ext uri="{FF2B5EF4-FFF2-40B4-BE49-F238E27FC236}">
                <a16:creationId xmlns:a16="http://schemas.microsoft.com/office/drawing/2014/main" id="{4124CC73-B26C-D4B6-87EE-9E818E811C77}"/>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xdr:col>
      <xdr:colOff>186862</xdr:colOff>
      <xdr:row>124</xdr:row>
      <xdr:rowOff>126999</xdr:rowOff>
    </xdr:from>
    <xdr:to>
      <xdr:col>6</xdr:col>
      <xdr:colOff>95125</xdr:colOff>
      <xdr:row>126</xdr:row>
      <xdr:rowOff>40190</xdr:rowOff>
    </xdr:to>
    <xdr:sp macro="" textlink="">
      <xdr:nvSpPr>
        <xdr:cNvPr id="1388" name="フローチャート: 端子 26">
          <a:extLst>
            <a:ext uri="{FF2B5EF4-FFF2-40B4-BE49-F238E27FC236}">
              <a16:creationId xmlns:a16="http://schemas.microsoft.com/office/drawing/2014/main" id="{107318D6-F472-4A8B-9447-BD6297216992}"/>
            </a:ext>
          </a:extLst>
        </xdr:cNvPr>
        <xdr:cNvSpPr/>
      </xdr:nvSpPr>
      <xdr:spPr>
        <a:xfrm>
          <a:off x="3327226" y="19892817"/>
          <a:ext cx="693354" cy="25955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xdr:col>
      <xdr:colOff>20704</xdr:colOff>
      <xdr:row>169</xdr:row>
      <xdr:rowOff>64245</xdr:rowOff>
    </xdr:from>
    <xdr:to>
      <xdr:col>7</xdr:col>
      <xdr:colOff>68214</xdr:colOff>
      <xdr:row>172</xdr:row>
      <xdr:rowOff>101901</xdr:rowOff>
    </xdr:to>
    <xdr:sp macro="" textlink="">
      <xdr:nvSpPr>
        <xdr:cNvPr id="1389" name="正方形/長方形 48">
          <a:extLst>
            <a:ext uri="{FF2B5EF4-FFF2-40B4-BE49-F238E27FC236}">
              <a16:creationId xmlns:a16="http://schemas.microsoft.com/office/drawing/2014/main" id="{110E6A92-427F-43ED-9689-416476AF841F}"/>
            </a:ext>
          </a:extLst>
        </xdr:cNvPr>
        <xdr:cNvSpPr/>
      </xdr:nvSpPr>
      <xdr:spPr>
        <a:xfrm>
          <a:off x="3161068" y="22427790"/>
          <a:ext cx="1028873" cy="5572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固定資産</a:t>
          </a:r>
          <a:endParaRPr kumimoji="1" lang="en-US" altLang="ja-JP" sz="900"/>
        </a:p>
        <a:p>
          <a:pPr algn="ctr"/>
          <a:r>
            <a:rPr kumimoji="1" lang="ja-JP" altLang="en-US" sz="900"/>
            <a:t>登録</a:t>
          </a:r>
          <a:endParaRPr kumimoji="1" lang="en-US" altLang="ja-JP" sz="900"/>
        </a:p>
      </xdr:txBody>
    </xdr:sp>
    <xdr:clientData/>
  </xdr:twoCellAnchor>
  <xdr:twoCellAnchor>
    <xdr:from>
      <xdr:col>30</xdr:col>
      <xdr:colOff>195657</xdr:colOff>
      <xdr:row>169</xdr:row>
      <xdr:rowOff>61908</xdr:rowOff>
    </xdr:from>
    <xdr:to>
      <xdr:col>34</xdr:col>
      <xdr:colOff>91848</xdr:colOff>
      <xdr:row>172</xdr:row>
      <xdr:rowOff>157416</xdr:rowOff>
    </xdr:to>
    <xdr:grpSp>
      <xdr:nvGrpSpPr>
        <xdr:cNvPr id="1390" name="グループ化 467">
          <a:extLst>
            <a:ext uri="{FF2B5EF4-FFF2-40B4-BE49-F238E27FC236}">
              <a16:creationId xmlns:a16="http://schemas.microsoft.com/office/drawing/2014/main" id="{29FE8AD3-ECA2-48F3-9A2B-046081E5BEDD}"/>
            </a:ext>
          </a:extLst>
        </xdr:cNvPr>
        <xdr:cNvGrpSpPr/>
      </xdr:nvGrpSpPr>
      <xdr:grpSpPr>
        <a:xfrm>
          <a:off x="5605857" y="29198883"/>
          <a:ext cx="639141" cy="609858"/>
          <a:chOff x="7204075" y="2892425"/>
          <a:chExt cx="688975" cy="597682"/>
        </a:xfrm>
      </xdr:grpSpPr>
      <xdr:sp macro="" textlink="">
        <xdr:nvSpPr>
          <xdr:cNvPr id="1391" name="フローチャート: 磁気ディスク 476">
            <a:extLst>
              <a:ext uri="{FF2B5EF4-FFF2-40B4-BE49-F238E27FC236}">
                <a16:creationId xmlns:a16="http://schemas.microsoft.com/office/drawing/2014/main" id="{D5547663-93AC-8A1B-DA41-3F2345ADBC8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92" name="正方形/長方形 477">
            <a:extLst>
              <a:ext uri="{FF2B5EF4-FFF2-40B4-BE49-F238E27FC236}">
                <a16:creationId xmlns:a16="http://schemas.microsoft.com/office/drawing/2014/main" id="{C4DCEA13-3690-0052-CB02-53584A04419A}"/>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br>
              <a:rPr kumimoji="1" lang="en-US" altLang="ja-JP" sz="900"/>
            </a:br>
            <a:r>
              <a:rPr kumimoji="1" lang="en-US" altLang="ja-JP" sz="900"/>
              <a:t>(</a:t>
            </a:r>
            <a:r>
              <a:rPr kumimoji="1" lang="ja-JP" altLang="en-US" sz="900"/>
              <a:t>マスタ</a:t>
            </a:r>
            <a:r>
              <a:rPr kumimoji="1" lang="en-US" altLang="ja-JP" sz="900"/>
              <a:t>)</a:t>
            </a:r>
            <a:endParaRPr kumimoji="1" lang="ja-JP" altLang="en-US" sz="900"/>
          </a:p>
        </xdr:txBody>
      </xdr:sp>
    </xdr:grpSp>
    <xdr:clientData/>
  </xdr:twoCellAnchor>
  <xdr:twoCellAnchor>
    <xdr:from>
      <xdr:col>4</xdr:col>
      <xdr:colOff>142227</xdr:colOff>
      <xdr:row>172</xdr:row>
      <xdr:rowOff>41854</xdr:rowOff>
    </xdr:from>
    <xdr:to>
      <xdr:col>4</xdr:col>
      <xdr:colOff>144407</xdr:colOff>
      <xdr:row>176</xdr:row>
      <xdr:rowOff>159295</xdr:rowOff>
    </xdr:to>
    <xdr:cxnSp macro="">
      <xdr:nvCxnSpPr>
        <xdr:cNvPr id="1393" name="直線矢印コネクタ 27">
          <a:extLst>
            <a:ext uri="{FF2B5EF4-FFF2-40B4-BE49-F238E27FC236}">
              <a16:creationId xmlns:a16="http://schemas.microsoft.com/office/drawing/2014/main" id="{ADB07F6B-9B30-44B7-9A0F-4AAD4E4D0B96}"/>
            </a:ext>
          </a:extLst>
        </xdr:cNvPr>
        <xdr:cNvCxnSpPr>
          <a:cxnSpLocks/>
          <a:stCxn id="1383" idx="2"/>
          <a:endCxn id="1460" idx="0"/>
        </xdr:cNvCxnSpPr>
      </xdr:nvCxnSpPr>
      <xdr:spPr>
        <a:xfrm>
          <a:off x="3675136" y="22924945"/>
          <a:ext cx="2180" cy="23688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47755</xdr:colOff>
      <xdr:row>171</xdr:row>
      <xdr:rowOff>142194</xdr:rowOff>
    </xdr:from>
    <xdr:to>
      <xdr:col>9</xdr:col>
      <xdr:colOff>129059</xdr:colOff>
      <xdr:row>173</xdr:row>
      <xdr:rowOff>121264</xdr:rowOff>
    </xdr:to>
    <xdr:grpSp>
      <xdr:nvGrpSpPr>
        <xdr:cNvPr id="1394" name="グループ化 1393">
          <a:extLst>
            <a:ext uri="{FF2B5EF4-FFF2-40B4-BE49-F238E27FC236}">
              <a16:creationId xmlns:a16="http://schemas.microsoft.com/office/drawing/2014/main" id="{F90E1C71-B52D-473D-A4B1-12216C52B547}"/>
            </a:ext>
          </a:extLst>
        </xdr:cNvPr>
        <xdr:cNvGrpSpPr>
          <a:grpSpLocks noChangeAspect="1"/>
        </xdr:cNvGrpSpPr>
      </xdr:nvGrpSpPr>
      <xdr:grpSpPr>
        <a:xfrm>
          <a:off x="771655" y="29622069"/>
          <a:ext cx="986179" cy="321970"/>
          <a:chOff x="2595824" y="18514780"/>
          <a:chExt cx="1182905" cy="417291"/>
        </a:xfrm>
      </xdr:grpSpPr>
      <xdr:sp macro="" textlink="">
        <xdr:nvSpPr>
          <xdr:cNvPr id="1395" name="フローチャート: 書類 1394">
            <a:extLst>
              <a:ext uri="{FF2B5EF4-FFF2-40B4-BE49-F238E27FC236}">
                <a16:creationId xmlns:a16="http://schemas.microsoft.com/office/drawing/2014/main" id="{74C54E5C-B47A-5C5F-47A0-81E667858297}"/>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396" name="正方形/長方形 1395">
            <a:extLst>
              <a:ext uri="{FF2B5EF4-FFF2-40B4-BE49-F238E27FC236}">
                <a16:creationId xmlns:a16="http://schemas.microsoft.com/office/drawing/2014/main" id="{8B9B1C7A-32A3-BC53-26FE-75275B13E14F}"/>
              </a:ext>
            </a:extLst>
          </xdr:cNvPr>
          <xdr:cNvSpPr/>
        </xdr:nvSpPr>
        <xdr:spPr>
          <a:xfrm>
            <a:off x="2595824" y="18514780"/>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登録関連資料</a:t>
            </a:r>
            <a:endParaRPr kumimoji="1" lang="en-US" altLang="ja-JP" sz="900"/>
          </a:p>
        </xdr:txBody>
      </xdr:sp>
    </xdr:grpSp>
    <xdr:clientData/>
  </xdr:twoCellAnchor>
  <xdr:twoCellAnchor>
    <xdr:from>
      <xdr:col>16</xdr:col>
      <xdr:colOff>82552</xdr:colOff>
      <xdr:row>176</xdr:row>
      <xdr:rowOff>146892</xdr:rowOff>
    </xdr:from>
    <xdr:to>
      <xdr:col>21</xdr:col>
      <xdr:colOff>74157</xdr:colOff>
      <xdr:row>179</xdr:row>
      <xdr:rowOff>115029</xdr:rowOff>
    </xdr:to>
    <xdr:sp macro="" textlink="">
      <xdr:nvSpPr>
        <xdr:cNvPr id="1397" name="フローチャート: 定義済み処理 9">
          <a:extLst>
            <a:ext uri="{FF2B5EF4-FFF2-40B4-BE49-F238E27FC236}">
              <a16:creationId xmlns:a16="http://schemas.microsoft.com/office/drawing/2014/main" id="{B4AE58D2-419F-4494-AEB5-5F1943F076CE}"/>
            </a:ext>
          </a:extLst>
        </xdr:cNvPr>
        <xdr:cNvSpPr/>
      </xdr:nvSpPr>
      <xdr:spPr>
        <a:xfrm>
          <a:off x="5970734" y="25281347"/>
          <a:ext cx="972968" cy="4876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51379</xdr:colOff>
      <xdr:row>176</xdr:row>
      <xdr:rowOff>107272</xdr:rowOff>
    </xdr:from>
    <xdr:to>
      <xdr:col>21</xdr:col>
      <xdr:colOff>150803</xdr:colOff>
      <xdr:row>179</xdr:row>
      <xdr:rowOff>136903</xdr:rowOff>
    </xdr:to>
    <xdr:sp macro="" textlink="">
      <xdr:nvSpPr>
        <xdr:cNvPr id="1398" name="正方形/長方形 48">
          <a:extLst>
            <a:ext uri="{FF2B5EF4-FFF2-40B4-BE49-F238E27FC236}">
              <a16:creationId xmlns:a16="http://schemas.microsoft.com/office/drawing/2014/main" id="{0E036A42-FE18-4B1E-94B8-5C5A4CCF1C49}"/>
            </a:ext>
          </a:extLst>
        </xdr:cNvPr>
        <xdr:cNvSpPr/>
      </xdr:nvSpPr>
      <xdr:spPr>
        <a:xfrm>
          <a:off x="5939561" y="25241727"/>
          <a:ext cx="1080787" cy="5491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取得提案</a:t>
          </a:r>
        </a:p>
      </xdr:txBody>
    </xdr:sp>
    <xdr:clientData/>
  </xdr:twoCellAnchor>
  <xdr:twoCellAnchor>
    <xdr:from>
      <xdr:col>30</xdr:col>
      <xdr:colOff>129807</xdr:colOff>
      <xdr:row>176</xdr:row>
      <xdr:rowOff>86875</xdr:rowOff>
    </xdr:from>
    <xdr:to>
      <xdr:col>35</xdr:col>
      <xdr:colOff>59374</xdr:colOff>
      <xdr:row>180</xdr:row>
      <xdr:rowOff>37127</xdr:rowOff>
    </xdr:to>
    <xdr:grpSp>
      <xdr:nvGrpSpPr>
        <xdr:cNvPr id="1399" name="グループ化 84">
          <a:extLst>
            <a:ext uri="{FF2B5EF4-FFF2-40B4-BE49-F238E27FC236}">
              <a16:creationId xmlns:a16="http://schemas.microsoft.com/office/drawing/2014/main" id="{0AE8A597-F59F-4E86-967A-2DA08BF7DC99}"/>
            </a:ext>
          </a:extLst>
        </xdr:cNvPr>
        <xdr:cNvGrpSpPr>
          <a:grpSpLocks noChangeAspect="1"/>
        </xdr:cNvGrpSpPr>
      </xdr:nvGrpSpPr>
      <xdr:grpSpPr>
        <a:xfrm>
          <a:off x="5559057" y="30424000"/>
          <a:ext cx="834442" cy="636052"/>
          <a:chOff x="7102989" y="2892424"/>
          <a:chExt cx="873125" cy="570522"/>
        </a:xfrm>
      </xdr:grpSpPr>
      <xdr:sp macro="" textlink="">
        <xdr:nvSpPr>
          <xdr:cNvPr id="1400" name="フローチャート: 磁気ディスク 87">
            <a:extLst>
              <a:ext uri="{FF2B5EF4-FFF2-40B4-BE49-F238E27FC236}">
                <a16:creationId xmlns:a16="http://schemas.microsoft.com/office/drawing/2014/main" id="{DFC37A1D-D1E5-9855-38CC-49A79C9BDBB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01" name="正方形/長方形 96">
            <a:extLst>
              <a:ext uri="{FF2B5EF4-FFF2-40B4-BE49-F238E27FC236}">
                <a16:creationId xmlns:a16="http://schemas.microsoft.com/office/drawing/2014/main" id="{37AF2ACC-4A4C-3849-35D0-B2676D4DE5A1}"/>
              </a:ext>
            </a:extLst>
          </xdr:cNvPr>
          <xdr:cNvSpPr/>
        </xdr:nvSpPr>
        <xdr:spPr>
          <a:xfrm>
            <a:off x="7102989" y="2990047"/>
            <a:ext cx="873125" cy="4728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取得提案</a:t>
            </a:r>
          </a:p>
        </xdr:txBody>
      </xdr:sp>
    </xdr:grpSp>
    <xdr:clientData/>
  </xdr:twoCellAnchor>
  <xdr:twoCellAnchor>
    <xdr:from>
      <xdr:col>4</xdr:col>
      <xdr:colOff>139026</xdr:colOff>
      <xdr:row>126</xdr:row>
      <xdr:rowOff>43365</xdr:rowOff>
    </xdr:from>
    <xdr:to>
      <xdr:col>4</xdr:col>
      <xdr:colOff>140994</xdr:colOff>
      <xdr:row>128</xdr:row>
      <xdr:rowOff>5052</xdr:rowOff>
    </xdr:to>
    <xdr:cxnSp macro="">
      <xdr:nvCxnSpPr>
        <xdr:cNvPr id="1402" name="直線矢印コネクタ 27">
          <a:extLst>
            <a:ext uri="{FF2B5EF4-FFF2-40B4-BE49-F238E27FC236}">
              <a16:creationId xmlns:a16="http://schemas.microsoft.com/office/drawing/2014/main" id="{51BACEEF-C09D-4EC5-B5C6-400F0EB5D95F}"/>
            </a:ext>
          </a:extLst>
        </xdr:cNvPr>
        <xdr:cNvCxnSpPr>
          <a:cxnSpLocks/>
          <a:stCxn id="1388" idx="2"/>
          <a:endCxn id="1404" idx="0"/>
        </xdr:cNvCxnSpPr>
      </xdr:nvCxnSpPr>
      <xdr:spPr>
        <a:xfrm flipH="1">
          <a:off x="3671935" y="20155547"/>
          <a:ext cx="1968" cy="3080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25227</xdr:colOff>
      <xdr:row>128</xdr:row>
      <xdr:rowOff>5052</xdr:rowOff>
    </xdr:from>
    <xdr:to>
      <xdr:col>7</xdr:col>
      <xdr:colOff>64829</xdr:colOff>
      <xdr:row>131</xdr:row>
      <xdr:rowOff>13077</xdr:rowOff>
    </xdr:to>
    <xdr:grpSp>
      <xdr:nvGrpSpPr>
        <xdr:cNvPr id="1403" name="グループ化 1402">
          <a:extLst>
            <a:ext uri="{FF2B5EF4-FFF2-40B4-BE49-F238E27FC236}">
              <a16:creationId xmlns:a16="http://schemas.microsoft.com/office/drawing/2014/main" id="{921E731F-F67F-4815-8281-3474BBAE9B92}"/>
            </a:ext>
          </a:extLst>
        </xdr:cNvPr>
        <xdr:cNvGrpSpPr/>
      </xdr:nvGrpSpPr>
      <xdr:grpSpPr>
        <a:xfrm>
          <a:off x="387177" y="22112577"/>
          <a:ext cx="944477" cy="522375"/>
          <a:chOff x="287474" y="4845794"/>
          <a:chExt cx="1021504" cy="505814"/>
        </a:xfrm>
      </xdr:grpSpPr>
      <xdr:sp macro="" textlink="">
        <xdr:nvSpPr>
          <xdr:cNvPr id="1404" name="フローチャート: 判断 1403">
            <a:extLst>
              <a:ext uri="{FF2B5EF4-FFF2-40B4-BE49-F238E27FC236}">
                <a16:creationId xmlns:a16="http://schemas.microsoft.com/office/drawing/2014/main" id="{8A2B0F08-9732-91B4-BDF8-AF5F90BF9E79}"/>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405" name="正方形/長方形 48">
            <a:extLst>
              <a:ext uri="{FF2B5EF4-FFF2-40B4-BE49-F238E27FC236}">
                <a16:creationId xmlns:a16="http://schemas.microsoft.com/office/drawing/2014/main" id="{8178BBEE-4D0B-5FCC-8EDB-B86C0D69C862}"/>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プロジェクト</a:t>
            </a:r>
            <a:endParaRPr kumimoji="1" lang="en-US" altLang="ja-JP" sz="900"/>
          </a:p>
          <a:p>
            <a:pPr algn="ctr"/>
            <a:r>
              <a:rPr kumimoji="1" lang="ja-JP" altLang="en-US" sz="900"/>
              <a:t>管理対象</a:t>
            </a:r>
          </a:p>
        </xdr:txBody>
      </xdr:sp>
    </xdr:grpSp>
    <xdr:clientData/>
  </xdr:twoCellAnchor>
  <xdr:twoCellAnchor>
    <xdr:from>
      <xdr:col>4</xdr:col>
      <xdr:colOff>143673</xdr:colOff>
      <xdr:row>130</xdr:row>
      <xdr:rowOff>150414</xdr:rowOff>
    </xdr:from>
    <xdr:to>
      <xdr:col>7</xdr:col>
      <xdr:colOff>1767</xdr:colOff>
      <xdr:row>132</xdr:row>
      <xdr:rowOff>23065</xdr:rowOff>
    </xdr:to>
    <xdr:sp macro="" textlink="">
      <xdr:nvSpPr>
        <xdr:cNvPr id="1406" name="テキスト ボックス 1405">
          <a:extLst>
            <a:ext uri="{FF2B5EF4-FFF2-40B4-BE49-F238E27FC236}">
              <a16:creationId xmlns:a16="http://schemas.microsoft.com/office/drawing/2014/main" id="{8A36D4C3-F804-458D-BBF5-CEA41284AC4B}"/>
            </a:ext>
          </a:extLst>
        </xdr:cNvPr>
        <xdr:cNvSpPr txBox="1"/>
      </xdr:nvSpPr>
      <xdr:spPr>
        <a:xfrm>
          <a:off x="3676582" y="20955323"/>
          <a:ext cx="446912"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xdr:col>
      <xdr:colOff>45345</xdr:colOff>
      <xdr:row>127</xdr:row>
      <xdr:rowOff>100858</xdr:rowOff>
    </xdr:from>
    <xdr:to>
      <xdr:col>3</xdr:col>
      <xdr:colOff>120303</xdr:colOff>
      <xdr:row>129</xdr:row>
      <xdr:rowOff>19890</xdr:rowOff>
    </xdr:to>
    <xdr:sp macro="" textlink="">
      <xdr:nvSpPr>
        <xdr:cNvPr id="1407" name="テキスト ボックス 1406">
          <a:extLst>
            <a:ext uri="{FF2B5EF4-FFF2-40B4-BE49-F238E27FC236}">
              <a16:creationId xmlns:a16="http://schemas.microsoft.com/office/drawing/2014/main" id="{C559F984-5FE2-4965-9FDA-BA3B562AE531}"/>
            </a:ext>
          </a:extLst>
        </xdr:cNvPr>
        <xdr:cNvSpPr txBox="1"/>
      </xdr:nvSpPr>
      <xdr:spPr>
        <a:xfrm>
          <a:off x="2989436" y="20386222"/>
          <a:ext cx="467503" cy="265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4</xdr:col>
      <xdr:colOff>142201</xdr:colOff>
      <xdr:row>130</xdr:row>
      <xdr:rowOff>164183</xdr:rowOff>
    </xdr:from>
    <xdr:to>
      <xdr:col>4</xdr:col>
      <xdr:colOff>147516</xdr:colOff>
      <xdr:row>132</xdr:row>
      <xdr:rowOff>119526</xdr:rowOff>
    </xdr:to>
    <xdr:cxnSp macro="">
      <xdr:nvCxnSpPr>
        <xdr:cNvPr id="1408" name="直線矢印コネクタ 1407">
          <a:extLst>
            <a:ext uri="{FF2B5EF4-FFF2-40B4-BE49-F238E27FC236}">
              <a16:creationId xmlns:a16="http://schemas.microsoft.com/office/drawing/2014/main" id="{20F37C07-38DA-4317-948D-70267B1BEDCE}"/>
            </a:ext>
          </a:extLst>
        </xdr:cNvPr>
        <xdr:cNvCxnSpPr>
          <a:cxnSpLocks/>
          <a:stCxn id="1404" idx="2"/>
          <a:endCxn id="1409" idx="0"/>
        </xdr:cNvCxnSpPr>
      </xdr:nvCxnSpPr>
      <xdr:spPr>
        <a:xfrm>
          <a:off x="3675110" y="20969092"/>
          <a:ext cx="5315" cy="30170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76777</xdr:colOff>
      <xdr:row>132</xdr:row>
      <xdr:rowOff>116351</xdr:rowOff>
    </xdr:from>
    <xdr:to>
      <xdr:col>7</xdr:col>
      <xdr:colOff>18807</xdr:colOff>
      <xdr:row>135</xdr:row>
      <xdr:rowOff>91598</xdr:rowOff>
    </xdr:to>
    <xdr:sp macro="" textlink="">
      <xdr:nvSpPr>
        <xdr:cNvPr id="1409" name="フローチャート: 定義済み処理 1408">
          <a:extLst>
            <a:ext uri="{FF2B5EF4-FFF2-40B4-BE49-F238E27FC236}">
              <a16:creationId xmlns:a16="http://schemas.microsoft.com/office/drawing/2014/main" id="{65E6CC24-D965-4FB1-A0A6-B08EF39EBED7}"/>
            </a:ext>
          </a:extLst>
        </xdr:cNvPr>
        <xdr:cNvSpPr/>
      </xdr:nvSpPr>
      <xdr:spPr>
        <a:xfrm>
          <a:off x="3217141" y="21267624"/>
          <a:ext cx="923393" cy="4947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113835</xdr:colOff>
      <xdr:row>132</xdr:row>
      <xdr:rowOff>68465</xdr:rowOff>
    </xdr:from>
    <xdr:to>
      <xdr:col>7</xdr:col>
      <xdr:colOff>23995</xdr:colOff>
      <xdr:row>135</xdr:row>
      <xdr:rowOff>101887</xdr:rowOff>
    </xdr:to>
    <xdr:sp macro="" textlink="">
      <xdr:nvSpPr>
        <xdr:cNvPr id="1410" name="正方形/長方形 48">
          <a:extLst>
            <a:ext uri="{FF2B5EF4-FFF2-40B4-BE49-F238E27FC236}">
              <a16:creationId xmlns:a16="http://schemas.microsoft.com/office/drawing/2014/main" id="{46498E5F-7477-4521-86AA-36ACE20EF722}"/>
            </a:ext>
          </a:extLst>
        </xdr:cNvPr>
        <xdr:cNvSpPr/>
      </xdr:nvSpPr>
      <xdr:spPr>
        <a:xfrm>
          <a:off x="3254199" y="21219738"/>
          <a:ext cx="891523" cy="55296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財務分析コード値の更新</a:t>
          </a:r>
          <a:endParaRPr kumimoji="1" lang="en-US" altLang="ja-JP" sz="900"/>
        </a:p>
      </xdr:txBody>
    </xdr:sp>
    <xdr:clientData/>
  </xdr:twoCellAnchor>
  <xdr:twoCellAnchor>
    <xdr:from>
      <xdr:col>31</xdr:col>
      <xdr:colOff>2559</xdr:colOff>
      <xdr:row>132</xdr:row>
      <xdr:rowOff>42700</xdr:rowOff>
    </xdr:from>
    <xdr:to>
      <xdr:col>34</xdr:col>
      <xdr:colOff>104548</xdr:colOff>
      <xdr:row>136</xdr:row>
      <xdr:rowOff>90718</xdr:rowOff>
    </xdr:to>
    <xdr:grpSp>
      <xdr:nvGrpSpPr>
        <xdr:cNvPr id="1411" name="グループ化 552">
          <a:extLst>
            <a:ext uri="{FF2B5EF4-FFF2-40B4-BE49-F238E27FC236}">
              <a16:creationId xmlns:a16="http://schemas.microsoft.com/office/drawing/2014/main" id="{4962FF59-5E74-4337-824E-83286025E1EA}"/>
            </a:ext>
          </a:extLst>
        </xdr:cNvPr>
        <xdr:cNvGrpSpPr/>
      </xdr:nvGrpSpPr>
      <xdr:grpSpPr>
        <a:xfrm>
          <a:off x="5612784" y="22836025"/>
          <a:ext cx="644914" cy="733818"/>
          <a:chOff x="7204075" y="2892425"/>
          <a:chExt cx="688975" cy="597682"/>
        </a:xfrm>
      </xdr:grpSpPr>
      <xdr:sp macro="" textlink="">
        <xdr:nvSpPr>
          <xdr:cNvPr id="1412" name="フローチャート: 磁気ディスク 553">
            <a:extLst>
              <a:ext uri="{FF2B5EF4-FFF2-40B4-BE49-F238E27FC236}">
                <a16:creationId xmlns:a16="http://schemas.microsoft.com/office/drawing/2014/main" id="{B863204E-2FF0-CD17-A6AD-301C4E108F6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13" name="正方形/長方形 554">
            <a:extLst>
              <a:ext uri="{FF2B5EF4-FFF2-40B4-BE49-F238E27FC236}">
                <a16:creationId xmlns:a16="http://schemas.microsoft.com/office/drawing/2014/main" id="{2121CE17-68E4-C4F4-914D-BBB0FF3C8175}"/>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指図</a:t>
            </a:r>
            <a:br>
              <a:rPr kumimoji="1" lang="en-US" altLang="ja-JP" sz="900"/>
            </a:br>
            <a:r>
              <a:rPr kumimoji="1" lang="en-US" altLang="ja-JP" sz="900"/>
              <a:t>(</a:t>
            </a:r>
            <a:r>
              <a:rPr kumimoji="1" lang="ja-JP" altLang="en-US" sz="900"/>
              <a:t>マスタ</a:t>
            </a:r>
            <a:r>
              <a:rPr kumimoji="1" lang="en-US" altLang="ja-JP" sz="900"/>
              <a:t>)</a:t>
            </a:r>
            <a:endParaRPr kumimoji="1" lang="ja-JP" altLang="en-US" sz="900"/>
          </a:p>
        </xdr:txBody>
      </xdr:sp>
    </xdr:grpSp>
    <xdr:clientData/>
  </xdr:twoCellAnchor>
  <xdr:twoCellAnchor>
    <xdr:from>
      <xdr:col>7</xdr:col>
      <xdr:colOff>18807</xdr:colOff>
      <xdr:row>134</xdr:row>
      <xdr:rowOff>17796</xdr:rowOff>
    </xdr:from>
    <xdr:to>
      <xdr:col>31</xdr:col>
      <xdr:colOff>2559</xdr:colOff>
      <xdr:row>134</xdr:row>
      <xdr:rowOff>29011</xdr:rowOff>
    </xdr:to>
    <xdr:cxnSp macro="">
      <xdr:nvCxnSpPr>
        <xdr:cNvPr id="1414" name="直線矢印コネクタ 1413">
          <a:extLst>
            <a:ext uri="{FF2B5EF4-FFF2-40B4-BE49-F238E27FC236}">
              <a16:creationId xmlns:a16="http://schemas.microsoft.com/office/drawing/2014/main" id="{49EB5D57-A972-488E-BFEB-5E1FAE0EF9FA}"/>
            </a:ext>
          </a:extLst>
        </xdr:cNvPr>
        <xdr:cNvCxnSpPr>
          <a:stCxn id="1409" idx="3"/>
          <a:endCxn id="1412" idx="2"/>
        </xdr:cNvCxnSpPr>
      </xdr:nvCxnSpPr>
      <xdr:spPr>
        <a:xfrm>
          <a:off x="4209807" y="21444510"/>
          <a:ext cx="4773466" cy="112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92128</xdr:colOff>
      <xdr:row>158</xdr:row>
      <xdr:rowOff>119138</xdr:rowOff>
    </xdr:from>
    <xdr:to>
      <xdr:col>21</xdr:col>
      <xdr:colOff>37209</xdr:colOff>
      <xdr:row>161</xdr:row>
      <xdr:rowOff>94797</xdr:rowOff>
    </xdr:to>
    <xdr:sp macro="" textlink="">
      <xdr:nvSpPr>
        <xdr:cNvPr id="1417" name="フローチャート: 定義済み処理 1416">
          <a:extLst>
            <a:ext uri="{FF2B5EF4-FFF2-40B4-BE49-F238E27FC236}">
              <a16:creationId xmlns:a16="http://schemas.microsoft.com/office/drawing/2014/main" id="{4657158A-CB3A-401F-B590-E36D09909421}"/>
            </a:ext>
          </a:extLst>
        </xdr:cNvPr>
        <xdr:cNvSpPr/>
      </xdr:nvSpPr>
      <xdr:spPr>
        <a:xfrm>
          <a:off x="5980310" y="25773138"/>
          <a:ext cx="926444" cy="49520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37</xdr:col>
      <xdr:colOff>166384</xdr:colOff>
      <xdr:row>158</xdr:row>
      <xdr:rowOff>89502</xdr:rowOff>
    </xdr:from>
    <xdr:to>
      <xdr:col>41</xdr:col>
      <xdr:colOff>66152</xdr:colOff>
      <xdr:row>161</xdr:row>
      <xdr:rowOff>131426</xdr:rowOff>
    </xdr:to>
    <xdr:sp macro="" textlink="">
      <xdr:nvSpPr>
        <xdr:cNvPr id="1418" name="フローチャート: 磁気ディスク 502">
          <a:extLst>
            <a:ext uri="{FF2B5EF4-FFF2-40B4-BE49-F238E27FC236}">
              <a16:creationId xmlns:a16="http://schemas.microsoft.com/office/drawing/2014/main" id="{54CB2D67-C549-462C-9256-54D970174853}"/>
            </a:ext>
          </a:extLst>
        </xdr:cNvPr>
        <xdr:cNvSpPr/>
      </xdr:nvSpPr>
      <xdr:spPr>
        <a:xfrm>
          <a:off x="10176293" y="25743502"/>
          <a:ext cx="684859" cy="561469"/>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37</xdr:col>
      <xdr:colOff>109627</xdr:colOff>
      <xdr:row>159</xdr:row>
      <xdr:rowOff>4490</xdr:rowOff>
    </xdr:from>
    <xdr:to>
      <xdr:col>41</xdr:col>
      <xdr:colOff>110992</xdr:colOff>
      <xdr:row>162</xdr:row>
      <xdr:rowOff>5476</xdr:rowOff>
    </xdr:to>
    <xdr:sp macro="" textlink="">
      <xdr:nvSpPr>
        <xdr:cNvPr id="1419" name="正方形/長方形 503">
          <a:extLst>
            <a:ext uri="{FF2B5EF4-FFF2-40B4-BE49-F238E27FC236}">
              <a16:creationId xmlns:a16="http://schemas.microsoft.com/office/drawing/2014/main" id="{ED6085FD-4874-4590-8889-496C0E7220E8}"/>
            </a:ext>
          </a:extLst>
        </xdr:cNvPr>
        <xdr:cNvSpPr/>
      </xdr:nvSpPr>
      <xdr:spPr>
        <a:xfrm>
          <a:off x="10119536" y="25831672"/>
          <a:ext cx="786456" cy="52053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楽々精算</a:t>
          </a:r>
          <a:endParaRPr kumimoji="1" lang="en-US" altLang="ja-JP" sz="900"/>
        </a:p>
      </xdr:txBody>
    </xdr:sp>
    <xdr:clientData/>
  </xdr:twoCellAnchor>
  <xdr:twoCellAnchor>
    <xdr:from>
      <xdr:col>34</xdr:col>
      <xdr:colOff>115024</xdr:colOff>
      <xdr:row>161</xdr:row>
      <xdr:rowOff>131426</xdr:rowOff>
    </xdr:from>
    <xdr:to>
      <xdr:col>39</xdr:col>
      <xdr:colOff>116268</xdr:colOff>
      <xdr:row>165</xdr:row>
      <xdr:rowOff>118246</xdr:rowOff>
    </xdr:to>
    <xdr:cxnSp macro="">
      <xdr:nvCxnSpPr>
        <xdr:cNvPr id="1421" name="コネクタ: カギ線 779">
          <a:extLst>
            <a:ext uri="{FF2B5EF4-FFF2-40B4-BE49-F238E27FC236}">
              <a16:creationId xmlns:a16="http://schemas.microsoft.com/office/drawing/2014/main" id="{56EBEFB7-17BA-4127-9407-FD5687831E36}"/>
            </a:ext>
          </a:extLst>
        </xdr:cNvPr>
        <xdr:cNvCxnSpPr>
          <a:cxnSpLocks/>
          <a:stCxn id="1418" idx="3"/>
          <a:endCxn id="1422" idx="4"/>
        </xdr:cNvCxnSpPr>
      </xdr:nvCxnSpPr>
      <xdr:spPr>
        <a:xfrm rot="5400000">
          <a:off x="9687645" y="26153441"/>
          <a:ext cx="679548" cy="982608"/>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25210</xdr:colOff>
      <xdr:row>164</xdr:row>
      <xdr:rowOff>11147</xdr:rowOff>
    </xdr:from>
    <xdr:to>
      <xdr:col>34</xdr:col>
      <xdr:colOff>115024</xdr:colOff>
      <xdr:row>167</xdr:row>
      <xdr:rowOff>52164</xdr:rowOff>
    </xdr:to>
    <xdr:sp macro="" textlink="">
      <xdr:nvSpPr>
        <xdr:cNvPr id="1422" name="フローチャート: 磁気ディスク 502">
          <a:extLst>
            <a:ext uri="{FF2B5EF4-FFF2-40B4-BE49-F238E27FC236}">
              <a16:creationId xmlns:a16="http://schemas.microsoft.com/office/drawing/2014/main" id="{D04B4E33-4E0C-49DC-A1C0-6FC250ED1DD0}"/>
            </a:ext>
          </a:extLst>
        </xdr:cNvPr>
        <xdr:cNvSpPr/>
      </xdr:nvSpPr>
      <xdr:spPr>
        <a:xfrm>
          <a:off x="8857483" y="26704238"/>
          <a:ext cx="678632" cy="560562"/>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30</xdr:col>
      <xdr:colOff>164849</xdr:colOff>
      <xdr:row>164</xdr:row>
      <xdr:rowOff>98410</xdr:rowOff>
    </xdr:from>
    <xdr:to>
      <xdr:col>34</xdr:col>
      <xdr:colOff>166214</xdr:colOff>
      <xdr:row>167</xdr:row>
      <xdr:rowOff>99396</xdr:rowOff>
    </xdr:to>
    <xdr:sp macro="" textlink="">
      <xdr:nvSpPr>
        <xdr:cNvPr id="1423" name="正方形/長方形 503">
          <a:extLst>
            <a:ext uri="{FF2B5EF4-FFF2-40B4-BE49-F238E27FC236}">
              <a16:creationId xmlns:a16="http://schemas.microsoft.com/office/drawing/2014/main" id="{4ADD5283-74CF-43C6-9629-49CEF5848DDE}"/>
            </a:ext>
          </a:extLst>
        </xdr:cNvPr>
        <xdr:cNvSpPr/>
      </xdr:nvSpPr>
      <xdr:spPr>
        <a:xfrm>
          <a:off x="8800849" y="26791501"/>
          <a:ext cx="786456" cy="52053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clientData/>
  </xdr:twoCellAnchor>
  <xdr:twoCellAnchor>
    <xdr:from>
      <xdr:col>38</xdr:col>
      <xdr:colOff>98630</xdr:colOff>
      <xdr:row>161</xdr:row>
      <xdr:rowOff>62442</xdr:rowOff>
    </xdr:from>
    <xdr:to>
      <xdr:col>43</xdr:col>
      <xdr:colOff>193880</xdr:colOff>
      <xdr:row>164</xdr:row>
      <xdr:rowOff>150091</xdr:rowOff>
    </xdr:to>
    <xdr:grpSp>
      <xdr:nvGrpSpPr>
        <xdr:cNvPr id="1424" name="グループ化 782">
          <a:extLst>
            <a:ext uri="{FF2B5EF4-FFF2-40B4-BE49-F238E27FC236}">
              <a16:creationId xmlns:a16="http://schemas.microsoft.com/office/drawing/2014/main" id="{B5F26673-5DF3-447B-912A-0A7286371F2A}"/>
            </a:ext>
          </a:extLst>
        </xdr:cNvPr>
        <xdr:cNvGrpSpPr/>
      </xdr:nvGrpSpPr>
      <xdr:grpSpPr>
        <a:xfrm>
          <a:off x="6975680" y="27827817"/>
          <a:ext cx="990600" cy="601999"/>
          <a:chOff x="4401349" y="5661025"/>
          <a:chExt cx="1006217" cy="529847"/>
        </a:xfrm>
      </xdr:grpSpPr>
      <xdr:sp macro="" textlink="">
        <xdr:nvSpPr>
          <xdr:cNvPr id="1425" name="AutoShape 49">
            <a:extLst>
              <a:ext uri="{FF2B5EF4-FFF2-40B4-BE49-F238E27FC236}">
                <a16:creationId xmlns:a16="http://schemas.microsoft.com/office/drawing/2014/main" id="{76E86DCF-C7E2-05F7-DFBF-763EE9B18A1C}"/>
              </a:ext>
            </a:extLst>
          </xdr:cNvPr>
          <xdr:cNvSpPr>
            <a:spLocks noChangeArrowheads="1"/>
          </xdr:cNvSpPr>
        </xdr:nvSpPr>
        <xdr:spPr bwMode="gray">
          <a:xfrm>
            <a:off x="4506324"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426" name="正方形/長方形 48">
            <a:extLst>
              <a:ext uri="{FF2B5EF4-FFF2-40B4-BE49-F238E27FC236}">
                <a16:creationId xmlns:a16="http://schemas.microsoft.com/office/drawing/2014/main" id="{13E94523-447F-B0F8-C834-FE4B98A0220B}"/>
              </a:ext>
            </a:extLst>
          </xdr:cNvPr>
          <xdr:cNvSpPr/>
        </xdr:nvSpPr>
        <xdr:spPr>
          <a:xfrm>
            <a:off x="4401349" y="5661025"/>
            <a:ext cx="1006217" cy="5298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会計伝票情報</a:t>
            </a:r>
          </a:p>
        </xdr:txBody>
      </xdr:sp>
    </xdr:grpSp>
    <xdr:clientData/>
  </xdr:twoCellAnchor>
  <xdr:twoCellAnchor>
    <xdr:from>
      <xdr:col>18</xdr:col>
      <xdr:colOff>162805</xdr:colOff>
      <xdr:row>161</xdr:row>
      <xdr:rowOff>94797</xdr:rowOff>
    </xdr:from>
    <xdr:to>
      <xdr:col>18</xdr:col>
      <xdr:colOff>173804</xdr:colOff>
      <xdr:row>169</xdr:row>
      <xdr:rowOff>75621</xdr:rowOff>
    </xdr:to>
    <xdr:cxnSp macro="">
      <xdr:nvCxnSpPr>
        <xdr:cNvPr id="1427" name="直線矢印コネクタ 1426">
          <a:extLst>
            <a:ext uri="{FF2B5EF4-FFF2-40B4-BE49-F238E27FC236}">
              <a16:creationId xmlns:a16="http://schemas.microsoft.com/office/drawing/2014/main" id="{8E0A281C-985E-4936-875E-C6640094B2F8}"/>
            </a:ext>
          </a:extLst>
        </xdr:cNvPr>
        <xdr:cNvCxnSpPr>
          <a:cxnSpLocks/>
          <a:stCxn id="1417" idx="2"/>
          <a:endCxn id="1440" idx="0"/>
        </xdr:cNvCxnSpPr>
      </xdr:nvCxnSpPr>
      <xdr:spPr>
        <a:xfrm>
          <a:off x="6443532" y="26268342"/>
          <a:ext cx="10999" cy="5003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23092</xdr:colOff>
      <xdr:row>124</xdr:row>
      <xdr:rowOff>128746</xdr:rowOff>
    </xdr:from>
    <xdr:to>
      <xdr:col>20</xdr:col>
      <xdr:colOff>130926</xdr:colOff>
      <xdr:row>126</xdr:row>
      <xdr:rowOff>41937</xdr:rowOff>
    </xdr:to>
    <xdr:sp macro="" textlink="">
      <xdr:nvSpPr>
        <xdr:cNvPr id="1428" name="フローチャート: 端子 26">
          <a:extLst>
            <a:ext uri="{FF2B5EF4-FFF2-40B4-BE49-F238E27FC236}">
              <a16:creationId xmlns:a16="http://schemas.microsoft.com/office/drawing/2014/main" id="{414FF8DD-11C0-4A9D-9BEE-98EBE69F6E6F}"/>
            </a:ext>
          </a:extLst>
        </xdr:cNvPr>
        <xdr:cNvSpPr/>
      </xdr:nvSpPr>
      <xdr:spPr>
        <a:xfrm>
          <a:off x="6107547" y="19894564"/>
          <a:ext cx="696652" cy="25955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174827</xdr:colOff>
      <xdr:row>126</xdr:row>
      <xdr:rowOff>45112</xdr:rowOff>
    </xdr:from>
    <xdr:to>
      <xdr:col>18</xdr:col>
      <xdr:colOff>176795</xdr:colOff>
      <xdr:row>128</xdr:row>
      <xdr:rowOff>6799</xdr:rowOff>
    </xdr:to>
    <xdr:cxnSp macro="">
      <xdr:nvCxnSpPr>
        <xdr:cNvPr id="1429" name="直線矢印コネクタ 27">
          <a:extLst>
            <a:ext uri="{FF2B5EF4-FFF2-40B4-BE49-F238E27FC236}">
              <a16:creationId xmlns:a16="http://schemas.microsoft.com/office/drawing/2014/main" id="{CDD101BC-01DB-42ED-83B6-0D458D1268CA}"/>
            </a:ext>
          </a:extLst>
        </xdr:cNvPr>
        <xdr:cNvCxnSpPr>
          <a:cxnSpLocks/>
          <a:stCxn id="1428" idx="2"/>
          <a:endCxn id="1431" idx="0"/>
        </xdr:cNvCxnSpPr>
      </xdr:nvCxnSpPr>
      <xdr:spPr>
        <a:xfrm flipH="1">
          <a:off x="6455554" y="20157294"/>
          <a:ext cx="1968" cy="3080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61028</xdr:colOff>
      <xdr:row>128</xdr:row>
      <xdr:rowOff>6799</xdr:rowOff>
    </xdr:from>
    <xdr:to>
      <xdr:col>21</xdr:col>
      <xdr:colOff>100630</xdr:colOff>
      <xdr:row>131</xdr:row>
      <xdr:rowOff>14824</xdr:rowOff>
    </xdr:to>
    <xdr:grpSp>
      <xdr:nvGrpSpPr>
        <xdr:cNvPr id="1430" name="グループ化 1429">
          <a:extLst>
            <a:ext uri="{FF2B5EF4-FFF2-40B4-BE49-F238E27FC236}">
              <a16:creationId xmlns:a16="http://schemas.microsoft.com/office/drawing/2014/main" id="{2DFAF6A2-18AE-461A-9B13-63151CEA0008}"/>
            </a:ext>
          </a:extLst>
        </xdr:cNvPr>
        <xdr:cNvGrpSpPr/>
      </xdr:nvGrpSpPr>
      <xdr:grpSpPr>
        <a:xfrm>
          <a:off x="2956628" y="22114324"/>
          <a:ext cx="944477" cy="522375"/>
          <a:chOff x="287474" y="4845794"/>
          <a:chExt cx="1021504" cy="505814"/>
        </a:xfrm>
      </xdr:grpSpPr>
      <xdr:sp macro="" textlink="">
        <xdr:nvSpPr>
          <xdr:cNvPr id="1431" name="フローチャート: 判断 1430">
            <a:extLst>
              <a:ext uri="{FF2B5EF4-FFF2-40B4-BE49-F238E27FC236}">
                <a16:creationId xmlns:a16="http://schemas.microsoft.com/office/drawing/2014/main" id="{3CBF5FE8-D294-79AE-2B09-C13F5DBB9D9C}"/>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432" name="正方形/長方形 48">
            <a:extLst>
              <a:ext uri="{FF2B5EF4-FFF2-40B4-BE49-F238E27FC236}">
                <a16:creationId xmlns:a16="http://schemas.microsoft.com/office/drawing/2014/main" id="{AB6DDDBB-3C7F-3BD1-486E-54E7E2D4C249}"/>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プロジェクト</a:t>
            </a:r>
            <a:endParaRPr kumimoji="1" lang="en-US" altLang="ja-JP" sz="900"/>
          </a:p>
          <a:p>
            <a:pPr algn="ctr"/>
            <a:r>
              <a:rPr kumimoji="1" lang="ja-JP" altLang="en-US" sz="900"/>
              <a:t>管理対象</a:t>
            </a:r>
          </a:p>
        </xdr:txBody>
      </xdr:sp>
    </xdr:grpSp>
    <xdr:clientData/>
  </xdr:twoCellAnchor>
  <xdr:twoCellAnchor>
    <xdr:from>
      <xdr:col>18</xdr:col>
      <xdr:colOff>179474</xdr:colOff>
      <xdr:row>130</xdr:row>
      <xdr:rowOff>152161</xdr:rowOff>
    </xdr:from>
    <xdr:to>
      <xdr:col>21</xdr:col>
      <xdr:colOff>34269</xdr:colOff>
      <xdr:row>132</xdr:row>
      <xdr:rowOff>24812</xdr:rowOff>
    </xdr:to>
    <xdr:sp macro="" textlink="">
      <xdr:nvSpPr>
        <xdr:cNvPr id="1433" name="テキスト ボックス 1432">
          <a:extLst>
            <a:ext uri="{FF2B5EF4-FFF2-40B4-BE49-F238E27FC236}">
              <a16:creationId xmlns:a16="http://schemas.microsoft.com/office/drawing/2014/main" id="{2A25862A-ED7E-415B-8974-69EAFBCDB646}"/>
            </a:ext>
          </a:extLst>
        </xdr:cNvPr>
        <xdr:cNvSpPr txBox="1"/>
      </xdr:nvSpPr>
      <xdr:spPr>
        <a:xfrm>
          <a:off x="6460201" y="20957070"/>
          <a:ext cx="443613"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15</xdr:col>
      <xdr:colOff>81146</xdr:colOff>
      <xdr:row>127</xdr:row>
      <xdr:rowOff>102605</xdr:rowOff>
    </xdr:from>
    <xdr:to>
      <xdr:col>17</xdr:col>
      <xdr:colOff>156104</xdr:colOff>
      <xdr:row>129</xdr:row>
      <xdr:rowOff>21637</xdr:rowOff>
    </xdr:to>
    <xdr:sp macro="" textlink="">
      <xdr:nvSpPr>
        <xdr:cNvPr id="1434" name="テキスト ボックス 1433">
          <a:extLst>
            <a:ext uri="{FF2B5EF4-FFF2-40B4-BE49-F238E27FC236}">
              <a16:creationId xmlns:a16="http://schemas.microsoft.com/office/drawing/2014/main" id="{EE8BEC86-1BB7-4269-953E-5812B7770906}"/>
            </a:ext>
          </a:extLst>
        </xdr:cNvPr>
        <xdr:cNvSpPr txBox="1"/>
      </xdr:nvSpPr>
      <xdr:spPr>
        <a:xfrm>
          <a:off x="5773055" y="20387969"/>
          <a:ext cx="467504" cy="265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18</xdr:col>
      <xdr:colOff>178002</xdr:colOff>
      <xdr:row>130</xdr:row>
      <xdr:rowOff>165930</xdr:rowOff>
    </xdr:from>
    <xdr:to>
      <xdr:col>18</xdr:col>
      <xdr:colOff>183317</xdr:colOff>
      <xdr:row>132</xdr:row>
      <xdr:rowOff>121273</xdr:rowOff>
    </xdr:to>
    <xdr:cxnSp macro="">
      <xdr:nvCxnSpPr>
        <xdr:cNvPr id="1435" name="直線矢印コネクタ 1434">
          <a:extLst>
            <a:ext uri="{FF2B5EF4-FFF2-40B4-BE49-F238E27FC236}">
              <a16:creationId xmlns:a16="http://schemas.microsoft.com/office/drawing/2014/main" id="{4BAA7E59-6E2A-4BF2-ABAF-6A174ABE5645}"/>
            </a:ext>
          </a:extLst>
        </xdr:cNvPr>
        <xdr:cNvCxnSpPr>
          <a:cxnSpLocks/>
          <a:stCxn id="1431" idx="2"/>
          <a:endCxn id="1436" idx="0"/>
        </xdr:cNvCxnSpPr>
      </xdr:nvCxnSpPr>
      <xdr:spPr>
        <a:xfrm>
          <a:off x="6458729" y="20970839"/>
          <a:ext cx="5315" cy="30170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112578</xdr:colOff>
      <xdr:row>132</xdr:row>
      <xdr:rowOff>118098</xdr:rowOff>
    </xdr:from>
    <xdr:to>
      <xdr:col>21</xdr:col>
      <xdr:colOff>51309</xdr:colOff>
      <xdr:row>135</xdr:row>
      <xdr:rowOff>93345</xdr:rowOff>
    </xdr:to>
    <xdr:sp macro="" textlink="">
      <xdr:nvSpPr>
        <xdr:cNvPr id="1436" name="フローチャート: 定義済み処理 1435">
          <a:extLst>
            <a:ext uri="{FF2B5EF4-FFF2-40B4-BE49-F238E27FC236}">
              <a16:creationId xmlns:a16="http://schemas.microsoft.com/office/drawing/2014/main" id="{33B9C0AD-DFC8-4EEA-955B-5831E93A1416}"/>
            </a:ext>
          </a:extLst>
        </xdr:cNvPr>
        <xdr:cNvSpPr/>
      </xdr:nvSpPr>
      <xdr:spPr>
        <a:xfrm>
          <a:off x="6000760" y="21269371"/>
          <a:ext cx="920094" cy="4947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149636</xdr:colOff>
      <xdr:row>132</xdr:row>
      <xdr:rowOff>70212</xdr:rowOff>
    </xdr:from>
    <xdr:to>
      <xdr:col>21</xdr:col>
      <xdr:colOff>59796</xdr:colOff>
      <xdr:row>135</xdr:row>
      <xdr:rowOff>103634</xdr:rowOff>
    </xdr:to>
    <xdr:sp macro="" textlink="">
      <xdr:nvSpPr>
        <xdr:cNvPr id="1437" name="正方形/長方形 48">
          <a:extLst>
            <a:ext uri="{FF2B5EF4-FFF2-40B4-BE49-F238E27FC236}">
              <a16:creationId xmlns:a16="http://schemas.microsoft.com/office/drawing/2014/main" id="{3EBD4C1F-DE21-4915-87FA-F70BBE53C90A}"/>
            </a:ext>
          </a:extLst>
        </xdr:cNvPr>
        <xdr:cNvSpPr/>
      </xdr:nvSpPr>
      <xdr:spPr>
        <a:xfrm>
          <a:off x="6037818" y="21221485"/>
          <a:ext cx="891523" cy="55296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財務分析コード値の更新</a:t>
          </a:r>
          <a:endParaRPr kumimoji="1" lang="en-US" altLang="ja-JP" sz="900"/>
        </a:p>
      </xdr:txBody>
    </xdr:sp>
    <xdr:clientData/>
  </xdr:twoCellAnchor>
  <xdr:twoCellAnchor>
    <xdr:from>
      <xdr:col>16</xdr:col>
      <xdr:colOff>102597</xdr:colOff>
      <xdr:row>169</xdr:row>
      <xdr:rowOff>75621</xdr:rowOff>
    </xdr:from>
    <xdr:to>
      <xdr:col>21</xdr:col>
      <xdr:colOff>48737</xdr:colOff>
      <xdr:row>172</xdr:row>
      <xdr:rowOff>51927</xdr:rowOff>
    </xdr:to>
    <xdr:sp macro="" textlink="">
      <xdr:nvSpPr>
        <xdr:cNvPr id="1440" name="フローチャート: 定義済み処理 1439">
          <a:extLst>
            <a:ext uri="{FF2B5EF4-FFF2-40B4-BE49-F238E27FC236}">
              <a16:creationId xmlns:a16="http://schemas.microsoft.com/office/drawing/2014/main" id="{81EBD57A-8738-443A-A0E3-EE2ED8E6B7F9}"/>
            </a:ext>
          </a:extLst>
        </xdr:cNvPr>
        <xdr:cNvSpPr/>
      </xdr:nvSpPr>
      <xdr:spPr>
        <a:xfrm>
          <a:off x="5990779" y="22439166"/>
          <a:ext cx="927503" cy="49585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53930</xdr:colOff>
      <xdr:row>169</xdr:row>
      <xdr:rowOff>74318</xdr:rowOff>
    </xdr:from>
    <xdr:to>
      <xdr:col>21</xdr:col>
      <xdr:colOff>101440</xdr:colOff>
      <xdr:row>172</xdr:row>
      <xdr:rowOff>111974</xdr:rowOff>
    </xdr:to>
    <xdr:sp macro="" textlink="">
      <xdr:nvSpPr>
        <xdr:cNvPr id="1441" name="正方形/長方形 48">
          <a:extLst>
            <a:ext uri="{FF2B5EF4-FFF2-40B4-BE49-F238E27FC236}">
              <a16:creationId xmlns:a16="http://schemas.microsoft.com/office/drawing/2014/main" id="{74F65103-F69C-4E81-80E9-C2A20F254A89}"/>
            </a:ext>
          </a:extLst>
        </xdr:cNvPr>
        <xdr:cNvSpPr/>
      </xdr:nvSpPr>
      <xdr:spPr>
        <a:xfrm>
          <a:off x="5942112" y="22437863"/>
          <a:ext cx="1028873" cy="55720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固定資産</a:t>
          </a:r>
          <a:endParaRPr kumimoji="1" lang="en-US" altLang="ja-JP" sz="900"/>
        </a:p>
        <a:p>
          <a:pPr algn="ctr"/>
          <a:r>
            <a:rPr kumimoji="1" lang="ja-JP" altLang="en-US" sz="900"/>
            <a:t>登録</a:t>
          </a:r>
          <a:endParaRPr kumimoji="1" lang="en-US" altLang="ja-JP" sz="900"/>
        </a:p>
      </xdr:txBody>
    </xdr:sp>
    <xdr:clientData/>
  </xdr:twoCellAnchor>
  <xdr:twoCellAnchor>
    <xdr:from>
      <xdr:col>16</xdr:col>
      <xdr:colOff>42387</xdr:colOff>
      <xdr:row>158</xdr:row>
      <xdr:rowOff>75140</xdr:rowOff>
    </xdr:from>
    <xdr:to>
      <xdr:col>21</xdr:col>
      <xdr:colOff>89897</xdr:colOff>
      <xdr:row>161</xdr:row>
      <xdr:rowOff>112798</xdr:rowOff>
    </xdr:to>
    <xdr:sp macro="" textlink="">
      <xdr:nvSpPr>
        <xdr:cNvPr id="1459" name="正方形/長方形 48">
          <a:extLst>
            <a:ext uri="{FF2B5EF4-FFF2-40B4-BE49-F238E27FC236}">
              <a16:creationId xmlns:a16="http://schemas.microsoft.com/office/drawing/2014/main" id="{1A9236C9-D272-4431-9D23-F895632576C6}"/>
            </a:ext>
          </a:extLst>
        </xdr:cNvPr>
        <xdr:cNvSpPr/>
      </xdr:nvSpPr>
      <xdr:spPr>
        <a:xfrm>
          <a:off x="5930569" y="25729140"/>
          <a:ext cx="1028873" cy="5572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決済勘定</a:t>
          </a:r>
          <a:br>
            <a:rPr kumimoji="1" lang="en-US" altLang="ja-JP" sz="900"/>
          </a:br>
          <a:r>
            <a:rPr kumimoji="1" lang="ja-JP" altLang="en-US" sz="900"/>
            <a:t>へ振替</a:t>
          </a:r>
          <a:endParaRPr kumimoji="1" lang="en-US" altLang="ja-JP" sz="900"/>
        </a:p>
      </xdr:txBody>
    </xdr:sp>
    <xdr:clientData/>
  </xdr:twoCellAnchor>
  <xdr:twoCellAnchor>
    <xdr:from>
      <xdr:col>2</xdr:col>
      <xdr:colOff>48819</xdr:colOff>
      <xdr:row>176</xdr:row>
      <xdr:rowOff>159295</xdr:rowOff>
    </xdr:from>
    <xdr:to>
      <xdr:col>7</xdr:col>
      <xdr:colOff>40424</xdr:colOff>
      <xdr:row>179</xdr:row>
      <xdr:rowOff>127432</xdr:rowOff>
    </xdr:to>
    <xdr:sp macro="" textlink="">
      <xdr:nvSpPr>
        <xdr:cNvPr id="1460" name="フローチャート: 定義済み処理 9">
          <a:extLst>
            <a:ext uri="{FF2B5EF4-FFF2-40B4-BE49-F238E27FC236}">
              <a16:creationId xmlns:a16="http://schemas.microsoft.com/office/drawing/2014/main" id="{F463E3A4-DD89-4082-946C-6815366AFB5D}"/>
            </a:ext>
          </a:extLst>
        </xdr:cNvPr>
        <xdr:cNvSpPr/>
      </xdr:nvSpPr>
      <xdr:spPr>
        <a:xfrm>
          <a:off x="3189183" y="25293750"/>
          <a:ext cx="972968" cy="4876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17646</xdr:colOff>
      <xdr:row>176</xdr:row>
      <xdr:rowOff>119675</xdr:rowOff>
    </xdr:from>
    <xdr:to>
      <xdr:col>7</xdr:col>
      <xdr:colOff>117070</xdr:colOff>
      <xdr:row>179</xdr:row>
      <xdr:rowOff>149306</xdr:rowOff>
    </xdr:to>
    <xdr:sp macro="" textlink="">
      <xdr:nvSpPr>
        <xdr:cNvPr id="1461" name="正方形/長方形 48">
          <a:extLst>
            <a:ext uri="{FF2B5EF4-FFF2-40B4-BE49-F238E27FC236}">
              <a16:creationId xmlns:a16="http://schemas.microsoft.com/office/drawing/2014/main" id="{6738F75D-8858-41BB-917D-19FD944A0FF9}"/>
            </a:ext>
          </a:extLst>
        </xdr:cNvPr>
        <xdr:cNvSpPr/>
      </xdr:nvSpPr>
      <xdr:spPr>
        <a:xfrm>
          <a:off x="3158010" y="25254130"/>
          <a:ext cx="1080787" cy="5491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取得提案</a:t>
          </a:r>
        </a:p>
      </xdr:txBody>
    </xdr:sp>
    <xdr:clientData/>
  </xdr:twoCellAnchor>
  <xdr:twoCellAnchor>
    <xdr:from>
      <xdr:col>7</xdr:col>
      <xdr:colOff>67635</xdr:colOff>
      <xdr:row>183</xdr:row>
      <xdr:rowOff>130073</xdr:rowOff>
    </xdr:from>
    <xdr:to>
      <xdr:col>31</xdr:col>
      <xdr:colOff>76542</xdr:colOff>
      <xdr:row>183</xdr:row>
      <xdr:rowOff>147488</xdr:rowOff>
    </xdr:to>
    <xdr:cxnSp macro="">
      <xdr:nvCxnSpPr>
        <xdr:cNvPr id="1483" name="直線矢印コネクタ 1482">
          <a:extLst>
            <a:ext uri="{FF2B5EF4-FFF2-40B4-BE49-F238E27FC236}">
              <a16:creationId xmlns:a16="http://schemas.microsoft.com/office/drawing/2014/main" id="{11DC858D-1CD4-42E3-B4B5-480FFA7B00EF}"/>
            </a:ext>
          </a:extLst>
        </xdr:cNvPr>
        <xdr:cNvCxnSpPr>
          <a:cxnSpLocks/>
          <a:stCxn id="1498" idx="3"/>
          <a:endCxn id="1386" idx="2"/>
        </xdr:cNvCxnSpPr>
      </xdr:nvCxnSpPr>
      <xdr:spPr>
        <a:xfrm flipV="1">
          <a:off x="4258635" y="31381144"/>
          <a:ext cx="4798621" cy="174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174696</xdr:colOff>
      <xdr:row>188</xdr:row>
      <xdr:rowOff>101518</xdr:rowOff>
    </xdr:from>
    <xdr:to>
      <xdr:col>34</xdr:col>
      <xdr:colOff>151907</xdr:colOff>
      <xdr:row>192</xdr:row>
      <xdr:rowOff>36694</xdr:rowOff>
    </xdr:to>
    <xdr:grpSp>
      <xdr:nvGrpSpPr>
        <xdr:cNvPr id="1484" name="グループ化 92">
          <a:extLst>
            <a:ext uri="{FF2B5EF4-FFF2-40B4-BE49-F238E27FC236}">
              <a16:creationId xmlns:a16="http://schemas.microsoft.com/office/drawing/2014/main" id="{63E36E75-DA9B-4696-A3A9-2D2F186EFB47}"/>
            </a:ext>
          </a:extLst>
        </xdr:cNvPr>
        <xdr:cNvGrpSpPr/>
      </xdr:nvGrpSpPr>
      <xdr:grpSpPr>
        <a:xfrm>
          <a:off x="5603946" y="32496043"/>
          <a:ext cx="701111" cy="620976"/>
          <a:chOff x="7144737" y="2892425"/>
          <a:chExt cx="763434" cy="597682"/>
        </a:xfrm>
      </xdr:grpSpPr>
      <xdr:sp macro="" textlink="">
        <xdr:nvSpPr>
          <xdr:cNvPr id="1485" name="フローチャート: 磁気ディスク 93">
            <a:extLst>
              <a:ext uri="{FF2B5EF4-FFF2-40B4-BE49-F238E27FC236}">
                <a16:creationId xmlns:a16="http://schemas.microsoft.com/office/drawing/2014/main" id="{0EAFB4C9-B76D-934D-50E6-F9889AF8262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86" name="正方形/長方形 94">
            <a:extLst>
              <a:ext uri="{FF2B5EF4-FFF2-40B4-BE49-F238E27FC236}">
                <a16:creationId xmlns:a16="http://schemas.microsoft.com/office/drawing/2014/main" id="{A8965BB3-B2C9-E878-CD7A-0D8152D136A5}"/>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67636</xdr:colOff>
      <xdr:row>190</xdr:row>
      <xdr:rowOff>37177</xdr:rowOff>
    </xdr:from>
    <xdr:to>
      <xdr:col>31</xdr:col>
      <xdr:colOff>35401</xdr:colOff>
      <xdr:row>190</xdr:row>
      <xdr:rowOff>48114</xdr:rowOff>
    </xdr:to>
    <xdr:cxnSp macro="">
      <xdr:nvCxnSpPr>
        <xdr:cNvPr id="1487" name="直線矢印コネクタ 1486">
          <a:extLst>
            <a:ext uri="{FF2B5EF4-FFF2-40B4-BE49-F238E27FC236}">
              <a16:creationId xmlns:a16="http://schemas.microsoft.com/office/drawing/2014/main" id="{3BCDEF8A-78C3-44D2-B7C5-0E81818CDAF1}"/>
            </a:ext>
          </a:extLst>
        </xdr:cNvPr>
        <xdr:cNvCxnSpPr>
          <a:cxnSpLocks/>
          <a:stCxn id="1501" idx="3"/>
          <a:endCxn id="1485" idx="2"/>
        </xdr:cNvCxnSpPr>
      </xdr:nvCxnSpPr>
      <xdr:spPr>
        <a:xfrm flipV="1">
          <a:off x="5655636" y="32494748"/>
          <a:ext cx="3360479" cy="109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18668</xdr:colOff>
      <xdr:row>204</xdr:row>
      <xdr:rowOff>154957</xdr:rowOff>
    </xdr:from>
    <xdr:to>
      <xdr:col>34</xdr:col>
      <xdr:colOff>195450</xdr:colOff>
      <xdr:row>208</xdr:row>
      <xdr:rowOff>89309</xdr:rowOff>
    </xdr:to>
    <xdr:grpSp>
      <xdr:nvGrpSpPr>
        <xdr:cNvPr id="1490" name="グループ化 92">
          <a:extLst>
            <a:ext uri="{FF2B5EF4-FFF2-40B4-BE49-F238E27FC236}">
              <a16:creationId xmlns:a16="http://schemas.microsoft.com/office/drawing/2014/main" id="{604C2CCA-C4B2-46F7-B643-3039F790A3D1}"/>
            </a:ext>
          </a:extLst>
        </xdr:cNvPr>
        <xdr:cNvGrpSpPr/>
      </xdr:nvGrpSpPr>
      <xdr:grpSpPr>
        <a:xfrm>
          <a:off x="5628893" y="35292682"/>
          <a:ext cx="700657" cy="620152"/>
          <a:chOff x="7144737" y="2892425"/>
          <a:chExt cx="763434" cy="597682"/>
        </a:xfrm>
      </xdr:grpSpPr>
      <xdr:sp macro="" textlink="">
        <xdr:nvSpPr>
          <xdr:cNvPr id="1491" name="フローチャート: 磁気ディスク 93">
            <a:extLst>
              <a:ext uri="{FF2B5EF4-FFF2-40B4-BE49-F238E27FC236}">
                <a16:creationId xmlns:a16="http://schemas.microsoft.com/office/drawing/2014/main" id="{62C35494-4F0E-40C2-BFDF-53C571077FC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92" name="正方形/長方形 94">
            <a:extLst>
              <a:ext uri="{FF2B5EF4-FFF2-40B4-BE49-F238E27FC236}">
                <a16:creationId xmlns:a16="http://schemas.microsoft.com/office/drawing/2014/main" id="{6C6132CA-3CFF-D017-9BEE-D3F3FEB7BFF7}"/>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89408</xdr:colOff>
      <xdr:row>206</xdr:row>
      <xdr:rowOff>78958</xdr:rowOff>
    </xdr:from>
    <xdr:to>
      <xdr:col>31</xdr:col>
      <xdr:colOff>78944</xdr:colOff>
      <xdr:row>206</xdr:row>
      <xdr:rowOff>90245</xdr:rowOff>
    </xdr:to>
    <xdr:cxnSp macro="">
      <xdr:nvCxnSpPr>
        <xdr:cNvPr id="1493" name="直線矢印コネクタ 1492">
          <a:extLst>
            <a:ext uri="{FF2B5EF4-FFF2-40B4-BE49-F238E27FC236}">
              <a16:creationId xmlns:a16="http://schemas.microsoft.com/office/drawing/2014/main" id="{2CB465B4-AF80-49DF-8786-287FD15F3E1F}"/>
            </a:ext>
          </a:extLst>
        </xdr:cNvPr>
        <xdr:cNvCxnSpPr>
          <a:cxnSpLocks/>
          <a:stCxn id="1515" idx="3"/>
          <a:endCxn id="1491" idx="2"/>
        </xdr:cNvCxnSpPr>
      </xdr:nvCxnSpPr>
      <xdr:spPr>
        <a:xfrm>
          <a:off x="5677408" y="35294244"/>
          <a:ext cx="3382250" cy="112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4629</xdr:colOff>
      <xdr:row>199</xdr:row>
      <xdr:rowOff>47103</xdr:rowOff>
    </xdr:from>
    <xdr:to>
      <xdr:col>34</xdr:col>
      <xdr:colOff>178113</xdr:colOff>
      <xdr:row>202</xdr:row>
      <xdr:rowOff>155462</xdr:rowOff>
    </xdr:to>
    <xdr:grpSp>
      <xdr:nvGrpSpPr>
        <xdr:cNvPr id="1494" name="グループ化 92">
          <a:extLst>
            <a:ext uri="{FF2B5EF4-FFF2-40B4-BE49-F238E27FC236}">
              <a16:creationId xmlns:a16="http://schemas.microsoft.com/office/drawing/2014/main" id="{52359E65-DF87-4C78-A0F7-5415044FFEE3}"/>
            </a:ext>
          </a:extLst>
        </xdr:cNvPr>
        <xdr:cNvGrpSpPr/>
      </xdr:nvGrpSpPr>
      <xdr:grpSpPr>
        <a:xfrm>
          <a:off x="5614854" y="34327578"/>
          <a:ext cx="716409" cy="622709"/>
          <a:chOff x="7144737" y="2892425"/>
          <a:chExt cx="763434" cy="597682"/>
        </a:xfrm>
      </xdr:grpSpPr>
      <xdr:sp macro="" textlink="">
        <xdr:nvSpPr>
          <xdr:cNvPr id="1495" name="フローチャート: 磁気ディスク 93">
            <a:extLst>
              <a:ext uri="{FF2B5EF4-FFF2-40B4-BE49-F238E27FC236}">
                <a16:creationId xmlns:a16="http://schemas.microsoft.com/office/drawing/2014/main" id="{3E7BCA8E-2CB5-FEC3-48A8-8E82EC666A6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96" name="正方形/長方形 94">
            <a:extLst>
              <a:ext uri="{FF2B5EF4-FFF2-40B4-BE49-F238E27FC236}">
                <a16:creationId xmlns:a16="http://schemas.microsoft.com/office/drawing/2014/main" id="{4AE99187-7295-6B9E-6432-222DD4CBFF41}"/>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7</xdr:col>
      <xdr:colOff>62191</xdr:colOff>
      <xdr:row>200</xdr:row>
      <xdr:rowOff>132974</xdr:rowOff>
    </xdr:from>
    <xdr:to>
      <xdr:col>31</xdr:col>
      <xdr:colOff>64648</xdr:colOff>
      <xdr:row>200</xdr:row>
      <xdr:rowOff>155489</xdr:rowOff>
    </xdr:to>
    <xdr:cxnSp macro="">
      <xdr:nvCxnSpPr>
        <xdr:cNvPr id="1497" name="直線矢印コネクタ 1496">
          <a:extLst>
            <a:ext uri="{FF2B5EF4-FFF2-40B4-BE49-F238E27FC236}">
              <a16:creationId xmlns:a16="http://schemas.microsoft.com/office/drawing/2014/main" id="{03E58AD4-1C43-41E8-9DC3-C764C1B292CE}"/>
            </a:ext>
          </a:extLst>
        </xdr:cNvPr>
        <xdr:cNvCxnSpPr>
          <a:cxnSpLocks/>
          <a:stCxn id="1511" idx="3"/>
          <a:endCxn id="1495" idx="2"/>
        </xdr:cNvCxnSpPr>
      </xdr:nvCxnSpPr>
      <xdr:spPr>
        <a:xfrm>
          <a:off x="4253191" y="34314117"/>
          <a:ext cx="4792171" cy="225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76030</xdr:colOff>
      <xdr:row>182</xdr:row>
      <xdr:rowOff>76829</xdr:rowOff>
    </xdr:from>
    <xdr:to>
      <xdr:col>7</xdr:col>
      <xdr:colOff>67635</xdr:colOff>
      <xdr:row>185</xdr:row>
      <xdr:rowOff>45789</xdr:rowOff>
    </xdr:to>
    <xdr:sp macro="" textlink="">
      <xdr:nvSpPr>
        <xdr:cNvPr id="1498" name="フローチャート: 定義済み処理 9">
          <a:extLst>
            <a:ext uri="{FF2B5EF4-FFF2-40B4-BE49-F238E27FC236}">
              <a16:creationId xmlns:a16="http://schemas.microsoft.com/office/drawing/2014/main" id="{2C3C5747-4ED4-425A-9D0F-7E33E33A0FFF}"/>
            </a:ext>
          </a:extLst>
        </xdr:cNvPr>
        <xdr:cNvSpPr/>
      </xdr:nvSpPr>
      <xdr:spPr>
        <a:xfrm>
          <a:off x="3216394" y="26250374"/>
          <a:ext cx="972968" cy="4885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26715</xdr:colOff>
      <xdr:row>182</xdr:row>
      <xdr:rowOff>38033</xdr:rowOff>
    </xdr:from>
    <xdr:to>
      <xdr:col>7</xdr:col>
      <xdr:colOff>126139</xdr:colOff>
      <xdr:row>185</xdr:row>
      <xdr:rowOff>66838</xdr:rowOff>
    </xdr:to>
    <xdr:sp macro="" textlink="">
      <xdr:nvSpPr>
        <xdr:cNvPr id="1499" name="正方形/長方形 48">
          <a:extLst>
            <a:ext uri="{FF2B5EF4-FFF2-40B4-BE49-F238E27FC236}">
              <a16:creationId xmlns:a16="http://schemas.microsoft.com/office/drawing/2014/main" id="{8EEF85F4-4E8E-49B7-B501-6E8DDC002AEC}"/>
            </a:ext>
          </a:extLst>
        </xdr:cNvPr>
        <xdr:cNvSpPr/>
      </xdr:nvSpPr>
      <xdr:spPr>
        <a:xfrm>
          <a:off x="3167079" y="26211578"/>
          <a:ext cx="1080787"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取得</a:t>
          </a:r>
          <a:br>
            <a:rPr kumimoji="1" lang="en-US" altLang="ja-JP" sz="900"/>
          </a:br>
          <a:r>
            <a:rPr kumimoji="1" lang="ja-JP" altLang="en-US" sz="900"/>
            <a:t>承認申請</a:t>
          </a:r>
        </a:p>
      </xdr:txBody>
    </xdr:sp>
    <xdr:clientData/>
  </xdr:twoCellAnchor>
  <xdr:twoCellAnchor>
    <xdr:from>
      <xdr:col>4</xdr:col>
      <xdr:colOff>171619</xdr:colOff>
      <xdr:row>185</xdr:row>
      <xdr:rowOff>45788</xdr:rowOff>
    </xdr:from>
    <xdr:to>
      <xdr:col>11</xdr:col>
      <xdr:colOff>194357</xdr:colOff>
      <xdr:row>188</xdr:row>
      <xdr:rowOff>110602</xdr:rowOff>
    </xdr:to>
    <xdr:cxnSp macro="">
      <xdr:nvCxnSpPr>
        <xdr:cNvPr id="1500" name="コネクタ: カギ線 1499">
          <a:extLst>
            <a:ext uri="{FF2B5EF4-FFF2-40B4-BE49-F238E27FC236}">
              <a16:creationId xmlns:a16="http://schemas.microsoft.com/office/drawing/2014/main" id="{BCD5B818-61FE-4E96-83E8-258043D3A2CB}"/>
            </a:ext>
          </a:extLst>
        </xdr:cNvPr>
        <xdr:cNvCxnSpPr>
          <a:stCxn id="1498" idx="2"/>
          <a:endCxn id="1502" idx="0"/>
        </xdr:cNvCxnSpPr>
      </xdr:nvCxnSpPr>
      <xdr:spPr>
        <a:xfrm rot="16200000" flipH="1">
          <a:off x="4110672" y="26332735"/>
          <a:ext cx="584359" cy="13966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76031</xdr:colOff>
      <xdr:row>188</xdr:row>
      <xdr:rowOff>150224</xdr:rowOff>
    </xdr:from>
    <xdr:to>
      <xdr:col>14</xdr:col>
      <xdr:colOff>67636</xdr:colOff>
      <xdr:row>191</xdr:row>
      <xdr:rowOff>118359</xdr:rowOff>
    </xdr:to>
    <xdr:sp macro="" textlink="">
      <xdr:nvSpPr>
        <xdr:cNvPr id="1501" name="フローチャート: 定義済み処理 9">
          <a:extLst>
            <a:ext uri="{FF2B5EF4-FFF2-40B4-BE49-F238E27FC236}">
              <a16:creationId xmlns:a16="http://schemas.microsoft.com/office/drawing/2014/main" id="{BEFEA53E-C183-4ACF-861D-C64C78F34B01}"/>
            </a:ext>
          </a:extLst>
        </xdr:cNvPr>
        <xdr:cNvSpPr/>
      </xdr:nvSpPr>
      <xdr:spPr>
        <a:xfrm>
          <a:off x="4590304" y="27362860"/>
          <a:ext cx="972968" cy="48768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44858</xdr:colOff>
      <xdr:row>188</xdr:row>
      <xdr:rowOff>110603</xdr:rowOff>
    </xdr:from>
    <xdr:to>
      <xdr:col>14</xdr:col>
      <xdr:colOff>144282</xdr:colOff>
      <xdr:row>191</xdr:row>
      <xdr:rowOff>140233</xdr:rowOff>
    </xdr:to>
    <xdr:sp macro="" textlink="">
      <xdr:nvSpPr>
        <xdr:cNvPr id="1502" name="正方形/長方形 48">
          <a:extLst>
            <a:ext uri="{FF2B5EF4-FFF2-40B4-BE49-F238E27FC236}">
              <a16:creationId xmlns:a16="http://schemas.microsoft.com/office/drawing/2014/main" id="{C172942B-24CB-42D4-AE1D-F9D32CB80807}"/>
            </a:ext>
          </a:extLst>
        </xdr:cNvPr>
        <xdr:cNvSpPr/>
      </xdr:nvSpPr>
      <xdr:spPr>
        <a:xfrm>
          <a:off x="4559131" y="27323239"/>
          <a:ext cx="1080787" cy="5491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取得の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11</xdr:col>
      <xdr:colOff>193312</xdr:colOff>
      <xdr:row>191</xdr:row>
      <xdr:rowOff>140233</xdr:rowOff>
    </xdr:from>
    <xdr:to>
      <xdr:col>11</xdr:col>
      <xdr:colOff>194356</xdr:colOff>
      <xdr:row>193</xdr:row>
      <xdr:rowOff>119789</xdr:rowOff>
    </xdr:to>
    <xdr:cxnSp macro="">
      <xdr:nvCxnSpPr>
        <xdr:cNvPr id="1503" name="直線矢印コネクタ 27">
          <a:extLst>
            <a:ext uri="{FF2B5EF4-FFF2-40B4-BE49-F238E27FC236}">
              <a16:creationId xmlns:a16="http://schemas.microsoft.com/office/drawing/2014/main" id="{4601ADC2-2EB1-4115-80BD-DAAFBE8D023B}"/>
            </a:ext>
          </a:extLst>
        </xdr:cNvPr>
        <xdr:cNvCxnSpPr>
          <a:cxnSpLocks/>
          <a:stCxn id="1502" idx="2"/>
          <a:endCxn id="1506" idx="0"/>
        </xdr:cNvCxnSpPr>
      </xdr:nvCxnSpPr>
      <xdr:spPr>
        <a:xfrm flipH="1">
          <a:off x="5100130" y="27872415"/>
          <a:ext cx="1044" cy="32591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73725</xdr:colOff>
      <xdr:row>193</xdr:row>
      <xdr:rowOff>109142</xdr:rowOff>
    </xdr:from>
    <xdr:to>
      <xdr:col>14</xdr:col>
      <xdr:colOff>113327</xdr:colOff>
      <xdr:row>196</xdr:row>
      <xdr:rowOff>117167</xdr:rowOff>
    </xdr:to>
    <xdr:grpSp>
      <xdr:nvGrpSpPr>
        <xdr:cNvPr id="1504" name="グループ化 1503">
          <a:extLst>
            <a:ext uri="{FF2B5EF4-FFF2-40B4-BE49-F238E27FC236}">
              <a16:creationId xmlns:a16="http://schemas.microsoft.com/office/drawing/2014/main" id="{94C77D80-D0F4-41B7-8B6D-4588E82D2AAF}"/>
            </a:ext>
          </a:extLst>
        </xdr:cNvPr>
        <xdr:cNvGrpSpPr/>
      </xdr:nvGrpSpPr>
      <xdr:grpSpPr>
        <a:xfrm>
          <a:off x="1702500" y="33360917"/>
          <a:ext cx="944477" cy="522375"/>
          <a:chOff x="287474" y="4845794"/>
          <a:chExt cx="1021504" cy="505814"/>
        </a:xfrm>
      </xdr:grpSpPr>
      <xdr:sp macro="" textlink="">
        <xdr:nvSpPr>
          <xdr:cNvPr id="1505" name="フローチャート: 判断 1504">
            <a:extLst>
              <a:ext uri="{FF2B5EF4-FFF2-40B4-BE49-F238E27FC236}">
                <a16:creationId xmlns:a16="http://schemas.microsoft.com/office/drawing/2014/main" id="{2DC339B4-7AFE-09FF-17C1-68250E417E73}"/>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06" name="正方形/長方形 48">
            <a:extLst>
              <a:ext uri="{FF2B5EF4-FFF2-40B4-BE49-F238E27FC236}">
                <a16:creationId xmlns:a16="http://schemas.microsoft.com/office/drawing/2014/main" id="{966C9CF6-52DB-C8E0-2D24-B6566201ED3C}"/>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12</xdr:col>
      <xdr:colOff>14040</xdr:colOff>
      <xdr:row>196</xdr:row>
      <xdr:rowOff>81322</xdr:rowOff>
    </xdr:from>
    <xdr:to>
      <xdr:col>14</xdr:col>
      <xdr:colOff>65108</xdr:colOff>
      <xdr:row>197</xdr:row>
      <xdr:rowOff>127155</xdr:rowOff>
    </xdr:to>
    <xdr:sp macro="" textlink="">
      <xdr:nvSpPr>
        <xdr:cNvPr id="1507" name="テキスト ボックス 1506">
          <a:extLst>
            <a:ext uri="{FF2B5EF4-FFF2-40B4-BE49-F238E27FC236}">
              <a16:creationId xmlns:a16="http://schemas.microsoft.com/office/drawing/2014/main" id="{21A59371-50B7-4BAD-8B95-5A02A9E7B5FE}"/>
            </a:ext>
          </a:extLst>
        </xdr:cNvPr>
        <xdr:cNvSpPr txBox="1"/>
      </xdr:nvSpPr>
      <xdr:spPr>
        <a:xfrm>
          <a:off x="5117131" y="28679413"/>
          <a:ext cx="443613"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7</xdr:col>
      <xdr:colOff>111985</xdr:colOff>
      <xdr:row>193</xdr:row>
      <xdr:rowOff>32590</xdr:rowOff>
    </xdr:from>
    <xdr:to>
      <xdr:col>11</xdr:col>
      <xdr:colOff>50868</xdr:colOff>
      <xdr:row>194</xdr:row>
      <xdr:rowOff>133201</xdr:rowOff>
    </xdr:to>
    <xdr:sp macro="" textlink="">
      <xdr:nvSpPr>
        <xdr:cNvPr id="1508" name="テキスト ボックス 1507">
          <a:extLst>
            <a:ext uri="{FF2B5EF4-FFF2-40B4-BE49-F238E27FC236}">
              <a16:creationId xmlns:a16="http://schemas.microsoft.com/office/drawing/2014/main" id="{3067E965-6F2E-4A7B-96DB-6C205468E7DE}"/>
            </a:ext>
          </a:extLst>
        </xdr:cNvPr>
        <xdr:cNvSpPr txBox="1"/>
      </xdr:nvSpPr>
      <xdr:spPr>
        <a:xfrm>
          <a:off x="4233712" y="28111135"/>
          <a:ext cx="723974" cy="273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187310</xdr:colOff>
      <xdr:row>196</xdr:row>
      <xdr:rowOff>95110</xdr:rowOff>
    </xdr:from>
    <xdr:to>
      <xdr:col>11</xdr:col>
      <xdr:colOff>193391</xdr:colOff>
      <xdr:row>205</xdr:row>
      <xdr:rowOff>7886</xdr:rowOff>
    </xdr:to>
    <xdr:cxnSp macro="">
      <xdr:nvCxnSpPr>
        <xdr:cNvPr id="1509" name="直線矢印コネクタ 1508">
          <a:extLst>
            <a:ext uri="{FF2B5EF4-FFF2-40B4-BE49-F238E27FC236}">
              <a16:creationId xmlns:a16="http://schemas.microsoft.com/office/drawing/2014/main" id="{D19DAD78-B9F5-47D6-A162-740EA1CDC10B}"/>
            </a:ext>
          </a:extLst>
        </xdr:cNvPr>
        <xdr:cNvCxnSpPr>
          <a:cxnSpLocks/>
          <a:stCxn id="1505" idx="2"/>
          <a:endCxn id="1515" idx="0"/>
        </xdr:cNvCxnSpPr>
      </xdr:nvCxnSpPr>
      <xdr:spPr>
        <a:xfrm>
          <a:off x="5094128" y="28693201"/>
          <a:ext cx="6081" cy="147141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188912</xdr:colOff>
      <xdr:row>195</xdr:row>
      <xdr:rowOff>15948</xdr:rowOff>
    </xdr:from>
    <xdr:to>
      <xdr:col>9</xdr:col>
      <xdr:colOff>155814</xdr:colOff>
      <xdr:row>199</xdr:row>
      <xdr:rowOff>23519</xdr:rowOff>
    </xdr:to>
    <xdr:cxnSp macro="">
      <xdr:nvCxnSpPr>
        <xdr:cNvPr id="1510" name="コネクタ: カギ線 1509">
          <a:extLst>
            <a:ext uri="{FF2B5EF4-FFF2-40B4-BE49-F238E27FC236}">
              <a16:creationId xmlns:a16="http://schemas.microsoft.com/office/drawing/2014/main" id="{2B3618F7-5D4D-44F9-B121-F8F42C8413CE}"/>
            </a:ext>
          </a:extLst>
        </xdr:cNvPr>
        <xdr:cNvCxnSpPr>
          <a:stCxn id="1505" idx="1"/>
          <a:endCxn id="1512" idx="0"/>
        </xdr:cNvCxnSpPr>
      </xdr:nvCxnSpPr>
      <xdr:spPr>
        <a:xfrm rot="10800000" flipV="1">
          <a:off x="3721821" y="28440857"/>
          <a:ext cx="948266" cy="700298"/>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70586</xdr:colOff>
      <xdr:row>199</xdr:row>
      <xdr:rowOff>62315</xdr:rowOff>
    </xdr:from>
    <xdr:to>
      <xdr:col>7</xdr:col>
      <xdr:colOff>62191</xdr:colOff>
      <xdr:row>202</xdr:row>
      <xdr:rowOff>31276</xdr:rowOff>
    </xdr:to>
    <xdr:sp macro="" textlink="">
      <xdr:nvSpPr>
        <xdr:cNvPr id="1511" name="フローチャート: 定義済み処理 9">
          <a:extLst>
            <a:ext uri="{FF2B5EF4-FFF2-40B4-BE49-F238E27FC236}">
              <a16:creationId xmlns:a16="http://schemas.microsoft.com/office/drawing/2014/main" id="{6A091DDC-44E2-4D98-AEB9-A328A35E73F5}"/>
            </a:ext>
          </a:extLst>
        </xdr:cNvPr>
        <xdr:cNvSpPr/>
      </xdr:nvSpPr>
      <xdr:spPr>
        <a:xfrm>
          <a:off x="3210950" y="29179951"/>
          <a:ext cx="972968" cy="4885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39413</xdr:colOff>
      <xdr:row>199</xdr:row>
      <xdr:rowOff>23519</xdr:rowOff>
    </xdr:from>
    <xdr:to>
      <xdr:col>7</xdr:col>
      <xdr:colOff>138837</xdr:colOff>
      <xdr:row>202</xdr:row>
      <xdr:rowOff>52325</xdr:rowOff>
    </xdr:to>
    <xdr:sp macro="" textlink="">
      <xdr:nvSpPr>
        <xdr:cNvPr id="1512" name="正方形/長方形 48">
          <a:extLst>
            <a:ext uri="{FF2B5EF4-FFF2-40B4-BE49-F238E27FC236}">
              <a16:creationId xmlns:a16="http://schemas.microsoft.com/office/drawing/2014/main" id="{3CAD9EF4-7E3E-4D64-8151-CC8FDED5C4A9}"/>
            </a:ext>
          </a:extLst>
        </xdr:cNvPr>
        <xdr:cNvSpPr/>
      </xdr:nvSpPr>
      <xdr:spPr>
        <a:xfrm>
          <a:off x="3179777" y="29141155"/>
          <a:ext cx="1080787" cy="54835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9.</a:t>
          </a:r>
          <a:r>
            <a:rPr kumimoji="1" lang="ja-JP" altLang="en-US" sz="900"/>
            <a:t>不備修正</a:t>
          </a:r>
        </a:p>
      </xdr:txBody>
    </xdr:sp>
    <xdr:clientData/>
  </xdr:twoCellAnchor>
  <xdr:twoCellAnchor>
    <xdr:from>
      <xdr:col>2</xdr:col>
      <xdr:colOff>39412</xdr:colOff>
      <xdr:row>183</xdr:row>
      <xdr:rowOff>148313</xdr:rowOff>
    </xdr:from>
    <xdr:to>
      <xdr:col>2</xdr:col>
      <xdr:colOff>76029</xdr:colOff>
      <xdr:row>200</xdr:row>
      <xdr:rowOff>124102</xdr:rowOff>
    </xdr:to>
    <xdr:cxnSp macro="">
      <xdr:nvCxnSpPr>
        <xdr:cNvPr id="1513" name="コネクタ: カギ線 1512">
          <a:extLst>
            <a:ext uri="{FF2B5EF4-FFF2-40B4-BE49-F238E27FC236}">
              <a16:creationId xmlns:a16="http://schemas.microsoft.com/office/drawing/2014/main" id="{95D00B36-FB65-48AB-9A00-E78FAD6CC6F2}"/>
            </a:ext>
          </a:extLst>
        </xdr:cNvPr>
        <xdr:cNvCxnSpPr>
          <a:stCxn id="1512" idx="1"/>
          <a:endCxn id="1498" idx="1"/>
        </xdr:cNvCxnSpPr>
      </xdr:nvCxnSpPr>
      <xdr:spPr>
        <a:xfrm rot="10800000" flipH="1">
          <a:off x="3179776" y="26495040"/>
          <a:ext cx="36617" cy="2919880"/>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6424</xdr:colOff>
      <xdr:row>195</xdr:row>
      <xdr:rowOff>50731</xdr:rowOff>
    </xdr:from>
    <xdr:to>
      <xdr:col>10</xdr:col>
      <xdr:colOff>144644</xdr:colOff>
      <xdr:row>196</xdr:row>
      <xdr:rowOff>152663</xdr:rowOff>
    </xdr:to>
    <xdr:sp macro="" textlink="">
      <xdr:nvSpPr>
        <xdr:cNvPr id="1514" name="テキスト ボックス 1513">
          <a:extLst>
            <a:ext uri="{FF2B5EF4-FFF2-40B4-BE49-F238E27FC236}">
              <a16:creationId xmlns:a16="http://schemas.microsoft.com/office/drawing/2014/main" id="{D0B0A325-BAEA-42B1-8821-50CD10E748D0}"/>
            </a:ext>
          </a:extLst>
        </xdr:cNvPr>
        <xdr:cNvSpPr txBox="1"/>
      </xdr:nvSpPr>
      <xdr:spPr>
        <a:xfrm>
          <a:off x="3735606" y="28475640"/>
          <a:ext cx="1119583" cy="275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9</xdr:col>
      <xdr:colOff>97803</xdr:colOff>
      <xdr:row>205</xdr:row>
      <xdr:rowOff>7886</xdr:rowOff>
    </xdr:from>
    <xdr:to>
      <xdr:col>14</xdr:col>
      <xdr:colOff>89408</xdr:colOff>
      <xdr:row>207</xdr:row>
      <xdr:rowOff>150029</xdr:rowOff>
    </xdr:to>
    <xdr:sp macro="" textlink="">
      <xdr:nvSpPr>
        <xdr:cNvPr id="1515" name="フローチャート: 定義済み処理 9">
          <a:extLst>
            <a:ext uri="{FF2B5EF4-FFF2-40B4-BE49-F238E27FC236}">
              <a16:creationId xmlns:a16="http://schemas.microsoft.com/office/drawing/2014/main" id="{C6A2E84C-7309-4AF1-B5BC-D2B02FD10E16}"/>
            </a:ext>
          </a:extLst>
        </xdr:cNvPr>
        <xdr:cNvSpPr/>
      </xdr:nvSpPr>
      <xdr:spPr>
        <a:xfrm>
          <a:off x="4612076" y="30164613"/>
          <a:ext cx="972968" cy="4885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66630</xdr:colOff>
      <xdr:row>204</xdr:row>
      <xdr:rowOff>142272</xdr:rowOff>
    </xdr:from>
    <xdr:to>
      <xdr:col>14</xdr:col>
      <xdr:colOff>166054</xdr:colOff>
      <xdr:row>207</xdr:row>
      <xdr:rowOff>171078</xdr:rowOff>
    </xdr:to>
    <xdr:sp macro="" textlink="">
      <xdr:nvSpPr>
        <xdr:cNvPr id="1516" name="正方形/長方形 48">
          <a:extLst>
            <a:ext uri="{FF2B5EF4-FFF2-40B4-BE49-F238E27FC236}">
              <a16:creationId xmlns:a16="http://schemas.microsoft.com/office/drawing/2014/main" id="{C35B63E9-C1D8-44FE-A651-450E54E659A6}"/>
            </a:ext>
          </a:extLst>
        </xdr:cNvPr>
        <xdr:cNvSpPr/>
      </xdr:nvSpPr>
      <xdr:spPr>
        <a:xfrm>
          <a:off x="4580903" y="30125817"/>
          <a:ext cx="1080787" cy="54835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自動転記バッチ</a:t>
          </a:r>
        </a:p>
      </xdr:txBody>
    </xdr:sp>
    <xdr:clientData/>
  </xdr:twoCellAnchor>
  <xdr:twoCellAnchor>
    <xdr:from>
      <xdr:col>4</xdr:col>
      <xdr:colOff>167144</xdr:colOff>
      <xdr:row>179</xdr:row>
      <xdr:rowOff>149306</xdr:rowOff>
    </xdr:from>
    <xdr:to>
      <xdr:col>4</xdr:col>
      <xdr:colOff>171618</xdr:colOff>
      <xdr:row>182</xdr:row>
      <xdr:rowOff>76829</xdr:rowOff>
    </xdr:to>
    <xdr:cxnSp macro="">
      <xdr:nvCxnSpPr>
        <xdr:cNvPr id="1517" name="直線矢印コネクタ 27">
          <a:extLst>
            <a:ext uri="{FF2B5EF4-FFF2-40B4-BE49-F238E27FC236}">
              <a16:creationId xmlns:a16="http://schemas.microsoft.com/office/drawing/2014/main" id="{A67DD267-7F35-4563-8A0F-889573ACBAC2}"/>
            </a:ext>
          </a:extLst>
        </xdr:cNvPr>
        <xdr:cNvCxnSpPr>
          <a:cxnSpLocks/>
          <a:stCxn id="1461" idx="2"/>
          <a:endCxn id="1498" idx="0"/>
        </xdr:cNvCxnSpPr>
      </xdr:nvCxnSpPr>
      <xdr:spPr>
        <a:xfrm>
          <a:off x="3700053" y="25803306"/>
          <a:ext cx="4474" cy="44706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85103</xdr:colOff>
      <xdr:row>182</xdr:row>
      <xdr:rowOff>31473</xdr:rowOff>
    </xdr:from>
    <xdr:to>
      <xdr:col>21</xdr:col>
      <xdr:colOff>76708</xdr:colOff>
      <xdr:row>185</xdr:row>
      <xdr:rowOff>433</xdr:rowOff>
    </xdr:to>
    <xdr:sp macro="" textlink="">
      <xdr:nvSpPr>
        <xdr:cNvPr id="1518" name="フローチャート: 定義済み処理 9">
          <a:extLst>
            <a:ext uri="{FF2B5EF4-FFF2-40B4-BE49-F238E27FC236}">
              <a16:creationId xmlns:a16="http://schemas.microsoft.com/office/drawing/2014/main" id="{4D5DEBD9-5A13-4C19-BA46-36F10207D72F}"/>
            </a:ext>
          </a:extLst>
        </xdr:cNvPr>
        <xdr:cNvSpPr/>
      </xdr:nvSpPr>
      <xdr:spPr>
        <a:xfrm>
          <a:off x="5973285" y="26205018"/>
          <a:ext cx="972968" cy="4885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35788</xdr:colOff>
      <xdr:row>181</xdr:row>
      <xdr:rowOff>165858</xdr:rowOff>
    </xdr:from>
    <xdr:to>
      <xdr:col>21</xdr:col>
      <xdr:colOff>135212</xdr:colOff>
      <xdr:row>185</xdr:row>
      <xdr:rowOff>21482</xdr:rowOff>
    </xdr:to>
    <xdr:sp macro="" textlink="">
      <xdr:nvSpPr>
        <xdr:cNvPr id="1519" name="正方形/長方形 48">
          <a:extLst>
            <a:ext uri="{FF2B5EF4-FFF2-40B4-BE49-F238E27FC236}">
              <a16:creationId xmlns:a16="http://schemas.microsoft.com/office/drawing/2014/main" id="{1211EAE3-6FD8-4379-ADED-77C23538D460}"/>
            </a:ext>
          </a:extLst>
        </xdr:cNvPr>
        <xdr:cNvSpPr/>
      </xdr:nvSpPr>
      <xdr:spPr>
        <a:xfrm>
          <a:off x="5923970" y="26166222"/>
          <a:ext cx="1080787"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取得</a:t>
          </a:r>
          <a:br>
            <a:rPr kumimoji="1" lang="en-US" altLang="ja-JP" sz="900"/>
          </a:br>
          <a:r>
            <a:rPr kumimoji="1" lang="ja-JP" altLang="en-US" sz="900"/>
            <a:t>承認申請</a:t>
          </a:r>
        </a:p>
      </xdr:txBody>
    </xdr:sp>
    <xdr:clientData/>
  </xdr:twoCellAnchor>
  <xdr:twoCellAnchor>
    <xdr:from>
      <xdr:col>18</xdr:col>
      <xdr:colOff>180692</xdr:colOff>
      <xdr:row>185</xdr:row>
      <xdr:rowOff>432</xdr:rowOff>
    </xdr:from>
    <xdr:to>
      <xdr:col>26</xdr:col>
      <xdr:colOff>7157</xdr:colOff>
      <xdr:row>188</xdr:row>
      <xdr:rowOff>65246</xdr:rowOff>
    </xdr:to>
    <xdr:cxnSp macro="">
      <xdr:nvCxnSpPr>
        <xdr:cNvPr id="1520" name="コネクタ: カギ線 1519">
          <a:extLst>
            <a:ext uri="{FF2B5EF4-FFF2-40B4-BE49-F238E27FC236}">
              <a16:creationId xmlns:a16="http://schemas.microsoft.com/office/drawing/2014/main" id="{A4074242-D460-44C3-8F58-A77D54745402}"/>
            </a:ext>
          </a:extLst>
        </xdr:cNvPr>
        <xdr:cNvCxnSpPr>
          <a:stCxn id="1518" idx="2"/>
          <a:endCxn id="1522" idx="0"/>
        </xdr:cNvCxnSpPr>
      </xdr:nvCxnSpPr>
      <xdr:spPr>
        <a:xfrm rot="16200000" flipH="1">
          <a:off x="6867563" y="26287379"/>
          <a:ext cx="584359" cy="13966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85104</xdr:colOff>
      <xdr:row>188</xdr:row>
      <xdr:rowOff>104043</xdr:rowOff>
    </xdr:from>
    <xdr:to>
      <xdr:col>28</xdr:col>
      <xdr:colOff>76709</xdr:colOff>
      <xdr:row>191</xdr:row>
      <xdr:rowOff>73003</xdr:rowOff>
    </xdr:to>
    <xdr:sp macro="" textlink="">
      <xdr:nvSpPr>
        <xdr:cNvPr id="1521" name="フローチャート: 定義済み処理 9">
          <a:extLst>
            <a:ext uri="{FF2B5EF4-FFF2-40B4-BE49-F238E27FC236}">
              <a16:creationId xmlns:a16="http://schemas.microsoft.com/office/drawing/2014/main" id="{E54D498B-75E5-4630-A0B2-06886CB048C7}"/>
            </a:ext>
          </a:extLst>
        </xdr:cNvPr>
        <xdr:cNvSpPr/>
      </xdr:nvSpPr>
      <xdr:spPr>
        <a:xfrm>
          <a:off x="7347195" y="27316679"/>
          <a:ext cx="972969" cy="4885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53931</xdr:colOff>
      <xdr:row>188</xdr:row>
      <xdr:rowOff>65247</xdr:rowOff>
    </xdr:from>
    <xdr:to>
      <xdr:col>28</xdr:col>
      <xdr:colOff>153355</xdr:colOff>
      <xdr:row>191</xdr:row>
      <xdr:rowOff>94052</xdr:rowOff>
    </xdr:to>
    <xdr:sp macro="" textlink="">
      <xdr:nvSpPr>
        <xdr:cNvPr id="1522" name="正方形/長方形 48">
          <a:extLst>
            <a:ext uri="{FF2B5EF4-FFF2-40B4-BE49-F238E27FC236}">
              <a16:creationId xmlns:a16="http://schemas.microsoft.com/office/drawing/2014/main" id="{75F5FB58-D1BF-47A9-81E8-786C43ED3DF0}"/>
            </a:ext>
          </a:extLst>
        </xdr:cNvPr>
        <xdr:cNvSpPr/>
      </xdr:nvSpPr>
      <xdr:spPr>
        <a:xfrm>
          <a:off x="7316022" y="27277883"/>
          <a:ext cx="1080788"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取得の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26</xdr:col>
      <xdr:colOff>6112</xdr:colOff>
      <xdr:row>191</xdr:row>
      <xdr:rowOff>94052</xdr:rowOff>
    </xdr:from>
    <xdr:to>
      <xdr:col>26</xdr:col>
      <xdr:colOff>7156</xdr:colOff>
      <xdr:row>193</xdr:row>
      <xdr:rowOff>74433</xdr:rowOff>
    </xdr:to>
    <xdr:cxnSp macro="">
      <xdr:nvCxnSpPr>
        <xdr:cNvPr id="1523" name="直線矢印コネクタ 27">
          <a:extLst>
            <a:ext uri="{FF2B5EF4-FFF2-40B4-BE49-F238E27FC236}">
              <a16:creationId xmlns:a16="http://schemas.microsoft.com/office/drawing/2014/main" id="{46F7C166-46FF-4A0D-94C6-FCCEA186CE7E}"/>
            </a:ext>
          </a:extLst>
        </xdr:cNvPr>
        <xdr:cNvCxnSpPr>
          <a:cxnSpLocks/>
          <a:stCxn id="1522" idx="2"/>
          <a:endCxn id="1526" idx="0"/>
        </xdr:cNvCxnSpPr>
      </xdr:nvCxnSpPr>
      <xdr:spPr>
        <a:xfrm flipH="1">
          <a:off x="7857021" y="27826234"/>
          <a:ext cx="1044" cy="3267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82798</xdr:colOff>
      <xdr:row>193</xdr:row>
      <xdr:rowOff>63786</xdr:rowOff>
    </xdr:from>
    <xdr:to>
      <xdr:col>28</xdr:col>
      <xdr:colOff>122400</xdr:colOff>
      <xdr:row>196</xdr:row>
      <xdr:rowOff>71811</xdr:rowOff>
    </xdr:to>
    <xdr:grpSp>
      <xdr:nvGrpSpPr>
        <xdr:cNvPr id="1524" name="グループ化 1523">
          <a:extLst>
            <a:ext uri="{FF2B5EF4-FFF2-40B4-BE49-F238E27FC236}">
              <a16:creationId xmlns:a16="http://schemas.microsoft.com/office/drawing/2014/main" id="{1C18A94B-404D-4086-A6F1-0C00447FE33B}"/>
            </a:ext>
          </a:extLst>
        </xdr:cNvPr>
        <xdr:cNvGrpSpPr/>
      </xdr:nvGrpSpPr>
      <xdr:grpSpPr>
        <a:xfrm>
          <a:off x="4245223" y="33315561"/>
          <a:ext cx="944477" cy="522375"/>
          <a:chOff x="287474" y="4845794"/>
          <a:chExt cx="1021504" cy="505814"/>
        </a:xfrm>
      </xdr:grpSpPr>
      <xdr:sp macro="" textlink="">
        <xdr:nvSpPr>
          <xdr:cNvPr id="1525" name="フローチャート: 判断 1524">
            <a:extLst>
              <a:ext uri="{FF2B5EF4-FFF2-40B4-BE49-F238E27FC236}">
                <a16:creationId xmlns:a16="http://schemas.microsoft.com/office/drawing/2014/main" id="{D15EBBE9-E2E6-D795-A3DF-CE498EED2327}"/>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26" name="正方形/長方形 48">
            <a:extLst>
              <a:ext uri="{FF2B5EF4-FFF2-40B4-BE49-F238E27FC236}">
                <a16:creationId xmlns:a16="http://schemas.microsoft.com/office/drawing/2014/main" id="{FDFCCF0C-F790-E233-037C-AAF12C223C21}"/>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19815</xdr:colOff>
      <xdr:row>196</xdr:row>
      <xdr:rowOff>35966</xdr:rowOff>
    </xdr:from>
    <xdr:to>
      <xdr:col>28</xdr:col>
      <xdr:colOff>74181</xdr:colOff>
      <xdr:row>197</xdr:row>
      <xdr:rowOff>81799</xdr:rowOff>
    </xdr:to>
    <xdr:sp macro="" textlink="">
      <xdr:nvSpPr>
        <xdr:cNvPr id="1527" name="テキスト ボックス 1526">
          <a:extLst>
            <a:ext uri="{FF2B5EF4-FFF2-40B4-BE49-F238E27FC236}">
              <a16:creationId xmlns:a16="http://schemas.microsoft.com/office/drawing/2014/main" id="{4E03A26F-4176-42C5-B2CD-2C87525C0D1E}"/>
            </a:ext>
          </a:extLst>
        </xdr:cNvPr>
        <xdr:cNvSpPr txBox="1"/>
      </xdr:nvSpPr>
      <xdr:spPr>
        <a:xfrm>
          <a:off x="7870724" y="28634057"/>
          <a:ext cx="446912"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121058</xdr:colOff>
      <xdr:row>192</xdr:row>
      <xdr:rowOff>160415</xdr:rowOff>
    </xdr:from>
    <xdr:to>
      <xdr:col>25</xdr:col>
      <xdr:colOff>59941</xdr:colOff>
      <xdr:row>194</xdr:row>
      <xdr:rowOff>87020</xdr:rowOff>
    </xdr:to>
    <xdr:sp macro="" textlink="">
      <xdr:nvSpPr>
        <xdr:cNvPr id="1528" name="テキスト ボックス 1527">
          <a:extLst>
            <a:ext uri="{FF2B5EF4-FFF2-40B4-BE49-F238E27FC236}">
              <a16:creationId xmlns:a16="http://schemas.microsoft.com/office/drawing/2014/main" id="{F1EA534F-D102-47BD-9DED-FB980A4E4004}"/>
            </a:ext>
          </a:extLst>
        </xdr:cNvPr>
        <xdr:cNvSpPr txBox="1"/>
      </xdr:nvSpPr>
      <xdr:spPr>
        <a:xfrm>
          <a:off x="6990603" y="28065779"/>
          <a:ext cx="723974" cy="27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110</xdr:colOff>
      <xdr:row>196</xdr:row>
      <xdr:rowOff>49754</xdr:rowOff>
    </xdr:from>
    <xdr:to>
      <xdr:col>26</xdr:col>
      <xdr:colOff>6191</xdr:colOff>
      <xdr:row>204</xdr:row>
      <xdr:rowOff>135712</xdr:rowOff>
    </xdr:to>
    <xdr:cxnSp macro="">
      <xdr:nvCxnSpPr>
        <xdr:cNvPr id="1529" name="直線矢印コネクタ 1528">
          <a:extLst>
            <a:ext uri="{FF2B5EF4-FFF2-40B4-BE49-F238E27FC236}">
              <a16:creationId xmlns:a16="http://schemas.microsoft.com/office/drawing/2014/main" id="{E69EFB8E-B36D-4184-B5C1-5F8555861F1A}"/>
            </a:ext>
          </a:extLst>
        </xdr:cNvPr>
        <xdr:cNvCxnSpPr>
          <a:cxnSpLocks/>
          <a:stCxn id="1525" idx="2"/>
          <a:endCxn id="1535" idx="0"/>
        </xdr:cNvCxnSpPr>
      </xdr:nvCxnSpPr>
      <xdr:spPr>
        <a:xfrm>
          <a:off x="7851019" y="28647845"/>
          <a:ext cx="6081" cy="147141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1712</xdr:colOff>
      <xdr:row>194</xdr:row>
      <xdr:rowOff>143774</xdr:rowOff>
    </xdr:from>
    <xdr:to>
      <xdr:col>23</xdr:col>
      <xdr:colOff>164887</xdr:colOff>
      <xdr:row>198</xdr:row>
      <xdr:rowOff>151344</xdr:rowOff>
    </xdr:to>
    <xdr:cxnSp macro="">
      <xdr:nvCxnSpPr>
        <xdr:cNvPr id="1530" name="コネクタ: カギ線 1529">
          <a:extLst>
            <a:ext uri="{FF2B5EF4-FFF2-40B4-BE49-F238E27FC236}">
              <a16:creationId xmlns:a16="http://schemas.microsoft.com/office/drawing/2014/main" id="{55DE4B7A-70F7-4C27-AAE4-3AA40AC2BCCE}"/>
            </a:ext>
          </a:extLst>
        </xdr:cNvPr>
        <xdr:cNvCxnSpPr>
          <a:stCxn id="1525" idx="1"/>
          <a:endCxn id="1532" idx="0"/>
        </xdr:cNvCxnSpPr>
      </xdr:nvCxnSpPr>
      <xdr:spPr>
        <a:xfrm rot="10800000" flipV="1">
          <a:off x="6478712" y="28395501"/>
          <a:ext cx="948266" cy="700298"/>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79659</xdr:colOff>
      <xdr:row>199</xdr:row>
      <xdr:rowOff>16959</xdr:rowOff>
    </xdr:from>
    <xdr:to>
      <xdr:col>21</xdr:col>
      <xdr:colOff>71264</xdr:colOff>
      <xdr:row>201</xdr:row>
      <xdr:rowOff>159102</xdr:rowOff>
    </xdr:to>
    <xdr:sp macro="" textlink="">
      <xdr:nvSpPr>
        <xdr:cNvPr id="1531" name="フローチャート: 定義済み処理 9">
          <a:extLst>
            <a:ext uri="{FF2B5EF4-FFF2-40B4-BE49-F238E27FC236}">
              <a16:creationId xmlns:a16="http://schemas.microsoft.com/office/drawing/2014/main" id="{7F3CFFBF-DFCF-4136-8556-899D06DBFDD3}"/>
            </a:ext>
          </a:extLst>
        </xdr:cNvPr>
        <xdr:cNvSpPr/>
      </xdr:nvSpPr>
      <xdr:spPr>
        <a:xfrm>
          <a:off x="5967841" y="29134595"/>
          <a:ext cx="972968" cy="4885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48486</xdr:colOff>
      <xdr:row>198</xdr:row>
      <xdr:rowOff>151344</xdr:rowOff>
    </xdr:from>
    <xdr:to>
      <xdr:col>21</xdr:col>
      <xdr:colOff>147910</xdr:colOff>
      <xdr:row>202</xdr:row>
      <xdr:rowOff>6969</xdr:rowOff>
    </xdr:to>
    <xdr:sp macro="" textlink="">
      <xdr:nvSpPr>
        <xdr:cNvPr id="1532" name="正方形/長方形 48">
          <a:extLst>
            <a:ext uri="{FF2B5EF4-FFF2-40B4-BE49-F238E27FC236}">
              <a16:creationId xmlns:a16="http://schemas.microsoft.com/office/drawing/2014/main" id="{7EB884D0-43F1-4B3B-BEEE-7B2430064FD3}"/>
            </a:ext>
          </a:extLst>
        </xdr:cNvPr>
        <xdr:cNvSpPr/>
      </xdr:nvSpPr>
      <xdr:spPr>
        <a:xfrm>
          <a:off x="5936668" y="29095799"/>
          <a:ext cx="1080787" cy="54835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9.</a:t>
          </a:r>
          <a:r>
            <a:rPr kumimoji="1" lang="ja-JP" altLang="en-US" sz="900"/>
            <a:t>不備修正</a:t>
          </a:r>
        </a:p>
      </xdr:txBody>
    </xdr:sp>
    <xdr:clientData/>
  </xdr:twoCellAnchor>
  <xdr:twoCellAnchor>
    <xdr:from>
      <xdr:col>16</xdr:col>
      <xdr:colOff>48485</xdr:colOff>
      <xdr:row>183</xdr:row>
      <xdr:rowOff>102133</xdr:rowOff>
    </xdr:from>
    <xdr:to>
      <xdr:col>16</xdr:col>
      <xdr:colOff>85102</xdr:colOff>
      <xdr:row>200</xdr:row>
      <xdr:rowOff>78746</xdr:rowOff>
    </xdr:to>
    <xdr:cxnSp macro="">
      <xdr:nvCxnSpPr>
        <xdr:cNvPr id="1533" name="コネクタ: カギ線 1532">
          <a:extLst>
            <a:ext uri="{FF2B5EF4-FFF2-40B4-BE49-F238E27FC236}">
              <a16:creationId xmlns:a16="http://schemas.microsoft.com/office/drawing/2014/main" id="{4448EAE4-BA56-4E17-96D6-BD784E73E0EF}"/>
            </a:ext>
          </a:extLst>
        </xdr:cNvPr>
        <xdr:cNvCxnSpPr>
          <a:stCxn id="1532" idx="1"/>
          <a:endCxn id="1518" idx="1"/>
        </xdr:cNvCxnSpPr>
      </xdr:nvCxnSpPr>
      <xdr:spPr>
        <a:xfrm rot="10800000" flipH="1">
          <a:off x="5936667" y="26448860"/>
          <a:ext cx="36617" cy="2920704"/>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15498</xdr:colOff>
      <xdr:row>195</xdr:row>
      <xdr:rowOff>5374</xdr:rowOff>
    </xdr:from>
    <xdr:to>
      <xdr:col>25</xdr:col>
      <xdr:colOff>17645</xdr:colOff>
      <xdr:row>196</xdr:row>
      <xdr:rowOff>129571</xdr:rowOff>
    </xdr:to>
    <xdr:sp macro="" textlink="">
      <xdr:nvSpPr>
        <xdr:cNvPr id="1534" name="テキスト ボックス 1533">
          <a:extLst>
            <a:ext uri="{FF2B5EF4-FFF2-40B4-BE49-F238E27FC236}">
              <a16:creationId xmlns:a16="http://schemas.microsoft.com/office/drawing/2014/main" id="{87D8636F-6AF5-4ECD-A04E-439046625D07}"/>
            </a:ext>
          </a:extLst>
        </xdr:cNvPr>
        <xdr:cNvSpPr txBox="1"/>
      </xdr:nvSpPr>
      <xdr:spPr>
        <a:xfrm>
          <a:off x="6492498" y="28430283"/>
          <a:ext cx="1179783" cy="297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106876</xdr:colOff>
      <xdr:row>204</xdr:row>
      <xdr:rowOff>135712</xdr:rowOff>
    </xdr:from>
    <xdr:to>
      <xdr:col>28</xdr:col>
      <xdr:colOff>98481</xdr:colOff>
      <xdr:row>207</xdr:row>
      <xdr:rowOff>103848</xdr:rowOff>
    </xdr:to>
    <xdr:sp macro="" textlink="">
      <xdr:nvSpPr>
        <xdr:cNvPr id="1535" name="フローチャート: 定義済み処理 9">
          <a:extLst>
            <a:ext uri="{FF2B5EF4-FFF2-40B4-BE49-F238E27FC236}">
              <a16:creationId xmlns:a16="http://schemas.microsoft.com/office/drawing/2014/main" id="{581BCA23-4C84-4E3B-9C40-CDDC83090E91}"/>
            </a:ext>
          </a:extLst>
        </xdr:cNvPr>
        <xdr:cNvSpPr/>
      </xdr:nvSpPr>
      <xdr:spPr>
        <a:xfrm>
          <a:off x="7368967" y="30119257"/>
          <a:ext cx="972969" cy="4876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57561</xdr:colOff>
      <xdr:row>204</xdr:row>
      <xdr:rowOff>96092</xdr:rowOff>
    </xdr:from>
    <xdr:to>
      <xdr:col>28</xdr:col>
      <xdr:colOff>156985</xdr:colOff>
      <xdr:row>207</xdr:row>
      <xdr:rowOff>124897</xdr:rowOff>
    </xdr:to>
    <xdr:sp macro="" textlink="">
      <xdr:nvSpPr>
        <xdr:cNvPr id="1536" name="正方形/長方形 48">
          <a:extLst>
            <a:ext uri="{FF2B5EF4-FFF2-40B4-BE49-F238E27FC236}">
              <a16:creationId xmlns:a16="http://schemas.microsoft.com/office/drawing/2014/main" id="{891816D6-CA10-4DDA-9FBC-9E1B79A003F8}"/>
            </a:ext>
          </a:extLst>
        </xdr:cNvPr>
        <xdr:cNvSpPr/>
      </xdr:nvSpPr>
      <xdr:spPr>
        <a:xfrm>
          <a:off x="7319652" y="30079637"/>
          <a:ext cx="1080788"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自動転記バッチ</a:t>
          </a:r>
        </a:p>
      </xdr:txBody>
    </xdr:sp>
    <xdr:clientData/>
  </xdr:twoCellAnchor>
  <xdr:twoCellAnchor>
    <xdr:from>
      <xdr:col>18</xdr:col>
      <xdr:colOff>178140</xdr:colOff>
      <xdr:row>179</xdr:row>
      <xdr:rowOff>115029</xdr:rowOff>
    </xdr:from>
    <xdr:to>
      <xdr:col>18</xdr:col>
      <xdr:colOff>180691</xdr:colOff>
      <xdr:row>182</xdr:row>
      <xdr:rowOff>31473</xdr:rowOff>
    </xdr:to>
    <xdr:cxnSp macro="">
      <xdr:nvCxnSpPr>
        <xdr:cNvPr id="1537" name="直線矢印コネクタ 27">
          <a:extLst>
            <a:ext uri="{FF2B5EF4-FFF2-40B4-BE49-F238E27FC236}">
              <a16:creationId xmlns:a16="http://schemas.microsoft.com/office/drawing/2014/main" id="{7091B9A1-7507-4789-AAF7-5A61F1D190E7}"/>
            </a:ext>
          </a:extLst>
        </xdr:cNvPr>
        <xdr:cNvCxnSpPr>
          <a:cxnSpLocks/>
          <a:stCxn id="1397" idx="2"/>
          <a:endCxn id="1518" idx="0"/>
        </xdr:cNvCxnSpPr>
      </xdr:nvCxnSpPr>
      <xdr:spPr>
        <a:xfrm>
          <a:off x="6458867" y="25769029"/>
          <a:ext cx="2551" cy="43598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41560</xdr:colOff>
      <xdr:row>218</xdr:row>
      <xdr:rowOff>33286</xdr:rowOff>
    </xdr:from>
    <xdr:to>
      <xdr:col>21</xdr:col>
      <xdr:colOff>33165</xdr:colOff>
      <xdr:row>221</xdr:row>
      <xdr:rowOff>2247</xdr:rowOff>
    </xdr:to>
    <xdr:sp macro="" textlink="">
      <xdr:nvSpPr>
        <xdr:cNvPr id="1539" name="フローチャート: 定義済み処理 9">
          <a:extLst>
            <a:ext uri="{FF2B5EF4-FFF2-40B4-BE49-F238E27FC236}">
              <a16:creationId xmlns:a16="http://schemas.microsoft.com/office/drawing/2014/main" id="{00BB4D38-E7F8-4847-9CB8-7D7796986A30}"/>
            </a:ext>
          </a:extLst>
        </xdr:cNvPr>
        <xdr:cNvSpPr/>
      </xdr:nvSpPr>
      <xdr:spPr>
        <a:xfrm>
          <a:off x="5929742" y="32441377"/>
          <a:ext cx="972968" cy="4885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4614</xdr:colOff>
      <xdr:row>217</xdr:row>
      <xdr:rowOff>167671</xdr:rowOff>
    </xdr:from>
    <xdr:to>
      <xdr:col>21</xdr:col>
      <xdr:colOff>100739</xdr:colOff>
      <xdr:row>221</xdr:row>
      <xdr:rowOff>23295</xdr:rowOff>
    </xdr:to>
    <xdr:sp macro="" textlink="">
      <xdr:nvSpPr>
        <xdr:cNvPr id="1540" name="正方形/長方形 48">
          <a:extLst>
            <a:ext uri="{FF2B5EF4-FFF2-40B4-BE49-F238E27FC236}">
              <a16:creationId xmlns:a16="http://schemas.microsoft.com/office/drawing/2014/main" id="{2DA083CB-BD90-423E-B2EC-CF2444E82EBA}"/>
            </a:ext>
          </a:extLst>
        </xdr:cNvPr>
        <xdr:cNvSpPr/>
      </xdr:nvSpPr>
      <xdr:spPr>
        <a:xfrm>
          <a:off x="5892796" y="32402580"/>
          <a:ext cx="1077488"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11.</a:t>
          </a:r>
          <a:r>
            <a:rPr kumimoji="1" lang="ja-JP" altLang="en-US" sz="900"/>
            <a:t>取得内容確認</a:t>
          </a:r>
        </a:p>
      </xdr:txBody>
    </xdr:sp>
    <xdr:clientData/>
  </xdr:twoCellAnchor>
  <xdr:twoCellAnchor>
    <xdr:from>
      <xdr:col>12</xdr:col>
      <xdr:colOff>19856</xdr:colOff>
      <xdr:row>207</xdr:row>
      <xdr:rowOff>171077</xdr:rowOff>
    </xdr:from>
    <xdr:to>
      <xdr:col>16</xdr:col>
      <xdr:colOff>4615</xdr:colOff>
      <xdr:row>219</xdr:row>
      <xdr:rowOff>95070</xdr:rowOff>
    </xdr:to>
    <xdr:cxnSp macro="">
      <xdr:nvCxnSpPr>
        <xdr:cNvPr id="1541" name="コネクタ: カギ線 1540">
          <a:extLst>
            <a:ext uri="{FF2B5EF4-FFF2-40B4-BE49-F238E27FC236}">
              <a16:creationId xmlns:a16="http://schemas.microsoft.com/office/drawing/2014/main" id="{5977E48E-EFC4-4212-86E0-F0F1CEA88F55}"/>
            </a:ext>
          </a:extLst>
        </xdr:cNvPr>
        <xdr:cNvCxnSpPr>
          <a:stCxn id="1516" idx="2"/>
          <a:endCxn id="1540" idx="1"/>
        </xdr:cNvCxnSpPr>
      </xdr:nvCxnSpPr>
      <xdr:spPr>
        <a:xfrm rot="16200000" flipH="1">
          <a:off x="4506784" y="31290331"/>
          <a:ext cx="2002175" cy="76985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4543</xdr:colOff>
      <xdr:row>207</xdr:row>
      <xdr:rowOff>103848</xdr:rowOff>
    </xdr:from>
    <xdr:to>
      <xdr:col>26</xdr:col>
      <xdr:colOff>15530</xdr:colOff>
      <xdr:row>240</xdr:row>
      <xdr:rowOff>112630</xdr:rowOff>
    </xdr:to>
    <xdr:cxnSp macro="">
      <xdr:nvCxnSpPr>
        <xdr:cNvPr id="1542" name="直線矢印コネクタ 1541">
          <a:extLst>
            <a:ext uri="{FF2B5EF4-FFF2-40B4-BE49-F238E27FC236}">
              <a16:creationId xmlns:a16="http://schemas.microsoft.com/office/drawing/2014/main" id="{56B7AE57-2EBE-48F0-B437-EA198D10A644}"/>
            </a:ext>
          </a:extLst>
        </xdr:cNvPr>
        <xdr:cNvCxnSpPr>
          <a:cxnSpLocks/>
          <a:stCxn id="1535" idx="2"/>
          <a:endCxn id="1543" idx="0"/>
        </xdr:cNvCxnSpPr>
      </xdr:nvCxnSpPr>
      <xdr:spPr>
        <a:xfrm>
          <a:off x="7855452" y="30606939"/>
          <a:ext cx="10987" cy="57237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56403</xdr:colOff>
      <xdr:row>240</xdr:row>
      <xdr:rowOff>112630</xdr:rowOff>
    </xdr:from>
    <xdr:to>
      <xdr:col>27</xdr:col>
      <xdr:colOff>170929</xdr:colOff>
      <xdr:row>242</xdr:row>
      <xdr:rowOff>36533</xdr:rowOff>
    </xdr:to>
    <xdr:sp macro="" textlink="">
      <xdr:nvSpPr>
        <xdr:cNvPr id="1543" name="フローチャート: 端子 26">
          <a:extLst>
            <a:ext uri="{FF2B5EF4-FFF2-40B4-BE49-F238E27FC236}">
              <a16:creationId xmlns:a16="http://schemas.microsoft.com/office/drawing/2014/main" id="{9FBD3B4B-00AD-41D9-B976-D75B2B2937FD}"/>
            </a:ext>
          </a:extLst>
        </xdr:cNvPr>
        <xdr:cNvSpPr/>
      </xdr:nvSpPr>
      <xdr:spPr>
        <a:xfrm>
          <a:off x="7514767" y="36330721"/>
          <a:ext cx="703344" cy="27026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16</xdr:col>
      <xdr:colOff>38529</xdr:colOff>
      <xdr:row>223</xdr:row>
      <xdr:rowOff>123656</xdr:rowOff>
    </xdr:from>
    <xdr:to>
      <xdr:col>21</xdr:col>
      <xdr:colOff>78131</xdr:colOff>
      <xdr:row>226</xdr:row>
      <xdr:rowOff>132505</xdr:rowOff>
    </xdr:to>
    <xdr:grpSp>
      <xdr:nvGrpSpPr>
        <xdr:cNvPr id="1544" name="グループ化 1543">
          <a:extLst>
            <a:ext uri="{FF2B5EF4-FFF2-40B4-BE49-F238E27FC236}">
              <a16:creationId xmlns:a16="http://schemas.microsoft.com/office/drawing/2014/main" id="{3D179E42-8CFD-4C59-98E7-7868AA9E6247}"/>
            </a:ext>
          </a:extLst>
        </xdr:cNvPr>
        <xdr:cNvGrpSpPr/>
      </xdr:nvGrpSpPr>
      <xdr:grpSpPr>
        <a:xfrm>
          <a:off x="2934129" y="38518931"/>
          <a:ext cx="944477" cy="523199"/>
          <a:chOff x="287474" y="4845794"/>
          <a:chExt cx="1021504" cy="505814"/>
        </a:xfrm>
      </xdr:grpSpPr>
      <xdr:sp macro="" textlink="">
        <xdr:nvSpPr>
          <xdr:cNvPr id="1545" name="フローチャート: 判断 1544">
            <a:extLst>
              <a:ext uri="{FF2B5EF4-FFF2-40B4-BE49-F238E27FC236}">
                <a16:creationId xmlns:a16="http://schemas.microsoft.com/office/drawing/2014/main" id="{DA8D54DF-F21E-9C20-78A4-ECAFB96092DE}"/>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546" name="正方形/長方形 48">
            <a:extLst>
              <a:ext uri="{FF2B5EF4-FFF2-40B4-BE49-F238E27FC236}">
                <a16:creationId xmlns:a16="http://schemas.microsoft.com/office/drawing/2014/main" id="{CE3DF13B-21DB-A033-13A6-8EA336FDE28E}"/>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最終確認</a:t>
            </a:r>
          </a:p>
        </xdr:txBody>
      </xdr:sp>
    </xdr:grpSp>
    <xdr:clientData/>
  </xdr:twoCellAnchor>
  <xdr:twoCellAnchor>
    <xdr:from>
      <xdr:col>18</xdr:col>
      <xdr:colOff>175117</xdr:colOff>
      <xdr:row>226</xdr:row>
      <xdr:rowOff>95835</xdr:rowOff>
    </xdr:from>
    <xdr:to>
      <xdr:col>21</xdr:col>
      <xdr:colOff>29912</xdr:colOff>
      <xdr:row>227</xdr:row>
      <xdr:rowOff>142493</xdr:rowOff>
    </xdr:to>
    <xdr:sp macro="" textlink="">
      <xdr:nvSpPr>
        <xdr:cNvPr id="1547" name="テキスト ボックス 1546">
          <a:extLst>
            <a:ext uri="{FF2B5EF4-FFF2-40B4-BE49-F238E27FC236}">
              <a16:creationId xmlns:a16="http://schemas.microsoft.com/office/drawing/2014/main" id="{20B00386-A514-48B2-A506-702179D09D2E}"/>
            </a:ext>
          </a:extLst>
        </xdr:cNvPr>
        <xdr:cNvSpPr txBox="1"/>
      </xdr:nvSpPr>
      <xdr:spPr>
        <a:xfrm>
          <a:off x="6455844" y="33889380"/>
          <a:ext cx="443613" cy="21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OK</a:t>
          </a:r>
          <a:endParaRPr kumimoji="1" lang="ja-JP" altLang="en-US" sz="900"/>
        </a:p>
      </xdr:txBody>
    </xdr:sp>
    <xdr:clientData/>
  </xdr:twoCellAnchor>
  <xdr:twoCellAnchor>
    <xdr:from>
      <xdr:col>14</xdr:col>
      <xdr:colOff>30609</xdr:colOff>
      <xdr:row>223</xdr:row>
      <xdr:rowOff>30611</xdr:rowOff>
    </xdr:from>
    <xdr:to>
      <xdr:col>17</xdr:col>
      <xdr:colOff>165764</xdr:colOff>
      <xdr:row>224</xdr:row>
      <xdr:rowOff>141116</xdr:rowOff>
    </xdr:to>
    <xdr:sp macro="" textlink="">
      <xdr:nvSpPr>
        <xdr:cNvPr id="1548" name="テキスト ボックス 1547">
          <a:extLst>
            <a:ext uri="{FF2B5EF4-FFF2-40B4-BE49-F238E27FC236}">
              <a16:creationId xmlns:a16="http://schemas.microsoft.com/office/drawing/2014/main" id="{42EC888C-5762-4F4A-8437-0F24979B45DC}"/>
            </a:ext>
          </a:extLst>
        </xdr:cNvPr>
        <xdr:cNvSpPr txBox="1"/>
      </xdr:nvSpPr>
      <xdr:spPr>
        <a:xfrm>
          <a:off x="5526245" y="33304611"/>
          <a:ext cx="723974" cy="28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NG</a:t>
          </a:r>
          <a:endParaRPr kumimoji="1" lang="ja-JP" altLang="en-US" sz="900"/>
        </a:p>
      </xdr:txBody>
    </xdr:sp>
    <xdr:clientData/>
  </xdr:twoCellAnchor>
  <xdr:twoCellAnchor>
    <xdr:from>
      <xdr:col>18</xdr:col>
      <xdr:colOff>152114</xdr:colOff>
      <xdr:row>226</xdr:row>
      <xdr:rowOff>109623</xdr:rowOff>
    </xdr:from>
    <xdr:to>
      <xdr:col>18</xdr:col>
      <xdr:colOff>165622</xdr:colOff>
      <xdr:row>240</xdr:row>
      <xdr:rowOff>110604</xdr:rowOff>
    </xdr:to>
    <xdr:cxnSp macro="">
      <xdr:nvCxnSpPr>
        <xdr:cNvPr id="1549" name="直線矢印コネクタ 1548">
          <a:extLst>
            <a:ext uri="{FF2B5EF4-FFF2-40B4-BE49-F238E27FC236}">
              <a16:creationId xmlns:a16="http://schemas.microsoft.com/office/drawing/2014/main" id="{316E0A8D-2245-4803-A09F-FCBC857794E5}"/>
            </a:ext>
          </a:extLst>
        </xdr:cNvPr>
        <xdr:cNvCxnSpPr>
          <a:cxnSpLocks/>
          <a:stCxn id="1545" idx="2"/>
          <a:endCxn id="1552" idx="0"/>
        </xdr:cNvCxnSpPr>
      </xdr:nvCxnSpPr>
      <xdr:spPr>
        <a:xfrm>
          <a:off x="6432841" y="33903168"/>
          <a:ext cx="13508" cy="242552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99048</xdr:colOff>
      <xdr:row>225</xdr:row>
      <xdr:rowOff>30855</xdr:rowOff>
    </xdr:from>
    <xdr:to>
      <xdr:col>16</xdr:col>
      <xdr:colOff>120617</xdr:colOff>
      <xdr:row>229</xdr:row>
      <xdr:rowOff>22399</xdr:rowOff>
    </xdr:to>
    <xdr:cxnSp macro="">
      <xdr:nvCxnSpPr>
        <xdr:cNvPr id="1550" name="コネクタ: カギ線 1549">
          <a:extLst>
            <a:ext uri="{FF2B5EF4-FFF2-40B4-BE49-F238E27FC236}">
              <a16:creationId xmlns:a16="http://schemas.microsoft.com/office/drawing/2014/main" id="{306EA564-18CF-4103-8464-FBB2F4A0678C}"/>
            </a:ext>
          </a:extLst>
        </xdr:cNvPr>
        <xdr:cNvCxnSpPr>
          <a:stCxn id="1545" idx="1"/>
          <a:endCxn id="1556" idx="0"/>
        </xdr:cNvCxnSpPr>
      </xdr:nvCxnSpPr>
      <xdr:spPr>
        <a:xfrm rot="10800000" flipV="1">
          <a:off x="897334" y="38892855"/>
          <a:ext cx="2416426" cy="68097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150813</xdr:colOff>
      <xdr:row>221</xdr:row>
      <xdr:rowOff>23295</xdr:rowOff>
    </xdr:from>
    <xdr:to>
      <xdr:col>18</xdr:col>
      <xdr:colOff>152114</xdr:colOff>
      <xdr:row>223</xdr:row>
      <xdr:rowOff>123656</xdr:rowOff>
    </xdr:to>
    <xdr:cxnSp macro="">
      <xdr:nvCxnSpPr>
        <xdr:cNvPr id="1551" name="直線矢印コネクタ 1550">
          <a:extLst>
            <a:ext uri="{FF2B5EF4-FFF2-40B4-BE49-F238E27FC236}">
              <a16:creationId xmlns:a16="http://schemas.microsoft.com/office/drawing/2014/main" id="{33644B17-7BD9-4D6A-A093-7D0821B1CDCE}"/>
            </a:ext>
          </a:extLst>
        </xdr:cNvPr>
        <xdr:cNvCxnSpPr>
          <a:cxnSpLocks/>
          <a:stCxn id="1540" idx="2"/>
          <a:endCxn id="1545" idx="0"/>
        </xdr:cNvCxnSpPr>
      </xdr:nvCxnSpPr>
      <xdr:spPr>
        <a:xfrm>
          <a:off x="6431540" y="32950931"/>
          <a:ext cx="1301" cy="4467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11871</xdr:colOff>
      <xdr:row>240</xdr:row>
      <xdr:rowOff>110604</xdr:rowOff>
    </xdr:from>
    <xdr:to>
      <xdr:col>20</xdr:col>
      <xdr:colOff>123099</xdr:colOff>
      <xdr:row>242</xdr:row>
      <xdr:rowOff>35332</xdr:rowOff>
    </xdr:to>
    <xdr:sp macro="" textlink="">
      <xdr:nvSpPr>
        <xdr:cNvPr id="1552" name="フローチャート: 端子 26">
          <a:extLst>
            <a:ext uri="{FF2B5EF4-FFF2-40B4-BE49-F238E27FC236}">
              <a16:creationId xmlns:a16="http://schemas.microsoft.com/office/drawing/2014/main" id="{FD228838-F81D-4947-A8A3-F4E7696EA9C6}"/>
            </a:ext>
          </a:extLst>
        </xdr:cNvPr>
        <xdr:cNvSpPr/>
      </xdr:nvSpPr>
      <xdr:spPr>
        <a:xfrm>
          <a:off x="6096326" y="36328695"/>
          <a:ext cx="700046" cy="27109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19</xdr:col>
      <xdr:colOff>44859</xdr:colOff>
      <xdr:row>220</xdr:row>
      <xdr:rowOff>10817</xdr:rowOff>
    </xdr:from>
    <xdr:to>
      <xdr:col>24</xdr:col>
      <xdr:colOff>108232</xdr:colOff>
      <xdr:row>223</xdr:row>
      <xdr:rowOff>356</xdr:rowOff>
    </xdr:to>
    <xdr:grpSp>
      <xdr:nvGrpSpPr>
        <xdr:cNvPr id="1553" name="グループ化 1552">
          <a:extLst>
            <a:ext uri="{FF2B5EF4-FFF2-40B4-BE49-F238E27FC236}">
              <a16:creationId xmlns:a16="http://schemas.microsoft.com/office/drawing/2014/main" id="{7FEE660E-9702-4B6F-A8FC-5A0D45C3A0AC}"/>
            </a:ext>
          </a:extLst>
        </xdr:cNvPr>
        <xdr:cNvGrpSpPr>
          <a:grpSpLocks noChangeAspect="1"/>
        </xdr:cNvGrpSpPr>
      </xdr:nvGrpSpPr>
      <xdr:grpSpPr>
        <a:xfrm>
          <a:off x="3483384" y="37891742"/>
          <a:ext cx="968248" cy="503889"/>
          <a:chOff x="2615259" y="18489765"/>
          <a:chExt cx="1171134" cy="566261"/>
        </a:xfrm>
      </xdr:grpSpPr>
      <xdr:sp macro="" textlink="">
        <xdr:nvSpPr>
          <xdr:cNvPr id="1554" name="フローチャート: 書類 1553">
            <a:extLst>
              <a:ext uri="{FF2B5EF4-FFF2-40B4-BE49-F238E27FC236}">
                <a16:creationId xmlns:a16="http://schemas.microsoft.com/office/drawing/2014/main" id="{8874BE5B-0935-6705-AECC-73326E6A4CEC}"/>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555" name="正方形/長方形 1554">
            <a:extLst>
              <a:ext uri="{FF2B5EF4-FFF2-40B4-BE49-F238E27FC236}">
                <a16:creationId xmlns:a16="http://schemas.microsoft.com/office/drawing/2014/main" id="{52EE5018-0443-666A-289A-BF567FAE3578}"/>
              </a:ext>
            </a:extLst>
          </xdr:cNvPr>
          <xdr:cNvSpPr/>
        </xdr:nvSpPr>
        <xdr:spPr>
          <a:xfrm>
            <a:off x="2615259" y="18489765"/>
            <a:ext cx="117113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固定資産の取得</a:t>
            </a:r>
            <a:br>
              <a:rPr kumimoji="1" lang="en-US" altLang="ja-JP" sz="900"/>
            </a:br>
            <a:r>
              <a:rPr kumimoji="1" lang="ja-JP" altLang="en-US" sz="900"/>
              <a:t>レポート</a:t>
            </a:r>
          </a:p>
        </xdr:txBody>
      </xdr:sp>
    </xdr:grpSp>
    <xdr:clientData/>
  </xdr:twoCellAnchor>
  <xdr:twoCellAnchor>
    <xdr:from>
      <xdr:col>2</xdr:col>
      <xdr:colOff>3460</xdr:colOff>
      <xdr:row>229</xdr:row>
      <xdr:rowOff>22400</xdr:rowOff>
    </xdr:from>
    <xdr:to>
      <xdr:col>6</xdr:col>
      <xdr:colOff>194636</xdr:colOff>
      <xdr:row>231</xdr:row>
      <xdr:rowOff>163717</xdr:rowOff>
    </xdr:to>
    <xdr:sp macro="" textlink="">
      <xdr:nvSpPr>
        <xdr:cNvPr id="1556" name="フローチャート: 定義済み処理 9">
          <a:extLst>
            <a:ext uri="{FF2B5EF4-FFF2-40B4-BE49-F238E27FC236}">
              <a16:creationId xmlns:a16="http://schemas.microsoft.com/office/drawing/2014/main" id="{4122DD8C-6F19-43AE-B1C4-6376252435E3}"/>
            </a:ext>
          </a:extLst>
        </xdr:cNvPr>
        <xdr:cNvSpPr/>
      </xdr:nvSpPr>
      <xdr:spPr>
        <a:xfrm>
          <a:off x="402603" y="39573829"/>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162787</xdr:colOff>
      <xdr:row>228</xdr:row>
      <xdr:rowOff>155961</xdr:rowOff>
    </xdr:from>
    <xdr:to>
      <xdr:col>7</xdr:col>
      <xdr:colOff>62639</xdr:colOff>
      <xdr:row>232</xdr:row>
      <xdr:rowOff>12408</xdr:rowOff>
    </xdr:to>
    <xdr:sp macro="" textlink="">
      <xdr:nvSpPr>
        <xdr:cNvPr id="1557" name="正方形/長方形 48">
          <a:extLst>
            <a:ext uri="{FF2B5EF4-FFF2-40B4-BE49-F238E27FC236}">
              <a16:creationId xmlns:a16="http://schemas.microsoft.com/office/drawing/2014/main" id="{8D0736EC-2B78-4351-AFA7-921FCDA4C4D0}"/>
            </a:ext>
          </a:extLst>
        </xdr:cNvPr>
        <xdr:cNvSpPr/>
      </xdr:nvSpPr>
      <xdr:spPr>
        <a:xfrm>
          <a:off x="362358" y="39535032"/>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12.</a:t>
          </a:r>
          <a:r>
            <a:rPr kumimoji="1" lang="ja-JP" altLang="en-US" sz="900"/>
            <a:t>仕訳帳</a:t>
          </a:r>
          <a:br>
            <a:rPr kumimoji="1" lang="en-US" altLang="ja-JP" sz="900"/>
          </a:br>
          <a:r>
            <a:rPr kumimoji="1" lang="ja-JP" altLang="en-US" sz="900"/>
            <a:t>全体の取消</a:t>
          </a:r>
        </a:p>
      </xdr:txBody>
    </xdr:sp>
    <xdr:clientData/>
  </xdr:twoCellAnchor>
  <xdr:twoCellAnchor>
    <xdr:from>
      <xdr:col>8</xdr:col>
      <xdr:colOff>14056</xdr:colOff>
      <xdr:row>185</xdr:row>
      <xdr:rowOff>16619</xdr:rowOff>
    </xdr:from>
    <xdr:to>
      <xdr:col>13</xdr:col>
      <xdr:colOff>193136</xdr:colOff>
      <xdr:row>186</xdr:row>
      <xdr:rowOff>74153</xdr:rowOff>
    </xdr:to>
    <xdr:sp macro="" textlink="">
      <xdr:nvSpPr>
        <xdr:cNvPr id="1559" name="テキスト ボックス 1558">
          <a:extLst>
            <a:ext uri="{FF2B5EF4-FFF2-40B4-BE49-F238E27FC236}">
              <a16:creationId xmlns:a16="http://schemas.microsoft.com/office/drawing/2014/main" id="{39E341B0-853F-4E39-8FF9-8FDC4DB40944}"/>
            </a:ext>
          </a:extLst>
        </xdr:cNvPr>
        <xdr:cNvSpPr txBox="1"/>
      </xdr:nvSpPr>
      <xdr:spPr>
        <a:xfrm>
          <a:off x="4332056" y="26709710"/>
          <a:ext cx="1160444" cy="23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22</xdr:col>
      <xdr:colOff>4820</xdr:colOff>
      <xdr:row>184</xdr:row>
      <xdr:rowOff>169019</xdr:rowOff>
    </xdr:from>
    <xdr:to>
      <xdr:col>27</xdr:col>
      <xdr:colOff>183900</xdr:colOff>
      <xdr:row>186</xdr:row>
      <xdr:rowOff>53371</xdr:rowOff>
    </xdr:to>
    <xdr:sp macro="" textlink="">
      <xdr:nvSpPr>
        <xdr:cNvPr id="1560" name="テキスト ボックス 1559">
          <a:extLst>
            <a:ext uri="{FF2B5EF4-FFF2-40B4-BE49-F238E27FC236}">
              <a16:creationId xmlns:a16="http://schemas.microsoft.com/office/drawing/2014/main" id="{4DB569E0-1715-41BC-99A2-DFCC2FA6219B}"/>
            </a:ext>
          </a:extLst>
        </xdr:cNvPr>
        <xdr:cNvSpPr txBox="1"/>
      </xdr:nvSpPr>
      <xdr:spPr>
        <a:xfrm>
          <a:off x="7070638" y="26688928"/>
          <a:ext cx="1160444" cy="23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30</xdr:col>
      <xdr:colOff>170900</xdr:colOff>
      <xdr:row>229</xdr:row>
      <xdr:rowOff>25662</xdr:rowOff>
    </xdr:from>
    <xdr:to>
      <xdr:col>34</xdr:col>
      <xdr:colOff>148234</xdr:colOff>
      <xdr:row>232</xdr:row>
      <xdr:rowOff>133197</xdr:rowOff>
    </xdr:to>
    <xdr:grpSp>
      <xdr:nvGrpSpPr>
        <xdr:cNvPr id="1561" name="グループ化 92">
          <a:extLst>
            <a:ext uri="{FF2B5EF4-FFF2-40B4-BE49-F238E27FC236}">
              <a16:creationId xmlns:a16="http://schemas.microsoft.com/office/drawing/2014/main" id="{73F948F4-8F9E-4494-A1D8-A8BB2089203B}"/>
            </a:ext>
          </a:extLst>
        </xdr:cNvPr>
        <xdr:cNvGrpSpPr/>
      </xdr:nvGrpSpPr>
      <xdr:grpSpPr>
        <a:xfrm>
          <a:off x="5600150" y="39449637"/>
          <a:ext cx="701234" cy="621885"/>
          <a:chOff x="7144737" y="2892425"/>
          <a:chExt cx="763434" cy="597682"/>
        </a:xfrm>
      </xdr:grpSpPr>
      <xdr:sp macro="" textlink="">
        <xdr:nvSpPr>
          <xdr:cNvPr id="1562" name="フローチャート: 磁気ディスク 93">
            <a:extLst>
              <a:ext uri="{FF2B5EF4-FFF2-40B4-BE49-F238E27FC236}">
                <a16:creationId xmlns:a16="http://schemas.microsoft.com/office/drawing/2014/main" id="{269C5E8A-3F99-50E6-A71E-965160A4F2A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63" name="正方形/長方形 94">
            <a:extLst>
              <a:ext uri="{FF2B5EF4-FFF2-40B4-BE49-F238E27FC236}">
                <a16:creationId xmlns:a16="http://schemas.microsoft.com/office/drawing/2014/main" id="{9D3515E1-737B-F821-34D2-C5E9D6BFE8E0}"/>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6</xdr:col>
      <xdr:colOff>197811</xdr:colOff>
      <xdr:row>230</xdr:row>
      <xdr:rowOff>93059</xdr:rowOff>
    </xdr:from>
    <xdr:to>
      <xdr:col>31</xdr:col>
      <xdr:colOff>29660</xdr:colOff>
      <xdr:row>230</xdr:row>
      <xdr:rowOff>131713</xdr:rowOff>
    </xdr:to>
    <xdr:cxnSp macro="">
      <xdr:nvCxnSpPr>
        <xdr:cNvPr id="1564" name="直線矢印コネクタ 1563">
          <a:extLst>
            <a:ext uri="{FF2B5EF4-FFF2-40B4-BE49-F238E27FC236}">
              <a16:creationId xmlns:a16="http://schemas.microsoft.com/office/drawing/2014/main" id="{C7196236-909A-468B-9000-69F918589A5D}"/>
            </a:ext>
          </a:extLst>
        </xdr:cNvPr>
        <xdr:cNvCxnSpPr>
          <a:cxnSpLocks/>
          <a:stCxn id="1556" idx="3"/>
          <a:endCxn id="1562" idx="2"/>
        </xdr:cNvCxnSpPr>
      </xdr:nvCxnSpPr>
      <xdr:spPr>
        <a:xfrm>
          <a:off x="1412249" y="38538340"/>
          <a:ext cx="4892005" cy="3865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114189</xdr:colOff>
      <xdr:row>217</xdr:row>
      <xdr:rowOff>141119</xdr:rowOff>
    </xdr:from>
    <xdr:to>
      <xdr:col>34</xdr:col>
      <xdr:colOff>167126</xdr:colOff>
      <xdr:row>221</xdr:row>
      <xdr:rowOff>121265</xdr:rowOff>
    </xdr:to>
    <xdr:grpSp>
      <xdr:nvGrpSpPr>
        <xdr:cNvPr id="1565" name="グループ化 170">
          <a:extLst>
            <a:ext uri="{FF2B5EF4-FFF2-40B4-BE49-F238E27FC236}">
              <a16:creationId xmlns:a16="http://schemas.microsoft.com/office/drawing/2014/main" id="{FB9879CC-D484-4E72-B262-17A25E542A73}"/>
            </a:ext>
          </a:extLst>
        </xdr:cNvPr>
        <xdr:cNvGrpSpPr>
          <a:grpSpLocks noChangeAspect="1"/>
        </xdr:cNvGrpSpPr>
      </xdr:nvGrpSpPr>
      <xdr:grpSpPr>
        <a:xfrm>
          <a:off x="5543439" y="37507694"/>
          <a:ext cx="776837" cy="665946"/>
          <a:chOff x="7102989" y="2892424"/>
          <a:chExt cx="873125" cy="603230"/>
        </a:xfrm>
      </xdr:grpSpPr>
      <xdr:sp macro="" textlink="">
        <xdr:nvSpPr>
          <xdr:cNvPr id="1566" name="フローチャート: 磁気ディスク 171">
            <a:extLst>
              <a:ext uri="{FF2B5EF4-FFF2-40B4-BE49-F238E27FC236}">
                <a16:creationId xmlns:a16="http://schemas.microsoft.com/office/drawing/2014/main" id="{A571597D-D385-08D9-BEAB-21ECC8FF8C8C}"/>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67" name="正方形/長方形 172">
            <a:extLst>
              <a:ext uri="{FF2B5EF4-FFF2-40B4-BE49-F238E27FC236}">
                <a16:creationId xmlns:a16="http://schemas.microsoft.com/office/drawing/2014/main" id="{0F59C4DF-8290-23EB-EE64-CF6C3F90F02E}"/>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取得された</a:t>
            </a:r>
            <a:endParaRPr kumimoji="1" lang="en-US" altLang="ja-JP" sz="900"/>
          </a:p>
          <a:p>
            <a:pPr algn="ctr"/>
            <a:r>
              <a:rPr kumimoji="1" lang="ja-JP" altLang="en-US" sz="900"/>
              <a:t>固定資産</a:t>
            </a:r>
          </a:p>
        </xdr:txBody>
      </xdr:sp>
    </xdr:grpSp>
    <xdr:clientData/>
  </xdr:twoCellAnchor>
  <xdr:twoCellAnchor>
    <xdr:from>
      <xdr:col>21</xdr:col>
      <xdr:colOff>29990</xdr:colOff>
      <xdr:row>219</xdr:row>
      <xdr:rowOff>95452</xdr:rowOff>
    </xdr:from>
    <xdr:to>
      <xdr:col>31</xdr:col>
      <xdr:colOff>11647</xdr:colOff>
      <xdr:row>219</xdr:row>
      <xdr:rowOff>99523</xdr:rowOff>
    </xdr:to>
    <xdr:cxnSp macro="">
      <xdr:nvCxnSpPr>
        <xdr:cNvPr id="1568" name="直線矢印コネクタ 1567">
          <a:extLst>
            <a:ext uri="{FF2B5EF4-FFF2-40B4-BE49-F238E27FC236}">
              <a16:creationId xmlns:a16="http://schemas.microsoft.com/office/drawing/2014/main" id="{01EDEE82-9AB9-4EAE-9BFC-341E0BECAA4F}"/>
            </a:ext>
          </a:extLst>
        </xdr:cNvPr>
        <xdr:cNvCxnSpPr>
          <a:stCxn id="1539" idx="3"/>
          <a:endCxn id="1566" idx="2"/>
        </xdr:cNvCxnSpPr>
      </xdr:nvCxnSpPr>
      <xdr:spPr>
        <a:xfrm flipV="1">
          <a:off x="4280521" y="36707171"/>
          <a:ext cx="2005720" cy="40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7323</xdr:colOff>
      <xdr:row>139</xdr:row>
      <xdr:rowOff>152275</xdr:rowOff>
    </xdr:from>
    <xdr:to>
      <xdr:col>21</xdr:col>
      <xdr:colOff>134515</xdr:colOff>
      <xdr:row>143</xdr:row>
      <xdr:rowOff>3229</xdr:rowOff>
    </xdr:to>
    <xdr:grpSp>
      <xdr:nvGrpSpPr>
        <xdr:cNvPr id="1590" name="グループ化 1589">
          <a:extLst>
            <a:ext uri="{FF2B5EF4-FFF2-40B4-BE49-F238E27FC236}">
              <a16:creationId xmlns:a16="http://schemas.microsoft.com/office/drawing/2014/main" id="{28A5B5CF-BE9E-4974-9C6B-04369906F0A3}"/>
            </a:ext>
          </a:extLst>
        </xdr:cNvPr>
        <xdr:cNvGrpSpPr/>
      </xdr:nvGrpSpPr>
      <xdr:grpSpPr>
        <a:xfrm>
          <a:off x="2902923" y="24145750"/>
          <a:ext cx="1032067" cy="536754"/>
          <a:chOff x="1643720" y="2432650"/>
          <a:chExt cx="908902" cy="420662"/>
        </a:xfrm>
      </xdr:grpSpPr>
      <xdr:sp macro="" textlink="">
        <xdr:nvSpPr>
          <xdr:cNvPr id="1591" name="フローチャート: 定義済み処理 1590">
            <a:extLst>
              <a:ext uri="{FF2B5EF4-FFF2-40B4-BE49-F238E27FC236}">
                <a16:creationId xmlns:a16="http://schemas.microsoft.com/office/drawing/2014/main" id="{41ACE26E-90EF-476C-A066-34A0D8393935}"/>
              </a:ext>
            </a:extLst>
          </xdr:cNvPr>
          <xdr:cNvSpPr/>
        </xdr:nvSpPr>
        <xdr:spPr>
          <a:xfrm>
            <a:off x="1682825" y="2459207"/>
            <a:ext cx="820719" cy="37063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92" name="正方形/長方形 48">
            <a:extLst>
              <a:ext uri="{FF2B5EF4-FFF2-40B4-BE49-F238E27FC236}">
                <a16:creationId xmlns:a16="http://schemas.microsoft.com/office/drawing/2014/main" id="{A404E872-F390-326F-C60F-CAB14C7ED482}"/>
              </a:ext>
            </a:extLst>
          </xdr:cNvPr>
          <xdr:cNvSpPr/>
        </xdr:nvSpPr>
        <xdr:spPr>
          <a:xfrm>
            <a:off x="1643720"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建設仮勘定</a:t>
            </a:r>
            <a:endParaRPr kumimoji="1" lang="en-US" altLang="ja-JP" sz="900"/>
          </a:p>
          <a:p>
            <a:pPr algn="ctr"/>
            <a:r>
              <a:rPr kumimoji="1" lang="ja-JP" altLang="en-US" sz="900"/>
              <a:t>仕訳入力</a:t>
            </a:r>
            <a:endParaRPr kumimoji="1" lang="en-US" altLang="ja-JP" sz="900"/>
          </a:p>
        </xdr:txBody>
      </xdr:sp>
    </xdr:grpSp>
    <xdr:clientData/>
  </xdr:twoCellAnchor>
  <xdr:twoCellAnchor>
    <xdr:from>
      <xdr:col>37</xdr:col>
      <xdr:colOff>110426</xdr:colOff>
      <xdr:row>139</xdr:row>
      <xdr:rowOff>136071</xdr:rowOff>
    </xdr:from>
    <xdr:to>
      <xdr:col>41</xdr:col>
      <xdr:colOff>64</xdr:colOff>
      <xdr:row>143</xdr:row>
      <xdr:rowOff>2615</xdr:rowOff>
    </xdr:to>
    <xdr:sp macro="" textlink="">
      <xdr:nvSpPr>
        <xdr:cNvPr id="1593" name="フローチャート: 磁気ディスク 546">
          <a:extLst>
            <a:ext uri="{FF2B5EF4-FFF2-40B4-BE49-F238E27FC236}">
              <a16:creationId xmlns:a16="http://schemas.microsoft.com/office/drawing/2014/main" id="{703928FC-961E-405A-AA03-F82270660BEC}"/>
            </a:ext>
          </a:extLst>
        </xdr:cNvPr>
        <xdr:cNvSpPr/>
      </xdr:nvSpPr>
      <xdr:spPr>
        <a:xfrm>
          <a:off x="10288569" y="21907500"/>
          <a:ext cx="687924" cy="555972"/>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37</xdr:col>
      <xdr:colOff>62590</xdr:colOff>
      <xdr:row>140</xdr:row>
      <xdr:rowOff>60736</xdr:rowOff>
    </xdr:from>
    <xdr:to>
      <xdr:col>41</xdr:col>
      <xdr:colOff>63954</xdr:colOff>
      <xdr:row>143</xdr:row>
      <xdr:rowOff>64898</xdr:rowOff>
    </xdr:to>
    <xdr:sp macro="" textlink="">
      <xdr:nvSpPr>
        <xdr:cNvPr id="1594" name="正方形/長方形 547">
          <a:extLst>
            <a:ext uri="{FF2B5EF4-FFF2-40B4-BE49-F238E27FC236}">
              <a16:creationId xmlns:a16="http://schemas.microsoft.com/office/drawing/2014/main" id="{88322DE0-93DB-4FB1-9968-C34EC217B33E}"/>
            </a:ext>
          </a:extLst>
        </xdr:cNvPr>
        <xdr:cNvSpPr/>
      </xdr:nvSpPr>
      <xdr:spPr>
        <a:xfrm>
          <a:off x="10240733" y="22004522"/>
          <a:ext cx="799650" cy="5212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楽楽精算</a:t>
          </a:r>
          <a:br>
            <a:rPr kumimoji="1" lang="en-US" altLang="ja-JP" sz="900"/>
          </a:br>
          <a:r>
            <a:rPr kumimoji="1" lang="en-US" altLang="ja-JP" sz="900"/>
            <a:t>or BtoB</a:t>
          </a:r>
        </a:p>
      </xdr:txBody>
    </xdr:sp>
    <xdr:clientData/>
  </xdr:twoCellAnchor>
  <xdr:twoCellAnchor>
    <xdr:from>
      <xdr:col>18</xdr:col>
      <xdr:colOff>164533</xdr:colOff>
      <xdr:row>142</xdr:row>
      <xdr:rowOff>145439</xdr:rowOff>
    </xdr:from>
    <xdr:to>
      <xdr:col>18</xdr:col>
      <xdr:colOff>169580</xdr:colOff>
      <xdr:row>144</xdr:row>
      <xdr:rowOff>155033</xdr:rowOff>
    </xdr:to>
    <xdr:cxnSp macro="">
      <xdr:nvCxnSpPr>
        <xdr:cNvPr id="1596" name="直線矢印コネクタ 1595">
          <a:extLst>
            <a:ext uri="{FF2B5EF4-FFF2-40B4-BE49-F238E27FC236}">
              <a16:creationId xmlns:a16="http://schemas.microsoft.com/office/drawing/2014/main" id="{960AB562-8C8F-499B-9E40-5542FBD60940}"/>
            </a:ext>
          </a:extLst>
        </xdr:cNvPr>
        <xdr:cNvCxnSpPr>
          <a:cxnSpLocks/>
          <a:stCxn id="1591" idx="2"/>
          <a:endCxn id="1605" idx="0"/>
        </xdr:cNvCxnSpPr>
      </xdr:nvCxnSpPr>
      <xdr:spPr>
        <a:xfrm>
          <a:off x="6550819" y="22951010"/>
          <a:ext cx="5047" cy="35430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34</xdr:col>
      <xdr:colOff>56243</xdr:colOff>
      <xdr:row>143</xdr:row>
      <xdr:rowOff>64898</xdr:rowOff>
    </xdr:from>
    <xdr:to>
      <xdr:col>39</xdr:col>
      <xdr:colOff>63272</xdr:colOff>
      <xdr:row>147</xdr:row>
      <xdr:rowOff>32677</xdr:rowOff>
    </xdr:to>
    <xdr:cxnSp macro="">
      <xdr:nvCxnSpPr>
        <xdr:cNvPr id="1597" name="コネクタ: カギ線 763">
          <a:extLst>
            <a:ext uri="{FF2B5EF4-FFF2-40B4-BE49-F238E27FC236}">
              <a16:creationId xmlns:a16="http://schemas.microsoft.com/office/drawing/2014/main" id="{F3B9A8AC-2971-4A7C-99D8-0CCF6E41075E}"/>
            </a:ext>
          </a:extLst>
        </xdr:cNvPr>
        <xdr:cNvCxnSpPr>
          <a:stCxn id="1594" idx="2"/>
          <a:endCxn id="1599" idx="3"/>
        </xdr:cNvCxnSpPr>
      </xdr:nvCxnSpPr>
      <xdr:spPr>
        <a:xfrm rot="5400000">
          <a:off x="9809511" y="22351916"/>
          <a:ext cx="657208" cy="1004886"/>
        </a:xfrm>
        <a:prstGeom prst="bentConnector2">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103022</xdr:colOff>
      <xdr:row>145</xdr:row>
      <xdr:rowOff>31925</xdr:rowOff>
    </xdr:from>
    <xdr:to>
      <xdr:col>34</xdr:col>
      <xdr:colOff>68</xdr:colOff>
      <xdr:row>148</xdr:row>
      <xdr:rowOff>72940</xdr:rowOff>
    </xdr:to>
    <xdr:sp macro="" textlink="">
      <xdr:nvSpPr>
        <xdr:cNvPr id="1598" name="フローチャート: 磁気ディスク 502">
          <a:extLst>
            <a:ext uri="{FF2B5EF4-FFF2-40B4-BE49-F238E27FC236}">
              <a16:creationId xmlns:a16="http://schemas.microsoft.com/office/drawing/2014/main" id="{F30464B9-7EAD-4B47-8879-9A86042B068B}"/>
            </a:ext>
          </a:extLst>
        </xdr:cNvPr>
        <xdr:cNvSpPr/>
      </xdr:nvSpPr>
      <xdr:spPr>
        <a:xfrm>
          <a:off x="8884165" y="22837496"/>
          <a:ext cx="695332" cy="558087"/>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clientData/>
  </xdr:twoCellAnchor>
  <xdr:twoCellAnchor>
    <xdr:from>
      <xdr:col>30</xdr:col>
      <xdr:colOff>46265</xdr:colOff>
      <xdr:row>145</xdr:row>
      <xdr:rowOff>118363</xdr:rowOff>
    </xdr:from>
    <xdr:to>
      <xdr:col>34</xdr:col>
      <xdr:colOff>56243</xdr:colOff>
      <xdr:row>148</xdr:row>
      <xdr:rowOff>119348</xdr:rowOff>
    </xdr:to>
    <xdr:sp macro="" textlink="">
      <xdr:nvSpPr>
        <xdr:cNvPr id="1599" name="正方形/長方形 503">
          <a:extLst>
            <a:ext uri="{FF2B5EF4-FFF2-40B4-BE49-F238E27FC236}">
              <a16:creationId xmlns:a16="http://schemas.microsoft.com/office/drawing/2014/main" id="{D17BA257-8DAA-4A74-9E10-878579A8BAF0}"/>
            </a:ext>
          </a:extLst>
        </xdr:cNvPr>
        <xdr:cNvSpPr/>
      </xdr:nvSpPr>
      <xdr:spPr>
        <a:xfrm>
          <a:off x="8827408" y="22923934"/>
          <a:ext cx="808264" cy="51805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clientData/>
  </xdr:twoCellAnchor>
  <xdr:twoCellAnchor>
    <xdr:from>
      <xdr:col>37</xdr:col>
      <xdr:colOff>158754</xdr:colOff>
      <xdr:row>142</xdr:row>
      <xdr:rowOff>106314</xdr:rowOff>
    </xdr:from>
    <xdr:to>
      <xdr:col>43</xdr:col>
      <xdr:colOff>54433</xdr:colOff>
      <xdr:row>145</xdr:row>
      <xdr:rowOff>115442</xdr:rowOff>
    </xdr:to>
    <xdr:grpSp>
      <xdr:nvGrpSpPr>
        <xdr:cNvPr id="1600" name="グループ化 771">
          <a:extLst>
            <a:ext uri="{FF2B5EF4-FFF2-40B4-BE49-F238E27FC236}">
              <a16:creationId xmlns:a16="http://schemas.microsoft.com/office/drawing/2014/main" id="{5E4FEE21-FEC9-4F20-BCF9-AD8C5B25D6FC}"/>
            </a:ext>
          </a:extLst>
        </xdr:cNvPr>
        <xdr:cNvGrpSpPr/>
      </xdr:nvGrpSpPr>
      <xdr:grpSpPr>
        <a:xfrm>
          <a:off x="6854829" y="24614139"/>
          <a:ext cx="981529" cy="523478"/>
          <a:chOff x="4401349" y="5661025"/>
          <a:chExt cx="1006217" cy="529847"/>
        </a:xfrm>
      </xdr:grpSpPr>
      <xdr:sp macro="" textlink="">
        <xdr:nvSpPr>
          <xdr:cNvPr id="1601" name="AutoShape 49">
            <a:extLst>
              <a:ext uri="{FF2B5EF4-FFF2-40B4-BE49-F238E27FC236}">
                <a16:creationId xmlns:a16="http://schemas.microsoft.com/office/drawing/2014/main" id="{83A13EB9-DF46-E7BF-D426-9AB9D8AD5604}"/>
              </a:ext>
            </a:extLst>
          </xdr:cNvPr>
          <xdr:cNvSpPr>
            <a:spLocks noChangeArrowheads="1"/>
          </xdr:cNvSpPr>
        </xdr:nvSpPr>
        <xdr:spPr bwMode="gray">
          <a:xfrm>
            <a:off x="4506324"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1602" name="正方形/長方形 48">
            <a:extLst>
              <a:ext uri="{FF2B5EF4-FFF2-40B4-BE49-F238E27FC236}">
                <a16:creationId xmlns:a16="http://schemas.microsoft.com/office/drawing/2014/main" id="{E88BB852-D27E-3CB8-877A-20BDBAC0C627}"/>
              </a:ext>
            </a:extLst>
          </xdr:cNvPr>
          <xdr:cNvSpPr/>
        </xdr:nvSpPr>
        <xdr:spPr>
          <a:xfrm>
            <a:off x="4401349" y="5661025"/>
            <a:ext cx="1006217" cy="5298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会計伝票</a:t>
            </a:r>
            <a:br>
              <a:rPr kumimoji="1" lang="en-US" altLang="ja-JP" sz="900"/>
            </a:br>
            <a:r>
              <a:rPr kumimoji="1" lang="ja-JP" altLang="en-US" sz="900"/>
              <a:t>情報連携</a:t>
            </a:r>
          </a:p>
        </xdr:txBody>
      </xdr:sp>
    </xdr:grpSp>
    <xdr:clientData/>
  </xdr:twoCellAnchor>
  <xdr:twoCellAnchor>
    <xdr:from>
      <xdr:col>16</xdr:col>
      <xdr:colOff>48406</xdr:colOff>
      <xdr:row>144</xdr:row>
      <xdr:rowOff>144129</xdr:rowOff>
    </xdr:from>
    <xdr:to>
      <xdr:col>21</xdr:col>
      <xdr:colOff>91183</xdr:colOff>
      <xdr:row>147</xdr:row>
      <xdr:rowOff>164852</xdr:rowOff>
    </xdr:to>
    <xdr:grpSp>
      <xdr:nvGrpSpPr>
        <xdr:cNvPr id="1603" name="グループ化 1602">
          <a:extLst>
            <a:ext uri="{FF2B5EF4-FFF2-40B4-BE49-F238E27FC236}">
              <a16:creationId xmlns:a16="http://schemas.microsoft.com/office/drawing/2014/main" id="{E4A3BEC5-0D0E-461A-979F-6E393A6D6B72}"/>
            </a:ext>
          </a:extLst>
        </xdr:cNvPr>
        <xdr:cNvGrpSpPr/>
      </xdr:nvGrpSpPr>
      <xdr:grpSpPr>
        <a:xfrm>
          <a:off x="2944006" y="24994854"/>
          <a:ext cx="947652" cy="535073"/>
          <a:chOff x="287474" y="4845794"/>
          <a:chExt cx="1021504" cy="505814"/>
        </a:xfrm>
      </xdr:grpSpPr>
      <xdr:sp macro="" textlink="">
        <xdr:nvSpPr>
          <xdr:cNvPr id="1604" name="フローチャート: 判断 1603">
            <a:extLst>
              <a:ext uri="{FF2B5EF4-FFF2-40B4-BE49-F238E27FC236}">
                <a16:creationId xmlns:a16="http://schemas.microsoft.com/office/drawing/2014/main" id="{2F07DBD9-C7DA-C8D1-7F01-60CDEBAE490A}"/>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605" name="正方形/長方形 48">
            <a:extLst>
              <a:ext uri="{FF2B5EF4-FFF2-40B4-BE49-F238E27FC236}">
                <a16:creationId xmlns:a16="http://schemas.microsoft.com/office/drawing/2014/main" id="{5F913321-1403-7B32-3FD0-1B716361B2E9}"/>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プロジェクト</a:t>
            </a:r>
            <a:endParaRPr kumimoji="1" lang="en-US" altLang="ja-JP" sz="900"/>
          </a:p>
          <a:p>
            <a:pPr algn="ctr"/>
            <a:r>
              <a:rPr kumimoji="1" lang="ja-JP" altLang="en-US" sz="900"/>
              <a:t>完了か</a:t>
            </a:r>
          </a:p>
        </xdr:txBody>
      </xdr:sp>
    </xdr:grpSp>
    <xdr:clientData/>
  </xdr:twoCellAnchor>
  <xdr:twoCellAnchor>
    <xdr:from>
      <xdr:col>18</xdr:col>
      <xdr:colOff>158426</xdr:colOff>
      <xdr:row>147</xdr:row>
      <xdr:rowOff>142158</xdr:rowOff>
    </xdr:from>
    <xdr:to>
      <xdr:col>18</xdr:col>
      <xdr:colOff>162007</xdr:colOff>
      <xdr:row>152</xdr:row>
      <xdr:rowOff>79880</xdr:rowOff>
    </xdr:to>
    <xdr:cxnSp macro="">
      <xdr:nvCxnSpPr>
        <xdr:cNvPr id="1606" name="直線矢印コネクタ 1605">
          <a:extLst>
            <a:ext uri="{FF2B5EF4-FFF2-40B4-BE49-F238E27FC236}">
              <a16:creationId xmlns:a16="http://schemas.microsoft.com/office/drawing/2014/main" id="{E3675200-1606-4068-AE9B-4226B5B4E5A0}"/>
            </a:ext>
          </a:extLst>
        </xdr:cNvPr>
        <xdr:cNvCxnSpPr>
          <a:cxnSpLocks/>
          <a:stCxn id="1604" idx="2"/>
          <a:endCxn id="1708" idx="0"/>
        </xdr:cNvCxnSpPr>
      </xdr:nvCxnSpPr>
      <xdr:spPr>
        <a:xfrm flipH="1">
          <a:off x="6439153" y="23891158"/>
          <a:ext cx="3581" cy="8036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9072</xdr:colOff>
      <xdr:row>144</xdr:row>
      <xdr:rowOff>63501</xdr:rowOff>
    </xdr:from>
    <xdr:to>
      <xdr:col>17</xdr:col>
      <xdr:colOff>83577</xdr:colOff>
      <xdr:row>146</xdr:row>
      <xdr:rowOff>47567</xdr:rowOff>
    </xdr:to>
    <xdr:sp macro="" textlink="">
      <xdr:nvSpPr>
        <xdr:cNvPr id="1607" name="テキスト ボックス 1606">
          <a:extLst>
            <a:ext uri="{FF2B5EF4-FFF2-40B4-BE49-F238E27FC236}">
              <a16:creationId xmlns:a16="http://schemas.microsoft.com/office/drawing/2014/main" id="{E94F071A-C410-4556-BFAA-1A0B47FC4558}"/>
            </a:ext>
          </a:extLst>
        </xdr:cNvPr>
        <xdr:cNvSpPr txBox="1"/>
      </xdr:nvSpPr>
      <xdr:spPr>
        <a:xfrm>
          <a:off x="5796643" y="23213787"/>
          <a:ext cx="473648" cy="32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19</xdr:col>
      <xdr:colOff>46718</xdr:colOff>
      <xdr:row>147</xdr:row>
      <xdr:rowOff>77735</xdr:rowOff>
    </xdr:from>
    <xdr:to>
      <xdr:col>21</xdr:col>
      <xdr:colOff>128026</xdr:colOff>
      <xdr:row>149</xdr:row>
      <xdr:rowOff>0</xdr:rowOff>
    </xdr:to>
    <xdr:sp macro="" textlink="">
      <xdr:nvSpPr>
        <xdr:cNvPr id="1608" name="テキスト ボックス 1607">
          <a:extLst>
            <a:ext uri="{FF2B5EF4-FFF2-40B4-BE49-F238E27FC236}">
              <a16:creationId xmlns:a16="http://schemas.microsoft.com/office/drawing/2014/main" id="{86653845-3D04-494B-A5E1-0CB620D4DE00}"/>
            </a:ext>
          </a:extLst>
        </xdr:cNvPr>
        <xdr:cNvSpPr txBox="1"/>
      </xdr:nvSpPr>
      <xdr:spPr>
        <a:xfrm>
          <a:off x="6632575" y="23745092"/>
          <a:ext cx="480451" cy="266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16</xdr:col>
      <xdr:colOff>55728</xdr:colOff>
      <xdr:row>141</xdr:row>
      <xdr:rowOff>79737</xdr:rowOff>
    </xdr:from>
    <xdr:to>
      <xdr:col>16</xdr:col>
      <xdr:colOff>130746</xdr:colOff>
      <xdr:row>146</xdr:row>
      <xdr:rowOff>57018</xdr:rowOff>
    </xdr:to>
    <xdr:cxnSp macro="">
      <xdr:nvCxnSpPr>
        <xdr:cNvPr id="1609" name="コネクタ: カギ線 1608">
          <a:extLst>
            <a:ext uri="{FF2B5EF4-FFF2-40B4-BE49-F238E27FC236}">
              <a16:creationId xmlns:a16="http://schemas.microsoft.com/office/drawing/2014/main" id="{F8B4997D-840F-442C-ADD9-4D23F22B5E23}"/>
            </a:ext>
          </a:extLst>
        </xdr:cNvPr>
        <xdr:cNvCxnSpPr>
          <a:stCxn id="1604" idx="1"/>
          <a:endCxn id="1591" idx="1"/>
        </xdr:cNvCxnSpPr>
      </xdr:nvCxnSpPr>
      <xdr:spPr>
        <a:xfrm rot="10800000">
          <a:off x="6042871" y="22712951"/>
          <a:ext cx="75018" cy="839067"/>
        </a:xfrm>
        <a:prstGeom prst="bentConnector3">
          <a:avLst>
            <a:gd name="adj1" fmla="val 36845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143116</xdr:colOff>
      <xdr:row>129</xdr:row>
      <xdr:rowOff>85961</xdr:rowOff>
    </xdr:from>
    <xdr:to>
      <xdr:col>18</xdr:col>
      <xdr:colOff>164533</xdr:colOff>
      <xdr:row>140</xdr:row>
      <xdr:rowOff>14033</xdr:rowOff>
    </xdr:to>
    <xdr:cxnSp macro="">
      <xdr:nvCxnSpPr>
        <xdr:cNvPr id="1621" name="コネクタ: カギ線 1620">
          <a:extLst>
            <a:ext uri="{FF2B5EF4-FFF2-40B4-BE49-F238E27FC236}">
              <a16:creationId xmlns:a16="http://schemas.microsoft.com/office/drawing/2014/main" id="{378FDDC2-6DBD-4BE2-8A94-42B5E104E2D5}"/>
            </a:ext>
          </a:extLst>
        </xdr:cNvPr>
        <xdr:cNvCxnSpPr>
          <a:stCxn id="1431" idx="1"/>
          <a:endCxn id="1591" idx="0"/>
        </xdr:cNvCxnSpPr>
      </xdr:nvCxnSpPr>
      <xdr:spPr>
        <a:xfrm rot="10800000" flipH="1" flipV="1">
          <a:off x="6130259" y="20650890"/>
          <a:ext cx="420560" cy="1824000"/>
        </a:xfrm>
        <a:prstGeom prst="bentConnector4">
          <a:avLst>
            <a:gd name="adj1" fmla="val -54356"/>
            <a:gd name="adj2" fmla="val 7231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172357</xdr:colOff>
      <xdr:row>135</xdr:row>
      <xdr:rowOff>93345</xdr:rowOff>
    </xdr:from>
    <xdr:to>
      <xdr:col>18</xdr:col>
      <xdr:colOff>181729</xdr:colOff>
      <xdr:row>140</xdr:row>
      <xdr:rowOff>9072</xdr:rowOff>
    </xdr:to>
    <xdr:cxnSp macro="">
      <xdr:nvCxnSpPr>
        <xdr:cNvPr id="1630" name="直線矢印コネクタ 1629">
          <a:extLst>
            <a:ext uri="{FF2B5EF4-FFF2-40B4-BE49-F238E27FC236}">
              <a16:creationId xmlns:a16="http://schemas.microsoft.com/office/drawing/2014/main" id="{A8F9EDAB-05F0-44CE-B1DA-E0A2F4DD8DF9}"/>
            </a:ext>
          </a:extLst>
        </xdr:cNvPr>
        <xdr:cNvCxnSpPr>
          <a:cxnSpLocks/>
          <a:stCxn id="1436" idx="2"/>
        </xdr:cNvCxnSpPr>
      </xdr:nvCxnSpPr>
      <xdr:spPr>
        <a:xfrm flipH="1">
          <a:off x="6558643" y="21692416"/>
          <a:ext cx="9372" cy="77751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16395</xdr:colOff>
      <xdr:row>139</xdr:row>
      <xdr:rowOff>117928</xdr:rowOff>
    </xdr:from>
    <xdr:to>
      <xdr:col>7</xdr:col>
      <xdr:colOff>143587</xdr:colOff>
      <xdr:row>142</xdr:row>
      <xdr:rowOff>141240</xdr:rowOff>
    </xdr:to>
    <xdr:grpSp>
      <xdr:nvGrpSpPr>
        <xdr:cNvPr id="1659" name="グループ化 1658">
          <a:extLst>
            <a:ext uri="{FF2B5EF4-FFF2-40B4-BE49-F238E27FC236}">
              <a16:creationId xmlns:a16="http://schemas.microsoft.com/office/drawing/2014/main" id="{BE9AC49C-B260-4EA4-8374-13A72450CEB4}"/>
            </a:ext>
          </a:extLst>
        </xdr:cNvPr>
        <xdr:cNvGrpSpPr/>
      </xdr:nvGrpSpPr>
      <xdr:grpSpPr>
        <a:xfrm>
          <a:off x="378345" y="24111403"/>
          <a:ext cx="1032067" cy="537662"/>
          <a:chOff x="1643720" y="2432650"/>
          <a:chExt cx="908902" cy="420662"/>
        </a:xfrm>
      </xdr:grpSpPr>
      <xdr:sp macro="" textlink="">
        <xdr:nvSpPr>
          <xdr:cNvPr id="1660" name="フローチャート: 定義済み処理 1659">
            <a:extLst>
              <a:ext uri="{FF2B5EF4-FFF2-40B4-BE49-F238E27FC236}">
                <a16:creationId xmlns:a16="http://schemas.microsoft.com/office/drawing/2014/main" id="{5A60D212-B92B-A83C-58D4-78EB8CFEDA16}"/>
              </a:ext>
            </a:extLst>
          </xdr:cNvPr>
          <xdr:cNvSpPr/>
        </xdr:nvSpPr>
        <xdr:spPr>
          <a:xfrm>
            <a:off x="1682825" y="2459207"/>
            <a:ext cx="820719" cy="37063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61" name="正方形/長方形 48">
            <a:extLst>
              <a:ext uri="{FF2B5EF4-FFF2-40B4-BE49-F238E27FC236}">
                <a16:creationId xmlns:a16="http://schemas.microsoft.com/office/drawing/2014/main" id="{D72A3732-95D0-8F3C-7702-BAACF5F4F54B}"/>
              </a:ext>
            </a:extLst>
          </xdr:cNvPr>
          <xdr:cNvSpPr/>
        </xdr:nvSpPr>
        <xdr:spPr>
          <a:xfrm>
            <a:off x="1643720"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建設仮勘定</a:t>
            </a:r>
            <a:endParaRPr kumimoji="1" lang="en-US" altLang="ja-JP" sz="900"/>
          </a:p>
          <a:p>
            <a:pPr algn="ctr"/>
            <a:r>
              <a:rPr kumimoji="1" lang="ja-JP" altLang="en-US" sz="900"/>
              <a:t>仕訳入力</a:t>
            </a:r>
            <a:endParaRPr kumimoji="1" lang="en-US" altLang="ja-JP" sz="900"/>
          </a:p>
        </xdr:txBody>
      </xdr:sp>
    </xdr:grpSp>
    <xdr:clientData/>
  </xdr:twoCellAnchor>
  <xdr:twoCellAnchor>
    <xdr:from>
      <xdr:col>4</xdr:col>
      <xdr:colOff>172631</xdr:colOff>
      <xdr:row>142</xdr:row>
      <xdr:rowOff>111092</xdr:rowOff>
    </xdr:from>
    <xdr:to>
      <xdr:col>4</xdr:col>
      <xdr:colOff>173605</xdr:colOff>
      <xdr:row>144</xdr:row>
      <xdr:rowOff>109782</xdr:rowOff>
    </xdr:to>
    <xdr:cxnSp macro="">
      <xdr:nvCxnSpPr>
        <xdr:cNvPr id="1662" name="直線矢印コネクタ 1661">
          <a:extLst>
            <a:ext uri="{FF2B5EF4-FFF2-40B4-BE49-F238E27FC236}">
              <a16:creationId xmlns:a16="http://schemas.microsoft.com/office/drawing/2014/main" id="{73EE5313-F514-4BD6-B3B7-22A02A6BCEFA}"/>
            </a:ext>
          </a:extLst>
        </xdr:cNvPr>
        <xdr:cNvCxnSpPr>
          <a:cxnSpLocks/>
          <a:stCxn id="1660" idx="2"/>
          <a:endCxn id="1664" idx="0"/>
        </xdr:cNvCxnSpPr>
      </xdr:nvCxnSpPr>
      <xdr:spPr>
        <a:xfrm flipH="1">
          <a:off x="970917" y="24495092"/>
          <a:ext cx="974" cy="34340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21194</xdr:colOff>
      <xdr:row>144</xdr:row>
      <xdr:rowOff>109782</xdr:rowOff>
    </xdr:from>
    <xdr:to>
      <xdr:col>7</xdr:col>
      <xdr:colOff>63971</xdr:colOff>
      <xdr:row>147</xdr:row>
      <xdr:rowOff>130505</xdr:rowOff>
    </xdr:to>
    <xdr:grpSp>
      <xdr:nvGrpSpPr>
        <xdr:cNvPr id="1663" name="グループ化 1662">
          <a:extLst>
            <a:ext uri="{FF2B5EF4-FFF2-40B4-BE49-F238E27FC236}">
              <a16:creationId xmlns:a16="http://schemas.microsoft.com/office/drawing/2014/main" id="{A9F60149-77FF-40B9-85DE-DB3B273409AF}"/>
            </a:ext>
          </a:extLst>
        </xdr:cNvPr>
        <xdr:cNvGrpSpPr/>
      </xdr:nvGrpSpPr>
      <xdr:grpSpPr>
        <a:xfrm>
          <a:off x="383144" y="24960507"/>
          <a:ext cx="947652" cy="535073"/>
          <a:chOff x="251858" y="4845794"/>
          <a:chExt cx="1021504" cy="505814"/>
        </a:xfrm>
      </xdr:grpSpPr>
      <xdr:sp macro="" textlink="">
        <xdr:nvSpPr>
          <xdr:cNvPr id="1664" name="フローチャート: 判断 1663">
            <a:extLst>
              <a:ext uri="{FF2B5EF4-FFF2-40B4-BE49-F238E27FC236}">
                <a16:creationId xmlns:a16="http://schemas.microsoft.com/office/drawing/2014/main" id="{E8667FF3-853B-A1FD-CD6A-DF064512E588}"/>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665" name="正方形/長方形 48">
            <a:extLst>
              <a:ext uri="{FF2B5EF4-FFF2-40B4-BE49-F238E27FC236}">
                <a16:creationId xmlns:a16="http://schemas.microsoft.com/office/drawing/2014/main" id="{46101857-2EDC-1FC9-C7D7-2E8B79520C8D}"/>
              </a:ext>
            </a:extLst>
          </xdr:cNvPr>
          <xdr:cNvSpPr/>
        </xdr:nvSpPr>
        <xdr:spPr>
          <a:xfrm>
            <a:off x="251858"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プロジェクト</a:t>
            </a:r>
            <a:endParaRPr kumimoji="1" lang="en-US" altLang="ja-JP" sz="900"/>
          </a:p>
          <a:p>
            <a:pPr algn="ctr"/>
            <a:r>
              <a:rPr kumimoji="1" lang="ja-JP" altLang="en-US" sz="900"/>
              <a:t>完了か</a:t>
            </a:r>
          </a:p>
        </xdr:txBody>
      </xdr:sp>
    </xdr:grpSp>
    <xdr:clientData/>
  </xdr:twoCellAnchor>
  <xdr:twoCellAnchor>
    <xdr:from>
      <xdr:col>1</xdr:col>
      <xdr:colOff>18144</xdr:colOff>
      <xdr:row>144</xdr:row>
      <xdr:rowOff>29154</xdr:rowOff>
    </xdr:from>
    <xdr:to>
      <xdr:col>3</xdr:col>
      <xdr:colOff>92649</xdr:colOff>
      <xdr:row>146</xdr:row>
      <xdr:rowOff>13220</xdr:rowOff>
    </xdr:to>
    <xdr:sp macro="" textlink="">
      <xdr:nvSpPr>
        <xdr:cNvPr id="1667" name="テキスト ボックス 1666">
          <a:extLst>
            <a:ext uri="{FF2B5EF4-FFF2-40B4-BE49-F238E27FC236}">
              <a16:creationId xmlns:a16="http://schemas.microsoft.com/office/drawing/2014/main" id="{4BE30664-C082-4B88-9A00-A59CE3538E7F}"/>
            </a:ext>
          </a:extLst>
        </xdr:cNvPr>
        <xdr:cNvSpPr txBox="1"/>
      </xdr:nvSpPr>
      <xdr:spPr>
        <a:xfrm>
          <a:off x="3011715" y="23179440"/>
          <a:ext cx="473648" cy="32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5</xdr:col>
      <xdr:colOff>55790</xdr:colOff>
      <xdr:row>147</xdr:row>
      <xdr:rowOff>43388</xdr:rowOff>
    </xdr:from>
    <xdr:to>
      <xdr:col>7</xdr:col>
      <xdr:colOff>137098</xdr:colOff>
      <xdr:row>148</xdr:row>
      <xdr:rowOff>138010</xdr:rowOff>
    </xdr:to>
    <xdr:sp macro="" textlink="">
      <xdr:nvSpPr>
        <xdr:cNvPr id="1668" name="テキスト ボックス 1667">
          <a:extLst>
            <a:ext uri="{FF2B5EF4-FFF2-40B4-BE49-F238E27FC236}">
              <a16:creationId xmlns:a16="http://schemas.microsoft.com/office/drawing/2014/main" id="{F8B0A4DD-179D-4FF6-84E6-F09D49A4E684}"/>
            </a:ext>
          </a:extLst>
        </xdr:cNvPr>
        <xdr:cNvSpPr txBox="1"/>
      </xdr:nvSpPr>
      <xdr:spPr>
        <a:xfrm>
          <a:off x="3847647" y="23710745"/>
          <a:ext cx="480451" cy="266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xdr:col>
      <xdr:colOff>64800</xdr:colOff>
      <xdr:row>141</xdr:row>
      <xdr:rowOff>45390</xdr:rowOff>
    </xdr:from>
    <xdr:to>
      <xdr:col>2</xdr:col>
      <xdr:colOff>139818</xdr:colOff>
      <xdr:row>146</xdr:row>
      <xdr:rowOff>22671</xdr:rowOff>
    </xdr:to>
    <xdr:cxnSp macro="">
      <xdr:nvCxnSpPr>
        <xdr:cNvPr id="1669" name="コネクタ: カギ線 1668">
          <a:extLst>
            <a:ext uri="{FF2B5EF4-FFF2-40B4-BE49-F238E27FC236}">
              <a16:creationId xmlns:a16="http://schemas.microsoft.com/office/drawing/2014/main" id="{BB91ECEB-0421-41F5-B9F1-3FD8072B43F8}"/>
            </a:ext>
          </a:extLst>
        </xdr:cNvPr>
        <xdr:cNvCxnSpPr>
          <a:stCxn id="1664" idx="1"/>
          <a:endCxn id="1660" idx="1"/>
        </xdr:cNvCxnSpPr>
      </xdr:nvCxnSpPr>
      <xdr:spPr>
        <a:xfrm rot="10800000">
          <a:off x="3257943" y="22678604"/>
          <a:ext cx="75018" cy="839067"/>
        </a:xfrm>
        <a:prstGeom prst="bentConnector3">
          <a:avLst>
            <a:gd name="adj1" fmla="val 36845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192537</xdr:colOff>
      <xdr:row>152</xdr:row>
      <xdr:rowOff>69272</xdr:rowOff>
    </xdr:from>
    <xdr:to>
      <xdr:col>34</xdr:col>
      <xdr:colOff>94261</xdr:colOff>
      <xdr:row>155</xdr:row>
      <xdr:rowOff>154245</xdr:rowOff>
    </xdr:to>
    <xdr:grpSp>
      <xdr:nvGrpSpPr>
        <xdr:cNvPr id="1704" name="グループ化 4">
          <a:extLst>
            <a:ext uri="{FF2B5EF4-FFF2-40B4-BE49-F238E27FC236}">
              <a16:creationId xmlns:a16="http://schemas.microsoft.com/office/drawing/2014/main" id="{83B57B1C-5A4D-41D3-9CC9-24BF7E480D19}"/>
            </a:ext>
          </a:extLst>
        </xdr:cNvPr>
        <xdr:cNvGrpSpPr/>
      </xdr:nvGrpSpPr>
      <xdr:grpSpPr>
        <a:xfrm>
          <a:off x="5612262" y="26291597"/>
          <a:ext cx="635149" cy="599323"/>
          <a:chOff x="7204075" y="2892425"/>
          <a:chExt cx="690658" cy="580367"/>
        </a:xfrm>
      </xdr:grpSpPr>
      <xdr:sp macro="" textlink="">
        <xdr:nvSpPr>
          <xdr:cNvPr id="1705" name="フローチャート: 磁気ディスク 5">
            <a:extLst>
              <a:ext uri="{FF2B5EF4-FFF2-40B4-BE49-F238E27FC236}">
                <a16:creationId xmlns:a16="http://schemas.microsoft.com/office/drawing/2014/main" id="{318DD942-361F-A19E-1D0D-C71D1AEEC2F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06" name="正方形/長方形 6">
            <a:extLst>
              <a:ext uri="{FF2B5EF4-FFF2-40B4-BE49-F238E27FC236}">
                <a16:creationId xmlns:a16="http://schemas.microsoft.com/office/drawing/2014/main" id="{C70CA01D-4B60-E8D1-1158-A678D3262AEC}"/>
              </a:ext>
            </a:extLst>
          </xdr:cNvPr>
          <xdr:cNvSpPr/>
        </xdr:nvSpPr>
        <xdr:spPr>
          <a:xfrm>
            <a:off x="7211173" y="2967185"/>
            <a:ext cx="68356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試算表</a:t>
            </a:r>
            <a:endParaRPr lang="ja-JP" altLang="ja-JP" sz="900">
              <a:effectLst/>
            </a:endParaRPr>
          </a:p>
        </xdr:txBody>
      </xdr:sp>
    </xdr:grpSp>
    <xdr:clientData/>
  </xdr:twoCellAnchor>
  <xdr:twoCellAnchor>
    <xdr:from>
      <xdr:col>16</xdr:col>
      <xdr:colOff>84577</xdr:colOff>
      <xdr:row>152</xdr:row>
      <xdr:rowOff>106596</xdr:rowOff>
    </xdr:from>
    <xdr:to>
      <xdr:col>21</xdr:col>
      <xdr:colOff>26483</xdr:colOff>
      <xdr:row>155</xdr:row>
      <xdr:rowOff>72318</xdr:rowOff>
    </xdr:to>
    <xdr:sp macro="" textlink="">
      <xdr:nvSpPr>
        <xdr:cNvPr id="1707" name="フローチャート: 定義済み処理 590">
          <a:extLst>
            <a:ext uri="{FF2B5EF4-FFF2-40B4-BE49-F238E27FC236}">
              <a16:creationId xmlns:a16="http://schemas.microsoft.com/office/drawing/2014/main" id="{DE099A79-7A82-47BB-8635-6176C1CB130B}"/>
            </a:ext>
          </a:extLst>
        </xdr:cNvPr>
        <xdr:cNvSpPr/>
      </xdr:nvSpPr>
      <xdr:spPr>
        <a:xfrm>
          <a:off x="5972759" y="24721505"/>
          <a:ext cx="923269" cy="48526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31337</xdr:colOff>
      <xdr:row>152</xdr:row>
      <xdr:rowOff>79880</xdr:rowOff>
    </xdr:from>
    <xdr:to>
      <xdr:col>21</xdr:col>
      <xdr:colOff>89241</xdr:colOff>
      <xdr:row>155</xdr:row>
      <xdr:rowOff>100602</xdr:rowOff>
    </xdr:to>
    <xdr:sp macro="" textlink="">
      <xdr:nvSpPr>
        <xdr:cNvPr id="1708" name="正方形/長方形 48">
          <a:extLst>
            <a:ext uri="{FF2B5EF4-FFF2-40B4-BE49-F238E27FC236}">
              <a16:creationId xmlns:a16="http://schemas.microsoft.com/office/drawing/2014/main" id="{AEF363EA-4CA2-481A-89EA-E69B8C0A0CCC}"/>
            </a:ext>
          </a:extLst>
        </xdr:cNvPr>
        <xdr:cNvSpPr/>
      </xdr:nvSpPr>
      <xdr:spPr>
        <a:xfrm>
          <a:off x="5919519" y="24694789"/>
          <a:ext cx="1039267" cy="54026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振替金額の</a:t>
          </a:r>
          <a:endParaRPr kumimoji="1" lang="en-US" altLang="ja-JP" sz="900"/>
        </a:p>
        <a:p>
          <a:pPr algn="ctr"/>
          <a:r>
            <a:rPr kumimoji="1" lang="ja-JP" altLang="en-US" sz="900"/>
            <a:t>認識</a:t>
          </a:r>
          <a:endParaRPr kumimoji="1" lang="en-US" altLang="ja-JP" sz="900"/>
        </a:p>
      </xdr:txBody>
    </xdr:sp>
    <xdr:clientData/>
  </xdr:twoCellAnchor>
  <xdr:twoCellAnchor>
    <xdr:from>
      <xdr:col>18</xdr:col>
      <xdr:colOff>158426</xdr:colOff>
      <xdr:row>155</xdr:row>
      <xdr:rowOff>100602</xdr:rowOff>
    </xdr:from>
    <xdr:to>
      <xdr:col>18</xdr:col>
      <xdr:colOff>162805</xdr:colOff>
      <xdr:row>158</xdr:row>
      <xdr:rowOff>119138</xdr:rowOff>
    </xdr:to>
    <xdr:cxnSp macro="">
      <xdr:nvCxnSpPr>
        <xdr:cNvPr id="1751" name="直線矢印コネクタ 1750">
          <a:extLst>
            <a:ext uri="{FF2B5EF4-FFF2-40B4-BE49-F238E27FC236}">
              <a16:creationId xmlns:a16="http://schemas.microsoft.com/office/drawing/2014/main" id="{0AFD2B87-A9E4-4BA6-899C-5296E2D4D18A}"/>
            </a:ext>
          </a:extLst>
        </xdr:cNvPr>
        <xdr:cNvCxnSpPr>
          <a:cxnSpLocks/>
          <a:stCxn id="1708" idx="2"/>
          <a:endCxn id="1417" idx="0"/>
        </xdr:cNvCxnSpPr>
      </xdr:nvCxnSpPr>
      <xdr:spPr>
        <a:xfrm>
          <a:off x="6439153" y="25235057"/>
          <a:ext cx="4379" cy="53808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175822</xdr:colOff>
      <xdr:row>172</xdr:row>
      <xdr:rowOff>111974</xdr:rowOff>
    </xdr:from>
    <xdr:to>
      <xdr:col>18</xdr:col>
      <xdr:colOff>176491</xdr:colOff>
      <xdr:row>176</xdr:row>
      <xdr:rowOff>146892</xdr:rowOff>
    </xdr:to>
    <xdr:cxnSp macro="">
      <xdr:nvCxnSpPr>
        <xdr:cNvPr id="1760" name="直線矢印コネクタ 27">
          <a:extLst>
            <a:ext uri="{FF2B5EF4-FFF2-40B4-BE49-F238E27FC236}">
              <a16:creationId xmlns:a16="http://schemas.microsoft.com/office/drawing/2014/main" id="{FA88E600-B0E7-4B68-9395-E256846EBA39}"/>
            </a:ext>
          </a:extLst>
        </xdr:cNvPr>
        <xdr:cNvCxnSpPr>
          <a:cxnSpLocks/>
          <a:stCxn id="1441" idx="2"/>
          <a:endCxn id="1397" idx="0"/>
        </xdr:cNvCxnSpPr>
      </xdr:nvCxnSpPr>
      <xdr:spPr>
        <a:xfrm>
          <a:off x="6456549" y="28190519"/>
          <a:ext cx="669" cy="47108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103909</xdr:colOff>
      <xdr:row>129</xdr:row>
      <xdr:rowOff>69273</xdr:rowOff>
    </xdr:from>
    <xdr:to>
      <xdr:col>4</xdr:col>
      <xdr:colOff>125326</xdr:colOff>
      <xdr:row>139</xdr:row>
      <xdr:rowOff>170527</xdr:rowOff>
    </xdr:to>
    <xdr:cxnSp macro="">
      <xdr:nvCxnSpPr>
        <xdr:cNvPr id="1766" name="コネクタ: カギ線 1765">
          <a:extLst>
            <a:ext uri="{FF2B5EF4-FFF2-40B4-BE49-F238E27FC236}">
              <a16:creationId xmlns:a16="http://schemas.microsoft.com/office/drawing/2014/main" id="{2A9DAD8F-8B25-4EF5-9FB0-47293E86C146}"/>
            </a:ext>
          </a:extLst>
        </xdr:cNvPr>
        <xdr:cNvCxnSpPr/>
      </xdr:nvCxnSpPr>
      <xdr:spPr>
        <a:xfrm rot="10800000" flipH="1" flipV="1">
          <a:off x="3244273" y="20701000"/>
          <a:ext cx="413962" cy="1833072"/>
        </a:xfrm>
        <a:prstGeom prst="bentConnector4">
          <a:avLst>
            <a:gd name="adj1" fmla="val -54356"/>
            <a:gd name="adj2" fmla="val 7231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133150</xdr:colOff>
      <xdr:row>135</xdr:row>
      <xdr:rowOff>76657</xdr:rowOff>
    </xdr:from>
    <xdr:to>
      <xdr:col>4</xdr:col>
      <xdr:colOff>142522</xdr:colOff>
      <xdr:row>139</xdr:row>
      <xdr:rowOff>165566</xdr:rowOff>
    </xdr:to>
    <xdr:cxnSp macro="">
      <xdr:nvCxnSpPr>
        <xdr:cNvPr id="1767" name="直線矢印コネクタ 1766">
          <a:extLst>
            <a:ext uri="{FF2B5EF4-FFF2-40B4-BE49-F238E27FC236}">
              <a16:creationId xmlns:a16="http://schemas.microsoft.com/office/drawing/2014/main" id="{16E31F14-3DF5-4794-B4CA-C14F6988F24F}"/>
            </a:ext>
          </a:extLst>
        </xdr:cNvPr>
        <xdr:cNvCxnSpPr>
          <a:cxnSpLocks/>
        </xdr:cNvCxnSpPr>
      </xdr:nvCxnSpPr>
      <xdr:spPr>
        <a:xfrm flipH="1">
          <a:off x="3666059" y="21747475"/>
          <a:ext cx="9372" cy="78163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9073</xdr:colOff>
      <xdr:row>234</xdr:row>
      <xdr:rowOff>16494</xdr:rowOff>
    </xdr:from>
    <xdr:to>
      <xdr:col>13</xdr:col>
      <xdr:colOff>117929</xdr:colOff>
      <xdr:row>238</xdr:row>
      <xdr:rowOff>16493</xdr:rowOff>
    </xdr:to>
    <xdr:grpSp>
      <xdr:nvGrpSpPr>
        <xdr:cNvPr id="1768" name="グループ化 1767">
          <a:extLst>
            <a:ext uri="{FF2B5EF4-FFF2-40B4-BE49-F238E27FC236}">
              <a16:creationId xmlns:a16="http://schemas.microsoft.com/office/drawing/2014/main" id="{020492C6-5571-43F4-910D-4DBB7A518AAC}"/>
            </a:ext>
          </a:extLst>
        </xdr:cNvPr>
        <xdr:cNvGrpSpPr/>
      </xdr:nvGrpSpPr>
      <xdr:grpSpPr>
        <a:xfrm>
          <a:off x="190048" y="40297719"/>
          <a:ext cx="2280556" cy="685799"/>
          <a:chOff x="1612900" y="2457450"/>
          <a:chExt cx="933032" cy="374650"/>
        </a:xfrm>
      </xdr:grpSpPr>
      <xdr:sp macro="" textlink="">
        <xdr:nvSpPr>
          <xdr:cNvPr id="1769" name="フローチャート: 処理 1768">
            <a:extLst>
              <a:ext uri="{FF2B5EF4-FFF2-40B4-BE49-F238E27FC236}">
                <a16:creationId xmlns:a16="http://schemas.microsoft.com/office/drawing/2014/main" id="{94F40700-1273-E763-BD11-748DF7EDCC9B}"/>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70" name="正方形/長方形 48">
            <a:extLst>
              <a:ext uri="{FF2B5EF4-FFF2-40B4-BE49-F238E27FC236}">
                <a16:creationId xmlns:a16="http://schemas.microsoft.com/office/drawing/2014/main" id="{B199F37B-E3B9-0ECC-6487-56FB98C392C0}"/>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内容修正を行い、再度取得提案より行う</a:t>
            </a:r>
            <a:endParaRPr kumimoji="1" lang="en-US" altLang="ja-JP" sz="900"/>
          </a:p>
        </xdr:txBody>
      </xdr:sp>
    </xdr:grpSp>
    <xdr:clientData/>
  </xdr:twoCellAnchor>
  <xdr:twoCellAnchor>
    <xdr:from>
      <xdr:col>14</xdr:col>
      <xdr:colOff>115455</xdr:colOff>
      <xdr:row>468</xdr:row>
      <xdr:rowOff>138546</xdr:rowOff>
    </xdr:from>
    <xdr:to>
      <xdr:col>22</xdr:col>
      <xdr:colOff>121697</xdr:colOff>
      <xdr:row>474</xdr:row>
      <xdr:rowOff>169363</xdr:rowOff>
    </xdr:to>
    <xdr:grpSp>
      <xdr:nvGrpSpPr>
        <xdr:cNvPr id="144" name="グループ化 143">
          <a:extLst>
            <a:ext uri="{FF2B5EF4-FFF2-40B4-BE49-F238E27FC236}">
              <a16:creationId xmlns:a16="http://schemas.microsoft.com/office/drawing/2014/main" id="{0E70684E-B657-437E-9D8A-5E7CAD997300}"/>
            </a:ext>
          </a:extLst>
        </xdr:cNvPr>
        <xdr:cNvGrpSpPr/>
      </xdr:nvGrpSpPr>
      <xdr:grpSpPr>
        <a:xfrm>
          <a:off x="2649105" y="80539071"/>
          <a:ext cx="1454042" cy="1059517"/>
          <a:chOff x="285750" y="5746109"/>
          <a:chExt cx="1003300" cy="491916"/>
        </a:xfrm>
      </xdr:grpSpPr>
      <xdr:sp macro="" textlink="">
        <xdr:nvSpPr>
          <xdr:cNvPr id="149" name="フローチャート: 他ページ結合子 148">
            <a:extLst>
              <a:ext uri="{FF2B5EF4-FFF2-40B4-BE49-F238E27FC236}">
                <a16:creationId xmlns:a16="http://schemas.microsoft.com/office/drawing/2014/main" id="{F52A5697-F477-0BCC-D085-4C359E543222}"/>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4" name="正方形/長方形 48">
            <a:extLst>
              <a:ext uri="{FF2B5EF4-FFF2-40B4-BE49-F238E27FC236}">
                <a16:creationId xmlns:a16="http://schemas.microsoft.com/office/drawing/2014/main" id="{6CC5F0B9-BD8E-02CF-11C4-FC75F9AFA9A5}"/>
              </a:ext>
            </a:extLst>
          </xdr:cNvPr>
          <xdr:cNvSpPr/>
        </xdr:nvSpPr>
        <xdr:spPr>
          <a:xfrm>
            <a:off x="285750" y="5746109"/>
            <a:ext cx="1003300" cy="4919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一般会計・決算フロー</a:t>
            </a:r>
          </a:p>
          <a:p>
            <a:pPr algn="ctr"/>
            <a:r>
              <a:rPr kumimoji="1" lang="ja-JP" altLang="en-US" sz="900"/>
              <a:t>シート「年次決算処理」の</a:t>
            </a:r>
            <a:endParaRPr kumimoji="1" lang="en-US" altLang="ja-JP" sz="900"/>
          </a:p>
          <a:p>
            <a:pPr algn="ctr"/>
            <a:r>
              <a:rPr kumimoji="1" lang="ja-JP" altLang="en-US" sz="900"/>
              <a:t>「</a:t>
            </a:r>
            <a:r>
              <a:rPr kumimoji="1" lang="en-US" altLang="ja-JP" sz="900"/>
              <a:t>23.</a:t>
            </a:r>
            <a:r>
              <a:rPr kumimoji="1" lang="ja-JP" altLang="en-US" sz="900"/>
              <a:t>減損兆候判定」</a:t>
            </a:r>
          </a:p>
        </xdr:txBody>
      </xdr:sp>
    </xdr:grpSp>
    <xdr:clientData/>
  </xdr:twoCellAnchor>
  <xdr:twoCellAnchor>
    <xdr:from>
      <xdr:col>21</xdr:col>
      <xdr:colOff>186085</xdr:colOff>
      <xdr:row>533</xdr:row>
      <xdr:rowOff>98475</xdr:rowOff>
    </xdr:from>
    <xdr:to>
      <xdr:col>29</xdr:col>
      <xdr:colOff>192326</xdr:colOff>
      <xdr:row>539</xdr:row>
      <xdr:rowOff>129292</xdr:rowOff>
    </xdr:to>
    <xdr:grpSp>
      <xdr:nvGrpSpPr>
        <xdr:cNvPr id="177" name="グループ化 176">
          <a:extLst>
            <a:ext uri="{FF2B5EF4-FFF2-40B4-BE49-F238E27FC236}">
              <a16:creationId xmlns:a16="http://schemas.microsoft.com/office/drawing/2014/main" id="{B3123BFD-2299-40A4-B538-09C1AAA99C7C}"/>
            </a:ext>
          </a:extLst>
        </xdr:cNvPr>
        <xdr:cNvGrpSpPr/>
      </xdr:nvGrpSpPr>
      <xdr:grpSpPr>
        <a:xfrm>
          <a:off x="3977035" y="91643250"/>
          <a:ext cx="1454041" cy="1059517"/>
          <a:chOff x="285750" y="5746109"/>
          <a:chExt cx="1003300" cy="491916"/>
        </a:xfrm>
      </xdr:grpSpPr>
      <xdr:sp macro="" textlink="">
        <xdr:nvSpPr>
          <xdr:cNvPr id="178" name="フローチャート: 他ページ結合子 177">
            <a:extLst>
              <a:ext uri="{FF2B5EF4-FFF2-40B4-BE49-F238E27FC236}">
                <a16:creationId xmlns:a16="http://schemas.microsoft.com/office/drawing/2014/main" id="{41F93D1D-BAFE-EAE9-D56C-0567B9260432}"/>
              </a:ext>
            </a:extLst>
          </xdr:cNvPr>
          <xdr:cNvSpPr/>
        </xdr:nvSpPr>
        <xdr:spPr>
          <a:xfrm>
            <a:off x="492124" y="5781675"/>
            <a:ext cx="600075" cy="444500"/>
          </a:xfrm>
          <a:prstGeom prst="flowChartOffpageConnector">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9" name="正方形/長方形 48">
            <a:extLst>
              <a:ext uri="{FF2B5EF4-FFF2-40B4-BE49-F238E27FC236}">
                <a16:creationId xmlns:a16="http://schemas.microsoft.com/office/drawing/2014/main" id="{4EDA47F8-816F-D7C8-4692-97EA1AD3DB74}"/>
              </a:ext>
            </a:extLst>
          </xdr:cNvPr>
          <xdr:cNvSpPr/>
        </xdr:nvSpPr>
        <xdr:spPr>
          <a:xfrm>
            <a:off x="285750" y="5746109"/>
            <a:ext cx="1003300" cy="4919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一般会計・決算フロー</a:t>
            </a:r>
          </a:p>
          <a:p>
            <a:pPr algn="ctr"/>
            <a:r>
              <a:rPr kumimoji="1" lang="ja-JP" altLang="en-US" sz="900"/>
              <a:t>シート「年次決算処理」の</a:t>
            </a:r>
            <a:endParaRPr kumimoji="1" lang="en-US" altLang="ja-JP" sz="900"/>
          </a:p>
          <a:p>
            <a:pPr algn="ctr"/>
            <a:r>
              <a:rPr kumimoji="1" lang="ja-JP" altLang="en-US" sz="900"/>
              <a:t>「</a:t>
            </a:r>
            <a:r>
              <a:rPr kumimoji="1" lang="en-US" altLang="ja-JP" sz="900"/>
              <a:t>25.</a:t>
            </a:r>
            <a:r>
              <a:rPr kumimoji="1" lang="ja-JP" altLang="en-US" sz="900"/>
              <a:t>運中在庫計上」</a:t>
            </a:r>
          </a:p>
        </xdr:txBody>
      </xdr:sp>
    </xdr:grpSp>
    <xdr:clientData/>
  </xdr:twoCellAnchor>
  <xdr:twoCellAnchor>
    <xdr:from>
      <xdr:col>20</xdr:col>
      <xdr:colOff>190500</xdr:colOff>
      <xdr:row>609</xdr:row>
      <xdr:rowOff>127000</xdr:rowOff>
    </xdr:from>
    <xdr:to>
      <xdr:col>30</xdr:col>
      <xdr:colOff>173597</xdr:colOff>
      <xdr:row>609</xdr:row>
      <xdr:rowOff>131142</xdr:rowOff>
    </xdr:to>
    <xdr:cxnSp macro="">
      <xdr:nvCxnSpPr>
        <xdr:cNvPr id="11" name="直線矢印コネクタ 10">
          <a:extLst>
            <a:ext uri="{FF2B5EF4-FFF2-40B4-BE49-F238E27FC236}">
              <a16:creationId xmlns:a16="http://schemas.microsoft.com/office/drawing/2014/main" id="{35947D15-EDB2-4858-981A-C7A033093275}"/>
            </a:ext>
          </a:extLst>
        </xdr:cNvPr>
        <xdr:cNvCxnSpPr>
          <a:cxnSpLocks/>
        </xdr:cNvCxnSpPr>
      </xdr:nvCxnSpPr>
      <xdr:spPr>
        <a:xfrm>
          <a:off x="6975929" y="73777929"/>
          <a:ext cx="1978811" cy="414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83296</xdr:colOff>
      <xdr:row>803</xdr:row>
      <xdr:rowOff>62379</xdr:rowOff>
    </xdr:from>
    <xdr:to>
      <xdr:col>20</xdr:col>
      <xdr:colOff>183888</xdr:colOff>
      <xdr:row>806</xdr:row>
      <xdr:rowOff>77076</xdr:rowOff>
    </xdr:to>
    <xdr:grpSp>
      <xdr:nvGrpSpPr>
        <xdr:cNvPr id="114" name="グループ化 8">
          <a:extLst>
            <a:ext uri="{FF2B5EF4-FFF2-40B4-BE49-F238E27FC236}">
              <a16:creationId xmlns:a16="http://schemas.microsoft.com/office/drawing/2014/main" id="{9720AA2B-B137-4D1B-8565-9D11103B429B}"/>
            </a:ext>
          </a:extLst>
        </xdr:cNvPr>
        <xdr:cNvGrpSpPr/>
      </xdr:nvGrpSpPr>
      <xdr:grpSpPr>
        <a:xfrm>
          <a:off x="2797921" y="137898654"/>
          <a:ext cx="1005467" cy="529047"/>
          <a:chOff x="1615543" y="2430783"/>
          <a:chExt cx="908902" cy="422628"/>
        </a:xfrm>
      </xdr:grpSpPr>
      <xdr:sp macro="" textlink="">
        <xdr:nvSpPr>
          <xdr:cNvPr id="116" name="フローチャート: 定義済み処理 9">
            <a:extLst>
              <a:ext uri="{FF2B5EF4-FFF2-40B4-BE49-F238E27FC236}">
                <a16:creationId xmlns:a16="http://schemas.microsoft.com/office/drawing/2014/main" id="{6FE3FB7D-A1B9-BCF0-4AE2-7589FDA9D71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7" name="正方形/長方形 48">
            <a:extLst>
              <a:ext uri="{FF2B5EF4-FFF2-40B4-BE49-F238E27FC236}">
                <a16:creationId xmlns:a16="http://schemas.microsoft.com/office/drawing/2014/main" id="{4F70BCBE-29BE-CE17-2F1C-34C30407E92A}"/>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固定資産</a:t>
            </a:r>
            <a:br>
              <a:rPr kumimoji="1" lang="en-US" altLang="ja-JP" sz="900"/>
            </a:br>
            <a:r>
              <a:rPr kumimoji="1" lang="ja-JP" altLang="en-US" sz="900"/>
              <a:t>移動履歴の確認</a:t>
            </a:r>
          </a:p>
        </xdr:txBody>
      </xdr:sp>
    </xdr:grpSp>
    <xdr:clientData/>
  </xdr:twoCellAnchor>
  <xdr:twoCellAnchor>
    <xdr:from>
      <xdr:col>20</xdr:col>
      <xdr:colOff>160359</xdr:colOff>
      <xdr:row>804</xdr:row>
      <xdr:rowOff>142277</xdr:rowOff>
    </xdr:from>
    <xdr:to>
      <xdr:col>30</xdr:col>
      <xdr:colOff>125835</xdr:colOff>
      <xdr:row>804</xdr:row>
      <xdr:rowOff>150511</xdr:rowOff>
    </xdr:to>
    <xdr:cxnSp macro="">
      <xdr:nvCxnSpPr>
        <xdr:cNvPr id="121" name="直線矢印コネクタ 120">
          <a:extLst>
            <a:ext uri="{FF2B5EF4-FFF2-40B4-BE49-F238E27FC236}">
              <a16:creationId xmlns:a16="http://schemas.microsoft.com/office/drawing/2014/main" id="{3ADC971A-061F-480C-BFD8-887DF0AB9811}"/>
            </a:ext>
          </a:extLst>
        </xdr:cNvPr>
        <xdr:cNvCxnSpPr/>
      </xdr:nvCxnSpPr>
      <xdr:spPr>
        <a:xfrm flipV="1">
          <a:off x="7018359" y="99717748"/>
          <a:ext cx="1982535" cy="82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140555</xdr:colOff>
      <xdr:row>803</xdr:row>
      <xdr:rowOff>62379</xdr:rowOff>
    </xdr:from>
    <xdr:to>
      <xdr:col>34</xdr:col>
      <xdr:colOff>46270</xdr:colOff>
      <xdr:row>806</xdr:row>
      <xdr:rowOff>150553</xdr:rowOff>
    </xdr:to>
    <xdr:grpSp>
      <xdr:nvGrpSpPr>
        <xdr:cNvPr id="122" name="グループ化 210">
          <a:extLst>
            <a:ext uri="{FF2B5EF4-FFF2-40B4-BE49-F238E27FC236}">
              <a16:creationId xmlns:a16="http://schemas.microsoft.com/office/drawing/2014/main" id="{DC272D95-0893-4AA1-A91E-4B5D8F9BC5CD}"/>
            </a:ext>
          </a:extLst>
        </xdr:cNvPr>
        <xdr:cNvGrpSpPr/>
      </xdr:nvGrpSpPr>
      <xdr:grpSpPr>
        <a:xfrm>
          <a:off x="5569805" y="137898654"/>
          <a:ext cx="629615" cy="602524"/>
          <a:chOff x="7204075" y="2892425"/>
          <a:chExt cx="688975" cy="597682"/>
        </a:xfrm>
      </xdr:grpSpPr>
      <xdr:sp macro="" textlink="">
        <xdr:nvSpPr>
          <xdr:cNvPr id="124" name="フローチャート: 磁気ディスク 211">
            <a:extLst>
              <a:ext uri="{FF2B5EF4-FFF2-40B4-BE49-F238E27FC236}">
                <a16:creationId xmlns:a16="http://schemas.microsoft.com/office/drawing/2014/main" id="{6B4801BF-368B-47B1-9A15-8692E369975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5" name="正方形/長方形 212">
            <a:extLst>
              <a:ext uri="{FF2B5EF4-FFF2-40B4-BE49-F238E27FC236}">
                <a16:creationId xmlns:a16="http://schemas.microsoft.com/office/drawing/2014/main" id="{4AF89E4A-7DAE-E4DC-C9AA-619A1570D8E7}"/>
              </a:ext>
            </a:extLst>
          </xdr:cNvPr>
          <xdr:cNvSpPr/>
        </xdr:nvSpPr>
        <xdr:spPr>
          <a:xfrm>
            <a:off x="7207250" y="2984500"/>
            <a:ext cx="685800"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固定資産移動一覧</a:t>
            </a:r>
          </a:p>
        </xdr:txBody>
      </xdr:sp>
    </xdr:grpSp>
    <xdr:clientData/>
  </xdr:twoCellAnchor>
  <xdr:twoCellAnchor>
    <xdr:from>
      <xdr:col>16</xdr:col>
      <xdr:colOff>100854</xdr:colOff>
      <xdr:row>799</xdr:row>
      <xdr:rowOff>160544</xdr:rowOff>
    </xdr:from>
    <xdr:to>
      <xdr:col>20</xdr:col>
      <xdr:colOff>23761</xdr:colOff>
      <xdr:row>801</xdr:row>
      <xdr:rowOff>71885</xdr:rowOff>
    </xdr:to>
    <xdr:sp macro="" textlink="">
      <xdr:nvSpPr>
        <xdr:cNvPr id="129" name="フローチャート: 端子 26">
          <a:extLst>
            <a:ext uri="{FF2B5EF4-FFF2-40B4-BE49-F238E27FC236}">
              <a16:creationId xmlns:a16="http://schemas.microsoft.com/office/drawing/2014/main" id="{D6293979-1E40-4BD4-9BFB-0C8064EB1C7F}"/>
            </a:ext>
          </a:extLst>
        </xdr:cNvPr>
        <xdr:cNvSpPr/>
      </xdr:nvSpPr>
      <xdr:spPr>
        <a:xfrm>
          <a:off x="6152030" y="98895573"/>
          <a:ext cx="729731" cy="24751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18</xdr:col>
      <xdr:colOff>59265</xdr:colOff>
      <xdr:row>797</xdr:row>
      <xdr:rowOff>33618</xdr:rowOff>
    </xdr:from>
    <xdr:to>
      <xdr:col>18</xdr:col>
      <xdr:colOff>60720</xdr:colOff>
      <xdr:row>799</xdr:row>
      <xdr:rowOff>160544</xdr:rowOff>
    </xdr:to>
    <xdr:cxnSp macro="">
      <xdr:nvCxnSpPr>
        <xdr:cNvPr id="130" name="直線矢印コネクタ 129">
          <a:extLst>
            <a:ext uri="{FF2B5EF4-FFF2-40B4-BE49-F238E27FC236}">
              <a16:creationId xmlns:a16="http://schemas.microsoft.com/office/drawing/2014/main" id="{8B37873D-A879-43B8-8A36-1444447CBF5E}"/>
            </a:ext>
          </a:extLst>
        </xdr:cNvPr>
        <xdr:cNvCxnSpPr>
          <a:endCxn id="129" idx="0"/>
        </xdr:cNvCxnSpPr>
      </xdr:nvCxnSpPr>
      <xdr:spPr>
        <a:xfrm>
          <a:off x="6513853" y="98432471"/>
          <a:ext cx="1455" cy="4631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112059</xdr:colOff>
      <xdr:row>813</xdr:row>
      <xdr:rowOff>85277</xdr:rowOff>
    </xdr:from>
    <xdr:to>
      <xdr:col>20</xdr:col>
      <xdr:colOff>28616</xdr:colOff>
      <xdr:row>814</xdr:row>
      <xdr:rowOff>164707</xdr:rowOff>
    </xdr:to>
    <xdr:sp macro="" textlink="">
      <xdr:nvSpPr>
        <xdr:cNvPr id="165" name="フローチャート: 端子 26">
          <a:extLst>
            <a:ext uri="{FF2B5EF4-FFF2-40B4-BE49-F238E27FC236}">
              <a16:creationId xmlns:a16="http://schemas.microsoft.com/office/drawing/2014/main" id="{CE4C0427-0E29-4A5E-84AC-2E55AD264804}"/>
            </a:ext>
          </a:extLst>
        </xdr:cNvPr>
        <xdr:cNvSpPr/>
      </xdr:nvSpPr>
      <xdr:spPr>
        <a:xfrm>
          <a:off x="6163235" y="101173542"/>
          <a:ext cx="723381" cy="24751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15</xdr:col>
      <xdr:colOff>94502</xdr:colOff>
      <xdr:row>808</xdr:row>
      <xdr:rowOff>1427</xdr:rowOff>
    </xdr:from>
    <xdr:to>
      <xdr:col>21</xdr:col>
      <xdr:colOff>37008</xdr:colOff>
      <xdr:row>810</xdr:row>
      <xdr:rowOff>140436</xdr:rowOff>
    </xdr:to>
    <xdr:grpSp>
      <xdr:nvGrpSpPr>
        <xdr:cNvPr id="182" name="グループ化 181">
          <a:extLst>
            <a:ext uri="{FF2B5EF4-FFF2-40B4-BE49-F238E27FC236}">
              <a16:creationId xmlns:a16="http://schemas.microsoft.com/office/drawing/2014/main" id="{3F15A58C-38C2-4F9B-99C6-0489C292560C}"/>
            </a:ext>
          </a:extLst>
        </xdr:cNvPr>
        <xdr:cNvGrpSpPr>
          <a:grpSpLocks noChangeAspect="1"/>
        </xdr:cNvGrpSpPr>
      </xdr:nvGrpSpPr>
      <xdr:grpSpPr>
        <a:xfrm>
          <a:off x="2809127" y="138694952"/>
          <a:ext cx="1028356" cy="481909"/>
          <a:chOff x="2540249" y="18466373"/>
          <a:chExt cx="1263338" cy="566261"/>
        </a:xfrm>
      </xdr:grpSpPr>
      <xdr:sp macro="" textlink="">
        <xdr:nvSpPr>
          <xdr:cNvPr id="183" name="フローチャート: 書類 182">
            <a:extLst>
              <a:ext uri="{FF2B5EF4-FFF2-40B4-BE49-F238E27FC236}">
                <a16:creationId xmlns:a16="http://schemas.microsoft.com/office/drawing/2014/main" id="{7C7F3565-7E44-1BFB-2805-A52EBA881102}"/>
              </a:ext>
            </a:extLst>
          </xdr:cNvPr>
          <xdr:cNvSpPr/>
        </xdr:nvSpPr>
        <xdr:spPr>
          <a:xfrm>
            <a:off x="2654238" y="18545176"/>
            <a:ext cx="1008792"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87" name="正方形/長方形 186">
            <a:extLst>
              <a:ext uri="{FF2B5EF4-FFF2-40B4-BE49-F238E27FC236}">
                <a16:creationId xmlns:a16="http://schemas.microsoft.com/office/drawing/2014/main" id="{F4EE6953-3A5C-4DAB-E429-59A40C653700}"/>
              </a:ext>
            </a:extLst>
          </xdr:cNvPr>
          <xdr:cNvSpPr/>
        </xdr:nvSpPr>
        <xdr:spPr>
          <a:xfrm>
            <a:off x="2540249" y="18466373"/>
            <a:ext cx="1263338"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固定資産移動一覧</a:t>
            </a:r>
          </a:p>
        </xdr:txBody>
      </xdr:sp>
    </xdr:grpSp>
    <xdr:clientData/>
  </xdr:twoCellAnchor>
  <xdr:twoCellAnchor>
    <xdr:from>
      <xdr:col>18</xdr:col>
      <xdr:colOff>56030</xdr:colOff>
      <xdr:row>806</xdr:row>
      <xdr:rowOff>56030</xdr:rowOff>
    </xdr:from>
    <xdr:to>
      <xdr:col>18</xdr:col>
      <xdr:colOff>57070</xdr:colOff>
      <xdr:row>808</xdr:row>
      <xdr:rowOff>73130</xdr:rowOff>
    </xdr:to>
    <xdr:cxnSp macro="">
      <xdr:nvCxnSpPr>
        <xdr:cNvPr id="203" name="直線矢印コネクタ 202">
          <a:extLst>
            <a:ext uri="{FF2B5EF4-FFF2-40B4-BE49-F238E27FC236}">
              <a16:creationId xmlns:a16="http://schemas.microsoft.com/office/drawing/2014/main" id="{3B277C98-DA30-4280-90FF-4E59D159DD7F}"/>
            </a:ext>
          </a:extLst>
        </xdr:cNvPr>
        <xdr:cNvCxnSpPr/>
      </xdr:nvCxnSpPr>
      <xdr:spPr>
        <a:xfrm>
          <a:off x="6510618" y="99967677"/>
          <a:ext cx="1040" cy="35327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63231</xdr:colOff>
      <xdr:row>810</xdr:row>
      <xdr:rowOff>111520</xdr:rowOff>
    </xdr:from>
    <xdr:to>
      <xdr:col>18</xdr:col>
      <xdr:colOff>67861</xdr:colOff>
      <xdr:row>813</xdr:row>
      <xdr:rowOff>76707</xdr:rowOff>
    </xdr:to>
    <xdr:cxnSp macro="">
      <xdr:nvCxnSpPr>
        <xdr:cNvPr id="205" name="直線矢印コネクタ 204">
          <a:extLst>
            <a:ext uri="{FF2B5EF4-FFF2-40B4-BE49-F238E27FC236}">
              <a16:creationId xmlns:a16="http://schemas.microsoft.com/office/drawing/2014/main" id="{B9BFB620-9936-49DC-B8E7-797D70752B65}"/>
            </a:ext>
          </a:extLst>
        </xdr:cNvPr>
        <xdr:cNvCxnSpPr/>
      </xdr:nvCxnSpPr>
      <xdr:spPr>
        <a:xfrm>
          <a:off x="6517819" y="100695520"/>
          <a:ext cx="4630" cy="46945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66</xdr:col>
      <xdr:colOff>119529</xdr:colOff>
      <xdr:row>101</xdr:row>
      <xdr:rowOff>112059</xdr:rowOff>
    </xdr:from>
    <xdr:to>
      <xdr:col>75</xdr:col>
      <xdr:colOff>22412</xdr:colOff>
      <xdr:row>107</xdr:row>
      <xdr:rowOff>141941</xdr:rowOff>
    </xdr:to>
    <xdr:sp macro="" textlink="">
      <xdr:nvSpPr>
        <xdr:cNvPr id="170" name="吹き出し: 角を丸めた四角形 76">
          <a:extLst>
            <a:ext uri="{FF2B5EF4-FFF2-40B4-BE49-F238E27FC236}">
              <a16:creationId xmlns:a16="http://schemas.microsoft.com/office/drawing/2014/main" id="{1D8A1F2B-E0B7-085D-F883-491A77A4B179}"/>
            </a:ext>
          </a:extLst>
        </xdr:cNvPr>
        <xdr:cNvSpPr/>
      </xdr:nvSpPr>
      <xdr:spPr>
        <a:xfrm>
          <a:off x="15658353" y="16995588"/>
          <a:ext cx="1651000" cy="1060824"/>
        </a:xfrm>
        <a:prstGeom prst="wedgeRoundRectCallout">
          <a:avLst>
            <a:gd name="adj1" fmla="val -130788"/>
            <a:gd name="adj2" fmla="val 48813"/>
            <a:gd name="adj3" fmla="val 16667"/>
          </a:avLst>
        </a:prstGeom>
        <a:solidFill>
          <a:srgbClr val="FFDD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取消も登録した部署が行う。</a:t>
          </a:r>
          <a:br>
            <a:rPr kumimoji="1" lang="en-US" altLang="ja-JP" sz="1100"/>
          </a:br>
          <a:r>
            <a:rPr kumimoji="1" lang="ja-JP" altLang="en-US" sz="1100">
              <a:solidFill>
                <a:srgbClr val="0070C0"/>
              </a:solidFill>
            </a:rPr>
            <a:t>⇒修正しました</a:t>
          </a:r>
        </a:p>
      </xdr:txBody>
    </xdr:sp>
    <xdr:clientData/>
  </xdr:twoCellAnchor>
  <xdr:twoCellAnchor>
    <xdr:from>
      <xdr:col>65</xdr:col>
      <xdr:colOff>82177</xdr:colOff>
      <xdr:row>223</xdr:row>
      <xdr:rowOff>89646</xdr:rowOff>
    </xdr:from>
    <xdr:to>
      <xdr:col>73</xdr:col>
      <xdr:colOff>179294</xdr:colOff>
      <xdr:row>229</xdr:row>
      <xdr:rowOff>119529</xdr:rowOff>
    </xdr:to>
    <xdr:sp macro="" textlink="">
      <xdr:nvSpPr>
        <xdr:cNvPr id="181" name="吹き出し: 角を丸めた四角形 126">
          <a:extLst>
            <a:ext uri="{FF2B5EF4-FFF2-40B4-BE49-F238E27FC236}">
              <a16:creationId xmlns:a16="http://schemas.microsoft.com/office/drawing/2014/main" id="{ECB74E29-BC43-4426-9AAB-2497749717FB}"/>
            </a:ext>
          </a:extLst>
        </xdr:cNvPr>
        <xdr:cNvSpPr/>
      </xdr:nvSpPr>
      <xdr:spPr>
        <a:xfrm>
          <a:off x="15426765" y="38107470"/>
          <a:ext cx="1651000" cy="1060824"/>
        </a:xfrm>
        <a:prstGeom prst="wedgeRoundRectCallout">
          <a:avLst>
            <a:gd name="adj1" fmla="val -130788"/>
            <a:gd name="adj2" fmla="val 48813"/>
            <a:gd name="adj3" fmla="val 16667"/>
          </a:avLst>
        </a:prstGeom>
        <a:solidFill>
          <a:srgbClr val="FFDD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取消も登録した部署が行う。</a:t>
          </a:r>
          <a:br>
            <a:rPr kumimoji="1" lang="en-US" altLang="ja-JP" sz="1100"/>
          </a:br>
          <a:r>
            <a:rPr kumimoji="1" lang="ja-JP" altLang="en-US" sz="1100">
              <a:solidFill>
                <a:srgbClr val="0070C0"/>
              </a:solidFill>
            </a:rPr>
            <a:t>⇒修正しました</a:t>
          </a:r>
        </a:p>
      </xdr:txBody>
    </xdr:sp>
    <xdr:clientData/>
  </xdr:twoCellAnchor>
  <xdr:twoCellAnchor>
    <xdr:from>
      <xdr:col>64</xdr:col>
      <xdr:colOff>112059</xdr:colOff>
      <xdr:row>271</xdr:row>
      <xdr:rowOff>82176</xdr:rowOff>
    </xdr:from>
    <xdr:to>
      <xdr:col>74</xdr:col>
      <xdr:colOff>22412</xdr:colOff>
      <xdr:row>278</xdr:row>
      <xdr:rowOff>63500</xdr:rowOff>
    </xdr:to>
    <xdr:sp macro="" textlink="">
      <xdr:nvSpPr>
        <xdr:cNvPr id="227" name="吹き出し: 角を丸めた四角形 139">
          <a:extLst>
            <a:ext uri="{FF2B5EF4-FFF2-40B4-BE49-F238E27FC236}">
              <a16:creationId xmlns:a16="http://schemas.microsoft.com/office/drawing/2014/main" id="{AA59F43A-534B-4C87-B536-564CF42B6FDB}"/>
            </a:ext>
          </a:extLst>
        </xdr:cNvPr>
        <xdr:cNvSpPr/>
      </xdr:nvSpPr>
      <xdr:spPr>
        <a:xfrm>
          <a:off x="12884630" y="46872605"/>
          <a:ext cx="1906068" cy="1187824"/>
        </a:xfrm>
        <a:prstGeom prst="wedgeRoundRectCallout">
          <a:avLst>
            <a:gd name="adj1" fmla="val -133168"/>
            <a:gd name="adj2" fmla="val 11392"/>
            <a:gd name="adj3" fmla="val 16667"/>
          </a:avLst>
        </a:prstGeom>
        <a:solidFill>
          <a:srgbClr val="FFDD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それぞれの資産の管理部署が移動処理を行う。</a:t>
          </a:r>
          <a:r>
            <a:rPr kumimoji="1" lang="en-US" altLang="ja-JP" sz="1100"/>
            <a:t>(</a:t>
          </a:r>
          <a:r>
            <a:rPr kumimoji="1" lang="ja-JP" altLang="en-US" sz="1100"/>
            <a:t>生産部、研究部門、各部署</a:t>
          </a:r>
          <a:r>
            <a:rPr kumimoji="1" lang="en-US" altLang="ja-JP" sz="1100"/>
            <a:t>)</a:t>
          </a:r>
          <a:br>
            <a:rPr kumimoji="1" lang="en-US" altLang="ja-JP" sz="1100"/>
          </a:br>
          <a:r>
            <a:rPr kumimoji="1" lang="ja-JP" altLang="en-US" sz="1100">
              <a:solidFill>
                <a:srgbClr val="0070C0"/>
              </a:solidFill>
            </a:rPr>
            <a:t>⇒修正しました</a:t>
          </a:r>
        </a:p>
      </xdr:txBody>
    </xdr:sp>
    <xdr:clientData/>
  </xdr:twoCellAnchor>
  <xdr:twoCellAnchor>
    <xdr:from>
      <xdr:col>64</xdr:col>
      <xdr:colOff>82176</xdr:colOff>
      <xdr:row>290</xdr:row>
      <xdr:rowOff>97118</xdr:rowOff>
    </xdr:from>
    <xdr:to>
      <xdr:col>75</xdr:col>
      <xdr:colOff>89647</xdr:colOff>
      <xdr:row>297</xdr:row>
      <xdr:rowOff>90714</xdr:rowOff>
    </xdr:to>
    <xdr:sp macro="" textlink="">
      <xdr:nvSpPr>
        <xdr:cNvPr id="230" name="吹き出し: 角を丸めた四角形 165">
          <a:extLst>
            <a:ext uri="{FF2B5EF4-FFF2-40B4-BE49-F238E27FC236}">
              <a16:creationId xmlns:a16="http://schemas.microsoft.com/office/drawing/2014/main" id="{95CA14CF-E608-4E25-86FF-8545CA4A9CF6}"/>
            </a:ext>
          </a:extLst>
        </xdr:cNvPr>
        <xdr:cNvSpPr/>
      </xdr:nvSpPr>
      <xdr:spPr>
        <a:xfrm>
          <a:off x="12854747" y="50851761"/>
          <a:ext cx="2202757" cy="1200096"/>
        </a:xfrm>
        <a:prstGeom prst="wedgeRoundRectCallout">
          <a:avLst>
            <a:gd name="adj1" fmla="val -130788"/>
            <a:gd name="adj2" fmla="val 48813"/>
            <a:gd name="adj3" fmla="val 16667"/>
          </a:avLst>
        </a:prstGeom>
        <a:solidFill>
          <a:srgbClr val="FFDD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100"/>
            <a:t>それぞれの資産の管理部署が売却・処分の処理を行う。</a:t>
          </a:r>
          <a:r>
            <a:rPr kumimoji="1" lang="en-US" altLang="ja-JP" sz="1100"/>
            <a:t>(</a:t>
          </a:r>
          <a:r>
            <a:rPr kumimoji="1" lang="ja-JP" altLang="en-US" sz="1100"/>
            <a:t>生産部、研究部門、各部署</a:t>
          </a:r>
          <a:r>
            <a:rPr kumimoji="1" lang="en-US" altLang="ja-JP" sz="1100"/>
            <a:t>)</a:t>
          </a:r>
          <a:br>
            <a:rPr kumimoji="1" lang="en-US" altLang="ja-JP" sz="1100"/>
          </a:br>
          <a:r>
            <a:rPr kumimoji="1" lang="ja-JP" altLang="en-US" sz="1100">
              <a:solidFill>
                <a:srgbClr val="0070C0"/>
              </a:solidFill>
            </a:rPr>
            <a:t>⇒修正しました</a:t>
          </a:r>
        </a:p>
      </xdr:txBody>
    </xdr:sp>
    <xdr:clientData/>
  </xdr:twoCellAnchor>
  <xdr:twoCellAnchor>
    <xdr:from>
      <xdr:col>2</xdr:col>
      <xdr:colOff>67884</xdr:colOff>
      <xdr:row>34</xdr:row>
      <xdr:rowOff>89354</xdr:rowOff>
    </xdr:from>
    <xdr:to>
      <xdr:col>7</xdr:col>
      <xdr:colOff>12965</xdr:colOff>
      <xdr:row>37</xdr:row>
      <xdr:rowOff>65013</xdr:rowOff>
    </xdr:to>
    <xdr:sp macro="" textlink="">
      <xdr:nvSpPr>
        <xdr:cNvPr id="211" name="フローチャート: 定義済み処理 210">
          <a:extLst>
            <a:ext uri="{FF2B5EF4-FFF2-40B4-BE49-F238E27FC236}">
              <a16:creationId xmlns:a16="http://schemas.microsoft.com/office/drawing/2014/main" id="{AB25837E-AFE6-4763-9EA1-9E101673FD57}"/>
            </a:ext>
          </a:extLst>
        </xdr:cNvPr>
        <xdr:cNvSpPr/>
      </xdr:nvSpPr>
      <xdr:spPr>
        <a:xfrm>
          <a:off x="467027" y="6031140"/>
          <a:ext cx="942938" cy="4927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2</xdr:col>
      <xdr:colOff>18143</xdr:colOff>
      <xdr:row>34</xdr:row>
      <xdr:rowOff>45356</xdr:rowOff>
    </xdr:from>
    <xdr:to>
      <xdr:col>7</xdr:col>
      <xdr:colOff>65653</xdr:colOff>
      <xdr:row>37</xdr:row>
      <xdr:rowOff>83014</xdr:rowOff>
    </xdr:to>
    <xdr:sp macro="" textlink="">
      <xdr:nvSpPr>
        <xdr:cNvPr id="212" name="正方形/長方形 48">
          <a:extLst>
            <a:ext uri="{FF2B5EF4-FFF2-40B4-BE49-F238E27FC236}">
              <a16:creationId xmlns:a16="http://schemas.microsoft.com/office/drawing/2014/main" id="{7622BEAD-A980-461F-AB16-C2802E876F42}"/>
            </a:ext>
          </a:extLst>
        </xdr:cNvPr>
        <xdr:cNvSpPr/>
      </xdr:nvSpPr>
      <xdr:spPr>
        <a:xfrm>
          <a:off x="417286" y="5987142"/>
          <a:ext cx="1045367" cy="55472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決済勘定</a:t>
          </a:r>
          <a:br>
            <a:rPr kumimoji="1" lang="en-US" altLang="ja-JP" sz="900"/>
          </a:br>
          <a:r>
            <a:rPr kumimoji="1" lang="ja-JP" altLang="en-US" sz="900"/>
            <a:t>へ振替</a:t>
          </a:r>
          <a:endParaRPr kumimoji="1" lang="en-US" altLang="ja-JP" sz="900"/>
        </a:p>
      </xdr:txBody>
    </xdr:sp>
    <xdr:clientData/>
  </xdr:twoCellAnchor>
  <xdr:twoCellAnchor>
    <xdr:from>
      <xdr:col>4</xdr:col>
      <xdr:colOff>143876</xdr:colOff>
      <xdr:row>161</xdr:row>
      <xdr:rowOff>101299</xdr:rowOff>
    </xdr:from>
    <xdr:to>
      <xdr:col>4</xdr:col>
      <xdr:colOff>149280</xdr:colOff>
      <xdr:row>169</xdr:row>
      <xdr:rowOff>65548</xdr:rowOff>
    </xdr:to>
    <xdr:cxnSp macro="">
      <xdr:nvCxnSpPr>
        <xdr:cNvPr id="222" name="直線矢印コネクタ 221">
          <a:extLst>
            <a:ext uri="{FF2B5EF4-FFF2-40B4-BE49-F238E27FC236}">
              <a16:creationId xmlns:a16="http://schemas.microsoft.com/office/drawing/2014/main" id="{2E4441E8-D80E-4326-94C0-5C9F29BAFECF}"/>
            </a:ext>
          </a:extLst>
        </xdr:cNvPr>
        <xdr:cNvCxnSpPr>
          <a:cxnSpLocks/>
          <a:stCxn id="249" idx="2"/>
          <a:endCxn id="1383" idx="0"/>
        </xdr:cNvCxnSpPr>
      </xdr:nvCxnSpPr>
      <xdr:spPr>
        <a:xfrm flipH="1">
          <a:off x="942162" y="27760085"/>
          <a:ext cx="5404" cy="134310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71381</xdr:colOff>
      <xdr:row>152</xdr:row>
      <xdr:rowOff>108359</xdr:rowOff>
    </xdr:from>
    <xdr:to>
      <xdr:col>7</xdr:col>
      <xdr:colOff>13287</xdr:colOff>
      <xdr:row>155</xdr:row>
      <xdr:rowOff>74081</xdr:rowOff>
    </xdr:to>
    <xdr:sp macro="" textlink="">
      <xdr:nvSpPr>
        <xdr:cNvPr id="226" name="フローチャート: 定義済み処理 590">
          <a:extLst>
            <a:ext uri="{FF2B5EF4-FFF2-40B4-BE49-F238E27FC236}">
              <a16:creationId xmlns:a16="http://schemas.microsoft.com/office/drawing/2014/main" id="{E78F012A-A6FF-40C3-AEFD-2FD637D0B9AA}"/>
            </a:ext>
          </a:extLst>
        </xdr:cNvPr>
        <xdr:cNvSpPr/>
      </xdr:nvSpPr>
      <xdr:spPr>
        <a:xfrm>
          <a:off x="470524" y="26215930"/>
          <a:ext cx="939763" cy="48279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18141</xdr:colOff>
      <xdr:row>152</xdr:row>
      <xdr:rowOff>81643</xdr:rowOff>
    </xdr:from>
    <xdr:to>
      <xdr:col>7</xdr:col>
      <xdr:colOff>76045</xdr:colOff>
      <xdr:row>155</xdr:row>
      <xdr:rowOff>102365</xdr:rowOff>
    </xdr:to>
    <xdr:sp macro="" textlink="">
      <xdr:nvSpPr>
        <xdr:cNvPr id="228" name="正方形/長方形 48">
          <a:extLst>
            <a:ext uri="{FF2B5EF4-FFF2-40B4-BE49-F238E27FC236}">
              <a16:creationId xmlns:a16="http://schemas.microsoft.com/office/drawing/2014/main" id="{7D9CE2A2-C2DE-4B3D-8D65-D7DCBA9ED1A5}"/>
            </a:ext>
          </a:extLst>
        </xdr:cNvPr>
        <xdr:cNvSpPr/>
      </xdr:nvSpPr>
      <xdr:spPr>
        <a:xfrm>
          <a:off x="417284" y="26189214"/>
          <a:ext cx="1055761" cy="53779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振替金額の</a:t>
          </a:r>
          <a:endParaRPr kumimoji="1" lang="en-US" altLang="ja-JP" sz="900"/>
        </a:p>
        <a:p>
          <a:pPr algn="ctr"/>
          <a:r>
            <a:rPr kumimoji="1" lang="ja-JP" altLang="en-US" sz="900"/>
            <a:t>認識</a:t>
          </a:r>
          <a:endParaRPr kumimoji="1" lang="en-US" altLang="ja-JP" sz="900"/>
        </a:p>
      </xdr:txBody>
    </xdr:sp>
    <xdr:clientData/>
  </xdr:twoCellAnchor>
  <xdr:twoCellAnchor>
    <xdr:from>
      <xdr:col>4</xdr:col>
      <xdr:colOff>142120</xdr:colOff>
      <xdr:row>155</xdr:row>
      <xdr:rowOff>74081</xdr:rowOff>
    </xdr:from>
    <xdr:to>
      <xdr:col>4</xdr:col>
      <xdr:colOff>149280</xdr:colOff>
      <xdr:row>158</xdr:row>
      <xdr:rowOff>125640</xdr:rowOff>
    </xdr:to>
    <xdr:cxnSp macro="">
      <xdr:nvCxnSpPr>
        <xdr:cNvPr id="229" name="直線矢印コネクタ 228">
          <a:extLst>
            <a:ext uri="{FF2B5EF4-FFF2-40B4-BE49-F238E27FC236}">
              <a16:creationId xmlns:a16="http://schemas.microsoft.com/office/drawing/2014/main" id="{D8D8AD6C-8070-4B6E-8A3A-A5F36142B011}"/>
            </a:ext>
          </a:extLst>
        </xdr:cNvPr>
        <xdr:cNvCxnSpPr>
          <a:cxnSpLocks/>
          <a:stCxn id="226" idx="2"/>
          <a:endCxn id="249" idx="0"/>
        </xdr:cNvCxnSpPr>
      </xdr:nvCxnSpPr>
      <xdr:spPr>
        <a:xfrm>
          <a:off x="940406" y="26698724"/>
          <a:ext cx="7160" cy="56863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142120</xdr:colOff>
      <xdr:row>147</xdr:row>
      <xdr:rowOff>130505</xdr:rowOff>
    </xdr:from>
    <xdr:to>
      <xdr:col>4</xdr:col>
      <xdr:colOff>142368</xdr:colOff>
      <xdr:row>152</xdr:row>
      <xdr:rowOff>108359</xdr:rowOff>
    </xdr:to>
    <xdr:cxnSp macro="">
      <xdr:nvCxnSpPr>
        <xdr:cNvPr id="244" name="直線矢印コネクタ 243">
          <a:extLst>
            <a:ext uri="{FF2B5EF4-FFF2-40B4-BE49-F238E27FC236}">
              <a16:creationId xmlns:a16="http://schemas.microsoft.com/office/drawing/2014/main" id="{BB93FCE8-E625-431C-8BC5-E46A15EC171F}"/>
            </a:ext>
          </a:extLst>
        </xdr:cNvPr>
        <xdr:cNvCxnSpPr>
          <a:cxnSpLocks/>
          <a:stCxn id="1665" idx="2"/>
          <a:endCxn id="226" idx="0"/>
        </xdr:cNvCxnSpPr>
      </xdr:nvCxnSpPr>
      <xdr:spPr>
        <a:xfrm flipH="1">
          <a:off x="940406" y="25376291"/>
          <a:ext cx="248" cy="83963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76954</xdr:colOff>
      <xdr:row>158</xdr:row>
      <xdr:rowOff>125640</xdr:rowOff>
    </xdr:from>
    <xdr:to>
      <xdr:col>7</xdr:col>
      <xdr:colOff>22035</xdr:colOff>
      <xdr:row>161</xdr:row>
      <xdr:rowOff>101299</xdr:rowOff>
    </xdr:to>
    <xdr:sp macro="" textlink="">
      <xdr:nvSpPr>
        <xdr:cNvPr id="249" name="フローチャート: 定義済み処理 248">
          <a:extLst>
            <a:ext uri="{FF2B5EF4-FFF2-40B4-BE49-F238E27FC236}">
              <a16:creationId xmlns:a16="http://schemas.microsoft.com/office/drawing/2014/main" id="{066EDECC-0468-43AC-AAFA-AC257903C24C}"/>
            </a:ext>
          </a:extLst>
        </xdr:cNvPr>
        <xdr:cNvSpPr/>
      </xdr:nvSpPr>
      <xdr:spPr>
        <a:xfrm>
          <a:off x="476097" y="27267354"/>
          <a:ext cx="942938" cy="4927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2</xdr:col>
      <xdr:colOff>27213</xdr:colOff>
      <xdr:row>158</xdr:row>
      <xdr:rowOff>81642</xdr:rowOff>
    </xdr:from>
    <xdr:to>
      <xdr:col>7</xdr:col>
      <xdr:colOff>74723</xdr:colOff>
      <xdr:row>161</xdr:row>
      <xdr:rowOff>119300</xdr:rowOff>
    </xdr:to>
    <xdr:sp macro="" textlink="">
      <xdr:nvSpPr>
        <xdr:cNvPr id="251" name="正方形/長方形 48">
          <a:extLst>
            <a:ext uri="{FF2B5EF4-FFF2-40B4-BE49-F238E27FC236}">
              <a16:creationId xmlns:a16="http://schemas.microsoft.com/office/drawing/2014/main" id="{072F97F5-566E-42BD-8BEE-AC10713A0B6A}"/>
            </a:ext>
          </a:extLst>
        </xdr:cNvPr>
        <xdr:cNvSpPr/>
      </xdr:nvSpPr>
      <xdr:spPr>
        <a:xfrm>
          <a:off x="426356" y="27223356"/>
          <a:ext cx="1045367" cy="55473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決済勘定</a:t>
          </a:r>
          <a:br>
            <a:rPr kumimoji="1" lang="en-US" altLang="ja-JP" sz="900"/>
          </a:br>
          <a:r>
            <a:rPr kumimoji="1" lang="ja-JP" altLang="en-US" sz="900"/>
            <a:t>へ振替</a:t>
          </a:r>
          <a:endParaRPr kumimoji="1" lang="en-US" altLang="ja-JP" sz="900"/>
        </a:p>
      </xdr:txBody>
    </xdr:sp>
    <xdr:clientData/>
  </xdr:twoCellAnchor>
  <xdr:twoCellAnchor>
    <xdr:from>
      <xdr:col>4</xdr:col>
      <xdr:colOff>128283</xdr:colOff>
      <xdr:row>30</xdr:row>
      <xdr:rowOff>135208</xdr:rowOff>
    </xdr:from>
    <xdr:to>
      <xdr:col>4</xdr:col>
      <xdr:colOff>140210</xdr:colOff>
      <xdr:row>34</xdr:row>
      <xdr:rowOff>89354</xdr:rowOff>
    </xdr:to>
    <xdr:cxnSp macro="">
      <xdr:nvCxnSpPr>
        <xdr:cNvPr id="345" name="直線矢印コネクタ 344">
          <a:extLst>
            <a:ext uri="{FF2B5EF4-FFF2-40B4-BE49-F238E27FC236}">
              <a16:creationId xmlns:a16="http://schemas.microsoft.com/office/drawing/2014/main" id="{5156B6C7-22F3-416E-84A4-B4AE0FE35927}"/>
            </a:ext>
          </a:extLst>
        </xdr:cNvPr>
        <xdr:cNvCxnSpPr>
          <a:cxnSpLocks/>
          <a:stCxn id="94" idx="2"/>
          <a:endCxn id="211" idx="0"/>
        </xdr:cNvCxnSpPr>
      </xdr:nvCxnSpPr>
      <xdr:spPr>
        <a:xfrm>
          <a:off x="926569" y="5387565"/>
          <a:ext cx="11927" cy="6435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164084</xdr:colOff>
      <xdr:row>30</xdr:row>
      <xdr:rowOff>136955</xdr:rowOff>
    </xdr:from>
    <xdr:to>
      <xdr:col>18</xdr:col>
      <xdr:colOff>183752</xdr:colOff>
      <xdr:row>34</xdr:row>
      <xdr:rowOff>51254</xdr:rowOff>
    </xdr:to>
    <xdr:cxnSp macro="">
      <xdr:nvCxnSpPr>
        <xdr:cNvPr id="355" name="直線矢印コネクタ 354">
          <a:extLst>
            <a:ext uri="{FF2B5EF4-FFF2-40B4-BE49-F238E27FC236}">
              <a16:creationId xmlns:a16="http://schemas.microsoft.com/office/drawing/2014/main" id="{57710FF2-5B56-4A15-9870-DEA0A7717FB8}"/>
            </a:ext>
          </a:extLst>
        </xdr:cNvPr>
        <xdr:cNvCxnSpPr>
          <a:cxnSpLocks/>
          <a:stCxn id="307" idx="2"/>
        </xdr:cNvCxnSpPr>
      </xdr:nvCxnSpPr>
      <xdr:spPr>
        <a:xfrm>
          <a:off x="3756370" y="5389312"/>
          <a:ext cx="19668" cy="6037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124582</xdr:colOff>
      <xdr:row>37</xdr:row>
      <xdr:rowOff>83014</xdr:rowOff>
    </xdr:from>
    <xdr:to>
      <xdr:col>4</xdr:col>
      <xdr:colOff>141684</xdr:colOff>
      <xdr:row>45</xdr:row>
      <xdr:rowOff>109158</xdr:rowOff>
    </xdr:to>
    <xdr:cxnSp macro="">
      <xdr:nvCxnSpPr>
        <xdr:cNvPr id="357" name="直線矢印コネクタ 356">
          <a:extLst>
            <a:ext uri="{FF2B5EF4-FFF2-40B4-BE49-F238E27FC236}">
              <a16:creationId xmlns:a16="http://schemas.microsoft.com/office/drawing/2014/main" id="{00123704-D1EC-41C6-BBA7-8667C2EB08AF}"/>
            </a:ext>
          </a:extLst>
        </xdr:cNvPr>
        <xdr:cNvCxnSpPr>
          <a:cxnSpLocks/>
          <a:stCxn id="212" idx="2"/>
          <a:endCxn id="1254" idx="0"/>
        </xdr:cNvCxnSpPr>
      </xdr:nvCxnSpPr>
      <xdr:spPr>
        <a:xfrm flipH="1">
          <a:off x="922868" y="6541871"/>
          <a:ext cx="17102" cy="140500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157808</xdr:colOff>
      <xdr:row>37</xdr:row>
      <xdr:rowOff>37796</xdr:rowOff>
    </xdr:from>
    <xdr:to>
      <xdr:col>18</xdr:col>
      <xdr:colOff>176497</xdr:colOff>
      <xdr:row>45</xdr:row>
      <xdr:rowOff>119231</xdr:rowOff>
    </xdr:to>
    <xdr:cxnSp macro="">
      <xdr:nvCxnSpPr>
        <xdr:cNvPr id="361" name="直線矢印コネクタ 360">
          <a:extLst>
            <a:ext uri="{FF2B5EF4-FFF2-40B4-BE49-F238E27FC236}">
              <a16:creationId xmlns:a16="http://schemas.microsoft.com/office/drawing/2014/main" id="{30EC37B7-CD74-4A5A-B2E2-F2E6BAB36EE0}"/>
            </a:ext>
          </a:extLst>
        </xdr:cNvPr>
        <xdr:cNvCxnSpPr>
          <a:cxnSpLocks/>
          <a:stCxn id="131" idx="2"/>
          <a:endCxn id="329" idx="0"/>
        </xdr:cNvCxnSpPr>
      </xdr:nvCxnSpPr>
      <xdr:spPr>
        <a:xfrm flipH="1">
          <a:off x="3750094" y="6496653"/>
          <a:ext cx="18689" cy="146029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104139</xdr:colOff>
      <xdr:row>107</xdr:row>
      <xdr:rowOff>92304</xdr:rowOff>
    </xdr:from>
    <xdr:to>
      <xdr:col>4</xdr:col>
      <xdr:colOff>108857</xdr:colOff>
      <xdr:row>109</xdr:row>
      <xdr:rowOff>54429</xdr:rowOff>
    </xdr:to>
    <xdr:cxnSp macro="">
      <xdr:nvCxnSpPr>
        <xdr:cNvPr id="372" name="直線矢印コネクタ 371">
          <a:extLst>
            <a:ext uri="{FF2B5EF4-FFF2-40B4-BE49-F238E27FC236}">
              <a16:creationId xmlns:a16="http://schemas.microsoft.com/office/drawing/2014/main" id="{8870FB05-F8AC-4293-AA01-1775A0CB8E62}"/>
            </a:ext>
          </a:extLst>
        </xdr:cNvPr>
        <xdr:cNvCxnSpPr>
          <a:cxnSpLocks/>
          <a:stCxn id="1346" idx="2"/>
        </xdr:cNvCxnSpPr>
      </xdr:nvCxnSpPr>
      <xdr:spPr>
        <a:xfrm>
          <a:off x="902425" y="18616161"/>
          <a:ext cx="4718" cy="30683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99048</xdr:colOff>
      <xdr:row>231</xdr:row>
      <xdr:rowOff>163717</xdr:rowOff>
    </xdr:from>
    <xdr:to>
      <xdr:col>4</xdr:col>
      <xdr:colOff>108857</xdr:colOff>
      <xdr:row>234</xdr:row>
      <xdr:rowOff>54429</xdr:rowOff>
    </xdr:to>
    <xdr:cxnSp macro="">
      <xdr:nvCxnSpPr>
        <xdr:cNvPr id="379" name="直線矢印コネクタ 378">
          <a:extLst>
            <a:ext uri="{FF2B5EF4-FFF2-40B4-BE49-F238E27FC236}">
              <a16:creationId xmlns:a16="http://schemas.microsoft.com/office/drawing/2014/main" id="{EFDD5800-3220-4184-AB31-85FB136C640B}"/>
            </a:ext>
          </a:extLst>
        </xdr:cNvPr>
        <xdr:cNvCxnSpPr>
          <a:cxnSpLocks/>
          <a:stCxn id="1556" idx="2"/>
        </xdr:cNvCxnSpPr>
      </xdr:nvCxnSpPr>
      <xdr:spPr>
        <a:xfrm>
          <a:off x="897334" y="40059860"/>
          <a:ext cx="9809" cy="4077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141277</xdr:colOff>
      <xdr:row>297</xdr:row>
      <xdr:rowOff>122341</xdr:rowOff>
    </xdr:from>
    <xdr:to>
      <xdr:col>21</xdr:col>
      <xdr:colOff>25254</xdr:colOff>
      <xdr:row>300</xdr:row>
      <xdr:rowOff>151147</xdr:rowOff>
    </xdr:to>
    <xdr:grpSp>
      <xdr:nvGrpSpPr>
        <xdr:cNvPr id="533" name="グループ化 8">
          <a:extLst>
            <a:ext uri="{FF2B5EF4-FFF2-40B4-BE49-F238E27FC236}">
              <a16:creationId xmlns:a16="http://schemas.microsoft.com/office/drawing/2014/main" id="{6ADC36D1-6723-4F05-942E-CF7802B99615}"/>
            </a:ext>
          </a:extLst>
        </xdr:cNvPr>
        <xdr:cNvGrpSpPr/>
      </xdr:nvGrpSpPr>
      <xdr:grpSpPr>
        <a:xfrm>
          <a:off x="2855902" y="51204916"/>
          <a:ext cx="969827" cy="543156"/>
          <a:chOff x="1615543" y="2430783"/>
          <a:chExt cx="908902" cy="422628"/>
        </a:xfrm>
      </xdr:grpSpPr>
      <xdr:sp macro="" textlink="">
        <xdr:nvSpPr>
          <xdr:cNvPr id="534" name="フローチャート: 定義済み処理 9">
            <a:extLst>
              <a:ext uri="{FF2B5EF4-FFF2-40B4-BE49-F238E27FC236}">
                <a16:creationId xmlns:a16="http://schemas.microsoft.com/office/drawing/2014/main" id="{24001291-ABAA-FE05-6346-7BC976BB91B2}"/>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35" name="正方形/長方形 48">
            <a:extLst>
              <a:ext uri="{FF2B5EF4-FFF2-40B4-BE49-F238E27FC236}">
                <a16:creationId xmlns:a16="http://schemas.microsoft.com/office/drawing/2014/main" id="{E06A8078-225E-364E-D242-6F1B10CD6E26}"/>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売却・処分</a:t>
            </a:r>
            <a:endParaRPr kumimoji="1" lang="en-US" altLang="ja-JP" sz="900"/>
          </a:p>
          <a:p>
            <a:pPr algn="ctr"/>
            <a:r>
              <a:rPr kumimoji="1" lang="ja-JP" altLang="en-US" sz="900"/>
              <a:t>提案の実行</a:t>
            </a:r>
          </a:p>
        </xdr:txBody>
      </xdr:sp>
    </xdr:grpSp>
    <xdr:clientData/>
  </xdr:twoCellAnchor>
  <xdr:twoCellAnchor>
    <xdr:from>
      <xdr:col>16</xdr:col>
      <xdr:colOff>154398</xdr:colOff>
      <xdr:row>288</xdr:row>
      <xdr:rowOff>66989</xdr:rowOff>
    </xdr:from>
    <xdr:to>
      <xdr:col>20</xdr:col>
      <xdr:colOff>62038</xdr:colOff>
      <xdr:row>289</xdr:row>
      <xdr:rowOff>168157</xdr:rowOff>
    </xdr:to>
    <xdr:sp macro="" textlink="">
      <xdr:nvSpPr>
        <xdr:cNvPr id="542" name="フローチャート: 端子 26">
          <a:extLst>
            <a:ext uri="{FF2B5EF4-FFF2-40B4-BE49-F238E27FC236}">
              <a16:creationId xmlns:a16="http://schemas.microsoft.com/office/drawing/2014/main" id="{E28B8F57-E1A8-4F91-8B0C-43535650D0DD}"/>
            </a:ext>
          </a:extLst>
        </xdr:cNvPr>
        <xdr:cNvSpPr/>
      </xdr:nvSpPr>
      <xdr:spPr>
        <a:xfrm>
          <a:off x="3347541" y="50476918"/>
          <a:ext cx="705926" cy="2735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105806</xdr:colOff>
      <xdr:row>289</xdr:row>
      <xdr:rowOff>171332</xdr:rowOff>
    </xdr:from>
    <xdr:to>
      <xdr:col>18</xdr:col>
      <xdr:colOff>105806</xdr:colOff>
      <xdr:row>292</xdr:row>
      <xdr:rowOff>3312</xdr:rowOff>
    </xdr:to>
    <xdr:cxnSp macro="">
      <xdr:nvCxnSpPr>
        <xdr:cNvPr id="543" name="直線矢印コネクタ 542">
          <a:extLst>
            <a:ext uri="{FF2B5EF4-FFF2-40B4-BE49-F238E27FC236}">
              <a16:creationId xmlns:a16="http://schemas.microsoft.com/office/drawing/2014/main" id="{4A160EAE-826B-4FD6-B427-54A4C26D705C}"/>
            </a:ext>
          </a:extLst>
        </xdr:cNvPr>
        <xdr:cNvCxnSpPr>
          <a:stCxn id="542" idx="2"/>
        </xdr:cNvCxnSpPr>
      </xdr:nvCxnSpPr>
      <xdr:spPr>
        <a:xfrm flipH="1">
          <a:off x="3698092" y="50753618"/>
          <a:ext cx="0" cy="34905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50577</xdr:colOff>
      <xdr:row>293</xdr:row>
      <xdr:rowOff>91128</xdr:rowOff>
    </xdr:from>
    <xdr:to>
      <xdr:col>24</xdr:col>
      <xdr:colOff>139303</xdr:colOff>
      <xdr:row>295</xdr:row>
      <xdr:rowOff>119693</xdr:rowOff>
    </xdr:to>
    <xdr:grpSp>
      <xdr:nvGrpSpPr>
        <xdr:cNvPr id="544" name="グループ化 543">
          <a:extLst>
            <a:ext uri="{FF2B5EF4-FFF2-40B4-BE49-F238E27FC236}">
              <a16:creationId xmlns:a16="http://schemas.microsoft.com/office/drawing/2014/main" id="{E19E405A-ACD9-47D4-A815-89700ACC1468}"/>
            </a:ext>
          </a:extLst>
        </xdr:cNvPr>
        <xdr:cNvGrpSpPr>
          <a:grpSpLocks noChangeAspect="1"/>
        </xdr:cNvGrpSpPr>
      </xdr:nvGrpSpPr>
      <xdr:grpSpPr>
        <a:xfrm>
          <a:off x="3308127" y="50487903"/>
          <a:ext cx="1174576" cy="371465"/>
          <a:chOff x="2468410" y="18514795"/>
          <a:chExt cx="1417557" cy="417276"/>
        </a:xfrm>
      </xdr:grpSpPr>
      <xdr:sp macro="" textlink="">
        <xdr:nvSpPr>
          <xdr:cNvPr id="545" name="フローチャート: 書類 544">
            <a:extLst>
              <a:ext uri="{FF2B5EF4-FFF2-40B4-BE49-F238E27FC236}">
                <a16:creationId xmlns:a16="http://schemas.microsoft.com/office/drawing/2014/main" id="{89580105-0CA9-698F-C011-1C46FF1E10F1}"/>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46" name="正方形/長方形 545">
            <a:extLst>
              <a:ext uri="{FF2B5EF4-FFF2-40B4-BE49-F238E27FC236}">
                <a16:creationId xmlns:a16="http://schemas.microsoft.com/office/drawing/2014/main" id="{17F2C72A-9448-DC85-1FDF-E1F9261B18AC}"/>
              </a:ext>
            </a:extLst>
          </xdr:cNvPr>
          <xdr:cNvSpPr/>
        </xdr:nvSpPr>
        <xdr:spPr>
          <a:xfrm>
            <a:off x="2468410" y="18514795"/>
            <a:ext cx="1417557"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売却・処分伝票</a:t>
            </a:r>
            <a:endParaRPr kumimoji="1" lang="en-US" altLang="ja-JP" sz="900"/>
          </a:p>
        </xdr:txBody>
      </xdr:sp>
    </xdr:grpSp>
    <xdr:clientData/>
  </xdr:twoCellAnchor>
  <xdr:twoCellAnchor>
    <xdr:from>
      <xdr:col>18</xdr:col>
      <xdr:colOff>106438</xdr:colOff>
      <xdr:row>294</xdr:row>
      <xdr:rowOff>113194</xdr:rowOff>
    </xdr:from>
    <xdr:to>
      <xdr:col>18</xdr:col>
      <xdr:colOff>108322</xdr:colOff>
      <xdr:row>297</xdr:row>
      <xdr:rowOff>154949</xdr:rowOff>
    </xdr:to>
    <xdr:cxnSp macro="">
      <xdr:nvCxnSpPr>
        <xdr:cNvPr id="547" name="コネクタ: カギ線 546">
          <a:extLst>
            <a:ext uri="{FF2B5EF4-FFF2-40B4-BE49-F238E27FC236}">
              <a16:creationId xmlns:a16="http://schemas.microsoft.com/office/drawing/2014/main" id="{296EC765-CF3B-478E-BBB2-148CEE720223}"/>
            </a:ext>
          </a:extLst>
        </xdr:cNvPr>
        <xdr:cNvCxnSpPr>
          <a:cxnSpLocks/>
          <a:endCxn id="534" idx="0"/>
        </xdr:cNvCxnSpPr>
      </xdr:nvCxnSpPr>
      <xdr:spPr>
        <a:xfrm rot="16200000" flipH="1">
          <a:off x="3420252" y="51835737"/>
          <a:ext cx="558827" cy="188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154396</xdr:colOff>
      <xdr:row>268</xdr:row>
      <xdr:rowOff>112346</xdr:rowOff>
    </xdr:from>
    <xdr:to>
      <xdr:col>20</xdr:col>
      <xdr:colOff>62036</xdr:colOff>
      <xdr:row>270</xdr:row>
      <xdr:rowOff>41157</xdr:rowOff>
    </xdr:to>
    <xdr:sp macro="" textlink="">
      <xdr:nvSpPr>
        <xdr:cNvPr id="572" name="フローチャート: 端子 26">
          <a:extLst>
            <a:ext uri="{FF2B5EF4-FFF2-40B4-BE49-F238E27FC236}">
              <a16:creationId xmlns:a16="http://schemas.microsoft.com/office/drawing/2014/main" id="{D4347294-8ADC-4A7C-8375-84AC5B68668D}"/>
            </a:ext>
          </a:extLst>
        </xdr:cNvPr>
        <xdr:cNvSpPr/>
      </xdr:nvSpPr>
      <xdr:spPr>
        <a:xfrm>
          <a:off x="3347539" y="46385703"/>
          <a:ext cx="705926" cy="27352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16</xdr:col>
      <xdr:colOff>183657</xdr:colOff>
      <xdr:row>281</xdr:row>
      <xdr:rowOff>59823</xdr:rowOff>
    </xdr:from>
    <xdr:to>
      <xdr:col>20</xdr:col>
      <xdr:colOff>83374</xdr:colOff>
      <xdr:row>282</xdr:row>
      <xdr:rowOff>155467</xdr:rowOff>
    </xdr:to>
    <xdr:sp macro="" textlink="">
      <xdr:nvSpPr>
        <xdr:cNvPr id="576" name="フローチャート: 端子 26">
          <a:extLst>
            <a:ext uri="{FF2B5EF4-FFF2-40B4-BE49-F238E27FC236}">
              <a16:creationId xmlns:a16="http://schemas.microsoft.com/office/drawing/2014/main" id="{BFD7E2B4-11FD-49A9-BED2-309638D0C5A6}"/>
            </a:ext>
          </a:extLst>
        </xdr:cNvPr>
        <xdr:cNvSpPr/>
      </xdr:nvSpPr>
      <xdr:spPr>
        <a:xfrm>
          <a:off x="3376800" y="48573823"/>
          <a:ext cx="698003" cy="26800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15</xdr:col>
      <xdr:colOff>137019</xdr:colOff>
      <xdr:row>272</xdr:row>
      <xdr:rowOff>39445</xdr:rowOff>
    </xdr:from>
    <xdr:to>
      <xdr:col>21</xdr:col>
      <xdr:colOff>56731</xdr:colOff>
      <xdr:row>275</xdr:row>
      <xdr:rowOff>16358</xdr:rowOff>
    </xdr:to>
    <xdr:grpSp>
      <xdr:nvGrpSpPr>
        <xdr:cNvPr id="580" name="グループ化 579">
          <a:extLst>
            <a:ext uri="{FF2B5EF4-FFF2-40B4-BE49-F238E27FC236}">
              <a16:creationId xmlns:a16="http://schemas.microsoft.com/office/drawing/2014/main" id="{9827536D-8F90-4C0D-A2EC-17C0DA940BB9}"/>
            </a:ext>
          </a:extLst>
        </xdr:cNvPr>
        <xdr:cNvGrpSpPr/>
      </xdr:nvGrpSpPr>
      <xdr:grpSpPr>
        <a:xfrm>
          <a:off x="2851644" y="46835770"/>
          <a:ext cx="1005562" cy="491263"/>
          <a:chOff x="1632852" y="2452651"/>
          <a:chExt cx="905767" cy="408691"/>
        </a:xfrm>
      </xdr:grpSpPr>
      <xdr:sp macro="" textlink="">
        <xdr:nvSpPr>
          <xdr:cNvPr id="581" name="フローチャート: 処理 580">
            <a:extLst>
              <a:ext uri="{FF2B5EF4-FFF2-40B4-BE49-F238E27FC236}">
                <a16:creationId xmlns:a16="http://schemas.microsoft.com/office/drawing/2014/main" id="{43D180D0-2596-6455-42A2-3AFA29F01F2C}"/>
              </a:ext>
            </a:extLst>
          </xdr:cNvPr>
          <xdr:cNvSpPr/>
        </xdr:nvSpPr>
        <xdr:spPr>
          <a:xfrm>
            <a:off x="1682750" y="2457448"/>
            <a:ext cx="819151"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82" name="正方形/長方形 48">
            <a:extLst>
              <a:ext uri="{FF2B5EF4-FFF2-40B4-BE49-F238E27FC236}">
                <a16:creationId xmlns:a16="http://schemas.microsoft.com/office/drawing/2014/main" id="{DAD342CD-BBC4-649C-B2C5-325C37CCEC95}"/>
              </a:ext>
            </a:extLst>
          </xdr:cNvPr>
          <xdr:cNvSpPr/>
        </xdr:nvSpPr>
        <xdr:spPr>
          <a:xfrm>
            <a:off x="1632852" y="2452651"/>
            <a:ext cx="905767" cy="40869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en-US" altLang="ja-JP" sz="900" baseline="0">
                <a:solidFill>
                  <a:schemeClr val="dk1"/>
                </a:solidFill>
                <a:effectLst/>
                <a:latin typeface="+mn-lt"/>
                <a:ea typeface="+mn-ea"/>
                <a:cs typeface="+mn-cs"/>
              </a:rPr>
              <a:t> </a:t>
            </a:r>
            <a:r>
              <a:rPr kumimoji="1" lang="ja-JP" altLang="en-US" sz="900"/>
              <a:t>移動伝票の発行</a:t>
            </a:r>
          </a:p>
        </xdr:txBody>
      </xdr:sp>
    </xdr:grpSp>
    <xdr:clientData/>
  </xdr:twoCellAnchor>
  <xdr:twoCellAnchor>
    <xdr:from>
      <xdr:col>15</xdr:col>
      <xdr:colOff>160227</xdr:colOff>
      <xdr:row>276</xdr:row>
      <xdr:rowOff>97291</xdr:rowOff>
    </xdr:from>
    <xdr:to>
      <xdr:col>21</xdr:col>
      <xdr:colOff>46413</xdr:colOff>
      <xdr:row>279</xdr:row>
      <xdr:rowOff>116571</xdr:rowOff>
    </xdr:to>
    <xdr:grpSp>
      <xdr:nvGrpSpPr>
        <xdr:cNvPr id="583" name="グループ化 8">
          <a:extLst>
            <a:ext uri="{FF2B5EF4-FFF2-40B4-BE49-F238E27FC236}">
              <a16:creationId xmlns:a16="http://schemas.microsoft.com/office/drawing/2014/main" id="{7B8EAC63-F493-49A2-B070-BD858D9C5934}"/>
            </a:ext>
          </a:extLst>
        </xdr:cNvPr>
        <xdr:cNvGrpSpPr/>
      </xdr:nvGrpSpPr>
      <xdr:grpSpPr>
        <a:xfrm>
          <a:off x="2874852" y="47579416"/>
          <a:ext cx="972036" cy="533630"/>
          <a:chOff x="1615543" y="2430783"/>
          <a:chExt cx="908902" cy="422628"/>
        </a:xfrm>
      </xdr:grpSpPr>
      <xdr:sp macro="" textlink="">
        <xdr:nvSpPr>
          <xdr:cNvPr id="588" name="フローチャート: 定義済み処理 9">
            <a:extLst>
              <a:ext uri="{FF2B5EF4-FFF2-40B4-BE49-F238E27FC236}">
                <a16:creationId xmlns:a16="http://schemas.microsoft.com/office/drawing/2014/main" id="{6CDA4C4E-CF99-6769-BFF5-F3A4516BF62B}"/>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89" name="正方形/長方形 48">
            <a:extLst>
              <a:ext uri="{FF2B5EF4-FFF2-40B4-BE49-F238E27FC236}">
                <a16:creationId xmlns:a16="http://schemas.microsoft.com/office/drawing/2014/main" id="{5C305A66-A7B2-F27D-A8E8-61187A06F6B5}"/>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固定資産</a:t>
            </a:r>
            <a:br>
              <a:rPr kumimoji="1" lang="en-US" altLang="ja-JP" sz="900"/>
            </a:br>
            <a:r>
              <a:rPr kumimoji="1" lang="ja-JP" altLang="en-US" sz="900"/>
              <a:t>移動処理</a:t>
            </a:r>
          </a:p>
        </xdr:txBody>
      </xdr:sp>
    </xdr:grpSp>
    <xdr:clientData/>
  </xdr:twoCellAnchor>
  <xdr:twoCellAnchor>
    <xdr:from>
      <xdr:col>18</xdr:col>
      <xdr:colOff>103652</xdr:colOff>
      <xdr:row>270</xdr:row>
      <xdr:rowOff>41157</xdr:rowOff>
    </xdr:from>
    <xdr:to>
      <xdr:col>18</xdr:col>
      <xdr:colOff>108215</xdr:colOff>
      <xdr:row>272</xdr:row>
      <xdr:rowOff>45449</xdr:rowOff>
    </xdr:to>
    <xdr:cxnSp macro="">
      <xdr:nvCxnSpPr>
        <xdr:cNvPr id="590" name="直線矢印コネクタ 589">
          <a:extLst>
            <a:ext uri="{FF2B5EF4-FFF2-40B4-BE49-F238E27FC236}">
              <a16:creationId xmlns:a16="http://schemas.microsoft.com/office/drawing/2014/main" id="{F8D3F9A4-C102-4F5D-A568-31A26BE943E1}"/>
            </a:ext>
          </a:extLst>
        </xdr:cNvPr>
        <xdr:cNvCxnSpPr>
          <a:stCxn id="572" idx="2"/>
          <a:endCxn id="581" idx="0"/>
        </xdr:cNvCxnSpPr>
      </xdr:nvCxnSpPr>
      <xdr:spPr>
        <a:xfrm flipH="1">
          <a:off x="3695938" y="46659228"/>
          <a:ext cx="4563" cy="34900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125188</xdr:colOff>
      <xdr:row>274</xdr:row>
      <xdr:rowOff>163286</xdr:rowOff>
    </xdr:from>
    <xdr:to>
      <xdr:col>18</xdr:col>
      <xdr:colOff>128638</xdr:colOff>
      <xdr:row>276</xdr:row>
      <xdr:rowOff>128789</xdr:rowOff>
    </xdr:to>
    <xdr:cxnSp macro="">
      <xdr:nvCxnSpPr>
        <xdr:cNvPr id="591" name="直線矢印コネクタ 590">
          <a:extLst>
            <a:ext uri="{FF2B5EF4-FFF2-40B4-BE49-F238E27FC236}">
              <a16:creationId xmlns:a16="http://schemas.microsoft.com/office/drawing/2014/main" id="{E88DEA9A-3431-4A4F-A9AD-B31CF9854137}"/>
            </a:ext>
          </a:extLst>
        </xdr:cNvPr>
        <xdr:cNvCxnSpPr>
          <a:cxnSpLocks/>
          <a:endCxn id="588" idx="0"/>
        </xdr:cNvCxnSpPr>
      </xdr:nvCxnSpPr>
      <xdr:spPr>
        <a:xfrm>
          <a:off x="3717474" y="47470786"/>
          <a:ext cx="3450" cy="31021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128725</xdr:colOff>
      <xdr:row>279</xdr:row>
      <xdr:rowOff>83925</xdr:rowOff>
    </xdr:from>
    <xdr:to>
      <xdr:col>18</xdr:col>
      <xdr:colOff>135103</xdr:colOff>
      <xdr:row>281</xdr:row>
      <xdr:rowOff>56648</xdr:rowOff>
    </xdr:to>
    <xdr:cxnSp macro="">
      <xdr:nvCxnSpPr>
        <xdr:cNvPr id="592" name="直線矢印コネクタ 591">
          <a:extLst>
            <a:ext uri="{FF2B5EF4-FFF2-40B4-BE49-F238E27FC236}">
              <a16:creationId xmlns:a16="http://schemas.microsoft.com/office/drawing/2014/main" id="{F2D39BFE-E2BE-49D2-A05F-4D3114DDA0E9}"/>
            </a:ext>
          </a:extLst>
        </xdr:cNvPr>
        <xdr:cNvCxnSpPr>
          <a:cxnSpLocks/>
          <a:stCxn id="588" idx="2"/>
          <a:endCxn id="576" idx="0"/>
        </xdr:cNvCxnSpPr>
      </xdr:nvCxnSpPr>
      <xdr:spPr>
        <a:xfrm>
          <a:off x="3721011" y="48253211"/>
          <a:ext cx="6378" cy="31743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123695</xdr:colOff>
      <xdr:row>273</xdr:row>
      <xdr:rowOff>166310</xdr:rowOff>
    </xdr:from>
    <xdr:to>
      <xdr:col>25</xdr:col>
      <xdr:colOff>16149</xdr:colOff>
      <xdr:row>276</xdr:row>
      <xdr:rowOff>16168</xdr:rowOff>
    </xdr:to>
    <xdr:grpSp>
      <xdr:nvGrpSpPr>
        <xdr:cNvPr id="593" name="グループ化 592">
          <a:extLst>
            <a:ext uri="{FF2B5EF4-FFF2-40B4-BE49-F238E27FC236}">
              <a16:creationId xmlns:a16="http://schemas.microsoft.com/office/drawing/2014/main" id="{19437EFC-8B84-4C5A-A915-EB97F49EC45D}"/>
            </a:ext>
          </a:extLst>
        </xdr:cNvPr>
        <xdr:cNvGrpSpPr>
          <a:grpSpLocks noChangeAspect="1"/>
        </xdr:cNvGrpSpPr>
      </xdr:nvGrpSpPr>
      <xdr:grpSpPr>
        <a:xfrm>
          <a:off x="3381245" y="47134085"/>
          <a:ext cx="1159279" cy="364208"/>
          <a:chOff x="2468410" y="18514795"/>
          <a:chExt cx="1417557" cy="417276"/>
        </a:xfrm>
      </xdr:grpSpPr>
      <xdr:sp macro="" textlink="">
        <xdr:nvSpPr>
          <xdr:cNvPr id="595" name="フローチャート: 書類 594">
            <a:extLst>
              <a:ext uri="{FF2B5EF4-FFF2-40B4-BE49-F238E27FC236}">
                <a16:creationId xmlns:a16="http://schemas.microsoft.com/office/drawing/2014/main" id="{36EA961C-AD6C-352D-DC3F-2237E35457AF}"/>
              </a:ext>
            </a:extLst>
          </xdr:cNvPr>
          <xdr:cNvSpPr/>
        </xdr:nvSpPr>
        <xdr:spPr>
          <a:xfrm>
            <a:off x="2878818"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596" name="正方形/長方形 595">
            <a:extLst>
              <a:ext uri="{FF2B5EF4-FFF2-40B4-BE49-F238E27FC236}">
                <a16:creationId xmlns:a16="http://schemas.microsoft.com/office/drawing/2014/main" id="{060F6393-F4CA-000B-9A84-15657AA8943D}"/>
              </a:ext>
            </a:extLst>
          </xdr:cNvPr>
          <xdr:cNvSpPr/>
        </xdr:nvSpPr>
        <xdr:spPr>
          <a:xfrm>
            <a:off x="2468410" y="18514795"/>
            <a:ext cx="1417557"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移動伝票</a:t>
            </a:r>
            <a:endParaRPr kumimoji="1" lang="en-US" altLang="ja-JP" sz="900"/>
          </a:p>
        </xdr:txBody>
      </xdr:sp>
    </xdr:grpSp>
    <xdr:clientData/>
  </xdr:twoCellAnchor>
  <xdr:twoCellAnchor>
    <xdr:from>
      <xdr:col>31</xdr:col>
      <xdr:colOff>16523</xdr:colOff>
      <xdr:row>303</xdr:row>
      <xdr:rowOff>21687</xdr:rowOff>
    </xdr:from>
    <xdr:to>
      <xdr:col>34</xdr:col>
      <xdr:colOff>190007</xdr:colOff>
      <xdr:row>306</xdr:row>
      <xdr:rowOff>130045</xdr:rowOff>
    </xdr:to>
    <xdr:grpSp>
      <xdr:nvGrpSpPr>
        <xdr:cNvPr id="856" name="グループ化 92">
          <a:extLst>
            <a:ext uri="{FF2B5EF4-FFF2-40B4-BE49-F238E27FC236}">
              <a16:creationId xmlns:a16="http://schemas.microsoft.com/office/drawing/2014/main" id="{13E2B838-0B9B-4016-BE2E-FB4C5AD5902F}"/>
            </a:ext>
          </a:extLst>
        </xdr:cNvPr>
        <xdr:cNvGrpSpPr/>
      </xdr:nvGrpSpPr>
      <xdr:grpSpPr>
        <a:xfrm>
          <a:off x="5626748" y="52132962"/>
          <a:ext cx="706884" cy="622708"/>
          <a:chOff x="7144737" y="2892425"/>
          <a:chExt cx="763434" cy="597682"/>
        </a:xfrm>
      </xdr:grpSpPr>
      <xdr:sp macro="" textlink="">
        <xdr:nvSpPr>
          <xdr:cNvPr id="863" name="フローチャート: 磁気ディスク 93">
            <a:extLst>
              <a:ext uri="{FF2B5EF4-FFF2-40B4-BE49-F238E27FC236}">
                <a16:creationId xmlns:a16="http://schemas.microsoft.com/office/drawing/2014/main" id="{0FEF77BA-253A-3883-36C5-6C890D9D4B0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64" name="正方形/長方形 94">
            <a:extLst>
              <a:ext uri="{FF2B5EF4-FFF2-40B4-BE49-F238E27FC236}">
                <a16:creationId xmlns:a16="http://schemas.microsoft.com/office/drawing/2014/main" id="{738B2A6D-CCB1-9BAC-C882-E86303858DB1}"/>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7</xdr:col>
      <xdr:colOff>67635</xdr:colOff>
      <xdr:row>304</xdr:row>
      <xdr:rowOff>130073</xdr:rowOff>
    </xdr:from>
    <xdr:to>
      <xdr:col>31</xdr:col>
      <xdr:colOff>76542</xdr:colOff>
      <xdr:row>304</xdr:row>
      <xdr:rowOff>147488</xdr:rowOff>
    </xdr:to>
    <xdr:cxnSp macro="">
      <xdr:nvCxnSpPr>
        <xdr:cNvPr id="865" name="直線矢印コネクタ 864">
          <a:extLst>
            <a:ext uri="{FF2B5EF4-FFF2-40B4-BE49-F238E27FC236}">
              <a16:creationId xmlns:a16="http://schemas.microsoft.com/office/drawing/2014/main" id="{A61F70CC-670C-49E8-8057-DCF827CE81E4}"/>
            </a:ext>
          </a:extLst>
        </xdr:cNvPr>
        <xdr:cNvCxnSpPr>
          <a:cxnSpLocks/>
          <a:stCxn id="908" idx="3"/>
          <a:endCxn id="863" idx="2"/>
        </xdr:cNvCxnSpPr>
      </xdr:nvCxnSpPr>
      <xdr:spPr>
        <a:xfrm flipV="1">
          <a:off x="1464635" y="31753073"/>
          <a:ext cx="4798621" cy="174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174696</xdr:colOff>
      <xdr:row>309</xdr:row>
      <xdr:rowOff>101518</xdr:rowOff>
    </xdr:from>
    <xdr:to>
      <xdr:col>34</xdr:col>
      <xdr:colOff>151907</xdr:colOff>
      <xdr:row>313</xdr:row>
      <xdr:rowOff>36694</xdr:rowOff>
    </xdr:to>
    <xdr:grpSp>
      <xdr:nvGrpSpPr>
        <xdr:cNvPr id="866" name="グループ化 92">
          <a:extLst>
            <a:ext uri="{FF2B5EF4-FFF2-40B4-BE49-F238E27FC236}">
              <a16:creationId xmlns:a16="http://schemas.microsoft.com/office/drawing/2014/main" id="{E2B48338-74D8-4CD3-A754-6AFB3678BC98}"/>
            </a:ext>
          </a:extLst>
        </xdr:cNvPr>
        <xdr:cNvGrpSpPr/>
      </xdr:nvGrpSpPr>
      <xdr:grpSpPr>
        <a:xfrm>
          <a:off x="5603946" y="53241493"/>
          <a:ext cx="701111" cy="620976"/>
          <a:chOff x="7144737" y="2892425"/>
          <a:chExt cx="763434" cy="597682"/>
        </a:xfrm>
      </xdr:grpSpPr>
      <xdr:sp macro="" textlink="">
        <xdr:nvSpPr>
          <xdr:cNvPr id="874" name="フローチャート: 磁気ディスク 93">
            <a:extLst>
              <a:ext uri="{FF2B5EF4-FFF2-40B4-BE49-F238E27FC236}">
                <a16:creationId xmlns:a16="http://schemas.microsoft.com/office/drawing/2014/main" id="{DA20D240-446B-81DF-67AC-94B3E7E2DE1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75" name="正方形/長方形 94">
            <a:extLst>
              <a:ext uri="{FF2B5EF4-FFF2-40B4-BE49-F238E27FC236}">
                <a16:creationId xmlns:a16="http://schemas.microsoft.com/office/drawing/2014/main" id="{C442E9B1-2729-B24A-4A28-F2A8848300E8}"/>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67636</xdr:colOff>
      <xdr:row>311</xdr:row>
      <xdr:rowOff>37177</xdr:rowOff>
    </xdr:from>
    <xdr:to>
      <xdr:col>31</xdr:col>
      <xdr:colOff>35401</xdr:colOff>
      <xdr:row>311</xdr:row>
      <xdr:rowOff>48114</xdr:rowOff>
    </xdr:to>
    <xdr:cxnSp macro="">
      <xdr:nvCxnSpPr>
        <xdr:cNvPr id="876" name="直線矢印コネクタ 875">
          <a:extLst>
            <a:ext uri="{FF2B5EF4-FFF2-40B4-BE49-F238E27FC236}">
              <a16:creationId xmlns:a16="http://schemas.microsoft.com/office/drawing/2014/main" id="{E909E4CF-08BA-48C5-90FD-F7E50F39EFB2}"/>
            </a:ext>
          </a:extLst>
        </xdr:cNvPr>
        <xdr:cNvCxnSpPr>
          <a:cxnSpLocks/>
          <a:stCxn id="914" idx="3"/>
          <a:endCxn id="874" idx="2"/>
        </xdr:cNvCxnSpPr>
      </xdr:nvCxnSpPr>
      <xdr:spPr>
        <a:xfrm flipV="1">
          <a:off x="2861636" y="32866677"/>
          <a:ext cx="3360479" cy="109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18668</xdr:colOff>
      <xdr:row>325</xdr:row>
      <xdr:rowOff>154957</xdr:rowOff>
    </xdr:from>
    <xdr:to>
      <xdr:col>34</xdr:col>
      <xdr:colOff>195450</xdr:colOff>
      <xdr:row>329</xdr:row>
      <xdr:rowOff>89309</xdr:rowOff>
    </xdr:to>
    <xdr:grpSp>
      <xdr:nvGrpSpPr>
        <xdr:cNvPr id="885" name="グループ化 92">
          <a:extLst>
            <a:ext uri="{FF2B5EF4-FFF2-40B4-BE49-F238E27FC236}">
              <a16:creationId xmlns:a16="http://schemas.microsoft.com/office/drawing/2014/main" id="{2E020EB9-7571-4276-80B7-B38CEFF5ECCC}"/>
            </a:ext>
          </a:extLst>
        </xdr:cNvPr>
        <xdr:cNvGrpSpPr/>
      </xdr:nvGrpSpPr>
      <xdr:grpSpPr>
        <a:xfrm>
          <a:off x="5628893" y="56038132"/>
          <a:ext cx="700657" cy="620152"/>
          <a:chOff x="7144737" y="2892425"/>
          <a:chExt cx="763434" cy="597682"/>
        </a:xfrm>
      </xdr:grpSpPr>
      <xdr:sp macro="" textlink="">
        <xdr:nvSpPr>
          <xdr:cNvPr id="886" name="フローチャート: 磁気ディスク 93">
            <a:extLst>
              <a:ext uri="{FF2B5EF4-FFF2-40B4-BE49-F238E27FC236}">
                <a16:creationId xmlns:a16="http://schemas.microsoft.com/office/drawing/2014/main" id="{1C35B0CD-B9A1-D1B9-708B-83F83C03650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87" name="正方形/長方形 94">
            <a:extLst>
              <a:ext uri="{FF2B5EF4-FFF2-40B4-BE49-F238E27FC236}">
                <a16:creationId xmlns:a16="http://schemas.microsoft.com/office/drawing/2014/main" id="{8163A8E8-ACD6-F07A-D2C4-BF6177561DCB}"/>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89408</xdr:colOff>
      <xdr:row>327</xdr:row>
      <xdr:rowOff>78958</xdr:rowOff>
    </xdr:from>
    <xdr:to>
      <xdr:col>31</xdr:col>
      <xdr:colOff>78944</xdr:colOff>
      <xdr:row>327</xdr:row>
      <xdr:rowOff>90245</xdr:rowOff>
    </xdr:to>
    <xdr:cxnSp macro="">
      <xdr:nvCxnSpPr>
        <xdr:cNvPr id="888" name="直線矢印コネクタ 887">
          <a:extLst>
            <a:ext uri="{FF2B5EF4-FFF2-40B4-BE49-F238E27FC236}">
              <a16:creationId xmlns:a16="http://schemas.microsoft.com/office/drawing/2014/main" id="{51902357-48FC-415C-A54F-D6C98F6D60A3}"/>
            </a:ext>
          </a:extLst>
        </xdr:cNvPr>
        <xdr:cNvCxnSpPr>
          <a:cxnSpLocks/>
          <a:stCxn id="940" idx="3"/>
          <a:endCxn id="886" idx="2"/>
        </xdr:cNvCxnSpPr>
      </xdr:nvCxnSpPr>
      <xdr:spPr>
        <a:xfrm>
          <a:off x="2883408" y="35666172"/>
          <a:ext cx="3382250" cy="112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4629</xdr:colOff>
      <xdr:row>320</xdr:row>
      <xdr:rowOff>47103</xdr:rowOff>
    </xdr:from>
    <xdr:to>
      <xdr:col>34</xdr:col>
      <xdr:colOff>178113</xdr:colOff>
      <xdr:row>323</xdr:row>
      <xdr:rowOff>155462</xdr:rowOff>
    </xdr:to>
    <xdr:grpSp>
      <xdr:nvGrpSpPr>
        <xdr:cNvPr id="904" name="グループ化 92">
          <a:extLst>
            <a:ext uri="{FF2B5EF4-FFF2-40B4-BE49-F238E27FC236}">
              <a16:creationId xmlns:a16="http://schemas.microsoft.com/office/drawing/2014/main" id="{5113E7B5-3A06-42E4-873A-753D8C64B962}"/>
            </a:ext>
          </a:extLst>
        </xdr:cNvPr>
        <xdr:cNvGrpSpPr/>
      </xdr:nvGrpSpPr>
      <xdr:grpSpPr>
        <a:xfrm>
          <a:off x="5614854" y="55073028"/>
          <a:ext cx="716409" cy="622709"/>
          <a:chOff x="7144737" y="2892425"/>
          <a:chExt cx="763434" cy="597682"/>
        </a:xfrm>
      </xdr:grpSpPr>
      <xdr:sp macro="" textlink="">
        <xdr:nvSpPr>
          <xdr:cNvPr id="905" name="フローチャート: 磁気ディスク 93">
            <a:extLst>
              <a:ext uri="{FF2B5EF4-FFF2-40B4-BE49-F238E27FC236}">
                <a16:creationId xmlns:a16="http://schemas.microsoft.com/office/drawing/2014/main" id="{00CB6172-A840-7E04-937D-B0B60334516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06" name="正方形/長方形 94">
            <a:extLst>
              <a:ext uri="{FF2B5EF4-FFF2-40B4-BE49-F238E27FC236}">
                <a16:creationId xmlns:a16="http://schemas.microsoft.com/office/drawing/2014/main" id="{A62AB93B-7898-FEE8-DC34-BA5926663D15}"/>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7</xdr:col>
      <xdr:colOff>62191</xdr:colOff>
      <xdr:row>321</xdr:row>
      <xdr:rowOff>132974</xdr:rowOff>
    </xdr:from>
    <xdr:to>
      <xdr:col>31</xdr:col>
      <xdr:colOff>64648</xdr:colOff>
      <xdr:row>321</xdr:row>
      <xdr:rowOff>155489</xdr:rowOff>
    </xdr:to>
    <xdr:cxnSp macro="">
      <xdr:nvCxnSpPr>
        <xdr:cNvPr id="907" name="直線矢印コネクタ 906">
          <a:extLst>
            <a:ext uri="{FF2B5EF4-FFF2-40B4-BE49-F238E27FC236}">
              <a16:creationId xmlns:a16="http://schemas.microsoft.com/office/drawing/2014/main" id="{16DC7580-8B9C-418C-B710-A3059C6ADC78}"/>
            </a:ext>
          </a:extLst>
        </xdr:cNvPr>
        <xdr:cNvCxnSpPr>
          <a:cxnSpLocks/>
          <a:stCxn id="933" idx="3"/>
          <a:endCxn id="905" idx="2"/>
        </xdr:cNvCxnSpPr>
      </xdr:nvCxnSpPr>
      <xdr:spPr>
        <a:xfrm>
          <a:off x="1459191" y="34686045"/>
          <a:ext cx="4792171" cy="225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76030</xdr:colOff>
      <xdr:row>303</xdr:row>
      <xdr:rowOff>76829</xdr:rowOff>
    </xdr:from>
    <xdr:to>
      <xdr:col>7</xdr:col>
      <xdr:colOff>67635</xdr:colOff>
      <xdr:row>306</xdr:row>
      <xdr:rowOff>45789</xdr:rowOff>
    </xdr:to>
    <xdr:sp macro="" textlink="">
      <xdr:nvSpPr>
        <xdr:cNvPr id="908" name="フローチャート: 定義済み処理 9">
          <a:extLst>
            <a:ext uri="{FF2B5EF4-FFF2-40B4-BE49-F238E27FC236}">
              <a16:creationId xmlns:a16="http://schemas.microsoft.com/office/drawing/2014/main" id="{A9D66259-8C82-43F9-BAC2-031D5B7FC10C}"/>
            </a:ext>
          </a:extLst>
        </xdr:cNvPr>
        <xdr:cNvSpPr/>
      </xdr:nvSpPr>
      <xdr:spPr>
        <a:xfrm>
          <a:off x="475173" y="31527472"/>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26715</xdr:colOff>
      <xdr:row>303</xdr:row>
      <xdr:rowOff>38033</xdr:rowOff>
    </xdr:from>
    <xdr:to>
      <xdr:col>7</xdr:col>
      <xdr:colOff>126139</xdr:colOff>
      <xdr:row>306</xdr:row>
      <xdr:rowOff>66838</xdr:rowOff>
    </xdr:to>
    <xdr:sp macro="" textlink="">
      <xdr:nvSpPr>
        <xdr:cNvPr id="909" name="正方形/長方形 48">
          <a:extLst>
            <a:ext uri="{FF2B5EF4-FFF2-40B4-BE49-F238E27FC236}">
              <a16:creationId xmlns:a16="http://schemas.microsoft.com/office/drawing/2014/main" id="{324C1147-A506-4BDA-8DEB-BCD42D292FCD}"/>
            </a:ext>
          </a:extLst>
        </xdr:cNvPr>
        <xdr:cNvSpPr/>
      </xdr:nvSpPr>
      <xdr:spPr>
        <a:xfrm>
          <a:off x="425858" y="31488676"/>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売却・処分</a:t>
          </a:r>
          <a:br>
            <a:rPr kumimoji="1" lang="en-US" altLang="ja-JP" sz="900"/>
          </a:br>
          <a:r>
            <a:rPr kumimoji="1" lang="ja-JP" altLang="en-US" sz="900"/>
            <a:t>承認申請</a:t>
          </a:r>
        </a:p>
      </xdr:txBody>
    </xdr:sp>
    <xdr:clientData/>
  </xdr:twoCellAnchor>
  <xdr:twoCellAnchor>
    <xdr:from>
      <xdr:col>4</xdr:col>
      <xdr:colOff>171619</xdr:colOff>
      <xdr:row>306</xdr:row>
      <xdr:rowOff>45788</xdr:rowOff>
    </xdr:from>
    <xdr:to>
      <xdr:col>11</xdr:col>
      <xdr:colOff>194357</xdr:colOff>
      <xdr:row>309</xdr:row>
      <xdr:rowOff>110602</xdr:rowOff>
    </xdr:to>
    <xdr:cxnSp macro="">
      <xdr:nvCxnSpPr>
        <xdr:cNvPr id="913" name="コネクタ: カギ線 912">
          <a:extLst>
            <a:ext uri="{FF2B5EF4-FFF2-40B4-BE49-F238E27FC236}">
              <a16:creationId xmlns:a16="http://schemas.microsoft.com/office/drawing/2014/main" id="{B8DA1A4F-5005-4C8D-9446-84E9FC961B30}"/>
            </a:ext>
          </a:extLst>
        </xdr:cNvPr>
        <xdr:cNvCxnSpPr>
          <a:stCxn id="908" idx="2"/>
          <a:endCxn id="915" idx="0"/>
        </xdr:cNvCxnSpPr>
      </xdr:nvCxnSpPr>
      <xdr:spPr>
        <a:xfrm rot="16200000" flipH="1">
          <a:off x="1388831" y="31594576"/>
          <a:ext cx="581886" cy="141973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76031</xdr:colOff>
      <xdr:row>309</xdr:row>
      <xdr:rowOff>150224</xdr:rowOff>
    </xdr:from>
    <xdr:to>
      <xdr:col>14</xdr:col>
      <xdr:colOff>67636</xdr:colOff>
      <xdr:row>312</xdr:row>
      <xdr:rowOff>118359</xdr:rowOff>
    </xdr:to>
    <xdr:sp macro="" textlink="">
      <xdr:nvSpPr>
        <xdr:cNvPr id="914" name="フローチャート: 定義済み処理 9">
          <a:extLst>
            <a:ext uri="{FF2B5EF4-FFF2-40B4-BE49-F238E27FC236}">
              <a16:creationId xmlns:a16="http://schemas.microsoft.com/office/drawing/2014/main" id="{F8C08EEE-27D2-4006-87F8-1239B1C3707C}"/>
            </a:ext>
          </a:extLst>
        </xdr:cNvPr>
        <xdr:cNvSpPr/>
      </xdr:nvSpPr>
      <xdr:spPr>
        <a:xfrm>
          <a:off x="1872174" y="32635010"/>
          <a:ext cx="989462" cy="4852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44858</xdr:colOff>
      <xdr:row>309</xdr:row>
      <xdr:rowOff>110603</xdr:rowOff>
    </xdr:from>
    <xdr:to>
      <xdr:col>14</xdr:col>
      <xdr:colOff>144282</xdr:colOff>
      <xdr:row>312</xdr:row>
      <xdr:rowOff>140233</xdr:rowOff>
    </xdr:to>
    <xdr:sp macro="" textlink="">
      <xdr:nvSpPr>
        <xdr:cNvPr id="915" name="正方形/長方形 48">
          <a:extLst>
            <a:ext uri="{FF2B5EF4-FFF2-40B4-BE49-F238E27FC236}">
              <a16:creationId xmlns:a16="http://schemas.microsoft.com/office/drawing/2014/main" id="{737A1874-8AFF-48E9-A849-0C0E087C86A9}"/>
            </a:ext>
          </a:extLst>
        </xdr:cNvPr>
        <xdr:cNvSpPr/>
      </xdr:nvSpPr>
      <xdr:spPr>
        <a:xfrm>
          <a:off x="1841001" y="32595389"/>
          <a:ext cx="1097281" cy="54670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売却・処分の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11</xdr:col>
      <xdr:colOff>193312</xdr:colOff>
      <xdr:row>312</xdr:row>
      <xdr:rowOff>140233</xdr:rowOff>
    </xdr:from>
    <xdr:to>
      <xdr:col>11</xdr:col>
      <xdr:colOff>194356</xdr:colOff>
      <xdr:row>314</xdr:row>
      <xdr:rowOff>119789</xdr:rowOff>
    </xdr:to>
    <xdr:cxnSp macro="">
      <xdr:nvCxnSpPr>
        <xdr:cNvPr id="916" name="直線矢印コネクタ 27">
          <a:extLst>
            <a:ext uri="{FF2B5EF4-FFF2-40B4-BE49-F238E27FC236}">
              <a16:creationId xmlns:a16="http://schemas.microsoft.com/office/drawing/2014/main" id="{00B15E60-F169-47E6-BF0D-09E5376E2091}"/>
            </a:ext>
          </a:extLst>
        </xdr:cNvPr>
        <xdr:cNvCxnSpPr>
          <a:cxnSpLocks/>
          <a:stCxn id="915" idx="2"/>
          <a:endCxn id="919" idx="0"/>
        </xdr:cNvCxnSpPr>
      </xdr:nvCxnSpPr>
      <xdr:spPr>
        <a:xfrm flipH="1">
          <a:off x="2388598" y="33142090"/>
          <a:ext cx="1044" cy="3242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73725</xdr:colOff>
      <xdr:row>314</xdr:row>
      <xdr:rowOff>109142</xdr:rowOff>
    </xdr:from>
    <xdr:to>
      <xdr:col>14</xdr:col>
      <xdr:colOff>113327</xdr:colOff>
      <xdr:row>317</xdr:row>
      <xdr:rowOff>117167</xdr:rowOff>
    </xdr:to>
    <xdr:grpSp>
      <xdr:nvGrpSpPr>
        <xdr:cNvPr id="917" name="グループ化 916">
          <a:extLst>
            <a:ext uri="{FF2B5EF4-FFF2-40B4-BE49-F238E27FC236}">
              <a16:creationId xmlns:a16="http://schemas.microsoft.com/office/drawing/2014/main" id="{E6E8DC06-F677-4A67-A26E-E751BC7A08EA}"/>
            </a:ext>
          </a:extLst>
        </xdr:cNvPr>
        <xdr:cNvGrpSpPr/>
      </xdr:nvGrpSpPr>
      <xdr:grpSpPr>
        <a:xfrm>
          <a:off x="1702500" y="54106367"/>
          <a:ext cx="944477" cy="522375"/>
          <a:chOff x="287474" y="4845794"/>
          <a:chExt cx="1021504" cy="505814"/>
        </a:xfrm>
      </xdr:grpSpPr>
      <xdr:sp macro="" textlink="">
        <xdr:nvSpPr>
          <xdr:cNvPr id="918" name="フローチャート: 判断 917">
            <a:extLst>
              <a:ext uri="{FF2B5EF4-FFF2-40B4-BE49-F238E27FC236}">
                <a16:creationId xmlns:a16="http://schemas.microsoft.com/office/drawing/2014/main" id="{052016CF-3991-F0A5-1341-9E920B6C1005}"/>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919" name="正方形/長方形 48">
            <a:extLst>
              <a:ext uri="{FF2B5EF4-FFF2-40B4-BE49-F238E27FC236}">
                <a16:creationId xmlns:a16="http://schemas.microsoft.com/office/drawing/2014/main" id="{0FFEE982-77EF-1048-E5AD-C2864AC10680}"/>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12</xdr:col>
      <xdr:colOff>14040</xdr:colOff>
      <xdr:row>317</xdr:row>
      <xdr:rowOff>81322</xdr:rowOff>
    </xdr:from>
    <xdr:to>
      <xdr:col>14</xdr:col>
      <xdr:colOff>65108</xdr:colOff>
      <xdr:row>318</xdr:row>
      <xdr:rowOff>127155</xdr:rowOff>
    </xdr:to>
    <xdr:sp macro="" textlink="">
      <xdr:nvSpPr>
        <xdr:cNvPr id="920" name="テキスト ボックス 919">
          <a:extLst>
            <a:ext uri="{FF2B5EF4-FFF2-40B4-BE49-F238E27FC236}">
              <a16:creationId xmlns:a16="http://schemas.microsoft.com/office/drawing/2014/main" id="{C705DB13-B72C-4CFC-AC53-2764EC7C95F8}"/>
            </a:ext>
          </a:extLst>
        </xdr:cNvPr>
        <xdr:cNvSpPr txBox="1"/>
      </xdr:nvSpPr>
      <xdr:spPr>
        <a:xfrm>
          <a:off x="2408897" y="33944965"/>
          <a:ext cx="450211"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7</xdr:col>
      <xdr:colOff>111985</xdr:colOff>
      <xdr:row>314</xdr:row>
      <xdr:rowOff>32590</xdr:rowOff>
    </xdr:from>
    <xdr:to>
      <xdr:col>11</xdr:col>
      <xdr:colOff>50868</xdr:colOff>
      <xdr:row>315</xdr:row>
      <xdr:rowOff>133201</xdr:rowOff>
    </xdr:to>
    <xdr:sp macro="" textlink="">
      <xdr:nvSpPr>
        <xdr:cNvPr id="921" name="テキスト ボックス 920">
          <a:extLst>
            <a:ext uri="{FF2B5EF4-FFF2-40B4-BE49-F238E27FC236}">
              <a16:creationId xmlns:a16="http://schemas.microsoft.com/office/drawing/2014/main" id="{031E408A-9352-44AD-8BCF-5E839D39E1C4}"/>
            </a:ext>
          </a:extLst>
        </xdr:cNvPr>
        <xdr:cNvSpPr txBox="1"/>
      </xdr:nvSpPr>
      <xdr:spPr>
        <a:xfrm>
          <a:off x="1508985" y="33379161"/>
          <a:ext cx="737169" cy="272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187310</xdr:colOff>
      <xdr:row>317</xdr:row>
      <xdr:rowOff>95110</xdr:rowOff>
    </xdr:from>
    <xdr:to>
      <xdr:col>11</xdr:col>
      <xdr:colOff>193391</xdr:colOff>
      <xdr:row>326</xdr:row>
      <xdr:rowOff>7886</xdr:rowOff>
    </xdr:to>
    <xdr:cxnSp macro="">
      <xdr:nvCxnSpPr>
        <xdr:cNvPr id="922" name="直線矢印コネクタ 921">
          <a:extLst>
            <a:ext uri="{FF2B5EF4-FFF2-40B4-BE49-F238E27FC236}">
              <a16:creationId xmlns:a16="http://schemas.microsoft.com/office/drawing/2014/main" id="{5C5AD31A-5484-4E41-9B63-8CE6CF7BE3C1}"/>
            </a:ext>
          </a:extLst>
        </xdr:cNvPr>
        <xdr:cNvCxnSpPr>
          <a:cxnSpLocks/>
          <a:stCxn id="918" idx="2"/>
          <a:endCxn id="940" idx="0"/>
        </xdr:cNvCxnSpPr>
      </xdr:nvCxnSpPr>
      <xdr:spPr>
        <a:xfrm>
          <a:off x="2382596" y="33958753"/>
          <a:ext cx="6081" cy="14639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188912</xdr:colOff>
      <xdr:row>316</xdr:row>
      <xdr:rowOff>15948</xdr:rowOff>
    </xdr:from>
    <xdr:to>
      <xdr:col>9</xdr:col>
      <xdr:colOff>155814</xdr:colOff>
      <xdr:row>320</xdr:row>
      <xdr:rowOff>23519</xdr:rowOff>
    </xdr:to>
    <xdr:cxnSp macro="">
      <xdr:nvCxnSpPr>
        <xdr:cNvPr id="923" name="コネクタ: カギ線 922">
          <a:extLst>
            <a:ext uri="{FF2B5EF4-FFF2-40B4-BE49-F238E27FC236}">
              <a16:creationId xmlns:a16="http://schemas.microsoft.com/office/drawing/2014/main" id="{407ABA03-63BA-410F-ADB4-E66389039983}"/>
            </a:ext>
          </a:extLst>
        </xdr:cNvPr>
        <xdr:cNvCxnSpPr>
          <a:stCxn id="918" idx="1"/>
          <a:endCxn id="934" idx="0"/>
        </xdr:cNvCxnSpPr>
      </xdr:nvCxnSpPr>
      <xdr:spPr>
        <a:xfrm rot="10800000" flipV="1">
          <a:off x="987198" y="33707234"/>
          <a:ext cx="964759" cy="6969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70586</xdr:colOff>
      <xdr:row>320</xdr:row>
      <xdr:rowOff>62315</xdr:rowOff>
    </xdr:from>
    <xdr:to>
      <xdr:col>7</xdr:col>
      <xdr:colOff>62191</xdr:colOff>
      <xdr:row>323</xdr:row>
      <xdr:rowOff>31276</xdr:rowOff>
    </xdr:to>
    <xdr:sp macro="" textlink="">
      <xdr:nvSpPr>
        <xdr:cNvPr id="933" name="フローチャート: 定義済み処理 9">
          <a:extLst>
            <a:ext uri="{FF2B5EF4-FFF2-40B4-BE49-F238E27FC236}">
              <a16:creationId xmlns:a16="http://schemas.microsoft.com/office/drawing/2014/main" id="{CF39EF56-DF29-498C-BF70-4B4D6106E43F}"/>
            </a:ext>
          </a:extLst>
        </xdr:cNvPr>
        <xdr:cNvSpPr/>
      </xdr:nvSpPr>
      <xdr:spPr>
        <a:xfrm>
          <a:off x="469729" y="34443029"/>
          <a:ext cx="989462" cy="48603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39413</xdr:colOff>
      <xdr:row>320</xdr:row>
      <xdr:rowOff>23519</xdr:rowOff>
    </xdr:from>
    <xdr:to>
      <xdr:col>7</xdr:col>
      <xdr:colOff>138837</xdr:colOff>
      <xdr:row>323</xdr:row>
      <xdr:rowOff>52325</xdr:rowOff>
    </xdr:to>
    <xdr:sp macro="" textlink="">
      <xdr:nvSpPr>
        <xdr:cNvPr id="934" name="正方形/長方形 48">
          <a:extLst>
            <a:ext uri="{FF2B5EF4-FFF2-40B4-BE49-F238E27FC236}">
              <a16:creationId xmlns:a16="http://schemas.microsoft.com/office/drawing/2014/main" id="{D1D7CD6C-F0BA-4336-BCD6-1DBF94D8F76F}"/>
            </a:ext>
          </a:extLst>
        </xdr:cNvPr>
        <xdr:cNvSpPr/>
      </xdr:nvSpPr>
      <xdr:spPr>
        <a:xfrm>
          <a:off x="438556" y="34404233"/>
          <a:ext cx="1097281" cy="54587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不備修正</a:t>
          </a:r>
        </a:p>
      </xdr:txBody>
    </xdr:sp>
    <xdr:clientData/>
  </xdr:twoCellAnchor>
  <xdr:twoCellAnchor>
    <xdr:from>
      <xdr:col>2</xdr:col>
      <xdr:colOff>39412</xdr:colOff>
      <xdr:row>304</xdr:row>
      <xdr:rowOff>148313</xdr:rowOff>
    </xdr:from>
    <xdr:to>
      <xdr:col>2</xdr:col>
      <xdr:colOff>76029</xdr:colOff>
      <xdr:row>321</xdr:row>
      <xdr:rowOff>124102</xdr:rowOff>
    </xdr:to>
    <xdr:cxnSp macro="">
      <xdr:nvCxnSpPr>
        <xdr:cNvPr id="935" name="コネクタ: カギ線 934">
          <a:extLst>
            <a:ext uri="{FF2B5EF4-FFF2-40B4-BE49-F238E27FC236}">
              <a16:creationId xmlns:a16="http://schemas.microsoft.com/office/drawing/2014/main" id="{136F2859-500C-4E14-AD48-5B74A1E154FD}"/>
            </a:ext>
          </a:extLst>
        </xdr:cNvPr>
        <xdr:cNvCxnSpPr>
          <a:stCxn id="934" idx="1"/>
          <a:endCxn id="908" idx="1"/>
        </xdr:cNvCxnSpPr>
      </xdr:nvCxnSpPr>
      <xdr:spPr>
        <a:xfrm rot="10800000" flipH="1">
          <a:off x="438555" y="31771313"/>
          <a:ext cx="36617" cy="2905860"/>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6424</xdr:colOff>
      <xdr:row>316</xdr:row>
      <xdr:rowOff>50731</xdr:rowOff>
    </xdr:from>
    <xdr:to>
      <xdr:col>10</xdr:col>
      <xdr:colOff>144644</xdr:colOff>
      <xdr:row>317</xdr:row>
      <xdr:rowOff>152663</xdr:rowOff>
    </xdr:to>
    <xdr:sp macro="" textlink="">
      <xdr:nvSpPr>
        <xdr:cNvPr id="939" name="テキスト ボックス 938">
          <a:extLst>
            <a:ext uri="{FF2B5EF4-FFF2-40B4-BE49-F238E27FC236}">
              <a16:creationId xmlns:a16="http://schemas.microsoft.com/office/drawing/2014/main" id="{ADE7B41F-88D2-4909-9052-02AEE091D613}"/>
            </a:ext>
          </a:extLst>
        </xdr:cNvPr>
        <xdr:cNvSpPr txBox="1"/>
      </xdr:nvSpPr>
      <xdr:spPr>
        <a:xfrm>
          <a:off x="1004281" y="33742017"/>
          <a:ext cx="1136077" cy="27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9</xdr:col>
      <xdr:colOff>97803</xdr:colOff>
      <xdr:row>326</xdr:row>
      <xdr:rowOff>7886</xdr:rowOff>
    </xdr:from>
    <xdr:to>
      <xdr:col>14</xdr:col>
      <xdr:colOff>89408</xdr:colOff>
      <xdr:row>328</xdr:row>
      <xdr:rowOff>150029</xdr:rowOff>
    </xdr:to>
    <xdr:sp macro="" textlink="">
      <xdr:nvSpPr>
        <xdr:cNvPr id="940" name="フローチャート: 定義済み処理 9">
          <a:extLst>
            <a:ext uri="{FF2B5EF4-FFF2-40B4-BE49-F238E27FC236}">
              <a16:creationId xmlns:a16="http://schemas.microsoft.com/office/drawing/2014/main" id="{02BBF47A-0719-487A-9357-888C2444B926}"/>
            </a:ext>
          </a:extLst>
        </xdr:cNvPr>
        <xdr:cNvSpPr/>
      </xdr:nvSpPr>
      <xdr:spPr>
        <a:xfrm>
          <a:off x="1893946" y="35422743"/>
          <a:ext cx="989462" cy="48685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66630</xdr:colOff>
      <xdr:row>325</xdr:row>
      <xdr:rowOff>142272</xdr:rowOff>
    </xdr:from>
    <xdr:to>
      <xdr:col>14</xdr:col>
      <xdr:colOff>166054</xdr:colOff>
      <xdr:row>328</xdr:row>
      <xdr:rowOff>171078</xdr:rowOff>
    </xdr:to>
    <xdr:sp macro="" textlink="">
      <xdr:nvSpPr>
        <xdr:cNvPr id="941" name="正方形/長方形 48">
          <a:extLst>
            <a:ext uri="{FF2B5EF4-FFF2-40B4-BE49-F238E27FC236}">
              <a16:creationId xmlns:a16="http://schemas.microsoft.com/office/drawing/2014/main" id="{28E6741D-6604-436F-A0F5-7D4D4321B0B7}"/>
            </a:ext>
          </a:extLst>
        </xdr:cNvPr>
        <xdr:cNvSpPr/>
      </xdr:nvSpPr>
      <xdr:spPr>
        <a:xfrm>
          <a:off x="1862773" y="35384772"/>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自動転記バッチ</a:t>
          </a:r>
        </a:p>
      </xdr:txBody>
    </xdr:sp>
    <xdr:clientData/>
  </xdr:twoCellAnchor>
  <xdr:twoCellAnchor>
    <xdr:from>
      <xdr:col>16</xdr:col>
      <xdr:colOff>85103</xdr:colOff>
      <xdr:row>303</xdr:row>
      <xdr:rowOff>31473</xdr:rowOff>
    </xdr:from>
    <xdr:to>
      <xdr:col>21</xdr:col>
      <xdr:colOff>76708</xdr:colOff>
      <xdr:row>306</xdr:row>
      <xdr:rowOff>433</xdr:rowOff>
    </xdr:to>
    <xdr:sp macro="" textlink="">
      <xdr:nvSpPr>
        <xdr:cNvPr id="945" name="フローチャート: 定義済み処理 9">
          <a:extLst>
            <a:ext uri="{FF2B5EF4-FFF2-40B4-BE49-F238E27FC236}">
              <a16:creationId xmlns:a16="http://schemas.microsoft.com/office/drawing/2014/main" id="{4590BD36-A5AF-4EDF-B727-22F56124A7E4}"/>
            </a:ext>
          </a:extLst>
        </xdr:cNvPr>
        <xdr:cNvSpPr/>
      </xdr:nvSpPr>
      <xdr:spPr>
        <a:xfrm>
          <a:off x="3278246" y="31482116"/>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35788</xdr:colOff>
      <xdr:row>302</xdr:row>
      <xdr:rowOff>165858</xdr:rowOff>
    </xdr:from>
    <xdr:to>
      <xdr:col>21</xdr:col>
      <xdr:colOff>135212</xdr:colOff>
      <xdr:row>306</xdr:row>
      <xdr:rowOff>21482</xdr:rowOff>
    </xdr:to>
    <xdr:sp macro="" textlink="">
      <xdr:nvSpPr>
        <xdr:cNvPr id="946" name="正方形/長方形 48">
          <a:extLst>
            <a:ext uri="{FF2B5EF4-FFF2-40B4-BE49-F238E27FC236}">
              <a16:creationId xmlns:a16="http://schemas.microsoft.com/office/drawing/2014/main" id="{220DB376-9012-4D85-8D37-DC3E4097D364}"/>
            </a:ext>
          </a:extLst>
        </xdr:cNvPr>
        <xdr:cNvSpPr/>
      </xdr:nvSpPr>
      <xdr:spPr>
        <a:xfrm>
          <a:off x="3228931" y="31444144"/>
          <a:ext cx="1097281" cy="54505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売却・処分</a:t>
          </a:r>
          <a:br>
            <a:rPr kumimoji="1" lang="en-US" altLang="ja-JP" sz="900"/>
          </a:br>
          <a:r>
            <a:rPr kumimoji="1" lang="ja-JP" altLang="en-US" sz="900"/>
            <a:t>承認申請</a:t>
          </a:r>
        </a:p>
      </xdr:txBody>
    </xdr:sp>
    <xdr:clientData/>
  </xdr:twoCellAnchor>
  <xdr:twoCellAnchor>
    <xdr:from>
      <xdr:col>18</xdr:col>
      <xdr:colOff>180692</xdr:colOff>
      <xdr:row>306</xdr:row>
      <xdr:rowOff>432</xdr:rowOff>
    </xdr:from>
    <xdr:to>
      <xdr:col>26</xdr:col>
      <xdr:colOff>7157</xdr:colOff>
      <xdr:row>309</xdr:row>
      <xdr:rowOff>65246</xdr:rowOff>
    </xdr:to>
    <xdr:cxnSp macro="">
      <xdr:nvCxnSpPr>
        <xdr:cNvPr id="947" name="コネクタ: カギ線 946">
          <a:extLst>
            <a:ext uri="{FF2B5EF4-FFF2-40B4-BE49-F238E27FC236}">
              <a16:creationId xmlns:a16="http://schemas.microsoft.com/office/drawing/2014/main" id="{A306EA80-E665-4DFC-A626-937A6CC697F5}"/>
            </a:ext>
          </a:extLst>
        </xdr:cNvPr>
        <xdr:cNvCxnSpPr>
          <a:stCxn id="945" idx="2"/>
          <a:endCxn id="949" idx="0"/>
        </xdr:cNvCxnSpPr>
      </xdr:nvCxnSpPr>
      <xdr:spPr>
        <a:xfrm rot="16200000" flipH="1">
          <a:off x="4193553" y="31547571"/>
          <a:ext cx="581886" cy="142303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85104</xdr:colOff>
      <xdr:row>309</xdr:row>
      <xdr:rowOff>104043</xdr:rowOff>
    </xdr:from>
    <xdr:to>
      <xdr:col>28</xdr:col>
      <xdr:colOff>76709</xdr:colOff>
      <xdr:row>312</xdr:row>
      <xdr:rowOff>73003</xdr:rowOff>
    </xdr:to>
    <xdr:sp macro="" textlink="">
      <xdr:nvSpPr>
        <xdr:cNvPr id="948" name="フローチャート: 定義済み処理 9">
          <a:extLst>
            <a:ext uri="{FF2B5EF4-FFF2-40B4-BE49-F238E27FC236}">
              <a16:creationId xmlns:a16="http://schemas.microsoft.com/office/drawing/2014/main" id="{950C267A-EA66-4777-9A33-24E446359329}"/>
            </a:ext>
          </a:extLst>
        </xdr:cNvPr>
        <xdr:cNvSpPr/>
      </xdr:nvSpPr>
      <xdr:spPr>
        <a:xfrm>
          <a:off x="4675247" y="32588829"/>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53931</xdr:colOff>
      <xdr:row>309</xdr:row>
      <xdr:rowOff>65247</xdr:rowOff>
    </xdr:from>
    <xdr:to>
      <xdr:col>28</xdr:col>
      <xdr:colOff>153355</xdr:colOff>
      <xdr:row>312</xdr:row>
      <xdr:rowOff>94052</xdr:rowOff>
    </xdr:to>
    <xdr:sp macro="" textlink="">
      <xdr:nvSpPr>
        <xdr:cNvPr id="949" name="正方形/長方形 48">
          <a:extLst>
            <a:ext uri="{FF2B5EF4-FFF2-40B4-BE49-F238E27FC236}">
              <a16:creationId xmlns:a16="http://schemas.microsoft.com/office/drawing/2014/main" id="{ED069459-64E3-49D0-BC46-0D7BA18B3A41}"/>
            </a:ext>
          </a:extLst>
        </xdr:cNvPr>
        <xdr:cNvSpPr/>
      </xdr:nvSpPr>
      <xdr:spPr>
        <a:xfrm>
          <a:off x="4644074" y="32550033"/>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売却・処分の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26</xdr:col>
      <xdr:colOff>6112</xdr:colOff>
      <xdr:row>312</xdr:row>
      <xdr:rowOff>94052</xdr:rowOff>
    </xdr:from>
    <xdr:to>
      <xdr:col>26</xdr:col>
      <xdr:colOff>7156</xdr:colOff>
      <xdr:row>314</xdr:row>
      <xdr:rowOff>74433</xdr:rowOff>
    </xdr:to>
    <xdr:cxnSp macro="">
      <xdr:nvCxnSpPr>
        <xdr:cNvPr id="950" name="直線矢印コネクタ 27">
          <a:extLst>
            <a:ext uri="{FF2B5EF4-FFF2-40B4-BE49-F238E27FC236}">
              <a16:creationId xmlns:a16="http://schemas.microsoft.com/office/drawing/2014/main" id="{097E4B49-65BE-4FC7-8519-1BA2DD857D8F}"/>
            </a:ext>
          </a:extLst>
        </xdr:cNvPr>
        <xdr:cNvCxnSpPr>
          <a:cxnSpLocks/>
          <a:stCxn id="949" idx="2"/>
          <a:endCxn id="953" idx="0"/>
        </xdr:cNvCxnSpPr>
      </xdr:nvCxnSpPr>
      <xdr:spPr>
        <a:xfrm flipH="1">
          <a:off x="5194969" y="33095909"/>
          <a:ext cx="1044" cy="3250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82798</xdr:colOff>
      <xdr:row>314</xdr:row>
      <xdr:rowOff>63786</xdr:rowOff>
    </xdr:from>
    <xdr:to>
      <xdr:col>28</xdr:col>
      <xdr:colOff>122400</xdr:colOff>
      <xdr:row>317</xdr:row>
      <xdr:rowOff>71811</xdr:rowOff>
    </xdr:to>
    <xdr:grpSp>
      <xdr:nvGrpSpPr>
        <xdr:cNvPr id="951" name="グループ化 950">
          <a:extLst>
            <a:ext uri="{FF2B5EF4-FFF2-40B4-BE49-F238E27FC236}">
              <a16:creationId xmlns:a16="http://schemas.microsoft.com/office/drawing/2014/main" id="{BC10C1F5-8D3C-48FC-8134-8232D687D20F}"/>
            </a:ext>
          </a:extLst>
        </xdr:cNvPr>
        <xdr:cNvGrpSpPr/>
      </xdr:nvGrpSpPr>
      <xdr:grpSpPr>
        <a:xfrm>
          <a:off x="4245223" y="54061011"/>
          <a:ext cx="944477" cy="522375"/>
          <a:chOff x="287474" y="4845794"/>
          <a:chExt cx="1021504" cy="505814"/>
        </a:xfrm>
      </xdr:grpSpPr>
      <xdr:sp macro="" textlink="">
        <xdr:nvSpPr>
          <xdr:cNvPr id="952" name="フローチャート: 判断 951">
            <a:extLst>
              <a:ext uri="{FF2B5EF4-FFF2-40B4-BE49-F238E27FC236}">
                <a16:creationId xmlns:a16="http://schemas.microsoft.com/office/drawing/2014/main" id="{23568DB5-52ED-DEDB-9ABC-F979C78ED9AC}"/>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953" name="正方形/長方形 48">
            <a:extLst>
              <a:ext uri="{FF2B5EF4-FFF2-40B4-BE49-F238E27FC236}">
                <a16:creationId xmlns:a16="http://schemas.microsoft.com/office/drawing/2014/main" id="{FAEC2218-CE4A-D9E8-C978-40E4722DA097}"/>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19815</xdr:colOff>
      <xdr:row>317</xdr:row>
      <xdr:rowOff>35966</xdr:rowOff>
    </xdr:from>
    <xdr:to>
      <xdr:col>28</xdr:col>
      <xdr:colOff>74181</xdr:colOff>
      <xdr:row>318</xdr:row>
      <xdr:rowOff>81799</xdr:rowOff>
    </xdr:to>
    <xdr:sp macro="" textlink="">
      <xdr:nvSpPr>
        <xdr:cNvPr id="954" name="テキスト ボックス 953">
          <a:extLst>
            <a:ext uri="{FF2B5EF4-FFF2-40B4-BE49-F238E27FC236}">
              <a16:creationId xmlns:a16="http://schemas.microsoft.com/office/drawing/2014/main" id="{72ACD560-50BA-4834-BC6E-664ADB82E71A}"/>
            </a:ext>
          </a:extLst>
        </xdr:cNvPr>
        <xdr:cNvSpPr txBox="1"/>
      </xdr:nvSpPr>
      <xdr:spPr>
        <a:xfrm>
          <a:off x="5208672" y="33899609"/>
          <a:ext cx="453509"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121058</xdr:colOff>
      <xdr:row>313</xdr:row>
      <xdr:rowOff>160415</xdr:rowOff>
    </xdr:from>
    <xdr:to>
      <xdr:col>25</xdr:col>
      <xdr:colOff>59941</xdr:colOff>
      <xdr:row>315</xdr:row>
      <xdr:rowOff>87020</xdr:rowOff>
    </xdr:to>
    <xdr:sp macro="" textlink="">
      <xdr:nvSpPr>
        <xdr:cNvPr id="955" name="テキスト ボックス 954">
          <a:extLst>
            <a:ext uri="{FF2B5EF4-FFF2-40B4-BE49-F238E27FC236}">
              <a16:creationId xmlns:a16="http://schemas.microsoft.com/office/drawing/2014/main" id="{F04B6E62-A0D3-4EB5-8C78-99342255FCE6}"/>
            </a:ext>
          </a:extLst>
        </xdr:cNvPr>
        <xdr:cNvSpPr txBox="1"/>
      </xdr:nvSpPr>
      <xdr:spPr>
        <a:xfrm>
          <a:off x="4312058" y="33334629"/>
          <a:ext cx="737169" cy="271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110</xdr:colOff>
      <xdr:row>317</xdr:row>
      <xdr:rowOff>49754</xdr:rowOff>
    </xdr:from>
    <xdr:to>
      <xdr:col>26</xdr:col>
      <xdr:colOff>6191</xdr:colOff>
      <xdr:row>325</xdr:row>
      <xdr:rowOff>135712</xdr:rowOff>
    </xdr:to>
    <xdr:cxnSp macro="">
      <xdr:nvCxnSpPr>
        <xdr:cNvPr id="956" name="直線矢印コネクタ 955">
          <a:extLst>
            <a:ext uri="{FF2B5EF4-FFF2-40B4-BE49-F238E27FC236}">
              <a16:creationId xmlns:a16="http://schemas.microsoft.com/office/drawing/2014/main" id="{2E87CB6B-81AA-4706-B6A1-6649E30CBCAC}"/>
            </a:ext>
          </a:extLst>
        </xdr:cNvPr>
        <xdr:cNvCxnSpPr>
          <a:cxnSpLocks/>
          <a:stCxn id="952" idx="2"/>
          <a:endCxn id="1028" idx="0"/>
        </xdr:cNvCxnSpPr>
      </xdr:nvCxnSpPr>
      <xdr:spPr>
        <a:xfrm>
          <a:off x="5188967" y="33913397"/>
          <a:ext cx="6081" cy="146481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1712</xdr:colOff>
      <xdr:row>315</xdr:row>
      <xdr:rowOff>143774</xdr:rowOff>
    </xdr:from>
    <xdr:to>
      <xdr:col>23</xdr:col>
      <xdr:colOff>164887</xdr:colOff>
      <xdr:row>319</xdr:row>
      <xdr:rowOff>151344</xdr:rowOff>
    </xdr:to>
    <xdr:cxnSp macro="">
      <xdr:nvCxnSpPr>
        <xdr:cNvPr id="957" name="コネクタ: カギ線 956">
          <a:extLst>
            <a:ext uri="{FF2B5EF4-FFF2-40B4-BE49-F238E27FC236}">
              <a16:creationId xmlns:a16="http://schemas.microsoft.com/office/drawing/2014/main" id="{69184007-890A-41E8-A0A3-02225F0F83E9}"/>
            </a:ext>
          </a:extLst>
        </xdr:cNvPr>
        <xdr:cNvCxnSpPr>
          <a:stCxn id="952" idx="1"/>
          <a:endCxn id="959" idx="0"/>
        </xdr:cNvCxnSpPr>
      </xdr:nvCxnSpPr>
      <xdr:spPr>
        <a:xfrm rot="10800000" flipV="1">
          <a:off x="3793569" y="33662703"/>
          <a:ext cx="961461" cy="696998"/>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79659</xdr:colOff>
      <xdr:row>320</xdr:row>
      <xdr:rowOff>16959</xdr:rowOff>
    </xdr:from>
    <xdr:to>
      <xdr:col>21</xdr:col>
      <xdr:colOff>71264</xdr:colOff>
      <xdr:row>322</xdr:row>
      <xdr:rowOff>159102</xdr:rowOff>
    </xdr:to>
    <xdr:sp macro="" textlink="">
      <xdr:nvSpPr>
        <xdr:cNvPr id="958" name="フローチャート: 定義済み処理 9">
          <a:extLst>
            <a:ext uri="{FF2B5EF4-FFF2-40B4-BE49-F238E27FC236}">
              <a16:creationId xmlns:a16="http://schemas.microsoft.com/office/drawing/2014/main" id="{29E7CE14-3885-40CD-931B-732ACD67F97A}"/>
            </a:ext>
          </a:extLst>
        </xdr:cNvPr>
        <xdr:cNvSpPr/>
      </xdr:nvSpPr>
      <xdr:spPr>
        <a:xfrm>
          <a:off x="3272802" y="34397673"/>
          <a:ext cx="989462" cy="48685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48486</xdr:colOff>
      <xdr:row>319</xdr:row>
      <xdr:rowOff>151344</xdr:rowOff>
    </xdr:from>
    <xdr:to>
      <xdr:col>21</xdr:col>
      <xdr:colOff>147910</xdr:colOff>
      <xdr:row>323</xdr:row>
      <xdr:rowOff>6969</xdr:rowOff>
    </xdr:to>
    <xdr:sp macro="" textlink="">
      <xdr:nvSpPr>
        <xdr:cNvPr id="959" name="正方形/長方形 48">
          <a:extLst>
            <a:ext uri="{FF2B5EF4-FFF2-40B4-BE49-F238E27FC236}">
              <a16:creationId xmlns:a16="http://schemas.microsoft.com/office/drawing/2014/main" id="{4292BE15-086F-4834-B219-380AEE171128}"/>
            </a:ext>
          </a:extLst>
        </xdr:cNvPr>
        <xdr:cNvSpPr/>
      </xdr:nvSpPr>
      <xdr:spPr>
        <a:xfrm>
          <a:off x="3241629" y="34359701"/>
          <a:ext cx="1097281" cy="5450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不備修正</a:t>
          </a:r>
        </a:p>
      </xdr:txBody>
    </xdr:sp>
    <xdr:clientData/>
  </xdr:twoCellAnchor>
  <xdr:twoCellAnchor>
    <xdr:from>
      <xdr:col>16</xdr:col>
      <xdr:colOff>48485</xdr:colOff>
      <xdr:row>304</xdr:row>
      <xdr:rowOff>102133</xdr:rowOff>
    </xdr:from>
    <xdr:to>
      <xdr:col>16</xdr:col>
      <xdr:colOff>85102</xdr:colOff>
      <xdr:row>321</xdr:row>
      <xdr:rowOff>78746</xdr:rowOff>
    </xdr:to>
    <xdr:cxnSp macro="">
      <xdr:nvCxnSpPr>
        <xdr:cNvPr id="1024" name="コネクタ: カギ線 1023">
          <a:extLst>
            <a:ext uri="{FF2B5EF4-FFF2-40B4-BE49-F238E27FC236}">
              <a16:creationId xmlns:a16="http://schemas.microsoft.com/office/drawing/2014/main" id="{F1D38142-88C9-481E-A133-748A476C4234}"/>
            </a:ext>
          </a:extLst>
        </xdr:cNvPr>
        <xdr:cNvCxnSpPr>
          <a:stCxn id="959" idx="1"/>
          <a:endCxn id="945" idx="1"/>
        </xdr:cNvCxnSpPr>
      </xdr:nvCxnSpPr>
      <xdr:spPr>
        <a:xfrm rot="10800000" flipH="1">
          <a:off x="3241628" y="31725133"/>
          <a:ext cx="36617" cy="2906684"/>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15498</xdr:colOff>
      <xdr:row>316</xdr:row>
      <xdr:rowOff>5374</xdr:rowOff>
    </xdr:from>
    <xdr:to>
      <xdr:col>25</xdr:col>
      <xdr:colOff>17645</xdr:colOff>
      <xdr:row>317</xdr:row>
      <xdr:rowOff>129571</xdr:rowOff>
    </xdr:to>
    <xdr:sp macro="" textlink="">
      <xdr:nvSpPr>
        <xdr:cNvPr id="1027" name="テキスト ボックス 1026">
          <a:extLst>
            <a:ext uri="{FF2B5EF4-FFF2-40B4-BE49-F238E27FC236}">
              <a16:creationId xmlns:a16="http://schemas.microsoft.com/office/drawing/2014/main" id="{0B5AFB67-4F70-4D9C-939C-11079541766D}"/>
            </a:ext>
          </a:extLst>
        </xdr:cNvPr>
        <xdr:cNvSpPr txBox="1"/>
      </xdr:nvSpPr>
      <xdr:spPr>
        <a:xfrm>
          <a:off x="3807355" y="33696660"/>
          <a:ext cx="1199576" cy="296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106876</xdr:colOff>
      <xdr:row>325</xdr:row>
      <xdr:rowOff>135712</xdr:rowOff>
    </xdr:from>
    <xdr:to>
      <xdr:col>28</xdr:col>
      <xdr:colOff>98481</xdr:colOff>
      <xdr:row>328</xdr:row>
      <xdr:rowOff>103848</xdr:rowOff>
    </xdr:to>
    <xdr:sp macro="" textlink="">
      <xdr:nvSpPr>
        <xdr:cNvPr id="1028" name="フローチャート: 定義済み処理 9">
          <a:extLst>
            <a:ext uri="{FF2B5EF4-FFF2-40B4-BE49-F238E27FC236}">
              <a16:creationId xmlns:a16="http://schemas.microsoft.com/office/drawing/2014/main" id="{1F6F394F-309B-4C6F-9DFF-DF72276EA057}"/>
            </a:ext>
          </a:extLst>
        </xdr:cNvPr>
        <xdr:cNvSpPr/>
      </xdr:nvSpPr>
      <xdr:spPr>
        <a:xfrm>
          <a:off x="4697019" y="35378212"/>
          <a:ext cx="989462" cy="4852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57561</xdr:colOff>
      <xdr:row>325</xdr:row>
      <xdr:rowOff>96092</xdr:rowOff>
    </xdr:from>
    <xdr:to>
      <xdr:col>28</xdr:col>
      <xdr:colOff>156985</xdr:colOff>
      <xdr:row>328</xdr:row>
      <xdr:rowOff>124897</xdr:rowOff>
    </xdr:to>
    <xdr:sp macro="" textlink="">
      <xdr:nvSpPr>
        <xdr:cNvPr id="1029" name="正方形/長方形 48">
          <a:extLst>
            <a:ext uri="{FF2B5EF4-FFF2-40B4-BE49-F238E27FC236}">
              <a16:creationId xmlns:a16="http://schemas.microsoft.com/office/drawing/2014/main" id="{AC2F236D-FA31-43F8-84B7-DC4B909F29E5}"/>
            </a:ext>
          </a:extLst>
        </xdr:cNvPr>
        <xdr:cNvSpPr/>
      </xdr:nvSpPr>
      <xdr:spPr>
        <a:xfrm>
          <a:off x="4647704" y="35338592"/>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自動転記バッチ</a:t>
          </a:r>
        </a:p>
      </xdr:txBody>
    </xdr:sp>
    <xdr:clientData/>
  </xdr:twoCellAnchor>
  <xdr:twoCellAnchor>
    <xdr:from>
      <xdr:col>16</xdr:col>
      <xdr:colOff>41560</xdr:colOff>
      <xdr:row>368</xdr:row>
      <xdr:rowOff>33286</xdr:rowOff>
    </xdr:from>
    <xdr:to>
      <xdr:col>21</xdr:col>
      <xdr:colOff>33165</xdr:colOff>
      <xdr:row>371</xdr:row>
      <xdr:rowOff>2247</xdr:rowOff>
    </xdr:to>
    <xdr:sp macro="" textlink="">
      <xdr:nvSpPr>
        <xdr:cNvPr id="1030" name="フローチャート: 定義済み処理 9">
          <a:extLst>
            <a:ext uri="{FF2B5EF4-FFF2-40B4-BE49-F238E27FC236}">
              <a16:creationId xmlns:a16="http://schemas.microsoft.com/office/drawing/2014/main" id="{47BF3935-AC5A-49AE-96FB-690E34825141}"/>
            </a:ext>
          </a:extLst>
        </xdr:cNvPr>
        <xdr:cNvSpPr/>
      </xdr:nvSpPr>
      <xdr:spPr>
        <a:xfrm>
          <a:off x="3234703" y="37688786"/>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4614</xdr:colOff>
      <xdr:row>367</xdr:row>
      <xdr:rowOff>167671</xdr:rowOff>
    </xdr:from>
    <xdr:to>
      <xdr:col>21</xdr:col>
      <xdr:colOff>100739</xdr:colOff>
      <xdr:row>371</xdr:row>
      <xdr:rowOff>23295</xdr:rowOff>
    </xdr:to>
    <xdr:sp macro="" textlink="">
      <xdr:nvSpPr>
        <xdr:cNvPr id="1031" name="正方形/長方形 48">
          <a:extLst>
            <a:ext uri="{FF2B5EF4-FFF2-40B4-BE49-F238E27FC236}">
              <a16:creationId xmlns:a16="http://schemas.microsoft.com/office/drawing/2014/main" id="{C4144CB2-C2A0-430E-B2A7-C39ED26AF46B}"/>
            </a:ext>
          </a:extLst>
        </xdr:cNvPr>
        <xdr:cNvSpPr/>
      </xdr:nvSpPr>
      <xdr:spPr>
        <a:xfrm>
          <a:off x="3197757" y="37650814"/>
          <a:ext cx="1093982" cy="54505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12.</a:t>
          </a:r>
          <a:r>
            <a:rPr kumimoji="1" lang="ja-JP" altLang="en-US" sz="900"/>
            <a:t>売却・処分内容確認</a:t>
          </a:r>
        </a:p>
      </xdr:txBody>
    </xdr:sp>
    <xdr:clientData/>
  </xdr:twoCellAnchor>
  <xdr:twoCellAnchor>
    <xdr:from>
      <xdr:col>11</xdr:col>
      <xdr:colOff>190724</xdr:colOff>
      <xdr:row>365</xdr:row>
      <xdr:rowOff>150028</xdr:rowOff>
    </xdr:from>
    <xdr:to>
      <xdr:col>16</xdr:col>
      <xdr:colOff>4614</xdr:colOff>
      <xdr:row>369</xdr:row>
      <xdr:rowOff>95482</xdr:rowOff>
    </xdr:to>
    <xdr:cxnSp macro="">
      <xdr:nvCxnSpPr>
        <xdr:cNvPr id="1032" name="コネクタ: カギ線 1031">
          <a:extLst>
            <a:ext uri="{FF2B5EF4-FFF2-40B4-BE49-F238E27FC236}">
              <a16:creationId xmlns:a16="http://schemas.microsoft.com/office/drawing/2014/main" id="{C9091572-1977-449A-8D83-18733C9F34F0}"/>
            </a:ext>
          </a:extLst>
        </xdr:cNvPr>
        <xdr:cNvCxnSpPr>
          <a:stCxn id="1149" idx="2"/>
          <a:endCxn id="1031" idx="1"/>
        </xdr:cNvCxnSpPr>
      </xdr:nvCxnSpPr>
      <xdr:spPr>
        <a:xfrm rot="16200000" flipH="1">
          <a:off x="1630266" y="63629898"/>
          <a:ext cx="2179159" cy="785067"/>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38529</xdr:colOff>
      <xdr:row>373</xdr:row>
      <xdr:rowOff>123656</xdr:rowOff>
    </xdr:from>
    <xdr:to>
      <xdr:col>21</xdr:col>
      <xdr:colOff>78131</xdr:colOff>
      <xdr:row>376</xdr:row>
      <xdr:rowOff>132505</xdr:rowOff>
    </xdr:to>
    <xdr:grpSp>
      <xdr:nvGrpSpPr>
        <xdr:cNvPr id="1035" name="グループ化 1034">
          <a:extLst>
            <a:ext uri="{FF2B5EF4-FFF2-40B4-BE49-F238E27FC236}">
              <a16:creationId xmlns:a16="http://schemas.microsoft.com/office/drawing/2014/main" id="{0DB1D33C-9B96-482A-9668-17ED77CF2763}"/>
            </a:ext>
          </a:extLst>
        </xdr:cNvPr>
        <xdr:cNvGrpSpPr/>
      </xdr:nvGrpSpPr>
      <xdr:grpSpPr>
        <a:xfrm>
          <a:off x="2934129" y="64236431"/>
          <a:ext cx="944477" cy="523199"/>
          <a:chOff x="287474" y="4845794"/>
          <a:chExt cx="1021504" cy="505814"/>
        </a:xfrm>
      </xdr:grpSpPr>
      <xdr:sp macro="" textlink="">
        <xdr:nvSpPr>
          <xdr:cNvPr id="1036" name="フローチャート: 判断 1035">
            <a:extLst>
              <a:ext uri="{FF2B5EF4-FFF2-40B4-BE49-F238E27FC236}">
                <a16:creationId xmlns:a16="http://schemas.microsoft.com/office/drawing/2014/main" id="{BC4938BA-00E4-924B-F54B-6E81EB11BB97}"/>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037" name="正方形/長方形 48">
            <a:extLst>
              <a:ext uri="{FF2B5EF4-FFF2-40B4-BE49-F238E27FC236}">
                <a16:creationId xmlns:a16="http://schemas.microsoft.com/office/drawing/2014/main" id="{C86F7662-30AE-581B-F862-69D94162F0EB}"/>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最終確認</a:t>
            </a:r>
          </a:p>
        </xdr:txBody>
      </xdr:sp>
    </xdr:grpSp>
    <xdr:clientData/>
  </xdr:twoCellAnchor>
  <xdr:twoCellAnchor>
    <xdr:from>
      <xdr:col>18</xdr:col>
      <xdr:colOff>175117</xdr:colOff>
      <xdr:row>376</xdr:row>
      <xdr:rowOff>95835</xdr:rowOff>
    </xdr:from>
    <xdr:to>
      <xdr:col>21</xdr:col>
      <xdr:colOff>29912</xdr:colOff>
      <xdr:row>377</xdr:row>
      <xdr:rowOff>142493</xdr:rowOff>
    </xdr:to>
    <xdr:sp macro="" textlink="">
      <xdr:nvSpPr>
        <xdr:cNvPr id="1038" name="テキスト ボックス 1037">
          <a:extLst>
            <a:ext uri="{FF2B5EF4-FFF2-40B4-BE49-F238E27FC236}">
              <a16:creationId xmlns:a16="http://schemas.microsoft.com/office/drawing/2014/main" id="{CA8B48E9-6BB1-4BFB-89FC-EC8ADD14565A}"/>
            </a:ext>
          </a:extLst>
        </xdr:cNvPr>
        <xdr:cNvSpPr txBox="1"/>
      </xdr:nvSpPr>
      <xdr:spPr>
        <a:xfrm>
          <a:off x="3767403" y="39130192"/>
          <a:ext cx="453509"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OK</a:t>
          </a:r>
          <a:endParaRPr kumimoji="1" lang="ja-JP" altLang="en-US" sz="900"/>
        </a:p>
      </xdr:txBody>
    </xdr:sp>
    <xdr:clientData/>
  </xdr:twoCellAnchor>
  <xdr:twoCellAnchor>
    <xdr:from>
      <xdr:col>14</xdr:col>
      <xdr:colOff>30609</xdr:colOff>
      <xdr:row>373</xdr:row>
      <xdr:rowOff>30611</xdr:rowOff>
    </xdr:from>
    <xdr:to>
      <xdr:col>17</xdr:col>
      <xdr:colOff>165764</xdr:colOff>
      <xdr:row>374</xdr:row>
      <xdr:rowOff>141116</xdr:rowOff>
    </xdr:to>
    <xdr:sp macro="" textlink="">
      <xdr:nvSpPr>
        <xdr:cNvPr id="1039" name="テキスト ボックス 1038">
          <a:extLst>
            <a:ext uri="{FF2B5EF4-FFF2-40B4-BE49-F238E27FC236}">
              <a16:creationId xmlns:a16="http://schemas.microsoft.com/office/drawing/2014/main" id="{93FDC1A9-5B8B-4E9F-A2C5-EFFB1696D3FE}"/>
            </a:ext>
          </a:extLst>
        </xdr:cNvPr>
        <xdr:cNvSpPr txBox="1"/>
      </xdr:nvSpPr>
      <xdr:spPr>
        <a:xfrm>
          <a:off x="2824609" y="38547897"/>
          <a:ext cx="733869" cy="282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NG</a:t>
          </a:r>
          <a:endParaRPr kumimoji="1" lang="ja-JP" altLang="en-US" sz="900"/>
        </a:p>
      </xdr:txBody>
    </xdr:sp>
    <xdr:clientData/>
  </xdr:twoCellAnchor>
  <xdr:twoCellAnchor>
    <xdr:from>
      <xdr:col>18</xdr:col>
      <xdr:colOff>151896</xdr:colOff>
      <xdr:row>359</xdr:row>
      <xdr:rowOff>159102</xdr:rowOff>
    </xdr:from>
    <xdr:to>
      <xdr:col>18</xdr:col>
      <xdr:colOff>174681</xdr:colOff>
      <xdr:row>367</xdr:row>
      <xdr:rowOff>167671</xdr:rowOff>
    </xdr:to>
    <xdr:cxnSp macro="">
      <xdr:nvCxnSpPr>
        <xdr:cNvPr id="1044" name="直線矢印コネクタ 1043">
          <a:extLst>
            <a:ext uri="{FF2B5EF4-FFF2-40B4-BE49-F238E27FC236}">
              <a16:creationId xmlns:a16="http://schemas.microsoft.com/office/drawing/2014/main" id="{F576A389-EFBF-473C-BA6B-13BF0636D52C}"/>
            </a:ext>
          </a:extLst>
        </xdr:cNvPr>
        <xdr:cNvCxnSpPr>
          <a:cxnSpLocks/>
          <a:stCxn id="1183" idx="2"/>
          <a:endCxn id="1031" idx="0"/>
        </xdr:cNvCxnSpPr>
      </xdr:nvCxnSpPr>
      <xdr:spPr>
        <a:xfrm flipH="1">
          <a:off x="3723771" y="62897102"/>
          <a:ext cx="22785" cy="14055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99048</xdr:colOff>
      <xdr:row>375</xdr:row>
      <xdr:rowOff>30855</xdr:rowOff>
    </xdr:from>
    <xdr:to>
      <xdr:col>16</xdr:col>
      <xdr:colOff>120617</xdr:colOff>
      <xdr:row>379</xdr:row>
      <xdr:rowOff>22399</xdr:rowOff>
    </xdr:to>
    <xdr:cxnSp macro="">
      <xdr:nvCxnSpPr>
        <xdr:cNvPr id="1045" name="コネクタ: カギ線 1044">
          <a:extLst>
            <a:ext uri="{FF2B5EF4-FFF2-40B4-BE49-F238E27FC236}">
              <a16:creationId xmlns:a16="http://schemas.microsoft.com/office/drawing/2014/main" id="{776451BD-10A3-4AA4-896F-DBAEC51F886C}"/>
            </a:ext>
          </a:extLst>
        </xdr:cNvPr>
        <xdr:cNvCxnSpPr>
          <a:stCxn id="1036" idx="1"/>
          <a:endCxn id="1051" idx="0"/>
        </xdr:cNvCxnSpPr>
      </xdr:nvCxnSpPr>
      <xdr:spPr>
        <a:xfrm rot="10800000" flipV="1">
          <a:off x="897334" y="38892855"/>
          <a:ext cx="2416426" cy="68097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150813</xdr:colOff>
      <xdr:row>371</xdr:row>
      <xdr:rowOff>23295</xdr:rowOff>
    </xdr:from>
    <xdr:to>
      <xdr:col>18</xdr:col>
      <xdr:colOff>152114</xdr:colOff>
      <xdr:row>373</xdr:row>
      <xdr:rowOff>123656</xdr:rowOff>
    </xdr:to>
    <xdr:cxnSp macro="">
      <xdr:nvCxnSpPr>
        <xdr:cNvPr id="1046" name="直線矢印コネクタ 1045">
          <a:extLst>
            <a:ext uri="{FF2B5EF4-FFF2-40B4-BE49-F238E27FC236}">
              <a16:creationId xmlns:a16="http://schemas.microsoft.com/office/drawing/2014/main" id="{1741F5DE-496C-450A-9681-752E5B6AD782}"/>
            </a:ext>
          </a:extLst>
        </xdr:cNvPr>
        <xdr:cNvCxnSpPr>
          <a:cxnSpLocks/>
          <a:stCxn id="1031" idx="2"/>
          <a:endCxn id="1036" idx="0"/>
        </xdr:cNvCxnSpPr>
      </xdr:nvCxnSpPr>
      <xdr:spPr>
        <a:xfrm>
          <a:off x="3743099" y="38195866"/>
          <a:ext cx="1301" cy="4450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44859</xdr:colOff>
      <xdr:row>370</xdr:row>
      <xdr:rowOff>10817</xdr:rowOff>
    </xdr:from>
    <xdr:to>
      <xdr:col>24</xdr:col>
      <xdr:colOff>108232</xdr:colOff>
      <xdr:row>373</xdr:row>
      <xdr:rowOff>356</xdr:rowOff>
    </xdr:to>
    <xdr:grpSp>
      <xdr:nvGrpSpPr>
        <xdr:cNvPr id="1048" name="グループ化 1047">
          <a:extLst>
            <a:ext uri="{FF2B5EF4-FFF2-40B4-BE49-F238E27FC236}">
              <a16:creationId xmlns:a16="http://schemas.microsoft.com/office/drawing/2014/main" id="{94E8E986-D134-4F77-9013-57A8A140EBC9}"/>
            </a:ext>
          </a:extLst>
        </xdr:cNvPr>
        <xdr:cNvGrpSpPr>
          <a:grpSpLocks noChangeAspect="1"/>
        </xdr:cNvGrpSpPr>
      </xdr:nvGrpSpPr>
      <xdr:grpSpPr>
        <a:xfrm>
          <a:off x="3483384" y="63609242"/>
          <a:ext cx="968248" cy="503889"/>
          <a:chOff x="2615259" y="18489765"/>
          <a:chExt cx="1171134" cy="566261"/>
        </a:xfrm>
      </xdr:grpSpPr>
      <xdr:sp macro="" textlink="">
        <xdr:nvSpPr>
          <xdr:cNvPr id="1049" name="フローチャート: 書類 1048">
            <a:extLst>
              <a:ext uri="{FF2B5EF4-FFF2-40B4-BE49-F238E27FC236}">
                <a16:creationId xmlns:a16="http://schemas.microsoft.com/office/drawing/2014/main" id="{B6E98F8A-EF5B-E1F9-6320-305A4F28E30B}"/>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1050" name="正方形/長方形 1049">
            <a:extLst>
              <a:ext uri="{FF2B5EF4-FFF2-40B4-BE49-F238E27FC236}">
                <a16:creationId xmlns:a16="http://schemas.microsoft.com/office/drawing/2014/main" id="{DB5EF204-CB0A-61B2-EEE5-2B2CAE4A7C78}"/>
              </a:ext>
            </a:extLst>
          </xdr:cNvPr>
          <xdr:cNvSpPr/>
        </xdr:nvSpPr>
        <xdr:spPr>
          <a:xfrm>
            <a:off x="2615259" y="18489765"/>
            <a:ext cx="117113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固定資産の処分</a:t>
            </a:r>
            <a:br>
              <a:rPr kumimoji="1" lang="en-US" altLang="ja-JP" sz="900"/>
            </a:br>
            <a:r>
              <a:rPr kumimoji="1" lang="ja-JP" altLang="en-US" sz="900"/>
              <a:t>レポート</a:t>
            </a:r>
          </a:p>
        </xdr:txBody>
      </xdr:sp>
    </xdr:grpSp>
    <xdr:clientData/>
  </xdr:twoCellAnchor>
  <xdr:twoCellAnchor>
    <xdr:from>
      <xdr:col>2</xdr:col>
      <xdr:colOff>3460</xdr:colOff>
      <xdr:row>379</xdr:row>
      <xdr:rowOff>22400</xdr:rowOff>
    </xdr:from>
    <xdr:to>
      <xdr:col>6</xdr:col>
      <xdr:colOff>194636</xdr:colOff>
      <xdr:row>381</xdr:row>
      <xdr:rowOff>163717</xdr:rowOff>
    </xdr:to>
    <xdr:sp macro="" textlink="">
      <xdr:nvSpPr>
        <xdr:cNvPr id="1051" name="フローチャート: 定義済み処理 9">
          <a:extLst>
            <a:ext uri="{FF2B5EF4-FFF2-40B4-BE49-F238E27FC236}">
              <a16:creationId xmlns:a16="http://schemas.microsoft.com/office/drawing/2014/main" id="{1E3E66D5-106D-4C36-BD99-B1577025A3D6}"/>
            </a:ext>
          </a:extLst>
        </xdr:cNvPr>
        <xdr:cNvSpPr/>
      </xdr:nvSpPr>
      <xdr:spPr>
        <a:xfrm>
          <a:off x="402603" y="39573829"/>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xdr:col>
      <xdr:colOff>162787</xdr:colOff>
      <xdr:row>378</xdr:row>
      <xdr:rowOff>155961</xdr:rowOff>
    </xdr:from>
    <xdr:to>
      <xdr:col>7</xdr:col>
      <xdr:colOff>62639</xdr:colOff>
      <xdr:row>382</xdr:row>
      <xdr:rowOff>12408</xdr:rowOff>
    </xdr:to>
    <xdr:sp macro="" textlink="">
      <xdr:nvSpPr>
        <xdr:cNvPr id="1052" name="正方形/長方形 48">
          <a:extLst>
            <a:ext uri="{FF2B5EF4-FFF2-40B4-BE49-F238E27FC236}">
              <a16:creationId xmlns:a16="http://schemas.microsoft.com/office/drawing/2014/main" id="{F5E69531-C8E4-47C8-BAB3-3D875F4553F2}"/>
            </a:ext>
          </a:extLst>
        </xdr:cNvPr>
        <xdr:cNvSpPr/>
      </xdr:nvSpPr>
      <xdr:spPr>
        <a:xfrm>
          <a:off x="362358" y="39535032"/>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13.</a:t>
          </a:r>
          <a:r>
            <a:rPr kumimoji="1" lang="ja-JP" altLang="en-US" sz="900"/>
            <a:t>仕訳帳</a:t>
          </a:r>
          <a:br>
            <a:rPr kumimoji="1" lang="en-US" altLang="ja-JP" sz="900"/>
          </a:br>
          <a:r>
            <a:rPr kumimoji="1" lang="ja-JP" altLang="en-US" sz="900"/>
            <a:t>全体の取消</a:t>
          </a:r>
        </a:p>
      </xdr:txBody>
    </xdr:sp>
    <xdr:clientData/>
  </xdr:twoCellAnchor>
  <xdr:twoCellAnchor>
    <xdr:from>
      <xdr:col>8</xdr:col>
      <xdr:colOff>14056</xdr:colOff>
      <xdr:row>306</xdr:row>
      <xdr:rowOff>16619</xdr:rowOff>
    </xdr:from>
    <xdr:to>
      <xdr:col>13</xdr:col>
      <xdr:colOff>193136</xdr:colOff>
      <xdr:row>307</xdr:row>
      <xdr:rowOff>74153</xdr:rowOff>
    </xdr:to>
    <xdr:sp macro="" textlink="">
      <xdr:nvSpPr>
        <xdr:cNvPr id="1053" name="テキスト ボックス 1052">
          <a:extLst>
            <a:ext uri="{FF2B5EF4-FFF2-40B4-BE49-F238E27FC236}">
              <a16:creationId xmlns:a16="http://schemas.microsoft.com/office/drawing/2014/main" id="{FBDE9FD3-59B8-4EED-9584-D05C2FC3326E}"/>
            </a:ext>
          </a:extLst>
        </xdr:cNvPr>
        <xdr:cNvSpPr txBox="1"/>
      </xdr:nvSpPr>
      <xdr:spPr>
        <a:xfrm>
          <a:off x="1610627" y="31984333"/>
          <a:ext cx="1176938" cy="22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22</xdr:col>
      <xdr:colOff>4820</xdr:colOff>
      <xdr:row>305</xdr:row>
      <xdr:rowOff>169019</xdr:rowOff>
    </xdr:from>
    <xdr:to>
      <xdr:col>27</xdr:col>
      <xdr:colOff>183900</xdr:colOff>
      <xdr:row>307</xdr:row>
      <xdr:rowOff>53371</xdr:rowOff>
    </xdr:to>
    <xdr:sp macro="" textlink="">
      <xdr:nvSpPr>
        <xdr:cNvPr id="1054" name="テキスト ボックス 1053">
          <a:extLst>
            <a:ext uri="{FF2B5EF4-FFF2-40B4-BE49-F238E27FC236}">
              <a16:creationId xmlns:a16="http://schemas.microsoft.com/office/drawing/2014/main" id="{8119F890-FB2B-463D-B306-26B5D8000362}"/>
            </a:ext>
          </a:extLst>
        </xdr:cNvPr>
        <xdr:cNvSpPr txBox="1"/>
      </xdr:nvSpPr>
      <xdr:spPr>
        <a:xfrm>
          <a:off x="4395391" y="31964376"/>
          <a:ext cx="1176938" cy="22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30</xdr:col>
      <xdr:colOff>147092</xdr:colOff>
      <xdr:row>378</xdr:row>
      <xdr:rowOff>154903</xdr:rowOff>
    </xdr:from>
    <xdr:to>
      <xdr:col>34</xdr:col>
      <xdr:colOff>156176</xdr:colOff>
      <xdr:row>382</xdr:row>
      <xdr:rowOff>103315</xdr:rowOff>
    </xdr:to>
    <xdr:grpSp>
      <xdr:nvGrpSpPr>
        <xdr:cNvPr id="1055" name="グループ化 92">
          <a:extLst>
            <a:ext uri="{FF2B5EF4-FFF2-40B4-BE49-F238E27FC236}">
              <a16:creationId xmlns:a16="http://schemas.microsoft.com/office/drawing/2014/main" id="{61427712-A0A7-4417-9E74-504305481C27}"/>
            </a:ext>
          </a:extLst>
        </xdr:cNvPr>
        <xdr:cNvGrpSpPr/>
      </xdr:nvGrpSpPr>
      <xdr:grpSpPr>
        <a:xfrm>
          <a:off x="5576342" y="65124928"/>
          <a:ext cx="732984" cy="634212"/>
          <a:chOff x="7144737" y="2892425"/>
          <a:chExt cx="763434" cy="597682"/>
        </a:xfrm>
      </xdr:grpSpPr>
      <xdr:sp macro="" textlink="">
        <xdr:nvSpPr>
          <xdr:cNvPr id="1056" name="フローチャート: 磁気ディスク 93">
            <a:extLst>
              <a:ext uri="{FF2B5EF4-FFF2-40B4-BE49-F238E27FC236}">
                <a16:creationId xmlns:a16="http://schemas.microsoft.com/office/drawing/2014/main" id="{15885023-361C-52CD-EA74-CCEE3B056A0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57" name="正方形/長方形 94">
            <a:extLst>
              <a:ext uri="{FF2B5EF4-FFF2-40B4-BE49-F238E27FC236}">
                <a16:creationId xmlns:a16="http://schemas.microsoft.com/office/drawing/2014/main" id="{27C73AF6-AE3B-2804-8453-CC02F639ED8B}"/>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6</xdr:col>
      <xdr:colOff>197811</xdr:colOff>
      <xdr:row>380</xdr:row>
      <xdr:rowOff>93059</xdr:rowOff>
    </xdr:from>
    <xdr:to>
      <xdr:col>31</xdr:col>
      <xdr:colOff>8320</xdr:colOff>
      <xdr:row>380</xdr:row>
      <xdr:rowOff>97662</xdr:rowOff>
    </xdr:to>
    <xdr:cxnSp macro="">
      <xdr:nvCxnSpPr>
        <xdr:cNvPr id="1058" name="直線矢印コネクタ 1057">
          <a:extLst>
            <a:ext uri="{FF2B5EF4-FFF2-40B4-BE49-F238E27FC236}">
              <a16:creationId xmlns:a16="http://schemas.microsoft.com/office/drawing/2014/main" id="{A6581859-86C7-4D0A-9B2B-343A6427219B}"/>
            </a:ext>
          </a:extLst>
        </xdr:cNvPr>
        <xdr:cNvCxnSpPr>
          <a:cxnSpLocks/>
          <a:stCxn id="1051" idx="3"/>
          <a:endCxn id="1056" idx="2"/>
        </xdr:cNvCxnSpPr>
      </xdr:nvCxnSpPr>
      <xdr:spPr>
        <a:xfrm>
          <a:off x="1412249" y="63541465"/>
          <a:ext cx="4870665" cy="46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90381</xdr:colOff>
      <xdr:row>367</xdr:row>
      <xdr:rowOff>144294</xdr:rowOff>
    </xdr:from>
    <xdr:to>
      <xdr:col>34</xdr:col>
      <xdr:colOff>156018</xdr:colOff>
      <xdr:row>371</xdr:row>
      <xdr:rowOff>124440</xdr:rowOff>
    </xdr:to>
    <xdr:grpSp>
      <xdr:nvGrpSpPr>
        <xdr:cNvPr id="1059" name="グループ化 170">
          <a:extLst>
            <a:ext uri="{FF2B5EF4-FFF2-40B4-BE49-F238E27FC236}">
              <a16:creationId xmlns:a16="http://schemas.microsoft.com/office/drawing/2014/main" id="{3AC765DA-A41A-4067-A757-08C8B75596E5}"/>
            </a:ext>
          </a:extLst>
        </xdr:cNvPr>
        <xdr:cNvGrpSpPr>
          <a:grpSpLocks noChangeAspect="1"/>
        </xdr:cNvGrpSpPr>
      </xdr:nvGrpSpPr>
      <xdr:grpSpPr>
        <a:xfrm>
          <a:off x="5519631" y="63228369"/>
          <a:ext cx="789537" cy="665946"/>
          <a:chOff x="7102989" y="2892424"/>
          <a:chExt cx="873125" cy="603230"/>
        </a:xfrm>
      </xdr:grpSpPr>
      <xdr:sp macro="" textlink="">
        <xdr:nvSpPr>
          <xdr:cNvPr id="1060" name="フローチャート: 磁気ディスク 171">
            <a:extLst>
              <a:ext uri="{FF2B5EF4-FFF2-40B4-BE49-F238E27FC236}">
                <a16:creationId xmlns:a16="http://schemas.microsoft.com/office/drawing/2014/main" id="{F19E9DE7-B3E3-3E2D-1BAE-0C1CC0A45792}"/>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61" name="正方形/長方形 172">
            <a:extLst>
              <a:ext uri="{FF2B5EF4-FFF2-40B4-BE49-F238E27FC236}">
                <a16:creationId xmlns:a16="http://schemas.microsoft.com/office/drawing/2014/main" id="{AE7A2AAD-254E-B044-3834-F4D3F9DD4A86}"/>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br>
              <a:rPr kumimoji="1" lang="en-US" altLang="ja-JP" sz="900"/>
            </a:br>
            <a:r>
              <a:rPr kumimoji="1" lang="ja-JP" altLang="en-US" sz="900"/>
              <a:t>の処分</a:t>
            </a:r>
          </a:p>
        </xdr:txBody>
      </xdr:sp>
    </xdr:grpSp>
    <xdr:clientData/>
  </xdr:twoCellAnchor>
  <xdr:twoCellAnchor>
    <xdr:from>
      <xdr:col>21</xdr:col>
      <xdr:colOff>29990</xdr:colOff>
      <xdr:row>369</xdr:row>
      <xdr:rowOff>98627</xdr:rowOff>
    </xdr:from>
    <xdr:to>
      <xdr:col>30</xdr:col>
      <xdr:colOff>191715</xdr:colOff>
      <xdr:row>369</xdr:row>
      <xdr:rowOff>99523</xdr:rowOff>
    </xdr:to>
    <xdr:cxnSp macro="">
      <xdr:nvCxnSpPr>
        <xdr:cNvPr id="1062" name="直線矢印コネクタ 1061">
          <a:extLst>
            <a:ext uri="{FF2B5EF4-FFF2-40B4-BE49-F238E27FC236}">
              <a16:creationId xmlns:a16="http://schemas.microsoft.com/office/drawing/2014/main" id="{0B5DA4ED-86A1-42B0-AA7A-3F2AB33F0CC4}"/>
            </a:ext>
          </a:extLst>
        </xdr:cNvPr>
        <xdr:cNvCxnSpPr>
          <a:stCxn id="1030" idx="3"/>
          <a:endCxn id="1060" idx="2"/>
        </xdr:cNvCxnSpPr>
      </xdr:nvCxnSpPr>
      <xdr:spPr>
        <a:xfrm flipV="1">
          <a:off x="4280521" y="61713471"/>
          <a:ext cx="1983382" cy="89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9073</xdr:colOff>
      <xdr:row>384</xdr:row>
      <xdr:rowOff>16494</xdr:rowOff>
    </xdr:from>
    <xdr:to>
      <xdr:col>13</xdr:col>
      <xdr:colOff>117929</xdr:colOff>
      <xdr:row>388</xdr:row>
      <xdr:rowOff>16493</xdr:rowOff>
    </xdr:to>
    <xdr:grpSp>
      <xdr:nvGrpSpPr>
        <xdr:cNvPr id="1063" name="グループ化 1062">
          <a:extLst>
            <a:ext uri="{FF2B5EF4-FFF2-40B4-BE49-F238E27FC236}">
              <a16:creationId xmlns:a16="http://schemas.microsoft.com/office/drawing/2014/main" id="{00BFE3A9-55B3-4C4C-A5D8-23004F1CE709}"/>
            </a:ext>
          </a:extLst>
        </xdr:cNvPr>
        <xdr:cNvGrpSpPr/>
      </xdr:nvGrpSpPr>
      <xdr:grpSpPr>
        <a:xfrm>
          <a:off x="190048" y="66015219"/>
          <a:ext cx="2280556" cy="685799"/>
          <a:chOff x="1612900" y="2457450"/>
          <a:chExt cx="933032" cy="374650"/>
        </a:xfrm>
      </xdr:grpSpPr>
      <xdr:sp macro="" textlink="">
        <xdr:nvSpPr>
          <xdr:cNvPr id="1064" name="フローチャート: 処理 1063">
            <a:extLst>
              <a:ext uri="{FF2B5EF4-FFF2-40B4-BE49-F238E27FC236}">
                <a16:creationId xmlns:a16="http://schemas.microsoft.com/office/drawing/2014/main" id="{7C18A2F9-09EE-0ECD-0EF7-6E1E6A000745}"/>
              </a:ext>
            </a:extLst>
          </xdr:cNvPr>
          <xdr:cNvSpPr/>
        </xdr:nvSpPr>
        <xdr:spPr>
          <a:xfrm>
            <a:off x="1682750" y="2457450"/>
            <a:ext cx="819150" cy="374650"/>
          </a:xfrm>
          <a:prstGeom prst="flowChart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66" name="正方形/長方形 48">
            <a:extLst>
              <a:ext uri="{FF2B5EF4-FFF2-40B4-BE49-F238E27FC236}">
                <a16:creationId xmlns:a16="http://schemas.microsoft.com/office/drawing/2014/main" id="{096C397B-3C82-6EC0-1081-F8FA6FBDDFCA}"/>
              </a:ext>
            </a:extLst>
          </xdr:cNvPr>
          <xdr:cNvSpPr/>
        </xdr:nvSpPr>
        <xdr:spPr>
          <a:xfrm>
            <a:off x="1612900" y="2489200"/>
            <a:ext cx="933032" cy="2885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内容修正を行い、</a:t>
            </a:r>
            <a:br>
              <a:rPr kumimoji="1" lang="en-US" altLang="ja-JP" sz="900"/>
            </a:br>
            <a:r>
              <a:rPr kumimoji="1" lang="ja-JP" altLang="en-US" sz="900"/>
              <a:t>再度売却・処分提案の実行より行う</a:t>
            </a:r>
            <a:endParaRPr kumimoji="1" lang="en-US" altLang="ja-JP" sz="900"/>
          </a:p>
        </xdr:txBody>
      </xdr:sp>
    </xdr:grpSp>
    <xdr:clientData/>
  </xdr:twoCellAnchor>
  <xdr:twoCellAnchor>
    <xdr:from>
      <xdr:col>4</xdr:col>
      <xdr:colOff>99048</xdr:colOff>
      <xdr:row>381</xdr:row>
      <xdr:rowOff>163717</xdr:rowOff>
    </xdr:from>
    <xdr:to>
      <xdr:col>4</xdr:col>
      <xdr:colOff>108857</xdr:colOff>
      <xdr:row>384</xdr:row>
      <xdr:rowOff>54429</xdr:rowOff>
    </xdr:to>
    <xdr:cxnSp macro="">
      <xdr:nvCxnSpPr>
        <xdr:cNvPr id="1068" name="直線矢印コネクタ 1067">
          <a:extLst>
            <a:ext uri="{FF2B5EF4-FFF2-40B4-BE49-F238E27FC236}">
              <a16:creationId xmlns:a16="http://schemas.microsoft.com/office/drawing/2014/main" id="{CEE4EB22-3789-4161-AEBE-4538C70B51E1}"/>
            </a:ext>
          </a:extLst>
        </xdr:cNvPr>
        <xdr:cNvCxnSpPr>
          <a:cxnSpLocks/>
          <a:stCxn id="1051" idx="2"/>
        </xdr:cNvCxnSpPr>
      </xdr:nvCxnSpPr>
      <xdr:spPr>
        <a:xfrm>
          <a:off x="897334" y="40059860"/>
          <a:ext cx="9809" cy="4077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54428</xdr:colOff>
      <xdr:row>301</xdr:row>
      <xdr:rowOff>6004</xdr:rowOff>
    </xdr:from>
    <xdr:to>
      <xdr:col>4</xdr:col>
      <xdr:colOff>56051</xdr:colOff>
      <xdr:row>303</xdr:row>
      <xdr:rowOff>72572</xdr:rowOff>
    </xdr:to>
    <xdr:cxnSp macro="">
      <xdr:nvCxnSpPr>
        <xdr:cNvPr id="1073" name="直線矢印コネクタ 27">
          <a:extLst>
            <a:ext uri="{FF2B5EF4-FFF2-40B4-BE49-F238E27FC236}">
              <a16:creationId xmlns:a16="http://schemas.microsoft.com/office/drawing/2014/main" id="{666EE711-F471-4DD0-8FE5-26F166E6FB9E}"/>
            </a:ext>
          </a:extLst>
        </xdr:cNvPr>
        <xdr:cNvCxnSpPr>
          <a:cxnSpLocks/>
          <a:stCxn id="350" idx="2"/>
        </xdr:cNvCxnSpPr>
      </xdr:nvCxnSpPr>
      <xdr:spPr>
        <a:xfrm flipH="1">
          <a:off x="852714" y="51967147"/>
          <a:ext cx="1623" cy="4112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143328</xdr:colOff>
      <xdr:row>300</xdr:row>
      <xdr:rowOff>140261</xdr:rowOff>
    </xdr:from>
    <xdr:to>
      <xdr:col>18</xdr:col>
      <xdr:colOff>144951</xdr:colOff>
      <xdr:row>303</xdr:row>
      <xdr:rowOff>34472</xdr:rowOff>
    </xdr:to>
    <xdr:cxnSp macro="">
      <xdr:nvCxnSpPr>
        <xdr:cNvPr id="1078" name="直線矢印コネクタ 27">
          <a:extLst>
            <a:ext uri="{FF2B5EF4-FFF2-40B4-BE49-F238E27FC236}">
              <a16:creationId xmlns:a16="http://schemas.microsoft.com/office/drawing/2014/main" id="{ABCDE196-3E1C-4529-B133-84119F9E431C}"/>
            </a:ext>
          </a:extLst>
        </xdr:cNvPr>
        <xdr:cNvCxnSpPr>
          <a:cxnSpLocks/>
        </xdr:cNvCxnSpPr>
      </xdr:nvCxnSpPr>
      <xdr:spPr>
        <a:xfrm flipH="1">
          <a:off x="3735614" y="51929047"/>
          <a:ext cx="1623" cy="4112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125382</xdr:colOff>
      <xdr:row>334</xdr:row>
      <xdr:rowOff>99785</xdr:rowOff>
    </xdr:from>
    <xdr:to>
      <xdr:col>7</xdr:col>
      <xdr:colOff>9359</xdr:colOff>
      <xdr:row>337</xdr:row>
      <xdr:rowOff>128592</xdr:rowOff>
    </xdr:to>
    <xdr:grpSp>
      <xdr:nvGrpSpPr>
        <xdr:cNvPr id="1083" name="グループ化 8">
          <a:extLst>
            <a:ext uri="{FF2B5EF4-FFF2-40B4-BE49-F238E27FC236}">
              <a16:creationId xmlns:a16="http://schemas.microsoft.com/office/drawing/2014/main" id="{0AD3D5CC-E6BB-48BB-8F7A-F01EC0E99E81}"/>
            </a:ext>
          </a:extLst>
        </xdr:cNvPr>
        <xdr:cNvGrpSpPr/>
      </xdr:nvGrpSpPr>
      <xdr:grpSpPr>
        <a:xfrm>
          <a:off x="306357" y="57526010"/>
          <a:ext cx="969827" cy="543157"/>
          <a:chOff x="1615543" y="2430783"/>
          <a:chExt cx="908902" cy="422628"/>
        </a:xfrm>
      </xdr:grpSpPr>
      <xdr:sp macro="" textlink="">
        <xdr:nvSpPr>
          <xdr:cNvPr id="1084" name="フローチャート: 定義済み処理 9">
            <a:extLst>
              <a:ext uri="{FF2B5EF4-FFF2-40B4-BE49-F238E27FC236}">
                <a16:creationId xmlns:a16="http://schemas.microsoft.com/office/drawing/2014/main" id="{F721D9CD-C68F-8CC3-2617-730BD3C1C43F}"/>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85" name="正方形/長方形 48">
            <a:extLst>
              <a:ext uri="{FF2B5EF4-FFF2-40B4-BE49-F238E27FC236}">
                <a16:creationId xmlns:a16="http://schemas.microsoft.com/office/drawing/2014/main" id="{C4B2BCEB-F706-36C8-A25F-B14C68F9DE61}"/>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未収入金</a:t>
            </a:r>
            <a:br>
              <a:rPr kumimoji="1" lang="en-US" altLang="ja-JP" sz="900"/>
            </a:br>
            <a:r>
              <a:rPr kumimoji="1" lang="ja-JP" altLang="en-US" sz="900"/>
              <a:t>への振替</a:t>
            </a:r>
          </a:p>
        </xdr:txBody>
      </xdr:sp>
    </xdr:grpSp>
    <xdr:clientData/>
  </xdr:twoCellAnchor>
  <xdr:twoCellAnchor>
    <xdr:from>
      <xdr:col>30</xdr:col>
      <xdr:colOff>70410</xdr:colOff>
      <xdr:row>334</xdr:row>
      <xdr:rowOff>91149</xdr:rowOff>
    </xdr:from>
    <xdr:to>
      <xdr:col>34</xdr:col>
      <xdr:colOff>183673</xdr:colOff>
      <xdr:row>338</xdr:row>
      <xdr:rowOff>70913</xdr:rowOff>
    </xdr:to>
    <xdr:grpSp>
      <xdr:nvGrpSpPr>
        <xdr:cNvPr id="1091" name="グループ化 144">
          <a:extLst>
            <a:ext uri="{FF2B5EF4-FFF2-40B4-BE49-F238E27FC236}">
              <a16:creationId xmlns:a16="http://schemas.microsoft.com/office/drawing/2014/main" id="{D68158BF-040C-4A5A-8609-936E00CCCD93}"/>
            </a:ext>
          </a:extLst>
        </xdr:cNvPr>
        <xdr:cNvGrpSpPr>
          <a:grpSpLocks noChangeAspect="1"/>
        </xdr:cNvGrpSpPr>
      </xdr:nvGrpSpPr>
      <xdr:grpSpPr>
        <a:xfrm>
          <a:off x="5499660" y="57517374"/>
          <a:ext cx="837163" cy="665564"/>
          <a:chOff x="7102989" y="2892422"/>
          <a:chExt cx="873125" cy="603232"/>
        </a:xfrm>
      </xdr:grpSpPr>
      <xdr:sp macro="" textlink="">
        <xdr:nvSpPr>
          <xdr:cNvPr id="1092" name="フローチャート: 磁気ディスク 145">
            <a:extLst>
              <a:ext uri="{FF2B5EF4-FFF2-40B4-BE49-F238E27FC236}">
                <a16:creationId xmlns:a16="http://schemas.microsoft.com/office/drawing/2014/main" id="{F009A586-4395-9ED4-9BF1-AE607A64814D}"/>
              </a:ext>
            </a:extLst>
          </xdr:cNvPr>
          <xdr:cNvSpPr/>
        </xdr:nvSpPr>
        <xdr:spPr>
          <a:xfrm>
            <a:off x="7204074" y="2892422"/>
            <a:ext cx="676275" cy="536574"/>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93" name="正方形/長方形 146">
            <a:extLst>
              <a:ext uri="{FF2B5EF4-FFF2-40B4-BE49-F238E27FC236}">
                <a16:creationId xmlns:a16="http://schemas.microsoft.com/office/drawing/2014/main" id="{325AFD8A-E9E4-BF68-B44E-F908A2A366E2}"/>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6</xdr:col>
      <xdr:colOff>182027</xdr:colOff>
      <xdr:row>336</xdr:row>
      <xdr:rowOff>28116</xdr:rowOff>
    </xdr:from>
    <xdr:to>
      <xdr:col>30</xdr:col>
      <xdr:colOff>195772</xdr:colOff>
      <xdr:row>336</xdr:row>
      <xdr:rowOff>28950</xdr:rowOff>
    </xdr:to>
    <xdr:cxnSp macro="">
      <xdr:nvCxnSpPr>
        <xdr:cNvPr id="1094" name="直線矢印コネクタ 1093">
          <a:extLst>
            <a:ext uri="{FF2B5EF4-FFF2-40B4-BE49-F238E27FC236}">
              <a16:creationId xmlns:a16="http://schemas.microsoft.com/office/drawing/2014/main" id="{B8FDC727-4689-4E17-9876-C8EEF059D3BF}"/>
            </a:ext>
          </a:extLst>
        </xdr:cNvPr>
        <xdr:cNvCxnSpPr>
          <a:stCxn id="1084" idx="3"/>
        </xdr:cNvCxnSpPr>
      </xdr:nvCxnSpPr>
      <xdr:spPr>
        <a:xfrm flipV="1">
          <a:off x="1379456" y="58021759"/>
          <a:ext cx="4803459" cy="8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152596</xdr:colOff>
      <xdr:row>334</xdr:row>
      <xdr:rowOff>72571</xdr:rowOff>
    </xdr:from>
    <xdr:to>
      <xdr:col>21</xdr:col>
      <xdr:colOff>36573</xdr:colOff>
      <xdr:row>337</xdr:row>
      <xdr:rowOff>101378</xdr:rowOff>
    </xdr:to>
    <xdr:grpSp>
      <xdr:nvGrpSpPr>
        <xdr:cNvPr id="1100" name="グループ化 8">
          <a:extLst>
            <a:ext uri="{FF2B5EF4-FFF2-40B4-BE49-F238E27FC236}">
              <a16:creationId xmlns:a16="http://schemas.microsoft.com/office/drawing/2014/main" id="{1A140809-AB08-42B8-B2AD-A642037518BB}"/>
            </a:ext>
          </a:extLst>
        </xdr:cNvPr>
        <xdr:cNvGrpSpPr/>
      </xdr:nvGrpSpPr>
      <xdr:grpSpPr>
        <a:xfrm>
          <a:off x="2867221" y="57498796"/>
          <a:ext cx="969827" cy="543157"/>
          <a:chOff x="1615543" y="2430783"/>
          <a:chExt cx="908902" cy="422628"/>
        </a:xfrm>
      </xdr:grpSpPr>
      <xdr:sp macro="" textlink="">
        <xdr:nvSpPr>
          <xdr:cNvPr id="1101" name="フローチャート: 定義済み処理 9">
            <a:extLst>
              <a:ext uri="{FF2B5EF4-FFF2-40B4-BE49-F238E27FC236}">
                <a16:creationId xmlns:a16="http://schemas.microsoft.com/office/drawing/2014/main" id="{9D9FF820-42C8-70F4-0519-E7D7630D8B6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04" name="正方形/長方形 48">
            <a:extLst>
              <a:ext uri="{FF2B5EF4-FFF2-40B4-BE49-F238E27FC236}">
                <a16:creationId xmlns:a16="http://schemas.microsoft.com/office/drawing/2014/main" id="{84541555-53E3-F71A-0566-7386F2A22E72}"/>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未収入金</a:t>
            </a:r>
            <a:br>
              <a:rPr kumimoji="1" lang="en-US" altLang="ja-JP" sz="900"/>
            </a:br>
            <a:r>
              <a:rPr kumimoji="1" lang="ja-JP" altLang="en-US" sz="900"/>
              <a:t>への振替</a:t>
            </a:r>
          </a:p>
        </xdr:txBody>
      </xdr:sp>
    </xdr:grpSp>
    <xdr:clientData/>
  </xdr:twoCellAnchor>
  <xdr:twoCellAnchor>
    <xdr:from>
      <xdr:col>4</xdr:col>
      <xdr:colOff>92427</xdr:colOff>
      <xdr:row>328</xdr:row>
      <xdr:rowOff>171079</xdr:rowOff>
    </xdr:from>
    <xdr:to>
      <xdr:col>12</xdr:col>
      <xdr:colOff>16557</xdr:colOff>
      <xdr:row>334</xdr:row>
      <xdr:rowOff>132394</xdr:rowOff>
    </xdr:to>
    <xdr:cxnSp macro="">
      <xdr:nvCxnSpPr>
        <xdr:cNvPr id="1112" name="コネクタ: カギ線 1111">
          <a:extLst>
            <a:ext uri="{FF2B5EF4-FFF2-40B4-BE49-F238E27FC236}">
              <a16:creationId xmlns:a16="http://schemas.microsoft.com/office/drawing/2014/main" id="{62C53905-BB98-4747-8426-F75B6B90EA98}"/>
            </a:ext>
          </a:extLst>
        </xdr:cNvPr>
        <xdr:cNvCxnSpPr>
          <a:stCxn id="941" idx="2"/>
          <a:endCxn id="1084" idx="0"/>
        </xdr:cNvCxnSpPr>
      </xdr:nvCxnSpPr>
      <xdr:spPr>
        <a:xfrm rot="5400000">
          <a:off x="1153335" y="56523243"/>
          <a:ext cx="995458" cy="152070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99684</xdr:colOff>
      <xdr:row>328</xdr:row>
      <xdr:rowOff>123908</xdr:rowOff>
    </xdr:from>
    <xdr:to>
      <xdr:col>26</xdr:col>
      <xdr:colOff>23814</xdr:colOff>
      <xdr:row>334</xdr:row>
      <xdr:rowOff>85223</xdr:rowOff>
    </xdr:to>
    <xdr:cxnSp macro="">
      <xdr:nvCxnSpPr>
        <xdr:cNvPr id="1115" name="コネクタ: カギ線 1114">
          <a:extLst>
            <a:ext uri="{FF2B5EF4-FFF2-40B4-BE49-F238E27FC236}">
              <a16:creationId xmlns:a16="http://schemas.microsoft.com/office/drawing/2014/main" id="{B7DFC29F-98F4-40F6-9D12-9D22A042069D}"/>
            </a:ext>
          </a:extLst>
        </xdr:cNvPr>
        <xdr:cNvCxnSpPr/>
      </xdr:nvCxnSpPr>
      <xdr:spPr>
        <a:xfrm rot="5400000">
          <a:off x="3954592" y="56476072"/>
          <a:ext cx="995458" cy="152070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16523</xdr:colOff>
      <xdr:row>340</xdr:row>
      <xdr:rowOff>21687</xdr:rowOff>
    </xdr:from>
    <xdr:to>
      <xdr:col>34</xdr:col>
      <xdr:colOff>190007</xdr:colOff>
      <xdr:row>343</xdr:row>
      <xdr:rowOff>130045</xdr:rowOff>
    </xdr:to>
    <xdr:grpSp>
      <xdr:nvGrpSpPr>
        <xdr:cNvPr id="1116" name="グループ化 92">
          <a:extLst>
            <a:ext uri="{FF2B5EF4-FFF2-40B4-BE49-F238E27FC236}">
              <a16:creationId xmlns:a16="http://schemas.microsoft.com/office/drawing/2014/main" id="{2051ED45-1B0C-4A2D-8BF0-143FB9294FDC}"/>
            </a:ext>
          </a:extLst>
        </xdr:cNvPr>
        <xdr:cNvGrpSpPr/>
      </xdr:nvGrpSpPr>
      <xdr:grpSpPr>
        <a:xfrm>
          <a:off x="5626748" y="58476612"/>
          <a:ext cx="706884" cy="622708"/>
          <a:chOff x="7144737" y="2892425"/>
          <a:chExt cx="763434" cy="597682"/>
        </a:xfrm>
      </xdr:grpSpPr>
      <xdr:sp macro="" textlink="">
        <xdr:nvSpPr>
          <xdr:cNvPr id="1117" name="フローチャート: 磁気ディスク 93">
            <a:extLst>
              <a:ext uri="{FF2B5EF4-FFF2-40B4-BE49-F238E27FC236}">
                <a16:creationId xmlns:a16="http://schemas.microsoft.com/office/drawing/2014/main" id="{C9F00D14-B653-67BD-236F-0349BD1F98F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18" name="正方形/長方形 94">
            <a:extLst>
              <a:ext uri="{FF2B5EF4-FFF2-40B4-BE49-F238E27FC236}">
                <a16:creationId xmlns:a16="http://schemas.microsoft.com/office/drawing/2014/main" id="{0B22BC5D-B9ED-E0E1-AF2A-1D18C892545F}"/>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7</xdr:col>
      <xdr:colOff>67635</xdr:colOff>
      <xdr:row>341</xdr:row>
      <xdr:rowOff>130073</xdr:rowOff>
    </xdr:from>
    <xdr:to>
      <xdr:col>31</xdr:col>
      <xdr:colOff>76542</xdr:colOff>
      <xdr:row>341</xdr:row>
      <xdr:rowOff>147488</xdr:rowOff>
    </xdr:to>
    <xdr:cxnSp macro="">
      <xdr:nvCxnSpPr>
        <xdr:cNvPr id="1119" name="直線矢印コネクタ 1118">
          <a:extLst>
            <a:ext uri="{FF2B5EF4-FFF2-40B4-BE49-F238E27FC236}">
              <a16:creationId xmlns:a16="http://schemas.microsoft.com/office/drawing/2014/main" id="{259EFE7F-7D44-4BEC-947A-6F2CC6BA5B51}"/>
            </a:ext>
          </a:extLst>
        </xdr:cNvPr>
        <xdr:cNvCxnSpPr>
          <a:cxnSpLocks/>
          <a:stCxn id="1132" idx="3"/>
          <a:endCxn id="1117" idx="2"/>
        </xdr:cNvCxnSpPr>
      </xdr:nvCxnSpPr>
      <xdr:spPr>
        <a:xfrm flipV="1">
          <a:off x="1464635" y="52608287"/>
          <a:ext cx="4798621" cy="174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174696</xdr:colOff>
      <xdr:row>346</xdr:row>
      <xdr:rowOff>101518</xdr:rowOff>
    </xdr:from>
    <xdr:to>
      <xdr:col>34</xdr:col>
      <xdr:colOff>179294</xdr:colOff>
      <xdr:row>350</xdr:row>
      <xdr:rowOff>36694</xdr:rowOff>
    </xdr:to>
    <xdr:grpSp>
      <xdr:nvGrpSpPr>
        <xdr:cNvPr id="1120" name="グループ化 92">
          <a:extLst>
            <a:ext uri="{FF2B5EF4-FFF2-40B4-BE49-F238E27FC236}">
              <a16:creationId xmlns:a16="http://schemas.microsoft.com/office/drawing/2014/main" id="{D95598F7-F5B9-4A02-958C-C1FADE511AE0}"/>
            </a:ext>
          </a:extLst>
        </xdr:cNvPr>
        <xdr:cNvGrpSpPr/>
      </xdr:nvGrpSpPr>
      <xdr:grpSpPr>
        <a:xfrm>
          <a:off x="5603946" y="59585143"/>
          <a:ext cx="728498" cy="620976"/>
          <a:chOff x="7144736" y="2892425"/>
          <a:chExt cx="791158" cy="597682"/>
        </a:xfrm>
      </xdr:grpSpPr>
      <xdr:sp macro="" textlink="">
        <xdr:nvSpPr>
          <xdr:cNvPr id="1121" name="フローチャート: 磁気ディスク 93">
            <a:extLst>
              <a:ext uri="{FF2B5EF4-FFF2-40B4-BE49-F238E27FC236}">
                <a16:creationId xmlns:a16="http://schemas.microsoft.com/office/drawing/2014/main" id="{932D044E-4F95-42AB-EDCC-55ED8283BB8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22" name="正方形/長方形 94">
            <a:extLst>
              <a:ext uri="{FF2B5EF4-FFF2-40B4-BE49-F238E27FC236}">
                <a16:creationId xmlns:a16="http://schemas.microsoft.com/office/drawing/2014/main" id="{91248E62-64E3-2F42-BE0D-EE6A82E7F0B5}"/>
              </a:ext>
            </a:extLst>
          </xdr:cNvPr>
          <xdr:cNvSpPr/>
        </xdr:nvSpPr>
        <xdr:spPr>
          <a:xfrm>
            <a:off x="7144736" y="2984500"/>
            <a:ext cx="79115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14</xdr:col>
      <xdr:colOff>67636</xdr:colOff>
      <xdr:row>348</xdr:row>
      <xdr:rowOff>37177</xdr:rowOff>
    </xdr:from>
    <xdr:to>
      <xdr:col>31</xdr:col>
      <xdr:colOff>35401</xdr:colOff>
      <xdr:row>348</xdr:row>
      <xdr:rowOff>48114</xdr:rowOff>
    </xdr:to>
    <xdr:cxnSp macro="">
      <xdr:nvCxnSpPr>
        <xdr:cNvPr id="1123" name="直線矢印コネクタ 1122">
          <a:extLst>
            <a:ext uri="{FF2B5EF4-FFF2-40B4-BE49-F238E27FC236}">
              <a16:creationId xmlns:a16="http://schemas.microsoft.com/office/drawing/2014/main" id="{1220A7A5-03A0-4A04-A940-D175799508D7}"/>
            </a:ext>
          </a:extLst>
        </xdr:cNvPr>
        <xdr:cNvCxnSpPr>
          <a:cxnSpLocks/>
          <a:stCxn id="1135" idx="3"/>
          <a:endCxn id="1121" idx="2"/>
        </xdr:cNvCxnSpPr>
      </xdr:nvCxnSpPr>
      <xdr:spPr>
        <a:xfrm flipV="1">
          <a:off x="2861636" y="53721891"/>
          <a:ext cx="3360479" cy="109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18668</xdr:colOff>
      <xdr:row>362</xdr:row>
      <xdr:rowOff>154957</xdr:rowOff>
    </xdr:from>
    <xdr:to>
      <xdr:col>34</xdr:col>
      <xdr:colOff>195450</xdr:colOff>
      <xdr:row>366</xdr:row>
      <xdr:rowOff>89309</xdr:rowOff>
    </xdr:to>
    <xdr:grpSp>
      <xdr:nvGrpSpPr>
        <xdr:cNvPr id="1124" name="グループ化 92">
          <a:extLst>
            <a:ext uri="{FF2B5EF4-FFF2-40B4-BE49-F238E27FC236}">
              <a16:creationId xmlns:a16="http://schemas.microsoft.com/office/drawing/2014/main" id="{84518F5E-BE3B-4276-B2A6-788994AA47D6}"/>
            </a:ext>
          </a:extLst>
        </xdr:cNvPr>
        <xdr:cNvGrpSpPr/>
      </xdr:nvGrpSpPr>
      <xdr:grpSpPr>
        <a:xfrm>
          <a:off x="5628893" y="62381782"/>
          <a:ext cx="700657" cy="620152"/>
          <a:chOff x="7144737" y="2892425"/>
          <a:chExt cx="763434" cy="597682"/>
        </a:xfrm>
      </xdr:grpSpPr>
      <xdr:sp macro="" textlink="">
        <xdr:nvSpPr>
          <xdr:cNvPr id="1125" name="フローチャート: 磁気ディスク 93">
            <a:extLst>
              <a:ext uri="{FF2B5EF4-FFF2-40B4-BE49-F238E27FC236}">
                <a16:creationId xmlns:a16="http://schemas.microsoft.com/office/drawing/2014/main" id="{0C7ED50F-CC74-5E7B-11CA-80896F9E0C1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26" name="正方形/長方形 94">
            <a:extLst>
              <a:ext uri="{FF2B5EF4-FFF2-40B4-BE49-F238E27FC236}">
                <a16:creationId xmlns:a16="http://schemas.microsoft.com/office/drawing/2014/main" id="{907BEF8B-4E4A-2089-6B77-B089C6440D11}"/>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14</xdr:col>
      <xdr:colOff>89408</xdr:colOff>
      <xdr:row>364</xdr:row>
      <xdr:rowOff>78958</xdr:rowOff>
    </xdr:from>
    <xdr:to>
      <xdr:col>31</xdr:col>
      <xdr:colOff>78944</xdr:colOff>
      <xdr:row>364</xdr:row>
      <xdr:rowOff>90245</xdr:rowOff>
    </xdr:to>
    <xdr:cxnSp macro="">
      <xdr:nvCxnSpPr>
        <xdr:cNvPr id="1127" name="直線矢印コネクタ 1126">
          <a:extLst>
            <a:ext uri="{FF2B5EF4-FFF2-40B4-BE49-F238E27FC236}">
              <a16:creationId xmlns:a16="http://schemas.microsoft.com/office/drawing/2014/main" id="{72891FE7-0F99-494A-987A-EB5EC49FCE70}"/>
            </a:ext>
          </a:extLst>
        </xdr:cNvPr>
        <xdr:cNvCxnSpPr>
          <a:cxnSpLocks/>
          <a:stCxn id="1149" idx="3"/>
          <a:endCxn id="1125" idx="2"/>
        </xdr:cNvCxnSpPr>
      </xdr:nvCxnSpPr>
      <xdr:spPr>
        <a:xfrm>
          <a:off x="2883408" y="56521387"/>
          <a:ext cx="3382250" cy="112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4629</xdr:colOff>
      <xdr:row>357</xdr:row>
      <xdr:rowOff>47103</xdr:rowOff>
    </xdr:from>
    <xdr:to>
      <xdr:col>34</xdr:col>
      <xdr:colOff>178113</xdr:colOff>
      <xdr:row>360</xdr:row>
      <xdr:rowOff>155462</xdr:rowOff>
    </xdr:to>
    <xdr:grpSp>
      <xdr:nvGrpSpPr>
        <xdr:cNvPr id="1128" name="グループ化 92">
          <a:extLst>
            <a:ext uri="{FF2B5EF4-FFF2-40B4-BE49-F238E27FC236}">
              <a16:creationId xmlns:a16="http://schemas.microsoft.com/office/drawing/2014/main" id="{4E0DF1F1-6444-4CCF-9F0C-EF5EBB9A4A7A}"/>
            </a:ext>
          </a:extLst>
        </xdr:cNvPr>
        <xdr:cNvGrpSpPr/>
      </xdr:nvGrpSpPr>
      <xdr:grpSpPr>
        <a:xfrm>
          <a:off x="5614854" y="61416678"/>
          <a:ext cx="716409" cy="622709"/>
          <a:chOff x="7144737" y="2892425"/>
          <a:chExt cx="763434" cy="597682"/>
        </a:xfrm>
      </xdr:grpSpPr>
      <xdr:sp macro="" textlink="">
        <xdr:nvSpPr>
          <xdr:cNvPr id="1129" name="フローチャート: 磁気ディスク 93">
            <a:extLst>
              <a:ext uri="{FF2B5EF4-FFF2-40B4-BE49-F238E27FC236}">
                <a16:creationId xmlns:a16="http://schemas.microsoft.com/office/drawing/2014/main" id="{CDF53824-AE58-8BEA-59FC-A603588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30" name="正方形/長方形 94">
            <a:extLst>
              <a:ext uri="{FF2B5EF4-FFF2-40B4-BE49-F238E27FC236}">
                <a16:creationId xmlns:a16="http://schemas.microsoft.com/office/drawing/2014/main" id="{41E3374E-36D1-0443-6DF4-4CCA3DAEA0D7}"/>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7</xdr:col>
      <xdr:colOff>62191</xdr:colOff>
      <xdr:row>358</xdr:row>
      <xdr:rowOff>132974</xdr:rowOff>
    </xdr:from>
    <xdr:to>
      <xdr:col>31</xdr:col>
      <xdr:colOff>64648</xdr:colOff>
      <xdr:row>358</xdr:row>
      <xdr:rowOff>155489</xdr:rowOff>
    </xdr:to>
    <xdr:cxnSp macro="">
      <xdr:nvCxnSpPr>
        <xdr:cNvPr id="1131" name="直線矢印コネクタ 1130">
          <a:extLst>
            <a:ext uri="{FF2B5EF4-FFF2-40B4-BE49-F238E27FC236}">
              <a16:creationId xmlns:a16="http://schemas.microsoft.com/office/drawing/2014/main" id="{570118E4-6CC2-4953-9D2B-44DEC14C43E1}"/>
            </a:ext>
          </a:extLst>
        </xdr:cNvPr>
        <xdr:cNvCxnSpPr>
          <a:cxnSpLocks/>
          <a:stCxn id="1145" idx="3"/>
          <a:endCxn id="1129" idx="2"/>
        </xdr:cNvCxnSpPr>
      </xdr:nvCxnSpPr>
      <xdr:spPr>
        <a:xfrm>
          <a:off x="1459191" y="55541260"/>
          <a:ext cx="4792171" cy="225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76030</xdr:colOff>
      <xdr:row>340</xdr:row>
      <xdr:rowOff>76829</xdr:rowOff>
    </xdr:from>
    <xdr:to>
      <xdr:col>7</xdr:col>
      <xdr:colOff>67635</xdr:colOff>
      <xdr:row>343</xdr:row>
      <xdr:rowOff>45789</xdr:rowOff>
    </xdr:to>
    <xdr:sp macro="" textlink="">
      <xdr:nvSpPr>
        <xdr:cNvPr id="1132" name="フローチャート: 定義済み処理 9">
          <a:extLst>
            <a:ext uri="{FF2B5EF4-FFF2-40B4-BE49-F238E27FC236}">
              <a16:creationId xmlns:a16="http://schemas.microsoft.com/office/drawing/2014/main" id="{1C5BBC62-8D48-443D-8882-A35B29EE0DBC}"/>
            </a:ext>
          </a:extLst>
        </xdr:cNvPr>
        <xdr:cNvSpPr/>
      </xdr:nvSpPr>
      <xdr:spPr>
        <a:xfrm>
          <a:off x="475173" y="52382686"/>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26715</xdr:colOff>
      <xdr:row>340</xdr:row>
      <xdr:rowOff>38033</xdr:rowOff>
    </xdr:from>
    <xdr:to>
      <xdr:col>7</xdr:col>
      <xdr:colOff>126139</xdr:colOff>
      <xdr:row>343</xdr:row>
      <xdr:rowOff>66838</xdr:rowOff>
    </xdr:to>
    <xdr:sp macro="" textlink="">
      <xdr:nvSpPr>
        <xdr:cNvPr id="1133" name="正方形/長方形 48">
          <a:extLst>
            <a:ext uri="{FF2B5EF4-FFF2-40B4-BE49-F238E27FC236}">
              <a16:creationId xmlns:a16="http://schemas.microsoft.com/office/drawing/2014/main" id="{5487DF7F-D50E-4774-9E0D-684009533160}"/>
            </a:ext>
          </a:extLst>
        </xdr:cNvPr>
        <xdr:cNvSpPr/>
      </xdr:nvSpPr>
      <xdr:spPr>
        <a:xfrm>
          <a:off x="415186" y="58525268"/>
          <a:ext cx="1070600" cy="5442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振替</a:t>
          </a:r>
          <a:br>
            <a:rPr kumimoji="1" lang="en-US" altLang="ja-JP" sz="900"/>
          </a:br>
          <a:r>
            <a:rPr kumimoji="1" lang="ja-JP" altLang="en-US" sz="900"/>
            <a:t>承認申請</a:t>
          </a:r>
        </a:p>
      </xdr:txBody>
    </xdr:sp>
    <xdr:clientData/>
  </xdr:twoCellAnchor>
  <xdr:twoCellAnchor>
    <xdr:from>
      <xdr:col>4</xdr:col>
      <xdr:colOff>171619</xdr:colOff>
      <xdr:row>343</xdr:row>
      <xdr:rowOff>45788</xdr:rowOff>
    </xdr:from>
    <xdr:to>
      <xdr:col>11</xdr:col>
      <xdr:colOff>194357</xdr:colOff>
      <xdr:row>346</xdr:row>
      <xdr:rowOff>110602</xdr:rowOff>
    </xdr:to>
    <xdr:cxnSp macro="">
      <xdr:nvCxnSpPr>
        <xdr:cNvPr id="1134" name="コネクタ: カギ線 1133">
          <a:extLst>
            <a:ext uri="{FF2B5EF4-FFF2-40B4-BE49-F238E27FC236}">
              <a16:creationId xmlns:a16="http://schemas.microsoft.com/office/drawing/2014/main" id="{DE366BC9-693A-4078-BB66-581FF1199681}"/>
            </a:ext>
          </a:extLst>
        </xdr:cNvPr>
        <xdr:cNvCxnSpPr>
          <a:stCxn id="1132" idx="2"/>
          <a:endCxn id="1136" idx="0"/>
        </xdr:cNvCxnSpPr>
      </xdr:nvCxnSpPr>
      <xdr:spPr>
        <a:xfrm rot="16200000" flipH="1">
          <a:off x="1388831" y="52449791"/>
          <a:ext cx="581885" cy="141973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76031</xdr:colOff>
      <xdr:row>346</xdr:row>
      <xdr:rowOff>150224</xdr:rowOff>
    </xdr:from>
    <xdr:to>
      <xdr:col>14</xdr:col>
      <xdr:colOff>67636</xdr:colOff>
      <xdr:row>349</xdr:row>
      <xdr:rowOff>118359</xdr:rowOff>
    </xdr:to>
    <xdr:sp macro="" textlink="">
      <xdr:nvSpPr>
        <xdr:cNvPr id="1135" name="フローチャート: 定義済み処理 9">
          <a:extLst>
            <a:ext uri="{FF2B5EF4-FFF2-40B4-BE49-F238E27FC236}">
              <a16:creationId xmlns:a16="http://schemas.microsoft.com/office/drawing/2014/main" id="{FE7A10A0-F5BC-4C03-8E5E-9344A3542D73}"/>
            </a:ext>
          </a:extLst>
        </xdr:cNvPr>
        <xdr:cNvSpPr/>
      </xdr:nvSpPr>
      <xdr:spPr>
        <a:xfrm>
          <a:off x="1872174" y="53490224"/>
          <a:ext cx="989462" cy="4852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44858</xdr:colOff>
      <xdr:row>346</xdr:row>
      <xdr:rowOff>110603</xdr:rowOff>
    </xdr:from>
    <xdr:to>
      <xdr:col>14</xdr:col>
      <xdr:colOff>144282</xdr:colOff>
      <xdr:row>349</xdr:row>
      <xdr:rowOff>140233</xdr:rowOff>
    </xdr:to>
    <xdr:sp macro="" textlink="">
      <xdr:nvSpPr>
        <xdr:cNvPr id="1136" name="正方形/長方形 48">
          <a:extLst>
            <a:ext uri="{FF2B5EF4-FFF2-40B4-BE49-F238E27FC236}">
              <a16:creationId xmlns:a16="http://schemas.microsoft.com/office/drawing/2014/main" id="{41E9B30D-2E4B-45C0-AEF0-D829A16F6AEF}"/>
            </a:ext>
          </a:extLst>
        </xdr:cNvPr>
        <xdr:cNvSpPr/>
      </xdr:nvSpPr>
      <xdr:spPr>
        <a:xfrm>
          <a:off x="1841001" y="53450603"/>
          <a:ext cx="1097281" cy="54670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9.</a:t>
          </a:r>
          <a:r>
            <a:rPr kumimoji="1" lang="ja-JP" altLang="en-US" sz="900"/>
            <a:t>振替の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11</xdr:col>
      <xdr:colOff>193312</xdr:colOff>
      <xdr:row>349</xdr:row>
      <xdr:rowOff>140233</xdr:rowOff>
    </xdr:from>
    <xdr:to>
      <xdr:col>11</xdr:col>
      <xdr:colOff>194356</xdr:colOff>
      <xdr:row>351</xdr:row>
      <xdr:rowOff>119789</xdr:rowOff>
    </xdr:to>
    <xdr:cxnSp macro="">
      <xdr:nvCxnSpPr>
        <xdr:cNvPr id="1137" name="直線矢印コネクタ 27">
          <a:extLst>
            <a:ext uri="{FF2B5EF4-FFF2-40B4-BE49-F238E27FC236}">
              <a16:creationId xmlns:a16="http://schemas.microsoft.com/office/drawing/2014/main" id="{27A39484-A987-4A85-9D52-2C9FB62FD140}"/>
            </a:ext>
          </a:extLst>
        </xdr:cNvPr>
        <xdr:cNvCxnSpPr>
          <a:cxnSpLocks/>
          <a:stCxn id="1136" idx="2"/>
          <a:endCxn id="1140" idx="0"/>
        </xdr:cNvCxnSpPr>
      </xdr:nvCxnSpPr>
      <xdr:spPr>
        <a:xfrm flipH="1">
          <a:off x="2388598" y="53997304"/>
          <a:ext cx="1044" cy="32427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73725</xdr:colOff>
      <xdr:row>351</xdr:row>
      <xdr:rowOff>109142</xdr:rowOff>
    </xdr:from>
    <xdr:to>
      <xdr:col>14</xdr:col>
      <xdr:colOff>113327</xdr:colOff>
      <xdr:row>354</xdr:row>
      <xdr:rowOff>117167</xdr:rowOff>
    </xdr:to>
    <xdr:grpSp>
      <xdr:nvGrpSpPr>
        <xdr:cNvPr id="1138" name="グループ化 1137">
          <a:extLst>
            <a:ext uri="{FF2B5EF4-FFF2-40B4-BE49-F238E27FC236}">
              <a16:creationId xmlns:a16="http://schemas.microsoft.com/office/drawing/2014/main" id="{2D9A3131-60A6-4DE9-BD95-BD5881470A98}"/>
            </a:ext>
          </a:extLst>
        </xdr:cNvPr>
        <xdr:cNvGrpSpPr/>
      </xdr:nvGrpSpPr>
      <xdr:grpSpPr>
        <a:xfrm>
          <a:off x="1702500" y="60450017"/>
          <a:ext cx="944477" cy="522375"/>
          <a:chOff x="287474" y="4845794"/>
          <a:chExt cx="1021504" cy="505814"/>
        </a:xfrm>
      </xdr:grpSpPr>
      <xdr:sp macro="" textlink="">
        <xdr:nvSpPr>
          <xdr:cNvPr id="1139" name="フローチャート: 判断 1138">
            <a:extLst>
              <a:ext uri="{FF2B5EF4-FFF2-40B4-BE49-F238E27FC236}">
                <a16:creationId xmlns:a16="http://schemas.microsoft.com/office/drawing/2014/main" id="{B78C6B1B-07A1-2063-91E7-12DEE8C53375}"/>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140" name="正方形/長方形 48">
            <a:extLst>
              <a:ext uri="{FF2B5EF4-FFF2-40B4-BE49-F238E27FC236}">
                <a16:creationId xmlns:a16="http://schemas.microsoft.com/office/drawing/2014/main" id="{BF89BB19-7A42-B49B-A91A-D92BB08F66F8}"/>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12</xdr:col>
      <xdr:colOff>14040</xdr:colOff>
      <xdr:row>354</xdr:row>
      <xdr:rowOff>81322</xdr:rowOff>
    </xdr:from>
    <xdr:to>
      <xdr:col>14</xdr:col>
      <xdr:colOff>65108</xdr:colOff>
      <xdr:row>355</xdr:row>
      <xdr:rowOff>127155</xdr:rowOff>
    </xdr:to>
    <xdr:sp macro="" textlink="">
      <xdr:nvSpPr>
        <xdr:cNvPr id="1141" name="テキスト ボックス 1140">
          <a:extLst>
            <a:ext uri="{FF2B5EF4-FFF2-40B4-BE49-F238E27FC236}">
              <a16:creationId xmlns:a16="http://schemas.microsoft.com/office/drawing/2014/main" id="{D1E5A47A-1FAD-426F-947C-46FF944E96DF}"/>
            </a:ext>
          </a:extLst>
        </xdr:cNvPr>
        <xdr:cNvSpPr txBox="1"/>
      </xdr:nvSpPr>
      <xdr:spPr>
        <a:xfrm>
          <a:off x="2408897" y="54800179"/>
          <a:ext cx="450211"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7</xdr:col>
      <xdr:colOff>111985</xdr:colOff>
      <xdr:row>351</xdr:row>
      <xdr:rowOff>32590</xdr:rowOff>
    </xdr:from>
    <xdr:to>
      <xdr:col>11</xdr:col>
      <xdr:colOff>50868</xdr:colOff>
      <xdr:row>352</xdr:row>
      <xdr:rowOff>133201</xdr:rowOff>
    </xdr:to>
    <xdr:sp macro="" textlink="">
      <xdr:nvSpPr>
        <xdr:cNvPr id="1142" name="テキスト ボックス 1141">
          <a:extLst>
            <a:ext uri="{FF2B5EF4-FFF2-40B4-BE49-F238E27FC236}">
              <a16:creationId xmlns:a16="http://schemas.microsoft.com/office/drawing/2014/main" id="{61306C35-ABEB-4C8F-95D4-81D4662D5775}"/>
            </a:ext>
          </a:extLst>
        </xdr:cNvPr>
        <xdr:cNvSpPr txBox="1"/>
      </xdr:nvSpPr>
      <xdr:spPr>
        <a:xfrm>
          <a:off x="1508985" y="54234376"/>
          <a:ext cx="737169" cy="27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11</xdr:col>
      <xdr:colOff>187310</xdr:colOff>
      <xdr:row>354</xdr:row>
      <xdr:rowOff>95110</xdr:rowOff>
    </xdr:from>
    <xdr:to>
      <xdr:col>11</xdr:col>
      <xdr:colOff>193391</xdr:colOff>
      <xdr:row>363</xdr:row>
      <xdr:rowOff>7886</xdr:rowOff>
    </xdr:to>
    <xdr:cxnSp macro="">
      <xdr:nvCxnSpPr>
        <xdr:cNvPr id="1143" name="直線矢印コネクタ 1142">
          <a:extLst>
            <a:ext uri="{FF2B5EF4-FFF2-40B4-BE49-F238E27FC236}">
              <a16:creationId xmlns:a16="http://schemas.microsoft.com/office/drawing/2014/main" id="{ED9DCF12-A59F-4DF7-8E88-0EDC791F5050}"/>
            </a:ext>
          </a:extLst>
        </xdr:cNvPr>
        <xdr:cNvCxnSpPr>
          <a:cxnSpLocks/>
          <a:stCxn id="1139" idx="2"/>
          <a:endCxn id="1149" idx="0"/>
        </xdr:cNvCxnSpPr>
      </xdr:nvCxnSpPr>
      <xdr:spPr>
        <a:xfrm>
          <a:off x="2382596" y="54813967"/>
          <a:ext cx="6081" cy="14639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188912</xdr:colOff>
      <xdr:row>353</xdr:row>
      <xdr:rowOff>15948</xdr:rowOff>
    </xdr:from>
    <xdr:to>
      <xdr:col>9</xdr:col>
      <xdr:colOff>155814</xdr:colOff>
      <xdr:row>357</xdr:row>
      <xdr:rowOff>23519</xdr:rowOff>
    </xdr:to>
    <xdr:cxnSp macro="">
      <xdr:nvCxnSpPr>
        <xdr:cNvPr id="1144" name="コネクタ: カギ線 1143">
          <a:extLst>
            <a:ext uri="{FF2B5EF4-FFF2-40B4-BE49-F238E27FC236}">
              <a16:creationId xmlns:a16="http://schemas.microsoft.com/office/drawing/2014/main" id="{8A95F970-95E7-4D47-B79F-8ADE44ED040C}"/>
            </a:ext>
          </a:extLst>
        </xdr:cNvPr>
        <xdr:cNvCxnSpPr>
          <a:stCxn id="1139" idx="1"/>
          <a:endCxn id="1146" idx="0"/>
        </xdr:cNvCxnSpPr>
      </xdr:nvCxnSpPr>
      <xdr:spPr>
        <a:xfrm rot="10800000" flipV="1">
          <a:off x="987198" y="54562448"/>
          <a:ext cx="964759" cy="69700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70586</xdr:colOff>
      <xdr:row>357</xdr:row>
      <xdr:rowOff>62315</xdr:rowOff>
    </xdr:from>
    <xdr:to>
      <xdr:col>7</xdr:col>
      <xdr:colOff>62191</xdr:colOff>
      <xdr:row>360</xdr:row>
      <xdr:rowOff>31276</xdr:rowOff>
    </xdr:to>
    <xdr:sp macro="" textlink="">
      <xdr:nvSpPr>
        <xdr:cNvPr id="1145" name="フローチャート: 定義済み処理 9">
          <a:extLst>
            <a:ext uri="{FF2B5EF4-FFF2-40B4-BE49-F238E27FC236}">
              <a16:creationId xmlns:a16="http://schemas.microsoft.com/office/drawing/2014/main" id="{D1876874-5D91-4B78-B4C7-A1C4D31D7A9A}"/>
            </a:ext>
          </a:extLst>
        </xdr:cNvPr>
        <xdr:cNvSpPr/>
      </xdr:nvSpPr>
      <xdr:spPr>
        <a:xfrm>
          <a:off x="469729" y="55298244"/>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39413</xdr:colOff>
      <xdr:row>357</xdr:row>
      <xdr:rowOff>23519</xdr:rowOff>
    </xdr:from>
    <xdr:to>
      <xdr:col>7</xdr:col>
      <xdr:colOff>138837</xdr:colOff>
      <xdr:row>360</xdr:row>
      <xdr:rowOff>52325</xdr:rowOff>
    </xdr:to>
    <xdr:sp macro="" textlink="">
      <xdr:nvSpPr>
        <xdr:cNvPr id="1146" name="正方形/長方形 48">
          <a:extLst>
            <a:ext uri="{FF2B5EF4-FFF2-40B4-BE49-F238E27FC236}">
              <a16:creationId xmlns:a16="http://schemas.microsoft.com/office/drawing/2014/main" id="{89BCC458-3BD3-47BE-8BAC-108D7B8AAD3F}"/>
            </a:ext>
          </a:extLst>
        </xdr:cNvPr>
        <xdr:cNvSpPr/>
      </xdr:nvSpPr>
      <xdr:spPr>
        <a:xfrm>
          <a:off x="438556" y="55259448"/>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不備修正</a:t>
          </a:r>
        </a:p>
      </xdr:txBody>
    </xdr:sp>
    <xdr:clientData/>
  </xdr:twoCellAnchor>
  <xdr:twoCellAnchor>
    <xdr:from>
      <xdr:col>2</xdr:col>
      <xdr:colOff>39412</xdr:colOff>
      <xdr:row>341</xdr:row>
      <xdr:rowOff>148313</xdr:rowOff>
    </xdr:from>
    <xdr:to>
      <xdr:col>2</xdr:col>
      <xdr:colOff>76029</xdr:colOff>
      <xdr:row>358</xdr:row>
      <xdr:rowOff>124102</xdr:rowOff>
    </xdr:to>
    <xdr:cxnSp macro="">
      <xdr:nvCxnSpPr>
        <xdr:cNvPr id="1147" name="コネクタ: カギ線 1146">
          <a:extLst>
            <a:ext uri="{FF2B5EF4-FFF2-40B4-BE49-F238E27FC236}">
              <a16:creationId xmlns:a16="http://schemas.microsoft.com/office/drawing/2014/main" id="{8931F80D-5AA3-405A-9A48-19365AEFA332}"/>
            </a:ext>
          </a:extLst>
        </xdr:cNvPr>
        <xdr:cNvCxnSpPr>
          <a:stCxn id="1146" idx="1"/>
          <a:endCxn id="1132" idx="1"/>
        </xdr:cNvCxnSpPr>
      </xdr:nvCxnSpPr>
      <xdr:spPr>
        <a:xfrm rot="10800000" flipH="1">
          <a:off x="438555" y="52626527"/>
          <a:ext cx="36617" cy="2905861"/>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6424</xdr:colOff>
      <xdr:row>353</xdr:row>
      <xdr:rowOff>50731</xdr:rowOff>
    </xdr:from>
    <xdr:to>
      <xdr:col>10</xdr:col>
      <xdr:colOff>144644</xdr:colOff>
      <xdr:row>354</xdr:row>
      <xdr:rowOff>152663</xdr:rowOff>
    </xdr:to>
    <xdr:sp macro="" textlink="">
      <xdr:nvSpPr>
        <xdr:cNvPr id="1148" name="テキスト ボックス 1147">
          <a:extLst>
            <a:ext uri="{FF2B5EF4-FFF2-40B4-BE49-F238E27FC236}">
              <a16:creationId xmlns:a16="http://schemas.microsoft.com/office/drawing/2014/main" id="{0547FD41-4625-4956-B9D2-18931A1B00D1}"/>
            </a:ext>
          </a:extLst>
        </xdr:cNvPr>
        <xdr:cNvSpPr txBox="1"/>
      </xdr:nvSpPr>
      <xdr:spPr>
        <a:xfrm>
          <a:off x="1004281" y="54597231"/>
          <a:ext cx="1136077" cy="274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9</xdr:col>
      <xdr:colOff>97803</xdr:colOff>
      <xdr:row>363</xdr:row>
      <xdr:rowOff>7886</xdr:rowOff>
    </xdr:from>
    <xdr:to>
      <xdr:col>14</xdr:col>
      <xdr:colOff>89408</xdr:colOff>
      <xdr:row>365</xdr:row>
      <xdr:rowOff>150029</xdr:rowOff>
    </xdr:to>
    <xdr:sp macro="" textlink="">
      <xdr:nvSpPr>
        <xdr:cNvPr id="1149" name="フローチャート: 定義済み処理 9">
          <a:extLst>
            <a:ext uri="{FF2B5EF4-FFF2-40B4-BE49-F238E27FC236}">
              <a16:creationId xmlns:a16="http://schemas.microsoft.com/office/drawing/2014/main" id="{E7C0D5C3-B641-4B00-AC36-1BDE6317D544}"/>
            </a:ext>
          </a:extLst>
        </xdr:cNvPr>
        <xdr:cNvSpPr/>
      </xdr:nvSpPr>
      <xdr:spPr>
        <a:xfrm>
          <a:off x="1893946" y="56277957"/>
          <a:ext cx="989462" cy="48685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7471</xdr:colOff>
      <xdr:row>362</xdr:row>
      <xdr:rowOff>142272</xdr:rowOff>
    </xdr:from>
    <xdr:to>
      <xdr:col>14</xdr:col>
      <xdr:colOff>180996</xdr:colOff>
      <xdr:row>365</xdr:row>
      <xdr:rowOff>171078</xdr:rowOff>
    </xdr:to>
    <xdr:sp macro="" textlink="">
      <xdr:nvSpPr>
        <xdr:cNvPr id="1150" name="正方形/長方形 48">
          <a:extLst>
            <a:ext uri="{FF2B5EF4-FFF2-40B4-BE49-F238E27FC236}">
              <a16:creationId xmlns:a16="http://schemas.microsoft.com/office/drawing/2014/main" id="{8619F7A3-64EA-4340-929B-358BE784362E}"/>
            </a:ext>
          </a:extLst>
        </xdr:cNvPr>
        <xdr:cNvSpPr/>
      </xdr:nvSpPr>
      <xdr:spPr>
        <a:xfrm>
          <a:off x="1755589" y="62409625"/>
          <a:ext cx="1144701" cy="5442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11.</a:t>
          </a:r>
          <a:r>
            <a:rPr kumimoji="1" lang="ja-JP" altLang="en-US" sz="900"/>
            <a:t>自動転記バッチ</a:t>
          </a:r>
        </a:p>
      </xdr:txBody>
    </xdr:sp>
    <xdr:clientData/>
  </xdr:twoCellAnchor>
  <xdr:twoCellAnchor>
    <xdr:from>
      <xdr:col>16</xdr:col>
      <xdr:colOff>85103</xdr:colOff>
      <xdr:row>340</xdr:row>
      <xdr:rowOff>31473</xdr:rowOff>
    </xdr:from>
    <xdr:to>
      <xdr:col>21</xdr:col>
      <xdr:colOff>76708</xdr:colOff>
      <xdr:row>343</xdr:row>
      <xdr:rowOff>433</xdr:rowOff>
    </xdr:to>
    <xdr:sp macro="" textlink="">
      <xdr:nvSpPr>
        <xdr:cNvPr id="1151" name="フローチャート: 定義済み処理 9">
          <a:extLst>
            <a:ext uri="{FF2B5EF4-FFF2-40B4-BE49-F238E27FC236}">
              <a16:creationId xmlns:a16="http://schemas.microsoft.com/office/drawing/2014/main" id="{4AC8BA31-1BF8-40EC-8DF8-8C0A20F1B818}"/>
            </a:ext>
          </a:extLst>
        </xdr:cNvPr>
        <xdr:cNvSpPr/>
      </xdr:nvSpPr>
      <xdr:spPr>
        <a:xfrm>
          <a:off x="3278246" y="52337330"/>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35788</xdr:colOff>
      <xdr:row>339</xdr:row>
      <xdr:rowOff>165858</xdr:rowOff>
    </xdr:from>
    <xdr:to>
      <xdr:col>21</xdr:col>
      <xdr:colOff>135212</xdr:colOff>
      <xdr:row>343</xdr:row>
      <xdr:rowOff>21482</xdr:rowOff>
    </xdr:to>
    <xdr:sp macro="" textlink="">
      <xdr:nvSpPr>
        <xdr:cNvPr id="1152" name="正方形/長方形 48">
          <a:extLst>
            <a:ext uri="{FF2B5EF4-FFF2-40B4-BE49-F238E27FC236}">
              <a16:creationId xmlns:a16="http://schemas.microsoft.com/office/drawing/2014/main" id="{886136CA-A364-429C-9A7C-ABCCCBE11C39}"/>
            </a:ext>
          </a:extLst>
        </xdr:cNvPr>
        <xdr:cNvSpPr/>
      </xdr:nvSpPr>
      <xdr:spPr>
        <a:xfrm>
          <a:off x="3228931" y="52299358"/>
          <a:ext cx="1097281" cy="5450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振替</a:t>
          </a:r>
          <a:br>
            <a:rPr kumimoji="1" lang="en-US" altLang="ja-JP" sz="900"/>
          </a:br>
          <a:r>
            <a:rPr kumimoji="1" lang="ja-JP" altLang="en-US" sz="900"/>
            <a:t>承認申請</a:t>
          </a:r>
        </a:p>
      </xdr:txBody>
    </xdr:sp>
    <xdr:clientData/>
  </xdr:twoCellAnchor>
  <xdr:twoCellAnchor>
    <xdr:from>
      <xdr:col>18</xdr:col>
      <xdr:colOff>180692</xdr:colOff>
      <xdr:row>343</xdr:row>
      <xdr:rowOff>432</xdr:rowOff>
    </xdr:from>
    <xdr:to>
      <xdr:col>26</xdr:col>
      <xdr:colOff>7157</xdr:colOff>
      <xdr:row>346</xdr:row>
      <xdr:rowOff>65246</xdr:rowOff>
    </xdr:to>
    <xdr:cxnSp macro="">
      <xdr:nvCxnSpPr>
        <xdr:cNvPr id="1153" name="コネクタ: カギ線 1152">
          <a:extLst>
            <a:ext uri="{FF2B5EF4-FFF2-40B4-BE49-F238E27FC236}">
              <a16:creationId xmlns:a16="http://schemas.microsoft.com/office/drawing/2014/main" id="{6D95F788-FEDE-4E2C-91D1-37A46AD15D6F}"/>
            </a:ext>
          </a:extLst>
        </xdr:cNvPr>
        <xdr:cNvCxnSpPr>
          <a:stCxn id="1151" idx="2"/>
          <a:endCxn id="1155" idx="0"/>
        </xdr:cNvCxnSpPr>
      </xdr:nvCxnSpPr>
      <xdr:spPr>
        <a:xfrm rot="16200000" flipH="1">
          <a:off x="4193553" y="52402786"/>
          <a:ext cx="581885" cy="142303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85104</xdr:colOff>
      <xdr:row>346</xdr:row>
      <xdr:rowOff>104043</xdr:rowOff>
    </xdr:from>
    <xdr:to>
      <xdr:col>28</xdr:col>
      <xdr:colOff>76709</xdr:colOff>
      <xdr:row>349</xdr:row>
      <xdr:rowOff>73003</xdr:rowOff>
    </xdr:to>
    <xdr:sp macro="" textlink="">
      <xdr:nvSpPr>
        <xdr:cNvPr id="1154" name="フローチャート: 定義済み処理 9">
          <a:extLst>
            <a:ext uri="{FF2B5EF4-FFF2-40B4-BE49-F238E27FC236}">
              <a16:creationId xmlns:a16="http://schemas.microsoft.com/office/drawing/2014/main" id="{D6BFB604-2E4E-4DFF-B120-6233A56E76EB}"/>
            </a:ext>
          </a:extLst>
        </xdr:cNvPr>
        <xdr:cNvSpPr/>
      </xdr:nvSpPr>
      <xdr:spPr>
        <a:xfrm>
          <a:off x="4675247" y="53444043"/>
          <a:ext cx="989462" cy="48603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53931</xdr:colOff>
      <xdr:row>346</xdr:row>
      <xdr:rowOff>65247</xdr:rowOff>
    </xdr:from>
    <xdr:to>
      <xdr:col>28</xdr:col>
      <xdr:colOff>153355</xdr:colOff>
      <xdr:row>349</xdr:row>
      <xdr:rowOff>94052</xdr:rowOff>
    </xdr:to>
    <xdr:sp macro="" textlink="">
      <xdr:nvSpPr>
        <xdr:cNvPr id="1155" name="正方形/長方形 48">
          <a:extLst>
            <a:ext uri="{FF2B5EF4-FFF2-40B4-BE49-F238E27FC236}">
              <a16:creationId xmlns:a16="http://schemas.microsoft.com/office/drawing/2014/main" id="{6428758D-6D5F-4548-A8EC-8F02B2491248}"/>
            </a:ext>
          </a:extLst>
        </xdr:cNvPr>
        <xdr:cNvSpPr/>
      </xdr:nvSpPr>
      <xdr:spPr>
        <a:xfrm>
          <a:off x="4644074" y="53405247"/>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9.</a:t>
          </a:r>
          <a:r>
            <a:rPr kumimoji="1" lang="ja-JP" altLang="en-US" sz="900"/>
            <a:t>振替の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26</xdr:col>
      <xdr:colOff>6112</xdr:colOff>
      <xdr:row>349</xdr:row>
      <xdr:rowOff>94052</xdr:rowOff>
    </xdr:from>
    <xdr:to>
      <xdr:col>26</xdr:col>
      <xdr:colOff>7156</xdr:colOff>
      <xdr:row>351</xdr:row>
      <xdr:rowOff>74433</xdr:rowOff>
    </xdr:to>
    <xdr:cxnSp macro="">
      <xdr:nvCxnSpPr>
        <xdr:cNvPr id="1156" name="直線矢印コネクタ 27">
          <a:extLst>
            <a:ext uri="{FF2B5EF4-FFF2-40B4-BE49-F238E27FC236}">
              <a16:creationId xmlns:a16="http://schemas.microsoft.com/office/drawing/2014/main" id="{371A2C83-51E9-48BE-B488-DB805C15293F}"/>
            </a:ext>
          </a:extLst>
        </xdr:cNvPr>
        <xdr:cNvCxnSpPr>
          <a:cxnSpLocks/>
          <a:stCxn id="1155" idx="2"/>
          <a:endCxn id="1178" idx="0"/>
        </xdr:cNvCxnSpPr>
      </xdr:nvCxnSpPr>
      <xdr:spPr>
        <a:xfrm flipH="1">
          <a:off x="5194969" y="53951123"/>
          <a:ext cx="1044" cy="32509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82798</xdr:colOff>
      <xdr:row>351</xdr:row>
      <xdr:rowOff>63786</xdr:rowOff>
    </xdr:from>
    <xdr:to>
      <xdr:col>28</xdr:col>
      <xdr:colOff>122400</xdr:colOff>
      <xdr:row>354</xdr:row>
      <xdr:rowOff>71811</xdr:rowOff>
    </xdr:to>
    <xdr:grpSp>
      <xdr:nvGrpSpPr>
        <xdr:cNvPr id="1157" name="グループ化 1156">
          <a:extLst>
            <a:ext uri="{FF2B5EF4-FFF2-40B4-BE49-F238E27FC236}">
              <a16:creationId xmlns:a16="http://schemas.microsoft.com/office/drawing/2014/main" id="{F97A3038-749E-4D23-B7F6-9F214063205F}"/>
            </a:ext>
          </a:extLst>
        </xdr:cNvPr>
        <xdr:cNvGrpSpPr/>
      </xdr:nvGrpSpPr>
      <xdr:grpSpPr>
        <a:xfrm>
          <a:off x="4245223" y="60404661"/>
          <a:ext cx="944477" cy="522375"/>
          <a:chOff x="287474" y="4845794"/>
          <a:chExt cx="1021504" cy="505814"/>
        </a:xfrm>
      </xdr:grpSpPr>
      <xdr:sp macro="" textlink="">
        <xdr:nvSpPr>
          <xdr:cNvPr id="1161" name="フローチャート: 判断 1160">
            <a:extLst>
              <a:ext uri="{FF2B5EF4-FFF2-40B4-BE49-F238E27FC236}">
                <a16:creationId xmlns:a16="http://schemas.microsoft.com/office/drawing/2014/main" id="{593D8D6C-8CBC-EF19-451E-D85AB2BDAA36}"/>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178" name="正方形/長方形 48">
            <a:extLst>
              <a:ext uri="{FF2B5EF4-FFF2-40B4-BE49-F238E27FC236}">
                <a16:creationId xmlns:a16="http://schemas.microsoft.com/office/drawing/2014/main" id="{644ADD8C-F84C-1B36-CEB8-5620478973F9}"/>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19815</xdr:colOff>
      <xdr:row>354</xdr:row>
      <xdr:rowOff>35966</xdr:rowOff>
    </xdr:from>
    <xdr:to>
      <xdr:col>28</xdr:col>
      <xdr:colOff>74181</xdr:colOff>
      <xdr:row>355</xdr:row>
      <xdr:rowOff>81799</xdr:rowOff>
    </xdr:to>
    <xdr:sp macro="" textlink="">
      <xdr:nvSpPr>
        <xdr:cNvPr id="1179" name="テキスト ボックス 1178">
          <a:extLst>
            <a:ext uri="{FF2B5EF4-FFF2-40B4-BE49-F238E27FC236}">
              <a16:creationId xmlns:a16="http://schemas.microsoft.com/office/drawing/2014/main" id="{F2F15F63-B014-4D21-940A-C6120B88F48B}"/>
            </a:ext>
          </a:extLst>
        </xdr:cNvPr>
        <xdr:cNvSpPr txBox="1"/>
      </xdr:nvSpPr>
      <xdr:spPr>
        <a:xfrm>
          <a:off x="5208672" y="54754823"/>
          <a:ext cx="453509" cy="218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121058</xdr:colOff>
      <xdr:row>350</xdr:row>
      <xdr:rowOff>160415</xdr:rowOff>
    </xdr:from>
    <xdr:to>
      <xdr:col>25</xdr:col>
      <xdr:colOff>59941</xdr:colOff>
      <xdr:row>352</xdr:row>
      <xdr:rowOff>87020</xdr:rowOff>
    </xdr:to>
    <xdr:sp macro="" textlink="">
      <xdr:nvSpPr>
        <xdr:cNvPr id="1180" name="テキスト ボックス 1179">
          <a:extLst>
            <a:ext uri="{FF2B5EF4-FFF2-40B4-BE49-F238E27FC236}">
              <a16:creationId xmlns:a16="http://schemas.microsoft.com/office/drawing/2014/main" id="{42BA814C-05F7-437D-8504-02B5343B6A54}"/>
            </a:ext>
          </a:extLst>
        </xdr:cNvPr>
        <xdr:cNvSpPr txBox="1"/>
      </xdr:nvSpPr>
      <xdr:spPr>
        <a:xfrm>
          <a:off x="4312058" y="54189844"/>
          <a:ext cx="737169" cy="271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110</xdr:colOff>
      <xdr:row>354</xdr:row>
      <xdr:rowOff>49754</xdr:rowOff>
    </xdr:from>
    <xdr:to>
      <xdr:col>26</xdr:col>
      <xdr:colOff>6191</xdr:colOff>
      <xdr:row>362</xdr:row>
      <xdr:rowOff>135712</xdr:rowOff>
    </xdr:to>
    <xdr:cxnSp macro="">
      <xdr:nvCxnSpPr>
        <xdr:cNvPr id="1181" name="直線矢印コネクタ 1180">
          <a:extLst>
            <a:ext uri="{FF2B5EF4-FFF2-40B4-BE49-F238E27FC236}">
              <a16:creationId xmlns:a16="http://schemas.microsoft.com/office/drawing/2014/main" id="{4204E7C7-4FAB-458D-B50B-2F94FB307612}"/>
            </a:ext>
          </a:extLst>
        </xdr:cNvPr>
        <xdr:cNvCxnSpPr>
          <a:cxnSpLocks/>
          <a:stCxn id="1161" idx="2"/>
          <a:endCxn id="1187" idx="0"/>
        </xdr:cNvCxnSpPr>
      </xdr:nvCxnSpPr>
      <xdr:spPr>
        <a:xfrm>
          <a:off x="5188967" y="54768611"/>
          <a:ext cx="6081" cy="146481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1712</xdr:colOff>
      <xdr:row>352</xdr:row>
      <xdr:rowOff>143774</xdr:rowOff>
    </xdr:from>
    <xdr:to>
      <xdr:col>23</xdr:col>
      <xdr:colOff>164887</xdr:colOff>
      <xdr:row>356</xdr:row>
      <xdr:rowOff>151344</xdr:rowOff>
    </xdr:to>
    <xdr:cxnSp macro="">
      <xdr:nvCxnSpPr>
        <xdr:cNvPr id="1182" name="コネクタ: カギ線 1181">
          <a:extLst>
            <a:ext uri="{FF2B5EF4-FFF2-40B4-BE49-F238E27FC236}">
              <a16:creationId xmlns:a16="http://schemas.microsoft.com/office/drawing/2014/main" id="{058E0E85-495F-464A-B5E9-911434C674DF}"/>
            </a:ext>
          </a:extLst>
        </xdr:cNvPr>
        <xdr:cNvCxnSpPr>
          <a:stCxn id="1161" idx="1"/>
          <a:endCxn id="1184" idx="0"/>
        </xdr:cNvCxnSpPr>
      </xdr:nvCxnSpPr>
      <xdr:spPr>
        <a:xfrm rot="10800000" flipV="1">
          <a:off x="3793569" y="54517917"/>
          <a:ext cx="961461" cy="696998"/>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79659</xdr:colOff>
      <xdr:row>357</xdr:row>
      <xdr:rowOff>16959</xdr:rowOff>
    </xdr:from>
    <xdr:to>
      <xdr:col>21</xdr:col>
      <xdr:colOff>71264</xdr:colOff>
      <xdr:row>359</xdr:row>
      <xdr:rowOff>159102</xdr:rowOff>
    </xdr:to>
    <xdr:sp macro="" textlink="">
      <xdr:nvSpPr>
        <xdr:cNvPr id="1183" name="フローチャート: 定義済み処理 9">
          <a:extLst>
            <a:ext uri="{FF2B5EF4-FFF2-40B4-BE49-F238E27FC236}">
              <a16:creationId xmlns:a16="http://schemas.microsoft.com/office/drawing/2014/main" id="{A51593CE-11BB-4F5D-8A24-D4CF5166DF6F}"/>
            </a:ext>
          </a:extLst>
        </xdr:cNvPr>
        <xdr:cNvSpPr/>
      </xdr:nvSpPr>
      <xdr:spPr>
        <a:xfrm>
          <a:off x="3272802" y="55252888"/>
          <a:ext cx="989462" cy="48685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48486</xdr:colOff>
      <xdr:row>356</xdr:row>
      <xdr:rowOff>151344</xdr:rowOff>
    </xdr:from>
    <xdr:to>
      <xdr:col>21</xdr:col>
      <xdr:colOff>147910</xdr:colOff>
      <xdr:row>360</xdr:row>
      <xdr:rowOff>6969</xdr:rowOff>
    </xdr:to>
    <xdr:sp macro="" textlink="">
      <xdr:nvSpPr>
        <xdr:cNvPr id="1184" name="正方形/長方形 48">
          <a:extLst>
            <a:ext uri="{FF2B5EF4-FFF2-40B4-BE49-F238E27FC236}">
              <a16:creationId xmlns:a16="http://schemas.microsoft.com/office/drawing/2014/main" id="{2772A928-BD71-4197-A31E-7FAD547B780A}"/>
            </a:ext>
          </a:extLst>
        </xdr:cNvPr>
        <xdr:cNvSpPr/>
      </xdr:nvSpPr>
      <xdr:spPr>
        <a:xfrm>
          <a:off x="3241629" y="55214915"/>
          <a:ext cx="1097281" cy="5450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10.</a:t>
          </a:r>
          <a:r>
            <a:rPr kumimoji="1" lang="ja-JP" altLang="en-US" sz="900"/>
            <a:t>不備修正</a:t>
          </a:r>
        </a:p>
      </xdr:txBody>
    </xdr:sp>
    <xdr:clientData/>
  </xdr:twoCellAnchor>
  <xdr:twoCellAnchor>
    <xdr:from>
      <xdr:col>16</xdr:col>
      <xdr:colOff>48485</xdr:colOff>
      <xdr:row>341</xdr:row>
      <xdr:rowOff>102133</xdr:rowOff>
    </xdr:from>
    <xdr:to>
      <xdr:col>16</xdr:col>
      <xdr:colOff>85102</xdr:colOff>
      <xdr:row>358</xdr:row>
      <xdr:rowOff>78746</xdr:rowOff>
    </xdr:to>
    <xdr:cxnSp macro="">
      <xdr:nvCxnSpPr>
        <xdr:cNvPr id="1185" name="コネクタ: カギ線 1184">
          <a:extLst>
            <a:ext uri="{FF2B5EF4-FFF2-40B4-BE49-F238E27FC236}">
              <a16:creationId xmlns:a16="http://schemas.microsoft.com/office/drawing/2014/main" id="{10977B3A-6A94-497F-8A28-B97590FD6D2F}"/>
            </a:ext>
          </a:extLst>
        </xdr:cNvPr>
        <xdr:cNvCxnSpPr>
          <a:stCxn id="1184" idx="1"/>
          <a:endCxn id="1151" idx="1"/>
        </xdr:cNvCxnSpPr>
      </xdr:nvCxnSpPr>
      <xdr:spPr>
        <a:xfrm rot="10800000" flipH="1">
          <a:off x="3241628" y="52580347"/>
          <a:ext cx="36617" cy="2906685"/>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15498</xdr:colOff>
      <xdr:row>353</xdr:row>
      <xdr:rowOff>5374</xdr:rowOff>
    </xdr:from>
    <xdr:to>
      <xdr:col>25</xdr:col>
      <xdr:colOff>17645</xdr:colOff>
      <xdr:row>354</xdr:row>
      <xdr:rowOff>129571</xdr:rowOff>
    </xdr:to>
    <xdr:sp macro="" textlink="">
      <xdr:nvSpPr>
        <xdr:cNvPr id="1186" name="テキスト ボックス 1185">
          <a:extLst>
            <a:ext uri="{FF2B5EF4-FFF2-40B4-BE49-F238E27FC236}">
              <a16:creationId xmlns:a16="http://schemas.microsoft.com/office/drawing/2014/main" id="{087BE57F-1D71-4FFB-887C-84F85B450F3F}"/>
            </a:ext>
          </a:extLst>
        </xdr:cNvPr>
        <xdr:cNvSpPr txBox="1"/>
      </xdr:nvSpPr>
      <xdr:spPr>
        <a:xfrm>
          <a:off x="3807355" y="54551874"/>
          <a:ext cx="1199576" cy="296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106876</xdr:colOff>
      <xdr:row>362</xdr:row>
      <xdr:rowOff>135712</xdr:rowOff>
    </xdr:from>
    <xdr:to>
      <xdr:col>28</xdr:col>
      <xdr:colOff>98481</xdr:colOff>
      <xdr:row>365</xdr:row>
      <xdr:rowOff>103848</xdr:rowOff>
    </xdr:to>
    <xdr:sp macro="" textlink="">
      <xdr:nvSpPr>
        <xdr:cNvPr id="1187" name="フローチャート: 定義済み処理 9">
          <a:extLst>
            <a:ext uri="{FF2B5EF4-FFF2-40B4-BE49-F238E27FC236}">
              <a16:creationId xmlns:a16="http://schemas.microsoft.com/office/drawing/2014/main" id="{FA191582-1145-4581-A4ED-4B80C55DB5B6}"/>
            </a:ext>
          </a:extLst>
        </xdr:cNvPr>
        <xdr:cNvSpPr/>
      </xdr:nvSpPr>
      <xdr:spPr>
        <a:xfrm>
          <a:off x="4697019" y="56233426"/>
          <a:ext cx="989462" cy="48520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2</xdr:colOff>
      <xdr:row>362</xdr:row>
      <xdr:rowOff>96092</xdr:rowOff>
    </xdr:from>
    <xdr:to>
      <xdr:col>29</xdr:col>
      <xdr:colOff>104</xdr:colOff>
      <xdr:row>365</xdr:row>
      <xdr:rowOff>124897</xdr:rowOff>
    </xdr:to>
    <xdr:sp macro="" textlink="">
      <xdr:nvSpPr>
        <xdr:cNvPr id="1188" name="正方形/長方形 48">
          <a:extLst>
            <a:ext uri="{FF2B5EF4-FFF2-40B4-BE49-F238E27FC236}">
              <a16:creationId xmlns:a16="http://schemas.microsoft.com/office/drawing/2014/main" id="{E7F105DB-8350-4BA5-ADF6-033B19EF3139}"/>
            </a:ext>
          </a:extLst>
        </xdr:cNvPr>
        <xdr:cNvSpPr/>
      </xdr:nvSpPr>
      <xdr:spPr>
        <a:xfrm>
          <a:off x="4467414" y="62363445"/>
          <a:ext cx="1165514" cy="5442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11.</a:t>
          </a:r>
          <a:r>
            <a:rPr kumimoji="1" lang="ja-JP" altLang="en-US" sz="900"/>
            <a:t>自動転記バッチ</a:t>
          </a:r>
        </a:p>
      </xdr:txBody>
    </xdr:sp>
    <xdr:clientData/>
  </xdr:twoCellAnchor>
  <xdr:twoCellAnchor>
    <xdr:from>
      <xdr:col>8</xdr:col>
      <xdr:colOff>14056</xdr:colOff>
      <xdr:row>343</xdr:row>
      <xdr:rowOff>16619</xdr:rowOff>
    </xdr:from>
    <xdr:to>
      <xdr:col>13</xdr:col>
      <xdr:colOff>193136</xdr:colOff>
      <xdr:row>344</xdr:row>
      <xdr:rowOff>74153</xdr:rowOff>
    </xdr:to>
    <xdr:sp macro="" textlink="">
      <xdr:nvSpPr>
        <xdr:cNvPr id="1189" name="テキスト ボックス 1188">
          <a:extLst>
            <a:ext uri="{FF2B5EF4-FFF2-40B4-BE49-F238E27FC236}">
              <a16:creationId xmlns:a16="http://schemas.microsoft.com/office/drawing/2014/main" id="{D37E9AA2-F062-49D8-8867-D36935B3AF59}"/>
            </a:ext>
          </a:extLst>
        </xdr:cNvPr>
        <xdr:cNvSpPr txBox="1"/>
      </xdr:nvSpPr>
      <xdr:spPr>
        <a:xfrm>
          <a:off x="1610627" y="52839548"/>
          <a:ext cx="1176938" cy="22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22</xdr:col>
      <xdr:colOff>4820</xdr:colOff>
      <xdr:row>342</xdr:row>
      <xdr:rowOff>169019</xdr:rowOff>
    </xdr:from>
    <xdr:to>
      <xdr:col>27</xdr:col>
      <xdr:colOff>183900</xdr:colOff>
      <xdr:row>344</xdr:row>
      <xdr:rowOff>53371</xdr:rowOff>
    </xdr:to>
    <xdr:sp macro="" textlink="">
      <xdr:nvSpPr>
        <xdr:cNvPr id="1190" name="テキスト ボックス 1189">
          <a:extLst>
            <a:ext uri="{FF2B5EF4-FFF2-40B4-BE49-F238E27FC236}">
              <a16:creationId xmlns:a16="http://schemas.microsoft.com/office/drawing/2014/main" id="{5C44E5B7-A425-4B6F-920F-2D02DC666014}"/>
            </a:ext>
          </a:extLst>
        </xdr:cNvPr>
        <xdr:cNvSpPr txBox="1"/>
      </xdr:nvSpPr>
      <xdr:spPr>
        <a:xfrm>
          <a:off x="4395391" y="52819590"/>
          <a:ext cx="1176938" cy="229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18</xdr:col>
      <xdr:colOff>120650</xdr:colOff>
      <xdr:row>337</xdr:row>
      <xdr:rowOff>63500</xdr:rowOff>
    </xdr:from>
    <xdr:to>
      <xdr:col>18</xdr:col>
      <xdr:colOff>127000</xdr:colOff>
      <xdr:row>340</xdr:row>
      <xdr:rowOff>31750</xdr:rowOff>
    </xdr:to>
    <xdr:cxnSp macro="">
      <xdr:nvCxnSpPr>
        <xdr:cNvPr id="1194" name="直線矢印コネクタ 27">
          <a:extLst>
            <a:ext uri="{FF2B5EF4-FFF2-40B4-BE49-F238E27FC236}">
              <a16:creationId xmlns:a16="http://schemas.microsoft.com/office/drawing/2014/main" id="{F5239AC0-69CD-4265-BA4E-A21E05FDB0BF}"/>
            </a:ext>
          </a:extLst>
        </xdr:cNvPr>
        <xdr:cNvCxnSpPr>
          <a:cxnSpLocks/>
        </xdr:cNvCxnSpPr>
      </xdr:nvCxnSpPr>
      <xdr:spPr>
        <a:xfrm>
          <a:off x="3663950" y="57912000"/>
          <a:ext cx="6350" cy="4826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82550</xdr:colOff>
      <xdr:row>337</xdr:row>
      <xdr:rowOff>95250</xdr:rowOff>
    </xdr:from>
    <xdr:to>
      <xdr:col>4</xdr:col>
      <xdr:colOff>88900</xdr:colOff>
      <xdr:row>340</xdr:row>
      <xdr:rowOff>63500</xdr:rowOff>
    </xdr:to>
    <xdr:cxnSp macro="">
      <xdr:nvCxnSpPr>
        <xdr:cNvPr id="1198" name="直線矢印コネクタ 27">
          <a:extLst>
            <a:ext uri="{FF2B5EF4-FFF2-40B4-BE49-F238E27FC236}">
              <a16:creationId xmlns:a16="http://schemas.microsoft.com/office/drawing/2014/main" id="{4CBF6097-E81B-4905-A957-423A7BEB91BB}"/>
            </a:ext>
          </a:extLst>
        </xdr:cNvPr>
        <xdr:cNvCxnSpPr>
          <a:cxnSpLocks/>
        </xdr:cNvCxnSpPr>
      </xdr:nvCxnSpPr>
      <xdr:spPr>
        <a:xfrm>
          <a:off x="869950" y="57943750"/>
          <a:ext cx="6350" cy="48260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154882</xdr:colOff>
      <xdr:row>382</xdr:row>
      <xdr:rowOff>84120</xdr:rowOff>
    </xdr:from>
    <xdr:to>
      <xdr:col>34</xdr:col>
      <xdr:colOff>125866</xdr:colOff>
      <xdr:row>386</xdr:row>
      <xdr:rowOff>10308</xdr:rowOff>
    </xdr:to>
    <xdr:grpSp>
      <xdr:nvGrpSpPr>
        <xdr:cNvPr id="1205" name="グループ化 92">
          <a:extLst>
            <a:ext uri="{FF2B5EF4-FFF2-40B4-BE49-F238E27FC236}">
              <a16:creationId xmlns:a16="http://schemas.microsoft.com/office/drawing/2014/main" id="{50C6D720-9B50-4428-98B6-BFD83BBCDC51}"/>
            </a:ext>
          </a:extLst>
        </xdr:cNvPr>
        <xdr:cNvGrpSpPr/>
      </xdr:nvGrpSpPr>
      <xdr:grpSpPr>
        <a:xfrm>
          <a:off x="5584132" y="65739945"/>
          <a:ext cx="694884" cy="611988"/>
          <a:chOff x="7144737" y="2892425"/>
          <a:chExt cx="763434" cy="597682"/>
        </a:xfrm>
      </xdr:grpSpPr>
      <xdr:sp macro="" textlink="">
        <xdr:nvSpPr>
          <xdr:cNvPr id="1206" name="フローチャート: 磁気ディスク 93">
            <a:extLst>
              <a:ext uri="{FF2B5EF4-FFF2-40B4-BE49-F238E27FC236}">
                <a16:creationId xmlns:a16="http://schemas.microsoft.com/office/drawing/2014/main" id="{45B65EBC-C52D-A770-1CBA-3094437BC13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07" name="正方形/長方形 94">
            <a:extLst>
              <a:ext uri="{FF2B5EF4-FFF2-40B4-BE49-F238E27FC236}">
                <a16:creationId xmlns:a16="http://schemas.microsoft.com/office/drawing/2014/main" id="{1E9442EE-1501-BD42-F562-D6A626B9E656}"/>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6</xdr:col>
      <xdr:colOff>197811</xdr:colOff>
      <xdr:row>380</xdr:row>
      <xdr:rowOff>93059</xdr:rowOff>
    </xdr:from>
    <xdr:to>
      <xdr:col>31</xdr:col>
      <xdr:colOff>13149</xdr:colOff>
      <xdr:row>384</xdr:row>
      <xdr:rowOff>16903</xdr:rowOff>
    </xdr:to>
    <xdr:cxnSp macro="">
      <xdr:nvCxnSpPr>
        <xdr:cNvPr id="1209" name="直線矢印コネクタ 1208">
          <a:extLst>
            <a:ext uri="{FF2B5EF4-FFF2-40B4-BE49-F238E27FC236}">
              <a16:creationId xmlns:a16="http://schemas.microsoft.com/office/drawing/2014/main" id="{91BFF250-5CC4-40EE-A54B-EFB1C7EDB7E5}"/>
            </a:ext>
          </a:extLst>
        </xdr:cNvPr>
        <xdr:cNvCxnSpPr>
          <a:cxnSpLocks/>
          <a:stCxn id="1051" idx="3"/>
          <a:endCxn id="1206" idx="2"/>
        </xdr:cNvCxnSpPr>
      </xdr:nvCxnSpPr>
      <xdr:spPr>
        <a:xfrm>
          <a:off x="1412249" y="63541465"/>
          <a:ext cx="4875494" cy="590594"/>
        </a:xfrm>
        <a:prstGeom prst="bentConnector3">
          <a:avLst>
            <a:gd name="adj1" fmla="val 56358"/>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16523</xdr:colOff>
      <xdr:row>502</xdr:row>
      <xdr:rowOff>21687</xdr:rowOff>
    </xdr:from>
    <xdr:to>
      <xdr:col>34</xdr:col>
      <xdr:colOff>190007</xdr:colOff>
      <xdr:row>505</xdr:row>
      <xdr:rowOff>130045</xdr:rowOff>
    </xdr:to>
    <xdr:grpSp>
      <xdr:nvGrpSpPr>
        <xdr:cNvPr id="1238" name="グループ化 92">
          <a:extLst>
            <a:ext uri="{FF2B5EF4-FFF2-40B4-BE49-F238E27FC236}">
              <a16:creationId xmlns:a16="http://schemas.microsoft.com/office/drawing/2014/main" id="{891193D0-C3B4-42C2-8D84-6624BE0C5AD7}"/>
            </a:ext>
          </a:extLst>
        </xdr:cNvPr>
        <xdr:cNvGrpSpPr/>
      </xdr:nvGrpSpPr>
      <xdr:grpSpPr>
        <a:xfrm>
          <a:off x="5626748" y="86251512"/>
          <a:ext cx="706884" cy="622708"/>
          <a:chOff x="7144737" y="2892425"/>
          <a:chExt cx="763434" cy="597682"/>
        </a:xfrm>
      </xdr:grpSpPr>
      <xdr:sp macro="" textlink="">
        <xdr:nvSpPr>
          <xdr:cNvPr id="1240" name="フローチャート: 磁気ディスク 93">
            <a:extLst>
              <a:ext uri="{FF2B5EF4-FFF2-40B4-BE49-F238E27FC236}">
                <a16:creationId xmlns:a16="http://schemas.microsoft.com/office/drawing/2014/main" id="{C07D13EA-E4A9-1DAF-48A1-A54AA3E66ED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41" name="正方形/長方形 94">
            <a:extLst>
              <a:ext uri="{FF2B5EF4-FFF2-40B4-BE49-F238E27FC236}">
                <a16:creationId xmlns:a16="http://schemas.microsoft.com/office/drawing/2014/main" id="{60ADCF93-7C37-8DF0-1D48-A68200304D46}"/>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21</xdr:col>
      <xdr:colOff>76708</xdr:colOff>
      <xdr:row>503</xdr:row>
      <xdr:rowOff>101865</xdr:rowOff>
    </xdr:from>
    <xdr:to>
      <xdr:col>31</xdr:col>
      <xdr:colOff>75298</xdr:colOff>
      <xdr:row>503</xdr:row>
      <xdr:rowOff>129888</xdr:rowOff>
    </xdr:to>
    <xdr:cxnSp macro="">
      <xdr:nvCxnSpPr>
        <xdr:cNvPr id="1242" name="直線矢印コネクタ 1241">
          <a:extLst>
            <a:ext uri="{FF2B5EF4-FFF2-40B4-BE49-F238E27FC236}">
              <a16:creationId xmlns:a16="http://schemas.microsoft.com/office/drawing/2014/main" id="{3791993F-0F68-443A-A83C-39455EBFB5BF}"/>
            </a:ext>
          </a:extLst>
        </xdr:cNvPr>
        <xdr:cNvCxnSpPr>
          <a:cxnSpLocks/>
          <a:stCxn id="1300" idx="3"/>
          <a:endCxn id="1240" idx="2"/>
        </xdr:cNvCxnSpPr>
      </xdr:nvCxnSpPr>
      <xdr:spPr>
        <a:xfrm>
          <a:off x="4155649" y="74396865"/>
          <a:ext cx="1940943" cy="280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174696</xdr:colOff>
      <xdr:row>508</xdr:row>
      <xdr:rowOff>71634</xdr:rowOff>
    </xdr:from>
    <xdr:to>
      <xdr:col>34</xdr:col>
      <xdr:colOff>151907</xdr:colOff>
      <xdr:row>512</xdr:row>
      <xdr:rowOff>6810</xdr:rowOff>
    </xdr:to>
    <xdr:grpSp>
      <xdr:nvGrpSpPr>
        <xdr:cNvPr id="1245" name="グループ化 92">
          <a:extLst>
            <a:ext uri="{FF2B5EF4-FFF2-40B4-BE49-F238E27FC236}">
              <a16:creationId xmlns:a16="http://schemas.microsoft.com/office/drawing/2014/main" id="{0B43A064-D214-4572-B710-07FF67FB9BCB}"/>
            </a:ext>
          </a:extLst>
        </xdr:cNvPr>
        <xdr:cNvGrpSpPr/>
      </xdr:nvGrpSpPr>
      <xdr:grpSpPr>
        <a:xfrm>
          <a:off x="5603946" y="87330159"/>
          <a:ext cx="701111" cy="620976"/>
          <a:chOff x="7144737" y="2892425"/>
          <a:chExt cx="763434" cy="597682"/>
        </a:xfrm>
      </xdr:grpSpPr>
      <xdr:sp macro="" textlink="">
        <xdr:nvSpPr>
          <xdr:cNvPr id="1247" name="フローチャート: 磁気ディスク 93">
            <a:extLst>
              <a:ext uri="{FF2B5EF4-FFF2-40B4-BE49-F238E27FC236}">
                <a16:creationId xmlns:a16="http://schemas.microsoft.com/office/drawing/2014/main" id="{A9BED210-BE39-CA3B-48F0-997D491D9FA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48" name="正方形/長方形 94">
            <a:extLst>
              <a:ext uri="{FF2B5EF4-FFF2-40B4-BE49-F238E27FC236}">
                <a16:creationId xmlns:a16="http://schemas.microsoft.com/office/drawing/2014/main" id="{D3FA6AC0-0057-81B3-35CF-2B934707215F}"/>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28</xdr:col>
      <xdr:colOff>76709</xdr:colOff>
      <xdr:row>510</xdr:row>
      <xdr:rowOff>2611</xdr:rowOff>
    </xdr:from>
    <xdr:to>
      <xdr:col>31</xdr:col>
      <xdr:colOff>39078</xdr:colOff>
      <xdr:row>510</xdr:row>
      <xdr:rowOff>7402</xdr:rowOff>
    </xdr:to>
    <xdr:cxnSp macro="">
      <xdr:nvCxnSpPr>
        <xdr:cNvPr id="1249" name="直線矢印コネクタ 1248">
          <a:extLst>
            <a:ext uri="{FF2B5EF4-FFF2-40B4-BE49-F238E27FC236}">
              <a16:creationId xmlns:a16="http://schemas.microsoft.com/office/drawing/2014/main" id="{082AFB9C-2A8D-4BE9-BBF5-946A98061A07}"/>
            </a:ext>
          </a:extLst>
        </xdr:cNvPr>
        <xdr:cNvCxnSpPr>
          <a:cxnSpLocks/>
          <a:stCxn id="1306" idx="3"/>
          <a:endCxn id="1247" idx="2"/>
        </xdr:cNvCxnSpPr>
      </xdr:nvCxnSpPr>
      <xdr:spPr>
        <a:xfrm>
          <a:off x="5515297" y="75500376"/>
          <a:ext cx="545075" cy="479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18668</xdr:colOff>
      <xdr:row>524</xdr:row>
      <xdr:rowOff>95189</xdr:rowOff>
    </xdr:from>
    <xdr:to>
      <xdr:col>35</xdr:col>
      <xdr:colOff>1215</xdr:colOff>
      <xdr:row>528</xdr:row>
      <xdr:rowOff>29541</xdr:rowOff>
    </xdr:to>
    <xdr:grpSp>
      <xdr:nvGrpSpPr>
        <xdr:cNvPr id="1250" name="グループ化 92">
          <a:extLst>
            <a:ext uri="{FF2B5EF4-FFF2-40B4-BE49-F238E27FC236}">
              <a16:creationId xmlns:a16="http://schemas.microsoft.com/office/drawing/2014/main" id="{881909C7-3394-4705-AEA5-CF5257B43C64}"/>
            </a:ext>
          </a:extLst>
        </xdr:cNvPr>
        <xdr:cNvGrpSpPr/>
      </xdr:nvGrpSpPr>
      <xdr:grpSpPr>
        <a:xfrm>
          <a:off x="5628893" y="90096914"/>
          <a:ext cx="706447" cy="620152"/>
          <a:chOff x="7144737" y="2892425"/>
          <a:chExt cx="763434" cy="597682"/>
        </a:xfrm>
      </xdr:grpSpPr>
      <xdr:sp macro="" textlink="">
        <xdr:nvSpPr>
          <xdr:cNvPr id="1251" name="フローチャート: 磁気ディスク 93">
            <a:extLst>
              <a:ext uri="{FF2B5EF4-FFF2-40B4-BE49-F238E27FC236}">
                <a16:creationId xmlns:a16="http://schemas.microsoft.com/office/drawing/2014/main" id="{947A287F-662F-22F8-D50B-136FFA0C3AF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52" name="正方形/長方形 94">
            <a:extLst>
              <a:ext uri="{FF2B5EF4-FFF2-40B4-BE49-F238E27FC236}">
                <a16:creationId xmlns:a16="http://schemas.microsoft.com/office/drawing/2014/main" id="{6451F1C3-7A91-7FEE-2EC2-B97A73E289B0}"/>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28</xdr:col>
      <xdr:colOff>98481</xdr:colOff>
      <xdr:row>526</xdr:row>
      <xdr:rowOff>30587</xdr:rowOff>
    </xdr:from>
    <xdr:to>
      <xdr:col>31</xdr:col>
      <xdr:colOff>77699</xdr:colOff>
      <xdr:row>526</xdr:row>
      <xdr:rowOff>33869</xdr:rowOff>
    </xdr:to>
    <xdr:cxnSp macro="">
      <xdr:nvCxnSpPr>
        <xdr:cNvPr id="1253" name="直線矢印コネクタ 1252">
          <a:extLst>
            <a:ext uri="{FF2B5EF4-FFF2-40B4-BE49-F238E27FC236}">
              <a16:creationId xmlns:a16="http://schemas.microsoft.com/office/drawing/2014/main" id="{55A32AE2-4425-4F99-AB77-23AD59697C29}"/>
            </a:ext>
          </a:extLst>
        </xdr:cNvPr>
        <xdr:cNvCxnSpPr>
          <a:cxnSpLocks/>
          <a:stCxn id="1328" idx="3"/>
          <a:endCxn id="1251" idx="2"/>
        </xdr:cNvCxnSpPr>
      </xdr:nvCxnSpPr>
      <xdr:spPr>
        <a:xfrm flipV="1">
          <a:off x="5537069" y="78277528"/>
          <a:ext cx="561924" cy="32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4629</xdr:colOff>
      <xdr:row>518</xdr:row>
      <xdr:rowOff>151687</xdr:rowOff>
    </xdr:from>
    <xdr:to>
      <xdr:col>34</xdr:col>
      <xdr:colOff>178113</xdr:colOff>
      <xdr:row>522</xdr:row>
      <xdr:rowOff>88223</xdr:rowOff>
    </xdr:to>
    <xdr:grpSp>
      <xdr:nvGrpSpPr>
        <xdr:cNvPr id="1255" name="グループ化 92">
          <a:extLst>
            <a:ext uri="{FF2B5EF4-FFF2-40B4-BE49-F238E27FC236}">
              <a16:creationId xmlns:a16="http://schemas.microsoft.com/office/drawing/2014/main" id="{62118DBF-A537-4019-B26E-906637A2FB45}"/>
            </a:ext>
          </a:extLst>
        </xdr:cNvPr>
        <xdr:cNvGrpSpPr/>
      </xdr:nvGrpSpPr>
      <xdr:grpSpPr>
        <a:xfrm>
          <a:off x="5614854" y="89124712"/>
          <a:ext cx="716409" cy="622336"/>
          <a:chOff x="7144737" y="2892425"/>
          <a:chExt cx="763434" cy="597682"/>
        </a:xfrm>
      </xdr:grpSpPr>
      <xdr:sp macro="" textlink="">
        <xdr:nvSpPr>
          <xdr:cNvPr id="1257" name="フローチャート: 磁気ディスク 93">
            <a:extLst>
              <a:ext uri="{FF2B5EF4-FFF2-40B4-BE49-F238E27FC236}">
                <a16:creationId xmlns:a16="http://schemas.microsoft.com/office/drawing/2014/main" id="{F324AE55-322F-9FB9-5EE3-123876D1B20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58" name="正方形/長方形 94">
            <a:extLst>
              <a:ext uri="{FF2B5EF4-FFF2-40B4-BE49-F238E27FC236}">
                <a16:creationId xmlns:a16="http://schemas.microsoft.com/office/drawing/2014/main" id="{62DE8130-D7FA-368D-F9E1-59C7D433956A}"/>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21</xdr:col>
      <xdr:colOff>71264</xdr:colOff>
      <xdr:row>520</xdr:row>
      <xdr:rowOff>88031</xdr:rowOff>
    </xdr:from>
    <xdr:to>
      <xdr:col>31</xdr:col>
      <xdr:colOff>63404</xdr:colOff>
      <xdr:row>520</xdr:row>
      <xdr:rowOff>88065</xdr:rowOff>
    </xdr:to>
    <xdr:cxnSp macro="">
      <xdr:nvCxnSpPr>
        <xdr:cNvPr id="1259" name="直線矢印コネクタ 1258">
          <a:extLst>
            <a:ext uri="{FF2B5EF4-FFF2-40B4-BE49-F238E27FC236}">
              <a16:creationId xmlns:a16="http://schemas.microsoft.com/office/drawing/2014/main" id="{4E981DEB-2021-4B45-828B-F212952FBA36}"/>
            </a:ext>
          </a:extLst>
        </xdr:cNvPr>
        <xdr:cNvCxnSpPr>
          <a:cxnSpLocks/>
          <a:stCxn id="1324" idx="3"/>
          <a:endCxn id="1257" idx="2"/>
        </xdr:cNvCxnSpPr>
      </xdr:nvCxnSpPr>
      <xdr:spPr>
        <a:xfrm>
          <a:off x="4150205" y="77304031"/>
          <a:ext cx="1934493" cy="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85103</xdr:colOff>
      <xdr:row>502</xdr:row>
      <xdr:rowOff>31473</xdr:rowOff>
    </xdr:from>
    <xdr:to>
      <xdr:col>21</xdr:col>
      <xdr:colOff>76708</xdr:colOff>
      <xdr:row>505</xdr:row>
      <xdr:rowOff>433</xdr:rowOff>
    </xdr:to>
    <xdr:sp macro="" textlink="">
      <xdr:nvSpPr>
        <xdr:cNvPr id="1300" name="フローチャート: 定義済み処理 9">
          <a:extLst>
            <a:ext uri="{FF2B5EF4-FFF2-40B4-BE49-F238E27FC236}">
              <a16:creationId xmlns:a16="http://schemas.microsoft.com/office/drawing/2014/main" id="{438ED01B-3AE1-4B90-BECD-0A15DA15C152}"/>
            </a:ext>
          </a:extLst>
        </xdr:cNvPr>
        <xdr:cNvSpPr/>
      </xdr:nvSpPr>
      <xdr:spPr>
        <a:xfrm>
          <a:off x="3192868" y="31370591"/>
          <a:ext cx="962781" cy="4844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35788</xdr:colOff>
      <xdr:row>501</xdr:row>
      <xdr:rowOff>165858</xdr:rowOff>
    </xdr:from>
    <xdr:to>
      <xdr:col>21</xdr:col>
      <xdr:colOff>135212</xdr:colOff>
      <xdr:row>505</xdr:row>
      <xdr:rowOff>21482</xdr:rowOff>
    </xdr:to>
    <xdr:sp macro="" textlink="">
      <xdr:nvSpPr>
        <xdr:cNvPr id="1304" name="正方形/長方形 48">
          <a:extLst>
            <a:ext uri="{FF2B5EF4-FFF2-40B4-BE49-F238E27FC236}">
              <a16:creationId xmlns:a16="http://schemas.microsoft.com/office/drawing/2014/main" id="{DC042027-0142-43C8-918B-0656D62E879B}"/>
            </a:ext>
          </a:extLst>
        </xdr:cNvPr>
        <xdr:cNvSpPr/>
      </xdr:nvSpPr>
      <xdr:spPr>
        <a:xfrm>
          <a:off x="3143553" y="31333152"/>
          <a:ext cx="1070600" cy="5429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減損</a:t>
          </a:r>
          <a:br>
            <a:rPr kumimoji="1" lang="en-US" altLang="ja-JP" sz="900"/>
          </a:br>
          <a:r>
            <a:rPr kumimoji="1" lang="ja-JP" altLang="en-US" sz="900"/>
            <a:t>承認申請</a:t>
          </a:r>
        </a:p>
      </xdr:txBody>
    </xdr:sp>
    <xdr:clientData/>
  </xdr:twoCellAnchor>
  <xdr:twoCellAnchor>
    <xdr:from>
      <xdr:col>18</xdr:col>
      <xdr:colOff>180692</xdr:colOff>
      <xdr:row>505</xdr:row>
      <xdr:rowOff>432</xdr:rowOff>
    </xdr:from>
    <xdr:to>
      <xdr:col>26</xdr:col>
      <xdr:colOff>7157</xdr:colOff>
      <xdr:row>508</xdr:row>
      <xdr:rowOff>65246</xdr:rowOff>
    </xdr:to>
    <xdr:cxnSp macro="">
      <xdr:nvCxnSpPr>
        <xdr:cNvPr id="1305" name="コネクタ: カギ線 1304">
          <a:extLst>
            <a:ext uri="{FF2B5EF4-FFF2-40B4-BE49-F238E27FC236}">
              <a16:creationId xmlns:a16="http://schemas.microsoft.com/office/drawing/2014/main" id="{FCA31454-FB03-4BBE-B212-9C95965D4D4F}"/>
            </a:ext>
          </a:extLst>
        </xdr:cNvPr>
        <xdr:cNvCxnSpPr>
          <a:stCxn id="1300" idx="2"/>
          <a:endCxn id="1307" idx="0"/>
        </xdr:cNvCxnSpPr>
      </xdr:nvCxnSpPr>
      <xdr:spPr>
        <a:xfrm rot="16200000" flipH="1">
          <a:off x="4076958" y="31454989"/>
          <a:ext cx="580285" cy="138034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85104</xdr:colOff>
      <xdr:row>508</xdr:row>
      <xdr:rowOff>104043</xdr:rowOff>
    </xdr:from>
    <xdr:to>
      <xdr:col>28</xdr:col>
      <xdr:colOff>76709</xdr:colOff>
      <xdr:row>511</xdr:row>
      <xdr:rowOff>73003</xdr:rowOff>
    </xdr:to>
    <xdr:sp macro="" textlink="">
      <xdr:nvSpPr>
        <xdr:cNvPr id="1306" name="フローチャート: 定義済み処理 9">
          <a:extLst>
            <a:ext uri="{FF2B5EF4-FFF2-40B4-BE49-F238E27FC236}">
              <a16:creationId xmlns:a16="http://schemas.microsoft.com/office/drawing/2014/main" id="{1D56E98F-8ACF-4B20-AC80-E5D1EB9DFFFD}"/>
            </a:ext>
          </a:extLst>
        </xdr:cNvPr>
        <xdr:cNvSpPr/>
      </xdr:nvSpPr>
      <xdr:spPr>
        <a:xfrm>
          <a:off x="4552516" y="32474102"/>
          <a:ext cx="962781" cy="4844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53931</xdr:colOff>
      <xdr:row>508</xdr:row>
      <xdr:rowOff>65247</xdr:rowOff>
    </xdr:from>
    <xdr:to>
      <xdr:col>28</xdr:col>
      <xdr:colOff>153355</xdr:colOff>
      <xdr:row>511</xdr:row>
      <xdr:rowOff>94052</xdr:rowOff>
    </xdr:to>
    <xdr:sp macro="" textlink="">
      <xdr:nvSpPr>
        <xdr:cNvPr id="1307" name="正方形/長方形 48">
          <a:extLst>
            <a:ext uri="{FF2B5EF4-FFF2-40B4-BE49-F238E27FC236}">
              <a16:creationId xmlns:a16="http://schemas.microsoft.com/office/drawing/2014/main" id="{A8C422F9-50CD-488D-A17D-1C7FDF8860E5}"/>
            </a:ext>
          </a:extLst>
        </xdr:cNvPr>
        <xdr:cNvSpPr/>
      </xdr:nvSpPr>
      <xdr:spPr>
        <a:xfrm>
          <a:off x="4521343" y="32435306"/>
          <a:ext cx="1070600" cy="5442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減損の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26</xdr:col>
      <xdr:colOff>6112</xdr:colOff>
      <xdr:row>511</xdr:row>
      <xdr:rowOff>94052</xdr:rowOff>
    </xdr:from>
    <xdr:to>
      <xdr:col>26</xdr:col>
      <xdr:colOff>7156</xdr:colOff>
      <xdr:row>513</xdr:row>
      <xdr:rowOff>74433</xdr:rowOff>
    </xdr:to>
    <xdr:cxnSp macro="">
      <xdr:nvCxnSpPr>
        <xdr:cNvPr id="1308" name="直線矢印コネクタ 27">
          <a:extLst>
            <a:ext uri="{FF2B5EF4-FFF2-40B4-BE49-F238E27FC236}">
              <a16:creationId xmlns:a16="http://schemas.microsoft.com/office/drawing/2014/main" id="{58244C6D-FF76-4CEE-8EC5-18E9B3A08D0D}"/>
            </a:ext>
          </a:extLst>
        </xdr:cNvPr>
        <xdr:cNvCxnSpPr>
          <a:cxnSpLocks/>
          <a:stCxn id="1307" idx="2"/>
          <a:endCxn id="1319" idx="0"/>
        </xdr:cNvCxnSpPr>
      </xdr:nvCxnSpPr>
      <xdr:spPr>
        <a:xfrm flipH="1">
          <a:off x="5056230" y="32979581"/>
          <a:ext cx="1044" cy="3240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82798</xdr:colOff>
      <xdr:row>513</xdr:row>
      <xdr:rowOff>63786</xdr:rowOff>
    </xdr:from>
    <xdr:to>
      <xdr:col>28</xdr:col>
      <xdr:colOff>122400</xdr:colOff>
      <xdr:row>516</xdr:row>
      <xdr:rowOff>71811</xdr:rowOff>
    </xdr:to>
    <xdr:grpSp>
      <xdr:nvGrpSpPr>
        <xdr:cNvPr id="1315" name="グループ化 1314">
          <a:extLst>
            <a:ext uri="{FF2B5EF4-FFF2-40B4-BE49-F238E27FC236}">
              <a16:creationId xmlns:a16="http://schemas.microsoft.com/office/drawing/2014/main" id="{75D4B433-8A6E-45C0-8978-79962D8D1786}"/>
            </a:ext>
          </a:extLst>
        </xdr:cNvPr>
        <xdr:cNvGrpSpPr/>
      </xdr:nvGrpSpPr>
      <xdr:grpSpPr>
        <a:xfrm>
          <a:off x="4245223" y="88179561"/>
          <a:ext cx="944477" cy="522375"/>
          <a:chOff x="287474" y="4845794"/>
          <a:chExt cx="1021504" cy="505814"/>
        </a:xfrm>
      </xdr:grpSpPr>
      <xdr:sp macro="" textlink="">
        <xdr:nvSpPr>
          <xdr:cNvPr id="1316" name="フローチャート: 判断 1315">
            <a:extLst>
              <a:ext uri="{FF2B5EF4-FFF2-40B4-BE49-F238E27FC236}">
                <a16:creationId xmlns:a16="http://schemas.microsoft.com/office/drawing/2014/main" id="{E331E32F-581E-7B12-0818-E5F395E4913F}"/>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319" name="正方形/長方形 48">
            <a:extLst>
              <a:ext uri="{FF2B5EF4-FFF2-40B4-BE49-F238E27FC236}">
                <a16:creationId xmlns:a16="http://schemas.microsoft.com/office/drawing/2014/main" id="{37A5307C-3AE5-A3A5-910B-F3E76CDD9030}"/>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19815</xdr:colOff>
      <xdr:row>516</xdr:row>
      <xdr:rowOff>35966</xdr:rowOff>
    </xdr:from>
    <xdr:to>
      <xdr:col>28</xdr:col>
      <xdr:colOff>74181</xdr:colOff>
      <xdr:row>517</xdr:row>
      <xdr:rowOff>81799</xdr:rowOff>
    </xdr:to>
    <xdr:sp macro="" textlink="">
      <xdr:nvSpPr>
        <xdr:cNvPr id="1320" name="テキスト ボックス 1319">
          <a:extLst>
            <a:ext uri="{FF2B5EF4-FFF2-40B4-BE49-F238E27FC236}">
              <a16:creationId xmlns:a16="http://schemas.microsoft.com/office/drawing/2014/main" id="{ED1C85F2-C59F-4BE9-AE35-BE81A98CC7DA}"/>
            </a:ext>
          </a:extLst>
        </xdr:cNvPr>
        <xdr:cNvSpPr txBox="1"/>
      </xdr:nvSpPr>
      <xdr:spPr>
        <a:xfrm>
          <a:off x="5069933" y="33780613"/>
          <a:ext cx="442836" cy="21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121058</xdr:colOff>
      <xdr:row>512</xdr:row>
      <xdr:rowOff>160415</xdr:rowOff>
    </xdr:from>
    <xdr:to>
      <xdr:col>25</xdr:col>
      <xdr:colOff>59941</xdr:colOff>
      <xdr:row>514</xdr:row>
      <xdr:rowOff>87020</xdr:rowOff>
    </xdr:to>
    <xdr:sp macro="" textlink="">
      <xdr:nvSpPr>
        <xdr:cNvPr id="1321" name="テキスト ボックス 1320">
          <a:extLst>
            <a:ext uri="{FF2B5EF4-FFF2-40B4-BE49-F238E27FC236}">
              <a16:creationId xmlns:a16="http://schemas.microsoft.com/office/drawing/2014/main" id="{6C1FBF5D-56DF-4408-AF81-A12A142D6DD7}"/>
            </a:ext>
          </a:extLst>
        </xdr:cNvPr>
        <xdr:cNvSpPr txBox="1"/>
      </xdr:nvSpPr>
      <xdr:spPr>
        <a:xfrm>
          <a:off x="4199999" y="33217768"/>
          <a:ext cx="715824" cy="270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110</xdr:colOff>
      <xdr:row>516</xdr:row>
      <xdr:rowOff>49754</xdr:rowOff>
    </xdr:from>
    <xdr:to>
      <xdr:col>26</xdr:col>
      <xdr:colOff>6191</xdr:colOff>
      <xdr:row>524</xdr:row>
      <xdr:rowOff>135712</xdr:rowOff>
    </xdr:to>
    <xdr:cxnSp macro="">
      <xdr:nvCxnSpPr>
        <xdr:cNvPr id="1322" name="直線矢印コネクタ 1321">
          <a:extLst>
            <a:ext uri="{FF2B5EF4-FFF2-40B4-BE49-F238E27FC236}">
              <a16:creationId xmlns:a16="http://schemas.microsoft.com/office/drawing/2014/main" id="{B29277E0-C20D-4826-AEB9-630CD1C0128F}"/>
            </a:ext>
          </a:extLst>
        </xdr:cNvPr>
        <xdr:cNvCxnSpPr>
          <a:cxnSpLocks/>
          <a:stCxn id="1316" idx="2"/>
          <a:endCxn id="1328" idx="0"/>
        </xdr:cNvCxnSpPr>
      </xdr:nvCxnSpPr>
      <xdr:spPr>
        <a:xfrm>
          <a:off x="5050228" y="33794401"/>
          <a:ext cx="6081" cy="14605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1712</xdr:colOff>
      <xdr:row>514</xdr:row>
      <xdr:rowOff>143774</xdr:rowOff>
    </xdr:from>
    <xdr:to>
      <xdr:col>23</xdr:col>
      <xdr:colOff>164887</xdr:colOff>
      <xdr:row>518</xdr:row>
      <xdr:rowOff>151344</xdr:rowOff>
    </xdr:to>
    <xdr:cxnSp macro="">
      <xdr:nvCxnSpPr>
        <xdr:cNvPr id="1323" name="コネクタ: カギ線 1322">
          <a:extLst>
            <a:ext uri="{FF2B5EF4-FFF2-40B4-BE49-F238E27FC236}">
              <a16:creationId xmlns:a16="http://schemas.microsoft.com/office/drawing/2014/main" id="{791120AD-521D-4D92-8FF2-32DE50DDDDB3}"/>
            </a:ext>
          </a:extLst>
        </xdr:cNvPr>
        <xdr:cNvCxnSpPr>
          <a:stCxn id="1316" idx="1"/>
          <a:endCxn id="1325" idx="0"/>
        </xdr:cNvCxnSpPr>
      </xdr:nvCxnSpPr>
      <xdr:spPr>
        <a:xfrm rot="10800000" flipV="1">
          <a:off x="3692183" y="33544774"/>
          <a:ext cx="940116" cy="694864"/>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79659</xdr:colOff>
      <xdr:row>519</xdr:row>
      <xdr:rowOff>16959</xdr:rowOff>
    </xdr:from>
    <xdr:to>
      <xdr:col>21</xdr:col>
      <xdr:colOff>71264</xdr:colOff>
      <xdr:row>521</xdr:row>
      <xdr:rowOff>159102</xdr:rowOff>
    </xdr:to>
    <xdr:sp macro="" textlink="">
      <xdr:nvSpPr>
        <xdr:cNvPr id="1324" name="フローチャート: 定義済み処理 9">
          <a:extLst>
            <a:ext uri="{FF2B5EF4-FFF2-40B4-BE49-F238E27FC236}">
              <a16:creationId xmlns:a16="http://schemas.microsoft.com/office/drawing/2014/main" id="{0CA253B2-55BF-4559-8206-FD3EE8D54B78}"/>
            </a:ext>
          </a:extLst>
        </xdr:cNvPr>
        <xdr:cNvSpPr/>
      </xdr:nvSpPr>
      <xdr:spPr>
        <a:xfrm>
          <a:off x="3187424" y="34277077"/>
          <a:ext cx="962781" cy="4857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48486</xdr:colOff>
      <xdr:row>518</xdr:row>
      <xdr:rowOff>151344</xdr:rowOff>
    </xdr:from>
    <xdr:to>
      <xdr:col>21</xdr:col>
      <xdr:colOff>147910</xdr:colOff>
      <xdr:row>522</xdr:row>
      <xdr:rowOff>6969</xdr:rowOff>
    </xdr:to>
    <xdr:sp macro="" textlink="">
      <xdr:nvSpPr>
        <xdr:cNvPr id="1325" name="正方形/長方形 48">
          <a:extLst>
            <a:ext uri="{FF2B5EF4-FFF2-40B4-BE49-F238E27FC236}">
              <a16:creationId xmlns:a16="http://schemas.microsoft.com/office/drawing/2014/main" id="{24995698-FEEB-4275-BE4D-6F740149BAA0}"/>
            </a:ext>
          </a:extLst>
        </xdr:cNvPr>
        <xdr:cNvSpPr/>
      </xdr:nvSpPr>
      <xdr:spPr>
        <a:xfrm>
          <a:off x="3156251" y="34239638"/>
          <a:ext cx="1070600" cy="54291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不備修正</a:t>
          </a:r>
        </a:p>
      </xdr:txBody>
    </xdr:sp>
    <xdr:clientData/>
  </xdr:twoCellAnchor>
  <xdr:twoCellAnchor>
    <xdr:from>
      <xdr:col>16</xdr:col>
      <xdr:colOff>48485</xdr:colOff>
      <xdr:row>503</xdr:row>
      <xdr:rowOff>102133</xdr:rowOff>
    </xdr:from>
    <xdr:to>
      <xdr:col>16</xdr:col>
      <xdr:colOff>85102</xdr:colOff>
      <xdr:row>520</xdr:row>
      <xdr:rowOff>78746</xdr:rowOff>
    </xdr:to>
    <xdr:cxnSp macro="">
      <xdr:nvCxnSpPr>
        <xdr:cNvPr id="1326" name="コネクタ: カギ線 1325">
          <a:extLst>
            <a:ext uri="{FF2B5EF4-FFF2-40B4-BE49-F238E27FC236}">
              <a16:creationId xmlns:a16="http://schemas.microsoft.com/office/drawing/2014/main" id="{54768852-3B00-4C6E-9DB9-7A088B8C5F35}"/>
            </a:ext>
          </a:extLst>
        </xdr:cNvPr>
        <xdr:cNvCxnSpPr>
          <a:stCxn id="1325" idx="1"/>
          <a:endCxn id="1300" idx="1"/>
        </xdr:cNvCxnSpPr>
      </xdr:nvCxnSpPr>
      <xdr:spPr>
        <a:xfrm rot="10800000" flipH="1">
          <a:off x="3156250" y="31613074"/>
          <a:ext cx="36617" cy="2897613"/>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15498</xdr:colOff>
      <xdr:row>515</xdr:row>
      <xdr:rowOff>5374</xdr:rowOff>
    </xdr:from>
    <xdr:to>
      <xdr:col>25</xdr:col>
      <xdr:colOff>17645</xdr:colOff>
      <xdr:row>516</xdr:row>
      <xdr:rowOff>129571</xdr:rowOff>
    </xdr:to>
    <xdr:sp macro="" textlink="">
      <xdr:nvSpPr>
        <xdr:cNvPr id="1327" name="テキスト ボックス 1326">
          <a:extLst>
            <a:ext uri="{FF2B5EF4-FFF2-40B4-BE49-F238E27FC236}">
              <a16:creationId xmlns:a16="http://schemas.microsoft.com/office/drawing/2014/main" id="{069CEEC5-9301-4917-973A-658101196813}"/>
            </a:ext>
          </a:extLst>
        </xdr:cNvPr>
        <xdr:cNvSpPr txBox="1"/>
      </xdr:nvSpPr>
      <xdr:spPr>
        <a:xfrm>
          <a:off x="3705969" y="33578198"/>
          <a:ext cx="1167558" cy="296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106876</xdr:colOff>
      <xdr:row>524</xdr:row>
      <xdr:rowOff>135712</xdr:rowOff>
    </xdr:from>
    <xdr:to>
      <xdr:col>28</xdr:col>
      <xdr:colOff>98481</xdr:colOff>
      <xdr:row>527</xdr:row>
      <xdr:rowOff>103848</xdr:rowOff>
    </xdr:to>
    <xdr:sp macro="" textlink="">
      <xdr:nvSpPr>
        <xdr:cNvPr id="1328" name="フローチャート: 定義済み処理 9">
          <a:extLst>
            <a:ext uri="{FF2B5EF4-FFF2-40B4-BE49-F238E27FC236}">
              <a16:creationId xmlns:a16="http://schemas.microsoft.com/office/drawing/2014/main" id="{47BB900A-92E7-448C-8A2A-25BD798A25E3}"/>
            </a:ext>
          </a:extLst>
        </xdr:cNvPr>
        <xdr:cNvSpPr/>
      </xdr:nvSpPr>
      <xdr:spPr>
        <a:xfrm>
          <a:off x="4574288" y="35254947"/>
          <a:ext cx="962781" cy="4836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57561</xdr:colOff>
      <xdr:row>524</xdr:row>
      <xdr:rowOff>96092</xdr:rowOff>
    </xdr:from>
    <xdr:to>
      <xdr:col>28</xdr:col>
      <xdr:colOff>156985</xdr:colOff>
      <xdr:row>527</xdr:row>
      <xdr:rowOff>124897</xdr:rowOff>
    </xdr:to>
    <xdr:sp macro="" textlink="">
      <xdr:nvSpPr>
        <xdr:cNvPr id="1337" name="正方形/長方形 48">
          <a:extLst>
            <a:ext uri="{FF2B5EF4-FFF2-40B4-BE49-F238E27FC236}">
              <a16:creationId xmlns:a16="http://schemas.microsoft.com/office/drawing/2014/main" id="{B4456F5A-59F7-44B3-977A-5AE9D372D4C4}"/>
            </a:ext>
          </a:extLst>
        </xdr:cNvPr>
        <xdr:cNvSpPr/>
      </xdr:nvSpPr>
      <xdr:spPr>
        <a:xfrm>
          <a:off x="4524973" y="35215327"/>
          <a:ext cx="1070600" cy="5442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自動転記バッチ</a:t>
          </a:r>
        </a:p>
      </xdr:txBody>
    </xdr:sp>
    <xdr:clientData/>
  </xdr:twoCellAnchor>
  <xdr:twoCellAnchor>
    <xdr:from>
      <xdr:col>22</xdr:col>
      <xdr:colOff>4820</xdr:colOff>
      <xdr:row>504</xdr:row>
      <xdr:rowOff>169019</xdr:rowOff>
    </xdr:from>
    <xdr:to>
      <xdr:col>27</xdr:col>
      <xdr:colOff>183900</xdr:colOff>
      <xdr:row>506</xdr:row>
      <xdr:rowOff>53371</xdr:rowOff>
    </xdr:to>
    <xdr:sp macro="" textlink="">
      <xdr:nvSpPr>
        <xdr:cNvPr id="1378" name="テキスト ボックス 1377">
          <a:extLst>
            <a:ext uri="{FF2B5EF4-FFF2-40B4-BE49-F238E27FC236}">
              <a16:creationId xmlns:a16="http://schemas.microsoft.com/office/drawing/2014/main" id="{0CFCA08D-CA69-4A2C-8D51-1DA604D223C7}"/>
            </a:ext>
          </a:extLst>
        </xdr:cNvPr>
        <xdr:cNvSpPr txBox="1"/>
      </xdr:nvSpPr>
      <xdr:spPr>
        <a:xfrm>
          <a:off x="4277996" y="31851784"/>
          <a:ext cx="1150257" cy="227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18</xdr:col>
      <xdr:colOff>104596</xdr:colOff>
      <xdr:row>498</xdr:row>
      <xdr:rowOff>164353</xdr:rowOff>
    </xdr:from>
    <xdr:to>
      <xdr:col>18</xdr:col>
      <xdr:colOff>104597</xdr:colOff>
      <xdr:row>502</xdr:row>
      <xdr:rowOff>29883</xdr:rowOff>
    </xdr:to>
    <xdr:cxnSp macro="">
      <xdr:nvCxnSpPr>
        <xdr:cNvPr id="1576" name="直線矢印コネクタ 1575">
          <a:extLst>
            <a:ext uri="{FF2B5EF4-FFF2-40B4-BE49-F238E27FC236}">
              <a16:creationId xmlns:a16="http://schemas.microsoft.com/office/drawing/2014/main" id="{3B74AA41-C78A-4404-9A21-FC9A6931EAF2}"/>
            </a:ext>
          </a:extLst>
        </xdr:cNvPr>
        <xdr:cNvCxnSpPr>
          <a:cxnSpLocks/>
        </xdr:cNvCxnSpPr>
      </xdr:nvCxnSpPr>
      <xdr:spPr>
        <a:xfrm>
          <a:off x="3600831" y="73600235"/>
          <a:ext cx="1" cy="55282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16523</xdr:colOff>
      <xdr:row>624</xdr:row>
      <xdr:rowOff>21687</xdr:rowOff>
    </xdr:from>
    <xdr:to>
      <xdr:col>34</xdr:col>
      <xdr:colOff>190007</xdr:colOff>
      <xdr:row>627</xdr:row>
      <xdr:rowOff>130045</xdr:rowOff>
    </xdr:to>
    <xdr:grpSp>
      <xdr:nvGrpSpPr>
        <xdr:cNvPr id="1583" name="グループ化 92">
          <a:extLst>
            <a:ext uri="{FF2B5EF4-FFF2-40B4-BE49-F238E27FC236}">
              <a16:creationId xmlns:a16="http://schemas.microsoft.com/office/drawing/2014/main" id="{A2F3ED41-0BED-4268-B618-8EA3D7EF9177}"/>
            </a:ext>
          </a:extLst>
        </xdr:cNvPr>
        <xdr:cNvGrpSpPr/>
      </xdr:nvGrpSpPr>
      <xdr:grpSpPr>
        <a:xfrm>
          <a:off x="5626748" y="107168412"/>
          <a:ext cx="706884" cy="622708"/>
          <a:chOff x="7144737" y="2892425"/>
          <a:chExt cx="763434" cy="597682"/>
        </a:xfrm>
      </xdr:grpSpPr>
      <xdr:sp macro="" textlink="">
        <xdr:nvSpPr>
          <xdr:cNvPr id="1584" name="フローチャート: 磁気ディスク 93">
            <a:extLst>
              <a:ext uri="{FF2B5EF4-FFF2-40B4-BE49-F238E27FC236}">
                <a16:creationId xmlns:a16="http://schemas.microsoft.com/office/drawing/2014/main" id="{E532B400-0A88-1DA8-7839-C1283875E4B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85" name="正方形/長方形 94">
            <a:extLst>
              <a:ext uri="{FF2B5EF4-FFF2-40B4-BE49-F238E27FC236}">
                <a16:creationId xmlns:a16="http://schemas.microsoft.com/office/drawing/2014/main" id="{51D38B89-4A72-584B-B9C6-4A19852FC171}"/>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21</xdr:col>
      <xdr:colOff>76708</xdr:colOff>
      <xdr:row>625</xdr:row>
      <xdr:rowOff>101865</xdr:rowOff>
    </xdr:from>
    <xdr:to>
      <xdr:col>31</xdr:col>
      <xdr:colOff>75298</xdr:colOff>
      <xdr:row>625</xdr:row>
      <xdr:rowOff>129888</xdr:rowOff>
    </xdr:to>
    <xdr:cxnSp macro="">
      <xdr:nvCxnSpPr>
        <xdr:cNvPr id="1586" name="直線矢印コネクタ 1585">
          <a:extLst>
            <a:ext uri="{FF2B5EF4-FFF2-40B4-BE49-F238E27FC236}">
              <a16:creationId xmlns:a16="http://schemas.microsoft.com/office/drawing/2014/main" id="{430EBC4F-8476-41D9-9689-FB95F1A3657F}"/>
            </a:ext>
          </a:extLst>
        </xdr:cNvPr>
        <xdr:cNvCxnSpPr>
          <a:cxnSpLocks/>
          <a:stCxn id="1619" idx="3"/>
          <a:endCxn id="1584" idx="2"/>
        </xdr:cNvCxnSpPr>
      </xdr:nvCxnSpPr>
      <xdr:spPr>
        <a:xfrm>
          <a:off x="4267708" y="74641794"/>
          <a:ext cx="1994304" cy="280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174696</xdr:colOff>
      <xdr:row>630</xdr:row>
      <xdr:rowOff>71634</xdr:rowOff>
    </xdr:from>
    <xdr:to>
      <xdr:col>34</xdr:col>
      <xdr:colOff>151907</xdr:colOff>
      <xdr:row>634</xdr:row>
      <xdr:rowOff>6810</xdr:rowOff>
    </xdr:to>
    <xdr:grpSp>
      <xdr:nvGrpSpPr>
        <xdr:cNvPr id="1587" name="グループ化 92">
          <a:extLst>
            <a:ext uri="{FF2B5EF4-FFF2-40B4-BE49-F238E27FC236}">
              <a16:creationId xmlns:a16="http://schemas.microsoft.com/office/drawing/2014/main" id="{5DF40C45-9C64-4138-9546-E07E9A3332AD}"/>
            </a:ext>
          </a:extLst>
        </xdr:cNvPr>
        <xdr:cNvGrpSpPr/>
      </xdr:nvGrpSpPr>
      <xdr:grpSpPr>
        <a:xfrm>
          <a:off x="5603946" y="108247059"/>
          <a:ext cx="701111" cy="620976"/>
          <a:chOff x="7144737" y="2892425"/>
          <a:chExt cx="763434" cy="597682"/>
        </a:xfrm>
      </xdr:grpSpPr>
      <xdr:sp macro="" textlink="">
        <xdr:nvSpPr>
          <xdr:cNvPr id="1588" name="フローチャート: 磁気ディスク 93">
            <a:extLst>
              <a:ext uri="{FF2B5EF4-FFF2-40B4-BE49-F238E27FC236}">
                <a16:creationId xmlns:a16="http://schemas.microsoft.com/office/drawing/2014/main" id="{888CFC85-E4E0-9468-7018-F2065EAE562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89" name="正方形/長方形 94">
            <a:extLst>
              <a:ext uri="{FF2B5EF4-FFF2-40B4-BE49-F238E27FC236}">
                <a16:creationId xmlns:a16="http://schemas.microsoft.com/office/drawing/2014/main" id="{9F806687-5846-3742-89C4-F423A1FD1114}"/>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28</xdr:col>
      <xdr:colOff>76709</xdr:colOff>
      <xdr:row>632</xdr:row>
      <xdr:rowOff>2611</xdr:rowOff>
    </xdr:from>
    <xdr:to>
      <xdr:col>31</xdr:col>
      <xdr:colOff>39078</xdr:colOff>
      <xdr:row>632</xdr:row>
      <xdr:rowOff>7402</xdr:rowOff>
    </xdr:to>
    <xdr:cxnSp macro="">
      <xdr:nvCxnSpPr>
        <xdr:cNvPr id="1610" name="直線矢印コネクタ 1609">
          <a:extLst>
            <a:ext uri="{FF2B5EF4-FFF2-40B4-BE49-F238E27FC236}">
              <a16:creationId xmlns:a16="http://schemas.microsoft.com/office/drawing/2014/main" id="{3BD638E9-DF74-4E50-9F26-BF92BB5817BD}"/>
            </a:ext>
          </a:extLst>
        </xdr:cNvPr>
        <xdr:cNvCxnSpPr>
          <a:cxnSpLocks/>
          <a:stCxn id="1623" idx="3"/>
          <a:endCxn id="1588" idx="2"/>
        </xdr:cNvCxnSpPr>
      </xdr:nvCxnSpPr>
      <xdr:spPr>
        <a:xfrm>
          <a:off x="5664709" y="75749040"/>
          <a:ext cx="561083" cy="479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18668</xdr:colOff>
      <xdr:row>646</xdr:row>
      <xdr:rowOff>95189</xdr:rowOff>
    </xdr:from>
    <xdr:to>
      <xdr:col>35</xdr:col>
      <xdr:colOff>1215</xdr:colOff>
      <xdr:row>650</xdr:row>
      <xdr:rowOff>29541</xdr:rowOff>
    </xdr:to>
    <xdr:grpSp>
      <xdr:nvGrpSpPr>
        <xdr:cNvPr id="1611" name="グループ化 92">
          <a:extLst>
            <a:ext uri="{FF2B5EF4-FFF2-40B4-BE49-F238E27FC236}">
              <a16:creationId xmlns:a16="http://schemas.microsoft.com/office/drawing/2014/main" id="{2AEEA2F4-3BB2-4221-9C73-7C42375C0BB3}"/>
            </a:ext>
          </a:extLst>
        </xdr:cNvPr>
        <xdr:cNvGrpSpPr/>
      </xdr:nvGrpSpPr>
      <xdr:grpSpPr>
        <a:xfrm>
          <a:off x="5628893" y="111013814"/>
          <a:ext cx="706447" cy="620152"/>
          <a:chOff x="7144737" y="2892425"/>
          <a:chExt cx="763434" cy="597682"/>
        </a:xfrm>
      </xdr:grpSpPr>
      <xdr:sp macro="" textlink="">
        <xdr:nvSpPr>
          <xdr:cNvPr id="1612" name="フローチャート: 磁気ディスク 93">
            <a:extLst>
              <a:ext uri="{FF2B5EF4-FFF2-40B4-BE49-F238E27FC236}">
                <a16:creationId xmlns:a16="http://schemas.microsoft.com/office/drawing/2014/main" id="{618D06EB-879F-9C97-0F67-3488A0057A2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13" name="正方形/長方形 94">
            <a:extLst>
              <a:ext uri="{FF2B5EF4-FFF2-40B4-BE49-F238E27FC236}">
                <a16:creationId xmlns:a16="http://schemas.microsoft.com/office/drawing/2014/main" id="{687E2A27-48E2-3217-56E5-1F6DD3B94EC6}"/>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28</xdr:col>
      <xdr:colOff>98481</xdr:colOff>
      <xdr:row>648</xdr:row>
      <xdr:rowOff>30587</xdr:rowOff>
    </xdr:from>
    <xdr:to>
      <xdr:col>31</xdr:col>
      <xdr:colOff>77699</xdr:colOff>
      <xdr:row>648</xdr:row>
      <xdr:rowOff>33869</xdr:rowOff>
    </xdr:to>
    <xdr:cxnSp macro="">
      <xdr:nvCxnSpPr>
        <xdr:cNvPr id="1614" name="直線矢印コネクタ 1613">
          <a:extLst>
            <a:ext uri="{FF2B5EF4-FFF2-40B4-BE49-F238E27FC236}">
              <a16:creationId xmlns:a16="http://schemas.microsoft.com/office/drawing/2014/main" id="{5C34D55A-9C82-4254-93D4-B933B2E6C632}"/>
            </a:ext>
          </a:extLst>
        </xdr:cNvPr>
        <xdr:cNvCxnSpPr>
          <a:cxnSpLocks/>
          <a:stCxn id="1638" idx="3"/>
          <a:endCxn id="1612" idx="2"/>
        </xdr:cNvCxnSpPr>
      </xdr:nvCxnSpPr>
      <xdr:spPr>
        <a:xfrm flipV="1">
          <a:off x="5686481" y="78534730"/>
          <a:ext cx="577932" cy="328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4629</xdr:colOff>
      <xdr:row>640</xdr:row>
      <xdr:rowOff>151687</xdr:rowOff>
    </xdr:from>
    <xdr:to>
      <xdr:col>34</xdr:col>
      <xdr:colOff>178113</xdr:colOff>
      <xdr:row>644</xdr:row>
      <xdr:rowOff>88223</xdr:rowOff>
    </xdr:to>
    <xdr:grpSp>
      <xdr:nvGrpSpPr>
        <xdr:cNvPr id="1615" name="グループ化 92">
          <a:extLst>
            <a:ext uri="{FF2B5EF4-FFF2-40B4-BE49-F238E27FC236}">
              <a16:creationId xmlns:a16="http://schemas.microsoft.com/office/drawing/2014/main" id="{30D21ADE-9900-4025-A285-DA2ACF0F6A72}"/>
            </a:ext>
          </a:extLst>
        </xdr:cNvPr>
        <xdr:cNvGrpSpPr/>
      </xdr:nvGrpSpPr>
      <xdr:grpSpPr>
        <a:xfrm>
          <a:off x="5614854" y="110041612"/>
          <a:ext cx="716409" cy="622336"/>
          <a:chOff x="7144737" y="2892425"/>
          <a:chExt cx="763434" cy="597682"/>
        </a:xfrm>
      </xdr:grpSpPr>
      <xdr:sp macro="" textlink="">
        <xdr:nvSpPr>
          <xdr:cNvPr id="1616" name="フローチャート: 磁気ディスク 93">
            <a:extLst>
              <a:ext uri="{FF2B5EF4-FFF2-40B4-BE49-F238E27FC236}">
                <a16:creationId xmlns:a16="http://schemas.microsoft.com/office/drawing/2014/main" id="{C457890E-83E6-B038-5D0D-F69C11FF94F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17" name="正方形/長方形 94">
            <a:extLst>
              <a:ext uri="{FF2B5EF4-FFF2-40B4-BE49-F238E27FC236}">
                <a16:creationId xmlns:a16="http://schemas.microsoft.com/office/drawing/2014/main" id="{B7E785BC-27FB-2A3D-6C19-9EC98E58EAEB}"/>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21</xdr:col>
      <xdr:colOff>71264</xdr:colOff>
      <xdr:row>642</xdr:row>
      <xdr:rowOff>88031</xdr:rowOff>
    </xdr:from>
    <xdr:to>
      <xdr:col>31</xdr:col>
      <xdr:colOff>63404</xdr:colOff>
      <xdr:row>642</xdr:row>
      <xdr:rowOff>88065</xdr:rowOff>
    </xdr:to>
    <xdr:cxnSp macro="">
      <xdr:nvCxnSpPr>
        <xdr:cNvPr id="1618" name="直線矢印コネクタ 1617">
          <a:extLst>
            <a:ext uri="{FF2B5EF4-FFF2-40B4-BE49-F238E27FC236}">
              <a16:creationId xmlns:a16="http://schemas.microsoft.com/office/drawing/2014/main" id="{D5408754-87BB-422C-A8F8-48DA0EF82F5C}"/>
            </a:ext>
          </a:extLst>
        </xdr:cNvPr>
        <xdr:cNvCxnSpPr>
          <a:cxnSpLocks/>
          <a:stCxn id="1634" idx="3"/>
          <a:endCxn id="1616" idx="2"/>
        </xdr:cNvCxnSpPr>
      </xdr:nvCxnSpPr>
      <xdr:spPr>
        <a:xfrm>
          <a:off x="4262264" y="77558031"/>
          <a:ext cx="1987854" cy="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85103</xdr:colOff>
      <xdr:row>624</xdr:row>
      <xdr:rowOff>31473</xdr:rowOff>
    </xdr:from>
    <xdr:to>
      <xdr:col>21</xdr:col>
      <xdr:colOff>76708</xdr:colOff>
      <xdr:row>627</xdr:row>
      <xdr:rowOff>433</xdr:rowOff>
    </xdr:to>
    <xdr:sp macro="" textlink="">
      <xdr:nvSpPr>
        <xdr:cNvPr id="1619" name="フローチャート: 定義済み処理 9">
          <a:extLst>
            <a:ext uri="{FF2B5EF4-FFF2-40B4-BE49-F238E27FC236}">
              <a16:creationId xmlns:a16="http://schemas.microsoft.com/office/drawing/2014/main" id="{BE932CE9-32CF-460A-BCD5-0B40861B5479}"/>
            </a:ext>
          </a:extLst>
        </xdr:cNvPr>
        <xdr:cNvSpPr/>
      </xdr:nvSpPr>
      <xdr:spPr>
        <a:xfrm>
          <a:off x="3278246" y="74399044"/>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35788</xdr:colOff>
      <xdr:row>623</xdr:row>
      <xdr:rowOff>165858</xdr:rowOff>
    </xdr:from>
    <xdr:to>
      <xdr:col>21</xdr:col>
      <xdr:colOff>135212</xdr:colOff>
      <xdr:row>627</xdr:row>
      <xdr:rowOff>21482</xdr:rowOff>
    </xdr:to>
    <xdr:sp macro="" textlink="">
      <xdr:nvSpPr>
        <xdr:cNvPr id="1620" name="正方形/長方形 48">
          <a:extLst>
            <a:ext uri="{FF2B5EF4-FFF2-40B4-BE49-F238E27FC236}">
              <a16:creationId xmlns:a16="http://schemas.microsoft.com/office/drawing/2014/main" id="{FFCD1CBE-DA7E-44EE-96CD-72F9C9BA93FF}"/>
            </a:ext>
          </a:extLst>
        </xdr:cNvPr>
        <xdr:cNvSpPr/>
      </xdr:nvSpPr>
      <xdr:spPr>
        <a:xfrm>
          <a:off x="3228931" y="74361072"/>
          <a:ext cx="1097281" cy="5450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圧縮記帳</a:t>
          </a:r>
          <a:br>
            <a:rPr kumimoji="1" lang="en-US" altLang="ja-JP" sz="900"/>
          </a:br>
          <a:r>
            <a:rPr kumimoji="1" lang="ja-JP" altLang="en-US" sz="900"/>
            <a:t>承認申請</a:t>
          </a:r>
        </a:p>
      </xdr:txBody>
    </xdr:sp>
    <xdr:clientData/>
  </xdr:twoCellAnchor>
  <xdr:twoCellAnchor>
    <xdr:from>
      <xdr:col>18</xdr:col>
      <xdr:colOff>180692</xdr:colOff>
      <xdr:row>627</xdr:row>
      <xdr:rowOff>432</xdr:rowOff>
    </xdr:from>
    <xdr:to>
      <xdr:col>26</xdr:col>
      <xdr:colOff>7157</xdr:colOff>
      <xdr:row>630</xdr:row>
      <xdr:rowOff>65246</xdr:rowOff>
    </xdr:to>
    <xdr:cxnSp macro="">
      <xdr:nvCxnSpPr>
        <xdr:cNvPr id="1622" name="コネクタ: カギ線 1621">
          <a:extLst>
            <a:ext uri="{FF2B5EF4-FFF2-40B4-BE49-F238E27FC236}">
              <a16:creationId xmlns:a16="http://schemas.microsoft.com/office/drawing/2014/main" id="{6B5318A6-0468-4CB2-A4FB-11ABC13591BF}"/>
            </a:ext>
          </a:extLst>
        </xdr:cNvPr>
        <xdr:cNvCxnSpPr>
          <a:stCxn id="1619" idx="2"/>
          <a:endCxn id="1624" idx="0"/>
        </xdr:cNvCxnSpPr>
      </xdr:nvCxnSpPr>
      <xdr:spPr>
        <a:xfrm rot="16200000" flipH="1">
          <a:off x="4193553" y="74464500"/>
          <a:ext cx="581885" cy="142303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85104</xdr:colOff>
      <xdr:row>630</xdr:row>
      <xdr:rowOff>104043</xdr:rowOff>
    </xdr:from>
    <xdr:to>
      <xdr:col>28</xdr:col>
      <xdr:colOff>76709</xdr:colOff>
      <xdr:row>633</xdr:row>
      <xdr:rowOff>73003</xdr:rowOff>
    </xdr:to>
    <xdr:sp macro="" textlink="">
      <xdr:nvSpPr>
        <xdr:cNvPr id="1623" name="フローチャート: 定義済み処理 9">
          <a:extLst>
            <a:ext uri="{FF2B5EF4-FFF2-40B4-BE49-F238E27FC236}">
              <a16:creationId xmlns:a16="http://schemas.microsoft.com/office/drawing/2014/main" id="{3D622399-4240-4667-A399-9186C1817DDA}"/>
            </a:ext>
          </a:extLst>
        </xdr:cNvPr>
        <xdr:cNvSpPr/>
      </xdr:nvSpPr>
      <xdr:spPr>
        <a:xfrm>
          <a:off x="4675247" y="75505757"/>
          <a:ext cx="989462" cy="48603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53931</xdr:colOff>
      <xdr:row>630</xdr:row>
      <xdr:rowOff>65247</xdr:rowOff>
    </xdr:from>
    <xdr:to>
      <xdr:col>28</xdr:col>
      <xdr:colOff>153355</xdr:colOff>
      <xdr:row>633</xdr:row>
      <xdr:rowOff>94052</xdr:rowOff>
    </xdr:to>
    <xdr:sp macro="" textlink="">
      <xdr:nvSpPr>
        <xdr:cNvPr id="1624" name="正方形/長方形 48">
          <a:extLst>
            <a:ext uri="{FF2B5EF4-FFF2-40B4-BE49-F238E27FC236}">
              <a16:creationId xmlns:a16="http://schemas.microsoft.com/office/drawing/2014/main" id="{E1484460-383B-405B-A28A-C4B274A911A9}"/>
            </a:ext>
          </a:extLst>
        </xdr:cNvPr>
        <xdr:cNvSpPr/>
      </xdr:nvSpPr>
      <xdr:spPr>
        <a:xfrm>
          <a:off x="4644074" y="75466961"/>
          <a:ext cx="1097281" cy="54587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圧縮記帳の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26</xdr:col>
      <xdr:colOff>6112</xdr:colOff>
      <xdr:row>633</xdr:row>
      <xdr:rowOff>94052</xdr:rowOff>
    </xdr:from>
    <xdr:to>
      <xdr:col>26</xdr:col>
      <xdr:colOff>7156</xdr:colOff>
      <xdr:row>635</xdr:row>
      <xdr:rowOff>74433</xdr:rowOff>
    </xdr:to>
    <xdr:cxnSp macro="">
      <xdr:nvCxnSpPr>
        <xdr:cNvPr id="1625" name="直線矢印コネクタ 27">
          <a:extLst>
            <a:ext uri="{FF2B5EF4-FFF2-40B4-BE49-F238E27FC236}">
              <a16:creationId xmlns:a16="http://schemas.microsoft.com/office/drawing/2014/main" id="{0E454C9D-B099-49F0-BB18-A8E6D76E527C}"/>
            </a:ext>
          </a:extLst>
        </xdr:cNvPr>
        <xdr:cNvCxnSpPr>
          <a:cxnSpLocks/>
          <a:stCxn id="1624" idx="2"/>
          <a:endCxn id="1628" idx="0"/>
        </xdr:cNvCxnSpPr>
      </xdr:nvCxnSpPr>
      <xdr:spPr>
        <a:xfrm flipH="1">
          <a:off x="5194969" y="76012838"/>
          <a:ext cx="1044" cy="3250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82798</xdr:colOff>
      <xdr:row>635</xdr:row>
      <xdr:rowOff>63786</xdr:rowOff>
    </xdr:from>
    <xdr:to>
      <xdr:col>28</xdr:col>
      <xdr:colOff>122400</xdr:colOff>
      <xdr:row>638</xdr:row>
      <xdr:rowOff>71811</xdr:rowOff>
    </xdr:to>
    <xdr:grpSp>
      <xdr:nvGrpSpPr>
        <xdr:cNvPr id="1626" name="グループ化 1625">
          <a:extLst>
            <a:ext uri="{FF2B5EF4-FFF2-40B4-BE49-F238E27FC236}">
              <a16:creationId xmlns:a16="http://schemas.microsoft.com/office/drawing/2014/main" id="{4442E398-BFDC-409A-BAD8-8601DAEA5BCD}"/>
            </a:ext>
          </a:extLst>
        </xdr:cNvPr>
        <xdr:cNvGrpSpPr/>
      </xdr:nvGrpSpPr>
      <xdr:grpSpPr>
        <a:xfrm>
          <a:off x="4245223" y="109096461"/>
          <a:ext cx="944477" cy="522375"/>
          <a:chOff x="287474" y="4845794"/>
          <a:chExt cx="1021504" cy="505814"/>
        </a:xfrm>
      </xdr:grpSpPr>
      <xdr:sp macro="" textlink="">
        <xdr:nvSpPr>
          <xdr:cNvPr id="1627" name="フローチャート: 判断 1626">
            <a:extLst>
              <a:ext uri="{FF2B5EF4-FFF2-40B4-BE49-F238E27FC236}">
                <a16:creationId xmlns:a16="http://schemas.microsoft.com/office/drawing/2014/main" id="{5DD37142-997F-35F9-FCF7-2DE35455F26F}"/>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628" name="正方形/長方形 48">
            <a:extLst>
              <a:ext uri="{FF2B5EF4-FFF2-40B4-BE49-F238E27FC236}">
                <a16:creationId xmlns:a16="http://schemas.microsoft.com/office/drawing/2014/main" id="{BA42896E-5E9B-44CA-12D8-665CC089ABB6}"/>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19815</xdr:colOff>
      <xdr:row>638</xdr:row>
      <xdr:rowOff>35966</xdr:rowOff>
    </xdr:from>
    <xdr:to>
      <xdr:col>28</xdr:col>
      <xdr:colOff>74181</xdr:colOff>
      <xdr:row>639</xdr:row>
      <xdr:rowOff>81799</xdr:rowOff>
    </xdr:to>
    <xdr:sp macro="" textlink="">
      <xdr:nvSpPr>
        <xdr:cNvPr id="1629" name="テキスト ボックス 1628">
          <a:extLst>
            <a:ext uri="{FF2B5EF4-FFF2-40B4-BE49-F238E27FC236}">
              <a16:creationId xmlns:a16="http://schemas.microsoft.com/office/drawing/2014/main" id="{E50349E2-CA0C-43DE-A744-E4B36C095DCB}"/>
            </a:ext>
          </a:extLst>
        </xdr:cNvPr>
        <xdr:cNvSpPr txBox="1"/>
      </xdr:nvSpPr>
      <xdr:spPr>
        <a:xfrm>
          <a:off x="5208672" y="76816537"/>
          <a:ext cx="453509" cy="21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121058</xdr:colOff>
      <xdr:row>634</xdr:row>
      <xdr:rowOff>160415</xdr:rowOff>
    </xdr:from>
    <xdr:to>
      <xdr:col>25</xdr:col>
      <xdr:colOff>59941</xdr:colOff>
      <xdr:row>636</xdr:row>
      <xdr:rowOff>87020</xdr:rowOff>
    </xdr:to>
    <xdr:sp macro="" textlink="">
      <xdr:nvSpPr>
        <xdr:cNvPr id="1631" name="テキスト ボックス 1630">
          <a:extLst>
            <a:ext uri="{FF2B5EF4-FFF2-40B4-BE49-F238E27FC236}">
              <a16:creationId xmlns:a16="http://schemas.microsoft.com/office/drawing/2014/main" id="{71F68C84-5141-4459-8D72-BDE82AC31721}"/>
            </a:ext>
          </a:extLst>
        </xdr:cNvPr>
        <xdr:cNvSpPr txBox="1"/>
      </xdr:nvSpPr>
      <xdr:spPr>
        <a:xfrm>
          <a:off x="4312058" y="76251558"/>
          <a:ext cx="737169" cy="271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110</xdr:colOff>
      <xdr:row>638</xdr:row>
      <xdr:rowOff>49754</xdr:rowOff>
    </xdr:from>
    <xdr:to>
      <xdr:col>26</xdr:col>
      <xdr:colOff>6191</xdr:colOff>
      <xdr:row>646</xdr:row>
      <xdr:rowOff>135712</xdr:rowOff>
    </xdr:to>
    <xdr:cxnSp macro="">
      <xdr:nvCxnSpPr>
        <xdr:cNvPr id="1632" name="直線矢印コネクタ 1631">
          <a:extLst>
            <a:ext uri="{FF2B5EF4-FFF2-40B4-BE49-F238E27FC236}">
              <a16:creationId xmlns:a16="http://schemas.microsoft.com/office/drawing/2014/main" id="{606576AB-4569-4D16-A644-AE631690C80B}"/>
            </a:ext>
          </a:extLst>
        </xdr:cNvPr>
        <xdr:cNvCxnSpPr>
          <a:cxnSpLocks/>
          <a:stCxn id="1627" idx="2"/>
          <a:endCxn id="1638" idx="0"/>
        </xdr:cNvCxnSpPr>
      </xdr:nvCxnSpPr>
      <xdr:spPr>
        <a:xfrm>
          <a:off x="5188967" y="76830325"/>
          <a:ext cx="6081" cy="14648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1712</xdr:colOff>
      <xdr:row>636</xdr:row>
      <xdr:rowOff>143774</xdr:rowOff>
    </xdr:from>
    <xdr:to>
      <xdr:col>23</xdr:col>
      <xdr:colOff>164887</xdr:colOff>
      <xdr:row>640</xdr:row>
      <xdr:rowOff>151344</xdr:rowOff>
    </xdr:to>
    <xdr:cxnSp macro="">
      <xdr:nvCxnSpPr>
        <xdr:cNvPr id="1633" name="コネクタ: カギ線 1632">
          <a:extLst>
            <a:ext uri="{FF2B5EF4-FFF2-40B4-BE49-F238E27FC236}">
              <a16:creationId xmlns:a16="http://schemas.microsoft.com/office/drawing/2014/main" id="{D7F10A38-C610-4B8F-95F2-0C56D19385DA}"/>
            </a:ext>
          </a:extLst>
        </xdr:cNvPr>
        <xdr:cNvCxnSpPr>
          <a:stCxn id="1627" idx="1"/>
          <a:endCxn id="1635" idx="0"/>
        </xdr:cNvCxnSpPr>
      </xdr:nvCxnSpPr>
      <xdr:spPr>
        <a:xfrm rot="10800000" flipV="1">
          <a:off x="3793569" y="76579631"/>
          <a:ext cx="961461" cy="696999"/>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79659</xdr:colOff>
      <xdr:row>641</xdr:row>
      <xdr:rowOff>16959</xdr:rowOff>
    </xdr:from>
    <xdr:to>
      <xdr:col>21</xdr:col>
      <xdr:colOff>71264</xdr:colOff>
      <xdr:row>643</xdr:row>
      <xdr:rowOff>159102</xdr:rowOff>
    </xdr:to>
    <xdr:sp macro="" textlink="">
      <xdr:nvSpPr>
        <xdr:cNvPr id="1634" name="フローチャート: 定義済み処理 9">
          <a:extLst>
            <a:ext uri="{FF2B5EF4-FFF2-40B4-BE49-F238E27FC236}">
              <a16:creationId xmlns:a16="http://schemas.microsoft.com/office/drawing/2014/main" id="{2A9594CF-81F5-4E7A-A030-DF9113ADA039}"/>
            </a:ext>
          </a:extLst>
        </xdr:cNvPr>
        <xdr:cNvSpPr/>
      </xdr:nvSpPr>
      <xdr:spPr>
        <a:xfrm>
          <a:off x="3272802" y="77314602"/>
          <a:ext cx="989462" cy="48685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48486</xdr:colOff>
      <xdr:row>640</xdr:row>
      <xdr:rowOff>151344</xdr:rowOff>
    </xdr:from>
    <xdr:to>
      <xdr:col>21</xdr:col>
      <xdr:colOff>147910</xdr:colOff>
      <xdr:row>644</xdr:row>
      <xdr:rowOff>6969</xdr:rowOff>
    </xdr:to>
    <xdr:sp macro="" textlink="">
      <xdr:nvSpPr>
        <xdr:cNvPr id="1635" name="正方形/長方形 48">
          <a:extLst>
            <a:ext uri="{FF2B5EF4-FFF2-40B4-BE49-F238E27FC236}">
              <a16:creationId xmlns:a16="http://schemas.microsoft.com/office/drawing/2014/main" id="{B2B3B3D3-3034-48CD-BF86-7B775736675D}"/>
            </a:ext>
          </a:extLst>
        </xdr:cNvPr>
        <xdr:cNvSpPr/>
      </xdr:nvSpPr>
      <xdr:spPr>
        <a:xfrm>
          <a:off x="3241629" y="77276630"/>
          <a:ext cx="1097281" cy="54505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不備修正</a:t>
          </a:r>
        </a:p>
      </xdr:txBody>
    </xdr:sp>
    <xdr:clientData/>
  </xdr:twoCellAnchor>
  <xdr:twoCellAnchor>
    <xdr:from>
      <xdr:col>16</xdr:col>
      <xdr:colOff>48485</xdr:colOff>
      <xdr:row>625</xdr:row>
      <xdr:rowOff>102133</xdr:rowOff>
    </xdr:from>
    <xdr:to>
      <xdr:col>16</xdr:col>
      <xdr:colOff>85102</xdr:colOff>
      <xdr:row>642</xdr:row>
      <xdr:rowOff>78746</xdr:rowOff>
    </xdr:to>
    <xdr:cxnSp macro="">
      <xdr:nvCxnSpPr>
        <xdr:cNvPr id="1636" name="コネクタ: カギ線 1635">
          <a:extLst>
            <a:ext uri="{FF2B5EF4-FFF2-40B4-BE49-F238E27FC236}">
              <a16:creationId xmlns:a16="http://schemas.microsoft.com/office/drawing/2014/main" id="{9A36ECD4-BC54-4C70-B9A8-DE6BAF28EB76}"/>
            </a:ext>
          </a:extLst>
        </xdr:cNvPr>
        <xdr:cNvCxnSpPr>
          <a:stCxn id="1635" idx="1"/>
          <a:endCxn id="1619" idx="1"/>
        </xdr:cNvCxnSpPr>
      </xdr:nvCxnSpPr>
      <xdr:spPr>
        <a:xfrm rot="10800000" flipH="1">
          <a:off x="3241628" y="74642062"/>
          <a:ext cx="36617" cy="2906684"/>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15498</xdr:colOff>
      <xdr:row>637</xdr:row>
      <xdr:rowOff>5374</xdr:rowOff>
    </xdr:from>
    <xdr:to>
      <xdr:col>25</xdr:col>
      <xdr:colOff>17645</xdr:colOff>
      <xdr:row>638</xdr:row>
      <xdr:rowOff>129571</xdr:rowOff>
    </xdr:to>
    <xdr:sp macro="" textlink="">
      <xdr:nvSpPr>
        <xdr:cNvPr id="1637" name="テキスト ボックス 1636">
          <a:extLst>
            <a:ext uri="{FF2B5EF4-FFF2-40B4-BE49-F238E27FC236}">
              <a16:creationId xmlns:a16="http://schemas.microsoft.com/office/drawing/2014/main" id="{5203A43D-B887-4D31-93EE-C560186D266D}"/>
            </a:ext>
          </a:extLst>
        </xdr:cNvPr>
        <xdr:cNvSpPr txBox="1"/>
      </xdr:nvSpPr>
      <xdr:spPr>
        <a:xfrm>
          <a:off x="3807355" y="76613588"/>
          <a:ext cx="1199576" cy="296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106876</xdr:colOff>
      <xdr:row>646</xdr:row>
      <xdr:rowOff>135712</xdr:rowOff>
    </xdr:from>
    <xdr:to>
      <xdr:col>28</xdr:col>
      <xdr:colOff>98481</xdr:colOff>
      <xdr:row>649</xdr:row>
      <xdr:rowOff>103848</xdr:rowOff>
    </xdr:to>
    <xdr:sp macro="" textlink="">
      <xdr:nvSpPr>
        <xdr:cNvPr id="1638" name="フローチャート: 定義済み処理 9">
          <a:extLst>
            <a:ext uri="{FF2B5EF4-FFF2-40B4-BE49-F238E27FC236}">
              <a16:creationId xmlns:a16="http://schemas.microsoft.com/office/drawing/2014/main" id="{1B093D51-6F77-43A1-98B7-76650698C1EF}"/>
            </a:ext>
          </a:extLst>
        </xdr:cNvPr>
        <xdr:cNvSpPr/>
      </xdr:nvSpPr>
      <xdr:spPr>
        <a:xfrm>
          <a:off x="4697019" y="78295141"/>
          <a:ext cx="989462" cy="4852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57561</xdr:colOff>
      <xdr:row>646</xdr:row>
      <xdr:rowOff>96092</xdr:rowOff>
    </xdr:from>
    <xdr:to>
      <xdr:col>28</xdr:col>
      <xdr:colOff>156985</xdr:colOff>
      <xdr:row>649</xdr:row>
      <xdr:rowOff>124897</xdr:rowOff>
    </xdr:to>
    <xdr:sp macro="" textlink="">
      <xdr:nvSpPr>
        <xdr:cNvPr id="1639" name="正方形/長方形 48">
          <a:extLst>
            <a:ext uri="{FF2B5EF4-FFF2-40B4-BE49-F238E27FC236}">
              <a16:creationId xmlns:a16="http://schemas.microsoft.com/office/drawing/2014/main" id="{9CFB2B12-D742-46DF-81F8-157B2EA62CC1}"/>
            </a:ext>
          </a:extLst>
        </xdr:cNvPr>
        <xdr:cNvSpPr/>
      </xdr:nvSpPr>
      <xdr:spPr>
        <a:xfrm>
          <a:off x="4647704" y="78255521"/>
          <a:ext cx="1097281" cy="5458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自動転記バッチ</a:t>
          </a:r>
        </a:p>
      </xdr:txBody>
    </xdr:sp>
    <xdr:clientData/>
  </xdr:twoCellAnchor>
  <xdr:twoCellAnchor>
    <xdr:from>
      <xdr:col>22</xdr:col>
      <xdr:colOff>4820</xdr:colOff>
      <xdr:row>626</xdr:row>
      <xdr:rowOff>169019</xdr:rowOff>
    </xdr:from>
    <xdr:to>
      <xdr:col>27</xdr:col>
      <xdr:colOff>183900</xdr:colOff>
      <xdr:row>628</xdr:row>
      <xdr:rowOff>53371</xdr:rowOff>
    </xdr:to>
    <xdr:sp macro="" textlink="">
      <xdr:nvSpPr>
        <xdr:cNvPr id="1640" name="テキスト ボックス 1639">
          <a:extLst>
            <a:ext uri="{FF2B5EF4-FFF2-40B4-BE49-F238E27FC236}">
              <a16:creationId xmlns:a16="http://schemas.microsoft.com/office/drawing/2014/main" id="{7E7DFC1D-27F2-4BF3-9EE3-8DC5ECAD2149}"/>
            </a:ext>
          </a:extLst>
        </xdr:cNvPr>
        <xdr:cNvSpPr txBox="1"/>
      </xdr:nvSpPr>
      <xdr:spPr>
        <a:xfrm>
          <a:off x="4395391" y="74881305"/>
          <a:ext cx="1176938" cy="229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18</xdr:col>
      <xdr:colOff>54428</xdr:colOff>
      <xdr:row>621</xdr:row>
      <xdr:rowOff>128817</xdr:rowOff>
    </xdr:from>
    <xdr:to>
      <xdr:col>18</xdr:col>
      <xdr:colOff>58115</xdr:colOff>
      <xdr:row>624</xdr:row>
      <xdr:rowOff>54429</xdr:rowOff>
    </xdr:to>
    <xdr:cxnSp macro="">
      <xdr:nvCxnSpPr>
        <xdr:cNvPr id="1641" name="直線矢印コネクタ 1640">
          <a:extLst>
            <a:ext uri="{FF2B5EF4-FFF2-40B4-BE49-F238E27FC236}">
              <a16:creationId xmlns:a16="http://schemas.microsoft.com/office/drawing/2014/main" id="{796B9D7F-E24D-40A6-AE1B-ACDC6B505805}"/>
            </a:ext>
          </a:extLst>
        </xdr:cNvPr>
        <xdr:cNvCxnSpPr>
          <a:cxnSpLocks/>
          <a:stCxn id="472" idx="2"/>
        </xdr:cNvCxnSpPr>
      </xdr:nvCxnSpPr>
      <xdr:spPr>
        <a:xfrm flipH="1">
          <a:off x="3646714" y="89319103"/>
          <a:ext cx="3687" cy="44268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132512</xdr:colOff>
      <xdr:row>31</xdr:row>
      <xdr:rowOff>84983</xdr:rowOff>
    </xdr:from>
    <xdr:to>
      <xdr:col>39</xdr:col>
      <xdr:colOff>129899</xdr:colOff>
      <xdr:row>34</xdr:row>
      <xdr:rowOff>29326</xdr:rowOff>
    </xdr:to>
    <xdr:cxnSp macro="">
      <xdr:nvCxnSpPr>
        <xdr:cNvPr id="5" name="コネクタ: カギ線 779">
          <a:extLst>
            <a:ext uri="{FF2B5EF4-FFF2-40B4-BE49-F238E27FC236}">
              <a16:creationId xmlns:a16="http://schemas.microsoft.com/office/drawing/2014/main" id="{B82ED833-C127-4C99-BA02-1901BC0D8571}"/>
            </a:ext>
          </a:extLst>
        </xdr:cNvPr>
        <xdr:cNvCxnSpPr>
          <a:stCxn id="100" idx="2"/>
          <a:endCxn id="132" idx="1"/>
        </xdr:cNvCxnSpPr>
      </xdr:nvCxnSpPr>
      <xdr:spPr>
        <a:xfrm rot="16200000" flipH="1">
          <a:off x="7067460" y="4916211"/>
          <a:ext cx="448608" cy="1409328"/>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14676</xdr:colOff>
      <xdr:row>29</xdr:row>
      <xdr:rowOff>98263</xdr:rowOff>
    </xdr:from>
    <xdr:to>
      <xdr:col>38</xdr:col>
      <xdr:colOff>118409</xdr:colOff>
      <xdr:row>32</xdr:row>
      <xdr:rowOff>104215</xdr:rowOff>
    </xdr:to>
    <xdr:grpSp>
      <xdr:nvGrpSpPr>
        <xdr:cNvPr id="29" name="グループ化 782">
          <a:extLst>
            <a:ext uri="{FF2B5EF4-FFF2-40B4-BE49-F238E27FC236}">
              <a16:creationId xmlns:a16="http://schemas.microsoft.com/office/drawing/2014/main" id="{EE9121A9-B09D-C000-4F29-754579E7B713}"/>
            </a:ext>
          </a:extLst>
        </xdr:cNvPr>
        <xdr:cNvGrpSpPr/>
      </xdr:nvGrpSpPr>
      <xdr:grpSpPr>
        <a:xfrm>
          <a:off x="5986851" y="5165563"/>
          <a:ext cx="1008608" cy="520302"/>
          <a:chOff x="4401349" y="5661025"/>
          <a:chExt cx="1006217" cy="529847"/>
        </a:xfrm>
      </xdr:grpSpPr>
      <xdr:sp macro="" textlink="">
        <xdr:nvSpPr>
          <xdr:cNvPr id="32" name="AutoShape 49">
            <a:extLst>
              <a:ext uri="{FF2B5EF4-FFF2-40B4-BE49-F238E27FC236}">
                <a16:creationId xmlns:a16="http://schemas.microsoft.com/office/drawing/2014/main" id="{C99EF52A-9F7E-77F2-54F2-FB566211F0EA}"/>
              </a:ext>
            </a:extLst>
          </xdr:cNvPr>
          <xdr:cNvSpPr>
            <a:spLocks noChangeArrowheads="1"/>
          </xdr:cNvSpPr>
        </xdr:nvSpPr>
        <xdr:spPr bwMode="gray">
          <a:xfrm>
            <a:off x="4506324"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4" name="正方形/長方形 48">
            <a:extLst>
              <a:ext uri="{FF2B5EF4-FFF2-40B4-BE49-F238E27FC236}">
                <a16:creationId xmlns:a16="http://schemas.microsoft.com/office/drawing/2014/main" id="{9F4CF5B6-0EE6-1820-5006-3263D3F4E2C2}"/>
              </a:ext>
            </a:extLst>
          </xdr:cNvPr>
          <xdr:cNvSpPr/>
        </xdr:nvSpPr>
        <xdr:spPr>
          <a:xfrm>
            <a:off x="4401349" y="5661025"/>
            <a:ext cx="1006217" cy="5298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指図マスタ</a:t>
            </a:r>
            <a:endParaRPr kumimoji="1" lang="en-US" altLang="ja-JP" sz="900"/>
          </a:p>
          <a:p>
            <a:pPr algn="ctr"/>
            <a:r>
              <a:rPr kumimoji="1" lang="ja-JP" altLang="en-US" sz="900"/>
              <a:t>情報連携</a:t>
            </a:r>
          </a:p>
        </xdr:txBody>
      </xdr:sp>
    </xdr:grpSp>
    <xdr:clientData/>
  </xdr:twoCellAnchor>
  <xdr:twoCellAnchor>
    <xdr:from>
      <xdr:col>32</xdr:col>
      <xdr:colOff>149447</xdr:colOff>
      <xdr:row>136</xdr:row>
      <xdr:rowOff>14542</xdr:rowOff>
    </xdr:from>
    <xdr:to>
      <xdr:col>39</xdr:col>
      <xdr:colOff>53657</xdr:colOff>
      <xdr:row>139</xdr:row>
      <xdr:rowOff>136071</xdr:rowOff>
    </xdr:to>
    <xdr:cxnSp macro="">
      <xdr:nvCxnSpPr>
        <xdr:cNvPr id="35" name="コネクタ: カギ線 779">
          <a:extLst>
            <a:ext uri="{FF2B5EF4-FFF2-40B4-BE49-F238E27FC236}">
              <a16:creationId xmlns:a16="http://schemas.microsoft.com/office/drawing/2014/main" id="{C90D9E4B-8E4D-4E8E-8233-A7367EF6EA11}"/>
            </a:ext>
          </a:extLst>
        </xdr:cNvPr>
        <xdr:cNvCxnSpPr>
          <a:stCxn id="1412" idx="3"/>
          <a:endCxn id="1593" idx="1"/>
        </xdr:cNvCxnSpPr>
      </xdr:nvCxnSpPr>
      <xdr:spPr>
        <a:xfrm rot="16200000" flipH="1">
          <a:off x="6949214" y="22630216"/>
          <a:ext cx="625794" cy="1316151"/>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91902</xdr:colOff>
      <xdr:row>134</xdr:row>
      <xdr:rowOff>30443</xdr:rowOff>
    </xdr:from>
    <xdr:to>
      <xdr:col>39</xdr:col>
      <xdr:colOff>3455</xdr:colOff>
      <xdr:row>137</xdr:row>
      <xdr:rowOff>42744</xdr:rowOff>
    </xdr:to>
    <xdr:grpSp>
      <xdr:nvGrpSpPr>
        <xdr:cNvPr id="36" name="グループ化 782">
          <a:extLst>
            <a:ext uri="{FF2B5EF4-FFF2-40B4-BE49-F238E27FC236}">
              <a16:creationId xmlns:a16="http://schemas.microsoft.com/office/drawing/2014/main" id="{84364C54-559B-4194-918A-836232265AC4}"/>
            </a:ext>
          </a:extLst>
        </xdr:cNvPr>
        <xdr:cNvGrpSpPr/>
      </xdr:nvGrpSpPr>
      <xdr:grpSpPr>
        <a:xfrm>
          <a:off x="6064077" y="23166668"/>
          <a:ext cx="997403" cy="526651"/>
          <a:chOff x="4401349" y="5661025"/>
          <a:chExt cx="1006217" cy="529847"/>
        </a:xfrm>
      </xdr:grpSpPr>
      <xdr:sp macro="" textlink="">
        <xdr:nvSpPr>
          <xdr:cNvPr id="37" name="AutoShape 49">
            <a:extLst>
              <a:ext uri="{FF2B5EF4-FFF2-40B4-BE49-F238E27FC236}">
                <a16:creationId xmlns:a16="http://schemas.microsoft.com/office/drawing/2014/main" id="{A0154AB1-D62D-5919-DE44-89F4EB59570B}"/>
              </a:ext>
            </a:extLst>
          </xdr:cNvPr>
          <xdr:cNvSpPr>
            <a:spLocks noChangeArrowheads="1"/>
          </xdr:cNvSpPr>
        </xdr:nvSpPr>
        <xdr:spPr bwMode="gray">
          <a:xfrm>
            <a:off x="4506324" y="5730875"/>
            <a:ext cx="876300" cy="425450"/>
          </a:xfrm>
          <a:prstGeom prst="flowChartOnlineStorage">
            <a:avLst/>
          </a:prstGeom>
          <a:solidFill>
            <a:schemeClr val="bg1"/>
          </a:solidFill>
          <a:ln w="9525" algn="ctr">
            <a:solidFill>
              <a:schemeClr val="tx1"/>
            </a:solidFill>
            <a:miter lim="800000"/>
            <a:headEnd/>
            <a:tailEnd/>
          </a:ln>
          <a:effectLst/>
        </xdr:spPr>
        <xdr:txBody>
          <a:bodyPr wrap="square" anchor="ctr"/>
          <a:lstStyle>
            <a:defPPr>
              <a:defRPr lang="ja-JP"/>
            </a:defPPr>
            <a:lvl1pPr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1pPr>
            <a:lvl2pPr marL="4572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2pPr>
            <a:lvl3pPr marL="9144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3pPr>
            <a:lvl4pPr marL="13716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4pPr>
            <a:lvl5pPr marL="1828800" algn="ctr" rtl="0" fontAlgn="base">
              <a:spcBef>
                <a:spcPct val="0"/>
              </a:spcBef>
              <a:spcAft>
                <a:spcPct val="0"/>
              </a:spcAft>
              <a:defRPr kumimoji="1" kern="1200">
                <a:solidFill>
                  <a:schemeClr val="tx1"/>
                </a:solidFill>
                <a:latin typeface="MS UI Gothic" panose="020B0600070205080204" pitchFamily="50" charset="-128"/>
                <a:ea typeface="MS UI Gothic" panose="020B0600070205080204" pitchFamily="50" charset="-128"/>
                <a:cs typeface="+mn-cs"/>
              </a:defRPr>
            </a:lvl5pPr>
            <a:lvl6pPr marL="22860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6pPr>
            <a:lvl7pPr marL="27432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7pPr>
            <a:lvl8pPr marL="32004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8pPr>
            <a:lvl9pPr marL="3657600" algn="l" defTabSz="914400" rtl="0" eaLnBrk="1" latinLnBrk="0" hangingPunct="1">
              <a:defRPr kumimoji="1" kern="1200">
                <a:solidFill>
                  <a:schemeClr val="tx1"/>
                </a:solidFill>
                <a:latin typeface="MS UI Gothic" panose="020B0600070205080204" pitchFamily="50" charset="-128"/>
                <a:ea typeface="MS UI Gothic" panose="020B0600070205080204" pitchFamily="50" charset="-128"/>
                <a:cs typeface="+mn-cs"/>
              </a:defRPr>
            </a:lvl9pPr>
          </a:lstStyle>
          <a:p>
            <a:pPr marL="0" marR="0" lvl="0" indent="0" algn="ctr" defTabSz="914400" rtl="0" eaLnBrk="1" fontAlgn="base" latinLnBrk="0" hangingPunct="1">
              <a:lnSpc>
                <a:spcPct val="100000"/>
              </a:lnSpc>
              <a:spcBef>
                <a:spcPct val="0"/>
              </a:spcBef>
              <a:spcAft>
                <a:spcPct val="0"/>
              </a:spcAft>
              <a:buClrTx/>
              <a:buSzTx/>
              <a:buFontTx/>
              <a:buNone/>
              <a:tabLst/>
              <a:defRPr/>
            </a:pPr>
            <a:endParaRPr lang="ja-JP" altLang="ja-JP" sz="800">
              <a:effectLst/>
              <a:latin typeface="+mj-ea"/>
              <a:ea typeface="+mj-ea"/>
            </a:endParaRPr>
          </a:p>
        </xdr:txBody>
      </xdr:sp>
      <xdr:sp macro="" textlink="">
        <xdr:nvSpPr>
          <xdr:cNvPr id="38" name="正方形/長方形 48">
            <a:extLst>
              <a:ext uri="{FF2B5EF4-FFF2-40B4-BE49-F238E27FC236}">
                <a16:creationId xmlns:a16="http://schemas.microsoft.com/office/drawing/2014/main" id="{40DD8B57-3DAF-E1C3-A35D-D8E751FE6078}"/>
              </a:ext>
            </a:extLst>
          </xdr:cNvPr>
          <xdr:cNvSpPr/>
        </xdr:nvSpPr>
        <xdr:spPr>
          <a:xfrm>
            <a:off x="4401349" y="5661025"/>
            <a:ext cx="1006217" cy="52984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指図マスタ</a:t>
            </a:r>
            <a:endParaRPr kumimoji="1" lang="en-US" altLang="ja-JP" sz="900"/>
          </a:p>
          <a:p>
            <a:pPr algn="ctr"/>
            <a:r>
              <a:rPr kumimoji="1" lang="ja-JP" altLang="en-US" sz="900"/>
              <a:t>情報連携</a:t>
            </a:r>
          </a:p>
        </xdr:txBody>
      </xdr:sp>
    </xdr:grpSp>
    <xdr:clientData/>
  </xdr:twoCellAnchor>
  <xdr:twoCellAnchor>
    <xdr:from>
      <xdr:col>18</xdr:col>
      <xdr:colOff>158875</xdr:colOff>
      <xdr:row>48</xdr:row>
      <xdr:rowOff>95537</xdr:rowOff>
    </xdr:from>
    <xdr:to>
      <xdr:col>18</xdr:col>
      <xdr:colOff>163150</xdr:colOff>
      <xdr:row>52</xdr:row>
      <xdr:rowOff>17321</xdr:rowOff>
    </xdr:to>
    <xdr:cxnSp macro="">
      <xdr:nvCxnSpPr>
        <xdr:cNvPr id="69" name="直線矢印コネクタ 27">
          <a:extLst>
            <a:ext uri="{FF2B5EF4-FFF2-40B4-BE49-F238E27FC236}">
              <a16:creationId xmlns:a16="http://schemas.microsoft.com/office/drawing/2014/main" id="{01E29C78-1499-4510-95C5-598A3A795252}"/>
            </a:ext>
          </a:extLst>
        </xdr:cNvPr>
        <xdr:cNvCxnSpPr>
          <a:cxnSpLocks/>
          <a:stCxn id="329" idx="2"/>
          <a:endCxn id="1309" idx="0"/>
        </xdr:cNvCxnSpPr>
      </xdr:nvCxnSpPr>
      <xdr:spPr>
        <a:xfrm>
          <a:off x="3789581" y="8264625"/>
          <a:ext cx="4275" cy="59413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124581</xdr:colOff>
      <xdr:row>48</xdr:row>
      <xdr:rowOff>88639</xdr:rowOff>
    </xdr:from>
    <xdr:to>
      <xdr:col>4</xdr:col>
      <xdr:colOff>127829</xdr:colOff>
      <xdr:row>52</xdr:row>
      <xdr:rowOff>26549</xdr:rowOff>
    </xdr:to>
    <xdr:cxnSp macro="">
      <xdr:nvCxnSpPr>
        <xdr:cNvPr id="72" name="直線矢印コネクタ 27">
          <a:extLst>
            <a:ext uri="{FF2B5EF4-FFF2-40B4-BE49-F238E27FC236}">
              <a16:creationId xmlns:a16="http://schemas.microsoft.com/office/drawing/2014/main" id="{53E3E7F7-63A7-441D-B683-EC4304A2F4FD}"/>
            </a:ext>
          </a:extLst>
        </xdr:cNvPr>
        <xdr:cNvCxnSpPr>
          <a:cxnSpLocks/>
          <a:stCxn id="1254" idx="2"/>
          <a:endCxn id="549" idx="0"/>
        </xdr:cNvCxnSpPr>
      </xdr:nvCxnSpPr>
      <xdr:spPr>
        <a:xfrm>
          <a:off x="931405" y="8257727"/>
          <a:ext cx="3248" cy="61026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195151</xdr:colOff>
      <xdr:row>569</xdr:row>
      <xdr:rowOff>42207</xdr:rowOff>
    </xdr:from>
    <xdr:to>
      <xdr:col>34</xdr:col>
      <xdr:colOff>172362</xdr:colOff>
      <xdr:row>572</xdr:row>
      <xdr:rowOff>150564</xdr:rowOff>
    </xdr:to>
    <xdr:grpSp>
      <xdr:nvGrpSpPr>
        <xdr:cNvPr id="12" name="グループ化 92">
          <a:extLst>
            <a:ext uri="{FF2B5EF4-FFF2-40B4-BE49-F238E27FC236}">
              <a16:creationId xmlns:a16="http://schemas.microsoft.com/office/drawing/2014/main" id="{1AB4B589-47AB-4F58-A497-0EB7EAE34E81}"/>
            </a:ext>
          </a:extLst>
        </xdr:cNvPr>
        <xdr:cNvGrpSpPr/>
      </xdr:nvGrpSpPr>
      <xdr:grpSpPr>
        <a:xfrm>
          <a:off x="5614876" y="97759182"/>
          <a:ext cx="710636" cy="622707"/>
          <a:chOff x="7144737" y="2892425"/>
          <a:chExt cx="763434" cy="597682"/>
        </a:xfrm>
      </xdr:grpSpPr>
      <xdr:sp macro="" textlink="">
        <xdr:nvSpPr>
          <xdr:cNvPr id="23" name="フローチャート: 磁気ディスク 93">
            <a:extLst>
              <a:ext uri="{FF2B5EF4-FFF2-40B4-BE49-F238E27FC236}">
                <a16:creationId xmlns:a16="http://schemas.microsoft.com/office/drawing/2014/main" id="{9DB62D5C-0C83-54F8-F20E-B9D00C4631C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7" name="正方形/長方形 94">
            <a:extLst>
              <a:ext uri="{FF2B5EF4-FFF2-40B4-BE49-F238E27FC236}">
                <a16:creationId xmlns:a16="http://schemas.microsoft.com/office/drawing/2014/main" id="{7735C3EA-1761-5609-63E7-2D9069F857D7}"/>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7</xdr:col>
      <xdr:colOff>141620</xdr:colOff>
      <xdr:row>570</xdr:row>
      <xdr:rowOff>127435</xdr:rowOff>
    </xdr:from>
    <xdr:to>
      <xdr:col>31</xdr:col>
      <xdr:colOff>56830</xdr:colOff>
      <xdr:row>570</xdr:row>
      <xdr:rowOff>150377</xdr:rowOff>
    </xdr:to>
    <xdr:cxnSp macro="">
      <xdr:nvCxnSpPr>
        <xdr:cNvPr id="68" name="直線矢印コネクタ 67">
          <a:extLst>
            <a:ext uri="{FF2B5EF4-FFF2-40B4-BE49-F238E27FC236}">
              <a16:creationId xmlns:a16="http://schemas.microsoft.com/office/drawing/2014/main" id="{C1B226E9-3A68-4F8B-932D-484C482E0190}"/>
            </a:ext>
          </a:extLst>
        </xdr:cNvPr>
        <xdr:cNvCxnSpPr>
          <a:cxnSpLocks/>
          <a:stCxn id="135" idx="3"/>
          <a:endCxn id="23" idx="2"/>
        </xdr:cNvCxnSpPr>
      </xdr:nvCxnSpPr>
      <xdr:spPr>
        <a:xfrm>
          <a:off x="1558464" y="83411654"/>
          <a:ext cx="4772960" cy="2294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160226</xdr:colOff>
      <xdr:row>575</xdr:row>
      <xdr:rowOff>103060</xdr:rowOff>
    </xdr:from>
    <xdr:to>
      <xdr:col>34</xdr:col>
      <xdr:colOff>134262</xdr:colOff>
      <xdr:row>579</xdr:row>
      <xdr:rowOff>44586</xdr:rowOff>
    </xdr:to>
    <xdr:grpSp>
      <xdr:nvGrpSpPr>
        <xdr:cNvPr id="70" name="グループ化 92">
          <a:extLst>
            <a:ext uri="{FF2B5EF4-FFF2-40B4-BE49-F238E27FC236}">
              <a16:creationId xmlns:a16="http://schemas.microsoft.com/office/drawing/2014/main" id="{40ABFE10-BFDE-4936-97EB-A3307E5035FA}"/>
            </a:ext>
          </a:extLst>
        </xdr:cNvPr>
        <xdr:cNvGrpSpPr/>
      </xdr:nvGrpSpPr>
      <xdr:grpSpPr>
        <a:xfrm>
          <a:off x="5589476" y="98848735"/>
          <a:ext cx="697936" cy="627326"/>
          <a:chOff x="7144737" y="2892425"/>
          <a:chExt cx="763434" cy="597682"/>
        </a:xfrm>
      </xdr:grpSpPr>
      <xdr:sp macro="" textlink="">
        <xdr:nvSpPr>
          <xdr:cNvPr id="71" name="フローチャート: 磁気ディスク 93">
            <a:extLst>
              <a:ext uri="{FF2B5EF4-FFF2-40B4-BE49-F238E27FC236}">
                <a16:creationId xmlns:a16="http://schemas.microsoft.com/office/drawing/2014/main" id="{C311903A-50AF-2129-DAA1-81F459F10A1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 name="正方形/長方形 94">
            <a:extLst>
              <a:ext uri="{FF2B5EF4-FFF2-40B4-BE49-F238E27FC236}">
                <a16:creationId xmlns:a16="http://schemas.microsoft.com/office/drawing/2014/main" id="{264D00D9-D424-6427-9E2D-9566F2258976}"/>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141621</xdr:colOff>
      <xdr:row>577</xdr:row>
      <xdr:rowOff>26968</xdr:rowOff>
    </xdr:from>
    <xdr:to>
      <xdr:col>31</xdr:col>
      <xdr:colOff>21658</xdr:colOff>
      <xdr:row>577</xdr:row>
      <xdr:rowOff>45903</xdr:rowOff>
    </xdr:to>
    <xdr:cxnSp macro="">
      <xdr:nvCxnSpPr>
        <xdr:cNvPr id="74" name="直線矢印コネクタ 73">
          <a:extLst>
            <a:ext uri="{FF2B5EF4-FFF2-40B4-BE49-F238E27FC236}">
              <a16:creationId xmlns:a16="http://schemas.microsoft.com/office/drawing/2014/main" id="{AEA995F3-244A-4938-9372-1B065149C4F1}"/>
            </a:ext>
          </a:extLst>
        </xdr:cNvPr>
        <xdr:cNvCxnSpPr>
          <a:cxnSpLocks/>
          <a:stCxn id="139" idx="3"/>
          <a:endCxn id="71" idx="2"/>
        </xdr:cNvCxnSpPr>
      </xdr:nvCxnSpPr>
      <xdr:spPr>
        <a:xfrm>
          <a:off x="2975309" y="84477999"/>
          <a:ext cx="3320943" cy="1893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1023</xdr:colOff>
      <xdr:row>591</xdr:row>
      <xdr:rowOff>140842</xdr:rowOff>
    </xdr:from>
    <xdr:to>
      <xdr:col>34</xdr:col>
      <xdr:colOff>177805</xdr:colOff>
      <xdr:row>595</xdr:row>
      <xdr:rowOff>75193</xdr:rowOff>
    </xdr:to>
    <xdr:grpSp>
      <xdr:nvGrpSpPr>
        <xdr:cNvPr id="75" name="グループ化 92">
          <a:extLst>
            <a:ext uri="{FF2B5EF4-FFF2-40B4-BE49-F238E27FC236}">
              <a16:creationId xmlns:a16="http://schemas.microsoft.com/office/drawing/2014/main" id="{0B6F0878-5A39-4EBE-B751-09FD6EC10837}"/>
            </a:ext>
          </a:extLst>
        </xdr:cNvPr>
        <xdr:cNvGrpSpPr/>
      </xdr:nvGrpSpPr>
      <xdr:grpSpPr>
        <a:xfrm>
          <a:off x="5611248" y="101629717"/>
          <a:ext cx="719707" cy="620151"/>
          <a:chOff x="7144737" y="2892425"/>
          <a:chExt cx="763434" cy="597681"/>
        </a:xfrm>
      </xdr:grpSpPr>
      <xdr:sp macro="" textlink="">
        <xdr:nvSpPr>
          <xdr:cNvPr id="76" name="フローチャート: 磁気ディスク 93">
            <a:extLst>
              <a:ext uri="{FF2B5EF4-FFF2-40B4-BE49-F238E27FC236}">
                <a16:creationId xmlns:a16="http://schemas.microsoft.com/office/drawing/2014/main" id="{5394DE9A-085C-17D1-60A6-51334211339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 name="正方形/長方形 94">
            <a:extLst>
              <a:ext uri="{FF2B5EF4-FFF2-40B4-BE49-F238E27FC236}">
                <a16:creationId xmlns:a16="http://schemas.microsoft.com/office/drawing/2014/main" id="{7DBEEFFC-E247-1ADC-BBDD-6AE7D4743CFC}"/>
              </a:ext>
            </a:extLst>
          </xdr:cNvPr>
          <xdr:cNvSpPr/>
        </xdr:nvSpPr>
        <xdr:spPr>
          <a:xfrm>
            <a:off x="7144737" y="2984499"/>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14</xdr:col>
      <xdr:colOff>179268</xdr:colOff>
      <xdr:row>593</xdr:row>
      <xdr:rowOff>59740</xdr:rowOff>
    </xdr:from>
    <xdr:to>
      <xdr:col>31</xdr:col>
      <xdr:colOff>62206</xdr:colOff>
      <xdr:row>593</xdr:row>
      <xdr:rowOff>79040</xdr:rowOff>
    </xdr:to>
    <xdr:cxnSp macro="">
      <xdr:nvCxnSpPr>
        <xdr:cNvPr id="89" name="直線矢印コネクタ 88">
          <a:extLst>
            <a:ext uri="{FF2B5EF4-FFF2-40B4-BE49-F238E27FC236}">
              <a16:creationId xmlns:a16="http://schemas.microsoft.com/office/drawing/2014/main" id="{0F19EE11-0B43-4809-8B56-7B5750E97B89}"/>
            </a:ext>
          </a:extLst>
        </xdr:cNvPr>
        <xdr:cNvCxnSpPr>
          <a:cxnSpLocks/>
          <a:stCxn id="234" idx="3"/>
          <a:endCxn id="76" idx="2"/>
        </xdr:cNvCxnSpPr>
      </xdr:nvCxnSpPr>
      <xdr:spPr>
        <a:xfrm>
          <a:off x="3012956" y="87177771"/>
          <a:ext cx="3323844" cy="1930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180082</xdr:colOff>
      <xdr:row>586</xdr:row>
      <xdr:rowOff>57161</xdr:rowOff>
    </xdr:from>
    <xdr:to>
      <xdr:col>34</xdr:col>
      <xdr:colOff>163643</xdr:colOff>
      <xdr:row>589</xdr:row>
      <xdr:rowOff>165519</xdr:rowOff>
    </xdr:to>
    <xdr:grpSp>
      <xdr:nvGrpSpPr>
        <xdr:cNvPr id="91" name="グループ化 92">
          <a:extLst>
            <a:ext uri="{FF2B5EF4-FFF2-40B4-BE49-F238E27FC236}">
              <a16:creationId xmlns:a16="http://schemas.microsoft.com/office/drawing/2014/main" id="{0DA80040-36BA-456B-898B-FE2146B30322}"/>
            </a:ext>
          </a:extLst>
        </xdr:cNvPr>
        <xdr:cNvGrpSpPr/>
      </xdr:nvGrpSpPr>
      <xdr:grpSpPr>
        <a:xfrm>
          <a:off x="5609332" y="100688786"/>
          <a:ext cx="707461" cy="622708"/>
          <a:chOff x="7144737" y="2892425"/>
          <a:chExt cx="763434" cy="597682"/>
        </a:xfrm>
      </xdr:grpSpPr>
      <xdr:sp macro="" textlink="">
        <xdr:nvSpPr>
          <xdr:cNvPr id="92" name="フローチャート: 磁気ディスク 93">
            <a:extLst>
              <a:ext uri="{FF2B5EF4-FFF2-40B4-BE49-F238E27FC236}">
                <a16:creationId xmlns:a16="http://schemas.microsoft.com/office/drawing/2014/main" id="{6136EA43-E305-D70B-2390-10A9F2BD798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4" name="正方形/長方形 94">
            <a:extLst>
              <a:ext uri="{FF2B5EF4-FFF2-40B4-BE49-F238E27FC236}">
                <a16:creationId xmlns:a16="http://schemas.microsoft.com/office/drawing/2014/main" id="{9946F5FA-EE53-937E-84B4-8A183DB55EB1}"/>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仕訳帳</a:t>
            </a:r>
            <a:endParaRPr kumimoji="1" lang="en-US" altLang="ja-JP" sz="900"/>
          </a:p>
        </xdr:txBody>
      </xdr:sp>
    </xdr:grpSp>
    <xdr:clientData/>
  </xdr:twoCellAnchor>
  <xdr:twoCellAnchor>
    <xdr:from>
      <xdr:col>7</xdr:col>
      <xdr:colOff>44450</xdr:colOff>
      <xdr:row>587</xdr:row>
      <xdr:rowOff>155807</xdr:rowOff>
    </xdr:from>
    <xdr:to>
      <xdr:col>31</xdr:col>
      <xdr:colOff>39326</xdr:colOff>
      <xdr:row>588</xdr:row>
      <xdr:rowOff>41274</xdr:rowOff>
    </xdr:to>
    <xdr:cxnSp macro="">
      <xdr:nvCxnSpPr>
        <xdr:cNvPr id="109" name="直線矢印コネクタ 108">
          <a:extLst>
            <a:ext uri="{FF2B5EF4-FFF2-40B4-BE49-F238E27FC236}">
              <a16:creationId xmlns:a16="http://schemas.microsoft.com/office/drawing/2014/main" id="{FE144F92-A207-4570-9274-E4E72A2AE355}"/>
            </a:ext>
          </a:extLst>
        </xdr:cNvPr>
        <xdr:cNvCxnSpPr>
          <a:cxnSpLocks/>
          <a:endCxn id="92" idx="2"/>
        </xdr:cNvCxnSpPr>
      </xdr:nvCxnSpPr>
      <xdr:spPr>
        <a:xfrm flipV="1">
          <a:off x="1461294" y="86273713"/>
          <a:ext cx="4852626" cy="5215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67458</xdr:colOff>
      <xdr:row>569</xdr:row>
      <xdr:rowOff>75083</xdr:rowOff>
    </xdr:from>
    <xdr:to>
      <xdr:col>21</xdr:col>
      <xdr:colOff>59063</xdr:colOff>
      <xdr:row>572</xdr:row>
      <xdr:rowOff>44043</xdr:rowOff>
    </xdr:to>
    <xdr:sp macro="" textlink="">
      <xdr:nvSpPr>
        <xdr:cNvPr id="166" name="フローチャート: 定義済み処理 9">
          <a:extLst>
            <a:ext uri="{FF2B5EF4-FFF2-40B4-BE49-F238E27FC236}">
              <a16:creationId xmlns:a16="http://schemas.microsoft.com/office/drawing/2014/main" id="{A377F7B8-681C-4037-98CE-1DE4F7659164}"/>
            </a:ext>
          </a:extLst>
        </xdr:cNvPr>
        <xdr:cNvSpPr/>
      </xdr:nvSpPr>
      <xdr:spPr>
        <a:xfrm>
          <a:off x="3207822" y="9992628"/>
          <a:ext cx="972968" cy="4885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18143</xdr:colOff>
      <xdr:row>569</xdr:row>
      <xdr:rowOff>36287</xdr:rowOff>
    </xdr:from>
    <xdr:to>
      <xdr:col>21</xdr:col>
      <xdr:colOff>117567</xdr:colOff>
      <xdr:row>572</xdr:row>
      <xdr:rowOff>65092</xdr:rowOff>
    </xdr:to>
    <xdr:sp macro="" textlink="">
      <xdr:nvSpPr>
        <xdr:cNvPr id="171" name="正方形/長方形 48">
          <a:extLst>
            <a:ext uri="{FF2B5EF4-FFF2-40B4-BE49-F238E27FC236}">
              <a16:creationId xmlns:a16="http://schemas.microsoft.com/office/drawing/2014/main" id="{5205631C-2A4D-4549-8BF0-F6B533378D83}"/>
            </a:ext>
          </a:extLst>
        </xdr:cNvPr>
        <xdr:cNvSpPr/>
      </xdr:nvSpPr>
      <xdr:spPr>
        <a:xfrm>
          <a:off x="3158507" y="9953832"/>
          <a:ext cx="1080787"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分割</a:t>
          </a:r>
          <a:br>
            <a:rPr kumimoji="1" lang="en-US" altLang="ja-JP" sz="900"/>
          </a:br>
          <a:r>
            <a:rPr kumimoji="1" lang="ja-JP" altLang="en-US" sz="900"/>
            <a:t>承認申請</a:t>
          </a:r>
        </a:p>
      </xdr:txBody>
    </xdr:sp>
    <xdr:clientData/>
  </xdr:twoCellAnchor>
  <xdr:twoCellAnchor>
    <xdr:from>
      <xdr:col>18</xdr:col>
      <xdr:colOff>163047</xdr:colOff>
      <xdr:row>572</xdr:row>
      <xdr:rowOff>44042</xdr:rowOff>
    </xdr:from>
    <xdr:to>
      <xdr:col>25</xdr:col>
      <xdr:colOff>185785</xdr:colOff>
      <xdr:row>575</xdr:row>
      <xdr:rowOff>108856</xdr:rowOff>
    </xdr:to>
    <xdr:cxnSp macro="">
      <xdr:nvCxnSpPr>
        <xdr:cNvPr id="188" name="コネクタ: カギ線 187">
          <a:extLst>
            <a:ext uri="{FF2B5EF4-FFF2-40B4-BE49-F238E27FC236}">
              <a16:creationId xmlns:a16="http://schemas.microsoft.com/office/drawing/2014/main" id="{9010E5A6-B4BF-43EE-A1E3-D1E20D391A68}"/>
            </a:ext>
          </a:extLst>
        </xdr:cNvPr>
        <xdr:cNvCxnSpPr>
          <a:stCxn id="166" idx="2"/>
          <a:endCxn id="190" idx="0"/>
        </xdr:cNvCxnSpPr>
      </xdr:nvCxnSpPr>
      <xdr:spPr>
        <a:xfrm rot="16200000" flipH="1">
          <a:off x="4102100" y="10074989"/>
          <a:ext cx="584359" cy="13966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67459</xdr:colOff>
      <xdr:row>575</xdr:row>
      <xdr:rowOff>147653</xdr:rowOff>
    </xdr:from>
    <xdr:to>
      <xdr:col>28</xdr:col>
      <xdr:colOff>59064</xdr:colOff>
      <xdr:row>578</xdr:row>
      <xdr:rowOff>116613</xdr:rowOff>
    </xdr:to>
    <xdr:sp macro="" textlink="">
      <xdr:nvSpPr>
        <xdr:cNvPr id="189" name="フローチャート: 定義済み処理 9">
          <a:extLst>
            <a:ext uri="{FF2B5EF4-FFF2-40B4-BE49-F238E27FC236}">
              <a16:creationId xmlns:a16="http://schemas.microsoft.com/office/drawing/2014/main" id="{D63F4C2C-17A0-4068-AFCC-09A0790A8134}"/>
            </a:ext>
          </a:extLst>
        </xdr:cNvPr>
        <xdr:cNvSpPr/>
      </xdr:nvSpPr>
      <xdr:spPr>
        <a:xfrm>
          <a:off x="4581732" y="11104289"/>
          <a:ext cx="972968" cy="48850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36286</xdr:colOff>
      <xdr:row>575</xdr:row>
      <xdr:rowOff>108857</xdr:rowOff>
    </xdr:from>
    <xdr:to>
      <xdr:col>28</xdr:col>
      <xdr:colOff>135710</xdr:colOff>
      <xdr:row>578</xdr:row>
      <xdr:rowOff>137662</xdr:rowOff>
    </xdr:to>
    <xdr:sp macro="" textlink="">
      <xdr:nvSpPr>
        <xdr:cNvPr id="190" name="正方形/長方形 48">
          <a:extLst>
            <a:ext uri="{FF2B5EF4-FFF2-40B4-BE49-F238E27FC236}">
              <a16:creationId xmlns:a16="http://schemas.microsoft.com/office/drawing/2014/main" id="{AF64B763-C9B7-4988-BB56-8AD1D0A439C2}"/>
            </a:ext>
          </a:extLst>
        </xdr:cNvPr>
        <xdr:cNvSpPr/>
      </xdr:nvSpPr>
      <xdr:spPr>
        <a:xfrm>
          <a:off x="4550559" y="11065493"/>
          <a:ext cx="1080787"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分割の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25</xdr:col>
      <xdr:colOff>184740</xdr:colOff>
      <xdr:row>578</xdr:row>
      <xdr:rowOff>137662</xdr:rowOff>
    </xdr:from>
    <xdr:to>
      <xdr:col>25</xdr:col>
      <xdr:colOff>185784</xdr:colOff>
      <xdr:row>580</xdr:row>
      <xdr:rowOff>118043</xdr:rowOff>
    </xdr:to>
    <xdr:cxnSp macro="">
      <xdr:nvCxnSpPr>
        <xdr:cNvPr id="191" name="直線矢印コネクタ 27">
          <a:extLst>
            <a:ext uri="{FF2B5EF4-FFF2-40B4-BE49-F238E27FC236}">
              <a16:creationId xmlns:a16="http://schemas.microsoft.com/office/drawing/2014/main" id="{CB06A337-DA76-472F-9FC2-99C7CE5B9771}"/>
            </a:ext>
          </a:extLst>
        </xdr:cNvPr>
        <xdr:cNvCxnSpPr>
          <a:cxnSpLocks/>
          <a:stCxn id="190" idx="2"/>
          <a:endCxn id="197" idx="0"/>
        </xdr:cNvCxnSpPr>
      </xdr:nvCxnSpPr>
      <xdr:spPr>
        <a:xfrm flipH="1">
          <a:off x="5091558" y="11613844"/>
          <a:ext cx="1044" cy="3267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65153</xdr:colOff>
      <xdr:row>580</xdr:row>
      <xdr:rowOff>107396</xdr:rowOff>
    </xdr:from>
    <xdr:to>
      <xdr:col>28</xdr:col>
      <xdr:colOff>104755</xdr:colOff>
      <xdr:row>583</xdr:row>
      <xdr:rowOff>115421</xdr:rowOff>
    </xdr:to>
    <xdr:grpSp>
      <xdr:nvGrpSpPr>
        <xdr:cNvPr id="192" name="グループ化 191">
          <a:extLst>
            <a:ext uri="{FF2B5EF4-FFF2-40B4-BE49-F238E27FC236}">
              <a16:creationId xmlns:a16="http://schemas.microsoft.com/office/drawing/2014/main" id="{F86283FF-8850-487C-9169-54C27CD49495}"/>
            </a:ext>
          </a:extLst>
        </xdr:cNvPr>
        <xdr:cNvGrpSpPr/>
      </xdr:nvGrpSpPr>
      <xdr:grpSpPr>
        <a:xfrm>
          <a:off x="4227578" y="99710321"/>
          <a:ext cx="944477" cy="522375"/>
          <a:chOff x="287474" y="4845794"/>
          <a:chExt cx="1021504" cy="505814"/>
        </a:xfrm>
      </xdr:grpSpPr>
      <xdr:sp macro="" textlink="">
        <xdr:nvSpPr>
          <xdr:cNvPr id="195" name="フローチャート: 判断 194">
            <a:extLst>
              <a:ext uri="{FF2B5EF4-FFF2-40B4-BE49-F238E27FC236}">
                <a16:creationId xmlns:a16="http://schemas.microsoft.com/office/drawing/2014/main" id="{0902E320-47C5-E600-FCFD-9212BF0D8130}"/>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97" name="正方形/長方形 48">
            <a:extLst>
              <a:ext uri="{FF2B5EF4-FFF2-40B4-BE49-F238E27FC236}">
                <a16:creationId xmlns:a16="http://schemas.microsoft.com/office/drawing/2014/main" id="{FF8B1E41-1EB5-0881-6080-09D1538EA560}"/>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2170</xdr:colOff>
      <xdr:row>583</xdr:row>
      <xdr:rowOff>79576</xdr:rowOff>
    </xdr:from>
    <xdr:to>
      <xdr:col>28</xdr:col>
      <xdr:colOff>56536</xdr:colOff>
      <xdr:row>584</xdr:row>
      <xdr:rowOff>125409</xdr:rowOff>
    </xdr:to>
    <xdr:sp macro="" textlink="">
      <xdr:nvSpPr>
        <xdr:cNvPr id="206" name="テキスト ボックス 205">
          <a:extLst>
            <a:ext uri="{FF2B5EF4-FFF2-40B4-BE49-F238E27FC236}">
              <a16:creationId xmlns:a16="http://schemas.microsoft.com/office/drawing/2014/main" id="{DBFF1437-A565-48D5-A019-8E1E65285AC4}"/>
            </a:ext>
          </a:extLst>
        </xdr:cNvPr>
        <xdr:cNvSpPr txBox="1"/>
      </xdr:nvSpPr>
      <xdr:spPr>
        <a:xfrm>
          <a:off x="5105261" y="12421667"/>
          <a:ext cx="446911" cy="219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103413</xdr:colOff>
      <xdr:row>580</xdr:row>
      <xdr:rowOff>30844</xdr:rowOff>
    </xdr:from>
    <xdr:to>
      <xdr:col>25</xdr:col>
      <xdr:colOff>42296</xdr:colOff>
      <xdr:row>581</xdr:row>
      <xdr:rowOff>130630</xdr:rowOff>
    </xdr:to>
    <xdr:sp macro="" textlink="">
      <xdr:nvSpPr>
        <xdr:cNvPr id="213" name="テキスト ボックス 212">
          <a:extLst>
            <a:ext uri="{FF2B5EF4-FFF2-40B4-BE49-F238E27FC236}">
              <a16:creationId xmlns:a16="http://schemas.microsoft.com/office/drawing/2014/main" id="{1A84BCBF-56CA-4B56-8BA3-699A4395BB0B}"/>
            </a:ext>
          </a:extLst>
        </xdr:cNvPr>
        <xdr:cNvSpPr txBox="1"/>
      </xdr:nvSpPr>
      <xdr:spPr>
        <a:xfrm>
          <a:off x="4225140" y="11853389"/>
          <a:ext cx="723974" cy="272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25</xdr:col>
      <xdr:colOff>178738</xdr:colOff>
      <xdr:row>583</xdr:row>
      <xdr:rowOff>93364</xdr:rowOff>
    </xdr:from>
    <xdr:to>
      <xdr:col>25</xdr:col>
      <xdr:colOff>184819</xdr:colOff>
      <xdr:row>592</xdr:row>
      <xdr:rowOff>6140</xdr:rowOff>
    </xdr:to>
    <xdr:cxnSp macro="">
      <xdr:nvCxnSpPr>
        <xdr:cNvPr id="214" name="直線矢印コネクタ 213">
          <a:extLst>
            <a:ext uri="{FF2B5EF4-FFF2-40B4-BE49-F238E27FC236}">
              <a16:creationId xmlns:a16="http://schemas.microsoft.com/office/drawing/2014/main" id="{10B12A25-7DB1-4381-AE74-AC0FA4E503E7}"/>
            </a:ext>
          </a:extLst>
        </xdr:cNvPr>
        <xdr:cNvCxnSpPr>
          <a:cxnSpLocks/>
          <a:stCxn id="195" idx="2"/>
          <a:endCxn id="221" idx="0"/>
        </xdr:cNvCxnSpPr>
      </xdr:nvCxnSpPr>
      <xdr:spPr>
        <a:xfrm>
          <a:off x="5085556" y="12435455"/>
          <a:ext cx="6081" cy="147141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180340</xdr:colOff>
      <xdr:row>582</xdr:row>
      <xdr:rowOff>14202</xdr:rowOff>
    </xdr:from>
    <xdr:to>
      <xdr:col>23</xdr:col>
      <xdr:colOff>147242</xdr:colOff>
      <xdr:row>586</xdr:row>
      <xdr:rowOff>21773</xdr:rowOff>
    </xdr:to>
    <xdr:cxnSp macro="">
      <xdr:nvCxnSpPr>
        <xdr:cNvPr id="216" name="コネクタ: カギ線 215">
          <a:extLst>
            <a:ext uri="{FF2B5EF4-FFF2-40B4-BE49-F238E27FC236}">
              <a16:creationId xmlns:a16="http://schemas.microsoft.com/office/drawing/2014/main" id="{E39A3F63-6677-47F7-97AA-3AF3D95E3BA4}"/>
            </a:ext>
          </a:extLst>
        </xdr:cNvPr>
        <xdr:cNvCxnSpPr>
          <a:stCxn id="195" idx="1"/>
          <a:endCxn id="218" idx="0"/>
        </xdr:cNvCxnSpPr>
      </xdr:nvCxnSpPr>
      <xdr:spPr>
        <a:xfrm rot="10800000" flipV="1">
          <a:off x="3713249" y="12183111"/>
          <a:ext cx="948266" cy="700298"/>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62014</xdr:colOff>
      <xdr:row>586</xdr:row>
      <xdr:rowOff>60569</xdr:rowOff>
    </xdr:from>
    <xdr:to>
      <xdr:col>21</xdr:col>
      <xdr:colOff>53619</xdr:colOff>
      <xdr:row>589</xdr:row>
      <xdr:rowOff>29530</xdr:rowOff>
    </xdr:to>
    <xdr:sp macro="" textlink="">
      <xdr:nvSpPr>
        <xdr:cNvPr id="217" name="フローチャート: 定義済み処理 9">
          <a:extLst>
            <a:ext uri="{FF2B5EF4-FFF2-40B4-BE49-F238E27FC236}">
              <a16:creationId xmlns:a16="http://schemas.microsoft.com/office/drawing/2014/main" id="{C6C8184A-53BD-41F0-ABB2-0D129DCF9E5A}"/>
            </a:ext>
          </a:extLst>
        </xdr:cNvPr>
        <xdr:cNvSpPr/>
      </xdr:nvSpPr>
      <xdr:spPr>
        <a:xfrm>
          <a:off x="3202378" y="12922205"/>
          <a:ext cx="972968" cy="488507"/>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30841</xdr:colOff>
      <xdr:row>586</xdr:row>
      <xdr:rowOff>21773</xdr:rowOff>
    </xdr:from>
    <xdr:to>
      <xdr:col>21</xdr:col>
      <xdr:colOff>130265</xdr:colOff>
      <xdr:row>589</xdr:row>
      <xdr:rowOff>50579</xdr:rowOff>
    </xdr:to>
    <xdr:sp macro="" textlink="">
      <xdr:nvSpPr>
        <xdr:cNvPr id="218" name="正方形/長方形 48">
          <a:extLst>
            <a:ext uri="{FF2B5EF4-FFF2-40B4-BE49-F238E27FC236}">
              <a16:creationId xmlns:a16="http://schemas.microsoft.com/office/drawing/2014/main" id="{9AF48E90-D50B-4540-8A5F-45C9BEA50376}"/>
            </a:ext>
          </a:extLst>
        </xdr:cNvPr>
        <xdr:cNvSpPr/>
      </xdr:nvSpPr>
      <xdr:spPr>
        <a:xfrm>
          <a:off x="3171205" y="12883409"/>
          <a:ext cx="1080787" cy="54835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不備修正</a:t>
          </a:r>
        </a:p>
      </xdr:txBody>
    </xdr:sp>
    <xdr:clientData/>
  </xdr:twoCellAnchor>
  <xdr:twoCellAnchor>
    <xdr:from>
      <xdr:col>16</xdr:col>
      <xdr:colOff>30840</xdr:colOff>
      <xdr:row>570</xdr:row>
      <xdr:rowOff>145743</xdr:rowOff>
    </xdr:from>
    <xdr:to>
      <xdr:col>16</xdr:col>
      <xdr:colOff>67457</xdr:colOff>
      <xdr:row>587</xdr:row>
      <xdr:rowOff>122356</xdr:rowOff>
    </xdr:to>
    <xdr:cxnSp macro="">
      <xdr:nvCxnSpPr>
        <xdr:cNvPr id="219" name="コネクタ: カギ線 218">
          <a:extLst>
            <a:ext uri="{FF2B5EF4-FFF2-40B4-BE49-F238E27FC236}">
              <a16:creationId xmlns:a16="http://schemas.microsoft.com/office/drawing/2014/main" id="{985DCA7B-ED0E-469F-92B6-B2AE39699204}"/>
            </a:ext>
          </a:extLst>
        </xdr:cNvPr>
        <xdr:cNvCxnSpPr>
          <a:stCxn id="218" idx="1"/>
          <a:endCxn id="166" idx="1"/>
        </xdr:cNvCxnSpPr>
      </xdr:nvCxnSpPr>
      <xdr:spPr>
        <a:xfrm rot="10800000" flipH="1">
          <a:off x="3171204" y="10236470"/>
          <a:ext cx="36617" cy="2920704"/>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194126</xdr:colOff>
      <xdr:row>582</xdr:row>
      <xdr:rowOff>48984</xdr:rowOff>
    </xdr:from>
    <xdr:to>
      <xdr:col>25</xdr:col>
      <xdr:colOff>0</xdr:colOff>
      <xdr:row>584</xdr:row>
      <xdr:rowOff>-1</xdr:rowOff>
    </xdr:to>
    <xdr:sp macro="" textlink="">
      <xdr:nvSpPr>
        <xdr:cNvPr id="220" name="テキスト ボックス 219">
          <a:extLst>
            <a:ext uri="{FF2B5EF4-FFF2-40B4-BE49-F238E27FC236}">
              <a16:creationId xmlns:a16="http://schemas.microsoft.com/office/drawing/2014/main" id="{055AF472-C6DD-4E68-8CDE-54F1CBDEF2CE}"/>
            </a:ext>
          </a:extLst>
        </xdr:cNvPr>
        <xdr:cNvSpPr txBox="1"/>
      </xdr:nvSpPr>
      <xdr:spPr>
        <a:xfrm>
          <a:off x="3727035" y="12217893"/>
          <a:ext cx="1179783" cy="297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23</xdr:col>
      <xdr:colOff>89231</xdr:colOff>
      <xdr:row>592</xdr:row>
      <xdr:rowOff>6140</xdr:rowOff>
    </xdr:from>
    <xdr:to>
      <xdr:col>28</xdr:col>
      <xdr:colOff>80836</xdr:colOff>
      <xdr:row>594</xdr:row>
      <xdr:rowOff>147458</xdr:rowOff>
    </xdr:to>
    <xdr:sp macro="" textlink="">
      <xdr:nvSpPr>
        <xdr:cNvPr id="221" name="フローチャート: 定義済み処理 9">
          <a:extLst>
            <a:ext uri="{FF2B5EF4-FFF2-40B4-BE49-F238E27FC236}">
              <a16:creationId xmlns:a16="http://schemas.microsoft.com/office/drawing/2014/main" id="{94A93CF8-C5C1-4598-81EA-96460C458C38}"/>
            </a:ext>
          </a:extLst>
        </xdr:cNvPr>
        <xdr:cNvSpPr/>
      </xdr:nvSpPr>
      <xdr:spPr>
        <a:xfrm>
          <a:off x="4603504" y="13906867"/>
          <a:ext cx="972968" cy="4876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39916</xdr:colOff>
      <xdr:row>591</xdr:row>
      <xdr:rowOff>139702</xdr:rowOff>
    </xdr:from>
    <xdr:to>
      <xdr:col>28</xdr:col>
      <xdr:colOff>139340</xdr:colOff>
      <xdr:row>594</xdr:row>
      <xdr:rowOff>168507</xdr:rowOff>
    </xdr:to>
    <xdr:sp macro="" textlink="">
      <xdr:nvSpPr>
        <xdr:cNvPr id="223" name="正方形/長方形 48">
          <a:extLst>
            <a:ext uri="{FF2B5EF4-FFF2-40B4-BE49-F238E27FC236}">
              <a16:creationId xmlns:a16="http://schemas.microsoft.com/office/drawing/2014/main" id="{CF150C64-EFB1-420A-9505-78570C43CE19}"/>
            </a:ext>
          </a:extLst>
        </xdr:cNvPr>
        <xdr:cNvSpPr/>
      </xdr:nvSpPr>
      <xdr:spPr>
        <a:xfrm>
          <a:off x="4554189" y="13867247"/>
          <a:ext cx="1080787" cy="5483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自動転記バッチ</a:t>
          </a:r>
        </a:p>
      </xdr:txBody>
    </xdr:sp>
    <xdr:clientData/>
  </xdr:twoCellAnchor>
  <xdr:twoCellAnchor>
    <xdr:from>
      <xdr:col>21</xdr:col>
      <xdr:colOff>183448</xdr:colOff>
      <xdr:row>572</xdr:row>
      <xdr:rowOff>39447</xdr:rowOff>
    </xdr:from>
    <xdr:to>
      <xdr:col>27</xdr:col>
      <xdr:colOff>166255</xdr:colOff>
      <xdr:row>573</xdr:row>
      <xdr:rowOff>96981</xdr:rowOff>
    </xdr:to>
    <xdr:sp macro="" textlink="">
      <xdr:nvSpPr>
        <xdr:cNvPr id="232" name="テキスト ボックス 231">
          <a:extLst>
            <a:ext uri="{FF2B5EF4-FFF2-40B4-BE49-F238E27FC236}">
              <a16:creationId xmlns:a16="http://schemas.microsoft.com/office/drawing/2014/main" id="{1693C646-6EED-424E-98FB-2EAC1D749F7D}"/>
            </a:ext>
          </a:extLst>
        </xdr:cNvPr>
        <xdr:cNvSpPr txBox="1"/>
      </xdr:nvSpPr>
      <xdr:spPr>
        <a:xfrm>
          <a:off x="4305175" y="10476538"/>
          <a:ext cx="1160444" cy="230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xdr:col>
      <xdr:colOff>173701</xdr:colOff>
      <xdr:row>551</xdr:row>
      <xdr:rowOff>68264</xdr:rowOff>
    </xdr:from>
    <xdr:to>
      <xdr:col>6</xdr:col>
      <xdr:colOff>87334</xdr:colOff>
      <xdr:row>552</xdr:row>
      <xdr:rowOff>160587</xdr:rowOff>
    </xdr:to>
    <xdr:sp macro="" textlink="">
      <xdr:nvSpPr>
        <xdr:cNvPr id="52" name="フローチャート: 端子 26">
          <a:extLst>
            <a:ext uri="{FF2B5EF4-FFF2-40B4-BE49-F238E27FC236}">
              <a16:creationId xmlns:a16="http://schemas.microsoft.com/office/drawing/2014/main" id="{3518B332-99FE-49EE-8F77-15E3C1FA2957}"/>
            </a:ext>
          </a:extLst>
        </xdr:cNvPr>
        <xdr:cNvSpPr/>
      </xdr:nvSpPr>
      <xdr:spPr>
        <a:xfrm>
          <a:off x="578514" y="80185420"/>
          <a:ext cx="723258" cy="25901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xdr:col>
      <xdr:colOff>163512</xdr:colOff>
      <xdr:row>561</xdr:row>
      <xdr:rowOff>119115</xdr:rowOff>
    </xdr:from>
    <xdr:to>
      <xdr:col>7</xdr:col>
      <xdr:colOff>49340</xdr:colOff>
      <xdr:row>564</xdr:row>
      <xdr:rowOff>141571</xdr:rowOff>
    </xdr:to>
    <xdr:grpSp>
      <xdr:nvGrpSpPr>
        <xdr:cNvPr id="64" name="グループ化 8">
          <a:extLst>
            <a:ext uri="{FF2B5EF4-FFF2-40B4-BE49-F238E27FC236}">
              <a16:creationId xmlns:a16="http://schemas.microsoft.com/office/drawing/2014/main" id="{063F6072-85A4-4436-99FA-C9CDD94393ED}"/>
            </a:ext>
          </a:extLst>
        </xdr:cNvPr>
        <xdr:cNvGrpSpPr/>
      </xdr:nvGrpSpPr>
      <xdr:grpSpPr>
        <a:xfrm>
          <a:off x="344487" y="96464490"/>
          <a:ext cx="971678" cy="536806"/>
          <a:chOff x="1615543" y="2430783"/>
          <a:chExt cx="908902" cy="422628"/>
        </a:xfrm>
      </xdr:grpSpPr>
      <xdr:sp macro="" textlink="">
        <xdr:nvSpPr>
          <xdr:cNvPr id="65" name="フローチャート: 定義済み処理 9">
            <a:extLst>
              <a:ext uri="{FF2B5EF4-FFF2-40B4-BE49-F238E27FC236}">
                <a16:creationId xmlns:a16="http://schemas.microsoft.com/office/drawing/2014/main" id="{E9D12376-8AFF-14A8-C966-D3455F436595}"/>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6" name="正方形/長方形 48">
            <a:extLst>
              <a:ext uri="{FF2B5EF4-FFF2-40B4-BE49-F238E27FC236}">
                <a16:creationId xmlns:a16="http://schemas.microsoft.com/office/drawing/2014/main" id="{A6F146C2-99DD-47F0-2196-C3DAE0CBCF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分割処理</a:t>
            </a:r>
          </a:p>
        </xdr:txBody>
      </xdr:sp>
    </xdr:grpSp>
    <xdr:clientData/>
  </xdr:twoCellAnchor>
  <xdr:twoCellAnchor>
    <xdr:from>
      <xdr:col>4</xdr:col>
      <xdr:colOff>138059</xdr:colOff>
      <xdr:row>552</xdr:row>
      <xdr:rowOff>160587</xdr:rowOff>
    </xdr:from>
    <xdr:to>
      <xdr:col>4</xdr:col>
      <xdr:colOff>147341</xdr:colOff>
      <xdr:row>555</xdr:row>
      <xdr:rowOff>68289</xdr:rowOff>
    </xdr:to>
    <xdr:cxnSp macro="">
      <xdr:nvCxnSpPr>
        <xdr:cNvPr id="77" name="直線矢印コネクタ 76">
          <a:extLst>
            <a:ext uri="{FF2B5EF4-FFF2-40B4-BE49-F238E27FC236}">
              <a16:creationId xmlns:a16="http://schemas.microsoft.com/office/drawing/2014/main" id="{5FEEB4DB-C3AA-418E-B519-FA27F357AD71}"/>
            </a:ext>
          </a:extLst>
        </xdr:cNvPr>
        <xdr:cNvCxnSpPr>
          <a:cxnSpLocks/>
          <a:stCxn id="52" idx="2"/>
        </xdr:cNvCxnSpPr>
      </xdr:nvCxnSpPr>
      <xdr:spPr>
        <a:xfrm>
          <a:off x="947684" y="80444431"/>
          <a:ext cx="9282" cy="40776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124921</xdr:colOff>
      <xdr:row>564</xdr:row>
      <xdr:rowOff>118913</xdr:rowOff>
    </xdr:from>
    <xdr:to>
      <xdr:col>4</xdr:col>
      <xdr:colOff>138779</xdr:colOff>
      <xdr:row>599</xdr:row>
      <xdr:rowOff>11241</xdr:rowOff>
    </xdr:to>
    <xdr:cxnSp macro="">
      <xdr:nvCxnSpPr>
        <xdr:cNvPr id="112" name="直線矢印コネクタ 111">
          <a:extLst>
            <a:ext uri="{FF2B5EF4-FFF2-40B4-BE49-F238E27FC236}">
              <a16:creationId xmlns:a16="http://schemas.microsoft.com/office/drawing/2014/main" id="{278A041D-19C8-41BB-8999-01092C16A6C9}"/>
            </a:ext>
          </a:extLst>
        </xdr:cNvPr>
        <xdr:cNvCxnSpPr>
          <a:cxnSpLocks/>
          <a:stCxn id="65" idx="2"/>
          <a:endCxn id="119" idx="0"/>
        </xdr:cNvCxnSpPr>
      </xdr:nvCxnSpPr>
      <xdr:spPr>
        <a:xfrm flipH="1">
          <a:off x="934546" y="82403007"/>
          <a:ext cx="13858" cy="57263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179341</xdr:colOff>
      <xdr:row>599</xdr:row>
      <xdr:rowOff>11241</xdr:rowOff>
    </xdr:from>
    <xdr:to>
      <xdr:col>6</xdr:col>
      <xdr:colOff>88226</xdr:colOff>
      <xdr:row>600</xdr:row>
      <xdr:rowOff>107270</xdr:rowOff>
    </xdr:to>
    <xdr:sp macro="" textlink="">
      <xdr:nvSpPr>
        <xdr:cNvPr id="119" name="フローチャート: 端子 26">
          <a:extLst>
            <a:ext uri="{FF2B5EF4-FFF2-40B4-BE49-F238E27FC236}">
              <a16:creationId xmlns:a16="http://schemas.microsoft.com/office/drawing/2014/main" id="{BF68C2AB-484E-47D9-9568-ECCC4B389A9E}"/>
            </a:ext>
          </a:extLst>
        </xdr:cNvPr>
        <xdr:cNvSpPr/>
      </xdr:nvSpPr>
      <xdr:spPr>
        <a:xfrm>
          <a:off x="584154" y="88129397"/>
          <a:ext cx="718510" cy="26271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xdr:col>
      <xdr:colOff>66283</xdr:colOff>
      <xdr:row>555</xdr:row>
      <xdr:rowOff>68289</xdr:rowOff>
    </xdr:from>
    <xdr:to>
      <xdr:col>7</xdr:col>
      <xdr:colOff>10910</xdr:colOff>
      <xdr:row>558</xdr:row>
      <xdr:rowOff>30836</xdr:rowOff>
    </xdr:to>
    <xdr:sp macro="" textlink="">
      <xdr:nvSpPr>
        <xdr:cNvPr id="120" name="フローチャート: 定義済み処理 119">
          <a:extLst>
            <a:ext uri="{FF2B5EF4-FFF2-40B4-BE49-F238E27FC236}">
              <a16:creationId xmlns:a16="http://schemas.microsoft.com/office/drawing/2014/main" id="{949609E3-166E-4E39-8970-7802B73A4173}"/>
            </a:ext>
          </a:extLst>
        </xdr:cNvPr>
        <xdr:cNvSpPr/>
      </xdr:nvSpPr>
      <xdr:spPr>
        <a:xfrm>
          <a:off x="471096" y="80852195"/>
          <a:ext cx="956658" cy="46261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108897</xdr:colOff>
      <xdr:row>555</xdr:row>
      <xdr:rowOff>29928</xdr:rowOff>
    </xdr:from>
    <xdr:to>
      <xdr:col>6</xdr:col>
      <xdr:colOff>168282</xdr:colOff>
      <xdr:row>558</xdr:row>
      <xdr:rowOff>50650</xdr:rowOff>
    </xdr:to>
    <xdr:sp macro="" textlink="">
      <xdr:nvSpPr>
        <xdr:cNvPr id="126" name="正方形/長方形 48">
          <a:extLst>
            <a:ext uri="{FF2B5EF4-FFF2-40B4-BE49-F238E27FC236}">
              <a16:creationId xmlns:a16="http://schemas.microsoft.com/office/drawing/2014/main" id="{59AC195B-EAA4-4EC4-8B52-5E59B4D7FE39}"/>
            </a:ext>
          </a:extLst>
        </xdr:cNvPr>
        <xdr:cNvSpPr/>
      </xdr:nvSpPr>
      <xdr:spPr>
        <a:xfrm>
          <a:off x="513710" y="80813834"/>
          <a:ext cx="869010"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固定資産</a:t>
          </a:r>
          <a:endParaRPr kumimoji="1" lang="en-US" altLang="ja-JP" sz="900"/>
        </a:p>
        <a:p>
          <a:pPr algn="ctr"/>
          <a:r>
            <a:rPr kumimoji="1" lang="ja-JP" altLang="en-US" sz="900"/>
            <a:t>登録</a:t>
          </a:r>
          <a:endParaRPr kumimoji="1" lang="en-US" altLang="ja-JP" sz="900"/>
        </a:p>
      </xdr:txBody>
    </xdr:sp>
    <xdr:clientData/>
  </xdr:twoCellAnchor>
  <xdr:twoCellAnchor>
    <xdr:from>
      <xdr:col>4</xdr:col>
      <xdr:colOff>137524</xdr:colOff>
      <xdr:row>558</xdr:row>
      <xdr:rowOff>47475</xdr:rowOff>
    </xdr:from>
    <xdr:to>
      <xdr:col>4</xdr:col>
      <xdr:colOff>138591</xdr:colOff>
      <xdr:row>561</xdr:row>
      <xdr:rowOff>142036</xdr:rowOff>
    </xdr:to>
    <xdr:cxnSp macro="">
      <xdr:nvCxnSpPr>
        <xdr:cNvPr id="134" name="直線矢印コネクタ 133">
          <a:extLst>
            <a:ext uri="{FF2B5EF4-FFF2-40B4-BE49-F238E27FC236}">
              <a16:creationId xmlns:a16="http://schemas.microsoft.com/office/drawing/2014/main" id="{EBD3F2F7-B794-4D0B-9E82-548D76D28765}"/>
            </a:ext>
          </a:extLst>
        </xdr:cNvPr>
        <xdr:cNvCxnSpPr>
          <a:cxnSpLocks/>
          <a:stCxn id="126" idx="2"/>
          <a:endCxn id="65" idx="0"/>
        </xdr:cNvCxnSpPr>
      </xdr:nvCxnSpPr>
      <xdr:spPr>
        <a:xfrm flipH="1">
          <a:off x="947149" y="81331444"/>
          <a:ext cx="1067" cy="5946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156365</xdr:colOff>
      <xdr:row>569</xdr:row>
      <xdr:rowOff>59611</xdr:rowOff>
    </xdr:from>
    <xdr:to>
      <xdr:col>7</xdr:col>
      <xdr:colOff>144795</xdr:colOff>
      <xdr:row>572</xdr:row>
      <xdr:rowOff>31746</xdr:rowOff>
    </xdr:to>
    <xdr:sp macro="" textlink="">
      <xdr:nvSpPr>
        <xdr:cNvPr id="135" name="フローチャート: 定義済み処理 9">
          <a:extLst>
            <a:ext uri="{FF2B5EF4-FFF2-40B4-BE49-F238E27FC236}">
              <a16:creationId xmlns:a16="http://schemas.microsoft.com/office/drawing/2014/main" id="{CA58F188-CE84-4E6B-8264-A2ED82368526}"/>
            </a:ext>
          </a:extLst>
        </xdr:cNvPr>
        <xdr:cNvSpPr/>
      </xdr:nvSpPr>
      <xdr:spPr>
        <a:xfrm>
          <a:off x="561178" y="83177142"/>
          <a:ext cx="1000461" cy="47219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110225</xdr:colOff>
      <xdr:row>569</xdr:row>
      <xdr:rowOff>20815</xdr:rowOff>
    </xdr:from>
    <xdr:to>
      <xdr:col>8</xdr:col>
      <xdr:colOff>10418</xdr:colOff>
      <xdr:row>572</xdr:row>
      <xdr:rowOff>52795</xdr:rowOff>
    </xdr:to>
    <xdr:sp macro="" textlink="">
      <xdr:nvSpPr>
        <xdr:cNvPr id="137" name="正方形/長方形 48">
          <a:extLst>
            <a:ext uri="{FF2B5EF4-FFF2-40B4-BE49-F238E27FC236}">
              <a16:creationId xmlns:a16="http://schemas.microsoft.com/office/drawing/2014/main" id="{6E3A3467-F245-46B1-B9B5-18A09FA21FBA}"/>
            </a:ext>
          </a:extLst>
        </xdr:cNvPr>
        <xdr:cNvSpPr/>
      </xdr:nvSpPr>
      <xdr:spPr>
        <a:xfrm>
          <a:off x="515038" y="83138346"/>
          <a:ext cx="1114630" cy="53204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分割</a:t>
          </a:r>
          <a:br>
            <a:rPr kumimoji="1" lang="en-US" altLang="ja-JP" sz="900"/>
          </a:br>
          <a:r>
            <a:rPr kumimoji="1" lang="ja-JP" altLang="en-US" sz="900"/>
            <a:t>承認申請</a:t>
          </a:r>
        </a:p>
      </xdr:txBody>
    </xdr:sp>
    <xdr:clientData/>
  </xdr:twoCellAnchor>
  <xdr:twoCellAnchor>
    <xdr:from>
      <xdr:col>5</xdr:col>
      <xdr:colOff>49549</xdr:colOff>
      <xdr:row>572</xdr:row>
      <xdr:rowOff>31745</xdr:rowOff>
    </xdr:from>
    <xdr:to>
      <xdr:col>12</xdr:col>
      <xdr:colOff>65936</xdr:colOff>
      <xdr:row>575</xdr:row>
      <xdr:rowOff>87034</xdr:rowOff>
    </xdr:to>
    <xdr:cxnSp macro="">
      <xdr:nvCxnSpPr>
        <xdr:cNvPr id="138" name="コネクタ: カギ線 137">
          <a:extLst>
            <a:ext uri="{FF2B5EF4-FFF2-40B4-BE49-F238E27FC236}">
              <a16:creationId xmlns:a16="http://schemas.microsoft.com/office/drawing/2014/main" id="{D61CFAAF-1494-474A-B62D-78C1610686B0}"/>
            </a:ext>
          </a:extLst>
        </xdr:cNvPr>
        <xdr:cNvCxnSpPr>
          <a:stCxn id="135" idx="2"/>
          <a:endCxn id="140" idx="0"/>
        </xdr:cNvCxnSpPr>
      </xdr:nvCxnSpPr>
      <xdr:spPr>
        <a:xfrm rot="16200000" flipH="1">
          <a:off x="1500520" y="83210399"/>
          <a:ext cx="555351" cy="143323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156367</xdr:colOff>
      <xdr:row>575</xdr:row>
      <xdr:rowOff>125831</xdr:rowOff>
    </xdr:from>
    <xdr:to>
      <xdr:col>14</xdr:col>
      <xdr:colOff>144796</xdr:colOff>
      <xdr:row>578</xdr:row>
      <xdr:rowOff>97966</xdr:rowOff>
    </xdr:to>
    <xdr:sp macro="" textlink="">
      <xdr:nvSpPr>
        <xdr:cNvPr id="139" name="フローチャート: 定義済み処理 9">
          <a:extLst>
            <a:ext uri="{FF2B5EF4-FFF2-40B4-BE49-F238E27FC236}">
              <a16:creationId xmlns:a16="http://schemas.microsoft.com/office/drawing/2014/main" id="{C1CBDBAB-18B5-40F6-86A1-2A13C7E4966D}"/>
            </a:ext>
          </a:extLst>
        </xdr:cNvPr>
        <xdr:cNvSpPr/>
      </xdr:nvSpPr>
      <xdr:spPr>
        <a:xfrm>
          <a:off x="1978023" y="84243487"/>
          <a:ext cx="1000461" cy="47219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128369</xdr:colOff>
      <xdr:row>575</xdr:row>
      <xdr:rowOff>87035</xdr:rowOff>
    </xdr:from>
    <xdr:to>
      <xdr:col>15</xdr:col>
      <xdr:colOff>31736</xdr:colOff>
      <xdr:row>578</xdr:row>
      <xdr:rowOff>125365</xdr:rowOff>
    </xdr:to>
    <xdr:sp macro="" textlink="">
      <xdr:nvSpPr>
        <xdr:cNvPr id="140" name="正方形/長方形 48">
          <a:extLst>
            <a:ext uri="{FF2B5EF4-FFF2-40B4-BE49-F238E27FC236}">
              <a16:creationId xmlns:a16="http://schemas.microsoft.com/office/drawing/2014/main" id="{D415C0F3-2716-4E85-9AB6-C0F19E07F2FF}"/>
            </a:ext>
          </a:extLst>
        </xdr:cNvPr>
        <xdr:cNvSpPr/>
      </xdr:nvSpPr>
      <xdr:spPr>
        <a:xfrm>
          <a:off x="1950025" y="84204691"/>
          <a:ext cx="1117805" cy="53839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分割の</a:t>
          </a:r>
          <a:br>
            <a:rPr kumimoji="1" lang="en-US" altLang="ja-JP" sz="900"/>
          </a:br>
          <a:r>
            <a:rPr kumimoji="1" lang="ja-JP" altLang="en-US" sz="900"/>
            <a:t>承認</a:t>
          </a:r>
          <a:r>
            <a:rPr kumimoji="1" lang="en-US" altLang="ja-JP" sz="900"/>
            <a:t>/</a:t>
          </a:r>
          <a:r>
            <a:rPr kumimoji="1" lang="ja-JP" altLang="en-US" sz="900"/>
            <a:t>変更依頼</a:t>
          </a:r>
        </a:p>
      </xdr:txBody>
    </xdr:sp>
    <xdr:clientData/>
  </xdr:twoCellAnchor>
  <xdr:twoCellAnchor>
    <xdr:from>
      <xdr:col>12</xdr:col>
      <xdr:colOff>71241</xdr:colOff>
      <xdr:row>578</xdr:row>
      <xdr:rowOff>125365</xdr:rowOff>
    </xdr:from>
    <xdr:to>
      <xdr:col>12</xdr:col>
      <xdr:colOff>71241</xdr:colOff>
      <xdr:row>580</xdr:row>
      <xdr:rowOff>105746</xdr:rowOff>
    </xdr:to>
    <xdr:cxnSp macro="">
      <xdr:nvCxnSpPr>
        <xdr:cNvPr id="141" name="直線矢印コネクタ 27">
          <a:extLst>
            <a:ext uri="{FF2B5EF4-FFF2-40B4-BE49-F238E27FC236}">
              <a16:creationId xmlns:a16="http://schemas.microsoft.com/office/drawing/2014/main" id="{B01325C4-CA88-4CE5-B1C0-7434A1DC647B}"/>
            </a:ext>
          </a:extLst>
        </xdr:cNvPr>
        <xdr:cNvCxnSpPr>
          <a:cxnSpLocks/>
          <a:stCxn id="140" idx="2"/>
          <a:endCxn id="148" idx="0"/>
        </xdr:cNvCxnSpPr>
      </xdr:nvCxnSpPr>
      <xdr:spPr>
        <a:xfrm flipH="1">
          <a:off x="2500116" y="84743084"/>
          <a:ext cx="0" cy="31375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166761</xdr:colOff>
      <xdr:row>580</xdr:row>
      <xdr:rowOff>85574</xdr:rowOff>
    </xdr:from>
    <xdr:to>
      <xdr:col>14</xdr:col>
      <xdr:colOff>193662</xdr:colOff>
      <xdr:row>583</xdr:row>
      <xdr:rowOff>106299</xdr:rowOff>
    </xdr:to>
    <xdr:grpSp>
      <xdr:nvGrpSpPr>
        <xdr:cNvPr id="142" name="グループ化 141">
          <a:extLst>
            <a:ext uri="{FF2B5EF4-FFF2-40B4-BE49-F238E27FC236}">
              <a16:creationId xmlns:a16="http://schemas.microsoft.com/office/drawing/2014/main" id="{5D5DA532-94C2-47BA-9449-51157FBD695E}"/>
            </a:ext>
          </a:extLst>
        </xdr:cNvPr>
        <xdr:cNvGrpSpPr/>
      </xdr:nvGrpSpPr>
      <xdr:grpSpPr>
        <a:xfrm>
          <a:off x="1795536" y="99688499"/>
          <a:ext cx="922251" cy="535075"/>
          <a:chOff x="287474" y="4845794"/>
          <a:chExt cx="1021504" cy="505814"/>
        </a:xfrm>
      </xdr:grpSpPr>
      <xdr:sp macro="" textlink="">
        <xdr:nvSpPr>
          <xdr:cNvPr id="143" name="フローチャート: 判断 142">
            <a:extLst>
              <a:ext uri="{FF2B5EF4-FFF2-40B4-BE49-F238E27FC236}">
                <a16:creationId xmlns:a16="http://schemas.microsoft.com/office/drawing/2014/main" id="{B66712BB-AB58-F9FE-5D11-3AEC459749FA}"/>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48" name="正方形/長方形 48">
            <a:extLst>
              <a:ext uri="{FF2B5EF4-FFF2-40B4-BE49-F238E27FC236}">
                <a16:creationId xmlns:a16="http://schemas.microsoft.com/office/drawing/2014/main" id="{BE9BFEAD-702B-CF40-7695-FCB9F7FC6AA6}"/>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12</xdr:col>
      <xdr:colOff>87903</xdr:colOff>
      <xdr:row>583</xdr:row>
      <xdr:rowOff>67279</xdr:rowOff>
    </xdr:from>
    <xdr:to>
      <xdr:col>14</xdr:col>
      <xdr:colOff>142268</xdr:colOff>
      <xdr:row>584</xdr:row>
      <xdr:rowOff>109937</xdr:rowOff>
    </xdr:to>
    <xdr:sp macro="" textlink="">
      <xdr:nvSpPr>
        <xdr:cNvPr id="152" name="テキスト ボックス 151">
          <a:extLst>
            <a:ext uri="{FF2B5EF4-FFF2-40B4-BE49-F238E27FC236}">
              <a16:creationId xmlns:a16="http://schemas.microsoft.com/office/drawing/2014/main" id="{FBD2C2C4-E094-4C55-B69E-5B06823F53A0}"/>
            </a:ext>
          </a:extLst>
        </xdr:cNvPr>
        <xdr:cNvSpPr txBox="1"/>
      </xdr:nvSpPr>
      <xdr:spPr>
        <a:xfrm>
          <a:off x="2516778" y="85518435"/>
          <a:ext cx="459178" cy="209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7</xdr:col>
      <xdr:colOff>192320</xdr:colOff>
      <xdr:row>580</xdr:row>
      <xdr:rowOff>12197</xdr:rowOff>
    </xdr:from>
    <xdr:to>
      <xdr:col>11</xdr:col>
      <xdr:colOff>137553</xdr:colOff>
      <xdr:row>581</xdr:row>
      <xdr:rowOff>118333</xdr:rowOff>
    </xdr:to>
    <xdr:sp macro="" textlink="">
      <xdr:nvSpPr>
        <xdr:cNvPr id="153" name="テキスト ボックス 152">
          <a:extLst>
            <a:ext uri="{FF2B5EF4-FFF2-40B4-BE49-F238E27FC236}">
              <a16:creationId xmlns:a16="http://schemas.microsoft.com/office/drawing/2014/main" id="{CE473372-48F5-4266-98D0-F138C7CBF754}"/>
            </a:ext>
          </a:extLst>
        </xdr:cNvPr>
        <xdr:cNvSpPr txBox="1"/>
      </xdr:nvSpPr>
      <xdr:spPr>
        <a:xfrm>
          <a:off x="1609164" y="84963291"/>
          <a:ext cx="754858" cy="272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12</xdr:col>
      <xdr:colOff>71589</xdr:colOff>
      <xdr:row>583</xdr:row>
      <xdr:rowOff>81067</xdr:rowOff>
    </xdr:from>
    <xdr:to>
      <xdr:col>12</xdr:col>
      <xdr:colOff>71589</xdr:colOff>
      <xdr:row>591</xdr:row>
      <xdr:rowOff>160531</xdr:rowOff>
    </xdr:to>
    <xdr:cxnSp macro="">
      <xdr:nvCxnSpPr>
        <xdr:cNvPr id="154" name="直線矢印コネクタ 153">
          <a:extLst>
            <a:ext uri="{FF2B5EF4-FFF2-40B4-BE49-F238E27FC236}">
              <a16:creationId xmlns:a16="http://schemas.microsoft.com/office/drawing/2014/main" id="{E28A0C06-BF58-46E8-8AFB-416659081053}"/>
            </a:ext>
          </a:extLst>
        </xdr:cNvPr>
        <xdr:cNvCxnSpPr>
          <a:cxnSpLocks/>
          <a:stCxn id="143" idx="2"/>
          <a:endCxn id="234" idx="0"/>
        </xdr:cNvCxnSpPr>
      </xdr:nvCxnSpPr>
      <xdr:spPr>
        <a:xfrm>
          <a:off x="2500464" y="85532223"/>
          <a:ext cx="0" cy="141296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66842</xdr:colOff>
      <xdr:row>581</xdr:row>
      <xdr:rowOff>162243</xdr:rowOff>
    </xdr:from>
    <xdr:to>
      <xdr:col>10</xdr:col>
      <xdr:colOff>33743</xdr:colOff>
      <xdr:row>586</xdr:row>
      <xdr:rowOff>12651</xdr:rowOff>
    </xdr:to>
    <xdr:cxnSp macro="">
      <xdr:nvCxnSpPr>
        <xdr:cNvPr id="158" name="コネクタ: カギ線 157">
          <a:extLst>
            <a:ext uri="{FF2B5EF4-FFF2-40B4-BE49-F238E27FC236}">
              <a16:creationId xmlns:a16="http://schemas.microsoft.com/office/drawing/2014/main" id="{26E591D0-60D6-42A6-ABA6-E1485277D930}"/>
            </a:ext>
          </a:extLst>
        </xdr:cNvPr>
        <xdr:cNvCxnSpPr>
          <a:stCxn id="143" idx="1"/>
          <a:endCxn id="161" idx="0"/>
        </xdr:cNvCxnSpPr>
      </xdr:nvCxnSpPr>
      <xdr:spPr>
        <a:xfrm rot="10800000" flipV="1">
          <a:off x="1078873" y="85280024"/>
          <a:ext cx="978933" cy="683846"/>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157271</xdr:colOff>
      <xdr:row>586</xdr:row>
      <xdr:rowOff>48272</xdr:rowOff>
    </xdr:from>
    <xdr:to>
      <xdr:col>7</xdr:col>
      <xdr:colOff>142526</xdr:colOff>
      <xdr:row>589</xdr:row>
      <xdr:rowOff>10883</xdr:rowOff>
    </xdr:to>
    <xdr:sp macro="" textlink="">
      <xdr:nvSpPr>
        <xdr:cNvPr id="160" name="フローチャート: 定義済み処理 9">
          <a:extLst>
            <a:ext uri="{FF2B5EF4-FFF2-40B4-BE49-F238E27FC236}">
              <a16:creationId xmlns:a16="http://schemas.microsoft.com/office/drawing/2014/main" id="{9478FA23-6D70-4365-B4F9-E7C4FDE02DAC}"/>
            </a:ext>
          </a:extLst>
        </xdr:cNvPr>
        <xdr:cNvSpPr/>
      </xdr:nvSpPr>
      <xdr:spPr>
        <a:xfrm>
          <a:off x="562084" y="85999491"/>
          <a:ext cx="997286" cy="46267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xdr:col>
      <xdr:colOff>119748</xdr:colOff>
      <xdr:row>586</xdr:row>
      <xdr:rowOff>12651</xdr:rowOff>
    </xdr:from>
    <xdr:to>
      <xdr:col>8</xdr:col>
      <xdr:colOff>19941</xdr:colOff>
      <xdr:row>589</xdr:row>
      <xdr:rowOff>31932</xdr:rowOff>
    </xdr:to>
    <xdr:sp macro="" textlink="">
      <xdr:nvSpPr>
        <xdr:cNvPr id="161" name="正方形/長方形 48">
          <a:extLst>
            <a:ext uri="{FF2B5EF4-FFF2-40B4-BE49-F238E27FC236}">
              <a16:creationId xmlns:a16="http://schemas.microsoft.com/office/drawing/2014/main" id="{10977056-7A7C-4000-8D52-3573A0BDBFAA}"/>
            </a:ext>
          </a:extLst>
        </xdr:cNvPr>
        <xdr:cNvSpPr/>
      </xdr:nvSpPr>
      <xdr:spPr>
        <a:xfrm>
          <a:off x="524561" y="85963870"/>
          <a:ext cx="1114630" cy="51934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不備修正</a:t>
          </a:r>
        </a:p>
      </xdr:txBody>
    </xdr:sp>
    <xdr:clientData/>
  </xdr:twoCellAnchor>
  <xdr:twoCellAnchor>
    <xdr:from>
      <xdr:col>2</xdr:col>
      <xdr:colOff>119747</xdr:colOff>
      <xdr:row>570</xdr:row>
      <xdr:rowOff>123921</xdr:rowOff>
    </xdr:from>
    <xdr:to>
      <xdr:col>2</xdr:col>
      <xdr:colOff>156364</xdr:colOff>
      <xdr:row>587</xdr:row>
      <xdr:rowOff>106884</xdr:rowOff>
    </xdr:to>
    <xdr:cxnSp macro="">
      <xdr:nvCxnSpPr>
        <xdr:cNvPr id="231" name="コネクタ: カギ線 230">
          <a:extLst>
            <a:ext uri="{FF2B5EF4-FFF2-40B4-BE49-F238E27FC236}">
              <a16:creationId xmlns:a16="http://schemas.microsoft.com/office/drawing/2014/main" id="{4830C59F-BAC9-4939-9B6D-44A92A4E04BE}"/>
            </a:ext>
          </a:extLst>
        </xdr:cNvPr>
        <xdr:cNvCxnSpPr>
          <a:stCxn id="161" idx="1"/>
          <a:endCxn id="135" idx="1"/>
        </xdr:cNvCxnSpPr>
      </xdr:nvCxnSpPr>
      <xdr:spPr>
        <a:xfrm rot="10800000" flipH="1">
          <a:off x="524560" y="83408140"/>
          <a:ext cx="36617" cy="2816650"/>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86978</xdr:colOff>
      <xdr:row>582</xdr:row>
      <xdr:rowOff>30337</xdr:rowOff>
    </xdr:from>
    <xdr:to>
      <xdr:col>11</xdr:col>
      <xdr:colOff>85732</xdr:colOff>
      <xdr:row>583</xdr:row>
      <xdr:rowOff>157565</xdr:rowOff>
    </xdr:to>
    <xdr:sp macro="" textlink="">
      <xdr:nvSpPr>
        <xdr:cNvPr id="233" name="テキスト ボックス 232">
          <a:extLst>
            <a:ext uri="{FF2B5EF4-FFF2-40B4-BE49-F238E27FC236}">
              <a16:creationId xmlns:a16="http://schemas.microsoft.com/office/drawing/2014/main" id="{1852B068-8367-4C5E-840C-AA41CE224120}"/>
            </a:ext>
          </a:extLst>
        </xdr:cNvPr>
        <xdr:cNvSpPr txBox="1"/>
      </xdr:nvSpPr>
      <xdr:spPr>
        <a:xfrm>
          <a:off x="1099009" y="85314806"/>
          <a:ext cx="1213192"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9</xdr:col>
      <xdr:colOff>178139</xdr:colOff>
      <xdr:row>591</xdr:row>
      <xdr:rowOff>160531</xdr:rowOff>
    </xdr:from>
    <xdr:to>
      <xdr:col>14</xdr:col>
      <xdr:colOff>176093</xdr:colOff>
      <xdr:row>594</xdr:row>
      <xdr:rowOff>125636</xdr:rowOff>
    </xdr:to>
    <xdr:sp macro="" textlink="">
      <xdr:nvSpPr>
        <xdr:cNvPr id="234" name="フローチャート: 定義済み処理 9">
          <a:extLst>
            <a:ext uri="{FF2B5EF4-FFF2-40B4-BE49-F238E27FC236}">
              <a16:creationId xmlns:a16="http://schemas.microsoft.com/office/drawing/2014/main" id="{1EA9010E-4C49-4907-ABE8-F91478DD05F3}"/>
            </a:ext>
          </a:extLst>
        </xdr:cNvPr>
        <xdr:cNvSpPr/>
      </xdr:nvSpPr>
      <xdr:spPr>
        <a:xfrm>
          <a:off x="1999795" y="86945187"/>
          <a:ext cx="1009986" cy="465168"/>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9</xdr:col>
      <xdr:colOff>125649</xdr:colOff>
      <xdr:row>591</xdr:row>
      <xdr:rowOff>124230</xdr:rowOff>
    </xdr:from>
    <xdr:to>
      <xdr:col>15</xdr:col>
      <xdr:colOff>32191</xdr:colOff>
      <xdr:row>594</xdr:row>
      <xdr:rowOff>159385</xdr:rowOff>
    </xdr:to>
    <xdr:sp macro="" textlink="">
      <xdr:nvSpPr>
        <xdr:cNvPr id="246" name="正方形/長方形 48">
          <a:extLst>
            <a:ext uri="{FF2B5EF4-FFF2-40B4-BE49-F238E27FC236}">
              <a16:creationId xmlns:a16="http://schemas.microsoft.com/office/drawing/2014/main" id="{670D0112-F533-4318-B66A-B7FE3EF7C23B}"/>
            </a:ext>
          </a:extLst>
        </xdr:cNvPr>
        <xdr:cNvSpPr/>
      </xdr:nvSpPr>
      <xdr:spPr>
        <a:xfrm>
          <a:off x="1947305" y="86908886"/>
          <a:ext cx="1120980" cy="53521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自動転記バッチ</a:t>
          </a:r>
        </a:p>
      </xdr:txBody>
    </xdr:sp>
    <xdr:clientData/>
  </xdr:twoCellAnchor>
  <xdr:twoCellAnchor>
    <xdr:from>
      <xdr:col>8</xdr:col>
      <xdr:colOff>69949</xdr:colOff>
      <xdr:row>572</xdr:row>
      <xdr:rowOff>30325</xdr:rowOff>
    </xdr:from>
    <xdr:to>
      <xdr:col>14</xdr:col>
      <xdr:colOff>52756</xdr:colOff>
      <xdr:row>573</xdr:row>
      <xdr:rowOff>78334</xdr:rowOff>
    </xdr:to>
    <xdr:sp macro="" textlink="">
      <xdr:nvSpPr>
        <xdr:cNvPr id="247" name="テキスト ボックス 246">
          <a:extLst>
            <a:ext uri="{FF2B5EF4-FFF2-40B4-BE49-F238E27FC236}">
              <a16:creationId xmlns:a16="http://schemas.microsoft.com/office/drawing/2014/main" id="{686EA14A-6DC8-4825-AE3F-4C4013277B9F}"/>
            </a:ext>
          </a:extLst>
        </xdr:cNvPr>
        <xdr:cNvSpPr txBox="1"/>
      </xdr:nvSpPr>
      <xdr:spPr>
        <a:xfrm>
          <a:off x="1689199" y="83647919"/>
          <a:ext cx="1197245" cy="214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xdr:col>
      <xdr:colOff>178595</xdr:colOff>
      <xdr:row>662</xdr:row>
      <xdr:rowOff>30964</xdr:rowOff>
    </xdr:from>
    <xdr:to>
      <xdr:col>7</xdr:col>
      <xdr:colOff>61248</xdr:colOff>
      <xdr:row>665</xdr:row>
      <xdr:rowOff>59771</xdr:rowOff>
    </xdr:to>
    <xdr:grpSp>
      <xdr:nvGrpSpPr>
        <xdr:cNvPr id="15" name="グループ化 8">
          <a:extLst>
            <a:ext uri="{FF2B5EF4-FFF2-40B4-BE49-F238E27FC236}">
              <a16:creationId xmlns:a16="http://schemas.microsoft.com/office/drawing/2014/main" id="{AE7C7ABB-0078-4410-B276-B900F8013531}"/>
            </a:ext>
          </a:extLst>
        </xdr:cNvPr>
        <xdr:cNvGrpSpPr/>
      </xdr:nvGrpSpPr>
      <xdr:grpSpPr>
        <a:xfrm>
          <a:off x="359570" y="113692789"/>
          <a:ext cx="968503" cy="543157"/>
          <a:chOff x="1615543" y="2430783"/>
          <a:chExt cx="908902" cy="422628"/>
        </a:xfrm>
      </xdr:grpSpPr>
      <xdr:sp macro="" textlink="">
        <xdr:nvSpPr>
          <xdr:cNvPr id="22" name="フローチャート: 定義済み処理 9">
            <a:extLst>
              <a:ext uri="{FF2B5EF4-FFF2-40B4-BE49-F238E27FC236}">
                <a16:creationId xmlns:a16="http://schemas.microsoft.com/office/drawing/2014/main" id="{9F5F5A68-1B85-5325-086C-B27CD33323C5}"/>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8" name="正方形/長方形 48">
            <a:extLst>
              <a:ext uri="{FF2B5EF4-FFF2-40B4-BE49-F238E27FC236}">
                <a16:creationId xmlns:a16="http://schemas.microsoft.com/office/drawing/2014/main" id="{85CACB49-F1E6-D10B-82DE-F8AB553C04FC}"/>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固定資産台帳</a:t>
            </a:r>
          </a:p>
        </xdr:txBody>
      </xdr:sp>
    </xdr:grpSp>
    <xdr:clientData/>
  </xdr:twoCellAnchor>
  <xdr:twoCellAnchor>
    <xdr:from>
      <xdr:col>4</xdr:col>
      <xdr:colOff>154268</xdr:colOff>
      <xdr:row>665</xdr:row>
      <xdr:rowOff>35368</xdr:rowOff>
    </xdr:from>
    <xdr:to>
      <xdr:col>4</xdr:col>
      <xdr:colOff>156833</xdr:colOff>
      <xdr:row>667</xdr:row>
      <xdr:rowOff>116109</xdr:rowOff>
    </xdr:to>
    <xdr:cxnSp macro="">
      <xdr:nvCxnSpPr>
        <xdr:cNvPr id="252" name="直線矢印コネクタ 251">
          <a:extLst>
            <a:ext uri="{FF2B5EF4-FFF2-40B4-BE49-F238E27FC236}">
              <a16:creationId xmlns:a16="http://schemas.microsoft.com/office/drawing/2014/main" id="{633E2FC3-9991-4D48-9CE8-52836FEB250B}"/>
            </a:ext>
          </a:extLst>
        </xdr:cNvPr>
        <xdr:cNvCxnSpPr>
          <a:cxnSpLocks/>
          <a:stCxn id="22" idx="2"/>
          <a:endCxn id="261" idx="0"/>
        </xdr:cNvCxnSpPr>
      </xdr:nvCxnSpPr>
      <xdr:spPr>
        <a:xfrm>
          <a:off x="963893" y="99154899"/>
          <a:ext cx="2565" cy="4141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89990</xdr:colOff>
      <xdr:row>667</xdr:row>
      <xdr:rowOff>35830</xdr:rowOff>
    </xdr:from>
    <xdr:to>
      <xdr:col>7</xdr:col>
      <xdr:colOff>41312</xdr:colOff>
      <xdr:row>670</xdr:row>
      <xdr:rowOff>14249</xdr:rowOff>
    </xdr:to>
    <xdr:grpSp>
      <xdr:nvGrpSpPr>
        <xdr:cNvPr id="260" name="グループ化 259">
          <a:extLst>
            <a:ext uri="{FF2B5EF4-FFF2-40B4-BE49-F238E27FC236}">
              <a16:creationId xmlns:a16="http://schemas.microsoft.com/office/drawing/2014/main" id="{ADABE5DF-DAF1-403A-808A-AF32779BC323}"/>
            </a:ext>
          </a:extLst>
        </xdr:cNvPr>
        <xdr:cNvGrpSpPr>
          <a:grpSpLocks noChangeAspect="1"/>
        </xdr:cNvGrpSpPr>
      </xdr:nvGrpSpPr>
      <xdr:grpSpPr>
        <a:xfrm>
          <a:off x="451940" y="114554905"/>
          <a:ext cx="856197" cy="492769"/>
          <a:chOff x="2675325" y="18456558"/>
          <a:chExt cx="1048401" cy="566261"/>
        </a:xfrm>
      </xdr:grpSpPr>
      <xdr:sp macro="" textlink="">
        <xdr:nvSpPr>
          <xdr:cNvPr id="261" name="フローチャート: 書類 260">
            <a:extLst>
              <a:ext uri="{FF2B5EF4-FFF2-40B4-BE49-F238E27FC236}">
                <a16:creationId xmlns:a16="http://schemas.microsoft.com/office/drawing/2014/main" id="{6848A84D-353B-392B-0B16-2B37ADFF9E2E}"/>
              </a:ext>
            </a:extLst>
          </xdr:cNvPr>
          <xdr:cNvSpPr/>
        </xdr:nvSpPr>
        <xdr:spPr>
          <a:xfrm>
            <a:off x="2675325" y="18545176"/>
            <a:ext cx="1008791" cy="467928"/>
          </a:xfrm>
          <a:prstGeom prst="flowChartDocument">
            <a:avLst/>
          </a:prstGeom>
          <a:solidFill>
            <a:schemeClr val="bg1"/>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62" name="正方形/長方形 261">
            <a:extLst>
              <a:ext uri="{FF2B5EF4-FFF2-40B4-BE49-F238E27FC236}">
                <a16:creationId xmlns:a16="http://schemas.microsoft.com/office/drawing/2014/main" id="{E34C6EDD-F582-D73B-DECD-63F734EBE69A}"/>
              </a:ext>
            </a:extLst>
          </xdr:cNvPr>
          <xdr:cNvSpPr/>
        </xdr:nvSpPr>
        <xdr:spPr>
          <a:xfrm>
            <a:off x="2686822" y="18456558"/>
            <a:ext cx="1036904" cy="56626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固定資産台帳</a:t>
            </a:r>
          </a:p>
        </xdr:txBody>
      </xdr:sp>
    </xdr:grpSp>
    <xdr:clientData/>
  </xdr:twoCellAnchor>
  <xdr:twoCellAnchor>
    <xdr:from>
      <xdr:col>3</xdr:col>
      <xdr:colOff>2390</xdr:colOff>
      <xdr:row>673</xdr:row>
      <xdr:rowOff>3337</xdr:rowOff>
    </xdr:from>
    <xdr:to>
      <xdr:col>6</xdr:col>
      <xdr:colOff>118178</xdr:colOff>
      <xdr:row>674</xdr:row>
      <xdr:rowOff>90890</xdr:rowOff>
    </xdr:to>
    <xdr:sp macro="" textlink="">
      <xdr:nvSpPr>
        <xdr:cNvPr id="263" name="フローチャート: 端子 26">
          <a:extLst>
            <a:ext uri="{FF2B5EF4-FFF2-40B4-BE49-F238E27FC236}">
              <a16:creationId xmlns:a16="http://schemas.microsoft.com/office/drawing/2014/main" id="{2FE88127-B6B7-47BA-9F99-6AB79F9F4C15}"/>
            </a:ext>
          </a:extLst>
        </xdr:cNvPr>
        <xdr:cNvSpPr/>
      </xdr:nvSpPr>
      <xdr:spPr>
        <a:xfrm>
          <a:off x="609609" y="100456368"/>
          <a:ext cx="723007" cy="2542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xdr:col>
      <xdr:colOff>156833</xdr:colOff>
      <xdr:row>669</xdr:row>
      <xdr:rowOff>154916</xdr:rowOff>
    </xdr:from>
    <xdr:to>
      <xdr:col>4</xdr:col>
      <xdr:colOff>158313</xdr:colOff>
      <xdr:row>673</xdr:row>
      <xdr:rowOff>3337</xdr:rowOff>
    </xdr:to>
    <xdr:cxnSp macro="">
      <xdr:nvCxnSpPr>
        <xdr:cNvPr id="266" name="直線矢印コネクタ 265">
          <a:extLst>
            <a:ext uri="{FF2B5EF4-FFF2-40B4-BE49-F238E27FC236}">
              <a16:creationId xmlns:a16="http://schemas.microsoft.com/office/drawing/2014/main" id="{3E8F130E-A70F-4B94-8B7F-D49F44AFD65C}"/>
            </a:ext>
          </a:extLst>
        </xdr:cNvPr>
        <xdr:cNvCxnSpPr>
          <a:stCxn id="261" idx="2"/>
          <a:endCxn id="263" idx="0"/>
        </xdr:cNvCxnSpPr>
      </xdr:nvCxnSpPr>
      <xdr:spPr>
        <a:xfrm>
          <a:off x="966458" y="99941197"/>
          <a:ext cx="1480" cy="51517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199249</xdr:colOff>
      <xdr:row>658</xdr:row>
      <xdr:rowOff>95249</xdr:rowOff>
    </xdr:from>
    <xdr:to>
      <xdr:col>6</xdr:col>
      <xdr:colOff>100992</xdr:colOff>
      <xdr:row>660</xdr:row>
      <xdr:rowOff>33585</xdr:rowOff>
    </xdr:to>
    <xdr:sp macro="" textlink="">
      <xdr:nvSpPr>
        <xdr:cNvPr id="267" name="フローチャート: 端子 26">
          <a:extLst>
            <a:ext uri="{FF2B5EF4-FFF2-40B4-BE49-F238E27FC236}">
              <a16:creationId xmlns:a16="http://schemas.microsoft.com/office/drawing/2014/main" id="{5A8E2083-E7FC-4D4B-B8B9-B3FA3422D6E4}"/>
            </a:ext>
          </a:extLst>
        </xdr:cNvPr>
        <xdr:cNvSpPr/>
      </xdr:nvSpPr>
      <xdr:spPr>
        <a:xfrm>
          <a:off x="604062" y="98047968"/>
          <a:ext cx="711368" cy="27171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4</xdr:col>
      <xdr:colOff>149432</xdr:colOff>
      <xdr:row>660</xdr:row>
      <xdr:rowOff>30410</xdr:rowOff>
    </xdr:from>
    <xdr:to>
      <xdr:col>4</xdr:col>
      <xdr:colOff>149895</xdr:colOff>
      <xdr:row>662</xdr:row>
      <xdr:rowOff>69760</xdr:rowOff>
    </xdr:to>
    <xdr:cxnSp macro="">
      <xdr:nvCxnSpPr>
        <xdr:cNvPr id="279" name="直線矢印コネクタ 278">
          <a:extLst>
            <a:ext uri="{FF2B5EF4-FFF2-40B4-BE49-F238E27FC236}">
              <a16:creationId xmlns:a16="http://schemas.microsoft.com/office/drawing/2014/main" id="{F27974CE-EC59-444E-B750-2279296ECAC0}"/>
            </a:ext>
          </a:extLst>
        </xdr:cNvPr>
        <xdr:cNvCxnSpPr>
          <a:cxnSpLocks/>
          <a:stCxn id="267" idx="2"/>
          <a:endCxn id="22" idx="0"/>
        </xdr:cNvCxnSpPr>
      </xdr:nvCxnSpPr>
      <xdr:spPr>
        <a:xfrm flipH="1">
          <a:off x="959057" y="98316504"/>
          <a:ext cx="463" cy="3727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102696</xdr:colOff>
      <xdr:row>389</xdr:row>
      <xdr:rowOff>58262</xdr:rowOff>
    </xdr:from>
    <xdr:to>
      <xdr:col>35</xdr:col>
      <xdr:colOff>17521</xdr:colOff>
      <xdr:row>393</xdr:row>
      <xdr:rowOff>38026</xdr:rowOff>
    </xdr:to>
    <xdr:grpSp>
      <xdr:nvGrpSpPr>
        <xdr:cNvPr id="21" name="グループ化 144">
          <a:extLst>
            <a:ext uri="{FF2B5EF4-FFF2-40B4-BE49-F238E27FC236}">
              <a16:creationId xmlns:a16="http://schemas.microsoft.com/office/drawing/2014/main" id="{715725D0-7133-4342-B997-FD26199334B2}"/>
            </a:ext>
          </a:extLst>
        </xdr:cNvPr>
        <xdr:cNvGrpSpPr>
          <a:grpSpLocks noChangeAspect="1"/>
        </xdr:cNvGrpSpPr>
      </xdr:nvGrpSpPr>
      <xdr:grpSpPr>
        <a:xfrm>
          <a:off x="5531946" y="66914237"/>
          <a:ext cx="819700" cy="665564"/>
          <a:chOff x="7102989" y="2892422"/>
          <a:chExt cx="873125" cy="603232"/>
        </a:xfrm>
      </xdr:grpSpPr>
      <xdr:sp macro="" textlink="">
        <xdr:nvSpPr>
          <xdr:cNvPr id="281" name="フローチャート: 磁気ディスク 145">
            <a:extLst>
              <a:ext uri="{FF2B5EF4-FFF2-40B4-BE49-F238E27FC236}">
                <a16:creationId xmlns:a16="http://schemas.microsoft.com/office/drawing/2014/main" id="{E7B75A50-D69D-30FF-19D3-200857E8F869}"/>
              </a:ext>
            </a:extLst>
          </xdr:cNvPr>
          <xdr:cNvSpPr/>
        </xdr:nvSpPr>
        <xdr:spPr>
          <a:xfrm>
            <a:off x="7204074" y="2892422"/>
            <a:ext cx="676275" cy="536574"/>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4" name="正方形/長方形 146">
            <a:extLst>
              <a:ext uri="{FF2B5EF4-FFF2-40B4-BE49-F238E27FC236}">
                <a16:creationId xmlns:a16="http://schemas.microsoft.com/office/drawing/2014/main" id="{2DF8C92E-D587-4760-F4B3-483F68DF6BE8}"/>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21</xdr:col>
      <xdr:colOff>42125</xdr:colOff>
      <xdr:row>391</xdr:row>
      <xdr:rowOff>10670</xdr:rowOff>
    </xdr:from>
    <xdr:to>
      <xdr:col>31</xdr:col>
      <xdr:colOff>9266</xdr:colOff>
      <xdr:row>391</xdr:row>
      <xdr:rowOff>15355</xdr:rowOff>
    </xdr:to>
    <xdr:cxnSp macro="">
      <xdr:nvCxnSpPr>
        <xdr:cNvPr id="289" name="直線矢印コネクタ 288">
          <a:extLst>
            <a:ext uri="{FF2B5EF4-FFF2-40B4-BE49-F238E27FC236}">
              <a16:creationId xmlns:a16="http://schemas.microsoft.com/office/drawing/2014/main" id="{3B43E12E-58E4-4C94-85AB-17A9A35D86B4}"/>
            </a:ext>
          </a:extLst>
        </xdr:cNvPr>
        <xdr:cNvCxnSpPr>
          <a:stCxn id="291" idx="3"/>
          <a:endCxn id="281" idx="2"/>
        </xdr:cNvCxnSpPr>
      </xdr:nvCxnSpPr>
      <xdr:spPr>
        <a:xfrm flipV="1">
          <a:off x="4209313" y="68336670"/>
          <a:ext cx="1951516" cy="46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184882</xdr:colOff>
      <xdr:row>389</xdr:row>
      <xdr:rowOff>87312</xdr:rowOff>
    </xdr:from>
    <xdr:to>
      <xdr:col>21</xdr:col>
      <xdr:colOff>68859</xdr:colOff>
      <xdr:row>392</xdr:row>
      <xdr:rowOff>116119</xdr:rowOff>
    </xdr:to>
    <xdr:grpSp>
      <xdr:nvGrpSpPr>
        <xdr:cNvPr id="290" name="グループ化 8">
          <a:extLst>
            <a:ext uri="{FF2B5EF4-FFF2-40B4-BE49-F238E27FC236}">
              <a16:creationId xmlns:a16="http://schemas.microsoft.com/office/drawing/2014/main" id="{A23CDD69-FCF4-4289-96DE-F1E531992DEC}"/>
            </a:ext>
          </a:extLst>
        </xdr:cNvPr>
        <xdr:cNvGrpSpPr/>
      </xdr:nvGrpSpPr>
      <xdr:grpSpPr>
        <a:xfrm>
          <a:off x="2899507" y="66943287"/>
          <a:ext cx="969827" cy="543157"/>
          <a:chOff x="1615543" y="2430783"/>
          <a:chExt cx="908902" cy="422628"/>
        </a:xfrm>
      </xdr:grpSpPr>
      <xdr:sp macro="" textlink="">
        <xdr:nvSpPr>
          <xdr:cNvPr id="291" name="フローチャート: 定義済み処理 9">
            <a:extLst>
              <a:ext uri="{FF2B5EF4-FFF2-40B4-BE49-F238E27FC236}">
                <a16:creationId xmlns:a16="http://schemas.microsoft.com/office/drawing/2014/main" id="{52338110-13F9-703B-27A3-8B3CE72A6011}"/>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92" name="正方形/長方形 48">
            <a:extLst>
              <a:ext uri="{FF2B5EF4-FFF2-40B4-BE49-F238E27FC236}">
                <a16:creationId xmlns:a16="http://schemas.microsoft.com/office/drawing/2014/main" id="{A9830AC5-7AFF-0956-7D20-36B6E61505C3}"/>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14.</a:t>
            </a:r>
            <a:r>
              <a:rPr kumimoji="1" lang="ja-JP" altLang="en-US" sz="900"/>
              <a:t>ネッティング</a:t>
            </a:r>
            <a:br>
              <a:rPr kumimoji="1" lang="en-US" altLang="ja-JP" sz="900"/>
            </a:br>
            <a:r>
              <a:rPr kumimoji="1" lang="ja-JP" altLang="en-US" sz="900"/>
              <a:t>仕訳入力</a:t>
            </a:r>
          </a:p>
        </xdr:txBody>
      </xdr:sp>
    </xdr:grpSp>
    <xdr:clientData/>
  </xdr:twoCellAnchor>
  <xdr:twoCellAnchor>
    <xdr:from>
      <xdr:col>31</xdr:col>
      <xdr:colOff>48809</xdr:colOff>
      <xdr:row>395</xdr:row>
      <xdr:rowOff>4676</xdr:rowOff>
    </xdr:from>
    <xdr:to>
      <xdr:col>35</xdr:col>
      <xdr:colOff>23855</xdr:colOff>
      <xdr:row>398</xdr:row>
      <xdr:rowOff>113034</xdr:rowOff>
    </xdr:to>
    <xdr:grpSp>
      <xdr:nvGrpSpPr>
        <xdr:cNvPr id="293" name="グループ化 92">
          <a:extLst>
            <a:ext uri="{FF2B5EF4-FFF2-40B4-BE49-F238E27FC236}">
              <a16:creationId xmlns:a16="http://schemas.microsoft.com/office/drawing/2014/main" id="{E85F03BD-284F-42F0-A26D-F2B413D62FBC}"/>
            </a:ext>
          </a:extLst>
        </xdr:cNvPr>
        <xdr:cNvGrpSpPr/>
      </xdr:nvGrpSpPr>
      <xdr:grpSpPr>
        <a:xfrm>
          <a:off x="5659034" y="67889351"/>
          <a:ext cx="698946" cy="622708"/>
          <a:chOff x="7144737" y="2892425"/>
          <a:chExt cx="763434" cy="597682"/>
        </a:xfrm>
      </xdr:grpSpPr>
      <xdr:sp macro="" textlink="">
        <xdr:nvSpPr>
          <xdr:cNvPr id="294" name="フローチャート: 磁気ディスク 93">
            <a:extLst>
              <a:ext uri="{FF2B5EF4-FFF2-40B4-BE49-F238E27FC236}">
                <a16:creationId xmlns:a16="http://schemas.microsoft.com/office/drawing/2014/main" id="{ED77E37D-0469-B6E9-36E8-58CCB89BC87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5" name="正方形/長方形 94">
            <a:extLst>
              <a:ext uri="{FF2B5EF4-FFF2-40B4-BE49-F238E27FC236}">
                <a16:creationId xmlns:a16="http://schemas.microsoft.com/office/drawing/2014/main" id="{6FEDF9A1-CF29-6F09-5D7D-323D4473FA76}"/>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21</xdr:col>
      <xdr:colOff>112357</xdr:colOff>
      <xdr:row>396</xdr:row>
      <xdr:rowOff>113848</xdr:rowOff>
    </xdr:from>
    <xdr:to>
      <xdr:col>31</xdr:col>
      <xdr:colOff>108564</xdr:colOff>
      <xdr:row>396</xdr:row>
      <xdr:rowOff>119970</xdr:rowOff>
    </xdr:to>
    <xdr:cxnSp macro="">
      <xdr:nvCxnSpPr>
        <xdr:cNvPr id="296" name="直線矢印コネクタ 295">
          <a:extLst>
            <a:ext uri="{FF2B5EF4-FFF2-40B4-BE49-F238E27FC236}">
              <a16:creationId xmlns:a16="http://schemas.microsoft.com/office/drawing/2014/main" id="{5E5E7AA2-C923-4B75-92CD-B1CF63F2D28F}"/>
            </a:ext>
          </a:extLst>
        </xdr:cNvPr>
        <xdr:cNvCxnSpPr>
          <a:cxnSpLocks/>
          <a:stCxn id="380" idx="3"/>
          <a:endCxn id="294" idx="2"/>
        </xdr:cNvCxnSpPr>
      </xdr:nvCxnSpPr>
      <xdr:spPr>
        <a:xfrm flipV="1">
          <a:off x="4279545" y="69312973"/>
          <a:ext cx="1980582" cy="61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8544</xdr:colOff>
      <xdr:row>401</xdr:row>
      <xdr:rowOff>60693</xdr:rowOff>
    </xdr:from>
    <xdr:to>
      <xdr:col>35</xdr:col>
      <xdr:colOff>13142</xdr:colOff>
      <xdr:row>404</xdr:row>
      <xdr:rowOff>170494</xdr:rowOff>
    </xdr:to>
    <xdr:grpSp>
      <xdr:nvGrpSpPr>
        <xdr:cNvPr id="297" name="グループ化 92">
          <a:extLst>
            <a:ext uri="{FF2B5EF4-FFF2-40B4-BE49-F238E27FC236}">
              <a16:creationId xmlns:a16="http://schemas.microsoft.com/office/drawing/2014/main" id="{BAD9BD7D-887F-4217-B8B1-A0DDD1FE951D}"/>
            </a:ext>
          </a:extLst>
        </xdr:cNvPr>
        <xdr:cNvGrpSpPr/>
      </xdr:nvGrpSpPr>
      <xdr:grpSpPr>
        <a:xfrm>
          <a:off x="5618769" y="68974068"/>
          <a:ext cx="728498" cy="624151"/>
          <a:chOff x="7144736" y="2892425"/>
          <a:chExt cx="791158" cy="597682"/>
        </a:xfrm>
      </xdr:grpSpPr>
      <xdr:sp macro="" textlink="">
        <xdr:nvSpPr>
          <xdr:cNvPr id="298" name="フローチャート: 磁気ディスク 93">
            <a:extLst>
              <a:ext uri="{FF2B5EF4-FFF2-40B4-BE49-F238E27FC236}">
                <a16:creationId xmlns:a16="http://schemas.microsoft.com/office/drawing/2014/main" id="{B18DEE58-C1F3-277D-FD10-B998F604FD9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09" name="正方形/長方形 94">
            <a:extLst>
              <a:ext uri="{FF2B5EF4-FFF2-40B4-BE49-F238E27FC236}">
                <a16:creationId xmlns:a16="http://schemas.microsoft.com/office/drawing/2014/main" id="{82D94B98-EF7C-CA29-44E4-D55FD103EACB}"/>
              </a:ext>
            </a:extLst>
          </xdr:cNvPr>
          <xdr:cNvSpPr/>
        </xdr:nvSpPr>
        <xdr:spPr>
          <a:xfrm>
            <a:off x="7144736" y="2984500"/>
            <a:ext cx="79115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28</xdr:col>
      <xdr:colOff>146512</xdr:colOff>
      <xdr:row>402</xdr:row>
      <xdr:rowOff>170445</xdr:rowOff>
    </xdr:from>
    <xdr:to>
      <xdr:col>31</xdr:col>
      <xdr:colOff>68422</xdr:colOff>
      <xdr:row>402</xdr:row>
      <xdr:rowOff>170513</xdr:rowOff>
    </xdr:to>
    <xdr:cxnSp macro="">
      <xdr:nvCxnSpPr>
        <xdr:cNvPr id="310" name="直線矢印コネクタ 309">
          <a:extLst>
            <a:ext uri="{FF2B5EF4-FFF2-40B4-BE49-F238E27FC236}">
              <a16:creationId xmlns:a16="http://schemas.microsoft.com/office/drawing/2014/main" id="{F1BF7549-68FC-41B9-9B77-CA1B2796AA51}"/>
            </a:ext>
          </a:extLst>
        </xdr:cNvPr>
        <xdr:cNvCxnSpPr>
          <a:cxnSpLocks/>
          <a:stCxn id="382" idx="3"/>
          <a:endCxn id="298" idx="2"/>
        </xdr:cNvCxnSpPr>
      </xdr:nvCxnSpPr>
      <xdr:spPr>
        <a:xfrm>
          <a:off x="5702762" y="70417320"/>
          <a:ext cx="517223" cy="6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50954</xdr:colOff>
      <xdr:row>417</xdr:row>
      <xdr:rowOff>130008</xdr:rowOff>
    </xdr:from>
    <xdr:to>
      <xdr:col>35</xdr:col>
      <xdr:colOff>29298</xdr:colOff>
      <xdr:row>421</xdr:row>
      <xdr:rowOff>64360</xdr:rowOff>
    </xdr:to>
    <xdr:grpSp>
      <xdr:nvGrpSpPr>
        <xdr:cNvPr id="311" name="グループ化 92">
          <a:extLst>
            <a:ext uri="{FF2B5EF4-FFF2-40B4-BE49-F238E27FC236}">
              <a16:creationId xmlns:a16="http://schemas.microsoft.com/office/drawing/2014/main" id="{6131DCE9-FDA3-49A1-9B38-DDEFFB73715C}"/>
            </a:ext>
          </a:extLst>
        </xdr:cNvPr>
        <xdr:cNvGrpSpPr/>
      </xdr:nvGrpSpPr>
      <xdr:grpSpPr>
        <a:xfrm>
          <a:off x="5661179" y="71786583"/>
          <a:ext cx="702244" cy="620152"/>
          <a:chOff x="7144737" y="2892425"/>
          <a:chExt cx="763434" cy="597682"/>
        </a:xfrm>
      </xdr:grpSpPr>
      <xdr:sp macro="" textlink="">
        <xdr:nvSpPr>
          <xdr:cNvPr id="312" name="フローチャート: 磁気ディスク 93">
            <a:extLst>
              <a:ext uri="{FF2B5EF4-FFF2-40B4-BE49-F238E27FC236}">
                <a16:creationId xmlns:a16="http://schemas.microsoft.com/office/drawing/2014/main" id="{B1B846D9-F39E-D340-7A71-E790FDF72DD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13" name="正方形/長方形 94">
            <a:extLst>
              <a:ext uri="{FF2B5EF4-FFF2-40B4-BE49-F238E27FC236}">
                <a16:creationId xmlns:a16="http://schemas.microsoft.com/office/drawing/2014/main" id="{8A43BBDA-91E2-149C-7F4A-FACD3E43FA09}"/>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28</xdr:col>
      <xdr:colOff>130228</xdr:colOff>
      <xdr:row>419</xdr:row>
      <xdr:rowOff>63376</xdr:rowOff>
    </xdr:from>
    <xdr:to>
      <xdr:col>31</xdr:col>
      <xdr:colOff>110965</xdr:colOff>
      <xdr:row>419</xdr:row>
      <xdr:rowOff>64833</xdr:rowOff>
    </xdr:to>
    <xdr:cxnSp macro="">
      <xdr:nvCxnSpPr>
        <xdr:cNvPr id="314" name="直線矢印コネクタ 313">
          <a:extLst>
            <a:ext uri="{FF2B5EF4-FFF2-40B4-BE49-F238E27FC236}">
              <a16:creationId xmlns:a16="http://schemas.microsoft.com/office/drawing/2014/main" id="{3927F3C2-B1C4-4991-8904-52D537E6E03B}"/>
            </a:ext>
          </a:extLst>
        </xdr:cNvPr>
        <xdr:cNvCxnSpPr>
          <a:cxnSpLocks/>
          <a:stCxn id="479" idx="3"/>
          <a:endCxn id="312" idx="2"/>
        </xdr:cNvCxnSpPr>
      </xdr:nvCxnSpPr>
      <xdr:spPr>
        <a:xfrm>
          <a:off x="5686478" y="73278876"/>
          <a:ext cx="576050" cy="145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36915</xdr:colOff>
      <xdr:row>411</xdr:row>
      <xdr:rowOff>165027</xdr:rowOff>
    </xdr:from>
    <xdr:to>
      <xdr:col>35</xdr:col>
      <xdr:colOff>11961</xdr:colOff>
      <xdr:row>415</xdr:row>
      <xdr:rowOff>98761</xdr:rowOff>
    </xdr:to>
    <xdr:grpSp>
      <xdr:nvGrpSpPr>
        <xdr:cNvPr id="315" name="グループ化 92">
          <a:extLst>
            <a:ext uri="{FF2B5EF4-FFF2-40B4-BE49-F238E27FC236}">
              <a16:creationId xmlns:a16="http://schemas.microsoft.com/office/drawing/2014/main" id="{E193FA46-7FB1-4328-B8EA-1DC29A9DBD2C}"/>
            </a:ext>
          </a:extLst>
        </xdr:cNvPr>
        <xdr:cNvGrpSpPr/>
      </xdr:nvGrpSpPr>
      <xdr:grpSpPr>
        <a:xfrm>
          <a:off x="5647140" y="70792902"/>
          <a:ext cx="698946" cy="619534"/>
          <a:chOff x="7144737" y="2892425"/>
          <a:chExt cx="763434" cy="597682"/>
        </a:xfrm>
      </xdr:grpSpPr>
      <xdr:sp macro="" textlink="">
        <xdr:nvSpPr>
          <xdr:cNvPr id="316" name="フローチャート: 磁気ディスク 93">
            <a:extLst>
              <a:ext uri="{FF2B5EF4-FFF2-40B4-BE49-F238E27FC236}">
                <a16:creationId xmlns:a16="http://schemas.microsoft.com/office/drawing/2014/main" id="{BB44AB8A-A3D9-3981-F960-0070D8A1C5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17" name="正方形/長方形 94">
            <a:extLst>
              <a:ext uri="{FF2B5EF4-FFF2-40B4-BE49-F238E27FC236}">
                <a16:creationId xmlns:a16="http://schemas.microsoft.com/office/drawing/2014/main" id="{E50066AB-65BB-E343-B01F-3A353E3B2E71}"/>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21</xdr:col>
      <xdr:colOff>110091</xdr:colOff>
      <xdr:row>413</xdr:row>
      <xdr:rowOff>95437</xdr:rowOff>
    </xdr:from>
    <xdr:to>
      <xdr:col>31</xdr:col>
      <xdr:colOff>96670</xdr:colOff>
      <xdr:row>413</xdr:row>
      <xdr:rowOff>99574</xdr:rowOff>
    </xdr:to>
    <xdr:cxnSp macro="">
      <xdr:nvCxnSpPr>
        <xdr:cNvPr id="318" name="直線矢印コネクタ 317">
          <a:extLst>
            <a:ext uri="{FF2B5EF4-FFF2-40B4-BE49-F238E27FC236}">
              <a16:creationId xmlns:a16="http://schemas.microsoft.com/office/drawing/2014/main" id="{B46ADD19-9BBF-4EF9-BDEB-C469600DBE2D}"/>
            </a:ext>
          </a:extLst>
        </xdr:cNvPr>
        <xdr:cNvCxnSpPr>
          <a:cxnSpLocks/>
          <a:stCxn id="450" idx="3"/>
          <a:endCxn id="316" idx="2"/>
        </xdr:cNvCxnSpPr>
      </xdr:nvCxnSpPr>
      <xdr:spPr>
        <a:xfrm>
          <a:off x="4277279" y="72263187"/>
          <a:ext cx="1970954" cy="41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14540</xdr:colOff>
      <xdr:row>398</xdr:row>
      <xdr:rowOff>15173</xdr:rowOff>
    </xdr:from>
    <xdr:to>
      <xdr:col>26</xdr:col>
      <xdr:colOff>39443</xdr:colOff>
      <xdr:row>401</xdr:row>
      <xdr:rowOff>79987</xdr:rowOff>
    </xdr:to>
    <xdr:cxnSp macro="">
      <xdr:nvCxnSpPr>
        <xdr:cNvPr id="327" name="コネクタ: カギ線 326">
          <a:extLst>
            <a:ext uri="{FF2B5EF4-FFF2-40B4-BE49-F238E27FC236}">
              <a16:creationId xmlns:a16="http://schemas.microsoft.com/office/drawing/2014/main" id="{27B641F5-25B2-43D4-8FC7-FB37FFA209CF}"/>
            </a:ext>
          </a:extLst>
        </xdr:cNvPr>
        <xdr:cNvCxnSpPr/>
      </xdr:nvCxnSpPr>
      <xdr:spPr>
        <a:xfrm rot="16200000" flipH="1">
          <a:off x="4197491" y="69150910"/>
          <a:ext cx="588689" cy="141396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38398</xdr:colOff>
      <xdr:row>404</xdr:row>
      <xdr:rowOff>108793</xdr:rowOff>
    </xdr:from>
    <xdr:to>
      <xdr:col>26</xdr:col>
      <xdr:colOff>39442</xdr:colOff>
      <xdr:row>406</xdr:row>
      <xdr:rowOff>89174</xdr:rowOff>
    </xdr:to>
    <xdr:cxnSp macro="">
      <xdr:nvCxnSpPr>
        <xdr:cNvPr id="338" name="直線矢印コネクタ 27">
          <a:extLst>
            <a:ext uri="{FF2B5EF4-FFF2-40B4-BE49-F238E27FC236}">
              <a16:creationId xmlns:a16="http://schemas.microsoft.com/office/drawing/2014/main" id="{75A14255-0814-4759-9C8A-72F433B35BEF}"/>
            </a:ext>
          </a:extLst>
        </xdr:cNvPr>
        <xdr:cNvCxnSpPr>
          <a:cxnSpLocks/>
          <a:endCxn id="341" idx="0"/>
        </xdr:cNvCxnSpPr>
      </xdr:nvCxnSpPr>
      <xdr:spPr>
        <a:xfrm flipH="1">
          <a:off x="5197773" y="70704918"/>
          <a:ext cx="1044" cy="3296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115084</xdr:colOff>
      <xdr:row>406</xdr:row>
      <xdr:rowOff>78527</xdr:rowOff>
    </xdr:from>
    <xdr:to>
      <xdr:col>28</xdr:col>
      <xdr:colOff>154686</xdr:colOff>
      <xdr:row>409</xdr:row>
      <xdr:rowOff>86552</xdr:rowOff>
    </xdr:to>
    <xdr:grpSp>
      <xdr:nvGrpSpPr>
        <xdr:cNvPr id="339" name="グループ化 338">
          <a:extLst>
            <a:ext uri="{FF2B5EF4-FFF2-40B4-BE49-F238E27FC236}">
              <a16:creationId xmlns:a16="http://schemas.microsoft.com/office/drawing/2014/main" id="{B27CA4AC-DD17-4D5D-BF14-8EBBFC910CC5}"/>
            </a:ext>
          </a:extLst>
        </xdr:cNvPr>
        <xdr:cNvGrpSpPr/>
      </xdr:nvGrpSpPr>
      <xdr:grpSpPr>
        <a:xfrm>
          <a:off x="4277509" y="69849152"/>
          <a:ext cx="944477" cy="522375"/>
          <a:chOff x="287474" y="4845794"/>
          <a:chExt cx="1021504" cy="505814"/>
        </a:xfrm>
      </xdr:grpSpPr>
      <xdr:sp macro="" textlink="">
        <xdr:nvSpPr>
          <xdr:cNvPr id="340" name="フローチャート: 判断 339">
            <a:extLst>
              <a:ext uri="{FF2B5EF4-FFF2-40B4-BE49-F238E27FC236}">
                <a16:creationId xmlns:a16="http://schemas.microsoft.com/office/drawing/2014/main" id="{E6EEA134-E614-F5B4-2B45-887FD55151AC}"/>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341" name="正方形/長方形 48">
            <a:extLst>
              <a:ext uri="{FF2B5EF4-FFF2-40B4-BE49-F238E27FC236}">
                <a16:creationId xmlns:a16="http://schemas.microsoft.com/office/drawing/2014/main" id="{91A5CFAD-C8DD-0E32-63F7-CDA102D25FF8}"/>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52101</xdr:colOff>
      <xdr:row>409</xdr:row>
      <xdr:rowOff>50707</xdr:rowOff>
    </xdr:from>
    <xdr:to>
      <xdr:col>28</xdr:col>
      <xdr:colOff>106467</xdr:colOff>
      <xdr:row>410</xdr:row>
      <xdr:rowOff>96540</xdr:rowOff>
    </xdr:to>
    <xdr:sp macro="" textlink="">
      <xdr:nvSpPr>
        <xdr:cNvPr id="342" name="テキスト ボックス 341">
          <a:extLst>
            <a:ext uri="{FF2B5EF4-FFF2-40B4-BE49-F238E27FC236}">
              <a16:creationId xmlns:a16="http://schemas.microsoft.com/office/drawing/2014/main" id="{F1CBEFDF-8589-4844-B0AE-2B1F258660B9}"/>
            </a:ext>
          </a:extLst>
        </xdr:cNvPr>
        <xdr:cNvSpPr txBox="1"/>
      </xdr:nvSpPr>
      <xdr:spPr>
        <a:xfrm>
          <a:off x="5211476" y="71519957"/>
          <a:ext cx="451241" cy="22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21</xdr:col>
      <xdr:colOff>153344</xdr:colOff>
      <xdr:row>406</xdr:row>
      <xdr:rowOff>531</xdr:rowOff>
    </xdr:from>
    <xdr:to>
      <xdr:col>25</xdr:col>
      <xdr:colOff>92227</xdr:colOff>
      <xdr:row>407</xdr:row>
      <xdr:rowOff>101761</xdr:rowOff>
    </xdr:to>
    <xdr:sp macro="" textlink="">
      <xdr:nvSpPr>
        <xdr:cNvPr id="343" name="テキスト ボックス 342">
          <a:extLst>
            <a:ext uri="{FF2B5EF4-FFF2-40B4-BE49-F238E27FC236}">
              <a16:creationId xmlns:a16="http://schemas.microsoft.com/office/drawing/2014/main" id="{DE37A84F-003B-45F8-B1D9-33E20A57DB3F}"/>
            </a:ext>
          </a:extLst>
        </xdr:cNvPr>
        <xdr:cNvSpPr txBox="1"/>
      </xdr:nvSpPr>
      <xdr:spPr>
        <a:xfrm>
          <a:off x="4320532" y="70945906"/>
          <a:ext cx="732633" cy="275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32396</xdr:colOff>
      <xdr:row>409</xdr:row>
      <xdr:rowOff>64495</xdr:rowOff>
    </xdr:from>
    <xdr:to>
      <xdr:col>26</xdr:col>
      <xdr:colOff>38477</xdr:colOff>
      <xdr:row>417</xdr:row>
      <xdr:rowOff>150453</xdr:rowOff>
    </xdr:to>
    <xdr:cxnSp macro="">
      <xdr:nvCxnSpPr>
        <xdr:cNvPr id="344" name="直線矢印コネクタ 343">
          <a:extLst>
            <a:ext uri="{FF2B5EF4-FFF2-40B4-BE49-F238E27FC236}">
              <a16:creationId xmlns:a16="http://schemas.microsoft.com/office/drawing/2014/main" id="{D2727551-99A4-45A7-9B4D-7D605A7E8682}"/>
            </a:ext>
          </a:extLst>
        </xdr:cNvPr>
        <xdr:cNvCxnSpPr>
          <a:cxnSpLocks/>
          <a:stCxn id="340" idx="2"/>
        </xdr:cNvCxnSpPr>
      </xdr:nvCxnSpPr>
      <xdr:spPr>
        <a:xfrm>
          <a:off x="5191771" y="71533745"/>
          <a:ext cx="6081" cy="148295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33998</xdr:colOff>
      <xdr:row>407</xdr:row>
      <xdr:rowOff>158515</xdr:rowOff>
    </xdr:from>
    <xdr:to>
      <xdr:col>23</xdr:col>
      <xdr:colOff>197173</xdr:colOff>
      <xdr:row>411</xdr:row>
      <xdr:rowOff>166085</xdr:rowOff>
    </xdr:to>
    <xdr:cxnSp macro="">
      <xdr:nvCxnSpPr>
        <xdr:cNvPr id="346" name="コネクタ: カギ線 345">
          <a:extLst>
            <a:ext uri="{FF2B5EF4-FFF2-40B4-BE49-F238E27FC236}">
              <a16:creationId xmlns:a16="http://schemas.microsoft.com/office/drawing/2014/main" id="{50154085-AC64-4D7A-928C-59093B27C29F}"/>
            </a:ext>
          </a:extLst>
        </xdr:cNvPr>
        <xdr:cNvCxnSpPr>
          <a:stCxn id="340" idx="1"/>
        </xdr:cNvCxnSpPr>
      </xdr:nvCxnSpPr>
      <xdr:spPr>
        <a:xfrm rot="10800000" flipV="1">
          <a:off x="3804311" y="71278515"/>
          <a:ext cx="956925" cy="70607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80771</xdr:colOff>
      <xdr:row>396</xdr:row>
      <xdr:rowOff>116874</xdr:rowOff>
    </xdr:from>
    <xdr:to>
      <xdr:col>16</xdr:col>
      <xdr:colOff>117388</xdr:colOff>
      <xdr:row>413</xdr:row>
      <xdr:rowOff>93487</xdr:rowOff>
    </xdr:to>
    <xdr:cxnSp macro="">
      <xdr:nvCxnSpPr>
        <xdr:cNvPr id="352" name="コネクタ: カギ線 351">
          <a:extLst>
            <a:ext uri="{FF2B5EF4-FFF2-40B4-BE49-F238E27FC236}">
              <a16:creationId xmlns:a16="http://schemas.microsoft.com/office/drawing/2014/main" id="{74ECCF8F-25EA-40F5-BFF3-540763A2D9D3}"/>
            </a:ext>
          </a:extLst>
        </xdr:cNvPr>
        <xdr:cNvCxnSpPr/>
      </xdr:nvCxnSpPr>
      <xdr:spPr>
        <a:xfrm rot="10800000" flipH="1">
          <a:off x="3255771" y="69315999"/>
          <a:ext cx="36617" cy="2945238"/>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47784</xdr:colOff>
      <xdr:row>408</xdr:row>
      <xdr:rowOff>20115</xdr:rowOff>
    </xdr:from>
    <xdr:to>
      <xdr:col>25</xdr:col>
      <xdr:colOff>49931</xdr:colOff>
      <xdr:row>409</xdr:row>
      <xdr:rowOff>144312</xdr:rowOff>
    </xdr:to>
    <xdr:sp macro="" textlink="">
      <xdr:nvSpPr>
        <xdr:cNvPr id="353" name="テキスト ボックス 352">
          <a:extLst>
            <a:ext uri="{FF2B5EF4-FFF2-40B4-BE49-F238E27FC236}">
              <a16:creationId xmlns:a16="http://schemas.microsoft.com/office/drawing/2014/main" id="{558852B2-7BFD-4741-B4B5-2D3491FBCB3E}"/>
            </a:ext>
          </a:extLst>
        </xdr:cNvPr>
        <xdr:cNvSpPr txBox="1"/>
      </xdr:nvSpPr>
      <xdr:spPr>
        <a:xfrm>
          <a:off x="3818097" y="71314740"/>
          <a:ext cx="1192772" cy="298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22</xdr:col>
      <xdr:colOff>37106</xdr:colOff>
      <xdr:row>398</xdr:row>
      <xdr:rowOff>9135</xdr:rowOff>
    </xdr:from>
    <xdr:to>
      <xdr:col>28</xdr:col>
      <xdr:colOff>17749</xdr:colOff>
      <xdr:row>399</xdr:row>
      <xdr:rowOff>68112</xdr:rowOff>
    </xdr:to>
    <xdr:sp macro="" textlink="">
      <xdr:nvSpPr>
        <xdr:cNvPr id="356" name="テキスト ボックス 355">
          <a:extLst>
            <a:ext uri="{FF2B5EF4-FFF2-40B4-BE49-F238E27FC236}">
              <a16:creationId xmlns:a16="http://schemas.microsoft.com/office/drawing/2014/main" id="{E81F02B1-46A7-4182-8DBA-B94047C35A62}"/>
            </a:ext>
          </a:extLst>
        </xdr:cNvPr>
        <xdr:cNvSpPr txBox="1"/>
      </xdr:nvSpPr>
      <xdr:spPr>
        <a:xfrm>
          <a:off x="4402731" y="69557510"/>
          <a:ext cx="1171268" cy="23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18</xdr:col>
      <xdr:colOff>152936</xdr:colOff>
      <xdr:row>392</xdr:row>
      <xdr:rowOff>78241</xdr:rowOff>
    </xdr:from>
    <xdr:to>
      <xdr:col>18</xdr:col>
      <xdr:colOff>159286</xdr:colOff>
      <xdr:row>395</xdr:row>
      <xdr:rowOff>46491</xdr:rowOff>
    </xdr:to>
    <xdr:cxnSp macro="">
      <xdr:nvCxnSpPr>
        <xdr:cNvPr id="358" name="直線矢印コネクタ 27">
          <a:extLst>
            <a:ext uri="{FF2B5EF4-FFF2-40B4-BE49-F238E27FC236}">
              <a16:creationId xmlns:a16="http://schemas.microsoft.com/office/drawing/2014/main" id="{2634D1FF-EA54-479D-B5DA-80CA98545CA2}"/>
            </a:ext>
          </a:extLst>
        </xdr:cNvPr>
        <xdr:cNvCxnSpPr>
          <a:cxnSpLocks/>
        </xdr:cNvCxnSpPr>
      </xdr:nvCxnSpPr>
      <xdr:spPr>
        <a:xfrm>
          <a:off x="3724811" y="68578866"/>
          <a:ext cx="6350" cy="4921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126871</xdr:colOff>
      <xdr:row>376</xdr:row>
      <xdr:rowOff>110128</xdr:rowOff>
    </xdr:from>
    <xdr:to>
      <xdr:col>18</xdr:col>
      <xdr:colOff>151580</xdr:colOff>
      <xdr:row>389</xdr:row>
      <xdr:rowOff>87312</xdr:rowOff>
    </xdr:to>
    <xdr:cxnSp macro="">
      <xdr:nvCxnSpPr>
        <xdr:cNvPr id="373" name="直線矢印コネクタ 372">
          <a:extLst>
            <a:ext uri="{FF2B5EF4-FFF2-40B4-BE49-F238E27FC236}">
              <a16:creationId xmlns:a16="http://schemas.microsoft.com/office/drawing/2014/main" id="{184951E2-4961-4FA8-84E5-9F652B13FBD5}"/>
            </a:ext>
          </a:extLst>
        </xdr:cNvPr>
        <xdr:cNvCxnSpPr>
          <a:cxnSpLocks/>
          <a:stCxn id="1036" idx="2"/>
          <a:endCxn id="292" idx="0"/>
        </xdr:cNvCxnSpPr>
      </xdr:nvCxnSpPr>
      <xdr:spPr>
        <a:xfrm flipH="1">
          <a:off x="3698746" y="65816753"/>
          <a:ext cx="24709" cy="224730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120752</xdr:colOff>
      <xdr:row>395</xdr:row>
      <xdr:rowOff>48177</xdr:rowOff>
    </xdr:from>
    <xdr:to>
      <xdr:col>21</xdr:col>
      <xdr:colOff>112357</xdr:colOff>
      <xdr:row>398</xdr:row>
      <xdr:rowOff>17137</xdr:rowOff>
    </xdr:to>
    <xdr:sp macro="" textlink="">
      <xdr:nvSpPr>
        <xdr:cNvPr id="380" name="フローチャート: 定義済み処理 9">
          <a:extLst>
            <a:ext uri="{FF2B5EF4-FFF2-40B4-BE49-F238E27FC236}">
              <a16:creationId xmlns:a16="http://schemas.microsoft.com/office/drawing/2014/main" id="{F5A51A97-3486-4782-BC36-7FD8BE47D51D}"/>
            </a:ext>
          </a:extLst>
        </xdr:cNvPr>
        <xdr:cNvSpPr/>
      </xdr:nvSpPr>
      <xdr:spPr>
        <a:xfrm>
          <a:off x="3295752" y="69072677"/>
          <a:ext cx="983793" cy="49283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71437</xdr:colOff>
      <xdr:row>395</xdr:row>
      <xdr:rowOff>7937</xdr:rowOff>
    </xdr:from>
    <xdr:to>
      <xdr:col>21</xdr:col>
      <xdr:colOff>170861</xdr:colOff>
      <xdr:row>398</xdr:row>
      <xdr:rowOff>38186</xdr:rowOff>
    </xdr:to>
    <xdr:sp macro="" textlink="">
      <xdr:nvSpPr>
        <xdr:cNvPr id="381" name="正方形/長方形 48">
          <a:extLst>
            <a:ext uri="{FF2B5EF4-FFF2-40B4-BE49-F238E27FC236}">
              <a16:creationId xmlns:a16="http://schemas.microsoft.com/office/drawing/2014/main" id="{7C6C1CC3-29AB-411F-B96C-E353B750FCE2}"/>
            </a:ext>
          </a:extLst>
        </xdr:cNvPr>
        <xdr:cNvSpPr/>
      </xdr:nvSpPr>
      <xdr:spPr>
        <a:xfrm>
          <a:off x="3246437" y="69032437"/>
          <a:ext cx="1091612" cy="55412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15.</a:t>
          </a:r>
          <a:r>
            <a:rPr kumimoji="1" lang="ja-JP" altLang="en-US" sz="900"/>
            <a:t>ネッティング</a:t>
          </a:r>
          <a:br>
            <a:rPr kumimoji="1" lang="en-US" altLang="ja-JP" sz="900"/>
          </a:br>
          <a:r>
            <a:rPr kumimoji="1" lang="ja-JP" altLang="en-US" sz="900"/>
            <a:t>仕訳承認申請</a:t>
          </a:r>
        </a:p>
      </xdr:txBody>
    </xdr:sp>
    <xdr:clientData/>
  </xdr:twoCellAnchor>
  <xdr:twoCellAnchor>
    <xdr:from>
      <xdr:col>23</xdr:col>
      <xdr:colOff>154907</xdr:colOff>
      <xdr:row>401</xdr:row>
      <xdr:rowOff>98652</xdr:rowOff>
    </xdr:from>
    <xdr:to>
      <xdr:col>28</xdr:col>
      <xdr:colOff>146512</xdr:colOff>
      <xdr:row>404</xdr:row>
      <xdr:rowOff>67612</xdr:rowOff>
    </xdr:to>
    <xdr:sp macro="" textlink="">
      <xdr:nvSpPr>
        <xdr:cNvPr id="382" name="フローチャート: 定義済み処理 9">
          <a:extLst>
            <a:ext uri="{FF2B5EF4-FFF2-40B4-BE49-F238E27FC236}">
              <a16:creationId xmlns:a16="http://schemas.microsoft.com/office/drawing/2014/main" id="{897374B6-9C43-49FC-8134-47D6680D0D46}"/>
            </a:ext>
          </a:extLst>
        </xdr:cNvPr>
        <xdr:cNvSpPr/>
      </xdr:nvSpPr>
      <xdr:spPr>
        <a:xfrm>
          <a:off x="4718970" y="70170902"/>
          <a:ext cx="983792" cy="49283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123734</xdr:colOff>
      <xdr:row>401</xdr:row>
      <xdr:rowOff>59856</xdr:rowOff>
    </xdr:from>
    <xdr:to>
      <xdr:col>29</xdr:col>
      <xdr:colOff>24720</xdr:colOff>
      <xdr:row>404</xdr:row>
      <xdr:rowOff>88661</xdr:rowOff>
    </xdr:to>
    <xdr:sp macro="" textlink="">
      <xdr:nvSpPr>
        <xdr:cNvPr id="383" name="正方形/長方形 48">
          <a:extLst>
            <a:ext uri="{FF2B5EF4-FFF2-40B4-BE49-F238E27FC236}">
              <a16:creationId xmlns:a16="http://schemas.microsoft.com/office/drawing/2014/main" id="{1F20E1CB-7196-4831-A25C-BB7840A34981}"/>
            </a:ext>
          </a:extLst>
        </xdr:cNvPr>
        <xdr:cNvSpPr/>
      </xdr:nvSpPr>
      <xdr:spPr>
        <a:xfrm>
          <a:off x="4687797" y="70132106"/>
          <a:ext cx="1091611" cy="5526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16.</a:t>
          </a:r>
          <a:r>
            <a:rPr kumimoji="1" lang="ja-JP" altLang="en-US" sz="900"/>
            <a:t>ネッティング仕訳承認</a:t>
          </a:r>
          <a:r>
            <a:rPr kumimoji="1" lang="en-US" altLang="ja-JP" sz="900"/>
            <a:t>/</a:t>
          </a:r>
          <a:r>
            <a:rPr kumimoji="1" lang="ja-JP" altLang="en-US" sz="900"/>
            <a:t>変更依頼</a:t>
          </a:r>
        </a:p>
      </xdr:txBody>
    </xdr:sp>
    <xdr:clientData/>
  </xdr:twoCellAnchor>
  <xdr:twoCellAnchor>
    <xdr:from>
      <xdr:col>16</xdr:col>
      <xdr:colOff>118486</xdr:colOff>
      <xdr:row>412</xdr:row>
      <xdr:rowOff>24365</xdr:rowOff>
    </xdr:from>
    <xdr:to>
      <xdr:col>21</xdr:col>
      <xdr:colOff>110091</xdr:colOff>
      <xdr:row>414</xdr:row>
      <xdr:rowOff>166508</xdr:rowOff>
    </xdr:to>
    <xdr:sp macro="" textlink="">
      <xdr:nvSpPr>
        <xdr:cNvPr id="450" name="フローチャート: 定義済み処理 9">
          <a:extLst>
            <a:ext uri="{FF2B5EF4-FFF2-40B4-BE49-F238E27FC236}">
              <a16:creationId xmlns:a16="http://schemas.microsoft.com/office/drawing/2014/main" id="{3DD32859-8C11-4ECF-91AA-2BE0FC655A0E}"/>
            </a:ext>
          </a:extLst>
        </xdr:cNvPr>
        <xdr:cNvSpPr/>
      </xdr:nvSpPr>
      <xdr:spPr>
        <a:xfrm>
          <a:off x="3293486" y="72017490"/>
          <a:ext cx="983793" cy="49139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87313</xdr:colOff>
      <xdr:row>411</xdr:row>
      <xdr:rowOff>158750</xdr:rowOff>
    </xdr:from>
    <xdr:to>
      <xdr:col>21</xdr:col>
      <xdr:colOff>186737</xdr:colOff>
      <xdr:row>415</xdr:row>
      <xdr:rowOff>14375</xdr:rowOff>
    </xdr:to>
    <xdr:sp macro="" textlink="">
      <xdr:nvSpPr>
        <xdr:cNvPr id="465" name="正方形/長方形 48">
          <a:extLst>
            <a:ext uri="{FF2B5EF4-FFF2-40B4-BE49-F238E27FC236}">
              <a16:creationId xmlns:a16="http://schemas.microsoft.com/office/drawing/2014/main" id="{7003103D-F73F-4FA3-AB2E-043FBCAB73D7}"/>
            </a:ext>
          </a:extLst>
        </xdr:cNvPr>
        <xdr:cNvSpPr/>
      </xdr:nvSpPr>
      <xdr:spPr>
        <a:xfrm>
          <a:off x="3262313" y="71977250"/>
          <a:ext cx="1091612" cy="5541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17.</a:t>
          </a:r>
          <a:r>
            <a:rPr kumimoji="1" lang="ja-JP" altLang="en-US" sz="900"/>
            <a:t>不備修正</a:t>
          </a:r>
        </a:p>
      </xdr:txBody>
    </xdr:sp>
    <xdr:clientData/>
  </xdr:twoCellAnchor>
  <xdr:twoCellAnchor>
    <xdr:from>
      <xdr:col>23</xdr:col>
      <xdr:colOff>138623</xdr:colOff>
      <xdr:row>417</xdr:row>
      <xdr:rowOff>166620</xdr:rowOff>
    </xdr:from>
    <xdr:to>
      <xdr:col>28</xdr:col>
      <xdr:colOff>130228</xdr:colOff>
      <xdr:row>420</xdr:row>
      <xdr:rowOff>134756</xdr:rowOff>
    </xdr:to>
    <xdr:sp macro="" textlink="">
      <xdr:nvSpPr>
        <xdr:cNvPr id="479" name="フローチャート: 定義済み処理 9">
          <a:extLst>
            <a:ext uri="{FF2B5EF4-FFF2-40B4-BE49-F238E27FC236}">
              <a16:creationId xmlns:a16="http://schemas.microsoft.com/office/drawing/2014/main" id="{092CB614-4157-46FF-9739-8B13B0187AA0}"/>
            </a:ext>
          </a:extLst>
        </xdr:cNvPr>
        <xdr:cNvSpPr/>
      </xdr:nvSpPr>
      <xdr:spPr>
        <a:xfrm>
          <a:off x="4702686" y="73032870"/>
          <a:ext cx="983792" cy="49201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31749</xdr:colOff>
      <xdr:row>417</xdr:row>
      <xdr:rowOff>127000</xdr:rowOff>
    </xdr:from>
    <xdr:to>
      <xdr:col>29</xdr:col>
      <xdr:colOff>31851</xdr:colOff>
      <xdr:row>420</xdr:row>
      <xdr:rowOff>155805</xdr:rowOff>
    </xdr:to>
    <xdr:sp macro="" textlink="">
      <xdr:nvSpPr>
        <xdr:cNvPr id="482" name="正方形/長方形 48">
          <a:extLst>
            <a:ext uri="{FF2B5EF4-FFF2-40B4-BE49-F238E27FC236}">
              <a16:creationId xmlns:a16="http://schemas.microsoft.com/office/drawing/2014/main" id="{314CB02D-191A-4C8E-AA6E-F9DAD68D0403}"/>
            </a:ext>
          </a:extLst>
        </xdr:cNvPr>
        <xdr:cNvSpPr/>
      </xdr:nvSpPr>
      <xdr:spPr>
        <a:xfrm>
          <a:off x="4595812" y="72993250"/>
          <a:ext cx="1190727" cy="5526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18.</a:t>
          </a:r>
          <a:r>
            <a:rPr kumimoji="1" lang="ja-JP" altLang="en-US" sz="900"/>
            <a:t>自動転記バッチ</a:t>
          </a:r>
        </a:p>
      </xdr:txBody>
    </xdr:sp>
    <xdr:clientData/>
  </xdr:twoCellAnchor>
  <xdr:twoCellAnchor>
    <xdr:from>
      <xdr:col>18</xdr:col>
      <xdr:colOff>126871</xdr:colOff>
      <xdr:row>365</xdr:row>
      <xdr:rowOff>103849</xdr:rowOff>
    </xdr:from>
    <xdr:to>
      <xdr:col>26</xdr:col>
      <xdr:colOff>3460</xdr:colOff>
      <xdr:row>389</xdr:row>
      <xdr:rowOff>87313</xdr:rowOff>
    </xdr:to>
    <xdr:cxnSp macro="">
      <xdr:nvCxnSpPr>
        <xdr:cNvPr id="487" name="コネクタ: カギ線 486">
          <a:extLst>
            <a:ext uri="{FF2B5EF4-FFF2-40B4-BE49-F238E27FC236}">
              <a16:creationId xmlns:a16="http://schemas.microsoft.com/office/drawing/2014/main" id="{E9B8AF70-AB39-49BA-816E-DE00D34CA3C7}"/>
            </a:ext>
          </a:extLst>
        </xdr:cNvPr>
        <xdr:cNvCxnSpPr>
          <a:stCxn id="1187" idx="2"/>
          <a:endCxn id="292" idx="0"/>
        </xdr:cNvCxnSpPr>
      </xdr:nvCxnSpPr>
      <xdr:spPr>
        <a:xfrm rot="5400000">
          <a:off x="2343559" y="65244786"/>
          <a:ext cx="4174464" cy="1464089"/>
        </a:xfrm>
        <a:prstGeom prst="bentConnector3">
          <a:avLst>
            <a:gd name="adj1" fmla="val 9164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155939</xdr:colOff>
      <xdr:row>424</xdr:row>
      <xdr:rowOff>0</xdr:rowOff>
    </xdr:from>
    <xdr:to>
      <xdr:col>35</xdr:col>
      <xdr:colOff>70764</xdr:colOff>
      <xdr:row>427</xdr:row>
      <xdr:rowOff>154389</xdr:rowOff>
    </xdr:to>
    <xdr:grpSp>
      <xdr:nvGrpSpPr>
        <xdr:cNvPr id="584" name="グループ化 144">
          <a:extLst>
            <a:ext uri="{FF2B5EF4-FFF2-40B4-BE49-F238E27FC236}">
              <a16:creationId xmlns:a16="http://schemas.microsoft.com/office/drawing/2014/main" id="{A035F31E-798F-4680-8A95-F1C6AE041D37}"/>
            </a:ext>
          </a:extLst>
        </xdr:cNvPr>
        <xdr:cNvGrpSpPr>
          <a:grpSpLocks noChangeAspect="1"/>
        </xdr:cNvGrpSpPr>
      </xdr:nvGrpSpPr>
      <xdr:grpSpPr>
        <a:xfrm>
          <a:off x="5585189" y="72856725"/>
          <a:ext cx="819700" cy="668739"/>
          <a:chOff x="7102989" y="2892422"/>
          <a:chExt cx="873125" cy="603232"/>
        </a:xfrm>
      </xdr:grpSpPr>
      <xdr:sp macro="" textlink="">
        <xdr:nvSpPr>
          <xdr:cNvPr id="585" name="フローチャート: 磁気ディスク 145">
            <a:extLst>
              <a:ext uri="{FF2B5EF4-FFF2-40B4-BE49-F238E27FC236}">
                <a16:creationId xmlns:a16="http://schemas.microsoft.com/office/drawing/2014/main" id="{B6DCFF3F-2BB1-45F3-E946-A5748099D8B4}"/>
              </a:ext>
            </a:extLst>
          </xdr:cNvPr>
          <xdr:cNvSpPr/>
        </xdr:nvSpPr>
        <xdr:spPr>
          <a:xfrm>
            <a:off x="7204074" y="2892422"/>
            <a:ext cx="676275" cy="536574"/>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86" name="正方形/長方形 146">
            <a:extLst>
              <a:ext uri="{FF2B5EF4-FFF2-40B4-BE49-F238E27FC236}">
                <a16:creationId xmlns:a16="http://schemas.microsoft.com/office/drawing/2014/main" id="{23016ACC-025F-67A5-B1DB-48018F5B5501}"/>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21</xdr:col>
      <xdr:colOff>95368</xdr:colOff>
      <xdr:row>425</xdr:row>
      <xdr:rowOff>127033</xdr:rowOff>
    </xdr:from>
    <xdr:to>
      <xdr:col>31</xdr:col>
      <xdr:colOff>62509</xdr:colOff>
      <xdr:row>425</xdr:row>
      <xdr:rowOff>131718</xdr:rowOff>
    </xdr:to>
    <xdr:cxnSp macro="">
      <xdr:nvCxnSpPr>
        <xdr:cNvPr id="587" name="直線矢印コネクタ 586">
          <a:extLst>
            <a:ext uri="{FF2B5EF4-FFF2-40B4-BE49-F238E27FC236}">
              <a16:creationId xmlns:a16="http://schemas.microsoft.com/office/drawing/2014/main" id="{424B58ED-736F-4661-8EC8-5BF66244300A}"/>
            </a:ext>
          </a:extLst>
        </xdr:cNvPr>
        <xdr:cNvCxnSpPr>
          <a:stCxn id="598" idx="3"/>
          <a:endCxn id="585" idx="2"/>
        </xdr:cNvCxnSpPr>
      </xdr:nvCxnSpPr>
      <xdr:spPr>
        <a:xfrm flipV="1">
          <a:off x="4262556" y="74390283"/>
          <a:ext cx="1951516" cy="46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39688</xdr:colOff>
      <xdr:row>424</xdr:row>
      <xdr:rowOff>29050</xdr:rowOff>
    </xdr:from>
    <xdr:to>
      <xdr:col>21</xdr:col>
      <xdr:colOff>122102</xdr:colOff>
      <xdr:row>427</xdr:row>
      <xdr:rowOff>57857</xdr:rowOff>
    </xdr:to>
    <xdr:grpSp>
      <xdr:nvGrpSpPr>
        <xdr:cNvPr id="597" name="グループ化 8">
          <a:extLst>
            <a:ext uri="{FF2B5EF4-FFF2-40B4-BE49-F238E27FC236}">
              <a16:creationId xmlns:a16="http://schemas.microsoft.com/office/drawing/2014/main" id="{0C40687F-26D4-4BA9-BF6F-23F9EC744A1E}"/>
            </a:ext>
          </a:extLst>
        </xdr:cNvPr>
        <xdr:cNvGrpSpPr/>
      </xdr:nvGrpSpPr>
      <xdr:grpSpPr>
        <a:xfrm>
          <a:off x="2935288" y="72885775"/>
          <a:ext cx="987289" cy="543157"/>
          <a:chOff x="1615543" y="2430783"/>
          <a:chExt cx="908902" cy="422628"/>
        </a:xfrm>
      </xdr:grpSpPr>
      <xdr:sp macro="" textlink="">
        <xdr:nvSpPr>
          <xdr:cNvPr id="598" name="フローチャート: 定義済み処理 9">
            <a:extLst>
              <a:ext uri="{FF2B5EF4-FFF2-40B4-BE49-F238E27FC236}">
                <a16:creationId xmlns:a16="http://schemas.microsoft.com/office/drawing/2014/main" id="{95CF0088-221F-18AF-2C65-F89B71B48623}"/>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99" name="正方形/長方形 48">
            <a:extLst>
              <a:ext uri="{FF2B5EF4-FFF2-40B4-BE49-F238E27FC236}">
                <a16:creationId xmlns:a16="http://schemas.microsoft.com/office/drawing/2014/main" id="{708142D3-9C16-6EDB-91D1-A6F154E7E1B1}"/>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19.</a:t>
            </a:r>
            <a:r>
              <a:rPr kumimoji="1" lang="ja-JP" altLang="en-US" sz="900"/>
              <a:t>消費税</a:t>
            </a:r>
            <a:br>
              <a:rPr kumimoji="1" lang="en-US" altLang="ja-JP" sz="900"/>
            </a:br>
            <a:r>
              <a:rPr kumimoji="1" lang="ja-JP" altLang="en-US" sz="900"/>
              <a:t>仕訳入力</a:t>
            </a:r>
          </a:p>
        </xdr:txBody>
      </xdr:sp>
    </xdr:grpSp>
    <xdr:clientData/>
  </xdr:twoCellAnchor>
  <xdr:twoCellAnchor>
    <xdr:from>
      <xdr:col>31</xdr:col>
      <xdr:colOff>102052</xdr:colOff>
      <xdr:row>429</xdr:row>
      <xdr:rowOff>121039</xdr:rowOff>
    </xdr:from>
    <xdr:to>
      <xdr:col>35</xdr:col>
      <xdr:colOff>77098</xdr:colOff>
      <xdr:row>433</xdr:row>
      <xdr:rowOff>54772</xdr:rowOff>
    </xdr:to>
    <xdr:grpSp>
      <xdr:nvGrpSpPr>
        <xdr:cNvPr id="604" name="グループ化 92">
          <a:extLst>
            <a:ext uri="{FF2B5EF4-FFF2-40B4-BE49-F238E27FC236}">
              <a16:creationId xmlns:a16="http://schemas.microsoft.com/office/drawing/2014/main" id="{1E410B21-B127-4A36-9BF6-0AF014EFC471}"/>
            </a:ext>
          </a:extLst>
        </xdr:cNvPr>
        <xdr:cNvGrpSpPr/>
      </xdr:nvGrpSpPr>
      <xdr:grpSpPr>
        <a:xfrm>
          <a:off x="5712277" y="73835014"/>
          <a:ext cx="698946" cy="619533"/>
          <a:chOff x="7144737" y="2892425"/>
          <a:chExt cx="763434" cy="597682"/>
        </a:xfrm>
      </xdr:grpSpPr>
      <xdr:sp macro="" textlink="">
        <xdr:nvSpPr>
          <xdr:cNvPr id="605" name="フローチャート: 磁気ディスク 93">
            <a:extLst>
              <a:ext uri="{FF2B5EF4-FFF2-40B4-BE49-F238E27FC236}">
                <a16:creationId xmlns:a16="http://schemas.microsoft.com/office/drawing/2014/main" id="{0162B391-F531-86D2-1568-03C1C10498A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06" name="正方形/長方形 94">
            <a:extLst>
              <a:ext uri="{FF2B5EF4-FFF2-40B4-BE49-F238E27FC236}">
                <a16:creationId xmlns:a16="http://schemas.microsoft.com/office/drawing/2014/main" id="{5B9CB211-37CC-1812-6210-9CAD5AFFAFC2}"/>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21</xdr:col>
      <xdr:colOff>165600</xdr:colOff>
      <xdr:row>431</xdr:row>
      <xdr:rowOff>55586</xdr:rowOff>
    </xdr:from>
    <xdr:to>
      <xdr:col>31</xdr:col>
      <xdr:colOff>161807</xdr:colOff>
      <xdr:row>431</xdr:row>
      <xdr:rowOff>61708</xdr:rowOff>
    </xdr:to>
    <xdr:cxnSp macro="">
      <xdr:nvCxnSpPr>
        <xdr:cNvPr id="607" name="直線矢印コネクタ 606">
          <a:extLst>
            <a:ext uri="{FF2B5EF4-FFF2-40B4-BE49-F238E27FC236}">
              <a16:creationId xmlns:a16="http://schemas.microsoft.com/office/drawing/2014/main" id="{1DF8F17E-F46B-479B-9A5D-EF4A315C6C1A}"/>
            </a:ext>
          </a:extLst>
        </xdr:cNvPr>
        <xdr:cNvCxnSpPr>
          <a:cxnSpLocks/>
          <a:stCxn id="638" idx="3"/>
          <a:endCxn id="605" idx="2"/>
        </xdr:cNvCxnSpPr>
      </xdr:nvCxnSpPr>
      <xdr:spPr>
        <a:xfrm flipV="1">
          <a:off x="4332788" y="75366586"/>
          <a:ext cx="1980582" cy="61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61787</xdr:colOff>
      <xdr:row>436</xdr:row>
      <xdr:rowOff>2431</xdr:rowOff>
    </xdr:from>
    <xdr:to>
      <xdr:col>35</xdr:col>
      <xdr:colOff>66385</xdr:colOff>
      <xdr:row>439</xdr:row>
      <xdr:rowOff>112232</xdr:rowOff>
    </xdr:to>
    <xdr:grpSp>
      <xdr:nvGrpSpPr>
        <xdr:cNvPr id="608" name="グループ化 92">
          <a:extLst>
            <a:ext uri="{FF2B5EF4-FFF2-40B4-BE49-F238E27FC236}">
              <a16:creationId xmlns:a16="http://schemas.microsoft.com/office/drawing/2014/main" id="{DA7E8D65-4F01-44D4-90B9-B969C2E1C0E8}"/>
            </a:ext>
          </a:extLst>
        </xdr:cNvPr>
        <xdr:cNvGrpSpPr/>
      </xdr:nvGrpSpPr>
      <xdr:grpSpPr>
        <a:xfrm>
          <a:off x="5672012" y="74916556"/>
          <a:ext cx="728498" cy="624151"/>
          <a:chOff x="7144736" y="2892425"/>
          <a:chExt cx="791158" cy="597682"/>
        </a:xfrm>
      </xdr:grpSpPr>
      <xdr:sp macro="" textlink="">
        <xdr:nvSpPr>
          <xdr:cNvPr id="609" name="フローチャート: 磁気ディスク 93">
            <a:extLst>
              <a:ext uri="{FF2B5EF4-FFF2-40B4-BE49-F238E27FC236}">
                <a16:creationId xmlns:a16="http://schemas.microsoft.com/office/drawing/2014/main" id="{63301213-326D-DAC4-1609-62166915B73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10" name="正方形/長方形 94">
            <a:extLst>
              <a:ext uri="{FF2B5EF4-FFF2-40B4-BE49-F238E27FC236}">
                <a16:creationId xmlns:a16="http://schemas.microsoft.com/office/drawing/2014/main" id="{04612766-8271-8902-63B0-A40530C6C310}"/>
              </a:ext>
            </a:extLst>
          </xdr:cNvPr>
          <xdr:cNvSpPr/>
        </xdr:nvSpPr>
        <xdr:spPr>
          <a:xfrm>
            <a:off x="7144736" y="2984500"/>
            <a:ext cx="791158"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29</xdr:col>
      <xdr:colOff>1317</xdr:colOff>
      <xdr:row>437</xdr:row>
      <xdr:rowOff>112183</xdr:rowOff>
    </xdr:from>
    <xdr:to>
      <xdr:col>31</xdr:col>
      <xdr:colOff>121665</xdr:colOff>
      <xdr:row>437</xdr:row>
      <xdr:rowOff>112251</xdr:rowOff>
    </xdr:to>
    <xdr:cxnSp macro="">
      <xdr:nvCxnSpPr>
        <xdr:cNvPr id="611" name="直線矢印コネクタ 610">
          <a:extLst>
            <a:ext uri="{FF2B5EF4-FFF2-40B4-BE49-F238E27FC236}">
              <a16:creationId xmlns:a16="http://schemas.microsoft.com/office/drawing/2014/main" id="{A39C2C1A-3AC6-4085-A800-373DC4D57BEA}"/>
            </a:ext>
          </a:extLst>
        </xdr:cNvPr>
        <xdr:cNvCxnSpPr>
          <a:cxnSpLocks/>
          <a:stCxn id="640" idx="3"/>
          <a:endCxn id="609" idx="2"/>
        </xdr:cNvCxnSpPr>
      </xdr:nvCxnSpPr>
      <xdr:spPr>
        <a:xfrm>
          <a:off x="5756005" y="76470933"/>
          <a:ext cx="517223" cy="6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104197</xdr:colOff>
      <xdr:row>452</xdr:row>
      <xdr:rowOff>71746</xdr:rowOff>
    </xdr:from>
    <xdr:to>
      <xdr:col>35</xdr:col>
      <xdr:colOff>82541</xdr:colOff>
      <xdr:row>456</xdr:row>
      <xdr:rowOff>6098</xdr:rowOff>
    </xdr:to>
    <xdr:grpSp>
      <xdr:nvGrpSpPr>
        <xdr:cNvPr id="612" name="グループ化 92">
          <a:extLst>
            <a:ext uri="{FF2B5EF4-FFF2-40B4-BE49-F238E27FC236}">
              <a16:creationId xmlns:a16="http://schemas.microsoft.com/office/drawing/2014/main" id="{E99D0994-2955-4D9A-BAB5-C250036EC8BD}"/>
            </a:ext>
          </a:extLst>
        </xdr:cNvPr>
        <xdr:cNvGrpSpPr/>
      </xdr:nvGrpSpPr>
      <xdr:grpSpPr>
        <a:xfrm>
          <a:off x="5714422" y="77729071"/>
          <a:ext cx="702244" cy="620152"/>
          <a:chOff x="7144737" y="2892425"/>
          <a:chExt cx="763434" cy="597682"/>
        </a:xfrm>
      </xdr:grpSpPr>
      <xdr:sp macro="" textlink="">
        <xdr:nvSpPr>
          <xdr:cNvPr id="613" name="フローチャート: 磁気ディスク 93">
            <a:extLst>
              <a:ext uri="{FF2B5EF4-FFF2-40B4-BE49-F238E27FC236}">
                <a16:creationId xmlns:a16="http://schemas.microsoft.com/office/drawing/2014/main" id="{DBEF585A-6122-E413-8D9C-37E07B48FF4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15" name="正方形/長方形 94">
            <a:extLst>
              <a:ext uri="{FF2B5EF4-FFF2-40B4-BE49-F238E27FC236}">
                <a16:creationId xmlns:a16="http://schemas.microsoft.com/office/drawing/2014/main" id="{802958F4-99A5-708F-D199-5D45D1320E49}"/>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28</xdr:col>
      <xdr:colOff>183471</xdr:colOff>
      <xdr:row>454</xdr:row>
      <xdr:rowOff>5114</xdr:rowOff>
    </xdr:from>
    <xdr:to>
      <xdr:col>31</xdr:col>
      <xdr:colOff>164208</xdr:colOff>
      <xdr:row>454</xdr:row>
      <xdr:rowOff>6571</xdr:rowOff>
    </xdr:to>
    <xdr:cxnSp macro="">
      <xdr:nvCxnSpPr>
        <xdr:cNvPr id="616" name="直線矢印コネクタ 615">
          <a:extLst>
            <a:ext uri="{FF2B5EF4-FFF2-40B4-BE49-F238E27FC236}">
              <a16:creationId xmlns:a16="http://schemas.microsoft.com/office/drawing/2014/main" id="{7A2A32FC-6491-4AF2-847D-122C0C1B9908}"/>
            </a:ext>
          </a:extLst>
        </xdr:cNvPr>
        <xdr:cNvCxnSpPr>
          <a:cxnSpLocks/>
          <a:stCxn id="645" idx="3"/>
          <a:endCxn id="613" idx="2"/>
        </xdr:cNvCxnSpPr>
      </xdr:nvCxnSpPr>
      <xdr:spPr>
        <a:xfrm>
          <a:off x="5739721" y="79332489"/>
          <a:ext cx="576050" cy="145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90158</xdr:colOff>
      <xdr:row>446</xdr:row>
      <xdr:rowOff>106765</xdr:rowOff>
    </xdr:from>
    <xdr:to>
      <xdr:col>35</xdr:col>
      <xdr:colOff>65204</xdr:colOff>
      <xdr:row>450</xdr:row>
      <xdr:rowOff>40499</xdr:rowOff>
    </xdr:to>
    <xdr:grpSp>
      <xdr:nvGrpSpPr>
        <xdr:cNvPr id="617" name="グループ化 92">
          <a:extLst>
            <a:ext uri="{FF2B5EF4-FFF2-40B4-BE49-F238E27FC236}">
              <a16:creationId xmlns:a16="http://schemas.microsoft.com/office/drawing/2014/main" id="{52CD3EFD-5689-43CE-8069-8A0FA0E9D228}"/>
            </a:ext>
          </a:extLst>
        </xdr:cNvPr>
        <xdr:cNvGrpSpPr/>
      </xdr:nvGrpSpPr>
      <xdr:grpSpPr>
        <a:xfrm>
          <a:off x="5700383" y="76735390"/>
          <a:ext cx="698946" cy="619534"/>
          <a:chOff x="7144737" y="2892425"/>
          <a:chExt cx="763434" cy="597682"/>
        </a:xfrm>
      </xdr:grpSpPr>
      <xdr:sp macro="" textlink="">
        <xdr:nvSpPr>
          <xdr:cNvPr id="618" name="フローチャート: 磁気ディスク 93">
            <a:extLst>
              <a:ext uri="{FF2B5EF4-FFF2-40B4-BE49-F238E27FC236}">
                <a16:creationId xmlns:a16="http://schemas.microsoft.com/office/drawing/2014/main" id="{CC987AC8-7121-F424-C11B-B96712D14AD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19" name="正方形/長方形 94">
            <a:extLst>
              <a:ext uri="{FF2B5EF4-FFF2-40B4-BE49-F238E27FC236}">
                <a16:creationId xmlns:a16="http://schemas.microsoft.com/office/drawing/2014/main" id="{170F4AD8-D778-091D-EEA4-8785765B1EA4}"/>
              </a:ext>
            </a:extLst>
          </xdr:cNvPr>
          <xdr:cNvSpPr/>
        </xdr:nvSpPr>
        <xdr:spPr>
          <a:xfrm>
            <a:off x="7144737" y="2984500"/>
            <a:ext cx="763434"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21</xdr:col>
      <xdr:colOff>163334</xdr:colOff>
      <xdr:row>448</xdr:row>
      <xdr:rowOff>37175</xdr:rowOff>
    </xdr:from>
    <xdr:to>
      <xdr:col>31</xdr:col>
      <xdr:colOff>149913</xdr:colOff>
      <xdr:row>448</xdr:row>
      <xdr:rowOff>41312</xdr:rowOff>
    </xdr:to>
    <xdr:cxnSp macro="">
      <xdr:nvCxnSpPr>
        <xdr:cNvPr id="620" name="直線矢印コネクタ 619">
          <a:extLst>
            <a:ext uri="{FF2B5EF4-FFF2-40B4-BE49-F238E27FC236}">
              <a16:creationId xmlns:a16="http://schemas.microsoft.com/office/drawing/2014/main" id="{D8C6469E-D52F-4629-943A-4F43FCEBEA0C}"/>
            </a:ext>
          </a:extLst>
        </xdr:cNvPr>
        <xdr:cNvCxnSpPr>
          <a:cxnSpLocks/>
          <a:stCxn id="642" idx="3"/>
          <a:endCxn id="618" idx="2"/>
        </xdr:cNvCxnSpPr>
      </xdr:nvCxnSpPr>
      <xdr:spPr>
        <a:xfrm>
          <a:off x="4330522" y="78316800"/>
          <a:ext cx="1970954" cy="41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67783</xdr:colOff>
      <xdr:row>432</xdr:row>
      <xdr:rowOff>131536</xdr:rowOff>
    </xdr:from>
    <xdr:to>
      <xdr:col>26</xdr:col>
      <xdr:colOff>92686</xdr:colOff>
      <xdr:row>436</xdr:row>
      <xdr:rowOff>21725</xdr:rowOff>
    </xdr:to>
    <xdr:cxnSp macro="">
      <xdr:nvCxnSpPr>
        <xdr:cNvPr id="621" name="コネクタ: カギ線 620">
          <a:extLst>
            <a:ext uri="{FF2B5EF4-FFF2-40B4-BE49-F238E27FC236}">
              <a16:creationId xmlns:a16="http://schemas.microsoft.com/office/drawing/2014/main" id="{073DA465-B30B-4BF3-93C5-8750714395E3}"/>
            </a:ext>
          </a:extLst>
        </xdr:cNvPr>
        <xdr:cNvCxnSpPr/>
      </xdr:nvCxnSpPr>
      <xdr:spPr>
        <a:xfrm rot="16200000" flipH="1">
          <a:off x="4250734" y="75204523"/>
          <a:ext cx="588689" cy="141396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91641</xdr:colOff>
      <xdr:row>439</xdr:row>
      <xdr:rowOff>50531</xdr:rowOff>
    </xdr:from>
    <xdr:to>
      <xdr:col>26</xdr:col>
      <xdr:colOff>92685</xdr:colOff>
      <xdr:row>441</xdr:row>
      <xdr:rowOff>30912</xdr:rowOff>
    </xdr:to>
    <xdr:cxnSp macro="">
      <xdr:nvCxnSpPr>
        <xdr:cNvPr id="622" name="直線矢印コネクタ 27">
          <a:extLst>
            <a:ext uri="{FF2B5EF4-FFF2-40B4-BE49-F238E27FC236}">
              <a16:creationId xmlns:a16="http://schemas.microsoft.com/office/drawing/2014/main" id="{67D4C038-B1C1-492C-8F72-6FFBFE4803DF}"/>
            </a:ext>
          </a:extLst>
        </xdr:cNvPr>
        <xdr:cNvCxnSpPr>
          <a:cxnSpLocks/>
          <a:endCxn id="625" idx="0"/>
        </xdr:cNvCxnSpPr>
      </xdr:nvCxnSpPr>
      <xdr:spPr>
        <a:xfrm flipH="1">
          <a:off x="5251016" y="76758531"/>
          <a:ext cx="1044" cy="3296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168327</xdr:colOff>
      <xdr:row>441</xdr:row>
      <xdr:rowOff>20265</xdr:rowOff>
    </xdr:from>
    <xdr:to>
      <xdr:col>29</xdr:col>
      <xdr:colOff>9491</xdr:colOff>
      <xdr:row>444</xdr:row>
      <xdr:rowOff>28290</xdr:rowOff>
    </xdr:to>
    <xdr:grpSp>
      <xdr:nvGrpSpPr>
        <xdr:cNvPr id="623" name="グループ化 622">
          <a:extLst>
            <a:ext uri="{FF2B5EF4-FFF2-40B4-BE49-F238E27FC236}">
              <a16:creationId xmlns:a16="http://schemas.microsoft.com/office/drawing/2014/main" id="{FA165AAF-4D25-455C-A248-BB28172643F7}"/>
            </a:ext>
          </a:extLst>
        </xdr:cNvPr>
        <xdr:cNvGrpSpPr/>
      </xdr:nvGrpSpPr>
      <xdr:grpSpPr>
        <a:xfrm>
          <a:off x="4330752" y="75791640"/>
          <a:ext cx="927014" cy="522375"/>
          <a:chOff x="287474" y="4845794"/>
          <a:chExt cx="1021504" cy="505814"/>
        </a:xfrm>
      </xdr:grpSpPr>
      <xdr:sp macro="" textlink="">
        <xdr:nvSpPr>
          <xdr:cNvPr id="624" name="フローチャート: 判断 623">
            <a:extLst>
              <a:ext uri="{FF2B5EF4-FFF2-40B4-BE49-F238E27FC236}">
                <a16:creationId xmlns:a16="http://schemas.microsoft.com/office/drawing/2014/main" id="{8C073FA6-5904-3F99-B626-C4D26FF632DA}"/>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625" name="正方形/長方形 48">
            <a:extLst>
              <a:ext uri="{FF2B5EF4-FFF2-40B4-BE49-F238E27FC236}">
                <a16:creationId xmlns:a16="http://schemas.microsoft.com/office/drawing/2014/main" id="{DF18FE44-6863-DFF5-15D3-056C1A8F4C22}"/>
              </a:ext>
            </a:extLst>
          </xdr:cNvPr>
          <xdr:cNvSpPr/>
        </xdr:nvSpPr>
        <xdr:spPr>
          <a:xfrm>
            <a:off x="287474" y="4856050"/>
            <a:ext cx="1021504" cy="495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承認</a:t>
            </a:r>
            <a:r>
              <a:rPr kumimoji="1" lang="en-US" altLang="ja-JP" sz="900"/>
              <a:t>or</a:t>
            </a:r>
            <a:br>
              <a:rPr kumimoji="1" lang="en-US" altLang="ja-JP" sz="900"/>
            </a:br>
            <a:r>
              <a:rPr kumimoji="1" lang="ja-JP" altLang="en-US" sz="900"/>
              <a:t>変更依頼</a:t>
            </a:r>
          </a:p>
        </xdr:txBody>
      </xdr:sp>
    </xdr:grpSp>
    <xdr:clientData/>
  </xdr:twoCellAnchor>
  <xdr:twoCellAnchor>
    <xdr:from>
      <xdr:col>26</xdr:col>
      <xdr:colOff>105344</xdr:colOff>
      <xdr:row>443</xdr:row>
      <xdr:rowOff>167070</xdr:rowOff>
    </xdr:from>
    <xdr:to>
      <xdr:col>28</xdr:col>
      <xdr:colOff>159710</xdr:colOff>
      <xdr:row>445</xdr:row>
      <xdr:rowOff>38278</xdr:rowOff>
    </xdr:to>
    <xdr:sp macro="" textlink="">
      <xdr:nvSpPr>
        <xdr:cNvPr id="626" name="テキスト ボックス 625">
          <a:extLst>
            <a:ext uri="{FF2B5EF4-FFF2-40B4-BE49-F238E27FC236}">
              <a16:creationId xmlns:a16="http://schemas.microsoft.com/office/drawing/2014/main" id="{2135D0BA-7100-4D4B-8F84-0F98D9CB283E}"/>
            </a:ext>
          </a:extLst>
        </xdr:cNvPr>
        <xdr:cNvSpPr txBox="1"/>
      </xdr:nvSpPr>
      <xdr:spPr>
        <a:xfrm>
          <a:off x="5264719" y="77573570"/>
          <a:ext cx="451241" cy="220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承認</a:t>
          </a:r>
        </a:p>
      </xdr:txBody>
    </xdr:sp>
    <xdr:clientData/>
  </xdr:twoCellAnchor>
  <xdr:twoCellAnchor>
    <xdr:from>
      <xdr:col>22</xdr:col>
      <xdr:colOff>8150</xdr:colOff>
      <xdr:row>440</xdr:row>
      <xdr:rowOff>116894</xdr:rowOff>
    </xdr:from>
    <xdr:to>
      <xdr:col>25</xdr:col>
      <xdr:colOff>145470</xdr:colOff>
      <xdr:row>442</xdr:row>
      <xdr:rowOff>43499</xdr:rowOff>
    </xdr:to>
    <xdr:sp macro="" textlink="">
      <xdr:nvSpPr>
        <xdr:cNvPr id="627" name="テキスト ボックス 626">
          <a:extLst>
            <a:ext uri="{FF2B5EF4-FFF2-40B4-BE49-F238E27FC236}">
              <a16:creationId xmlns:a16="http://schemas.microsoft.com/office/drawing/2014/main" id="{1F5296AD-A8CB-4336-ACD0-B8838ED6B9B9}"/>
            </a:ext>
          </a:extLst>
        </xdr:cNvPr>
        <xdr:cNvSpPr txBox="1"/>
      </xdr:nvSpPr>
      <xdr:spPr>
        <a:xfrm>
          <a:off x="4373775" y="76999519"/>
          <a:ext cx="732633" cy="275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変更依頼</a:t>
          </a:r>
        </a:p>
      </xdr:txBody>
    </xdr:sp>
    <xdr:clientData/>
  </xdr:twoCellAnchor>
  <xdr:twoCellAnchor>
    <xdr:from>
      <xdr:col>26</xdr:col>
      <xdr:colOff>85639</xdr:colOff>
      <xdr:row>444</xdr:row>
      <xdr:rowOff>6233</xdr:rowOff>
    </xdr:from>
    <xdr:to>
      <xdr:col>26</xdr:col>
      <xdr:colOff>91720</xdr:colOff>
      <xdr:row>452</xdr:row>
      <xdr:rowOff>92191</xdr:rowOff>
    </xdr:to>
    <xdr:cxnSp macro="">
      <xdr:nvCxnSpPr>
        <xdr:cNvPr id="628" name="直線矢印コネクタ 627">
          <a:extLst>
            <a:ext uri="{FF2B5EF4-FFF2-40B4-BE49-F238E27FC236}">
              <a16:creationId xmlns:a16="http://schemas.microsoft.com/office/drawing/2014/main" id="{70D3557A-8BC6-493E-A977-00753B9FD2E2}"/>
            </a:ext>
          </a:extLst>
        </xdr:cNvPr>
        <xdr:cNvCxnSpPr>
          <a:cxnSpLocks/>
          <a:stCxn id="624" idx="2"/>
        </xdr:cNvCxnSpPr>
      </xdr:nvCxnSpPr>
      <xdr:spPr>
        <a:xfrm>
          <a:off x="5245014" y="77587358"/>
          <a:ext cx="6081" cy="148295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87241</xdr:colOff>
      <xdr:row>442</xdr:row>
      <xdr:rowOff>100253</xdr:rowOff>
    </xdr:from>
    <xdr:to>
      <xdr:col>24</xdr:col>
      <xdr:colOff>51979</xdr:colOff>
      <xdr:row>446</xdr:row>
      <xdr:rowOff>107823</xdr:rowOff>
    </xdr:to>
    <xdr:cxnSp macro="">
      <xdr:nvCxnSpPr>
        <xdr:cNvPr id="629" name="コネクタ: カギ線 628">
          <a:extLst>
            <a:ext uri="{FF2B5EF4-FFF2-40B4-BE49-F238E27FC236}">
              <a16:creationId xmlns:a16="http://schemas.microsoft.com/office/drawing/2014/main" id="{CE84E413-3428-426C-B3F3-4A309FA7138E}"/>
            </a:ext>
          </a:extLst>
        </xdr:cNvPr>
        <xdr:cNvCxnSpPr>
          <a:stCxn id="624" idx="1"/>
        </xdr:cNvCxnSpPr>
      </xdr:nvCxnSpPr>
      <xdr:spPr>
        <a:xfrm rot="10800000" flipV="1">
          <a:off x="3857554" y="77332128"/>
          <a:ext cx="956925" cy="70607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134014</xdr:colOff>
      <xdr:row>431</xdr:row>
      <xdr:rowOff>58612</xdr:rowOff>
    </xdr:from>
    <xdr:to>
      <xdr:col>16</xdr:col>
      <xdr:colOff>170631</xdr:colOff>
      <xdr:row>448</xdr:row>
      <xdr:rowOff>35225</xdr:rowOff>
    </xdr:to>
    <xdr:cxnSp macro="">
      <xdr:nvCxnSpPr>
        <xdr:cNvPr id="630" name="コネクタ: カギ線 629">
          <a:extLst>
            <a:ext uri="{FF2B5EF4-FFF2-40B4-BE49-F238E27FC236}">
              <a16:creationId xmlns:a16="http://schemas.microsoft.com/office/drawing/2014/main" id="{A99342BF-C091-4D1D-8E6A-A37C93EDB26E}"/>
            </a:ext>
          </a:extLst>
        </xdr:cNvPr>
        <xdr:cNvCxnSpPr/>
      </xdr:nvCxnSpPr>
      <xdr:spPr>
        <a:xfrm rot="10800000" flipH="1">
          <a:off x="3309014" y="75369612"/>
          <a:ext cx="36617" cy="2945238"/>
        </a:xfrm>
        <a:prstGeom prst="bentConnector3">
          <a:avLst>
            <a:gd name="adj1" fmla="val -37656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101027</xdr:colOff>
      <xdr:row>442</xdr:row>
      <xdr:rowOff>136478</xdr:rowOff>
    </xdr:from>
    <xdr:to>
      <xdr:col>25</xdr:col>
      <xdr:colOff>103174</xdr:colOff>
      <xdr:row>444</xdr:row>
      <xdr:rowOff>86050</xdr:rowOff>
    </xdr:to>
    <xdr:sp macro="" textlink="">
      <xdr:nvSpPr>
        <xdr:cNvPr id="631" name="テキスト ボックス 630">
          <a:extLst>
            <a:ext uri="{FF2B5EF4-FFF2-40B4-BE49-F238E27FC236}">
              <a16:creationId xmlns:a16="http://schemas.microsoft.com/office/drawing/2014/main" id="{E990DFAD-A9D8-4831-85A8-B81CF06E98C5}"/>
            </a:ext>
          </a:extLst>
        </xdr:cNvPr>
        <xdr:cNvSpPr txBox="1"/>
      </xdr:nvSpPr>
      <xdr:spPr>
        <a:xfrm>
          <a:off x="3871340" y="77368353"/>
          <a:ext cx="1192772" cy="298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22</xdr:col>
      <xdr:colOff>90349</xdr:colOff>
      <xdr:row>432</xdr:row>
      <xdr:rowOff>125498</xdr:rowOff>
    </xdr:from>
    <xdr:to>
      <xdr:col>28</xdr:col>
      <xdr:colOff>70992</xdr:colOff>
      <xdr:row>434</xdr:row>
      <xdr:rowOff>9850</xdr:rowOff>
    </xdr:to>
    <xdr:sp macro="" textlink="">
      <xdr:nvSpPr>
        <xdr:cNvPr id="632" name="テキスト ボックス 631">
          <a:extLst>
            <a:ext uri="{FF2B5EF4-FFF2-40B4-BE49-F238E27FC236}">
              <a16:creationId xmlns:a16="http://schemas.microsoft.com/office/drawing/2014/main" id="{543F7EA8-ED21-4493-9BAA-3461142FA38E}"/>
            </a:ext>
          </a:extLst>
        </xdr:cNvPr>
        <xdr:cNvSpPr txBox="1"/>
      </xdr:nvSpPr>
      <xdr:spPr>
        <a:xfrm>
          <a:off x="4455974" y="75611123"/>
          <a:ext cx="1171268" cy="233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システム・メール通知</a:t>
          </a:r>
        </a:p>
      </xdr:txBody>
    </xdr:sp>
    <xdr:clientData/>
  </xdr:twoCellAnchor>
  <xdr:twoCellAnchor>
    <xdr:from>
      <xdr:col>19</xdr:col>
      <xdr:colOff>7741</xdr:colOff>
      <xdr:row>427</xdr:row>
      <xdr:rowOff>19979</xdr:rowOff>
    </xdr:from>
    <xdr:to>
      <xdr:col>19</xdr:col>
      <xdr:colOff>14091</xdr:colOff>
      <xdr:row>429</xdr:row>
      <xdr:rowOff>162854</xdr:rowOff>
    </xdr:to>
    <xdr:cxnSp macro="">
      <xdr:nvCxnSpPr>
        <xdr:cNvPr id="637" name="直線矢印コネクタ 27">
          <a:extLst>
            <a:ext uri="{FF2B5EF4-FFF2-40B4-BE49-F238E27FC236}">
              <a16:creationId xmlns:a16="http://schemas.microsoft.com/office/drawing/2014/main" id="{D32723CE-88E7-4726-9B75-A11167388689}"/>
            </a:ext>
          </a:extLst>
        </xdr:cNvPr>
        <xdr:cNvCxnSpPr>
          <a:cxnSpLocks/>
        </xdr:cNvCxnSpPr>
      </xdr:nvCxnSpPr>
      <xdr:spPr>
        <a:xfrm>
          <a:off x="3778054" y="74632479"/>
          <a:ext cx="6350" cy="4921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173995</xdr:colOff>
      <xdr:row>429</xdr:row>
      <xdr:rowOff>164540</xdr:rowOff>
    </xdr:from>
    <xdr:to>
      <xdr:col>21</xdr:col>
      <xdr:colOff>165600</xdr:colOff>
      <xdr:row>432</xdr:row>
      <xdr:rowOff>133500</xdr:rowOff>
    </xdr:to>
    <xdr:sp macro="" textlink="">
      <xdr:nvSpPr>
        <xdr:cNvPr id="638" name="フローチャート: 定義済み処理 9">
          <a:extLst>
            <a:ext uri="{FF2B5EF4-FFF2-40B4-BE49-F238E27FC236}">
              <a16:creationId xmlns:a16="http://schemas.microsoft.com/office/drawing/2014/main" id="{E7B5D935-C122-49F1-A6D0-116BD984C1F2}"/>
            </a:ext>
          </a:extLst>
        </xdr:cNvPr>
        <xdr:cNvSpPr/>
      </xdr:nvSpPr>
      <xdr:spPr>
        <a:xfrm>
          <a:off x="3348995" y="75126290"/>
          <a:ext cx="983793" cy="49283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124680</xdr:colOff>
      <xdr:row>429</xdr:row>
      <xdr:rowOff>124300</xdr:rowOff>
    </xdr:from>
    <xdr:to>
      <xdr:col>22</xdr:col>
      <xdr:colOff>25667</xdr:colOff>
      <xdr:row>432</xdr:row>
      <xdr:rowOff>154549</xdr:rowOff>
    </xdr:to>
    <xdr:sp macro="" textlink="">
      <xdr:nvSpPr>
        <xdr:cNvPr id="347" name="正方形/長方形 48">
          <a:extLst>
            <a:ext uri="{FF2B5EF4-FFF2-40B4-BE49-F238E27FC236}">
              <a16:creationId xmlns:a16="http://schemas.microsoft.com/office/drawing/2014/main" id="{C4DB0C8C-D10E-4AB1-9394-7195AC10927E}"/>
            </a:ext>
          </a:extLst>
        </xdr:cNvPr>
        <xdr:cNvSpPr/>
      </xdr:nvSpPr>
      <xdr:spPr>
        <a:xfrm>
          <a:off x="3299680" y="75086050"/>
          <a:ext cx="1091612" cy="55412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20.</a:t>
          </a:r>
          <a:r>
            <a:rPr kumimoji="1" lang="ja-JP" altLang="en-US" sz="900"/>
            <a:t>消費税</a:t>
          </a:r>
          <a:br>
            <a:rPr kumimoji="1" lang="en-US" altLang="ja-JP" sz="900"/>
          </a:br>
          <a:r>
            <a:rPr kumimoji="1" lang="ja-JP" altLang="en-US" sz="900"/>
            <a:t>仕訳承認申請</a:t>
          </a:r>
        </a:p>
      </xdr:txBody>
    </xdr:sp>
    <xdr:clientData/>
  </xdr:twoCellAnchor>
  <xdr:twoCellAnchor>
    <xdr:from>
      <xdr:col>24</xdr:col>
      <xdr:colOff>9713</xdr:colOff>
      <xdr:row>436</xdr:row>
      <xdr:rowOff>40390</xdr:rowOff>
    </xdr:from>
    <xdr:to>
      <xdr:col>29</xdr:col>
      <xdr:colOff>1317</xdr:colOff>
      <xdr:row>439</xdr:row>
      <xdr:rowOff>9350</xdr:rowOff>
    </xdr:to>
    <xdr:sp macro="" textlink="">
      <xdr:nvSpPr>
        <xdr:cNvPr id="640" name="フローチャート: 定義済み処理 9">
          <a:extLst>
            <a:ext uri="{FF2B5EF4-FFF2-40B4-BE49-F238E27FC236}">
              <a16:creationId xmlns:a16="http://schemas.microsoft.com/office/drawing/2014/main" id="{64CC8AF1-27A5-4C27-A0BA-5950748A51E8}"/>
            </a:ext>
          </a:extLst>
        </xdr:cNvPr>
        <xdr:cNvSpPr/>
      </xdr:nvSpPr>
      <xdr:spPr>
        <a:xfrm>
          <a:off x="4772213" y="76224515"/>
          <a:ext cx="983792" cy="49283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176977</xdr:colOff>
      <xdr:row>436</xdr:row>
      <xdr:rowOff>1594</xdr:rowOff>
    </xdr:from>
    <xdr:to>
      <xdr:col>29</xdr:col>
      <xdr:colOff>77963</xdr:colOff>
      <xdr:row>439</xdr:row>
      <xdr:rowOff>30399</xdr:rowOff>
    </xdr:to>
    <xdr:sp macro="" textlink="">
      <xdr:nvSpPr>
        <xdr:cNvPr id="354" name="正方形/長方形 48">
          <a:extLst>
            <a:ext uri="{FF2B5EF4-FFF2-40B4-BE49-F238E27FC236}">
              <a16:creationId xmlns:a16="http://schemas.microsoft.com/office/drawing/2014/main" id="{C9570DA8-AFD6-4C29-91BB-FAED1E7158E1}"/>
            </a:ext>
          </a:extLst>
        </xdr:cNvPr>
        <xdr:cNvSpPr/>
      </xdr:nvSpPr>
      <xdr:spPr>
        <a:xfrm>
          <a:off x="4741040" y="76185719"/>
          <a:ext cx="1091611" cy="5526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21.</a:t>
          </a:r>
          <a:r>
            <a:rPr kumimoji="1" lang="ja-JP" altLang="en-US" sz="900"/>
            <a:t>消費税仕訳承認</a:t>
          </a:r>
          <a:r>
            <a:rPr kumimoji="1" lang="en-US" altLang="ja-JP" sz="900"/>
            <a:t>/</a:t>
          </a:r>
          <a:r>
            <a:rPr kumimoji="1" lang="ja-JP" altLang="en-US" sz="900"/>
            <a:t>変更依頼</a:t>
          </a:r>
        </a:p>
      </xdr:txBody>
    </xdr:sp>
    <xdr:clientData/>
  </xdr:twoCellAnchor>
  <xdr:twoCellAnchor>
    <xdr:from>
      <xdr:col>16</xdr:col>
      <xdr:colOff>171729</xdr:colOff>
      <xdr:row>446</xdr:row>
      <xdr:rowOff>140728</xdr:rowOff>
    </xdr:from>
    <xdr:to>
      <xdr:col>21</xdr:col>
      <xdr:colOff>163334</xdr:colOff>
      <xdr:row>449</xdr:row>
      <xdr:rowOff>108246</xdr:rowOff>
    </xdr:to>
    <xdr:sp macro="" textlink="">
      <xdr:nvSpPr>
        <xdr:cNvPr id="642" name="フローチャート: 定義済み処理 9">
          <a:extLst>
            <a:ext uri="{FF2B5EF4-FFF2-40B4-BE49-F238E27FC236}">
              <a16:creationId xmlns:a16="http://schemas.microsoft.com/office/drawing/2014/main" id="{C8C463FD-4695-4E66-AA99-4DAB0288272D}"/>
            </a:ext>
          </a:extLst>
        </xdr:cNvPr>
        <xdr:cNvSpPr/>
      </xdr:nvSpPr>
      <xdr:spPr>
        <a:xfrm>
          <a:off x="3346729" y="78071103"/>
          <a:ext cx="983793" cy="49139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16</xdr:col>
      <xdr:colOff>140556</xdr:colOff>
      <xdr:row>446</xdr:row>
      <xdr:rowOff>100488</xdr:rowOff>
    </xdr:from>
    <xdr:to>
      <xdr:col>22</xdr:col>
      <xdr:colOff>41543</xdr:colOff>
      <xdr:row>449</xdr:row>
      <xdr:rowOff>130738</xdr:rowOff>
    </xdr:to>
    <xdr:sp macro="" textlink="">
      <xdr:nvSpPr>
        <xdr:cNvPr id="359" name="正方形/長方形 48">
          <a:extLst>
            <a:ext uri="{FF2B5EF4-FFF2-40B4-BE49-F238E27FC236}">
              <a16:creationId xmlns:a16="http://schemas.microsoft.com/office/drawing/2014/main" id="{454C390D-2E57-4567-A1ED-62913690B104}"/>
            </a:ext>
          </a:extLst>
        </xdr:cNvPr>
        <xdr:cNvSpPr/>
      </xdr:nvSpPr>
      <xdr:spPr>
        <a:xfrm>
          <a:off x="3315556" y="78030863"/>
          <a:ext cx="1091612" cy="55412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22.</a:t>
          </a:r>
          <a:r>
            <a:rPr kumimoji="1" lang="ja-JP" altLang="en-US" sz="900"/>
            <a:t>不備修正</a:t>
          </a:r>
        </a:p>
      </xdr:txBody>
    </xdr:sp>
    <xdr:clientData/>
  </xdr:twoCellAnchor>
  <xdr:twoCellAnchor>
    <xdr:from>
      <xdr:col>23</xdr:col>
      <xdr:colOff>191866</xdr:colOff>
      <xdr:row>452</xdr:row>
      <xdr:rowOff>108358</xdr:rowOff>
    </xdr:from>
    <xdr:to>
      <xdr:col>28</xdr:col>
      <xdr:colOff>183471</xdr:colOff>
      <xdr:row>455</xdr:row>
      <xdr:rowOff>76494</xdr:rowOff>
    </xdr:to>
    <xdr:sp macro="" textlink="">
      <xdr:nvSpPr>
        <xdr:cNvPr id="645" name="フローチャート: 定義済み処理 9">
          <a:extLst>
            <a:ext uri="{FF2B5EF4-FFF2-40B4-BE49-F238E27FC236}">
              <a16:creationId xmlns:a16="http://schemas.microsoft.com/office/drawing/2014/main" id="{A6C3E255-8A28-45D0-8DE8-E3AB328B8CA1}"/>
            </a:ext>
          </a:extLst>
        </xdr:cNvPr>
        <xdr:cNvSpPr/>
      </xdr:nvSpPr>
      <xdr:spPr>
        <a:xfrm>
          <a:off x="4755929" y="79086483"/>
          <a:ext cx="983792" cy="492011"/>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23</xdr:col>
      <xdr:colOff>84992</xdr:colOff>
      <xdr:row>452</xdr:row>
      <xdr:rowOff>68738</xdr:rowOff>
    </xdr:from>
    <xdr:to>
      <xdr:col>29</xdr:col>
      <xdr:colOff>85094</xdr:colOff>
      <xdr:row>455</xdr:row>
      <xdr:rowOff>97543</xdr:rowOff>
    </xdr:to>
    <xdr:sp macro="" textlink="">
      <xdr:nvSpPr>
        <xdr:cNvPr id="360" name="正方形/長方形 48">
          <a:extLst>
            <a:ext uri="{FF2B5EF4-FFF2-40B4-BE49-F238E27FC236}">
              <a16:creationId xmlns:a16="http://schemas.microsoft.com/office/drawing/2014/main" id="{951CB996-E1D8-40F0-B558-1E8A02CF4B86}"/>
            </a:ext>
          </a:extLst>
        </xdr:cNvPr>
        <xdr:cNvSpPr/>
      </xdr:nvSpPr>
      <xdr:spPr>
        <a:xfrm>
          <a:off x="4649055" y="79046863"/>
          <a:ext cx="1190727" cy="5526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23.</a:t>
          </a:r>
          <a:r>
            <a:rPr kumimoji="1" lang="ja-JP" altLang="en-US" sz="900"/>
            <a:t>自動転記バッチ</a:t>
          </a:r>
        </a:p>
      </xdr:txBody>
    </xdr:sp>
    <xdr:clientData/>
  </xdr:twoCellAnchor>
  <xdr:twoCellAnchor>
    <xdr:from>
      <xdr:col>19</xdr:col>
      <xdr:colOff>6576</xdr:colOff>
      <xdr:row>420</xdr:row>
      <xdr:rowOff>134755</xdr:rowOff>
    </xdr:from>
    <xdr:to>
      <xdr:col>26</xdr:col>
      <xdr:colOff>35208</xdr:colOff>
      <xdr:row>424</xdr:row>
      <xdr:rowOff>62064</xdr:rowOff>
    </xdr:to>
    <xdr:cxnSp macro="">
      <xdr:nvCxnSpPr>
        <xdr:cNvPr id="647" name="コネクタ: カギ線 646">
          <a:extLst>
            <a:ext uri="{FF2B5EF4-FFF2-40B4-BE49-F238E27FC236}">
              <a16:creationId xmlns:a16="http://schemas.microsoft.com/office/drawing/2014/main" id="{55A8BFDC-B0EF-49FF-A639-BDC5013ECF67}"/>
            </a:ext>
          </a:extLst>
        </xdr:cNvPr>
        <xdr:cNvCxnSpPr>
          <a:stCxn id="479" idx="2"/>
          <a:endCxn id="598" idx="0"/>
        </xdr:cNvCxnSpPr>
      </xdr:nvCxnSpPr>
      <xdr:spPr>
        <a:xfrm rot="5400000">
          <a:off x="4172831" y="73128938"/>
          <a:ext cx="625809" cy="14176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74949</xdr:colOff>
      <xdr:row>455</xdr:row>
      <xdr:rowOff>76494</xdr:rowOff>
    </xdr:from>
    <xdr:to>
      <xdr:col>26</xdr:col>
      <xdr:colOff>88450</xdr:colOff>
      <xdr:row>461</xdr:row>
      <xdr:rowOff>115046</xdr:rowOff>
    </xdr:to>
    <xdr:cxnSp macro="">
      <xdr:nvCxnSpPr>
        <xdr:cNvPr id="651" name="直線矢印コネクタ 650">
          <a:extLst>
            <a:ext uri="{FF2B5EF4-FFF2-40B4-BE49-F238E27FC236}">
              <a16:creationId xmlns:a16="http://schemas.microsoft.com/office/drawing/2014/main" id="{B050D900-7BF0-40FF-9AFA-726ABD76D335}"/>
            </a:ext>
          </a:extLst>
        </xdr:cNvPr>
        <xdr:cNvCxnSpPr>
          <a:cxnSpLocks/>
          <a:stCxn id="645" idx="2"/>
          <a:endCxn id="319" idx="0"/>
        </xdr:cNvCxnSpPr>
      </xdr:nvCxnSpPr>
      <xdr:spPr>
        <a:xfrm flipH="1">
          <a:off x="5234324" y="79578494"/>
          <a:ext cx="13501" cy="10863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49204</xdr:colOff>
      <xdr:row>849</xdr:row>
      <xdr:rowOff>29918</xdr:rowOff>
    </xdr:from>
    <xdr:to>
      <xdr:col>20</xdr:col>
      <xdr:colOff>134264</xdr:colOff>
      <xdr:row>852</xdr:row>
      <xdr:rowOff>58725</xdr:rowOff>
    </xdr:to>
    <xdr:grpSp>
      <xdr:nvGrpSpPr>
        <xdr:cNvPr id="328" name="グループ化 8">
          <a:extLst>
            <a:ext uri="{FF2B5EF4-FFF2-40B4-BE49-F238E27FC236}">
              <a16:creationId xmlns:a16="http://schemas.microsoft.com/office/drawing/2014/main" id="{D381C6A3-EDDB-477C-993B-B80B57602722}"/>
            </a:ext>
          </a:extLst>
        </xdr:cNvPr>
        <xdr:cNvGrpSpPr/>
      </xdr:nvGrpSpPr>
      <xdr:grpSpPr>
        <a:xfrm>
          <a:off x="2763829" y="145752893"/>
          <a:ext cx="989935" cy="543157"/>
          <a:chOff x="1615543" y="2430783"/>
          <a:chExt cx="908902" cy="422628"/>
        </a:xfrm>
      </xdr:grpSpPr>
      <xdr:sp macro="" textlink="">
        <xdr:nvSpPr>
          <xdr:cNvPr id="362" name="フローチャート: 定義済み処理 9">
            <a:extLst>
              <a:ext uri="{FF2B5EF4-FFF2-40B4-BE49-F238E27FC236}">
                <a16:creationId xmlns:a16="http://schemas.microsoft.com/office/drawing/2014/main" id="{58942F94-0B75-7662-1F37-5ADBEB52A344}"/>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63" name="正方形/長方形 48">
            <a:extLst>
              <a:ext uri="{FF2B5EF4-FFF2-40B4-BE49-F238E27FC236}">
                <a16:creationId xmlns:a16="http://schemas.microsoft.com/office/drawing/2014/main" id="{1D23A723-535C-2A8D-B02B-9E0ED0373B8C}"/>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資産活動</a:t>
            </a:r>
            <a:br>
              <a:rPr kumimoji="1" lang="en-US" altLang="ja-JP" sz="900"/>
            </a:br>
            <a:r>
              <a:rPr kumimoji="1" lang="ja-JP" altLang="en-US" sz="900"/>
              <a:t>コードの修正</a:t>
            </a:r>
          </a:p>
        </xdr:txBody>
      </xdr:sp>
    </xdr:grpSp>
    <xdr:clientData/>
  </xdr:twoCellAnchor>
  <xdr:twoCellAnchor>
    <xdr:from>
      <xdr:col>16</xdr:col>
      <xdr:colOff>46831</xdr:colOff>
      <xdr:row>869</xdr:row>
      <xdr:rowOff>45153</xdr:rowOff>
    </xdr:from>
    <xdr:to>
      <xdr:col>19</xdr:col>
      <xdr:colOff>169763</xdr:colOff>
      <xdr:row>870</xdr:row>
      <xdr:rowOff>131119</xdr:rowOff>
    </xdr:to>
    <xdr:sp macro="" textlink="">
      <xdr:nvSpPr>
        <xdr:cNvPr id="371" name="フローチャート: 端子 26">
          <a:extLst>
            <a:ext uri="{FF2B5EF4-FFF2-40B4-BE49-F238E27FC236}">
              <a16:creationId xmlns:a16="http://schemas.microsoft.com/office/drawing/2014/main" id="{0FB83257-39EC-460C-B176-5DDB1DC8EA33}"/>
            </a:ext>
          </a:extLst>
        </xdr:cNvPr>
        <xdr:cNvSpPr/>
      </xdr:nvSpPr>
      <xdr:spPr>
        <a:xfrm>
          <a:off x="3094831" y="149905153"/>
          <a:ext cx="694432" cy="25832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20</xdr:col>
      <xdr:colOff>147307</xdr:colOff>
      <xdr:row>850</xdr:row>
      <xdr:rowOff>126298</xdr:rowOff>
    </xdr:from>
    <xdr:to>
      <xdr:col>31</xdr:col>
      <xdr:colOff>9</xdr:colOff>
      <xdr:row>850</xdr:row>
      <xdr:rowOff>129401</xdr:rowOff>
    </xdr:to>
    <xdr:cxnSp macro="">
      <xdr:nvCxnSpPr>
        <xdr:cNvPr id="374" name="直線矢印コネクタ 373">
          <a:extLst>
            <a:ext uri="{FF2B5EF4-FFF2-40B4-BE49-F238E27FC236}">
              <a16:creationId xmlns:a16="http://schemas.microsoft.com/office/drawing/2014/main" id="{A5BE85AE-1544-4FBE-806B-DBEDC0DDA41A}"/>
            </a:ext>
          </a:extLst>
        </xdr:cNvPr>
        <xdr:cNvCxnSpPr/>
      </xdr:nvCxnSpPr>
      <xdr:spPr>
        <a:xfrm flipV="1">
          <a:off x="3957307" y="146711512"/>
          <a:ext cx="1948202" cy="310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85842</xdr:colOff>
      <xdr:row>849</xdr:row>
      <xdr:rowOff>797</xdr:rowOff>
    </xdr:from>
    <xdr:to>
      <xdr:col>34</xdr:col>
      <xdr:colOff>161004</xdr:colOff>
      <xdr:row>852</xdr:row>
      <xdr:rowOff>154124</xdr:rowOff>
    </xdr:to>
    <xdr:grpSp>
      <xdr:nvGrpSpPr>
        <xdr:cNvPr id="377" name="グループ化 516">
          <a:extLst>
            <a:ext uri="{FF2B5EF4-FFF2-40B4-BE49-F238E27FC236}">
              <a16:creationId xmlns:a16="http://schemas.microsoft.com/office/drawing/2014/main" id="{411E0DDD-1A7C-42E4-A95E-BEB2992CD9D8}"/>
            </a:ext>
          </a:extLst>
        </xdr:cNvPr>
        <xdr:cNvGrpSpPr>
          <a:grpSpLocks noChangeAspect="1"/>
        </xdr:cNvGrpSpPr>
      </xdr:nvGrpSpPr>
      <xdr:grpSpPr>
        <a:xfrm>
          <a:off x="5515092" y="145723772"/>
          <a:ext cx="799062" cy="667677"/>
          <a:chOff x="7102989" y="2892424"/>
          <a:chExt cx="873125" cy="603230"/>
        </a:xfrm>
      </xdr:grpSpPr>
      <xdr:sp macro="" textlink="">
        <xdr:nvSpPr>
          <xdr:cNvPr id="378" name="フローチャート: 磁気ディスク 517">
            <a:extLst>
              <a:ext uri="{FF2B5EF4-FFF2-40B4-BE49-F238E27FC236}">
                <a16:creationId xmlns:a16="http://schemas.microsoft.com/office/drawing/2014/main" id="{6AC9FC50-E9C6-80B4-34F0-5ABCA34BCFD0}"/>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92" name="正方形/長方形 518">
            <a:extLst>
              <a:ext uri="{FF2B5EF4-FFF2-40B4-BE49-F238E27FC236}">
                <a16:creationId xmlns:a16="http://schemas.microsoft.com/office/drawing/2014/main" id="{877234A3-B541-B896-34E8-05420634BC27}"/>
              </a:ext>
            </a:extLst>
          </xdr:cNvPr>
          <xdr:cNvSpPr/>
        </xdr:nvSpPr>
        <xdr:spPr>
          <a:xfrm>
            <a:off x="7102989" y="2990047"/>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prstClr val="black"/>
                </a:solidFill>
                <a:effectLst/>
                <a:uLnTx/>
                <a:uFillTx/>
                <a:latin typeface="+mn-lt"/>
                <a:ea typeface="+mn-ea"/>
                <a:cs typeface="+mn-cs"/>
              </a:rPr>
              <a:t>固定資産</a:t>
            </a:r>
            <a:br>
              <a:rPr kumimoji="1" lang="en-US" altLang="ja-JP" sz="900" b="0" i="0" u="none" strike="noStrike" kern="0" cap="none" spc="0" normalizeH="0" baseline="0" noProof="0">
                <a:ln>
                  <a:noFill/>
                </a:ln>
                <a:solidFill>
                  <a:prstClr val="black"/>
                </a:solidFill>
                <a:effectLst/>
                <a:uLnTx/>
                <a:uFillTx/>
                <a:latin typeface="+mn-lt"/>
                <a:ea typeface="+mn-ea"/>
                <a:cs typeface="+mn-cs"/>
              </a:rPr>
            </a:br>
            <a:r>
              <a:rPr kumimoji="1" lang="en-US" altLang="ja-JP" sz="900" b="0" i="0" u="none" strike="noStrike" kern="0" cap="none" spc="0" normalizeH="0" baseline="0" noProof="0">
                <a:ln>
                  <a:noFill/>
                </a:ln>
                <a:solidFill>
                  <a:prstClr val="black"/>
                </a:solidFill>
                <a:effectLst/>
                <a:uLnTx/>
                <a:uFillTx/>
                <a:latin typeface="+mn-lt"/>
                <a:ea typeface="+mn-ea"/>
                <a:cs typeface="+mn-cs"/>
              </a:rPr>
              <a:t>(</a:t>
            </a:r>
            <a:r>
              <a:rPr kumimoji="1" lang="ja-JP" altLang="en-US" sz="900" b="0" i="0" u="none" strike="noStrike" kern="0" cap="none" spc="0" normalizeH="0" baseline="0" noProof="0">
                <a:ln>
                  <a:noFill/>
                </a:ln>
                <a:solidFill>
                  <a:prstClr val="black"/>
                </a:solidFill>
                <a:effectLst/>
                <a:uLnTx/>
                <a:uFillTx/>
                <a:latin typeface="+mn-lt"/>
                <a:ea typeface="+mn-ea"/>
                <a:cs typeface="+mn-cs"/>
              </a:rPr>
              <a:t>マスタ</a:t>
            </a:r>
            <a:r>
              <a:rPr kumimoji="1" lang="en-US" altLang="ja-JP" sz="900" b="0" i="0" u="none" strike="noStrike" kern="0" cap="none" spc="0" normalizeH="0" baseline="0" noProof="0">
                <a:ln>
                  <a:noFill/>
                </a:ln>
                <a:solidFill>
                  <a:prstClr val="black"/>
                </a:solidFill>
                <a:effectLst/>
                <a:uLnTx/>
                <a:uFillTx/>
                <a:latin typeface="+mn-lt"/>
                <a:ea typeface="+mn-ea"/>
                <a:cs typeface="+mn-cs"/>
              </a:rPr>
              <a:t>)</a:t>
            </a:r>
            <a:endParaRPr kumimoji="1" lang="ja-JP" altLang="en-US" sz="900" b="0" i="0" u="none" strike="noStrike" kern="0" cap="none" spc="0" normalizeH="0" baseline="0" noProof="0">
              <a:ln>
                <a:noFill/>
              </a:ln>
              <a:solidFill>
                <a:prstClr val="black"/>
              </a:solidFill>
              <a:effectLst/>
              <a:uLnTx/>
              <a:uFillTx/>
              <a:latin typeface="+mn-lt"/>
              <a:ea typeface="+mn-ea"/>
              <a:cs typeface="+mn-cs"/>
            </a:endParaRPr>
          </a:p>
        </xdr:txBody>
      </xdr:sp>
    </xdr:grpSp>
    <xdr:clientData/>
  </xdr:twoCellAnchor>
  <xdr:twoCellAnchor>
    <xdr:from>
      <xdr:col>16</xdr:col>
      <xdr:colOff>63509</xdr:colOff>
      <xdr:row>845</xdr:row>
      <xdr:rowOff>94203</xdr:rowOff>
    </xdr:from>
    <xdr:to>
      <xdr:col>19</xdr:col>
      <xdr:colOff>161649</xdr:colOff>
      <xdr:row>847</xdr:row>
      <xdr:rowOff>29364</xdr:rowOff>
    </xdr:to>
    <xdr:sp macro="" textlink="">
      <xdr:nvSpPr>
        <xdr:cNvPr id="494" name="フローチャート: 端子 26">
          <a:extLst>
            <a:ext uri="{FF2B5EF4-FFF2-40B4-BE49-F238E27FC236}">
              <a16:creationId xmlns:a16="http://schemas.microsoft.com/office/drawing/2014/main" id="{B99CD556-84FC-4E5F-A7C9-F9B30CD002E1}"/>
            </a:ext>
          </a:extLst>
        </xdr:cNvPr>
        <xdr:cNvSpPr/>
      </xdr:nvSpPr>
      <xdr:spPr>
        <a:xfrm>
          <a:off x="3111509" y="145817632"/>
          <a:ext cx="669640" cy="27987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19011</xdr:colOff>
      <xdr:row>847</xdr:row>
      <xdr:rowOff>26189</xdr:rowOff>
    </xdr:from>
    <xdr:to>
      <xdr:col>18</xdr:col>
      <xdr:colOff>20504</xdr:colOff>
      <xdr:row>849</xdr:row>
      <xdr:rowOff>59379</xdr:rowOff>
    </xdr:to>
    <xdr:cxnSp macro="">
      <xdr:nvCxnSpPr>
        <xdr:cNvPr id="497" name="直線矢印コネクタ 496">
          <a:extLst>
            <a:ext uri="{FF2B5EF4-FFF2-40B4-BE49-F238E27FC236}">
              <a16:creationId xmlns:a16="http://schemas.microsoft.com/office/drawing/2014/main" id="{4D88C968-DAB2-48A3-85B9-FF3FE93CFB1C}"/>
            </a:ext>
          </a:extLst>
        </xdr:cNvPr>
        <xdr:cNvCxnSpPr>
          <a:stCxn id="494" idx="2"/>
          <a:endCxn id="362" idx="0"/>
        </xdr:cNvCxnSpPr>
      </xdr:nvCxnSpPr>
      <xdr:spPr>
        <a:xfrm flipH="1">
          <a:off x="3448011" y="146094332"/>
          <a:ext cx="1493" cy="37790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18914</xdr:colOff>
      <xdr:row>852</xdr:row>
      <xdr:rowOff>28150</xdr:rowOff>
    </xdr:from>
    <xdr:to>
      <xdr:col>18</xdr:col>
      <xdr:colOff>20525</xdr:colOff>
      <xdr:row>856</xdr:row>
      <xdr:rowOff>2549</xdr:rowOff>
    </xdr:to>
    <xdr:cxnSp macro="">
      <xdr:nvCxnSpPr>
        <xdr:cNvPr id="504" name="直線矢印コネクタ 27">
          <a:extLst>
            <a:ext uri="{FF2B5EF4-FFF2-40B4-BE49-F238E27FC236}">
              <a16:creationId xmlns:a16="http://schemas.microsoft.com/office/drawing/2014/main" id="{7F810492-D29B-4AE2-BD7E-B46C32460DA3}"/>
            </a:ext>
          </a:extLst>
        </xdr:cNvPr>
        <xdr:cNvCxnSpPr>
          <a:cxnSpLocks/>
          <a:stCxn id="362" idx="2"/>
          <a:endCxn id="507" idx="0"/>
        </xdr:cNvCxnSpPr>
      </xdr:nvCxnSpPr>
      <xdr:spPr>
        <a:xfrm flipH="1">
          <a:off x="3447914" y="146958079"/>
          <a:ext cx="1611" cy="66382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97538</xdr:colOff>
      <xdr:row>855</xdr:row>
      <xdr:rowOff>161523</xdr:rowOff>
    </xdr:from>
    <xdr:to>
      <xdr:col>20</xdr:col>
      <xdr:colOff>130790</xdr:colOff>
      <xdr:row>858</xdr:row>
      <xdr:rowOff>171432</xdr:rowOff>
    </xdr:to>
    <xdr:grpSp>
      <xdr:nvGrpSpPr>
        <xdr:cNvPr id="505" name="グループ化 504">
          <a:extLst>
            <a:ext uri="{FF2B5EF4-FFF2-40B4-BE49-F238E27FC236}">
              <a16:creationId xmlns:a16="http://schemas.microsoft.com/office/drawing/2014/main" id="{0EFBFD00-F254-4BC5-A98E-478CFC752125}"/>
            </a:ext>
          </a:extLst>
        </xdr:cNvPr>
        <xdr:cNvGrpSpPr/>
      </xdr:nvGrpSpPr>
      <xdr:grpSpPr>
        <a:xfrm>
          <a:off x="2812163" y="146913198"/>
          <a:ext cx="938127" cy="524259"/>
          <a:chOff x="284205" y="4845794"/>
          <a:chExt cx="1021504" cy="502669"/>
        </a:xfrm>
      </xdr:grpSpPr>
      <xdr:sp macro="" textlink="">
        <xdr:nvSpPr>
          <xdr:cNvPr id="506" name="フローチャート: 判断 505">
            <a:extLst>
              <a:ext uri="{FF2B5EF4-FFF2-40B4-BE49-F238E27FC236}">
                <a16:creationId xmlns:a16="http://schemas.microsoft.com/office/drawing/2014/main" id="{3C26FF88-07AD-8854-6034-2DFDF649C570}"/>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07" name="正方形/長方形 48">
            <a:extLst>
              <a:ext uri="{FF2B5EF4-FFF2-40B4-BE49-F238E27FC236}">
                <a16:creationId xmlns:a16="http://schemas.microsoft.com/office/drawing/2014/main" id="{3029245A-6C55-9D8F-0193-2F1057B63446}"/>
              </a:ext>
            </a:extLst>
          </xdr:cNvPr>
          <xdr:cNvSpPr/>
        </xdr:nvSpPr>
        <xdr:spPr>
          <a:xfrm>
            <a:off x="284205" y="4854766"/>
            <a:ext cx="1021504" cy="4936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休止資産</a:t>
            </a:r>
            <a:br>
              <a:rPr kumimoji="1" lang="en-US" altLang="ja-JP" sz="900"/>
            </a:br>
            <a:r>
              <a:rPr kumimoji="1" lang="en-US" altLang="ja-JP" sz="900"/>
              <a:t>or </a:t>
            </a:r>
            <a:r>
              <a:rPr kumimoji="1" lang="ja-JP" altLang="en-US" sz="900"/>
              <a:t>遊休資産</a:t>
            </a:r>
          </a:p>
        </xdr:txBody>
      </xdr:sp>
    </xdr:grpSp>
    <xdr:clientData/>
  </xdr:twoCellAnchor>
  <xdr:twoCellAnchor>
    <xdr:from>
      <xdr:col>18</xdr:col>
      <xdr:colOff>28205</xdr:colOff>
      <xdr:row>858</xdr:row>
      <xdr:rowOff>145113</xdr:rowOff>
    </xdr:from>
    <xdr:to>
      <xdr:col>23</xdr:col>
      <xdr:colOff>95250</xdr:colOff>
      <xdr:row>860</xdr:row>
      <xdr:rowOff>47624</xdr:rowOff>
    </xdr:to>
    <xdr:sp macro="" textlink="">
      <xdr:nvSpPr>
        <xdr:cNvPr id="508" name="テキスト ボックス 507">
          <a:extLst>
            <a:ext uri="{FF2B5EF4-FFF2-40B4-BE49-F238E27FC236}">
              <a16:creationId xmlns:a16="http://schemas.microsoft.com/office/drawing/2014/main" id="{54A31FC9-4047-4C5F-891C-3C6DEA962B12}"/>
            </a:ext>
          </a:extLst>
        </xdr:cNvPr>
        <xdr:cNvSpPr txBox="1"/>
      </xdr:nvSpPr>
      <xdr:spPr>
        <a:xfrm>
          <a:off x="3457205" y="148109184"/>
          <a:ext cx="1019545" cy="24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003 </a:t>
          </a:r>
          <a:r>
            <a:rPr kumimoji="1" lang="ja-JP" altLang="en-US" sz="900"/>
            <a:t>通常ー遊休</a:t>
          </a:r>
        </a:p>
      </xdr:txBody>
    </xdr:sp>
    <xdr:clientData/>
  </xdr:twoCellAnchor>
  <xdr:twoCellAnchor>
    <xdr:from>
      <xdr:col>11</xdr:col>
      <xdr:colOff>85726</xdr:colOff>
      <xdr:row>855</xdr:row>
      <xdr:rowOff>86857</xdr:rowOff>
    </xdr:from>
    <xdr:to>
      <xdr:col>17</xdr:col>
      <xdr:colOff>68332</xdr:colOff>
      <xdr:row>857</xdr:row>
      <xdr:rowOff>18368</xdr:rowOff>
    </xdr:to>
    <xdr:sp macro="" textlink="">
      <xdr:nvSpPr>
        <xdr:cNvPr id="509" name="テキスト ボックス 508">
          <a:extLst>
            <a:ext uri="{FF2B5EF4-FFF2-40B4-BE49-F238E27FC236}">
              <a16:creationId xmlns:a16="http://schemas.microsoft.com/office/drawing/2014/main" id="{F898801E-B553-4294-B4EA-137C354EB1D1}"/>
            </a:ext>
          </a:extLst>
        </xdr:cNvPr>
        <xdr:cNvSpPr txBox="1"/>
      </xdr:nvSpPr>
      <xdr:spPr>
        <a:xfrm>
          <a:off x="2181226" y="147533857"/>
          <a:ext cx="112560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002 </a:t>
          </a:r>
          <a:r>
            <a:rPr kumimoji="1" lang="ja-JP" altLang="en-US" sz="900"/>
            <a:t>通常ー休止</a:t>
          </a:r>
        </a:p>
      </xdr:txBody>
    </xdr:sp>
    <xdr:clientData/>
  </xdr:twoCellAnchor>
  <xdr:twoCellAnchor>
    <xdr:from>
      <xdr:col>18</xdr:col>
      <xdr:colOff>16366</xdr:colOff>
      <xdr:row>858</xdr:row>
      <xdr:rowOff>152667</xdr:rowOff>
    </xdr:from>
    <xdr:to>
      <xdr:col>18</xdr:col>
      <xdr:colOff>19093</xdr:colOff>
      <xdr:row>861</xdr:row>
      <xdr:rowOff>99667</xdr:rowOff>
    </xdr:to>
    <xdr:cxnSp macro="">
      <xdr:nvCxnSpPr>
        <xdr:cNvPr id="510" name="直線矢印コネクタ 509">
          <a:extLst>
            <a:ext uri="{FF2B5EF4-FFF2-40B4-BE49-F238E27FC236}">
              <a16:creationId xmlns:a16="http://schemas.microsoft.com/office/drawing/2014/main" id="{4ACDC454-396C-47BF-B579-97DCB5EBB69D}"/>
            </a:ext>
          </a:extLst>
        </xdr:cNvPr>
        <xdr:cNvCxnSpPr>
          <a:cxnSpLocks/>
          <a:stCxn id="506" idx="2"/>
          <a:endCxn id="536" idx="0"/>
        </xdr:cNvCxnSpPr>
      </xdr:nvCxnSpPr>
      <xdr:spPr>
        <a:xfrm>
          <a:off x="3445366" y="146999592"/>
          <a:ext cx="2727" cy="46135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178689</xdr:colOff>
      <xdr:row>857</xdr:row>
      <xdr:rowOff>72958</xdr:rowOff>
    </xdr:from>
    <xdr:to>
      <xdr:col>18</xdr:col>
      <xdr:colOff>14634</xdr:colOff>
      <xdr:row>869</xdr:row>
      <xdr:rowOff>48328</xdr:rowOff>
    </xdr:to>
    <xdr:cxnSp macro="">
      <xdr:nvCxnSpPr>
        <xdr:cNvPr id="513" name="コネクタ: カギ線 512">
          <a:extLst>
            <a:ext uri="{FF2B5EF4-FFF2-40B4-BE49-F238E27FC236}">
              <a16:creationId xmlns:a16="http://schemas.microsoft.com/office/drawing/2014/main" id="{E5650AF0-3ECB-42C2-8FD9-B451CC230B90}"/>
            </a:ext>
          </a:extLst>
        </xdr:cNvPr>
        <xdr:cNvCxnSpPr>
          <a:stCxn id="506" idx="1"/>
          <a:endCxn id="371" idx="0"/>
        </xdr:cNvCxnSpPr>
      </xdr:nvCxnSpPr>
      <xdr:spPr>
        <a:xfrm rot="10800000" flipH="1" flipV="1">
          <a:off x="3036189" y="147864672"/>
          <a:ext cx="407445" cy="2043656"/>
        </a:xfrm>
        <a:prstGeom prst="bentConnector4">
          <a:avLst>
            <a:gd name="adj1" fmla="val -140853"/>
            <a:gd name="adj2" fmla="val 75198"/>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44449</xdr:colOff>
      <xdr:row>861</xdr:row>
      <xdr:rowOff>67221</xdr:rowOff>
    </xdr:from>
    <xdr:to>
      <xdr:col>21</xdr:col>
      <xdr:colOff>19049</xdr:colOff>
      <xdr:row>864</xdr:row>
      <xdr:rowOff>96028</xdr:rowOff>
    </xdr:to>
    <xdr:grpSp>
      <xdr:nvGrpSpPr>
        <xdr:cNvPr id="532" name="グループ化 8">
          <a:extLst>
            <a:ext uri="{FF2B5EF4-FFF2-40B4-BE49-F238E27FC236}">
              <a16:creationId xmlns:a16="http://schemas.microsoft.com/office/drawing/2014/main" id="{9D272BF3-2244-4EA8-9593-75D39EBAE9C8}"/>
            </a:ext>
          </a:extLst>
        </xdr:cNvPr>
        <xdr:cNvGrpSpPr/>
      </xdr:nvGrpSpPr>
      <xdr:grpSpPr>
        <a:xfrm>
          <a:off x="2759074" y="147847596"/>
          <a:ext cx="1060450" cy="543157"/>
          <a:chOff x="1615543" y="2430783"/>
          <a:chExt cx="973062" cy="422628"/>
        </a:xfrm>
      </xdr:grpSpPr>
      <xdr:sp macro="" textlink="">
        <xdr:nvSpPr>
          <xdr:cNvPr id="536" name="フローチャート: 定義済み処理 9">
            <a:extLst>
              <a:ext uri="{FF2B5EF4-FFF2-40B4-BE49-F238E27FC236}">
                <a16:creationId xmlns:a16="http://schemas.microsoft.com/office/drawing/2014/main" id="{905D656F-05E5-C99A-D282-79FEDDFDEEBE}"/>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37" name="正方形/長方形 48">
            <a:extLst>
              <a:ext uri="{FF2B5EF4-FFF2-40B4-BE49-F238E27FC236}">
                <a16:creationId xmlns:a16="http://schemas.microsoft.com/office/drawing/2014/main" id="{AE4EF117-5D72-5C9F-1F09-16F2DED2A159}"/>
              </a:ext>
            </a:extLst>
          </xdr:cNvPr>
          <xdr:cNvSpPr/>
        </xdr:nvSpPr>
        <xdr:spPr>
          <a:xfrm>
            <a:off x="1615543" y="2430783"/>
            <a:ext cx="97306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固定資産へのアイドル期間の割り当て</a:t>
            </a:r>
          </a:p>
        </xdr:txBody>
      </xdr:sp>
    </xdr:grpSp>
    <xdr:clientData/>
  </xdr:twoCellAnchor>
  <xdr:twoCellAnchor>
    <xdr:from>
      <xdr:col>20</xdr:col>
      <xdr:colOff>113978</xdr:colOff>
      <xdr:row>862</xdr:row>
      <xdr:rowOff>163601</xdr:rowOff>
    </xdr:from>
    <xdr:to>
      <xdr:col>30</xdr:col>
      <xdr:colOff>180975</xdr:colOff>
      <xdr:row>863</xdr:row>
      <xdr:rowOff>0</xdr:rowOff>
    </xdr:to>
    <xdr:cxnSp macro="">
      <xdr:nvCxnSpPr>
        <xdr:cNvPr id="538" name="直線矢印コネクタ 537">
          <a:extLst>
            <a:ext uri="{FF2B5EF4-FFF2-40B4-BE49-F238E27FC236}">
              <a16:creationId xmlns:a16="http://schemas.microsoft.com/office/drawing/2014/main" id="{7520D9B0-44BB-4AA3-8BE9-185C03F332D4}"/>
            </a:ext>
          </a:extLst>
        </xdr:cNvPr>
        <xdr:cNvCxnSpPr/>
      </xdr:nvCxnSpPr>
      <xdr:spPr>
        <a:xfrm>
          <a:off x="3923978" y="148817101"/>
          <a:ext cx="1971997" cy="87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96960</xdr:colOff>
      <xdr:row>860</xdr:row>
      <xdr:rowOff>146037</xdr:rowOff>
    </xdr:from>
    <xdr:to>
      <xdr:col>35</xdr:col>
      <xdr:colOff>28572</xdr:colOff>
      <xdr:row>864</xdr:row>
      <xdr:rowOff>102515</xdr:rowOff>
    </xdr:to>
    <xdr:grpSp>
      <xdr:nvGrpSpPr>
        <xdr:cNvPr id="539" name="グループ化 516">
          <a:extLst>
            <a:ext uri="{FF2B5EF4-FFF2-40B4-BE49-F238E27FC236}">
              <a16:creationId xmlns:a16="http://schemas.microsoft.com/office/drawing/2014/main" id="{C61778C3-97C6-4BC2-A16C-018E11C55E99}"/>
            </a:ext>
          </a:extLst>
        </xdr:cNvPr>
        <xdr:cNvGrpSpPr>
          <a:grpSpLocks noChangeAspect="1"/>
        </xdr:cNvGrpSpPr>
      </xdr:nvGrpSpPr>
      <xdr:grpSpPr>
        <a:xfrm>
          <a:off x="5345235" y="147754962"/>
          <a:ext cx="1017462" cy="642278"/>
          <a:chOff x="6944498" y="2892424"/>
          <a:chExt cx="1117527" cy="585769"/>
        </a:xfrm>
      </xdr:grpSpPr>
      <xdr:sp macro="" textlink="">
        <xdr:nvSpPr>
          <xdr:cNvPr id="540" name="フローチャート: 磁気ディスク 517">
            <a:extLst>
              <a:ext uri="{FF2B5EF4-FFF2-40B4-BE49-F238E27FC236}">
                <a16:creationId xmlns:a16="http://schemas.microsoft.com/office/drawing/2014/main" id="{6CC9AF18-614C-AB53-B27D-A005D8A169A7}"/>
              </a:ext>
            </a:extLst>
          </xdr:cNvPr>
          <xdr:cNvSpPr/>
        </xdr:nvSpPr>
        <xdr:spPr>
          <a:xfrm>
            <a:off x="7204076" y="2892424"/>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41" name="正方形/長方形 518">
            <a:extLst>
              <a:ext uri="{FF2B5EF4-FFF2-40B4-BE49-F238E27FC236}">
                <a16:creationId xmlns:a16="http://schemas.microsoft.com/office/drawing/2014/main" id="{9A4D66FA-F99C-6A99-43CE-A84C37D82484}"/>
              </a:ext>
            </a:extLst>
          </xdr:cNvPr>
          <xdr:cNvSpPr/>
        </xdr:nvSpPr>
        <xdr:spPr>
          <a:xfrm>
            <a:off x="6944498" y="2972586"/>
            <a:ext cx="1117527"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prstClr val="black"/>
                </a:solidFill>
                <a:effectLst/>
                <a:uLnTx/>
                <a:uFillTx/>
                <a:latin typeface="+mn-lt"/>
                <a:ea typeface="+mn-ea"/>
                <a:cs typeface="+mn-cs"/>
              </a:rPr>
              <a:t>固定資産へのアイドル期間の割り当て</a:t>
            </a:r>
          </a:p>
        </xdr:txBody>
      </xdr:sp>
    </xdr:grpSp>
    <xdr:clientData/>
  </xdr:twoCellAnchor>
  <xdr:twoCellAnchor>
    <xdr:from>
      <xdr:col>18</xdr:col>
      <xdr:colOff>14635</xdr:colOff>
      <xdr:row>864</xdr:row>
      <xdr:rowOff>65275</xdr:rowOff>
    </xdr:from>
    <xdr:to>
      <xdr:col>18</xdr:col>
      <xdr:colOff>20715</xdr:colOff>
      <xdr:row>869</xdr:row>
      <xdr:rowOff>48328</xdr:rowOff>
    </xdr:to>
    <xdr:cxnSp macro="">
      <xdr:nvCxnSpPr>
        <xdr:cNvPr id="555" name="直線矢印コネクタ 554">
          <a:extLst>
            <a:ext uri="{FF2B5EF4-FFF2-40B4-BE49-F238E27FC236}">
              <a16:creationId xmlns:a16="http://schemas.microsoft.com/office/drawing/2014/main" id="{01B0C187-7906-4D74-AB50-EBD2F472296A}"/>
            </a:ext>
          </a:extLst>
        </xdr:cNvPr>
        <xdr:cNvCxnSpPr>
          <a:cxnSpLocks/>
          <a:stCxn id="536" idx="2"/>
          <a:endCxn id="371" idx="0"/>
        </xdr:cNvCxnSpPr>
      </xdr:nvCxnSpPr>
      <xdr:spPr>
        <a:xfrm flipH="1">
          <a:off x="3443635" y="149063489"/>
          <a:ext cx="6080" cy="84483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49924</xdr:colOff>
      <xdr:row>849</xdr:row>
      <xdr:rowOff>55316</xdr:rowOff>
    </xdr:from>
    <xdr:to>
      <xdr:col>7</xdr:col>
      <xdr:colOff>134984</xdr:colOff>
      <xdr:row>852</xdr:row>
      <xdr:rowOff>84123</xdr:rowOff>
    </xdr:to>
    <xdr:grpSp>
      <xdr:nvGrpSpPr>
        <xdr:cNvPr id="529" name="グループ化 8">
          <a:extLst>
            <a:ext uri="{FF2B5EF4-FFF2-40B4-BE49-F238E27FC236}">
              <a16:creationId xmlns:a16="http://schemas.microsoft.com/office/drawing/2014/main" id="{285F0D8B-ED64-45A9-B80C-85C59ABFB3F6}"/>
            </a:ext>
          </a:extLst>
        </xdr:cNvPr>
        <xdr:cNvGrpSpPr/>
      </xdr:nvGrpSpPr>
      <xdr:grpSpPr>
        <a:xfrm>
          <a:off x="411874" y="145778291"/>
          <a:ext cx="989935" cy="543157"/>
          <a:chOff x="1615543" y="2430783"/>
          <a:chExt cx="908902" cy="422628"/>
        </a:xfrm>
      </xdr:grpSpPr>
      <xdr:sp macro="" textlink="">
        <xdr:nvSpPr>
          <xdr:cNvPr id="530" name="フローチャート: 定義済み処理 9">
            <a:extLst>
              <a:ext uri="{FF2B5EF4-FFF2-40B4-BE49-F238E27FC236}">
                <a16:creationId xmlns:a16="http://schemas.microsoft.com/office/drawing/2014/main" id="{6A4BA033-F51B-446F-B525-482ACC3A8F31}"/>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31" name="正方形/長方形 48">
            <a:extLst>
              <a:ext uri="{FF2B5EF4-FFF2-40B4-BE49-F238E27FC236}">
                <a16:creationId xmlns:a16="http://schemas.microsoft.com/office/drawing/2014/main" id="{E2641ED7-75C1-B30B-1EA7-28FE18A18C95}"/>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資産活動</a:t>
            </a:r>
            <a:br>
              <a:rPr kumimoji="1" lang="en-US" altLang="ja-JP" sz="900"/>
            </a:br>
            <a:r>
              <a:rPr kumimoji="1" lang="ja-JP" altLang="en-US" sz="900"/>
              <a:t>コードの修正</a:t>
            </a:r>
          </a:p>
        </xdr:txBody>
      </xdr:sp>
    </xdr:grpSp>
    <xdr:clientData/>
  </xdr:twoCellAnchor>
  <xdr:twoCellAnchor>
    <xdr:from>
      <xdr:col>3</xdr:col>
      <xdr:colOff>47551</xdr:colOff>
      <xdr:row>869</xdr:row>
      <xdr:rowOff>70551</xdr:rowOff>
    </xdr:from>
    <xdr:to>
      <xdr:col>6</xdr:col>
      <xdr:colOff>170483</xdr:colOff>
      <xdr:row>870</xdr:row>
      <xdr:rowOff>156517</xdr:rowOff>
    </xdr:to>
    <xdr:sp macro="" textlink="">
      <xdr:nvSpPr>
        <xdr:cNvPr id="548" name="フローチャート: 端子 26">
          <a:extLst>
            <a:ext uri="{FF2B5EF4-FFF2-40B4-BE49-F238E27FC236}">
              <a16:creationId xmlns:a16="http://schemas.microsoft.com/office/drawing/2014/main" id="{C711BB42-B722-4531-AE43-06611802CF00}"/>
            </a:ext>
          </a:extLst>
        </xdr:cNvPr>
        <xdr:cNvSpPr/>
      </xdr:nvSpPr>
      <xdr:spPr>
        <a:xfrm>
          <a:off x="619051" y="149930551"/>
          <a:ext cx="694432" cy="25832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xdr:col>
      <xdr:colOff>64229</xdr:colOff>
      <xdr:row>845</xdr:row>
      <xdr:rowOff>119601</xdr:rowOff>
    </xdr:from>
    <xdr:to>
      <xdr:col>6</xdr:col>
      <xdr:colOff>162369</xdr:colOff>
      <xdr:row>847</xdr:row>
      <xdr:rowOff>54762</xdr:rowOff>
    </xdr:to>
    <xdr:sp macro="" textlink="">
      <xdr:nvSpPr>
        <xdr:cNvPr id="552" name="フローチャート: 端子 26">
          <a:extLst>
            <a:ext uri="{FF2B5EF4-FFF2-40B4-BE49-F238E27FC236}">
              <a16:creationId xmlns:a16="http://schemas.microsoft.com/office/drawing/2014/main" id="{BB52FFCE-79BD-43F0-B5E9-FAC545FFBD5F}"/>
            </a:ext>
          </a:extLst>
        </xdr:cNvPr>
        <xdr:cNvSpPr/>
      </xdr:nvSpPr>
      <xdr:spPr>
        <a:xfrm>
          <a:off x="635729" y="145843030"/>
          <a:ext cx="669640" cy="27987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5</xdr:col>
      <xdr:colOff>19731</xdr:colOff>
      <xdr:row>847</xdr:row>
      <xdr:rowOff>51587</xdr:rowOff>
    </xdr:from>
    <xdr:to>
      <xdr:col>5</xdr:col>
      <xdr:colOff>21224</xdr:colOff>
      <xdr:row>849</xdr:row>
      <xdr:rowOff>84777</xdr:rowOff>
    </xdr:to>
    <xdr:cxnSp macro="">
      <xdr:nvCxnSpPr>
        <xdr:cNvPr id="553" name="直線矢印コネクタ 552">
          <a:extLst>
            <a:ext uri="{FF2B5EF4-FFF2-40B4-BE49-F238E27FC236}">
              <a16:creationId xmlns:a16="http://schemas.microsoft.com/office/drawing/2014/main" id="{8CD3696F-9FC0-4DA8-A61D-A679199E0457}"/>
            </a:ext>
          </a:extLst>
        </xdr:cNvPr>
        <xdr:cNvCxnSpPr>
          <a:stCxn id="552" idx="2"/>
          <a:endCxn id="530" idx="0"/>
        </xdr:cNvCxnSpPr>
      </xdr:nvCxnSpPr>
      <xdr:spPr>
        <a:xfrm flipH="1">
          <a:off x="972231" y="146119730"/>
          <a:ext cx="1493" cy="37790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19634</xdr:colOff>
      <xdr:row>852</xdr:row>
      <xdr:rowOff>53548</xdr:rowOff>
    </xdr:from>
    <xdr:to>
      <xdr:col>5</xdr:col>
      <xdr:colOff>21245</xdr:colOff>
      <xdr:row>856</xdr:row>
      <xdr:rowOff>27947</xdr:rowOff>
    </xdr:to>
    <xdr:cxnSp macro="">
      <xdr:nvCxnSpPr>
        <xdr:cNvPr id="554" name="直線矢印コネクタ 27">
          <a:extLst>
            <a:ext uri="{FF2B5EF4-FFF2-40B4-BE49-F238E27FC236}">
              <a16:creationId xmlns:a16="http://schemas.microsoft.com/office/drawing/2014/main" id="{6870C3FC-9949-49A9-B862-C1E46A599CC2}"/>
            </a:ext>
          </a:extLst>
        </xdr:cNvPr>
        <xdr:cNvCxnSpPr>
          <a:cxnSpLocks/>
          <a:stCxn id="530" idx="2"/>
          <a:endCxn id="559" idx="0"/>
        </xdr:cNvCxnSpPr>
      </xdr:nvCxnSpPr>
      <xdr:spPr>
        <a:xfrm flipH="1">
          <a:off x="972134" y="146983477"/>
          <a:ext cx="1611" cy="66382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98258</xdr:colOff>
      <xdr:row>856</xdr:row>
      <xdr:rowOff>14564</xdr:rowOff>
    </xdr:from>
    <xdr:to>
      <xdr:col>7</xdr:col>
      <xdr:colOff>131510</xdr:colOff>
      <xdr:row>859</xdr:row>
      <xdr:rowOff>24472</xdr:rowOff>
    </xdr:to>
    <xdr:grpSp>
      <xdr:nvGrpSpPr>
        <xdr:cNvPr id="556" name="グループ化 555">
          <a:extLst>
            <a:ext uri="{FF2B5EF4-FFF2-40B4-BE49-F238E27FC236}">
              <a16:creationId xmlns:a16="http://schemas.microsoft.com/office/drawing/2014/main" id="{FCBACF84-579D-4DEA-9820-0586219DC59C}"/>
            </a:ext>
          </a:extLst>
        </xdr:cNvPr>
        <xdr:cNvGrpSpPr/>
      </xdr:nvGrpSpPr>
      <xdr:grpSpPr>
        <a:xfrm>
          <a:off x="460208" y="146937689"/>
          <a:ext cx="938127" cy="524258"/>
          <a:chOff x="284205" y="4845794"/>
          <a:chExt cx="1021504" cy="502669"/>
        </a:xfrm>
      </xdr:grpSpPr>
      <xdr:sp macro="" textlink="">
        <xdr:nvSpPr>
          <xdr:cNvPr id="558" name="フローチャート: 判断 557">
            <a:extLst>
              <a:ext uri="{FF2B5EF4-FFF2-40B4-BE49-F238E27FC236}">
                <a16:creationId xmlns:a16="http://schemas.microsoft.com/office/drawing/2014/main" id="{45519CF0-C4A8-70F3-7E84-13158DCE3C17}"/>
              </a:ext>
            </a:extLst>
          </xdr:cNvPr>
          <xdr:cNvSpPr/>
        </xdr:nvSpPr>
        <xdr:spPr>
          <a:xfrm>
            <a:off x="368300" y="4845794"/>
            <a:ext cx="848033" cy="484567"/>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59" name="正方形/長方形 48">
            <a:extLst>
              <a:ext uri="{FF2B5EF4-FFF2-40B4-BE49-F238E27FC236}">
                <a16:creationId xmlns:a16="http://schemas.microsoft.com/office/drawing/2014/main" id="{747EFB0E-8983-D70E-3011-3DB0F9479970}"/>
              </a:ext>
            </a:extLst>
          </xdr:cNvPr>
          <xdr:cNvSpPr/>
        </xdr:nvSpPr>
        <xdr:spPr>
          <a:xfrm>
            <a:off x="284205" y="4854766"/>
            <a:ext cx="1021504" cy="4936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休止資産</a:t>
            </a:r>
            <a:br>
              <a:rPr kumimoji="1" lang="en-US" altLang="ja-JP" sz="900"/>
            </a:br>
            <a:r>
              <a:rPr kumimoji="1" lang="en-US" altLang="ja-JP" sz="900"/>
              <a:t>or </a:t>
            </a:r>
            <a:r>
              <a:rPr kumimoji="1" lang="ja-JP" altLang="en-US" sz="900"/>
              <a:t>遊休資産</a:t>
            </a:r>
          </a:p>
        </xdr:txBody>
      </xdr:sp>
    </xdr:grpSp>
    <xdr:clientData/>
  </xdr:twoCellAnchor>
  <xdr:twoCellAnchor>
    <xdr:from>
      <xdr:col>5</xdr:col>
      <xdr:colOff>28925</xdr:colOff>
      <xdr:row>858</xdr:row>
      <xdr:rowOff>170511</xdr:rowOff>
    </xdr:from>
    <xdr:to>
      <xdr:col>10</xdr:col>
      <xdr:colOff>95970</xdr:colOff>
      <xdr:row>860</xdr:row>
      <xdr:rowOff>73022</xdr:rowOff>
    </xdr:to>
    <xdr:sp macro="" textlink="">
      <xdr:nvSpPr>
        <xdr:cNvPr id="560" name="テキスト ボックス 559">
          <a:extLst>
            <a:ext uri="{FF2B5EF4-FFF2-40B4-BE49-F238E27FC236}">
              <a16:creationId xmlns:a16="http://schemas.microsoft.com/office/drawing/2014/main" id="{694E6E9B-46C2-467F-9953-DDA4595267F4}"/>
            </a:ext>
          </a:extLst>
        </xdr:cNvPr>
        <xdr:cNvSpPr txBox="1"/>
      </xdr:nvSpPr>
      <xdr:spPr>
        <a:xfrm>
          <a:off x="981425" y="148134582"/>
          <a:ext cx="1019545" cy="24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003 </a:t>
          </a:r>
          <a:r>
            <a:rPr kumimoji="1" lang="ja-JP" altLang="en-US" sz="900"/>
            <a:t>通常ー遊休</a:t>
          </a:r>
        </a:p>
      </xdr:txBody>
    </xdr:sp>
    <xdr:clientData/>
  </xdr:twoCellAnchor>
  <xdr:twoCellAnchor>
    <xdr:from>
      <xdr:col>0</xdr:col>
      <xdr:colOff>0</xdr:colOff>
      <xdr:row>854</xdr:row>
      <xdr:rowOff>161149</xdr:rowOff>
    </xdr:from>
    <xdr:to>
      <xdr:col>5</xdr:col>
      <xdr:colOff>61046</xdr:colOff>
      <xdr:row>856</xdr:row>
      <xdr:rowOff>138215</xdr:rowOff>
    </xdr:to>
    <xdr:sp macro="" textlink="">
      <xdr:nvSpPr>
        <xdr:cNvPr id="561" name="テキスト ボックス 560">
          <a:extLst>
            <a:ext uri="{FF2B5EF4-FFF2-40B4-BE49-F238E27FC236}">
              <a16:creationId xmlns:a16="http://schemas.microsoft.com/office/drawing/2014/main" id="{2498C591-F82F-4AA7-B8AA-4F1DF20AF562}"/>
            </a:ext>
          </a:extLst>
        </xdr:cNvPr>
        <xdr:cNvSpPr txBox="1"/>
      </xdr:nvSpPr>
      <xdr:spPr>
        <a:xfrm>
          <a:off x="0" y="147435792"/>
          <a:ext cx="1013546" cy="32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900"/>
            <a:t>002 </a:t>
          </a:r>
          <a:r>
            <a:rPr kumimoji="1" lang="ja-JP" altLang="en-US" sz="900"/>
            <a:t>通常ー休止</a:t>
          </a:r>
        </a:p>
      </xdr:txBody>
    </xdr:sp>
    <xdr:clientData/>
  </xdr:twoCellAnchor>
  <xdr:twoCellAnchor>
    <xdr:from>
      <xdr:col>2</xdr:col>
      <xdr:colOff>179409</xdr:colOff>
      <xdr:row>857</xdr:row>
      <xdr:rowOff>98356</xdr:rowOff>
    </xdr:from>
    <xdr:to>
      <xdr:col>5</xdr:col>
      <xdr:colOff>15354</xdr:colOff>
      <xdr:row>869</xdr:row>
      <xdr:rowOff>73726</xdr:rowOff>
    </xdr:to>
    <xdr:cxnSp macro="">
      <xdr:nvCxnSpPr>
        <xdr:cNvPr id="562" name="コネクタ: カギ線 561">
          <a:extLst>
            <a:ext uri="{FF2B5EF4-FFF2-40B4-BE49-F238E27FC236}">
              <a16:creationId xmlns:a16="http://schemas.microsoft.com/office/drawing/2014/main" id="{C735BB38-5606-4811-B40C-09A9A6799829}"/>
            </a:ext>
          </a:extLst>
        </xdr:cNvPr>
        <xdr:cNvCxnSpPr>
          <a:stCxn id="558" idx="1"/>
          <a:endCxn id="548" idx="0"/>
        </xdr:cNvCxnSpPr>
      </xdr:nvCxnSpPr>
      <xdr:spPr>
        <a:xfrm rot="10800000" flipH="1" flipV="1">
          <a:off x="560409" y="147890070"/>
          <a:ext cx="407445" cy="2043656"/>
        </a:xfrm>
        <a:prstGeom prst="bentConnector4">
          <a:avLst>
            <a:gd name="adj1" fmla="val -66548"/>
            <a:gd name="adj2" fmla="val 75198"/>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45169</xdr:colOff>
      <xdr:row>861</xdr:row>
      <xdr:rowOff>92619</xdr:rowOff>
    </xdr:from>
    <xdr:to>
      <xdr:col>8</xdr:col>
      <xdr:colOff>19769</xdr:colOff>
      <xdr:row>864</xdr:row>
      <xdr:rowOff>121426</xdr:rowOff>
    </xdr:to>
    <xdr:grpSp>
      <xdr:nvGrpSpPr>
        <xdr:cNvPr id="563" name="グループ化 8">
          <a:extLst>
            <a:ext uri="{FF2B5EF4-FFF2-40B4-BE49-F238E27FC236}">
              <a16:creationId xmlns:a16="http://schemas.microsoft.com/office/drawing/2014/main" id="{354F3E17-F0AB-48B9-A907-B1153A9D3634}"/>
            </a:ext>
          </a:extLst>
        </xdr:cNvPr>
        <xdr:cNvGrpSpPr/>
      </xdr:nvGrpSpPr>
      <xdr:grpSpPr>
        <a:xfrm>
          <a:off x="407119" y="147872994"/>
          <a:ext cx="1060450" cy="543157"/>
          <a:chOff x="1615543" y="2430783"/>
          <a:chExt cx="973062" cy="422628"/>
        </a:xfrm>
      </xdr:grpSpPr>
      <xdr:sp macro="" textlink="">
        <xdr:nvSpPr>
          <xdr:cNvPr id="564" name="フローチャート: 定義済み処理 9">
            <a:extLst>
              <a:ext uri="{FF2B5EF4-FFF2-40B4-BE49-F238E27FC236}">
                <a16:creationId xmlns:a16="http://schemas.microsoft.com/office/drawing/2014/main" id="{1915C226-E5A2-E42C-21F7-A2E5D3FA8CF1}"/>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65" name="正方形/長方形 48">
            <a:extLst>
              <a:ext uri="{FF2B5EF4-FFF2-40B4-BE49-F238E27FC236}">
                <a16:creationId xmlns:a16="http://schemas.microsoft.com/office/drawing/2014/main" id="{2A0229EC-B804-8BA5-714B-F6EACFC486BF}"/>
              </a:ext>
            </a:extLst>
          </xdr:cNvPr>
          <xdr:cNvSpPr/>
        </xdr:nvSpPr>
        <xdr:spPr>
          <a:xfrm>
            <a:off x="1615543" y="2430783"/>
            <a:ext cx="97306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固定資産へのアイドル期間の割り当て</a:t>
            </a:r>
          </a:p>
        </xdr:txBody>
      </xdr:sp>
    </xdr:grpSp>
    <xdr:clientData/>
  </xdr:twoCellAnchor>
  <xdr:twoCellAnchor>
    <xdr:from>
      <xdr:col>5</xdr:col>
      <xdr:colOff>15355</xdr:colOff>
      <xdr:row>864</xdr:row>
      <xdr:rowOff>90673</xdr:rowOff>
    </xdr:from>
    <xdr:to>
      <xdr:col>5</xdr:col>
      <xdr:colOff>21435</xdr:colOff>
      <xdr:row>869</xdr:row>
      <xdr:rowOff>73726</xdr:rowOff>
    </xdr:to>
    <xdr:cxnSp macro="">
      <xdr:nvCxnSpPr>
        <xdr:cNvPr id="570" name="直線矢印コネクタ 569">
          <a:extLst>
            <a:ext uri="{FF2B5EF4-FFF2-40B4-BE49-F238E27FC236}">
              <a16:creationId xmlns:a16="http://schemas.microsoft.com/office/drawing/2014/main" id="{B447A7DA-6770-4DBD-AA40-3452517087BB}"/>
            </a:ext>
          </a:extLst>
        </xdr:cNvPr>
        <xdr:cNvCxnSpPr>
          <a:cxnSpLocks/>
          <a:stCxn id="564" idx="2"/>
          <a:endCxn id="548" idx="0"/>
        </xdr:cNvCxnSpPr>
      </xdr:nvCxnSpPr>
      <xdr:spPr>
        <a:xfrm flipH="1">
          <a:off x="967855" y="149088887"/>
          <a:ext cx="6080" cy="84483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25438</xdr:colOff>
      <xdr:row>859</xdr:row>
      <xdr:rowOff>15234</xdr:rowOff>
    </xdr:from>
    <xdr:to>
      <xdr:col>5</xdr:col>
      <xdr:colOff>28165</xdr:colOff>
      <xdr:row>861</xdr:row>
      <xdr:rowOff>134592</xdr:rowOff>
    </xdr:to>
    <xdr:cxnSp macro="">
      <xdr:nvCxnSpPr>
        <xdr:cNvPr id="654" name="直線矢印コネクタ 653">
          <a:extLst>
            <a:ext uri="{FF2B5EF4-FFF2-40B4-BE49-F238E27FC236}">
              <a16:creationId xmlns:a16="http://schemas.microsoft.com/office/drawing/2014/main" id="{D964062A-6365-4F86-9C45-93CA6E9C6755}"/>
            </a:ext>
          </a:extLst>
        </xdr:cNvPr>
        <xdr:cNvCxnSpPr>
          <a:cxnSpLocks/>
        </xdr:cNvCxnSpPr>
      </xdr:nvCxnSpPr>
      <xdr:spPr>
        <a:xfrm>
          <a:off x="977938" y="148151663"/>
          <a:ext cx="2727" cy="46407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178382</xdr:colOff>
      <xdr:row>12</xdr:row>
      <xdr:rowOff>156830</xdr:rowOff>
    </xdr:from>
    <xdr:to>
      <xdr:col>5</xdr:col>
      <xdr:colOff>180244</xdr:colOff>
      <xdr:row>14</xdr:row>
      <xdr:rowOff>112610</xdr:rowOff>
    </xdr:to>
    <xdr:cxnSp macro="">
      <xdr:nvCxnSpPr>
        <xdr:cNvPr id="2" name="直線矢印コネクタ 27">
          <a:extLst>
            <a:ext uri="{FF2B5EF4-FFF2-40B4-BE49-F238E27FC236}">
              <a16:creationId xmlns:a16="http://schemas.microsoft.com/office/drawing/2014/main" id="{00000000-0008-0000-0400-000002000000}"/>
            </a:ext>
          </a:extLst>
        </xdr:cNvPr>
        <xdr:cNvCxnSpPr>
          <a:cxnSpLocks/>
          <a:stCxn id="3" idx="2"/>
          <a:endCxn id="17" idx="0"/>
        </xdr:cNvCxnSpPr>
      </xdr:nvCxnSpPr>
      <xdr:spPr>
        <a:xfrm>
          <a:off x="1183799" y="2326413"/>
          <a:ext cx="1862" cy="318369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23168</xdr:colOff>
      <xdr:row>11</xdr:row>
      <xdr:rowOff>66897</xdr:rowOff>
    </xdr:from>
    <xdr:to>
      <xdr:col>7</xdr:col>
      <xdr:colOff>132514</xdr:colOff>
      <xdr:row>12</xdr:row>
      <xdr:rowOff>156830</xdr:rowOff>
    </xdr:to>
    <xdr:sp macro="" textlink="">
      <xdr:nvSpPr>
        <xdr:cNvPr id="3" name="フローチャート: 端子 26">
          <a:extLst>
            <a:ext uri="{FF2B5EF4-FFF2-40B4-BE49-F238E27FC236}">
              <a16:creationId xmlns:a16="http://schemas.microsoft.com/office/drawing/2014/main" id="{00000000-0008-0000-0400-000003000000}"/>
            </a:ext>
          </a:extLst>
        </xdr:cNvPr>
        <xdr:cNvSpPr/>
      </xdr:nvSpPr>
      <xdr:spPr>
        <a:xfrm>
          <a:off x="827501" y="2056564"/>
          <a:ext cx="712596" cy="26984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20</xdr:col>
      <xdr:colOff>24761</xdr:colOff>
      <xdr:row>59</xdr:row>
      <xdr:rowOff>145186</xdr:rowOff>
    </xdr:from>
    <xdr:to>
      <xdr:col>23</xdr:col>
      <xdr:colOff>132877</xdr:colOff>
      <xdr:row>61</xdr:row>
      <xdr:rowOff>45679</xdr:rowOff>
    </xdr:to>
    <xdr:sp macro="" textlink="">
      <xdr:nvSpPr>
        <xdr:cNvPr id="10" name="フローチャート: 端子 26">
          <a:extLst>
            <a:ext uri="{FF2B5EF4-FFF2-40B4-BE49-F238E27FC236}">
              <a16:creationId xmlns:a16="http://schemas.microsoft.com/office/drawing/2014/main" id="{00000000-0008-0000-0400-00000A000000}"/>
            </a:ext>
          </a:extLst>
        </xdr:cNvPr>
        <xdr:cNvSpPr/>
      </xdr:nvSpPr>
      <xdr:spPr>
        <a:xfrm>
          <a:off x="4046428" y="10231103"/>
          <a:ext cx="711366" cy="23915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19</xdr:col>
      <xdr:colOff>147887</xdr:colOff>
      <xdr:row>20</xdr:row>
      <xdr:rowOff>37164</xdr:rowOff>
    </xdr:from>
    <xdr:to>
      <xdr:col>24</xdr:col>
      <xdr:colOff>29278</xdr:colOff>
      <xdr:row>22</xdr:row>
      <xdr:rowOff>108785</xdr:rowOff>
    </xdr:to>
    <xdr:sp macro="" textlink="">
      <xdr:nvSpPr>
        <xdr:cNvPr id="46" name="正方形/長方形 21">
          <a:extLst>
            <a:ext uri="{FF2B5EF4-FFF2-40B4-BE49-F238E27FC236}">
              <a16:creationId xmlns:a16="http://schemas.microsoft.com/office/drawing/2014/main" id="{00000000-0008-0000-0400-000016000000}"/>
            </a:ext>
          </a:extLst>
        </xdr:cNvPr>
        <xdr:cNvSpPr/>
      </xdr:nvSpPr>
      <xdr:spPr>
        <a:xfrm>
          <a:off x="3968470" y="3646081"/>
          <a:ext cx="886808" cy="43145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5</xdr:col>
      <xdr:colOff>177069</xdr:colOff>
      <xdr:row>16</xdr:row>
      <xdr:rowOff>164378</xdr:rowOff>
    </xdr:from>
    <xdr:to>
      <xdr:col>21</xdr:col>
      <xdr:colOff>185949</xdr:colOff>
      <xdr:row>20</xdr:row>
      <xdr:rowOff>37163</xdr:rowOff>
    </xdr:to>
    <xdr:cxnSp macro="">
      <xdr:nvCxnSpPr>
        <xdr:cNvPr id="24" name="コネクタ: カギ線 23">
          <a:extLst>
            <a:ext uri="{FF2B5EF4-FFF2-40B4-BE49-F238E27FC236}">
              <a16:creationId xmlns:a16="http://schemas.microsoft.com/office/drawing/2014/main" id="{00000000-0008-0000-0400-000018000000}"/>
            </a:ext>
          </a:extLst>
        </xdr:cNvPr>
        <xdr:cNvCxnSpPr>
          <a:cxnSpLocks/>
          <a:stCxn id="17" idx="2"/>
          <a:endCxn id="46" idx="0"/>
        </xdr:cNvCxnSpPr>
      </xdr:nvCxnSpPr>
      <xdr:spPr>
        <a:xfrm rot="16200000" flipH="1">
          <a:off x="2520533" y="1630914"/>
          <a:ext cx="550119" cy="322621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39273</xdr:colOff>
      <xdr:row>43</xdr:row>
      <xdr:rowOff>36837</xdr:rowOff>
    </xdr:from>
    <xdr:to>
      <xdr:col>24</xdr:col>
      <xdr:colOff>132709</xdr:colOff>
      <xdr:row>46</xdr:row>
      <xdr:rowOff>67326</xdr:rowOff>
    </xdr:to>
    <xdr:grpSp>
      <xdr:nvGrpSpPr>
        <xdr:cNvPr id="88" name="グループ化 8">
          <a:extLst>
            <a:ext uri="{FF2B5EF4-FFF2-40B4-BE49-F238E27FC236}">
              <a16:creationId xmlns:a16="http://schemas.microsoft.com/office/drawing/2014/main" id="{00000000-0008-0000-0400-000058000000}"/>
            </a:ext>
          </a:extLst>
        </xdr:cNvPr>
        <xdr:cNvGrpSpPr/>
      </xdr:nvGrpSpPr>
      <xdr:grpSpPr>
        <a:xfrm>
          <a:off x="3477798" y="7628262"/>
          <a:ext cx="998311" cy="554364"/>
          <a:chOff x="1653542" y="2416116"/>
          <a:chExt cx="908902" cy="420662"/>
        </a:xfrm>
      </xdr:grpSpPr>
      <xdr:sp macro="" textlink="">
        <xdr:nvSpPr>
          <xdr:cNvPr id="89" name="フローチャート: 定義済み処理 9">
            <a:extLst>
              <a:ext uri="{FF2B5EF4-FFF2-40B4-BE49-F238E27FC236}">
                <a16:creationId xmlns:a16="http://schemas.microsoft.com/office/drawing/2014/main" id="{00000000-0008-0000-0400-000059000000}"/>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0" name="正方形/長方形 48">
            <a:extLst>
              <a:ext uri="{FF2B5EF4-FFF2-40B4-BE49-F238E27FC236}">
                <a16:creationId xmlns:a16="http://schemas.microsoft.com/office/drawing/2014/main" id="{00000000-0008-0000-0400-00005A000000}"/>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5.</a:t>
            </a:r>
            <a:r>
              <a:rPr kumimoji="1" lang="ja-JP" altLang="en-US" sz="900"/>
              <a:t>支払スケ</a:t>
            </a:r>
            <a:endParaRPr kumimoji="1" lang="en-US" altLang="ja-JP" sz="900"/>
          </a:p>
          <a:p>
            <a:pPr algn="ctr"/>
            <a:r>
              <a:rPr kumimoji="1" lang="ja-JP" altLang="en-US" sz="900"/>
              <a:t>ジュールの作成</a:t>
            </a:r>
          </a:p>
        </xdr:txBody>
      </xdr:sp>
    </xdr:grpSp>
    <xdr:clientData/>
  </xdr:twoCellAnchor>
  <xdr:twoCellAnchor>
    <xdr:from>
      <xdr:col>24</xdr:col>
      <xdr:colOff>81493</xdr:colOff>
      <xdr:row>44</xdr:row>
      <xdr:rowOff>150584</xdr:rowOff>
    </xdr:from>
    <xdr:to>
      <xdr:col>33</xdr:col>
      <xdr:colOff>138661</xdr:colOff>
      <xdr:row>44</xdr:row>
      <xdr:rowOff>160210</xdr:rowOff>
    </xdr:to>
    <xdr:cxnSp macro="">
      <xdr:nvCxnSpPr>
        <xdr:cNvPr id="97" name="直線矢印コネクタ 96">
          <a:extLst>
            <a:ext uri="{FF2B5EF4-FFF2-40B4-BE49-F238E27FC236}">
              <a16:creationId xmlns:a16="http://schemas.microsoft.com/office/drawing/2014/main" id="{00000000-0008-0000-0400-000061000000}"/>
            </a:ext>
          </a:extLst>
        </xdr:cNvPr>
        <xdr:cNvCxnSpPr>
          <a:stCxn id="89" idx="3"/>
          <a:endCxn id="113" idx="2"/>
        </xdr:cNvCxnSpPr>
      </xdr:nvCxnSpPr>
      <xdr:spPr>
        <a:xfrm flipV="1">
          <a:off x="4822826" y="7678862"/>
          <a:ext cx="1835168" cy="962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185882</xdr:colOff>
      <xdr:row>29</xdr:row>
      <xdr:rowOff>19562</xdr:rowOff>
    </xdr:from>
    <xdr:to>
      <xdr:col>21</xdr:col>
      <xdr:colOff>189863</xdr:colOff>
      <xdr:row>32</xdr:row>
      <xdr:rowOff>18701</xdr:rowOff>
    </xdr:to>
    <xdr:cxnSp macro="">
      <xdr:nvCxnSpPr>
        <xdr:cNvPr id="110" name="直線矢印コネクタ 109">
          <a:extLst>
            <a:ext uri="{FF2B5EF4-FFF2-40B4-BE49-F238E27FC236}">
              <a16:creationId xmlns:a16="http://schemas.microsoft.com/office/drawing/2014/main" id="{00000000-0008-0000-0400-00006E000000}"/>
            </a:ext>
          </a:extLst>
        </xdr:cNvPr>
        <xdr:cNvCxnSpPr>
          <a:cxnSpLocks/>
          <a:stCxn id="168" idx="2"/>
          <a:endCxn id="176" idx="0"/>
        </xdr:cNvCxnSpPr>
      </xdr:nvCxnSpPr>
      <xdr:spPr>
        <a:xfrm>
          <a:off x="4408632" y="5247729"/>
          <a:ext cx="3981" cy="143847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115376</xdr:colOff>
      <xdr:row>37</xdr:row>
      <xdr:rowOff>99395</xdr:rowOff>
    </xdr:from>
    <xdr:to>
      <xdr:col>24</xdr:col>
      <xdr:colOff>58912</xdr:colOff>
      <xdr:row>40</xdr:row>
      <xdr:rowOff>64469</xdr:rowOff>
    </xdr:to>
    <xdr:sp macro="" textlink="">
      <xdr:nvSpPr>
        <xdr:cNvPr id="135" name="フローチャート: 定義済み処理 134">
          <a:extLst>
            <a:ext uri="{FF2B5EF4-FFF2-40B4-BE49-F238E27FC236}">
              <a16:creationId xmlns:a16="http://schemas.microsoft.com/office/drawing/2014/main" id="{00000000-0008-0000-0400-000087000000}"/>
            </a:ext>
          </a:extLst>
        </xdr:cNvPr>
        <xdr:cNvSpPr/>
      </xdr:nvSpPr>
      <xdr:spPr>
        <a:xfrm>
          <a:off x="3935959" y="6766895"/>
          <a:ext cx="948953" cy="50482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58912</xdr:colOff>
      <xdr:row>38</xdr:row>
      <xdr:rowOff>166598</xdr:rowOff>
    </xdr:from>
    <xdr:to>
      <xdr:col>33</xdr:col>
      <xdr:colOff>135841</xdr:colOff>
      <xdr:row>38</xdr:row>
      <xdr:rowOff>168928</xdr:rowOff>
    </xdr:to>
    <xdr:cxnSp macro="">
      <xdr:nvCxnSpPr>
        <xdr:cNvPr id="140" name="直線矢印コネクタ 139">
          <a:extLst>
            <a:ext uri="{FF2B5EF4-FFF2-40B4-BE49-F238E27FC236}">
              <a16:creationId xmlns:a16="http://schemas.microsoft.com/office/drawing/2014/main" id="{00000000-0008-0000-0400-00008C000000}"/>
            </a:ext>
          </a:extLst>
        </xdr:cNvPr>
        <xdr:cNvCxnSpPr>
          <a:cxnSpLocks/>
          <a:stCxn id="135" idx="3"/>
          <a:endCxn id="116" idx="2"/>
        </xdr:cNvCxnSpPr>
      </xdr:nvCxnSpPr>
      <xdr:spPr>
        <a:xfrm>
          <a:off x="4800245" y="6678876"/>
          <a:ext cx="1854929" cy="23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187685</xdr:colOff>
      <xdr:row>35</xdr:row>
      <xdr:rowOff>13090</xdr:rowOff>
    </xdr:from>
    <xdr:to>
      <xdr:col>21</xdr:col>
      <xdr:colOff>189863</xdr:colOff>
      <xdr:row>37</xdr:row>
      <xdr:rowOff>99395</xdr:rowOff>
    </xdr:to>
    <xdr:cxnSp macro="">
      <xdr:nvCxnSpPr>
        <xdr:cNvPr id="141" name="直線矢印コネクタ 140">
          <a:extLst>
            <a:ext uri="{FF2B5EF4-FFF2-40B4-BE49-F238E27FC236}">
              <a16:creationId xmlns:a16="http://schemas.microsoft.com/office/drawing/2014/main" id="{00000000-0008-0000-0400-00008D000000}"/>
            </a:ext>
          </a:extLst>
        </xdr:cNvPr>
        <xdr:cNvCxnSpPr>
          <a:stCxn id="176" idx="2"/>
          <a:endCxn id="135" idx="0"/>
        </xdr:cNvCxnSpPr>
      </xdr:nvCxnSpPr>
      <xdr:spPr>
        <a:xfrm flipH="1">
          <a:off x="4410435" y="4881423"/>
          <a:ext cx="2178" cy="170555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117319</xdr:colOff>
      <xdr:row>26</xdr:row>
      <xdr:rowOff>51013</xdr:rowOff>
    </xdr:from>
    <xdr:to>
      <xdr:col>24</xdr:col>
      <xdr:colOff>53361</xdr:colOff>
      <xdr:row>29</xdr:row>
      <xdr:rowOff>19562</xdr:rowOff>
    </xdr:to>
    <xdr:sp macro="" textlink="">
      <xdr:nvSpPr>
        <xdr:cNvPr id="168" name="フローチャート: 定義済み処理 167">
          <a:extLst>
            <a:ext uri="{FF2B5EF4-FFF2-40B4-BE49-F238E27FC236}">
              <a16:creationId xmlns:a16="http://schemas.microsoft.com/office/drawing/2014/main" id="{00000000-0008-0000-0400-0000A8000000}"/>
            </a:ext>
          </a:extLst>
        </xdr:cNvPr>
        <xdr:cNvSpPr/>
      </xdr:nvSpPr>
      <xdr:spPr>
        <a:xfrm>
          <a:off x="3937902" y="7618096"/>
          <a:ext cx="941459" cy="508299"/>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19</xdr:col>
      <xdr:colOff>69270</xdr:colOff>
      <xdr:row>26</xdr:row>
      <xdr:rowOff>17876</xdr:rowOff>
    </xdr:from>
    <xdr:to>
      <xdr:col>24</xdr:col>
      <xdr:colOff>107255</xdr:colOff>
      <xdr:row>29</xdr:row>
      <xdr:rowOff>48123</xdr:rowOff>
    </xdr:to>
    <xdr:sp macro="" textlink="">
      <xdr:nvSpPr>
        <xdr:cNvPr id="169" name="正方形/長方形 48">
          <a:extLst>
            <a:ext uri="{FF2B5EF4-FFF2-40B4-BE49-F238E27FC236}">
              <a16:creationId xmlns:a16="http://schemas.microsoft.com/office/drawing/2014/main" id="{00000000-0008-0000-0400-0000A9000000}"/>
            </a:ext>
          </a:extLst>
        </xdr:cNvPr>
        <xdr:cNvSpPr/>
      </xdr:nvSpPr>
      <xdr:spPr>
        <a:xfrm>
          <a:off x="3889853" y="4706293"/>
          <a:ext cx="1043402" cy="5699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clientData/>
  </xdr:twoCellAnchor>
  <xdr:twoCellAnchor>
    <xdr:from>
      <xdr:col>24</xdr:col>
      <xdr:colOff>53361</xdr:colOff>
      <xdr:row>27</xdr:row>
      <xdr:rowOff>116706</xdr:rowOff>
    </xdr:from>
    <xdr:to>
      <xdr:col>33</xdr:col>
      <xdr:colOff>133021</xdr:colOff>
      <xdr:row>27</xdr:row>
      <xdr:rowOff>119955</xdr:rowOff>
    </xdr:to>
    <xdr:cxnSp macro="">
      <xdr:nvCxnSpPr>
        <xdr:cNvPr id="173" name="直線矢印コネクタ 172">
          <a:extLst>
            <a:ext uri="{FF2B5EF4-FFF2-40B4-BE49-F238E27FC236}">
              <a16:creationId xmlns:a16="http://schemas.microsoft.com/office/drawing/2014/main" id="{00000000-0008-0000-0400-0000AD000000}"/>
            </a:ext>
          </a:extLst>
        </xdr:cNvPr>
        <xdr:cNvCxnSpPr>
          <a:stCxn id="168" idx="3"/>
          <a:endCxn id="119" idx="2"/>
        </xdr:cNvCxnSpPr>
      </xdr:nvCxnSpPr>
      <xdr:spPr>
        <a:xfrm flipV="1">
          <a:off x="4794694" y="4766317"/>
          <a:ext cx="1857660" cy="324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157315</xdr:colOff>
      <xdr:row>32</xdr:row>
      <xdr:rowOff>18701</xdr:rowOff>
    </xdr:from>
    <xdr:to>
      <xdr:col>24</xdr:col>
      <xdr:colOff>21328</xdr:colOff>
      <xdr:row>35</xdr:row>
      <xdr:rowOff>13090</xdr:rowOff>
    </xdr:to>
    <xdr:sp macro="" textlink="">
      <xdr:nvSpPr>
        <xdr:cNvPr id="176" name="フローチャート: 判断 175">
          <a:extLst>
            <a:ext uri="{FF2B5EF4-FFF2-40B4-BE49-F238E27FC236}">
              <a16:creationId xmlns:a16="http://schemas.microsoft.com/office/drawing/2014/main" id="{00000000-0008-0000-0400-0000B0000000}"/>
            </a:ext>
          </a:extLst>
        </xdr:cNvPr>
        <xdr:cNvSpPr/>
      </xdr:nvSpPr>
      <xdr:spPr>
        <a:xfrm>
          <a:off x="3977898" y="4347284"/>
          <a:ext cx="869430" cy="534139"/>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19</xdr:col>
      <xdr:colOff>75503</xdr:colOff>
      <xdr:row>31</xdr:row>
      <xdr:rowOff>176419</xdr:rowOff>
    </xdr:from>
    <xdr:to>
      <xdr:col>24</xdr:col>
      <xdr:colOff>115104</xdr:colOff>
      <xdr:row>35</xdr:row>
      <xdr:rowOff>42334</xdr:rowOff>
    </xdr:to>
    <xdr:sp macro="" textlink="">
      <xdr:nvSpPr>
        <xdr:cNvPr id="177" name="正方形/長方形 48">
          <a:extLst>
            <a:ext uri="{FF2B5EF4-FFF2-40B4-BE49-F238E27FC236}">
              <a16:creationId xmlns:a16="http://schemas.microsoft.com/office/drawing/2014/main" id="{00000000-0008-0000-0400-0000B1000000}"/>
            </a:ext>
          </a:extLst>
        </xdr:cNvPr>
        <xdr:cNvSpPr/>
      </xdr:nvSpPr>
      <xdr:spPr>
        <a:xfrm>
          <a:off x="3896086" y="4325086"/>
          <a:ext cx="1045018" cy="58558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固定資産化</a:t>
          </a:r>
        </a:p>
      </xdr:txBody>
    </xdr:sp>
    <xdr:clientData/>
  </xdr:twoCellAnchor>
  <xdr:twoCellAnchor>
    <xdr:from>
      <xdr:col>21</xdr:col>
      <xdr:colOff>187686</xdr:colOff>
      <xdr:row>40</xdr:row>
      <xdr:rowOff>64469</xdr:rowOff>
    </xdr:from>
    <xdr:to>
      <xdr:col>21</xdr:col>
      <xdr:colOff>188508</xdr:colOff>
      <xdr:row>43</xdr:row>
      <xdr:rowOff>91620</xdr:rowOff>
    </xdr:to>
    <xdr:cxnSp macro="">
      <xdr:nvCxnSpPr>
        <xdr:cNvPr id="178" name="直線矢印コネクタ 177">
          <a:extLst>
            <a:ext uri="{FF2B5EF4-FFF2-40B4-BE49-F238E27FC236}">
              <a16:creationId xmlns:a16="http://schemas.microsoft.com/office/drawing/2014/main" id="{00000000-0008-0000-0400-0000B2000000}"/>
            </a:ext>
          </a:extLst>
        </xdr:cNvPr>
        <xdr:cNvCxnSpPr>
          <a:stCxn id="135" idx="2"/>
          <a:endCxn id="89" idx="0"/>
        </xdr:cNvCxnSpPr>
      </xdr:nvCxnSpPr>
      <xdr:spPr>
        <a:xfrm>
          <a:off x="4410436" y="7451636"/>
          <a:ext cx="822" cy="110665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157315</xdr:colOff>
      <xdr:row>33</xdr:row>
      <xdr:rowOff>105853</xdr:rowOff>
    </xdr:from>
    <xdr:to>
      <xdr:col>21</xdr:col>
      <xdr:colOff>188508</xdr:colOff>
      <xdr:row>43</xdr:row>
      <xdr:rowOff>91619</xdr:rowOff>
    </xdr:to>
    <xdr:cxnSp macro="">
      <xdr:nvCxnSpPr>
        <xdr:cNvPr id="179" name="コネクタ: カギ線 178">
          <a:extLst>
            <a:ext uri="{FF2B5EF4-FFF2-40B4-BE49-F238E27FC236}">
              <a16:creationId xmlns:a16="http://schemas.microsoft.com/office/drawing/2014/main" id="{00000000-0008-0000-0400-0000B3000000}"/>
            </a:ext>
          </a:extLst>
        </xdr:cNvPr>
        <xdr:cNvCxnSpPr>
          <a:stCxn id="176" idx="1"/>
          <a:endCxn id="89" idx="0"/>
        </xdr:cNvCxnSpPr>
      </xdr:nvCxnSpPr>
      <xdr:spPr>
        <a:xfrm rot="10800000" flipH="1" flipV="1">
          <a:off x="3977898" y="6233603"/>
          <a:ext cx="433360" cy="2324683"/>
        </a:xfrm>
        <a:prstGeom prst="bentConnector4">
          <a:avLst>
            <a:gd name="adj1" fmla="val -150438"/>
            <a:gd name="adj2" fmla="val 8198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192162</xdr:colOff>
      <xdr:row>34</xdr:row>
      <xdr:rowOff>147933</xdr:rowOff>
    </xdr:from>
    <xdr:to>
      <xdr:col>24</xdr:col>
      <xdr:colOff>115547</xdr:colOff>
      <xdr:row>36</xdr:row>
      <xdr:rowOff>11694</xdr:rowOff>
    </xdr:to>
    <xdr:sp macro="" textlink="">
      <xdr:nvSpPr>
        <xdr:cNvPr id="180" name="テキスト ボックス 179">
          <a:extLst>
            <a:ext uri="{FF2B5EF4-FFF2-40B4-BE49-F238E27FC236}">
              <a16:creationId xmlns:a16="http://schemas.microsoft.com/office/drawing/2014/main" id="{00000000-0008-0000-0400-0000B4000000}"/>
            </a:ext>
          </a:extLst>
        </xdr:cNvPr>
        <xdr:cNvSpPr txBox="1"/>
      </xdr:nvSpPr>
      <xdr:spPr>
        <a:xfrm>
          <a:off x="4414912" y="4836350"/>
          <a:ext cx="526635" cy="223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18</xdr:col>
      <xdr:colOff>10467</xdr:colOff>
      <xdr:row>32</xdr:row>
      <xdr:rowOff>941</xdr:rowOff>
    </xdr:from>
    <xdr:to>
      <xdr:col>20</xdr:col>
      <xdr:colOff>103106</xdr:colOff>
      <xdr:row>33</xdr:row>
      <xdr:rowOff>5931</xdr:rowOff>
    </xdr:to>
    <xdr:sp macro="" textlink="">
      <xdr:nvSpPr>
        <xdr:cNvPr id="181" name="テキスト ボックス 180">
          <a:extLst>
            <a:ext uri="{FF2B5EF4-FFF2-40B4-BE49-F238E27FC236}">
              <a16:creationId xmlns:a16="http://schemas.microsoft.com/office/drawing/2014/main" id="{00000000-0008-0000-0400-0000B5000000}"/>
            </a:ext>
          </a:extLst>
        </xdr:cNvPr>
        <xdr:cNvSpPr txBox="1"/>
      </xdr:nvSpPr>
      <xdr:spPr>
        <a:xfrm>
          <a:off x="2198077" y="5558936"/>
          <a:ext cx="490386" cy="172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19</xdr:col>
      <xdr:colOff>178764</xdr:colOff>
      <xdr:row>76</xdr:row>
      <xdr:rowOff>83736</xdr:rowOff>
    </xdr:from>
    <xdr:to>
      <xdr:col>23</xdr:col>
      <xdr:colOff>87369</xdr:colOff>
      <xdr:row>78</xdr:row>
      <xdr:rowOff>15722</xdr:rowOff>
    </xdr:to>
    <xdr:sp macro="" textlink="">
      <xdr:nvSpPr>
        <xdr:cNvPr id="184" name="フローチャート: 端子 26">
          <a:extLst>
            <a:ext uri="{FF2B5EF4-FFF2-40B4-BE49-F238E27FC236}">
              <a16:creationId xmlns:a16="http://schemas.microsoft.com/office/drawing/2014/main" id="{00000000-0008-0000-0400-0000B8000000}"/>
            </a:ext>
          </a:extLst>
        </xdr:cNvPr>
        <xdr:cNvSpPr/>
      </xdr:nvSpPr>
      <xdr:spPr>
        <a:xfrm>
          <a:off x="3999347" y="10529486"/>
          <a:ext cx="712939" cy="29181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19</xdr:col>
      <xdr:colOff>3232</xdr:colOff>
      <xdr:row>80</xdr:row>
      <xdr:rowOff>120944</xdr:rowOff>
    </xdr:from>
    <xdr:to>
      <xdr:col>24</xdr:col>
      <xdr:colOff>88295</xdr:colOff>
      <xdr:row>83</xdr:row>
      <xdr:rowOff>149750</xdr:rowOff>
    </xdr:to>
    <xdr:grpSp>
      <xdr:nvGrpSpPr>
        <xdr:cNvPr id="185" name="グループ化 8">
          <a:extLst>
            <a:ext uri="{FF2B5EF4-FFF2-40B4-BE49-F238E27FC236}">
              <a16:creationId xmlns:a16="http://schemas.microsoft.com/office/drawing/2014/main" id="{00000000-0008-0000-0400-0000B9000000}"/>
            </a:ext>
          </a:extLst>
        </xdr:cNvPr>
        <xdr:cNvGrpSpPr/>
      </xdr:nvGrpSpPr>
      <xdr:grpSpPr>
        <a:xfrm>
          <a:off x="3441757" y="14284619"/>
          <a:ext cx="989938" cy="552681"/>
          <a:chOff x="-76632" y="2422920"/>
          <a:chExt cx="908902" cy="422628"/>
        </a:xfrm>
      </xdr:grpSpPr>
      <xdr:sp macro="" textlink="">
        <xdr:nvSpPr>
          <xdr:cNvPr id="186" name="フローチャート: 定義済み処理 9">
            <a:extLst>
              <a:ext uri="{FF2B5EF4-FFF2-40B4-BE49-F238E27FC236}">
                <a16:creationId xmlns:a16="http://schemas.microsoft.com/office/drawing/2014/main" id="{00000000-0008-0000-0400-0000BA000000}"/>
              </a:ext>
            </a:extLst>
          </xdr:cNvPr>
          <xdr:cNvSpPr/>
        </xdr:nvSpPr>
        <xdr:spPr>
          <a:xfrm>
            <a:off x="-47158"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7" name="正方形/長方形 48">
            <a:extLst>
              <a:ext uri="{FF2B5EF4-FFF2-40B4-BE49-F238E27FC236}">
                <a16:creationId xmlns:a16="http://schemas.microsoft.com/office/drawing/2014/main" id="{00000000-0008-0000-0400-0000BB000000}"/>
              </a:ext>
            </a:extLst>
          </xdr:cNvPr>
          <xdr:cNvSpPr/>
        </xdr:nvSpPr>
        <xdr:spPr>
          <a:xfrm>
            <a:off x="-76632" y="2422920"/>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仕訳帳の作成</a:t>
            </a:r>
          </a:p>
        </xdr:txBody>
      </xdr:sp>
    </xdr:grpSp>
    <xdr:clientData/>
  </xdr:twoCellAnchor>
  <xdr:twoCellAnchor>
    <xdr:from>
      <xdr:col>24</xdr:col>
      <xdr:colOff>18865</xdr:colOff>
      <xdr:row>82</xdr:row>
      <xdr:rowOff>52232</xdr:rowOff>
    </xdr:from>
    <xdr:to>
      <xdr:col>33</xdr:col>
      <xdr:colOff>153448</xdr:colOff>
      <xdr:row>82</xdr:row>
      <xdr:rowOff>56947</xdr:rowOff>
    </xdr:to>
    <xdr:cxnSp macro="">
      <xdr:nvCxnSpPr>
        <xdr:cNvPr id="188" name="直線矢印コネクタ 187">
          <a:extLst>
            <a:ext uri="{FF2B5EF4-FFF2-40B4-BE49-F238E27FC236}">
              <a16:creationId xmlns:a16="http://schemas.microsoft.com/office/drawing/2014/main" id="{00000000-0008-0000-0400-0000BC000000}"/>
            </a:ext>
          </a:extLst>
        </xdr:cNvPr>
        <xdr:cNvCxnSpPr>
          <a:stCxn id="186" idx="3"/>
          <a:endCxn id="193" idx="2"/>
        </xdr:cNvCxnSpPr>
      </xdr:nvCxnSpPr>
      <xdr:spPr>
        <a:xfrm flipV="1">
          <a:off x="4844865" y="11577482"/>
          <a:ext cx="1944333" cy="471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163223</xdr:colOff>
      <xdr:row>101</xdr:row>
      <xdr:rowOff>73734</xdr:rowOff>
    </xdr:from>
    <xdr:to>
      <xdr:col>23</xdr:col>
      <xdr:colOff>82955</xdr:colOff>
      <xdr:row>102</xdr:row>
      <xdr:rowOff>163670</xdr:rowOff>
    </xdr:to>
    <xdr:sp macro="" textlink="">
      <xdr:nvSpPr>
        <xdr:cNvPr id="189" name="フローチャート: 端子 26">
          <a:extLst>
            <a:ext uri="{FF2B5EF4-FFF2-40B4-BE49-F238E27FC236}">
              <a16:creationId xmlns:a16="http://schemas.microsoft.com/office/drawing/2014/main" id="{00000000-0008-0000-0400-0000BD000000}"/>
            </a:ext>
          </a:extLst>
        </xdr:cNvPr>
        <xdr:cNvSpPr/>
      </xdr:nvSpPr>
      <xdr:spPr>
        <a:xfrm>
          <a:off x="3983806" y="18075984"/>
          <a:ext cx="724066" cy="26985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21</xdr:col>
      <xdr:colOff>129271</xdr:colOff>
      <xdr:row>78</xdr:row>
      <xdr:rowOff>15722</xdr:rowOff>
    </xdr:from>
    <xdr:to>
      <xdr:col>21</xdr:col>
      <xdr:colOff>133067</xdr:colOff>
      <xdr:row>80</xdr:row>
      <xdr:rowOff>165485</xdr:rowOff>
    </xdr:to>
    <xdr:cxnSp macro="">
      <xdr:nvCxnSpPr>
        <xdr:cNvPr id="191" name="直線矢印コネクタ 190">
          <a:extLst>
            <a:ext uri="{FF2B5EF4-FFF2-40B4-BE49-F238E27FC236}">
              <a16:creationId xmlns:a16="http://schemas.microsoft.com/office/drawing/2014/main" id="{00000000-0008-0000-0400-0000BF000000}"/>
            </a:ext>
          </a:extLst>
        </xdr:cNvPr>
        <xdr:cNvCxnSpPr>
          <a:stCxn id="184" idx="2"/>
          <a:endCxn id="186" idx="0"/>
        </xdr:cNvCxnSpPr>
      </xdr:nvCxnSpPr>
      <xdr:spPr>
        <a:xfrm flipH="1">
          <a:off x="4352021" y="10821305"/>
          <a:ext cx="3796" cy="50959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45044</xdr:colOff>
      <xdr:row>80</xdr:row>
      <xdr:rowOff>99595</xdr:rowOff>
    </xdr:from>
    <xdr:to>
      <xdr:col>38</xdr:col>
      <xdr:colOff>67634</xdr:colOff>
      <xdr:row>84</xdr:row>
      <xdr:rowOff>61250</xdr:rowOff>
    </xdr:to>
    <xdr:grpSp>
      <xdr:nvGrpSpPr>
        <xdr:cNvPr id="192" name="グループ化 191">
          <a:extLst>
            <a:ext uri="{FF2B5EF4-FFF2-40B4-BE49-F238E27FC236}">
              <a16:creationId xmlns:a16="http://schemas.microsoft.com/office/drawing/2014/main" id="{00000000-0008-0000-0400-0000C0000000}"/>
            </a:ext>
          </a:extLst>
        </xdr:cNvPr>
        <xdr:cNvGrpSpPr>
          <a:grpSpLocks noChangeAspect="1"/>
        </xdr:cNvGrpSpPr>
      </xdr:nvGrpSpPr>
      <xdr:grpSpPr>
        <a:xfrm>
          <a:off x="6017219" y="14263270"/>
          <a:ext cx="927465" cy="666505"/>
          <a:chOff x="7112003" y="2892425"/>
          <a:chExt cx="873125" cy="584984"/>
        </a:xfrm>
      </xdr:grpSpPr>
      <xdr:sp macro="" textlink="">
        <xdr:nvSpPr>
          <xdr:cNvPr id="193" name="フローチャート: 磁気ディスク 192">
            <a:extLst>
              <a:ext uri="{FF2B5EF4-FFF2-40B4-BE49-F238E27FC236}">
                <a16:creationId xmlns:a16="http://schemas.microsoft.com/office/drawing/2014/main" id="{00000000-0008-0000-0400-0000C1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4" name="正方形/長方形 193">
            <a:extLst>
              <a:ext uri="{FF2B5EF4-FFF2-40B4-BE49-F238E27FC236}">
                <a16:creationId xmlns:a16="http://schemas.microsoft.com/office/drawing/2014/main" id="{00000000-0008-0000-0400-0000C200000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a:t>
            </a:r>
            <a:endParaRPr kumimoji="1" lang="en-US" altLang="ja-JP" sz="900"/>
          </a:p>
          <a:p>
            <a:pPr algn="ctr"/>
            <a:r>
              <a:rPr kumimoji="1" lang="ja-JP" altLang="en-US" sz="900"/>
              <a:t>スケジュール</a:t>
            </a:r>
          </a:p>
        </xdr:txBody>
      </xdr:sp>
    </xdr:grpSp>
    <xdr:clientData/>
  </xdr:twoCellAnchor>
  <xdr:twoCellAnchor>
    <xdr:from>
      <xdr:col>25</xdr:col>
      <xdr:colOff>151817</xdr:colOff>
      <xdr:row>87</xdr:row>
      <xdr:rowOff>124121</xdr:rowOff>
    </xdr:from>
    <xdr:to>
      <xdr:col>31</xdr:col>
      <xdr:colOff>45319</xdr:colOff>
      <xdr:row>90</xdr:row>
      <xdr:rowOff>149751</xdr:rowOff>
    </xdr:to>
    <xdr:grpSp>
      <xdr:nvGrpSpPr>
        <xdr:cNvPr id="202" name="グループ化 8">
          <a:extLst>
            <a:ext uri="{FF2B5EF4-FFF2-40B4-BE49-F238E27FC236}">
              <a16:creationId xmlns:a16="http://schemas.microsoft.com/office/drawing/2014/main" id="{00000000-0008-0000-0400-0000CA000000}"/>
            </a:ext>
          </a:extLst>
        </xdr:cNvPr>
        <xdr:cNvGrpSpPr/>
      </xdr:nvGrpSpPr>
      <xdr:grpSpPr>
        <a:xfrm>
          <a:off x="4676192" y="15535571"/>
          <a:ext cx="979352" cy="549505"/>
          <a:chOff x="1615543" y="2430783"/>
          <a:chExt cx="908902" cy="422628"/>
        </a:xfrm>
      </xdr:grpSpPr>
      <xdr:sp macro="" textlink="">
        <xdr:nvSpPr>
          <xdr:cNvPr id="203" name="フローチャート: 定義済み処理 9">
            <a:extLst>
              <a:ext uri="{FF2B5EF4-FFF2-40B4-BE49-F238E27FC236}">
                <a16:creationId xmlns:a16="http://schemas.microsoft.com/office/drawing/2014/main" id="{00000000-0008-0000-0400-0000CB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4" name="正方形/長方形 48">
            <a:extLst>
              <a:ext uri="{FF2B5EF4-FFF2-40B4-BE49-F238E27FC236}">
                <a16:creationId xmlns:a16="http://schemas.microsoft.com/office/drawing/2014/main" id="{00000000-0008-0000-0400-0000CC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承認処理</a:t>
            </a:r>
          </a:p>
        </xdr:txBody>
      </xdr:sp>
    </xdr:grpSp>
    <xdr:clientData/>
  </xdr:twoCellAnchor>
  <xdr:twoCellAnchor>
    <xdr:from>
      <xdr:col>31</xdr:col>
      <xdr:colOff>45319</xdr:colOff>
      <xdr:row>89</xdr:row>
      <xdr:rowOff>49572</xdr:rowOff>
    </xdr:from>
    <xdr:to>
      <xdr:col>33</xdr:col>
      <xdr:colOff>133218</xdr:colOff>
      <xdr:row>89</xdr:row>
      <xdr:rowOff>52269</xdr:rowOff>
    </xdr:to>
    <xdr:cxnSp macro="">
      <xdr:nvCxnSpPr>
        <xdr:cNvPr id="205" name="直線矢印コネクタ 204">
          <a:extLst>
            <a:ext uri="{FF2B5EF4-FFF2-40B4-BE49-F238E27FC236}">
              <a16:creationId xmlns:a16="http://schemas.microsoft.com/office/drawing/2014/main" id="{00000000-0008-0000-0400-0000CD000000}"/>
            </a:ext>
          </a:extLst>
        </xdr:cNvPr>
        <xdr:cNvCxnSpPr>
          <a:stCxn id="204" idx="3"/>
          <a:endCxn id="207" idx="2"/>
        </xdr:cNvCxnSpPr>
      </xdr:nvCxnSpPr>
      <xdr:spPr>
        <a:xfrm flipV="1">
          <a:off x="6169541" y="14859183"/>
          <a:ext cx="483010" cy="269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27008</xdr:colOff>
      <xdr:row>87</xdr:row>
      <xdr:rowOff>96640</xdr:rowOff>
    </xdr:from>
    <xdr:to>
      <xdr:col>38</xdr:col>
      <xdr:colOff>46423</xdr:colOff>
      <xdr:row>91</xdr:row>
      <xdr:rowOff>55119</xdr:rowOff>
    </xdr:to>
    <xdr:grpSp>
      <xdr:nvGrpSpPr>
        <xdr:cNvPr id="206" name="グループ化 205">
          <a:extLst>
            <a:ext uri="{FF2B5EF4-FFF2-40B4-BE49-F238E27FC236}">
              <a16:creationId xmlns:a16="http://schemas.microsoft.com/office/drawing/2014/main" id="{00000000-0008-0000-0400-0000CE000000}"/>
            </a:ext>
          </a:extLst>
        </xdr:cNvPr>
        <xdr:cNvGrpSpPr>
          <a:grpSpLocks noChangeAspect="1"/>
        </xdr:cNvGrpSpPr>
      </xdr:nvGrpSpPr>
      <xdr:grpSpPr>
        <a:xfrm>
          <a:off x="5999183" y="15508090"/>
          <a:ext cx="924290" cy="663329"/>
          <a:chOff x="7112003" y="2892425"/>
          <a:chExt cx="873125" cy="584984"/>
        </a:xfrm>
      </xdr:grpSpPr>
      <xdr:sp macro="" textlink="">
        <xdr:nvSpPr>
          <xdr:cNvPr id="207" name="フローチャート: 磁気ディスク 206">
            <a:extLst>
              <a:ext uri="{FF2B5EF4-FFF2-40B4-BE49-F238E27FC236}">
                <a16:creationId xmlns:a16="http://schemas.microsoft.com/office/drawing/2014/main" id="{00000000-0008-0000-0400-0000CF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8" name="正方形/長方形 207">
            <a:extLst>
              <a:ext uri="{FF2B5EF4-FFF2-40B4-BE49-F238E27FC236}">
                <a16:creationId xmlns:a16="http://schemas.microsoft.com/office/drawing/2014/main" id="{00000000-0008-0000-0400-0000D000000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仕入先の</a:t>
            </a:r>
            <a:endParaRPr lang="ja-JP" altLang="ja-JP" sz="900">
              <a:effectLst/>
            </a:endParaRPr>
          </a:p>
          <a:p>
            <a:pPr algn="ctr"/>
            <a:r>
              <a:rPr kumimoji="1" lang="ja-JP" altLang="ja-JP" sz="900">
                <a:solidFill>
                  <a:schemeClr val="dk1"/>
                </a:solidFill>
                <a:effectLst/>
                <a:latin typeface="+mn-lt"/>
                <a:ea typeface="+mn-ea"/>
                <a:cs typeface="+mn-cs"/>
              </a:rPr>
              <a:t>請求仕訳帳</a:t>
            </a:r>
            <a:endParaRPr kumimoji="1" lang="ja-JP" altLang="en-US" sz="900"/>
          </a:p>
        </xdr:txBody>
      </xdr:sp>
    </xdr:grpSp>
    <xdr:clientData/>
  </xdr:twoCellAnchor>
  <xdr:twoCellAnchor>
    <xdr:from>
      <xdr:col>19</xdr:col>
      <xdr:colOff>147015</xdr:colOff>
      <xdr:row>107</xdr:row>
      <xdr:rowOff>83736</xdr:rowOff>
    </xdr:from>
    <xdr:to>
      <xdr:col>23</xdr:col>
      <xdr:colOff>55620</xdr:colOff>
      <xdr:row>109</xdr:row>
      <xdr:rowOff>15722</xdr:rowOff>
    </xdr:to>
    <xdr:sp macro="" textlink="">
      <xdr:nvSpPr>
        <xdr:cNvPr id="287" name="フローチャート: 端子 26">
          <a:extLst>
            <a:ext uri="{FF2B5EF4-FFF2-40B4-BE49-F238E27FC236}">
              <a16:creationId xmlns:a16="http://schemas.microsoft.com/office/drawing/2014/main" id="{00000000-0008-0000-0400-00001F010000}"/>
            </a:ext>
          </a:extLst>
        </xdr:cNvPr>
        <xdr:cNvSpPr/>
      </xdr:nvSpPr>
      <xdr:spPr>
        <a:xfrm>
          <a:off x="3967598" y="19165486"/>
          <a:ext cx="712939" cy="29181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148456</xdr:colOff>
      <xdr:row>111</xdr:row>
      <xdr:rowOff>131412</xdr:rowOff>
    </xdr:from>
    <xdr:to>
      <xdr:col>24</xdr:col>
      <xdr:colOff>35611</xdr:colOff>
      <xdr:row>114</xdr:row>
      <xdr:rowOff>163393</xdr:rowOff>
    </xdr:to>
    <xdr:grpSp>
      <xdr:nvGrpSpPr>
        <xdr:cNvPr id="288" name="グループ化 8">
          <a:extLst>
            <a:ext uri="{FF2B5EF4-FFF2-40B4-BE49-F238E27FC236}">
              <a16:creationId xmlns:a16="http://schemas.microsoft.com/office/drawing/2014/main" id="{00000000-0008-0000-0400-000020010000}"/>
            </a:ext>
          </a:extLst>
        </xdr:cNvPr>
        <xdr:cNvGrpSpPr/>
      </xdr:nvGrpSpPr>
      <xdr:grpSpPr>
        <a:xfrm>
          <a:off x="3406006" y="19838637"/>
          <a:ext cx="973005" cy="555856"/>
          <a:chOff x="1633113" y="2430783"/>
          <a:chExt cx="908902" cy="422628"/>
        </a:xfrm>
      </xdr:grpSpPr>
      <xdr:sp macro="" textlink="">
        <xdr:nvSpPr>
          <xdr:cNvPr id="289" name="フローチャート: 定義済み処理 9">
            <a:extLst>
              <a:ext uri="{FF2B5EF4-FFF2-40B4-BE49-F238E27FC236}">
                <a16:creationId xmlns:a16="http://schemas.microsoft.com/office/drawing/2014/main" id="{00000000-0008-0000-0400-000021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90" name="正方形/長方形 48">
            <a:extLst>
              <a:ext uri="{FF2B5EF4-FFF2-40B4-BE49-F238E27FC236}">
                <a16:creationId xmlns:a16="http://schemas.microsoft.com/office/drawing/2014/main" id="{00000000-0008-0000-0400-000022010000}"/>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ja-JP" sz="900">
                <a:solidFill>
                  <a:schemeClr val="dk1"/>
                </a:solidFill>
                <a:effectLst/>
                <a:latin typeface="+mn-lt"/>
                <a:ea typeface="+mn-ea"/>
                <a:cs typeface="+mn-cs"/>
              </a:rPr>
              <a:t>仕訳帳の作成</a:t>
            </a:r>
            <a:endParaRPr kumimoji="1" lang="ja-JP" altLang="en-US" sz="900"/>
          </a:p>
        </xdr:txBody>
      </xdr:sp>
    </xdr:grpSp>
    <xdr:clientData/>
  </xdr:twoCellAnchor>
  <xdr:twoCellAnchor>
    <xdr:from>
      <xdr:col>23</xdr:col>
      <xdr:colOff>188344</xdr:colOff>
      <xdr:row>113</xdr:row>
      <xdr:rowOff>53426</xdr:rowOff>
    </xdr:from>
    <xdr:to>
      <xdr:col>33</xdr:col>
      <xdr:colOff>156068</xdr:colOff>
      <xdr:row>113</xdr:row>
      <xdr:rowOff>58430</xdr:rowOff>
    </xdr:to>
    <xdr:cxnSp macro="">
      <xdr:nvCxnSpPr>
        <xdr:cNvPr id="291" name="直線矢印コネクタ 290">
          <a:extLst>
            <a:ext uri="{FF2B5EF4-FFF2-40B4-BE49-F238E27FC236}">
              <a16:creationId xmlns:a16="http://schemas.microsoft.com/office/drawing/2014/main" id="{00000000-0008-0000-0400-000023010000}"/>
            </a:ext>
          </a:extLst>
        </xdr:cNvPr>
        <xdr:cNvCxnSpPr>
          <a:stCxn id="289" idx="3"/>
          <a:endCxn id="295" idx="2"/>
        </xdr:cNvCxnSpPr>
      </xdr:nvCxnSpPr>
      <xdr:spPr>
        <a:xfrm flipV="1">
          <a:off x="4813261" y="20214676"/>
          <a:ext cx="1978557" cy="500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141942</xdr:colOff>
      <xdr:row>122</xdr:row>
      <xdr:rowOff>31400</xdr:rowOff>
    </xdr:from>
    <xdr:to>
      <xdr:col>23</xdr:col>
      <xdr:colOff>61674</xdr:colOff>
      <xdr:row>123</xdr:row>
      <xdr:rowOff>121336</xdr:rowOff>
    </xdr:to>
    <xdr:sp macro="" textlink="">
      <xdr:nvSpPr>
        <xdr:cNvPr id="292" name="フローチャート: 端子 26">
          <a:extLst>
            <a:ext uri="{FF2B5EF4-FFF2-40B4-BE49-F238E27FC236}">
              <a16:creationId xmlns:a16="http://schemas.microsoft.com/office/drawing/2014/main" id="{00000000-0008-0000-0400-000024010000}"/>
            </a:ext>
          </a:extLst>
        </xdr:cNvPr>
        <xdr:cNvSpPr/>
      </xdr:nvSpPr>
      <xdr:spPr>
        <a:xfrm>
          <a:off x="3962525" y="21811900"/>
          <a:ext cx="724066" cy="26985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21</xdr:col>
      <xdr:colOff>96232</xdr:colOff>
      <xdr:row>109</xdr:row>
      <xdr:rowOff>15722</xdr:rowOff>
    </xdr:from>
    <xdr:to>
      <xdr:col>21</xdr:col>
      <xdr:colOff>101318</xdr:colOff>
      <xdr:row>111</xdr:row>
      <xdr:rowOff>165565</xdr:rowOff>
    </xdr:to>
    <xdr:cxnSp macro="">
      <xdr:nvCxnSpPr>
        <xdr:cNvPr id="293" name="直線矢印コネクタ 292">
          <a:extLst>
            <a:ext uri="{FF2B5EF4-FFF2-40B4-BE49-F238E27FC236}">
              <a16:creationId xmlns:a16="http://schemas.microsoft.com/office/drawing/2014/main" id="{00000000-0008-0000-0400-000025010000}"/>
            </a:ext>
          </a:extLst>
        </xdr:cNvPr>
        <xdr:cNvCxnSpPr>
          <a:stCxn id="287" idx="2"/>
          <a:endCxn id="289" idx="0"/>
        </xdr:cNvCxnSpPr>
      </xdr:nvCxnSpPr>
      <xdr:spPr>
        <a:xfrm flipH="1">
          <a:off x="4318982" y="19457305"/>
          <a:ext cx="5086" cy="50967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37752</xdr:colOff>
      <xdr:row>111</xdr:row>
      <xdr:rowOff>100676</xdr:rowOff>
    </xdr:from>
    <xdr:to>
      <xdr:col>38</xdr:col>
      <xdr:colOff>53992</xdr:colOff>
      <xdr:row>115</xdr:row>
      <xdr:rowOff>94316</xdr:rowOff>
    </xdr:to>
    <xdr:grpSp>
      <xdr:nvGrpSpPr>
        <xdr:cNvPr id="294" name="グループ化 293">
          <a:extLst>
            <a:ext uri="{FF2B5EF4-FFF2-40B4-BE49-F238E27FC236}">
              <a16:creationId xmlns:a16="http://schemas.microsoft.com/office/drawing/2014/main" id="{00000000-0008-0000-0400-000026010000}"/>
            </a:ext>
          </a:extLst>
        </xdr:cNvPr>
        <xdr:cNvGrpSpPr>
          <a:grpSpLocks noChangeAspect="1"/>
        </xdr:cNvGrpSpPr>
      </xdr:nvGrpSpPr>
      <xdr:grpSpPr>
        <a:xfrm>
          <a:off x="6009927" y="19807901"/>
          <a:ext cx="921115" cy="698490"/>
          <a:chOff x="7102960" y="2892425"/>
          <a:chExt cx="873125" cy="612217"/>
        </a:xfrm>
      </xdr:grpSpPr>
      <xdr:sp macro="" textlink="">
        <xdr:nvSpPr>
          <xdr:cNvPr id="295" name="フローチャート: 磁気ディスク 294">
            <a:extLst>
              <a:ext uri="{FF2B5EF4-FFF2-40B4-BE49-F238E27FC236}">
                <a16:creationId xmlns:a16="http://schemas.microsoft.com/office/drawing/2014/main" id="{00000000-0008-0000-0400-0000270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6" name="正方形/長方形 295">
            <a:extLst>
              <a:ext uri="{FF2B5EF4-FFF2-40B4-BE49-F238E27FC236}">
                <a16:creationId xmlns:a16="http://schemas.microsoft.com/office/drawing/2014/main" id="{00000000-0008-0000-0400-000028010000}"/>
              </a:ext>
            </a:extLst>
          </xdr:cNvPr>
          <xdr:cNvSpPr/>
        </xdr:nvSpPr>
        <xdr:spPr>
          <a:xfrm>
            <a:off x="7102960" y="2999035"/>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負債償却</a:t>
            </a:r>
            <a:endParaRPr kumimoji="1" lang="en-US" altLang="ja-JP" sz="900">
              <a:solidFill>
                <a:schemeClr val="dk1"/>
              </a:solidFill>
              <a:effectLst/>
              <a:latin typeface="+mn-lt"/>
              <a:ea typeface="+mn-ea"/>
              <a:cs typeface="+mn-cs"/>
            </a:endParaRPr>
          </a:p>
          <a:p>
            <a:pPr algn="ctr"/>
            <a:r>
              <a:rPr kumimoji="1" lang="ja-JP" altLang="ja-JP" sz="900">
                <a:solidFill>
                  <a:schemeClr val="dk1"/>
                </a:solidFill>
                <a:effectLst/>
                <a:latin typeface="+mn-lt"/>
                <a:ea typeface="+mn-ea"/>
                <a:cs typeface="+mn-cs"/>
              </a:rPr>
              <a:t>スケジュール</a:t>
            </a:r>
            <a:endParaRPr kumimoji="1" lang="ja-JP" altLang="en-US" sz="900"/>
          </a:p>
        </xdr:txBody>
      </xdr:sp>
    </xdr:grpSp>
    <xdr:clientData/>
  </xdr:twoCellAnchor>
  <xdr:twoCellAnchor>
    <xdr:from>
      <xdr:col>21</xdr:col>
      <xdr:colOff>95476</xdr:colOff>
      <xdr:row>114</xdr:row>
      <xdr:rowOff>131210</xdr:rowOff>
    </xdr:from>
    <xdr:to>
      <xdr:col>21</xdr:col>
      <xdr:colOff>96232</xdr:colOff>
      <xdr:row>116</xdr:row>
      <xdr:rowOff>154909</xdr:rowOff>
    </xdr:to>
    <xdr:cxnSp macro="">
      <xdr:nvCxnSpPr>
        <xdr:cNvPr id="303" name="直線矢印コネクタ 302">
          <a:extLst>
            <a:ext uri="{FF2B5EF4-FFF2-40B4-BE49-F238E27FC236}">
              <a16:creationId xmlns:a16="http://schemas.microsoft.com/office/drawing/2014/main" id="{00000000-0008-0000-0400-00002F010000}"/>
            </a:ext>
          </a:extLst>
        </xdr:cNvPr>
        <xdr:cNvCxnSpPr>
          <a:stCxn id="289" idx="2"/>
          <a:endCxn id="305" idx="0"/>
        </xdr:cNvCxnSpPr>
      </xdr:nvCxnSpPr>
      <xdr:spPr>
        <a:xfrm flipH="1">
          <a:off x="4318226" y="20472377"/>
          <a:ext cx="756" cy="38353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123228</xdr:colOff>
      <xdr:row>116</xdr:row>
      <xdr:rowOff>120946</xdr:rowOff>
    </xdr:from>
    <xdr:to>
      <xdr:col>24</xdr:col>
      <xdr:colOff>16729</xdr:colOff>
      <xdr:row>119</xdr:row>
      <xdr:rowOff>149751</xdr:rowOff>
    </xdr:to>
    <xdr:grpSp>
      <xdr:nvGrpSpPr>
        <xdr:cNvPr id="304" name="グループ化 8">
          <a:extLst>
            <a:ext uri="{FF2B5EF4-FFF2-40B4-BE49-F238E27FC236}">
              <a16:creationId xmlns:a16="http://schemas.microsoft.com/office/drawing/2014/main" id="{00000000-0008-0000-0400-000030010000}"/>
            </a:ext>
          </a:extLst>
        </xdr:cNvPr>
        <xdr:cNvGrpSpPr/>
      </xdr:nvGrpSpPr>
      <xdr:grpSpPr>
        <a:xfrm>
          <a:off x="3380778" y="20713996"/>
          <a:ext cx="979351" cy="552680"/>
          <a:chOff x="1615535" y="2430783"/>
          <a:chExt cx="908902" cy="422628"/>
        </a:xfrm>
      </xdr:grpSpPr>
      <xdr:sp macro="" textlink="">
        <xdr:nvSpPr>
          <xdr:cNvPr id="305" name="フローチャート: 定義済み処理 9">
            <a:extLst>
              <a:ext uri="{FF2B5EF4-FFF2-40B4-BE49-F238E27FC236}">
                <a16:creationId xmlns:a16="http://schemas.microsoft.com/office/drawing/2014/main" id="{00000000-0008-0000-0400-000031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6" name="正方形/長方形 48">
            <a:extLst>
              <a:ext uri="{FF2B5EF4-FFF2-40B4-BE49-F238E27FC236}">
                <a16:creationId xmlns:a16="http://schemas.microsoft.com/office/drawing/2014/main" id="{00000000-0008-0000-0400-000032010000}"/>
              </a:ext>
            </a:extLst>
          </xdr:cNvPr>
          <xdr:cNvSpPr/>
        </xdr:nvSpPr>
        <xdr:spPr>
          <a:xfrm>
            <a:off x="161553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転記処理</a:t>
            </a:r>
          </a:p>
        </xdr:txBody>
      </xdr:sp>
    </xdr:grpSp>
    <xdr:clientData/>
  </xdr:twoCellAnchor>
  <xdr:twoCellAnchor>
    <xdr:from>
      <xdr:col>23</xdr:col>
      <xdr:colOff>190456</xdr:colOff>
      <xdr:row>118</xdr:row>
      <xdr:rowOff>46370</xdr:rowOff>
    </xdr:from>
    <xdr:to>
      <xdr:col>33</xdr:col>
      <xdr:colOff>138253</xdr:colOff>
      <xdr:row>118</xdr:row>
      <xdr:rowOff>58764</xdr:rowOff>
    </xdr:to>
    <xdr:cxnSp macro="">
      <xdr:nvCxnSpPr>
        <xdr:cNvPr id="307" name="直線矢印コネクタ 306">
          <a:extLst>
            <a:ext uri="{FF2B5EF4-FFF2-40B4-BE49-F238E27FC236}">
              <a16:creationId xmlns:a16="http://schemas.microsoft.com/office/drawing/2014/main" id="{00000000-0008-0000-0400-000033010000}"/>
            </a:ext>
          </a:extLst>
        </xdr:cNvPr>
        <xdr:cNvCxnSpPr>
          <a:stCxn id="305" idx="3"/>
          <a:endCxn id="309" idx="2"/>
        </xdr:cNvCxnSpPr>
      </xdr:nvCxnSpPr>
      <xdr:spPr>
        <a:xfrm>
          <a:off x="4815373" y="21107203"/>
          <a:ext cx="1958630" cy="1239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30183</xdr:colOff>
      <xdr:row>116</xdr:row>
      <xdr:rowOff>104671</xdr:rowOff>
    </xdr:from>
    <xdr:to>
      <xdr:col>38</xdr:col>
      <xdr:colOff>49598</xdr:colOff>
      <xdr:row>120</xdr:row>
      <xdr:rowOff>69500</xdr:rowOff>
    </xdr:to>
    <xdr:grpSp>
      <xdr:nvGrpSpPr>
        <xdr:cNvPr id="308" name="グループ化 307">
          <a:extLst>
            <a:ext uri="{FF2B5EF4-FFF2-40B4-BE49-F238E27FC236}">
              <a16:creationId xmlns:a16="http://schemas.microsoft.com/office/drawing/2014/main" id="{00000000-0008-0000-0400-000034010000}"/>
            </a:ext>
          </a:extLst>
        </xdr:cNvPr>
        <xdr:cNvGrpSpPr>
          <a:grpSpLocks noChangeAspect="1"/>
        </xdr:cNvGrpSpPr>
      </xdr:nvGrpSpPr>
      <xdr:grpSpPr>
        <a:xfrm>
          <a:off x="6002358" y="20697721"/>
          <a:ext cx="924290" cy="669679"/>
          <a:chOff x="7112003" y="2892425"/>
          <a:chExt cx="873125" cy="584984"/>
        </a:xfrm>
      </xdr:grpSpPr>
      <xdr:sp macro="" textlink="">
        <xdr:nvSpPr>
          <xdr:cNvPr id="309" name="フローチャート: 磁気ディスク 308">
            <a:extLst>
              <a:ext uri="{FF2B5EF4-FFF2-40B4-BE49-F238E27FC236}">
                <a16:creationId xmlns:a16="http://schemas.microsoft.com/office/drawing/2014/main" id="{00000000-0008-0000-0400-0000350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10" name="正方形/長方形 309">
            <a:extLst>
              <a:ext uri="{FF2B5EF4-FFF2-40B4-BE49-F238E27FC236}">
                <a16:creationId xmlns:a16="http://schemas.microsoft.com/office/drawing/2014/main" id="{00000000-0008-0000-0400-00003601000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21</xdr:col>
      <xdr:colOff>95476</xdr:colOff>
      <xdr:row>119</xdr:row>
      <xdr:rowOff>117747</xdr:rowOff>
    </xdr:from>
    <xdr:to>
      <xdr:col>21</xdr:col>
      <xdr:colOff>101808</xdr:colOff>
      <xdr:row>122</xdr:row>
      <xdr:rowOff>31400</xdr:rowOff>
    </xdr:to>
    <xdr:cxnSp macro="">
      <xdr:nvCxnSpPr>
        <xdr:cNvPr id="312" name="直線矢印コネクタ 311">
          <a:extLst>
            <a:ext uri="{FF2B5EF4-FFF2-40B4-BE49-F238E27FC236}">
              <a16:creationId xmlns:a16="http://schemas.microsoft.com/office/drawing/2014/main" id="{00000000-0008-0000-0400-000038010000}"/>
            </a:ext>
          </a:extLst>
        </xdr:cNvPr>
        <xdr:cNvCxnSpPr>
          <a:stCxn id="305" idx="2"/>
          <a:endCxn id="292" idx="0"/>
        </xdr:cNvCxnSpPr>
      </xdr:nvCxnSpPr>
      <xdr:spPr>
        <a:xfrm>
          <a:off x="4318226" y="21358497"/>
          <a:ext cx="6332" cy="4534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82778</xdr:colOff>
      <xdr:row>131</xdr:row>
      <xdr:rowOff>146538</xdr:rowOff>
    </xdr:from>
    <xdr:to>
      <xdr:col>22</xdr:col>
      <xdr:colOff>192467</xdr:colOff>
      <xdr:row>133</xdr:row>
      <xdr:rowOff>78524</xdr:rowOff>
    </xdr:to>
    <xdr:sp macro="" textlink="">
      <xdr:nvSpPr>
        <xdr:cNvPr id="314" name="フローチャート: 端子 26">
          <a:extLst>
            <a:ext uri="{FF2B5EF4-FFF2-40B4-BE49-F238E27FC236}">
              <a16:creationId xmlns:a16="http://schemas.microsoft.com/office/drawing/2014/main" id="{00000000-0008-0000-0400-00003A010000}"/>
            </a:ext>
          </a:extLst>
        </xdr:cNvPr>
        <xdr:cNvSpPr/>
      </xdr:nvSpPr>
      <xdr:spPr>
        <a:xfrm>
          <a:off x="3861377" y="26837472"/>
          <a:ext cx="706310" cy="28786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145037</xdr:colOff>
      <xdr:row>135</xdr:row>
      <xdr:rowOff>152868</xdr:rowOff>
    </xdr:from>
    <xdr:to>
      <xdr:col>23</xdr:col>
      <xdr:colOff>122887</xdr:colOff>
      <xdr:row>138</xdr:row>
      <xdr:rowOff>122845</xdr:rowOff>
    </xdr:to>
    <xdr:sp macro="" textlink="">
      <xdr:nvSpPr>
        <xdr:cNvPr id="316" name="フローチャート: 定義済み処理 9">
          <a:extLst>
            <a:ext uri="{FF2B5EF4-FFF2-40B4-BE49-F238E27FC236}">
              <a16:creationId xmlns:a16="http://schemas.microsoft.com/office/drawing/2014/main" id="{00000000-0008-0000-0400-00003C010000}"/>
            </a:ext>
          </a:extLst>
        </xdr:cNvPr>
        <xdr:cNvSpPr/>
      </xdr:nvSpPr>
      <xdr:spPr>
        <a:xfrm>
          <a:off x="3724762" y="27555560"/>
          <a:ext cx="972218" cy="503796"/>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17</xdr:col>
      <xdr:colOff>78822</xdr:colOff>
      <xdr:row>135</xdr:row>
      <xdr:rowOff>47676</xdr:rowOff>
    </xdr:from>
    <xdr:to>
      <xdr:col>24</xdr:col>
      <xdr:colOff>157742</xdr:colOff>
      <xdr:row>139</xdr:row>
      <xdr:rowOff>7292</xdr:rowOff>
    </xdr:to>
    <xdr:sp macro="" textlink="">
      <xdr:nvSpPr>
        <xdr:cNvPr id="317" name="正方形/長方形 48">
          <a:extLst>
            <a:ext uri="{FF2B5EF4-FFF2-40B4-BE49-F238E27FC236}">
              <a16:creationId xmlns:a16="http://schemas.microsoft.com/office/drawing/2014/main" id="{00000000-0008-0000-0400-00003D010000}"/>
            </a:ext>
          </a:extLst>
        </xdr:cNvPr>
        <xdr:cNvSpPr/>
      </xdr:nvSpPr>
      <xdr:spPr>
        <a:xfrm>
          <a:off x="3459674" y="27450368"/>
          <a:ext cx="1471035" cy="6713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ja-JP" sz="900">
              <a:solidFill>
                <a:schemeClr val="dk1"/>
              </a:solidFill>
              <a:effectLst/>
              <a:latin typeface="+mn-lt"/>
              <a:ea typeface="+mn-ea"/>
              <a:cs typeface="+mn-cs"/>
            </a:rPr>
            <a:t>仕訳帳の作成</a:t>
          </a:r>
          <a:endParaRPr kumimoji="1" lang="ja-JP" altLang="en-US" sz="900"/>
        </a:p>
      </xdr:txBody>
    </xdr:sp>
    <xdr:clientData/>
  </xdr:twoCellAnchor>
  <xdr:twoCellAnchor>
    <xdr:from>
      <xdr:col>23</xdr:col>
      <xdr:colOff>122887</xdr:colOff>
      <xdr:row>137</xdr:row>
      <xdr:rowOff>41354</xdr:rowOff>
    </xdr:from>
    <xdr:to>
      <xdr:col>33</xdr:col>
      <xdr:colOff>152283</xdr:colOff>
      <xdr:row>137</xdr:row>
      <xdr:rowOff>48887</xdr:rowOff>
    </xdr:to>
    <xdr:cxnSp macro="">
      <xdr:nvCxnSpPr>
        <xdr:cNvPr id="318" name="直線矢印コネクタ 317">
          <a:extLst>
            <a:ext uri="{FF2B5EF4-FFF2-40B4-BE49-F238E27FC236}">
              <a16:creationId xmlns:a16="http://schemas.microsoft.com/office/drawing/2014/main" id="{00000000-0008-0000-0400-00003E010000}"/>
            </a:ext>
          </a:extLst>
        </xdr:cNvPr>
        <xdr:cNvCxnSpPr>
          <a:stCxn id="316" idx="3"/>
          <a:endCxn id="322" idx="2"/>
        </xdr:cNvCxnSpPr>
      </xdr:nvCxnSpPr>
      <xdr:spPr>
        <a:xfrm flipV="1">
          <a:off x="4696980" y="27799925"/>
          <a:ext cx="2018133" cy="75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78560</xdr:colOff>
      <xdr:row>147</xdr:row>
      <xdr:rowOff>31400</xdr:rowOff>
    </xdr:from>
    <xdr:to>
      <xdr:col>22</xdr:col>
      <xdr:colOff>199376</xdr:colOff>
      <xdr:row>148</xdr:row>
      <xdr:rowOff>121336</xdr:rowOff>
    </xdr:to>
    <xdr:sp macro="" textlink="">
      <xdr:nvSpPr>
        <xdr:cNvPr id="319" name="フローチャート: 端子 26">
          <a:extLst>
            <a:ext uri="{FF2B5EF4-FFF2-40B4-BE49-F238E27FC236}">
              <a16:creationId xmlns:a16="http://schemas.microsoft.com/office/drawing/2014/main" id="{00000000-0008-0000-0400-00003F010000}"/>
            </a:ext>
          </a:extLst>
        </xdr:cNvPr>
        <xdr:cNvSpPr/>
      </xdr:nvSpPr>
      <xdr:spPr>
        <a:xfrm>
          <a:off x="3899143" y="28638150"/>
          <a:ext cx="724066" cy="26985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21</xdr:col>
      <xdr:colOff>34525</xdr:colOff>
      <xdr:row>133</xdr:row>
      <xdr:rowOff>78524</xdr:rowOff>
    </xdr:from>
    <xdr:to>
      <xdr:col>21</xdr:col>
      <xdr:colOff>38186</xdr:colOff>
      <xdr:row>135</xdr:row>
      <xdr:rowOff>152868</xdr:rowOff>
    </xdr:to>
    <xdr:cxnSp macro="">
      <xdr:nvCxnSpPr>
        <xdr:cNvPr id="320" name="直線矢印コネクタ 319">
          <a:extLst>
            <a:ext uri="{FF2B5EF4-FFF2-40B4-BE49-F238E27FC236}">
              <a16:creationId xmlns:a16="http://schemas.microsoft.com/office/drawing/2014/main" id="{00000000-0008-0000-0400-000040010000}"/>
            </a:ext>
          </a:extLst>
        </xdr:cNvPr>
        <xdr:cNvCxnSpPr>
          <a:stCxn id="314" idx="2"/>
          <a:endCxn id="316" idx="0"/>
        </xdr:cNvCxnSpPr>
      </xdr:nvCxnSpPr>
      <xdr:spPr>
        <a:xfrm flipH="1">
          <a:off x="4210871" y="27125337"/>
          <a:ext cx="3661" cy="4302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45044</xdr:colOff>
      <xdr:row>135</xdr:row>
      <xdr:rowOff>88389</xdr:rowOff>
    </xdr:from>
    <xdr:to>
      <xdr:col>38</xdr:col>
      <xdr:colOff>67634</xdr:colOff>
      <xdr:row>139</xdr:row>
      <xdr:rowOff>50044</xdr:rowOff>
    </xdr:to>
    <xdr:grpSp>
      <xdr:nvGrpSpPr>
        <xdr:cNvPr id="321" name="グループ化 320">
          <a:extLst>
            <a:ext uri="{FF2B5EF4-FFF2-40B4-BE49-F238E27FC236}">
              <a16:creationId xmlns:a16="http://schemas.microsoft.com/office/drawing/2014/main" id="{00000000-0008-0000-0400-000041010000}"/>
            </a:ext>
          </a:extLst>
        </xdr:cNvPr>
        <xdr:cNvGrpSpPr>
          <a:grpSpLocks noChangeAspect="1"/>
        </xdr:cNvGrpSpPr>
      </xdr:nvGrpSpPr>
      <xdr:grpSpPr>
        <a:xfrm>
          <a:off x="6017219" y="24072339"/>
          <a:ext cx="927465" cy="666505"/>
          <a:chOff x="7112003" y="2892425"/>
          <a:chExt cx="873125" cy="584984"/>
        </a:xfrm>
      </xdr:grpSpPr>
      <xdr:sp macro="" textlink="">
        <xdr:nvSpPr>
          <xdr:cNvPr id="322" name="フローチャート: 磁気ディスク 321">
            <a:extLst>
              <a:ext uri="{FF2B5EF4-FFF2-40B4-BE49-F238E27FC236}">
                <a16:creationId xmlns:a16="http://schemas.microsoft.com/office/drawing/2014/main" id="{00000000-0008-0000-0400-0000420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23" name="正方形/長方形 322">
            <a:extLst>
              <a:ext uri="{FF2B5EF4-FFF2-40B4-BE49-F238E27FC236}">
                <a16:creationId xmlns:a16="http://schemas.microsoft.com/office/drawing/2014/main" id="{00000000-0008-0000-0400-00004301000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資産減価償却スケジュール</a:t>
            </a:r>
          </a:p>
        </xdr:txBody>
      </xdr:sp>
    </xdr:grpSp>
    <xdr:clientData/>
  </xdr:twoCellAnchor>
  <xdr:twoCellAnchor>
    <xdr:from>
      <xdr:col>21</xdr:col>
      <xdr:colOff>33421</xdr:colOff>
      <xdr:row>138</xdr:row>
      <xdr:rowOff>122845</xdr:rowOff>
    </xdr:from>
    <xdr:to>
      <xdr:col>21</xdr:col>
      <xdr:colOff>39172</xdr:colOff>
      <xdr:row>141</xdr:row>
      <xdr:rowOff>157894</xdr:rowOff>
    </xdr:to>
    <xdr:cxnSp macro="">
      <xdr:nvCxnSpPr>
        <xdr:cNvPr id="330" name="直線矢印コネクタ 329">
          <a:extLst>
            <a:ext uri="{FF2B5EF4-FFF2-40B4-BE49-F238E27FC236}">
              <a16:creationId xmlns:a16="http://schemas.microsoft.com/office/drawing/2014/main" id="{00000000-0008-0000-0400-00004A010000}"/>
            </a:ext>
          </a:extLst>
        </xdr:cNvPr>
        <xdr:cNvCxnSpPr>
          <a:stCxn id="316" idx="2"/>
          <a:endCxn id="332" idx="0"/>
        </xdr:cNvCxnSpPr>
      </xdr:nvCxnSpPr>
      <xdr:spPr>
        <a:xfrm>
          <a:off x="4256171" y="27110345"/>
          <a:ext cx="5751" cy="57479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88079</xdr:colOff>
      <xdr:row>141</xdr:row>
      <xdr:rowOff>124121</xdr:rowOff>
    </xdr:from>
    <xdr:to>
      <xdr:col>23</xdr:col>
      <xdr:colOff>182664</xdr:colOff>
      <xdr:row>144</xdr:row>
      <xdr:rowOff>149751</xdr:rowOff>
    </xdr:to>
    <xdr:grpSp>
      <xdr:nvGrpSpPr>
        <xdr:cNvPr id="331" name="グループ化 8">
          <a:extLst>
            <a:ext uri="{FF2B5EF4-FFF2-40B4-BE49-F238E27FC236}">
              <a16:creationId xmlns:a16="http://schemas.microsoft.com/office/drawing/2014/main" id="{00000000-0008-0000-0400-00004B010000}"/>
            </a:ext>
          </a:extLst>
        </xdr:cNvPr>
        <xdr:cNvGrpSpPr/>
      </xdr:nvGrpSpPr>
      <xdr:grpSpPr>
        <a:xfrm>
          <a:off x="3345629" y="25174871"/>
          <a:ext cx="999460" cy="549505"/>
          <a:chOff x="1633015" y="2430783"/>
          <a:chExt cx="908902" cy="422628"/>
        </a:xfrm>
      </xdr:grpSpPr>
      <xdr:sp macro="" textlink="">
        <xdr:nvSpPr>
          <xdr:cNvPr id="332" name="フローチャート: 定義済み処理 9">
            <a:extLst>
              <a:ext uri="{FF2B5EF4-FFF2-40B4-BE49-F238E27FC236}">
                <a16:creationId xmlns:a16="http://schemas.microsoft.com/office/drawing/2014/main" id="{00000000-0008-0000-0400-00004C01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33" name="正方形/長方形 48">
            <a:extLst>
              <a:ext uri="{FF2B5EF4-FFF2-40B4-BE49-F238E27FC236}">
                <a16:creationId xmlns:a16="http://schemas.microsoft.com/office/drawing/2014/main" id="{00000000-0008-0000-0400-00004D010000}"/>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転記処理</a:t>
            </a:r>
          </a:p>
        </xdr:txBody>
      </xdr:sp>
    </xdr:grpSp>
    <xdr:clientData/>
  </xdr:twoCellAnchor>
  <xdr:twoCellAnchor>
    <xdr:from>
      <xdr:col>23</xdr:col>
      <xdr:colOff>130977</xdr:colOff>
      <xdr:row>143</xdr:row>
      <xdr:rowOff>50195</xdr:rowOff>
    </xdr:from>
    <xdr:to>
      <xdr:col>33</xdr:col>
      <xdr:colOff>135078</xdr:colOff>
      <xdr:row>143</xdr:row>
      <xdr:rowOff>51606</xdr:rowOff>
    </xdr:to>
    <xdr:cxnSp macro="">
      <xdr:nvCxnSpPr>
        <xdr:cNvPr id="334" name="直線矢印コネクタ 333">
          <a:extLst>
            <a:ext uri="{FF2B5EF4-FFF2-40B4-BE49-F238E27FC236}">
              <a16:creationId xmlns:a16="http://schemas.microsoft.com/office/drawing/2014/main" id="{00000000-0008-0000-0400-00004E010000}"/>
            </a:ext>
          </a:extLst>
        </xdr:cNvPr>
        <xdr:cNvCxnSpPr>
          <a:stCxn id="332" idx="3"/>
          <a:endCxn id="336" idx="2"/>
        </xdr:cNvCxnSpPr>
      </xdr:nvCxnSpPr>
      <xdr:spPr>
        <a:xfrm flipV="1">
          <a:off x="4755894" y="25376112"/>
          <a:ext cx="2014934" cy="141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27008</xdr:colOff>
      <xdr:row>141</xdr:row>
      <xdr:rowOff>97263</xdr:rowOff>
    </xdr:from>
    <xdr:to>
      <xdr:col>38</xdr:col>
      <xdr:colOff>46423</xdr:colOff>
      <xdr:row>145</xdr:row>
      <xdr:rowOff>55742</xdr:rowOff>
    </xdr:to>
    <xdr:grpSp>
      <xdr:nvGrpSpPr>
        <xdr:cNvPr id="335" name="グループ化 334">
          <a:extLst>
            <a:ext uri="{FF2B5EF4-FFF2-40B4-BE49-F238E27FC236}">
              <a16:creationId xmlns:a16="http://schemas.microsoft.com/office/drawing/2014/main" id="{00000000-0008-0000-0400-00004F010000}"/>
            </a:ext>
          </a:extLst>
        </xdr:cNvPr>
        <xdr:cNvGrpSpPr>
          <a:grpSpLocks noChangeAspect="1"/>
        </xdr:cNvGrpSpPr>
      </xdr:nvGrpSpPr>
      <xdr:grpSpPr>
        <a:xfrm>
          <a:off x="5999183" y="25148013"/>
          <a:ext cx="924290" cy="663329"/>
          <a:chOff x="7112003" y="2892425"/>
          <a:chExt cx="873125" cy="584984"/>
        </a:xfrm>
      </xdr:grpSpPr>
      <xdr:sp macro="" textlink="">
        <xdr:nvSpPr>
          <xdr:cNvPr id="336" name="フローチャート: 磁気ディスク 335">
            <a:extLst>
              <a:ext uri="{FF2B5EF4-FFF2-40B4-BE49-F238E27FC236}">
                <a16:creationId xmlns:a16="http://schemas.microsoft.com/office/drawing/2014/main" id="{00000000-0008-0000-0400-00005001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37" name="正方形/長方形 336">
            <a:extLst>
              <a:ext uri="{FF2B5EF4-FFF2-40B4-BE49-F238E27FC236}">
                <a16:creationId xmlns:a16="http://schemas.microsoft.com/office/drawing/2014/main" id="{00000000-0008-0000-0400-00005101000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21</xdr:col>
      <xdr:colOff>38426</xdr:colOff>
      <xdr:row>144</xdr:row>
      <xdr:rowOff>117925</xdr:rowOff>
    </xdr:from>
    <xdr:to>
      <xdr:col>21</xdr:col>
      <xdr:colOff>39172</xdr:colOff>
      <xdr:row>147</xdr:row>
      <xdr:rowOff>31400</xdr:rowOff>
    </xdr:to>
    <xdr:cxnSp macro="">
      <xdr:nvCxnSpPr>
        <xdr:cNvPr id="339" name="直線矢印コネクタ 338">
          <a:extLst>
            <a:ext uri="{FF2B5EF4-FFF2-40B4-BE49-F238E27FC236}">
              <a16:creationId xmlns:a16="http://schemas.microsoft.com/office/drawing/2014/main" id="{00000000-0008-0000-0400-000053010000}"/>
            </a:ext>
          </a:extLst>
        </xdr:cNvPr>
        <xdr:cNvCxnSpPr>
          <a:stCxn id="332" idx="2"/>
          <a:endCxn id="319" idx="0"/>
        </xdr:cNvCxnSpPr>
      </xdr:nvCxnSpPr>
      <xdr:spPr>
        <a:xfrm flipH="1">
          <a:off x="4261176" y="28184925"/>
          <a:ext cx="746" cy="4532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66863</xdr:colOff>
      <xdr:row>19</xdr:row>
      <xdr:rowOff>126291</xdr:rowOff>
    </xdr:from>
    <xdr:to>
      <xdr:col>24</xdr:col>
      <xdr:colOff>87034</xdr:colOff>
      <xdr:row>23</xdr:row>
      <xdr:rowOff>0</xdr:rowOff>
    </xdr:to>
    <xdr:sp macro="" textlink="">
      <xdr:nvSpPr>
        <xdr:cNvPr id="48" name="正方形/長方形 48">
          <a:extLst>
            <a:ext uri="{FF2B5EF4-FFF2-40B4-BE49-F238E27FC236}">
              <a16:creationId xmlns:a16="http://schemas.microsoft.com/office/drawing/2014/main" id="{00000000-0008-0000-0400-000030000000}"/>
            </a:ext>
          </a:extLst>
        </xdr:cNvPr>
        <xdr:cNvSpPr/>
      </xdr:nvSpPr>
      <xdr:spPr>
        <a:xfrm>
          <a:off x="3887446" y="3555291"/>
          <a:ext cx="1025588" cy="5933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clientData/>
  </xdr:twoCellAnchor>
  <xdr:twoCellAnchor>
    <xdr:from>
      <xdr:col>21</xdr:col>
      <xdr:colOff>184294</xdr:colOff>
      <xdr:row>22</xdr:row>
      <xdr:rowOff>105610</xdr:rowOff>
    </xdr:from>
    <xdr:to>
      <xdr:col>21</xdr:col>
      <xdr:colOff>185949</xdr:colOff>
      <xdr:row>26</xdr:row>
      <xdr:rowOff>47838</xdr:rowOff>
    </xdr:to>
    <xdr:cxnSp macro="">
      <xdr:nvCxnSpPr>
        <xdr:cNvPr id="49" name="直線矢印コネクタ 48">
          <a:extLst>
            <a:ext uri="{FF2B5EF4-FFF2-40B4-BE49-F238E27FC236}">
              <a16:creationId xmlns:a16="http://schemas.microsoft.com/office/drawing/2014/main" id="{00000000-0008-0000-0400-000031000000}"/>
            </a:ext>
          </a:extLst>
        </xdr:cNvPr>
        <xdr:cNvCxnSpPr>
          <a:stCxn id="46" idx="2"/>
          <a:endCxn id="168" idx="0"/>
        </xdr:cNvCxnSpPr>
      </xdr:nvCxnSpPr>
      <xdr:spPr>
        <a:xfrm flipH="1">
          <a:off x="4407044" y="3926193"/>
          <a:ext cx="1655" cy="61956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144542</xdr:colOff>
      <xdr:row>14</xdr:row>
      <xdr:rowOff>112610</xdr:rowOff>
    </xdr:from>
    <xdr:to>
      <xdr:col>8</xdr:col>
      <xdr:colOff>14862</xdr:colOff>
      <xdr:row>16</xdr:row>
      <xdr:rowOff>167554</xdr:rowOff>
    </xdr:to>
    <xdr:sp macro="" textlink="">
      <xdr:nvSpPr>
        <xdr:cNvPr id="17" name="正方形/長方形 16">
          <a:extLst>
            <a:ext uri="{FF2B5EF4-FFF2-40B4-BE49-F238E27FC236}">
              <a16:creationId xmlns:a16="http://schemas.microsoft.com/office/drawing/2014/main" id="{00000000-0008-0000-0400-000011000000}"/>
            </a:ext>
          </a:extLst>
        </xdr:cNvPr>
        <xdr:cNvSpPr/>
      </xdr:nvSpPr>
      <xdr:spPr>
        <a:xfrm>
          <a:off x="741163" y="5450797"/>
          <a:ext cx="864688" cy="410823"/>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xdr:col>
      <xdr:colOff>97990</xdr:colOff>
      <xdr:row>14</xdr:row>
      <xdr:rowOff>31167</xdr:rowOff>
    </xdr:from>
    <xdr:to>
      <xdr:col>8</xdr:col>
      <xdr:colOff>118161</xdr:colOff>
      <xdr:row>17</xdr:row>
      <xdr:rowOff>56443</xdr:rowOff>
    </xdr:to>
    <xdr:sp macro="" textlink="">
      <xdr:nvSpPr>
        <xdr:cNvPr id="18" name="正方形/長方形 48">
          <a:extLst>
            <a:ext uri="{FF2B5EF4-FFF2-40B4-BE49-F238E27FC236}">
              <a16:creationId xmlns:a16="http://schemas.microsoft.com/office/drawing/2014/main" id="{00000000-0008-0000-0400-000012000000}"/>
            </a:ext>
          </a:extLst>
        </xdr:cNvPr>
        <xdr:cNvSpPr/>
      </xdr:nvSpPr>
      <xdr:spPr>
        <a:xfrm>
          <a:off x="690657" y="2479445"/>
          <a:ext cx="1007948" cy="53327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申請書発行</a:t>
          </a:r>
        </a:p>
      </xdr:txBody>
    </xdr:sp>
    <xdr:clientData/>
  </xdr:twoCellAnchor>
  <xdr:twoCellAnchor>
    <xdr:from>
      <xdr:col>6</xdr:col>
      <xdr:colOff>74744</xdr:colOff>
      <xdr:row>16</xdr:row>
      <xdr:rowOff>38731</xdr:rowOff>
    </xdr:from>
    <xdr:to>
      <xdr:col>11</xdr:col>
      <xdr:colOff>151833</xdr:colOff>
      <xdr:row>18</xdr:row>
      <xdr:rowOff>67295</xdr:rowOff>
    </xdr:to>
    <xdr:grpSp>
      <xdr:nvGrpSpPr>
        <xdr:cNvPr id="5" name="グループ化 4">
          <a:extLst>
            <a:ext uri="{FF2B5EF4-FFF2-40B4-BE49-F238E27FC236}">
              <a16:creationId xmlns:a16="http://schemas.microsoft.com/office/drawing/2014/main" id="{00000000-0008-0000-0400-000005000000}"/>
            </a:ext>
          </a:extLst>
        </xdr:cNvPr>
        <xdr:cNvGrpSpPr>
          <a:grpSpLocks noChangeAspect="1"/>
        </xdr:cNvGrpSpPr>
      </xdr:nvGrpSpPr>
      <xdr:grpSpPr>
        <a:xfrm>
          <a:off x="1160594" y="2877181"/>
          <a:ext cx="981964" cy="380989"/>
          <a:chOff x="2595823" y="18514795"/>
          <a:chExt cx="1182905" cy="417276"/>
        </a:xfrm>
      </xdr:grpSpPr>
      <xdr:sp macro="" textlink="">
        <xdr:nvSpPr>
          <xdr:cNvPr id="6" name="フローチャート: 書類 5">
            <a:extLst>
              <a:ext uri="{FF2B5EF4-FFF2-40B4-BE49-F238E27FC236}">
                <a16:creationId xmlns:a16="http://schemas.microsoft.com/office/drawing/2014/main" id="{00000000-0008-0000-0400-000006000000}"/>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7" name="正方形/長方形 6">
            <a:extLst>
              <a:ext uri="{FF2B5EF4-FFF2-40B4-BE49-F238E27FC236}">
                <a16:creationId xmlns:a16="http://schemas.microsoft.com/office/drawing/2014/main" id="{00000000-0008-0000-0400-000007000000}"/>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22</xdr:col>
      <xdr:colOff>97655</xdr:colOff>
      <xdr:row>22</xdr:row>
      <xdr:rowOff>11563</xdr:rowOff>
    </xdr:from>
    <xdr:to>
      <xdr:col>27</xdr:col>
      <xdr:colOff>174744</xdr:colOff>
      <xdr:row>24</xdr:row>
      <xdr:rowOff>42104</xdr:rowOff>
    </xdr:to>
    <xdr:grpSp>
      <xdr:nvGrpSpPr>
        <xdr:cNvPr id="25" name="グループ化 24">
          <a:extLst>
            <a:ext uri="{FF2B5EF4-FFF2-40B4-BE49-F238E27FC236}">
              <a16:creationId xmlns:a16="http://schemas.microsoft.com/office/drawing/2014/main" id="{00000000-0008-0000-0400-000019000000}"/>
            </a:ext>
          </a:extLst>
        </xdr:cNvPr>
        <xdr:cNvGrpSpPr>
          <a:grpSpLocks noChangeAspect="1"/>
        </xdr:cNvGrpSpPr>
      </xdr:nvGrpSpPr>
      <xdr:grpSpPr>
        <a:xfrm>
          <a:off x="4079105" y="3907288"/>
          <a:ext cx="981964" cy="392491"/>
          <a:chOff x="2595823" y="18514795"/>
          <a:chExt cx="1182905" cy="417276"/>
        </a:xfrm>
      </xdr:grpSpPr>
      <xdr:sp macro="" textlink="">
        <xdr:nvSpPr>
          <xdr:cNvPr id="26" name="フローチャート: 書類 25">
            <a:extLst>
              <a:ext uri="{FF2B5EF4-FFF2-40B4-BE49-F238E27FC236}">
                <a16:creationId xmlns:a16="http://schemas.microsoft.com/office/drawing/2014/main" id="{00000000-0008-0000-0400-00001A000000}"/>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7" name="正方形/長方形 26">
            <a:extLst>
              <a:ext uri="{FF2B5EF4-FFF2-40B4-BE49-F238E27FC236}">
                <a16:creationId xmlns:a16="http://schemas.microsoft.com/office/drawing/2014/main" id="{00000000-0008-0000-0400-00001B000000}"/>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19</xdr:col>
      <xdr:colOff>73502</xdr:colOff>
      <xdr:row>37</xdr:row>
      <xdr:rowOff>85610</xdr:rowOff>
    </xdr:from>
    <xdr:to>
      <xdr:col>24</xdr:col>
      <xdr:colOff>111487</xdr:colOff>
      <xdr:row>40</xdr:row>
      <xdr:rowOff>115857</xdr:rowOff>
    </xdr:to>
    <xdr:sp macro="" textlink="">
      <xdr:nvSpPr>
        <xdr:cNvPr id="21" name="正方形/長方形 48">
          <a:extLst>
            <a:ext uri="{FF2B5EF4-FFF2-40B4-BE49-F238E27FC236}">
              <a16:creationId xmlns:a16="http://schemas.microsoft.com/office/drawing/2014/main" id="{00000000-0008-0000-0400-000015000000}"/>
            </a:ext>
          </a:extLst>
        </xdr:cNvPr>
        <xdr:cNvSpPr/>
      </xdr:nvSpPr>
      <xdr:spPr>
        <a:xfrm>
          <a:off x="3894085" y="6753110"/>
          <a:ext cx="1043402" cy="56999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solidFill>
                <a:schemeClr val="dk1"/>
              </a:solidFill>
              <a:effectLst/>
              <a:latin typeface="+mn-lt"/>
              <a:ea typeface="+mn-ea"/>
              <a:cs typeface="+mn-cs"/>
            </a:rPr>
            <a:t>固定資産</a:t>
          </a:r>
          <a:endParaRPr kumimoji="1" lang="en-US" altLang="ja-JP" sz="900"/>
        </a:p>
        <a:p>
          <a:pPr algn="ctr"/>
          <a:r>
            <a:rPr kumimoji="1" lang="ja-JP" altLang="en-US" sz="900"/>
            <a:t>登録</a:t>
          </a:r>
          <a:endParaRPr kumimoji="1" lang="en-US" altLang="ja-JP" sz="900"/>
        </a:p>
      </xdr:txBody>
    </xdr:sp>
    <xdr:clientData/>
  </xdr:twoCellAnchor>
  <xdr:twoCellAnchor>
    <xdr:from>
      <xdr:col>25</xdr:col>
      <xdr:colOff>174043</xdr:colOff>
      <xdr:row>48</xdr:row>
      <xdr:rowOff>146900</xdr:rowOff>
    </xdr:from>
    <xdr:to>
      <xdr:col>31</xdr:col>
      <xdr:colOff>69922</xdr:colOff>
      <xdr:row>52</xdr:row>
      <xdr:rowOff>1706</xdr:rowOff>
    </xdr:to>
    <xdr:grpSp>
      <xdr:nvGrpSpPr>
        <xdr:cNvPr id="34" name="グループ化 8">
          <a:extLst>
            <a:ext uri="{FF2B5EF4-FFF2-40B4-BE49-F238E27FC236}">
              <a16:creationId xmlns:a16="http://schemas.microsoft.com/office/drawing/2014/main" id="{00000000-0008-0000-0400-000022000000}"/>
            </a:ext>
          </a:extLst>
        </xdr:cNvPr>
        <xdr:cNvGrpSpPr/>
      </xdr:nvGrpSpPr>
      <xdr:grpSpPr>
        <a:xfrm>
          <a:off x="4698418" y="8624150"/>
          <a:ext cx="981729" cy="559656"/>
          <a:chOff x="1665405" y="2424842"/>
          <a:chExt cx="908902" cy="420662"/>
        </a:xfrm>
      </xdr:grpSpPr>
      <xdr:sp macro="" textlink="">
        <xdr:nvSpPr>
          <xdr:cNvPr id="35" name="フローチャート: 定義済み処理 9">
            <a:extLst>
              <a:ext uri="{FF2B5EF4-FFF2-40B4-BE49-F238E27FC236}">
                <a16:creationId xmlns:a16="http://schemas.microsoft.com/office/drawing/2014/main" id="{00000000-0008-0000-0400-000023000000}"/>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6" name="正方形/長方形 48">
            <a:extLst>
              <a:ext uri="{FF2B5EF4-FFF2-40B4-BE49-F238E27FC236}">
                <a16:creationId xmlns:a16="http://schemas.microsoft.com/office/drawing/2014/main" id="{00000000-0008-0000-0400-000024000000}"/>
              </a:ext>
            </a:extLst>
          </xdr:cNvPr>
          <xdr:cNvSpPr/>
        </xdr:nvSpPr>
        <xdr:spPr>
          <a:xfrm>
            <a:off x="1665405" y="242484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6.</a:t>
            </a:r>
            <a:r>
              <a:rPr kumimoji="1" lang="ja-JP" altLang="en-US" sz="900"/>
              <a:t>支払スケ</a:t>
            </a:r>
            <a:endParaRPr kumimoji="1" lang="en-US" altLang="ja-JP" sz="900"/>
          </a:p>
          <a:p>
            <a:pPr algn="ctr"/>
            <a:r>
              <a:rPr kumimoji="1" lang="ja-JP" altLang="en-US" sz="900"/>
              <a:t>ジュールの確認</a:t>
            </a:r>
          </a:p>
        </xdr:txBody>
      </xdr:sp>
    </xdr:grpSp>
    <xdr:clientData/>
  </xdr:twoCellAnchor>
  <xdr:twoCellAnchor>
    <xdr:from>
      <xdr:col>19</xdr:col>
      <xdr:colOff>154170</xdr:colOff>
      <xdr:row>54</xdr:row>
      <xdr:rowOff>99955</xdr:rowOff>
    </xdr:from>
    <xdr:to>
      <xdr:col>24</xdr:col>
      <xdr:colOff>18183</xdr:colOff>
      <xdr:row>57</xdr:row>
      <xdr:rowOff>94344</xdr:rowOff>
    </xdr:to>
    <xdr:sp macro="" textlink="">
      <xdr:nvSpPr>
        <xdr:cNvPr id="40" name="フローチャート: 判断 39">
          <a:extLst>
            <a:ext uri="{FF2B5EF4-FFF2-40B4-BE49-F238E27FC236}">
              <a16:creationId xmlns:a16="http://schemas.microsoft.com/office/drawing/2014/main" id="{00000000-0008-0000-0400-000028000000}"/>
            </a:ext>
          </a:extLst>
        </xdr:cNvPr>
        <xdr:cNvSpPr/>
      </xdr:nvSpPr>
      <xdr:spPr>
        <a:xfrm>
          <a:off x="3974753" y="10005955"/>
          <a:ext cx="869430" cy="534139"/>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21</xdr:col>
      <xdr:colOff>189021</xdr:colOff>
      <xdr:row>57</xdr:row>
      <xdr:rowOff>49271</xdr:rowOff>
    </xdr:from>
    <xdr:to>
      <xdr:col>24</xdr:col>
      <xdr:colOff>112406</xdr:colOff>
      <xdr:row>58</xdr:row>
      <xdr:rowOff>92948</xdr:rowOff>
    </xdr:to>
    <xdr:sp macro="" textlink="">
      <xdr:nvSpPr>
        <xdr:cNvPr id="41" name="テキスト ボックス 40">
          <a:extLst>
            <a:ext uri="{FF2B5EF4-FFF2-40B4-BE49-F238E27FC236}">
              <a16:creationId xmlns:a16="http://schemas.microsoft.com/office/drawing/2014/main" id="{00000000-0008-0000-0400-000029000000}"/>
            </a:ext>
          </a:extLst>
        </xdr:cNvPr>
        <xdr:cNvSpPr txBox="1"/>
      </xdr:nvSpPr>
      <xdr:spPr>
        <a:xfrm>
          <a:off x="4411771" y="10495021"/>
          <a:ext cx="526635" cy="223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18</xdr:col>
      <xdr:colOff>7326</xdr:colOff>
      <xdr:row>54</xdr:row>
      <xdr:rowOff>82195</xdr:rowOff>
    </xdr:from>
    <xdr:to>
      <xdr:col>20</xdr:col>
      <xdr:colOff>99965</xdr:colOff>
      <xdr:row>55</xdr:row>
      <xdr:rowOff>87185</xdr:rowOff>
    </xdr:to>
    <xdr:sp macro="" textlink="">
      <xdr:nvSpPr>
        <xdr:cNvPr id="42" name="テキスト ボックス 41">
          <a:extLst>
            <a:ext uri="{FF2B5EF4-FFF2-40B4-BE49-F238E27FC236}">
              <a16:creationId xmlns:a16="http://schemas.microsoft.com/office/drawing/2014/main" id="{00000000-0008-0000-0400-00002A000000}"/>
            </a:ext>
          </a:extLst>
        </xdr:cNvPr>
        <xdr:cNvSpPr txBox="1"/>
      </xdr:nvSpPr>
      <xdr:spPr>
        <a:xfrm>
          <a:off x="3626826" y="9988195"/>
          <a:ext cx="494806" cy="184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19</xdr:col>
      <xdr:colOff>107253</xdr:colOff>
      <xdr:row>53</xdr:row>
      <xdr:rowOff>165837</xdr:rowOff>
    </xdr:from>
    <xdr:to>
      <xdr:col>24</xdr:col>
      <xdr:colOff>146854</xdr:colOff>
      <xdr:row>58</xdr:row>
      <xdr:rowOff>42333</xdr:rowOff>
    </xdr:to>
    <xdr:sp macro="" textlink="">
      <xdr:nvSpPr>
        <xdr:cNvPr id="43" name="正方形/長方形 48">
          <a:extLst>
            <a:ext uri="{FF2B5EF4-FFF2-40B4-BE49-F238E27FC236}">
              <a16:creationId xmlns:a16="http://schemas.microsoft.com/office/drawing/2014/main" id="{00000000-0008-0000-0400-00002B000000}"/>
            </a:ext>
          </a:extLst>
        </xdr:cNvPr>
        <xdr:cNvSpPr/>
      </xdr:nvSpPr>
      <xdr:spPr>
        <a:xfrm>
          <a:off x="3927836" y="9891920"/>
          <a:ext cx="1045018" cy="776080"/>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少額資産リース</a:t>
          </a:r>
          <a:endParaRPr kumimoji="1" lang="en-US" altLang="ja-JP" sz="900"/>
        </a:p>
        <a:p>
          <a:pPr algn="ctr"/>
          <a:r>
            <a:rPr kumimoji="1" lang="ja-JP" altLang="en-US" sz="900"/>
            <a:t>短期リース</a:t>
          </a:r>
        </a:p>
      </xdr:txBody>
    </xdr:sp>
    <xdr:clientData/>
  </xdr:twoCellAnchor>
  <xdr:twoCellAnchor>
    <xdr:from>
      <xdr:col>21</xdr:col>
      <xdr:colOff>180949</xdr:colOff>
      <xdr:row>57</xdr:row>
      <xdr:rowOff>94344</xdr:rowOff>
    </xdr:from>
    <xdr:to>
      <xdr:col>21</xdr:col>
      <xdr:colOff>186718</xdr:colOff>
      <xdr:row>59</xdr:row>
      <xdr:rowOff>142011</xdr:rowOff>
    </xdr:to>
    <xdr:cxnSp macro="">
      <xdr:nvCxnSpPr>
        <xdr:cNvPr id="47" name="直線矢印コネクタ 46">
          <a:extLst>
            <a:ext uri="{FF2B5EF4-FFF2-40B4-BE49-F238E27FC236}">
              <a16:creationId xmlns:a16="http://schemas.microsoft.com/office/drawing/2014/main" id="{00000000-0008-0000-0400-00002F000000}"/>
            </a:ext>
          </a:extLst>
        </xdr:cNvPr>
        <xdr:cNvCxnSpPr>
          <a:cxnSpLocks/>
          <a:stCxn id="40" idx="2"/>
          <a:endCxn id="10" idx="0"/>
        </xdr:cNvCxnSpPr>
      </xdr:nvCxnSpPr>
      <xdr:spPr>
        <a:xfrm flipH="1">
          <a:off x="4403699" y="9841594"/>
          <a:ext cx="5769" cy="38633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154169</xdr:colOff>
      <xdr:row>56</xdr:row>
      <xdr:rowOff>14069</xdr:rowOff>
    </xdr:from>
    <xdr:to>
      <xdr:col>21</xdr:col>
      <xdr:colOff>157815</xdr:colOff>
      <xdr:row>64</xdr:row>
      <xdr:rowOff>63662</xdr:rowOff>
    </xdr:to>
    <xdr:cxnSp macro="">
      <xdr:nvCxnSpPr>
        <xdr:cNvPr id="52" name="コネクタ: カギ線 51">
          <a:extLst>
            <a:ext uri="{FF2B5EF4-FFF2-40B4-BE49-F238E27FC236}">
              <a16:creationId xmlns:a16="http://schemas.microsoft.com/office/drawing/2014/main" id="{00000000-0008-0000-0400-000034000000}"/>
            </a:ext>
          </a:extLst>
        </xdr:cNvPr>
        <xdr:cNvCxnSpPr>
          <a:stCxn id="40" idx="1"/>
          <a:endCxn id="56" idx="0"/>
        </xdr:cNvCxnSpPr>
      </xdr:nvCxnSpPr>
      <xdr:spPr>
        <a:xfrm rot="10800000" flipH="1" flipV="1">
          <a:off x="3974752" y="9591986"/>
          <a:ext cx="405813" cy="1404259"/>
        </a:xfrm>
        <a:prstGeom prst="bentConnector4">
          <a:avLst>
            <a:gd name="adj1" fmla="val -157251"/>
            <a:gd name="adj2" fmla="val 76893"/>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8937</xdr:colOff>
      <xdr:row>64</xdr:row>
      <xdr:rowOff>34717</xdr:rowOff>
    </xdr:from>
    <xdr:to>
      <xdr:col>24</xdr:col>
      <xdr:colOff>102373</xdr:colOff>
      <xdr:row>67</xdr:row>
      <xdr:rowOff>65206</xdr:rowOff>
    </xdr:to>
    <xdr:grpSp>
      <xdr:nvGrpSpPr>
        <xdr:cNvPr id="55" name="グループ化 8">
          <a:extLst>
            <a:ext uri="{FF2B5EF4-FFF2-40B4-BE49-F238E27FC236}">
              <a16:creationId xmlns:a16="http://schemas.microsoft.com/office/drawing/2014/main" id="{00000000-0008-0000-0400-000037000000}"/>
            </a:ext>
          </a:extLst>
        </xdr:cNvPr>
        <xdr:cNvGrpSpPr/>
      </xdr:nvGrpSpPr>
      <xdr:grpSpPr>
        <a:xfrm>
          <a:off x="3447462" y="11378992"/>
          <a:ext cx="998311" cy="544839"/>
          <a:chOff x="1656651" y="2432650"/>
          <a:chExt cx="908902" cy="420662"/>
        </a:xfrm>
      </xdr:grpSpPr>
      <xdr:sp macro="" textlink="">
        <xdr:nvSpPr>
          <xdr:cNvPr id="56" name="フローチャート: 定義済み処理 9">
            <a:extLst>
              <a:ext uri="{FF2B5EF4-FFF2-40B4-BE49-F238E27FC236}">
                <a16:creationId xmlns:a16="http://schemas.microsoft.com/office/drawing/2014/main" id="{00000000-0008-0000-0400-000038000000}"/>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7" name="正方形/長方形 48">
            <a:extLst>
              <a:ext uri="{FF2B5EF4-FFF2-40B4-BE49-F238E27FC236}">
                <a16:creationId xmlns:a16="http://schemas.microsoft.com/office/drawing/2014/main" id="{00000000-0008-0000-0400-000039000000}"/>
              </a:ext>
            </a:extLst>
          </xdr:cNvPr>
          <xdr:cNvSpPr/>
        </xdr:nvSpPr>
        <xdr:spPr>
          <a:xfrm>
            <a:off x="1656651" y="2432650"/>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7.</a:t>
            </a:r>
            <a:r>
              <a:rPr kumimoji="1" lang="ja-JP" altLang="en-US" sz="900">
                <a:solidFill>
                  <a:schemeClr val="dk1"/>
                </a:solidFill>
                <a:effectLst/>
                <a:latin typeface="+mn-lt"/>
                <a:ea typeface="+mn-ea"/>
                <a:cs typeface="+mn-cs"/>
              </a:rPr>
              <a:t>資産リース</a:t>
            </a:r>
            <a:r>
              <a:rPr kumimoji="1" lang="ja-JP" altLang="en-US" sz="900"/>
              <a:t>の</a:t>
            </a:r>
            <a:endParaRPr kumimoji="1" lang="en-US" altLang="ja-JP" sz="900"/>
          </a:p>
          <a:p>
            <a:pPr algn="ctr"/>
            <a:r>
              <a:rPr kumimoji="1" lang="ja-JP" altLang="en-US" sz="900"/>
              <a:t>計上</a:t>
            </a:r>
          </a:p>
        </xdr:txBody>
      </xdr:sp>
    </xdr:grpSp>
    <xdr:clientData/>
  </xdr:twoCellAnchor>
  <xdr:twoCellAnchor>
    <xdr:from>
      <xdr:col>24</xdr:col>
      <xdr:colOff>47459</xdr:colOff>
      <xdr:row>65</xdr:row>
      <xdr:rowOff>136924</xdr:rowOff>
    </xdr:from>
    <xdr:to>
      <xdr:col>33</xdr:col>
      <xdr:colOff>134433</xdr:colOff>
      <xdr:row>65</xdr:row>
      <xdr:rowOff>139286</xdr:rowOff>
    </xdr:to>
    <xdr:cxnSp macro="">
      <xdr:nvCxnSpPr>
        <xdr:cNvPr id="66" name="直線矢印コネクタ 65">
          <a:extLst>
            <a:ext uri="{FF2B5EF4-FFF2-40B4-BE49-F238E27FC236}">
              <a16:creationId xmlns:a16="http://schemas.microsoft.com/office/drawing/2014/main" id="{00000000-0008-0000-0400-000042000000}"/>
            </a:ext>
          </a:extLst>
        </xdr:cNvPr>
        <xdr:cNvCxnSpPr>
          <a:cxnSpLocks/>
          <a:stCxn id="56" idx="3"/>
          <a:endCxn id="101" idx="2"/>
        </xdr:cNvCxnSpPr>
      </xdr:nvCxnSpPr>
      <xdr:spPr>
        <a:xfrm>
          <a:off x="4788792" y="11221202"/>
          <a:ext cx="1864974" cy="236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4594</xdr:colOff>
      <xdr:row>50</xdr:row>
      <xdr:rowOff>86449</xdr:rowOff>
    </xdr:from>
    <xdr:to>
      <xdr:col>33</xdr:col>
      <xdr:colOff>135831</xdr:colOff>
      <xdr:row>50</xdr:row>
      <xdr:rowOff>91324</xdr:rowOff>
    </xdr:to>
    <xdr:cxnSp macro="">
      <xdr:nvCxnSpPr>
        <xdr:cNvPr id="74" name="直線矢印コネクタ 73">
          <a:extLst>
            <a:ext uri="{FF2B5EF4-FFF2-40B4-BE49-F238E27FC236}">
              <a16:creationId xmlns:a16="http://schemas.microsoft.com/office/drawing/2014/main" id="{00000000-0008-0000-0400-00004A000000}"/>
            </a:ext>
          </a:extLst>
        </xdr:cNvPr>
        <xdr:cNvCxnSpPr>
          <a:stCxn id="35" idx="3"/>
          <a:endCxn id="126" idx="2"/>
        </xdr:cNvCxnSpPr>
      </xdr:nvCxnSpPr>
      <xdr:spPr>
        <a:xfrm>
          <a:off x="6128816" y="8630727"/>
          <a:ext cx="526348" cy="487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148167</xdr:colOff>
      <xdr:row>95</xdr:row>
      <xdr:rowOff>27481</xdr:rowOff>
    </xdr:from>
    <xdr:to>
      <xdr:col>24</xdr:col>
      <xdr:colOff>41669</xdr:colOff>
      <xdr:row>98</xdr:row>
      <xdr:rowOff>53111</xdr:rowOff>
    </xdr:to>
    <xdr:grpSp>
      <xdr:nvGrpSpPr>
        <xdr:cNvPr id="87" name="グループ化 8">
          <a:extLst>
            <a:ext uri="{FF2B5EF4-FFF2-40B4-BE49-F238E27FC236}">
              <a16:creationId xmlns:a16="http://schemas.microsoft.com/office/drawing/2014/main" id="{00000000-0008-0000-0400-000057000000}"/>
            </a:ext>
          </a:extLst>
        </xdr:cNvPr>
        <xdr:cNvGrpSpPr/>
      </xdr:nvGrpSpPr>
      <xdr:grpSpPr>
        <a:xfrm>
          <a:off x="3405717" y="16867681"/>
          <a:ext cx="979352" cy="549505"/>
          <a:chOff x="1615543" y="2430783"/>
          <a:chExt cx="908902" cy="422628"/>
        </a:xfrm>
      </xdr:grpSpPr>
      <xdr:sp macro="" textlink="">
        <xdr:nvSpPr>
          <xdr:cNvPr id="94" name="フローチャート: 定義済み処理 9">
            <a:extLst>
              <a:ext uri="{FF2B5EF4-FFF2-40B4-BE49-F238E27FC236}">
                <a16:creationId xmlns:a16="http://schemas.microsoft.com/office/drawing/2014/main" id="{00000000-0008-0000-0400-00005E00000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5" name="正方形/長方形 48">
            <a:extLst>
              <a:ext uri="{FF2B5EF4-FFF2-40B4-BE49-F238E27FC236}">
                <a16:creationId xmlns:a16="http://schemas.microsoft.com/office/drawing/2014/main" id="{00000000-0008-0000-0400-00005F000000}"/>
              </a:ext>
            </a:extLst>
          </xdr:cNvPr>
          <xdr:cNvSpPr/>
        </xdr:nvSpPr>
        <xdr:spPr>
          <a:xfrm>
            <a:off x="161554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転記処理</a:t>
            </a:r>
          </a:p>
        </xdr:txBody>
      </xdr:sp>
    </xdr:grpSp>
    <xdr:clientData/>
  </xdr:twoCellAnchor>
  <xdr:twoCellAnchor>
    <xdr:from>
      <xdr:col>24</xdr:col>
      <xdr:colOff>41669</xdr:colOff>
      <xdr:row>96</xdr:row>
      <xdr:rowOff>130254</xdr:rowOff>
    </xdr:from>
    <xdr:to>
      <xdr:col>33</xdr:col>
      <xdr:colOff>142013</xdr:colOff>
      <xdr:row>96</xdr:row>
      <xdr:rowOff>131097</xdr:rowOff>
    </xdr:to>
    <xdr:cxnSp macro="">
      <xdr:nvCxnSpPr>
        <xdr:cNvPr id="96" name="直線矢印コネクタ 95">
          <a:extLst>
            <a:ext uri="{FF2B5EF4-FFF2-40B4-BE49-F238E27FC236}">
              <a16:creationId xmlns:a16="http://schemas.microsoft.com/office/drawing/2014/main" id="{00000000-0008-0000-0400-000060000000}"/>
            </a:ext>
          </a:extLst>
        </xdr:cNvPr>
        <xdr:cNvCxnSpPr>
          <a:stCxn id="95" idx="3"/>
          <a:endCxn id="99" idx="2"/>
        </xdr:cNvCxnSpPr>
      </xdr:nvCxnSpPr>
      <xdr:spPr>
        <a:xfrm>
          <a:off x="4867669" y="17232921"/>
          <a:ext cx="1910094" cy="8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33943</xdr:colOff>
      <xdr:row>95</xdr:row>
      <xdr:rowOff>0</xdr:rowOff>
    </xdr:from>
    <xdr:to>
      <xdr:col>38</xdr:col>
      <xdr:colOff>53358</xdr:colOff>
      <xdr:row>98</xdr:row>
      <xdr:rowOff>138396</xdr:rowOff>
    </xdr:to>
    <xdr:grpSp>
      <xdr:nvGrpSpPr>
        <xdr:cNvPr id="98" name="グループ化 97">
          <a:extLst>
            <a:ext uri="{FF2B5EF4-FFF2-40B4-BE49-F238E27FC236}">
              <a16:creationId xmlns:a16="http://schemas.microsoft.com/office/drawing/2014/main" id="{00000000-0008-0000-0400-000062000000}"/>
            </a:ext>
          </a:extLst>
        </xdr:cNvPr>
        <xdr:cNvGrpSpPr>
          <a:grpSpLocks noChangeAspect="1"/>
        </xdr:cNvGrpSpPr>
      </xdr:nvGrpSpPr>
      <xdr:grpSpPr>
        <a:xfrm>
          <a:off x="6006118" y="16840200"/>
          <a:ext cx="924290" cy="662271"/>
          <a:chOff x="7112003" y="2892425"/>
          <a:chExt cx="873125" cy="584984"/>
        </a:xfrm>
      </xdr:grpSpPr>
      <xdr:sp macro="" textlink="">
        <xdr:nvSpPr>
          <xdr:cNvPr id="99" name="フローチャート: 磁気ディスク 98">
            <a:extLst>
              <a:ext uri="{FF2B5EF4-FFF2-40B4-BE49-F238E27FC236}">
                <a16:creationId xmlns:a16="http://schemas.microsoft.com/office/drawing/2014/main" id="{00000000-0008-0000-0400-00006300000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0" name="正方形/長方形 99">
            <a:extLst>
              <a:ext uri="{FF2B5EF4-FFF2-40B4-BE49-F238E27FC236}">
                <a16:creationId xmlns:a16="http://schemas.microsoft.com/office/drawing/2014/main" id="{00000000-0008-0000-0400-00006400000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仕入先の</a:t>
            </a:r>
            <a:endParaRPr kumimoji="1" lang="en-US" altLang="ja-JP" sz="900"/>
          </a:p>
          <a:p>
            <a:pPr algn="ctr"/>
            <a:r>
              <a:rPr kumimoji="1" lang="ja-JP" altLang="en-US" sz="900"/>
              <a:t>請求仕訳帳</a:t>
            </a:r>
          </a:p>
        </xdr:txBody>
      </xdr:sp>
    </xdr:grpSp>
    <xdr:clientData/>
  </xdr:twoCellAnchor>
  <xdr:twoCellAnchor>
    <xdr:from>
      <xdr:col>21</xdr:col>
      <xdr:colOff>120406</xdr:colOff>
      <xdr:row>98</xdr:row>
      <xdr:rowOff>21285</xdr:rowOff>
    </xdr:from>
    <xdr:to>
      <xdr:col>21</xdr:col>
      <xdr:colOff>123089</xdr:colOff>
      <xdr:row>101</xdr:row>
      <xdr:rowOff>73734</xdr:rowOff>
    </xdr:to>
    <xdr:cxnSp macro="">
      <xdr:nvCxnSpPr>
        <xdr:cNvPr id="102" name="直線矢印コネクタ 101">
          <a:extLst>
            <a:ext uri="{FF2B5EF4-FFF2-40B4-BE49-F238E27FC236}">
              <a16:creationId xmlns:a16="http://schemas.microsoft.com/office/drawing/2014/main" id="{00000000-0008-0000-0400-000066000000}"/>
            </a:ext>
          </a:extLst>
        </xdr:cNvPr>
        <xdr:cNvCxnSpPr>
          <a:stCxn id="94" idx="2"/>
          <a:endCxn id="189" idx="0"/>
        </xdr:cNvCxnSpPr>
      </xdr:nvCxnSpPr>
      <xdr:spPr>
        <a:xfrm>
          <a:off x="4343156" y="17483785"/>
          <a:ext cx="2683" cy="59219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127784</xdr:colOff>
      <xdr:row>83</xdr:row>
      <xdr:rowOff>129519</xdr:rowOff>
    </xdr:from>
    <xdr:to>
      <xdr:col>28</xdr:col>
      <xdr:colOff>123565</xdr:colOff>
      <xdr:row>87</xdr:row>
      <xdr:rowOff>155997</xdr:rowOff>
    </xdr:to>
    <xdr:cxnSp macro="">
      <xdr:nvCxnSpPr>
        <xdr:cNvPr id="4" name="コネクタ: カギ線 3">
          <a:extLst>
            <a:ext uri="{FF2B5EF4-FFF2-40B4-BE49-F238E27FC236}">
              <a16:creationId xmlns:a16="http://schemas.microsoft.com/office/drawing/2014/main" id="{7F627010-A3E4-4338-A552-F933CD4AA9C5}"/>
            </a:ext>
          </a:extLst>
        </xdr:cNvPr>
        <xdr:cNvCxnSpPr>
          <a:stCxn id="186" idx="2"/>
          <a:endCxn id="203" idx="0"/>
        </xdr:cNvCxnSpPr>
      </xdr:nvCxnSpPr>
      <xdr:spPr>
        <a:xfrm rot="16200000" flipH="1">
          <a:off x="4613880" y="13585701"/>
          <a:ext cx="703811" cy="137867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119914</xdr:colOff>
      <xdr:row>90</xdr:row>
      <xdr:rowOff>149752</xdr:rowOff>
    </xdr:from>
    <xdr:to>
      <xdr:col>28</xdr:col>
      <xdr:colOff>98568</xdr:colOff>
      <xdr:row>95</xdr:row>
      <xdr:rowOff>59359</xdr:rowOff>
    </xdr:to>
    <xdr:cxnSp macro="">
      <xdr:nvCxnSpPr>
        <xdr:cNvPr id="11" name="コネクタ: カギ線 10">
          <a:extLst>
            <a:ext uri="{FF2B5EF4-FFF2-40B4-BE49-F238E27FC236}">
              <a16:creationId xmlns:a16="http://schemas.microsoft.com/office/drawing/2014/main" id="{1DCC0F96-5A2B-4CEF-8E8C-954B599186A0}"/>
            </a:ext>
          </a:extLst>
        </xdr:cNvPr>
        <xdr:cNvCxnSpPr>
          <a:stCxn id="204" idx="2"/>
          <a:endCxn id="94" idx="0"/>
        </xdr:cNvCxnSpPr>
      </xdr:nvCxnSpPr>
      <xdr:spPr>
        <a:xfrm rot="5400000">
          <a:off x="4571216" y="14826061"/>
          <a:ext cx="756274" cy="136154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186938</xdr:colOff>
      <xdr:row>46</xdr:row>
      <xdr:rowOff>61336</xdr:rowOff>
    </xdr:from>
    <xdr:to>
      <xdr:col>28</xdr:col>
      <xdr:colOff>110038</xdr:colOff>
      <xdr:row>49</xdr:row>
      <xdr:rowOff>18815</xdr:rowOff>
    </xdr:to>
    <xdr:cxnSp macro="">
      <xdr:nvCxnSpPr>
        <xdr:cNvPr id="16" name="コネクタ: カギ線 15">
          <a:extLst>
            <a:ext uri="{FF2B5EF4-FFF2-40B4-BE49-F238E27FC236}">
              <a16:creationId xmlns:a16="http://schemas.microsoft.com/office/drawing/2014/main" id="{211FA36A-4224-4E3E-90D3-4928FBF62297}"/>
            </a:ext>
          </a:extLst>
        </xdr:cNvPr>
        <xdr:cNvCxnSpPr>
          <a:stCxn id="89" idx="2"/>
          <a:endCxn id="35" idx="0"/>
        </xdr:cNvCxnSpPr>
      </xdr:nvCxnSpPr>
      <xdr:spPr>
        <a:xfrm rot="16200000" flipH="1">
          <a:off x="4755860" y="7508025"/>
          <a:ext cx="465479" cy="130598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184954</xdr:colOff>
      <xdr:row>51</xdr:row>
      <xdr:rowOff>154084</xdr:rowOff>
    </xdr:from>
    <xdr:to>
      <xdr:col>28</xdr:col>
      <xdr:colOff>110038</xdr:colOff>
      <xdr:row>54</xdr:row>
      <xdr:rowOff>99956</xdr:rowOff>
    </xdr:to>
    <xdr:cxnSp macro="">
      <xdr:nvCxnSpPr>
        <xdr:cNvPr id="31" name="コネクタ: カギ線 30">
          <a:extLst>
            <a:ext uri="{FF2B5EF4-FFF2-40B4-BE49-F238E27FC236}">
              <a16:creationId xmlns:a16="http://schemas.microsoft.com/office/drawing/2014/main" id="{770C9DEF-FCB1-4556-8B33-E95743D378C8}"/>
            </a:ext>
          </a:extLst>
        </xdr:cNvPr>
        <xdr:cNvCxnSpPr>
          <a:stCxn id="35" idx="2"/>
          <a:endCxn id="40" idx="0"/>
        </xdr:cNvCxnSpPr>
      </xdr:nvCxnSpPr>
      <xdr:spPr>
        <a:xfrm rot="5400000">
          <a:off x="4760672" y="8440644"/>
          <a:ext cx="453872" cy="130797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28223</xdr:colOff>
      <xdr:row>64</xdr:row>
      <xdr:rowOff>14109</xdr:rowOff>
    </xdr:from>
    <xdr:to>
      <xdr:col>38</xdr:col>
      <xdr:colOff>47638</xdr:colOff>
      <xdr:row>67</xdr:row>
      <xdr:rowOff>148271</xdr:rowOff>
    </xdr:to>
    <xdr:grpSp>
      <xdr:nvGrpSpPr>
        <xdr:cNvPr id="86" name="グループ化 85">
          <a:extLst>
            <a:ext uri="{FF2B5EF4-FFF2-40B4-BE49-F238E27FC236}">
              <a16:creationId xmlns:a16="http://schemas.microsoft.com/office/drawing/2014/main" id="{BDF6BAD7-66D1-461B-B0DB-D1959B41767C}"/>
            </a:ext>
          </a:extLst>
        </xdr:cNvPr>
        <xdr:cNvGrpSpPr>
          <a:grpSpLocks noChangeAspect="1"/>
        </xdr:cNvGrpSpPr>
      </xdr:nvGrpSpPr>
      <xdr:grpSpPr>
        <a:xfrm>
          <a:off x="6000398" y="11358384"/>
          <a:ext cx="924290" cy="648512"/>
          <a:chOff x="7112003" y="2892425"/>
          <a:chExt cx="873125" cy="584984"/>
        </a:xfrm>
      </xdr:grpSpPr>
      <xdr:sp macro="" textlink="">
        <xdr:nvSpPr>
          <xdr:cNvPr id="101" name="フローチャート: 磁気ディスク 100">
            <a:extLst>
              <a:ext uri="{FF2B5EF4-FFF2-40B4-BE49-F238E27FC236}">
                <a16:creationId xmlns:a16="http://schemas.microsoft.com/office/drawing/2014/main" id="{818EB8E8-6BC2-E4BB-4021-FAF4DF5D23A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3" name="正方形/長方形 102">
            <a:extLst>
              <a:ext uri="{FF2B5EF4-FFF2-40B4-BE49-F238E27FC236}">
                <a16:creationId xmlns:a16="http://schemas.microsoft.com/office/drawing/2014/main" id="{B518520A-8FD2-CA1F-69B8-058E169185C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33</xdr:col>
      <xdr:colOff>32451</xdr:colOff>
      <xdr:row>43</xdr:row>
      <xdr:rowOff>25407</xdr:rowOff>
    </xdr:from>
    <xdr:to>
      <xdr:col>38</xdr:col>
      <xdr:colOff>51866</xdr:colOff>
      <xdr:row>46</xdr:row>
      <xdr:rowOff>159569</xdr:rowOff>
    </xdr:to>
    <xdr:grpSp>
      <xdr:nvGrpSpPr>
        <xdr:cNvPr id="112" name="グループ化 111">
          <a:extLst>
            <a:ext uri="{FF2B5EF4-FFF2-40B4-BE49-F238E27FC236}">
              <a16:creationId xmlns:a16="http://schemas.microsoft.com/office/drawing/2014/main" id="{2979724B-30FF-4B26-927B-710F90E4FC9C}"/>
            </a:ext>
          </a:extLst>
        </xdr:cNvPr>
        <xdr:cNvGrpSpPr>
          <a:grpSpLocks noChangeAspect="1"/>
        </xdr:cNvGrpSpPr>
      </xdr:nvGrpSpPr>
      <xdr:grpSpPr>
        <a:xfrm>
          <a:off x="6004626" y="7616832"/>
          <a:ext cx="924290" cy="658037"/>
          <a:chOff x="7112003" y="2892425"/>
          <a:chExt cx="873125" cy="584984"/>
        </a:xfrm>
      </xdr:grpSpPr>
      <xdr:sp macro="" textlink="">
        <xdr:nvSpPr>
          <xdr:cNvPr id="113" name="フローチャート: 磁気ディスク 112">
            <a:extLst>
              <a:ext uri="{FF2B5EF4-FFF2-40B4-BE49-F238E27FC236}">
                <a16:creationId xmlns:a16="http://schemas.microsoft.com/office/drawing/2014/main" id="{2547601D-334B-41B3-EF1E-FEC7320FE14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4" name="正方形/長方形 113">
            <a:extLst>
              <a:ext uri="{FF2B5EF4-FFF2-40B4-BE49-F238E27FC236}">
                <a16:creationId xmlns:a16="http://schemas.microsoft.com/office/drawing/2014/main" id="{BA182C1E-13DD-F9EA-77D9-BD7DA0E7BD15}"/>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支払スケジュール</a:t>
            </a:r>
          </a:p>
        </xdr:txBody>
      </xdr:sp>
    </xdr:grpSp>
    <xdr:clientData/>
  </xdr:twoCellAnchor>
  <xdr:twoCellAnchor>
    <xdr:from>
      <xdr:col>33</xdr:col>
      <xdr:colOff>29631</xdr:colOff>
      <xdr:row>37</xdr:row>
      <xdr:rowOff>43751</xdr:rowOff>
    </xdr:from>
    <xdr:to>
      <xdr:col>38</xdr:col>
      <xdr:colOff>49046</xdr:colOff>
      <xdr:row>41</xdr:row>
      <xdr:rowOff>8579</xdr:rowOff>
    </xdr:to>
    <xdr:grpSp>
      <xdr:nvGrpSpPr>
        <xdr:cNvPr id="115" name="グループ化 114">
          <a:extLst>
            <a:ext uri="{FF2B5EF4-FFF2-40B4-BE49-F238E27FC236}">
              <a16:creationId xmlns:a16="http://schemas.microsoft.com/office/drawing/2014/main" id="{880FDB28-2CCA-4CF6-8B81-20CC53BAFABB}"/>
            </a:ext>
          </a:extLst>
        </xdr:cNvPr>
        <xdr:cNvGrpSpPr>
          <a:grpSpLocks noChangeAspect="1"/>
        </xdr:cNvGrpSpPr>
      </xdr:nvGrpSpPr>
      <xdr:grpSpPr>
        <a:xfrm>
          <a:off x="6001806" y="6587426"/>
          <a:ext cx="924290" cy="650628"/>
          <a:chOff x="7112003" y="2892425"/>
          <a:chExt cx="873125" cy="584984"/>
        </a:xfrm>
      </xdr:grpSpPr>
      <xdr:sp macro="" textlink="">
        <xdr:nvSpPr>
          <xdr:cNvPr id="116" name="フローチャート: 磁気ディスク 115">
            <a:extLst>
              <a:ext uri="{FF2B5EF4-FFF2-40B4-BE49-F238E27FC236}">
                <a16:creationId xmlns:a16="http://schemas.microsoft.com/office/drawing/2014/main" id="{EA9DAB91-E766-C441-7726-EC30841C8F6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7" name="正方形/長方形 116">
            <a:extLst>
              <a:ext uri="{FF2B5EF4-FFF2-40B4-BE49-F238E27FC236}">
                <a16:creationId xmlns:a16="http://schemas.microsoft.com/office/drawing/2014/main" id="{95E84AA1-8B98-8372-BFDC-606C0615F001}"/>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ja-JP" altLang="en-US" sz="900"/>
              <a:t>（マスタ）</a:t>
            </a:r>
          </a:p>
        </xdr:txBody>
      </xdr:sp>
    </xdr:grpSp>
    <xdr:clientData/>
  </xdr:twoCellAnchor>
  <xdr:twoCellAnchor>
    <xdr:from>
      <xdr:col>33</xdr:col>
      <xdr:colOff>26811</xdr:colOff>
      <xdr:row>25</xdr:row>
      <xdr:rowOff>160862</xdr:rowOff>
    </xdr:from>
    <xdr:to>
      <xdr:col>38</xdr:col>
      <xdr:colOff>46226</xdr:colOff>
      <xdr:row>29</xdr:row>
      <xdr:rowOff>125690</xdr:rowOff>
    </xdr:to>
    <xdr:grpSp>
      <xdr:nvGrpSpPr>
        <xdr:cNvPr id="118" name="グループ化 117">
          <a:extLst>
            <a:ext uri="{FF2B5EF4-FFF2-40B4-BE49-F238E27FC236}">
              <a16:creationId xmlns:a16="http://schemas.microsoft.com/office/drawing/2014/main" id="{68C53D6F-8DCF-437A-A6A3-812D14230A9C}"/>
            </a:ext>
          </a:extLst>
        </xdr:cNvPr>
        <xdr:cNvGrpSpPr>
          <a:grpSpLocks noChangeAspect="1"/>
        </xdr:cNvGrpSpPr>
      </xdr:nvGrpSpPr>
      <xdr:grpSpPr>
        <a:xfrm>
          <a:off x="5998986" y="4599512"/>
          <a:ext cx="924290" cy="669678"/>
          <a:chOff x="7112003" y="2892425"/>
          <a:chExt cx="873125" cy="584984"/>
        </a:xfrm>
      </xdr:grpSpPr>
      <xdr:sp macro="" textlink="">
        <xdr:nvSpPr>
          <xdr:cNvPr id="119" name="フローチャート: 磁気ディスク 118">
            <a:extLst>
              <a:ext uri="{FF2B5EF4-FFF2-40B4-BE49-F238E27FC236}">
                <a16:creationId xmlns:a16="http://schemas.microsoft.com/office/drawing/2014/main" id="{5ED82A30-12A6-4C0E-91AD-680BB5F030C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0" name="正方形/長方形 119">
            <a:extLst>
              <a:ext uri="{FF2B5EF4-FFF2-40B4-BE49-F238E27FC236}">
                <a16:creationId xmlns:a16="http://schemas.microsoft.com/office/drawing/2014/main" id="{DA9712A9-54B7-0322-5409-02E57DD98065}"/>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endParaRPr kumimoji="1" lang="en-US" altLang="ja-JP" sz="900"/>
          </a:p>
          <a:p>
            <a:pPr algn="ctr"/>
            <a:r>
              <a:rPr kumimoji="1" lang="ja-JP" altLang="en-US" sz="900"/>
              <a:t>（マスタ）</a:t>
            </a:r>
          </a:p>
        </xdr:txBody>
      </xdr:sp>
    </xdr:grpSp>
    <xdr:clientData/>
  </xdr:twoCellAnchor>
  <xdr:twoCellAnchor>
    <xdr:from>
      <xdr:col>33</xdr:col>
      <xdr:colOff>29621</xdr:colOff>
      <xdr:row>48</xdr:row>
      <xdr:rowOff>135480</xdr:rowOff>
    </xdr:from>
    <xdr:to>
      <xdr:col>38</xdr:col>
      <xdr:colOff>49036</xdr:colOff>
      <xdr:row>52</xdr:row>
      <xdr:rowOff>100309</xdr:rowOff>
    </xdr:to>
    <xdr:grpSp>
      <xdr:nvGrpSpPr>
        <xdr:cNvPr id="125" name="グループ化 124">
          <a:extLst>
            <a:ext uri="{FF2B5EF4-FFF2-40B4-BE49-F238E27FC236}">
              <a16:creationId xmlns:a16="http://schemas.microsoft.com/office/drawing/2014/main" id="{C54CA4A2-982C-47DE-8C00-3A4B64631D57}"/>
            </a:ext>
          </a:extLst>
        </xdr:cNvPr>
        <xdr:cNvGrpSpPr>
          <a:grpSpLocks noChangeAspect="1"/>
        </xdr:cNvGrpSpPr>
      </xdr:nvGrpSpPr>
      <xdr:grpSpPr>
        <a:xfrm>
          <a:off x="6001796" y="8612730"/>
          <a:ext cx="924290" cy="669679"/>
          <a:chOff x="7112003" y="2892425"/>
          <a:chExt cx="873125" cy="584984"/>
        </a:xfrm>
      </xdr:grpSpPr>
      <xdr:sp macro="" textlink="">
        <xdr:nvSpPr>
          <xdr:cNvPr id="126" name="フローチャート: 磁気ディスク 125">
            <a:extLst>
              <a:ext uri="{FF2B5EF4-FFF2-40B4-BE49-F238E27FC236}">
                <a16:creationId xmlns:a16="http://schemas.microsoft.com/office/drawing/2014/main" id="{087BBF59-12A1-98F6-3317-4A8951AA03F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7" name="正方形/長方形 126">
            <a:extLst>
              <a:ext uri="{FF2B5EF4-FFF2-40B4-BE49-F238E27FC236}">
                <a16:creationId xmlns:a16="http://schemas.microsoft.com/office/drawing/2014/main" id="{D460F5FA-564F-9B54-9D86-B77CB72B5BBA}"/>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支払スケジュール</a:t>
            </a:r>
          </a:p>
        </xdr:txBody>
      </xdr:sp>
    </xdr:grpSp>
    <xdr:clientData/>
  </xdr:twoCellAnchor>
  <xdr:twoCellAnchor>
    <xdr:from>
      <xdr:col>33</xdr:col>
      <xdr:colOff>45044</xdr:colOff>
      <xdr:row>68</xdr:row>
      <xdr:rowOff>0</xdr:rowOff>
    </xdr:from>
    <xdr:to>
      <xdr:col>38</xdr:col>
      <xdr:colOff>67634</xdr:colOff>
      <xdr:row>68</xdr:row>
      <xdr:rowOff>50044</xdr:rowOff>
    </xdr:to>
    <xdr:sp macro="" textlink="">
      <xdr:nvSpPr>
        <xdr:cNvPr id="105" name="正方形/長方形 104">
          <a:extLst>
            <a:ext uri="{FF2B5EF4-FFF2-40B4-BE49-F238E27FC236}">
              <a16:creationId xmlns:a16="http://schemas.microsoft.com/office/drawing/2014/main" id="{58A293B0-404F-45A3-B31B-77EAB6DFB0D3}"/>
            </a:ext>
          </a:extLst>
        </xdr:cNvPr>
        <xdr:cNvSpPr/>
      </xdr:nvSpPr>
      <xdr:spPr>
        <a:xfrm>
          <a:off x="6683969" y="27874852"/>
          <a:ext cx="1021657" cy="54593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kumimoji="1" lang="ja-JP" altLang="en-US" sz="900"/>
        </a:p>
      </xdr:txBody>
    </xdr:sp>
    <xdr:clientData/>
  </xdr:twoCellAnchor>
  <xdr:twoCellAnchor>
    <xdr:from>
      <xdr:col>20</xdr:col>
      <xdr:colOff>10297</xdr:colOff>
      <xdr:row>70</xdr:row>
      <xdr:rowOff>8661</xdr:rowOff>
    </xdr:from>
    <xdr:to>
      <xdr:col>23</xdr:col>
      <xdr:colOff>118413</xdr:colOff>
      <xdr:row>71</xdr:row>
      <xdr:rowOff>84836</xdr:rowOff>
    </xdr:to>
    <xdr:sp macro="" textlink="">
      <xdr:nvSpPr>
        <xdr:cNvPr id="133" name="フローチャート: 端子 26">
          <a:extLst>
            <a:ext uri="{FF2B5EF4-FFF2-40B4-BE49-F238E27FC236}">
              <a16:creationId xmlns:a16="http://schemas.microsoft.com/office/drawing/2014/main" id="{C3C363D1-980E-4504-AA0A-8CC30D533946}"/>
            </a:ext>
          </a:extLst>
        </xdr:cNvPr>
        <xdr:cNvSpPr/>
      </xdr:nvSpPr>
      <xdr:spPr>
        <a:xfrm>
          <a:off x="3961408" y="11939605"/>
          <a:ext cx="700783" cy="24550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21</xdr:col>
      <xdr:colOff>152902</xdr:colOff>
      <xdr:row>67</xdr:row>
      <xdr:rowOff>38052</xdr:rowOff>
    </xdr:from>
    <xdr:to>
      <xdr:col>21</xdr:col>
      <xdr:colOff>163133</xdr:colOff>
      <xdr:row>70</xdr:row>
      <xdr:rowOff>8661</xdr:rowOff>
    </xdr:to>
    <xdr:cxnSp macro="">
      <xdr:nvCxnSpPr>
        <xdr:cNvPr id="134" name="直線矢印コネクタ 133">
          <a:extLst>
            <a:ext uri="{FF2B5EF4-FFF2-40B4-BE49-F238E27FC236}">
              <a16:creationId xmlns:a16="http://schemas.microsoft.com/office/drawing/2014/main" id="{5621E2CF-47B5-4529-9733-1D41B1BBF4E1}"/>
            </a:ext>
          </a:extLst>
        </xdr:cNvPr>
        <xdr:cNvCxnSpPr>
          <a:cxnSpLocks/>
          <a:stCxn id="56" idx="2"/>
          <a:endCxn id="133" idx="0"/>
        </xdr:cNvCxnSpPr>
      </xdr:nvCxnSpPr>
      <xdr:spPr>
        <a:xfrm>
          <a:off x="4301569" y="11460996"/>
          <a:ext cx="10231" cy="47860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82778</xdr:colOff>
      <xdr:row>156</xdr:row>
      <xdr:rowOff>146538</xdr:rowOff>
    </xdr:from>
    <xdr:to>
      <xdr:col>22</xdr:col>
      <xdr:colOff>192467</xdr:colOff>
      <xdr:row>158</xdr:row>
      <xdr:rowOff>78524</xdr:rowOff>
    </xdr:to>
    <xdr:sp macro="" textlink="">
      <xdr:nvSpPr>
        <xdr:cNvPr id="8" name="フローチャート: 端子 26">
          <a:extLst>
            <a:ext uri="{FF2B5EF4-FFF2-40B4-BE49-F238E27FC236}">
              <a16:creationId xmlns:a16="http://schemas.microsoft.com/office/drawing/2014/main" id="{E20AC757-987D-4654-B748-24923920D834}"/>
            </a:ext>
          </a:extLst>
        </xdr:cNvPr>
        <xdr:cNvSpPr/>
      </xdr:nvSpPr>
      <xdr:spPr>
        <a:xfrm>
          <a:off x="3906536" y="22421280"/>
          <a:ext cx="709764" cy="27382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18</xdr:col>
      <xdr:colOff>145037</xdr:colOff>
      <xdr:row>160</xdr:row>
      <xdr:rowOff>152868</xdr:rowOff>
    </xdr:from>
    <xdr:to>
      <xdr:col>23</xdr:col>
      <xdr:colOff>122887</xdr:colOff>
      <xdr:row>163</xdr:row>
      <xdr:rowOff>122845</xdr:rowOff>
    </xdr:to>
    <xdr:sp macro="" textlink="">
      <xdr:nvSpPr>
        <xdr:cNvPr id="9" name="フローチャート: 定義済み処理 9">
          <a:extLst>
            <a:ext uri="{FF2B5EF4-FFF2-40B4-BE49-F238E27FC236}">
              <a16:creationId xmlns:a16="http://schemas.microsoft.com/office/drawing/2014/main" id="{BFB14DEF-4AA6-4D87-A5F8-7D4030D77825}"/>
            </a:ext>
          </a:extLst>
        </xdr:cNvPr>
        <xdr:cNvSpPr/>
      </xdr:nvSpPr>
      <xdr:spPr>
        <a:xfrm>
          <a:off x="3761362" y="23108118"/>
          <a:ext cx="989617" cy="48115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17</xdr:col>
      <xdr:colOff>78822</xdr:colOff>
      <xdr:row>160</xdr:row>
      <xdr:rowOff>47676</xdr:rowOff>
    </xdr:from>
    <xdr:to>
      <xdr:col>24</xdr:col>
      <xdr:colOff>157742</xdr:colOff>
      <xdr:row>164</xdr:row>
      <xdr:rowOff>7292</xdr:rowOff>
    </xdr:to>
    <xdr:sp macro="" textlink="">
      <xdr:nvSpPr>
        <xdr:cNvPr id="12" name="正方形/長方形 48">
          <a:extLst>
            <a:ext uri="{FF2B5EF4-FFF2-40B4-BE49-F238E27FC236}">
              <a16:creationId xmlns:a16="http://schemas.microsoft.com/office/drawing/2014/main" id="{9BA32D1C-7059-4B37-9EB9-70353B142F36}"/>
            </a:ext>
          </a:extLst>
        </xdr:cNvPr>
        <xdr:cNvSpPr/>
      </xdr:nvSpPr>
      <xdr:spPr>
        <a:xfrm>
          <a:off x="3497239" y="22999751"/>
          <a:ext cx="1489678" cy="64329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clientData/>
  </xdr:twoCellAnchor>
  <xdr:twoCellAnchor>
    <xdr:from>
      <xdr:col>23</xdr:col>
      <xdr:colOff>122887</xdr:colOff>
      <xdr:row>162</xdr:row>
      <xdr:rowOff>41354</xdr:rowOff>
    </xdr:from>
    <xdr:to>
      <xdr:col>33</xdr:col>
      <xdr:colOff>152283</xdr:colOff>
      <xdr:row>162</xdr:row>
      <xdr:rowOff>48887</xdr:rowOff>
    </xdr:to>
    <xdr:cxnSp macro="">
      <xdr:nvCxnSpPr>
        <xdr:cNvPr id="13" name="直線矢印コネクタ 12">
          <a:extLst>
            <a:ext uri="{FF2B5EF4-FFF2-40B4-BE49-F238E27FC236}">
              <a16:creationId xmlns:a16="http://schemas.microsoft.com/office/drawing/2014/main" id="{F9762DD0-E73C-445E-93E4-A3ADF6B94BD3}"/>
            </a:ext>
          </a:extLst>
        </xdr:cNvPr>
        <xdr:cNvCxnSpPr>
          <a:stCxn id="9" idx="3"/>
          <a:endCxn id="20" idx="2"/>
        </xdr:cNvCxnSpPr>
      </xdr:nvCxnSpPr>
      <xdr:spPr>
        <a:xfrm flipV="1">
          <a:off x="4750979" y="23338446"/>
          <a:ext cx="2037054"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78560</xdr:colOff>
      <xdr:row>172</xdr:row>
      <xdr:rowOff>31400</xdr:rowOff>
    </xdr:from>
    <xdr:to>
      <xdr:col>22</xdr:col>
      <xdr:colOff>199376</xdr:colOff>
      <xdr:row>173</xdr:row>
      <xdr:rowOff>121336</xdr:rowOff>
    </xdr:to>
    <xdr:sp macro="" textlink="">
      <xdr:nvSpPr>
        <xdr:cNvPr id="14" name="フローチャート: 端子 26">
          <a:extLst>
            <a:ext uri="{FF2B5EF4-FFF2-40B4-BE49-F238E27FC236}">
              <a16:creationId xmlns:a16="http://schemas.microsoft.com/office/drawing/2014/main" id="{F7FC67AB-1FC6-4D5A-B916-BA1334AD053B}"/>
            </a:ext>
          </a:extLst>
        </xdr:cNvPr>
        <xdr:cNvSpPr/>
      </xdr:nvSpPr>
      <xdr:spPr>
        <a:xfrm>
          <a:off x="3899143" y="25015475"/>
          <a:ext cx="727241" cy="26561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21</xdr:col>
      <xdr:colOff>34525</xdr:colOff>
      <xdr:row>158</xdr:row>
      <xdr:rowOff>78524</xdr:rowOff>
    </xdr:from>
    <xdr:to>
      <xdr:col>21</xdr:col>
      <xdr:colOff>38186</xdr:colOff>
      <xdr:row>160</xdr:row>
      <xdr:rowOff>152868</xdr:rowOff>
    </xdr:to>
    <xdr:cxnSp macro="">
      <xdr:nvCxnSpPr>
        <xdr:cNvPr id="15" name="直線矢印コネクタ 14">
          <a:extLst>
            <a:ext uri="{FF2B5EF4-FFF2-40B4-BE49-F238E27FC236}">
              <a16:creationId xmlns:a16="http://schemas.microsoft.com/office/drawing/2014/main" id="{4DB5F9ED-7CC1-4DEB-A669-7B11ED18EE28}"/>
            </a:ext>
          </a:extLst>
        </xdr:cNvPr>
        <xdr:cNvCxnSpPr>
          <a:stCxn id="8" idx="2"/>
          <a:endCxn id="9" idx="0"/>
        </xdr:cNvCxnSpPr>
      </xdr:nvCxnSpPr>
      <xdr:spPr>
        <a:xfrm flipH="1">
          <a:off x="4254100" y="22695107"/>
          <a:ext cx="6836" cy="41301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48219</xdr:colOff>
      <xdr:row>160</xdr:row>
      <xdr:rowOff>85214</xdr:rowOff>
    </xdr:from>
    <xdr:to>
      <xdr:col>38</xdr:col>
      <xdr:colOff>64459</xdr:colOff>
      <xdr:row>164</xdr:row>
      <xdr:rowOff>46869</xdr:rowOff>
    </xdr:to>
    <xdr:grpSp>
      <xdr:nvGrpSpPr>
        <xdr:cNvPr id="19" name="グループ化 18">
          <a:extLst>
            <a:ext uri="{FF2B5EF4-FFF2-40B4-BE49-F238E27FC236}">
              <a16:creationId xmlns:a16="http://schemas.microsoft.com/office/drawing/2014/main" id="{79CCEFC3-1A26-4136-83D2-2ED2F4F79C7D}"/>
            </a:ext>
          </a:extLst>
        </xdr:cNvPr>
        <xdr:cNvGrpSpPr>
          <a:grpSpLocks noChangeAspect="1"/>
        </xdr:cNvGrpSpPr>
      </xdr:nvGrpSpPr>
      <xdr:grpSpPr>
        <a:xfrm>
          <a:off x="6020394" y="28507814"/>
          <a:ext cx="921115" cy="666505"/>
          <a:chOff x="7112003" y="2892425"/>
          <a:chExt cx="873125" cy="584984"/>
        </a:xfrm>
      </xdr:grpSpPr>
      <xdr:sp macro="" textlink="">
        <xdr:nvSpPr>
          <xdr:cNvPr id="20" name="フローチャート: 磁気ディスク 19">
            <a:extLst>
              <a:ext uri="{FF2B5EF4-FFF2-40B4-BE49-F238E27FC236}">
                <a16:creationId xmlns:a16="http://schemas.microsoft.com/office/drawing/2014/main" id="{8B250F7B-69BA-1DD8-ACCF-A89155E9535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 name="正方形/長方形 22">
            <a:extLst>
              <a:ext uri="{FF2B5EF4-FFF2-40B4-BE49-F238E27FC236}">
                <a16:creationId xmlns:a16="http://schemas.microsoft.com/office/drawing/2014/main" id="{8ADC82DE-0C80-95B3-1525-839B44A0DFF1}"/>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固定資産</a:t>
            </a:r>
            <a:endParaRPr kumimoji="1" lang="en-US" altLang="ja-JP" sz="900"/>
          </a:p>
          <a:p>
            <a:pPr algn="ctr"/>
            <a:r>
              <a:rPr kumimoji="1" lang="en-US" altLang="ja-JP" sz="900"/>
              <a:t>(</a:t>
            </a:r>
            <a:r>
              <a:rPr kumimoji="1" lang="ja-JP" altLang="en-US" sz="900"/>
              <a:t>マスタ</a:t>
            </a:r>
            <a:r>
              <a:rPr kumimoji="1" lang="en-US" altLang="ja-JP" sz="900"/>
              <a:t>)</a:t>
            </a:r>
            <a:endParaRPr kumimoji="1" lang="ja-JP" altLang="en-US" sz="900"/>
          </a:p>
        </xdr:txBody>
      </xdr:sp>
    </xdr:grpSp>
    <xdr:clientData/>
  </xdr:twoCellAnchor>
  <xdr:twoCellAnchor>
    <xdr:from>
      <xdr:col>21</xdr:col>
      <xdr:colOff>33421</xdr:colOff>
      <xdr:row>163</xdr:row>
      <xdr:rowOff>122845</xdr:rowOff>
    </xdr:from>
    <xdr:to>
      <xdr:col>21</xdr:col>
      <xdr:colOff>39172</xdr:colOff>
      <xdr:row>166</xdr:row>
      <xdr:rowOff>157894</xdr:rowOff>
    </xdr:to>
    <xdr:cxnSp macro="">
      <xdr:nvCxnSpPr>
        <xdr:cNvPr id="28" name="直線矢印コネクタ 27">
          <a:extLst>
            <a:ext uri="{FF2B5EF4-FFF2-40B4-BE49-F238E27FC236}">
              <a16:creationId xmlns:a16="http://schemas.microsoft.com/office/drawing/2014/main" id="{C04A133C-1CE1-4849-9D38-F2C4D365CF79}"/>
            </a:ext>
          </a:extLst>
        </xdr:cNvPr>
        <xdr:cNvCxnSpPr>
          <a:stCxn id="9" idx="2"/>
          <a:endCxn id="30" idx="0"/>
        </xdr:cNvCxnSpPr>
      </xdr:nvCxnSpPr>
      <xdr:spPr>
        <a:xfrm>
          <a:off x="4252996" y="23589270"/>
          <a:ext cx="8926" cy="54304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84904</xdr:colOff>
      <xdr:row>166</xdr:row>
      <xdr:rowOff>120946</xdr:rowOff>
    </xdr:from>
    <xdr:to>
      <xdr:col>23</xdr:col>
      <xdr:colOff>179489</xdr:colOff>
      <xdr:row>169</xdr:row>
      <xdr:rowOff>149751</xdr:rowOff>
    </xdr:to>
    <xdr:grpSp>
      <xdr:nvGrpSpPr>
        <xdr:cNvPr id="29" name="グループ化 8">
          <a:extLst>
            <a:ext uri="{FF2B5EF4-FFF2-40B4-BE49-F238E27FC236}">
              <a16:creationId xmlns:a16="http://schemas.microsoft.com/office/drawing/2014/main" id="{2B539DB9-6EAF-4AC3-9BFF-6AF37A450CC9}"/>
            </a:ext>
          </a:extLst>
        </xdr:cNvPr>
        <xdr:cNvGrpSpPr/>
      </xdr:nvGrpSpPr>
      <xdr:grpSpPr>
        <a:xfrm>
          <a:off x="3342454" y="29610346"/>
          <a:ext cx="999460" cy="552680"/>
          <a:chOff x="1633015" y="2430783"/>
          <a:chExt cx="908902" cy="422628"/>
        </a:xfrm>
      </xdr:grpSpPr>
      <xdr:sp macro="" textlink="">
        <xdr:nvSpPr>
          <xdr:cNvPr id="30" name="フローチャート: 定義済み処理 9">
            <a:extLst>
              <a:ext uri="{FF2B5EF4-FFF2-40B4-BE49-F238E27FC236}">
                <a16:creationId xmlns:a16="http://schemas.microsoft.com/office/drawing/2014/main" id="{62DEEC56-ADA4-7CA2-59AF-3984BC239683}"/>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2" name="正方形/長方形 48">
            <a:extLst>
              <a:ext uri="{FF2B5EF4-FFF2-40B4-BE49-F238E27FC236}">
                <a16:creationId xmlns:a16="http://schemas.microsoft.com/office/drawing/2014/main" id="{40B4A95B-3C9E-48D9-50E3-E01049E3BDB0}"/>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p>
        </xdr:txBody>
      </xdr:sp>
    </xdr:grpSp>
    <xdr:clientData/>
  </xdr:twoCellAnchor>
  <xdr:twoCellAnchor>
    <xdr:from>
      <xdr:col>23</xdr:col>
      <xdr:colOff>130977</xdr:colOff>
      <xdr:row>168</xdr:row>
      <xdr:rowOff>50195</xdr:rowOff>
    </xdr:from>
    <xdr:to>
      <xdr:col>33</xdr:col>
      <xdr:colOff>135078</xdr:colOff>
      <xdr:row>168</xdr:row>
      <xdr:rowOff>51606</xdr:rowOff>
    </xdr:to>
    <xdr:cxnSp macro="">
      <xdr:nvCxnSpPr>
        <xdr:cNvPr id="33" name="直線矢印コネクタ 32">
          <a:extLst>
            <a:ext uri="{FF2B5EF4-FFF2-40B4-BE49-F238E27FC236}">
              <a16:creationId xmlns:a16="http://schemas.microsoft.com/office/drawing/2014/main" id="{86FAF64B-274A-4E24-81D4-A518E7D4BC06}"/>
            </a:ext>
          </a:extLst>
        </xdr:cNvPr>
        <xdr:cNvCxnSpPr>
          <a:stCxn id="30" idx="3"/>
          <a:endCxn id="38" idx="2"/>
        </xdr:cNvCxnSpPr>
      </xdr:nvCxnSpPr>
      <xdr:spPr>
        <a:xfrm flipV="1">
          <a:off x="4755894" y="24356937"/>
          <a:ext cx="2014934" cy="141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30183</xdr:colOff>
      <xdr:row>166</xdr:row>
      <xdr:rowOff>97263</xdr:rowOff>
    </xdr:from>
    <xdr:to>
      <xdr:col>38</xdr:col>
      <xdr:colOff>49598</xdr:colOff>
      <xdr:row>170</xdr:row>
      <xdr:rowOff>55742</xdr:rowOff>
    </xdr:to>
    <xdr:grpSp>
      <xdr:nvGrpSpPr>
        <xdr:cNvPr id="37" name="グループ化 36">
          <a:extLst>
            <a:ext uri="{FF2B5EF4-FFF2-40B4-BE49-F238E27FC236}">
              <a16:creationId xmlns:a16="http://schemas.microsoft.com/office/drawing/2014/main" id="{6F8C808D-26E4-4178-BEDF-1AA5BE71859C}"/>
            </a:ext>
          </a:extLst>
        </xdr:cNvPr>
        <xdr:cNvGrpSpPr>
          <a:grpSpLocks noChangeAspect="1"/>
        </xdr:cNvGrpSpPr>
      </xdr:nvGrpSpPr>
      <xdr:grpSpPr>
        <a:xfrm>
          <a:off x="6002358" y="29586663"/>
          <a:ext cx="924290" cy="663329"/>
          <a:chOff x="7112003" y="2892425"/>
          <a:chExt cx="873125" cy="584984"/>
        </a:xfrm>
      </xdr:grpSpPr>
      <xdr:sp macro="" textlink="">
        <xdr:nvSpPr>
          <xdr:cNvPr id="38" name="フローチャート: 磁気ディスク 37">
            <a:extLst>
              <a:ext uri="{FF2B5EF4-FFF2-40B4-BE49-F238E27FC236}">
                <a16:creationId xmlns:a16="http://schemas.microsoft.com/office/drawing/2014/main" id="{48838126-EC1B-5370-DF6A-97ADD783958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9" name="正方形/長方形 38">
            <a:extLst>
              <a:ext uri="{FF2B5EF4-FFF2-40B4-BE49-F238E27FC236}">
                <a16:creationId xmlns:a16="http://schemas.microsoft.com/office/drawing/2014/main" id="{E5395F03-B51E-D823-B658-A29DDE81CEF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21</xdr:col>
      <xdr:colOff>38426</xdr:colOff>
      <xdr:row>169</xdr:row>
      <xdr:rowOff>117925</xdr:rowOff>
    </xdr:from>
    <xdr:to>
      <xdr:col>21</xdr:col>
      <xdr:colOff>39172</xdr:colOff>
      <xdr:row>172</xdr:row>
      <xdr:rowOff>31400</xdr:rowOff>
    </xdr:to>
    <xdr:cxnSp macro="">
      <xdr:nvCxnSpPr>
        <xdr:cNvPr id="44" name="直線矢印コネクタ 43">
          <a:extLst>
            <a:ext uri="{FF2B5EF4-FFF2-40B4-BE49-F238E27FC236}">
              <a16:creationId xmlns:a16="http://schemas.microsoft.com/office/drawing/2014/main" id="{4ABB6A6E-877E-426C-B157-EA4AB71D8616}"/>
            </a:ext>
          </a:extLst>
        </xdr:cNvPr>
        <xdr:cNvCxnSpPr>
          <a:stCxn id="30" idx="2"/>
          <a:endCxn id="14" idx="0"/>
        </xdr:cNvCxnSpPr>
      </xdr:nvCxnSpPr>
      <xdr:spPr>
        <a:xfrm flipH="1">
          <a:off x="4261176" y="24600350"/>
          <a:ext cx="746" cy="4151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22586</xdr:colOff>
      <xdr:row>94</xdr:row>
      <xdr:rowOff>114300</xdr:rowOff>
    </xdr:from>
    <xdr:to>
      <xdr:col>41</xdr:col>
      <xdr:colOff>19050</xdr:colOff>
      <xdr:row>94</xdr:row>
      <xdr:rowOff>129720</xdr:rowOff>
    </xdr:to>
    <xdr:cxnSp macro="">
      <xdr:nvCxnSpPr>
        <xdr:cNvPr id="328" name="直線矢印コネクタ 327">
          <a:extLst>
            <a:ext uri="{FF2B5EF4-FFF2-40B4-BE49-F238E27FC236}">
              <a16:creationId xmlns:a16="http://schemas.microsoft.com/office/drawing/2014/main" id="{F92D3DCB-D359-4236-AFD6-B4601A08D93E}"/>
            </a:ext>
          </a:extLst>
        </xdr:cNvPr>
        <xdr:cNvCxnSpPr>
          <a:endCxn id="321" idx="3"/>
        </xdr:cNvCxnSpPr>
      </xdr:nvCxnSpPr>
      <xdr:spPr>
        <a:xfrm flipH="1">
          <a:off x="3423011" y="16316325"/>
          <a:ext cx="4797064" cy="1542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199774</xdr:colOff>
      <xdr:row>255</xdr:row>
      <xdr:rowOff>115927</xdr:rowOff>
    </xdr:from>
    <xdr:to>
      <xdr:col>40</xdr:col>
      <xdr:colOff>135775</xdr:colOff>
      <xdr:row>255</xdr:row>
      <xdr:rowOff>119364</xdr:rowOff>
    </xdr:to>
    <xdr:cxnSp macro="">
      <xdr:nvCxnSpPr>
        <xdr:cNvPr id="2" name="直線矢印コネクタ 1">
          <a:extLst>
            <a:ext uri="{FF2B5EF4-FFF2-40B4-BE49-F238E27FC236}">
              <a16:creationId xmlns:a16="http://schemas.microsoft.com/office/drawing/2014/main" id="{C935DA25-7D0B-471B-81B5-220465EA4EF5}"/>
            </a:ext>
          </a:extLst>
        </xdr:cNvPr>
        <xdr:cNvCxnSpPr>
          <a:stCxn id="271" idx="3"/>
          <a:endCxn id="191" idx="2"/>
        </xdr:cNvCxnSpPr>
      </xdr:nvCxnSpPr>
      <xdr:spPr>
        <a:xfrm flipV="1">
          <a:off x="3403349" y="42035452"/>
          <a:ext cx="4733426" cy="66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6349</xdr:colOff>
      <xdr:row>249</xdr:row>
      <xdr:rowOff>77604</xdr:rowOff>
    </xdr:from>
    <xdr:to>
      <xdr:col>40</xdr:col>
      <xdr:colOff>135775</xdr:colOff>
      <xdr:row>249</xdr:row>
      <xdr:rowOff>77978</xdr:rowOff>
    </xdr:to>
    <xdr:cxnSp macro="">
      <xdr:nvCxnSpPr>
        <xdr:cNvPr id="3" name="直線矢印コネクタ 2">
          <a:extLst>
            <a:ext uri="{FF2B5EF4-FFF2-40B4-BE49-F238E27FC236}">
              <a16:creationId xmlns:a16="http://schemas.microsoft.com/office/drawing/2014/main" id="{799A6660-CCBA-45A5-9C9D-6F81EBE28224}"/>
            </a:ext>
          </a:extLst>
        </xdr:cNvPr>
        <xdr:cNvCxnSpPr>
          <a:stCxn id="268" idx="3"/>
          <a:endCxn id="183" idx="2"/>
        </xdr:cNvCxnSpPr>
      </xdr:nvCxnSpPr>
      <xdr:spPr>
        <a:xfrm>
          <a:off x="4810124" y="40968429"/>
          <a:ext cx="3326651" cy="37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163229</xdr:colOff>
      <xdr:row>242</xdr:row>
      <xdr:rowOff>50633</xdr:rowOff>
    </xdr:from>
    <xdr:to>
      <xdr:col>40</xdr:col>
      <xdr:colOff>135775</xdr:colOff>
      <xdr:row>242</xdr:row>
      <xdr:rowOff>54498</xdr:rowOff>
    </xdr:to>
    <xdr:cxnSp macro="">
      <xdr:nvCxnSpPr>
        <xdr:cNvPr id="4" name="直線矢印コネクタ 3">
          <a:extLst>
            <a:ext uri="{FF2B5EF4-FFF2-40B4-BE49-F238E27FC236}">
              <a16:creationId xmlns:a16="http://schemas.microsoft.com/office/drawing/2014/main" id="{EE29D926-9878-4455-B6C8-868A45380351}"/>
            </a:ext>
          </a:extLst>
        </xdr:cNvPr>
        <xdr:cNvCxnSpPr>
          <a:stCxn id="265" idx="3"/>
          <a:endCxn id="73" idx="2"/>
        </xdr:cNvCxnSpPr>
      </xdr:nvCxnSpPr>
      <xdr:spPr>
        <a:xfrm flipV="1">
          <a:off x="3360454" y="39738133"/>
          <a:ext cx="4776321" cy="70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154963</xdr:colOff>
      <xdr:row>236</xdr:row>
      <xdr:rowOff>43216</xdr:rowOff>
    </xdr:from>
    <xdr:to>
      <xdr:col>40</xdr:col>
      <xdr:colOff>154146</xdr:colOff>
      <xdr:row>236</xdr:row>
      <xdr:rowOff>59203</xdr:rowOff>
    </xdr:to>
    <xdr:cxnSp macro="">
      <xdr:nvCxnSpPr>
        <xdr:cNvPr id="5" name="直線矢印コネクタ 4">
          <a:extLst>
            <a:ext uri="{FF2B5EF4-FFF2-40B4-BE49-F238E27FC236}">
              <a16:creationId xmlns:a16="http://schemas.microsoft.com/office/drawing/2014/main" id="{88EB7027-3E54-4D58-AB94-97D61DE8E0C9}"/>
            </a:ext>
          </a:extLst>
        </xdr:cNvPr>
        <xdr:cNvCxnSpPr>
          <a:stCxn id="274" idx="3"/>
          <a:endCxn id="65" idx="2"/>
        </xdr:cNvCxnSpPr>
      </xdr:nvCxnSpPr>
      <xdr:spPr>
        <a:xfrm flipV="1">
          <a:off x="3355363" y="38708366"/>
          <a:ext cx="4799783" cy="128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50369</xdr:colOff>
      <xdr:row>82</xdr:row>
      <xdr:rowOff>139067</xdr:rowOff>
    </xdr:from>
    <xdr:to>
      <xdr:col>41</xdr:col>
      <xdr:colOff>2946</xdr:colOff>
      <xdr:row>82</xdr:row>
      <xdr:rowOff>140391</xdr:rowOff>
    </xdr:to>
    <xdr:cxnSp macro="">
      <xdr:nvCxnSpPr>
        <xdr:cNvPr id="6" name="直線矢印コネクタ 5">
          <a:extLst>
            <a:ext uri="{FF2B5EF4-FFF2-40B4-BE49-F238E27FC236}">
              <a16:creationId xmlns:a16="http://schemas.microsoft.com/office/drawing/2014/main" id="{95A44EC6-1F58-4F2A-A6AE-E8248E8ED4DD}"/>
            </a:ext>
          </a:extLst>
        </xdr:cNvPr>
        <xdr:cNvCxnSpPr>
          <a:stCxn id="260" idx="3"/>
          <a:endCxn id="119" idx="2"/>
        </xdr:cNvCxnSpPr>
      </xdr:nvCxnSpPr>
      <xdr:spPr>
        <a:xfrm>
          <a:off x="4847794" y="13772517"/>
          <a:ext cx="3356177" cy="13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5833</xdr:colOff>
      <xdr:row>73</xdr:row>
      <xdr:rowOff>47827</xdr:rowOff>
    </xdr:from>
    <xdr:to>
      <xdr:col>40</xdr:col>
      <xdr:colOff>142388</xdr:colOff>
      <xdr:row>73</xdr:row>
      <xdr:rowOff>48197</xdr:rowOff>
    </xdr:to>
    <xdr:cxnSp macro="">
      <xdr:nvCxnSpPr>
        <xdr:cNvPr id="7" name="直線矢印コネクタ 6">
          <a:extLst>
            <a:ext uri="{FF2B5EF4-FFF2-40B4-BE49-F238E27FC236}">
              <a16:creationId xmlns:a16="http://schemas.microsoft.com/office/drawing/2014/main" id="{BE369B55-D2E2-4558-B083-22C48315D30B}"/>
            </a:ext>
          </a:extLst>
        </xdr:cNvPr>
        <xdr:cNvCxnSpPr>
          <a:stCxn id="255" idx="3"/>
          <a:endCxn id="112" idx="2"/>
        </xdr:cNvCxnSpPr>
      </xdr:nvCxnSpPr>
      <xdr:spPr>
        <a:xfrm flipV="1">
          <a:off x="3409433" y="12131877"/>
          <a:ext cx="4737130" cy="3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5832</xdr:colOff>
      <xdr:row>66</xdr:row>
      <xdr:rowOff>102632</xdr:rowOff>
    </xdr:from>
    <xdr:to>
      <xdr:col>40</xdr:col>
      <xdr:colOff>167533</xdr:colOff>
      <xdr:row>66</xdr:row>
      <xdr:rowOff>112027</xdr:rowOff>
    </xdr:to>
    <xdr:cxnSp macro="">
      <xdr:nvCxnSpPr>
        <xdr:cNvPr id="8" name="直線矢印コネクタ 7">
          <a:extLst>
            <a:ext uri="{FF2B5EF4-FFF2-40B4-BE49-F238E27FC236}">
              <a16:creationId xmlns:a16="http://schemas.microsoft.com/office/drawing/2014/main" id="{3AD13024-E3ED-498B-854A-55E1D38002B7}"/>
            </a:ext>
          </a:extLst>
        </xdr:cNvPr>
        <xdr:cNvCxnSpPr>
          <a:stCxn id="252" idx="3"/>
          <a:endCxn id="102" idx="2"/>
        </xdr:cNvCxnSpPr>
      </xdr:nvCxnSpPr>
      <xdr:spPr>
        <a:xfrm flipV="1">
          <a:off x="3409432" y="10992882"/>
          <a:ext cx="4755926" cy="622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8160</xdr:colOff>
      <xdr:row>59</xdr:row>
      <xdr:rowOff>138449</xdr:rowOff>
    </xdr:from>
    <xdr:to>
      <xdr:col>40</xdr:col>
      <xdr:colOff>186334</xdr:colOff>
      <xdr:row>59</xdr:row>
      <xdr:rowOff>140761</xdr:rowOff>
    </xdr:to>
    <xdr:cxnSp macro="">
      <xdr:nvCxnSpPr>
        <xdr:cNvPr id="9" name="直線矢印コネクタ 8">
          <a:extLst>
            <a:ext uri="{FF2B5EF4-FFF2-40B4-BE49-F238E27FC236}">
              <a16:creationId xmlns:a16="http://schemas.microsoft.com/office/drawing/2014/main" id="{CF4F6393-52C1-48F8-8908-4D4D7853CAE1}"/>
            </a:ext>
          </a:extLst>
        </xdr:cNvPr>
        <xdr:cNvCxnSpPr>
          <a:stCxn id="241" idx="3"/>
          <a:endCxn id="95" idx="2"/>
        </xdr:cNvCxnSpPr>
      </xdr:nvCxnSpPr>
      <xdr:spPr>
        <a:xfrm flipV="1">
          <a:off x="3411760" y="9828549"/>
          <a:ext cx="4772399" cy="23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201139</xdr:colOff>
      <xdr:row>36</xdr:row>
      <xdr:rowOff>152108</xdr:rowOff>
    </xdr:from>
    <xdr:to>
      <xdr:col>40</xdr:col>
      <xdr:colOff>130969</xdr:colOff>
      <xdr:row>36</xdr:row>
      <xdr:rowOff>154781</xdr:rowOff>
    </xdr:to>
    <xdr:cxnSp macro="">
      <xdr:nvCxnSpPr>
        <xdr:cNvPr id="11" name="直線矢印コネクタ 10">
          <a:extLst>
            <a:ext uri="{FF2B5EF4-FFF2-40B4-BE49-F238E27FC236}">
              <a16:creationId xmlns:a16="http://schemas.microsoft.com/office/drawing/2014/main" id="{4F4C622B-8F51-4F71-855B-07E5F6592A9C}"/>
            </a:ext>
          </a:extLst>
        </xdr:cNvPr>
        <xdr:cNvCxnSpPr>
          <a:stCxn id="233" idx="3"/>
        </xdr:cNvCxnSpPr>
      </xdr:nvCxnSpPr>
      <xdr:spPr>
        <a:xfrm>
          <a:off x="3398364" y="5895683"/>
          <a:ext cx="4733605" cy="267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163315</xdr:colOff>
      <xdr:row>30</xdr:row>
      <xdr:rowOff>117407</xdr:rowOff>
    </xdr:from>
    <xdr:to>
      <xdr:col>40</xdr:col>
      <xdr:colOff>138753</xdr:colOff>
      <xdr:row>30</xdr:row>
      <xdr:rowOff>122663</xdr:rowOff>
    </xdr:to>
    <xdr:cxnSp macro="">
      <xdr:nvCxnSpPr>
        <xdr:cNvPr id="12" name="直線矢印コネクタ 11">
          <a:extLst>
            <a:ext uri="{FF2B5EF4-FFF2-40B4-BE49-F238E27FC236}">
              <a16:creationId xmlns:a16="http://schemas.microsoft.com/office/drawing/2014/main" id="{14E22F94-EBB5-4734-977E-5DE6F018CBB8}"/>
            </a:ext>
          </a:extLst>
        </xdr:cNvPr>
        <xdr:cNvCxnSpPr>
          <a:stCxn id="226" idx="3"/>
          <a:endCxn id="53" idx="2"/>
        </xdr:cNvCxnSpPr>
      </xdr:nvCxnSpPr>
      <xdr:spPr>
        <a:xfrm flipV="1">
          <a:off x="3360540" y="4832282"/>
          <a:ext cx="4782388" cy="84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178382</xdr:colOff>
      <xdr:row>12</xdr:row>
      <xdr:rowOff>156830</xdr:rowOff>
    </xdr:from>
    <xdr:to>
      <xdr:col>5</xdr:col>
      <xdr:colOff>180244</xdr:colOff>
      <xdr:row>17</xdr:row>
      <xdr:rowOff>112610</xdr:rowOff>
    </xdr:to>
    <xdr:cxnSp macro="">
      <xdr:nvCxnSpPr>
        <xdr:cNvPr id="13" name="直線矢印コネクタ 27">
          <a:extLst>
            <a:ext uri="{FF2B5EF4-FFF2-40B4-BE49-F238E27FC236}">
              <a16:creationId xmlns:a16="http://schemas.microsoft.com/office/drawing/2014/main" id="{4750A11A-D0CB-4237-BF91-860F2980AB77}"/>
            </a:ext>
          </a:extLst>
        </xdr:cNvPr>
        <xdr:cNvCxnSpPr>
          <a:cxnSpLocks/>
          <a:stCxn id="14" idx="2"/>
          <a:endCxn id="43" idx="0"/>
        </xdr:cNvCxnSpPr>
      </xdr:nvCxnSpPr>
      <xdr:spPr>
        <a:xfrm>
          <a:off x="1181682" y="2303130"/>
          <a:ext cx="1862" cy="2955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23168</xdr:colOff>
      <xdr:row>11</xdr:row>
      <xdr:rowOff>66897</xdr:rowOff>
    </xdr:from>
    <xdr:to>
      <xdr:col>7</xdr:col>
      <xdr:colOff>132514</xdr:colOff>
      <xdr:row>12</xdr:row>
      <xdr:rowOff>156830</xdr:rowOff>
    </xdr:to>
    <xdr:sp macro="" textlink="">
      <xdr:nvSpPr>
        <xdr:cNvPr id="14" name="フローチャート: 端子 26">
          <a:extLst>
            <a:ext uri="{FF2B5EF4-FFF2-40B4-BE49-F238E27FC236}">
              <a16:creationId xmlns:a16="http://schemas.microsoft.com/office/drawing/2014/main" id="{2B64B60C-2B10-49D2-9712-1FC3EE4868D7}"/>
            </a:ext>
          </a:extLst>
        </xdr:cNvPr>
        <xdr:cNvSpPr/>
      </xdr:nvSpPr>
      <xdr:spPr>
        <a:xfrm>
          <a:off x="826443" y="2035397"/>
          <a:ext cx="706246" cy="2677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5</xdr:col>
      <xdr:colOff>182313</xdr:colOff>
      <xdr:row>19</xdr:row>
      <xdr:rowOff>164379</xdr:rowOff>
    </xdr:from>
    <xdr:to>
      <xdr:col>28</xdr:col>
      <xdr:colOff>188019</xdr:colOff>
      <xdr:row>23</xdr:row>
      <xdr:rowOff>37164</xdr:rowOff>
    </xdr:to>
    <xdr:cxnSp macro="">
      <xdr:nvCxnSpPr>
        <xdr:cNvPr id="15" name="コネクタ: カギ線 14">
          <a:extLst>
            <a:ext uri="{FF2B5EF4-FFF2-40B4-BE49-F238E27FC236}">
              <a16:creationId xmlns:a16="http://schemas.microsoft.com/office/drawing/2014/main" id="{F20733B9-BD22-45C4-BB13-F37033A913CF}"/>
            </a:ext>
          </a:extLst>
        </xdr:cNvPr>
        <xdr:cNvCxnSpPr>
          <a:cxnSpLocks/>
          <a:stCxn id="43" idx="2"/>
        </xdr:cNvCxnSpPr>
      </xdr:nvCxnSpPr>
      <xdr:spPr>
        <a:xfrm rot="16200000" flipH="1">
          <a:off x="3203111" y="966281"/>
          <a:ext cx="561760" cy="460945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67051</xdr:colOff>
      <xdr:row>35</xdr:row>
      <xdr:rowOff>67896</xdr:rowOff>
    </xdr:from>
    <xdr:to>
      <xdr:col>31</xdr:col>
      <xdr:colOff>163770</xdr:colOff>
      <xdr:row>38</xdr:row>
      <xdr:rowOff>88860</xdr:rowOff>
    </xdr:to>
    <xdr:grpSp>
      <xdr:nvGrpSpPr>
        <xdr:cNvPr id="16" name="グループ化 8">
          <a:extLst>
            <a:ext uri="{FF2B5EF4-FFF2-40B4-BE49-F238E27FC236}">
              <a16:creationId xmlns:a16="http://schemas.microsoft.com/office/drawing/2014/main" id="{5232D3B7-4448-45A0-9F52-59F30CA57EEA}"/>
            </a:ext>
          </a:extLst>
        </xdr:cNvPr>
        <xdr:cNvGrpSpPr/>
      </xdr:nvGrpSpPr>
      <xdr:grpSpPr>
        <a:xfrm>
          <a:off x="4772401" y="6306771"/>
          <a:ext cx="1001594" cy="544839"/>
          <a:chOff x="1679605" y="2439643"/>
          <a:chExt cx="908902" cy="420662"/>
        </a:xfrm>
      </xdr:grpSpPr>
      <xdr:sp macro="" textlink="">
        <xdr:nvSpPr>
          <xdr:cNvPr id="17" name="フローチャート: 定義済み処理 9">
            <a:extLst>
              <a:ext uri="{FF2B5EF4-FFF2-40B4-BE49-F238E27FC236}">
                <a16:creationId xmlns:a16="http://schemas.microsoft.com/office/drawing/2014/main" id="{2B93A229-82C2-0051-10F9-56A39FA9C372}"/>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 name="正方形/長方形 48">
            <a:extLst>
              <a:ext uri="{FF2B5EF4-FFF2-40B4-BE49-F238E27FC236}">
                <a16:creationId xmlns:a16="http://schemas.microsoft.com/office/drawing/2014/main" id="{24D0B220-CA5B-B55B-579C-D3C03CD307A5}"/>
              </a:ext>
            </a:extLst>
          </xdr:cNvPr>
          <xdr:cNvSpPr/>
        </xdr:nvSpPr>
        <xdr:spPr>
          <a:xfrm>
            <a:off x="1679605" y="243964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t>リースに紐づく</a:t>
            </a:r>
            <a:endParaRPr kumimoji="1" lang="en-US" altLang="ja-JP" sz="900"/>
          </a:p>
          <a:p>
            <a:pPr algn="ctr"/>
            <a:r>
              <a:rPr kumimoji="1" lang="ja-JP" altLang="en-US" sz="900"/>
              <a:t>帳簿の作成</a:t>
            </a:r>
          </a:p>
        </xdr:txBody>
      </xdr:sp>
    </xdr:grpSp>
    <xdr:clientData/>
  </xdr:twoCellAnchor>
  <xdr:twoCellAnchor>
    <xdr:from>
      <xdr:col>31</xdr:col>
      <xdr:colOff>81493</xdr:colOff>
      <xdr:row>36</xdr:row>
      <xdr:rowOff>150584</xdr:rowOff>
    </xdr:from>
    <xdr:to>
      <xdr:col>40</xdr:col>
      <xdr:colOff>138661</xdr:colOff>
      <xdr:row>36</xdr:row>
      <xdr:rowOff>160210</xdr:rowOff>
    </xdr:to>
    <xdr:cxnSp macro="">
      <xdr:nvCxnSpPr>
        <xdr:cNvPr id="19" name="直線矢印コネクタ 18">
          <a:extLst>
            <a:ext uri="{FF2B5EF4-FFF2-40B4-BE49-F238E27FC236}">
              <a16:creationId xmlns:a16="http://schemas.microsoft.com/office/drawing/2014/main" id="{A6955309-5F23-49A6-A1E6-3323157CA546}"/>
            </a:ext>
          </a:extLst>
        </xdr:cNvPr>
        <xdr:cNvCxnSpPr>
          <a:stCxn id="17" idx="3"/>
          <a:endCxn id="50" idx="2"/>
        </xdr:cNvCxnSpPr>
      </xdr:nvCxnSpPr>
      <xdr:spPr>
        <a:xfrm flipV="1">
          <a:off x="6285443" y="5894159"/>
          <a:ext cx="1857393" cy="1280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178934</xdr:colOff>
      <xdr:row>32</xdr:row>
      <xdr:rowOff>19562</xdr:rowOff>
    </xdr:from>
    <xdr:to>
      <xdr:col>28</xdr:col>
      <xdr:colOff>181950</xdr:colOff>
      <xdr:row>35</xdr:row>
      <xdr:rowOff>85053</xdr:rowOff>
    </xdr:to>
    <xdr:cxnSp macro="">
      <xdr:nvCxnSpPr>
        <xdr:cNvPr id="20" name="直線矢印コネクタ 19">
          <a:extLst>
            <a:ext uri="{FF2B5EF4-FFF2-40B4-BE49-F238E27FC236}">
              <a16:creationId xmlns:a16="http://schemas.microsoft.com/office/drawing/2014/main" id="{55EBC430-3EC2-4F16-9AF9-0C0A0F587751}"/>
            </a:ext>
          </a:extLst>
        </xdr:cNvPr>
        <xdr:cNvCxnSpPr>
          <a:cxnSpLocks/>
          <a:stCxn id="22" idx="2"/>
          <a:endCxn id="17" idx="0"/>
        </xdr:cNvCxnSpPr>
      </xdr:nvCxnSpPr>
      <xdr:spPr>
        <a:xfrm>
          <a:off x="5782809" y="5077337"/>
          <a:ext cx="0" cy="5830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74827</xdr:colOff>
      <xdr:row>29</xdr:row>
      <xdr:rowOff>27400</xdr:rowOff>
    </xdr:from>
    <xdr:to>
      <xdr:col>31</xdr:col>
      <xdr:colOff>115987</xdr:colOff>
      <xdr:row>32</xdr:row>
      <xdr:rowOff>46242</xdr:rowOff>
    </xdr:to>
    <xdr:grpSp>
      <xdr:nvGrpSpPr>
        <xdr:cNvPr id="21" name="グループ化 20">
          <a:extLst>
            <a:ext uri="{FF2B5EF4-FFF2-40B4-BE49-F238E27FC236}">
              <a16:creationId xmlns:a16="http://schemas.microsoft.com/office/drawing/2014/main" id="{6E7192DA-D89A-4AC1-8A3B-871F37F200CE}"/>
            </a:ext>
          </a:extLst>
        </xdr:cNvPr>
        <xdr:cNvGrpSpPr/>
      </xdr:nvGrpSpPr>
      <xdr:grpSpPr>
        <a:xfrm>
          <a:off x="4780177" y="5199475"/>
          <a:ext cx="946035" cy="542717"/>
          <a:chOff x="5337390" y="4451556"/>
          <a:chExt cx="1053191" cy="520785"/>
        </a:xfrm>
      </xdr:grpSpPr>
      <xdr:sp macro="" textlink="">
        <xdr:nvSpPr>
          <xdr:cNvPr id="22" name="フローチャート: 定義済み処理 21">
            <a:extLst>
              <a:ext uri="{FF2B5EF4-FFF2-40B4-BE49-F238E27FC236}">
                <a16:creationId xmlns:a16="http://schemas.microsoft.com/office/drawing/2014/main" id="{F1C841CB-A790-6CEB-4173-CC74AD257F24}"/>
              </a:ext>
            </a:extLst>
          </xdr:cNvPr>
          <xdr:cNvSpPr/>
        </xdr:nvSpPr>
        <xdr:spPr>
          <a:xfrm>
            <a:off x="5379882" y="4473788"/>
            <a:ext cx="941723" cy="47496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15879B2E-14B0-4167-14CA-9CFBBFE4CE8B}"/>
              </a:ext>
            </a:extLst>
          </xdr:cNvPr>
          <xdr:cNvSpPr/>
        </xdr:nvSpPr>
        <xdr:spPr>
          <a:xfrm>
            <a:off x="5337390" y="4451556"/>
            <a:ext cx="1053191"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grpSp>
    <xdr:clientData/>
  </xdr:twoCellAnchor>
  <xdr:twoCellAnchor>
    <xdr:from>
      <xdr:col>31</xdr:col>
      <xdr:colOff>50186</xdr:colOff>
      <xdr:row>30</xdr:row>
      <xdr:rowOff>116706</xdr:rowOff>
    </xdr:from>
    <xdr:to>
      <xdr:col>40</xdr:col>
      <xdr:colOff>133021</xdr:colOff>
      <xdr:row>30</xdr:row>
      <xdr:rowOff>123130</xdr:rowOff>
    </xdr:to>
    <xdr:cxnSp macro="">
      <xdr:nvCxnSpPr>
        <xdr:cNvPr id="24" name="直線矢印コネクタ 23">
          <a:extLst>
            <a:ext uri="{FF2B5EF4-FFF2-40B4-BE49-F238E27FC236}">
              <a16:creationId xmlns:a16="http://schemas.microsoft.com/office/drawing/2014/main" id="{1411CC36-2592-4BEE-8C56-533E2E0495A6}"/>
            </a:ext>
          </a:extLst>
        </xdr:cNvPr>
        <xdr:cNvCxnSpPr>
          <a:stCxn id="22" idx="3"/>
          <a:endCxn id="53" idx="2"/>
        </xdr:cNvCxnSpPr>
      </xdr:nvCxnSpPr>
      <xdr:spPr>
        <a:xfrm flipV="1">
          <a:off x="6247786" y="4831581"/>
          <a:ext cx="1886235" cy="959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178764</xdr:colOff>
      <xdr:row>109</xdr:row>
      <xdr:rowOff>83736</xdr:rowOff>
    </xdr:from>
    <xdr:to>
      <xdr:col>30</xdr:col>
      <xdr:colOff>87369</xdr:colOff>
      <xdr:row>111</xdr:row>
      <xdr:rowOff>15722</xdr:rowOff>
    </xdr:to>
    <xdr:sp macro="" textlink="">
      <xdr:nvSpPr>
        <xdr:cNvPr id="25" name="フローチャート: 端子 26">
          <a:extLst>
            <a:ext uri="{FF2B5EF4-FFF2-40B4-BE49-F238E27FC236}">
              <a16:creationId xmlns:a16="http://schemas.microsoft.com/office/drawing/2014/main" id="{5B622A74-3510-4A1C-BD71-1D476370B001}"/>
            </a:ext>
          </a:extLst>
        </xdr:cNvPr>
        <xdr:cNvSpPr/>
      </xdr:nvSpPr>
      <xdr:spPr>
        <a:xfrm>
          <a:off x="5382589" y="16974736"/>
          <a:ext cx="702355" cy="2685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26</xdr:col>
      <xdr:colOff>170125</xdr:colOff>
      <xdr:row>123</xdr:row>
      <xdr:rowOff>73734</xdr:rowOff>
    </xdr:from>
    <xdr:to>
      <xdr:col>30</xdr:col>
      <xdr:colOff>89857</xdr:colOff>
      <xdr:row>124</xdr:row>
      <xdr:rowOff>163670</xdr:rowOff>
    </xdr:to>
    <xdr:sp macro="" textlink="">
      <xdr:nvSpPr>
        <xdr:cNvPr id="26" name="フローチャート: 端子 26">
          <a:extLst>
            <a:ext uri="{FF2B5EF4-FFF2-40B4-BE49-F238E27FC236}">
              <a16:creationId xmlns:a16="http://schemas.microsoft.com/office/drawing/2014/main" id="{AF9F751A-3719-4A6F-B2F2-61812111C090}"/>
            </a:ext>
          </a:extLst>
        </xdr:cNvPr>
        <xdr:cNvSpPr/>
      </xdr:nvSpPr>
      <xdr:spPr>
        <a:xfrm>
          <a:off x="5370775" y="19361859"/>
          <a:ext cx="716657" cy="25821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133067</xdr:colOff>
      <xdr:row>111</xdr:row>
      <xdr:rowOff>15722</xdr:rowOff>
    </xdr:from>
    <xdr:to>
      <xdr:col>28</xdr:col>
      <xdr:colOff>135785</xdr:colOff>
      <xdr:row>115</xdr:row>
      <xdr:rowOff>60223</xdr:rowOff>
    </xdr:to>
    <xdr:cxnSp macro="">
      <xdr:nvCxnSpPr>
        <xdr:cNvPr id="27" name="直線矢印コネクタ 26">
          <a:extLst>
            <a:ext uri="{FF2B5EF4-FFF2-40B4-BE49-F238E27FC236}">
              <a16:creationId xmlns:a16="http://schemas.microsoft.com/office/drawing/2014/main" id="{6AA96052-9121-4AC8-9E70-1007E4A42320}"/>
            </a:ext>
          </a:extLst>
        </xdr:cNvPr>
        <xdr:cNvCxnSpPr>
          <a:stCxn id="25" idx="2"/>
          <a:endCxn id="123" idx="0"/>
        </xdr:cNvCxnSpPr>
      </xdr:nvCxnSpPr>
      <xdr:spPr>
        <a:xfrm>
          <a:off x="5733767" y="17243272"/>
          <a:ext cx="2718" cy="7334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140113</xdr:colOff>
      <xdr:row>132</xdr:row>
      <xdr:rowOff>83736</xdr:rowOff>
    </xdr:from>
    <xdr:to>
      <xdr:col>30</xdr:col>
      <xdr:colOff>48718</xdr:colOff>
      <xdr:row>134</xdr:row>
      <xdr:rowOff>15722</xdr:rowOff>
    </xdr:to>
    <xdr:sp macro="" textlink="">
      <xdr:nvSpPr>
        <xdr:cNvPr id="28" name="フローチャート: 端子 26">
          <a:extLst>
            <a:ext uri="{FF2B5EF4-FFF2-40B4-BE49-F238E27FC236}">
              <a16:creationId xmlns:a16="http://schemas.microsoft.com/office/drawing/2014/main" id="{F1621F64-C830-4B15-BC37-8029804662C2}"/>
            </a:ext>
          </a:extLst>
        </xdr:cNvPr>
        <xdr:cNvSpPr/>
      </xdr:nvSpPr>
      <xdr:spPr>
        <a:xfrm>
          <a:off x="5343938" y="20918086"/>
          <a:ext cx="702355" cy="2685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145281</xdr:colOff>
      <xdr:row>136</xdr:row>
      <xdr:rowOff>131412</xdr:rowOff>
    </xdr:from>
    <xdr:to>
      <xdr:col>31</xdr:col>
      <xdr:colOff>35611</xdr:colOff>
      <xdr:row>139</xdr:row>
      <xdr:rowOff>160218</xdr:rowOff>
    </xdr:to>
    <xdr:grpSp>
      <xdr:nvGrpSpPr>
        <xdr:cNvPr id="29" name="グループ化 8">
          <a:extLst>
            <a:ext uri="{FF2B5EF4-FFF2-40B4-BE49-F238E27FC236}">
              <a16:creationId xmlns:a16="http://schemas.microsoft.com/office/drawing/2014/main" id="{808952EF-FED6-4B52-9B08-72EBD92BC959}"/>
            </a:ext>
          </a:extLst>
        </xdr:cNvPr>
        <xdr:cNvGrpSpPr/>
      </xdr:nvGrpSpPr>
      <xdr:grpSpPr>
        <a:xfrm>
          <a:off x="4669656" y="24248712"/>
          <a:ext cx="976180" cy="552681"/>
          <a:chOff x="1633113" y="2430783"/>
          <a:chExt cx="908902" cy="422628"/>
        </a:xfrm>
      </xdr:grpSpPr>
      <xdr:sp macro="" textlink="">
        <xdr:nvSpPr>
          <xdr:cNvPr id="30" name="フローチャート: 定義済み処理 9">
            <a:extLst>
              <a:ext uri="{FF2B5EF4-FFF2-40B4-BE49-F238E27FC236}">
                <a16:creationId xmlns:a16="http://schemas.microsoft.com/office/drawing/2014/main" id="{7A4DDB30-9219-F334-F234-CC6A19D0DE3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 name="正方形/長方形 48">
            <a:extLst>
              <a:ext uri="{FF2B5EF4-FFF2-40B4-BE49-F238E27FC236}">
                <a16:creationId xmlns:a16="http://schemas.microsoft.com/office/drawing/2014/main" id="{3C3A6F8D-757A-60A9-5513-8E25A283A125}"/>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利息計上</a:t>
            </a:r>
            <a:endParaRPr kumimoji="1" lang="en-US" altLang="ja-JP" sz="900"/>
          </a:p>
          <a:p>
            <a:pPr algn="ctr"/>
            <a:r>
              <a:rPr kumimoji="1" lang="ja-JP" altLang="ja-JP" sz="900">
                <a:solidFill>
                  <a:schemeClr val="dk1"/>
                </a:solidFill>
                <a:effectLst/>
                <a:latin typeface="+mn-lt"/>
                <a:ea typeface="+mn-ea"/>
                <a:cs typeface="+mn-cs"/>
              </a:rPr>
              <a:t>仕訳の作成</a:t>
            </a:r>
            <a:r>
              <a:rPr kumimoji="1" lang="ja-JP" altLang="en-US" sz="900">
                <a:solidFill>
                  <a:schemeClr val="dk1"/>
                </a:solidFill>
                <a:effectLst/>
                <a:latin typeface="+mn-lt"/>
                <a:ea typeface="+mn-ea"/>
                <a:cs typeface="+mn-cs"/>
              </a:rPr>
              <a:t>・転記</a:t>
            </a:r>
            <a:endParaRPr kumimoji="1" lang="ja-JP" altLang="en-US" sz="900"/>
          </a:p>
        </xdr:txBody>
      </xdr:sp>
    </xdr:grpSp>
    <xdr:clientData/>
  </xdr:twoCellAnchor>
  <xdr:twoCellAnchor>
    <xdr:from>
      <xdr:col>26</xdr:col>
      <xdr:colOff>135040</xdr:colOff>
      <xdr:row>145</xdr:row>
      <xdr:rowOff>128030</xdr:rowOff>
    </xdr:from>
    <xdr:to>
      <xdr:col>30</xdr:col>
      <xdr:colOff>54772</xdr:colOff>
      <xdr:row>147</xdr:row>
      <xdr:rowOff>45411</xdr:rowOff>
    </xdr:to>
    <xdr:sp macro="" textlink="">
      <xdr:nvSpPr>
        <xdr:cNvPr id="32" name="フローチャート: 端子 26">
          <a:extLst>
            <a:ext uri="{FF2B5EF4-FFF2-40B4-BE49-F238E27FC236}">
              <a16:creationId xmlns:a16="http://schemas.microsoft.com/office/drawing/2014/main" id="{6C241BB3-061A-4C91-97E1-7B54A68BF5FD}"/>
            </a:ext>
          </a:extLst>
        </xdr:cNvPr>
        <xdr:cNvSpPr/>
      </xdr:nvSpPr>
      <xdr:spPr>
        <a:xfrm>
          <a:off x="5335690" y="23184880"/>
          <a:ext cx="719832" cy="26663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94416</xdr:colOff>
      <xdr:row>134</xdr:row>
      <xdr:rowOff>15722</xdr:rowOff>
    </xdr:from>
    <xdr:to>
      <xdr:col>28</xdr:col>
      <xdr:colOff>96211</xdr:colOff>
      <xdr:row>136</xdr:row>
      <xdr:rowOff>164245</xdr:rowOff>
    </xdr:to>
    <xdr:cxnSp macro="">
      <xdr:nvCxnSpPr>
        <xdr:cNvPr id="33" name="直線矢印コネクタ 32">
          <a:extLst>
            <a:ext uri="{FF2B5EF4-FFF2-40B4-BE49-F238E27FC236}">
              <a16:creationId xmlns:a16="http://schemas.microsoft.com/office/drawing/2014/main" id="{1DB927D8-D326-41B5-B0BF-A315CE78EF8A}"/>
            </a:ext>
          </a:extLst>
        </xdr:cNvPr>
        <xdr:cNvCxnSpPr>
          <a:stCxn id="28" idx="2"/>
          <a:endCxn id="30" idx="0"/>
        </xdr:cNvCxnSpPr>
      </xdr:nvCxnSpPr>
      <xdr:spPr>
        <a:xfrm>
          <a:off x="5695116" y="21186622"/>
          <a:ext cx="1795" cy="4914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94906</xdr:colOff>
      <xdr:row>139</xdr:row>
      <xdr:rowOff>132453</xdr:rowOff>
    </xdr:from>
    <xdr:to>
      <xdr:col>28</xdr:col>
      <xdr:colOff>96211</xdr:colOff>
      <xdr:row>145</xdr:row>
      <xdr:rowOff>128030</xdr:rowOff>
    </xdr:to>
    <xdr:cxnSp macro="">
      <xdr:nvCxnSpPr>
        <xdr:cNvPr id="34" name="直線矢印コネクタ 33">
          <a:extLst>
            <a:ext uri="{FF2B5EF4-FFF2-40B4-BE49-F238E27FC236}">
              <a16:creationId xmlns:a16="http://schemas.microsoft.com/office/drawing/2014/main" id="{A458B24C-74EC-44C8-8980-E9DBCAA246BE}"/>
            </a:ext>
          </a:extLst>
        </xdr:cNvPr>
        <xdr:cNvCxnSpPr>
          <a:stCxn id="30" idx="2"/>
          <a:endCxn id="32" idx="0"/>
        </xdr:cNvCxnSpPr>
      </xdr:nvCxnSpPr>
      <xdr:spPr>
        <a:xfrm flipH="1">
          <a:off x="5695606" y="22163778"/>
          <a:ext cx="1305" cy="10211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137994</xdr:colOff>
      <xdr:row>175</xdr:row>
      <xdr:rowOff>146538</xdr:rowOff>
    </xdr:from>
    <xdr:to>
      <xdr:col>30</xdr:col>
      <xdr:colOff>47520</xdr:colOff>
      <xdr:row>177</xdr:row>
      <xdr:rowOff>78524</xdr:rowOff>
    </xdr:to>
    <xdr:sp macro="" textlink="">
      <xdr:nvSpPr>
        <xdr:cNvPr id="35" name="フローチャート: 端子 26">
          <a:extLst>
            <a:ext uri="{FF2B5EF4-FFF2-40B4-BE49-F238E27FC236}">
              <a16:creationId xmlns:a16="http://schemas.microsoft.com/office/drawing/2014/main" id="{AA2CD40B-A101-4B22-9C13-C7B2ED69339C}"/>
            </a:ext>
          </a:extLst>
        </xdr:cNvPr>
        <xdr:cNvSpPr/>
      </xdr:nvSpPr>
      <xdr:spPr>
        <a:xfrm>
          <a:off x="5341819" y="28346888"/>
          <a:ext cx="709626"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26</xdr:col>
      <xdr:colOff>133779</xdr:colOff>
      <xdr:row>190</xdr:row>
      <xdr:rowOff>72813</xdr:rowOff>
    </xdr:from>
    <xdr:to>
      <xdr:col>30</xdr:col>
      <xdr:colOff>54432</xdr:colOff>
      <xdr:row>191</xdr:row>
      <xdr:rowOff>162748</xdr:rowOff>
    </xdr:to>
    <xdr:sp macro="" textlink="">
      <xdr:nvSpPr>
        <xdr:cNvPr id="36" name="フローチャート: 端子 26">
          <a:extLst>
            <a:ext uri="{FF2B5EF4-FFF2-40B4-BE49-F238E27FC236}">
              <a16:creationId xmlns:a16="http://schemas.microsoft.com/office/drawing/2014/main" id="{450D8BD2-AC68-4432-931A-19B0BAC6EE03}"/>
            </a:ext>
          </a:extLst>
        </xdr:cNvPr>
        <xdr:cNvSpPr/>
      </xdr:nvSpPr>
      <xdr:spPr>
        <a:xfrm>
          <a:off x="5334429" y="30844913"/>
          <a:ext cx="720753" cy="26138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92757</xdr:colOff>
      <xdr:row>177</xdr:row>
      <xdr:rowOff>78524</xdr:rowOff>
    </xdr:from>
    <xdr:to>
      <xdr:col>28</xdr:col>
      <xdr:colOff>96211</xdr:colOff>
      <xdr:row>180</xdr:row>
      <xdr:rowOff>164245</xdr:rowOff>
    </xdr:to>
    <xdr:cxnSp macro="">
      <xdr:nvCxnSpPr>
        <xdr:cNvPr id="37" name="直線矢印コネクタ 36">
          <a:extLst>
            <a:ext uri="{FF2B5EF4-FFF2-40B4-BE49-F238E27FC236}">
              <a16:creationId xmlns:a16="http://schemas.microsoft.com/office/drawing/2014/main" id="{769D8404-9635-4592-A8B8-D369C13EB9FE}"/>
            </a:ext>
          </a:extLst>
        </xdr:cNvPr>
        <xdr:cNvCxnSpPr>
          <a:cxnSpLocks/>
          <a:stCxn id="35" idx="2"/>
          <a:endCxn id="145" idx="0"/>
        </xdr:cNvCxnSpPr>
      </xdr:nvCxnSpPr>
      <xdr:spPr>
        <a:xfrm>
          <a:off x="5693457" y="28624949"/>
          <a:ext cx="3454" cy="59689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94106</xdr:colOff>
      <xdr:row>183</xdr:row>
      <xdr:rowOff>132453</xdr:rowOff>
    </xdr:from>
    <xdr:to>
      <xdr:col>28</xdr:col>
      <xdr:colOff>96211</xdr:colOff>
      <xdr:row>190</xdr:row>
      <xdr:rowOff>72813</xdr:rowOff>
    </xdr:to>
    <xdr:cxnSp macro="">
      <xdr:nvCxnSpPr>
        <xdr:cNvPr id="38" name="直線矢印コネクタ 37">
          <a:extLst>
            <a:ext uri="{FF2B5EF4-FFF2-40B4-BE49-F238E27FC236}">
              <a16:creationId xmlns:a16="http://schemas.microsoft.com/office/drawing/2014/main" id="{147E674C-E568-404E-9575-91F41C7D2537}"/>
            </a:ext>
          </a:extLst>
        </xdr:cNvPr>
        <xdr:cNvCxnSpPr>
          <a:stCxn id="145" idx="2"/>
          <a:endCxn id="36" idx="0"/>
        </xdr:cNvCxnSpPr>
      </xdr:nvCxnSpPr>
      <xdr:spPr>
        <a:xfrm flipH="1">
          <a:off x="5694806" y="29707578"/>
          <a:ext cx="2105" cy="11373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87500</xdr:colOff>
      <xdr:row>22</xdr:row>
      <xdr:rowOff>141374</xdr:rowOff>
    </xdr:from>
    <xdr:to>
      <xdr:col>31</xdr:col>
      <xdr:colOff>107671</xdr:colOff>
      <xdr:row>26</xdr:row>
      <xdr:rowOff>6868</xdr:rowOff>
    </xdr:to>
    <xdr:grpSp>
      <xdr:nvGrpSpPr>
        <xdr:cNvPr id="39" name="グループ化 11">
          <a:extLst>
            <a:ext uri="{FF2B5EF4-FFF2-40B4-BE49-F238E27FC236}">
              <a16:creationId xmlns:a16="http://schemas.microsoft.com/office/drawing/2014/main" id="{D4C34CEA-718F-4C85-93C2-333B82FF26C8}"/>
            </a:ext>
          </a:extLst>
        </xdr:cNvPr>
        <xdr:cNvGrpSpPr/>
      </xdr:nvGrpSpPr>
      <xdr:grpSpPr>
        <a:xfrm>
          <a:off x="4792850" y="4065674"/>
          <a:ext cx="925046" cy="570344"/>
          <a:chOff x="5350063" y="3402077"/>
          <a:chExt cx="1032202" cy="540459"/>
        </a:xfrm>
      </xdr:grpSpPr>
      <xdr:sp macro="" textlink="">
        <xdr:nvSpPr>
          <xdr:cNvPr id="40" name="正方形/長方形 4">
            <a:extLst>
              <a:ext uri="{FF2B5EF4-FFF2-40B4-BE49-F238E27FC236}">
                <a16:creationId xmlns:a16="http://schemas.microsoft.com/office/drawing/2014/main" id="{854F5DE8-F734-8C66-4D64-4302E3941FFA}"/>
              </a:ext>
            </a:extLst>
          </xdr:cNvPr>
          <xdr:cNvSpPr/>
        </xdr:nvSpPr>
        <xdr:spPr>
          <a:xfrm>
            <a:off x="5407275" y="3466164"/>
            <a:ext cx="893422" cy="401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1" name="正方形/長方形 48">
            <a:extLst>
              <a:ext uri="{FF2B5EF4-FFF2-40B4-BE49-F238E27FC236}">
                <a16:creationId xmlns:a16="http://schemas.microsoft.com/office/drawing/2014/main" id="{F2E75137-401E-E390-4658-4E2670893D81}"/>
              </a:ext>
            </a:extLst>
          </xdr:cNvPr>
          <xdr:cNvSpPr/>
        </xdr:nvSpPr>
        <xdr:spPr>
          <a:xfrm>
            <a:off x="5350063" y="3402077"/>
            <a:ext cx="1032202" cy="5404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grpSp>
    <xdr:clientData/>
  </xdr:twoCellAnchor>
  <xdr:twoCellAnchor>
    <xdr:from>
      <xdr:col>28</xdr:col>
      <xdr:colOff>179532</xdr:colOff>
      <xdr:row>25</xdr:row>
      <xdr:rowOff>102435</xdr:rowOff>
    </xdr:from>
    <xdr:to>
      <xdr:col>28</xdr:col>
      <xdr:colOff>189124</xdr:colOff>
      <xdr:row>29</xdr:row>
      <xdr:rowOff>44663</xdr:rowOff>
    </xdr:to>
    <xdr:cxnSp macro="">
      <xdr:nvCxnSpPr>
        <xdr:cNvPr id="42" name="直線矢印コネクタ 41">
          <a:extLst>
            <a:ext uri="{FF2B5EF4-FFF2-40B4-BE49-F238E27FC236}">
              <a16:creationId xmlns:a16="http://schemas.microsoft.com/office/drawing/2014/main" id="{2CD671DA-CBB3-446A-B27A-5DA5703B6A60}"/>
            </a:ext>
          </a:extLst>
        </xdr:cNvPr>
        <xdr:cNvCxnSpPr>
          <a:cxnSpLocks/>
          <a:endCxn id="22" idx="0"/>
        </xdr:cNvCxnSpPr>
      </xdr:nvCxnSpPr>
      <xdr:spPr>
        <a:xfrm flipH="1">
          <a:off x="5783407" y="3963235"/>
          <a:ext cx="6417" cy="6280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144542</xdr:colOff>
      <xdr:row>17</xdr:row>
      <xdr:rowOff>112610</xdr:rowOff>
    </xdr:from>
    <xdr:to>
      <xdr:col>8</xdr:col>
      <xdr:colOff>14862</xdr:colOff>
      <xdr:row>19</xdr:row>
      <xdr:rowOff>167554</xdr:rowOff>
    </xdr:to>
    <xdr:sp macro="" textlink="">
      <xdr:nvSpPr>
        <xdr:cNvPr id="43" name="正方形/長方形 42">
          <a:extLst>
            <a:ext uri="{FF2B5EF4-FFF2-40B4-BE49-F238E27FC236}">
              <a16:creationId xmlns:a16="http://schemas.microsoft.com/office/drawing/2014/main" id="{B9860265-FE4E-4646-A6A4-C8F8F05A173F}"/>
            </a:ext>
          </a:extLst>
        </xdr:cNvPr>
        <xdr:cNvSpPr/>
      </xdr:nvSpPr>
      <xdr:spPr>
        <a:xfrm>
          <a:off x="741442" y="2598635"/>
          <a:ext cx="870445" cy="39466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xdr:col>
      <xdr:colOff>97990</xdr:colOff>
      <xdr:row>17</xdr:row>
      <xdr:rowOff>31167</xdr:rowOff>
    </xdr:from>
    <xdr:to>
      <xdr:col>8</xdr:col>
      <xdr:colOff>118161</xdr:colOff>
      <xdr:row>20</xdr:row>
      <xdr:rowOff>56443</xdr:rowOff>
    </xdr:to>
    <xdr:sp macro="" textlink="">
      <xdr:nvSpPr>
        <xdr:cNvPr id="44" name="正方形/長方形 48">
          <a:extLst>
            <a:ext uri="{FF2B5EF4-FFF2-40B4-BE49-F238E27FC236}">
              <a16:creationId xmlns:a16="http://schemas.microsoft.com/office/drawing/2014/main" id="{1E0C836D-C40B-4284-9270-7CE546C0FDCF}"/>
            </a:ext>
          </a:extLst>
        </xdr:cNvPr>
        <xdr:cNvSpPr/>
      </xdr:nvSpPr>
      <xdr:spPr>
        <a:xfrm>
          <a:off x="698065" y="2514017"/>
          <a:ext cx="1023471" cy="54280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申請書発行</a:t>
          </a:r>
        </a:p>
      </xdr:txBody>
    </xdr:sp>
    <xdr:clientData/>
  </xdr:twoCellAnchor>
  <xdr:twoCellAnchor>
    <xdr:from>
      <xdr:col>29</xdr:col>
      <xdr:colOff>97655</xdr:colOff>
      <xdr:row>25</xdr:row>
      <xdr:rowOff>8388</xdr:rowOff>
    </xdr:from>
    <xdr:to>
      <xdr:col>34</xdr:col>
      <xdr:colOff>177919</xdr:colOff>
      <xdr:row>27</xdr:row>
      <xdr:rowOff>45279</xdr:rowOff>
    </xdr:to>
    <xdr:grpSp>
      <xdr:nvGrpSpPr>
        <xdr:cNvPr id="45" name="グループ化 44">
          <a:extLst>
            <a:ext uri="{FF2B5EF4-FFF2-40B4-BE49-F238E27FC236}">
              <a16:creationId xmlns:a16="http://schemas.microsoft.com/office/drawing/2014/main" id="{7AB7151F-FA21-4757-A97B-0351E6084EF7}"/>
            </a:ext>
          </a:extLst>
        </xdr:cNvPr>
        <xdr:cNvGrpSpPr>
          <a:grpSpLocks noChangeAspect="1"/>
        </xdr:cNvGrpSpPr>
      </xdr:nvGrpSpPr>
      <xdr:grpSpPr>
        <a:xfrm>
          <a:off x="5345930" y="4456563"/>
          <a:ext cx="985139" cy="398841"/>
          <a:chOff x="2595823" y="18514795"/>
          <a:chExt cx="1182905" cy="417276"/>
        </a:xfrm>
      </xdr:grpSpPr>
      <xdr:sp macro="" textlink="">
        <xdr:nvSpPr>
          <xdr:cNvPr id="46" name="フローチャート: 書類 45">
            <a:extLst>
              <a:ext uri="{FF2B5EF4-FFF2-40B4-BE49-F238E27FC236}">
                <a16:creationId xmlns:a16="http://schemas.microsoft.com/office/drawing/2014/main" id="{E6DB305E-C34D-40E0-1BC2-1A1475611AF2}"/>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54C0772B-F09E-739E-6D8B-19D9890A6FD2}"/>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28</xdr:col>
      <xdr:colOff>129991</xdr:colOff>
      <xdr:row>118</xdr:row>
      <xdr:rowOff>25623</xdr:rowOff>
    </xdr:from>
    <xdr:to>
      <xdr:col>28</xdr:col>
      <xdr:colOff>135785</xdr:colOff>
      <xdr:row>123</xdr:row>
      <xdr:rowOff>73734</xdr:rowOff>
    </xdr:to>
    <xdr:cxnSp macro="">
      <xdr:nvCxnSpPr>
        <xdr:cNvPr id="48" name="直線矢印コネクタ 47">
          <a:extLst>
            <a:ext uri="{FF2B5EF4-FFF2-40B4-BE49-F238E27FC236}">
              <a16:creationId xmlns:a16="http://schemas.microsoft.com/office/drawing/2014/main" id="{D7C6ADBB-6CDD-4BEF-9AB3-72CB8D391B60}"/>
            </a:ext>
          </a:extLst>
        </xdr:cNvPr>
        <xdr:cNvCxnSpPr>
          <a:stCxn id="123" idx="2"/>
          <a:endCxn id="26" idx="0"/>
        </xdr:cNvCxnSpPr>
      </xdr:nvCxnSpPr>
      <xdr:spPr>
        <a:xfrm flipH="1">
          <a:off x="5727516" y="18459673"/>
          <a:ext cx="8969" cy="9021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29276</xdr:colOff>
      <xdr:row>35</xdr:row>
      <xdr:rowOff>28582</xdr:rowOff>
    </xdr:from>
    <xdr:to>
      <xdr:col>45</xdr:col>
      <xdr:colOff>48691</xdr:colOff>
      <xdr:row>38</xdr:row>
      <xdr:rowOff>162744</xdr:rowOff>
    </xdr:to>
    <xdr:grpSp>
      <xdr:nvGrpSpPr>
        <xdr:cNvPr id="49" name="グループ化 48">
          <a:extLst>
            <a:ext uri="{FF2B5EF4-FFF2-40B4-BE49-F238E27FC236}">
              <a16:creationId xmlns:a16="http://schemas.microsoft.com/office/drawing/2014/main" id="{5A5EB5C2-FCFD-4649-9A21-94318FC4C144}"/>
            </a:ext>
          </a:extLst>
        </xdr:cNvPr>
        <xdr:cNvGrpSpPr>
          <a:grpSpLocks noChangeAspect="1"/>
        </xdr:cNvGrpSpPr>
      </xdr:nvGrpSpPr>
      <xdr:grpSpPr>
        <a:xfrm>
          <a:off x="7268276" y="6267457"/>
          <a:ext cx="924290" cy="658037"/>
          <a:chOff x="7112003" y="2892425"/>
          <a:chExt cx="873125" cy="584984"/>
        </a:xfrm>
      </xdr:grpSpPr>
      <xdr:sp macro="" textlink="">
        <xdr:nvSpPr>
          <xdr:cNvPr id="50" name="フローチャート: 磁気ディスク 49">
            <a:extLst>
              <a:ext uri="{FF2B5EF4-FFF2-40B4-BE49-F238E27FC236}">
                <a16:creationId xmlns:a16="http://schemas.microsoft.com/office/drawing/2014/main" id="{B485A659-FF6D-3A03-C483-6B6BB709FC5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1" name="正方形/長方形 50">
            <a:extLst>
              <a:ext uri="{FF2B5EF4-FFF2-40B4-BE49-F238E27FC236}">
                <a16:creationId xmlns:a16="http://schemas.microsoft.com/office/drawing/2014/main" id="{FE11947A-D4BB-E044-95C6-631264D9A8DA}"/>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スケジュール バッチの作成</a:t>
            </a:r>
          </a:p>
        </xdr:txBody>
      </xdr:sp>
    </xdr:grpSp>
    <xdr:clientData/>
  </xdr:twoCellAnchor>
  <xdr:twoCellAnchor>
    <xdr:from>
      <xdr:col>40</xdr:col>
      <xdr:colOff>29986</xdr:colOff>
      <xdr:row>28</xdr:row>
      <xdr:rowOff>164037</xdr:rowOff>
    </xdr:from>
    <xdr:to>
      <xdr:col>45</xdr:col>
      <xdr:colOff>49401</xdr:colOff>
      <xdr:row>32</xdr:row>
      <xdr:rowOff>122515</xdr:rowOff>
    </xdr:to>
    <xdr:grpSp>
      <xdr:nvGrpSpPr>
        <xdr:cNvPr id="52" name="グループ化 51">
          <a:extLst>
            <a:ext uri="{FF2B5EF4-FFF2-40B4-BE49-F238E27FC236}">
              <a16:creationId xmlns:a16="http://schemas.microsoft.com/office/drawing/2014/main" id="{25CAB137-6E15-4021-8E75-CA874DEB6AC0}"/>
            </a:ext>
          </a:extLst>
        </xdr:cNvPr>
        <xdr:cNvGrpSpPr>
          <a:grpSpLocks noChangeAspect="1"/>
        </xdr:cNvGrpSpPr>
      </xdr:nvGrpSpPr>
      <xdr:grpSpPr>
        <a:xfrm>
          <a:off x="7268986" y="5155137"/>
          <a:ext cx="924290" cy="663328"/>
          <a:chOff x="7112003" y="2892425"/>
          <a:chExt cx="873125" cy="584984"/>
        </a:xfrm>
      </xdr:grpSpPr>
      <xdr:sp macro="" textlink="">
        <xdr:nvSpPr>
          <xdr:cNvPr id="53" name="フローチャート: 磁気ディスク 52">
            <a:extLst>
              <a:ext uri="{FF2B5EF4-FFF2-40B4-BE49-F238E27FC236}">
                <a16:creationId xmlns:a16="http://schemas.microsoft.com/office/drawing/2014/main" id="{E2B697E9-ACD0-D365-D00C-C1B78FC917E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4" name="正方形/長方形 53">
            <a:extLst>
              <a:ext uri="{FF2B5EF4-FFF2-40B4-BE49-F238E27FC236}">
                <a16:creationId xmlns:a16="http://schemas.microsoft.com/office/drawing/2014/main" id="{23D4E53B-0E61-5725-F2D1-E1291B2F19E1}"/>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endParaRPr kumimoji="1" lang="en-US" altLang="ja-JP" sz="900"/>
          </a:p>
          <a:p>
            <a:pPr algn="ctr"/>
            <a:r>
              <a:rPr kumimoji="1" lang="ja-JP" altLang="en-US" sz="900"/>
              <a:t>（マスタ）</a:t>
            </a:r>
          </a:p>
        </xdr:txBody>
      </xdr:sp>
    </xdr:grpSp>
    <xdr:clientData/>
  </xdr:twoCellAnchor>
  <xdr:twoCellAnchor>
    <xdr:from>
      <xdr:col>26</xdr:col>
      <xdr:colOff>132604</xdr:colOff>
      <xdr:row>102</xdr:row>
      <xdr:rowOff>124813</xdr:rowOff>
    </xdr:from>
    <xdr:to>
      <xdr:col>30</xdr:col>
      <xdr:colOff>37382</xdr:colOff>
      <xdr:row>104</xdr:row>
      <xdr:rowOff>30446</xdr:rowOff>
    </xdr:to>
    <xdr:sp macro="" textlink="">
      <xdr:nvSpPr>
        <xdr:cNvPr id="55" name="フローチャート: 端子 26">
          <a:extLst>
            <a:ext uri="{FF2B5EF4-FFF2-40B4-BE49-F238E27FC236}">
              <a16:creationId xmlns:a16="http://schemas.microsoft.com/office/drawing/2014/main" id="{28DE110C-B53B-49DD-89B0-34A4DCE2B30C}"/>
            </a:ext>
          </a:extLst>
        </xdr:cNvPr>
        <xdr:cNvSpPr/>
      </xdr:nvSpPr>
      <xdr:spPr>
        <a:xfrm>
          <a:off x="5333254" y="17698438"/>
          <a:ext cx="704878" cy="2485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26</xdr:col>
      <xdr:colOff>82778</xdr:colOff>
      <xdr:row>230</xdr:row>
      <xdr:rowOff>146538</xdr:rowOff>
    </xdr:from>
    <xdr:to>
      <xdr:col>29</xdr:col>
      <xdr:colOff>192467</xdr:colOff>
      <xdr:row>232</xdr:row>
      <xdr:rowOff>78524</xdr:rowOff>
    </xdr:to>
    <xdr:sp macro="" textlink="">
      <xdr:nvSpPr>
        <xdr:cNvPr id="57" name="フローチャート: 端子 26">
          <a:extLst>
            <a:ext uri="{FF2B5EF4-FFF2-40B4-BE49-F238E27FC236}">
              <a16:creationId xmlns:a16="http://schemas.microsoft.com/office/drawing/2014/main" id="{344B765C-4B41-41C4-89D5-3193D3258022}"/>
            </a:ext>
          </a:extLst>
        </xdr:cNvPr>
        <xdr:cNvSpPr/>
      </xdr:nvSpPr>
      <xdr:spPr>
        <a:xfrm>
          <a:off x="5286603" y="37776638"/>
          <a:ext cx="706589"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24</xdr:col>
      <xdr:colOff>95797</xdr:colOff>
      <xdr:row>234</xdr:row>
      <xdr:rowOff>86569</xdr:rowOff>
    </xdr:from>
    <xdr:to>
      <xdr:col>31</xdr:col>
      <xdr:colOff>179171</xdr:colOff>
      <xdr:row>238</xdr:row>
      <xdr:rowOff>46185</xdr:rowOff>
    </xdr:to>
    <xdr:grpSp>
      <xdr:nvGrpSpPr>
        <xdr:cNvPr id="58" name="グループ化 57">
          <a:extLst>
            <a:ext uri="{FF2B5EF4-FFF2-40B4-BE49-F238E27FC236}">
              <a16:creationId xmlns:a16="http://schemas.microsoft.com/office/drawing/2014/main" id="{F6E54093-FACD-4C62-85C3-6C83D87DAAAD}"/>
            </a:ext>
          </a:extLst>
        </xdr:cNvPr>
        <xdr:cNvGrpSpPr/>
      </xdr:nvGrpSpPr>
      <xdr:grpSpPr>
        <a:xfrm>
          <a:off x="4439197" y="41491744"/>
          <a:ext cx="1350199" cy="664466"/>
          <a:chOff x="4950055" y="37349957"/>
          <a:chExt cx="1498939" cy="626366"/>
        </a:xfrm>
      </xdr:grpSpPr>
      <xdr:sp macro="" textlink="">
        <xdr:nvSpPr>
          <xdr:cNvPr id="59" name="フローチャート: 定義済み処理 9">
            <a:extLst>
              <a:ext uri="{FF2B5EF4-FFF2-40B4-BE49-F238E27FC236}">
                <a16:creationId xmlns:a16="http://schemas.microsoft.com/office/drawing/2014/main" id="{7D3D2A73-6643-0CAB-D820-C335A069DDAF}"/>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0" name="正方形/長方形 48">
            <a:extLst>
              <a:ext uri="{FF2B5EF4-FFF2-40B4-BE49-F238E27FC236}">
                <a16:creationId xmlns:a16="http://schemas.microsoft.com/office/drawing/2014/main" id="{EDD7A910-9E8D-4B78-062B-F71960C4608D}"/>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grpSp>
    <xdr:clientData/>
  </xdr:twoCellAnchor>
  <xdr:twoCellAnchor>
    <xdr:from>
      <xdr:col>30</xdr:col>
      <xdr:colOff>122887</xdr:colOff>
      <xdr:row>236</xdr:row>
      <xdr:rowOff>41354</xdr:rowOff>
    </xdr:from>
    <xdr:to>
      <xdr:col>40</xdr:col>
      <xdr:colOff>152283</xdr:colOff>
      <xdr:row>236</xdr:row>
      <xdr:rowOff>48887</xdr:rowOff>
    </xdr:to>
    <xdr:cxnSp macro="">
      <xdr:nvCxnSpPr>
        <xdr:cNvPr id="61" name="直線矢印コネクタ 60">
          <a:extLst>
            <a:ext uri="{FF2B5EF4-FFF2-40B4-BE49-F238E27FC236}">
              <a16:creationId xmlns:a16="http://schemas.microsoft.com/office/drawing/2014/main" id="{84353444-4174-4417-AFC6-74D782E2E137}"/>
            </a:ext>
          </a:extLst>
        </xdr:cNvPr>
        <xdr:cNvCxnSpPr>
          <a:stCxn id="59" idx="3"/>
          <a:endCxn id="65" idx="2"/>
        </xdr:cNvCxnSpPr>
      </xdr:nvCxnSpPr>
      <xdr:spPr>
        <a:xfrm flipV="1">
          <a:off x="6126812" y="38706504"/>
          <a:ext cx="2026471"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140678</xdr:colOff>
      <xdr:row>260</xdr:row>
      <xdr:rowOff>31400</xdr:rowOff>
    </xdr:from>
    <xdr:to>
      <xdr:col>30</xdr:col>
      <xdr:colOff>61331</xdr:colOff>
      <xdr:row>261</xdr:row>
      <xdr:rowOff>121336</xdr:rowOff>
    </xdr:to>
    <xdr:sp macro="" textlink="">
      <xdr:nvSpPr>
        <xdr:cNvPr id="62" name="フローチャート: 端子 26">
          <a:extLst>
            <a:ext uri="{FF2B5EF4-FFF2-40B4-BE49-F238E27FC236}">
              <a16:creationId xmlns:a16="http://schemas.microsoft.com/office/drawing/2014/main" id="{9EF3E819-9160-46DE-BA5C-D83CD73B88C7}"/>
            </a:ext>
          </a:extLst>
        </xdr:cNvPr>
        <xdr:cNvSpPr/>
      </xdr:nvSpPr>
      <xdr:spPr>
        <a:xfrm>
          <a:off x="5344503" y="42805000"/>
          <a:ext cx="720753" cy="2677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232</xdr:row>
      <xdr:rowOff>78524</xdr:rowOff>
    </xdr:from>
    <xdr:to>
      <xdr:col>28</xdr:col>
      <xdr:colOff>38186</xdr:colOff>
      <xdr:row>234</xdr:row>
      <xdr:rowOff>152868</xdr:rowOff>
    </xdr:to>
    <xdr:cxnSp macro="">
      <xdr:nvCxnSpPr>
        <xdr:cNvPr id="63" name="直線矢印コネクタ 62">
          <a:extLst>
            <a:ext uri="{FF2B5EF4-FFF2-40B4-BE49-F238E27FC236}">
              <a16:creationId xmlns:a16="http://schemas.microsoft.com/office/drawing/2014/main" id="{33E635EB-E24E-4559-B9B2-93679BAEE892}"/>
            </a:ext>
          </a:extLst>
        </xdr:cNvPr>
        <xdr:cNvCxnSpPr>
          <a:stCxn id="57" idx="2"/>
          <a:endCxn id="59" idx="0"/>
        </xdr:cNvCxnSpPr>
      </xdr:nvCxnSpPr>
      <xdr:spPr>
        <a:xfrm flipH="1">
          <a:off x="5632050" y="38054699"/>
          <a:ext cx="6836"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45044</xdr:colOff>
      <xdr:row>234</xdr:row>
      <xdr:rowOff>88389</xdr:rowOff>
    </xdr:from>
    <xdr:to>
      <xdr:col>45</xdr:col>
      <xdr:colOff>67634</xdr:colOff>
      <xdr:row>238</xdr:row>
      <xdr:rowOff>50044</xdr:rowOff>
    </xdr:to>
    <xdr:grpSp>
      <xdr:nvGrpSpPr>
        <xdr:cNvPr id="64" name="グループ化 63">
          <a:extLst>
            <a:ext uri="{FF2B5EF4-FFF2-40B4-BE49-F238E27FC236}">
              <a16:creationId xmlns:a16="http://schemas.microsoft.com/office/drawing/2014/main" id="{7E1737DF-52A1-46DD-BA42-9264493228F0}"/>
            </a:ext>
          </a:extLst>
        </xdr:cNvPr>
        <xdr:cNvGrpSpPr>
          <a:grpSpLocks noChangeAspect="1"/>
        </xdr:cNvGrpSpPr>
      </xdr:nvGrpSpPr>
      <xdr:grpSpPr>
        <a:xfrm>
          <a:off x="7284044" y="41493564"/>
          <a:ext cx="927465" cy="666505"/>
          <a:chOff x="7112003" y="2892425"/>
          <a:chExt cx="873125" cy="584984"/>
        </a:xfrm>
      </xdr:grpSpPr>
      <xdr:sp macro="" textlink="">
        <xdr:nvSpPr>
          <xdr:cNvPr id="65" name="フローチャート: 磁気ディスク 64">
            <a:extLst>
              <a:ext uri="{FF2B5EF4-FFF2-40B4-BE49-F238E27FC236}">
                <a16:creationId xmlns:a16="http://schemas.microsoft.com/office/drawing/2014/main" id="{160DCAEC-8F57-2661-7ABB-C5CDFE7C3A0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6" name="正方形/長方形 65">
            <a:extLst>
              <a:ext uri="{FF2B5EF4-FFF2-40B4-BE49-F238E27FC236}">
                <a16:creationId xmlns:a16="http://schemas.microsoft.com/office/drawing/2014/main" id="{06B52C80-8C3C-7A1B-02F2-EB9B7E3AEEC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（マスタ）</a:t>
            </a:r>
          </a:p>
        </xdr:txBody>
      </xdr:sp>
    </xdr:grpSp>
    <xdr:clientData/>
  </xdr:twoCellAnchor>
  <xdr:twoCellAnchor>
    <xdr:from>
      <xdr:col>28</xdr:col>
      <xdr:colOff>33421</xdr:colOff>
      <xdr:row>237</xdr:row>
      <xdr:rowOff>122845</xdr:rowOff>
    </xdr:from>
    <xdr:to>
      <xdr:col>28</xdr:col>
      <xdr:colOff>39172</xdr:colOff>
      <xdr:row>240</xdr:row>
      <xdr:rowOff>157894</xdr:rowOff>
    </xdr:to>
    <xdr:cxnSp macro="">
      <xdr:nvCxnSpPr>
        <xdr:cNvPr id="67" name="直線矢印コネクタ 66">
          <a:extLst>
            <a:ext uri="{FF2B5EF4-FFF2-40B4-BE49-F238E27FC236}">
              <a16:creationId xmlns:a16="http://schemas.microsoft.com/office/drawing/2014/main" id="{A471613D-290F-4159-BB7D-243912596A89}"/>
            </a:ext>
          </a:extLst>
        </xdr:cNvPr>
        <xdr:cNvCxnSpPr>
          <a:cxnSpLocks/>
          <a:stCxn id="59" idx="2"/>
          <a:endCxn id="69" idx="0"/>
        </xdr:cNvCxnSpPr>
      </xdr:nvCxnSpPr>
      <xdr:spPr>
        <a:xfrm>
          <a:off x="5630946" y="38959445"/>
          <a:ext cx="8926" cy="54939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88079</xdr:colOff>
      <xdr:row>240</xdr:row>
      <xdr:rowOff>124121</xdr:rowOff>
    </xdr:from>
    <xdr:to>
      <xdr:col>30</xdr:col>
      <xdr:colOff>182664</xdr:colOff>
      <xdr:row>243</xdr:row>
      <xdr:rowOff>149751</xdr:rowOff>
    </xdr:to>
    <xdr:grpSp>
      <xdr:nvGrpSpPr>
        <xdr:cNvPr id="68" name="グループ化 8">
          <a:extLst>
            <a:ext uri="{FF2B5EF4-FFF2-40B4-BE49-F238E27FC236}">
              <a16:creationId xmlns:a16="http://schemas.microsoft.com/office/drawing/2014/main" id="{77B2406D-17F5-4912-A6E9-1D2D9D9EF1DD}"/>
            </a:ext>
          </a:extLst>
        </xdr:cNvPr>
        <xdr:cNvGrpSpPr/>
      </xdr:nvGrpSpPr>
      <xdr:grpSpPr>
        <a:xfrm>
          <a:off x="4612454" y="42596096"/>
          <a:ext cx="999460" cy="549505"/>
          <a:chOff x="1633015" y="2430783"/>
          <a:chExt cx="908902" cy="422628"/>
        </a:xfrm>
      </xdr:grpSpPr>
      <xdr:sp macro="" textlink="">
        <xdr:nvSpPr>
          <xdr:cNvPr id="69" name="フローチャート: 定義済み処理 9">
            <a:extLst>
              <a:ext uri="{FF2B5EF4-FFF2-40B4-BE49-F238E27FC236}">
                <a16:creationId xmlns:a16="http://schemas.microsoft.com/office/drawing/2014/main" id="{ABC59E20-9EF6-2FA6-9AF2-BBE330FC7238}"/>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0" name="正方形/長方形 48">
            <a:extLst>
              <a:ext uri="{FF2B5EF4-FFF2-40B4-BE49-F238E27FC236}">
                <a16:creationId xmlns:a16="http://schemas.microsoft.com/office/drawing/2014/main" id="{AB3B9C0D-1756-B45E-0344-8C90B54D2A6D}"/>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endParaRPr kumimoji="1" lang="en-US" altLang="ja-JP" sz="900"/>
          </a:p>
          <a:p>
            <a:pPr algn="ctr"/>
            <a:r>
              <a:rPr kumimoji="1" lang="ja-JP" altLang="en-US" sz="900"/>
              <a:t>承認依頼</a:t>
            </a:r>
          </a:p>
        </xdr:txBody>
      </xdr:sp>
    </xdr:grpSp>
    <xdr:clientData/>
  </xdr:twoCellAnchor>
  <xdr:twoCellAnchor>
    <xdr:from>
      <xdr:col>30</xdr:col>
      <xdr:colOff>130977</xdr:colOff>
      <xdr:row>242</xdr:row>
      <xdr:rowOff>50195</xdr:rowOff>
    </xdr:from>
    <xdr:to>
      <xdr:col>40</xdr:col>
      <xdr:colOff>135078</xdr:colOff>
      <xdr:row>242</xdr:row>
      <xdr:rowOff>51606</xdr:rowOff>
    </xdr:to>
    <xdr:cxnSp macro="">
      <xdr:nvCxnSpPr>
        <xdr:cNvPr id="71" name="直線矢印コネクタ 70">
          <a:extLst>
            <a:ext uri="{FF2B5EF4-FFF2-40B4-BE49-F238E27FC236}">
              <a16:creationId xmlns:a16="http://schemas.microsoft.com/office/drawing/2014/main" id="{C8C319E1-E41B-4DD2-8E74-C706FE38AFE4}"/>
            </a:ext>
          </a:extLst>
        </xdr:cNvPr>
        <xdr:cNvCxnSpPr>
          <a:stCxn id="69" idx="3"/>
          <a:endCxn id="73" idx="2"/>
        </xdr:cNvCxnSpPr>
      </xdr:nvCxnSpPr>
      <xdr:spPr>
        <a:xfrm flipV="1">
          <a:off x="6131727" y="39737695"/>
          <a:ext cx="2004351" cy="141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27008</xdr:colOff>
      <xdr:row>240</xdr:row>
      <xdr:rowOff>97263</xdr:rowOff>
    </xdr:from>
    <xdr:to>
      <xdr:col>45</xdr:col>
      <xdr:colOff>46423</xdr:colOff>
      <xdr:row>244</xdr:row>
      <xdr:rowOff>55742</xdr:rowOff>
    </xdr:to>
    <xdr:grpSp>
      <xdr:nvGrpSpPr>
        <xdr:cNvPr id="72" name="グループ化 71">
          <a:extLst>
            <a:ext uri="{FF2B5EF4-FFF2-40B4-BE49-F238E27FC236}">
              <a16:creationId xmlns:a16="http://schemas.microsoft.com/office/drawing/2014/main" id="{FFA17EA5-8E5A-49E1-878A-D045C5B8ACEF}"/>
            </a:ext>
          </a:extLst>
        </xdr:cNvPr>
        <xdr:cNvGrpSpPr>
          <a:grpSpLocks noChangeAspect="1"/>
        </xdr:cNvGrpSpPr>
      </xdr:nvGrpSpPr>
      <xdr:grpSpPr>
        <a:xfrm>
          <a:off x="7266008" y="42569238"/>
          <a:ext cx="924290" cy="653804"/>
          <a:chOff x="7112003" y="2892425"/>
          <a:chExt cx="873125" cy="584984"/>
        </a:xfrm>
      </xdr:grpSpPr>
      <xdr:sp macro="" textlink="">
        <xdr:nvSpPr>
          <xdr:cNvPr id="73" name="フローチャート: 磁気ディスク 72">
            <a:extLst>
              <a:ext uri="{FF2B5EF4-FFF2-40B4-BE49-F238E27FC236}">
                <a16:creationId xmlns:a16="http://schemas.microsoft.com/office/drawing/2014/main" id="{1BC88F73-03A0-5C10-17AD-2058511AAAB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4" name="正方形/長方形 73">
            <a:extLst>
              <a:ext uri="{FF2B5EF4-FFF2-40B4-BE49-F238E27FC236}">
                <a16:creationId xmlns:a16="http://schemas.microsoft.com/office/drawing/2014/main" id="{4E856168-D723-96E0-4E6A-A259496FC30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28</xdr:col>
      <xdr:colOff>178023</xdr:colOff>
      <xdr:row>38</xdr:row>
      <xdr:rowOff>53926</xdr:rowOff>
    </xdr:from>
    <xdr:to>
      <xdr:col>28</xdr:col>
      <xdr:colOff>187043</xdr:colOff>
      <xdr:row>41</xdr:row>
      <xdr:rowOff>56444</xdr:rowOff>
    </xdr:to>
    <xdr:cxnSp macro="">
      <xdr:nvCxnSpPr>
        <xdr:cNvPr id="75" name="直線矢印コネクタ 74">
          <a:extLst>
            <a:ext uri="{FF2B5EF4-FFF2-40B4-BE49-F238E27FC236}">
              <a16:creationId xmlns:a16="http://schemas.microsoft.com/office/drawing/2014/main" id="{3FEAE5A0-F54E-4223-9595-FACF8530AEBA}"/>
            </a:ext>
          </a:extLst>
        </xdr:cNvPr>
        <xdr:cNvCxnSpPr>
          <a:stCxn id="17" idx="2"/>
          <a:endCxn id="77" idx="0"/>
        </xdr:cNvCxnSpPr>
      </xdr:nvCxnSpPr>
      <xdr:spPr>
        <a:xfrm flipH="1">
          <a:off x="5781898" y="6137226"/>
          <a:ext cx="2670" cy="52004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333</xdr:colOff>
      <xdr:row>41</xdr:row>
      <xdr:rowOff>56444</xdr:rowOff>
    </xdr:from>
    <xdr:to>
      <xdr:col>32</xdr:col>
      <xdr:colOff>197822</xdr:colOff>
      <xdr:row>45</xdr:row>
      <xdr:rowOff>25732</xdr:rowOff>
    </xdr:to>
    <xdr:grpSp>
      <xdr:nvGrpSpPr>
        <xdr:cNvPr id="76" name="グループ化 75">
          <a:extLst>
            <a:ext uri="{FF2B5EF4-FFF2-40B4-BE49-F238E27FC236}">
              <a16:creationId xmlns:a16="http://schemas.microsoft.com/office/drawing/2014/main" id="{12CD2CC7-5EE2-4C2D-AB5E-C929BB486779}"/>
            </a:ext>
          </a:extLst>
        </xdr:cNvPr>
        <xdr:cNvGrpSpPr/>
      </xdr:nvGrpSpPr>
      <xdr:grpSpPr>
        <a:xfrm>
          <a:off x="4524708" y="7362119"/>
          <a:ext cx="1445264" cy="674138"/>
          <a:chOff x="328663" y="4845050"/>
          <a:chExt cx="1227665" cy="646622"/>
        </a:xfrm>
      </xdr:grpSpPr>
      <xdr:sp macro="" textlink="">
        <xdr:nvSpPr>
          <xdr:cNvPr id="77" name="フローチャート: 判断 76">
            <a:extLst>
              <a:ext uri="{FF2B5EF4-FFF2-40B4-BE49-F238E27FC236}">
                <a16:creationId xmlns:a16="http://schemas.microsoft.com/office/drawing/2014/main" id="{856FB40B-5A47-00D8-FB68-02C58E79E890}"/>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8" name="正方形/長方形 48">
            <a:extLst>
              <a:ext uri="{FF2B5EF4-FFF2-40B4-BE49-F238E27FC236}">
                <a16:creationId xmlns:a16="http://schemas.microsoft.com/office/drawing/2014/main" id="{32CD6A1C-F882-4A97-A8CC-0D662A88F6CE}"/>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300</a:t>
            </a:r>
            <a:r>
              <a:rPr kumimoji="1" lang="ja-JP" altLang="en-US" sz="900"/>
              <a:t>万以上か？</a:t>
            </a:r>
            <a:endParaRPr kumimoji="1" lang="en-US" altLang="ja-JP" sz="900"/>
          </a:p>
          <a:p>
            <a:pPr algn="ctr"/>
            <a:r>
              <a:rPr kumimoji="1" lang="ja-JP" altLang="en-US" sz="900"/>
              <a:t>（ファイナンスリース）</a:t>
            </a:r>
          </a:p>
        </xdr:txBody>
      </xdr:sp>
    </xdr:grpSp>
    <xdr:clientData/>
  </xdr:twoCellAnchor>
  <xdr:twoCellAnchor>
    <xdr:from>
      <xdr:col>26</xdr:col>
      <xdr:colOff>26573</xdr:colOff>
      <xdr:row>48</xdr:row>
      <xdr:rowOff>83050</xdr:rowOff>
    </xdr:from>
    <xdr:to>
      <xdr:col>31</xdr:col>
      <xdr:colOff>123184</xdr:colOff>
      <xdr:row>51</xdr:row>
      <xdr:rowOff>116714</xdr:rowOff>
    </xdr:to>
    <xdr:grpSp>
      <xdr:nvGrpSpPr>
        <xdr:cNvPr id="79" name="グループ化 8">
          <a:extLst>
            <a:ext uri="{FF2B5EF4-FFF2-40B4-BE49-F238E27FC236}">
              <a16:creationId xmlns:a16="http://schemas.microsoft.com/office/drawing/2014/main" id="{481B200C-CDDF-4B9F-B9E4-437A7BAC7456}"/>
            </a:ext>
          </a:extLst>
        </xdr:cNvPr>
        <xdr:cNvGrpSpPr/>
      </xdr:nvGrpSpPr>
      <xdr:grpSpPr>
        <a:xfrm>
          <a:off x="4731923" y="8636500"/>
          <a:ext cx="1001486" cy="557539"/>
          <a:chOff x="1653542" y="2416116"/>
          <a:chExt cx="908902" cy="420662"/>
        </a:xfrm>
      </xdr:grpSpPr>
      <xdr:sp macro="" textlink="">
        <xdr:nvSpPr>
          <xdr:cNvPr id="80" name="フローチャート: 定義済み処理 9">
            <a:extLst>
              <a:ext uri="{FF2B5EF4-FFF2-40B4-BE49-F238E27FC236}">
                <a16:creationId xmlns:a16="http://schemas.microsoft.com/office/drawing/2014/main" id="{16B03105-E81D-8F31-D002-1A9990E8C823}"/>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1" name="正方形/長方形 48">
            <a:extLst>
              <a:ext uri="{FF2B5EF4-FFF2-40B4-BE49-F238E27FC236}">
                <a16:creationId xmlns:a16="http://schemas.microsoft.com/office/drawing/2014/main" id="{337973F6-322F-CC3F-7972-C2C6D04687C7}"/>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5.</a:t>
            </a:r>
            <a:r>
              <a:rPr kumimoji="1" lang="ja-JP" altLang="en-US" sz="900"/>
              <a:t>不要な</a:t>
            </a:r>
            <a:endParaRPr kumimoji="1" lang="en-US" altLang="ja-JP" sz="900"/>
          </a:p>
          <a:p>
            <a:pPr algn="ctr"/>
            <a:r>
              <a:rPr kumimoji="1" lang="ja-JP" altLang="en-US" sz="900"/>
              <a:t>帳簿の削除</a:t>
            </a:r>
          </a:p>
        </xdr:txBody>
      </xdr:sp>
    </xdr:grpSp>
    <xdr:clientData/>
  </xdr:twoCellAnchor>
  <xdr:twoCellAnchor>
    <xdr:from>
      <xdr:col>28</xdr:col>
      <xdr:colOff>179570</xdr:colOff>
      <xdr:row>45</xdr:row>
      <xdr:rowOff>25732</xdr:rowOff>
    </xdr:from>
    <xdr:to>
      <xdr:col>28</xdr:col>
      <xdr:colOff>181479</xdr:colOff>
      <xdr:row>48</xdr:row>
      <xdr:rowOff>138357</xdr:rowOff>
    </xdr:to>
    <xdr:cxnSp macro="">
      <xdr:nvCxnSpPr>
        <xdr:cNvPr id="82" name="直線矢印コネクタ 81">
          <a:extLst>
            <a:ext uri="{FF2B5EF4-FFF2-40B4-BE49-F238E27FC236}">
              <a16:creationId xmlns:a16="http://schemas.microsoft.com/office/drawing/2014/main" id="{1ECAD09A-96C4-40A4-8B48-B00B08B4F8E2}"/>
            </a:ext>
          </a:extLst>
        </xdr:cNvPr>
        <xdr:cNvCxnSpPr>
          <a:stCxn id="77" idx="2"/>
          <a:endCxn id="80" idx="0"/>
        </xdr:cNvCxnSpPr>
      </xdr:nvCxnSpPr>
      <xdr:spPr>
        <a:xfrm>
          <a:off x="5783445" y="7315532"/>
          <a:ext cx="0" cy="6269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55218</xdr:colOff>
      <xdr:row>48</xdr:row>
      <xdr:rowOff>107261</xdr:rowOff>
    </xdr:from>
    <xdr:to>
      <xdr:col>44</xdr:col>
      <xdr:colOff>180058</xdr:colOff>
      <xdr:row>52</xdr:row>
      <xdr:rowOff>10490</xdr:rowOff>
    </xdr:to>
    <xdr:grpSp>
      <xdr:nvGrpSpPr>
        <xdr:cNvPr id="83" name="グループ化 82">
          <a:extLst>
            <a:ext uri="{FF2B5EF4-FFF2-40B4-BE49-F238E27FC236}">
              <a16:creationId xmlns:a16="http://schemas.microsoft.com/office/drawing/2014/main" id="{D4503D2C-073B-4034-AFF2-9DE98DB024A9}"/>
            </a:ext>
          </a:extLst>
        </xdr:cNvPr>
        <xdr:cNvGrpSpPr>
          <a:grpSpLocks noChangeAspect="1"/>
        </xdr:cNvGrpSpPr>
      </xdr:nvGrpSpPr>
      <xdr:grpSpPr>
        <a:xfrm>
          <a:off x="7294218" y="8660711"/>
          <a:ext cx="848740" cy="598554"/>
          <a:chOff x="7112003" y="2892425"/>
          <a:chExt cx="873125" cy="584984"/>
        </a:xfrm>
      </xdr:grpSpPr>
      <xdr:sp macro="" textlink="">
        <xdr:nvSpPr>
          <xdr:cNvPr id="84" name="フローチャート: 磁気ディスク 83">
            <a:extLst>
              <a:ext uri="{FF2B5EF4-FFF2-40B4-BE49-F238E27FC236}">
                <a16:creationId xmlns:a16="http://schemas.microsoft.com/office/drawing/2014/main" id="{9E6CCCAB-1099-4D54-018E-F8731A96A1B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5" name="正方形/長方形 84">
            <a:extLst>
              <a:ext uri="{FF2B5EF4-FFF2-40B4-BE49-F238E27FC236}">
                <a16:creationId xmlns:a16="http://schemas.microsoft.com/office/drawing/2014/main" id="{80A111DA-96D9-879A-8C96-B6FD28ADD56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（マスタ）</a:t>
            </a:r>
          </a:p>
        </xdr:txBody>
      </xdr:sp>
    </xdr:grpSp>
    <xdr:clientData/>
  </xdr:twoCellAnchor>
  <xdr:twoCellAnchor>
    <xdr:from>
      <xdr:col>31</xdr:col>
      <xdr:colOff>73843</xdr:colOff>
      <xdr:row>50</xdr:row>
      <xdr:rowOff>35292</xdr:rowOff>
    </xdr:from>
    <xdr:to>
      <xdr:col>40</xdr:col>
      <xdr:colOff>153758</xdr:colOff>
      <xdr:row>50</xdr:row>
      <xdr:rowOff>41242</xdr:rowOff>
    </xdr:to>
    <xdr:cxnSp macro="">
      <xdr:nvCxnSpPr>
        <xdr:cNvPr id="86" name="直線矢印コネクタ 85">
          <a:extLst>
            <a:ext uri="{FF2B5EF4-FFF2-40B4-BE49-F238E27FC236}">
              <a16:creationId xmlns:a16="http://schemas.microsoft.com/office/drawing/2014/main" id="{78140CF0-5232-472A-ACA3-32CE0B5B6727}"/>
            </a:ext>
          </a:extLst>
        </xdr:cNvPr>
        <xdr:cNvCxnSpPr>
          <a:stCxn id="80" idx="3"/>
          <a:endCxn id="84" idx="2"/>
        </xdr:cNvCxnSpPr>
      </xdr:nvCxnSpPr>
      <xdr:spPr>
        <a:xfrm flipV="1">
          <a:off x="6274618" y="8179167"/>
          <a:ext cx="1880140" cy="595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179257</xdr:colOff>
      <xdr:row>51</xdr:row>
      <xdr:rowOff>116714</xdr:rowOff>
    </xdr:from>
    <xdr:to>
      <xdr:col>28</xdr:col>
      <xdr:colOff>183228</xdr:colOff>
      <xdr:row>58</xdr:row>
      <xdr:rowOff>73597</xdr:rowOff>
    </xdr:to>
    <xdr:cxnSp macro="">
      <xdr:nvCxnSpPr>
        <xdr:cNvPr id="87" name="直線矢印コネクタ 86">
          <a:extLst>
            <a:ext uri="{FF2B5EF4-FFF2-40B4-BE49-F238E27FC236}">
              <a16:creationId xmlns:a16="http://schemas.microsoft.com/office/drawing/2014/main" id="{675849CB-706D-4E04-A03B-09A4A53028CF}"/>
            </a:ext>
          </a:extLst>
        </xdr:cNvPr>
        <xdr:cNvCxnSpPr>
          <a:stCxn id="81" idx="2"/>
          <a:endCxn id="92" idx="0"/>
        </xdr:cNvCxnSpPr>
      </xdr:nvCxnSpPr>
      <xdr:spPr>
        <a:xfrm>
          <a:off x="5783132" y="8432039"/>
          <a:ext cx="0" cy="115703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52453</xdr:colOff>
      <xdr:row>43</xdr:row>
      <xdr:rowOff>41088</xdr:rowOff>
    </xdr:from>
    <xdr:to>
      <xdr:col>28</xdr:col>
      <xdr:colOff>183228</xdr:colOff>
      <xdr:row>58</xdr:row>
      <xdr:rowOff>73597</xdr:rowOff>
    </xdr:to>
    <xdr:cxnSp macro="">
      <xdr:nvCxnSpPr>
        <xdr:cNvPr id="88" name="コネクタ: カギ線 87">
          <a:extLst>
            <a:ext uri="{FF2B5EF4-FFF2-40B4-BE49-F238E27FC236}">
              <a16:creationId xmlns:a16="http://schemas.microsoft.com/office/drawing/2014/main" id="{3A9569AE-7D8A-49B6-BAD7-7EBDD08F557C}"/>
            </a:ext>
          </a:extLst>
        </xdr:cNvPr>
        <xdr:cNvCxnSpPr>
          <a:stCxn id="77" idx="1"/>
          <a:endCxn id="92" idx="0"/>
        </xdr:cNvCxnSpPr>
      </xdr:nvCxnSpPr>
      <xdr:spPr>
        <a:xfrm rot="10800000" flipH="1" flipV="1">
          <a:off x="5049903" y="6984813"/>
          <a:ext cx="730850" cy="2604259"/>
        </a:xfrm>
        <a:prstGeom prst="bentConnector4">
          <a:avLst>
            <a:gd name="adj1" fmla="val -30976"/>
            <a:gd name="adj2" fmla="val 6897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23119</xdr:colOff>
      <xdr:row>42</xdr:row>
      <xdr:rowOff>389</xdr:rowOff>
    </xdr:from>
    <xdr:to>
      <xdr:col>24</xdr:col>
      <xdr:colOff>145735</xdr:colOff>
      <xdr:row>43</xdr:row>
      <xdr:rowOff>27662</xdr:rowOff>
    </xdr:to>
    <xdr:sp macro="" textlink="">
      <xdr:nvSpPr>
        <xdr:cNvPr id="89" name="テキスト ボックス 195">
          <a:extLst>
            <a:ext uri="{FF2B5EF4-FFF2-40B4-BE49-F238E27FC236}">
              <a16:creationId xmlns:a16="http://schemas.microsoft.com/office/drawing/2014/main" id="{62AA1C84-8273-4232-A161-67F5905A49E9}"/>
            </a:ext>
          </a:extLst>
        </xdr:cNvPr>
        <xdr:cNvSpPr txBox="1"/>
      </xdr:nvSpPr>
      <xdr:spPr>
        <a:xfrm>
          <a:off x="4426844" y="6772664"/>
          <a:ext cx="516316" cy="20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28</xdr:col>
      <xdr:colOff>144946</xdr:colOff>
      <xdr:row>45</xdr:row>
      <xdr:rowOff>48315</xdr:rowOff>
    </xdr:from>
    <xdr:to>
      <xdr:col>31</xdr:col>
      <xdr:colOff>37422</xdr:colOff>
      <xdr:row>46</xdr:row>
      <xdr:rowOff>53304</xdr:rowOff>
    </xdr:to>
    <xdr:sp macro="" textlink="">
      <xdr:nvSpPr>
        <xdr:cNvPr id="90" name="テキスト ボックス 89">
          <a:extLst>
            <a:ext uri="{FF2B5EF4-FFF2-40B4-BE49-F238E27FC236}">
              <a16:creationId xmlns:a16="http://schemas.microsoft.com/office/drawing/2014/main" id="{8A49CF7D-B443-4011-9A11-4D77A7C5455E}"/>
            </a:ext>
          </a:extLst>
        </xdr:cNvPr>
        <xdr:cNvSpPr txBox="1"/>
      </xdr:nvSpPr>
      <xdr:spPr>
        <a:xfrm>
          <a:off x="5742471" y="7331765"/>
          <a:ext cx="495726" cy="176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26</xdr:col>
      <xdr:colOff>36029</xdr:colOff>
      <xdr:row>58</xdr:row>
      <xdr:rowOff>57656</xdr:rowOff>
    </xdr:from>
    <xdr:to>
      <xdr:col>31</xdr:col>
      <xdr:colOff>135223</xdr:colOff>
      <xdr:row>61</xdr:row>
      <xdr:rowOff>86123</xdr:rowOff>
    </xdr:to>
    <xdr:grpSp>
      <xdr:nvGrpSpPr>
        <xdr:cNvPr id="91" name="グループ化 8">
          <a:extLst>
            <a:ext uri="{FF2B5EF4-FFF2-40B4-BE49-F238E27FC236}">
              <a16:creationId xmlns:a16="http://schemas.microsoft.com/office/drawing/2014/main" id="{A6FEE182-1FBB-4AB2-8082-872BD0D91B40}"/>
            </a:ext>
          </a:extLst>
        </xdr:cNvPr>
        <xdr:cNvGrpSpPr/>
      </xdr:nvGrpSpPr>
      <xdr:grpSpPr>
        <a:xfrm>
          <a:off x="4741379" y="10392281"/>
          <a:ext cx="1004069" cy="542817"/>
          <a:chOff x="1658310" y="2444762"/>
          <a:chExt cx="908902" cy="420662"/>
        </a:xfrm>
      </xdr:grpSpPr>
      <xdr:sp macro="" textlink="">
        <xdr:nvSpPr>
          <xdr:cNvPr id="92" name="フローチャート: 定義済み処理 9">
            <a:extLst>
              <a:ext uri="{FF2B5EF4-FFF2-40B4-BE49-F238E27FC236}">
                <a16:creationId xmlns:a16="http://schemas.microsoft.com/office/drawing/2014/main" id="{1B24C42D-9F87-0A30-4432-E62198435F2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3" name="正方形/長方形 48">
            <a:extLst>
              <a:ext uri="{FF2B5EF4-FFF2-40B4-BE49-F238E27FC236}">
                <a16:creationId xmlns:a16="http://schemas.microsoft.com/office/drawing/2014/main" id="{95DD8C13-73FE-9805-0553-ADAB76970FAE}"/>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6.</a:t>
            </a:r>
            <a:r>
              <a:rPr kumimoji="1" lang="ja-JP" altLang="en-US" sz="900">
                <a:solidFill>
                  <a:schemeClr val="dk1"/>
                </a:solidFill>
                <a:effectLst/>
                <a:latin typeface="+mn-lt"/>
                <a:ea typeface="+mn-ea"/>
                <a:cs typeface="+mn-cs"/>
              </a:rPr>
              <a:t>支払スケジュール確定処理</a:t>
            </a:r>
            <a:endParaRPr kumimoji="1" lang="ja-JP" altLang="en-US" sz="900"/>
          </a:p>
        </xdr:txBody>
      </xdr:sp>
    </xdr:grpSp>
    <xdr:clientData/>
  </xdr:twoCellAnchor>
  <xdr:twoCellAnchor>
    <xdr:from>
      <xdr:col>40</xdr:col>
      <xdr:colOff>88625</xdr:colOff>
      <xdr:row>58</xdr:row>
      <xdr:rowOff>36671</xdr:rowOff>
    </xdr:from>
    <xdr:to>
      <xdr:col>45</xdr:col>
      <xdr:colOff>26934</xdr:colOff>
      <xdr:row>61</xdr:row>
      <xdr:rowOff>125155</xdr:rowOff>
    </xdr:to>
    <xdr:grpSp>
      <xdr:nvGrpSpPr>
        <xdr:cNvPr id="94" name="グループ化 93">
          <a:extLst>
            <a:ext uri="{FF2B5EF4-FFF2-40B4-BE49-F238E27FC236}">
              <a16:creationId xmlns:a16="http://schemas.microsoft.com/office/drawing/2014/main" id="{6D92F9E9-9CA7-4945-8457-2E1006628F65}"/>
            </a:ext>
          </a:extLst>
        </xdr:cNvPr>
        <xdr:cNvGrpSpPr>
          <a:grpSpLocks noChangeAspect="1"/>
        </xdr:cNvGrpSpPr>
      </xdr:nvGrpSpPr>
      <xdr:grpSpPr>
        <a:xfrm>
          <a:off x="7327625" y="10371296"/>
          <a:ext cx="843184" cy="602834"/>
          <a:chOff x="7112003" y="2892425"/>
          <a:chExt cx="873125" cy="584984"/>
        </a:xfrm>
      </xdr:grpSpPr>
      <xdr:sp macro="" textlink="">
        <xdr:nvSpPr>
          <xdr:cNvPr id="95" name="フローチャート: 磁気ディスク 94">
            <a:extLst>
              <a:ext uri="{FF2B5EF4-FFF2-40B4-BE49-F238E27FC236}">
                <a16:creationId xmlns:a16="http://schemas.microsoft.com/office/drawing/2014/main" id="{178F9BB5-A365-147D-1577-8EA5372CA79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6" name="正方形/長方形 95">
            <a:extLst>
              <a:ext uri="{FF2B5EF4-FFF2-40B4-BE49-F238E27FC236}">
                <a16:creationId xmlns:a16="http://schemas.microsoft.com/office/drawing/2014/main" id="{04F3D249-C176-D743-C135-F84C7BD01B7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確認バッチ</a:t>
            </a:r>
          </a:p>
        </xdr:txBody>
      </xdr:sp>
    </xdr:grpSp>
    <xdr:clientData/>
  </xdr:twoCellAnchor>
  <xdr:twoCellAnchor>
    <xdr:from>
      <xdr:col>31</xdr:col>
      <xdr:colOff>76756</xdr:colOff>
      <xdr:row>59</xdr:row>
      <xdr:rowOff>141624</xdr:rowOff>
    </xdr:from>
    <xdr:to>
      <xdr:col>40</xdr:col>
      <xdr:colOff>183159</xdr:colOff>
      <xdr:row>59</xdr:row>
      <xdr:rowOff>145445</xdr:rowOff>
    </xdr:to>
    <xdr:cxnSp macro="">
      <xdr:nvCxnSpPr>
        <xdr:cNvPr id="97" name="直線矢印コネクタ 96">
          <a:extLst>
            <a:ext uri="{FF2B5EF4-FFF2-40B4-BE49-F238E27FC236}">
              <a16:creationId xmlns:a16="http://schemas.microsoft.com/office/drawing/2014/main" id="{54BDDD15-9334-448B-BA55-31DDCD3F2D96}"/>
            </a:ext>
          </a:extLst>
        </xdr:cNvPr>
        <xdr:cNvCxnSpPr>
          <a:stCxn id="92" idx="3"/>
          <a:endCxn id="95" idx="2"/>
        </xdr:cNvCxnSpPr>
      </xdr:nvCxnSpPr>
      <xdr:spPr>
        <a:xfrm flipV="1">
          <a:off x="6277531" y="9831724"/>
          <a:ext cx="1903453"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39205</xdr:colOff>
      <xdr:row>64</xdr:row>
      <xdr:rowOff>158750</xdr:rowOff>
    </xdr:from>
    <xdr:to>
      <xdr:col>31</xdr:col>
      <xdr:colOff>132503</xdr:colOff>
      <xdr:row>68</xdr:row>
      <xdr:rowOff>16685</xdr:rowOff>
    </xdr:to>
    <xdr:grpSp>
      <xdr:nvGrpSpPr>
        <xdr:cNvPr id="98" name="グループ化 8">
          <a:extLst>
            <a:ext uri="{FF2B5EF4-FFF2-40B4-BE49-F238E27FC236}">
              <a16:creationId xmlns:a16="http://schemas.microsoft.com/office/drawing/2014/main" id="{F7C1BD47-A706-4D8F-AB56-DB24D14893B3}"/>
            </a:ext>
          </a:extLst>
        </xdr:cNvPr>
        <xdr:cNvGrpSpPr/>
      </xdr:nvGrpSpPr>
      <xdr:grpSpPr>
        <a:xfrm>
          <a:off x="4744555" y="11550650"/>
          <a:ext cx="998173" cy="553260"/>
          <a:chOff x="1653542" y="2416116"/>
          <a:chExt cx="908902" cy="420662"/>
        </a:xfrm>
      </xdr:grpSpPr>
      <xdr:sp macro="" textlink="">
        <xdr:nvSpPr>
          <xdr:cNvPr id="99" name="フローチャート: 定義済み処理 9">
            <a:extLst>
              <a:ext uri="{FF2B5EF4-FFF2-40B4-BE49-F238E27FC236}">
                <a16:creationId xmlns:a16="http://schemas.microsoft.com/office/drawing/2014/main" id="{3C390790-AB57-563A-4549-C28743DC0324}"/>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0" name="正方形/長方形 48">
            <a:extLst>
              <a:ext uri="{FF2B5EF4-FFF2-40B4-BE49-F238E27FC236}">
                <a16:creationId xmlns:a16="http://schemas.microsoft.com/office/drawing/2014/main" id="{0300E123-92D8-3457-2129-FAF97AE020DE}"/>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7.</a:t>
            </a:r>
            <a:r>
              <a:rPr kumimoji="1" lang="ja-JP" altLang="en-US" sz="900">
                <a:solidFill>
                  <a:schemeClr val="dk1"/>
                </a:solidFill>
                <a:effectLst/>
                <a:latin typeface="+mn-lt"/>
                <a:ea typeface="+mn-ea"/>
                <a:cs typeface="+mn-cs"/>
              </a:rPr>
              <a:t>初期認識</a:t>
            </a:r>
            <a:endParaRPr kumimoji="1" lang="ja-JP" altLang="en-US" sz="900"/>
          </a:p>
        </xdr:txBody>
      </xdr:sp>
    </xdr:grpSp>
    <xdr:clientData/>
  </xdr:twoCellAnchor>
  <xdr:twoCellAnchor>
    <xdr:from>
      <xdr:col>40</xdr:col>
      <xdr:colOff>67988</xdr:colOff>
      <xdr:row>65</xdr:row>
      <xdr:rowOff>6679</xdr:rowOff>
    </xdr:from>
    <xdr:to>
      <xdr:col>45</xdr:col>
      <xdr:colOff>2328</xdr:colOff>
      <xdr:row>68</xdr:row>
      <xdr:rowOff>79288</xdr:rowOff>
    </xdr:to>
    <xdr:grpSp>
      <xdr:nvGrpSpPr>
        <xdr:cNvPr id="101" name="グループ化 100">
          <a:extLst>
            <a:ext uri="{FF2B5EF4-FFF2-40B4-BE49-F238E27FC236}">
              <a16:creationId xmlns:a16="http://schemas.microsoft.com/office/drawing/2014/main" id="{80956B50-A7CD-4FEA-BEA8-6DF41235484B}"/>
            </a:ext>
          </a:extLst>
        </xdr:cNvPr>
        <xdr:cNvGrpSpPr>
          <a:grpSpLocks noChangeAspect="1"/>
        </xdr:cNvGrpSpPr>
      </xdr:nvGrpSpPr>
      <xdr:grpSpPr>
        <a:xfrm>
          <a:off x="7306988" y="11579554"/>
          <a:ext cx="839215" cy="586959"/>
          <a:chOff x="7112003" y="2892425"/>
          <a:chExt cx="873125" cy="584984"/>
        </a:xfrm>
      </xdr:grpSpPr>
      <xdr:sp macro="" textlink="">
        <xdr:nvSpPr>
          <xdr:cNvPr id="102" name="フローチャート: 磁気ディスク 101">
            <a:extLst>
              <a:ext uri="{FF2B5EF4-FFF2-40B4-BE49-F238E27FC236}">
                <a16:creationId xmlns:a16="http://schemas.microsoft.com/office/drawing/2014/main" id="{7B0F1703-CE85-9A1E-D773-84D2F81A1E0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3" name="正方形/長方形 102">
            <a:extLst>
              <a:ext uri="{FF2B5EF4-FFF2-40B4-BE49-F238E27FC236}">
                <a16:creationId xmlns:a16="http://schemas.microsoft.com/office/drawing/2014/main" id="{CB6E2FF9-FE76-DA12-348F-5F2C22586F5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83883</xdr:colOff>
      <xdr:row>66</xdr:row>
      <xdr:rowOff>107598</xdr:rowOff>
    </xdr:from>
    <xdr:to>
      <xdr:col>40</xdr:col>
      <xdr:colOff>163353</xdr:colOff>
      <xdr:row>66</xdr:row>
      <xdr:rowOff>112857</xdr:rowOff>
    </xdr:to>
    <xdr:cxnSp macro="">
      <xdr:nvCxnSpPr>
        <xdr:cNvPr id="104" name="直線矢印コネクタ 103">
          <a:extLst>
            <a:ext uri="{FF2B5EF4-FFF2-40B4-BE49-F238E27FC236}">
              <a16:creationId xmlns:a16="http://schemas.microsoft.com/office/drawing/2014/main" id="{E3A7033A-C08B-4406-877B-59F15B565F2F}"/>
            </a:ext>
          </a:extLst>
        </xdr:cNvPr>
        <xdr:cNvCxnSpPr>
          <a:stCxn id="99" idx="3"/>
          <a:endCxn id="102" idx="2"/>
        </xdr:cNvCxnSpPr>
      </xdr:nvCxnSpPr>
      <xdr:spPr>
        <a:xfrm flipV="1">
          <a:off x="6287833" y="10991498"/>
          <a:ext cx="1873345" cy="84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182076</xdr:colOff>
      <xdr:row>61</xdr:row>
      <xdr:rowOff>40196</xdr:rowOff>
    </xdr:from>
    <xdr:to>
      <xdr:col>28</xdr:col>
      <xdr:colOff>188058</xdr:colOff>
      <xdr:row>65</xdr:row>
      <xdr:rowOff>43590</xdr:rowOff>
    </xdr:to>
    <xdr:cxnSp macro="">
      <xdr:nvCxnSpPr>
        <xdr:cNvPr id="105" name="直線矢印コネクタ 104">
          <a:extLst>
            <a:ext uri="{FF2B5EF4-FFF2-40B4-BE49-F238E27FC236}">
              <a16:creationId xmlns:a16="http://schemas.microsoft.com/office/drawing/2014/main" id="{F4ED070E-E97C-44CA-B431-0295AD1AD7C1}"/>
            </a:ext>
          </a:extLst>
        </xdr:cNvPr>
        <xdr:cNvCxnSpPr>
          <a:stCxn id="92" idx="2"/>
          <a:endCxn id="99" idx="0"/>
        </xdr:cNvCxnSpPr>
      </xdr:nvCxnSpPr>
      <xdr:spPr>
        <a:xfrm>
          <a:off x="5779601" y="10070021"/>
          <a:ext cx="9157" cy="6923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39205</xdr:colOff>
      <xdr:row>71</xdr:row>
      <xdr:rowOff>96631</xdr:rowOff>
    </xdr:from>
    <xdr:to>
      <xdr:col>31</xdr:col>
      <xdr:colOff>132503</xdr:colOff>
      <xdr:row>74</xdr:row>
      <xdr:rowOff>120770</xdr:rowOff>
    </xdr:to>
    <xdr:grpSp>
      <xdr:nvGrpSpPr>
        <xdr:cNvPr id="106" name="グループ化 8">
          <a:extLst>
            <a:ext uri="{FF2B5EF4-FFF2-40B4-BE49-F238E27FC236}">
              <a16:creationId xmlns:a16="http://schemas.microsoft.com/office/drawing/2014/main" id="{16CBBC95-1220-4ECF-8C53-A3BEA265AB51}"/>
            </a:ext>
          </a:extLst>
        </xdr:cNvPr>
        <xdr:cNvGrpSpPr/>
      </xdr:nvGrpSpPr>
      <xdr:grpSpPr>
        <a:xfrm>
          <a:off x="4744555" y="12717256"/>
          <a:ext cx="998173" cy="548014"/>
          <a:chOff x="1653542" y="2416116"/>
          <a:chExt cx="908902" cy="420662"/>
        </a:xfrm>
      </xdr:grpSpPr>
      <xdr:sp macro="" textlink="">
        <xdr:nvSpPr>
          <xdr:cNvPr id="107" name="フローチャート: 定義済み処理 9">
            <a:extLst>
              <a:ext uri="{FF2B5EF4-FFF2-40B4-BE49-F238E27FC236}">
                <a16:creationId xmlns:a16="http://schemas.microsoft.com/office/drawing/2014/main" id="{DAB234D6-2419-975C-7412-46AC827B236E}"/>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8" name="正方形/長方形 48">
            <a:extLst>
              <a:ext uri="{FF2B5EF4-FFF2-40B4-BE49-F238E27FC236}">
                <a16:creationId xmlns:a16="http://schemas.microsoft.com/office/drawing/2014/main" id="{62CF17A2-EDE0-71B1-92C9-B28221CE6DBB}"/>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8.</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仕訳の承認依頼</a:t>
            </a:r>
            <a:endParaRPr kumimoji="1" lang="ja-JP" altLang="en-US" sz="900"/>
          </a:p>
        </xdr:txBody>
      </xdr:sp>
    </xdr:grpSp>
    <xdr:clientData/>
  </xdr:twoCellAnchor>
  <xdr:twoCellAnchor>
    <xdr:from>
      <xdr:col>31</xdr:col>
      <xdr:colOff>83319</xdr:colOff>
      <xdr:row>73</xdr:row>
      <xdr:rowOff>44652</xdr:rowOff>
    </xdr:from>
    <xdr:to>
      <xdr:col>40</xdr:col>
      <xdr:colOff>145563</xdr:colOff>
      <xdr:row>73</xdr:row>
      <xdr:rowOff>45022</xdr:rowOff>
    </xdr:to>
    <xdr:cxnSp macro="">
      <xdr:nvCxnSpPr>
        <xdr:cNvPr id="109" name="直線矢印コネクタ 108">
          <a:extLst>
            <a:ext uri="{FF2B5EF4-FFF2-40B4-BE49-F238E27FC236}">
              <a16:creationId xmlns:a16="http://schemas.microsoft.com/office/drawing/2014/main" id="{0F0918BF-C3B1-460F-8FB9-4EF7CE27F370}"/>
            </a:ext>
          </a:extLst>
        </xdr:cNvPr>
        <xdr:cNvCxnSpPr>
          <a:stCxn id="107" idx="3"/>
          <a:endCxn id="112" idx="2"/>
        </xdr:cNvCxnSpPr>
      </xdr:nvCxnSpPr>
      <xdr:spPr>
        <a:xfrm flipV="1">
          <a:off x="6287269" y="12135052"/>
          <a:ext cx="1856119" cy="3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188058</xdr:colOff>
      <xdr:row>68</xdr:row>
      <xdr:rowOff>10674</xdr:rowOff>
    </xdr:from>
    <xdr:to>
      <xdr:col>28</xdr:col>
      <xdr:colOff>188058</xdr:colOff>
      <xdr:row>71</xdr:row>
      <xdr:rowOff>149855</xdr:rowOff>
    </xdr:to>
    <xdr:cxnSp macro="">
      <xdr:nvCxnSpPr>
        <xdr:cNvPr id="110" name="直線矢印コネクタ 109">
          <a:extLst>
            <a:ext uri="{FF2B5EF4-FFF2-40B4-BE49-F238E27FC236}">
              <a16:creationId xmlns:a16="http://schemas.microsoft.com/office/drawing/2014/main" id="{A323DE13-D879-40A2-8CF4-06E3B67AA44B}"/>
            </a:ext>
          </a:extLst>
        </xdr:cNvPr>
        <xdr:cNvCxnSpPr>
          <a:stCxn id="99" idx="2"/>
          <a:endCxn id="107" idx="0"/>
        </xdr:cNvCxnSpPr>
      </xdr:nvCxnSpPr>
      <xdr:spPr>
        <a:xfrm>
          <a:off x="5788758" y="11237474"/>
          <a:ext cx="0" cy="65670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55460</xdr:colOff>
      <xdr:row>71</xdr:row>
      <xdr:rowOff>125917</xdr:rowOff>
    </xdr:from>
    <xdr:to>
      <xdr:col>44</xdr:col>
      <xdr:colOff>180300</xdr:colOff>
      <xdr:row>74</xdr:row>
      <xdr:rowOff>159321</xdr:rowOff>
    </xdr:to>
    <xdr:grpSp>
      <xdr:nvGrpSpPr>
        <xdr:cNvPr id="111" name="グループ化 110">
          <a:extLst>
            <a:ext uri="{FF2B5EF4-FFF2-40B4-BE49-F238E27FC236}">
              <a16:creationId xmlns:a16="http://schemas.microsoft.com/office/drawing/2014/main" id="{E91E94EE-B4C1-4EB2-BF71-80FF976B4CBF}"/>
            </a:ext>
          </a:extLst>
        </xdr:cNvPr>
        <xdr:cNvGrpSpPr>
          <a:grpSpLocks noChangeAspect="1"/>
        </xdr:cNvGrpSpPr>
      </xdr:nvGrpSpPr>
      <xdr:grpSpPr>
        <a:xfrm>
          <a:off x="7294460" y="12746542"/>
          <a:ext cx="848740" cy="557279"/>
          <a:chOff x="7123128" y="2892425"/>
          <a:chExt cx="873125" cy="560343"/>
        </a:xfrm>
      </xdr:grpSpPr>
      <xdr:sp macro="" textlink="">
        <xdr:nvSpPr>
          <xdr:cNvPr id="112" name="フローチャート: 磁気ディスク 111">
            <a:extLst>
              <a:ext uri="{FF2B5EF4-FFF2-40B4-BE49-F238E27FC236}">
                <a16:creationId xmlns:a16="http://schemas.microsoft.com/office/drawing/2014/main" id="{E5049F50-B0CB-4C6D-0847-F8EC7C0B7F5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3" name="正方形/長方形 112">
            <a:extLst>
              <a:ext uri="{FF2B5EF4-FFF2-40B4-BE49-F238E27FC236}">
                <a16:creationId xmlns:a16="http://schemas.microsoft.com/office/drawing/2014/main" id="{9B03ED7E-6D9B-2930-22A7-F0B082595CE8}"/>
              </a:ext>
            </a:extLst>
          </xdr:cNvPr>
          <xdr:cNvSpPr/>
        </xdr:nvSpPr>
        <xdr:spPr>
          <a:xfrm>
            <a:off x="7123128" y="2947161"/>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33</xdr:col>
      <xdr:colOff>2</xdr:colOff>
      <xdr:row>81</xdr:row>
      <xdr:rowOff>10631</xdr:rowOff>
    </xdr:from>
    <xdr:to>
      <xdr:col>38</xdr:col>
      <xdr:colOff>93438</xdr:colOff>
      <xdr:row>84</xdr:row>
      <xdr:rowOff>47470</xdr:rowOff>
    </xdr:to>
    <xdr:grpSp>
      <xdr:nvGrpSpPr>
        <xdr:cNvPr id="114" name="グループ化 8">
          <a:extLst>
            <a:ext uri="{FF2B5EF4-FFF2-40B4-BE49-F238E27FC236}">
              <a16:creationId xmlns:a16="http://schemas.microsoft.com/office/drawing/2014/main" id="{0A62404C-A595-4885-8212-DAA49476B132}"/>
            </a:ext>
          </a:extLst>
        </xdr:cNvPr>
        <xdr:cNvGrpSpPr/>
      </xdr:nvGrpSpPr>
      <xdr:grpSpPr>
        <a:xfrm>
          <a:off x="5972177" y="14412431"/>
          <a:ext cx="998311" cy="551189"/>
          <a:chOff x="1653542" y="2416116"/>
          <a:chExt cx="908902" cy="420662"/>
        </a:xfrm>
      </xdr:grpSpPr>
      <xdr:sp macro="" textlink="">
        <xdr:nvSpPr>
          <xdr:cNvPr id="115" name="フローチャート: 定義済み処理 9">
            <a:extLst>
              <a:ext uri="{FF2B5EF4-FFF2-40B4-BE49-F238E27FC236}">
                <a16:creationId xmlns:a16="http://schemas.microsoft.com/office/drawing/2014/main" id="{173CB7CE-234F-4B17-76EB-6800268856DB}"/>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6" name="正方形/長方形 48">
            <a:extLst>
              <a:ext uri="{FF2B5EF4-FFF2-40B4-BE49-F238E27FC236}">
                <a16:creationId xmlns:a16="http://schemas.microsoft.com/office/drawing/2014/main" id="{AE40F6B0-07D6-C93D-24EE-157A50DB550A}"/>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a:t>
            </a:r>
            <a:endParaRPr kumimoji="1" lang="ja-JP" altLang="en-US" sz="900"/>
          </a:p>
        </xdr:txBody>
      </xdr:sp>
    </xdr:grpSp>
    <xdr:clientData/>
  </xdr:twoCellAnchor>
  <xdr:twoCellAnchor>
    <xdr:from>
      <xdr:col>28</xdr:col>
      <xdr:colOff>188058</xdr:colOff>
      <xdr:row>74</xdr:row>
      <xdr:rowOff>117921</xdr:rowOff>
    </xdr:from>
    <xdr:to>
      <xdr:col>35</xdr:col>
      <xdr:colOff>148924</xdr:colOff>
      <xdr:row>81</xdr:row>
      <xdr:rowOff>64790</xdr:rowOff>
    </xdr:to>
    <xdr:cxnSp macro="">
      <xdr:nvCxnSpPr>
        <xdr:cNvPr id="117" name="コネクタ: カギ線 116">
          <a:extLst>
            <a:ext uri="{FF2B5EF4-FFF2-40B4-BE49-F238E27FC236}">
              <a16:creationId xmlns:a16="http://schemas.microsoft.com/office/drawing/2014/main" id="{1C9517F8-B8B6-492D-9CEE-4C666C56B1AE}"/>
            </a:ext>
          </a:extLst>
        </xdr:cNvPr>
        <xdr:cNvCxnSpPr>
          <a:stCxn id="107" idx="2"/>
          <a:endCxn id="115" idx="0"/>
        </xdr:cNvCxnSpPr>
      </xdr:nvCxnSpPr>
      <xdr:spPr>
        <a:xfrm rot="16200000" flipH="1">
          <a:off x="5894181" y="12274348"/>
          <a:ext cx="1147019" cy="13578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107606</xdr:colOff>
      <xdr:row>81</xdr:row>
      <xdr:rowOff>41191</xdr:rowOff>
    </xdr:from>
    <xdr:to>
      <xdr:col>45</xdr:col>
      <xdr:colOff>38771</xdr:colOff>
      <xdr:row>84</xdr:row>
      <xdr:rowOff>116975</xdr:rowOff>
    </xdr:to>
    <xdr:grpSp>
      <xdr:nvGrpSpPr>
        <xdr:cNvPr id="118" name="グループ化 117">
          <a:extLst>
            <a:ext uri="{FF2B5EF4-FFF2-40B4-BE49-F238E27FC236}">
              <a16:creationId xmlns:a16="http://schemas.microsoft.com/office/drawing/2014/main" id="{19AE7587-1C04-474E-A6BA-CE1EFDE2D2C1}"/>
            </a:ext>
          </a:extLst>
        </xdr:cNvPr>
        <xdr:cNvGrpSpPr>
          <a:grpSpLocks noChangeAspect="1"/>
        </xdr:cNvGrpSpPr>
      </xdr:nvGrpSpPr>
      <xdr:grpSpPr>
        <a:xfrm>
          <a:off x="7346606" y="14442991"/>
          <a:ext cx="836040" cy="590134"/>
          <a:chOff x="7112003" y="2892425"/>
          <a:chExt cx="873125" cy="584984"/>
        </a:xfrm>
      </xdr:grpSpPr>
      <xdr:sp macro="" textlink="">
        <xdr:nvSpPr>
          <xdr:cNvPr id="119" name="フローチャート: 磁気ディスク 118">
            <a:extLst>
              <a:ext uri="{FF2B5EF4-FFF2-40B4-BE49-F238E27FC236}">
                <a16:creationId xmlns:a16="http://schemas.microsoft.com/office/drawing/2014/main" id="{2661D9E2-D1E0-585C-DD30-4BC4CD80C96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0" name="正方形/長方形 119">
            <a:extLst>
              <a:ext uri="{FF2B5EF4-FFF2-40B4-BE49-F238E27FC236}">
                <a16:creationId xmlns:a16="http://schemas.microsoft.com/office/drawing/2014/main" id="{7A27271A-EB4F-48D8-3523-BDBF868D29AF}"/>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38</xdr:col>
      <xdr:colOff>44811</xdr:colOff>
      <xdr:row>82</xdr:row>
      <xdr:rowOff>141966</xdr:rowOff>
    </xdr:from>
    <xdr:to>
      <xdr:col>41</xdr:col>
      <xdr:colOff>2946</xdr:colOff>
      <xdr:row>82</xdr:row>
      <xdr:rowOff>143566</xdr:rowOff>
    </xdr:to>
    <xdr:cxnSp macro="">
      <xdr:nvCxnSpPr>
        <xdr:cNvPr id="121" name="直線矢印コネクタ 120">
          <a:extLst>
            <a:ext uri="{FF2B5EF4-FFF2-40B4-BE49-F238E27FC236}">
              <a16:creationId xmlns:a16="http://schemas.microsoft.com/office/drawing/2014/main" id="{200135FC-037E-4F54-A0A4-C2844A1AA2B4}"/>
            </a:ext>
          </a:extLst>
        </xdr:cNvPr>
        <xdr:cNvCxnSpPr>
          <a:stCxn id="115" idx="3"/>
          <a:endCxn id="119" idx="2"/>
        </xdr:cNvCxnSpPr>
      </xdr:nvCxnSpPr>
      <xdr:spPr>
        <a:xfrm>
          <a:off x="7648936" y="13775416"/>
          <a:ext cx="555035"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6959</xdr:colOff>
      <xdr:row>115</xdr:row>
      <xdr:rowOff>17412</xdr:rowOff>
    </xdr:from>
    <xdr:to>
      <xdr:col>31</xdr:col>
      <xdr:colOff>95197</xdr:colOff>
      <xdr:row>118</xdr:row>
      <xdr:rowOff>49392</xdr:rowOff>
    </xdr:to>
    <xdr:grpSp>
      <xdr:nvGrpSpPr>
        <xdr:cNvPr id="122" name="グループ化 8">
          <a:extLst>
            <a:ext uri="{FF2B5EF4-FFF2-40B4-BE49-F238E27FC236}">
              <a16:creationId xmlns:a16="http://schemas.microsoft.com/office/drawing/2014/main" id="{B3D24B0F-B39E-4C2D-85E8-A20E9AD08EEF}"/>
            </a:ext>
          </a:extLst>
        </xdr:cNvPr>
        <xdr:cNvGrpSpPr/>
      </xdr:nvGrpSpPr>
      <xdr:grpSpPr>
        <a:xfrm>
          <a:off x="4712309" y="20467587"/>
          <a:ext cx="993113" cy="546330"/>
          <a:chOff x="-76632" y="2422920"/>
          <a:chExt cx="908902" cy="422628"/>
        </a:xfrm>
      </xdr:grpSpPr>
      <xdr:sp macro="" textlink="">
        <xdr:nvSpPr>
          <xdr:cNvPr id="123" name="フローチャート: 定義済み処理 9">
            <a:extLst>
              <a:ext uri="{FF2B5EF4-FFF2-40B4-BE49-F238E27FC236}">
                <a16:creationId xmlns:a16="http://schemas.microsoft.com/office/drawing/2014/main" id="{1EE44326-E232-0641-6B4C-5276A9259AF8}"/>
              </a:ext>
            </a:extLst>
          </xdr:cNvPr>
          <xdr:cNvSpPr/>
        </xdr:nvSpPr>
        <xdr:spPr>
          <a:xfrm>
            <a:off x="-47158"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4" name="正方形/長方形 48">
            <a:extLst>
              <a:ext uri="{FF2B5EF4-FFF2-40B4-BE49-F238E27FC236}">
                <a16:creationId xmlns:a16="http://schemas.microsoft.com/office/drawing/2014/main" id="{578E1FB3-5B45-43BC-858B-175D20563E43}"/>
              </a:ext>
            </a:extLst>
          </xdr:cNvPr>
          <xdr:cNvSpPr/>
        </xdr:nvSpPr>
        <xdr:spPr>
          <a:xfrm>
            <a:off x="-76632" y="2422920"/>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支払仕訳</a:t>
            </a:r>
            <a:endParaRPr kumimoji="1" lang="en-US" altLang="ja-JP" sz="900"/>
          </a:p>
          <a:p>
            <a:pPr algn="ctr"/>
            <a:r>
              <a:rPr kumimoji="1" lang="ja-JP" altLang="en-US" sz="900"/>
              <a:t>作成・転記</a:t>
            </a:r>
          </a:p>
        </xdr:txBody>
      </xdr:sp>
    </xdr:grpSp>
    <xdr:clientData/>
  </xdr:twoCellAnchor>
  <xdr:twoCellAnchor>
    <xdr:from>
      <xdr:col>40</xdr:col>
      <xdr:colOff>101758</xdr:colOff>
      <xdr:row>115</xdr:row>
      <xdr:rowOff>31336</xdr:rowOff>
    </xdr:from>
    <xdr:to>
      <xdr:col>45</xdr:col>
      <xdr:colOff>29610</xdr:colOff>
      <xdr:row>118</xdr:row>
      <xdr:rowOff>107119</xdr:rowOff>
    </xdr:to>
    <xdr:grpSp>
      <xdr:nvGrpSpPr>
        <xdr:cNvPr id="125" name="グループ化 124">
          <a:extLst>
            <a:ext uri="{FF2B5EF4-FFF2-40B4-BE49-F238E27FC236}">
              <a16:creationId xmlns:a16="http://schemas.microsoft.com/office/drawing/2014/main" id="{3E03E8D3-70EF-4D4A-A30A-8DD2EB581CBE}"/>
            </a:ext>
          </a:extLst>
        </xdr:cNvPr>
        <xdr:cNvGrpSpPr>
          <a:grpSpLocks noChangeAspect="1"/>
        </xdr:cNvGrpSpPr>
      </xdr:nvGrpSpPr>
      <xdr:grpSpPr>
        <a:xfrm>
          <a:off x="7340758" y="20481511"/>
          <a:ext cx="832727" cy="590133"/>
          <a:chOff x="7112003" y="2892425"/>
          <a:chExt cx="873125" cy="584984"/>
        </a:xfrm>
      </xdr:grpSpPr>
      <xdr:sp macro="" textlink="">
        <xdr:nvSpPr>
          <xdr:cNvPr id="126" name="フローチャート: 磁気ディスク 125">
            <a:extLst>
              <a:ext uri="{FF2B5EF4-FFF2-40B4-BE49-F238E27FC236}">
                <a16:creationId xmlns:a16="http://schemas.microsoft.com/office/drawing/2014/main" id="{72F9B362-4F47-DF05-D97E-DD1921A3BDE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7" name="正方形/長方形 126">
            <a:extLst>
              <a:ext uri="{FF2B5EF4-FFF2-40B4-BE49-F238E27FC236}">
                <a16:creationId xmlns:a16="http://schemas.microsoft.com/office/drawing/2014/main" id="{5E78B4A4-A6B8-F486-3286-9600C90D065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26060</xdr:colOff>
      <xdr:row>116</xdr:row>
      <xdr:rowOff>129200</xdr:rowOff>
    </xdr:from>
    <xdr:to>
      <xdr:col>40</xdr:col>
      <xdr:colOff>196512</xdr:colOff>
      <xdr:row>116</xdr:row>
      <xdr:rowOff>134125</xdr:rowOff>
    </xdr:to>
    <xdr:cxnSp macro="">
      <xdr:nvCxnSpPr>
        <xdr:cNvPr id="128" name="直線矢印コネクタ 127">
          <a:extLst>
            <a:ext uri="{FF2B5EF4-FFF2-40B4-BE49-F238E27FC236}">
              <a16:creationId xmlns:a16="http://schemas.microsoft.com/office/drawing/2014/main" id="{3A259BF3-26DB-43D4-86D6-F253608595CA}"/>
            </a:ext>
          </a:extLst>
        </xdr:cNvPr>
        <xdr:cNvCxnSpPr>
          <a:stCxn id="123" idx="3"/>
          <a:endCxn id="126" idx="2"/>
        </xdr:cNvCxnSpPr>
      </xdr:nvCxnSpPr>
      <xdr:spPr>
        <a:xfrm>
          <a:off x="6230010" y="18214000"/>
          <a:ext cx="1970677" cy="810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27935</xdr:colOff>
      <xdr:row>136</xdr:row>
      <xdr:rowOff>141772</xdr:rowOff>
    </xdr:from>
    <xdr:to>
      <xdr:col>44</xdr:col>
      <xdr:colOff>162300</xdr:colOff>
      <xdr:row>140</xdr:row>
      <xdr:rowOff>45002</xdr:rowOff>
    </xdr:to>
    <xdr:grpSp>
      <xdr:nvGrpSpPr>
        <xdr:cNvPr id="129" name="グループ化 128">
          <a:extLst>
            <a:ext uri="{FF2B5EF4-FFF2-40B4-BE49-F238E27FC236}">
              <a16:creationId xmlns:a16="http://schemas.microsoft.com/office/drawing/2014/main" id="{CF7D1FD0-6F84-4365-9EDC-F5F556919B71}"/>
            </a:ext>
          </a:extLst>
        </xdr:cNvPr>
        <xdr:cNvGrpSpPr>
          <a:grpSpLocks noChangeAspect="1"/>
        </xdr:cNvGrpSpPr>
      </xdr:nvGrpSpPr>
      <xdr:grpSpPr>
        <a:xfrm>
          <a:off x="7266935" y="24259072"/>
          <a:ext cx="858265" cy="598555"/>
          <a:chOff x="7112003" y="2892425"/>
          <a:chExt cx="873125" cy="584984"/>
        </a:xfrm>
      </xdr:grpSpPr>
      <xdr:sp macro="" textlink="">
        <xdr:nvSpPr>
          <xdr:cNvPr id="130" name="フローチャート: 磁気ディスク 129">
            <a:extLst>
              <a:ext uri="{FF2B5EF4-FFF2-40B4-BE49-F238E27FC236}">
                <a16:creationId xmlns:a16="http://schemas.microsoft.com/office/drawing/2014/main" id="{6CFF555A-260E-B5BF-680B-D6E67565302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1" name="正方形/長方形 130">
            <a:extLst>
              <a:ext uri="{FF2B5EF4-FFF2-40B4-BE49-F238E27FC236}">
                <a16:creationId xmlns:a16="http://schemas.microsoft.com/office/drawing/2014/main" id="{A0A42B22-0C53-7DCF-C014-4E98B13F5C6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30</xdr:col>
      <xdr:colOff>187668</xdr:colOff>
      <xdr:row>138</xdr:row>
      <xdr:rowOff>62073</xdr:rowOff>
    </xdr:from>
    <xdr:to>
      <xdr:col>40</xdr:col>
      <xdr:colOff>129039</xdr:colOff>
      <xdr:row>138</xdr:row>
      <xdr:rowOff>72008</xdr:rowOff>
    </xdr:to>
    <xdr:cxnSp macro="">
      <xdr:nvCxnSpPr>
        <xdr:cNvPr id="132" name="直線矢印コネクタ 131">
          <a:extLst>
            <a:ext uri="{FF2B5EF4-FFF2-40B4-BE49-F238E27FC236}">
              <a16:creationId xmlns:a16="http://schemas.microsoft.com/office/drawing/2014/main" id="{10D8FC10-780F-48B5-8A6B-5DA19B80B390}"/>
            </a:ext>
          </a:extLst>
        </xdr:cNvPr>
        <xdr:cNvCxnSpPr>
          <a:stCxn id="30" idx="3"/>
          <a:endCxn id="130" idx="2"/>
        </xdr:cNvCxnSpPr>
      </xdr:nvCxnSpPr>
      <xdr:spPr>
        <a:xfrm>
          <a:off x="6188418" y="21925123"/>
          <a:ext cx="1938446" cy="35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171114</xdr:colOff>
      <xdr:row>153</xdr:row>
      <xdr:rowOff>13804</xdr:rowOff>
    </xdr:from>
    <xdr:to>
      <xdr:col>30</xdr:col>
      <xdr:colOff>79719</xdr:colOff>
      <xdr:row>154</xdr:row>
      <xdr:rowOff>118345</xdr:rowOff>
    </xdr:to>
    <xdr:sp macro="" textlink="">
      <xdr:nvSpPr>
        <xdr:cNvPr id="133" name="フローチャート: 端子 26">
          <a:extLst>
            <a:ext uri="{FF2B5EF4-FFF2-40B4-BE49-F238E27FC236}">
              <a16:creationId xmlns:a16="http://schemas.microsoft.com/office/drawing/2014/main" id="{368EB441-0C48-4E0F-80AF-B58B92D87E39}"/>
            </a:ext>
          </a:extLst>
        </xdr:cNvPr>
        <xdr:cNvSpPr/>
      </xdr:nvSpPr>
      <xdr:spPr>
        <a:xfrm>
          <a:off x="5371764" y="24442254"/>
          <a:ext cx="711880" cy="2823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182632</xdr:colOff>
      <xdr:row>157</xdr:row>
      <xdr:rowOff>64656</xdr:rowOff>
    </xdr:from>
    <xdr:to>
      <xdr:col>31</xdr:col>
      <xdr:colOff>69787</xdr:colOff>
      <xdr:row>160</xdr:row>
      <xdr:rowOff>93462</xdr:rowOff>
    </xdr:to>
    <xdr:grpSp>
      <xdr:nvGrpSpPr>
        <xdr:cNvPr id="134" name="グループ化 8">
          <a:extLst>
            <a:ext uri="{FF2B5EF4-FFF2-40B4-BE49-F238E27FC236}">
              <a16:creationId xmlns:a16="http://schemas.microsoft.com/office/drawing/2014/main" id="{37F2A8B8-7756-4977-9ADD-8616F12C86D7}"/>
            </a:ext>
          </a:extLst>
        </xdr:cNvPr>
        <xdr:cNvGrpSpPr/>
      </xdr:nvGrpSpPr>
      <xdr:grpSpPr>
        <a:xfrm>
          <a:off x="4707007" y="27906231"/>
          <a:ext cx="973005" cy="543156"/>
          <a:chOff x="1633113" y="2430783"/>
          <a:chExt cx="908902" cy="422628"/>
        </a:xfrm>
      </xdr:grpSpPr>
      <xdr:sp macro="" textlink="">
        <xdr:nvSpPr>
          <xdr:cNvPr id="135" name="フローチャート: 定義済み処理 9">
            <a:extLst>
              <a:ext uri="{FF2B5EF4-FFF2-40B4-BE49-F238E27FC236}">
                <a16:creationId xmlns:a16="http://schemas.microsoft.com/office/drawing/2014/main" id="{D3D9C8A3-3D4F-2CDE-8448-ED812B665463}"/>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6" name="正方形/長方形 48">
            <a:extLst>
              <a:ext uri="{FF2B5EF4-FFF2-40B4-BE49-F238E27FC236}">
                <a16:creationId xmlns:a16="http://schemas.microsoft.com/office/drawing/2014/main" id="{AA3C1FC9-3810-BE0F-0DE6-55B2FE65DEFF}"/>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振替</a:t>
            </a:r>
            <a:r>
              <a:rPr kumimoji="1" lang="ja-JP" altLang="ja-JP" sz="900">
                <a:solidFill>
                  <a:schemeClr val="dk1"/>
                </a:solidFill>
                <a:effectLst/>
                <a:latin typeface="+mn-lt"/>
                <a:ea typeface="+mn-ea"/>
                <a:cs typeface="+mn-cs"/>
              </a:rPr>
              <a:t>仕訳</a:t>
            </a:r>
            <a:r>
              <a:rPr kumimoji="1" lang="ja-JP" altLang="en-US" sz="900">
                <a:solidFill>
                  <a:schemeClr val="dk1"/>
                </a:solidFill>
                <a:effectLst/>
                <a:latin typeface="+mn-lt"/>
                <a:ea typeface="+mn-ea"/>
                <a:cs typeface="+mn-cs"/>
              </a:rPr>
              <a:t>の</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作成・転記</a:t>
            </a:r>
            <a:endParaRPr kumimoji="1" lang="ja-JP" altLang="en-US" sz="900"/>
          </a:p>
        </xdr:txBody>
      </xdr:sp>
    </xdr:grpSp>
    <xdr:clientData/>
  </xdr:twoCellAnchor>
  <xdr:twoCellAnchor>
    <xdr:from>
      <xdr:col>26</xdr:col>
      <xdr:colOff>166041</xdr:colOff>
      <xdr:row>167</xdr:row>
      <xdr:rowOff>58099</xdr:rowOff>
    </xdr:from>
    <xdr:to>
      <xdr:col>30</xdr:col>
      <xdr:colOff>85773</xdr:colOff>
      <xdr:row>168</xdr:row>
      <xdr:rowOff>148034</xdr:rowOff>
    </xdr:to>
    <xdr:sp macro="" textlink="">
      <xdr:nvSpPr>
        <xdr:cNvPr id="137" name="フローチャート: 端子 26">
          <a:extLst>
            <a:ext uri="{FF2B5EF4-FFF2-40B4-BE49-F238E27FC236}">
              <a16:creationId xmlns:a16="http://schemas.microsoft.com/office/drawing/2014/main" id="{1078A1A9-64FC-4AF0-8A5E-F30EA1EA8850}"/>
            </a:ext>
          </a:extLst>
        </xdr:cNvPr>
        <xdr:cNvSpPr/>
      </xdr:nvSpPr>
      <xdr:spPr>
        <a:xfrm>
          <a:off x="5363516" y="26890024"/>
          <a:ext cx="719832" cy="25821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125417</xdr:colOff>
      <xdr:row>154</xdr:row>
      <xdr:rowOff>118345</xdr:rowOff>
    </xdr:from>
    <xdr:to>
      <xdr:col>28</xdr:col>
      <xdr:colOff>127212</xdr:colOff>
      <xdr:row>157</xdr:row>
      <xdr:rowOff>94314</xdr:rowOff>
    </xdr:to>
    <xdr:cxnSp macro="">
      <xdr:nvCxnSpPr>
        <xdr:cNvPr id="138" name="直線矢印コネクタ 137">
          <a:extLst>
            <a:ext uri="{FF2B5EF4-FFF2-40B4-BE49-F238E27FC236}">
              <a16:creationId xmlns:a16="http://schemas.microsoft.com/office/drawing/2014/main" id="{C0111A93-8DC8-4B0E-AE21-FED380819F9B}"/>
            </a:ext>
          </a:extLst>
        </xdr:cNvPr>
        <xdr:cNvCxnSpPr>
          <a:stCxn id="133" idx="2"/>
          <a:endCxn id="135" idx="0"/>
        </xdr:cNvCxnSpPr>
      </xdr:nvCxnSpPr>
      <xdr:spPr>
        <a:xfrm>
          <a:off x="5722942" y="24724595"/>
          <a:ext cx="1795" cy="4871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125907</xdr:colOff>
      <xdr:row>160</xdr:row>
      <xdr:rowOff>62522</xdr:rowOff>
    </xdr:from>
    <xdr:to>
      <xdr:col>28</xdr:col>
      <xdr:colOff>127212</xdr:colOff>
      <xdr:row>167</xdr:row>
      <xdr:rowOff>58099</xdr:rowOff>
    </xdr:to>
    <xdr:cxnSp macro="">
      <xdr:nvCxnSpPr>
        <xdr:cNvPr id="139" name="直線矢印コネクタ 138">
          <a:extLst>
            <a:ext uri="{FF2B5EF4-FFF2-40B4-BE49-F238E27FC236}">
              <a16:creationId xmlns:a16="http://schemas.microsoft.com/office/drawing/2014/main" id="{F9ED934E-2B77-4BBE-B2D0-BC11311E8187}"/>
            </a:ext>
          </a:extLst>
        </xdr:cNvPr>
        <xdr:cNvCxnSpPr>
          <a:stCxn id="135" idx="2"/>
          <a:endCxn id="137" idx="0"/>
        </xdr:cNvCxnSpPr>
      </xdr:nvCxnSpPr>
      <xdr:spPr>
        <a:xfrm flipH="1">
          <a:off x="5723432" y="25697472"/>
          <a:ext cx="1305" cy="119255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65286</xdr:colOff>
      <xdr:row>157</xdr:row>
      <xdr:rowOff>64939</xdr:rowOff>
    </xdr:from>
    <xdr:to>
      <xdr:col>44</xdr:col>
      <xdr:colOff>190126</xdr:colOff>
      <xdr:row>160</xdr:row>
      <xdr:rowOff>140723</xdr:rowOff>
    </xdr:to>
    <xdr:grpSp>
      <xdr:nvGrpSpPr>
        <xdr:cNvPr id="140" name="グループ化 139">
          <a:extLst>
            <a:ext uri="{FF2B5EF4-FFF2-40B4-BE49-F238E27FC236}">
              <a16:creationId xmlns:a16="http://schemas.microsoft.com/office/drawing/2014/main" id="{22AB4348-9957-4D68-9203-AFEB9F401894}"/>
            </a:ext>
          </a:extLst>
        </xdr:cNvPr>
        <xdr:cNvGrpSpPr>
          <a:grpSpLocks noChangeAspect="1"/>
        </xdr:cNvGrpSpPr>
      </xdr:nvGrpSpPr>
      <xdr:grpSpPr>
        <a:xfrm>
          <a:off x="7304286" y="27906514"/>
          <a:ext cx="839215" cy="590134"/>
          <a:chOff x="7112003" y="2892425"/>
          <a:chExt cx="873125" cy="584984"/>
        </a:xfrm>
      </xdr:grpSpPr>
      <xdr:sp macro="" textlink="">
        <xdr:nvSpPr>
          <xdr:cNvPr id="141" name="フローチャート: 磁気ディスク 140">
            <a:extLst>
              <a:ext uri="{FF2B5EF4-FFF2-40B4-BE49-F238E27FC236}">
                <a16:creationId xmlns:a16="http://schemas.microsoft.com/office/drawing/2014/main" id="{F2E8AB46-F4B1-B7BB-A796-3490C545AEE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2" name="正方形/長方形 141">
            <a:extLst>
              <a:ext uri="{FF2B5EF4-FFF2-40B4-BE49-F238E27FC236}">
                <a16:creationId xmlns:a16="http://schemas.microsoft.com/office/drawing/2014/main" id="{F2BD2E6D-0602-8864-2405-2CB0236D00D4}"/>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18506</xdr:colOff>
      <xdr:row>158</xdr:row>
      <xdr:rowOff>164696</xdr:rowOff>
    </xdr:from>
    <xdr:to>
      <xdr:col>40</xdr:col>
      <xdr:colOff>160040</xdr:colOff>
      <xdr:row>158</xdr:row>
      <xdr:rowOff>167729</xdr:rowOff>
    </xdr:to>
    <xdr:cxnSp macro="">
      <xdr:nvCxnSpPr>
        <xdr:cNvPr id="143" name="直線矢印コネクタ 142">
          <a:extLst>
            <a:ext uri="{FF2B5EF4-FFF2-40B4-BE49-F238E27FC236}">
              <a16:creationId xmlns:a16="http://schemas.microsoft.com/office/drawing/2014/main" id="{916003CA-0060-4C7E-861B-C6B0C25ADE05}"/>
            </a:ext>
          </a:extLst>
        </xdr:cNvPr>
        <xdr:cNvCxnSpPr>
          <a:stCxn id="135" idx="3"/>
          <a:endCxn id="141" idx="2"/>
        </xdr:cNvCxnSpPr>
      </xdr:nvCxnSpPr>
      <xdr:spPr>
        <a:xfrm>
          <a:off x="6219281" y="25450396"/>
          <a:ext cx="1944934" cy="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145281</xdr:colOff>
      <xdr:row>180</xdr:row>
      <xdr:rowOff>131412</xdr:rowOff>
    </xdr:from>
    <xdr:to>
      <xdr:col>31</xdr:col>
      <xdr:colOff>35611</xdr:colOff>
      <xdr:row>183</xdr:row>
      <xdr:rowOff>160218</xdr:rowOff>
    </xdr:to>
    <xdr:grpSp>
      <xdr:nvGrpSpPr>
        <xdr:cNvPr id="144" name="グループ化 8">
          <a:extLst>
            <a:ext uri="{FF2B5EF4-FFF2-40B4-BE49-F238E27FC236}">
              <a16:creationId xmlns:a16="http://schemas.microsoft.com/office/drawing/2014/main" id="{DB2C084F-A0CC-4C26-8E15-C1D460050AE2}"/>
            </a:ext>
          </a:extLst>
        </xdr:cNvPr>
        <xdr:cNvGrpSpPr/>
      </xdr:nvGrpSpPr>
      <xdr:grpSpPr>
        <a:xfrm>
          <a:off x="4669656" y="32011587"/>
          <a:ext cx="976180" cy="552681"/>
          <a:chOff x="1633113" y="2430783"/>
          <a:chExt cx="908902" cy="422628"/>
        </a:xfrm>
      </xdr:grpSpPr>
      <xdr:sp macro="" textlink="">
        <xdr:nvSpPr>
          <xdr:cNvPr id="145" name="フローチャート: 定義済み処理 9">
            <a:extLst>
              <a:ext uri="{FF2B5EF4-FFF2-40B4-BE49-F238E27FC236}">
                <a16:creationId xmlns:a16="http://schemas.microsoft.com/office/drawing/2014/main" id="{3D9768D1-5E96-369B-B1A1-B3CAA7C49F8B}"/>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6" name="正方形/長方形 48">
            <a:extLst>
              <a:ext uri="{FF2B5EF4-FFF2-40B4-BE49-F238E27FC236}">
                <a16:creationId xmlns:a16="http://schemas.microsoft.com/office/drawing/2014/main" id="{5150F8ED-B984-029B-F1DD-A845BC5DFDC3}"/>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減価償却計上</a:t>
            </a:r>
            <a:endParaRPr kumimoji="1" lang="en-US" altLang="ja-JP" sz="900"/>
          </a:p>
          <a:p>
            <a:pPr algn="ctr"/>
            <a:r>
              <a:rPr kumimoji="1" lang="ja-JP" altLang="ja-JP" sz="900">
                <a:solidFill>
                  <a:schemeClr val="dk1"/>
                </a:solidFill>
                <a:effectLst/>
                <a:latin typeface="+mn-lt"/>
                <a:ea typeface="+mn-ea"/>
                <a:cs typeface="+mn-cs"/>
              </a:rPr>
              <a:t>仕訳の作成</a:t>
            </a:r>
            <a:r>
              <a:rPr kumimoji="1" lang="ja-JP" altLang="en-US" sz="900">
                <a:solidFill>
                  <a:schemeClr val="dk1"/>
                </a:solidFill>
                <a:effectLst/>
                <a:latin typeface="+mn-lt"/>
                <a:ea typeface="+mn-ea"/>
                <a:cs typeface="+mn-cs"/>
              </a:rPr>
              <a:t>・転記</a:t>
            </a:r>
            <a:endParaRPr kumimoji="1" lang="ja-JP" altLang="en-US" sz="900"/>
          </a:p>
        </xdr:txBody>
      </xdr:sp>
    </xdr:grpSp>
    <xdr:clientData/>
  </xdr:twoCellAnchor>
  <xdr:twoCellAnchor>
    <xdr:from>
      <xdr:col>40</xdr:col>
      <xdr:colOff>27935</xdr:colOff>
      <xdr:row>180</xdr:row>
      <xdr:rowOff>141772</xdr:rowOff>
    </xdr:from>
    <xdr:to>
      <xdr:col>44</xdr:col>
      <xdr:colOff>162300</xdr:colOff>
      <xdr:row>184</xdr:row>
      <xdr:rowOff>45002</xdr:rowOff>
    </xdr:to>
    <xdr:grpSp>
      <xdr:nvGrpSpPr>
        <xdr:cNvPr id="147" name="グループ化 146">
          <a:extLst>
            <a:ext uri="{FF2B5EF4-FFF2-40B4-BE49-F238E27FC236}">
              <a16:creationId xmlns:a16="http://schemas.microsoft.com/office/drawing/2014/main" id="{B3583D9F-5F51-439B-A906-7D752F2279E3}"/>
            </a:ext>
          </a:extLst>
        </xdr:cNvPr>
        <xdr:cNvGrpSpPr>
          <a:grpSpLocks noChangeAspect="1"/>
        </xdr:cNvGrpSpPr>
      </xdr:nvGrpSpPr>
      <xdr:grpSpPr>
        <a:xfrm>
          <a:off x="7266935" y="32021947"/>
          <a:ext cx="858265" cy="598555"/>
          <a:chOff x="7112003" y="2892425"/>
          <a:chExt cx="873125" cy="584984"/>
        </a:xfrm>
      </xdr:grpSpPr>
      <xdr:sp macro="" textlink="">
        <xdr:nvSpPr>
          <xdr:cNvPr id="148" name="フローチャート: 磁気ディスク 147">
            <a:extLst>
              <a:ext uri="{FF2B5EF4-FFF2-40B4-BE49-F238E27FC236}">
                <a16:creationId xmlns:a16="http://schemas.microsoft.com/office/drawing/2014/main" id="{014ED670-602E-E945-BC16-934E9050C95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9" name="正方形/長方形 148">
            <a:extLst>
              <a:ext uri="{FF2B5EF4-FFF2-40B4-BE49-F238E27FC236}">
                <a16:creationId xmlns:a16="http://schemas.microsoft.com/office/drawing/2014/main" id="{B08FAEBB-E794-79F7-95A9-6E50425C4423}"/>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30</xdr:col>
      <xdr:colOff>187668</xdr:colOff>
      <xdr:row>182</xdr:row>
      <xdr:rowOff>62073</xdr:rowOff>
    </xdr:from>
    <xdr:to>
      <xdr:col>40</xdr:col>
      <xdr:colOff>129039</xdr:colOff>
      <xdr:row>182</xdr:row>
      <xdr:rowOff>72008</xdr:rowOff>
    </xdr:to>
    <xdr:cxnSp macro="">
      <xdr:nvCxnSpPr>
        <xdr:cNvPr id="150" name="直線矢印コネクタ 149">
          <a:extLst>
            <a:ext uri="{FF2B5EF4-FFF2-40B4-BE49-F238E27FC236}">
              <a16:creationId xmlns:a16="http://schemas.microsoft.com/office/drawing/2014/main" id="{4670F6EF-F9BB-4885-AD04-0D15AD57BADC}"/>
            </a:ext>
          </a:extLst>
        </xdr:cNvPr>
        <xdr:cNvCxnSpPr>
          <a:cxnSpLocks/>
          <a:stCxn id="145" idx="3"/>
          <a:endCxn id="148" idx="2"/>
        </xdr:cNvCxnSpPr>
      </xdr:nvCxnSpPr>
      <xdr:spPr>
        <a:xfrm>
          <a:off x="6188418" y="29468923"/>
          <a:ext cx="1938446" cy="35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127581</xdr:colOff>
      <xdr:row>197</xdr:row>
      <xdr:rowOff>6901</xdr:rowOff>
    </xdr:from>
    <xdr:to>
      <xdr:col>30</xdr:col>
      <xdr:colOff>37107</xdr:colOff>
      <xdr:row>198</xdr:row>
      <xdr:rowOff>111442</xdr:rowOff>
    </xdr:to>
    <xdr:sp macro="" textlink="">
      <xdr:nvSpPr>
        <xdr:cNvPr id="151" name="フローチャート: 端子 26">
          <a:extLst>
            <a:ext uri="{FF2B5EF4-FFF2-40B4-BE49-F238E27FC236}">
              <a16:creationId xmlns:a16="http://schemas.microsoft.com/office/drawing/2014/main" id="{A93831C0-A1BC-43C2-ABB7-B9B28F42CB35}"/>
            </a:ext>
          </a:extLst>
        </xdr:cNvPr>
        <xdr:cNvSpPr/>
      </xdr:nvSpPr>
      <xdr:spPr>
        <a:xfrm>
          <a:off x="5325056" y="31985501"/>
          <a:ext cx="712801" cy="27281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28</xdr:col>
      <xdr:colOff>82344</xdr:colOff>
      <xdr:row>198</xdr:row>
      <xdr:rowOff>111442</xdr:rowOff>
    </xdr:from>
    <xdr:to>
      <xdr:col>28</xdr:col>
      <xdr:colOff>85798</xdr:colOff>
      <xdr:row>202</xdr:row>
      <xdr:rowOff>24609</xdr:rowOff>
    </xdr:to>
    <xdr:cxnSp macro="">
      <xdr:nvCxnSpPr>
        <xdr:cNvPr id="152" name="直線矢印コネクタ 151">
          <a:extLst>
            <a:ext uri="{FF2B5EF4-FFF2-40B4-BE49-F238E27FC236}">
              <a16:creationId xmlns:a16="http://schemas.microsoft.com/office/drawing/2014/main" id="{B8413C11-6F2B-40E3-B542-62917F75BBD3}"/>
            </a:ext>
          </a:extLst>
        </xdr:cNvPr>
        <xdr:cNvCxnSpPr>
          <a:cxnSpLocks/>
          <a:stCxn id="151" idx="2"/>
          <a:endCxn id="154" idx="0"/>
        </xdr:cNvCxnSpPr>
      </xdr:nvCxnSpPr>
      <xdr:spPr>
        <a:xfrm>
          <a:off x="5686219" y="32258317"/>
          <a:ext cx="0" cy="60214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141218</xdr:colOff>
      <xdr:row>201</xdr:row>
      <xdr:rowOff>161155</xdr:rowOff>
    </xdr:from>
    <xdr:to>
      <xdr:col>31</xdr:col>
      <xdr:colOff>28373</xdr:colOff>
      <xdr:row>205</xdr:row>
      <xdr:rowOff>26932</xdr:rowOff>
    </xdr:to>
    <xdr:grpSp>
      <xdr:nvGrpSpPr>
        <xdr:cNvPr id="153" name="グループ化 8">
          <a:extLst>
            <a:ext uri="{FF2B5EF4-FFF2-40B4-BE49-F238E27FC236}">
              <a16:creationId xmlns:a16="http://schemas.microsoft.com/office/drawing/2014/main" id="{7AA9ED89-44C1-4ADF-8F05-0A7792C412D6}"/>
            </a:ext>
          </a:extLst>
        </xdr:cNvPr>
        <xdr:cNvGrpSpPr/>
      </xdr:nvGrpSpPr>
      <xdr:grpSpPr>
        <a:xfrm>
          <a:off x="4665593" y="35765605"/>
          <a:ext cx="973005" cy="561102"/>
          <a:chOff x="1633113" y="2430783"/>
          <a:chExt cx="908902" cy="422628"/>
        </a:xfrm>
      </xdr:grpSpPr>
      <xdr:sp macro="" textlink="">
        <xdr:nvSpPr>
          <xdr:cNvPr id="154" name="フローチャート: 定義済み処理 9">
            <a:extLst>
              <a:ext uri="{FF2B5EF4-FFF2-40B4-BE49-F238E27FC236}">
                <a16:creationId xmlns:a16="http://schemas.microsoft.com/office/drawing/2014/main" id="{8F9FB0BA-12A9-3828-C817-9BDE4DA7C4B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5" name="正方形/長方形 48">
            <a:extLst>
              <a:ext uri="{FF2B5EF4-FFF2-40B4-BE49-F238E27FC236}">
                <a16:creationId xmlns:a16="http://schemas.microsoft.com/office/drawing/2014/main" id="{A2F73672-A8BC-97B5-962B-644998705EF2}"/>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長短振替登録</a:t>
            </a:r>
            <a:endParaRPr kumimoji="1" lang="en-US" altLang="ja-JP" sz="900"/>
          </a:p>
        </xdr:txBody>
      </xdr:sp>
    </xdr:grpSp>
    <xdr:clientData/>
  </xdr:twoCellAnchor>
  <xdr:twoCellAnchor>
    <xdr:from>
      <xdr:col>40</xdr:col>
      <xdr:colOff>20697</xdr:colOff>
      <xdr:row>201</xdr:row>
      <xdr:rowOff>170963</xdr:rowOff>
    </xdr:from>
    <xdr:to>
      <xdr:col>44</xdr:col>
      <xdr:colOff>145537</xdr:colOff>
      <xdr:row>205</xdr:row>
      <xdr:rowOff>74193</xdr:rowOff>
    </xdr:to>
    <xdr:grpSp>
      <xdr:nvGrpSpPr>
        <xdr:cNvPr id="156" name="グループ化 155">
          <a:extLst>
            <a:ext uri="{FF2B5EF4-FFF2-40B4-BE49-F238E27FC236}">
              <a16:creationId xmlns:a16="http://schemas.microsoft.com/office/drawing/2014/main" id="{4EA6E6B3-9085-4922-BD2F-55E0DAF911C4}"/>
            </a:ext>
          </a:extLst>
        </xdr:cNvPr>
        <xdr:cNvGrpSpPr>
          <a:grpSpLocks noChangeAspect="1"/>
        </xdr:cNvGrpSpPr>
      </xdr:nvGrpSpPr>
      <xdr:grpSpPr>
        <a:xfrm>
          <a:off x="7259697" y="35775413"/>
          <a:ext cx="848740" cy="598555"/>
          <a:chOff x="7112003" y="2892425"/>
          <a:chExt cx="873125" cy="584984"/>
        </a:xfrm>
      </xdr:grpSpPr>
      <xdr:sp macro="" textlink="">
        <xdr:nvSpPr>
          <xdr:cNvPr id="157" name="フローチャート: 磁気ディスク 156">
            <a:extLst>
              <a:ext uri="{FF2B5EF4-FFF2-40B4-BE49-F238E27FC236}">
                <a16:creationId xmlns:a16="http://schemas.microsoft.com/office/drawing/2014/main" id="{2D5A2163-46BB-B73D-3D5C-7B2216252DD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8" name="正方形/長方形 157">
            <a:extLst>
              <a:ext uri="{FF2B5EF4-FFF2-40B4-BE49-F238E27FC236}">
                <a16:creationId xmlns:a16="http://schemas.microsoft.com/office/drawing/2014/main" id="{B52499AA-9133-3673-B963-C14B81A145C3}"/>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177255</xdr:colOff>
      <xdr:row>203</xdr:row>
      <xdr:rowOff>94990</xdr:rowOff>
    </xdr:from>
    <xdr:to>
      <xdr:col>40</xdr:col>
      <xdr:colOff>118626</xdr:colOff>
      <xdr:row>203</xdr:row>
      <xdr:rowOff>98023</xdr:rowOff>
    </xdr:to>
    <xdr:cxnSp macro="">
      <xdr:nvCxnSpPr>
        <xdr:cNvPr id="159" name="直線矢印コネクタ 158">
          <a:extLst>
            <a:ext uri="{FF2B5EF4-FFF2-40B4-BE49-F238E27FC236}">
              <a16:creationId xmlns:a16="http://schemas.microsoft.com/office/drawing/2014/main" id="{4D75BE67-D8C6-4C4C-82EC-489BEC6D5447}"/>
            </a:ext>
          </a:extLst>
        </xdr:cNvPr>
        <xdr:cNvCxnSpPr>
          <a:cxnSpLocks/>
          <a:stCxn id="154" idx="3"/>
          <a:endCxn id="157" idx="2"/>
        </xdr:cNvCxnSpPr>
      </xdr:nvCxnSpPr>
      <xdr:spPr>
        <a:xfrm>
          <a:off x="6181180" y="33099115"/>
          <a:ext cx="1941621" cy="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141218</xdr:colOff>
      <xdr:row>208</xdr:row>
      <xdr:rowOff>29462</xdr:rowOff>
    </xdr:from>
    <xdr:to>
      <xdr:col>31</xdr:col>
      <xdr:colOff>28373</xdr:colOff>
      <xdr:row>211</xdr:row>
      <xdr:rowOff>58267</xdr:rowOff>
    </xdr:to>
    <xdr:grpSp>
      <xdr:nvGrpSpPr>
        <xdr:cNvPr id="160" name="グループ化 8">
          <a:extLst>
            <a:ext uri="{FF2B5EF4-FFF2-40B4-BE49-F238E27FC236}">
              <a16:creationId xmlns:a16="http://schemas.microsoft.com/office/drawing/2014/main" id="{7B163130-9B73-4E3C-AAA3-BA3FB3ECFF2B}"/>
            </a:ext>
          </a:extLst>
        </xdr:cNvPr>
        <xdr:cNvGrpSpPr/>
      </xdr:nvGrpSpPr>
      <xdr:grpSpPr>
        <a:xfrm>
          <a:off x="4665593" y="36853112"/>
          <a:ext cx="973005" cy="543155"/>
          <a:chOff x="1633113" y="2430783"/>
          <a:chExt cx="908902" cy="422628"/>
        </a:xfrm>
      </xdr:grpSpPr>
      <xdr:sp macro="" textlink="">
        <xdr:nvSpPr>
          <xdr:cNvPr id="161" name="フローチャート: 定義済み処理 9">
            <a:extLst>
              <a:ext uri="{FF2B5EF4-FFF2-40B4-BE49-F238E27FC236}">
                <a16:creationId xmlns:a16="http://schemas.microsoft.com/office/drawing/2014/main" id="{6FB82D53-6303-2F57-36D4-0021A7E7F087}"/>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2" name="正方形/長方形 48">
            <a:extLst>
              <a:ext uri="{FF2B5EF4-FFF2-40B4-BE49-F238E27FC236}">
                <a16:creationId xmlns:a16="http://schemas.microsoft.com/office/drawing/2014/main" id="{2F886BFF-453C-EE7E-1142-A18B39671999}"/>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長短振替仕訳</a:t>
            </a:r>
            <a:endParaRPr kumimoji="1" lang="en-US" altLang="ja-JP" sz="900"/>
          </a:p>
          <a:p>
            <a:pPr algn="ctr"/>
            <a:r>
              <a:rPr kumimoji="1" lang="ja-JP" altLang="en-US" sz="900"/>
              <a:t>承認依頼</a:t>
            </a:r>
            <a:endParaRPr kumimoji="1" lang="en-US" altLang="ja-JP" sz="900"/>
          </a:p>
        </xdr:txBody>
      </xdr:sp>
    </xdr:grpSp>
    <xdr:clientData/>
  </xdr:twoCellAnchor>
  <xdr:twoCellAnchor>
    <xdr:from>
      <xdr:col>40</xdr:col>
      <xdr:colOff>20697</xdr:colOff>
      <xdr:row>208</xdr:row>
      <xdr:rowOff>29193</xdr:rowOff>
    </xdr:from>
    <xdr:to>
      <xdr:col>44</xdr:col>
      <xdr:colOff>145537</xdr:colOff>
      <xdr:row>211</xdr:row>
      <xdr:rowOff>104976</xdr:rowOff>
    </xdr:to>
    <xdr:grpSp>
      <xdr:nvGrpSpPr>
        <xdr:cNvPr id="163" name="グループ化 162">
          <a:extLst>
            <a:ext uri="{FF2B5EF4-FFF2-40B4-BE49-F238E27FC236}">
              <a16:creationId xmlns:a16="http://schemas.microsoft.com/office/drawing/2014/main" id="{3370312D-351B-4312-9D94-D32D615FCBB5}"/>
            </a:ext>
          </a:extLst>
        </xdr:cNvPr>
        <xdr:cNvGrpSpPr>
          <a:grpSpLocks noChangeAspect="1"/>
        </xdr:cNvGrpSpPr>
      </xdr:nvGrpSpPr>
      <xdr:grpSpPr>
        <a:xfrm>
          <a:off x="7259697" y="36852843"/>
          <a:ext cx="848740" cy="590133"/>
          <a:chOff x="7112003" y="2892425"/>
          <a:chExt cx="873125" cy="584984"/>
        </a:xfrm>
      </xdr:grpSpPr>
      <xdr:sp macro="" textlink="">
        <xdr:nvSpPr>
          <xdr:cNvPr id="164" name="フローチャート: 磁気ディスク 163">
            <a:extLst>
              <a:ext uri="{FF2B5EF4-FFF2-40B4-BE49-F238E27FC236}">
                <a16:creationId xmlns:a16="http://schemas.microsoft.com/office/drawing/2014/main" id="{595F28A1-B016-C674-F987-BD8C8BB47932}"/>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5" name="正方形/長方形 164">
            <a:extLst>
              <a:ext uri="{FF2B5EF4-FFF2-40B4-BE49-F238E27FC236}">
                <a16:creationId xmlns:a16="http://schemas.microsoft.com/office/drawing/2014/main" id="{7DE76E72-389C-3149-6EC7-A9C7D0ABC879}"/>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177255</xdr:colOff>
      <xdr:row>209</xdr:row>
      <xdr:rowOff>125632</xdr:rowOff>
    </xdr:from>
    <xdr:to>
      <xdr:col>40</xdr:col>
      <xdr:colOff>118626</xdr:colOff>
      <xdr:row>209</xdr:row>
      <xdr:rowOff>129501</xdr:rowOff>
    </xdr:to>
    <xdr:cxnSp macro="">
      <xdr:nvCxnSpPr>
        <xdr:cNvPr id="166" name="直線矢印コネクタ 165">
          <a:extLst>
            <a:ext uri="{FF2B5EF4-FFF2-40B4-BE49-F238E27FC236}">
              <a16:creationId xmlns:a16="http://schemas.microsoft.com/office/drawing/2014/main" id="{72BE1580-4228-4F6A-9F3F-3D63E21C0373}"/>
            </a:ext>
          </a:extLst>
        </xdr:cNvPr>
        <xdr:cNvCxnSpPr>
          <a:cxnSpLocks/>
          <a:stCxn id="161" idx="3"/>
          <a:endCxn id="164" idx="2"/>
        </xdr:cNvCxnSpPr>
      </xdr:nvCxnSpPr>
      <xdr:spPr>
        <a:xfrm flipV="1">
          <a:off x="6181180" y="34155282"/>
          <a:ext cx="1941621" cy="386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85798</xdr:colOff>
      <xdr:row>204</xdr:row>
      <xdr:rowOff>165371</xdr:rowOff>
    </xdr:from>
    <xdr:to>
      <xdr:col>28</xdr:col>
      <xdr:colOff>85798</xdr:colOff>
      <xdr:row>208</xdr:row>
      <xdr:rowOff>59120</xdr:rowOff>
    </xdr:to>
    <xdr:cxnSp macro="">
      <xdr:nvCxnSpPr>
        <xdr:cNvPr id="167" name="直線矢印コネクタ 166">
          <a:extLst>
            <a:ext uri="{FF2B5EF4-FFF2-40B4-BE49-F238E27FC236}">
              <a16:creationId xmlns:a16="http://schemas.microsoft.com/office/drawing/2014/main" id="{643B7B8B-A12B-4597-AEF3-D2A839B3D0CD}"/>
            </a:ext>
          </a:extLst>
        </xdr:cNvPr>
        <xdr:cNvCxnSpPr>
          <a:cxnSpLocks/>
          <a:stCxn id="154" idx="2"/>
          <a:endCxn id="161" idx="0"/>
        </xdr:cNvCxnSpPr>
      </xdr:nvCxnSpPr>
      <xdr:spPr>
        <a:xfrm>
          <a:off x="5683323" y="33337771"/>
          <a:ext cx="0" cy="58272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193260</xdr:colOff>
      <xdr:row>215</xdr:row>
      <xdr:rowOff>40091</xdr:rowOff>
    </xdr:from>
    <xdr:to>
      <xdr:col>38</xdr:col>
      <xdr:colOff>83590</xdr:colOff>
      <xdr:row>218</xdr:row>
      <xdr:rowOff>68897</xdr:rowOff>
    </xdr:to>
    <xdr:grpSp>
      <xdr:nvGrpSpPr>
        <xdr:cNvPr id="168" name="グループ化 8">
          <a:extLst>
            <a:ext uri="{FF2B5EF4-FFF2-40B4-BE49-F238E27FC236}">
              <a16:creationId xmlns:a16="http://schemas.microsoft.com/office/drawing/2014/main" id="{CF031060-9A99-45C2-9574-D2F88CDFF75D}"/>
            </a:ext>
          </a:extLst>
        </xdr:cNvPr>
        <xdr:cNvGrpSpPr/>
      </xdr:nvGrpSpPr>
      <xdr:grpSpPr>
        <a:xfrm>
          <a:off x="5974935" y="38092466"/>
          <a:ext cx="985705" cy="543156"/>
          <a:chOff x="1633113" y="2430783"/>
          <a:chExt cx="908902" cy="422628"/>
        </a:xfrm>
      </xdr:grpSpPr>
      <xdr:sp macro="" textlink="">
        <xdr:nvSpPr>
          <xdr:cNvPr id="169" name="フローチャート: 定義済み処理 9">
            <a:extLst>
              <a:ext uri="{FF2B5EF4-FFF2-40B4-BE49-F238E27FC236}">
                <a16:creationId xmlns:a16="http://schemas.microsoft.com/office/drawing/2014/main" id="{F620B76D-AF3A-8B96-687F-EB65D9A8197F}"/>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0" name="正方形/長方形 48">
            <a:extLst>
              <a:ext uri="{FF2B5EF4-FFF2-40B4-BE49-F238E27FC236}">
                <a16:creationId xmlns:a16="http://schemas.microsoft.com/office/drawing/2014/main" id="{173F2A34-857C-3C78-489C-F3AEF544A718}"/>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長短振替仕訳</a:t>
            </a:r>
            <a:endParaRPr kumimoji="1" lang="en-US" altLang="ja-JP" sz="900"/>
          </a:p>
          <a:p>
            <a:pPr algn="ctr"/>
            <a:r>
              <a:rPr kumimoji="1" lang="ja-JP" altLang="en-US" sz="900"/>
              <a:t>承認</a:t>
            </a:r>
            <a:endParaRPr kumimoji="1" lang="en-US" altLang="ja-JP" sz="900"/>
          </a:p>
        </xdr:txBody>
      </xdr:sp>
    </xdr:grpSp>
    <xdr:clientData/>
  </xdr:twoCellAnchor>
  <xdr:twoCellAnchor>
    <xdr:from>
      <xdr:col>40</xdr:col>
      <xdr:colOff>106698</xdr:colOff>
      <xdr:row>215</xdr:row>
      <xdr:rowOff>39821</xdr:rowOff>
    </xdr:from>
    <xdr:to>
      <xdr:col>45</xdr:col>
      <xdr:colOff>28200</xdr:colOff>
      <xdr:row>218</xdr:row>
      <xdr:rowOff>115605</xdr:rowOff>
    </xdr:to>
    <xdr:grpSp>
      <xdr:nvGrpSpPr>
        <xdr:cNvPr id="171" name="グループ化 170">
          <a:extLst>
            <a:ext uri="{FF2B5EF4-FFF2-40B4-BE49-F238E27FC236}">
              <a16:creationId xmlns:a16="http://schemas.microsoft.com/office/drawing/2014/main" id="{2BF7FA26-209D-47D6-8A77-4594801123F5}"/>
            </a:ext>
          </a:extLst>
        </xdr:cNvPr>
        <xdr:cNvGrpSpPr>
          <a:grpSpLocks noChangeAspect="1"/>
        </xdr:cNvGrpSpPr>
      </xdr:nvGrpSpPr>
      <xdr:grpSpPr>
        <a:xfrm>
          <a:off x="7345698" y="38092196"/>
          <a:ext cx="826377" cy="590134"/>
          <a:chOff x="7112003" y="2892425"/>
          <a:chExt cx="873125" cy="584984"/>
        </a:xfrm>
      </xdr:grpSpPr>
      <xdr:sp macro="" textlink="">
        <xdr:nvSpPr>
          <xdr:cNvPr id="172" name="フローチャート: 磁気ディスク 171">
            <a:extLst>
              <a:ext uri="{FF2B5EF4-FFF2-40B4-BE49-F238E27FC236}">
                <a16:creationId xmlns:a16="http://schemas.microsoft.com/office/drawing/2014/main" id="{537423C6-653C-BCBA-7517-C2EF19AED2D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3" name="正方形/長方形 172">
            <a:extLst>
              <a:ext uri="{FF2B5EF4-FFF2-40B4-BE49-F238E27FC236}">
                <a16:creationId xmlns:a16="http://schemas.microsoft.com/office/drawing/2014/main" id="{5797BF3A-56E0-7EDF-1C70-C56DC7E1A48D}"/>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38</xdr:col>
      <xdr:colOff>32309</xdr:colOff>
      <xdr:row>216</xdr:row>
      <xdr:rowOff>139436</xdr:rowOff>
    </xdr:from>
    <xdr:to>
      <xdr:col>41</xdr:col>
      <xdr:colOff>1289</xdr:colOff>
      <xdr:row>216</xdr:row>
      <xdr:rowOff>143306</xdr:rowOff>
    </xdr:to>
    <xdr:cxnSp macro="">
      <xdr:nvCxnSpPr>
        <xdr:cNvPr id="174" name="直線矢印コネクタ 173">
          <a:extLst>
            <a:ext uri="{FF2B5EF4-FFF2-40B4-BE49-F238E27FC236}">
              <a16:creationId xmlns:a16="http://schemas.microsoft.com/office/drawing/2014/main" id="{1027625C-B19F-4677-90EC-9A30C45D08C4}"/>
            </a:ext>
          </a:extLst>
        </xdr:cNvPr>
        <xdr:cNvCxnSpPr>
          <a:cxnSpLocks/>
          <a:stCxn id="169" idx="3"/>
          <a:endCxn id="172" idx="2"/>
        </xdr:cNvCxnSpPr>
      </xdr:nvCxnSpPr>
      <xdr:spPr>
        <a:xfrm flipV="1">
          <a:off x="7630084" y="35375586"/>
          <a:ext cx="57223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85798</xdr:colOff>
      <xdr:row>211</xdr:row>
      <xdr:rowOff>27327</xdr:rowOff>
    </xdr:from>
    <xdr:to>
      <xdr:col>35</xdr:col>
      <xdr:colOff>141015</xdr:colOff>
      <xdr:row>215</xdr:row>
      <xdr:rowOff>72924</xdr:rowOff>
    </xdr:to>
    <xdr:cxnSp macro="">
      <xdr:nvCxnSpPr>
        <xdr:cNvPr id="175" name="コネクタ: カギ線 174">
          <a:extLst>
            <a:ext uri="{FF2B5EF4-FFF2-40B4-BE49-F238E27FC236}">
              <a16:creationId xmlns:a16="http://schemas.microsoft.com/office/drawing/2014/main" id="{417312F2-DDCA-42A6-AC51-D039E27753C3}"/>
            </a:ext>
          </a:extLst>
        </xdr:cNvPr>
        <xdr:cNvCxnSpPr>
          <a:stCxn id="161" idx="2"/>
          <a:endCxn id="169" idx="0"/>
        </xdr:cNvCxnSpPr>
      </xdr:nvCxnSpPr>
      <xdr:spPr>
        <a:xfrm rot="16200000" flipH="1">
          <a:off x="6051670" y="34037880"/>
          <a:ext cx="725047" cy="146174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179456</xdr:colOff>
      <xdr:row>223</xdr:row>
      <xdr:rowOff>85306</xdr:rowOff>
    </xdr:from>
    <xdr:to>
      <xdr:col>37</xdr:col>
      <xdr:colOff>100109</xdr:colOff>
      <xdr:row>225</xdr:row>
      <xdr:rowOff>2688</xdr:rowOff>
    </xdr:to>
    <xdr:sp macro="" textlink="">
      <xdr:nvSpPr>
        <xdr:cNvPr id="176" name="フローチャート: 端子 26">
          <a:extLst>
            <a:ext uri="{FF2B5EF4-FFF2-40B4-BE49-F238E27FC236}">
              <a16:creationId xmlns:a16="http://schemas.microsoft.com/office/drawing/2014/main" id="{C3F3894E-36D4-4F20-B9DD-9AF6E35CE813}"/>
            </a:ext>
          </a:extLst>
        </xdr:cNvPr>
        <xdr:cNvSpPr/>
      </xdr:nvSpPr>
      <xdr:spPr>
        <a:xfrm>
          <a:off x="6783456" y="36521606"/>
          <a:ext cx="720753" cy="25710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35</xdr:col>
      <xdr:colOff>139783</xdr:colOff>
      <xdr:row>218</xdr:row>
      <xdr:rowOff>41132</xdr:rowOff>
    </xdr:from>
    <xdr:to>
      <xdr:col>35</xdr:col>
      <xdr:colOff>141015</xdr:colOff>
      <xdr:row>223</xdr:row>
      <xdr:rowOff>85306</xdr:rowOff>
    </xdr:to>
    <xdr:cxnSp macro="">
      <xdr:nvCxnSpPr>
        <xdr:cNvPr id="177" name="直線矢印コネクタ 176">
          <a:extLst>
            <a:ext uri="{FF2B5EF4-FFF2-40B4-BE49-F238E27FC236}">
              <a16:creationId xmlns:a16="http://schemas.microsoft.com/office/drawing/2014/main" id="{244F23F5-FA14-4448-8FDB-814AF46335C6}"/>
            </a:ext>
          </a:extLst>
        </xdr:cNvPr>
        <xdr:cNvCxnSpPr>
          <a:stCxn id="169" idx="2"/>
          <a:endCxn id="176" idx="0"/>
        </xdr:cNvCxnSpPr>
      </xdr:nvCxnSpPr>
      <xdr:spPr>
        <a:xfrm flipH="1">
          <a:off x="7143833" y="35617007"/>
          <a:ext cx="1232" cy="90459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164003</xdr:colOff>
      <xdr:row>247</xdr:row>
      <xdr:rowOff>145380</xdr:rowOff>
    </xdr:from>
    <xdr:to>
      <xdr:col>38</xdr:col>
      <xdr:colOff>55250</xdr:colOff>
      <xdr:row>251</xdr:row>
      <xdr:rowOff>7981</xdr:rowOff>
    </xdr:to>
    <xdr:grpSp>
      <xdr:nvGrpSpPr>
        <xdr:cNvPr id="178" name="グループ化 8">
          <a:extLst>
            <a:ext uri="{FF2B5EF4-FFF2-40B4-BE49-F238E27FC236}">
              <a16:creationId xmlns:a16="http://schemas.microsoft.com/office/drawing/2014/main" id="{4F93FEB8-2AD1-47BF-A104-2D6C09C1A210}"/>
            </a:ext>
          </a:extLst>
        </xdr:cNvPr>
        <xdr:cNvGrpSpPr/>
      </xdr:nvGrpSpPr>
      <xdr:grpSpPr>
        <a:xfrm>
          <a:off x="5955203" y="43855605"/>
          <a:ext cx="977097" cy="557926"/>
          <a:chOff x="1633015" y="2430783"/>
          <a:chExt cx="908902" cy="422628"/>
        </a:xfrm>
      </xdr:grpSpPr>
      <xdr:sp macro="" textlink="">
        <xdr:nvSpPr>
          <xdr:cNvPr id="179" name="フローチャート: 定義済み処理 9">
            <a:extLst>
              <a:ext uri="{FF2B5EF4-FFF2-40B4-BE49-F238E27FC236}">
                <a16:creationId xmlns:a16="http://schemas.microsoft.com/office/drawing/2014/main" id="{70E4104D-21B6-E3AC-863D-881A1346A89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0" name="正方形/長方形 48">
            <a:extLst>
              <a:ext uri="{FF2B5EF4-FFF2-40B4-BE49-F238E27FC236}">
                <a16:creationId xmlns:a16="http://schemas.microsoft.com/office/drawing/2014/main" id="{CD756CD5-7C46-8C79-BEA7-2C492C722A95}"/>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リース終了</a:t>
            </a:r>
            <a:endParaRPr kumimoji="1" lang="en-US" altLang="ja-JP" sz="900"/>
          </a:p>
          <a:p>
            <a:pPr algn="ctr"/>
            <a:r>
              <a:rPr kumimoji="1" lang="ja-JP" altLang="en-US" sz="900"/>
              <a:t>承認</a:t>
            </a:r>
          </a:p>
        </xdr:txBody>
      </xdr:sp>
    </xdr:grpSp>
    <xdr:clientData/>
  </xdr:twoCellAnchor>
  <xdr:twoCellAnchor>
    <xdr:from>
      <xdr:col>38</xdr:col>
      <xdr:colOff>6941</xdr:colOff>
      <xdr:row>249</xdr:row>
      <xdr:rowOff>77270</xdr:rowOff>
    </xdr:from>
    <xdr:to>
      <xdr:col>40</xdr:col>
      <xdr:colOff>137767</xdr:colOff>
      <xdr:row>249</xdr:row>
      <xdr:rowOff>77622</xdr:rowOff>
    </xdr:to>
    <xdr:cxnSp macro="">
      <xdr:nvCxnSpPr>
        <xdr:cNvPr id="181" name="直線矢印コネクタ 180">
          <a:extLst>
            <a:ext uri="{FF2B5EF4-FFF2-40B4-BE49-F238E27FC236}">
              <a16:creationId xmlns:a16="http://schemas.microsoft.com/office/drawing/2014/main" id="{124DFFF6-9A34-42FC-AFDA-830D39E35D00}"/>
            </a:ext>
          </a:extLst>
        </xdr:cNvPr>
        <xdr:cNvCxnSpPr>
          <a:stCxn id="179" idx="3"/>
          <a:endCxn id="183" idx="2"/>
        </xdr:cNvCxnSpPr>
      </xdr:nvCxnSpPr>
      <xdr:spPr>
        <a:xfrm flipV="1">
          <a:off x="7611066" y="40968095"/>
          <a:ext cx="530876" cy="3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27008</xdr:colOff>
      <xdr:row>247</xdr:row>
      <xdr:rowOff>121696</xdr:rowOff>
    </xdr:from>
    <xdr:to>
      <xdr:col>45</xdr:col>
      <xdr:colOff>46423</xdr:colOff>
      <xdr:row>251</xdr:row>
      <xdr:rowOff>86525</xdr:rowOff>
    </xdr:to>
    <xdr:grpSp>
      <xdr:nvGrpSpPr>
        <xdr:cNvPr id="182" name="グループ化 181">
          <a:extLst>
            <a:ext uri="{FF2B5EF4-FFF2-40B4-BE49-F238E27FC236}">
              <a16:creationId xmlns:a16="http://schemas.microsoft.com/office/drawing/2014/main" id="{37283C22-0324-440C-86DE-CFF63009CD60}"/>
            </a:ext>
          </a:extLst>
        </xdr:cNvPr>
        <xdr:cNvGrpSpPr>
          <a:grpSpLocks noChangeAspect="1"/>
        </xdr:cNvGrpSpPr>
      </xdr:nvGrpSpPr>
      <xdr:grpSpPr>
        <a:xfrm>
          <a:off x="7266008" y="43831921"/>
          <a:ext cx="924290" cy="660154"/>
          <a:chOff x="7112003" y="2892425"/>
          <a:chExt cx="873125" cy="584984"/>
        </a:xfrm>
      </xdr:grpSpPr>
      <xdr:sp macro="" textlink="">
        <xdr:nvSpPr>
          <xdr:cNvPr id="183" name="フローチャート: 磁気ディスク 182">
            <a:extLst>
              <a:ext uri="{FF2B5EF4-FFF2-40B4-BE49-F238E27FC236}">
                <a16:creationId xmlns:a16="http://schemas.microsoft.com/office/drawing/2014/main" id="{E7851F73-D398-1F76-9AC2-7641D28C6AF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4" name="正方形/長方形 183">
            <a:extLst>
              <a:ext uri="{FF2B5EF4-FFF2-40B4-BE49-F238E27FC236}">
                <a16:creationId xmlns:a16="http://schemas.microsoft.com/office/drawing/2014/main" id="{6A4EB933-1BB7-7B4F-A534-D12C39D795CD}"/>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28</xdr:col>
      <xdr:colOff>36438</xdr:colOff>
      <xdr:row>243</xdr:row>
      <xdr:rowOff>118990</xdr:rowOff>
    </xdr:from>
    <xdr:to>
      <xdr:col>35</xdr:col>
      <xdr:colOff>112362</xdr:colOff>
      <xdr:row>248</xdr:row>
      <xdr:rowOff>8645</xdr:rowOff>
    </xdr:to>
    <xdr:cxnSp macro="">
      <xdr:nvCxnSpPr>
        <xdr:cNvPr id="185" name="コネクタ: カギ線 184">
          <a:extLst>
            <a:ext uri="{FF2B5EF4-FFF2-40B4-BE49-F238E27FC236}">
              <a16:creationId xmlns:a16="http://schemas.microsoft.com/office/drawing/2014/main" id="{45F46B7B-2151-483B-BD91-5054C3775217}"/>
            </a:ext>
          </a:extLst>
        </xdr:cNvPr>
        <xdr:cNvCxnSpPr>
          <a:stCxn id="69" idx="2"/>
          <a:endCxn id="179" idx="0"/>
        </xdr:cNvCxnSpPr>
      </xdr:nvCxnSpPr>
      <xdr:spPr>
        <a:xfrm rot="16200000" flipH="1">
          <a:off x="6001735" y="39619693"/>
          <a:ext cx="746905" cy="147609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151847</xdr:colOff>
      <xdr:row>254</xdr:row>
      <xdr:rowOff>20707</xdr:rowOff>
    </xdr:from>
    <xdr:to>
      <xdr:col>31</xdr:col>
      <xdr:colOff>49444</xdr:colOff>
      <xdr:row>257</xdr:row>
      <xdr:rowOff>46336</xdr:rowOff>
    </xdr:to>
    <xdr:grpSp>
      <xdr:nvGrpSpPr>
        <xdr:cNvPr id="186" name="グループ化 8">
          <a:extLst>
            <a:ext uri="{FF2B5EF4-FFF2-40B4-BE49-F238E27FC236}">
              <a16:creationId xmlns:a16="http://schemas.microsoft.com/office/drawing/2014/main" id="{270A6F17-BF1C-4B5D-8FF0-1F629591E2BA}"/>
            </a:ext>
          </a:extLst>
        </xdr:cNvPr>
        <xdr:cNvGrpSpPr/>
      </xdr:nvGrpSpPr>
      <xdr:grpSpPr>
        <a:xfrm>
          <a:off x="4676222" y="44969182"/>
          <a:ext cx="983447" cy="539979"/>
          <a:chOff x="1633015" y="2430783"/>
          <a:chExt cx="908902" cy="422628"/>
        </a:xfrm>
      </xdr:grpSpPr>
      <xdr:sp macro="" textlink="">
        <xdr:nvSpPr>
          <xdr:cNvPr id="187" name="フローチャート: 定義済み処理 9">
            <a:extLst>
              <a:ext uri="{FF2B5EF4-FFF2-40B4-BE49-F238E27FC236}">
                <a16:creationId xmlns:a16="http://schemas.microsoft.com/office/drawing/2014/main" id="{4D9C461A-3A81-AED4-C426-5FEEDF7B81C6}"/>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8" name="正方形/長方形 48">
            <a:extLst>
              <a:ext uri="{FF2B5EF4-FFF2-40B4-BE49-F238E27FC236}">
                <a16:creationId xmlns:a16="http://schemas.microsoft.com/office/drawing/2014/main" id="{DF938AC3-711D-3C7B-31FF-8B147962693D}"/>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リース終了処理</a:t>
            </a:r>
            <a:endParaRPr kumimoji="1" lang="en-US" altLang="ja-JP" sz="900"/>
          </a:p>
        </xdr:txBody>
      </xdr:sp>
    </xdr:grpSp>
    <xdr:clientData/>
  </xdr:twoCellAnchor>
  <xdr:twoCellAnchor>
    <xdr:from>
      <xdr:col>28</xdr:col>
      <xdr:colOff>103383</xdr:colOff>
      <xdr:row>250</xdr:row>
      <xdr:rowOff>146598</xdr:rowOff>
    </xdr:from>
    <xdr:to>
      <xdr:col>35</xdr:col>
      <xdr:colOff>112364</xdr:colOff>
      <xdr:row>254</xdr:row>
      <xdr:rowOff>53350</xdr:rowOff>
    </xdr:to>
    <xdr:cxnSp macro="">
      <xdr:nvCxnSpPr>
        <xdr:cNvPr id="189" name="コネクタ: カギ線 188">
          <a:extLst>
            <a:ext uri="{FF2B5EF4-FFF2-40B4-BE49-F238E27FC236}">
              <a16:creationId xmlns:a16="http://schemas.microsoft.com/office/drawing/2014/main" id="{D17F694A-D09C-4A3F-A350-7DF7765DC9F9}"/>
            </a:ext>
          </a:extLst>
        </xdr:cNvPr>
        <xdr:cNvCxnSpPr>
          <a:stCxn id="179" idx="2"/>
          <a:endCxn id="187" idx="0"/>
        </xdr:cNvCxnSpPr>
      </xdr:nvCxnSpPr>
      <xdr:spPr>
        <a:xfrm rot="5400000">
          <a:off x="6113973" y="40798983"/>
          <a:ext cx="592552" cy="140598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27008</xdr:colOff>
      <xdr:row>253</xdr:row>
      <xdr:rowOff>162557</xdr:rowOff>
    </xdr:from>
    <xdr:to>
      <xdr:col>45</xdr:col>
      <xdr:colOff>46423</xdr:colOff>
      <xdr:row>257</xdr:row>
      <xdr:rowOff>121035</xdr:rowOff>
    </xdr:to>
    <xdr:grpSp>
      <xdr:nvGrpSpPr>
        <xdr:cNvPr id="190" name="グループ化 189">
          <a:extLst>
            <a:ext uri="{FF2B5EF4-FFF2-40B4-BE49-F238E27FC236}">
              <a16:creationId xmlns:a16="http://schemas.microsoft.com/office/drawing/2014/main" id="{32428106-DE11-41C4-B8C5-DDE73511701B}"/>
            </a:ext>
          </a:extLst>
        </xdr:cNvPr>
        <xdr:cNvGrpSpPr>
          <a:grpSpLocks noChangeAspect="1"/>
        </xdr:cNvGrpSpPr>
      </xdr:nvGrpSpPr>
      <xdr:grpSpPr>
        <a:xfrm>
          <a:off x="7266008" y="44930057"/>
          <a:ext cx="924290" cy="653803"/>
          <a:chOff x="7112003" y="2892425"/>
          <a:chExt cx="873125" cy="584984"/>
        </a:xfrm>
      </xdr:grpSpPr>
      <xdr:sp macro="" textlink="">
        <xdr:nvSpPr>
          <xdr:cNvPr id="191" name="フローチャート: 磁気ディスク 190">
            <a:extLst>
              <a:ext uri="{FF2B5EF4-FFF2-40B4-BE49-F238E27FC236}">
                <a16:creationId xmlns:a16="http://schemas.microsoft.com/office/drawing/2014/main" id="{C260809A-F355-DC65-FA5C-FCE0A35AB5C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2" name="正方形/長方形 191">
            <a:extLst>
              <a:ext uri="{FF2B5EF4-FFF2-40B4-BE49-F238E27FC236}">
                <a16:creationId xmlns:a16="http://schemas.microsoft.com/office/drawing/2014/main" id="{57002CFB-04A3-A1E4-19A8-1B32DF39AFEE}"/>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30</xdr:col>
      <xdr:colOff>198123</xdr:colOff>
      <xdr:row>255</xdr:row>
      <xdr:rowOff>111781</xdr:rowOff>
    </xdr:from>
    <xdr:to>
      <xdr:col>40</xdr:col>
      <xdr:colOff>137767</xdr:colOff>
      <xdr:row>255</xdr:row>
      <xdr:rowOff>122328</xdr:rowOff>
    </xdr:to>
    <xdr:cxnSp macro="">
      <xdr:nvCxnSpPr>
        <xdr:cNvPr id="193" name="直線矢印コネクタ 192">
          <a:extLst>
            <a:ext uri="{FF2B5EF4-FFF2-40B4-BE49-F238E27FC236}">
              <a16:creationId xmlns:a16="http://schemas.microsoft.com/office/drawing/2014/main" id="{79E30D0E-EF3A-437A-8D0E-5397A10CB9AA}"/>
            </a:ext>
          </a:extLst>
        </xdr:cNvPr>
        <xdr:cNvCxnSpPr>
          <a:stCxn id="187" idx="3"/>
          <a:endCxn id="191" idx="2"/>
        </xdr:cNvCxnSpPr>
      </xdr:nvCxnSpPr>
      <xdr:spPr>
        <a:xfrm flipV="1">
          <a:off x="6202048" y="42031306"/>
          <a:ext cx="1939894" cy="137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101005</xdr:colOff>
      <xdr:row>257</xdr:row>
      <xdr:rowOff>18750</xdr:rowOff>
    </xdr:from>
    <xdr:to>
      <xdr:col>28</xdr:col>
      <xdr:colOff>103382</xdr:colOff>
      <xdr:row>260</xdr:row>
      <xdr:rowOff>31400</xdr:rowOff>
    </xdr:to>
    <xdr:cxnSp macro="">
      <xdr:nvCxnSpPr>
        <xdr:cNvPr id="194" name="直線矢印コネクタ 193">
          <a:extLst>
            <a:ext uri="{FF2B5EF4-FFF2-40B4-BE49-F238E27FC236}">
              <a16:creationId xmlns:a16="http://schemas.microsoft.com/office/drawing/2014/main" id="{FBEF02E9-51DE-4214-BA26-067624410973}"/>
            </a:ext>
          </a:extLst>
        </xdr:cNvPr>
        <xdr:cNvCxnSpPr>
          <a:cxnSpLocks/>
          <a:stCxn id="187" idx="2"/>
          <a:endCxn id="62" idx="0"/>
        </xdr:cNvCxnSpPr>
      </xdr:nvCxnSpPr>
      <xdr:spPr>
        <a:xfrm flipH="1">
          <a:off x="5704880" y="42281175"/>
          <a:ext cx="2377" cy="52382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266</xdr:row>
      <xdr:rowOff>146538</xdr:rowOff>
    </xdr:from>
    <xdr:to>
      <xdr:col>29</xdr:col>
      <xdr:colOff>192467</xdr:colOff>
      <xdr:row>268</xdr:row>
      <xdr:rowOff>78524</xdr:rowOff>
    </xdr:to>
    <xdr:sp macro="" textlink="">
      <xdr:nvSpPr>
        <xdr:cNvPr id="195" name="フローチャート: 端子 26">
          <a:extLst>
            <a:ext uri="{FF2B5EF4-FFF2-40B4-BE49-F238E27FC236}">
              <a16:creationId xmlns:a16="http://schemas.microsoft.com/office/drawing/2014/main" id="{AFDEA3F6-E17F-41E2-A2AF-9D0DEBBF89CD}"/>
            </a:ext>
          </a:extLst>
        </xdr:cNvPr>
        <xdr:cNvSpPr/>
      </xdr:nvSpPr>
      <xdr:spPr>
        <a:xfrm>
          <a:off x="5286603" y="43948838"/>
          <a:ext cx="706589"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145037</xdr:colOff>
      <xdr:row>270</xdr:row>
      <xdr:rowOff>152868</xdr:rowOff>
    </xdr:from>
    <xdr:to>
      <xdr:col>30</xdr:col>
      <xdr:colOff>122887</xdr:colOff>
      <xdr:row>273</xdr:row>
      <xdr:rowOff>122845</xdr:rowOff>
    </xdr:to>
    <xdr:sp macro="" textlink="">
      <xdr:nvSpPr>
        <xdr:cNvPr id="196" name="フローチャート: 定義済み処理 9">
          <a:extLst>
            <a:ext uri="{FF2B5EF4-FFF2-40B4-BE49-F238E27FC236}">
              <a16:creationId xmlns:a16="http://schemas.microsoft.com/office/drawing/2014/main" id="{06EDC50C-2E4B-4B55-A65D-61ABC5ADBD15}"/>
            </a:ext>
          </a:extLst>
        </xdr:cNvPr>
        <xdr:cNvSpPr/>
      </xdr:nvSpPr>
      <xdr:spPr>
        <a:xfrm>
          <a:off x="5142487" y="44644143"/>
          <a:ext cx="984325" cy="48750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78822</xdr:colOff>
      <xdr:row>270</xdr:row>
      <xdr:rowOff>47676</xdr:rowOff>
    </xdr:from>
    <xdr:to>
      <xdr:col>31</xdr:col>
      <xdr:colOff>157742</xdr:colOff>
      <xdr:row>274</xdr:row>
      <xdr:rowOff>7292</xdr:rowOff>
    </xdr:to>
    <xdr:sp macro="" textlink="">
      <xdr:nvSpPr>
        <xdr:cNvPr id="197" name="正方形/長方形 48">
          <a:extLst>
            <a:ext uri="{FF2B5EF4-FFF2-40B4-BE49-F238E27FC236}">
              <a16:creationId xmlns:a16="http://schemas.microsoft.com/office/drawing/2014/main" id="{DA9B3853-5998-4DF4-ABF4-5F7B1D3FA751}"/>
            </a:ext>
          </a:extLst>
        </xdr:cNvPr>
        <xdr:cNvSpPr/>
      </xdr:nvSpPr>
      <xdr:spPr>
        <a:xfrm>
          <a:off x="4879422" y="44535776"/>
          <a:ext cx="1482270" cy="6517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リース</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帳簿</a:t>
          </a:r>
          <a:r>
            <a:rPr kumimoji="1" lang="en-US" altLang="ja-JP" sz="900">
              <a:solidFill>
                <a:schemeClr val="dk1"/>
              </a:solidFill>
              <a:effectLst/>
              <a:latin typeface="+mn-lt"/>
              <a:ea typeface="+mn-ea"/>
              <a:cs typeface="+mn-cs"/>
            </a:rPr>
            <a:t>)</a:t>
          </a:r>
        </a:p>
        <a:p>
          <a:pPr algn="ctr"/>
          <a:r>
            <a:rPr kumimoji="1" lang="ja-JP" altLang="en-US" sz="900">
              <a:solidFill>
                <a:schemeClr val="dk1"/>
              </a:solidFill>
              <a:effectLst/>
              <a:latin typeface="+mn-lt"/>
              <a:ea typeface="+mn-ea"/>
              <a:cs typeface="+mn-cs"/>
            </a:rPr>
            <a:t>名称変更</a:t>
          </a:r>
          <a:endParaRPr kumimoji="1" lang="en-US" altLang="ja-JP" sz="900">
            <a:solidFill>
              <a:schemeClr val="dk1"/>
            </a:solidFill>
            <a:effectLst/>
            <a:latin typeface="+mn-lt"/>
            <a:ea typeface="+mn-ea"/>
            <a:cs typeface="+mn-cs"/>
          </a:endParaRPr>
        </a:p>
      </xdr:txBody>
    </xdr:sp>
    <xdr:clientData/>
  </xdr:twoCellAnchor>
  <xdr:twoCellAnchor>
    <xdr:from>
      <xdr:col>30</xdr:col>
      <xdr:colOff>122887</xdr:colOff>
      <xdr:row>272</xdr:row>
      <xdr:rowOff>41354</xdr:rowOff>
    </xdr:from>
    <xdr:to>
      <xdr:col>40</xdr:col>
      <xdr:colOff>152283</xdr:colOff>
      <xdr:row>272</xdr:row>
      <xdr:rowOff>48887</xdr:rowOff>
    </xdr:to>
    <xdr:cxnSp macro="">
      <xdr:nvCxnSpPr>
        <xdr:cNvPr id="198" name="直線矢印コネクタ 197">
          <a:extLst>
            <a:ext uri="{FF2B5EF4-FFF2-40B4-BE49-F238E27FC236}">
              <a16:creationId xmlns:a16="http://schemas.microsoft.com/office/drawing/2014/main" id="{6FC377A2-A94B-4756-BC70-3FAC754812E2}"/>
            </a:ext>
          </a:extLst>
        </xdr:cNvPr>
        <xdr:cNvCxnSpPr>
          <a:stCxn id="196" idx="3"/>
          <a:endCxn id="202" idx="2"/>
        </xdr:cNvCxnSpPr>
      </xdr:nvCxnSpPr>
      <xdr:spPr>
        <a:xfrm flipV="1">
          <a:off x="6126812" y="44878704"/>
          <a:ext cx="2026471"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65445</xdr:colOff>
      <xdr:row>279</xdr:row>
      <xdr:rowOff>56800</xdr:rowOff>
    </xdr:from>
    <xdr:to>
      <xdr:col>29</xdr:col>
      <xdr:colOff>182948</xdr:colOff>
      <xdr:row>280</xdr:row>
      <xdr:rowOff>153086</xdr:rowOff>
    </xdr:to>
    <xdr:sp macro="" textlink="">
      <xdr:nvSpPr>
        <xdr:cNvPr id="199" name="フローチャート: 端子 26">
          <a:extLst>
            <a:ext uri="{FF2B5EF4-FFF2-40B4-BE49-F238E27FC236}">
              <a16:creationId xmlns:a16="http://schemas.microsoft.com/office/drawing/2014/main" id="{92BF4661-CDA6-4DD6-B558-6CDADC8D82F6}"/>
            </a:ext>
          </a:extLst>
        </xdr:cNvPr>
        <xdr:cNvSpPr/>
      </xdr:nvSpPr>
      <xdr:spPr>
        <a:xfrm>
          <a:off x="5269270" y="46091125"/>
          <a:ext cx="711228" cy="2677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268</xdr:row>
      <xdr:rowOff>78524</xdr:rowOff>
    </xdr:from>
    <xdr:to>
      <xdr:col>28</xdr:col>
      <xdr:colOff>38186</xdr:colOff>
      <xdr:row>270</xdr:row>
      <xdr:rowOff>152868</xdr:rowOff>
    </xdr:to>
    <xdr:cxnSp macro="">
      <xdr:nvCxnSpPr>
        <xdr:cNvPr id="200" name="直線矢印コネクタ 199">
          <a:extLst>
            <a:ext uri="{FF2B5EF4-FFF2-40B4-BE49-F238E27FC236}">
              <a16:creationId xmlns:a16="http://schemas.microsoft.com/office/drawing/2014/main" id="{7CEDEC0E-6421-4DF9-930A-68E87B7A72B0}"/>
            </a:ext>
          </a:extLst>
        </xdr:cNvPr>
        <xdr:cNvCxnSpPr>
          <a:stCxn id="195" idx="2"/>
          <a:endCxn id="196" idx="0"/>
        </xdr:cNvCxnSpPr>
      </xdr:nvCxnSpPr>
      <xdr:spPr>
        <a:xfrm flipH="1">
          <a:off x="5632050" y="44226899"/>
          <a:ext cx="6836"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45044</xdr:colOff>
      <xdr:row>270</xdr:row>
      <xdr:rowOff>88389</xdr:rowOff>
    </xdr:from>
    <xdr:to>
      <xdr:col>45</xdr:col>
      <xdr:colOff>67634</xdr:colOff>
      <xdr:row>274</xdr:row>
      <xdr:rowOff>50044</xdr:rowOff>
    </xdr:to>
    <xdr:grpSp>
      <xdr:nvGrpSpPr>
        <xdr:cNvPr id="201" name="グループ化 200">
          <a:extLst>
            <a:ext uri="{FF2B5EF4-FFF2-40B4-BE49-F238E27FC236}">
              <a16:creationId xmlns:a16="http://schemas.microsoft.com/office/drawing/2014/main" id="{6A21DED3-FAF2-4C3F-9DFC-B4D3AC290854}"/>
            </a:ext>
          </a:extLst>
        </xdr:cNvPr>
        <xdr:cNvGrpSpPr>
          <a:grpSpLocks noChangeAspect="1"/>
        </xdr:cNvGrpSpPr>
      </xdr:nvGrpSpPr>
      <xdr:grpSpPr>
        <a:xfrm>
          <a:off x="7284044" y="47865789"/>
          <a:ext cx="927465" cy="656980"/>
          <a:chOff x="7112003" y="2892425"/>
          <a:chExt cx="873125" cy="584984"/>
        </a:xfrm>
      </xdr:grpSpPr>
      <xdr:sp macro="" textlink="">
        <xdr:nvSpPr>
          <xdr:cNvPr id="202" name="フローチャート: 磁気ディスク 201">
            <a:extLst>
              <a:ext uri="{FF2B5EF4-FFF2-40B4-BE49-F238E27FC236}">
                <a16:creationId xmlns:a16="http://schemas.microsoft.com/office/drawing/2014/main" id="{60813677-EDDC-80F8-6915-39FC2142021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3" name="正方形/長方形 202">
            <a:extLst>
              <a:ext uri="{FF2B5EF4-FFF2-40B4-BE49-F238E27FC236}">
                <a16:creationId xmlns:a16="http://schemas.microsoft.com/office/drawing/2014/main" id="{06808761-404F-4802-8866-E24415DA7EC5}"/>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（帳簿）</a:t>
            </a:r>
          </a:p>
        </xdr:txBody>
      </xdr:sp>
    </xdr:grpSp>
    <xdr:clientData/>
  </xdr:twoCellAnchor>
  <xdr:twoCellAnchor>
    <xdr:from>
      <xdr:col>28</xdr:col>
      <xdr:colOff>24184</xdr:colOff>
      <xdr:row>273</xdr:row>
      <xdr:rowOff>126020</xdr:rowOff>
    </xdr:from>
    <xdr:to>
      <xdr:col>28</xdr:col>
      <xdr:colOff>33950</xdr:colOff>
      <xdr:row>279</xdr:row>
      <xdr:rowOff>56800</xdr:rowOff>
    </xdr:to>
    <xdr:cxnSp macro="">
      <xdr:nvCxnSpPr>
        <xdr:cNvPr id="204" name="直線矢印コネクタ 203">
          <a:extLst>
            <a:ext uri="{FF2B5EF4-FFF2-40B4-BE49-F238E27FC236}">
              <a16:creationId xmlns:a16="http://schemas.microsoft.com/office/drawing/2014/main" id="{B71C499F-4053-4619-A6F4-691B6F9FAF8B}"/>
            </a:ext>
          </a:extLst>
        </xdr:cNvPr>
        <xdr:cNvCxnSpPr>
          <a:cxnSpLocks/>
          <a:stCxn id="196" idx="2"/>
          <a:endCxn id="199" idx="0"/>
        </xdr:cNvCxnSpPr>
      </xdr:nvCxnSpPr>
      <xdr:spPr>
        <a:xfrm flipH="1">
          <a:off x="5628059" y="45128470"/>
          <a:ext cx="3416" cy="96265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285</xdr:row>
      <xdr:rowOff>146538</xdr:rowOff>
    </xdr:from>
    <xdr:to>
      <xdr:col>29</xdr:col>
      <xdr:colOff>192467</xdr:colOff>
      <xdr:row>287</xdr:row>
      <xdr:rowOff>78524</xdr:rowOff>
    </xdr:to>
    <xdr:sp macro="" textlink="">
      <xdr:nvSpPr>
        <xdr:cNvPr id="205" name="フローチャート: 端子 26">
          <a:extLst>
            <a:ext uri="{FF2B5EF4-FFF2-40B4-BE49-F238E27FC236}">
              <a16:creationId xmlns:a16="http://schemas.microsoft.com/office/drawing/2014/main" id="{1FAE8408-F98A-4CA8-8641-F28E004B0257}"/>
            </a:ext>
          </a:extLst>
        </xdr:cNvPr>
        <xdr:cNvSpPr/>
      </xdr:nvSpPr>
      <xdr:spPr>
        <a:xfrm>
          <a:off x="5286603" y="47206388"/>
          <a:ext cx="706589"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145037</xdr:colOff>
      <xdr:row>289</xdr:row>
      <xdr:rowOff>152868</xdr:rowOff>
    </xdr:from>
    <xdr:to>
      <xdr:col>30</xdr:col>
      <xdr:colOff>122887</xdr:colOff>
      <xdr:row>292</xdr:row>
      <xdr:rowOff>122845</xdr:rowOff>
    </xdr:to>
    <xdr:sp macro="" textlink="">
      <xdr:nvSpPr>
        <xdr:cNvPr id="206" name="フローチャート: 定義済み処理 9">
          <a:extLst>
            <a:ext uri="{FF2B5EF4-FFF2-40B4-BE49-F238E27FC236}">
              <a16:creationId xmlns:a16="http://schemas.microsoft.com/office/drawing/2014/main" id="{EBAF8F32-A4A1-480A-B79A-550A6BA7BADE}"/>
            </a:ext>
          </a:extLst>
        </xdr:cNvPr>
        <xdr:cNvSpPr/>
      </xdr:nvSpPr>
      <xdr:spPr>
        <a:xfrm>
          <a:off x="5142487" y="47901693"/>
          <a:ext cx="984325" cy="48750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78822</xdr:colOff>
      <xdr:row>289</xdr:row>
      <xdr:rowOff>47676</xdr:rowOff>
    </xdr:from>
    <xdr:to>
      <xdr:col>31</xdr:col>
      <xdr:colOff>157742</xdr:colOff>
      <xdr:row>293</xdr:row>
      <xdr:rowOff>7292</xdr:rowOff>
    </xdr:to>
    <xdr:sp macro="" textlink="">
      <xdr:nvSpPr>
        <xdr:cNvPr id="207" name="正方形/長方形 48">
          <a:extLst>
            <a:ext uri="{FF2B5EF4-FFF2-40B4-BE49-F238E27FC236}">
              <a16:creationId xmlns:a16="http://schemas.microsoft.com/office/drawing/2014/main" id="{F01AA4D9-2BB7-4F01-814B-9DFAEEA61283}"/>
            </a:ext>
          </a:extLst>
        </xdr:cNvPr>
        <xdr:cNvSpPr/>
      </xdr:nvSpPr>
      <xdr:spPr>
        <a:xfrm>
          <a:off x="4879422" y="47793326"/>
          <a:ext cx="1482270" cy="6517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減損登録</a:t>
          </a:r>
          <a:endParaRPr kumimoji="1" lang="en-US" altLang="ja-JP" sz="900">
            <a:solidFill>
              <a:schemeClr val="dk1"/>
            </a:solidFill>
            <a:effectLst/>
            <a:latin typeface="+mn-lt"/>
            <a:ea typeface="+mn-ea"/>
            <a:cs typeface="+mn-cs"/>
          </a:endParaRPr>
        </a:p>
      </xdr:txBody>
    </xdr:sp>
    <xdr:clientData/>
  </xdr:twoCellAnchor>
  <xdr:twoCellAnchor>
    <xdr:from>
      <xdr:col>30</xdr:col>
      <xdr:colOff>122887</xdr:colOff>
      <xdr:row>291</xdr:row>
      <xdr:rowOff>41354</xdr:rowOff>
    </xdr:from>
    <xdr:to>
      <xdr:col>40</xdr:col>
      <xdr:colOff>152283</xdr:colOff>
      <xdr:row>291</xdr:row>
      <xdr:rowOff>48887</xdr:rowOff>
    </xdr:to>
    <xdr:cxnSp macro="">
      <xdr:nvCxnSpPr>
        <xdr:cNvPr id="208" name="直線矢印コネクタ 207">
          <a:extLst>
            <a:ext uri="{FF2B5EF4-FFF2-40B4-BE49-F238E27FC236}">
              <a16:creationId xmlns:a16="http://schemas.microsoft.com/office/drawing/2014/main" id="{5EF1B160-B9D7-4CB3-883F-BEBF71AF5CFD}"/>
            </a:ext>
          </a:extLst>
        </xdr:cNvPr>
        <xdr:cNvCxnSpPr>
          <a:stCxn id="206" idx="3"/>
          <a:endCxn id="212" idx="2"/>
        </xdr:cNvCxnSpPr>
      </xdr:nvCxnSpPr>
      <xdr:spPr>
        <a:xfrm flipV="1">
          <a:off x="6126812" y="48136254"/>
          <a:ext cx="2026471"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110690</xdr:colOff>
      <xdr:row>321</xdr:row>
      <xdr:rowOff>12351</xdr:rowOff>
    </xdr:from>
    <xdr:to>
      <xdr:col>37</xdr:col>
      <xdr:colOff>6736</xdr:colOff>
      <xdr:row>322</xdr:row>
      <xdr:rowOff>102286</xdr:rowOff>
    </xdr:to>
    <xdr:sp macro="" textlink="">
      <xdr:nvSpPr>
        <xdr:cNvPr id="209" name="フローチャート: 端子 26">
          <a:extLst>
            <a:ext uri="{FF2B5EF4-FFF2-40B4-BE49-F238E27FC236}">
              <a16:creationId xmlns:a16="http://schemas.microsoft.com/office/drawing/2014/main" id="{D63F72D5-4B93-4FC9-A567-1BD484C621AD}"/>
            </a:ext>
          </a:extLst>
        </xdr:cNvPr>
        <xdr:cNvSpPr/>
      </xdr:nvSpPr>
      <xdr:spPr>
        <a:xfrm>
          <a:off x="6708340" y="53244401"/>
          <a:ext cx="702496" cy="26773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287</xdr:row>
      <xdr:rowOff>78524</xdr:rowOff>
    </xdr:from>
    <xdr:to>
      <xdr:col>28</xdr:col>
      <xdr:colOff>38186</xdr:colOff>
      <xdr:row>289</xdr:row>
      <xdr:rowOff>152868</xdr:rowOff>
    </xdr:to>
    <xdr:cxnSp macro="">
      <xdr:nvCxnSpPr>
        <xdr:cNvPr id="210" name="直線矢印コネクタ 209">
          <a:extLst>
            <a:ext uri="{FF2B5EF4-FFF2-40B4-BE49-F238E27FC236}">
              <a16:creationId xmlns:a16="http://schemas.microsoft.com/office/drawing/2014/main" id="{4B3EE152-D067-4234-ABF5-9E462982BD93}"/>
            </a:ext>
          </a:extLst>
        </xdr:cNvPr>
        <xdr:cNvCxnSpPr>
          <a:stCxn id="205" idx="2"/>
          <a:endCxn id="206" idx="0"/>
        </xdr:cNvCxnSpPr>
      </xdr:nvCxnSpPr>
      <xdr:spPr>
        <a:xfrm flipH="1">
          <a:off x="5632050" y="47484449"/>
          <a:ext cx="6836"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45044</xdr:colOff>
      <xdr:row>289</xdr:row>
      <xdr:rowOff>88389</xdr:rowOff>
    </xdr:from>
    <xdr:to>
      <xdr:col>45</xdr:col>
      <xdr:colOff>67634</xdr:colOff>
      <xdr:row>293</xdr:row>
      <xdr:rowOff>50044</xdr:rowOff>
    </xdr:to>
    <xdr:grpSp>
      <xdr:nvGrpSpPr>
        <xdr:cNvPr id="211" name="グループ化 210">
          <a:extLst>
            <a:ext uri="{FF2B5EF4-FFF2-40B4-BE49-F238E27FC236}">
              <a16:creationId xmlns:a16="http://schemas.microsoft.com/office/drawing/2014/main" id="{F04DA0A1-09EA-4F19-9413-70A1578928B2}"/>
            </a:ext>
          </a:extLst>
        </xdr:cNvPr>
        <xdr:cNvGrpSpPr>
          <a:grpSpLocks noChangeAspect="1"/>
        </xdr:cNvGrpSpPr>
      </xdr:nvGrpSpPr>
      <xdr:grpSpPr>
        <a:xfrm>
          <a:off x="7284044" y="51228114"/>
          <a:ext cx="927465" cy="656980"/>
          <a:chOff x="7112003" y="2892425"/>
          <a:chExt cx="873125" cy="584984"/>
        </a:xfrm>
      </xdr:grpSpPr>
      <xdr:sp macro="" textlink="">
        <xdr:nvSpPr>
          <xdr:cNvPr id="212" name="フローチャート: 磁気ディスク 211">
            <a:extLst>
              <a:ext uri="{FF2B5EF4-FFF2-40B4-BE49-F238E27FC236}">
                <a16:creationId xmlns:a16="http://schemas.microsoft.com/office/drawing/2014/main" id="{264D99AB-43AD-163F-D657-244EDE5DFB0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3" name="正方形/長方形 212">
            <a:extLst>
              <a:ext uri="{FF2B5EF4-FFF2-40B4-BE49-F238E27FC236}">
                <a16:creationId xmlns:a16="http://schemas.microsoft.com/office/drawing/2014/main" id="{490E84D8-B757-B96D-6B4F-059D642A1E03}"/>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（帳簿）</a:t>
            </a:r>
          </a:p>
        </xdr:txBody>
      </xdr:sp>
    </xdr:grpSp>
    <xdr:clientData/>
  </xdr:twoCellAnchor>
  <xdr:twoCellAnchor>
    <xdr:from>
      <xdr:col>28</xdr:col>
      <xdr:colOff>20809</xdr:colOff>
      <xdr:row>292</xdr:row>
      <xdr:rowOff>126020</xdr:rowOff>
    </xdr:from>
    <xdr:to>
      <xdr:col>28</xdr:col>
      <xdr:colOff>32759</xdr:colOff>
      <xdr:row>299</xdr:row>
      <xdr:rowOff>144875</xdr:rowOff>
    </xdr:to>
    <xdr:cxnSp macro="">
      <xdr:nvCxnSpPr>
        <xdr:cNvPr id="214" name="直線矢印コネクタ 213">
          <a:extLst>
            <a:ext uri="{FF2B5EF4-FFF2-40B4-BE49-F238E27FC236}">
              <a16:creationId xmlns:a16="http://schemas.microsoft.com/office/drawing/2014/main" id="{A5048A85-9942-4967-914E-B4E1816F7F15}"/>
            </a:ext>
          </a:extLst>
        </xdr:cNvPr>
        <xdr:cNvCxnSpPr>
          <a:cxnSpLocks/>
          <a:stCxn id="206" idx="2"/>
          <a:endCxn id="216" idx="0"/>
        </xdr:cNvCxnSpPr>
      </xdr:nvCxnSpPr>
      <xdr:spPr>
        <a:xfrm flipH="1">
          <a:off x="5621509" y="48386020"/>
          <a:ext cx="8775" cy="121900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76201</xdr:colOff>
      <xdr:row>299</xdr:row>
      <xdr:rowOff>112714</xdr:rowOff>
    </xdr:from>
    <xdr:to>
      <xdr:col>30</xdr:col>
      <xdr:colOff>162587</xdr:colOff>
      <xdr:row>302</xdr:row>
      <xdr:rowOff>151043</xdr:rowOff>
    </xdr:to>
    <xdr:grpSp>
      <xdr:nvGrpSpPr>
        <xdr:cNvPr id="215" name="グループ化 8">
          <a:extLst>
            <a:ext uri="{FF2B5EF4-FFF2-40B4-BE49-F238E27FC236}">
              <a16:creationId xmlns:a16="http://schemas.microsoft.com/office/drawing/2014/main" id="{A7DD98F8-66D5-400D-AD8A-6C6383A7A39F}"/>
            </a:ext>
          </a:extLst>
        </xdr:cNvPr>
        <xdr:cNvGrpSpPr/>
      </xdr:nvGrpSpPr>
      <xdr:grpSpPr>
        <a:xfrm>
          <a:off x="4600576" y="53005039"/>
          <a:ext cx="991261" cy="552679"/>
          <a:chOff x="1633113" y="2430783"/>
          <a:chExt cx="908902" cy="422628"/>
        </a:xfrm>
      </xdr:grpSpPr>
      <xdr:sp macro="" textlink="">
        <xdr:nvSpPr>
          <xdr:cNvPr id="216" name="フローチャート: 定義済み処理 9">
            <a:extLst>
              <a:ext uri="{FF2B5EF4-FFF2-40B4-BE49-F238E27FC236}">
                <a16:creationId xmlns:a16="http://schemas.microsoft.com/office/drawing/2014/main" id="{1CC30E9C-43C4-12A0-663F-395B76EEB8CF}"/>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7" name="正方形/長方形 48">
            <a:extLst>
              <a:ext uri="{FF2B5EF4-FFF2-40B4-BE49-F238E27FC236}">
                <a16:creationId xmlns:a16="http://schemas.microsoft.com/office/drawing/2014/main" id="{CA5A796F-8873-C876-269E-38AAE37D548F}"/>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間接法の振替</a:t>
            </a:r>
            <a:endParaRPr kumimoji="1" lang="en-US" altLang="ja-JP" sz="900"/>
          </a:p>
          <a:p>
            <a:pPr algn="ctr"/>
            <a:r>
              <a:rPr kumimoji="1" lang="ja-JP" altLang="en-US" sz="900"/>
              <a:t>仕訳の登録</a:t>
            </a:r>
            <a:endParaRPr kumimoji="1" lang="en-US" altLang="ja-JP" sz="900"/>
          </a:p>
        </xdr:txBody>
      </xdr:sp>
    </xdr:grpSp>
    <xdr:clientData/>
  </xdr:twoCellAnchor>
  <xdr:twoCellAnchor>
    <xdr:from>
      <xdr:col>6</xdr:col>
      <xdr:colOff>35718</xdr:colOff>
      <xdr:row>19</xdr:row>
      <xdr:rowOff>0</xdr:rowOff>
    </xdr:from>
    <xdr:to>
      <xdr:col>11</xdr:col>
      <xdr:colOff>106193</xdr:colOff>
      <xdr:row>21</xdr:row>
      <xdr:rowOff>30681</xdr:rowOff>
    </xdr:to>
    <xdr:grpSp>
      <xdr:nvGrpSpPr>
        <xdr:cNvPr id="218" name="グループ化 30">
          <a:extLst>
            <a:ext uri="{FF2B5EF4-FFF2-40B4-BE49-F238E27FC236}">
              <a16:creationId xmlns:a16="http://schemas.microsoft.com/office/drawing/2014/main" id="{F23AA5B8-D06E-4425-A934-5F783DB044E0}"/>
            </a:ext>
          </a:extLst>
        </xdr:cNvPr>
        <xdr:cNvGrpSpPr>
          <a:grpSpLocks noChangeAspect="1"/>
        </xdr:cNvGrpSpPr>
      </xdr:nvGrpSpPr>
      <xdr:grpSpPr>
        <a:xfrm>
          <a:off x="1121568" y="3390900"/>
          <a:ext cx="975350" cy="383106"/>
          <a:chOff x="2595823" y="18514795"/>
          <a:chExt cx="1182905" cy="417276"/>
        </a:xfrm>
      </xdr:grpSpPr>
      <xdr:sp macro="" textlink="">
        <xdr:nvSpPr>
          <xdr:cNvPr id="219" name="フローチャート: 書類 31">
            <a:extLst>
              <a:ext uri="{FF2B5EF4-FFF2-40B4-BE49-F238E27FC236}">
                <a16:creationId xmlns:a16="http://schemas.microsoft.com/office/drawing/2014/main" id="{E17EAFDE-2F2A-CEB0-575E-51B3E14ADA26}"/>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20" name="正方形/長方形 35">
            <a:extLst>
              <a:ext uri="{FF2B5EF4-FFF2-40B4-BE49-F238E27FC236}">
                <a16:creationId xmlns:a16="http://schemas.microsoft.com/office/drawing/2014/main" id="{C7A5F307-69FF-99AC-6889-B8AD244316BE}"/>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11</xdr:col>
      <xdr:colOff>182750</xdr:colOff>
      <xdr:row>22</xdr:row>
      <xdr:rowOff>141375</xdr:rowOff>
    </xdr:from>
    <xdr:to>
      <xdr:col>17</xdr:col>
      <xdr:colOff>6865</xdr:colOff>
      <xdr:row>26</xdr:row>
      <xdr:rowOff>10044</xdr:rowOff>
    </xdr:to>
    <xdr:grpSp>
      <xdr:nvGrpSpPr>
        <xdr:cNvPr id="221" name="グループ化 220">
          <a:extLst>
            <a:ext uri="{FF2B5EF4-FFF2-40B4-BE49-F238E27FC236}">
              <a16:creationId xmlns:a16="http://schemas.microsoft.com/office/drawing/2014/main" id="{1C7DCEB8-EE84-487A-89DC-173EDE3B938F}"/>
            </a:ext>
          </a:extLst>
        </xdr:cNvPr>
        <xdr:cNvGrpSpPr/>
      </xdr:nvGrpSpPr>
      <xdr:grpSpPr>
        <a:xfrm>
          <a:off x="2173475" y="4065675"/>
          <a:ext cx="909965" cy="573519"/>
          <a:chOff x="5326250" y="3402150"/>
          <a:chExt cx="1032202" cy="540459"/>
        </a:xfrm>
      </xdr:grpSpPr>
      <xdr:sp macro="" textlink="">
        <xdr:nvSpPr>
          <xdr:cNvPr id="222" name="正方形/長方形 221">
            <a:extLst>
              <a:ext uri="{FF2B5EF4-FFF2-40B4-BE49-F238E27FC236}">
                <a16:creationId xmlns:a16="http://schemas.microsoft.com/office/drawing/2014/main" id="{CD2DB9BC-287C-BEF1-5EC9-C80BCA26879D}"/>
              </a:ext>
            </a:extLst>
          </xdr:cNvPr>
          <xdr:cNvSpPr/>
        </xdr:nvSpPr>
        <xdr:spPr>
          <a:xfrm>
            <a:off x="5407275" y="3466164"/>
            <a:ext cx="893422" cy="401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3" name="正方形/長方形 48">
            <a:extLst>
              <a:ext uri="{FF2B5EF4-FFF2-40B4-BE49-F238E27FC236}">
                <a16:creationId xmlns:a16="http://schemas.microsoft.com/office/drawing/2014/main" id="{8810CD01-F312-2CC7-56C5-BC0AEDC699CF}"/>
              </a:ext>
            </a:extLst>
          </xdr:cNvPr>
          <xdr:cNvSpPr/>
        </xdr:nvSpPr>
        <xdr:spPr>
          <a:xfrm>
            <a:off x="5326250" y="3402150"/>
            <a:ext cx="1032202" cy="5404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grpSp>
    <xdr:clientData/>
  </xdr:twoCellAnchor>
  <xdr:twoCellAnchor>
    <xdr:from>
      <xdr:col>5</xdr:col>
      <xdr:colOff>177730</xdr:colOff>
      <xdr:row>19</xdr:row>
      <xdr:rowOff>164379</xdr:rowOff>
    </xdr:from>
    <xdr:to>
      <xdr:col>14</xdr:col>
      <xdr:colOff>109616</xdr:colOff>
      <xdr:row>23</xdr:row>
      <xdr:rowOff>40977</xdr:rowOff>
    </xdr:to>
    <xdr:cxnSp macro="">
      <xdr:nvCxnSpPr>
        <xdr:cNvPr id="224" name="コネクタ: カギ線 35">
          <a:extLst>
            <a:ext uri="{FF2B5EF4-FFF2-40B4-BE49-F238E27FC236}">
              <a16:creationId xmlns:a16="http://schemas.microsoft.com/office/drawing/2014/main" id="{775087B5-23A2-45C6-B4B3-2F6DE90D74E7}"/>
            </a:ext>
          </a:extLst>
        </xdr:cNvPr>
        <xdr:cNvCxnSpPr>
          <a:cxnSpLocks/>
          <a:stCxn id="43" idx="2"/>
          <a:endCxn id="222" idx="0"/>
        </xdr:cNvCxnSpPr>
      </xdr:nvCxnSpPr>
      <xdr:spPr>
        <a:xfrm rot="16200000" flipH="1">
          <a:off x="1761124" y="2410035"/>
          <a:ext cx="565573" cy="17257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197065</xdr:colOff>
      <xdr:row>29</xdr:row>
      <xdr:rowOff>30575</xdr:rowOff>
    </xdr:from>
    <xdr:to>
      <xdr:col>17</xdr:col>
      <xdr:colOff>29469</xdr:colOff>
      <xdr:row>32</xdr:row>
      <xdr:rowOff>49417</xdr:rowOff>
    </xdr:to>
    <xdr:grpSp>
      <xdr:nvGrpSpPr>
        <xdr:cNvPr id="225" name="グループ化 224">
          <a:extLst>
            <a:ext uri="{FF2B5EF4-FFF2-40B4-BE49-F238E27FC236}">
              <a16:creationId xmlns:a16="http://schemas.microsoft.com/office/drawing/2014/main" id="{2CBBB739-539A-4650-9CC3-B8576D83BE57}"/>
            </a:ext>
          </a:extLst>
        </xdr:cNvPr>
        <xdr:cNvGrpSpPr/>
      </xdr:nvGrpSpPr>
      <xdr:grpSpPr>
        <a:xfrm>
          <a:off x="2168740" y="5202650"/>
          <a:ext cx="937304" cy="542717"/>
          <a:chOff x="5337390" y="4451556"/>
          <a:chExt cx="1053191" cy="520785"/>
        </a:xfrm>
      </xdr:grpSpPr>
      <xdr:sp macro="" textlink="">
        <xdr:nvSpPr>
          <xdr:cNvPr id="226" name="フローチャート: 定義済み処理 225">
            <a:extLst>
              <a:ext uri="{FF2B5EF4-FFF2-40B4-BE49-F238E27FC236}">
                <a16:creationId xmlns:a16="http://schemas.microsoft.com/office/drawing/2014/main" id="{E373259F-89A9-9BB3-EFC7-FA274713DB2D}"/>
              </a:ext>
            </a:extLst>
          </xdr:cNvPr>
          <xdr:cNvSpPr/>
        </xdr:nvSpPr>
        <xdr:spPr>
          <a:xfrm>
            <a:off x="5379882" y="4473788"/>
            <a:ext cx="941723" cy="47496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7" name="正方形/長方形 48">
            <a:extLst>
              <a:ext uri="{FF2B5EF4-FFF2-40B4-BE49-F238E27FC236}">
                <a16:creationId xmlns:a16="http://schemas.microsoft.com/office/drawing/2014/main" id="{38BFB0F8-D132-53E2-1CF5-3BE0654D32C3}"/>
              </a:ext>
            </a:extLst>
          </xdr:cNvPr>
          <xdr:cNvSpPr/>
        </xdr:nvSpPr>
        <xdr:spPr>
          <a:xfrm>
            <a:off x="5337390" y="4451556"/>
            <a:ext cx="1053191"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grpSp>
    <xdr:clientData/>
  </xdr:twoCellAnchor>
  <xdr:twoCellAnchor>
    <xdr:from>
      <xdr:col>14</xdr:col>
      <xdr:colOff>100105</xdr:colOff>
      <xdr:row>25</xdr:row>
      <xdr:rowOff>102804</xdr:rowOff>
    </xdr:from>
    <xdr:to>
      <xdr:col>14</xdr:col>
      <xdr:colOff>106513</xdr:colOff>
      <xdr:row>29</xdr:row>
      <xdr:rowOff>52727</xdr:rowOff>
    </xdr:to>
    <xdr:cxnSp macro="">
      <xdr:nvCxnSpPr>
        <xdr:cNvPr id="228" name="直線矢印コネクタ 227">
          <a:extLst>
            <a:ext uri="{FF2B5EF4-FFF2-40B4-BE49-F238E27FC236}">
              <a16:creationId xmlns:a16="http://schemas.microsoft.com/office/drawing/2014/main" id="{1DADB2FA-5CCD-415A-B380-39553710A28E}"/>
            </a:ext>
          </a:extLst>
        </xdr:cNvPr>
        <xdr:cNvCxnSpPr>
          <a:stCxn id="222" idx="2"/>
          <a:endCxn id="226" idx="0"/>
        </xdr:cNvCxnSpPr>
      </xdr:nvCxnSpPr>
      <xdr:spPr>
        <a:xfrm flipH="1">
          <a:off x="2903630" y="3963604"/>
          <a:ext cx="58" cy="62937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133373</xdr:colOff>
      <xdr:row>25</xdr:row>
      <xdr:rowOff>11563</xdr:rowOff>
    </xdr:from>
    <xdr:to>
      <xdr:col>20</xdr:col>
      <xdr:colOff>8057</xdr:colOff>
      <xdr:row>27</xdr:row>
      <xdr:rowOff>48454</xdr:rowOff>
    </xdr:to>
    <xdr:grpSp>
      <xdr:nvGrpSpPr>
        <xdr:cNvPr id="229" name="グループ化 228">
          <a:extLst>
            <a:ext uri="{FF2B5EF4-FFF2-40B4-BE49-F238E27FC236}">
              <a16:creationId xmlns:a16="http://schemas.microsoft.com/office/drawing/2014/main" id="{2230D109-A6C8-45D1-ACA4-C552C7D140B7}"/>
            </a:ext>
          </a:extLst>
        </xdr:cNvPr>
        <xdr:cNvGrpSpPr>
          <a:grpSpLocks noChangeAspect="1"/>
        </xdr:cNvGrpSpPr>
      </xdr:nvGrpSpPr>
      <xdr:grpSpPr>
        <a:xfrm>
          <a:off x="2667023" y="4459738"/>
          <a:ext cx="960534" cy="398841"/>
          <a:chOff x="2595823" y="18514795"/>
          <a:chExt cx="1182905" cy="417276"/>
        </a:xfrm>
      </xdr:grpSpPr>
      <xdr:sp macro="" textlink="">
        <xdr:nvSpPr>
          <xdr:cNvPr id="230" name="フローチャート: 書類 229">
            <a:extLst>
              <a:ext uri="{FF2B5EF4-FFF2-40B4-BE49-F238E27FC236}">
                <a16:creationId xmlns:a16="http://schemas.microsoft.com/office/drawing/2014/main" id="{16326E2B-7955-E1DA-E4E2-F4F8DB99114A}"/>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31" name="正方形/長方形 230">
            <a:extLst>
              <a:ext uri="{FF2B5EF4-FFF2-40B4-BE49-F238E27FC236}">
                <a16:creationId xmlns:a16="http://schemas.microsoft.com/office/drawing/2014/main" id="{592728BB-3A19-3FBE-1116-E501BC00CE02}"/>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11</xdr:col>
      <xdr:colOff>191668</xdr:colOff>
      <xdr:row>35</xdr:row>
      <xdr:rowOff>64721</xdr:rowOff>
    </xdr:from>
    <xdr:to>
      <xdr:col>17</xdr:col>
      <xdr:colOff>82806</xdr:colOff>
      <xdr:row>38</xdr:row>
      <xdr:rowOff>85685</xdr:rowOff>
    </xdr:to>
    <xdr:grpSp>
      <xdr:nvGrpSpPr>
        <xdr:cNvPr id="232" name="グループ化 8">
          <a:extLst>
            <a:ext uri="{FF2B5EF4-FFF2-40B4-BE49-F238E27FC236}">
              <a16:creationId xmlns:a16="http://schemas.microsoft.com/office/drawing/2014/main" id="{01E49AC2-4D12-4D39-ADBC-DE1CFC60ADCC}"/>
            </a:ext>
          </a:extLst>
        </xdr:cNvPr>
        <xdr:cNvGrpSpPr/>
      </xdr:nvGrpSpPr>
      <xdr:grpSpPr>
        <a:xfrm>
          <a:off x="2172868" y="6303596"/>
          <a:ext cx="986513" cy="544839"/>
          <a:chOff x="1679605" y="2439643"/>
          <a:chExt cx="908902" cy="420662"/>
        </a:xfrm>
      </xdr:grpSpPr>
      <xdr:sp macro="" textlink="">
        <xdr:nvSpPr>
          <xdr:cNvPr id="233" name="フローチャート: 定義済み処理 9">
            <a:extLst>
              <a:ext uri="{FF2B5EF4-FFF2-40B4-BE49-F238E27FC236}">
                <a16:creationId xmlns:a16="http://schemas.microsoft.com/office/drawing/2014/main" id="{8299680A-317F-EF6F-9810-7FFBC0F336C2}"/>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4" name="正方形/長方形 48">
            <a:extLst>
              <a:ext uri="{FF2B5EF4-FFF2-40B4-BE49-F238E27FC236}">
                <a16:creationId xmlns:a16="http://schemas.microsoft.com/office/drawing/2014/main" id="{E8DE2AE1-C03A-9A33-F17B-3ADADA3B17D5}"/>
              </a:ext>
            </a:extLst>
          </xdr:cNvPr>
          <xdr:cNvSpPr/>
        </xdr:nvSpPr>
        <xdr:spPr>
          <a:xfrm>
            <a:off x="1679605" y="243964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t>リースに紐づく</a:t>
            </a:r>
            <a:endParaRPr kumimoji="1" lang="en-US" altLang="ja-JP" sz="900"/>
          </a:p>
          <a:p>
            <a:pPr algn="ctr"/>
            <a:r>
              <a:rPr kumimoji="1" lang="ja-JP" altLang="en-US" sz="900"/>
              <a:t>帳簿の作成</a:t>
            </a:r>
          </a:p>
        </xdr:txBody>
      </xdr:sp>
    </xdr:grpSp>
    <xdr:clientData/>
  </xdr:twoCellAnchor>
  <xdr:twoCellAnchor>
    <xdr:from>
      <xdr:col>14</xdr:col>
      <xdr:colOff>100105</xdr:colOff>
      <xdr:row>32</xdr:row>
      <xdr:rowOff>25911</xdr:rowOff>
    </xdr:from>
    <xdr:to>
      <xdr:col>14</xdr:col>
      <xdr:colOff>109253</xdr:colOff>
      <xdr:row>35</xdr:row>
      <xdr:rowOff>89952</xdr:rowOff>
    </xdr:to>
    <xdr:cxnSp macro="">
      <xdr:nvCxnSpPr>
        <xdr:cNvPr id="235" name="直線矢印コネクタ 234">
          <a:extLst>
            <a:ext uri="{FF2B5EF4-FFF2-40B4-BE49-F238E27FC236}">
              <a16:creationId xmlns:a16="http://schemas.microsoft.com/office/drawing/2014/main" id="{DA4926F7-0C0B-4829-8B80-AECBC6EDF4CE}"/>
            </a:ext>
          </a:extLst>
        </xdr:cNvPr>
        <xdr:cNvCxnSpPr>
          <a:cxnSpLocks/>
          <a:stCxn id="226" idx="2"/>
          <a:endCxn id="233" idx="0"/>
        </xdr:cNvCxnSpPr>
      </xdr:nvCxnSpPr>
      <xdr:spPr>
        <a:xfrm>
          <a:off x="2903630" y="5086861"/>
          <a:ext cx="2798" cy="57204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163823</xdr:colOff>
      <xdr:row>58</xdr:row>
      <xdr:rowOff>57656</xdr:rowOff>
    </xdr:from>
    <xdr:to>
      <xdr:col>17</xdr:col>
      <xdr:colOff>66961</xdr:colOff>
      <xdr:row>61</xdr:row>
      <xdr:rowOff>82948</xdr:rowOff>
    </xdr:to>
    <xdr:grpSp>
      <xdr:nvGrpSpPr>
        <xdr:cNvPr id="240" name="グループ化 8">
          <a:extLst>
            <a:ext uri="{FF2B5EF4-FFF2-40B4-BE49-F238E27FC236}">
              <a16:creationId xmlns:a16="http://schemas.microsoft.com/office/drawing/2014/main" id="{339F03A5-EE06-4B64-8B13-B5F6F9B1E1F0}"/>
            </a:ext>
          </a:extLst>
        </xdr:cNvPr>
        <xdr:cNvGrpSpPr/>
      </xdr:nvGrpSpPr>
      <xdr:grpSpPr>
        <a:xfrm>
          <a:off x="2154548" y="10392281"/>
          <a:ext cx="988988" cy="539642"/>
          <a:chOff x="1658310" y="2444762"/>
          <a:chExt cx="908902" cy="420662"/>
        </a:xfrm>
      </xdr:grpSpPr>
      <xdr:sp macro="" textlink="">
        <xdr:nvSpPr>
          <xdr:cNvPr id="241" name="フローチャート: 定義済み処理 9">
            <a:extLst>
              <a:ext uri="{FF2B5EF4-FFF2-40B4-BE49-F238E27FC236}">
                <a16:creationId xmlns:a16="http://schemas.microsoft.com/office/drawing/2014/main" id="{2EF3DD8F-56EF-2013-D8CF-A953A4A666E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2" name="正方形/長方形 48">
            <a:extLst>
              <a:ext uri="{FF2B5EF4-FFF2-40B4-BE49-F238E27FC236}">
                <a16:creationId xmlns:a16="http://schemas.microsoft.com/office/drawing/2014/main" id="{C1D2B008-BC5F-D52E-F8DE-6611C9F42BE9}"/>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6.</a:t>
            </a:r>
            <a:r>
              <a:rPr kumimoji="1" lang="ja-JP" altLang="en-US" sz="900">
                <a:solidFill>
                  <a:schemeClr val="dk1"/>
                </a:solidFill>
                <a:effectLst/>
                <a:latin typeface="+mn-lt"/>
                <a:ea typeface="+mn-ea"/>
                <a:cs typeface="+mn-cs"/>
              </a:rPr>
              <a:t>支払スケジュール確定処理</a:t>
            </a:r>
            <a:endParaRPr kumimoji="1" lang="ja-JP" altLang="en-US" sz="900"/>
          </a:p>
        </xdr:txBody>
      </xdr:sp>
    </xdr:grpSp>
    <xdr:clientData/>
  </xdr:twoCellAnchor>
  <xdr:twoCellAnchor>
    <xdr:from>
      <xdr:col>14</xdr:col>
      <xdr:colOff>108642</xdr:colOff>
      <xdr:row>38</xdr:row>
      <xdr:rowOff>52967</xdr:rowOff>
    </xdr:from>
    <xdr:to>
      <xdr:col>14</xdr:col>
      <xdr:colOff>109635</xdr:colOff>
      <xdr:row>58</xdr:row>
      <xdr:rowOff>74028</xdr:rowOff>
    </xdr:to>
    <xdr:cxnSp macro="">
      <xdr:nvCxnSpPr>
        <xdr:cNvPr id="246" name="直線矢印コネクタ 245">
          <a:extLst>
            <a:ext uri="{FF2B5EF4-FFF2-40B4-BE49-F238E27FC236}">
              <a16:creationId xmlns:a16="http://schemas.microsoft.com/office/drawing/2014/main" id="{E17A03AA-BBCE-46E4-B482-C1D20A485C2D}"/>
            </a:ext>
          </a:extLst>
        </xdr:cNvPr>
        <xdr:cNvCxnSpPr>
          <a:stCxn id="233" idx="2"/>
          <a:endCxn id="241" idx="0"/>
        </xdr:cNvCxnSpPr>
      </xdr:nvCxnSpPr>
      <xdr:spPr>
        <a:xfrm flipH="1">
          <a:off x="2908992" y="6653792"/>
          <a:ext cx="993" cy="345006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173348</xdr:colOff>
      <xdr:row>64</xdr:row>
      <xdr:rowOff>161925</xdr:rowOff>
    </xdr:from>
    <xdr:to>
      <xdr:col>17</xdr:col>
      <xdr:colOff>57890</xdr:colOff>
      <xdr:row>68</xdr:row>
      <xdr:rowOff>16685</xdr:rowOff>
    </xdr:to>
    <xdr:grpSp>
      <xdr:nvGrpSpPr>
        <xdr:cNvPr id="251" name="グループ化 8">
          <a:extLst>
            <a:ext uri="{FF2B5EF4-FFF2-40B4-BE49-F238E27FC236}">
              <a16:creationId xmlns:a16="http://schemas.microsoft.com/office/drawing/2014/main" id="{A283BBCA-7A18-4C22-8F57-78E948BF7A47}"/>
            </a:ext>
          </a:extLst>
        </xdr:cNvPr>
        <xdr:cNvGrpSpPr/>
      </xdr:nvGrpSpPr>
      <xdr:grpSpPr>
        <a:xfrm>
          <a:off x="2164073" y="11553825"/>
          <a:ext cx="970392" cy="550085"/>
          <a:chOff x="1653542" y="2416116"/>
          <a:chExt cx="908902" cy="420662"/>
        </a:xfrm>
      </xdr:grpSpPr>
      <xdr:sp macro="" textlink="">
        <xdr:nvSpPr>
          <xdr:cNvPr id="252" name="フローチャート: 定義済み処理 9">
            <a:extLst>
              <a:ext uri="{FF2B5EF4-FFF2-40B4-BE49-F238E27FC236}">
                <a16:creationId xmlns:a16="http://schemas.microsoft.com/office/drawing/2014/main" id="{8F19F25A-D24D-B473-0ACA-ABA994EF2A4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3" name="正方形/長方形 48">
            <a:extLst>
              <a:ext uri="{FF2B5EF4-FFF2-40B4-BE49-F238E27FC236}">
                <a16:creationId xmlns:a16="http://schemas.microsoft.com/office/drawing/2014/main" id="{D9742D5E-0B35-C467-660E-D859AC7B1C8F}"/>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7.</a:t>
            </a:r>
            <a:r>
              <a:rPr kumimoji="1" lang="ja-JP" altLang="en-US" sz="900">
                <a:solidFill>
                  <a:schemeClr val="dk1"/>
                </a:solidFill>
                <a:effectLst/>
                <a:latin typeface="+mn-lt"/>
                <a:ea typeface="+mn-ea"/>
                <a:cs typeface="+mn-cs"/>
              </a:rPr>
              <a:t>初期認識</a:t>
            </a:r>
            <a:endParaRPr kumimoji="1" lang="ja-JP" altLang="en-US" sz="900"/>
          </a:p>
        </xdr:txBody>
      </xdr:sp>
    </xdr:grpSp>
    <xdr:clientData/>
  </xdr:twoCellAnchor>
  <xdr:twoCellAnchor>
    <xdr:from>
      <xdr:col>11</xdr:col>
      <xdr:colOff>173349</xdr:colOff>
      <xdr:row>71</xdr:row>
      <xdr:rowOff>96631</xdr:rowOff>
    </xdr:from>
    <xdr:to>
      <xdr:col>17</xdr:col>
      <xdr:colOff>57891</xdr:colOff>
      <xdr:row>74</xdr:row>
      <xdr:rowOff>120770</xdr:rowOff>
    </xdr:to>
    <xdr:grpSp>
      <xdr:nvGrpSpPr>
        <xdr:cNvPr id="254" name="グループ化 8">
          <a:extLst>
            <a:ext uri="{FF2B5EF4-FFF2-40B4-BE49-F238E27FC236}">
              <a16:creationId xmlns:a16="http://schemas.microsoft.com/office/drawing/2014/main" id="{7DB05271-4F2E-4E7F-B23D-2AE61620EAB5}"/>
            </a:ext>
          </a:extLst>
        </xdr:cNvPr>
        <xdr:cNvGrpSpPr/>
      </xdr:nvGrpSpPr>
      <xdr:grpSpPr>
        <a:xfrm>
          <a:off x="2164074" y="12717256"/>
          <a:ext cx="970392" cy="548014"/>
          <a:chOff x="1653542" y="2416116"/>
          <a:chExt cx="908902" cy="420662"/>
        </a:xfrm>
      </xdr:grpSpPr>
      <xdr:sp macro="" textlink="">
        <xdr:nvSpPr>
          <xdr:cNvPr id="255" name="フローチャート: 定義済み処理 9">
            <a:extLst>
              <a:ext uri="{FF2B5EF4-FFF2-40B4-BE49-F238E27FC236}">
                <a16:creationId xmlns:a16="http://schemas.microsoft.com/office/drawing/2014/main" id="{549F4078-64A4-4193-43A7-265A9129AFAF}"/>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6" name="正方形/長方形 48">
            <a:extLst>
              <a:ext uri="{FF2B5EF4-FFF2-40B4-BE49-F238E27FC236}">
                <a16:creationId xmlns:a16="http://schemas.microsoft.com/office/drawing/2014/main" id="{56478A4E-B6E1-E3F6-846A-F8BE30C8D5F0}"/>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8.</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仕訳の承認依頼</a:t>
            </a:r>
            <a:endParaRPr kumimoji="1" lang="ja-JP" altLang="en-US" sz="900"/>
          </a:p>
        </xdr:txBody>
      </xdr:sp>
    </xdr:grpSp>
    <xdr:clientData/>
  </xdr:twoCellAnchor>
  <xdr:twoCellAnchor>
    <xdr:from>
      <xdr:col>14</xdr:col>
      <xdr:colOff>111770</xdr:colOff>
      <xdr:row>61</xdr:row>
      <xdr:rowOff>41331</xdr:rowOff>
    </xdr:from>
    <xdr:to>
      <xdr:col>14</xdr:col>
      <xdr:colOff>117822</xdr:colOff>
      <xdr:row>65</xdr:row>
      <xdr:rowOff>43618</xdr:rowOff>
    </xdr:to>
    <xdr:cxnSp macro="">
      <xdr:nvCxnSpPr>
        <xdr:cNvPr id="257" name="直線矢印コネクタ 256">
          <a:extLst>
            <a:ext uri="{FF2B5EF4-FFF2-40B4-BE49-F238E27FC236}">
              <a16:creationId xmlns:a16="http://schemas.microsoft.com/office/drawing/2014/main" id="{962EC0A0-9301-4763-95E1-C3DF3C92EA43}"/>
            </a:ext>
          </a:extLst>
        </xdr:cNvPr>
        <xdr:cNvCxnSpPr>
          <a:stCxn id="241" idx="2"/>
          <a:endCxn id="252" idx="0"/>
        </xdr:cNvCxnSpPr>
      </xdr:nvCxnSpPr>
      <xdr:spPr>
        <a:xfrm>
          <a:off x="2912120" y="10074331"/>
          <a:ext cx="9227" cy="68808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117822</xdr:colOff>
      <xdr:row>68</xdr:row>
      <xdr:rowOff>10885</xdr:rowOff>
    </xdr:from>
    <xdr:to>
      <xdr:col>14</xdr:col>
      <xdr:colOff>117823</xdr:colOff>
      <xdr:row>71</xdr:row>
      <xdr:rowOff>148451</xdr:rowOff>
    </xdr:to>
    <xdr:cxnSp macro="">
      <xdr:nvCxnSpPr>
        <xdr:cNvPr id="258" name="直線矢印コネクタ 257">
          <a:extLst>
            <a:ext uri="{FF2B5EF4-FFF2-40B4-BE49-F238E27FC236}">
              <a16:creationId xmlns:a16="http://schemas.microsoft.com/office/drawing/2014/main" id="{783A9D97-2F40-41B4-B39F-7002B7601F18}"/>
            </a:ext>
          </a:extLst>
        </xdr:cNvPr>
        <xdr:cNvCxnSpPr>
          <a:stCxn id="252" idx="2"/>
          <a:endCxn id="255" idx="0"/>
        </xdr:cNvCxnSpPr>
      </xdr:nvCxnSpPr>
      <xdr:spPr>
        <a:xfrm>
          <a:off x="2921347" y="11237685"/>
          <a:ext cx="1" cy="6519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8733</xdr:colOff>
      <xdr:row>81</xdr:row>
      <xdr:rowOff>7456</xdr:rowOff>
    </xdr:from>
    <xdr:to>
      <xdr:col>24</xdr:col>
      <xdr:colOff>102170</xdr:colOff>
      <xdr:row>84</xdr:row>
      <xdr:rowOff>50645</xdr:rowOff>
    </xdr:to>
    <xdr:grpSp>
      <xdr:nvGrpSpPr>
        <xdr:cNvPr id="259" name="グループ化 8">
          <a:extLst>
            <a:ext uri="{FF2B5EF4-FFF2-40B4-BE49-F238E27FC236}">
              <a16:creationId xmlns:a16="http://schemas.microsoft.com/office/drawing/2014/main" id="{26D185C9-E244-4ADE-AE9C-029106874EA7}"/>
            </a:ext>
          </a:extLst>
        </xdr:cNvPr>
        <xdr:cNvGrpSpPr/>
      </xdr:nvGrpSpPr>
      <xdr:grpSpPr>
        <a:xfrm>
          <a:off x="3447258" y="14409256"/>
          <a:ext cx="998312" cy="557539"/>
          <a:chOff x="1653542" y="2416116"/>
          <a:chExt cx="908902" cy="420662"/>
        </a:xfrm>
      </xdr:grpSpPr>
      <xdr:sp macro="" textlink="">
        <xdr:nvSpPr>
          <xdr:cNvPr id="260" name="フローチャート: 定義済み処理 9">
            <a:extLst>
              <a:ext uri="{FF2B5EF4-FFF2-40B4-BE49-F238E27FC236}">
                <a16:creationId xmlns:a16="http://schemas.microsoft.com/office/drawing/2014/main" id="{E96A84EE-3B16-99F2-409C-290905E3216F}"/>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1" name="正方形/長方形 48">
            <a:extLst>
              <a:ext uri="{FF2B5EF4-FFF2-40B4-BE49-F238E27FC236}">
                <a16:creationId xmlns:a16="http://schemas.microsoft.com/office/drawing/2014/main" id="{9552E769-7A76-6A5A-2050-CE859DEDD836}"/>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a:t>
            </a:r>
            <a:endParaRPr kumimoji="1" lang="ja-JP" altLang="en-US" sz="900"/>
          </a:p>
        </xdr:txBody>
      </xdr:sp>
    </xdr:grpSp>
    <xdr:clientData/>
  </xdr:twoCellAnchor>
  <xdr:twoCellAnchor>
    <xdr:from>
      <xdr:col>14</xdr:col>
      <xdr:colOff>117749</xdr:colOff>
      <xdr:row>74</xdr:row>
      <xdr:rowOff>118033</xdr:rowOff>
    </xdr:from>
    <xdr:to>
      <xdr:col>21</xdr:col>
      <xdr:colOff>158832</xdr:colOff>
      <xdr:row>81</xdr:row>
      <xdr:rowOff>63799</xdr:rowOff>
    </xdr:to>
    <xdr:cxnSp macro="">
      <xdr:nvCxnSpPr>
        <xdr:cNvPr id="262" name="コネクタ: カギ線 261">
          <a:extLst>
            <a:ext uri="{FF2B5EF4-FFF2-40B4-BE49-F238E27FC236}">
              <a16:creationId xmlns:a16="http://schemas.microsoft.com/office/drawing/2014/main" id="{0DEDE81B-ACA3-49C7-8340-43C63A0B8548}"/>
            </a:ext>
          </a:extLst>
        </xdr:cNvPr>
        <xdr:cNvCxnSpPr>
          <a:stCxn id="255" idx="2"/>
          <a:endCxn id="260" idx="0"/>
        </xdr:cNvCxnSpPr>
      </xdr:nvCxnSpPr>
      <xdr:spPr>
        <a:xfrm rot="16200000" flipH="1">
          <a:off x="3068945" y="12232212"/>
          <a:ext cx="1145916" cy="144125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129874</xdr:colOff>
      <xdr:row>84</xdr:row>
      <xdr:rowOff>41342</xdr:rowOff>
    </xdr:from>
    <xdr:to>
      <xdr:col>21</xdr:col>
      <xdr:colOff>160832</xdr:colOff>
      <xdr:row>93</xdr:row>
      <xdr:rowOff>55720</xdr:rowOff>
    </xdr:to>
    <xdr:cxnSp macro="">
      <xdr:nvCxnSpPr>
        <xdr:cNvPr id="263" name="コネクタ: カギ線 262">
          <a:extLst>
            <a:ext uri="{FF2B5EF4-FFF2-40B4-BE49-F238E27FC236}">
              <a16:creationId xmlns:a16="http://schemas.microsoft.com/office/drawing/2014/main" id="{0B6B8A22-0815-4816-8B58-02FD4F110A19}"/>
            </a:ext>
          </a:extLst>
        </xdr:cNvPr>
        <xdr:cNvCxnSpPr>
          <a:stCxn id="260" idx="2"/>
          <a:endCxn id="321" idx="0"/>
        </xdr:cNvCxnSpPr>
      </xdr:nvCxnSpPr>
      <xdr:spPr>
        <a:xfrm rot="5400000">
          <a:off x="2867077" y="14592014"/>
          <a:ext cx="1557428" cy="143113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117447</xdr:colOff>
      <xdr:row>240</xdr:row>
      <xdr:rowOff>124121</xdr:rowOff>
    </xdr:from>
    <xdr:to>
      <xdr:col>17</xdr:col>
      <xdr:colOff>9627</xdr:colOff>
      <xdr:row>243</xdr:row>
      <xdr:rowOff>149751</xdr:rowOff>
    </xdr:to>
    <xdr:grpSp>
      <xdr:nvGrpSpPr>
        <xdr:cNvPr id="264" name="グループ化 8">
          <a:extLst>
            <a:ext uri="{FF2B5EF4-FFF2-40B4-BE49-F238E27FC236}">
              <a16:creationId xmlns:a16="http://schemas.microsoft.com/office/drawing/2014/main" id="{BD6B6B78-7F25-4DEE-9C64-3171024B06D9}"/>
            </a:ext>
          </a:extLst>
        </xdr:cNvPr>
        <xdr:cNvGrpSpPr/>
      </xdr:nvGrpSpPr>
      <xdr:grpSpPr>
        <a:xfrm>
          <a:off x="2108172" y="42596096"/>
          <a:ext cx="978030" cy="549505"/>
          <a:chOff x="1633015" y="2430783"/>
          <a:chExt cx="908902" cy="422628"/>
        </a:xfrm>
      </xdr:grpSpPr>
      <xdr:sp macro="" textlink="">
        <xdr:nvSpPr>
          <xdr:cNvPr id="265" name="フローチャート: 定義済み処理 9">
            <a:extLst>
              <a:ext uri="{FF2B5EF4-FFF2-40B4-BE49-F238E27FC236}">
                <a16:creationId xmlns:a16="http://schemas.microsoft.com/office/drawing/2014/main" id="{7CFB38F3-3C32-3B05-7E05-832778D002D3}"/>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6" name="正方形/長方形 48">
            <a:extLst>
              <a:ext uri="{FF2B5EF4-FFF2-40B4-BE49-F238E27FC236}">
                <a16:creationId xmlns:a16="http://schemas.microsoft.com/office/drawing/2014/main" id="{66567758-95FA-EA8D-5D02-006E1F9C5D73}"/>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endParaRPr kumimoji="1" lang="en-US" altLang="ja-JP" sz="900"/>
          </a:p>
          <a:p>
            <a:pPr algn="ctr"/>
            <a:r>
              <a:rPr kumimoji="1" lang="ja-JP" altLang="en-US" sz="900"/>
              <a:t>承認依頼</a:t>
            </a:r>
          </a:p>
        </xdr:txBody>
      </xdr:sp>
    </xdr:grpSp>
    <xdr:clientData/>
  </xdr:twoCellAnchor>
  <xdr:twoCellAnchor>
    <xdr:from>
      <xdr:col>18</xdr:col>
      <xdr:colOff>160828</xdr:colOff>
      <xdr:row>247</xdr:row>
      <xdr:rowOff>142205</xdr:rowOff>
    </xdr:from>
    <xdr:to>
      <xdr:col>24</xdr:col>
      <xdr:colOff>55251</xdr:colOff>
      <xdr:row>251</xdr:row>
      <xdr:rowOff>11156</xdr:rowOff>
    </xdr:to>
    <xdr:grpSp>
      <xdr:nvGrpSpPr>
        <xdr:cNvPr id="267" name="グループ化 8">
          <a:extLst>
            <a:ext uri="{FF2B5EF4-FFF2-40B4-BE49-F238E27FC236}">
              <a16:creationId xmlns:a16="http://schemas.microsoft.com/office/drawing/2014/main" id="{CD9A8B75-4E09-410E-8335-FFA570B1BFAF}"/>
            </a:ext>
          </a:extLst>
        </xdr:cNvPr>
        <xdr:cNvGrpSpPr/>
      </xdr:nvGrpSpPr>
      <xdr:grpSpPr>
        <a:xfrm>
          <a:off x="3418378" y="43852430"/>
          <a:ext cx="980273" cy="564276"/>
          <a:chOff x="1633015" y="2430783"/>
          <a:chExt cx="908902" cy="422628"/>
        </a:xfrm>
      </xdr:grpSpPr>
      <xdr:sp macro="" textlink="">
        <xdr:nvSpPr>
          <xdr:cNvPr id="268" name="フローチャート: 定義済み処理 9">
            <a:extLst>
              <a:ext uri="{FF2B5EF4-FFF2-40B4-BE49-F238E27FC236}">
                <a16:creationId xmlns:a16="http://schemas.microsoft.com/office/drawing/2014/main" id="{EE9AFDE8-3591-4683-7314-06DC5D4B1B17}"/>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9" name="正方形/長方形 48">
            <a:extLst>
              <a:ext uri="{FF2B5EF4-FFF2-40B4-BE49-F238E27FC236}">
                <a16:creationId xmlns:a16="http://schemas.microsoft.com/office/drawing/2014/main" id="{CEEA087A-2757-E1A8-C652-3BA32A5EE91B}"/>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リース終了</a:t>
            </a:r>
            <a:endParaRPr kumimoji="1" lang="en-US" altLang="ja-JP" sz="900"/>
          </a:p>
          <a:p>
            <a:pPr algn="ctr"/>
            <a:r>
              <a:rPr kumimoji="1" lang="ja-JP" altLang="en-US" sz="900"/>
              <a:t>承認</a:t>
            </a:r>
          </a:p>
        </xdr:txBody>
      </xdr:sp>
    </xdr:grpSp>
    <xdr:clientData/>
  </xdr:twoCellAnchor>
  <xdr:twoCellAnchor>
    <xdr:from>
      <xdr:col>11</xdr:col>
      <xdr:colOff>151847</xdr:colOff>
      <xdr:row>254</xdr:row>
      <xdr:rowOff>20707</xdr:rowOff>
    </xdr:from>
    <xdr:to>
      <xdr:col>17</xdr:col>
      <xdr:colOff>46270</xdr:colOff>
      <xdr:row>257</xdr:row>
      <xdr:rowOff>49511</xdr:rowOff>
    </xdr:to>
    <xdr:grpSp>
      <xdr:nvGrpSpPr>
        <xdr:cNvPr id="270" name="グループ化 8">
          <a:extLst>
            <a:ext uri="{FF2B5EF4-FFF2-40B4-BE49-F238E27FC236}">
              <a16:creationId xmlns:a16="http://schemas.microsoft.com/office/drawing/2014/main" id="{C5726277-74F2-4027-8974-638F09F1EA4F}"/>
            </a:ext>
          </a:extLst>
        </xdr:cNvPr>
        <xdr:cNvGrpSpPr/>
      </xdr:nvGrpSpPr>
      <xdr:grpSpPr>
        <a:xfrm>
          <a:off x="2142572" y="44969182"/>
          <a:ext cx="980273" cy="543154"/>
          <a:chOff x="1633015" y="2430783"/>
          <a:chExt cx="908902" cy="422628"/>
        </a:xfrm>
      </xdr:grpSpPr>
      <xdr:sp macro="" textlink="">
        <xdr:nvSpPr>
          <xdr:cNvPr id="271" name="フローチャート: 定義済み処理 9">
            <a:extLst>
              <a:ext uri="{FF2B5EF4-FFF2-40B4-BE49-F238E27FC236}">
                <a16:creationId xmlns:a16="http://schemas.microsoft.com/office/drawing/2014/main" id="{80034D70-2E6A-B69F-9222-698DBABCBCE5}"/>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2" name="正方形/長方形 48">
            <a:extLst>
              <a:ext uri="{FF2B5EF4-FFF2-40B4-BE49-F238E27FC236}">
                <a16:creationId xmlns:a16="http://schemas.microsoft.com/office/drawing/2014/main" id="{A1EB1A4B-E13F-8F2A-EA82-76DF15991812}"/>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リース終了処理</a:t>
            </a:r>
            <a:endParaRPr kumimoji="1" lang="en-US" altLang="ja-JP" sz="900"/>
          </a:p>
        </xdr:txBody>
      </xdr:sp>
    </xdr:grpSp>
    <xdr:clientData/>
  </xdr:twoCellAnchor>
  <xdr:twoCellAnchor>
    <xdr:from>
      <xdr:col>10</xdr:col>
      <xdr:colOff>122784</xdr:colOff>
      <xdr:row>234</xdr:row>
      <xdr:rowOff>83394</xdr:rowOff>
    </xdr:from>
    <xdr:to>
      <xdr:col>18</xdr:col>
      <xdr:colOff>577</xdr:colOff>
      <xdr:row>238</xdr:row>
      <xdr:rowOff>49360</xdr:rowOff>
    </xdr:to>
    <xdr:grpSp>
      <xdr:nvGrpSpPr>
        <xdr:cNvPr id="273" name="グループ化 272">
          <a:extLst>
            <a:ext uri="{FF2B5EF4-FFF2-40B4-BE49-F238E27FC236}">
              <a16:creationId xmlns:a16="http://schemas.microsoft.com/office/drawing/2014/main" id="{CC351DAA-B5CA-4F86-B8CE-21BA0B12101E}"/>
            </a:ext>
          </a:extLst>
        </xdr:cNvPr>
        <xdr:cNvGrpSpPr/>
      </xdr:nvGrpSpPr>
      <xdr:grpSpPr>
        <a:xfrm>
          <a:off x="1932534" y="41488569"/>
          <a:ext cx="1325593" cy="670816"/>
          <a:chOff x="4950055" y="37349957"/>
          <a:chExt cx="1498939" cy="626366"/>
        </a:xfrm>
      </xdr:grpSpPr>
      <xdr:sp macro="" textlink="">
        <xdr:nvSpPr>
          <xdr:cNvPr id="274" name="フローチャート: 定義済み処理 9">
            <a:extLst>
              <a:ext uri="{FF2B5EF4-FFF2-40B4-BE49-F238E27FC236}">
                <a16:creationId xmlns:a16="http://schemas.microsoft.com/office/drawing/2014/main" id="{161164F6-BC29-0B5F-86ED-B4A8195C36D0}"/>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5" name="正方形/長方形 48">
            <a:extLst>
              <a:ext uri="{FF2B5EF4-FFF2-40B4-BE49-F238E27FC236}">
                <a16:creationId xmlns:a16="http://schemas.microsoft.com/office/drawing/2014/main" id="{DD4DBF4D-EF22-C861-3D7A-E5CDC64766B1}"/>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grpSp>
    <xdr:clientData/>
  </xdr:twoCellAnchor>
  <xdr:twoCellAnchor>
    <xdr:from>
      <xdr:col>14</xdr:col>
      <xdr:colOff>62289</xdr:colOff>
      <xdr:row>237</xdr:row>
      <xdr:rowOff>131521</xdr:rowOff>
    </xdr:from>
    <xdr:to>
      <xdr:col>14</xdr:col>
      <xdr:colOff>69504</xdr:colOff>
      <xdr:row>240</xdr:row>
      <xdr:rowOff>152538</xdr:rowOff>
    </xdr:to>
    <xdr:cxnSp macro="">
      <xdr:nvCxnSpPr>
        <xdr:cNvPr id="276" name="直線矢印コネクタ 275">
          <a:extLst>
            <a:ext uri="{FF2B5EF4-FFF2-40B4-BE49-F238E27FC236}">
              <a16:creationId xmlns:a16="http://schemas.microsoft.com/office/drawing/2014/main" id="{4140188E-EDD7-44F2-B5D1-760FC8B4734A}"/>
            </a:ext>
          </a:extLst>
        </xdr:cNvPr>
        <xdr:cNvCxnSpPr>
          <a:cxnSpLocks/>
          <a:stCxn id="274" idx="2"/>
          <a:endCxn id="265" idx="0"/>
        </xdr:cNvCxnSpPr>
      </xdr:nvCxnSpPr>
      <xdr:spPr>
        <a:xfrm>
          <a:off x="2865814" y="38964946"/>
          <a:ext cx="865" cy="53536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67904</xdr:colOff>
      <xdr:row>243</xdr:row>
      <xdr:rowOff>120160</xdr:rowOff>
    </xdr:from>
    <xdr:to>
      <xdr:col>21</xdr:col>
      <xdr:colOff>112417</xdr:colOff>
      <xdr:row>248</xdr:row>
      <xdr:rowOff>7518</xdr:rowOff>
    </xdr:to>
    <xdr:cxnSp macro="">
      <xdr:nvCxnSpPr>
        <xdr:cNvPr id="277" name="コネクタ: カギ線 276">
          <a:extLst>
            <a:ext uri="{FF2B5EF4-FFF2-40B4-BE49-F238E27FC236}">
              <a16:creationId xmlns:a16="http://schemas.microsoft.com/office/drawing/2014/main" id="{182412F3-D275-48C7-BB89-8B5BA052CD62}"/>
            </a:ext>
          </a:extLst>
        </xdr:cNvPr>
        <xdr:cNvCxnSpPr>
          <a:stCxn id="265" idx="2"/>
          <a:endCxn id="268" idx="0"/>
        </xdr:cNvCxnSpPr>
      </xdr:nvCxnSpPr>
      <xdr:spPr>
        <a:xfrm rot="16200000" flipH="1">
          <a:off x="3216707" y="39633832"/>
          <a:ext cx="744608" cy="14478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103435</xdr:colOff>
      <xdr:row>250</xdr:row>
      <xdr:rowOff>147690</xdr:rowOff>
    </xdr:from>
    <xdr:to>
      <xdr:col>21</xdr:col>
      <xdr:colOff>112417</xdr:colOff>
      <xdr:row>254</xdr:row>
      <xdr:rowOff>52300</xdr:rowOff>
    </xdr:to>
    <xdr:cxnSp macro="">
      <xdr:nvCxnSpPr>
        <xdr:cNvPr id="278" name="コネクタ: カギ線 277">
          <a:extLst>
            <a:ext uri="{FF2B5EF4-FFF2-40B4-BE49-F238E27FC236}">
              <a16:creationId xmlns:a16="http://schemas.microsoft.com/office/drawing/2014/main" id="{15FCAC14-2D2E-4D70-9458-2C37678AB9A1}"/>
            </a:ext>
          </a:extLst>
        </xdr:cNvPr>
        <xdr:cNvCxnSpPr>
          <a:stCxn id="268" idx="2"/>
          <a:endCxn id="271" idx="0"/>
        </xdr:cNvCxnSpPr>
      </xdr:nvCxnSpPr>
      <xdr:spPr>
        <a:xfrm rot="5400000">
          <a:off x="3314746" y="40799004"/>
          <a:ext cx="590410" cy="140598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103436</xdr:colOff>
      <xdr:row>257</xdr:row>
      <xdr:rowOff>19740</xdr:rowOff>
    </xdr:from>
    <xdr:to>
      <xdr:col>28</xdr:col>
      <xdr:colOff>104181</xdr:colOff>
      <xdr:row>260</xdr:row>
      <xdr:rowOff>28224</xdr:rowOff>
    </xdr:to>
    <xdr:cxnSp macro="">
      <xdr:nvCxnSpPr>
        <xdr:cNvPr id="279" name="コネクタ: カギ線 278">
          <a:extLst>
            <a:ext uri="{FF2B5EF4-FFF2-40B4-BE49-F238E27FC236}">
              <a16:creationId xmlns:a16="http://schemas.microsoft.com/office/drawing/2014/main" id="{4626EF38-B7E7-44D7-B6A6-1BDCD21F3FB1}"/>
            </a:ext>
          </a:extLst>
        </xdr:cNvPr>
        <xdr:cNvCxnSpPr>
          <a:stCxn id="271" idx="2"/>
          <a:endCxn id="62" idx="0"/>
        </xdr:cNvCxnSpPr>
      </xdr:nvCxnSpPr>
      <xdr:spPr>
        <a:xfrm rot="16200000" flipH="1">
          <a:off x="4044504" y="41144622"/>
          <a:ext cx="526009" cy="280109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62290</xdr:colOff>
      <xdr:row>232</xdr:row>
      <xdr:rowOff>78524</xdr:rowOff>
    </xdr:from>
    <xdr:to>
      <xdr:col>28</xdr:col>
      <xdr:colOff>38008</xdr:colOff>
      <xdr:row>234</xdr:row>
      <xdr:rowOff>153572</xdr:rowOff>
    </xdr:to>
    <xdr:cxnSp macro="">
      <xdr:nvCxnSpPr>
        <xdr:cNvPr id="280" name="コネクタ: カギ線 279">
          <a:extLst>
            <a:ext uri="{FF2B5EF4-FFF2-40B4-BE49-F238E27FC236}">
              <a16:creationId xmlns:a16="http://schemas.microsoft.com/office/drawing/2014/main" id="{C84F542F-E33A-4DF0-A891-2D56B0A7F7BF}"/>
            </a:ext>
          </a:extLst>
        </xdr:cNvPr>
        <xdr:cNvCxnSpPr>
          <a:stCxn id="57" idx="2"/>
          <a:endCxn id="274" idx="0"/>
        </xdr:cNvCxnSpPr>
      </xdr:nvCxnSpPr>
      <xdr:spPr>
        <a:xfrm rot="5400000">
          <a:off x="4043288" y="36877226"/>
          <a:ext cx="417948" cy="277289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191095</xdr:colOff>
      <xdr:row>299</xdr:row>
      <xdr:rowOff>97119</xdr:rowOff>
    </xdr:from>
    <xdr:to>
      <xdr:col>45</xdr:col>
      <xdr:colOff>11279</xdr:colOff>
      <xdr:row>303</xdr:row>
      <xdr:rowOff>58774</xdr:rowOff>
    </xdr:to>
    <xdr:grpSp>
      <xdr:nvGrpSpPr>
        <xdr:cNvPr id="282" name="グループ化 281">
          <a:extLst>
            <a:ext uri="{FF2B5EF4-FFF2-40B4-BE49-F238E27FC236}">
              <a16:creationId xmlns:a16="http://schemas.microsoft.com/office/drawing/2014/main" id="{4933938D-6F43-4EEA-8F70-5E28F8E202DF}"/>
            </a:ext>
          </a:extLst>
        </xdr:cNvPr>
        <xdr:cNvGrpSpPr>
          <a:grpSpLocks noChangeAspect="1"/>
        </xdr:cNvGrpSpPr>
      </xdr:nvGrpSpPr>
      <xdr:grpSpPr>
        <a:xfrm>
          <a:off x="7239595" y="52989444"/>
          <a:ext cx="915559" cy="656980"/>
          <a:chOff x="7112003" y="2892425"/>
          <a:chExt cx="873125" cy="584984"/>
        </a:xfrm>
      </xdr:grpSpPr>
      <xdr:sp macro="" textlink="">
        <xdr:nvSpPr>
          <xdr:cNvPr id="283" name="フローチャート: 磁気ディスク 282">
            <a:extLst>
              <a:ext uri="{FF2B5EF4-FFF2-40B4-BE49-F238E27FC236}">
                <a16:creationId xmlns:a16="http://schemas.microsoft.com/office/drawing/2014/main" id="{017999E7-BC23-D490-8E6F-82D88385925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4" name="正方形/長方形 283">
            <a:extLst>
              <a:ext uri="{FF2B5EF4-FFF2-40B4-BE49-F238E27FC236}">
                <a16:creationId xmlns:a16="http://schemas.microsoft.com/office/drawing/2014/main" id="{BBC4CDCE-B265-66A5-29AB-0F7F3745B3C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110992</xdr:colOff>
      <xdr:row>301</xdr:row>
      <xdr:rowOff>49462</xdr:rowOff>
    </xdr:from>
    <xdr:to>
      <xdr:col>40</xdr:col>
      <xdr:colOff>97791</xdr:colOff>
      <xdr:row>301</xdr:row>
      <xdr:rowOff>51946</xdr:rowOff>
    </xdr:to>
    <xdr:cxnSp macro="">
      <xdr:nvCxnSpPr>
        <xdr:cNvPr id="285" name="直線矢印コネクタ 284">
          <a:extLst>
            <a:ext uri="{FF2B5EF4-FFF2-40B4-BE49-F238E27FC236}">
              <a16:creationId xmlns:a16="http://schemas.microsoft.com/office/drawing/2014/main" id="{6400D282-3AC1-4177-8961-8914E8FCDB82}"/>
            </a:ext>
          </a:extLst>
        </xdr:cNvPr>
        <xdr:cNvCxnSpPr>
          <a:stCxn id="216" idx="3"/>
          <a:endCxn id="283" idx="2"/>
        </xdr:cNvCxnSpPr>
      </xdr:nvCxnSpPr>
      <xdr:spPr>
        <a:xfrm>
          <a:off x="6108567" y="49852512"/>
          <a:ext cx="1990224" cy="24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76201</xdr:colOff>
      <xdr:row>305</xdr:row>
      <xdr:rowOff>26195</xdr:rowOff>
    </xdr:from>
    <xdr:to>
      <xdr:col>30</xdr:col>
      <xdr:colOff>162587</xdr:colOff>
      <xdr:row>308</xdr:row>
      <xdr:rowOff>64524</xdr:rowOff>
    </xdr:to>
    <xdr:grpSp>
      <xdr:nvGrpSpPr>
        <xdr:cNvPr id="286" name="グループ化 8">
          <a:extLst>
            <a:ext uri="{FF2B5EF4-FFF2-40B4-BE49-F238E27FC236}">
              <a16:creationId xmlns:a16="http://schemas.microsoft.com/office/drawing/2014/main" id="{28A98827-FBCB-4C34-BEA9-EC5D52319F8B}"/>
            </a:ext>
          </a:extLst>
        </xdr:cNvPr>
        <xdr:cNvGrpSpPr/>
      </xdr:nvGrpSpPr>
      <xdr:grpSpPr>
        <a:xfrm>
          <a:off x="4600576" y="53975795"/>
          <a:ext cx="991261" cy="552679"/>
          <a:chOff x="1633113" y="2430783"/>
          <a:chExt cx="908902" cy="422628"/>
        </a:xfrm>
      </xdr:grpSpPr>
      <xdr:sp macro="" textlink="">
        <xdr:nvSpPr>
          <xdr:cNvPr id="287" name="フローチャート: 定義済み処理 9">
            <a:extLst>
              <a:ext uri="{FF2B5EF4-FFF2-40B4-BE49-F238E27FC236}">
                <a16:creationId xmlns:a16="http://schemas.microsoft.com/office/drawing/2014/main" id="{98DDA0CB-0366-3413-9AE8-6634F661779A}"/>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88" name="正方形/長方形 48">
            <a:extLst>
              <a:ext uri="{FF2B5EF4-FFF2-40B4-BE49-F238E27FC236}">
                <a16:creationId xmlns:a16="http://schemas.microsoft.com/office/drawing/2014/main" id="{95EFBDD9-8A4F-90D3-F083-9AFFD8421B00}"/>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間接法の振替</a:t>
            </a:r>
            <a:endParaRPr kumimoji="1" lang="en-US" altLang="ja-JP" sz="900"/>
          </a:p>
          <a:p>
            <a:pPr algn="ctr"/>
            <a:r>
              <a:rPr kumimoji="1" lang="ja-JP" altLang="en-US" sz="900"/>
              <a:t>仕訳の承認依頼</a:t>
            </a:r>
            <a:endParaRPr kumimoji="1" lang="en-US" altLang="ja-JP" sz="900"/>
          </a:p>
        </xdr:txBody>
      </xdr:sp>
    </xdr:grpSp>
    <xdr:clientData/>
  </xdr:twoCellAnchor>
  <xdr:twoCellAnchor>
    <xdr:from>
      <xdr:col>40</xdr:col>
      <xdr:colOff>595</xdr:colOff>
      <xdr:row>305</xdr:row>
      <xdr:rowOff>7425</xdr:rowOff>
    </xdr:from>
    <xdr:to>
      <xdr:col>45</xdr:col>
      <xdr:colOff>26360</xdr:colOff>
      <xdr:row>308</xdr:row>
      <xdr:rowOff>142117</xdr:rowOff>
    </xdr:to>
    <xdr:grpSp>
      <xdr:nvGrpSpPr>
        <xdr:cNvPr id="289" name="グループ化 288">
          <a:extLst>
            <a:ext uri="{FF2B5EF4-FFF2-40B4-BE49-F238E27FC236}">
              <a16:creationId xmlns:a16="http://schemas.microsoft.com/office/drawing/2014/main" id="{D4C1ED11-E89A-4463-9460-84E0B1101738}"/>
            </a:ext>
          </a:extLst>
        </xdr:cNvPr>
        <xdr:cNvGrpSpPr>
          <a:grpSpLocks noChangeAspect="1"/>
        </xdr:cNvGrpSpPr>
      </xdr:nvGrpSpPr>
      <xdr:grpSpPr>
        <a:xfrm>
          <a:off x="7239595" y="53957025"/>
          <a:ext cx="930640" cy="649042"/>
          <a:chOff x="7112003" y="2892425"/>
          <a:chExt cx="873125" cy="584984"/>
        </a:xfrm>
      </xdr:grpSpPr>
      <xdr:sp macro="" textlink="">
        <xdr:nvSpPr>
          <xdr:cNvPr id="290" name="フローチャート: 磁気ディスク 289">
            <a:extLst>
              <a:ext uri="{FF2B5EF4-FFF2-40B4-BE49-F238E27FC236}">
                <a16:creationId xmlns:a16="http://schemas.microsoft.com/office/drawing/2014/main" id="{68AAA68C-10F3-63FE-3B2B-786D9597217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1" name="正方形/長方形 290">
            <a:extLst>
              <a:ext uri="{FF2B5EF4-FFF2-40B4-BE49-F238E27FC236}">
                <a16:creationId xmlns:a16="http://schemas.microsoft.com/office/drawing/2014/main" id="{93E6DBA1-90F7-6AB9-1E3B-12544A8D9E5F}"/>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114027</xdr:colOff>
      <xdr:row>306</xdr:row>
      <xdr:rowOff>129630</xdr:rowOff>
    </xdr:from>
    <xdr:to>
      <xdr:col>40</xdr:col>
      <xdr:colOff>109697</xdr:colOff>
      <xdr:row>306</xdr:row>
      <xdr:rowOff>135026</xdr:rowOff>
    </xdr:to>
    <xdr:cxnSp macro="">
      <xdr:nvCxnSpPr>
        <xdr:cNvPr id="292" name="直線矢印コネクタ 291">
          <a:extLst>
            <a:ext uri="{FF2B5EF4-FFF2-40B4-BE49-F238E27FC236}">
              <a16:creationId xmlns:a16="http://schemas.microsoft.com/office/drawing/2014/main" id="{A1D6B315-C877-4B33-BF62-F753690FEDB1}"/>
            </a:ext>
          </a:extLst>
        </xdr:cNvPr>
        <xdr:cNvCxnSpPr>
          <a:stCxn id="287" idx="3"/>
          <a:endCxn id="290" idx="2"/>
        </xdr:cNvCxnSpPr>
      </xdr:nvCxnSpPr>
      <xdr:spPr>
        <a:xfrm>
          <a:off x="6114777" y="50789930"/>
          <a:ext cx="1992745" cy="85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22409</xdr:colOff>
      <xdr:row>302</xdr:row>
      <xdr:rowOff>120736</xdr:rowOff>
    </xdr:from>
    <xdr:to>
      <xdr:col>28</xdr:col>
      <xdr:colOff>22409</xdr:colOff>
      <xdr:row>305</xdr:row>
      <xdr:rowOff>58356</xdr:rowOff>
    </xdr:to>
    <xdr:cxnSp macro="">
      <xdr:nvCxnSpPr>
        <xdr:cNvPr id="293" name="直線矢印コネクタ 292">
          <a:extLst>
            <a:ext uri="{FF2B5EF4-FFF2-40B4-BE49-F238E27FC236}">
              <a16:creationId xmlns:a16="http://schemas.microsoft.com/office/drawing/2014/main" id="{786F6573-25AD-44FD-BFD6-3A96473D879B}"/>
            </a:ext>
          </a:extLst>
        </xdr:cNvPr>
        <xdr:cNvCxnSpPr>
          <a:cxnSpLocks/>
          <a:stCxn id="216" idx="2"/>
          <a:endCxn id="287" idx="0"/>
        </xdr:cNvCxnSpPr>
      </xdr:nvCxnSpPr>
      <xdr:spPr>
        <a:xfrm>
          <a:off x="5626284" y="50101586"/>
          <a:ext cx="0" cy="4487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103981</xdr:colOff>
      <xdr:row>313</xdr:row>
      <xdr:rowOff>68533</xdr:rowOff>
    </xdr:from>
    <xdr:to>
      <xdr:col>38</xdr:col>
      <xdr:colOff>3043</xdr:colOff>
      <xdr:row>316</xdr:row>
      <xdr:rowOff>97339</xdr:rowOff>
    </xdr:to>
    <xdr:grpSp>
      <xdr:nvGrpSpPr>
        <xdr:cNvPr id="294" name="グループ化 8">
          <a:extLst>
            <a:ext uri="{FF2B5EF4-FFF2-40B4-BE49-F238E27FC236}">
              <a16:creationId xmlns:a16="http://schemas.microsoft.com/office/drawing/2014/main" id="{654C7B41-17CC-4A6A-A974-755866F9ED97}"/>
            </a:ext>
          </a:extLst>
        </xdr:cNvPr>
        <xdr:cNvGrpSpPr/>
      </xdr:nvGrpSpPr>
      <xdr:grpSpPr>
        <a:xfrm>
          <a:off x="5895181" y="55437358"/>
          <a:ext cx="984912" cy="543156"/>
          <a:chOff x="1633113" y="2430783"/>
          <a:chExt cx="908902" cy="422628"/>
        </a:xfrm>
      </xdr:grpSpPr>
      <xdr:sp macro="" textlink="">
        <xdr:nvSpPr>
          <xdr:cNvPr id="295" name="フローチャート: 定義済み処理 9">
            <a:extLst>
              <a:ext uri="{FF2B5EF4-FFF2-40B4-BE49-F238E27FC236}">
                <a16:creationId xmlns:a16="http://schemas.microsoft.com/office/drawing/2014/main" id="{E972B4B0-7C08-8B85-B97A-FF539B51A4FA}"/>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96" name="正方形/長方形 48">
            <a:extLst>
              <a:ext uri="{FF2B5EF4-FFF2-40B4-BE49-F238E27FC236}">
                <a16:creationId xmlns:a16="http://schemas.microsoft.com/office/drawing/2014/main" id="{1A0F0EAF-C217-D2A1-E2B5-3FA1B62ABC6E}"/>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間接法の振替仕訳承認</a:t>
            </a:r>
            <a:endParaRPr kumimoji="1" lang="en-US" altLang="ja-JP" sz="900"/>
          </a:p>
        </xdr:txBody>
      </xdr:sp>
    </xdr:grpSp>
    <xdr:clientData/>
  </xdr:twoCellAnchor>
  <xdr:twoCellAnchor>
    <xdr:from>
      <xdr:col>40</xdr:col>
      <xdr:colOff>29325</xdr:colOff>
      <xdr:row>313</xdr:row>
      <xdr:rowOff>56357</xdr:rowOff>
    </xdr:from>
    <xdr:to>
      <xdr:col>44</xdr:col>
      <xdr:colOff>159583</xdr:colOff>
      <xdr:row>316</xdr:row>
      <xdr:rowOff>132141</xdr:rowOff>
    </xdr:to>
    <xdr:grpSp>
      <xdr:nvGrpSpPr>
        <xdr:cNvPr id="297" name="グループ化 296">
          <a:extLst>
            <a:ext uri="{FF2B5EF4-FFF2-40B4-BE49-F238E27FC236}">
              <a16:creationId xmlns:a16="http://schemas.microsoft.com/office/drawing/2014/main" id="{4C35A39F-370F-45A7-AD59-167FF58EDB2F}"/>
            </a:ext>
          </a:extLst>
        </xdr:cNvPr>
        <xdr:cNvGrpSpPr>
          <a:grpSpLocks noChangeAspect="1"/>
        </xdr:cNvGrpSpPr>
      </xdr:nvGrpSpPr>
      <xdr:grpSpPr>
        <a:xfrm>
          <a:off x="7268325" y="55425182"/>
          <a:ext cx="854158" cy="590134"/>
          <a:chOff x="7112003" y="2892425"/>
          <a:chExt cx="873125" cy="584984"/>
        </a:xfrm>
      </xdr:grpSpPr>
      <xdr:sp macro="" textlink="">
        <xdr:nvSpPr>
          <xdr:cNvPr id="298" name="フローチャート: 磁気ディスク 297">
            <a:extLst>
              <a:ext uri="{FF2B5EF4-FFF2-40B4-BE49-F238E27FC236}">
                <a16:creationId xmlns:a16="http://schemas.microsoft.com/office/drawing/2014/main" id="{8EF555EA-45CC-A83F-A1F9-94DA4A687E2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9" name="正方形/長方形 298">
            <a:extLst>
              <a:ext uri="{FF2B5EF4-FFF2-40B4-BE49-F238E27FC236}">
                <a16:creationId xmlns:a16="http://schemas.microsoft.com/office/drawing/2014/main" id="{296AACEC-8000-CF59-0685-C0ABA6EB017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28</xdr:col>
      <xdr:colOff>22409</xdr:colOff>
      <xdr:row>308</xdr:row>
      <xdr:rowOff>34216</xdr:rowOff>
    </xdr:from>
    <xdr:to>
      <xdr:col>35</xdr:col>
      <xdr:colOff>56588</xdr:colOff>
      <xdr:row>313</xdr:row>
      <xdr:rowOff>100124</xdr:rowOff>
    </xdr:to>
    <xdr:cxnSp macro="">
      <xdr:nvCxnSpPr>
        <xdr:cNvPr id="300" name="コネクタ: カギ線 299">
          <a:extLst>
            <a:ext uri="{FF2B5EF4-FFF2-40B4-BE49-F238E27FC236}">
              <a16:creationId xmlns:a16="http://schemas.microsoft.com/office/drawing/2014/main" id="{7CAF5FA6-AEFB-4EE7-9229-C6DBF23854DA}"/>
            </a:ext>
          </a:extLst>
        </xdr:cNvPr>
        <xdr:cNvCxnSpPr>
          <a:stCxn id="287" idx="2"/>
          <a:endCxn id="295" idx="0"/>
        </xdr:cNvCxnSpPr>
      </xdr:nvCxnSpPr>
      <xdr:spPr>
        <a:xfrm rot="16200000" flipH="1">
          <a:off x="5877120" y="50786580"/>
          <a:ext cx="929508" cy="143117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153947</xdr:colOff>
      <xdr:row>314</xdr:row>
      <xdr:rowOff>153766</xdr:rowOff>
    </xdr:from>
    <xdr:to>
      <xdr:col>40</xdr:col>
      <xdr:colOff>130942</xdr:colOff>
      <xdr:row>315</xdr:row>
      <xdr:rowOff>503</xdr:rowOff>
    </xdr:to>
    <xdr:cxnSp macro="">
      <xdr:nvCxnSpPr>
        <xdr:cNvPr id="301" name="直線矢印コネクタ 300">
          <a:extLst>
            <a:ext uri="{FF2B5EF4-FFF2-40B4-BE49-F238E27FC236}">
              <a16:creationId xmlns:a16="http://schemas.microsoft.com/office/drawing/2014/main" id="{6D0D77B0-8692-4EDD-B6D4-B718FCCB3FB8}"/>
            </a:ext>
          </a:extLst>
        </xdr:cNvPr>
        <xdr:cNvCxnSpPr>
          <a:stCxn id="295" idx="3"/>
          <a:endCxn id="298" idx="2"/>
        </xdr:cNvCxnSpPr>
      </xdr:nvCxnSpPr>
      <xdr:spPr>
        <a:xfrm flipV="1">
          <a:off x="7554872" y="52188841"/>
          <a:ext cx="577070" cy="181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56588</xdr:colOff>
      <xdr:row>316</xdr:row>
      <xdr:rowOff>67568</xdr:rowOff>
    </xdr:from>
    <xdr:to>
      <xdr:col>35</xdr:col>
      <xdr:colOff>58713</xdr:colOff>
      <xdr:row>321</xdr:row>
      <xdr:rowOff>9176</xdr:rowOff>
    </xdr:to>
    <xdr:cxnSp macro="">
      <xdr:nvCxnSpPr>
        <xdr:cNvPr id="302" name="直線矢印コネクタ 301">
          <a:extLst>
            <a:ext uri="{FF2B5EF4-FFF2-40B4-BE49-F238E27FC236}">
              <a16:creationId xmlns:a16="http://schemas.microsoft.com/office/drawing/2014/main" id="{9BFA1778-A32D-4BC1-BAAF-9F3E1EE9757F}"/>
            </a:ext>
          </a:extLst>
        </xdr:cNvPr>
        <xdr:cNvCxnSpPr>
          <a:cxnSpLocks/>
          <a:stCxn id="295" idx="2"/>
          <a:endCxn id="209" idx="0"/>
        </xdr:cNvCxnSpPr>
      </xdr:nvCxnSpPr>
      <xdr:spPr>
        <a:xfrm>
          <a:off x="7057463" y="52442368"/>
          <a:ext cx="2125" cy="80520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104431</xdr:colOff>
      <xdr:row>93</xdr:row>
      <xdr:rowOff>15335</xdr:rowOff>
    </xdr:from>
    <xdr:to>
      <xdr:col>45</xdr:col>
      <xdr:colOff>38771</xdr:colOff>
      <xdr:row>96</xdr:row>
      <xdr:rowOff>111530</xdr:rowOff>
    </xdr:to>
    <xdr:grpSp>
      <xdr:nvGrpSpPr>
        <xdr:cNvPr id="237" name="グループ化 236">
          <a:extLst>
            <a:ext uri="{FF2B5EF4-FFF2-40B4-BE49-F238E27FC236}">
              <a16:creationId xmlns:a16="http://schemas.microsoft.com/office/drawing/2014/main" id="{A31B6D9D-358A-FF3C-D4BE-9F562D584952}"/>
            </a:ext>
          </a:extLst>
        </xdr:cNvPr>
        <xdr:cNvGrpSpPr>
          <a:grpSpLocks noChangeAspect="1"/>
        </xdr:cNvGrpSpPr>
      </xdr:nvGrpSpPr>
      <xdr:grpSpPr>
        <a:xfrm>
          <a:off x="7343431" y="16522160"/>
          <a:ext cx="839215" cy="620070"/>
          <a:chOff x="7112003" y="2892425"/>
          <a:chExt cx="873125" cy="584984"/>
        </a:xfrm>
      </xdr:grpSpPr>
      <xdr:sp macro="" textlink="">
        <xdr:nvSpPr>
          <xdr:cNvPr id="238" name="フローチャート: 磁気ディスク 237">
            <a:extLst>
              <a:ext uri="{FF2B5EF4-FFF2-40B4-BE49-F238E27FC236}">
                <a16:creationId xmlns:a16="http://schemas.microsoft.com/office/drawing/2014/main" id="{51CCEA5B-A160-92D9-02BF-23691138DD7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9" name="正方形/長方形 238">
            <a:extLst>
              <a:ext uri="{FF2B5EF4-FFF2-40B4-BE49-F238E27FC236}">
                <a16:creationId xmlns:a16="http://schemas.microsoft.com/office/drawing/2014/main" id="{E02DE5CF-1541-29FD-506B-851628F9727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リース資産台帳</a:t>
            </a:r>
          </a:p>
        </xdr:txBody>
      </xdr:sp>
    </xdr:grpSp>
    <xdr:clientData/>
  </xdr:twoCellAnchor>
  <xdr:twoCellAnchor>
    <xdr:from>
      <xdr:col>40</xdr:col>
      <xdr:colOff>104431</xdr:colOff>
      <xdr:row>96</xdr:row>
      <xdr:rowOff>111039</xdr:rowOff>
    </xdr:from>
    <xdr:to>
      <xdr:col>45</xdr:col>
      <xdr:colOff>38771</xdr:colOff>
      <xdr:row>100</xdr:row>
      <xdr:rowOff>6756</xdr:rowOff>
    </xdr:to>
    <xdr:grpSp>
      <xdr:nvGrpSpPr>
        <xdr:cNvPr id="243" name="グループ化 242">
          <a:extLst>
            <a:ext uri="{FF2B5EF4-FFF2-40B4-BE49-F238E27FC236}">
              <a16:creationId xmlns:a16="http://schemas.microsoft.com/office/drawing/2014/main" id="{21134281-491B-E09B-B418-529EFE2394FB}"/>
            </a:ext>
          </a:extLst>
        </xdr:cNvPr>
        <xdr:cNvGrpSpPr>
          <a:grpSpLocks noChangeAspect="1"/>
        </xdr:cNvGrpSpPr>
      </xdr:nvGrpSpPr>
      <xdr:grpSpPr>
        <a:xfrm>
          <a:off x="7343431" y="17141739"/>
          <a:ext cx="839215" cy="610092"/>
          <a:chOff x="7112003" y="2892425"/>
          <a:chExt cx="873125" cy="584984"/>
        </a:xfrm>
      </xdr:grpSpPr>
      <xdr:sp macro="" textlink="">
        <xdr:nvSpPr>
          <xdr:cNvPr id="244" name="フローチャート: 磁気ディスク 243">
            <a:extLst>
              <a:ext uri="{FF2B5EF4-FFF2-40B4-BE49-F238E27FC236}">
                <a16:creationId xmlns:a16="http://schemas.microsoft.com/office/drawing/2014/main" id="{0BF2C683-2CC4-67B4-841F-6BBF0493A05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45" name="正方形/長方形 244">
            <a:extLst>
              <a:ext uri="{FF2B5EF4-FFF2-40B4-BE49-F238E27FC236}">
                <a16:creationId xmlns:a16="http://schemas.microsoft.com/office/drawing/2014/main" id="{D7E1B76C-4459-7E96-35DE-F2F875AB6FD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リース利息一覧</a:t>
            </a:r>
          </a:p>
        </xdr:txBody>
      </xdr:sp>
    </xdr:grpSp>
    <xdr:clientData/>
  </xdr:twoCellAnchor>
  <xdr:twoCellAnchor>
    <xdr:from>
      <xdr:col>25</xdr:col>
      <xdr:colOff>130177</xdr:colOff>
      <xdr:row>93</xdr:row>
      <xdr:rowOff>1559</xdr:rowOff>
    </xdr:from>
    <xdr:to>
      <xdr:col>31</xdr:col>
      <xdr:colOff>29938</xdr:colOff>
      <xdr:row>96</xdr:row>
      <xdr:rowOff>38399</xdr:rowOff>
    </xdr:to>
    <xdr:grpSp>
      <xdr:nvGrpSpPr>
        <xdr:cNvPr id="247" name="グループ化 8">
          <a:extLst>
            <a:ext uri="{FF2B5EF4-FFF2-40B4-BE49-F238E27FC236}">
              <a16:creationId xmlns:a16="http://schemas.microsoft.com/office/drawing/2014/main" id="{8F191A5E-3BB4-6CF2-387E-EC8B44E99368}"/>
            </a:ext>
          </a:extLst>
        </xdr:cNvPr>
        <xdr:cNvGrpSpPr/>
      </xdr:nvGrpSpPr>
      <xdr:grpSpPr>
        <a:xfrm>
          <a:off x="4654552" y="16508384"/>
          <a:ext cx="985611" cy="560715"/>
          <a:chOff x="1653542" y="2416116"/>
          <a:chExt cx="908902" cy="420662"/>
        </a:xfrm>
      </xdr:grpSpPr>
      <xdr:sp macro="" textlink="">
        <xdr:nvSpPr>
          <xdr:cNvPr id="248" name="フローチャート: 定義済み処理 9">
            <a:extLst>
              <a:ext uri="{FF2B5EF4-FFF2-40B4-BE49-F238E27FC236}">
                <a16:creationId xmlns:a16="http://schemas.microsoft.com/office/drawing/2014/main" id="{F4B7323B-5EA6-56BF-E3D3-4E48BF89AD8D}"/>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9" name="正方形/長方形 48">
            <a:extLst>
              <a:ext uri="{FF2B5EF4-FFF2-40B4-BE49-F238E27FC236}">
                <a16:creationId xmlns:a16="http://schemas.microsoft.com/office/drawing/2014/main" id="{43E548C4-D686-6C34-20AD-7ABFFDBD1DF4}"/>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10.</a:t>
            </a:r>
            <a:r>
              <a:rPr kumimoji="1" lang="ja-JP" altLang="en-US" sz="900">
                <a:solidFill>
                  <a:schemeClr val="dk1"/>
                </a:solidFill>
                <a:effectLst/>
                <a:latin typeface="+mn-lt"/>
                <a:ea typeface="+mn-ea"/>
                <a:cs typeface="+mn-cs"/>
              </a:rPr>
              <a:t>レポート</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内容確認</a:t>
            </a:r>
            <a:endParaRPr kumimoji="1" lang="ja-JP" altLang="en-US" sz="900"/>
          </a:p>
        </xdr:txBody>
      </xdr:sp>
    </xdr:grpSp>
    <xdr:clientData/>
  </xdr:twoCellAnchor>
  <xdr:twoCellAnchor>
    <xdr:from>
      <xdr:col>28</xdr:col>
      <xdr:colOff>80669</xdr:colOff>
      <xdr:row>96</xdr:row>
      <xdr:rowOff>32270</xdr:rowOff>
    </xdr:from>
    <xdr:to>
      <xdr:col>28</xdr:col>
      <xdr:colOff>84993</xdr:colOff>
      <xdr:row>102</xdr:row>
      <xdr:rowOff>121638</xdr:rowOff>
    </xdr:to>
    <xdr:cxnSp macro="">
      <xdr:nvCxnSpPr>
        <xdr:cNvPr id="306" name="直線矢印コネクタ 305">
          <a:extLst>
            <a:ext uri="{FF2B5EF4-FFF2-40B4-BE49-F238E27FC236}">
              <a16:creationId xmlns:a16="http://schemas.microsoft.com/office/drawing/2014/main" id="{6923951B-0492-46D4-9FF0-91F7E0C936C4}"/>
            </a:ext>
          </a:extLst>
        </xdr:cNvPr>
        <xdr:cNvCxnSpPr>
          <a:cxnSpLocks/>
          <a:stCxn id="248" idx="2"/>
          <a:endCxn id="55" idx="0"/>
        </xdr:cNvCxnSpPr>
      </xdr:nvCxnSpPr>
      <xdr:spPr>
        <a:xfrm>
          <a:off x="5681369" y="16577195"/>
          <a:ext cx="4324" cy="111806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177861</xdr:colOff>
      <xdr:row>94</xdr:row>
      <xdr:rowOff>122177</xdr:rowOff>
    </xdr:from>
    <xdr:to>
      <xdr:col>41</xdr:col>
      <xdr:colOff>5787</xdr:colOff>
      <xdr:row>94</xdr:row>
      <xdr:rowOff>129720</xdr:rowOff>
    </xdr:to>
    <xdr:cxnSp macro="">
      <xdr:nvCxnSpPr>
        <xdr:cNvPr id="310" name="直線矢印コネクタ 309">
          <a:extLst>
            <a:ext uri="{FF2B5EF4-FFF2-40B4-BE49-F238E27FC236}">
              <a16:creationId xmlns:a16="http://schemas.microsoft.com/office/drawing/2014/main" id="{C17C1BF1-1A86-427B-95D0-E37C17BF47BE}"/>
            </a:ext>
          </a:extLst>
        </xdr:cNvPr>
        <xdr:cNvCxnSpPr>
          <a:stCxn id="238" idx="2"/>
          <a:endCxn id="248" idx="3"/>
        </xdr:cNvCxnSpPr>
      </xdr:nvCxnSpPr>
      <xdr:spPr>
        <a:xfrm flipH="1">
          <a:off x="6178611" y="16324202"/>
          <a:ext cx="2028201" cy="754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177862</xdr:colOff>
      <xdr:row>94</xdr:row>
      <xdr:rowOff>129720</xdr:rowOff>
    </xdr:from>
    <xdr:to>
      <xdr:col>41</xdr:col>
      <xdr:colOff>5788</xdr:colOff>
      <xdr:row>98</xdr:row>
      <xdr:rowOff>34574</xdr:rowOff>
    </xdr:to>
    <xdr:cxnSp macro="">
      <xdr:nvCxnSpPr>
        <xdr:cNvPr id="316" name="コネクタ: カギ線 315">
          <a:extLst>
            <a:ext uri="{FF2B5EF4-FFF2-40B4-BE49-F238E27FC236}">
              <a16:creationId xmlns:a16="http://schemas.microsoft.com/office/drawing/2014/main" id="{4EC5B3C9-E87E-40F4-B94E-927D83FCA4AF}"/>
            </a:ext>
          </a:extLst>
        </xdr:cNvPr>
        <xdr:cNvCxnSpPr>
          <a:stCxn id="244" idx="2"/>
          <a:endCxn id="248" idx="3"/>
        </xdr:cNvCxnSpPr>
      </xdr:nvCxnSpPr>
      <xdr:spPr>
        <a:xfrm rot="10800000">
          <a:off x="6178612" y="16331745"/>
          <a:ext cx="2028201" cy="590654"/>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180229</xdr:colOff>
      <xdr:row>102</xdr:row>
      <xdr:rowOff>121638</xdr:rowOff>
    </xdr:from>
    <xdr:to>
      <xdr:col>16</xdr:col>
      <xdr:colOff>85007</xdr:colOff>
      <xdr:row>104</xdr:row>
      <xdr:rowOff>27271</xdr:rowOff>
    </xdr:to>
    <xdr:sp macro="" textlink="">
      <xdr:nvSpPr>
        <xdr:cNvPr id="319" name="フローチャート: 端子 26">
          <a:extLst>
            <a:ext uri="{FF2B5EF4-FFF2-40B4-BE49-F238E27FC236}">
              <a16:creationId xmlns:a16="http://schemas.microsoft.com/office/drawing/2014/main" id="{A9FACE51-60D2-EA9D-232D-7D5792E3FFD1}"/>
            </a:ext>
          </a:extLst>
        </xdr:cNvPr>
        <xdr:cNvSpPr/>
      </xdr:nvSpPr>
      <xdr:spPr>
        <a:xfrm>
          <a:off x="2580529" y="17695263"/>
          <a:ext cx="704878" cy="2485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11</xdr:col>
      <xdr:colOff>177802</xdr:colOff>
      <xdr:row>93</xdr:row>
      <xdr:rowOff>1559</xdr:rowOff>
    </xdr:from>
    <xdr:to>
      <xdr:col>17</xdr:col>
      <xdr:colOff>74388</xdr:colOff>
      <xdr:row>96</xdr:row>
      <xdr:rowOff>38399</xdr:rowOff>
    </xdr:to>
    <xdr:grpSp>
      <xdr:nvGrpSpPr>
        <xdr:cNvPr id="320" name="グループ化 8">
          <a:extLst>
            <a:ext uri="{FF2B5EF4-FFF2-40B4-BE49-F238E27FC236}">
              <a16:creationId xmlns:a16="http://schemas.microsoft.com/office/drawing/2014/main" id="{A41CF9FF-A2BB-C312-5060-EF0B4423AE81}"/>
            </a:ext>
          </a:extLst>
        </xdr:cNvPr>
        <xdr:cNvGrpSpPr/>
      </xdr:nvGrpSpPr>
      <xdr:grpSpPr>
        <a:xfrm>
          <a:off x="2168527" y="16508384"/>
          <a:ext cx="982436" cy="560715"/>
          <a:chOff x="1653542" y="2416116"/>
          <a:chExt cx="908902" cy="420662"/>
        </a:xfrm>
      </xdr:grpSpPr>
      <xdr:sp macro="" textlink="">
        <xdr:nvSpPr>
          <xdr:cNvPr id="321" name="フローチャート: 定義済み処理 9">
            <a:extLst>
              <a:ext uri="{FF2B5EF4-FFF2-40B4-BE49-F238E27FC236}">
                <a16:creationId xmlns:a16="http://schemas.microsoft.com/office/drawing/2014/main" id="{FBCBDD09-5C86-0747-DC11-F2278A1B562E}"/>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22" name="正方形/長方形 48">
            <a:extLst>
              <a:ext uri="{FF2B5EF4-FFF2-40B4-BE49-F238E27FC236}">
                <a16:creationId xmlns:a16="http://schemas.microsoft.com/office/drawing/2014/main" id="{6DB8122E-1CE1-A62E-94E2-EF9DEDF0E34D}"/>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10.</a:t>
            </a:r>
            <a:r>
              <a:rPr kumimoji="1" lang="ja-JP" altLang="en-US" sz="900">
                <a:solidFill>
                  <a:schemeClr val="dk1"/>
                </a:solidFill>
                <a:effectLst/>
                <a:latin typeface="+mn-lt"/>
                <a:ea typeface="+mn-ea"/>
                <a:cs typeface="+mn-cs"/>
              </a:rPr>
              <a:t>レポート</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内容確認</a:t>
            </a:r>
            <a:endParaRPr kumimoji="1" lang="ja-JP" altLang="en-US" sz="900"/>
          </a:p>
        </xdr:txBody>
      </xdr:sp>
    </xdr:grpSp>
    <xdr:clientData/>
  </xdr:twoCellAnchor>
  <xdr:twoCellAnchor>
    <xdr:from>
      <xdr:col>14</xdr:col>
      <xdr:colOff>131469</xdr:colOff>
      <xdr:row>96</xdr:row>
      <xdr:rowOff>29095</xdr:rowOff>
    </xdr:from>
    <xdr:to>
      <xdr:col>14</xdr:col>
      <xdr:colOff>135793</xdr:colOff>
      <xdr:row>102</xdr:row>
      <xdr:rowOff>124813</xdr:rowOff>
    </xdr:to>
    <xdr:cxnSp macro="">
      <xdr:nvCxnSpPr>
        <xdr:cNvPr id="323" name="直線矢印コネクタ 322">
          <a:extLst>
            <a:ext uri="{FF2B5EF4-FFF2-40B4-BE49-F238E27FC236}">
              <a16:creationId xmlns:a16="http://schemas.microsoft.com/office/drawing/2014/main" id="{D6BA88AA-636E-CBC8-F927-02100592546A}"/>
            </a:ext>
          </a:extLst>
        </xdr:cNvPr>
        <xdr:cNvCxnSpPr>
          <a:cxnSpLocks/>
          <a:stCxn id="321" idx="2"/>
          <a:endCxn id="319" idx="0"/>
        </xdr:cNvCxnSpPr>
      </xdr:nvCxnSpPr>
      <xdr:spPr>
        <a:xfrm>
          <a:off x="2931819" y="16574020"/>
          <a:ext cx="4324" cy="112441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80670</xdr:colOff>
      <xdr:row>84</xdr:row>
      <xdr:rowOff>44443</xdr:rowOff>
    </xdr:from>
    <xdr:to>
      <xdr:col>35</xdr:col>
      <xdr:colOff>148925</xdr:colOff>
      <xdr:row>93</xdr:row>
      <xdr:rowOff>55718</xdr:rowOff>
    </xdr:to>
    <xdr:cxnSp macro="">
      <xdr:nvCxnSpPr>
        <xdr:cNvPr id="325" name="コネクタ: カギ線 324">
          <a:extLst>
            <a:ext uri="{FF2B5EF4-FFF2-40B4-BE49-F238E27FC236}">
              <a16:creationId xmlns:a16="http://schemas.microsoft.com/office/drawing/2014/main" id="{4B39361E-8BD1-94EA-F2D1-7ECC49B76FC0}"/>
            </a:ext>
          </a:extLst>
        </xdr:cNvPr>
        <xdr:cNvCxnSpPr>
          <a:stCxn id="115" idx="2"/>
          <a:endCxn id="248" idx="0"/>
        </xdr:cNvCxnSpPr>
      </xdr:nvCxnSpPr>
      <xdr:spPr>
        <a:xfrm rot="5400000">
          <a:off x="5638422" y="14574916"/>
          <a:ext cx="1554325" cy="146843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133273</xdr:colOff>
      <xdr:row>317</xdr:row>
      <xdr:rowOff>70556</xdr:rowOff>
    </xdr:from>
    <xdr:to>
      <xdr:col>70</xdr:col>
      <xdr:colOff>188149</xdr:colOff>
      <xdr:row>321</xdr:row>
      <xdr:rowOff>94074</xdr:rowOff>
    </xdr:to>
    <xdr:sp macro="" textlink="">
      <xdr:nvSpPr>
        <xdr:cNvPr id="10" name="四角形: 角を丸くする 9">
          <a:extLst>
            <a:ext uri="{FF2B5EF4-FFF2-40B4-BE49-F238E27FC236}">
              <a16:creationId xmlns:a16="http://schemas.microsoft.com/office/drawing/2014/main" id="{ECACABB6-5DDD-7074-060A-ADEB7EC532EC}"/>
            </a:ext>
          </a:extLst>
        </xdr:cNvPr>
        <xdr:cNvSpPr/>
      </xdr:nvSpPr>
      <xdr:spPr>
        <a:xfrm>
          <a:off x="11892532" y="54821667"/>
          <a:ext cx="2014753" cy="713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科目変更。</a:t>
          </a:r>
        </a:p>
      </xdr:txBody>
    </xdr:sp>
    <xdr:clientData/>
  </xdr:twoCellAnchor>
  <xdr:twoCellAnchor>
    <xdr:from>
      <xdr:col>62</xdr:col>
      <xdr:colOff>109753</xdr:colOff>
      <xdr:row>274</xdr:row>
      <xdr:rowOff>86234</xdr:rowOff>
    </xdr:from>
    <xdr:to>
      <xdr:col>72</xdr:col>
      <xdr:colOff>164630</xdr:colOff>
      <xdr:row>278</xdr:row>
      <xdr:rowOff>109752</xdr:rowOff>
    </xdr:to>
    <xdr:sp macro="" textlink="">
      <xdr:nvSpPr>
        <xdr:cNvPr id="56" name="四角形: 角を丸くする 55">
          <a:extLst>
            <a:ext uri="{FF2B5EF4-FFF2-40B4-BE49-F238E27FC236}">
              <a16:creationId xmlns:a16="http://schemas.microsoft.com/office/drawing/2014/main" id="{327411F3-6384-4F92-946C-EAF922A04015}"/>
            </a:ext>
          </a:extLst>
        </xdr:cNvPr>
        <xdr:cNvSpPr/>
      </xdr:nvSpPr>
      <xdr:spPr>
        <a:xfrm>
          <a:off x="12260988" y="47421172"/>
          <a:ext cx="2014753" cy="713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記載追加</a:t>
          </a:r>
        </a:p>
      </xdr:txBody>
    </xdr:sp>
    <xdr:clientData/>
  </xdr:twoCellAnchor>
  <xdr:twoCellAnchor>
    <xdr:from>
      <xdr:col>58</xdr:col>
      <xdr:colOff>101914</xdr:colOff>
      <xdr:row>284</xdr:row>
      <xdr:rowOff>141110</xdr:rowOff>
    </xdr:from>
    <xdr:to>
      <xdr:col>68</xdr:col>
      <xdr:colOff>156791</xdr:colOff>
      <xdr:row>288</xdr:row>
      <xdr:rowOff>164629</xdr:rowOff>
    </xdr:to>
    <xdr:sp macro="" textlink="">
      <xdr:nvSpPr>
        <xdr:cNvPr id="236" name="四角形: 角を丸くする 235">
          <a:extLst>
            <a:ext uri="{FF2B5EF4-FFF2-40B4-BE49-F238E27FC236}">
              <a16:creationId xmlns:a16="http://schemas.microsoft.com/office/drawing/2014/main" id="{BF267369-5493-84FD-DDD7-C42CB626F73C}"/>
            </a:ext>
          </a:extLst>
        </xdr:cNvPr>
        <xdr:cNvSpPr/>
      </xdr:nvSpPr>
      <xdr:spPr>
        <a:xfrm>
          <a:off x="11469198" y="49200740"/>
          <a:ext cx="2014753" cy="7133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記載追加</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38266</xdr:colOff>
      <xdr:row>142</xdr:row>
      <xdr:rowOff>114300</xdr:rowOff>
    </xdr:from>
    <xdr:to>
      <xdr:col>48</xdr:col>
      <xdr:colOff>34730</xdr:colOff>
      <xdr:row>142</xdr:row>
      <xdr:rowOff>129720</xdr:rowOff>
    </xdr:to>
    <xdr:cxnSp macro="">
      <xdr:nvCxnSpPr>
        <xdr:cNvPr id="2" name="直線矢印コネクタ 1">
          <a:extLst>
            <a:ext uri="{FF2B5EF4-FFF2-40B4-BE49-F238E27FC236}">
              <a16:creationId xmlns:a16="http://schemas.microsoft.com/office/drawing/2014/main" id="{8D74F7BE-8BCB-4196-9EC2-D94F01AB1CCE}"/>
            </a:ext>
          </a:extLst>
        </xdr:cNvPr>
        <xdr:cNvCxnSpPr>
          <a:endCxn id="304" idx="3"/>
        </xdr:cNvCxnSpPr>
      </xdr:nvCxnSpPr>
      <xdr:spPr>
        <a:xfrm flipH="1">
          <a:off x="3370056" y="19681707"/>
          <a:ext cx="4700168" cy="1542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199774</xdr:colOff>
      <xdr:row>428</xdr:row>
      <xdr:rowOff>115927</xdr:rowOff>
    </xdr:from>
    <xdr:to>
      <xdr:col>47</xdr:col>
      <xdr:colOff>135775</xdr:colOff>
      <xdr:row>428</xdr:row>
      <xdr:rowOff>119364</xdr:rowOff>
    </xdr:to>
    <xdr:cxnSp macro="">
      <xdr:nvCxnSpPr>
        <xdr:cNvPr id="3" name="直線矢印コネクタ 2">
          <a:extLst>
            <a:ext uri="{FF2B5EF4-FFF2-40B4-BE49-F238E27FC236}">
              <a16:creationId xmlns:a16="http://schemas.microsoft.com/office/drawing/2014/main" id="{368C92AE-C408-4AA7-819D-681200DC887F}"/>
            </a:ext>
          </a:extLst>
        </xdr:cNvPr>
        <xdr:cNvCxnSpPr>
          <a:stCxn id="259" idx="3"/>
          <a:endCxn id="190" idx="2"/>
        </xdr:cNvCxnSpPr>
      </xdr:nvCxnSpPr>
      <xdr:spPr>
        <a:xfrm flipV="1">
          <a:off x="3403349" y="43921402"/>
          <a:ext cx="4733426" cy="66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6349</xdr:colOff>
      <xdr:row>422</xdr:row>
      <xdr:rowOff>77604</xdr:rowOff>
    </xdr:from>
    <xdr:to>
      <xdr:col>47</xdr:col>
      <xdr:colOff>135775</xdr:colOff>
      <xdr:row>422</xdr:row>
      <xdr:rowOff>77978</xdr:rowOff>
    </xdr:to>
    <xdr:cxnSp macro="">
      <xdr:nvCxnSpPr>
        <xdr:cNvPr id="4" name="直線矢印コネクタ 3">
          <a:extLst>
            <a:ext uri="{FF2B5EF4-FFF2-40B4-BE49-F238E27FC236}">
              <a16:creationId xmlns:a16="http://schemas.microsoft.com/office/drawing/2014/main" id="{2048B85C-B8E7-42E5-B13A-955F3AE9AD97}"/>
            </a:ext>
          </a:extLst>
        </xdr:cNvPr>
        <xdr:cNvCxnSpPr>
          <a:stCxn id="256" idx="3"/>
          <a:endCxn id="182" idx="2"/>
        </xdr:cNvCxnSpPr>
      </xdr:nvCxnSpPr>
      <xdr:spPr>
        <a:xfrm>
          <a:off x="4810124" y="42854379"/>
          <a:ext cx="3326651" cy="37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163229</xdr:colOff>
      <xdr:row>415</xdr:row>
      <xdr:rowOff>50633</xdr:rowOff>
    </xdr:from>
    <xdr:to>
      <xdr:col>47</xdr:col>
      <xdr:colOff>135775</xdr:colOff>
      <xdr:row>415</xdr:row>
      <xdr:rowOff>54498</xdr:rowOff>
    </xdr:to>
    <xdr:cxnSp macro="">
      <xdr:nvCxnSpPr>
        <xdr:cNvPr id="5" name="直線矢印コネクタ 4">
          <a:extLst>
            <a:ext uri="{FF2B5EF4-FFF2-40B4-BE49-F238E27FC236}">
              <a16:creationId xmlns:a16="http://schemas.microsoft.com/office/drawing/2014/main" id="{8126EAA6-2D90-4EBC-A8B8-FE0D1863CF2B}"/>
            </a:ext>
          </a:extLst>
        </xdr:cNvPr>
        <xdr:cNvCxnSpPr>
          <a:stCxn id="253" idx="3"/>
          <a:endCxn id="72" idx="2"/>
        </xdr:cNvCxnSpPr>
      </xdr:nvCxnSpPr>
      <xdr:spPr>
        <a:xfrm flipV="1">
          <a:off x="3360454" y="41624083"/>
          <a:ext cx="4776321" cy="70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154963</xdr:colOff>
      <xdr:row>409</xdr:row>
      <xdr:rowOff>43216</xdr:rowOff>
    </xdr:from>
    <xdr:to>
      <xdr:col>47</xdr:col>
      <xdr:colOff>154146</xdr:colOff>
      <xdr:row>409</xdr:row>
      <xdr:rowOff>59203</xdr:rowOff>
    </xdr:to>
    <xdr:cxnSp macro="">
      <xdr:nvCxnSpPr>
        <xdr:cNvPr id="6" name="直線矢印コネクタ 5">
          <a:extLst>
            <a:ext uri="{FF2B5EF4-FFF2-40B4-BE49-F238E27FC236}">
              <a16:creationId xmlns:a16="http://schemas.microsoft.com/office/drawing/2014/main" id="{34F56B76-6ECB-46E3-9F82-A6DDBC88E51E}"/>
            </a:ext>
          </a:extLst>
        </xdr:cNvPr>
        <xdr:cNvCxnSpPr>
          <a:stCxn id="262" idx="3"/>
          <a:endCxn id="64" idx="2"/>
        </xdr:cNvCxnSpPr>
      </xdr:nvCxnSpPr>
      <xdr:spPr>
        <a:xfrm flipV="1">
          <a:off x="3355363" y="40594316"/>
          <a:ext cx="4799783" cy="128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50369</xdr:colOff>
      <xdr:row>94</xdr:row>
      <xdr:rowOff>139067</xdr:rowOff>
    </xdr:from>
    <xdr:to>
      <xdr:col>48</xdr:col>
      <xdr:colOff>2946</xdr:colOff>
      <xdr:row>94</xdr:row>
      <xdr:rowOff>140391</xdr:rowOff>
    </xdr:to>
    <xdr:cxnSp macro="">
      <xdr:nvCxnSpPr>
        <xdr:cNvPr id="7" name="直線矢印コネクタ 6">
          <a:extLst>
            <a:ext uri="{FF2B5EF4-FFF2-40B4-BE49-F238E27FC236}">
              <a16:creationId xmlns:a16="http://schemas.microsoft.com/office/drawing/2014/main" id="{5F36E14C-1690-4452-86E6-53794369CC51}"/>
            </a:ext>
          </a:extLst>
        </xdr:cNvPr>
        <xdr:cNvCxnSpPr>
          <a:stCxn id="248" idx="3"/>
          <a:endCxn id="118" idx="2"/>
        </xdr:cNvCxnSpPr>
      </xdr:nvCxnSpPr>
      <xdr:spPr>
        <a:xfrm>
          <a:off x="4847794" y="14286867"/>
          <a:ext cx="3356177" cy="13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5833</xdr:colOff>
      <xdr:row>85</xdr:row>
      <xdr:rowOff>47827</xdr:rowOff>
    </xdr:from>
    <xdr:to>
      <xdr:col>47</xdr:col>
      <xdr:colOff>142388</xdr:colOff>
      <xdr:row>85</xdr:row>
      <xdr:rowOff>48197</xdr:rowOff>
    </xdr:to>
    <xdr:cxnSp macro="">
      <xdr:nvCxnSpPr>
        <xdr:cNvPr id="8" name="直線矢印コネクタ 7">
          <a:extLst>
            <a:ext uri="{FF2B5EF4-FFF2-40B4-BE49-F238E27FC236}">
              <a16:creationId xmlns:a16="http://schemas.microsoft.com/office/drawing/2014/main" id="{8798891C-F221-432C-909A-B8963D1FC00B}"/>
            </a:ext>
          </a:extLst>
        </xdr:cNvPr>
        <xdr:cNvCxnSpPr>
          <a:stCxn id="243" idx="3"/>
          <a:endCxn id="111" idx="2"/>
        </xdr:cNvCxnSpPr>
      </xdr:nvCxnSpPr>
      <xdr:spPr>
        <a:xfrm flipV="1">
          <a:off x="3409433" y="12646227"/>
          <a:ext cx="4737130" cy="3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5832</xdr:colOff>
      <xdr:row>78</xdr:row>
      <xdr:rowOff>102632</xdr:rowOff>
    </xdr:from>
    <xdr:to>
      <xdr:col>47</xdr:col>
      <xdr:colOff>167533</xdr:colOff>
      <xdr:row>78</xdr:row>
      <xdr:rowOff>112027</xdr:rowOff>
    </xdr:to>
    <xdr:cxnSp macro="">
      <xdr:nvCxnSpPr>
        <xdr:cNvPr id="9" name="直線矢印コネクタ 8">
          <a:extLst>
            <a:ext uri="{FF2B5EF4-FFF2-40B4-BE49-F238E27FC236}">
              <a16:creationId xmlns:a16="http://schemas.microsoft.com/office/drawing/2014/main" id="{2EB260FC-B48B-4DBD-AF94-663CFABEE3CA}"/>
            </a:ext>
          </a:extLst>
        </xdr:cNvPr>
        <xdr:cNvCxnSpPr>
          <a:stCxn id="240" idx="3"/>
          <a:endCxn id="101" idx="2"/>
        </xdr:cNvCxnSpPr>
      </xdr:nvCxnSpPr>
      <xdr:spPr>
        <a:xfrm flipV="1">
          <a:off x="3409432" y="11507232"/>
          <a:ext cx="4755926" cy="622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8160</xdr:colOff>
      <xdr:row>71</xdr:row>
      <xdr:rowOff>138449</xdr:rowOff>
    </xdr:from>
    <xdr:to>
      <xdr:col>47</xdr:col>
      <xdr:colOff>186334</xdr:colOff>
      <xdr:row>71</xdr:row>
      <xdr:rowOff>140761</xdr:rowOff>
    </xdr:to>
    <xdr:cxnSp macro="">
      <xdr:nvCxnSpPr>
        <xdr:cNvPr id="10" name="直線矢印コネクタ 9">
          <a:extLst>
            <a:ext uri="{FF2B5EF4-FFF2-40B4-BE49-F238E27FC236}">
              <a16:creationId xmlns:a16="http://schemas.microsoft.com/office/drawing/2014/main" id="{A7260E4C-1EAB-4087-9B54-BE4126EDA423}"/>
            </a:ext>
          </a:extLst>
        </xdr:cNvPr>
        <xdr:cNvCxnSpPr>
          <a:stCxn id="236" idx="3"/>
          <a:endCxn id="94" idx="2"/>
        </xdr:cNvCxnSpPr>
      </xdr:nvCxnSpPr>
      <xdr:spPr>
        <a:xfrm flipV="1">
          <a:off x="3411760" y="10342899"/>
          <a:ext cx="4772399" cy="23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201139</xdr:colOff>
      <xdr:row>39</xdr:row>
      <xdr:rowOff>152108</xdr:rowOff>
    </xdr:from>
    <xdr:to>
      <xdr:col>47</xdr:col>
      <xdr:colOff>130969</xdr:colOff>
      <xdr:row>39</xdr:row>
      <xdr:rowOff>154781</xdr:rowOff>
    </xdr:to>
    <xdr:cxnSp macro="">
      <xdr:nvCxnSpPr>
        <xdr:cNvPr id="11" name="直線矢印コネクタ 10">
          <a:extLst>
            <a:ext uri="{FF2B5EF4-FFF2-40B4-BE49-F238E27FC236}">
              <a16:creationId xmlns:a16="http://schemas.microsoft.com/office/drawing/2014/main" id="{BA869776-C452-4FA7-9513-69C07B1E850F}"/>
            </a:ext>
          </a:extLst>
        </xdr:cNvPr>
        <xdr:cNvCxnSpPr>
          <a:stCxn id="232" idx="3"/>
        </xdr:cNvCxnSpPr>
      </xdr:nvCxnSpPr>
      <xdr:spPr>
        <a:xfrm>
          <a:off x="3398364" y="6410033"/>
          <a:ext cx="4733605" cy="267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163315</xdr:colOff>
      <xdr:row>33</xdr:row>
      <xdr:rowOff>117407</xdr:rowOff>
    </xdr:from>
    <xdr:to>
      <xdr:col>47</xdr:col>
      <xdr:colOff>138753</xdr:colOff>
      <xdr:row>33</xdr:row>
      <xdr:rowOff>122663</xdr:rowOff>
    </xdr:to>
    <xdr:cxnSp macro="">
      <xdr:nvCxnSpPr>
        <xdr:cNvPr id="12" name="直線矢印コネクタ 11">
          <a:extLst>
            <a:ext uri="{FF2B5EF4-FFF2-40B4-BE49-F238E27FC236}">
              <a16:creationId xmlns:a16="http://schemas.microsoft.com/office/drawing/2014/main" id="{F2C4A4C9-13A9-4C6C-9EFA-F3965B169D42}"/>
            </a:ext>
          </a:extLst>
        </xdr:cNvPr>
        <xdr:cNvCxnSpPr>
          <a:stCxn id="225" idx="3"/>
          <a:endCxn id="53" idx="2"/>
        </xdr:cNvCxnSpPr>
      </xdr:nvCxnSpPr>
      <xdr:spPr>
        <a:xfrm flipV="1">
          <a:off x="3360540" y="5346632"/>
          <a:ext cx="4782388" cy="843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178382</xdr:colOff>
      <xdr:row>12</xdr:row>
      <xdr:rowOff>156830</xdr:rowOff>
    </xdr:from>
    <xdr:to>
      <xdr:col>5</xdr:col>
      <xdr:colOff>180244</xdr:colOff>
      <xdr:row>20</xdr:row>
      <xdr:rowOff>112610</xdr:rowOff>
    </xdr:to>
    <xdr:cxnSp macro="">
      <xdr:nvCxnSpPr>
        <xdr:cNvPr id="13" name="直線矢印コネクタ 27">
          <a:extLst>
            <a:ext uri="{FF2B5EF4-FFF2-40B4-BE49-F238E27FC236}">
              <a16:creationId xmlns:a16="http://schemas.microsoft.com/office/drawing/2014/main" id="{20A52131-AA3D-40BA-8451-BF9BA4B65853}"/>
            </a:ext>
          </a:extLst>
        </xdr:cNvPr>
        <xdr:cNvCxnSpPr>
          <a:cxnSpLocks/>
          <a:stCxn id="14" idx="2"/>
          <a:endCxn id="43" idx="0"/>
        </xdr:cNvCxnSpPr>
      </xdr:nvCxnSpPr>
      <xdr:spPr>
        <a:xfrm>
          <a:off x="1181682" y="2303130"/>
          <a:ext cx="1862" cy="80985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23168</xdr:colOff>
      <xdr:row>11</xdr:row>
      <xdr:rowOff>66897</xdr:rowOff>
    </xdr:from>
    <xdr:to>
      <xdr:col>7</xdr:col>
      <xdr:colOff>132514</xdr:colOff>
      <xdr:row>12</xdr:row>
      <xdr:rowOff>156830</xdr:rowOff>
    </xdr:to>
    <xdr:sp macro="" textlink="">
      <xdr:nvSpPr>
        <xdr:cNvPr id="14" name="フローチャート: 端子 26">
          <a:extLst>
            <a:ext uri="{FF2B5EF4-FFF2-40B4-BE49-F238E27FC236}">
              <a16:creationId xmlns:a16="http://schemas.microsoft.com/office/drawing/2014/main" id="{96465DDD-1AAE-48F7-8988-4391368BDC3C}"/>
            </a:ext>
          </a:extLst>
        </xdr:cNvPr>
        <xdr:cNvSpPr/>
      </xdr:nvSpPr>
      <xdr:spPr>
        <a:xfrm>
          <a:off x="826443" y="2035397"/>
          <a:ext cx="706246" cy="26773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5</xdr:col>
      <xdr:colOff>182313</xdr:colOff>
      <xdr:row>22</xdr:row>
      <xdr:rowOff>164379</xdr:rowOff>
    </xdr:from>
    <xdr:to>
      <xdr:col>28</xdr:col>
      <xdr:colOff>188019</xdr:colOff>
      <xdr:row>26</xdr:row>
      <xdr:rowOff>37164</xdr:rowOff>
    </xdr:to>
    <xdr:cxnSp macro="">
      <xdr:nvCxnSpPr>
        <xdr:cNvPr id="15" name="コネクタ: カギ線 14">
          <a:extLst>
            <a:ext uri="{FF2B5EF4-FFF2-40B4-BE49-F238E27FC236}">
              <a16:creationId xmlns:a16="http://schemas.microsoft.com/office/drawing/2014/main" id="{19779B2F-CDD6-4BAB-B2D3-22B3532818BC}"/>
            </a:ext>
          </a:extLst>
        </xdr:cNvPr>
        <xdr:cNvCxnSpPr>
          <a:cxnSpLocks/>
          <a:stCxn id="43" idx="2"/>
        </xdr:cNvCxnSpPr>
      </xdr:nvCxnSpPr>
      <xdr:spPr>
        <a:xfrm rot="16200000" flipH="1">
          <a:off x="3203111" y="1480631"/>
          <a:ext cx="561760" cy="460945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63876</xdr:colOff>
      <xdr:row>38</xdr:row>
      <xdr:rowOff>64721</xdr:rowOff>
    </xdr:from>
    <xdr:to>
      <xdr:col>31</xdr:col>
      <xdr:colOff>160595</xdr:colOff>
      <xdr:row>41</xdr:row>
      <xdr:rowOff>85685</xdr:rowOff>
    </xdr:to>
    <xdr:grpSp>
      <xdr:nvGrpSpPr>
        <xdr:cNvPr id="16" name="グループ化 8">
          <a:extLst>
            <a:ext uri="{FF2B5EF4-FFF2-40B4-BE49-F238E27FC236}">
              <a16:creationId xmlns:a16="http://schemas.microsoft.com/office/drawing/2014/main" id="{1F97AB3D-A171-4302-B0C0-EE1A32C2C8FC}"/>
            </a:ext>
          </a:extLst>
        </xdr:cNvPr>
        <xdr:cNvGrpSpPr/>
      </xdr:nvGrpSpPr>
      <xdr:grpSpPr>
        <a:xfrm>
          <a:off x="4769226" y="6836996"/>
          <a:ext cx="1001594" cy="544839"/>
          <a:chOff x="1679605" y="2439643"/>
          <a:chExt cx="908902" cy="420662"/>
        </a:xfrm>
      </xdr:grpSpPr>
      <xdr:sp macro="" textlink="">
        <xdr:nvSpPr>
          <xdr:cNvPr id="17" name="フローチャート: 定義済み処理 9">
            <a:extLst>
              <a:ext uri="{FF2B5EF4-FFF2-40B4-BE49-F238E27FC236}">
                <a16:creationId xmlns:a16="http://schemas.microsoft.com/office/drawing/2014/main" id="{DD97C3E4-AB93-3F36-C56B-D174E9B52B84}"/>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 name="正方形/長方形 48">
            <a:extLst>
              <a:ext uri="{FF2B5EF4-FFF2-40B4-BE49-F238E27FC236}">
                <a16:creationId xmlns:a16="http://schemas.microsoft.com/office/drawing/2014/main" id="{AC84C499-FC9B-1515-988F-5E6FC0802377}"/>
              </a:ext>
            </a:extLst>
          </xdr:cNvPr>
          <xdr:cNvSpPr/>
        </xdr:nvSpPr>
        <xdr:spPr>
          <a:xfrm>
            <a:off x="1679605" y="243964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t>リースに紐づく</a:t>
            </a:r>
            <a:endParaRPr kumimoji="1" lang="en-US" altLang="ja-JP" sz="900"/>
          </a:p>
          <a:p>
            <a:pPr algn="ctr"/>
            <a:r>
              <a:rPr kumimoji="1" lang="ja-JP" altLang="en-US" sz="900"/>
              <a:t>帳簿の作成</a:t>
            </a:r>
          </a:p>
        </xdr:txBody>
      </xdr:sp>
    </xdr:grpSp>
    <xdr:clientData/>
  </xdr:twoCellAnchor>
  <xdr:twoCellAnchor>
    <xdr:from>
      <xdr:col>31</xdr:col>
      <xdr:colOff>81493</xdr:colOff>
      <xdr:row>39</xdr:row>
      <xdr:rowOff>150584</xdr:rowOff>
    </xdr:from>
    <xdr:to>
      <xdr:col>47</xdr:col>
      <xdr:colOff>138661</xdr:colOff>
      <xdr:row>39</xdr:row>
      <xdr:rowOff>160210</xdr:rowOff>
    </xdr:to>
    <xdr:cxnSp macro="">
      <xdr:nvCxnSpPr>
        <xdr:cNvPr id="19" name="直線矢印コネクタ 18">
          <a:extLst>
            <a:ext uri="{FF2B5EF4-FFF2-40B4-BE49-F238E27FC236}">
              <a16:creationId xmlns:a16="http://schemas.microsoft.com/office/drawing/2014/main" id="{89E2C2B1-24AD-4989-A835-D6BE1E5635DE}"/>
            </a:ext>
          </a:extLst>
        </xdr:cNvPr>
        <xdr:cNvCxnSpPr>
          <a:stCxn id="17" idx="3"/>
          <a:endCxn id="50" idx="2"/>
        </xdr:cNvCxnSpPr>
      </xdr:nvCxnSpPr>
      <xdr:spPr>
        <a:xfrm flipV="1">
          <a:off x="6285443" y="6408509"/>
          <a:ext cx="1857393" cy="1280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178934</xdr:colOff>
      <xdr:row>35</xdr:row>
      <xdr:rowOff>19562</xdr:rowOff>
    </xdr:from>
    <xdr:to>
      <xdr:col>28</xdr:col>
      <xdr:colOff>181950</xdr:colOff>
      <xdr:row>38</xdr:row>
      <xdr:rowOff>85053</xdr:rowOff>
    </xdr:to>
    <xdr:cxnSp macro="">
      <xdr:nvCxnSpPr>
        <xdr:cNvPr id="20" name="直線矢印コネクタ 19">
          <a:extLst>
            <a:ext uri="{FF2B5EF4-FFF2-40B4-BE49-F238E27FC236}">
              <a16:creationId xmlns:a16="http://schemas.microsoft.com/office/drawing/2014/main" id="{5185EF92-48CD-4412-85AD-6ED35A1433E1}"/>
            </a:ext>
          </a:extLst>
        </xdr:cNvPr>
        <xdr:cNvCxnSpPr>
          <a:cxnSpLocks/>
          <a:stCxn id="22" idx="2"/>
          <a:endCxn id="17" idx="0"/>
        </xdr:cNvCxnSpPr>
      </xdr:nvCxnSpPr>
      <xdr:spPr>
        <a:xfrm>
          <a:off x="5782809" y="5591687"/>
          <a:ext cx="0" cy="5830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74827</xdr:colOff>
      <xdr:row>32</xdr:row>
      <xdr:rowOff>30575</xdr:rowOff>
    </xdr:from>
    <xdr:to>
      <xdr:col>31</xdr:col>
      <xdr:colOff>115987</xdr:colOff>
      <xdr:row>35</xdr:row>
      <xdr:rowOff>49417</xdr:rowOff>
    </xdr:to>
    <xdr:grpSp>
      <xdr:nvGrpSpPr>
        <xdr:cNvPr id="21" name="グループ化 20">
          <a:extLst>
            <a:ext uri="{FF2B5EF4-FFF2-40B4-BE49-F238E27FC236}">
              <a16:creationId xmlns:a16="http://schemas.microsoft.com/office/drawing/2014/main" id="{C15EFFED-D9D0-407C-80F4-8CAD76F88FC5}"/>
            </a:ext>
          </a:extLst>
        </xdr:cNvPr>
        <xdr:cNvGrpSpPr/>
      </xdr:nvGrpSpPr>
      <xdr:grpSpPr>
        <a:xfrm>
          <a:off x="4780177" y="5736050"/>
          <a:ext cx="946035" cy="542717"/>
          <a:chOff x="5337390" y="4451556"/>
          <a:chExt cx="1053191" cy="520785"/>
        </a:xfrm>
      </xdr:grpSpPr>
      <xdr:sp macro="" textlink="">
        <xdr:nvSpPr>
          <xdr:cNvPr id="22" name="フローチャート: 定義済み処理 21">
            <a:extLst>
              <a:ext uri="{FF2B5EF4-FFF2-40B4-BE49-F238E27FC236}">
                <a16:creationId xmlns:a16="http://schemas.microsoft.com/office/drawing/2014/main" id="{9AE7116F-148F-8EBD-142C-6C9D8A98A829}"/>
              </a:ext>
            </a:extLst>
          </xdr:cNvPr>
          <xdr:cNvSpPr/>
        </xdr:nvSpPr>
        <xdr:spPr>
          <a:xfrm>
            <a:off x="5379882" y="4473788"/>
            <a:ext cx="941723" cy="47496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 name="正方形/長方形 48">
            <a:extLst>
              <a:ext uri="{FF2B5EF4-FFF2-40B4-BE49-F238E27FC236}">
                <a16:creationId xmlns:a16="http://schemas.microsoft.com/office/drawing/2014/main" id="{F7C04ED6-B26F-CA5E-AF04-F2BEA4672CA8}"/>
              </a:ext>
            </a:extLst>
          </xdr:cNvPr>
          <xdr:cNvSpPr/>
        </xdr:nvSpPr>
        <xdr:spPr>
          <a:xfrm>
            <a:off x="5337390" y="4451556"/>
            <a:ext cx="1053191"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grpSp>
    <xdr:clientData/>
  </xdr:twoCellAnchor>
  <xdr:twoCellAnchor>
    <xdr:from>
      <xdr:col>31</xdr:col>
      <xdr:colOff>50186</xdr:colOff>
      <xdr:row>33</xdr:row>
      <xdr:rowOff>116706</xdr:rowOff>
    </xdr:from>
    <xdr:to>
      <xdr:col>47</xdr:col>
      <xdr:colOff>133021</xdr:colOff>
      <xdr:row>33</xdr:row>
      <xdr:rowOff>123130</xdr:rowOff>
    </xdr:to>
    <xdr:cxnSp macro="">
      <xdr:nvCxnSpPr>
        <xdr:cNvPr id="24" name="直線矢印コネクタ 23">
          <a:extLst>
            <a:ext uri="{FF2B5EF4-FFF2-40B4-BE49-F238E27FC236}">
              <a16:creationId xmlns:a16="http://schemas.microsoft.com/office/drawing/2014/main" id="{7F9EC7E5-6971-49FD-90F8-401A5384D3CE}"/>
            </a:ext>
          </a:extLst>
        </xdr:cNvPr>
        <xdr:cNvCxnSpPr>
          <a:stCxn id="22" idx="3"/>
          <a:endCxn id="53" idx="2"/>
        </xdr:cNvCxnSpPr>
      </xdr:nvCxnSpPr>
      <xdr:spPr>
        <a:xfrm flipV="1">
          <a:off x="6247786" y="5345931"/>
          <a:ext cx="1886235" cy="959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178764</xdr:colOff>
      <xdr:row>157</xdr:row>
      <xdr:rowOff>83736</xdr:rowOff>
    </xdr:from>
    <xdr:to>
      <xdr:col>30</xdr:col>
      <xdr:colOff>87369</xdr:colOff>
      <xdr:row>159</xdr:row>
      <xdr:rowOff>15722</xdr:rowOff>
    </xdr:to>
    <xdr:sp macro="" textlink="">
      <xdr:nvSpPr>
        <xdr:cNvPr id="25" name="フローチャート: 端子 26">
          <a:extLst>
            <a:ext uri="{FF2B5EF4-FFF2-40B4-BE49-F238E27FC236}">
              <a16:creationId xmlns:a16="http://schemas.microsoft.com/office/drawing/2014/main" id="{E3DB2B0D-A6BD-4EFB-AFD8-699C21FF30DA}"/>
            </a:ext>
          </a:extLst>
        </xdr:cNvPr>
        <xdr:cNvSpPr/>
      </xdr:nvSpPr>
      <xdr:spPr>
        <a:xfrm>
          <a:off x="5382589" y="18860686"/>
          <a:ext cx="702355" cy="2685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26</xdr:col>
      <xdr:colOff>170125</xdr:colOff>
      <xdr:row>175</xdr:row>
      <xdr:rowOff>73734</xdr:rowOff>
    </xdr:from>
    <xdr:to>
      <xdr:col>30</xdr:col>
      <xdr:colOff>89857</xdr:colOff>
      <xdr:row>176</xdr:row>
      <xdr:rowOff>163670</xdr:rowOff>
    </xdr:to>
    <xdr:sp macro="" textlink="">
      <xdr:nvSpPr>
        <xdr:cNvPr id="26" name="フローチャート: 端子 26">
          <a:extLst>
            <a:ext uri="{FF2B5EF4-FFF2-40B4-BE49-F238E27FC236}">
              <a16:creationId xmlns:a16="http://schemas.microsoft.com/office/drawing/2014/main" id="{95ACF3F9-DCD7-4A66-AB2A-7C9E1EC8EFCD}"/>
            </a:ext>
          </a:extLst>
        </xdr:cNvPr>
        <xdr:cNvSpPr/>
      </xdr:nvSpPr>
      <xdr:spPr>
        <a:xfrm>
          <a:off x="5370775" y="21247809"/>
          <a:ext cx="716657" cy="25821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133067</xdr:colOff>
      <xdr:row>159</xdr:row>
      <xdr:rowOff>15722</xdr:rowOff>
    </xdr:from>
    <xdr:to>
      <xdr:col>28</xdr:col>
      <xdr:colOff>135785</xdr:colOff>
      <xdr:row>163</xdr:row>
      <xdr:rowOff>60223</xdr:rowOff>
    </xdr:to>
    <xdr:cxnSp macro="">
      <xdr:nvCxnSpPr>
        <xdr:cNvPr id="27" name="直線矢印コネクタ 26">
          <a:extLst>
            <a:ext uri="{FF2B5EF4-FFF2-40B4-BE49-F238E27FC236}">
              <a16:creationId xmlns:a16="http://schemas.microsoft.com/office/drawing/2014/main" id="{DA822EDF-876B-41DD-A919-7DE6CE21160C}"/>
            </a:ext>
          </a:extLst>
        </xdr:cNvPr>
        <xdr:cNvCxnSpPr>
          <a:stCxn id="25" idx="2"/>
          <a:endCxn id="122" idx="0"/>
        </xdr:cNvCxnSpPr>
      </xdr:nvCxnSpPr>
      <xdr:spPr>
        <a:xfrm>
          <a:off x="5733767" y="19129222"/>
          <a:ext cx="2718" cy="73347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140113</xdr:colOff>
      <xdr:row>186</xdr:row>
      <xdr:rowOff>83736</xdr:rowOff>
    </xdr:from>
    <xdr:to>
      <xdr:col>30</xdr:col>
      <xdr:colOff>48718</xdr:colOff>
      <xdr:row>188</xdr:row>
      <xdr:rowOff>15722</xdr:rowOff>
    </xdr:to>
    <xdr:sp macro="" textlink="">
      <xdr:nvSpPr>
        <xdr:cNvPr id="28" name="フローチャート: 端子 26">
          <a:extLst>
            <a:ext uri="{FF2B5EF4-FFF2-40B4-BE49-F238E27FC236}">
              <a16:creationId xmlns:a16="http://schemas.microsoft.com/office/drawing/2014/main" id="{2CFFE851-81FF-46D4-89F6-F8867DE40385}"/>
            </a:ext>
          </a:extLst>
        </xdr:cNvPr>
        <xdr:cNvSpPr/>
      </xdr:nvSpPr>
      <xdr:spPr>
        <a:xfrm>
          <a:off x="5343938" y="22804036"/>
          <a:ext cx="702355" cy="2685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142106</xdr:colOff>
      <xdr:row>190</xdr:row>
      <xdr:rowOff>131412</xdr:rowOff>
    </xdr:from>
    <xdr:to>
      <xdr:col>31</xdr:col>
      <xdr:colOff>35611</xdr:colOff>
      <xdr:row>193</xdr:row>
      <xdr:rowOff>163393</xdr:rowOff>
    </xdr:to>
    <xdr:grpSp>
      <xdr:nvGrpSpPr>
        <xdr:cNvPr id="29" name="グループ化 8">
          <a:extLst>
            <a:ext uri="{FF2B5EF4-FFF2-40B4-BE49-F238E27FC236}">
              <a16:creationId xmlns:a16="http://schemas.microsoft.com/office/drawing/2014/main" id="{4310AE7B-5BFA-43AA-AFD1-BD83FC2FE031}"/>
            </a:ext>
          </a:extLst>
        </xdr:cNvPr>
        <xdr:cNvGrpSpPr/>
      </xdr:nvGrpSpPr>
      <xdr:grpSpPr>
        <a:xfrm>
          <a:off x="4666481" y="33383187"/>
          <a:ext cx="979355" cy="546331"/>
          <a:chOff x="1633113" y="2430783"/>
          <a:chExt cx="908902" cy="422628"/>
        </a:xfrm>
      </xdr:grpSpPr>
      <xdr:sp macro="" textlink="">
        <xdr:nvSpPr>
          <xdr:cNvPr id="30" name="フローチャート: 定義済み処理 9">
            <a:extLst>
              <a:ext uri="{FF2B5EF4-FFF2-40B4-BE49-F238E27FC236}">
                <a16:creationId xmlns:a16="http://schemas.microsoft.com/office/drawing/2014/main" id="{BE8D6CAC-DD5B-7897-C7C3-98C4B0E7C64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 name="正方形/長方形 48">
            <a:extLst>
              <a:ext uri="{FF2B5EF4-FFF2-40B4-BE49-F238E27FC236}">
                <a16:creationId xmlns:a16="http://schemas.microsoft.com/office/drawing/2014/main" id="{CCF5D981-95CD-3291-2011-DEDC6A891203}"/>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利息計上</a:t>
            </a:r>
            <a:endParaRPr kumimoji="1" lang="en-US" altLang="ja-JP" sz="900"/>
          </a:p>
          <a:p>
            <a:pPr algn="ctr"/>
            <a:r>
              <a:rPr kumimoji="1" lang="ja-JP" altLang="ja-JP" sz="900">
                <a:solidFill>
                  <a:schemeClr val="dk1"/>
                </a:solidFill>
                <a:effectLst/>
                <a:latin typeface="+mn-lt"/>
                <a:ea typeface="+mn-ea"/>
                <a:cs typeface="+mn-cs"/>
              </a:rPr>
              <a:t>仕訳の作成</a:t>
            </a:r>
            <a:r>
              <a:rPr kumimoji="1" lang="ja-JP" altLang="en-US" sz="900">
                <a:solidFill>
                  <a:schemeClr val="dk1"/>
                </a:solidFill>
                <a:effectLst/>
                <a:latin typeface="+mn-lt"/>
                <a:ea typeface="+mn-ea"/>
                <a:cs typeface="+mn-cs"/>
              </a:rPr>
              <a:t>・転記</a:t>
            </a:r>
            <a:endParaRPr kumimoji="1" lang="ja-JP" altLang="en-US" sz="900"/>
          </a:p>
        </xdr:txBody>
      </xdr:sp>
    </xdr:grpSp>
    <xdr:clientData/>
  </xdr:twoCellAnchor>
  <xdr:twoCellAnchor>
    <xdr:from>
      <xdr:col>26</xdr:col>
      <xdr:colOff>135040</xdr:colOff>
      <xdr:row>199</xdr:row>
      <xdr:rowOff>128030</xdr:rowOff>
    </xdr:from>
    <xdr:to>
      <xdr:col>30</xdr:col>
      <xdr:colOff>54772</xdr:colOff>
      <xdr:row>201</xdr:row>
      <xdr:rowOff>45411</xdr:rowOff>
    </xdr:to>
    <xdr:sp macro="" textlink="">
      <xdr:nvSpPr>
        <xdr:cNvPr id="32" name="フローチャート: 端子 26">
          <a:extLst>
            <a:ext uri="{FF2B5EF4-FFF2-40B4-BE49-F238E27FC236}">
              <a16:creationId xmlns:a16="http://schemas.microsoft.com/office/drawing/2014/main" id="{0CB3CC99-88FA-4CA5-AA49-307CE69F067F}"/>
            </a:ext>
          </a:extLst>
        </xdr:cNvPr>
        <xdr:cNvSpPr/>
      </xdr:nvSpPr>
      <xdr:spPr>
        <a:xfrm>
          <a:off x="5335690" y="25070830"/>
          <a:ext cx="719832" cy="26663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94416</xdr:colOff>
      <xdr:row>188</xdr:row>
      <xdr:rowOff>15722</xdr:rowOff>
    </xdr:from>
    <xdr:to>
      <xdr:col>28</xdr:col>
      <xdr:colOff>96211</xdr:colOff>
      <xdr:row>190</xdr:row>
      <xdr:rowOff>164245</xdr:rowOff>
    </xdr:to>
    <xdr:cxnSp macro="">
      <xdr:nvCxnSpPr>
        <xdr:cNvPr id="33" name="直線矢印コネクタ 32">
          <a:extLst>
            <a:ext uri="{FF2B5EF4-FFF2-40B4-BE49-F238E27FC236}">
              <a16:creationId xmlns:a16="http://schemas.microsoft.com/office/drawing/2014/main" id="{71E5872B-EB7E-4C9C-8B32-CCCBA3925898}"/>
            </a:ext>
          </a:extLst>
        </xdr:cNvPr>
        <xdr:cNvCxnSpPr>
          <a:stCxn id="28" idx="2"/>
          <a:endCxn id="30" idx="0"/>
        </xdr:cNvCxnSpPr>
      </xdr:nvCxnSpPr>
      <xdr:spPr>
        <a:xfrm>
          <a:off x="5695116" y="23072572"/>
          <a:ext cx="1795" cy="49142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94906</xdr:colOff>
      <xdr:row>193</xdr:row>
      <xdr:rowOff>132453</xdr:rowOff>
    </xdr:from>
    <xdr:to>
      <xdr:col>28</xdr:col>
      <xdr:colOff>96211</xdr:colOff>
      <xdr:row>199</xdr:row>
      <xdr:rowOff>128030</xdr:rowOff>
    </xdr:to>
    <xdr:cxnSp macro="">
      <xdr:nvCxnSpPr>
        <xdr:cNvPr id="34" name="直線矢印コネクタ 33">
          <a:extLst>
            <a:ext uri="{FF2B5EF4-FFF2-40B4-BE49-F238E27FC236}">
              <a16:creationId xmlns:a16="http://schemas.microsoft.com/office/drawing/2014/main" id="{2C1E2A67-9345-4F60-BC33-468BD679674E}"/>
            </a:ext>
          </a:extLst>
        </xdr:cNvPr>
        <xdr:cNvCxnSpPr>
          <a:stCxn id="30" idx="2"/>
          <a:endCxn id="32" idx="0"/>
        </xdr:cNvCxnSpPr>
      </xdr:nvCxnSpPr>
      <xdr:spPr>
        <a:xfrm flipH="1">
          <a:off x="5695606" y="24049728"/>
          <a:ext cx="1305" cy="102110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137994</xdr:colOff>
      <xdr:row>251</xdr:row>
      <xdr:rowOff>146538</xdr:rowOff>
    </xdr:from>
    <xdr:to>
      <xdr:col>30</xdr:col>
      <xdr:colOff>47520</xdr:colOff>
      <xdr:row>253</xdr:row>
      <xdr:rowOff>78524</xdr:rowOff>
    </xdr:to>
    <xdr:sp macro="" textlink="">
      <xdr:nvSpPr>
        <xdr:cNvPr id="35" name="フローチャート: 端子 26">
          <a:extLst>
            <a:ext uri="{FF2B5EF4-FFF2-40B4-BE49-F238E27FC236}">
              <a16:creationId xmlns:a16="http://schemas.microsoft.com/office/drawing/2014/main" id="{E2162D2F-1AB9-4E5A-A34C-F52EAF543DB9}"/>
            </a:ext>
          </a:extLst>
        </xdr:cNvPr>
        <xdr:cNvSpPr/>
      </xdr:nvSpPr>
      <xdr:spPr>
        <a:xfrm>
          <a:off x="5341819" y="30232838"/>
          <a:ext cx="709626"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26</xdr:col>
      <xdr:colOff>133779</xdr:colOff>
      <xdr:row>281</xdr:row>
      <xdr:rowOff>72813</xdr:rowOff>
    </xdr:from>
    <xdr:to>
      <xdr:col>30</xdr:col>
      <xdr:colOff>54432</xdr:colOff>
      <xdr:row>282</xdr:row>
      <xdr:rowOff>162748</xdr:rowOff>
    </xdr:to>
    <xdr:sp macro="" textlink="">
      <xdr:nvSpPr>
        <xdr:cNvPr id="36" name="フローチャート: 端子 26">
          <a:extLst>
            <a:ext uri="{FF2B5EF4-FFF2-40B4-BE49-F238E27FC236}">
              <a16:creationId xmlns:a16="http://schemas.microsoft.com/office/drawing/2014/main" id="{4D4EDB7D-74F4-4088-9A2C-A46051A7F730}"/>
            </a:ext>
          </a:extLst>
        </xdr:cNvPr>
        <xdr:cNvSpPr/>
      </xdr:nvSpPr>
      <xdr:spPr>
        <a:xfrm>
          <a:off x="5334429" y="32730863"/>
          <a:ext cx="720753" cy="26138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92757</xdr:colOff>
      <xdr:row>253</xdr:row>
      <xdr:rowOff>78524</xdr:rowOff>
    </xdr:from>
    <xdr:to>
      <xdr:col>28</xdr:col>
      <xdr:colOff>96211</xdr:colOff>
      <xdr:row>256</xdr:row>
      <xdr:rowOff>164245</xdr:rowOff>
    </xdr:to>
    <xdr:cxnSp macro="">
      <xdr:nvCxnSpPr>
        <xdr:cNvPr id="37" name="直線矢印コネクタ 36">
          <a:extLst>
            <a:ext uri="{FF2B5EF4-FFF2-40B4-BE49-F238E27FC236}">
              <a16:creationId xmlns:a16="http://schemas.microsoft.com/office/drawing/2014/main" id="{80C2AAB7-87E2-492F-A6AE-4EE7CBFEED09}"/>
            </a:ext>
          </a:extLst>
        </xdr:cNvPr>
        <xdr:cNvCxnSpPr>
          <a:cxnSpLocks/>
          <a:stCxn id="35" idx="2"/>
          <a:endCxn id="144" idx="0"/>
        </xdr:cNvCxnSpPr>
      </xdr:nvCxnSpPr>
      <xdr:spPr>
        <a:xfrm>
          <a:off x="5693457" y="30510899"/>
          <a:ext cx="3454" cy="59689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94106</xdr:colOff>
      <xdr:row>259</xdr:row>
      <xdr:rowOff>132453</xdr:rowOff>
    </xdr:from>
    <xdr:to>
      <xdr:col>28</xdr:col>
      <xdr:colOff>96211</xdr:colOff>
      <xdr:row>281</xdr:row>
      <xdr:rowOff>72813</xdr:rowOff>
    </xdr:to>
    <xdr:cxnSp macro="">
      <xdr:nvCxnSpPr>
        <xdr:cNvPr id="38" name="直線矢印コネクタ 37">
          <a:extLst>
            <a:ext uri="{FF2B5EF4-FFF2-40B4-BE49-F238E27FC236}">
              <a16:creationId xmlns:a16="http://schemas.microsoft.com/office/drawing/2014/main" id="{3068504C-8141-43F4-A99F-56C62A2C02E0}"/>
            </a:ext>
          </a:extLst>
        </xdr:cNvPr>
        <xdr:cNvCxnSpPr>
          <a:stCxn id="144" idx="2"/>
          <a:endCxn id="36" idx="0"/>
        </xdr:cNvCxnSpPr>
      </xdr:nvCxnSpPr>
      <xdr:spPr>
        <a:xfrm flipH="1">
          <a:off x="5694806" y="31593528"/>
          <a:ext cx="2105" cy="113733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84325</xdr:colOff>
      <xdr:row>25</xdr:row>
      <xdr:rowOff>144549</xdr:rowOff>
    </xdr:from>
    <xdr:to>
      <xdr:col>31</xdr:col>
      <xdr:colOff>104496</xdr:colOff>
      <xdr:row>29</xdr:row>
      <xdr:rowOff>10043</xdr:rowOff>
    </xdr:to>
    <xdr:grpSp>
      <xdr:nvGrpSpPr>
        <xdr:cNvPr id="39" name="グループ化 11">
          <a:extLst>
            <a:ext uri="{FF2B5EF4-FFF2-40B4-BE49-F238E27FC236}">
              <a16:creationId xmlns:a16="http://schemas.microsoft.com/office/drawing/2014/main" id="{7EE1CFC1-B913-4FB5-B1EF-E5C7CFC06EF7}"/>
            </a:ext>
          </a:extLst>
        </xdr:cNvPr>
        <xdr:cNvGrpSpPr/>
      </xdr:nvGrpSpPr>
      <xdr:grpSpPr>
        <a:xfrm>
          <a:off x="4789675" y="4602249"/>
          <a:ext cx="925046" cy="570344"/>
          <a:chOff x="5350063" y="3402077"/>
          <a:chExt cx="1032202" cy="540459"/>
        </a:xfrm>
      </xdr:grpSpPr>
      <xdr:sp macro="" textlink="">
        <xdr:nvSpPr>
          <xdr:cNvPr id="40" name="正方形/長方形 4">
            <a:extLst>
              <a:ext uri="{FF2B5EF4-FFF2-40B4-BE49-F238E27FC236}">
                <a16:creationId xmlns:a16="http://schemas.microsoft.com/office/drawing/2014/main" id="{F109650C-8356-67DD-84DF-AF6FFB4B6F3E}"/>
              </a:ext>
            </a:extLst>
          </xdr:cNvPr>
          <xdr:cNvSpPr/>
        </xdr:nvSpPr>
        <xdr:spPr>
          <a:xfrm>
            <a:off x="5407275" y="3466164"/>
            <a:ext cx="893422" cy="401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1" name="正方形/長方形 48">
            <a:extLst>
              <a:ext uri="{FF2B5EF4-FFF2-40B4-BE49-F238E27FC236}">
                <a16:creationId xmlns:a16="http://schemas.microsoft.com/office/drawing/2014/main" id="{A4790356-3E24-D9D9-FCC8-F17C37E070AD}"/>
              </a:ext>
            </a:extLst>
          </xdr:cNvPr>
          <xdr:cNvSpPr/>
        </xdr:nvSpPr>
        <xdr:spPr>
          <a:xfrm>
            <a:off x="5350063" y="3402077"/>
            <a:ext cx="1032202" cy="5404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grpSp>
    <xdr:clientData/>
  </xdr:twoCellAnchor>
  <xdr:twoCellAnchor>
    <xdr:from>
      <xdr:col>28</xdr:col>
      <xdr:colOff>179532</xdr:colOff>
      <xdr:row>28</xdr:row>
      <xdr:rowOff>102435</xdr:rowOff>
    </xdr:from>
    <xdr:to>
      <xdr:col>28</xdr:col>
      <xdr:colOff>189124</xdr:colOff>
      <xdr:row>32</xdr:row>
      <xdr:rowOff>44663</xdr:rowOff>
    </xdr:to>
    <xdr:cxnSp macro="">
      <xdr:nvCxnSpPr>
        <xdr:cNvPr id="42" name="直線矢印コネクタ 41">
          <a:extLst>
            <a:ext uri="{FF2B5EF4-FFF2-40B4-BE49-F238E27FC236}">
              <a16:creationId xmlns:a16="http://schemas.microsoft.com/office/drawing/2014/main" id="{7BBEA276-BA1E-42EA-897A-AA7243B97E1C}"/>
            </a:ext>
          </a:extLst>
        </xdr:cNvPr>
        <xdr:cNvCxnSpPr>
          <a:cxnSpLocks/>
          <a:endCxn id="22" idx="0"/>
        </xdr:cNvCxnSpPr>
      </xdr:nvCxnSpPr>
      <xdr:spPr>
        <a:xfrm flipH="1">
          <a:off x="5783407" y="4477585"/>
          <a:ext cx="6417" cy="6280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144542</xdr:colOff>
      <xdr:row>20</xdr:row>
      <xdr:rowOff>112610</xdr:rowOff>
    </xdr:from>
    <xdr:to>
      <xdr:col>8</xdr:col>
      <xdr:colOff>14862</xdr:colOff>
      <xdr:row>22</xdr:row>
      <xdr:rowOff>167554</xdr:rowOff>
    </xdr:to>
    <xdr:sp macro="" textlink="">
      <xdr:nvSpPr>
        <xdr:cNvPr id="43" name="正方形/長方形 42">
          <a:extLst>
            <a:ext uri="{FF2B5EF4-FFF2-40B4-BE49-F238E27FC236}">
              <a16:creationId xmlns:a16="http://schemas.microsoft.com/office/drawing/2014/main" id="{5A7B5327-D31D-4066-9849-7437AE9A4420}"/>
            </a:ext>
          </a:extLst>
        </xdr:cNvPr>
        <xdr:cNvSpPr/>
      </xdr:nvSpPr>
      <xdr:spPr>
        <a:xfrm>
          <a:off x="741442" y="3112985"/>
          <a:ext cx="870445" cy="39466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xdr:col>
      <xdr:colOff>97990</xdr:colOff>
      <xdr:row>20</xdr:row>
      <xdr:rowOff>31167</xdr:rowOff>
    </xdr:from>
    <xdr:to>
      <xdr:col>8</xdr:col>
      <xdr:colOff>118161</xdr:colOff>
      <xdr:row>23</xdr:row>
      <xdr:rowOff>56443</xdr:rowOff>
    </xdr:to>
    <xdr:sp macro="" textlink="">
      <xdr:nvSpPr>
        <xdr:cNvPr id="44" name="正方形/長方形 48">
          <a:extLst>
            <a:ext uri="{FF2B5EF4-FFF2-40B4-BE49-F238E27FC236}">
              <a16:creationId xmlns:a16="http://schemas.microsoft.com/office/drawing/2014/main" id="{23065BBB-A869-47BA-AFE5-1AADA5606F45}"/>
            </a:ext>
          </a:extLst>
        </xdr:cNvPr>
        <xdr:cNvSpPr/>
      </xdr:nvSpPr>
      <xdr:spPr>
        <a:xfrm>
          <a:off x="698065" y="3028367"/>
          <a:ext cx="1023471" cy="54280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申請書発行</a:t>
          </a:r>
        </a:p>
      </xdr:txBody>
    </xdr:sp>
    <xdr:clientData/>
  </xdr:twoCellAnchor>
  <xdr:twoCellAnchor>
    <xdr:from>
      <xdr:col>29</xdr:col>
      <xdr:colOff>97655</xdr:colOff>
      <xdr:row>28</xdr:row>
      <xdr:rowOff>11563</xdr:rowOff>
    </xdr:from>
    <xdr:to>
      <xdr:col>34</xdr:col>
      <xdr:colOff>181094</xdr:colOff>
      <xdr:row>30</xdr:row>
      <xdr:rowOff>48454</xdr:rowOff>
    </xdr:to>
    <xdr:grpSp>
      <xdr:nvGrpSpPr>
        <xdr:cNvPr id="45" name="グループ化 44">
          <a:extLst>
            <a:ext uri="{FF2B5EF4-FFF2-40B4-BE49-F238E27FC236}">
              <a16:creationId xmlns:a16="http://schemas.microsoft.com/office/drawing/2014/main" id="{6DB2B2FA-D9D5-4F25-94B8-289C86F71673}"/>
            </a:ext>
          </a:extLst>
        </xdr:cNvPr>
        <xdr:cNvGrpSpPr>
          <a:grpSpLocks noChangeAspect="1"/>
        </xdr:cNvGrpSpPr>
      </xdr:nvGrpSpPr>
      <xdr:grpSpPr>
        <a:xfrm>
          <a:off x="5345930" y="4993138"/>
          <a:ext cx="988314" cy="398841"/>
          <a:chOff x="2595823" y="18514795"/>
          <a:chExt cx="1182905" cy="417276"/>
        </a:xfrm>
      </xdr:grpSpPr>
      <xdr:sp macro="" textlink="">
        <xdr:nvSpPr>
          <xdr:cNvPr id="46" name="フローチャート: 書類 45">
            <a:extLst>
              <a:ext uri="{FF2B5EF4-FFF2-40B4-BE49-F238E27FC236}">
                <a16:creationId xmlns:a16="http://schemas.microsoft.com/office/drawing/2014/main" id="{E4058528-7AE5-EB63-5F6A-F529948DC634}"/>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7" name="正方形/長方形 46">
            <a:extLst>
              <a:ext uri="{FF2B5EF4-FFF2-40B4-BE49-F238E27FC236}">
                <a16:creationId xmlns:a16="http://schemas.microsoft.com/office/drawing/2014/main" id="{8015E184-9E6D-2A7E-9CFC-74C0B39B34E6}"/>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28</xdr:col>
      <xdr:colOff>129991</xdr:colOff>
      <xdr:row>166</xdr:row>
      <xdr:rowOff>25623</xdr:rowOff>
    </xdr:from>
    <xdr:to>
      <xdr:col>28</xdr:col>
      <xdr:colOff>135785</xdr:colOff>
      <xdr:row>175</xdr:row>
      <xdr:rowOff>73734</xdr:rowOff>
    </xdr:to>
    <xdr:cxnSp macro="">
      <xdr:nvCxnSpPr>
        <xdr:cNvPr id="48" name="直線矢印コネクタ 47">
          <a:extLst>
            <a:ext uri="{FF2B5EF4-FFF2-40B4-BE49-F238E27FC236}">
              <a16:creationId xmlns:a16="http://schemas.microsoft.com/office/drawing/2014/main" id="{10D9DE49-9033-4699-9C47-2DF85C0C8308}"/>
            </a:ext>
          </a:extLst>
        </xdr:cNvPr>
        <xdr:cNvCxnSpPr>
          <a:stCxn id="122" idx="2"/>
          <a:endCxn id="26" idx="0"/>
        </xdr:cNvCxnSpPr>
      </xdr:nvCxnSpPr>
      <xdr:spPr>
        <a:xfrm flipH="1">
          <a:off x="5727516" y="20345623"/>
          <a:ext cx="8969" cy="9021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26101</xdr:colOff>
      <xdr:row>38</xdr:row>
      <xdr:rowOff>25407</xdr:rowOff>
    </xdr:from>
    <xdr:to>
      <xdr:col>52</xdr:col>
      <xdr:colOff>45516</xdr:colOff>
      <xdr:row>41</xdr:row>
      <xdr:rowOff>159569</xdr:rowOff>
    </xdr:to>
    <xdr:grpSp>
      <xdr:nvGrpSpPr>
        <xdr:cNvPr id="49" name="グループ化 48">
          <a:extLst>
            <a:ext uri="{FF2B5EF4-FFF2-40B4-BE49-F238E27FC236}">
              <a16:creationId xmlns:a16="http://schemas.microsoft.com/office/drawing/2014/main" id="{DA8021DF-7E60-4FA3-AB07-E24933A6801F}"/>
            </a:ext>
          </a:extLst>
        </xdr:cNvPr>
        <xdr:cNvGrpSpPr>
          <a:grpSpLocks noChangeAspect="1"/>
        </xdr:cNvGrpSpPr>
      </xdr:nvGrpSpPr>
      <xdr:grpSpPr>
        <a:xfrm>
          <a:off x="8531926" y="6797682"/>
          <a:ext cx="924290" cy="658037"/>
          <a:chOff x="7112003" y="2892425"/>
          <a:chExt cx="873125" cy="584984"/>
        </a:xfrm>
      </xdr:grpSpPr>
      <xdr:sp macro="" textlink="">
        <xdr:nvSpPr>
          <xdr:cNvPr id="50" name="フローチャート: 磁気ディスク 49">
            <a:extLst>
              <a:ext uri="{FF2B5EF4-FFF2-40B4-BE49-F238E27FC236}">
                <a16:creationId xmlns:a16="http://schemas.microsoft.com/office/drawing/2014/main" id="{B60AF307-20E5-8818-9755-3FCB6FACA3F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1" name="正方形/長方形 50">
            <a:extLst>
              <a:ext uri="{FF2B5EF4-FFF2-40B4-BE49-F238E27FC236}">
                <a16:creationId xmlns:a16="http://schemas.microsoft.com/office/drawing/2014/main" id="{5BD6D94E-AEF0-2621-054C-1AC081FF61D1}"/>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スケジュール バッチの作成</a:t>
            </a:r>
          </a:p>
        </xdr:txBody>
      </xdr:sp>
    </xdr:grpSp>
    <xdr:clientData/>
  </xdr:twoCellAnchor>
  <xdr:twoCellAnchor>
    <xdr:from>
      <xdr:col>47</xdr:col>
      <xdr:colOff>26811</xdr:colOff>
      <xdr:row>31</xdr:row>
      <xdr:rowOff>160862</xdr:rowOff>
    </xdr:from>
    <xdr:to>
      <xdr:col>52</xdr:col>
      <xdr:colOff>46226</xdr:colOff>
      <xdr:row>35</xdr:row>
      <xdr:rowOff>125690</xdr:rowOff>
    </xdr:to>
    <xdr:grpSp>
      <xdr:nvGrpSpPr>
        <xdr:cNvPr id="52" name="グループ化 51">
          <a:extLst>
            <a:ext uri="{FF2B5EF4-FFF2-40B4-BE49-F238E27FC236}">
              <a16:creationId xmlns:a16="http://schemas.microsoft.com/office/drawing/2014/main" id="{719B996D-1D33-482E-A7E2-9D1E7262CBB2}"/>
            </a:ext>
          </a:extLst>
        </xdr:cNvPr>
        <xdr:cNvGrpSpPr>
          <a:grpSpLocks noChangeAspect="1"/>
        </xdr:cNvGrpSpPr>
      </xdr:nvGrpSpPr>
      <xdr:grpSpPr>
        <a:xfrm>
          <a:off x="8532636" y="5685362"/>
          <a:ext cx="924290" cy="669678"/>
          <a:chOff x="7112003" y="2892425"/>
          <a:chExt cx="873125" cy="584984"/>
        </a:xfrm>
      </xdr:grpSpPr>
      <xdr:sp macro="" textlink="">
        <xdr:nvSpPr>
          <xdr:cNvPr id="53" name="フローチャート: 磁気ディスク 52">
            <a:extLst>
              <a:ext uri="{FF2B5EF4-FFF2-40B4-BE49-F238E27FC236}">
                <a16:creationId xmlns:a16="http://schemas.microsoft.com/office/drawing/2014/main" id="{8EFBA74E-A292-F255-F522-85AB50C4530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4" name="正方形/長方形 53">
            <a:extLst>
              <a:ext uri="{FF2B5EF4-FFF2-40B4-BE49-F238E27FC236}">
                <a16:creationId xmlns:a16="http://schemas.microsoft.com/office/drawing/2014/main" id="{AC2E5995-64C8-30BB-0E90-2F06C0824CD5}"/>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endParaRPr kumimoji="1" lang="en-US" altLang="ja-JP" sz="900"/>
          </a:p>
          <a:p>
            <a:pPr algn="ctr"/>
            <a:r>
              <a:rPr kumimoji="1" lang="ja-JP" altLang="en-US" sz="900"/>
              <a:t>（マスタ）</a:t>
            </a:r>
          </a:p>
        </xdr:txBody>
      </xdr:sp>
    </xdr:grpSp>
    <xdr:clientData/>
  </xdr:twoCellAnchor>
  <xdr:twoCellAnchor>
    <xdr:from>
      <xdr:col>27</xdr:col>
      <xdr:colOff>15013</xdr:colOff>
      <xdr:row>150</xdr:row>
      <xdr:rowOff>124813</xdr:rowOff>
    </xdr:from>
    <xdr:to>
      <xdr:col>30</xdr:col>
      <xdr:colOff>115779</xdr:colOff>
      <xdr:row>152</xdr:row>
      <xdr:rowOff>30446</xdr:rowOff>
    </xdr:to>
    <xdr:sp macro="" textlink="">
      <xdr:nvSpPr>
        <xdr:cNvPr id="55" name="フローチャート: 端子 26">
          <a:extLst>
            <a:ext uri="{FF2B5EF4-FFF2-40B4-BE49-F238E27FC236}">
              <a16:creationId xmlns:a16="http://schemas.microsoft.com/office/drawing/2014/main" id="{F1DFB535-0EA1-471E-A634-9A5E430399F1}"/>
            </a:ext>
          </a:extLst>
        </xdr:cNvPr>
        <xdr:cNvSpPr/>
      </xdr:nvSpPr>
      <xdr:spPr>
        <a:xfrm>
          <a:off x="5306680" y="21071973"/>
          <a:ext cx="688729" cy="25057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26</xdr:col>
      <xdr:colOff>82778</xdr:colOff>
      <xdr:row>403</xdr:row>
      <xdr:rowOff>146538</xdr:rowOff>
    </xdr:from>
    <xdr:to>
      <xdr:col>29</xdr:col>
      <xdr:colOff>192467</xdr:colOff>
      <xdr:row>405</xdr:row>
      <xdr:rowOff>78524</xdr:rowOff>
    </xdr:to>
    <xdr:sp macro="" textlink="">
      <xdr:nvSpPr>
        <xdr:cNvPr id="56" name="フローチャート: 端子 26">
          <a:extLst>
            <a:ext uri="{FF2B5EF4-FFF2-40B4-BE49-F238E27FC236}">
              <a16:creationId xmlns:a16="http://schemas.microsoft.com/office/drawing/2014/main" id="{8C8DFF65-9EF0-45CB-89E8-273702784D01}"/>
            </a:ext>
          </a:extLst>
        </xdr:cNvPr>
        <xdr:cNvSpPr/>
      </xdr:nvSpPr>
      <xdr:spPr>
        <a:xfrm>
          <a:off x="5286603" y="39662588"/>
          <a:ext cx="706589"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24</xdr:col>
      <xdr:colOff>95797</xdr:colOff>
      <xdr:row>407</xdr:row>
      <xdr:rowOff>86569</xdr:rowOff>
    </xdr:from>
    <xdr:to>
      <xdr:col>31</xdr:col>
      <xdr:colOff>179171</xdr:colOff>
      <xdr:row>411</xdr:row>
      <xdr:rowOff>46185</xdr:rowOff>
    </xdr:to>
    <xdr:grpSp>
      <xdr:nvGrpSpPr>
        <xdr:cNvPr id="57" name="グループ化 56">
          <a:extLst>
            <a:ext uri="{FF2B5EF4-FFF2-40B4-BE49-F238E27FC236}">
              <a16:creationId xmlns:a16="http://schemas.microsoft.com/office/drawing/2014/main" id="{F0A8047F-CBD4-4ED0-B268-C2BEFADAD8DB}"/>
            </a:ext>
          </a:extLst>
        </xdr:cNvPr>
        <xdr:cNvGrpSpPr/>
      </xdr:nvGrpSpPr>
      <xdr:grpSpPr>
        <a:xfrm>
          <a:off x="4439197" y="70542994"/>
          <a:ext cx="1350199" cy="645416"/>
          <a:chOff x="4950055" y="37349957"/>
          <a:chExt cx="1498939" cy="626366"/>
        </a:xfrm>
      </xdr:grpSpPr>
      <xdr:sp macro="" textlink="">
        <xdr:nvSpPr>
          <xdr:cNvPr id="58" name="フローチャート: 定義済み処理 9">
            <a:extLst>
              <a:ext uri="{FF2B5EF4-FFF2-40B4-BE49-F238E27FC236}">
                <a16:creationId xmlns:a16="http://schemas.microsoft.com/office/drawing/2014/main" id="{44BB10A2-CD31-A371-EB77-2D45E76C067D}"/>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9" name="正方形/長方形 48">
            <a:extLst>
              <a:ext uri="{FF2B5EF4-FFF2-40B4-BE49-F238E27FC236}">
                <a16:creationId xmlns:a16="http://schemas.microsoft.com/office/drawing/2014/main" id="{BFBF98AF-6DB7-9683-8035-7A22B03C4879}"/>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grpSp>
    <xdr:clientData/>
  </xdr:twoCellAnchor>
  <xdr:twoCellAnchor>
    <xdr:from>
      <xdr:col>30</xdr:col>
      <xdr:colOff>122887</xdr:colOff>
      <xdr:row>409</xdr:row>
      <xdr:rowOff>41354</xdr:rowOff>
    </xdr:from>
    <xdr:to>
      <xdr:col>47</xdr:col>
      <xdr:colOff>152283</xdr:colOff>
      <xdr:row>409</xdr:row>
      <xdr:rowOff>48887</xdr:rowOff>
    </xdr:to>
    <xdr:cxnSp macro="">
      <xdr:nvCxnSpPr>
        <xdr:cNvPr id="60" name="直線矢印コネクタ 59">
          <a:extLst>
            <a:ext uri="{FF2B5EF4-FFF2-40B4-BE49-F238E27FC236}">
              <a16:creationId xmlns:a16="http://schemas.microsoft.com/office/drawing/2014/main" id="{771E3970-2272-457F-AFB1-13680C1727FB}"/>
            </a:ext>
          </a:extLst>
        </xdr:cNvPr>
        <xdr:cNvCxnSpPr>
          <a:stCxn id="58" idx="3"/>
          <a:endCxn id="64" idx="2"/>
        </xdr:cNvCxnSpPr>
      </xdr:nvCxnSpPr>
      <xdr:spPr>
        <a:xfrm flipV="1">
          <a:off x="6126812" y="40592454"/>
          <a:ext cx="2026471"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34525</xdr:colOff>
      <xdr:row>405</xdr:row>
      <xdr:rowOff>78524</xdr:rowOff>
    </xdr:from>
    <xdr:to>
      <xdr:col>28</xdr:col>
      <xdr:colOff>38186</xdr:colOff>
      <xdr:row>407</xdr:row>
      <xdr:rowOff>152868</xdr:rowOff>
    </xdr:to>
    <xdr:cxnSp macro="">
      <xdr:nvCxnSpPr>
        <xdr:cNvPr id="62" name="直線矢印コネクタ 61">
          <a:extLst>
            <a:ext uri="{FF2B5EF4-FFF2-40B4-BE49-F238E27FC236}">
              <a16:creationId xmlns:a16="http://schemas.microsoft.com/office/drawing/2014/main" id="{20084649-CF69-46D3-8AE0-184976D4228E}"/>
            </a:ext>
          </a:extLst>
        </xdr:cNvPr>
        <xdr:cNvCxnSpPr>
          <a:stCxn id="56" idx="2"/>
          <a:endCxn id="58" idx="0"/>
        </xdr:cNvCxnSpPr>
      </xdr:nvCxnSpPr>
      <xdr:spPr>
        <a:xfrm flipH="1">
          <a:off x="5632050" y="39940649"/>
          <a:ext cx="6836"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45044</xdr:colOff>
      <xdr:row>407</xdr:row>
      <xdr:rowOff>88389</xdr:rowOff>
    </xdr:from>
    <xdr:to>
      <xdr:col>52</xdr:col>
      <xdr:colOff>67634</xdr:colOff>
      <xdr:row>411</xdr:row>
      <xdr:rowOff>50044</xdr:rowOff>
    </xdr:to>
    <xdr:grpSp>
      <xdr:nvGrpSpPr>
        <xdr:cNvPr id="63" name="グループ化 62">
          <a:extLst>
            <a:ext uri="{FF2B5EF4-FFF2-40B4-BE49-F238E27FC236}">
              <a16:creationId xmlns:a16="http://schemas.microsoft.com/office/drawing/2014/main" id="{7261064F-0E48-45E4-B0E2-DBC4E9954E9C}"/>
            </a:ext>
          </a:extLst>
        </xdr:cNvPr>
        <xdr:cNvGrpSpPr>
          <a:grpSpLocks noChangeAspect="1"/>
        </xdr:cNvGrpSpPr>
      </xdr:nvGrpSpPr>
      <xdr:grpSpPr>
        <a:xfrm>
          <a:off x="8550869" y="70544814"/>
          <a:ext cx="927465" cy="647455"/>
          <a:chOff x="7112003" y="2892425"/>
          <a:chExt cx="873125" cy="584984"/>
        </a:xfrm>
      </xdr:grpSpPr>
      <xdr:sp macro="" textlink="">
        <xdr:nvSpPr>
          <xdr:cNvPr id="64" name="フローチャート: 磁気ディスク 63">
            <a:extLst>
              <a:ext uri="{FF2B5EF4-FFF2-40B4-BE49-F238E27FC236}">
                <a16:creationId xmlns:a16="http://schemas.microsoft.com/office/drawing/2014/main" id="{EB17FD95-AFAC-EECC-E216-5BEE6AEEF6C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65" name="正方形/長方形 64">
            <a:extLst>
              <a:ext uri="{FF2B5EF4-FFF2-40B4-BE49-F238E27FC236}">
                <a16:creationId xmlns:a16="http://schemas.microsoft.com/office/drawing/2014/main" id="{BBBF6DA3-E364-CA9A-D6D1-6852B793E08E}"/>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（マスタ）</a:t>
            </a:r>
          </a:p>
        </xdr:txBody>
      </xdr:sp>
    </xdr:grpSp>
    <xdr:clientData/>
  </xdr:twoCellAnchor>
  <xdr:twoCellAnchor>
    <xdr:from>
      <xdr:col>28</xdr:col>
      <xdr:colOff>33421</xdr:colOff>
      <xdr:row>410</xdr:row>
      <xdr:rowOff>122845</xdr:rowOff>
    </xdr:from>
    <xdr:to>
      <xdr:col>28</xdr:col>
      <xdr:colOff>39172</xdr:colOff>
      <xdr:row>413</xdr:row>
      <xdr:rowOff>157894</xdr:rowOff>
    </xdr:to>
    <xdr:cxnSp macro="">
      <xdr:nvCxnSpPr>
        <xdr:cNvPr id="66" name="直線矢印コネクタ 65">
          <a:extLst>
            <a:ext uri="{FF2B5EF4-FFF2-40B4-BE49-F238E27FC236}">
              <a16:creationId xmlns:a16="http://schemas.microsoft.com/office/drawing/2014/main" id="{1409E226-929D-4660-B388-C4D57BC2748B}"/>
            </a:ext>
          </a:extLst>
        </xdr:cNvPr>
        <xdr:cNvCxnSpPr>
          <a:cxnSpLocks/>
          <a:stCxn id="58" idx="2"/>
          <a:endCxn id="68" idx="0"/>
        </xdr:cNvCxnSpPr>
      </xdr:nvCxnSpPr>
      <xdr:spPr>
        <a:xfrm>
          <a:off x="5630946" y="40845395"/>
          <a:ext cx="8926" cy="54939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88079</xdr:colOff>
      <xdr:row>413</xdr:row>
      <xdr:rowOff>124121</xdr:rowOff>
    </xdr:from>
    <xdr:to>
      <xdr:col>30</xdr:col>
      <xdr:colOff>182664</xdr:colOff>
      <xdr:row>416</xdr:row>
      <xdr:rowOff>149751</xdr:rowOff>
    </xdr:to>
    <xdr:grpSp>
      <xdr:nvGrpSpPr>
        <xdr:cNvPr id="67" name="グループ化 8">
          <a:extLst>
            <a:ext uri="{FF2B5EF4-FFF2-40B4-BE49-F238E27FC236}">
              <a16:creationId xmlns:a16="http://schemas.microsoft.com/office/drawing/2014/main" id="{89F24EAE-F37D-46F2-89A6-FA9CB3BE225E}"/>
            </a:ext>
          </a:extLst>
        </xdr:cNvPr>
        <xdr:cNvGrpSpPr/>
      </xdr:nvGrpSpPr>
      <xdr:grpSpPr>
        <a:xfrm>
          <a:off x="4612454" y="71609246"/>
          <a:ext cx="999460" cy="539980"/>
          <a:chOff x="1633015" y="2430783"/>
          <a:chExt cx="908902" cy="422628"/>
        </a:xfrm>
      </xdr:grpSpPr>
      <xdr:sp macro="" textlink="">
        <xdr:nvSpPr>
          <xdr:cNvPr id="68" name="フローチャート: 定義済み処理 9">
            <a:extLst>
              <a:ext uri="{FF2B5EF4-FFF2-40B4-BE49-F238E27FC236}">
                <a16:creationId xmlns:a16="http://schemas.microsoft.com/office/drawing/2014/main" id="{451CEDE6-B959-09CB-BEC5-0A6E1EF0C922}"/>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69" name="正方形/長方形 48">
            <a:extLst>
              <a:ext uri="{FF2B5EF4-FFF2-40B4-BE49-F238E27FC236}">
                <a16:creationId xmlns:a16="http://schemas.microsoft.com/office/drawing/2014/main" id="{F70867F3-A6B9-2FA5-49F2-BEC69F286EDD}"/>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endParaRPr kumimoji="1" lang="en-US" altLang="ja-JP" sz="900"/>
          </a:p>
          <a:p>
            <a:pPr algn="ctr"/>
            <a:r>
              <a:rPr kumimoji="1" lang="ja-JP" altLang="en-US" sz="900"/>
              <a:t>承認依頼</a:t>
            </a:r>
          </a:p>
        </xdr:txBody>
      </xdr:sp>
    </xdr:grpSp>
    <xdr:clientData/>
  </xdr:twoCellAnchor>
  <xdr:twoCellAnchor>
    <xdr:from>
      <xdr:col>30</xdr:col>
      <xdr:colOff>130977</xdr:colOff>
      <xdr:row>415</xdr:row>
      <xdr:rowOff>50195</xdr:rowOff>
    </xdr:from>
    <xdr:to>
      <xdr:col>47</xdr:col>
      <xdr:colOff>135078</xdr:colOff>
      <xdr:row>415</xdr:row>
      <xdr:rowOff>51606</xdr:rowOff>
    </xdr:to>
    <xdr:cxnSp macro="">
      <xdr:nvCxnSpPr>
        <xdr:cNvPr id="70" name="直線矢印コネクタ 69">
          <a:extLst>
            <a:ext uri="{FF2B5EF4-FFF2-40B4-BE49-F238E27FC236}">
              <a16:creationId xmlns:a16="http://schemas.microsoft.com/office/drawing/2014/main" id="{5F385775-A961-4539-B12D-DD5F3376100A}"/>
            </a:ext>
          </a:extLst>
        </xdr:cNvPr>
        <xdr:cNvCxnSpPr>
          <a:stCxn id="68" idx="3"/>
          <a:endCxn id="72" idx="2"/>
        </xdr:cNvCxnSpPr>
      </xdr:nvCxnSpPr>
      <xdr:spPr>
        <a:xfrm flipV="1">
          <a:off x="6131727" y="41623645"/>
          <a:ext cx="2004351" cy="141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27008</xdr:colOff>
      <xdr:row>413</xdr:row>
      <xdr:rowOff>97263</xdr:rowOff>
    </xdr:from>
    <xdr:to>
      <xdr:col>52</xdr:col>
      <xdr:colOff>46423</xdr:colOff>
      <xdr:row>417</xdr:row>
      <xdr:rowOff>55742</xdr:rowOff>
    </xdr:to>
    <xdr:grpSp>
      <xdr:nvGrpSpPr>
        <xdr:cNvPr id="71" name="グループ化 70">
          <a:extLst>
            <a:ext uri="{FF2B5EF4-FFF2-40B4-BE49-F238E27FC236}">
              <a16:creationId xmlns:a16="http://schemas.microsoft.com/office/drawing/2014/main" id="{929FFB05-D23E-4494-A7BD-CD58C22DAEEB}"/>
            </a:ext>
          </a:extLst>
        </xdr:cNvPr>
        <xdr:cNvGrpSpPr>
          <a:grpSpLocks noChangeAspect="1"/>
        </xdr:cNvGrpSpPr>
      </xdr:nvGrpSpPr>
      <xdr:grpSpPr>
        <a:xfrm>
          <a:off x="8532833" y="71582388"/>
          <a:ext cx="924290" cy="644279"/>
          <a:chOff x="7112003" y="2892425"/>
          <a:chExt cx="873125" cy="584984"/>
        </a:xfrm>
      </xdr:grpSpPr>
      <xdr:sp macro="" textlink="">
        <xdr:nvSpPr>
          <xdr:cNvPr id="72" name="フローチャート: 磁気ディスク 71">
            <a:extLst>
              <a:ext uri="{FF2B5EF4-FFF2-40B4-BE49-F238E27FC236}">
                <a16:creationId xmlns:a16="http://schemas.microsoft.com/office/drawing/2014/main" id="{E4160843-F41F-3116-1089-7A16BEADCD0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73" name="正方形/長方形 72">
            <a:extLst>
              <a:ext uri="{FF2B5EF4-FFF2-40B4-BE49-F238E27FC236}">
                <a16:creationId xmlns:a16="http://schemas.microsoft.com/office/drawing/2014/main" id="{95758FCF-68A4-AC9C-0A2C-D1B2C290FEBE}"/>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28</xdr:col>
      <xdr:colOff>178023</xdr:colOff>
      <xdr:row>41</xdr:row>
      <xdr:rowOff>53926</xdr:rowOff>
    </xdr:from>
    <xdr:to>
      <xdr:col>28</xdr:col>
      <xdr:colOff>187043</xdr:colOff>
      <xdr:row>44</xdr:row>
      <xdr:rowOff>56444</xdr:rowOff>
    </xdr:to>
    <xdr:cxnSp macro="">
      <xdr:nvCxnSpPr>
        <xdr:cNvPr id="74" name="直線矢印コネクタ 73">
          <a:extLst>
            <a:ext uri="{FF2B5EF4-FFF2-40B4-BE49-F238E27FC236}">
              <a16:creationId xmlns:a16="http://schemas.microsoft.com/office/drawing/2014/main" id="{64212160-024F-4ADA-8120-EEAA3F6764DD}"/>
            </a:ext>
          </a:extLst>
        </xdr:cNvPr>
        <xdr:cNvCxnSpPr>
          <a:stCxn id="17" idx="2"/>
          <a:endCxn id="76" idx="0"/>
        </xdr:cNvCxnSpPr>
      </xdr:nvCxnSpPr>
      <xdr:spPr>
        <a:xfrm flipH="1">
          <a:off x="5781898" y="6651576"/>
          <a:ext cx="2670" cy="52004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333</xdr:colOff>
      <xdr:row>44</xdr:row>
      <xdr:rowOff>56444</xdr:rowOff>
    </xdr:from>
    <xdr:to>
      <xdr:col>33</xdr:col>
      <xdr:colOff>972</xdr:colOff>
      <xdr:row>48</xdr:row>
      <xdr:rowOff>28907</xdr:rowOff>
    </xdr:to>
    <xdr:grpSp>
      <xdr:nvGrpSpPr>
        <xdr:cNvPr id="75" name="グループ化 74">
          <a:extLst>
            <a:ext uri="{FF2B5EF4-FFF2-40B4-BE49-F238E27FC236}">
              <a16:creationId xmlns:a16="http://schemas.microsoft.com/office/drawing/2014/main" id="{EA2E1699-80CE-4355-BA0B-8F5C0E8B00F1}"/>
            </a:ext>
          </a:extLst>
        </xdr:cNvPr>
        <xdr:cNvGrpSpPr/>
      </xdr:nvGrpSpPr>
      <xdr:grpSpPr>
        <a:xfrm>
          <a:off x="4524708" y="7895519"/>
          <a:ext cx="1448439" cy="677313"/>
          <a:chOff x="328663" y="4845050"/>
          <a:chExt cx="1227665" cy="646622"/>
        </a:xfrm>
      </xdr:grpSpPr>
      <xdr:sp macro="" textlink="">
        <xdr:nvSpPr>
          <xdr:cNvPr id="76" name="フローチャート: 判断 75">
            <a:extLst>
              <a:ext uri="{FF2B5EF4-FFF2-40B4-BE49-F238E27FC236}">
                <a16:creationId xmlns:a16="http://schemas.microsoft.com/office/drawing/2014/main" id="{DDDC30CC-41C2-F9A5-500B-05AC51A61D04}"/>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77" name="正方形/長方形 48">
            <a:extLst>
              <a:ext uri="{FF2B5EF4-FFF2-40B4-BE49-F238E27FC236}">
                <a16:creationId xmlns:a16="http://schemas.microsoft.com/office/drawing/2014/main" id="{AA2E0E8F-5D40-87CB-C9F7-1BE49ABFF616}"/>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300</a:t>
            </a:r>
            <a:r>
              <a:rPr kumimoji="1" lang="ja-JP" altLang="en-US" sz="900"/>
              <a:t>万以上か？</a:t>
            </a:r>
            <a:endParaRPr kumimoji="1" lang="en-US" altLang="ja-JP" sz="900"/>
          </a:p>
          <a:p>
            <a:pPr algn="ctr"/>
            <a:r>
              <a:rPr kumimoji="1" lang="ja-JP" altLang="en-US" sz="900"/>
              <a:t>（ファイナンスリース）</a:t>
            </a:r>
          </a:p>
        </xdr:txBody>
      </xdr:sp>
    </xdr:grpSp>
    <xdr:clientData/>
  </xdr:twoCellAnchor>
  <xdr:twoCellAnchor>
    <xdr:from>
      <xdr:col>28</xdr:col>
      <xdr:colOff>179570</xdr:colOff>
      <xdr:row>48</xdr:row>
      <xdr:rowOff>25732</xdr:rowOff>
    </xdr:from>
    <xdr:to>
      <xdr:col>28</xdr:col>
      <xdr:colOff>181479</xdr:colOff>
      <xdr:row>51</xdr:row>
      <xdr:rowOff>138357</xdr:rowOff>
    </xdr:to>
    <xdr:cxnSp macro="">
      <xdr:nvCxnSpPr>
        <xdr:cNvPr id="81" name="直線矢印コネクタ 80">
          <a:extLst>
            <a:ext uri="{FF2B5EF4-FFF2-40B4-BE49-F238E27FC236}">
              <a16:creationId xmlns:a16="http://schemas.microsoft.com/office/drawing/2014/main" id="{13A93DCC-A019-440C-9835-E673284601DB}"/>
            </a:ext>
          </a:extLst>
        </xdr:cNvPr>
        <xdr:cNvCxnSpPr>
          <a:stCxn id="76" idx="2"/>
          <a:endCxn id="79" idx="0"/>
        </xdr:cNvCxnSpPr>
      </xdr:nvCxnSpPr>
      <xdr:spPr>
        <a:xfrm>
          <a:off x="5783445" y="7829882"/>
          <a:ext cx="0" cy="6269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55218</xdr:colOff>
      <xdr:row>51</xdr:row>
      <xdr:rowOff>104086</xdr:rowOff>
    </xdr:from>
    <xdr:to>
      <xdr:col>51</xdr:col>
      <xdr:colOff>183233</xdr:colOff>
      <xdr:row>55</xdr:row>
      <xdr:rowOff>7315</xdr:rowOff>
    </xdr:to>
    <xdr:grpSp>
      <xdr:nvGrpSpPr>
        <xdr:cNvPr id="82" name="グループ化 81">
          <a:extLst>
            <a:ext uri="{FF2B5EF4-FFF2-40B4-BE49-F238E27FC236}">
              <a16:creationId xmlns:a16="http://schemas.microsoft.com/office/drawing/2014/main" id="{F3E5A6FD-F0C9-4ADB-BB6D-777C238818E4}"/>
            </a:ext>
          </a:extLst>
        </xdr:cNvPr>
        <xdr:cNvGrpSpPr>
          <a:grpSpLocks noChangeAspect="1"/>
        </xdr:cNvGrpSpPr>
      </xdr:nvGrpSpPr>
      <xdr:grpSpPr>
        <a:xfrm>
          <a:off x="8561043" y="9190936"/>
          <a:ext cx="851915" cy="598554"/>
          <a:chOff x="7112003" y="2892425"/>
          <a:chExt cx="873125" cy="584984"/>
        </a:xfrm>
      </xdr:grpSpPr>
      <xdr:sp macro="" textlink="">
        <xdr:nvSpPr>
          <xdr:cNvPr id="83" name="フローチャート: 磁気ディスク 82">
            <a:extLst>
              <a:ext uri="{FF2B5EF4-FFF2-40B4-BE49-F238E27FC236}">
                <a16:creationId xmlns:a16="http://schemas.microsoft.com/office/drawing/2014/main" id="{272E80A4-5D14-8D0E-55EA-509762B5B66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84" name="正方形/長方形 83">
            <a:extLst>
              <a:ext uri="{FF2B5EF4-FFF2-40B4-BE49-F238E27FC236}">
                <a16:creationId xmlns:a16="http://schemas.microsoft.com/office/drawing/2014/main" id="{A836D9B0-0541-0535-C8D8-2469DC23A839}"/>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帳簿の詳細</a:t>
            </a:r>
          </a:p>
        </xdr:txBody>
      </xdr:sp>
    </xdr:grpSp>
    <xdr:clientData/>
  </xdr:twoCellAnchor>
  <xdr:twoCellAnchor>
    <xdr:from>
      <xdr:col>31</xdr:col>
      <xdr:colOff>73843</xdr:colOff>
      <xdr:row>53</xdr:row>
      <xdr:rowOff>35292</xdr:rowOff>
    </xdr:from>
    <xdr:to>
      <xdr:col>47</xdr:col>
      <xdr:colOff>153758</xdr:colOff>
      <xdr:row>53</xdr:row>
      <xdr:rowOff>41242</xdr:rowOff>
    </xdr:to>
    <xdr:cxnSp macro="">
      <xdr:nvCxnSpPr>
        <xdr:cNvPr id="85" name="直線矢印コネクタ 84">
          <a:extLst>
            <a:ext uri="{FF2B5EF4-FFF2-40B4-BE49-F238E27FC236}">
              <a16:creationId xmlns:a16="http://schemas.microsoft.com/office/drawing/2014/main" id="{A273CA17-8FA6-4208-8A54-E48FCCF89664}"/>
            </a:ext>
          </a:extLst>
        </xdr:cNvPr>
        <xdr:cNvCxnSpPr>
          <a:stCxn id="79" idx="3"/>
          <a:endCxn id="83" idx="2"/>
        </xdr:cNvCxnSpPr>
      </xdr:nvCxnSpPr>
      <xdr:spPr>
        <a:xfrm flipV="1">
          <a:off x="6274618" y="8693517"/>
          <a:ext cx="1880140" cy="595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51986</xdr:colOff>
      <xdr:row>46</xdr:row>
      <xdr:rowOff>41088</xdr:rowOff>
    </xdr:from>
    <xdr:to>
      <xdr:col>28</xdr:col>
      <xdr:colOff>180461</xdr:colOff>
      <xdr:row>61</xdr:row>
      <xdr:rowOff>936</xdr:rowOff>
    </xdr:to>
    <xdr:cxnSp macro="">
      <xdr:nvCxnSpPr>
        <xdr:cNvPr id="87" name="コネクタ: カギ線 86">
          <a:extLst>
            <a:ext uri="{FF2B5EF4-FFF2-40B4-BE49-F238E27FC236}">
              <a16:creationId xmlns:a16="http://schemas.microsoft.com/office/drawing/2014/main" id="{418FFA55-F9D2-42AF-A702-AA1F006D5F43}"/>
            </a:ext>
          </a:extLst>
        </xdr:cNvPr>
        <xdr:cNvCxnSpPr>
          <a:stCxn id="76" idx="1"/>
          <a:endCxn id="313" idx="0"/>
        </xdr:cNvCxnSpPr>
      </xdr:nvCxnSpPr>
      <xdr:spPr>
        <a:xfrm rot="10800000" flipH="1" flipV="1">
          <a:off x="5049671" y="7672847"/>
          <a:ext cx="728197" cy="2605682"/>
        </a:xfrm>
        <a:prstGeom prst="bentConnector4">
          <a:avLst>
            <a:gd name="adj1" fmla="val -31393"/>
            <a:gd name="adj2" fmla="val 91225"/>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23119</xdr:colOff>
      <xdr:row>45</xdr:row>
      <xdr:rowOff>389</xdr:rowOff>
    </xdr:from>
    <xdr:to>
      <xdr:col>24</xdr:col>
      <xdr:colOff>145735</xdr:colOff>
      <xdr:row>46</xdr:row>
      <xdr:rowOff>27662</xdr:rowOff>
    </xdr:to>
    <xdr:sp macro="" textlink="">
      <xdr:nvSpPr>
        <xdr:cNvPr id="88" name="テキスト ボックス 195">
          <a:extLst>
            <a:ext uri="{FF2B5EF4-FFF2-40B4-BE49-F238E27FC236}">
              <a16:creationId xmlns:a16="http://schemas.microsoft.com/office/drawing/2014/main" id="{0CAA19C3-6BE4-4B0D-A42C-08F2E7225360}"/>
            </a:ext>
          </a:extLst>
        </xdr:cNvPr>
        <xdr:cNvSpPr txBox="1"/>
      </xdr:nvSpPr>
      <xdr:spPr>
        <a:xfrm>
          <a:off x="4426844" y="7287014"/>
          <a:ext cx="516316" cy="20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28</xdr:col>
      <xdr:colOff>144946</xdr:colOff>
      <xdr:row>48</xdr:row>
      <xdr:rowOff>48315</xdr:rowOff>
    </xdr:from>
    <xdr:to>
      <xdr:col>31</xdr:col>
      <xdr:colOff>37422</xdr:colOff>
      <xdr:row>49</xdr:row>
      <xdr:rowOff>53304</xdr:rowOff>
    </xdr:to>
    <xdr:sp macro="" textlink="">
      <xdr:nvSpPr>
        <xdr:cNvPr id="89" name="テキスト ボックス 88">
          <a:extLst>
            <a:ext uri="{FF2B5EF4-FFF2-40B4-BE49-F238E27FC236}">
              <a16:creationId xmlns:a16="http://schemas.microsoft.com/office/drawing/2014/main" id="{CE6C07C3-38DD-49B3-8EDD-33DAEFA20A6B}"/>
            </a:ext>
          </a:extLst>
        </xdr:cNvPr>
        <xdr:cNvSpPr txBox="1"/>
      </xdr:nvSpPr>
      <xdr:spPr>
        <a:xfrm>
          <a:off x="5742471" y="7846115"/>
          <a:ext cx="495726" cy="176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26</xdr:col>
      <xdr:colOff>36029</xdr:colOff>
      <xdr:row>70</xdr:row>
      <xdr:rowOff>57656</xdr:rowOff>
    </xdr:from>
    <xdr:to>
      <xdr:col>31</xdr:col>
      <xdr:colOff>135223</xdr:colOff>
      <xdr:row>73</xdr:row>
      <xdr:rowOff>86123</xdr:rowOff>
    </xdr:to>
    <xdr:grpSp>
      <xdr:nvGrpSpPr>
        <xdr:cNvPr id="90" name="グループ化 8">
          <a:extLst>
            <a:ext uri="{FF2B5EF4-FFF2-40B4-BE49-F238E27FC236}">
              <a16:creationId xmlns:a16="http://schemas.microsoft.com/office/drawing/2014/main" id="{6CF230D6-6B27-4670-B9A7-5471A194A0AB}"/>
            </a:ext>
          </a:extLst>
        </xdr:cNvPr>
        <xdr:cNvGrpSpPr/>
      </xdr:nvGrpSpPr>
      <xdr:grpSpPr>
        <a:xfrm>
          <a:off x="4741379" y="12478256"/>
          <a:ext cx="1004069" cy="542817"/>
          <a:chOff x="1658310" y="2444762"/>
          <a:chExt cx="908902" cy="420662"/>
        </a:xfrm>
      </xdr:grpSpPr>
      <xdr:sp macro="" textlink="">
        <xdr:nvSpPr>
          <xdr:cNvPr id="91" name="フローチャート: 定義済み処理 9">
            <a:extLst>
              <a:ext uri="{FF2B5EF4-FFF2-40B4-BE49-F238E27FC236}">
                <a16:creationId xmlns:a16="http://schemas.microsoft.com/office/drawing/2014/main" id="{ED49EC5F-485F-4811-A065-195BB7BCC4DF}"/>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2" name="正方形/長方形 48">
            <a:extLst>
              <a:ext uri="{FF2B5EF4-FFF2-40B4-BE49-F238E27FC236}">
                <a16:creationId xmlns:a16="http://schemas.microsoft.com/office/drawing/2014/main" id="{1BC2E8EB-B439-CB8C-0C19-8657D79CA905}"/>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７</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支払スケジュール確定処理</a:t>
            </a:r>
            <a:endParaRPr kumimoji="1" lang="ja-JP" altLang="en-US" sz="900"/>
          </a:p>
        </xdr:txBody>
      </xdr:sp>
    </xdr:grpSp>
    <xdr:clientData/>
  </xdr:twoCellAnchor>
  <xdr:twoCellAnchor>
    <xdr:from>
      <xdr:col>47</xdr:col>
      <xdr:colOff>85450</xdr:colOff>
      <xdr:row>70</xdr:row>
      <xdr:rowOff>36671</xdr:rowOff>
    </xdr:from>
    <xdr:to>
      <xdr:col>52</xdr:col>
      <xdr:colOff>30109</xdr:colOff>
      <xdr:row>73</xdr:row>
      <xdr:rowOff>121980</xdr:rowOff>
    </xdr:to>
    <xdr:grpSp>
      <xdr:nvGrpSpPr>
        <xdr:cNvPr id="93" name="グループ化 92">
          <a:extLst>
            <a:ext uri="{FF2B5EF4-FFF2-40B4-BE49-F238E27FC236}">
              <a16:creationId xmlns:a16="http://schemas.microsoft.com/office/drawing/2014/main" id="{F22E0566-991F-4CEA-829B-169E03E5CBB3}"/>
            </a:ext>
          </a:extLst>
        </xdr:cNvPr>
        <xdr:cNvGrpSpPr>
          <a:grpSpLocks noChangeAspect="1"/>
        </xdr:cNvGrpSpPr>
      </xdr:nvGrpSpPr>
      <xdr:grpSpPr>
        <a:xfrm>
          <a:off x="8591275" y="12457271"/>
          <a:ext cx="849534" cy="599659"/>
          <a:chOff x="7112003" y="2892425"/>
          <a:chExt cx="873125" cy="584984"/>
        </a:xfrm>
      </xdr:grpSpPr>
      <xdr:sp macro="" textlink="">
        <xdr:nvSpPr>
          <xdr:cNvPr id="94" name="フローチャート: 磁気ディスク 93">
            <a:extLst>
              <a:ext uri="{FF2B5EF4-FFF2-40B4-BE49-F238E27FC236}">
                <a16:creationId xmlns:a16="http://schemas.microsoft.com/office/drawing/2014/main" id="{DF8CA0B9-DFE1-7DEE-7C38-296FA8C6D48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95" name="正方形/長方形 94">
            <a:extLst>
              <a:ext uri="{FF2B5EF4-FFF2-40B4-BE49-F238E27FC236}">
                <a16:creationId xmlns:a16="http://schemas.microsoft.com/office/drawing/2014/main" id="{4D943236-207F-8378-BD2F-BAF281B74C81}"/>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確認バッチ</a:t>
            </a:r>
          </a:p>
        </xdr:txBody>
      </xdr:sp>
    </xdr:grpSp>
    <xdr:clientData/>
  </xdr:twoCellAnchor>
  <xdr:twoCellAnchor>
    <xdr:from>
      <xdr:col>31</xdr:col>
      <xdr:colOff>76756</xdr:colOff>
      <xdr:row>71</xdr:row>
      <xdr:rowOff>144799</xdr:rowOff>
    </xdr:from>
    <xdr:to>
      <xdr:col>47</xdr:col>
      <xdr:colOff>179984</xdr:colOff>
      <xdr:row>71</xdr:row>
      <xdr:rowOff>144799</xdr:rowOff>
    </xdr:to>
    <xdr:cxnSp macro="">
      <xdr:nvCxnSpPr>
        <xdr:cNvPr id="96" name="直線矢印コネクタ 95">
          <a:extLst>
            <a:ext uri="{FF2B5EF4-FFF2-40B4-BE49-F238E27FC236}">
              <a16:creationId xmlns:a16="http://schemas.microsoft.com/office/drawing/2014/main" id="{28F14B68-EE0B-4B6D-9FB8-33460CAD826C}"/>
            </a:ext>
          </a:extLst>
        </xdr:cNvPr>
        <xdr:cNvCxnSpPr>
          <a:stCxn id="91" idx="3"/>
          <a:endCxn id="94" idx="2"/>
        </xdr:cNvCxnSpPr>
      </xdr:nvCxnSpPr>
      <xdr:spPr>
        <a:xfrm flipV="1">
          <a:off x="6277531" y="10346074"/>
          <a:ext cx="1903453"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39205</xdr:colOff>
      <xdr:row>76</xdr:row>
      <xdr:rowOff>161925</xdr:rowOff>
    </xdr:from>
    <xdr:to>
      <xdr:col>31</xdr:col>
      <xdr:colOff>132503</xdr:colOff>
      <xdr:row>80</xdr:row>
      <xdr:rowOff>16685</xdr:rowOff>
    </xdr:to>
    <xdr:grpSp>
      <xdr:nvGrpSpPr>
        <xdr:cNvPr id="97" name="グループ化 8">
          <a:extLst>
            <a:ext uri="{FF2B5EF4-FFF2-40B4-BE49-F238E27FC236}">
              <a16:creationId xmlns:a16="http://schemas.microsoft.com/office/drawing/2014/main" id="{5C7808D5-43FC-4278-BBC3-3FBD8E39CCCC}"/>
            </a:ext>
          </a:extLst>
        </xdr:cNvPr>
        <xdr:cNvGrpSpPr/>
      </xdr:nvGrpSpPr>
      <xdr:grpSpPr>
        <a:xfrm>
          <a:off x="4744555" y="13639800"/>
          <a:ext cx="998173" cy="550085"/>
          <a:chOff x="1653542" y="2416116"/>
          <a:chExt cx="908902" cy="420662"/>
        </a:xfrm>
      </xdr:grpSpPr>
      <xdr:sp macro="" textlink="">
        <xdr:nvSpPr>
          <xdr:cNvPr id="98" name="フローチャート: 定義済み処理 9">
            <a:extLst>
              <a:ext uri="{FF2B5EF4-FFF2-40B4-BE49-F238E27FC236}">
                <a16:creationId xmlns:a16="http://schemas.microsoft.com/office/drawing/2014/main" id="{A6738410-D838-3659-A60A-3B49838F279B}"/>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9" name="正方形/長方形 48">
            <a:extLst>
              <a:ext uri="{FF2B5EF4-FFF2-40B4-BE49-F238E27FC236}">
                <a16:creationId xmlns:a16="http://schemas.microsoft.com/office/drawing/2014/main" id="{D7432035-5AC5-8D04-3603-E93035F4D276}"/>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８</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初期認識</a:t>
            </a:r>
            <a:endParaRPr kumimoji="1" lang="ja-JP" altLang="en-US" sz="900"/>
          </a:p>
        </xdr:txBody>
      </xdr:sp>
    </xdr:grpSp>
    <xdr:clientData/>
  </xdr:twoCellAnchor>
  <xdr:twoCellAnchor>
    <xdr:from>
      <xdr:col>47</xdr:col>
      <xdr:colOff>64813</xdr:colOff>
      <xdr:row>77</xdr:row>
      <xdr:rowOff>9854</xdr:rowOff>
    </xdr:from>
    <xdr:to>
      <xdr:col>52</xdr:col>
      <xdr:colOff>2328</xdr:colOff>
      <xdr:row>80</xdr:row>
      <xdr:rowOff>79288</xdr:rowOff>
    </xdr:to>
    <xdr:grpSp>
      <xdr:nvGrpSpPr>
        <xdr:cNvPr id="100" name="グループ化 99">
          <a:extLst>
            <a:ext uri="{FF2B5EF4-FFF2-40B4-BE49-F238E27FC236}">
              <a16:creationId xmlns:a16="http://schemas.microsoft.com/office/drawing/2014/main" id="{47B3607C-2D6D-43DF-BCF7-BC01C0580F39}"/>
            </a:ext>
          </a:extLst>
        </xdr:cNvPr>
        <xdr:cNvGrpSpPr>
          <a:grpSpLocks noChangeAspect="1"/>
        </xdr:cNvGrpSpPr>
      </xdr:nvGrpSpPr>
      <xdr:grpSpPr>
        <a:xfrm>
          <a:off x="8570638" y="13668704"/>
          <a:ext cx="842390" cy="583784"/>
          <a:chOff x="7112003" y="2892425"/>
          <a:chExt cx="873125" cy="584984"/>
        </a:xfrm>
      </xdr:grpSpPr>
      <xdr:sp macro="" textlink="">
        <xdr:nvSpPr>
          <xdr:cNvPr id="101" name="フローチャート: 磁気ディスク 100">
            <a:extLst>
              <a:ext uri="{FF2B5EF4-FFF2-40B4-BE49-F238E27FC236}">
                <a16:creationId xmlns:a16="http://schemas.microsoft.com/office/drawing/2014/main" id="{301DDB6C-43BF-35BF-B2A7-0BDAECCB03E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02" name="正方形/長方形 101">
            <a:extLst>
              <a:ext uri="{FF2B5EF4-FFF2-40B4-BE49-F238E27FC236}">
                <a16:creationId xmlns:a16="http://schemas.microsoft.com/office/drawing/2014/main" id="{B1CB30F6-7328-F5A0-3446-9DF7955BAB4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83883</xdr:colOff>
      <xdr:row>78</xdr:row>
      <xdr:rowOff>107598</xdr:rowOff>
    </xdr:from>
    <xdr:to>
      <xdr:col>47</xdr:col>
      <xdr:colOff>163353</xdr:colOff>
      <xdr:row>78</xdr:row>
      <xdr:rowOff>112857</xdr:rowOff>
    </xdr:to>
    <xdr:cxnSp macro="">
      <xdr:nvCxnSpPr>
        <xdr:cNvPr id="103" name="直線矢印コネクタ 102">
          <a:extLst>
            <a:ext uri="{FF2B5EF4-FFF2-40B4-BE49-F238E27FC236}">
              <a16:creationId xmlns:a16="http://schemas.microsoft.com/office/drawing/2014/main" id="{27D2ACCE-F2BE-4759-A78E-7FC6EE5833B5}"/>
            </a:ext>
          </a:extLst>
        </xdr:cNvPr>
        <xdr:cNvCxnSpPr>
          <a:stCxn id="98" idx="3"/>
          <a:endCxn id="101" idx="2"/>
        </xdr:cNvCxnSpPr>
      </xdr:nvCxnSpPr>
      <xdr:spPr>
        <a:xfrm flipV="1">
          <a:off x="6287833" y="11505848"/>
          <a:ext cx="1873345" cy="843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178901</xdr:colOff>
      <xdr:row>73</xdr:row>
      <xdr:rowOff>40196</xdr:rowOff>
    </xdr:from>
    <xdr:to>
      <xdr:col>28</xdr:col>
      <xdr:colOff>188058</xdr:colOff>
      <xdr:row>77</xdr:row>
      <xdr:rowOff>46765</xdr:rowOff>
    </xdr:to>
    <xdr:cxnSp macro="">
      <xdr:nvCxnSpPr>
        <xdr:cNvPr id="104" name="直線矢印コネクタ 103">
          <a:extLst>
            <a:ext uri="{FF2B5EF4-FFF2-40B4-BE49-F238E27FC236}">
              <a16:creationId xmlns:a16="http://schemas.microsoft.com/office/drawing/2014/main" id="{383C3FE0-A15F-486A-AF4F-369F06B08247}"/>
            </a:ext>
          </a:extLst>
        </xdr:cNvPr>
        <xdr:cNvCxnSpPr>
          <a:stCxn id="91" idx="2"/>
          <a:endCxn id="98" idx="0"/>
        </xdr:cNvCxnSpPr>
      </xdr:nvCxnSpPr>
      <xdr:spPr>
        <a:xfrm>
          <a:off x="5779601" y="10584371"/>
          <a:ext cx="9157" cy="69236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39205</xdr:colOff>
      <xdr:row>83</xdr:row>
      <xdr:rowOff>96631</xdr:rowOff>
    </xdr:from>
    <xdr:to>
      <xdr:col>31</xdr:col>
      <xdr:colOff>132503</xdr:colOff>
      <xdr:row>86</xdr:row>
      <xdr:rowOff>123945</xdr:rowOff>
    </xdr:to>
    <xdr:grpSp>
      <xdr:nvGrpSpPr>
        <xdr:cNvPr id="105" name="グループ化 8">
          <a:extLst>
            <a:ext uri="{FF2B5EF4-FFF2-40B4-BE49-F238E27FC236}">
              <a16:creationId xmlns:a16="http://schemas.microsoft.com/office/drawing/2014/main" id="{5ECF147D-520B-4C64-A245-A34FA7268A76}"/>
            </a:ext>
          </a:extLst>
        </xdr:cNvPr>
        <xdr:cNvGrpSpPr/>
      </xdr:nvGrpSpPr>
      <xdr:grpSpPr>
        <a:xfrm>
          <a:off x="4744555" y="14803231"/>
          <a:ext cx="998173" cy="551189"/>
          <a:chOff x="1653542" y="2416116"/>
          <a:chExt cx="908902" cy="420662"/>
        </a:xfrm>
      </xdr:grpSpPr>
      <xdr:sp macro="" textlink="">
        <xdr:nvSpPr>
          <xdr:cNvPr id="106" name="フローチャート: 定義済み処理 9">
            <a:extLst>
              <a:ext uri="{FF2B5EF4-FFF2-40B4-BE49-F238E27FC236}">
                <a16:creationId xmlns:a16="http://schemas.microsoft.com/office/drawing/2014/main" id="{9FE562EB-9B86-D0CB-E033-F6AFB8FE33B3}"/>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07" name="正方形/長方形 48">
            <a:extLst>
              <a:ext uri="{FF2B5EF4-FFF2-40B4-BE49-F238E27FC236}">
                <a16:creationId xmlns:a16="http://schemas.microsoft.com/office/drawing/2014/main" id="{A0332733-AA6B-C15D-D56E-3D49E7E08604}"/>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９</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仕訳の承認依頼</a:t>
            </a:r>
            <a:endParaRPr kumimoji="1" lang="ja-JP" altLang="en-US" sz="900"/>
          </a:p>
        </xdr:txBody>
      </xdr:sp>
    </xdr:grpSp>
    <xdr:clientData/>
  </xdr:twoCellAnchor>
  <xdr:twoCellAnchor>
    <xdr:from>
      <xdr:col>31</xdr:col>
      <xdr:colOff>83319</xdr:colOff>
      <xdr:row>85</xdr:row>
      <xdr:rowOff>44652</xdr:rowOff>
    </xdr:from>
    <xdr:to>
      <xdr:col>47</xdr:col>
      <xdr:colOff>145563</xdr:colOff>
      <xdr:row>85</xdr:row>
      <xdr:rowOff>45022</xdr:rowOff>
    </xdr:to>
    <xdr:cxnSp macro="">
      <xdr:nvCxnSpPr>
        <xdr:cNvPr id="108" name="直線矢印コネクタ 107">
          <a:extLst>
            <a:ext uri="{FF2B5EF4-FFF2-40B4-BE49-F238E27FC236}">
              <a16:creationId xmlns:a16="http://schemas.microsoft.com/office/drawing/2014/main" id="{E8989D59-A8E5-4F02-BB03-4D66B4577A06}"/>
            </a:ext>
          </a:extLst>
        </xdr:cNvPr>
        <xdr:cNvCxnSpPr>
          <a:stCxn id="106" idx="3"/>
          <a:endCxn id="111" idx="2"/>
        </xdr:cNvCxnSpPr>
      </xdr:nvCxnSpPr>
      <xdr:spPr>
        <a:xfrm flipV="1">
          <a:off x="6287269" y="12649402"/>
          <a:ext cx="1856119" cy="3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188058</xdr:colOff>
      <xdr:row>80</xdr:row>
      <xdr:rowOff>10674</xdr:rowOff>
    </xdr:from>
    <xdr:to>
      <xdr:col>28</xdr:col>
      <xdr:colOff>188058</xdr:colOff>
      <xdr:row>83</xdr:row>
      <xdr:rowOff>149855</xdr:rowOff>
    </xdr:to>
    <xdr:cxnSp macro="">
      <xdr:nvCxnSpPr>
        <xdr:cNvPr id="109" name="直線矢印コネクタ 108">
          <a:extLst>
            <a:ext uri="{FF2B5EF4-FFF2-40B4-BE49-F238E27FC236}">
              <a16:creationId xmlns:a16="http://schemas.microsoft.com/office/drawing/2014/main" id="{D39ED22C-958A-42DC-A3DE-BDE42645FC41}"/>
            </a:ext>
          </a:extLst>
        </xdr:cNvPr>
        <xdr:cNvCxnSpPr>
          <a:stCxn id="98" idx="2"/>
          <a:endCxn id="106" idx="0"/>
        </xdr:cNvCxnSpPr>
      </xdr:nvCxnSpPr>
      <xdr:spPr>
        <a:xfrm>
          <a:off x="5788758" y="11751824"/>
          <a:ext cx="0" cy="65670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55460</xdr:colOff>
      <xdr:row>83</xdr:row>
      <xdr:rowOff>122742</xdr:rowOff>
    </xdr:from>
    <xdr:to>
      <xdr:col>51</xdr:col>
      <xdr:colOff>183475</xdr:colOff>
      <xdr:row>86</xdr:row>
      <xdr:rowOff>162496</xdr:rowOff>
    </xdr:to>
    <xdr:grpSp>
      <xdr:nvGrpSpPr>
        <xdr:cNvPr id="110" name="グループ化 109">
          <a:extLst>
            <a:ext uri="{FF2B5EF4-FFF2-40B4-BE49-F238E27FC236}">
              <a16:creationId xmlns:a16="http://schemas.microsoft.com/office/drawing/2014/main" id="{2F0765FE-DD83-4F9E-B2BB-ECB4E2B5E427}"/>
            </a:ext>
          </a:extLst>
        </xdr:cNvPr>
        <xdr:cNvGrpSpPr>
          <a:grpSpLocks noChangeAspect="1"/>
        </xdr:cNvGrpSpPr>
      </xdr:nvGrpSpPr>
      <xdr:grpSpPr>
        <a:xfrm>
          <a:off x="8561285" y="14829342"/>
          <a:ext cx="851915" cy="563629"/>
          <a:chOff x="7123128" y="2892425"/>
          <a:chExt cx="873125" cy="560343"/>
        </a:xfrm>
      </xdr:grpSpPr>
      <xdr:sp macro="" textlink="">
        <xdr:nvSpPr>
          <xdr:cNvPr id="111" name="フローチャート: 磁気ディスク 110">
            <a:extLst>
              <a:ext uri="{FF2B5EF4-FFF2-40B4-BE49-F238E27FC236}">
                <a16:creationId xmlns:a16="http://schemas.microsoft.com/office/drawing/2014/main" id="{CCE7FABD-E186-0740-65EE-CEAF96C20DB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2" name="正方形/長方形 111">
            <a:extLst>
              <a:ext uri="{FF2B5EF4-FFF2-40B4-BE49-F238E27FC236}">
                <a16:creationId xmlns:a16="http://schemas.microsoft.com/office/drawing/2014/main" id="{2870EA60-FA6B-8882-D0C3-5AAEE6F3A1C4}"/>
              </a:ext>
            </a:extLst>
          </xdr:cNvPr>
          <xdr:cNvSpPr/>
        </xdr:nvSpPr>
        <xdr:spPr>
          <a:xfrm>
            <a:off x="7123128" y="2947161"/>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32</xdr:col>
      <xdr:colOff>123828</xdr:colOff>
      <xdr:row>93</xdr:row>
      <xdr:rowOff>26506</xdr:rowOff>
    </xdr:from>
    <xdr:to>
      <xdr:col>38</xdr:col>
      <xdr:colOff>180976</xdr:colOff>
      <xdr:row>96</xdr:row>
      <xdr:rowOff>69695</xdr:rowOff>
    </xdr:to>
    <xdr:grpSp>
      <xdr:nvGrpSpPr>
        <xdr:cNvPr id="113" name="グループ化 8">
          <a:extLst>
            <a:ext uri="{FF2B5EF4-FFF2-40B4-BE49-F238E27FC236}">
              <a16:creationId xmlns:a16="http://schemas.microsoft.com/office/drawing/2014/main" id="{6F70B171-E377-4935-A241-B20A1EB16878}"/>
            </a:ext>
          </a:extLst>
        </xdr:cNvPr>
        <xdr:cNvGrpSpPr/>
      </xdr:nvGrpSpPr>
      <xdr:grpSpPr>
        <a:xfrm>
          <a:off x="5915028" y="16514281"/>
          <a:ext cx="1142998" cy="557539"/>
          <a:chOff x="1590209" y="2430489"/>
          <a:chExt cx="1044990" cy="420662"/>
        </a:xfrm>
      </xdr:grpSpPr>
      <xdr:sp macro="" textlink="">
        <xdr:nvSpPr>
          <xdr:cNvPr id="114" name="フローチャート: 定義済み処理 9">
            <a:extLst>
              <a:ext uri="{FF2B5EF4-FFF2-40B4-BE49-F238E27FC236}">
                <a16:creationId xmlns:a16="http://schemas.microsoft.com/office/drawing/2014/main" id="{D3F1AC06-25C0-54C0-3513-E57F7A80C3A5}"/>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5" name="正方形/長方形 48">
            <a:extLst>
              <a:ext uri="{FF2B5EF4-FFF2-40B4-BE49-F238E27FC236}">
                <a16:creationId xmlns:a16="http://schemas.microsoft.com/office/drawing/2014/main" id="{B2B5627C-EF75-3453-ECBF-D9FA096CC8AF}"/>
              </a:ext>
            </a:extLst>
          </xdr:cNvPr>
          <xdr:cNvSpPr/>
        </xdr:nvSpPr>
        <xdr:spPr>
          <a:xfrm>
            <a:off x="1590209" y="2430489"/>
            <a:ext cx="1044990"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１０</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a:t>
            </a:r>
            <a:endParaRPr kumimoji="1" lang="ja-JP" altLang="en-US" sz="900"/>
          </a:p>
        </xdr:txBody>
      </xdr:sp>
    </xdr:grpSp>
    <xdr:clientData/>
  </xdr:twoCellAnchor>
  <xdr:twoCellAnchor>
    <xdr:from>
      <xdr:col>28</xdr:col>
      <xdr:colOff>188058</xdr:colOff>
      <xdr:row>86</xdr:row>
      <xdr:rowOff>117921</xdr:rowOff>
    </xdr:from>
    <xdr:to>
      <xdr:col>35</xdr:col>
      <xdr:colOff>148924</xdr:colOff>
      <xdr:row>93</xdr:row>
      <xdr:rowOff>64790</xdr:rowOff>
    </xdr:to>
    <xdr:cxnSp macro="">
      <xdr:nvCxnSpPr>
        <xdr:cNvPr id="116" name="コネクタ: カギ線 115">
          <a:extLst>
            <a:ext uri="{FF2B5EF4-FFF2-40B4-BE49-F238E27FC236}">
              <a16:creationId xmlns:a16="http://schemas.microsoft.com/office/drawing/2014/main" id="{43DEF06F-1BFA-41C2-8316-936AF3B4803D}"/>
            </a:ext>
          </a:extLst>
        </xdr:cNvPr>
        <xdr:cNvCxnSpPr>
          <a:stCxn id="106" idx="2"/>
          <a:endCxn id="114" idx="0"/>
        </xdr:cNvCxnSpPr>
      </xdr:nvCxnSpPr>
      <xdr:spPr>
        <a:xfrm rot="16200000" flipH="1">
          <a:off x="5894181" y="12788698"/>
          <a:ext cx="1147019" cy="135786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104431</xdr:colOff>
      <xdr:row>93</xdr:row>
      <xdr:rowOff>41191</xdr:rowOff>
    </xdr:from>
    <xdr:to>
      <xdr:col>52</xdr:col>
      <xdr:colOff>38771</xdr:colOff>
      <xdr:row>96</xdr:row>
      <xdr:rowOff>116975</xdr:rowOff>
    </xdr:to>
    <xdr:grpSp>
      <xdr:nvGrpSpPr>
        <xdr:cNvPr id="117" name="グループ化 116">
          <a:extLst>
            <a:ext uri="{FF2B5EF4-FFF2-40B4-BE49-F238E27FC236}">
              <a16:creationId xmlns:a16="http://schemas.microsoft.com/office/drawing/2014/main" id="{D33565DF-A245-405C-AB3E-C7BD5EF20D59}"/>
            </a:ext>
          </a:extLst>
        </xdr:cNvPr>
        <xdr:cNvGrpSpPr>
          <a:grpSpLocks noChangeAspect="1"/>
        </xdr:cNvGrpSpPr>
      </xdr:nvGrpSpPr>
      <xdr:grpSpPr>
        <a:xfrm>
          <a:off x="8610256" y="16528966"/>
          <a:ext cx="839215" cy="590134"/>
          <a:chOff x="7112003" y="2892425"/>
          <a:chExt cx="873125" cy="584984"/>
        </a:xfrm>
      </xdr:grpSpPr>
      <xdr:sp macro="" textlink="">
        <xdr:nvSpPr>
          <xdr:cNvPr id="118" name="フローチャート: 磁気ディスク 117">
            <a:extLst>
              <a:ext uri="{FF2B5EF4-FFF2-40B4-BE49-F238E27FC236}">
                <a16:creationId xmlns:a16="http://schemas.microsoft.com/office/drawing/2014/main" id="{7B6B457A-FE03-1A02-747A-D4A8027C653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19" name="正方形/長方形 118">
            <a:extLst>
              <a:ext uri="{FF2B5EF4-FFF2-40B4-BE49-F238E27FC236}">
                <a16:creationId xmlns:a16="http://schemas.microsoft.com/office/drawing/2014/main" id="{6EC275BF-C93A-BAD4-4052-0FA9A1789442}"/>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38</xdr:col>
      <xdr:colOff>47986</xdr:colOff>
      <xdr:row>94</xdr:row>
      <xdr:rowOff>145141</xdr:rowOff>
    </xdr:from>
    <xdr:to>
      <xdr:col>48</xdr:col>
      <xdr:colOff>2946</xdr:colOff>
      <xdr:row>94</xdr:row>
      <xdr:rowOff>145141</xdr:rowOff>
    </xdr:to>
    <xdr:cxnSp macro="">
      <xdr:nvCxnSpPr>
        <xdr:cNvPr id="120" name="直線矢印コネクタ 119">
          <a:extLst>
            <a:ext uri="{FF2B5EF4-FFF2-40B4-BE49-F238E27FC236}">
              <a16:creationId xmlns:a16="http://schemas.microsoft.com/office/drawing/2014/main" id="{F1EBFC6A-FC96-4753-BC6E-821CA2A9C78F}"/>
            </a:ext>
          </a:extLst>
        </xdr:cNvPr>
        <xdr:cNvCxnSpPr>
          <a:stCxn id="114" idx="3"/>
          <a:endCxn id="118" idx="2"/>
        </xdr:cNvCxnSpPr>
      </xdr:nvCxnSpPr>
      <xdr:spPr>
        <a:xfrm>
          <a:off x="7648936" y="15832816"/>
          <a:ext cx="195521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10134</xdr:colOff>
      <xdr:row>163</xdr:row>
      <xdr:rowOff>17412</xdr:rowOff>
    </xdr:from>
    <xdr:to>
      <xdr:col>31</xdr:col>
      <xdr:colOff>95197</xdr:colOff>
      <xdr:row>166</xdr:row>
      <xdr:rowOff>46217</xdr:rowOff>
    </xdr:to>
    <xdr:grpSp>
      <xdr:nvGrpSpPr>
        <xdr:cNvPr id="121" name="グループ化 8">
          <a:extLst>
            <a:ext uri="{FF2B5EF4-FFF2-40B4-BE49-F238E27FC236}">
              <a16:creationId xmlns:a16="http://schemas.microsoft.com/office/drawing/2014/main" id="{8A7AE52C-B42F-4154-AC6A-340E9AB6C21E}"/>
            </a:ext>
          </a:extLst>
        </xdr:cNvPr>
        <xdr:cNvGrpSpPr/>
      </xdr:nvGrpSpPr>
      <xdr:grpSpPr>
        <a:xfrm>
          <a:off x="4715484" y="28640037"/>
          <a:ext cx="989938" cy="543155"/>
          <a:chOff x="-76632" y="2422920"/>
          <a:chExt cx="908902" cy="422628"/>
        </a:xfrm>
      </xdr:grpSpPr>
      <xdr:sp macro="" textlink="">
        <xdr:nvSpPr>
          <xdr:cNvPr id="122" name="フローチャート: 定義済み処理 9">
            <a:extLst>
              <a:ext uri="{FF2B5EF4-FFF2-40B4-BE49-F238E27FC236}">
                <a16:creationId xmlns:a16="http://schemas.microsoft.com/office/drawing/2014/main" id="{08C603FD-D317-1A0E-FB64-E9026BDB3BE4}"/>
              </a:ext>
            </a:extLst>
          </xdr:cNvPr>
          <xdr:cNvSpPr/>
        </xdr:nvSpPr>
        <xdr:spPr>
          <a:xfrm>
            <a:off x="-47158"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23" name="正方形/長方形 48">
            <a:extLst>
              <a:ext uri="{FF2B5EF4-FFF2-40B4-BE49-F238E27FC236}">
                <a16:creationId xmlns:a16="http://schemas.microsoft.com/office/drawing/2014/main" id="{127EA44A-BDBF-EFF8-9CED-64C68CBD489F}"/>
              </a:ext>
            </a:extLst>
          </xdr:cNvPr>
          <xdr:cNvSpPr/>
        </xdr:nvSpPr>
        <xdr:spPr>
          <a:xfrm>
            <a:off x="-76632" y="2422920"/>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支払仕訳</a:t>
            </a:r>
            <a:endParaRPr kumimoji="1" lang="en-US" altLang="ja-JP" sz="900"/>
          </a:p>
          <a:p>
            <a:pPr algn="ctr"/>
            <a:r>
              <a:rPr kumimoji="1" lang="ja-JP" altLang="en-US" sz="900"/>
              <a:t>作成・転記</a:t>
            </a:r>
          </a:p>
        </xdr:txBody>
      </xdr:sp>
    </xdr:grpSp>
    <xdr:clientData/>
  </xdr:twoCellAnchor>
  <xdr:twoCellAnchor>
    <xdr:from>
      <xdr:col>47</xdr:col>
      <xdr:colOff>104933</xdr:colOff>
      <xdr:row>163</xdr:row>
      <xdr:rowOff>28161</xdr:rowOff>
    </xdr:from>
    <xdr:to>
      <xdr:col>52</xdr:col>
      <xdr:colOff>26435</xdr:colOff>
      <xdr:row>166</xdr:row>
      <xdr:rowOff>103944</xdr:rowOff>
    </xdr:to>
    <xdr:grpSp>
      <xdr:nvGrpSpPr>
        <xdr:cNvPr id="124" name="グループ化 123">
          <a:extLst>
            <a:ext uri="{FF2B5EF4-FFF2-40B4-BE49-F238E27FC236}">
              <a16:creationId xmlns:a16="http://schemas.microsoft.com/office/drawing/2014/main" id="{934B0E8F-8745-400E-BE02-BAEF06E9E16E}"/>
            </a:ext>
          </a:extLst>
        </xdr:cNvPr>
        <xdr:cNvGrpSpPr>
          <a:grpSpLocks noChangeAspect="1"/>
        </xdr:cNvGrpSpPr>
      </xdr:nvGrpSpPr>
      <xdr:grpSpPr>
        <a:xfrm>
          <a:off x="8610758" y="28650786"/>
          <a:ext cx="826377" cy="590133"/>
          <a:chOff x="7112003" y="2892425"/>
          <a:chExt cx="873125" cy="584984"/>
        </a:xfrm>
      </xdr:grpSpPr>
      <xdr:sp macro="" textlink="">
        <xdr:nvSpPr>
          <xdr:cNvPr id="125" name="フローチャート: 磁気ディスク 124">
            <a:extLst>
              <a:ext uri="{FF2B5EF4-FFF2-40B4-BE49-F238E27FC236}">
                <a16:creationId xmlns:a16="http://schemas.microsoft.com/office/drawing/2014/main" id="{94DFBA6D-5889-B0E2-B70B-A27DB62547F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6" name="正方形/長方形 125">
            <a:extLst>
              <a:ext uri="{FF2B5EF4-FFF2-40B4-BE49-F238E27FC236}">
                <a16:creationId xmlns:a16="http://schemas.microsoft.com/office/drawing/2014/main" id="{2D1F0E40-E4E4-021B-3772-EA7FE4EF8B1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26060</xdr:colOff>
      <xdr:row>164</xdr:row>
      <xdr:rowOff>129200</xdr:rowOff>
    </xdr:from>
    <xdr:to>
      <xdr:col>47</xdr:col>
      <xdr:colOff>196512</xdr:colOff>
      <xdr:row>164</xdr:row>
      <xdr:rowOff>134125</xdr:rowOff>
    </xdr:to>
    <xdr:cxnSp macro="">
      <xdr:nvCxnSpPr>
        <xdr:cNvPr id="127" name="直線矢印コネクタ 126">
          <a:extLst>
            <a:ext uri="{FF2B5EF4-FFF2-40B4-BE49-F238E27FC236}">
              <a16:creationId xmlns:a16="http://schemas.microsoft.com/office/drawing/2014/main" id="{3E7837D0-1E7C-4BA8-9553-14B2F2839520}"/>
            </a:ext>
          </a:extLst>
        </xdr:cNvPr>
        <xdr:cNvCxnSpPr>
          <a:stCxn id="122" idx="3"/>
          <a:endCxn id="125" idx="2"/>
        </xdr:cNvCxnSpPr>
      </xdr:nvCxnSpPr>
      <xdr:spPr>
        <a:xfrm>
          <a:off x="6230010" y="20099950"/>
          <a:ext cx="1970677" cy="810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31110</xdr:colOff>
      <xdr:row>190</xdr:row>
      <xdr:rowOff>144947</xdr:rowOff>
    </xdr:from>
    <xdr:to>
      <xdr:col>51</xdr:col>
      <xdr:colOff>159125</xdr:colOff>
      <xdr:row>194</xdr:row>
      <xdr:rowOff>48177</xdr:rowOff>
    </xdr:to>
    <xdr:grpSp>
      <xdr:nvGrpSpPr>
        <xdr:cNvPr id="128" name="グループ化 127">
          <a:extLst>
            <a:ext uri="{FF2B5EF4-FFF2-40B4-BE49-F238E27FC236}">
              <a16:creationId xmlns:a16="http://schemas.microsoft.com/office/drawing/2014/main" id="{80C1B68D-C7FA-4FE5-8C54-91F513EBB49E}"/>
            </a:ext>
          </a:extLst>
        </xdr:cNvPr>
        <xdr:cNvGrpSpPr>
          <a:grpSpLocks noChangeAspect="1"/>
        </xdr:cNvGrpSpPr>
      </xdr:nvGrpSpPr>
      <xdr:grpSpPr>
        <a:xfrm>
          <a:off x="8536935" y="33396722"/>
          <a:ext cx="851915" cy="589030"/>
          <a:chOff x="7112003" y="2892425"/>
          <a:chExt cx="873125" cy="584984"/>
        </a:xfrm>
      </xdr:grpSpPr>
      <xdr:sp macro="" textlink="">
        <xdr:nvSpPr>
          <xdr:cNvPr id="129" name="フローチャート: 磁気ディスク 128">
            <a:extLst>
              <a:ext uri="{FF2B5EF4-FFF2-40B4-BE49-F238E27FC236}">
                <a16:creationId xmlns:a16="http://schemas.microsoft.com/office/drawing/2014/main" id="{E41D22B4-9979-BF50-B350-1D82E74C420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30" name="正方形/長方形 129">
            <a:extLst>
              <a:ext uri="{FF2B5EF4-FFF2-40B4-BE49-F238E27FC236}">
                <a16:creationId xmlns:a16="http://schemas.microsoft.com/office/drawing/2014/main" id="{5189F159-769D-14F2-B040-4CDC25ACC0D5}"/>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30</xdr:col>
      <xdr:colOff>187668</xdr:colOff>
      <xdr:row>192</xdr:row>
      <xdr:rowOff>62073</xdr:rowOff>
    </xdr:from>
    <xdr:to>
      <xdr:col>47</xdr:col>
      <xdr:colOff>129039</xdr:colOff>
      <xdr:row>192</xdr:row>
      <xdr:rowOff>72008</xdr:rowOff>
    </xdr:to>
    <xdr:cxnSp macro="">
      <xdr:nvCxnSpPr>
        <xdr:cNvPr id="131" name="直線矢印コネクタ 130">
          <a:extLst>
            <a:ext uri="{FF2B5EF4-FFF2-40B4-BE49-F238E27FC236}">
              <a16:creationId xmlns:a16="http://schemas.microsoft.com/office/drawing/2014/main" id="{663CBDA2-F4B2-4617-AC52-FE816EE6EE32}"/>
            </a:ext>
          </a:extLst>
        </xdr:cNvPr>
        <xdr:cNvCxnSpPr>
          <a:stCxn id="30" idx="3"/>
          <a:endCxn id="129" idx="2"/>
        </xdr:cNvCxnSpPr>
      </xdr:nvCxnSpPr>
      <xdr:spPr>
        <a:xfrm>
          <a:off x="6188418" y="23811073"/>
          <a:ext cx="1938446" cy="35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171114</xdr:colOff>
      <xdr:row>212</xdr:row>
      <xdr:rowOff>13804</xdr:rowOff>
    </xdr:from>
    <xdr:to>
      <xdr:col>30</xdr:col>
      <xdr:colOff>79719</xdr:colOff>
      <xdr:row>213</xdr:row>
      <xdr:rowOff>118345</xdr:rowOff>
    </xdr:to>
    <xdr:sp macro="" textlink="">
      <xdr:nvSpPr>
        <xdr:cNvPr id="132" name="フローチャート: 端子 26">
          <a:extLst>
            <a:ext uri="{FF2B5EF4-FFF2-40B4-BE49-F238E27FC236}">
              <a16:creationId xmlns:a16="http://schemas.microsoft.com/office/drawing/2014/main" id="{ED228F06-871E-41BB-8911-31B5C155BAAE}"/>
            </a:ext>
          </a:extLst>
        </xdr:cNvPr>
        <xdr:cNvSpPr/>
      </xdr:nvSpPr>
      <xdr:spPr>
        <a:xfrm>
          <a:off x="5371764" y="26328204"/>
          <a:ext cx="711880" cy="28234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179457</xdr:colOff>
      <xdr:row>216</xdr:row>
      <xdr:rowOff>67831</xdr:rowOff>
    </xdr:from>
    <xdr:to>
      <xdr:col>31</xdr:col>
      <xdr:colOff>66612</xdr:colOff>
      <xdr:row>219</xdr:row>
      <xdr:rowOff>93462</xdr:rowOff>
    </xdr:to>
    <xdr:grpSp>
      <xdr:nvGrpSpPr>
        <xdr:cNvPr id="133" name="グループ化 8">
          <a:extLst>
            <a:ext uri="{FF2B5EF4-FFF2-40B4-BE49-F238E27FC236}">
              <a16:creationId xmlns:a16="http://schemas.microsoft.com/office/drawing/2014/main" id="{1107D164-5DE4-42C3-95ED-040FA6E2BBD6}"/>
            </a:ext>
          </a:extLst>
        </xdr:cNvPr>
        <xdr:cNvGrpSpPr/>
      </xdr:nvGrpSpPr>
      <xdr:grpSpPr>
        <a:xfrm>
          <a:off x="4703832" y="37777306"/>
          <a:ext cx="973005" cy="539981"/>
          <a:chOff x="1633113" y="2430783"/>
          <a:chExt cx="908902" cy="422628"/>
        </a:xfrm>
      </xdr:grpSpPr>
      <xdr:sp macro="" textlink="">
        <xdr:nvSpPr>
          <xdr:cNvPr id="134" name="フローチャート: 定義済み処理 9">
            <a:extLst>
              <a:ext uri="{FF2B5EF4-FFF2-40B4-BE49-F238E27FC236}">
                <a16:creationId xmlns:a16="http://schemas.microsoft.com/office/drawing/2014/main" id="{0EC1C30A-D7B0-8E33-43B1-DE0298C4CBC7}"/>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5" name="正方形/長方形 48">
            <a:extLst>
              <a:ext uri="{FF2B5EF4-FFF2-40B4-BE49-F238E27FC236}">
                <a16:creationId xmlns:a16="http://schemas.microsoft.com/office/drawing/2014/main" id="{20B3F9FF-37C7-76A9-8583-7038390BF42F}"/>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振替</a:t>
            </a:r>
            <a:r>
              <a:rPr kumimoji="1" lang="ja-JP" altLang="ja-JP" sz="900">
                <a:solidFill>
                  <a:schemeClr val="dk1"/>
                </a:solidFill>
                <a:effectLst/>
                <a:latin typeface="+mn-lt"/>
                <a:ea typeface="+mn-ea"/>
                <a:cs typeface="+mn-cs"/>
              </a:rPr>
              <a:t>仕訳</a:t>
            </a:r>
            <a:r>
              <a:rPr kumimoji="1" lang="ja-JP" altLang="en-US" sz="900">
                <a:solidFill>
                  <a:schemeClr val="dk1"/>
                </a:solidFill>
                <a:effectLst/>
                <a:latin typeface="+mn-lt"/>
                <a:ea typeface="+mn-ea"/>
                <a:cs typeface="+mn-cs"/>
              </a:rPr>
              <a:t>の</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a:t>
            </a:r>
            <a:endParaRPr kumimoji="1" lang="ja-JP" altLang="en-US" sz="900"/>
          </a:p>
        </xdr:txBody>
      </xdr:sp>
    </xdr:grpSp>
    <xdr:clientData/>
  </xdr:twoCellAnchor>
  <xdr:twoCellAnchor>
    <xdr:from>
      <xdr:col>28</xdr:col>
      <xdr:colOff>125417</xdr:colOff>
      <xdr:row>213</xdr:row>
      <xdr:rowOff>118345</xdr:rowOff>
    </xdr:from>
    <xdr:to>
      <xdr:col>28</xdr:col>
      <xdr:colOff>127212</xdr:colOff>
      <xdr:row>216</xdr:row>
      <xdr:rowOff>94314</xdr:rowOff>
    </xdr:to>
    <xdr:cxnSp macro="">
      <xdr:nvCxnSpPr>
        <xdr:cNvPr id="137" name="直線矢印コネクタ 136">
          <a:extLst>
            <a:ext uri="{FF2B5EF4-FFF2-40B4-BE49-F238E27FC236}">
              <a16:creationId xmlns:a16="http://schemas.microsoft.com/office/drawing/2014/main" id="{F21AE5B9-7096-40AC-9CE7-A5459AAC95F4}"/>
            </a:ext>
          </a:extLst>
        </xdr:cNvPr>
        <xdr:cNvCxnSpPr>
          <a:stCxn id="132" idx="2"/>
          <a:endCxn id="134" idx="0"/>
        </xdr:cNvCxnSpPr>
      </xdr:nvCxnSpPr>
      <xdr:spPr>
        <a:xfrm>
          <a:off x="5722942" y="26610545"/>
          <a:ext cx="1795" cy="4871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127207</xdr:colOff>
      <xdr:row>219</xdr:row>
      <xdr:rowOff>62232</xdr:rowOff>
    </xdr:from>
    <xdr:to>
      <xdr:col>28</xdr:col>
      <xdr:colOff>127207</xdr:colOff>
      <xdr:row>224</xdr:row>
      <xdr:rowOff>41001</xdr:rowOff>
    </xdr:to>
    <xdr:cxnSp macro="">
      <xdr:nvCxnSpPr>
        <xdr:cNvPr id="138" name="直線矢印コネクタ 137">
          <a:extLst>
            <a:ext uri="{FF2B5EF4-FFF2-40B4-BE49-F238E27FC236}">
              <a16:creationId xmlns:a16="http://schemas.microsoft.com/office/drawing/2014/main" id="{6598D772-57D5-451A-9EFD-D4EEEB6930F4}"/>
            </a:ext>
          </a:extLst>
        </xdr:cNvPr>
        <xdr:cNvCxnSpPr>
          <a:cxnSpLocks/>
          <a:stCxn id="134" idx="2"/>
          <a:endCxn id="459" idx="0"/>
        </xdr:cNvCxnSpPr>
      </xdr:nvCxnSpPr>
      <xdr:spPr>
        <a:xfrm>
          <a:off x="5724614" y="36621769"/>
          <a:ext cx="0" cy="86071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68461</xdr:colOff>
      <xdr:row>216</xdr:row>
      <xdr:rowOff>68114</xdr:rowOff>
    </xdr:from>
    <xdr:to>
      <xdr:col>51</xdr:col>
      <xdr:colOff>190126</xdr:colOff>
      <xdr:row>219</xdr:row>
      <xdr:rowOff>143898</xdr:rowOff>
    </xdr:to>
    <xdr:grpSp>
      <xdr:nvGrpSpPr>
        <xdr:cNvPr id="139" name="グループ化 138">
          <a:extLst>
            <a:ext uri="{FF2B5EF4-FFF2-40B4-BE49-F238E27FC236}">
              <a16:creationId xmlns:a16="http://schemas.microsoft.com/office/drawing/2014/main" id="{DBD6C489-A601-418B-99C8-0998D801D548}"/>
            </a:ext>
          </a:extLst>
        </xdr:cNvPr>
        <xdr:cNvGrpSpPr>
          <a:grpSpLocks noChangeAspect="1"/>
        </xdr:cNvGrpSpPr>
      </xdr:nvGrpSpPr>
      <xdr:grpSpPr>
        <a:xfrm>
          <a:off x="8574286" y="37777589"/>
          <a:ext cx="836040" cy="590134"/>
          <a:chOff x="7112003" y="2892425"/>
          <a:chExt cx="873125" cy="584984"/>
        </a:xfrm>
      </xdr:grpSpPr>
      <xdr:sp macro="" textlink="">
        <xdr:nvSpPr>
          <xdr:cNvPr id="140" name="フローチャート: 磁気ディスク 139">
            <a:extLst>
              <a:ext uri="{FF2B5EF4-FFF2-40B4-BE49-F238E27FC236}">
                <a16:creationId xmlns:a16="http://schemas.microsoft.com/office/drawing/2014/main" id="{8D4A3169-BEB7-79CF-1592-AB19D9354EE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1" name="正方形/長方形 140">
            <a:extLst>
              <a:ext uri="{FF2B5EF4-FFF2-40B4-BE49-F238E27FC236}">
                <a16:creationId xmlns:a16="http://schemas.microsoft.com/office/drawing/2014/main" id="{3D1B71C2-4A1A-CD8C-E4C0-A896410314AF}"/>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a:p>
            <a:pPr algn="ctr"/>
            <a:r>
              <a:rPr kumimoji="1" lang="ja-JP" altLang="en-US" sz="900"/>
              <a:t>アップロード</a:t>
            </a:r>
            <a:endParaRPr kumimoji="1" lang="en-US" altLang="ja-JP" sz="900"/>
          </a:p>
        </xdr:txBody>
      </xdr:sp>
    </xdr:grpSp>
    <xdr:clientData/>
  </xdr:twoCellAnchor>
  <xdr:twoCellAnchor>
    <xdr:from>
      <xdr:col>31</xdr:col>
      <xdr:colOff>18506</xdr:colOff>
      <xdr:row>217</xdr:row>
      <xdr:rowOff>164696</xdr:rowOff>
    </xdr:from>
    <xdr:to>
      <xdr:col>47</xdr:col>
      <xdr:colOff>160040</xdr:colOff>
      <xdr:row>217</xdr:row>
      <xdr:rowOff>167729</xdr:rowOff>
    </xdr:to>
    <xdr:cxnSp macro="">
      <xdr:nvCxnSpPr>
        <xdr:cNvPr id="142" name="直線矢印コネクタ 141">
          <a:extLst>
            <a:ext uri="{FF2B5EF4-FFF2-40B4-BE49-F238E27FC236}">
              <a16:creationId xmlns:a16="http://schemas.microsoft.com/office/drawing/2014/main" id="{278381DF-CEBD-4483-9184-4F1603CBD352}"/>
            </a:ext>
          </a:extLst>
        </xdr:cNvPr>
        <xdr:cNvCxnSpPr>
          <a:stCxn id="134" idx="3"/>
          <a:endCxn id="140" idx="2"/>
        </xdr:cNvCxnSpPr>
      </xdr:nvCxnSpPr>
      <xdr:spPr>
        <a:xfrm>
          <a:off x="6219281" y="27336346"/>
          <a:ext cx="1944934" cy="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142106</xdr:colOff>
      <xdr:row>256</xdr:row>
      <xdr:rowOff>131412</xdr:rowOff>
    </xdr:from>
    <xdr:to>
      <xdr:col>31</xdr:col>
      <xdr:colOff>35611</xdr:colOff>
      <xdr:row>259</xdr:row>
      <xdr:rowOff>163393</xdr:rowOff>
    </xdr:to>
    <xdr:grpSp>
      <xdr:nvGrpSpPr>
        <xdr:cNvPr id="143" name="グループ化 8">
          <a:extLst>
            <a:ext uri="{FF2B5EF4-FFF2-40B4-BE49-F238E27FC236}">
              <a16:creationId xmlns:a16="http://schemas.microsoft.com/office/drawing/2014/main" id="{D81729EB-773A-4701-BD53-DF9C80CA879F}"/>
            </a:ext>
          </a:extLst>
        </xdr:cNvPr>
        <xdr:cNvGrpSpPr/>
      </xdr:nvGrpSpPr>
      <xdr:grpSpPr>
        <a:xfrm>
          <a:off x="4666481" y="44698887"/>
          <a:ext cx="979355" cy="546331"/>
          <a:chOff x="1633113" y="2430783"/>
          <a:chExt cx="908902" cy="422628"/>
        </a:xfrm>
      </xdr:grpSpPr>
      <xdr:sp macro="" textlink="">
        <xdr:nvSpPr>
          <xdr:cNvPr id="144" name="フローチャート: 定義済み処理 9">
            <a:extLst>
              <a:ext uri="{FF2B5EF4-FFF2-40B4-BE49-F238E27FC236}">
                <a16:creationId xmlns:a16="http://schemas.microsoft.com/office/drawing/2014/main" id="{F4FEC87D-5AAD-2F75-8310-2B08065C2772}"/>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5" name="正方形/長方形 48">
            <a:extLst>
              <a:ext uri="{FF2B5EF4-FFF2-40B4-BE49-F238E27FC236}">
                <a16:creationId xmlns:a16="http://schemas.microsoft.com/office/drawing/2014/main" id="{CCC12993-F5E1-C5B3-9DDD-335A3BEA4F39}"/>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減価償却計上</a:t>
            </a:r>
            <a:endParaRPr kumimoji="1" lang="en-US" altLang="ja-JP" sz="900"/>
          </a:p>
          <a:p>
            <a:pPr algn="ctr"/>
            <a:r>
              <a:rPr kumimoji="1" lang="ja-JP" altLang="ja-JP" sz="900">
                <a:solidFill>
                  <a:schemeClr val="dk1"/>
                </a:solidFill>
                <a:effectLst/>
                <a:latin typeface="+mn-lt"/>
                <a:ea typeface="+mn-ea"/>
                <a:cs typeface="+mn-cs"/>
              </a:rPr>
              <a:t>仕訳の作成</a:t>
            </a:r>
            <a:r>
              <a:rPr kumimoji="1" lang="ja-JP" altLang="en-US" sz="900">
                <a:solidFill>
                  <a:schemeClr val="dk1"/>
                </a:solidFill>
                <a:effectLst/>
                <a:latin typeface="+mn-lt"/>
                <a:ea typeface="+mn-ea"/>
                <a:cs typeface="+mn-cs"/>
              </a:rPr>
              <a:t>・転記</a:t>
            </a:r>
            <a:endParaRPr kumimoji="1" lang="ja-JP" altLang="en-US" sz="900"/>
          </a:p>
        </xdr:txBody>
      </xdr:sp>
    </xdr:grpSp>
    <xdr:clientData/>
  </xdr:twoCellAnchor>
  <xdr:twoCellAnchor>
    <xdr:from>
      <xdr:col>47</xdr:col>
      <xdr:colOff>31110</xdr:colOff>
      <xdr:row>256</xdr:row>
      <xdr:rowOff>144947</xdr:rowOff>
    </xdr:from>
    <xdr:to>
      <xdr:col>51</xdr:col>
      <xdr:colOff>159125</xdr:colOff>
      <xdr:row>260</xdr:row>
      <xdr:rowOff>48177</xdr:rowOff>
    </xdr:to>
    <xdr:grpSp>
      <xdr:nvGrpSpPr>
        <xdr:cNvPr id="146" name="グループ化 145">
          <a:extLst>
            <a:ext uri="{FF2B5EF4-FFF2-40B4-BE49-F238E27FC236}">
              <a16:creationId xmlns:a16="http://schemas.microsoft.com/office/drawing/2014/main" id="{5059499F-297E-45F6-8C29-25ABEB55D60D}"/>
            </a:ext>
          </a:extLst>
        </xdr:cNvPr>
        <xdr:cNvGrpSpPr>
          <a:grpSpLocks noChangeAspect="1"/>
        </xdr:cNvGrpSpPr>
      </xdr:nvGrpSpPr>
      <xdr:grpSpPr>
        <a:xfrm>
          <a:off x="8536935" y="44712422"/>
          <a:ext cx="851915" cy="589030"/>
          <a:chOff x="7112003" y="2892425"/>
          <a:chExt cx="873125" cy="584984"/>
        </a:xfrm>
      </xdr:grpSpPr>
      <xdr:sp macro="" textlink="">
        <xdr:nvSpPr>
          <xdr:cNvPr id="147" name="フローチャート: 磁気ディスク 146">
            <a:extLst>
              <a:ext uri="{FF2B5EF4-FFF2-40B4-BE49-F238E27FC236}">
                <a16:creationId xmlns:a16="http://schemas.microsoft.com/office/drawing/2014/main" id="{9FA46377-A17E-EFD5-EE8D-CC8B6381574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8" name="正方形/長方形 147">
            <a:extLst>
              <a:ext uri="{FF2B5EF4-FFF2-40B4-BE49-F238E27FC236}">
                <a16:creationId xmlns:a16="http://schemas.microsoft.com/office/drawing/2014/main" id="{B7D0A535-B577-98DD-3364-360F8C98266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30</xdr:col>
      <xdr:colOff>187668</xdr:colOff>
      <xdr:row>258</xdr:row>
      <xdr:rowOff>62073</xdr:rowOff>
    </xdr:from>
    <xdr:to>
      <xdr:col>47</xdr:col>
      <xdr:colOff>129039</xdr:colOff>
      <xdr:row>258</xdr:row>
      <xdr:rowOff>72008</xdr:rowOff>
    </xdr:to>
    <xdr:cxnSp macro="">
      <xdr:nvCxnSpPr>
        <xdr:cNvPr id="149" name="直線矢印コネクタ 148">
          <a:extLst>
            <a:ext uri="{FF2B5EF4-FFF2-40B4-BE49-F238E27FC236}">
              <a16:creationId xmlns:a16="http://schemas.microsoft.com/office/drawing/2014/main" id="{9F3DF2ED-C5A6-4B1B-82FA-10B037E52148}"/>
            </a:ext>
          </a:extLst>
        </xdr:cNvPr>
        <xdr:cNvCxnSpPr>
          <a:cxnSpLocks/>
          <a:stCxn id="144" idx="3"/>
          <a:endCxn id="147" idx="2"/>
        </xdr:cNvCxnSpPr>
      </xdr:nvCxnSpPr>
      <xdr:spPr>
        <a:xfrm>
          <a:off x="6188418" y="31354873"/>
          <a:ext cx="1938446" cy="358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127581</xdr:colOff>
      <xdr:row>288</xdr:row>
      <xdr:rowOff>6901</xdr:rowOff>
    </xdr:from>
    <xdr:to>
      <xdr:col>30</xdr:col>
      <xdr:colOff>37107</xdr:colOff>
      <xdr:row>289</xdr:row>
      <xdr:rowOff>111442</xdr:rowOff>
    </xdr:to>
    <xdr:sp macro="" textlink="">
      <xdr:nvSpPr>
        <xdr:cNvPr id="150" name="フローチャート: 端子 26">
          <a:extLst>
            <a:ext uri="{FF2B5EF4-FFF2-40B4-BE49-F238E27FC236}">
              <a16:creationId xmlns:a16="http://schemas.microsoft.com/office/drawing/2014/main" id="{05BA1827-555A-42A3-8AD9-360A736268B5}"/>
            </a:ext>
          </a:extLst>
        </xdr:cNvPr>
        <xdr:cNvSpPr/>
      </xdr:nvSpPr>
      <xdr:spPr>
        <a:xfrm>
          <a:off x="5325056" y="33871451"/>
          <a:ext cx="712801" cy="27281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28</xdr:col>
      <xdr:colOff>82344</xdr:colOff>
      <xdr:row>289</xdr:row>
      <xdr:rowOff>111442</xdr:rowOff>
    </xdr:from>
    <xdr:to>
      <xdr:col>28</xdr:col>
      <xdr:colOff>85798</xdr:colOff>
      <xdr:row>293</xdr:row>
      <xdr:rowOff>24609</xdr:rowOff>
    </xdr:to>
    <xdr:cxnSp macro="">
      <xdr:nvCxnSpPr>
        <xdr:cNvPr id="151" name="直線矢印コネクタ 150">
          <a:extLst>
            <a:ext uri="{FF2B5EF4-FFF2-40B4-BE49-F238E27FC236}">
              <a16:creationId xmlns:a16="http://schemas.microsoft.com/office/drawing/2014/main" id="{2BA8160B-C90E-4F16-8E4D-890F3C91FFE3}"/>
            </a:ext>
          </a:extLst>
        </xdr:cNvPr>
        <xdr:cNvCxnSpPr>
          <a:cxnSpLocks/>
          <a:stCxn id="150" idx="2"/>
          <a:endCxn id="153" idx="0"/>
        </xdr:cNvCxnSpPr>
      </xdr:nvCxnSpPr>
      <xdr:spPr>
        <a:xfrm>
          <a:off x="5686219" y="34144267"/>
          <a:ext cx="0" cy="60214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144393</xdr:colOff>
      <xdr:row>292</xdr:row>
      <xdr:rowOff>164330</xdr:rowOff>
    </xdr:from>
    <xdr:to>
      <xdr:col>31</xdr:col>
      <xdr:colOff>31548</xdr:colOff>
      <xdr:row>296</xdr:row>
      <xdr:rowOff>30107</xdr:rowOff>
    </xdr:to>
    <xdr:grpSp>
      <xdr:nvGrpSpPr>
        <xdr:cNvPr id="152" name="グループ化 8">
          <a:extLst>
            <a:ext uri="{FF2B5EF4-FFF2-40B4-BE49-F238E27FC236}">
              <a16:creationId xmlns:a16="http://schemas.microsoft.com/office/drawing/2014/main" id="{3C0F716D-488B-4008-8CF9-F7C3722E1B6C}"/>
            </a:ext>
          </a:extLst>
        </xdr:cNvPr>
        <xdr:cNvGrpSpPr/>
      </xdr:nvGrpSpPr>
      <xdr:grpSpPr>
        <a:xfrm>
          <a:off x="4668768" y="50904005"/>
          <a:ext cx="973005" cy="551577"/>
          <a:chOff x="1633113" y="2430783"/>
          <a:chExt cx="908902" cy="422628"/>
        </a:xfrm>
      </xdr:grpSpPr>
      <xdr:sp macro="" textlink="">
        <xdr:nvSpPr>
          <xdr:cNvPr id="153" name="フローチャート: 定義済み処理 9">
            <a:extLst>
              <a:ext uri="{FF2B5EF4-FFF2-40B4-BE49-F238E27FC236}">
                <a16:creationId xmlns:a16="http://schemas.microsoft.com/office/drawing/2014/main" id="{C38085D5-7BA9-7897-D8A0-4BFF952517C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54" name="正方形/長方形 48">
            <a:extLst>
              <a:ext uri="{FF2B5EF4-FFF2-40B4-BE49-F238E27FC236}">
                <a16:creationId xmlns:a16="http://schemas.microsoft.com/office/drawing/2014/main" id="{BEE2A403-871A-9041-E124-071AACFED5EE}"/>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長短振替登録</a:t>
            </a:r>
            <a:endParaRPr kumimoji="1" lang="en-US" altLang="ja-JP" sz="900"/>
          </a:p>
        </xdr:txBody>
      </xdr:sp>
    </xdr:grpSp>
    <xdr:clientData/>
  </xdr:twoCellAnchor>
  <xdr:twoCellAnchor>
    <xdr:from>
      <xdr:col>47</xdr:col>
      <xdr:colOff>20697</xdr:colOff>
      <xdr:row>292</xdr:row>
      <xdr:rowOff>170963</xdr:rowOff>
    </xdr:from>
    <xdr:to>
      <xdr:col>51</xdr:col>
      <xdr:colOff>142362</xdr:colOff>
      <xdr:row>296</xdr:row>
      <xdr:rowOff>74193</xdr:rowOff>
    </xdr:to>
    <xdr:grpSp>
      <xdr:nvGrpSpPr>
        <xdr:cNvPr id="155" name="グループ化 154">
          <a:extLst>
            <a:ext uri="{FF2B5EF4-FFF2-40B4-BE49-F238E27FC236}">
              <a16:creationId xmlns:a16="http://schemas.microsoft.com/office/drawing/2014/main" id="{3BBAE8E9-A45E-40FE-BCB7-B240818D1473}"/>
            </a:ext>
          </a:extLst>
        </xdr:cNvPr>
        <xdr:cNvGrpSpPr>
          <a:grpSpLocks noChangeAspect="1"/>
        </xdr:cNvGrpSpPr>
      </xdr:nvGrpSpPr>
      <xdr:grpSpPr>
        <a:xfrm>
          <a:off x="8526522" y="50910638"/>
          <a:ext cx="845565" cy="589030"/>
          <a:chOff x="7112003" y="2892425"/>
          <a:chExt cx="873125" cy="584984"/>
        </a:xfrm>
      </xdr:grpSpPr>
      <xdr:sp macro="" textlink="">
        <xdr:nvSpPr>
          <xdr:cNvPr id="156" name="フローチャート: 磁気ディスク 155">
            <a:extLst>
              <a:ext uri="{FF2B5EF4-FFF2-40B4-BE49-F238E27FC236}">
                <a16:creationId xmlns:a16="http://schemas.microsoft.com/office/drawing/2014/main" id="{11B00B03-CB99-7792-29F6-74F57BD1A09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57" name="正方形/長方形 156">
            <a:extLst>
              <a:ext uri="{FF2B5EF4-FFF2-40B4-BE49-F238E27FC236}">
                <a16:creationId xmlns:a16="http://schemas.microsoft.com/office/drawing/2014/main" id="{8B92F562-7C9B-046F-BFEB-513F3712C969}"/>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177255</xdr:colOff>
      <xdr:row>294</xdr:row>
      <xdr:rowOff>94990</xdr:rowOff>
    </xdr:from>
    <xdr:to>
      <xdr:col>47</xdr:col>
      <xdr:colOff>118626</xdr:colOff>
      <xdr:row>294</xdr:row>
      <xdr:rowOff>98023</xdr:rowOff>
    </xdr:to>
    <xdr:cxnSp macro="">
      <xdr:nvCxnSpPr>
        <xdr:cNvPr id="158" name="直線矢印コネクタ 157">
          <a:extLst>
            <a:ext uri="{FF2B5EF4-FFF2-40B4-BE49-F238E27FC236}">
              <a16:creationId xmlns:a16="http://schemas.microsoft.com/office/drawing/2014/main" id="{23189316-CC7C-413E-928A-B3FE54BD1C39}"/>
            </a:ext>
          </a:extLst>
        </xdr:cNvPr>
        <xdr:cNvCxnSpPr>
          <a:cxnSpLocks/>
          <a:stCxn id="153" idx="3"/>
          <a:endCxn id="156" idx="2"/>
        </xdr:cNvCxnSpPr>
      </xdr:nvCxnSpPr>
      <xdr:spPr>
        <a:xfrm>
          <a:off x="6181180" y="34985065"/>
          <a:ext cx="1941621" cy="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144393</xdr:colOff>
      <xdr:row>299</xdr:row>
      <xdr:rowOff>26287</xdr:rowOff>
    </xdr:from>
    <xdr:to>
      <xdr:col>31</xdr:col>
      <xdr:colOff>31548</xdr:colOff>
      <xdr:row>302</xdr:row>
      <xdr:rowOff>58267</xdr:rowOff>
    </xdr:to>
    <xdr:grpSp>
      <xdr:nvGrpSpPr>
        <xdr:cNvPr id="159" name="グループ化 8">
          <a:extLst>
            <a:ext uri="{FF2B5EF4-FFF2-40B4-BE49-F238E27FC236}">
              <a16:creationId xmlns:a16="http://schemas.microsoft.com/office/drawing/2014/main" id="{55F672B3-81A8-4055-AEB0-3BB3EA98A1C5}"/>
            </a:ext>
          </a:extLst>
        </xdr:cNvPr>
        <xdr:cNvGrpSpPr/>
      </xdr:nvGrpSpPr>
      <xdr:grpSpPr>
        <a:xfrm>
          <a:off x="4668768" y="51966112"/>
          <a:ext cx="973005" cy="546330"/>
          <a:chOff x="1633113" y="2430783"/>
          <a:chExt cx="908902" cy="422628"/>
        </a:xfrm>
      </xdr:grpSpPr>
      <xdr:sp macro="" textlink="">
        <xdr:nvSpPr>
          <xdr:cNvPr id="160" name="フローチャート: 定義済み処理 9">
            <a:extLst>
              <a:ext uri="{FF2B5EF4-FFF2-40B4-BE49-F238E27FC236}">
                <a16:creationId xmlns:a16="http://schemas.microsoft.com/office/drawing/2014/main" id="{78CE0152-D713-B66B-E8EA-E3E3E261D4F2}"/>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1" name="正方形/長方形 48">
            <a:extLst>
              <a:ext uri="{FF2B5EF4-FFF2-40B4-BE49-F238E27FC236}">
                <a16:creationId xmlns:a16="http://schemas.microsoft.com/office/drawing/2014/main" id="{83E0710F-5799-3A67-F02E-DAFBCA92A63A}"/>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長短振替仕訳</a:t>
            </a:r>
            <a:endParaRPr kumimoji="1" lang="en-US" altLang="ja-JP" sz="900"/>
          </a:p>
          <a:p>
            <a:pPr algn="ctr"/>
            <a:r>
              <a:rPr kumimoji="1" lang="ja-JP" altLang="en-US" sz="900"/>
              <a:t>承認依頼</a:t>
            </a:r>
            <a:endParaRPr kumimoji="1" lang="en-US" altLang="ja-JP" sz="900"/>
          </a:p>
        </xdr:txBody>
      </xdr:sp>
    </xdr:grpSp>
    <xdr:clientData/>
  </xdr:twoCellAnchor>
  <xdr:twoCellAnchor>
    <xdr:from>
      <xdr:col>47</xdr:col>
      <xdr:colOff>20697</xdr:colOff>
      <xdr:row>299</xdr:row>
      <xdr:rowOff>26018</xdr:rowOff>
    </xdr:from>
    <xdr:to>
      <xdr:col>51</xdr:col>
      <xdr:colOff>142362</xdr:colOff>
      <xdr:row>302</xdr:row>
      <xdr:rowOff>101801</xdr:rowOff>
    </xdr:to>
    <xdr:grpSp>
      <xdr:nvGrpSpPr>
        <xdr:cNvPr id="162" name="グループ化 161">
          <a:extLst>
            <a:ext uri="{FF2B5EF4-FFF2-40B4-BE49-F238E27FC236}">
              <a16:creationId xmlns:a16="http://schemas.microsoft.com/office/drawing/2014/main" id="{03948FE6-E1DC-451E-BE46-F23A6D2FF7C2}"/>
            </a:ext>
          </a:extLst>
        </xdr:cNvPr>
        <xdr:cNvGrpSpPr>
          <a:grpSpLocks noChangeAspect="1"/>
        </xdr:cNvGrpSpPr>
      </xdr:nvGrpSpPr>
      <xdr:grpSpPr>
        <a:xfrm>
          <a:off x="8526522" y="51965843"/>
          <a:ext cx="845565" cy="590133"/>
          <a:chOff x="7112003" y="2892425"/>
          <a:chExt cx="873125" cy="584984"/>
        </a:xfrm>
      </xdr:grpSpPr>
      <xdr:sp macro="" textlink="">
        <xdr:nvSpPr>
          <xdr:cNvPr id="163" name="フローチャート: 磁気ディスク 162">
            <a:extLst>
              <a:ext uri="{FF2B5EF4-FFF2-40B4-BE49-F238E27FC236}">
                <a16:creationId xmlns:a16="http://schemas.microsoft.com/office/drawing/2014/main" id="{E4960AFD-738E-06B8-EADA-0A6FF031DF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64" name="正方形/長方形 163">
            <a:extLst>
              <a:ext uri="{FF2B5EF4-FFF2-40B4-BE49-F238E27FC236}">
                <a16:creationId xmlns:a16="http://schemas.microsoft.com/office/drawing/2014/main" id="{27F90471-C17E-7A9E-B050-08AFBBA92F9F}"/>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177255</xdr:colOff>
      <xdr:row>300</xdr:row>
      <xdr:rowOff>125632</xdr:rowOff>
    </xdr:from>
    <xdr:to>
      <xdr:col>47</xdr:col>
      <xdr:colOff>118626</xdr:colOff>
      <xdr:row>300</xdr:row>
      <xdr:rowOff>129501</xdr:rowOff>
    </xdr:to>
    <xdr:cxnSp macro="">
      <xdr:nvCxnSpPr>
        <xdr:cNvPr id="165" name="直線矢印コネクタ 164">
          <a:extLst>
            <a:ext uri="{FF2B5EF4-FFF2-40B4-BE49-F238E27FC236}">
              <a16:creationId xmlns:a16="http://schemas.microsoft.com/office/drawing/2014/main" id="{CB7C065E-C3C4-4363-83D3-2EBD4DF24924}"/>
            </a:ext>
          </a:extLst>
        </xdr:cNvPr>
        <xdr:cNvCxnSpPr>
          <a:cxnSpLocks/>
          <a:stCxn id="160" idx="3"/>
          <a:endCxn id="163" idx="2"/>
        </xdr:cNvCxnSpPr>
      </xdr:nvCxnSpPr>
      <xdr:spPr>
        <a:xfrm flipV="1">
          <a:off x="6181180" y="36041232"/>
          <a:ext cx="1941621" cy="386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85798</xdr:colOff>
      <xdr:row>295</xdr:row>
      <xdr:rowOff>165371</xdr:rowOff>
    </xdr:from>
    <xdr:to>
      <xdr:col>28</xdr:col>
      <xdr:colOff>85798</xdr:colOff>
      <xdr:row>299</xdr:row>
      <xdr:rowOff>59120</xdr:rowOff>
    </xdr:to>
    <xdr:cxnSp macro="">
      <xdr:nvCxnSpPr>
        <xdr:cNvPr id="166" name="直線矢印コネクタ 165">
          <a:extLst>
            <a:ext uri="{FF2B5EF4-FFF2-40B4-BE49-F238E27FC236}">
              <a16:creationId xmlns:a16="http://schemas.microsoft.com/office/drawing/2014/main" id="{38F87BBC-C7D2-49F4-BEC1-6A19AE49A591}"/>
            </a:ext>
          </a:extLst>
        </xdr:cNvPr>
        <xdr:cNvCxnSpPr>
          <a:cxnSpLocks/>
          <a:stCxn id="153" idx="2"/>
          <a:endCxn id="160" idx="0"/>
        </xdr:cNvCxnSpPr>
      </xdr:nvCxnSpPr>
      <xdr:spPr>
        <a:xfrm>
          <a:off x="5683323" y="35223721"/>
          <a:ext cx="0" cy="58272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193260</xdr:colOff>
      <xdr:row>306</xdr:row>
      <xdr:rowOff>40091</xdr:rowOff>
    </xdr:from>
    <xdr:to>
      <xdr:col>38</xdr:col>
      <xdr:colOff>86765</xdr:colOff>
      <xdr:row>309</xdr:row>
      <xdr:rowOff>65722</xdr:rowOff>
    </xdr:to>
    <xdr:grpSp>
      <xdr:nvGrpSpPr>
        <xdr:cNvPr id="167" name="グループ化 8">
          <a:extLst>
            <a:ext uri="{FF2B5EF4-FFF2-40B4-BE49-F238E27FC236}">
              <a16:creationId xmlns:a16="http://schemas.microsoft.com/office/drawing/2014/main" id="{86490B1D-74C9-442C-AC81-3EF4AF28476C}"/>
            </a:ext>
          </a:extLst>
        </xdr:cNvPr>
        <xdr:cNvGrpSpPr/>
      </xdr:nvGrpSpPr>
      <xdr:grpSpPr>
        <a:xfrm>
          <a:off x="5974935" y="53180066"/>
          <a:ext cx="988880" cy="539981"/>
          <a:chOff x="1633113" y="2430783"/>
          <a:chExt cx="908902" cy="422628"/>
        </a:xfrm>
      </xdr:grpSpPr>
      <xdr:sp macro="" textlink="">
        <xdr:nvSpPr>
          <xdr:cNvPr id="168" name="フローチャート: 定義済み処理 9">
            <a:extLst>
              <a:ext uri="{FF2B5EF4-FFF2-40B4-BE49-F238E27FC236}">
                <a16:creationId xmlns:a16="http://schemas.microsoft.com/office/drawing/2014/main" id="{A5B90A3D-EAC8-1106-8C42-0894800CC03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9" name="正方形/長方形 48">
            <a:extLst>
              <a:ext uri="{FF2B5EF4-FFF2-40B4-BE49-F238E27FC236}">
                <a16:creationId xmlns:a16="http://schemas.microsoft.com/office/drawing/2014/main" id="{00CF43CF-B5F5-EA05-A1C1-AC2536E6D5E2}"/>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長短振替仕訳</a:t>
            </a:r>
            <a:endParaRPr kumimoji="1" lang="en-US" altLang="ja-JP" sz="900"/>
          </a:p>
          <a:p>
            <a:pPr algn="ctr"/>
            <a:r>
              <a:rPr kumimoji="1" lang="ja-JP" altLang="en-US" sz="900"/>
              <a:t>承認</a:t>
            </a:r>
            <a:endParaRPr kumimoji="1" lang="en-US" altLang="ja-JP" sz="900"/>
          </a:p>
        </xdr:txBody>
      </xdr:sp>
    </xdr:grpSp>
    <xdr:clientData/>
  </xdr:twoCellAnchor>
  <xdr:twoCellAnchor>
    <xdr:from>
      <xdr:col>47</xdr:col>
      <xdr:colOff>103523</xdr:colOff>
      <xdr:row>306</xdr:row>
      <xdr:rowOff>39821</xdr:rowOff>
    </xdr:from>
    <xdr:to>
      <xdr:col>52</xdr:col>
      <xdr:colOff>31375</xdr:colOff>
      <xdr:row>309</xdr:row>
      <xdr:rowOff>115605</xdr:rowOff>
    </xdr:to>
    <xdr:grpSp>
      <xdr:nvGrpSpPr>
        <xdr:cNvPr id="170" name="グループ化 169">
          <a:extLst>
            <a:ext uri="{FF2B5EF4-FFF2-40B4-BE49-F238E27FC236}">
              <a16:creationId xmlns:a16="http://schemas.microsoft.com/office/drawing/2014/main" id="{240878B0-A3B8-411F-A4A8-10D23141C612}"/>
            </a:ext>
          </a:extLst>
        </xdr:cNvPr>
        <xdr:cNvGrpSpPr>
          <a:grpSpLocks noChangeAspect="1"/>
        </xdr:cNvGrpSpPr>
      </xdr:nvGrpSpPr>
      <xdr:grpSpPr>
        <a:xfrm>
          <a:off x="8609348" y="53179796"/>
          <a:ext cx="832727" cy="590134"/>
          <a:chOff x="7112003" y="2892425"/>
          <a:chExt cx="873125" cy="584984"/>
        </a:xfrm>
      </xdr:grpSpPr>
      <xdr:sp macro="" textlink="">
        <xdr:nvSpPr>
          <xdr:cNvPr id="171" name="フローチャート: 磁気ディスク 170">
            <a:extLst>
              <a:ext uri="{FF2B5EF4-FFF2-40B4-BE49-F238E27FC236}">
                <a16:creationId xmlns:a16="http://schemas.microsoft.com/office/drawing/2014/main" id="{823A8122-08CD-7DB7-E0D7-5041BBDDE2E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72" name="正方形/長方形 171">
            <a:extLst>
              <a:ext uri="{FF2B5EF4-FFF2-40B4-BE49-F238E27FC236}">
                <a16:creationId xmlns:a16="http://schemas.microsoft.com/office/drawing/2014/main" id="{4C0C5675-C366-CC69-94E4-0976D24D4902}"/>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38</xdr:col>
      <xdr:colOff>32309</xdr:colOff>
      <xdr:row>307</xdr:row>
      <xdr:rowOff>139436</xdr:rowOff>
    </xdr:from>
    <xdr:to>
      <xdr:col>48</xdr:col>
      <xdr:colOff>1289</xdr:colOff>
      <xdr:row>307</xdr:row>
      <xdr:rowOff>143306</xdr:rowOff>
    </xdr:to>
    <xdr:cxnSp macro="">
      <xdr:nvCxnSpPr>
        <xdr:cNvPr id="173" name="直線矢印コネクタ 172">
          <a:extLst>
            <a:ext uri="{FF2B5EF4-FFF2-40B4-BE49-F238E27FC236}">
              <a16:creationId xmlns:a16="http://schemas.microsoft.com/office/drawing/2014/main" id="{412EEC8A-E473-4491-B65D-A793135F9A78}"/>
            </a:ext>
          </a:extLst>
        </xdr:cNvPr>
        <xdr:cNvCxnSpPr>
          <a:cxnSpLocks/>
          <a:stCxn id="168" idx="3"/>
          <a:endCxn id="171" idx="2"/>
        </xdr:cNvCxnSpPr>
      </xdr:nvCxnSpPr>
      <xdr:spPr>
        <a:xfrm flipV="1">
          <a:off x="7630084" y="37261536"/>
          <a:ext cx="572230" cy="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85798</xdr:colOff>
      <xdr:row>302</xdr:row>
      <xdr:rowOff>27327</xdr:rowOff>
    </xdr:from>
    <xdr:to>
      <xdr:col>35</xdr:col>
      <xdr:colOff>141015</xdr:colOff>
      <xdr:row>306</xdr:row>
      <xdr:rowOff>72924</xdr:rowOff>
    </xdr:to>
    <xdr:cxnSp macro="">
      <xdr:nvCxnSpPr>
        <xdr:cNvPr id="174" name="コネクタ: カギ線 173">
          <a:extLst>
            <a:ext uri="{FF2B5EF4-FFF2-40B4-BE49-F238E27FC236}">
              <a16:creationId xmlns:a16="http://schemas.microsoft.com/office/drawing/2014/main" id="{E0A82154-AD3B-4A40-8657-C6B564639F5D}"/>
            </a:ext>
          </a:extLst>
        </xdr:cNvPr>
        <xdr:cNvCxnSpPr>
          <a:stCxn id="160" idx="2"/>
          <a:endCxn id="168" idx="0"/>
        </xdr:cNvCxnSpPr>
      </xdr:nvCxnSpPr>
      <xdr:spPr>
        <a:xfrm rot="16200000" flipH="1">
          <a:off x="6051670" y="35923830"/>
          <a:ext cx="725047" cy="146174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192873</xdr:colOff>
      <xdr:row>320</xdr:row>
      <xdr:rowOff>47513</xdr:rowOff>
    </xdr:from>
    <xdr:to>
      <xdr:col>44</xdr:col>
      <xdr:colOff>113526</xdr:colOff>
      <xdr:row>321</xdr:row>
      <xdr:rowOff>135832</xdr:rowOff>
    </xdr:to>
    <xdr:sp macro="" textlink="">
      <xdr:nvSpPr>
        <xdr:cNvPr id="175" name="フローチャート: 端子 26">
          <a:extLst>
            <a:ext uri="{FF2B5EF4-FFF2-40B4-BE49-F238E27FC236}">
              <a16:creationId xmlns:a16="http://schemas.microsoft.com/office/drawing/2014/main" id="{DBB49AB8-6EB3-4583-821A-8F8E0A9E98AE}"/>
            </a:ext>
          </a:extLst>
        </xdr:cNvPr>
        <xdr:cNvSpPr/>
      </xdr:nvSpPr>
      <xdr:spPr>
        <a:xfrm>
          <a:off x="8386421" y="48184610"/>
          <a:ext cx="740008" cy="26243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42</xdr:col>
      <xdr:colOff>151388</xdr:colOff>
      <xdr:row>315</xdr:row>
      <xdr:rowOff>76023</xdr:rowOff>
    </xdr:from>
    <xdr:to>
      <xdr:col>42</xdr:col>
      <xdr:colOff>153199</xdr:colOff>
      <xdr:row>320</xdr:row>
      <xdr:rowOff>50688</xdr:rowOff>
    </xdr:to>
    <xdr:cxnSp macro="">
      <xdr:nvCxnSpPr>
        <xdr:cNvPr id="176" name="直線矢印コネクタ 175">
          <a:extLst>
            <a:ext uri="{FF2B5EF4-FFF2-40B4-BE49-F238E27FC236}">
              <a16:creationId xmlns:a16="http://schemas.microsoft.com/office/drawing/2014/main" id="{8CBA9361-8BC7-4035-A710-CC9C39537635}"/>
            </a:ext>
          </a:extLst>
        </xdr:cNvPr>
        <xdr:cNvCxnSpPr>
          <a:stCxn id="452" idx="2"/>
          <a:endCxn id="175" idx="0"/>
        </xdr:cNvCxnSpPr>
      </xdr:nvCxnSpPr>
      <xdr:spPr>
        <a:xfrm>
          <a:off x="8754614" y="47342555"/>
          <a:ext cx="1811" cy="84523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164003</xdr:colOff>
      <xdr:row>420</xdr:row>
      <xdr:rowOff>145380</xdr:rowOff>
    </xdr:from>
    <xdr:to>
      <xdr:col>38</xdr:col>
      <xdr:colOff>55250</xdr:colOff>
      <xdr:row>424</xdr:row>
      <xdr:rowOff>7981</xdr:rowOff>
    </xdr:to>
    <xdr:grpSp>
      <xdr:nvGrpSpPr>
        <xdr:cNvPr id="177" name="グループ化 8">
          <a:extLst>
            <a:ext uri="{FF2B5EF4-FFF2-40B4-BE49-F238E27FC236}">
              <a16:creationId xmlns:a16="http://schemas.microsoft.com/office/drawing/2014/main" id="{8178BA51-014E-4F14-BB97-5C89A864D2AA}"/>
            </a:ext>
          </a:extLst>
        </xdr:cNvPr>
        <xdr:cNvGrpSpPr/>
      </xdr:nvGrpSpPr>
      <xdr:grpSpPr>
        <a:xfrm>
          <a:off x="5955203" y="72830655"/>
          <a:ext cx="977097" cy="548401"/>
          <a:chOff x="1633015" y="2430783"/>
          <a:chExt cx="908902" cy="422628"/>
        </a:xfrm>
      </xdr:grpSpPr>
      <xdr:sp macro="" textlink="">
        <xdr:nvSpPr>
          <xdr:cNvPr id="178" name="フローチャート: 定義済み処理 9">
            <a:extLst>
              <a:ext uri="{FF2B5EF4-FFF2-40B4-BE49-F238E27FC236}">
                <a16:creationId xmlns:a16="http://schemas.microsoft.com/office/drawing/2014/main" id="{DF07D382-40D8-0C20-7076-3E1687A5F18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9" name="正方形/長方形 48">
            <a:extLst>
              <a:ext uri="{FF2B5EF4-FFF2-40B4-BE49-F238E27FC236}">
                <a16:creationId xmlns:a16="http://schemas.microsoft.com/office/drawing/2014/main" id="{8472ED57-91A9-6183-9920-F312C8756194}"/>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リース終了</a:t>
            </a:r>
            <a:endParaRPr kumimoji="1" lang="en-US" altLang="ja-JP" sz="900"/>
          </a:p>
          <a:p>
            <a:pPr algn="ctr"/>
            <a:r>
              <a:rPr kumimoji="1" lang="ja-JP" altLang="en-US" sz="900"/>
              <a:t>承認</a:t>
            </a:r>
          </a:p>
        </xdr:txBody>
      </xdr:sp>
    </xdr:grpSp>
    <xdr:clientData/>
  </xdr:twoCellAnchor>
  <xdr:twoCellAnchor>
    <xdr:from>
      <xdr:col>38</xdr:col>
      <xdr:colOff>6941</xdr:colOff>
      <xdr:row>422</xdr:row>
      <xdr:rowOff>77270</xdr:rowOff>
    </xdr:from>
    <xdr:to>
      <xdr:col>47</xdr:col>
      <xdr:colOff>137767</xdr:colOff>
      <xdr:row>422</xdr:row>
      <xdr:rowOff>77622</xdr:rowOff>
    </xdr:to>
    <xdr:cxnSp macro="">
      <xdr:nvCxnSpPr>
        <xdr:cNvPr id="180" name="直線矢印コネクタ 179">
          <a:extLst>
            <a:ext uri="{FF2B5EF4-FFF2-40B4-BE49-F238E27FC236}">
              <a16:creationId xmlns:a16="http://schemas.microsoft.com/office/drawing/2014/main" id="{A914158A-2884-44C4-8801-1BF58B0D33D2}"/>
            </a:ext>
          </a:extLst>
        </xdr:cNvPr>
        <xdr:cNvCxnSpPr>
          <a:stCxn id="178" idx="3"/>
          <a:endCxn id="182" idx="2"/>
        </xdr:cNvCxnSpPr>
      </xdr:nvCxnSpPr>
      <xdr:spPr>
        <a:xfrm flipV="1">
          <a:off x="7611066" y="42854045"/>
          <a:ext cx="530876" cy="3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27008</xdr:colOff>
      <xdr:row>420</xdr:row>
      <xdr:rowOff>121696</xdr:rowOff>
    </xdr:from>
    <xdr:to>
      <xdr:col>52</xdr:col>
      <xdr:colOff>46423</xdr:colOff>
      <xdr:row>424</xdr:row>
      <xdr:rowOff>86525</xdr:rowOff>
    </xdr:to>
    <xdr:grpSp>
      <xdr:nvGrpSpPr>
        <xdr:cNvPr id="181" name="グループ化 180">
          <a:extLst>
            <a:ext uri="{FF2B5EF4-FFF2-40B4-BE49-F238E27FC236}">
              <a16:creationId xmlns:a16="http://schemas.microsoft.com/office/drawing/2014/main" id="{9B83A63C-F6A0-4524-BCCD-0BC9DCC7B51B}"/>
            </a:ext>
          </a:extLst>
        </xdr:cNvPr>
        <xdr:cNvGrpSpPr>
          <a:grpSpLocks noChangeAspect="1"/>
        </xdr:cNvGrpSpPr>
      </xdr:nvGrpSpPr>
      <xdr:grpSpPr>
        <a:xfrm>
          <a:off x="8532833" y="72806971"/>
          <a:ext cx="924290" cy="650629"/>
          <a:chOff x="7112003" y="2892425"/>
          <a:chExt cx="873125" cy="584984"/>
        </a:xfrm>
      </xdr:grpSpPr>
      <xdr:sp macro="" textlink="">
        <xdr:nvSpPr>
          <xdr:cNvPr id="182" name="フローチャート: 磁気ディスク 181">
            <a:extLst>
              <a:ext uri="{FF2B5EF4-FFF2-40B4-BE49-F238E27FC236}">
                <a16:creationId xmlns:a16="http://schemas.microsoft.com/office/drawing/2014/main" id="{1D7C49B6-5EEC-5308-5C19-2F35F7623E1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3" name="正方形/長方形 182">
            <a:extLst>
              <a:ext uri="{FF2B5EF4-FFF2-40B4-BE49-F238E27FC236}">
                <a16:creationId xmlns:a16="http://schemas.microsoft.com/office/drawing/2014/main" id="{E7CFDC24-88E1-BE05-F8D3-729F299C58E2}"/>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28</xdr:col>
      <xdr:colOff>36438</xdr:colOff>
      <xdr:row>416</xdr:row>
      <xdr:rowOff>118990</xdr:rowOff>
    </xdr:from>
    <xdr:to>
      <xdr:col>35</xdr:col>
      <xdr:colOff>112362</xdr:colOff>
      <xdr:row>421</xdr:row>
      <xdr:rowOff>8645</xdr:rowOff>
    </xdr:to>
    <xdr:cxnSp macro="">
      <xdr:nvCxnSpPr>
        <xdr:cNvPr id="184" name="コネクタ: カギ線 183">
          <a:extLst>
            <a:ext uri="{FF2B5EF4-FFF2-40B4-BE49-F238E27FC236}">
              <a16:creationId xmlns:a16="http://schemas.microsoft.com/office/drawing/2014/main" id="{0FAC90A7-F3CF-4128-85DA-73BD98029304}"/>
            </a:ext>
          </a:extLst>
        </xdr:cNvPr>
        <xdr:cNvCxnSpPr>
          <a:stCxn id="68" idx="2"/>
          <a:endCxn id="178" idx="0"/>
        </xdr:cNvCxnSpPr>
      </xdr:nvCxnSpPr>
      <xdr:spPr>
        <a:xfrm rot="16200000" flipH="1">
          <a:off x="6001735" y="41505643"/>
          <a:ext cx="746905" cy="147609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151847</xdr:colOff>
      <xdr:row>427</xdr:row>
      <xdr:rowOff>20707</xdr:rowOff>
    </xdr:from>
    <xdr:to>
      <xdr:col>31</xdr:col>
      <xdr:colOff>49444</xdr:colOff>
      <xdr:row>430</xdr:row>
      <xdr:rowOff>46336</xdr:rowOff>
    </xdr:to>
    <xdr:grpSp>
      <xdr:nvGrpSpPr>
        <xdr:cNvPr id="185" name="グループ化 8">
          <a:extLst>
            <a:ext uri="{FF2B5EF4-FFF2-40B4-BE49-F238E27FC236}">
              <a16:creationId xmlns:a16="http://schemas.microsoft.com/office/drawing/2014/main" id="{C8E38B1C-9F54-4211-A128-CD205F684091}"/>
            </a:ext>
          </a:extLst>
        </xdr:cNvPr>
        <xdr:cNvGrpSpPr/>
      </xdr:nvGrpSpPr>
      <xdr:grpSpPr>
        <a:xfrm>
          <a:off x="4676222" y="73906132"/>
          <a:ext cx="983447" cy="539979"/>
          <a:chOff x="1633015" y="2430783"/>
          <a:chExt cx="908902" cy="422628"/>
        </a:xfrm>
      </xdr:grpSpPr>
      <xdr:sp macro="" textlink="">
        <xdr:nvSpPr>
          <xdr:cNvPr id="186" name="フローチャート: 定義済み処理 9">
            <a:extLst>
              <a:ext uri="{FF2B5EF4-FFF2-40B4-BE49-F238E27FC236}">
                <a16:creationId xmlns:a16="http://schemas.microsoft.com/office/drawing/2014/main" id="{F5AEE440-1F2A-FF2C-7C23-2028288A0116}"/>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87" name="正方形/長方形 48">
            <a:extLst>
              <a:ext uri="{FF2B5EF4-FFF2-40B4-BE49-F238E27FC236}">
                <a16:creationId xmlns:a16="http://schemas.microsoft.com/office/drawing/2014/main" id="{CF99B0EE-C3FE-C847-3D49-F3E4BD5EDEFE}"/>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リース終了処理</a:t>
            </a:r>
            <a:endParaRPr kumimoji="1" lang="en-US" altLang="ja-JP" sz="900"/>
          </a:p>
        </xdr:txBody>
      </xdr:sp>
    </xdr:grpSp>
    <xdr:clientData/>
  </xdr:twoCellAnchor>
  <xdr:twoCellAnchor>
    <xdr:from>
      <xdr:col>28</xdr:col>
      <xdr:colOff>103383</xdr:colOff>
      <xdr:row>423</xdr:row>
      <xdr:rowOff>146598</xdr:rowOff>
    </xdr:from>
    <xdr:to>
      <xdr:col>35</xdr:col>
      <xdr:colOff>112364</xdr:colOff>
      <xdr:row>427</xdr:row>
      <xdr:rowOff>53350</xdr:rowOff>
    </xdr:to>
    <xdr:cxnSp macro="">
      <xdr:nvCxnSpPr>
        <xdr:cNvPr id="188" name="コネクタ: カギ線 187">
          <a:extLst>
            <a:ext uri="{FF2B5EF4-FFF2-40B4-BE49-F238E27FC236}">
              <a16:creationId xmlns:a16="http://schemas.microsoft.com/office/drawing/2014/main" id="{0ABB114D-2A06-42BF-93BC-2A57DFF9996D}"/>
            </a:ext>
          </a:extLst>
        </xdr:cNvPr>
        <xdr:cNvCxnSpPr>
          <a:stCxn id="178" idx="2"/>
          <a:endCxn id="186" idx="0"/>
        </xdr:cNvCxnSpPr>
      </xdr:nvCxnSpPr>
      <xdr:spPr>
        <a:xfrm rot="5400000">
          <a:off x="6113973" y="42684933"/>
          <a:ext cx="592552" cy="140598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27008</xdr:colOff>
      <xdr:row>426</xdr:row>
      <xdr:rowOff>162557</xdr:rowOff>
    </xdr:from>
    <xdr:to>
      <xdr:col>52</xdr:col>
      <xdr:colOff>46423</xdr:colOff>
      <xdr:row>430</xdr:row>
      <xdr:rowOff>121035</xdr:rowOff>
    </xdr:to>
    <xdr:grpSp>
      <xdr:nvGrpSpPr>
        <xdr:cNvPr id="189" name="グループ化 188">
          <a:extLst>
            <a:ext uri="{FF2B5EF4-FFF2-40B4-BE49-F238E27FC236}">
              <a16:creationId xmlns:a16="http://schemas.microsoft.com/office/drawing/2014/main" id="{24F6E0F7-CEEA-419E-ACDF-19B4A43F42B6}"/>
            </a:ext>
          </a:extLst>
        </xdr:cNvPr>
        <xdr:cNvGrpSpPr>
          <a:grpSpLocks noChangeAspect="1"/>
        </xdr:cNvGrpSpPr>
      </xdr:nvGrpSpPr>
      <xdr:grpSpPr>
        <a:xfrm>
          <a:off x="8532833" y="73876532"/>
          <a:ext cx="924290" cy="644278"/>
          <a:chOff x="7112003" y="2892425"/>
          <a:chExt cx="873125" cy="584984"/>
        </a:xfrm>
      </xdr:grpSpPr>
      <xdr:sp macro="" textlink="">
        <xdr:nvSpPr>
          <xdr:cNvPr id="190" name="フローチャート: 磁気ディスク 189">
            <a:extLst>
              <a:ext uri="{FF2B5EF4-FFF2-40B4-BE49-F238E27FC236}">
                <a16:creationId xmlns:a16="http://schemas.microsoft.com/office/drawing/2014/main" id="{1F0A59CB-AA6F-47FD-DFE3-1131F089DEB8}"/>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91" name="正方形/長方形 190">
            <a:extLst>
              <a:ext uri="{FF2B5EF4-FFF2-40B4-BE49-F238E27FC236}">
                <a16:creationId xmlns:a16="http://schemas.microsoft.com/office/drawing/2014/main" id="{B4ECD8ED-2E33-6C2E-ABB6-C2B5755D33C4}"/>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30</xdr:col>
      <xdr:colOff>198123</xdr:colOff>
      <xdr:row>428</xdr:row>
      <xdr:rowOff>111781</xdr:rowOff>
    </xdr:from>
    <xdr:to>
      <xdr:col>47</xdr:col>
      <xdr:colOff>137767</xdr:colOff>
      <xdr:row>428</xdr:row>
      <xdr:rowOff>122328</xdr:rowOff>
    </xdr:to>
    <xdr:cxnSp macro="">
      <xdr:nvCxnSpPr>
        <xdr:cNvPr id="192" name="直線矢印コネクタ 191">
          <a:extLst>
            <a:ext uri="{FF2B5EF4-FFF2-40B4-BE49-F238E27FC236}">
              <a16:creationId xmlns:a16="http://schemas.microsoft.com/office/drawing/2014/main" id="{8B345358-0150-4E98-8143-0C506482C61B}"/>
            </a:ext>
          </a:extLst>
        </xdr:cNvPr>
        <xdr:cNvCxnSpPr>
          <a:stCxn id="186" idx="3"/>
          <a:endCxn id="190" idx="2"/>
        </xdr:cNvCxnSpPr>
      </xdr:nvCxnSpPr>
      <xdr:spPr>
        <a:xfrm flipV="1">
          <a:off x="6202048" y="43917256"/>
          <a:ext cx="1939894" cy="1372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78000</xdr:colOff>
      <xdr:row>430</xdr:row>
      <xdr:rowOff>19504</xdr:rowOff>
    </xdr:from>
    <xdr:to>
      <xdr:col>28</xdr:col>
      <xdr:colOff>103417</xdr:colOff>
      <xdr:row>437</xdr:row>
      <xdr:rowOff>123172</xdr:rowOff>
    </xdr:to>
    <xdr:cxnSp macro="">
      <xdr:nvCxnSpPr>
        <xdr:cNvPr id="193" name="直線矢印コネクタ 192">
          <a:extLst>
            <a:ext uri="{FF2B5EF4-FFF2-40B4-BE49-F238E27FC236}">
              <a16:creationId xmlns:a16="http://schemas.microsoft.com/office/drawing/2014/main" id="{37425A5E-A727-43E3-9DB5-8F6CAE40E7C8}"/>
            </a:ext>
          </a:extLst>
        </xdr:cNvPr>
        <xdr:cNvCxnSpPr>
          <a:cxnSpLocks/>
          <a:stCxn id="186" idx="2"/>
          <a:endCxn id="309" idx="0"/>
        </xdr:cNvCxnSpPr>
      </xdr:nvCxnSpPr>
      <xdr:spPr>
        <a:xfrm flipH="1">
          <a:off x="5725765" y="72387092"/>
          <a:ext cx="25417" cy="12802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328</xdr:row>
      <xdr:rowOff>146538</xdr:rowOff>
    </xdr:from>
    <xdr:to>
      <xdr:col>29</xdr:col>
      <xdr:colOff>192467</xdr:colOff>
      <xdr:row>330</xdr:row>
      <xdr:rowOff>78524</xdr:rowOff>
    </xdr:to>
    <xdr:sp macro="" textlink="">
      <xdr:nvSpPr>
        <xdr:cNvPr id="194" name="フローチャート: 端子 26">
          <a:extLst>
            <a:ext uri="{FF2B5EF4-FFF2-40B4-BE49-F238E27FC236}">
              <a16:creationId xmlns:a16="http://schemas.microsoft.com/office/drawing/2014/main" id="{1410658D-A560-4B55-BFDE-C451E9BAF7EA}"/>
            </a:ext>
          </a:extLst>
        </xdr:cNvPr>
        <xdr:cNvSpPr/>
      </xdr:nvSpPr>
      <xdr:spPr>
        <a:xfrm>
          <a:off x="5286603" y="45834788"/>
          <a:ext cx="706589"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145037</xdr:colOff>
      <xdr:row>332</xdr:row>
      <xdr:rowOff>152868</xdr:rowOff>
    </xdr:from>
    <xdr:to>
      <xdr:col>30</xdr:col>
      <xdr:colOff>122887</xdr:colOff>
      <xdr:row>335</xdr:row>
      <xdr:rowOff>122845</xdr:rowOff>
    </xdr:to>
    <xdr:sp macro="" textlink="">
      <xdr:nvSpPr>
        <xdr:cNvPr id="195" name="フローチャート: 定義済み処理 9">
          <a:extLst>
            <a:ext uri="{FF2B5EF4-FFF2-40B4-BE49-F238E27FC236}">
              <a16:creationId xmlns:a16="http://schemas.microsoft.com/office/drawing/2014/main" id="{1E481FEA-E7DB-447B-AB88-BEC8B997AE51}"/>
            </a:ext>
          </a:extLst>
        </xdr:cNvPr>
        <xdr:cNvSpPr/>
      </xdr:nvSpPr>
      <xdr:spPr>
        <a:xfrm>
          <a:off x="5142487" y="46530093"/>
          <a:ext cx="984325" cy="48750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78822</xdr:colOff>
      <xdr:row>332</xdr:row>
      <xdr:rowOff>47676</xdr:rowOff>
    </xdr:from>
    <xdr:to>
      <xdr:col>31</xdr:col>
      <xdr:colOff>157742</xdr:colOff>
      <xdr:row>336</xdr:row>
      <xdr:rowOff>7292</xdr:rowOff>
    </xdr:to>
    <xdr:sp macro="" textlink="">
      <xdr:nvSpPr>
        <xdr:cNvPr id="196" name="正方形/長方形 48">
          <a:extLst>
            <a:ext uri="{FF2B5EF4-FFF2-40B4-BE49-F238E27FC236}">
              <a16:creationId xmlns:a16="http://schemas.microsoft.com/office/drawing/2014/main" id="{65F479F8-3839-4BF2-8B28-E063DB16A57F}"/>
            </a:ext>
          </a:extLst>
        </xdr:cNvPr>
        <xdr:cNvSpPr/>
      </xdr:nvSpPr>
      <xdr:spPr>
        <a:xfrm>
          <a:off x="4879422" y="46421726"/>
          <a:ext cx="1482270" cy="6517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リース</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帳簿</a:t>
          </a:r>
          <a:r>
            <a:rPr kumimoji="1" lang="en-US" altLang="ja-JP" sz="900">
              <a:solidFill>
                <a:schemeClr val="dk1"/>
              </a:solidFill>
              <a:effectLst/>
              <a:latin typeface="+mn-lt"/>
              <a:ea typeface="+mn-ea"/>
              <a:cs typeface="+mn-cs"/>
            </a:rPr>
            <a:t>)</a:t>
          </a:r>
        </a:p>
        <a:p>
          <a:pPr algn="ctr"/>
          <a:r>
            <a:rPr kumimoji="1" lang="ja-JP" altLang="en-US" sz="900">
              <a:solidFill>
                <a:schemeClr val="dk1"/>
              </a:solidFill>
              <a:effectLst/>
              <a:latin typeface="+mn-lt"/>
              <a:ea typeface="+mn-ea"/>
              <a:cs typeface="+mn-cs"/>
            </a:rPr>
            <a:t>名称変更</a:t>
          </a:r>
          <a:endParaRPr kumimoji="1" lang="en-US" altLang="ja-JP" sz="900">
            <a:solidFill>
              <a:schemeClr val="dk1"/>
            </a:solidFill>
            <a:effectLst/>
            <a:latin typeface="+mn-lt"/>
            <a:ea typeface="+mn-ea"/>
            <a:cs typeface="+mn-cs"/>
          </a:endParaRPr>
        </a:p>
      </xdr:txBody>
    </xdr:sp>
    <xdr:clientData/>
  </xdr:twoCellAnchor>
  <xdr:twoCellAnchor>
    <xdr:from>
      <xdr:col>30</xdr:col>
      <xdr:colOff>122887</xdr:colOff>
      <xdr:row>334</xdr:row>
      <xdr:rowOff>41354</xdr:rowOff>
    </xdr:from>
    <xdr:to>
      <xdr:col>47</xdr:col>
      <xdr:colOff>152283</xdr:colOff>
      <xdr:row>334</xdr:row>
      <xdr:rowOff>48887</xdr:rowOff>
    </xdr:to>
    <xdr:cxnSp macro="">
      <xdr:nvCxnSpPr>
        <xdr:cNvPr id="197" name="直線矢印コネクタ 196">
          <a:extLst>
            <a:ext uri="{FF2B5EF4-FFF2-40B4-BE49-F238E27FC236}">
              <a16:creationId xmlns:a16="http://schemas.microsoft.com/office/drawing/2014/main" id="{F42A19C1-37A3-4EAA-991C-40EAFEF8E5B7}"/>
            </a:ext>
          </a:extLst>
        </xdr:cNvPr>
        <xdr:cNvCxnSpPr>
          <a:stCxn id="195" idx="3"/>
          <a:endCxn id="201" idx="2"/>
        </xdr:cNvCxnSpPr>
      </xdr:nvCxnSpPr>
      <xdr:spPr>
        <a:xfrm flipV="1">
          <a:off x="6126812" y="46764654"/>
          <a:ext cx="2026471"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65445</xdr:colOff>
      <xdr:row>341</xdr:row>
      <xdr:rowOff>56800</xdr:rowOff>
    </xdr:from>
    <xdr:to>
      <xdr:col>29</xdr:col>
      <xdr:colOff>182948</xdr:colOff>
      <xdr:row>342</xdr:row>
      <xdr:rowOff>153086</xdr:rowOff>
    </xdr:to>
    <xdr:sp macro="" textlink="">
      <xdr:nvSpPr>
        <xdr:cNvPr id="198" name="フローチャート: 端子 26">
          <a:extLst>
            <a:ext uri="{FF2B5EF4-FFF2-40B4-BE49-F238E27FC236}">
              <a16:creationId xmlns:a16="http://schemas.microsoft.com/office/drawing/2014/main" id="{82D21AB0-5804-4247-9F6F-0BCBDBC59D33}"/>
            </a:ext>
          </a:extLst>
        </xdr:cNvPr>
        <xdr:cNvSpPr/>
      </xdr:nvSpPr>
      <xdr:spPr>
        <a:xfrm>
          <a:off x="5269270" y="47977075"/>
          <a:ext cx="711228" cy="2677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330</xdr:row>
      <xdr:rowOff>78524</xdr:rowOff>
    </xdr:from>
    <xdr:to>
      <xdr:col>28</xdr:col>
      <xdr:colOff>38186</xdr:colOff>
      <xdr:row>332</xdr:row>
      <xdr:rowOff>152868</xdr:rowOff>
    </xdr:to>
    <xdr:cxnSp macro="">
      <xdr:nvCxnSpPr>
        <xdr:cNvPr id="199" name="直線矢印コネクタ 198">
          <a:extLst>
            <a:ext uri="{FF2B5EF4-FFF2-40B4-BE49-F238E27FC236}">
              <a16:creationId xmlns:a16="http://schemas.microsoft.com/office/drawing/2014/main" id="{6591202A-2E46-4B74-87CB-8F0E73A2018D}"/>
            </a:ext>
          </a:extLst>
        </xdr:cNvPr>
        <xdr:cNvCxnSpPr>
          <a:stCxn id="194" idx="2"/>
          <a:endCxn id="195" idx="0"/>
        </xdr:cNvCxnSpPr>
      </xdr:nvCxnSpPr>
      <xdr:spPr>
        <a:xfrm flipH="1">
          <a:off x="5632050" y="46112849"/>
          <a:ext cx="6836"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48219</xdr:colOff>
      <xdr:row>332</xdr:row>
      <xdr:rowOff>85214</xdr:rowOff>
    </xdr:from>
    <xdr:to>
      <xdr:col>52</xdr:col>
      <xdr:colOff>64459</xdr:colOff>
      <xdr:row>336</xdr:row>
      <xdr:rowOff>46869</xdr:rowOff>
    </xdr:to>
    <xdr:grpSp>
      <xdr:nvGrpSpPr>
        <xdr:cNvPr id="200" name="グループ化 199">
          <a:extLst>
            <a:ext uri="{FF2B5EF4-FFF2-40B4-BE49-F238E27FC236}">
              <a16:creationId xmlns:a16="http://schemas.microsoft.com/office/drawing/2014/main" id="{C32C783F-679F-4CF0-AC0E-5151E95E0786}"/>
            </a:ext>
          </a:extLst>
        </xdr:cNvPr>
        <xdr:cNvGrpSpPr>
          <a:grpSpLocks noChangeAspect="1"/>
        </xdr:cNvGrpSpPr>
      </xdr:nvGrpSpPr>
      <xdr:grpSpPr>
        <a:xfrm>
          <a:off x="8554044" y="57682889"/>
          <a:ext cx="921115" cy="647455"/>
          <a:chOff x="7112003" y="2892425"/>
          <a:chExt cx="873125" cy="584984"/>
        </a:xfrm>
      </xdr:grpSpPr>
      <xdr:sp macro="" textlink="">
        <xdr:nvSpPr>
          <xdr:cNvPr id="201" name="フローチャート: 磁気ディスク 200">
            <a:extLst>
              <a:ext uri="{FF2B5EF4-FFF2-40B4-BE49-F238E27FC236}">
                <a16:creationId xmlns:a16="http://schemas.microsoft.com/office/drawing/2014/main" id="{F9E89DD1-03DD-CF5D-03F1-DF34C069890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2" name="正方形/長方形 201">
            <a:extLst>
              <a:ext uri="{FF2B5EF4-FFF2-40B4-BE49-F238E27FC236}">
                <a16:creationId xmlns:a16="http://schemas.microsoft.com/office/drawing/2014/main" id="{B091911F-85D5-F248-C72C-9FEEE7D51EF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（帳簿）</a:t>
            </a:r>
          </a:p>
        </xdr:txBody>
      </xdr:sp>
    </xdr:grpSp>
    <xdr:clientData/>
  </xdr:twoCellAnchor>
  <xdr:twoCellAnchor>
    <xdr:from>
      <xdr:col>28</xdr:col>
      <xdr:colOff>24184</xdr:colOff>
      <xdr:row>335</xdr:row>
      <xdr:rowOff>126020</xdr:rowOff>
    </xdr:from>
    <xdr:to>
      <xdr:col>28</xdr:col>
      <xdr:colOff>33950</xdr:colOff>
      <xdr:row>341</xdr:row>
      <xdr:rowOff>56800</xdr:rowOff>
    </xdr:to>
    <xdr:cxnSp macro="">
      <xdr:nvCxnSpPr>
        <xdr:cNvPr id="203" name="直線矢印コネクタ 202">
          <a:extLst>
            <a:ext uri="{FF2B5EF4-FFF2-40B4-BE49-F238E27FC236}">
              <a16:creationId xmlns:a16="http://schemas.microsoft.com/office/drawing/2014/main" id="{BDFD5269-3842-4B3C-8845-28827E6434A6}"/>
            </a:ext>
          </a:extLst>
        </xdr:cNvPr>
        <xdr:cNvCxnSpPr>
          <a:cxnSpLocks/>
          <a:stCxn id="195" idx="2"/>
          <a:endCxn id="198" idx="0"/>
        </xdr:cNvCxnSpPr>
      </xdr:nvCxnSpPr>
      <xdr:spPr>
        <a:xfrm flipH="1">
          <a:off x="5628059" y="47014420"/>
          <a:ext cx="3416" cy="96265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347</xdr:row>
      <xdr:rowOff>146538</xdr:rowOff>
    </xdr:from>
    <xdr:to>
      <xdr:col>29</xdr:col>
      <xdr:colOff>192467</xdr:colOff>
      <xdr:row>349</xdr:row>
      <xdr:rowOff>78524</xdr:rowOff>
    </xdr:to>
    <xdr:sp macro="" textlink="">
      <xdr:nvSpPr>
        <xdr:cNvPr id="204" name="フローチャート: 端子 26">
          <a:extLst>
            <a:ext uri="{FF2B5EF4-FFF2-40B4-BE49-F238E27FC236}">
              <a16:creationId xmlns:a16="http://schemas.microsoft.com/office/drawing/2014/main" id="{8C50F22B-2BF4-444C-9640-4FF80E6F8737}"/>
            </a:ext>
          </a:extLst>
        </xdr:cNvPr>
        <xdr:cNvSpPr/>
      </xdr:nvSpPr>
      <xdr:spPr>
        <a:xfrm>
          <a:off x="5286603" y="49092338"/>
          <a:ext cx="706589" cy="27806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145037</xdr:colOff>
      <xdr:row>351</xdr:row>
      <xdr:rowOff>152868</xdr:rowOff>
    </xdr:from>
    <xdr:to>
      <xdr:col>30</xdr:col>
      <xdr:colOff>122887</xdr:colOff>
      <xdr:row>354</xdr:row>
      <xdr:rowOff>122845</xdr:rowOff>
    </xdr:to>
    <xdr:sp macro="" textlink="">
      <xdr:nvSpPr>
        <xdr:cNvPr id="205" name="フローチャート: 定義済み処理 9">
          <a:extLst>
            <a:ext uri="{FF2B5EF4-FFF2-40B4-BE49-F238E27FC236}">
              <a16:creationId xmlns:a16="http://schemas.microsoft.com/office/drawing/2014/main" id="{242D0AA8-2DFE-4776-A168-E5B8D02D7780}"/>
            </a:ext>
          </a:extLst>
        </xdr:cNvPr>
        <xdr:cNvSpPr/>
      </xdr:nvSpPr>
      <xdr:spPr>
        <a:xfrm>
          <a:off x="5142487" y="49787643"/>
          <a:ext cx="984325" cy="48750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78822</xdr:colOff>
      <xdr:row>351</xdr:row>
      <xdr:rowOff>47676</xdr:rowOff>
    </xdr:from>
    <xdr:to>
      <xdr:col>31</xdr:col>
      <xdr:colOff>157742</xdr:colOff>
      <xdr:row>355</xdr:row>
      <xdr:rowOff>7292</xdr:rowOff>
    </xdr:to>
    <xdr:sp macro="" textlink="">
      <xdr:nvSpPr>
        <xdr:cNvPr id="206" name="正方形/長方形 48">
          <a:extLst>
            <a:ext uri="{FF2B5EF4-FFF2-40B4-BE49-F238E27FC236}">
              <a16:creationId xmlns:a16="http://schemas.microsoft.com/office/drawing/2014/main" id="{AD2F6058-4DAC-40F5-BD3A-758A328461BA}"/>
            </a:ext>
          </a:extLst>
        </xdr:cNvPr>
        <xdr:cNvSpPr/>
      </xdr:nvSpPr>
      <xdr:spPr>
        <a:xfrm>
          <a:off x="4879422" y="49679276"/>
          <a:ext cx="1482270" cy="6517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減損登録</a:t>
          </a:r>
          <a:endParaRPr kumimoji="1" lang="en-US" altLang="ja-JP" sz="900">
            <a:solidFill>
              <a:schemeClr val="dk1"/>
            </a:solidFill>
            <a:effectLst/>
            <a:latin typeface="+mn-lt"/>
            <a:ea typeface="+mn-ea"/>
            <a:cs typeface="+mn-cs"/>
          </a:endParaRPr>
        </a:p>
      </xdr:txBody>
    </xdr:sp>
    <xdr:clientData/>
  </xdr:twoCellAnchor>
  <xdr:twoCellAnchor>
    <xdr:from>
      <xdr:col>30</xdr:col>
      <xdr:colOff>122887</xdr:colOff>
      <xdr:row>353</xdr:row>
      <xdr:rowOff>41354</xdr:rowOff>
    </xdr:from>
    <xdr:to>
      <xdr:col>47</xdr:col>
      <xdr:colOff>152283</xdr:colOff>
      <xdr:row>353</xdr:row>
      <xdr:rowOff>48887</xdr:rowOff>
    </xdr:to>
    <xdr:cxnSp macro="">
      <xdr:nvCxnSpPr>
        <xdr:cNvPr id="207" name="直線矢印コネクタ 206">
          <a:extLst>
            <a:ext uri="{FF2B5EF4-FFF2-40B4-BE49-F238E27FC236}">
              <a16:creationId xmlns:a16="http://schemas.microsoft.com/office/drawing/2014/main" id="{2456E9B2-30C7-4324-8B1C-D82B3E3A0C6E}"/>
            </a:ext>
          </a:extLst>
        </xdr:cNvPr>
        <xdr:cNvCxnSpPr>
          <a:stCxn id="205" idx="3"/>
          <a:endCxn id="211" idx="2"/>
        </xdr:cNvCxnSpPr>
      </xdr:nvCxnSpPr>
      <xdr:spPr>
        <a:xfrm flipV="1">
          <a:off x="6126812" y="50022204"/>
          <a:ext cx="2026471"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171422</xdr:colOff>
      <xdr:row>396</xdr:row>
      <xdr:rowOff>9176</xdr:rowOff>
    </xdr:from>
    <xdr:to>
      <xdr:col>44</xdr:col>
      <xdr:colOff>38893</xdr:colOff>
      <xdr:row>397</xdr:row>
      <xdr:rowOff>105461</xdr:rowOff>
    </xdr:to>
    <xdr:sp macro="" textlink="">
      <xdr:nvSpPr>
        <xdr:cNvPr id="208" name="フローチャート: 端子 26">
          <a:extLst>
            <a:ext uri="{FF2B5EF4-FFF2-40B4-BE49-F238E27FC236}">
              <a16:creationId xmlns:a16="http://schemas.microsoft.com/office/drawing/2014/main" id="{29B9A5D3-D080-47D9-87DB-A2A07259EC6C}"/>
            </a:ext>
          </a:extLst>
        </xdr:cNvPr>
        <xdr:cNvSpPr/>
      </xdr:nvSpPr>
      <xdr:spPr>
        <a:xfrm>
          <a:off x="8364970" y="66254015"/>
          <a:ext cx="686826" cy="27039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349</xdr:row>
      <xdr:rowOff>78524</xdr:rowOff>
    </xdr:from>
    <xdr:to>
      <xdr:col>28</xdr:col>
      <xdr:colOff>38186</xdr:colOff>
      <xdr:row>351</xdr:row>
      <xdr:rowOff>152868</xdr:rowOff>
    </xdr:to>
    <xdr:cxnSp macro="">
      <xdr:nvCxnSpPr>
        <xdr:cNvPr id="209" name="直線矢印コネクタ 208">
          <a:extLst>
            <a:ext uri="{FF2B5EF4-FFF2-40B4-BE49-F238E27FC236}">
              <a16:creationId xmlns:a16="http://schemas.microsoft.com/office/drawing/2014/main" id="{4D07759D-D9B7-4B72-B8C3-CFD40A0AE464}"/>
            </a:ext>
          </a:extLst>
        </xdr:cNvPr>
        <xdr:cNvCxnSpPr>
          <a:stCxn id="204" idx="2"/>
          <a:endCxn id="205" idx="0"/>
        </xdr:cNvCxnSpPr>
      </xdr:nvCxnSpPr>
      <xdr:spPr>
        <a:xfrm flipH="1">
          <a:off x="5632050" y="49370399"/>
          <a:ext cx="6836"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48219</xdr:colOff>
      <xdr:row>351</xdr:row>
      <xdr:rowOff>85214</xdr:rowOff>
    </xdr:from>
    <xdr:to>
      <xdr:col>52</xdr:col>
      <xdr:colOff>64459</xdr:colOff>
      <xdr:row>355</xdr:row>
      <xdr:rowOff>46869</xdr:rowOff>
    </xdr:to>
    <xdr:grpSp>
      <xdr:nvGrpSpPr>
        <xdr:cNvPr id="210" name="グループ化 209">
          <a:extLst>
            <a:ext uri="{FF2B5EF4-FFF2-40B4-BE49-F238E27FC236}">
              <a16:creationId xmlns:a16="http://schemas.microsoft.com/office/drawing/2014/main" id="{6541F9B2-A79A-4D90-AA3B-32DE5063667E}"/>
            </a:ext>
          </a:extLst>
        </xdr:cNvPr>
        <xdr:cNvGrpSpPr>
          <a:grpSpLocks noChangeAspect="1"/>
        </xdr:cNvGrpSpPr>
      </xdr:nvGrpSpPr>
      <xdr:grpSpPr>
        <a:xfrm>
          <a:off x="8554044" y="60940439"/>
          <a:ext cx="921115" cy="647455"/>
          <a:chOff x="7112003" y="2892425"/>
          <a:chExt cx="873125" cy="584984"/>
        </a:xfrm>
      </xdr:grpSpPr>
      <xdr:sp macro="" textlink="">
        <xdr:nvSpPr>
          <xdr:cNvPr id="211" name="フローチャート: 磁気ディスク 210">
            <a:extLst>
              <a:ext uri="{FF2B5EF4-FFF2-40B4-BE49-F238E27FC236}">
                <a16:creationId xmlns:a16="http://schemas.microsoft.com/office/drawing/2014/main" id="{E52455AA-1233-83B7-9F34-1F5B1C7829A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2" name="正方形/長方形 211">
            <a:extLst>
              <a:ext uri="{FF2B5EF4-FFF2-40B4-BE49-F238E27FC236}">
                <a16:creationId xmlns:a16="http://schemas.microsoft.com/office/drawing/2014/main" id="{BE8CA0C7-922A-F796-7B17-76E66CAB289B}"/>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（帳簿）</a:t>
            </a:r>
          </a:p>
        </xdr:txBody>
      </xdr:sp>
    </xdr:grpSp>
    <xdr:clientData/>
  </xdr:twoCellAnchor>
  <xdr:twoCellAnchor>
    <xdr:from>
      <xdr:col>28</xdr:col>
      <xdr:colOff>23431</xdr:colOff>
      <xdr:row>354</xdr:row>
      <xdr:rowOff>126020</xdr:rowOff>
    </xdr:from>
    <xdr:to>
      <xdr:col>28</xdr:col>
      <xdr:colOff>31543</xdr:colOff>
      <xdr:row>358</xdr:row>
      <xdr:rowOff>136320</xdr:rowOff>
    </xdr:to>
    <xdr:cxnSp macro="">
      <xdr:nvCxnSpPr>
        <xdr:cNvPr id="213" name="直線矢印コネクタ 212">
          <a:extLst>
            <a:ext uri="{FF2B5EF4-FFF2-40B4-BE49-F238E27FC236}">
              <a16:creationId xmlns:a16="http://schemas.microsoft.com/office/drawing/2014/main" id="{F347AB6B-E489-40B9-8B4B-5E5FEB7CBA5A}"/>
            </a:ext>
          </a:extLst>
        </xdr:cNvPr>
        <xdr:cNvCxnSpPr>
          <a:cxnSpLocks/>
          <a:stCxn id="205" idx="2"/>
          <a:endCxn id="478" idx="0"/>
        </xdr:cNvCxnSpPr>
      </xdr:nvCxnSpPr>
      <xdr:spPr>
        <a:xfrm flipH="1">
          <a:off x="5758915" y="60451020"/>
          <a:ext cx="8112" cy="70675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76201</xdr:colOff>
      <xdr:row>369</xdr:row>
      <xdr:rowOff>112714</xdr:rowOff>
    </xdr:from>
    <xdr:to>
      <xdr:col>30</xdr:col>
      <xdr:colOff>159412</xdr:colOff>
      <xdr:row>372</xdr:row>
      <xdr:rowOff>151043</xdr:rowOff>
    </xdr:to>
    <xdr:grpSp>
      <xdr:nvGrpSpPr>
        <xdr:cNvPr id="214" name="グループ化 8">
          <a:extLst>
            <a:ext uri="{FF2B5EF4-FFF2-40B4-BE49-F238E27FC236}">
              <a16:creationId xmlns:a16="http://schemas.microsoft.com/office/drawing/2014/main" id="{F0446E6E-966A-4623-AAC9-B547D9365BF2}"/>
            </a:ext>
          </a:extLst>
        </xdr:cNvPr>
        <xdr:cNvGrpSpPr/>
      </xdr:nvGrpSpPr>
      <xdr:grpSpPr>
        <a:xfrm>
          <a:off x="4600576" y="64054039"/>
          <a:ext cx="988086" cy="552679"/>
          <a:chOff x="1633113" y="2430783"/>
          <a:chExt cx="908902" cy="422628"/>
        </a:xfrm>
      </xdr:grpSpPr>
      <xdr:sp macro="" textlink="">
        <xdr:nvSpPr>
          <xdr:cNvPr id="215" name="フローチャート: 定義済み処理 9">
            <a:extLst>
              <a:ext uri="{FF2B5EF4-FFF2-40B4-BE49-F238E27FC236}">
                <a16:creationId xmlns:a16="http://schemas.microsoft.com/office/drawing/2014/main" id="{3A94A4CC-8CD2-7586-418C-ECE7E0D9AF99}"/>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6" name="正方形/長方形 48">
            <a:extLst>
              <a:ext uri="{FF2B5EF4-FFF2-40B4-BE49-F238E27FC236}">
                <a16:creationId xmlns:a16="http://schemas.microsoft.com/office/drawing/2014/main" id="{A8D3726D-03FE-4EF7-7678-D95689E4DE39}"/>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間接法の振替</a:t>
            </a:r>
            <a:endParaRPr kumimoji="1" lang="en-US" altLang="ja-JP" sz="900"/>
          </a:p>
          <a:p>
            <a:pPr algn="ctr"/>
            <a:r>
              <a:rPr kumimoji="1" lang="ja-JP" altLang="en-US" sz="900"/>
              <a:t>仕訳の登録</a:t>
            </a:r>
            <a:endParaRPr kumimoji="1" lang="en-US" altLang="ja-JP" sz="900"/>
          </a:p>
        </xdr:txBody>
      </xdr:sp>
    </xdr:grpSp>
    <xdr:clientData/>
  </xdr:twoCellAnchor>
  <xdr:twoCellAnchor>
    <xdr:from>
      <xdr:col>6</xdr:col>
      <xdr:colOff>35718</xdr:colOff>
      <xdr:row>22</xdr:row>
      <xdr:rowOff>0</xdr:rowOff>
    </xdr:from>
    <xdr:to>
      <xdr:col>11</xdr:col>
      <xdr:colOff>103018</xdr:colOff>
      <xdr:row>24</xdr:row>
      <xdr:rowOff>27506</xdr:rowOff>
    </xdr:to>
    <xdr:grpSp>
      <xdr:nvGrpSpPr>
        <xdr:cNvPr id="217" name="グループ化 30">
          <a:extLst>
            <a:ext uri="{FF2B5EF4-FFF2-40B4-BE49-F238E27FC236}">
              <a16:creationId xmlns:a16="http://schemas.microsoft.com/office/drawing/2014/main" id="{C108B616-E00D-4DA5-8B04-B9E237A91A5D}"/>
            </a:ext>
          </a:extLst>
        </xdr:cNvPr>
        <xdr:cNvGrpSpPr>
          <a:grpSpLocks noChangeAspect="1"/>
        </xdr:cNvGrpSpPr>
      </xdr:nvGrpSpPr>
      <xdr:grpSpPr>
        <a:xfrm>
          <a:off x="1121568" y="3924300"/>
          <a:ext cx="972175" cy="379931"/>
          <a:chOff x="2595823" y="18514795"/>
          <a:chExt cx="1182905" cy="417276"/>
        </a:xfrm>
      </xdr:grpSpPr>
      <xdr:sp macro="" textlink="">
        <xdr:nvSpPr>
          <xdr:cNvPr id="218" name="フローチャート: 書類 31">
            <a:extLst>
              <a:ext uri="{FF2B5EF4-FFF2-40B4-BE49-F238E27FC236}">
                <a16:creationId xmlns:a16="http://schemas.microsoft.com/office/drawing/2014/main" id="{9A10D3AA-8C38-43C4-B89E-8EEB56C95261}"/>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19" name="正方形/長方形 35">
            <a:extLst>
              <a:ext uri="{FF2B5EF4-FFF2-40B4-BE49-F238E27FC236}">
                <a16:creationId xmlns:a16="http://schemas.microsoft.com/office/drawing/2014/main" id="{07C8BD24-7C70-A3B2-EE6A-8859F7EBC29C}"/>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11</xdr:col>
      <xdr:colOff>179575</xdr:colOff>
      <xdr:row>25</xdr:row>
      <xdr:rowOff>144550</xdr:rowOff>
    </xdr:from>
    <xdr:to>
      <xdr:col>17</xdr:col>
      <xdr:colOff>10040</xdr:colOff>
      <xdr:row>29</xdr:row>
      <xdr:rowOff>6869</xdr:rowOff>
    </xdr:to>
    <xdr:grpSp>
      <xdr:nvGrpSpPr>
        <xdr:cNvPr id="220" name="グループ化 219">
          <a:extLst>
            <a:ext uri="{FF2B5EF4-FFF2-40B4-BE49-F238E27FC236}">
              <a16:creationId xmlns:a16="http://schemas.microsoft.com/office/drawing/2014/main" id="{A7EFF04A-E950-453E-970A-77B3FFCE09C2}"/>
            </a:ext>
          </a:extLst>
        </xdr:cNvPr>
        <xdr:cNvGrpSpPr/>
      </xdr:nvGrpSpPr>
      <xdr:grpSpPr>
        <a:xfrm>
          <a:off x="2170300" y="4602250"/>
          <a:ext cx="916315" cy="567169"/>
          <a:chOff x="5326250" y="3402150"/>
          <a:chExt cx="1032202" cy="540459"/>
        </a:xfrm>
      </xdr:grpSpPr>
      <xdr:sp macro="" textlink="">
        <xdr:nvSpPr>
          <xdr:cNvPr id="221" name="正方形/長方形 220">
            <a:extLst>
              <a:ext uri="{FF2B5EF4-FFF2-40B4-BE49-F238E27FC236}">
                <a16:creationId xmlns:a16="http://schemas.microsoft.com/office/drawing/2014/main" id="{6C0C149E-ECE5-2527-704B-CA62B44C3C26}"/>
              </a:ext>
            </a:extLst>
          </xdr:cNvPr>
          <xdr:cNvSpPr/>
        </xdr:nvSpPr>
        <xdr:spPr>
          <a:xfrm>
            <a:off x="5407275" y="3466164"/>
            <a:ext cx="893422" cy="401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2" name="正方形/長方形 48">
            <a:extLst>
              <a:ext uri="{FF2B5EF4-FFF2-40B4-BE49-F238E27FC236}">
                <a16:creationId xmlns:a16="http://schemas.microsoft.com/office/drawing/2014/main" id="{3F6F315A-EBEE-9F29-075E-0B8C43960F6E}"/>
              </a:ext>
            </a:extLst>
          </xdr:cNvPr>
          <xdr:cNvSpPr/>
        </xdr:nvSpPr>
        <xdr:spPr>
          <a:xfrm>
            <a:off x="5326250" y="3402150"/>
            <a:ext cx="1032202" cy="5404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grpSp>
    <xdr:clientData/>
  </xdr:twoCellAnchor>
  <xdr:twoCellAnchor>
    <xdr:from>
      <xdr:col>5</xdr:col>
      <xdr:colOff>177730</xdr:colOff>
      <xdr:row>22</xdr:row>
      <xdr:rowOff>164379</xdr:rowOff>
    </xdr:from>
    <xdr:to>
      <xdr:col>14</xdr:col>
      <xdr:colOff>109616</xdr:colOff>
      <xdr:row>26</xdr:row>
      <xdr:rowOff>40977</xdr:rowOff>
    </xdr:to>
    <xdr:cxnSp macro="">
      <xdr:nvCxnSpPr>
        <xdr:cNvPr id="223" name="コネクタ: カギ線 35">
          <a:extLst>
            <a:ext uri="{FF2B5EF4-FFF2-40B4-BE49-F238E27FC236}">
              <a16:creationId xmlns:a16="http://schemas.microsoft.com/office/drawing/2014/main" id="{CE64B266-36B5-4238-ADBB-47CA5802E85C}"/>
            </a:ext>
          </a:extLst>
        </xdr:cNvPr>
        <xdr:cNvCxnSpPr>
          <a:cxnSpLocks/>
          <a:stCxn id="43" idx="2"/>
          <a:endCxn id="221" idx="0"/>
        </xdr:cNvCxnSpPr>
      </xdr:nvCxnSpPr>
      <xdr:spPr>
        <a:xfrm rot="16200000" flipH="1">
          <a:off x="1761124" y="2924385"/>
          <a:ext cx="565573" cy="172576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215</xdr:colOff>
      <xdr:row>32</xdr:row>
      <xdr:rowOff>27400</xdr:rowOff>
    </xdr:from>
    <xdr:to>
      <xdr:col>17</xdr:col>
      <xdr:colOff>26294</xdr:colOff>
      <xdr:row>35</xdr:row>
      <xdr:rowOff>46242</xdr:rowOff>
    </xdr:to>
    <xdr:grpSp>
      <xdr:nvGrpSpPr>
        <xdr:cNvPr id="224" name="グループ化 223">
          <a:extLst>
            <a:ext uri="{FF2B5EF4-FFF2-40B4-BE49-F238E27FC236}">
              <a16:creationId xmlns:a16="http://schemas.microsoft.com/office/drawing/2014/main" id="{0F6FED83-171D-4DBE-B67A-B84566777DDA}"/>
            </a:ext>
          </a:extLst>
        </xdr:cNvPr>
        <xdr:cNvGrpSpPr/>
      </xdr:nvGrpSpPr>
      <xdr:grpSpPr>
        <a:xfrm>
          <a:off x="2171915" y="5732875"/>
          <a:ext cx="930954" cy="542717"/>
          <a:chOff x="5337390" y="4451556"/>
          <a:chExt cx="1053191" cy="520785"/>
        </a:xfrm>
      </xdr:grpSpPr>
      <xdr:sp macro="" textlink="">
        <xdr:nvSpPr>
          <xdr:cNvPr id="225" name="フローチャート: 定義済み処理 224">
            <a:extLst>
              <a:ext uri="{FF2B5EF4-FFF2-40B4-BE49-F238E27FC236}">
                <a16:creationId xmlns:a16="http://schemas.microsoft.com/office/drawing/2014/main" id="{54225883-8159-B01E-DEDB-86F876861548}"/>
              </a:ext>
            </a:extLst>
          </xdr:cNvPr>
          <xdr:cNvSpPr/>
        </xdr:nvSpPr>
        <xdr:spPr>
          <a:xfrm>
            <a:off x="5379882" y="4473788"/>
            <a:ext cx="941723" cy="47496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6" name="正方形/長方形 48">
            <a:extLst>
              <a:ext uri="{FF2B5EF4-FFF2-40B4-BE49-F238E27FC236}">
                <a16:creationId xmlns:a16="http://schemas.microsoft.com/office/drawing/2014/main" id="{F5408BD7-20B6-9CB2-61D7-78E0C33B8739}"/>
              </a:ext>
            </a:extLst>
          </xdr:cNvPr>
          <xdr:cNvSpPr/>
        </xdr:nvSpPr>
        <xdr:spPr>
          <a:xfrm>
            <a:off x="5337390" y="4451556"/>
            <a:ext cx="1053191"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grpSp>
    <xdr:clientData/>
  </xdr:twoCellAnchor>
  <xdr:twoCellAnchor>
    <xdr:from>
      <xdr:col>14</xdr:col>
      <xdr:colOff>100105</xdr:colOff>
      <xdr:row>28</xdr:row>
      <xdr:rowOff>102804</xdr:rowOff>
    </xdr:from>
    <xdr:to>
      <xdr:col>14</xdr:col>
      <xdr:colOff>106513</xdr:colOff>
      <xdr:row>32</xdr:row>
      <xdr:rowOff>52727</xdr:rowOff>
    </xdr:to>
    <xdr:cxnSp macro="">
      <xdr:nvCxnSpPr>
        <xdr:cNvPr id="227" name="直線矢印コネクタ 226">
          <a:extLst>
            <a:ext uri="{FF2B5EF4-FFF2-40B4-BE49-F238E27FC236}">
              <a16:creationId xmlns:a16="http://schemas.microsoft.com/office/drawing/2014/main" id="{75F0B5A2-C830-4676-A92D-CB8D583C13DE}"/>
            </a:ext>
          </a:extLst>
        </xdr:cNvPr>
        <xdr:cNvCxnSpPr>
          <a:stCxn id="221" idx="2"/>
          <a:endCxn id="225" idx="0"/>
        </xdr:cNvCxnSpPr>
      </xdr:nvCxnSpPr>
      <xdr:spPr>
        <a:xfrm flipH="1">
          <a:off x="2903630" y="4477954"/>
          <a:ext cx="58" cy="62937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133373</xdr:colOff>
      <xdr:row>28</xdr:row>
      <xdr:rowOff>8388</xdr:rowOff>
    </xdr:from>
    <xdr:to>
      <xdr:col>20</xdr:col>
      <xdr:colOff>11232</xdr:colOff>
      <xdr:row>30</xdr:row>
      <xdr:rowOff>45279</xdr:rowOff>
    </xdr:to>
    <xdr:grpSp>
      <xdr:nvGrpSpPr>
        <xdr:cNvPr id="228" name="グループ化 227">
          <a:extLst>
            <a:ext uri="{FF2B5EF4-FFF2-40B4-BE49-F238E27FC236}">
              <a16:creationId xmlns:a16="http://schemas.microsoft.com/office/drawing/2014/main" id="{FB96BB44-BEB4-4349-8F65-B3A33436A316}"/>
            </a:ext>
          </a:extLst>
        </xdr:cNvPr>
        <xdr:cNvGrpSpPr>
          <a:grpSpLocks noChangeAspect="1"/>
        </xdr:cNvGrpSpPr>
      </xdr:nvGrpSpPr>
      <xdr:grpSpPr>
        <a:xfrm>
          <a:off x="2667023" y="4989963"/>
          <a:ext cx="963709" cy="398841"/>
          <a:chOff x="2595823" y="18514795"/>
          <a:chExt cx="1182905" cy="417276"/>
        </a:xfrm>
      </xdr:grpSpPr>
      <xdr:sp macro="" textlink="">
        <xdr:nvSpPr>
          <xdr:cNvPr id="229" name="フローチャート: 書類 228">
            <a:extLst>
              <a:ext uri="{FF2B5EF4-FFF2-40B4-BE49-F238E27FC236}">
                <a16:creationId xmlns:a16="http://schemas.microsoft.com/office/drawing/2014/main" id="{21080DAE-3717-A1CD-2E93-83532122E226}"/>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230" name="正方形/長方形 229">
            <a:extLst>
              <a:ext uri="{FF2B5EF4-FFF2-40B4-BE49-F238E27FC236}">
                <a16:creationId xmlns:a16="http://schemas.microsoft.com/office/drawing/2014/main" id="{7922E2EA-3C71-F6A0-8DCB-3A7E2F6851DC}"/>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11</xdr:col>
      <xdr:colOff>191668</xdr:colOff>
      <xdr:row>38</xdr:row>
      <xdr:rowOff>67896</xdr:rowOff>
    </xdr:from>
    <xdr:to>
      <xdr:col>17</xdr:col>
      <xdr:colOff>85981</xdr:colOff>
      <xdr:row>41</xdr:row>
      <xdr:rowOff>88860</xdr:rowOff>
    </xdr:to>
    <xdr:grpSp>
      <xdr:nvGrpSpPr>
        <xdr:cNvPr id="231" name="グループ化 8">
          <a:extLst>
            <a:ext uri="{FF2B5EF4-FFF2-40B4-BE49-F238E27FC236}">
              <a16:creationId xmlns:a16="http://schemas.microsoft.com/office/drawing/2014/main" id="{D5A2B1A2-1486-47AD-A233-B4BA561E5383}"/>
            </a:ext>
          </a:extLst>
        </xdr:cNvPr>
        <xdr:cNvGrpSpPr/>
      </xdr:nvGrpSpPr>
      <xdr:grpSpPr>
        <a:xfrm>
          <a:off x="2172868" y="6840171"/>
          <a:ext cx="989688" cy="544839"/>
          <a:chOff x="1679605" y="2439643"/>
          <a:chExt cx="908902" cy="420662"/>
        </a:xfrm>
      </xdr:grpSpPr>
      <xdr:sp macro="" textlink="">
        <xdr:nvSpPr>
          <xdr:cNvPr id="232" name="フローチャート: 定義済み処理 9">
            <a:extLst>
              <a:ext uri="{FF2B5EF4-FFF2-40B4-BE49-F238E27FC236}">
                <a16:creationId xmlns:a16="http://schemas.microsoft.com/office/drawing/2014/main" id="{3E91E928-A91D-1983-C4C7-E8C1DE6E635F}"/>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3" name="正方形/長方形 48">
            <a:extLst>
              <a:ext uri="{FF2B5EF4-FFF2-40B4-BE49-F238E27FC236}">
                <a16:creationId xmlns:a16="http://schemas.microsoft.com/office/drawing/2014/main" id="{6F629211-8E16-E2F4-F1E2-F594C6CEC03B}"/>
              </a:ext>
            </a:extLst>
          </xdr:cNvPr>
          <xdr:cNvSpPr/>
        </xdr:nvSpPr>
        <xdr:spPr>
          <a:xfrm>
            <a:off x="1679605" y="243964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t>リースに紐づく</a:t>
            </a:r>
            <a:endParaRPr kumimoji="1" lang="en-US" altLang="ja-JP" sz="900"/>
          </a:p>
          <a:p>
            <a:pPr algn="ctr"/>
            <a:r>
              <a:rPr kumimoji="1" lang="ja-JP" altLang="en-US" sz="900"/>
              <a:t>帳簿の作成</a:t>
            </a:r>
          </a:p>
        </xdr:txBody>
      </xdr:sp>
    </xdr:grpSp>
    <xdr:clientData/>
  </xdr:twoCellAnchor>
  <xdr:twoCellAnchor>
    <xdr:from>
      <xdr:col>14</xdr:col>
      <xdr:colOff>100105</xdr:colOff>
      <xdr:row>35</xdr:row>
      <xdr:rowOff>25911</xdr:rowOff>
    </xdr:from>
    <xdr:to>
      <xdr:col>14</xdr:col>
      <xdr:colOff>109253</xdr:colOff>
      <xdr:row>38</xdr:row>
      <xdr:rowOff>89952</xdr:rowOff>
    </xdr:to>
    <xdr:cxnSp macro="">
      <xdr:nvCxnSpPr>
        <xdr:cNvPr id="234" name="直線矢印コネクタ 233">
          <a:extLst>
            <a:ext uri="{FF2B5EF4-FFF2-40B4-BE49-F238E27FC236}">
              <a16:creationId xmlns:a16="http://schemas.microsoft.com/office/drawing/2014/main" id="{18BD9927-E7DB-481E-8B79-86BE43ABA65B}"/>
            </a:ext>
          </a:extLst>
        </xdr:cNvPr>
        <xdr:cNvCxnSpPr>
          <a:cxnSpLocks/>
          <a:stCxn id="225" idx="2"/>
          <a:endCxn id="232" idx="0"/>
        </xdr:cNvCxnSpPr>
      </xdr:nvCxnSpPr>
      <xdr:spPr>
        <a:xfrm>
          <a:off x="2903630" y="5601211"/>
          <a:ext cx="2798" cy="57204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160648</xdr:colOff>
      <xdr:row>70</xdr:row>
      <xdr:rowOff>57656</xdr:rowOff>
    </xdr:from>
    <xdr:to>
      <xdr:col>17</xdr:col>
      <xdr:colOff>63786</xdr:colOff>
      <xdr:row>73</xdr:row>
      <xdr:rowOff>86123</xdr:rowOff>
    </xdr:to>
    <xdr:grpSp>
      <xdr:nvGrpSpPr>
        <xdr:cNvPr id="235" name="グループ化 8">
          <a:extLst>
            <a:ext uri="{FF2B5EF4-FFF2-40B4-BE49-F238E27FC236}">
              <a16:creationId xmlns:a16="http://schemas.microsoft.com/office/drawing/2014/main" id="{91CC5C50-8F27-4B39-A6AB-D22B237208D4}"/>
            </a:ext>
          </a:extLst>
        </xdr:cNvPr>
        <xdr:cNvGrpSpPr/>
      </xdr:nvGrpSpPr>
      <xdr:grpSpPr>
        <a:xfrm>
          <a:off x="2151373" y="12478256"/>
          <a:ext cx="988988" cy="542817"/>
          <a:chOff x="1658310" y="2444762"/>
          <a:chExt cx="908902" cy="420662"/>
        </a:xfrm>
      </xdr:grpSpPr>
      <xdr:sp macro="" textlink="">
        <xdr:nvSpPr>
          <xdr:cNvPr id="236" name="フローチャート: 定義済み処理 9">
            <a:extLst>
              <a:ext uri="{FF2B5EF4-FFF2-40B4-BE49-F238E27FC236}">
                <a16:creationId xmlns:a16="http://schemas.microsoft.com/office/drawing/2014/main" id="{F0185EE1-D164-EA3F-7549-50AD626351EB}"/>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37" name="正方形/長方形 48">
            <a:extLst>
              <a:ext uri="{FF2B5EF4-FFF2-40B4-BE49-F238E27FC236}">
                <a16:creationId xmlns:a16="http://schemas.microsoft.com/office/drawing/2014/main" id="{A8F4AA7C-5755-4BA2-5C0C-B171FB3C6923}"/>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７</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支払スケジュール確定処理</a:t>
            </a:r>
            <a:endParaRPr kumimoji="1" lang="ja-JP" altLang="en-US" sz="900"/>
          </a:p>
        </xdr:txBody>
      </xdr:sp>
    </xdr:grpSp>
    <xdr:clientData/>
  </xdr:twoCellAnchor>
  <xdr:twoCellAnchor>
    <xdr:from>
      <xdr:col>14</xdr:col>
      <xdr:colOff>99807</xdr:colOff>
      <xdr:row>41</xdr:row>
      <xdr:rowOff>52763</xdr:rowOff>
    </xdr:from>
    <xdr:to>
      <xdr:col>14</xdr:col>
      <xdr:colOff>110281</xdr:colOff>
      <xdr:row>51</xdr:row>
      <xdr:rowOff>140061</xdr:rowOff>
    </xdr:to>
    <xdr:cxnSp macro="">
      <xdr:nvCxnSpPr>
        <xdr:cNvPr id="238" name="直線矢印コネクタ 237">
          <a:extLst>
            <a:ext uri="{FF2B5EF4-FFF2-40B4-BE49-F238E27FC236}">
              <a16:creationId xmlns:a16="http://schemas.microsoft.com/office/drawing/2014/main" id="{5DD3566D-312C-4C4B-87F0-3B84949267A9}"/>
            </a:ext>
          </a:extLst>
        </xdr:cNvPr>
        <xdr:cNvCxnSpPr>
          <a:stCxn id="232" idx="2"/>
          <a:endCxn id="374" idx="0"/>
        </xdr:cNvCxnSpPr>
      </xdr:nvCxnSpPr>
      <xdr:spPr>
        <a:xfrm flipH="1">
          <a:off x="2843634" y="6684985"/>
          <a:ext cx="10474" cy="181199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173348</xdr:colOff>
      <xdr:row>76</xdr:row>
      <xdr:rowOff>158750</xdr:rowOff>
    </xdr:from>
    <xdr:to>
      <xdr:col>17</xdr:col>
      <xdr:colOff>57890</xdr:colOff>
      <xdr:row>80</xdr:row>
      <xdr:rowOff>16685</xdr:rowOff>
    </xdr:to>
    <xdr:grpSp>
      <xdr:nvGrpSpPr>
        <xdr:cNvPr id="239" name="グループ化 8">
          <a:extLst>
            <a:ext uri="{FF2B5EF4-FFF2-40B4-BE49-F238E27FC236}">
              <a16:creationId xmlns:a16="http://schemas.microsoft.com/office/drawing/2014/main" id="{BE7B3310-195D-466F-8596-C8BBE843A96B}"/>
            </a:ext>
          </a:extLst>
        </xdr:cNvPr>
        <xdr:cNvGrpSpPr/>
      </xdr:nvGrpSpPr>
      <xdr:grpSpPr>
        <a:xfrm>
          <a:off x="2164073" y="13636625"/>
          <a:ext cx="970392" cy="553260"/>
          <a:chOff x="1653542" y="2416116"/>
          <a:chExt cx="908902" cy="420662"/>
        </a:xfrm>
      </xdr:grpSpPr>
      <xdr:sp macro="" textlink="">
        <xdr:nvSpPr>
          <xdr:cNvPr id="240" name="フローチャート: 定義済み処理 9">
            <a:extLst>
              <a:ext uri="{FF2B5EF4-FFF2-40B4-BE49-F238E27FC236}">
                <a16:creationId xmlns:a16="http://schemas.microsoft.com/office/drawing/2014/main" id="{5C39DC27-8009-3EE4-6FFF-2088E0265D8F}"/>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1" name="正方形/長方形 48">
            <a:extLst>
              <a:ext uri="{FF2B5EF4-FFF2-40B4-BE49-F238E27FC236}">
                <a16:creationId xmlns:a16="http://schemas.microsoft.com/office/drawing/2014/main" id="{055A07D8-D98F-BA9F-EB06-9C3F87CC9C6A}"/>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８</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初期認識</a:t>
            </a:r>
            <a:endParaRPr kumimoji="1" lang="ja-JP" altLang="en-US" sz="900"/>
          </a:p>
        </xdr:txBody>
      </xdr:sp>
    </xdr:grpSp>
    <xdr:clientData/>
  </xdr:twoCellAnchor>
  <xdr:twoCellAnchor>
    <xdr:from>
      <xdr:col>11</xdr:col>
      <xdr:colOff>173349</xdr:colOff>
      <xdr:row>83</xdr:row>
      <xdr:rowOff>96631</xdr:rowOff>
    </xdr:from>
    <xdr:to>
      <xdr:col>17</xdr:col>
      <xdr:colOff>57891</xdr:colOff>
      <xdr:row>86</xdr:row>
      <xdr:rowOff>123945</xdr:rowOff>
    </xdr:to>
    <xdr:grpSp>
      <xdr:nvGrpSpPr>
        <xdr:cNvPr id="242" name="グループ化 8">
          <a:extLst>
            <a:ext uri="{FF2B5EF4-FFF2-40B4-BE49-F238E27FC236}">
              <a16:creationId xmlns:a16="http://schemas.microsoft.com/office/drawing/2014/main" id="{BCDC7805-EBB1-4182-B1FF-D4B927C93169}"/>
            </a:ext>
          </a:extLst>
        </xdr:cNvPr>
        <xdr:cNvGrpSpPr/>
      </xdr:nvGrpSpPr>
      <xdr:grpSpPr>
        <a:xfrm>
          <a:off x="2164074" y="14803231"/>
          <a:ext cx="970392" cy="551189"/>
          <a:chOff x="1653542" y="2416116"/>
          <a:chExt cx="908902" cy="420662"/>
        </a:xfrm>
      </xdr:grpSpPr>
      <xdr:sp macro="" textlink="">
        <xdr:nvSpPr>
          <xdr:cNvPr id="243" name="フローチャート: 定義済み処理 9">
            <a:extLst>
              <a:ext uri="{FF2B5EF4-FFF2-40B4-BE49-F238E27FC236}">
                <a16:creationId xmlns:a16="http://schemas.microsoft.com/office/drawing/2014/main" id="{4B87C68B-84CC-E57B-EEF0-748930E66047}"/>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4" name="正方形/長方形 48">
            <a:extLst>
              <a:ext uri="{FF2B5EF4-FFF2-40B4-BE49-F238E27FC236}">
                <a16:creationId xmlns:a16="http://schemas.microsoft.com/office/drawing/2014/main" id="{B6D9539F-B5FA-33AA-A885-A33F139410D1}"/>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９</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仕訳の承認依頼</a:t>
            </a:r>
            <a:endParaRPr kumimoji="1" lang="ja-JP" altLang="en-US" sz="900"/>
          </a:p>
        </xdr:txBody>
      </xdr:sp>
    </xdr:grpSp>
    <xdr:clientData/>
  </xdr:twoCellAnchor>
  <xdr:twoCellAnchor>
    <xdr:from>
      <xdr:col>14</xdr:col>
      <xdr:colOff>111770</xdr:colOff>
      <xdr:row>73</xdr:row>
      <xdr:rowOff>41331</xdr:rowOff>
    </xdr:from>
    <xdr:to>
      <xdr:col>14</xdr:col>
      <xdr:colOff>117822</xdr:colOff>
      <xdr:row>77</xdr:row>
      <xdr:rowOff>43618</xdr:rowOff>
    </xdr:to>
    <xdr:cxnSp macro="">
      <xdr:nvCxnSpPr>
        <xdr:cNvPr id="245" name="直線矢印コネクタ 244">
          <a:extLst>
            <a:ext uri="{FF2B5EF4-FFF2-40B4-BE49-F238E27FC236}">
              <a16:creationId xmlns:a16="http://schemas.microsoft.com/office/drawing/2014/main" id="{D45982A1-9799-476D-822B-231083BEA271}"/>
            </a:ext>
          </a:extLst>
        </xdr:cNvPr>
        <xdr:cNvCxnSpPr>
          <a:stCxn id="236" idx="2"/>
          <a:endCxn id="240" idx="0"/>
        </xdr:cNvCxnSpPr>
      </xdr:nvCxnSpPr>
      <xdr:spPr>
        <a:xfrm>
          <a:off x="2912120" y="10588681"/>
          <a:ext cx="9227" cy="68808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117822</xdr:colOff>
      <xdr:row>80</xdr:row>
      <xdr:rowOff>10885</xdr:rowOff>
    </xdr:from>
    <xdr:to>
      <xdr:col>14</xdr:col>
      <xdr:colOff>117823</xdr:colOff>
      <xdr:row>83</xdr:row>
      <xdr:rowOff>148451</xdr:rowOff>
    </xdr:to>
    <xdr:cxnSp macro="">
      <xdr:nvCxnSpPr>
        <xdr:cNvPr id="246" name="直線矢印コネクタ 245">
          <a:extLst>
            <a:ext uri="{FF2B5EF4-FFF2-40B4-BE49-F238E27FC236}">
              <a16:creationId xmlns:a16="http://schemas.microsoft.com/office/drawing/2014/main" id="{740A92E8-F35F-47C3-AD08-0877DAACEE6A}"/>
            </a:ext>
          </a:extLst>
        </xdr:cNvPr>
        <xdr:cNvCxnSpPr>
          <a:stCxn id="240" idx="2"/>
          <a:endCxn id="243" idx="0"/>
        </xdr:cNvCxnSpPr>
      </xdr:nvCxnSpPr>
      <xdr:spPr>
        <a:xfrm>
          <a:off x="2921347" y="11752035"/>
          <a:ext cx="1" cy="65191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107158</xdr:colOff>
      <xdr:row>93</xdr:row>
      <xdr:rowOff>20155</xdr:rowOff>
    </xdr:from>
    <xdr:to>
      <xdr:col>25</xdr:col>
      <xdr:colOff>15875</xdr:colOff>
      <xdr:row>96</xdr:row>
      <xdr:rowOff>56994</xdr:rowOff>
    </xdr:to>
    <xdr:grpSp>
      <xdr:nvGrpSpPr>
        <xdr:cNvPr id="247" name="グループ化 8">
          <a:extLst>
            <a:ext uri="{FF2B5EF4-FFF2-40B4-BE49-F238E27FC236}">
              <a16:creationId xmlns:a16="http://schemas.microsoft.com/office/drawing/2014/main" id="{A47D0351-B38F-44D7-9147-4646CA915EE5}"/>
            </a:ext>
          </a:extLst>
        </xdr:cNvPr>
        <xdr:cNvGrpSpPr/>
      </xdr:nvGrpSpPr>
      <xdr:grpSpPr>
        <a:xfrm>
          <a:off x="3364708" y="16507930"/>
          <a:ext cx="1175542" cy="551189"/>
          <a:chOff x="1566037" y="2423385"/>
          <a:chExt cx="1093149" cy="420662"/>
        </a:xfrm>
      </xdr:grpSpPr>
      <xdr:sp macro="" textlink="">
        <xdr:nvSpPr>
          <xdr:cNvPr id="248" name="フローチャート: 定義済み処理 9">
            <a:extLst>
              <a:ext uri="{FF2B5EF4-FFF2-40B4-BE49-F238E27FC236}">
                <a16:creationId xmlns:a16="http://schemas.microsoft.com/office/drawing/2014/main" id="{041ABF73-E3B6-F76C-6892-A431567D1B60}"/>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9" name="正方形/長方形 48">
            <a:extLst>
              <a:ext uri="{FF2B5EF4-FFF2-40B4-BE49-F238E27FC236}">
                <a16:creationId xmlns:a16="http://schemas.microsoft.com/office/drawing/2014/main" id="{6D2914F0-9085-59A5-47ED-F332D68DFA8E}"/>
              </a:ext>
            </a:extLst>
          </xdr:cNvPr>
          <xdr:cNvSpPr/>
        </xdr:nvSpPr>
        <xdr:spPr>
          <a:xfrm>
            <a:off x="1566037" y="2423385"/>
            <a:ext cx="1093149"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chemeClr val="dk1"/>
                </a:solidFill>
                <a:effectLst/>
                <a:latin typeface="+mn-lt"/>
                <a:ea typeface="+mn-ea"/>
                <a:cs typeface="+mn-cs"/>
              </a:rPr>
              <a:t>１０</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a:t>
            </a:r>
            <a:endParaRPr kumimoji="1" lang="ja-JP" altLang="en-US" sz="900"/>
          </a:p>
        </xdr:txBody>
      </xdr:sp>
    </xdr:grpSp>
    <xdr:clientData/>
  </xdr:twoCellAnchor>
  <xdr:twoCellAnchor>
    <xdr:from>
      <xdr:col>14</xdr:col>
      <xdr:colOff>117749</xdr:colOff>
      <xdr:row>86</xdr:row>
      <xdr:rowOff>118033</xdr:rowOff>
    </xdr:from>
    <xdr:to>
      <xdr:col>21</xdr:col>
      <xdr:colOff>158832</xdr:colOff>
      <xdr:row>93</xdr:row>
      <xdr:rowOff>63799</xdr:rowOff>
    </xdr:to>
    <xdr:cxnSp macro="">
      <xdr:nvCxnSpPr>
        <xdr:cNvPr id="250" name="コネクタ: カギ線 249">
          <a:extLst>
            <a:ext uri="{FF2B5EF4-FFF2-40B4-BE49-F238E27FC236}">
              <a16:creationId xmlns:a16="http://schemas.microsoft.com/office/drawing/2014/main" id="{3DB1976F-F221-49BA-BA1D-A07CC43DF81F}"/>
            </a:ext>
          </a:extLst>
        </xdr:cNvPr>
        <xdr:cNvCxnSpPr>
          <a:stCxn id="243" idx="2"/>
          <a:endCxn id="248" idx="0"/>
        </xdr:cNvCxnSpPr>
      </xdr:nvCxnSpPr>
      <xdr:spPr>
        <a:xfrm rot="16200000" flipH="1">
          <a:off x="3068945" y="12746562"/>
          <a:ext cx="1145916" cy="144125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117447</xdr:colOff>
      <xdr:row>413</xdr:row>
      <xdr:rowOff>124121</xdr:rowOff>
    </xdr:from>
    <xdr:to>
      <xdr:col>17</xdr:col>
      <xdr:colOff>9627</xdr:colOff>
      <xdr:row>416</xdr:row>
      <xdr:rowOff>149751</xdr:rowOff>
    </xdr:to>
    <xdr:grpSp>
      <xdr:nvGrpSpPr>
        <xdr:cNvPr id="252" name="グループ化 8">
          <a:extLst>
            <a:ext uri="{FF2B5EF4-FFF2-40B4-BE49-F238E27FC236}">
              <a16:creationId xmlns:a16="http://schemas.microsoft.com/office/drawing/2014/main" id="{9363AC79-5D1C-4F47-98EB-4DB1843DBF7F}"/>
            </a:ext>
          </a:extLst>
        </xdr:cNvPr>
        <xdr:cNvGrpSpPr/>
      </xdr:nvGrpSpPr>
      <xdr:grpSpPr>
        <a:xfrm>
          <a:off x="2108172" y="71609246"/>
          <a:ext cx="978030" cy="539980"/>
          <a:chOff x="1633015" y="2430783"/>
          <a:chExt cx="908902" cy="422628"/>
        </a:xfrm>
      </xdr:grpSpPr>
      <xdr:sp macro="" textlink="">
        <xdr:nvSpPr>
          <xdr:cNvPr id="253" name="フローチャート: 定義済み処理 9">
            <a:extLst>
              <a:ext uri="{FF2B5EF4-FFF2-40B4-BE49-F238E27FC236}">
                <a16:creationId xmlns:a16="http://schemas.microsoft.com/office/drawing/2014/main" id="{7485544A-57F2-FB34-3152-D626BB4559E2}"/>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4" name="正方形/長方形 48">
            <a:extLst>
              <a:ext uri="{FF2B5EF4-FFF2-40B4-BE49-F238E27FC236}">
                <a16:creationId xmlns:a16="http://schemas.microsoft.com/office/drawing/2014/main" id="{1FB59DB9-8210-445B-6166-18F617874C99}"/>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endParaRPr kumimoji="1" lang="en-US" altLang="ja-JP" sz="900"/>
          </a:p>
          <a:p>
            <a:pPr algn="ctr"/>
            <a:r>
              <a:rPr kumimoji="1" lang="ja-JP" altLang="en-US" sz="900"/>
              <a:t>承認依頼</a:t>
            </a:r>
          </a:p>
        </xdr:txBody>
      </xdr:sp>
    </xdr:grpSp>
    <xdr:clientData/>
  </xdr:twoCellAnchor>
  <xdr:twoCellAnchor>
    <xdr:from>
      <xdr:col>18</xdr:col>
      <xdr:colOff>160828</xdr:colOff>
      <xdr:row>420</xdr:row>
      <xdr:rowOff>142205</xdr:rowOff>
    </xdr:from>
    <xdr:to>
      <xdr:col>24</xdr:col>
      <xdr:colOff>55251</xdr:colOff>
      <xdr:row>424</xdr:row>
      <xdr:rowOff>11156</xdr:rowOff>
    </xdr:to>
    <xdr:grpSp>
      <xdr:nvGrpSpPr>
        <xdr:cNvPr id="255" name="グループ化 8">
          <a:extLst>
            <a:ext uri="{FF2B5EF4-FFF2-40B4-BE49-F238E27FC236}">
              <a16:creationId xmlns:a16="http://schemas.microsoft.com/office/drawing/2014/main" id="{0F52520B-23D2-40E9-A164-D3C50D62CEC2}"/>
            </a:ext>
          </a:extLst>
        </xdr:cNvPr>
        <xdr:cNvGrpSpPr/>
      </xdr:nvGrpSpPr>
      <xdr:grpSpPr>
        <a:xfrm>
          <a:off x="3418378" y="72827480"/>
          <a:ext cx="980273" cy="554751"/>
          <a:chOff x="1633015" y="2430783"/>
          <a:chExt cx="908902" cy="422628"/>
        </a:xfrm>
      </xdr:grpSpPr>
      <xdr:sp macro="" textlink="">
        <xdr:nvSpPr>
          <xdr:cNvPr id="256" name="フローチャート: 定義済み処理 9">
            <a:extLst>
              <a:ext uri="{FF2B5EF4-FFF2-40B4-BE49-F238E27FC236}">
                <a16:creationId xmlns:a16="http://schemas.microsoft.com/office/drawing/2014/main" id="{8248908D-0257-8E12-E055-64A8FFEAD83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7" name="正方形/長方形 48">
            <a:extLst>
              <a:ext uri="{FF2B5EF4-FFF2-40B4-BE49-F238E27FC236}">
                <a16:creationId xmlns:a16="http://schemas.microsoft.com/office/drawing/2014/main" id="{69704D54-EE17-8FB7-54FF-1C00BDD07D38}"/>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リース終了</a:t>
            </a:r>
            <a:endParaRPr kumimoji="1" lang="en-US" altLang="ja-JP" sz="900"/>
          </a:p>
          <a:p>
            <a:pPr algn="ctr"/>
            <a:r>
              <a:rPr kumimoji="1" lang="ja-JP" altLang="en-US" sz="900"/>
              <a:t>承認</a:t>
            </a:r>
          </a:p>
        </xdr:txBody>
      </xdr:sp>
    </xdr:grpSp>
    <xdr:clientData/>
  </xdr:twoCellAnchor>
  <xdr:twoCellAnchor>
    <xdr:from>
      <xdr:col>11</xdr:col>
      <xdr:colOff>151847</xdr:colOff>
      <xdr:row>427</xdr:row>
      <xdr:rowOff>20707</xdr:rowOff>
    </xdr:from>
    <xdr:to>
      <xdr:col>17</xdr:col>
      <xdr:colOff>46270</xdr:colOff>
      <xdr:row>430</xdr:row>
      <xdr:rowOff>49511</xdr:rowOff>
    </xdr:to>
    <xdr:grpSp>
      <xdr:nvGrpSpPr>
        <xdr:cNvPr id="258" name="グループ化 8">
          <a:extLst>
            <a:ext uri="{FF2B5EF4-FFF2-40B4-BE49-F238E27FC236}">
              <a16:creationId xmlns:a16="http://schemas.microsoft.com/office/drawing/2014/main" id="{B16B778E-475A-470C-AED8-C6A4C438C1C5}"/>
            </a:ext>
          </a:extLst>
        </xdr:cNvPr>
        <xdr:cNvGrpSpPr/>
      </xdr:nvGrpSpPr>
      <xdr:grpSpPr>
        <a:xfrm>
          <a:off x="2142572" y="73906132"/>
          <a:ext cx="980273" cy="543154"/>
          <a:chOff x="1633015" y="2430783"/>
          <a:chExt cx="908902" cy="422628"/>
        </a:xfrm>
      </xdr:grpSpPr>
      <xdr:sp macro="" textlink="">
        <xdr:nvSpPr>
          <xdr:cNvPr id="259" name="フローチャート: 定義済み処理 9">
            <a:extLst>
              <a:ext uri="{FF2B5EF4-FFF2-40B4-BE49-F238E27FC236}">
                <a16:creationId xmlns:a16="http://schemas.microsoft.com/office/drawing/2014/main" id="{71362102-7DF6-5734-C093-0FA78590F44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0" name="正方形/長方形 48">
            <a:extLst>
              <a:ext uri="{FF2B5EF4-FFF2-40B4-BE49-F238E27FC236}">
                <a16:creationId xmlns:a16="http://schemas.microsoft.com/office/drawing/2014/main" id="{A5D34DD6-A77F-66FC-7CE3-B4B599F895C1}"/>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リース終了処理</a:t>
            </a:r>
            <a:endParaRPr kumimoji="1" lang="en-US" altLang="ja-JP" sz="900"/>
          </a:p>
        </xdr:txBody>
      </xdr:sp>
    </xdr:grpSp>
    <xdr:clientData/>
  </xdr:twoCellAnchor>
  <xdr:twoCellAnchor>
    <xdr:from>
      <xdr:col>10</xdr:col>
      <xdr:colOff>122784</xdr:colOff>
      <xdr:row>407</xdr:row>
      <xdr:rowOff>83394</xdr:rowOff>
    </xdr:from>
    <xdr:to>
      <xdr:col>18</xdr:col>
      <xdr:colOff>577</xdr:colOff>
      <xdr:row>411</xdr:row>
      <xdr:rowOff>49360</xdr:rowOff>
    </xdr:to>
    <xdr:grpSp>
      <xdr:nvGrpSpPr>
        <xdr:cNvPr id="261" name="グループ化 260">
          <a:extLst>
            <a:ext uri="{FF2B5EF4-FFF2-40B4-BE49-F238E27FC236}">
              <a16:creationId xmlns:a16="http://schemas.microsoft.com/office/drawing/2014/main" id="{70B5A64E-D214-4B62-BFF6-57A2E856D583}"/>
            </a:ext>
          </a:extLst>
        </xdr:cNvPr>
        <xdr:cNvGrpSpPr/>
      </xdr:nvGrpSpPr>
      <xdr:grpSpPr>
        <a:xfrm>
          <a:off x="1932534" y="70539819"/>
          <a:ext cx="1325593" cy="651766"/>
          <a:chOff x="4950055" y="37349957"/>
          <a:chExt cx="1498939" cy="626366"/>
        </a:xfrm>
      </xdr:grpSpPr>
      <xdr:sp macro="" textlink="">
        <xdr:nvSpPr>
          <xdr:cNvPr id="262" name="フローチャート: 定義済み処理 9">
            <a:extLst>
              <a:ext uri="{FF2B5EF4-FFF2-40B4-BE49-F238E27FC236}">
                <a16:creationId xmlns:a16="http://schemas.microsoft.com/office/drawing/2014/main" id="{3D085C33-E33E-6818-1641-ED85368ADEC8}"/>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3" name="正方形/長方形 48">
            <a:extLst>
              <a:ext uri="{FF2B5EF4-FFF2-40B4-BE49-F238E27FC236}">
                <a16:creationId xmlns:a16="http://schemas.microsoft.com/office/drawing/2014/main" id="{B847D409-35BD-0144-BA68-4644772DB8B5}"/>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grpSp>
    <xdr:clientData/>
  </xdr:twoCellAnchor>
  <xdr:twoCellAnchor>
    <xdr:from>
      <xdr:col>14</xdr:col>
      <xdr:colOff>62289</xdr:colOff>
      <xdr:row>410</xdr:row>
      <xdr:rowOff>131521</xdr:rowOff>
    </xdr:from>
    <xdr:to>
      <xdr:col>14</xdr:col>
      <xdr:colOff>69504</xdr:colOff>
      <xdr:row>413</xdr:row>
      <xdr:rowOff>152538</xdr:rowOff>
    </xdr:to>
    <xdr:cxnSp macro="">
      <xdr:nvCxnSpPr>
        <xdr:cNvPr id="264" name="直線矢印コネクタ 263">
          <a:extLst>
            <a:ext uri="{FF2B5EF4-FFF2-40B4-BE49-F238E27FC236}">
              <a16:creationId xmlns:a16="http://schemas.microsoft.com/office/drawing/2014/main" id="{73BA4B2B-1548-4C13-82B4-532F94630350}"/>
            </a:ext>
          </a:extLst>
        </xdr:cNvPr>
        <xdr:cNvCxnSpPr>
          <a:cxnSpLocks/>
          <a:stCxn id="262" idx="2"/>
          <a:endCxn id="253" idx="0"/>
        </xdr:cNvCxnSpPr>
      </xdr:nvCxnSpPr>
      <xdr:spPr>
        <a:xfrm>
          <a:off x="2865814" y="40850896"/>
          <a:ext cx="865" cy="53536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67904</xdr:colOff>
      <xdr:row>416</xdr:row>
      <xdr:rowOff>120160</xdr:rowOff>
    </xdr:from>
    <xdr:to>
      <xdr:col>21</xdr:col>
      <xdr:colOff>112417</xdr:colOff>
      <xdr:row>421</xdr:row>
      <xdr:rowOff>7518</xdr:rowOff>
    </xdr:to>
    <xdr:cxnSp macro="">
      <xdr:nvCxnSpPr>
        <xdr:cNvPr id="265" name="コネクタ: カギ線 264">
          <a:extLst>
            <a:ext uri="{FF2B5EF4-FFF2-40B4-BE49-F238E27FC236}">
              <a16:creationId xmlns:a16="http://schemas.microsoft.com/office/drawing/2014/main" id="{56C5508D-F68E-4729-BCFD-FD9EAFEC7904}"/>
            </a:ext>
          </a:extLst>
        </xdr:cNvPr>
        <xdr:cNvCxnSpPr>
          <a:stCxn id="253" idx="2"/>
          <a:endCxn id="256" idx="0"/>
        </xdr:cNvCxnSpPr>
      </xdr:nvCxnSpPr>
      <xdr:spPr>
        <a:xfrm rot="16200000" flipH="1">
          <a:off x="3216707" y="41519782"/>
          <a:ext cx="744608" cy="14478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103435</xdr:colOff>
      <xdr:row>423</xdr:row>
      <xdr:rowOff>147690</xdr:rowOff>
    </xdr:from>
    <xdr:to>
      <xdr:col>21</xdr:col>
      <xdr:colOff>112417</xdr:colOff>
      <xdr:row>427</xdr:row>
      <xdr:rowOff>52300</xdr:rowOff>
    </xdr:to>
    <xdr:cxnSp macro="">
      <xdr:nvCxnSpPr>
        <xdr:cNvPr id="266" name="コネクタ: カギ線 265">
          <a:extLst>
            <a:ext uri="{FF2B5EF4-FFF2-40B4-BE49-F238E27FC236}">
              <a16:creationId xmlns:a16="http://schemas.microsoft.com/office/drawing/2014/main" id="{4E769843-2857-4D63-88EF-BE184015F83C}"/>
            </a:ext>
          </a:extLst>
        </xdr:cNvPr>
        <xdr:cNvCxnSpPr>
          <a:stCxn id="256" idx="2"/>
          <a:endCxn id="259" idx="0"/>
        </xdr:cNvCxnSpPr>
      </xdr:nvCxnSpPr>
      <xdr:spPr>
        <a:xfrm rot="5400000">
          <a:off x="3314746" y="42684954"/>
          <a:ext cx="590410" cy="140598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105019</xdr:colOff>
      <xdr:row>430</xdr:row>
      <xdr:rowOff>16508</xdr:rowOff>
    </xdr:from>
    <xdr:to>
      <xdr:col>28</xdr:col>
      <xdr:colOff>77999</xdr:colOff>
      <xdr:row>437</xdr:row>
      <xdr:rowOff>123172</xdr:rowOff>
    </xdr:to>
    <xdr:cxnSp macro="">
      <xdr:nvCxnSpPr>
        <xdr:cNvPr id="267" name="コネクタ: カギ線 266">
          <a:extLst>
            <a:ext uri="{FF2B5EF4-FFF2-40B4-BE49-F238E27FC236}">
              <a16:creationId xmlns:a16="http://schemas.microsoft.com/office/drawing/2014/main" id="{50638BA9-5556-4F5C-97C5-BAA52E5A35BF}"/>
            </a:ext>
          </a:extLst>
        </xdr:cNvPr>
        <xdr:cNvCxnSpPr>
          <a:cxnSpLocks/>
          <a:stCxn id="259" idx="2"/>
          <a:endCxn id="309" idx="0"/>
        </xdr:cNvCxnSpPr>
      </xdr:nvCxnSpPr>
      <xdr:spPr>
        <a:xfrm rot="16200000" flipH="1">
          <a:off x="3685692" y="71627305"/>
          <a:ext cx="1283282" cy="279686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62290</xdr:colOff>
      <xdr:row>405</xdr:row>
      <xdr:rowOff>78524</xdr:rowOff>
    </xdr:from>
    <xdr:to>
      <xdr:col>28</xdr:col>
      <xdr:colOff>38008</xdr:colOff>
      <xdr:row>407</xdr:row>
      <xdr:rowOff>153572</xdr:rowOff>
    </xdr:to>
    <xdr:cxnSp macro="">
      <xdr:nvCxnSpPr>
        <xdr:cNvPr id="268" name="コネクタ: カギ線 267">
          <a:extLst>
            <a:ext uri="{FF2B5EF4-FFF2-40B4-BE49-F238E27FC236}">
              <a16:creationId xmlns:a16="http://schemas.microsoft.com/office/drawing/2014/main" id="{F1199EEE-5FFE-4C8B-B46D-D9496A6E5940}"/>
            </a:ext>
          </a:extLst>
        </xdr:cNvPr>
        <xdr:cNvCxnSpPr>
          <a:stCxn id="56" idx="2"/>
          <a:endCxn id="262" idx="0"/>
        </xdr:cNvCxnSpPr>
      </xdr:nvCxnSpPr>
      <xdr:spPr>
        <a:xfrm rot="5400000">
          <a:off x="4043288" y="38763176"/>
          <a:ext cx="417948" cy="277289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191095</xdr:colOff>
      <xdr:row>369</xdr:row>
      <xdr:rowOff>97119</xdr:rowOff>
    </xdr:from>
    <xdr:to>
      <xdr:col>52</xdr:col>
      <xdr:colOff>8104</xdr:colOff>
      <xdr:row>373</xdr:row>
      <xdr:rowOff>58774</xdr:rowOff>
    </xdr:to>
    <xdr:grpSp>
      <xdr:nvGrpSpPr>
        <xdr:cNvPr id="269" name="グループ化 268">
          <a:extLst>
            <a:ext uri="{FF2B5EF4-FFF2-40B4-BE49-F238E27FC236}">
              <a16:creationId xmlns:a16="http://schemas.microsoft.com/office/drawing/2014/main" id="{8432EB78-43D9-4A99-B789-E6398403DD8C}"/>
            </a:ext>
          </a:extLst>
        </xdr:cNvPr>
        <xdr:cNvGrpSpPr>
          <a:grpSpLocks noChangeAspect="1"/>
        </xdr:cNvGrpSpPr>
      </xdr:nvGrpSpPr>
      <xdr:grpSpPr>
        <a:xfrm>
          <a:off x="8506420" y="64038444"/>
          <a:ext cx="912384" cy="647455"/>
          <a:chOff x="7112003" y="2892425"/>
          <a:chExt cx="873125" cy="584984"/>
        </a:xfrm>
      </xdr:grpSpPr>
      <xdr:sp macro="" textlink="">
        <xdr:nvSpPr>
          <xdr:cNvPr id="270" name="フローチャート: 磁気ディスク 269">
            <a:extLst>
              <a:ext uri="{FF2B5EF4-FFF2-40B4-BE49-F238E27FC236}">
                <a16:creationId xmlns:a16="http://schemas.microsoft.com/office/drawing/2014/main" id="{C07559B7-D36C-AD33-6872-2C50E457271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1" name="正方形/長方形 270">
            <a:extLst>
              <a:ext uri="{FF2B5EF4-FFF2-40B4-BE49-F238E27FC236}">
                <a16:creationId xmlns:a16="http://schemas.microsoft.com/office/drawing/2014/main" id="{1E93BEAC-060D-BB41-915E-58EE6462A849}"/>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110992</xdr:colOff>
      <xdr:row>371</xdr:row>
      <xdr:rowOff>49462</xdr:rowOff>
    </xdr:from>
    <xdr:to>
      <xdr:col>47</xdr:col>
      <xdr:colOff>97791</xdr:colOff>
      <xdr:row>371</xdr:row>
      <xdr:rowOff>51946</xdr:rowOff>
    </xdr:to>
    <xdr:cxnSp macro="">
      <xdr:nvCxnSpPr>
        <xdr:cNvPr id="272" name="直線矢印コネクタ 271">
          <a:extLst>
            <a:ext uri="{FF2B5EF4-FFF2-40B4-BE49-F238E27FC236}">
              <a16:creationId xmlns:a16="http://schemas.microsoft.com/office/drawing/2014/main" id="{5CB927F7-12FD-4B99-902B-2C811B87464D}"/>
            </a:ext>
          </a:extLst>
        </xdr:cNvPr>
        <xdr:cNvCxnSpPr>
          <a:stCxn id="215" idx="3"/>
          <a:endCxn id="270" idx="2"/>
        </xdr:cNvCxnSpPr>
      </xdr:nvCxnSpPr>
      <xdr:spPr>
        <a:xfrm>
          <a:off x="6108567" y="51738462"/>
          <a:ext cx="1990224" cy="24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76201</xdr:colOff>
      <xdr:row>375</xdr:row>
      <xdr:rowOff>29370</xdr:rowOff>
    </xdr:from>
    <xdr:to>
      <xdr:col>30</xdr:col>
      <xdr:colOff>159412</xdr:colOff>
      <xdr:row>378</xdr:row>
      <xdr:rowOff>67699</xdr:rowOff>
    </xdr:to>
    <xdr:grpSp>
      <xdr:nvGrpSpPr>
        <xdr:cNvPr id="273" name="グループ化 8">
          <a:extLst>
            <a:ext uri="{FF2B5EF4-FFF2-40B4-BE49-F238E27FC236}">
              <a16:creationId xmlns:a16="http://schemas.microsoft.com/office/drawing/2014/main" id="{F88BA1B4-2884-4416-AE17-63B513506F78}"/>
            </a:ext>
          </a:extLst>
        </xdr:cNvPr>
        <xdr:cNvGrpSpPr/>
      </xdr:nvGrpSpPr>
      <xdr:grpSpPr>
        <a:xfrm>
          <a:off x="4600576" y="64999395"/>
          <a:ext cx="988086" cy="552679"/>
          <a:chOff x="1633113" y="2430783"/>
          <a:chExt cx="908902" cy="422628"/>
        </a:xfrm>
      </xdr:grpSpPr>
      <xdr:sp macro="" textlink="">
        <xdr:nvSpPr>
          <xdr:cNvPr id="274" name="フローチャート: 定義済み処理 9">
            <a:extLst>
              <a:ext uri="{FF2B5EF4-FFF2-40B4-BE49-F238E27FC236}">
                <a16:creationId xmlns:a16="http://schemas.microsoft.com/office/drawing/2014/main" id="{A7D120BF-FB85-9265-4086-9108654DF16B}"/>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5" name="正方形/長方形 48">
            <a:extLst>
              <a:ext uri="{FF2B5EF4-FFF2-40B4-BE49-F238E27FC236}">
                <a16:creationId xmlns:a16="http://schemas.microsoft.com/office/drawing/2014/main" id="{BB5AFBC2-88A1-6AEE-E974-7B903D7ED23A}"/>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間接法の振替</a:t>
            </a:r>
            <a:endParaRPr kumimoji="1" lang="en-US" altLang="ja-JP" sz="900"/>
          </a:p>
          <a:p>
            <a:pPr algn="ctr"/>
            <a:r>
              <a:rPr kumimoji="1" lang="ja-JP" altLang="en-US" sz="900"/>
              <a:t>仕訳の承認依頼</a:t>
            </a:r>
            <a:endParaRPr kumimoji="1" lang="en-US" altLang="ja-JP" sz="900"/>
          </a:p>
        </xdr:txBody>
      </xdr:sp>
    </xdr:grpSp>
    <xdr:clientData/>
  </xdr:twoCellAnchor>
  <xdr:twoCellAnchor>
    <xdr:from>
      <xdr:col>47</xdr:col>
      <xdr:colOff>595</xdr:colOff>
      <xdr:row>375</xdr:row>
      <xdr:rowOff>10600</xdr:rowOff>
    </xdr:from>
    <xdr:to>
      <xdr:col>52</xdr:col>
      <xdr:colOff>29535</xdr:colOff>
      <xdr:row>378</xdr:row>
      <xdr:rowOff>145292</xdr:rowOff>
    </xdr:to>
    <xdr:grpSp>
      <xdr:nvGrpSpPr>
        <xdr:cNvPr id="276" name="グループ化 275">
          <a:extLst>
            <a:ext uri="{FF2B5EF4-FFF2-40B4-BE49-F238E27FC236}">
              <a16:creationId xmlns:a16="http://schemas.microsoft.com/office/drawing/2014/main" id="{30522A38-563A-4A18-8490-EB046DB72833}"/>
            </a:ext>
          </a:extLst>
        </xdr:cNvPr>
        <xdr:cNvGrpSpPr>
          <a:grpSpLocks noChangeAspect="1"/>
        </xdr:cNvGrpSpPr>
      </xdr:nvGrpSpPr>
      <xdr:grpSpPr>
        <a:xfrm>
          <a:off x="8506420" y="64980625"/>
          <a:ext cx="933815" cy="649042"/>
          <a:chOff x="7112003" y="2892425"/>
          <a:chExt cx="873125" cy="584984"/>
        </a:xfrm>
      </xdr:grpSpPr>
      <xdr:sp macro="" textlink="">
        <xdr:nvSpPr>
          <xdr:cNvPr id="277" name="フローチャート: 磁気ディスク 276">
            <a:extLst>
              <a:ext uri="{FF2B5EF4-FFF2-40B4-BE49-F238E27FC236}">
                <a16:creationId xmlns:a16="http://schemas.microsoft.com/office/drawing/2014/main" id="{CCF90337-2A71-78AC-4D17-48290DD73DA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8" name="正方形/長方形 277">
            <a:extLst>
              <a:ext uri="{FF2B5EF4-FFF2-40B4-BE49-F238E27FC236}">
                <a16:creationId xmlns:a16="http://schemas.microsoft.com/office/drawing/2014/main" id="{D136E8EE-8602-12EE-D505-DBE02C348194}"/>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114027</xdr:colOff>
      <xdr:row>376</xdr:row>
      <xdr:rowOff>129630</xdr:rowOff>
    </xdr:from>
    <xdr:to>
      <xdr:col>47</xdr:col>
      <xdr:colOff>109697</xdr:colOff>
      <xdr:row>376</xdr:row>
      <xdr:rowOff>135026</xdr:rowOff>
    </xdr:to>
    <xdr:cxnSp macro="">
      <xdr:nvCxnSpPr>
        <xdr:cNvPr id="279" name="直線矢印コネクタ 278">
          <a:extLst>
            <a:ext uri="{FF2B5EF4-FFF2-40B4-BE49-F238E27FC236}">
              <a16:creationId xmlns:a16="http://schemas.microsoft.com/office/drawing/2014/main" id="{6F46832E-6AEC-4467-A628-268FEF997DB2}"/>
            </a:ext>
          </a:extLst>
        </xdr:cNvPr>
        <xdr:cNvCxnSpPr>
          <a:stCxn id="274" idx="3"/>
          <a:endCxn id="277" idx="2"/>
        </xdr:cNvCxnSpPr>
      </xdr:nvCxnSpPr>
      <xdr:spPr>
        <a:xfrm>
          <a:off x="6114777" y="52675880"/>
          <a:ext cx="1992745" cy="85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22409</xdr:colOff>
      <xdr:row>372</xdr:row>
      <xdr:rowOff>120736</xdr:rowOff>
    </xdr:from>
    <xdr:to>
      <xdr:col>28</xdr:col>
      <xdr:colOff>22409</xdr:colOff>
      <xdr:row>375</xdr:row>
      <xdr:rowOff>58356</xdr:rowOff>
    </xdr:to>
    <xdr:cxnSp macro="">
      <xdr:nvCxnSpPr>
        <xdr:cNvPr id="280" name="直線矢印コネクタ 279">
          <a:extLst>
            <a:ext uri="{FF2B5EF4-FFF2-40B4-BE49-F238E27FC236}">
              <a16:creationId xmlns:a16="http://schemas.microsoft.com/office/drawing/2014/main" id="{CB1CE5CC-E17C-432C-B946-4C11270D07D1}"/>
            </a:ext>
          </a:extLst>
        </xdr:cNvPr>
        <xdr:cNvCxnSpPr>
          <a:cxnSpLocks/>
          <a:stCxn id="215" idx="2"/>
          <a:endCxn id="274" idx="0"/>
        </xdr:cNvCxnSpPr>
      </xdr:nvCxnSpPr>
      <xdr:spPr>
        <a:xfrm>
          <a:off x="5626284" y="51987536"/>
          <a:ext cx="0" cy="44879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107156</xdr:colOff>
      <xdr:row>383</xdr:row>
      <xdr:rowOff>65358</xdr:rowOff>
    </xdr:from>
    <xdr:to>
      <xdr:col>38</xdr:col>
      <xdr:colOff>3043</xdr:colOff>
      <xdr:row>386</xdr:row>
      <xdr:rowOff>97339</xdr:rowOff>
    </xdr:to>
    <xdr:grpSp>
      <xdr:nvGrpSpPr>
        <xdr:cNvPr id="281" name="グループ化 8">
          <a:extLst>
            <a:ext uri="{FF2B5EF4-FFF2-40B4-BE49-F238E27FC236}">
              <a16:creationId xmlns:a16="http://schemas.microsoft.com/office/drawing/2014/main" id="{DEAB0770-AFFB-451F-9082-79C210F60FFC}"/>
            </a:ext>
          </a:extLst>
        </xdr:cNvPr>
        <xdr:cNvGrpSpPr/>
      </xdr:nvGrpSpPr>
      <xdr:grpSpPr>
        <a:xfrm>
          <a:off x="5898356" y="66406983"/>
          <a:ext cx="981737" cy="546331"/>
          <a:chOff x="1633113" y="2430783"/>
          <a:chExt cx="908902" cy="422628"/>
        </a:xfrm>
      </xdr:grpSpPr>
      <xdr:sp macro="" textlink="">
        <xdr:nvSpPr>
          <xdr:cNvPr id="282" name="フローチャート: 定義済み処理 9">
            <a:extLst>
              <a:ext uri="{FF2B5EF4-FFF2-40B4-BE49-F238E27FC236}">
                <a16:creationId xmlns:a16="http://schemas.microsoft.com/office/drawing/2014/main" id="{128C073A-4191-E497-9152-5F12562C764E}"/>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83" name="正方形/長方形 48">
            <a:extLst>
              <a:ext uri="{FF2B5EF4-FFF2-40B4-BE49-F238E27FC236}">
                <a16:creationId xmlns:a16="http://schemas.microsoft.com/office/drawing/2014/main" id="{43611AD4-578F-C730-867B-E8CF1318799D}"/>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間接法の振替仕訳承認</a:t>
            </a:r>
            <a:endParaRPr kumimoji="1" lang="en-US" altLang="ja-JP" sz="900"/>
          </a:p>
        </xdr:txBody>
      </xdr:sp>
    </xdr:grpSp>
    <xdr:clientData/>
  </xdr:twoCellAnchor>
  <xdr:twoCellAnchor>
    <xdr:from>
      <xdr:col>47</xdr:col>
      <xdr:colOff>26150</xdr:colOff>
      <xdr:row>383</xdr:row>
      <xdr:rowOff>56357</xdr:rowOff>
    </xdr:from>
    <xdr:to>
      <xdr:col>51</xdr:col>
      <xdr:colOff>162758</xdr:colOff>
      <xdr:row>386</xdr:row>
      <xdr:rowOff>132141</xdr:rowOff>
    </xdr:to>
    <xdr:grpSp>
      <xdr:nvGrpSpPr>
        <xdr:cNvPr id="284" name="グループ化 283">
          <a:extLst>
            <a:ext uri="{FF2B5EF4-FFF2-40B4-BE49-F238E27FC236}">
              <a16:creationId xmlns:a16="http://schemas.microsoft.com/office/drawing/2014/main" id="{C849AE52-6D95-4AC4-814E-AA4DE1D58AA3}"/>
            </a:ext>
          </a:extLst>
        </xdr:cNvPr>
        <xdr:cNvGrpSpPr>
          <a:grpSpLocks noChangeAspect="1"/>
        </xdr:cNvGrpSpPr>
      </xdr:nvGrpSpPr>
      <xdr:grpSpPr>
        <a:xfrm>
          <a:off x="8531975" y="66397982"/>
          <a:ext cx="860508" cy="590134"/>
          <a:chOff x="7112003" y="2892425"/>
          <a:chExt cx="873125" cy="584984"/>
        </a:xfrm>
      </xdr:grpSpPr>
      <xdr:sp macro="" textlink="">
        <xdr:nvSpPr>
          <xdr:cNvPr id="285" name="フローチャート: 磁気ディスク 284">
            <a:extLst>
              <a:ext uri="{FF2B5EF4-FFF2-40B4-BE49-F238E27FC236}">
                <a16:creationId xmlns:a16="http://schemas.microsoft.com/office/drawing/2014/main" id="{118B576C-A275-803C-D14F-8F57EB7F511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6" name="正方形/長方形 285">
            <a:extLst>
              <a:ext uri="{FF2B5EF4-FFF2-40B4-BE49-F238E27FC236}">
                <a16:creationId xmlns:a16="http://schemas.microsoft.com/office/drawing/2014/main" id="{211DF97A-282F-BA76-AC92-6A1632C255E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28</xdr:col>
      <xdr:colOff>22409</xdr:colOff>
      <xdr:row>378</xdr:row>
      <xdr:rowOff>34216</xdr:rowOff>
    </xdr:from>
    <xdr:to>
      <xdr:col>35</xdr:col>
      <xdr:colOff>56588</xdr:colOff>
      <xdr:row>383</xdr:row>
      <xdr:rowOff>100124</xdr:rowOff>
    </xdr:to>
    <xdr:cxnSp macro="">
      <xdr:nvCxnSpPr>
        <xdr:cNvPr id="287" name="コネクタ: カギ線 286">
          <a:extLst>
            <a:ext uri="{FF2B5EF4-FFF2-40B4-BE49-F238E27FC236}">
              <a16:creationId xmlns:a16="http://schemas.microsoft.com/office/drawing/2014/main" id="{E0FE4C0E-1436-4142-AB51-B9C4DD4F464C}"/>
            </a:ext>
          </a:extLst>
        </xdr:cNvPr>
        <xdr:cNvCxnSpPr>
          <a:stCxn id="274" idx="2"/>
          <a:endCxn id="282" idx="0"/>
        </xdr:cNvCxnSpPr>
      </xdr:nvCxnSpPr>
      <xdr:spPr>
        <a:xfrm rot="16200000" flipH="1">
          <a:off x="5877120" y="52672530"/>
          <a:ext cx="929508" cy="143117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153947</xdr:colOff>
      <xdr:row>384</xdr:row>
      <xdr:rowOff>153766</xdr:rowOff>
    </xdr:from>
    <xdr:to>
      <xdr:col>47</xdr:col>
      <xdr:colOff>130942</xdr:colOff>
      <xdr:row>385</xdr:row>
      <xdr:rowOff>503</xdr:rowOff>
    </xdr:to>
    <xdr:cxnSp macro="">
      <xdr:nvCxnSpPr>
        <xdr:cNvPr id="288" name="直線矢印コネクタ 287">
          <a:extLst>
            <a:ext uri="{FF2B5EF4-FFF2-40B4-BE49-F238E27FC236}">
              <a16:creationId xmlns:a16="http://schemas.microsoft.com/office/drawing/2014/main" id="{82364AB8-A4A6-4F6C-B72F-2040271D84C3}"/>
            </a:ext>
          </a:extLst>
        </xdr:cNvPr>
        <xdr:cNvCxnSpPr>
          <a:stCxn id="282" idx="3"/>
          <a:endCxn id="285" idx="2"/>
        </xdr:cNvCxnSpPr>
      </xdr:nvCxnSpPr>
      <xdr:spPr>
        <a:xfrm flipV="1">
          <a:off x="7554872" y="54074791"/>
          <a:ext cx="577070" cy="181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99988</xdr:colOff>
      <xdr:row>391</xdr:row>
      <xdr:rowOff>171895</xdr:rowOff>
    </xdr:from>
    <xdr:to>
      <xdr:col>42</xdr:col>
      <xdr:colOff>105157</xdr:colOff>
      <xdr:row>396</xdr:row>
      <xdr:rowOff>12351</xdr:rowOff>
    </xdr:to>
    <xdr:cxnSp macro="">
      <xdr:nvCxnSpPr>
        <xdr:cNvPr id="289" name="直線矢印コネクタ 288">
          <a:extLst>
            <a:ext uri="{FF2B5EF4-FFF2-40B4-BE49-F238E27FC236}">
              <a16:creationId xmlns:a16="http://schemas.microsoft.com/office/drawing/2014/main" id="{736817CA-34E7-48BE-9EA5-1A772CE46526}"/>
            </a:ext>
          </a:extLst>
        </xdr:cNvPr>
        <xdr:cNvCxnSpPr>
          <a:cxnSpLocks/>
          <a:stCxn id="465" idx="2"/>
          <a:endCxn id="208" idx="0"/>
        </xdr:cNvCxnSpPr>
      </xdr:nvCxnSpPr>
      <xdr:spPr>
        <a:xfrm>
          <a:off x="8703214" y="65546169"/>
          <a:ext cx="5169" cy="71102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107606</xdr:colOff>
      <xdr:row>141</xdr:row>
      <xdr:rowOff>12160</xdr:rowOff>
    </xdr:from>
    <xdr:to>
      <xdr:col>52</xdr:col>
      <xdr:colOff>38771</xdr:colOff>
      <xdr:row>144</xdr:row>
      <xdr:rowOff>111530</xdr:rowOff>
    </xdr:to>
    <xdr:grpSp>
      <xdr:nvGrpSpPr>
        <xdr:cNvPr id="290" name="グループ化 289">
          <a:extLst>
            <a:ext uri="{FF2B5EF4-FFF2-40B4-BE49-F238E27FC236}">
              <a16:creationId xmlns:a16="http://schemas.microsoft.com/office/drawing/2014/main" id="{00F1110F-DCBD-4402-A1E4-2EBD26EE2B8C}"/>
            </a:ext>
          </a:extLst>
        </xdr:cNvPr>
        <xdr:cNvGrpSpPr>
          <a:grpSpLocks noChangeAspect="1"/>
        </xdr:cNvGrpSpPr>
      </xdr:nvGrpSpPr>
      <xdr:grpSpPr>
        <a:xfrm>
          <a:off x="8613431" y="24862885"/>
          <a:ext cx="836040" cy="613720"/>
          <a:chOff x="7112003" y="2892425"/>
          <a:chExt cx="873125" cy="584984"/>
        </a:xfrm>
      </xdr:grpSpPr>
      <xdr:sp macro="" textlink="">
        <xdr:nvSpPr>
          <xdr:cNvPr id="291" name="フローチャート: 磁気ディスク 290">
            <a:extLst>
              <a:ext uri="{FF2B5EF4-FFF2-40B4-BE49-F238E27FC236}">
                <a16:creationId xmlns:a16="http://schemas.microsoft.com/office/drawing/2014/main" id="{13C044CE-B410-3D7E-F10F-2FD18A81BF7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2" name="正方形/長方形 291">
            <a:extLst>
              <a:ext uri="{FF2B5EF4-FFF2-40B4-BE49-F238E27FC236}">
                <a16:creationId xmlns:a16="http://schemas.microsoft.com/office/drawing/2014/main" id="{D3BBE7E4-56B1-70B2-C945-4F8B95F63FB9}"/>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リース資産台帳</a:t>
            </a:r>
          </a:p>
        </xdr:txBody>
      </xdr:sp>
    </xdr:grpSp>
    <xdr:clientData/>
  </xdr:twoCellAnchor>
  <xdr:twoCellAnchor>
    <xdr:from>
      <xdr:col>47</xdr:col>
      <xdr:colOff>107606</xdr:colOff>
      <xdr:row>144</xdr:row>
      <xdr:rowOff>107864</xdr:rowOff>
    </xdr:from>
    <xdr:to>
      <xdr:col>52</xdr:col>
      <xdr:colOff>38771</xdr:colOff>
      <xdr:row>148</xdr:row>
      <xdr:rowOff>9931</xdr:rowOff>
    </xdr:to>
    <xdr:grpSp>
      <xdr:nvGrpSpPr>
        <xdr:cNvPr id="293" name="グループ化 292">
          <a:extLst>
            <a:ext uri="{FF2B5EF4-FFF2-40B4-BE49-F238E27FC236}">
              <a16:creationId xmlns:a16="http://schemas.microsoft.com/office/drawing/2014/main" id="{EB5634F7-BE79-4426-843D-7317817C4689}"/>
            </a:ext>
          </a:extLst>
        </xdr:cNvPr>
        <xdr:cNvGrpSpPr>
          <a:grpSpLocks noChangeAspect="1"/>
        </xdr:cNvGrpSpPr>
      </xdr:nvGrpSpPr>
      <xdr:grpSpPr>
        <a:xfrm>
          <a:off x="8613431" y="25472939"/>
          <a:ext cx="836040" cy="587867"/>
          <a:chOff x="7112003" y="2892425"/>
          <a:chExt cx="873125" cy="584984"/>
        </a:xfrm>
      </xdr:grpSpPr>
      <xdr:sp macro="" textlink="">
        <xdr:nvSpPr>
          <xdr:cNvPr id="294" name="フローチャート: 磁気ディスク 293">
            <a:extLst>
              <a:ext uri="{FF2B5EF4-FFF2-40B4-BE49-F238E27FC236}">
                <a16:creationId xmlns:a16="http://schemas.microsoft.com/office/drawing/2014/main" id="{112F79B8-B6A3-D3CF-77FE-47B3E638BE3C}"/>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5" name="正方形/長方形 294">
            <a:extLst>
              <a:ext uri="{FF2B5EF4-FFF2-40B4-BE49-F238E27FC236}">
                <a16:creationId xmlns:a16="http://schemas.microsoft.com/office/drawing/2014/main" id="{01E7B610-D83C-5B42-C431-CE7CAA7FC94A}"/>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solidFill>
                  <a:srgbClr val="FF0000"/>
                </a:solidFill>
              </a:rPr>
              <a:t>リース利息一覧</a:t>
            </a:r>
          </a:p>
        </xdr:txBody>
      </xdr:sp>
    </xdr:grpSp>
    <xdr:clientData/>
  </xdr:twoCellAnchor>
  <xdr:twoCellAnchor>
    <xdr:from>
      <xdr:col>26</xdr:col>
      <xdr:colOff>20424</xdr:colOff>
      <xdr:row>141</xdr:row>
      <xdr:rowOff>1559</xdr:rowOff>
    </xdr:from>
    <xdr:to>
      <xdr:col>31</xdr:col>
      <xdr:colOff>112998</xdr:colOff>
      <xdr:row>144</xdr:row>
      <xdr:rowOff>38399</xdr:rowOff>
    </xdr:to>
    <xdr:grpSp>
      <xdr:nvGrpSpPr>
        <xdr:cNvPr id="296" name="グループ化 8">
          <a:extLst>
            <a:ext uri="{FF2B5EF4-FFF2-40B4-BE49-F238E27FC236}">
              <a16:creationId xmlns:a16="http://schemas.microsoft.com/office/drawing/2014/main" id="{F41E1340-2C57-495A-AA8D-0AD76AE744FE}"/>
            </a:ext>
          </a:extLst>
        </xdr:cNvPr>
        <xdr:cNvGrpSpPr/>
      </xdr:nvGrpSpPr>
      <xdr:grpSpPr>
        <a:xfrm>
          <a:off x="4725774" y="24852284"/>
          <a:ext cx="997449" cy="551190"/>
          <a:chOff x="1653542" y="2416116"/>
          <a:chExt cx="908902" cy="420662"/>
        </a:xfrm>
      </xdr:grpSpPr>
      <xdr:sp macro="" textlink="">
        <xdr:nvSpPr>
          <xdr:cNvPr id="297" name="フローチャート: 定義済み処理 9">
            <a:extLst>
              <a:ext uri="{FF2B5EF4-FFF2-40B4-BE49-F238E27FC236}">
                <a16:creationId xmlns:a16="http://schemas.microsoft.com/office/drawing/2014/main" id="{BE1EC569-9B54-AA00-5F32-F7E7DE41280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98" name="正方形/長方形 48">
            <a:extLst>
              <a:ext uri="{FF2B5EF4-FFF2-40B4-BE49-F238E27FC236}">
                <a16:creationId xmlns:a16="http://schemas.microsoft.com/office/drawing/2014/main" id="{068F505A-7BDC-B965-BDEA-64AC3818EABA}"/>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５</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レポート</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内容確認</a:t>
            </a:r>
            <a:endParaRPr kumimoji="1" lang="ja-JP" altLang="en-US" sz="900"/>
          </a:p>
        </xdr:txBody>
      </xdr:sp>
    </xdr:grpSp>
    <xdr:clientData/>
  </xdr:twoCellAnchor>
  <xdr:twoCellAnchor>
    <xdr:from>
      <xdr:col>28</xdr:col>
      <xdr:colOff>163391</xdr:colOff>
      <xdr:row>144</xdr:row>
      <xdr:rowOff>32235</xdr:rowOff>
    </xdr:from>
    <xdr:to>
      <xdr:col>28</xdr:col>
      <xdr:colOff>166855</xdr:colOff>
      <xdr:row>150</xdr:row>
      <xdr:rowOff>124813</xdr:rowOff>
    </xdr:to>
    <xdr:cxnSp macro="">
      <xdr:nvCxnSpPr>
        <xdr:cNvPr id="299" name="直線矢印コネクタ 298">
          <a:extLst>
            <a:ext uri="{FF2B5EF4-FFF2-40B4-BE49-F238E27FC236}">
              <a16:creationId xmlns:a16="http://schemas.microsoft.com/office/drawing/2014/main" id="{1CDACBFC-56BC-4ADB-9CB2-700EAF0FBC72}"/>
            </a:ext>
          </a:extLst>
        </xdr:cNvPr>
        <xdr:cNvCxnSpPr>
          <a:cxnSpLocks/>
          <a:stCxn id="297" idx="2"/>
          <a:endCxn id="55" idx="0"/>
        </xdr:cNvCxnSpPr>
      </xdr:nvCxnSpPr>
      <xdr:spPr>
        <a:xfrm flipH="1">
          <a:off x="5651045" y="19944581"/>
          <a:ext cx="3464" cy="112739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62194</xdr:colOff>
      <xdr:row>142</xdr:row>
      <xdr:rowOff>122560</xdr:rowOff>
    </xdr:from>
    <xdr:to>
      <xdr:col>48</xdr:col>
      <xdr:colOff>7695</xdr:colOff>
      <xdr:row>142</xdr:row>
      <xdr:rowOff>130362</xdr:rowOff>
    </xdr:to>
    <xdr:cxnSp macro="">
      <xdr:nvCxnSpPr>
        <xdr:cNvPr id="300" name="直線矢印コネクタ 299">
          <a:extLst>
            <a:ext uri="{FF2B5EF4-FFF2-40B4-BE49-F238E27FC236}">
              <a16:creationId xmlns:a16="http://schemas.microsoft.com/office/drawing/2014/main" id="{5F5FA039-21FC-4232-99A2-86C9C1186E17}"/>
            </a:ext>
          </a:extLst>
        </xdr:cNvPr>
        <xdr:cNvCxnSpPr>
          <a:stCxn id="291" idx="2"/>
          <a:endCxn id="297" idx="3"/>
        </xdr:cNvCxnSpPr>
      </xdr:nvCxnSpPr>
      <xdr:spPr>
        <a:xfrm flipH="1">
          <a:off x="6137811" y="19689967"/>
          <a:ext cx="1905378" cy="780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62194</xdr:colOff>
      <xdr:row>142</xdr:row>
      <xdr:rowOff>130362</xdr:rowOff>
    </xdr:from>
    <xdr:to>
      <xdr:col>48</xdr:col>
      <xdr:colOff>7695</xdr:colOff>
      <xdr:row>146</xdr:row>
      <xdr:rowOff>34405</xdr:rowOff>
    </xdr:to>
    <xdr:cxnSp macro="">
      <xdr:nvCxnSpPr>
        <xdr:cNvPr id="301" name="コネクタ: カギ線 300">
          <a:extLst>
            <a:ext uri="{FF2B5EF4-FFF2-40B4-BE49-F238E27FC236}">
              <a16:creationId xmlns:a16="http://schemas.microsoft.com/office/drawing/2014/main" id="{E74BCA20-6935-48BC-8688-10D35306D2E6}"/>
            </a:ext>
          </a:extLst>
        </xdr:cNvPr>
        <xdr:cNvCxnSpPr>
          <a:stCxn id="294" idx="2"/>
          <a:endCxn id="297" idx="3"/>
        </xdr:cNvCxnSpPr>
      </xdr:nvCxnSpPr>
      <xdr:spPr>
        <a:xfrm rot="10800000">
          <a:off x="6137811" y="19697769"/>
          <a:ext cx="1905378" cy="593920"/>
        </a:xfrm>
        <a:prstGeom prst="bentConnector3">
          <a:avLst>
            <a:gd name="adj1" fmla="val 50000"/>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195909</xdr:colOff>
      <xdr:row>150</xdr:row>
      <xdr:rowOff>121638</xdr:rowOff>
    </xdr:from>
    <xdr:to>
      <xdr:col>16</xdr:col>
      <xdr:colOff>100687</xdr:colOff>
      <xdr:row>152</xdr:row>
      <xdr:rowOff>27271</xdr:rowOff>
    </xdr:to>
    <xdr:sp macro="" textlink="">
      <xdr:nvSpPr>
        <xdr:cNvPr id="302" name="フローチャート: 端子 26">
          <a:extLst>
            <a:ext uri="{FF2B5EF4-FFF2-40B4-BE49-F238E27FC236}">
              <a16:creationId xmlns:a16="http://schemas.microsoft.com/office/drawing/2014/main" id="{B9B83861-F826-4676-B816-E525FC58083F}"/>
            </a:ext>
          </a:extLst>
        </xdr:cNvPr>
        <xdr:cNvSpPr/>
      </xdr:nvSpPr>
      <xdr:spPr>
        <a:xfrm>
          <a:off x="2547761" y="21068798"/>
          <a:ext cx="688728" cy="250572"/>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12</xdr:col>
      <xdr:colOff>669</xdr:colOff>
      <xdr:row>141</xdr:row>
      <xdr:rowOff>1559</xdr:rowOff>
    </xdr:from>
    <xdr:to>
      <xdr:col>17</xdr:col>
      <xdr:colOff>90068</xdr:colOff>
      <xdr:row>144</xdr:row>
      <xdr:rowOff>38399</xdr:rowOff>
    </xdr:to>
    <xdr:grpSp>
      <xdr:nvGrpSpPr>
        <xdr:cNvPr id="303" name="グループ化 8">
          <a:extLst>
            <a:ext uri="{FF2B5EF4-FFF2-40B4-BE49-F238E27FC236}">
              <a16:creationId xmlns:a16="http://schemas.microsoft.com/office/drawing/2014/main" id="{BA2AD544-3CE3-411E-B187-CDC1D527F92B}"/>
            </a:ext>
          </a:extLst>
        </xdr:cNvPr>
        <xdr:cNvGrpSpPr/>
      </xdr:nvGrpSpPr>
      <xdr:grpSpPr>
        <a:xfrm>
          <a:off x="2172369" y="24852284"/>
          <a:ext cx="994274" cy="551190"/>
          <a:chOff x="1653542" y="2416116"/>
          <a:chExt cx="908902" cy="420662"/>
        </a:xfrm>
      </xdr:grpSpPr>
      <xdr:sp macro="" textlink="">
        <xdr:nvSpPr>
          <xdr:cNvPr id="304" name="フローチャート: 定義済み処理 9">
            <a:extLst>
              <a:ext uri="{FF2B5EF4-FFF2-40B4-BE49-F238E27FC236}">
                <a16:creationId xmlns:a16="http://schemas.microsoft.com/office/drawing/2014/main" id="{7C0BA938-03E4-EE2C-6CDC-55F138ED08E2}"/>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5" name="正方形/長方形 48">
            <a:extLst>
              <a:ext uri="{FF2B5EF4-FFF2-40B4-BE49-F238E27FC236}">
                <a16:creationId xmlns:a16="http://schemas.microsoft.com/office/drawing/2014/main" id="{1A82468C-AA79-0295-3089-73575C2D75C0}"/>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５</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レポート</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内容確認</a:t>
            </a:r>
            <a:endParaRPr kumimoji="1" lang="ja-JP" altLang="en-US" sz="900"/>
          </a:p>
        </xdr:txBody>
      </xdr:sp>
    </xdr:grpSp>
    <xdr:clientData/>
  </xdr:twoCellAnchor>
  <xdr:twoCellAnchor>
    <xdr:from>
      <xdr:col>14</xdr:col>
      <xdr:colOff>145506</xdr:colOff>
      <xdr:row>144</xdr:row>
      <xdr:rowOff>32235</xdr:rowOff>
    </xdr:from>
    <xdr:to>
      <xdr:col>14</xdr:col>
      <xdr:colOff>148298</xdr:colOff>
      <xdr:row>150</xdr:row>
      <xdr:rowOff>121638</xdr:rowOff>
    </xdr:to>
    <xdr:cxnSp macro="">
      <xdr:nvCxnSpPr>
        <xdr:cNvPr id="306" name="直線矢印コネクタ 305">
          <a:extLst>
            <a:ext uri="{FF2B5EF4-FFF2-40B4-BE49-F238E27FC236}">
              <a16:creationId xmlns:a16="http://schemas.microsoft.com/office/drawing/2014/main" id="{33C1FE46-8314-4997-9EFE-A868A4923587}"/>
            </a:ext>
          </a:extLst>
        </xdr:cNvPr>
        <xdr:cNvCxnSpPr>
          <a:cxnSpLocks/>
          <a:stCxn id="304" idx="2"/>
          <a:endCxn id="302" idx="0"/>
        </xdr:cNvCxnSpPr>
      </xdr:nvCxnSpPr>
      <xdr:spPr>
        <a:xfrm>
          <a:off x="2889333" y="19944581"/>
          <a:ext cx="2792" cy="112421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145753</xdr:colOff>
      <xdr:row>96</xdr:row>
      <xdr:rowOff>41557</xdr:rowOff>
    </xdr:from>
    <xdr:to>
      <xdr:col>42</xdr:col>
      <xdr:colOff>125684</xdr:colOff>
      <xdr:row>101</xdr:row>
      <xdr:rowOff>125344</xdr:rowOff>
    </xdr:to>
    <xdr:cxnSp macro="">
      <xdr:nvCxnSpPr>
        <xdr:cNvPr id="307" name="コネクタ: カギ線 306">
          <a:extLst>
            <a:ext uri="{FF2B5EF4-FFF2-40B4-BE49-F238E27FC236}">
              <a16:creationId xmlns:a16="http://schemas.microsoft.com/office/drawing/2014/main" id="{43880E79-183D-49BE-8BBE-48F864C6F910}"/>
            </a:ext>
          </a:extLst>
        </xdr:cNvPr>
        <xdr:cNvCxnSpPr>
          <a:stCxn id="114" idx="2"/>
          <a:endCxn id="393" idx="0"/>
        </xdr:cNvCxnSpPr>
      </xdr:nvCxnSpPr>
      <xdr:spPr>
        <a:xfrm rot="16200000" flipH="1">
          <a:off x="7366162" y="15852598"/>
          <a:ext cx="941037" cy="138010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39203</xdr:colOff>
      <xdr:row>60</xdr:row>
      <xdr:rowOff>160314</xdr:rowOff>
    </xdr:from>
    <xdr:to>
      <xdr:col>31</xdr:col>
      <xdr:colOff>128872</xdr:colOff>
      <xdr:row>64</xdr:row>
      <xdr:rowOff>18742</xdr:rowOff>
    </xdr:to>
    <xdr:grpSp>
      <xdr:nvGrpSpPr>
        <xdr:cNvPr id="312" name="グループ化 8">
          <a:extLst>
            <a:ext uri="{FF2B5EF4-FFF2-40B4-BE49-F238E27FC236}">
              <a16:creationId xmlns:a16="http://schemas.microsoft.com/office/drawing/2014/main" id="{7162C0CF-3DFF-1884-A55F-6AE1E85090E0}"/>
            </a:ext>
          </a:extLst>
        </xdr:cNvPr>
        <xdr:cNvGrpSpPr/>
      </xdr:nvGrpSpPr>
      <xdr:grpSpPr>
        <a:xfrm>
          <a:off x="4744553" y="10847364"/>
          <a:ext cx="994544" cy="553753"/>
          <a:chOff x="1658310" y="2444762"/>
          <a:chExt cx="908902" cy="420662"/>
        </a:xfrm>
      </xdr:grpSpPr>
      <xdr:sp macro="" textlink="">
        <xdr:nvSpPr>
          <xdr:cNvPr id="313" name="フローチャート: 定義済み処理 9">
            <a:extLst>
              <a:ext uri="{FF2B5EF4-FFF2-40B4-BE49-F238E27FC236}">
                <a16:creationId xmlns:a16="http://schemas.microsoft.com/office/drawing/2014/main" id="{5E40D82E-E588-B3D2-5771-8EE3BC602F4E}"/>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4" name="正方形/長方形 48">
            <a:extLst>
              <a:ext uri="{FF2B5EF4-FFF2-40B4-BE49-F238E27FC236}">
                <a16:creationId xmlns:a16="http://schemas.microsoft.com/office/drawing/2014/main" id="{16265B59-CE9E-FBEB-FC0F-AC27994FD5EA}"/>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6.</a:t>
            </a:r>
            <a:r>
              <a:rPr kumimoji="1" lang="ja-JP" altLang="en-US" sz="900">
                <a:solidFill>
                  <a:schemeClr val="dk1"/>
                </a:solidFill>
                <a:effectLst/>
                <a:latin typeface="+mn-lt"/>
                <a:ea typeface="+mn-ea"/>
                <a:cs typeface="+mn-cs"/>
              </a:rPr>
              <a:t>消費税額の</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登録</a:t>
            </a:r>
            <a:endParaRPr kumimoji="1" lang="ja-JP" altLang="en-US" sz="900"/>
          </a:p>
        </xdr:txBody>
      </xdr:sp>
    </xdr:grpSp>
    <xdr:clientData/>
  </xdr:twoCellAnchor>
  <xdr:twoCellAnchor>
    <xdr:from>
      <xdr:col>28</xdr:col>
      <xdr:colOff>180462</xdr:colOff>
      <xdr:row>63</xdr:row>
      <xdr:rowOff>150454</xdr:rowOff>
    </xdr:from>
    <xdr:to>
      <xdr:col>28</xdr:col>
      <xdr:colOff>182019</xdr:colOff>
      <xdr:row>70</xdr:row>
      <xdr:rowOff>74380</xdr:rowOff>
    </xdr:to>
    <xdr:cxnSp macro="">
      <xdr:nvCxnSpPr>
        <xdr:cNvPr id="327" name="直線矢印コネクタ 326">
          <a:extLst>
            <a:ext uri="{FF2B5EF4-FFF2-40B4-BE49-F238E27FC236}">
              <a16:creationId xmlns:a16="http://schemas.microsoft.com/office/drawing/2014/main" id="{F057D555-F314-460A-86BB-2916F50B90BA}"/>
            </a:ext>
          </a:extLst>
        </xdr:cNvPr>
        <xdr:cNvCxnSpPr>
          <a:stCxn id="313" idx="2"/>
          <a:endCxn id="91" idx="0"/>
        </xdr:cNvCxnSpPr>
      </xdr:nvCxnSpPr>
      <xdr:spPr>
        <a:xfrm>
          <a:off x="5777869" y="10780824"/>
          <a:ext cx="1557" cy="115864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20425</xdr:colOff>
      <xdr:row>120</xdr:row>
      <xdr:rowOff>154430</xdr:rowOff>
    </xdr:from>
    <xdr:to>
      <xdr:col>31</xdr:col>
      <xdr:colOff>116174</xdr:colOff>
      <xdr:row>124</xdr:row>
      <xdr:rowOff>14881</xdr:rowOff>
    </xdr:to>
    <xdr:grpSp>
      <xdr:nvGrpSpPr>
        <xdr:cNvPr id="336" name="グループ化 8">
          <a:extLst>
            <a:ext uri="{FF2B5EF4-FFF2-40B4-BE49-F238E27FC236}">
              <a16:creationId xmlns:a16="http://schemas.microsoft.com/office/drawing/2014/main" id="{0D7F8662-F557-E36B-4A6F-8ED96B992DCA}"/>
            </a:ext>
          </a:extLst>
        </xdr:cNvPr>
        <xdr:cNvGrpSpPr/>
      </xdr:nvGrpSpPr>
      <xdr:grpSpPr>
        <a:xfrm>
          <a:off x="4725775" y="21347555"/>
          <a:ext cx="1000624" cy="555776"/>
          <a:chOff x="1653542" y="2416116"/>
          <a:chExt cx="908902" cy="420662"/>
        </a:xfrm>
      </xdr:grpSpPr>
      <xdr:sp macro="" textlink="">
        <xdr:nvSpPr>
          <xdr:cNvPr id="337" name="フローチャート: 定義済み処理 9">
            <a:extLst>
              <a:ext uri="{FF2B5EF4-FFF2-40B4-BE49-F238E27FC236}">
                <a16:creationId xmlns:a16="http://schemas.microsoft.com/office/drawing/2014/main" id="{8489CB08-2372-D325-5E17-CB6A09FA3B97}"/>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38" name="正方形/長方形 48">
            <a:extLst>
              <a:ext uri="{FF2B5EF4-FFF2-40B4-BE49-F238E27FC236}">
                <a16:creationId xmlns:a16="http://schemas.microsoft.com/office/drawing/2014/main" id="{9E527F5E-666D-578D-CF73-A08526B594E1}"/>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２</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消費税</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振替登録</a:t>
            </a:r>
            <a:endParaRPr kumimoji="1" lang="ja-JP" altLang="en-US" sz="900"/>
          </a:p>
        </xdr:txBody>
      </xdr:sp>
    </xdr:grpSp>
    <xdr:clientData/>
  </xdr:twoCellAnchor>
  <xdr:twoCellAnchor>
    <xdr:from>
      <xdr:col>24</xdr:col>
      <xdr:colOff>188148</xdr:colOff>
      <xdr:row>113</xdr:row>
      <xdr:rowOff>70556</xdr:rowOff>
    </xdr:from>
    <xdr:to>
      <xdr:col>32</xdr:col>
      <xdr:colOff>188787</xdr:colOff>
      <xdr:row>117</xdr:row>
      <xdr:rowOff>36669</xdr:rowOff>
    </xdr:to>
    <xdr:grpSp>
      <xdr:nvGrpSpPr>
        <xdr:cNvPr id="342" name="グループ化 341">
          <a:extLst>
            <a:ext uri="{FF2B5EF4-FFF2-40B4-BE49-F238E27FC236}">
              <a16:creationId xmlns:a16="http://schemas.microsoft.com/office/drawing/2014/main" id="{4C72551C-B2AD-4F0B-8935-786A64FA9A0E}"/>
            </a:ext>
          </a:extLst>
        </xdr:cNvPr>
        <xdr:cNvGrpSpPr/>
      </xdr:nvGrpSpPr>
      <xdr:grpSpPr>
        <a:xfrm>
          <a:off x="4522023" y="20044481"/>
          <a:ext cx="1448439" cy="651913"/>
          <a:chOff x="328663" y="4845050"/>
          <a:chExt cx="1227665" cy="646622"/>
        </a:xfrm>
      </xdr:grpSpPr>
      <xdr:sp macro="" textlink="">
        <xdr:nvSpPr>
          <xdr:cNvPr id="343" name="フローチャート: 判断 342">
            <a:extLst>
              <a:ext uri="{FF2B5EF4-FFF2-40B4-BE49-F238E27FC236}">
                <a16:creationId xmlns:a16="http://schemas.microsoft.com/office/drawing/2014/main" id="{C3F85BEA-4988-B181-78E2-91B33C3FE39C}"/>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344" name="正方形/長方形 48">
            <a:extLst>
              <a:ext uri="{FF2B5EF4-FFF2-40B4-BE49-F238E27FC236}">
                <a16:creationId xmlns:a16="http://schemas.microsoft.com/office/drawing/2014/main" id="{BE7AB7B8-B559-8818-5EBD-2D022071BB57}"/>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300</a:t>
            </a:r>
            <a:r>
              <a:rPr kumimoji="1" lang="ja-JP" altLang="en-US" sz="900"/>
              <a:t>万以上か？</a:t>
            </a:r>
            <a:endParaRPr kumimoji="1" lang="en-US" altLang="ja-JP" sz="900"/>
          </a:p>
          <a:p>
            <a:pPr algn="ctr"/>
            <a:r>
              <a:rPr kumimoji="1" lang="ja-JP" altLang="en-US" sz="900"/>
              <a:t>（ファイナンスリース）</a:t>
            </a:r>
          </a:p>
        </xdr:txBody>
      </xdr:sp>
    </xdr:grpSp>
    <xdr:clientData/>
  </xdr:twoCellAnchor>
  <xdr:twoCellAnchor>
    <xdr:from>
      <xdr:col>28</xdr:col>
      <xdr:colOff>186881</xdr:colOff>
      <xdr:row>54</xdr:row>
      <xdr:rowOff>131713</xdr:rowOff>
    </xdr:from>
    <xdr:to>
      <xdr:col>33</xdr:col>
      <xdr:colOff>106579</xdr:colOff>
      <xdr:row>70</xdr:row>
      <xdr:rowOff>57656</xdr:rowOff>
    </xdr:to>
    <xdr:grpSp>
      <xdr:nvGrpSpPr>
        <xdr:cNvPr id="325" name="グループ化 324">
          <a:extLst>
            <a:ext uri="{FF2B5EF4-FFF2-40B4-BE49-F238E27FC236}">
              <a16:creationId xmlns:a16="http://schemas.microsoft.com/office/drawing/2014/main" id="{41DBBC34-4A0B-AD65-619D-FD84568863A3}"/>
            </a:ext>
          </a:extLst>
        </xdr:cNvPr>
        <xdr:cNvGrpSpPr/>
      </xdr:nvGrpSpPr>
      <xdr:grpSpPr>
        <a:xfrm>
          <a:off x="5244656" y="9742438"/>
          <a:ext cx="834098" cy="2735818"/>
          <a:chOff x="5671275" y="9009558"/>
          <a:chExt cx="906075" cy="2681925"/>
        </a:xfrm>
      </xdr:grpSpPr>
      <xdr:cxnSp macro="">
        <xdr:nvCxnSpPr>
          <xdr:cNvPr id="319" name="コネクタ: カギ線 318">
            <a:extLst>
              <a:ext uri="{FF2B5EF4-FFF2-40B4-BE49-F238E27FC236}">
                <a16:creationId xmlns:a16="http://schemas.microsoft.com/office/drawing/2014/main" id="{F72E7F37-D70D-4CD3-A95E-AC951355F46E}"/>
              </a:ext>
            </a:extLst>
          </xdr:cNvPr>
          <xdr:cNvCxnSpPr>
            <a:cxnSpLocks/>
          </xdr:cNvCxnSpPr>
        </xdr:nvCxnSpPr>
        <xdr:spPr>
          <a:xfrm rot="16200000" flipH="1">
            <a:off x="5567483" y="9113906"/>
            <a:ext cx="1112345" cy="903650"/>
          </a:xfrm>
          <a:prstGeom prst="bentConnector3">
            <a:avLst>
              <a:gd name="adj1" fmla="val 50000"/>
            </a:avLst>
          </a:prstGeom>
          <a:ln w="12700">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321" name="コネクタ: カギ線 320">
            <a:extLst>
              <a:ext uri="{FF2B5EF4-FFF2-40B4-BE49-F238E27FC236}">
                <a16:creationId xmlns:a16="http://schemas.microsoft.com/office/drawing/2014/main" id="{9E538300-C30E-4386-B2AC-8C8AFA3A56B6}"/>
              </a:ext>
            </a:extLst>
          </xdr:cNvPr>
          <xdr:cNvCxnSpPr>
            <a:cxnSpLocks/>
            <a:endCxn id="92" idx="0"/>
          </xdr:cNvCxnSpPr>
        </xdr:nvCxnSpPr>
        <xdr:spPr>
          <a:xfrm rot="5400000">
            <a:off x="5307615" y="10421748"/>
            <a:ext cx="1633395" cy="906075"/>
          </a:xfrm>
          <a:prstGeom prst="bentConnector3">
            <a:avLst>
              <a:gd name="adj1" fmla="val 57679"/>
            </a:avLst>
          </a:prstGeom>
          <a:ln w="12700">
            <a:tailEnd type="triangle"/>
          </a:ln>
        </xdr:spPr>
        <xdr:style>
          <a:lnRef idx="1">
            <a:schemeClr val="dk1"/>
          </a:lnRef>
          <a:fillRef idx="0">
            <a:schemeClr val="dk1"/>
          </a:fillRef>
          <a:effectRef idx="0">
            <a:schemeClr val="dk1"/>
          </a:effectRef>
          <a:fontRef idx="minor">
            <a:schemeClr val="tx1"/>
          </a:fontRef>
        </xdr:style>
      </xdr:cxnSp>
    </xdr:grpSp>
    <xdr:clientData/>
  </xdr:twoCellAnchor>
  <xdr:twoCellAnchor>
    <xdr:from>
      <xdr:col>28</xdr:col>
      <xdr:colOff>168345</xdr:colOff>
      <xdr:row>117</xdr:row>
      <xdr:rowOff>36669</xdr:rowOff>
    </xdr:from>
    <xdr:to>
      <xdr:col>28</xdr:col>
      <xdr:colOff>168450</xdr:colOff>
      <xdr:row>121</xdr:row>
      <xdr:rowOff>36036</xdr:rowOff>
    </xdr:to>
    <xdr:cxnSp macro="">
      <xdr:nvCxnSpPr>
        <xdr:cNvPr id="328" name="直線矢印コネクタ 327">
          <a:extLst>
            <a:ext uri="{FF2B5EF4-FFF2-40B4-BE49-F238E27FC236}">
              <a16:creationId xmlns:a16="http://schemas.microsoft.com/office/drawing/2014/main" id="{27C7FBCA-D236-4B09-B317-1A2B3F345D19}"/>
            </a:ext>
          </a:extLst>
        </xdr:cNvPr>
        <xdr:cNvCxnSpPr>
          <a:stCxn id="343" idx="2"/>
          <a:endCxn id="337" idx="0"/>
        </xdr:cNvCxnSpPr>
      </xdr:nvCxnSpPr>
      <xdr:spPr>
        <a:xfrm>
          <a:off x="5769045" y="17267394"/>
          <a:ext cx="105" cy="68516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39807</xdr:colOff>
      <xdr:row>115</xdr:row>
      <xdr:rowOff>52025</xdr:rowOff>
    </xdr:from>
    <xdr:to>
      <xdr:col>28</xdr:col>
      <xdr:colOff>168914</xdr:colOff>
      <xdr:row>141</xdr:row>
      <xdr:rowOff>55719</xdr:rowOff>
    </xdr:to>
    <xdr:cxnSp macro="">
      <xdr:nvCxnSpPr>
        <xdr:cNvPr id="349" name="コネクタ: カギ線 348">
          <a:extLst>
            <a:ext uri="{FF2B5EF4-FFF2-40B4-BE49-F238E27FC236}">
              <a16:creationId xmlns:a16="http://schemas.microsoft.com/office/drawing/2014/main" id="{A25FC787-79DE-4567-836F-727687AD8486}"/>
            </a:ext>
          </a:extLst>
        </xdr:cNvPr>
        <xdr:cNvCxnSpPr>
          <a:stCxn id="343" idx="1"/>
          <a:endCxn id="297" idx="0"/>
        </xdr:cNvCxnSpPr>
      </xdr:nvCxnSpPr>
      <xdr:spPr>
        <a:xfrm rot="10800000" flipH="1" flipV="1">
          <a:off x="5040432" y="19340150"/>
          <a:ext cx="729182" cy="4461394"/>
        </a:xfrm>
        <a:prstGeom prst="bentConnector4">
          <a:avLst>
            <a:gd name="adj1" fmla="val -31350"/>
            <a:gd name="adj2" fmla="val 87806"/>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78395</xdr:colOff>
      <xdr:row>117</xdr:row>
      <xdr:rowOff>70555</xdr:rowOff>
    </xdr:from>
    <xdr:to>
      <xdr:col>29</xdr:col>
      <xdr:colOff>5024</xdr:colOff>
      <xdr:row>118</xdr:row>
      <xdr:rowOff>97828</xdr:rowOff>
    </xdr:to>
    <xdr:sp macro="" textlink="">
      <xdr:nvSpPr>
        <xdr:cNvPr id="353" name="テキスト ボックス 195">
          <a:extLst>
            <a:ext uri="{FF2B5EF4-FFF2-40B4-BE49-F238E27FC236}">
              <a16:creationId xmlns:a16="http://schemas.microsoft.com/office/drawing/2014/main" id="{8231EE90-262E-4870-8E49-FAF4E698EEF1}"/>
            </a:ext>
          </a:extLst>
        </xdr:cNvPr>
        <xdr:cNvSpPr txBox="1"/>
      </xdr:nvSpPr>
      <xdr:spPr>
        <a:xfrm>
          <a:off x="5174074" y="17395864"/>
          <a:ext cx="514592" cy="199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22</xdr:col>
      <xdr:colOff>153420</xdr:colOff>
      <xdr:row>113</xdr:row>
      <xdr:rowOff>160357</xdr:rowOff>
    </xdr:from>
    <xdr:to>
      <xdr:col>25</xdr:col>
      <xdr:colOff>83224</xdr:colOff>
      <xdr:row>115</xdr:row>
      <xdr:rowOff>19355</xdr:rowOff>
    </xdr:to>
    <xdr:sp macro="" textlink="">
      <xdr:nvSpPr>
        <xdr:cNvPr id="354" name="テキスト ボックス 195">
          <a:extLst>
            <a:ext uri="{FF2B5EF4-FFF2-40B4-BE49-F238E27FC236}">
              <a16:creationId xmlns:a16="http://schemas.microsoft.com/office/drawing/2014/main" id="{038EA677-3485-DEA7-D632-D7AB8CA1E973}"/>
            </a:ext>
          </a:extLst>
        </xdr:cNvPr>
        <xdr:cNvSpPr txBox="1"/>
      </xdr:nvSpPr>
      <xdr:spPr>
        <a:xfrm>
          <a:off x="4553970" y="19105582"/>
          <a:ext cx="529879" cy="201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11</xdr:col>
      <xdr:colOff>147338</xdr:colOff>
      <xdr:row>51</xdr:row>
      <xdr:rowOff>86225</xdr:rowOff>
    </xdr:from>
    <xdr:to>
      <xdr:col>17</xdr:col>
      <xdr:colOff>47961</xdr:colOff>
      <xdr:row>54</xdr:row>
      <xdr:rowOff>116714</xdr:rowOff>
    </xdr:to>
    <xdr:grpSp>
      <xdr:nvGrpSpPr>
        <xdr:cNvPr id="373" name="グループ化 8">
          <a:extLst>
            <a:ext uri="{FF2B5EF4-FFF2-40B4-BE49-F238E27FC236}">
              <a16:creationId xmlns:a16="http://schemas.microsoft.com/office/drawing/2014/main" id="{FE662DB2-B610-74C4-8AA3-D4CCEB0865F1}"/>
            </a:ext>
          </a:extLst>
        </xdr:cNvPr>
        <xdr:cNvGrpSpPr/>
      </xdr:nvGrpSpPr>
      <xdr:grpSpPr>
        <a:xfrm>
          <a:off x="2138063" y="9173075"/>
          <a:ext cx="986473" cy="554364"/>
          <a:chOff x="1653542" y="2416116"/>
          <a:chExt cx="908902" cy="420662"/>
        </a:xfrm>
      </xdr:grpSpPr>
      <xdr:sp macro="" textlink="">
        <xdr:nvSpPr>
          <xdr:cNvPr id="374" name="フローチャート: 定義済み処理 9">
            <a:extLst>
              <a:ext uri="{FF2B5EF4-FFF2-40B4-BE49-F238E27FC236}">
                <a16:creationId xmlns:a16="http://schemas.microsoft.com/office/drawing/2014/main" id="{AAB528DF-8802-2D88-E3FB-70238B2FC853}"/>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75" name="正方形/長方形 48">
            <a:extLst>
              <a:ext uri="{FF2B5EF4-FFF2-40B4-BE49-F238E27FC236}">
                <a16:creationId xmlns:a16="http://schemas.microsoft.com/office/drawing/2014/main" id="{2B38C4A3-736F-A967-E346-5CF5F8CCA5F8}"/>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5.</a:t>
            </a:r>
            <a:r>
              <a:rPr kumimoji="1" lang="ja-JP" altLang="en-US" sz="900"/>
              <a:t>不要な</a:t>
            </a:r>
            <a:endParaRPr kumimoji="1" lang="en-US" altLang="ja-JP" sz="900"/>
          </a:p>
          <a:p>
            <a:pPr algn="ctr"/>
            <a:r>
              <a:rPr kumimoji="1" lang="ja-JP" altLang="en-US" sz="900"/>
              <a:t>帳簿の削除</a:t>
            </a:r>
          </a:p>
        </xdr:txBody>
      </xdr:sp>
    </xdr:grpSp>
    <xdr:clientData/>
  </xdr:twoCellAnchor>
  <xdr:twoCellAnchor>
    <xdr:from>
      <xdr:col>14</xdr:col>
      <xdr:colOff>97650</xdr:colOff>
      <xdr:row>54</xdr:row>
      <xdr:rowOff>116714</xdr:rowOff>
    </xdr:from>
    <xdr:to>
      <xdr:col>14</xdr:col>
      <xdr:colOff>108720</xdr:colOff>
      <xdr:row>70</xdr:row>
      <xdr:rowOff>74121</xdr:rowOff>
    </xdr:to>
    <xdr:cxnSp macro="">
      <xdr:nvCxnSpPr>
        <xdr:cNvPr id="377" name="直線矢印コネクタ 376">
          <a:extLst>
            <a:ext uri="{FF2B5EF4-FFF2-40B4-BE49-F238E27FC236}">
              <a16:creationId xmlns:a16="http://schemas.microsoft.com/office/drawing/2014/main" id="{C3066C67-33EE-4667-8248-19862503A7B9}"/>
            </a:ext>
          </a:extLst>
        </xdr:cNvPr>
        <xdr:cNvCxnSpPr>
          <a:stCxn id="375" idx="2"/>
          <a:endCxn id="236" idx="0"/>
        </xdr:cNvCxnSpPr>
      </xdr:nvCxnSpPr>
      <xdr:spPr>
        <a:xfrm>
          <a:off x="2841477" y="8991035"/>
          <a:ext cx="11070" cy="271691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192953</xdr:colOff>
      <xdr:row>53</xdr:row>
      <xdr:rowOff>31160</xdr:rowOff>
    </xdr:from>
    <xdr:to>
      <xdr:col>47</xdr:col>
      <xdr:colOff>151386</xdr:colOff>
      <xdr:row>53</xdr:row>
      <xdr:rowOff>39107</xdr:rowOff>
    </xdr:to>
    <xdr:cxnSp macro="">
      <xdr:nvCxnSpPr>
        <xdr:cNvPr id="380" name="直線矢印コネクタ 379">
          <a:extLst>
            <a:ext uri="{FF2B5EF4-FFF2-40B4-BE49-F238E27FC236}">
              <a16:creationId xmlns:a16="http://schemas.microsoft.com/office/drawing/2014/main" id="{F2C4BFF8-1437-45C7-95A2-C8C08216BC4A}"/>
            </a:ext>
          </a:extLst>
        </xdr:cNvPr>
        <xdr:cNvCxnSpPr>
          <a:stCxn id="374" idx="3"/>
          <a:endCxn id="83" idx="2"/>
        </xdr:cNvCxnSpPr>
      </xdr:nvCxnSpPr>
      <xdr:spPr>
        <a:xfrm flipV="1">
          <a:off x="3328755" y="8733012"/>
          <a:ext cx="4662137" cy="79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29748</xdr:colOff>
      <xdr:row>51</xdr:row>
      <xdr:rowOff>86225</xdr:rowOff>
    </xdr:from>
    <xdr:to>
      <xdr:col>31</xdr:col>
      <xdr:colOff>126359</xdr:colOff>
      <xdr:row>54</xdr:row>
      <xdr:rowOff>116714</xdr:rowOff>
    </xdr:to>
    <xdr:grpSp>
      <xdr:nvGrpSpPr>
        <xdr:cNvPr id="78" name="グループ化 8">
          <a:extLst>
            <a:ext uri="{FF2B5EF4-FFF2-40B4-BE49-F238E27FC236}">
              <a16:creationId xmlns:a16="http://schemas.microsoft.com/office/drawing/2014/main" id="{B834BEE4-A092-4D70-A03C-46EE26901F32}"/>
            </a:ext>
          </a:extLst>
        </xdr:cNvPr>
        <xdr:cNvGrpSpPr/>
      </xdr:nvGrpSpPr>
      <xdr:grpSpPr>
        <a:xfrm>
          <a:off x="4735098" y="9173075"/>
          <a:ext cx="1001486" cy="554364"/>
          <a:chOff x="1653542" y="2416116"/>
          <a:chExt cx="908902" cy="420662"/>
        </a:xfrm>
      </xdr:grpSpPr>
      <xdr:sp macro="" textlink="">
        <xdr:nvSpPr>
          <xdr:cNvPr id="79" name="フローチャート: 定義済み処理 9">
            <a:extLst>
              <a:ext uri="{FF2B5EF4-FFF2-40B4-BE49-F238E27FC236}">
                <a16:creationId xmlns:a16="http://schemas.microsoft.com/office/drawing/2014/main" id="{547EA08B-F6B5-296D-D990-64FB274A741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0" name="正方形/長方形 48">
            <a:extLst>
              <a:ext uri="{FF2B5EF4-FFF2-40B4-BE49-F238E27FC236}">
                <a16:creationId xmlns:a16="http://schemas.microsoft.com/office/drawing/2014/main" id="{4FF8B1E6-28CB-47F6-9747-D189B716A9F1}"/>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5.</a:t>
            </a:r>
            <a:r>
              <a:rPr kumimoji="1" lang="ja-JP" altLang="en-US" sz="900"/>
              <a:t>不要な</a:t>
            </a:r>
            <a:endParaRPr kumimoji="1" lang="en-US" altLang="ja-JP" sz="900"/>
          </a:p>
          <a:p>
            <a:pPr algn="ctr"/>
            <a:r>
              <a:rPr kumimoji="1" lang="ja-JP" altLang="en-US" sz="900"/>
              <a:t>帳簿の削除</a:t>
            </a:r>
          </a:p>
        </xdr:txBody>
      </xdr:sp>
    </xdr:grpSp>
    <xdr:clientData/>
  </xdr:twoCellAnchor>
  <xdr:twoCellAnchor>
    <xdr:from>
      <xdr:col>47</xdr:col>
      <xdr:colOff>55218</xdr:colOff>
      <xdr:row>60</xdr:row>
      <xdr:rowOff>145361</xdr:rowOff>
    </xdr:from>
    <xdr:to>
      <xdr:col>51</xdr:col>
      <xdr:colOff>183233</xdr:colOff>
      <xdr:row>64</xdr:row>
      <xdr:rowOff>48590</xdr:rowOff>
    </xdr:to>
    <xdr:grpSp>
      <xdr:nvGrpSpPr>
        <xdr:cNvPr id="383" name="グループ化 382">
          <a:extLst>
            <a:ext uri="{FF2B5EF4-FFF2-40B4-BE49-F238E27FC236}">
              <a16:creationId xmlns:a16="http://schemas.microsoft.com/office/drawing/2014/main" id="{76F06D8E-BE6E-08C8-F285-3C546312A5B9}"/>
            </a:ext>
          </a:extLst>
        </xdr:cNvPr>
        <xdr:cNvGrpSpPr>
          <a:grpSpLocks noChangeAspect="1"/>
        </xdr:cNvGrpSpPr>
      </xdr:nvGrpSpPr>
      <xdr:grpSpPr>
        <a:xfrm>
          <a:off x="8561043" y="10832411"/>
          <a:ext cx="851915" cy="598554"/>
          <a:chOff x="7112003" y="2892425"/>
          <a:chExt cx="873125" cy="584984"/>
        </a:xfrm>
      </xdr:grpSpPr>
      <xdr:sp macro="" textlink="">
        <xdr:nvSpPr>
          <xdr:cNvPr id="384" name="フローチャート: 磁気ディスク 383">
            <a:extLst>
              <a:ext uri="{FF2B5EF4-FFF2-40B4-BE49-F238E27FC236}">
                <a16:creationId xmlns:a16="http://schemas.microsoft.com/office/drawing/2014/main" id="{8CA5D603-412F-3990-04D0-D02CECD51EC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85" name="正方形/長方形 384">
            <a:extLst>
              <a:ext uri="{FF2B5EF4-FFF2-40B4-BE49-F238E27FC236}">
                <a16:creationId xmlns:a16="http://schemas.microsoft.com/office/drawing/2014/main" id="{CB07D509-2DA6-DDEC-C3E8-CA99CD70DA6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帳簿の詳細</a:t>
            </a:r>
          </a:p>
        </xdr:txBody>
      </xdr:sp>
    </xdr:grpSp>
    <xdr:clientData/>
  </xdr:twoCellAnchor>
  <xdr:twoCellAnchor>
    <xdr:from>
      <xdr:col>31</xdr:col>
      <xdr:colOff>125697</xdr:colOff>
      <xdr:row>62</xdr:row>
      <xdr:rowOff>72604</xdr:rowOff>
    </xdr:from>
    <xdr:to>
      <xdr:col>47</xdr:col>
      <xdr:colOff>153089</xdr:colOff>
      <xdr:row>62</xdr:row>
      <xdr:rowOff>91116</xdr:rowOff>
    </xdr:to>
    <xdr:cxnSp macro="">
      <xdr:nvCxnSpPr>
        <xdr:cNvPr id="386" name="直線矢印コネクタ 385">
          <a:extLst>
            <a:ext uri="{FF2B5EF4-FFF2-40B4-BE49-F238E27FC236}">
              <a16:creationId xmlns:a16="http://schemas.microsoft.com/office/drawing/2014/main" id="{77120C21-DDC9-433B-AFF8-937E5292740A}"/>
            </a:ext>
          </a:extLst>
        </xdr:cNvPr>
        <xdr:cNvCxnSpPr>
          <a:stCxn id="314" idx="3"/>
          <a:endCxn id="384" idx="2"/>
        </xdr:cNvCxnSpPr>
      </xdr:nvCxnSpPr>
      <xdr:spPr>
        <a:xfrm flipV="1">
          <a:off x="6326472" y="10273879"/>
          <a:ext cx="1827617" cy="185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0</xdr:colOff>
      <xdr:row>101</xdr:row>
      <xdr:rowOff>85725</xdr:rowOff>
    </xdr:from>
    <xdr:to>
      <xdr:col>45</xdr:col>
      <xdr:colOff>114505</xdr:colOff>
      <xdr:row>104</xdr:row>
      <xdr:rowOff>97068</xdr:rowOff>
    </xdr:to>
    <xdr:grpSp>
      <xdr:nvGrpSpPr>
        <xdr:cNvPr id="398" name="グループ化 397">
          <a:extLst>
            <a:ext uri="{FF2B5EF4-FFF2-40B4-BE49-F238E27FC236}">
              <a16:creationId xmlns:a16="http://schemas.microsoft.com/office/drawing/2014/main" id="{EBC54C96-E772-08AD-8658-3AC942CDC5A7}"/>
            </a:ext>
          </a:extLst>
        </xdr:cNvPr>
        <xdr:cNvGrpSpPr/>
      </xdr:nvGrpSpPr>
      <xdr:grpSpPr>
        <a:xfrm>
          <a:off x="7239000" y="17983200"/>
          <a:ext cx="1019380" cy="535218"/>
          <a:chOff x="7858125" y="17059275"/>
          <a:chExt cx="1114630" cy="525693"/>
        </a:xfrm>
      </xdr:grpSpPr>
      <xdr:sp macro="" textlink="">
        <xdr:nvSpPr>
          <xdr:cNvPr id="393" name="フローチャート: 定義済み処理 9">
            <a:extLst>
              <a:ext uri="{FF2B5EF4-FFF2-40B4-BE49-F238E27FC236}">
                <a16:creationId xmlns:a16="http://schemas.microsoft.com/office/drawing/2014/main" id="{3F62EFC9-C041-479A-9F5C-BA8DD440E775}"/>
              </a:ext>
            </a:extLst>
          </xdr:cNvPr>
          <xdr:cNvSpPr/>
        </xdr:nvSpPr>
        <xdr:spPr>
          <a:xfrm>
            <a:off x="7878865" y="17098895"/>
            <a:ext cx="1009986" cy="46502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94" name="正方形/長方形 48">
            <a:extLst>
              <a:ext uri="{FF2B5EF4-FFF2-40B4-BE49-F238E27FC236}">
                <a16:creationId xmlns:a16="http://schemas.microsoft.com/office/drawing/2014/main" id="{0231E056-5BA4-48F7-AC59-643A050B1C35}"/>
              </a:ext>
            </a:extLst>
          </xdr:cNvPr>
          <xdr:cNvSpPr/>
        </xdr:nvSpPr>
        <xdr:spPr>
          <a:xfrm>
            <a:off x="7858125" y="17059275"/>
            <a:ext cx="1114630" cy="52569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11.</a:t>
            </a:r>
            <a:r>
              <a:rPr kumimoji="1" lang="ja-JP" altLang="en-US" sz="900"/>
              <a:t>自動転記バッチ</a:t>
            </a:r>
          </a:p>
        </xdr:txBody>
      </xdr:sp>
    </xdr:grpSp>
    <xdr:clientData/>
  </xdr:twoCellAnchor>
  <xdr:twoCellAnchor>
    <xdr:from>
      <xdr:col>47</xdr:col>
      <xdr:colOff>104431</xdr:colOff>
      <xdr:row>101</xdr:row>
      <xdr:rowOff>85641</xdr:rowOff>
    </xdr:from>
    <xdr:to>
      <xdr:col>52</xdr:col>
      <xdr:colOff>38771</xdr:colOff>
      <xdr:row>104</xdr:row>
      <xdr:rowOff>161425</xdr:rowOff>
    </xdr:to>
    <xdr:grpSp>
      <xdr:nvGrpSpPr>
        <xdr:cNvPr id="399" name="グループ化 398">
          <a:extLst>
            <a:ext uri="{FF2B5EF4-FFF2-40B4-BE49-F238E27FC236}">
              <a16:creationId xmlns:a16="http://schemas.microsoft.com/office/drawing/2014/main" id="{3552FABB-4242-88E9-EE29-47DB74B021DF}"/>
            </a:ext>
          </a:extLst>
        </xdr:cNvPr>
        <xdr:cNvGrpSpPr>
          <a:grpSpLocks noChangeAspect="1"/>
        </xdr:cNvGrpSpPr>
      </xdr:nvGrpSpPr>
      <xdr:grpSpPr>
        <a:xfrm>
          <a:off x="8610256" y="17983116"/>
          <a:ext cx="839215" cy="599659"/>
          <a:chOff x="7112003" y="2892425"/>
          <a:chExt cx="873125" cy="584984"/>
        </a:xfrm>
      </xdr:grpSpPr>
      <xdr:sp macro="" textlink="">
        <xdr:nvSpPr>
          <xdr:cNvPr id="400" name="フローチャート: 磁気ディスク 399">
            <a:extLst>
              <a:ext uri="{FF2B5EF4-FFF2-40B4-BE49-F238E27FC236}">
                <a16:creationId xmlns:a16="http://schemas.microsoft.com/office/drawing/2014/main" id="{464CA6EF-3113-A3A8-36B5-877296A34D8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01" name="正方形/長方形 400">
            <a:extLst>
              <a:ext uri="{FF2B5EF4-FFF2-40B4-BE49-F238E27FC236}">
                <a16:creationId xmlns:a16="http://schemas.microsoft.com/office/drawing/2014/main" id="{64CB5888-EB14-3216-0CFD-B1E8681BEC92}"/>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45</xdr:col>
      <xdr:colOff>30601</xdr:colOff>
      <xdr:row>103</xdr:row>
      <xdr:rowOff>13391</xdr:rowOff>
    </xdr:from>
    <xdr:to>
      <xdr:col>48</xdr:col>
      <xdr:colOff>2946</xdr:colOff>
      <xdr:row>103</xdr:row>
      <xdr:rowOff>13426</xdr:rowOff>
    </xdr:to>
    <xdr:cxnSp macro="">
      <xdr:nvCxnSpPr>
        <xdr:cNvPr id="402" name="直線矢印コネクタ 401">
          <a:extLst>
            <a:ext uri="{FF2B5EF4-FFF2-40B4-BE49-F238E27FC236}">
              <a16:creationId xmlns:a16="http://schemas.microsoft.com/office/drawing/2014/main" id="{AF5B95F7-FA32-4E29-93FD-661290D8C14D}"/>
            </a:ext>
          </a:extLst>
        </xdr:cNvPr>
        <xdr:cNvCxnSpPr>
          <a:stCxn id="393" idx="3"/>
          <a:endCxn id="400" idx="2"/>
        </xdr:cNvCxnSpPr>
      </xdr:nvCxnSpPr>
      <xdr:spPr>
        <a:xfrm flipV="1">
          <a:off x="9031726" y="17244116"/>
          <a:ext cx="572420" cy="3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167931</xdr:colOff>
      <xdr:row>104</xdr:row>
      <xdr:rowOff>75892</xdr:rowOff>
    </xdr:from>
    <xdr:to>
      <xdr:col>42</xdr:col>
      <xdr:colOff>125684</xdr:colOff>
      <xdr:row>113</xdr:row>
      <xdr:rowOff>67381</xdr:rowOff>
    </xdr:to>
    <xdr:cxnSp macro="">
      <xdr:nvCxnSpPr>
        <xdr:cNvPr id="405" name="コネクタ: カギ線 404">
          <a:extLst>
            <a:ext uri="{FF2B5EF4-FFF2-40B4-BE49-F238E27FC236}">
              <a16:creationId xmlns:a16="http://schemas.microsoft.com/office/drawing/2014/main" id="{7A095B5B-B655-49F0-AC1C-BCF06E848F84}"/>
            </a:ext>
          </a:extLst>
        </xdr:cNvPr>
        <xdr:cNvCxnSpPr>
          <a:stCxn id="393" idx="2"/>
          <a:endCxn id="343" idx="0"/>
        </xdr:cNvCxnSpPr>
      </xdr:nvCxnSpPr>
      <xdr:spPr>
        <a:xfrm rot="5400000">
          <a:off x="6380413" y="16866285"/>
          <a:ext cx="1534539" cy="275810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9525</xdr:colOff>
      <xdr:row>120</xdr:row>
      <xdr:rowOff>168275</xdr:rowOff>
    </xdr:from>
    <xdr:to>
      <xdr:col>51</xdr:col>
      <xdr:colOff>140715</xdr:colOff>
      <xdr:row>124</xdr:row>
      <xdr:rowOff>78959</xdr:rowOff>
    </xdr:to>
    <xdr:grpSp>
      <xdr:nvGrpSpPr>
        <xdr:cNvPr id="408" name="グループ化 407">
          <a:extLst>
            <a:ext uri="{FF2B5EF4-FFF2-40B4-BE49-F238E27FC236}">
              <a16:creationId xmlns:a16="http://schemas.microsoft.com/office/drawing/2014/main" id="{5EFD8E8D-8646-409E-99E6-B32334080F6C}"/>
            </a:ext>
          </a:extLst>
        </xdr:cNvPr>
        <xdr:cNvGrpSpPr>
          <a:grpSpLocks noChangeAspect="1"/>
        </xdr:cNvGrpSpPr>
      </xdr:nvGrpSpPr>
      <xdr:grpSpPr>
        <a:xfrm>
          <a:off x="8515350" y="21361400"/>
          <a:ext cx="855090" cy="606009"/>
          <a:chOff x="7112003" y="2892425"/>
          <a:chExt cx="873125" cy="584984"/>
        </a:xfrm>
      </xdr:grpSpPr>
      <xdr:sp macro="" textlink="">
        <xdr:nvSpPr>
          <xdr:cNvPr id="409" name="フローチャート: 磁気ディスク 408">
            <a:extLst>
              <a:ext uri="{FF2B5EF4-FFF2-40B4-BE49-F238E27FC236}">
                <a16:creationId xmlns:a16="http://schemas.microsoft.com/office/drawing/2014/main" id="{6A4FE089-85E5-111F-2C29-90510AD824A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10" name="正方形/長方形 409">
            <a:extLst>
              <a:ext uri="{FF2B5EF4-FFF2-40B4-BE49-F238E27FC236}">
                <a16:creationId xmlns:a16="http://schemas.microsoft.com/office/drawing/2014/main" id="{75C2B0C7-6FB9-AF76-7A19-D05BE2342309}"/>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31</xdr:col>
      <xdr:colOff>64263</xdr:colOff>
      <xdr:row>122</xdr:row>
      <xdr:rowOff>98937</xdr:rowOff>
    </xdr:from>
    <xdr:to>
      <xdr:col>47</xdr:col>
      <xdr:colOff>107731</xdr:colOff>
      <xdr:row>122</xdr:row>
      <xdr:rowOff>106729</xdr:rowOff>
    </xdr:to>
    <xdr:cxnSp macro="">
      <xdr:nvCxnSpPr>
        <xdr:cNvPr id="411" name="直線矢印コネクタ 410">
          <a:extLst>
            <a:ext uri="{FF2B5EF4-FFF2-40B4-BE49-F238E27FC236}">
              <a16:creationId xmlns:a16="http://schemas.microsoft.com/office/drawing/2014/main" id="{8293501B-67FF-4AF3-8101-104084B1AE37}"/>
            </a:ext>
          </a:extLst>
        </xdr:cNvPr>
        <xdr:cNvCxnSpPr>
          <a:stCxn id="337" idx="3"/>
          <a:endCxn id="409" idx="2"/>
        </xdr:cNvCxnSpPr>
      </xdr:nvCxnSpPr>
      <xdr:spPr>
        <a:xfrm flipV="1">
          <a:off x="6265038" y="20587212"/>
          <a:ext cx="3243868" cy="779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1375</xdr:colOff>
      <xdr:row>126</xdr:row>
      <xdr:rowOff>125855</xdr:rowOff>
    </xdr:from>
    <xdr:to>
      <xdr:col>38</xdr:col>
      <xdr:colOff>97124</xdr:colOff>
      <xdr:row>129</xdr:row>
      <xdr:rowOff>154581</xdr:rowOff>
    </xdr:to>
    <xdr:grpSp>
      <xdr:nvGrpSpPr>
        <xdr:cNvPr id="416" name="グループ化 8">
          <a:extLst>
            <a:ext uri="{FF2B5EF4-FFF2-40B4-BE49-F238E27FC236}">
              <a16:creationId xmlns:a16="http://schemas.microsoft.com/office/drawing/2014/main" id="{8CB15017-4B23-A731-F4EE-65432746941F}"/>
            </a:ext>
          </a:extLst>
        </xdr:cNvPr>
        <xdr:cNvGrpSpPr/>
      </xdr:nvGrpSpPr>
      <xdr:grpSpPr>
        <a:xfrm>
          <a:off x="5973550" y="22376255"/>
          <a:ext cx="1000624" cy="552601"/>
          <a:chOff x="1653542" y="2416116"/>
          <a:chExt cx="908902" cy="420662"/>
        </a:xfrm>
      </xdr:grpSpPr>
      <xdr:sp macro="" textlink="">
        <xdr:nvSpPr>
          <xdr:cNvPr id="417" name="フローチャート: 定義済み処理 9">
            <a:extLst>
              <a:ext uri="{FF2B5EF4-FFF2-40B4-BE49-F238E27FC236}">
                <a16:creationId xmlns:a16="http://schemas.microsoft.com/office/drawing/2014/main" id="{4BC9F7EF-2538-83B7-794F-FB164DF7FD2E}"/>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18" name="正方形/長方形 48">
            <a:extLst>
              <a:ext uri="{FF2B5EF4-FFF2-40B4-BE49-F238E27FC236}">
                <a16:creationId xmlns:a16="http://schemas.microsoft.com/office/drawing/2014/main" id="{3B1584FD-BC0F-B55D-4E42-CA1580854041}"/>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３</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承認</a:t>
            </a:r>
            <a:endParaRPr kumimoji="1" lang="ja-JP" altLang="en-US" sz="900"/>
          </a:p>
        </xdr:txBody>
      </xdr:sp>
    </xdr:grpSp>
    <xdr:clientData/>
  </xdr:twoCellAnchor>
  <xdr:twoCellAnchor>
    <xdr:from>
      <xdr:col>47</xdr:col>
      <xdr:colOff>6350</xdr:colOff>
      <xdr:row>126</xdr:row>
      <xdr:rowOff>139700</xdr:rowOff>
    </xdr:from>
    <xdr:to>
      <xdr:col>51</xdr:col>
      <xdr:colOff>143890</xdr:colOff>
      <xdr:row>130</xdr:row>
      <xdr:rowOff>50384</xdr:rowOff>
    </xdr:to>
    <xdr:grpSp>
      <xdr:nvGrpSpPr>
        <xdr:cNvPr id="419" name="グループ化 418">
          <a:extLst>
            <a:ext uri="{FF2B5EF4-FFF2-40B4-BE49-F238E27FC236}">
              <a16:creationId xmlns:a16="http://schemas.microsoft.com/office/drawing/2014/main" id="{497C0514-2D23-6241-C527-9196469A03E8}"/>
            </a:ext>
          </a:extLst>
        </xdr:cNvPr>
        <xdr:cNvGrpSpPr>
          <a:grpSpLocks noChangeAspect="1"/>
        </xdr:cNvGrpSpPr>
      </xdr:nvGrpSpPr>
      <xdr:grpSpPr>
        <a:xfrm>
          <a:off x="8512175" y="22390100"/>
          <a:ext cx="861440" cy="606009"/>
          <a:chOff x="7112003" y="2892425"/>
          <a:chExt cx="873125" cy="584984"/>
        </a:xfrm>
      </xdr:grpSpPr>
      <xdr:sp macro="" textlink="">
        <xdr:nvSpPr>
          <xdr:cNvPr id="420" name="フローチャート: 磁気ディスク 419">
            <a:extLst>
              <a:ext uri="{FF2B5EF4-FFF2-40B4-BE49-F238E27FC236}">
                <a16:creationId xmlns:a16="http://schemas.microsoft.com/office/drawing/2014/main" id="{012541F4-07F4-FE14-C566-8534BB6D5F6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21" name="正方形/長方形 420">
            <a:extLst>
              <a:ext uri="{FF2B5EF4-FFF2-40B4-BE49-F238E27FC236}">
                <a16:creationId xmlns:a16="http://schemas.microsoft.com/office/drawing/2014/main" id="{3336DDC4-870C-C823-ACC0-0B18C5FB465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38</xdr:col>
      <xdr:colOff>45213</xdr:colOff>
      <xdr:row>128</xdr:row>
      <xdr:rowOff>70625</xdr:rowOff>
    </xdr:from>
    <xdr:to>
      <xdr:col>47</xdr:col>
      <xdr:colOff>107731</xdr:colOff>
      <xdr:row>128</xdr:row>
      <xdr:rowOff>76705</xdr:rowOff>
    </xdr:to>
    <xdr:cxnSp macro="">
      <xdr:nvCxnSpPr>
        <xdr:cNvPr id="422" name="直線矢印コネクタ 421">
          <a:extLst>
            <a:ext uri="{FF2B5EF4-FFF2-40B4-BE49-F238E27FC236}">
              <a16:creationId xmlns:a16="http://schemas.microsoft.com/office/drawing/2014/main" id="{F1C97CB0-E2F5-4FB5-899E-F7B5DBD94174}"/>
            </a:ext>
          </a:extLst>
        </xdr:cNvPr>
        <xdr:cNvCxnSpPr>
          <a:stCxn id="417" idx="3"/>
          <a:endCxn id="420" idx="2"/>
        </xdr:cNvCxnSpPr>
      </xdr:nvCxnSpPr>
      <xdr:spPr>
        <a:xfrm flipV="1">
          <a:off x="7646163" y="21587600"/>
          <a:ext cx="1862743" cy="608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170508</xdr:colOff>
      <xdr:row>124</xdr:row>
      <xdr:rowOff>5666</xdr:rowOff>
    </xdr:from>
    <xdr:to>
      <xdr:col>35</xdr:col>
      <xdr:colOff>151458</xdr:colOff>
      <xdr:row>127</xdr:row>
      <xdr:rowOff>4904</xdr:rowOff>
    </xdr:to>
    <xdr:cxnSp macro="">
      <xdr:nvCxnSpPr>
        <xdr:cNvPr id="425" name="コネクタ: カギ線 424">
          <a:extLst>
            <a:ext uri="{FF2B5EF4-FFF2-40B4-BE49-F238E27FC236}">
              <a16:creationId xmlns:a16="http://schemas.microsoft.com/office/drawing/2014/main" id="{09578F3D-564D-4ECB-9956-4F764FDCA769}"/>
            </a:ext>
          </a:extLst>
        </xdr:cNvPr>
        <xdr:cNvCxnSpPr>
          <a:stCxn id="337" idx="2"/>
          <a:endCxn id="417" idx="0"/>
        </xdr:cNvCxnSpPr>
      </xdr:nvCxnSpPr>
      <xdr:spPr>
        <a:xfrm rot="16200000" flipH="1">
          <a:off x="6204977" y="20403072"/>
          <a:ext cx="513588" cy="138112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0</xdr:colOff>
      <xdr:row>132</xdr:row>
      <xdr:rowOff>0</xdr:rowOff>
    </xdr:from>
    <xdr:to>
      <xdr:col>45</xdr:col>
      <xdr:colOff>114505</xdr:colOff>
      <xdr:row>135</xdr:row>
      <xdr:rowOff>14518</xdr:rowOff>
    </xdr:to>
    <xdr:grpSp>
      <xdr:nvGrpSpPr>
        <xdr:cNvPr id="430" name="グループ化 429">
          <a:extLst>
            <a:ext uri="{FF2B5EF4-FFF2-40B4-BE49-F238E27FC236}">
              <a16:creationId xmlns:a16="http://schemas.microsoft.com/office/drawing/2014/main" id="{72E873DB-7D10-4F86-840F-EA4C22B71560}"/>
            </a:ext>
          </a:extLst>
        </xdr:cNvPr>
        <xdr:cNvGrpSpPr/>
      </xdr:nvGrpSpPr>
      <xdr:grpSpPr>
        <a:xfrm>
          <a:off x="7239000" y="23307675"/>
          <a:ext cx="1019380" cy="528868"/>
          <a:chOff x="7858125" y="17059275"/>
          <a:chExt cx="1114630" cy="525693"/>
        </a:xfrm>
      </xdr:grpSpPr>
      <xdr:sp macro="" textlink="">
        <xdr:nvSpPr>
          <xdr:cNvPr id="431" name="フローチャート: 定義済み処理 9">
            <a:extLst>
              <a:ext uri="{FF2B5EF4-FFF2-40B4-BE49-F238E27FC236}">
                <a16:creationId xmlns:a16="http://schemas.microsoft.com/office/drawing/2014/main" id="{56FE2606-261C-4C82-DA63-04ADB492CE88}"/>
              </a:ext>
            </a:extLst>
          </xdr:cNvPr>
          <xdr:cNvSpPr/>
        </xdr:nvSpPr>
        <xdr:spPr>
          <a:xfrm>
            <a:off x="7878865" y="17098895"/>
            <a:ext cx="1009986" cy="46502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32" name="正方形/長方形 48">
            <a:extLst>
              <a:ext uri="{FF2B5EF4-FFF2-40B4-BE49-F238E27FC236}">
                <a16:creationId xmlns:a16="http://schemas.microsoft.com/office/drawing/2014/main" id="{B637D0CC-FF69-7462-9AA5-196FB17A9613}"/>
              </a:ext>
            </a:extLst>
          </xdr:cNvPr>
          <xdr:cNvSpPr/>
        </xdr:nvSpPr>
        <xdr:spPr>
          <a:xfrm>
            <a:off x="7858125" y="17059275"/>
            <a:ext cx="1114630" cy="52569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４</a:t>
            </a:r>
            <a:r>
              <a:rPr kumimoji="1" lang="en-US" altLang="ja-JP" sz="900"/>
              <a:t>.</a:t>
            </a:r>
            <a:r>
              <a:rPr kumimoji="1" lang="ja-JP" altLang="en-US" sz="900"/>
              <a:t>自動転記</a:t>
            </a:r>
            <a:endParaRPr kumimoji="1" lang="en-US" altLang="ja-JP" sz="900"/>
          </a:p>
          <a:p>
            <a:pPr algn="ctr"/>
            <a:r>
              <a:rPr kumimoji="1" lang="ja-JP" altLang="en-US" sz="900"/>
              <a:t>バッチ</a:t>
            </a:r>
          </a:p>
        </xdr:txBody>
      </xdr:sp>
    </xdr:grpSp>
    <xdr:clientData/>
  </xdr:twoCellAnchor>
  <xdr:twoCellAnchor>
    <xdr:from>
      <xdr:col>35</xdr:col>
      <xdr:colOff>151458</xdr:colOff>
      <xdr:row>129</xdr:row>
      <xdr:rowOff>148506</xdr:rowOff>
    </xdr:from>
    <xdr:to>
      <xdr:col>42</xdr:col>
      <xdr:colOff>125682</xdr:colOff>
      <xdr:row>132</xdr:row>
      <xdr:rowOff>39620</xdr:rowOff>
    </xdr:to>
    <xdr:cxnSp macro="">
      <xdr:nvCxnSpPr>
        <xdr:cNvPr id="433" name="コネクタ: カギ線 432">
          <a:extLst>
            <a:ext uri="{FF2B5EF4-FFF2-40B4-BE49-F238E27FC236}">
              <a16:creationId xmlns:a16="http://schemas.microsoft.com/office/drawing/2014/main" id="{F69266E8-DBB9-429F-A2C1-CFC39C7F86FF}"/>
            </a:ext>
          </a:extLst>
        </xdr:cNvPr>
        <xdr:cNvCxnSpPr>
          <a:stCxn id="417" idx="2"/>
          <a:endCxn id="431" idx="0"/>
        </xdr:cNvCxnSpPr>
      </xdr:nvCxnSpPr>
      <xdr:spPr>
        <a:xfrm rot="16200000" flipH="1">
          <a:off x="7636801" y="21352463"/>
          <a:ext cx="405464" cy="137439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28575</xdr:colOff>
      <xdr:row>131</xdr:row>
      <xdr:rowOff>172167</xdr:rowOff>
    </xdr:from>
    <xdr:to>
      <xdr:col>51</xdr:col>
      <xdr:colOff>159765</xdr:colOff>
      <xdr:row>135</xdr:row>
      <xdr:rowOff>82851</xdr:rowOff>
    </xdr:to>
    <xdr:grpSp>
      <xdr:nvGrpSpPr>
        <xdr:cNvPr id="436" name="グループ化 435">
          <a:extLst>
            <a:ext uri="{FF2B5EF4-FFF2-40B4-BE49-F238E27FC236}">
              <a16:creationId xmlns:a16="http://schemas.microsoft.com/office/drawing/2014/main" id="{604AAF5C-B330-431C-9F38-A1E59E27E932}"/>
            </a:ext>
          </a:extLst>
        </xdr:cNvPr>
        <xdr:cNvGrpSpPr>
          <a:grpSpLocks noChangeAspect="1"/>
        </xdr:cNvGrpSpPr>
      </xdr:nvGrpSpPr>
      <xdr:grpSpPr>
        <a:xfrm>
          <a:off x="8534400" y="23298867"/>
          <a:ext cx="855090" cy="606009"/>
          <a:chOff x="7112003" y="2892425"/>
          <a:chExt cx="873125" cy="584984"/>
        </a:xfrm>
      </xdr:grpSpPr>
      <xdr:sp macro="" textlink="">
        <xdr:nvSpPr>
          <xdr:cNvPr id="437" name="フローチャート: 磁気ディスク 436">
            <a:extLst>
              <a:ext uri="{FF2B5EF4-FFF2-40B4-BE49-F238E27FC236}">
                <a16:creationId xmlns:a16="http://schemas.microsoft.com/office/drawing/2014/main" id="{463F4C71-ED91-93A0-A45A-6DCDDAF7E28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38" name="正方形/長方形 437">
            <a:extLst>
              <a:ext uri="{FF2B5EF4-FFF2-40B4-BE49-F238E27FC236}">
                <a16:creationId xmlns:a16="http://schemas.microsoft.com/office/drawing/2014/main" id="{88CE4718-04D5-9173-9ABF-D3D07FF2598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45</xdr:col>
      <xdr:colOff>28789</xdr:colOff>
      <xdr:row>133</xdr:row>
      <xdr:rowOff>102155</xdr:rowOff>
    </xdr:from>
    <xdr:to>
      <xdr:col>47</xdr:col>
      <xdr:colOff>128811</xdr:colOff>
      <xdr:row>133</xdr:row>
      <xdr:rowOff>102388</xdr:rowOff>
    </xdr:to>
    <xdr:cxnSp macro="">
      <xdr:nvCxnSpPr>
        <xdr:cNvPr id="439" name="直線矢印コネクタ 438">
          <a:extLst>
            <a:ext uri="{FF2B5EF4-FFF2-40B4-BE49-F238E27FC236}">
              <a16:creationId xmlns:a16="http://schemas.microsoft.com/office/drawing/2014/main" id="{7998662B-D752-4CBB-B1C8-3A15E9F0EBA0}"/>
            </a:ext>
          </a:extLst>
        </xdr:cNvPr>
        <xdr:cNvCxnSpPr>
          <a:stCxn id="431" idx="3"/>
          <a:endCxn id="437" idx="2"/>
        </xdr:cNvCxnSpPr>
      </xdr:nvCxnSpPr>
      <xdr:spPr>
        <a:xfrm>
          <a:off x="9246531" y="22818768"/>
          <a:ext cx="509699" cy="2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168915</xdr:colOff>
      <xdr:row>134</xdr:row>
      <xdr:rowOff>161744</xdr:rowOff>
    </xdr:from>
    <xdr:to>
      <xdr:col>42</xdr:col>
      <xdr:colOff>125684</xdr:colOff>
      <xdr:row>141</xdr:row>
      <xdr:rowOff>55719</xdr:rowOff>
    </xdr:to>
    <xdr:cxnSp macro="">
      <xdr:nvCxnSpPr>
        <xdr:cNvPr id="442" name="コネクタ: カギ線 441">
          <a:extLst>
            <a:ext uri="{FF2B5EF4-FFF2-40B4-BE49-F238E27FC236}">
              <a16:creationId xmlns:a16="http://schemas.microsoft.com/office/drawing/2014/main" id="{0D867F6E-1DF8-4624-9458-73ED0986454A}"/>
            </a:ext>
          </a:extLst>
        </xdr:cNvPr>
        <xdr:cNvCxnSpPr>
          <a:stCxn id="431" idx="2"/>
          <a:endCxn id="297" idx="0"/>
        </xdr:cNvCxnSpPr>
      </xdr:nvCxnSpPr>
      <xdr:spPr>
        <a:xfrm rot="5400000">
          <a:off x="6601112" y="21875922"/>
          <a:ext cx="1094125" cy="27571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92179</xdr:colOff>
      <xdr:row>312</xdr:row>
      <xdr:rowOff>78044</xdr:rowOff>
    </xdr:from>
    <xdr:to>
      <xdr:col>52</xdr:col>
      <xdr:colOff>28055</xdr:colOff>
      <xdr:row>315</xdr:row>
      <xdr:rowOff>153317</xdr:rowOff>
    </xdr:to>
    <xdr:grpSp>
      <xdr:nvGrpSpPr>
        <xdr:cNvPr id="448" name="グループ化 447">
          <a:extLst>
            <a:ext uri="{FF2B5EF4-FFF2-40B4-BE49-F238E27FC236}">
              <a16:creationId xmlns:a16="http://schemas.microsoft.com/office/drawing/2014/main" id="{B7C187EB-2EE4-4AFF-AD94-1A160668FB23}"/>
            </a:ext>
          </a:extLst>
        </xdr:cNvPr>
        <xdr:cNvGrpSpPr>
          <a:grpSpLocks noChangeAspect="1"/>
        </xdr:cNvGrpSpPr>
      </xdr:nvGrpSpPr>
      <xdr:grpSpPr>
        <a:xfrm>
          <a:off x="8598004" y="54246719"/>
          <a:ext cx="840751" cy="589623"/>
          <a:chOff x="7112003" y="2892425"/>
          <a:chExt cx="873125" cy="584984"/>
        </a:xfrm>
      </xdr:grpSpPr>
      <xdr:sp macro="" textlink="">
        <xdr:nvSpPr>
          <xdr:cNvPr id="449" name="フローチャート: 磁気ディスク 448">
            <a:extLst>
              <a:ext uri="{FF2B5EF4-FFF2-40B4-BE49-F238E27FC236}">
                <a16:creationId xmlns:a16="http://schemas.microsoft.com/office/drawing/2014/main" id="{886BB41C-E1C0-A61D-7206-D75E4286DAF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50" name="正方形/長方形 449">
            <a:extLst>
              <a:ext uri="{FF2B5EF4-FFF2-40B4-BE49-F238E27FC236}">
                <a16:creationId xmlns:a16="http://schemas.microsoft.com/office/drawing/2014/main" id="{F6ADA973-FE12-65E2-1E78-FAEBCF1BB97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39</xdr:col>
      <xdr:colOff>203501</xdr:colOff>
      <xdr:row>312</xdr:row>
      <xdr:rowOff>81058</xdr:rowOff>
    </xdr:from>
    <xdr:to>
      <xdr:col>45</xdr:col>
      <xdr:colOff>93831</xdr:colOff>
      <xdr:row>315</xdr:row>
      <xdr:rowOff>109865</xdr:rowOff>
    </xdr:to>
    <xdr:grpSp>
      <xdr:nvGrpSpPr>
        <xdr:cNvPr id="451" name="グループ化 8">
          <a:extLst>
            <a:ext uri="{FF2B5EF4-FFF2-40B4-BE49-F238E27FC236}">
              <a16:creationId xmlns:a16="http://schemas.microsoft.com/office/drawing/2014/main" id="{24E9E7C4-0ED3-87E3-8D55-44B8C5841A92}"/>
            </a:ext>
          </a:extLst>
        </xdr:cNvPr>
        <xdr:cNvGrpSpPr/>
      </xdr:nvGrpSpPr>
      <xdr:grpSpPr>
        <a:xfrm>
          <a:off x="7242476" y="54249733"/>
          <a:ext cx="995230" cy="543157"/>
          <a:chOff x="1633113" y="2430783"/>
          <a:chExt cx="908902" cy="422628"/>
        </a:xfrm>
      </xdr:grpSpPr>
      <xdr:sp macro="" textlink="">
        <xdr:nvSpPr>
          <xdr:cNvPr id="452" name="フローチャート: 定義済み処理 9">
            <a:extLst>
              <a:ext uri="{FF2B5EF4-FFF2-40B4-BE49-F238E27FC236}">
                <a16:creationId xmlns:a16="http://schemas.microsoft.com/office/drawing/2014/main" id="{C1E937A4-C9C6-4997-ABA6-493130F18F9F}"/>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53" name="正方形/長方形 48">
            <a:extLst>
              <a:ext uri="{FF2B5EF4-FFF2-40B4-BE49-F238E27FC236}">
                <a16:creationId xmlns:a16="http://schemas.microsoft.com/office/drawing/2014/main" id="{3BB2E1DB-0101-A282-533E-B8A56B795ED8}"/>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a:t>
            </a:r>
            <a:r>
              <a:rPr kumimoji="1" lang="en-US" altLang="ja-JP" sz="900"/>
              <a:t>.</a:t>
            </a:r>
            <a:r>
              <a:rPr kumimoji="1" lang="ja-JP" altLang="en-US" sz="900"/>
              <a:t>自動転記バッチ</a:t>
            </a:r>
            <a:endParaRPr kumimoji="1" lang="en-US" altLang="ja-JP" sz="900"/>
          </a:p>
        </xdr:txBody>
      </xdr:sp>
    </xdr:grpSp>
    <xdr:clientData/>
  </xdr:twoCellAnchor>
  <xdr:twoCellAnchor>
    <xdr:from>
      <xdr:col>35</xdr:col>
      <xdr:colOff>142722</xdr:colOff>
      <xdr:row>309</xdr:row>
      <xdr:rowOff>37872</xdr:rowOff>
    </xdr:from>
    <xdr:to>
      <xdr:col>42</xdr:col>
      <xdr:colOff>151388</xdr:colOff>
      <xdr:row>312</xdr:row>
      <xdr:rowOff>116776</xdr:rowOff>
    </xdr:to>
    <xdr:cxnSp macro="">
      <xdr:nvCxnSpPr>
        <xdr:cNvPr id="454" name="コネクタ: カギ線 453">
          <a:extLst>
            <a:ext uri="{FF2B5EF4-FFF2-40B4-BE49-F238E27FC236}">
              <a16:creationId xmlns:a16="http://schemas.microsoft.com/office/drawing/2014/main" id="{165CC49F-32DA-41E2-8825-E627E35CF2DD}"/>
            </a:ext>
          </a:extLst>
        </xdr:cNvPr>
        <xdr:cNvCxnSpPr>
          <a:stCxn id="168" idx="2"/>
          <a:endCxn id="452" idx="0"/>
        </xdr:cNvCxnSpPr>
      </xdr:nvCxnSpPr>
      <xdr:spPr>
        <a:xfrm rot="16200000" flipH="1">
          <a:off x="7732724" y="45839080"/>
          <a:ext cx="601243" cy="144253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45</xdr:col>
      <xdr:colOff>44204</xdr:colOff>
      <xdr:row>314</xdr:row>
      <xdr:rowOff>3898</xdr:rowOff>
    </xdr:from>
    <xdr:to>
      <xdr:col>47</xdr:col>
      <xdr:colOff>193419</xdr:colOff>
      <xdr:row>314</xdr:row>
      <xdr:rowOff>9344</xdr:rowOff>
    </xdr:to>
    <xdr:cxnSp macro="">
      <xdr:nvCxnSpPr>
        <xdr:cNvPr id="457" name="直線矢印コネクタ 456">
          <a:extLst>
            <a:ext uri="{FF2B5EF4-FFF2-40B4-BE49-F238E27FC236}">
              <a16:creationId xmlns:a16="http://schemas.microsoft.com/office/drawing/2014/main" id="{A5AEADB9-0208-4BB4-A568-9D0B85D0EF03}"/>
            </a:ext>
          </a:extLst>
        </xdr:cNvPr>
        <xdr:cNvCxnSpPr>
          <a:cxnSpLocks/>
          <a:stCxn id="452" idx="3"/>
          <a:endCxn id="449" idx="2"/>
        </xdr:cNvCxnSpPr>
      </xdr:nvCxnSpPr>
      <xdr:spPr>
        <a:xfrm flipV="1">
          <a:off x="9261946" y="47096317"/>
          <a:ext cx="558892" cy="544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144102</xdr:colOff>
      <xdr:row>389</xdr:row>
      <xdr:rowOff>0</xdr:rowOff>
    </xdr:from>
    <xdr:to>
      <xdr:col>45</xdr:col>
      <xdr:colOff>53482</xdr:colOff>
      <xdr:row>392</xdr:row>
      <xdr:rowOff>25631</xdr:rowOff>
    </xdr:to>
    <xdr:grpSp>
      <xdr:nvGrpSpPr>
        <xdr:cNvPr id="464" name="グループ化 8">
          <a:extLst>
            <a:ext uri="{FF2B5EF4-FFF2-40B4-BE49-F238E27FC236}">
              <a16:creationId xmlns:a16="http://schemas.microsoft.com/office/drawing/2014/main" id="{7CD5CF8F-C242-4B25-A51B-20C8CCC34592}"/>
            </a:ext>
          </a:extLst>
        </xdr:cNvPr>
        <xdr:cNvGrpSpPr/>
      </xdr:nvGrpSpPr>
      <xdr:grpSpPr>
        <a:xfrm>
          <a:off x="7202127" y="67370325"/>
          <a:ext cx="995230" cy="539981"/>
          <a:chOff x="1633113" y="2430783"/>
          <a:chExt cx="908902" cy="422628"/>
        </a:xfrm>
      </xdr:grpSpPr>
      <xdr:sp macro="" textlink="">
        <xdr:nvSpPr>
          <xdr:cNvPr id="465" name="フローチャート: 定義済み処理 9">
            <a:extLst>
              <a:ext uri="{FF2B5EF4-FFF2-40B4-BE49-F238E27FC236}">
                <a16:creationId xmlns:a16="http://schemas.microsoft.com/office/drawing/2014/main" id="{C2E399F8-4877-C38E-2B2E-1BBACFE5482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6" name="正方形/長方形 48">
            <a:extLst>
              <a:ext uri="{FF2B5EF4-FFF2-40B4-BE49-F238E27FC236}">
                <a16:creationId xmlns:a16="http://schemas.microsoft.com/office/drawing/2014/main" id="{8511EF27-96E4-8EFC-A69D-495BF542A38A}"/>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５</a:t>
            </a:r>
            <a:r>
              <a:rPr kumimoji="1" lang="en-US" altLang="ja-JP" sz="900"/>
              <a:t>.</a:t>
            </a:r>
            <a:r>
              <a:rPr kumimoji="1" lang="ja-JP" altLang="en-US" sz="900"/>
              <a:t>自動転記バッチ</a:t>
            </a:r>
            <a:endParaRPr kumimoji="1" lang="en-US" altLang="ja-JP" sz="900"/>
          </a:p>
        </xdr:txBody>
      </xdr:sp>
    </xdr:grpSp>
    <xdr:clientData/>
  </xdr:twoCellAnchor>
  <xdr:twoCellAnchor>
    <xdr:from>
      <xdr:col>35</xdr:col>
      <xdr:colOff>57843</xdr:colOff>
      <xdr:row>386</xdr:row>
      <xdr:rowOff>66315</xdr:rowOff>
    </xdr:from>
    <xdr:to>
      <xdr:col>42</xdr:col>
      <xdr:colOff>99988</xdr:colOff>
      <xdr:row>389</xdr:row>
      <xdr:rowOff>32923</xdr:rowOff>
    </xdr:to>
    <xdr:cxnSp macro="">
      <xdr:nvCxnSpPr>
        <xdr:cNvPr id="468" name="コネクタ: カギ線 467">
          <a:extLst>
            <a:ext uri="{FF2B5EF4-FFF2-40B4-BE49-F238E27FC236}">
              <a16:creationId xmlns:a16="http://schemas.microsoft.com/office/drawing/2014/main" id="{7FEDFDB1-EEAB-4232-94AA-884C7B45379F}"/>
            </a:ext>
          </a:extLst>
        </xdr:cNvPr>
        <xdr:cNvCxnSpPr>
          <a:stCxn id="282" idx="2"/>
          <a:endCxn id="465" idx="0"/>
        </xdr:cNvCxnSpPr>
      </xdr:nvCxnSpPr>
      <xdr:spPr>
        <a:xfrm rot="16200000" flipH="1">
          <a:off x="7720733" y="64076490"/>
          <a:ext cx="488946" cy="147601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26150</xdr:colOff>
      <xdr:row>389</xdr:row>
      <xdr:rowOff>1256</xdr:rowOff>
    </xdr:from>
    <xdr:to>
      <xdr:col>51</xdr:col>
      <xdr:colOff>162758</xdr:colOff>
      <xdr:row>392</xdr:row>
      <xdr:rowOff>77040</xdr:rowOff>
    </xdr:to>
    <xdr:grpSp>
      <xdr:nvGrpSpPr>
        <xdr:cNvPr id="471" name="グループ化 470">
          <a:extLst>
            <a:ext uri="{FF2B5EF4-FFF2-40B4-BE49-F238E27FC236}">
              <a16:creationId xmlns:a16="http://schemas.microsoft.com/office/drawing/2014/main" id="{9F2BC71B-E9C8-5DE1-EF71-E49D52277745}"/>
            </a:ext>
          </a:extLst>
        </xdr:cNvPr>
        <xdr:cNvGrpSpPr>
          <a:grpSpLocks noChangeAspect="1"/>
        </xdr:cNvGrpSpPr>
      </xdr:nvGrpSpPr>
      <xdr:grpSpPr>
        <a:xfrm>
          <a:off x="8531975" y="67371581"/>
          <a:ext cx="860508" cy="590134"/>
          <a:chOff x="7112003" y="2892425"/>
          <a:chExt cx="873125" cy="584984"/>
        </a:xfrm>
      </xdr:grpSpPr>
      <xdr:sp macro="" textlink="">
        <xdr:nvSpPr>
          <xdr:cNvPr id="472" name="フローチャート: 磁気ディスク 471">
            <a:extLst>
              <a:ext uri="{FF2B5EF4-FFF2-40B4-BE49-F238E27FC236}">
                <a16:creationId xmlns:a16="http://schemas.microsoft.com/office/drawing/2014/main" id="{2838FE1D-DAF2-CD02-C373-53E8870FE141}"/>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73" name="正方形/長方形 472">
            <a:extLst>
              <a:ext uri="{FF2B5EF4-FFF2-40B4-BE49-F238E27FC236}">
                <a16:creationId xmlns:a16="http://schemas.microsoft.com/office/drawing/2014/main" id="{3F1AC019-79E9-E581-1DF0-C15E2D5A4EF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44</xdr:col>
      <xdr:colOff>204818</xdr:colOff>
      <xdr:row>390</xdr:row>
      <xdr:rowOff>101457</xdr:rowOff>
    </xdr:from>
    <xdr:to>
      <xdr:col>47</xdr:col>
      <xdr:colOff>126957</xdr:colOff>
      <xdr:row>390</xdr:row>
      <xdr:rowOff>102409</xdr:rowOff>
    </xdr:to>
    <xdr:cxnSp macro="">
      <xdr:nvCxnSpPr>
        <xdr:cNvPr id="474" name="直線矢印コネクタ 473">
          <a:extLst>
            <a:ext uri="{FF2B5EF4-FFF2-40B4-BE49-F238E27FC236}">
              <a16:creationId xmlns:a16="http://schemas.microsoft.com/office/drawing/2014/main" id="{7879C657-9A32-4DDD-86E9-250A7F0688C1}"/>
            </a:ext>
          </a:extLst>
        </xdr:cNvPr>
        <xdr:cNvCxnSpPr>
          <a:stCxn id="465" idx="3"/>
          <a:endCxn id="472" idx="2"/>
        </xdr:cNvCxnSpPr>
      </xdr:nvCxnSpPr>
      <xdr:spPr>
        <a:xfrm flipV="1">
          <a:off x="9217721" y="65301618"/>
          <a:ext cx="536655" cy="9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44143</xdr:colOff>
      <xdr:row>358</xdr:row>
      <xdr:rowOff>136320</xdr:rowOff>
    </xdr:from>
    <xdr:to>
      <xdr:col>32</xdr:col>
      <xdr:colOff>44782</xdr:colOff>
      <xdr:row>362</xdr:row>
      <xdr:rowOff>102433</xdr:rowOff>
    </xdr:to>
    <xdr:grpSp>
      <xdr:nvGrpSpPr>
        <xdr:cNvPr id="477" name="グループ化 476">
          <a:extLst>
            <a:ext uri="{FF2B5EF4-FFF2-40B4-BE49-F238E27FC236}">
              <a16:creationId xmlns:a16="http://schemas.microsoft.com/office/drawing/2014/main" id="{10E29871-89E0-4C7B-AA93-59C53D079EDF}"/>
            </a:ext>
          </a:extLst>
        </xdr:cNvPr>
        <xdr:cNvGrpSpPr/>
      </xdr:nvGrpSpPr>
      <xdr:grpSpPr>
        <a:xfrm>
          <a:off x="4387543" y="62191695"/>
          <a:ext cx="1448439" cy="651913"/>
          <a:chOff x="328663" y="4845050"/>
          <a:chExt cx="1227665" cy="646622"/>
        </a:xfrm>
      </xdr:grpSpPr>
      <xdr:sp macro="" textlink="">
        <xdr:nvSpPr>
          <xdr:cNvPr id="478" name="フローチャート: 判断 477">
            <a:extLst>
              <a:ext uri="{FF2B5EF4-FFF2-40B4-BE49-F238E27FC236}">
                <a16:creationId xmlns:a16="http://schemas.microsoft.com/office/drawing/2014/main" id="{83DCAE09-4BE5-BDA7-34AE-C4F52A074480}"/>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479" name="正方形/長方形 48">
            <a:extLst>
              <a:ext uri="{FF2B5EF4-FFF2-40B4-BE49-F238E27FC236}">
                <a16:creationId xmlns:a16="http://schemas.microsoft.com/office/drawing/2014/main" id="{43AC3DD2-73B4-B8A5-630E-AD11FA84F75E}"/>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有形資産　</a:t>
            </a:r>
            <a:r>
              <a:rPr kumimoji="1" lang="en-US" altLang="ja-JP" sz="900"/>
              <a:t>or</a:t>
            </a:r>
          </a:p>
          <a:p>
            <a:pPr algn="ctr"/>
            <a:r>
              <a:rPr kumimoji="1" lang="ja-JP" altLang="en-US" sz="900"/>
              <a:t>無形資産の</a:t>
            </a:r>
            <a:r>
              <a:rPr kumimoji="1" lang="en-US" altLang="ja-JP" sz="900"/>
              <a:t>IFRS</a:t>
            </a:r>
          </a:p>
        </xdr:txBody>
      </xdr:sp>
    </xdr:grpSp>
    <xdr:clientData/>
  </xdr:twoCellAnchor>
  <xdr:twoCellAnchor>
    <xdr:from>
      <xdr:col>28</xdr:col>
      <xdr:colOff>21239</xdr:colOff>
      <xdr:row>362</xdr:row>
      <xdr:rowOff>105608</xdr:rowOff>
    </xdr:from>
    <xdr:to>
      <xdr:col>28</xdr:col>
      <xdr:colOff>26606</xdr:colOff>
      <xdr:row>369</xdr:row>
      <xdr:rowOff>146206</xdr:rowOff>
    </xdr:to>
    <xdr:cxnSp macro="">
      <xdr:nvCxnSpPr>
        <xdr:cNvPr id="481" name="直線矢印コネクタ 480">
          <a:extLst>
            <a:ext uri="{FF2B5EF4-FFF2-40B4-BE49-F238E27FC236}">
              <a16:creationId xmlns:a16="http://schemas.microsoft.com/office/drawing/2014/main" id="{86524D6B-8C96-4FB9-BB73-B57E6EE40C82}"/>
            </a:ext>
          </a:extLst>
        </xdr:cNvPr>
        <xdr:cNvCxnSpPr>
          <a:cxnSpLocks/>
          <a:stCxn id="478" idx="2"/>
          <a:endCxn id="215" idx="0"/>
        </xdr:cNvCxnSpPr>
      </xdr:nvCxnSpPr>
      <xdr:spPr>
        <a:xfrm flipH="1">
          <a:off x="5756723" y="62868189"/>
          <a:ext cx="5367" cy="125938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92178</xdr:colOff>
      <xdr:row>362</xdr:row>
      <xdr:rowOff>122903</xdr:rowOff>
    </xdr:from>
    <xdr:to>
      <xdr:col>31</xdr:col>
      <xdr:colOff>25157</xdr:colOff>
      <xdr:row>363</xdr:row>
      <xdr:rowOff>152839</xdr:rowOff>
    </xdr:to>
    <xdr:sp macro="" textlink="">
      <xdr:nvSpPr>
        <xdr:cNvPr id="484" name="テキスト ボックス 195">
          <a:extLst>
            <a:ext uri="{FF2B5EF4-FFF2-40B4-BE49-F238E27FC236}">
              <a16:creationId xmlns:a16="http://schemas.microsoft.com/office/drawing/2014/main" id="{998BC02F-BA87-414C-B67F-FD87994AD9D3}"/>
            </a:ext>
          </a:extLst>
        </xdr:cNvPr>
        <xdr:cNvSpPr txBox="1"/>
      </xdr:nvSpPr>
      <xdr:spPr>
        <a:xfrm>
          <a:off x="5827662" y="62885484"/>
          <a:ext cx="547495" cy="204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21</xdr:col>
      <xdr:colOff>163871</xdr:colOff>
      <xdr:row>359</xdr:row>
      <xdr:rowOff>54385</xdr:rowOff>
    </xdr:from>
    <xdr:to>
      <xdr:col>24</xdr:col>
      <xdr:colOff>106375</xdr:colOff>
      <xdr:row>360</xdr:row>
      <xdr:rowOff>87496</xdr:rowOff>
    </xdr:to>
    <xdr:sp macro="" textlink="">
      <xdr:nvSpPr>
        <xdr:cNvPr id="485" name="テキスト ボックス 195">
          <a:extLst>
            <a:ext uri="{FF2B5EF4-FFF2-40B4-BE49-F238E27FC236}">
              <a16:creationId xmlns:a16="http://schemas.microsoft.com/office/drawing/2014/main" id="{86D4138B-F6E8-09A5-BA8C-95BF83905EF3}"/>
            </a:ext>
          </a:extLst>
        </xdr:cNvPr>
        <xdr:cNvSpPr txBox="1"/>
      </xdr:nvSpPr>
      <xdr:spPr>
        <a:xfrm>
          <a:off x="4465484" y="62294627"/>
          <a:ext cx="557020" cy="207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endParaRPr kumimoji="1" lang="en-US" altLang="ja-JP" sz="900"/>
        </a:p>
      </xdr:txBody>
    </xdr:sp>
    <xdr:clientData/>
  </xdr:twoCellAnchor>
  <xdr:twoCellAnchor>
    <xdr:from>
      <xdr:col>21</xdr:col>
      <xdr:colOff>63707</xdr:colOff>
      <xdr:row>360</xdr:row>
      <xdr:rowOff>120964</xdr:rowOff>
    </xdr:from>
    <xdr:to>
      <xdr:col>24</xdr:col>
      <xdr:colOff>100246</xdr:colOff>
      <xdr:row>367</xdr:row>
      <xdr:rowOff>20484</xdr:rowOff>
    </xdr:to>
    <xdr:cxnSp macro="">
      <xdr:nvCxnSpPr>
        <xdr:cNvPr id="486" name="コネクタ: カギ線 485">
          <a:extLst>
            <a:ext uri="{FF2B5EF4-FFF2-40B4-BE49-F238E27FC236}">
              <a16:creationId xmlns:a16="http://schemas.microsoft.com/office/drawing/2014/main" id="{10695DA6-B105-4498-A0B0-26AE12C8596D}"/>
            </a:ext>
          </a:extLst>
        </xdr:cNvPr>
        <xdr:cNvCxnSpPr>
          <a:stCxn id="478" idx="1"/>
          <a:endCxn id="490" idx="0"/>
        </xdr:cNvCxnSpPr>
      </xdr:nvCxnSpPr>
      <xdr:spPr>
        <a:xfrm rot="10800000" flipV="1">
          <a:off x="4365320" y="62535319"/>
          <a:ext cx="651055" cy="1118310"/>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133146</xdr:colOff>
      <xdr:row>367</xdr:row>
      <xdr:rowOff>20484</xdr:rowOff>
    </xdr:from>
    <xdr:to>
      <xdr:col>22</xdr:col>
      <xdr:colOff>202280</xdr:colOff>
      <xdr:row>368</xdr:row>
      <xdr:rowOff>107244</xdr:rowOff>
    </xdr:to>
    <xdr:sp macro="" textlink="">
      <xdr:nvSpPr>
        <xdr:cNvPr id="490" name="フローチャート: 端子 26">
          <a:extLst>
            <a:ext uri="{FF2B5EF4-FFF2-40B4-BE49-F238E27FC236}">
              <a16:creationId xmlns:a16="http://schemas.microsoft.com/office/drawing/2014/main" id="{FB27AE03-B922-43BE-B230-2A9E04C42F81}"/>
            </a:ext>
          </a:extLst>
        </xdr:cNvPr>
        <xdr:cNvSpPr/>
      </xdr:nvSpPr>
      <xdr:spPr>
        <a:xfrm>
          <a:off x="4025081" y="63653629"/>
          <a:ext cx="683651" cy="26087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16</xdr:col>
      <xdr:colOff>163229</xdr:colOff>
      <xdr:row>503</xdr:row>
      <xdr:rowOff>50633</xdr:rowOff>
    </xdr:from>
    <xdr:to>
      <xdr:col>47</xdr:col>
      <xdr:colOff>135775</xdr:colOff>
      <xdr:row>503</xdr:row>
      <xdr:rowOff>54498</xdr:rowOff>
    </xdr:to>
    <xdr:cxnSp macro="">
      <xdr:nvCxnSpPr>
        <xdr:cNvPr id="495" name="直線矢印コネクタ 494">
          <a:extLst>
            <a:ext uri="{FF2B5EF4-FFF2-40B4-BE49-F238E27FC236}">
              <a16:creationId xmlns:a16="http://schemas.microsoft.com/office/drawing/2014/main" id="{C0410095-DDD7-447A-853C-927FAB9A77BC}"/>
            </a:ext>
          </a:extLst>
        </xdr:cNvPr>
        <xdr:cNvCxnSpPr>
          <a:stCxn id="533" idx="3"/>
          <a:endCxn id="513" idx="2"/>
        </xdr:cNvCxnSpPr>
      </xdr:nvCxnSpPr>
      <xdr:spPr>
        <a:xfrm flipV="1">
          <a:off x="3437473" y="65769958"/>
          <a:ext cx="6325721" cy="704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154963</xdr:colOff>
      <xdr:row>497</xdr:row>
      <xdr:rowOff>43216</xdr:rowOff>
    </xdr:from>
    <xdr:to>
      <xdr:col>47</xdr:col>
      <xdr:colOff>154146</xdr:colOff>
      <xdr:row>497</xdr:row>
      <xdr:rowOff>59203</xdr:rowOff>
    </xdr:to>
    <xdr:cxnSp macro="">
      <xdr:nvCxnSpPr>
        <xdr:cNvPr id="496" name="直線矢印コネクタ 495">
          <a:extLst>
            <a:ext uri="{FF2B5EF4-FFF2-40B4-BE49-F238E27FC236}">
              <a16:creationId xmlns:a16="http://schemas.microsoft.com/office/drawing/2014/main" id="{988B6116-D984-4E13-BC87-988ABB36FD35}"/>
            </a:ext>
          </a:extLst>
        </xdr:cNvPr>
        <xdr:cNvCxnSpPr>
          <a:stCxn id="542" idx="3"/>
          <a:endCxn id="505" idx="2"/>
        </xdr:cNvCxnSpPr>
      </xdr:nvCxnSpPr>
      <xdr:spPr>
        <a:xfrm flipV="1">
          <a:off x="3432382" y="64724214"/>
          <a:ext cx="6349183" cy="128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491</xdr:row>
      <xdr:rowOff>146538</xdr:rowOff>
    </xdr:from>
    <xdr:to>
      <xdr:col>29</xdr:col>
      <xdr:colOff>192467</xdr:colOff>
      <xdr:row>493</xdr:row>
      <xdr:rowOff>78524</xdr:rowOff>
    </xdr:to>
    <xdr:sp macro="" textlink="">
      <xdr:nvSpPr>
        <xdr:cNvPr id="497" name="フローチャート: 端子 26">
          <a:extLst>
            <a:ext uri="{FF2B5EF4-FFF2-40B4-BE49-F238E27FC236}">
              <a16:creationId xmlns:a16="http://schemas.microsoft.com/office/drawing/2014/main" id="{C49CDD5B-9C18-49C7-B1C3-ACC9F8B6F38A}"/>
            </a:ext>
          </a:extLst>
        </xdr:cNvPr>
        <xdr:cNvSpPr/>
      </xdr:nvSpPr>
      <xdr:spPr>
        <a:xfrm>
          <a:off x="5411759" y="63776508"/>
          <a:ext cx="721031" cy="283387"/>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24</xdr:col>
      <xdr:colOff>95797</xdr:colOff>
      <xdr:row>495</xdr:row>
      <xdr:rowOff>83394</xdr:rowOff>
    </xdr:from>
    <xdr:to>
      <xdr:col>31</xdr:col>
      <xdr:colOff>182346</xdr:colOff>
      <xdr:row>499</xdr:row>
      <xdr:rowOff>49360</xdr:rowOff>
    </xdr:to>
    <xdr:grpSp>
      <xdr:nvGrpSpPr>
        <xdr:cNvPr id="498" name="グループ化 497">
          <a:extLst>
            <a:ext uri="{FF2B5EF4-FFF2-40B4-BE49-F238E27FC236}">
              <a16:creationId xmlns:a16="http://schemas.microsoft.com/office/drawing/2014/main" id="{CE0E8086-22C3-438D-99F3-0CD668A4C5C4}"/>
            </a:ext>
          </a:extLst>
        </xdr:cNvPr>
        <xdr:cNvGrpSpPr/>
      </xdr:nvGrpSpPr>
      <xdr:grpSpPr>
        <a:xfrm>
          <a:off x="4439197" y="85627419"/>
          <a:ext cx="1353374" cy="651766"/>
          <a:chOff x="4950055" y="37349957"/>
          <a:chExt cx="1498939" cy="626366"/>
        </a:xfrm>
      </xdr:grpSpPr>
      <xdr:sp macro="" textlink="">
        <xdr:nvSpPr>
          <xdr:cNvPr id="499" name="フローチャート: 定義済み処理 9">
            <a:extLst>
              <a:ext uri="{FF2B5EF4-FFF2-40B4-BE49-F238E27FC236}">
                <a16:creationId xmlns:a16="http://schemas.microsoft.com/office/drawing/2014/main" id="{984816C6-E4DB-C360-08CA-74D6FFD220F6}"/>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00" name="正方形/長方形 48">
            <a:extLst>
              <a:ext uri="{FF2B5EF4-FFF2-40B4-BE49-F238E27FC236}">
                <a16:creationId xmlns:a16="http://schemas.microsoft.com/office/drawing/2014/main" id="{DC84E135-164E-CA4D-D934-C75E60E0EB81}"/>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クローズ仕訳</a:t>
            </a:r>
          </a:p>
          <a:p>
            <a:pPr algn="ctr"/>
            <a:r>
              <a:rPr kumimoji="1" lang="ja-JP" altLang="en-US" sz="900"/>
              <a:t>登録</a:t>
            </a:r>
          </a:p>
        </xdr:txBody>
      </xdr:sp>
    </xdr:grpSp>
    <xdr:clientData/>
  </xdr:twoCellAnchor>
  <xdr:twoCellAnchor>
    <xdr:from>
      <xdr:col>30</xdr:col>
      <xdr:colOff>122887</xdr:colOff>
      <xdr:row>497</xdr:row>
      <xdr:rowOff>41354</xdr:rowOff>
    </xdr:from>
    <xdr:to>
      <xdr:col>47</xdr:col>
      <xdr:colOff>152283</xdr:colOff>
      <xdr:row>497</xdr:row>
      <xdr:rowOff>48887</xdr:rowOff>
    </xdr:to>
    <xdr:cxnSp macro="">
      <xdr:nvCxnSpPr>
        <xdr:cNvPr id="501" name="直線矢印コネクタ 500">
          <a:extLst>
            <a:ext uri="{FF2B5EF4-FFF2-40B4-BE49-F238E27FC236}">
              <a16:creationId xmlns:a16="http://schemas.microsoft.com/office/drawing/2014/main" id="{954C7BCE-06FE-4FC9-8AE1-5E3499D9293D}"/>
            </a:ext>
          </a:extLst>
        </xdr:cNvPr>
        <xdr:cNvCxnSpPr>
          <a:stCxn id="499" idx="3"/>
          <a:endCxn id="505" idx="2"/>
        </xdr:cNvCxnSpPr>
      </xdr:nvCxnSpPr>
      <xdr:spPr>
        <a:xfrm flipV="1">
          <a:off x="6271223" y="64722352"/>
          <a:ext cx="3508479" cy="118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143853</xdr:colOff>
      <xdr:row>520</xdr:row>
      <xdr:rowOff>89677</xdr:rowOff>
    </xdr:from>
    <xdr:to>
      <xdr:col>44</xdr:col>
      <xdr:colOff>64506</xdr:colOff>
      <xdr:row>522</xdr:row>
      <xdr:rowOff>11850</xdr:rowOff>
    </xdr:to>
    <xdr:sp macro="" textlink="">
      <xdr:nvSpPr>
        <xdr:cNvPr id="502" name="フローチャート: 端子 26">
          <a:extLst>
            <a:ext uri="{FF2B5EF4-FFF2-40B4-BE49-F238E27FC236}">
              <a16:creationId xmlns:a16="http://schemas.microsoft.com/office/drawing/2014/main" id="{63A878C0-DCED-4646-B35A-6D2624E906DF}"/>
            </a:ext>
          </a:extLst>
        </xdr:cNvPr>
        <xdr:cNvSpPr/>
      </xdr:nvSpPr>
      <xdr:spPr>
        <a:xfrm>
          <a:off x="8337401" y="75040161"/>
          <a:ext cx="740008" cy="270399"/>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493</xdr:row>
      <xdr:rowOff>78524</xdr:rowOff>
    </xdr:from>
    <xdr:to>
      <xdr:col>28</xdr:col>
      <xdr:colOff>38186</xdr:colOff>
      <xdr:row>495</xdr:row>
      <xdr:rowOff>152868</xdr:rowOff>
    </xdr:to>
    <xdr:cxnSp macro="">
      <xdr:nvCxnSpPr>
        <xdr:cNvPr id="503" name="直線矢印コネクタ 502">
          <a:extLst>
            <a:ext uri="{FF2B5EF4-FFF2-40B4-BE49-F238E27FC236}">
              <a16:creationId xmlns:a16="http://schemas.microsoft.com/office/drawing/2014/main" id="{B2CC109C-AED1-4894-83B7-5C6766139861}"/>
            </a:ext>
          </a:extLst>
        </xdr:cNvPr>
        <xdr:cNvCxnSpPr>
          <a:stCxn id="497" idx="2"/>
          <a:endCxn id="499" idx="0"/>
        </xdr:cNvCxnSpPr>
      </xdr:nvCxnSpPr>
      <xdr:spPr>
        <a:xfrm flipH="1">
          <a:off x="5766834" y="64059895"/>
          <a:ext cx="6836" cy="42257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48219</xdr:colOff>
      <xdr:row>495</xdr:row>
      <xdr:rowOff>85214</xdr:rowOff>
    </xdr:from>
    <xdr:to>
      <xdr:col>52</xdr:col>
      <xdr:colOff>64459</xdr:colOff>
      <xdr:row>499</xdr:row>
      <xdr:rowOff>46869</xdr:rowOff>
    </xdr:to>
    <xdr:grpSp>
      <xdr:nvGrpSpPr>
        <xdr:cNvPr id="504" name="グループ化 503">
          <a:extLst>
            <a:ext uri="{FF2B5EF4-FFF2-40B4-BE49-F238E27FC236}">
              <a16:creationId xmlns:a16="http://schemas.microsoft.com/office/drawing/2014/main" id="{AAABF1D9-5A2F-43ED-A88B-F73107C7A066}"/>
            </a:ext>
          </a:extLst>
        </xdr:cNvPr>
        <xdr:cNvGrpSpPr>
          <a:grpSpLocks noChangeAspect="1"/>
        </xdr:cNvGrpSpPr>
      </xdr:nvGrpSpPr>
      <xdr:grpSpPr>
        <a:xfrm>
          <a:off x="8554044" y="85629239"/>
          <a:ext cx="921115" cy="647455"/>
          <a:chOff x="7112003" y="2892425"/>
          <a:chExt cx="873125" cy="584984"/>
        </a:xfrm>
      </xdr:grpSpPr>
      <xdr:sp macro="" textlink="">
        <xdr:nvSpPr>
          <xdr:cNvPr id="505" name="フローチャート: 磁気ディスク 504">
            <a:extLst>
              <a:ext uri="{FF2B5EF4-FFF2-40B4-BE49-F238E27FC236}">
                <a16:creationId xmlns:a16="http://schemas.microsoft.com/office/drawing/2014/main" id="{BC08D2F1-3988-411D-EF57-CCCFB84783B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06" name="正方形/長方形 505">
            <a:extLst>
              <a:ext uri="{FF2B5EF4-FFF2-40B4-BE49-F238E27FC236}">
                <a16:creationId xmlns:a16="http://schemas.microsoft.com/office/drawing/2014/main" id="{FCDFF7DD-16B8-E298-A9F5-CF72D5B46C7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28</xdr:col>
      <xdr:colOff>33421</xdr:colOff>
      <xdr:row>498</xdr:row>
      <xdr:rowOff>122845</xdr:rowOff>
    </xdr:from>
    <xdr:to>
      <xdr:col>28</xdr:col>
      <xdr:colOff>39172</xdr:colOff>
      <xdr:row>501</xdr:row>
      <xdr:rowOff>157894</xdr:rowOff>
    </xdr:to>
    <xdr:cxnSp macro="">
      <xdr:nvCxnSpPr>
        <xdr:cNvPr id="507" name="直線矢印コネクタ 506">
          <a:extLst>
            <a:ext uri="{FF2B5EF4-FFF2-40B4-BE49-F238E27FC236}">
              <a16:creationId xmlns:a16="http://schemas.microsoft.com/office/drawing/2014/main" id="{AFA3E841-563D-44E4-A492-DE2C1D123D7F}"/>
            </a:ext>
          </a:extLst>
        </xdr:cNvPr>
        <xdr:cNvCxnSpPr>
          <a:cxnSpLocks/>
          <a:stCxn id="499" idx="2"/>
          <a:endCxn id="509" idx="0"/>
        </xdr:cNvCxnSpPr>
      </xdr:nvCxnSpPr>
      <xdr:spPr>
        <a:xfrm>
          <a:off x="5765730" y="64977955"/>
          <a:ext cx="8926" cy="55738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84904</xdr:colOff>
      <xdr:row>501</xdr:row>
      <xdr:rowOff>120946</xdr:rowOff>
    </xdr:from>
    <xdr:to>
      <xdr:col>30</xdr:col>
      <xdr:colOff>179489</xdr:colOff>
      <xdr:row>504</xdr:row>
      <xdr:rowOff>149751</xdr:rowOff>
    </xdr:to>
    <xdr:grpSp>
      <xdr:nvGrpSpPr>
        <xdr:cNvPr id="508" name="グループ化 8">
          <a:extLst>
            <a:ext uri="{FF2B5EF4-FFF2-40B4-BE49-F238E27FC236}">
              <a16:creationId xmlns:a16="http://schemas.microsoft.com/office/drawing/2014/main" id="{FAF8DD6C-8FD9-4D8B-82EF-85F48D37A93B}"/>
            </a:ext>
          </a:extLst>
        </xdr:cNvPr>
        <xdr:cNvGrpSpPr/>
      </xdr:nvGrpSpPr>
      <xdr:grpSpPr>
        <a:xfrm>
          <a:off x="4609279" y="86693671"/>
          <a:ext cx="999460" cy="543155"/>
          <a:chOff x="1633015" y="2430783"/>
          <a:chExt cx="908902" cy="422628"/>
        </a:xfrm>
      </xdr:grpSpPr>
      <xdr:sp macro="" textlink="">
        <xdr:nvSpPr>
          <xdr:cNvPr id="509" name="フローチャート: 定義済み処理 9">
            <a:extLst>
              <a:ext uri="{FF2B5EF4-FFF2-40B4-BE49-F238E27FC236}">
                <a16:creationId xmlns:a16="http://schemas.microsoft.com/office/drawing/2014/main" id="{1ED46298-2A77-EA50-1BA8-9A9B4360D1D8}"/>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10" name="正方形/長方形 48">
            <a:extLst>
              <a:ext uri="{FF2B5EF4-FFF2-40B4-BE49-F238E27FC236}">
                <a16:creationId xmlns:a16="http://schemas.microsoft.com/office/drawing/2014/main" id="{463494A5-F3E5-C479-6017-0F4645FF7DB0}"/>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承認</a:t>
            </a:r>
            <a:endParaRPr kumimoji="1" lang="en-US" altLang="ja-JP" sz="900"/>
          </a:p>
        </xdr:txBody>
      </xdr:sp>
    </xdr:grpSp>
    <xdr:clientData/>
  </xdr:twoCellAnchor>
  <xdr:twoCellAnchor>
    <xdr:from>
      <xdr:col>30</xdr:col>
      <xdr:colOff>130977</xdr:colOff>
      <xdr:row>503</xdr:row>
      <xdr:rowOff>50195</xdr:rowOff>
    </xdr:from>
    <xdr:to>
      <xdr:col>47</xdr:col>
      <xdr:colOff>135078</xdr:colOff>
      <xdr:row>503</xdr:row>
      <xdr:rowOff>51606</xdr:rowOff>
    </xdr:to>
    <xdr:cxnSp macro="">
      <xdr:nvCxnSpPr>
        <xdr:cNvPr id="511" name="直線矢印コネクタ 510">
          <a:extLst>
            <a:ext uri="{FF2B5EF4-FFF2-40B4-BE49-F238E27FC236}">
              <a16:creationId xmlns:a16="http://schemas.microsoft.com/office/drawing/2014/main" id="{841F579D-84A5-49B5-B824-C3554FFA36E7}"/>
            </a:ext>
          </a:extLst>
        </xdr:cNvPr>
        <xdr:cNvCxnSpPr>
          <a:stCxn id="509" idx="3"/>
          <a:endCxn id="513" idx="2"/>
        </xdr:cNvCxnSpPr>
      </xdr:nvCxnSpPr>
      <xdr:spPr>
        <a:xfrm flipV="1">
          <a:off x="6276138" y="65769520"/>
          <a:ext cx="3486359" cy="141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30183</xdr:colOff>
      <xdr:row>501</xdr:row>
      <xdr:rowOff>97263</xdr:rowOff>
    </xdr:from>
    <xdr:to>
      <xdr:col>52</xdr:col>
      <xdr:colOff>49598</xdr:colOff>
      <xdr:row>505</xdr:row>
      <xdr:rowOff>55742</xdr:rowOff>
    </xdr:to>
    <xdr:grpSp>
      <xdr:nvGrpSpPr>
        <xdr:cNvPr id="512" name="グループ化 511">
          <a:extLst>
            <a:ext uri="{FF2B5EF4-FFF2-40B4-BE49-F238E27FC236}">
              <a16:creationId xmlns:a16="http://schemas.microsoft.com/office/drawing/2014/main" id="{CCA114A6-2DD9-439D-891E-44CD33149679}"/>
            </a:ext>
          </a:extLst>
        </xdr:cNvPr>
        <xdr:cNvGrpSpPr>
          <a:grpSpLocks noChangeAspect="1"/>
        </xdr:cNvGrpSpPr>
      </xdr:nvGrpSpPr>
      <xdr:grpSpPr>
        <a:xfrm>
          <a:off x="8536008" y="86669988"/>
          <a:ext cx="924290" cy="644279"/>
          <a:chOff x="7112003" y="2892425"/>
          <a:chExt cx="873125" cy="584984"/>
        </a:xfrm>
      </xdr:grpSpPr>
      <xdr:sp macro="" textlink="">
        <xdr:nvSpPr>
          <xdr:cNvPr id="513" name="フローチャート: 磁気ディスク 512">
            <a:extLst>
              <a:ext uri="{FF2B5EF4-FFF2-40B4-BE49-F238E27FC236}">
                <a16:creationId xmlns:a16="http://schemas.microsoft.com/office/drawing/2014/main" id="{3139E9E0-2AE6-C72D-FC6E-E4360156FDE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14" name="正方形/長方形 513">
            <a:extLst>
              <a:ext uri="{FF2B5EF4-FFF2-40B4-BE49-F238E27FC236}">
                <a16:creationId xmlns:a16="http://schemas.microsoft.com/office/drawing/2014/main" id="{6F3B3621-EA78-BC33-936E-B23DD0BB69B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ja-JP" altLang="en-US" sz="900">
                <a:effectLst/>
              </a:rPr>
              <a:t>一般仕訳帳</a:t>
            </a:r>
            <a:endParaRPr lang="ja-JP" altLang="ja-JP" sz="900">
              <a:effectLst/>
            </a:endParaRPr>
          </a:p>
        </xdr:txBody>
      </xdr:sp>
    </xdr:grpSp>
    <xdr:clientData/>
  </xdr:twoCellAnchor>
  <xdr:twoCellAnchor>
    <xdr:from>
      <xdr:col>39</xdr:col>
      <xdr:colOff>153761</xdr:colOff>
      <xdr:row>508</xdr:row>
      <xdr:rowOff>145380</xdr:rowOff>
    </xdr:from>
    <xdr:to>
      <xdr:col>45</xdr:col>
      <xdr:colOff>45008</xdr:colOff>
      <xdr:row>512</xdr:row>
      <xdr:rowOff>7981</xdr:rowOff>
    </xdr:to>
    <xdr:grpSp>
      <xdr:nvGrpSpPr>
        <xdr:cNvPr id="515" name="グループ化 8">
          <a:extLst>
            <a:ext uri="{FF2B5EF4-FFF2-40B4-BE49-F238E27FC236}">
              <a16:creationId xmlns:a16="http://schemas.microsoft.com/office/drawing/2014/main" id="{C3804F85-53AA-48BB-BB93-39F49062F9DA}"/>
            </a:ext>
          </a:extLst>
        </xdr:cNvPr>
        <xdr:cNvGrpSpPr/>
      </xdr:nvGrpSpPr>
      <xdr:grpSpPr>
        <a:xfrm>
          <a:off x="7211786" y="87918255"/>
          <a:ext cx="977097" cy="548401"/>
          <a:chOff x="1633015" y="2430783"/>
          <a:chExt cx="908902" cy="422628"/>
        </a:xfrm>
      </xdr:grpSpPr>
      <xdr:sp macro="" textlink="">
        <xdr:nvSpPr>
          <xdr:cNvPr id="516" name="フローチャート: 定義済み処理 9">
            <a:extLst>
              <a:ext uri="{FF2B5EF4-FFF2-40B4-BE49-F238E27FC236}">
                <a16:creationId xmlns:a16="http://schemas.microsoft.com/office/drawing/2014/main" id="{5413871B-31AF-C0B4-DBEC-6296B7F50249}"/>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17" name="正方形/長方形 48">
            <a:extLst>
              <a:ext uri="{FF2B5EF4-FFF2-40B4-BE49-F238E27FC236}">
                <a16:creationId xmlns:a16="http://schemas.microsoft.com/office/drawing/2014/main" id="{0E73F7E8-2427-AF7F-42AB-397A31ABBBA6}"/>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自動転記バッチ</a:t>
            </a:r>
            <a:endParaRPr kumimoji="1" lang="en-US" altLang="ja-JP" sz="900"/>
          </a:p>
        </xdr:txBody>
      </xdr:sp>
    </xdr:grpSp>
    <xdr:clientData/>
  </xdr:twoCellAnchor>
  <xdr:twoCellAnchor>
    <xdr:from>
      <xdr:col>44</xdr:col>
      <xdr:colOff>200441</xdr:colOff>
      <xdr:row>510</xdr:row>
      <xdr:rowOff>76749</xdr:rowOff>
    </xdr:from>
    <xdr:to>
      <xdr:col>47</xdr:col>
      <xdr:colOff>137058</xdr:colOff>
      <xdr:row>510</xdr:row>
      <xdr:rowOff>77643</xdr:rowOff>
    </xdr:to>
    <xdr:cxnSp macro="">
      <xdr:nvCxnSpPr>
        <xdr:cNvPr id="518" name="直線矢印コネクタ 517">
          <a:extLst>
            <a:ext uri="{FF2B5EF4-FFF2-40B4-BE49-F238E27FC236}">
              <a16:creationId xmlns:a16="http://schemas.microsoft.com/office/drawing/2014/main" id="{CF016C78-E800-42C5-B3AF-D97449D59250}"/>
            </a:ext>
          </a:extLst>
        </xdr:cNvPr>
        <xdr:cNvCxnSpPr>
          <a:stCxn id="516" idx="3"/>
          <a:endCxn id="520" idx="2"/>
        </xdr:cNvCxnSpPr>
      </xdr:nvCxnSpPr>
      <xdr:spPr>
        <a:xfrm flipV="1">
          <a:off x="9213344" y="73286104"/>
          <a:ext cx="551133" cy="89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30183</xdr:colOff>
      <xdr:row>508</xdr:row>
      <xdr:rowOff>124871</xdr:rowOff>
    </xdr:from>
    <xdr:to>
      <xdr:col>52</xdr:col>
      <xdr:colOff>49598</xdr:colOff>
      <xdr:row>512</xdr:row>
      <xdr:rowOff>83350</xdr:rowOff>
    </xdr:to>
    <xdr:grpSp>
      <xdr:nvGrpSpPr>
        <xdr:cNvPr id="519" name="グループ化 518">
          <a:extLst>
            <a:ext uri="{FF2B5EF4-FFF2-40B4-BE49-F238E27FC236}">
              <a16:creationId xmlns:a16="http://schemas.microsoft.com/office/drawing/2014/main" id="{435E31FD-9F99-4980-A89F-9883A7FB11C4}"/>
            </a:ext>
          </a:extLst>
        </xdr:cNvPr>
        <xdr:cNvGrpSpPr>
          <a:grpSpLocks noChangeAspect="1"/>
        </xdr:cNvGrpSpPr>
      </xdr:nvGrpSpPr>
      <xdr:grpSpPr>
        <a:xfrm>
          <a:off x="8536008" y="87897746"/>
          <a:ext cx="924290" cy="644279"/>
          <a:chOff x="7112003" y="2892425"/>
          <a:chExt cx="873125" cy="584984"/>
        </a:xfrm>
      </xdr:grpSpPr>
      <xdr:sp macro="" textlink="">
        <xdr:nvSpPr>
          <xdr:cNvPr id="520" name="フローチャート: 磁気ディスク 519">
            <a:extLst>
              <a:ext uri="{FF2B5EF4-FFF2-40B4-BE49-F238E27FC236}">
                <a16:creationId xmlns:a16="http://schemas.microsoft.com/office/drawing/2014/main" id="{A0899D85-4B33-DC0C-A5E4-C704173B98A0}"/>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21" name="正方形/長方形 520">
            <a:extLst>
              <a:ext uri="{FF2B5EF4-FFF2-40B4-BE49-F238E27FC236}">
                <a16:creationId xmlns:a16="http://schemas.microsoft.com/office/drawing/2014/main" id="{EDFC4DB3-BCB6-EBFC-1767-CB18F1DC6AD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ja-JP" altLang="en-US" sz="900">
                <a:effectLst/>
              </a:rPr>
              <a:t>自動転記バッチ</a:t>
            </a:r>
            <a:endParaRPr lang="ja-JP" altLang="ja-JP" sz="900">
              <a:effectLst/>
            </a:endParaRPr>
          </a:p>
        </xdr:txBody>
      </xdr:sp>
    </xdr:grpSp>
    <xdr:clientData/>
  </xdr:twoCellAnchor>
  <xdr:twoCellAnchor>
    <xdr:from>
      <xdr:col>28</xdr:col>
      <xdr:colOff>37367</xdr:colOff>
      <xdr:row>504</xdr:row>
      <xdr:rowOff>118905</xdr:rowOff>
    </xdr:from>
    <xdr:to>
      <xdr:col>42</xdr:col>
      <xdr:colOff>103806</xdr:colOff>
      <xdr:row>509</xdr:row>
      <xdr:rowOff>4662</xdr:rowOff>
    </xdr:to>
    <xdr:cxnSp macro="">
      <xdr:nvCxnSpPr>
        <xdr:cNvPr id="522" name="コネクタ: カギ線 521">
          <a:extLst>
            <a:ext uri="{FF2B5EF4-FFF2-40B4-BE49-F238E27FC236}">
              <a16:creationId xmlns:a16="http://schemas.microsoft.com/office/drawing/2014/main" id="{33B2DF18-E36A-4241-9A2F-098722E0EFB2}"/>
            </a:ext>
          </a:extLst>
        </xdr:cNvPr>
        <xdr:cNvCxnSpPr>
          <a:stCxn id="509" idx="2"/>
          <a:endCxn id="516" idx="0"/>
        </xdr:cNvCxnSpPr>
      </xdr:nvCxnSpPr>
      <xdr:spPr>
        <a:xfrm rot="16200000" flipH="1">
          <a:off x="6861781" y="71194652"/>
          <a:ext cx="756322" cy="293418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104179</xdr:colOff>
      <xdr:row>511</xdr:row>
      <xdr:rowOff>153442</xdr:rowOff>
    </xdr:from>
    <xdr:to>
      <xdr:col>42</xdr:col>
      <xdr:colOff>105407</xdr:colOff>
      <xdr:row>520</xdr:row>
      <xdr:rowOff>86502</xdr:rowOff>
    </xdr:to>
    <xdr:cxnSp macro="">
      <xdr:nvCxnSpPr>
        <xdr:cNvPr id="526" name="コネクタ: カギ線 525">
          <a:extLst>
            <a:ext uri="{FF2B5EF4-FFF2-40B4-BE49-F238E27FC236}">
              <a16:creationId xmlns:a16="http://schemas.microsoft.com/office/drawing/2014/main" id="{64629BE9-0FC4-4818-9ADA-C492AD393B4C}"/>
            </a:ext>
          </a:extLst>
        </xdr:cNvPr>
        <xdr:cNvCxnSpPr>
          <a:stCxn id="516" idx="2"/>
          <a:endCxn id="502" idx="0"/>
        </xdr:cNvCxnSpPr>
      </xdr:nvCxnSpPr>
      <xdr:spPr>
        <a:xfrm rot="5400000">
          <a:off x="7957981" y="74286334"/>
          <a:ext cx="1500076" cy="122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117447</xdr:colOff>
      <xdr:row>501</xdr:row>
      <xdr:rowOff>120946</xdr:rowOff>
    </xdr:from>
    <xdr:to>
      <xdr:col>17</xdr:col>
      <xdr:colOff>6452</xdr:colOff>
      <xdr:row>504</xdr:row>
      <xdr:rowOff>149751</xdr:rowOff>
    </xdr:to>
    <xdr:grpSp>
      <xdr:nvGrpSpPr>
        <xdr:cNvPr id="532" name="グループ化 8">
          <a:extLst>
            <a:ext uri="{FF2B5EF4-FFF2-40B4-BE49-F238E27FC236}">
              <a16:creationId xmlns:a16="http://schemas.microsoft.com/office/drawing/2014/main" id="{114667A8-86A9-446D-B99D-D1C64AF371E6}"/>
            </a:ext>
          </a:extLst>
        </xdr:cNvPr>
        <xdr:cNvGrpSpPr/>
      </xdr:nvGrpSpPr>
      <xdr:grpSpPr>
        <a:xfrm>
          <a:off x="2108172" y="86693671"/>
          <a:ext cx="974855" cy="543155"/>
          <a:chOff x="1633015" y="2430783"/>
          <a:chExt cx="908902" cy="422628"/>
        </a:xfrm>
      </xdr:grpSpPr>
      <xdr:sp macro="" textlink="">
        <xdr:nvSpPr>
          <xdr:cNvPr id="533" name="フローチャート: 定義済み処理 9">
            <a:extLst>
              <a:ext uri="{FF2B5EF4-FFF2-40B4-BE49-F238E27FC236}">
                <a16:creationId xmlns:a16="http://schemas.microsoft.com/office/drawing/2014/main" id="{FE54A938-0832-351C-96E0-4B0047D48C96}"/>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34" name="正方形/長方形 48">
            <a:extLst>
              <a:ext uri="{FF2B5EF4-FFF2-40B4-BE49-F238E27FC236}">
                <a16:creationId xmlns:a16="http://schemas.microsoft.com/office/drawing/2014/main" id="{892D6B92-A7EB-F0EC-787F-D9F9C8D3063B}"/>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承認</a:t>
            </a:r>
          </a:p>
        </xdr:txBody>
      </xdr:sp>
    </xdr:grpSp>
    <xdr:clientData/>
  </xdr:twoCellAnchor>
  <xdr:twoCellAnchor>
    <xdr:from>
      <xdr:col>10</xdr:col>
      <xdr:colOff>125959</xdr:colOff>
      <xdr:row>495</xdr:row>
      <xdr:rowOff>86569</xdr:rowOff>
    </xdr:from>
    <xdr:to>
      <xdr:col>18</xdr:col>
      <xdr:colOff>577</xdr:colOff>
      <xdr:row>499</xdr:row>
      <xdr:rowOff>46185</xdr:rowOff>
    </xdr:to>
    <xdr:grpSp>
      <xdr:nvGrpSpPr>
        <xdr:cNvPr id="541" name="グループ化 540">
          <a:extLst>
            <a:ext uri="{FF2B5EF4-FFF2-40B4-BE49-F238E27FC236}">
              <a16:creationId xmlns:a16="http://schemas.microsoft.com/office/drawing/2014/main" id="{49FEA4AB-4546-4E02-97F9-8572323FCF98}"/>
            </a:ext>
          </a:extLst>
        </xdr:cNvPr>
        <xdr:cNvGrpSpPr/>
      </xdr:nvGrpSpPr>
      <xdr:grpSpPr>
        <a:xfrm>
          <a:off x="1935709" y="85630594"/>
          <a:ext cx="1322418" cy="645416"/>
          <a:chOff x="4950055" y="37349957"/>
          <a:chExt cx="1498939" cy="626366"/>
        </a:xfrm>
      </xdr:grpSpPr>
      <xdr:sp macro="" textlink="">
        <xdr:nvSpPr>
          <xdr:cNvPr id="542" name="フローチャート: 定義済み処理 9">
            <a:extLst>
              <a:ext uri="{FF2B5EF4-FFF2-40B4-BE49-F238E27FC236}">
                <a16:creationId xmlns:a16="http://schemas.microsoft.com/office/drawing/2014/main" id="{7BE285EF-666C-8AFE-A98C-B9CE641C2113}"/>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43" name="正方形/長方形 48">
            <a:extLst>
              <a:ext uri="{FF2B5EF4-FFF2-40B4-BE49-F238E27FC236}">
                <a16:creationId xmlns:a16="http://schemas.microsoft.com/office/drawing/2014/main" id="{62638196-DFF5-21A0-FD13-8FC441726A8B}"/>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クローズ仕訳</a:t>
            </a:r>
            <a:endParaRPr kumimoji="1" lang="en-US" altLang="ja-JP" sz="900"/>
          </a:p>
          <a:p>
            <a:pPr algn="ctr"/>
            <a:r>
              <a:rPr kumimoji="1" lang="ja-JP" altLang="en-US" sz="900"/>
              <a:t>登録</a:t>
            </a:r>
          </a:p>
        </xdr:txBody>
      </xdr:sp>
    </xdr:grpSp>
    <xdr:clientData/>
  </xdr:twoCellAnchor>
  <xdr:twoCellAnchor>
    <xdr:from>
      <xdr:col>14</xdr:col>
      <xdr:colOff>62289</xdr:colOff>
      <xdr:row>498</xdr:row>
      <xdr:rowOff>131521</xdr:rowOff>
    </xdr:from>
    <xdr:to>
      <xdr:col>14</xdr:col>
      <xdr:colOff>69504</xdr:colOff>
      <xdr:row>501</xdr:row>
      <xdr:rowOff>152538</xdr:rowOff>
    </xdr:to>
    <xdr:cxnSp macro="">
      <xdr:nvCxnSpPr>
        <xdr:cNvPr id="544" name="直線矢印コネクタ 543">
          <a:extLst>
            <a:ext uri="{FF2B5EF4-FFF2-40B4-BE49-F238E27FC236}">
              <a16:creationId xmlns:a16="http://schemas.microsoft.com/office/drawing/2014/main" id="{7422D4BC-E368-42DE-BABB-AFC45B258C6A}"/>
            </a:ext>
          </a:extLst>
        </xdr:cNvPr>
        <xdr:cNvCxnSpPr>
          <a:cxnSpLocks/>
          <a:stCxn id="542" idx="2"/>
          <a:endCxn id="533" idx="0"/>
        </xdr:cNvCxnSpPr>
      </xdr:nvCxnSpPr>
      <xdr:spPr>
        <a:xfrm>
          <a:off x="2933206" y="64983456"/>
          <a:ext cx="865" cy="54335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67889</xdr:colOff>
      <xdr:row>504</xdr:row>
      <xdr:rowOff>119923</xdr:rowOff>
    </xdr:from>
    <xdr:to>
      <xdr:col>42</xdr:col>
      <xdr:colOff>105332</xdr:colOff>
      <xdr:row>509</xdr:row>
      <xdr:rowOff>6451</xdr:rowOff>
    </xdr:to>
    <xdr:cxnSp macro="">
      <xdr:nvCxnSpPr>
        <xdr:cNvPr id="545" name="コネクタ: カギ線 544">
          <a:extLst>
            <a:ext uri="{FF2B5EF4-FFF2-40B4-BE49-F238E27FC236}">
              <a16:creationId xmlns:a16="http://schemas.microsoft.com/office/drawing/2014/main" id="{01CB6527-D5B2-4D56-9B22-0428DBB77A22}"/>
            </a:ext>
          </a:extLst>
        </xdr:cNvPr>
        <xdr:cNvCxnSpPr>
          <a:stCxn id="533" idx="2"/>
          <a:endCxn id="516" idx="0"/>
        </xdr:cNvCxnSpPr>
      </xdr:nvCxnSpPr>
      <xdr:spPr>
        <a:xfrm rot="16200000" flipH="1">
          <a:off x="5370890" y="67318980"/>
          <a:ext cx="726970" cy="568520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62290</xdr:colOff>
      <xdr:row>493</xdr:row>
      <xdr:rowOff>78524</xdr:rowOff>
    </xdr:from>
    <xdr:to>
      <xdr:col>28</xdr:col>
      <xdr:colOff>38008</xdr:colOff>
      <xdr:row>495</xdr:row>
      <xdr:rowOff>153572</xdr:rowOff>
    </xdr:to>
    <xdr:cxnSp macro="">
      <xdr:nvCxnSpPr>
        <xdr:cNvPr id="548" name="コネクタ: カギ線 547">
          <a:extLst>
            <a:ext uri="{FF2B5EF4-FFF2-40B4-BE49-F238E27FC236}">
              <a16:creationId xmlns:a16="http://schemas.microsoft.com/office/drawing/2014/main" id="{CEF8173F-905B-4BEE-95D1-29F444CDA30A}"/>
            </a:ext>
          </a:extLst>
        </xdr:cNvPr>
        <xdr:cNvCxnSpPr>
          <a:stCxn id="497" idx="2"/>
          <a:endCxn id="542" idx="0"/>
        </xdr:cNvCxnSpPr>
      </xdr:nvCxnSpPr>
      <xdr:spPr>
        <a:xfrm rot="5400000">
          <a:off x="4141713" y="62851389"/>
          <a:ext cx="423274" cy="284028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157394</xdr:colOff>
      <xdr:row>96</xdr:row>
      <xdr:rowOff>41626</xdr:rowOff>
    </xdr:from>
    <xdr:to>
      <xdr:col>42</xdr:col>
      <xdr:colOff>126284</xdr:colOff>
      <xdr:row>101</xdr:row>
      <xdr:rowOff>121649</xdr:rowOff>
    </xdr:to>
    <xdr:cxnSp macro="">
      <xdr:nvCxnSpPr>
        <xdr:cNvPr id="456" name="コネクタ: カギ線 455">
          <a:extLst>
            <a:ext uri="{FF2B5EF4-FFF2-40B4-BE49-F238E27FC236}">
              <a16:creationId xmlns:a16="http://schemas.microsoft.com/office/drawing/2014/main" id="{7783AA06-24F8-48CD-B8C4-D6BC14CAB715}"/>
            </a:ext>
          </a:extLst>
        </xdr:cNvPr>
        <xdr:cNvCxnSpPr>
          <a:stCxn id="248" idx="2"/>
          <a:endCxn id="393" idx="0"/>
        </xdr:cNvCxnSpPr>
      </xdr:nvCxnSpPr>
      <xdr:spPr>
        <a:xfrm rot="16200000" flipH="1">
          <a:off x="6035343" y="14121354"/>
          <a:ext cx="920464" cy="420471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146830</xdr:colOff>
      <xdr:row>104</xdr:row>
      <xdr:rowOff>76295</xdr:rowOff>
    </xdr:from>
    <xdr:to>
      <xdr:col>42</xdr:col>
      <xdr:colOff>126285</xdr:colOff>
      <xdr:row>141</xdr:row>
      <xdr:rowOff>54728</xdr:rowOff>
    </xdr:to>
    <xdr:cxnSp macro="">
      <xdr:nvCxnSpPr>
        <xdr:cNvPr id="462" name="コネクタ: カギ線 461">
          <a:extLst>
            <a:ext uri="{FF2B5EF4-FFF2-40B4-BE49-F238E27FC236}">
              <a16:creationId xmlns:a16="http://schemas.microsoft.com/office/drawing/2014/main" id="{8D9A104B-510D-4ACC-929F-0B57DD761C08}"/>
            </a:ext>
          </a:extLst>
        </xdr:cNvPr>
        <xdr:cNvCxnSpPr>
          <a:cxnSpLocks/>
          <a:stCxn id="393" idx="2"/>
          <a:endCxn id="304" idx="0"/>
        </xdr:cNvCxnSpPr>
      </xdr:nvCxnSpPr>
      <xdr:spPr>
        <a:xfrm rot="5400000">
          <a:off x="2685473" y="17428093"/>
          <a:ext cx="6197698" cy="5627220"/>
        </a:xfrm>
        <a:prstGeom prst="bentConnector3">
          <a:avLst>
            <a:gd name="adj1" fmla="val 1203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179457</xdr:colOff>
      <xdr:row>224</xdr:row>
      <xdr:rowOff>7860</xdr:rowOff>
    </xdr:from>
    <xdr:to>
      <xdr:col>31</xdr:col>
      <xdr:colOff>66612</xdr:colOff>
      <xdr:row>227</xdr:row>
      <xdr:rowOff>33491</xdr:rowOff>
    </xdr:to>
    <xdr:grpSp>
      <xdr:nvGrpSpPr>
        <xdr:cNvPr id="458" name="グループ化 8">
          <a:extLst>
            <a:ext uri="{FF2B5EF4-FFF2-40B4-BE49-F238E27FC236}">
              <a16:creationId xmlns:a16="http://schemas.microsoft.com/office/drawing/2014/main" id="{B8315E57-85B9-1658-4700-6375B9644DF6}"/>
            </a:ext>
          </a:extLst>
        </xdr:cNvPr>
        <xdr:cNvGrpSpPr/>
      </xdr:nvGrpSpPr>
      <xdr:grpSpPr>
        <a:xfrm>
          <a:off x="4703832" y="39088935"/>
          <a:ext cx="973005" cy="539981"/>
          <a:chOff x="1633113" y="2430783"/>
          <a:chExt cx="908902" cy="422628"/>
        </a:xfrm>
      </xdr:grpSpPr>
      <xdr:sp macro="" textlink="">
        <xdr:nvSpPr>
          <xdr:cNvPr id="459" name="フローチャート: 定義済み処理 9">
            <a:extLst>
              <a:ext uri="{FF2B5EF4-FFF2-40B4-BE49-F238E27FC236}">
                <a16:creationId xmlns:a16="http://schemas.microsoft.com/office/drawing/2014/main" id="{CEEFD439-8A3F-6687-909C-2DF884009C9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60" name="正方形/長方形 48">
            <a:extLst>
              <a:ext uri="{FF2B5EF4-FFF2-40B4-BE49-F238E27FC236}">
                <a16:creationId xmlns:a16="http://schemas.microsoft.com/office/drawing/2014/main" id="{98E92F27-986F-A02D-684D-DFC00408A905}"/>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承認依頼</a:t>
            </a:r>
          </a:p>
        </xdr:txBody>
      </xdr:sp>
    </xdr:grpSp>
    <xdr:clientData/>
  </xdr:twoCellAnchor>
  <xdr:twoCellAnchor>
    <xdr:from>
      <xdr:col>47</xdr:col>
      <xdr:colOff>68461</xdr:colOff>
      <xdr:row>223</xdr:row>
      <xdr:rowOff>176299</xdr:rowOff>
    </xdr:from>
    <xdr:to>
      <xdr:col>51</xdr:col>
      <xdr:colOff>190126</xdr:colOff>
      <xdr:row>227</xdr:row>
      <xdr:rowOff>82751</xdr:rowOff>
    </xdr:to>
    <xdr:grpSp>
      <xdr:nvGrpSpPr>
        <xdr:cNvPr id="467" name="グループ化 466">
          <a:extLst>
            <a:ext uri="{FF2B5EF4-FFF2-40B4-BE49-F238E27FC236}">
              <a16:creationId xmlns:a16="http://schemas.microsoft.com/office/drawing/2014/main" id="{FCF9DF8E-58F2-2664-C8FF-71A45C7F5933}"/>
            </a:ext>
          </a:extLst>
        </xdr:cNvPr>
        <xdr:cNvGrpSpPr>
          <a:grpSpLocks noChangeAspect="1"/>
        </xdr:cNvGrpSpPr>
      </xdr:nvGrpSpPr>
      <xdr:grpSpPr>
        <a:xfrm>
          <a:off x="8574286" y="39076399"/>
          <a:ext cx="836040" cy="601777"/>
          <a:chOff x="7112003" y="2892425"/>
          <a:chExt cx="873125" cy="584984"/>
        </a:xfrm>
      </xdr:grpSpPr>
      <xdr:sp macro="" textlink="">
        <xdr:nvSpPr>
          <xdr:cNvPr id="469" name="フローチャート: 磁気ディスク 468">
            <a:extLst>
              <a:ext uri="{FF2B5EF4-FFF2-40B4-BE49-F238E27FC236}">
                <a16:creationId xmlns:a16="http://schemas.microsoft.com/office/drawing/2014/main" id="{87AA9D17-695B-C29B-9882-61927621093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70" name="正方形/長方形 469">
            <a:extLst>
              <a:ext uri="{FF2B5EF4-FFF2-40B4-BE49-F238E27FC236}">
                <a16:creationId xmlns:a16="http://schemas.microsoft.com/office/drawing/2014/main" id="{84B57931-1934-4C00-FF7E-E02A322AD23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32</xdr:col>
      <xdr:colOff>168873</xdr:colOff>
      <xdr:row>230</xdr:row>
      <xdr:rowOff>130155</xdr:rowOff>
    </xdr:from>
    <xdr:to>
      <xdr:col>38</xdr:col>
      <xdr:colOff>56028</xdr:colOff>
      <xdr:row>233</xdr:row>
      <xdr:rowOff>155787</xdr:rowOff>
    </xdr:to>
    <xdr:grpSp>
      <xdr:nvGrpSpPr>
        <xdr:cNvPr id="475" name="グループ化 8">
          <a:extLst>
            <a:ext uri="{FF2B5EF4-FFF2-40B4-BE49-F238E27FC236}">
              <a16:creationId xmlns:a16="http://schemas.microsoft.com/office/drawing/2014/main" id="{C9F21F8B-51EF-82C2-3553-D122E0BAE7E1}"/>
            </a:ext>
          </a:extLst>
        </xdr:cNvPr>
        <xdr:cNvGrpSpPr/>
      </xdr:nvGrpSpPr>
      <xdr:grpSpPr>
        <a:xfrm>
          <a:off x="5960073" y="40239930"/>
          <a:ext cx="973005" cy="539982"/>
          <a:chOff x="1633113" y="2430783"/>
          <a:chExt cx="908902" cy="422628"/>
        </a:xfrm>
      </xdr:grpSpPr>
      <xdr:sp macro="" textlink="">
        <xdr:nvSpPr>
          <xdr:cNvPr id="476" name="フローチャート: 定義済み処理 9">
            <a:extLst>
              <a:ext uri="{FF2B5EF4-FFF2-40B4-BE49-F238E27FC236}">
                <a16:creationId xmlns:a16="http://schemas.microsoft.com/office/drawing/2014/main" id="{20E8BE23-FE58-31F5-2474-B9F6C8847228}"/>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80" name="正方形/長方形 48">
            <a:extLst>
              <a:ext uri="{FF2B5EF4-FFF2-40B4-BE49-F238E27FC236}">
                <a16:creationId xmlns:a16="http://schemas.microsoft.com/office/drawing/2014/main" id="{CDA8B1DC-8C63-1873-48AB-5C55BA40D7E5}"/>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３</a:t>
            </a:r>
            <a:r>
              <a:rPr kumimoji="1" lang="en-US" altLang="ja-JP" sz="900"/>
              <a:t>.</a:t>
            </a:r>
            <a:r>
              <a:rPr kumimoji="1" lang="ja-JP" altLang="en-US" sz="900"/>
              <a:t>承認</a:t>
            </a:r>
          </a:p>
        </xdr:txBody>
      </xdr:sp>
    </xdr:grpSp>
    <xdr:clientData/>
  </xdr:twoCellAnchor>
  <xdr:twoCellAnchor>
    <xdr:from>
      <xdr:col>47</xdr:col>
      <xdr:colOff>68461</xdr:colOff>
      <xdr:row>230</xdr:row>
      <xdr:rowOff>139843</xdr:rowOff>
    </xdr:from>
    <xdr:to>
      <xdr:col>51</xdr:col>
      <xdr:colOff>190126</xdr:colOff>
      <xdr:row>234</xdr:row>
      <xdr:rowOff>39239</xdr:rowOff>
    </xdr:to>
    <xdr:grpSp>
      <xdr:nvGrpSpPr>
        <xdr:cNvPr id="482" name="グループ化 481">
          <a:extLst>
            <a:ext uri="{FF2B5EF4-FFF2-40B4-BE49-F238E27FC236}">
              <a16:creationId xmlns:a16="http://schemas.microsoft.com/office/drawing/2014/main" id="{8EFE9B19-04E9-0A12-7075-C93E5AB60E1E}"/>
            </a:ext>
          </a:extLst>
        </xdr:cNvPr>
        <xdr:cNvGrpSpPr>
          <a:grpSpLocks noChangeAspect="1"/>
        </xdr:cNvGrpSpPr>
      </xdr:nvGrpSpPr>
      <xdr:grpSpPr>
        <a:xfrm>
          <a:off x="8574286" y="40249618"/>
          <a:ext cx="836040" cy="585196"/>
          <a:chOff x="7112003" y="2892425"/>
          <a:chExt cx="873125" cy="584984"/>
        </a:xfrm>
      </xdr:grpSpPr>
      <xdr:sp macro="" textlink="">
        <xdr:nvSpPr>
          <xdr:cNvPr id="483" name="フローチャート: 磁気ディスク 482">
            <a:extLst>
              <a:ext uri="{FF2B5EF4-FFF2-40B4-BE49-F238E27FC236}">
                <a16:creationId xmlns:a16="http://schemas.microsoft.com/office/drawing/2014/main" id="{E2AAEE0D-7E45-1EC2-BFC6-72353A72C85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87" name="正方形/長方形 486">
            <a:extLst>
              <a:ext uri="{FF2B5EF4-FFF2-40B4-BE49-F238E27FC236}">
                <a16:creationId xmlns:a16="http://schemas.microsoft.com/office/drawing/2014/main" id="{40FD1F04-88AC-E80F-7154-51EA4B04160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endParaRPr kumimoji="1" lang="en-US" altLang="ja-JP" sz="900"/>
          </a:p>
        </xdr:txBody>
      </xdr:sp>
    </xdr:grpSp>
    <xdr:clientData/>
  </xdr:twoCellAnchor>
  <xdr:twoCellAnchor>
    <xdr:from>
      <xdr:col>39</xdr:col>
      <xdr:colOff>137123</xdr:colOff>
      <xdr:row>239</xdr:row>
      <xdr:rowOff>131332</xdr:rowOff>
    </xdr:from>
    <xdr:to>
      <xdr:col>45</xdr:col>
      <xdr:colOff>24278</xdr:colOff>
      <xdr:row>242</xdr:row>
      <xdr:rowOff>156963</xdr:rowOff>
    </xdr:to>
    <xdr:grpSp>
      <xdr:nvGrpSpPr>
        <xdr:cNvPr id="488" name="グループ化 8">
          <a:extLst>
            <a:ext uri="{FF2B5EF4-FFF2-40B4-BE49-F238E27FC236}">
              <a16:creationId xmlns:a16="http://schemas.microsoft.com/office/drawing/2014/main" id="{A7BD9296-9FA0-7254-0E28-7C51589A700B}"/>
            </a:ext>
          </a:extLst>
        </xdr:cNvPr>
        <xdr:cNvGrpSpPr/>
      </xdr:nvGrpSpPr>
      <xdr:grpSpPr>
        <a:xfrm>
          <a:off x="7195148" y="41784157"/>
          <a:ext cx="973005" cy="539981"/>
          <a:chOff x="1633113" y="2430783"/>
          <a:chExt cx="908902" cy="422628"/>
        </a:xfrm>
      </xdr:grpSpPr>
      <xdr:sp macro="" textlink="">
        <xdr:nvSpPr>
          <xdr:cNvPr id="489" name="フローチャート: 定義済み処理 9">
            <a:extLst>
              <a:ext uri="{FF2B5EF4-FFF2-40B4-BE49-F238E27FC236}">
                <a16:creationId xmlns:a16="http://schemas.microsoft.com/office/drawing/2014/main" id="{FF08606A-40C9-71FD-FE93-89377D48068F}"/>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91" name="正方形/長方形 48">
            <a:extLst>
              <a:ext uri="{FF2B5EF4-FFF2-40B4-BE49-F238E27FC236}">
                <a16:creationId xmlns:a16="http://schemas.microsoft.com/office/drawing/2014/main" id="{88591BFB-7C83-1F11-889E-A05FF6EBAFB5}"/>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４</a:t>
            </a:r>
            <a:r>
              <a:rPr kumimoji="1" lang="en-US" altLang="ja-JP" sz="900"/>
              <a:t>.</a:t>
            </a:r>
            <a:r>
              <a:rPr kumimoji="1" lang="ja-JP" altLang="en-US" sz="900"/>
              <a:t>自動転記バッチ</a:t>
            </a:r>
          </a:p>
        </xdr:txBody>
      </xdr:sp>
    </xdr:grpSp>
    <xdr:clientData/>
  </xdr:twoCellAnchor>
  <xdr:twoCellAnchor>
    <xdr:from>
      <xdr:col>47</xdr:col>
      <xdr:colOff>68461</xdr:colOff>
      <xdr:row>239</xdr:row>
      <xdr:rowOff>125733</xdr:rowOff>
    </xdr:from>
    <xdr:to>
      <xdr:col>51</xdr:col>
      <xdr:colOff>190126</xdr:colOff>
      <xdr:row>243</xdr:row>
      <xdr:rowOff>25128</xdr:rowOff>
    </xdr:to>
    <xdr:grpSp>
      <xdr:nvGrpSpPr>
        <xdr:cNvPr id="492" name="グループ化 491">
          <a:extLst>
            <a:ext uri="{FF2B5EF4-FFF2-40B4-BE49-F238E27FC236}">
              <a16:creationId xmlns:a16="http://schemas.microsoft.com/office/drawing/2014/main" id="{9B3EED07-B247-6FF7-CE09-78F3F3897EF1}"/>
            </a:ext>
          </a:extLst>
        </xdr:cNvPr>
        <xdr:cNvGrpSpPr>
          <a:grpSpLocks noChangeAspect="1"/>
        </xdr:cNvGrpSpPr>
      </xdr:nvGrpSpPr>
      <xdr:grpSpPr>
        <a:xfrm>
          <a:off x="8574286" y="41778558"/>
          <a:ext cx="836040" cy="585195"/>
          <a:chOff x="7112003" y="2892425"/>
          <a:chExt cx="873125" cy="584984"/>
        </a:xfrm>
      </xdr:grpSpPr>
      <xdr:sp macro="" textlink="">
        <xdr:nvSpPr>
          <xdr:cNvPr id="493" name="フローチャート: 磁気ディスク 492">
            <a:extLst>
              <a:ext uri="{FF2B5EF4-FFF2-40B4-BE49-F238E27FC236}">
                <a16:creationId xmlns:a16="http://schemas.microsoft.com/office/drawing/2014/main" id="{F3A39547-3600-E4D1-514C-3C82FBC015B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494" name="正方形/長方形 493">
            <a:extLst>
              <a:ext uri="{FF2B5EF4-FFF2-40B4-BE49-F238E27FC236}">
                <a16:creationId xmlns:a16="http://schemas.microsoft.com/office/drawing/2014/main" id="{86BFF89D-9D26-747A-B601-BCA92D8BA65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endParaRPr kumimoji="1" lang="en-US" altLang="ja-JP" sz="900"/>
          </a:p>
        </xdr:txBody>
      </xdr:sp>
    </xdr:grpSp>
    <xdr:clientData/>
  </xdr:twoCellAnchor>
  <xdr:twoCellAnchor>
    <xdr:from>
      <xdr:col>31</xdr:col>
      <xdr:colOff>18574</xdr:colOff>
      <xdr:row>225</xdr:row>
      <xdr:rowOff>104203</xdr:rowOff>
    </xdr:from>
    <xdr:to>
      <xdr:col>47</xdr:col>
      <xdr:colOff>165613</xdr:colOff>
      <xdr:row>225</xdr:row>
      <xdr:rowOff>109826</xdr:rowOff>
    </xdr:to>
    <xdr:cxnSp macro="">
      <xdr:nvCxnSpPr>
        <xdr:cNvPr id="527" name="直線矢印コネクタ 526">
          <a:extLst>
            <a:ext uri="{FF2B5EF4-FFF2-40B4-BE49-F238E27FC236}">
              <a16:creationId xmlns:a16="http://schemas.microsoft.com/office/drawing/2014/main" id="{5BE37354-4A92-4108-AB31-5FFF90D04EA4}"/>
            </a:ext>
          </a:extLst>
        </xdr:cNvPr>
        <xdr:cNvCxnSpPr>
          <a:stCxn id="459" idx="3"/>
          <a:endCxn id="469" idx="2"/>
        </xdr:cNvCxnSpPr>
      </xdr:nvCxnSpPr>
      <xdr:spPr>
        <a:xfrm flipV="1">
          <a:off x="6215704" y="37722073"/>
          <a:ext cx="3345557" cy="562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127206</xdr:colOff>
      <xdr:row>227</xdr:row>
      <xdr:rowOff>2261</xdr:rowOff>
    </xdr:from>
    <xdr:to>
      <xdr:col>35</xdr:col>
      <xdr:colOff>116621</xdr:colOff>
      <xdr:row>230</xdr:row>
      <xdr:rowOff>163296</xdr:rowOff>
    </xdr:to>
    <xdr:cxnSp macro="">
      <xdr:nvCxnSpPr>
        <xdr:cNvPr id="530" name="コネクタ: カギ線 529">
          <a:extLst>
            <a:ext uri="{FF2B5EF4-FFF2-40B4-BE49-F238E27FC236}">
              <a16:creationId xmlns:a16="http://schemas.microsoft.com/office/drawing/2014/main" id="{75A06A2B-5520-44B1-93CD-41E59C04B745}"/>
            </a:ext>
          </a:extLst>
        </xdr:cNvPr>
        <xdr:cNvCxnSpPr>
          <a:stCxn id="459" idx="2"/>
          <a:endCxn id="476" idx="0"/>
        </xdr:cNvCxnSpPr>
      </xdr:nvCxnSpPr>
      <xdr:spPr>
        <a:xfrm rot="16200000" flipH="1">
          <a:off x="6073896" y="37623626"/>
          <a:ext cx="690202" cy="138876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38</xdr:col>
      <xdr:colOff>7990</xdr:colOff>
      <xdr:row>232</xdr:row>
      <xdr:rowOff>55732</xdr:rowOff>
    </xdr:from>
    <xdr:to>
      <xdr:col>47</xdr:col>
      <xdr:colOff>165613</xdr:colOff>
      <xdr:row>232</xdr:row>
      <xdr:rowOff>64510</xdr:rowOff>
    </xdr:to>
    <xdr:cxnSp macro="">
      <xdr:nvCxnSpPr>
        <xdr:cNvPr id="536" name="直線矢印コネクタ 535">
          <a:extLst>
            <a:ext uri="{FF2B5EF4-FFF2-40B4-BE49-F238E27FC236}">
              <a16:creationId xmlns:a16="http://schemas.microsoft.com/office/drawing/2014/main" id="{67726A70-A2D1-43B3-8AE9-9DD8ED4D9255}"/>
            </a:ext>
          </a:extLst>
        </xdr:cNvPr>
        <xdr:cNvCxnSpPr>
          <a:stCxn id="476" idx="3"/>
          <a:endCxn id="483" idx="2"/>
        </xdr:cNvCxnSpPr>
      </xdr:nvCxnSpPr>
      <xdr:spPr>
        <a:xfrm>
          <a:off x="7604471" y="38908325"/>
          <a:ext cx="1956790" cy="877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116622</xdr:colOff>
      <xdr:row>233</xdr:row>
      <xdr:rowOff>124557</xdr:rowOff>
    </xdr:from>
    <xdr:to>
      <xdr:col>42</xdr:col>
      <xdr:colOff>84872</xdr:colOff>
      <xdr:row>239</xdr:row>
      <xdr:rowOff>164473</xdr:rowOff>
    </xdr:to>
    <xdr:cxnSp macro="">
      <xdr:nvCxnSpPr>
        <xdr:cNvPr id="539" name="コネクタ: カギ線 538">
          <a:extLst>
            <a:ext uri="{FF2B5EF4-FFF2-40B4-BE49-F238E27FC236}">
              <a16:creationId xmlns:a16="http://schemas.microsoft.com/office/drawing/2014/main" id="{B5781D70-B350-42E8-9093-3A22DDD63FF5}"/>
            </a:ext>
          </a:extLst>
        </xdr:cNvPr>
        <xdr:cNvCxnSpPr>
          <a:stCxn id="476" idx="2"/>
          <a:endCxn id="489" idx="0"/>
        </xdr:cNvCxnSpPr>
      </xdr:nvCxnSpPr>
      <xdr:spPr>
        <a:xfrm rot="16200000" flipH="1">
          <a:off x="7248057" y="39018862"/>
          <a:ext cx="1098250" cy="136760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44</xdr:col>
      <xdr:colOff>176147</xdr:colOff>
      <xdr:row>241</xdr:row>
      <xdr:rowOff>50400</xdr:rowOff>
    </xdr:from>
    <xdr:to>
      <xdr:col>47</xdr:col>
      <xdr:colOff>165613</xdr:colOff>
      <xdr:row>241</xdr:row>
      <xdr:rowOff>56908</xdr:rowOff>
    </xdr:to>
    <xdr:cxnSp macro="">
      <xdr:nvCxnSpPr>
        <xdr:cNvPr id="547" name="直線矢印コネクタ 546">
          <a:extLst>
            <a:ext uri="{FF2B5EF4-FFF2-40B4-BE49-F238E27FC236}">
              <a16:creationId xmlns:a16="http://schemas.microsoft.com/office/drawing/2014/main" id="{9D6529C1-0C11-4F7E-A08E-C45D5BB9DC0F}"/>
            </a:ext>
          </a:extLst>
        </xdr:cNvPr>
        <xdr:cNvCxnSpPr>
          <a:stCxn id="489" idx="3"/>
          <a:endCxn id="493" idx="2"/>
        </xdr:cNvCxnSpPr>
      </xdr:nvCxnSpPr>
      <xdr:spPr>
        <a:xfrm flipV="1">
          <a:off x="8972073" y="40490493"/>
          <a:ext cx="589188" cy="6508"/>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129352</xdr:colOff>
      <xdr:row>245</xdr:row>
      <xdr:rowOff>164630</xdr:rowOff>
    </xdr:from>
    <xdr:to>
      <xdr:col>44</xdr:col>
      <xdr:colOff>49083</xdr:colOff>
      <xdr:row>247</xdr:row>
      <xdr:rowOff>82010</xdr:rowOff>
    </xdr:to>
    <xdr:sp macro="" textlink="">
      <xdr:nvSpPr>
        <xdr:cNvPr id="552" name="フローチャート: 端子 26">
          <a:extLst>
            <a:ext uri="{FF2B5EF4-FFF2-40B4-BE49-F238E27FC236}">
              <a16:creationId xmlns:a16="http://schemas.microsoft.com/office/drawing/2014/main" id="{261828F6-423B-4E34-9BCE-E3584F4FB451}"/>
            </a:ext>
          </a:extLst>
        </xdr:cNvPr>
        <xdr:cNvSpPr/>
      </xdr:nvSpPr>
      <xdr:spPr>
        <a:xfrm>
          <a:off x="8125648" y="41310278"/>
          <a:ext cx="719361" cy="27015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42</xdr:col>
      <xdr:colOff>84872</xdr:colOff>
      <xdr:row>242</xdr:row>
      <xdr:rowOff>125733</xdr:rowOff>
    </xdr:from>
    <xdr:to>
      <xdr:col>42</xdr:col>
      <xdr:colOff>89218</xdr:colOff>
      <xdr:row>245</xdr:row>
      <xdr:rowOff>164630</xdr:rowOff>
    </xdr:to>
    <xdr:cxnSp macro="">
      <xdr:nvCxnSpPr>
        <xdr:cNvPr id="553" name="直線矢印コネクタ 552">
          <a:extLst>
            <a:ext uri="{FF2B5EF4-FFF2-40B4-BE49-F238E27FC236}">
              <a16:creationId xmlns:a16="http://schemas.microsoft.com/office/drawing/2014/main" id="{F5D39F1C-346F-46EA-8484-5FA5E48C183A}"/>
            </a:ext>
          </a:extLst>
        </xdr:cNvPr>
        <xdr:cNvCxnSpPr>
          <a:cxnSpLocks/>
          <a:stCxn id="489" idx="2"/>
          <a:endCxn id="552" idx="0"/>
        </xdr:cNvCxnSpPr>
      </xdr:nvCxnSpPr>
      <xdr:spPr>
        <a:xfrm>
          <a:off x="8480983" y="40742214"/>
          <a:ext cx="4346" cy="56806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171422</xdr:colOff>
      <xdr:row>484</xdr:row>
      <xdr:rowOff>9176</xdr:rowOff>
    </xdr:from>
    <xdr:to>
      <xdr:col>44</xdr:col>
      <xdr:colOff>38893</xdr:colOff>
      <xdr:row>485</xdr:row>
      <xdr:rowOff>105461</xdr:rowOff>
    </xdr:to>
    <xdr:sp macro="" textlink="">
      <xdr:nvSpPr>
        <xdr:cNvPr id="455" name="フローチャート: 端子 26">
          <a:extLst>
            <a:ext uri="{FF2B5EF4-FFF2-40B4-BE49-F238E27FC236}">
              <a16:creationId xmlns:a16="http://schemas.microsoft.com/office/drawing/2014/main" id="{3D632B85-32FA-400F-9C56-DCD22174A89B}"/>
            </a:ext>
          </a:extLst>
        </xdr:cNvPr>
        <xdr:cNvSpPr/>
      </xdr:nvSpPr>
      <xdr:spPr>
        <a:xfrm>
          <a:off x="8335708" y="70116351"/>
          <a:ext cx="683899" cy="26682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25</xdr:col>
      <xdr:colOff>47999</xdr:colOff>
      <xdr:row>457</xdr:row>
      <xdr:rowOff>112714</xdr:rowOff>
    </xdr:from>
    <xdr:to>
      <xdr:col>31</xdr:col>
      <xdr:colOff>67234</xdr:colOff>
      <xdr:row>460</xdr:row>
      <xdr:rowOff>151043</xdr:rowOff>
    </xdr:to>
    <xdr:grpSp>
      <xdr:nvGrpSpPr>
        <xdr:cNvPr id="461" name="グループ化 8">
          <a:extLst>
            <a:ext uri="{FF2B5EF4-FFF2-40B4-BE49-F238E27FC236}">
              <a16:creationId xmlns:a16="http://schemas.microsoft.com/office/drawing/2014/main" id="{9658FD31-BCF8-4E21-B661-C6F07D827AD2}"/>
            </a:ext>
          </a:extLst>
        </xdr:cNvPr>
        <xdr:cNvGrpSpPr/>
      </xdr:nvGrpSpPr>
      <xdr:grpSpPr>
        <a:xfrm>
          <a:off x="4572374" y="79141639"/>
          <a:ext cx="1105085" cy="552679"/>
          <a:chOff x="1606991" y="2430783"/>
          <a:chExt cx="1023566" cy="422628"/>
        </a:xfrm>
      </xdr:grpSpPr>
      <xdr:sp macro="" textlink="">
        <xdr:nvSpPr>
          <xdr:cNvPr id="463" name="フローチャート: 定義済み処理 9">
            <a:extLst>
              <a:ext uri="{FF2B5EF4-FFF2-40B4-BE49-F238E27FC236}">
                <a16:creationId xmlns:a16="http://schemas.microsoft.com/office/drawing/2014/main" id="{4702C666-84B9-A8D9-3A5B-2AE43592B931}"/>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6" name="正方形/長方形 48">
            <a:extLst>
              <a:ext uri="{FF2B5EF4-FFF2-40B4-BE49-F238E27FC236}">
                <a16:creationId xmlns:a16="http://schemas.microsoft.com/office/drawing/2014/main" id="{3E136E78-300F-DF9A-75A1-25DA902BB5A4}"/>
              </a:ext>
            </a:extLst>
          </xdr:cNvPr>
          <xdr:cNvSpPr/>
        </xdr:nvSpPr>
        <xdr:spPr>
          <a:xfrm>
            <a:off x="1606991" y="2430783"/>
            <a:ext cx="1023566"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5.</a:t>
            </a:r>
            <a:r>
              <a:rPr kumimoji="1" lang="ja-JP" altLang="en-US" sz="900"/>
              <a:t>間接法の振替取消</a:t>
            </a:r>
            <a:endParaRPr kumimoji="1" lang="en-US" altLang="ja-JP" sz="900"/>
          </a:p>
          <a:p>
            <a:pPr algn="ctr"/>
            <a:r>
              <a:rPr kumimoji="1" lang="ja-JP" altLang="en-US" sz="900"/>
              <a:t>仕訳の取消登録</a:t>
            </a:r>
            <a:endParaRPr kumimoji="1" lang="en-US" altLang="ja-JP" sz="900"/>
          </a:p>
        </xdr:txBody>
      </xdr:sp>
    </xdr:grpSp>
    <xdr:clientData/>
  </xdr:twoCellAnchor>
  <xdr:twoCellAnchor>
    <xdr:from>
      <xdr:col>46</xdr:col>
      <xdr:colOff>191095</xdr:colOff>
      <xdr:row>457</xdr:row>
      <xdr:rowOff>97119</xdr:rowOff>
    </xdr:from>
    <xdr:to>
      <xdr:col>52</xdr:col>
      <xdr:colOff>11279</xdr:colOff>
      <xdr:row>461</xdr:row>
      <xdr:rowOff>58774</xdr:rowOff>
    </xdr:to>
    <xdr:grpSp>
      <xdr:nvGrpSpPr>
        <xdr:cNvPr id="523" name="グループ化 522">
          <a:extLst>
            <a:ext uri="{FF2B5EF4-FFF2-40B4-BE49-F238E27FC236}">
              <a16:creationId xmlns:a16="http://schemas.microsoft.com/office/drawing/2014/main" id="{5F21F18B-D845-4D9C-B510-44684F7FB033}"/>
            </a:ext>
          </a:extLst>
        </xdr:cNvPr>
        <xdr:cNvGrpSpPr>
          <a:grpSpLocks noChangeAspect="1"/>
        </xdr:cNvGrpSpPr>
      </xdr:nvGrpSpPr>
      <xdr:grpSpPr>
        <a:xfrm>
          <a:off x="8506420" y="79126044"/>
          <a:ext cx="915559" cy="647455"/>
          <a:chOff x="7112003" y="2892425"/>
          <a:chExt cx="873125" cy="584984"/>
        </a:xfrm>
      </xdr:grpSpPr>
      <xdr:sp macro="" textlink="">
        <xdr:nvSpPr>
          <xdr:cNvPr id="524" name="フローチャート: 磁気ディスク 523">
            <a:extLst>
              <a:ext uri="{FF2B5EF4-FFF2-40B4-BE49-F238E27FC236}">
                <a16:creationId xmlns:a16="http://schemas.microsoft.com/office/drawing/2014/main" id="{9F01B2DD-160B-2140-E510-874A261911F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25" name="正方形/長方形 524">
            <a:extLst>
              <a:ext uri="{FF2B5EF4-FFF2-40B4-BE49-F238E27FC236}">
                <a16:creationId xmlns:a16="http://schemas.microsoft.com/office/drawing/2014/main" id="{7F5932D1-CE3E-1B17-D84F-B050FE26E0A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110992</xdr:colOff>
      <xdr:row>459</xdr:row>
      <xdr:rowOff>49462</xdr:rowOff>
    </xdr:from>
    <xdr:to>
      <xdr:col>47</xdr:col>
      <xdr:colOff>97791</xdr:colOff>
      <xdr:row>459</xdr:row>
      <xdr:rowOff>51946</xdr:rowOff>
    </xdr:to>
    <xdr:cxnSp macro="">
      <xdr:nvCxnSpPr>
        <xdr:cNvPr id="528" name="直線矢印コネクタ 527">
          <a:extLst>
            <a:ext uri="{FF2B5EF4-FFF2-40B4-BE49-F238E27FC236}">
              <a16:creationId xmlns:a16="http://schemas.microsoft.com/office/drawing/2014/main" id="{1E0F174B-1EE0-45A6-B141-CC1A38B25027}"/>
            </a:ext>
          </a:extLst>
        </xdr:cNvPr>
        <xdr:cNvCxnSpPr>
          <a:stCxn id="463" idx="3"/>
          <a:endCxn id="524" idx="2"/>
        </xdr:cNvCxnSpPr>
      </xdr:nvCxnSpPr>
      <xdr:spPr>
        <a:xfrm>
          <a:off x="6231031" y="65727966"/>
          <a:ext cx="3459796" cy="24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2</xdr:colOff>
      <xdr:row>463</xdr:row>
      <xdr:rowOff>26195</xdr:rowOff>
    </xdr:from>
    <xdr:to>
      <xdr:col>31</xdr:col>
      <xdr:colOff>67237</xdr:colOff>
      <xdr:row>466</xdr:row>
      <xdr:rowOff>64524</xdr:rowOff>
    </xdr:to>
    <xdr:grpSp>
      <xdr:nvGrpSpPr>
        <xdr:cNvPr id="529" name="グループ化 8">
          <a:extLst>
            <a:ext uri="{FF2B5EF4-FFF2-40B4-BE49-F238E27FC236}">
              <a16:creationId xmlns:a16="http://schemas.microsoft.com/office/drawing/2014/main" id="{0DC59A67-6CD3-45B7-893A-ADD5A90C05DB}"/>
            </a:ext>
          </a:extLst>
        </xdr:cNvPr>
        <xdr:cNvGrpSpPr/>
      </xdr:nvGrpSpPr>
      <xdr:grpSpPr>
        <a:xfrm>
          <a:off x="4524377" y="80083820"/>
          <a:ext cx="1153085" cy="552679"/>
          <a:chOff x="1569674" y="2430783"/>
          <a:chExt cx="1060643" cy="422628"/>
        </a:xfrm>
      </xdr:grpSpPr>
      <xdr:sp macro="" textlink="">
        <xdr:nvSpPr>
          <xdr:cNvPr id="531" name="フローチャート: 定義済み処理 9">
            <a:extLst>
              <a:ext uri="{FF2B5EF4-FFF2-40B4-BE49-F238E27FC236}">
                <a16:creationId xmlns:a16="http://schemas.microsoft.com/office/drawing/2014/main" id="{9CC8A9CD-F405-A17C-E36F-B1717B758032}"/>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35" name="正方形/長方形 48">
            <a:extLst>
              <a:ext uri="{FF2B5EF4-FFF2-40B4-BE49-F238E27FC236}">
                <a16:creationId xmlns:a16="http://schemas.microsoft.com/office/drawing/2014/main" id="{D0C947F3-F27B-B300-0C59-8DA4F0938699}"/>
              </a:ext>
            </a:extLst>
          </xdr:cNvPr>
          <xdr:cNvSpPr/>
        </xdr:nvSpPr>
        <xdr:spPr>
          <a:xfrm>
            <a:off x="1569674" y="2430783"/>
            <a:ext cx="1060643"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6.</a:t>
            </a:r>
            <a:r>
              <a:rPr kumimoji="1" lang="ja-JP" altLang="en-US" sz="900"/>
              <a:t>間接法の振替</a:t>
            </a:r>
            <a:br>
              <a:rPr kumimoji="1" lang="en-US" altLang="ja-JP" sz="900"/>
            </a:br>
            <a:r>
              <a:rPr kumimoji="1" lang="ja-JP" altLang="en-US" sz="900"/>
              <a:t>取消仕訳の承認依頼</a:t>
            </a:r>
            <a:endParaRPr kumimoji="1" lang="en-US" altLang="ja-JP" sz="900"/>
          </a:p>
        </xdr:txBody>
      </xdr:sp>
    </xdr:grpSp>
    <xdr:clientData/>
  </xdr:twoCellAnchor>
  <xdr:twoCellAnchor>
    <xdr:from>
      <xdr:col>47</xdr:col>
      <xdr:colOff>595</xdr:colOff>
      <xdr:row>463</xdr:row>
      <xdr:rowOff>7425</xdr:rowOff>
    </xdr:from>
    <xdr:to>
      <xdr:col>52</xdr:col>
      <xdr:colOff>26360</xdr:colOff>
      <xdr:row>466</xdr:row>
      <xdr:rowOff>142117</xdr:rowOff>
    </xdr:to>
    <xdr:grpSp>
      <xdr:nvGrpSpPr>
        <xdr:cNvPr id="537" name="グループ化 536">
          <a:extLst>
            <a:ext uri="{FF2B5EF4-FFF2-40B4-BE49-F238E27FC236}">
              <a16:creationId xmlns:a16="http://schemas.microsoft.com/office/drawing/2014/main" id="{264032A8-9A1A-459C-815D-F72E28178047}"/>
            </a:ext>
          </a:extLst>
        </xdr:cNvPr>
        <xdr:cNvGrpSpPr>
          <a:grpSpLocks noChangeAspect="1"/>
        </xdr:cNvGrpSpPr>
      </xdr:nvGrpSpPr>
      <xdr:grpSpPr>
        <a:xfrm>
          <a:off x="8506420" y="80065050"/>
          <a:ext cx="930640" cy="649042"/>
          <a:chOff x="7112003" y="2892425"/>
          <a:chExt cx="873125" cy="584984"/>
        </a:xfrm>
      </xdr:grpSpPr>
      <xdr:sp macro="" textlink="">
        <xdr:nvSpPr>
          <xdr:cNvPr id="538" name="フローチャート: 磁気ディスク 537">
            <a:extLst>
              <a:ext uri="{FF2B5EF4-FFF2-40B4-BE49-F238E27FC236}">
                <a16:creationId xmlns:a16="http://schemas.microsoft.com/office/drawing/2014/main" id="{BD86902D-0F54-52E8-3FD8-9940A357BFE6}"/>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40" name="正方形/長方形 539">
            <a:extLst>
              <a:ext uri="{FF2B5EF4-FFF2-40B4-BE49-F238E27FC236}">
                <a16:creationId xmlns:a16="http://schemas.microsoft.com/office/drawing/2014/main" id="{2F6820D4-AE4F-4E2D-7AD4-C7E2D8CE431B}"/>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114027</xdr:colOff>
      <xdr:row>464</xdr:row>
      <xdr:rowOff>129630</xdr:rowOff>
    </xdr:from>
    <xdr:to>
      <xdr:col>47</xdr:col>
      <xdr:colOff>109697</xdr:colOff>
      <xdr:row>464</xdr:row>
      <xdr:rowOff>135026</xdr:rowOff>
    </xdr:to>
    <xdr:cxnSp macro="">
      <xdr:nvCxnSpPr>
        <xdr:cNvPr id="546" name="直線矢印コネクタ 545">
          <a:extLst>
            <a:ext uri="{FF2B5EF4-FFF2-40B4-BE49-F238E27FC236}">
              <a16:creationId xmlns:a16="http://schemas.microsoft.com/office/drawing/2014/main" id="{FF40D698-D6B8-4BC1-999D-605CC9266FEB}"/>
            </a:ext>
          </a:extLst>
        </xdr:cNvPr>
        <xdr:cNvCxnSpPr>
          <a:stCxn id="531" idx="3"/>
          <a:endCxn id="538" idx="2"/>
        </xdr:cNvCxnSpPr>
      </xdr:nvCxnSpPr>
      <xdr:spPr>
        <a:xfrm>
          <a:off x="6237241" y="66692598"/>
          <a:ext cx="3462317" cy="857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22409</xdr:colOff>
      <xdr:row>460</xdr:row>
      <xdr:rowOff>120736</xdr:rowOff>
    </xdr:from>
    <xdr:to>
      <xdr:col>28</xdr:col>
      <xdr:colOff>22409</xdr:colOff>
      <xdr:row>463</xdr:row>
      <xdr:rowOff>58356</xdr:rowOff>
    </xdr:to>
    <xdr:cxnSp macro="">
      <xdr:nvCxnSpPr>
        <xdr:cNvPr id="549" name="直線矢印コネクタ 548">
          <a:extLst>
            <a:ext uri="{FF2B5EF4-FFF2-40B4-BE49-F238E27FC236}">
              <a16:creationId xmlns:a16="http://schemas.microsoft.com/office/drawing/2014/main" id="{34E26CCD-E0E6-4F86-ABE9-627AECF08ED2}"/>
            </a:ext>
          </a:extLst>
        </xdr:cNvPr>
        <xdr:cNvCxnSpPr>
          <a:cxnSpLocks/>
          <a:stCxn id="463" idx="2"/>
          <a:endCxn id="531" idx="0"/>
        </xdr:cNvCxnSpPr>
      </xdr:nvCxnSpPr>
      <xdr:spPr>
        <a:xfrm>
          <a:off x="5740584" y="65982482"/>
          <a:ext cx="0" cy="46512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103981</xdr:colOff>
      <xdr:row>471</xdr:row>
      <xdr:rowOff>68533</xdr:rowOff>
    </xdr:from>
    <xdr:to>
      <xdr:col>38</xdr:col>
      <xdr:colOff>3043</xdr:colOff>
      <xdr:row>474</xdr:row>
      <xdr:rowOff>97339</xdr:rowOff>
    </xdr:to>
    <xdr:grpSp>
      <xdr:nvGrpSpPr>
        <xdr:cNvPr id="550" name="グループ化 8">
          <a:extLst>
            <a:ext uri="{FF2B5EF4-FFF2-40B4-BE49-F238E27FC236}">
              <a16:creationId xmlns:a16="http://schemas.microsoft.com/office/drawing/2014/main" id="{359772DA-BD76-4051-8EAA-931787EB4135}"/>
            </a:ext>
          </a:extLst>
        </xdr:cNvPr>
        <xdr:cNvGrpSpPr/>
      </xdr:nvGrpSpPr>
      <xdr:grpSpPr>
        <a:xfrm>
          <a:off x="5895181" y="81497758"/>
          <a:ext cx="984912" cy="543156"/>
          <a:chOff x="1633113" y="2430783"/>
          <a:chExt cx="908902" cy="422628"/>
        </a:xfrm>
      </xdr:grpSpPr>
      <xdr:sp macro="" textlink="">
        <xdr:nvSpPr>
          <xdr:cNvPr id="551" name="フローチャート: 定義済み処理 9">
            <a:extLst>
              <a:ext uri="{FF2B5EF4-FFF2-40B4-BE49-F238E27FC236}">
                <a16:creationId xmlns:a16="http://schemas.microsoft.com/office/drawing/2014/main" id="{3BAB6105-8B3C-53AD-3D69-8A15266E8F9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54" name="正方形/長方形 48">
            <a:extLst>
              <a:ext uri="{FF2B5EF4-FFF2-40B4-BE49-F238E27FC236}">
                <a16:creationId xmlns:a16="http://schemas.microsoft.com/office/drawing/2014/main" id="{312BF23E-1257-3B51-1EE1-8DB048E2995A}"/>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7.</a:t>
            </a:r>
            <a:r>
              <a:rPr kumimoji="1" lang="ja-JP" altLang="en-US" sz="900"/>
              <a:t>間接法の振替</a:t>
            </a:r>
            <a:br>
              <a:rPr kumimoji="1" lang="en-US" altLang="ja-JP" sz="900"/>
            </a:br>
            <a:r>
              <a:rPr kumimoji="1" lang="ja-JP" altLang="en-US" sz="900"/>
              <a:t>取消仕訳承認</a:t>
            </a:r>
            <a:endParaRPr kumimoji="1" lang="en-US" altLang="ja-JP" sz="900"/>
          </a:p>
        </xdr:txBody>
      </xdr:sp>
    </xdr:grpSp>
    <xdr:clientData/>
  </xdr:twoCellAnchor>
  <xdr:twoCellAnchor>
    <xdr:from>
      <xdr:col>47</xdr:col>
      <xdr:colOff>29325</xdr:colOff>
      <xdr:row>471</xdr:row>
      <xdr:rowOff>56357</xdr:rowOff>
    </xdr:from>
    <xdr:to>
      <xdr:col>51</xdr:col>
      <xdr:colOff>159583</xdr:colOff>
      <xdr:row>474</xdr:row>
      <xdr:rowOff>132141</xdr:rowOff>
    </xdr:to>
    <xdr:grpSp>
      <xdr:nvGrpSpPr>
        <xdr:cNvPr id="555" name="グループ化 554">
          <a:extLst>
            <a:ext uri="{FF2B5EF4-FFF2-40B4-BE49-F238E27FC236}">
              <a16:creationId xmlns:a16="http://schemas.microsoft.com/office/drawing/2014/main" id="{2739B9D4-247C-4664-BBCA-1D729D73F07A}"/>
            </a:ext>
          </a:extLst>
        </xdr:cNvPr>
        <xdr:cNvGrpSpPr>
          <a:grpSpLocks noChangeAspect="1"/>
        </xdr:cNvGrpSpPr>
      </xdr:nvGrpSpPr>
      <xdr:grpSpPr>
        <a:xfrm>
          <a:off x="8535150" y="81485582"/>
          <a:ext cx="854158" cy="590134"/>
          <a:chOff x="7112003" y="2892425"/>
          <a:chExt cx="873125" cy="584984"/>
        </a:xfrm>
      </xdr:grpSpPr>
      <xdr:sp macro="" textlink="">
        <xdr:nvSpPr>
          <xdr:cNvPr id="556" name="フローチャート: 磁気ディスク 555">
            <a:extLst>
              <a:ext uri="{FF2B5EF4-FFF2-40B4-BE49-F238E27FC236}">
                <a16:creationId xmlns:a16="http://schemas.microsoft.com/office/drawing/2014/main" id="{CAE6BFDC-761D-370D-9354-9FCED828170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57" name="正方形/長方形 556">
            <a:extLst>
              <a:ext uri="{FF2B5EF4-FFF2-40B4-BE49-F238E27FC236}">
                <a16:creationId xmlns:a16="http://schemas.microsoft.com/office/drawing/2014/main" id="{1BB51D8C-5C14-326F-FD75-E741844276D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28</xdr:col>
      <xdr:colOff>22409</xdr:colOff>
      <xdr:row>466</xdr:row>
      <xdr:rowOff>34216</xdr:rowOff>
    </xdr:from>
    <xdr:to>
      <xdr:col>35</xdr:col>
      <xdr:colOff>56588</xdr:colOff>
      <xdr:row>471</xdr:row>
      <xdr:rowOff>100124</xdr:rowOff>
    </xdr:to>
    <xdr:cxnSp macro="">
      <xdr:nvCxnSpPr>
        <xdr:cNvPr id="558" name="コネクタ: カギ線 557">
          <a:extLst>
            <a:ext uri="{FF2B5EF4-FFF2-40B4-BE49-F238E27FC236}">
              <a16:creationId xmlns:a16="http://schemas.microsoft.com/office/drawing/2014/main" id="{AC3DA0DB-6B1B-49C6-B833-C0AE24C17CF5}"/>
            </a:ext>
          </a:extLst>
        </xdr:cNvPr>
        <xdr:cNvCxnSpPr>
          <a:stCxn id="531" idx="2"/>
          <a:endCxn id="551" idx="0"/>
        </xdr:cNvCxnSpPr>
      </xdr:nvCxnSpPr>
      <xdr:spPr>
        <a:xfrm rot="16200000" flipH="1">
          <a:off x="5992100" y="66699454"/>
          <a:ext cx="956722" cy="145975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153947</xdr:colOff>
      <xdr:row>472</xdr:row>
      <xdr:rowOff>153766</xdr:rowOff>
    </xdr:from>
    <xdr:to>
      <xdr:col>47</xdr:col>
      <xdr:colOff>130942</xdr:colOff>
      <xdr:row>473</xdr:row>
      <xdr:rowOff>503</xdr:rowOff>
    </xdr:to>
    <xdr:cxnSp macro="">
      <xdr:nvCxnSpPr>
        <xdr:cNvPr id="559" name="直線矢印コネクタ 558">
          <a:extLst>
            <a:ext uri="{FF2B5EF4-FFF2-40B4-BE49-F238E27FC236}">
              <a16:creationId xmlns:a16="http://schemas.microsoft.com/office/drawing/2014/main" id="{1EEB2C38-BC43-4589-A907-FF6D2C4AF92D}"/>
            </a:ext>
          </a:extLst>
        </xdr:cNvPr>
        <xdr:cNvCxnSpPr>
          <a:stCxn id="551" idx="3"/>
          <a:endCxn id="556" idx="2"/>
        </xdr:cNvCxnSpPr>
      </xdr:nvCxnSpPr>
      <xdr:spPr>
        <a:xfrm flipV="1">
          <a:off x="7705911" y="68135052"/>
          <a:ext cx="2018067" cy="2363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42</xdr:col>
      <xdr:colOff>99988</xdr:colOff>
      <xdr:row>479</xdr:row>
      <xdr:rowOff>171895</xdr:rowOff>
    </xdr:from>
    <xdr:to>
      <xdr:col>42</xdr:col>
      <xdr:colOff>105157</xdr:colOff>
      <xdr:row>484</xdr:row>
      <xdr:rowOff>12351</xdr:rowOff>
    </xdr:to>
    <xdr:cxnSp macro="">
      <xdr:nvCxnSpPr>
        <xdr:cNvPr id="560" name="直線矢印コネクタ 559">
          <a:extLst>
            <a:ext uri="{FF2B5EF4-FFF2-40B4-BE49-F238E27FC236}">
              <a16:creationId xmlns:a16="http://schemas.microsoft.com/office/drawing/2014/main" id="{56808595-7C2F-4EE1-9EA3-BD482126EB2D}"/>
            </a:ext>
          </a:extLst>
        </xdr:cNvPr>
        <xdr:cNvCxnSpPr>
          <a:cxnSpLocks/>
          <a:stCxn id="562" idx="2"/>
          <a:endCxn id="455" idx="0"/>
        </xdr:cNvCxnSpPr>
      </xdr:nvCxnSpPr>
      <xdr:spPr>
        <a:xfrm>
          <a:off x="8675663" y="69391431"/>
          <a:ext cx="0" cy="7217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140927</xdr:colOff>
      <xdr:row>477</xdr:row>
      <xdr:rowOff>0</xdr:rowOff>
    </xdr:from>
    <xdr:to>
      <xdr:col>45</xdr:col>
      <xdr:colOff>50307</xdr:colOff>
      <xdr:row>480</xdr:row>
      <xdr:rowOff>28806</xdr:rowOff>
    </xdr:to>
    <xdr:grpSp>
      <xdr:nvGrpSpPr>
        <xdr:cNvPr id="561" name="グループ化 8">
          <a:extLst>
            <a:ext uri="{FF2B5EF4-FFF2-40B4-BE49-F238E27FC236}">
              <a16:creationId xmlns:a16="http://schemas.microsoft.com/office/drawing/2014/main" id="{C1CFF84D-13B4-4AD2-B1DF-897D3218A2FE}"/>
            </a:ext>
          </a:extLst>
        </xdr:cNvPr>
        <xdr:cNvGrpSpPr/>
      </xdr:nvGrpSpPr>
      <xdr:grpSpPr>
        <a:xfrm>
          <a:off x="7198952" y="82457925"/>
          <a:ext cx="995230" cy="543156"/>
          <a:chOff x="1633113" y="2430783"/>
          <a:chExt cx="908902" cy="422628"/>
        </a:xfrm>
      </xdr:grpSpPr>
      <xdr:sp macro="" textlink="">
        <xdr:nvSpPr>
          <xdr:cNvPr id="562" name="フローチャート: 定義済み処理 9">
            <a:extLst>
              <a:ext uri="{FF2B5EF4-FFF2-40B4-BE49-F238E27FC236}">
                <a16:creationId xmlns:a16="http://schemas.microsoft.com/office/drawing/2014/main" id="{57E2741C-4CB6-354A-8F66-4F55F177D5BC}"/>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63" name="正方形/長方形 48">
            <a:extLst>
              <a:ext uri="{FF2B5EF4-FFF2-40B4-BE49-F238E27FC236}">
                <a16:creationId xmlns:a16="http://schemas.microsoft.com/office/drawing/2014/main" id="{E16D5585-1B27-8266-A645-BD85292313F6}"/>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8.</a:t>
            </a:r>
            <a:r>
              <a:rPr kumimoji="1" lang="ja-JP" altLang="en-US" sz="900"/>
              <a:t>自動転記バッチ</a:t>
            </a:r>
            <a:endParaRPr kumimoji="1" lang="en-US" altLang="ja-JP" sz="900"/>
          </a:p>
        </xdr:txBody>
      </xdr:sp>
    </xdr:grpSp>
    <xdr:clientData/>
  </xdr:twoCellAnchor>
  <xdr:twoCellAnchor>
    <xdr:from>
      <xdr:col>35</xdr:col>
      <xdr:colOff>57843</xdr:colOff>
      <xdr:row>474</xdr:row>
      <xdr:rowOff>66315</xdr:rowOff>
    </xdr:from>
    <xdr:to>
      <xdr:col>42</xdr:col>
      <xdr:colOff>99988</xdr:colOff>
      <xdr:row>477</xdr:row>
      <xdr:rowOff>32923</xdr:rowOff>
    </xdr:to>
    <xdr:cxnSp macro="">
      <xdr:nvCxnSpPr>
        <xdr:cNvPr id="564" name="コネクタ: カギ線 563">
          <a:extLst>
            <a:ext uri="{FF2B5EF4-FFF2-40B4-BE49-F238E27FC236}">
              <a16:creationId xmlns:a16="http://schemas.microsoft.com/office/drawing/2014/main" id="{44D58900-1C2A-4260-A4B3-2BB03BCF5B32}"/>
            </a:ext>
          </a:extLst>
        </xdr:cNvPr>
        <xdr:cNvCxnSpPr>
          <a:stCxn id="551" idx="2"/>
          <a:endCxn id="562" idx="0"/>
        </xdr:cNvCxnSpPr>
      </xdr:nvCxnSpPr>
      <xdr:spPr>
        <a:xfrm rot="16200000" flipH="1">
          <a:off x="7693159" y="67912995"/>
          <a:ext cx="490937" cy="147407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47</xdr:col>
      <xdr:colOff>29325</xdr:colOff>
      <xdr:row>477</xdr:row>
      <xdr:rowOff>1256</xdr:rowOff>
    </xdr:from>
    <xdr:to>
      <xdr:col>51</xdr:col>
      <xdr:colOff>159583</xdr:colOff>
      <xdr:row>480</xdr:row>
      <xdr:rowOff>77040</xdr:rowOff>
    </xdr:to>
    <xdr:grpSp>
      <xdr:nvGrpSpPr>
        <xdr:cNvPr id="565" name="グループ化 564">
          <a:extLst>
            <a:ext uri="{FF2B5EF4-FFF2-40B4-BE49-F238E27FC236}">
              <a16:creationId xmlns:a16="http://schemas.microsoft.com/office/drawing/2014/main" id="{1D120635-6E8B-4218-9D54-551A5934C3BE}"/>
            </a:ext>
          </a:extLst>
        </xdr:cNvPr>
        <xdr:cNvGrpSpPr>
          <a:grpSpLocks noChangeAspect="1"/>
        </xdr:cNvGrpSpPr>
      </xdr:nvGrpSpPr>
      <xdr:grpSpPr>
        <a:xfrm>
          <a:off x="8535150" y="82459181"/>
          <a:ext cx="854158" cy="590134"/>
          <a:chOff x="7112003" y="2892425"/>
          <a:chExt cx="873125" cy="584984"/>
        </a:xfrm>
      </xdr:grpSpPr>
      <xdr:sp macro="" textlink="">
        <xdr:nvSpPr>
          <xdr:cNvPr id="566" name="フローチャート: 磁気ディスク 565">
            <a:extLst>
              <a:ext uri="{FF2B5EF4-FFF2-40B4-BE49-F238E27FC236}">
                <a16:creationId xmlns:a16="http://schemas.microsoft.com/office/drawing/2014/main" id="{FFDABC63-8E2B-FD93-C227-877D2D19C55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567" name="正方形/長方形 566">
            <a:extLst>
              <a:ext uri="{FF2B5EF4-FFF2-40B4-BE49-F238E27FC236}">
                <a16:creationId xmlns:a16="http://schemas.microsoft.com/office/drawing/2014/main" id="{471F2102-965E-B694-3E24-1032BB69DBA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自動転記バッチ</a:t>
            </a:r>
          </a:p>
        </xdr:txBody>
      </xdr:sp>
    </xdr:grpSp>
    <xdr:clientData/>
  </xdr:twoCellAnchor>
  <xdr:twoCellAnchor>
    <xdr:from>
      <xdr:col>44</xdr:col>
      <xdr:colOff>204818</xdr:colOff>
      <xdr:row>478</xdr:row>
      <xdr:rowOff>101457</xdr:rowOff>
    </xdr:from>
    <xdr:to>
      <xdr:col>47</xdr:col>
      <xdr:colOff>126957</xdr:colOff>
      <xdr:row>478</xdr:row>
      <xdr:rowOff>102409</xdr:rowOff>
    </xdr:to>
    <xdr:cxnSp macro="">
      <xdr:nvCxnSpPr>
        <xdr:cNvPr id="568" name="直線矢印コネクタ 567">
          <a:extLst>
            <a:ext uri="{FF2B5EF4-FFF2-40B4-BE49-F238E27FC236}">
              <a16:creationId xmlns:a16="http://schemas.microsoft.com/office/drawing/2014/main" id="{C0682B30-0ABA-4C76-803D-7FA94110CDA7}"/>
            </a:ext>
          </a:extLst>
        </xdr:cNvPr>
        <xdr:cNvCxnSpPr>
          <a:stCxn id="562" idx="3"/>
          <a:endCxn id="566" idx="2"/>
        </xdr:cNvCxnSpPr>
      </xdr:nvCxnSpPr>
      <xdr:spPr>
        <a:xfrm flipV="1">
          <a:off x="9182357" y="69147275"/>
          <a:ext cx="534461" cy="9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47318</xdr:colOff>
      <xdr:row>446</xdr:row>
      <xdr:rowOff>136320</xdr:rowOff>
    </xdr:from>
    <xdr:to>
      <xdr:col>32</xdr:col>
      <xdr:colOff>47957</xdr:colOff>
      <xdr:row>450</xdr:row>
      <xdr:rowOff>105608</xdr:rowOff>
    </xdr:to>
    <xdr:grpSp>
      <xdr:nvGrpSpPr>
        <xdr:cNvPr id="569" name="グループ化 568">
          <a:extLst>
            <a:ext uri="{FF2B5EF4-FFF2-40B4-BE49-F238E27FC236}">
              <a16:creationId xmlns:a16="http://schemas.microsoft.com/office/drawing/2014/main" id="{17871AFF-C891-41BE-9079-DEA91CFE4ED9}"/>
            </a:ext>
          </a:extLst>
        </xdr:cNvPr>
        <xdr:cNvGrpSpPr/>
      </xdr:nvGrpSpPr>
      <xdr:grpSpPr>
        <a:xfrm>
          <a:off x="4390718" y="77279295"/>
          <a:ext cx="1448439" cy="655088"/>
          <a:chOff x="328663" y="4845050"/>
          <a:chExt cx="1227665" cy="646622"/>
        </a:xfrm>
      </xdr:grpSpPr>
      <xdr:sp macro="" textlink="">
        <xdr:nvSpPr>
          <xdr:cNvPr id="570" name="フローチャート: 判断 569">
            <a:extLst>
              <a:ext uri="{FF2B5EF4-FFF2-40B4-BE49-F238E27FC236}">
                <a16:creationId xmlns:a16="http://schemas.microsoft.com/office/drawing/2014/main" id="{64B15A50-31EC-DDE5-5D98-6A7E1BFA2DF2}"/>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571" name="正方形/長方形 48">
            <a:extLst>
              <a:ext uri="{FF2B5EF4-FFF2-40B4-BE49-F238E27FC236}">
                <a16:creationId xmlns:a16="http://schemas.microsoft.com/office/drawing/2014/main" id="{3B7DD43D-B1D3-4EE2-AFFE-00EDB5A83AF4}"/>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有形資産　</a:t>
            </a:r>
            <a:r>
              <a:rPr kumimoji="1" lang="en-US" altLang="ja-JP" sz="900"/>
              <a:t>or</a:t>
            </a:r>
          </a:p>
          <a:p>
            <a:pPr algn="ctr"/>
            <a:r>
              <a:rPr kumimoji="1" lang="ja-JP" altLang="en-US" sz="900"/>
              <a:t>無形資産の</a:t>
            </a:r>
            <a:r>
              <a:rPr kumimoji="1" lang="en-US" altLang="ja-JP" sz="900"/>
              <a:t>IFRS</a:t>
            </a:r>
          </a:p>
        </xdr:txBody>
      </xdr:sp>
    </xdr:grpSp>
    <xdr:clientData/>
  </xdr:twoCellAnchor>
  <xdr:twoCellAnchor>
    <xdr:from>
      <xdr:col>28</xdr:col>
      <xdr:colOff>21239</xdr:colOff>
      <xdr:row>450</xdr:row>
      <xdr:rowOff>105608</xdr:rowOff>
    </xdr:from>
    <xdr:to>
      <xdr:col>28</xdr:col>
      <xdr:colOff>26606</xdr:colOff>
      <xdr:row>457</xdr:row>
      <xdr:rowOff>146206</xdr:rowOff>
    </xdr:to>
    <xdr:cxnSp macro="">
      <xdr:nvCxnSpPr>
        <xdr:cNvPr id="572" name="直線矢印コネクタ 571">
          <a:extLst>
            <a:ext uri="{FF2B5EF4-FFF2-40B4-BE49-F238E27FC236}">
              <a16:creationId xmlns:a16="http://schemas.microsoft.com/office/drawing/2014/main" id="{3B82BACF-398A-453C-812B-EF69B4301616}"/>
            </a:ext>
          </a:extLst>
        </xdr:cNvPr>
        <xdr:cNvCxnSpPr>
          <a:cxnSpLocks/>
          <a:stCxn id="570" idx="2"/>
          <a:endCxn id="463" idx="0"/>
        </xdr:cNvCxnSpPr>
      </xdr:nvCxnSpPr>
      <xdr:spPr>
        <a:xfrm flipH="1">
          <a:off x="5736239" y="64192076"/>
          <a:ext cx="8542" cy="127884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92178</xdr:colOff>
      <xdr:row>450</xdr:row>
      <xdr:rowOff>122903</xdr:rowOff>
    </xdr:from>
    <xdr:to>
      <xdr:col>31</xdr:col>
      <xdr:colOff>25157</xdr:colOff>
      <xdr:row>451</xdr:row>
      <xdr:rowOff>152839</xdr:rowOff>
    </xdr:to>
    <xdr:sp macro="" textlink="">
      <xdr:nvSpPr>
        <xdr:cNvPr id="573" name="テキスト ボックス 195">
          <a:extLst>
            <a:ext uri="{FF2B5EF4-FFF2-40B4-BE49-F238E27FC236}">
              <a16:creationId xmlns:a16="http://schemas.microsoft.com/office/drawing/2014/main" id="{58DDC28B-8C27-42C6-8FDE-2A67BAD197B6}"/>
            </a:ext>
          </a:extLst>
        </xdr:cNvPr>
        <xdr:cNvSpPr txBox="1"/>
      </xdr:nvSpPr>
      <xdr:spPr>
        <a:xfrm>
          <a:off x="5807178" y="64215721"/>
          <a:ext cx="548475" cy="203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21</xdr:col>
      <xdr:colOff>163871</xdr:colOff>
      <xdr:row>447</xdr:row>
      <xdr:rowOff>54385</xdr:rowOff>
    </xdr:from>
    <xdr:to>
      <xdr:col>24</xdr:col>
      <xdr:colOff>106375</xdr:colOff>
      <xdr:row>448</xdr:row>
      <xdr:rowOff>87496</xdr:rowOff>
    </xdr:to>
    <xdr:sp macro="" textlink="">
      <xdr:nvSpPr>
        <xdr:cNvPr id="574" name="テキスト ボックス 195">
          <a:extLst>
            <a:ext uri="{FF2B5EF4-FFF2-40B4-BE49-F238E27FC236}">
              <a16:creationId xmlns:a16="http://schemas.microsoft.com/office/drawing/2014/main" id="{93FF995E-FB3E-4612-91A6-8BBC4474B15B}"/>
            </a:ext>
          </a:extLst>
        </xdr:cNvPr>
        <xdr:cNvSpPr txBox="1"/>
      </xdr:nvSpPr>
      <xdr:spPr>
        <a:xfrm>
          <a:off x="4446946" y="63613349"/>
          <a:ext cx="554825" cy="206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endParaRPr kumimoji="1" lang="en-US" altLang="ja-JP" sz="900"/>
        </a:p>
      </xdr:txBody>
    </xdr:sp>
    <xdr:clientData/>
  </xdr:twoCellAnchor>
  <xdr:twoCellAnchor>
    <xdr:from>
      <xdr:col>21</xdr:col>
      <xdr:colOff>63707</xdr:colOff>
      <xdr:row>448</xdr:row>
      <xdr:rowOff>120964</xdr:rowOff>
    </xdr:from>
    <xdr:to>
      <xdr:col>24</xdr:col>
      <xdr:colOff>100246</xdr:colOff>
      <xdr:row>455</xdr:row>
      <xdr:rowOff>20484</xdr:rowOff>
    </xdr:to>
    <xdr:cxnSp macro="">
      <xdr:nvCxnSpPr>
        <xdr:cNvPr id="575" name="コネクタ: カギ線 574">
          <a:extLst>
            <a:ext uri="{FF2B5EF4-FFF2-40B4-BE49-F238E27FC236}">
              <a16:creationId xmlns:a16="http://schemas.microsoft.com/office/drawing/2014/main" id="{14B9EF22-0993-46FC-8BBA-81A72DE7E040}"/>
            </a:ext>
          </a:extLst>
        </xdr:cNvPr>
        <xdr:cNvCxnSpPr>
          <a:stCxn id="570" idx="1"/>
          <a:endCxn id="136" idx="0"/>
        </xdr:cNvCxnSpPr>
      </xdr:nvCxnSpPr>
      <xdr:spPr>
        <a:xfrm rot="10800000" flipV="1">
          <a:off x="4353132" y="63859996"/>
          <a:ext cx="648860" cy="1134595"/>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133146</xdr:colOff>
      <xdr:row>455</xdr:row>
      <xdr:rowOff>20484</xdr:rowOff>
    </xdr:from>
    <xdr:to>
      <xdr:col>22</xdr:col>
      <xdr:colOff>202280</xdr:colOff>
      <xdr:row>456</xdr:row>
      <xdr:rowOff>107244</xdr:rowOff>
    </xdr:to>
    <xdr:sp macro="" textlink="">
      <xdr:nvSpPr>
        <xdr:cNvPr id="136" name="フローチャート: 端子 26">
          <a:extLst>
            <a:ext uri="{FF2B5EF4-FFF2-40B4-BE49-F238E27FC236}">
              <a16:creationId xmlns:a16="http://schemas.microsoft.com/office/drawing/2014/main" id="{2F5EE86F-CE28-49D7-9B30-D74329DAE238}"/>
            </a:ext>
          </a:extLst>
        </xdr:cNvPr>
        <xdr:cNvSpPr/>
      </xdr:nvSpPr>
      <xdr:spPr>
        <a:xfrm>
          <a:off x="4011182" y="64994591"/>
          <a:ext cx="678280" cy="26047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24</xdr:col>
      <xdr:colOff>79268</xdr:colOff>
      <xdr:row>437</xdr:row>
      <xdr:rowOff>88100</xdr:rowOff>
    </xdr:from>
    <xdr:to>
      <xdr:col>32</xdr:col>
      <xdr:colOff>76732</xdr:colOff>
      <xdr:row>441</xdr:row>
      <xdr:rowOff>59842</xdr:rowOff>
    </xdr:to>
    <xdr:grpSp>
      <xdr:nvGrpSpPr>
        <xdr:cNvPr id="251" name="グループ化 250">
          <a:extLst>
            <a:ext uri="{FF2B5EF4-FFF2-40B4-BE49-F238E27FC236}">
              <a16:creationId xmlns:a16="http://schemas.microsoft.com/office/drawing/2014/main" id="{E6FC8B09-AFDA-46EB-99F1-A92D4BEFC0C7}"/>
            </a:ext>
          </a:extLst>
        </xdr:cNvPr>
        <xdr:cNvGrpSpPr/>
      </xdr:nvGrpSpPr>
      <xdr:grpSpPr>
        <a:xfrm>
          <a:off x="4422668" y="75688025"/>
          <a:ext cx="1445264" cy="657542"/>
          <a:chOff x="328663" y="4845050"/>
          <a:chExt cx="1227665" cy="646622"/>
        </a:xfrm>
      </xdr:grpSpPr>
      <xdr:sp macro="" textlink="">
        <xdr:nvSpPr>
          <xdr:cNvPr id="308" name="フローチャート: 判断 307">
            <a:extLst>
              <a:ext uri="{FF2B5EF4-FFF2-40B4-BE49-F238E27FC236}">
                <a16:creationId xmlns:a16="http://schemas.microsoft.com/office/drawing/2014/main" id="{90D63B45-01E1-B829-6518-93DB50BF4F17}"/>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309" name="正方形/長方形 48">
            <a:extLst>
              <a:ext uri="{FF2B5EF4-FFF2-40B4-BE49-F238E27FC236}">
                <a16:creationId xmlns:a16="http://schemas.microsoft.com/office/drawing/2014/main" id="{FD2E2D7F-6CC9-7003-FB8C-6FCB54843302}"/>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減損資産か？</a:t>
            </a:r>
            <a:endParaRPr kumimoji="1" lang="en-US" altLang="ja-JP" sz="900"/>
          </a:p>
        </xdr:txBody>
      </xdr:sp>
    </xdr:grpSp>
    <xdr:clientData/>
  </xdr:twoCellAnchor>
  <xdr:twoCellAnchor>
    <xdr:from>
      <xdr:col>28</xdr:col>
      <xdr:colOff>27008</xdr:colOff>
      <xdr:row>441</xdr:row>
      <xdr:rowOff>59842</xdr:rowOff>
    </xdr:from>
    <xdr:to>
      <xdr:col>28</xdr:col>
      <xdr:colOff>57331</xdr:colOff>
      <xdr:row>446</xdr:row>
      <xdr:rowOff>136320</xdr:rowOff>
    </xdr:to>
    <xdr:cxnSp macro="">
      <xdr:nvCxnSpPr>
        <xdr:cNvPr id="310" name="直線矢印コネクタ 309">
          <a:extLst>
            <a:ext uri="{FF2B5EF4-FFF2-40B4-BE49-F238E27FC236}">
              <a16:creationId xmlns:a16="http://schemas.microsoft.com/office/drawing/2014/main" id="{265B51C7-96B1-4D40-97A9-5EE26C082CC0}"/>
            </a:ext>
          </a:extLst>
        </xdr:cNvPr>
        <xdr:cNvCxnSpPr>
          <a:cxnSpLocks/>
          <a:stCxn id="308" idx="2"/>
          <a:endCxn id="570" idx="0"/>
        </xdr:cNvCxnSpPr>
      </xdr:nvCxnSpPr>
      <xdr:spPr>
        <a:xfrm flipH="1">
          <a:off x="5674773" y="74276401"/>
          <a:ext cx="30323" cy="91691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88365</xdr:colOff>
      <xdr:row>441</xdr:row>
      <xdr:rowOff>102136</xdr:rowOff>
    </xdr:from>
    <xdr:to>
      <xdr:col>31</xdr:col>
      <xdr:colOff>21344</xdr:colOff>
      <xdr:row>442</xdr:row>
      <xdr:rowOff>135247</xdr:rowOff>
    </xdr:to>
    <xdr:sp macro="" textlink="">
      <xdr:nvSpPr>
        <xdr:cNvPr id="318" name="テキスト ボックス 195">
          <a:extLst>
            <a:ext uri="{FF2B5EF4-FFF2-40B4-BE49-F238E27FC236}">
              <a16:creationId xmlns:a16="http://schemas.microsoft.com/office/drawing/2014/main" id="{2200FE8D-CAE1-4781-A98A-DE5126AFEE97}"/>
            </a:ext>
          </a:extLst>
        </xdr:cNvPr>
        <xdr:cNvSpPr txBox="1"/>
      </xdr:nvSpPr>
      <xdr:spPr>
        <a:xfrm>
          <a:off x="5736130" y="74318695"/>
          <a:ext cx="538096" cy="201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21</xdr:col>
      <xdr:colOff>156883</xdr:colOff>
      <xdr:row>438</xdr:row>
      <xdr:rowOff>33618</xdr:rowOff>
    </xdr:from>
    <xdr:to>
      <xdr:col>24</xdr:col>
      <xdr:colOff>96212</xdr:colOff>
      <xdr:row>439</xdr:row>
      <xdr:rowOff>60379</xdr:rowOff>
    </xdr:to>
    <xdr:sp macro="" textlink="">
      <xdr:nvSpPr>
        <xdr:cNvPr id="320" name="テキスト ボックス 195">
          <a:extLst>
            <a:ext uri="{FF2B5EF4-FFF2-40B4-BE49-F238E27FC236}">
              <a16:creationId xmlns:a16="http://schemas.microsoft.com/office/drawing/2014/main" id="{051666BD-51CE-4F0F-A5CC-8C9928715EDB}"/>
            </a:ext>
          </a:extLst>
        </xdr:cNvPr>
        <xdr:cNvSpPr txBox="1"/>
      </xdr:nvSpPr>
      <xdr:spPr>
        <a:xfrm>
          <a:off x="4392707" y="73745912"/>
          <a:ext cx="544446" cy="19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endParaRPr kumimoji="1" lang="en-US" altLang="ja-JP" sz="900"/>
        </a:p>
      </xdr:txBody>
    </xdr:sp>
    <xdr:clientData/>
  </xdr:twoCellAnchor>
  <xdr:twoCellAnchor>
    <xdr:from>
      <xdr:col>21</xdr:col>
      <xdr:colOff>113009</xdr:colOff>
      <xdr:row>439</xdr:row>
      <xdr:rowOff>72384</xdr:rowOff>
    </xdr:from>
    <xdr:to>
      <xdr:col>24</xdr:col>
      <xdr:colOff>131285</xdr:colOff>
      <xdr:row>443</xdr:row>
      <xdr:rowOff>26147</xdr:rowOff>
    </xdr:to>
    <xdr:cxnSp macro="">
      <xdr:nvCxnSpPr>
        <xdr:cNvPr id="322" name="コネクタ: カギ線 321">
          <a:extLst>
            <a:ext uri="{FF2B5EF4-FFF2-40B4-BE49-F238E27FC236}">
              <a16:creationId xmlns:a16="http://schemas.microsoft.com/office/drawing/2014/main" id="{40907A40-A80F-4090-8347-3DB370473D63}"/>
            </a:ext>
          </a:extLst>
        </xdr:cNvPr>
        <xdr:cNvCxnSpPr>
          <a:stCxn id="308" idx="1"/>
          <a:endCxn id="323" idx="0"/>
        </xdr:cNvCxnSpPr>
      </xdr:nvCxnSpPr>
      <xdr:spPr>
        <a:xfrm rot="10800000" flipV="1">
          <a:off x="4348833" y="73952766"/>
          <a:ext cx="623393" cy="626116"/>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182469</xdr:colOff>
      <xdr:row>443</xdr:row>
      <xdr:rowOff>29322</xdr:rowOff>
    </xdr:from>
    <xdr:to>
      <xdr:col>23</xdr:col>
      <xdr:colOff>49897</xdr:colOff>
      <xdr:row>444</xdr:row>
      <xdr:rowOff>97031</xdr:rowOff>
    </xdr:to>
    <xdr:sp macro="" textlink="">
      <xdr:nvSpPr>
        <xdr:cNvPr id="323" name="フローチャート: 端子 26">
          <a:extLst>
            <a:ext uri="{FF2B5EF4-FFF2-40B4-BE49-F238E27FC236}">
              <a16:creationId xmlns:a16="http://schemas.microsoft.com/office/drawing/2014/main" id="{A687F083-1B50-4187-B0B8-857C2A2E912E}"/>
            </a:ext>
          </a:extLst>
        </xdr:cNvPr>
        <xdr:cNvSpPr/>
      </xdr:nvSpPr>
      <xdr:spPr>
        <a:xfrm>
          <a:off x="4014881" y="74582057"/>
          <a:ext cx="674251" cy="235798"/>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199774</xdr:colOff>
      <xdr:row>244</xdr:row>
      <xdr:rowOff>115927</xdr:rowOff>
    </xdr:from>
    <xdr:to>
      <xdr:col>40</xdr:col>
      <xdr:colOff>135775</xdr:colOff>
      <xdr:row>244</xdr:row>
      <xdr:rowOff>119364</xdr:rowOff>
    </xdr:to>
    <xdr:cxnSp macro="">
      <xdr:nvCxnSpPr>
        <xdr:cNvPr id="335" name="直線矢印コネクタ 334">
          <a:extLst>
            <a:ext uri="{FF2B5EF4-FFF2-40B4-BE49-F238E27FC236}">
              <a16:creationId xmlns:a16="http://schemas.microsoft.com/office/drawing/2014/main" id="{E5C47A58-A382-4CF0-B141-7FF8CCDB96C7}"/>
            </a:ext>
          </a:extLst>
        </xdr:cNvPr>
        <xdr:cNvCxnSpPr>
          <a:stCxn id="254" idx="3"/>
          <a:endCxn id="362" idx="2"/>
        </xdr:cNvCxnSpPr>
      </xdr:nvCxnSpPr>
      <xdr:spPr>
        <a:xfrm flipV="1">
          <a:off x="3438274" y="40882927"/>
          <a:ext cx="4793751" cy="343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6349</xdr:colOff>
      <xdr:row>238</xdr:row>
      <xdr:rowOff>77604</xdr:rowOff>
    </xdr:from>
    <xdr:to>
      <xdr:col>40</xdr:col>
      <xdr:colOff>135775</xdr:colOff>
      <xdr:row>238</xdr:row>
      <xdr:rowOff>77978</xdr:rowOff>
    </xdr:to>
    <xdr:cxnSp macro="">
      <xdr:nvCxnSpPr>
        <xdr:cNvPr id="326" name="直線矢印コネクタ 325">
          <a:extLst>
            <a:ext uri="{FF2B5EF4-FFF2-40B4-BE49-F238E27FC236}">
              <a16:creationId xmlns:a16="http://schemas.microsoft.com/office/drawing/2014/main" id="{AD1E9D12-F784-4C0C-804B-FA7D5B2D5159}"/>
            </a:ext>
          </a:extLst>
        </xdr:cNvPr>
        <xdr:cNvCxnSpPr>
          <a:stCxn id="247" idx="3"/>
          <a:endCxn id="348" idx="2"/>
        </xdr:cNvCxnSpPr>
      </xdr:nvCxnSpPr>
      <xdr:spPr>
        <a:xfrm>
          <a:off x="4864099" y="39844479"/>
          <a:ext cx="3367926" cy="37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163229</xdr:colOff>
      <xdr:row>231</xdr:row>
      <xdr:rowOff>50633</xdr:rowOff>
    </xdr:from>
    <xdr:to>
      <xdr:col>40</xdr:col>
      <xdr:colOff>135775</xdr:colOff>
      <xdr:row>231</xdr:row>
      <xdr:rowOff>54498</xdr:rowOff>
    </xdr:to>
    <xdr:cxnSp macro="">
      <xdr:nvCxnSpPr>
        <xdr:cNvPr id="315" name="直線矢印コネクタ 314">
          <a:extLst>
            <a:ext uri="{FF2B5EF4-FFF2-40B4-BE49-F238E27FC236}">
              <a16:creationId xmlns:a16="http://schemas.microsoft.com/office/drawing/2014/main" id="{0CD1C9E1-A756-41AA-9B9B-294157440AF4}"/>
            </a:ext>
          </a:extLst>
        </xdr:cNvPr>
        <xdr:cNvCxnSpPr>
          <a:stCxn id="240" idx="3"/>
          <a:endCxn id="148" idx="2"/>
        </xdr:cNvCxnSpPr>
      </xdr:nvCxnSpPr>
      <xdr:spPr>
        <a:xfrm flipV="1">
          <a:off x="3401729" y="38650696"/>
          <a:ext cx="4830296" cy="386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154963</xdr:colOff>
      <xdr:row>225</xdr:row>
      <xdr:rowOff>43216</xdr:rowOff>
    </xdr:from>
    <xdr:to>
      <xdr:col>40</xdr:col>
      <xdr:colOff>154146</xdr:colOff>
      <xdr:row>225</xdr:row>
      <xdr:rowOff>59203</xdr:rowOff>
    </xdr:to>
    <xdr:cxnSp macro="">
      <xdr:nvCxnSpPr>
        <xdr:cNvPr id="295" name="直線矢印コネクタ 294">
          <a:extLst>
            <a:ext uri="{FF2B5EF4-FFF2-40B4-BE49-F238E27FC236}">
              <a16:creationId xmlns:a16="http://schemas.microsoft.com/office/drawing/2014/main" id="{F4B322FB-7E29-4984-A5DF-775A770CB793}"/>
            </a:ext>
          </a:extLst>
        </xdr:cNvPr>
        <xdr:cNvCxnSpPr>
          <a:stCxn id="258" idx="3"/>
          <a:endCxn id="140" idx="2"/>
        </xdr:cNvCxnSpPr>
      </xdr:nvCxnSpPr>
      <xdr:spPr>
        <a:xfrm flipV="1">
          <a:off x="3393463" y="37643154"/>
          <a:ext cx="4856933" cy="1598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50369</xdr:colOff>
      <xdr:row>79</xdr:row>
      <xdr:rowOff>139067</xdr:rowOff>
    </xdr:from>
    <xdr:to>
      <xdr:col>41</xdr:col>
      <xdr:colOff>2946</xdr:colOff>
      <xdr:row>79</xdr:row>
      <xdr:rowOff>140391</xdr:rowOff>
    </xdr:to>
    <xdr:cxnSp macro="">
      <xdr:nvCxnSpPr>
        <xdr:cNvPr id="212" name="直線矢印コネクタ 211">
          <a:extLst>
            <a:ext uri="{FF2B5EF4-FFF2-40B4-BE49-F238E27FC236}">
              <a16:creationId xmlns:a16="http://schemas.microsoft.com/office/drawing/2014/main" id="{1C1AC224-36ED-4540-B62C-3AE75101B449}"/>
            </a:ext>
          </a:extLst>
        </xdr:cNvPr>
        <xdr:cNvCxnSpPr>
          <a:stCxn id="206" idx="3"/>
          <a:endCxn id="250" idx="2"/>
        </xdr:cNvCxnSpPr>
      </xdr:nvCxnSpPr>
      <xdr:spPr>
        <a:xfrm>
          <a:off x="4850969" y="13769342"/>
          <a:ext cx="3353002" cy="13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5833</xdr:colOff>
      <xdr:row>70</xdr:row>
      <xdr:rowOff>47827</xdr:rowOff>
    </xdr:from>
    <xdr:to>
      <xdr:col>40</xdr:col>
      <xdr:colOff>142388</xdr:colOff>
      <xdr:row>70</xdr:row>
      <xdr:rowOff>48197</xdr:rowOff>
    </xdr:to>
    <xdr:cxnSp macro="">
      <xdr:nvCxnSpPr>
        <xdr:cNvPr id="194" name="直線矢印コネクタ 193">
          <a:extLst>
            <a:ext uri="{FF2B5EF4-FFF2-40B4-BE49-F238E27FC236}">
              <a16:creationId xmlns:a16="http://schemas.microsoft.com/office/drawing/2014/main" id="{A2FEF7D3-0BDF-4623-84E9-777D110EEA69}"/>
            </a:ext>
          </a:extLst>
        </xdr:cNvPr>
        <xdr:cNvCxnSpPr>
          <a:stCxn id="170" idx="3"/>
          <a:endCxn id="236" idx="2"/>
        </xdr:cNvCxnSpPr>
      </xdr:nvCxnSpPr>
      <xdr:spPr>
        <a:xfrm flipV="1">
          <a:off x="3446739" y="11811202"/>
          <a:ext cx="4791899" cy="3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5832</xdr:colOff>
      <xdr:row>63</xdr:row>
      <xdr:rowOff>102632</xdr:rowOff>
    </xdr:from>
    <xdr:to>
      <xdr:col>40</xdr:col>
      <xdr:colOff>167533</xdr:colOff>
      <xdr:row>63</xdr:row>
      <xdr:rowOff>112027</xdr:rowOff>
    </xdr:to>
    <xdr:cxnSp macro="">
      <xdr:nvCxnSpPr>
        <xdr:cNvPr id="190" name="直線矢印コネクタ 189">
          <a:extLst>
            <a:ext uri="{FF2B5EF4-FFF2-40B4-BE49-F238E27FC236}">
              <a16:creationId xmlns:a16="http://schemas.microsoft.com/office/drawing/2014/main" id="{9008AF03-E71F-4718-8AE8-ED4BA713C142}"/>
            </a:ext>
          </a:extLst>
        </xdr:cNvPr>
        <xdr:cNvCxnSpPr>
          <a:stCxn id="167" idx="3"/>
          <a:endCxn id="218" idx="2"/>
        </xdr:cNvCxnSpPr>
      </xdr:nvCxnSpPr>
      <xdr:spPr>
        <a:xfrm flipV="1">
          <a:off x="3446738" y="10699195"/>
          <a:ext cx="4817045" cy="939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8160</xdr:colOff>
      <xdr:row>56</xdr:row>
      <xdr:rowOff>138449</xdr:rowOff>
    </xdr:from>
    <xdr:to>
      <xdr:col>40</xdr:col>
      <xdr:colOff>186334</xdr:colOff>
      <xdr:row>56</xdr:row>
      <xdr:rowOff>140761</xdr:rowOff>
    </xdr:to>
    <xdr:cxnSp macro="">
      <xdr:nvCxnSpPr>
        <xdr:cNvPr id="162" name="直線矢印コネクタ 161">
          <a:extLst>
            <a:ext uri="{FF2B5EF4-FFF2-40B4-BE49-F238E27FC236}">
              <a16:creationId xmlns:a16="http://schemas.microsoft.com/office/drawing/2014/main" id="{7328B341-6E1C-4B1F-B044-ACA8C8639756}"/>
            </a:ext>
          </a:extLst>
        </xdr:cNvPr>
        <xdr:cNvCxnSpPr>
          <a:stCxn id="111" idx="3"/>
          <a:endCxn id="204" idx="2"/>
        </xdr:cNvCxnSpPr>
      </xdr:nvCxnSpPr>
      <xdr:spPr>
        <a:xfrm flipV="1">
          <a:off x="3449066" y="9568199"/>
          <a:ext cx="4833518" cy="231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192172</xdr:colOff>
      <xdr:row>47</xdr:row>
      <xdr:rowOff>35292</xdr:rowOff>
    </xdr:from>
    <xdr:to>
      <xdr:col>40</xdr:col>
      <xdr:colOff>153758</xdr:colOff>
      <xdr:row>47</xdr:row>
      <xdr:rowOff>43091</xdr:rowOff>
    </xdr:to>
    <xdr:cxnSp macro="">
      <xdr:nvCxnSpPr>
        <xdr:cNvPr id="158" name="直線矢印コネクタ 157">
          <a:extLst>
            <a:ext uri="{FF2B5EF4-FFF2-40B4-BE49-F238E27FC236}">
              <a16:creationId xmlns:a16="http://schemas.microsoft.com/office/drawing/2014/main" id="{A2BFC2F2-15BC-4CBB-B85F-A19E454F58E2}"/>
            </a:ext>
          </a:extLst>
        </xdr:cNvPr>
        <xdr:cNvCxnSpPr>
          <a:stCxn id="88" idx="3"/>
          <a:endCxn id="184" idx="2"/>
        </xdr:cNvCxnSpPr>
      </xdr:nvCxnSpPr>
      <xdr:spPr>
        <a:xfrm flipV="1">
          <a:off x="3430672" y="7964855"/>
          <a:ext cx="4819336" cy="779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201139</xdr:colOff>
      <xdr:row>33</xdr:row>
      <xdr:rowOff>152108</xdr:rowOff>
    </xdr:from>
    <xdr:to>
      <xdr:col>40</xdr:col>
      <xdr:colOff>130969</xdr:colOff>
      <xdr:row>33</xdr:row>
      <xdr:rowOff>154781</xdr:rowOff>
    </xdr:to>
    <xdr:cxnSp macro="">
      <xdr:nvCxnSpPr>
        <xdr:cNvPr id="76" name="直線矢印コネクタ 75">
          <a:extLst>
            <a:ext uri="{FF2B5EF4-FFF2-40B4-BE49-F238E27FC236}">
              <a16:creationId xmlns:a16="http://schemas.microsoft.com/office/drawing/2014/main" id="{CF7BDC5E-2D5B-4D34-BF16-523640640399}"/>
            </a:ext>
          </a:extLst>
        </xdr:cNvPr>
        <xdr:cNvCxnSpPr>
          <a:stCxn id="71" idx="3"/>
        </xdr:cNvCxnSpPr>
      </xdr:nvCxnSpPr>
      <xdr:spPr>
        <a:xfrm>
          <a:off x="3439639" y="5748046"/>
          <a:ext cx="4787580" cy="267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163315</xdr:colOff>
      <xdr:row>27</xdr:row>
      <xdr:rowOff>117407</xdr:rowOff>
    </xdr:from>
    <xdr:to>
      <xdr:col>40</xdr:col>
      <xdr:colOff>138753</xdr:colOff>
      <xdr:row>27</xdr:row>
      <xdr:rowOff>122663</xdr:rowOff>
    </xdr:to>
    <xdr:cxnSp macro="">
      <xdr:nvCxnSpPr>
        <xdr:cNvPr id="67" name="直線矢印コネクタ 66">
          <a:extLst>
            <a:ext uri="{FF2B5EF4-FFF2-40B4-BE49-F238E27FC236}">
              <a16:creationId xmlns:a16="http://schemas.microsoft.com/office/drawing/2014/main" id="{E55E2676-40BE-40CE-9B72-F0D75EC21680}"/>
            </a:ext>
          </a:extLst>
        </xdr:cNvPr>
        <xdr:cNvCxnSpPr>
          <a:stCxn id="56" idx="3"/>
          <a:endCxn id="125" idx="2"/>
        </xdr:cNvCxnSpPr>
      </xdr:nvCxnSpPr>
      <xdr:spPr>
        <a:xfrm flipV="1">
          <a:off x="3401815" y="4713220"/>
          <a:ext cx="4833188" cy="525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178382</xdr:colOff>
      <xdr:row>12</xdr:row>
      <xdr:rowOff>156830</xdr:rowOff>
    </xdr:from>
    <xdr:to>
      <xdr:col>5</xdr:col>
      <xdr:colOff>180244</xdr:colOff>
      <xdr:row>14</xdr:row>
      <xdr:rowOff>112610</xdr:rowOff>
    </xdr:to>
    <xdr:cxnSp macro="">
      <xdr:nvCxnSpPr>
        <xdr:cNvPr id="2" name="直線矢印コネクタ 27">
          <a:extLst>
            <a:ext uri="{FF2B5EF4-FFF2-40B4-BE49-F238E27FC236}">
              <a16:creationId xmlns:a16="http://schemas.microsoft.com/office/drawing/2014/main" id="{5417F59A-EFF6-46BC-AEAC-E167364EB417}"/>
            </a:ext>
          </a:extLst>
        </xdr:cNvPr>
        <xdr:cNvCxnSpPr>
          <a:cxnSpLocks/>
          <a:stCxn id="3" idx="2"/>
          <a:endCxn id="80" idx="0"/>
        </xdr:cNvCxnSpPr>
      </xdr:nvCxnSpPr>
      <xdr:spPr>
        <a:xfrm>
          <a:off x="1162632" y="2290430"/>
          <a:ext cx="1862" cy="2986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23168</xdr:colOff>
      <xdr:row>11</xdr:row>
      <xdr:rowOff>66897</xdr:rowOff>
    </xdr:from>
    <xdr:to>
      <xdr:col>7</xdr:col>
      <xdr:colOff>132514</xdr:colOff>
      <xdr:row>12</xdr:row>
      <xdr:rowOff>156830</xdr:rowOff>
    </xdr:to>
    <xdr:sp macro="" textlink="">
      <xdr:nvSpPr>
        <xdr:cNvPr id="3" name="フローチャート: 端子 26">
          <a:extLst>
            <a:ext uri="{FF2B5EF4-FFF2-40B4-BE49-F238E27FC236}">
              <a16:creationId xmlns:a16="http://schemas.microsoft.com/office/drawing/2014/main" id="{82294DD7-6028-492C-93CD-155D64936D9C}"/>
            </a:ext>
          </a:extLst>
        </xdr:cNvPr>
        <xdr:cNvSpPr/>
      </xdr:nvSpPr>
      <xdr:spPr>
        <a:xfrm>
          <a:off x="810568" y="2029047"/>
          <a:ext cx="699896" cy="26138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5</xdr:col>
      <xdr:colOff>182313</xdr:colOff>
      <xdr:row>16</xdr:row>
      <xdr:rowOff>164379</xdr:rowOff>
    </xdr:from>
    <xdr:to>
      <xdr:col>28</xdr:col>
      <xdr:colOff>188019</xdr:colOff>
      <xdr:row>20</xdr:row>
      <xdr:rowOff>37164</xdr:rowOff>
    </xdr:to>
    <xdr:cxnSp macro="">
      <xdr:nvCxnSpPr>
        <xdr:cNvPr id="6" name="コネクタ: カギ線 5">
          <a:extLst>
            <a:ext uri="{FF2B5EF4-FFF2-40B4-BE49-F238E27FC236}">
              <a16:creationId xmlns:a16="http://schemas.microsoft.com/office/drawing/2014/main" id="{1C3289E7-91C7-46C0-AAE0-28B2AD38F01B}"/>
            </a:ext>
          </a:extLst>
        </xdr:cNvPr>
        <xdr:cNvCxnSpPr>
          <a:cxnSpLocks/>
          <a:stCxn id="80" idx="2"/>
        </xdr:cNvCxnSpPr>
      </xdr:nvCxnSpPr>
      <xdr:spPr>
        <a:xfrm rot="16200000" flipH="1">
          <a:off x="2464924" y="1685418"/>
          <a:ext cx="555410" cy="315848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70226</xdr:colOff>
      <xdr:row>32</xdr:row>
      <xdr:rowOff>64721</xdr:rowOff>
    </xdr:from>
    <xdr:to>
      <xdr:col>31</xdr:col>
      <xdr:colOff>160595</xdr:colOff>
      <xdr:row>35</xdr:row>
      <xdr:rowOff>92035</xdr:rowOff>
    </xdr:to>
    <xdr:grpSp>
      <xdr:nvGrpSpPr>
        <xdr:cNvPr id="7" name="グループ化 8">
          <a:extLst>
            <a:ext uri="{FF2B5EF4-FFF2-40B4-BE49-F238E27FC236}">
              <a16:creationId xmlns:a16="http://schemas.microsoft.com/office/drawing/2014/main" id="{BB62B285-BA91-4442-AD35-7B9BBD4EF727}"/>
            </a:ext>
          </a:extLst>
        </xdr:cNvPr>
        <xdr:cNvGrpSpPr/>
      </xdr:nvGrpSpPr>
      <xdr:grpSpPr>
        <a:xfrm>
          <a:off x="4775576" y="5760671"/>
          <a:ext cx="995244" cy="551189"/>
          <a:chOff x="1679605" y="2439643"/>
          <a:chExt cx="908902" cy="420662"/>
        </a:xfrm>
      </xdr:grpSpPr>
      <xdr:sp macro="" textlink="">
        <xdr:nvSpPr>
          <xdr:cNvPr id="8" name="フローチャート: 定義済み処理 9">
            <a:extLst>
              <a:ext uri="{FF2B5EF4-FFF2-40B4-BE49-F238E27FC236}">
                <a16:creationId xmlns:a16="http://schemas.microsoft.com/office/drawing/2014/main" id="{FD777C8F-06B0-0050-0E53-78A5B8D7FFE5}"/>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9" name="正方形/長方形 48">
            <a:extLst>
              <a:ext uri="{FF2B5EF4-FFF2-40B4-BE49-F238E27FC236}">
                <a16:creationId xmlns:a16="http://schemas.microsoft.com/office/drawing/2014/main" id="{F6C5753C-C882-3C16-1A3B-0C5E03D7C432}"/>
              </a:ext>
            </a:extLst>
          </xdr:cNvPr>
          <xdr:cNvSpPr/>
        </xdr:nvSpPr>
        <xdr:spPr>
          <a:xfrm>
            <a:off x="1679605" y="243964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t>リースに紐づく</a:t>
            </a:r>
            <a:endParaRPr kumimoji="1" lang="en-US" altLang="ja-JP" sz="900"/>
          </a:p>
          <a:p>
            <a:pPr algn="ctr"/>
            <a:r>
              <a:rPr kumimoji="1" lang="ja-JP" altLang="en-US" sz="900"/>
              <a:t>帳簿の作成</a:t>
            </a:r>
          </a:p>
        </xdr:txBody>
      </xdr:sp>
    </xdr:grpSp>
    <xdr:clientData/>
  </xdr:twoCellAnchor>
  <xdr:twoCellAnchor>
    <xdr:from>
      <xdr:col>31</xdr:col>
      <xdr:colOff>81493</xdr:colOff>
      <xdr:row>33</xdr:row>
      <xdr:rowOff>150584</xdr:rowOff>
    </xdr:from>
    <xdr:to>
      <xdr:col>40</xdr:col>
      <xdr:colOff>138661</xdr:colOff>
      <xdr:row>33</xdr:row>
      <xdr:rowOff>160210</xdr:rowOff>
    </xdr:to>
    <xdr:cxnSp macro="">
      <xdr:nvCxnSpPr>
        <xdr:cNvPr id="10" name="直線矢印コネクタ 9">
          <a:extLst>
            <a:ext uri="{FF2B5EF4-FFF2-40B4-BE49-F238E27FC236}">
              <a16:creationId xmlns:a16="http://schemas.microsoft.com/office/drawing/2014/main" id="{5D50F5BB-1143-4213-8744-685FA6CE143E}"/>
            </a:ext>
          </a:extLst>
        </xdr:cNvPr>
        <xdr:cNvCxnSpPr>
          <a:stCxn id="8" idx="3"/>
          <a:endCxn id="119" idx="2"/>
        </xdr:cNvCxnSpPr>
      </xdr:nvCxnSpPr>
      <xdr:spPr>
        <a:xfrm flipV="1">
          <a:off x="4805893" y="7770584"/>
          <a:ext cx="1828818" cy="962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178934</xdr:colOff>
      <xdr:row>29</xdr:row>
      <xdr:rowOff>19562</xdr:rowOff>
    </xdr:from>
    <xdr:to>
      <xdr:col>28</xdr:col>
      <xdr:colOff>181950</xdr:colOff>
      <xdr:row>32</xdr:row>
      <xdr:rowOff>85053</xdr:rowOff>
    </xdr:to>
    <xdr:cxnSp macro="">
      <xdr:nvCxnSpPr>
        <xdr:cNvPr id="11" name="直線矢印コネクタ 10">
          <a:extLst>
            <a:ext uri="{FF2B5EF4-FFF2-40B4-BE49-F238E27FC236}">
              <a16:creationId xmlns:a16="http://schemas.microsoft.com/office/drawing/2014/main" id="{8A346501-FBB5-4FA1-8F23-4E57B7711C3A}"/>
            </a:ext>
          </a:extLst>
        </xdr:cNvPr>
        <xdr:cNvCxnSpPr>
          <a:cxnSpLocks/>
          <a:stCxn id="15" idx="2"/>
          <a:endCxn id="8" idx="0"/>
        </xdr:cNvCxnSpPr>
      </xdr:nvCxnSpPr>
      <xdr:spPr>
        <a:xfrm>
          <a:off x="4313060" y="5175486"/>
          <a:ext cx="3016" cy="5966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74827</xdr:colOff>
      <xdr:row>26</xdr:row>
      <xdr:rowOff>24225</xdr:rowOff>
    </xdr:from>
    <xdr:to>
      <xdr:col>31</xdr:col>
      <xdr:colOff>115987</xdr:colOff>
      <xdr:row>29</xdr:row>
      <xdr:rowOff>43067</xdr:rowOff>
    </xdr:to>
    <xdr:grpSp>
      <xdr:nvGrpSpPr>
        <xdr:cNvPr id="54" name="グループ化 53">
          <a:extLst>
            <a:ext uri="{FF2B5EF4-FFF2-40B4-BE49-F238E27FC236}">
              <a16:creationId xmlns:a16="http://schemas.microsoft.com/office/drawing/2014/main" id="{5EFB4CE4-69AD-BC92-EB27-6F41BAEFF381}"/>
            </a:ext>
          </a:extLst>
        </xdr:cNvPr>
        <xdr:cNvGrpSpPr/>
      </xdr:nvGrpSpPr>
      <xdr:grpSpPr>
        <a:xfrm>
          <a:off x="4780177" y="4653375"/>
          <a:ext cx="946035" cy="542717"/>
          <a:chOff x="5337390" y="4451556"/>
          <a:chExt cx="1053191" cy="520785"/>
        </a:xfrm>
      </xdr:grpSpPr>
      <xdr:sp macro="" textlink="">
        <xdr:nvSpPr>
          <xdr:cNvPr id="15" name="フローチャート: 定義済み処理 14">
            <a:extLst>
              <a:ext uri="{FF2B5EF4-FFF2-40B4-BE49-F238E27FC236}">
                <a16:creationId xmlns:a16="http://schemas.microsoft.com/office/drawing/2014/main" id="{2E888BE4-B436-4634-9275-67414219AFE0}"/>
              </a:ext>
            </a:extLst>
          </xdr:cNvPr>
          <xdr:cNvSpPr/>
        </xdr:nvSpPr>
        <xdr:spPr>
          <a:xfrm>
            <a:off x="5379882" y="4473788"/>
            <a:ext cx="941723" cy="47496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 name="正方形/長方形 48">
            <a:extLst>
              <a:ext uri="{FF2B5EF4-FFF2-40B4-BE49-F238E27FC236}">
                <a16:creationId xmlns:a16="http://schemas.microsoft.com/office/drawing/2014/main" id="{0882C4D2-0CF3-490D-8586-E158B73C3F27}"/>
              </a:ext>
            </a:extLst>
          </xdr:cNvPr>
          <xdr:cNvSpPr/>
        </xdr:nvSpPr>
        <xdr:spPr>
          <a:xfrm>
            <a:off x="5337390" y="4451556"/>
            <a:ext cx="1053191"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grpSp>
    <xdr:clientData/>
  </xdr:twoCellAnchor>
  <xdr:twoCellAnchor>
    <xdr:from>
      <xdr:col>31</xdr:col>
      <xdr:colOff>50186</xdr:colOff>
      <xdr:row>27</xdr:row>
      <xdr:rowOff>116706</xdr:rowOff>
    </xdr:from>
    <xdr:to>
      <xdr:col>40</xdr:col>
      <xdr:colOff>133021</xdr:colOff>
      <xdr:row>27</xdr:row>
      <xdr:rowOff>123130</xdr:rowOff>
    </xdr:to>
    <xdr:cxnSp macro="">
      <xdr:nvCxnSpPr>
        <xdr:cNvPr id="17" name="直線矢印コネクタ 16">
          <a:extLst>
            <a:ext uri="{FF2B5EF4-FFF2-40B4-BE49-F238E27FC236}">
              <a16:creationId xmlns:a16="http://schemas.microsoft.com/office/drawing/2014/main" id="{2BC22DE0-AD95-4B39-A444-C2D7C69C069A}"/>
            </a:ext>
          </a:extLst>
        </xdr:cNvPr>
        <xdr:cNvCxnSpPr>
          <a:stCxn id="15" idx="3"/>
          <a:endCxn id="125" idx="2"/>
        </xdr:cNvCxnSpPr>
      </xdr:nvCxnSpPr>
      <xdr:spPr>
        <a:xfrm flipV="1">
          <a:off x="4777761" y="4822056"/>
          <a:ext cx="1851310" cy="324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178764</xdr:colOff>
      <xdr:row>98</xdr:row>
      <xdr:rowOff>83736</xdr:rowOff>
    </xdr:from>
    <xdr:to>
      <xdr:col>30</xdr:col>
      <xdr:colOff>87369</xdr:colOff>
      <xdr:row>100</xdr:row>
      <xdr:rowOff>15722</xdr:rowOff>
    </xdr:to>
    <xdr:sp macro="" textlink="">
      <xdr:nvSpPr>
        <xdr:cNvPr id="24" name="フローチャート: 端子 26">
          <a:extLst>
            <a:ext uri="{FF2B5EF4-FFF2-40B4-BE49-F238E27FC236}">
              <a16:creationId xmlns:a16="http://schemas.microsoft.com/office/drawing/2014/main" id="{CBB11504-9F01-4938-BF97-A1FB7CED70F8}"/>
            </a:ext>
          </a:extLst>
        </xdr:cNvPr>
        <xdr:cNvSpPr/>
      </xdr:nvSpPr>
      <xdr:spPr>
        <a:xfrm>
          <a:off x="3918914" y="13190136"/>
          <a:ext cx="696005" cy="27488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26</xdr:col>
      <xdr:colOff>170125</xdr:colOff>
      <xdr:row>112</xdr:row>
      <xdr:rowOff>73734</xdr:rowOff>
    </xdr:from>
    <xdr:to>
      <xdr:col>30</xdr:col>
      <xdr:colOff>89857</xdr:colOff>
      <xdr:row>113</xdr:row>
      <xdr:rowOff>163670</xdr:rowOff>
    </xdr:to>
    <xdr:sp macro="" textlink="">
      <xdr:nvSpPr>
        <xdr:cNvPr id="29" name="フローチャート: 端子 26">
          <a:extLst>
            <a:ext uri="{FF2B5EF4-FFF2-40B4-BE49-F238E27FC236}">
              <a16:creationId xmlns:a16="http://schemas.microsoft.com/office/drawing/2014/main" id="{CFAEAFCA-9805-42C4-BD38-28E2755F64EF}"/>
            </a:ext>
          </a:extLst>
        </xdr:cNvPr>
        <xdr:cNvSpPr/>
      </xdr:nvSpPr>
      <xdr:spPr>
        <a:xfrm>
          <a:off x="3973223" y="24134712"/>
          <a:ext cx="720384" cy="262491"/>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133067</xdr:colOff>
      <xdr:row>100</xdr:row>
      <xdr:rowOff>15722</xdr:rowOff>
    </xdr:from>
    <xdr:to>
      <xdr:col>28</xdr:col>
      <xdr:colOff>135785</xdr:colOff>
      <xdr:row>104</xdr:row>
      <xdr:rowOff>60223</xdr:rowOff>
    </xdr:to>
    <xdr:cxnSp macro="">
      <xdr:nvCxnSpPr>
        <xdr:cNvPr id="30" name="直線矢印コネクタ 29">
          <a:extLst>
            <a:ext uri="{FF2B5EF4-FFF2-40B4-BE49-F238E27FC236}">
              <a16:creationId xmlns:a16="http://schemas.microsoft.com/office/drawing/2014/main" id="{F9DAD7ED-B71D-4DD5-BFB9-BA83552D6694}"/>
            </a:ext>
          </a:extLst>
        </xdr:cNvPr>
        <xdr:cNvCxnSpPr>
          <a:stCxn id="24" idx="2"/>
          <a:endCxn id="260" idx="0"/>
        </xdr:cNvCxnSpPr>
      </xdr:nvCxnSpPr>
      <xdr:spPr>
        <a:xfrm>
          <a:off x="4336491" y="22006048"/>
          <a:ext cx="2718" cy="73471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140113</xdr:colOff>
      <xdr:row>121</xdr:row>
      <xdr:rowOff>83736</xdr:rowOff>
    </xdr:from>
    <xdr:to>
      <xdr:col>30</xdr:col>
      <xdr:colOff>48718</xdr:colOff>
      <xdr:row>123</xdr:row>
      <xdr:rowOff>15722</xdr:rowOff>
    </xdr:to>
    <xdr:sp macro="" textlink="">
      <xdr:nvSpPr>
        <xdr:cNvPr id="41" name="フローチャート: 端子 26">
          <a:extLst>
            <a:ext uri="{FF2B5EF4-FFF2-40B4-BE49-F238E27FC236}">
              <a16:creationId xmlns:a16="http://schemas.microsoft.com/office/drawing/2014/main" id="{B4AADB77-C8F2-4734-9053-6EB586C2E217}"/>
            </a:ext>
          </a:extLst>
        </xdr:cNvPr>
        <xdr:cNvSpPr/>
      </xdr:nvSpPr>
      <xdr:spPr>
        <a:xfrm>
          <a:off x="3943211" y="25180040"/>
          <a:ext cx="709257" cy="2770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148456</xdr:colOff>
      <xdr:row>125</xdr:row>
      <xdr:rowOff>131412</xdr:rowOff>
    </xdr:from>
    <xdr:to>
      <xdr:col>31</xdr:col>
      <xdr:colOff>35611</xdr:colOff>
      <xdr:row>128</xdr:row>
      <xdr:rowOff>163393</xdr:rowOff>
    </xdr:to>
    <xdr:grpSp>
      <xdr:nvGrpSpPr>
        <xdr:cNvPr id="42" name="グループ化 8">
          <a:extLst>
            <a:ext uri="{FF2B5EF4-FFF2-40B4-BE49-F238E27FC236}">
              <a16:creationId xmlns:a16="http://schemas.microsoft.com/office/drawing/2014/main" id="{70F9D810-11ED-49D0-B6D4-97276FC770DD}"/>
            </a:ext>
          </a:extLst>
        </xdr:cNvPr>
        <xdr:cNvGrpSpPr/>
      </xdr:nvGrpSpPr>
      <xdr:grpSpPr>
        <a:xfrm>
          <a:off x="4672831" y="21915087"/>
          <a:ext cx="973005" cy="546331"/>
          <a:chOff x="1633113" y="2430783"/>
          <a:chExt cx="908902" cy="422628"/>
        </a:xfrm>
      </xdr:grpSpPr>
      <xdr:sp macro="" textlink="">
        <xdr:nvSpPr>
          <xdr:cNvPr id="43" name="フローチャート: 定義済み処理 9">
            <a:extLst>
              <a:ext uri="{FF2B5EF4-FFF2-40B4-BE49-F238E27FC236}">
                <a16:creationId xmlns:a16="http://schemas.microsoft.com/office/drawing/2014/main" id="{3244280A-6A31-6594-F3DC-393317261308}"/>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44" name="正方形/長方形 48">
            <a:extLst>
              <a:ext uri="{FF2B5EF4-FFF2-40B4-BE49-F238E27FC236}">
                <a16:creationId xmlns:a16="http://schemas.microsoft.com/office/drawing/2014/main" id="{F7B91A0C-81F4-96AC-6C94-2E7D21903FB8}"/>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利息計上</a:t>
            </a:r>
            <a:endParaRPr kumimoji="1" lang="en-US" altLang="ja-JP" sz="900"/>
          </a:p>
          <a:p>
            <a:pPr algn="ctr"/>
            <a:r>
              <a:rPr kumimoji="1" lang="ja-JP" altLang="ja-JP" sz="900">
                <a:solidFill>
                  <a:schemeClr val="dk1"/>
                </a:solidFill>
                <a:effectLst/>
                <a:latin typeface="+mn-lt"/>
                <a:ea typeface="+mn-ea"/>
                <a:cs typeface="+mn-cs"/>
              </a:rPr>
              <a:t>仕訳の作成</a:t>
            </a:r>
            <a:r>
              <a:rPr kumimoji="1" lang="ja-JP" altLang="en-US" sz="900">
                <a:solidFill>
                  <a:schemeClr val="dk1"/>
                </a:solidFill>
                <a:effectLst/>
                <a:latin typeface="+mn-lt"/>
                <a:ea typeface="+mn-ea"/>
                <a:cs typeface="+mn-cs"/>
              </a:rPr>
              <a:t>・転記</a:t>
            </a:r>
            <a:endParaRPr kumimoji="1" lang="ja-JP" altLang="en-US" sz="900"/>
          </a:p>
        </xdr:txBody>
      </xdr:sp>
    </xdr:grpSp>
    <xdr:clientData/>
  </xdr:twoCellAnchor>
  <xdr:twoCellAnchor>
    <xdr:from>
      <xdr:col>26</xdr:col>
      <xdr:colOff>135040</xdr:colOff>
      <xdr:row>134</xdr:row>
      <xdr:rowOff>128030</xdr:rowOff>
    </xdr:from>
    <xdr:to>
      <xdr:col>30</xdr:col>
      <xdr:colOff>54772</xdr:colOff>
      <xdr:row>136</xdr:row>
      <xdr:rowOff>45411</xdr:rowOff>
    </xdr:to>
    <xdr:sp macro="" textlink="">
      <xdr:nvSpPr>
        <xdr:cNvPr id="46" name="フローチャート: 端子 26">
          <a:extLst>
            <a:ext uri="{FF2B5EF4-FFF2-40B4-BE49-F238E27FC236}">
              <a16:creationId xmlns:a16="http://schemas.microsoft.com/office/drawing/2014/main" id="{AE04212E-FACA-4352-899B-FAC620C0849F}"/>
            </a:ext>
          </a:extLst>
        </xdr:cNvPr>
        <xdr:cNvSpPr/>
      </xdr:nvSpPr>
      <xdr:spPr>
        <a:xfrm>
          <a:off x="3938138" y="27467541"/>
          <a:ext cx="720384" cy="26249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94416</xdr:colOff>
      <xdr:row>123</xdr:row>
      <xdr:rowOff>15722</xdr:rowOff>
    </xdr:from>
    <xdr:to>
      <xdr:col>28</xdr:col>
      <xdr:colOff>96211</xdr:colOff>
      <xdr:row>125</xdr:row>
      <xdr:rowOff>164245</xdr:rowOff>
    </xdr:to>
    <xdr:cxnSp macro="">
      <xdr:nvCxnSpPr>
        <xdr:cNvPr id="47" name="直線矢印コネクタ 46">
          <a:extLst>
            <a:ext uri="{FF2B5EF4-FFF2-40B4-BE49-F238E27FC236}">
              <a16:creationId xmlns:a16="http://schemas.microsoft.com/office/drawing/2014/main" id="{6BDD1598-01E4-4B0E-88B7-428DB63315E6}"/>
            </a:ext>
          </a:extLst>
        </xdr:cNvPr>
        <xdr:cNvCxnSpPr>
          <a:stCxn id="41" idx="2"/>
          <a:endCxn id="43" idx="0"/>
        </xdr:cNvCxnSpPr>
      </xdr:nvCxnSpPr>
      <xdr:spPr>
        <a:xfrm>
          <a:off x="4297840" y="25457135"/>
          <a:ext cx="1795" cy="49363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94906</xdr:colOff>
      <xdr:row>128</xdr:row>
      <xdr:rowOff>132453</xdr:rowOff>
    </xdr:from>
    <xdr:to>
      <xdr:col>28</xdr:col>
      <xdr:colOff>96211</xdr:colOff>
      <xdr:row>134</xdr:row>
      <xdr:rowOff>128030</xdr:rowOff>
    </xdr:to>
    <xdr:cxnSp macro="">
      <xdr:nvCxnSpPr>
        <xdr:cNvPr id="51" name="直線矢印コネクタ 50">
          <a:extLst>
            <a:ext uri="{FF2B5EF4-FFF2-40B4-BE49-F238E27FC236}">
              <a16:creationId xmlns:a16="http://schemas.microsoft.com/office/drawing/2014/main" id="{DFA881F8-E343-49C6-BE41-E965B7B1D3E0}"/>
            </a:ext>
          </a:extLst>
        </xdr:cNvPr>
        <xdr:cNvCxnSpPr>
          <a:stCxn id="43" idx="2"/>
          <a:endCxn id="46" idx="0"/>
        </xdr:cNvCxnSpPr>
      </xdr:nvCxnSpPr>
      <xdr:spPr>
        <a:xfrm flipH="1">
          <a:off x="4298330" y="26436638"/>
          <a:ext cx="1305" cy="10309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137994</xdr:colOff>
      <xdr:row>164</xdr:row>
      <xdr:rowOff>146538</xdr:rowOff>
    </xdr:from>
    <xdr:to>
      <xdr:col>30</xdr:col>
      <xdr:colOff>47520</xdr:colOff>
      <xdr:row>166</xdr:row>
      <xdr:rowOff>78524</xdr:rowOff>
    </xdr:to>
    <xdr:sp macro="" textlink="">
      <xdr:nvSpPr>
        <xdr:cNvPr id="60" name="フローチャート: 端子 26">
          <a:extLst>
            <a:ext uri="{FF2B5EF4-FFF2-40B4-BE49-F238E27FC236}">
              <a16:creationId xmlns:a16="http://schemas.microsoft.com/office/drawing/2014/main" id="{7AC1AFCA-66B2-43BC-9B6D-23A6C8B4CD32}"/>
            </a:ext>
          </a:extLst>
        </xdr:cNvPr>
        <xdr:cNvSpPr/>
      </xdr:nvSpPr>
      <xdr:spPr>
        <a:xfrm>
          <a:off x="3941092" y="33007788"/>
          <a:ext cx="710178" cy="2770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26</xdr:col>
      <xdr:colOff>133779</xdr:colOff>
      <xdr:row>179</xdr:row>
      <xdr:rowOff>72813</xdr:rowOff>
    </xdr:from>
    <xdr:to>
      <xdr:col>30</xdr:col>
      <xdr:colOff>54432</xdr:colOff>
      <xdr:row>180</xdr:row>
      <xdr:rowOff>162748</xdr:rowOff>
    </xdr:to>
    <xdr:sp macro="" textlink="">
      <xdr:nvSpPr>
        <xdr:cNvPr id="64" name="フローチャート: 端子 26">
          <a:extLst>
            <a:ext uri="{FF2B5EF4-FFF2-40B4-BE49-F238E27FC236}">
              <a16:creationId xmlns:a16="http://schemas.microsoft.com/office/drawing/2014/main" id="{0C804D40-375A-4EAA-A27B-741EF9B8EB3E}"/>
            </a:ext>
          </a:extLst>
        </xdr:cNvPr>
        <xdr:cNvSpPr/>
      </xdr:nvSpPr>
      <xdr:spPr>
        <a:xfrm>
          <a:off x="3936877" y="35522378"/>
          <a:ext cx="721305" cy="26249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92757</xdr:colOff>
      <xdr:row>166</xdr:row>
      <xdr:rowOff>78524</xdr:rowOff>
    </xdr:from>
    <xdr:to>
      <xdr:col>28</xdr:col>
      <xdr:colOff>96211</xdr:colOff>
      <xdr:row>169</xdr:row>
      <xdr:rowOff>164245</xdr:rowOff>
    </xdr:to>
    <xdr:cxnSp macro="">
      <xdr:nvCxnSpPr>
        <xdr:cNvPr id="65" name="直線矢印コネクタ 64">
          <a:extLst>
            <a:ext uri="{FF2B5EF4-FFF2-40B4-BE49-F238E27FC236}">
              <a16:creationId xmlns:a16="http://schemas.microsoft.com/office/drawing/2014/main" id="{F2481633-48EE-4109-A103-41E151E897C1}"/>
            </a:ext>
          </a:extLst>
        </xdr:cNvPr>
        <xdr:cNvCxnSpPr>
          <a:cxnSpLocks/>
          <a:stCxn id="60" idx="2"/>
          <a:endCxn id="287" idx="0"/>
        </xdr:cNvCxnSpPr>
      </xdr:nvCxnSpPr>
      <xdr:spPr>
        <a:xfrm>
          <a:off x="4296181" y="33284883"/>
          <a:ext cx="3454" cy="60338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94106</xdr:colOff>
      <xdr:row>172</xdr:row>
      <xdr:rowOff>132453</xdr:rowOff>
    </xdr:from>
    <xdr:to>
      <xdr:col>28</xdr:col>
      <xdr:colOff>96211</xdr:colOff>
      <xdr:row>179</xdr:row>
      <xdr:rowOff>72813</xdr:rowOff>
    </xdr:to>
    <xdr:cxnSp macro="">
      <xdr:nvCxnSpPr>
        <xdr:cNvPr id="77" name="直線矢印コネクタ 76">
          <a:extLst>
            <a:ext uri="{FF2B5EF4-FFF2-40B4-BE49-F238E27FC236}">
              <a16:creationId xmlns:a16="http://schemas.microsoft.com/office/drawing/2014/main" id="{5F42C457-9872-4B3B-845C-CA75525917D2}"/>
            </a:ext>
          </a:extLst>
        </xdr:cNvPr>
        <xdr:cNvCxnSpPr>
          <a:stCxn id="287" idx="2"/>
          <a:endCxn id="64" idx="0"/>
        </xdr:cNvCxnSpPr>
      </xdr:nvCxnSpPr>
      <xdr:spPr>
        <a:xfrm flipH="1">
          <a:off x="4297530" y="34374138"/>
          <a:ext cx="2105" cy="114824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84325</xdr:colOff>
      <xdr:row>19</xdr:row>
      <xdr:rowOff>138199</xdr:rowOff>
    </xdr:from>
    <xdr:to>
      <xdr:col>31</xdr:col>
      <xdr:colOff>104496</xdr:colOff>
      <xdr:row>23</xdr:row>
      <xdr:rowOff>10043</xdr:rowOff>
    </xdr:to>
    <xdr:grpSp>
      <xdr:nvGrpSpPr>
        <xdr:cNvPr id="36" name="グループ化 11">
          <a:extLst>
            <a:ext uri="{FF2B5EF4-FFF2-40B4-BE49-F238E27FC236}">
              <a16:creationId xmlns:a16="http://schemas.microsoft.com/office/drawing/2014/main" id="{B1E36DA7-AD68-7AB3-0C11-1725E25540E7}"/>
            </a:ext>
          </a:extLst>
        </xdr:cNvPr>
        <xdr:cNvGrpSpPr/>
      </xdr:nvGrpSpPr>
      <xdr:grpSpPr>
        <a:xfrm>
          <a:off x="4789675" y="3519574"/>
          <a:ext cx="925046" cy="576694"/>
          <a:chOff x="5350063" y="3402077"/>
          <a:chExt cx="1032202" cy="540459"/>
        </a:xfrm>
      </xdr:grpSpPr>
      <xdr:sp macro="" textlink="">
        <xdr:nvSpPr>
          <xdr:cNvPr id="37" name="正方形/長方形 4">
            <a:extLst>
              <a:ext uri="{FF2B5EF4-FFF2-40B4-BE49-F238E27FC236}">
                <a16:creationId xmlns:a16="http://schemas.microsoft.com/office/drawing/2014/main" id="{74E7C836-2F44-4628-80DA-E4D0C1036A0B}"/>
              </a:ext>
            </a:extLst>
          </xdr:cNvPr>
          <xdr:cNvSpPr/>
        </xdr:nvSpPr>
        <xdr:spPr>
          <a:xfrm>
            <a:off x="5407275" y="3466164"/>
            <a:ext cx="893422" cy="401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8" name="正方形/長方形 48">
            <a:extLst>
              <a:ext uri="{FF2B5EF4-FFF2-40B4-BE49-F238E27FC236}">
                <a16:creationId xmlns:a16="http://schemas.microsoft.com/office/drawing/2014/main" id="{A1F093DA-59A6-4DA5-B6D1-45438B4BF02D}"/>
              </a:ext>
            </a:extLst>
          </xdr:cNvPr>
          <xdr:cNvSpPr/>
        </xdr:nvSpPr>
        <xdr:spPr>
          <a:xfrm>
            <a:off x="5350063" y="3402077"/>
            <a:ext cx="1032202" cy="5404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grpSp>
    <xdr:clientData/>
  </xdr:twoCellAnchor>
  <xdr:twoCellAnchor>
    <xdr:from>
      <xdr:col>28</xdr:col>
      <xdr:colOff>179532</xdr:colOff>
      <xdr:row>22</xdr:row>
      <xdr:rowOff>102435</xdr:rowOff>
    </xdr:from>
    <xdr:to>
      <xdr:col>28</xdr:col>
      <xdr:colOff>189124</xdr:colOff>
      <xdr:row>26</xdr:row>
      <xdr:rowOff>44663</xdr:rowOff>
    </xdr:to>
    <xdr:cxnSp macro="">
      <xdr:nvCxnSpPr>
        <xdr:cNvPr id="79" name="直線矢印コネクタ 78">
          <a:extLst>
            <a:ext uri="{FF2B5EF4-FFF2-40B4-BE49-F238E27FC236}">
              <a16:creationId xmlns:a16="http://schemas.microsoft.com/office/drawing/2014/main" id="{D3917A00-5764-4589-915B-95AFF3FB14D6}"/>
            </a:ext>
          </a:extLst>
        </xdr:cNvPr>
        <xdr:cNvCxnSpPr>
          <a:cxnSpLocks/>
          <a:endCxn id="15" idx="0"/>
        </xdr:cNvCxnSpPr>
      </xdr:nvCxnSpPr>
      <xdr:spPr>
        <a:xfrm flipH="1">
          <a:off x="4319732" y="3956885"/>
          <a:ext cx="3242" cy="6280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144542</xdr:colOff>
      <xdr:row>14</xdr:row>
      <xdr:rowOff>112610</xdr:rowOff>
    </xdr:from>
    <xdr:to>
      <xdr:col>8</xdr:col>
      <xdr:colOff>14862</xdr:colOff>
      <xdr:row>16</xdr:row>
      <xdr:rowOff>167554</xdr:rowOff>
    </xdr:to>
    <xdr:sp macro="" textlink="">
      <xdr:nvSpPr>
        <xdr:cNvPr id="80" name="正方形/長方形 79">
          <a:extLst>
            <a:ext uri="{FF2B5EF4-FFF2-40B4-BE49-F238E27FC236}">
              <a16:creationId xmlns:a16="http://schemas.microsoft.com/office/drawing/2014/main" id="{7C6B8121-65F0-4007-88B0-0BFB037C09D6}"/>
            </a:ext>
          </a:extLst>
        </xdr:cNvPr>
        <xdr:cNvSpPr/>
      </xdr:nvSpPr>
      <xdr:spPr>
        <a:xfrm>
          <a:off x="735092" y="2589110"/>
          <a:ext cx="854570" cy="39784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3</xdr:col>
      <xdr:colOff>97990</xdr:colOff>
      <xdr:row>14</xdr:row>
      <xdr:rowOff>31167</xdr:rowOff>
    </xdr:from>
    <xdr:to>
      <xdr:col>8</xdr:col>
      <xdr:colOff>118161</xdr:colOff>
      <xdr:row>17</xdr:row>
      <xdr:rowOff>56443</xdr:rowOff>
    </xdr:to>
    <xdr:sp macro="" textlink="">
      <xdr:nvSpPr>
        <xdr:cNvPr id="81" name="正方形/長方形 48">
          <a:extLst>
            <a:ext uri="{FF2B5EF4-FFF2-40B4-BE49-F238E27FC236}">
              <a16:creationId xmlns:a16="http://schemas.microsoft.com/office/drawing/2014/main" id="{FE60A0F5-5034-4114-90A4-477E5B2ED4EA}"/>
            </a:ext>
          </a:extLst>
        </xdr:cNvPr>
        <xdr:cNvSpPr/>
      </xdr:nvSpPr>
      <xdr:spPr>
        <a:xfrm>
          <a:off x="688540" y="2507667"/>
          <a:ext cx="1004421" cy="53962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1.</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申請書発行</a:t>
          </a:r>
        </a:p>
      </xdr:txBody>
    </xdr:sp>
    <xdr:clientData/>
  </xdr:twoCellAnchor>
  <xdr:twoCellAnchor>
    <xdr:from>
      <xdr:col>29</xdr:col>
      <xdr:colOff>97655</xdr:colOff>
      <xdr:row>22</xdr:row>
      <xdr:rowOff>11563</xdr:rowOff>
    </xdr:from>
    <xdr:to>
      <xdr:col>34</xdr:col>
      <xdr:colOff>174744</xdr:colOff>
      <xdr:row>24</xdr:row>
      <xdr:rowOff>42104</xdr:rowOff>
    </xdr:to>
    <xdr:grpSp>
      <xdr:nvGrpSpPr>
        <xdr:cNvPr id="85" name="グループ化 84">
          <a:extLst>
            <a:ext uri="{FF2B5EF4-FFF2-40B4-BE49-F238E27FC236}">
              <a16:creationId xmlns:a16="http://schemas.microsoft.com/office/drawing/2014/main" id="{1C80AEED-309E-46F9-A271-FBEAEA24C387}"/>
            </a:ext>
          </a:extLst>
        </xdr:cNvPr>
        <xdr:cNvGrpSpPr>
          <a:grpSpLocks noChangeAspect="1"/>
        </xdr:cNvGrpSpPr>
      </xdr:nvGrpSpPr>
      <xdr:grpSpPr>
        <a:xfrm>
          <a:off x="5345930" y="3916813"/>
          <a:ext cx="981964" cy="392491"/>
          <a:chOff x="2595823" y="18514795"/>
          <a:chExt cx="1182905" cy="417276"/>
        </a:xfrm>
      </xdr:grpSpPr>
      <xdr:sp macro="" textlink="">
        <xdr:nvSpPr>
          <xdr:cNvPr id="86" name="フローチャート: 書類 85">
            <a:extLst>
              <a:ext uri="{FF2B5EF4-FFF2-40B4-BE49-F238E27FC236}">
                <a16:creationId xmlns:a16="http://schemas.microsoft.com/office/drawing/2014/main" id="{C3180BFC-5051-6820-1822-F96BBAFA0C0C}"/>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87" name="正方形/長方形 86">
            <a:extLst>
              <a:ext uri="{FF2B5EF4-FFF2-40B4-BE49-F238E27FC236}">
                <a16:creationId xmlns:a16="http://schemas.microsoft.com/office/drawing/2014/main" id="{A817916C-EA0E-2945-243C-A24DDDF164AD}"/>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28</xdr:col>
      <xdr:colOff>129991</xdr:colOff>
      <xdr:row>107</xdr:row>
      <xdr:rowOff>25623</xdr:rowOff>
    </xdr:from>
    <xdr:to>
      <xdr:col>28</xdr:col>
      <xdr:colOff>135785</xdr:colOff>
      <xdr:row>112</xdr:row>
      <xdr:rowOff>73734</xdr:rowOff>
    </xdr:to>
    <xdr:cxnSp macro="">
      <xdr:nvCxnSpPr>
        <xdr:cNvPr id="110" name="直線矢印コネクタ 109">
          <a:extLst>
            <a:ext uri="{FF2B5EF4-FFF2-40B4-BE49-F238E27FC236}">
              <a16:creationId xmlns:a16="http://schemas.microsoft.com/office/drawing/2014/main" id="{A7805135-D9C5-48C4-89EE-FF5D41C42886}"/>
            </a:ext>
          </a:extLst>
        </xdr:cNvPr>
        <xdr:cNvCxnSpPr>
          <a:stCxn id="260" idx="2"/>
          <a:endCxn id="29" idx="0"/>
        </xdr:cNvCxnSpPr>
      </xdr:nvCxnSpPr>
      <xdr:spPr>
        <a:xfrm flipH="1">
          <a:off x="4333415" y="23223830"/>
          <a:ext cx="5794" cy="9108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32451</xdr:colOff>
      <xdr:row>32</xdr:row>
      <xdr:rowOff>25407</xdr:rowOff>
    </xdr:from>
    <xdr:to>
      <xdr:col>45</xdr:col>
      <xdr:colOff>51866</xdr:colOff>
      <xdr:row>35</xdr:row>
      <xdr:rowOff>159569</xdr:rowOff>
    </xdr:to>
    <xdr:grpSp>
      <xdr:nvGrpSpPr>
        <xdr:cNvPr id="118" name="グループ化 117">
          <a:extLst>
            <a:ext uri="{FF2B5EF4-FFF2-40B4-BE49-F238E27FC236}">
              <a16:creationId xmlns:a16="http://schemas.microsoft.com/office/drawing/2014/main" id="{86CA2C41-2428-4501-B226-3AB8CA8E4E0C}"/>
            </a:ext>
          </a:extLst>
        </xdr:cNvPr>
        <xdr:cNvGrpSpPr>
          <a:grpSpLocks noChangeAspect="1"/>
        </xdr:cNvGrpSpPr>
      </xdr:nvGrpSpPr>
      <xdr:grpSpPr>
        <a:xfrm>
          <a:off x="7271451" y="5721357"/>
          <a:ext cx="924290" cy="658037"/>
          <a:chOff x="7112003" y="2892425"/>
          <a:chExt cx="873125" cy="584984"/>
        </a:xfrm>
      </xdr:grpSpPr>
      <xdr:sp macro="" textlink="">
        <xdr:nvSpPr>
          <xdr:cNvPr id="119" name="フローチャート: 磁気ディスク 118">
            <a:extLst>
              <a:ext uri="{FF2B5EF4-FFF2-40B4-BE49-F238E27FC236}">
                <a16:creationId xmlns:a16="http://schemas.microsoft.com/office/drawing/2014/main" id="{39791E94-8113-1567-2856-71761BFCEAE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0" name="正方形/長方形 119">
            <a:extLst>
              <a:ext uri="{FF2B5EF4-FFF2-40B4-BE49-F238E27FC236}">
                <a16:creationId xmlns:a16="http://schemas.microsoft.com/office/drawing/2014/main" id="{F9412891-F5F8-2B9B-6D78-C926F1287983}"/>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スケジュール バッチの作成</a:t>
            </a:r>
          </a:p>
        </xdr:txBody>
      </xdr:sp>
    </xdr:grpSp>
    <xdr:clientData/>
  </xdr:twoCellAnchor>
  <xdr:twoCellAnchor>
    <xdr:from>
      <xdr:col>40</xdr:col>
      <xdr:colOff>26811</xdr:colOff>
      <xdr:row>25</xdr:row>
      <xdr:rowOff>160862</xdr:rowOff>
    </xdr:from>
    <xdr:to>
      <xdr:col>45</xdr:col>
      <xdr:colOff>46226</xdr:colOff>
      <xdr:row>29</xdr:row>
      <xdr:rowOff>125690</xdr:rowOff>
    </xdr:to>
    <xdr:grpSp>
      <xdr:nvGrpSpPr>
        <xdr:cNvPr id="124" name="グループ化 123">
          <a:extLst>
            <a:ext uri="{FF2B5EF4-FFF2-40B4-BE49-F238E27FC236}">
              <a16:creationId xmlns:a16="http://schemas.microsoft.com/office/drawing/2014/main" id="{A78C609B-B273-4DC5-B06C-81A9DC78317A}"/>
            </a:ext>
          </a:extLst>
        </xdr:cNvPr>
        <xdr:cNvGrpSpPr>
          <a:grpSpLocks noChangeAspect="1"/>
        </xdr:cNvGrpSpPr>
      </xdr:nvGrpSpPr>
      <xdr:grpSpPr>
        <a:xfrm>
          <a:off x="7265811" y="4609037"/>
          <a:ext cx="924290" cy="669678"/>
          <a:chOff x="7112003" y="2892425"/>
          <a:chExt cx="873125" cy="584984"/>
        </a:xfrm>
      </xdr:grpSpPr>
      <xdr:sp macro="" textlink="">
        <xdr:nvSpPr>
          <xdr:cNvPr id="125" name="フローチャート: 磁気ディスク 124">
            <a:extLst>
              <a:ext uri="{FF2B5EF4-FFF2-40B4-BE49-F238E27FC236}">
                <a16:creationId xmlns:a16="http://schemas.microsoft.com/office/drawing/2014/main" id="{739B720B-83D2-BF34-4177-1C13F4D5ED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26" name="正方形/長方形 125">
            <a:extLst>
              <a:ext uri="{FF2B5EF4-FFF2-40B4-BE49-F238E27FC236}">
                <a16:creationId xmlns:a16="http://schemas.microsoft.com/office/drawing/2014/main" id="{117DF066-C9E3-C1FA-024B-3ADAEB0C2A34}"/>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endParaRPr kumimoji="1" lang="en-US" altLang="ja-JP" sz="900"/>
          </a:p>
          <a:p>
            <a:pPr algn="ctr"/>
            <a:r>
              <a:rPr kumimoji="1" lang="ja-JP" altLang="en-US" sz="900"/>
              <a:t>（マスタ）</a:t>
            </a:r>
          </a:p>
        </xdr:txBody>
      </xdr:sp>
    </xdr:grpSp>
    <xdr:clientData/>
  </xdr:twoCellAnchor>
  <xdr:twoCellAnchor>
    <xdr:from>
      <xdr:col>33</xdr:col>
      <xdr:colOff>189754</xdr:colOff>
      <xdr:row>88</xdr:row>
      <xdr:rowOff>43171</xdr:rowOff>
    </xdr:from>
    <xdr:to>
      <xdr:col>37</xdr:col>
      <xdr:colOff>97707</xdr:colOff>
      <xdr:row>89</xdr:row>
      <xdr:rowOff>119347</xdr:rowOff>
    </xdr:to>
    <xdr:sp macro="" textlink="">
      <xdr:nvSpPr>
        <xdr:cNvPr id="131" name="フローチャート: 端子 26">
          <a:extLst>
            <a:ext uri="{FF2B5EF4-FFF2-40B4-BE49-F238E27FC236}">
              <a16:creationId xmlns:a16="http://schemas.microsoft.com/office/drawing/2014/main" id="{66A00DF5-4624-4D3E-AEFB-CFBC0D5E30B7}"/>
            </a:ext>
          </a:extLst>
        </xdr:cNvPr>
        <xdr:cNvSpPr/>
      </xdr:nvSpPr>
      <xdr:spPr>
        <a:xfrm>
          <a:off x="5393993" y="19962845"/>
          <a:ext cx="708605" cy="24873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35</xdr:col>
      <xdr:colOff>143731</xdr:colOff>
      <xdr:row>81</xdr:row>
      <xdr:rowOff>38199</xdr:rowOff>
    </xdr:from>
    <xdr:to>
      <xdr:col>35</xdr:col>
      <xdr:colOff>148995</xdr:colOff>
      <xdr:row>88</xdr:row>
      <xdr:rowOff>43171</xdr:rowOff>
    </xdr:to>
    <xdr:cxnSp macro="">
      <xdr:nvCxnSpPr>
        <xdr:cNvPr id="132" name="直線矢印コネクタ 131">
          <a:extLst>
            <a:ext uri="{FF2B5EF4-FFF2-40B4-BE49-F238E27FC236}">
              <a16:creationId xmlns:a16="http://schemas.microsoft.com/office/drawing/2014/main" id="{591BE555-7A65-4914-82C3-A0C96306ABB8}"/>
            </a:ext>
          </a:extLst>
        </xdr:cNvPr>
        <xdr:cNvCxnSpPr>
          <a:cxnSpLocks/>
          <a:stCxn id="243" idx="2"/>
          <a:endCxn id="131" idx="0"/>
        </xdr:cNvCxnSpPr>
      </xdr:nvCxnSpPr>
      <xdr:spPr>
        <a:xfrm flipH="1">
          <a:off x="5748296" y="18749992"/>
          <a:ext cx="5264" cy="121285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219</xdr:row>
      <xdr:rowOff>146538</xdr:rowOff>
    </xdr:from>
    <xdr:to>
      <xdr:col>29</xdr:col>
      <xdr:colOff>192467</xdr:colOff>
      <xdr:row>221</xdr:row>
      <xdr:rowOff>78524</xdr:rowOff>
    </xdr:to>
    <xdr:sp macro="" textlink="">
      <xdr:nvSpPr>
        <xdr:cNvPr id="133" name="フローチャート: 端子 26">
          <a:extLst>
            <a:ext uri="{FF2B5EF4-FFF2-40B4-BE49-F238E27FC236}">
              <a16:creationId xmlns:a16="http://schemas.microsoft.com/office/drawing/2014/main" id="{F9A32EAB-EFA5-4B9C-8565-8D4218DDB241}"/>
            </a:ext>
          </a:extLst>
        </xdr:cNvPr>
        <xdr:cNvSpPr/>
      </xdr:nvSpPr>
      <xdr:spPr>
        <a:xfrm>
          <a:off x="3822928" y="26968938"/>
          <a:ext cx="700239" cy="27488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24</xdr:col>
      <xdr:colOff>95797</xdr:colOff>
      <xdr:row>223</xdr:row>
      <xdr:rowOff>83394</xdr:rowOff>
    </xdr:from>
    <xdr:to>
      <xdr:col>31</xdr:col>
      <xdr:colOff>175996</xdr:colOff>
      <xdr:row>227</xdr:row>
      <xdr:rowOff>43010</xdr:rowOff>
    </xdr:to>
    <xdr:grpSp>
      <xdr:nvGrpSpPr>
        <xdr:cNvPr id="256" name="グループ化 255">
          <a:extLst>
            <a:ext uri="{FF2B5EF4-FFF2-40B4-BE49-F238E27FC236}">
              <a16:creationId xmlns:a16="http://schemas.microsoft.com/office/drawing/2014/main" id="{57DA932F-4314-4D48-672E-DC143A678E76}"/>
            </a:ext>
          </a:extLst>
        </xdr:cNvPr>
        <xdr:cNvGrpSpPr/>
      </xdr:nvGrpSpPr>
      <xdr:grpSpPr>
        <a:xfrm>
          <a:off x="4439197" y="38669169"/>
          <a:ext cx="1347024" cy="645416"/>
          <a:chOff x="4950055" y="37349957"/>
          <a:chExt cx="1498939" cy="626366"/>
        </a:xfrm>
      </xdr:grpSpPr>
      <xdr:sp macro="" textlink="">
        <xdr:nvSpPr>
          <xdr:cNvPr id="134" name="フローチャート: 定義済み処理 9">
            <a:extLst>
              <a:ext uri="{FF2B5EF4-FFF2-40B4-BE49-F238E27FC236}">
                <a16:creationId xmlns:a16="http://schemas.microsoft.com/office/drawing/2014/main" id="{6A7531CF-9C55-46AA-84AC-F62AC80ACDB0}"/>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35" name="正方形/長方形 48">
            <a:extLst>
              <a:ext uri="{FF2B5EF4-FFF2-40B4-BE49-F238E27FC236}">
                <a16:creationId xmlns:a16="http://schemas.microsoft.com/office/drawing/2014/main" id="{72A6E9BB-8FDE-4CB2-864D-5E4893A54985}"/>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grpSp>
    <xdr:clientData/>
  </xdr:twoCellAnchor>
  <xdr:twoCellAnchor>
    <xdr:from>
      <xdr:col>30</xdr:col>
      <xdr:colOff>122887</xdr:colOff>
      <xdr:row>225</xdr:row>
      <xdr:rowOff>41354</xdr:rowOff>
    </xdr:from>
    <xdr:to>
      <xdr:col>40</xdr:col>
      <xdr:colOff>152283</xdr:colOff>
      <xdr:row>225</xdr:row>
      <xdr:rowOff>48887</xdr:rowOff>
    </xdr:to>
    <xdr:cxnSp macro="">
      <xdr:nvCxnSpPr>
        <xdr:cNvPr id="136" name="直線矢印コネクタ 135">
          <a:extLst>
            <a:ext uri="{FF2B5EF4-FFF2-40B4-BE49-F238E27FC236}">
              <a16:creationId xmlns:a16="http://schemas.microsoft.com/office/drawing/2014/main" id="{FE2BD673-59BC-4F15-A9B6-5F03EDF99358}"/>
            </a:ext>
          </a:extLst>
        </xdr:cNvPr>
        <xdr:cNvCxnSpPr>
          <a:stCxn id="134" idx="3"/>
          <a:endCxn id="140" idx="2"/>
        </xdr:cNvCxnSpPr>
      </xdr:nvCxnSpPr>
      <xdr:spPr>
        <a:xfrm flipV="1">
          <a:off x="4650437" y="27892454"/>
          <a:ext cx="1997896" cy="75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140678</xdr:colOff>
      <xdr:row>249</xdr:row>
      <xdr:rowOff>31400</xdr:rowOff>
    </xdr:from>
    <xdr:to>
      <xdr:col>30</xdr:col>
      <xdr:colOff>61331</xdr:colOff>
      <xdr:row>250</xdr:row>
      <xdr:rowOff>121336</xdr:rowOff>
    </xdr:to>
    <xdr:sp macro="" textlink="">
      <xdr:nvSpPr>
        <xdr:cNvPr id="137" name="フローチャート: 端子 26">
          <a:extLst>
            <a:ext uri="{FF2B5EF4-FFF2-40B4-BE49-F238E27FC236}">
              <a16:creationId xmlns:a16="http://schemas.microsoft.com/office/drawing/2014/main" id="{9EF0542F-BA5C-4087-9937-6F50B4B58BE8}"/>
            </a:ext>
          </a:extLst>
        </xdr:cNvPr>
        <xdr:cNvSpPr/>
      </xdr:nvSpPr>
      <xdr:spPr>
        <a:xfrm>
          <a:off x="3943776" y="47559770"/>
          <a:ext cx="721305" cy="26249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221</xdr:row>
      <xdr:rowOff>78524</xdr:rowOff>
    </xdr:from>
    <xdr:to>
      <xdr:col>28</xdr:col>
      <xdr:colOff>38186</xdr:colOff>
      <xdr:row>223</xdr:row>
      <xdr:rowOff>152868</xdr:rowOff>
    </xdr:to>
    <xdr:cxnSp macro="">
      <xdr:nvCxnSpPr>
        <xdr:cNvPr id="138" name="直線矢印コネクタ 137">
          <a:extLst>
            <a:ext uri="{FF2B5EF4-FFF2-40B4-BE49-F238E27FC236}">
              <a16:creationId xmlns:a16="http://schemas.microsoft.com/office/drawing/2014/main" id="{59B3336A-5A1C-4CD3-B6BD-0AE16FC37A21}"/>
            </a:ext>
          </a:extLst>
        </xdr:cNvPr>
        <xdr:cNvCxnSpPr>
          <a:stCxn id="133" idx="2"/>
          <a:endCxn id="134" idx="0"/>
        </xdr:cNvCxnSpPr>
      </xdr:nvCxnSpPr>
      <xdr:spPr>
        <a:xfrm flipH="1">
          <a:off x="4168375" y="27243824"/>
          <a:ext cx="3661" cy="41724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48219</xdr:colOff>
      <xdr:row>223</xdr:row>
      <xdr:rowOff>85214</xdr:rowOff>
    </xdr:from>
    <xdr:to>
      <xdr:col>45</xdr:col>
      <xdr:colOff>64459</xdr:colOff>
      <xdr:row>227</xdr:row>
      <xdr:rowOff>46869</xdr:rowOff>
    </xdr:to>
    <xdr:grpSp>
      <xdr:nvGrpSpPr>
        <xdr:cNvPr id="139" name="グループ化 138">
          <a:extLst>
            <a:ext uri="{FF2B5EF4-FFF2-40B4-BE49-F238E27FC236}">
              <a16:creationId xmlns:a16="http://schemas.microsoft.com/office/drawing/2014/main" id="{86876363-A906-4101-AA1A-533F819B712D}"/>
            </a:ext>
          </a:extLst>
        </xdr:cNvPr>
        <xdr:cNvGrpSpPr>
          <a:grpSpLocks noChangeAspect="1"/>
        </xdr:cNvGrpSpPr>
      </xdr:nvGrpSpPr>
      <xdr:grpSpPr>
        <a:xfrm>
          <a:off x="7287219" y="38670989"/>
          <a:ext cx="921115" cy="647455"/>
          <a:chOff x="7112003" y="2892425"/>
          <a:chExt cx="873125" cy="584984"/>
        </a:xfrm>
      </xdr:grpSpPr>
      <xdr:sp macro="" textlink="">
        <xdr:nvSpPr>
          <xdr:cNvPr id="140" name="フローチャート: 磁気ディスク 139">
            <a:extLst>
              <a:ext uri="{FF2B5EF4-FFF2-40B4-BE49-F238E27FC236}">
                <a16:creationId xmlns:a16="http://schemas.microsoft.com/office/drawing/2014/main" id="{AEBD9B55-BAB5-D9C3-360D-1C5A1AED0AD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1" name="正方形/長方形 140">
            <a:extLst>
              <a:ext uri="{FF2B5EF4-FFF2-40B4-BE49-F238E27FC236}">
                <a16:creationId xmlns:a16="http://schemas.microsoft.com/office/drawing/2014/main" id="{5CF005FF-4953-B109-2FED-654144A9A8E8}"/>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（マスタ）</a:t>
            </a:r>
          </a:p>
        </xdr:txBody>
      </xdr:sp>
    </xdr:grpSp>
    <xdr:clientData/>
  </xdr:twoCellAnchor>
  <xdr:twoCellAnchor>
    <xdr:from>
      <xdr:col>28</xdr:col>
      <xdr:colOff>33421</xdr:colOff>
      <xdr:row>226</xdr:row>
      <xdr:rowOff>122845</xdr:rowOff>
    </xdr:from>
    <xdr:to>
      <xdr:col>28</xdr:col>
      <xdr:colOff>39172</xdr:colOff>
      <xdr:row>229</xdr:row>
      <xdr:rowOff>157894</xdr:rowOff>
    </xdr:to>
    <xdr:cxnSp macro="">
      <xdr:nvCxnSpPr>
        <xdr:cNvPr id="142" name="直線矢印コネクタ 141">
          <a:extLst>
            <a:ext uri="{FF2B5EF4-FFF2-40B4-BE49-F238E27FC236}">
              <a16:creationId xmlns:a16="http://schemas.microsoft.com/office/drawing/2014/main" id="{FBA5FC57-9337-4356-A94D-AA704468B2B8}"/>
            </a:ext>
          </a:extLst>
        </xdr:cNvPr>
        <xdr:cNvCxnSpPr>
          <a:cxnSpLocks/>
          <a:stCxn id="134" idx="2"/>
          <a:endCxn id="144" idx="0"/>
        </xdr:cNvCxnSpPr>
      </xdr:nvCxnSpPr>
      <xdr:spPr>
        <a:xfrm>
          <a:off x="4167271" y="28145395"/>
          <a:ext cx="5751" cy="549399"/>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84904</xdr:colOff>
      <xdr:row>229</xdr:row>
      <xdr:rowOff>120946</xdr:rowOff>
    </xdr:from>
    <xdr:to>
      <xdr:col>30</xdr:col>
      <xdr:colOff>179489</xdr:colOff>
      <xdr:row>232</xdr:row>
      <xdr:rowOff>149751</xdr:rowOff>
    </xdr:to>
    <xdr:grpSp>
      <xdr:nvGrpSpPr>
        <xdr:cNvPr id="143" name="グループ化 8">
          <a:extLst>
            <a:ext uri="{FF2B5EF4-FFF2-40B4-BE49-F238E27FC236}">
              <a16:creationId xmlns:a16="http://schemas.microsoft.com/office/drawing/2014/main" id="{DD16E359-0263-41A4-82B6-D04EF9AE3F53}"/>
            </a:ext>
          </a:extLst>
        </xdr:cNvPr>
        <xdr:cNvGrpSpPr/>
      </xdr:nvGrpSpPr>
      <xdr:grpSpPr>
        <a:xfrm>
          <a:off x="4609279" y="39735421"/>
          <a:ext cx="999460" cy="543155"/>
          <a:chOff x="1633015" y="2430783"/>
          <a:chExt cx="908902" cy="422628"/>
        </a:xfrm>
      </xdr:grpSpPr>
      <xdr:sp macro="" textlink="">
        <xdr:nvSpPr>
          <xdr:cNvPr id="144" name="フローチャート: 定義済み処理 9">
            <a:extLst>
              <a:ext uri="{FF2B5EF4-FFF2-40B4-BE49-F238E27FC236}">
                <a16:creationId xmlns:a16="http://schemas.microsoft.com/office/drawing/2014/main" id="{AB866DA4-4F99-ACBB-7B31-1C33976B40D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45" name="正方形/長方形 48">
            <a:extLst>
              <a:ext uri="{FF2B5EF4-FFF2-40B4-BE49-F238E27FC236}">
                <a16:creationId xmlns:a16="http://schemas.microsoft.com/office/drawing/2014/main" id="{FE956983-4429-C21B-4BF5-A4B0F5AD4741}"/>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endParaRPr kumimoji="1" lang="en-US" altLang="ja-JP" sz="900"/>
          </a:p>
          <a:p>
            <a:pPr algn="ctr"/>
            <a:r>
              <a:rPr kumimoji="1" lang="ja-JP" altLang="en-US" sz="900"/>
              <a:t>承認依頼</a:t>
            </a:r>
          </a:p>
        </xdr:txBody>
      </xdr:sp>
    </xdr:grpSp>
    <xdr:clientData/>
  </xdr:twoCellAnchor>
  <xdr:twoCellAnchor>
    <xdr:from>
      <xdr:col>30</xdr:col>
      <xdr:colOff>130977</xdr:colOff>
      <xdr:row>231</xdr:row>
      <xdr:rowOff>50195</xdr:rowOff>
    </xdr:from>
    <xdr:to>
      <xdr:col>40</xdr:col>
      <xdr:colOff>135078</xdr:colOff>
      <xdr:row>231</xdr:row>
      <xdr:rowOff>51606</xdr:rowOff>
    </xdr:to>
    <xdr:cxnSp macro="">
      <xdr:nvCxnSpPr>
        <xdr:cNvPr id="146" name="直線矢印コネクタ 145">
          <a:extLst>
            <a:ext uri="{FF2B5EF4-FFF2-40B4-BE49-F238E27FC236}">
              <a16:creationId xmlns:a16="http://schemas.microsoft.com/office/drawing/2014/main" id="{34607007-2558-4947-8CF1-69A0D7B8006A}"/>
            </a:ext>
          </a:extLst>
        </xdr:cNvPr>
        <xdr:cNvCxnSpPr>
          <a:stCxn id="144" idx="3"/>
          <a:endCxn id="148" idx="2"/>
        </xdr:cNvCxnSpPr>
      </xdr:nvCxnSpPr>
      <xdr:spPr>
        <a:xfrm flipV="1">
          <a:off x="4734727" y="46715793"/>
          <a:ext cx="2005731" cy="141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30183</xdr:colOff>
      <xdr:row>229</xdr:row>
      <xdr:rowOff>97263</xdr:rowOff>
    </xdr:from>
    <xdr:to>
      <xdr:col>45</xdr:col>
      <xdr:colOff>49598</xdr:colOff>
      <xdr:row>233</xdr:row>
      <xdr:rowOff>55742</xdr:rowOff>
    </xdr:to>
    <xdr:grpSp>
      <xdr:nvGrpSpPr>
        <xdr:cNvPr id="147" name="グループ化 146">
          <a:extLst>
            <a:ext uri="{FF2B5EF4-FFF2-40B4-BE49-F238E27FC236}">
              <a16:creationId xmlns:a16="http://schemas.microsoft.com/office/drawing/2014/main" id="{CF3F08A5-DD98-4232-AC57-C9F2B9440C21}"/>
            </a:ext>
          </a:extLst>
        </xdr:cNvPr>
        <xdr:cNvGrpSpPr>
          <a:grpSpLocks noChangeAspect="1"/>
        </xdr:cNvGrpSpPr>
      </xdr:nvGrpSpPr>
      <xdr:grpSpPr>
        <a:xfrm>
          <a:off x="7269183" y="39711738"/>
          <a:ext cx="924290" cy="644279"/>
          <a:chOff x="7112003" y="2892425"/>
          <a:chExt cx="873125" cy="584984"/>
        </a:xfrm>
      </xdr:grpSpPr>
      <xdr:sp macro="" textlink="">
        <xdr:nvSpPr>
          <xdr:cNvPr id="148" name="フローチャート: 磁気ディスク 147">
            <a:extLst>
              <a:ext uri="{FF2B5EF4-FFF2-40B4-BE49-F238E27FC236}">
                <a16:creationId xmlns:a16="http://schemas.microsoft.com/office/drawing/2014/main" id="{B857B9E4-A95D-A2AD-8C70-0D71F0F3FB8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49" name="正方形/長方形 148">
            <a:extLst>
              <a:ext uri="{FF2B5EF4-FFF2-40B4-BE49-F238E27FC236}">
                <a16:creationId xmlns:a16="http://schemas.microsoft.com/office/drawing/2014/main" id="{024BED18-EDB6-2F49-F129-A6CDE23FD1BF}"/>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28</xdr:col>
      <xdr:colOff>178023</xdr:colOff>
      <xdr:row>35</xdr:row>
      <xdr:rowOff>53926</xdr:rowOff>
    </xdr:from>
    <xdr:to>
      <xdr:col>28</xdr:col>
      <xdr:colOff>187043</xdr:colOff>
      <xdr:row>38</xdr:row>
      <xdr:rowOff>56444</xdr:rowOff>
    </xdr:to>
    <xdr:cxnSp macro="">
      <xdr:nvCxnSpPr>
        <xdr:cNvPr id="163" name="直線矢印コネクタ 162">
          <a:extLst>
            <a:ext uri="{FF2B5EF4-FFF2-40B4-BE49-F238E27FC236}">
              <a16:creationId xmlns:a16="http://schemas.microsoft.com/office/drawing/2014/main" id="{712CFCD2-0E7F-4CF3-BB72-07E8484AFB16}"/>
            </a:ext>
          </a:extLst>
        </xdr:cNvPr>
        <xdr:cNvCxnSpPr>
          <a:stCxn id="8" idx="2"/>
          <a:endCxn id="173" idx="0"/>
        </xdr:cNvCxnSpPr>
      </xdr:nvCxnSpPr>
      <xdr:spPr>
        <a:xfrm flipH="1">
          <a:off x="5845398" y="5983239"/>
          <a:ext cx="9020" cy="5025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333</xdr:colOff>
      <xdr:row>38</xdr:row>
      <xdr:rowOff>56444</xdr:rowOff>
    </xdr:from>
    <xdr:to>
      <xdr:col>32</xdr:col>
      <xdr:colOff>194647</xdr:colOff>
      <xdr:row>42</xdr:row>
      <xdr:rowOff>28907</xdr:rowOff>
    </xdr:to>
    <xdr:grpSp>
      <xdr:nvGrpSpPr>
        <xdr:cNvPr id="172" name="グループ化 171">
          <a:extLst>
            <a:ext uri="{FF2B5EF4-FFF2-40B4-BE49-F238E27FC236}">
              <a16:creationId xmlns:a16="http://schemas.microsoft.com/office/drawing/2014/main" id="{1041AF9D-5356-4B70-B98A-706EE2982924}"/>
            </a:ext>
          </a:extLst>
        </xdr:cNvPr>
        <xdr:cNvGrpSpPr/>
      </xdr:nvGrpSpPr>
      <xdr:grpSpPr>
        <a:xfrm>
          <a:off x="4524708" y="6819194"/>
          <a:ext cx="1451614" cy="667788"/>
          <a:chOff x="328663" y="4845050"/>
          <a:chExt cx="1227665" cy="646622"/>
        </a:xfrm>
      </xdr:grpSpPr>
      <xdr:sp macro="" textlink="">
        <xdr:nvSpPr>
          <xdr:cNvPr id="173" name="フローチャート: 判断 172">
            <a:extLst>
              <a:ext uri="{FF2B5EF4-FFF2-40B4-BE49-F238E27FC236}">
                <a16:creationId xmlns:a16="http://schemas.microsoft.com/office/drawing/2014/main" id="{74DC5571-6262-EB95-36E1-62D87E912881}"/>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74" name="正方形/長方形 48">
            <a:extLst>
              <a:ext uri="{FF2B5EF4-FFF2-40B4-BE49-F238E27FC236}">
                <a16:creationId xmlns:a16="http://schemas.microsoft.com/office/drawing/2014/main" id="{37BB35D0-8AC6-EE1F-DA4C-26964B61C8D8}"/>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300</a:t>
            </a:r>
            <a:r>
              <a:rPr kumimoji="1" lang="ja-JP" altLang="en-US" sz="900"/>
              <a:t>万以上か？</a:t>
            </a:r>
            <a:endParaRPr kumimoji="1" lang="en-US" altLang="ja-JP" sz="900"/>
          </a:p>
          <a:p>
            <a:pPr algn="ctr"/>
            <a:r>
              <a:rPr kumimoji="1" lang="ja-JP" altLang="en-US" sz="900"/>
              <a:t>（ファイナンスリース）</a:t>
            </a:r>
          </a:p>
        </xdr:txBody>
      </xdr:sp>
    </xdr:grpSp>
    <xdr:clientData/>
  </xdr:twoCellAnchor>
  <xdr:twoCellAnchor>
    <xdr:from>
      <xdr:col>26</xdr:col>
      <xdr:colOff>29748</xdr:colOff>
      <xdr:row>45</xdr:row>
      <xdr:rowOff>86225</xdr:rowOff>
    </xdr:from>
    <xdr:to>
      <xdr:col>31</xdr:col>
      <xdr:colOff>126359</xdr:colOff>
      <xdr:row>48</xdr:row>
      <xdr:rowOff>116714</xdr:rowOff>
    </xdr:to>
    <xdr:grpSp>
      <xdr:nvGrpSpPr>
        <xdr:cNvPr id="177" name="グループ化 8">
          <a:extLst>
            <a:ext uri="{FF2B5EF4-FFF2-40B4-BE49-F238E27FC236}">
              <a16:creationId xmlns:a16="http://schemas.microsoft.com/office/drawing/2014/main" id="{B56AC396-543C-296F-3A95-B661981BB5E5}"/>
            </a:ext>
          </a:extLst>
        </xdr:cNvPr>
        <xdr:cNvGrpSpPr/>
      </xdr:nvGrpSpPr>
      <xdr:grpSpPr>
        <a:xfrm>
          <a:off x="4735098" y="8087225"/>
          <a:ext cx="1001486" cy="554364"/>
          <a:chOff x="1653542" y="2416116"/>
          <a:chExt cx="908902" cy="420662"/>
        </a:xfrm>
      </xdr:grpSpPr>
      <xdr:sp macro="" textlink="">
        <xdr:nvSpPr>
          <xdr:cNvPr id="178" name="フローチャート: 定義済み処理 9">
            <a:extLst>
              <a:ext uri="{FF2B5EF4-FFF2-40B4-BE49-F238E27FC236}">
                <a16:creationId xmlns:a16="http://schemas.microsoft.com/office/drawing/2014/main" id="{51ED0A74-0BE3-6AF5-D258-4785E49E27C1}"/>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9" name="正方形/長方形 48">
            <a:extLst>
              <a:ext uri="{FF2B5EF4-FFF2-40B4-BE49-F238E27FC236}">
                <a16:creationId xmlns:a16="http://schemas.microsoft.com/office/drawing/2014/main" id="{91470966-B47C-7DAD-32D1-5C48E8BB97D3}"/>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5.</a:t>
            </a:r>
            <a:r>
              <a:rPr kumimoji="1" lang="ja-JP" altLang="en-US" sz="900"/>
              <a:t>不要な</a:t>
            </a:r>
            <a:endParaRPr kumimoji="1" lang="en-US" altLang="ja-JP" sz="900"/>
          </a:p>
          <a:p>
            <a:pPr algn="ctr"/>
            <a:r>
              <a:rPr kumimoji="1" lang="ja-JP" altLang="en-US" sz="900"/>
              <a:t>帳簿の削除</a:t>
            </a:r>
          </a:p>
        </xdr:txBody>
      </xdr:sp>
    </xdr:grpSp>
    <xdr:clientData/>
  </xdr:twoCellAnchor>
  <xdr:twoCellAnchor>
    <xdr:from>
      <xdr:col>28</xdr:col>
      <xdr:colOff>179570</xdr:colOff>
      <xdr:row>42</xdr:row>
      <xdr:rowOff>25732</xdr:rowOff>
    </xdr:from>
    <xdr:to>
      <xdr:col>28</xdr:col>
      <xdr:colOff>181479</xdr:colOff>
      <xdr:row>45</xdr:row>
      <xdr:rowOff>138357</xdr:rowOff>
    </xdr:to>
    <xdr:cxnSp macro="">
      <xdr:nvCxnSpPr>
        <xdr:cNvPr id="180" name="直線矢印コネクタ 179">
          <a:extLst>
            <a:ext uri="{FF2B5EF4-FFF2-40B4-BE49-F238E27FC236}">
              <a16:creationId xmlns:a16="http://schemas.microsoft.com/office/drawing/2014/main" id="{23396397-0B84-45D9-A173-3F3D55CFB12D}"/>
            </a:ext>
          </a:extLst>
        </xdr:cNvPr>
        <xdr:cNvCxnSpPr>
          <a:stCxn id="173" idx="2"/>
          <a:endCxn id="178" idx="0"/>
        </xdr:cNvCxnSpPr>
      </xdr:nvCxnSpPr>
      <xdr:spPr>
        <a:xfrm>
          <a:off x="5846945" y="7121857"/>
          <a:ext cx="1909" cy="61268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55218</xdr:colOff>
      <xdr:row>45</xdr:row>
      <xdr:rowOff>110436</xdr:rowOff>
    </xdr:from>
    <xdr:to>
      <xdr:col>44</xdr:col>
      <xdr:colOff>183233</xdr:colOff>
      <xdr:row>49</xdr:row>
      <xdr:rowOff>13665</xdr:rowOff>
    </xdr:to>
    <xdr:grpSp>
      <xdr:nvGrpSpPr>
        <xdr:cNvPr id="183" name="グループ化 182">
          <a:extLst>
            <a:ext uri="{FF2B5EF4-FFF2-40B4-BE49-F238E27FC236}">
              <a16:creationId xmlns:a16="http://schemas.microsoft.com/office/drawing/2014/main" id="{04B3F16B-FC8F-4350-8401-A8E99EC5860B}"/>
            </a:ext>
          </a:extLst>
        </xdr:cNvPr>
        <xdr:cNvGrpSpPr>
          <a:grpSpLocks noChangeAspect="1"/>
        </xdr:cNvGrpSpPr>
      </xdr:nvGrpSpPr>
      <xdr:grpSpPr>
        <a:xfrm>
          <a:off x="7294218" y="8111436"/>
          <a:ext cx="851915" cy="598554"/>
          <a:chOff x="7112003" y="2892425"/>
          <a:chExt cx="873125" cy="584984"/>
        </a:xfrm>
      </xdr:grpSpPr>
      <xdr:sp macro="" textlink="">
        <xdr:nvSpPr>
          <xdr:cNvPr id="184" name="フローチャート: 磁気ディスク 183">
            <a:extLst>
              <a:ext uri="{FF2B5EF4-FFF2-40B4-BE49-F238E27FC236}">
                <a16:creationId xmlns:a16="http://schemas.microsoft.com/office/drawing/2014/main" id="{8919C81F-05A2-2B17-5E70-F709CAD4632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185" name="正方形/長方形 184">
            <a:extLst>
              <a:ext uri="{FF2B5EF4-FFF2-40B4-BE49-F238E27FC236}">
                <a16:creationId xmlns:a16="http://schemas.microsoft.com/office/drawing/2014/main" id="{B10A674C-40CB-A450-CB1D-0D97204BD17B}"/>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（マスタ）</a:t>
            </a:r>
          </a:p>
        </xdr:txBody>
      </xdr:sp>
    </xdr:grpSp>
    <xdr:clientData/>
  </xdr:twoCellAnchor>
  <xdr:twoCellAnchor>
    <xdr:from>
      <xdr:col>31</xdr:col>
      <xdr:colOff>73843</xdr:colOff>
      <xdr:row>47</xdr:row>
      <xdr:rowOff>35292</xdr:rowOff>
    </xdr:from>
    <xdr:to>
      <xdr:col>40</xdr:col>
      <xdr:colOff>153758</xdr:colOff>
      <xdr:row>47</xdr:row>
      <xdr:rowOff>41242</xdr:rowOff>
    </xdr:to>
    <xdr:cxnSp macro="">
      <xdr:nvCxnSpPr>
        <xdr:cNvPr id="186" name="直線矢印コネクタ 185">
          <a:extLst>
            <a:ext uri="{FF2B5EF4-FFF2-40B4-BE49-F238E27FC236}">
              <a16:creationId xmlns:a16="http://schemas.microsoft.com/office/drawing/2014/main" id="{B190422D-F4B3-4EB9-8695-464B13E394D8}"/>
            </a:ext>
          </a:extLst>
        </xdr:cNvPr>
        <xdr:cNvCxnSpPr>
          <a:stCxn id="178" idx="3"/>
          <a:endCxn id="184" idx="2"/>
        </xdr:cNvCxnSpPr>
      </xdr:nvCxnSpPr>
      <xdr:spPr>
        <a:xfrm flipV="1">
          <a:off x="6348437" y="7964855"/>
          <a:ext cx="1901571" cy="595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179257</xdr:colOff>
      <xdr:row>48</xdr:row>
      <xdr:rowOff>116714</xdr:rowOff>
    </xdr:from>
    <xdr:to>
      <xdr:col>28</xdr:col>
      <xdr:colOff>183228</xdr:colOff>
      <xdr:row>55</xdr:row>
      <xdr:rowOff>73597</xdr:rowOff>
    </xdr:to>
    <xdr:cxnSp macro="">
      <xdr:nvCxnSpPr>
        <xdr:cNvPr id="189" name="直線矢印コネクタ 188">
          <a:extLst>
            <a:ext uri="{FF2B5EF4-FFF2-40B4-BE49-F238E27FC236}">
              <a16:creationId xmlns:a16="http://schemas.microsoft.com/office/drawing/2014/main" id="{6BE93404-3968-473A-818E-223313D7683D}"/>
            </a:ext>
          </a:extLst>
        </xdr:cNvPr>
        <xdr:cNvCxnSpPr>
          <a:stCxn id="179" idx="2"/>
          <a:endCxn id="201" idx="0"/>
        </xdr:cNvCxnSpPr>
      </xdr:nvCxnSpPr>
      <xdr:spPr>
        <a:xfrm>
          <a:off x="5846632" y="8212964"/>
          <a:ext cx="3971" cy="112369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52453</xdr:colOff>
      <xdr:row>40</xdr:row>
      <xdr:rowOff>41088</xdr:rowOff>
    </xdr:from>
    <xdr:to>
      <xdr:col>28</xdr:col>
      <xdr:colOff>183228</xdr:colOff>
      <xdr:row>55</xdr:row>
      <xdr:rowOff>73597</xdr:rowOff>
    </xdr:to>
    <xdr:cxnSp macro="">
      <xdr:nvCxnSpPr>
        <xdr:cNvPr id="192" name="コネクタ: カギ線 191">
          <a:extLst>
            <a:ext uri="{FF2B5EF4-FFF2-40B4-BE49-F238E27FC236}">
              <a16:creationId xmlns:a16="http://schemas.microsoft.com/office/drawing/2014/main" id="{21194C28-2940-4CD2-9862-9D9A07ECEDB3}"/>
            </a:ext>
          </a:extLst>
        </xdr:cNvPr>
        <xdr:cNvCxnSpPr>
          <a:stCxn id="173" idx="1"/>
          <a:endCxn id="201" idx="0"/>
        </xdr:cNvCxnSpPr>
      </xdr:nvCxnSpPr>
      <xdr:spPr>
        <a:xfrm rot="10800000" flipH="1" flipV="1">
          <a:off x="5112609" y="6803838"/>
          <a:ext cx="737994" cy="2532822"/>
        </a:xfrm>
        <a:prstGeom prst="bentConnector4">
          <a:avLst>
            <a:gd name="adj1" fmla="val -30976"/>
            <a:gd name="adj2" fmla="val 6897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23119</xdr:colOff>
      <xdr:row>39</xdr:row>
      <xdr:rowOff>389</xdr:rowOff>
    </xdr:from>
    <xdr:to>
      <xdr:col>24</xdr:col>
      <xdr:colOff>145735</xdr:colOff>
      <xdr:row>40</xdr:row>
      <xdr:rowOff>27662</xdr:rowOff>
    </xdr:to>
    <xdr:sp macro="" textlink="">
      <xdr:nvSpPr>
        <xdr:cNvPr id="4" name="テキスト ボックス 195">
          <a:extLst>
            <a:ext uri="{FF2B5EF4-FFF2-40B4-BE49-F238E27FC236}">
              <a16:creationId xmlns:a16="http://schemas.microsoft.com/office/drawing/2014/main" id="{42281C9F-6A39-429C-871B-86FEC1D5F24C}"/>
            </a:ext>
          </a:extLst>
        </xdr:cNvPr>
        <xdr:cNvSpPr txBox="1"/>
      </xdr:nvSpPr>
      <xdr:spPr>
        <a:xfrm>
          <a:off x="4476057" y="6596452"/>
          <a:ext cx="527428" cy="193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28</xdr:col>
      <xdr:colOff>144946</xdr:colOff>
      <xdr:row>42</xdr:row>
      <xdr:rowOff>48315</xdr:rowOff>
    </xdr:from>
    <xdr:to>
      <xdr:col>31</xdr:col>
      <xdr:colOff>37422</xdr:colOff>
      <xdr:row>43</xdr:row>
      <xdr:rowOff>53304</xdr:rowOff>
    </xdr:to>
    <xdr:sp macro="" textlink="">
      <xdr:nvSpPr>
        <xdr:cNvPr id="197" name="テキスト ボックス 196">
          <a:extLst>
            <a:ext uri="{FF2B5EF4-FFF2-40B4-BE49-F238E27FC236}">
              <a16:creationId xmlns:a16="http://schemas.microsoft.com/office/drawing/2014/main" id="{E019D504-F28E-4197-8FBE-F5480D8F5281}"/>
            </a:ext>
          </a:extLst>
        </xdr:cNvPr>
        <xdr:cNvSpPr txBox="1"/>
      </xdr:nvSpPr>
      <xdr:spPr>
        <a:xfrm>
          <a:off x="4348370" y="9269619"/>
          <a:ext cx="492965" cy="177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26</xdr:col>
      <xdr:colOff>36029</xdr:colOff>
      <xdr:row>55</xdr:row>
      <xdr:rowOff>57656</xdr:rowOff>
    </xdr:from>
    <xdr:to>
      <xdr:col>31</xdr:col>
      <xdr:colOff>135223</xdr:colOff>
      <xdr:row>58</xdr:row>
      <xdr:rowOff>82948</xdr:rowOff>
    </xdr:to>
    <xdr:grpSp>
      <xdr:nvGrpSpPr>
        <xdr:cNvPr id="200" name="グループ化 8">
          <a:extLst>
            <a:ext uri="{FF2B5EF4-FFF2-40B4-BE49-F238E27FC236}">
              <a16:creationId xmlns:a16="http://schemas.microsoft.com/office/drawing/2014/main" id="{A547F202-026C-430C-A0E9-C131D250B2B8}"/>
            </a:ext>
          </a:extLst>
        </xdr:cNvPr>
        <xdr:cNvGrpSpPr/>
      </xdr:nvGrpSpPr>
      <xdr:grpSpPr>
        <a:xfrm>
          <a:off x="4741379" y="9839831"/>
          <a:ext cx="1004069" cy="539642"/>
          <a:chOff x="1658310" y="2444762"/>
          <a:chExt cx="908902" cy="420662"/>
        </a:xfrm>
      </xdr:grpSpPr>
      <xdr:sp macro="" textlink="">
        <xdr:nvSpPr>
          <xdr:cNvPr id="201" name="フローチャート: 定義済み処理 9">
            <a:extLst>
              <a:ext uri="{FF2B5EF4-FFF2-40B4-BE49-F238E27FC236}">
                <a16:creationId xmlns:a16="http://schemas.microsoft.com/office/drawing/2014/main" id="{3902F5CE-650C-DCE4-7C2E-4D71211AB0C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2" name="正方形/長方形 48">
            <a:extLst>
              <a:ext uri="{FF2B5EF4-FFF2-40B4-BE49-F238E27FC236}">
                <a16:creationId xmlns:a16="http://schemas.microsoft.com/office/drawing/2014/main" id="{475533FB-A330-D8B9-A3BE-7933A9C31D26}"/>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6.</a:t>
            </a:r>
            <a:r>
              <a:rPr kumimoji="1" lang="ja-JP" altLang="en-US" sz="900">
                <a:solidFill>
                  <a:schemeClr val="dk1"/>
                </a:solidFill>
                <a:effectLst/>
                <a:latin typeface="+mn-lt"/>
                <a:ea typeface="+mn-ea"/>
                <a:cs typeface="+mn-cs"/>
              </a:rPr>
              <a:t>支払スケジュール確定処理</a:t>
            </a:r>
            <a:endParaRPr kumimoji="1" lang="ja-JP" altLang="en-US" sz="900"/>
          </a:p>
        </xdr:txBody>
      </xdr:sp>
    </xdr:grpSp>
    <xdr:clientData/>
  </xdr:twoCellAnchor>
  <xdr:twoCellAnchor>
    <xdr:from>
      <xdr:col>40</xdr:col>
      <xdr:colOff>85450</xdr:colOff>
      <xdr:row>55</xdr:row>
      <xdr:rowOff>36671</xdr:rowOff>
    </xdr:from>
    <xdr:to>
      <xdr:col>45</xdr:col>
      <xdr:colOff>30109</xdr:colOff>
      <xdr:row>58</xdr:row>
      <xdr:rowOff>121980</xdr:rowOff>
    </xdr:to>
    <xdr:grpSp>
      <xdr:nvGrpSpPr>
        <xdr:cNvPr id="203" name="グループ化 202">
          <a:extLst>
            <a:ext uri="{FF2B5EF4-FFF2-40B4-BE49-F238E27FC236}">
              <a16:creationId xmlns:a16="http://schemas.microsoft.com/office/drawing/2014/main" id="{0B1DC3F7-1DEF-47EF-8025-CB2E72E3EE5D}"/>
            </a:ext>
          </a:extLst>
        </xdr:cNvPr>
        <xdr:cNvGrpSpPr>
          <a:grpSpLocks noChangeAspect="1"/>
        </xdr:cNvGrpSpPr>
      </xdr:nvGrpSpPr>
      <xdr:grpSpPr>
        <a:xfrm>
          <a:off x="7324450" y="9818846"/>
          <a:ext cx="849534" cy="599659"/>
          <a:chOff x="7112003" y="2892425"/>
          <a:chExt cx="873125" cy="584984"/>
        </a:xfrm>
      </xdr:grpSpPr>
      <xdr:sp macro="" textlink="">
        <xdr:nvSpPr>
          <xdr:cNvPr id="204" name="フローチャート: 磁気ディスク 203">
            <a:extLst>
              <a:ext uri="{FF2B5EF4-FFF2-40B4-BE49-F238E27FC236}">
                <a16:creationId xmlns:a16="http://schemas.microsoft.com/office/drawing/2014/main" id="{79B021B9-A38D-6796-6C18-944C648A099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05" name="正方形/長方形 204">
            <a:extLst>
              <a:ext uri="{FF2B5EF4-FFF2-40B4-BE49-F238E27FC236}">
                <a16:creationId xmlns:a16="http://schemas.microsoft.com/office/drawing/2014/main" id="{0A4F807E-52BA-E284-EBCD-DC6E9541311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確認バッチ</a:t>
            </a:r>
          </a:p>
        </xdr:txBody>
      </xdr:sp>
    </xdr:grpSp>
    <xdr:clientData/>
  </xdr:twoCellAnchor>
  <xdr:twoCellAnchor>
    <xdr:from>
      <xdr:col>31</xdr:col>
      <xdr:colOff>76756</xdr:colOff>
      <xdr:row>56</xdr:row>
      <xdr:rowOff>141624</xdr:rowOff>
    </xdr:from>
    <xdr:to>
      <xdr:col>40</xdr:col>
      <xdr:colOff>183159</xdr:colOff>
      <xdr:row>56</xdr:row>
      <xdr:rowOff>145445</xdr:rowOff>
    </xdr:to>
    <xdr:cxnSp macro="">
      <xdr:nvCxnSpPr>
        <xdr:cNvPr id="210" name="直線矢印コネクタ 209">
          <a:extLst>
            <a:ext uri="{FF2B5EF4-FFF2-40B4-BE49-F238E27FC236}">
              <a16:creationId xmlns:a16="http://schemas.microsoft.com/office/drawing/2014/main" id="{AB0A3077-E7E2-4B12-BC9F-9A4EDCD303B8}"/>
            </a:ext>
          </a:extLst>
        </xdr:cNvPr>
        <xdr:cNvCxnSpPr>
          <a:stCxn id="201" idx="3"/>
          <a:endCxn id="204" idx="2"/>
        </xdr:cNvCxnSpPr>
      </xdr:nvCxnSpPr>
      <xdr:spPr>
        <a:xfrm flipV="1">
          <a:off x="6277531" y="9828549"/>
          <a:ext cx="1906628" cy="3821"/>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39205</xdr:colOff>
      <xdr:row>61</xdr:row>
      <xdr:rowOff>161925</xdr:rowOff>
    </xdr:from>
    <xdr:to>
      <xdr:col>31</xdr:col>
      <xdr:colOff>132503</xdr:colOff>
      <xdr:row>65</xdr:row>
      <xdr:rowOff>16685</xdr:rowOff>
    </xdr:to>
    <xdr:grpSp>
      <xdr:nvGrpSpPr>
        <xdr:cNvPr id="214" name="グループ化 8">
          <a:extLst>
            <a:ext uri="{FF2B5EF4-FFF2-40B4-BE49-F238E27FC236}">
              <a16:creationId xmlns:a16="http://schemas.microsoft.com/office/drawing/2014/main" id="{6EC8FDDD-EDA9-E297-C581-833699A0BFB8}"/>
            </a:ext>
          </a:extLst>
        </xdr:cNvPr>
        <xdr:cNvGrpSpPr/>
      </xdr:nvGrpSpPr>
      <xdr:grpSpPr>
        <a:xfrm>
          <a:off x="4744555" y="10972800"/>
          <a:ext cx="998173" cy="540560"/>
          <a:chOff x="1653542" y="2416116"/>
          <a:chExt cx="908902" cy="420662"/>
        </a:xfrm>
      </xdr:grpSpPr>
      <xdr:sp macro="" textlink="">
        <xdr:nvSpPr>
          <xdr:cNvPr id="215" name="フローチャート: 定義済み処理 9">
            <a:extLst>
              <a:ext uri="{FF2B5EF4-FFF2-40B4-BE49-F238E27FC236}">
                <a16:creationId xmlns:a16="http://schemas.microsoft.com/office/drawing/2014/main" id="{7AB479F3-82A6-C567-D680-2D5551E957BD}"/>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16" name="正方形/長方形 48">
            <a:extLst>
              <a:ext uri="{FF2B5EF4-FFF2-40B4-BE49-F238E27FC236}">
                <a16:creationId xmlns:a16="http://schemas.microsoft.com/office/drawing/2014/main" id="{15C5378B-CC2B-9964-9854-0C5BDD7835D6}"/>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7.</a:t>
            </a:r>
            <a:r>
              <a:rPr kumimoji="1" lang="ja-JP" altLang="en-US" sz="900">
                <a:solidFill>
                  <a:schemeClr val="dk1"/>
                </a:solidFill>
                <a:effectLst/>
                <a:latin typeface="+mn-lt"/>
                <a:ea typeface="+mn-ea"/>
                <a:cs typeface="+mn-cs"/>
              </a:rPr>
              <a:t>初期認識</a:t>
            </a:r>
            <a:endParaRPr kumimoji="1" lang="ja-JP" altLang="en-US" sz="900"/>
          </a:p>
        </xdr:txBody>
      </xdr:sp>
    </xdr:grpSp>
    <xdr:clientData/>
  </xdr:twoCellAnchor>
  <xdr:twoCellAnchor>
    <xdr:from>
      <xdr:col>40</xdr:col>
      <xdr:colOff>71163</xdr:colOff>
      <xdr:row>62</xdr:row>
      <xdr:rowOff>3504</xdr:rowOff>
    </xdr:from>
    <xdr:to>
      <xdr:col>44</xdr:col>
      <xdr:colOff>199178</xdr:colOff>
      <xdr:row>65</xdr:row>
      <xdr:rowOff>79288</xdr:rowOff>
    </xdr:to>
    <xdr:grpSp>
      <xdr:nvGrpSpPr>
        <xdr:cNvPr id="217" name="グループ化 216">
          <a:extLst>
            <a:ext uri="{FF2B5EF4-FFF2-40B4-BE49-F238E27FC236}">
              <a16:creationId xmlns:a16="http://schemas.microsoft.com/office/drawing/2014/main" id="{4E6A8076-52DC-EB0B-E161-950F3FF090BC}"/>
            </a:ext>
          </a:extLst>
        </xdr:cNvPr>
        <xdr:cNvGrpSpPr>
          <a:grpSpLocks noChangeAspect="1"/>
        </xdr:cNvGrpSpPr>
      </xdr:nvGrpSpPr>
      <xdr:grpSpPr>
        <a:xfrm>
          <a:off x="7310163" y="10985829"/>
          <a:ext cx="832865" cy="590134"/>
          <a:chOff x="7112003" y="2892425"/>
          <a:chExt cx="873125" cy="584984"/>
        </a:xfrm>
      </xdr:grpSpPr>
      <xdr:sp macro="" textlink="">
        <xdr:nvSpPr>
          <xdr:cNvPr id="218" name="フローチャート: 磁気ディスク 217">
            <a:extLst>
              <a:ext uri="{FF2B5EF4-FFF2-40B4-BE49-F238E27FC236}">
                <a16:creationId xmlns:a16="http://schemas.microsoft.com/office/drawing/2014/main" id="{988B96E9-5483-CAF2-29CF-33F540E2AA2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19" name="正方形/長方形 218">
            <a:extLst>
              <a:ext uri="{FF2B5EF4-FFF2-40B4-BE49-F238E27FC236}">
                <a16:creationId xmlns:a16="http://schemas.microsoft.com/office/drawing/2014/main" id="{5B4B7C17-173B-005C-CE85-89D366AC7E4D}"/>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83883</xdr:colOff>
      <xdr:row>63</xdr:row>
      <xdr:rowOff>107598</xdr:rowOff>
    </xdr:from>
    <xdr:to>
      <xdr:col>40</xdr:col>
      <xdr:colOff>163353</xdr:colOff>
      <xdr:row>63</xdr:row>
      <xdr:rowOff>112857</xdr:rowOff>
    </xdr:to>
    <xdr:cxnSp macro="">
      <xdr:nvCxnSpPr>
        <xdr:cNvPr id="220" name="直線矢印コネクタ 219">
          <a:extLst>
            <a:ext uri="{FF2B5EF4-FFF2-40B4-BE49-F238E27FC236}">
              <a16:creationId xmlns:a16="http://schemas.microsoft.com/office/drawing/2014/main" id="{57163B19-4B8A-54EA-E360-67B8A41AE362}"/>
            </a:ext>
          </a:extLst>
        </xdr:cNvPr>
        <xdr:cNvCxnSpPr>
          <a:stCxn id="215" idx="3"/>
          <a:endCxn id="218" idx="2"/>
        </xdr:cNvCxnSpPr>
      </xdr:nvCxnSpPr>
      <xdr:spPr>
        <a:xfrm flipV="1">
          <a:off x="6284658" y="10994673"/>
          <a:ext cx="1879695" cy="525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182076</xdr:colOff>
      <xdr:row>58</xdr:row>
      <xdr:rowOff>40196</xdr:rowOff>
    </xdr:from>
    <xdr:to>
      <xdr:col>28</xdr:col>
      <xdr:colOff>188058</xdr:colOff>
      <xdr:row>62</xdr:row>
      <xdr:rowOff>43590</xdr:rowOff>
    </xdr:to>
    <xdr:cxnSp macro="">
      <xdr:nvCxnSpPr>
        <xdr:cNvPr id="221" name="直線矢印コネクタ 220">
          <a:extLst>
            <a:ext uri="{FF2B5EF4-FFF2-40B4-BE49-F238E27FC236}">
              <a16:creationId xmlns:a16="http://schemas.microsoft.com/office/drawing/2014/main" id="{0934B9BC-DA41-49D5-A6DA-CDFDFDB6D5FA}"/>
            </a:ext>
          </a:extLst>
        </xdr:cNvPr>
        <xdr:cNvCxnSpPr>
          <a:stCxn id="201" idx="2"/>
          <a:endCxn id="215" idx="0"/>
        </xdr:cNvCxnSpPr>
      </xdr:nvCxnSpPr>
      <xdr:spPr>
        <a:xfrm>
          <a:off x="4382601" y="10070021"/>
          <a:ext cx="5982" cy="68919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39205</xdr:colOff>
      <xdr:row>68</xdr:row>
      <xdr:rowOff>96631</xdr:rowOff>
    </xdr:from>
    <xdr:to>
      <xdr:col>31</xdr:col>
      <xdr:colOff>132503</xdr:colOff>
      <xdr:row>71</xdr:row>
      <xdr:rowOff>123945</xdr:rowOff>
    </xdr:to>
    <xdr:grpSp>
      <xdr:nvGrpSpPr>
        <xdr:cNvPr id="225" name="グループ化 8">
          <a:extLst>
            <a:ext uri="{FF2B5EF4-FFF2-40B4-BE49-F238E27FC236}">
              <a16:creationId xmlns:a16="http://schemas.microsoft.com/office/drawing/2014/main" id="{732F3399-C2AF-7A76-EAED-1211B3DE4059}"/>
            </a:ext>
          </a:extLst>
        </xdr:cNvPr>
        <xdr:cNvGrpSpPr/>
      </xdr:nvGrpSpPr>
      <xdr:grpSpPr>
        <a:xfrm>
          <a:off x="4744555" y="12107656"/>
          <a:ext cx="998173" cy="541664"/>
          <a:chOff x="1653542" y="2416116"/>
          <a:chExt cx="908902" cy="420662"/>
        </a:xfrm>
      </xdr:grpSpPr>
      <xdr:sp macro="" textlink="">
        <xdr:nvSpPr>
          <xdr:cNvPr id="226" name="フローチャート: 定義済み処理 9">
            <a:extLst>
              <a:ext uri="{FF2B5EF4-FFF2-40B4-BE49-F238E27FC236}">
                <a16:creationId xmlns:a16="http://schemas.microsoft.com/office/drawing/2014/main" id="{972F817A-7923-DC8C-6FE2-BDC8355C6D8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27" name="正方形/長方形 48">
            <a:extLst>
              <a:ext uri="{FF2B5EF4-FFF2-40B4-BE49-F238E27FC236}">
                <a16:creationId xmlns:a16="http://schemas.microsoft.com/office/drawing/2014/main" id="{01EBFF4C-7730-5648-B4EF-D5412F656A26}"/>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8.</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仕訳の承認依頼</a:t>
            </a:r>
            <a:endParaRPr kumimoji="1" lang="ja-JP" altLang="en-US" sz="900"/>
          </a:p>
        </xdr:txBody>
      </xdr:sp>
    </xdr:grpSp>
    <xdr:clientData/>
  </xdr:twoCellAnchor>
  <xdr:twoCellAnchor>
    <xdr:from>
      <xdr:col>31</xdr:col>
      <xdr:colOff>83319</xdr:colOff>
      <xdr:row>70</xdr:row>
      <xdr:rowOff>44652</xdr:rowOff>
    </xdr:from>
    <xdr:to>
      <xdr:col>40</xdr:col>
      <xdr:colOff>145563</xdr:colOff>
      <xdr:row>70</xdr:row>
      <xdr:rowOff>45022</xdr:rowOff>
    </xdr:to>
    <xdr:cxnSp macro="">
      <xdr:nvCxnSpPr>
        <xdr:cNvPr id="231" name="直線矢印コネクタ 230">
          <a:extLst>
            <a:ext uri="{FF2B5EF4-FFF2-40B4-BE49-F238E27FC236}">
              <a16:creationId xmlns:a16="http://schemas.microsoft.com/office/drawing/2014/main" id="{0B098F34-4D4A-9A80-0D21-B114EEA12F97}"/>
            </a:ext>
          </a:extLst>
        </xdr:cNvPr>
        <xdr:cNvCxnSpPr>
          <a:stCxn id="226" idx="3"/>
          <a:endCxn id="236" idx="2"/>
        </xdr:cNvCxnSpPr>
      </xdr:nvCxnSpPr>
      <xdr:spPr>
        <a:xfrm flipV="1">
          <a:off x="6284094" y="12131877"/>
          <a:ext cx="1862469" cy="3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188058</xdr:colOff>
      <xdr:row>65</xdr:row>
      <xdr:rowOff>10674</xdr:rowOff>
    </xdr:from>
    <xdr:to>
      <xdr:col>28</xdr:col>
      <xdr:colOff>188058</xdr:colOff>
      <xdr:row>68</xdr:row>
      <xdr:rowOff>149855</xdr:rowOff>
    </xdr:to>
    <xdr:cxnSp macro="">
      <xdr:nvCxnSpPr>
        <xdr:cNvPr id="232" name="直線矢印コネクタ 231">
          <a:extLst>
            <a:ext uri="{FF2B5EF4-FFF2-40B4-BE49-F238E27FC236}">
              <a16:creationId xmlns:a16="http://schemas.microsoft.com/office/drawing/2014/main" id="{E4D0A545-2908-4193-B539-7092A80211C3}"/>
            </a:ext>
          </a:extLst>
        </xdr:cNvPr>
        <xdr:cNvCxnSpPr>
          <a:stCxn id="215" idx="2"/>
          <a:endCxn id="226" idx="0"/>
        </xdr:cNvCxnSpPr>
      </xdr:nvCxnSpPr>
      <xdr:spPr>
        <a:xfrm>
          <a:off x="4388583" y="11240649"/>
          <a:ext cx="0" cy="653531"/>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55460</xdr:colOff>
      <xdr:row>68</xdr:row>
      <xdr:rowOff>122742</xdr:rowOff>
    </xdr:from>
    <xdr:to>
      <xdr:col>44</xdr:col>
      <xdr:colOff>183475</xdr:colOff>
      <xdr:row>71</xdr:row>
      <xdr:rowOff>162496</xdr:rowOff>
    </xdr:to>
    <xdr:grpSp>
      <xdr:nvGrpSpPr>
        <xdr:cNvPr id="235" name="グループ化 234">
          <a:extLst>
            <a:ext uri="{FF2B5EF4-FFF2-40B4-BE49-F238E27FC236}">
              <a16:creationId xmlns:a16="http://schemas.microsoft.com/office/drawing/2014/main" id="{B05B9429-165D-2129-D4B5-CCE87D825EFF}"/>
            </a:ext>
          </a:extLst>
        </xdr:cNvPr>
        <xdr:cNvGrpSpPr>
          <a:grpSpLocks noChangeAspect="1"/>
        </xdr:cNvGrpSpPr>
      </xdr:nvGrpSpPr>
      <xdr:grpSpPr>
        <a:xfrm>
          <a:off x="7294460" y="12133767"/>
          <a:ext cx="851915" cy="554104"/>
          <a:chOff x="7123128" y="2892425"/>
          <a:chExt cx="873125" cy="560343"/>
        </a:xfrm>
      </xdr:grpSpPr>
      <xdr:sp macro="" textlink="">
        <xdr:nvSpPr>
          <xdr:cNvPr id="236" name="フローチャート: 磁気ディスク 235">
            <a:extLst>
              <a:ext uri="{FF2B5EF4-FFF2-40B4-BE49-F238E27FC236}">
                <a16:creationId xmlns:a16="http://schemas.microsoft.com/office/drawing/2014/main" id="{24901B35-D138-E723-4611-221ADAF5DA1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37" name="正方形/長方形 236">
            <a:extLst>
              <a:ext uri="{FF2B5EF4-FFF2-40B4-BE49-F238E27FC236}">
                <a16:creationId xmlns:a16="http://schemas.microsoft.com/office/drawing/2014/main" id="{70C50B67-2A2A-4EE9-DC41-FEF794671894}"/>
              </a:ext>
            </a:extLst>
          </xdr:cNvPr>
          <xdr:cNvSpPr/>
        </xdr:nvSpPr>
        <xdr:spPr>
          <a:xfrm>
            <a:off x="7123128" y="2947161"/>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33</xdr:col>
      <xdr:colOff>2</xdr:colOff>
      <xdr:row>78</xdr:row>
      <xdr:rowOff>13806</xdr:rowOff>
    </xdr:from>
    <xdr:to>
      <xdr:col>38</xdr:col>
      <xdr:colOff>93438</xdr:colOff>
      <xdr:row>81</xdr:row>
      <xdr:rowOff>44295</xdr:rowOff>
    </xdr:to>
    <xdr:grpSp>
      <xdr:nvGrpSpPr>
        <xdr:cNvPr id="242" name="グループ化 8">
          <a:extLst>
            <a:ext uri="{FF2B5EF4-FFF2-40B4-BE49-F238E27FC236}">
              <a16:creationId xmlns:a16="http://schemas.microsoft.com/office/drawing/2014/main" id="{A4DFE307-79B6-0F4B-C44D-D022CB2E7804}"/>
            </a:ext>
          </a:extLst>
        </xdr:cNvPr>
        <xdr:cNvGrpSpPr/>
      </xdr:nvGrpSpPr>
      <xdr:grpSpPr>
        <a:xfrm>
          <a:off x="5972177" y="13739331"/>
          <a:ext cx="998311" cy="544839"/>
          <a:chOff x="1653542" y="2416116"/>
          <a:chExt cx="908902" cy="420662"/>
        </a:xfrm>
      </xdr:grpSpPr>
      <xdr:sp macro="" textlink="">
        <xdr:nvSpPr>
          <xdr:cNvPr id="243" name="フローチャート: 定義済み処理 9">
            <a:extLst>
              <a:ext uri="{FF2B5EF4-FFF2-40B4-BE49-F238E27FC236}">
                <a16:creationId xmlns:a16="http://schemas.microsoft.com/office/drawing/2014/main" id="{75F6070E-F65E-4924-529B-AA972661B5CC}"/>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4" name="正方形/長方形 48">
            <a:extLst>
              <a:ext uri="{FF2B5EF4-FFF2-40B4-BE49-F238E27FC236}">
                <a16:creationId xmlns:a16="http://schemas.microsoft.com/office/drawing/2014/main" id="{9E6C7D8E-E841-A879-1917-983CB4788018}"/>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a:t>
            </a:r>
            <a:endParaRPr kumimoji="1" lang="ja-JP" altLang="en-US" sz="900"/>
          </a:p>
        </xdr:txBody>
      </xdr:sp>
    </xdr:grpSp>
    <xdr:clientData/>
  </xdr:twoCellAnchor>
  <xdr:twoCellAnchor>
    <xdr:from>
      <xdr:col>28</xdr:col>
      <xdr:colOff>188058</xdr:colOff>
      <xdr:row>71</xdr:row>
      <xdr:rowOff>117921</xdr:rowOff>
    </xdr:from>
    <xdr:to>
      <xdr:col>35</xdr:col>
      <xdr:colOff>148924</xdr:colOff>
      <xdr:row>78</xdr:row>
      <xdr:rowOff>64790</xdr:rowOff>
    </xdr:to>
    <xdr:cxnSp macro="">
      <xdr:nvCxnSpPr>
        <xdr:cNvPr id="246" name="コネクタ: カギ線 245">
          <a:extLst>
            <a:ext uri="{FF2B5EF4-FFF2-40B4-BE49-F238E27FC236}">
              <a16:creationId xmlns:a16="http://schemas.microsoft.com/office/drawing/2014/main" id="{304B15D5-A3F2-40ED-9988-EF024C6F515A}"/>
            </a:ext>
          </a:extLst>
        </xdr:cNvPr>
        <xdr:cNvCxnSpPr>
          <a:stCxn id="226" idx="2"/>
          <a:endCxn id="243" idx="0"/>
        </xdr:cNvCxnSpPr>
      </xdr:nvCxnSpPr>
      <xdr:spPr>
        <a:xfrm rot="16200000" flipH="1">
          <a:off x="4495594" y="12269585"/>
          <a:ext cx="1147019" cy="1361041"/>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104431</xdr:colOff>
      <xdr:row>78</xdr:row>
      <xdr:rowOff>41191</xdr:rowOff>
    </xdr:from>
    <xdr:to>
      <xdr:col>45</xdr:col>
      <xdr:colOff>38771</xdr:colOff>
      <xdr:row>81</xdr:row>
      <xdr:rowOff>116975</xdr:rowOff>
    </xdr:to>
    <xdr:grpSp>
      <xdr:nvGrpSpPr>
        <xdr:cNvPr id="249" name="グループ化 248">
          <a:extLst>
            <a:ext uri="{FF2B5EF4-FFF2-40B4-BE49-F238E27FC236}">
              <a16:creationId xmlns:a16="http://schemas.microsoft.com/office/drawing/2014/main" id="{7C7BA278-3D21-03B7-E62E-1E77E25ECE42}"/>
            </a:ext>
          </a:extLst>
        </xdr:cNvPr>
        <xdr:cNvGrpSpPr>
          <a:grpSpLocks noChangeAspect="1"/>
        </xdr:cNvGrpSpPr>
      </xdr:nvGrpSpPr>
      <xdr:grpSpPr>
        <a:xfrm>
          <a:off x="7343431" y="13766716"/>
          <a:ext cx="839215" cy="590134"/>
          <a:chOff x="7112003" y="2892425"/>
          <a:chExt cx="873125" cy="584984"/>
        </a:xfrm>
      </xdr:grpSpPr>
      <xdr:sp macro="" textlink="">
        <xdr:nvSpPr>
          <xdr:cNvPr id="250" name="フローチャート: 磁気ディスク 249">
            <a:extLst>
              <a:ext uri="{FF2B5EF4-FFF2-40B4-BE49-F238E27FC236}">
                <a16:creationId xmlns:a16="http://schemas.microsoft.com/office/drawing/2014/main" id="{2557806A-81F0-593D-9F48-80DDA0612A6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51" name="正方形/長方形 250">
            <a:extLst>
              <a:ext uri="{FF2B5EF4-FFF2-40B4-BE49-F238E27FC236}">
                <a16:creationId xmlns:a16="http://schemas.microsoft.com/office/drawing/2014/main" id="{EFB05C31-7FF5-474F-E9C5-81589DC4237C}"/>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資産リース仕訳</a:t>
            </a:r>
          </a:p>
        </xdr:txBody>
      </xdr:sp>
    </xdr:grpSp>
    <xdr:clientData/>
  </xdr:twoCellAnchor>
  <xdr:twoCellAnchor>
    <xdr:from>
      <xdr:col>38</xdr:col>
      <xdr:colOff>44811</xdr:colOff>
      <xdr:row>79</xdr:row>
      <xdr:rowOff>141966</xdr:rowOff>
    </xdr:from>
    <xdr:to>
      <xdr:col>41</xdr:col>
      <xdr:colOff>2946</xdr:colOff>
      <xdr:row>79</xdr:row>
      <xdr:rowOff>143566</xdr:rowOff>
    </xdr:to>
    <xdr:cxnSp macro="">
      <xdr:nvCxnSpPr>
        <xdr:cNvPr id="252" name="直線矢印コネクタ 251">
          <a:extLst>
            <a:ext uri="{FF2B5EF4-FFF2-40B4-BE49-F238E27FC236}">
              <a16:creationId xmlns:a16="http://schemas.microsoft.com/office/drawing/2014/main" id="{434D727D-7270-40E4-B45D-27DCE29AFD31}"/>
            </a:ext>
          </a:extLst>
        </xdr:cNvPr>
        <xdr:cNvCxnSpPr>
          <a:stCxn id="243" idx="3"/>
          <a:endCxn id="250" idx="2"/>
        </xdr:cNvCxnSpPr>
      </xdr:nvCxnSpPr>
      <xdr:spPr>
        <a:xfrm>
          <a:off x="7645761" y="13772241"/>
          <a:ext cx="558210" cy="160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10134</xdr:colOff>
      <xdr:row>104</xdr:row>
      <xdr:rowOff>17412</xdr:rowOff>
    </xdr:from>
    <xdr:to>
      <xdr:col>31</xdr:col>
      <xdr:colOff>95197</xdr:colOff>
      <xdr:row>107</xdr:row>
      <xdr:rowOff>46217</xdr:rowOff>
    </xdr:to>
    <xdr:grpSp>
      <xdr:nvGrpSpPr>
        <xdr:cNvPr id="259" name="グループ化 8">
          <a:extLst>
            <a:ext uri="{FF2B5EF4-FFF2-40B4-BE49-F238E27FC236}">
              <a16:creationId xmlns:a16="http://schemas.microsoft.com/office/drawing/2014/main" id="{B158DE02-97B8-A33B-B5C4-D750AA4ACD41}"/>
            </a:ext>
          </a:extLst>
        </xdr:cNvPr>
        <xdr:cNvGrpSpPr/>
      </xdr:nvGrpSpPr>
      <xdr:grpSpPr>
        <a:xfrm>
          <a:off x="4715484" y="18200637"/>
          <a:ext cx="989938" cy="543155"/>
          <a:chOff x="-76632" y="2422920"/>
          <a:chExt cx="908902" cy="422628"/>
        </a:xfrm>
      </xdr:grpSpPr>
      <xdr:sp macro="" textlink="">
        <xdr:nvSpPr>
          <xdr:cNvPr id="260" name="フローチャート: 定義済み処理 9">
            <a:extLst>
              <a:ext uri="{FF2B5EF4-FFF2-40B4-BE49-F238E27FC236}">
                <a16:creationId xmlns:a16="http://schemas.microsoft.com/office/drawing/2014/main" id="{95815440-A6C6-3925-E225-56D3A43F6EFF}"/>
              </a:ext>
            </a:extLst>
          </xdr:cNvPr>
          <xdr:cNvSpPr/>
        </xdr:nvSpPr>
        <xdr:spPr>
          <a:xfrm>
            <a:off x="-47158"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1" name="正方形/長方形 48">
            <a:extLst>
              <a:ext uri="{FF2B5EF4-FFF2-40B4-BE49-F238E27FC236}">
                <a16:creationId xmlns:a16="http://schemas.microsoft.com/office/drawing/2014/main" id="{192422A9-D193-87ED-FB58-F78B7F14B6A3}"/>
              </a:ext>
            </a:extLst>
          </xdr:cNvPr>
          <xdr:cNvSpPr/>
        </xdr:nvSpPr>
        <xdr:spPr>
          <a:xfrm>
            <a:off x="-76632" y="2422920"/>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支払仕訳</a:t>
            </a:r>
            <a:endParaRPr kumimoji="1" lang="en-US" altLang="ja-JP" sz="900"/>
          </a:p>
          <a:p>
            <a:pPr algn="ctr"/>
            <a:r>
              <a:rPr kumimoji="1" lang="ja-JP" altLang="en-US" sz="900"/>
              <a:t>作成・転記</a:t>
            </a:r>
          </a:p>
        </xdr:txBody>
      </xdr:sp>
    </xdr:grpSp>
    <xdr:clientData/>
  </xdr:twoCellAnchor>
  <xdr:twoCellAnchor>
    <xdr:from>
      <xdr:col>40</xdr:col>
      <xdr:colOff>98583</xdr:colOff>
      <xdr:row>104</xdr:row>
      <xdr:rowOff>34511</xdr:rowOff>
    </xdr:from>
    <xdr:to>
      <xdr:col>45</xdr:col>
      <xdr:colOff>26435</xdr:colOff>
      <xdr:row>107</xdr:row>
      <xdr:rowOff>110294</xdr:rowOff>
    </xdr:to>
    <xdr:grpSp>
      <xdr:nvGrpSpPr>
        <xdr:cNvPr id="265" name="グループ化 264">
          <a:extLst>
            <a:ext uri="{FF2B5EF4-FFF2-40B4-BE49-F238E27FC236}">
              <a16:creationId xmlns:a16="http://schemas.microsoft.com/office/drawing/2014/main" id="{7674374C-8042-45C1-873D-19F6B296AACE}"/>
            </a:ext>
          </a:extLst>
        </xdr:cNvPr>
        <xdr:cNvGrpSpPr>
          <a:grpSpLocks noChangeAspect="1"/>
        </xdr:cNvGrpSpPr>
      </xdr:nvGrpSpPr>
      <xdr:grpSpPr>
        <a:xfrm>
          <a:off x="7337583" y="18217736"/>
          <a:ext cx="832727" cy="590133"/>
          <a:chOff x="7112003" y="2892425"/>
          <a:chExt cx="873125" cy="584984"/>
        </a:xfrm>
      </xdr:grpSpPr>
      <xdr:sp macro="" textlink="">
        <xdr:nvSpPr>
          <xdr:cNvPr id="266" name="フローチャート: 磁気ディスク 265">
            <a:extLst>
              <a:ext uri="{FF2B5EF4-FFF2-40B4-BE49-F238E27FC236}">
                <a16:creationId xmlns:a16="http://schemas.microsoft.com/office/drawing/2014/main" id="{911F6BC4-1FE6-BE80-26CD-073507EA859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67" name="正方形/長方形 266">
            <a:extLst>
              <a:ext uri="{FF2B5EF4-FFF2-40B4-BE49-F238E27FC236}">
                <a16:creationId xmlns:a16="http://schemas.microsoft.com/office/drawing/2014/main" id="{587A488F-74CE-22BE-1F50-E716F3DDB91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26060</xdr:colOff>
      <xdr:row>105</xdr:row>
      <xdr:rowOff>129200</xdr:rowOff>
    </xdr:from>
    <xdr:to>
      <xdr:col>40</xdr:col>
      <xdr:colOff>196512</xdr:colOff>
      <xdr:row>105</xdr:row>
      <xdr:rowOff>134125</xdr:rowOff>
    </xdr:to>
    <xdr:cxnSp macro="">
      <xdr:nvCxnSpPr>
        <xdr:cNvPr id="268" name="直線矢印コネクタ 267">
          <a:extLst>
            <a:ext uri="{FF2B5EF4-FFF2-40B4-BE49-F238E27FC236}">
              <a16:creationId xmlns:a16="http://schemas.microsoft.com/office/drawing/2014/main" id="{313ECE5A-1A1B-4047-99FE-8EABF78312E7}"/>
            </a:ext>
          </a:extLst>
        </xdr:cNvPr>
        <xdr:cNvCxnSpPr>
          <a:stCxn id="260" idx="3"/>
          <a:endCxn id="266" idx="2"/>
        </xdr:cNvCxnSpPr>
      </xdr:nvCxnSpPr>
      <xdr:spPr>
        <a:xfrm>
          <a:off x="4829973" y="22982298"/>
          <a:ext cx="1971919" cy="492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31110</xdr:colOff>
      <xdr:row>125</xdr:row>
      <xdr:rowOff>144947</xdr:rowOff>
    </xdr:from>
    <xdr:to>
      <xdr:col>44</xdr:col>
      <xdr:colOff>159125</xdr:colOff>
      <xdr:row>129</xdr:row>
      <xdr:rowOff>48177</xdr:rowOff>
    </xdr:to>
    <xdr:grpSp>
      <xdr:nvGrpSpPr>
        <xdr:cNvPr id="270" name="グループ化 269">
          <a:extLst>
            <a:ext uri="{FF2B5EF4-FFF2-40B4-BE49-F238E27FC236}">
              <a16:creationId xmlns:a16="http://schemas.microsoft.com/office/drawing/2014/main" id="{7843FC02-59E8-4667-ADE2-317BA8F720EB}"/>
            </a:ext>
          </a:extLst>
        </xdr:cNvPr>
        <xdr:cNvGrpSpPr>
          <a:grpSpLocks noChangeAspect="1"/>
        </xdr:cNvGrpSpPr>
      </xdr:nvGrpSpPr>
      <xdr:grpSpPr>
        <a:xfrm>
          <a:off x="7270110" y="21928622"/>
          <a:ext cx="851915" cy="589030"/>
          <a:chOff x="7112003" y="2892425"/>
          <a:chExt cx="873125" cy="584984"/>
        </a:xfrm>
      </xdr:grpSpPr>
      <xdr:sp macro="" textlink="">
        <xdr:nvSpPr>
          <xdr:cNvPr id="271" name="フローチャート: 磁気ディスク 270">
            <a:extLst>
              <a:ext uri="{FF2B5EF4-FFF2-40B4-BE49-F238E27FC236}">
                <a16:creationId xmlns:a16="http://schemas.microsoft.com/office/drawing/2014/main" id="{2CC03D07-71D2-3F9F-2257-D590D8C0968D}"/>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72" name="正方形/長方形 271">
            <a:extLst>
              <a:ext uri="{FF2B5EF4-FFF2-40B4-BE49-F238E27FC236}">
                <a16:creationId xmlns:a16="http://schemas.microsoft.com/office/drawing/2014/main" id="{C6ADD6D4-971B-9D9D-8FB7-26FFA5813643}"/>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30</xdr:col>
      <xdr:colOff>187668</xdr:colOff>
      <xdr:row>127</xdr:row>
      <xdr:rowOff>62073</xdr:rowOff>
    </xdr:from>
    <xdr:to>
      <xdr:col>40</xdr:col>
      <xdr:colOff>129039</xdr:colOff>
      <xdr:row>127</xdr:row>
      <xdr:rowOff>72008</xdr:rowOff>
    </xdr:to>
    <xdr:cxnSp macro="">
      <xdr:nvCxnSpPr>
        <xdr:cNvPr id="273" name="直線矢印コネクタ 272">
          <a:extLst>
            <a:ext uri="{FF2B5EF4-FFF2-40B4-BE49-F238E27FC236}">
              <a16:creationId xmlns:a16="http://schemas.microsoft.com/office/drawing/2014/main" id="{D77EAA6D-A9E7-4B26-B129-A60FA0B56D63}"/>
            </a:ext>
          </a:extLst>
        </xdr:cNvPr>
        <xdr:cNvCxnSpPr>
          <a:stCxn id="43" idx="3"/>
          <a:endCxn id="271" idx="2"/>
        </xdr:cNvCxnSpPr>
      </xdr:nvCxnSpPr>
      <xdr:spPr>
        <a:xfrm>
          <a:off x="4791418" y="26193703"/>
          <a:ext cx="1943001" cy="993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171114</xdr:colOff>
      <xdr:row>142</xdr:row>
      <xdr:rowOff>13804</xdr:rowOff>
    </xdr:from>
    <xdr:to>
      <xdr:col>30</xdr:col>
      <xdr:colOff>79719</xdr:colOff>
      <xdr:row>143</xdr:row>
      <xdr:rowOff>118345</xdr:rowOff>
    </xdr:to>
    <xdr:sp macro="" textlink="">
      <xdr:nvSpPr>
        <xdr:cNvPr id="275" name="フローチャート: 端子 26">
          <a:extLst>
            <a:ext uri="{FF2B5EF4-FFF2-40B4-BE49-F238E27FC236}">
              <a16:creationId xmlns:a16="http://schemas.microsoft.com/office/drawing/2014/main" id="{2951E668-604A-4926-BA94-0343556F9032}"/>
            </a:ext>
          </a:extLst>
        </xdr:cNvPr>
        <xdr:cNvSpPr/>
      </xdr:nvSpPr>
      <xdr:spPr>
        <a:xfrm>
          <a:off x="3974212" y="28733750"/>
          <a:ext cx="709257" cy="2770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179457</xdr:colOff>
      <xdr:row>146</xdr:row>
      <xdr:rowOff>61481</xdr:rowOff>
    </xdr:from>
    <xdr:to>
      <xdr:col>31</xdr:col>
      <xdr:colOff>66612</xdr:colOff>
      <xdr:row>149</xdr:row>
      <xdr:rowOff>93462</xdr:rowOff>
    </xdr:to>
    <xdr:grpSp>
      <xdr:nvGrpSpPr>
        <xdr:cNvPr id="276" name="グループ化 8">
          <a:extLst>
            <a:ext uri="{FF2B5EF4-FFF2-40B4-BE49-F238E27FC236}">
              <a16:creationId xmlns:a16="http://schemas.microsoft.com/office/drawing/2014/main" id="{C10D2046-C411-4012-B29C-E0354388056A}"/>
            </a:ext>
          </a:extLst>
        </xdr:cNvPr>
        <xdr:cNvGrpSpPr/>
      </xdr:nvGrpSpPr>
      <xdr:grpSpPr>
        <a:xfrm>
          <a:off x="4703832" y="25445606"/>
          <a:ext cx="973005" cy="546331"/>
          <a:chOff x="1633113" y="2430783"/>
          <a:chExt cx="908902" cy="422628"/>
        </a:xfrm>
      </xdr:grpSpPr>
      <xdr:sp macro="" textlink="">
        <xdr:nvSpPr>
          <xdr:cNvPr id="277" name="フローチャート: 定義済み処理 9">
            <a:extLst>
              <a:ext uri="{FF2B5EF4-FFF2-40B4-BE49-F238E27FC236}">
                <a16:creationId xmlns:a16="http://schemas.microsoft.com/office/drawing/2014/main" id="{F0491F81-257C-6128-F518-62BB4FA4D7C6}"/>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78" name="正方形/長方形 48">
            <a:extLst>
              <a:ext uri="{FF2B5EF4-FFF2-40B4-BE49-F238E27FC236}">
                <a16:creationId xmlns:a16="http://schemas.microsoft.com/office/drawing/2014/main" id="{8E3111CF-1539-E7B8-DC60-E87764DCDA18}"/>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振替</a:t>
            </a:r>
            <a:r>
              <a:rPr kumimoji="1" lang="ja-JP" altLang="ja-JP" sz="900">
                <a:solidFill>
                  <a:schemeClr val="dk1"/>
                </a:solidFill>
                <a:effectLst/>
                <a:latin typeface="+mn-lt"/>
                <a:ea typeface="+mn-ea"/>
                <a:cs typeface="+mn-cs"/>
              </a:rPr>
              <a:t>仕訳</a:t>
            </a:r>
            <a:r>
              <a:rPr kumimoji="1" lang="ja-JP" altLang="en-US" sz="900">
                <a:solidFill>
                  <a:schemeClr val="dk1"/>
                </a:solidFill>
                <a:effectLst/>
                <a:latin typeface="+mn-lt"/>
                <a:ea typeface="+mn-ea"/>
                <a:cs typeface="+mn-cs"/>
              </a:rPr>
              <a:t>の</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作成・転記</a:t>
            </a:r>
            <a:endParaRPr kumimoji="1" lang="ja-JP" altLang="en-US" sz="900"/>
          </a:p>
        </xdr:txBody>
      </xdr:sp>
    </xdr:grpSp>
    <xdr:clientData/>
  </xdr:twoCellAnchor>
  <xdr:twoCellAnchor>
    <xdr:from>
      <xdr:col>26</xdr:col>
      <xdr:colOff>166041</xdr:colOff>
      <xdr:row>156</xdr:row>
      <xdr:rowOff>58099</xdr:rowOff>
    </xdr:from>
    <xdr:to>
      <xdr:col>30</xdr:col>
      <xdr:colOff>85773</xdr:colOff>
      <xdr:row>157</xdr:row>
      <xdr:rowOff>148034</xdr:rowOff>
    </xdr:to>
    <xdr:sp macro="" textlink="">
      <xdr:nvSpPr>
        <xdr:cNvPr id="279" name="フローチャート: 端子 26">
          <a:extLst>
            <a:ext uri="{FF2B5EF4-FFF2-40B4-BE49-F238E27FC236}">
              <a16:creationId xmlns:a16="http://schemas.microsoft.com/office/drawing/2014/main" id="{396E3F18-352D-48A3-919E-EEDB97CD9DF9}"/>
            </a:ext>
          </a:extLst>
        </xdr:cNvPr>
        <xdr:cNvSpPr/>
      </xdr:nvSpPr>
      <xdr:spPr>
        <a:xfrm>
          <a:off x="3969139" y="31021251"/>
          <a:ext cx="720384" cy="26249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125417</xdr:colOff>
      <xdr:row>143</xdr:row>
      <xdr:rowOff>118345</xdr:rowOff>
    </xdr:from>
    <xdr:to>
      <xdr:col>28</xdr:col>
      <xdr:colOff>127212</xdr:colOff>
      <xdr:row>146</xdr:row>
      <xdr:rowOff>94314</xdr:rowOff>
    </xdr:to>
    <xdr:cxnSp macro="">
      <xdr:nvCxnSpPr>
        <xdr:cNvPr id="280" name="直線矢印コネクタ 279">
          <a:extLst>
            <a:ext uri="{FF2B5EF4-FFF2-40B4-BE49-F238E27FC236}">
              <a16:creationId xmlns:a16="http://schemas.microsoft.com/office/drawing/2014/main" id="{01E1904A-5532-4E9A-8CF5-2F85708685D3}"/>
            </a:ext>
          </a:extLst>
        </xdr:cNvPr>
        <xdr:cNvCxnSpPr>
          <a:stCxn id="275" idx="2"/>
          <a:endCxn id="277" idx="0"/>
        </xdr:cNvCxnSpPr>
      </xdr:nvCxnSpPr>
      <xdr:spPr>
        <a:xfrm>
          <a:off x="4328841" y="29010845"/>
          <a:ext cx="1795" cy="49363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125907</xdr:colOff>
      <xdr:row>149</xdr:row>
      <xdr:rowOff>62522</xdr:rowOff>
    </xdr:from>
    <xdr:to>
      <xdr:col>28</xdr:col>
      <xdr:colOff>127212</xdr:colOff>
      <xdr:row>156</xdr:row>
      <xdr:rowOff>58099</xdr:rowOff>
    </xdr:to>
    <xdr:cxnSp macro="">
      <xdr:nvCxnSpPr>
        <xdr:cNvPr id="281" name="直線矢印コネクタ 280">
          <a:extLst>
            <a:ext uri="{FF2B5EF4-FFF2-40B4-BE49-F238E27FC236}">
              <a16:creationId xmlns:a16="http://schemas.microsoft.com/office/drawing/2014/main" id="{B9CA5C2D-01FD-48A8-BB0A-9FF15C97338E}"/>
            </a:ext>
          </a:extLst>
        </xdr:cNvPr>
        <xdr:cNvCxnSpPr>
          <a:stCxn id="277" idx="2"/>
          <a:endCxn id="279" idx="0"/>
        </xdr:cNvCxnSpPr>
      </xdr:nvCxnSpPr>
      <xdr:spPr>
        <a:xfrm flipH="1">
          <a:off x="4329331" y="29990348"/>
          <a:ext cx="1305" cy="10309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62111</xdr:colOff>
      <xdr:row>146</xdr:row>
      <xdr:rowOff>68114</xdr:rowOff>
    </xdr:from>
    <xdr:to>
      <xdr:col>44</xdr:col>
      <xdr:colOff>190126</xdr:colOff>
      <xdr:row>149</xdr:row>
      <xdr:rowOff>143898</xdr:rowOff>
    </xdr:to>
    <xdr:grpSp>
      <xdr:nvGrpSpPr>
        <xdr:cNvPr id="282" name="グループ化 281">
          <a:extLst>
            <a:ext uri="{FF2B5EF4-FFF2-40B4-BE49-F238E27FC236}">
              <a16:creationId xmlns:a16="http://schemas.microsoft.com/office/drawing/2014/main" id="{50AD60CF-266A-4495-88E2-6DD38CDE8ACE}"/>
            </a:ext>
          </a:extLst>
        </xdr:cNvPr>
        <xdr:cNvGrpSpPr>
          <a:grpSpLocks noChangeAspect="1"/>
        </xdr:cNvGrpSpPr>
      </xdr:nvGrpSpPr>
      <xdr:grpSpPr>
        <a:xfrm>
          <a:off x="7301111" y="25452239"/>
          <a:ext cx="842390" cy="590134"/>
          <a:chOff x="7112003" y="2892425"/>
          <a:chExt cx="873125" cy="584984"/>
        </a:xfrm>
      </xdr:grpSpPr>
      <xdr:sp macro="" textlink="">
        <xdr:nvSpPr>
          <xdr:cNvPr id="283" name="フローチャート: 磁気ディスク 282">
            <a:extLst>
              <a:ext uri="{FF2B5EF4-FFF2-40B4-BE49-F238E27FC236}">
                <a16:creationId xmlns:a16="http://schemas.microsoft.com/office/drawing/2014/main" id="{09C57E1F-76D3-A670-65B5-9134D3070327}"/>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84" name="正方形/長方形 283">
            <a:extLst>
              <a:ext uri="{FF2B5EF4-FFF2-40B4-BE49-F238E27FC236}">
                <a16:creationId xmlns:a16="http://schemas.microsoft.com/office/drawing/2014/main" id="{BE906073-3F11-160A-EC90-5D21A57A37B6}"/>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31</xdr:col>
      <xdr:colOff>18506</xdr:colOff>
      <xdr:row>147</xdr:row>
      <xdr:rowOff>164696</xdr:rowOff>
    </xdr:from>
    <xdr:to>
      <xdr:col>40</xdr:col>
      <xdr:colOff>160040</xdr:colOff>
      <xdr:row>147</xdr:row>
      <xdr:rowOff>167729</xdr:rowOff>
    </xdr:to>
    <xdr:cxnSp macro="">
      <xdr:nvCxnSpPr>
        <xdr:cNvPr id="285" name="直線矢印コネクタ 284">
          <a:extLst>
            <a:ext uri="{FF2B5EF4-FFF2-40B4-BE49-F238E27FC236}">
              <a16:creationId xmlns:a16="http://schemas.microsoft.com/office/drawing/2014/main" id="{01C58D3D-1E25-43AB-94BA-865B4C5EDED3}"/>
            </a:ext>
          </a:extLst>
        </xdr:cNvPr>
        <xdr:cNvCxnSpPr>
          <a:stCxn id="277" idx="3"/>
          <a:endCxn id="283" idx="2"/>
        </xdr:cNvCxnSpPr>
      </xdr:nvCxnSpPr>
      <xdr:spPr>
        <a:xfrm>
          <a:off x="4822419" y="30265076"/>
          <a:ext cx="1943001" cy="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148456</xdr:colOff>
      <xdr:row>169</xdr:row>
      <xdr:rowOff>131412</xdr:rowOff>
    </xdr:from>
    <xdr:to>
      <xdr:col>31</xdr:col>
      <xdr:colOff>35611</xdr:colOff>
      <xdr:row>172</xdr:row>
      <xdr:rowOff>163393</xdr:rowOff>
    </xdr:to>
    <xdr:grpSp>
      <xdr:nvGrpSpPr>
        <xdr:cNvPr id="286" name="グループ化 8">
          <a:extLst>
            <a:ext uri="{FF2B5EF4-FFF2-40B4-BE49-F238E27FC236}">
              <a16:creationId xmlns:a16="http://schemas.microsoft.com/office/drawing/2014/main" id="{2E729D9C-D4EF-46E9-8D26-50519210014B}"/>
            </a:ext>
          </a:extLst>
        </xdr:cNvPr>
        <xdr:cNvGrpSpPr/>
      </xdr:nvGrpSpPr>
      <xdr:grpSpPr>
        <a:xfrm>
          <a:off x="4672831" y="29458887"/>
          <a:ext cx="973005" cy="546331"/>
          <a:chOff x="1633113" y="2430783"/>
          <a:chExt cx="908902" cy="422628"/>
        </a:xfrm>
      </xdr:grpSpPr>
      <xdr:sp macro="" textlink="">
        <xdr:nvSpPr>
          <xdr:cNvPr id="287" name="フローチャート: 定義済み処理 9">
            <a:extLst>
              <a:ext uri="{FF2B5EF4-FFF2-40B4-BE49-F238E27FC236}">
                <a16:creationId xmlns:a16="http://schemas.microsoft.com/office/drawing/2014/main" id="{E79DB31F-8F65-C932-4925-3DEC9FCEBDC4}"/>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88" name="正方形/長方形 48">
            <a:extLst>
              <a:ext uri="{FF2B5EF4-FFF2-40B4-BE49-F238E27FC236}">
                <a16:creationId xmlns:a16="http://schemas.microsoft.com/office/drawing/2014/main" id="{1E70C05F-6EDC-B8A3-38C6-118A408767C2}"/>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減価償却計上</a:t>
            </a:r>
            <a:endParaRPr kumimoji="1" lang="en-US" altLang="ja-JP" sz="900"/>
          </a:p>
          <a:p>
            <a:pPr algn="ctr"/>
            <a:r>
              <a:rPr kumimoji="1" lang="ja-JP" altLang="ja-JP" sz="900">
                <a:solidFill>
                  <a:schemeClr val="dk1"/>
                </a:solidFill>
                <a:effectLst/>
                <a:latin typeface="+mn-lt"/>
                <a:ea typeface="+mn-ea"/>
                <a:cs typeface="+mn-cs"/>
              </a:rPr>
              <a:t>仕訳の作成</a:t>
            </a:r>
            <a:r>
              <a:rPr kumimoji="1" lang="ja-JP" altLang="en-US" sz="900">
                <a:solidFill>
                  <a:schemeClr val="dk1"/>
                </a:solidFill>
                <a:effectLst/>
                <a:latin typeface="+mn-lt"/>
                <a:ea typeface="+mn-ea"/>
                <a:cs typeface="+mn-cs"/>
              </a:rPr>
              <a:t>・転記</a:t>
            </a:r>
            <a:endParaRPr kumimoji="1" lang="ja-JP" altLang="en-US" sz="900"/>
          </a:p>
        </xdr:txBody>
      </xdr:sp>
    </xdr:grpSp>
    <xdr:clientData/>
  </xdr:twoCellAnchor>
  <xdr:twoCellAnchor>
    <xdr:from>
      <xdr:col>40</xdr:col>
      <xdr:colOff>31110</xdr:colOff>
      <xdr:row>169</xdr:row>
      <xdr:rowOff>144947</xdr:rowOff>
    </xdr:from>
    <xdr:to>
      <xdr:col>44</xdr:col>
      <xdr:colOff>159125</xdr:colOff>
      <xdr:row>173</xdr:row>
      <xdr:rowOff>48177</xdr:rowOff>
    </xdr:to>
    <xdr:grpSp>
      <xdr:nvGrpSpPr>
        <xdr:cNvPr id="291" name="グループ化 290">
          <a:extLst>
            <a:ext uri="{FF2B5EF4-FFF2-40B4-BE49-F238E27FC236}">
              <a16:creationId xmlns:a16="http://schemas.microsoft.com/office/drawing/2014/main" id="{755CA504-A8B7-4E5B-9B4C-AB9C52F136BC}"/>
            </a:ext>
          </a:extLst>
        </xdr:cNvPr>
        <xdr:cNvGrpSpPr>
          <a:grpSpLocks noChangeAspect="1"/>
        </xdr:cNvGrpSpPr>
      </xdr:nvGrpSpPr>
      <xdr:grpSpPr>
        <a:xfrm>
          <a:off x="7270110" y="29472422"/>
          <a:ext cx="851915" cy="589030"/>
          <a:chOff x="7112003" y="2892425"/>
          <a:chExt cx="873125" cy="584984"/>
        </a:xfrm>
      </xdr:grpSpPr>
      <xdr:sp macro="" textlink="">
        <xdr:nvSpPr>
          <xdr:cNvPr id="292" name="フローチャート: 磁気ディスク 291">
            <a:extLst>
              <a:ext uri="{FF2B5EF4-FFF2-40B4-BE49-F238E27FC236}">
                <a16:creationId xmlns:a16="http://schemas.microsoft.com/office/drawing/2014/main" id="{57946B3D-4772-6552-1121-84BA02070C7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93" name="正方形/長方形 292">
            <a:extLst>
              <a:ext uri="{FF2B5EF4-FFF2-40B4-BE49-F238E27FC236}">
                <a16:creationId xmlns:a16="http://schemas.microsoft.com/office/drawing/2014/main" id="{349400E6-843B-4D3E-2C1A-6CBAF479D050}"/>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バッチ仕訳の</a:t>
            </a:r>
            <a:endParaRPr kumimoji="1" lang="en-US" altLang="ja-JP" sz="900"/>
          </a:p>
          <a:p>
            <a:pPr algn="ctr"/>
            <a:r>
              <a:rPr kumimoji="1" lang="ja-JP" altLang="en-US" sz="900"/>
              <a:t>作成</a:t>
            </a:r>
          </a:p>
        </xdr:txBody>
      </xdr:sp>
    </xdr:grpSp>
    <xdr:clientData/>
  </xdr:twoCellAnchor>
  <xdr:twoCellAnchor>
    <xdr:from>
      <xdr:col>30</xdr:col>
      <xdr:colOff>187668</xdr:colOff>
      <xdr:row>171</xdr:row>
      <xdr:rowOff>62073</xdr:rowOff>
    </xdr:from>
    <xdr:to>
      <xdr:col>40</xdr:col>
      <xdr:colOff>129039</xdr:colOff>
      <xdr:row>171</xdr:row>
      <xdr:rowOff>72008</xdr:rowOff>
    </xdr:to>
    <xdr:cxnSp macro="">
      <xdr:nvCxnSpPr>
        <xdr:cNvPr id="294" name="直線矢印コネクタ 293">
          <a:extLst>
            <a:ext uri="{FF2B5EF4-FFF2-40B4-BE49-F238E27FC236}">
              <a16:creationId xmlns:a16="http://schemas.microsoft.com/office/drawing/2014/main" id="{7401AF12-7D14-4043-81CD-8E51BB45B6D8}"/>
            </a:ext>
          </a:extLst>
        </xdr:cNvPr>
        <xdr:cNvCxnSpPr>
          <a:cxnSpLocks/>
          <a:stCxn id="287" idx="3"/>
          <a:endCxn id="292" idx="2"/>
        </xdr:cNvCxnSpPr>
      </xdr:nvCxnSpPr>
      <xdr:spPr>
        <a:xfrm>
          <a:off x="4791418" y="26711366"/>
          <a:ext cx="1943001" cy="9935"/>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127581</xdr:colOff>
      <xdr:row>186</xdr:row>
      <xdr:rowOff>6901</xdr:rowOff>
    </xdr:from>
    <xdr:to>
      <xdr:col>30</xdr:col>
      <xdr:colOff>37107</xdr:colOff>
      <xdr:row>187</xdr:row>
      <xdr:rowOff>111442</xdr:rowOff>
    </xdr:to>
    <xdr:sp macro="" textlink="">
      <xdr:nvSpPr>
        <xdr:cNvPr id="298" name="フローチャート: 端子 26">
          <a:extLst>
            <a:ext uri="{FF2B5EF4-FFF2-40B4-BE49-F238E27FC236}">
              <a16:creationId xmlns:a16="http://schemas.microsoft.com/office/drawing/2014/main" id="{091C9E93-C74F-4317-ACDB-8F947D4CA645}"/>
            </a:ext>
          </a:extLst>
        </xdr:cNvPr>
        <xdr:cNvSpPr/>
      </xdr:nvSpPr>
      <xdr:spPr>
        <a:xfrm>
          <a:off x="3930679" y="36664347"/>
          <a:ext cx="710178" cy="2770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28</xdr:col>
      <xdr:colOff>82344</xdr:colOff>
      <xdr:row>187</xdr:row>
      <xdr:rowOff>111442</xdr:rowOff>
    </xdr:from>
    <xdr:to>
      <xdr:col>28</xdr:col>
      <xdr:colOff>85798</xdr:colOff>
      <xdr:row>191</xdr:row>
      <xdr:rowOff>24609</xdr:rowOff>
    </xdr:to>
    <xdr:cxnSp macro="">
      <xdr:nvCxnSpPr>
        <xdr:cNvPr id="299" name="直線矢印コネクタ 298">
          <a:extLst>
            <a:ext uri="{FF2B5EF4-FFF2-40B4-BE49-F238E27FC236}">
              <a16:creationId xmlns:a16="http://schemas.microsoft.com/office/drawing/2014/main" id="{93DB5A6E-7879-4E09-A6AB-59FEDCA3880E}"/>
            </a:ext>
          </a:extLst>
        </xdr:cNvPr>
        <xdr:cNvCxnSpPr>
          <a:cxnSpLocks/>
          <a:stCxn id="298" idx="2"/>
          <a:endCxn id="301" idx="0"/>
        </xdr:cNvCxnSpPr>
      </xdr:nvCxnSpPr>
      <xdr:spPr>
        <a:xfrm>
          <a:off x="4285768" y="36941442"/>
          <a:ext cx="3454" cy="60338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138043</xdr:colOff>
      <xdr:row>190</xdr:row>
      <xdr:rowOff>164330</xdr:rowOff>
    </xdr:from>
    <xdr:to>
      <xdr:col>31</xdr:col>
      <xdr:colOff>25198</xdr:colOff>
      <xdr:row>194</xdr:row>
      <xdr:rowOff>23757</xdr:rowOff>
    </xdr:to>
    <xdr:grpSp>
      <xdr:nvGrpSpPr>
        <xdr:cNvPr id="300" name="グループ化 8">
          <a:extLst>
            <a:ext uri="{FF2B5EF4-FFF2-40B4-BE49-F238E27FC236}">
              <a16:creationId xmlns:a16="http://schemas.microsoft.com/office/drawing/2014/main" id="{C9E4E9F4-76FF-4B24-9A8B-D93D699D8736}"/>
            </a:ext>
          </a:extLst>
        </xdr:cNvPr>
        <xdr:cNvGrpSpPr/>
      </xdr:nvGrpSpPr>
      <xdr:grpSpPr>
        <a:xfrm>
          <a:off x="4662418" y="33092255"/>
          <a:ext cx="973005" cy="545227"/>
          <a:chOff x="1633113" y="2430783"/>
          <a:chExt cx="908902" cy="422628"/>
        </a:xfrm>
      </xdr:grpSpPr>
      <xdr:sp macro="" textlink="">
        <xdr:nvSpPr>
          <xdr:cNvPr id="301" name="フローチャート: 定義済み処理 9">
            <a:extLst>
              <a:ext uri="{FF2B5EF4-FFF2-40B4-BE49-F238E27FC236}">
                <a16:creationId xmlns:a16="http://schemas.microsoft.com/office/drawing/2014/main" id="{C3427D64-75DC-AC65-7691-BBB39E6E9C33}"/>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2" name="正方形/長方形 48">
            <a:extLst>
              <a:ext uri="{FF2B5EF4-FFF2-40B4-BE49-F238E27FC236}">
                <a16:creationId xmlns:a16="http://schemas.microsoft.com/office/drawing/2014/main" id="{3886B65D-8C66-AF60-10D8-EFFD683DBD37}"/>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t>長短振替登録</a:t>
            </a:r>
            <a:endParaRPr kumimoji="1" lang="en-US" altLang="ja-JP" sz="900"/>
          </a:p>
        </xdr:txBody>
      </xdr:sp>
    </xdr:grpSp>
    <xdr:clientData/>
  </xdr:twoCellAnchor>
  <xdr:twoCellAnchor>
    <xdr:from>
      <xdr:col>40</xdr:col>
      <xdr:colOff>20697</xdr:colOff>
      <xdr:row>190</xdr:row>
      <xdr:rowOff>170963</xdr:rowOff>
    </xdr:from>
    <xdr:to>
      <xdr:col>44</xdr:col>
      <xdr:colOff>148712</xdr:colOff>
      <xdr:row>194</xdr:row>
      <xdr:rowOff>74193</xdr:rowOff>
    </xdr:to>
    <xdr:grpSp>
      <xdr:nvGrpSpPr>
        <xdr:cNvPr id="303" name="グループ化 302">
          <a:extLst>
            <a:ext uri="{FF2B5EF4-FFF2-40B4-BE49-F238E27FC236}">
              <a16:creationId xmlns:a16="http://schemas.microsoft.com/office/drawing/2014/main" id="{D4751C1D-4784-4027-9FE7-D313927B9512}"/>
            </a:ext>
          </a:extLst>
        </xdr:cNvPr>
        <xdr:cNvGrpSpPr>
          <a:grpSpLocks noChangeAspect="1"/>
        </xdr:cNvGrpSpPr>
      </xdr:nvGrpSpPr>
      <xdr:grpSpPr>
        <a:xfrm>
          <a:off x="7259697" y="33098888"/>
          <a:ext cx="851915" cy="589030"/>
          <a:chOff x="7112003" y="2892425"/>
          <a:chExt cx="873125" cy="584984"/>
        </a:xfrm>
      </xdr:grpSpPr>
      <xdr:sp macro="" textlink="">
        <xdr:nvSpPr>
          <xdr:cNvPr id="304" name="フローチャート: 磁気ディスク 303">
            <a:extLst>
              <a:ext uri="{FF2B5EF4-FFF2-40B4-BE49-F238E27FC236}">
                <a16:creationId xmlns:a16="http://schemas.microsoft.com/office/drawing/2014/main" id="{C0E95BA9-9167-3BF3-6E0E-298F05E87C25}"/>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05" name="正方形/長方形 304">
            <a:extLst>
              <a:ext uri="{FF2B5EF4-FFF2-40B4-BE49-F238E27FC236}">
                <a16:creationId xmlns:a16="http://schemas.microsoft.com/office/drawing/2014/main" id="{6F24A6EC-38A4-259B-71EE-BC9A97A1BDAA}"/>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177255</xdr:colOff>
      <xdr:row>192</xdr:row>
      <xdr:rowOff>94990</xdr:rowOff>
    </xdr:from>
    <xdr:to>
      <xdr:col>40</xdr:col>
      <xdr:colOff>118626</xdr:colOff>
      <xdr:row>192</xdr:row>
      <xdr:rowOff>98023</xdr:rowOff>
    </xdr:to>
    <xdr:cxnSp macro="">
      <xdr:nvCxnSpPr>
        <xdr:cNvPr id="306" name="直線矢印コネクタ 305">
          <a:extLst>
            <a:ext uri="{FF2B5EF4-FFF2-40B4-BE49-F238E27FC236}">
              <a16:creationId xmlns:a16="http://schemas.microsoft.com/office/drawing/2014/main" id="{97CF8E5D-4C1D-4897-8356-95523769C0CC}"/>
            </a:ext>
          </a:extLst>
        </xdr:cNvPr>
        <xdr:cNvCxnSpPr>
          <a:cxnSpLocks/>
          <a:stCxn id="301" idx="3"/>
          <a:endCxn id="304" idx="2"/>
        </xdr:cNvCxnSpPr>
      </xdr:nvCxnSpPr>
      <xdr:spPr>
        <a:xfrm>
          <a:off x="4781005" y="37787762"/>
          <a:ext cx="1943001" cy="30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138043</xdr:colOff>
      <xdr:row>197</xdr:row>
      <xdr:rowOff>26287</xdr:rowOff>
    </xdr:from>
    <xdr:to>
      <xdr:col>31</xdr:col>
      <xdr:colOff>25198</xdr:colOff>
      <xdr:row>200</xdr:row>
      <xdr:rowOff>58267</xdr:rowOff>
    </xdr:to>
    <xdr:grpSp>
      <xdr:nvGrpSpPr>
        <xdr:cNvPr id="307" name="グループ化 8">
          <a:extLst>
            <a:ext uri="{FF2B5EF4-FFF2-40B4-BE49-F238E27FC236}">
              <a16:creationId xmlns:a16="http://schemas.microsoft.com/office/drawing/2014/main" id="{E2EFD4B2-C522-8D52-F8BD-649AC85BEA2C}"/>
            </a:ext>
          </a:extLst>
        </xdr:cNvPr>
        <xdr:cNvGrpSpPr/>
      </xdr:nvGrpSpPr>
      <xdr:grpSpPr>
        <a:xfrm>
          <a:off x="4662418" y="34154362"/>
          <a:ext cx="973005" cy="546330"/>
          <a:chOff x="1633113" y="2430783"/>
          <a:chExt cx="908902" cy="422628"/>
        </a:xfrm>
      </xdr:grpSpPr>
      <xdr:sp macro="" textlink="">
        <xdr:nvSpPr>
          <xdr:cNvPr id="308" name="フローチャート: 定義済み処理 9">
            <a:extLst>
              <a:ext uri="{FF2B5EF4-FFF2-40B4-BE49-F238E27FC236}">
                <a16:creationId xmlns:a16="http://schemas.microsoft.com/office/drawing/2014/main" id="{66D0594C-4FB4-0F4A-F334-F721F5A75049}"/>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09" name="正方形/長方形 48">
            <a:extLst>
              <a:ext uri="{FF2B5EF4-FFF2-40B4-BE49-F238E27FC236}">
                <a16:creationId xmlns:a16="http://schemas.microsoft.com/office/drawing/2014/main" id="{8AC7BB46-5A54-436D-21EE-EF1CD5CDF902}"/>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長短振替仕訳</a:t>
            </a:r>
            <a:endParaRPr kumimoji="1" lang="en-US" altLang="ja-JP" sz="900"/>
          </a:p>
          <a:p>
            <a:pPr algn="ctr"/>
            <a:r>
              <a:rPr kumimoji="1" lang="ja-JP" altLang="en-US" sz="900"/>
              <a:t>承認依頼</a:t>
            </a:r>
            <a:endParaRPr kumimoji="1" lang="en-US" altLang="ja-JP" sz="900"/>
          </a:p>
        </xdr:txBody>
      </xdr:sp>
    </xdr:grpSp>
    <xdr:clientData/>
  </xdr:twoCellAnchor>
  <xdr:twoCellAnchor>
    <xdr:from>
      <xdr:col>40</xdr:col>
      <xdr:colOff>20697</xdr:colOff>
      <xdr:row>197</xdr:row>
      <xdr:rowOff>26018</xdr:rowOff>
    </xdr:from>
    <xdr:to>
      <xdr:col>44</xdr:col>
      <xdr:colOff>148712</xdr:colOff>
      <xdr:row>200</xdr:row>
      <xdr:rowOff>101801</xdr:rowOff>
    </xdr:to>
    <xdr:grpSp>
      <xdr:nvGrpSpPr>
        <xdr:cNvPr id="310" name="グループ化 309">
          <a:extLst>
            <a:ext uri="{FF2B5EF4-FFF2-40B4-BE49-F238E27FC236}">
              <a16:creationId xmlns:a16="http://schemas.microsoft.com/office/drawing/2014/main" id="{36D6EC41-C35A-FD2D-1D0B-76E7F81D1580}"/>
            </a:ext>
          </a:extLst>
        </xdr:cNvPr>
        <xdr:cNvGrpSpPr>
          <a:grpSpLocks noChangeAspect="1"/>
        </xdr:cNvGrpSpPr>
      </xdr:nvGrpSpPr>
      <xdr:grpSpPr>
        <a:xfrm>
          <a:off x="7259697" y="34154093"/>
          <a:ext cx="851915" cy="590133"/>
          <a:chOff x="7112003" y="2892425"/>
          <a:chExt cx="873125" cy="584984"/>
        </a:xfrm>
      </xdr:grpSpPr>
      <xdr:sp macro="" textlink="">
        <xdr:nvSpPr>
          <xdr:cNvPr id="311" name="フローチャート: 磁気ディスク 310">
            <a:extLst>
              <a:ext uri="{FF2B5EF4-FFF2-40B4-BE49-F238E27FC236}">
                <a16:creationId xmlns:a16="http://schemas.microsoft.com/office/drawing/2014/main" id="{81C54FB4-A0D2-003F-AF40-BF874F5152D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12" name="正方形/長方形 311">
            <a:extLst>
              <a:ext uri="{FF2B5EF4-FFF2-40B4-BE49-F238E27FC236}">
                <a16:creationId xmlns:a16="http://schemas.microsoft.com/office/drawing/2014/main" id="{65B8A2B1-5DBC-6CAE-35E7-0E422176C5C2}"/>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177255</xdr:colOff>
      <xdr:row>198</xdr:row>
      <xdr:rowOff>125632</xdr:rowOff>
    </xdr:from>
    <xdr:to>
      <xdr:col>40</xdr:col>
      <xdr:colOff>118626</xdr:colOff>
      <xdr:row>198</xdr:row>
      <xdr:rowOff>129501</xdr:rowOff>
    </xdr:to>
    <xdr:cxnSp macro="">
      <xdr:nvCxnSpPr>
        <xdr:cNvPr id="313" name="直線矢印コネクタ 312">
          <a:extLst>
            <a:ext uri="{FF2B5EF4-FFF2-40B4-BE49-F238E27FC236}">
              <a16:creationId xmlns:a16="http://schemas.microsoft.com/office/drawing/2014/main" id="{3F7A49A4-71C6-0E5A-92E5-E2201F339124}"/>
            </a:ext>
          </a:extLst>
        </xdr:cNvPr>
        <xdr:cNvCxnSpPr>
          <a:cxnSpLocks/>
          <a:stCxn id="308" idx="3"/>
          <a:endCxn id="311" idx="2"/>
        </xdr:cNvCxnSpPr>
      </xdr:nvCxnSpPr>
      <xdr:spPr>
        <a:xfrm flipV="1">
          <a:off x="4781005" y="38853730"/>
          <a:ext cx="1943001" cy="3869"/>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85798</xdr:colOff>
      <xdr:row>193</xdr:row>
      <xdr:rowOff>165371</xdr:rowOff>
    </xdr:from>
    <xdr:to>
      <xdr:col>28</xdr:col>
      <xdr:colOff>85798</xdr:colOff>
      <xdr:row>197</xdr:row>
      <xdr:rowOff>59120</xdr:rowOff>
    </xdr:to>
    <xdr:cxnSp macro="">
      <xdr:nvCxnSpPr>
        <xdr:cNvPr id="314" name="直線矢印コネクタ 313">
          <a:extLst>
            <a:ext uri="{FF2B5EF4-FFF2-40B4-BE49-F238E27FC236}">
              <a16:creationId xmlns:a16="http://schemas.microsoft.com/office/drawing/2014/main" id="{3CAD7431-6E24-405E-A92A-12913BA44985}"/>
            </a:ext>
          </a:extLst>
        </xdr:cNvPr>
        <xdr:cNvCxnSpPr>
          <a:cxnSpLocks/>
          <a:stCxn id="301" idx="2"/>
          <a:endCxn id="308" idx="0"/>
        </xdr:cNvCxnSpPr>
      </xdr:nvCxnSpPr>
      <xdr:spPr>
        <a:xfrm>
          <a:off x="4289222" y="38030697"/>
          <a:ext cx="0" cy="58396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193260</xdr:colOff>
      <xdr:row>204</xdr:row>
      <xdr:rowOff>40091</xdr:rowOff>
    </xdr:from>
    <xdr:to>
      <xdr:col>38</xdr:col>
      <xdr:colOff>80415</xdr:colOff>
      <xdr:row>207</xdr:row>
      <xdr:rowOff>72072</xdr:rowOff>
    </xdr:to>
    <xdr:grpSp>
      <xdr:nvGrpSpPr>
        <xdr:cNvPr id="317" name="グループ化 8">
          <a:extLst>
            <a:ext uri="{FF2B5EF4-FFF2-40B4-BE49-F238E27FC236}">
              <a16:creationId xmlns:a16="http://schemas.microsoft.com/office/drawing/2014/main" id="{9E48964D-13DB-71FB-79A0-8D79586E7D23}"/>
            </a:ext>
          </a:extLst>
        </xdr:cNvPr>
        <xdr:cNvGrpSpPr/>
      </xdr:nvGrpSpPr>
      <xdr:grpSpPr>
        <a:xfrm>
          <a:off x="5974935" y="35368316"/>
          <a:ext cx="982530" cy="546331"/>
          <a:chOff x="1633113" y="2430783"/>
          <a:chExt cx="908902" cy="422628"/>
        </a:xfrm>
      </xdr:grpSpPr>
      <xdr:sp macro="" textlink="">
        <xdr:nvSpPr>
          <xdr:cNvPr id="318" name="フローチャート: 定義済み処理 9">
            <a:extLst>
              <a:ext uri="{FF2B5EF4-FFF2-40B4-BE49-F238E27FC236}">
                <a16:creationId xmlns:a16="http://schemas.microsoft.com/office/drawing/2014/main" id="{8981D58F-C0DE-E330-2921-509BD9B3E0C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19" name="正方形/長方形 48">
            <a:extLst>
              <a:ext uri="{FF2B5EF4-FFF2-40B4-BE49-F238E27FC236}">
                <a16:creationId xmlns:a16="http://schemas.microsoft.com/office/drawing/2014/main" id="{3CABD2A1-6D49-1C91-3ABC-79591019001B}"/>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長短振替仕訳</a:t>
            </a:r>
            <a:endParaRPr kumimoji="1" lang="en-US" altLang="ja-JP" sz="900"/>
          </a:p>
          <a:p>
            <a:pPr algn="ctr"/>
            <a:r>
              <a:rPr kumimoji="1" lang="ja-JP" altLang="en-US" sz="900"/>
              <a:t>承認</a:t>
            </a:r>
            <a:endParaRPr kumimoji="1" lang="en-US" altLang="ja-JP" sz="900"/>
          </a:p>
        </xdr:txBody>
      </xdr:sp>
    </xdr:grpSp>
    <xdr:clientData/>
  </xdr:twoCellAnchor>
  <xdr:twoCellAnchor>
    <xdr:from>
      <xdr:col>40</xdr:col>
      <xdr:colOff>103523</xdr:colOff>
      <xdr:row>204</xdr:row>
      <xdr:rowOff>39821</xdr:rowOff>
    </xdr:from>
    <xdr:to>
      <xdr:col>45</xdr:col>
      <xdr:colOff>31375</xdr:colOff>
      <xdr:row>207</xdr:row>
      <xdr:rowOff>115605</xdr:rowOff>
    </xdr:to>
    <xdr:grpSp>
      <xdr:nvGrpSpPr>
        <xdr:cNvPr id="320" name="グループ化 319">
          <a:extLst>
            <a:ext uri="{FF2B5EF4-FFF2-40B4-BE49-F238E27FC236}">
              <a16:creationId xmlns:a16="http://schemas.microsoft.com/office/drawing/2014/main" id="{8521957B-8A13-8AA2-3AD4-DA6F54FF328A}"/>
            </a:ext>
          </a:extLst>
        </xdr:cNvPr>
        <xdr:cNvGrpSpPr>
          <a:grpSpLocks noChangeAspect="1"/>
        </xdr:cNvGrpSpPr>
      </xdr:nvGrpSpPr>
      <xdr:grpSpPr>
        <a:xfrm>
          <a:off x="7342523" y="35368046"/>
          <a:ext cx="832727" cy="590134"/>
          <a:chOff x="7112003" y="2892425"/>
          <a:chExt cx="873125" cy="584984"/>
        </a:xfrm>
      </xdr:grpSpPr>
      <xdr:sp macro="" textlink="">
        <xdr:nvSpPr>
          <xdr:cNvPr id="321" name="フローチャート: 磁気ディスク 320">
            <a:extLst>
              <a:ext uri="{FF2B5EF4-FFF2-40B4-BE49-F238E27FC236}">
                <a16:creationId xmlns:a16="http://schemas.microsoft.com/office/drawing/2014/main" id="{B831DFBD-8234-932B-FBF3-CCDB125DF97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22" name="正方形/長方形 321">
            <a:extLst>
              <a:ext uri="{FF2B5EF4-FFF2-40B4-BE49-F238E27FC236}">
                <a16:creationId xmlns:a16="http://schemas.microsoft.com/office/drawing/2014/main" id="{541C325C-6C3B-9725-4EEE-646FA1134354}"/>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38</xdr:col>
      <xdr:colOff>32309</xdr:colOff>
      <xdr:row>205</xdr:row>
      <xdr:rowOff>139436</xdr:rowOff>
    </xdr:from>
    <xdr:to>
      <xdr:col>41</xdr:col>
      <xdr:colOff>1289</xdr:colOff>
      <xdr:row>205</xdr:row>
      <xdr:rowOff>143306</xdr:rowOff>
    </xdr:to>
    <xdr:cxnSp macro="">
      <xdr:nvCxnSpPr>
        <xdr:cNvPr id="323" name="直線矢印コネクタ 322">
          <a:extLst>
            <a:ext uri="{FF2B5EF4-FFF2-40B4-BE49-F238E27FC236}">
              <a16:creationId xmlns:a16="http://schemas.microsoft.com/office/drawing/2014/main" id="{E85E0A98-CFA6-0A3F-81E3-3ED2E4C104D8}"/>
            </a:ext>
          </a:extLst>
        </xdr:cNvPr>
        <xdr:cNvCxnSpPr>
          <a:cxnSpLocks/>
          <a:stCxn id="318" idx="3"/>
          <a:endCxn id="321" idx="2"/>
        </xdr:cNvCxnSpPr>
      </xdr:nvCxnSpPr>
      <xdr:spPr>
        <a:xfrm flipV="1">
          <a:off x="6237363" y="40075414"/>
          <a:ext cx="569469" cy="3870"/>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85798</xdr:colOff>
      <xdr:row>200</xdr:row>
      <xdr:rowOff>27327</xdr:rowOff>
    </xdr:from>
    <xdr:to>
      <xdr:col>35</xdr:col>
      <xdr:colOff>141015</xdr:colOff>
      <xdr:row>204</xdr:row>
      <xdr:rowOff>72924</xdr:rowOff>
    </xdr:to>
    <xdr:cxnSp macro="">
      <xdr:nvCxnSpPr>
        <xdr:cNvPr id="324" name="コネクタ: カギ線 323">
          <a:extLst>
            <a:ext uri="{FF2B5EF4-FFF2-40B4-BE49-F238E27FC236}">
              <a16:creationId xmlns:a16="http://schemas.microsoft.com/office/drawing/2014/main" id="{639CCF17-222A-4C8B-AE83-1FA8D3BF8C2A}"/>
            </a:ext>
          </a:extLst>
        </xdr:cNvPr>
        <xdr:cNvCxnSpPr>
          <a:stCxn id="308" idx="2"/>
          <a:endCxn id="318" idx="0"/>
        </xdr:cNvCxnSpPr>
      </xdr:nvCxnSpPr>
      <xdr:spPr>
        <a:xfrm rot="16200000" flipH="1">
          <a:off x="4649494" y="38740262"/>
          <a:ext cx="735814" cy="1456358"/>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179456</xdr:colOff>
      <xdr:row>212</xdr:row>
      <xdr:rowOff>85306</xdr:rowOff>
    </xdr:from>
    <xdr:to>
      <xdr:col>37</xdr:col>
      <xdr:colOff>100109</xdr:colOff>
      <xdr:row>214</xdr:row>
      <xdr:rowOff>2688</xdr:rowOff>
    </xdr:to>
    <xdr:sp macro="" textlink="">
      <xdr:nvSpPr>
        <xdr:cNvPr id="328" name="フローチャート: 端子 26">
          <a:extLst>
            <a:ext uri="{FF2B5EF4-FFF2-40B4-BE49-F238E27FC236}">
              <a16:creationId xmlns:a16="http://schemas.microsoft.com/office/drawing/2014/main" id="{3A5D4844-5996-453C-A489-D1435DD4E93A}"/>
            </a:ext>
          </a:extLst>
        </xdr:cNvPr>
        <xdr:cNvSpPr/>
      </xdr:nvSpPr>
      <xdr:spPr>
        <a:xfrm>
          <a:off x="5383695" y="41229165"/>
          <a:ext cx="721305" cy="262490"/>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35</xdr:col>
      <xdr:colOff>139783</xdr:colOff>
      <xdr:row>207</xdr:row>
      <xdr:rowOff>41132</xdr:rowOff>
    </xdr:from>
    <xdr:to>
      <xdr:col>35</xdr:col>
      <xdr:colOff>141015</xdr:colOff>
      <xdr:row>212</xdr:row>
      <xdr:rowOff>85306</xdr:rowOff>
    </xdr:to>
    <xdr:cxnSp macro="">
      <xdr:nvCxnSpPr>
        <xdr:cNvPr id="329" name="直線矢印コネクタ 328">
          <a:extLst>
            <a:ext uri="{FF2B5EF4-FFF2-40B4-BE49-F238E27FC236}">
              <a16:creationId xmlns:a16="http://schemas.microsoft.com/office/drawing/2014/main" id="{4748441F-AFD2-444E-BA5C-7A25EE309277}"/>
            </a:ext>
          </a:extLst>
        </xdr:cNvPr>
        <xdr:cNvCxnSpPr>
          <a:stCxn id="318" idx="2"/>
          <a:endCxn id="328" idx="0"/>
        </xdr:cNvCxnSpPr>
      </xdr:nvCxnSpPr>
      <xdr:spPr>
        <a:xfrm flipH="1">
          <a:off x="5744348" y="40322219"/>
          <a:ext cx="1232" cy="90694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160828</xdr:colOff>
      <xdr:row>236</xdr:row>
      <xdr:rowOff>148555</xdr:rowOff>
    </xdr:from>
    <xdr:to>
      <xdr:col>38</xdr:col>
      <xdr:colOff>55250</xdr:colOff>
      <xdr:row>240</xdr:row>
      <xdr:rowOff>4806</xdr:rowOff>
    </xdr:to>
    <xdr:grpSp>
      <xdr:nvGrpSpPr>
        <xdr:cNvPr id="343" name="グループ化 8">
          <a:extLst>
            <a:ext uri="{FF2B5EF4-FFF2-40B4-BE49-F238E27FC236}">
              <a16:creationId xmlns:a16="http://schemas.microsoft.com/office/drawing/2014/main" id="{0511C660-213A-024F-3AC4-B91FB120C0F8}"/>
            </a:ext>
          </a:extLst>
        </xdr:cNvPr>
        <xdr:cNvGrpSpPr/>
      </xdr:nvGrpSpPr>
      <xdr:grpSpPr>
        <a:xfrm>
          <a:off x="5952028" y="40963180"/>
          <a:ext cx="980272" cy="542051"/>
          <a:chOff x="1633015" y="2430783"/>
          <a:chExt cx="908902" cy="422628"/>
        </a:xfrm>
      </xdr:grpSpPr>
      <xdr:sp macro="" textlink="">
        <xdr:nvSpPr>
          <xdr:cNvPr id="344" name="フローチャート: 定義済み処理 9">
            <a:extLst>
              <a:ext uri="{FF2B5EF4-FFF2-40B4-BE49-F238E27FC236}">
                <a16:creationId xmlns:a16="http://schemas.microsoft.com/office/drawing/2014/main" id="{6DB94F66-9028-4ACF-0137-1AE3F16EAE6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45" name="正方形/長方形 48">
            <a:extLst>
              <a:ext uri="{FF2B5EF4-FFF2-40B4-BE49-F238E27FC236}">
                <a16:creationId xmlns:a16="http://schemas.microsoft.com/office/drawing/2014/main" id="{84EBED06-788D-3EC1-1425-FC5F7D0C2D82}"/>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リース終了</a:t>
            </a:r>
            <a:endParaRPr kumimoji="1" lang="en-US" altLang="ja-JP" sz="900"/>
          </a:p>
          <a:p>
            <a:pPr algn="ctr"/>
            <a:r>
              <a:rPr kumimoji="1" lang="ja-JP" altLang="en-US" sz="900"/>
              <a:t>承認</a:t>
            </a:r>
          </a:p>
        </xdr:txBody>
      </xdr:sp>
    </xdr:grpSp>
    <xdr:clientData/>
  </xdr:twoCellAnchor>
  <xdr:twoCellAnchor>
    <xdr:from>
      <xdr:col>38</xdr:col>
      <xdr:colOff>6941</xdr:colOff>
      <xdr:row>238</xdr:row>
      <xdr:rowOff>77270</xdr:rowOff>
    </xdr:from>
    <xdr:to>
      <xdr:col>40</xdr:col>
      <xdr:colOff>137767</xdr:colOff>
      <xdr:row>238</xdr:row>
      <xdr:rowOff>77622</xdr:rowOff>
    </xdr:to>
    <xdr:cxnSp macro="">
      <xdr:nvCxnSpPr>
        <xdr:cNvPr id="346" name="直線矢印コネクタ 345">
          <a:extLst>
            <a:ext uri="{FF2B5EF4-FFF2-40B4-BE49-F238E27FC236}">
              <a16:creationId xmlns:a16="http://schemas.microsoft.com/office/drawing/2014/main" id="{D822E2CF-0400-42DC-9646-DC72AF12F53C}"/>
            </a:ext>
          </a:extLst>
        </xdr:cNvPr>
        <xdr:cNvCxnSpPr>
          <a:stCxn id="344" idx="3"/>
          <a:endCxn id="348" idx="2"/>
        </xdr:cNvCxnSpPr>
      </xdr:nvCxnSpPr>
      <xdr:spPr>
        <a:xfrm flipV="1">
          <a:off x="6211995" y="45707542"/>
          <a:ext cx="531152" cy="352"/>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30183</xdr:colOff>
      <xdr:row>236</xdr:row>
      <xdr:rowOff>124871</xdr:rowOff>
    </xdr:from>
    <xdr:to>
      <xdr:col>45</xdr:col>
      <xdr:colOff>49598</xdr:colOff>
      <xdr:row>240</xdr:row>
      <xdr:rowOff>83350</xdr:rowOff>
    </xdr:to>
    <xdr:grpSp>
      <xdr:nvGrpSpPr>
        <xdr:cNvPr id="347" name="グループ化 346">
          <a:extLst>
            <a:ext uri="{FF2B5EF4-FFF2-40B4-BE49-F238E27FC236}">
              <a16:creationId xmlns:a16="http://schemas.microsoft.com/office/drawing/2014/main" id="{4E0EF145-1468-0A9D-D111-277458F9C49D}"/>
            </a:ext>
          </a:extLst>
        </xdr:cNvPr>
        <xdr:cNvGrpSpPr>
          <a:grpSpLocks noChangeAspect="1"/>
        </xdr:cNvGrpSpPr>
      </xdr:nvGrpSpPr>
      <xdr:grpSpPr>
        <a:xfrm>
          <a:off x="7269183" y="40939496"/>
          <a:ext cx="924290" cy="644279"/>
          <a:chOff x="7112003" y="2892425"/>
          <a:chExt cx="873125" cy="584984"/>
        </a:xfrm>
      </xdr:grpSpPr>
      <xdr:sp macro="" textlink="">
        <xdr:nvSpPr>
          <xdr:cNvPr id="348" name="フローチャート: 磁気ディスク 347">
            <a:extLst>
              <a:ext uri="{FF2B5EF4-FFF2-40B4-BE49-F238E27FC236}">
                <a16:creationId xmlns:a16="http://schemas.microsoft.com/office/drawing/2014/main" id="{EDBCC54F-DDB5-7F10-B12E-70FA9D0D0B9F}"/>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49" name="正方形/長方形 348">
            <a:extLst>
              <a:ext uri="{FF2B5EF4-FFF2-40B4-BE49-F238E27FC236}">
                <a16:creationId xmlns:a16="http://schemas.microsoft.com/office/drawing/2014/main" id="{3E55A998-10B9-4582-BA9F-9F51B669E65B}"/>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28</xdr:col>
      <xdr:colOff>36438</xdr:colOff>
      <xdr:row>232</xdr:row>
      <xdr:rowOff>118990</xdr:rowOff>
    </xdr:from>
    <xdr:to>
      <xdr:col>35</xdr:col>
      <xdr:colOff>112362</xdr:colOff>
      <xdr:row>237</xdr:row>
      <xdr:rowOff>8645</xdr:rowOff>
    </xdr:to>
    <xdr:cxnSp macro="">
      <xdr:nvCxnSpPr>
        <xdr:cNvPr id="352" name="コネクタ: カギ線 351">
          <a:extLst>
            <a:ext uri="{FF2B5EF4-FFF2-40B4-BE49-F238E27FC236}">
              <a16:creationId xmlns:a16="http://schemas.microsoft.com/office/drawing/2014/main" id="{9A6E2188-BFCB-402B-BAF1-CB657F5E0367}"/>
            </a:ext>
          </a:extLst>
        </xdr:cNvPr>
        <xdr:cNvCxnSpPr>
          <a:stCxn id="144" idx="2"/>
          <a:endCxn id="344" idx="0"/>
        </xdr:cNvCxnSpPr>
      </xdr:nvCxnSpPr>
      <xdr:spPr>
        <a:xfrm rot="16200000" flipH="1">
          <a:off x="4602182" y="44351616"/>
          <a:ext cx="752426" cy="147706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151847</xdr:colOff>
      <xdr:row>243</xdr:row>
      <xdr:rowOff>20707</xdr:rowOff>
    </xdr:from>
    <xdr:to>
      <xdr:col>31</xdr:col>
      <xdr:colOff>46269</xdr:colOff>
      <xdr:row>246</xdr:row>
      <xdr:rowOff>49511</xdr:rowOff>
    </xdr:to>
    <xdr:grpSp>
      <xdr:nvGrpSpPr>
        <xdr:cNvPr id="355" name="グループ化 8">
          <a:extLst>
            <a:ext uri="{FF2B5EF4-FFF2-40B4-BE49-F238E27FC236}">
              <a16:creationId xmlns:a16="http://schemas.microsoft.com/office/drawing/2014/main" id="{C753444E-6FC6-4EA0-A69B-DB78123CB67D}"/>
            </a:ext>
          </a:extLst>
        </xdr:cNvPr>
        <xdr:cNvGrpSpPr/>
      </xdr:nvGrpSpPr>
      <xdr:grpSpPr>
        <a:xfrm>
          <a:off x="4676222" y="42035482"/>
          <a:ext cx="980272" cy="543154"/>
          <a:chOff x="1633015" y="2430783"/>
          <a:chExt cx="908902" cy="422628"/>
        </a:xfrm>
      </xdr:grpSpPr>
      <xdr:sp macro="" textlink="">
        <xdr:nvSpPr>
          <xdr:cNvPr id="356" name="フローチャート: 定義済み処理 9">
            <a:extLst>
              <a:ext uri="{FF2B5EF4-FFF2-40B4-BE49-F238E27FC236}">
                <a16:creationId xmlns:a16="http://schemas.microsoft.com/office/drawing/2014/main" id="{0C4298A5-F272-1FEC-428F-F7C49A78C3E7}"/>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7" name="正方形/長方形 48">
            <a:extLst>
              <a:ext uri="{FF2B5EF4-FFF2-40B4-BE49-F238E27FC236}">
                <a16:creationId xmlns:a16="http://schemas.microsoft.com/office/drawing/2014/main" id="{CBBDA604-B87A-794C-C5B1-0DBB22A0CADC}"/>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リース終了処理</a:t>
            </a:r>
            <a:endParaRPr kumimoji="1" lang="en-US" altLang="ja-JP" sz="900"/>
          </a:p>
        </xdr:txBody>
      </xdr:sp>
    </xdr:grpSp>
    <xdr:clientData/>
  </xdr:twoCellAnchor>
  <xdr:twoCellAnchor>
    <xdr:from>
      <xdr:col>28</xdr:col>
      <xdr:colOff>103383</xdr:colOff>
      <xdr:row>239</xdr:row>
      <xdr:rowOff>146598</xdr:rowOff>
    </xdr:from>
    <xdr:to>
      <xdr:col>35</xdr:col>
      <xdr:colOff>112364</xdr:colOff>
      <xdr:row>243</xdr:row>
      <xdr:rowOff>53350</xdr:rowOff>
    </xdr:to>
    <xdr:cxnSp macro="">
      <xdr:nvCxnSpPr>
        <xdr:cNvPr id="358" name="コネクタ: カギ線 357">
          <a:extLst>
            <a:ext uri="{FF2B5EF4-FFF2-40B4-BE49-F238E27FC236}">
              <a16:creationId xmlns:a16="http://schemas.microsoft.com/office/drawing/2014/main" id="{7AF4539C-2A98-44F4-8C59-EE0E07AE4CF7}"/>
            </a:ext>
          </a:extLst>
        </xdr:cNvPr>
        <xdr:cNvCxnSpPr>
          <a:stCxn id="344" idx="2"/>
          <a:endCxn id="356" idx="0"/>
        </xdr:cNvCxnSpPr>
      </xdr:nvCxnSpPr>
      <xdr:spPr>
        <a:xfrm rot="5400000">
          <a:off x="4713383" y="45542848"/>
          <a:ext cx="596969" cy="141012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30183</xdr:colOff>
      <xdr:row>242</xdr:row>
      <xdr:rowOff>159382</xdr:rowOff>
    </xdr:from>
    <xdr:to>
      <xdr:col>45</xdr:col>
      <xdr:colOff>49598</xdr:colOff>
      <xdr:row>246</xdr:row>
      <xdr:rowOff>117860</xdr:rowOff>
    </xdr:to>
    <xdr:grpSp>
      <xdr:nvGrpSpPr>
        <xdr:cNvPr id="361" name="グループ化 360">
          <a:extLst>
            <a:ext uri="{FF2B5EF4-FFF2-40B4-BE49-F238E27FC236}">
              <a16:creationId xmlns:a16="http://schemas.microsoft.com/office/drawing/2014/main" id="{27D6D5D3-DEAC-0074-92F4-185B45A9A572}"/>
            </a:ext>
          </a:extLst>
        </xdr:cNvPr>
        <xdr:cNvGrpSpPr>
          <a:grpSpLocks noChangeAspect="1"/>
        </xdr:cNvGrpSpPr>
      </xdr:nvGrpSpPr>
      <xdr:grpSpPr>
        <a:xfrm>
          <a:off x="7269183" y="42002707"/>
          <a:ext cx="924290" cy="644278"/>
          <a:chOff x="7112003" y="2892425"/>
          <a:chExt cx="873125" cy="584984"/>
        </a:xfrm>
      </xdr:grpSpPr>
      <xdr:sp macro="" textlink="">
        <xdr:nvSpPr>
          <xdr:cNvPr id="362" name="フローチャート: 磁気ディスク 361">
            <a:extLst>
              <a:ext uri="{FF2B5EF4-FFF2-40B4-BE49-F238E27FC236}">
                <a16:creationId xmlns:a16="http://schemas.microsoft.com/office/drawing/2014/main" id="{A45624C2-1C80-B639-09E4-6956A758E2D9}"/>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63" name="正方形/長方形 362">
            <a:extLst>
              <a:ext uri="{FF2B5EF4-FFF2-40B4-BE49-F238E27FC236}">
                <a16:creationId xmlns:a16="http://schemas.microsoft.com/office/drawing/2014/main" id="{A6688505-12F1-A7BF-2EB5-76E22DA45A4E}"/>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ja-JP" sz="900">
                <a:solidFill>
                  <a:schemeClr val="dk1"/>
                </a:solidFill>
                <a:effectLst/>
                <a:latin typeface="+mn-lt"/>
                <a:ea typeface="+mn-ea"/>
                <a:cs typeface="+mn-cs"/>
              </a:rPr>
              <a:t>リース終了</a:t>
            </a:r>
            <a:endParaRPr lang="ja-JP" altLang="ja-JP" sz="900">
              <a:effectLst/>
            </a:endParaRPr>
          </a:p>
        </xdr:txBody>
      </xdr:sp>
    </xdr:grpSp>
    <xdr:clientData/>
  </xdr:twoCellAnchor>
  <xdr:twoCellAnchor>
    <xdr:from>
      <xdr:col>30</xdr:col>
      <xdr:colOff>198123</xdr:colOff>
      <xdr:row>244</xdr:row>
      <xdr:rowOff>111781</xdr:rowOff>
    </xdr:from>
    <xdr:to>
      <xdr:col>40</xdr:col>
      <xdr:colOff>137767</xdr:colOff>
      <xdr:row>244</xdr:row>
      <xdr:rowOff>122328</xdr:rowOff>
    </xdr:to>
    <xdr:cxnSp macro="">
      <xdr:nvCxnSpPr>
        <xdr:cNvPr id="364" name="直線矢印コネクタ 363">
          <a:extLst>
            <a:ext uri="{FF2B5EF4-FFF2-40B4-BE49-F238E27FC236}">
              <a16:creationId xmlns:a16="http://schemas.microsoft.com/office/drawing/2014/main" id="{353885A3-A9C9-4DE6-A9E6-B526D9D1CAD0}"/>
            </a:ext>
          </a:extLst>
        </xdr:cNvPr>
        <xdr:cNvCxnSpPr>
          <a:stCxn id="356" idx="3"/>
          <a:endCxn id="362" idx="2"/>
        </xdr:cNvCxnSpPr>
      </xdr:nvCxnSpPr>
      <xdr:spPr>
        <a:xfrm flipV="1">
          <a:off x="4801873" y="46777379"/>
          <a:ext cx="1941274" cy="10547"/>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101005</xdr:colOff>
      <xdr:row>246</xdr:row>
      <xdr:rowOff>18750</xdr:rowOff>
    </xdr:from>
    <xdr:to>
      <xdr:col>28</xdr:col>
      <xdr:colOff>103382</xdr:colOff>
      <xdr:row>249</xdr:row>
      <xdr:rowOff>31400</xdr:rowOff>
    </xdr:to>
    <xdr:cxnSp macro="">
      <xdr:nvCxnSpPr>
        <xdr:cNvPr id="367" name="直線矢印コネクタ 366">
          <a:extLst>
            <a:ext uri="{FF2B5EF4-FFF2-40B4-BE49-F238E27FC236}">
              <a16:creationId xmlns:a16="http://schemas.microsoft.com/office/drawing/2014/main" id="{72F3593D-5F3B-4338-9567-E0E7884AABD5}"/>
            </a:ext>
          </a:extLst>
        </xdr:cNvPr>
        <xdr:cNvCxnSpPr>
          <a:cxnSpLocks/>
          <a:stCxn id="356" idx="2"/>
          <a:endCxn id="137" idx="0"/>
        </xdr:cNvCxnSpPr>
      </xdr:nvCxnSpPr>
      <xdr:spPr>
        <a:xfrm flipH="1">
          <a:off x="4304429" y="47029457"/>
          <a:ext cx="2377" cy="53031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255</xdr:row>
      <xdr:rowOff>146538</xdr:rowOff>
    </xdr:from>
    <xdr:to>
      <xdr:col>29</xdr:col>
      <xdr:colOff>192467</xdr:colOff>
      <xdr:row>257</xdr:row>
      <xdr:rowOff>78524</xdr:rowOff>
    </xdr:to>
    <xdr:sp macro="" textlink="">
      <xdr:nvSpPr>
        <xdr:cNvPr id="370" name="フローチャート: 端子 26">
          <a:extLst>
            <a:ext uri="{FF2B5EF4-FFF2-40B4-BE49-F238E27FC236}">
              <a16:creationId xmlns:a16="http://schemas.microsoft.com/office/drawing/2014/main" id="{6D228CD8-7B73-4387-93AD-F906BEB1789A}"/>
            </a:ext>
          </a:extLst>
        </xdr:cNvPr>
        <xdr:cNvSpPr/>
      </xdr:nvSpPr>
      <xdr:spPr>
        <a:xfrm>
          <a:off x="3885876" y="42498277"/>
          <a:ext cx="710178" cy="277095"/>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145037</xdr:colOff>
      <xdr:row>259</xdr:row>
      <xdr:rowOff>152868</xdr:rowOff>
    </xdr:from>
    <xdr:to>
      <xdr:col>30</xdr:col>
      <xdr:colOff>122887</xdr:colOff>
      <xdr:row>262</xdr:row>
      <xdr:rowOff>122845</xdr:rowOff>
    </xdr:to>
    <xdr:sp macro="" textlink="">
      <xdr:nvSpPr>
        <xdr:cNvPr id="371" name="フローチャート: 定義済み処理 9">
          <a:extLst>
            <a:ext uri="{FF2B5EF4-FFF2-40B4-BE49-F238E27FC236}">
              <a16:creationId xmlns:a16="http://schemas.microsoft.com/office/drawing/2014/main" id="{C1776200-2B0A-4F20-A81E-3F890EE36532}"/>
            </a:ext>
          </a:extLst>
        </xdr:cNvPr>
        <xdr:cNvSpPr/>
      </xdr:nvSpPr>
      <xdr:spPr>
        <a:xfrm>
          <a:off x="3747972" y="43194825"/>
          <a:ext cx="978665" cy="487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78822</xdr:colOff>
      <xdr:row>259</xdr:row>
      <xdr:rowOff>47676</xdr:rowOff>
    </xdr:from>
    <xdr:to>
      <xdr:col>31</xdr:col>
      <xdr:colOff>157742</xdr:colOff>
      <xdr:row>263</xdr:row>
      <xdr:rowOff>7292</xdr:rowOff>
    </xdr:to>
    <xdr:sp macro="" textlink="">
      <xdr:nvSpPr>
        <xdr:cNvPr id="372" name="正方形/長方形 48">
          <a:extLst>
            <a:ext uri="{FF2B5EF4-FFF2-40B4-BE49-F238E27FC236}">
              <a16:creationId xmlns:a16="http://schemas.microsoft.com/office/drawing/2014/main" id="{D2A7EAD2-7259-4394-9EE2-F2DBE5B6D859}"/>
            </a:ext>
          </a:extLst>
        </xdr:cNvPr>
        <xdr:cNvSpPr/>
      </xdr:nvSpPr>
      <xdr:spPr>
        <a:xfrm>
          <a:off x="3481594" y="43089633"/>
          <a:ext cx="1480061" cy="64983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リース</a:t>
          </a:r>
          <a:r>
            <a:rPr kumimoji="1" lang="en-US" altLang="ja-JP" sz="900">
              <a:solidFill>
                <a:schemeClr val="dk1"/>
              </a:solidFill>
              <a:effectLst/>
              <a:latin typeface="+mn-lt"/>
              <a:ea typeface="+mn-ea"/>
              <a:cs typeface="+mn-cs"/>
            </a:rPr>
            <a:t>(</a:t>
          </a:r>
          <a:r>
            <a:rPr kumimoji="1" lang="ja-JP" altLang="en-US" sz="900">
              <a:solidFill>
                <a:schemeClr val="dk1"/>
              </a:solidFill>
              <a:effectLst/>
              <a:latin typeface="+mn-lt"/>
              <a:ea typeface="+mn-ea"/>
              <a:cs typeface="+mn-cs"/>
            </a:rPr>
            <a:t>帳簿</a:t>
          </a:r>
          <a:r>
            <a:rPr kumimoji="1" lang="en-US" altLang="ja-JP" sz="900">
              <a:solidFill>
                <a:schemeClr val="dk1"/>
              </a:solidFill>
              <a:effectLst/>
              <a:latin typeface="+mn-lt"/>
              <a:ea typeface="+mn-ea"/>
              <a:cs typeface="+mn-cs"/>
            </a:rPr>
            <a:t>)</a:t>
          </a:r>
        </a:p>
        <a:p>
          <a:pPr algn="ctr"/>
          <a:r>
            <a:rPr kumimoji="1" lang="ja-JP" altLang="en-US" sz="900">
              <a:solidFill>
                <a:schemeClr val="dk1"/>
              </a:solidFill>
              <a:effectLst/>
              <a:latin typeface="+mn-lt"/>
              <a:ea typeface="+mn-ea"/>
              <a:cs typeface="+mn-cs"/>
            </a:rPr>
            <a:t>名称変更</a:t>
          </a:r>
          <a:endParaRPr kumimoji="1" lang="en-US" altLang="ja-JP" sz="900">
            <a:solidFill>
              <a:schemeClr val="dk1"/>
            </a:solidFill>
            <a:effectLst/>
            <a:latin typeface="+mn-lt"/>
            <a:ea typeface="+mn-ea"/>
            <a:cs typeface="+mn-cs"/>
          </a:endParaRPr>
        </a:p>
      </xdr:txBody>
    </xdr:sp>
    <xdr:clientData/>
  </xdr:twoCellAnchor>
  <xdr:twoCellAnchor>
    <xdr:from>
      <xdr:col>30</xdr:col>
      <xdr:colOff>122887</xdr:colOff>
      <xdr:row>261</xdr:row>
      <xdr:rowOff>41354</xdr:rowOff>
    </xdr:from>
    <xdr:to>
      <xdr:col>40</xdr:col>
      <xdr:colOff>152283</xdr:colOff>
      <xdr:row>261</xdr:row>
      <xdr:rowOff>48887</xdr:rowOff>
    </xdr:to>
    <xdr:cxnSp macro="">
      <xdr:nvCxnSpPr>
        <xdr:cNvPr id="373" name="直線矢印コネクタ 372">
          <a:extLst>
            <a:ext uri="{FF2B5EF4-FFF2-40B4-BE49-F238E27FC236}">
              <a16:creationId xmlns:a16="http://schemas.microsoft.com/office/drawing/2014/main" id="{539E2A87-D4AA-4E58-AF7D-A9E52703AFD0}"/>
            </a:ext>
          </a:extLst>
        </xdr:cNvPr>
        <xdr:cNvCxnSpPr>
          <a:stCxn id="371" idx="3"/>
          <a:endCxn id="377" idx="2"/>
        </xdr:cNvCxnSpPr>
      </xdr:nvCxnSpPr>
      <xdr:spPr>
        <a:xfrm flipV="1">
          <a:off x="4726637" y="43428419"/>
          <a:ext cx="2031026" cy="75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65445</xdr:colOff>
      <xdr:row>268</xdr:row>
      <xdr:rowOff>56800</xdr:rowOff>
    </xdr:from>
    <xdr:to>
      <xdr:col>29</xdr:col>
      <xdr:colOff>182948</xdr:colOff>
      <xdr:row>269</xdr:row>
      <xdr:rowOff>153086</xdr:rowOff>
    </xdr:to>
    <xdr:sp macro="" textlink="">
      <xdr:nvSpPr>
        <xdr:cNvPr id="374" name="フローチャート: 端子 26">
          <a:extLst>
            <a:ext uri="{FF2B5EF4-FFF2-40B4-BE49-F238E27FC236}">
              <a16:creationId xmlns:a16="http://schemas.microsoft.com/office/drawing/2014/main" id="{77DF3C3A-C1F2-44D0-93A5-F042B4EE7781}"/>
            </a:ext>
          </a:extLst>
        </xdr:cNvPr>
        <xdr:cNvSpPr/>
      </xdr:nvSpPr>
      <xdr:spPr>
        <a:xfrm>
          <a:off x="3865920" y="48662875"/>
          <a:ext cx="717578" cy="2677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257</xdr:row>
      <xdr:rowOff>78524</xdr:rowOff>
    </xdr:from>
    <xdr:to>
      <xdr:col>28</xdr:col>
      <xdr:colOff>38186</xdr:colOff>
      <xdr:row>259</xdr:row>
      <xdr:rowOff>152868</xdr:rowOff>
    </xdr:to>
    <xdr:cxnSp macro="">
      <xdr:nvCxnSpPr>
        <xdr:cNvPr id="375" name="直線矢印コネクタ 374">
          <a:extLst>
            <a:ext uri="{FF2B5EF4-FFF2-40B4-BE49-F238E27FC236}">
              <a16:creationId xmlns:a16="http://schemas.microsoft.com/office/drawing/2014/main" id="{4580714E-9D4C-4934-A016-AC2CD9D63564}"/>
            </a:ext>
          </a:extLst>
        </xdr:cNvPr>
        <xdr:cNvCxnSpPr>
          <a:stCxn id="370" idx="2"/>
          <a:endCxn id="371" idx="0"/>
        </xdr:cNvCxnSpPr>
      </xdr:nvCxnSpPr>
      <xdr:spPr>
        <a:xfrm flipH="1">
          <a:off x="4237949" y="42775372"/>
          <a:ext cx="3661" cy="41945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48219</xdr:colOff>
      <xdr:row>259</xdr:row>
      <xdr:rowOff>85214</xdr:rowOff>
    </xdr:from>
    <xdr:to>
      <xdr:col>45</xdr:col>
      <xdr:colOff>64459</xdr:colOff>
      <xdr:row>263</xdr:row>
      <xdr:rowOff>46869</xdr:rowOff>
    </xdr:to>
    <xdr:grpSp>
      <xdr:nvGrpSpPr>
        <xdr:cNvPr id="376" name="グループ化 375">
          <a:extLst>
            <a:ext uri="{FF2B5EF4-FFF2-40B4-BE49-F238E27FC236}">
              <a16:creationId xmlns:a16="http://schemas.microsoft.com/office/drawing/2014/main" id="{822B715C-FDCC-4C7D-A27D-3960EFD96C83}"/>
            </a:ext>
          </a:extLst>
        </xdr:cNvPr>
        <xdr:cNvGrpSpPr>
          <a:grpSpLocks noChangeAspect="1"/>
        </xdr:cNvGrpSpPr>
      </xdr:nvGrpSpPr>
      <xdr:grpSpPr>
        <a:xfrm>
          <a:off x="7287219" y="44843189"/>
          <a:ext cx="921115" cy="647455"/>
          <a:chOff x="7112003" y="2892425"/>
          <a:chExt cx="873125" cy="584984"/>
        </a:xfrm>
      </xdr:grpSpPr>
      <xdr:sp macro="" textlink="">
        <xdr:nvSpPr>
          <xdr:cNvPr id="377" name="フローチャート: 磁気ディスク 376">
            <a:extLst>
              <a:ext uri="{FF2B5EF4-FFF2-40B4-BE49-F238E27FC236}">
                <a16:creationId xmlns:a16="http://schemas.microsoft.com/office/drawing/2014/main" id="{879B65CD-8F92-61BE-67EF-F9517AEDF874}"/>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78" name="正方形/長方形 377">
            <a:extLst>
              <a:ext uri="{FF2B5EF4-FFF2-40B4-BE49-F238E27FC236}">
                <a16:creationId xmlns:a16="http://schemas.microsoft.com/office/drawing/2014/main" id="{16A01C90-02FE-2212-4CDD-C5CE90987327}"/>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（帳簿）</a:t>
            </a:r>
          </a:p>
        </xdr:txBody>
      </xdr:sp>
    </xdr:grpSp>
    <xdr:clientData/>
  </xdr:twoCellAnchor>
  <xdr:twoCellAnchor>
    <xdr:from>
      <xdr:col>28</xdr:col>
      <xdr:colOff>24184</xdr:colOff>
      <xdr:row>262</xdr:row>
      <xdr:rowOff>126020</xdr:rowOff>
    </xdr:from>
    <xdr:to>
      <xdr:col>28</xdr:col>
      <xdr:colOff>33950</xdr:colOff>
      <xdr:row>268</xdr:row>
      <xdr:rowOff>56800</xdr:rowOff>
    </xdr:to>
    <xdr:cxnSp macro="">
      <xdr:nvCxnSpPr>
        <xdr:cNvPr id="403" name="直線矢印コネクタ 402">
          <a:extLst>
            <a:ext uri="{FF2B5EF4-FFF2-40B4-BE49-F238E27FC236}">
              <a16:creationId xmlns:a16="http://schemas.microsoft.com/office/drawing/2014/main" id="{694CADE5-722E-49B4-960B-8C2487B95919}"/>
            </a:ext>
          </a:extLst>
        </xdr:cNvPr>
        <xdr:cNvCxnSpPr>
          <a:cxnSpLocks/>
          <a:stCxn id="371" idx="2"/>
          <a:endCxn id="374" idx="0"/>
        </xdr:cNvCxnSpPr>
      </xdr:nvCxnSpPr>
      <xdr:spPr>
        <a:xfrm flipH="1">
          <a:off x="4224709" y="47703395"/>
          <a:ext cx="9766" cy="9594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82778</xdr:colOff>
      <xdr:row>274</xdr:row>
      <xdr:rowOff>146538</xdr:rowOff>
    </xdr:from>
    <xdr:to>
      <xdr:col>29</xdr:col>
      <xdr:colOff>192467</xdr:colOff>
      <xdr:row>276</xdr:row>
      <xdr:rowOff>78524</xdr:rowOff>
    </xdr:to>
    <xdr:sp macro="" textlink="">
      <xdr:nvSpPr>
        <xdr:cNvPr id="14" name="フローチャート: 端子 26">
          <a:extLst>
            <a:ext uri="{FF2B5EF4-FFF2-40B4-BE49-F238E27FC236}">
              <a16:creationId xmlns:a16="http://schemas.microsoft.com/office/drawing/2014/main" id="{07555CF2-CE4B-46CC-9C37-4A155DE3D627}"/>
            </a:ext>
          </a:extLst>
        </xdr:cNvPr>
        <xdr:cNvSpPr/>
      </xdr:nvSpPr>
      <xdr:spPr>
        <a:xfrm>
          <a:off x="3853091" y="44731476"/>
          <a:ext cx="705001" cy="281236"/>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開始</a:t>
          </a:r>
        </a:p>
      </xdr:txBody>
    </xdr:sp>
    <xdr:clientData/>
  </xdr:twoCellAnchor>
  <xdr:twoCellAnchor>
    <xdr:from>
      <xdr:col>25</xdr:col>
      <xdr:colOff>145037</xdr:colOff>
      <xdr:row>278</xdr:row>
      <xdr:rowOff>152868</xdr:rowOff>
    </xdr:from>
    <xdr:to>
      <xdr:col>30</xdr:col>
      <xdr:colOff>122887</xdr:colOff>
      <xdr:row>281</xdr:row>
      <xdr:rowOff>122845</xdr:rowOff>
    </xdr:to>
    <xdr:sp macro="" textlink="">
      <xdr:nvSpPr>
        <xdr:cNvPr id="18" name="フローチャート: 定義済み処理 9">
          <a:extLst>
            <a:ext uri="{FF2B5EF4-FFF2-40B4-BE49-F238E27FC236}">
              <a16:creationId xmlns:a16="http://schemas.microsoft.com/office/drawing/2014/main" id="{A45FFE25-E4B4-4628-B138-F16CDCE4E62B}"/>
            </a:ext>
          </a:extLst>
        </xdr:cNvPr>
        <xdr:cNvSpPr/>
      </xdr:nvSpPr>
      <xdr:spPr>
        <a:xfrm>
          <a:off x="3716912" y="45436306"/>
          <a:ext cx="970038" cy="49385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clientData/>
  </xdr:twoCellAnchor>
  <xdr:twoCellAnchor>
    <xdr:from>
      <xdr:col>24</xdr:col>
      <xdr:colOff>78822</xdr:colOff>
      <xdr:row>278</xdr:row>
      <xdr:rowOff>47676</xdr:rowOff>
    </xdr:from>
    <xdr:to>
      <xdr:col>31</xdr:col>
      <xdr:colOff>157742</xdr:colOff>
      <xdr:row>282</xdr:row>
      <xdr:rowOff>7292</xdr:rowOff>
    </xdr:to>
    <xdr:sp macro="" textlink="">
      <xdr:nvSpPr>
        <xdr:cNvPr id="19" name="正方形/長方形 48">
          <a:extLst>
            <a:ext uri="{FF2B5EF4-FFF2-40B4-BE49-F238E27FC236}">
              <a16:creationId xmlns:a16="http://schemas.microsoft.com/office/drawing/2014/main" id="{4A4942A5-681E-42F8-8CBD-6B5D09059502}"/>
            </a:ext>
          </a:extLst>
        </xdr:cNvPr>
        <xdr:cNvSpPr/>
      </xdr:nvSpPr>
      <xdr:spPr>
        <a:xfrm>
          <a:off x="3452260" y="45331114"/>
          <a:ext cx="1467982" cy="65811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減損登録</a:t>
          </a:r>
          <a:endParaRPr kumimoji="1" lang="en-US" altLang="ja-JP" sz="900">
            <a:solidFill>
              <a:schemeClr val="dk1"/>
            </a:solidFill>
            <a:effectLst/>
            <a:latin typeface="+mn-lt"/>
            <a:ea typeface="+mn-ea"/>
            <a:cs typeface="+mn-cs"/>
          </a:endParaRPr>
        </a:p>
      </xdr:txBody>
    </xdr:sp>
    <xdr:clientData/>
  </xdr:twoCellAnchor>
  <xdr:twoCellAnchor>
    <xdr:from>
      <xdr:col>30</xdr:col>
      <xdr:colOff>122887</xdr:colOff>
      <xdr:row>280</xdr:row>
      <xdr:rowOff>41354</xdr:rowOff>
    </xdr:from>
    <xdr:to>
      <xdr:col>40</xdr:col>
      <xdr:colOff>152283</xdr:colOff>
      <xdr:row>280</xdr:row>
      <xdr:rowOff>48887</xdr:rowOff>
    </xdr:to>
    <xdr:cxnSp macro="">
      <xdr:nvCxnSpPr>
        <xdr:cNvPr id="20" name="直線矢印コネクタ 19">
          <a:extLst>
            <a:ext uri="{FF2B5EF4-FFF2-40B4-BE49-F238E27FC236}">
              <a16:creationId xmlns:a16="http://schemas.microsoft.com/office/drawing/2014/main" id="{479635C7-6212-4DE6-85F8-DE1D124461DC}"/>
            </a:ext>
          </a:extLst>
        </xdr:cNvPr>
        <xdr:cNvCxnSpPr>
          <a:stCxn id="18" idx="3"/>
          <a:endCxn id="25" idx="2"/>
        </xdr:cNvCxnSpPr>
      </xdr:nvCxnSpPr>
      <xdr:spPr>
        <a:xfrm flipV="1">
          <a:off x="4686950" y="45674042"/>
          <a:ext cx="2013771" cy="7533"/>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110690</xdr:colOff>
      <xdr:row>310</xdr:row>
      <xdr:rowOff>12351</xdr:rowOff>
    </xdr:from>
    <xdr:to>
      <xdr:col>37</xdr:col>
      <xdr:colOff>6736</xdr:colOff>
      <xdr:row>311</xdr:row>
      <xdr:rowOff>102286</xdr:rowOff>
    </xdr:to>
    <xdr:sp macro="" textlink="">
      <xdr:nvSpPr>
        <xdr:cNvPr id="21" name="フローチャート: 端子 26">
          <a:extLst>
            <a:ext uri="{FF2B5EF4-FFF2-40B4-BE49-F238E27FC236}">
              <a16:creationId xmlns:a16="http://schemas.microsoft.com/office/drawing/2014/main" id="{004861D2-D12A-4A52-B882-9F8C19208F3E}"/>
            </a:ext>
          </a:extLst>
        </xdr:cNvPr>
        <xdr:cNvSpPr/>
      </xdr:nvSpPr>
      <xdr:spPr>
        <a:xfrm>
          <a:off x="6790096" y="51780726"/>
          <a:ext cx="705671" cy="256623"/>
        </a:xfrm>
        <a:prstGeom prst="flowChartTerminator">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終了</a:t>
          </a:r>
        </a:p>
      </xdr:txBody>
    </xdr:sp>
    <xdr:clientData/>
  </xdr:twoCellAnchor>
  <xdr:twoCellAnchor>
    <xdr:from>
      <xdr:col>28</xdr:col>
      <xdr:colOff>34525</xdr:colOff>
      <xdr:row>276</xdr:row>
      <xdr:rowOff>78524</xdr:rowOff>
    </xdr:from>
    <xdr:to>
      <xdr:col>28</xdr:col>
      <xdr:colOff>38186</xdr:colOff>
      <xdr:row>278</xdr:row>
      <xdr:rowOff>152868</xdr:rowOff>
    </xdr:to>
    <xdr:cxnSp macro="">
      <xdr:nvCxnSpPr>
        <xdr:cNvPr id="22" name="直線矢印コネクタ 21">
          <a:extLst>
            <a:ext uri="{FF2B5EF4-FFF2-40B4-BE49-F238E27FC236}">
              <a16:creationId xmlns:a16="http://schemas.microsoft.com/office/drawing/2014/main" id="{A301D310-61C4-4548-8028-99C4B05D24F8}"/>
            </a:ext>
          </a:extLst>
        </xdr:cNvPr>
        <xdr:cNvCxnSpPr>
          <a:stCxn id="14" idx="2"/>
          <a:endCxn id="18" idx="0"/>
        </xdr:cNvCxnSpPr>
      </xdr:nvCxnSpPr>
      <xdr:spPr>
        <a:xfrm flipH="1">
          <a:off x="4201713" y="45012712"/>
          <a:ext cx="3661" cy="423594"/>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48219</xdr:colOff>
      <xdr:row>278</xdr:row>
      <xdr:rowOff>85214</xdr:rowOff>
    </xdr:from>
    <xdr:to>
      <xdr:col>45</xdr:col>
      <xdr:colOff>64459</xdr:colOff>
      <xdr:row>282</xdr:row>
      <xdr:rowOff>46869</xdr:rowOff>
    </xdr:to>
    <xdr:grpSp>
      <xdr:nvGrpSpPr>
        <xdr:cNvPr id="23" name="グループ化 22">
          <a:extLst>
            <a:ext uri="{FF2B5EF4-FFF2-40B4-BE49-F238E27FC236}">
              <a16:creationId xmlns:a16="http://schemas.microsoft.com/office/drawing/2014/main" id="{7EFF6C42-F64C-4B7B-B091-941E98ABD640}"/>
            </a:ext>
          </a:extLst>
        </xdr:cNvPr>
        <xdr:cNvGrpSpPr>
          <a:grpSpLocks noChangeAspect="1"/>
        </xdr:cNvGrpSpPr>
      </xdr:nvGrpSpPr>
      <xdr:grpSpPr>
        <a:xfrm>
          <a:off x="7287219" y="48100739"/>
          <a:ext cx="921115" cy="647455"/>
          <a:chOff x="7112003" y="2892425"/>
          <a:chExt cx="873125" cy="584984"/>
        </a:xfrm>
      </xdr:grpSpPr>
      <xdr:sp macro="" textlink="">
        <xdr:nvSpPr>
          <xdr:cNvPr id="25" name="フローチャート: 磁気ディスク 24">
            <a:extLst>
              <a:ext uri="{FF2B5EF4-FFF2-40B4-BE49-F238E27FC236}">
                <a16:creationId xmlns:a16="http://schemas.microsoft.com/office/drawing/2014/main" id="{AFDB1162-774E-A0CF-8CDB-12D829B87DCB}"/>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26" name="正方形/長方形 25">
            <a:extLst>
              <a:ext uri="{FF2B5EF4-FFF2-40B4-BE49-F238E27FC236}">
                <a16:creationId xmlns:a16="http://schemas.microsoft.com/office/drawing/2014/main" id="{FE20A194-63FC-27B8-6652-014C6A1E7D2A}"/>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リースの概要</a:t>
            </a:r>
          </a:p>
          <a:p>
            <a:pPr algn="ctr"/>
            <a:r>
              <a:rPr kumimoji="1" lang="ja-JP" altLang="en-US" sz="900"/>
              <a:t>（帳簿）</a:t>
            </a:r>
          </a:p>
        </xdr:txBody>
      </xdr:sp>
    </xdr:grpSp>
    <xdr:clientData/>
  </xdr:twoCellAnchor>
  <xdr:twoCellAnchor>
    <xdr:from>
      <xdr:col>28</xdr:col>
      <xdr:colOff>20809</xdr:colOff>
      <xdr:row>281</xdr:row>
      <xdr:rowOff>126020</xdr:rowOff>
    </xdr:from>
    <xdr:to>
      <xdr:col>28</xdr:col>
      <xdr:colOff>32759</xdr:colOff>
      <xdr:row>288</xdr:row>
      <xdr:rowOff>144875</xdr:rowOff>
    </xdr:to>
    <xdr:cxnSp macro="">
      <xdr:nvCxnSpPr>
        <xdr:cNvPr id="27" name="直線矢印コネクタ 26">
          <a:extLst>
            <a:ext uri="{FF2B5EF4-FFF2-40B4-BE49-F238E27FC236}">
              <a16:creationId xmlns:a16="http://schemas.microsoft.com/office/drawing/2014/main" id="{DB9477EF-2F0D-4340-A93C-F24FF261EB2F}"/>
            </a:ext>
          </a:extLst>
        </xdr:cNvPr>
        <xdr:cNvCxnSpPr>
          <a:cxnSpLocks/>
          <a:stCxn id="18" idx="2"/>
          <a:endCxn id="34" idx="0"/>
        </xdr:cNvCxnSpPr>
      </xdr:nvCxnSpPr>
      <xdr:spPr>
        <a:xfrm flipH="1">
          <a:off x="5688184" y="47060458"/>
          <a:ext cx="11950" cy="118566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76201</xdr:colOff>
      <xdr:row>288</xdr:row>
      <xdr:rowOff>112714</xdr:rowOff>
    </xdr:from>
    <xdr:to>
      <xdr:col>30</xdr:col>
      <xdr:colOff>159412</xdr:colOff>
      <xdr:row>291</xdr:row>
      <xdr:rowOff>151043</xdr:rowOff>
    </xdr:to>
    <xdr:grpSp>
      <xdr:nvGrpSpPr>
        <xdr:cNvPr id="33" name="グループ化 8">
          <a:extLst>
            <a:ext uri="{FF2B5EF4-FFF2-40B4-BE49-F238E27FC236}">
              <a16:creationId xmlns:a16="http://schemas.microsoft.com/office/drawing/2014/main" id="{3E705149-B59E-4C12-BD51-AEE5F5E218CD}"/>
            </a:ext>
          </a:extLst>
        </xdr:cNvPr>
        <xdr:cNvGrpSpPr/>
      </xdr:nvGrpSpPr>
      <xdr:grpSpPr>
        <a:xfrm>
          <a:off x="4600576" y="49842739"/>
          <a:ext cx="988086" cy="552679"/>
          <a:chOff x="1633113" y="2430783"/>
          <a:chExt cx="908902" cy="422628"/>
        </a:xfrm>
      </xdr:grpSpPr>
      <xdr:sp macro="" textlink="">
        <xdr:nvSpPr>
          <xdr:cNvPr id="34" name="フローチャート: 定義済み処理 9">
            <a:extLst>
              <a:ext uri="{FF2B5EF4-FFF2-40B4-BE49-F238E27FC236}">
                <a16:creationId xmlns:a16="http://schemas.microsoft.com/office/drawing/2014/main" id="{CB009232-A8B1-E3CB-DD4F-848DD1E34B69}"/>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5" name="正方形/長方形 48">
            <a:extLst>
              <a:ext uri="{FF2B5EF4-FFF2-40B4-BE49-F238E27FC236}">
                <a16:creationId xmlns:a16="http://schemas.microsoft.com/office/drawing/2014/main" id="{06973ED3-5032-5E2B-B652-9A411B613C78}"/>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間接法の振替</a:t>
            </a:r>
            <a:endParaRPr kumimoji="1" lang="en-US" altLang="ja-JP" sz="900"/>
          </a:p>
          <a:p>
            <a:pPr algn="ctr"/>
            <a:r>
              <a:rPr kumimoji="1" lang="ja-JP" altLang="en-US" sz="900"/>
              <a:t>仕訳の登録</a:t>
            </a:r>
            <a:endParaRPr kumimoji="1" lang="en-US" altLang="ja-JP" sz="900"/>
          </a:p>
        </xdr:txBody>
      </xdr:sp>
    </xdr:grpSp>
    <xdr:clientData/>
  </xdr:twoCellAnchor>
  <xdr:twoCellAnchor>
    <xdr:from>
      <xdr:col>6</xdr:col>
      <xdr:colOff>35718</xdr:colOff>
      <xdr:row>16</xdr:row>
      <xdr:rowOff>0</xdr:rowOff>
    </xdr:from>
    <xdr:to>
      <xdr:col>11</xdr:col>
      <xdr:colOff>103018</xdr:colOff>
      <xdr:row>18</xdr:row>
      <xdr:rowOff>27506</xdr:rowOff>
    </xdr:to>
    <xdr:grpSp>
      <xdr:nvGrpSpPr>
        <xdr:cNvPr id="45" name="グループ化 30">
          <a:extLst>
            <a:ext uri="{FF2B5EF4-FFF2-40B4-BE49-F238E27FC236}">
              <a16:creationId xmlns:a16="http://schemas.microsoft.com/office/drawing/2014/main" id="{CC60880B-E667-47DC-B833-4FDDCB65F23A}"/>
            </a:ext>
          </a:extLst>
        </xdr:cNvPr>
        <xdr:cNvGrpSpPr>
          <a:grpSpLocks noChangeAspect="1"/>
        </xdr:cNvGrpSpPr>
      </xdr:nvGrpSpPr>
      <xdr:grpSpPr>
        <a:xfrm>
          <a:off x="1121568" y="2847975"/>
          <a:ext cx="972175" cy="379931"/>
          <a:chOff x="2595823" y="18514795"/>
          <a:chExt cx="1182905" cy="417276"/>
        </a:xfrm>
      </xdr:grpSpPr>
      <xdr:sp macro="" textlink="">
        <xdr:nvSpPr>
          <xdr:cNvPr id="48" name="フローチャート: 書類 31">
            <a:extLst>
              <a:ext uri="{FF2B5EF4-FFF2-40B4-BE49-F238E27FC236}">
                <a16:creationId xmlns:a16="http://schemas.microsoft.com/office/drawing/2014/main" id="{9FDB58EA-2C57-1798-9783-1000D0DE8C24}"/>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49" name="正方形/長方形 35">
            <a:extLst>
              <a:ext uri="{FF2B5EF4-FFF2-40B4-BE49-F238E27FC236}">
                <a16:creationId xmlns:a16="http://schemas.microsoft.com/office/drawing/2014/main" id="{116C3D61-20BA-849F-EF4C-59066EF8A4D1}"/>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11</xdr:col>
      <xdr:colOff>185925</xdr:colOff>
      <xdr:row>19</xdr:row>
      <xdr:rowOff>144550</xdr:rowOff>
    </xdr:from>
    <xdr:to>
      <xdr:col>17</xdr:col>
      <xdr:colOff>3690</xdr:colOff>
      <xdr:row>23</xdr:row>
      <xdr:rowOff>6869</xdr:rowOff>
    </xdr:to>
    <xdr:grpSp>
      <xdr:nvGrpSpPr>
        <xdr:cNvPr id="13" name="グループ化 12">
          <a:extLst>
            <a:ext uri="{FF2B5EF4-FFF2-40B4-BE49-F238E27FC236}">
              <a16:creationId xmlns:a16="http://schemas.microsoft.com/office/drawing/2014/main" id="{5E870F25-94CE-794D-5B61-3CBF005DB160}"/>
            </a:ext>
          </a:extLst>
        </xdr:cNvPr>
        <xdr:cNvGrpSpPr/>
      </xdr:nvGrpSpPr>
      <xdr:grpSpPr>
        <a:xfrm>
          <a:off x="2167125" y="3525925"/>
          <a:ext cx="913140" cy="567169"/>
          <a:chOff x="5326250" y="3402150"/>
          <a:chExt cx="1032202" cy="540459"/>
        </a:xfrm>
      </xdr:grpSpPr>
      <xdr:sp macro="" textlink="">
        <xdr:nvSpPr>
          <xdr:cNvPr id="31" name="正方形/長方形 30">
            <a:extLst>
              <a:ext uri="{FF2B5EF4-FFF2-40B4-BE49-F238E27FC236}">
                <a16:creationId xmlns:a16="http://schemas.microsoft.com/office/drawing/2014/main" id="{4630F503-7F0E-500B-05AB-C3F53060F3BD}"/>
              </a:ext>
            </a:extLst>
          </xdr:cNvPr>
          <xdr:cNvSpPr/>
        </xdr:nvSpPr>
        <xdr:spPr>
          <a:xfrm>
            <a:off x="5407275" y="3466164"/>
            <a:ext cx="893422" cy="401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2" name="正方形/長方形 48">
            <a:extLst>
              <a:ext uri="{FF2B5EF4-FFF2-40B4-BE49-F238E27FC236}">
                <a16:creationId xmlns:a16="http://schemas.microsoft.com/office/drawing/2014/main" id="{AAD17C51-3430-9720-577A-29C8B072B14D}"/>
              </a:ext>
            </a:extLst>
          </xdr:cNvPr>
          <xdr:cNvSpPr/>
        </xdr:nvSpPr>
        <xdr:spPr>
          <a:xfrm>
            <a:off x="5326250" y="3402150"/>
            <a:ext cx="1032202" cy="54045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2.</a:t>
            </a:r>
            <a:r>
              <a:rPr kumimoji="1" lang="ja-JP" altLang="en-US" sz="900">
                <a:solidFill>
                  <a:schemeClr val="dk1"/>
                </a:solidFill>
                <a:effectLst/>
                <a:latin typeface="+mn-lt"/>
                <a:ea typeface="+mn-ea"/>
                <a:cs typeface="+mn-cs"/>
              </a:rPr>
              <a:t>自動引落</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申請書の受領</a:t>
            </a:r>
          </a:p>
        </xdr:txBody>
      </xdr:sp>
    </xdr:grpSp>
    <xdr:clientData/>
  </xdr:twoCellAnchor>
  <xdr:twoCellAnchor>
    <xdr:from>
      <xdr:col>5</xdr:col>
      <xdr:colOff>177730</xdr:colOff>
      <xdr:row>16</xdr:row>
      <xdr:rowOff>164379</xdr:rowOff>
    </xdr:from>
    <xdr:to>
      <xdr:col>14</xdr:col>
      <xdr:colOff>109616</xdr:colOff>
      <xdr:row>20</xdr:row>
      <xdr:rowOff>40977</xdr:rowOff>
    </xdr:to>
    <xdr:cxnSp macro="">
      <xdr:nvCxnSpPr>
        <xdr:cNvPr id="40" name="コネクタ: カギ線 35">
          <a:extLst>
            <a:ext uri="{FF2B5EF4-FFF2-40B4-BE49-F238E27FC236}">
              <a16:creationId xmlns:a16="http://schemas.microsoft.com/office/drawing/2014/main" id="{4FB9B32F-BF23-41E2-BDF6-C0671816D3CB}"/>
            </a:ext>
          </a:extLst>
        </xdr:cNvPr>
        <xdr:cNvCxnSpPr>
          <a:cxnSpLocks/>
          <a:stCxn id="80" idx="2"/>
          <a:endCxn id="31" idx="0"/>
        </xdr:cNvCxnSpPr>
      </xdr:nvCxnSpPr>
      <xdr:spPr>
        <a:xfrm rot="16200000" flipH="1">
          <a:off x="1794859" y="2321531"/>
          <a:ext cx="543348" cy="175354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193890</xdr:colOff>
      <xdr:row>26</xdr:row>
      <xdr:rowOff>27400</xdr:rowOff>
    </xdr:from>
    <xdr:to>
      <xdr:col>17</xdr:col>
      <xdr:colOff>32644</xdr:colOff>
      <xdr:row>29</xdr:row>
      <xdr:rowOff>46242</xdr:rowOff>
    </xdr:to>
    <xdr:grpSp>
      <xdr:nvGrpSpPr>
        <xdr:cNvPr id="55" name="グループ化 54">
          <a:extLst>
            <a:ext uri="{FF2B5EF4-FFF2-40B4-BE49-F238E27FC236}">
              <a16:creationId xmlns:a16="http://schemas.microsoft.com/office/drawing/2014/main" id="{732A5EDF-EF8C-F004-1136-830CD61EC1BE}"/>
            </a:ext>
          </a:extLst>
        </xdr:cNvPr>
        <xdr:cNvGrpSpPr/>
      </xdr:nvGrpSpPr>
      <xdr:grpSpPr>
        <a:xfrm>
          <a:off x="2175090" y="4656550"/>
          <a:ext cx="934129" cy="542717"/>
          <a:chOff x="5337390" y="4451556"/>
          <a:chExt cx="1053191" cy="520785"/>
        </a:xfrm>
      </xdr:grpSpPr>
      <xdr:sp macro="" textlink="">
        <xdr:nvSpPr>
          <xdr:cNvPr id="56" name="フローチャート: 定義済み処理 55">
            <a:extLst>
              <a:ext uri="{FF2B5EF4-FFF2-40B4-BE49-F238E27FC236}">
                <a16:creationId xmlns:a16="http://schemas.microsoft.com/office/drawing/2014/main" id="{DE4E3111-CF85-7984-710F-642491AC98AD}"/>
              </a:ext>
            </a:extLst>
          </xdr:cNvPr>
          <xdr:cNvSpPr/>
        </xdr:nvSpPr>
        <xdr:spPr>
          <a:xfrm>
            <a:off x="5379882" y="4473788"/>
            <a:ext cx="941723" cy="47496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57" name="正方形/長方形 48">
            <a:extLst>
              <a:ext uri="{FF2B5EF4-FFF2-40B4-BE49-F238E27FC236}">
                <a16:creationId xmlns:a16="http://schemas.microsoft.com/office/drawing/2014/main" id="{AEBB3713-42C1-70B2-2351-0A23AC94B150}"/>
              </a:ext>
            </a:extLst>
          </xdr:cNvPr>
          <xdr:cNvSpPr/>
        </xdr:nvSpPr>
        <xdr:spPr>
          <a:xfrm>
            <a:off x="5337390" y="4451556"/>
            <a:ext cx="1053191" cy="52078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3.</a:t>
            </a:r>
            <a:r>
              <a:rPr kumimoji="1" lang="ja-JP" altLang="en-US" sz="900"/>
              <a:t>リース資産</a:t>
            </a:r>
            <a:endParaRPr kumimoji="1" lang="en-US" altLang="ja-JP" sz="900"/>
          </a:p>
          <a:p>
            <a:pPr algn="ctr"/>
            <a:r>
              <a:rPr kumimoji="1" lang="ja-JP" altLang="en-US" sz="900"/>
              <a:t>登録</a:t>
            </a:r>
            <a:endParaRPr kumimoji="1" lang="en-US" altLang="ja-JP" sz="900"/>
          </a:p>
        </xdr:txBody>
      </xdr:sp>
    </xdr:grpSp>
    <xdr:clientData/>
  </xdr:twoCellAnchor>
  <xdr:twoCellAnchor>
    <xdr:from>
      <xdr:col>14</xdr:col>
      <xdr:colOff>100105</xdr:colOff>
      <xdr:row>22</xdr:row>
      <xdr:rowOff>102804</xdr:rowOff>
    </xdr:from>
    <xdr:to>
      <xdr:col>14</xdr:col>
      <xdr:colOff>106513</xdr:colOff>
      <xdr:row>26</xdr:row>
      <xdr:rowOff>52727</xdr:rowOff>
    </xdr:to>
    <xdr:cxnSp macro="">
      <xdr:nvCxnSpPr>
        <xdr:cNvPr id="58" name="直線矢印コネクタ 57">
          <a:extLst>
            <a:ext uri="{FF2B5EF4-FFF2-40B4-BE49-F238E27FC236}">
              <a16:creationId xmlns:a16="http://schemas.microsoft.com/office/drawing/2014/main" id="{4582C0C1-F307-406B-9CD1-929F56FE3AB8}"/>
            </a:ext>
          </a:extLst>
        </xdr:cNvPr>
        <xdr:cNvCxnSpPr>
          <a:stCxn id="31" idx="2"/>
          <a:endCxn id="56" idx="0"/>
        </xdr:cNvCxnSpPr>
      </xdr:nvCxnSpPr>
      <xdr:spPr>
        <a:xfrm flipH="1">
          <a:off x="2933793" y="3865179"/>
          <a:ext cx="6408" cy="61667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133373</xdr:colOff>
      <xdr:row>22</xdr:row>
      <xdr:rowOff>8388</xdr:rowOff>
    </xdr:from>
    <xdr:to>
      <xdr:col>20</xdr:col>
      <xdr:colOff>11232</xdr:colOff>
      <xdr:row>24</xdr:row>
      <xdr:rowOff>45279</xdr:rowOff>
    </xdr:to>
    <xdr:grpSp>
      <xdr:nvGrpSpPr>
        <xdr:cNvPr id="62" name="グループ化 61">
          <a:extLst>
            <a:ext uri="{FF2B5EF4-FFF2-40B4-BE49-F238E27FC236}">
              <a16:creationId xmlns:a16="http://schemas.microsoft.com/office/drawing/2014/main" id="{B2DE9203-D7B7-3569-9EA2-7E15E5A0B846}"/>
            </a:ext>
          </a:extLst>
        </xdr:cNvPr>
        <xdr:cNvGrpSpPr>
          <a:grpSpLocks noChangeAspect="1"/>
        </xdr:cNvGrpSpPr>
      </xdr:nvGrpSpPr>
      <xdr:grpSpPr>
        <a:xfrm>
          <a:off x="2667023" y="3913638"/>
          <a:ext cx="963709" cy="398841"/>
          <a:chOff x="2595823" y="18514795"/>
          <a:chExt cx="1182905" cy="417276"/>
        </a:xfrm>
      </xdr:grpSpPr>
      <xdr:sp macro="" textlink="">
        <xdr:nvSpPr>
          <xdr:cNvPr id="63" name="フローチャート: 書類 62">
            <a:extLst>
              <a:ext uri="{FF2B5EF4-FFF2-40B4-BE49-F238E27FC236}">
                <a16:creationId xmlns:a16="http://schemas.microsoft.com/office/drawing/2014/main" id="{27025063-962C-93EF-9151-7D84F77E0A44}"/>
              </a:ext>
            </a:extLst>
          </xdr:cNvPr>
          <xdr:cNvSpPr/>
        </xdr:nvSpPr>
        <xdr:spPr>
          <a:xfrm>
            <a:off x="2890373" y="18545175"/>
            <a:ext cx="598714" cy="386896"/>
          </a:xfrm>
          <a:prstGeom prst="flowChartDocument">
            <a:avLst/>
          </a:prstGeom>
          <a:solidFill>
            <a:schemeClr val="bg1"/>
          </a:solidFill>
          <a:ln>
            <a:solidFill>
              <a:schemeClr val="tx1"/>
            </a:solidFill>
            <a:prstDash val="dash"/>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sp macro="" textlink="">
        <xdr:nvSpPr>
          <xdr:cNvPr id="66" name="正方形/長方形 65">
            <a:extLst>
              <a:ext uri="{FF2B5EF4-FFF2-40B4-BE49-F238E27FC236}">
                <a16:creationId xmlns:a16="http://schemas.microsoft.com/office/drawing/2014/main" id="{DD014F62-FD9A-84E8-B843-5CF3CFC8625F}"/>
              </a:ext>
            </a:extLst>
          </xdr:cNvPr>
          <xdr:cNvSpPr/>
        </xdr:nvSpPr>
        <xdr:spPr>
          <a:xfrm>
            <a:off x="2595823" y="18514795"/>
            <a:ext cx="1182905" cy="41383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自動引落申請</a:t>
            </a:r>
            <a:endParaRPr kumimoji="1" lang="en-US" altLang="ja-JP" sz="900"/>
          </a:p>
        </xdr:txBody>
      </xdr:sp>
    </xdr:grpSp>
    <xdr:clientData/>
  </xdr:twoCellAnchor>
  <xdr:twoCellAnchor>
    <xdr:from>
      <xdr:col>11</xdr:col>
      <xdr:colOff>191668</xdr:colOff>
      <xdr:row>32</xdr:row>
      <xdr:rowOff>67896</xdr:rowOff>
    </xdr:from>
    <xdr:to>
      <xdr:col>17</xdr:col>
      <xdr:colOff>85981</xdr:colOff>
      <xdr:row>35</xdr:row>
      <xdr:rowOff>88860</xdr:rowOff>
    </xdr:to>
    <xdr:grpSp>
      <xdr:nvGrpSpPr>
        <xdr:cNvPr id="70" name="グループ化 8">
          <a:extLst>
            <a:ext uri="{FF2B5EF4-FFF2-40B4-BE49-F238E27FC236}">
              <a16:creationId xmlns:a16="http://schemas.microsoft.com/office/drawing/2014/main" id="{8DB6DBC2-8F50-E57F-63A9-ADA917621220}"/>
            </a:ext>
          </a:extLst>
        </xdr:cNvPr>
        <xdr:cNvGrpSpPr/>
      </xdr:nvGrpSpPr>
      <xdr:grpSpPr>
        <a:xfrm>
          <a:off x="2172868" y="5763846"/>
          <a:ext cx="989688" cy="544839"/>
          <a:chOff x="1679605" y="2439643"/>
          <a:chExt cx="908902" cy="420662"/>
        </a:xfrm>
      </xdr:grpSpPr>
      <xdr:sp macro="" textlink="">
        <xdr:nvSpPr>
          <xdr:cNvPr id="71" name="フローチャート: 定義済み処理 9">
            <a:extLst>
              <a:ext uri="{FF2B5EF4-FFF2-40B4-BE49-F238E27FC236}">
                <a16:creationId xmlns:a16="http://schemas.microsoft.com/office/drawing/2014/main" id="{7B1CA321-5530-F0AD-DC3C-4513CC0C13FC}"/>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72" name="正方形/長方形 48">
            <a:extLst>
              <a:ext uri="{FF2B5EF4-FFF2-40B4-BE49-F238E27FC236}">
                <a16:creationId xmlns:a16="http://schemas.microsoft.com/office/drawing/2014/main" id="{7E996712-58EA-5DA8-A626-336E65BA5171}"/>
              </a:ext>
            </a:extLst>
          </xdr:cNvPr>
          <xdr:cNvSpPr/>
        </xdr:nvSpPr>
        <xdr:spPr>
          <a:xfrm>
            <a:off x="1679605" y="243964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4.</a:t>
            </a:r>
            <a:r>
              <a:rPr kumimoji="1" lang="ja-JP" altLang="en-US" sz="900"/>
              <a:t>リースに紐づく</a:t>
            </a:r>
            <a:endParaRPr kumimoji="1" lang="en-US" altLang="ja-JP" sz="900"/>
          </a:p>
          <a:p>
            <a:pPr algn="ctr"/>
            <a:r>
              <a:rPr kumimoji="1" lang="ja-JP" altLang="en-US" sz="900"/>
              <a:t>帳簿の作成</a:t>
            </a:r>
          </a:p>
        </xdr:txBody>
      </xdr:sp>
    </xdr:grpSp>
    <xdr:clientData/>
  </xdr:twoCellAnchor>
  <xdr:twoCellAnchor>
    <xdr:from>
      <xdr:col>14</xdr:col>
      <xdr:colOff>100105</xdr:colOff>
      <xdr:row>29</xdr:row>
      <xdr:rowOff>25911</xdr:rowOff>
    </xdr:from>
    <xdr:to>
      <xdr:col>14</xdr:col>
      <xdr:colOff>109253</xdr:colOff>
      <xdr:row>32</xdr:row>
      <xdr:rowOff>89952</xdr:rowOff>
    </xdr:to>
    <xdr:cxnSp macro="">
      <xdr:nvCxnSpPr>
        <xdr:cNvPr id="73" name="直線矢印コネクタ 72">
          <a:extLst>
            <a:ext uri="{FF2B5EF4-FFF2-40B4-BE49-F238E27FC236}">
              <a16:creationId xmlns:a16="http://schemas.microsoft.com/office/drawing/2014/main" id="{304796B3-7C29-437F-8C87-28A4E9842B22}"/>
            </a:ext>
          </a:extLst>
        </xdr:cNvPr>
        <xdr:cNvCxnSpPr>
          <a:cxnSpLocks/>
          <a:stCxn id="56" idx="2"/>
          <a:endCxn id="71" idx="0"/>
        </xdr:cNvCxnSpPr>
      </xdr:nvCxnSpPr>
      <xdr:spPr>
        <a:xfrm>
          <a:off x="2933793" y="4955099"/>
          <a:ext cx="9148" cy="564103"/>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154560</xdr:colOff>
      <xdr:row>45</xdr:row>
      <xdr:rowOff>97927</xdr:rowOff>
    </xdr:from>
    <xdr:to>
      <xdr:col>17</xdr:col>
      <xdr:colOff>31110</xdr:colOff>
      <xdr:row>48</xdr:row>
      <xdr:rowOff>122268</xdr:rowOff>
    </xdr:to>
    <xdr:grpSp>
      <xdr:nvGrpSpPr>
        <xdr:cNvPr id="84" name="グループ化 8">
          <a:extLst>
            <a:ext uri="{FF2B5EF4-FFF2-40B4-BE49-F238E27FC236}">
              <a16:creationId xmlns:a16="http://schemas.microsoft.com/office/drawing/2014/main" id="{4E94573C-3B9D-3051-F097-A8F8F3FAC1F3}"/>
            </a:ext>
          </a:extLst>
        </xdr:cNvPr>
        <xdr:cNvGrpSpPr/>
      </xdr:nvGrpSpPr>
      <xdr:grpSpPr>
        <a:xfrm>
          <a:off x="2145285" y="8098927"/>
          <a:ext cx="962400" cy="548216"/>
          <a:chOff x="1642379" y="2422683"/>
          <a:chExt cx="908902" cy="420662"/>
        </a:xfrm>
      </xdr:grpSpPr>
      <xdr:sp macro="" textlink="">
        <xdr:nvSpPr>
          <xdr:cNvPr id="88" name="フローチャート: 定義済み処理 9">
            <a:extLst>
              <a:ext uri="{FF2B5EF4-FFF2-40B4-BE49-F238E27FC236}">
                <a16:creationId xmlns:a16="http://schemas.microsoft.com/office/drawing/2014/main" id="{0543B0DC-A8A7-A9B4-E5F9-0958AD7540F3}"/>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89" name="正方形/長方形 48">
            <a:extLst>
              <a:ext uri="{FF2B5EF4-FFF2-40B4-BE49-F238E27FC236}">
                <a16:creationId xmlns:a16="http://schemas.microsoft.com/office/drawing/2014/main" id="{AF4F195F-5B13-268D-5919-BC41E067CAB7}"/>
              </a:ext>
            </a:extLst>
          </xdr:cNvPr>
          <xdr:cNvSpPr/>
        </xdr:nvSpPr>
        <xdr:spPr>
          <a:xfrm>
            <a:off x="1642379" y="2422683"/>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5.</a:t>
            </a:r>
            <a:r>
              <a:rPr kumimoji="1" lang="ja-JP" altLang="en-US" sz="900"/>
              <a:t>不要な</a:t>
            </a:r>
            <a:endParaRPr kumimoji="1" lang="en-US" altLang="ja-JP" sz="900"/>
          </a:p>
          <a:p>
            <a:pPr algn="ctr"/>
            <a:r>
              <a:rPr kumimoji="1" lang="ja-JP" altLang="en-US" sz="900"/>
              <a:t>帳簿の削除</a:t>
            </a:r>
          </a:p>
        </xdr:txBody>
      </xdr:sp>
    </xdr:grpSp>
    <xdr:clientData/>
  </xdr:twoCellAnchor>
  <xdr:twoCellAnchor>
    <xdr:from>
      <xdr:col>10</xdr:col>
      <xdr:colOff>183419</xdr:colOff>
      <xdr:row>40</xdr:row>
      <xdr:rowOff>41087</xdr:rowOff>
    </xdr:from>
    <xdr:to>
      <xdr:col>14</xdr:col>
      <xdr:colOff>111769</xdr:colOff>
      <xdr:row>55</xdr:row>
      <xdr:rowOff>73501</xdr:rowOff>
    </xdr:to>
    <xdr:cxnSp macro="">
      <xdr:nvCxnSpPr>
        <xdr:cNvPr id="104" name="コネクタ: カギ線 103">
          <a:extLst>
            <a:ext uri="{FF2B5EF4-FFF2-40B4-BE49-F238E27FC236}">
              <a16:creationId xmlns:a16="http://schemas.microsoft.com/office/drawing/2014/main" id="{BCE48D65-3BB9-400C-A4DB-0663EABF990D}"/>
            </a:ext>
          </a:extLst>
        </xdr:cNvPr>
        <xdr:cNvCxnSpPr>
          <a:stCxn id="114" idx="1"/>
          <a:endCxn id="111" idx="0"/>
        </xdr:cNvCxnSpPr>
      </xdr:nvCxnSpPr>
      <xdr:spPr>
        <a:xfrm rot="10800000" flipH="1" flipV="1">
          <a:off x="2207482" y="6803837"/>
          <a:ext cx="737975" cy="2532727"/>
        </a:xfrm>
        <a:prstGeom prst="bentConnector4">
          <a:avLst>
            <a:gd name="adj1" fmla="val -30977"/>
            <a:gd name="adj2" fmla="val 6709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166998</xdr:colOff>
      <xdr:row>55</xdr:row>
      <xdr:rowOff>57656</xdr:rowOff>
    </xdr:from>
    <xdr:to>
      <xdr:col>17</xdr:col>
      <xdr:colOff>63786</xdr:colOff>
      <xdr:row>58</xdr:row>
      <xdr:rowOff>86123</xdr:rowOff>
    </xdr:to>
    <xdr:grpSp>
      <xdr:nvGrpSpPr>
        <xdr:cNvPr id="109" name="グループ化 8">
          <a:extLst>
            <a:ext uri="{FF2B5EF4-FFF2-40B4-BE49-F238E27FC236}">
              <a16:creationId xmlns:a16="http://schemas.microsoft.com/office/drawing/2014/main" id="{DB4C2B3E-7521-62C9-D679-1344DC211548}"/>
            </a:ext>
          </a:extLst>
        </xdr:cNvPr>
        <xdr:cNvGrpSpPr/>
      </xdr:nvGrpSpPr>
      <xdr:grpSpPr>
        <a:xfrm>
          <a:off x="2157723" y="9839831"/>
          <a:ext cx="982638" cy="542817"/>
          <a:chOff x="1658310" y="2444762"/>
          <a:chExt cx="908902" cy="420662"/>
        </a:xfrm>
      </xdr:grpSpPr>
      <xdr:sp macro="" textlink="">
        <xdr:nvSpPr>
          <xdr:cNvPr id="111" name="フローチャート: 定義済み処理 9">
            <a:extLst>
              <a:ext uri="{FF2B5EF4-FFF2-40B4-BE49-F238E27FC236}">
                <a16:creationId xmlns:a16="http://schemas.microsoft.com/office/drawing/2014/main" id="{FBB5F2B0-11A8-8EF1-5BB5-E1386AD2C82F}"/>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12" name="正方形/長方形 48">
            <a:extLst>
              <a:ext uri="{FF2B5EF4-FFF2-40B4-BE49-F238E27FC236}">
                <a16:creationId xmlns:a16="http://schemas.microsoft.com/office/drawing/2014/main" id="{A60F9EDB-A372-C525-6ACE-2AD39FBBACCB}"/>
              </a:ext>
            </a:extLst>
          </xdr:cNvPr>
          <xdr:cNvSpPr/>
        </xdr:nvSpPr>
        <xdr:spPr>
          <a:xfrm>
            <a:off x="1658310" y="2444762"/>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6.</a:t>
            </a:r>
            <a:r>
              <a:rPr kumimoji="1" lang="ja-JP" altLang="en-US" sz="900">
                <a:solidFill>
                  <a:schemeClr val="dk1"/>
                </a:solidFill>
                <a:effectLst/>
                <a:latin typeface="+mn-lt"/>
                <a:ea typeface="+mn-ea"/>
                <a:cs typeface="+mn-cs"/>
              </a:rPr>
              <a:t>支払スケジュール確定処理</a:t>
            </a:r>
            <a:endParaRPr kumimoji="1" lang="ja-JP" altLang="en-US" sz="900"/>
          </a:p>
        </xdr:txBody>
      </xdr:sp>
    </xdr:grpSp>
    <xdr:clientData/>
  </xdr:twoCellAnchor>
  <xdr:twoCellAnchor>
    <xdr:from>
      <xdr:col>10</xdr:col>
      <xdr:colOff>131300</xdr:colOff>
      <xdr:row>38</xdr:row>
      <xdr:rowOff>56444</xdr:rowOff>
    </xdr:from>
    <xdr:to>
      <xdr:col>18</xdr:col>
      <xdr:colOff>123208</xdr:colOff>
      <xdr:row>42</xdr:row>
      <xdr:rowOff>28907</xdr:rowOff>
    </xdr:to>
    <xdr:grpSp>
      <xdr:nvGrpSpPr>
        <xdr:cNvPr id="113" name="グループ化 112">
          <a:extLst>
            <a:ext uri="{FF2B5EF4-FFF2-40B4-BE49-F238E27FC236}">
              <a16:creationId xmlns:a16="http://schemas.microsoft.com/office/drawing/2014/main" id="{109D7D96-65DA-54D2-E595-CF480F255BBF}"/>
            </a:ext>
          </a:extLst>
        </xdr:cNvPr>
        <xdr:cNvGrpSpPr/>
      </xdr:nvGrpSpPr>
      <xdr:grpSpPr>
        <a:xfrm>
          <a:off x="1941050" y="6819194"/>
          <a:ext cx="1439708" cy="667788"/>
          <a:chOff x="328663" y="4845050"/>
          <a:chExt cx="1227665" cy="646622"/>
        </a:xfrm>
      </xdr:grpSpPr>
      <xdr:sp macro="" textlink="">
        <xdr:nvSpPr>
          <xdr:cNvPr id="114" name="フローチャート: 判断 113">
            <a:extLst>
              <a:ext uri="{FF2B5EF4-FFF2-40B4-BE49-F238E27FC236}">
                <a16:creationId xmlns:a16="http://schemas.microsoft.com/office/drawing/2014/main" id="{FC939FCE-FA62-C56D-FA48-61461D9D2438}"/>
              </a:ext>
            </a:extLst>
          </xdr:cNvPr>
          <xdr:cNvSpPr/>
        </xdr:nvSpPr>
        <xdr:spPr>
          <a:xfrm>
            <a:off x="368299" y="4845050"/>
            <a:ext cx="1116893" cy="64662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115" name="正方形/長方形 48">
            <a:extLst>
              <a:ext uri="{FF2B5EF4-FFF2-40B4-BE49-F238E27FC236}">
                <a16:creationId xmlns:a16="http://schemas.microsoft.com/office/drawing/2014/main" id="{02C487C7-8E22-4CBA-D4DC-37D747231528}"/>
              </a:ext>
            </a:extLst>
          </xdr:cNvPr>
          <xdr:cNvSpPr/>
        </xdr:nvSpPr>
        <xdr:spPr>
          <a:xfrm>
            <a:off x="328663" y="4883259"/>
            <a:ext cx="1227665" cy="552451"/>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300</a:t>
            </a:r>
            <a:r>
              <a:rPr kumimoji="1" lang="ja-JP" altLang="en-US" sz="900"/>
              <a:t>万以上か？</a:t>
            </a:r>
            <a:endParaRPr kumimoji="1" lang="en-US" altLang="ja-JP" sz="900"/>
          </a:p>
          <a:p>
            <a:pPr algn="ctr"/>
            <a:r>
              <a:rPr kumimoji="1" lang="ja-JP" altLang="en-US" sz="900"/>
              <a:t>（ファイナンスリース）</a:t>
            </a:r>
          </a:p>
        </xdr:txBody>
      </xdr:sp>
    </xdr:grpSp>
    <xdr:clientData/>
  </xdr:twoCellAnchor>
  <xdr:twoCellAnchor>
    <xdr:from>
      <xdr:col>14</xdr:col>
      <xdr:colOff>106584</xdr:colOff>
      <xdr:row>35</xdr:row>
      <xdr:rowOff>50751</xdr:rowOff>
    </xdr:from>
    <xdr:to>
      <xdr:col>14</xdr:col>
      <xdr:colOff>107750</xdr:colOff>
      <xdr:row>38</xdr:row>
      <xdr:rowOff>56444</xdr:rowOff>
    </xdr:to>
    <xdr:cxnSp macro="">
      <xdr:nvCxnSpPr>
        <xdr:cNvPr id="117" name="直線矢印コネクタ 116">
          <a:extLst>
            <a:ext uri="{FF2B5EF4-FFF2-40B4-BE49-F238E27FC236}">
              <a16:creationId xmlns:a16="http://schemas.microsoft.com/office/drawing/2014/main" id="{20F368EC-AC31-4B0F-9EB7-7D1A13E241A7}"/>
            </a:ext>
          </a:extLst>
        </xdr:cNvPr>
        <xdr:cNvCxnSpPr>
          <a:stCxn id="71" idx="2"/>
          <a:endCxn id="114" idx="0"/>
        </xdr:cNvCxnSpPr>
      </xdr:nvCxnSpPr>
      <xdr:spPr>
        <a:xfrm flipH="1">
          <a:off x="2940272" y="5980064"/>
          <a:ext cx="1166" cy="50575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106584</xdr:colOff>
      <xdr:row>42</xdr:row>
      <xdr:rowOff>28907</xdr:rowOff>
    </xdr:from>
    <xdr:to>
      <xdr:col>14</xdr:col>
      <xdr:colOff>106788</xdr:colOff>
      <xdr:row>45</xdr:row>
      <xdr:rowOff>141530</xdr:rowOff>
    </xdr:to>
    <xdr:cxnSp macro="">
      <xdr:nvCxnSpPr>
        <xdr:cNvPr id="123" name="直線矢印コネクタ 122">
          <a:extLst>
            <a:ext uri="{FF2B5EF4-FFF2-40B4-BE49-F238E27FC236}">
              <a16:creationId xmlns:a16="http://schemas.microsoft.com/office/drawing/2014/main" id="{29D08D6C-017A-4A7E-83CE-6AA53F741643}"/>
            </a:ext>
          </a:extLst>
        </xdr:cNvPr>
        <xdr:cNvCxnSpPr>
          <a:stCxn id="114" idx="2"/>
          <a:endCxn id="88" idx="0"/>
        </xdr:cNvCxnSpPr>
      </xdr:nvCxnSpPr>
      <xdr:spPr>
        <a:xfrm>
          <a:off x="2940272" y="7125032"/>
          <a:ext cx="204" cy="612686"/>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106788</xdr:colOff>
      <xdr:row>48</xdr:row>
      <xdr:rowOff>111340</xdr:rowOff>
    </xdr:from>
    <xdr:to>
      <xdr:col>14</xdr:col>
      <xdr:colOff>111770</xdr:colOff>
      <xdr:row>55</xdr:row>
      <xdr:rowOff>73502</xdr:rowOff>
    </xdr:to>
    <xdr:cxnSp macro="">
      <xdr:nvCxnSpPr>
        <xdr:cNvPr id="153" name="直線矢印コネクタ 152">
          <a:extLst>
            <a:ext uri="{FF2B5EF4-FFF2-40B4-BE49-F238E27FC236}">
              <a16:creationId xmlns:a16="http://schemas.microsoft.com/office/drawing/2014/main" id="{94456835-8F01-4557-9FD5-1B20F1FC42D6}"/>
            </a:ext>
          </a:extLst>
        </xdr:cNvPr>
        <xdr:cNvCxnSpPr>
          <a:stCxn id="88" idx="2"/>
          <a:endCxn id="111" idx="0"/>
        </xdr:cNvCxnSpPr>
      </xdr:nvCxnSpPr>
      <xdr:spPr>
        <a:xfrm>
          <a:off x="2940476" y="8207590"/>
          <a:ext cx="4982" cy="112897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82239</xdr:colOff>
      <xdr:row>42</xdr:row>
      <xdr:rowOff>45140</xdr:rowOff>
    </xdr:from>
    <xdr:to>
      <xdr:col>16</xdr:col>
      <xdr:colOff>180297</xdr:colOff>
      <xdr:row>43</xdr:row>
      <xdr:rowOff>50129</xdr:rowOff>
    </xdr:to>
    <xdr:sp macro="" textlink="">
      <xdr:nvSpPr>
        <xdr:cNvPr id="156" name="テキスト ボックス 155">
          <a:extLst>
            <a:ext uri="{FF2B5EF4-FFF2-40B4-BE49-F238E27FC236}">
              <a16:creationId xmlns:a16="http://schemas.microsoft.com/office/drawing/2014/main" id="{5D4606D0-D427-FA21-ED21-F54437F041B0}"/>
            </a:ext>
          </a:extLst>
        </xdr:cNvPr>
        <xdr:cNvSpPr txBox="1"/>
      </xdr:nvSpPr>
      <xdr:spPr>
        <a:xfrm>
          <a:off x="2915927" y="7141265"/>
          <a:ext cx="502870" cy="1716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いいえ</a:t>
          </a:r>
        </a:p>
      </xdr:txBody>
    </xdr:sp>
    <xdr:clientData/>
  </xdr:twoCellAnchor>
  <xdr:twoCellAnchor>
    <xdr:from>
      <xdr:col>8</xdr:col>
      <xdr:colOff>26295</xdr:colOff>
      <xdr:row>39</xdr:row>
      <xdr:rowOff>389</xdr:rowOff>
    </xdr:from>
    <xdr:to>
      <xdr:col>10</xdr:col>
      <xdr:colOff>142560</xdr:colOff>
      <xdr:row>40</xdr:row>
      <xdr:rowOff>30837</xdr:rowOff>
    </xdr:to>
    <xdr:sp macro="" textlink="">
      <xdr:nvSpPr>
        <xdr:cNvPr id="157" name="テキスト ボックス 195">
          <a:extLst>
            <a:ext uri="{FF2B5EF4-FFF2-40B4-BE49-F238E27FC236}">
              <a16:creationId xmlns:a16="http://schemas.microsoft.com/office/drawing/2014/main" id="{97EFA431-AB09-38EA-6E9A-62798DDDE062}"/>
            </a:ext>
          </a:extLst>
        </xdr:cNvPr>
        <xdr:cNvSpPr txBox="1"/>
      </xdr:nvSpPr>
      <xdr:spPr>
        <a:xfrm>
          <a:off x="1645545" y="6596452"/>
          <a:ext cx="521078" cy="197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t>はい</a:t>
          </a:r>
        </a:p>
      </xdr:txBody>
    </xdr:sp>
    <xdr:clientData/>
  </xdr:twoCellAnchor>
  <xdr:twoCellAnchor>
    <xdr:from>
      <xdr:col>11</xdr:col>
      <xdr:colOff>173348</xdr:colOff>
      <xdr:row>61</xdr:row>
      <xdr:rowOff>158750</xdr:rowOff>
    </xdr:from>
    <xdr:to>
      <xdr:col>17</xdr:col>
      <xdr:colOff>57890</xdr:colOff>
      <xdr:row>65</xdr:row>
      <xdr:rowOff>16685</xdr:rowOff>
    </xdr:to>
    <xdr:grpSp>
      <xdr:nvGrpSpPr>
        <xdr:cNvPr id="166" name="グループ化 8">
          <a:extLst>
            <a:ext uri="{FF2B5EF4-FFF2-40B4-BE49-F238E27FC236}">
              <a16:creationId xmlns:a16="http://schemas.microsoft.com/office/drawing/2014/main" id="{613CBAAC-FCC6-DCB7-E2AF-191567D837D3}"/>
            </a:ext>
          </a:extLst>
        </xdr:cNvPr>
        <xdr:cNvGrpSpPr/>
      </xdr:nvGrpSpPr>
      <xdr:grpSpPr>
        <a:xfrm>
          <a:off x="2164073" y="10969625"/>
          <a:ext cx="970392" cy="543735"/>
          <a:chOff x="1653542" y="2416116"/>
          <a:chExt cx="908902" cy="420662"/>
        </a:xfrm>
      </xdr:grpSpPr>
      <xdr:sp macro="" textlink="">
        <xdr:nvSpPr>
          <xdr:cNvPr id="167" name="フローチャート: 定義済み処理 9">
            <a:extLst>
              <a:ext uri="{FF2B5EF4-FFF2-40B4-BE49-F238E27FC236}">
                <a16:creationId xmlns:a16="http://schemas.microsoft.com/office/drawing/2014/main" id="{AB5A103A-DC51-9B8E-5ED1-1DAAA081D329}"/>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68" name="正方形/長方形 48">
            <a:extLst>
              <a:ext uri="{FF2B5EF4-FFF2-40B4-BE49-F238E27FC236}">
                <a16:creationId xmlns:a16="http://schemas.microsoft.com/office/drawing/2014/main" id="{677EB6BB-F5C9-269D-10A5-212EF4AB5E31}"/>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7.</a:t>
            </a:r>
            <a:r>
              <a:rPr kumimoji="1" lang="ja-JP" altLang="en-US" sz="900">
                <a:solidFill>
                  <a:schemeClr val="dk1"/>
                </a:solidFill>
                <a:effectLst/>
                <a:latin typeface="+mn-lt"/>
                <a:ea typeface="+mn-ea"/>
                <a:cs typeface="+mn-cs"/>
              </a:rPr>
              <a:t>初期認識</a:t>
            </a:r>
            <a:endParaRPr kumimoji="1" lang="ja-JP" altLang="en-US" sz="900"/>
          </a:p>
        </xdr:txBody>
      </xdr:sp>
    </xdr:grpSp>
    <xdr:clientData/>
  </xdr:twoCellAnchor>
  <xdr:twoCellAnchor>
    <xdr:from>
      <xdr:col>11</xdr:col>
      <xdr:colOff>173349</xdr:colOff>
      <xdr:row>68</xdr:row>
      <xdr:rowOff>96631</xdr:rowOff>
    </xdr:from>
    <xdr:to>
      <xdr:col>17</xdr:col>
      <xdr:colOff>57891</xdr:colOff>
      <xdr:row>71</xdr:row>
      <xdr:rowOff>123945</xdr:rowOff>
    </xdr:to>
    <xdr:grpSp>
      <xdr:nvGrpSpPr>
        <xdr:cNvPr id="169" name="グループ化 8">
          <a:extLst>
            <a:ext uri="{FF2B5EF4-FFF2-40B4-BE49-F238E27FC236}">
              <a16:creationId xmlns:a16="http://schemas.microsoft.com/office/drawing/2014/main" id="{175DCF2C-4C14-AEC4-D5F8-B76138056829}"/>
            </a:ext>
          </a:extLst>
        </xdr:cNvPr>
        <xdr:cNvGrpSpPr/>
      </xdr:nvGrpSpPr>
      <xdr:grpSpPr>
        <a:xfrm>
          <a:off x="2164074" y="12107656"/>
          <a:ext cx="970392" cy="541664"/>
          <a:chOff x="1653542" y="2416116"/>
          <a:chExt cx="908902" cy="420662"/>
        </a:xfrm>
      </xdr:grpSpPr>
      <xdr:sp macro="" textlink="">
        <xdr:nvSpPr>
          <xdr:cNvPr id="170" name="フローチャート: 定義済み処理 9">
            <a:extLst>
              <a:ext uri="{FF2B5EF4-FFF2-40B4-BE49-F238E27FC236}">
                <a16:creationId xmlns:a16="http://schemas.microsoft.com/office/drawing/2014/main" id="{1C8FD21A-3BEB-83F6-5741-256364B8CAA7}"/>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171" name="正方形/長方形 48">
            <a:extLst>
              <a:ext uri="{FF2B5EF4-FFF2-40B4-BE49-F238E27FC236}">
                <a16:creationId xmlns:a16="http://schemas.microsoft.com/office/drawing/2014/main" id="{E2C54DBB-00C1-35B9-97F8-FAA737745128}"/>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8.</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仕訳の承認依頼</a:t>
            </a:r>
            <a:endParaRPr kumimoji="1" lang="ja-JP" altLang="en-US" sz="900"/>
          </a:p>
        </xdr:txBody>
      </xdr:sp>
    </xdr:grpSp>
    <xdr:clientData/>
  </xdr:twoCellAnchor>
  <xdr:twoCellAnchor>
    <xdr:from>
      <xdr:col>14</xdr:col>
      <xdr:colOff>111770</xdr:colOff>
      <xdr:row>58</xdr:row>
      <xdr:rowOff>41331</xdr:rowOff>
    </xdr:from>
    <xdr:to>
      <xdr:col>14</xdr:col>
      <xdr:colOff>117822</xdr:colOff>
      <xdr:row>62</xdr:row>
      <xdr:rowOff>43618</xdr:rowOff>
    </xdr:to>
    <xdr:cxnSp macro="">
      <xdr:nvCxnSpPr>
        <xdr:cNvPr id="175" name="直線矢印コネクタ 174">
          <a:extLst>
            <a:ext uri="{FF2B5EF4-FFF2-40B4-BE49-F238E27FC236}">
              <a16:creationId xmlns:a16="http://schemas.microsoft.com/office/drawing/2014/main" id="{DFA4315B-606A-44D3-8429-62C806C2A4CA}"/>
            </a:ext>
          </a:extLst>
        </xdr:cNvPr>
        <xdr:cNvCxnSpPr>
          <a:stCxn id="111" idx="2"/>
          <a:endCxn id="167" idx="0"/>
        </xdr:cNvCxnSpPr>
      </xdr:nvCxnSpPr>
      <xdr:spPr>
        <a:xfrm>
          <a:off x="2945458" y="9804456"/>
          <a:ext cx="6052" cy="669037"/>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117822</xdr:colOff>
      <xdr:row>65</xdr:row>
      <xdr:rowOff>10885</xdr:rowOff>
    </xdr:from>
    <xdr:to>
      <xdr:col>14</xdr:col>
      <xdr:colOff>117823</xdr:colOff>
      <xdr:row>68</xdr:row>
      <xdr:rowOff>148451</xdr:rowOff>
    </xdr:to>
    <xdr:cxnSp macro="">
      <xdr:nvCxnSpPr>
        <xdr:cNvPr id="182" name="直線矢印コネクタ 181">
          <a:extLst>
            <a:ext uri="{FF2B5EF4-FFF2-40B4-BE49-F238E27FC236}">
              <a16:creationId xmlns:a16="http://schemas.microsoft.com/office/drawing/2014/main" id="{4277529A-3533-4A3B-A71D-81C2BE4B4589}"/>
            </a:ext>
          </a:extLst>
        </xdr:cNvPr>
        <xdr:cNvCxnSpPr>
          <a:stCxn id="167" idx="2"/>
          <a:endCxn id="170" idx="0"/>
        </xdr:cNvCxnSpPr>
      </xdr:nvCxnSpPr>
      <xdr:spPr>
        <a:xfrm>
          <a:off x="2951510" y="10940823"/>
          <a:ext cx="1" cy="637628"/>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11908</xdr:colOff>
      <xdr:row>78</xdr:row>
      <xdr:rowOff>10631</xdr:rowOff>
    </xdr:from>
    <xdr:to>
      <xdr:col>24</xdr:col>
      <xdr:colOff>105345</xdr:colOff>
      <xdr:row>81</xdr:row>
      <xdr:rowOff>47470</xdr:rowOff>
    </xdr:to>
    <xdr:grpSp>
      <xdr:nvGrpSpPr>
        <xdr:cNvPr id="199" name="グループ化 8">
          <a:extLst>
            <a:ext uri="{FF2B5EF4-FFF2-40B4-BE49-F238E27FC236}">
              <a16:creationId xmlns:a16="http://schemas.microsoft.com/office/drawing/2014/main" id="{73050F21-74BD-965D-9A11-C04947156801}"/>
            </a:ext>
          </a:extLst>
        </xdr:cNvPr>
        <xdr:cNvGrpSpPr/>
      </xdr:nvGrpSpPr>
      <xdr:grpSpPr>
        <a:xfrm>
          <a:off x="3450433" y="13736156"/>
          <a:ext cx="998312" cy="551189"/>
          <a:chOff x="1653542" y="2416116"/>
          <a:chExt cx="908902" cy="420662"/>
        </a:xfrm>
      </xdr:grpSpPr>
      <xdr:sp macro="" textlink="">
        <xdr:nvSpPr>
          <xdr:cNvPr id="206" name="フローチャート: 定義済み処理 9">
            <a:extLst>
              <a:ext uri="{FF2B5EF4-FFF2-40B4-BE49-F238E27FC236}">
                <a16:creationId xmlns:a16="http://schemas.microsoft.com/office/drawing/2014/main" id="{B8601604-C072-C73D-364B-3FF2FDE4E356}"/>
              </a:ext>
            </a:extLst>
          </xdr:cNvPr>
          <xdr:cNvSpPr/>
        </xdr:nvSpPr>
        <xdr:spPr>
          <a:xfrm>
            <a:off x="1700240" y="2457450"/>
            <a:ext cx="819150" cy="37465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07" name="正方形/長方形 48">
            <a:extLst>
              <a:ext uri="{FF2B5EF4-FFF2-40B4-BE49-F238E27FC236}">
                <a16:creationId xmlns:a16="http://schemas.microsoft.com/office/drawing/2014/main" id="{2371D5FF-E3A1-FFD3-0523-99879512A836}"/>
              </a:ext>
            </a:extLst>
          </xdr:cNvPr>
          <xdr:cNvSpPr/>
        </xdr:nvSpPr>
        <xdr:spPr>
          <a:xfrm>
            <a:off x="1653542" y="2416116"/>
            <a:ext cx="908902" cy="42066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solidFill>
                  <a:schemeClr val="dk1"/>
                </a:solidFill>
                <a:effectLst/>
                <a:latin typeface="+mn-lt"/>
                <a:ea typeface="+mn-ea"/>
                <a:cs typeface="+mn-cs"/>
              </a:rPr>
              <a:t>9.</a:t>
            </a:r>
            <a:r>
              <a:rPr kumimoji="1" lang="ja-JP" altLang="en-US" sz="900">
                <a:solidFill>
                  <a:schemeClr val="dk1"/>
                </a:solidFill>
                <a:effectLst/>
                <a:latin typeface="+mn-lt"/>
                <a:ea typeface="+mn-ea"/>
                <a:cs typeface="+mn-cs"/>
              </a:rPr>
              <a:t>リース資産計上</a:t>
            </a:r>
            <a:endParaRPr kumimoji="1" lang="en-US" altLang="ja-JP" sz="900">
              <a:solidFill>
                <a:schemeClr val="dk1"/>
              </a:solidFill>
              <a:effectLst/>
              <a:latin typeface="+mn-lt"/>
              <a:ea typeface="+mn-ea"/>
              <a:cs typeface="+mn-cs"/>
            </a:endParaRPr>
          </a:p>
          <a:p>
            <a:pPr algn="ctr"/>
            <a:r>
              <a:rPr kumimoji="1" lang="ja-JP" altLang="en-US" sz="900">
                <a:solidFill>
                  <a:schemeClr val="dk1"/>
                </a:solidFill>
                <a:effectLst/>
                <a:latin typeface="+mn-lt"/>
                <a:ea typeface="+mn-ea"/>
                <a:cs typeface="+mn-cs"/>
              </a:rPr>
              <a:t>仕訳の承認</a:t>
            </a:r>
            <a:endParaRPr kumimoji="1" lang="ja-JP" altLang="en-US" sz="900"/>
          </a:p>
        </xdr:txBody>
      </xdr:sp>
    </xdr:grpSp>
    <xdr:clientData/>
  </xdr:twoCellAnchor>
  <xdr:twoCellAnchor>
    <xdr:from>
      <xdr:col>14</xdr:col>
      <xdr:colOff>117749</xdr:colOff>
      <xdr:row>71</xdr:row>
      <xdr:rowOff>118033</xdr:rowOff>
    </xdr:from>
    <xdr:to>
      <xdr:col>21</xdr:col>
      <xdr:colOff>158832</xdr:colOff>
      <xdr:row>78</xdr:row>
      <xdr:rowOff>63799</xdr:rowOff>
    </xdr:to>
    <xdr:cxnSp macro="">
      <xdr:nvCxnSpPr>
        <xdr:cNvPr id="208" name="コネクタ: カギ線 207">
          <a:extLst>
            <a:ext uri="{FF2B5EF4-FFF2-40B4-BE49-F238E27FC236}">
              <a16:creationId xmlns:a16="http://schemas.microsoft.com/office/drawing/2014/main" id="{2C6D8DA9-3663-4706-9A19-DD27ADFF94C6}"/>
            </a:ext>
          </a:extLst>
        </xdr:cNvPr>
        <xdr:cNvCxnSpPr>
          <a:stCxn id="170" idx="2"/>
          <a:endCxn id="206" idx="0"/>
        </xdr:cNvCxnSpPr>
      </xdr:nvCxnSpPr>
      <xdr:spPr>
        <a:xfrm rot="16200000" flipH="1">
          <a:off x="3008900" y="11990632"/>
          <a:ext cx="1122383" cy="141380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158870</xdr:colOff>
      <xdr:row>81</xdr:row>
      <xdr:rowOff>44604</xdr:rowOff>
    </xdr:from>
    <xdr:to>
      <xdr:col>35</xdr:col>
      <xdr:colOff>143729</xdr:colOff>
      <xdr:row>88</xdr:row>
      <xdr:rowOff>46346</xdr:rowOff>
    </xdr:to>
    <xdr:cxnSp macro="">
      <xdr:nvCxnSpPr>
        <xdr:cNvPr id="223" name="コネクタ: カギ線 222">
          <a:extLst>
            <a:ext uri="{FF2B5EF4-FFF2-40B4-BE49-F238E27FC236}">
              <a16:creationId xmlns:a16="http://schemas.microsoft.com/office/drawing/2014/main" id="{9A00F525-1F20-4223-B2D5-51B0F6004E0F}"/>
            </a:ext>
          </a:extLst>
        </xdr:cNvPr>
        <xdr:cNvCxnSpPr>
          <a:stCxn id="206" idx="2"/>
          <a:endCxn id="131" idx="0"/>
        </xdr:cNvCxnSpPr>
      </xdr:nvCxnSpPr>
      <xdr:spPr>
        <a:xfrm rot="16200000" flipH="1">
          <a:off x="5234398" y="12816545"/>
          <a:ext cx="1168554" cy="2818547"/>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117447</xdr:colOff>
      <xdr:row>229</xdr:row>
      <xdr:rowOff>120946</xdr:rowOff>
    </xdr:from>
    <xdr:to>
      <xdr:col>17</xdr:col>
      <xdr:colOff>12802</xdr:colOff>
      <xdr:row>232</xdr:row>
      <xdr:rowOff>149751</xdr:rowOff>
    </xdr:to>
    <xdr:grpSp>
      <xdr:nvGrpSpPr>
        <xdr:cNvPr id="239" name="グループ化 8">
          <a:extLst>
            <a:ext uri="{FF2B5EF4-FFF2-40B4-BE49-F238E27FC236}">
              <a16:creationId xmlns:a16="http://schemas.microsoft.com/office/drawing/2014/main" id="{4198D523-C23A-D1C2-3F41-BB8658D93CD1}"/>
            </a:ext>
          </a:extLst>
        </xdr:cNvPr>
        <xdr:cNvGrpSpPr/>
      </xdr:nvGrpSpPr>
      <xdr:grpSpPr>
        <a:xfrm>
          <a:off x="2108172" y="39735421"/>
          <a:ext cx="981205" cy="543155"/>
          <a:chOff x="1633015" y="2430783"/>
          <a:chExt cx="908902" cy="422628"/>
        </a:xfrm>
      </xdr:grpSpPr>
      <xdr:sp macro="" textlink="">
        <xdr:nvSpPr>
          <xdr:cNvPr id="240" name="フローチャート: 定義済み処理 9">
            <a:extLst>
              <a:ext uri="{FF2B5EF4-FFF2-40B4-BE49-F238E27FC236}">
                <a16:creationId xmlns:a16="http://schemas.microsoft.com/office/drawing/2014/main" id="{82C498E3-78B9-8063-BA6C-B35DB1621FA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1" name="正方形/長方形 48">
            <a:extLst>
              <a:ext uri="{FF2B5EF4-FFF2-40B4-BE49-F238E27FC236}">
                <a16:creationId xmlns:a16="http://schemas.microsoft.com/office/drawing/2014/main" id="{6107D56C-D8AE-4E00-1609-D70194BE5C80}"/>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2.</a:t>
            </a:r>
            <a:r>
              <a:rPr kumimoji="1" lang="ja-JP" altLang="en-US" sz="900"/>
              <a:t>リース終了</a:t>
            </a:r>
            <a:endParaRPr kumimoji="1" lang="en-US" altLang="ja-JP" sz="900"/>
          </a:p>
          <a:p>
            <a:pPr algn="ctr"/>
            <a:r>
              <a:rPr kumimoji="1" lang="ja-JP" altLang="en-US" sz="900"/>
              <a:t>承認依頼</a:t>
            </a:r>
          </a:p>
        </xdr:txBody>
      </xdr:sp>
    </xdr:grpSp>
    <xdr:clientData/>
  </xdr:twoCellAnchor>
  <xdr:twoCellAnchor>
    <xdr:from>
      <xdr:col>18</xdr:col>
      <xdr:colOff>164003</xdr:colOff>
      <xdr:row>236</xdr:row>
      <xdr:rowOff>145380</xdr:rowOff>
    </xdr:from>
    <xdr:to>
      <xdr:col>24</xdr:col>
      <xdr:colOff>55251</xdr:colOff>
      <xdr:row>240</xdr:row>
      <xdr:rowOff>7981</xdr:rowOff>
    </xdr:to>
    <xdr:grpSp>
      <xdr:nvGrpSpPr>
        <xdr:cNvPr id="245" name="グループ化 8">
          <a:extLst>
            <a:ext uri="{FF2B5EF4-FFF2-40B4-BE49-F238E27FC236}">
              <a16:creationId xmlns:a16="http://schemas.microsoft.com/office/drawing/2014/main" id="{F03FF778-A044-9DFE-E8DD-4D6E73E57169}"/>
            </a:ext>
          </a:extLst>
        </xdr:cNvPr>
        <xdr:cNvGrpSpPr/>
      </xdr:nvGrpSpPr>
      <xdr:grpSpPr>
        <a:xfrm>
          <a:off x="3421553" y="40960005"/>
          <a:ext cx="977098" cy="548401"/>
          <a:chOff x="1633015" y="2430783"/>
          <a:chExt cx="908902" cy="422628"/>
        </a:xfrm>
      </xdr:grpSpPr>
      <xdr:sp macro="" textlink="">
        <xdr:nvSpPr>
          <xdr:cNvPr id="247" name="フローチャート: 定義済み処理 9">
            <a:extLst>
              <a:ext uri="{FF2B5EF4-FFF2-40B4-BE49-F238E27FC236}">
                <a16:creationId xmlns:a16="http://schemas.microsoft.com/office/drawing/2014/main" id="{C23A9DAC-938F-AFAA-CE79-DD4EB806C556}"/>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48" name="正方形/長方形 48">
            <a:extLst>
              <a:ext uri="{FF2B5EF4-FFF2-40B4-BE49-F238E27FC236}">
                <a16:creationId xmlns:a16="http://schemas.microsoft.com/office/drawing/2014/main" id="{7F4FD45B-776E-DB7C-4DAA-4CE6B736EAEC}"/>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リース終了</a:t>
            </a:r>
            <a:endParaRPr kumimoji="1" lang="en-US" altLang="ja-JP" sz="900"/>
          </a:p>
          <a:p>
            <a:pPr algn="ctr"/>
            <a:r>
              <a:rPr kumimoji="1" lang="ja-JP" altLang="en-US" sz="900"/>
              <a:t>承認</a:t>
            </a:r>
          </a:p>
        </xdr:txBody>
      </xdr:sp>
    </xdr:grpSp>
    <xdr:clientData/>
  </xdr:twoCellAnchor>
  <xdr:twoCellAnchor>
    <xdr:from>
      <xdr:col>11</xdr:col>
      <xdr:colOff>151847</xdr:colOff>
      <xdr:row>243</xdr:row>
      <xdr:rowOff>20707</xdr:rowOff>
    </xdr:from>
    <xdr:to>
      <xdr:col>17</xdr:col>
      <xdr:colOff>49445</xdr:colOff>
      <xdr:row>246</xdr:row>
      <xdr:rowOff>46336</xdr:rowOff>
    </xdr:to>
    <xdr:grpSp>
      <xdr:nvGrpSpPr>
        <xdr:cNvPr id="253" name="グループ化 8">
          <a:extLst>
            <a:ext uri="{FF2B5EF4-FFF2-40B4-BE49-F238E27FC236}">
              <a16:creationId xmlns:a16="http://schemas.microsoft.com/office/drawing/2014/main" id="{3320D27A-27DE-F306-4945-0D7C3D84D88B}"/>
            </a:ext>
          </a:extLst>
        </xdr:cNvPr>
        <xdr:cNvGrpSpPr/>
      </xdr:nvGrpSpPr>
      <xdr:grpSpPr>
        <a:xfrm>
          <a:off x="2142572" y="42035482"/>
          <a:ext cx="983448" cy="539979"/>
          <a:chOff x="1633015" y="2430783"/>
          <a:chExt cx="908902" cy="422628"/>
        </a:xfrm>
      </xdr:grpSpPr>
      <xdr:sp macro="" textlink="">
        <xdr:nvSpPr>
          <xdr:cNvPr id="254" name="フローチャート: 定義済み処理 9">
            <a:extLst>
              <a:ext uri="{FF2B5EF4-FFF2-40B4-BE49-F238E27FC236}">
                <a16:creationId xmlns:a16="http://schemas.microsoft.com/office/drawing/2014/main" id="{BF642E13-EF5A-F987-B755-3EF2CB8237B4}"/>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55" name="正方形/長方形 48">
            <a:extLst>
              <a:ext uri="{FF2B5EF4-FFF2-40B4-BE49-F238E27FC236}">
                <a16:creationId xmlns:a16="http://schemas.microsoft.com/office/drawing/2014/main" id="{B4D51E35-DDE1-F6DA-0878-E3152AF90D0C}"/>
              </a:ext>
            </a:extLst>
          </xdr:cNvPr>
          <xdr:cNvSpPr/>
        </xdr:nvSpPr>
        <xdr:spPr>
          <a:xfrm>
            <a:off x="1633015"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リース終了処理</a:t>
            </a:r>
            <a:endParaRPr kumimoji="1" lang="en-US" altLang="ja-JP" sz="900"/>
          </a:p>
        </xdr:txBody>
      </xdr:sp>
    </xdr:grpSp>
    <xdr:clientData/>
  </xdr:twoCellAnchor>
  <xdr:twoCellAnchor>
    <xdr:from>
      <xdr:col>10</xdr:col>
      <xdr:colOff>119609</xdr:colOff>
      <xdr:row>223</xdr:row>
      <xdr:rowOff>86569</xdr:rowOff>
    </xdr:from>
    <xdr:to>
      <xdr:col>18</xdr:col>
      <xdr:colOff>577</xdr:colOff>
      <xdr:row>227</xdr:row>
      <xdr:rowOff>46185</xdr:rowOff>
    </xdr:to>
    <xdr:grpSp>
      <xdr:nvGrpSpPr>
        <xdr:cNvPr id="257" name="グループ化 256">
          <a:extLst>
            <a:ext uri="{FF2B5EF4-FFF2-40B4-BE49-F238E27FC236}">
              <a16:creationId xmlns:a16="http://schemas.microsoft.com/office/drawing/2014/main" id="{4D60CF6C-BB2C-ECD2-3E0A-55D27A8850D4}"/>
            </a:ext>
          </a:extLst>
        </xdr:cNvPr>
        <xdr:cNvGrpSpPr/>
      </xdr:nvGrpSpPr>
      <xdr:grpSpPr>
        <a:xfrm>
          <a:off x="1929359" y="38672344"/>
          <a:ext cx="1328768" cy="645416"/>
          <a:chOff x="4950055" y="37349957"/>
          <a:chExt cx="1498939" cy="626366"/>
        </a:xfrm>
      </xdr:grpSpPr>
      <xdr:sp macro="" textlink="">
        <xdr:nvSpPr>
          <xdr:cNvPr id="258" name="フローチャート: 定義済み処理 9">
            <a:extLst>
              <a:ext uri="{FF2B5EF4-FFF2-40B4-BE49-F238E27FC236}">
                <a16:creationId xmlns:a16="http://schemas.microsoft.com/office/drawing/2014/main" id="{82E8E6AF-3EDA-C5C5-134D-5B0BDDB7306D}"/>
              </a:ext>
            </a:extLst>
          </xdr:cNvPr>
          <xdr:cNvSpPr/>
        </xdr:nvSpPr>
        <xdr:spPr>
          <a:xfrm>
            <a:off x="5202018" y="37419431"/>
            <a:ext cx="996232" cy="473214"/>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262" name="正方形/長方形 48">
            <a:extLst>
              <a:ext uri="{FF2B5EF4-FFF2-40B4-BE49-F238E27FC236}">
                <a16:creationId xmlns:a16="http://schemas.microsoft.com/office/drawing/2014/main" id="{BB2B0CEA-6C6E-AD71-F07F-00098320B5FB}"/>
              </a:ext>
            </a:extLst>
          </xdr:cNvPr>
          <xdr:cNvSpPr/>
        </xdr:nvSpPr>
        <xdr:spPr>
          <a:xfrm>
            <a:off x="4950055" y="37349957"/>
            <a:ext cx="1498939" cy="62636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1.</a:t>
            </a:r>
            <a:r>
              <a:rPr kumimoji="1" lang="ja-JP" altLang="en-US" sz="900">
                <a:solidFill>
                  <a:schemeClr val="dk1"/>
                </a:solidFill>
                <a:effectLst/>
                <a:latin typeface="+mn-lt"/>
                <a:ea typeface="+mn-ea"/>
                <a:cs typeface="+mn-cs"/>
              </a:rPr>
              <a:t>終了提案</a:t>
            </a:r>
            <a:endParaRPr kumimoji="1" lang="ja-JP" altLang="en-US" sz="900"/>
          </a:p>
        </xdr:txBody>
      </xdr:sp>
    </xdr:grpSp>
    <xdr:clientData/>
  </xdr:twoCellAnchor>
  <xdr:twoCellAnchor>
    <xdr:from>
      <xdr:col>14</xdr:col>
      <xdr:colOff>62289</xdr:colOff>
      <xdr:row>226</xdr:row>
      <xdr:rowOff>131521</xdr:rowOff>
    </xdr:from>
    <xdr:to>
      <xdr:col>14</xdr:col>
      <xdr:colOff>69504</xdr:colOff>
      <xdr:row>229</xdr:row>
      <xdr:rowOff>152538</xdr:rowOff>
    </xdr:to>
    <xdr:cxnSp macro="">
      <xdr:nvCxnSpPr>
        <xdr:cNvPr id="263" name="直線矢印コネクタ 262">
          <a:extLst>
            <a:ext uri="{FF2B5EF4-FFF2-40B4-BE49-F238E27FC236}">
              <a16:creationId xmlns:a16="http://schemas.microsoft.com/office/drawing/2014/main" id="{0CD81864-30F3-45AD-BF87-C9BAD1DE7D45}"/>
            </a:ext>
          </a:extLst>
        </xdr:cNvPr>
        <xdr:cNvCxnSpPr>
          <a:cxnSpLocks/>
          <a:stCxn id="258" idx="2"/>
          <a:endCxn id="240" idx="0"/>
        </xdr:cNvCxnSpPr>
      </xdr:nvCxnSpPr>
      <xdr:spPr>
        <a:xfrm>
          <a:off x="2895977" y="37898146"/>
          <a:ext cx="7215" cy="521080"/>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67904</xdr:colOff>
      <xdr:row>232</xdr:row>
      <xdr:rowOff>120160</xdr:rowOff>
    </xdr:from>
    <xdr:to>
      <xdr:col>21</xdr:col>
      <xdr:colOff>112417</xdr:colOff>
      <xdr:row>237</xdr:row>
      <xdr:rowOff>7518</xdr:rowOff>
    </xdr:to>
    <xdr:cxnSp macro="">
      <xdr:nvCxnSpPr>
        <xdr:cNvPr id="274" name="コネクタ: カギ線 273">
          <a:extLst>
            <a:ext uri="{FF2B5EF4-FFF2-40B4-BE49-F238E27FC236}">
              <a16:creationId xmlns:a16="http://schemas.microsoft.com/office/drawing/2014/main" id="{AA2355F2-61F8-40CF-A945-C61BF60078FD}"/>
            </a:ext>
          </a:extLst>
        </xdr:cNvPr>
        <xdr:cNvCxnSpPr>
          <a:stCxn id="240" idx="2"/>
          <a:endCxn id="247" idx="0"/>
        </xdr:cNvCxnSpPr>
      </xdr:nvCxnSpPr>
      <xdr:spPr>
        <a:xfrm rot="16200000" flipH="1">
          <a:off x="3271872" y="38516630"/>
          <a:ext cx="720796" cy="1461356"/>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103435</xdr:colOff>
      <xdr:row>239</xdr:row>
      <xdr:rowOff>147690</xdr:rowOff>
    </xdr:from>
    <xdr:to>
      <xdr:col>21</xdr:col>
      <xdr:colOff>112417</xdr:colOff>
      <xdr:row>243</xdr:row>
      <xdr:rowOff>52300</xdr:rowOff>
    </xdr:to>
    <xdr:cxnSp macro="">
      <xdr:nvCxnSpPr>
        <xdr:cNvPr id="332" name="コネクタ: カギ線 331">
          <a:extLst>
            <a:ext uri="{FF2B5EF4-FFF2-40B4-BE49-F238E27FC236}">
              <a16:creationId xmlns:a16="http://schemas.microsoft.com/office/drawing/2014/main" id="{4AB81169-150C-4835-880B-0D500E133DB3}"/>
            </a:ext>
          </a:extLst>
        </xdr:cNvPr>
        <xdr:cNvCxnSpPr>
          <a:stCxn id="247" idx="2"/>
          <a:endCxn id="254" idx="0"/>
        </xdr:cNvCxnSpPr>
      </xdr:nvCxnSpPr>
      <xdr:spPr>
        <a:xfrm rot="5400000">
          <a:off x="3364356" y="39654020"/>
          <a:ext cx="571360" cy="142582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103436</xdr:colOff>
      <xdr:row>246</xdr:row>
      <xdr:rowOff>19740</xdr:rowOff>
    </xdr:from>
    <xdr:to>
      <xdr:col>28</xdr:col>
      <xdr:colOff>104181</xdr:colOff>
      <xdr:row>249</xdr:row>
      <xdr:rowOff>28224</xdr:rowOff>
    </xdr:to>
    <xdr:cxnSp macro="">
      <xdr:nvCxnSpPr>
        <xdr:cNvPr id="338" name="コネクタ: カギ線 337">
          <a:extLst>
            <a:ext uri="{FF2B5EF4-FFF2-40B4-BE49-F238E27FC236}">
              <a16:creationId xmlns:a16="http://schemas.microsoft.com/office/drawing/2014/main" id="{A5232394-E335-4875-9259-0EA53012418B}"/>
            </a:ext>
          </a:extLst>
        </xdr:cNvPr>
        <xdr:cNvCxnSpPr>
          <a:stCxn id="254" idx="2"/>
          <a:endCxn id="137" idx="0"/>
        </xdr:cNvCxnSpPr>
      </xdr:nvCxnSpPr>
      <xdr:spPr>
        <a:xfrm rot="16200000" flipH="1">
          <a:off x="4100066" y="39957173"/>
          <a:ext cx="508547" cy="283443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62290</xdr:colOff>
      <xdr:row>221</xdr:row>
      <xdr:rowOff>78524</xdr:rowOff>
    </xdr:from>
    <xdr:to>
      <xdr:col>28</xdr:col>
      <xdr:colOff>38008</xdr:colOff>
      <xdr:row>223</xdr:row>
      <xdr:rowOff>153572</xdr:rowOff>
    </xdr:to>
    <xdr:cxnSp macro="">
      <xdr:nvCxnSpPr>
        <xdr:cNvPr id="342" name="コネクタ: カギ線 341">
          <a:extLst>
            <a:ext uri="{FF2B5EF4-FFF2-40B4-BE49-F238E27FC236}">
              <a16:creationId xmlns:a16="http://schemas.microsoft.com/office/drawing/2014/main" id="{2A3BDA66-3AA7-428D-8BD7-6BABF21500B6}"/>
            </a:ext>
          </a:extLst>
        </xdr:cNvPr>
        <xdr:cNvCxnSpPr>
          <a:stCxn id="133" idx="2"/>
          <a:endCxn id="258" idx="0"/>
        </xdr:cNvCxnSpPr>
      </xdr:nvCxnSpPr>
      <xdr:spPr>
        <a:xfrm rot="5400000">
          <a:off x="4096469" y="35811221"/>
          <a:ext cx="408423" cy="2809405"/>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69</xdr:col>
      <xdr:colOff>11907</xdr:colOff>
      <xdr:row>250</xdr:row>
      <xdr:rowOff>11906</xdr:rowOff>
    </xdr:from>
    <xdr:to>
      <xdr:col>94</xdr:col>
      <xdr:colOff>0</xdr:colOff>
      <xdr:row>257</xdr:row>
      <xdr:rowOff>135836</xdr:rowOff>
    </xdr:to>
    <xdr:pic>
      <xdr:nvPicPr>
        <xdr:cNvPr id="359" name="図 358">
          <a:extLst>
            <a:ext uri="{FF2B5EF4-FFF2-40B4-BE49-F238E27FC236}">
              <a16:creationId xmlns:a16="http://schemas.microsoft.com/office/drawing/2014/main" id="{5F5B93DB-FB3B-9E9D-1E6B-127427450DAC}"/>
            </a:ext>
          </a:extLst>
        </xdr:cNvPr>
        <xdr:cNvPicPr>
          <a:picLocks noChangeAspect="1"/>
        </xdr:cNvPicPr>
      </xdr:nvPicPr>
      <xdr:blipFill>
        <a:blip xmlns:r="http://schemas.openxmlformats.org/officeDocument/2006/relationships" r:embed="rId1"/>
        <a:stretch>
          <a:fillRect/>
        </a:stretch>
      </xdr:blipFill>
      <xdr:spPr>
        <a:xfrm>
          <a:off x="13977938" y="41779031"/>
          <a:ext cx="5048250" cy="1290743"/>
        </a:xfrm>
        <a:prstGeom prst="rect">
          <a:avLst/>
        </a:prstGeom>
      </xdr:spPr>
    </xdr:pic>
    <xdr:clientData/>
  </xdr:twoCellAnchor>
  <xdr:twoCellAnchor>
    <xdr:from>
      <xdr:col>39</xdr:col>
      <xdr:colOff>191095</xdr:colOff>
      <xdr:row>288</xdr:row>
      <xdr:rowOff>97119</xdr:rowOff>
    </xdr:from>
    <xdr:to>
      <xdr:col>45</xdr:col>
      <xdr:colOff>8104</xdr:colOff>
      <xdr:row>292</xdr:row>
      <xdr:rowOff>58774</xdr:rowOff>
    </xdr:to>
    <xdr:grpSp>
      <xdr:nvGrpSpPr>
        <xdr:cNvPr id="360" name="グループ化 359">
          <a:extLst>
            <a:ext uri="{FF2B5EF4-FFF2-40B4-BE49-F238E27FC236}">
              <a16:creationId xmlns:a16="http://schemas.microsoft.com/office/drawing/2014/main" id="{3A368DC9-680B-2726-B5BA-0C042FDBB7B9}"/>
            </a:ext>
          </a:extLst>
        </xdr:cNvPr>
        <xdr:cNvGrpSpPr>
          <a:grpSpLocks noChangeAspect="1"/>
        </xdr:cNvGrpSpPr>
      </xdr:nvGrpSpPr>
      <xdr:grpSpPr>
        <a:xfrm>
          <a:off x="7239595" y="49827144"/>
          <a:ext cx="912384" cy="647455"/>
          <a:chOff x="7112003" y="2892425"/>
          <a:chExt cx="873125" cy="584984"/>
        </a:xfrm>
      </xdr:grpSpPr>
      <xdr:sp macro="" textlink="">
        <xdr:nvSpPr>
          <xdr:cNvPr id="365" name="フローチャート: 磁気ディスク 364">
            <a:extLst>
              <a:ext uri="{FF2B5EF4-FFF2-40B4-BE49-F238E27FC236}">
                <a16:creationId xmlns:a16="http://schemas.microsoft.com/office/drawing/2014/main" id="{BED3E9DD-325E-5951-1A17-C075E4D148AA}"/>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66" name="正方形/長方形 365">
            <a:extLst>
              <a:ext uri="{FF2B5EF4-FFF2-40B4-BE49-F238E27FC236}">
                <a16:creationId xmlns:a16="http://schemas.microsoft.com/office/drawing/2014/main" id="{34832B35-8D0D-5D8B-3F9F-A172D4D0FA72}"/>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110992</xdr:colOff>
      <xdr:row>290</xdr:row>
      <xdr:rowOff>49462</xdr:rowOff>
    </xdr:from>
    <xdr:to>
      <xdr:col>40</xdr:col>
      <xdr:colOff>97791</xdr:colOff>
      <xdr:row>290</xdr:row>
      <xdr:rowOff>51946</xdr:rowOff>
    </xdr:to>
    <xdr:cxnSp macro="">
      <xdr:nvCxnSpPr>
        <xdr:cNvPr id="368" name="直線矢印コネクタ 367">
          <a:extLst>
            <a:ext uri="{FF2B5EF4-FFF2-40B4-BE49-F238E27FC236}">
              <a16:creationId xmlns:a16="http://schemas.microsoft.com/office/drawing/2014/main" id="{E97F22FF-4E27-4BCB-AEAF-3A5230258FFE}"/>
            </a:ext>
          </a:extLst>
        </xdr:cNvPr>
        <xdr:cNvCxnSpPr>
          <a:stCxn id="34" idx="3"/>
          <a:endCxn id="365" idx="2"/>
        </xdr:cNvCxnSpPr>
      </xdr:nvCxnSpPr>
      <xdr:spPr>
        <a:xfrm>
          <a:off x="6183180" y="48484087"/>
          <a:ext cx="2010861" cy="248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76201</xdr:colOff>
      <xdr:row>294</xdr:row>
      <xdr:rowOff>29370</xdr:rowOff>
    </xdr:from>
    <xdr:to>
      <xdr:col>30</xdr:col>
      <xdr:colOff>159412</xdr:colOff>
      <xdr:row>297</xdr:row>
      <xdr:rowOff>67699</xdr:rowOff>
    </xdr:to>
    <xdr:grpSp>
      <xdr:nvGrpSpPr>
        <xdr:cNvPr id="380" name="グループ化 8">
          <a:extLst>
            <a:ext uri="{FF2B5EF4-FFF2-40B4-BE49-F238E27FC236}">
              <a16:creationId xmlns:a16="http://schemas.microsoft.com/office/drawing/2014/main" id="{33559C70-CD26-645B-C3C1-BB2B641DB7F0}"/>
            </a:ext>
          </a:extLst>
        </xdr:cNvPr>
        <xdr:cNvGrpSpPr/>
      </xdr:nvGrpSpPr>
      <xdr:grpSpPr>
        <a:xfrm>
          <a:off x="4600576" y="50788095"/>
          <a:ext cx="988086" cy="552679"/>
          <a:chOff x="1633113" y="2430783"/>
          <a:chExt cx="908902" cy="422628"/>
        </a:xfrm>
      </xdr:grpSpPr>
      <xdr:sp macro="" textlink="">
        <xdr:nvSpPr>
          <xdr:cNvPr id="381" name="フローチャート: 定義済み処理 9">
            <a:extLst>
              <a:ext uri="{FF2B5EF4-FFF2-40B4-BE49-F238E27FC236}">
                <a16:creationId xmlns:a16="http://schemas.microsoft.com/office/drawing/2014/main" id="{A0C8F654-C351-95F9-9A30-6F57652CBA20}"/>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82" name="正方形/長方形 48">
            <a:extLst>
              <a:ext uri="{FF2B5EF4-FFF2-40B4-BE49-F238E27FC236}">
                <a16:creationId xmlns:a16="http://schemas.microsoft.com/office/drawing/2014/main" id="{6AA29C08-DF51-6F06-9379-2EF55401A690}"/>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3.</a:t>
            </a:r>
            <a:r>
              <a:rPr kumimoji="1" lang="ja-JP" altLang="en-US" sz="900"/>
              <a:t>間接法の振替</a:t>
            </a:r>
            <a:endParaRPr kumimoji="1" lang="en-US" altLang="ja-JP" sz="900"/>
          </a:p>
          <a:p>
            <a:pPr algn="ctr"/>
            <a:r>
              <a:rPr kumimoji="1" lang="ja-JP" altLang="en-US" sz="900"/>
              <a:t>仕訳の承認依頼</a:t>
            </a:r>
            <a:endParaRPr kumimoji="1" lang="en-US" altLang="ja-JP" sz="900"/>
          </a:p>
        </xdr:txBody>
      </xdr:sp>
    </xdr:grpSp>
    <xdr:clientData/>
  </xdr:twoCellAnchor>
  <xdr:twoCellAnchor>
    <xdr:from>
      <xdr:col>40</xdr:col>
      <xdr:colOff>595</xdr:colOff>
      <xdr:row>294</xdr:row>
      <xdr:rowOff>10600</xdr:rowOff>
    </xdr:from>
    <xdr:to>
      <xdr:col>45</xdr:col>
      <xdr:colOff>23185</xdr:colOff>
      <xdr:row>297</xdr:row>
      <xdr:rowOff>145292</xdr:rowOff>
    </xdr:to>
    <xdr:grpSp>
      <xdr:nvGrpSpPr>
        <xdr:cNvPr id="383" name="グループ化 382">
          <a:extLst>
            <a:ext uri="{FF2B5EF4-FFF2-40B4-BE49-F238E27FC236}">
              <a16:creationId xmlns:a16="http://schemas.microsoft.com/office/drawing/2014/main" id="{11B61A46-A57E-C942-79FE-52DD31E87D67}"/>
            </a:ext>
          </a:extLst>
        </xdr:cNvPr>
        <xdr:cNvGrpSpPr>
          <a:grpSpLocks noChangeAspect="1"/>
        </xdr:cNvGrpSpPr>
      </xdr:nvGrpSpPr>
      <xdr:grpSpPr>
        <a:xfrm>
          <a:off x="7239595" y="50769325"/>
          <a:ext cx="927465" cy="649042"/>
          <a:chOff x="7112003" y="2892425"/>
          <a:chExt cx="873125" cy="584984"/>
        </a:xfrm>
      </xdr:grpSpPr>
      <xdr:sp macro="" textlink="">
        <xdr:nvSpPr>
          <xdr:cNvPr id="384" name="フローチャート: 磁気ディスク 383">
            <a:extLst>
              <a:ext uri="{FF2B5EF4-FFF2-40B4-BE49-F238E27FC236}">
                <a16:creationId xmlns:a16="http://schemas.microsoft.com/office/drawing/2014/main" id="{65C240EA-6E47-5B90-4014-0513AE43DCD3}"/>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85" name="正方形/長方形 384">
            <a:extLst>
              <a:ext uri="{FF2B5EF4-FFF2-40B4-BE49-F238E27FC236}">
                <a16:creationId xmlns:a16="http://schemas.microsoft.com/office/drawing/2014/main" id="{F4480A27-87FA-4F88-E5B7-048B2116706B}"/>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30</xdr:col>
      <xdr:colOff>114027</xdr:colOff>
      <xdr:row>295</xdr:row>
      <xdr:rowOff>129630</xdr:rowOff>
    </xdr:from>
    <xdr:to>
      <xdr:col>40</xdr:col>
      <xdr:colOff>109697</xdr:colOff>
      <xdr:row>295</xdr:row>
      <xdr:rowOff>135026</xdr:rowOff>
    </xdr:to>
    <xdr:cxnSp macro="">
      <xdr:nvCxnSpPr>
        <xdr:cNvPr id="386" name="直線矢印コネクタ 385">
          <a:extLst>
            <a:ext uri="{FF2B5EF4-FFF2-40B4-BE49-F238E27FC236}">
              <a16:creationId xmlns:a16="http://schemas.microsoft.com/office/drawing/2014/main" id="{F1343A88-2D02-4845-B8AE-6C7EA8ED5063}"/>
            </a:ext>
          </a:extLst>
        </xdr:cNvPr>
        <xdr:cNvCxnSpPr>
          <a:stCxn id="381" idx="3"/>
          <a:endCxn id="384" idx="2"/>
        </xdr:cNvCxnSpPr>
      </xdr:nvCxnSpPr>
      <xdr:spPr>
        <a:xfrm>
          <a:off x="6186215" y="49397693"/>
          <a:ext cx="2019732" cy="5396"/>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22409</xdr:colOff>
      <xdr:row>291</xdr:row>
      <xdr:rowOff>120736</xdr:rowOff>
    </xdr:from>
    <xdr:to>
      <xdr:col>28</xdr:col>
      <xdr:colOff>22409</xdr:colOff>
      <xdr:row>294</xdr:row>
      <xdr:rowOff>58356</xdr:rowOff>
    </xdr:to>
    <xdr:cxnSp macro="">
      <xdr:nvCxnSpPr>
        <xdr:cNvPr id="389" name="直線矢印コネクタ 388">
          <a:extLst>
            <a:ext uri="{FF2B5EF4-FFF2-40B4-BE49-F238E27FC236}">
              <a16:creationId xmlns:a16="http://schemas.microsoft.com/office/drawing/2014/main" id="{546D2959-E200-497F-9C9B-9BECFA39D88A}"/>
            </a:ext>
          </a:extLst>
        </xdr:cNvPr>
        <xdr:cNvCxnSpPr>
          <a:cxnSpLocks/>
          <a:stCxn id="34" idx="2"/>
          <a:endCxn id="381" idx="0"/>
        </xdr:cNvCxnSpPr>
      </xdr:nvCxnSpPr>
      <xdr:spPr>
        <a:xfrm>
          <a:off x="5689784" y="48722049"/>
          <a:ext cx="0" cy="437682"/>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107156</xdr:colOff>
      <xdr:row>302</xdr:row>
      <xdr:rowOff>71708</xdr:rowOff>
    </xdr:from>
    <xdr:to>
      <xdr:col>37</xdr:col>
      <xdr:colOff>199893</xdr:colOff>
      <xdr:row>305</xdr:row>
      <xdr:rowOff>97339</xdr:rowOff>
    </xdr:to>
    <xdr:grpSp>
      <xdr:nvGrpSpPr>
        <xdr:cNvPr id="392" name="グループ化 8">
          <a:extLst>
            <a:ext uri="{FF2B5EF4-FFF2-40B4-BE49-F238E27FC236}">
              <a16:creationId xmlns:a16="http://schemas.microsoft.com/office/drawing/2014/main" id="{AC4B7427-9799-463E-8856-A36CEA0F694B}"/>
            </a:ext>
          </a:extLst>
        </xdr:cNvPr>
        <xdr:cNvGrpSpPr/>
      </xdr:nvGrpSpPr>
      <xdr:grpSpPr>
        <a:xfrm>
          <a:off x="5898356" y="52202033"/>
          <a:ext cx="978562" cy="539981"/>
          <a:chOff x="1633113" y="2430783"/>
          <a:chExt cx="908902" cy="422628"/>
        </a:xfrm>
      </xdr:grpSpPr>
      <xdr:sp macro="" textlink="">
        <xdr:nvSpPr>
          <xdr:cNvPr id="393" name="フローチャート: 定義済み処理 9">
            <a:extLst>
              <a:ext uri="{FF2B5EF4-FFF2-40B4-BE49-F238E27FC236}">
                <a16:creationId xmlns:a16="http://schemas.microsoft.com/office/drawing/2014/main" id="{A13D22A7-D1D8-F425-CFEE-36ADB39E040D}"/>
              </a:ext>
            </a:extLst>
          </xdr:cNvPr>
          <xdr:cNvSpPr/>
        </xdr:nvSpPr>
        <xdr:spPr>
          <a:xfrm>
            <a:off x="1680274" y="2456029"/>
            <a:ext cx="821559" cy="37359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1100"/>
          </a:p>
        </xdr:txBody>
      </xdr:sp>
      <xdr:sp macro="" textlink="">
        <xdr:nvSpPr>
          <xdr:cNvPr id="394" name="正方形/長方形 48">
            <a:extLst>
              <a:ext uri="{FF2B5EF4-FFF2-40B4-BE49-F238E27FC236}">
                <a16:creationId xmlns:a16="http://schemas.microsoft.com/office/drawing/2014/main" id="{4BA03E77-1B93-D29F-6DCC-534F5A490DAC}"/>
              </a:ext>
            </a:extLst>
          </xdr:cNvPr>
          <xdr:cNvSpPr/>
        </xdr:nvSpPr>
        <xdr:spPr>
          <a:xfrm>
            <a:off x="1633113" y="2430783"/>
            <a:ext cx="908902" cy="4226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900"/>
              <a:t>4.</a:t>
            </a:r>
            <a:r>
              <a:rPr kumimoji="1" lang="ja-JP" altLang="en-US" sz="900"/>
              <a:t>間接法の振替仕訳承認</a:t>
            </a:r>
            <a:endParaRPr kumimoji="1" lang="en-US" altLang="ja-JP" sz="900"/>
          </a:p>
        </xdr:txBody>
      </xdr:sp>
    </xdr:grpSp>
    <xdr:clientData/>
  </xdr:twoCellAnchor>
  <xdr:twoCellAnchor>
    <xdr:from>
      <xdr:col>40</xdr:col>
      <xdr:colOff>32500</xdr:colOff>
      <xdr:row>302</xdr:row>
      <xdr:rowOff>56357</xdr:rowOff>
    </xdr:from>
    <xdr:to>
      <xdr:col>44</xdr:col>
      <xdr:colOff>156408</xdr:colOff>
      <xdr:row>305</xdr:row>
      <xdr:rowOff>132141</xdr:rowOff>
    </xdr:to>
    <xdr:grpSp>
      <xdr:nvGrpSpPr>
        <xdr:cNvPr id="395" name="グループ化 394">
          <a:extLst>
            <a:ext uri="{FF2B5EF4-FFF2-40B4-BE49-F238E27FC236}">
              <a16:creationId xmlns:a16="http://schemas.microsoft.com/office/drawing/2014/main" id="{19905F05-96E5-419A-8EAD-6C27D5A4E307}"/>
            </a:ext>
          </a:extLst>
        </xdr:cNvPr>
        <xdr:cNvGrpSpPr>
          <a:grpSpLocks noChangeAspect="1"/>
        </xdr:cNvGrpSpPr>
      </xdr:nvGrpSpPr>
      <xdr:grpSpPr>
        <a:xfrm>
          <a:off x="7271500" y="52186682"/>
          <a:ext cx="847808" cy="590134"/>
          <a:chOff x="7112003" y="2892425"/>
          <a:chExt cx="873125" cy="584984"/>
        </a:xfrm>
      </xdr:grpSpPr>
      <xdr:sp macro="" textlink="">
        <xdr:nvSpPr>
          <xdr:cNvPr id="396" name="フローチャート: 磁気ディスク 395">
            <a:extLst>
              <a:ext uri="{FF2B5EF4-FFF2-40B4-BE49-F238E27FC236}">
                <a16:creationId xmlns:a16="http://schemas.microsoft.com/office/drawing/2014/main" id="{43522566-3096-91FF-7885-A625192BA2FE}"/>
              </a:ext>
            </a:extLst>
          </xdr:cNvPr>
          <xdr:cNvSpPr/>
        </xdr:nvSpPr>
        <xdr:spPr>
          <a:xfrm>
            <a:off x="7204075" y="2892425"/>
            <a:ext cx="676275" cy="536575"/>
          </a:xfrm>
          <a:prstGeom prst="flowChartMagneticDisk">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kumimoji="1" lang="ja-JP" altLang="en-US" sz="800"/>
          </a:p>
        </xdr:txBody>
      </xdr:sp>
      <xdr:sp macro="" textlink="">
        <xdr:nvSpPr>
          <xdr:cNvPr id="397" name="正方形/長方形 396">
            <a:extLst>
              <a:ext uri="{FF2B5EF4-FFF2-40B4-BE49-F238E27FC236}">
                <a16:creationId xmlns:a16="http://schemas.microsoft.com/office/drawing/2014/main" id="{A20B036F-7F53-2B9B-8FE7-ED9A11F6E1DB}"/>
              </a:ext>
            </a:extLst>
          </xdr:cNvPr>
          <xdr:cNvSpPr/>
        </xdr:nvSpPr>
        <xdr:spPr>
          <a:xfrm>
            <a:off x="7112003" y="2971802"/>
            <a:ext cx="873125" cy="505607"/>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900"/>
              <a:t>一般仕訳帳</a:t>
            </a:r>
          </a:p>
        </xdr:txBody>
      </xdr:sp>
    </xdr:grpSp>
    <xdr:clientData/>
  </xdr:twoCellAnchor>
  <xdr:twoCellAnchor>
    <xdr:from>
      <xdr:col>28</xdr:col>
      <xdr:colOff>22409</xdr:colOff>
      <xdr:row>297</xdr:row>
      <xdr:rowOff>34216</xdr:rowOff>
    </xdr:from>
    <xdr:to>
      <xdr:col>35</xdr:col>
      <xdr:colOff>56588</xdr:colOff>
      <xdr:row>302</xdr:row>
      <xdr:rowOff>100124</xdr:rowOff>
    </xdr:to>
    <xdr:cxnSp macro="">
      <xdr:nvCxnSpPr>
        <xdr:cNvPr id="398" name="コネクタ: カギ線 397">
          <a:extLst>
            <a:ext uri="{FF2B5EF4-FFF2-40B4-BE49-F238E27FC236}">
              <a16:creationId xmlns:a16="http://schemas.microsoft.com/office/drawing/2014/main" id="{90F495C4-2E28-4B9E-AAA6-769CE98FDCF3}"/>
            </a:ext>
          </a:extLst>
        </xdr:cNvPr>
        <xdr:cNvCxnSpPr>
          <a:stCxn id="381" idx="2"/>
          <a:endCxn id="393" idx="0"/>
        </xdr:cNvCxnSpPr>
      </xdr:nvCxnSpPr>
      <xdr:spPr>
        <a:xfrm rot="16200000" flipH="1">
          <a:off x="5965623" y="49359815"/>
          <a:ext cx="899345" cy="145102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37</xdr:col>
      <xdr:colOff>153947</xdr:colOff>
      <xdr:row>303</xdr:row>
      <xdr:rowOff>153766</xdr:rowOff>
    </xdr:from>
    <xdr:to>
      <xdr:col>40</xdr:col>
      <xdr:colOff>130942</xdr:colOff>
      <xdr:row>304</xdr:row>
      <xdr:rowOff>503</xdr:rowOff>
    </xdr:to>
    <xdr:cxnSp macro="">
      <xdr:nvCxnSpPr>
        <xdr:cNvPr id="402" name="直線矢印コネクタ 401">
          <a:extLst>
            <a:ext uri="{FF2B5EF4-FFF2-40B4-BE49-F238E27FC236}">
              <a16:creationId xmlns:a16="http://schemas.microsoft.com/office/drawing/2014/main" id="{0F38734C-D71F-4A0B-A92C-4DFCFE9F19A4}"/>
            </a:ext>
          </a:extLst>
        </xdr:cNvPr>
        <xdr:cNvCxnSpPr>
          <a:stCxn id="393" idx="3"/>
          <a:endCxn id="396" idx="2"/>
        </xdr:cNvCxnSpPr>
      </xdr:nvCxnSpPr>
      <xdr:spPr>
        <a:xfrm flipV="1">
          <a:off x="7642978" y="50755329"/>
          <a:ext cx="584214" cy="13424"/>
        </a:xfrm>
        <a:prstGeom prst="straightConnector1">
          <a:avLst/>
        </a:prstGeom>
        <a:ln w="12700">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56588</xdr:colOff>
      <xdr:row>305</xdr:row>
      <xdr:rowOff>67568</xdr:rowOff>
    </xdr:from>
    <xdr:to>
      <xdr:col>35</xdr:col>
      <xdr:colOff>58713</xdr:colOff>
      <xdr:row>310</xdr:row>
      <xdr:rowOff>9176</xdr:rowOff>
    </xdr:to>
    <xdr:cxnSp macro="">
      <xdr:nvCxnSpPr>
        <xdr:cNvPr id="406" name="直線矢印コネクタ 405">
          <a:extLst>
            <a:ext uri="{FF2B5EF4-FFF2-40B4-BE49-F238E27FC236}">
              <a16:creationId xmlns:a16="http://schemas.microsoft.com/office/drawing/2014/main" id="{67798408-7E56-464A-AA2D-E7D870A14B72}"/>
            </a:ext>
          </a:extLst>
        </xdr:cNvPr>
        <xdr:cNvCxnSpPr>
          <a:cxnSpLocks/>
          <a:stCxn id="393" idx="2"/>
          <a:endCxn id="21" idx="0"/>
        </xdr:cNvCxnSpPr>
      </xdr:nvCxnSpPr>
      <xdr:spPr>
        <a:xfrm>
          <a:off x="7140807" y="51002506"/>
          <a:ext cx="2125" cy="775045"/>
        </a:xfrm>
        <a:prstGeom prst="straightConnector1">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68</xdr:col>
      <xdr:colOff>186765</xdr:colOff>
      <xdr:row>268</xdr:row>
      <xdr:rowOff>1</xdr:rowOff>
    </xdr:from>
    <xdr:to>
      <xdr:col>91</xdr:col>
      <xdr:colOff>130735</xdr:colOff>
      <xdr:row>273</xdr:row>
      <xdr:rowOff>28016</xdr:rowOff>
    </xdr:to>
    <xdr:sp macro="" textlink="">
      <xdr:nvSpPr>
        <xdr:cNvPr id="59" name="正方形/長方形 58">
          <a:extLst>
            <a:ext uri="{FF2B5EF4-FFF2-40B4-BE49-F238E27FC236}">
              <a16:creationId xmlns:a16="http://schemas.microsoft.com/office/drawing/2014/main" id="{CE844198-335E-C8A1-4332-3A047A74D36F}"/>
            </a:ext>
          </a:extLst>
        </xdr:cNvPr>
        <xdr:cNvSpPr/>
      </xdr:nvSpPr>
      <xdr:spPr>
        <a:xfrm>
          <a:off x="13521765" y="45131692"/>
          <a:ext cx="4454338" cy="8684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仕訳の発生する変更について、総合テストで検証する予定</a:t>
          </a:r>
          <a:endParaRPr kumimoji="1" lang="en-US" altLang="ja-JP" sz="1100"/>
        </a:p>
        <a:p>
          <a:pPr algn="l"/>
          <a:r>
            <a:rPr kumimoji="1" lang="ja-JP" altLang="en-US" sz="1100"/>
            <a:t>（</a:t>
          </a:r>
          <a:r>
            <a:rPr kumimoji="1" lang="ja-JP" altLang="ja-JP" sz="1100">
              <a:solidFill>
                <a:schemeClr val="lt1"/>
              </a:solidFill>
              <a:effectLst/>
              <a:latin typeface="+mn-lt"/>
              <a:ea typeface="+mn-ea"/>
              <a:cs typeface="+mn-cs"/>
            </a:rPr>
            <a:t>変更用の</a:t>
          </a:r>
          <a:r>
            <a:rPr kumimoji="1" lang="en-US" altLang="ja-JP" sz="1100">
              <a:solidFill>
                <a:schemeClr val="lt1"/>
              </a:solidFill>
              <a:effectLst/>
              <a:latin typeface="+mn-lt"/>
              <a:ea typeface="+mn-ea"/>
              <a:cs typeface="+mn-cs"/>
            </a:rPr>
            <a:t>WF</a:t>
          </a:r>
          <a:r>
            <a:rPr kumimoji="1" lang="ja-JP" altLang="ja-JP" sz="1100">
              <a:solidFill>
                <a:schemeClr val="lt1"/>
              </a:solidFill>
              <a:effectLst/>
              <a:latin typeface="+mn-lt"/>
              <a:ea typeface="+mn-ea"/>
              <a:cs typeface="+mn-cs"/>
            </a:rPr>
            <a:t>機能</a:t>
          </a:r>
          <a:r>
            <a:rPr kumimoji="1" lang="ja-JP" altLang="en-US" sz="1100"/>
            <a:t>）</a:t>
          </a:r>
        </a:p>
      </xdr:txBody>
    </xdr:sp>
    <xdr:clientData/>
  </xdr:twoCellAnchor>
  <xdr:twoCellAnchor>
    <xdr:from>
      <xdr:col>18</xdr:col>
      <xdr:colOff>47625</xdr:colOff>
      <xdr:row>11</xdr:row>
      <xdr:rowOff>9525</xdr:rowOff>
    </xdr:from>
    <xdr:to>
      <xdr:col>27</xdr:col>
      <xdr:colOff>139700</xdr:colOff>
      <xdr:row>14</xdr:row>
      <xdr:rowOff>161925</xdr:rowOff>
    </xdr:to>
    <xdr:sp macro="" textlink="">
      <xdr:nvSpPr>
        <xdr:cNvPr id="61" name="吹き出し: 角を丸めた四角形 60">
          <a:extLst>
            <a:ext uri="{FF2B5EF4-FFF2-40B4-BE49-F238E27FC236}">
              <a16:creationId xmlns:a16="http://schemas.microsoft.com/office/drawing/2014/main" id="{4A61DA8C-C449-4FE0-912D-33E35EECC5DB}"/>
            </a:ext>
          </a:extLst>
        </xdr:cNvPr>
        <xdr:cNvSpPr/>
      </xdr:nvSpPr>
      <xdr:spPr>
        <a:xfrm>
          <a:off x="3648075" y="1981200"/>
          <a:ext cx="1892300" cy="666750"/>
        </a:xfrm>
        <a:prstGeom prst="wedgeRoundRectCallout">
          <a:avLst>
            <a:gd name="adj1" fmla="val -29750"/>
            <a:gd name="adj2" fmla="val -7178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権限</a:t>
          </a:r>
          <a:endParaRPr kumimoji="1" lang="en-US" altLang="ja-JP" sz="1100"/>
        </a:p>
        <a:p>
          <a:pPr algn="l"/>
          <a:r>
            <a:rPr kumimoji="1" lang="ja-JP" altLang="en-US" sz="1100"/>
            <a:t>＜</a:t>
          </a:r>
          <a:r>
            <a:rPr kumimoji="1" lang="en-US" altLang="ja-JP" sz="1100"/>
            <a:t>BASEROLE_Asset1</a:t>
          </a:r>
          <a:r>
            <a:rPr kumimoji="1" lang="ja-JP" altLang="en-US" sz="1100"/>
            <a:t>＞</a:t>
          </a:r>
        </a:p>
      </xdr:txBody>
    </xdr:sp>
    <xdr:clientData/>
  </xdr:twoCellAnchor>
  <xdr:twoCellAnchor>
    <xdr:from>
      <xdr:col>32</xdr:col>
      <xdr:colOff>158750</xdr:colOff>
      <xdr:row>11</xdr:row>
      <xdr:rowOff>6350</xdr:rowOff>
    </xdr:from>
    <xdr:to>
      <xdr:col>42</xdr:col>
      <xdr:colOff>57150</xdr:colOff>
      <xdr:row>14</xdr:row>
      <xdr:rowOff>158750</xdr:rowOff>
    </xdr:to>
    <xdr:sp macro="" textlink="">
      <xdr:nvSpPr>
        <xdr:cNvPr id="68" name="吹き出し: 角を丸めた四角形 67">
          <a:extLst>
            <a:ext uri="{FF2B5EF4-FFF2-40B4-BE49-F238E27FC236}">
              <a16:creationId xmlns:a16="http://schemas.microsoft.com/office/drawing/2014/main" id="{4EF75554-4FA7-902F-948F-01725A2097B8}"/>
            </a:ext>
          </a:extLst>
        </xdr:cNvPr>
        <xdr:cNvSpPr/>
      </xdr:nvSpPr>
      <xdr:spPr>
        <a:xfrm>
          <a:off x="6559550" y="1978025"/>
          <a:ext cx="1898650" cy="666750"/>
        </a:xfrm>
        <a:prstGeom prst="wedgeRoundRectCallout">
          <a:avLst>
            <a:gd name="adj1" fmla="val -29750"/>
            <a:gd name="adj2" fmla="val -7178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権限</a:t>
          </a:r>
          <a:endParaRPr kumimoji="1" lang="en-US" altLang="ja-JP" sz="1100"/>
        </a:p>
        <a:p>
          <a:pPr algn="l"/>
          <a:r>
            <a:rPr kumimoji="1" lang="ja-JP" altLang="en-US" sz="1100"/>
            <a:t>＜</a:t>
          </a:r>
          <a:r>
            <a:rPr kumimoji="1" lang="en-US" altLang="ja-JP" sz="1100"/>
            <a:t>BASEROLE_Asset1</a:t>
          </a:r>
          <a:r>
            <a:rPr kumimoji="1" lang="ja-JP" altLang="en-US" sz="1100"/>
            <a:t>＞</a:t>
          </a:r>
        </a:p>
      </xdr:txBody>
    </xdr:sp>
    <xdr:clientData/>
  </xdr:twoCellAnchor>
  <xdr:twoCellAnchor>
    <xdr:from>
      <xdr:col>40</xdr:col>
      <xdr:colOff>38100</xdr:colOff>
      <xdr:row>83</xdr:row>
      <xdr:rowOff>139700</xdr:rowOff>
    </xdr:from>
    <xdr:to>
      <xdr:col>49</xdr:col>
      <xdr:colOff>142875</xdr:colOff>
      <xdr:row>86</xdr:row>
      <xdr:rowOff>95250</xdr:rowOff>
    </xdr:to>
    <xdr:sp macro="" textlink="">
      <xdr:nvSpPr>
        <xdr:cNvPr id="69" name="吹き出し: 角を丸めた四角形 68">
          <a:extLst>
            <a:ext uri="{FF2B5EF4-FFF2-40B4-BE49-F238E27FC236}">
              <a16:creationId xmlns:a16="http://schemas.microsoft.com/office/drawing/2014/main" id="{C720D9D3-D71C-4FFD-91BF-0F253B6AD9DD}"/>
            </a:ext>
          </a:extLst>
        </xdr:cNvPr>
        <xdr:cNvSpPr/>
      </xdr:nvSpPr>
      <xdr:spPr>
        <a:xfrm>
          <a:off x="8039100" y="14455775"/>
          <a:ext cx="1905000" cy="469900"/>
        </a:xfrm>
        <a:prstGeom prst="wedgeRoundRectCallout">
          <a:avLst>
            <a:gd name="adj1" fmla="val -29750"/>
            <a:gd name="adj2" fmla="val -7178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ユーザーグループ：</a:t>
          </a:r>
          <a:r>
            <a:rPr kumimoji="1" lang="en-US" altLang="ja-JP" sz="1100"/>
            <a:t>UG16</a:t>
          </a:r>
        </a:p>
      </xdr:txBody>
    </xdr:sp>
    <xdr:clientData/>
  </xdr:twoCellAnchor>
  <xdr:twoCellAnchor>
    <xdr:from>
      <xdr:col>39</xdr:col>
      <xdr:colOff>85725</xdr:colOff>
      <xdr:row>248</xdr:row>
      <xdr:rowOff>38100</xdr:rowOff>
    </xdr:from>
    <xdr:to>
      <xdr:col>51</xdr:col>
      <xdr:colOff>133350</xdr:colOff>
      <xdr:row>252</xdr:row>
      <xdr:rowOff>53975</xdr:rowOff>
    </xdr:to>
    <xdr:sp macro="" textlink="">
      <xdr:nvSpPr>
        <xdr:cNvPr id="74" name="吹き出し: 角を丸めた四角形 73">
          <a:extLst>
            <a:ext uri="{FF2B5EF4-FFF2-40B4-BE49-F238E27FC236}">
              <a16:creationId xmlns:a16="http://schemas.microsoft.com/office/drawing/2014/main" id="{66191E4A-E779-4AFA-B3D5-C03FFE7DCD6A}"/>
            </a:ext>
          </a:extLst>
        </xdr:cNvPr>
        <xdr:cNvSpPr/>
      </xdr:nvSpPr>
      <xdr:spPr>
        <a:xfrm>
          <a:off x="7886700" y="42643425"/>
          <a:ext cx="2447925" cy="701675"/>
        </a:xfrm>
        <a:prstGeom prst="wedgeRoundRectCallout">
          <a:avLst>
            <a:gd name="adj1" fmla="val -29750"/>
            <a:gd name="adj2" fmla="val -71786"/>
            <a:gd name="adj3" fmla="val 1666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ユーザーグループ：</a:t>
          </a:r>
          <a:r>
            <a:rPr kumimoji="1" lang="en-US" altLang="ja-JP" sz="1100"/>
            <a:t>UG16</a:t>
          </a:r>
        </a:p>
        <a:p>
          <a:pPr algn="l"/>
          <a:r>
            <a:rPr kumimoji="1" lang="ja-JP" altLang="en-US" sz="1100"/>
            <a:t>社員サポート</a:t>
          </a:r>
          <a:r>
            <a:rPr kumimoji="1" lang="en-US" altLang="ja-JP" sz="1100"/>
            <a:t>G</a:t>
          </a:r>
          <a:r>
            <a:rPr kumimoji="1" lang="ja-JP" altLang="en-US" sz="1100"/>
            <a:t>も実施するか？</a:t>
          </a:r>
          <a:endParaRPr kumimoji="1" lang="en-US" altLang="ja-JP" sz="1100"/>
        </a:p>
      </xdr:txBody>
    </xdr:sp>
    <xdr:clientData/>
  </xdr:twoCellAnchor>
</xdr:wsDr>
</file>

<file path=xl/theme/theme1.xml><?xml version="1.0" encoding="utf-8"?>
<a:theme xmlns:a="http://schemas.openxmlformats.org/drawingml/2006/main" name="JBSテンプレートテーマ_Excel">
  <a:themeElements>
    <a:clrScheme name="青">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JBSテンプレート_Excel">
      <a:majorFont>
        <a:latin typeface="Meiryo UI"/>
        <a:ea typeface="Meiryo UI"/>
        <a:cs typeface=""/>
      </a:majorFont>
      <a:minorFont>
        <a:latin typeface="Meiryo UI"/>
        <a:ea typeface="Meiryo UI"/>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tailEnd type="triangle"/>
        </a:ln>
      </a:spPr>
      <a:bodyPr/>
      <a:lstStyle/>
      <a:style>
        <a:lnRef idx="1">
          <a:schemeClr val="dk1"/>
        </a:lnRef>
        <a:fillRef idx="0">
          <a:schemeClr val="dk1"/>
        </a:fillRef>
        <a:effectRef idx="0">
          <a:schemeClr val="dk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www.eltax.lta.go.jp/support/shiyosho/"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AE35"/>
  <sheetViews>
    <sheetView showGridLines="0" workbookViewId="0"/>
  </sheetViews>
  <sheetFormatPr defaultColWidth="2.375" defaultRowHeight="15"/>
  <cols>
    <col min="1" max="16384" width="2.375" style="1"/>
  </cols>
  <sheetData>
    <row r="2" spans="1:31">
      <c r="C2" s="2"/>
      <c r="D2" s="2"/>
      <c r="E2" s="2"/>
      <c r="F2" s="2"/>
      <c r="G2" s="2"/>
      <c r="H2" s="2"/>
      <c r="I2" s="2"/>
      <c r="J2" s="2"/>
      <c r="K2" s="2"/>
      <c r="L2" s="2"/>
      <c r="M2" s="2"/>
      <c r="N2" s="2"/>
      <c r="O2" s="2"/>
      <c r="P2" s="2"/>
      <c r="Q2" s="2"/>
    </row>
    <row r="3" spans="1:31">
      <c r="B3" s="2" t="s">
        <v>0</v>
      </c>
    </row>
    <row r="4" spans="1:31" ht="15.75" customHeight="1">
      <c r="A4" s="3"/>
      <c r="B4" s="3"/>
      <c r="C4" s="3"/>
      <c r="D4" s="3"/>
      <c r="E4" s="3"/>
      <c r="F4" s="3"/>
      <c r="G4" s="3"/>
      <c r="H4" s="3"/>
      <c r="I4" s="3"/>
      <c r="J4" s="192"/>
      <c r="K4" s="192"/>
      <c r="L4" s="192"/>
    </row>
    <row r="5" spans="1:31" ht="15.75" customHeight="1">
      <c r="A5" s="4"/>
      <c r="B5" s="4"/>
      <c r="C5" s="4"/>
      <c r="D5" s="4"/>
      <c r="E5" s="4"/>
      <c r="F5" s="4"/>
      <c r="G5" s="4"/>
      <c r="H5" s="4"/>
      <c r="I5" s="4"/>
      <c r="J5" s="193"/>
      <c r="K5" s="193"/>
      <c r="L5" s="193"/>
    </row>
    <row r="10" spans="1:31">
      <c r="B10" s="194" t="s">
        <v>1</v>
      </c>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6"/>
    </row>
    <row r="11" spans="1:31">
      <c r="B11" s="197"/>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c r="AA11" s="198"/>
      <c r="AB11" s="198"/>
      <c r="AC11" s="198"/>
      <c r="AD11" s="198"/>
      <c r="AE11" s="199"/>
    </row>
    <row r="12" spans="1:31">
      <c r="B12" s="197"/>
      <c r="C12" s="198"/>
      <c r="D12" s="198"/>
      <c r="E12" s="198"/>
      <c r="F12" s="198"/>
      <c r="G12" s="198"/>
      <c r="H12" s="198"/>
      <c r="I12" s="198"/>
      <c r="J12" s="198"/>
      <c r="K12" s="198"/>
      <c r="L12" s="198"/>
      <c r="M12" s="198"/>
      <c r="N12" s="198"/>
      <c r="O12" s="198"/>
      <c r="P12" s="198"/>
      <c r="Q12" s="198"/>
      <c r="R12" s="198"/>
      <c r="S12" s="198"/>
      <c r="T12" s="198"/>
      <c r="U12" s="198"/>
      <c r="V12" s="198"/>
      <c r="W12" s="198"/>
      <c r="X12" s="198"/>
      <c r="Y12" s="198"/>
      <c r="Z12" s="198"/>
      <c r="AA12" s="198"/>
      <c r="AB12" s="198"/>
      <c r="AC12" s="198"/>
      <c r="AD12" s="198"/>
      <c r="AE12" s="199"/>
    </row>
    <row r="13" spans="1:31">
      <c r="B13" s="197"/>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9"/>
    </row>
    <row r="14" spans="1:31">
      <c r="B14" s="200" t="s">
        <v>2</v>
      </c>
      <c r="C14" s="201"/>
      <c r="D14" s="201"/>
      <c r="E14" s="201"/>
      <c r="F14" s="201"/>
      <c r="G14" s="201"/>
      <c r="H14" s="201"/>
      <c r="I14" s="201"/>
      <c r="J14" s="201"/>
      <c r="K14" s="201"/>
      <c r="L14" s="201"/>
      <c r="M14" s="201"/>
      <c r="N14" s="201"/>
      <c r="O14" s="201"/>
      <c r="P14" s="201"/>
      <c r="Q14" s="201"/>
      <c r="R14" s="201"/>
      <c r="S14" s="201"/>
      <c r="T14" s="201"/>
      <c r="U14" s="201"/>
      <c r="V14" s="201"/>
      <c r="W14" s="201"/>
      <c r="X14" s="201"/>
      <c r="Y14" s="201"/>
      <c r="Z14" s="201"/>
      <c r="AA14" s="201"/>
      <c r="AB14" s="201"/>
      <c r="AC14" s="201"/>
      <c r="AD14" s="201"/>
      <c r="AE14" s="202"/>
    </row>
    <row r="15" spans="1:31">
      <c r="B15" s="200"/>
      <c r="C15" s="201"/>
      <c r="D15" s="201"/>
      <c r="E15" s="201"/>
      <c r="F15" s="201"/>
      <c r="G15" s="201"/>
      <c r="H15" s="201"/>
      <c r="I15" s="201"/>
      <c r="J15" s="201"/>
      <c r="K15" s="201"/>
      <c r="L15" s="201"/>
      <c r="M15" s="201"/>
      <c r="N15" s="201"/>
      <c r="O15" s="201"/>
      <c r="P15" s="201"/>
      <c r="Q15" s="201"/>
      <c r="R15" s="201"/>
      <c r="S15" s="201"/>
      <c r="T15" s="201"/>
      <c r="U15" s="201"/>
      <c r="V15" s="201"/>
      <c r="W15" s="201"/>
      <c r="X15" s="201"/>
      <c r="Y15" s="201"/>
      <c r="Z15" s="201"/>
      <c r="AA15" s="201"/>
      <c r="AB15" s="201"/>
      <c r="AC15" s="201"/>
      <c r="AD15" s="201"/>
      <c r="AE15" s="202"/>
    </row>
    <row r="16" spans="1:31">
      <c r="B16" s="203"/>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A16" s="204"/>
      <c r="AB16" s="204"/>
      <c r="AC16" s="204"/>
      <c r="AD16" s="204"/>
      <c r="AE16" s="205"/>
    </row>
    <row r="22" spans="2:31">
      <c r="B22" s="191" t="str">
        <f ca="1">"第"&amp;IF(COUNTA(変更履歴!BE5:BH10004)=1,"",INDIRECT("変更履歴!BE"&amp;COUNTA(変更履歴!BE5:BH10004)+4))&amp;"版"</f>
        <v>第1.15版</v>
      </c>
      <c r="C22" s="191"/>
      <c r="D22" s="191"/>
      <c r="E22" s="191"/>
      <c r="F22" s="191"/>
      <c r="G22" s="191"/>
      <c r="H22" s="191"/>
      <c r="I22" s="191"/>
      <c r="J22" s="191"/>
      <c r="K22" s="191"/>
      <c r="L22" s="191"/>
      <c r="M22" s="191"/>
      <c r="N22" s="191"/>
      <c r="O22" s="191"/>
      <c r="P22" s="191"/>
      <c r="Q22" s="191"/>
      <c r="R22" s="191"/>
      <c r="S22" s="191"/>
      <c r="T22" s="191"/>
      <c r="U22" s="191"/>
      <c r="V22" s="191"/>
      <c r="W22" s="191"/>
      <c r="X22" s="191"/>
      <c r="Y22" s="191"/>
      <c r="Z22" s="191"/>
      <c r="AA22" s="191"/>
      <c r="AB22" s="191"/>
      <c r="AC22" s="191"/>
      <c r="AD22" s="191"/>
      <c r="AE22" s="191"/>
    </row>
    <row r="23" spans="2:31">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c r="AA23" s="191"/>
      <c r="AB23" s="191"/>
      <c r="AC23" s="191"/>
      <c r="AD23" s="191"/>
      <c r="AE23" s="191"/>
    </row>
    <row r="24" spans="2:31">
      <c r="B24" s="206" cm="1">
        <f t="array" aca="1" ref="B24" ca="1">IF(OR(COUNTA(変更履歴!A:E)=3),"",INDIRECT("変更履歴!A"&amp;COUNTA(変更履歴!A:E)+2))</f>
        <v>45939</v>
      </c>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c r="AA24" s="206"/>
      <c r="AB24" s="206"/>
      <c r="AC24" s="206"/>
      <c r="AD24" s="206"/>
      <c r="AE24" s="206"/>
    </row>
    <row r="25" spans="2:31">
      <c r="B25" s="206"/>
      <c r="C25" s="206"/>
      <c r="D25" s="206"/>
      <c r="E25" s="206"/>
      <c r="F25" s="206"/>
      <c r="G25" s="206"/>
      <c r="H25" s="206"/>
      <c r="I25" s="206"/>
      <c r="J25" s="206"/>
      <c r="K25" s="206"/>
      <c r="L25" s="206"/>
      <c r="M25" s="206"/>
      <c r="N25" s="206"/>
      <c r="O25" s="206"/>
      <c r="P25" s="206"/>
      <c r="Q25" s="206"/>
      <c r="R25" s="206"/>
      <c r="S25" s="206"/>
      <c r="T25" s="206"/>
      <c r="U25" s="206"/>
      <c r="V25" s="206"/>
      <c r="W25" s="206"/>
      <c r="X25" s="206"/>
      <c r="Y25" s="206"/>
      <c r="Z25" s="206"/>
      <c r="AA25" s="206"/>
      <c r="AB25" s="206"/>
      <c r="AC25" s="206"/>
      <c r="AD25" s="206"/>
      <c r="AE25" s="206"/>
    </row>
    <row r="26" spans="2:31">
      <c r="B26" s="191" t="s">
        <v>3</v>
      </c>
      <c r="C26" s="191"/>
      <c r="D26" s="191"/>
      <c r="E26" s="191"/>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row>
    <row r="27" spans="2:31">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row>
    <row r="29" spans="2:31">
      <c r="F29" s="184" t="s">
        <v>4</v>
      </c>
      <c r="G29" s="184"/>
      <c r="H29" s="184"/>
      <c r="I29" s="184"/>
      <c r="J29" s="184"/>
      <c r="K29" s="184"/>
      <c r="O29" s="185" t="s">
        <v>5</v>
      </c>
      <c r="P29" s="184"/>
      <c r="Q29" s="184"/>
      <c r="R29" s="184"/>
      <c r="V29" s="186" t="s">
        <v>6</v>
      </c>
      <c r="W29" s="187"/>
      <c r="X29" s="187"/>
      <c r="Y29" s="187"/>
      <c r="Z29" s="187"/>
      <c r="AA29" s="187"/>
    </row>
    <row r="30" spans="2:31">
      <c r="F30" s="188">
        <v>45362</v>
      </c>
      <c r="G30" s="189"/>
      <c r="H30" s="189"/>
      <c r="I30" s="189"/>
      <c r="J30" s="189"/>
      <c r="K30" s="189"/>
      <c r="L30" s="33"/>
      <c r="N30" s="188">
        <v>45433</v>
      </c>
      <c r="O30" s="189"/>
      <c r="P30" s="189"/>
      <c r="Q30" s="189"/>
      <c r="R30" s="189"/>
      <c r="S30" s="190"/>
      <c r="V30" s="188"/>
      <c r="W30" s="189"/>
      <c r="X30" s="189"/>
      <c r="Y30" s="189"/>
      <c r="Z30" s="189"/>
      <c r="AA30" s="189"/>
      <c r="AB30" s="33"/>
    </row>
    <row r="31" spans="2:31" ht="15.75" customHeight="1">
      <c r="F31" s="169" t="s">
        <v>7</v>
      </c>
      <c r="G31" s="170"/>
      <c r="H31" s="170"/>
      <c r="I31" s="170"/>
      <c r="J31" s="170"/>
      <c r="K31" s="170"/>
      <c r="L31" s="34"/>
      <c r="N31" s="175" t="s">
        <v>8</v>
      </c>
      <c r="O31" s="176"/>
      <c r="P31" s="176"/>
      <c r="Q31" s="176"/>
      <c r="R31" s="176"/>
      <c r="S31" s="177"/>
      <c r="V31" s="169"/>
      <c r="W31" s="170"/>
      <c r="X31" s="170"/>
      <c r="Y31" s="170"/>
      <c r="Z31" s="170"/>
      <c r="AA31" s="170"/>
      <c r="AB31" s="34"/>
    </row>
    <row r="32" spans="2:31">
      <c r="F32" s="171"/>
      <c r="G32" s="172"/>
      <c r="H32" s="172"/>
      <c r="I32" s="172"/>
      <c r="J32" s="172"/>
      <c r="K32" s="172"/>
      <c r="L32" s="34"/>
      <c r="N32" s="178"/>
      <c r="O32" s="179"/>
      <c r="P32" s="179"/>
      <c r="Q32" s="179"/>
      <c r="R32" s="179"/>
      <c r="S32" s="180"/>
      <c r="V32" s="171"/>
      <c r="W32" s="172"/>
      <c r="X32" s="172"/>
      <c r="Y32" s="172"/>
      <c r="Z32" s="172"/>
      <c r="AA32" s="172"/>
      <c r="AB32" s="34"/>
    </row>
    <row r="33" spans="6:28">
      <c r="F33" s="171"/>
      <c r="G33" s="172"/>
      <c r="H33" s="172"/>
      <c r="I33" s="172"/>
      <c r="J33" s="172"/>
      <c r="K33" s="172"/>
      <c r="L33" s="34"/>
      <c r="N33" s="178"/>
      <c r="O33" s="179"/>
      <c r="P33" s="179"/>
      <c r="Q33" s="179"/>
      <c r="R33" s="179"/>
      <c r="S33" s="180"/>
      <c r="V33" s="171"/>
      <c r="W33" s="172"/>
      <c r="X33" s="172"/>
      <c r="Y33" s="172"/>
      <c r="Z33" s="172"/>
      <c r="AA33" s="172"/>
      <c r="AB33" s="34"/>
    </row>
    <row r="34" spans="6:28">
      <c r="F34" s="171"/>
      <c r="G34" s="172"/>
      <c r="H34" s="172"/>
      <c r="I34" s="172"/>
      <c r="J34" s="172"/>
      <c r="K34" s="172"/>
      <c r="L34" s="34"/>
      <c r="N34" s="178"/>
      <c r="O34" s="179"/>
      <c r="P34" s="179"/>
      <c r="Q34" s="179"/>
      <c r="R34" s="179"/>
      <c r="S34" s="180"/>
      <c r="V34" s="171"/>
      <c r="W34" s="172"/>
      <c r="X34" s="172"/>
      <c r="Y34" s="172"/>
      <c r="Z34" s="172"/>
      <c r="AA34" s="172"/>
      <c r="AB34" s="34"/>
    </row>
    <row r="35" spans="6:28">
      <c r="F35" s="173"/>
      <c r="G35" s="174"/>
      <c r="H35" s="174"/>
      <c r="I35" s="174"/>
      <c r="J35" s="174"/>
      <c r="K35" s="174"/>
      <c r="L35" s="34"/>
      <c r="N35" s="181"/>
      <c r="O35" s="182"/>
      <c r="P35" s="182"/>
      <c r="Q35" s="182"/>
      <c r="R35" s="182"/>
      <c r="S35" s="183"/>
      <c r="V35" s="173"/>
      <c r="W35" s="174"/>
      <c r="X35" s="174"/>
      <c r="Y35" s="174"/>
      <c r="Z35" s="174"/>
      <c r="AA35" s="174"/>
      <c r="AB35" s="34"/>
    </row>
  </sheetData>
  <mergeCells count="15">
    <mergeCell ref="B26:AE27"/>
    <mergeCell ref="J4:L5"/>
    <mergeCell ref="B10:AE13"/>
    <mergeCell ref="B14:AE16"/>
    <mergeCell ref="B22:AE23"/>
    <mergeCell ref="B24:AE25"/>
    <mergeCell ref="F31:K35"/>
    <mergeCell ref="N31:S35"/>
    <mergeCell ref="V31:AA35"/>
    <mergeCell ref="F29:K29"/>
    <mergeCell ref="O29:R29"/>
    <mergeCell ref="V29:AA29"/>
    <mergeCell ref="F30:K30"/>
    <mergeCell ref="N30:S30"/>
    <mergeCell ref="V30:AA30"/>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26"/>
  <sheetViews>
    <sheetView showGridLines="0" zoomScale="85" zoomScaleNormal="85" workbookViewId="0">
      <pane ySplit="5" topLeftCell="A6" activePane="bottomLeft" state="frozen"/>
      <selection pane="bottomLeft" activeCell="A6" sqref="A6:E6"/>
    </sheetView>
  </sheetViews>
  <sheetFormatPr defaultColWidth="2.375" defaultRowHeight="15" customHeight="1"/>
  <cols>
    <col min="1" max="16384" width="2.375" style="5"/>
  </cols>
  <sheetData>
    <row r="1" spans="1:67" s="6" customFormat="1" ht="14.1" customHeight="1" thickBot="1">
      <c r="A1" s="220" t="s">
        <v>9</v>
      </c>
      <c r="B1" s="221"/>
      <c r="C1" s="221"/>
      <c r="D1" s="221"/>
      <c r="E1" s="222"/>
      <c r="F1" s="142" t="str">
        <f>表紙!B10</f>
        <v>会計システム刷新プロジェクト（LIBRA）</v>
      </c>
      <c r="G1" s="223"/>
      <c r="H1" s="223"/>
      <c r="I1" s="223"/>
      <c r="J1" s="223"/>
      <c r="K1" s="223"/>
      <c r="L1" s="223"/>
      <c r="M1" s="223"/>
      <c r="N1" s="223"/>
      <c r="O1" s="223"/>
      <c r="P1" s="223"/>
      <c r="Q1" s="223"/>
      <c r="R1" s="223"/>
      <c r="S1" s="223"/>
      <c r="T1" s="223"/>
      <c r="U1" s="223"/>
      <c r="V1" s="224"/>
      <c r="W1" s="128" t="s">
        <v>10</v>
      </c>
      <c r="X1" s="129"/>
      <c r="Y1" s="129"/>
      <c r="Z1" s="129"/>
      <c r="AA1" s="129"/>
      <c r="AB1" s="129"/>
      <c r="AC1" s="129"/>
      <c r="AD1" s="129"/>
      <c r="AE1" s="129"/>
      <c r="AF1" s="129"/>
      <c r="AG1" s="129"/>
      <c r="AH1" s="129"/>
      <c r="AI1" s="129"/>
      <c r="AJ1" s="129"/>
      <c r="AK1" s="129"/>
      <c r="AL1" s="129"/>
      <c r="AM1" s="129"/>
      <c r="AN1" s="129"/>
      <c r="AO1" s="129"/>
      <c r="AP1" s="129"/>
      <c r="AQ1" s="130"/>
      <c r="AR1" s="128" t="s">
        <v>11</v>
      </c>
      <c r="AS1" s="129"/>
      <c r="AT1" s="129"/>
      <c r="AU1" s="129"/>
      <c r="AV1" s="129"/>
      <c r="AW1" s="129"/>
      <c r="AX1" s="129"/>
      <c r="AY1" s="129"/>
      <c r="AZ1" s="130"/>
      <c r="BA1" s="128" t="s">
        <v>12</v>
      </c>
      <c r="BB1" s="129"/>
      <c r="BC1" s="129"/>
      <c r="BD1" s="129"/>
      <c r="BE1" s="129"/>
      <c r="BF1" s="129"/>
      <c r="BG1" s="129"/>
      <c r="BH1" s="130"/>
      <c r="BI1" s="5"/>
      <c r="BJ1" s="5"/>
      <c r="BK1" s="5"/>
      <c r="BL1" s="5"/>
      <c r="BM1" s="5"/>
      <c r="BN1" s="5"/>
      <c r="BO1" s="5"/>
    </row>
    <row r="2" spans="1:67" s="6" customFormat="1" ht="14.1" customHeight="1">
      <c r="A2" s="225" t="s">
        <v>13</v>
      </c>
      <c r="B2" s="226"/>
      <c r="C2" s="226"/>
      <c r="D2" s="226"/>
      <c r="E2" s="227"/>
      <c r="F2" s="150" t="str">
        <f>表紙!B14</f>
        <v>ToBe業務フロー（5.固定資産_リース）</v>
      </c>
      <c r="G2" s="231"/>
      <c r="H2" s="231"/>
      <c r="I2" s="231"/>
      <c r="J2" s="231"/>
      <c r="K2" s="231"/>
      <c r="L2" s="231"/>
      <c r="M2" s="231"/>
      <c r="N2" s="231"/>
      <c r="O2" s="231"/>
      <c r="P2" s="231"/>
      <c r="Q2" s="231"/>
      <c r="R2" s="231"/>
      <c r="S2" s="231"/>
      <c r="T2" s="231"/>
      <c r="U2" s="231"/>
      <c r="V2" s="232"/>
      <c r="W2" s="236" t="e">
        <f ca="1">MID(CELL("filename",$A$1),FIND("]",CELL("filename",$A$1))+1,31)</f>
        <v>#VALUE!</v>
      </c>
      <c r="X2" s="237"/>
      <c r="Y2" s="237"/>
      <c r="Z2" s="237"/>
      <c r="AA2" s="237"/>
      <c r="AB2" s="237"/>
      <c r="AC2" s="237"/>
      <c r="AD2" s="237"/>
      <c r="AE2" s="237"/>
      <c r="AF2" s="237"/>
      <c r="AG2" s="237"/>
      <c r="AH2" s="237"/>
      <c r="AI2" s="237"/>
      <c r="AJ2" s="237"/>
      <c r="AK2" s="237"/>
      <c r="AL2" s="237"/>
      <c r="AM2" s="237"/>
      <c r="AN2" s="237"/>
      <c r="AO2" s="237"/>
      <c r="AP2" s="237"/>
      <c r="AQ2" s="238"/>
      <c r="AR2" s="153" t="s">
        <v>14</v>
      </c>
      <c r="AS2" s="154"/>
      <c r="AT2" s="155">
        <f>A6</f>
        <v>45362</v>
      </c>
      <c r="AU2" s="156"/>
      <c r="AV2" s="156"/>
      <c r="AW2" s="156"/>
      <c r="AX2" s="156"/>
      <c r="AY2" s="156"/>
      <c r="AZ2" s="157"/>
      <c r="BA2" s="158" t="str">
        <f>AZ6</f>
        <v>JBS大河原</v>
      </c>
      <c r="BB2" s="159"/>
      <c r="BC2" s="159"/>
      <c r="BD2" s="159"/>
      <c r="BE2" s="159"/>
      <c r="BF2" s="159"/>
      <c r="BG2" s="159"/>
      <c r="BH2" s="160"/>
      <c r="BI2" s="5"/>
      <c r="BJ2" s="5"/>
      <c r="BK2" s="5"/>
      <c r="BL2" s="5"/>
      <c r="BM2" s="5"/>
      <c r="BN2" s="5"/>
      <c r="BO2" s="5"/>
    </row>
    <row r="3" spans="1:67" s="6" customFormat="1" ht="14.1" customHeight="1" thickBot="1">
      <c r="A3" s="228"/>
      <c r="B3" s="229"/>
      <c r="C3" s="229"/>
      <c r="D3" s="229"/>
      <c r="E3" s="230"/>
      <c r="F3" s="233"/>
      <c r="G3" s="234"/>
      <c r="H3" s="234"/>
      <c r="I3" s="234"/>
      <c r="J3" s="234"/>
      <c r="K3" s="234"/>
      <c r="L3" s="234"/>
      <c r="M3" s="234"/>
      <c r="N3" s="234"/>
      <c r="O3" s="234"/>
      <c r="P3" s="234"/>
      <c r="Q3" s="234"/>
      <c r="R3" s="234"/>
      <c r="S3" s="234"/>
      <c r="T3" s="234"/>
      <c r="U3" s="234"/>
      <c r="V3" s="235"/>
      <c r="W3" s="239"/>
      <c r="X3" s="240"/>
      <c r="Y3" s="240"/>
      <c r="Z3" s="240"/>
      <c r="AA3" s="240"/>
      <c r="AB3" s="240"/>
      <c r="AC3" s="240"/>
      <c r="AD3" s="240"/>
      <c r="AE3" s="240"/>
      <c r="AF3" s="240"/>
      <c r="AG3" s="240"/>
      <c r="AH3" s="240"/>
      <c r="AI3" s="240"/>
      <c r="AJ3" s="240"/>
      <c r="AK3" s="240"/>
      <c r="AL3" s="240"/>
      <c r="AM3" s="240"/>
      <c r="AN3" s="240"/>
      <c r="AO3" s="240"/>
      <c r="AP3" s="240"/>
      <c r="AQ3" s="241"/>
      <c r="AR3" s="161" t="s">
        <v>15</v>
      </c>
      <c r="AS3" s="162"/>
      <c r="AT3" s="163" cm="1">
        <f t="array" aca="1" ref="AT3" ca="1">IF(OR(COUNTA(A:E)=3),"",INDIRECT("A"&amp;COUNTA(A:E)+2))</f>
        <v>45939</v>
      </c>
      <c r="AU3" s="164"/>
      <c r="AV3" s="164"/>
      <c r="AW3" s="164"/>
      <c r="AX3" s="164"/>
      <c r="AY3" s="164"/>
      <c r="AZ3" s="165"/>
      <c r="BA3" s="166" t="str" cm="1">
        <f t="array" aca="1" ref="BA3" ca="1">IF(COUNTA(AZ5:BD100004)=1,"",INDIRECT("変更履歴!AZ"&amp;COUNTA(AZ5:BD100004)+4))</f>
        <v>JBS中村</v>
      </c>
      <c r="BB3" s="167"/>
      <c r="BC3" s="167"/>
      <c r="BD3" s="167"/>
      <c r="BE3" s="167"/>
      <c r="BF3" s="167"/>
      <c r="BG3" s="167"/>
      <c r="BH3" s="168"/>
      <c r="BI3" s="5"/>
      <c r="BJ3" s="5"/>
      <c r="BK3" s="5"/>
      <c r="BL3" s="5"/>
      <c r="BM3" s="5"/>
      <c r="BN3" s="5"/>
      <c r="BO3" s="5"/>
    </row>
    <row r="4" spans="1:67" ht="15" customHeight="1" thickBo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row>
    <row r="5" spans="1:67" ht="15" customHeight="1" thickBot="1">
      <c r="A5" s="242" t="s">
        <v>16</v>
      </c>
      <c r="B5" s="242"/>
      <c r="C5" s="242"/>
      <c r="D5" s="242"/>
      <c r="E5" s="242"/>
      <c r="F5" s="242" t="s">
        <v>17</v>
      </c>
      <c r="G5" s="242"/>
      <c r="H5" s="242"/>
      <c r="I5" s="242"/>
      <c r="J5" s="242"/>
      <c r="K5" s="242"/>
      <c r="L5" s="242"/>
      <c r="M5" s="242"/>
      <c r="N5" s="242"/>
      <c r="O5" s="242"/>
      <c r="P5" s="242"/>
      <c r="Q5" s="242"/>
      <c r="R5" s="242"/>
      <c r="S5" s="242"/>
      <c r="T5" s="242" t="s">
        <v>18</v>
      </c>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t="s">
        <v>19</v>
      </c>
      <c r="BA5" s="242"/>
      <c r="BB5" s="242"/>
      <c r="BC5" s="242"/>
      <c r="BD5" s="242"/>
      <c r="BE5" s="242" t="s">
        <v>20</v>
      </c>
      <c r="BF5" s="242"/>
      <c r="BG5" s="242"/>
      <c r="BH5" s="242"/>
    </row>
    <row r="6" spans="1:67" ht="15" customHeight="1">
      <c r="A6" s="243">
        <v>45362</v>
      </c>
      <c r="B6" s="243"/>
      <c r="C6" s="243"/>
      <c r="D6" s="243"/>
      <c r="E6" s="243"/>
      <c r="F6" s="244" t="s">
        <v>21</v>
      </c>
      <c r="G6" s="244"/>
      <c r="H6" s="244"/>
      <c r="I6" s="244"/>
      <c r="J6" s="244"/>
      <c r="K6" s="244"/>
      <c r="L6" s="244"/>
      <c r="M6" s="244"/>
      <c r="N6" s="244"/>
      <c r="O6" s="244"/>
      <c r="P6" s="244"/>
      <c r="Q6" s="244"/>
      <c r="R6" s="244"/>
      <c r="S6" s="244"/>
      <c r="T6" s="245" t="s">
        <v>22</v>
      </c>
      <c r="U6" s="245"/>
      <c r="V6" s="245"/>
      <c r="W6" s="245"/>
      <c r="X6" s="245"/>
      <c r="Y6" s="245"/>
      <c r="Z6" s="245"/>
      <c r="AA6" s="245"/>
      <c r="AB6" s="245"/>
      <c r="AC6" s="245"/>
      <c r="AD6" s="245"/>
      <c r="AE6" s="245"/>
      <c r="AF6" s="245"/>
      <c r="AG6" s="245"/>
      <c r="AH6" s="245"/>
      <c r="AI6" s="245"/>
      <c r="AJ6" s="245"/>
      <c r="AK6" s="245"/>
      <c r="AL6" s="245"/>
      <c r="AM6" s="245"/>
      <c r="AN6" s="245"/>
      <c r="AO6" s="245"/>
      <c r="AP6" s="245"/>
      <c r="AQ6" s="245"/>
      <c r="AR6" s="245"/>
      <c r="AS6" s="245"/>
      <c r="AT6" s="245"/>
      <c r="AU6" s="245"/>
      <c r="AV6" s="245"/>
      <c r="AW6" s="245"/>
      <c r="AX6" s="245"/>
      <c r="AY6" s="245"/>
      <c r="AZ6" s="246" t="s">
        <v>23</v>
      </c>
      <c r="BA6" s="246"/>
      <c r="BB6" s="246"/>
      <c r="BC6" s="246"/>
      <c r="BD6" s="246"/>
      <c r="BE6" s="218" t="s">
        <v>24</v>
      </c>
      <c r="BF6" s="219"/>
      <c r="BG6" s="219"/>
      <c r="BH6" s="219"/>
    </row>
    <row r="7" spans="1:67" ht="15" customHeight="1">
      <c r="A7" s="207">
        <v>45433</v>
      </c>
      <c r="B7" s="207"/>
      <c r="C7" s="207"/>
      <c r="D7" s="207"/>
      <c r="E7" s="207"/>
      <c r="F7" s="208" t="s">
        <v>25</v>
      </c>
      <c r="G7" s="208"/>
      <c r="H7" s="208"/>
      <c r="I7" s="208"/>
      <c r="J7" s="208"/>
      <c r="K7" s="208"/>
      <c r="L7" s="208"/>
      <c r="M7" s="208"/>
      <c r="N7" s="208"/>
      <c r="O7" s="208"/>
      <c r="P7" s="208"/>
      <c r="Q7" s="208"/>
      <c r="R7" s="208"/>
      <c r="S7" s="208"/>
      <c r="T7" s="210" t="s">
        <v>25</v>
      </c>
      <c r="U7" s="210"/>
      <c r="V7" s="210"/>
      <c r="W7" s="210"/>
      <c r="X7" s="210"/>
      <c r="Y7" s="210"/>
      <c r="Z7" s="210"/>
      <c r="AA7" s="210"/>
      <c r="AB7" s="210"/>
      <c r="AC7" s="210"/>
      <c r="AD7" s="210"/>
      <c r="AE7" s="210"/>
      <c r="AF7" s="210"/>
      <c r="AG7" s="210"/>
      <c r="AH7" s="210"/>
      <c r="AI7" s="210"/>
      <c r="AJ7" s="210"/>
      <c r="AK7" s="210"/>
      <c r="AL7" s="210"/>
      <c r="AM7" s="210"/>
      <c r="AN7" s="210"/>
      <c r="AO7" s="210"/>
      <c r="AP7" s="210"/>
      <c r="AQ7" s="210"/>
      <c r="AR7" s="210"/>
      <c r="AS7" s="210"/>
      <c r="AT7" s="210"/>
      <c r="AU7" s="210"/>
      <c r="AV7" s="210"/>
      <c r="AW7" s="210"/>
      <c r="AX7" s="210"/>
      <c r="AY7" s="210"/>
      <c r="AZ7" s="211" t="s">
        <v>23</v>
      </c>
      <c r="BA7" s="211"/>
      <c r="BB7" s="211"/>
      <c r="BC7" s="211"/>
      <c r="BD7" s="211"/>
      <c r="BE7" s="212" t="s">
        <v>26</v>
      </c>
      <c r="BF7" s="212"/>
      <c r="BG7" s="212"/>
      <c r="BH7" s="212"/>
    </row>
    <row r="8" spans="1:67" ht="15" customHeight="1">
      <c r="A8" s="207">
        <v>45495</v>
      </c>
      <c r="B8" s="207"/>
      <c r="C8" s="207"/>
      <c r="D8" s="207"/>
      <c r="E8" s="207"/>
      <c r="F8" s="208" t="s">
        <v>27</v>
      </c>
      <c r="G8" s="208"/>
      <c r="H8" s="208"/>
      <c r="I8" s="208"/>
      <c r="J8" s="208"/>
      <c r="K8" s="208"/>
      <c r="L8" s="208"/>
      <c r="M8" s="208"/>
      <c r="N8" s="208"/>
      <c r="O8" s="208"/>
      <c r="P8" s="208"/>
      <c r="Q8" s="208"/>
      <c r="R8" s="208"/>
      <c r="S8" s="208"/>
      <c r="T8" s="210" t="s">
        <v>28</v>
      </c>
      <c r="U8" s="210"/>
      <c r="V8" s="210"/>
      <c r="W8" s="210"/>
      <c r="X8" s="210"/>
      <c r="Y8" s="210"/>
      <c r="Z8" s="210"/>
      <c r="AA8" s="210"/>
      <c r="AB8" s="210"/>
      <c r="AC8" s="210"/>
      <c r="AD8" s="210"/>
      <c r="AE8" s="210"/>
      <c r="AF8" s="210"/>
      <c r="AG8" s="210"/>
      <c r="AH8" s="210"/>
      <c r="AI8" s="210"/>
      <c r="AJ8" s="210"/>
      <c r="AK8" s="210"/>
      <c r="AL8" s="210"/>
      <c r="AM8" s="210"/>
      <c r="AN8" s="210"/>
      <c r="AO8" s="210"/>
      <c r="AP8" s="210"/>
      <c r="AQ8" s="210"/>
      <c r="AR8" s="210"/>
      <c r="AS8" s="210"/>
      <c r="AT8" s="210"/>
      <c r="AU8" s="210"/>
      <c r="AV8" s="210"/>
      <c r="AW8" s="210"/>
      <c r="AX8" s="210"/>
      <c r="AY8" s="210"/>
      <c r="AZ8" s="211" t="s">
        <v>23</v>
      </c>
      <c r="BA8" s="211"/>
      <c r="BB8" s="211"/>
      <c r="BC8" s="211"/>
      <c r="BD8" s="211"/>
      <c r="BE8" s="212" t="s">
        <v>29</v>
      </c>
      <c r="BF8" s="212"/>
      <c r="BG8" s="212"/>
      <c r="BH8" s="212"/>
    </row>
    <row r="9" spans="1:67" ht="15" customHeight="1">
      <c r="A9" s="207">
        <v>45677</v>
      </c>
      <c r="B9" s="207"/>
      <c r="C9" s="207"/>
      <c r="D9" s="207"/>
      <c r="E9" s="207"/>
      <c r="F9" s="208" t="s">
        <v>27</v>
      </c>
      <c r="G9" s="208"/>
      <c r="H9" s="208"/>
      <c r="I9" s="208"/>
      <c r="J9" s="208"/>
      <c r="K9" s="208"/>
      <c r="L9" s="208"/>
      <c r="M9" s="208"/>
      <c r="N9" s="208"/>
      <c r="O9" s="208"/>
      <c r="P9" s="208"/>
      <c r="Q9" s="208"/>
      <c r="R9" s="208"/>
      <c r="S9" s="208"/>
      <c r="T9" s="210" t="s">
        <v>30</v>
      </c>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210"/>
      <c r="AZ9" s="211" t="s">
        <v>31</v>
      </c>
      <c r="BA9" s="211"/>
      <c r="BB9" s="211"/>
      <c r="BC9" s="211"/>
      <c r="BD9" s="211"/>
      <c r="BE9" s="212" t="s">
        <v>32</v>
      </c>
      <c r="BF9" s="212"/>
      <c r="BG9" s="212"/>
      <c r="BH9" s="212"/>
    </row>
    <row r="10" spans="1:67" ht="101.45" customHeight="1">
      <c r="A10" s="207">
        <v>45701</v>
      </c>
      <c r="B10" s="207"/>
      <c r="C10" s="207"/>
      <c r="D10" s="207"/>
      <c r="E10" s="207"/>
      <c r="F10" s="208" t="s">
        <v>27</v>
      </c>
      <c r="G10" s="208"/>
      <c r="H10" s="208"/>
      <c r="I10" s="208"/>
      <c r="J10" s="208"/>
      <c r="K10" s="208"/>
      <c r="L10" s="208"/>
      <c r="M10" s="208"/>
      <c r="N10" s="208"/>
      <c r="O10" s="208"/>
      <c r="P10" s="208"/>
      <c r="Q10" s="208"/>
      <c r="R10" s="208"/>
      <c r="S10" s="208"/>
      <c r="T10" s="209" t="s">
        <v>33</v>
      </c>
      <c r="U10" s="209"/>
      <c r="V10" s="209"/>
      <c r="W10" s="209"/>
      <c r="X10" s="209"/>
      <c r="Y10" s="209"/>
      <c r="Z10" s="209"/>
      <c r="AA10" s="209"/>
      <c r="AB10" s="209"/>
      <c r="AC10" s="209"/>
      <c r="AD10" s="209"/>
      <c r="AE10" s="209"/>
      <c r="AF10" s="209"/>
      <c r="AG10" s="209"/>
      <c r="AH10" s="209"/>
      <c r="AI10" s="209"/>
      <c r="AJ10" s="209"/>
      <c r="AK10" s="209"/>
      <c r="AL10" s="209"/>
      <c r="AM10" s="209"/>
      <c r="AN10" s="209"/>
      <c r="AO10" s="209"/>
      <c r="AP10" s="209"/>
      <c r="AQ10" s="209"/>
      <c r="AR10" s="209"/>
      <c r="AS10" s="209"/>
      <c r="AT10" s="209"/>
      <c r="AU10" s="209"/>
      <c r="AV10" s="209"/>
      <c r="AW10" s="209"/>
      <c r="AX10" s="209"/>
      <c r="AY10" s="209"/>
      <c r="AZ10" s="211" t="s">
        <v>23</v>
      </c>
      <c r="BA10" s="211"/>
      <c r="BB10" s="211"/>
      <c r="BC10" s="211"/>
      <c r="BD10" s="211"/>
      <c r="BE10" s="212" t="s">
        <v>34</v>
      </c>
      <c r="BF10" s="212"/>
      <c r="BG10" s="212"/>
      <c r="BH10" s="212"/>
    </row>
    <row r="11" spans="1:67" ht="99.95" customHeight="1">
      <c r="A11" s="207">
        <v>45761</v>
      </c>
      <c r="B11" s="207"/>
      <c r="C11" s="207"/>
      <c r="D11" s="207"/>
      <c r="E11" s="207"/>
      <c r="F11" s="208" t="s">
        <v>27</v>
      </c>
      <c r="G11" s="208"/>
      <c r="H11" s="208"/>
      <c r="I11" s="208"/>
      <c r="J11" s="208"/>
      <c r="K11" s="208"/>
      <c r="L11" s="208"/>
      <c r="M11" s="208"/>
      <c r="N11" s="208"/>
      <c r="O11" s="208"/>
      <c r="P11" s="208"/>
      <c r="Q11" s="208"/>
      <c r="R11" s="208"/>
      <c r="S11" s="208"/>
      <c r="T11" s="209" t="s">
        <v>35</v>
      </c>
      <c r="U11" s="210"/>
      <c r="V11" s="210"/>
      <c r="W11" s="210"/>
      <c r="X11" s="210"/>
      <c r="Y11" s="210"/>
      <c r="Z11" s="210"/>
      <c r="AA11" s="210"/>
      <c r="AB11" s="210"/>
      <c r="AC11" s="210"/>
      <c r="AD11" s="210"/>
      <c r="AE11" s="210"/>
      <c r="AF11" s="210"/>
      <c r="AG11" s="210"/>
      <c r="AH11" s="210"/>
      <c r="AI11" s="210"/>
      <c r="AJ11" s="210"/>
      <c r="AK11" s="210"/>
      <c r="AL11" s="210"/>
      <c r="AM11" s="210"/>
      <c r="AN11" s="210"/>
      <c r="AO11" s="210"/>
      <c r="AP11" s="210"/>
      <c r="AQ11" s="210"/>
      <c r="AR11" s="210"/>
      <c r="AS11" s="210"/>
      <c r="AT11" s="210"/>
      <c r="AU11" s="210"/>
      <c r="AV11" s="210"/>
      <c r="AW11" s="210"/>
      <c r="AX11" s="210"/>
      <c r="AY11" s="210"/>
      <c r="AZ11" s="211" t="s">
        <v>31</v>
      </c>
      <c r="BA11" s="211"/>
      <c r="BB11" s="211"/>
      <c r="BC11" s="211"/>
      <c r="BD11" s="211"/>
      <c r="BE11" s="212" t="s">
        <v>36</v>
      </c>
      <c r="BF11" s="212"/>
      <c r="BG11" s="212"/>
      <c r="BH11" s="212"/>
    </row>
    <row r="12" spans="1:67" ht="74.45" customHeight="1">
      <c r="A12" s="207">
        <v>45762</v>
      </c>
      <c r="B12" s="207"/>
      <c r="C12" s="207"/>
      <c r="D12" s="207"/>
      <c r="E12" s="207"/>
      <c r="F12" s="208" t="s">
        <v>27</v>
      </c>
      <c r="G12" s="208"/>
      <c r="H12" s="208"/>
      <c r="I12" s="208"/>
      <c r="J12" s="208"/>
      <c r="K12" s="208"/>
      <c r="L12" s="208"/>
      <c r="M12" s="208"/>
      <c r="N12" s="208"/>
      <c r="O12" s="208"/>
      <c r="P12" s="208"/>
      <c r="Q12" s="208"/>
      <c r="R12" s="208"/>
      <c r="S12" s="208"/>
      <c r="T12" s="209" t="s">
        <v>37</v>
      </c>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210"/>
      <c r="AZ12" s="211" t="s">
        <v>31</v>
      </c>
      <c r="BA12" s="211"/>
      <c r="BB12" s="211"/>
      <c r="BC12" s="211"/>
      <c r="BD12" s="211"/>
      <c r="BE12" s="212" t="s">
        <v>38</v>
      </c>
      <c r="BF12" s="212"/>
      <c r="BG12" s="212"/>
      <c r="BH12" s="212"/>
    </row>
    <row r="13" spans="1:67" ht="188.1" customHeight="1">
      <c r="A13" s="207">
        <v>45769</v>
      </c>
      <c r="B13" s="207"/>
      <c r="C13" s="207"/>
      <c r="D13" s="207"/>
      <c r="E13" s="207"/>
      <c r="F13" s="208" t="s">
        <v>27</v>
      </c>
      <c r="G13" s="208"/>
      <c r="H13" s="208"/>
      <c r="I13" s="208"/>
      <c r="J13" s="208"/>
      <c r="K13" s="208"/>
      <c r="L13" s="208"/>
      <c r="M13" s="208"/>
      <c r="N13" s="208"/>
      <c r="O13" s="208"/>
      <c r="P13" s="208"/>
      <c r="Q13" s="208"/>
      <c r="R13" s="208"/>
      <c r="S13" s="208"/>
      <c r="T13" s="209" t="s">
        <v>39</v>
      </c>
      <c r="U13" s="210"/>
      <c r="V13" s="210"/>
      <c r="W13" s="210"/>
      <c r="X13" s="210"/>
      <c r="Y13" s="210"/>
      <c r="Z13" s="210"/>
      <c r="AA13" s="210"/>
      <c r="AB13" s="210"/>
      <c r="AC13" s="210"/>
      <c r="AD13" s="210"/>
      <c r="AE13" s="210"/>
      <c r="AF13" s="210"/>
      <c r="AG13" s="210"/>
      <c r="AH13" s="210"/>
      <c r="AI13" s="210"/>
      <c r="AJ13" s="210"/>
      <c r="AK13" s="210"/>
      <c r="AL13" s="210"/>
      <c r="AM13" s="210"/>
      <c r="AN13" s="210"/>
      <c r="AO13" s="210"/>
      <c r="AP13" s="210"/>
      <c r="AQ13" s="210"/>
      <c r="AR13" s="210"/>
      <c r="AS13" s="210"/>
      <c r="AT13" s="210"/>
      <c r="AU13" s="210"/>
      <c r="AV13" s="210"/>
      <c r="AW13" s="210"/>
      <c r="AX13" s="210"/>
      <c r="AY13" s="210"/>
      <c r="AZ13" s="211" t="s">
        <v>31</v>
      </c>
      <c r="BA13" s="211"/>
      <c r="BB13" s="211"/>
      <c r="BC13" s="211"/>
      <c r="BD13" s="211"/>
      <c r="BE13" s="212" t="s">
        <v>40</v>
      </c>
      <c r="BF13" s="212"/>
      <c r="BG13" s="212"/>
      <c r="BH13" s="212"/>
    </row>
    <row r="14" spans="1:67" ht="15" customHeight="1">
      <c r="A14" s="207">
        <v>45777</v>
      </c>
      <c r="B14" s="207"/>
      <c r="C14" s="207"/>
      <c r="D14" s="207"/>
      <c r="E14" s="207"/>
      <c r="F14" s="208" t="s">
        <v>27</v>
      </c>
      <c r="G14" s="208"/>
      <c r="H14" s="208"/>
      <c r="I14" s="208"/>
      <c r="J14" s="208"/>
      <c r="K14" s="208"/>
      <c r="L14" s="208"/>
      <c r="M14" s="208"/>
      <c r="N14" s="208"/>
      <c r="O14" s="208"/>
      <c r="P14" s="208"/>
      <c r="Q14" s="208"/>
      <c r="R14" s="208"/>
      <c r="S14" s="208"/>
      <c r="T14" s="210" t="s">
        <v>41</v>
      </c>
      <c r="U14" s="210"/>
      <c r="V14" s="210"/>
      <c r="W14" s="210"/>
      <c r="X14" s="210"/>
      <c r="Y14" s="210"/>
      <c r="Z14" s="210"/>
      <c r="AA14" s="210"/>
      <c r="AB14" s="210"/>
      <c r="AC14" s="210"/>
      <c r="AD14" s="210"/>
      <c r="AE14" s="210"/>
      <c r="AF14" s="210"/>
      <c r="AG14" s="210"/>
      <c r="AH14" s="210"/>
      <c r="AI14" s="210"/>
      <c r="AJ14" s="210"/>
      <c r="AK14" s="210"/>
      <c r="AL14" s="210"/>
      <c r="AM14" s="210"/>
      <c r="AN14" s="210"/>
      <c r="AO14" s="210"/>
      <c r="AP14" s="210"/>
      <c r="AQ14" s="210"/>
      <c r="AR14" s="210"/>
      <c r="AS14" s="210"/>
      <c r="AT14" s="210"/>
      <c r="AU14" s="210"/>
      <c r="AV14" s="210"/>
      <c r="AW14" s="210"/>
      <c r="AX14" s="210"/>
      <c r="AY14" s="210"/>
      <c r="AZ14" s="211" t="s">
        <v>31</v>
      </c>
      <c r="BA14" s="211"/>
      <c r="BB14" s="211"/>
      <c r="BC14" s="211"/>
      <c r="BD14" s="211"/>
      <c r="BE14" s="212" t="s">
        <v>40</v>
      </c>
      <c r="BF14" s="212"/>
      <c r="BG14" s="212"/>
      <c r="BH14" s="212"/>
    </row>
    <row r="15" spans="1:67" ht="72.95" customHeight="1">
      <c r="A15" s="207">
        <v>45779</v>
      </c>
      <c r="B15" s="207"/>
      <c r="C15" s="207"/>
      <c r="D15" s="207"/>
      <c r="E15" s="207"/>
      <c r="F15" s="208" t="s">
        <v>27</v>
      </c>
      <c r="G15" s="208"/>
      <c r="H15" s="208"/>
      <c r="I15" s="208"/>
      <c r="J15" s="208"/>
      <c r="K15" s="208"/>
      <c r="L15" s="208"/>
      <c r="M15" s="208"/>
      <c r="N15" s="208"/>
      <c r="O15" s="208"/>
      <c r="P15" s="208"/>
      <c r="Q15" s="208"/>
      <c r="R15" s="208"/>
      <c r="S15" s="208"/>
      <c r="T15" s="209" t="s">
        <v>42</v>
      </c>
      <c r="U15" s="210"/>
      <c r="V15" s="210"/>
      <c r="W15" s="210"/>
      <c r="X15" s="210"/>
      <c r="Y15" s="210"/>
      <c r="Z15" s="210"/>
      <c r="AA15" s="210"/>
      <c r="AB15" s="210"/>
      <c r="AC15" s="210"/>
      <c r="AD15" s="210"/>
      <c r="AE15" s="210"/>
      <c r="AF15" s="210"/>
      <c r="AG15" s="210"/>
      <c r="AH15" s="210"/>
      <c r="AI15" s="210"/>
      <c r="AJ15" s="210"/>
      <c r="AK15" s="210"/>
      <c r="AL15" s="210"/>
      <c r="AM15" s="210"/>
      <c r="AN15" s="210"/>
      <c r="AO15" s="210"/>
      <c r="AP15" s="210"/>
      <c r="AQ15" s="210"/>
      <c r="AR15" s="210"/>
      <c r="AS15" s="210"/>
      <c r="AT15" s="210"/>
      <c r="AU15" s="210"/>
      <c r="AV15" s="210"/>
      <c r="AW15" s="210"/>
      <c r="AX15" s="210"/>
      <c r="AY15" s="210"/>
      <c r="AZ15" s="211" t="s">
        <v>31</v>
      </c>
      <c r="BA15" s="211"/>
      <c r="BB15" s="211"/>
      <c r="BC15" s="211"/>
      <c r="BD15" s="211"/>
      <c r="BE15" s="212" t="s">
        <v>40</v>
      </c>
      <c r="BF15" s="212"/>
      <c r="BG15" s="212"/>
      <c r="BH15" s="212"/>
    </row>
    <row r="16" spans="1:67" ht="15" customHeight="1">
      <c r="A16" s="207">
        <v>45784</v>
      </c>
      <c r="B16" s="207"/>
      <c r="C16" s="207"/>
      <c r="D16" s="207"/>
      <c r="E16" s="207"/>
      <c r="F16" s="208" t="s">
        <v>27</v>
      </c>
      <c r="G16" s="208"/>
      <c r="H16" s="208"/>
      <c r="I16" s="208"/>
      <c r="J16" s="208"/>
      <c r="K16" s="208"/>
      <c r="L16" s="208"/>
      <c r="M16" s="208"/>
      <c r="N16" s="208"/>
      <c r="O16" s="208"/>
      <c r="P16" s="208"/>
      <c r="Q16" s="208"/>
      <c r="R16" s="208"/>
      <c r="S16" s="208"/>
      <c r="T16" s="210" t="s">
        <v>43</v>
      </c>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1" t="s">
        <v>44</v>
      </c>
      <c r="BA16" s="211"/>
      <c r="BB16" s="211"/>
      <c r="BC16" s="211"/>
      <c r="BD16" s="211"/>
      <c r="BE16" s="212" t="s">
        <v>45</v>
      </c>
      <c r="BF16" s="212"/>
      <c r="BG16" s="212"/>
      <c r="BH16" s="212"/>
    </row>
    <row r="17" spans="1:60" ht="15" customHeight="1">
      <c r="A17" s="207">
        <v>45786</v>
      </c>
      <c r="B17" s="207"/>
      <c r="C17" s="207"/>
      <c r="D17" s="207"/>
      <c r="E17" s="207"/>
      <c r="F17" s="208" t="s">
        <v>46</v>
      </c>
      <c r="G17" s="208"/>
      <c r="H17" s="208"/>
      <c r="I17" s="208"/>
      <c r="J17" s="208"/>
      <c r="K17" s="208"/>
      <c r="L17" s="208"/>
      <c r="M17" s="208"/>
      <c r="N17" s="208"/>
      <c r="O17" s="208"/>
      <c r="P17" s="208"/>
      <c r="Q17" s="208"/>
      <c r="R17" s="208"/>
      <c r="S17" s="208"/>
      <c r="T17" s="209" t="s">
        <v>47</v>
      </c>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1" t="s">
        <v>44</v>
      </c>
      <c r="BA17" s="211"/>
      <c r="BB17" s="211"/>
      <c r="BC17" s="211"/>
      <c r="BD17" s="211"/>
      <c r="BE17" s="212" t="s">
        <v>45</v>
      </c>
      <c r="BF17" s="212"/>
      <c r="BG17" s="212"/>
      <c r="BH17" s="212"/>
    </row>
    <row r="18" spans="1:60" ht="45.95" customHeight="1">
      <c r="A18" s="207">
        <v>45841</v>
      </c>
      <c r="B18" s="207"/>
      <c r="C18" s="207"/>
      <c r="D18" s="207"/>
      <c r="E18" s="207"/>
      <c r="F18" s="208" t="s">
        <v>27</v>
      </c>
      <c r="G18" s="208"/>
      <c r="H18" s="208"/>
      <c r="I18" s="208"/>
      <c r="J18" s="208"/>
      <c r="K18" s="208"/>
      <c r="L18" s="208"/>
      <c r="M18" s="208"/>
      <c r="N18" s="208"/>
      <c r="O18" s="208"/>
      <c r="P18" s="208"/>
      <c r="Q18" s="208"/>
      <c r="R18" s="208"/>
      <c r="S18" s="208"/>
      <c r="T18" s="209" t="s">
        <v>48</v>
      </c>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1" t="s">
        <v>31</v>
      </c>
      <c r="BA18" s="211"/>
      <c r="BB18" s="211"/>
      <c r="BC18" s="211"/>
      <c r="BD18" s="211"/>
      <c r="BE18" s="212" t="s">
        <v>49</v>
      </c>
      <c r="BF18" s="212"/>
      <c r="BG18" s="212"/>
      <c r="BH18" s="212"/>
    </row>
    <row r="19" spans="1:60" ht="63" customHeight="1">
      <c r="A19" s="207">
        <v>45845</v>
      </c>
      <c r="B19" s="207"/>
      <c r="C19" s="207"/>
      <c r="D19" s="207"/>
      <c r="E19" s="207"/>
      <c r="F19" s="208" t="s">
        <v>27</v>
      </c>
      <c r="G19" s="208"/>
      <c r="H19" s="208"/>
      <c r="I19" s="208"/>
      <c r="J19" s="208"/>
      <c r="K19" s="208"/>
      <c r="L19" s="208"/>
      <c r="M19" s="208"/>
      <c r="N19" s="208"/>
      <c r="O19" s="208"/>
      <c r="P19" s="208"/>
      <c r="Q19" s="208"/>
      <c r="R19" s="208"/>
      <c r="S19" s="208"/>
      <c r="T19" s="209" t="s">
        <v>50</v>
      </c>
      <c r="U19" s="210"/>
      <c r="V19" s="210"/>
      <c r="W19" s="210"/>
      <c r="X19" s="210"/>
      <c r="Y19" s="210"/>
      <c r="Z19" s="210"/>
      <c r="AA19" s="210"/>
      <c r="AB19" s="210"/>
      <c r="AC19" s="210"/>
      <c r="AD19" s="210"/>
      <c r="AE19" s="210"/>
      <c r="AF19" s="210"/>
      <c r="AG19" s="210"/>
      <c r="AH19" s="210"/>
      <c r="AI19" s="210"/>
      <c r="AJ19" s="210"/>
      <c r="AK19" s="210"/>
      <c r="AL19" s="210"/>
      <c r="AM19" s="210"/>
      <c r="AN19" s="210"/>
      <c r="AO19" s="210"/>
      <c r="AP19" s="210"/>
      <c r="AQ19" s="210"/>
      <c r="AR19" s="210"/>
      <c r="AS19" s="210"/>
      <c r="AT19" s="210"/>
      <c r="AU19" s="210"/>
      <c r="AV19" s="210"/>
      <c r="AW19" s="210"/>
      <c r="AX19" s="210"/>
      <c r="AY19" s="210"/>
      <c r="AZ19" s="211" t="s">
        <v>31</v>
      </c>
      <c r="BA19" s="211"/>
      <c r="BB19" s="211"/>
      <c r="BC19" s="211"/>
      <c r="BD19" s="211"/>
      <c r="BE19" s="212" t="s">
        <v>51</v>
      </c>
      <c r="BF19" s="212"/>
      <c r="BG19" s="212"/>
      <c r="BH19" s="212"/>
    </row>
    <row r="20" spans="1:60" ht="96.95" customHeight="1">
      <c r="A20" s="207">
        <v>45868</v>
      </c>
      <c r="B20" s="207"/>
      <c r="C20" s="207"/>
      <c r="D20" s="207"/>
      <c r="E20" s="207"/>
      <c r="F20" s="208" t="s">
        <v>46</v>
      </c>
      <c r="G20" s="208"/>
      <c r="H20" s="208"/>
      <c r="I20" s="208"/>
      <c r="J20" s="208"/>
      <c r="K20" s="208"/>
      <c r="L20" s="208"/>
      <c r="M20" s="208"/>
      <c r="N20" s="208"/>
      <c r="O20" s="208"/>
      <c r="P20" s="208"/>
      <c r="Q20" s="208"/>
      <c r="R20" s="208"/>
      <c r="S20" s="208"/>
      <c r="T20" s="209" t="s">
        <v>52</v>
      </c>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210"/>
      <c r="AZ20" s="211" t="s">
        <v>44</v>
      </c>
      <c r="BA20" s="211"/>
      <c r="BB20" s="211"/>
      <c r="BC20" s="211"/>
      <c r="BD20" s="211"/>
      <c r="BE20" s="212" t="s">
        <v>53</v>
      </c>
      <c r="BF20" s="212"/>
      <c r="BG20" s="212"/>
      <c r="BH20" s="212"/>
    </row>
    <row r="21" spans="1:60" ht="45.6" customHeight="1">
      <c r="A21" s="207">
        <v>45909</v>
      </c>
      <c r="B21" s="207"/>
      <c r="C21" s="207"/>
      <c r="D21" s="207"/>
      <c r="E21" s="207"/>
      <c r="F21" s="208" t="s">
        <v>46</v>
      </c>
      <c r="G21" s="208"/>
      <c r="H21" s="208"/>
      <c r="I21" s="208"/>
      <c r="J21" s="208"/>
      <c r="K21" s="208"/>
      <c r="L21" s="208"/>
      <c r="M21" s="208"/>
      <c r="N21" s="208"/>
      <c r="O21" s="208"/>
      <c r="P21" s="208"/>
      <c r="Q21" s="208"/>
      <c r="R21" s="208"/>
      <c r="S21" s="208"/>
      <c r="T21" s="209" t="s">
        <v>54</v>
      </c>
      <c r="U21" s="210"/>
      <c r="V21" s="210"/>
      <c r="W21" s="210"/>
      <c r="X21" s="210"/>
      <c r="Y21" s="210"/>
      <c r="Z21" s="210"/>
      <c r="AA21" s="210"/>
      <c r="AB21" s="210"/>
      <c r="AC21" s="210"/>
      <c r="AD21" s="210"/>
      <c r="AE21" s="210"/>
      <c r="AF21" s="210"/>
      <c r="AG21" s="210"/>
      <c r="AH21" s="210"/>
      <c r="AI21" s="210"/>
      <c r="AJ21" s="210"/>
      <c r="AK21" s="210"/>
      <c r="AL21" s="210"/>
      <c r="AM21" s="210"/>
      <c r="AN21" s="210"/>
      <c r="AO21" s="210"/>
      <c r="AP21" s="210"/>
      <c r="AQ21" s="210"/>
      <c r="AR21" s="210"/>
      <c r="AS21" s="210"/>
      <c r="AT21" s="210"/>
      <c r="AU21" s="210"/>
      <c r="AV21" s="210"/>
      <c r="AW21" s="210"/>
      <c r="AX21" s="210"/>
      <c r="AY21" s="210"/>
      <c r="AZ21" s="211" t="s">
        <v>44</v>
      </c>
      <c r="BA21" s="211"/>
      <c r="BB21" s="211"/>
      <c r="BC21" s="211"/>
      <c r="BD21" s="211"/>
      <c r="BE21" s="212" t="s">
        <v>55</v>
      </c>
      <c r="BF21" s="212"/>
      <c r="BG21" s="212"/>
      <c r="BH21" s="212"/>
    </row>
    <row r="22" spans="1:60" ht="33.950000000000003" customHeight="1">
      <c r="A22" s="207">
        <v>45910</v>
      </c>
      <c r="B22" s="207"/>
      <c r="C22" s="207"/>
      <c r="D22" s="207"/>
      <c r="E22" s="207"/>
      <c r="F22" s="208" t="s">
        <v>46</v>
      </c>
      <c r="G22" s="208"/>
      <c r="H22" s="208"/>
      <c r="I22" s="208"/>
      <c r="J22" s="208"/>
      <c r="K22" s="208"/>
      <c r="L22" s="208"/>
      <c r="M22" s="208"/>
      <c r="N22" s="208"/>
      <c r="O22" s="208"/>
      <c r="P22" s="208"/>
      <c r="Q22" s="208"/>
      <c r="R22" s="208"/>
      <c r="S22" s="208"/>
      <c r="T22" s="209" t="s">
        <v>56</v>
      </c>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1" t="s">
        <v>31</v>
      </c>
      <c r="BA22" s="211"/>
      <c r="BB22" s="211"/>
      <c r="BC22" s="211"/>
      <c r="BD22" s="211"/>
      <c r="BE22" s="212" t="s">
        <v>57</v>
      </c>
      <c r="BF22" s="212"/>
      <c r="BG22" s="212"/>
      <c r="BH22" s="212"/>
    </row>
    <row r="23" spans="1:60" ht="33.950000000000003" customHeight="1">
      <c r="A23" s="207">
        <v>45924</v>
      </c>
      <c r="B23" s="207"/>
      <c r="C23" s="207"/>
      <c r="D23" s="207"/>
      <c r="E23" s="207"/>
      <c r="F23" s="208" t="s">
        <v>27</v>
      </c>
      <c r="G23" s="208"/>
      <c r="H23" s="208"/>
      <c r="I23" s="208"/>
      <c r="J23" s="208"/>
      <c r="K23" s="208"/>
      <c r="L23" s="208"/>
      <c r="M23" s="208"/>
      <c r="N23" s="208"/>
      <c r="O23" s="208"/>
      <c r="P23" s="208"/>
      <c r="Q23" s="208"/>
      <c r="R23" s="208"/>
      <c r="S23" s="208"/>
      <c r="T23" s="209" t="s">
        <v>58</v>
      </c>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210"/>
      <c r="AZ23" s="211" t="s">
        <v>31</v>
      </c>
      <c r="BA23" s="211"/>
      <c r="BB23" s="211"/>
      <c r="BC23" s="211"/>
      <c r="BD23" s="211"/>
      <c r="BE23" s="212" t="s">
        <v>59</v>
      </c>
      <c r="BF23" s="212"/>
      <c r="BG23" s="212"/>
      <c r="BH23" s="212"/>
    </row>
    <row r="24" spans="1:60" ht="43.5" customHeight="1">
      <c r="A24" s="207">
        <v>45937</v>
      </c>
      <c r="B24" s="207"/>
      <c r="C24" s="207"/>
      <c r="D24" s="207"/>
      <c r="E24" s="207"/>
      <c r="F24" s="208" t="s">
        <v>27</v>
      </c>
      <c r="G24" s="208"/>
      <c r="H24" s="208"/>
      <c r="I24" s="208"/>
      <c r="J24" s="208"/>
      <c r="K24" s="208"/>
      <c r="L24" s="208"/>
      <c r="M24" s="208"/>
      <c r="N24" s="208"/>
      <c r="O24" s="208"/>
      <c r="P24" s="208"/>
      <c r="Q24" s="208"/>
      <c r="R24" s="208"/>
      <c r="S24" s="208"/>
      <c r="T24" s="209" t="s">
        <v>60</v>
      </c>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1" t="s">
        <v>31</v>
      </c>
      <c r="BA24" s="211"/>
      <c r="BB24" s="211"/>
      <c r="BC24" s="211"/>
      <c r="BD24" s="211"/>
      <c r="BE24" s="212" t="s">
        <v>61</v>
      </c>
      <c r="BF24" s="212"/>
      <c r="BG24" s="212"/>
      <c r="BH24" s="212"/>
    </row>
    <row r="25" spans="1:60" ht="30" customHeight="1">
      <c r="A25" s="207">
        <v>45939</v>
      </c>
      <c r="B25" s="207"/>
      <c r="C25" s="207"/>
      <c r="D25" s="207"/>
      <c r="E25" s="207"/>
      <c r="F25" s="208" t="s">
        <v>27</v>
      </c>
      <c r="G25" s="208"/>
      <c r="H25" s="208"/>
      <c r="I25" s="208"/>
      <c r="J25" s="208"/>
      <c r="K25" s="208"/>
      <c r="L25" s="208"/>
      <c r="M25" s="208"/>
      <c r="N25" s="208"/>
      <c r="O25" s="208"/>
      <c r="P25" s="208"/>
      <c r="Q25" s="208"/>
      <c r="R25" s="208"/>
      <c r="S25" s="208"/>
      <c r="T25" s="209" t="s">
        <v>62</v>
      </c>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1" t="s">
        <v>31</v>
      </c>
      <c r="BA25" s="211"/>
      <c r="BB25" s="211"/>
      <c r="BC25" s="211"/>
      <c r="BD25" s="211"/>
      <c r="BE25" s="212" t="s">
        <v>63</v>
      </c>
      <c r="BF25" s="212"/>
      <c r="BG25" s="212"/>
      <c r="BH25" s="212"/>
    </row>
    <row r="26" spans="1:60" ht="15" customHeight="1" thickBot="1">
      <c r="A26" s="213"/>
      <c r="B26" s="213"/>
      <c r="C26" s="213"/>
      <c r="D26" s="213"/>
      <c r="E26" s="213"/>
      <c r="F26" s="214"/>
      <c r="G26" s="214"/>
      <c r="H26" s="214"/>
      <c r="I26" s="214"/>
      <c r="J26" s="214"/>
      <c r="K26" s="214"/>
      <c r="L26" s="214"/>
      <c r="M26" s="214"/>
      <c r="N26" s="214"/>
      <c r="O26" s="214"/>
      <c r="P26" s="214"/>
      <c r="Q26" s="214"/>
      <c r="R26" s="214"/>
      <c r="S26" s="214"/>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6"/>
      <c r="BA26" s="216"/>
      <c r="BB26" s="216"/>
      <c r="BC26" s="216"/>
      <c r="BD26" s="216"/>
      <c r="BE26" s="217"/>
      <c r="BF26" s="217"/>
      <c r="BG26" s="217"/>
      <c r="BH26" s="217"/>
    </row>
  </sheetData>
  <mergeCells count="124">
    <mergeCell ref="BE21:BH21"/>
    <mergeCell ref="A1:E1"/>
    <mergeCell ref="F1:V1"/>
    <mergeCell ref="W1:AQ1"/>
    <mergeCell ref="AR1:AZ1"/>
    <mergeCell ref="BA1:BH1"/>
    <mergeCell ref="A2:E3"/>
    <mergeCell ref="F2:V3"/>
    <mergeCell ref="W2:AQ3"/>
    <mergeCell ref="AR2:AS2"/>
    <mergeCell ref="AT2:AZ2"/>
    <mergeCell ref="BA2:BH2"/>
    <mergeCell ref="AR3:AS3"/>
    <mergeCell ref="AT3:AZ3"/>
    <mergeCell ref="BA3:BH3"/>
    <mergeCell ref="A5:E5"/>
    <mergeCell ref="F5:S5"/>
    <mergeCell ref="T5:AY5"/>
    <mergeCell ref="AZ5:BD5"/>
    <mergeCell ref="BE5:BH5"/>
    <mergeCell ref="A6:E6"/>
    <mergeCell ref="F6:S6"/>
    <mergeCell ref="T6:AY6"/>
    <mergeCell ref="AZ6:BD6"/>
    <mergeCell ref="BE6:BH6"/>
    <mergeCell ref="A7:E7"/>
    <mergeCell ref="F7:S7"/>
    <mergeCell ref="T7:AY7"/>
    <mergeCell ref="AZ7:BD7"/>
    <mergeCell ref="BE7:BH7"/>
    <mergeCell ref="A8:E8"/>
    <mergeCell ref="F8:S8"/>
    <mergeCell ref="T8:AY8"/>
    <mergeCell ref="AZ8:BD8"/>
    <mergeCell ref="BE8:BH8"/>
    <mergeCell ref="A9:E9"/>
    <mergeCell ref="F9:S9"/>
    <mergeCell ref="T9:AY9"/>
    <mergeCell ref="AZ9:BD9"/>
    <mergeCell ref="BE9:BH9"/>
    <mergeCell ref="A10:E10"/>
    <mergeCell ref="F10:S10"/>
    <mergeCell ref="T10:AY10"/>
    <mergeCell ref="AZ10:BD10"/>
    <mergeCell ref="BE10:BH10"/>
    <mergeCell ref="A11:E11"/>
    <mergeCell ref="F11:S11"/>
    <mergeCell ref="T11:AY11"/>
    <mergeCell ref="AZ11:BD11"/>
    <mergeCell ref="BE11:BH11"/>
    <mergeCell ref="A12:E12"/>
    <mergeCell ref="F12:S12"/>
    <mergeCell ref="T12:AY12"/>
    <mergeCell ref="AZ12:BD12"/>
    <mergeCell ref="BE12:BH12"/>
    <mergeCell ref="A13:E13"/>
    <mergeCell ref="F13:S13"/>
    <mergeCell ref="T13:AY13"/>
    <mergeCell ref="AZ13:BD13"/>
    <mergeCell ref="BE13:BH13"/>
    <mergeCell ref="A14:E14"/>
    <mergeCell ref="F14:S14"/>
    <mergeCell ref="T14:AY14"/>
    <mergeCell ref="AZ14:BD14"/>
    <mergeCell ref="BE14:BH14"/>
    <mergeCell ref="A15:E15"/>
    <mergeCell ref="F15:S15"/>
    <mergeCell ref="T15:AY15"/>
    <mergeCell ref="AZ15:BD15"/>
    <mergeCell ref="BE15:BH15"/>
    <mergeCell ref="A16:E16"/>
    <mergeCell ref="F16:S16"/>
    <mergeCell ref="T16:AY16"/>
    <mergeCell ref="AZ16:BD16"/>
    <mergeCell ref="BE16:BH16"/>
    <mergeCell ref="A17:E17"/>
    <mergeCell ref="F17:S17"/>
    <mergeCell ref="T17:AY17"/>
    <mergeCell ref="AZ17:BD17"/>
    <mergeCell ref="BE17:BH17"/>
    <mergeCell ref="A18:E18"/>
    <mergeCell ref="F18:S18"/>
    <mergeCell ref="T18:AY18"/>
    <mergeCell ref="AZ18:BD18"/>
    <mergeCell ref="BE18:BH18"/>
    <mergeCell ref="A19:E19"/>
    <mergeCell ref="F19:S19"/>
    <mergeCell ref="T19:AY19"/>
    <mergeCell ref="AZ19:BD19"/>
    <mergeCell ref="BE19:BH19"/>
    <mergeCell ref="A26:E26"/>
    <mergeCell ref="F26:S26"/>
    <mergeCell ref="T26:AY26"/>
    <mergeCell ref="AZ26:BD26"/>
    <mergeCell ref="BE26:BH26"/>
    <mergeCell ref="A20:E20"/>
    <mergeCell ref="F20:S20"/>
    <mergeCell ref="T20:AY20"/>
    <mergeCell ref="AZ20:BD20"/>
    <mergeCell ref="BE20:BH20"/>
    <mergeCell ref="A22:E22"/>
    <mergeCell ref="F22:S22"/>
    <mergeCell ref="T22:AY22"/>
    <mergeCell ref="AZ22:BD22"/>
    <mergeCell ref="BE22:BH22"/>
    <mergeCell ref="A21:E21"/>
    <mergeCell ref="F21:S21"/>
    <mergeCell ref="T21:AY21"/>
    <mergeCell ref="AZ21:BD21"/>
    <mergeCell ref="A25:E25"/>
    <mergeCell ref="F25:S25"/>
    <mergeCell ref="T25:AY25"/>
    <mergeCell ref="AZ25:BD25"/>
    <mergeCell ref="BE25:BH25"/>
    <mergeCell ref="A23:E23"/>
    <mergeCell ref="F23:S23"/>
    <mergeCell ref="T23:AY23"/>
    <mergeCell ref="AZ23:BD23"/>
    <mergeCell ref="BE23:BH23"/>
    <mergeCell ref="A24:E24"/>
    <mergeCell ref="F24:S24"/>
    <mergeCell ref="T24:AY24"/>
    <mergeCell ref="AZ24:BD24"/>
    <mergeCell ref="BE24:BH24"/>
  </mergeCells>
  <phoneticPr fontId="3"/>
  <printOptions horizontalCentered="1"/>
  <pageMargins left="0.23622047244094491" right="0.23622047244094491" top="0.74803149606299213" bottom="0.74803149606299213" header="0.31496062992125984" footer="0.31496062992125984"/>
  <pageSetup paperSize="9" scale="8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V72"/>
  <sheetViews>
    <sheetView showGridLines="0" topLeftCell="A3" zoomScaleNormal="100" workbookViewId="0">
      <selection activeCell="S22" sqref="S22"/>
    </sheetView>
  </sheetViews>
  <sheetFormatPr defaultColWidth="2.375" defaultRowHeight="13.5"/>
  <cols>
    <col min="1" max="5" width="2.375" style="8"/>
    <col min="6" max="10" width="2.375" style="8" customWidth="1"/>
    <col min="11" max="49" width="2.375" style="8"/>
    <col min="50" max="50" width="2.375" style="8" customWidth="1"/>
    <col min="51" max="16384" width="2.375" style="8"/>
  </cols>
  <sheetData>
    <row r="1" spans="1:48" ht="14.1" customHeight="1" thickBot="1">
      <c r="A1" s="128" t="s">
        <v>9</v>
      </c>
      <c r="B1" s="129"/>
      <c r="C1" s="129"/>
      <c r="D1" s="129"/>
      <c r="E1" s="130"/>
      <c r="F1" s="142" t="str">
        <f>変更履歴!F1</f>
        <v>会計システム刷新プロジェクト（LIBRA）</v>
      </c>
      <c r="G1" s="223"/>
      <c r="H1" s="223"/>
      <c r="I1" s="223"/>
      <c r="J1" s="223"/>
      <c r="K1" s="223"/>
      <c r="L1" s="223"/>
      <c r="M1" s="223"/>
      <c r="N1" s="223"/>
      <c r="O1" s="223"/>
      <c r="P1" s="223"/>
      <c r="Q1" s="223"/>
      <c r="R1" s="223"/>
      <c r="S1" s="223"/>
      <c r="T1" s="223"/>
      <c r="U1" s="224"/>
      <c r="V1" s="128" t="s">
        <v>64</v>
      </c>
      <c r="W1" s="129"/>
      <c r="X1" s="129"/>
      <c r="Y1" s="129"/>
      <c r="Z1" s="129"/>
      <c r="AA1" s="129"/>
      <c r="AB1" s="129"/>
      <c r="AC1" s="129"/>
      <c r="AD1" s="129"/>
      <c r="AE1" s="129"/>
      <c r="AF1" s="129"/>
      <c r="AG1" s="129"/>
      <c r="AH1" s="129"/>
      <c r="AI1" s="130"/>
      <c r="AJ1" s="128" t="s">
        <v>11</v>
      </c>
      <c r="AK1" s="129"/>
      <c r="AL1" s="129"/>
      <c r="AM1" s="129"/>
      <c r="AN1" s="129"/>
      <c r="AO1" s="129"/>
      <c r="AP1" s="130"/>
      <c r="AQ1" s="128" t="s">
        <v>12</v>
      </c>
      <c r="AR1" s="129"/>
      <c r="AS1" s="129"/>
      <c r="AT1" s="129"/>
      <c r="AU1" s="129"/>
      <c r="AV1" s="130"/>
    </row>
    <row r="2" spans="1:48" ht="14.1" customHeight="1">
      <c r="A2" s="131" t="s">
        <v>13</v>
      </c>
      <c r="B2" s="253"/>
      <c r="C2" s="253"/>
      <c r="D2" s="253"/>
      <c r="E2" s="254"/>
      <c r="F2" s="150" t="str">
        <f>変更履歴!F2</f>
        <v>ToBe業務フロー（5.固定資産_リース）</v>
      </c>
      <c r="G2" s="231"/>
      <c r="H2" s="231"/>
      <c r="I2" s="231"/>
      <c r="J2" s="231"/>
      <c r="K2" s="231"/>
      <c r="L2" s="231"/>
      <c r="M2" s="231"/>
      <c r="N2" s="231"/>
      <c r="O2" s="231"/>
      <c r="P2" s="231"/>
      <c r="Q2" s="231"/>
      <c r="R2" s="231"/>
      <c r="S2" s="231"/>
      <c r="T2" s="231"/>
      <c r="U2" s="232"/>
      <c r="V2" s="150" t="e">
        <f ca="1">MID(CELL("filename",$A$1),FIND("]",CELL("filename",$A$1))+1,31)</f>
        <v>#VALUE!</v>
      </c>
      <c r="W2" s="231"/>
      <c r="X2" s="231"/>
      <c r="Y2" s="231"/>
      <c r="Z2" s="231"/>
      <c r="AA2" s="231"/>
      <c r="AB2" s="231"/>
      <c r="AC2" s="231"/>
      <c r="AD2" s="231"/>
      <c r="AE2" s="231"/>
      <c r="AF2" s="231"/>
      <c r="AG2" s="231"/>
      <c r="AH2" s="231"/>
      <c r="AI2" s="232"/>
      <c r="AJ2" s="153" t="s">
        <v>14</v>
      </c>
      <c r="AK2" s="154"/>
      <c r="AL2" s="155">
        <f>変更履歴!AT2</f>
        <v>45362</v>
      </c>
      <c r="AM2" s="156"/>
      <c r="AN2" s="156"/>
      <c r="AO2" s="156"/>
      <c r="AP2" s="157"/>
      <c r="AQ2" s="158" t="str">
        <f>変更履歴!BA2</f>
        <v>JBS大河原</v>
      </c>
      <c r="AR2" s="159"/>
      <c r="AS2" s="159"/>
      <c r="AT2" s="159"/>
      <c r="AU2" s="159"/>
      <c r="AV2" s="160"/>
    </row>
    <row r="3" spans="1:48" ht="14.1" customHeight="1" thickBot="1">
      <c r="A3" s="255"/>
      <c r="B3" s="256"/>
      <c r="C3" s="256"/>
      <c r="D3" s="256"/>
      <c r="E3" s="257"/>
      <c r="F3" s="233"/>
      <c r="G3" s="234"/>
      <c r="H3" s="234"/>
      <c r="I3" s="234"/>
      <c r="J3" s="234"/>
      <c r="K3" s="234"/>
      <c r="L3" s="234"/>
      <c r="M3" s="234"/>
      <c r="N3" s="234"/>
      <c r="O3" s="234"/>
      <c r="P3" s="234"/>
      <c r="Q3" s="234"/>
      <c r="R3" s="234"/>
      <c r="S3" s="234"/>
      <c r="T3" s="234"/>
      <c r="U3" s="235"/>
      <c r="V3" s="233"/>
      <c r="W3" s="234"/>
      <c r="X3" s="234"/>
      <c r="Y3" s="234"/>
      <c r="Z3" s="234"/>
      <c r="AA3" s="234"/>
      <c r="AB3" s="234"/>
      <c r="AC3" s="234"/>
      <c r="AD3" s="234"/>
      <c r="AE3" s="234"/>
      <c r="AF3" s="234"/>
      <c r="AG3" s="234"/>
      <c r="AH3" s="234"/>
      <c r="AI3" s="235"/>
      <c r="AJ3" s="161" t="s">
        <v>15</v>
      </c>
      <c r="AK3" s="162"/>
      <c r="AL3" s="163">
        <f ca="1">変更履歴!AT3</f>
        <v>45939</v>
      </c>
      <c r="AM3" s="164"/>
      <c r="AN3" s="164"/>
      <c r="AO3" s="164"/>
      <c r="AP3" s="165"/>
      <c r="AQ3" s="166" t="str">
        <f ca="1">変更履歴!BA3</f>
        <v>JBS中村</v>
      </c>
      <c r="AR3" s="167"/>
      <c r="AS3" s="167"/>
      <c r="AT3" s="167"/>
      <c r="AU3" s="167"/>
      <c r="AV3" s="168"/>
    </row>
    <row r="4" spans="1:48" ht="14.45">
      <c r="A4" s="24"/>
      <c r="AV4" s="9"/>
    </row>
    <row r="5" spans="1:48" ht="14.45">
      <c r="A5" s="41"/>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s="11" customFormat="1">
      <c r="A6" s="35" t="s">
        <v>65</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36"/>
    </row>
    <row r="7" spans="1:48" s="11" customFormat="1" ht="14.45">
      <c r="A7" s="25"/>
      <c r="B7" s="12"/>
      <c r="C7" s="12"/>
      <c r="D7" s="12"/>
      <c r="E7" s="12"/>
      <c r="F7" s="12"/>
      <c r="G7" s="12"/>
      <c r="H7" s="12"/>
      <c r="I7" s="12"/>
      <c r="J7" s="12"/>
      <c r="K7" s="12"/>
      <c r="L7" s="12"/>
      <c r="M7" s="12"/>
      <c r="N7" s="12"/>
      <c r="O7" s="12"/>
      <c r="P7" s="12"/>
      <c r="Q7" s="12"/>
      <c r="R7" s="12"/>
      <c r="S7" s="12"/>
      <c r="T7" s="12"/>
      <c r="U7" s="12"/>
      <c r="V7" s="12"/>
      <c r="W7" s="12"/>
      <c r="X7" s="12"/>
      <c r="Y7" s="12"/>
      <c r="Z7" s="12"/>
      <c r="AA7" s="12"/>
      <c r="AB7" s="12"/>
      <c r="AV7" s="13"/>
    </row>
    <row r="8" spans="1:48" s="11" customFormat="1" ht="14.45">
      <c r="A8" s="25"/>
      <c r="B8" s="12"/>
      <c r="C8" s="12"/>
      <c r="D8" s="12"/>
      <c r="E8" s="12"/>
      <c r="F8" s="12"/>
      <c r="G8" s="12"/>
      <c r="H8" s="12"/>
      <c r="I8" s="12"/>
      <c r="J8" s="12"/>
      <c r="K8" s="12"/>
      <c r="L8" s="12"/>
      <c r="M8" s="12"/>
      <c r="N8" s="12"/>
      <c r="O8" s="12"/>
      <c r="P8" s="12"/>
      <c r="Q8" s="12"/>
      <c r="R8" s="12"/>
      <c r="S8" s="12"/>
      <c r="T8" s="12"/>
      <c r="U8" s="12"/>
      <c r="V8" s="12"/>
      <c r="W8" s="12"/>
      <c r="X8" s="12"/>
      <c r="Y8" s="12"/>
      <c r="Z8" s="12"/>
      <c r="AA8" s="12"/>
      <c r="AB8" s="12"/>
      <c r="AV8" s="13"/>
    </row>
    <row r="9" spans="1:48" s="11" customFormat="1" ht="14.45">
      <c r="A9" s="25"/>
      <c r="B9" s="12"/>
      <c r="C9" s="12"/>
      <c r="D9" s="12"/>
      <c r="E9" s="12"/>
      <c r="F9" s="12"/>
      <c r="G9" s="12"/>
      <c r="H9" s="12"/>
      <c r="I9" s="12"/>
      <c r="J9" s="12"/>
      <c r="K9" s="12"/>
      <c r="L9" s="12"/>
      <c r="M9" s="12"/>
      <c r="N9" s="12"/>
      <c r="O9" s="12"/>
      <c r="P9" s="12"/>
      <c r="Q9" s="12"/>
      <c r="R9" s="12"/>
      <c r="S9" s="12"/>
      <c r="T9" s="12"/>
      <c r="U9" s="12"/>
      <c r="V9" s="12"/>
      <c r="W9" s="12"/>
      <c r="X9" s="12"/>
      <c r="Y9" s="12"/>
      <c r="Z9" s="12"/>
      <c r="AA9" s="12"/>
      <c r="AB9" s="12"/>
      <c r="AV9" s="13"/>
    </row>
    <row r="10" spans="1:48" s="11" customFormat="1">
      <c r="A10" s="25"/>
      <c r="B10" s="12"/>
      <c r="C10" s="12"/>
      <c r="D10" s="12"/>
      <c r="E10" s="12"/>
      <c r="F10" s="12"/>
      <c r="H10" t="s">
        <v>66</v>
      </c>
      <c r="I10" t="s">
        <v>67</v>
      </c>
      <c r="J10" s="12"/>
      <c r="K10" s="12"/>
      <c r="L10" s="12"/>
      <c r="M10" s="12"/>
      <c r="N10" s="12"/>
      <c r="O10" s="12"/>
      <c r="P10" s="12"/>
      <c r="Q10" s="12"/>
      <c r="R10" s="12"/>
      <c r="S10" s="12"/>
      <c r="T10" s="12"/>
      <c r="U10" s="12"/>
      <c r="V10" s="12"/>
      <c r="W10" s="12"/>
      <c r="X10" s="12"/>
      <c r="Y10" s="12"/>
      <c r="Z10" s="12"/>
      <c r="AA10" s="12"/>
      <c r="AC10" t="s">
        <v>66</v>
      </c>
      <c r="AD10" t="s">
        <v>68</v>
      </c>
      <c r="AV10" s="13"/>
    </row>
    <row r="11" spans="1:48" s="11" customFormat="1" ht="14.45">
      <c r="A11" s="25"/>
      <c r="B11" s="12"/>
      <c r="C11" s="12"/>
      <c r="D11" s="12"/>
      <c r="E11" s="12"/>
      <c r="F11" s="12"/>
      <c r="H11" s="12"/>
      <c r="I11" s="12"/>
      <c r="J11" s="12"/>
      <c r="K11" s="12"/>
      <c r="L11" s="12"/>
      <c r="M11" s="12"/>
      <c r="N11" s="12"/>
      <c r="O11" s="12"/>
      <c r="P11" s="12"/>
      <c r="Q11" s="12"/>
      <c r="R11" s="12"/>
      <c r="S11" s="12"/>
      <c r="T11" s="12"/>
      <c r="U11" s="12"/>
      <c r="V11" s="12"/>
      <c r="W11" s="12"/>
      <c r="X11" s="12"/>
      <c r="Y11" s="12"/>
      <c r="Z11" s="12"/>
      <c r="AA11" s="12"/>
      <c r="AC11" s="12"/>
      <c r="AV11" s="13"/>
    </row>
    <row r="12" spans="1:48" s="11" customFormat="1" ht="14.45">
      <c r="A12" s="25"/>
      <c r="B12" s="12"/>
      <c r="C12" s="12"/>
      <c r="D12" s="12"/>
      <c r="E12" s="12"/>
      <c r="F12" s="12"/>
      <c r="H12" s="12"/>
      <c r="I12" s="12"/>
      <c r="J12" s="12"/>
      <c r="K12" s="12"/>
      <c r="L12" s="12"/>
      <c r="M12" s="12"/>
      <c r="N12" s="12"/>
      <c r="O12" s="12"/>
      <c r="P12" s="12"/>
      <c r="Q12" s="12"/>
      <c r="R12" s="12"/>
      <c r="S12" s="12"/>
      <c r="T12" s="12"/>
      <c r="U12" s="12"/>
      <c r="V12" s="12"/>
      <c r="W12" s="12"/>
      <c r="X12" s="12"/>
      <c r="Y12" s="12"/>
      <c r="Z12" s="12"/>
      <c r="AA12" s="12"/>
      <c r="AC12" s="12"/>
      <c r="AV12" s="13"/>
    </row>
    <row r="13" spans="1:48" s="11" customFormat="1" ht="14.45">
      <c r="A13" s="25"/>
      <c r="B13" s="12"/>
      <c r="C13" s="12"/>
      <c r="D13" s="12"/>
      <c r="E13" s="12"/>
      <c r="F13" s="12"/>
      <c r="H13" s="12"/>
      <c r="I13" s="12"/>
      <c r="J13" s="12"/>
      <c r="K13" s="12"/>
      <c r="L13" s="12"/>
      <c r="M13" s="12"/>
      <c r="N13" s="12"/>
      <c r="O13" s="12"/>
      <c r="P13" s="12"/>
      <c r="Q13" s="12"/>
      <c r="R13" s="12"/>
      <c r="S13" s="12"/>
      <c r="T13" s="12"/>
      <c r="U13" s="12"/>
      <c r="V13" s="12"/>
      <c r="W13" s="12"/>
      <c r="X13" s="12"/>
      <c r="Y13" s="12"/>
      <c r="Z13" s="12"/>
      <c r="AA13" s="12"/>
      <c r="AC13" s="12"/>
      <c r="AV13" s="13"/>
    </row>
    <row r="14" spans="1:48" s="11" customFormat="1" ht="14.45">
      <c r="A14" s="25"/>
      <c r="B14" s="12"/>
      <c r="C14" s="12"/>
      <c r="D14" s="12"/>
      <c r="E14" s="12"/>
      <c r="F14" s="12"/>
      <c r="H14" s="12"/>
      <c r="I14" s="12"/>
      <c r="J14" s="12"/>
      <c r="K14" s="12"/>
      <c r="L14" s="12"/>
      <c r="M14" s="12"/>
      <c r="N14" s="12"/>
      <c r="O14" s="12"/>
      <c r="P14" s="12"/>
      <c r="Q14" s="12"/>
      <c r="R14" s="12"/>
      <c r="S14" s="12"/>
      <c r="T14" s="12"/>
      <c r="U14" s="12"/>
      <c r="V14" s="12"/>
      <c r="W14" s="12"/>
      <c r="X14" s="12"/>
      <c r="Y14" s="12"/>
      <c r="Z14" s="12"/>
      <c r="AV14" s="13"/>
    </row>
    <row r="15" spans="1:48" s="11" customFormat="1">
      <c r="A15" s="25"/>
      <c r="B15" s="12"/>
      <c r="C15" s="12"/>
      <c r="D15" s="12"/>
      <c r="E15" s="12"/>
      <c r="F15" s="12"/>
      <c r="H15" t="s">
        <v>66</v>
      </c>
      <c r="I15" t="s">
        <v>69</v>
      </c>
      <c r="J15" s="12"/>
      <c r="K15" s="12"/>
      <c r="L15" s="12"/>
      <c r="M15" s="12"/>
      <c r="N15" s="12"/>
      <c r="O15" s="12"/>
      <c r="P15" s="12"/>
      <c r="Q15" s="12"/>
      <c r="R15" s="12"/>
      <c r="S15" s="12"/>
      <c r="T15" s="12"/>
      <c r="U15" s="12"/>
      <c r="V15" s="12"/>
      <c r="W15" s="12"/>
      <c r="X15" s="12"/>
      <c r="Y15" s="12"/>
      <c r="Z15" s="12"/>
      <c r="AA15"/>
      <c r="AC15" t="s">
        <v>66</v>
      </c>
      <c r="AD15" t="s">
        <v>70</v>
      </c>
      <c r="AV15" s="13"/>
    </row>
    <row r="16" spans="1:48" s="11" customFormat="1" ht="14.45">
      <c r="A16" s="25"/>
      <c r="B16" s="12"/>
      <c r="C16" s="12"/>
      <c r="D16" s="12"/>
      <c r="E16" s="12"/>
      <c r="F16" s="12"/>
      <c r="H16" s="12"/>
      <c r="I16"/>
      <c r="J16" s="12"/>
      <c r="K16" s="12"/>
      <c r="L16" s="12"/>
      <c r="M16" s="12"/>
      <c r="N16" s="12"/>
      <c r="O16" s="12"/>
      <c r="P16" s="12"/>
      <c r="Q16" s="12"/>
      <c r="R16" s="12"/>
      <c r="S16" s="12"/>
      <c r="T16" s="12"/>
      <c r="U16" s="12"/>
      <c r="V16" s="12"/>
      <c r="W16" s="12"/>
      <c r="X16" s="12"/>
      <c r="Y16" s="12"/>
      <c r="Z16" s="12"/>
      <c r="AA16"/>
      <c r="AV16" s="13"/>
    </row>
    <row r="17" spans="1:48" s="11" customFormat="1" ht="14.45">
      <c r="A17" s="25"/>
      <c r="B17" s="12"/>
      <c r="C17" s="12"/>
      <c r="D17" s="12"/>
      <c r="E17" s="12"/>
      <c r="F17" s="12"/>
      <c r="H17" s="12"/>
      <c r="I17"/>
      <c r="J17" s="12"/>
      <c r="K17" s="12"/>
      <c r="L17" s="12"/>
      <c r="M17" s="12"/>
      <c r="N17" s="12"/>
      <c r="O17" s="12"/>
      <c r="P17" s="12"/>
      <c r="Q17" s="12"/>
      <c r="R17" s="12"/>
      <c r="S17" s="12"/>
      <c r="T17" s="12"/>
      <c r="U17" s="12"/>
      <c r="V17" s="12"/>
      <c r="W17" s="12"/>
      <c r="X17" s="12"/>
      <c r="Y17" s="12"/>
      <c r="Z17" s="12"/>
      <c r="AA17"/>
      <c r="AC17"/>
      <c r="AV17" s="13"/>
    </row>
    <row r="18" spans="1:48" s="11" customFormat="1" ht="14.45">
      <c r="A18" s="25"/>
      <c r="B18" s="12"/>
      <c r="C18" s="12"/>
      <c r="D18" s="12"/>
      <c r="E18" s="12"/>
      <c r="F18" s="12"/>
      <c r="H18" s="12"/>
      <c r="I18"/>
      <c r="J18" s="12"/>
      <c r="K18" s="12"/>
      <c r="L18" s="12"/>
      <c r="M18" s="12"/>
      <c r="N18" s="12"/>
      <c r="O18" s="12"/>
      <c r="P18" s="12"/>
      <c r="Q18" s="12"/>
      <c r="R18" s="12"/>
      <c r="S18" s="12"/>
      <c r="T18" s="12"/>
      <c r="U18" s="12"/>
      <c r="V18" s="12"/>
      <c r="W18" s="12"/>
      <c r="X18" s="12"/>
      <c r="Y18" s="12"/>
      <c r="Z18" s="12"/>
      <c r="AV18" s="13"/>
    </row>
    <row r="19" spans="1:48" s="11" customFormat="1" ht="14.45">
      <c r="A19" s="25"/>
      <c r="B19" s="12"/>
      <c r="C19" s="12"/>
      <c r="D19" s="12"/>
      <c r="E19" s="12"/>
      <c r="F19" s="12"/>
      <c r="K19" s="12"/>
      <c r="L19" s="12"/>
      <c r="M19" s="12"/>
      <c r="N19" s="12"/>
      <c r="O19" s="12"/>
      <c r="P19" s="12"/>
      <c r="Q19" s="12"/>
      <c r="R19" s="12"/>
      <c r="S19" s="12"/>
      <c r="T19" s="12"/>
      <c r="U19" s="12"/>
      <c r="V19" s="12"/>
      <c r="W19" s="12"/>
      <c r="X19" s="12"/>
      <c r="Y19" s="12"/>
      <c r="Z19" s="12"/>
      <c r="AA19"/>
      <c r="AV19" s="13"/>
    </row>
    <row r="20" spans="1:48" s="11" customFormat="1">
      <c r="A20" s="25"/>
      <c r="C20" s="12"/>
      <c r="D20" s="12"/>
      <c r="E20" s="12"/>
      <c r="F20" s="12"/>
      <c r="H20" t="s">
        <v>66</v>
      </c>
      <c r="I20" t="s">
        <v>71</v>
      </c>
      <c r="J20" s="12"/>
      <c r="K20" s="12"/>
      <c r="L20" s="12"/>
      <c r="M20" s="12"/>
      <c r="N20" s="12"/>
      <c r="O20" s="12"/>
      <c r="P20" s="12"/>
      <c r="Q20" s="12"/>
      <c r="R20" s="12"/>
      <c r="S20" s="12"/>
      <c r="T20" s="12"/>
      <c r="U20" s="12"/>
      <c r="V20" s="12"/>
      <c r="W20" s="12"/>
      <c r="X20" s="12"/>
      <c r="Y20" s="12"/>
      <c r="Z20" s="12"/>
      <c r="AA20"/>
      <c r="AC20" t="s">
        <v>66</v>
      </c>
      <c r="AD20" t="s">
        <v>72</v>
      </c>
      <c r="AV20" s="13"/>
    </row>
    <row r="21" spans="1:48" s="11" customFormat="1" ht="14.45">
      <c r="A21" s="25"/>
      <c r="B21" s="12"/>
      <c r="C21" s="12"/>
      <c r="D21" s="12"/>
      <c r="E21" s="12"/>
      <c r="F21" s="12"/>
      <c r="H21" s="12"/>
      <c r="I21"/>
      <c r="J21" s="12"/>
      <c r="K21" s="12"/>
      <c r="L21" s="12"/>
      <c r="M21" s="12"/>
      <c r="N21" s="12"/>
      <c r="O21" s="12"/>
      <c r="P21" s="12"/>
      <c r="Q21" s="12"/>
      <c r="R21" s="12"/>
      <c r="S21" s="12"/>
      <c r="T21" s="12"/>
      <c r="U21" s="12"/>
      <c r="V21" s="12"/>
      <c r="W21" s="12"/>
      <c r="X21" s="12"/>
      <c r="Y21" s="12"/>
      <c r="Z21" s="12"/>
      <c r="AA21"/>
      <c r="AC21"/>
      <c r="AV21" s="13"/>
    </row>
    <row r="22" spans="1:48" s="11" customFormat="1" ht="14.45">
      <c r="A22" s="25"/>
      <c r="B22" s="12"/>
      <c r="C22" s="12"/>
      <c r="D22" s="12"/>
      <c r="E22" s="12"/>
      <c r="F22" s="12"/>
      <c r="H22" s="12"/>
      <c r="I22"/>
      <c r="J22" s="12"/>
      <c r="K22" s="12"/>
      <c r="L22" s="12"/>
      <c r="M22" s="12"/>
      <c r="N22" s="12"/>
      <c r="O22" s="12"/>
      <c r="P22" s="12"/>
      <c r="Q22" s="12"/>
      <c r="R22" s="12"/>
      <c r="S22" s="12"/>
      <c r="T22" s="12"/>
      <c r="U22" s="12"/>
      <c r="V22" s="12"/>
      <c r="W22" s="12"/>
      <c r="X22" s="12"/>
      <c r="Y22" s="12"/>
      <c r="Z22" s="12"/>
      <c r="AV22" s="13"/>
    </row>
    <row r="23" spans="1:48" s="11" customFormat="1" ht="14.45">
      <c r="A23" s="25"/>
      <c r="B23" s="12"/>
      <c r="C23" s="12"/>
      <c r="D23" s="12"/>
      <c r="E23" s="12"/>
      <c r="F23" s="12"/>
      <c r="J23" s="12"/>
      <c r="K23" s="12"/>
      <c r="L23" s="12"/>
      <c r="M23" s="12"/>
      <c r="N23" s="12"/>
      <c r="O23" s="12"/>
      <c r="P23" s="12"/>
      <c r="Q23" s="12"/>
      <c r="R23" s="12"/>
      <c r="S23" s="12"/>
      <c r="T23" s="12"/>
      <c r="U23" s="12"/>
      <c r="V23" s="12"/>
      <c r="W23" s="12"/>
      <c r="X23" s="12"/>
      <c r="Y23" s="12"/>
      <c r="Z23" s="12"/>
      <c r="AA23"/>
      <c r="AC23"/>
      <c r="AV23" s="13"/>
    </row>
    <row r="24" spans="1:48" s="11" customFormat="1" ht="14.45">
      <c r="A24" s="25"/>
      <c r="B24" s="12"/>
      <c r="C24" s="12"/>
      <c r="D24" s="12"/>
      <c r="E24" s="12"/>
      <c r="F24" s="12"/>
      <c r="J24" s="12"/>
      <c r="K24" s="12"/>
      <c r="L24" s="12"/>
      <c r="M24" s="12"/>
      <c r="N24" s="12"/>
      <c r="O24" s="12"/>
      <c r="P24" s="12"/>
      <c r="Q24" s="12"/>
      <c r="R24" s="12"/>
      <c r="S24" s="12"/>
      <c r="T24" s="12"/>
      <c r="U24" s="12"/>
      <c r="V24" s="12"/>
      <c r="W24" s="12"/>
      <c r="X24" s="12"/>
      <c r="Y24" s="12"/>
      <c r="Z24" s="12"/>
      <c r="AA24"/>
      <c r="AV24" s="13"/>
    </row>
    <row r="25" spans="1:48" s="11" customFormat="1">
      <c r="A25" s="25"/>
      <c r="B25" s="12"/>
      <c r="C25" s="12"/>
      <c r="D25" s="12"/>
      <c r="E25" s="12"/>
      <c r="F25" s="12"/>
      <c r="H25" t="s">
        <v>66</v>
      </c>
      <c r="I25" t="s">
        <v>73</v>
      </c>
      <c r="J25" s="12"/>
      <c r="K25" s="12"/>
      <c r="L25" s="12"/>
      <c r="M25" s="12"/>
      <c r="N25" s="12"/>
      <c r="O25" s="12"/>
      <c r="P25" s="12"/>
      <c r="Q25" s="12"/>
      <c r="R25" s="12"/>
      <c r="S25" s="12"/>
      <c r="T25" s="12"/>
      <c r="U25" s="12"/>
      <c r="V25" s="12"/>
      <c r="W25" s="12"/>
      <c r="X25" s="12"/>
      <c r="Y25" s="12"/>
      <c r="Z25" s="12"/>
      <c r="AC25" s="11" t="s">
        <v>66</v>
      </c>
      <c r="AD25" s="11" t="s">
        <v>74</v>
      </c>
      <c r="AV25" s="13"/>
    </row>
    <row r="26" spans="1:48" s="11" customFormat="1" ht="14.45">
      <c r="A26" s="25"/>
      <c r="B26" s="12"/>
      <c r="C26" s="12"/>
      <c r="D26" s="12"/>
      <c r="E26" s="12"/>
      <c r="F26" s="12"/>
      <c r="H26" s="12"/>
      <c r="J26" s="12"/>
      <c r="K26" s="12"/>
      <c r="L26" s="12"/>
      <c r="M26" s="12"/>
      <c r="N26" s="12"/>
      <c r="O26" s="12"/>
      <c r="P26" s="12"/>
      <c r="Q26" s="12"/>
      <c r="R26" s="12"/>
      <c r="S26" s="12"/>
      <c r="T26" s="12"/>
      <c r="U26" s="12"/>
      <c r="V26" s="12"/>
      <c r="W26" s="12"/>
      <c r="X26" s="12"/>
      <c r="Y26" s="12"/>
      <c r="Z26" s="12"/>
      <c r="AA26"/>
      <c r="AC26"/>
      <c r="AV26" s="13"/>
    </row>
    <row r="27" spans="1:48" s="11" customFormat="1" ht="14.45">
      <c r="A27" s="25"/>
      <c r="B27" s="12"/>
      <c r="C27" s="12"/>
      <c r="D27" s="12"/>
      <c r="E27" s="12"/>
      <c r="F27" s="12"/>
      <c r="J27" s="12"/>
      <c r="K27" s="12"/>
      <c r="L27" s="12"/>
      <c r="M27" s="12"/>
      <c r="N27" s="12"/>
      <c r="O27" s="12"/>
      <c r="P27" s="12"/>
      <c r="Q27" s="12"/>
      <c r="R27" s="12"/>
      <c r="S27" s="12"/>
      <c r="T27" s="12"/>
      <c r="U27" s="12"/>
      <c r="V27" s="12"/>
      <c r="W27" s="12"/>
      <c r="X27" s="12"/>
      <c r="Y27" s="12"/>
      <c r="Z27" s="12"/>
      <c r="AA27"/>
      <c r="AC27"/>
      <c r="AV27" s="13"/>
    </row>
    <row r="28" spans="1:48" s="11" customFormat="1" ht="14.45">
      <c r="A28" s="25"/>
      <c r="B28" s="12"/>
      <c r="C28" s="12"/>
      <c r="D28" s="12"/>
      <c r="E28" s="12"/>
      <c r="F28" s="12"/>
      <c r="H28" s="12"/>
      <c r="I28"/>
      <c r="J28" s="12"/>
      <c r="K28" s="12"/>
      <c r="L28" s="12"/>
      <c r="M28" s="12"/>
      <c r="N28" s="12"/>
      <c r="O28" s="12"/>
      <c r="P28" s="12"/>
      <c r="Q28" s="12"/>
      <c r="R28" s="12"/>
      <c r="S28" s="12"/>
      <c r="T28" s="12"/>
      <c r="U28" s="12"/>
      <c r="V28" s="12"/>
      <c r="W28" s="12"/>
      <c r="X28" s="12"/>
      <c r="Y28" s="12"/>
      <c r="Z28" s="12"/>
      <c r="AV28" s="13"/>
    </row>
    <row r="29" spans="1:48" s="11" customFormat="1" ht="14.45">
      <c r="A29" s="25"/>
      <c r="B29" s="12"/>
      <c r="C29" s="12"/>
      <c r="D29" s="12"/>
      <c r="E29" s="12"/>
      <c r="F29" s="12"/>
      <c r="H29" s="12"/>
      <c r="I29"/>
      <c r="J29" s="12"/>
      <c r="K29" s="12"/>
      <c r="L29" s="12"/>
      <c r="M29" s="12"/>
      <c r="N29" s="12"/>
      <c r="O29" s="12"/>
      <c r="P29" s="12"/>
      <c r="Q29" s="12"/>
      <c r="R29" s="12"/>
      <c r="S29" s="12"/>
      <c r="T29" s="12"/>
      <c r="U29" s="12"/>
      <c r="V29" s="12"/>
      <c r="W29" s="12"/>
      <c r="X29" s="12"/>
      <c r="Y29" s="12"/>
      <c r="Z29" s="12"/>
      <c r="AV29" s="13"/>
    </row>
    <row r="30" spans="1:48" s="11" customFormat="1">
      <c r="A30" s="25"/>
      <c r="C30" s="12"/>
      <c r="D30" s="12"/>
      <c r="E30" s="12"/>
      <c r="F30" s="12"/>
      <c r="H30" t="s">
        <v>66</v>
      </c>
      <c r="I30" t="s">
        <v>75</v>
      </c>
      <c r="J30" s="12"/>
      <c r="K30" s="12"/>
      <c r="L30" s="12"/>
      <c r="M30" s="12"/>
      <c r="N30" s="12"/>
      <c r="O30" s="12"/>
      <c r="P30" s="12"/>
      <c r="Q30" s="12"/>
      <c r="R30" s="12"/>
      <c r="S30" s="12"/>
      <c r="T30" s="12"/>
      <c r="U30" s="12"/>
      <c r="V30" s="12"/>
      <c r="W30" s="12"/>
      <c r="X30" s="12"/>
      <c r="Y30" s="12"/>
      <c r="Z30" s="12"/>
      <c r="AA30"/>
      <c r="AC30" t="s">
        <v>66</v>
      </c>
      <c r="AD30" t="s">
        <v>76</v>
      </c>
      <c r="AV30" s="13"/>
    </row>
    <row r="31" spans="1:48" s="11" customFormat="1" ht="14.45">
      <c r="A31" s="25"/>
      <c r="C31" s="12"/>
      <c r="D31" s="12"/>
      <c r="E31" s="12"/>
      <c r="F31" s="12"/>
      <c r="H31" s="12"/>
      <c r="I31"/>
      <c r="J31" s="12"/>
      <c r="K31" s="12"/>
      <c r="L31" s="12"/>
      <c r="M31" s="12"/>
      <c r="N31" s="12"/>
      <c r="O31" s="12"/>
      <c r="P31" s="12"/>
      <c r="Q31" s="12"/>
      <c r="R31" s="12"/>
      <c r="S31" s="12"/>
      <c r="T31" s="12"/>
      <c r="U31" s="12"/>
      <c r="V31" s="12"/>
      <c r="W31" s="12"/>
      <c r="X31" s="12"/>
      <c r="Y31" s="12"/>
      <c r="Z31" s="12"/>
      <c r="AA31"/>
      <c r="AC31"/>
      <c r="AV31" s="13"/>
    </row>
    <row r="32" spans="1:48" ht="14.45">
      <c r="A32" s="24"/>
      <c r="I32"/>
      <c r="AA32"/>
      <c r="AC32"/>
      <c r="AV32" s="14"/>
    </row>
    <row r="33" spans="1:48" ht="14.45">
      <c r="A33" s="24"/>
      <c r="AA33"/>
      <c r="AC33"/>
      <c r="AV33" s="14"/>
    </row>
    <row r="34" spans="1:48" ht="14.45">
      <c r="A34" s="24"/>
      <c r="AC34"/>
      <c r="AD34"/>
      <c r="AV34" s="14"/>
    </row>
    <row r="35" spans="1:48">
      <c r="A35" s="24"/>
      <c r="H35" t="s">
        <v>66</v>
      </c>
      <c r="I35" t="s">
        <v>77</v>
      </c>
      <c r="AA35"/>
      <c r="AC35" t="s">
        <v>66</v>
      </c>
      <c r="AD35" t="s">
        <v>78</v>
      </c>
      <c r="AV35" s="14"/>
    </row>
    <row r="36" spans="1:48" ht="14.45">
      <c r="A36" s="24"/>
      <c r="AA36"/>
      <c r="AC36"/>
      <c r="AV36" s="14"/>
    </row>
    <row r="37" spans="1:48">
      <c r="A37" s="24"/>
      <c r="AA37"/>
      <c r="AC37"/>
      <c r="AV37" s="14"/>
    </row>
    <row r="38" spans="1:48">
      <c r="A38" s="24"/>
      <c r="AA38"/>
      <c r="AC38"/>
      <c r="AV38" s="14"/>
    </row>
    <row r="39" spans="1:48">
      <c r="A39" s="4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5"/>
    </row>
    <row r="40" spans="1:48" s="11" customFormat="1">
      <c r="A40" s="35" t="s">
        <v>65</v>
      </c>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36"/>
    </row>
    <row r="41" spans="1:48">
      <c r="A41" s="24"/>
      <c r="AV41" s="14"/>
    </row>
    <row r="42" spans="1:48">
      <c r="A42" s="24"/>
      <c r="AV42" s="14"/>
    </row>
    <row r="43" spans="1:48">
      <c r="A43" s="24"/>
      <c r="B43" s="258" t="s">
        <v>79</v>
      </c>
      <c r="C43" s="143"/>
      <c r="D43" s="143"/>
      <c r="E43" s="143"/>
      <c r="F43" s="143"/>
      <c r="G43" s="143"/>
      <c r="H43" s="143"/>
      <c r="J43" s="8" t="s">
        <v>66</v>
      </c>
      <c r="K43" s="8" t="s">
        <v>80</v>
      </c>
      <c r="AV43" s="14"/>
    </row>
    <row r="44" spans="1:48">
      <c r="A44" s="24"/>
      <c r="B44" s="143"/>
      <c r="C44" s="143"/>
      <c r="D44" s="143"/>
      <c r="E44" s="143"/>
      <c r="F44" s="143"/>
      <c r="G44" s="143"/>
      <c r="H44" s="143"/>
      <c r="K44" s="8" t="s">
        <v>81</v>
      </c>
      <c r="AV44" s="14"/>
    </row>
    <row r="45" spans="1:48">
      <c r="A45" s="24"/>
      <c r="AV45" s="14"/>
    </row>
    <row r="46" spans="1:48">
      <c r="A46" s="24"/>
      <c r="B46" s="134" t="s">
        <v>79</v>
      </c>
      <c r="C46" s="135"/>
      <c r="D46" s="135"/>
      <c r="E46" s="135"/>
      <c r="F46" s="135"/>
      <c r="G46" s="135"/>
      <c r="H46" s="135"/>
      <c r="I46" s="135"/>
      <c r="J46" s="135"/>
      <c r="K46" s="135"/>
      <c r="L46" s="135"/>
      <c r="M46" s="135"/>
      <c r="N46" s="135"/>
      <c r="O46" s="136"/>
      <c r="AV46" s="14"/>
    </row>
    <row r="47" spans="1:48">
      <c r="A47" s="24"/>
      <c r="B47" s="134" t="s">
        <v>82</v>
      </c>
      <c r="C47" s="135"/>
      <c r="D47" s="135"/>
      <c r="E47" s="135"/>
      <c r="F47" s="135"/>
      <c r="G47" s="135"/>
      <c r="H47" s="136"/>
      <c r="I47" s="134" t="s">
        <v>83</v>
      </c>
      <c r="J47" s="135"/>
      <c r="K47" s="135"/>
      <c r="L47" s="135"/>
      <c r="M47" s="135"/>
      <c r="N47" s="135"/>
      <c r="O47" s="136"/>
      <c r="AV47" s="14"/>
    </row>
    <row r="48" spans="1:48">
      <c r="A48" s="24"/>
      <c r="AV48" s="14"/>
    </row>
    <row r="49" spans="1:48">
      <c r="A49" s="24"/>
      <c r="AV49" s="14"/>
    </row>
    <row r="50" spans="1:48">
      <c r="A50" s="24"/>
      <c r="B50" s="247" t="s">
        <v>84</v>
      </c>
      <c r="C50" s="248"/>
      <c r="D50" s="248"/>
      <c r="E50" s="248"/>
      <c r="F50" s="248"/>
      <c r="G50" s="248"/>
      <c r="H50" s="249"/>
      <c r="J50" s="8" t="s">
        <v>66</v>
      </c>
      <c r="K50" s="8" t="s">
        <v>85</v>
      </c>
      <c r="AV50" s="14"/>
    </row>
    <row r="51" spans="1:48">
      <c r="A51" s="24"/>
      <c r="B51" s="250"/>
      <c r="C51" s="251"/>
      <c r="D51" s="251"/>
      <c r="E51" s="251"/>
      <c r="F51" s="251"/>
      <c r="G51" s="251"/>
      <c r="H51" s="252"/>
      <c r="K51" s="8" t="s">
        <v>86</v>
      </c>
      <c r="AV51" s="14"/>
    </row>
    <row r="52" spans="1:48">
      <c r="A52" s="24"/>
      <c r="AV52" s="14"/>
    </row>
    <row r="53" spans="1:48">
      <c r="A53" s="24"/>
      <c r="AV53" s="14"/>
    </row>
    <row r="54" spans="1:48">
      <c r="A54" s="24"/>
      <c r="B54" s="137" t="s">
        <v>76</v>
      </c>
      <c r="C54" s="138"/>
      <c r="D54" s="138"/>
      <c r="E54" s="138"/>
      <c r="F54" s="138"/>
      <c r="G54" s="138"/>
      <c r="H54" s="139"/>
      <c r="J54" s="8" t="s">
        <v>66</v>
      </c>
      <c r="K54" s="8" t="s">
        <v>87</v>
      </c>
      <c r="AV54" s="14"/>
    </row>
    <row r="55" spans="1:48">
      <c r="A55" s="24"/>
      <c r="B55" s="137" t="s">
        <v>88</v>
      </c>
      <c r="C55" s="138"/>
      <c r="D55" s="138"/>
      <c r="E55" s="138"/>
      <c r="F55" s="138"/>
      <c r="G55" s="138"/>
      <c r="H55" s="139"/>
      <c r="K55" s="8" t="s">
        <v>89</v>
      </c>
      <c r="AV55" s="14"/>
    </row>
    <row r="56" spans="1:48">
      <c r="A56" s="24"/>
      <c r="K56" s="8" t="s">
        <v>90</v>
      </c>
      <c r="AV56" s="14"/>
    </row>
    <row r="57" spans="1:48">
      <c r="A57" s="24"/>
      <c r="AV57" s="14"/>
    </row>
    <row r="58" spans="1:48">
      <c r="A58" s="24"/>
      <c r="B58" s="137" t="s">
        <v>76</v>
      </c>
      <c r="C58" s="138"/>
      <c r="D58" s="138"/>
      <c r="E58" s="138"/>
      <c r="F58" s="138"/>
      <c r="G58" s="138"/>
      <c r="H58" s="138"/>
      <c r="I58" s="138"/>
      <c r="J58" s="138"/>
      <c r="K58" s="138"/>
      <c r="L58" s="138"/>
      <c r="M58" s="138"/>
      <c r="N58" s="138"/>
      <c r="O58" s="138"/>
      <c r="P58" s="138"/>
      <c r="Q58" s="138"/>
      <c r="R58" s="138"/>
      <c r="S58" s="138"/>
      <c r="T58" s="138"/>
      <c r="U58" s="138"/>
      <c r="V58" s="139"/>
      <c r="AV58" s="14"/>
    </row>
    <row r="59" spans="1:48">
      <c r="A59" s="24"/>
      <c r="B59" s="137" t="s">
        <v>91</v>
      </c>
      <c r="C59" s="138"/>
      <c r="D59" s="138"/>
      <c r="E59" s="138"/>
      <c r="F59" s="138"/>
      <c r="G59" s="138"/>
      <c r="H59" s="139"/>
      <c r="I59" s="137" t="s">
        <v>92</v>
      </c>
      <c r="J59" s="138"/>
      <c r="K59" s="138"/>
      <c r="L59" s="138"/>
      <c r="M59" s="138"/>
      <c r="N59" s="138"/>
      <c r="O59" s="139"/>
      <c r="P59" s="137" t="s">
        <v>93</v>
      </c>
      <c r="Q59" s="138"/>
      <c r="R59" s="138"/>
      <c r="S59" s="138"/>
      <c r="T59" s="138"/>
      <c r="U59" s="138"/>
      <c r="V59" s="139"/>
      <c r="AV59" s="14"/>
    </row>
    <row r="60" spans="1:48">
      <c r="A60" s="24"/>
      <c r="AV60" s="14"/>
    </row>
    <row r="61" spans="1:48">
      <c r="A61" s="24"/>
      <c r="AV61" s="14"/>
    </row>
    <row r="62" spans="1:48">
      <c r="A62" s="24"/>
      <c r="B62" s="133" t="s">
        <v>94</v>
      </c>
      <c r="C62" s="133"/>
      <c r="D62" s="133"/>
      <c r="E62" s="133"/>
      <c r="F62" s="133"/>
      <c r="G62" s="133"/>
      <c r="H62" s="133"/>
      <c r="I62" s="133"/>
      <c r="J62" s="133"/>
      <c r="K62" s="133"/>
      <c r="L62" s="133"/>
      <c r="M62" s="133"/>
      <c r="N62" s="133"/>
      <c r="O62" s="133"/>
      <c r="P62" s="133"/>
      <c r="Q62" s="133"/>
      <c r="S62" s="8" t="s">
        <v>66</v>
      </c>
      <c r="T62" s="8" t="s">
        <v>95</v>
      </c>
      <c r="AV62" s="14"/>
    </row>
    <row r="63" spans="1:48">
      <c r="A63" s="24"/>
      <c r="B63" s="133"/>
      <c r="C63" s="133"/>
      <c r="D63" s="133"/>
      <c r="E63" s="133"/>
      <c r="F63" s="133"/>
      <c r="G63" s="133"/>
      <c r="H63" s="133"/>
      <c r="I63" s="133"/>
      <c r="J63" s="133"/>
      <c r="K63" s="133"/>
      <c r="L63" s="133"/>
      <c r="M63" s="133"/>
      <c r="N63" s="133"/>
      <c r="O63" s="133"/>
      <c r="P63" s="133"/>
      <c r="Q63" s="133"/>
      <c r="AV63" s="14"/>
    </row>
    <row r="64" spans="1:48">
      <c r="A64" s="24"/>
      <c r="AV64" s="14"/>
    </row>
    <row r="65" spans="1:48">
      <c r="A65" s="24"/>
      <c r="AV65" s="14"/>
    </row>
    <row r="66" spans="1:48">
      <c r="A66" s="24"/>
      <c r="B66" s="132" t="s">
        <v>96</v>
      </c>
      <c r="C66" s="133"/>
      <c r="D66" s="133"/>
      <c r="E66" s="133"/>
      <c r="F66" s="133"/>
      <c r="J66" s="8" t="s">
        <v>66</v>
      </c>
      <c r="K66" s="8" t="s">
        <v>97</v>
      </c>
      <c r="AV66" s="14"/>
    </row>
    <row r="67" spans="1:48">
      <c r="A67" s="24"/>
      <c r="B67" s="133"/>
      <c r="C67" s="133"/>
      <c r="D67" s="133"/>
      <c r="E67" s="133"/>
      <c r="F67" s="133"/>
      <c r="AV67" s="14"/>
    </row>
    <row r="68" spans="1:48">
      <c r="A68" s="24"/>
      <c r="AV68" s="14"/>
    </row>
    <row r="69" spans="1:48">
      <c r="A69" s="24"/>
      <c r="AV69" s="14"/>
    </row>
    <row r="70" spans="1:48">
      <c r="A70" s="24"/>
      <c r="B70" s="37" t="s">
        <v>98</v>
      </c>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I70" s="8" t="s">
        <v>66</v>
      </c>
      <c r="AJ70" s="8" t="s">
        <v>99</v>
      </c>
      <c r="AV70" s="14"/>
    </row>
    <row r="71" spans="1:48">
      <c r="A71" s="24"/>
      <c r="AV71" s="14"/>
    </row>
    <row r="72" spans="1:48">
      <c r="A72" s="41"/>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5"/>
    </row>
  </sheetData>
  <mergeCells count="27">
    <mergeCell ref="B66:F67"/>
    <mergeCell ref="B55:H55"/>
    <mergeCell ref="B59:H59"/>
    <mergeCell ref="I59:O59"/>
    <mergeCell ref="P59:V59"/>
    <mergeCell ref="B62:Q63"/>
    <mergeCell ref="B58:V58"/>
    <mergeCell ref="B50:H51"/>
    <mergeCell ref="B54:H54"/>
    <mergeCell ref="A1:E1"/>
    <mergeCell ref="F1:U1"/>
    <mergeCell ref="B46:O46"/>
    <mergeCell ref="A2:E3"/>
    <mergeCell ref="F2:U3"/>
    <mergeCell ref="B43:H44"/>
    <mergeCell ref="V1:AI1"/>
    <mergeCell ref="AJ1:AP1"/>
    <mergeCell ref="AQ1:AV1"/>
    <mergeCell ref="B47:H47"/>
    <mergeCell ref="I47:O47"/>
    <mergeCell ref="V2:AI3"/>
    <mergeCell ref="AJ2:AK2"/>
    <mergeCell ref="AQ2:AV2"/>
    <mergeCell ref="AJ3:AK3"/>
    <mergeCell ref="AL3:AP3"/>
    <mergeCell ref="AQ3:AV3"/>
    <mergeCell ref="AL2:AP2"/>
  </mergeCells>
  <phoneticPr fontId="3"/>
  <pageMargins left="0.7" right="0.7" top="0.75" bottom="0.75" header="0.3" footer="0.3"/>
  <pageSetup paperSize="9" scale="69" fitToHeight="0"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9"/>
  <dimension ref="A1:CU875"/>
  <sheetViews>
    <sheetView showGridLines="0" zoomScale="70" zoomScaleNormal="70" workbookViewId="0">
      <pane ySplit="10" topLeftCell="A11" activePane="bottomLeft" state="frozen"/>
      <selection pane="bottomLeft" activeCell="BK623" sqref="BK623"/>
      <selection activeCell="X112" sqref="X112"/>
    </sheetView>
  </sheetViews>
  <sheetFormatPr defaultColWidth="2.375" defaultRowHeight="13.5"/>
  <cols>
    <col min="1" max="8" width="2.375" style="8"/>
    <col min="9" max="13" width="2.375" style="8" customWidth="1"/>
    <col min="14" max="37" width="2.375" style="8"/>
    <col min="38" max="38" width="2.375" style="8" customWidth="1"/>
    <col min="39" max="39" width="2.375" style="8"/>
    <col min="40" max="45" width="2.375" style="8" bestFit="1"/>
    <col min="46" max="46" width="2.375" style="8" customWidth="1"/>
    <col min="47" max="47" width="2.375" style="66" bestFit="1"/>
    <col min="48" max="60" width="2.375" style="8"/>
    <col min="61" max="61" width="2.375" style="8" customWidth="1"/>
    <col min="62" max="16384" width="2.375" style="8"/>
  </cols>
  <sheetData>
    <row r="1" spans="1:98" ht="14.1" customHeight="1" thickBot="1">
      <c r="A1" s="128" t="s">
        <v>9</v>
      </c>
      <c r="B1" s="128"/>
      <c r="C1" s="128"/>
      <c r="D1" s="128"/>
      <c r="E1" s="128"/>
      <c r="F1" s="142" t="str">
        <f>変更履歴!F1</f>
        <v>会計システム刷新プロジェクト（LIBRA）</v>
      </c>
      <c r="G1" s="142"/>
      <c r="H1" s="142"/>
      <c r="I1" s="142"/>
      <c r="J1" s="142"/>
      <c r="K1" s="142"/>
      <c r="L1" s="142"/>
      <c r="M1" s="142"/>
      <c r="N1" s="142"/>
      <c r="O1" s="142"/>
      <c r="P1" s="142"/>
      <c r="Q1" s="142"/>
      <c r="R1" s="142"/>
      <c r="S1" s="142"/>
      <c r="T1" s="142"/>
      <c r="U1" s="142"/>
      <c r="V1" s="128" t="s">
        <v>64</v>
      </c>
      <c r="W1" s="128"/>
      <c r="X1" s="128"/>
      <c r="Y1" s="128"/>
      <c r="Z1" s="128"/>
      <c r="AA1" s="128"/>
      <c r="AB1" s="128"/>
      <c r="AC1" s="128"/>
      <c r="AD1" s="128"/>
      <c r="AE1" s="128"/>
      <c r="AF1" s="128"/>
      <c r="AG1" s="128"/>
      <c r="AH1" s="128"/>
      <c r="AI1" s="128"/>
      <c r="AJ1" s="141" t="s">
        <v>11</v>
      </c>
      <c r="AK1" s="260"/>
      <c r="AL1" s="260"/>
      <c r="AM1" s="260"/>
      <c r="AN1" s="260"/>
      <c r="AO1" s="260"/>
      <c r="AP1" s="261"/>
      <c r="AQ1" s="141" t="s">
        <v>12</v>
      </c>
      <c r="AR1" s="260"/>
      <c r="AS1" s="260"/>
      <c r="AT1" s="260"/>
      <c r="AU1" s="260"/>
      <c r="AV1" s="261"/>
      <c r="AW1" s="66"/>
      <c r="AX1" s="66"/>
      <c r="AY1" s="66"/>
      <c r="AZ1" s="66"/>
      <c r="BA1" s="66"/>
      <c r="BB1" s="66"/>
      <c r="BC1" s="66"/>
      <c r="BJ1" s="57"/>
    </row>
    <row r="2" spans="1:98" ht="14.1" customHeight="1" thickBot="1">
      <c r="A2" s="131" t="s">
        <v>13</v>
      </c>
      <c r="B2" s="131"/>
      <c r="C2" s="131"/>
      <c r="D2" s="131"/>
      <c r="E2" s="131"/>
      <c r="F2" s="150" t="str">
        <f>変更履歴!F2</f>
        <v>ToBe業務フロー（5.固定資産_リース）</v>
      </c>
      <c r="G2" s="150"/>
      <c r="H2" s="150"/>
      <c r="I2" s="150"/>
      <c r="J2" s="150"/>
      <c r="K2" s="150"/>
      <c r="L2" s="150"/>
      <c r="M2" s="150"/>
      <c r="N2" s="150"/>
      <c r="O2" s="150"/>
      <c r="P2" s="150"/>
      <c r="Q2" s="150"/>
      <c r="R2" s="150"/>
      <c r="S2" s="150"/>
      <c r="T2" s="150"/>
      <c r="U2" s="150"/>
      <c r="V2" s="150" t="e">
        <f ca="1">MID(CELL("filename",$A$1),FIND("]",CELL("filename",$A$1))+1,31)</f>
        <v>#VALUE!</v>
      </c>
      <c r="W2" s="150"/>
      <c r="X2" s="150"/>
      <c r="Y2" s="150"/>
      <c r="Z2" s="150"/>
      <c r="AA2" s="150"/>
      <c r="AB2" s="150"/>
      <c r="AC2" s="150"/>
      <c r="AD2" s="150"/>
      <c r="AE2" s="150"/>
      <c r="AF2" s="150"/>
      <c r="AG2" s="150"/>
      <c r="AH2" s="150"/>
      <c r="AI2" s="151"/>
      <c r="AJ2" s="153" t="s">
        <v>14</v>
      </c>
      <c r="AK2" s="154"/>
      <c r="AL2" s="155">
        <f>変更履歴!AT2</f>
        <v>45362</v>
      </c>
      <c r="AM2" s="156"/>
      <c r="AN2" s="156"/>
      <c r="AO2" s="156"/>
      <c r="AP2" s="157"/>
      <c r="AQ2" s="158" t="str">
        <f>変更履歴!BA2</f>
        <v>JBS大河原</v>
      </c>
      <c r="AR2" s="159"/>
      <c r="AS2" s="159"/>
      <c r="AT2" s="159"/>
      <c r="AU2" s="159"/>
      <c r="AV2" s="160"/>
      <c r="AW2" s="66"/>
      <c r="AX2" s="66"/>
      <c r="AY2" s="66"/>
      <c r="AZ2" s="66"/>
      <c r="BA2" s="66"/>
      <c r="BB2" s="66"/>
      <c r="BC2" s="66"/>
      <c r="BG2" s="57"/>
    </row>
    <row r="3" spans="1:98" ht="14.1" customHeight="1" thickBot="1">
      <c r="A3" s="131"/>
      <c r="B3" s="131"/>
      <c r="C3" s="131"/>
      <c r="D3" s="131"/>
      <c r="E3" s="131"/>
      <c r="F3" s="150"/>
      <c r="G3" s="150"/>
      <c r="H3" s="150"/>
      <c r="I3" s="150"/>
      <c r="J3" s="150"/>
      <c r="K3" s="150"/>
      <c r="L3" s="150"/>
      <c r="M3" s="150"/>
      <c r="N3" s="150"/>
      <c r="O3" s="150"/>
      <c r="P3" s="150"/>
      <c r="Q3" s="150"/>
      <c r="R3" s="150"/>
      <c r="S3" s="150"/>
      <c r="T3" s="150"/>
      <c r="U3" s="150"/>
      <c r="V3" s="142"/>
      <c r="W3" s="142"/>
      <c r="X3" s="142"/>
      <c r="Y3" s="142"/>
      <c r="Z3" s="142"/>
      <c r="AA3" s="142"/>
      <c r="AB3" s="142"/>
      <c r="AC3" s="142"/>
      <c r="AD3" s="142"/>
      <c r="AE3" s="142"/>
      <c r="AF3" s="142"/>
      <c r="AG3" s="142"/>
      <c r="AH3" s="142"/>
      <c r="AI3" s="152"/>
      <c r="AJ3" s="161" t="s">
        <v>15</v>
      </c>
      <c r="AK3" s="162"/>
      <c r="AL3" s="163">
        <f ca="1">変更履歴!AT3</f>
        <v>45939</v>
      </c>
      <c r="AM3" s="164"/>
      <c r="AN3" s="164"/>
      <c r="AO3" s="164"/>
      <c r="AP3" s="165"/>
      <c r="AQ3" s="166" t="str">
        <f ca="1">変更履歴!BA3</f>
        <v>JBS中村</v>
      </c>
      <c r="AR3" s="167"/>
      <c r="AS3" s="167"/>
      <c r="AT3" s="167"/>
      <c r="AU3" s="167"/>
      <c r="AV3" s="168"/>
      <c r="AW3" s="66"/>
      <c r="AX3" s="66"/>
      <c r="AY3" s="66"/>
      <c r="AZ3" s="66"/>
      <c r="BA3" s="66"/>
      <c r="BB3" s="66"/>
      <c r="BC3" s="66"/>
    </row>
    <row r="4" spans="1:98" ht="14.45">
      <c r="A4" s="259"/>
      <c r="B4" s="259"/>
      <c r="C4" s="259"/>
      <c r="D4" s="259"/>
      <c r="E4" s="259"/>
      <c r="F4" s="259"/>
      <c r="G4" s="259"/>
      <c r="H4" s="259"/>
      <c r="I4" s="259"/>
      <c r="J4" s="259"/>
      <c r="K4" s="259"/>
      <c r="L4" s="259"/>
      <c r="M4" s="259"/>
      <c r="N4" s="259"/>
      <c r="O4" s="259"/>
      <c r="P4" s="259"/>
      <c r="Q4" s="259"/>
      <c r="R4" s="259"/>
      <c r="S4" s="259"/>
      <c r="T4" s="259"/>
      <c r="U4" s="259"/>
      <c r="AN4" s="66"/>
      <c r="AO4" s="66"/>
      <c r="AP4" s="66"/>
      <c r="AQ4" s="66"/>
      <c r="AR4" s="66"/>
      <c r="AS4" s="66"/>
      <c r="AT4" s="66"/>
    </row>
    <row r="5" spans="1:98" ht="14.45">
      <c r="A5" s="41"/>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67"/>
      <c r="AO5" s="67"/>
      <c r="AP5" s="67"/>
      <c r="AQ5" s="67"/>
      <c r="AR5" s="67"/>
      <c r="AS5" s="67"/>
      <c r="AT5" s="67"/>
      <c r="AU5" s="67"/>
      <c r="AV5" s="10"/>
      <c r="AW5" s="10"/>
      <c r="AX5" s="10"/>
      <c r="AY5" s="10"/>
      <c r="AZ5" s="10"/>
      <c r="BA5" s="10"/>
      <c r="BB5" s="10"/>
      <c r="BC5" s="10"/>
      <c r="BD5" s="10"/>
      <c r="BE5" s="10"/>
      <c r="BF5" s="10"/>
      <c r="BG5" s="10"/>
    </row>
    <row r="6" spans="1:98" s="11" customFormat="1" ht="14.45">
      <c r="A6" s="35" t="e">
        <f ca="1">RIGHT(CELL("filename",A1),LEN(CELL("filename",A1))-FIND("]",CELL("filename",A1)))</f>
        <v>#VALUE!</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55"/>
      <c r="AJ6" s="43"/>
      <c r="AK6" s="43"/>
      <c r="AL6" s="43"/>
      <c r="AM6" s="43"/>
      <c r="AN6" s="68"/>
      <c r="AO6" s="68"/>
      <c r="AP6" s="69"/>
      <c r="AQ6" s="68"/>
      <c r="AR6" s="68"/>
      <c r="AS6" s="68"/>
      <c r="AT6" s="68"/>
      <c r="AU6" s="68"/>
      <c r="AV6" s="43"/>
      <c r="AW6" s="43"/>
      <c r="AX6" s="43"/>
      <c r="AY6" s="43"/>
      <c r="AZ6" s="43"/>
      <c r="BA6" s="43"/>
      <c r="BB6" s="43"/>
      <c r="BC6" s="43"/>
      <c r="BD6" s="43"/>
      <c r="BE6" s="43"/>
      <c r="BF6" s="43"/>
      <c r="BG6" s="43"/>
      <c r="BH6" s="43"/>
      <c r="BI6" s="43"/>
      <c r="BJ6" s="43"/>
      <c r="BK6" s="43"/>
      <c r="BL6" s="43"/>
      <c r="BM6" s="36"/>
      <c r="BN6" s="8"/>
      <c r="BO6" s="8"/>
      <c r="BP6" s="8"/>
      <c r="BQ6" s="8"/>
      <c r="BR6" s="8"/>
      <c r="BS6" s="8"/>
      <c r="BT6" s="8"/>
      <c r="BU6" s="8"/>
      <c r="BV6" s="8"/>
      <c r="BW6" s="8"/>
      <c r="BX6" s="8"/>
      <c r="BY6" s="8"/>
      <c r="BZ6" s="8"/>
      <c r="CA6" s="8"/>
      <c r="CB6" s="8"/>
    </row>
    <row r="7" spans="1:98" s="11" customFormat="1" ht="14.45">
      <c r="A7" s="25"/>
      <c r="B7" s="12"/>
      <c r="C7" s="12"/>
      <c r="D7" s="12"/>
      <c r="E7" s="12"/>
      <c r="F7" s="12"/>
      <c r="G7" s="12"/>
      <c r="H7" s="12"/>
      <c r="I7" s="12"/>
      <c r="J7" s="12"/>
      <c r="K7" s="12"/>
      <c r="AN7" s="70"/>
      <c r="AO7" s="70"/>
      <c r="AP7" s="70"/>
      <c r="AQ7" s="70"/>
      <c r="AR7" s="70"/>
      <c r="AS7" s="70"/>
      <c r="AT7" s="70"/>
      <c r="AU7" s="70"/>
      <c r="BM7" s="13"/>
      <c r="BN7" s="8"/>
      <c r="BO7" s="8"/>
      <c r="BP7" s="8"/>
      <c r="BQ7" s="8"/>
      <c r="BR7" s="8"/>
      <c r="BS7" s="8"/>
      <c r="BT7" s="8"/>
      <c r="BU7" s="8"/>
      <c r="BV7" s="8"/>
      <c r="BW7" s="8"/>
      <c r="BX7" s="8"/>
      <c r="BY7" s="8"/>
      <c r="BZ7" s="8"/>
      <c r="CA7" s="8"/>
      <c r="CB7" s="8"/>
    </row>
    <row r="8" spans="1:98" s="11" customFormat="1" ht="15.75" customHeight="1">
      <c r="A8" s="25"/>
      <c r="B8" s="271" t="s">
        <v>100</v>
      </c>
      <c r="C8" s="272"/>
      <c r="D8" s="272"/>
      <c r="E8" s="272"/>
      <c r="F8" s="272"/>
      <c r="G8" s="272"/>
      <c r="H8" s="272"/>
      <c r="I8" s="272"/>
      <c r="J8" s="272"/>
      <c r="K8" s="272"/>
      <c r="L8" s="272"/>
      <c r="M8" s="272"/>
      <c r="N8" s="272"/>
      <c r="O8" s="273"/>
      <c r="P8" s="144" t="s">
        <v>101</v>
      </c>
      <c r="Q8" s="145"/>
      <c r="R8" s="145"/>
      <c r="S8" s="145"/>
      <c r="T8" s="145"/>
      <c r="U8" s="145"/>
      <c r="V8" s="145"/>
      <c r="W8" s="145"/>
      <c r="X8" s="145"/>
      <c r="Y8" s="145"/>
      <c r="Z8" s="145"/>
      <c r="AA8" s="145"/>
      <c r="AB8" s="145"/>
      <c r="AC8" s="146"/>
      <c r="AD8" s="277" t="s">
        <v>76</v>
      </c>
      <c r="AE8" s="278"/>
      <c r="AF8" s="278"/>
      <c r="AG8" s="278"/>
      <c r="AH8" s="278"/>
      <c r="AI8" s="278"/>
      <c r="AJ8" s="278"/>
      <c r="AK8" s="278"/>
      <c r="AL8" s="278"/>
      <c r="AM8" s="278"/>
      <c r="AN8" s="278"/>
      <c r="AO8" s="278"/>
      <c r="AP8" s="278"/>
      <c r="AQ8" s="279"/>
      <c r="AR8" s="262" t="s">
        <v>94</v>
      </c>
      <c r="AS8" s="263"/>
      <c r="AT8" s="263"/>
      <c r="AU8" s="263"/>
      <c r="AV8" s="263"/>
      <c r="AW8" s="263"/>
      <c r="AX8" s="263"/>
      <c r="AY8" s="263"/>
      <c r="AZ8" s="263"/>
      <c r="BA8" s="263"/>
      <c r="BB8" s="263"/>
      <c r="BC8" s="263"/>
      <c r="BD8" s="263"/>
      <c r="BE8" s="263"/>
      <c r="BF8" s="263"/>
      <c r="BG8" s="264"/>
      <c r="BH8" s="283" t="s">
        <v>96</v>
      </c>
      <c r="BI8" s="284"/>
      <c r="BJ8" s="284"/>
      <c r="BK8" s="284"/>
      <c r="BL8" s="285"/>
      <c r="BM8" s="13"/>
      <c r="BO8" s="262" t="s">
        <v>102</v>
      </c>
      <c r="BP8" s="263"/>
      <c r="BQ8" s="263"/>
      <c r="BR8" s="263"/>
      <c r="BS8" s="263"/>
      <c r="BT8" s="263"/>
      <c r="BU8" s="263"/>
      <c r="BV8" s="263"/>
      <c r="BW8" s="263"/>
      <c r="BX8" s="263"/>
      <c r="BY8" s="263"/>
      <c r="BZ8" s="263"/>
      <c r="CA8" s="263"/>
      <c r="CB8" s="263"/>
      <c r="CC8" s="263"/>
      <c r="CD8" s="264"/>
      <c r="CE8" s="262" t="s">
        <v>103</v>
      </c>
      <c r="CF8" s="263"/>
      <c r="CG8" s="263"/>
      <c r="CH8" s="263"/>
      <c r="CI8" s="263"/>
      <c r="CJ8" s="263"/>
      <c r="CK8" s="263"/>
      <c r="CL8" s="263"/>
      <c r="CM8" s="263"/>
      <c r="CN8" s="263"/>
      <c r="CO8" s="263"/>
      <c r="CP8" s="263"/>
      <c r="CQ8" s="263"/>
      <c r="CR8" s="263"/>
      <c r="CS8" s="263"/>
      <c r="CT8" s="264"/>
    </row>
    <row r="9" spans="1:98" s="11" customFormat="1" ht="15.75" customHeight="1">
      <c r="A9" s="25"/>
      <c r="B9" s="274"/>
      <c r="C9" s="275"/>
      <c r="D9" s="275"/>
      <c r="E9" s="275"/>
      <c r="F9" s="275"/>
      <c r="G9" s="275"/>
      <c r="H9" s="275"/>
      <c r="I9" s="275"/>
      <c r="J9" s="275"/>
      <c r="K9" s="275"/>
      <c r="L9" s="275"/>
      <c r="M9" s="275"/>
      <c r="N9" s="275"/>
      <c r="O9" s="276"/>
      <c r="P9" s="147"/>
      <c r="Q9" s="148"/>
      <c r="R9" s="148"/>
      <c r="S9" s="148"/>
      <c r="T9" s="148"/>
      <c r="U9" s="148"/>
      <c r="V9" s="148"/>
      <c r="W9" s="148"/>
      <c r="X9" s="148"/>
      <c r="Y9" s="148"/>
      <c r="Z9" s="148"/>
      <c r="AA9" s="148"/>
      <c r="AB9" s="148"/>
      <c r="AC9" s="149"/>
      <c r="AD9" s="280"/>
      <c r="AE9" s="281"/>
      <c r="AF9" s="281"/>
      <c r="AG9" s="281"/>
      <c r="AH9" s="281"/>
      <c r="AI9" s="281"/>
      <c r="AJ9" s="281"/>
      <c r="AK9" s="281"/>
      <c r="AL9" s="281"/>
      <c r="AM9" s="281"/>
      <c r="AN9" s="281"/>
      <c r="AO9" s="281"/>
      <c r="AP9" s="281"/>
      <c r="AQ9" s="282"/>
      <c r="AR9" s="265"/>
      <c r="AS9" s="266"/>
      <c r="AT9" s="266"/>
      <c r="AU9" s="266"/>
      <c r="AV9" s="266"/>
      <c r="AW9" s="266"/>
      <c r="AX9" s="266"/>
      <c r="AY9" s="266"/>
      <c r="AZ9" s="266"/>
      <c r="BA9" s="266"/>
      <c r="BB9" s="266"/>
      <c r="BC9" s="266"/>
      <c r="BD9" s="266"/>
      <c r="BE9" s="266"/>
      <c r="BF9" s="266"/>
      <c r="BG9" s="267"/>
      <c r="BH9" s="286"/>
      <c r="BI9" s="287"/>
      <c r="BJ9" s="287"/>
      <c r="BK9" s="287"/>
      <c r="BL9" s="288"/>
      <c r="BM9" s="13"/>
      <c r="BO9" s="265"/>
      <c r="BP9" s="266"/>
      <c r="BQ9" s="266"/>
      <c r="BR9" s="266"/>
      <c r="BS9" s="266"/>
      <c r="BT9" s="266"/>
      <c r="BU9" s="266"/>
      <c r="BV9" s="266"/>
      <c r="BW9" s="266"/>
      <c r="BX9" s="266"/>
      <c r="BY9" s="266"/>
      <c r="BZ9" s="266"/>
      <c r="CA9" s="266"/>
      <c r="CB9" s="266"/>
      <c r="CC9" s="266"/>
      <c r="CD9" s="267"/>
      <c r="CE9" s="265"/>
      <c r="CF9" s="266"/>
      <c r="CG9" s="266"/>
      <c r="CH9" s="266"/>
      <c r="CI9" s="266"/>
      <c r="CJ9" s="266"/>
      <c r="CK9" s="266"/>
      <c r="CL9" s="266"/>
      <c r="CM9" s="266"/>
      <c r="CN9" s="266"/>
      <c r="CO9" s="266"/>
      <c r="CP9" s="266"/>
      <c r="CQ9" s="266"/>
      <c r="CR9" s="266"/>
      <c r="CS9" s="266"/>
      <c r="CT9" s="267"/>
    </row>
    <row r="10" spans="1:98" s="11" customFormat="1">
      <c r="A10" s="25"/>
      <c r="B10" s="134" t="s">
        <v>82</v>
      </c>
      <c r="C10" s="135"/>
      <c r="D10" s="135"/>
      <c r="E10" s="135"/>
      <c r="F10" s="135"/>
      <c r="G10" s="135"/>
      <c r="H10" s="136"/>
      <c r="I10" s="134" t="s">
        <v>83</v>
      </c>
      <c r="J10" s="135"/>
      <c r="K10" s="135"/>
      <c r="L10" s="135"/>
      <c r="M10" s="135"/>
      <c r="N10" s="135"/>
      <c r="O10" s="136"/>
      <c r="P10" s="134" t="s">
        <v>82</v>
      </c>
      <c r="Q10" s="135"/>
      <c r="R10" s="135"/>
      <c r="S10" s="135"/>
      <c r="T10" s="135"/>
      <c r="U10" s="135"/>
      <c r="V10" s="136"/>
      <c r="W10" s="134" t="s">
        <v>83</v>
      </c>
      <c r="X10" s="135"/>
      <c r="Y10" s="135"/>
      <c r="Z10" s="135"/>
      <c r="AA10" s="135"/>
      <c r="AB10" s="135"/>
      <c r="AC10" s="136"/>
      <c r="AD10" s="137" t="s">
        <v>91</v>
      </c>
      <c r="AE10" s="138"/>
      <c r="AF10" s="138"/>
      <c r="AG10" s="138"/>
      <c r="AH10" s="138"/>
      <c r="AI10" s="138"/>
      <c r="AJ10" s="139"/>
      <c r="AK10" s="137" t="s">
        <v>93</v>
      </c>
      <c r="AL10" s="138"/>
      <c r="AM10" s="138"/>
      <c r="AN10" s="138"/>
      <c r="AO10" s="138"/>
      <c r="AP10" s="138"/>
      <c r="AQ10" s="139"/>
      <c r="AR10" s="268"/>
      <c r="AS10" s="269"/>
      <c r="AT10" s="269"/>
      <c r="AU10" s="269"/>
      <c r="AV10" s="269"/>
      <c r="AW10" s="269"/>
      <c r="AX10" s="269"/>
      <c r="AY10" s="269"/>
      <c r="AZ10" s="269"/>
      <c r="BA10" s="269"/>
      <c r="BB10" s="269"/>
      <c r="BC10" s="269"/>
      <c r="BD10" s="269"/>
      <c r="BE10" s="269"/>
      <c r="BF10" s="269"/>
      <c r="BG10" s="270"/>
      <c r="BH10" s="289"/>
      <c r="BI10" s="290"/>
      <c r="BJ10" s="290"/>
      <c r="BK10" s="290"/>
      <c r="BL10" s="291"/>
      <c r="BM10" s="13"/>
      <c r="BO10" s="268"/>
      <c r="BP10" s="269"/>
      <c r="BQ10" s="269"/>
      <c r="BR10" s="269"/>
      <c r="BS10" s="269"/>
      <c r="BT10" s="269"/>
      <c r="BU10" s="269"/>
      <c r="BV10" s="269"/>
      <c r="BW10" s="269"/>
      <c r="BX10" s="269"/>
      <c r="BY10" s="269"/>
      <c r="BZ10" s="269"/>
      <c r="CA10" s="269"/>
      <c r="CB10" s="269"/>
      <c r="CC10" s="269"/>
      <c r="CD10" s="270"/>
      <c r="CE10" s="268"/>
      <c r="CF10" s="269"/>
      <c r="CG10" s="269"/>
      <c r="CH10" s="269"/>
      <c r="CI10" s="269"/>
      <c r="CJ10" s="269"/>
      <c r="CK10" s="269"/>
      <c r="CL10" s="269"/>
      <c r="CM10" s="269"/>
      <c r="CN10" s="269"/>
      <c r="CO10" s="269"/>
      <c r="CP10" s="269"/>
      <c r="CQ10" s="269"/>
      <c r="CR10" s="269"/>
      <c r="CS10" s="269"/>
      <c r="CT10" s="270"/>
    </row>
    <row r="11" spans="1:98" s="11" customFormat="1">
      <c r="A11" s="25"/>
      <c r="B11" s="26" t="s">
        <v>104</v>
      </c>
      <c r="C11" s="23"/>
      <c r="D11" s="23"/>
      <c r="E11" s="23"/>
      <c r="F11" s="23"/>
      <c r="G11" s="23"/>
      <c r="H11" s="23"/>
      <c r="I11" s="23"/>
      <c r="J11" s="44"/>
      <c r="K11" s="44"/>
      <c r="L11" s="44"/>
      <c r="M11" s="44"/>
      <c r="N11" s="44"/>
      <c r="O11" s="44"/>
      <c r="P11" s="30"/>
      <c r="Q11" s="23"/>
      <c r="R11" s="23"/>
      <c r="S11" s="23"/>
      <c r="T11" s="23"/>
      <c r="U11" s="23"/>
      <c r="V11" s="23"/>
      <c r="W11" s="30"/>
      <c r="X11" s="23"/>
      <c r="Y11" s="23"/>
      <c r="Z11" s="23"/>
      <c r="AA11" s="23"/>
      <c r="AB11" s="23"/>
      <c r="AC11" s="23"/>
      <c r="AD11" s="23"/>
      <c r="AE11" s="23"/>
      <c r="AF11" s="23"/>
      <c r="AG11" s="23"/>
      <c r="AH11" s="23"/>
      <c r="AI11" s="23"/>
      <c r="AJ11" s="23"/>
      <c r="AK11" s="30"/>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13"/>
      <c r="BO11" s="93"/>
      <c r="BP11" s="94"/>
      <c r="BQ11" s="94"/>
      <c r="BR11" s="94"/>
      <c r="BS11" s="94"/>
      <c r="BT11" s="94"/>
      <c r="BU11" s="94"/>
      <c r="BV11" s="94"/>
      <c r="BW11" s="94"/>
      <c r="BX11" s="94"/>
      <c r="BY11" s="94"/>
      <c r="BZ11" s="94"/>
      <c r="CA11" s="94"/>
      <c r="CB11" s="94"/>
      <c r="CC11" s="94"/>
      <c r="CD11" s="94"/>
      <c r="CE11" s="93"/>
      <c r="CF11" s="94"/>
      <c r="CG11" s="94"/>
      <c r="CH11" s="94"/>
      <c r="CI11" s="94"/>
      <c r="CJ11" s="94"/>
      <c r="CK11" s="94"/>
      <c r="CL11" s="94"/>
      <c r="CM11" s="94"/>
      <c r="CN11" s="94"/>
      <c r="CO11" s="94"/>
      <c r="CP11" s="94"/>
      <c r="CQ11" s="94"/>
      <c r="CR11" s="94"/>
      <c r="CS11" s="94"/>
      <c r="CT11" s="95"/>
    </row>
    <row r="12" spans="1:98" s="11" customFormat="1">
      <c r="A12" s="25"/>
      <c r="B12" s="27"/>
      <c r="C12" s="21"/>
      <c r="D12" s="21"/>
      <c r="E12" s="21"/>
      <c r="F12" s="21"/>
      <c r="G12" s="21"/>
      <c r="H12" s="20"/>
      <c r="P12" s="27"/>
      <c r="Q12" s="21"/>
      <c r="R12" s="21"/>
      <c r="S12" s="21"/>
      <c r="T12" s="21"/>
      <c r="U12" s="21"/>
      <c r="V12" s="21"/>
      <c r="W12" s="27"/>
      <c r="X12" s="21"/>
      <c r="Y12" s="21"/>
      <c r="Z12" s="21"/>
      <c r="AA12" s="21"/>
      <c r="AB12" s="21"/>
      <c r="AC12" s="20"/>
      <c r="AD12" s="21"/>
      <c r="AE12" s="21"/>
      <c r="AF12" s="21"/>
      <c r="AG12" s="21"/>
      <c r="AH12" s="21"/>
      <c r="AI12" s="21"/>
      <c r="AJ12" s="21"/>
      <c r="AK12" s="27"/>
      <c r="AL12" s="21"/>
      <c r="AM12" s="21"/>
      <c r="AN12" s="21"/>
      <c r="AO12" s="21"/>
      <c r="AP12" s="21"/>
      <c r="AQ12" s="21"/>
      <c r="AR12" s="27"/>
      <c r="AS12" s="21"/>
      <c r="AT12" s="21"/>
      <c r="AU12" s="21"/>
      <c r="AV12" s="21"/>
      <c r="AW12" s="21"/>
      <c r="AX12" s="21"/>
      <c r="AY12" s="21"/>
      <c r="AZ12" s="21"/>
      <c r="BA12" s="21"/>
      <c r="BB12" s="21"/>
      <c r="BC12" s="21"/>
      <c r="BD12" s="21"/>
      <c r="BE12" s="21"/>
      <c r="BF12" s="21"/>
      <c r="BG12" s="21"/>
      <c r="BH12" s="27"/>
      <c r="BI12" s="21"/>
      <c r="BJ12" s="21"/>
      <c r="BK12" s="21"/>
      <c r="BL12" s="20"/>
      <c r="BM12" s="13"/>
      <c r="BO12" s="29" t="s">
        <v>105</v>
      </c>
      <c r="BP12" s="11" t="s">
        <v>106</v>
      </c>
      <c r="CE12" s="29" t="s">
        <v>107</v>
      </c>
      <c r="CT12" s="13"/>
    </row>
    <row r="13" spans="1:98" s="11" customFormat="1">
      <c r="A13" s="25"/>
      <c r="B13" s="27"/>
      <c r="C13" s="21"/>
      <c r="D13" s="21"/>
      <c r="E13" s="21"/>
      <c r="F13" s="21"/>
      <c r="G13" s="21"/>
      <c r="H13" s="20"/>
      <c r="P13" s="27"/>
      <c r="Q13" s="21"/>
      <c r="R13" s="21"/>
      <c r="S13" s="21"/>
      <c r="T13" s="21"/>
      <c r="U13" s="21"/>
      <c r="V13" s="21"/>
      <c r="W13" s="27"/>
      <c r="X13" s="21"/>
      <c r="Y13" s="21"/>
      <c r="Z13" s="21"/>
      <c r="AA13" s="21"/>
      <c r="AB13" s="21"/>
      <c r="AC13" s="20"/>
      <c r="AD13" s="21"/>
      <c r="AE13" s="21"/>
      <c r="AF13" s="21"/>
      <c r="AG13" s="21"/>
      <c r="AH13" s="21"/>
      <c r="AI13" s="21"/>
      <c r="AJ13" s="21"/>
      <c r="AK13" s="27"/>
      <c r="AL13" s="21"/>
      <c r="AM13" s="21"/>
      <c r="AN13" s="21"/>
      <c r="AO13" s="21"/>
      <c r="AP13" s="21"/>
      <c r="AQ13" s="21"/>
      <c r="AR13" s="27"/>
      <c r="AS13" s="59" t="s">
        <v>108</v>
      </c>
      <c r="AT13" s="21"/>
      <c r="AU13" s="21"/>
      <c r="AV13" s="21"/>
      <c r="AW13" s="21"/>
      <c r="AX13" s="21"/>
      <c r="AY13" s="21"/>
      <c r="AZ13" s="21"/>
      <c r="BA13" s="21"/>
      <c r="BB13" s="21"/>
      <c r="BC13" s="21"/>
      <c r="BD13" s="21"/>
      <c r="BE13" s="21"/>
      <c r="BF13" s="21"/>
      <c r="BG13" s="21"/>
      <c r="BH13" s="27"/>
      <c r="BI13" s="21"/>
      <c r="BJ13" s="21"/>
      <c r="BK13" s="21"/>
      <c r="BL13" s="20"/>
      <c r="BM13" s="13"/>
      <c r="BO13" s="29"/>
      <c r="BP13" s="11" t="s">
        <v>109</v>
      </c>
      <c r="CE13" s="29"/>
      <c r="CT13" s="13"/>
    </row>
    <row r="14" spans="1:98" s="11" customFormat="1">
      <c r="A14" s="25"/>
      <c r="B14" s="27"/>
      <c r="C14" s="21"/>
      <c r="D14" s="21"/>
      <c r="E14" s="21"/>
      <c r="F14" s="21"/>
      <c r="G14" s="21"/>
      <c r="H14" s="20"/>
      <c r="P14" s="27"/>
      <c r="Q14" s="21"/>
      <c r="R14" s="21"/>
      <c r="S14" s="21"/>
      <c r="T14" s="21"/>
      <c r="U14" s="21"/>
      <c r="V14" s="21"/>
      <c r="W14" s="27"/>
      <c r="X14" s="21"/>
      <c r="Y14" s="21"/>
      <c r="Z14" s="21"/>
      <c r="AA14" s="21"/>
      <c r="AB14" s="21"/>
      <c r="AC14" s="20"/>
      <c r="AD14" s="21"/>
      <c r="AE14" s="21"/>
      <c r="AF14" s="21"/>
      <c r="AG14" s="21"/>
      <c r="AH14" s="21"/>
      <c r="AI14" s="21"/>
      <c r="AJ14" s="21"/>
      <c r="AK14" s="27"/>
      <c r="AL14" s="21"/>
      <c r="AM14" s="21"/>
      <c r="AN14" s="21"/>
      <c r="AO14" s="21"/>
      <c r="AP14" s="21"/>
      <c r="AQ14" s="21"/>
      <c r="AR14" s="27"/>
      <c r="AS14" s="59" t="s">
        <v>110</v>
      </c>
      <c r="AT14" s="52"/>
      <c r="AU14" s="52"/>
      <c r="AV14" s="52"/>
      <c r="AW14" s="21"/>
      <c r="AX14" s="21"/>
      <c r="AY14" s="21"/>
      <c r="AZ14" s="21"/>
      <c r="BA14" s="21"/>
      <c r="BB14" s="21"/>
      <c r="BC14" s="21"/>
      <c r="BD14" s="21"/>
      <c r="BE14" s="21"/>
      <c r="BF14" s="21"/>
      <c r="BG14" s="21"/>
      <c r="BH14" s="27"/>
      <c r="BI14" s="21"/>
      <c r="BJ14" s="21"/>
      <c r="BK14" s="21"/>
      <c r="BL14" s="20"/>
      <c r="BM14" s="13"/>
      <c r="BO14" s="29"/>
      <c r="BQ14" s="11" t="s">
        <v>111</v>
      </c>
      <c r="BR14" s="11" t="s">
        <v>112</v>
      </c>
      <c r="BX14" s="8" t="s">
        <v>113</v>
      </c>
      <c r="BY14" s="11" t="s">
        <v>114</v>
      </c>
      <c r="CE14" s="29"/>
      <c r="CK14" s="96" t="s">
        <v>115</v>
      </c>
      <c r="CT14" s="13"/>
    </row>
    <row r="15" spans="1:98">
      <c r="A15" s="24"/>
      <c r="B15" s="24"/>
      <c r="H15" s="14"/>
      <c r="P15" s="24"/>
      <c r="W15" s="24"/>
      <c r="AC15" s="14"/>
      <c r="AG15" s="21"/>
      <c r="AK15" s="71"/>
      <c r="AL15" s="66"/>
      <c r="AM15" s="66"/>
      <c r="AN15" s="66"/>
      <c r="AO15" s="66"/>
      <c r="AP15" s="66"/>
      <c r="AQ15" s="66"/>
      <c r="AR15" s="71"/>
      <c r="AS15" s="66"/>
      <c r="AT15" s="78"/>
      <c r="AV15" s="66"/>
      <c r="AW15" s="66"/>
      <c r="AX15" s="66"/>
      <c r="AY15" s="66"/>
      <c r="AZ15" s="66"/>
      <c r="BA15" s="66"/>
      <c r="BB15" s="66"/>
      <c r="BC15" s="66"/>
      <c r="BD15" s="66"/>
      <c r="BE15" s="66"/>
      <c r="BF15" s="66"/>
      <c r="BG15" s="66"/>
      <c r="BH15" s="24"/>
      <c r="BL15" s="14"/>
      <c r="BM15" s="14"/>
      <c r="BO15" s="24"/>
      <c r="BQ15" s="11" t="s">
        <v>111</v>
      </c>
      <c r="BR15" s="8" t="s">
        <v>116</v>
      </c>
      <c r="BX15" s="8" t="s">
        <v>113</v>
      </c>
      <c r="BY15" s="11" t="s">
        <v>117</v>
      </c>
      <c r="CE15" s="24"/>
      <c r="CT15" s="14"/>
    </row>
    <row r="16" spans="1:98">
      <c r="A16" s="24"/>
      <c r="B16" s="24"/>
      <c r="H16" s="14"/>
      <c r="P16" s="24"/>
      <c r="W16" s="24"/>
      <c r="AC16" s="14"/>
      <c r="AK16" s="71"/>
      <c r="AL16" s="66"/>
      <c r="AM16" s="66"/>
      <c r="AN16" s="66"/>
      <c r="AO16" s="66"/>
      <c r="AP16" s="66"/>
      <c r="AQ16" s="66"/>
      <c r="AR16" s="71"/>
      <c r="AS16" s="66" t="s">
        <v>118</v>
      </c>
      <c r="AT16" s="66" t="s">
        <v>119</v>
      </c>
      <c r="AV16" s="66"/>
      <c r="AW16" s="66"/>
      <c r="AX16" s="66"/>
      <c r="AY16" s="66"/>
      <c r="AZ16" s="66"/>
      <c r="BA16" s="66"/>
      <c r="BB16" s="66"/>
      <c r="BC16" s="66"/>
      <c r="BD16" s="66"/>
      <c r="BE16" s="66"/>
      <c r="BF16" s="66"/>
      <c r="BG16" s="66"/>
      <c r="BH16" s="24"/>
      <c r="BL16" s="14"/>
      <c r="BM16" s="14"/>
      <c r="BO16" s="24"/>
      <c r="BQ16" s="11" t="s">
        <v>111</v>
      </c>
      <c r="BR16" s="8" t="s">
        <v>120</v>
      </c>
      <c r="BX16" s="8" t="s">
        <v>113</v>
      </c>
      <c r="BY16" s="11" t="s">
        <v>117</v>
      </c>
      <c r="CE16" s="24"/>
      <c r="CT16" s="14"/>
    </row>
    <row r="17" spans="1:99">
      <c r="A17" s="24"/>
      <c r="B17" s="24"/>
      <c r="H17" s="14"/>
      <c r="P17" s="24"/>
      <c r="W17" s="24"/>
      <c r="AC17" s="14"/>
      <c r="AK17" s="71"/>
      <c r="AL17" s="66"/>
      <c r="AM17" s="66"/>
      <c r="AN17" s="66"/>
      <c r="AO17" s="66"/>
      <c r="AP17" s="66"/>
      <c r="AQ17" s="66"/>
      <c r="AR17" s="71"/>
      <c r="AS17" s="77"/>
      <c r="AT17" s="66"/>
      <c r="AV17" s="66"/>
      <c r="AW17" s="66"/>
      <c r="AX17" s="66"/>
      <c r="AY17" s="66"/>
      <c r="AZ17" s="66"/>
      <c r="BA17" s="66"/>
      <c r="BB17" s="66"/>
      <c r="BC17" s="66"/>
      <c r="BD17" s="66"/>
      <c r="BE17" s="66"/>
      <c r="BF17" s="66"/>
      <c r="BG17" s="66"/>
      <c r="BH17" s="24"/>
      <c r="BL17" s="14"/>
      <c r="BM17" s="14"/>
      <c r="BO17" s="24"/>
      <c r="BQ17" s="113" t="s">
        <v>111</v>
      </c>
      <c r="BR17" s="113" t="s">
        <v>121</v>
      </c>
      <c r="BS17" s="113"/>
      <c r="BT17" s="113"/>
      <c r="BU17" s="113"/>
      <c r="BV17" s="113"/>
      <c r="BW17" s="113"/>
      <c r="BX17" s="113" t="s">
        <v>113</v>
      </c>
      <c r="BY17" s="113" t="s">
        <v>122</v>
      </c>
      <c r="BZ17" s="113"/>
      <c r="CA17" s="113"/>
      <c r="CB17" s="113"/>
      <c r="CC17" s="113"/>
      <c r="CE17" s="24"/>
      <c r="CT17" s="14"/>
    </row>
    <row r="18" spans="1:99">
      <c r="A18" s="24"/>
      <c r="B18" s="24"/>
      <c r="H18" s="14"/>
      <c r="P18" s="24"/>
      <c r="W18" s="24"/>
      <c r="AC18" s="14"/>
      <c r="AK18" s="71"/>
      <c r="AL18" s="66"/>
      <c r="AM18" s="66"/>
      <c r="AN18" s="66"/>
      <c r="AO18" s="66"/>
      <c r="AP18" s="66"/>
      <c r="AQ18" s="66"/>
      <c r="AR18" s="71"/>
      <c r="AS18" s="66"/>
      <c r="AT18" s="66"/>
      <c r="AV18" s="66"/>
      <c r="AW18" s="66"/>
      <c r="AX18" s="66"/>
      <c r="AY18" s="66"/>
      <c r="AZ18" s="66"/>
      <c r="BA18" s="66"/>
      <c r="BB18" s="66"/>
      <c r="BC18" s="66"/>
      <c r="BD18" s="66"/>
      <c r="BE18" s="66"/>
      <c r="BF18" s="66"/>
      <c r="BG18" s="66"/>
      <c r="BH18" s="24"/>
      <c r="BL18" s="14"/>
      <c r="BM18" s="14"/>
      <c r="BO18" s="24"/>
      <c r="BQ18" s="11" t="s">
        <v>111</v>
      </c>
      <c r="BR18" s="8" t="s">
        <v>123</v>
      </c>
      <c r="BX18" s="8" t="s">
        <v>113</v>
      </c>
      <c r="BY18" s="8" t="s">
        <v>124</v>
      </c>
      <c r="CE18" s="24"/>
      <c r="CT18" s="14"/>
    </row>
    <row r="19" spans="1:99">
      <c r="A19" s="24"/>
      <c r="B19" s="24"/>
      <c r="H19" s="14"/>
      <c r="P19" s="24"/>
      <c r="W19" s="24"/>
      <c r="AC19" s="14"/>
      <c r="AK19" s="71"/>
      <c r="AL19" s="66"/>
      <c r="AM19" s="66"/>
      <c r="AN19" s="66"/>
      <c r="AO19" s="66"/>
      <c r="AP19" s="66"/>
      <c r="AQ19" s="66"/>
      <c r="AR19" s="71"/>
      <c r="AS19" s="66"/>
      <c r="AT19" s="66"/>
      <c r="AV19" s="66"/>
      <c r="AW19" s="66"/>
      <c r="AX19" s="66"/>
      <c r="AY19" s="66"/>
      <c r="AZ19" s="66"/>
      <c r="BA19" s="66"/>
      <c r="BB19" s="66"/>
      <c r="BC19" s="66"/>
      <c r="BD19" s="66"/>
      <c r="BE19" s="66"/>
      <c r="BF19" s="66"/>
      <c r="BG19" s="66"/>
      <c r="BH19" s="24"/>
      <c r="BL19" s="14"/>
      <c r="BM19" s="14"/>
      <c r="BO19" s="24"/>
      <c r="BQ19" s="11" t="s">
        <v>111</v>
      </c>
      <c r="BR19" s="8" t="s">
        <v>125</v>
      </c>
      <c r="BX19" s="8" t="s">
        <v>113</v>
      </c>
      <c r="BY19" s="8" t="s">
        <v>124</v>
      </c>
      <c r="CE19" s="24"/>
      <c r="CT19" s="14"/>
    </row>
    <row r="20" spans="1:99">
      <c r="A20" s="24"/>
      <c r="B20" s="24"/>
      <c r="H20" s="14"/>
      <c r="P20" s="24"/>
      <c r="W20" s="24"/>
      <c r="AC20" s="14"/>
      <c r="AK20" s="71"/>
      <c r="AL20" s="66"/>
      <c r="AM20" s="66"/>
      <c r="AN20" s="66"/>
      <c r="AO20" s="66"/>
      <c r="AP20" s="66"/>
      <c r="AQ20" s="66"/>
      <c r="AR20" s="71"/>
      <c r="AS20" s="66"/>
      <c r="AT20" s="66"/>
      <c r="AV20" s="66"/>
      <c r="AW20" s="66"/>
      <c r="AX20" s="66"/>
      <c r="AY20" s="66"/>
      <c r="AZ20" s="66"/>
      <c r="BA20" s="66"/>
      <c r="BB20" s="66"/>
      <c r="BC20" s="66"/>
      <c r="BD20" s="66"/>
      <c r="BE20" s="66"/>
      <c r="BF20" s="66"/>
      <c r="BG20" s="66"/>
      <c r="BH20" s="24"/>
      <c r="BL20" s="14"/>
      <c r="BM20" s="14"/>
      <c r="BO20" s="24"/>
      <c r="BQ20" s="11" t="s">
        <v>111</v>
      </c>
      <c r="BR20" s="8" t="s">
        <v>126</v>
      </c>
      <c r="BX20" s="8" t="s">
        <v>113</v>
      </c>
      <c r="BY20" s="8" t="s">
        <v>124</v>
      </c>
      <c r="CE20" s="24"/>
      <c r="CT20" s="14"/>
    </row>
    <row r="21" spans="1:99">
      <c r="A21" s="24"/>
      <c r="B21" s="24"/>
      <c r="H21" s="14"/>
      <c r="P21" s="24"/>
      <c r="W21" s="24"/>
      <c r="AC21" s="14"/>
      <c r="AK21" s="71"/>
      <c r="AL21" s="66"/>
      <c r="AM21" s="66"/>
      <c r="AN21" s="66"/>
      <c r="AO21" s="66"/>
      <c r="AP21" s="66"/>
      <c r="AQ21" s="66"/>
      <c r="AR21" s="71"/>
      <c r="AS21" s="66"/>
      <c r="AT21" s="66"/>
      <c r="AV21" s="66"/>
      <c r="AW21" s="66"/>
      <c r="AX21" s="66"/>
      <c r="AY21" s="66"/>
      <c r="AZ21" s="66"/>
      <c r="BA21" s="66"/>
      <c r="BB21" s="66"/>
      <c r="BC21" s="66"/>
      <c r="BD21" s="66"/>
      <c r="BE21" s="66"/>
      <c r="BF21" s="66"/>
      <c r="BG21" s="66"/>
      <c r="BH21" s="24"/>
      <c r="BL21" s="14"/>
      <c r="BM21" s="14"/>
      <c r="BO21" s="24"/>
      <c r="BQ21" s="11" t="s">
        <v>111</v>
      </c>
      <c r="BR21" s="8" t="s">
        <v>127</v>
      </c>
      <c r="BX21" s="8" t="s">
        <v>113</v>
      </c>
      <c r="BY21" s="70" t="s">
        <v>117</v>
      </c>
      <c r="CE21" s="24"/>
      <c r="CT21" s="14"/>
    </row>
    <row r="22" spans="1:99">
      <c r="A22" s="24"/>
      <c r="B22" s="24"/>
      <c r="H22" s="14"/>
      <c r="P22" s="24"/>
      <c r="W22" s="24"/>
      <c r="AC22" s="14"/>
      <c r="AK22" s="71"/>
      <c r="AL22" s="66"/>
      <c r="AM22" s="66"/>
      <c r="AN22" s="66"/>
      <c r="AO22" s="66"/>
      <c r="AP22" s="66"/>
      <c r="AQ22" s="66"/>
      <c r="AR22" s="71"/>
      <c r="AS22" s="66"/>
      <c r="AT22" s="66"/>
      <c r="AV22" s="66"/>
      <c r="AW22" s="66"/>
      <c r="AX22" s="66"/>
      <c r="AY22" s="66"/>
      <c r="AZ22" s="66"/>
      <c r="BA22" s="66"/>
      <c r="BB22" s="66"/>
      <c r="BC22" s="66"/>
      <c r="BD22" s="66"/>
      <c r="BE22" s="66"/>
      <c r="BF22" s="66"/>
      <c r="BG22" s="66"/>
      <c r="BH22" s="24"/>
      <c r="BL22" s="14"/>
      <c r="BM22" s="14"/>
      <c r="BO22" s="24"/>
      <c r="BQ22" s="11" t="s">
        <v>111</v>
      </c>
      <c r="BR22" s="8" t="s">
        <v>128</v>
      </c>
      <c r="BX22" s="8" t="s">
        <v>113</v>
      </c>
      <c r="BY22" s="8" t="s">
        <v>129</v>
      </c>
      <c r="CE22" s="24"/>
      <c r="CT22" s="14"/>
    </row>
    <row r="23" spans="1:99">
      <c r="A23" s="24"/>
      <c r="B23" s="24"/>
      <c r="H23" s="14"/>
      <c r="P23" s="24"/>
      <c r="W23" s="24"/>
      <c r="AC23" s="14"/>
      <c r="AK23" s="71"/>
      <c r="AL23" s="66"/>
      <c r="AM23" s="66"/>
      <c r="AN23" s="66"/>
      <c r="AO23" s="66"/>
      <c r="AP23" s="66"/>
      <c r="AQ23" s="66"/>
      <c r="AR23" s="71"/>
      <c r="AS23" s="66"/>
      <c r="AT23" s="66"/>
      <c r="AV23" s="66"/>
      <c r="AW23" s="66"/>
      <c r="AX23" s="66"/>
      <c r="AY23" s="66"/>
      <c r="AZ23" s="66"/>
      <c r="BA23" s="66"/>
      <c r="BB23" s="66"/>
      <c r="BC23" s="66"/>
      <c r="BD23" s="66"/>
      <c r="BE23" s="66"/>
      <c r="BF23" s="66"/>
      <c r="BG23" s="66"/>
      <c r="BH23" s="24"/>
      <c r="BL23" s="14"/>
      <c r="BM23" s="14"/>
      <c r="BO23" s="24"/>
      <c r="BQ23" s="11" t="s">
        <v>111</v>
      </c>
      <c r="BR23" s="8" t="s">
        <v>130</v>
      </c>
      <c r="BX23" s="8" t="s">
        <v>113</v>
      </c>
      <c r="BY23" s="8" t="s">
        <v>131</v>
      </c>
      <c r="CE23" s="24"/>
      <c r="CT23" s="14"/>
    </row>
    <row r="24" spans="1:99">
      <c r="A24" s="24"/>
      <c r="B24" s="24"/>
      <c r="H24" s="14"/>
      <c r="P24" s="24"/>
      <c r="W24" s="24"/>
      <c r="AC24" s="14"/>
      <c r="AK24" s="71"/>
      <c r="AL24" s="66"/>
      <c r="AM24" s="66"/>
      <c r="AN24" s="66"/>
      <c r="AO24" s="66"/>
      <c r="AP24" s="66"/>
      <c r="AQ24" s="66"/>
      <c r="AR24" s="71"/>
      <c r="AS24" s="66"/>
      <c r="AT24" s="66"/>
      <c r="AV24" s="66"/>
      <c r="AW24" s="66"/>
      <c r="AX24" s="66"/>
      <c r="AY24" s="66"/>
      <c r="AZ24" s="66"/>
      <c r="BA24" s="66"/>
      <c r="BB24" s="66"/>
      <c r="BC24" s="66"/>
      <c r="BD24" s="66"/>
      <c r="BE24" s="66"/>
      <c r="BF24" s="66"/>
      <c r="BG24" s="66"/>
      <c r="BH24" s="24"/>
      <c r="BL24" s="14"/>
      <c r="BM24" s="14"/>
      <c r="BO24" s="24"/>
      <c r="BQ24" s="11" t="s">
        <v>111</v>
      </c>
      <c r="BR24" s="8" t="s">
        <v>132</v>
      </c>
      <c r="BX24" s="8" t="s">
        <v>113</v>
      </c>
      <c r="BY24" s="8" t="s">
        <v>129</v>
      </c>
      <c r="CE24" s="24"/>
      <c r="CT24" s="14"/>
    </row>
    <row r="25" spans="1:99">
      <c r="A25" s="24"/>
      <c r="B25" s="24"/>
      <c r="H25" s="14"/>
      <c r="P25" s="24"/>
      <c r="W25" s="24"/>
      <c r="AC25" s="14"/>
      <c r="AK25" s="71"/>
      <c r="AL25" s="66"/>
      <c r="AM25" s="66"/>
      <c r="AN25" s="66"/>
      <c r="AO25" s="66"/>
      <c r="AP25" s="66"/>
      <c r="AQ25" s="66"/>
      <c r="AR25" s="71"/>
      <c r="AS25" s="66"/>
      <c r="AT25" s="66"/>
      <c r="AV25" s="66"/>
      <c r="AW25" s="66"/>
      <c r="AX25" s="66"/>
      <c r="AY25" s="66"/>
      <c r="AZ25" s="66"/>
      <c r="BA25" s="66"/>
      <c r="BB25" s="66"/>
      <c r="BC25" s="66"/>
      <c r="BD25" s="66"/>
      <c r="BE25" s="66"/>
      <c r="BF25" s="66"/>
      <c r="BG25" s="66"/>
      <c r="BH25" s="24"/>
      <c r="BL25" s="14"/>
      <c r="BM25" s="14"/>
      <c r="BO25" s="24"/>
      <c r="BP25" s="96" t="s">
        <v>133</v>
      </c>
      <c r="BQ25" s="96" t="s">
        <v>134</v>
      </c>
      <c r="BR25" s="96"/>
      <c r="BS25" s="96"/>
      <c r="BT25" s="96"/>
      <c r="BU25" s="96"/>
      <c r="BV25" s="96"/>
      <c r="BW25" s="96"/>
      <c r="BX25" s="96"/>
      <c r="BY25" s="11"/>
      <c r="BZ25" s="11"/>
      <c r="CA25" s="11"/>
      <c r="CB25" s="11"/>
      <c r="CC25" s="11"/>
      <c r="CD25" s="11"/>
      <c r="CE25" s="24" t="s">
        <v>133</v>
      </c>
      <c r="CF25" s="8" t="s">
        <v>135</v>
      </c>
      <c r="CT25" s="14"/>
    </row>
    <row r="26" spans="1:99">
      <c r="A26" s="24"/>
      <c r="B26" s="24"/>
      <c r="H26" s="14"/>
      <c r="P26" s="24"/>
      <c r="W26" s="24"/>
      <c r="AC26" s="14"/>
      <c r="AK26" s="71"/>
      <c r="AL26" s="66"/>
      <c r="AM26" s="66"/>
      <c r="AN26" s="66"/>
      <c r="AO26" s="66"/>
      <c r="AP26" s="66"/>
      <c r="AQ26" s="66"/>
      <c r="AR26" s="71"/>
      <c r="AS26" s="80" t="s">
        <v>136</v>
      </c>
      <c r="AT26"/>
      <c r="AV26" s="66"/>
      <c r="AW26" s="66"/>
      <c r="AX26" s="66"/>
      <c r="AY26" s="66"/>
      <c r="AZ26" s="66"/>
      <c r="BA26" s="66"/>
      <c r="BB26" s="66"/>
      <c r="BC26" s="66"/>
      <c r="BD26" s="66"/>
      <c r="BE26" s="66"/>
      <c r="BF26" s="66"/>
      <c r="BG26" s="66"/>
      <c r="BH26" s="24"/>
      <c r="BL26" s="14"/>
      <c r="BM26" s="14"/>
      <c r="BO26" s="24"/>
      <c r="BP26" s="96"/>
      <c r="BQ26" s="96" t="s">
        <v>137</v>
      </c>
      <c r="CE26" s="24"/>
      <c r="CF26" s="11" t="s">
        <v>138</v>
      </c>
      <c r="CT26" s="14"/>
    </row>
    <row r="27" spans="1:99">
      <c r="A27" s="24"/>
      <c r="B27" s="24"/>
      <c r="H27" s="14"/>
      <c r="P27" s="24"/>
      <c r="W27" s="24"/>
      <c r="AC27" s="14"/>
      <c r="AK27" s="71"/>
      <c r="AL27" s="66"/>
      <c r="AM27" s="66"/>
      <c r="AN27" s="66"/>
      <c r="AO27" s="66"/>
      <c r="AP27" s="66"/>
      <c r="AQ27" s="66"/>
      <c r="AR27" s="71"/>
      <c r="AS27"/>
      <c r="AT27" t="s">
        <v>139</v>
      </c>
      <c r="AV27" s="66"/>
      <c r="AW27" s="66"/>
      <c r="AX27" s="66"/>
      <c r="AY27" s="66"/>
      <c r="AZ27" s="66"/>
      <c r="BA27" s="66"/>
      <c r="BB27" s="66"/>
      <c r="BC27" s="66"/>
      <c r="BD27" s="66"/>
      <c r="BE27" s="66"/>
      <c r="BF27" s="66"/>
      <c r="BG27" s="66"/>
      <c r="BH27" s="24"/>
      <c r="BL27" s="14"/>
      <c r="BM27" s="14"/>
      <c r="BO27" s="24"/>
      <c r="BP27" s="96"/>
      <c r="BQ27" s="96" t="s">
        <v>111</v>
      </c>
      <c r="BR27" s="96" t="s">
        <v>140</v>
      </c>
      <c r="BS27" s="96"/>
      <c r="BT27" s="96"/>
      <c r="BU27" s="96"/>
      <c r="BV27" s="96"/>
      <c r="BW27" s="96" t="s">
        <v>66</v>
      </c>
      <c r="BX27" s="96" t="s">
        <v>141</v>
      </c>
      <c r="BY27" s="96"/>
      <c r="CE27" s="24"/>
      <c r="CF27" s="8" t="s">
        <v>142</v>
      </c>
      <c r="CT27" s="14"/>
    </row>
    <row r="28" spans="1:99">
      <c r="A28" s="24"/>
      <c r="B28" s="24"/>
      <c r="H28" s="14"/>
      <c r="P28" s="24"/>
      <c r="W28" s="24"/>
      <c r="AC28" s="14"/>
      <c r="AK28" s="71"/>
      <c r="AL28" s="66"/>
      <c r="AM28" s="66"/>
      <c r="AN28" s="66"/>
      <c r="AO28" s="66"/>
      <c r="AP28" s="66"/>
      <c r="AQ28" s="66"/>
      <c r="AR28" s="71"/>
      <c r="AS28" s="66"/>
      <c r="AT28" s="70" t="s">
        <v>118</v>
      </c>
      <c r="AU28" s="66" t="s">
        <v>143</v>
      </c>
      <c r="AV28" s="66"/>
      <c r="AW28" s="66"/>
      <c r="AX28" s="66"/>
      <c r="AY28" s="66"/>
      <c r="AZ28" s="66"/>
      <c r="BA28" s="66"/>
      <c r="BB28" s="66"/>
      <c r="BC28" s="66"/>
      <c r="BD28" s="66"/>
      <c r="BE28" s="66"/>
      <c r="BF28" s="66"/>
      <c r="BG28" s="66"/>
      <c r="BH28" s="24"/>
      <c r="BL28" s="14"/>
      <c r="BM28" s="14"/>
      <c r="BO28" s="24"/>
      <c r="BP28" s="96"/>
      <c r="BQ28" s="96" t="s">
        <v>111</v>
      </c>
      <c r="BR28" s="96" t="s">
        <v>124</v>
      </c>
      <c r="BS28" s="96"/>
      <c r="BT28" s="96"/>
      <c r="BU28" s="96"/>
      <c r="BV28" s="96"/>
      <c r="BW28" s="96" t="s">
        <v>66</v>
      </c>
      <c r="BX28" s="96" t="s">
        <v>144</v>
      </c>
      <c r="BY28" s="96"/>
      <c r="CE28" s="24"/>
      <c r="CF28" s="96" t="s">
        <v>133</v>
      </c>
      <c r="CG28" s="96" t="s">
        <v>145</v>
      </c>
      <c r="CH28" s="96"/>
      <c r="CI28" s="96"/>
      <c r="CJ28" s="96"/>
      <c r="CT28" s="14"/>
    </row>
    <row r="29" spans="1:99">
      <c r="A29" s="24"/>
      <c r="B29" s="24"/>
      <c r="H29" s="14"/>
      <c r="P29" s="24"/>
      <c r="W29" s="24"/>
      <c r="AC29" s="14"/>
      <c r="AK29" s="71"/>
      <c r="AL29" s="66"/>
      <c r="AM29" s="66"/>
      <c r="AN29" s="66"/>
      <c r="AO29" s="66"/>
      <c r="AP29" s="66"/>
      <c r="AQ29" s="66"/>
      <c r="AR29" s="71"/>
      <c r="AU29" s="8" t="s">
        <v>146</v>
      </c>
      <c r="AY29" s="66"/>
      <c r="AZ29" s="66"/>
      <c r="BA29" s="66"/>
      <c r="BB29" s="66"/>
      <c r="BC29" s="66"/>
      <c r="BD29" s="66"/>
      <c r="BE29" s="66"/>
      <c r="BF29" s="66"/>
      <c r="BG29" s="66"/>
      <c r="BH29" s="24"/>
      <c r="BL29" s="14"/>
      <c r="BM29" s="14"/>
      <c r="BO29" s="24"/>
      <c r="BP29" s="96"/>
      <c r="BQ29" s="96"/>
      <c r="BR29" s="96"/>
      <c r="BS29" s="96"/>
      <c r="BT29" s="96"/>
      <c r="BU29" s="96"/>
      <c r="BV29" s="96"/>
      <c r="BW29" s="96"/>
      <c r="BX29" s="96" t="s">
        <v>147</v>
      </c>
      <c r="BY29" s="96"/>
      <c r="CC29" s="11"/>
      <c r="CD29" s="11"/>
      <c r="CE29" s="24"/>
      <c r="CF29" s="96"/>
      <c r="CG29" s="96" t="s">
        <v>148</v>
      </c>
      <c r="CH29" s="96" t="s">
        <v>149</v>
      </c>
      <c r="CI29" s="96"/>
      <c r="CJ29" s="96"/>
      <c r="CT29" s="14"/>
    </row>
    <row r="30" spans="1:99">
      <c r="A30" s="24"/>
      <c r="B30" s="24"/>
      <c r="H30" s="14"/>
      <c r="P30" s="24"/>
      <c r="W30" s="24"/>
      <c r="AC30" s="14"/>
      <c r="AK30" s="71"/>
      <c r="AL30" s="66"/>
      <c r="AM30" s="66"/>
      <c r="AN30" s="66"/>
      <c r="AO30" s="66"/>
      <c r="AP30" s="66"/>
      <c r="AQ30" s="66"/>
      <c r="AR30" s="71"/>
      <c r="AU30" s="8"/>
      <c r="AY30" s="66"/>
      <c r="AZ30" s="66"/>
      <c r="BA30" s="66"/>
      <c r="BB30" s="66"/>
      <c r="BC30" s="66"/>
      <c r="BD30" s="66"/>
      <c r="BE30" s="66"/>
      <c r="BF30" s="66"/>
      <c r="BG30" s="66"/>
      <c r="BH30" s="24"/>
      <c r="BL30" s="14"/>
      <c r="BM30" s="14"/>
      <c r="BO30" s="24"/>
      <c r="BP30" s="11"/>
      <c r="BQ30" s="96" t="s">
        <v>111</v>
      </c>
      <c r="BR30" s="96" t="s">
        <v>150</v>
      </c>
      <c r="BS30" s="96"/>
      <c r="BT30" s="96"/>
      <c r="BU30" s="96"/>
      <c r="BV30" s="96"/>
      <c r="BW30" s="96" t="s">
        <v>66</v>
      </c>
      <c r="BX30" s="96" t="s">
        <v>130</v>
      </c>
      <c r="BY30" s="96"/>
      <c r="CA30" s="11"/>
      <c r="CB30" s="11"/>
      <c r="CC30" s="11"/>
      <c r="CD30" s="11"/>
      <c r="CE30" s="24"/>
      <c r="CF30" s="96"/>
      <c r="CG30" s="96" t="s">
        <v>151</v>
      </c>
      <c r="CH30" s="96" t="s">
        <v>152</v>
      </c>
      <c r="CI30" s="96"/>
      <c r="CJ30" s="96"/>
      <c r="CT30" s="14"/>
    </row>
    <row r="31" spans="1:99">
      <c r="A31" s="24"/>
      <c r="B31" s="24"/>
      <c r="H31" s="14"/>
      <c r="P31" s="24"/>
      <c r="W31" s="24"/>
      <c r="AC31" s="14"/>
      <c r="AK31" s="71"/>
      <c r="AL31" s="66"/>
      <c r="AM31" s="66"/>
      <c r="AN31" s="66"/>
      <c r="AO31" s="66"/>
      <c r="AP31" s="66"/>
      <c r="AQ31" s="66"/>
      <c r="AR31" s="71"/>
      <c r="AS31" s="66"/>
      <c r="AT31" s="66"/>
      <c r="AV31" s="66"/>
      <c r="AW31" s="66"/>
      <c r="AX31" s="66"/>
      <c r="AY31" s="66"/>
      <c r="AZ31" s="66"/>
      <c r="BA31" s="66"/>
      <c r="BB31" s="66"/>
      <c r="BC31" s="66"/>
      <c r="BD31" s="66"/>
      <c r="BE31" s="66"/>
      <c r="BF31" s="66"/>
      <c r="BG31" s="66"/>
      <c r="BH31" s="24"/>
      <c r="BL31" s="14"/>
      <c r="BM31" s="14"/>
      <c r="BO31" s="24"/>
      <c r="BP31" s="96"/>
      <c r="CE31" s="24"/>
      <c r="CF31" s="96"/>
      <c r="CG31" s="96" t="s">
        <v>153</v>
      </c>
      <c r="CH31" s="96" t="s">
        <v>154</v>
      </c>
      <c r="CI31" s="96"/>
      <c r="CJ31" s="96"/>
      <c r="CT31" s="14"/>
    </row>
    <row r="32" spans="1:99">
      <c r="A32" s="24"/>
      <c r="B32" s="24"/>
      <c r="H32" s="14"/>
      <c r="P32" s="24"/>
      <c r="Q32"/>
      <c r="R32"/>
      <c r="S32"/>
      <c r="T32"/>
      <c r="U32"/>
      <c r="V32"/>
      <c r="W32" s="24"/>
      <c r="X32"/>
      <c r="Y32"/>
      <c r="Z32"/>
      <c r="AA32"/>
      <c r="AB32"/>
      <c r="AC32" s="14"/>
      <c r="AD32"/>
      <c r="AE32"/>
      <c r="AF32"/>
      <c r="AG32"/>
      <c r="AH32"/>
      <c r="AI32"/>
      <c r="AJ32"/>
      <c r="AK32" s="28"/>
      <c r="AL32"/>
      <c r="AM32"/>
      <c r="AN32"/>
      <c r="AO32"/>
      <c r="AP32"/>
      <c r="AQ32"/>
      <c r="AR32" s="71"/>
      <c r="AS32"/>
      <c r="AT32"/>
      <c r="AU32"/>
      <c r="AV32"/>
      <c r="AW32"/>
      <c r="AX32"/>
      <c r="AY32"/>
      <c r="AZ32"/>
      <c r="BA32"/>
      <c r="BB32"/>
      <c r="BC32"/>
      <c r="BD32"/>
      <c r="BE32"/>
      <c r="BF32" s="66"/>
      <c r="BG32" s="66"/>
      <c r="BH32" s="24"/>
      <c r="BL32" s="14"/>
      <c r="BM32" s="14"/>
      <c r="BO32" s="24"/>
      <c r="BQ32" s="96"/>
      <c r="CE32" s="24"/>
      <c r="CF32" s="96"/>
      <c r="CG32" s="96" t="s">
        <v>155</v>
      </c>
      <c r="CH32" s="96" t="s">
        <v>156</v>
      </c>
      <c r="CI32" s="96"/>
      <c r="CJ32" s="96"/>
      <c r="CT32" s="14"/>
      <c r="CU32" s="45"/>
    </row>
    <row r="33" spans="1:98" s="11" customFormat="1">
      <c r="A33" s="25"/>
      <c r="B33" s="27"/>
      <c r="C33" s="21"/>
      <c r="D33" s="21"/>
      <c r="E33" s="21"/>
      <c r="F33" s="21"/>
      <c r="G33" s="21"/>
      <c r="H33" s="20"/>
      <c r="P33" s="24"/>
      <c r="Q33" s="21"/>
      <c r="R33" s="21"/>
      <c r="S33" s="21"/>
      <c r="T33" s="21"/>
      <c r="U33" s="21"/>
      <c r="V33" s="21"/>
      <c r="W33" s="27"/>
      <c r="X33" s="21"/>
      <c r="Y33" s="21"/>
      <c r="Z33" s="21"/>
      <c r="AA33" s="21"/>
      <c r="AB33" s="21"/>
      <c r="AC33" s="20"/>
      <c r="AD33" s="21"/>
      <c r="AE33" s="21"/>
      <c r="AF33" s="21"/>
      <c r="AG33" s="21"/>
      <c r="AH33" s="21"/>
      <c r="AI33" s="21"/>
      <c r="AJ33" s="21"/>
      <c r="AK33" s="27"/>
      <c r="AL33" s="21"/>
      <c r="AM33" s="21"/>
      <c r="AN33" s="21"/>
      <c r="AO33" s="21"/>
      <c r="AP33" s="21"/>
      <c r="AQ33" s="21"/>
      <c r="AR33" s="27"/>
      <c r="AS33" s="59"/>
      <c r="AT33" s="59"/>
      <c r="AU33" s="52"/>
      <c r="AV33" s="52"/>
      <c r="AW33" s="21"/>
      <c r="AX33" s="21"/>
      <c r="AY33" s="21"/>
      <c r="AZ33" s="21"/>
      <c r="BA33" s="21"/>
      <c r="BB33" s="21"/>
      <c r="BC33" s="21"/>
      <c r="BD33" s="21"/>
      <c r="BE33" s="21"/>
      <c r="BF33" s="21"/>
      <c r="BG33" s="21"/>
      <c r="BH33" s="27"/>
      <c r="BI33" s="21"/>
      <c r="BJ33" s="21"/>
      <c r="BK33" s="21"/>
      <c r="BL33" s="20"/>
      <c r="BM33" s="13"/>
      <c r="BO33" s="24"/>
      <c r="BP33" s="8"/>
      <c r="BQ33" s="8"/>
      <c r="BR33" s="8"/>
      <c r="BS33" s="8"/>
      <c r="BT33" s="8"/>
      <c r="BU33" s="8"/>
      <c r="BV33" s="8"/>
      <c r="BW33" s="8"/>
      <c r="BX33" s="8"/>
      <c r="BY33" s="8"/>
      <c r="BZ33" s="8"/>
      <c r="CA33" s="8"/>
      <c r="CB33" s="8"/>
      <c r="CC33" s="8"/>
      <c r="CD33" s="8"/>
      <c r="CE33" s="24"/>
      <c r="CF33" s="45" t="s">
        <v>157</v>
      </c>
      <c r="CG33" s="8"/>
      <c r="CH33" s="8"/>
      <c r="CI33" s="8"/>
      <c r="CJ33" s="8"/>
      <c r="CK33" s="8"/>
      <c r="CL33" s="8"/>
      <c r="CM33" s="8"/>
      <c r="CN33" s="8"/>
      <c r="CO33" s="8"/>
      <c r="CP33" s="8"/>
      <c r="CQ33" s="8"/>
      <c r="CR33" s="8"/>
      <c r="CS33" s="8"/>
      <c r="CT33" s="110"/>
    </row>
    <row r="34" spans="1:98" s="11" customFormat="1">
      <c r="A34" s="25"/>
      <c r="B34" s="27"/>
      <c r="C34" s="21"/>
      <c r="D34" s="21"/>
      <c r="E34" s="21"/>
      <c r="F34" s="21"/>
      <c r="G34" s="21"/>
      <c r="H34" s="20"/>
      <c r="P34" s="24"/>
      <c r="Q34" s="21"/>
      <c r="R34" s="21"/>
      <c r="S34" s="21"/>
      <c r="T34" s="21"/>
      <c r="U34" s="21"/>
      <c r="V34" s="21"/>
      <c r="W34" s="27"/>
      <c r="X34" s="21"/>
      <c r="Y34" s="21"/>
      <c r="Z34" s="21"/>
      <c r="AA34" s="21"/>
      <c r="AB34" s="21"/>
      <c r="AC34" s="20"/>
      <c r="AD34" s="21"/>
      <c r="AE34" s="21"/>
      <c r="AF34" s="21"/>
      <c r="AG34" s="21"/>
      <c r="AH34" s="21"/>
      <c r="AI34" s="21"/>
      <c r="AJ34" s="21"/>
      <c r="AK34" s="27"/>
      <c r="AL34" s="21"/>
      <c r="AM34" s="21"/>
      <c r="AN34" s="21"/>
      <c r="AO34" s="21"/>
      <c r="AP34" s="21"/>
      <c r="AQ34" s="21"/>
      <c r="AR34" s="27"/>
      <c r="AS34" s="76" t="s">
        <v>158</v>
      </c>
      <c r="AT34"/>
      <c r="AU34" s="18"/>
      <c r="AV34"/>
      <c r="AW34" s="66"/>
      <c r="AX34" s="66"/>
      <c r="AY34" s="66"/>
      <c r="AZ34" s="66"/>
      <c r="BA34" s="66"/>
      <c r="BB34" s="66"/>
      <c r="BC34" s="66"/>
      <c r="BD34" s="66"/>
      <c r="BE34" s="66"/>
      <c r="BF34" s="21"/>
      <c r="BG34" s="21"/>
      <c r="BH34" s="27"/>
      <c r="BI34" s="21"/>
      <c r="BJ34" s="21"/>
      <c r="BK34" s="21"/>
      <c r="BL34" s="20"/>
      <c r="BM34" s="13"/>
      <c r="BO34" s="29" t="s">
        <v>105</v>
      </c>
      <c r="BP34" s="11" t="s">
        <v>159</v>
      </c>
      <c r="CG34" s="45" t="s">
        <v>133</v>
      </c>
      <c r="CH34" s="45" t="s">
        <v>160</v>
      </c>
      <c r="CI34" s="8"/>
      <c r="CT34" s="13"/>
    </row>
    <row r="35" spans="1:98" s="11" customFormat="1">
      <c r="A35" s="25"/>
      <c r="B35" s="27"/>
      <c r="C35" s="21"/>
      <c r="D35" s="21"/>
      <c r="E35" s="21"/>
      <c r="F35" s="21"/>
      <c r="G35" s="21"/>
      <c r="H35" s="20"/>
      <c r="P35" s="24"/>
      <c r="Q35" s="21"/>
      <c r="R35" s="21"/>
      <c r="S35" s="21"/>
      <c r="T35" s="21"/>
      <c r="U35" s="21"/>
      <c r="V35" s="21"/>
      <c r="W35" s="27"/>
      <c r="X35" s="21"/>
      <c r="Y35" s="21"/>
      <c r="Z35" s="21"/>
      <c r="AA35" s="21"/>
      <c r="AB35" s="21"/>
      <c r="AC35" s="20"/>
      <c r="AD35" s="21"/>
      <c r="AE35" s="21"/>
      <c r="AF35" s="21"/>
      <c r="AG35" s="21"/>
      <c r="AH35" s="21"/>
      <c r="AI35" s="21"/>
      <c r="AJ35" s="21"/>
      <c r="AK35" s="27"/>
      <c r="AL35" s="21"/>
      <c r="AM35" s="21"/>
      <c r="AN35" s="21"/>
      <c r="AO35" s="21"/>
      <c r="AP35" s="21"/>
      <c r="AQ35" s="21"/>
      <c r="AR35" s="27"/>
      <c r="AS35" s="77"/>
      <c r="AT35" s="66" t="s">
        <v>161</v>
      </c>
      <c r="AU35" s="66"/>
      <c r="AV35" s="66"/>
      <c r="AW35" s="66"/>
      <c r="AX35" s="66"/>
      <c r="AY35" s="66"/>
      <c r="AZ35" s="66"/>
      <c r="BA35" s="66"/>
      <c r="BB35" s="66"/>
      <c r="BC35" s="66"/>
      <c r="BD35" s="66"/>
      <c r="BE35" s="66"/>
      <c r="BF35" s="21"/>
      <c r="BG35" s="21"/>
      <c r="BH35" s="27"/>
      <c r="BI35" s="21"/>
      <c r="BJ35" s="21"/>
      <c r="BK35" s="21"/>
      <c r="BL35" s="20"/>
      <c r="BM35" s="13"/>
      <c r="BO35" s="29"/>
      <c r="BP35" s="11" t="s">
        <v>162</v>
      </c>
      <c r="CE35" s="29"/>
      <c r="CG35" s="8"/>
      <c r="CH35" s="45" t="s">
        <v>163</v>
      </c>
      <c r="CI35" s="8"/>
      <c r="CT35" s="13"/>
    </row>
    <row r="36" spans="1:98" s="11" customFormat="1">
      <c r="A36" s="25"/>
      <c r="B36" s="27"/>
      <c r="C36" s="21"/>
      <c r="D36" s="21"/>
      <c r="E36" s="21"/>
      <c r="F36" s="21"/>
      <c r="G36" s="21"/>
      <c r="H36" s="20"/>
      <c r="P36" s="24"/>
      <c r="Q36" s="21"/>
      <c r="R36" s="21"/>
      <c r="S36" s="21"/>
      <c r="T36" s="21"/>
      <c r="U36" s="21"/>
      <c r="V36" s="21"/>
      <c r="W36" s="27"/>
      <c r="X36" s="21"/>
      <c r="Y36" s="21"/>
      <c r="Z36" s="21"/>
      <c r="AA36" s="21"/>
      <c r="AB36" s="21"/>
      <c r="AC36" s="20"/>
      <c r="AD36" s="21"/>
      <c r="AE36" s="21"/>
      <c r="AF36" s="21"/>
      <c r="AG36" s="21"/>
      <c r="AH36" s="21"/>
      <c r="AI36" s="21"/>
      <c r="AJ36" s="21"/>
      <c r="AK36" s="27"/>
      <c r="AL36" s="21"/>
      <c r="AM36" s="21"/>
      <c r="AN36" s="21"/>
      <c r="AO36" s="21"/>
      <c r="AP36" s="21"/>
      <c r="AQ36" s="21"/>
      <c r="AR36" s="27"/>
      <c r="AS36" s="66"/>
      <c r="AT36" s="66" t="s">
        <v>118</v>
      </c>
      <c r="AU36" s="66" t="s">
        <v>164</v>
      </c>
      <c r="AV36"/>
      <c r="AW36"/>
      <c r="AX36"/>
      <c r="AY36"/>
      <c r="AZ36"/>
      <c r="BA36" s="66"/>
      <c r="BB36" s="66"/>
      <c r="BC36" s="66"/>
      <c r="BD36" s="66"/>
      <c r="BE36" s="66"/>
      <c r="BF36" s="21"/>
      <c r="BG36" s="21"/>
      <c r="BH36" s="27"/>
      <c r="BI36" s="21"/>
      <c r="BJ36" s="21"/>
      <c r="BK36" s="21"/>
      <c r="BL36" s="20"/>
      <c r="BM36" s="13"/>
      <c r="BO36" s="29"/>
      <c r="BP36" s="11" t="s">
        <v>165</v>
      </c>
      <c r="CE36" s="29" t="s">
        <v>107</v>
      </c>
      <c r="CF36" s="11" t="s">
        <v>166</v>
      </c>
      <c r="CG36" s="8"/>
      <c r="CH36" s="8"/>
      <c r="CI36" s="8"/>
      <c r="CT36" s="13"/>
    </row>
    <row r="37" spans="1:98" s="11" customFormat="1">
      <c r="A37" s="25"/>
      <c r="B37" s="27"/>
      <c r="C37" s="21"/>
      <c r="D37" s="21"/>
      <c r="E37" s="21"/>
      <c r="F37" s="21"/>
      <c r="G37" s="21"/>
      <c r="H37" s="20"/>
      <c r="P37" s="24"/>
      <c r="Q37" s="21"/>
      <c r="R37" s="21"/>
      <c r="S37" s="21"/>
      <c r="T37" s="21"/>
      <c r="U37" s="21"/>
      <c r="V37" s="21"/>
      <c r="W37" s="27"/>
      <c r="X37" s="21"/>
      <c r="Y37" s="21"/>
      <c r="Z37" s="21"/>
      <c r="AA37" s="21"/>
      <c r="AB37" s="21"/>
      <c r="AC37" s="20"/>
      <c r="AD37" s="21"/>
      <c r="AE37" s="21"/>
      <c r="AF37" s="21"/>
      <c r="AG37" s="21"/>
      <c r="AH37" s="21"/>
      <c r="AI37" s="21"/>
      <c r="AJ37" s="21"/>
      <c r="AK37" s="27"/>
      <c r="AL37" s="21"/>
      <c r="AM37" s="21"/>
      <c r="AN37" s="21"/>
      <c r="AO37" s="21"/>
      <c r="AP37" s="21"/>
      <c r="AQ37" s="21"/>
      <c r="AR37" s="27"/>
      <c r="AS37" s="77"/>
      <c r="AT37" s="66"/>
      <c r="AU37" s="66" t="s">
        <v>167</v>
      </c>
      <c r="AV37"/>
      <c r="AW37"/>
      <c r="AX37"/>
      <c r="AY37"/>
      <c r="AZ37"/>
      <c r="BA37"/>
      <c r="BB37"/>
      <c r="BC37"/>
      <c r="BD37"/>
      <c r="BE37"/>
      <c r="BF37" s="21"/>
      <c r="BG37" s="21"/>
      <c r="BH37" s="27"/>
      <c r="BI37" s="21"/>
      <c r="BJ37" s="21"/>
      <c r="BK37" s="21"/>
      <c r="BL37" s="20"/>
      <c r="BM37" s="13"/>
      <c r="BO37" s="29"/>
      <c r="CE37" s="29"/>
      <c r="CG37" s="8"/>
      <c r="CH37" s="8"/>
      <c r="CI37" s="8"/>
      <c r="CT37" s="13"/>
    </row>
    <row r="38" spans="1:98" s="11" customFormat="1">
      <c r="A38" s="25"/>
      <c r="B38" s="27"/>
      <c r="C38" s="21"/>
      <c r="D38" s="21"/>
      <c r="E38" s="21"/>
      <c r="F38" s="21"/>
      <c r="G38" s="21"/>
      <c r="H38" s="20"/>
      <c r="P38" s="24"/>
      <c r="Q38" s="21"/>
      <c r="R38" s="21"/>
      <c r="S38" s="21"/>
      <c r="T38" s="21"/>
      <c r="U38" s="21"/>
      <c r="V38" s="21"/>
      <c r="W38" s="27"/>
      <c r="X38" s="21"/>
      <c r="Y38" s="21"/>
      <c r="Z38" s="21"/>
      <c r="AA38" s="21"/>
      <c r="AB38" s="21"/>
      <c r="AC38" s="20"/>
      <c r="AD38" s="21"/>
      <c r="AE38" s="21"/>
      <c r="AF38" s="21"/>
      <c r="AG38" s="21"/>
      <c r="AH38" s="21"/>
      <c r="AI38" s="21"/>
      <c r="AJ38" s="21"/>
      <c r="AK38" s="27"/>
      <c r="AL38" s="21"/>
      <c r="AM38" s="21"/>
      <c r="AN38" s="21"/>
      <c r="AO38" s="21"/>
      <c r="AP38" s="21"/>
      <c r="AQ38" s="21"/>
      <c r="AR38" s="27"/>
      <c r="AS38" s="77"/>
      <c r="AT38" s="66"/>
      <c r="AU38" s="77" t="s">
        <v>168</v>
      </c>
      <c r="AV38" s="66"/>
      <c r="AW38" s="66"/>
      <c r="AX38" s="66"/>
      <c r="AY38" s="66"/>
      <c r="AZ38" s="66"/>
      <c r="BA38"/>
      <c r="BB38"/>
      <c r="BC38"/>
      <c r="BD38"/>
      <c r="BE38"/>
      <c r="BF38" s="21"/>
      <c r="BG38" s="21"/>
      <c r="BH38" s="27"/>
      <c r="BI38" s="21"/>
      <c r="BJ38" s="21"/>
      <c r="BK38" s="21"/>
      <c r="BL38" s="20"/>
      <c r="BM38" s="13"/>
      <c r="BO38" s="24" t="s">
        <v>105</v>
      </c>
      <c r="BP38" s="8" t="s">
        <v>169</v>
      </c>
      <c r="BQ38" s="8"/>
      <c r="BR38" s="8"/>
      <c r="BS38" s="8"/>
      <c r="BT38" s="8"/>
      <c r="BU38" s="8"/>
      <c r="BV38" s="8"/>
      <c r="BW38" s="8"/>
      <c r="BX38" s="8"/>
      <c r="BY38" s="8"/>
      <c r="BZ38" s="8"/>
      <c r="CA38" s="8"/>
      <c r="CB38" s="8"/>
      <c r="CC38" s="8"/>
      <c r="CD38" s="8"/>
      <c r="CE38" s="24" t="s">
        <v>107</v>
      </c>
      <c r="CF38" s="8" t="s">
        <v>170</v>
      </c>
      <c r="CG38" s="8"/>
      <c r="CH38" s="8"/>
      <c r="CI38" s="8"/>
      <c r="CJ38" s="8"/>
      <c r="CT38" s="13"/>
    </row>
    <row r="39" spans="1:98" s="11" customFormat="1">
      <c r="A39" s="25"/>
      <c r="B39" s="27"/>
      <c r="C39" s="21"/>
      <c r="D39" s="21"/>
      <c r="E39" s="21"/>
      <c r="F39" s="21"/>
      <c r="G39" s="21"/>
      <c r="H39" s="20"/>
      <c r="P39" s="24"/>
      <c r="Q39" s="21"/>
      <c r="R39" s="21"/>
      <c r="S39" s="21"/>
      <c r="T39" s="21"/>
      <c r="U39" s="21"/>
      <c r="V39" s="21"/>
      <c r="W39" s="27"/>
      <c r="X39" s="21"/>
      <c r="Y39" s="21"/>
      <c r="Z39" s="21"/>
      <c r="AA39" s="21"/>
      <c r="AB39" s="21"/>
      <c r="AC39" s="20"/>
      <c r="AD39" s="21"/>
      <c r="AE39" s="21"/>
      <c r="AF39" s="21"/>
      <c r="AG39" s="21"/>
      <c r="AH39" s="21"/>
      <c r="AI39" s="21"/>
      <c r="AJ39" s="21"/>
      <c r="AK39" s="27"/>
      <c r="AL39" s="21"/>
      <c r="AM39" s="21"/>
      <c r="AN39" s="21"/>
      <c r="AO39" s="21"/>
      <c r="AP39" s="21"/>
      <c r="AQ39" s="21"/>
      <c r="AR39" s="27"/>
      <c r="AS39" s="59"/>
      <c r="AT39" s="59"/>
      <c r="AU39" s="52"/>
      <c r="AV39" s="52"/>
      <c r="AW39" s="21"/>
      <c r="AX39" s="21"/>
      <c r="AY39" s="21"/>
      <c r="AZ39" s="21"/>
      <c r="BA39" s="21"/>
      <c r="BB39" s="21"/>
      <c r="BC39" s="21"/>
      <c r="BD39" s="21"/>
      <c r="BE39" s="21"/>
      <c r="BF39" s="21"/>
      <c r="BG39" s="21"/>
      <c r="BH39" s="27"/>
      <c r="BI39" s="21"/>
      <c r="BJ39" s="21"/>
      <c r="BK39" s="21"/>
      <c r="BL39" s="20"/>
      <c r="BM39" s="13"/>
      <c r="BO39" s="24"/>
      <c r="BP39" s="8" t="s">
        <v>171</v>
      </c>
      <c r="BQ39" s="8"/>
      <c r="BR39" s="8"/>
      <c r="BS39" s="8"/>
      <c r="BT39" s="8"/>
      <c r="BU39" s="8"/>
      <c r="BV39" s="8"/>
      <c r="BW39" s="8"/>
      <c r="BX39" s="8"/>
      <c r="BY39" s="8"/>
      <c r="BZ39" s="8"/>
      <c r="CA39" s="8"/>
      <c r="CB39" s="8"/>
      <c r="CC39" s="8"/>
      <c r="CD39" s="8"/>
      <c r="CE39" s="24"/>
      <c r="CF39" s="8"/>
      <c r="CG39" s="8"/>
      <c r="CH39" s="8"/>
      <c r="CI39" s="8"/>
      <c r="CJ39" s="8"/>
      <c r="CT39" s="13"/>
    </row>
    <row r="40" spans="1:98" s="11" customFormat="1" ht="14.45">
      <c r="A40" s="25"/>
      <c r="B40" s="27"/>
      <c r="C40" s="21"/>
      <c r="D40" s="21"/>
      <c r="E40" s="21"/>
      <c r="F40" s="21"/>
      <c r="G40" s="21"/>
      <c r="H40" s="20"/>
      <c r="P40" s="24"/>
      <c r="Q40" s="21"/>
      <c r="R40" s="21"/>
      <c r="S40" s="21"/>
      <c r="T40" s="21"/>
      <c r="U40" s="21"/>
      <c r="V40" s="21"/>
      <c r="W40" s="27"/>
      <c r="X40" s="21"/>
      <c r="Y40" s="21"/>
      <c r="Z40" s="21"/>
      <c r="AA40" s="21"/>
      <c r="AB40" s="21"/>
      <c r="AC40" s="20"/>
      <c r="AD40" s="21"/>
      <c r="AE40" s="21"/>
      <c r="AF40" s="21"/>
      <c r="AG40" s="21"/>
      <c r="AH40" s="21"/>
      <c r="AI40" s="21"/>
      <c r="AJ40" s="21"/>
      <c r="AK40" s="27"/>
      <c r="AL40" s="21"/>
      <c r="AM40" s="21"/>
      <c r="AN40" s="21"/>
      <c r="AO40" s="21"/>
      <c r="AP40" s="21"/>
      <c r="AQ40" s="21"/>
      <c r="AR40" s="27"/>
      <c r="AS40" s="59"/>
      <c r="AT40" s="59"/>
      <c r="AU40" s="52"/>
      <c r="AV40" s="52"/>
      <c r="AW40" s="21"/>
      <c r="AX40" s="21"/>
      <c r="AY40" s="21"/>
      <c r="AZ40" s="21"/>
      <c r="BA40" s="21"/>
      <c r="BB40" s="21"/>
      <c r="BC40" s="21"/>
      <c r="BD40" s="21"/>
      <c r="BE40" s="21"/>
      <c r="BF40" s="21"/>
      <c r="BG40" s="21"/>
      <c r="BH40" s="27"/>
      <c r="BI40" s="21"/>
      <c r="BJ40" s="21"/>
      <c r="BK40" s="21"/>
      <c r="BL40" s="20"/>
      <c r="BM40" s="13"/>
      <c r="BO40" s="24"/>
      <c r="BP40" s="8"/>
      <c r="BQ40" s="8"/>
      <c r="BR40" s="8"/>
      <c r="BS40" s="8"/>
      <c r="BT40" s="8"/>
      <c r="BU40" s="8"/>
      <c r="BV40" s="8"/>
      <c r="BW40" s="8"/>
      <c r="BX40" s="8"/>
      <c r="BY40" s="8"/>
      <c r="BZ40" s="8"/>
      <c r="CA40" s="8"/>
      <c r="CB40" s="8"/>
      <c r="CC40" s="8"/>
      <c r="CD40" s="8"/>
      <c r="CE40" s="24"/>
      <c r="CF40" s="8"/>
      <c r="CG40" s="8"/>
      <c r="CH40" s="8"/>
      <c r="CI40" s="8"/>
      <c r="CJ40" s="8"/>
      <c r="CT40" s="13"/>
    </row>
    <row r="41" spans="1:98" s="11" customFormat="1">
      <c r="A41" s="25"/>
      <c r="B41" s="27"/>
      <c r="C41" s="21"/>
      <c r="D41" s="21"/>
      <c r="E41" s="21"/>
      <c r="F41" s="21"/>
      <c r="G41" s="21"/>
      <c r="H41" s="20"/>
      <c r="P41" s="24"/>
      <c r="Q41" s="21"/>
      <c r="R41" s="21"/>
      <c r="S41" s="21"/>
      <c r="T41" s="21"/>
      <c r="U41" s="21"/>
      <c r="V41" s="21"/>
      <c r="W41" s="27"/>
      <c r="X41" s="21"/>
      <c r="Y41" s="21"/>
      <c r="Z41" s="21"/>
      <c r="AA41" s="21"/>
      <c r="AB41" s="21"/>
      <c r="AC41" s="20"/>
      <c r="AD41" s="21"/>
      <c r="AE41" s="21"/>
      <c r="AF41" s="21"/>
      <c r="AG41" s="21"/>
      <c r="AH41" s="21"/>
      <c r="AI41" s="21"/>
      <c r="AJ41" s="21"/>
      <c r="AK41" s="27"/>
      <c r="AL41" s="21"/>
      <c r="AM41" s="21"/>
      <c r="AN41" s="21"/>
      <c r="AO41" s="21"/>
      <c r="AP41" s="21"/>
      <c r="AQ41" s="21"/>
      <c r="AR41" s="27"/>
      <c r="AS41" s="59"/>
      <c r="AT41" s="59"/>
      <c r="AU41" s="52"/>
      <c r="AV41" s="52"/>
      <c r="AW41" s="21"/>
      <c r="AX41" s="21"/>
      <c r="AY41" s="21"/>
      <c r="AZ41" s="21"/>
      <c r="BA41" s="21"/>
      <c r="BB41" s="21"/>
      <c r="BC41" s="21"/>
      <c r="BD41" s="21"/>
      <c r="BE41" s="21"/>
      <c r="BF41" s="21"/>
      <c r="BG41" s="21"/>
      <c r="BH41" s="27"/>
      <c r="BI41" s="21"/>
      <c r="BJ41" s="21"/>
      <c r="BK41" s="21"/>
      <c r="BL41" s="20"/>
      <c r="BM41" s="13"/>
      <c r="BO41" s="24"/>
      <c r="BP41" s="96" t="s">
        <v>133</v>
      </c>
      <c r="BQ41" s="96" t="s">
        <v>172</v>
      </c>
      <c r="BR41" s="96"/>
      <c r="BS41" s="96"/>
      <c r="BT41" s="96"/>
      <c r="BU41" s="96"/>
      <c r="BV41" s="8"/>
      <c r="BW41" s="8"/>
      <c r="BX41" s="8"/>
      <c r="BY41" s="8"/>
      <c r="BZ41" s="8"/>
      <c r="CA41" s="8"/>
      <c r="CB41" s="8"/>
      <c r="CC41" s="8"/>
      <c r="CD41" s="8"/>
      <c r="CE41" s="24"/>
      <c r="CF41" s="8"/>
      <c r="CG41" s="8"/>
      <c r="CH41" s="8"/>
      <c r="CI41" s="8"/>
      <c r="CJ41" s="8"/>
      <c r="CT41" s="13"/>
    </row>
    <row r="42" spans="1:98" s="11" customFormat="1">
      <c r="A42" s="25"/>
      <c r="B42" s="27"/>
      <c r="C42" s="21"/>
      <c r="D42" s="21"/>
      <c r="E42" s="21"/>
      <c r="F42" s="21"/>
      <c r="G42" s="21"/>
      <c r="H42" s="20"/>
      <c r="P42" s="24"/>
      <c r="Q42" s="21"/>
      <c r="R42" s="21"/>
      <c r="S42" s="21"/>
      <c r="T42" s="21"/>
      <c r="U42" s="21"/>
      <c r="V42" s="21"/>
      <c r="W42" s="27"/>
      <c r="X42" s="21"/>
      <c r="Y42" s="21"/>
      <c r="Z42" s="21"/>
      <c r="AA42" s="21"/>
      <c r="AB42" s="21"/>
      <c r="AC42" s="20"/>
      <c r="AD42" s="21"/>
      <c r="AE42" s="21"/>
      <c r="AF42" s="21"/>
      <c r="AG42" s="21"/>
      <c r="AH42" s="21"/>
      <c r="AI42" s="21"/>
      <c r="AJ42" s="21"/>
      <c r="AK42" s="27"/>
      <c r="AL42" s="21"/>
      <c r="AM42" s="21"/>
      <c r="AN42" s="21"/>
      <c r="AO42" s="21"/>
      <c r="AP42" s="21"/>
      <c r="AQ42" s="21"/>
      <c r="AR42" s="27"/>
      <c r="AS42" s="59"/>
      <c r="AT42" s="59"/>
      <c r="AU42" s="52"/>
      <c r="AV42" s="52"/>
      <c r="AW42" s="21"/>
      <c r="AX42" s="21"/>
      <c r="AY42" s="21"/>
      <c r="AZ42" s="21"/>
      <c r="BA42" s="21"/>
      <c r="BB42" s="21"/>
      <c r="BC42" s="21"/>
      <c r="BD42" s="21"/>
      <c r="BE42" s="21"/>
      <c r="BF42" s="21"/>
      <c r="BG42" s="21"/>
      <c r="BH42" s="27"/>
      <c r="BI42" s="21"/>
      <c r="BJ42" s="21"/>
      <c r="BK42" s="21"/>
      <c r="BL42" s="20"/>
      <c r="BM42" s="13"/>
      <c r="BO42" s="24"/>
      <c r="BP42" s="96"/>
      <c r="BQ42" s="96" t="s">
        <v>173</v>
      </c>
      <c r="BR42" s="96"/>
      <c r="BS42" s="96"/>
      <c r="BT42" s="96"/>
      <c r="BU42" s="96"/>
      <c r="BV42" s="8"/>
      <c r="BW42" s="8"/>
      <c r="BX42" s="8"/>
      <c r="BY42" s="8"/>
      <c r="BZ42" s="8"/>
      <c r="CA42" s="8"/>
      <c r="CB42" s="8"/>
      <c r="CC42" s="8"/>
      <c r="CD42" s="8"/>
      <c r="CE42" s="24"/>
      <c r="CF42" s="8"/>
      <c r="CG42" s="8"/>
      <c r="CH42" s="8"/>
      <c r="CI42" s="8"/>
      <c r="CJ42" s="8"/>
      <c r="CT42" s="13"/>
    </row>
    <row r="43" spans="1:98" s="11" customFormat="1">
      <c r="A43" s="25"/>
      <c r="B43" s="27"/>
      <c r="C43" s="21"/>
      <c r="D43" s="21"/>
      <c r="E43" s="21"/>
      <c r="F43" s="21"/>
      <c r="G43" s="21"/>
      <c r="H43" s="20"/>
      <c r="P43" s="24"/>
      <c r="Q43" s="21"/>
      <c r="R43" s="21"/>
      <c r="S43" s="21"/>
      <c r="T43" s="21"/>
      <c r="U43" s="21"/>
      <c r="V43" s="21"/>
      <c r="W43" s="27"/>
      <c r="X43" s="21"/>
      <c r="Y43" s="21"/>
      <c r="Z43" s="21"/>
      <c r="AA43" s="21"/>
      <c r="AB43" s="21"/>
      <c r="AC43" s="20"/>
      <c r="AD43" s="21"/>
      <c r="AE43" s="21"/>
      <c r="AF43" s="21"/>
      <c r="AG43" s="21"/>
      <c r="AH43" s="21"/>
      <c r="AI43" s="21"/>
      <c r="AJ43" s="21"/>
      <c r="AK43" s="27"/>
      <c r="AL43" s="21"/>
      <c r="AM43" s="21"/>
      <c r="AN43" s="21"/>
      <c r="AO43" s="21"/>
      <c r="AP43" s="21"/>
      <c r="AQ43" s="21"/>
      <c r="AR43" s="27"/>
      <c r="AS43" s="59"/>
      <c r="AT43" s="59"/>
      <c r="AU43" s="52"/>
      <c r="AV43" s="52"/>
      <c r="AW43" s="21"/>
      <c r="AX43" s="21"/>
      <c r="AY43" s="21"/>
      <c r="AZ43" s="21"/>
      <c r="BA43" s="21"/>
      <c r="BB43" s="21"/>
      <c r="BC43" s="21"/>
      <c r="BD43" s="21"/>
      <c r="BE43" s="21"/>
      <c r="BF43" s="21"/>
      <c r="BG43" s="21"/>
      <c r="BH43" s="27"/>
      <c r="BI43" s="21"/>
      <c r="BJ43" s="21"/>
      <c r="BK43" s="21"/>
      <c r="BL43" s="20"/>
      <c r="BM43" s="13"/>
      <c r="BO43" s="24"/>
      <c r="BP43" s="96"/>
      <c r="BQ43" s="96" t="s">
        <v>174</v>
      </c>
      <c r="BR43" s="96"/>
      <c r="BS43" s="96"/>
      <c r="BT43" s="96"/>
      <c r="BU43" s="96"/>
      <c r="BV43" s="8"/>
      <c r="BW43" s="8"/>
      <c r="BX43" s="8"/>
      <c r="BY43" s="8"/>
      <c r="BZ43" s="8"/>
      <c r="CA43" s="8"/>
      <c r="CB43" s="8"/>
      <c r="CC43" s="8"/>
      <c r="CD43" s="8"/>
      <c r="CE43" s="24"/>
      <c r="CF43" s="8"/>
      <c r="CG43" s="8"/>
      <c r="CH43" s="8"/>
      <c r="CI43" s="8"/>
      <c r="CJ43" s="8"/>
      <c r="CT43" s="13"/>
    </row>
    <row r="44" spans="1:98" s="11" customFormat="1">
      <c r="A44" s="25"/>
      <c r="B44" s="27"/>
      <c r="C44" s="21"/>
      <c r="D44" s="21"/>
      <c r="E44" s="21"/>
      <c r="F44" s="21"/>
      <c r="G44" s="21"/>
      <c r="H44" s="20"/>
      <c r="P44" s="24"/>
      <c r="Q44" s="21"/>
      <c r="R44" s="21"/>
      <c r="S44" s="21"/>
      <c r="T44" s="21"/>
      <c r="U44" s="21"/>
      <c r="V44" s="21"/>
      <c r="W44" s="27"/>
      <c r="X44" s="21"/>
      <c r="Y44" s="21"/>
      <c r="Z44" s="21"/>
      <c r="AA44" s="21"/>
      <c r="AB44" s="21"/>
      <c r="AC44" s="20"/>
      <c r="AD44" s="21"/>
      <c r="AE44" s="21"/>
      <c r="AF44" s="21"/>
      <c r="AG44" s="21"/>
      <c r="AH44" s="21"/>
      <c r="AI44" s="21"/>
      <c r="AJ44" s="21"/>
      <c r="AK44" s="27"/>
      <c r="AL44" s="21"/>
      <c r="AM44" s="21"/>
      <c r="AN44" s="21"/>
      <c r="AO44" s="21"/>
      <c r="AP44" s="21"/>
      <c r="AQ44" s="21"/>
      <c r="AR44" s="27"/>
      <c r="AS44" s="59"/>
      <c r="AT44" s="59"/>
      <c r="AU44" s="52"/>
      <c r="AV44" s="52"/>
      <c r="AW44" s="21"/>
      <c r="AX44" s="21"/>
      <c r="AY44" s="21"/>
      <c r="AZ44" s="21"/>
      <c r="BA44" s="21"/>
      <c r="BB44" s="21"/>
      <c r="BC44" s="21"/>
      <c r="BD44" s="21"/>
      <c r="BE44" s="21"/>
      <c r="BF44" s="21"/>
      <c r="BG44" s="21"/>
      <c r="BH44" s="27"/>
      <c r="BI44" s="21"/>
      <c r="BJ44" s="21"/>
      <c r="BK44" s="21"/>
      <c r="BL44" s="20"/>
      <c r="BM44" s="13"/>
      <c r="BO44" s="24"/>
      <c r="BP44" s="96"/>
      <c r="BQ44" s="96" t="s">
        <v>175</v>
      </c>
      <c r="BR44" s="96"/>
      <c r="BS44" s="96"/>
      <c r="BT44" s="96"/>
      <c r="BU44" s="96"/>
      <c r="BV44" s="8"/>
      <c r="BW44" s="8"/>
      <c r="BX44" s="8"/>
      <c r="BY44" s="8"/>
      <c r="BZ44" s="8"/>
      <c r="CA44" s="8"/>
      <c r="CB44" s="8"/>
      <c r="CC44" s="8"/>
      <c r="CD44" s="8"/>
      <c r="CE44" s="24" t="s">
        <v>176</v>
      </c>
      <c r="CF44" s="8"/>
      <c r="CG44" s="8"/>
      <c r="CH44" s="8"/>
      <c r="CI44" s="8"/>
      <c r="CJ44" s="8"/>
      <c r="CT44" s="13"/>
    </row>
    <row r="45" spans="1:98" s="11" customFormat="1">
      <c r="A45" s="25"/>
      <c r="B45" s="27"/>
      <c r="C45" s="21"/>
      <c r="D45" s="21"/>
      <c r="E45" s="21"/>
      <c r="F45" s="21"/>
      <c r="G45" s="21"/>
      <c r="H45" s="20"/>
      <c r="P45" s="24"/>
      <c r="Q45" s="21"/>
      <c r="R45" s="21"/>
      <c r="S45" s="21"/>
      <c r="T45" s="21"/>
      <c r="U45" s="21"/>
      <c r="V45" s="21"/>
      <c r="W45" s="27"/>
      <c r="X45" s="21"/>
      <c r="Y45" s="21"/>
      <c r="Z45" s="21"/>
      <c r="AA45" s="21"/>
      <c r="AB45" s="21"/>
      <c r="AC45" s="20"/>
      <c r="AD45" s="21"/>
      <c r="AE45" s="21"/>
      <c r="AF45" s="21"/>
      <c r="AG45" s="21"/>
      <c r="AH45" s="21"/>
      <c r="AI45" s="21"/>
      <c r="AJ45" s="21"/>
      <c r="AK45" s="27"/>
      <c r="AL45" s="21"/>
      <c r="AM45" s="21"/>
      <c r="AN45" s="21"/>
      <c r="AO45" s="21"/>
      <c r="AP45" s="21"/>
      <c r="AQ45" s="21"/>
      <c r="AR45" s="27"/>
      <c r="AS45" s="80" t="s">
        <v>177</v>
      </c>
      <c r="AT45" s="70"/>
      <c r="AU45" s="70"/>
      <c r="AV45" s="70"/>
      <c r="AW45" s="70"/>
      <c r="AX45" s="70"/>
      <c r="AY45" s="70"/>
      <c r="AZ45" s="70"/>
      <c r="BA45" s="21"/>
      <c r="BB45" s="21"/>
      <c r="BC45" s="21"/>
      <c r="BD45" s="21"/>
      <c r="BE45" s="21"/>
      <c r="BF45" s="21"/>
      <c r="BG45" s="21"/>
      <c r="BH45" s="27"/>
      <c r="BI45" s="21"/>
      <c r="BJ45" s="21"/>
      <c r="BK45" s="21"/>
      <c r="BL45" s="20"/>
      <c r="BM45" s="13"/>
      <c r="BO45" s="24"/>
      <c r="BP45" s="8"/>
      <c r="BQ45" s="8"/>
      <c r="BR45" s="8"/>
      <c r="BS45" s="8"/>
      <c r="BT45" s="8"/>
      <c r="BU45" s="8"/>
      <c r="BV45" s="8"/>
      <c r="BW45" s="8"/>
      <c r="BX45" s="8"/>
      <c r="BY45" s="8"/>
      <c r="BZ45" s="8"/>
      <c r="CA45" s="8"/>
      <c r="CB45" s="8"/>
      <c r="CC45" s="8"/>
      <c r="CD45" s="8"/>
      <c r="CE45" s="24"/>
      <c r="CF45" s="8" t="s">
        <v>178</v>
      </c>
      <c r="CG45" s="8"/>
      <c r="CH45" s="8"/>
      <c r="CI45" s="8"/>
      <c r="CJ45" s="8"/>
      <c r="CT45" s="13"/>
    </row>
    <row r="46" spans="1:98" s="11" customFormat="1">
      <c r="A46" s="25"/>
      <c r="B46" s="27"/>
      <c r="C46" s="21"/>
      <c r="D46" s="21"/>
      <c r="E46" s="21"/>
      <c r="F46" s="21"/>
      <c r="G46" s="21"/>
      <c r="H46" s="20"/>
      <c r="P46" s="24"/>
      <c r="Q46" s="21"/>
      <c r="R46" s="21"/>
      <c r="S46" s="21"/>
      <c r="T46" s="21"/>
      <c r="U46" s="21"/>
      <c r="V46" s="21"/>
      <c r="W46" s="27"/>
      <c r="X46" s="21"/>
      <c r="Y46" s="21"/>
      <c r="Z46" s="21"/>
      <c r="AA46" s="21"/>
      <c r="AB46" s="21"/>
      <c r="AC46" s="20"/>
      <c r="AD46" s="21"/>
      <c r="AE46" s="21"/>
      <c r="AF46" s="21"/>
      <c r="AG46" s="21"/>
      <c r="AH46" s="21"/>
      <c r="AI46" s="21"/>
      <c r="AJ46" s="21"/>
      <c r="AK46" s="27"/>
      <c r="AL46" s="21"/>
      <c r="AM46" s="21"/>
      <c r="AN46" s="21"/>
      <c r="AO46" s="21"/>
      <c r="AP46" s="21"/>
      <c r="AQ46" s="21"/>
      <c r="AR46" s="27"/>
      <c r="AS46" s="70"/>
      <c r="AT46" s="70" t="s">
        <v>179</v>
      </c>
      <c r="AU46" s="70"/>
      <c r="AV46" s="70"/>
      <c r="AW46" s="70"/>
      <c r="AX46" s="70"/>
      <c r="AY46" s="70"/>
      <c r="AZ46" s="70"/>
      <c r="BA46" s="21"/>
      <c r="BB46" s="21"/>
      <c r="BC46" s="21"/>
      <c r="BD46" s="21"/>
      <c r="BE46" s="21"/>
      <c r="BF46" s="21"/>
      <c r="BG46" s="21"/>
      <c r="BH46" s="27"/>
      <c r="BI46" s="21"/>
      <c r="BJ46" s="21"/>
      <c r="BK46" s="21"/>
      <c r="BL46" s="20"/>
      <c r="BM46" s="13"/>
      <c r="BO46" s="29"/>
      <c r="CE46" s="29"/>
      <c r="CG46" s="8"/>
      <c r="CH46" s="8"/>
      <c r="CI46" s="8"/>
      <c r="CT46" s="13"/>
    </row>
    <row r="47" spans="1:98" s="11" customFormat="1" ht="13.5" customHeight="1">
      <c r="A47" s="25"/>
      <c r="B47" s="27"/>
      <c r="C47" s="21"/>
      <c r="D47" s="21"/>
      <c r="E47" s="21"/>
      <c r="F47" s="21"/>
      <c r="G47" s="21"/>
      <c r="H47" s="20"/>
      <c r="P47" s="24"/>
      <c r="Q47"/>
      <c r="R47"/>
      <c r="S47"/>
      <c r="T47"/>
      <c r="U47"/>
      <c r="V47"/>
      <c r="W47" s="28"/>
      <c r="X47"/>
      <c r="Y47"/>
      <c r="Z47"/>
      <c r="AA47"/>
      <c r="AB47"/>
      <c r="AC47" s="19"/>
      <c r="AD47"/>
      <c r="AE47"/>
      <c r="AF47"/>
      <c r="AG47"/>
      <c r="AH47"/>
      <c r="AI47"/>
      <c r="AJ47" s="21"/>
      <c r="AK47" s="28"/>
      <c r="AL47"/>
      <c r="AM47"/>
      <c r="AN47"/>
      <c r="AO47"/>
      <c r="AP47"/>
      <c r="AQ47" s="21"/>
      <c r="AR47" s="27"/>
      <c r="AS47" s="70"/>
      <c r="AT47" s="79" t="s">
        <v>118</v>
      </c>
      <c r="AU47" s="92" t="s">
        <v>180</v>
      </c>
      <c r="AV47" s="70"/>
      <c r="AW47" s="70"/>
      <c r="AX47" s="70"/>
      <c r="AY47" s="70"/>
      <c r="AZ47" s="70"/>
      <c r="BA47" s="70"/>
      <c r="BB47" s="70"/>
      <c r="BC47" s="70"/>
      <c r="BD47" s="70"/>
      <c r="BE47" s="70"/>
      <c r="BF47" s="70"/>
      <c r="BG47" s="70"/>
      <c r="BH47" s="27"/>
      <c r="BL47" s="13"/>
      <c r="BM47" s="13"/>
      <c r="BO47" s="24"/>
      <c r="BV47" s="96"/>
      <c r="BW47" s="96"/>
      <c r="BX47" s="96"/>
      <c r="BY47" s="96"/>
      <c r="BZ47" s="8"/>
      <c r="CA47" s="8"/>
      <c r="CB47" s="8"/>
      <c r="CC47" s="8"/>
      <c r="CD47" s="8"/>
      <c r="CE47" s="24"/>
      <c r="CF47" s="8"/>
      <c r="CG47" s="8"/>
      <c r="CT47" s="13"/>
    </row>
    <row r="48" spans="1:98" s="11" customFormat="1">
      <c r="A48" s="25"/>
      <c r="B48" s="27"/>
      <c r="C48" s="21"/>
      <c r="D48" s="21"/>
      <c r="E48" s="21"/>
      <c r="F48" s="21"/>
      <c r="G48" s="21"/>
      <c r="H48" s="20"/>
      <c r="P48" s="24"/>
      <c r="W48" s="29"/>
      <c r="AC48" s="13"/>
      <c r="AJ48" s="21"/>
      <c r="AK48" s="84"/>
      <c r="AL48" s="70"/>
      <c r="AM48" s="70"/>
      <c r="AN48" s="70"/>
      <c r="AO48" s="70"/>
      <c r="AP48" s="70"/>
      <c r="AQ48" s="21"/>
      <c r="AR48" s="27"/>
      <c r="AS48" s="70"/>
      <c r="AT48" s="11" t="s">
        <v>118</v>
      </c>
      <c r="AU48" s="70" t="s">
        <v>181</v>
      </c>
      <c r="AV48" s="70"/>
      <c r="AW48" s="66"/>
      <c r="AX48" s="66"/>
      <c r="AY48" s="66"/>
      <c r="AZ48" s="66"/>
      <c r="BA48" s="70"/>
      <c r="BB48" s="70"/>
      <c r="BC48" s="70"/>
      <c r="BD48" s="70"/>
      <c r="BE48" s="70"/>
      <c r="BF48" s="70"/>
      <c r="BG48" s="70"/>
      <c r="BH48" s="29"/>
      <c r="BL48" s="13"/>
      <c r="BM48" s="13"/>
      <c r="BO48" s="24"/>
      <c r="BV48" s="96"/>
      <c r="BW48" s="96"/>
      <c r="BX48" s="96"/>
      <c r="BY48" s="96"/>
      <c r="BZ48" s="8"/>
      <c r="CA48" s="8"/>
      <c r="CB48" s="8"/>
      <c r="CC48" s="8"/>
      <c r="CD48" s="8"/>
      <c r="CE48" s="24"/>
      <c r="CF48" s="8"/>
      <c r="CG48" s="8"/>
      <c r="CT48" s="13"/>
    </row>
    <row r="49" spans="1:98" s="11" customFormat="1">
      <c r="A49" s="25"/>
      <c r="B49" s="27"/>
      <c r="C49" s="21"/>
      <c r="D49" s="21"/>
      <c r="E49" s="21"/>
      <c r="F49" s="21"/>
      <c r="G49" s="21"/>
      <c r="H49" s="20"/>
      <c r="P49" s="24"/>
      <c r="W49" s="29"/>
      <c r="AC49" s="13"/>
      <c r="AJ49" s="21"/>
      <c r="AK49" s="84"/>
      <c r="AL49" s="70"/>
      <c r="AM49" s="70"/>
      <c r="AN49" s="70"/>
      <c r="AO49" s="70"/>
      <c r="AP49" s="70"/>
      <c r="AQ49" s="21"/>
      <c r="AR49" s="27"/>
      <c r="AS49" s="70"/>
      <c r="AT49" s="11" t="s">
        <v>118</v>
      </c>
      <c r="AU49" s="70" t="s">
        <v>182</v>
      </c>
      <c r="AV49" s="70"/>
      <c r="AW49" s="66"/>
      <c r="AX49" s="66"/>
      <c r="AY49" s="66"/>
      <c r="AZ49" s="66"/>
      <c r="BA49" s="70"/>
      <c r="BB49" s="70"/>
      <c r="BC49" s="70"/>
      <c r="BD49" s="70"/>
      <c r="BE49" s="70"/>
      <c r="BF49" s="70"/>
      <c r="BG49" s="70"/>
      <c r="BH49" s="29"/>
      <c r="BL49" s="13"/>
      <c r="BM49" s="13"/>
      <c r="BO49" s="24"/>
      <c r="BV49" s="96"/>
      <c r="BW49" s="96"/>
      <c r="BX49" s="96"/>
      <c r="BY49" s="96"/>
      <c r="BZ49" s="8"/>
      <c r="CA49" s="8"/>
      <c r="CB49" s="8"/>
      <c r="CC49" s="8"/>
      <c r="CD49" s="8"/>
      <c r="CE49" s="24"/>
      <c r="CF49" s="8"/>
      <c r="CG49" s="8"/>
      <c r="CT49" s="13"/>
    </row>
    <row r="50" spans="1:98" ht="14.45">
      <c r="A50" s="24"/>
      <c r="B50" s="27"/>
      <c r="E50" s="21"/>
      <c r="F50" s="21"/>
      <c r="G50" s="21"/>
      <c r="H50" s="20"/>
      <c r="P50" s="24"/>
      <c r="S50" s="21"/>
      <c r="W50" s="24"/>
      <c r="AC50" s="14"/>
      <c r="AJ50" s="21"/>
      <c r="AK50" s="71"/>
      <c r="AL50" s="66"/>
      <c r="AM50" s="66"/>
      <c r="AN50" s="66"/>
      <c r="AO50" s="66"/>
      <c r="AP50" s="66"/>
      <c r="AQ50" s="21"/>
      <c r="AR50" s="27"/>
      <c r="AU50" s="8"/>
      <c r="BA50" s="66"/>
      <c r="BB50" s="66"/>
      <c r="BC50" s="66"/>
      <c r="BD50" s="66"/>
      <c r="BE50" s="66"/>
      <c r="BF50" s="66"/>
      <c r="BG50" s="66"/>
      <c r="BH50" s="24"/>
      <c r="BL50" s="14"/>
      <c r="BM50" s="14"/>
      <c r="BO50" s="24"/>
      <c r="BP50" s="11"/>
      <c r="BQ50" s="11"/>
      <c r="BR50" s="11"/>
      <c r="BS50" s="11"/>
      <c r="BT50" s="11"/>
      <c r="BU50" s="11"/>
      <c r="BV50" s="96"/>
      <c r="BW50" s="96"/>
      <c r="BX50" s="96"/>
      <c r="BY50" s="96"/>
      <c r="CE50" s="24"/>
      <c r="CH50" s="11"/>
      <c r="CI50" s="11"/>
      <c r="CJ50" s="11"/>
      <c r="CK50" s="11"/>
      <c r="CL50" s="11"/>
      <c r="CM50" s="11"/>
      <c r="CN50" s="11"/>
      <c r="CO50" s="11"/>
      <c r="CP50" s="11"/>
      <c r="CQ50" s="11"/>
      <c r="CR50" s="11"/>
      <c r="CS50" s="11"/>
      <c r="CT50" s="13"/>
    </row>
    <row r="51" spans="1:98" ht="14.45">
      <c r="A51" s="24"/>
      <c r="B51" s="27"/>
      <c r="E51" s="21"/>
      <c r="F51" s="21"/>
      <c r="G51" s="21"/>
      <c r="H51" s="20"/>
      <c r="P51" s="24"/>
      <c r="Q51" s="50"/>
      <c r="R51" s="21"/>
      <c r="S51" s="21"/>
      <c r="W51" s="24"/>
      <c r="AC51" s="14"/>
      <c r="AJ51" s="21"/>
      <c r="AK51" s="71"/>
      <c r="AL51" s="66"/>
      <c r="AM51" s="66"/>
      <c r="AN51" s="66"/>
      <c r="AO51" s="66"/>
      <c r="AP51" s="66"/>
      <c r="AQ51" s="21"/>
      <c r="AR51" s="27"/>
      <c r="BF51" s="66"/>
      <c r="BG51" s="66"/>
      <c r="BH51" s="24"/>
      <c r="BL51" s="14"/>
      <c r="BM51" s="14"/>
      <c r="BO51" s="24"/>
      <c r="BP51" s="11"/>
      <c r="BQ51" s="11"/>
      <c r="BR51" s="11"/>
      <c r="BS51" s="11"/>
      <c r="BT51" s="11"/>
      <c r="BU51" s="11"/>
      <c r="BV51" s="96"/>
      <c r="BW51" s="96"/>
      <c r="BX51" s="96"/>
      <c r="BY51" s="96"/>
      <c r="CE51" s="24"/>
      <c r="CH51" s="11"/>
      <c r="CI51" s="11"/>
      <c r="CJ51" s="11"/>
      <c r="CK51" s="11"/>
      <c r="CL51" s="11"/>
      <c r="CM51" s="11"/>
      <c r="CT51" s="14"/>
    </row>
    <row r="52" spans="1:98" ht="14.45">
      <c r="A52" s="24"/>
      <c r="B52" s="24"/>
      <c r="H52" s="14"/>
      <c r="P52" s="24"/>
      <c r="W52" s="24"/>
      <c r="AC52" s="14"/>
      <c r="AK52" s="71"/>
      <c r="AL52" s="66"/>
      <c r="AM52" s="66"/>
      <c r="AN52" s="66"/>
      <c r="AO52" s="66"/>
      <c r="AP52" s="66"/>
      <c r="AQ52" s="66"/>
      <c r="AR52" s="71"/>
      <c r="AS52" s="75"/>
      <c r="AT52" s="66"/>
      <c r="AV52" s="66"/>
      <c r="AW52" s="66"/>
      <c r="AX52" s="66"/>
      <c r="AY52" s="66"/>
      <c r="AZ52" s="66"/>
      <c r="BA52" s="66"/>
      <c r="BB52" s="66"/>
      <c r="BC52" s="66"/>
      <c r="BD52" s="66"/>
      <c r="BE52" s="66"/>
      <c r="BF52" s="66"/>
      <c r="BG52" s="66"/>
      <c r="BH52" s="24"/>
      <c r="BL52" s="14"/>
      <c r="BM52" s="14"/>
      <c r="BO52" s="24"/>
      <c r="BP52" s="11"/>
      <c r="BQ52" s="11"/>
      <c r="BR52" s="11"/>
      <c r="BS52" s="11"/>
      <c r="BT52" s="11"/>
      <c r="BU52" s="11"/>
      <c r="BV52" s="96"/>
      <c r="BW52" s="96"/>
      <c r="BX52" s="96"/>
      <c r="BY52" s="96"/>
      <c r="CE52" s="24"/>
      <c r="CH52" s="11"/>
      <c r="CI52" s="11"/>
      <c r="CJ52" s="11"/>
      <c r="CK52" s="11"/>
      <c r="CL52" s="11"/>
      <c r="CM52" s="11"/>
      <c r="CT52" s="14"/>
    </row>
    <row r="53" spans="1:98">
      <c r="A53" s="24"/>
      <c r="B53" s="24"/>
      <c r="H53" s="14"/>
      <c r="P53" s="24"/>
      <c r="W53" s="24"/>
      <c r="AC53" s="14"/>
      <c r="AK53" s="71"/>
      <c r="AL53" s="66"/>
      <c r="AM53" s="66"/>
      <c r="AN53" s="66"/>
      <c r="AO53" s="66"/>
      <c r="AP53" s="66"/>
      <c r="AQ53" s="66"/>
      <c r="AR53" s="71"/>
      <c r="AS53" s="80" t="s">
        <v>183</v>
      </c>
      <c r="AT53" s="70"/>
      <c r="AU53" s="70"/>
      <c r="AV53" s="70"/>
      <c r="AW53" s="66"/>
      <c r="AX53" s="66"/>
      <c r="AY53" s="66"/>
      <c r="AZ53" s="66"/>
      <c r="BA53" s="66"/>
      <c r="BB53" s="66"/>
      <c r="BC53" s="66"/>
      <c r="BD53" s="66"/>
      <c r="BE53" s="66"/>
      <c r="BF53" s="66"/>
      <c r="BG53" s="66"/>
      <c r="BH53" s="24"/>
      <c r="BL53" s="14"/>
      <c r="BM53" s="14"/>
      <c r="BO53" s="24"/>
      <c r="BP53" s="11"/>
      <c r="BQ53" s="11"/>
      <c r="BR53" s="11"/>
      <c r="BS53" s="11"/>
      <c r="BT53" s="11"/>
      <c r="BU53" s="11"/>
      <c r="BV53" s="96"/>
      <c r="BW53" s="96"/>
      <c r="BX53" s="96"/>
      <c r="BY53" s="96"/>
      <c r="CE53" s="24"/>
      <c r="CH53" s="11"/>
      <c r="CI53" s="11"/>
      <c r="CJ53" s="11"/>
      <c r="CK53" s="11"/>
      <c r="CL53" s="11"/>
      <c r="CM53" s="11"/>
      <c r="CT53" s="14"/>
    </row>
    <row r="54" spans="1:98">
      <c r="A54" s="24"/>
      <c r="B54" s="24"/>
      <c r="H54" s="14"/>
      <c r="P54" s="24"/>
      <c r="W54" s="24"/>
      <c r="AC54" s="14"/>
      <c r="AK54" s="71"/>
      <c r="AL54" s="66"/>
      <c r="AM54" s="66"/>
      <c r="AN54" s="66"/>
      <c r="AO54" s="66"/>
      <c r="AP54" s="66"/>
      <c r="AQ54" s="66"/>
      <c r="AR54" s="71"/>
      <c r="AS54" s="70"/>
      <c r="AT54" s="66" t="s">
        <v>184</v>
      </c>
      <c r="AU54" s="70"/>
      <c r="AV54" s="70"/>
      <c r="AW54" s="66"/>
      <c r="AX54" s="66"/>
      <c r="AY54" s="66"/>
      <c r="AZ54" s="66"/>
      <c r="BA54" s="66"/>
      <c r="BB54" s="66"/>
      <c r="BC54" s="66"/>
      <c r="BD54" s="66"/>
      <c r="BE54" s="66"/>
      <c r="BF54" s="66"/>
      <c r="BG54" s="66"/>
      <c r="BH54" s="24"/>
      <c r="BL54" s="14"/>
      <c r="BM54" s="14"/>
      <c r="BO54" s="24"/>
      <c r="BP54" s="11"/>
      <c r="BQ54" s="11"/>
      <c r="BR54" s="11"/>
      <c r="BS54" s="11"/>
      <c r="BT54" s="11"/>
      <c r="BU54" s="11"/>
      <c r="BV54" s="96"/>
      <c r="BW54" s="96"/>
      <c r="BX54" s="96"/>
      <c r="BY54" s="96"/>
      <c r="CE54" s="24"/>
      <c r="CH54" s="11"/>
      <c r="CI54" s="11"/>
      <c r="CJ54" s="11"/>
      <c r="CK54" s="11"/>
      <c r="CL54" s="11"/>
      <c r="CM54" s="11"/>
      <c r="CT54" s="14"/>
    </row>
    <row r="55" spans="1:98" ht="14.45">
      <c r="A55" s="24"/>
      <c r="B55" s="24"/>
      <c r="H55" s="14"/>
      <c r="P55" s="24"/>
      <c r="W55" s="24"/>
      <c r="AC55" s="14"/>
      <c r="AK55" s="71"/>
      <c r="AL55" s="66"/>
      <c r="AM55" s="66"/>
      <c r="AN55" s="66"/>
      <c r="AO55" s="66"/>
      <c r="AP55" s="66"/>
      <c r="AQ55" s="66"/>
      <c r="AR55" s="71"/>
      <c r="AT55" s="49"/>
      <c r="AU55" s="49"/>
      <c r="BG55" s="66"/>
      <c r="BH55" s="24"/>
      <c r="BL55" s="14"/>
      <c r="BM55" s="14"/>
      <c r="BO55" s="24"/>
      <c r="CE55" s="24"/>
      <c r="CT55" s="14"/>
    </row>
    <row r="56" spans="1:98" ht="14.45">
      <c r="A56" s="24"/>
      <c r="B56" s="24"/>
      <c r="H56" s="14"/>
      <c r="P56" s="24"/>
      <c r="W56" s="24"/>
      <c r="AC56" s="14"/>
      <c r="AK56" s="71"/>
      <c r="AL56" s="66"/>
      <c r="AM56" s="66"/>
      <c r="AN56" s="66"/>
      <c r="AO56" s="66"/>
      <c r="AP56" s="66"/>
      <c r="AQ56" s="66"/>
      <c r="AR56" s="71"/>
      <c r="AU56" s="8"/>
      <c r="BG56" s="66"/>
      <c r="BH56" s="24"/>
      <c r="BL56" s="14"/>
      <c r="BM56" s="14"/>
      <c r="BO56" s="24"/>
      <c r="CE56" s="24"/>
      <c r="CT56" s="14"/>
    </row>
    <row r="57" spans="1:98" ht="14.45">
      <c r="A57" s="24"/>
      <c r="B57" s="24"/>
      <c r="H57" s="14"/>
      <c r="P57" s="24"/>
      <c r="W57" s="24"/>
      <c r="AC57" s="14"/>
      <c r="AK57" s="71"/>
      <c r="AL57" s="66"/>
      <c r="AM57" s="66"/>
      <c r="AN57" s="66"/>
      <c r="AO57" s="66"/>
      <c r="AP57" s="66"/>
      <c r="AQ57" s="66"/>
      <c r="AR57" s="71"/>
      <c r="AU57" s="8"/>
      <c r="BG57" s="66"/>
      <c r="BH57" s="24"/>
      <c r="BL57" s="14"/>
      <c r="BM57" s="14"/>
      <c r="BO57" s="24"/>
      <c r="CE57" s="24"/>
      <c r="CT57" s="14"/>
    </row>
    <row r="58" spans="1:98">
      <c r="A58" s="24"/>
      <c r="B58" s="24"/>
      <c r="H58" s="14"/>
      <c r="P58" s="24"/>
      <c r="W58" s="24"/>
      <c r="AC58" s="14"/>
      <c r="AK58" s="71"/>
      <c r="AL58" s="66"/>
      <c r="AM58" s="66"/>
      <c r="AN58" s="66"/>
      <c r="AO58" s="66"/>
      <c r="AP58" s="66"/>
      <c r="AQ58" s="66"/>
      <c r="AR58" s="71"/>
      <c r="AS58" s="80" t="s">
        <v>185</v>
      </c>
      <c r="AT58" s="70"/>
      <c r="AU58" s="70"/>
      <c r="AV58" s="66"/>
      <c r="AW58" s="66"/>
      <c r="AX58" s="66"/>
      <c r="AY58" s="66"/>
      <c r="AZ58" s="66"/>
      <c r="BA58" s="66"/>
      <c r="BB58" s="66"/>
      <c r="BC58" s="66"/>
      <c r="BD58" s="66"/>
      <c r="BE58" s="66"/>
      <c r="BF58" s="66"/>
      <c r="BG58" s="66"/>
      <c r="BH58" s="24"/>
      <c r="BL58" s="14"/>
      <c r="BM58" s="14"/>
      <c r="BO58" s="24"/>
      <c r="CE58" s="24"/>
      <c r="CT58" s="14"/>
    </row>
    <row r="59" spans="1:98">
      <c r="A59" s="24"/>
      <c r="B59" s="24"/>
      <c r="H59" s="14"/>
      <c r="P59" s="24"/>
      <c r="W59" s="24"/>
      <c r="AC59" s="14"/>
      <c r="AK59" s="71"/>
      <c r="AL59" s="66"/>
      <c r="AM59" s="66"/>
      <c r="AN59" s="66"/>
      <c r="AO59" s="66"/>
      <c r="AP59" s="66"/>
      <c r="AQ59" s="66"/>
      <c r="AR59" s="71"/>
      <c r="AS59" s="70"/>
      <c r="AT59" s="8" t="s">
        <v>186</v>
      </c>
      <c r="AU59" s="8"/>
      <c r="AV59" s="66"/>
      <c r="AW59" s="66"/>
      <c r="AX59" s="66"/>
      <c r="AY59" s="66"/>
      <c r="AZ59" s="66"/>
      <c r="BA59" s="66"/>
      <c r="BB59" s="66"/>
      <c r="BC59" s="66"/>
      <c r="BD59" s="66"/>
      <c r="BE59" s="66"/>
      <c r="BF59" s="66"/>
      <c r="BG59" s="66"/>
      <c r="BH59" s="24"/>
      <c r="BL59" s="14"/>
      <c r="BM59" s="14"/>
      <c r="BO59" s="24"/>
      <c r="CE59" s="24"/>
      <c r="CT59" s="14"/>
    </row>
    <row r="60" spans="1:98">
      <c r="A60" s="24"/>
      <c r="B60" s="24"/>
      <c r="H60" s="14"/>
      <c r="P60" s="24"/>
      <c r="W60" s="24"/>
      <c r="AC60" s="14"/>
      <c r="AK60" s="71"/>
      <c r="AL60" s="66"/>
      <c r="AM60" s="66"/>
      <c r="AN60" s="66"/>
      <c r="AO60" s="66"/>
      <c r="AP60" s="66"/>
      <c r="AQ60" s="66"/>
      <c r="AR60" s="71"/>
      <c r="AS60" s="77"/>
      <c r="AU60" s="8"/>
      <c r="AV60" s="66"/>
      <c r="AW60" s="66"/>
      <c r="AX60" s="66"/>
      <c r="AY60" s="66"/>
      <c r="AZ60" s="66"/>
      <c r="BA60" s="66"/>
      <c r="BB60" s="66"/>
      <c r="BC60" s="66"/>
      <c r="BD60" s="66"/>
      <c r="BE60" s="66"/>
      <c r="BF60" s="66"/>
      <c r="BG60" s="66"/>
      <c r="BH60" s="24"/>
      <c r="BL60" s="14"/>
      <c r="BM60" s="14"/>
      <c r="BO60" s="24"/>
      <c r="CE60" s="24"/>
      <c r="CT60" s="14"/>
    </row>
    <row r="61" spans="1:98">
      <c r="A61" s="24"/>
      <c r="B61" s="24"/>
      <c r="H61" s="14"/>
      <c r="P61" s="24"/>
      <c r="W61" s="24"/>
      <c r="AC61" s="14"/>
      <c r="AK61" s="71"/>
      <c r="AL61" s="66"/>
      <c r="AM61" s="66"/>
      <c r="AN61" s="66"/>
      <c r="AO61" s="66"/>
      <c r="AP61" s="66"/>
      <c r="AQ61" s="66"/>
      <c r="AR61" s="71"/>
      <c r="AS61" s="66"/>
      <c r="AT61" s="70"/>
      <c r="AV61" s="66"/>
      <c r="AW61" s="66"/>
      <c r="AX61" s="66"/>
      <c r="AY61" s="66"/>
      <c r="AZ61" s="66"/>
      <c r="BA61" s="66"/>
      <c r="BB61" s="66"/>
      <c r="BC61" s="66"/>
      <c r="BD61" s="66"/>
      <c r="BE61" s="66"/>
      <c r="BF61" s="66"/>
      <c r="BG61" s="66"/>
      <c r="BH61" s="24"/>
      <c r="BL61" s="14"/>
      <c r="BM61" s="14"/>
      <c r="BO61" s="24"/>
      <c r="CE61" s="24"/>
      <c r="CT61" s="14"/>
    </row>
    <row r="62" spans="1:98">
      <c r="A62" s="24"/>
      <c r="B62" s="24"/>
      <c r="H62" s="14"/>
      <c r="P62" s="24"/>
      <c r="W62" s="24"/>
      <c r="AC62" s="14"/>
      <c r="AK62" s="71"/>
      <c r="AL62" s="66"/>
      <c r="AM62" s="66"/>
      <c r="AN62" s="66"/>
      <c r="AO62" s="66"/>
      <c r="AP62" s="66"/>
      <c r="AQ62" s="66"/>
      <c r="AR62" s="71"/>
      <c r="AS62" s="66"/>
      <c r="AT62" s="70"/>
      <c r="AV62" s="66"/>
      <c r="AW62" s="66"/>
      <c r="AX62" s="66"/>
      <c r="AY62" s="66"/>
      <c r="AZ62" s="66"/>
      <c r="BA62" s="66"/>
      <c r="BB62" s="66"/>
      <c r="BC62" s="66"/>
      <c r="BD62" s="66"/>
      <c r="BE62" s="66"/>
      <c r="BF62" s="66"/>
      <c r="BG62" s="66"/>
      <c r="BH62" s="24"/>
      <c r="BL62" s="14"/>
      <c r="BM62" s="14"/>
      <c r="BO62" s="24"/>
      <c r="CE62" s="24"/>
      <c r="CT62" s="14"/>
    </row>
    <row r="63" spans="1:98">
      <c r="A63" s="24"/>
      <c r="B63" s="24"/>
      <c r="H63" s="14"/>
      <c r="P63" s="24"/>
      <c r="W63" s="24"/>
      <c r="AC63" s="14"/>
      <c r="AK63" s="71"/>
      <c r="AL63" s="66"/>
      <c r="AM63" s="66"/>
      <c r="AN63" s="66"/>
      <c r="AO63" s="66"/>
      <c r="AP63" s="66"/>
      <c r="AQ63" s="66"/>
      <c r="AR63" s="71"/>
      <c r="AS63" s="66"/>
      <c r="AT63" s="78"/>
      <c r="AV63" s="66"/>
      <c r="AW63" s="66"/>
      <c r="AX63" s="66"/>
      <c r="AY63" s="66"/>
      <c r="AZ63" s="66"/>
      <c r="BA63" s="66"/>
      <c r="BB63" s="66"/>
      <c r="BC63" s="66"/>
      <c r="BD63" s="66"/>
      <c r="BE63" s="66"/>
      <c r="BF63" s="66"/>
      <c r="BG63" s="66"/>
      <c r="BH63" s="24"/>
      <c r="BL63" s="14"/>
      <c r="BM63" s="14"/>
      <c r="BO63" s="24"/>
      <c r="CE63" s="24"/>
      <c r="CT63" s="14"/>
    </row>
    <row r="64" spans="1:98">
      <c r="A64" s="24"/>
      <c r="B64" s="24"/>
      <c r="H64" s="14"/>
      <c r="P64" s="24"/>
      <c r="W64" s="24"/>
      <c r="AC64" s="14"/>
      <c r="AK64" s="71"/>
      <c r="AL64" s="66"/>
      <c r="AM64" s="66"/>
      <c r="AN64" s="66"/>
      <c r="AO64" s="66"/>
      <c r="AP64" s="66"/>
      <c r="AQ64" s="66"/>
      <c r="AR64" s="71"/>
      <c r="AS64" s="80" t="s">
        <v>187</v>
      </c>
      <c r="AT64" s="66"/>
      <c r="AV64" s="66"/>
      <c r="AW64" s="66"/>
      <c r="AX64" s="66"/>
      <c r="AY64" s="66"/>
      <c r="AZ64" s="66"/>
      <c r="BA64" s="66"/>
      <c r="BB64" s="66"/>
      <c r="BC64" s="66"/>
      <c r="BD64" s="66"/>
      <c r="BE64" s="66"/>
      <c r="BF64" s="66"/>
      <c r="BG64" s="66"/>
      <c r="BH64" s="24"/>
      <c r="BL64" s="14"/>
      <c r="BM64" s="14"/>
      <c r="BO64" s="24"/>
      <c r="CE64" s="24"/>
      <c r="CT64" s="14"/>
    </row>
    <row r="65" spans="1:98">
      <c r="A65" s="24"/>
      <c r="B65" s="24"/>
      <c r="H65" s="14"/>
      <c r="P65" s="24"/>
      <c r="W65" s="24"/>
      <c r="AC65" s="14"/>
      <c r="AK65" s="71"/>
      <c r="AL65" s="66"/>
      <c r="AM65" s="66"/>
      <c r="AN65" s="66"/>
      <c r="AO65" s="66"/>
      <c r="AP65" s="66"/>
      <c r="AQ65" s="66"/>
      <c r="AR65" s="71"/>
      <c r="AS65" s="77"/>
      <c r="AT65" s="8" t="s">
        <v>188</v>
      </c>
      <c r="AV65" s="66"/>
      <c r="AW65" s="66"/>
      <c r="AX65" s="66"/>
      <c r="AY65" s="66"/>
      <c r="AZ65" s="66"/>
      <c r="BA65" s="66"/>
      <c r="BB65" s="66"/>
      <c r="BC65" s="66"/>
      <c r="BD65" s="66"/>
      <c r="BE65" s="66"/>
      <c r="BF65" s="66"/>
      <c r="BG65" s="66"/>
      <c r="BH65" s="24"/>
      <c r="BL65" s="14"/>
      <c r="BM65" s="14"/>
      <c r="BO65" s="24"/>
      <c r="CE65" s="24"/>
      <c r="CT65" s="14"/>
    </row>
    <row r="66" spans="1:98">
      <c r="A66" s="24"/>
      <c r="B66" s="24"/>
      <c r="H66" s="14"/>
      <c r="P66" s="24"/>
      <c r="W66" s="24"/>
      <c r="AC66" s="14"/>
      <c r="AK66" s="71"/>
      <c r="AL66" s="66"/>
      <c r="AM66" s="66"/>
      <c r="AN66" s="66"/>
      <c r="AO66" s="66"/>
      <c r="AP66" s="66"/>
      <c r="AQ66" s="66"/>
      <c r="AR66" s="71"/>
      <c r="AS66" s="66"/>
      <c r="AV66" s="66"/>
      <c r="AW66" s="66"/>
      <c r="AX66" s="66"/>
      <c r="AY66" s="66"/>
      <c r="AZ66" s="66"/>
      <c r="BA66" s="66"/>
      <c r="BB66" s="66"/>
      <c r="BC66" s="66"/>
      <c r="BD66" s="66"/>
      <c r="BE66" s="66"/>
      <c r="BF66" s="66"/>
      <c r="BG66" s="66"/>
      <c r="BH66" s="24"/>
      <c r="BL66" s="14"/>
      <c r="BM66" s="14"/>
      <c r="BO66" s="24"/>
      <c r="CE66" s="24"/>
      <c r="CT66" s="14"/>
    </row>
    <row r="67" spans="1:98">
      <c r="A67" s="24"/>
      <c r="B67" s="24"/>
      <c r="H67" s="14"/>
      <c r="P67" s="24"/>
      <c r="W67" s="24"/>
      <c r="AD67" s="24"/>
      <c r="AK67" s="71"/>
      <c r="AL67" s="66"/>
      <c r="AM67" s="66"/>
      <c r="AN67" s="66"/>
      <c r="AO67" s="66"/>
      <c r="AP67" s="66"/>
      <c r="AQ67" s="66"/>
      <c r="AR67" s="71"/>
      <c r="AS67" s="66"/>
      <c r="AV67" s="66"/>
      <c r="AW67" s="66"/>
      <c r="AX67" s="66"/>
      <c r="AY67" s="66"/>
      <c r="AZ67" s="66"/>
      <c r="BA67" s="66"/>
      <c r="BB67" s="66"/>
      <c r="BC67" s="66"/>
      <c r="BD67" s="66"/>
      <c r="BE67" s="66"/>
      <c r="BF67" s="66"/>
      <c r="BG67" s="66"/>
      <c r="BH67" s="24"/>
      <c r="BL67" s="14"/>
      <c r="BM67" s="14"/>
      <c r="BO67" s="24"/>
      <c r="CE67" s="24"/>
      <c r="CT67" s="14"/>
    </row>
    <row r="68" spans="1:98">
      <c r="A68" s="24"/>
      <c r="B68" s="24"/>
      <c r="H68" s="14"/>
      <c r="P68" s="24"/>
      <c r="W68" s="24"/>
      <c r="AC68" s="14"/>
      <c r="AK68" s="71"/>
      <c r="AL68" s="66"/>
      <c r="AM68" s="66"/>
      <c r="AN68" s="66"/>
      <c r="AO68" s="66"/>
      <c r="AP68" s="66"/>
      <c r="AQ68" s="66"/>
      <c r="AR68" s="71"/>
      <c r="AS68" s="66"/>
      <c r="AT68" s="70"/>
      <c r="AV68" s="66"/>
      <c r="AW68" s="66"/>
      <c r="AX68" s="66"/>
      <c r="AY68" s="66"/>
      <c r="AZ68" s="66"/>
      <c r="BA68" s="66"/>
      <c r="BB68" s="66"/>
      <c r="BC68" s="66"/>
      <c r="BD68" s="66"/>
      <c r="BE68" s="66"/>
      <c r="BF68" s="66"/>
      <c r="BG68" s="66"/>
      <c r="BH68" s="24"/>
      <c r="BL68" s="14"/>
      <c r="BM68" s="14"/>
      <c r="BO68" s="24"/>
      <c r="CE68" s="24"/>
      <c r="CT68" s="14"/>
    </row>
    <row r="69" spans="1:98">
      <c r="A69" s="24"/>
      <c r="B69" s="24"/>
      <c r="H69" s="14"/>
      <c r="P69" s="24"/>
      <c r="W69" s="24"/>
      <c r="AC69" s="14"/>
      <c r="AK69" s="71"/>
      <c r="AL69" s="66"/>
      <c r="AM69" s="66"/>
      <c r="AN69" s="66"/>
      <c r="AO69" s="66"/>
      <c r="AP69" s="66"/>
      <c r="AQ69" s="66"/>
      <c r="AR69" s="71"/>
      <c r="AU69" s="8"/>
      <c r="AY69" s="66"/>
      <c r="AZ69" s="66"/>
      <c r="BA69" s="66"/>
      <c r="BB69" s="66"/>
      <c r="BC69" s="66"/>
      <c r="BD69" s="66"/>
      <c r="BE69" s="66"/>
      <c r="BF69" s="66"/>
      <c r="BG69" s="66"/>
      <c r="BH69" s="24"/>
      <c r="BL69" s="14"/>
      <c r="BM69" s="14"/>
      <c r="BO69" s="24"/>
      <c r="CE69" s="24"/>
      <c r="CT69" s="14"/>
    </row>
    <row r="70" spans="1:98">
      <c r="A70" s="24"/>
      <c r="B70" s="24"/>
      <c r="H70" s="14"/>
      <c r="P70" s="24"/>
      <c r="W70" s="24"/>
      <c r="AC70" s="14"/>
      <c r="AK70" s="71"/>
      <c r="AL70" s="66"/>
      <c r="AM70" s="66"/>
      <c r="AN70" s="66"/>
      <c r="AO70" s="66"/>
      <c r="AP70" s="66"/>
      <c r="AQ70" s="66"/>
      <c r="AR70" s="71"/>
      <c r="AU70" s="8"/>
      <c r="AY70" s="66"/>
      <c r="AZ70" s="66"/>
      <c r="BA70" s="66"/>
      <c r="BB70" s="66"/>
      <c r="BC70" s="66"/>
      <c r="BD70" s="66"/>
      <c r="BE70" s="66"/>
      <c r="BF70" s="66"/>
      <c r="BG70" s="66"/>
      <c r="BH70" s="24"/>
      <c r="BL70" s="14"/>
      <c r="BM70" s="14"/>
      <c r="BO70" s="24"/>
      <c r="CE70" s="24"/>
      <c r="CT70" s="14"/>
    </row>
    <row r="71" spans="1:98">
      <c r="A71" s="24"/>
      <c r="B71" s="24"/>
      <c r="H71" s="14"/>
      <c r="P71" s="28"/>
      <c r="Q71"/>
      <c r="R71"/>
      <c r="S71"/>
      <c r="T71"/>
      <c r="U71"/>
      <c r="V71"/>
      <c r="W71" s="24"/>
      <c r="X71"/>
      <c r="Y71"/>
      <c r="Z71"/>
      <c r="AA71"/>
      <c r="AB71"/>
      <c r="AC71" s="14"/>
      <c r="AD71"/>
      <c r="AE71"/>
      <c r="AF71"/>
      <c r="AG71"/>
      <c r="AH71"/>
      <c r="AI71"/>
      <c r="AJ71"/>
      <c r="AK71" s="28"/>
      <c r="AL71"/>
      <c r="AM71"/>
      <c r="AN71"/>
      <c r="AO71"/>
      <c r="AP71"/>
      <c r="AQ71"/>
      <c r="AR71" s="71"/>
      <c r="AU71" s="8"/>
      <c r="AY71"/>
      <c r="AZ71"/>
      <c r="BA71"/>
      <c r="BB71"/>
      <c r="BC71"/>
      <c r="BD71"/>
      <c r="BE71"/>
      <c r="BF71" s="66"/>
      <c r="BG71" s="66"/>
      <c r="BH71" s="24"/>
      <c r="BL71" s="14"/>
      <c r="BM71" s="14"/>
      <c r="BO71" s="24"/>
      <c r="CE71" s="24"/>
      <c r="CT71" s="14"/>
    </row>
    <row r="72" spans="1:98">
      <c r="A72" s="24"/>
      <c r="B72" s="24"/>
      <c r="H72" s="14"/>
      <c r="P72" s="28"/>
      <c r="Q72"/>
      <c r="R72"/>
      <c r="S72"/>
      <c r="T72"/>
      <c r="U72"/>
      <c r="V72" s="14"/>
      <c r="W72" s="24"/>
      <c r="X72"/>
      <c r="Y72"/>
      <c r="Z72"/>
      <c r="AA72"/>
      <c r="AB72"/>
      <c r="AC72" s="14"/>
      <c r="AD72"/>
      <c r="AE72"/>
      <c r="AF72"/>
      <c r="AG72"/>
      <c r="AH72"/>
      <c r="AI72"/>
      <c r="AJ72"/>
      <c r="AK72" s="28"/>
      <c r="AL72"/>
      <c r="AM72"/>
      <c r="AN72"/>
      <c r="AO72"/>
      <c r="AP72"/>
      <c r="AQ72"/>
      <c r="AR72" s="71"/>
      <c r="AU72" s="8"/>
      <c r="AY72"/>
      <c r="AZ72"/>
      <c r="BA72"/>
      <c r="BB72"/>
      <c r="BC72"/>
      <c r="BD72"/>
      <c r="BE72"/>
      <c r="BF72" s="66"/>
      <c r="BG72" s="66"/>
      <c r="BH72" s="24"/>
      <c r="BL72" s="14"/>
      <c r="BM72" s="14"/>
      <c r="BO72" s="24"/>
      <c r="CE72" s="24"/>
      <c r="CT72" s="14"/>
    </row>
    <row r="73" spans="1:98">
      <c r="A73" s="24"/>
      <c r="B73" s="24"/>
      <c r="H73" s="14"/>
      <c r="P73" s="28"/>
      <c r="Q73"/>
      <c r="R73"/>
      <c r="S73"/>
      <c r="T73"/>
      <c r="U73"/>
      <c r="V73" s="14"/>
      <c r="W73" s="24"/>
      <c r="X73"/>
      <c r="Y73"/>
      <c r="Z73"/>
      <c r="AA73"/>
      <c r="AB73"/>
      <c r="AC73" s="14"/>
      <c r="AD73"/>
      <c r="AE73"/>
      <c r="AF73"/>
      <c r="AG73"/>
      <c r="AH73"/>
      <c r="AI73"/>
      <c r="AJ73"/>
      <c r="AK73" s="28"/>
      <c r="AL73"/>
      <c r="AM73"/>
      <c r="AN73"/>
      <c r="AO73"/>
      <c r="AP73"/>
      <c r="AQ73"/>
      <c r="AR73" s="71"/>
      <c r="AS73" s="16" t="s">
        <v>189</v>
      </c>
      <c r="AU73" s="8"/>
      <c r="AY73"/>
      <c r="AZ73"/>
      <c r="BA73"/>
      <c r="BB73"/>
      <c r="BC73"/>
      <c r="BD73"/>
      <c r="BE73"/>
      <c r="BF73" s="66"/>
      <c r="BG73" s="66"/>
      <c r="BH73" s="24"/>
      <c r="BL73" s="14"/>
      <c r="BM73" s="14"/>
      <c r="BO73" s="24"/>
      <c r="CE73" s="24"/>
      <c r="CT73" s="14"/>
    </row>
    <row r="74" spans="1:98">
      <c r="A74" s="24"/>
      <c r="B74" s="24"/>
      <c r="H74" s="14"/>
      <c r="P74" s="24"/>
      <c r="W74" s="24"/>
      <c r="AC74" s="14"/>
      <c r="AK74" s="71"/>
      <c r="AL74" s="66"/>
      <c r="AM74" s="66"/>
      <c r="AN74" s="66"/>
      <c r="AO74" s="66"/>
      <c r="AP74" s="66"/>
      <c r="AQ74" s="66"/>
      <c r="AR74" s="71"/>
      <c r="AT74" s="8" t="s">
        <v>190</v>
      </c>
      <c r="AU74" s="8"/>
      <c r="AY74" s="66"/>
      <c r="AZ74" s="66"/>
      <c r="BA74" s="66"/>
      <c r="BB74" s="66"/>
      <c r="BC74" s="66"/>
      <c r="BD74" s="66"/>
      <c r="BE74" s="66"/>
      <c r="BF74" s="66"/>
      <c r="BG74" s="66"/>
      <c r="BH74" s="24"/>
      <c r="BL74" s="14"/>
      <c r="BM74" s="14"/>
      <c r="BO74" s="24"/>
      <c r="CE74" s="24"/>
      <c r="CT74" s="14"/>
    </row>
    <row r="75" spans="1:98">
      <c r="A75" s="24"/>
      <c r="B75" s="24"/>
      <c r="H75" s="14"/>
      <c r="P75" s="24"/>
      <c r="W75" s="24"/>
      <c r="AC75" s="14"/>
      <c r="AK75" s="71"/>
      <c r="AL75" s="66"/>
      <c r="AM75" s="66"/>
      <c r="AN75" s="66"/>
      <c r="AO75" s="66"/>
      <c r="AP75" s="66"/>
      <c r="AQ75" s="66"/>
      <c r="AR75" s="71"/>
      <c r="AT75" s="8" t="s">
        <v>191</v>
      </c>
      <c r="AU75" s="8"/>
      <c r="AY75" s="66"/>
      <c r="AZ75" s="66"/>
      <c r="BA75" s="66"/>
      <c r="BB75" s="66"/>
      <c r="BC75" s="66"/>
      <c r="BD75" s="66"/>
      <c r="BE75" s="66"/>
      <c r="BF75" s="66"/>
      <c r="BG75" s="66"/>
      <c r="BH75" s="24"/>
      <c r="BL75" s="14"/>
      <c r="BM75" s="14"/>
      <c r="BO75" s="24"/>
      <c r="CE75" s="24"/>
      <c r="CT75" s="14"/>
    </row>
    <row r="76" spans="1:98">
      <c r="A76" s="24"/>
      <c r="B76" s="24"/>
      <c r="H76" s="14"/>
      <c r="P76" s="24"/>
      <c r="W76" s="24"/>
      <c r="AC76" s="14"/>
      <c r="AK76" s="71"/>
      <c r="AL76" s="66"/>
      <c r="AM76" s="66"/>
      <c r="AN76" s="66"/>
      <c r="AO76" s="66"/>
      <c r="AP76" s="66"/>
      <c r="AQ76" s="66"/>
      <c r="AR76" s="71"/>
      <c r="AS76" s="66"/>
      <c r="AT76" s="66" t="s">
        <v>192</v>
      </c>
      <c r="AV76" s="66"/>
      <c r="AW76"/>
      <c r="AX76"/>
      <c r="AY76" s="66"/>
      <c r="AZ76" s="66"/>
      <c r="BA76" s="66"/>
      <c r="BB76" s="66"/>
      <c r="BC76" s="66"/>
      <c r="BD76" s="66"/>
      <c r="BE76" s="66"/>
      <c r="BF76" s="66"/>
      <c r="BG76" s="66"/>
      <c r="BH76" s="24"/>
      <c r="BL76" s="14"/>
      <c r="BM76" s="14"/>
      <c r="BO76" s="24"/>
      <c r="CE76" s="24"/>
      <c r="CT76" s="14"/>
    </row>
    <row r="77" spans="1:98">
      <c r="A77" s="24"/>
      <c r="B77" s="24"/>
      <c r="H77" s="14"/>
      <c r="P77" s="24"/>
      <c r="W77" s="24"/>
      <c r="AC77" s="14"/>
      <c r="AK77" s="71"/>
      <c r="AL77" s="66"/>
      <c r="AM77" s="66"/>
      <c r="AN77" s="66"/>
      <c r="AO77" s="66"/>
      <c r="AP77" s="66"/>
      <c r="AQ77" s="66"/>
      <c r="AR77" s="71"/>
      <c r="AS77" s="66"/>
      <c r="AT77" s="66"/>
      <c r="AV77" s="66"/>
      <c r="AW77" s="66"/>
      <c r="AX77" s="66"/>
      <c r="AY77" s="66"/>
      <c r="AZ77" s="66"/>
      <c r="BA77" s="66"/>
      <c r="BB77" s="66"/>
      <c r="BC77" s="66"/>
      <c r="BD77" s="66"/>
      <c r="BE77" s="66"/>
      <c r="BF77" s="66"/>
      <c r="BG77" s="66"/>
      <c r="BH77" s="24"/>
      <c r="BL77" s="14"/>
      <c r="BM77" s="14"/>
      <c r="BO77" s="24"/>
      <c r="CE77" s="24"/>
      <c r="CT77" s="14"/>
    </row>
    <row r="78" spans="1:98">
      <c r="A78" s="24"/>
      <c r="B78" s="24"/>
      <c r="H78" s="14"/>
      <c r="P78" s="24"/>
      <c r="W78" s="24"/>
      <c r="AC78" s="14"/>
      <c r="AK78" s="71"/>
      <c r="AL78" s="66"/>
      <c r="AM78" s="66"/>
      <c r="AN78" s="66"/>
      <c r="AO78" s="66"/>
      <c r="AP78" s="66"/>
      <c r="AQ78" s="66"/>
      <c r="AR78" s="71"/>
      <c r="AS78" s="76" t="s">
        <v>193</v>
      </c>
      <c r="AT78" s="66"/>
      <c r="AV78"/>
      <c r="AW78"/>
      <c r="AX78"/>
      <c r="AY78"/>
      <c r="AZ78"/>
      <c r="BA78"/>
      <c r="BB78"/>
      <c r="BC78"/>
      <c r="BD78" s="66"/>
      <c r="BE78" s="66"/>
      <c r="BF78" s="66"/>
      <c r="BG78" s="66"/>
      <c r="BH78" s="24"/>
      <c r="BL78" s="14"/>
      <c r="BM78" s="14"/>
      <c r="BO78" s="24"/>
      <c r="CE78" s="24"/>
      <c r="CT78" s="14"/>
    </row>
    <row r="79" spans="1:98">
      <c r="A79" s="24"/>
      <c r="B79" s="24"/>
      <c r="H79" s="14"/>
      <c r="P79" s="24"/>
      <c r="W79" s="24"/>
      <c r="AC79" s="14"/>
      <c r="AK79" s="71"/>
      <c r="AL79" s="66"/>
      <c r="AM79" s="66"/>
      <c r="AN79" s="66"/>
      <c r="AO79" s="66"/>
      <c r="AP79" s="66"/>
      <c r="AQ79" s="66"/>
      <c r="AR79" s="71"/>
      <c r="AS79" s="66"/>
      <c r="AT79" s="8" t="s">
        <v>194</v>
      </c>
      <c r="AU79" s="8"/>
      <c r="AZ79"/>
      <c r="BA79"/>
      <c r="BB79"/>
      <c r="BC79"/>
      <c r="BD79" s="66"/>
      <c r="BE79" s="66"/>
      <c r="BF79" s="66"/>
      <c r="BG79" s="66"/>
      <c r="BH79" s="24"/>
      <c r="BL79" s="14"/>
      <c r="BM79" s="14"/>
      <c r="BO79" s="24"/>
      <c r="CE79" s="24"/>
      <c r="CT79" s="14"/>
    </row>
    <row r="80" spans="1:98">
      <c r="A80" s="24"/>
      <c r="B80" s="24"/>
      <c r="H80" s="14"/>
      <c r="P80" s="24"/>
      <c r="W80" s="24"/>
      <c r="AC80" s="14"/>
      <c r="AK80" s="71"/>
      <c r="AL80" s="66"/>
      <c r="AM80" s="66"/>
      <c r="AN80" s="66"/>
      <c r="AO80" s="66"/>
      <c r="AP80" s="66"/>
      <c r="AQ80" s="66"/>
      <c r="AR80" s="71"/>
      <c r="AS80" s="66"/>
      <c r="AT80" s="8" t="s">
        <v>195</v>
      </c>
      <c r="AU80" s="8"/>
      <c r="AZ80"/>
      <c r="BA80"/>
      <c r="BB80"/>
      <c r="BC80"/>
      <c r="BD80"/>
      <c r="BE80" s="66"/>
      <c r="BF80" s="66"/>
      <c r="BG80" s="66"/>
      <c r="BH80" s="24"/>
      <c r="BL80" s="14"/>
      <c r="BM80" s="14"/>
      <c r="BO80" s="24"/>
      <c r="CE80" s="24"/>
      <c r="CT80" s="14"/>
    </row>
    <row r="81" spans="1:98">
      <c r="A81" s="24"/>
      <c r="B81" s="24"/>
      <c r="H81" s="14"/>
      <c r="P81" s="28"/>
      <c r="Q81"/>
      <c r="R81"/>
      <c r="S81"/>
      <c r="T81"/>
      <c r="U81"/>
      <c r="V81" s="14"/>
      <c r="W81" s="24"/>
      <c r="X81"/>
      <c r="Y81"/>
      <c r="Z81"/>
      <c r="AA81"/>
      <c r="AB81"/>
      <c r="AC81" s="14"/>
      <c r="AD81"/>
      <c r="AE81"/>
      <c r="AF81"/>
      <c r="AG81"/>
      <c r="AH81"/>
      <c r="AI81"/>
      <c r="AJ81"/>
      <c r="AK81" s="28"/>
      <c r="AL81"/>
      <c r="AM81"/>
      <c r="AN81"/>
      <c r="AO81"/>
      <c r="AP81"/>
      <c r="AQ81"/>
      <c r="AR81" s="71"/>
      <c r="AS81" s="66"/>
      <c r="AT81" s="66" t="s">
        <v>196</v>
      </c>
      <c r="AV81"/>
      <c r="AW81"/>
      <c r="AX81"/>
      <c r="AY81"/>
      <c r="AZ81" s="66"/>
      <c r="BA81" s="66"/>
      <c r="BB81" s="66"/>
      <c r="BC81" s="66"/>
      <c r="BD81"/>
      <c r="BE81"/>
      <c r="BF81" s="66"/>
      <c r="BG81" s="66"/>
      <c r="BH81" s="24"/>
      <c r="BL81" s="14"/>
      <c r="BM81" s="14"/>
      <c r="BO81" s="24"/>
      <c r="CE81" s="24"/>
      <c r="CT81" s="14"/>
    </row>
    <row r="82" spans="1:98">
      <c r="A82" s="24"/>
      <c r="B82" s="24"/>
      <c r="H82" s="14"/>
      <c r="P82" s="24"/>
      <c r="W82" s="24"/>
      <c r="AD82" s="24"/>
      <c r="AK82" s="71"/>
      <c r="AL82" s="66"/>
      <c r="AM82" s="66"/>
      <c r="AN82" s="66"/>
      <c r="AO82" s="66"/>
      <c r="AP82" s="66"/>
      <c r="AQ82" s="66"/>
      <c r="AR82" s="71"/>
      <c r="AS82" s="66"/>
      <c r="AT82" s="66" t="s">
        <v>197</v>
      </c>
      <c r="AV82"/>
      <c r="AW82"/>
      <c r="AX82"/>
      <c r="AY82"/>
      <c r="AZ82" s="66"/>
      <c r="BA82" s="66"/>
      <c r="BB82" s="66"/>
      <c r="BC82" s="66"/>
      <c r="BD82"/>
      <c r="BE82"/>
      <c r="BF82" s="66"/>
      <c r="BG82" s="66"/>
      <c r="BH82" s="24"/>
      <c r="BL82" s="14"/>
      <c r="BM82" s="14"/>
      <c r="BO82" s="24"/>
      <c r="CE82" s="24"/>
      <c r="CT82" s="14"/>
    </row>
    <row r="83" spans="1:98">
      <c r="A83" s="24"/>
      <c r="B83" s="24"/>
      <c r="H83" s="14"/>
      <c r="P83" s="24"/>
      <c r="W83" s="24"/>
      <c r="AD83" s="24"/>
      <c r="AK83" s="71"/>
      <c r="AL83" s="66"/>
      <c r="AM83" s="66"/>
      <c r="AN83" s="66"/>
      <c r="AO83" s="66"/>
      <c r="AP83" s="66"/>
      <c r="AQ83" s="66"/>
      <c r="AR83" s="71"/>
      <c r="AT83" s="66" t="s">
        <v>133</v>
      </c>
      <c r="AU83" s="66" t="s">
        <v>198</v>
      </c>
      <c r="AV83" s="66"/>
      <c r="AW83" s="66"/>
      <c r="AX83" s="66"/>
      <c r="AY83" s="66"/>
      <c r="BD83" s="66"/>
      <c r="BE83"/>
      <c r="BF83" s="66"/>
      <c r="BG83" s="66"/>
      <c r="BH83" s="24"/>
      <c r="BL83" s="14"/>
      <c r="BM83" s="14"/>
      <c r="BO83" s="24"/>
      <c r="CE83" s="24"/>
      <c r="CT83" s="14"/>
    </row>
    <row r="84" spans="1:98">
      <c r="A84" s="24"/>
      <c r="B84" s="24"/>
      <c r="H84" s="14"/>
      <c r="P84" s="24"/>
      <c r="W84" s="24"/>
      <c r="AD84" s="24"/>
      <c r="AK84" s="71"/>
      <c r="AL84" s="66"/>
      <c r="AM84" s="66"/>
      <c r="AN84" s="66"/>
      <c r="AO84" s="66"/>
      <c r="AP84" s="66"/>
      <c r="AQ84" s="66"/>
      <c r="AR84" s="71"/>
      <c r="AT84" s="66"/>
      <c r="AU84" s="66" t="s">
        <v>199</v>
      </c>
      <c r="AV84" s="66"/>
      <c r="AW84" s="66"/>
      <c r="AX84" s="66"/>
      <c r="AY84" s="66"/>
      <c r="BD84" s="66"/>
      <c r="BE84"/>
      <c r="BF84" s="66"/>
      <c r="BG84" s="66"/>
      <c r="BH84" s="24"/>
      <c r="BL84" s="14"/>
      <c r="BM84" s="14"/>
      <c r="BO84" s="24"/>
      <c r="CE84" s="24"/>
      <c r="CT84" s="14"/>
    </row>
    <row r="85" spans="1:98">
      <c r="A85" s="24"/>
      <c r="B85" s="24"/>
      <c r="H85" s="14"/>
      <c r="P85" s="24"/>
      <c r="W85" s="24"/>
      <c r="AD85" s="24"/>
      <c r="AK85" s="71"/>
      <c r="AL85" s="66"/>
      <c r="AM85" s="66"/>
      <c r="AN85" s="66"/>
      <c r="AO85" s="66"/>
      <c r="AP85" s="66"/>
      <c r="AQ85" s="66"/>
      <c r="AR85" s="71"/>
      <c r="AT85" s="66"/>
      <c r="AV85" s="66"/>
      <c r="AW85" s="66"/>
      <c r="AX85" s="66"/>
      <c r="AY85" s="66"/>
      <c r="BD85" s="66"/>
      <c r="BE85"/>
      <c r="BF85" s="66"/>
      <c r="BG85" s="66"/>
      <c r="BH85" s="24"/>
      <c r="BL85" s="14"/>
      <c r="BM85" s="14"/>
      <c r="BO85" s="24"/>
      <c r="CE85" s="24"/>
      <c r="CT85" s="14"/>
    </row>
    <row r="86" spans="1:98">
      <c r="A86" s="24"/>
      <c r="B86" s="24"/>
      <c r="H86" s="14"/>
      <c r="P86" s="24"/>
      <c r="W86" s="24"/>
      <c r="AD86" s="24"/>
      <c r="AK86" s="71"/>
      <c r="AL86" s="66"/>
      <c r="AM86" s="66"/>
      <c r="AN86" s="66"/>
      <c r="AO86" s="66"/>
      <c r="AP86" s="66"/>
      <c r="AQ86" s="66"/>
      <c r="AR86" s="71"/>
      <c r="AT86" s="76" t="s">
        <v>200</v>
      </c>
      <c r="AU86" s="77"/>
      <c r="AV86" s="61" t="s">
        <v>201</v>
      </c>
      <c r="AW86" s="61"/>
      <c r="AX86" s="61"/>
      <c r="AY86" s="61"/>
      <c r="AZ86" s="62"/>
      <c r="BA86" s="24"/>
      <c r="BB86" s="10" t="s">
        <v>202</v>
      </c>
      <c r="BC86" s="66"/>
      <c r="BD86" s="10"/>
      <c r="BE86" s="10"/>
      <c r="BF86" s="15"/>
      <c r="BG86" s="24"/>
      <c r="BH86" s="10" t="s">
        <v>203</v>
      </c>
      <c r="BI86" s="41"/>
      <c r="BJ86" s="10"/>
      <c r="BK86" s="10"/>
      <c r="BL86" s="14"/>
      <c r="BM86" s="14"/>
      <c r="BO86" s="24"/>
      <c r="CE86" s="24"/>
      <c r="CT86" s="14"/>
    </row>
    <row r="87" spans="1:98">
      <c r="A87" s="24"/>
      <c r="B87" s="24"/>
      <c r="H87" s="14"/>
      <c r="P87" s="24"/>
      <c r="W87" s="24"/>
      <c r="AD87" s="24"/>
      <c r="AK87" s="71"/>
      <c r="AL87" s="66"/>
      <c r="AM87" s="66"/>
      <c r="AN87" s="66"/>
      <c r="AO87" s="66"/>
      <c r="AP87" s="66"/>
      <c r="AQ87" s="66"/>
      <c r="AR87" s="71"/>
      <c r="AT87" s="76"/>
      <c r="AU87" s="77"/>
      <c r="AV87" s="66"/>
      <c r="AW87" s="63" t="s">
        <v>204</v>
      </c>
      <c r="AX87" s="66"/>
      <c r="AY87" s="63"/>
      <c r="AZ87" s="64"/>
      <c r="BA87" s="65" t="s">
        <v>205</v>
      </c>
      <c r="BB87" s="66"/>
      <c r="BC87" s="63"/>
      <c r="BD87" s="63"/>
      <c r="BE87" s="63"/>
      <c r="BF87" s="64"/>
      <c r="BG87" s="65" t="s">
        <v>206</v>
      </c>
      <c r="BH87" s="63"/>
      <c r="BI87" s="65"/>
      <c r="BJ87" s="63"/>
      <c r="BK87" s="63"/>
      <c r="BL87" s="14"/>
      <c r="BM87" s="14"/>
      <c r="BO87" s="24"/>
      <c r="CE87" s="24"/>
      <c r="CT87" s="14"/>
    </row>
    <row r="88" spans="1:98">
      <c r="A88" s="24"/>
      <c r="B88" s="24"/>
      <c r="H88" s="14"/>
      <c r="P88" s="24"/>
      <c r="W88" s="24"/>
      <c r="AD88" s="24"/>
      <c r="AK88" s="71"/>
      <c r="AL88" s="66"/>
      <c r="AM88" s="66"/>
      <c r="AN88" s="66"/>
      <c r="AO88" s="66"/>
      <c r="AP88" s="66"/>
      <c r="AQ88" s="66"/>
      <c r="AR88" s="71"/>
      <c r="AT88" s="76"/>
      <c r="AU88" s="77"/>
      <c r="AV88" s="66"/>
      <c r="AW88" s="70" t="s">
        <v>207</v>
      </c>
      <c r="AX88" s="70"/>
      <c r="AY88" s="70"/>
      <c r="AZ88" s="13"/>
      <c r="BA88" s="29" t="s">
        <v>208</v>
      </c>
      <c r="BB88" s="70"/>
      <c r="BC88" s="70"/>
      <c r="BD88" s="70"/>
      <c r="BE88" s="70"/>
      <c r="BF88" s="13"/>
      <c r="BG88" s="29" t="s">
        <v>209</v>
      </c>
      <c r="BH88" s="70"/>
      <c r="BI88" s="29"/>
      <c r="BJ88" s="11"/>
      <c r="BK88" s="11"/>
      <c r="BL88" s="14"/>
      <c r="BM88" s="14"/>
      <c r="BO88" s="24"/>
      <c r="CE88" s="24"/>
      <c r="CT88" s="14"/>
    </row>
    <row r="89" spans="1:98">
      <c r="A89" s="24"/>
      <c r="B89" s="24"/>
      <c r="H89" s="14"/>
      <c r="P89" s="24"/>
      <c r="W89" s="24"/>
      <c r="AD89" s="24"/>
      <c r="AK89" s="71"/>
      <c r="AL89" s="66"/>
      <c r="AM89" s="66"/>
      <c r="AN89" s="66"/>
      <c r="AO89" s="66"/>
      <c r="AP89" s="66"/>
      <c r="AQ89" s="66"/>
      <c r="AR89" s="71"/>
      <c r="AU89" s="8"/>
      <c r="BH89" s="24"/>
      <c r="BL89" s="14"/>
      <c r="BM89" s="14"/>
      <c r="BO89" s="24"/>
      <c r="CE89" s="24"/>
      <c r="CT89" s="14"/>
    </row>
    <row r="90" spans="1:98">
      <c r="A90" s="24"/>
      <c r="B90" s="24"/>
      <c r="H90" s="14"/>
      <c r="P90" s="24"/>
      <c r="W90" s="24"/>
      <c r="AD90" s="24"/>
      <c r="AK90" s="71"/>
      <c r="AL90" s="66"/>
      <c r="AM90" s="66"/>
      <c r="AN90" s="66"/>
      <c r="AO90" s="66"/>
      <c r="AP90" s="66"/>
      <c r="AQ90" s="66"/>
      <c r="AR90" s="71"/>
      <c r="AT90" s="77" t="s">
        <v>210</v>
      </c>
      <c r="AV90" s="66"/>
      <c r="AW90" s="66"/>
      <c r="AX90" s="66"/>
      <c r="AY90" s="66"/>
      <c r="AZ90" s="66"/>
      <c r="BA90" s="66"/>
      <c r="BB90" s="66"/>
      <c r="BC90" s="66"/>
      <c r="BH90" s="24"/>
      <c r="BL90" s="14"/>
      <c r="BM90" s="14"/>
      <c r="BO90" s="24"/>
      <c r="CE90" s="24"/>
      <c r="CT90" s="14"/>
    </row>
    <row r="91" spans="1:98">
      <c r="A91" s="24"/>
      <c r="B91" s="24"/>
      <c r="H91" s="14"/>
      <c r="P91" s="24"/>
      <c r="W91" s="24"/>
      <c r="AD91" s="24"/>
      <c r="AK91" s="71"/>
      <c r="AL91" s="66"/>
      <c r="AM91" s="66"/>
      <c r="AN91" s="66"/>
      <c r="AO91" s="66"/>
      <c r="AP91" s="66"/>
      <c r="AQ91" s="66"/>
      <c r="AR91" s="71"/>
      <c r="AS91" s="66"/>
      <c r="AT91" s="66" t="s">
        <v>118</v>
      </c>
      <c r="AU91" s="66" t="s">
        <v>211</v>
      </c>
      <c r="AV91" s="66"/>
      <c r="AW91" s="66"/>
      <c r="AX91" s="66"/>
      <c r="AY91" s="66"/>
      <c r="AZ91" s="66"/>
      <c r="BA91" s="66"/>
      <c r="BB91" s="66"/>
      <c r="BC91" s="66"/>
      <c r="BD91" s="66"/>
      <c r="BE91" s="66"/>
      <c r="BF91" s="66"/>
      <c r="BG91" s="66"/>
      <c r="BH91" s="24"/>
      <c r="BL91" s="14"/>
      <c r="BM91" s="14"/>
      <c r="BO91" s="24"/>
      <c r="CE91" s="24"/>
      <c r="CT91" s="14"/>
    </row>
    <row r="92" spans="1:98">
      <c r="A92" s="24"/>
      <c r="B92" s="24"/>
      <c r="H92" s="14"/>
      <c r="P92" s="24"/>
      <c r="W92" s="24"/>
      <c r="AD92" s="24"/>
      <c r="AK92" s="71"/>
      <c r="AL92" s="66"/>
      <c r="AM92" s="66"/>
      <c r="AN92" s="66"/>
      <c r="AO92" s="66"/>
      <c r="AP92" s="66"/>
      <c r="AQ92" s="66"/>
      <c r="AR92" s="71"/>
      <c r="AS92" s="66"/>
      <c r="AU92" s="8"/>
      <c r="BH92" s="24"/>
      <c r="BL92" s="14"/>
      <c r="BM92" s="14"/>
      <c r="BO92" s="24"/>
      <c r="CE92" s="24"/>
      <c r="CT92" s="14"/>
    </row>
    <row r="93" spans="1:98">
      <c r="A93" s="24"/>
      <c r="B93" s="24"/>
      <c r="H93" s="14"/>
      <c r="P93" s="24"/>
      <c r="W93" s="24"/>
      <c r="AD93" s="24"/>
      <c r="AK93" s="71"/>
      <c r="AL93" s="66"/>
      <c r="AM93" s="66"/>
      <c r="AN93" s="66"/>
      <c r="AO93" s="66"/>
      <c r="AP93" s="66"/>
      <c r="AQ93" s="66"/>
      <c r="AR93" s="71"/>
      <c r="AT93" s="77" t="s">
        <v>212</v>
      </c>
      <c r="AV93" s="66"/>
      <c r="AW93" s="66"/>
      <c r="AX93" s="66"/>
      <c r="AY93" s="66"/>
      <c r="AZ93" s="66"/>
      <c r="BA93" s="66"/>
      <c r="BB93" s="66"/>
      <c r="BC93" s="66"/>
      <c r="BD93" s="66"/>
      <c r="BE93" s="66"/>
      <c r="BF93" s="66"/>
      <c r="BG93" s="66"/>
      <c r="BH93" s="24"/>
      <c r="BL93" s="14"/>
      <c r="BM93" s="14"/>
      <c r="BO93" s="24"/>
      <c r="CE93" s="24"/>
      <c r="CT93" s="14"/>
    </row>
    <row r="94" spans="1:98">
      <c r="A94" s="24"/>
      <c r="B94" s="24"/>
      <c r="H94" s="14"/>
      <c r="P94" s="24"/>
      <c r="W94" s="24"/>
      <c r="AD94" s="24"/>
      <c r="AK94" s="71"/>
      <c r="AL94" s="66"/>
      <c r="AM94" s="66"/>
      <c r="AN94" s="66"/>
      <c r="AO94" s="66"/>
      <c r="AP94" s="66"/>
      <c r="AQ94" s="66"/>
      <c r="AR94" s="71"/>
      <c r="AU94" s="8"/>
      <c r="BH94" s="24"/>
      <c r="BL94" s="13"/>
      <c r="BM94" s="13"/>
      <c r="BO94" s="24"/>
      <c r="CE94" s="24"/>
      <c r="CT94" s="14"/>
    </row>
    <row r="95" spans="1:98">
      <c r="A95" s="24"/>
      <c r="B95" s="24"/>
      <c r="H95" s="14"/>
      <c r="P95" s="24"/>
      <c r="W95" s="24"/>
      <c r="AD95" s="24"/>
      <c r="AK95" s="71"/>
      <c r="AL95" s="66"/>
      <c r="AM95" s="66"/>
      <c r="AN95" s="66"/>
      <c r="AO95" s="66"/>
      <c r="AP95" s="66"/>
      <c r="AQ95" s="66"/>
      <c r="AR95" s="71"/>
      <c r="AU95" s="8"/>
      <c r="BH95" s="24"/>
      <c r="BL95" s="14"/>
      <c r="BM95" s="14"/>
      <c r="BO95" s="24" t="s">
        <v>105</v>
      </c>
      <c r="BP95" s="8" t="s">
        <v>213</v>
      </c>
      <c r="CE95" s="24" t="s">
        <v>107</v>
      </c>
      <c r="CF95" s="8" t="s">
        <v>214</v>
      </c>
      <c r="CT95" s="14"/>
    </row>
    <row r="96" spans="1:98">
      <c r="A96" s="24"/>
      <c r="B96" s="24"/>
      <c r="H96" s="14"/>
      <c r="P96" s="24"/>
      <c r="W96" s="24"/>
      <c r="AD96" s="24"/>
      <c r="AK96" s="71"/>
      <c r="AL96" s="66"/>
      <c r="AM96" s="66"/>
      <c r="AN96" s="66"/>
      <c r="AO96" s="66"/>
      <c r="AP96" s="66"/>
      <c r="AQ96" s="66"/>
      <c r="AR96" s="71"/>
      <c r="AS96" s="76" t="s">
        <v>215</v>
      </c>
      <c r="AT96" s="66"/>
      <c r="AV96"/>
      <c r="AW96"/>
      <c r="AX96"/>
      <c r="AY96"/>
      <c r="AZ96"/>
      <c r="BA96"/>
      <c r="BB96"/>
      <c r="BH96" s="24"/>
      <c r="BL96" s="14"/>
      <c r="BM96" s="14"/>
      <c r="BO96" s="24"/>
      <c r="BP96" s="8" t="s">
        <v>216</v>
      </c>
      <c r="CE96" s="24"/>
      <c r="CF96" s="8" t="s">
        <v>217</v>
      </c>
      <c r="CT96" s="14"/>
    </row>
    <row r="97" spans="1:98">
      <c r="A97" s="24"/>
      <c r="B97" s="24"/>
      <c r="H97" s="14"/>
      <c r="P97" s="24"/>
      <c r="W97" s="24"/>
      <c r="AD97" s="24"/>
      <c r="AK97" s="71"/>
      <c r="AL97" s="66"/>
      <c r="AM97" s="66"/>
      <c r="AN97" s="66"/>
      <c r="AO97" s="66"/>
      <c r="AP97" s="66"/>
      <c r="AQ97" s="66"/>
      <c r="AR97" s="71"/>
      <c r="AS97" s="66"/>
      <c r="AT97" s="8" t="s">
        <v>218</v>
      </c>
      <c r="AU97" s="8"/>
      <c r="AZ97"/>
      <c r="BA97"/>
      <c r="BB97"/>
      <c r="BH97" s="24"/>
      <c r="BL97" s="14"/>
      <c r="BM97" s="14"/>
      <c r="BO97" s="24"/>
      <c r="BP97" s="8" t="s">
        <v>219</v>
      </c>
      <c r="CE97" s="24"/>
      <c r="CT97" s="14"/>
    </row>
    <row r="98" spans="1:98">
      <c r="A98" s="24"/>
      <c r="B98" s="24"/>
      <c r="H98" s="14"/>
      <c r="P98" s="24"/>
      <c r="W98" s="24"/>
      <c r="AD98" s="24"/>
      <c r="AK98" s="71"/>
      <c r="AL98" s="66"/>
      <c r="AM98" s="66"/>
      <c r="AN98" s="66"/>
      <c r="AO98" s="66"/>
      <c r="AP98" s="66"/>
      <c r="AQ98" s="66"/>
      <c r="AR98" s="71"/>
      <c r="AS98" s="66"/>
      <c r="AT98" s="8" t="s">
        <v>220</v>
      </c>
      <c r="AU98" s="8"/>
      <c r="AZ98"/>
      <c r="BA98"/>
      <c r="BB98"/>
      <c r="BH98" s="24"/>
      <c r="BL98" s="14"/>
      <c r="BM98" s="14"/>
      <c r="BO98" s="24"/>
      <c r="CE98" s="24"/>
      <c r="CT98" s="14"/>
    </row>
    <row r="99" spans="1:98">
      <c r="A99" s="24"/>
      <c r="B99" s="24"/>
      <c r="H99" s="14"/>
      <c r="P99" s="24"/>
      <c r="W99" s="24"/>
      <c r="AC99" s="14"/>
      <c r="AK99" s="71"/>
      <c r="AL99" s="66"/>
      <c r="AM99" s="66"/>
      <c r="AN99" s="66"/>
      <c r="AO99" s="66"/>
      <c r="AP99" s="66"/>
      <c r="AQ99" s="66"/>
      <c r="AR99" s="71"/>
      <c r="AS99" s="76"/>
      <c r="AT99" s="8" t="s">
        <v>118</v>
      </c>
      <c r="AU99" s="8" t="s">
        <v>221</v>
      </c>
      <c r="BH99" s="24"/>
      <c r="BL99" s="14"/>
      <c r="BM99" s="14"/>
      <c r="BO99" s="114" t="s">
        <v>222</v>
      </c>
      <c r="CE99" s="115" t="s">
        <v>107</v>
      </c>
      <c r="CF99" s="116" t="s">
        <v>223</v>
      </c>
      <c r="CG99" s="116"/>
      <c r="CH99" s="116"/>
      <c r="CT99" s="14"/>
    </row>
    <row r="100" spans="1:98">
      <c r="A100" s="24"/>
      <c r="B100" s="24"/>
      <c r="H100" s="14"/>
      <c r="P100" s="24"/>
      <c r="W100" s="24"/>
      <c r="AC100" s="14"/>
      <c r="AK100" s="71"/>
      <c r="AL100" s="66"/>
      <c r="AM100" s="66"/>
      <c r="AN100" s="66"/>
      <c r="AO100" s="66"/>
      <c r="AP100" s="66"/>
      <c r="AQ100" s="66"/>
      <c r="AR100" s="71"/>
      <c r="AS100" s="66"/>
      <c r="AT100" s="66"/>
      <c r="AV100" s="66"/>
      <c r="AW100" s="66"/>
      <c r="AX100" s="66"/>
      <c r="AY100" s="66"/>
      <c r="AZ100" s="66"/>
      <c r="BA100" s="66"/>
      <c r="BB100" s="66"/>
      <c r="BC100" s="66"/>
      <c r="BD100" s="66"/>
      <c r="BE100" s="66"/>
      <c r="BF100" s="66"/>
      <c r="BG100" s="66"/>
      <c r="BH100" s="24"/>
      <c r="BL100" s="14"/>
      <c r="BM100" s="14"/>
      <c r="BO100" s="114" t="s">
        <v>224</v>
      </c>
      <c r="CE100" s="115"/>
      <c r="CF100" s="116" t="s">
        <v>225</v>
      </c>
      <c r="CG100" s="116"/>
      <c r="CH100" s="116"/>
      <c r="CT100" s="14"/>
    </row>
    <row r="101" spans="1:98">
      <c r="A101" s="24"/>
      <c r="B101" s="24"/>
      <c r="H101" s="14"/>
      <c r="P101" s="24"/>
      <c r="W101" s="24"/>
      <c r="AC101" s="14"/>
      <c r="AK101" s="71"/>
      <c r="AL101" s="66"/>
      <c r="AM101" s="66"/>
      <c r="AN101" s="66"/>
      <c r="AO101" s="66"/>
      <c r="AP101" s="66"/>
      <c r="AQ101" s="66"/>
      <c r="AR101" s="71"/>
      <c r="AS101" s="66"/>
      <c r="AU101" s="8"/>
      <c r="AZ101" s="66"/>
      <c r="BA101" s="66"/>
      <c r="BB101" s="66"/>
      <c r="BC101" s="66"/>
      <c r="BD101" s="66"/>
      <c r="BE101" s="66"/>
      <c r="BF101" s="66"/>
      <c r="BG101" s="66"/>
      <c r="BH101" s="24"/>
      <c r="BL101" s="14"/>
      <c r="BM101" s="14"/>
      <c r="BO101" s="114" t="s">
        <v>226</v>
      </c>
      <c r="CE101" s="24"/>
      <c r="CT101" s="14"/>
    </row>
    <row r="102" spans="1:98">
      <c r="A102" s="24"/>
      <c r="B102" s="24"/>
      <c r="H102" s="14"/>
      <c r="P102" s="24"/>
      <c r="W102" s="24"/>
      <c r="AC102" s="14"/>
      <c r="AK102" s="71"/>
      <c r="AL102" s="66"/>
      <c r="AM102" s="66"/>
      <c r="AN102" s="66"/>
      <c r="AO102" s="66"/>
      <c r="AP102" s="66"/>
      <c r="AQ102" s="66"/>
      <c r="AR102" s="71"/>
      <c r="AU102" s="8"/>
      <c r="BD102" s="66"/>
      <c r="BE102" s="66"/>
      <c r="BF102" s="66"/>
      <c r="BG102" s="66"/>
      <c r="BH102" s="24"/>
      <c r="BL102" s="14"/>
      <c r="BM102" s="14"/>
      <c r="BO102" s="24"/>
      <c r="CE102" s="24"/>
      <c r="CT102" s="14"/>
    </row>
    <row r="103" spans="1:98">
      <c r="A103" s="24"/>
      <c r="B103" s="24"/>
      <c r="H103" s="14"/>
      <c r="P103" s="24"/>
      <c r="W103" s="24"/>
      <c r="AC103" s="14"/>
      <c r="AK103" s="71"/>
      <c r="AL103" s="66"/>
      <c r="AM103" s="66"/>
      <c r="AN103" s="66"/>
      <c r="AO103" s="66"/>
      <c r="AP103" s="66"/>
      <c r="AQ103" s="66"/>
      <c r="AR103" s="71"/>
      <c r="AU103" s="8"/>
      <c r="BD103" s="66"/>
      <c r="BE103" s="66"/>
      <c r="BF103" s="66"/>
      <c r="BG103" s="66"/>
      <c r="BH103" s="24"/>
      <c r="BL103" s="14"/>
      <c r="BM103" s="14"/>
      <c r="BO103" s="24"/>
      <c r="CE103" s="24"/>
      <c r="CT103" s="14"/>
    </row>
    <row r="104" spans="1:98">
      <c r="A104" s="24"/>
      <c r="B104" s="24"/>
      <c r="H104" s="14"/>
      <c r="P104" s="24"/>
      <c r="W104" s="24"/>
      <c r="AC104" s="14"/>
      <c r="AK104" s="71"/>
      <c r="AL104" s="66"/>
      <c r="AM104" s="66"/>
      <c r="AN104" s="66"/>
      <c r="AO104" s="66"/>
      <c r="AP104" s="66"/>
      <c r="AQ104" s="66"/>
      <c r="AR104" s="71"/>
      <c r="AS104" s="66"/>
      <c r="AT104" s="66"/>
      <c r="AV104" s="66"/>
      <c r="AW104" s="66"/>
      <c r="AX104" s="66"/>
      <c r="AY104" s="66"/>
      <c r="AZ104" s="66"/>
      <c r="BA104" s="66"/>
      <c r="BB104" s="66"/>
      <c r="BC104" s="66"/>
      <c r="BD104" s="66"/>
      <c r="BE104" s="66"/>
      <c r="BF104" s="66"/>
      <c r="BG104" s="66"/>
      <c r="BH104" s="24"/>
      <c r="BL104" s="14"/>
      <c r="BM104" s="14"/>
      <c r="BO104" s="24"/>
      <c r="CE104" s="24"/>
      <c r="CT104" s="14"/>
    </row>
    <row r="105" spans="1:98">
      <c r="A105" s="24"/>
      <c r="B105" s="24"/>
      <c r="H105" s="14"/>
      <c r="P105" s="28"/>
      <c r="Q105"/>
      <c r="R105"/>
      <c r="S105"/>
      <c r="T105"/>
      <c r="U105"/>
      <c r="V105" s="14"/>
      <c r="W105" s="24"/>
      <c r="X105"/>
      <c r="Y105"/>
      <c r="Z105"/>
      <c r="AA105"/>
      <c r="AB105"/>
      <c r="AC105" s="14"/>
      <c r="AD105"/>
      <c r="AE105"/>
      <c r="AF105"/>
      <c r="AG105"/>
      <c r="AH105"/>
      <c r="AI105"/>
      <c r="AJ105"/>
      <c r="AK105" s="28"/>
      <c r="AL105"/>
      <c r="AM105"/>
      <c r="AN105"/>
      <c r="AO105"/>
      <c r="AP105"/>
      <c r="AQ105"/>
      <c r="AR105" s="71"/>
      <c r="AS105" s="76" t="s">
        <v>227</v>
      </c>
      <c r="AT105" s="66"/>
      <c r="AV105"/>
      <c r="AW105"/>
      <c r="AX105"/>
      <c r="BG105" s="66"/>
      <c r="BH105" s="24"/>
      <c r="BL105" s="14"/>
      <c r="BM105" s="14"/>
      <c r="BO105" s="24"/>
      <c r="CE105" s="24"/>
      <c r="CT105" s="14"/>
    </row>
    <row r="106" spans="1:98">
      <c r="A106" s="24"/>
      <c r="B106" s="24"/>
      <c r="H106" s="14"/>
      <c r="P106" s="28"/>
      <c r="Q106"/>
      <c r="R106"/>
      <c r="S106"/>
      <c r="T106"/>
      <c r="U106"/>
      <c r="V106" s="14"/>
      <c r="W106" s="24"/>
      <c r="X106"/>
      <c r="Y106"/>
      <c r="Z106"/>
      <c r="AA106"/>
      <c r="AB106"/>
      <c r="AC106" s="14"/>
      <c r="AD106"/>
      <c r="AE106"/>
      <c r="AF106"/>
      <c r="AG106"/>
      <c r="AH106"/>
      <c r="AI106"/>
      <c r="AJ106"/>
      <c r="AK106" s="28"/>
      <c r="AL106"/>
      <c r="AM106"/>
      <c r="AN106"/>
      <c r="AO106"/>
      <c r="AP106"/>
      <c r="AQ106"/>
      <c r="AR106" s="71"/>
      <c r="AS106" s="66"/>
      <c r="AT106" s="8" t="s">
        <v>228</v>
      </c>
      <c r="AU106" s="8"/>
      <c r="BG106" s="66"/>
      <c r="BH106" s="24"/>
      <c r="BL106" s="14"/>
      <c r="BM106" s="14"/>
      <c r="BO106" s="24"/>
      <c r="CE106" s="24"/>
      <c r="CT106" s="14"/>
    </row>
    <row r="107" spans="1:98">
      <c r="A107" s="24"/>
      <c r="B107" s="24"/>
      <c r="H107" s="14"/>
      <c r="P107" s="28"/>
      <c r="Q107"/>
      <c r="R107"/>
      <c r="S107"/>
      <c r="T107"/>
      <c r="U107"/>
      <c r="V107" s="14"/>
      <c r="W107" s="24"/>
      <c r="X107"/>
      <c r="Y107"/>
      <c r="Z107"/>
      <c r="AA107"/>
      <c r="AB107"/>
      <c r="AC107" s="14"/>
      <c r="AD107"/>
      <c r="AE107"/>
      <c r="AF107"/>
      <c r="AG107"/>
      <c r="AH107"/>
      <c r="AI107"/>
      <c r="AJ107"/>
      <c r="AK107" s="28"/>
      <c r="AL107"/>
      <c r="AM107"/>
      <c r="AN107"/>
      <c r="AO107"/>
      <c r="AP107"/>
      <c r="AQ107"/>
      <c r="AR107" s="71"/>
      <c r="AS107" s="66"/>
      <c r="AT107" s="8" t="s">
        <v>229</v>
      </c>
      <c r="AU107" s="8"/>
      <c r="BG107" s="66"/>
      <c r="BH107" s="24"/>
      <c r="BL107" s="14"/>
      <c r="BM107" s="14"/>
      <c r="BO107" s="24"/>
      <c r="CE107" s="24"/>
      <c r="CT107" s="14"/>
    </row>
    <row r="108" spans="1:98">
      <c r="A108" s="24"/>
      <c r="B108" s="24"/>
      <c r="H108" s="14"/>
      <c r="P108" s="24"/>
      <c r="W108" s="24"/>
      <c r="AC108" s="14"/>
      <c r="AK108" s="71"/>
      <c r="AL108" s="66"/>
      <c r="AM108" s="66"/>
      <c r="AN108" s="66"/>
      <c r="AO108" s="66"/>
      <c r="AP108" s="66"/>
      <c r="AQ108" s="66"/>
      <c r="AR108" s="71"/>
      <c r="AS108" s="76"/>
      <c r="AT108" s="8" t="s">
        <v>118</v>
      </c>
      <c r="AU108" s="45" t="s">
        <v>230</v>
      </c>
      <c r="BG108" s="66"/>
      <c r="BH108" s="24"/>
      <c r="BL108" s="14"/>
      <c r="BM108" s="14"/>
      <c r="BO108" s="24"/>
      <c r="CE108" s="24"/>
      <c r="CT108" s="14"/>
    </row>
    <row r="109" spans="1:98">
      <c r="A109" s="24"/>
      <c r="B109" s="24"/>
      <c r="H109" s="14"/>
      <c r="P109" s="24"/>
      <c r="W109" s="24"/>
      <c r="AC109" s="14"/>
      <c r="AK109" s="71"/>
      <c r="AL109" s="66"/>
      <c r="AM109" s="66"/>
      <c r="AN109" s="66"/>
      <c r="AO109" s="66"/>
      <c r="AP109" s="66"/>
      <c r="AQ109" s="66"/>
      <c r="AR109" s="71"/>
      <c r="AT109" s="8" t="s">
        <v>118</v>
      </c>
      <c r="AU109" s="8" t="s">
        <v>231</v>
      </c>
      <c r="BG109" s="66"/>
      <c r="BH109" s="24"/>
      <c r="BL109" s="14"/>
      <c r="BM109" s="14"/>
      <c r="BO109" s="24"/>
      <c r="CE109" s="24"/>
      <c r="CT109" s="14"/>
    </row>
    <row r="110" spans="1:98">
      <c r="A110" s="24"/>
      <c r="B110" s="24"/>
      <c r="H110" s="14"/>
      <c r="P110" s="24"/>
      <c r="W110" s="24"/>
      <c r="AC110" s="14"/>
      <c r="AK110" s="71"/>
      <c r="AL110" s="66"/>
      <c r="AM110" s="66"/>
      <c r="AN110" s="66"/>
      <c r="AO110" s="66"/>
      <c r="AP110" s="66"/>
      <c r="AQ110" s="66"/>
      <c r="AR110" s="71"/>
      <c r="AU110" s="8"/>
      <c r="BG110" s="66"/>
      <c r="BH110" s="24"/>
      <c r="BL110" s="14"/>
      <c r="BM110" s="14"/>
      <c r="BO110" s="24"/>
      <c r="CE110" s="24"/>
      <c r="CT110" s="14"/>
    </row>
    <row r="111" spans="1:98">
      <c r="A111" s="24"/>
      <c r="B111" s="24"/>
      <c r="H111" s="14"/>
      <c r="P111" s="24"/>
      <c r="W111" s="24"/>
      <c r="AC111" s="14"/>
      <c r="AK111" s="71"/>
      <c r="AL111" s="66"/>
      <c r="AM111" s="66"/>
      <c r="AN111" s="66"/>
      <c r="AO111" s="66"/>
      <c r="AP111" s="66"/>
      <c r="AQ111" s="66"/>
      <c r="AR111" s="71"/>
      <c r="AU111" s="8"/>
      <c r="BG111" s="66"/>
      <c r="BH111" s="24"/>
      <c r="BL111" s="14"/>
      <c r="BM111" s="14"/>
      <c r="BO111" s="24"/>
      <c r="CE111" s="24"/>
      <c r="CT111" s="14"/>
    </row>
    <row r="112" spans="1:98">
      <c r="A112" s="24"/>
      <c r="B112" s="24"/>
      <c r="H112" s="14"/>
      <c r="P112" s="24"/>
      <c r="W112" s="24"/>
      <c r="AC112" s="14"/>
      <c r="AK112" s="71"/>
      <c r="AL112" s="66"/>
      <c r="AM112" s="66"/>
      <c r="AN112" s="66"/>
      <c r="AO112" s="66"/>
      <c r="AP112" s="66"/>
      <c r="AQ112" s="66"/>
      <c r="AR112" s="71"/>
      <c r="AU112" s="8"/>
      <c r="BG112" s="66"/>
      <c r="BH112" s="24"/>
      <c r="BL112" s="14"/>
      <c r="BM112" s="14"/>
      <c r="BO112" s="24"/>
      <c r="CE112" s="24"/>
      <c r="CT112" s="14"/>
    </row>
    <row r="113" spans="1:98">
      <c r="A113" s="24"/>
      <c r="B113" s="24"/>
      <c r="H113" s="14"/>
      <c r="P113" s="24"/>
      <c r="W113" s="24"/>
      <c r="AC113" s="14"/>
      <c r="AK113" s="71"/>
      <c r="AL113" s="66"/>
      <c r="AM113" s="66"/>
      <c r="AN113" s="66"/>
      <c r="AO113" s="66"/>
      <c r="AP113" s="66"/>
      <c r="AQ113" s="66"/>
      <c r="AR113" s="71"/>
      <c r="AU113" s="8"/>
      <c r="BG113" s="66"/>
      <c r="BH113" s="24"/>
      <c r="BL113" s="14"/>
      <c r="BM113" s="14"/>
      <c r="BO113" s="24"/>
      <c r="CE113" s="24"/>
      <c r="CT113" s="14"/>
    </row>
    <row r="114" spans="1:98">
      <c r="A114" s="24"/>
      <c r="B114" s="24"/>
      <c r="H114" s="14"/>
      <c r="P114" s="24"/>
      <c r="W114" s="24"/>
      <c r="AC114" s="14"/>
      <c r="AK114" s="71"/>
      <c r="AL114" s="66"/>
      <c r="AM114" s="66"/>
      <c r="AN114" s="66"/>
      <c r="AO114" s="66"/>
      <c r="AP114" s="66"/>
      <c r="AQ114" s="66"/>
      <c r="AR114" s="71"/>
      <c r="AU114" s="8"/>
      <c r="BG114" s="66"/>
      <c r="BH114" s="24"/>
      <c r="BL114" s="14"/>
      <c r="BM114" s="14"/>
      <c r="BO114" s="24"/>
      <c r="CE114" s="24"/>
      <c r="CT114" s="14"/>
    </row>
    <row r="115" spans="1:98">
      <c r="A115" s="24"/>
      <c r="B115" s="24"/>
      <c r="H115" s="14"/>
      <c r="P115" s="24"/>
      <c r="W115" s="24"/>
      <c r="AC115" s="14"/>
      <c r="AK115" s="71"/>
      <c r="AL115" s="66"/>
      <c r="AM115" s="66"/>
      <c r="AN115" s="66"/>
      <c r="AO115" s="66"/>
      <c r="AP115" s="66"/>
      <c r="AQ115" s="66"/>
      <c r="AR115" s="71"/>
      <c r="AU115" s="8"/>
      <c r="BG115" s="66"/>
      <c r="BH115" s="24"/>
      <c r="BL115" s="14"/>
      <c r="BM115" s="14"/>
      <c r="BO115" s="24"/>
      <c r="CE115" s="24"/>
      <c r="CT115" s="14"/>
    </row>
    <row r="116" spans="1:98">
      <c r="A116" s="24"/>
      <c r="B116" s="24"/>
      <c r="H116" s="14"/>
      <c r="P116" s="24"/>
      <c r="W116" s="24"/>
      <c r="AC116" s="14"/>
      <c r="AK116" s="71"/>
      <c r="AL116" s="66"/>
      <c r="AM116" s="66"/>
      <c r="AN116" s="66"/>
      <c r="AO116" s="66"/>
      <c r="AP116" s="66"/>
      <c r="AQ116" s="66"/>
      <c r="AR116" s="71"/>
      <c r="AU116" s="8"/>
      <c r="BG116" s="66"/>
      <c r="BH116" s="24"/>
      <c r="BL116" s="14"/>
      <c r="BM116" s="14"/>
      <c r="BO116" s="24"/>
      <c r="CE116" s="24"/>
      <c r="CT116" s="14"/>
    </row>
    <row r="117" spans="1:98">
      <c r="A117" s="24"/>
      <c r="B117" s="24"/>
      <c r="H117" s="14"/>
      <c r="P117" s="24"/>
      <c r="W117" s="24"/>
      <c r="AC117" s="14"/>
      <c r="AK117" s="71"/>
      <c r="AL117" s="66"/>
      <c r="AM117" s="66"/>
      <c r="AN117" s="66"/>
      <c r="AO117" s="66"/>
      <c r="AP117" s="66"/>
      <c r="AQ117" s="66"/>
      <c r="AR117" s="71"/>
      <c r="AU117" s="8"/>
      <c r="BG117" s="66"/>
      <c r="BH117" s="24"/>
      <c r="BL117" s="14"/>
      <c r="BM117" s="14"/>
      <c r="BO117" s="24"/>
      <c r="CE117" s="24"/>
      <c r="CT117" s="14"/>
    </row>
    <row r="118" spans="1:98">
      <c r="A118" s="24"/>
      <c r="B118" s="24"/>
      <c r="H118" s="14"/>
      <c r="P118" s="24"/>
      <c r="W118" s="24"/>
      <c r="AC118" s="14"/>
      <c r="AK118" s="71"/>
      <c r="AL118" s="66"/>
      <c r="AM118" s="66"/>
      <c r="AN118" s="66"/>
      <c r="AO118" s="66"/>
      <c r="AP118" s="66"/>
      <c r="AQ118" s="66"/>
      <c r="AR118" s="71"/>
      <c r="AU118" s="8"/>
      <c r="BG118" s="66"/>
      <c r="BH118" s="24"/>
      <c r="BL118" s="14"/>
      <c r="BM118" s="14"/>
      <c r="BO118" s="24"/>
      <c r="CE118" s="24"/>
      <c r="CT118" s="14"/>
    </row>
    <row r="119" spans="1:98">
      <c r="A119" s="24"/>
      <c r="B119" s="24"/>
      <c r="H119" s="14"/>
      <c r="P119" s="24"/>
      <c r="W119" s="24"/>
      <c r="AC119" s="14"/>
      <c r="AK119" s="71"/>
      <c r="AL119" s="66"/>
      <c r="AM119" s="66"/>
      <c r="AN119" s="66"/>
      <c r="AO119" s="66"/>
      <c r="AP119" s="66"/>
      <c r="AQ119" s="66"/>
      <c r="AR119" s="71"/>
      <c r="AU119" s="8"/>
      <c r="BG119" s="66"/>
      <c r="BH119" s="24"/>
      <c r="BL119" s="14"/>
      <c r="BM119" s="14"/>
      <c r="BO119" s="24"/>
      <c r="CE119" s="24"/>
      <c r="CT119" s="14"/>
    </row>
    <row r="120" spans="1:98">
      <c r="A120" s="24"/>
      <c r="B120" s="24"/>
      <c r="H120" s="14"/>
      <c r="P120" s="24"/>
      <c r="W120" s="24"/>
      <c r="AC120" s="14"/>
      <c r="AK120" s="71"/>
      <c r="AL120" s="66"/>
      <c r="AM120" s="66"/>
      <c r="AN120" s="66"/>
      <c r="AO120" s="66"/>
      <c r="AP120" s="66"/>
      <c r="AQ120" s="66"/>
      <c r="AR120" s="71"/>
      <c r="AU120" s="8"/>
      <c r="BG120" s="66"/>
      <c r="BH120" s="24"/>
      <c r="BL120" s="14"/>
      <c r="BM120" s="14"/>
      <c r="BO120" s="24"/>
      <c r="CE120" s="24"/>
      <c r="CT120" s="14"/>
    </row>
    <row r="121" spans="1:98">
      <c r="A121" s="24"/>
      <c r="B121" s="24"/>
      <c r="H121" s="14"/>
      <c r="P121" s="24"/>
      <c r="W121" s="24"/>
      <c r="AC121" s="14"/>
      <c r="AK121" s="71"/>
      <c r="AL121" s="66"/>
      <c r="AM121" s="66"/>
      <c r="AN121" s="66"/>
      <c r="AO121" s="66"/>
      <c r="AP121" s="66"/>
      <c r="AQ121" s="66"/>
      <c r="AR121" s="71"/>
      <c r="AU121" s="8"/>
      <c r="BG121" s="66"/>
      <c r="BH121" s="24"/>
      <c r="BL121" s="14"/>
      <c r="BM121" s="14"/>
      <c r="BO121" s="24"/>
      <c r="CE121" s="24"/>
      <c r="CT121" s="14"/>
    </row>
    <row r="122" spans="1:98" s="11" customFormat="1">
      <c r="A122" s="25"/>
      <c r="B122" s="26" t="s">
        <v>232</v>
      </c>
      <c r="C122" s="44"/>
      <c r="D122" s="44"/>
      <c r="E122" s="44"/>
      <c r="F122" s="44"/>
      <c r="G122" s="44"/>
      <c r="H122" s="44"/>
      <c r="I122" s="44"/>
      <c r="J122" s="44"/>
      <c r="K122" s="44"/>
      <c r="L122" s="44"/>
      <c r="M122" s="44"/>
      <c r="N122" s="44"/>
      <c r="O122" s="44"/>
      <c r="P122" s="44"/>
      <c r="Q122" s="44"/>
      <c r="R122" s="44"/>
      <c r="S122" s="44"/>
      <c r="T122" s="44"/>
      <c r="U122" s="44"/>
      <c r="V122" s="44"/>
      <c r="W122" s="30"/>
      <c r="X122" s="23"/>
      <c r="Y122" s="23"/>
      <c r="Z122" s="23"/>
      <c r="AA122" s="23"/>
      <c r="AB122" s="23"/>
      <c r="AC122" s="23"/>
      <c r="AD122" s="23"/>
      <c r="AE122" s="23"/>
      <c r="AF122" s="23"/>
      <c r="AG122" s="23"/>
      <c r="AH122" s="23"/>
      <c r="AI122" s="23"/>
      <c r="AJ122" s="23"/>
      <c r="AK122" s="30"/>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13"/>
      <c r="BO122" s="24"/>
      <c r="BP122" s="8"/>
      <c r="BQ122" s="8"/>
      <c r="BR122" s="8"/>
      <c r="BS122" s="8"/>
      <c r="BT122" s="8"/>
      <c r="BU122" s="8"/>
      <c r="BV122" s="8"/>
      <c r="BW122" s="8"/>
      <c r="BX122" s="8"/>
      <c r="BY122" s="8"/>
      <c r="BZ122" s="8"/>
      <c r="CA122" s="8"/>
      <c r="CB122" s="8"/>
      <c r="CC122" s="8"/>
      <c r="CD122" s="8"/>
      <c r="CE122" s="24"/>
      <c r="CF122" s="8"/>
      <c r="CG122" s="8"/>
      <c r="CH122" s="8"/>
      <c r="CI122" s="8"/>
      <c r="CJ122" s="8"/>
      <c r="CK122" s="8"/>
      <c r="CL122" s="8"/>
      <c r="CM122" s="8"/>
      <c r="CN122" s="8"/>
      <c r="CO122" s="8"/>
      <c r="CP122" s="8"/>
      <c r="CQ122" s="8"/>
      <c r="CR122" s="8"/>
      <c r="CS122" s="8"/>
      <c r="CT122" s="14"/>
    </row>
    <row r="123" spans="1:98" s="11" customFormat="1">
      <c r="A123" s="25"/>
      <c r="B123" s="27"/>
      <c r="C123" s="21"/>
      <c r="D123" s="21"/>
      <c r="E123" s="21"/>
      <c r="F123" s="21"/>
      <c r="G123" s="21"/>
      <c r="H123" s="20"/>
      <c r="P123" s="27"/>
      <c r="Q123" s="21"/>
      <c r="R123" s="21"/>
      <c r="S123" s="21"/>
      <c r="T123" s="21"/>
      <c r="U123" s="21"/>
      <c r="V123" s="21"/>
      <c r="W123" s="27"/>
      <c r="X123" s="21"/>
      <c r="Y123" s="21"/>
      <c r="Z123" s="21"/>
      <c r="AA123" s="21"/>
      <c r="AB123" s="21"/>
      <c r="AC123" s="20"/>
      <c r="AD123" s="21"/>
      <c r="AE123" s="21"/>
      <c r="AF123" s="21"/>
      <c r="AG123" s="21"/>
      <c r="AH123" s="21"/>
      <c r="AI123" s="21"/>
      <c r="AJ123" s="21"/>
      <c r="AK123" s="27"/>
      <c r="AL123" s="21"/>
      <c r="AM123" s="21"/>
      <c r="AN123" s="21"/>
      <c r="AO123" s="21"/>
      <c r="AP123" s="21"/>
      <c r="AQ123" s="21"/>
      <c r="AR123" s="27"/>
      <c r="AT123" s="52"/>
      <c r="AU123" s="52"/>
      <c r="AV123" s="52"/>
      <c r="AW123" s="21"/>
      <c r="AX123" s="21"/>
      <c r="AY123" s="21"/>
      <c r="AZ123" s="21"/>
      <c r="BA123" s="21"/>
      <c r="BB123" s="21"/>
      <c r="BC123" s="21"/>
      <c r="BD123" s="21"/>
      <c r="BE123" s="21"/>
      <c r="BF123" s="21"/>
      <c r="BG123" s="21"/>
      <c r="BH123" s="27"/>
      <c r="BI123" s="21"/>
      <c r="BJ123" s="21"/>
      <c r="BK123" s="21"/>
      <c r="BL123" s="20"/>
      <c r="BM123" s="13"/>
      <c r="BO123" s="29"/>
      <c r="CE123" s="29"/>
      <c r="CT123" s="13"/>
    </row>
    <row r="124" spans="1:98">
      <c r="A124" s="24"/>
      <c r="B124" s="24"/>
      <c r="H124" s="14"/>
      <c r="P124" s="24"/>
      <c r="W124" s="24"/>
      <c r="AC124" s="14"/>
      <c r="AK124" s="71"/>
      <c r="AL124" s="66"/>
      <c r="AM124" s="66"/>
      <c r="AN124" s="66"/>
      <c r="AO124" s="66"/>
      <c r="AP124" s="66"/>
      <c r="AQ124" s="66"/>
      <c r="AR124" s="71"/>
      <c r="AS124" s="59" t="s">
        <v>108</v>
      </c>
      <c r="AT124" s="66"/>
      <c r="AV124" s="66"/>
      <c r="AW124" s="66"/>
      <c r="AX124" s="66"/>
      <c r="AY124" s="66"/>
      <c r="AZ124" s="66"/>
      <c r="BA124" s="66"/>
      <c r="BB124" s="66"/>
      <c r="BC124" s="66"/>
      <c r="BD124" s="66"/>
      <c r="BE124" s="66"/>
      <c r="BF124" s="66"/>
      <c r="BG124" s="66"/>
      <c r="BH124" s="24"/>
      <c r="BL124" s="14"/>
      <c r="BM124" s="14"/>
      <c r="BO124" s="29"/>
      <c r="BP124" s="11"/>
      <c r="BQ124" s="11"/>
      <c r="BR124" s="11"/>
      <c r="BS124" s="11"/>
      <c r="BT124" s="11"/>
      <c r="BU124" s="11"/>
      <c r="BV124" s="11"/>
      <c r="BW124" s="11"/>
      <c r="BX124" s="11"/>
      <c r="BY124" s="11"/>
      <c r="BZ124" s="11"/>
      <c r="CA124" s="11"/>
      <c r="CB124" s="11"/>
      <c r="CC124" s="11"/>
      <c r="CD124" s="11"/>
      <c r="CE124" s="29"/>
      <c r="CF124" s="11"/>
      <c r="CG124" s="11"/>
      <c r="CH124" s="11"/>
      <c r="CI124" s="11"/>
      <c r="CJ124" s="11"/>
      <c r="CK124" s="11"/>
      <c r="CL124" s="11"/>
      <c r="CM124" s="11"/>
      <c r="CN124" s="11"/>
      <c r="CO124" s="11"/>
      <c r="CP124" s="11"/>
      <c r="CQ124" s="11"/>
      <c r="CR124" s="11"/>
      <c r="CS124" s="11"/>
      <c r="CT124" s="13"/>
    </row>
    <row r="125" spans="1:98">
      <c r="A125" s="24"/>
      <c r="B125" s="24"/>
      <c r="H125" s="14"/>
      <c r="P125" s="24"/>
      <c r="W125" s="24"/>
      <c r="AC125" s="14"/>
      <c r="AK125" s="71"/>
      <c r="AL125" s="66"/>
      <c r="AM125" s="66"/>
      <c r="AN125" s="66"/>
      <c r="AO125" s="66"/>
      <c r="AP125" s="66"/>
      <c r="AQ125" s="66"/>
      <c r="AR125" s="71"/>
      <c r="AS125" s="59" t="s">
        <v>110</v>
      </c>
      <c r="AT125" s="66"/>
      <c r="AV125" s="66"/>
      <c r="AW125" s="66"/>
      <c r="AX125" s="66"/>
      <c r="AY125" s="66"/>
      <c r="AZ125" s="66"/>
      <c r="BA125" s="66"/>
      <c r="BB125" s="66"/>
      <c r="BC125" s="66"/>
      <c r="BD125" s="66"/>
      <c r="BE125" s="66"/>
      <c r="BF125" s="66"/>
      <c r="BG125" s="66"/>
      <c r="BH125" s="24"/>
      <c r="BL125" s="14"/>
      <c r="BM125" s="14"/>
      <c r="BO125" s="24"/>
      <c r="CE125" s="24"/>
      <c r="CT125" s="14"/>
    </row>
    <row r="126" spans="1:98">
      <c r="A126" s="24"/>
      <c r="B126" s="24"/>
      <c r="H126" s="14"/>
      <c r="P126" s="24"/>
      <c r="W126" s="24"/>
      <c r="AC126" s="14"/>
      <c r="AK126" s="71"/>
      <c r="AL126" s="66"/>
      <c r="AM126" s="66"/>
      <c r="AN126" s="66"/>
      <c r="AO126" s="66"/>
      <c r="AP126" s="66"/>
      <c r="AQ126" s="66"/>
      <c r="AR126" s="71"/>
      <c r="AS126" s="59"/>
      <c r="AT126" s="66"/>
      <c r="AV126" s="66"/>
      <c r="AW126" s="66"/>
      <c r="AX126" s="66"/>
      <c r="AY126" s="66"/>
      <c r="AZ126" s="66"/>
      <c r="BA126" s="66"/>
      <c r="BB126" s="66"/>
      <c r="BC126" s="66"/>
      <c r="BD126" s="66"/>
      <c r="BE126" s="66"/>
      <c r="BF126" s="66"/>
      <c r="BG126" s="66"/>
      <c r="BH126" s="24"/>
      <c r="BL126" s="14"/>
      <c r="BM126" s="14"/>
      <c r="BO126" s="24"/>
      <c r="CE126" s="24"/>
      <c r="CT126" s="14"/>
    </row>
    <row r="127" spans="1:98">
      <c r="A127" s="24"/>
      <c r="B127" s="24"/>
      <c r="H127" s="14"/>
      <c r="P127" s="24"/>
      <c r="W127" s="24"/>
      <c r="AC127" s="14"/>
      <c r="AK127" s="71"/>
      <c r="AL127" s="66"/>
      <c r="AM127" s="66"/>
      <c r="AN127" s="66"/>
      <c r="AO127" s="66"/>
      <c r="AP127" s="66"/>
      <c r="AQ127" s="66"/>
      <c r="AR127" s="71"/>
      <c r="AS127" s="59"/>
      <c r="AT127" s="66"/>
      <c r="AV127" s="66"/>
      <c r="AW127" s="66"/>
      <c r="AX127" s="66"/>
      <c r="AY127" s="66"/>
      <c r="AZ127" s="66"/>
      <c r="BA127" s="66"/>
      <c r="BB127" s="66"/>
      <c r="BC127" s="66"/>
      <c r="BD127" s="66"/>
      <c r="BE127" s="66"/>
      <c r="BF127" s="66"/>
      <c r="BG127" s="66"/>
      <c r="BH127" s="24"/>
      <c r="BL127" s="14"/>
      <c r="BM127" s="14"/>
      <c r="BO127" s="24"/>
      <c r="CE127" s="24"/>
      <c r="CT127" s="14"/>
    </row>
    <row r="128" spans="1:98">
      <c r="A128" s="24"/>
      <c r="B128" s="24"/>
      <c r="H128" s="14"/>
      <c r="P128" s="24"/>
      <c r="W128" s="24"/>
      <c r="AC128" s="14"/>
      <c r="AK128" s="71"/>
      <c r="AL128" s="66"/>
      <c r="AM128" s="66"/>
      <c r="AN128" s="66"/>
      <c r="AO128" s="66"/>
      <c r="AP128" s="66"/>
      <c r="AQ128" s="66"/>
      <c r="AR128" s="71"/>
      <c r="AU128" s="8"/>
      <c r="BB128" s="66"/>
      <c r="BC128" s="66"/>
      <c r="BD128" s="66"/>
      <c r="BE128" s="66"/>
      <c r="BF128" s="66"/>
      <c r="BG128" s="66"/>
      <c r="BH128" s="24"/>
      <c r="BL128" s="14"/>
      <c r="BM128" s="14"/>
      <c r="BO128" s="24"/>
      <c r="CE128" s="24"/>
      <c r="CT128" s="14"/>
    </row>
    <row r="129" spans="1:98">
      <c r="A129" s="24"/>
      <c r="B129" s="24"/>
      <c r="H129" s="14"/>
      <c r="P129" s="24"/>
      <c r="W129" s="24"/>
      <c r="AC129" s="14"/>
      <c r="AK129" s="71"/>
      <c r="AL129" s="66"/>
      <c r="AM129" s="66"/>
      <c r="AN129" s="66"/>
      <c r="AO129" s="66"/>
      <c r="AP129" s="66"/>
      <c r="AQ129" s="66"/>
      <c r="AR129" s="71"/>
      <c r="AU129" s="8"/>
      <c r="BB129" s="66"/>
      <c r="BC129" s="66"/>
      <c r="BD129" s="66"/>
      <c r="BE129" s="66"/>
      <c r="BF129" s="66"/>
      <c r="BG129" s="66"/>
      <c r="BH129" s="24"/>
      <c r="BL129" s="14"/>
      <c r="BM129" s="14"/>
      <c r="BO129" s="24"/>
      <c r="CE129" s="24"/>
      <c r="CT129" s="14"/>
    </row>
    <row r="130" spans="1:98">
      <c r="A130" s="24"/>
      <c r="B130" s="24"/>
      <c r="H130" s="14"/>
      <c r="P130" s="24"/>
      <c r="W130" s="24"/>
      <c r="AC130" s="14"/>
      <c r="AK130" s="71"/>
      <c r="AL130" s="66"/>
      <c r="AM130" s="66"/>
      <c r="AN130" s="66"/>
      <c r="AO130" s="66"/>
      <c r="AP130" s="66"/>
      <c r="AQ130" s="66"/>
      <c r="AR130" s="71"/>
      <c r="AS130" s="66"/>
      <c r="AT130" s="66"/>
      <c r="AV130" s="66"/>
      <c r="AW130" s="66"/>
      <c r="AX130" s="66"/>
      <c r="AY130" s="66"/>
      <c r="AZ130" s="66"/>
      <c r="BA130" s="66"/>
      <c r="BB130" s="66"/>
      <c r="BC130" s="66"/>
      <c r="BD130" s="66"/>
      <c r="BE130" s="66"/>
      <c r="BF130" s="66"/>
      <c r="BG130" s="66"/>
      <c r="BH130" s="24"/>
      <c r="BL130" s="14"/>
      <c r="BM130" s="14"/>
      <c r="BO130" s="24"/>
      <c r="CE130" s="24"/>
      <c r="CT130" s="14"/>
    </row>
    <row r="131" spans="1:98">
      <c r="A131" s="24"/>
      <c r="B131" s="24"/>
      <c r="H131" s="14"/>
      <c r="P131" s="28"/>
      <c r="Q131"/>
      <c r="R131"/>
      <c r="S131"/>
      <c r="T131"/>
      <c r="U131"/>
      <c r="V131"/>
      <c r="W131" s="24"/>
      <c r="X131"/>
      <c r="Y131"/>
      <c r="Z131"/>
      <c r="AA131"/>
      <c r="AB131"/>
      <c r="AC131" s="14"/>
      <c r="AD131"/>
      <c r="AE131"/>
      <c r="AF131"/>
      <c r="AG131"/>
      <c r="AH131"/>
      <c r="AI131"/>
      <c r="AJ131"/>
      <c r="AK131" s="28"/>
      <c r="AL131"/>
      <c r="AM131"/>
      <c r="AN131"/>
      <c r="AO131"/>
      <c r="AP131"/>
      <c r="AQ131"/>
      <c r="AR131" s="71"/>
      <c r="AS131"/>
      <c r="AT131"/>
      <c r="AU131"/>
      <c r="AV131"/>
      <c r="AW131"/>
      <c r="AX131"/>
      <c r="AY131"/>
      <c r="AZ131"/>
      <c r="BA131"/>
      <c r="BB131"/>
      <c r="BC131"/>
      <c r="BD131"/>
      <c r="BE131"/>
      <c r="BF131" s="66"/>
      <c r="BG131" s="66"/>
      <c r="BH131" s="24"/>
      <c r="BL131" s="14"/>
      <c r="BM131" s="14"/>
      <c r="BO131" s="24"/>
      <c r="CE131" s="24"/>
      <c r="CT131" s="14"/>
    </row>
    <row r="132" spans="1:98">
      <c r="A132" s="24"/>
      <c r="B132" s="24"/>
      <c r="H132" s="14"/>
      <c r="P132" s="24"/>
      <c r="W132" s="24"/>
      <c r="AC132" s="14"/>
      <c r="AK132" s="71"/>
      <c r="AL132" s="66"/>
      <c r="AM132" s="66"/>
      <c r="AN132" s="66"/>
      <c r="AO132" s="66"/>
      <c r="AP132" s="66"/>
      <c r="AQ132" s="66"/>
      <c r="AR132" s="71"/>
      <c r="AS132" s="66"/>
      <c r="AT132" s="66"/>
      <c r="AV132" s="66"/>
      <c r="AW132" s="66"/>
      <c r="AX132" s="66"/>
      <c r="AY132" s="66"/>
      <c r="AZ132" s="66"/>
      <c r="BA132" s="66"/>
      <c r="BB132" s="66"/>
      <c r="BC132" s="66"/>
      <c r="BD132" s="66"/>
      <c r="BE132" s="66"/>
      <c r="BF132" s="66"/>
      <c r="BG132" s="66"/>
      <c r="BH132" s="24"/>
      <c r="BL132" s="14"/>
      <c r="BM132" s="14"/>
      <c r="BO132" s="24"/>
      <c r="CE132" s="24"/>
      <c r="CT132" s="14"/>
    </row>
    <row r="133" spans="1:98">
      <c r="A133" s="24"/>
      <c r="B133" s="24"/>
      <c r="H133" s="14"/>
      <c r="P133" s="28"/>
      <c r="Q133"/>
      <c r="R133"/>
      <c r="S133"/>
      <c r="T133"/>
      <c r="U133"/>
      <c r="V133" s="14"/>
      <c r="W133" s="24"/>
      <c r="X133"/>
      <c r="Y133"/>
      <c r="Z133"/>
      <c r="AA133"/>
      <c r="AB133"/>
      <c r="AC133" s="14"/>
      <c r="AD133"/>
      <c r="AE133"/>
      <c r="AF133"/>
      <c r="AG133"/>
      <c r="AH133"/>
      <c r="AI133"/>
      <c r="AJ133"/>
      <c r="AK133" s="28"/>
      <c r="AL133"/>
      <c r="AM133"/>
      <c r="AN133"/>
      <c r="AO133"/>
      <c r="AP133"/>
      <c r="AQ133"/>
      <c r="AR133" s="71"/>
      <c r="AU133" s="8"/>
      <c r="BB133"/>
      <c r="BC133"/>
      <c r="BD133"/>
      <c r="BE133"/>
      <c r="BF133" s="66"/>
      <c r="BG133" s="66"/>
      <c r="BH133" s="24"/>
      <c r="BL133" s="14"/>
      <c r="BM133" s="14"/>
      <c r="BO133" s="24"/>
      <c r="CE133" s="24"/>
      <c r="CT133" s="14"/>
    </row>
    <row r="134" spans="1:98">
      <c r="A134" s="24"/>
      <c r="B134" s="24"/>
      <c r="H134" s="14"/>
      <c r="P134" s="28"/>
      <c r="Q134"/>
      <c r="R134"/>
      <c r="S134"/>
      <c r="T134"/>
      <c r="U134"/>
      <c r="V134" s="14"/>
      <c r="W134" s="24"/>
      <c r="X134"/>
      <c r="Y134"/>
      <c r="Z134"/>
      <c r="AA134"/>
      <c r="AB134"/>
      <c r="AC134" s="14"/>
      <c r="AD134"/>
      <c r="AE134"/>
      <c r="AF134"/>
      <c r="AG134"/>
      <c r="AH134"/>
      <c r="AI134"/>
      <c r="AJ134"/>
      <c r="AK134" s="28"/>
      <c r="AL134"/>
      <c r="AM134"/>
      <c r="AN134"/>
      <c r="AO134"/>
      <c r="AP134"/>
      <c r="AQ134"/>
      <c r="AR134" s="71"/>
      <c r="AS134" s="80" t="s">
        <v>136</v>
      </c>
      <c r="AT134"/>
      <c r="AV134" s="66"/>
      <c r="AW134" s="66"/>
      <c r="AX134" s="66"/>
      <c r="AY134" s="66"/>
      <c r="AZ134" s="66"/>
      <c r="BA134" s="66"/>
      <c r="BB134" s="66"/>
      <c r="BC134"/>
      <c r="BD134"/>
      <c r="BE134"/>
      <c r="BF134" s="66"/>
      <c r="BG134" s="66"/>
      <c r="BH134" s="24"/>
      <c r="BL134" s="14"/>
      <c r="BM134" s="14"/>
      <c r="BO134" s="24"/>
      <c r="CE134" s="24"/>
      <c r="CT134" s="14"/>
    </row>
    <row r="135" spans="1:98">
      <c r="A135" s="24"/>
      <c r="B135" s="24"/>
      <c r="H135" s="14"/>
      <c r="P135" s="28"/>
      <c r="Q135"/>
      <c r="R135"/>
      <c r="S135"/>
      <c r="T135"/>
      <c r="U135"/>
      <c r="V135" s="14"/>
      <c r="W135" s="24"/>
      <c r="X135"/>
      <c r="Y135"/>
      <c r="Z135"/>
      <c r="AA135"/>
      <c r="AB135"/>
      <c r="AC135" s="14"/>
      <c r="AD135"/>
      <c r="AE135"/>
      <c r="AF135"/>
      <c r="AG135"/>
      <c r="AH135"/>
      <c r="AI135"/>
      <c r="AJ135"/>
      <c r="AK135" s="28"/>
      <c r="AL135"/>
      <c r="AM135"/>
      <c r="AN135"/>
      <c r="AO135"/>
      <c r="AP135"/>
      <c r="AQ135"/>
      <c r="AR135" s="71"/>
      <c r="AS135"/>
      <c r="AT135" t="s">
        <v>139</v>
      </c>
      <c r="AV135" s="66"/>
      <c r="AW135" s="66"/>
      <c r="AX135" s="66"/>
      <c r="AY135" s="66"/>
      <c r="AZ135" s="66"/>
      <c r="BA135" s="66"/>
      <c r="BB135" s="66"/>
      <c r="BC135"/>
      <c r="BD135"/>
      <c r="BE135"/>
      <c r="BF135" s="66"/>
      <c r="BG135" s="66"/>
      <c r="BH135" s="24"/>
      <c r="BL135" s="14"/>
      <c r="BM135" s="14"/>
      <c r="BO135" s="24"/>
      <c r="CE135" s="24"/>
      <c r="CT135" s="14"/>
    </row>
    <row r="136" spans="1:98">
      <c r="A136" s="24"/>
      <c r="B136" s="24"/>
      <c r="H136" s="14"/>
      <c r="P136" s="28"/>
      <c r="Q136"/>
      <c r="R136"/>
      <c r="S136"/>
      <c r="T136"/>
      <c r="U136"/>
      <c r="V136" s="14"/>
      <c r="W136" s="24"/>
      <c r="X136"/>
      <c r="Y136"/>
      <c r="Z136"/>
      <c r="AA136"/>
      <c r="AB136"/>
      <c r="AC136" s="14"/>
      <c r="AD136"/>
      <c r="AE136"/>
      <c r="AF136"/>
      <c r="AG136"/>
      <c r="AH136"/>
      <c r="AI136"/>
      <c r="AJ136"/>
      <c r="AK136" s="28"/>
      <c r="AL136"/>
      <c r="AM136"/>
      <c r="AN136"/>
      <c r="AO136"/>
      <c r="AP136"/>
      <c r="AQ136"/>
      <c r="AR136" s="71"/>
      <c r="AS136" s="66"/>
      <c r="AT136" s="70" t="s">
        <v>118</v>
      </c>
      <c r="AU136" s="66" t="s">
        <v>143</v>
      </c>
      <c r="AV136" s="66"/>
      <c r="AW136" s="66"/>
      <c r="AX136" s="66"/>
      <c r="AY136" s="66"/>
      <c r="AZ136" s="66"/>
      <c r="BA136" s="66"/>
      <c r="BB136" s="66"/>
      <c r="BC136"/>
      <c r="BD136"/>
      <c r="BE136"/>
      <c r="BF136" s="66"/>
      <c r="BG136" s="66"/>
      <c r="BH136" s="24"/>
      <c r="BL136" s="14"/>
      <c r="BM136" s="14"/>
      <c r="BO136" s="24"/>
      <c r="CE136" s="24"/>
      <c r="CT136" s="14"/>
    </row>
    <row r="137" spans="1:98">
      <c r="A137" s="24"/>
      <c r="B137" s="24"/>
      <c r="H137" s="14"/>
      <c r="P137" s="28"/>
      <c r="Q137"/>
      <c r="R137"/>
      <c r="S137"/>
      <c r="T137"/>
      <c r="U137"/>
      <c r="V137" s="14"/>
      <c r="W137" s="24"/>
      <c r="X137"/>
      <c r="Y137"/>
      <c r="Z137"/>
      <c r="AA137"/>
      <c r="AB137"/>
      <c r="AC137" s="14"/>
      <c r="AD137"/>
      <c r="AE137"/>
      <c r="AF137"/>
      <c r="AG137"/>
      <c r="AH137"/>
      <c r="AI137"/>
      <c r="AJ137"/>
      <c r="AK137" s="28"/>
      <c r="AL137"/>
      <c r="AM137"/>
      <c r="AN137"/>
      <c r="AO137"/>
      <c r="AP137"/>
      <c r="AQ137"/>
      <c r="AR137" s="71"/>
      <c r="AS137"/>
      <c r="AU137" s="8" t="s">
        <v>146</v>
      </c>
      <c r="AW137"/>
      <c r="AX137"/>
      <c r="AY137"/>
      <c r="AZ137"/>
      <c r="BA137"/>
      <c r="BB137"/>
      <c r="BC137"/>
      <c r="BD137"/>
      <c r="BE137"/>
      <c r="BF137" s="66"/>
      <c r="BG137" s="66"/>
      <c r="BH137" s="24"/>
      <c r="BL137" s="14"/>
      <c r="BM137" s="14"/>
      <c r="BO137" s="24"/>
      <c r="CE137" s="24"/>
      <c r="CT137" s="14"/>
    </row>
    <row r="138" spans="1:98">
      <c r="A138" s="24"/>
      <c r="B138" s="24"/>
      <c r="H138" s="14"/>
      <c r="P138" s="28"/>
      <c r="Q138"/>
      <c r="R138"/>
      <c r="S138"/>
      <c r="T138"/>
      <c r="U138"/>
      <c r="V138" s="14"/>
      <c r="W138" s="24"/>
      <c r="X138"/>
      <c r="Y138"/>
      <c r="Z138"/>
      <c r="AA138"/>
      <c r="AB138"/>
      <c r="AC138" s="14"/>
      <c r="AD138"/>
      <c r="AE138"/>
      <c r="AF138"/>
      <c r="AG138"/>
      <c r="AH138"/>
      <c r="AI138"/>
      <c r="AJ138"/>
      <c r="AK138" s="28"/>
      <c r="AL138"/>
      <c r="AM138"/>
      <c r="AN138"/>
      <c r="AO138"/>
      <c r="AP138"/>
      <c r="AQ138"/>
      <c r="AR138" s="71"/>
      <c r="AS138" s="59"/>
      <c r="AT138" s="59"/>
      <c r="AU138" s="52"/>
      <c r="AV138" s="52"/>
      <c r="AW138" s="21"/>
      <c r="AX138" s="21"/>
      <c r="AY138" s="21"/>
      <c r="AZ138" s="21"/>
      <c r="BA138" s="21"/>
      <c r="BB138" s="21"/>
      <c r="BC138"/>
      <c r="BD138"/>
      <c r="BE138"/>
      <c r="BF138" s="66"/>
      <c r="BG138" s="66"/>
      <c r="BH138" s="24"/>
      <c r="BL138" s="14"/>
      <c r="BM138" s="14"/>
      <c r="BO138" s="24"/>
      <c r="CE138" s="24"/>
      <c r="CT138" s="14"/>
    </row>
    <row r="139" spans="1:98">
      <c r="A139" s="24"/>
      <c r="B139" s="24"/>
      <c r="H139" s="14"/>
      <c r="P139" s="28"/>
      <c r="Q139"/>
      <c r="R139"/>
      <c r="S139"/>
      <c r="T139"/>
      <c r="U139"/>
      <c r="V139" s="14"/>
      <c r="W139" s="24"/>
      <c r="X139"/>
      <c r="Y139"/>
      <c r="Z139"/>
      <c r="AA139"/>
      <c r="AB139"/>
      <c r="AC139" s="14"/>
      <c r="AD139"/>
      <c r="AE139"/>
      <c r="AF139"/>
      <c r="AG139"/>
      <c r="AH139"/>
      <c r="AI139"/>
      <c r="AJ139"/>
      <c r="AK139" s="28"/>
      <c r="AL139"/>
      <c r="AM139"/>
      <c r="AN139"/>
      <c r="AO139"/>
      <c r="AP139"/>
      <c r="AQ139"/>
      <c r="AR139" s="71"/>
      <c r="AU139" s="8"/>
      <c r="BD139"/>
      <c r="BE139"/>
      <c r="BF139" s="66"/>
      <c r="BG139" s="66"/>
      <c r="BH139" s="24"/>
      <c r="BL139" s="14"/>
      <c r="BM139" s="14"/>
      <c r="BO139" s="24"/>
      <c r="CE139" s="24"/>
      <c r="CT139" s="14"/>
    </row>
    <row r="140" spans="1:98">
      <c r="A140" s="24"/>
      <c r="B140" s="24"/>
      <c r="H140" s="14"/>
      <c r="P140" s="28"/>
      <c r="Q140"/>
      <c r="R140"/>
      <c r="S140"/>
      <c r="T140"/>
      <c r="U140"/>
      <c r="V140" s="14"/>
      <c r="W140" s="24"/>
      <c r="X140"/>
      <c r="Y140"/>
      <c r="Z140"/>
      <c r="AA140"/>
      <c r="AB140"/>
      <c r="AC140" s="14"/>
      <c r="AD140"/>
      <c r="AE140"/>
      <c r="AF140"/>
      <c r="AG140"/>
      <c r="AH140"/>
      <c r="AI140"/>
      <c r="AJ140"/>
      <c r="AK140" s="28"/>
      <c r="AL140"/>
      <c r="AM140"/>
      <c r="AN140"/>
      <c r="AO140"/>
      <c r="AP140"/>
      <c r="AQ140"/>
      <c r="AR140" s="71"/>
      <c r="AS140" s="76" t="s">
        <v>233</v>
      </c>
      <c r="AT140"/>
      <c r="AU140"/>
      <c r="AV140"/>
      <c r="AW140"/>
      <c r="AX140"/>
      <c r="AY140"/>
      <c r="AZ140"/>
      <c r="BA140"/>
      <c r="BB140"/>
      <c r="BC140"/>
      <c r="BD140"/>
      <c r="BE140"/>
      <c r="BF140" s="66"/>
      <c r="BG140" s="66"/>
      <c r="BH140" s="24"/>
      <c r="BL140" s="14"/>
      <c r="BM140" s="14"/>
      <c r="BO140" s="24"/>
      <c r="CE140" s="24"/>
      <c r="CT140" s="14"/>
    </row>
    <row r="141" spans="1:98">
      <c r="A141" s="24"/>
      <c r="B141" s="24"/>
      <c r="H141" s="14"/>
      <c r="P141" s="28"/>
      <c r="Q141"/>
      <c r="R141"/>
      <c r="S141"/>
      <c r="T141"/>
      <c r="U141"/>
      <c r="V141" s="14"/>
      <c r="W141" s="24"/>
      <c r="X141"/>
      <c r="Y141"/>
      <c r="Z141"/>
      <c r="AA141"/>
      <c r="AB141"/>
      <c r="AC141" s="14"/>
      <c r="AD141"/>
      <c r="AE141"/>
      <c r="AF141"/>
      <c r="AG141"/>
      <c r="AH141"/>
      <c r="AI141"/>
      <c r="AJ141"/>
      <c r="AK141" s="28"/>
      <c r="AL141"/>
      <c r="AM141"/>
      <c r="AN141"/>
      <c r="AO141"/>
      <c r="AP141"/>
      <c r="AQ141"/>
      <c r="AR141" s="71"/>
      <c r="AS141"/>
      <c r="AT141" t="s">
        <v>234</v>
      </c>
      <c r="AU141"/>
      <c r="AV141"/>
      <c r="AW141"/>
      <c r="AX141"/>
      <c r="AY141"/>
      <c r="AZ141"/>
      <c r="BA141"/>
      <c r="BB141"/>
      <c r="BC141"/>
      <c r="BD141"/>
      <c r="BE141"/>
      <c r="BF141" s="66"/>
      <c r="BG141" s="66"/>
      <c r="BH141" s="24"/>
      <c r="BL141" s="14"/>
      <c r="BM141" s="14"/>
      <c r="BO141" s="24"/>
      <c r="CE141" s="24"/>
      <c r="CT141" s="14"/>
    </row>
    <row r="142" spans="1:98">
      <c r="A142" s="24"/>
      <c r="B142" s="24"/>
      <c r="H142" s="14"/>
      <c r="P142" s="28"/>
      <c r="Q142"/>
      <c r="R142"/>
      <c r="S142"/>
      <c r="T142"/>
      <c r="U142"/>
      <c r="V142" s="14"/>
      <c r="W142" s="24"/>
      <c r="X142"/>
      <c r="Y142"/>
      <c r="Z142"/>
      <c r="AA142"/>
      <c r="AB142"/>
      <c r="AC142" s="14"/>
      <c r="AD142"/>
      <c r="AE142"/>
      <c r="AF142"/>
      <c r="AG142"/>
      <c r="AH142"/>
      <c r="AI142"/>
      <c r="AJ142"/>
      <c r="AK142" s="28"/>
      <c r="AL142"/>
      <c r="AM142"/>
      <c r="AN142"/>
      <c r="AO142"/>
      <c r="AP142"/>
      <c r="AQ142"/>
      <c r="AR142" s="71"/>
      <c r="AS142" s="66"/>
      <c r="AT142" s="66" t="s">
        <v>235</v>
      </c>
      <c r="AU142"/>
      <c r="AV142"/>
      <c r="AW142"/>
      <c r="AX142"/>
      <c r="AY142"/>
      <c r="AZ142"/>
      <c r="BA142"/>
      <c r="BB142"/>
      <c r="BC142"/>
      <c r="BD142"/>
      <c r="BE142"/>
      <c r="BF142" s="66"/>
      <c r="BG142" s="66"/>
      <c r="BH142" s="24"/>
      <c r="BL142" s="14"/>
      <c r="BM142" s="14"/>
      <c r="BO142" s="24"/>
      <c r="CE142" s="24"/>
      <c r="CT142" s="14"/>
    </row>
    <row r="143" spans="1:98">
      <c r="A143" s="24"/>
      <c r="B143" s="24"/>
      <c r="H143" s="14"/>
      <c r="P143" s="28"/>
      <c r="Q143"/>
      <c r="R143"/>
      <c r="S143"/>
      <c r="T143"/>
      <c r="U143"/>
      <c r="V143" s="14"/>
      <c r="W143" s="24"/>
      <c r="X143"/>
      <c r="Y143"/>
      <c r="Z143"/>
      <c r="AA143"/>
      <c r="AB143"/>
      <c r="AC143" s="14"/>
      <c r="AD143"/>
      <c r="AE143"/>
      <c r="AF143"/>
      <c r="AG143"/>
      <c r="AH143"/>
      <c r="AI143"/>
      <c r="AJ143"/>
      <c r="AK143" s="28"/>
      <c r="AL143"/>
      <c r="AM143"/>
      <c r="AN143"/>
      <c r="AO143"/>
      <c r="AP143"/>
      <c r="AQ143"/>
      <c r="AR143" s="71"/>
      <c r="AS143" s="66"/>
      <c r="AT143" s="66" t="s">
        <v>118</v>
      </c>
      <c r="AU143" s="66" t="s">
        <v>236</v>
      </c>
      <c r="AV143"/>
      <c r="AW143"/>
      <c r="BA143"/>
      <c r="BB143"/>
      <c r="BC143"/>
      <c r="BD143"/>
      <c r="BE143"/>
      <c r="BF143" s="66"/>
      <c r="BG143" s="66"/>
      <c r="BH143" s="24"/>
      <c r="BL143" s="14"/>
      <c r="BM143" s="14"/>
      <c r="BO143" s="24"/>
      <c r="CE143" s="24"/>
      <c r="CT143" s="14"/>
    </row>
    <row r="144" spans="1:98">
      <c r="A144" s="24"/>
      <c r="B144" s="24"/>
      <c r="H144" s="14"/>
      <c r="P144" s="28"/>
      <c r="Q144"/>
      <c r="R144"/>
      <c r="S144"/>
      <c r="T144"/>
      <c r="U144"/>
      <c r="V144" s="14"/>
      <c r="W144" s="24"/>
      <c r="X144"/>
      <c r="Y144"/>
      <c r="Z144"/>
      <c r="AA144"/>
      <c r="AB144"/>
      <c r="AC144" s="14"/>
      <c r="AD144"/>
      <c r="AE144"/>
      <c r="AF144"/>
      <c r="AG144"/>
      <c r="AH144"/>
      <c r="AI144"/>
      <c r="AJ144"/>
      <c r="AK144" s="28"/>
      <c r="AL144"/>
      <c r="AM144"/>
      <c r="AN144"/>
      <c r="AO144"/>
      <c r="AP144"/>
      <c r="AQ144"/>
      <c r="AR144" s="71"/>
      <c r="AS144" s="66"/>
      <c r="AT144" s="66"/>
      <c r="AU144" s="66" t="s">
        <v>167</v>
      </c>
      <c r="AV144"/>
      <c r="AW144"/>
      <c r="BA144"/>
      <c r="BB144"/>
      <c r="BC144"/>
      <c r="BD144"/>
      <c r="BE144"/>
      <c r="BF144" s="66"/>
      <c r="BG144" s="66"/>
      <c r="BH144" s="24"/>
      <c r="BL144" s="14"/>
      <c r="BM144" s="14"/>
      <c r="BO144" s="24"/>
      <c r="CE144" s="24"/>
      <c r="CT144" s="14"/>
    </row>
    <row r="145" spans="1:98">
      <c r="A145" s="24"/>
      <c r="B145" s="24"/>
      <c r="H145" s="14"/>
      <c r="P145" s="28"/>
      <c r="Q145"/>
      <c r="R145"/>
      <c r="S145"/>
      <c r="T145"/>
      <c r="U145"/>
      <c r="V145" s="14"/>
      <c r="W145" s="24"/>
      <c r="X145"/>
      <c r="Y145"/>
      <c r="Z145"/>
      <c r="AA145"/>
      <c r="AB145"/>
      <c r="AC145" s="14"/>
      <c r="AD145"/>
      <c r="AE145"/>
      <c r="AF145"/>
      <c r="AG145"/>
      <c r="AH145"/>
      <c r="AI145"/>
      <c r="AJ145"/>
      <c r="AK145" s="28"/>
      <c r="AL145"/>
      <c r="AM145"/>
      <c r="AN145"/>
      <c r="AO145"/>
      <c r="AP145"/>
      <c r="AQ145"/>
      <c r="AR145" s="71"/>
      <c r="AS145" s="66"/>
      <c r="AT145" s="66"/>
      <c r="AU145" s="77" t="s">
        <v>237</v>
      </c>
      <c r="AV145"/>
      <c r="AW145"/>
      <c r="BA145"/>
      <c r="BB145"/>
      <c r="BC145"/>
      <c r="BD145"/>
      <c r="BE145"/>
      <c r="BF145" s="66"/>
      <c r="BG145" s="66"/>
      <c r="BH145" s="24"/>
      <c r="BL145" s="14"/>
      <c r="BM145" s="14"/>
      <c r="BO145" s="24"/>
      <c r="CE145" s="24"/>
      <c r="CT145" s="14"/>
    </row>
    <row r="146" spans="1:98">
      <c r="A146" s="24"/>
      <c r="B146" s="24"/>
      <c r="H146" s="14"/>
      <c r="P146" s="28"/>
      <c r="Q146"/>
      <c r="R146"/>
      <c r="S146"/>
      <c r="T146"/>
      <c r="U146"/>
      <c r="V146" s="14"/>
      <c r="W146" s="24"/>
      <c r="X146"/>
      <c r="Y146"/>
      <c r="Z146"/>
      <c r="AA146"/>
      <c r="AB146"/>
      <c r="AC146" s="14"/>
      <c r="AD146"/>
      <c r="AE146"/>
      <c r="AF146"/>
      <c r="AG146"/>
      <c r="AH146"/>
      <c r="AI146"/>
      <c r="AJ146"/>
      <c r="AK146" s="28"/>
      <c r="AL146"/>
      <c r="AM146"/>
      <c r="AN146"/>
      <c r="AO146"/>
      <c r="AP146"/>
      <c r="AQ146"/>
      <c r="AR146" s="71"/>
      <c r="AU146" s="8"/>
      <c r="BD146" s="70"/>
      <c r="BE146" s="70"/>
      <c r="BF146" s="66"/>
      <c r="BG146" s="66"/>
      <c r="BH146" s="24"/>
      <c r="BL146" s="14"/>
      <c r="BM146" s="14"/>
      <c r="BO146" s="24"/>
      <c r="CE146" s="24"/>
      <c r="CT146" s="14"/>
    </row>
    <row r="147" spans="1:98">
      <c r="A147" s="24"/>
      <c r="B147" s="24"/>
      <c r="H147" s="14"/>
      <c r="P147" s="28"/>
      <c r="Q147"/>
      <c r="R147"/>
      <c r="S147"/>
      <c r="T147"/>
      <c r="U147"/>
      <c r="V147" s="14"/>
      <c r="W147" s="24"/>
      <c r="X147"/>
      <c r="Y147"/>
      <c r="Z147"/>
      <c r="AA147"/>
      <c r="AB147"/>
      <c r="AC147" s="14"/>
      <c r="AD147"/>
      <c r="AE147"/>
      <c r="AF147"/>
      <c r="AG147"/>
      <c r="AH147"/>
      <c r="AI147"/>
      <c r="AJ147"/>
      <c r="AK147" s="28"/>
      <c r="AL147"/>
      <c r="AM147"/>
      <c r="AN147"/>
      <c r="AO147"/>
      <c r="AP147"/>
      <c r="AQ147"/>
      <c r="AR147" s="71"/>
      <c r="AU147" s="8"/>
      <c r="BD147" s="70"/>
      <c r="BE147" s="70"/>
      <c r="BF147" s="66"/>
      <c r="BG147" s="66"/>
      <c r="BH147" s="24"/>
      <c r="BL147" s="14"/>
      <c r="BM147" s="14"/>
      <c r="BO147" s="24"/>
      <c r="CE147" s="24"/>
      <c r="CT147" s="14"/>
    </row>
    <row r="148" spans="1:98">
      <c r="A148" s="24"/>
      <c r="B148" s="24"/>
      <c r="H148" s="14"/>
      <c r="P148" s="28"/>
      <c r="Q148"/>
      <c r="R148"/>
      <c r="S148"/>
      <c r="T148"/>
      <c r="U148"/>
      <c r="V148" s="14"/>
      <c r="W148" s="24"/>
      <c r="X148"/>
      <c r="Y148"/>
      <c r="Z148"/>
      <c r="AA148"/>
      <c r="AB148"/>
      <c r="AC148" s="14"/>
      <c r="AD148"/>
      <c r="AE148"/>
      <c r="AF148"/>
      <c r="AG148"/>
      <c r="AH148"/>
      <c r="AI148"/>
      <c r="AJ148"/>
      <c r="AK148" s="28"/>
      <c r="AL148"/>
      <c r="AM148"/>
      <c r="AN148"/>
      <c r="AO148"/>
      <c r="AP148"/>
      <c r="AQ148"/>
      <c r="AR148" s="71"/>
      <c r="AU148" s="8"/>
      <c r="BD148" s="70"/>
      <c r="BE148" s="70"/>
      <c r="BF148" s="66"/>
      <c r="BG148" s="66"/>
      <c r="BH148" s="24"/>
      <c r="BL148" s="14"/>
      <c r="BM148" s="14"/>
      <c r="BO148" s="24"/>
      <c r="CE148" s="24"/>
      <c r="CT148" s="14"/>
    </row>
    <row r="149" spans="1:98">
      <c r="A149" s="24"/>
      <c r="B149" s="24"/>
      <c r="H149" s="14"/>
      <c r="P149" s="28"/>
      <c r="Q149"/>
      <c r="R149"/>
      <c r="S149"/>
      <c r="T149"/>
      <c r="U149"/>
      <c r="V149" s="14"/>
      <c r="W149" s="24"/>
      <c r="X149"/>
      <c r="Y149"/>
      <c r="Z149"/>
      <c r="AA149"/>
      <c r="AB149"/>
      <c r="AC149" s="14"/>
      <c r="AD149"/>
      <c r="AE149"/>
      <c r="AF149"/>
      <c r="AG149"/>
      <c r="AH149"/>
      <c r="AI149"/>
      <c r="AJ149"/>
      <c r="AK149" s="28"/>
      <c r="AL149"/>
      <c r="AM149"/>
      <c r="AN149"/>
      <c r="AO149"/>
      <c r="AP149"/>
      <c r="AQ149"/>
      <c r="AR149" s="71"/>
      <c r="AU149" s="8"/>
      <c r="BD149" s="70"/>
      <c r="BE149" s="70"/>
      <c r="BF149" s="66"/>
      <c r="BG149" s="66"/>
      <c r="BH149" s="24"/>
      <c r="BL149" s="14"/>
      <c r="BM149" s="14"/>
      <c r="BO149" s="24"/>
      <c r="CE149" s="24"/>
      <c r="CT149" s="14"/>
    </row>
    <row r="150" spans="1:98">
      <c r="A150" s="24"/>
      <c r="B150" s="24"/>
      <c r="H150" s="14"/>
      <c r="P150" s="28"/>
      <c r="Q150"/>
      <c r="R150"/>
      <c r="S150"/>
      <c r="T150"/>
      <c r="U150"/>
      <c r="V150" s="14"/>
      <c r="W150" s="24"/>
      <c r="X150"/>
      <c r="Y150"/>
      <c r="Z150"/>
      <c r="AA150"/>
      <c r="AB150"/>
      <c r="AC150" s="14"/>
      <c r="AD150"/>
      <c r="AE150"/>
      <c r="AF150"/>
      <c r="AG150"/>
      <c r="AH150"/>
      <c r="AI150"/>
      <c r="AJ150"/>
      <c r="AK150" s="28"/>
      <c r="AL150"/>
      <c r="AM150"/>
      <c r="AN150"/>
      <c r="AO150"/>
      <c r="AP150"/>
      <c r="AQ150"/>
      <c r="AR150" s="71"/>
      <c r="AU150" s="8"/>
      <c r="BD150"/>
      <c r="BE150"/>
      <c r="BF150" s="66"/>
      <c r="BG150" s="66"/>
      <c r="BH150" s="24"/>
      <c r="BL150" s="14"/>
      <c r="BM150" s="14"/>
      <c r="BO150" s="24"/>
      <c r="CE150" s="24"/>
      <c r="CT150" s="14"/>
    </row>
    <row r="151" spans="1:98">
      <c r="A151" s="24"/>
      <c r="B151" s="24"/>
      <c r="H151" s="14"/>
      <c r="P151" s="28"/>
      <c r="Q151"/>
      <c r="R151"/>
      <c r="S151"/>
      <c r="T151"/>
      <c r="U151"/>
      <c r="V151" s="14"/>
      <c r="W151" s="24"/>
      <c r="X151"/>
      <c r="Y151"/>
      <c r="Z151"/>
      <c r="AA151"/>
      <c r="AB151"/>
      <c r="AC151" s="14"/>
      <c r="AD151"/>
      <c r="AE151"/>
      <c r="AF151"/>
      <c r="AG151"/>
      <c r="AH151"/>
      <c r="AI151"/>
      <c r="AJ151"/>
      <c r="AK151" s="28"/>
      <c r="AL151"/>
      <c r="AM151"/>
      <c r="AN151"/>
      <c r="AO151"/>
      <c r="AP151"/>
      <c r="AQ151"/>
      <c r="AR151" s="71"/>
      <c r="AU151" s="8"/>
      <c r="BD151" s="66"/>
      <c r="BE151" s="66"/>
      <c r="BF151" s="66"/>
      <c r="BG151" s="66"/>
      <c r="BH151" s="24"/>
      <c r="BL151" s="14"/>
      <c r="BM151" s="14"/>
      <c r="BO151" s="24"/>
      <c r="CE151" s="24"/>
      <c r="CT151" s="14"/>
    </row>
    <row r="152" spans="1:98">
      <c r="A152" s="24"/>
      <c r="B152" s="24"/>
      <c r="H152" s="14"/>
      <c r="P152" s="28"/>
      <c r="Q152"/>
      <c r="R152"/>
      <c r="S152"/>
      <c r="T152"/>
      <c r="U152"/>
      <c r="V152" s="14"/>
      <c r="W152" s="24"/>
      <c r="X152"/>
      <c r="Y152"/>
      <c r="Z152"/>
      <c r="AA152"/>
      <c r="AB152"/>
      <c r="AC152" s="14"/>
      <c r="AD152"/>
      <c r="AE152"/>
      <c r="AF152"/>
      <c r="AG152"/>
      <c r="AH152"/>
      <c r="AI152"/>
      <c r="AJ152"/>
      <c r="AK152" s="28"/>
      <c r="AL152"/>
      <c r="AM152"/>
      <c r="AN152"/>
      <c r="AO152"/>
      <c r="AP152"/>
      <c r="AQ152"/>
      <c r="AR152" s="71"/>
      <c r="AS152" s="76" t="s">
        <v>238</v>
      </c>
      <c r="AT152"/>
      <c r="AU152" s="18"/>
      <c r="AV152"/>
      <c r="AW152" s="66"/>
      <c r="AX152" s="66"/>
      <c r="AY152" s="66"/>
      <c r="AZ152" s="66"/>
      <c r="BA152" s="66"/>
      <c r="BB152" s="66"/>
      <c r="BC152" s="66"/>
      <c r="BD152" s="66"/>
      <c r="BE152" s="66"/>
      <c r="BF152" s="66"/>
      <c r="BG152" s="66"/>
      <c r="BH152" s="24"/>
      <c r="BL152" s="14"/>
      <c r="BM152" s="14"/>
      <c r="BO152" s="24"/>
      <c r="CE152" s="24"/>
      <c r="CT152" s="14"/>
    </row>
    <row r="153" spans="1:98">
      <c r="A153" s="24"/>
      <c r="B153" s="24"/>
      <c r="H153" s="14"/>
      <c r="P153" s="28"/>
      <c r="Q153"/>
      <c r="R153"/>
      <c r="S153"/>
      <c r="T153"/>
      <c r="U153"/>
      <c r="V153" s="14"/>
      <c r="W153" s="24"/>
      <c r="X153"/>
      <c r="Y153"/>
      <c r="Z153"/>
      <c r="AA153"/>
      <c r="AB153"/>
      <c r="AC153" s="14"/>
      <c r="AD153"/>
      <c r="AE153"/>
      <c r="AF153"/>
      <c r="AG153"/>
      <c r="AH153"/>
      <c r="AI153"/>
      <c r="AJ153"/>
      <c r="AK153" s="28"/>
      <c r="AL153"/>
      <c r="AM153"/>
      <c r="AN153"/>
      <c r="AO153"/>
      <c r="AP153"/>
      <c r="AQ153"/>
      <c r="AR153" s="71"/>
      <c r="AS153"/>
      <c r="AT153" s="66" t="s">
        <v>239</v>
      </c>
      <c r="AV153" s="66"/>
      <c r="AW153" s="66"/>
      <c r="AX153" s="66"/>
      <c r="AY153" s="66"/>
      <c r="AZ153" s="66"/>
      <c r="BA153" s="66"/>
      <c r="BB153" s="66"/>
      <c r="BC153" s="66"/>
      <c r="BD153" s="66"/>
      <c r="BE153" s="66"/>
      <c r="BF153" s="66"/>
      <c r="BG153" s="66"/>
      <c r="BH153" s="24"/>
      <c r="BL153" s="14"/>
      <c r="BM153" s="14"/>
      <c r="BO153" s="24"/>
      <c r="CE153" s="24"/>
      <c r="CT153" s="14"/>
    </row>
    <row r="154" spans="1:98">
      <c r="A154" s="24"/>
      <c r="B154" s="24"/>
      <c r="H154" s="14"/>
      <c r="P154" s="28"/>
      <c r="Q154"/>
      <c r="R154"/>
      <c r="S154"/>
      <c r="T154"/>
      <c r="U154"/>
      <c r="V154" s="14"/>
      <c r="W154" s="24"/>
      <c r="X154"/>
      <c r="Y154"/>
      <c r="Z154"/>
      <c r="AA154"/>
      <c r="AB154"/>
      <c r="AC154" s="14"/>
      <c r="AD154"/>
      <c r="AE154"/>
      <c r="AF154"/>
      <c r="AG154"/>
      <c r="AH154"/>
      <c r="AI154"/>
      <c r="AJ154"/>
      <c r="AK154" s="28"/>
      <c r="AL154"/>
      <c r="AM154"/>
      <c r="AN154"/>
      <c r="AO154"/>
      <c r="AP154"/>
      <c r="AQ154"/>
      <c r="AR154" s="71"/>
      <c r="AS154"/>
      <c r="AT154" s="66" t="s">
        <v>240</v>
      </c>
      <c r="AV154" s="66"/>
      <c r="AW154" s="66"/>
      <c r="AX154" s="66"/>
      <c r="AY154" s="66"/>
      <c r="AZ154" s="66"/>
      <c r="BA154" s="66"/>
      <c r="BB154" s="66"/>
      <c r="BC154" s="66"/>
      <c r="BD154" s="66"/>
      <c r="BE154" s="66"/>
      <c r="BF154" s="66"/>
      <c r="BG154" s="66"/>
      <c r="BH154" s="24"/>
      <c r="BL154" s="14"/>
      <c r="BM154" s="14"/>
      <c r="BO154" s="24" t="s">
        <v>105</v>
      </c>
      <c r="BP154" s="8" t="s">
        <v>241</v>
      </c>
      <c r="CE154" s="24" t="s">
        <v>107</v>
      </c>
      <c r="CF154" s="8" t="s">
        <v>242</v>
      </c>
      <c r="CT154" s="14"/>
    </row>
    <row r="155" spans="1:98">
      <c r="A155" s="24"/>
      <c r="B155" s="24"/>
      <c r="H155" s="14"/>
      <c r="P155" s="28"/>
      <c r="Q155"/>
      <c r="R155"/>
      <c r="S155"/>
      <c r="T155"/>
      <c r="U155"/>
      <c r="V155" s="14"/>
      <c r="W155" s="24"/>
      <c r="X155"/>
      <c r="Y155"/>
      <c r="Z155"/>
      <c r="AA155"/>
      <c r="AB155"/>
      <c r="AC155" s="14"/>
      <c r="AD155"/>
      <c r="AE155"/>
      <c r="AF155"/>
      <c r="AG155"/>
      <c r="AH155"/>
      <c r="AI155"/>
      <c r="AJ155"/>
      <c r="AK155" s="28"/>
      <c r="AL155"/>
      <c r="AM155"/>
      <c r="AN155"/>
      <c r="AO155"/>
      <c r="AP155"/>
      <c r="AQ155"/>
      <c r="AR155" s="71"/>
      <c r="AS155" s="66"/>
      <c r="AT155" s="66" t="s">
        <v>243</v>
      </c>
      <c r="AU155"/>
      <c r="AV155" s="66"/>
      <c r="AW155" s="66"/>
      <c r="AX155" s="66"/>
      <c r="AY155" s="66"/>
      <c r="AZ155" s="66"/>
      <c r="BA155" s="66"/>
      <c r="BB155" s="66"/>
      <c r="BC155" s="66"/>
      <c r="BD155" s="66"/>
      <c r="BE155" s="66"/>
      <c r="BF155" s="66"/>
      <c r="BG155" s="66"/>
      <c r="BH155" s="24"/>
      <c r="BL155" s="14"/>
      <c r="BM155" s="14"/>
      <c r="BO155" s="24"/>
      <c r="BP155" s="8" t="s">
        <v>171</v>
      </c>
      <c r="CE155" s="24"/>
      <c r="CF155" s="8" t="s">
        <v>244</v>
      </c>
      <c r="CT155" s="14"/>
    </row>
    <row r="156" spans="1:98">
      <c r="A156" s="24"/>
      <c r="B156" s="24"/>
      <c r="H156" s="14"/>
      <c r="P156" s="28"/>
      <c r="Q156"/>
      <c r="R156"/>
      <c r="S156"/>
      <c r="T156"/>
      <c r="U156"/>
      <c r="V156" s="14"/>
      <c r="W156" s="24"/>
      <c r="X156"/>
      <c r="Y156"/>
      <c r="Z156"/>
      <c r="AA156"/>
      <c r="AB156"/>
      <c r="AC156" s="14"/>
      <c r="AD156"/>
      <c r="AE156"/>
      <c r="AF156"/>
      <c r="AG156"/>
      <c r="AH156"/>
      <c r="AI156"/>
      <c r="AJ156"/>
      <c r="AK156" s="28"/>
      <c r="AL156"/>
      <c r="AM156"/>
      <c r="AN156"/>
      <c r="AO156"/>
      <c r="AP156"/>
      <c r="AQ156"/>
      <c r="AR156" s="71"/>
      <c r="AS156" s="66"/>
      <c r="AT156" s="92" t="s">
        <v>118</v>
      </c>
      <c r="AU156" s="92" t="s">
        <v>245</v>
      </c>
      <c r="AV156" s="49"/>
      <c r="AW156" s="49"/>
      <c r="AX156" s="49"/>
      <c r="AY156" s="49"/>
      <c r="AZ156" s="49"/>
      <c r="BA156" s="49"/>
      <c r="BB156" s="66"/>
      <c r="BC156" s="66"/>
      <c r="BD156" s="66"/>
      <c r="BE156" s="66"/>
      <c r="BF156" s="66"/>
      <c r="BG156" s="66"/>
      <c r="BH156" s="24"/>
      <c r="BL156" s="14"/>
      <c r="BM156" s="14"/>
      <c r="BO156" s="24"/>
      <c r="CE156" s="24"/>
      <c r="CT156" s="14"/>
    </row>
    <row r="157" spans="1:98">
      <c r="A157" s="24"/>
      <c r="B157" s="24"/>
      <c r="H157" s="14"/>
      <c r="P157" s="28"/>
      <c r="Q157"/>
      <c r="R157"/>
      <c r="S157"/>
      <c r="T157"/>
      <c r="U157"/>
      <c r="V157" s="14"/>
      <c r="W157" s="24"/>
      <c r="X157"/>
      <c r="Y157"/>
      <c r="Z157"/>
      <c r="AA157"/>
      <c r="AB157"/>
      <c r="AC157" s="14"/>
      <c r="AD157"/>
      <c r="AE157"/>
      <c r="AF157"/>
      <c r="AG157"/>
      <c r="AH157"/>
      <c r="AI157"/>
      <c r="AJ157"/>
      <c r="AK157" s="28"/>
      <c r="AL157"/>
      <c r="AM157"/>
      <c r="AN157"/>
      <c r="AO157"/>
      <c r="AP157"/>
      <c r="AQ157"/>
      <c r="AR157" s="71"/>
      <c r="AT157" s="49"/>
      <c r="AU157" s="49" t="s">
        <v>246</v>
      </c>
      <c r="AV157" s="49"/>
      <c r="AW157" s="49"/>
      <c r="AX157" s="49"/>
      <c r="AY157" s="49"/>
      <c r="AZ157" s="49"/>
      <c r="BA157" s="49"/>
      <c r="BD157" s="66"/>
      <c r="BE157" s="66"/>
      <c r="BF157" s="66"/>
      <c r="BG157" s="66"/>
      <c r="BH157" s="24"/>
      <c r="BL157" s="14"/>
      <c r="BM157" s="14"/>
      <c r="BO157" s="24"/>
      <c r="CE157" s="24"/>
      <c r="CT157" s="14"/>
    </row>
    <row r="158" spans="1:98">
      <c r="A158" s="24"/>
      <c r="B158" s="24"/>
      <c r="H158" s="14"/>
      <c r="P158" s="28"/>
      <c r="Q158"/>
      <c r="R158"/>
      <c r="S158"/>
      <c r="T158"/>
      <c r="U158"/>
      <c r="V158" s="14"/>
      <c r="W158" s="24"/>
      <c r="X158"/>
      <c r="Y158"/>
      <c r="Z158"/>
      <c r="AA158"/>
      <c r="AB158"/>
      <c r="AC158" s="14"/>
      <c r="AD158"/>
      <c r="AE158"/>
      <c r="AF158"/>
      <c r="AG158"/>
      <c r="AH158"/>
      <c r="AI158"/>
      <c r="AJ158"/>
      <c r="AK158" s="28"/>
      <c r="AL158"/>
      <c r="AM158"/>
      <c r="AN158"/>
      <c r="AO158"/>
      <c r="AP158"/>
      <c r="AQ158"/>
      <c r="AR158" s="71"/>
      <c r="AU158" s="8"/>
      <c r="BD158"/>
      <c r="BE158"/>
      <c r="BF158" s="66"/>
      <c r="BG158" s="66"/>
      <c r="BH158" s="24"/>
      <c r="BL158" s="14"/>
      <c r="BM158" s="14"/>
      <c r="BO158" s="24"/>
      <c r="CE158" s="24"/>
      <c r="CT158" s="14"/>
    </row>
    <row r="159" spans="1:98">
      <c r="A159" s="24"/>
      <c r="B159" s="24"/>
      <c r="H159" s="14"/>
      <c r="P159" s="28"/>
      <c r="Q159"/>
      <c r="R159"/>
      <c r="S159"/>
      <c r="T159"/>
      <c r="U159"/>
      <c r="V159" s="14"/>
      <c r="W159" s="24"/>
      <c r="X159"/>
      <c r="Y159"/>
      <c r="Z159"/>
      <c r="AA159"/>
      <c r="AB159"/>
      <c r="AC159" s="14"/>
      <c r="AD159"/>
      <c r="AE159"/>
      <c r="AF159"/>
      <c r="AG159"/>
      <c r="AH159"/>
      <c r="AI159"/>
      <c r="AJ159"/>
      <c r="AK159" s="28"/>
      <c r="AL159"/>
      <c r="AM159"/>
      <c r="AN159"/>
      <c r="AO159"/>
      <c r="AP159"/>
      <c r="AQ159"/>
      <c r="AR159" s="71"/>
      <c r="AS159" s="76" t="s">
        <v>247</v>
      </c>
      <c r="AT159"/>
      <c r="AU159" s="18"/>
      <c r="AV159"/>
      <c r="AW159" s="66"/>
      <c r="AX159" s="66"/>
      <c r="AY159" s="66"/>
      <c r="AZ159" s="66"/>
      <c r="BA159" s="66"/>
      <c r="BB159" s="66"/>
      <c r="BC159" s="66"/>
      <c r="BD159"/>
      <c r="BE159"/>
      <c r="BF159" s="66"/>
      <c r="BG159" s="66"/>
      <c r="BH159" s="24"/>
      <c r="BL159" s="14"/>
      <c r="BM159" s="14"/>
      <c r="BO159" s="24"/>
      <c r="CE159" s="24"/>
      <c r="CT159" s="14"/>
    </row>
    <row r="160" spans="1:98">
      <c r="A160" s="24"/>
      <c r="B160" s="24"/>
      <c r="H160" s="14"/>
      <c r="P160" s="28"/>
      <c r="Q160"/>
      <c r="R160"/>
      <c r="S160"/>
      <c r="T160"/>
      <c r="U160"/>
      <c r="V160" s="14"/>
      <c r="W160" s="24"/>
      <c r="X160"/>
      <c r="Y160"/>
      <c r="Z160"/>
      <c r="AA160"/>
      <c r="AB160"/>
      <c r="AC160" s="14"/>
      <c r="AD160"/>
      <c r="AE160"/>
      <c r="AF160"/>
      <c r="AG160"/>
      <c r="AH160"/>
      <c r="AI160"/>
      <c r="AJ160"/>
      <c r="AK160" s="28"/>
      <c r="AL160"/>
      <c r="AM160"/>
      <c r="AN160"/>
      <c r="AO160"/>
      <c r="AP160"/>
      <c r="AQ160"/>
      <c r="AR160" s="71"/>
      <c r="AS160" s="77"/>
      <c r="AT160" s="66" t="s">
        <v>248</v>
      </c>
      <c r="AV160" s="66"/>
      <c r="AW160"/>
      <c r="AX160"/>
      <c r="AY160"/>
      <c r="AZ160"/>
      <c r="BA160"/>
      <c r="BB160"/>
      <c r="BC160"/>
      <c r="BD160"/>
      <c r="BE160"/>
      <c r="BF160" s="66"/>
      <c r="BG160" s="66"/>
      <c r="BH160" s="24"/>
      <c r="BL160" s="14"/>
      <c r="BM160" s="14"/>
      <c r="BO160" s="24"/>
      <c r="CE160" s="24"/>
      <c r="CT160" s="14"/>
    </row>
    <row r="161" spans="1:98">
      <c r="A161" s="24"/>
      <c r="B161" s="24"/>
      <c r="H161" s="14"/>
      <c r="P161" s="28"/>
      <c r="Q161"/>
      <c r="R161"/>
      <c r="S161"/>
      <c r="T161"/>
      <c r="U161"/>
      <c r="V161" s="14"/>
      <c r="W161" s="24"/>
      <c r="X161"/>
      <c r="Y161"/>
      <c r="Z161"/>
      <c r="AA161"/>
      <c r="AB161"/>
      <c r="AC161" s="14"/>
      <c r="AD161"/>
      <c r="AE161"/>
      <c r="AF161"/>
      <c r="AG161"/>
      <c r="AH161"/>
      <c r="AI161"/>
      <c r="AJ161"/>
      <c r="AK161" s="28"/>
      <c r="AL161"/>
      <c r="AM161"/>
      <c r="AN161"/>
      <c r="AO161"/>
      <c r="AP161"/>
      <c r="AQ161"/>
      <c r="AR161" s="71"/>
      <c r="AS161" s="66"/>
      <c r="AT161" s="66" t="s">
        <v>118</v>
      </c>
      <c r="AU161" s="66" t="s">
        <v>249</v>
      </c>
      <c r="AV161"/>
      <c r="AW161"/>
      <c r="AX161"/>
      <c r="AY161"/>
      <c r="AZ161"/>
      <c r="BA161"/>
      <c r="BB161"/>
      <c r="BC161"/>
      <c r="BD161"/>
      <c r="BE161"/>
      <c r="BF161" s="66"/>
      <c r="BG161" s="66"/>
      <c r="BH161" s="24"/>
      <c r="BL161" s="14"/>
      <c r="BM161" s="14"/>
      <c r="BO161" s="24"/>
      <c r="CE161" s="24"/>
      <c r="CF161" s="11"/>
      <c r="CG161" s="11"/>
      <c r="CH161" s="11"/>
      <c r="CT161" s="14"/>
    </row>
    <row r="162" spans="1:98">
      <c r="A162" s="24"/>
      <c r="B162" s="24"/>
      <c r="H162" s="14"/>
      <c r="P162" s="28"/>
      <c r="Q162"/>
      <c r="R162"/>
      <c r="S162"/>
      <c r="T162"/>
      <c r="U162"/>
      <c r="V162" s="14"/>
      <c r="W162" s="24"/>
      <c r="X162"/>
      <c r="Y162"/>
      <c r="Z162"/>
      <c r="AA162"/>
      <c r="AB162"/>
      <c r="AC162" s="14"/>
      <c r="AD162"/>
      <c r="AE162"/>
      <c r="AF162"/>
      <c r="AG162"/>
      <c r="AH162"/>
      <c r="AI162"/>
      <c r="AJ162"/>
      <c r="AK162" s="28"/>
      <c r="AL162"/>
      <c r="AM162"/>
      <c r="AN162"/>
      <c r="AO162"/>
      <c r="AP162"/>
      <c r="AQ162"/>
      <c r="AR162" s="71"/>
      <c r="AS162" s="77"/>
      <c r="AT162" s="66"/>
      <c r="AU162" s="66" t="s">
        <v>167</v>
      </c>
      <c r="AV162"/>
      <c r="AW162" s="66"/>
      <c r="AX162" s="66"/>
      <c r="AY162" s="66"/>
      <c r="AZ162" s="66"/>
      <c r="BA162" s="66"/>
      <c r="BB162" s="66"/>
      <c r="BC162" s="66"/>
      <c r="BD162"/>
      <c r="BE162"/>
      <c r="BF162" s="66"/>
      <c r="BG162" s="66"/>
      <c r="BH162" s="24"/>
      <c r="BL162" s="14"/>
      <c r="BM162" s="14"/>
      <c r="BO162" s="24"/>
      <c r="CE162" s="24"/>
      <c r="CF162" s="11"/>
      <c r="CG162" s="11"/>
      <c r="CH162" s="11"/>
      <c r="CT162" s="14"/>
    </row>
    <row r="163" spans="1:98">
      <c r="A163" s="24"/>
      <c r="B163" s="24"/>
      <c r="H163" s="14"/>
      <c r="P163" s="28"/>
      <c r="Q163"/>
      <c r="R163"/>
      <c r="S163"/>
      <c r="T163"/>
      <c r="U163"/>
      <c r="V163" s="14"/>
      <c r="W163" s="24"/>
      <c r="X163"/>
      <c r="Y163"/>
      <c r="Z163"/>
      <c r="AA163"/>
      <c r="AB163"/>
      <c r="AC163" s="14"/>
      <c r="AD163"/>
      <c r="AE163"/>
      <c r="AF163"/>
      <c r="AG163"/>
      <c r="AH163"/>
      <c r="AI163"/>
      <c r="AJ163"/>
      <c r="AK163" s="28"/>
      <c r="AL163"/>
      <c r="AM163"/>
      <c r="AN163"/>
      <c r="AO163"/>
      <c r="AP163"/>
      <c r="AQ163"/>
      <c r="AR163" s="71"/>
      <c r="AS163" s="77"/>
      <c r="AT163" s="66"/>
      <c r="AU163" s="77" t="s">
        <v>250</v>
      </c>
      <c r="AV163" s="66"/>
      <c r="AW163" s="66"/>
      <c r="AX163" s="66"/>
      <c r="AY163" s="66"/>
      <c r="AZ163" s="66"/>
      <c r="BA163" s="66"/>
      <c r="BB163" s="66"/>
      <c r="BC163" s="66"/>
      <c r="BD163"/>
      <c r="BE163"/>
      <c r="BF163" s="66"/>
      <c r="BG163" s="66"/>
      <c r="BH163" s="24"/>
      <c r="BL163" s="14"/>
      <c r="BM163" s="14"/>
      <c r="BO163" s="24"/>
      <c r="CE163" s="24"/>
      <c r="CF163" s="11"/>
      <c r="CG163" s="11"/>
      <c r="CH163" s="11"/>
      <c r="CT163" s="14"/>
    </row>
    <row r="164" spans="1:98">
      <c r="A164" s="24"/>
      <c r="B164" s="24"/>
      <c r="H164" s="14"/>
      <c r="P164" s="28"/>
      <c r="Q164"/>
      <c r="R164"/>
      <c r="S164"/>
      <c r="T164"/>
      <c r="U164"/>
      <c r="V164" s="14"/>
      <c r="W164" s="24"/>
      <c r="X164"/>
      <c r="Y164"/>
      <c r="Z164"/>
      <c r="AA164"/>
      <c r="AB164"/>
      <c r="AC164" s="14"/>
      <c r="AD164"/>
      <c r="AE164"/>
      <c r="AF164"/>
      <c r="AG164"/>
      <c r="AH164"/>
      <c r="AI164"/>
      <c r="AJ164"/>
      <c r="AK164" s="28"/>
      <c r="AL164"/>
      <c r="AM164"/>
      <c r="AN164"/>
      <c r="AO164"/>
      <c r="AP164"/>
      <c r="AQ164"/>
      <c r="AR164" s="71"/>
      <c r="AS164" s="77"/>
      <c r="AT164" s="66"/>
      <c r="AV164" s="66"/>
      <c r="AW164" s="66"/>
      <c r="AX164" s="66"/>
      <c r="AY164" s="66"/>
      <c r="AZ164" s="66"/>
      <c r="BA164" s="66"/>
      <c r="BB164" s="66"/>
      <c r="BC164" s="66"/>
      <c r="BD164"/>
      <c r="BE164"/>
      <c r="BF164" s="66"/>
      <c r="BG164" s="66"/>
      <c r="BH164" s="24"/>
      <c r="BL164" s="14"/>
      <c r="BM164" s="14"/>
      <c r="BO164" s="24"/>
      <c r="CE164" s="24"/>
      <c r="CT164" s="14"/>
    </row>
    <row r="165" spans="1:98">
      <c r="A165" s="24"/>
      <c r="B165" s="24"/>
      <c r="H165" s="14"/>
      <c r="P165" s="28"/>
      <c r="Q165"/>
      <c r="R165"/>
      <c r="S165"/>
      <c r="T165"/>
      <c r="U165"/>
      <c r="V165" s="14"/>
      <c r="W165" s="24"/>
      <c r="X165"/>
      <c r="Y165"/>
      <c r="Z165"/>
      <c r="AA165"/>
      <c r="AB165"/>
      <c r="AC165" s="14"/>
      <c r="AD165"/>
      <c r="AE165"/>
      <c r="AF165"/>
      <c r="AG165"/>
      <c r="AH165"/>
      <c r="AI165"/>
      <c r="AJ165"/>
      <c r="AK165" s="28"/>
      <c r="AL165"/>
      <c r="AM165"/>
      <c r="AN165"/>
      <c r="AO165"/>
      <c r="AP165"/>
      <c r="AQ165"/>
      <c r="AR165" s="71"/>
      <c r="AU165" s="8"/>
      <c r="BB165" s="66"/>
      <c r="BC165" s="70"/>
      <c r="BD165"/>
      <c r="BE165"/>
      <c r="BF165" s="66"/>
      <c r="BG165" s="66"/>
      <c r="BH165" s="24"/>
      <c r="BL165" s="14"/>
      <c r="BM165" s="14"/>
      <c r="BO165" s="24"/>
      <c r="CE165" s="24"/>
      <c r="CT165" s="14"/>
    </row>
    <row r="166" spans="1:98">
      <c r="A166" s="24"/>
      <c r="B166" s="24"/>
      <c r="H166" s="14"/>
      <c r="P166" s="28"/>
      <c r="Q166"/>
      <c r="R166"/>
      <c r="S166"/>
      <c r="T166"/>
      <c r="U166"/>
      <c r="V166" s="14"/>
      <c r="W166" s="24"/>
      <c r="X166"/>
      <c r="Y166"/>
      <c r="Z166"/>
      <c r="AA166"/>
      <c r="AB166"/>
      <c r="AC166" s="14"/>
      <c r="AD166"/>
      <c r="AE166"/>
      <c r="AF166"/>
      <c r="AG166"/>
      <c r="AH166"/>
      <c r="AI166"/>
      <c r="AJ166"/>
      <c r="AK166" s="28"/>
      <c r="AL166"/>
      <c r="AM166"/>
      <c r="AN166"/>
      <c r="AO166"/>
      <c r="AP166"/>
      <c r="AQ166"/>
      <c r="AR166" s="71"/>
      <c r="AU166" s="8"/>
      <c r="BB166" s="66"/>
      <c r="BC166" s="70"/>
      <c r="BD166"/>
      <c r="BE166"/>
      <c r="BF166" s="66"/>
      <c r="BG166" s="66"/>
      <c r="BH166" s="24"/>
      <c r="BL166" s="14"/>
      <c r="BM166" s="14"/>
      <c r="BO166" s="24"/>
      <c r="CE166" s="24"/>
      <c r="CT166" s="14"/>
    </row>
    <row r="167" spans="1:98">
      <c r="A167" s="24"/>
      <c r="B167" s="24"/>
      <c r="H167" s="14"/>
      <c r="P167" s="28"/>
      <c r="Q167"/>
      <c r="R167"/>
      <c r="S167"/>
      <c r="T167"/>
      <c r="U167"/>
      <c r="V167" s="14"/>
      <c r="W167" s="24"/>
      <c r="X167"/>
      <c r="Y167"/>
      <c r="Z167"/>
      <c r="AA167"/>
      <c r="AB167"/>
      <c r="AC167" s="14"/>
      <c r="AD167"/>
      <c r="AE167"/>
      <c r="AF167"/>
      <c r="AG167"/>
      <c r="AH167"/>
      <c r="AI167"/>
      <c r="AJ167"/>
      <c r="AK167" s="28"/>
      <c r="AL167"/>
      <c r="AM167"/>
      <c r="AN167"/>
      <c r="AO167"/>
      <c r="AP167"/>
      <c r="AQ167"/>
      <c r="AR167" s="71"/>
      <c r="AU167" s="8"/>
      <c r="BB167" s="66"/>
      <c r="BC167" s="70"/>
      <c r="BD167"/>
      <c r="BE167"/>
      <c r="BF167" s="66"/>
      <c r="BG167" s="66"/>
      <c r="BH167" s="24"/>
      <c r="BL167" s="14"/>
      <c r="BM167" s="14"/>
      <c r="BO167" s="24"/>
      <c r="BX167" s="66"/>
      <c r="BY167" s="66"/>
      <c r="CE167" s="24"/>
      <c r="CT167" s="14"/>
    </row>
    <row r="168" spans="1:98">
      <c r="A168" s="24"/>
      <c r="B168" s="24"/>
      <c r="H168" s="14"/>
      <c r="P168" s="28"/>
      <c r="Q168"/>
      <c r="R168"/>
      <c r="S168"/>
      <c r="T168"/>
      <c r="U168"/>
      <c r="V168" s="14"/>
      <c r="W168" s="24"/>
      <c r="X168"/>
      <c r="Y168"/>
      <c r="Z168"/>
      <c r="AA168"/>
      <c r="AB168"/>
      <c r="AC168" s="14"/>
      <c r="AD168"/>
      <c r="AE168"/>
      <c r="AF168"/>
      <c r="AG168"/>
      <c r="AH168"/>
      <c r="AI168"/>
      <c r="AJ168"/>
      <c r="AK168" s="28"/>
      <c r="AL168"/>
      <c r="AM168"/>
      <c r="AN168"/>
      <c r="AO168"/>
      <c r="AP168"/>
      <c r="AQ168"/>
      <c r="AR168" s="71"/>
      <c r="AU168" s="8"/>
      <c r="BB168"/>
      <c r="BC168" s="70"/>
      <c r="BD168"/>
      <c r="BE168"/>
      <c r="BF168" s="66"/>
      <c r="BG168" s="66"/>
      <c r="BH168" s="24"/>
      <c r="BL168" s="14"/>
      <c r="BM168" s="14"/>
      <c r="BO168" s="24"/>
      <c r="BX168" s="66"/>
      <c r="BY168" s="66"/>
      <c r="CE168" s="24"/>
      <c r="CT168" s="14"/>
    </row>
    <row r="169" spans="1:98">
      <c r="A169" s="24"/>
      <c r="B169" s="24"/>
      <c r="H169" s="14"/>
      <c r="P169" s="28"/>
      <c r="Q169"/>
      <c r="R169"/>
      <c r="S169"/>
      <c r="T169"/>
      <c r="U169"/>
      <c r="V169" s="14"/>
      <c r="W169" s="24"/>
      <c r="X169"/>
      <c r="Y169"/>
      <c r="Z169"/>
      <c r="AA169"/>
      <c r="AB169"/>
      <c r="AC169" s="14"/>
      <c r="AD169"/>
      <c r="AE169"/>
      <c r="AF169"/>
      <c r="AG169"/>
      <c r="AH169"/>
      <c r="AI169"/>
      <c r="AJ169"/>
      <c r="AK169" s="28"/>
      <c r="AL169"/>
      <c r="AM169"/>
      <c r="AN169"/>
      <c r="AO169"/>
      <c r="AP169"/>
      <c r="AQ169"/>
      <c r="AR169" s="71"/>
      <c r="AS169" s="80" t="s">
        <v>251</v>
      </c>
      <c r="AT169" s="70"/>
      <c r="AU169" s="70"/>
      <c r="AV169" s="70"/>
      <c r="AW169" s="70"/>
      <c r="AX169" s="70"/>
      <c r="AY169" s="70"/>
      <c r="AZ169" s="70"/>
      <c r="BB169"/>
      <c r="BC169" s="70"/>
      <c r="BD169"/>
      <c r="BE169"/>
      <c r="BF169" s="66"/>
      <c r="BG169" s="66"/>
      <c r="BH169" s="24"/>
      <c r="BL169" s="14"/>
      <c r="BM169" s="14"/>
      <c r="BO169" s="24"/>
      <c r="BX169"/>
      <c r="BY169" s="66"/>
      <c r="CE169" s="24"/>
      <c r="CT169" s="14"/>
    </row>
    <row r="170" spans="1:98">
      <c r="A170" s="24"/>
      <c r="B170" s="24"/>
      <c r="H170" s="14"/>
      <c r="P170" s="28"/>
      <c r="Q170"/>
      <c r="R170"/>
      <c r="S170"/>
      <c r="T170"/>
      <c r="U170"/>
      <c r="V170" s="14"/>
      <c r="W170" s="24"/>
      <c r="X170"/>
      <c r="Y170"/>
      <c r="Z170"/>
      <c r="AA170"/>
      <c r="AB170"/>
      <c r="AC170" s="14"/>
      <c r="AD170"/>
      <c r="AE170"/>
      <c r="AF170"/>
      <c r="AG170"/>
      <c r="AH170"/>
      <c r="AI170"/>
      <c r="AJ170"/>
      <c r="AK170" s="28"/>
      <c r="AL170"/>
      <c r="AM170"/>
      <c r="AN170"/>
      <c r="AO170"/>
      <c r="AP170"/>
      <c r="AQ170"/>
      <c r="AR170" s="71"/>
      <c r="AS170" s="70"/>
      <c r="AT170" s="70" t="s">
        <v>179</v>
      </c>
      <c r="AU170" s="70"/>
      <c r="AV170" s="70"/>
      <c r="AW170" s="70"/>
      <c r="AX170" s="70"/>
      <c r="AY170" s="70"/>
      <c r="AZ170" s="70"/>
      <c r="BA170" s="66"/>
      <c r="BB170" s="66"/>
      <c r="BC170"/>
      <c r="BD170"/>
      <c r="BE170"/>
      <c r="BF170" s="66"/>
      <c r="BG170" s="66"/>
      <c r="BH170" s="24"/>
      <c r="BL170" s="14"/>
      <c r="BM170" s="14"/>
      <c r="BO170" s="24"/>
      <c r="BX170"/>
      <c r="BY170"/>
      <c r="CE170" s="24"/>
      <c r="CT170" s="14"/>
    </row>
    <row r="171" spans="1:98">
      <c r="A171" s="24"/>
      <c r="B171" s="24"/>
      <c r="H171" s="14"/>
      <c r="P171" s="28"/>
      <c r="Q171"/>
      <c r="R171"/>
      <c r="S171"/>
      <c r="T171"/>
      <c r="U171"/>
      <c r="V171" s="14"/>
      <c r="W171" s="24"/>
      <c r="X171"/>
      <c r="Y171"/>
      <c r="Z171"/>
      <c r="AA171"/>
      <c r="AB171"/>
      <c r="AC171" s="14"/>
      <c r="AD171"/>
      <c r="AE171"/>
      <c r="AF171"/>
      <c r="AG171"/>
      <c r="AH171"/>
      <c r="AI171"/>
      <c r="AJ171"/>
      <c r="AK171" s="28"/>
      <c r="AL171"/>
      <c r="AM171"/>
      <c r="AN171"/>
      <c r="AO171"/>
      <c r="AP171"/>
      <c r="AQ171"/>
      <c r="AR171" s="71"/>
      <c r="AS171" s="70"/>
      <c r="AT171" s="79" t="s">
        <v>118</v>
      </c>
      <c r="AU171" s="92" t="s">
        <v>180</v>
      </c>
      <c r="AV171" s="70"/>
      <c r="AW171" s="70"/>
      <c r="AX171" s="70"/>
      <c r="AY171" s="70"/>
      <c r="AZ171" s="70"/>
      <c r="BA171" s="66"/>
      <c r="BB171" s="66"/>
      <c r="BC171" s="66"/>
      <c r="BD171"/>
      <c r="BE171"/>
      <c r="BF171" s="66"/>
      <c r="BG171" s="66"/>
      <c r="BH171" s="24"/>
      <c r="BL171" s="14"/>
      <c r="BM171" s="14"/>
      <c r="BO171" s="24"/>
      <c r="BX171" s="66"/>
      <c r="BY171"/>
      <c r="CE171" s="24"/>
      <c r="CT171" s="14"/>
    </row>
    <row r="172" spans="1:98">
      <c r="A172" s="24"/>
      <c r="B172" s="28"/>
      <c r="C172"/>
      <c r="D172"/>
      <c r="E172"/>
      <c r="F172"/>
      <c r="G172"/>
      <c r="H172" s="19"/>
      <c r="P172" s="24"/>
      <c r="W172" s="24"/>
      <c r="AC172" s="14"/>
      <c r="AK172" s="71"/>
      <c r="AL172" s="66"/>
      <c r="AM172" s="66"/>
      <c r="AN172" s="66"/>
      <c r="AO172" s="66"/>
      <c r="AP172" s="66"/>
      <c r="AQ172" s="66"/>
      <c r="AR172" s="71"/>
      <c r="AS172" s="70"/>
      <c r="AT172" s="11" t="s">
        <v>118</v>
      </c>
      <c r="AU172" s="70" t="s">
        <v>182</v>
      </c>
      <c r="AV172" s="70"/>
      <c r="AW172" s="66"/>
      <c r="AX172" s="66"/>
      <c r="AY172" s="66"/>
      <c r="AZ172" s="66"/>
      <c r="BA172"/>
      <c r="BB172"/>
      <c r="BC172" s="66"/>
      <c r="BD172" s="66"/>
      <c r="BE172" s="66"/>
      <c r="BF172" s="66"/>
      <c r="BG172" s="66"/>
      <c r="BH172" s="24"/>
      <c r="BL172" s="14"/>
      <c r="BM172" s="14"/>
      <c r="BO172" s="24"/>
      <c r="CE172" s="24"/>
      <c r="CT172" s="14"/>
    </row>
    <row r="173" spans="1:98" s="11" customFormat="1">
      <c r="A173" s="25"/>
      <c r="B173" s="27"/>
      <c r="C173" s="21"/>
      <c r="D173" s="21"/>
      <c r="E173" s="21"/>
      <c r="F173" s="21"/>
      <c r="G173" s="21"/>
      <c r="H173" s="20"/>
      <c r="P173" s="27"/>
      <c r="Q173" s="21"/>
      <c r="R173" s="21"/>
      <c r="S173" s="21"/>
      <c r="T173" s="21"/>
      <c r="U173" s="21"/>
      <c r="V173" s="21"/>
      <c r="W173" s="27"/>
      <c r="X173" s="21"/>
      <c r="Y173" s="21"/>
      <c r="Z173" s="21"/>
      <c r="AA173" s="21"/>
      <c r="AB173" s="21"/>
      <c r="AC173" s="20"/>
      <c r="AD173" s="21"/>
      <c r="AE173" s="21"/>
      <c r="AF173" s="21"/>
      <c r="AG173" s="21"/>
      <c r="AH173" s="21"/>
      <c r="AI173" s="21"/>
      <c r="AJ173" s="21"/>
      <c r="AK173" s="27"/>
      <c r="AL173" s="21"/>
      <c r="AM173" s="21"/>
      <c r="AN173" s="21"/>
      <c r="AO173" s="21"/>
      <c r="AP173" s="21"/>
      <c r="AQ173" s="21"/>
      <c r="AR173" s="27"/>
      <c r="AS173" s="66"/>
      <c r="AT173" s="66"/>
      <c r="AU173" s="66"/>
      <c r="AV173" s="66"/>
      <c r="AW173" s="66"/>
      <c r="AX173" s="66"/>
      <c r="AY173" s="66"/>
      <c r="AZ173" s="66"/>
      <c r="BA173" s="66"/>
      <c r="BB173" s="66"/>
      <c r="BC173" s="66"/>
      <c r="BD173" s="21"/>
      <c r="BE173" s="21"/>
      <c r="BF173" s="21"/>
      <c r="BG173" s="21"/>
      <c r="BH173" s="27"/>
      <c r="BI173" s="21"/>
      <c r="BJ173" s="21"/>
      <c r="BK173" s="21"/>
      <c r="BL173" s="20"/>
      <c r="BM173" s="13"/>
      <c r="BO173" s="24"/>
      <c r="BP173" s="8"/>
      <c r="BQ173" s="8"/>
      <c r="BR173" s="8"/>
      <c r="BS173" s="8"/>
      <c r="BT173" s="8"/>
      <c r="BU173" s="8"/>
      <c r="BV173" s="8"/>
      <c r="BW173" s="8"/>
      <c r="BX173" s="8"/>
      <c r="BY173" s="8"/>
      <c r="BZ173" s="8"/>
      <c r="CA173" s="8"/>
      <c r="CB173" s="8"/>
      <c r="CC173" s="8"/>
      <c r="CD173" s="8"/>
      <c r="CE173" s="24"/>
      <c r="CF173" s="8"/>
      <c r="CG173" s="8"/>
      <c r="CH173" s="8"/>
      <c r="CI173" s="8"/>
      <c r="CJ173" s="8"/>
      <c r="CK173" s="8"/>
      <c r="CL173" s="8"/>
      <c r="CM173" s="8"/>
      <c r="CN173" s="8"/>
      <c r="CO173" s="8"/>
      <c r="CP173" s="8"/>
      <c r="CQ173" s="8"/>
      <c r="CR173" s="8"/>
      <c r="CS173" s="8"/>
      <c r="CT173" s="14"/>
    </row>
    <row r="174" spans="1:98" s="11" customFormat="1" ht="13.5" customHeight="1">
      <c r="A174" s="25"/>
      <c r="B174" s="27"/>
      <c r="C174" s="21"/>
      <c r="D174" s="21"/>
      <c r="E174" s="21"/>
      <c r="F174" s="21"/>
      <c r="G174" s="21"/>
      <c r="H174" s="20"/>
      <c r="P174" s="28"/>
      <c r="Q174"/>
      <c r="R174"/>
      <c r="S174"/>
      <c r="T174"/>
      <c r="U174"/>
      <c r="V174"/>
      <c r="W174" s="28"/>
      <c r="X174"/>
      <c r="Y174"/>
      <c r="Z174"/>
      <c r="AA174"/>
      <c r="AB174"/>
      <c r="AC174" s="19"/>
      <c r="AD174"/>
      <c r="AE174"/>
      <c r="AF174"/>
      <c r="AG174"/>
      <c r="AH174"/>
      <c r="AI174"/>
      <c r="AJ174" s="21"/>
      <c r="AK174" s="28"/>
      <c r="AL174"/>
      <c r="AM174"/>
      <c r="AN174"/>
      <c r="AO174"/>
      <c r="AP174"/>
      <c r="AQ174" s="21"/>
      <c r="AR174" s="27"/>
      <c r="AS174" s="80"/>
      <c r="AT174" s="70"/>
      <c r="AU174" s="66"/>
      <c r="AV174" s="66"/>
      <c r="AW174" s="66"/>
      <c r="AX174" s="66"/>
      <c r="AY174" s="66"/>
      <c r="AZ174" s="66"/>
      <c r="BA174" s="66"/>
      <c r="BB174" s="66"/>
      <c r="BC174" s="66"/>
      <c r="BH174" s="27"/>
      <c r="BL174" s="13"/>
      <c r="BM174" s="13"/>
      <c r="BO174" s="29"/>
      <c r="CE174" s="29"/>
      <c r="CT174" s="13"/>
    </row>
    <row r="175" spans="1:98" s="11" customFormat="1" ht="13.5" customHeight="1">
      <c r="A175" s="25"/>
      <c r="B175" s="27"/>
      <c r="C175" s="21"/>
      <c r="D175" s="21"/>
      <c r="E175" s="21"/>
      <c r="F175" s="21"/>
      <c r="G175" s="21"/>
      <c r="H175" s="20"/>
      <c r="P175" s="28"/>
      <c r="Q175"/>
      <c r="R175"/>
      <c r="S175"/>
      <c r="T175"/>
      <c r="U175"/>
      <c r="V175"/>
      <c r="W175" s="28"/>
      <c r="X175"/>
      <c r="Y175"/>
      <c r="Z175"/>
      <c r="AA175"/>
      <c r="AB175"/>
      <c r="AC175" s="19"/>
      <c r="AD175"/>
      <c r="AE175"/>
      <c r="AF175"/>
      <c r="AG175"/>
      <c r="AH175"/>
      <c r="AI175"/>
      <c r="AJ175" s="21"/>
      <c r="AK175" s="28"/>
      <c r="AL175"/>
      <c r="AM175"/>
      <c r="AN175"/>
      <c r="AO175"/>
      <c r="AP175"/>
      <c r="AQ175" s="21"/>
      <c r="AR175" s="27"/>
      <c r="AS175" s="70"/>
      <c r="AT175" s="66"/>
      <c r="AU175" s="66"/>
      <c r="AV175" s="66"/>
      <c r="AW175" s="66"/>
      <c r="AX175" s="66"/>
      <c r="AY175" s="66"/>
      <c r="AZ175" s="66"/>
      <c r="BA175" s="66"/>
      <c r="BB175" s="66"/>
      <c r="BC175" s="66"/>
      <c r="BH175" s="27"/>
      <c r="BL175" s="13"/>
      <c r="BM175" s="13"/>
      <c r="BO175" s="29"/>
      <c r="CE175" s="29"/>
      <c r="CT175" s="13"/>
    </row>
    <row r="176" spans="1:98" s="11" customFormat="1" ht="13.5" customHeight="1">
      <c r="A176" s="25"/>
      <c r="B176" s="27"/>
      <c r="C176" s="21"/>
      <c r="D176" s="21"/>
      <c r="E176" s="21"/>
      <c r="F176" s="21"/>
      <c r="G176" s="21"/>
      <c r="H176" s="20"/>
      <c r="P176" s="28"/>
      <c r="Q176"/>
      <c r="R176"/>
      <c r="S176"/>
      <c r="T176"/>
      <c r="U176"/>
      <c r="V176"/>
      <c r="W176" s="28"/>
      <c r="X176"/>
      <c r="Y176"/>
      <c r="Z176"/>
      <c r="AA176"/>
      <c r="AB176"/>
      <c r="AC176" s="19"/>
      <c r="AD176"/>
      <c r="AE176"/>
      <c r="AF176"/>
      <c r="AG176"/>
      <c r="AH176"/>
      <c r="AI176"/>
      <c r="AJ176" s="21"/>
      <c r="AK176" s="28"/>
      <c r="AL176"/>
      <c r="AM176"/>
      <c r="AN176"/>
      <c r="AO176"/>
      <c r="AP176"/>
      <c r="AQ176" s="21"/>
      <c r="AR176" s="27"/>
      <c r="AS176" s="75"/>
      <c r="AT176" s="66"/>
      <c r="AU176" s="66"/>
      <c r="AV176" s="66"/>
      <c r="AW176" s="66"/>
      <c r="AX176" s="66"/>
      <c r="AY176" s="66"/>
      <c r="AZ176" s="66"/>
      <c r="BA176" s="66"/>
      <c r="BB176" s="66"/>
      <c r="BC176" s="8"/>
      <c r="BH176" s="27"/>
      <c r="BL176" s="13"/>
      <c r="BM176" s="13"/>
      <c r="BO176" s="29"/>
      <c r="CE176" s="29"/>
      <c r="CT176" s="13"/>
    </row>
    <row r="177" spans="1:98">
      <c r="A177" s="24"/>
      <c r="B177" s="24"/>
      <c r="H177" s="14"/>
      <c r="P177" s="24"/>
      <c r="W177" s="24"/>
      <c r="AC177" s="14"/>
      <c r="AK177" s="71"/>
      <c r="AL177" s="66"/>
      <c r="AM177" s="66"/>
      <c r="AN177" s="66"/>
      <c r="AO177" s="66"/>
      <c r="AP177" s="66"/>
      <c r="AQ177" s="66"/>
      <c r="AR177" s="71"/>
      <c r="AS177" s="80" t="s">
        <v>252</v>
      </c>
      <c r="AT177" s="70"/>
      <c r="AU177" s="70"/>
      <c r="AV177" s="70"/>
      <c r="AW177" s="66"/>
      <c r="AX177" s="66"/>
      <c r="AY177" s="66"/>
      <c r="AZ177" s="66"/>
      <c r="BA177" s="66"/>
      <c r="BB177" s="66"/>
      <c r="BH177" s="24"/>
      <c r="BL177" s="14"/>
      <c r="BM177" s="14"/>
      <c r="BO177" s="29"/>
      <c r="BP177" s="11"/>
      <c r="BQ177" s="11"/>
      <c r="BR177" s="11"/>
      <c r="BS177" s="11"/>
      <c r="BT177" s="11"/>
      <c r="BU177" s="11"/>
      <c r="BV177" s="11"/>
      <c r="BW177" s="11"/>
      <c r="BX177" s="11"/>
      <c r="BY177" s="11"/>
      <c r="BZ177" s="11"/>
      <c r="CA177" s="11"/>
      <c r="CB177" s="11"/>
      <c r="CC177" s="11"/>
      <c r="CD177" s="11"/>
      <c r="CE177" s="29"/>
      <c r="CF177" s="11"/>
      <c r="CG177" s="11"/>
      <c r="CH177" s="11"/>
      <c r="CI177" s="11"/>
      <c r="CJ177" s="11"/>
      <c r="CK177" s="11"/>
      <c r="CL177" s="11"/>
      <c r="CM177" s="11"/>
      <c r="CN177" s="11"/>
      <c r="CO177" s="11"/>
      <c r="CP177" s="11"/>
      <c r="CQ177" s="11"/>
      <c r="CR177" s="11"/>
      <c r="CS177" s="11"/>
      <c r="CT177" s="13"/>
    </row>
    <row r="178" spans="1:98">
      <c r="A178" s="24"/>
      <c r="B178" s="24"/>
      <c r="H178" s="14"/>
      <c r="P178" s="24"/>
      <c r="W178" s="24"/>
      <c r="AC178" s="14"/>
      <c r="AK178" s="71"/>
      <c r="AL178" s="66"/>
      <c r="AM178" s="66"/>
      <c r="AN178" s="66"/>
      <c r="AO178" s="66"/>
      <c r="AP178" s="66"/>
      <c r="AQ178" s="66"/>
      <c r="AR178" s="71"/>
      <c r="AS178" s="70"/>
      <c r="AT178" s="66" t="s">
        <v>184</v>
      </c>
      <c r="AU178" s="70"/>
      <c r="AV178" s="70"/>
      <c r="AW178" s="66"/>
      <c r="AX178" s="66"/>
      <c r="AY178" s="66"/>
      <c r="AZ178" s="66"/>
      <c r="BA178" s="66"/>
      <c r="BB178" s="66"/>
      <c r="BD178" s="66"/>
      <c r="BE178" s="66"/>
      <c r="BF178" s="66"/>
      <c r="BG178" s="66"/>
      <c r="BH178" s="24"/>
      <c r="BL178" s="14"/>
      <c r="BM178" s="14"/>
      <c r="BO178" s="24"/>
      <c r="CE178" s="24"/>
      <c r="CT178" s="14"/>
    </row>
    <row r="179" spans="1:98">
      <c r="A179" s="24"/>
      <c r="B179" s="24"/>
      <c r="H179" s="14"/>
      <c r="P179" s="24"/>
      <c r="W179" s="24"/>
      <c r="AC179" s="14"/>
      <c r="AK179" s="71"/>
      <c r="AL179" s="66"/>
      <c r="AM179" s="66"/>
      <c r="AN179" s="66"/>
      <c r="AO179" s="66"/>
      <c r="AP179" s="66"/>
      <c r="AQ179" s="66"/>
      <c r="AR179" s="71"/>
      <c r="AT179" s="49"/>
      <c r="AU179" s="49"/>
      <c r="BD179" s="66"/>
      <c r="BE179" s="66"/>
      <c r="BF179" s="66"/>
      <c r="BG179" s="66"/>
      <c r="BH179" s="24"/>
      <c r="BL179" s="14"/>
      <c r="BM179" s="14"/>
      <c r="BO179" s="24"/>
      <c r="CE179" s="24"/>
      <c r="CT179" s="14"/>
    </row>
    <row r="180" spans="1:98">
      <c r="A180" s="24"/>
      <c r="B180" s="24"/>
      <c r="H180" s="14"/>
      <c r="P180" s="24"/>
      <c r="W180" s="24"/>
      <c r="AC180" s="14"/>
      <c r="AK180" s="71"/>
      <c r="AL180" s="66"/>
      <c r="AM180" s="66"/>
      <c r="AN180" s="66"/>
      <c r="AO180" s="66"/>
      <c r="AP180" s="66"/>
      <c r="AQ180" s="66"/>
      <c r="AR180" s="71"/>
      <c r="AU180" s="8"/>
      <c r="BD180" s="66"/>
      <c r="BE180" s="66"/>
      <c r="BF180" s="66"/>
      <c r="BG180" s="66"/>
      <c r="BH180" s="24"/>
      <c r="BL180" s="14"/>
      <c r="BM180" s="14"/>
      <c r="BO180" s="24"/>
      <c r="CE180" s="24"/>
      <c r="CT180" s="14"/>
    </row>
    <row r="181" spans="1:98">
      <c r="A181" s="24"/>
      <c r="B181" s="24"/>
      <c r="H181" s="14"/>
      <c r="P181" s="24"/>
      <c r="W181" s="24"/>
      <c r="AC181" s="14"/>
      <c r="AK181" s="71"/>
      <c r="AL181" s="66"/>
      <c r="AM181" s="66"/>
      <c r="AN181" s="66"/>
      <c r="AO181" s="66"/>
      <c r="AP181" s="66"/>
      <c r="AQ181" s="66"/>
      <c r="AR181" s="71"/>
      <c r="AU181" s="8"/>
      <c r="BD181" s="66"/>
      <c r="BE181" s="66"/>
      <c r="BF181" s="66"/>
      <c r="BG181" s="66"/>
      <c r="BH181" s="24"/>
      <c r="BL181" s="14"/>
      <c r="BM181" s="14"/>
      <c r="BO181" s="24"/>
      <c r="CE181" s="24"/>
      <c r="CT181" s="14"/>
    </row>
    <row r="182" spans="1:98">
      <c r="A182" s="24"/>
      <c r="B182" s="24"/>
      <c r="H182" s="14"/>
      <c r="P182" s="24"/>
      <c r="W182" s="24"/>
      <c r="AC182" s="14"/>
      <c r="AK182" s="71"/>
      <c r="AL182" s="66"/>
      <c r="AM182" s="66"/>
      <c r="AN182" s="66"/>
      <c r="AO182" s="66"/>
      <c r="AP182" s="66"/>
      <c r="AQ182" s="66"/>
      <c r="AR182" s="71"/>
      <c r="AS182" s="80" t="s">
        <v>253</v>
      </c>
      <c r="AT182" s="70"/>
      <c r="AU182" s="70"/>
      <c r="AV182" s="66"/>
      <c r="AW182" s="66"/>
      <c r="AX182" s="66"/>
      <c r="AY182" s="66"/>
      <c r="AZ182" s="66"/>
      <c r="BA182" s="66"/>
      <c r="BB182" s="66"/>
      <c r="BD182" s="66"/>
      <c r="BE182" s="66"/>
      <c r="BF182" s="66"/>
      <c r="BG182" s="66"/>
      <c r="BH182" s="24"/>
      <c r="BL182" s="14"/>
      <c r="BM182" s="14"/>
      <c r="BO182" s="24"/>
      <c r="CE182" s="24"/>
      <c r="CT182" s="14"/>
    </row>
    <row r="183" spans="1:98">
      <c r="A183" s="24"/>
      <c r="B183" s="24"/>
      <c r="H183" s="14"/>
      <c r="P183" s="28"/>
      <c r="Q183"/>
      <c r="R183"/>
      <c r="S183"/>
      <c r="T183"/>
      <c r="U183"/>
      <c r="V183"/>
      <c r="W183" s="24"/>
      <c r="X183"/>
      <c r="Y183"/>
      <c r="Z183"/>
      <c r="AA183"/>
      <c r="AB183"/>
      <c r="AC183" s="14"/>
      <c r="AD183"/>
      <c r="AE183"/>
      <c r="AF183"/>
      <c r="AG183"/>
      <c r="AH183"/>
      <c r="AI183"/>
      <c r="AJ183"/>
      <c r="AK183" s="28"/>
      <c r="AL183"/>
      <c r="AM183"/>
      <c r="AN183"/>
      <c r="AO183"/>
      <c r="AP183"/>
      <c r="AQ183"/>
      <c r="AR183" s="71"/>
      <c r="AS183" s="70"/>
      <c r="AT183" s="8" t="s">
        <v>186</v>
      </c>
      <c r="AU183" s="8"/>
      <c r="AV183" s="66"/>
      <c r="AW183" s="66"/>
      <c r="AX183" s="66"/>
      <c r="AY183" s="66"/>
      <c r="AZ183" s="66"/>
      <c r="BA183" s="66"/>
      <c r="BB183" s="66"/>
      <c r="BD183"/>
      <c r="BE183"/>
      <c r="BF183" s="66"/>
      <c r="BG183" s="66"/>
      <c r="BH183" s="24"/>
      <c r="BL183" s="14"/>
      <c r="BM183" s="14"/>
      <c r="BO183" s="24"/>
      <c r="CE183" s="24"/>
      <c r="CT183" s="14"/>
    </row>
    <row r="184" spans="1:98">
      <c r="A184" s="24"/>
      <c r="B184" s="24"/>
      <c r="H184" s="14"/>
      <c r="P184" s="24"/>
      <c r="W184" s="24"/>
      <c r="AC184" s="14"/>
      <c r="AK184" s="71"/>
      <c r="AL184" s="66"/>
      <c r="AM184" s="66"/>
      <c r="AN184" s="66"/>
      <c r="AO184" s="66"/>
      <c r="AP184" s="66"/>
      <c r="AQ184" s="66"/>
      <c r="AR184" s="71"/>
      <c r="AS184" s="77"/>
      <c r="AU184" s="8"/>
      <c r="AV184" s="66"/>
      <c r="AW184" s="66"/>
      <c r="AX184" s="66"/>
      <c r="AY184" s="66"/>
      <c r="AZ184" s="66"/>
      <c r="BA184" s="66"/>
      <c r="BB184" s="66"/>
      <c r="BD184" s="66"/>
      <c r="BE184" s="66"/>
      <c r="BF184" s="66"/>
      <c r="BG184" s="66"/>
      <c r="BH184" s="24"/>
      <c r="BL184" s="14"/>
      <c r="BM184" s="14"/>
      <c r="BO184" s="24"/>
      <c r="CE184" s="24"/>
      <c r="CT184" s="14"/>
    </row>
    <row r="185" spans="1:98">
      <c r="A185" s="24"/>
      <c r="B185" s="24"/>
      <c r="H185" s="14"/>
      <c r="P185" s="28"/>
      <c r="Q185"/>
      <c r="R185"/>
      <c r="S185"/>
      <c r="T185"/>
      <c r="U185"/>
      <c r="V185" s="14"/>
      <c r="W185" s="24"/>
      <c r="X185"/>
      <c r="Y185"/>
      <c r="Z185"/>
      <c r="AA185"/>
      <c r="AB185"/>
      <c r="AC185" s="14"/>
      <c r="AD185"/>
      <c r="AE185"/>
      <c r="AF185"/>
      <c r="AG185"/>
      <c r="AH185"/>
      <c r="AI185"/>
      <c r="AJ185"/>
      <c r="AK185" s="28"/>
      <c r="AL185"/>
      <c r="AM185"/>
      <c r="AN185"/>
      <c r="AO185"/>
      <c r="AP185"/>
      <c r="AQ185"/>
      <c r="AR185" s="71"/>
      <c r="AS185" s="66"/>
      <c r="AT185" s="70"/>
      <c r="AV185" s="66"/>
      <c r="AW185" s="66"/>
      <c r="AX185" s="66"/>
      <c r="AY185" s="66"/>
      <c r="AZ185" s="66"/>
      <c r="BA185" s="66"/>
      <c r="BB185" s="66"/>
      <c r="BD185"/>
      <c r="BE185"/>
      <c r="BF185" s="66"/>
      <c r="BG185" s="66"/>
      <c r="BH185" s="24"/>
      <c r="BL185" s="14"/>
      <c r="BM185" s="14"/>
      <c r="BO185" s="24"/>
      <c r="CE185" s="24"/>
      <c r="CT185" s="14"/>
    </row>
    <row r="186" spans="1:98">
      <c r="A186" s="24"/>
      <c r="B186" s="24"/>
      <c r="H186" s="14"/>
      <c r="P186" s="28"/>
      <c r="Q186"/>
      <c r="R186"/>
      <c r="S186"/>
      <c r="T186"/>
      <c r="U186"/>
      <c r="V186" s="14"/>
      <c r="W186" s="24"/>
      <c r="X186"/>
      <c r="Y186"/>
      <c r="Z186"/>
      <c r="AA186"/>
      <c r="AB186"/>
      <c r="AC186" s="14"/>
      <c r="AD186"/>
      <c r="AE186"/>
      <c r="AF186"/>
      <c r="AG186"/>
      <c r="AH186"/>
      <c r="AI186"/>
      <c r="AJ186"/>
      <c r="AK186" s="28"/>
      <c r="AL186"/>
      <c r="AM186"/>
      <c r="AN186"/>
      <c r="AO186"/>
      <c r="AP186"/>
      <c r="AQ186"/>
      <c r="AR186" s="71"/>
      <c r="AS186" s="66"/>
      <c r="AT186" s="70"/>
      <c r="AV186" s="66"/>
      <c r="AW186" s="66"/>
      <c r="AX186" s="66"/>
      <c r="AY186" s="66"/>
      <c r="AZ186" s="66"/>
      <c r="BA186" s="66"/>
      <c r="BB186" s="66"/>
      <c r="BD186"/>
      <c r="BE186"/>
      <c r="BF186" s="66"/>
      <c r="BG186" s="66"/>
      <c r="BH186" s="24"/>
      <c r="BL186" s="14"/>
      <c r="BM186" s="14"/>
      <c r="BO186" s="24"/>
      <c r="CE186" s="24"/>
      <c r="CT186" s="14"/>
    </row>
    <row r="187" spans="1:98">
      <c r="A187" s="24"/>
      <c r="B187" s="24"/>
      <c r="H187" s="14"/>
      <c r="P187" s="28"/>
      <c r="Q187"/>
      <c r="R187"/>
      <c r="S187"/>
      <c r="T187"/>
      <c r="U187"/>
      <c r="V187" s="14"/>
      <c r="W187" s="24"/>
      <c r="X187"/>
      <c r="Y187"/>
      <c r="Z187"/>
      <c r="AA187"/>
      <c r="AB187"/>
      <c r="AC187" s="14"/>
      <c r="AD187"/>
      <c r="AE187"/>
      <c r="AF187"/>
      <c r="AG187"/>
      <c r="AH187"/>
      <c r="AI187"/>
      <c r="AJ187"/>
      <c r="AK187" s="28"/>
      <c r="AL187"/>
      <c r="AM187"/>
      <c r="AN187"/>
      <c r="AO187"/>
      <c r="AP187"/>
      <c r="AQ187"/>
      <c r="AR187" s="71"/>
      <c r="AS187" s="66"/>
      <c r="AT187" s="78"/>
      <c r="AV187" s="66"/>
      <c r="AW187" s="66"/>
      <c r="AX187" s="66"/>
      <c r="AY187" s="66"/>
      <c r="AZ187" s="66"/>
      <c r="BA187" s="66"/>
      <c r="BB187" s="66"/>
      <c r="BD187"/>
      <c r="BE187"/>
      <c r="BF187" s="66"/>
      <c r="BG187" s="66"/>
      <c r="BH187" s="24"/>
      <c r="BL187" s="14"/>
      <c r="BM187" s="14"/>
      <c r="BO187" s="24"/>
      <c r="CE187" s="24"/>
      <c r="CT187" s="14"/>
    </row>
    <row r="188" spans="1:98">
      <c r="A188" s="24"/>
      <c r="B188" s="24"/>
      <c r="H188" s="14"/>
      <c r="P188" s="28"/>
      <c r="Q188"/>
      <c r="R188"/>
      <c r="S188"/>
      <c r="T188"/>
      <c r="U188"/>
      <c r="V188" s="14"/>
      <c r="W188" s="24"/>
      <c r="X188"/>
      <c r="Y188"/>
      <c r="Z188"/>
      <c r="AA188"/>
      <c r="AB188"/>
      <c r="AC188" s="14"/>
      <c r="AD188"/>
      <c r="AE188"/>
      <c r="AF188"/>
      <c r="AG188"/>
      <c r="AH188"/>
      <c r="AI188"/>
      <c r="AJ188"/>
      <c r="AK188" s="28"/>
      <c r="AL188"/>
      <c r="AM188"/>
      <c r="AN188"/>
      <c r="AO188"/>
      <c r="AP188"/>
      <c r="AQ188"/>
      <c r="AR188" s="71"/>
      <c r="AS188" s="80" t="s">
        <v>254</v>
      </c>
      <c r="AT188" s="66"/>
      <c r="AV188" s="66"/>
      <c r="AW188" s="66"/>
      <c r="AX188" s="66"/>
      <c r="AY188" s="66"/>
      <c r="AZ188" s="66"/>
      <c r="BA188" s="66"/>
      <c r="BB188" s="66"/>
      <c r="BD188"/>
      <c r="BE188"/>
      <c r="BF188" s="66"/>
      <c r="BG188" s="66"/>
      <c r="BH188" s="24"/>
      <c r="BL188" s="14"/>
      <c r="BM188" s="14"/>
      <c r="BO188" s="24"/>
      <c r="CE188" s="24"/>
      <c r="CT188" s="14"/>
    </row>
    <row r="189" spans="1:98">
      <c r="A189" s="24"/>
      <c r="B189" s="24"/>
      <c r="H189" s="14"/>
      <c r="P189" s="28"/>
      <c r="Q189"/>
      <c r="R189"/>
      <c r="S189"/>
      <c r="T189"/>
      <c r="U189"/>
      <c r="V189" s="14"/>
      <c r="W189" s="24"/>
      <c r="X189"/>
      <c r="Y189"/>
      <c r="Z189"/>
      <c r="AA189"/>
      <c r="AB189"/>
      <c r="AC189" s="14"/>
      <c r="AD189"/>
      <c r="AE189"/>
      <c r="AF189"/>
      <c r="AG189"/>
      <c r="AH189"/>
      <c r="AI189"/>
      <c r="AJ189"/>
      <c r="AK189" s="28"/>
      <c r="AL189"/>
      <c r="AM189"/>
      <c r="AN189"/>
      <c r="AO189"/>
      <c r="AP189"/>
      <c r="AQ189"/>
      <c r="AR189" s="71"/>
      <c r="AS189" s="77"/>
      <c r="AT189" s="8" t="s">
        <v>188</v>
      </c>
      <c r="AV189" s="66"/>
      <c r="AW189" s="66"/>
      <c r="AX189" s="66"/>
      <c r="AY189" s="66"/>
      <c r="AZ189" s="66"/>
      <c r="BA189" s="66"/>
      <c r="BB189" s="66"/>
      <c r="BC189"/>
      <c r="BD189"/>
      <c r="BE189"/>
      <c r="BF189" s="66"/>
      <c r="BG189" s="66"/>
      <c r="BH189" s="24"/>
      <c r="BL189" s="14"/>
      <c r="BM189" s="14"/>
      <c r="BO189" s="24"/>
      <c r="CE189" s="24"/>
      <c r="CT189" s="14"/>
    </row>
    <row r="190" spans="1:98">
      <c r="A190" s="24"/>
      <c r="B190" s="24"/>
      <c r="H190" s="14"/>
      <c r="P190" s="28"/>
      <c r="Q190"/>
      <c r="R190"/>
      <c r="S190"/>
      <c r="T190"/>
      <c r="U190"/>
      <c r="V190" s="14"/>
      <c r="W190" s="24"/>
      <c r="X190"/>
      <c r="Y190"/>
      <c r="Z190"/>
      <c r="AA190"/>
      <c r="AB190"/>
      <c r="AC190" s="14"/>
      <c r="AD190"/>
      <c r="AE190"/>
      <c r="AF190"/>
      <c r="AG190"/>
      <c r="AH190"/>
      <c r="AI190"/>
      <c r="AJ190"/>
      <c r="AK190" s="28"/>
      <c r="AL190"/>
      <c r="AM190"/>
      <c r="AN190"/>
      <c r="AO190"/>
      <c r="AP190"/>
      <c r="AQ190"/>
      <c r="AR190" s="71"/>
      <c r="AS190" s="66"/>
      <c r="AV190" s="66"/>
      <c r="AW190" s="66"/>
      <c r="AX190" s="66"/>
      <c r="AY190" s="66"/>
      <c r="AZ190" s="66"/>
      <c r="BA190" s="66"/>
      <c r="BB190" s="66"/>
      <c r="BC190"/>
      <c r="BD190"/>
      <c r="BE190"/>
      <c r="BF190" s="66"/>
      <c r="BG190" s="66"/>
      <c r="BH190" s="24"/>
      <c r="BL190" s="14"/>
      <c r="BM190" s="14"/>
      <c r="BO190" s="24"/>
      <c r="CE190" s="24"/>
      <c r="CT190" s="14"/>
    </row>
    <row r="191" spans="1:98">
      <c r="A191" s="24"/>
      <c r="B191" s="24"/>
      <c r="H191" s="14"/>
      <c r="P191" s="28"/>
      <c r="Q191"/>
      <c r="R191"/>
      <c r="S191"/>
      <c r="T191"/>
      <c r="U191"/>
      <c r="V191" s="14"/>
      <c r="W191" s="24"/>
      <c r="X191"/>
      <c r="Y191"/>
      <c r="Z191"/>
      <c r="AA191"/>
      <c r="AB191"/>
      <c r="AC191" s="14"/>
      <c r="AD191"/>
      <c r="AE191"/>
      <c r="AF191"/>
      <c r="AG191"/>
      <c r="AH191"/>
      <c r="AI191"/>
      <c r="AJ191"/>
      <c r="AK191" s="28"/>
      <c r="AL191"/>
      <c r="AM191"/>
      <c r="AN191"/>
      <c r="AO191"/>
      <c r="AP191"/>
      <c r="AQ191"/>
      <c r="AR191" s="71"/>
      <c r="AS191" s="66"/>
      <c r="AV191" s="66"/>
      <c r="AW191" s="66"/>
      <c r="AX191" s="66"/>
      <c r="AY191" s="66"/>
      <c r="AZ191" s="66"/>
      <c r="BA191" s="66"/>
      <c r="BB191" s="66"/>
      <c r="BC191"/>
      <c r="BD191"/>
      <c r="BE191"/>
      <c r="BF191" s="66"/>
      <c r="BG191" s="66"/>
      <c r="BH191" s="24"/>
      <c r="BL191" s="14"/>
      <c r="BM191" s="14"/>
      <c r="BO191" s="24"/>
      <c r="CE191" s="24"/>
      <c r="CT191" s="14"/>
    </row>
    <row r="192" spans="1:98">
      <c r="A192" s="24"/>
      <c r="B192" s="24"/>
      <c r="H192" s="14"/>
      <c r="P192" s="28"/>
      <c r="Q192"/>
      <c r="R192"/>
      <c r="S192"/>
      <c r="T192"/>
      <c r="U192"/>
      <c r="V192" s="14"/>
      <c r="W192" s="24"/>
      <c r="X192"/>
      <c r="Y192"/>
      <c r="Z192"/>
      <c r="AA192"/>
      <c r="AB192"/>
      <c r="AC192" s="14"/>
      <c r="AD192"/>
      <c r="AE192"/>
      <c r="AF192"/>
      <c r="AG192"/>
      <c r="AH192"/>
      <c r="AI192"/>
      <c r="AJ192"/>
      <c r="AK192" s="28"/>
      <c r="AL192"/>
      <c r="AM192"/>
      <c r="AN192"/>
      <c r="AO192"/>
      <c r="AP192"/>
      <c r="AQ192"/>
      <c r="AR192" s="71"/>
      <c r="AS192" s="66"/>
      <c r="AT192" s="70"/>
      <c r="AV192" s="66"/>
      <c r="AW192" s="66"/>
      <c r="AX192" s="66"/>
      <c r="AY192" s="66"/>
      <c r="AZ192" s="66"/>
      <c r="BA192" s="66"/>
      <c r="BB192" s="66"/>
      <c r="BC192" s="66"/>
      <c r="BD192"/>
      <c r="BE192"/>
      <c r="BF192" s="66"/>
      <c r="BG192" s="66"/>
      <c r="BH192" s="24"/>
      <c r="BL192" s="14"/>
      <c r="BM192" s="14"/>
      <c r="BO192" s="24"/>
      <c r="CE192" s="24"/>
      <c r="CT192" s="14"/>
    </row>
    <row r="193" spans="1:98">
      <c r="A193" s="24"/>
      <c r="B193" s="24"/>
      <c r="H193" s="14"/>
      <c r="P193" s="28"/>
      <c r="Q193"/>
      <c r="R193"/>
      <c r="S193"/>
      <c r="T193"/>
      <c r="U193"/>
      <c r="V193" s="14"/>
      <c r="W193" s="24"/>
      <c r="X193"/>
      <c r="Y193"/>
      <c r="Z193"/>
      <c r="AA193"/>
      <c r="AB193"/>
      <c r="AC193" s="14"/>
      <c r="AD193"/>
      <c r="AE193"/>
      <c r="AF193"/>
      <c r="AG193"/>
      <c r="AH193"/>
      <c r="AI193"/>
      <c r="AJ193"/>
      <c r="AK193" s="28"/>
      <c r="AL193"/>
      <c r="AM193"/>
      <c r="AN193"/>
      <c r="AO193"/>
      <c r="AP193"/>
      <c r="AQ193"/>
      <c r="AR193" s="71"/>
      <c r="AU193" s="8"/>
      <c r="AZ193" s="66"/>
      <c r="BA193" s="66"/>
      <c r="BB193" s="66"/>
      <c r="BC193" s="21"/>
      <c r="BD193"/>
      <c r="BE193"/>
      <c r="BF193" s="66"/>
      <c r="BG193" s="66"/>
      <c r="BH193" s="24"/>
      <c r="BL193" s="14"/>
      <c r="BM193" s="14"/>
      <c r="BO193" s="24"/>
      <c r="CE193" s="24"/>
      <c r="CT193" s="14"/>
    </row>
    <row r="194" spans="1:98">
      <c r="A194" s="24"/>
      <c r="B194" s="28"/>
      <c r="C194"/>
      <c r="D194"/>
      <c r="E194"/>
      <c r="F194"/>
      <c r="G194"/>
      <c r="H194" s="19"/>
      <c r="P194" s="24"/>
      <c r="W194" s="24"/>
      <c r="AC194" s="14"/>
      <c r="AK194" s="71"/>
      <c r="AL194" s="66"/>
      <c r="AM194" s="66"/>
      <c r="AN194" s="66"/>
      <c r="AO194" s="66"/>
      <c r="AP194" s="66"/>
      <c r="AQ194" s="66"/>
      <c r="AR194" s="71"/>
      <c r="AU194" s="8"/>
      <c r="AZ194" s="66"/>
      <c r="BA194" s="66"/>
      <c r="BB194" s="66"/>
      <c r="BC194" s="11"/>
      <c r="BD194" s="66"/>
      <c r="BE194" s="66"/>
      <c r="BF194" s="66"/>
      <c r="BG194" s="66"/>
      <c r="BH194" s="24"/>
      <c r="BL194" s="14"/>
      <c r="BM194" s="14"/>
      <c r="BO194" s="24"/>
      <c r="CE194" s="24"/>
      <c r="CT194" s="14"/>
    </row>
    <row r="195" spans="1:98">
      <c r="A195" s="24"/>
      <c r="B195" s="28"/>
      <c r="C195"/>
      <c r="D195"/>
      <c r="E195"/>
      <c r="F195"/>
      <c r="G195"/>
      <c r="H195" s="19"/>
      <c r="P195" s="24"/>
      <c r="W195" s="24"/>
      <c r="AC195" s="14"/>
      <c r="AK195" s="71"/>
      <c r="AL195" s="66"/>
      <c r="AM195" s="66"/>
      <c r="AN195" s="66"/>
      <c r="AO195" s="66"/>
      <c r="AP195" s="66"/>
      <c r="AQ195" s="66"/>
      <c r="AR195" s="71"/>
      <c r="AU195" s="8"/>
      <c r="AZ195"/>
      <c r="BA195"/>
      <c r="BB195"/>
      <c r="BC195" s="11"/>
      <c r="BD195" s="66"/>
      <c r="BE195" s="66"/>
      <c r="BF195" s="66"/>
      <c r="BG195" s="66"/>
      <c r="BH195" s="24"/>
      <c r="BL195" s="14"/>
      <c r="BM195" s="14"/>
      <c r="BO195" s="24"/>
      <c r="CE195" s="24"/>
      <c r="CT195" s="14"/>
    </row>
    <row r="196" spans="1:98">
      <c r="A196" s="24"/>
      <c r="B196" s="29"/>
      <c r="C196" s="11"/>
      <c r="D196" s="11"/>
      <c r="E196" s="11"/>
      <c r="F196" s="11"/>
      <c r="G196" s="11"/>
      <c r="H196" s="13"/>
      <c r="P196" s="24"/>
      <c r="W196" s="24"/>
      <c r="AC196" s="14"/>
      <c r="AK196" s="71"/>
      <c r="AL196" s="66"/>
      <c r="AM196" s="66"/>
      <c r="AN196" s="66"/>
      <c r="AO196" s="66"/>
      <c r="AP196" s="66"/>
      <c r="AQ196" s="66"/>
      <c r="AR196" s="71"/>
      <c r="AU196" s="8"/>
      <c r="AZ196"/>
      <c r="BA196"/>
      <c r="BB196"/>
      <c r="BC196" s="11"/>
      <c r="BD196" s="66"/>
      <c r="BE196" s="66"/>
      <c r="BF196" s="66"/>
      <c r="BG196" s="66"/>
      <c r="BH196" s="24"/>
      <c r="BL196" s="14"/>
      <c r="BM196" s="14"/>
      <c r="BO196" s="24"/>
      <c r="CE196" s="24"/>
      <c r="CT196" s="14"/>
    </row>
    <row r="197" spans="1:98">
      <c r="A197" s="24"/>
      <c r="B197" s="24"/>
      <c r="H197" s="14"/>
      <c r="P197" s="24"/>
      <c r="W197" s="24"/>
      <c r="AC197" s="14"/>
      <c r="AK197" s="71"/>
      <c r="AL197" s="66"/>
      <c r="AM197" s="66"/>
      <c r="AN197" s="66"/>
      <c r="AO197" s="66"/>
      <c r="AP197" s="66"/>
      <c r="AQ197" s="66"/>
      <c r="AR197" s="71"/>
      <c r="AS197" s="16" t="s">
        <v>255</v>
      </c>
      <c r="AU197" s="8"/>
      <c r="AY197" s="66"/>
      <c r="AZ197"/>
      <c r="BA197"/>
      <c r="BB197"/>
      <c r="BD197" s="66"/>
      <c r="BE197" s="66"/>
      <c r="BF197" s="66"/>
      <c r="BG197" s="66"/>
      <c r="BH197" s="24"/>
      <c r="BL197" s="14"/>
      <c r="BM197" s="14"/>
      <c r="BO197" s="24"/>
      <c r="CE197" s="24"/>
      <c r="CT197" s="14"/>
    </row>
    <row r="198" spans="1:98">
      <c r="A198" s="24"/>
      <c r="B198" s="24"/>
      <c r="H198" s="14"/>
      <c r="P198" s="24"/>
      <c r="W198" s="24"/>
      <c r="AC198" s="14"/>
      <c r="AK198" s="71"/>
      <c r="AL198" s="66"/>
      <c r="AM198" s="66"/>
      <c r="AN198" s="66"/>
      <c r="AO198" s="66"/>
      <c r="AP198" s="66"/>
      <c r="AQ198" s="66"/>
      <c r="AR198" s="71"/>
      <c r="AT198" s="8" t="s">
        <v>190</v>
      </c>
      <c r="AU198" s="8"/>
      <c r="AY198" s="66"/>
      <c r="AZ198" s="66"/>
      <c r="BA198" s="66"/>
      <c r="BB198" s="66"/>
      <c r="BC198" s="66"/>
      <c r="BD198" s="66"/>
      <c r="BE198" s="66"/>
      <c r="BF198" s="66"/>
      <c r="BG198" s="66"/>
      <c r="BH198" s="24"/>
      <c r="BL198" s="14"/>
      <c r="BM198" s="14"/>
      <c r="BO198" s="24"/>
      <c r="CE198" s="24"/>
      <c r="CT198" s="14"/>
    </row>
    <row r="199" spans="1:98">
      <c r="A199" s="24"/>
      <c r="B199" s="24"/>
      <c r="H199" s="14"/>
      <c r="P199" s="24"/>
      <c r="W199" s="24"/>
      <c r="AC199" s="14"/>
      <c r="AK199" s="71"/>
      <c r="AL199" s="66"/>
      <c r="AM199" s="66"/>
      <c r="AN199" s="66"/>
      <c r="AO199" s="66"/>
      <c r="AP199" s="66"/>
      <c r="AQ199" s="66"/>
      <c r="AR199" s="71"/>
      <c r="AT199" s="8" t="s">
        <v>191</v>
      </c>
      <c r="AU199" s="8"/>
      <c r="AY199"/>
      <c r="AZ199" s="66"/>
      <c r="BA199" s="66"/>
      <c r="BB199" s="66"/>
      <c r="BC199" s="66"/>
      <c r="BD199" s="66"/>
      <c r="BE199" s="66"/>
      <c r="BF199" s="66"/>
      <c r="BG199" s="66"/>
      <c r="BH199" s="24"/>
      <c r="BL199" s="14"/>
      <c r="BM199" s="14"/>
      <c r="BO199" s="24"/>
      <c r="CE199" s="24"/>
      <c r="CT199" s="14"/>
    </row>
    <row r="200" spans="1:98">
      <c r="A200" s="24"/>
      <c r="B200" s="24"/>
      <c r="H200" s="14"/>
      <c r="P200" s="24"/>
      <c r="W200" s="24"/>
      <c r="AC200" s="14"/>
      <c r="AK200" s="71"/>
      <c r="AL200" s="66"/>
      <c r="AM200" s="66"/>
      <c r="AN200" s="66"/>
      <c r="AO200" s="66"/>
      <c r="AP200" s="66"/>
      <c r="AQ200" s="66"/>
      <c r="AR200" s="71"/>
      <c r="AS200" s="66"/>
      <c r="AT200" s="66" t="s">
        <v>192</v>
      </c>
      <c r="AV200" s="66"/>
      <c r="AW200"/>
      <c r="AX200"/>
      <c r="AY200"/>
      <c r="AZ200" s="66"/>
      <c r="BA200" s="66"/>
      <c r="BB200" s="66"/>
      <c r="BC200" s="66"/>
      <c r="BD200" s="66"/>
      <c r="BE200" s="66"/>
      <c r="BF200" s="66"/>
      <c r="BG200" s="66"/>
      <c r="BH200" s="24"/>
      <c r="BL200" s="14"/>
      <c r="BM200" s="14"/>
      <c r="BO200" s="24"/>
      <c r="CE200" s="24"/>
      <c r="CT200" s="14"/>
    </row>
    <row r="201" spans="1:98">
      <c r="A201" s="24"/>
      <c r="B201" s="24"/>
      <c r="H201" s="14"/>
      <c r="P201" s="24"/>
      <c r="W201" s="24"/>
      <c r="AC201" s="14"/>
      <c r="AK201" s="71"/>
      <c r="AL201" s="66"/>
      <c r="AM201" s="66"/>
      <c r="AN201" s="66"/>
      <c r="AO201" s="66"/>
      <c r="AP201" s="66"/>
      <c r="AQ201" s="66"/>
      <c r="AR201" s="71"/>
      <c r="AS201" s="66"/>
      <c r="AT201" s="66"/>
      <c r="AV201" s="66"/>
      <c r="AW201" s="66"/>
      <c r="AX201" s="66"/>
      <c r="AY201" s="66"/>
      <c r="AZ201" s="66"/>
      <c r="BA201" s="66"/>
      <c r="BB201" s="66"/>
      <c r="BC201" s="66"/>
      <c r="BD201" s="66"/>
      <c r="BE201" s="66"/>
      <c r="BF201" s="66"/>
      <c r="BG201" s="66"/>
      <c r="BH201" s="24"/>
      <c r="BL201" s="14"/>
      <c r="BM201" s="14"/>
      <c r="BO201" s="24"/>
      <c r="CE201" s="24"/>
      <c r="CT201" s="14"/>
    </row>
    <row r="202" spans="1:98">
      <c r="A202" s="24"/>
      <c r="B202" s="24"/>
      <c r="H202" s="14"/>
      <c r="P202" s="24"/>
      <c r="W202" s="24"/>
      <c r="AC202" s="14"/>
      <c r="AK202" s="71"/>
      <c r="AL202" s="66"/>
      <c r="AM202" s="66"/>
      <c r="AN202" s="66"/>
      <c r="AO202" s="66"/>
      <c r="AP202" s="66"/>
      <c r="AQ202" s="66"/>
      <c r="AR202" s="71"/>
      <c r="AS202" s="76" t="s">
        <v>256</v>
      </c>
      <c r="AT202" s="66"/>
      <c r="AV202"/>
      <c r="AW202"/>
      <c r="AX202"/>
      <c r="AY202"/>
      <c r="AZ202"/>
      <c r="BA202"/>
      <c r="BB202"/>
      <c r="BC202" s="66"/>
      <c r="BD202" s="66"/>
      <c r="BE202" s="66"/>
      <c r="BF202" s="66"/>
      <c r="BG202" s="66"/>
      <c r="BH202" s="24"/>
      <c r="BL202" s="14"/>
      <c r="BM202" s="14"/>
      <c r="BO202" s="24"/>
      <c r="CE202" s="24"/>
      <c r="CT202" s="14"/>
    </row>
    <row r="203" spans="1:98">
      <c r="A203" s="24"/>
      <c r="B203" s="24"/>
      <c r="H203" s="14"/>
      <c r="P203" s="24"/>
      <c r="W203" s="24"/>
      <c r="AC203" s="14"/>
      <c r="AK203" s="71"/>
      <c r="AL203" s="66"/>
      <c r="AM203" s="66"/>
      <c r="AN203" s="66"/>
      <c r="AO203" s="66"/>
      <c r="AP203" s="66"/>
      <c r="AQ203" s="66"/>
      <c r="AR203" s="71"/>
      <c r="AS203" s="66"/>
      <c r="AT203" s="8" t="s">
        <v>194</v>
      </c>
      <c r="AU203" s="8"/>
      <c r="AZ203"/>
      <c r="BA203"/>
      <c r="BB203"/>
      <c r="BC203"/>
      <c r="BD203" s="66"/>
      <c r="BE203" s="66"/>
      <c r="BF203" s="66"/>
      <c r="BG203" s="66"/>
      <c r="BH203" s="24"/>
      <c r="BL203" s="14"/>
      <c r="BM203" s="14"/>
      <c r="BO203" s="24"/>
      <c r="CE203" s="24"/>
      <c r="CT203" s="14"/>
    </row>
    <row r="204" spans="1:98">
      <c r="A204" s="24"/>
      <c r="B204" s="24"/>
      <c r="H204" s="14"/>
      <c r="P204" s="24"/>
      <c r="W204" s="24"/>
      <c r="AC204" s="14"/>
      <c r="AK204" s="71"/>
      <c r="AL204" s="66"/>
      <c r="AM204" s="66"/>
      <c r="AN204" s="66"/>
      <c r="AO204" s="66"/>
      <c r="AP204" s="66"/>
      <c r="AQ204" s="66"/>
      <c r="AR204" s="71"/>
      <c r="AS204" s="66"/>
      <c r="AT204" s="8" t="s">
        <v>195</v>
      </c>
      <c r="AU204" s="8"/>
      <c r="AZ204"/>
      <c r="BA204"/>
      <c r="BB204"/>
      <c r="BC204" s="66"/>
      <c r="BD204" s="66"/>
      <c r="BE204" s="66"/>
      <c r="BF204" s="66"/>
      <c r="BG204" s="66"/>
      <c r="BH204" s="24"/>
      <c r="BL204" s="14"/>
      <c r="BM204" s="14"/>
      <c r="BO204" s="24"/>
      <c r="CE204" s="24"/>
      <c r="CT204" s="14"/>
    </row>
    <row r="205" spans="1:98">
      <c r="A205" s="24"/>
      <c r="B205" s="24"/>
      <c r="H205" s="14"/>
      <c r="P205" s="24"/>
      <c r="W205" s="24"/>
      <c r="AC205" s="14"/>
      <c r="AK205" s="71"/>
      <c r="AL205" s="66"/>
      <c r="AM205" s="66"/>
      <c r="AN205" s="66"/>
      <c r="AO205" s="66"/>
      <c r="AP205" s="66"/>
      <c r="AQ205" s="66"/>
      <c r="AR205" s="71"/>
      <c r="AS205" s="66"/>
      <c r="AT205" s="66" t="s">
        <v>196</v>
      </c>
      <c r="AV205"/>
      <c r="AW205"/>
      <c r="AX205"/>
      <c r="AY205"/>
      <c r="AZ205" s="66"/>
      <c r="BA205" s="66"/>
      <c r="BB205" s="66"/>
      <c r="BC205"/>
      <c r="BD205" s="66"/>
      <c r="BE205" s="66"/>
      <c r="BF205" s="66"/>
      <c r="BG205" s="66"/>
      <c r="BH205" s="24"/>
      <c r="BL205" s="14"/>
      <c r="BM205" s="14"/>
      <c r="BO205" s="24"/>
      <c r="CE205" s="24"/>
      <c r="CT205" s="14"/>
    </row>
    <row r="206" spans="1:98">
      <c r="A206" s="24"/>
      <c r="B206" s="24"/>
      <c r="H206" s="14"/>
      <c r="P206" s="24"/>
      <c r="W206" s="24"/>
      <c r="AC206" s="14"/>
      <c r="AK206" s="71"/>
      <c r="AL206" s="66"/>
      <c r="AM206" s="66"/>
      <c r="AN206" s="66"/>
      <c r="AO206" s="66"/>
      <c r="AP206" s="66"/>
      <c r="AQ206" s="66"/>
      <c r="AR206" s="71"/>
      <c r="AS206" s="66"/>
      <c r="AT206" s="66" t="s">
        <v>197</v>
      </c>
      <c r="AV206"/>
      <c r="AW206"/>
      <c r="AX206"/>
      <c r="AY206"/>
      <c r="AZ206" s="66"/>
      <c r="BA206" s="66"/>
      <c r="BB206" s="66"/>
      <c r="BC206"/>
      <c r="BD206" s="66"/>
      <c r="BE206" s="66"/>
      <c r="BF206" s="66"/>
      <c r="BG206" s="66"/>
      <c r="BH206" s="24"/>
      <c r="BL206" s="14"/>
      <c r="BM206" s="14"/>
      <c r="BO206" s="24"/>
      <c r="CE206" s="24"/>
      <c r="CT206" s="14"/>
    </row>
    <row r="207" spans="1:98">
      <c r="A207" s="24"/>
      <c r="B207" s="24"/>
      <c r="H207" s="14"/>
      <c r="P207" s="24"/>
      <c r="W207" s="24"/>
      <c r="AC207" s="14"/>
      <c r="AK207" s="71"/>
      <c r="AL207" s="66"/>
      <c r="AM207" s="66"/>
      <c r="AN207" s="66"/>
      <c r="AO207" s="66"/>
      <c r="AP207" s="66"/>
      <c r="AQ207" s="66"/>
      <c r="AR207" s="71"/>
      <c r="AT207" s="66" t="s">
        <v>133</v>
      </c>
      <c r="AU207" s="66" t="s">
        <v>198</v>
      </c>
      <c r="AV207" s="66"/>
      <c r="AW207" s="66"/>
      <c r="AX207" s="66"/>
      <c r="AY207" s="66"/>
      <c r="BC207"/>
      <c r="BD207" s="66"/>
      <c r="BE207" s="66"/>
      <c r="BF207" s="66"/>
      <c r="BG207" s="66"/>
      <c r="BH207" s="24"/>
      <c r="BL207" s="14"/>
      <c r="BM207" s="14"/>
      <c r="BO207" s="24"/>
      <c r="CE207" s="24"/>
      <c r="CT207" s="14"/>
    </row>
    <row r="208" spans="1:98">
      <c r="A208" s="24"/>
      <c r="B208" s="24"/>
      <c r="H208" s="14"/>
      <c r="P208" s="24"/>
      <c r="W208" s="24"/>
      <c r="AC208" s="14"/>
      <c r="AK208" s="71"/>
      <c r="AL208" s="66"/>
      <c r="AM208" s="66"/>
      <c r="AN208" s="66"/>
      <c r="AO208" s="66"/>
      <c r="AP208" s="66"/>
      <c r="AQ208" s="66"/>
      <c r="AR208" s="71"/>
      <c r="AT208" s="66"/>
      <c r="AU208" s="66" t="s">
        <v>199</v>
      </c>
      <c r="AV208" s="66"/>
      <c r="AW208" s="66"/>
      <c r="AX208" s="66"/>
      <c r="AY208" s="66"/>
      <c r="BC208"/>
      <c r="BD208" s="66"/>
      <c r="BE208" s="66"/>
      <c r="BF208" s="66"/>
      <c r="BG208" s="66"/>
      <c r="BH208" s="24"/>
      <c r="BL208" s="14"/>
      <c r="BM208" s="14"/>
      <c r="BO208" s="24"/>
      <c r="CE208" s="24"/>
      <c r="CT208" s="14"/>
    </row>
    <row r="209" spans="1:98">
      <c r="A209" s="24"/>
      <c r="B209" s="24"/>
      <c r="H209" s="14"/>
      <c r="P209" s="24"/>
      <c r="W209" s="24"/>
      <c r="AC209" s="14"/>
      <c r="AK209" s="71"/>
      <c r="AL209" s="66"/>
      <c r="AM209" s="66"/>
      <c r="AN209" s="66"/>
      <c r="AO209" s="66"/>
      <c r="AP209" s="66"/>
      <c r="AQ209" s="66"/>
      <c r="AR209" s="71"/>
      <c r="AT209" s="66"/>
      <c r="AV209" s="66"/>
      <c r="AW209" s="66"/>
      <c r="AX209" s="66"/>
      <c r="AY209" s="66"/>
      <c r="BC209"/>
      <c r="BD209" s="66"/>
      <c r="BE209" s="66"/>
      <c r="BF209" s="66"/>
      <c r="BG209" s="66"/>
      <c r="BH209" s="24"/>
      <c r="BL209" s="14"/>
      <c r="BM209" s="14"/>
      <c r="BO209" s="24"/>
      <c r="CE209" s="24"/>
      <c r="CT209" s="14"/>
    </row>
    <row r="210" spans="1:98">
      <c r="A210" s="24"/>
      <c r="B210" s="24"/>
      <c r="H210" s="14"/>
      <c r="P210" s="24"/>
      <c r="W210" s="24"/>
      <c r="AC210" s="14"/>
      <c r="AK210" s="71"/>
      <c r="AL210" s="66"/>
      <c r="AM210" s="66"/>
      <c r="AN210" s="66"/>
      <c r="AO210" s="66"/>
      <c r="AP210" s="66"/>
      <c r="AQ210" s="66"/>
      <c r="AR210" s="71"/>
      <c r="AT210" s="76" t="s">
        <v>200</v>
      </c>
      <c r="AU210" s="77"/>
      <c r="AV210" s="61" t="s">
        <v>201</v>
      </c>
      <c r="AW210" s="61"/>
      <c r="AX210" s="61"/>
      <c r="AY210" s="61"/>
      <c r="AZ210" s="62"/>
      <c r="BA210" s="24"/>
      <c r="BB210" s="10" t="s">
        <v>202</v>
      </c>
      <c r="BC210"/>
      <c r="BD210" s="66"/>
      <c r="BE210" s="66"/>
      <c r="BF210" s="66"/>
      <c r="BG210" s="66"/>
      <c r="BH210" s="24"/>
      <c r="BL210" s="14"/>
      <c r="BM210" s="14"/>
      <c r="BO210" s="24"/>
      <c r="CE210" s="24"/>
      <c r="CT210" s="14"/>
    </row>
    <row r="211" spans="1:98">
      <c r="A211" s="24"/>
      <c r="B211" s="24"/>
      <c r="H211" s="14"/>
      <c r="P211" s="24"/>
      <c r="W211" s="24"/>
      <c r="AD211" s="24"/>
      <c r="AK211" s="71"/>
      <c r="AL211" s="66"/>
      <c r="AM211" s="66"/>
      <c r="AN211" s="66"/>
      <c r="AO211" s="66"/>
      <c r="AP211" s="66"/>
      <c r="AQ211" s="66"/>
      <c r="AR211" s="71"/>
      <c r="AT211" s="76"/>
      <c r="AU211" s="77"/>
      <c r="AV211" s="66"/>
      <c r="AW211" s="63" t="s">
        <v>204</v>
      </c>
      <c r="AX211" s="66"/>
      <c r="AY211" s="63"/>
      <c r="AZ211" s="64"/>
      <c r="BA211" s="65" t="s">
        <v>205</v>
      </c>
      <c r="BB211" s="66"/>
      <c r="BC211"/>
      <c r="BD211" s="66"/>
      <c r="BE211" s="66"/>
      <c r="BF211" s="66"/>
      <c r="BG211" s="66"/>
      <c r="BH211" s="24"/>
      <c r="BL211" s="14"/>
      <c r="BM211" s="14"/>
      <c r="BO211" s="24"/>
      <c r="CE211" s="24"/>
      <c r="CT211" s="14"/>
    </row>
    <row r="212" spans="1:98">
      <c r="A212" s="24"/>
      <c r="B212" s="24"/>
      <c r="H212" s="14"/>
      <c r="P212" s="24"/>
      <c r="W212" s="24"/>
      <c r="AD212" s="24"/>
      <c r="AK212" s="71"/>
      <c r="AL212" s="66"/>
      <c r="AM212" s="66"/>
      <c r="AN212" s="66"/>
      <c r="AO212" s="66"/>
      <c r="AP212" s="66"/>
      <c r="AQ212" s="66"/>
      <c r="AR212" s="71"/>
      <c r="AT212" s="76"/>
      <c r="AU212" s="77"/>
      <c r="AV212" s="66"/>
      <c r="AW212" s="70" t="s">
        <v>207</v>
      </c>
      <c r="AX212" s="70"/>
      <c r="AY212" s="70"/>
      <c r="AZ212" s="13"/>
      <c r="BA212" s="29" t="s">
        <v>208</v>
      </c>
      <c r="BB212" s="70"/>
      <c r="BC212"/>
      <c r="BD212" s="66"/>
      <c r="BE212" s="66"/>
      <c r="BF212" s="66"/>
      <c r="BG212" s="66"/>
      <c r="BH212" s="24"/>
      <c r="BL212" s="14"/>
      <c r="BM212" s="14"/>
      <c r="BO212" s="24"/>
      <c r="CE212" s="24"/>
      <c r="CT212" s="14"/>
    </row>
    <row r="213" spans="1:98">
      <c r="A213" s="24"/>
      <c r="B213" s="24"/>
      <c r="H213" s="14"/>
      <c r="P213" s="24"/>
      <c r="W213" s="24"/>
      <c r="AD213" s="24"/>
      <c r="AK213" s="71"/>
      <c r="AL213" s="66"/>
      <c r="AM213" s="66"/>
      <c r="AN213" s="66"/>
      <c r="AO213" s="66"/>
      <c r="AP213" s="66"/>
      <c r="AQ213" s="66"/>
      <c r="AR213" s="71"/>
      <c r="AU213" s="8"/>
      <c r="BC213"/>
      <c r="BD213"/>
      <c r="BE213"/>
      <c r="BF213" s="66"/>
      <c r="BG213" s="66"/>
      <c r="BH213" s="24"/>
      <c r="BL213" s="14"/>
      <c r="BM213" s="14"/>
      <c r="BO213" s="24"/>
      <c r="CE213" s="24"/>
      <c r="CT213" s="14"/>
    </row>
    <row r="214" spans="1:98">
      <c r="A214" s="24"/>
      <c r="B214" s="24"/>
      <c r="H214" s="14"/>
      <c r="P214" s="24"/>
      <c r="W214" s="24"/>
      <c r="AD214" s="24"/>
      <c r="AK214" s="71"/>
      <c r="AL214" s="66"/>
      <c r="AM214" s="66"/>
      <c r="AN214" s="66"/>
      <c r="AO214" s="66"/>
      <c r="AP214" s="66"/>
      <c r="AQ214" s="66"/>
      <c r="AR214" s="71"/>
      <c r="AT214" s="77" t="s">
        <v>210</v>
      </c>
      <c r="AV214" s="66"/>
      <c r="AW214" s="66"/>
      <c r="AX214" s="66"/>
      <c r="AY214" s="66"/>
      <c r="AZ214" s="66"/>
      <c r="BA214" s="66"/>
      <c r="BB214" s="66"/>
      <c r="BC214" s="66"/>
      <c r="BD214"/>
      <c r="BE214"/>
      <c r="BF214" s="66"/>
      <c r="BG214" s="66"/>
      <c r="BH214" s="24"/>
      <c r="BL214" s="14"/>
      <c r="BM214" s="14"/>
      <c r="BO214" s="24"/>
      <c r="CE214" s="24"/>
      <c r="CT214" s="14"/>
    </row>
    <row r="215" spans="1:98">
      <c r="A215" s="24"/>
      <c r="B215" s="24"/>
      <c r="H215" s="14"/>
      <c r="P215" s="24"/>
      <c r="W215" s="24"/>
      <c r="AD215" s="24"/>
      <c r="AK215" s="71"/>
      <c r="AL215" s="66"/>
      <c r="AM215" s="66"/>
      <c r="AN215" s="66"/>
      <c r="AO215" s="66"/>
      <c r="AP215" s="66"/>
      <c r="AQ215" s="66"/>
      <c r="AR215" s="71"/>
      <c r="AS215" s="66"/>
      <c r="AT215" s="66" t="s">
        <v>118</v>
      </c>
      <c r="AU215" s="66" t="s">
        <v>211</v>
      </c>
      <c r="AV215" s="66"/>
      <c r="AW215" s="66"/>
      <c r="AX215" s="66"/>
      <c r="AY215" s="66"/>
      <c r="AZ215" s="66"/>
      <c r="BA215" s="66"/>
      <c r="BB215" s="66"/>
      <c r="BC215" s="66"/>
      <c r="BD215" s="66"/>
      <c r="BE215" s="66"/>
      <c r="BF215" s="66"/>
      <c r="BG215" s="66"/>
      <c r="BH215" s="24"/>
      <c r="BL215" s="14"/>
      <c r="BM215" s="14"/>
      <c r="BO215" s="24"/>
      <c r="CE215" s="24"/>
      <c r="CT215" s="14"/>
    </row>
    <row r="216" spans="1:98">
      <c r="A216" s="24"/>
      <c r="B216" s="24"/>
      <c r="H216" s="14"/>
      <c r="P216" s="24"/>
      <c r="W216" s="24"/>
      <c r="AD216" s="24"/>
      <c r="AK216" s="71"/>
      <c r="AL216" s="66"/>
      <c r="AM216" s="66"/>
      <c r="AN216" s="66"/>
      <c r="AO216" s="66"/>
      <c r="AP216" s="66"/>
      <c r="AQ216" s="66"/>
      <c r="AR216" s="71"/>
      <c r="AS216" s="66"/>
      <c r="AU216" s="8"/>
      <c r="BC216" s="66"/>
      <c r="BD216" s="66"/>
      <c r="BE216" s="66"/>
      <c r="BF216" s="66"/>
      <c r="BG216" s="66"/>
      <c r="BH216" s="24"/>
      <c r="BL216" s="14"/>
      <c r="BM216" s="14"/>
      <c r="BO216" s="24"/>
      <c r="CE216" s="24"/>
      <c r="CT216" s="14"/>
    </row>
    <row r="217" spans="1:98">
      <c r="A217" s="24"/>
      <c r="B217" s="24"/>
      <c r="H217" s="14"/>
      <c r="P217" s="24"/>
      <c r="W217" s="24"/>
      <c r="AD217" s="24"/>
      <c r="AK217" s="71"/>
      <c r="AL217" s="66"/>
      <c r="AM217" s="66"/>
      <c r="AN217" s="66"/>
      <c r="AO217" s="66"/>
      <c r="AP217" s="66"/>
      <c r="AQ217" s="66"/>
      <c r="AR217" s="71"/>
      <c r="AT217" s="77" t="s">
        <v>212</v>
      </c>
      <c r="AV217" s="66"/>
      <c r="AW217" s="66"/>
      <c r="AX217" s="66"/>
      <c r="AY217" s="66"/>
      <c r="AZ217" s="66"/>
      <c r="BA217" s="66"/>
      <c r="BB217" s="66"/>
      <c r="BC217" s="66"/>
      <c r="BD217" s="66"/>
      <c r="BE217" s="66"/>
      <c r="BF217" s="66"/>
      <c r="BG217" s="66"/>
      <c r="BH217" s="24"/>
      <c r="BL217" s="14"/>
      <c r="BM217" s="14"/>
      <c r="BO217" s="24"/>
      <c r="CE217" s="24"/>
      <c r="CT217" s="14"/>
    </row>
    <row r="218" spans="1:98">
      <c r="A218" s="24"/>
      <c r="B218" s="24"/>
      <c r="H218" s="14"/>
      <c r="P218" s="24"/>
      <c r="W218" s="24"/>
      <c r="AD218" s="24"/>
      <c r="AK218" s="71"/>
      <c r="AL218" s="66"/>
      <c r="AM218" s="66"/>
      <c r="AN218" s="66"/>
      <c r="AO218" s="66"/>
      <c r="AP218" s="66"/>
      <c r="AQ218" s="66"/>
      <c r="AR218" s="71"/>
      <c r="AU218" s="8"/>
      <c r="BC218" s="66"/>
      <c r="BD218" s="66"/>
      <c r="BE218" s="66"/>
      <c r="BF218" s="66"/>
      <c r="BG218" s="66"/>
      <c r="BH218" s="24"/>
      <c r="BL218" s="14"/>
      <c r="BM218" s="14"/>
      <c r="BO218" s="24"/>
      <c r="CE218" s="24"/>
      <c r="CT218" s="14"/>
    </row>
    <row r="219" spans="1:98">
      <c r="A219" s="24"/>
      <c r="B219" s="24"/>
      <c r="H219" s="14"/>
      <c r="P219" s="24"/>
      <c r="W219" s="24"/>
      <c r="AD219" s="24"/>
      <c r="AK219" s="71"/>
      <c r="AL219" s="66"/>
      <c r="AM219" s="66"/>
      <c r="AN219" s="66"/>
      <c r="AO219" s="66"/>
      <c r="AP219" s="66"/>
      <c r="AQ219" s="66"/>
      <c r="AR219" s="71"/>
      <c r="AU219" s="8"/>
      <c r="BC219" s="66"/>
      <c r="BD219" s="66"/>
      <c r="BE219" s="66"/>
      <c r="BF219" s="66"/>
      <c r="BG219" s="66"/>
      <c r="BH219" s="24"/>
      <c r="BL219" s="14"/>
      <c r="BM219" s="14"/>
      <c r="BO219" s="114" t="s">
        <v>222</v>
      </c>
      <c r="CE219" s="115" t="s">
        <v>107</v>
      </c>
      <c r="CF219" s="116" t="s">
        <v>223</v>
      </c>
      <c r="CG219" s="116"/>
      <c r="CH219" s="116"/>
      <c r="CT219" s="14"/>
    </row>
    <row r="220" spans="1:98">
      <c r="A220" s="24"/>
      <c r="B220" s="24"/>
      <c r="H220" s="14"/>
      <c r="P220" s="24"/>
      <c r="W220" s="24"/>
      <c r="AD220" s="24"/>
      <c r="AK220" s="71"/>
      <c r="AL220" s="66"/>
      <c r="AM220" s="66"/>
      <c r="AN220" s="66"/>
      <c r="AO220" s="66"/>
      <c r="AP220" s="66"/>
      <c r="AQ220" s="66"/>
      <c r="AR220" s="71"/>
      <c r="AS220" s="76" t="s">
        <v>257</v>
      </c>
      <c r="AT220" s="66"/>
      <c r="AV220"/>
      <c r="AW220"/>
      <c r="AX220"/>
      <c r="AY220"/>
      <c r="AZ220"/>
      <c r="BA220"/>
      <c r="BB220"/>
      <c r="BC220" s="66"/>
      <c r="BD220" s="66"/>
      <c r="BE220" s="66"/>
      <c r="BF220" s="66"/>
      <c r="BG220" s="66"/>
      <c r="BH220" s="24"/>
      <c r="BL220" s="14"/>
      <c r="BM220" s="14"/>
      <c r="BO220" s="114" t="s">
        <v>224</v>
      </c>
      <c r="CE220" s="115"/>
      <c r="CF220" s="116" t="s">
        <v>225</v>
      </c>
      <c r="CG220" s="116"/>
      <c r="CH220" s="116"/>
      <c r="CT220" s="14"/>
    </row>
    <row r="221" spans="1:98">
      <c r="A221" s="24"/>
      <c r="B221" s="24"/>
      <c r="H221" s="14"/>
      <c r="P221" s="24"/>
      <c r="W221" s="24"/>
      <c r="AD221" s="24"/>
      <c r="AK221" s="71"/>
      <c r="AL221" s="66"/>
      <c r="AM221" s="66"/>
      <c r="AN221" s="66"/>
      <c r="AO221" s="66"/>
      <c r="AP221" s="66"/>
      <c r="AQ221" s="66"/>
      <c r="AR221" s="71"/>
      <c r="AS221" s="66"/>
      <c r="AT221" s="8" t="s">
        <v>218</v>
      </c>
      <c r="AU221" s="8"/>
      <c r="AZ221"/>
      <c r="BA221"/>
      <c r="BB221"/>
      <c r="BC221" s="66"/>
      <c r="BD221" s="66"/>
      <c r="BE221" s="66"/>
      <c r="BF221" s="66"/>
      <c r="BG221" s="66"/>
      <c r="BH221" s="24"/>
      <c r="BL221" s="14"/>
      <c r="BM221" s="14"/>
      <c r="BO221" s="114" t="s">
        <v>258</v>
      </c>
      <c r="CE221" s="24"/>
      <c r="CT221" s="14"/>
    </row>
    <row r="222" spans="1:98">
      <c r="A222" s="24"/>
      <c r="B222" s="24"/>
      <c r="H222" s="14"/>
      <c r="P222" s="24"/>
      <c r="W222" s="24"/>
      <c r="AC222" s="14"/>
      <c r="AK222" s="71"/>
      <c r="AL222" s="66"/>
      <c r="AM222" s="66"/>
      <c r="AN222" s="66"/>
      <c r="AO222" s="66"/>
      <c r="AP222" s="66"/>
      <c r="AQ222" s="66"/>
      <c r="AR222" s="71"/>
      <c r="AS222" s="66"/>
      <c r="AT222" s="8" t="s">
        <v>220</v>
      </c>
      <c r="AU222" s="8"/>
      <c r="AZ222"/>
      <c r="BA222"/>
      <c r="BB222"/>
      <c r="BC222" s="66"/>
      <c r="BD222" s="66"/>
      <c r="BE222" s="66"/>
      <c r="BF222" s="66"/>
      <c r="BG222" s="66"/>
      <c r="BH222" s="24"/>
      <c r="BL222" s="14"/>
      <c r="BM222" s="14"/>
      <c r="BO222" s="24"/>
      <c r="CE222" s="24"/>
      <c r="CT222" s="14"/>
    </row>
    <row r="223" spans="1:98">
      <c r="A223" s="24"/>
      <c r="B223" s="24"/>
      <c r="H223" s="14"/>
      <c r="P223" s="24"/>
      <c r="W223" s="24"/>
      <c r="AC223" s="14"/>
      <c r="AK223" s="71"/>
      <c r="AL223" s="66"/>
      <c r="AM223" s="66"/>
      <c r="AN223" s="66"/>
      <c r="AO223" s="66"/>
      <c r="AP223" s="66"/>
      <c r="AQ223" s="66"/>
      <c r="AR223" s="71"/>
      <c r="AS223" s="76"/>
      <c r="AT223" s="8" t="s">
        <v>118</v>
      </c>
      <c r="AU223" s="8" t="s">
        <v>221</v>
      </c>
      <c r="BC223" s="66"/>
      <c r="BD223" s="66"/>
      <c r="BE223" s="66"/>
      <c r="BF223" s="66"/>
      <c r="BG223" s="66"/>
      <c r="BH223" s="24"/>
      <c r="BL223" s="14"/>
      <c r="BM223" s="14"/>
      <c r="BO223" s="24"/>
      <c r="CE223" s="24"/>
      <c r="CT223" s="14"/>
    </row>
    <row r="224" spans="1:98">
      <c r="A224" s="24"/>
      <c r="B224" s="24"/>
      <c r="H224" s="14"/>
      <c r="P224" s="24"/>
      <c r="W224" s="24"/>
      <c r="AC224" s="14"/>
      <c r="AK224" s="71"/>
      <c r="AL224" s="66"/>
      <c r="AM224" s="66"/>
      <c r="AN224" s="66"/>
      <c r="AO224" s="66"/>
      <c r="AP224" s="66"/>
      <c r="AQ224" s="66"/>
      <c r="AR224" s="71"/>
      <c r="AS224" s="66"/>
      <c r="AT224" s="66"/>
      <c r="AV224" s="66"/>
      <c r="AW224" s="66"/>
      <c r="AX224" s="66"/>
      <c r="AY224" s="66"/>
      <c r="AZ224" s="66"/>
      <c r="BA224" s="66"/>
      <c r="BB224" s="66"/>
      <c r="BC224" s="66"/>
      <c r="BD224" s="66"/>
      <c r="BE224" s="66"/>
      <c r="BF224" s="66"/>
      <c r="BG224" s="66"/>
      <c r="BH224" s="24"/>
      <c r="BL224" s="14"/>
      <c r="BM224" s="14"/>
      <c r="BO224" s="24"/>
      <c r="CE224" s="24"/>
      <c r="CT224" s="14"/>
    </row>
    <row r="225" spans="1:98">
      <c r="A225" s="24"/>
      <c r="B225" s="24"/>
      <c r="H225" s="14"/>
      <c r="P225" s="24"/>
      <c r="W225" s="24"/>
      <c r="AC225" s="14"/>
      <c r="AK225" s="71"/>
      <c r="AL225" s="66"/>
      <c r="AM225" s="66"/>
      <c r="AN225" s="66"/>
      <c r="AO225" s="66"/>
      <c r="AP225" s="66"/>
      <c r="AQ225" s="66"/>
      <c r="AR225" s="71"/>
      <c r="AS225" s="66"/>
      <c r="AU225" s="8"/>
      <c r="AZ225" s="66"/>
      <c r="BA225" s="66"/>
      <c r="BB225" s="66"/>
      <c r="BC225" s="66"/>
      <c r="BD225" s="66"/>
      <c r="BE225" s="66"/>
      <c r="BF225" s="66"/>
      <c r="BG225" s="66"/>
      <c r="BH225" s="24"/>
      <c r="BL225" s="14"/>
      <c r="BM225" s="14"/>
      <c r="BO225" s="24"/>
      <c r="CE225" s="24"/>
      <c r="CT225" s="14"/>
    </row>
    <row r="226" spans="1:98">
      <c r="A226" s="24"/>
      <c r="B226" s="24"/>
      <c r="H226" s="14"/>
      <c r="P226" s="24"/>
      <c r="W226" s="24"/>
      <c r="AC226" s="14"/>
      <c r="AK226" s="71"/>
      <c r="AL226" s="66"/>
      <c r="AM226" s="66"/>
      <c r="AN226" s="66"/>
      <c r="AO226" s="66"/>
      <c r="AP226" s="66"/>
      <c r="AQ226" s="66"/>
      <c r="AR226" s="71"/>
      <c r="AU226" s="8"/>
      <c r="BC226" s="66"/>
      <c r="BD226" s="66"/>
      <c r="BE226" s="66"/>
      <c r="BF226" s="66"/>
      <c r="BG226" s="66"/>
      <c r="BH226" s="24"/>
      <c r="BL226" s="14"/>
      <c r="BM226" s="14"/>
      <c r="BO226" s="24"/>
      <c r="CE226" s="24"/>
      <c r="CT226" s="14"/>
    </row>
    <row r="227" spans="1:98">
      <c r="A227" s="24"/>
      <c r="B227" s="24"/>
      <c r="H227" s="14"/>
      <c r="P227" s="24"/>
      <c r="W227" s="24"/>
      <c r="AC227" s="14"/>
      <c r="AK227" s="71"/>
      <c r="AL227" s="66"/>
      <c r="AM227" s="66"/>
      <c r="AN227" s="66"/>
      <c r="AO227" s="66"/>
      <c r="AP227" s="66"/>
      <c r="AQ227" s="66"/>
      <c r="AR227" s="71"/>
      <c r="AU227" s="8"/>
      <c r="BC227" s="66"/>
      <c r="BD227" s="66"/>
      <c r="BE227" s="66"/>
      <c r="BF227" s="66"/>
      <c r="BG227" s="66"/>
      <c r="BH227" s="24"/>
      <c r="BL227" s="14"/>
      <c r="BM227" s="14"/>
      <c r="BO227" s="24"/>
      <c r="CE227" s="24"/>
      <c r="CT227" s="14"/>
    </row>
    <row r="228" spans="1:98">
      <c r="A228" s="24"/>
      <c r="B228" s="24"/>
      <c r="H228" s="14"/>
      <c r="P228" s="24"/>
      <c r="W228" s="24"/>
      <c r="AC228" s="14"/>
      <c r="AK228" s="71"/>
      <c r="AL228" s="66"/>
      <c r="AM228" s="66"/>
      <c r="AN228" s="66"/>
      <c r="AO228" s="66"/>
      <c r="AP228" s="66"/>
      <c r="AQ228" s="66"/>
      <c r="AR228" s="71"/>
      <c r="AS228" s="66"/>
      <c r="AT228" s="66"/>
      <c r="AV228" s="66"/>
      <c r="AW228" s="66"/>
      <c r="AX228" s="66"/>
      <c r="AY228" s="66"/>
      <c r="AZ228" s="66"/>
      <c r="BA228" s="66"/>
      <c r="BB228" s="66"/>
      <c r="BC228" s="66"/>
      <c r="BD228" s="66"/>
      <c r="BE228" s="66"/>
      <c r="BF228" s="66"/>
      <c r="BG228" s="66"/>
      <c r="BH228" s="24"/>
      <c r="BL228" s="14"/>
      <c r="BM228" s="14"/>
      <c r="BO228" s="24"/>
      <c r="CE228" s="24"/>
      <c r="CT228" s="14"/>
    </row>
    <row r="229" spans="1:98">
      <c r="A229" s="24"/>
      <c r="B229" s="24"/>
      <c r="H229" s="14"/>
      <c r="P229" s="24"/>
      <c r="W229" s="24"/>
      <c r="AC229" s="14"/>
      <c r="AK229" s="71"/>
      <c r="AL229" s="66"/>
      <c r="AM229" s="66"/>
      <c r="AN229" s="66"/>
      <c r="AO229" s="66"/>
      <c r="AP229" s="66"/>
      <c r="AQ229" s="66"/>
      <c r="AR229" s="71"/>
      <c r="AS229" s="76" t="s">
        <v>259</v>
      </c>
      <c r="AT229" s="66"/>
      <c r="AV229"/>
      <c r="AW229"/>
      <c r="AX229"/>
      <c r="BD229" s="66"/>
      <c r="BE229" s="66"/>
      <c r="BF229" s="66"/>
      <c r="BG229" s="66"/>
      <c r="BH229" s="24"/>
      <c r="BL229" s="14"/>
      <c r="BM229" s="14"/>
      <c r="BO229" s="24"/>
      <c r="CE229" s="24"/>
      <c r="CT229" s="14"/>
    </row>
    <row r="230" spans="1:98">
      <c r="A230" s="24"/>
      <c r="B230" s="24"/>
      <c r="H230" s="14"/>
      <c r="P230" s="24"/>
      <c r="W230" s="24"/>
      <c r="AC230" s="14"/>
      <c r="AK230" s="71"/>
      <c r="AL230" s="66"/>
      <c r="AM230" s="66"/>
      <c r="AN230" s="66"/>
      <c r="AO230" s="66"/>
      <c r="AP230" s="66"/>
      <c r="AQ230" s="66"/>
      <c r="AR230" s="71"/>
      <c r="AS230" s="66"/>
      <c r="AT230" s="8" t="s">
        <v>260</v>
      </c>
      <c r="AU230" s="8"/>
      <c r="BD230" s="66"/>
      <c r="BE230" s="66"/>
      <c r="BF230" s="66"/>
      <c r="BG230" s="66"/>
      <c r="BH230" s="24"/>
      <c r="BL230" s="14"/>
      <c r="BM230" s="14"/>
      <c r="BO230" s="24"/>
      <c r="CE230" s="24"/>
      <c r="CT230" s="14"/>
    </row>
    <row r="231" spans="1:98">
      <c r="A231" s="24"/>
      <c r="B231" s="24"/>
      <c r="H231" s="14"/>
      <c r="P231" s="24"/>
      <c r="W231" s="24"/>
      <c r="AC231" s="14"/>
      <c r="AK231" s="71"/>
      <c r="AL231" s="66"/>
      <c r="AM231" s="66"/>
      <c r="AN231" s="66"/>
      <c r="AO231" s="66"/>
      <c r="AP231" s="66"/>
      <c r="AQ231" s="66"/>
      <c r="AR231" s="71"/>
      <c r="AS231" s="66"/>
      <c r="AT231" s="8" t="s">
        <v>229</v>
      </c>
      <c r="AU231" s="8"/>
      <c r="BD231" s="66"/>
      <c r="BE231" s="66"/>
      <c r="BF231" s="66"/>
      <c r="BG231" s="66"/>
      <c r="BH231" s="24"/>
      <c r="BL231" s="14"/>
      <c r="BM231" s="14"/>
      <c r="BO231" s="24"/>
      <c r="CE231" s="24"/>
      <c r="CT231" s="14"/>
    </row>
    <row r="232" spans="1:98">
      <c r="A232" s="24"/>
      <c r="B232" s="24"/>
      <c r="H232" s="14"/>
      <c r="P232" s="24"/>
      <c r="W232" s="24"/>
      <c r="AC232" s="14"/>
      <c r="AK232" s="71"/>
      <c r="AL232" s="66"/>
      <c r="AM232" s="66"/>
      <c r="AN232" s="66"/>
      <c r="AO232" s="66"/>
      <c r="AP232" s="66"/>
      <c r="AQ232" s="66"/>
      <c r="AR232" s="71"/>
      <c r="AS232" s="76"/>
      <c r="AT232" s="8" t="s">
        <v>118</v>
      </c>
      <c r="AU232" s="45" t="s">
        <v>230</v>
      </c>
      <c r="BD232" s="66"/>
      <c r="BE232" s="66"/>
      <c r="BF232" s="66"/>
      <c r="BG232" s="66"/>
      <c r="BH232" s="24"/>
      <c r="BL232" s="14"/>
      <c r="BM232" s="14"/>
      <c r="BO232" s="24"/>
      <c r="CE232" s="24"/>
      <c r="CT232" s="14"/>
    </row>
    <row r="233" spans="1:98">
      <c r="A233" s="24"/>
      <c r="B233" s="24"/>
      <c r="H233" s="14"/>
      <c r="P233" s="24"/>
      <c r="W233" s="24"/>
      <c r="AC233" s="14"/>
      <c r="AK233" s="71"/>
      <c r="AL233" s="66"/>
      <c r="AM233" s="66"/>
      <c r="AN233" s="66"/>
      <c r="AO233" s="66"/>
      <c r="AP233" s="66"/>
      <c r="AQ233" s="66"/>
      <c r="AR233" s="71"/>
      <c r="AT233" s="8" t="s">
        <v>118</v>
      </c>
      <c r="AU233" s="8" t="s">
        <v>231</v>
      </c>
      <c r="BD233" s="66"/>
      <c r="BE233" s="66"/>
      <c r="BF233" s="66"/>
      <c r="BG233" s="66"/>
      <c r="BH233" s="24"/>
      <c r="BL233" s="14"/>
      <c r="BM233" s="14"/>
      <c r="BO233" s="24"/>
      <c r="CE233" s="24"/>
      <c r="CT233" s="14"/>
    </row>
    <row r="234" spans="1:98">
      <c r="A234" s="24"/>
      <c r="B234" s="24"/>
      <c r="H234" s="14"/>
      <c r="P234" s="24"/>
      <c r="W234" s="24"/>
      <c r="AC234" s="14"/>
      <c r="AK234" s="71"/>
      <c r="AL234" s="66"/>
      <c r="AM234" s="66"/>
      <c r="AN234" s="66"/>
      <c r="AO234" s="66"/>
      <c r="AP234" s="66"/>
      <c r="AQ234" s="66"/>
      <c r="AR234" s="71"/>
      <c r="AU234" s="8"/>
      <c r="BD234" s="66"/>
      <c r="BE234" s="66"/>
      <c r="BF234" s="66"/>
      <c r="BG234" s="66"/>
      <c r="BH234" s="24"/>
      <c r="BL234" s="14"/>
      <c r="BM234" s="14"/>
      <c r="BO234" s="24"/>
      <c r="CE234" s="24"/>
      <c r="CT234" s="14"/>
    </row>
    <row r="235" spans="1:98">
      <c r="A235" s="24"/>
      <c r="B235" s="24"/>
      <c r="H235" s="14"/>
      <c r="P235" s="24"/>
      <c r="W235" s="24"/>
      <c r="AC235" s="14"/>
      <c r="AK235" s="71"/>
      <c r="AL235" s="66"/>
      <c r="AM235" s="66"/>
      <c r="AN235" s="66"/>
      <c r="AO235" s="66"/>
      <c r="AP235" s="66"/>
      <c r="AQ235" s="66"/>
      <c r="AR235" s="71"/>
      <c r="AU235" s="8"/>
      <c r="BD235" s="66"/>
      <c r="BE235" s="66"/>
      <c r="BF235" s="66"/>
      <c r="BG235" s="66"/>
      <c r="BH235" s="24"/>
      <c r="BL235" s="14"/>
      <c r="BM235" s="14"/>
      <c r="BO235" s="24"/>
      <c r="CE235" s="24"/>
      <c r="CT235" s="14"/>
    </row>
    <row r="236" spans="1:98">
      <c r="A236" s="24"/>
      <c r="B236" s="24"/>
      <c r="H236" s="14"/>
      <c r="P236" s="24"/>
      <c r="W236" s="24"/>
      <c r="AC236" s="14"/>
      <c r="AK236" s="71"/>
      <c r="AL236" s="66"/>
      <c r="AM236" s="66"/>
      <c r="AN236" s="66"/>
      <c r="AO236" s="66"/>
      <c r="AP236" s="66"/>
      <c r="AQ236" s="66"/>
      <c r="AR236" s="71"/>
      <c r="AU236" s="8"/>
      <c r="BD236" s="66"/>
      <c r="BE236" s="66"/>
      <c r="BF236" s="66"/>
      <c r="BG236" s="66"/>
      <c r="BH236" s="24"/>
      <c r="BL236" s="14"/>
      <c r="BM236" s="14"/>
      <c r="BO236" s="24"/>
      <c r="CE236" s="24"/>
      <c r="CT236" s="14"/>
    </row>
    <row r="237" spans="1:98">
      <c r="A237" s="24"/>
      <c r="B237" s="24"/>
      <c r="H237" s="14"/>
      <c r="P237" s="28"/>
      <c r="Q237"/>
      <c r="R237"/>
      <c r="S237"/>
      <c r="T237"/>
      <c r="U237"/>
      <c r="V237"/>
      <c r="W237" s="24"/>
      <c r="X237"/>
      <c r="Y237"/>
      <c r="Z237"/>
      <c r="AA237"/>
      <c r="AB237"/>
      <c r="AC237" s="14"/>
      <c r="AD237"/>
      <c r="AE237"/>
      <c r="AF237"/>
      <c r="AG237"/>
      <c r="AH237"/>
      <c r="AI237"/>
      <c r="AJ237"/>
      <c r="AK237" s="28"/>
      <c r="AL237"/>
      <c r="AM237"/>
      <c r="AN237"/>
      <c r="AO237"/>
      <c r="AP237"/>
      <c r="AQ237"/>
      <c r="AR237" s="71"/>
      <c r="AU237" s="8"/>
      <c r="BD237"/>
      <c r="BE237"/>
      <c r="BF237" s="66"/>
      <c r="BG237" s="66"/>
      <c r="BH237" s="24"/>
      <c r="BL237" s="14"/>
      <c r="BM237" s="14"/>
      <c r="BO237" s="24"/>
      <c r="CE237" s="24"/>
      <c r="CT237" s="14"/>
    </row>
    <row r="238" spans="1:98">
      <c r="A238" s="24"/>
      <c r="B238" s="24"/>
      <c r="H238" s="14"/>
      <c r="P238" s="28"/>
      <c r="Q238"/>
      <c r="R238"/>
      <c r="S238"/>
      <c r="T238"/>
      <c r="U238"/>
      <c r="V238" s="14"/>
      <c r="W238" s="24"/>
      <c r="X238"/>
      <c r="Y238"/>
      <c r="Z238"/>
      <c r="AA238"/>
      <c r="AB238"/>
      <c r="AC238" s="14"/>
      <c r="AD238"/>
      <c r="AE238"/>
      <c r="AF238"/>
      <c r="AG238"/>
      <c r="AH238"/>
      <c r="AI238"/>
      <c r="AJ238"/>
      <c r="AK238" s="28"/>
      <c r="AL238"/>
      <c r="AM238"/>
      <c r="AN238"/>
      <c r="AO238"/>
      <c r="AP238"/>
      <c r="AQ238"/>
      <c r="AR238" s="71"/>
      <c r="AU238" s="8"/>
      <c r="BD238"/>
      <c r="BE238"/>
      <c r="BF238" s="66"/>
      <c r="BG238" s="66"/>
      <c r="BH238" s="24"/>
      <c r="BL238" s="14"/>
      <c r="BM238" s="14"/>
      <c r="BO238" s="24"/>
      <c r="CE238" s="24"/>
      <c r="CT238" s="14"/>
    </row>
    <row r="239" spans="1:98">
      <c r="A239" s="24"/>
      <c r="B239" s="24"/>
      <c r="H239" s="14"/>
      <c r="P239" s="24"/>
      <c r="W239" s="24"/>
      <c r="AC239" s="14"/>
      <c r="AK239" s="71"/>
      <c r="AL239" s="66"/>
      <c r="AM239" s="66"/>
      <c r="AN239" s="66"/>
      <c r="AO239" s="66"/>
      <c r="AP239" s="66"/>
      <c r="AQ239" s="66"/>
      <c r="AR239" s="71"/>
      <c r="AU239" s="8"/>
      <c r="BD239" s="66"/>
      <c r="BE239" s="66"/>
      <c r="BF239" s="66"/>
      <c r="BG239" s="66"/>
      <c r="BH239" s="24"/>
      <c r="BL239" s="14"/>
      <c r="BM239" s="14"/>
      <c r="BO239" s="24"/>
      <c r="CE239" s="24"/>
      <c r="CT239" s="14"/>
    </row>
    <row r="240" spans="1:98">
      <c r="A240" s="24"/>
      <c r="B240" s="24"/>
      <c r="H240" s="14"/>
      <c r="P240" s="24"/>
      <c r="W240" s="24"/>
      <c r="AC240" s="14"/>
      <c r="AK240" s="71"/>
      <c r="AL240" s="66"/>
      <c r="AM240" s="66"/>
      <c r="AN240" s="66"/>
      <c r="AO240" s="66"/>
      <c r="AP240" s="66"/>
      <c r="AQ240" s="66"/>
      <c r="AR240" s="71"/>
      <c r="AU240" s="8"/>
      <c r="BD240" s="66"/>
      <c r="BE240" s="66"/>
      <c r="BF240" s="66"/>
      <c r="BG240" s="66"/>
      <c r="BH240" s="24"/>
      <c r="BL240" s="14"/>
      <c r="BM240" s="14"/>
      <c r="BO240" s="24"/>
      <c r="CE240" s="24"/>
      <c r="CT240" s="14"/>
    </row>
    <row r="241" spans="1:98">
      <c r="A241" s="24"/>
      <c r="B241" s="24"/>
      <c r="H241" s="14"/>
      <c r="P241" s="24"/>
      <c r="W241" s="24"/>
      <c r="AC241" s="14"/>
      <c r="AK241" s="71"/>
      <c r="AL241" s="66"/>
      <c r="AM241" s="66"/>
      <c r="AN241" s="66"/>
      <c r="AO241" s="66"/>
      <c r="AP241" s="66"/>
      <c r="AQ241" s="66"/>
      <c r="AR241" s="71"/>
      <c r="AU241" s="8"/>
      <c r="BD241" s="66"/>
      <c r="BE241" s="66"/>
      <c r="BF241" s="66"/>
      <c r="BG241" s="66"/>
      <c r="BH241" s="24"/>
      <c r="BL241" s="14"/>
      <c r="BM241" s="14"/>
      <c r="BO241" s="24"/>
      <c r="CE241" s="24"/>
      <c r="CT241" s="14"/>
    </row>
    <row r="242" spans="1:98">
      <c r="A242" s="24"/>
      <c r="B242" s="24"/>
      <c r="H242" s="14"/>
      <c r="P242" s="24"/>
      <c r="W242" s="24"/>
      <c r="AC242" s="14"/>
      <c r="AK242" s="71"/>
      <c r="AL242" s="66"/>
      <c r="AM242" s="66"/>
      <c r="AN242" s="66"/>
      <c r="AO242" s="66"/>
      <c r="AP242" s="66"/>
      <c r="AQ242" s="66"/>
      <c r="AR242" s="71"/>
      <c r="AS242" s="70"/>
      <c r="AT242" s="66"/>
      <c r="AU242" s="70"/>
      <c r="AV242" s="70"/>
      <c r="AW242" s="66"/>
      <c r="AX242" s="66"/>
      <c r="AY242" s="66"/>
      <c r="AZ242" s="66"/>
      <c r="BA242" s="66"/>
      <c r="BB242" s="66"/>
      <c r="BC242" s="66"/>
      <c r="BD242" s="66"/>
      <c r="BE242" s="66"/>
      <c r="BF242" s="66"/>
      <c r="BG242" s="66"/>
      <c r="BH242" s="24"/>
      <c r="BL242" s="14"/>
      <c r="BM242" s="14"/>
      <c r="BO242" s="24"/>
      <c r="CE242" s="24"/>
      <c r="CT242" s="14"/>
    </row>
    <row r="243" spans="1:98">
      <c r="A243" s="24"/>
      <c r="B243" s="24"/>
      <c r="H243" s="14"/>
      <c r="P243" s="24"/>
      <c r="W243" s="24"/>
      <c r="AC243" s="14"/>
      <c r="AK243" s="71"/>
      <c r="AL243" s="66"/>
      <c r="AM243" s="66"/>
      <c r="AN243" s="66"/>
      <c r="AO243" s="66"/>
      <c r="AP243" s="66"/>
      <c r="AQ243" s="66"/>
      <c r="AR243" s="71"/>
      <c r="AS243" s="70"/>
      <c r="AT243" s="66"/>
      <c r="AU243" s="70"/>
      <c r="AV243" s="70"/>
      <c r="AW243" s="66"/>
      <c r="AX243" s="66"/>
      <c r="AY243" s="66"/>
      <c r="AZ243" s="66"/>
      <c r="BA243" s="66"/>
      <c r="BB243" s="66"/>
      <c r="BC243" s="66"/>
      <c r="BD243" s="66"/>
      <c r="BE243" s="66"/>
      <c r="BF243" s="66"/>
      <c r="BG243" s="66"/>
      <c r="BH243" s="24"/>
      <c r="BL243" s="14"/>
      <c r="BM243" s="14"/>
      <c r="BO243" s="24"/>
      <c r="CE243" s="24"/>
      <c r="CT243" s="14"/>
    </row>
    <row r="244" spans="1:98">
      <c r="A244" s="24"/>
      <c r="B244" s="24"/>
      <c r="H244" s="14"/>
      <c r="P244" s="24"/>
      <c r="W244" s="24"/>
      <c r="AC244" s="14"/>
      <c r="AK244" s="71"/>
      <c r="AL244" s="66"/>
      <c r="AM244" s="66"/>
      <c r="AN244" s="66"/>
      <c r="AO244" s="66"/>
      <c r="AP244" s="66"/>
      <c r="AQ244" s="66"/>
      <c r="AR244" s="71"/>
      <c r="AS244" s="70"/>
      <c r="AT244" s="66"/>
      <c r="AU244" s="70"/>
      <c r="AV244" s="70"/>
      <c r="AW244" s="66"/>
      <c r="AX244" s="66"/>
      <c r="AY244" s="66"/>
      <c r="AZ244" s="66"/>
      <c r="BA244" s="66"/>
      <c r="BB244" s="66"/>
      <c r="BC244" s="66"/>
      <c r="BD244" s="66"/>
      <c r="BE244" s="66"/>
      <c r="BF244" s="66"/>
      <c r="BG244" s="66"/>
      <c r="BH244" s="24"/>
      <c r="BL244" s="14"/>
      <c r="BM244" s="14"/>
      <c r="BO244" s="24"/>
      <c r="CE244" s="24"/>
      <c r="CT244" s="14"/>
    </row>
    <row r="245" spans="1:98">
      <c r="A245" s="24"/>
      <c r="B245" s="24"/>
      <c r="H245" s="14"/>
      <c r="P245" s="24"/>
      <c r="W245" s="24"/>
      <c r="AC245" s="14"/>
      <c r="AK245" s="71"/>
      <c r="AL245" s="66"/>
      <c r="AM245" s="66"/>
      <c r="AN245" s="66"/>
      <c r="AO245" s="66"/>
      <c r="AP245" s="66"/>
      <c r="AQ245" s="66"/>
      <c r="AR245" s="71"/>
      <c r="AS245" s="66"/>
      <c r="AT245" s="66"/>
      <c r="AV245" s="66"/>
      <c r="AW245" s="66"/>
      <c r="AX245" s="66"/>
      <c r="AY245" s="66"/>
      <c r="AZ245" s="66"/>
      <c r="BA245" s="66"/>
      <c r="BB245" s="66"/>
      <c r="BC245" s="66"/>
      <c r="BD245" s="66"/>
      <c r="BE245" s="66"/>
      <c r="BF245" s="66"/>
      <c r="BG245" s="66"/>
      <c r="BH245" s="24"/>
      <c r="BL245" s="14"/>
      <c r="BM245" s="14"/>
      <c r="BO245" s="24"/>
      <c r="CE245" s="24"/>
      <c r="CT245" s="14"/>
    </row>
    <row r="246" spans="1:98" s="11" customFormat="1">
      <c r="A246" s="25"/>
      <c r="B246" s="26" t="s">
        <v>261</v>
      </c>
      <c r="C246" s="23"/>
      <c r="D246" s="23"/>
      <c r="E246" s="23"/>
      <c r="F246" s="23"/>
      <c r="G246" s="23"/>
      <c r="H246" s="23"/>
      <c r="I246" s="23"/>
      <c r="J246" s="23"/>
      <c r="K246" s="23"/>
      <c r="L246" s="23"/>
      <c r="M246" s="23"/>
      <c r="N246" s="23"/>
      <c r="O246" s="23"/>
      <c r="P246" s="23"/>
      <c r="Q246" s="23"/>
      <c r="R246" s="23"/>
      <c r="S246" s="23"/>
      <c r="T246" s="23"/>
      <c r="U246" s="23"/>
      <c r="V246" s="23"/>
      <c r="W246" s="30"/>
      <c r="X246" s="23"/>
      <c r="Y246" s="23"/>
      <c r="Z246" s="23"/>
      <c r="AA246" s="23"/>
      <c r="AB246" s="23"/>
      <c r="AC246" s="23"/>
      <c r="AD246" s="23"/>
      <c r="AE246" s="23"/>
      <c r="AF246" s="23"/>
      <c r="AG246" s="23"/>
      <c r="AH246" s="23"/>
      <c r="AI246" s="23"/>
      <c r="AJ246" s="23"/>
      <c r="AK246" s="30"/>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14"/>
      <c r="BO246" s="24"/>
      <c r="BP246" s="8"/>
      <c r="BQ246" s="8"/>
      <c r="BR246" s="8"/>
      <c r="BS246" s="8"/>
      <c r="BT246" s="8"/>
      <c r="BU246" s="8"/>
      <c r="BV246" s="8"/>
      <c r="BW246" s="8"/>
      <c r="BX246" s="8"/>
      <c r="BY246" s="8"/>
      <c r="BZ246" s="8"/>
      <c r="CA246" s="8"/>
      <c r="CB246" s="8"/>
      <c r="CC246" s="8"/>
      <c r="CD246" s="8"/>
      <c r="CE246" s="24"/>
      <c r="CF246" s="8"/>
      <c r="CG246" s="8"/>
      <c r="CH246" s="8"/>
      <c r="CI246" s="8"/>
      <c r="CJ246" s="8"/>
      <c r="CK246" s="8"/>
      <c r="CL246" s="8"/>
      <c r="CM246" s="8"/>
      <c r="CN246" s="8"/>
      <c r="CO246" s="8"/>
      <c r="CP246" s="8"/>
      <c r="CQ246" s="8"/>
      <c r="CR246" s="8"/>
      <c r="CS246" s="8"/>
      <c r="CT246" s="14"/>
    </row>
    <row r="247" spans="1:98" s="11" customFormat="1">
      <c r="A247" s="25"/>
      <c r="B247" s="24"/>
      <c r="C247" s="8"/>
      <c r="D247" s="8"/>
      <c r="E247" s="8"/>
      <c r="F247" s="8"/>
      <c r="G247" s="8"/>
      <c r="H247" s="14"/>
      <c r="P247" s="24"/>
      <c r="Q247" s="8"/>
      <c r="R247" s="8"/>
      <c r="S247" s="8"/>
      <c r="T247" s="8"/>
      <c r="U247" s="8"/>
      <c r="V247" s="8"/>
      <c r="W247" s="24"/>
      <c r="X247" s="8"/>
      <c r="Y247" s="8"/>
      <c r="Z247" s="8"/>
      <c r="AA247" s="8"/>
      <c r="AB247" s="8"/>
      <c r="AC247" s="14"/>
      <c r="AD247" s="8"/>
      <c r="AE247" s="8"/>
      <c r="AF247" s="8"/>
      <c r="AG247" s="8"/>
      <c r="AH247" s="8"/>
      <c r="AI247" s="8"/>
      <c r="AJ247" s="8"/>
      <c r="AK247" s="71"/>
      <c r="AL247" s="66"/>
      <c r="AM247" s="66"/>
      <c r="AN247" s="66"/>
      <c r="AO247" s="66"/>
      <c r="AP247" s="66"/>
      <c r="AQ247" s="66"/>
      <c r="AR247" s="71"/>
      <c r="AS247" s="66"/>
      <c r="AT247" s="66"/>
      <c r="AU247" s="66"/>
      <c r="AV247" s="66"/>
      <c r="AW247" s="66"/>
      <c r="AX247" s="66"/>
      <c r="AY247" s="66"/>
      <c r="AZ247" s="66"/>
      <c r="BA247" s="66"/>
      <c r="BB247" s="66"/>
      <c r="BC247" s="66"/>
      <c r="BD247" s="66"/>
      <c r="BE247" s="66"/>
      <c r="BF247" s="66"/>
      <c r="BG247" s="66"/>
      <c r="BH247" s="24"/>
      <c r="BI247" s="8"/>
      <c r="BJ247" s="8"/>
      <c r="BK247" s="8"/>
      <c r="BL247" s="14"/>
      <c r="BM247" s="13"/>
      <c r="BO247" s="29"/>
      <c r="CE247" s="29"/>
      <c r="CT247" s="13"/>
    </row>
    <row r="248" spans="1:98">
      <c r="A248" s="24"/>
      <c r="B248" s="24"/>
      <c r="H248" s="14"/>
      <c r="P248" s="24"/>
      <c r="W248" s="24"/>
      <c r="AC248" s="14"/>
      <c r="AK248" s="71"/>
      <c r="AL248" s="66"/>
      <c r="AM248" s="66"/>
      <c r="AN248" s="66"/>
      <c r="AO248" s="66"/>
      <c r="AP248" s="66"/>
      <c r="AQ248" s="66"/>
      <c r="AR248" s="71"/>
      <c r="AS248" s="79"/>
      <c r="AT248" s="66"/>
      <c r="AV248" s="66"/>
      <c r="AW248" s="66"/>
      <c r="AX248" s="66"/>
      <c r="AY248" s="66"/>
      <c r="AZ248" s="66"/>
      <c r="BA248" s="66"/>
      <c r="BB248" s="66"/>
      <c r="BC248" s="66"/>
      <c r="BD248" s="66"/>
      <c r="BE248" s="66"/>
      <c r="BF248" s="66"/>
      <c r="BG248" s="66"/>
      <c r="BH248" s="24"/>
      <c r="BL248" s="14"/>
      <c r="BM248" s="14"/>
      <c r="BO248" s="29"/>
      <c r="BP248" s="11"/>
      <c r="BQ248" s="11"/>
      <c r="BR248" s="11"/>
      <c r="BS248" s="11"/>
      <c r="BT248" s="11"/>
      <c r="BU248" s="11"/>
      <c r="BV248" s="11"/>
      <c r="BW248" s="11"/>
      <c r="BX248" s="11"/>
      <c r="BY248" s="11"/>
      <c r="BZ248" s="11"/>
      <c r="CA248" s="11"/>
      <c r="CB248" s="11"/>
      <c r="CC248" s="11"/>
      <c r="CD248" s="11"/>
      <c r="CE248" s="29"/>
      <c r="CF248" s="11"/>
      <c r="CG248" s="11"/>
      <c r="CH248" s="11"/>
      <c r="CI248" s="11"/>
      <c r="CJ248" s="11"/>
      <c r="CK248" s="11"/>
      <c r="CL248" s="11"/>
      <c r="CM248" s="11"/>
      <c r="CN248" s="11"/>
      <c r="CO248" s="11"/>
      <c r="CP248" s="11"/>
      <c r="CQ248" s="11"/>
      <c r="CR248" s="11"/>
      <c r="CS248" s="11"/>
      <c r="CT248" s="13"/>
    </row>
    <row r="249" spans="1:98">
      <c r="A249" s="24"/>
      <c r="B249" s="24"/>
      <c r="H249" s="14"/>
      <c r="P249" s="24"/>
      <c r="W249" s="24"/>
      <c r="AC249" s="14"/>
      <c r="AK249" s="71"/>
      <c r="AL249" s="66"/>
      <c r="AM249" s="66"/>
      <c r="AN249" s="66"/>
      <c r="AO249" s="66"/>
      <c r="AP249" s="66"/>
      <c r="AQ249" s="66"/>
      <c r="AR249" s="71"/>
      <c r="AS249" s="79"/>
      <c r="AT249" s="66"/>
      <c r="AV249" s="66"/>
      <c r="AW249" s="66"/>
      <c r="AX249" s="66"/>
      <c r="AY249" s="66"/>
      <c r="AZ249" s="66"/>
      <c r="BA249" s="66"/>
      <c r="BB249" s="66"/>
      <c r="BC249" s="66"/>
      <c r="BD249" s="66"/>
      <c r="BE249" s="66"/>
      <c r="BF249" s="66"/>
      <c r="BG249" s="66"/>
      <c r="BH249" s="24"/>
      <c r="BL249" s="14"/>
      <c r="BM249" s="14"/>
      <c r="BO249" s="24"/>
      <c r="CE249" s="24"/>
      <c r="CT249" s="14"/>
    </row>
    <row r="250" spans="1:98">
      <c r="A250" s="24"/>
      <c r="B250" s="24"/>
      <c r="H250" s="14"/>
      <c r="P250" s="24"/>
      <c r="W250" s="24"/>
      <c r="AC250" s="14"/>
      <c r="AK250" s="71"/>
      <c r="AL250" s="66"/>
      <c r="AM250" s="66"/>
      <c r="AN250" s="66"/>
      <c r="AO250" s="66"/>
      <c r="AP250" s="66"/>
      <c r="AQ250" s="66"/>
      <c r="AR250" s="71"/>
      <c r="AS250" s="79"/>
      <c r="AT250" s="66"/>
      <c r="AV250" s="66"/>
      <c r="AW250" s="66"/>
      <c r="AX250" s="66"/>
      <c r="AY250" s="66"/>
      <c r="AZ250" s="66"/>
      <c r="BA250" s="66"/>
      <c r="BB250" s="66"/>
      <c r="BC250" s="66"/>
      <c r="BD250" s="66"/>
      <c r="BE250" s="66"/>
      <c r="BF250" s="66"/>
      <c r="BG250" s="66"/>
      <c r="BH250" s="24"/>
      <c r="BL250" s="14"/>
      <c r="BM250" s="14"/>
      <c r="BO250" s="24"/>
      <c r="CE250" s="24"/>
      <c r="CT250" s="14"/>
    </row>
    <row r="251" spans="1:98">
      <c r="A251" s="24"/>
      <c r="B251" s="24"/>
      <c r="H251" s="14"/>
      <c r="P251" s="24"/>
      <c r="W251" s="24"/>
      <c r="AC251" s="14"/>
      <c r="AK251" s="71"/>
      <c r="AL251" s="66"/>
      <c r="AM251" s="66"/>
      <c r="AN251" s="66"/>
      <c r="AO251" s="66"/>
      <c r="AP251" s="66"/>
      <c r="AQ251" s="66"/>
      <c r="AR251" s="71"/>
      <c r="AS251" s="80" t="s">
        <v>262</v>
      </c>
      <c r="AT251" s="70"/>
      <c r="AU251" s="70"/>
      <c r="AV251" s="70"/>
      <c r="AW251" s="66"/>
      <c r="AX251" s="66"/>
      <c r="AY251" s="66"/>
      <c r="AZ251" s="66"/>
      <c r="BA251" s="66"/>
      <c r="BB251" s="66"/>
      <c r="BC251" s="66"/>
      <c r="BD251" s="66"/>
      <c r="BE251" s="66"/>
      <c r="BF251" s="66"/>
      <c r="BG251" s="66"/>
      <c r="BH251" s="24"/>
      <c r="BL251" s="14"/>
      <c r="BM251" s="14"/>
      <c r="BO251" s="24"/>
      <c r="CE251" s="24"/>
      <c r="CT251" s="14"/>
    </row>
    <row r="252" spans="1:98">
      <c r="A252" s="24"/>
      <c r="B252" s="24"/>
      <c r="H252" s="14"/>
      <c r="P252" s="24"/>
      <c r="W252" s="24"/>
      <c r="AC252" s="14"/>
      <c r="AK252" s="71"/>
      <c r="AL252" s="66"/>
      <c r="AM252" s="66"/>
      <c r="AN252" s="66"/>
      <c r="AO252" s="66"/>
      <c r="AP252" s="66"/>
      <c r="AQ252" s="66"/>
      <c r="AR252" s="71"/>
      <c r="AS252" s="70"/>
      <c r="AT252" s="66" t="s">
        <v>263</v>
      </c>
      <c r="AU252" s="70"/>
      <c r="AV252" s="70"/>
      <c r="AW252" s="66"/>
      <c r="AX252" s="66"/>
      <c r="AY252" s="66"/>
      <c r="AZ252" s="66"/>
      <c r="BA252" s="66"/>
      <c r="BB252" s="66"/>
      <c r="BC252" s="66"/>
      <c r="BD252" s="66"/>
      <c r="BE252" s="66"/>
      <c r="BF252" s="66"/>
      <c r="BG252" s="66"/>
      <c r="BH252" s="24"/>
      <c r="BL252" s="14"/>
      <c r="BM252" s="14"/>
      <c r="BO252" s="24"/>
      <c r="CE252" s="24"/>
      <c r="CT252" s="14"/>
    </row>
    <row r="253" spans="1:98">
      <c r="A253" s="24"/>
      <c r="B253" s="24"/>
      <c r="H253" s="14"/>
      <c r="P253" s="24"/>
      <c r="W253" s="24"/>
      <c r="AC253" s="14"/>
      <c r="AK253" s="71"/>
      <c r="AL253" s="66"/>
      <c r="AM253" s="66"/>
      <c r="AN253" s="66"/>
      <c r="AO253" s="66"/>
      <c r="AP253" s="66"/>
      <c r="AQ253" s="66"/>
      <c r="AR253" s="71"/>
      <c r="AS253" s="70"/>
      <c r="AT253" s="79" t="s">
        <v>264</v>
      </c>
      <c r="AU253" s="70"/>
      <c r="AV253" s="70"/>
      <c r="AW253" s="66"/>
      <c r="AX253" s="66"/>
      <c r="AY253" s="66"/>
      <c r="AZ253" s="66"/>
      <c r="BA253" s="66"/>
      <c r="BB253" s="66"/>
      <c r="BC253" s="66"/>
      <c r="BD253" s="66"/>
      <c r="BE253" s="66"/>
      <c r="BF253" s="66"/>
      <c r="BG253" s="66"/>
      <c r="BH253" s="24"/>
      <c r="BL253" s="14"/>
      <c r="BM253" s="14"/>
      <c r="BO253" s="24"/>
      <c r="CE253" s="24"/>
      <c r="CT253" s="14"/>
    </row>
    <row r="254" spans="1:98">
      <c r="A254" s="24"/>
      <c r="B254" s="24"/>
      <c r="H254" s="14"/>
      <c r="P254" s="24"/>
      <c r="W254" s="24"/>
      <c r="AC254" s="14"/>
      <c r="AK254" s="71"/>
      <c r="AL254" s="66"/>
      <c r="AM254" s="66"/>
      <c r="AN254" s="66"/>
      <c r="AO254" s="66"/>
      <c r="AP254" s="66"/>
      <c r="AQ254" s="66"/>
      <c r="AR254" s="71"/>
      <c r="AS254" s="70"/>
      <c r="AT254" s="79" t="s">
        <v>265</v>
      </c>
      <c r="AU254" s="70"/>
      <c r="AV254" s="70"/>
      <c r="AW254" s="66"/>
      <c r="AX254" s="66"/>
      <c r="AY254" s="66"/>
      <c r="AZ254" s="66"/>
      <c r="BA254" s="66"/>
      <c r="BB254" s="66"/>
      <c r="BC254" s="66"/>
      <c r="BD254" s="66"/>
      <c r="BE254" s="66"/>
      <c r="BF254" s="66"/>
      <c r="BG254" s="66"/>
      <c r="BH254" s="24"/>
      <c r="BL254" s="14"/>
      <c r="BM254" s="14"/>
      <c r="BO254" s="24" t="s">
        <v>105</v>
      </c>
      <c r="BP254" s="8" t="s">
        <v>266</v>
      </c>
      <c r="CE254" s="24"/>
      <c r="CF254" s="8" t="s">
        <v>267</v>
      </c>
      <c r="CT254" s="14"/>
    </row>
    <row r="255" spans="1:98">
      <c r="A255" s="24"/>
      <c r="B255" s="24"/>
      <c r="H255" s="14"/>
      <c r="P255" s="24"/>
      <c r="W255" s="24"/>
      <c r="AC255" s="14"/>
      <c r="AK255" s="71"/>
      <c r="AL255" s="66"/>
      <c r="AM255" s="66"/>
      <c r="AN255" s="66"/>
      <c r="AO255" s="66"/>
      <c r="AP255" s="66"/>
      <c r="AQ255" s="66"/>
      <c r="AR255" s="71"/>
      <c r="AS255" s="70"/>
      <c r="AT255" s="79" t="s">
        <v>268</v>
      </c>
      <c r="AU255" s="70"/>
      <c r="AV255" s="70"/>
      <c r="AW255" s="66"/>
      <c r="AX255" s="66"/>
      <c r="AY255" s="66"/>
      <c r="AZ255" s="66"/>
      <c r="BA255" s="66"/>
      <c r="BB255" s="66"/>
      <c r="BC255" s="66"/>
      <c r="BD255" s="66"/>
      <c r="BE255" s="66"/>
      <c r="BF255" s="66"/>
      <c r="BG255" s="66"/>
      <c r="BH255" s="24"/>
      <c r="BL255" s="14"/>
      <c r="BM255" s="14"/>
      <c r="BO255" s="24"/>
      <c r="CE255" s="24"/>
      <c r="CT255" s="14"/>
    </row>
    <row r="256" spans="1:98">
      <c r="A256" s="24"/>
      <c r="B256" s="24"/>
      <c r="H256" s="14"/>
      <c r="P256" s="24"/>
      <c r="W256" s="24"/>
      <c r="AC256" s="14"/>
      <c r="AK256" s="71"/>
      <c r="AL256" s="66"/>
      <c r="AM256" s="66"/>
      <c r="AN256" s="66"/>
      <c r="AO256" s="66"/>
      <c r="AP256" s="66"/>
      <c r="AQ256" s="66"/>
      <c r="AR256" s="71"/>
      <c r="AT256" s="45" t="s">
        <v>269</v>
      </c>
      <c r="BE256" s="66"/>
      <c r="BF256" s="66"/>
      <c r="BG256" s="66"/>
      <c r="BH256" s="24"/>
      <c r="BL256" s="14"/>
      <c r="BM256" s="14"/>
      <c r="BO256" s="24"/>
      <c r="CE256" s="24"/>
      <c r="CT256" s="14"/>
    </row>
    <row r="257" spans="1:98">
      <c r="A257" s="24"/>
      <c r="B257" s="24"/>
      <c r="H257" s="14"/>
      <c r="P257" s="24"/>
      <c r="W257" s="24"/>
      <c r="AC257" s="14"/>
      <c r="AK257" s="71"/>
      <c r="AL257" s="66"/>
      <c r="AM257" s="66"/>
      <c r="AN257" s="66"/>
      <c r="AO257" s="66"/>
      <c r="AP257" s="66"/>
      <c r="AQ257" s="66"/>
      <c r="AR257" s="71"/>
      <c r="BE257" s="66"/>
      <c r="BF257" s="66"/>
      <c r="BG257" s="66"/>
      <c r="BH257" s="24"/>
      <c r="BL257" s="14"/>
      <c r="BM257" s="14"/>
      <c r="BO257" s="24"/>
      <c r="CE257" s="24"/>
      <c r="CT257" s="14"/>
    </row>
    <row r="258" spans="1:98">
      <c r="A258" s="24"/>
      <c r="B258" s="24"/>
      <c r="H258" s="14"/>
      <c r="P258" s="24"/>
      <c r="W258" s="24"/>
      <c r="AC258" s="14"/>
      <c r="AK258" s="71"/>
      <c r="AL258" s="66"/>
      <c r="AM258" s="66"/>
      <c r="AN258" s="66"/>
      <c r="AO258" s="66"/>
      <c r="AP258" s="66"/>
      <c r="AQ258" s="66"/>
      <c r="AR258" s="71"/>
      <c r="AS258" s="66"/>
      <c r="AT258" s="66"/>
      <c r="AV258" s="66"/>
      <c r="AW258" s="66"/>
      <c r="AX258" s="66"/>
      <c r="AY258" s="66"/>
      <c r="AZ258" s="66"/>
      <c r="BA258" s="66"/>
      <c r="BB258" s="66"/>
      <c r="BC258" s="66"/>
      <c r="BD258" s="66"/>
      <c r="BE258" s="66"/>
      <c r="BF258" s="66"/>
      <c r="BG258" s="66"/>
      <c r="BH258" s="24"/>
      <c r="BL258" s="14"/>
      <c r="BM258" s="14"/>
      <c r="BO258" s="24" t="s">
        <v>118</v>
      </c>
      <c r="BP258" s="8" t="s">
        <v>270</v>
      </c>
      <c r="BS258" s="8" t="s">
        <v>118</v>
      </c>
      <c r="CE258" s="24"/>
      <c r="CT258" s="14"/>
    </row>
    <row r="259" spans="1:98">
      <c r="A259" s="24"/>
      <c r="B259" s="24"/>
      <c r="H259" s="14"/>
      <c r="P259" s="24"/>
      <c r="W259" s="24"/>
      <c r="AC259" s="14"/>
      <c r="AK259" s="71"/>
      <c r="AL259" s="66"/>
      <c r="AM259" s="66"/>
      <c r="AN259" s="66"/>
      <c r="AO259" s="66"/>
      <c r="AP259" s="66"/>
      <c r="AQ259" s="66"/>
      <c r="AR259" s="71"/>
      <c r="AS259" s="80" t="s">
        <v>271</v>
      </c>
      <c r="AT259" s="70"/>
      <c r="AU259" s="70"/>
      <c r="AV259" s="70"/>
      <c r="AW259" s="66"/>
      <c r="AX259" s="66"/>
      <c r="AY259" s="66"/>
      <c r="AZ259" s="66"/>
      <c r="BA259" s="66"/>
      <c r="BB259" s="66"/>
      <c r="BC259" s="66"/>
      <c r="BD259" s="66"/>
      <c r="BE259" s="66"/>
      <c r="BF259" s="66"/>
      <c r="BG259" s="66"/>
      <c r="BH259" s="24"/>
      <c r="BL259" s="14"/>
      <c r="BM259" s="14"/>
      <c r="BO259" s="24" t="s">
        <v>105</v>
      </c>
      <c r="BP259" s="8" t="s">
        <v>272</v>
      </c>
      <c r="CE259" s="24"/>
      <c r="CT259" s="14"/>
    </row>
    <row r="260" spans="1:98">
      <c r="A260" s="24"/>
      <c r="B260" s="24"/>
      <c r="H260" s="14"/>
      <c r="P260" s="24"/>
      <c r="W260" s="24"/>
      <c r="AC260" s="14"/>
      <c r="AK260" s="71"/>
      <c r="AL260" s="66"/>
      <c r="AM260" s="66"/>
      <c r="AN260" s="66"/>
      <c r="AO260" s="66"/>
      <c r="AP260" s="66"/>
      <c r="AQ260" s="66"/>
      <c r="AR260" s="71"/>
      <c r="AS260" s="70"/>
      <c r="AT260" s="66" t="s">
        <v>273</v>
      </c>
      <c r="AU260" s="70"/>
      <c r="AV260" s="70"/>
      <c r="AW260" s="66"/>
      <c r="AX260" s="66"/>
      <c r="AY260" s="66"/>
      <c r="AZ260" s="66"/>
      <c r="BA260" s="66"/>
      <c r="BB260" s="66"/>
      <c r="BC260" s="66"/>
      <c r="BD260" s="66"/>
      <c r="BE260" s="66"/>
      <c r="BF260" s="66"/>
      <c r="BG260" s="66"/>
      <c r="BH260" s="24"/>
      <c r="BL260" s="14"/>
      <c r="BM260" s="14"/>
      <c r="BO260" s="24"/>
      <c r="BP260" s="8" t="s">
        <v>107</v>
      </c>
      <c r="BQ260" s="8" t="s">
        <v>274</v>
      </c>
      <c r="CE260" s="24"/>
      <c r="CT260" s="14"/>
    </row>
    <row r="261" spans="1:98">
      <c r="A261" s="24"/>
      <c r="B261" s="24"/>
      <c r="H261" s="14"/>
      <c r="P261" s="24"/>
      <c r="W261" s="24"/>
      <c r="AC261" s="14"/>
      <c r="AK261" s="71"/>
      <c r="AL261" s="66"/>
      <c r="AM261" s="66"/>
      <c r="AN261" s="66"/>
      <c r="AO261" s="66"/>
      <c r="AP261" s="66"/>
      <c r="AQ261" s="66"/>
      <c r="AR261" s="71"/>
      <c r="AS261" s="70"/>
      <c r="AT261" s="66"/>
      <c r="AU261" s="70"/>
      <c r="AV261" s="70"/>
      <c r="AW261" s="66"/>
      <c r="AX261" s="66"/>
      <c r="AY261" s="66"/>
      <c r="AZ261" s="66"/>
      <c r="BA261" s="66"/>
      <c r="BB261" s="66"/>
      <c r="BC261" s="66"/>
      <c r="BD261" s="66"/>
      <c r="BE261" s="66"/>
      <c r="BF261" s="66"/>
      <c r="BG261" s="66"/>
      <c r="BH261" s="24"/>
      <c r="BL261" s="14"/>
      <c r="BM261" s="14"/>
      <c r="BO261" s="111" t="s">
        <v>105</v>
      </c>
      <c r="BP261" s="47" t="s">
        <v>275</v>
      </c>
      <c r="BQ261" s="47"/>
      <c r="BR261" s="47"/>
      <c r="BS261" s="47"/>
      <c r="BT261" s="47"/>
      <c r="BU261" s="47"/>
      <c r="BV261" s="47"/>
      <c r="BW261" s="47"/>
      <c r="BX261" s="47"/>
      <c r="BY261" s="47"/>
      <c r="BZ261" s="47"/>
      <c r="CA261" s="47"/>
      <c r="CE261" s="24"/>
      <c r="CT261" s="14"/>
    </row>
    <row r="262" spans="1:98">
      <c r="A262" s="24"/>
      <c r="B262" s="24"/>
      <c r="H262" s="14"/>
      <c r="P262" s="24"/>
      <c r="W262" s="24"/>
      <c r="AC262" s="14"/>
      <c r="AK262" s="71"/>
      <c r="AL262" s="66"/>
      <c r="AM262" s="66"/>
      <c r="AN262" s="66"/>
      <c r="AO262" s="66"/>
      <c r="AP262" s="66"/>
      <c r="AQ262" s="66"/>
      <c r="AR262" s="71"/>
      <c r="AS262" s="70"/>
      <c r="AT262" s="66"/>
      <c r="AU262" s="70"/>
      <c r="AV262" s="70"/>
      <c r="AW262" s="66"/>
      <c r="AX262" s="66"/>
      <c r="AY262" s="66"/>
      <c r="AZ262" s="66"/>
      <c r="BA262" s="66"/>
      <c r="BB262" s="66"/>
      <c r="BC262" s="66"/>
      <c r="BD262" s="66"/>
      <c r="BE262" s="66"/>
      <c r="BF262" s="66"/>
      <c r="BG262" s="66"/>
      <c r="BH262" s="24"/>
      <c r="BL262" s="14"/>
      <c r="BM262" s="14"/>
      <c r="BO262" s="111"/>
      <c r="BP262" s="47" t="s">
        <v>107</v>
      </c>
      <c r="BQ262" s="47" t="s">
        <v>276</v>
      </c>
      <c r="BR262" s="47"/>
      <c r="BS262" s="47"/>
      <c r="BT262" s="47"/>
      <c r="BU262" s="47"/>
      <c r="BV262" s="47"/>
      <c r="BW262" s="47"/>
      <c r="BX262" s="47"/>
      <c r="BY262" s="47"/>
      <c r="BZ262" s="47"/>
      <c r="CA262" s="47"/>
      <c r="CE262" s="24"/>
      <c r="CT262" s="14"/>
    </row>
    <row r="263" spans="1:98">
      <c r="A263" s="24"/>
      <c r="B263" s="24"/>
      <c r="H263" s="14"/>
      <c r="P263" s="24"/>
      <c r="W263" s="24"/>
      <c r="AC263" s="14"/>
      <c r="AK263" s="71"/>
      <c r="AL263" s="66"/>
      <c r="AM263" s="66"/>
      <c r="AN263" s="66"/>
      <c r="AO263" s="66"/>
      <c r="AP263" s="66"/>
      <c r="AQ263" s="66"/>
      <c r="AR263" s="71"/>
      <c r="AS263" s="70"/>
      <c r="AT263" s="66"/>
      <c r="AU263" s="70"/>
      <c r="AV263" s="70"/>
      <c r="AW263" s="66"/>
      <c r="AX263" s="66"/>
      <c r="AY263" s="66"/>
      <c r="AZ263" s="66"/>
      <c r="BA263" s="66"/>
      <c r="BB263" s="66"/>
      <c r="BC263" s="66"/>
      <c r="BD263" s="66"/>
      <c r="BE263" s="66"/>
      <c r="BF263" s="66"/>
      <c r="BG263" s="66"/>
      <c r="BH263" s="24"/>
      <c r="BL263" s="14"/>
      <c r="BM263" s="14"/>
      <c r="BO263" s="111"/>
      <c r="BP263" s="47" t="s">
        <v>107</v>
      </c>
      <c r="BQ263" s="47" t="s">
        <v>277</v>
      </c>
      <c r="BR263" s="47"/>
      <c r="BS263" s="47"/>
      <c r="BT263" s="47"/>
      <c r="BU263" s="47"/>
      <c r="BV263" s="47"/>
      <c r="BW263" s="47"/>
      <c r="BX263" s="47"/>
      <c r="BY263" s="47"/>
      <c r="BZ263" s="47"/>
      <c r="CA263" s="47"/>
      <c r="CE263" s="24"/>
      <c r="CT263" s="14"/>
    </row>
    <row r="264" spans="1:98">
      <c r="A264" s="24"/>
      <c r="B264" s="24"/>
      <c r="H264" s="14"/>
      <c r="P264" s="24"/>
      <c r="W264" s="24"/>
      <c r="AC264" s="14"/>
      <c r="AK264" s="71"/>
      <c r="AL264" s="66"/>
      <c r="AM264" s="66"/>
      <c r="AN264" s="66"/>
      <c r="AO264" s="66"/>
      <c r="AP264" s="66"/>
      <c r="AQ264" s="66"/>
      <c r="AR264" s="71"/>
      <c r="AS264" s="70" t="s">
        <v>278</v>
      </c>
      <c r="AT264" s="66"/>
      <c r="AU264" s="70"/>
      <c r="AV264" s="70"/>
      <c r="AW264" s="66"/>
      <c r="AX264" s="66"/>
      <c r="AY264" s="66"/>
      <c r="AZ264" s="66"/>
      <c r="BA264" s="66"/>
      <c r="BB264" s="66"/>
      <c r="BC264" s="66"/>
      <c r="BD264" s="66"/>
      <c r="BE264" s="66"/>
      <c r="BF264" s="66"/>
      <c r="BG264" s="66"/>
      <c r="BH264" s="24"/>
      <c r="BI264" s="49"/>
      <c r="BL264" s="14"/>
      <c r="BM264" s="14"/>
      <c r="BO264" s="112"/>
      <c r="BQ264" s="49" t="s">
        <v>133</v>
      </c>
      <c r="BR264" s="49" t="s">
        <v>279</v>
      </c>
      <c r="CE264" s="24"/>
      <c r="CT264" s="14"/>
    </row>
    <row r="265" spans="1:98">
      <c r="A265" s="24"/>
      <c r="B265" s="24"/>
      <c r="H265" s="14"/>
      <c r="P265" s="24"/>
      <c r="W265" s="24"/>
      <c r="AC265" s="14"/>
      <c r="AK265" s="71"/>
      <c r="AL265" s="66"/>
      <c r="AM265" s="66"/>
      <c r="AN265" s="66"/>
      <c r="AO265" s="66"/>
      <c r="AP265" s="66"/>
      <c r="AQ265" s="66"/>
      <c r="AR265" s="71"/>
      <c r="AS265" s="79" t="s">
        <v>280</v>
      </c>
      <c r="AT265" s="66"/>
      <c r="AU265" s="70"/>
      <c r="AV265" s="70"/>
      <c r="AW265" s="66"/>
      <c r="AX265" s="66"/>
      <c r="AY265" s="66"/>
      <c r="AZ265" s="66"/>
      <c r="BA265" s="66"/>
      <c r="BB265" s="66"/>
      <c r="BC265" s="66"/>
      <c r="BD265" s="66"/>
      <c r="BE265" s="66"/>
      <c r="BF265" s="66"/>
      <c r="BG265" s="66"/>
      <c r="BH265" s="24"/>
      <c r="BL265" s="14"/>
      <c r="BM265" s="14"/>
      <c r="BO265" s="71" t="s">
        <v>118</v>
      </c>
      <c r="BP265" s="8" t="s">
        <v>118</v>
      </c>
      <c r="BQ265" s="8" t="s">
        <v>118</v>
      </c>
      <c r="BR265" s="8" t="s">
        <v>118</v>
      </c>
      <c r="BS265" s="8" t="s">
        <v>118</v>
      </c>
      <c r="CE265" s="24"/>
      <c r="CT265" s="14"/>
    </row>
    <row r="266" spans="1:98">
      <c r="A266" s="24"/>
      <c r="B266" s="24"/>
      <c r="H266" s="14"/>
      <c r="P266" s="24"/>
      <c r="W266" s="24"/>
      <c r="AC266" s="14"/>
      <c r="AK266" s="71"/>
      <c r="AL266" s="66"/>
      <c r="AM266" s="66"/>
      <c r="AN266" s="66"/>
      <c r="AO266" s="66"/>
      <c r="AP266" s="66"/>
      <c r="AQ266" s="66"/>
      <c r="AR266" s="71"/>
      <c r="AS266" s="70"/>
      <c r="AT266" s="66"/>
      <c r="AU266" s="70"/>
      <c r="AV266" s="70"/>
      <c r="AW266" s="66"/>
      <c r="AX266" s="66"/>
      <c r="AY266" s="66"/>
      <c r="AZ266" s="66"/>
      <c r="BA266" s="66"/>
      <c r="BB266" s="66"/>
      <c r="BC266" s="66"/>
      <c r="BD266" s="66"/>
      <c r="BE266" s="66"/>
      <c r="BF266" s="66"/>
      <c r="BG266" s="66"/>
      <c r="BH266" s="24"/>
      <c r="BL266" s="14"/>
      <c r="BM266" s="14"/>
      <c r="BO266" s="24"/>
      <c r="CE266" s="24"/>
      <c r="CT266" s="14"/>
    </row>
    <row r="267" spans="1:98" s="11" customFormat="1">
      <c r="A267" s="25"/>
      <c r="B267" s="26" t="s">
        <v>281</v>
      </c>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30"/>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13"/>
      <c r="BO267" s="24"/>
      <c r="BP267" s="8"/>
      <c r="BQ267" s="8"/>
      <c r="BR267" s="8"/>
      <c r="BS267" s="8"/>
      <c r="BT267" s="8"/>
      <c r="BU267" s="8"/>
      <c r="BV267" s="8"/>
      <c r="BW267" s="8"/>
      <c r="BX267" s="8"/>
      <c r="BY267" s="8"/>
      <c r="BZ267" s="8"/>
      <c r="CA267" s="8"/>
      <c r="CB267" s="8"/>
      <c r="CC267" s="8"/>
      <c r="CD267" s="8"/>
      <c r="CE267" s="24"/>
      <c r="CF267" s="8"/>
      <c r="CG267" s="8"/>
      <c r="CH267" s="8"/>
      <c r="CI267" s="8"/>
      <c r="CJ267" s="8"/>
      <c r="CK267" s="8"/>
      <c r="CL267" s="8"/>
      <c r="CM267" s="8"/>
      <c r="CN267" s="8"/>
      <c r="CO267" s="8"/>
      <c r="CP267" s="8"/>
      <c r="CQ267" s="8"/>
      <c r="CR267" s="8"/>
      <c r="CS267" s="8"/>
      <c r="CT267" s="14"/>
    </row>
    <row r="268" spans="1:98" s="11" customFormat="1">
      <c r="A268" s="25"/>
      <c r="B268" s="24"/>
      <c r="C268" s="8"/>
      <c r="D268" s="8"/>
      <c r="E268" s="8"/>
      <c r="F268" s="8"/>
      <c r="G268" s="8"/>
      <c r="H268" s="14"/>
      <c r="P268" s="24"/>
      <c r="Q268" s="8"/>
      <c r="R268" s="8"/>
      <c r="S268" s="8"/>
      <c r="T268" s="8"/>
      <c r="U268" s="8"/>
      <c r="V268" s="8"/>
      <c r="W268" s="24"/>
      <c r="X268" s="8"/>
      <c r="Y268" s="8"/>
      <c r="Z268" s="8"/>
      <c r="AA268" s="8"/>
      <c r="AB268" s="8"/>
      <c r="AC268" s="14"/>
      <c r="AD268" s="8"/>
      <c r="AE268" s="8"/>
      <c r="AF268" s="8"/>
      <c r="AG268" s="8"/>
      <c r="AH268" s="8"/>
      <c r="AI268" s="8"/>
      <c r="AJ268" s="8"/>
      <c r="AK268" s="71"/>
      <c r="AL268" s="66"/>
      <c r="AM268" s="66"/>
      <c r="AN268" s="66"/>
      <c r="AO268" s="66"/>
      <c r="AP268" s="66"/>
      <c r="AQ268" s="66"/>
      <c r="AR268" s="71"/>
      <c r="AS268" s="66"/>
      <c r="AT268" s="66"/>
      <c r="AU268" s="66"/>
      <c r="AV268" s="66"/>
      <c r="AW268" s="66"/>
      <c r="AX268" s="66"/>
      <c r="AY268" s="66"/>
      <c r="AZ268" s="66"/>
      <c r="BA268" s="66"/>
      <c r="BB268" s="66"/>
      <c r="BC268" s="66"/>
      <c r="BD268" s="66"/>
      <c r="BE268" s="66"/>
      <c r="BF268" s="66"/>
      <c r="BG268" s="66"/>
      <c r="BH268" s="24"/>
      <c r="BI268" s="8"/>
      <c r="BJ268" s="8"/>
      <c r="BK268" s="8"/>
      <c r="BL268" s="14"/>
      <c r="BM268" s="13"/>
      <c r="BO268" s="29"/>
      <c r="CE268" s="29"/>
      <c r="CT268" s="13"/>
    </row>
    <row r="269" spans="1:98">
      <c r="A269" s="24"/>
      <c r="B269" s="24"/>
      <c r="H269" s="14"/>
      <c r="P269" s="24"/>
      <c r="W269" s="24"/>
      <c r="AC269" s="14"/>
      <c r="AK269" s="71"/>
      <c r="AL269" s="66"/>
      <c r="AM269" s="66"/>
      <c r="AN269" s="66"/>
      <c r="AO269" s="66"/>
      <c r="AP269" s="66"/>
      <c r="AQ269" s="66"/>
      <c r="AR269" s="71"/>
      <c r="AS269" s="66"/>
      <c r="AT269" s="66"/>
      <c r="AV269" s="66"/>
      <c r="AW269" s="66"/>
      <c r="AX269" s="66"/>
      <c r="AY269" s="66"/>
      <c r="AZ269" s="66"/>
      <c r="BA269" s="66"/>
      <c r="BB269" s="66"/>
      <c r="BC269" s="66"/>
      <c r="BD269" s="66"/>
      <c r="BE269" s="66"/>
      <c r="BF269" s="66"/>
      <c r="BG269" s="66"/>
      <c r="BH269" s="24"/>
      <c r="BL269" s="14"/>
      <c r="BM269" s="14"/>
      <c r="BO269" s="29"/>
      <c r="BP269" s="11"/>
      <c r="BQ269" s="11"/>
      <c r="BR269" s="11"/>
      <c r="BS269" s="11"/>
      <c r="BT269" s="11"/>
      <c r="BU269" s="11"/>
      <c r="BV269" s="11"/>
      <c r="BW269" s="11"/>
      <c r="BX269" s="11"/>
      <c r="BY269" s="11"/>
      <c r="BZ269" s="11"/>
      <c r="CA269" s="11"/>
      <c r="CB269" s="11"/>
      <c r="CC269" s="11"/>
      <c r="CD269" s="11"/>
      <c r="CE269" s="29"/>
      <c r="CF269" s="11"/>
      <c r="CG269" s="11"/>
      <c r="CH269" s="11"/>
      <c r="CI269" s="11"/>
      <c r="CJ269" s="11"/>
      <c r="CK269" s="11"/>
      <c r="CL269" s="11"/>
      <c r="CM269" s="11"/>
      <c r="CN269" s="11"/>
      <c r="CO269" s="11"/>
      <c r="CP269" s="11"/>
      <c r="CQ269" s="11"/>
      <c r="CR269" s="11"/>
      <c r="CS269" s="11"/>
      <c r="CT269" s="13"/>
    </row>
    <row r="270" spans="1:98">
      <c r="A270" s="24"/>
      <c r="B270" s="24"/>
      <c r="H270" s="14"/>
      <c r="P270" s="24"/>
      <c r="W270" s="24"/>
      <c r="AC270" s="14"/>
      <c r="AK270" s="71"/>
      <c r="AL270" s="66"/>
      <c r="AM270" s="66"/>
      <c r="AN270" s="66"/>
      <c r="AO270" s="66"/>
      <c r="AP270" s="66"/>
      <c r="AQ270" s="66"/>
      <c r="AR270" s="71"/>
      <c r="AS270" s="66"/>
      <c r="AT270" s="66"/>
      <c r="AV270" s="66"/>
      <c r="AW270" s="66"/>
      <c r="AX270" s="66"/>
      <c r="AY270" s="66"/>
      <c r="AZ270" s="66"/>
      <c r="BA270" s="66"/>
      <c r="BB270" s="66"/>
      <c r="BC270" s="66"/>
      <c r="BD270" s="66"/>
      <c r="BE270" s="66"/>
      <c r="BF270" s="66"/>
      <c r="BG270" s="66"/>
      <c r="BH270" s="24"/>
      <c r="BL270" s="14"/>
      <c r="BM270" s="14"/>
      <c r="BO270" s="24"/>
      <c r="CE270" s="24"/>
      <c r="CT270" s="14"/>
    </row>
    <row r="271" spans="1:98">
      <c r="A271" s="24"/>
      <c r="B271" s="24"/>
      <c r="H271" s="14"/>
      <c r="P271" s="24"/>
      <c r="W271" s="24"/>
      <c r="AC271" s="14"/>
      <c r="AK271" s="71"/>
      <c r="AL271" s="66"/>
      <c r="AM271" s="66"/>
      <c r="AN271" s="66"/>
      <c r="AO271" s="66"/>
      <c r="AP271" s="66"/>
      <c r="AQ271" s="66"/>
      <c r="AR271" s="71"/>
      <c r="AS271" s="66"/>
      <c r="AT271" s="66"/>
      <c r="AV271" s="66"/>
      <c r="AW271" s="66"/>
      <c r="AX271" s="66"/>
      <c r="AY271" s="66"/>
      <c r="AZ271" s="66"/>
      <c r="BA271" s="66"/>
      <c r="BB271" s="66"/>
      <c r="BC271" s="66"/>
      <c r="BD271" s="66"/>
      <c r="BE271" s="66"/>
      <c r="BF271" s="66"/>
      <c r="BG271" s="66"/>
      <c r="BH271" s="24"/>
      <c r="BL271" s="14"/>
      <c r="BM271" s="14"/>
      <c r="BO271" s="24"/>
      <c r="CE271" s="24"/>
      <c r="CT271" s="14"/>
    </row>
    <row r="272" spans="1:98">
      <c r="A272" s="24"/>
      <c r="B272" s="24"/>
      <c r="H272" s="14"/>
      <c r="P272" s="24"/>
      <c r="W272" s="24"/>
      <c r="AC272" s="14"/>
      <c r="AK272" s="71"/>
      <c r="AL272" s="66"/>
      <c r="AM272" s="66"/>
      <c r="AN272" s="66"/>
      <c r="AO272" s="66"/>
      <c r="AP272" s="66"/>
      <c r="AQ272" s="66"/>
      <c r="AR272" s="71"/>
      <c r="AS272" s="66"/>
      <c r="AT272" s="66"/>
      <c r="AV272" s="66"/>
      <c r="AW272" s="66"/>
      <c r="AX272" s="66"/>
      <c r="AY272" s="66"/>
      <c r="AZ272" s="66"/>
      <c r="BA272" s="66"/>
      <c r="BB272" s="66"/>
      <c r="BC272" s="66"/>
      <c r="BD272" s="66"/>
      <c r="BE272" s="66"/>
      <c r="BF272" s="66"/>
      <c r="BG272" s="66"/>
      <c r="BH272" s="24"/>
      <c r="BL272" s="14"/>
      <c r="BM272" s="14"/>
      <c r="BO272" s="24"/>
      <c r="CE272" s="24"/>
      <c r="CT272" s="14"/>
    </row>
    <row r="273" spans="1:98">
      <c r="A273" s="24"/>
      <c r="B273" s="24"/>
      <c r="H273" s="14"/>
      <c r="P273" s="24"/>
      <c r="W273" s="24"/>
      <c r="AC273" s="14"/>
      <c r="AK273" s="71"/>
      <c r="AL273" s="66"/>
      <c r="AM273" s="66"/>
      <c r="AN273" s="66"/>
      <c r="AO273" s="66"/>
      <c r="AP273" s="66"/>
      <c r="AQ273" s="66"/>
      <c r="AR273" s="71"/>
      <c r="AS273" s="80" t="s">
        <v>282</v>
      </c>
      <c r="AT273" s="70"/>
      <c r="AU273" s="70"/>
      <c r="AV273" s="70"/>
      <c r="AW273" s="66"/>
      <c r="AX273" s="66"/>
      <c r="AY273" s="66"/>
      <c r="AZ273" s="66"/>
      <c r="BA273" s="66"/>
      <c r="BB273" s="66"/>
      <c r="BC273" s="66"/>
      <c r="BD273" s="66"/>
      <c r="BE273" s="66"/>
      <c r="BF273" s="66"/>
      <c r="BG273" s="66"/>
      <c r="BH273" s="24"/>
      <c r="BL273" s="14"/>
      <c r="BM273" s="14"/>
      <c r="BO273" s="24"/>
      <c r="CE273" s="24"/>
      <c r="CT273" s="14"/>
    </row>
    <row r="274" spans="1:98">
      <c r="A274" s="24"/>
      <c r="B274" s="24"/>
      <c r="H274" s="14"/>
      <c r="P274" s="24"/>
      <c r="W274" s="24"/>
      <c r="AC274" s="14"/>
      <c r="AK274" s="71"/>
      <c r="AL274" s="66"/>
      <c r="AM274" s="66"/>
      <c r="AN274" s="66"/>
      <c r="AO274" s="66"/>
      <c r="AP274" s="66"/>
      <c r="AQ274" s="66"/>
      <c r="AR274" s="71"/>
      <c r="AS274" s="70"/>
      <c r="AT274" s="66" t="s">
        <v>283</v>
      </c>
      <c r="AU274" s="70"/>
      <c r="AV274" s="70"/>
      <c r="AW274" s="66"/>
      <c r="AX274" s="66"/>
      <c r="AY274" s="66"/>
      <c r="AZ274" s="66"/>
      <c r="BA274" s="66"/>
      <c r="BB274" s="66"/>
      <c r="BC274" s="66"/>
      <c r="BD274" s="66"/>
      <c r="BE274" s="66"/>
      <c r="BF274" s="66"/>
      <c r="BG274" s="66"/>
      <c r="BH274" s="24"/>
      <c r="BL274" s="14"/>
      <c r="BM274" s="14"/>
      <c r="BO274" s="24"/>
      <c r="CE274" s="24"/>
      <c r="CT274" s="14"/>
    </row>
    <row r="275" spans="1:98">
      <c r="A275" s="24"/>
      <c r="B275" s="24"/>
      <c r="H275" s="14"/>
      <c r="P275" s="24"/>
      <c r="W275" s="24"/>
      <c r="AC275" s="14"/>
      <c r="AK275" s="71"/>
      <c r="AL275" s="66"/>
      <c r="AM275" s="66"/>
      <c r="AN275" s="66"/>
      <c r="AO275" s="66"/>
      <c r="AP275" s="66"/>
      <c r="AQ275" s="66"/>
      <c r="AR275" s="71"/>
      <c r="AS275" s="70"/>
      <c r="AT275" s="66"/>
      <c r="AU275" s="70"/>
      <c r="AV275" s="70"/>
      <c r="AW275" s="66"/>
      <c r="AX275" s="66"/>
      <c r="AY275" s="66"/>
      <c r="AZ275" s="66"/>
      <c r="BA275" s="66"/>
      <c r="BB275" s="66"/>
      <c r="BC275" s="66"/>
      <c r="BD275" s="66"/>
      <c r="BE275" s="66"/>
      <c r="BF275" s="66"/>
      <c r="BG275" s="66"/>
      <c r="BH275" s="24"/>
      <c r="BL275" s="14"/>
      <c r="BM275" s="14"/>
      <c r="BO275" s="24"/>
      <c r="CE275" s="24"/>
      <c r="CT275" s="14"/>
    </row>
    <row r="276" spans="1:98">
      <c r="A276" s="24"/>
      <c r="B276" s="24"/>
      <c r="H276" s="14"/>
      <c r="P276" s="24"/>
      <c r="W276" s="24"/>
      <c r="AC276" s="14"/>
      <c r="AK276" s="71"/>
      <c r="AL276" s="66"/>
      <c r="AM276" s="66"/>
      <c r="AN276" s="66"/>
      <c r="AO276" s="66"/>
      <c r="AP276" s="66"/>
      <c r="AQ276" s="66"/>
      <c r="AR276" s="71"/>
      <c r="AS276" s="70"/>
      <c r="AT276" s="70"/>
      <c r="AU276" s="70"/>
      <c r="AV276" s="70"/>
      <c r="AW276" s="66"/>
      <c r="AX276" s="66"/>
      <c r="AY276" s="66"/>
      <c r="AZ276" s="66"/>
      <c r="BA276" s="66"/>
      <c r="BB276" s="66"/>
      <c r="BC276" s="66"/>
      <c r="BD276" s="66"/>
      <c r="BE276" s="66"/>
      <c r="BF276" s="66"/>
      <c r="BG276" s="66"/>
      <c r="BH276" s="24"/>
      <c r="BL276" s="14"/>
      <c r="BM276" s="14"/>
      <c r="BO276" s="24"/>
      <c r="CE276" s="24"/>
      <c r="CT276" s="14"/>
    </row>
    <row r="277" spans="1:98">
      <c r="A277" s="24"/>
      <c r="B277" s="24"/>
      <c r="H277" s="14"/>
      <c r="P277" s="24"/>
      <c r="W277" s="24"/>
      <c r="AC277" s="14"/>
      <c r="AK277" s="71"/>
      <c r="AL277" s="66"/>
      <c r="AM277" s="66"/>
      <c r="AN277" s="66"/>
      <c r="AO277" s="66"/>
      <c r="AP277" s="66"/>
      <c r="AQ277" s="66"/>
      <c r="AR277" s="71"/>
      <c r="AS277" s="80" t="s">
        <v>284</v>
      </c>
      <c r="AT277" s="70"/>
      <c r="AU277" s="70"/>
      <c r="AV277" s="70"/>
      <c r="AW277" s="66"/>
      <c r="AX277" s="66"/>
      <c r="AY277" s="66"/>
      <c r="AZ277" s="66"/>
      <c r="BA277" s="66"/>
      <c r="BB277" s="66"/>
      <c r="BC277" s="66"/>
      <c r="BD277" s="66"/>
      <c r="BE277" s="66"/>
      <c r="BF277" s="66"/>
      <c r="BG277" s="66"/>
      <c r="BH277" s="24"/>
      <c r="BL277" s="14"/>
      <c r="BM277" s="14"/>
      <c r="BO277" s="24"/>
      <c r="CE277" s="24"/>
      <c r="CT277" s="14"/>
    </row>
    <row r="278" spans="1:98">
      <c r="A278" s="24"/>
      <c r="B278" s="24"/>
      <c r="H278" s="14"/>
      <c r="P278" s="24"/>
      <c r="W278" s="24"/>
      <c r="AC278" s="14"/>
      <c r="AK278" s="71"/>
      <c r="AL278" s="66"/>
      <c r="AM278" s="66"/>
      <c r="AN278" s="66"/>
      <c r="AO278" s="66"/>
      <c r="AP278" s="66"/>
      <c r="AQ278" s="66"/>
      <c r="AR278" s="71"/>
      <c r="AS278" s="70"/>
      <c r="AT278" s="8" t="s">
        <v>285</v>
      </c>
      <c r="BA278" s="66"/>
      <c r="BB278" s="66"/>
      <c r="BC278" s="66"/>
      <c r="BD278" s="66"/>
      <c r="BE278" s="66"/>
      <c r="BF278" s="66"/>
      <c r="BG278" s="66"/>
      <c r="BH278" s="24"/>
      <c r="BL278" s="14"/>
      <c r="BM278" s="14"/>
      <c r="BO278" s="24"/>
      <c r="CE278" s="24"/>
      <c r="CT278" s="14"/>
    </row>
    <row r="279" spans="1:98">
      <c r="A279" s="24"/>
      <c r="B279" s="24"/>
      <c r="H279" s="14"/>
      <c r="P279" s="24"/>
      <c r="W279" s="24"/>
      <c r="AC279" s="14"/>
      <c r="AK279" s="71"/>
      <c r="AL279" s="66"/>
      <c r="AM279" s="66"/>
      <c r="AN279" s="66"/>
      <c r="AO279" s="66"/>
      <c r="AP279" s="66"/>
      <c r="AQ279" s="66"/>
      <c r="AR279" s="71"/>
      <c r="AS279" s="70"/>
      <c r="AT279" s="66" t="s">
        <v>286</v>
      </c>
      <c r="AU279" s="70"/>
      <c r="AV279" s="70"/>
      <c r="AW279" s="66"/>
      <c r="AX279" s="66"/>
      <c r="AY279" s="66"/>
      <c r="AZ279" s="66"/>
      <c r="BA279" s="66"/>
      <c r="BB279" s="66"/>
      <c r="BC279" s="66"/>
      <c r="BD279" s="66"/>
      <c r="BE279" s="66"/>
      <c r="BF279" s="66"/>
      <c r="BG279" s="66"/>
      <c r="BH279" s="24"/>
      <c r="BL279" s="14"/>
      <c r="BM279" s="14"/>
      <c r="BO279" s="24"/>
      <c r="CE279" s="24"/>
      <c r="CT279" s="14"/>
    </row>
    <row r="280" spans="1:98">
      <c r="A280" s="24"/>
      <c r="B280" s="24"/>
      <c r="H280" s="14"/>
      <c r="P280" s="24"/>
      <c r="W280" s="24"/>
      <c r="AC280" s="14"/>
      <c r="AK280" s="71"/>
      <c r="AL280" s="66"/>
      <c r="AM280" s="66"/>
      <c r="AN280" s="66"/>
      <c r="AO280" s="66"/>
      <c r="AP280" s="66"/>
      <c r="AQ280" s="66"/>
      <c r="AR280" s="71"/>
      <c r="AS280" s="70"/>
      <c r="AT280" s="66" t="s">
        <v>287</v>
      </c>
      <c r="AU280" s="70"/>
      <c r="AV280" s="70"/>
      <c r="AW280" s="66"/>
      <c r="AX280" s="66"/>
      <c r="AY280" s="66"/>
      <c r="AZ280" s="66"/>
      <c r="BA280" s="66"/>
      <c r="BB280" s="66"/>
      <c r="BC280" s="66"/>
      <c r="BD280" s="66"/>
      <c r="BE280" s="66"/>
      <c r="BF280" s="66"/>
      <c r="BG280" s="66"/>
      <c r="BH280" s="24"/>
      <c r="BL280" s="14"/>
      <c r="BM280" s="14"/>
      <c r="BO280" s="24"/>
      <c r="CE280" s="24"/>
      <c r="CT280" s="14"/>
    </row>
    <row r="281" spans="1:98">
      <c r="A281" s="24"/>
      <c r="B281" s="24"/>
      <c r="H281" s="14"/>
      <c r="P281" s="24"/>
      <c r="W281" s="24"/>
      <c r="AC281" s="14"/>
      <c r="AK281" s="71"/>
      <c r="AL281" s="66"/>
      <c r="AM281" s="66"/>
      <c r="AN281" s="66"/>
      <c r="AO281" s="66"/>
      <c r="AP281" s="66"/>
      <c r="AQ281" s="66"/>
      <c r="AR281" s="71"/>
      <c r="AT281" s="66" t="s">
        <v>118</v>
      </c>
      <c r="AU281" s="70" t="s">
        <v>288</v>
      </c>
      <c r="AV281" s="70"/>
      <c r="AW281" s="66"/>
      <c r="AX281" s="66"/>
      <c r="AY281" s="66"/>
      <c r="AZ281" s="66"/>
      <c r="BB281" s="66"/>
      <c r="BC281" s="66"/>
      <c r="BD281" s="66"/>
      <c r="BE281" s="66"/>
      <c r="BF281" s="66"/>
      <c r="BG281" s="66"/>
      <c r="BH281" s="24"/>
      <c r="BL281" s="14"/>
      <c r="BM281" s="14"/>
      <c r="BO281" s="24"/>
      <c r="CE281" s="24"/>
      <c r="CT281" s="14"/>
    </row>
    <row r="282" spans="1:98">
      <c r="A282" s="24"/>
      <c r="B282" s="24"/>
      <c r="H282" s="14"/>
      <c r="P282" s="24"/>
      <c r="W282" s="24"/>
      <c r="AC282" s="14"/>
      <c r="AK282" s="71"/>
      <c r="AL282" s="66"/>
      <c r="AM282" s="66"/>
      <c r="AN282" s="66"/>
      <c r="AO282" s="66"/>
      <c r="AP282" s="66"/>
      <c r="AQ282" s="66"/>
      <c r="AR282" s="71"/>
      <c r="BB282" s="66"/>
      <c r="BC282" s="66"/>
      <c r="BD282" s="66"/>
      <c r="BE282" s="66"/>
      <c r="BF282" s="66"/>
      <c r="BG282" s="66"/>
      <c r="BH282" s="24"/>
      <c r="BL282" s="14"/>
      <c r="BM282" s="14"/>
      <c r="BO282" s="24"/>
      <c r="CE282" s="24"/>
      <c r="CT282" s="14"/>
    </row>
    <row r="283" spans="1:98">
      <c r="A283" s="24"/>
      <c r="B283" s="24"/>
      <c r="H283" s="14"/>
      <c r="P283" s="24"/>
      <c r="W283" s="24"/>
      <c r="AC283" s="14"/>
      <c r="AK283" s="71"/>
      <c r="AL283" s="66"/>
      <c r="AM283" s="66"/>
      <c r="AN283" s="66"/>
      <c r="AO283" s="66"/>
      <c r="AP283" s="66"/>
      <c r="AQ283" s="66"/>
      <c r="AR283" s="71"/>
      <c r="AS283" s="70"/>
      <c r="AT283" s="66"/>
      <c r="AU283" s="70"/>
      <c r="AV283" s="70"/>
      <c r="AW283" s="66"/>
      <c r="AX283" s="66"/>
      <c r="AY283" s="66"/>
      <c r="AZ283" s="66"/>
      <c r="BA283" s="66"/>
      <c r="BB283" s="66"/>
      <c r="BC283" s="66"/>
      <c r="BD283" s="66"/>
      <c r="BE283" s="66"/>
      <c r="BF283" s="66"/>
      <c r="BG283" s="66"/>
      <c r="BH283" s="24"/>
      <c r="BL283" s="14"/>
      <c r="BM283" s="14"/>
      <c r="BO283" s="24"/>
      <c r="CE283" s="24"/>
      <c r="CT283" s="14"/>
    </row>
    <row r="284" spans="1:98">
      <c r="A284" s="24"/>
      <c r="B284" s="24"/>
      <c r="H284" s="14"/>
      <c r="P284" s="24"/>
      <c r="W284" s="24"/>
      <c r="AC284" s="14"/>
      <c r="AK284" s="71"/>
      <c r="AL284" s="66"/>
      <c r="AM284" s="66"/>
      <c r="AN284" s="66"/>
      <c r="AO284" s="66"/>
      <c r="AP284" s="66"/>
      <c r="AQ284" s="66"/>
      <c r="AR284" s="71"/>
      <c r="AS284" s="70"/>
      <c r="AT284" s="66"/>
      <c r="AU284" s="70"/>
      <c r="AV284" s="70"/>
      <c r="AW284" s="66"/>
      <c r="AX284" s="66"/>
      <c r="AY284" s="66"/>
      <c r="AZ284" s="66"/>
      <c r="BA284" s="66"/>
      <c r="BB284" s="66"/>
      <c r="BC284" s="66"/>
      <c r="BD284" s="66"/>
      <c r="BE284" s="66"/>
      <c r="BF284" s="66"/>
      <c r="BG284" s="66"/>
      <c r="BH284" s="24"/>
      <c r="BL284" s="14"/>
      <c r="BM284" s="14"/>
      <c r="BO284" s="24"/>
      <c r="CE284" s="24"/>
      <c r="CT284" s="14"/>
    </row>
    <row r="285" spans="1:98">
      <c r="A285" s="24"/>
      <c r="B285" s="24"/>
      <c r="H285" s="14"/>
      <c r="P285" s="24"/>
      <c r="W285" s="24"/>
      <c r="AC285" s="14"/>
      <c r="AK285" s="71"/>
      <c r="AL285" s="66"/>
      <c r="AM285" s="66"/>
      <c r="AN285" s="66"/>
      <c r="AO285" s="66"/>
      <c r="AP285" s="66"/>
      <c r="AQ285" s="66"/>
      <c r="AR285" s="71"/>
      <c r="AS285" s="70"/>
      <c r="AT285" s="66"/>
      <c r="AU285" s="70"/>
      <c r="AV285" s="70"/>
      <c r="AW285" s="66"/>
      <c r="AX285" s="66"/>
      <c r="AY285" s="66"/>
      <c r="AZ285" s="66"/>
      <c r="BA285" s="66"/>
      <c r="BB285" s="66"/>
      <c r="BC285" s="66"/>
      <c r="BD285" s="66"/>
      <c r="BE285" s="66"/>
      <c r="BF285" s="66"/>
      <c r="BG285" s="66"/>
      <c r="BH285" s="24"/>
      <c r="BL285" s="14"/>
      <c r="BM285" s="14"/>
      <c r="BO285" s="24"/>
      <c r="CE285" s="24"/>
      <c r="CT285" s="14"/>
    </row>
    <row r="286" spans="1:98">
      <c r="A286" s="24"/>
      <c r="B286" s="24"/>
      <c r="H286" s="14"/>
      <c r="P286" s="24"/>
      <c r="W286" s="24"/>
      <c r="AC286" s="14"/>
      <c r="AK286" s="71"/>
      <c r="AL286" s="66"/>
      <c r="AM286" s="66"/>
      <c r="AN286" s="66"/>
      <c r="AO286" s="66"/>
      <c r="AP286" s="66"/>
      <c r="AQ286" s="66"/>
      <c r="AR286" s="71"/>
      <c r="AS286" s="70"/>
      <c r="AT286" s="66"/>
      <c r="AU286" s="70"/>
      <c r="AV286" s="70"/>
      <c r="AW286" s="66"/>
      <c r="AX286" s="66"/>
      <c r="AY286" s="66"/>
      <c r="AZ286" s="66"/>
      <c r="BA286" s="66"/>
      <c r="BB286" s="66"/>
      <c r="BC286" s="66"/>
      <c r="BD286" s="66"/>
      <c r="BE286" s="66"/>
      <c r="BF286" s="66"/>
      <c r="BG286" s="66"/>
      <c r="BH286" s="24"/>
      <c r="BL286" s="14"/>
      <c r="BM286" s="14"/>
      <c r="BO286" s="24"/>
      <c r="CE286" s="24"/>
      <c r="CT286" s="14"/>
    </row>
    <row r="287" spans="1:98" s="11" customFormat="1">
      <c r="A287" s="25"/>
      <c r="B287" s="26" t="s">
        <v>289</v>
      </c>
      <c r="C287" s="23"/>
      <c r="D287" s="23"/>
      <c r="E287" s="23"/>
      <c r="F287" s="23"/>
      <c r="G287" s="23"/>
      <c r="H287" s="23"/>
      <c r="I287" s="23"/>
      <c r="J287" s="23"/>
      <c r="K287" s="23"/>
      <c r="L287" s="23"/>
      <c r="M287" s="23"/>
      <c r="N287" s="23"/>
      <c r="O287" s="23"/>
      <c r="P287" s="23"/>
      <c r="Q287" s="23"/>
      <c r="R287" s="23"/>
      <c r="S287" s="23"/>
      <c r="T287" s="23"/>
      <c r="U287" s="23"/>
      <c r="V287" s="23"/>
      <c r="W287" s="30"/>
      <c r="X287" s="23"/>
      <c r="Y287" s="23"/>
      <c r="Z287" s="23"/>
      <c r="AA287" s="23"/>
      <c r="AB287" s="23"/>
      <c r="AC287" s="23"/>
      <c r="AD287" s="23"/>
      <c r="AE287" s="23"/>
      <c r="AF287" s="23"/>
      <c r="AG287" s="23"/>
      <c r="AH287" s="23"/>
      <c r="AI287" s="23"/>
      <c r="AJ287" s="23"/>
      <c r="AK287" s="30"/>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13"/>
      <c r="BO287" s="24"/>
      <c r="BP287" s="8"/>
      <c r="BQ287" s="8"/>
      <c r="BR287" s="8"/>
      <c r="BS287" s="8"/>
      <c r="BT287" s="8"/>
      <c r="BU287" s="8"/>
      <c r="BV287" s="8"/>
      <c r="BW287" s="8"/>
      <c r="BX287" s="8"/>
      <c r="BY287" s="8"/>
      <c r="BZ287" s="8"/>
      <c r="CA287" s="8"/>
      <c r="CB287" s="8"/>
      <c r="CC287" s="8"/>
      <c r="CD287" s="8"/>
      <c r="CE287" s="24"/>
      <c r="CF287" s="8"/>
      <c r="CG287" s="8"/>
      <c r="CH287" s="8"/>
      <c r="CI287" s="8"/>
      <c r="CJ287" s="8"/>
      <c r="CK287" s="8"/>
      <c r="CL287" s="8"/>
      <c r="CM287" s="8"/>
      <c r="CN287" s="8"/>
      <c r="CO287" s="8"/>
      <c r="CP287" s="8"/>
      <c r="CQ287" s="8"/>
      <c r="CR287" s="8"/>
      <c r="CS287" s="8"/>
      <c r="CT287" s="14"/>
    </row>
    <row r="288" spans="1:98" s="11" customFormat="1">
      <c r="A288" s="25"/>
      <c r="B288" s="24"/>
      <c r="C288" s="8"/>
      <c r="D288" s="8"/>
      <c r="E288" s="8"/>
      <c r="F288" s="8"/>
      <c r="G288" s="8"/>
      <c r="H288" s="14"/>
      <c r="P288" s="24"/>
      <c r="Q288" s="8"/>
      <c r="R288" s="8"/>
      <c r="S288" s="8"/>
      <c r="T288" s="8"/>
      <c r="U288" s="8"/>
      <c r="V288" s="8"/>
      <c r="W288" s="24"/>
      <c r="X288" s="8"/>
      <c r="Y288" s="8"/>
      <c r="Z288" s="8"/>
      <c r="AA288" s="8"/>
      <c r="AB288" s="8"/>
      <c r="AC288" s="14"/>
      <c r="AD288" s="8"/>
      <c r="AE288" s="8"/>
      <c r="AF288" s="8"/>
      <c r="AG288" s="8"/>
      <c r="AH288" s="8"/>
      <c r="AI288" s="8"/>
      <c r="AJ288" s="8"/>
      <c r="AK288" s="71"/>
      <c r="AL288" s="66"/>
      <c r="AM288" s="66"/>
      <c r="AN288" s="66"/>
      <c r="AO288" s="66"/>
      <c r="AP288" s="66"/>
      <c r="AQ288" s="66"/>
      <c r="AR288" s="71"/>
      <c r="AS288" s="66"/>
      <c r="AT288" s="66"/>
      <c r="AU288" s="66"/>
      <c r="AV288" s="66"/>
      <c r="AW288" s="66"/>
      <c r="AX288" s="66"/>
      <c r="AY288" s="66"/>
      <c r="AZ288" s="66"/>
      <c r="BA288" s="66"/>
      <c r="BB288" s="66"/>
      <c r="BC288" s="66"/>
      <c r="BD288" s="66"/>
      <c r="BE288" s="66"/>
      <c r="BF288" s="66"/>
      <c r="BG288" s="66"/>
      <c r="BH288" s="24"/>
      <c r="BI288" s="8"/>
      <c r="BJ288" s="8"/>
      <c r="BK288" s="8"/>
      <c r="BL288" s="14"/>
      <c r="BM288" s="13"/>
      <c r="BO288" s="29"/>
      <c r="CE288" s="29"/>
      <c r="CT288" s="13"/>
    </row>
    <row r="289" spans="1:98">
      <c r="A289" s="24"/>
      <c r="B289" s="24"/>
      <c r="H289" s="14"/>
      <c r="P289" s="24"/>
      <c r="W289" s="24"/>
      <c r="AC289" s="14"/>
      <c r="AK289" s="71"/>
      <c r="AL289" s="66"/>
      <c r="AM289" s="66"/>
      <c r="AN289" s="66"/>
      <c r="AO289" s="66"/>
      <c r="AP289" s="66"/>
      <c r="AQ289" s="66"/>
      <c r="AR289" s="71"/>
      <c r="AS289" s="78"/>
      <c r="AT289" s="66"/>
      <c r="AV289" s="66"/>
      <c r="AW289" s="66"/>
      <c r="AX289" s="66"/>
      <c r="AY289" s="66"/>
      <c r="AZ289" s="66"/>
      <c r="BA289" s="66"/>
      <c r="BB289" s="66"/>
      <c r="BC289" s="66"/>
      <c r="BD289" s="66"/>
      <c r="BE289" s="66"/>
      <c r="BF289" s="66"/>
      <c r="BG289" s="66"/>
      <c r="BH289" s="24"/>
      <c r="BL289" s="14"/>
      <c r="BM289" s="14"/>
      <c r="BO289" s="29"/>
      <c r="BP289" s="11"/>
      <c r="BQ289" s="11"/>
      <c r="BR289" s="11"/>
      <c r="BS289" s="11"/>
      <c r="BT289" s="11"/>
      <c r="BU289" s="11"/>
      <c r="BV289" s="11"/>
      <c r="BW289" s="11"/>
      <c r="BX289" s="11"/>
      <c r="BY289" s="11"/>
      <c r="BZ289" s="11"/>
      <c r="CA289" s="11"/>
      <c r="CB289" s="11"/>
      <c r="CC289" s="11"/>
      <c r="CD289" s="11"/>
      <c r="CE289" s="29"/>
      <c r="CF289" s="11"/>
      <c r="CG289" s="11"/>
      <c r="CH289" s="11"/>
      <c r="CI289" s="11"/>
      <c r="CJ289" s="11"/>
      <c r="CK289" s="11"/>
      <c r="CL289" s="11"/>
      <c r="CM289" s="11"/>
      <c r="CN289" s="11"/>
      <c r="CO289" s="11"/>
      <c r="CP289" s="11"/>
      <c r="CQ289" s="11"/>
      <c r="CR289" s="11"/>
      <c r="CS289" s="11"/>
      <c r="CT289" s="13"/>
    </row>
    <row r="290" spans="1:98">
      <c r="A290" s="24"/>
      <c r="B290" s="24"/>
      <c r="H290" s="14"/>
      <c r="P290" s="24"/>
      <c r="W290" s="24"/>
      <c r="AC290" s="14"/>
      <c r="AK290" s="71"/>
      <c r="AL290" s="66"/>
      <c r="AM290" s="66"/>
      <c r="AN290" s="66"/>
      <c r="AO290" s="66"/>
      <c r="AP290" s="66"/>
      <c r="AQ290" s="66"/>
      <c r="AR290" s="71"/>
      <c r="AS290" s="66"/>
      <c r="AT290" s="66"/>
      <c r="AV290" s="66"/>
      <c r="AW290" s="66"/>
      <c r="AX290" s="66"/>
      <c r="AY290" s="66"/>
      <c r="AZ290" s="66"/>
      <c r="BA290" s="66"/>
      <c r="BB290" s="66"/>
      <c r="BC290" s="66"/>
      <c r="BD290" s="66"/>
      <c r="BE290" s="66"/>
      <c r="BF290" s="66"/>
      <c r="BG290" s="66"/>
      <c r="BH290" s="24"/>
      <c r="BL290" s="14"/>
      <c r="BM290" s="14"/>
      <c r="BO290" s="24"/>
      <c r="CE290" s="24"/>
      <c r="CT290" s="14"/>
    </row>
    <row r="291" spans="1:98">
      <c r="A291" s="24"/>
      <c r="B291" s="24"/>
      <c r="H291" s="14"/>
      <c r="P291" s="24"/>
      <c r="W291" s="24"/>
      <c r="AC291" s="14"/>
      <c r="AK291" s="71"/>
      <c r="AL291" s="66"/>
      <c r="AM291" s="66"/>
      <c r="AN291" s="66"/>
      <c r="AO291" s="66"/>
      <c r="AP291" s="66"/>
      <c r="AQ291" s="66"/>
      <c r="AR291" s="71"/>
      <c r="AS291" s="66"/>
      <c r="AT291" s="66"/>
      <c r="AV291" s="66"/>
      <c r="AW291" s="66"/>
      <c r="AX291" s="66"/>
      <c r="AY291" s="66"/>
      <c r="AZ291" s="66"/>
      <c r="BA291" s="66"/>
      <c r="BB291" s="66"/>
      <c r="BC291" s="66"/>
      <c r="BD291" s="66"/>
      <c r="BE291" s="66"/>
      <c r="BF291" s="66"/>
      <c r="BG291" s="66"/>
      <c r="BH291" s="24"/>
      <c r="BL291" s="14"/>
      <c r="BM291" s="14"/>
      <c r="BO291" s="24"/>
      <c r="CE291" s="24"/>
      <c r="CT291" s="14"/>
    </row>
    <row r="292" spans="1:98">
      <c r="A292" s="24"/>
      <c r="B292" s="24"/>
      <c r="H292" s="14"/>
      <c r="P292" s="24"/>
      <c r="W292" s="24"/>
      <c r="AC292" s="14"/>
      <c r="AK292" s="71"/>
      <c r="AL292" s="66"/>
      <c r="AM292" s="66"/>
      <c r="AN292" s="66"/>
      <c r="AO292" s="66"/>
      <c r="AP292" s="66"/>
      <c r="AQ292" s="66"/>
      <c r="AR292" s="71"/>
      <c r="AS292" s="66"/>
      <c r="AT292" s="66"/>
      <c r="AV292" s="66"/>
      <c r="AW292" s="66"/>
      <c r="AX292" s="66"/>
      <c r="AY292" s="66"/>
      <c r="AZ292" s="66"/>
      <c r="BA292" s="66"/>
      <c r="BB292" s="66"/>
      <c r="BC292" s="66"/>
      <c r="BD292" s="66"/>
      <c r="BE292" s="66"/>
      <c r="BF292" s="66"/>
      <c r="BG292" s="66"/>
      <c r="BH292" s="24"/>
      <c r="BL292" s="14"/>
      <c r="BM292" s="14"/>
      <c r="BO292" s="24"/>
      <c r="CE292" s="24"/>
      <c r="CT292" s="14"/>
    </row>
    <row r="293" spans="1:98">
      <c r="A293" s="24"/>
      <c r="B293" s="24"/>
      <c r="H293" s="14"/>
      <c r="P293" s="24"/>
      <c r="W293" s="24"/>
      <c r="AC293" s="14"/>
      <c r="AK293" s="71"/>
      <c r="AL293" s="66"/>
      <c r="AM293" s="66"/>
      <c r="AN293" s="66"/>
      <c r="AO293" s="66"/>
      <c r="AP293" s="66"/>
      <c r="AQ293" s="66"/>
      <c r="AR293" s="71"/>
      <c r="AS293" s="80" t="s">
        <v>290</v>
      </c>
      <c r="AT293" s="70"/>
      <c r="AU293" s="70"/>
      <c r="AV293" s="70"/>
      <c r="AW293" s="66"/>
      <c r="AX293" s="66"/>
      <c r="AY293" s="66"/>
      <c r="AZ293" s="66"/>
      <c r="BA293" s="66"/>
      <c r="BB293" s="66"/>
      <c r="BC293" s="66"/>
      <c r="BD293" s="66"/>
      <c r="BE293" s="66"/>
      <c r="BF293" s="66"/>
      <c r="BG293" s="66"/>
      <c r="BH293" s="24"/>
      <c r="BL293" s="14"/>
      <c r="BM293" s="14"/>
      <c r="BO293" s="24"/>
      <c r="CE293" s="24"/>
      <c r="CT293" s="14"/>
    </row>
    <row r="294" spans="1:98">
      <c r="A294" s="24"/>
      <c r="B294" s="24"/>
      <c r="H294" s="14"/>
      <c r="P294" s="24"/>
      <c r="W294" s="24"/>
      <c r="AC294" s="14"/>
      <c r="AK294" s="71"/>
      <c r="AL294" s="66"/>
      <c r="AM294" s="66"/>
      <c r="AN294" s="66"/>
      <c r="AO294" s="66"/>
      <c r="AP294" s="66"/>
      <c r="AQ294" s="66"/>
      <c r="AR294" s="71"/>
      <c r="AS294" s="70"/>
      <c r="AT294" s="66" t="s">
        <v>291</v>
      </c>
      <c r="AU294" s="70"/>
      <c r="AV294" s="70"/>
      <c r="AW294" s="66"/>
      <c r="AX294" s="66"/>
      <c r="AY294" s="66"/>
      <c r="AZ294" s="66"/>
      <c r="BA294" s="66"/>
      <c r="BB294" s="66"/>
      <c r="BC294" s="66"/>
      <c r="BD294" s="66"/>
      <c r="BE294" s="66"/>
      <c r="BF294" s="66"/>
      <c r="BG294" s="66"/>
      <c r="BH294" s="24"/>
      <c r="BL294" s="14"/>
      <c r="BM294" s="14"/>
      <c r="BO294" s="24"/>
      <c r="CE294" s="24"/>
      <c r="CT294" s="14"/>
    </row>
    <row r="295" spans="1:98">
      <c r="A295" s="24"/>
      <c r="B295" s="24"/>
      <c r="H295" s="14"/>
      <c r="P295" s="24"/>
      <c r="W295" s="24"/>
      <c r="AC295" s="14"/>
      <c r="AK295" s="71"/>
      <c r="AL295" s="66"/>
      <c r="AM295" s="66"/>
      <c r="AN295" s="66"/>
      <c r="AO295" s="66"/>
      <c r="AP295" s="66"/>
      <c r="AQ295" s="66"/>
      <c r="AR295" s="71"/>
      <c r="AS295" s="70"/>
      <c r="AT295" s="66"/>
      <c r="AU295" s="70"/>
      <c r="AV295" s="70"/>
      <c r="AW295" s="66"/>
      <c r="AX295" s="66"/>
      <c r="AY295" s="66"/>
      <c r="AZ295" s="66"/>
      <c r="BA295" s="66"/>
      <c r="BB295" s="66"/>
      <c r="BC295" s="66"/>
      <c r="BD295" s="66"/>
      <c r="BE295" s="66"/>
      <c r="BF295" s="66"/>
      <c r="BG295" s="66"/>
      <c r="BH295" s="24"/>
      <c r="BL295" s="14"/>
      <c r="BM295" s="14"/>
      <c r="BO295" s="24"/>
      <c r="CE295" s="24"/>
      <c r="CT295" s="14"/>
    </row>
    <row r="296" spans="1:98">
      <c r="A296" s="24"/>
      <c r="B296" s="24"/>
      <c r="H296" s="14"/>
      <c r="P296" s="24"/>
      <c r="W296" s="24"/>
      <c r="AC296" s="14"/>
      <c r="AK296" s="71"/>
      <c r="AL296" s="66"/>
      <c r="AM296" s="66"/>
      <c r="AN296" s="66"/>
      <c r="AO296" s="66"/>
      <c r="AP296" s="66"/>
      <c r="AQ296" s="66"/>
      <c r="AR296" s="71"/>
      <c r="AS296" s="70"/>
      <c r="AT296" s="70"/>
      <c r="AU296" s="70"/>
      <c r="AV296" s="70"/>
      <c r="AW296" s="66"/>
      <c r="AX296" s="66"/>
      <c r="AY296" s="66"/>
      <c r="AZ296" s="66"/>
      <c r="BA296" s="66"/>
      <c r="BB296" s="66"/>
      <c r="BC296" s="66"/>
      <c r="BD296" s="66"/>
      <c r="BE296" s="66"/>
      <c r="BF296" s="66"/>
      <c r="BG296" s="66"/>
      <c r="BH296" s="24"/>
      <c r="BL296" s="14"/>
      <c r="BM296" s="14"/>
      <c r="BO296" s="24"/>
      <c r="CE296" s="24"/>
      <c r="CT296" s="14"/>
    </row>
    <row r="297" spans="1:98">
      <c r="A297" s="24"/>
      <c r="B297" s="24"/>
      <c r="H297" s="14"/>
      <c r="P297" s="24"/>
      <c r="W297" s="24"/>
      <c r="AC297" s="14"/>
      <c r="AK297" s="71"/>
      <c r="AL297" s="66"/>
      <c r="AM297" s="66"/>
      <c r="AN297" s="66"/>
      <c r="AO297" s="66"/>
      <c r="AP297" s="66"/>
      <c r="AQ297" s="66"/>
      <c r="AR297" s="71"/>
      <c r="AS297" s="70"/>
      <c r="AT297" s="70"/>
      <c r="AU297" s="70"/>
      <c r="AV297" s="70"/>
      <c r="AW297" s="66"/>
      <c r="AX297" s="66"/>
      <c r="AY297" s="66"/>
      <c r="AZ297" s="66"/>
      <c r="BA297" s="66"/>
      <c r="BB297" s="66"/>
      <c r="BC297" s="66"/>
      <c r="BD297" s="66"/>
      <c r="BE297" s="66"/>
      <c r="BF297" s="66"/>
      <c r="BG297" s="66"/>
      <c r="BH297" s="24"/>
      <c r="BL297" s="14"/>
      <c r="BM297" s="14"/>
      <c r="BO297" s="24"/>
      <c r="CE297" s="24"/>
      <c r="CT297" s="14"/>
    </row>
    <row r="298" spans="1:98">
      <c r="A298" s="24"/>
      <c r="B298" s="24"/>
      <c r="H298" s="14"/>
      <c r="P298" s="24"/>
      <c r="W298" s="24"/>
      <c r="AC298" s="14"/>
      <c r="AK298" s="71"/>
      <c r="AL298" s="66"/>
      <c r="AM298" s="66"/>
      <c r="AN298" s="66"/>
      <c r="AO298" s="66"/>
      <c r="AP298" s="66"/>
      <c r="AQ298" s="66"/>
      <c r="AR298" s="71"/>
      <c r="AS298" s="66"/>
      <c r="AT298" s="66"/>
      <c r="AV298" s="70"/>
      <c r="AW298" s="66"/>
      <c r="AX298" s="66"/>
      <c r="AY298" s="66"/>
      <c r="AZ298" s="66"/>
      <c r="BA298" s="66"/>
      <c r="BB298" s="66"/>
      <c r="BC298" s="66"/>
      <c r="BD298" s="66"/>
      <c r="BE298" s="66"/>
      <c r="BF298" s="66"/>
      <c r="BG298" s="66"/>
      <c r="BH298" s="24"/>
      <c r="BL298" s="14"/>
      <c r="BM298" s="14"/>
      <c r="BO298" s="24"/>
      <c r="CE298" s="24"/>
      <c r="CT298" s="14"/>
    </row>
    <row r="299" spans="1:98">
      <c r="A299" s="24"/>
      <c r="B299" s="24"/>
      <c r="H299" s="14"/>
      <c r="P299" s="24"/>
      <c r="W299" s="24"/>
      <c r="AC299" s="14"/>
      <c r="AK299" s="71"/>
      <c r="AL299" s="66"/>
      <c r="AM299" s="66"/>
      <c r="AN299" s="66"/>
      <c r="AO299" s="66"/>
      <c r="AP299" s="66"/>
      <c r="AQ299" s="66"/>
      <c r="AR299" s="71"/>
      <c r="AS299" s="80" t="s">
        <v>292</v>
      </c>
      <c r="AT299" s="70"/>
      <c r="AU299" s="70"/>
      <c r="AV299" s="70"/>
      <c r="AW299" s="66"/>
      <c r="AX299" s="66"/>
      <c r="AY299" s="66"/>
      <c r="AZ299" s="66"/>
      <c r="BA299" s="66"/>
      <c r="BB299" s="66"/>
      <c r="BC299" s="66"/>
      <c r="BD299" s="66"/>
      <c r="BE299" s="66"/>
      <c r="BF299" s="66"/>
      <c r="BG299" s="66"/>
      <c r="BH299" s="24"/>
      <c r="BL299" s="14"/>
      <c r="BM299" s="14"/>
      <c r="BO299" s="24"/>
      <c r="CE299" s="24"/>
      <c r="CT299" s="14"/>
    </row>
    <row r="300" spans="1:98">
      <c r="A300" s="24"/>
      <c r="B300" s="24"/>
      <c r="H300" s="14"/>
      <c r="P300" s="24"/>
      <c r="W300" s="24"/>
      <c r="AC300" s="14"/>
      <c r="AK300" s="71"/>
      <c r="AL300" s="66"/>
      <c r="AM300" s="66"/>
      <c r="AN300" s="66"/>
      <c r="AO300" s="66"/>
      <c r="AP300" s="66"/>
      <c r="AQ300" s="66"/>
      <c r="AR300" s="71"/>
      <c r="AS300" s="70"/>
      <c r="AT300" s="66" t="s">
        <v>293</v>
      </c>
      <c r="AU300" s="70"/>
      <c r="AV300" s="70"/>
      <c r="AW300" s="66"/>
      <c r="AX300" s="66"/>
      <c r="AY300" s="66"/>
      <c r="AZ300" s="66"/>
      <c r="BA300" s="66"/>
      <c r="BB300" s="66"/>
      <c r="BC300" s="66"/>
      <c r="BD300" s="66"/>
      <c r="BE300" s="66"/>
      <c r="BF300" s="66"/>
      <c r="BG300" s="66"/>
      <c r="BH300" s="24"/>
      <c r="BL300" s="14"/>
      <c r="BM300" s="14"/>
      <c r="BO300" s="24"/>
      <c r="CE300" s="24"/>
      <c r="CT300" s="14"/>
    </row>
    <row r="301" spans="1:98">
      <c r="A301" s="24"/>
      <c r="B301" s="24"/>
      <c r="H301" s="14"/>
      <c r="P301" s="24"/>
      <c r="W301" s="24"/>
      <c r="AC301" s="14"/>
      <c r="AK301" s="71"/>
      <c r="AL301" s="66"/>
      <c r="AM301" s="66"/>
      <c r="AN301" s="66"/>
      <c r="AO301" s="66"/>
      <c r="AP301" s="66"/>
      <c r="AQ301" s="66"/>
      <c r="AR301" s="71"/>
      <c r="AS301" s="70"/>
      <c r="AT301" s="70" t="s">
        <v>294</v>
      </c>
      <c r="AU301" s="70"/>
      <c r="AV301" s="70"/>
      <c r="AW301" s="66"/>
      <c r="AX301" s="66"/>
      <c r="AY301" s="66"/>
      <c r="AZ301" s="66"/>
      <c r="BA301" s="66"/>
      <c r="BB301" s="66"/>
      <c r="BC301" s="66"/>
      <c r="BD301" s="66"/>
      <c r="BE301" s="66"/>
      <c r="BF301" s="66"/>
      <c r="BG301" s="66"/>
      <c r="BH301" s="24"/>
      <c r="BL301" s="14"/>
      <c r="BM301" s="14"/>
      <c r="BO301" s="24" t="s">
        <v>105</v>
      </c>
      <c r="BP301" s="8" t="s">
        <v>295</v>
      </c>
      <c r="CE301" s="24" t="s">
        <v>107</v>
      </c>
      <c r="CF301" s="8" t="s">
        <v>296</v>
      </c>
      <c r="CT301" s="14"/>
    </row>
    <row r="302" spans="1:98">
      <c r="A302" s="24"/>
      <c r="B302" s="24"/>
      <c r="H302" s="14"/>
      <c r="P302" s="24"/>
      <c r="W302" s="24"/>
      <c r="AC302" s="14"/>
      <c r="AK302" s="71"/>
      <c r="AL302" s="66"/>
      <c r="AM302" s="66"/>
      <c r="AN302" s="66"/>
      <c r="AO302" s="66"/>
      <c r="AP302" s="66"/>
      <c r="AQ302" s="66"/>
      <c r="AR302" s="71"/>
      <c r="AS302" s="70"/>
      <c r="AT302" s="78"/>
      <c r="AU302" s="70"/>
      <c r="AV302" s="70"/>
      <c r="AW302" s="66"/>
      <c r="AX302" s="66"/>
      <c r="AY302" s="66"/>
      <c r="AZ302" s="66"/>
      <c r="BA302" s="66"/>
      <c r="BB302" s="66"/>
      <c r="BC302" s="66"/>
      <c r="BD302" s="66"/>
      <c r="BE302" s="66"/>
      <c r="BF302" s="66"/>
      <c r="BG302" s="66"/>
      <c r="BH302" s="24"/>
      <c r="BL302" s="14"/>
      <c r="BM302" s="14"/>
      <c r="BO302" s="24"/>
      <c r="BP302" s="96" t="s">
        <v>133</v>
      </c>
      <c r="BQ302" s="96" t="s">
        <v>297</v>
      </c>
      <c r="BR302" s="96"/>
      <c r="BS302" s="96"/>
      <c r="BT302" s="96"/>
      <c r="BU302" s="96"/>
      <c r="BV302" s="96"/>
      <c r="BW302" s="96"/>
      <c r="BX302" s="96"/>
      <c r="BY302" s="96"/>
      <c r="CE302" s="24" t="s">
        <v>133</v>
      </c>
      <c r="CF302" s="8" t="s">
        <v>298</v>
      </c>
      <c r="CT302" s="14"/>
    </row>
    <row r="303" spans="1:98">
      <c r="A303" s="24"/>
      <c r="B303" s="24"/>
      <c r="H303" s="14"/>
      <c r="P303" s="24"/>
      <c r="W303" s="24"/>
      <c r="AC303" s="14"/>
      <c r="AK303" s="71"/>
      <c r="AL303" s="66"/>
      <c r="AM303" s="66"/>
      <c r="AN303" s="66"/>
      <c r="AO303" s="66"/>
      <c r="AP303" s="66"/>
      <c r="AQ303" s="66"/>
      <c r="AR303" s="71"/>
      <c r="AS303" s="80" t="s">
        <v>299</v>
      </c>
      <c r="AT303" s="70"/>
      <c r="AU303" s="70"/>
      <c r="AV303" s="66"/>
      <c r="AW303" s="66"/>
      <c r="AX303" s="66"/>
      <c r="AY303" s="66"/>
      <c r="AZ303" s="66"/>
      <c r="BA303" s="66"/>
      <c r="BB303" s="66"/>
      <c r="BD303" s="66"/>
      <c r="BE303" s="66"/>
      <c r="BF303" s="66"/>
      <c r="BG303" s="66"/>
      <c r="BH303" s="24"/>
      <c r="BL303" s="14"/>
      <c r="BM303" s="14"/>
      <c r="BO303" s="24"/>
      <c r="BP303" s="96"/>
      <c r="BQ303" s="96" t="s">
        <v>300</v>
      </c>
      <c r="BR303" s="96"/>
      <c r="BS303" s="96"/>
      <c r="BT303" s="96"/>
      <c r="BU303" s="96"/>
      <c r="BV303" s="96"/>
      <c r="BW303" s="96"/>
      <c r="BX303" s="96"/>
      <c r="BY303" s="96"/>
      <c r="CE303" s="24"/>
      <c r="CT303" s="14"/>
    </row>
    <row r="304" spans="1:98">
      <c r="A304" s="24"/>
      <c r="B304" s="24"/>
      <c r="H304" s="14"/>
      <c r="P304" s="28"/>
      <c r="Q304"/>
      <c r="R304"/>
      <c r="S304"/>
      <c r="T304"/>
      <c r="U304"/>
      <c r="V304"/>
      <c r="W304" s="24"/>
      <c r="X304"/>
      <c r="Y304"/>
      <c r="Z304"/>
      <c r="AA304"/>
      <c r="AB304"/>
      <c r="AC304" s="14"/>
      <c r="AD304"/>
      <c r="AE304"/>
      <c r="AF304"/>
      <c r="AG304"/>
      <c r="AH304"/>
      <c r="AI304"/>
      <c r="AJ304"/>
      <c r="AK304" s="28"/>
      <c r="AL304"/>
      <c r="AM304"/>
      <c r="AN304"/>
      <c r="AO304"/>
      <c r="AP304"/>
      <c r="AQ304"/>
      <c r="AR304" s="71"/>
      <c r="AS304" s="70"/>
      <c r="AT304" s="8" t="s">
        <v>186</v>
      </c>
      <c r="AU304" s="8"/>
      <c r="AV304" s="66"/>
      <c r="AW304" s="66"/>
      <c r="AX304" s="66"/>
      <c r="AY304" s="66"/>
      <c r="AZ304" s="66"/>
      <c r="BA304" s="66"/>
      <c r="BB304" s="66"/>
      <c r="BD304"/>
      <c r="BE304"/>
      <c r="BF304" s="66"/>
      <c r="BG304" s="66"/>
      <c r="BH304" s="24"/>
      <c r="BL304" s="14"/>
      <c r="BM304" s="14"/>
      <c r="BO304" s="24"/>
      <c r="BQ304" s="96" t="s">
        <v>301</v>
      </c>
      <c r="CE304" s="24"/>
      <c r="CT304" s="14"/>
    </row>
    <row r="305" spans="1:98">
      <c r="A305" s="24"/>
      <c r="B305" s="24"/>
      <c r="H305" s="14"/>
      <c r="P305" s="24"/>
      <c r="W305" s="24"/>
      <c r="AC305" s="14"/>
      <c r="AK305" s="71"/>
      <c r="AL305" s="66"/>
      <c r="AM305" s="66"/>
      <c r="AN305" s="66"/>
      <c r="AO305" s="66"/>
      <c r="AP305" s="66"/>
      <c r="AQ305" s="66"/>
      <c r="AR305" s="71"/>
      <c r="AS305" s="77"/>
      <c r="AU305" s="8"/>
      <c r="AV305" s="66"/>
      <c r="AW305" s="66"/>
      <c r="AX305" s="66"/>
      <c r="AY305" s="66"/>
      <c r="AZ305" s="66"/>
      <c r="BA305" s="66"/>
      <c r="BB305" s="66"/>
      <c r="BD305" s="66"/>
      <c r="BE305" s="66"/>
      <c r="BF305" s="66"/>
      <c r="BG305" s="66"/>
      <c r="BH305" s="24"/>
      <c r="BL305" s="14"/>
      <c r="BM305" s="14"/>
      <c r="BO305" s="24"/>
      <c r="CE305" s="24"/>
      <c r="CT305" s="14"/>
    </row>
    <row r="306" spans="1:98">
      <c r="A306" s="24"/>
      <c r="B306" s="24"/>
      <c r="H306" s="14"/>
      <c r="P306" s="28"/>
      <c r="Q306"/>
      <c r="R306"/>
      <c r="S306"/>
      <c r="T306"/>
      <c r="U306"/>
      <c r="V306" s="14"/>
      <c r="W306" s="24"/>
      <c r="X306"/>
      <c r="Y306"/>
      <c r="Z306"/>
      <c r="AA306"/>
      <c r="AB306"/>
      <c r="AC306" s="14"/>
      <c r="AD306"/>
      <c r="AE306"/>
      <c r="AF306"/>
      <c r="AG306"/>
      <c r="AH306"/>
      <c r="AI306"/>
      <c r="AJ306"/>
      <c r="AK306" s="28"/>
      <c r="AL306"/>
      <c r="AM306"/>
      <c r="AN306"/>
      <c r="AO306"/>
      <c r="AP306"/>
      <c r="AQ306"/>
      <c r="AR306" s="71"/>
      <c r="AS306" s="66"/>
      <c r="AT306" s="70"/>
      <c r="AV306" s="66"/>
      <c r="AW306" s="66"/>
      <c r="AX306" s="66"/>
      <c r="AY306" s="66"/>
      <c r="AZ306" s="66"/>
      <c r="BA306" s="66"/>
      <c r="BB306" s="66"/>
      <c r="BD306"/>
      <c r="BE306"/>
      <c r="BF306" s="66"/>
      <c r="BG306" s="66"/>
      <c r="BH306" s="24"/>
      <c r="BL306" s="14"/>
      <c r="BM306" s="14"/>
      <c r="BO306" s="24"/>
      <c r="CE306" s="24"/>
      <c r="CT306" s="14"/>
    </row>
    <row r="307" spans="1:98">
      <c r="A307" s="24"/>
      <c r="B307" s="24"/>
      <c r="H307" s="14"/>
      <c r="P307" s="28"/>
      <c r="Q307"/>
      <c r="R307"/>
      <c r="S307"/>
      <c r="T307"/>
      <c r="U307"/>
      <c r="V307" s="14"/>
      <c r="W307" s="24"/>
      <c r="X307"/>
      <c r="Y307"/>
      <c r="Z307"/>
      <c r="AA307"/>
      <c r="AB307"/>
      <c r="AC307" s="14"/>
      <c r="AD307"/>
      <c r="AE307"/>
      <c r="AF307"/>
      <c r="AG307"/>
      <c r="AH307"/>
      <c r="AI307"/>
      <c r="AJ307"/>
      <c r="AK307" s="28"/>
      <c r="AL307"/>
      <c r="AM307"/>
      <c r="AN307"/>
      <c r="AO307"/>
      <c r="AP307"/>
      <c r="AQ307"/>
      <c r="AR307" s="71"/>
      <c r="AS307" s="66"/>
      <c r="AT307" s="70"/>
      <c r="AV307" s="66"/>
      <c r="AW307" s="66"/>
      <c r="AX307" s="66"/>
      <c r="AY307" s="66"/>
      <c r="AZ307" s="66"/>
      <c r="BA307" s="66"/>
      <c r="BB307" s="66"/>
      <c r="BD307"/>
      <c r="BE307"/>
      <c r="BF307" s="66"/>
      <c r="BG307" s="66"/>
      <c r="BH307" s="24"/>
      <c r="BL307" s="14"/>
      <c r="BM307" s="14"/>
      <c r="BO307" s="24"/>
      <c r="CE307" s="24"/>
      <c r="CT307" s="14"/>
    </row>
    <row r="308" spans="1:98">
      <c r="A308" s="24"/>
      <c r="B308" s="24"/>
      <c r="H308" s="14"/>
      <c r="P308" s="28"/>
      <c r="Q308"/>
      <c r="R308"/>
      <c r="S308"/>
      <c r="T308"/>
      <c r="U308"/>
      <c r="V308" s="14"/>
      <c r="W308" s="24"/>
      <c r="X308"/>
      <c r="Y308"/>
      <c r="Z308"/>
      <c r="AA308"/>
      <c r="AB308"/>
      <c r="AC308" s="14"/>
      <c r="AD308"/>
      <c r="AE308"/>
      <c r="AF308"/>
      <c r="AG308"/>
      <c r="AH308"/>
      <c r="AI308"/>
      <c r="AJ308"/>
      <c r="AK308" s="28"/>
      <c r="AL308"/>
      <c r="AM308"/>
      <c r="AN308"/>
      <c r="AO308"/>
      <c r="AP308"/>
      <c r="AQ308"/>
      <c r="AR308" s="71"/>
      <c r="AS308" s="66"/>
      <c r="AT308" s="78"/>
      <c r="AV308" s="66"/>
      <c r="AW308" s="66"/>
      <c r="AX308" s="66"/>
      <c r="AY308" s="66"/>
      <c r="AZ308" s="66"/>
      <c r="BA308" s="66"/>
      <c r="BB308" s="66"/>
      <c r="BD308"/>
      <c r="BE308"/>
      <c r="BF308" s="66"/>
      <c r="BG308" s="66"/>
      <c r="BH308" s="24"/>
      <c r="BL308" s="14"/>
      <c r="BM308" s="14"/>
      <c r="BO308" s="24"/>
      <c r="CE308" s="24"/>
      <c r="CT308" s="14"/>
    </row>
    <row r="309" spans="1:98">
      <c r="A309" s="24"/>
      <c r="B309" s="24"/>
      <c r="H309" s="14"/>
      <c r="P309" s="28"/>
      <c r="Q309"/>
      <c r="R309"/>
      <c r="S309"/>
      <c r="T309"/>
      <c r="U309"/>
      <c r="V309" s="14"/>
      <c r="W309" s="24"/>
      <c r="X309"/>
      <c r="Y309"/>
      <c r="Z309"/>
      <c r="AA309"/>
      <c r="AB309"/>
      <c r="AC309" s="14"/>
      <c r="AD309"/>
      <c r="AE309"/>
      <c r="AF309"/>
      <c r="AG309"/>
      <c r="AH309"/>
      <c r="AI309"/>
      <c r="AJ309"/>
      <c r="AK309" s="28"/>
      <c r="AL309"/>
      <c r="AM309"/>
      <c r="AN309"/>
      <c r="AO309"/>
      <c r="AP309"/>
      <c r="AQ309"/>
      <c r="AR309" s="71"/>
      <c r="AS309" s="80" t="s">
        <v>302</v>
      </c>
      <c r="AT309" s="66"/>
      <c r="AV309" s="66"/>
      <c r="AW309" s="66"/>
      <c r="AX309" s="66"/>
      <c r="AY309" s="66"/>
      <c r="AZ309" s="66"/>
      <c r="BA309" s="66"/>
      <c r="BB309" s="66"/>
      <c r="BD309"/>
      <c r="BE309"/>
      <c r="BF309" s="66"/>
      <c r="BG309" s="66"/>
      <c r="BH309" s="24"/>
      <c r="BL309" s="14"/>
      <c r="BM309" s="14"/>
      <c r="BO309" s="24"/>
      <c r="CE309" s="24"/>
      <c r="CT309" s="14"/>
    </row>
    <row r="310" spans="1:98">
      <c r="A310" s="24"/>
      <c r="B310" s="24"/>
      <c r="H310" s="14"/>
      <c r="P310" s="28"/>
      <c r="Q310"/>
      <c r="R310"/>
      <c r="S310"/>
      <c r="T310"/>
      <c r="U310"/>
      <c r="V310" s="14"/>
      <c r="W310" s="24"/>
      <c r="X310"/>
      <c r="Y310"/>
      <c r="Z310"/>
      <c r="AA310"/>
      <c r="AB310"/>
      <c r="AC310" s="14"/>
      <c r="AD310"/>
      <c r="AE310"/>
      <c r="AF310"/>
      <c r="AG310"/>
      <c r="AH310"/>
      <c r="AI310"/>
      <c r="AJ310"/>
      <c r="AK310" s="28"/>
      <c r="AL310"/>
      <c r="AM310"/>
      <c r="AN310"/>
      <c r="AO310"/>
      <c r="AP310"/>
      <c r="AQ310"/>
      <c r="AR310" s="71"/>
      <c r="AS310" s="77"/>
      <c r="AT310" s="8" t="s">
        <v>188</v>
      </c>
      <c r="AV310" s="66"/>
      <c r="AW310" s="66"/>
      <c r="AX310" s="66"/>
      <c r="AY310" s="66"/>
      <c r="AZ310" s="66"/>
      <c r="BA310" s="66"/>
      <c r="BB310" s="66"/>
      <c r="BC310"/>
      <c r="BD310"/>
      <c r="BE310"/>
      <c r="BF310" s="66"/>
      <c r="BG310" s="66"/>
      <c r="BH310" s="24"/>
      <c r="BL310" s="14"/>
      <c r="BM310" s="14"/>
      <c r="BO310" s="24"/>
      <c r="CE310" s="24"/>
      <c r="CT310" s="14"/>
    </row>
    <row r="311" spans="1:98">
      <c r="A311" s="24"/>
      <c r="B311" s="24"/>
      <c r="H311" s="14"/>
      <c r="P311" s="28"/>
      <c r="Q311"/>
      <c r="R311"/>
      <c r="S311"/>
      <c r="T311"/>
      <c r="U311"/>
      <c r="V311" s="14"/>
      <c r="W311" s="24"/>
      <c r="X311"/>
      <c r="Y311"/>
      <c r="Z311"/>
      <c r="AA311"/>
      <c r="AB311"/>
      <c r="AC311" s="14"/>
      <c r="AD311"/>
      <c r="AE311"/>
      <c r="AF311"/>
      <c r="AG311"/>
      <c r="AH311"/>
      <c r="AI311"/>
      <c r="AJ311"/>
      <c r="AK311" s="28"/>
      <c r="AL311"/>
      <c r="AM311"/>
      <c r="AN311"/>
      <c r="AO311"/>
      <c r="AP311"/>
      <c r="AQ311"/>
      <c r="AR311" s="71"/>
      <c r="AS311" s="66"/>
      <c r="AV311" s="66"/>
      <c r="AW311" s="66"/>
      <c r="AX311" s="66"/>
      <c r="AY311" s="66"/>
      <c r="AZ311" s="66"/>
      <c r="BA311" s="66"/>
      <c r="BB311" s="66"/>
      <c r="BC311"/>
      <c r="BD311"/>
      <c r="BE311"/>
      <c r="BF311" s="66"/>
      <c r="BG311" s="66"/>
      <c r="BH311" s="24"/>
      <c r="BL311" s="14"/>
      <c r="BM311" s="14"/>
      <c r="BO311" s="24"/>
      <c r="CE311" s="24"/>
      <c r="CT311" s="14"/>
    </row>
    <row r="312" spans="1:98">
      <c r="A312" s="24"/>
      <c r="B312" s="24"/>
      <c r="H312" s="14"/>
      <c r="P312" s="28"/>
      <c r="Q312"/>
      <c r="R312"/>
      <c r="S312"/>
      <c r="T312"/>
      <c r="U312"/>
      <c r="V312" s="14"/>
      <c r="W312" s="24"/>
      <c r="X312"/>
      <c r="Y312"/>
      <c r="Z312"/>
      <c r="AA312"/>
      <c r="AB312"/>
      <c r="AC312" s="14"/>
      <c r="AD312"/>
      <c r="AE312"/>
      <c r="AF312"/>
      <c r="AG312"/>
      <c r="AH312"/>
      <c r="AI312"/>
      <c r="AJ312"/>
      <c r="AK312" s="28"/>
      <c r="AL312"/>
      <c r="AM312"/>
      <c r="AN312"/>
      <c r="AO312"/>
      <c r="AP312"/>
      <c r="AQ312"/>
      <c r="AR312" s="71"/>
      <c r="AS312" s="66"/>
      <c r="AV312" s="66"/>
      <c r="AW312" s="66"/>
      <c r="AX312" s="66"/>
      <c r="AY312" s="66"/>
      <c r="AZ312" s="66"/>
      <c r="BA312" s="66"/>
      <c r="BB312" s="66"/>
      <c r="BC312"/>
      <c r="BD312"/>
      <c r="BE312"/>
      <c r="BF312" s="66"/>
      <c r="BG312" s="66"/>
      <c r="BH312" s="24"/>
      <c r="BL312" s="14"/>
      <c r="BM312" s="14"/>
      <c r="BO312" s="24"/>
      <c r="CE312" s="24"/>
      <c r="CT312" s="14"/>
    </row>
    <row r="313" spans="1:98">
      <c r="A313" s="24"/>
      <c r="B313" s="24"/>
      <c r="H313" s="14"/>
      <c r="P313" s="28"/>
      <c r="Q313"/>
      <c r="R313"/>
      <c r="S313"/>
      <c r="T313"/>
      <c r="U313"/>
      <c r="V313" s="14"/>
      <c r="W313" s="24"/>
      <c r="X313"/>
      <c r="Y313"/>
      <c r="Z313"/>
      <c r="AA313"/>
      <c r="AB313"/>
      <c r="AC313" s="14"/>
      <c r="AD313"/>
      <c r="AE313"/>
      <c r="AF313"/>
      <c r="AG313"/>
      <c r="AH313"/>
      <c r="AI313"/>
      <c r="AJ313"/>
      <c r="AK313" s="28"/>
      <c r="AL313"/>
      <c r="AM313"/>
      <c r="AN313"/>
      <c r="AO313"/>
      <c r="AP313"/>
      <c r="AQ313"/>
      <c r="AR313" s="71"/>
      <c r="AS313" s="66"/>
      <c r="AT313" s="70"/>
      <c r="AV313" s="66"/>
      <c r="AW313" s="66"/>
      <c r="AX313" s="66"/>
      <c r="AY313" s="66"/>
      <c r="AZ313" s="66"/>
      <c r="BA313" s="66"/>
      <c r="BB313" s="66"/>
      <c r="BC313" s="66"/>
      <c r="BD313"/>
      <c r="BE313"/>
      <c r="BF313" s="66"/>
      <c r="BG313" s="66"/>
      <c r="BH313" s="24"/>
      <c r="BL313" s="14"/>
      <c r="BM313" s="14"/>
      <c r="BO313" s="24"/>
      <c r="CE313" s="24"/>
      <c r="CT313" s="14"/>
    </row>
    <row r="314" spans="1:98">
      <c r="A314" s="24"/>
      <c r="B314" s="24"/>
      <c r="H314" s="14"/>
      <c r="P314" s="28"/>
      <c r="Q314"/>
      <c r="R314"/>
      <c r="S314"/>
      <c r="T314"/>
      <c r="U314"/>
      <c r="V314" s="14"/>
      <c r="W314" s="24"/>
      <c r="X314"/>
      <c r="Y314"/>
      <c r="Z314"/>
      <c r="AA314"/>
      <c r="AB314"/>
      <c r="AC314" s="14"/>
      <c r="AD314"/>
      <c r="AE314"/>
      <c r="AF314"/>
      <c r="AG314"/>
      <c r="AH314"/>
      <c r="AI314"/>
      <c r="AJ314"/>
      <c r="AK314" s="28"/>
      <c r="AL314"/>
      <c r="AM314"/>
      <c r="AN314"/>
      <c r="AO314"/>
      <c r="AP314"/>
      <c r="AQ314"/>
      <c r="AR314" s="71"/>
      <c r="AU314" s="8"/>
      <c r="AZ314" s="66"/>
      <c r="BA314" s="66"/>
      <c r="BB314" s="66"/>
      <c r="BC314" s="21"/>
      <c r="BD314"/>
      <c r="BE314"/>
      <c r="BF314" s="66"/>
      <c r="BG314" s="66"/>
      <c r="BH314" s="24"/>
      <c r="BL314" s="14"/>
      <c r="BM314" s="14"/>
      <c r="BO314" s="24"/>
      <c r="CE314" s="24"/>
      <c r="CT314" s="14"/>
    </row>
    <row r="315" spans="1:98">
      <c r="A315" s="24"/>
      <c r="B315" s="28"/>
      <c r="C315"/>
      <c r="D315"/>
      <c r="E315"/>
      <c r="F315"/>
      <c r="G315"/>
      <c r="H315" s="19"/>
      <c r="P315" s="24"/>
      <c r="W315" s="24"/>
      <c r="AC315" s="14"/>
      <c r="AK315" s="71"/>
      <c r="AL315" s="66"/>
      <c r="AM315" s="66"/>
      <c r="AN315" s="66"/>
      <c r="AO315" s="66"/>
      <c r="AP315" s="66"/>
      <c r="AQ315" s="66"/>
      <c r="AR315" s="71"/>
      <c r="AU315" s="8"/>
      <c r="AZ315" s="66"/>
      <c r="BA315" s="66"/>
      <c r="BB315" s="66"/>
      <c r="BC315" s="11"/>
      <c r="BD315" s="66"/>
      <c r="BE315" s="66"/>
      <c r="BF315" s="66"/>
      <c r="BG315" s="66"/>
      <c r="BH315" s="24"/>
      <c r="BL315" s="14"/>
      <c r="BM315" s="14"/>
      <c r="BO315" s="24"/>
      <c r="CE315" s="24"/>
      <c r="CT315" s="14"/>
    </row>
    <row r="316" spans="1:98">
      <c r="A316" s="24"/>
      <c r="B316" s="28"/>
      <c r="C316"/>
      <c r="D316"/>
      <c r="E316"/>
      <c r="F316"/>
      <c r="G316"/>
      <c r="H316" s="19"/>
      <c r="P316" s="24"/>
      <c r="W316" s="24"/>
      <c r="AC316" s="14"/>
      <c r="AK316" s="71"/>
      <c r="AL316" s="66"/>
      <c r="AM316" s="66"/>
      <c r="AN316" s="66"/>
      <c r="AO316" s="66"/>
      <c r="AP316" s="66"/>
      <c r="AQ316" s="66"/>
      <c r="AR316" s="71"/>
      <c r="AU316" s="8"/>
      <c r="AZ316"/>
      <c r="BA316"/>
      <c r="BB316"/>
      <c r="BC316" s="11"/>
      <c r="BD316" s="66"/>
      <c r="BE316" s="66"/>
      <c r="BF316" s="66"/>
      <c r="BG316" s="66"/>
      <c r="BH316" s="24"/>
      <c r="BL316" s="14"/>
      <c r="BM316" s="14"/>
      <c r="BO316" s="24"/>
      <c r="CE316" s="24"/>
      <c r="CT316" s="14"/>
    </row>
    <row r="317" spans="1:98">
      <c r="A317" s="24"/>
      <c r="B317" s="29"/>
      <c r="C317" s="11"/>
      <c r="D317" s="11"/>
      <c r="E317" s="11"/>
      <c r="F317" s="11"/>
      <c r="G317" s="11"/>
      <c r="H317" s="13"/>
      <c r="P317" s="24"/>
      <c r="W317" s="24"/>
      <c r="AC317" s="14"/>
      <c r="AK317" s="71"/>
      <c r="AL317" s="66"/>
      <c r="AM317" s="66"/>
      <c r="AN317" s="66"/>
      <c r="AO317" s="66"/>
      <c r="AP317" s="66"/>
      <c r="AQ317" s="66"/>
      <c r="AR317" s="71"/>
      <c r="AU317" s="8"/>
      <c r="AZ317"/>
      <c r="BA317"/>
      <c r="BB317"/>
      <c r="BC317" s="11"/>
      <c r="BD317" s="66"/>
      <c r="BE317" s="66"/>
      <c r="BF317" s="66"/>
      <c r="BG317" s="66"/>
      <c r="BH317" s="24"/>
      <c r="BL317" s="14"/>
      <c r="BM317" s="14"/>
      <c r="BO317" s="24"/>
      <c r="CE317" s="24"/>
      <c r="CT317" s="14"/>
    </row>
    <row r="318" spans="1:98">
      <c r="A318" s="24"/>
      <c r="B318" s="24"/>
      <c r="H318" s="14"/>
      <c r="P318" s="24"/>
      <c r="W318" s="24"/>
      <c r="AC318" s="14"/>
      <c r="AK318" s="71"/>
      <c r="AL318" s="66"/>
      <c r="AM318" s="66"/>
      <c r="AN318" s="66"/>
      <c r="AO318" s="66"/>
      <c r="AP318" s="66"/>
      <c r="AQ318" s="66"/>
      <c r="AR318" s="71"/>
      <c r="AS318" s="16" t="s">
        <v>303</v>
      </c>
      <c r="AU318" s="8"/>
      <c r="AY318" s="66"/>
      <c r="AZ318"/>
      <c r="BA318"/>
      <c r="BB318"/>
      <c r="BD318" s="66"/>
      <c r="BE318" s="66"/>
      <c r="BF318" s="66"/>
      <c r="BG318" s="66"/>
      <c r="BH318" s="24"/>
      <c r="BL318" s="14"/>
      <c r="BM318" s="14"/>
      <c r="BO318" s="24"/>
      <c r="CE318" s="24"/>
      <c r="CT318" s="14"/>
    </row>
    <row r="319" spans="1:98">
      <c r="A319" s="24"/>
      <c r="B319" s="24"/>
      <c r="H319" s="14"/>
      <c r="P319" s="24"/>
      <c r="W319" s="24"/>
      <c r="AC319" s="14"/>
      <c r="AK319" s="71"/>
      <c r="AL319" s="66"/>
      <c r="AM319" s="66"/>
      <c r="AN319" s="66"/>
      <c r="AO319" s="66"/>
      <c r="AP319" s="66"/>
      <c r="AQ319" s="66"/>
      <c r="AR319" s="71"/>
      <c r="AT319" s="8" t="s">
        <v>304</v>
      </c>
      <c r="AU319" s="8"/>
      <c r="AY319" s="66"/>
      <c r="AZ319" s="66"/>
      <c r="BA319" s="66"/>
      <c r="BB319" s="66"/>
      <c r="BC319" s="66"/>
      <c r="BD319" s="66"/>
      <c r="BE319" s="66"/>
      <c r="BF319" s="66"/>
      <c r="BG319" s="66"/>
      <c r="BH319" s="24"/>
      <c r="BL319" s="14"/>
      <c r="BM319" s="14"/>
      <c r="BO319" s="24"/>
      <c r="CE319" s="24"/>
      <c r="CT319" s="14"/>
    </row>
    <row r="320" spans="1:98">
      <c r="A320" s="24"/>
      <c r="B320" s="24"/>
      <c r="H320" s="14"/>
      <c r="P320" s="24"/>
      <c r="W320" s="24"/>
      <c r="AC320" s="14"/>
      <c r="AK320" s="71"/>
      <c r="AL320" s="66"/>
      <c r="AM320" s="66"/>
      <c r="AN320" s="66"/>
      <c r="AO320" s="66"/>
      <c r="AP320" s="66"/>
      <c r="AQ320" s="66"/>
      <c r="AR320" s="71"/>
      <c r="AT320" s="8" t="s">
        <v>191</v>
      </c>
      <c r="AU320" s="8"/>
      <c r="AY320"/>
      <c r="AZ320" s="66"/>
      <c r="BA320" s="66"/>
      <c r="BB320" s="66"/>
      <c r="BC320" s="66"/>
      <c r="BD320" s="66"/>
      <c r="BE320" s="66"/>
      <c r="BF320" s="66"/>
      <c r="BG320" s="66"/>
      <c r="BH320" s="24"/>
      <c r="BL320" s="14"/>
      <c r="BM320" s="14"/>
      <c r="BO320" s="24"/>
      <c r="CE320" s="24"/>
      <c r="CT320" s="14"/>
    </row>
    <row r="321" spans="1:98">
      <c r="A321" s="24"/>
      <c r="B321" s="24"/>
      <c r="H321" s="14"/>
      <c r="P321" s="24"/>
      <c r="W321" s="24"/>
      <c r="AC321" s="14"/>
      <c r="AK321" s="71"/>
      <c r="AL321" s="66"/>
      <c r="AM321" s="66"/>
      <c r="AN321" s="66"/>
      <c r="AO321" s="66"/>
      <c r="AP321" s="66"/>
      <c r="AQ321" s="66"/>
      <c r="AR321" s="71"/>
      <c r="AS321" s="66"/>
      <c r="AT321" s="66" t="s">
        <v>305</v>
      </c>
      <c r="AV321" s="66"/>
      <c r="AW321"/>
      <c r="AX321"/>
      <c r="AY321"/>
      <c r="AZ321" s="66"/>
      <c r="BA321" s="66"/>
      <c r="BB321" s="66"/>
      <c r="BC321" s="66"/>
      <c r="BD321" s="66"/>
      <c r="BE321" s="66"/>
      <c r="BF321" s="66"/>
      <c r="BG321" s="66"/>
      <c r="BH321" s="24"/>
      <c r="BL321" s="14"/>
      <c r="BM321" s="14"/>
      <c r="BO321" s="24"/>
      <c r="CE321" s="24"/>
      <c r="CT321" s="14"/>
    </row>
    <row r="322" spans="1:98">
      <c r="A322" s="24"/>
      <c r="B322" s="24"/>
      <c r="H322" s="14"/>
      <c r="P322" s="24"/>
      <c r="W322" s="24"/>
      <c r="AC322" s="14"/>
      <c r="AK322" s="71"/>
      <c r="AL322" s="66"/>
      <c r="AM322" s="66"/>
      <c r="AN322" s="66"/>
      <c r="AO322" s="66"/>
      <c r="AP322" s="66"/>
      <c r="AQ322" s="66"/>
      <c r="AR322" s="71"/>
      <c r="AS322" s="66"/>
      <c r="AT322" s="66"/>
      <c r="AV322" s="66"/>
      <c r="AW322" s="66"/>
      <c r="AX322" s="66"/>
      <c r="AY322" s="66"/>
      <c r="AZ322" s="66"/>
      <c r="BA322" s="66"/>
      <c r="BB322" s="66"/>
      <c r="BC322" s="66"/>
      <c r="BD322" s="66"/>
      <c r="BE322" s="66"/>
      <c r="BF322" s="66"/>
      <c r="BG322" s="66"/>
      <c r="BH322" s="24"/>
      <c r="BL322" s="14"/>
      <c r="BM322" s="14"/>
      <c r="BO322" s="24"/>
      <c r="CE322" s="24"/>
      <c r="CT322" s="14"/>
    </row>
    <row r="323" spans="1:98">
      <c r="A323" s="24"/>
      <c r="B323" s="24"/>
      <c r="H323" s="14"/>
      <c r="P323" s="24"/>
      <c r="W323" s="24"/>
      <c r="AC323" s="14"/>
      <c r="AK323" s="71"/>
      <c r="AL323" s="66"/>
      <c r="AM323" s="66"/>
      <c r="AN323" s="66"/>
      <c r="AO323" s="66"/>
      <c r="AP323" s="66"/>
      <c r="AQ323" s="66"/>
      <c r="AR323" s="71"/>
      <c r="BA323"/>
      <c r="BB323"/>
      <c r="BC323" s="66"/>
      <c r="BD323" s="66"/>
      <c r="BE323" s="66"/>
      <c r="BF323" s="66"/>
      <c r="BG323" s="66"/>
      <c r="BH323" s="24"/>
      <c r="BL323" s="14"/>
      <c r="BM323" s="14"/>
      <c r="BO323" s="24"/>
      <c r="CE323" s="24"/>
      <c r="CT323" s="14"/>
    </row>
    <row r="324" spans="1:98">
      <c r="A324" s="24"/>
      <c r="B324" s="24"/>
      <c r="H324" s="14"/>
      <c r="P324" s="24"/>
      <c r="W324" s="24"/>
      <c r="AC324" s="14"/>
      <c r="AK324" s="71"/>
      <c r="AL324" s="66"/>
      <c r="AM324" s="66"/>
      <c r="AN324" s="66"/>
      <c r="AO324" s="66"/>
      <c r="AP324" s="66"/>
      <c r="AQ324" s="66"/>
      <c r="AR324" s="71"/>
      <c r="BA324"/>
      <c r="BB324"/>
      <c r="BC324"/>
      <c r="BD324" s="66"/>
      <c r="BE324" s="66"/>
      <c r="BF324" s="66"/>
      <c r="BG324" s="66"/>
      <c r="BH324" s="24"/>
      <c r="BL324" s="14"/>
      <c r="BM324" s="14"/>
      <c r="BO324" s="24"/>
      <c r="CE324" s="24"/>
      <c r="CT324" s="14"/>
    </row>
    <row r="325" spans="1:98">
      <c r="A325" s="24"/>
      <c r="B325" s="24"/>
      <c r="H325" s="14"/>
      <c r="P325" s="24"/>
      <c r="W325" s="24"/>
      <c r="AC325" s="14"/>
      <c r="AK325" s="71"/>
      <c r="AL325" s="66"/>
      <c r="AM325" s="66"/>
      <c r="AN325" s="66"/>
      <c r="AO325" s="66"/>
      <c r="AP325" s="66"/>
      <c r="AQ325" s="66"/>
      <c r="AR325" s="71"/>
      <c r="AS325" s="76" t="s">
        <v>306</v>
      </c>
      <c r="AT325" s="66"/>
      <c r="AV325"/>
      <c r="AW325"/>
      <c r="AX325"/>
      <c r="AY325"/>
      <c r="AZ325"/>
      <c r="BA325"/>
      <c r="BB325"/>
      <c r="BC325" s="66"/>
      <c r="BD325" s="66"/>
      <c r="BE325" s="66"/>
      <c r="BF325" s="66"/>
      <c r="BG325" s="66"/>
      <c r="BH325" s="24"/>
      <c r="BL325" s="14"/>
      <c r="BM325" s="14"/>
      <c r="BO325" s="24"/>
      <c r="CE325" s="24"/>
      <c r="CT325" s="14"/>
    </row>
    <row r="326" spans="1:98">
      <c r="A326" s="24"/>
      <c r="B326" s="24"/>
      <c r="H326" s="14"/>
      <c r="P326" s="24"/>
      <c r="W326" s="24"/>
      <c r="AC326" s="14"/>
      <c r="AK326" s="71"/>
      <c r="AL326" s="66"/>
      <c r="AM326" s="66"/>
      <c r="AN326" s="66"/>
      <c r="AO326" s="66"/>
      <c r="AP326" s="66"/>
      <c r="AQ326" s="66"/>
      <c r="AR326" s="71"/>
      <c r="AS326" s="66"/>
      <c r="AT326" s="8" t="s">
        <v>194</v>
      </c>
      <c r="AU326" s="8"/>
      <c r="AZ326"/>
      <c r="BA326" s="66"/>
      <c r="BB326" s="66"/>
      <c r="BC326"/>
      <c r="BD326" s="66"/>
      <c r="BE326" s="66"/>
      <c r="BF326" s="66"/>
      <c r="BG326" s="66"/>
      <c r="BH326" s="24"/>
      <c r="BL326" s="14"/>
      <c r="BM326" s="14"/>
      <c r="BO326" s="24"/>
      <c r="CE326" s="24"/>
      <c r="CT326" s="14"/>
    </row>
    <row r="327" spans="1:98">
      <c r="A327" s="24"/>
      <c r="B327" s="24"/>
      <c r="H327" s="14"/>
      <c r="P327" s="24"/>
      <c r="W327" s="24"/>
      <c r="AC327" s="14"/>
      <c r="AK327" s="71"/>
      <c r="AL327" s="66"/>
      <c r="AM327" s="66"/>
      <c r="AN327" s="66"/>
      <c r="AO327" s="66"/>
      <c r="AP327" s="66"/>
      <c r="AQ327" s="66"/>
      <c r="AR327" s="71"/>
      <c r="AS327" s="66"/>
      <c r="AT327" s="8" t="s">
        <v>195</v>
      </c>
      <c r="AU327" s="8"/>
      <c r="AZ327"/>
      <c r="BA327" s="66"/>
      <c r="BB327" s="66"/>
      <c r="BC327"/>
      <c r="BD327" s="66"/>
      <c r="BE327" s="66"/>
      <c r="BF327" s="66"/>
      <c r="BG327" s="66"/>
      <c r="BH327" s="24"/>
      <c r="BL327" s="14"/>
      <c r="BM327" s="14"/>
      <c r="BO327" s="24"/>
      <c r="CE327" s="24"/>
      <c r="CT327" s="14"/>
    </row>
    <row r="328" spans="1:98">
      <c r="A328" s="24"/>
      <c r="B328" s="24"/>
      <c r="H328" s="14"/>
      <c r="P328" s="24"/>
      <c r="W328" s="24"/>
      <c r="AC328" s="14"/>
      <c r="AK328" s="71"/>
      <c r="AL328" s="66"/>
      <c r="AM328" s="66"/>
      <c r="AN328" s="66"/>
      <c r="AO328" s="66"/>
      <c r="AP328" s="66"/>
      <c r="AQ328" s="66"/>
      <c r="AR328" s="71"/>
      <c r="AS328" s="66"/>
      <c r="AT328" s="66" t="s">
        <v>307</v>
      </c>
      <c r="AV328"/>
      <c r="AW328"/>
      <c r="AX328"/>
      <c r="AY328"/>
      <c r="AZ328" s="66"/>
      <c r="BC328"/>
      <c r="BD328" s="66"/>
      <c r="BE328" s="66"/>
      <c r="BF328" s="66"/>
      <c r="BG328" s="66"/>
      <c r="BH328" s="24"/>
      <c r="BL328" s="14"/>
      <c r="BM328" s="14"/>
      <c r="BO328" s="24"/>
      <c r="CE328" s="24"/>
      <c r="CT328" s="14"/>
    </row>
    <row r="329" spans="1:98">
      <c r="A329" s="24"/>
      <c r="B329" s="24"/>
      <c r="H329" s="14"/>
      <c r="P329" s="24"/>
      <c r="W329" s="24"/>
      <c r="AC329" s="14"/>
      <c r="AK329" s="71"/>
      <c r="AL329" s="66"/>
      <c r="AM329" s="66"/>
      <c r="AN329" s="66"/>
      <c r="AO329" s="66"/>
      <c r="AP329" s="66"/>
      <c r="AQ329" s="66"/>
      <c r="AR329" s="71"/>
      <c r="AS329" s="66"/>
      <c r="AT329" s="66" t="s">
        <v>308</v>
      </c>
      <c r="AV329"/>
      <c r="AW329"/>
      <c r="AX329"/>
      <c r="AY329"/>
      <c r="AZ329" s="66"/>
      <c r="BC329"/>
      <c r="BD329" s="66"/>
      <c r="BE329" s="66"/>
      <c r="BF329" s="66"/>
      <c r="BG329" s="66"/>
      <c r="BH329" s="24"/>
      <c r="BL329" s="14"/>
      <c r="BM329" s="14"/>
      <c r="BO329" s="24"/>
      <c r="CE329" s="24"/>
      <c r="CT329" s="14"/>
    </row>
    <row r="330" spans="1:98">
      <c r="A330" s="24"/>
      <c r="B330" s="24"/>
      <c r="H330" s="14"/>
      <c r="P330" s="24"/>
      <c r="W330" s="24"/>
      <c r="AC330" s="14"/>
      <c r="AK330" s="71"/>
      <c r="AL330" s="66"/>
      <c r="AM330" s="66"/>
      <c r="AN330" s="66"/>
      <c r="AO330" s="66"/>
      <c r="AP330" s="66"/>
      <c r="AQ330" s="66"/>
      <c r="AR330" s="71"/>
      <c r="AT330" s="66"/>
      <c r="AV330" s="66"/>
      <c r="AW330" s="66"/>
      <c r="AX330" s="66"/>
      <c r="AY330" s="66"/>
      <c r="BC330"/>
      <c r="BD330" s="66"/>
      <c r="BE330" s="66"/>
      <c r="BF330" s="66"/>
      <c r="BG330" s="66"/>
      <c r="BH330" s="24"/>
      <c r="BL330" s="14"/>
      <c r="BM330" s="14"/>
      <c r="BO330" s="24"/>
      <c r="CE330" s="24"/>
      <c r="CT330" s="14"/>
    </row>
    <row r="331" spans="1:98">
      <c r="A331" s="24"/>
      <c r="B331" s="24"/>
      <c r="H331" s="14"/>
      <c r="P331" s="24"/>
      <c r="W331" s="24"/>
      <c r="AC331" s="14"/>
      <c r="AK331" s="71"/>
      <c r="AL331" s="66"/>
      <c r="AM331" s="66"/>
      <c r="AN331" s="66"/>
      <c r="AO331" s="66"/>
      <c r="AP331" s="66"/>
      <c r="AQ331" s="66"/>
      <c r="AR331" s="71"/>
      <c r="AY331" s="66"/>
      <c r="AZ331" s="66"/>
      <c r="BA331" s="66"/>
      <c r="BB331" s="66"/>
      <c r="BC331" s="66"/>
      <c r="BD331" s="66"/>
      <c r="BE331" s="66"/>
      <c r="BF331" s="66"/>
      <c r="BG331" s="66"/>
      <c r="BH331" s="24"/>
      <c r="BL331" s="14"/>
      <c r="BM331" s="14"/>
      <c r="BO331" s="24"/>
      <c r="CE331" s="24"/>
      <c r="CT331" s="14"/>
    </row>
    <row r="332" spans="1:98">
      <c r="A332" s="24"/>
      <c r="B332" s="24"/>
      <c r="H332" s="14"/>
      <c r="P332" s="24"/>
      <c r="W332" s="24"/>
      <c r="AC332" s="14"/>
      <c r="AK332" s="71"/>
      <c r="AL332" s="66"/>
      <c r="AM332" s="66"/>
      <c r="AN332" s="66"/>
      <c r="AO332" s="66"/>
      <c r="AP332" s="66"/>
      <c r="AQ332" s="66"/>
      <c r="AR332" s="71"/>
      <c r="AY332" s="66"/>
      <c r="AZ332" s="66"/>
      <c r="BA332" s="66"/>
      <c r="BB332" s="66"/>
      <c r="BC332" s="66"/>
      <c r="BD332" s="66"/>
      <c r="BE332" s="66"/>
      <c r="BF332" s="66"/>
      <c r="BG332" s="66"/>
      <c r="BH332" s="24"/>
      <c r="BL332" s="14"/>
      <c r="BM332" s="14"/>
      <c r="BO332" s="24"/>
      <c r="CE332" s="24"/>
      <c r="CT332" s="14"/>
    </row>
    <row r="333" spans="1:98">
      <c r="A333" s="24"/>
      <c r="B333" s="24"/>
      <c r="H333" s="14"/>
      <c r="P333" s="24"/>
      <c r="W333" s="24"/>
      <c r="AC333" s="14"/>
      <c r="AK333" s="71"/>
      <c r="AL333" s="66"/>
      <c r="AM333" s="66"/>
      <c r="AN333" s="66"/>
      <c r="AO333" s="66"/>
      <c r="AP333" s="66"/>
      <c r="AQ333" s="66"/>
      <c r="AR333" s="71"/>
      <c r="AY333" s="66"/>
      <c r="AZ333" s="66"/>
      <c r="BA333" s="66"/>
      <c r="BB333" s="66"/>
      <c r="BC333" s="66"/>
      <c r="BD333" s="66"/>
      <c r="BE333" s="66"/>
      <c r="BF333" s="66"/>
      <c r="BG333" s="66"/>
      <c r="BH333" s="24"/>
      <c r="BL333" s="14"/>
      <c r="BM333" s="14"/>
      <c r="BO333" s="24"/>
      <c r="CE333" s="24"/>
      <c r="CT333" s="14"/>
    </row>
    <row r="334" spans="1:98">
      <c r="A334" s="24"/>
      <c r="B334" s="24"/>
      <c r="H334" s="14"/>
      <c r="P334" s="24"/>
      <c r="W334" s="24"/>
      <c r="AC334" s="14"/>
      <c r="AK334" s="71"/>
      <c r="AL334" s="66"/>
      <c r="AM334" s="66"/>
      <c r="AN334" s="66"/>
      <c r="AO334" s="66"/>
      <c r="AP334" s="66"/>
      <c r="AQ334" s="66"/>
      <c r="AR334" s="71"/>
      <c r="AY334" s="66"/>
      <c r="AZ334" s="66"/>
      <c r="BA334" s="66"/>
      <c r="BB334" s="66"/>
      <c r="BC334" s="66"/>
      <c r="BD334" s="66"/>
      <c r="BE334" s="66"/>
      <c r="BF334" s="66"/>
      <c r="BG334" s="66"/>
      <c r="BH334" s="24"/>
      <c r="BL334" s="14"/>
      <c r="BM334" s="14"/>
      <c r="BO334" s="24"/>
      <c r="CE334" s="24"/>
      <c r="CT334" s="14"/>
    </row>
    <row r="335" spans="1:98">
      <c r="A335" s="24"/>
      <c r="B335" s="24"/>
      <c r="H335" s="14"/>
      <c r="P335" s="24"/>
      <c r="W335" s="24"/>
      <c r="AC335" s="14"/>
      <c r="AK335" s="71"/>
      <c r="AL335" s="66"/>
      <c r="AM335" s="66"/>
      <c r="AN335" s="66"/>
      <c r="AO335" s="66"/>
      <c r="AP335" s="66"/>
      <c r="AQ335" s="66"/>
      <c r="AR335" s="71"/>
      <c r="AS335" s="80" t="s">
        <v>309</v>
      </c>
      <c r="AT335" s="70"/>
      <c r="AU335" s="70"/>
      <c r="AV335" s="70"/>
      <c r="AW335" s="66"/>
      <c r="AX335" s="66"/>
      <c r="AY335" s="66"/>
      <c r="AZ335" s="66"/>
      <c r="BA335" s="66"/>
      <c r="BB335" s="66"/>
      <c r="BC335" s="66"/>
      <c r="BD335" s="66"/>
      <c r="BE335" s="66"/>
      <c r="BF335" s="66"/>
      <c r="BG335" s="66"/>
      <c r="BH335" s="24"/>
      <c r="BL335" s="14"/>
      <c r="BM335" s="14"/>
      <c r="BO335" s="24" t="s">
        <v>310</v>
      </c>
      <c r="CE335" s="24"/>
      <c r="CT335" s="14"/>
    </row>
    <row r="336" spans="1:98">
      <c r="A336" s="24"/>
      <c r="B336" s="24"/>
      <c r="H336" s="14"/>
      <c r="P336" s="24"/>
      <c r="W336" s="24"/>
      <c r="AC336" s="14"/>
      <c r="AK336" s="71"/>
      <c r="AL336" s="66"/>
      <c r="AM336" s="66"/>
      <c r="AN336" s="66"/>
      <c r="AO336" s="66"/>
      <c r="AP336" s="66"/>
      <c r="AQ336" s="66"/>
      <c r="AR336" s="71"/>
      <c r="AS336" s="70"/>
      <c r="AT336" s="66" t="s">
        <v>311</v>
      </c>
      <c r="AU336" s="70"/>
      <c r="AV336" s="70"/>
      <c r="AW336" s="66"/>
      <c r="AX336" s="66"/>
      <c r="AY336" s="66"/>
      <c r="AZ336" s="66"/>
      <c r="BA336" s="66"/>
      <c r="BB336" s="66"/>
      <c r="BC336" s="66"/>
      <c r="BD336" s="66"/>
      <c r="BE336" s="66"/>
      <c r="BF336" s="66"/>
      <c r="BG336" s="66"/>
      <c r="BH336" s="24"/>
      <c r="BL336" s="14"/>
      <c r="BM336" s="14"/>
      <c r="BO336" s="24"/>
      <c r="BP336" s="8" t="s">
        <v>312</v>
      </c>
      <c r="CE336" s="24"/>
      <c r="CT336" s="14"/>
    </row>
    <row r="337" spans="1:98">
      <c r="A337" s="24"/>
      <c r="B337" s="24"/>
      <c r="H337" s="14"/>
      <c r="P337" s="24"/>
      <c r="W337" s="24"/>
      <c r="AC337" s="14"/>
      <c r="AK337" s="71"/>
      <c r="AL337" s="66"/>
      <c r="AM337" s="66"/>
      <c r="AN337" s="66"/>
      <c r="AO337" s="66"/>
      <c r="AP337" s="66"/>
      <c r="AQ337" s="66"/>
      <c r="AR337" s="71"/>
      <c r="AS337" s="70"/>
      <c r="AT337" s="66" t="s">
        <v>313</v>
      </c>
      <c r="AU337" s="70"/>
      <c r="AV337" s="70"/>
      <c r="AW337" s="66"/>
      <c r="AX337" s="66"/>
      <c r="AY337" s="66"/>
      <c r="AZ337" s="66"/>
      <c r="BA337" s="66"/>
      <c r="BB337" s="66"/>
      <c r="BC337" s="66"/>
      <c r="BD337" s="66"/>
      <c r="BE337" s="66"/>
      <c r="BF337" s="66"/>
      <c r="BG337" s="66"/>
      <c r="BH337" s="24"/>
      <c r="BL337" s="14"/>
      <c r="BM337" s="14"/>
      <c r="BO337" s="24"/>
      <c r="BP337" s="96" t="s">
        <v>133</v>
      </c>
      <c r="BQ337" s="96" t="s">
        <v>223</v>
      </c>
      <c r="CE337" s="24"/>
      <c r="CT337" s="14"/>
    </row>
    <row r="338" spans="1:98">
      <c r="A338" s="24"/>
      <c r="B338" s="24"/>
      <c r="H338" s="14"/>
      <c r="P338" s="24"/>
      <c r="W338" s="24"/>
      <c r="AC338" s="14"/>
      <c r="AK338" s="71"/>
      <c r="AL338" s="66"/>
      <c r="AM338" s="66"/>
      <c r="AN338" s="66"/>
      <c r="AO338" s="66"/>
      <c r="AP338" s="66"/>
      <c r="AQ338" s="66"/>
      <c r="AR338" s="71"/>
      <c r="AS338" s="70"/>
      <c r="AT338" s="66" t="s">
        <v>118</v>
      </c>
      <c r="AU338" s="70" t="s">
        <v>314</v>
      </c>
      <c r="AV338" s="70"/>
      <c r="AW338" s="66"/>
      <c r="AX338" s="66"/>
      <c r="AY338" s="66"/>
      <c r="AZ338" s="66"/>
      <c r="BA338" s="66"/>
      <c r="BB338" s="66"/>
      <c r="BC338" s="66"/>
      <c r="BD338" s="66"/>
      <c r="BE338" s="66"/>
      <c r="BF338" s="66"/>
      <c r="BG338" s="66"/>
      <c r="BH338" s="24"/>
      <c r="BL338" s="14"/>
      <c r="BM338" s="14"/>
      <c r="BO338" s="24"/>
      <c r="BQ338" s="96" t="s">
        <v>315</v>
      </c>
      <c r="CE338" s="24"/>
      <c r="CT338" s="14"/>
    </row>
    <row r="339" spans="1:98">
      <c r="A339" s="24"/>
      <c r="B339" s="24"/>
      <c r="H339" s="14"/>
      <c r="P339" s="24"/>
      <c r="W339" s="24"/>
      <c r="AC339" s="14"/>
      <c r="AK339" s="71"/>
      <c r="AL339" s="66"/>
      <c r="AM339" s="66"/>
      <c r="AN339" s="66"/>
      <c r="AO339" s="66"/>
      <c r="AP339" s="66"/>
      <c r="AQ339" s="66"/>
      <c r="AR339" s="71"/>
      <c r="AT339" s="74" t="s">
        <v>118</v>
      </c>
      <c r="AU339" s="45" t="s">
        <v>316</v>
      </c>
      <c r="AV339" s="66"/>
      <c r="AW339" s="66"/>
      <c r="AX339" s="66"/>
      <c r="AY339" s="66"/>
      <c r="BC339"/>
      <c r="BD339" s="66"/>
      <c r="BE339" s="66"/>
      <c r="BF339" s="66"/>
      <c r="BG339" s="66"/>
      <c r="BH339" s="24"/>
      <c r="BL339" s="14"/>
      <c r="BM339" s="14"/>
      <c r="BO339" s="24"/>
      <c r="CE339" s="24" t="s">
        <v>133</v>
      </c>
      <c r="CF339" s="8" t="s">
        <v>317</v>
      </c>
      <c r="CT339" s="14"/>
    </row>
    <row r="340" spans="1:98">
      <c r="A340" s="24"/>
      <c r="B340" s="24"/>
      <c r="H340" s="14"/>
      <c r="P340" s="24"/>
      <c r="W340" s="24"/>
      <c r="AC340" s="14"/>
      <c r="AK340" s="71"/>
      <c r="AL340" s="66"/>
      <c r="AM340" s="66"/>
      <c r="AN340" s="66"/>
      <c r="AO340" s="66"/>
      <c r="AP340" s="66"/>
      <c r="AQ340" s="66"/>
      <c r="AR340" s="71"/>
      <c r="AX340" s="66"/>
      <c r="AY340" s="66"/>
      <c r="AZ340" s="66"/>
      <c r="BA340" s="66"/>
      <c r="BB340" s="66"/>
      <c r="BD340" s="66"/>
      <c r="BE340" s="66"/>
      <c r="BF340" s="66"/>
      <c r="BG340" s="66"/>
      <c r="BH340" s="24"/>
      <c r="BL340" s="14"/>
      <c r="BM340" s="14"/>
      <c r="BO340" s="24"/>
      <c r="CE340" s="24"/>
      <c r="CF340" s="8" t="s">
        <v>318</v>
      </c>
      <c r="CT340" s="14"/>
    </row>
    <row r="341" spans="1:98">
      <c r="A341" s="24"/>
      <c r="B341" s="24"/>
      <c r="H341" s="14"/>
      <c r="P341" s="28"/>
      <c r="Q341"/>
      <c r="R341"/>
      <c r="S341"/>
      <c r="T341"/>
      <c r="U341"/>
      <c r="V341"/>
      <c r="W341" s="24"/>
      <c r="X341"/>
      <c r="Y341"/>
      <c r="Z341"/>
      <c r="AA341"/>
      <c r="AB341"/>
      <c r="AC341" s="14"/>
      <c r="AD341"/>
      <c r="AE341"/>
      <c r="AF341"/>
      <c r="AG341"/>
      <c r="AH341"/>
      <c r="AI341"/>
      <c r="AJ341"/>
      <c r="AK341" s="28"/>
      <c r="AL341"/>
      <c r="AM341"/>
      <c r="AN341"/>
      <c r="AO341"/>
      <c r="AP341"/>
      <c r="AQ341"/>
      <c r="AR341" s="71"/>
      <c r="AS341" s="80" t="s">
        <v>319</v>
      </c>
      <c r="AT341" s="70"/>
      <c r="AU341" s="70"/>
      <c r="AV341" s="66"/>
      <c r="AW341" s="66"/>
      <c r="AX341" s="66"/>
      <c r="AY341" s="66"/>
      <c r="AZ341" s="66"/>
      <c r="BA341" s="66"/>
      <c r="BB341" s="66"/>
      <c r="BD341"/>
      <c r="BE341"/>
      <c r="BF341" s="66"/>
      <c r="BG341" s="66"/>
      <c r="BH341" s="24"/>
      <c r="BL341" s="14"/>
      <c r="BM341" s="14"/>
      <c r="BO341" s="24"/>
      <c r="CE341" s="24"/>
      <c r="CF341" s="97" t="s">
        <v>133</v>
      </c>
      <c r="CG341" s="97" t="s">
        <v>320</v>
      </c>
      <c r="CH341" s="97"/>
      <c r="CI341" s="97"/>
      <c r="CJ341" s="97"/>
      <c r="CK341" s="97"/>
      <c r="CL341" s="97"/>
      <c r="CM341" s="97"/>
      <c r="CN341" s="97"/>
      <c r="CO341" s="97"/>
      <c r="CP341" s="97"/>
      <c r="CT341" s="14"/>
    </row>
    <row r="342" spans="1:98">
      <c r="A342" s="24"/>
      <c r="B342" s="24"/>
      <c r="H342" s="14"/>
      <c r="P342" s="24"/>
      <c r="W342" s="24"/>
      <c r="AC342" s="14"/>
      <c r="AK342" s="71"/>
      <c r="AL342" s="66"/>
      <c r="AM342" s="66"/>
      <c r="AN342" s="66"/>
      <c r="AO342" s="66"/>
      <c r="AP342" s="66"/>
      <c r="AQ342" s="66"/>
      <c r="AR342" s="71"/>
      <c r="AS342" s="70"/>
      <c r="AT342" s="8" t="s">
        <v>186</v>
      </c>
      <c r="AU342" s="8"/>
      <c r="AV342" s="66"/>
      <c r="AW342" s="66"/>
      <c r="AX342" s="66"/>
      <c r="AY342" s="66"/>
      <c r="AZ342" s="66"/>
      <c r="BA342" s="66"/>
      <c r="BB342" s="66"/>
      <c r="BD342" s="66"/>
      <c r="BE342" s="66"/>
      <c r="BF342" s="66"/>
      <c r="BG342" s="66"/>
      <c r="BH342" s="24"/>
      <c r="BL342" s="14"/>
      <c r="BM342" s="14"/>
      <c r="BO342" s="24"/>
      <c r="CE342" s="24"/>
      <c r="CF342" s="97"/>
      <c r="CG342" s="97" t="s">
        <v>321</v>
      </c>
      <c r="CH342" s="97"/>
      <c r="CI342" s="97"/>
      <c r="CJ342" s="97"/>
      <c r="CK342" s="97"/>
      <c r="CL342" s="97"/>
      <c r="CM342" s="97"/>
      <c r="CN342" s="97"/>
      <c r="CO342" s="97"/>
      <c r="CP342" s="97"/>
      <c r="CT342" s="14"/>
    </row>
    <row r="343" spans="1:98">
      <c r="A343" s="24"/>
      <c r="B343" s="24"/>
      <c r="H343" s="14"/>
      <c r="P343" s="28"/>
      <c r="Q343"/>
      <c r="R343"/>
      <c r="S343"/>
      <c r="T343"/>
      <c r="U343"/>
      <c r="V343" s="14"/>
      <c r="W343" s="24"/>
      <c r="X343"/>
      <c r="Y343"/>
      <c r="Z343"/>
      <c r="AA343"/>
      <c r="AB343"/>
      <c r="AC343" s="14"/>
      <c r="AD343"/>
      <c r="AE343"/>
      <c r="AF343"/>
      <c r="AG343"/>
      <c r="AH343"/>
      <c r="AI343"/>
      <c r="AJ343"/>
      <c r="AK343" s="28"/>
      <c r="AL343"/>
      <c r="AM343"/>
      <c r="AN343"/>
      <c r="AO343"/>
      <c r="AP343"/>
      <c r="AQ343"/>
      <c r="AR343" s="71"/>
      <c r="AS343" s="66"/>
      <c r="AT343" s="70"/>
      <c r="AV343" s="66"/>
      <c r="AW343" s="66"/>
      <c r="AX343" s="66"/>
      <c r="AY343" s="66"/>
      <c r="AZ343" s="66"/>
      <c r="BA343" s="66"/>
      <c r="BB343" s="66"/>
      <c r="BD343"/>
      <c r="BE343"/>
      <c r="BF343" s="66"/>
      <c r="BG343" s="66"/>
      <c r="BH343" s="24"/>
      <c r="BL343" s="14"/>
      <c r="BM343" s="14"/>
      <c r="BO343" s="24"/>
      <c r="CE343" s="24"/>
      <c r="CF343" s="97"/>
      <c r="CG343" s="101" t="s">
        <v>292</v>
      </c>
      <c r="CH343" s="97"/>
      <c r="CI343" s="97"/>
      <c r="CJ343" s="97"/>
      <c r="CK343" s="97"/>
      <c r="CL343" s="97"/>
      <c r="CM343" s="97"/>
      <c r="CN343" s="97"/>
      <c r="CO343" s="97"/>
      <c r="CP343" s="97"/>
      <c r="CT343" s="14"/>
    </row>
    <row r="344" spans="1:98">
      <c r="A344" s="24"/>
      <c r="B344" s="24"/>
      <c r="H344" s="14"/>
      <c r="P344" s="28"/>
      <c r="Q344"/>
      <c r="R344"/>
      <c r="S344"/>
      <c r="T344"/>
      <c r="U344"/>
      <c r="V344" s="14"/>
      <c r="W344" s="24"/>
      <c r="X344"/>
      <c r="Y344"/>
      <c r="Z344"/>
      <c r="AA344"/>
      <c r="AB344"/>
      <c r="AC344" s="14"/>
      <c r="AD344"/>
      <c r="AE344"/>
      <c r="AF344"/>
      <c r="AG344"/>
      <c r="AH344"/>
      <c r="AI344"/>
      <c r="AJ344"/>
      <c r="AK344" s="28"/>
      <c r="AL344"/>
      <c r="AM344"/>
      <c r="AN344"/>
      <c r="AO344"/>
      <c r="AP344"/>
      <c r="AQ344"/>
      <c r="AR344" s="71"/>
      <c r="AS344" s="66"/>
      <c r="AT344" s="70"/>
      <c r="AV344" s="66"/>
      <c r="AW344" s="66"/>
      <c r="AX344" s="66"/>
      <c r="AY344" s="66"/>
      <c r="AZ344" s="66"/>
      <c r="BA344" s="66"/>
      <c r="BB344" s="66"/>
      <c r="BD344"/>
      <c r="BE344"/>
      <c r="BF344" s="66"/>
      <c r="BG344" s="66"/>
      <c r="BH344" s="24"/>
      <c r="BL344" s="14"/>
      <c r="BM344" s="14"/>
      <c r="BO344" s="24"/>
      <c r="CE344" s="24"/>
      <c r="CF344" s="97"/>
      <c r="CG344" s="97"/>
      <c r="CH344" s="97" t="s">
        <v>322</v>
      </c>
      <c r="CI344" s="97"/>
      <c r="CJ344" s="97"/>
      <c r="CK344" s="97"/>
      <c r="CL344" s="97"/>
      <c r="CM344" s="97"/>
      <c r="CN344" s="97"/>
      <c r="CO344" s="97"/>
      <c r="CP344" s="97"/>
      <c r="CT344" s="14"/>
    </row>
    <row r="345" spans="1:98">
      <c r="A345" s="24"/>
      <c r="B345" s="24"/>
      <c r="H345" s="14"/>
      <c r="P345" s="28"/>
      <c r="Q345"/>
      <c r="R345"/>
      <c r="S345"/>
      <c r="T345"/>
      <c r="U345"/>
      <c r="V345" s="14"/>
      <c r="W345" s="24"/>
      <c r="X345"/>
      <c r="Y345"/>
      <c r="Z345"/>
      <c r="AA345"/>
      <c r="AB345"/>
      <c r="AC345" s="14"/>
      <c r="AD345"/>
      <c r="AE345"/>
      <c r="AF345"/>
      <c r="AG345"/>
      <c r="AH345"/>
      <c r="AI345"/>
      <c r="AJ345"/>
      <c r="AK345" s="28"/>
      <c r="AL345"/>
      <c r="AM345"/>
      <c r="AN345"/>
      <c r="AO345"/>
      <c r="AP345"/>
      <c r="AQ345"/>
      <c r="AR345" s="71"/>
      <c r="AS345" s="66"/>
      <c r="AT345" s="78"/>
      <c r="AV345" s="66"/>
      <c r="AW345" s="66"/>
      <c r="AX345" s="66"/>
      <c r="AY345" s="66"/>
      <c r="AZ345" s="66"/>
      <c r="BA345" s="66"/>
      <c r="BB345" s="66"/>
      <c r="BD345"/>
      <c r="BE345"/>
      <c r="BF345" s="66"/>
      <c r="BG345" s="66"/>
      <c r="BH345" s="24"/>
      <c r="BL345" s="14"/>
      <c r="BM345" s="14"/>
      <c r="BO345" s="24"/>
      <c r="CE345" s="24"/>
      <c r="CF345" s="97"/>
      <c r="CG345" s="97"/>
      <c r="CH345" s="97" t="s">
        <v>323</v>
      </c>
      <c r="CI345" s="97"/>
      <c r="CJ345" s="97"/>
      <c r="CK345" s="97"/>
      <c r="CL345" s="97"/>
      <c r="CM345" s="97"/>
      <c r="CN345" s="97"/>
      <c r="CO345" s="97"/>
      <c r="CP345" s="97"/>
      <c r="CT345" s="14"/>
    </row>
    <row r="346" spans="1:98">
      <c r="A346" s="24"/>
      <c r="B346" s="24"/>
      <c r="H346" s="14"/>
      <c r="P346" s="28"/>
      <c r="Q346"/>
      <c r="R346"/>
      <c r="S346"/>
      <c r="T346"/>
      <c r="U346"/>
      <c r="V346" s="14"/>
      <c r="W346" s="24"/>
      <c r="X346"/>
      <c r="Y346"/>
      <c r="Z346"/>
      <c r="AA346"/>
      <c r="AB346"/>
      <c r="AC346" s="14"/>
      <c r="AD346"/>
      <c r="AE346"/>
      <c r="AF346"/>
      <c r="AG346"/>
      <c r="AH346"/>
      <c r="AI346"/>
      <c r="AJ346"/>
      <c r="AK346" s="28"/>
      <c r="AL346"/>
      <c r="AM346"/>
      <c r="AN346"/>
      <c r="AO346"/>
      <c r="AP346"/>
      <c r="AQ346"/>
      <c r="AR346" s="71"/>
      <c r="AS346" s="80" t="s">
        <v>324</v>
      </c>
      <c r="AT346" s="66"/>
      <c r="AV346" s="66"/>
      <c r="AW346" s="66"/>
      <c r="AX346" s="66"/>
      <c r="AY346" s="66"/>
      <c r="AZ346" s="66"/>
      <c r="BA346" s="66"/>
      <c r="BB346" s="66"/>
      <c r="BD346"/>
      <c r="BE346"/>
      <c r="BF346" s="66"/>
      <c r="BG346" s="66"/>
      <c r="BH346" s="24"/>
      <c r="BL346" s="14"/>
      <c r="BM346" s="14"/>
      <c r="BO346" s="24"/>
      <c r="CE346" s="24"/>
      <c r="CF346" s="97"/>
      <c r="CG346" s="97"/>
      <c r="CH346" s="97" t="s">
        <v>325</v>
      </c>
      <c r="CI346" s="102"/>
      <c r="CJ346" s="102"/>
      <c r="CK346" s="102"/>
      <c r="CL346" s="102"/>
      <c r="CM346" s="102"/>
      <c r="CN346" s="102"/>
      <c r="CO346" s="102"/>
      <c r="CP346" s="102"/>
      <c r="CT346" s="14"/>
    </row>
    <row r="347" spans="1:98">
      <c r="A347" s="24"/>
      <c r="B347" s="24"/>
      <c r="H347" s="14"/>
      <c r="P347" s="28"/>
      <c r="Q347"/>
      <c r="R347"/>
      <c r="S347"/>
      <c r="T347"/>
      <c r="U347"/>
      <c r="V347" s="14"/>
      <c r="W347" s="24"/>
      <c r="X347"/>
      <c r="Y347"/>
      <c r="Z347"/>
      <c r="AA347"/>
      <c r="AB347"/>
      <c r="AC347" s="14"/>
      <c r="AD347"/>
      <c r="AE347"/>
      <c r="AF347"/>
      <c r="AG347"/>
      <c r="AH347"/>
      <c r="AI347"/>
      <c r="AJ347"/>
      <c r="AK347" s="28"/>
      <c r="AL347"/>
      <c r="AM347"/>
      <c r="AN347"/>
      <c r="AO347"/>
      <c r="AP347"/>
      <c r="AQ347"/>
      <c r="AR347" s="71"/>
      <c r="AS347" s="77"/>
      <c r="AT347" s="8" t="s">
        <v>188</v>
      </c>
      <c r="AV347" s="66"/>
      <c r="AW347" s="66"/>
      <c r="AX347" s="66"/>
      <c r="AY347" s="66"/>
      <c r="AZ347" s="66"/>
      <c r="BA347" s="66"/>
      <c r="BB347" s="66"/>
      <c r="BC347"/>
      <c r="BD347"/>
      <c r="BE347"/>
      <c r="BF347" s="66"/>
      <c r="BG347" s="66"/>
      <c r="BH347" s="24"/>
      <c r="BL347" s="14"/>
      <c r="BM347" s="14"/>
      <c r="BO347" s="24"/>
      <c r="CE347" s="24"/>
      <c r="CF347" s="97"/>
      <c r="CG347" s="97"/>
      <c r="CH347" s="102" t="s">
        <v>107</v>
      </c>
      <c r="CI347" s="97" t="s">
        <v>326</v>
      </c>
      <c r="CJ347" s="97"/>
      <c r="CK347" s="97"/>
      <c r="CL347" s="97"/>
      <c r="CM347" s="97"/>
      <c r="CN347" s="97"/>
      <c r="CO347" s="97" t="s">
        <v>327</v>
      </c>
      <c r="CP347" s="97" t="s">
        <v>328</v>
      </c>
      <c r="CT347" s="14"/>
    </row>
    <row r="348" spans="1:98">
      <c r="A348" s="24"/>
      <c r="B348" s="24"/>
      <c r="H348" s="14"/>
      <c r="P348" s="28"/>
      <c r="Q348"/>
      <c r="R348"/>
      <c r="S348"/>
      <c r="T348"/>
      <c r="U348"/>
      <c r="V348" s="14"/>
      <c r="W348" s="24"/>
      <c r="X348"/>
      <c r="Y348"/>
      <c r="Z348"/>
      <c r="AA348"/>
      <c r="AB348"/>
      <c r="AC348" s="14"/>
      <c r="AD348"/>
      <c r="AE348"/>
      <c r="AF348"/>
      <c r="AG348"/>
      <c r="AH348"/>
      <c r="AI348"/>
      <c r="AJ348"/>
      <c r="AK348" s="28"/>
      <c r="AL348"/>
      <c r="AM348"/>
      <c r="AN348"/>
      <c r="AO348"/>
      <c r="AP348"/>
      <c r="AQ348"/>
      <c r="AR348" s="71"/>
      <c r="AS348" s="66"/>
      <c r="AV348" s="66"/>
      <c r="AW348" s="66"/>
      <c r="AX348" s="66"/>
      <c r="AY348" s="66"/>
      <c r="AZ348" s="66"/>
      <c r="BA348" s="66"/>
      <c r="BB348" s="66"/>
      <c r="BC348"/>
      <c r="BD348"/>
      <c r="BE348"/>
      <c r="BF348" s="66"/>
      <c r="BG348" s="66"/>
      <c r="BH348" s="24"/>
      <c r="BL348" s="14"/>
      <c r="BM348" s="14"/>
      <c r="BO348" s="24"/>
      <c r="CE348" s="24"/>
      <c r="CF348" s="97"/>
      <c r="CG348" s="101" t="s">
        <v>309</v>
      </c>
      <c r="CH348" s="97"/>
      <c r="CI348" s="97"/>
      <c r="CJ348" s="97"/>
      <c r="CK348" s="97"/>
      <c r="CL348" s="97"/>
      <c r="CM348" s="97"/>
      <c r="CN348" s="97"/>
      <c r="CO348" s="97"/>
      <c r="CP348" s="97"/>
      <c r="CT348" s="14"/>
    </row>
    <row r="349" spans="1:98">
      <c r="A349" s="24"/>
      <c r="B349" s="24"/>
      <c r="H349" s="14"/>
      <c r="P349" s="28"/>
      <c r="Q349"/>
      <c r="R349"/>
      <c r="S349"/>
      <c r="T349"/>
      <c r="U349"/>
      <c r="V349" s="14"/>
      <c r="W349" s="24"/>
      <c r="X349"/>
      <c r="Y349"/>
      <c r="Z349"/>
      <c r="AA349"/>
      <c r="AB349"/>
      <c r="AC349" s="14"/>
      <c r="AD349"/>
      <c r="AE349"/>
      <c r="AF349"/>
      <c r="AG349"/>
      <c r="AH349"/>
      <c r="AI349"/>
      <c r="AJ349"/>
      <c r="AK349" s="28"/>
      <c r="AL349"/>
      <c r="AM349"/>
      <c r="AN349"/>
      <c r="AO349"/>
      <c r="AP349"/>
      <c r="AQ349"/>
      <c r="AR349" s="71"/>
      <c r="AS349" s="66"/>
      <c r="AV349" s="66"/>
      <c r="AW349" s="66"/>
      <c r="AX349" s="66"/>
      <c r="AY349" s="66"/>
      <c r="AZ349" s="66"/>
      <c r="BA349" s="66"/>
      <c r="BB349" s="66"/>
      <c r="BC349"/>
      <c r="BD349"/>
      <c r="BE349"/>
      <c r="BF349" s="66"/>
      <c r="BG349" s="66"/>
      <c r="BH349" s="24"/>
      <c r="BL349" s="14"/>
      <c r="BM349" s="14"/>
      <c r="BO349" s="24"/>
      <c r="CE349" s="24"/>
      <c r="CF349" s="97"/>
      <c r="CG349" s="97"/>
      <c r="CH349" s="97" t="s">
        <v>329</v>
      </c>
      <c r="CI349" s="97"/>
      <c r="CJ349" s="97"/>
      <c r="CK349" s="97"/>
      <c r="CL349" s="97"/>
      <c r="CM349" s="97"/>
      <c r="CN349" s="97"/>
      <c r="CO349" s="97"/>
      <c r="CP349" s="97"/>
      <c r="CT349" s="14"/>
    </row>
    <row r="350" spans="1:98">
      <c r="A350" s="24"/>
      <c r="B350" s="24"/>
      <c r="H350" s="14"/>
      <c r="P350" s="28"/>
      <c r="Q350"/>
      <c r="R350"/>
      <c r="S350"/>
      <c r="T350"/>
      <c r="U350"/>
      <c r="V350" s="14"/>
      <c r="W350" s="24"/>
      <c r="X350"/>
      <c r="Y350"/>
      <c r="Z350"/>
      <c r="AA350"/>
      <c r="AB350"/>
      <c r="AC350" s="14"/>
      <c r="AD350"/>
      <c r="AE350"/>
      <c r="AF350"/>
      <c r="AG350"/>
      <c r="AH350"/>
      <c r="AI350"/>
      <c r="AJ350"/>
      <c r="AK350" s="28"/>
      <c r="AL350"/>
      <c r="AM350"/>
      <c r="AN350"/>
      <c r="AO350"/>
      <c r="AP350"/>
      <c r="AQ350"/>
      <c r="AR350" s="71"/>
      <c r="AS350" s="66"/>
      <c r="AT350" s="70"/>
      <c r="AV350" s="66"/>
      <c r="AW350" s="66"/>
      <c r="AX350" s="66"/>
      <c r="AY350" s="66"/>
      <c r="AZ350" s="66"/>
      <c r="BA350" s="66"/>
      <c r="BB350" s="66"/>
      <c r="BC350" s="66"/>
      <c r="BD350"/>
      <c r="BE350"/>
      <c r="BF350" s="66"/>
      <c r="BG350" s="66"/>
      <c r="BH350" s="24"/>
      <c r="BL350" s="14"/>
      <c r="BM350" s="14"/>
      <c r="BO350" s="24"/>
      <c r="CE350" s="24"/>
      <c r="CF350" s="97"/>
      <c r="CG350" s="97"/>
      <c r="CH350" s="97" t="s">
        <v>330</v>
      </c>
      <c r="CI350" s="97"/>
      <c r="CJ350" s="97"/>
      <c r="CK350" s="97"/>
      <c r="CL350" s="97"/>
      <c r="CM350" s="97"/>
      <c r="CN350" s="97"/>
      <c r="CO350" s="97"/>
      <c r="CP350" s="97"/>
      <c r="CT350" s="14"/>
    </row>
    <row r="351" spans="1:98">
      <c r="A351" s="24"/>
      <c r="B351" s="24"/>
      <c r="H351" s="14"/>
      <c r="P351" s="28"/>
      <c r="Q351"/>
      <c r="R351"/>
      <c r="S351"/>
      <c r="T351"/>
      <c r="U351"/>
      <c r="V351" s="14"/>
      <c r="W351" s="24"/>
      <c r="X351"/>
      <c r="Y351"/>
      <c r="Z351"/>
      <c r="AA351"/>
      <c r="AB351"/>
      <c r="AC351" s="14"/>
      <c r="AD351"/>
      <c r="AE351"/>
      <c r="AF351"/>
      <c r="AG351"/>
      <c r="AH351"/>
      <c r="AI351"/>
      <c r="AJ351"/>
      <c r="AK351" s="28"/>
      <c r="AL351"/>
      <c r="AM351"/>
      <c r="AN351"/>
      <c r="AO351"/>
      <c r="AP351"/>
      <c r="AQ351"/>
      <c r="AR351" s="71"/>
      <c r="AU351" s="8"/>
      <c r="BE351"/>
      <c r="BF351" s="66"/>
      <c r="BG351" s="66"/>
      <c r="BH351" s="24"/>
      <c r="BL351" s="14"/>
      <c r="BM351" s="14"/>
      <c r="BO351" s="24"/>
      <c r="CE351" s="24"/>
      <c r="CF351" s="97"/>
      <c r="CG351" s="97"/>
      <c r="CH351" s="97" t="s">
        <v>331</v>
      </c>
      <c r="CI351" s="97"/>
      <c r="CJ351" s="97"/>
      <c r="CK351" s="97"/>
      <c r="CL351" s="97"/>
      <c r="CM351" s="97"/>
      <c r="CN351" s="97"/>
      <c r="CO351" s="97"/>
      <c r="CP351" s="97"/>
      <c r="CT351" s="14"/>
    </row>
    <row r="352" spans="1:98">
      <c r="A352" s="24"/>
      <c r="B352" s="28"/>
      <c r="C352"/>
      <c r="D352"/>
      <c r="E352"/>
      <c r="F352"/>
      <c r="G352"/>
      <c r="H352" s="19"/>
      <c r="P352" s="24"/>
      <c r="W352" s="24"/>
      <c r="AC352" s="14"/>
      <c r="AK352" s="71"/>
      <c r="AL352" s="66"/>
      <c r="AM352" s="66"/>
      <c r="AN352" s="66"/>
      <c r="AO352" s="66"/>
      <c r="AP352" s="66"/>
      <c r="AQ352" s="66"/>
      <c r="AR352" s="71"/>
      <c r="AU352" s="8"/>
      <c r="BE352" s="66"/>
      <c r="BF352" s="66"/>
      <c r="BG352" s="66"/>
      <c r="BH352" s="24"/>
      <c r="BL352" s="14"/>
      <c r="BM352" s="14"/>
      <c r="BO352" s="24"/>
      <c r="CE352" s="24"/>
      <c r="CF352" s="97"/>
      <c r="CG352" s="97"/>
      <c r="CH352" s="102" t="s">
        <v>107</v>
      </c>
      <c r="CI352" s="97" t="s">
        <v>332</v>
      </c>
      <c r="CJ352" s="97"/>
      <c r="CK352" s="97"/>
      <c r="CL352" s="97" t="s">
        <v>327</v>
      </c>
      <c r="CM352" s="97" t="s">
        <v>333</v>
      </c>
      <c r="CN352" s="97"/>
      <c r="CO352" s="97"/>
      <c r="CP352" s="97"/>
      <c r="CT352" s="14"/>
    </row>
    <row r="353" spans="1:98">
      <c r="A353" s="24"/>
      <c r="B353" s="28"/>
      <c r="C353"/>
      <c r="D353"/>
      <c r="E353"/>
      <c r="F353"/>
      <c r="G353"/>
      <c r="H353" s="19"/>
      <c r="P353" s="24"/>
      <c r="W353" s="24"/>
      <c r="AC353" s="14"/>
      <c r="AK353" s="71"/>
      <c r="AL353" s="66"/>
      <c r="AM353" s="66"/>
      <c r="AN353" s="66"/>
      <c r="AO353" s="66"/>
      <c r="AP353" s="66"/>
      <c r="AQ353" s="66"/>
      <c r="AR353" s="71"/>
      <c r="AU353" s="8"/>
      <c r="BE353" s="66"/>
      <c r="BF353" s="66"/>
      <c r="BG353" s="66"/>
      <c r="BH353" s="24"/>
      <c r="BL353" s="14"/>
      <c r="BM353" s="14"/>
      <c r="BO353" s="24"/>
      <c r="CE353" s="24"/>
      <c r="CF353" s="97"/>
      <c r="CG353" s="97"/>
      <c r="CH353" s="97"/>
      <c r="CI353" s="97"/>
      <c r="CJ353" s="97"/>
      <c r="CK353" s="97"/>
      <c r="CL353" s="97"/>
      <c r="CM353" s="97"/>
      <c r="CN353" s="97"/>
      <c r="CO353" s="97"/>
      <c r="CP353" s="97"/>
      <c r="CT353" s="14"/>
    </row>
    <row r="354" spans="1:98">
      <c r="A354" s="24"/>
      <c r="B354" s="29"/>
      <c r="C354" s="11"/>
      <c r="D354" s="11"/>
      <c r="E354" s="11"/>
      <c r="F354" s="11"/>
      <c r="G354" s="11"/>
      <c r="H354" s="13"/>
      <c r="P354" s="24"/>
      <c r="W354" s="24"/>
      <c r="AC354" s="14"/>
      <c r="AK354" s="71"/>
      <c r="AL354" s="66"/>
      <c r="AM354" s="66"/>
      <c r="AN354" s="66"/>
      <c r="AO354" s="66"/>
      <c r="AP354" s="66"/>
      <c r="AQ354" s="66"/>
      <c r="AR354" s="71"/>
      <c r="AU354" s="8"/>
      <c r="AZ354"/>
      <c r="BA354"/>
      <c r="BB354"/>
      <c r="BC354" s="11"/>
      <c r="BD354" s="66"/>
      <c r="BE354" s="66"/>
      <c r="BF354" s="66"/>
      <c r="BG354" s="66"/>
      <c r="BH354" s="24"/>
      <c r="BL354" s="14"/>
      <c r="BM354" s="14"/>
      <c r="BO354" s="24"/>
      <c r="CE354" s="24"/>
      <c r="CG354" s="45" t="s">
        <v>133</v>
      </c>
      <c r="CH354" s="45" t="s">
        <v>334</v>
      </c>
      <c r="CI354" s="45"/>
      <c r="CT354" s="14"/>
    </row>
    <row r="355" spans="1:98">
      <c r="A355" s="24"/>
      <c r="B355" s="24"/>
      <c r="H355" s="14"/>
      <c r="P355" s="24"/>
      <c r="W355" s="24"/>
      <c r="AC355" s="14"/>
      <c r="AK355" s="71"/>
      <c r="AL355" s="66"/>
      <c r="AM355" s="66"/>
      <c r="AN355" s="66"/>
      <c r="AO355" s="66"/>
      <c r="AP355" s="66"/>
      <c r="AQ355" s="66"/>
      <c r="AR355" s="71"/>
      <c r="AS355" s="16" t="s">
        <v>335</v>
      </c>
      <c r="AU355" s="8"/>
      <c r="AY355" s="66"/>
      <c r="AZ355"/>
      <c r="BA355"/>
      <c r="BB355"/>
      <c r="BD355" s="66"/>
      <c r="BE355" s="66"/>
      <c r="BF355" s="66"/>
      <c r="BG355" s="66"/>
      <c r="BH355" s="24"/>
      <c r="BL355" s="14"/>
      <c r="BM355" s="14"/>
      <c r="BO355" s="24"/>
      <c r="CE355" s="24"/>
      <c r="CG355" s="45"/>
      <c r="CH355" s="45" t="s">
        <v>336</v>
      </c>
      <c r="CI355" s="45"/>
      <c r="CT355" s="14"/>
    </row>
    <row r="356" spans="1:98">
      <c r="A356" s="24"/>
      <c r="B356" s="24"/>
      <c r="H356" s="14"/>
      <c r="P356" s="24"/>
      <c r="W356" s="24"/>
      <c r="AC356" s="14"/>
      <c r="AK356" s="71"/>
      <c r="AL356" s="66"/>
      <c r="AM356" s="66"/>
      <c r="AN356" s="66"/>
      <c r="AO356" s="66"/>
      <c r="AP356" s="66"/>
      <c r="AQ356" s="66"/>
      <c r="AR356" s="71"/>
      <c r="AT356" s="8" t="s">
        <v>337</v>
      </c>
      <c r="AU356" s="8"/>
      <c r="AY356" s="66"/>
      <c r="AZ356" s="66"/>
      <c r="BA356" s="66"/>
      <c r="BB356" s="66"/>
      <c r="BC356" s="66"/>
      <c r="BD356" s="66"/>
      <c r="BE356" s="66"/>
      <c r="BF356" s="66"/>
      <c r="BG356" s="66"/>
      <c r="BH356" s="24"/>
      <c r="BL356" s="14"/>
      <c r="BM356" s="14"/>
      <c r="BO356" s="24"/>
      <c r="CE356" s="24"/>
      <c r="CH356" s="45" t="s">
        <v>133</v>
      </c>
      <c r="CI356" s="45" t="s">
        <v>338</v>
      </c>
      <c r="CT356" s="14"/>
    </row>
    <row r="357" spans="1:98">
      <c r="A357" s="24"/>
      <c r="B357" s="24"/>
      <c r="H357" s="14"/>
      <c r="P357" s="24"/>
      <c r="W357" s="24"/>
      <c r="AC357" s="14"/>
      <c r="AK357" s="71"/>
      <c r="AL357" s="66"/>
      <c r="AM357" s="66"/>
      <c r="AN357" s="66"/>
      <c r="AO357" s="66"/>
      <c r="AP357" s="66"/>
      <c r="AQ357" s="66"/>
      <c r="AR357" s="71"/>
      <c r="AT357" s="8" t="s">
        <v>191</v>
      </c>
      <c r="AU357" s="8"/>
      <c r="AY357"/>
      <c r="AZ357" s="66"/>
      <c r="BA357" s="66"/>
      <c r="BB357" s="66"/>
      <c r="BC357" s="66"/>
      <c r="BD357" s="66"/>
      <c r="BE357" s="66"/>
      <c r="BF357" s="66"/>
      <c r="BG357" s="66"/>
      <c r="BH357" s="24"/>
      <c r="BL357" s="14"/>
      <c r="BM357" s="14"/>
      <c r="BO357" s="24"/>
      <c r="CE357" s="24"/>
      <c r="CI357" s="45" t="s">
        <v>339</v>
      </c>
      <c r="CJ357" s="45"/>
      <c r="CT357" s="14"/>
    </row>
    <row r="358" spans="1:98">
      <c r="A358" s="24"/>
      <c r="B358" s="24"/>
      <c r="H358" s="14"/>
      <c r="P358" s="24"/>
      <c r="W358" s="24"/>
      <c r="AC358" s="14"/>
      <c r="AK358" s="71"/>
      <c r="AL358" s="66"/>
      <c r="AM358" s="66"/>
      <c r="AN358" s="66"/>
      <c r="AO358" s="66"/>
      <c r="AP358" s="66"/>
      <c r="AQ358" s="66"/>
      <c r="AR358" s="71"/>
      <c r="AS358" s="66"/>
      <c r="AT358" s="66" t="s">
        <v>340</v>
      </c>
      <c r="AV358" s="66"/>
      <c r="AW358"/>
      <c r="AX358"/>
      <c r="AY358"/>
      <c r="AZ358" s="66"/>
      <c r="BA358" s="66"/>
      <c r="BB358" s="66"/>
      <c r="BC358" s="66"/>
      <c r="BD358" s="66"/>
      <c r="BE358" s="66"/>
      <c r="BF358" s="66"/>
      <c r="BG358" s="66"/>
      <c r="BH358" s="24"/>
      <c r="BL358" s="14"/>
      <c r="BM358" s="14"/>
      <c r="BO358" s="24"/>
      <c r="CE358" s="24"/>
      <c r="CI358" s="45" t="s">
        <v>341</v>
      </c>
      <c r="CJ358" s="45"/>
      <c r="CT358" s="14"/>
    </row>
    <row r="359" spans="1:98">
      <c r="A359" s="24"/>
      <c r="B359" s="24"/>
      <c r="H359" s="14"/>
      <c r="P359" s="24"/>
      <c r="W359" s="24"/>
      <c r="AC359" s="14"/>
      <c r="AK359" s="71"/>
      <c r="AL359" s="66"/>
      <c r="AM359" s="66"/>
      <c r="AN359" s="66"/>
      <c r="AO359" s="66"/>
      <c r="AP359" s="66"/>
      <c r="AQ359" s="66"/>
      <c r="AR359" s="71"/>
      <c r="AS359" s="66"/>
      <c r="AT359" s="66"/>
      <c r="AV359" s="66"/>
      <c r="AW359" s="66"/>
      <c r="AX359" s="66"/>
      <c r="AY359" s="66"/>
      <c r="AZ359" s="66"/>
      <c r="BA359" s="66"/>
      <c r="BB359" s="66"/>
      <c r="BC359" s="66"/>
      <c r="BD359" s="66"/>
      <c r="BE359" s="66"/>
      <c r="BF359" s="66"/>
      <c r="BG359" s="66"/>
      <c r="BH359" s="24"/>
      <c r="BL359" s="14"/>
      <c r="BM359" s="14"/>
      <c r="BO359" s="24"/>
      <c r="CE359" s="24"/>
      <c r="CI359" s="45" t="s">
        <v>342</v>
      </c>
      <c r="CJ359" s="45"/>
      <c r="CT359" s="14"/>
    </row>
    <row r="360" spans="1:98">
      <c r="A360" s="24"/>
      <c r="B360" s="24"/>
      <c r="H360" s="14"/>
      <c r="P360" s="24"/>
      <c r="W360" s="24"/>
      <c r="AC360" s="14"/>
      <c r="AK360" s="71"/>
      <c r="AL360" s="66"/>
      <c r="AM360" s="66"/>
      <c r="AN360" s="66"/>
      <c r="AO360" s="66"/>
      <c r="AP360" s="66"/>
      <c r="AQ360" s="66"/>
      <c r="AR360" s="71"/>
      <c r="BA360"/>
      <c r="BB360"/>
      <c r="BC360" s="66"/>
      <c r="BD360" s="66"/>
      <c r="BE360" s="66"/>
      <c r="BF360" s="66"/>
      <c r="BG360" s="66"/>
      <c r="BH360" s="24"/>
      <c r="BL360" s="14"/>
      <c r="BM360" s="14"/>
      <c r="BO360" s="24"/>
      <c r="CE360" s="24"/>
      <c r="CI360" s="45" t="s">
        <v>343</v>
      </c>
      <c r="CJ360" s="45"/>
      <c r="CT360" s="14"/>
    </row>
    <row r="361" spans="1:98">
      <c r="A361" s="24"/>
      <c r="B361" s="24"/>
      <c r="H361" s="14"/>
      <c r="P361" s="24"/>
      <c r="W361" s="24"/>
      <c r="AC361" s="14"/>
      <c r="AK361" s="71"/>
      <c r="AL361" s="66"/>
      <c r="AM361" s="66"/>
      <c r="AN361" s="66"/>
      <c r="AO361" s="66"/>
      <c r="AP361" s="66"/>
      <c r="AQ361" s="66"/>
      <c r="AR361" s="71"/>
      <c r="BA361"/>
      <c r="BB361"/>
      <c r="BC361"/>
      <c r="BD361" s="66"/>
      <c r="BE361" s="66"/>
      <c r="BF361" s="66"/>
      <c r="BG361" s="66"/>
      <c r="BH361" s="24"/>
      <c r="BL361" s="14"/>
      <c r="BM361" s="14"/>
      <c r="BO361" s="24"/>
      <c r="CE361" s="24"/>
      <c r="CI361" s="45" t="s">
        <v>118</v>
      </c>
      <c r="CJ361" s="45" t="s">
        <v>344</v>
      </c>
      <c r="CT361" s="14"/>
    </row>
    <row r="362" spans="1:98">
      <c r="A362" s="24"/>
      <c r="B362" s="24"/>
      <c r="H362" s="14"/>
      <c r="P362" s="24"/>
      <c r="W362" s="24"/>
      <c r="AC362" s="14"/>
      <c r="AK362" s="71"/>
      <c r="AL362" s="66"/>
      <c r="AM362" s="66"/>
      <c r="AN362" s="66"/>
      <c r="AO362" s="66"/>
      <c r="AP362" s="66"/>
      <c r="AQ362" s="66"/>
      <c r="AR362" s="71"/>
      <c r="AS362" s="76" t="s">
        <v>345</v>
      </c>
      <c r="AT362" s="66"/>
      <c r="AV362"/>
      <c r="AW362"/>
      <c r="AX362"/>
      <c r="AY362"/>
      <c r="AZ362"/>
      <c r="BA362"/>
      <c r="BB362"/>
      <c r="BC362" s="66"/>
      <c r="BD362" s="66"/>
      <c r="BE362" s="66"/>
      <c r="BF362" s="66"/>
      <c r="BG362" s="66"/>
      <c r="BH362" s="24"/>
      <c r="BL362" s="14"/>
      <c r="BM362" s="14"/>
      <c r="BO362" s="24"/>
      <c r="CE362" s="24"/>
      <c r="CT362" s="14"/>
    </row>
    <row r="363" spans="1:98">
      <c r="A363" s="24"/>
      <c r="B363" s="24"/>
      <c r="H363" s="14"/>
      <c r="P363" s="24"/>
      <c r="W363" s="24"/>
      <c r="AC363" s="14"/>
      <c r="AK363" s="71"/>
      <c r="AL363" s="66"/>
      <c r="AM363" s="66"/>
      <c r="AN363" s="66"/>
      <c r="AO363" s="66"/>
      <c r="AP363" s="66"/>
      <c r="AQ363" s="66"/>
      <c r="AR363" s="71"/>
      <c r="AS363" s="66"/>
      <c r="AT363" s="8" t="s">
        <v>194</v>
      </c>
      <c r="AU363" s="8"/>
      <c r="AZ363"/>
      <c r="BA363" s="66"/>
      <c r="BB363" s="66"/>
      <c r="BC363"/>
      <c r="BD363" s="66"/>
      <c r="BE363" s="66"/>
      <c r="BF363" s="66"/>
      <c r="BG363" s="66"/>
      <c r="BH363" s="24"/>
      <c r="BL363" s="14"/>
      <c r="BM363" s="14"/>
      <c r="BO363" s="24"/>
      <c r="CE363" s="24"/>
      <c r="CT363" s="14"/>
    </row>
    <row r="364" spans="1:98">
      <c r="A364" s="24"/>
      <c r="B364" s="24"/>
      <c r="H364" s="14"/>
      <c r="P364" s="24"/>
      <c r="W364" s="24"/>
      <c r="AC364" s="14"/>
      <c r="AK364" s="71"/>
      <c r="AL364" s="66"/>
      <c r="AM364" s="66"/>
      <c r="AN364" s="66"/>
      <c r="AO364" s="66"/>
      <c r="AP364" s="66"/>
      <c r="AQ364" s="66"/>
      <c r="AR364" s="71"/>
      <c r="AS364" s="66"/>
      <c r="AT364" s="8" t="s">
        <v>346</v>
      </c>
      <c r="AU364" s="8"/>
      <c r="AZ364"/>
      <c r="BA364" s="66"/>
      <c r="BB364" s="66"/>
      <c r="BC364"/>
      <c r="BD364" s="66"/>
      <c r="BE364" s="66"/>
      <c r="BF364" s="66"/>
      <c r="BG364" s="66"/>
      <c r="BH364" s="24"/>
      <c r="BL364" s="14"/>
      <c r="BM364" s="14"/>
      <c r="BO364" s="24"/>
      <c r="CE364" s="24"/>
      <c r="CT364" s="14"/>
    </row>
    <row r="365" spans="1:98">
      <c r="A365" s="24"/>
      <c r="B365" s="24"/>
      <c r="H365" s="14"/>
      <c r="P365" s="24"/>
      <c r="W365" s="24"/>
      <c r="AC365" s="14"/>
      <c r="AK365" s="71"/>
      <c r="AL365" s="66"/>
      <c r="AM365" s="66"/>
      <c r="AN365" s="66"/>
      <c r="AO365" s="66"/>
      <c r="AP365" s="66"/>
      <c r="AQ365" s="66"/>
      <c r="AR365" s="71"/>
      <c r="AS365" s="66"/>
      <c r="AT365" s="66" t="s">
        <v>347</v>
      </c>
      <c r="AV365"/>
      <c r="AW365"/>
      <c r="AX365"/>
      <c r="AY365"/>
      <c r="AZ365" s="66"/>
      <c r="BC365"/>
      <c r="BD365" s="66"/>
      <c r="BE365" s="66"/>
      <c r="BF365" s="66"/>
      <c r="BG365" s="66"/>
      <c r="BH365" s="24"/>
      <c r="BL365" s="14"/>
      <c r="BM365" s="14"/>
      <c r="BO365" s="24"/>
      <c r="CE365" s="24"/>
      <c r="CT365" s="14"/>
    </row>
    <row r="366" spans="1:98">
      <c r="A366" s="24"/>
      <c r="B366" s="24"/>
      <c r="H366" s="14"/>
      <c r="P366" s="24"/>
      <c r="W366" s="24"/>
      <c r="AC366" s="14"/>
      <c r="AK366" s="71"/>
      <c r="AL366" s="66"/>
      <c r="AM366" s="66"/>
      <c r="AN366" s="66"/>
      <c r="AO366" s="66"/>
      <c r="AP366" s="66"/>
      <c r="AQ366" s="66"/>
      <c r="AR366" s="71"/>
      <c r="AS366" s="66"/>
      <c r="AT366" s="66"/>
      <c r="AV366"/>
      <c r="AW366"/>
      <c r="AX366"/>
      <c r="AY366"/>
      <c r="AZ366" s="66"/>
      <c r="BC366"/>
      <c r="BD366" s="66"/>
      <c r="BE366" s="66"/>
      <c r="BF366" s="66"/>
      <c r="BG366" s="66"/>
      <c r="BH366" s="24"/>
      <c r="BL366" s="14"/>
      <c r="BM366" s="14"/>
      <c r="BO366" s="24"/>
      <c r="CE366" s="24"/>
      <c r="CT366" s="14"/>
    </row>
    <row r="367" spans="1:98">
      <c r="A367" s="24"/>
      <c r="B367" s="24"/>
      <c r="H367" s="14"/>
      <c r="P367" s="24"/>
      <c r="W367" s="24"/>
      <c r="AC367" s="14"/>
      <c r="AK367" s="71"/>
      <c r="AL367" s="66"/>
      <c r="AM367" s="66"/>
      <c r="AN367" s="66"/>
      <c r="AO367" s="66"/>
      <c r="AP367" s="66"/>
      <c r="AQ367" s="66"/>
      <c r="AR367" s="71"/>
      <c r="AT367" s="66"/>
      <c r="AV367" s="66"/>
      <c r="AW367" s="66"/>
      <c r="AX367" s="66"/>
      <c r="AY367" s="66"/>
      <c r="BA367" s="80"/>
      <c r="BB367" s="70"/>
      <c r="BC367" s="70"/>
      <c r="BD367" s="70"/>
      <c r="BE367" s="66"/>
      <c r="BF367" s="66"/>
      <c r="BG367" s="66"/>
      <c r="BH367" s="24"/>
      <c r="BL367" s="14"/>
      <c r="BM367" s="14"/>
      <c r="BO367" s="24"/>
      <c r="CE367" s="24"/>
      <c r="CT367" s="14"/>
    </row>
    <row r="368" spans="1:98">
      <c r="A368" s="24"/>
      <c r="B368" s="24"/>
      <c r="H368" s="14"/>
      <c r="P368" s="24"/>
      <c r="W368" s="24"/>
      <c r="AC368" s="14"/>
      <c r="AK368" s="71"/>
      <c r="AL368" s="66"/>
      <c r="AM368" s="66"/>
      <c r="AN368" s="66"/>
      <c r="AO368" s="66"/>
      <c r="AP368" s="66"/>
      <c r="AQ368" s="66"/>
      <c r="AR368" s="71"/>
      <c r="AT368" s="66"/>
      <c r="AV368" s="66"/>
      <c r="AW368" s="66"/>
      <c r="AX368" s="66"/>
      <c r="AY368" s="66"/>
      <c r="BC368"/>
      <c r="BD368" s="66"/>
      <c r="BE368" s="66"/>
      <c r="BF368" s="66"/>
      <c r="BG368" s="66"/>
      <c r="BH368" s="24"/>
      <c r="BL368" s="14"/>
      <c r="BM368" s="14"/>
      <c r="BO368" s="24"/>
      <c r="CE368" s="24"/>
      <c r="CT368" s="14"/>
    </row>
    <row r="369" spans="1:98">
      <c r="A369" s="24"/>
      <c r="B369" s="24"/>
      <c r="H369" s="14"/>
      <c r="P369" s="24"/>
      <c r="W369" s="24"/>
      <c r="AC369" s="14"/>
      <c r="AK369" s="71"/>
      <c r="AL369" s="66"/>
      <c r="AM369" s="66"/>
      <c r="AN369" s="66"/>
      <c r="AO369" s="66"/>
      <c r="AP369" s="66"/>
      <c r="AQ369" s="66"/>
      <c r="AR369" s="71"/>
      <c r="AT369" s="66"/>
      <c r="AV369" s="66"/>
      <c r="AW369" s="66"/>
      <c r="AX369" s="66"/>
      <c r="AY369" s="66"/>
      <c r="BC369"/>
      <c r="BD369" s="66"/>
      <c r="BE369" s="66"/>
      <c r="BF369" s="66"/>
      <c r="BG369" s="66"/>
      <c r="BH369" s="24"/>
      <c r="BL369" s="14"/>
      <c r="BM369" s="14"/>
      <c r="BO369" s="24"/>
      <c r="CE369" s="24"/>
      <c r="CT369" s="14"/>
    </row>
    <row r="370" spans="1:98">
      <c r="A370" s="24"/>
      <c r="B370" s="24"/>
      <c r="H370" s="14"/>
      <c r="P370" s="24"/>
      <c r="W370" s="24"/>
      <c r="AC370" s="14"/>
      <c r="AK370" s="71"/>
      <c r="AL370" s="66"/>
      <c r="AM370" s="66"/>
      <c r="AN370" s="66"/>
      <c r="AO370" s="66"/>
      <c r="AP370" s="66"/>
      <c r="AQ370" s="66"/>
      <c r="AR370" s="71"/>
      <c r="AS370" s="76" t="s">
        <v>348</v>
      </c>
      <c r="AT370" s="66"/>
      <c r="AV370"/>
      <c r="AW370"/>
      <c r="AX370"/>
      <c r="AY370"/>
      <c r="AZ370"/>
      <c r="BA370"/>
      <c r="BB370"/>
      <c r="BC370" s="66"/>
      <c r="BD370" s="66"/>
      <c r="BE370" s="66"/>
      <c r="BF370" s="66"/>
      <c r="BG370" s="66"/>
      <c r="BH370" s="24"/>
      <c r="BL370" s="14"/>
      <c r="BM370" s="14"/>
      <c r="BO370" s="114" t="s">
        <v>349</v>
      </c>
      <c r="CE370" s="115" t="s">
        <v>107</v>
      </c>
      <c r="CF370" s="116" t="s">
        <v>223</v>
      </c>
      <c r="CG370" s="116"/>
      <c r="CH370" s="116"/>
      <c r="CT370" s="14"/>
    </row>
    <row r="371" spans="1:98">
      <c r="A371" s="24"/>
      <c r="B371" s="24"/>
      <c r="H371" s="14"/>
      <c r="P371" s="24"/>
      <c r="W371" s="24"/>
      <c r="AC371" s="14"/>
      <c r="AK371" s="71"/>
      <c r="AL371" s="66"/>
      <c r="AM371" s="66"/>
      <c r="AN371" s="66"/>
      <c r="AO371" s="66"/>
      <c r="AP371" s="66"/>
      <c r="AQ371" s="66"/>
      <c r="AR371" s="71"/>
      <c r="AS371" s="66"/>
      <c r="AT371" s="8" t="s">
        <v>350</v>
      </c>
      <c r="AU371" s="8"/>
      <c r="AZ371"/>
      <c r="BA371"/>
      <c r="BB371"/>
      <c r="BC371" s="66"/>
      <c r="BD371" s="66"/>
      <c r="BE371" s="66"/>
      <c r="BF371" s="66"/>
      <c r="BG371" s="66"/>
      <c r="BH371" s="24"/>
      <c r="BL371" s="14"/>
      <c r="BM371" s="14"/>
      <c r="BO371" s="114" t="s">
        <v>351</v>
      </c>
      <c r="CE371" s="115"/>
      <c r="CF371" s="116" t="s">
        <v>225</v>
      </c>
      <c r="CG371" s="116"/>
      <c r="CH371" s="116"/>
      <c r="CT371" s="14"/>
    </row>
    <row r="372" spans="1:98">
      <c r="A372" s="24"/>
      <c r="B372" s="24"/>
      <c r="H372" s="14"/>
      <c r="P372" s="24"/>
      <c r="W372" s="24"/>
      <c r="AC372" s="14"/>
      <c r="AK372" s="71"/>
      <c r="AL372" s="66"/>
      <c r="AM372" s="66"/>
      <c r="AN372" s="66"/>
      <c r="AO372" s="66"/>
      <c r="AP372" s="66"/>
      <c r="AQ372" s="66"/>
      <c r="AR372" s="71"/>
      <c r="AS372" s="66"/>
      <c r="AT372" s="8" t="s">
        <v>220</v>
      </c>
      <c r="AU372" s="8"/>
      <c r="AZ372"/>
      <c r="BA372"/>
      <c r="BB372"/>
      <c r="BC372" s="66"/>
      <c r="BD372" s="66"/>
      <c r="BE372" s="66"/>
      <c r="BF372" s="66"/>
      <c r="BG372" s="66"/>
      <c r="BH372" s="24"/>
      <c r="BL372" s="14"/>
      <c r="BM372" s="14"/>
      <c r="BO372" s="114" t="s">
        <v>352</v>
      </c>
      <c r="CE372" s="24"/>
      <c r="CT372" s="14"/>
    </row>
    <row r="373" spans="1:98">
      <c r="A373" s="24"/>
      <c r="B373" s="24"/>
      <c r="H373" s="14"/>
      <c r="P373" s="24"/>
      <c r="W373" s="24"/>
      <c r="AC373" s="14"/>
      <c r="AK373" s="71"/>
      <c r="AL373" s="66"/>
      <c r="AM373" s="66"/>
      <c r="AN373" s="66"/>
      <c r="AO373" s="66"/>
      <c r="AP373" s="66"/>
      <c r="AQ373" s="66"/>
      <c r="AR373" s="71"/>
      <c r="AS373" s="76"/>
      <c r="AT373" s="8" t="s">
        <v>118</v>
      </c>
      <c r="AU373" s="8" t="s">
        <v>221</v>
      </c>
      <c r="BC373" s="66"/>
      <c r="BD373" s="66"/>
      <c r="BE373" s="66"/>
      <c r="BF373" s="66"/>
      <c r="BG373" s="66"/>
      <c r="BH373" s="24"/>
      <c r="BL373" s="14"/>
      <c r="BM373" s="14"/>
      <c r="BO373" s="114" t="s">
        <v>258</v>
      </c>
      <c r="CE373" s="24"/>
      <c r="CT373" s="14"/>
    </row>
    <row r="374" spans="1:98">
      <c r="A374" s="24"/>
      <c r="B374" s="24"/>
      <c r="H374" s="14"/>
      <c r="P374" s="24"/>
      <c r="W374" s="24"/>
      <c r="AC374" s="14"/>
      <c r="AK374" s="71"/>
      <c r="AL374" s="66"/>
      <c r="AM374" s="66"/>
      <c r="AN374" s="66"/>
      <c r="AO374" s="66"/>
      <c r="AP374" s="66"/>
      <c r="AQ374" s="66"/>
      <c r="AR374" s="71"/>
      <c r="AS374" s="66"/>
      <c r="AT374" s="66"/>
      <c r="AV374" s="66"/>
      <c r="AW374" s="66"/>
      <c r="AX374" s="66"/>
      <c r="AY374" s="66"/>
      <c r="AZ374" s="66"/>
      <c r="BA374" s="66"/>
      <c r="BB374" s="66"/>
      <c r="BC374" s="66"/>
      <c r="BD374" s="66"/>
      <c r="BE374" s="66"/>
      <c r="BF374" s="66"/>
      <c r="BG374" s="66"/>
      <c r="BH374" s="24"/>
      <c r="BL374" s="14"/>
      <c r="BM374" s="14"/>
      <c r="BO374" s="24"/>
      <c r="CE374" s="24"/>
      <c r="CT374" s="14"/>
    </row>
    <row r="375" spans="1:98">
      <c r="A375" s="24"/>
      <c r="B375" s="24"/>
      <c r="H375" s="14"/>
      <c r="P375" s="24"/>
      <c r="W375" s="24"/>
      <c r="AC375" s="14"/>
      <c r="AK375" s="71"/>
      <c r="AL375" s="66"/>
      <c r="AM375" s="66"/>
      <c r="AN375" s="66"/>
      <c r="AO375" s="66"/>
      <c r="AP375" s="66"/>
      <c r="AQ375" s="66"/>
      <c r="AR375" s="71"/>
      <c r="AS375" s="66"/>
      <c r="AU375" s="8"/>
      <c r="AZ375" s="66"/>
      <c r="BA375" s="66"/>
      <c r="BB375" s="66"/>
      <c r="BC375" s="66"/>
      <c r="BD375" s="66"/>
      <c r="BE375" s="66"/>
      <c r="BF375" s="66"/>
      <c r="BG375" s="66"/>
      <c r="BH375" s="24"/>
      <c r="BL375" s="14"/>
      <c r="BM375" s="14"/>
      <c r="BO375" s="24"/>
      <c r="CE375" s="24"/>
      <c r="CT375" s="14"/>
    </row>
    <row r="376" spans="1:98">
      <c r="A376" s="24"/>
      <c r="B376" s="24"/>
      <c r="H376" s="14"/>
      <c r="P376" s="24"/>
      <c r="W376" s="24"/>
      <c r="AC376" s="14"/>
      <c r="AK376" s="71"/>
      <c r="AL376" s="66"/>
      <c r="AM376" s="66"/>
      <c r="AN376" s="66"/>
      <c r="AO376" s="66"/>
      <c r="AP376" s="66"/>
      <c r="AQ376" s="66"/>
      <c r="AR376" s="71"/>
      <c r="AU376" s="8"/>
      <c r="BC376" s="66"/>
      <c r="BD376" s="66"/>
      <c r="BE376" s="66"/>
      <c r="BF376" s="66"/>
      <c r="BG376" s="66"/>
      <c r="BH376" s="24"/>
      <c r="BL376" s="14"/>
      <c r="BM376" s="14"/>
      <c r="BO376" s="24"/>
      <c r="CE376" s="24"/>
      <c r="CT376" s="14"/>
    </row>
    <row r="377" spans="1:98">
      <c r="A377" s="24"/>
      <c r="B377" s="24"/>
      <c r="H377" s="14"/>
      <c r="P377" s="24"/>
      <c r="W377" s="24"/>
      <c r="AC377" s="14"/>
      <c r="AK377" s="71"/>
      <c r="AL377" s="66"/>
      <c r="AM377" s="66"/>
      <c r="AN377" s="66"/>
      <c r="AO377" s="66"/>
      <c r="AP377" s="66"/>
      <c r="AQ377" s="66"/>
      <c r="AR377" s="71"/>
      <c r="AU377" s="8"/>
      <c r="BC377" s="66"/>
      <c r="BD377" s="66"/>
      <c r="BE377" s="66"/>
      <c r="BF377" s="66"/>
      <c r="BG377" s="66"/>
      <c r="BH377" s="24"/>
      <c r="BL377" s="14"/>
      <c r="BM377" s="14"/>
      <c r="BO377" s="24"/>
      <c r="CE377" s="24"/>
      <c r="CT377" s="14"/>
    </row>
    <row r="378" spans="1:98">
      <c r="A378" s="24"/>
      <c r="B378" s="24"/>
      <c r="H378" s="14"/>
      <c r="P378" s="24"/>
      <c r="W378" s="24"/>
      <c r="AC378" s="14"/>
      <c r="AK378" s="71"/>
      <c r="AL378" s="66"/>
      <c r="AM378" s="66"/>
      <c r="AN378" s="66"/>
      <c r="AO378" s="66"/>
      <c r="AP378" s="66"/>
      <c r="AQ378" s="66"/>
      <c r="AR378" s="71"/>
      <c r="AS378" s="66"/>
      <c r="AT378" s="66"/>
      <c r="AV378" s="66"/>
      <c r="AW378" s="66"/>
      <c r="AX378" s="66"/>
      <c r="AY378" s="66"/>
      <c r="AZ378" s="66"/>
      <c r="BA378" s="66"/>
      <c r="BB378" s="66"/>
      <c r="BC378" s="66"/>
      <c r="BD378" s="66"/>
      <c r="BE378" s="66"/>
      <c r="BF378" s="66"/>
      <c r="BG378" s="66"/>
      <c r="BH378" s="24"/>
      <c r="BL378" s="14"/>
      <c r="BM378" s="14"/>
      <c r="BO378" s="24"/>
      <c r="CE378" s="24"/>
      <c r="CT378" s="14"/>
    </row>
    <row r="379" spans="1:98">
      <c r="A379" s="24"/>
      <c r="B379" s="24"/>
      <c r="H379" s="14"/>
      <c r="P379" s="24"/>
      <c r="W379" s="24"/>
      <c r="AC379" s="14"/>
      <c r="AK379" s="71"/>
      <c r="AL379" s="66"/>
      <c r="AM379" s="66"/>
      <c r="AN379" s="66"/>
      <c r="AO379" s="66"/>
      <c r="AP379" s="66"/>
      <c r="AQ379" s="66"/>
      <c r="AR379" s="71"/>
      <c r="AS379" s="76" t="s">
        <v>353</v>
      </c>
      <c r="AT379" s="66"/>
      <c r="AV379"/>
      <c r="AW379"/>
      <c r="AX379"/>
      <c r="BD379" s="66"/>
      <c r="BE379" s="66"/>
      <c r="BF379" s="66"/>
      <c r="BG379" s="66"/>
      <c r="BH379" s="24"/>
      <c r="BL379" s="14"/>
      <c r="BM379" s="14"/>
      <c r="BO379" s="24"/>
      <c r="CE379" s="24"/>
      <c r="CT379" s="14"/>
    </row>
    <row r="380" spans="1:98">
      <c r="A380" s="24"/>
      <c r="B380" s="24"/>
      <c r="H380" s="14"/>
      <c r="P380" s="24"/>
      <c r="W380" s="24"/>
      <c r="AC380" s="14"/>
      <c r="AK380" s="71"/>
      <c r="AL380" s="66"/>
      <c r="AM380" s="66"/>
      <c r="AN380" s="66"/>
      <c r="AO380" s="66"/>
      <c r="AP380" s="66"/>
      <c r="AQ380" s="66"/>
      <c r="AR380" s="71"/>
      <c r="AS380" s="66"/>
      <c r="AT380" s="8" t="s">
        <v>260</v>
      </c>
      <c r="AU380" s="8"/>
      <c r="BD380" s="66"/>
      <c r="BE380" s="66"/>
      <c r="BF380" s="66"/>
      <c r="BG380" s="66"/>
      <c r="BH380" s="24"/>
      <c r="BL380" s="14"/>
      <c r="BM380" s="14"/>
      <c r="BO380" s="24"/>
      <c r="CE380" s="24"/>
      <c r="CT380" s="14"/>
    </row>
    <row r="381" spans="1:98">
      <c r="A381" s="24"/>
      <c r="B381" s="24"/>
      <c r="H381" s="14"/>
      <c r="P381" s="24"/>
      <c r="W381" s="24"/>
      <c r="AC381" s="14"/>
      <c r="AK381" s="71"/>
      <c r="AL381" s="66"/>
      <c r="AM381" s="66"/>
      <c r="AN381" s="66"/>
      <c r="AO381" s="66"/>
      <c r="AP381" s="66"/>
      <c r="AQ381" s="66"/>
      <c r="AR381" s="71"/>
      <c r="AS381" s="66"/>
      <c r="AT381" s="8" t="s">
        <v>229</v>
      </c>
      <c r="AU381" s="8"/>
      <c r="BD381" s="66"/>
      <c r="BE381" s="66"/>
      <c r="BF381" s="66"/>
      <c r="BG381" s="66"/>
      <c r="BH381" s="24"/>
      <c r="BL381" s="14"/>
      <c r="BM381" s="14"/>
      <c r="BO381" s="24"/>
      <c r="CE381" s="24"/>
      <c r="CT381" s="14"/>
    </row>
    <row r="382" spans="1:98">
      <c r="A382" s="24"/>
      <c r="B382" s="24"/>
      <c r="H382" s="14"/>
      <c r="P382" s="24"/>
      <c r="W382" s="24"/>
      <c r="AC382" s="14"/>
      <c r="AK382" s="71"/>
      <c r="AL382" s="66"/>
      <c r="AM382" s="66"/>
      <c r="AN382" s="66"/>
      <c r="AO382" s="66"/>
      <c r="AP382" s="66"/>
      <c r="AQ382" s="66"/>
      <c r="AR382" s="71"/>
      <c r="AS382" s="76"/>
      <c r="AT382" s="8" t="s">
        <v>118</v>
      </c>
      <c r="AU382" s="45" t="s">
        <v>230</v>
      </c>
      <c r="BD382" s="66"/>
      <c r="BE382" s="66"/>
      <c r="BF382" s="66"/>
      <c r="BG382" s="66"/>
      <c r="BH382" s="24"/>
      <c r="BL382" s="14"/>
      <c r="BM382" s="14"/>
      <c r="BO382" s="24"/>
      <c r="CE382" s="24"/>
      <c r="CT382" s="14"/>
    </row>
    <row r="383" spans="1:98">
      <c r="A383" s="24"/>
      <c r="B383" s="24"/>
      <c r="H383" s="14"/>
      <c r="P383" s="24"/>
      <c r="W383" s="24"/>
      <c r="AC383" s="14"/>
      <c r="AK383" s="71"/>
      <c r="AL383" s="66"/>
      <c r="AM383" s="66"/>
      <c r="AN383" s="66"/>
      <c r="AO383" s="66"/>
      <c r="AP383" s="66"/>
      <c r="AQ383" s="66"/>
      <c r="AR383" s="71"/>
      <c r="AT383" s="8" t="s">
        <v>118</v>
      </c>
      <c r="AU383" s="8" t="s">
        <v>354</v>
      </c>
      <c r="BD383" s="66"/>
      <c r="BE383" s="66"/>
      <c r="BF383" s="66"/>
      <c r="BG383" s="66"/>
      <c r="BH383" s="24"/>
      <c r="BL383" s="14"/>
      <c r="BM383" s="14"/>
      <c r="BO383" s="24"/>
      <c r="CE383" s="24"/>
      <c r="CT383" s="14"/>
    </row>
    <row r="384" spans="1:98">
      <c r="A384" s="24"/>
      <c r="B384" s="24"/>
      <c r="H384" s="14"/>
      <c r="P384" s="24"/>
      <c r="W384" s="24"/>
      <c r="AC384" s="14"/>
      <c r="AK384" s="71"/>
      <c r="AL384" s="66"/>
      <c r="AM384" s="66"/>
      <c r="AN384" s="66"/>
      <c r="AO384" s="66"/>
      <c r="AP384" s="66"/>
      <c r="AQ384" s="66"/>
      <c r="AR384" s="71"/>
      <c r="AT384" s="8" t="s">
        <v>118</v>
      </c>
      <c r="AU384" s="8" t="s">
        <v>355</v>
      </c>
      <c r="BD384" s="66"/>
      <c r="BE384" s="66"/>
      <c r="BF384" s="66"/>
      <c r="BG384" s="66"/>
      <c r="BH384" s="24"/>
      <c r="BL384" s="14"/>
      <c r="BM384" s="14"/>
      <c r="BO384" s="24"/>
      <c r="CE384" s="24"/>
      <c r="CT384" s="14"/>
    </row>
    <row r="385" spans="1:98">
      <c r="A385" s="24"/>
      <c r="B385" s="24"/>
      <c r="H385" s="14"/>
      <c r="P385" s="24"/>
      <c r="W385" s="24"/>
      <c r="AC385" s="14"/>
      <c r="AK385" s="71"/>
      <c r="AL385" s="66"/>
      <c r="AM385" s="66"/>
      <c r="AN385" s="66"/>
      <c r="AO385" s="66"/>
      <c r="AP385" s="66"/>
      <c r="AQ385" s="66"/>
      <c r="AR385" s="71"/>
      <c r="AU385" s="8"/>
      <c r="BD385" s="66"/>
      <c r="BE385" s="66"/>
      <c r="BF385" s="66"/>
      <c r="BG385" s="66"/>
      <c r="BH385" s="24"/>
      <c r="BL385" s="14"/>
      <c r="BM385" s="14"/>
      <c r="BO385" s="24"/>
      <c r="CE385" s="24"/>
      <c r="CT385" s="14"/>
    </row>
    <row r="386" spans="1:98">
      <c r="A386" s="24"/>
      <c r="B386" s="24"/>
      <c r="H386" s="14"/>
      <c r="P386" s="24"/>
      <c r="W386" s="24"/>
      <c r="AC386" s="14"/>
      <c r="AK386" s="71"/>
      <c r="AL386" s="66"/>
      <c r="AM386" s="66"/>
      <c r="AN386" s="66"/>
      <c r="AO386" s="66"/>
      <c r="AP386" s="66"/>
      <c r="AQ386" s="66"/>
      <c r="AR386" s="71"/>
      <c r="AU386" s="8"/>
      <c r="BD386" s="66"/>
      <c r="BE386" s="66"/>
      <c r="BF386" s="66"/>
      <c r="BG386" s="66"/>
      <c r="BH386" s="24"/>
      <c r="BL386" s="14"/>
      <c r="BM386" s="14"/>
      <c r="BO386" s="24"/>
      <c r="CE386" s="24"/>
      <c r="CT386" s="14"/>
    </row>
    <row r="387" spans="1:98">
      <c r="A387" s="24"/>
      <c r="B387" s="24"/>
      <c r="H387" s="14"/>
      <c r="P387" s="28"/>
      <c r="Q387"/>
      <c r="R387"/>
      <c r="S387"/>
      <c r="T387"/>
      <c r="U387"/>
      <c r="V387"/>
      <c r="W387" s="24"/>
      <c r="X387"/>
      <c r="Y387"/>
      <c r="Z387"/>
      <c r="AA387"/>
      <c r="AB387"/>
      <c r="AC387" s="14"/>
      <c r="AD387"/>
      <c r="AE387"/>
      <c r="AF387"/>
      <c r="AG387"/>
      <c r="AH387"/>
      <c r="AI387"/>
      <c r="AJ387"/>
      <c r="AK387" s="28"/>
      <c r="AL387"/>
      <c r="AM387"/>
      <c r="AN387"/>
      <c r="AO387"/>
      <c r="AP387"/>
      <c r="AQ387"/>
      <c r="AR387" s="71"/>
      <c r="AU387" s="8"/>
      <c r="BD387"/>
      <c r="BE387"/>
      <c r="BF387" s="66"/>
      <c r="BG387" s="66"/>
      <c r="BH387" s="24"/>
      <c r="BL387" s="14"/>
      <c r="BM387" s="14"/>
      <c r="BO387" s="24"/>
      <c r="CE387" s="24"/>
      <c r="CT387" s="14"/>
    </row>
    <row r="388" spans="1:98">
      <c r="A388" s="24"/>
      <c r="B388" s="24"/>
      <c r="H388" s="14"/>
      <c r="P388" s="28"/>
      <c r="Q388"/>
      <c r="R388"/>
      <c r="S388"/>
      <c r="T388"/>
      <c r="U388"/>
      <c r="V388" s="14"/>
      <c r="W388" s="24"/>
      <c r="X388"/>
      <c r="Y388"/>
      <c r="Z388"/>
      <c r="AA388"/>
      <c r="AB388"/>
      <c r="AC388" s="14"/>
      <c r="AD388"/>
      <c r="AE388"/>
      <c r="AF388"/>
      <c r="AG388"/>
      <c r="AH388"/>
      <c r="AI388"/>
      <c r="AJ388"/>
      <c r="AK388" s="28"/>
      <c r="AL388"/>
      <c r="AM388"/>
      <c r="AN388"/>
      <c r="AO388"/>
      <c r="AP388"/>
      <c r="AQ388"/>
      <c r="AR388" s="71"/>
      <c r="AU388" s="8"/>
      <c r="BD388"/>
      <c r="BE388"/>
      <c r="BF388" s="66"/>
      <c r="BG388" s="66"/>
      <c r="BH388" s="24"/>
      <c r="BL388" s="14"/>
      <c r="BM388" s="14"/>
      <c r="BO388" s="24"/>
      <c r="CE388" s="24"/>
      <c r="CT388" s="14"/>
    </row>
    <row r="389" spans="1:98">
      <c r="A389" s="24"/>
      <c r="B389" s="24"/>
      <c r="H389" s="14"/>
      <c r="P389" s="24"/>
      <c r="W389" s="24"/>
      <c r="AC389" s="14"/>
      <c r="AK389" s="71"/>
      <c r="AL389" s="66"/>
      <c r="AM389" s="66"/>
      <c r="AN389" s="66"/>
      <c r="AO389" s="66"/>
      <c r="AP389" s="66"/>
      <c r="AQ389" s="66"/>
      <c r="AR389" s="71"/>
      <c r="AX389" s="66"/>
      <c r="AY389" s="66"/>
      <c r="AZ389" s="66"/>
      <c r="BA389" s="66"/>
      <c r="BD389" s="66"/>
      <c r="BE389" s="66"/>
      <c r="BF389" s="66"/>
      <c r="BG389" s="66"/>
      <c r="BH389" s="24"/>
      <c r="BL389" s="14"/>
      <c r="BM389" s="14"/>
      <c r="BO389" s="24"/>
      <c r="CE389" s="24"/>
      <c r="CT389" s="14"/>
    </row>
    <row r="390" spans="1:98">
      <c r="A390" s="24"/>
      <c r="B390" s="24"/>
      <c r="H390" s="14"/>
      <c r="P390" s="24"/>
      <c r="W390" s="24"/>
      <c r="AC390" s="14"/>
      <c r="AK390" s="71"/>
      <c r="AL390" s="66"/>
      <c r="AM390" s="66"/>
      <c r="AN390" s="66"/>
      <c r="AO390" s="66"/>
      <c r="AP390" s="66"/>
      <c r="AQ390" s="66"/>
      <c r="AR390" s="71"/>
      <c r="AS390" s="80" t="s">
        <v>356</v>
      </c>
      <c r="AT390" s="70"/>
      <c r="AU390" s="70"/>
      <c r="AV390" s="70"/>
      <c r="AW390" s="66"/>
      <c r="AX390" s="66"/>
      <c r="AY390" s="66"/>
      <c r="AZ390" s="66"/>
      <c r="BA390" s="66"/>
      <c r="BD390" s="66"/>
      <c r="BE390" s="66"/>
      <c r="BF390" s="66"/>
      <c r="BG390" s="66"/>
      <c r="BH390" s="24"/>
      <c r="BL390" s="14"/>
      <c r="BM390" s="14"/>
      <c r="BO390" s="24"/>
      <c r="CE390" s="24"/>
      <c r="CT390" s="14"/>
    </row>
    <row r="391" spans="1:98">
      <c r="A391" s="24"/>
      <c r="B391" s="24"/>
      <c r="H391" s="14"/>
      <c r="P391" s="24"/>
      <c r="W391" s="24"/>
      <c r="AC391" s="14"/>
      <c r="AK391" s="71"/>
      <c r="AL391" s="66"/>
      <c r="AM391" s="66"/>
      <c r="AN391" s="66"/>
      <c r="AO391" s="66"/>
      <c r="AP391" s="66"/>
      <c r="AQ391" s="66"/>
      <c r="AR391" s="71"/>
      <c r="AS391" s="70"/>
      <c r="AT391" s="66" t="s">
        <v>357</v>
      </c>
      <c r="AU391" s="70"/>
      <c r="AV391" s="70"/>
      <c r="AW391" s="66"/>
      <c r="AX391" s="66"/>
      <c r="AY391" s="66"/>
      <c r="AZ391" s="66"/>
      <c r="BA391" s="66"/>
      <c r="BD391" s="66"/>
      <c r="BE391" s="66"/>
      <c r="BF391" s="66"/>
      <c r="BG391" s="66"/>
      <c r="BH391" s="24"/>
      <c r="BL391" s="14"/>
      <c r="BM391" s="14"/>
      <c r="BO391" s="24"/>
      <c r="CE391" s="24"/>
      <c r="CT391" s="14"/>
    </row>
    <row r="392" spans="1:98">
      <c r="A392" s="24"/>
      <c r="B392" s="24"/>
      <c r="H392" s="14"/>
      <c r="P392" s="24"/>
      <c r="W392" s="24"/>
      <c r="AC392" s="14"/>
      <c r="AK392" s="71"/>
      <c r="AL392" s="66"/>
      <c r="AM392" s="66"/>
      <c r="AN392" s="66"/>
      <c r="AO392" s="66"/>
      <c r="AP392" s="66"/>
      <c r="AQ392" s="66"/>
      <c r="AR392" s="71"/>
      <c r="AX392" s="66"/>
      <c r="AY392" s="66"/>
      <c r="AZ392" s="66"/>
      <c r="BA392" s="66"/>
      <c r="BD392" s="66"/>
      <c r="BE392" s="66"/>
      <c r="BF392" s="66"/>
      <c r="BG392" s="66"/>
      <c r="BH392" s="24"/>
      <c r="BL392" s="14"/>
      <c r="BM392" s="14"/>
      <c r="BO392" s="24"/>
      <c r="CE392" s="24"/>
      <c r="CT392" s="14"/>
    </row>
    <row r="393" spans="1:98">
      <c r="A393" s="24"/>
      <c r="B393" s="24"/>
      <c r="H393" s="14"/>
      <c r="P393" s="24"/>
      <c r="W393" s="24"/>
      <c r="AC393" s="14"/>
      <c r="AK393" s="71"/>
      <c r="AL393" s="66"/>
      <c r="AM393" s="66"/>
      <c r="AN393" s="66"/>
      <c r="AO393" s="66"/>
      <c r="AP393" s="66"/>
      <c r="AQ393" s="66"/>
      <c r="AR393" s="71"/>
      <c r="AT393" s="74"/>
      <c r="AU393" s="45"/>
      <c r="AV393" s="66"/>
      <c r="AW393" s="66"/>
      <c r="AX393" s="66"/>
      <c r="AY393" s="66"/>
      <c r="BD393" s="66"/>
      <c r="BE393" s="66"/>
      <c r="BF393" s="66"/>
      <c r="BG393" s="66"/>
      <c r="BH393" s="24"/>
      <c r="BL393" s="14"/>
      <c r="BM393" s="14"/>
      <c r="BO393" s="24"/>
      <c r="CE393" s="24"/>
      <c r="CT393" s="14"/>
    </row>
    <row r="394" spans="1:98">
      <c r="A394" s="24"/>
      <c r="B394" s="24"/>
      <c r="H394" s="14"/>
      <c r="P394" s="24"/>
      <c r="W394" s="24"/>
      <c r="AC394" s="14"/>
      <c r="AK394" s="71"/>
      <c r="AL394" s="66"/>
      <c r="AM394" s="66"/>
      <c r="AN394" s="66"/>
      <c r="AO394" s="66"/>
      <c r="AP394" s="66"/>
      <c r="AQ394" s="66"/>
      <c r="AR394" s="71"/>
      <c r="AX394" s="66"/>
      <c r="AY394" s="66"/>
      <c r="AZ394" s="66"/>
      <c r="BA394" s="66"/>
      <c r="BD394" s="66"/>
      <c r="BE394" s="66"/>
      <c r="BF394" s="66"/>
      <c r="BG394" s="66"/>
      <c r="BH394" s="24"/>
      <c r="BL394" s="14"/>
      <c r="BM394" s="14"/>
      <c r="BO394" s="24"/>
      <c r="CE394" s="24"/>
      <c r="CT394" s="14"/>
    </row>
    <row r="395" spans="1:98">
      <c r="A395" s="24"/>
      <c r="B395" s="24"/>
      <c r="H395" s="14"/>
      <c r="P395" s="24"/>
      <c r="W395" s="24"/>
      <c r="AC395" s="14"/>
      <c r="AK395" s="71"/>
      <c r="AL395" s="66"/>
      <c r="AM395" s="66"/>
      <c r="AN395" s="66"/>
      <c r="AO395" s="66"/>
      <c r="AP395" s="66"/>
      <c r="AQ395" s="66"/>
      <c r="AR395" s="71"/>
      <c r="AS395" s="80" t="s">
        <v>358</v>
      </c>
      <c r="AT395" s="70"/>
      <c r="AU395" s="70"/>
      <c r="AV395" s="66"/>
      <c r="AW395" s="66"/>
      <c r="AX395" s="66"/>
      <c r="AY395" s="66"/>
      <c r="AZ395" s="66"/>
      <c r="BA395" s="66"/>
      <c r="BD395" s="66"/>
      <c r="BE395" s="66"/>
      <c r="BF395" s="66"/>
      <c r="BG395" s="66"/>
      <c r="BH395" s="24"/>
      <c r="BL395" s="14"/>
      <c r="BM395" s="14"/>
      <c r="BO395" s="24"/>
      <c r="CE395" s="24"/>
      <c r="CT395" s="14"/>
    </row>
    <row r="396" spans="1:98">
      <c r="A396" s="24"/>
      <c r="B396" s="24"/>
      <c r="H396" s="14"/>
      <c r="P396" s="24"/>
      <c r="W396" s="24"/>
      <c r="AC396" s="14"/>
      <c r="AK396" s="71"/>
      <c r="AL396" s="66"/>
      <c r="AM396" s="66"/>
      <c r="AN396" s="66"/>
      <c r="AO396" s="66"/>
      <c r="AP396" s="66"/>
      <c r="AQ396" s="66"/>
      <c r="AR396" s="71"/>
      <c r="AS396" s="70"/>
      <c r="AT396" s="8" t="s">
        <v>186</v>
      </c>
      <c r="AU396" s="8"/>
      <c r="AV396" s="66"/>
      <c r="AW396" s="66"/>
      <c r="AX396" s="66"/>
      <c r="AY396" s="66"/>
      <c r="AZ396" s="66"/>
      <c r="BA396" s="66"/>
      <c r="BD396" s="66"/>
      <c r="BE396" s="66"/>
      <c r="BF396" s="66"/>
      <c r="BG396" s="66"/>
      <c r="BH396" s="24"/>
      <c r="BL396" s="14"/>
      <c r="BM396" s="14"/>
      <c r="BO396" s="24"/>
      <c r="CE396" s="24"/>
      <c r="CT396" s="14"/>
    </row>
    <row r="397" spans="1:98">
      <c r="A397" s="24"/>
      <c r="B397" s="24"/>
      <c r="H397" s="14"/>
      <c r="P397" s="24"/>
      <c r="W397" s="24"/>
      <c r="AC397" s="14"/>
      <c r="AK397" s="71"/>
      <c r="AL397" s="66"/>
      <c r="AM397" s="66"/>
      <c r="AN397" s="66"/>
      <c r="AO397" s="66"/>
      <c r="AP397" s="66"/>
      <c r="AQ397" s="66"/>
      <c r="AR397" s="71"/>
      <c r="AS397" s="66"/>
      <c r="AT397" s="70"/>
      <c r="AV397" s="66"/>
      <c r="AW397" s="66"/>
      <c r="AX397" s="66"/>
      <c r="AY397" s="66"/>
      <c r="AZ397" s="66"/>
      <c r="BA397" s="66"/>
      <c r="BD397" s="66"/>
      <c r="BE397" s="66"/>
      <c r="BF397" s="66"/>
      <c r="BG397" s="66"/>
      <c r="BH397" s="24"/>
      <c r="BL397" s="14"/>
      <c r="BM397" s="14"/>
      <c r="BO397" s="24"/>
      <c r="CE397" s="24"/>
      <c r="CT397" s="14"/>
    </row>
    <row r="398" spans="1:98">
      <c r="A398" s="24"/>
      <c r="B398" s="24"/>
      <c r="H398" s="14"/>
      <c r="P398" s="24"/>
      <c r="W398" s="24"/>
      <c r="AC398" s="14"/>
      <c r="AK398" s="71"/>
      <c r="AL398" s="66"/>
      <c r="AM398" s="66"/>
      <c r="AN398" s="66"/>
      <c r="AO398" s="66"/>
      <c r="AP398" s="66"/>
      <c r="AQ398" s="66"/>
      <c r="AR398" s="71"/>
      <c r="AS398" s="66"/>
      <c r="AT398" s="70"/>
      <c r="AV398" s="66"/>
      <c r="AW398" s="66"/>
      <c r="AX398" s="66"/>
      <c r="AY398" s="66"/>
      <c r="AZ398" s="66"/>
      <c r="BA398" s="66"/>
      <c r="BD398" s="66"/>
      <c r="BE398" s="66"/>
      <c r="BF398" s="66"/>
      <c r="BG398" s="66"/>
      <c r="BH398" s="24"/>
      <c r="BL398" s="14"/>
      <c r="BM398" s="14"/>
      <c r="BO398" s="24"/>
      <c r="CE398" s="24"/>
      <c r="CT398" s="14"/>
    </row>
    <row r="399" spans="1:98">
      <c r="A399" s="24"/>
      <c r="B399" s="24"/>
      <c r="H399" s="14"/>
      <c r="P399" s="24"/>
      <c r="W399" s="24"/>
      <c r="AC399" s="14"/>
      <c r="AK399" s="71"/>
      <c r="AL399" s="66"/>
      <c r="AM399" s="66"/>
      <c r="AN399" s="66"/>
      <c r="AO399" s="66"/>
      <c r="AP399" s="66"/>
      <c r="AQ399" s="66"/>
      <c r="AR399" s="71"/>
      <c r="AS399" s="66"/>
      <c r="AT399" s="78"/>
      <c r="AV399" s="66"/>
      <c r="AW399" s="66"/>
      <c r="AX399" s="66"/>
      <c r="AY399" s="66"/>
      <c r="AZ399" s="66"/>
      <c r="BA399" s="66"/>
      <c r="BD399" s="66"/>
      <c r="BE399" s="66"/>
      <c r="BF399" s="66"/>
      <c r="BG399" s="66"/>
      <c r="BH399" s="24"/>
      <c r="BL399" s="14"/>
      <c r="BM399" s="14"/>
      <c r="BO399" s="24"/>
      <c r="CE399" s="24"/>
      <c r="CT399" s="14"/>
    </row>
    <row r="400" spans="1:98">
      <c r="A400" s="24"/>
      <c r="B400" s="24"/>
      <c r="H400" s="14"/>
      <c r="P400" s="24"/>
      <c r="W400" s="24"/>
      <c r="AC400" s="14"/>
      <c r="AK400" s="71"/>
      <c r="AL400" s="66"/>
      <c r="AM400" s="66"/>
      <c r="AN400" s="66"/>
      <c r="AO400" s="66"/>
      <c r="AP400" s="66"/>
      <c r="AQ400" s="66"/>
      <c r="AR400" s="71"/>
      <c r="AY400" s="66"/>
      <c r="AZ400" s="66"/>
      <c r="BA400" s="66"/>
      <c r="BD400" s="66"/>
      <c r="BE400" s="66"/>
      <c r="BF400" s="66"/>
      <c r="BG400" s="66"/>
      <c r="BH400" s="24"/>
      <c r="BL400" s="14"/>
      <c r="BM400" s="14"/>
      <c r="BO400" s="24"/>
      <c r="CE400" s="24"/>
      <c r="CT400" s="14"/>
    </row>
    <row r="401" spans="1:98">
      <c r="A401" s="24"/>
      <c r="B401" s="24"/>
      <c r="H401" s="14"/>
      <c r="P401" s="24"/>
      <c r="W401" s="24"/>
      <c r="AC401" s="14"/>
      <c r="AK401" s="71"/>
      <c r="AL401" s="66"/>
      <c r="AM401" s="66"/>
      <c r="AN401" s="66"/>
      <c r="AO401" s="66"/>
      <c r="AP401" s="66"/>
      <c r="AQ401" s="66"/>
      <c r="AR401" s="71"/>
      <c r="AY401" s="66"/>
      <c r="AZ401" s="66"/>
      <c r="BA401" s="66"/>
      <c r="BD401" s="66"/>
      <c r="BE401" s="66"/>
      <c r="BF401" s="66"/>
      <c r="BG401" s="66"/>
      <c r="BH401" s="24"/>
      <c r="BL401" s="14"/>
      <c r="BM401" s="14"/>
      <c r="BO401" s="24"/>
      <c r="CE401" s="24"/>
      <c r="CT401" s="14"/>
    </row>
    <row r="402" spans="1:98">
      <c r="A402" s="24"/>
      <c r="B402" s="24"/>
      <c r="H402" s="14"/>
      <c r="P402" s="24"/>
      <c r="W402" s="24"/>
      <c r="AC402" s="14"/>
      <c r="AK402" s="71"/>
      <c r="AL402" s="66"/>
      <c r="AM402" s="66"/>
      <c r="AN402" s="66"/>
      <c r="AO402" s="66"/>
      <c r="AP402" s="66"/>
      <c r="AQ402" s="66"/>
      <c r="AR402" s="71"/>
      <c r="AS402" s="80" t="s">
        <v>359</v>
      </c>
      <c r="AT402" s="66"/>
      <c r="AV402" s="66"/>
      <c r="AW402" s="66"/>
      <c r="AX402" s="66"/>
      <c r="AY402" s="66"/>
      <c r="AZ402" s="66"/>
      <c r="BA402" s="66"/>
      <c r="BD402" s="66"/>
      <c r="BE402" s="66"/>
      <c r="BF402" s="66"/>
      <c r="BG402" s="66"/>
      <c r="BH402" s="24"/>
      <c r="BL402" s="14"/>
      <c r="BM402" s="14"/>
      <c r="BO402" s="24"/>
      <c r="CE402" s="24"/>
      <c r="CT402" s="14"/>
    </row>
    <row r="403" spans="1:98">
      <c r="A403" s="24"/>
      <c r="B403" s="24"/>
      <c r="H403" s="14"/>
      <c r="P403" s="24"/>
      <c r="W403" s="24"/>
      <c r="AC403" s="14"/>
      <c r="AK403" s="71"/>
      <c r="AL403" s="66"/>
      <c r="AM403" s="66"/>
      <c r="AN403" s="66"/>
      <c r="AO403" s="66"/>
      <c r="AP403" s="66"/>
      <c r="AQ403" s="66"/>
      <c r="AR403" s="71"/>
      <c r="AS403" s="77"/>
      <c r="AT403" s="8" t="s">
        <v>188</v>
      </c>
      <c r="AV403" s="66"/>
      <c r="AW403" s="66"/>
      <c r="AX403" s="66"/>
      <c r="AY403" s="66"/>
      <c r="AZ403" s="66"/>
      <c r="BA403" s="66"/>
      <c r="BD403" s="66"/>
      <c r="BE403" s="66"/>
      <c r="BF403" s="66"/>
      <c r="BG403" s="66"/>
      <c r="BH403" s="24"/>
      <c r="BL403" s="14"/>
      <c r="BM403" s="14"/>
      <c r="BO403" s="24"/>
      <c r="CE403" s="24"/>
      <c r="CT403" s="14"/>
    </row>
    <row r="404" spans="1:98">
      <c r="A404" s="24"/>
      <c r="B404" s="24"/>
      <c r="H404" s="14"/>
      <c r="P404" s="24"/>
      <c r="W404" s="24"/>
      <c r="AC404" s="14"/>
      <c r="AK404" s="71"/>
      <c r="AL404" s="66"/>
      <c r="AM404" s="66"/>
      <c r="AN404" s="66"/>
      <c r="AO404" s="66"/>
      <c r="AP404" s="66"/>
      <c r="AQ404" s="66"/>
      <c r="AR404" s="71"/>
      <c r="AS404" s="66"/>
      <c r="AV404" s="66"/>
      <c r="AW404" s="66"/>
      <c r="AX404" s="66"/>
      <c r="AY404" s="66"/>
      <c r="AZ404" s="66"/>
      <c r="BA404" s="66"/>
      <c r="BD404" s="66"/>
      <c r="BE404" s="66"/>
      <c r="BF404" s="66"/>
      <c r="BG404" s="66"/>
      <c r="BH404" s="24"/>
      <c r="BL404" s="14"/>
      <c r="BM404" s="14"/>
      <c r="BO404" s="24"/>
      <c r="CE404" s="24"/>
      <c r="CT404" s="14"/>
    </row>
    <row r="405" spans="1:98">
      <c r="A405" s="24"/>
      <c r="B405" s="24"/>
      <c r="H405" s="14"/>
      <c r="P405" s="24"/>
      <c r="W405" s="24"/>
      <c r="AC405" s="14"/>
      <c r="AK405" s="71"/>
      <c r="AL405" s="66"/>
      <c r="AM405" s="66"/>
      <c r="AN405" s="66"/>
      <c r="AO405" s="66"/>
      <c r="AP405" s="66"/>
      <c r="AQ405" s="66"/>
      <c r="AR405" s="71"/>
      <c r="BD405" s="66"/>
      <c r="BE405" s="66"/>
      <c r="BF405" s="66"/>
      <c r="BG405" s="66"/>
      <c r="BH405" s="24"/>
      <c r="BL405" s="14"/>
      <c r="BM405" s="14"/>
      <c r="BO405" s="24"/>
      <c r="CE405" s="24"/>
      <c r="CT405" s="14"/>
    </row>
    <row r="406" spans="1:98">
      <c r="A406" s="24"/>
      <c r="B406" s="24"/>
      <c r="H406" s="14"/>
      <c r="P406" s="24"/>
      <c r="W406" s="24"/>
      <c r="AC406" s="14"/>
      <c r="AK406" s="71"/>
      <c r="AL406" s="66"/>
      <c r="AM406" s="66"/>
      <c r="AN406" s="66"/>
      <c r="AO406" s="66"/>
      <c r="AP406" s="66"/>
      <c r="AQ406" s="66"/>
      <c r="AR406" s="71"/>
      <c r="AU406" s="8"/>
      <c r="BD406" s="66"/>
      <c r="BE406" s="66"/>
      <c r="BF406" s="66"/>
      <c r="BG406" s="66"/>
      <c r="BH406" s="24"/>
      <c r="BL406" s="14"/>
      <c r="BM406" s="14"/>
      <c r="BO406" s="24"/>
      <c r="CE406" s="24"/>
      <c r="CT406" s="14"/>
    </row>
    <row r="407" spans="1:98">
      <c r="A407" s="24"/>
      <c r="B407" s="24"/>
      <c r="H407" s="14"/>
      <c r="P407" s="24"/>
      <c r="W407" s="24"/>
      <c r="AC407" s="14"/>
      <c r="AK407" s="71"/>
      <c r="AL407" s="66"/>
      <c r="AM407" s="66"/>
      <c r="AN407" s="66"/>
      <c r="AO407" s="66"/>
      <c r="AP407" s="66"/>
      <c r="AQ407" s="66"/>
      <c r="AR407" s="71"/>
      <c r="AU407" s="8"/>
      <c r="BD407" s="66"/>
      <c r="BE407" s="66"/>
      <c r="BF407" s="66"/>
      <c r="BG407" s="66"/>
      <c r="BH407" s="24"/>
      <c r="BL407" s="14"/>
      <c r="BM407" s="14"/>
      <c r="BO407" s="24"/>
      <c r="CE407" s="24"/>
      <c r="CT407" s="14"/>
    </row>
    <row r="408" spans="1:98">
      <c r="A408" s="24"/>
      <c r="B408" s="24"/>
      <c r="H408" s="14"/>
      <c r="P408" s="24"/>
      <c r="W408" s="24"/>
      <c r="AC408" s="14"/>
      <c r="AK408" s="71"/>
      <c r="AL408" s="66"/>
      <c r="AM408" s="66"/>
      <c r="AN408" s="66"/>
      <c r="AO408" s="66"/>
      <c r="AP408" s="66"/>
      <c r="AQ408" s="66"/>
      <c r="AR408" s="71"/>
      <c r="AZ408"/>
      <c r="BA408"/>
      <c r="BD408" s="66"/>
      <c r="BE408" s="66"/>
      <c r="BF408" s="66"/>
      <c r="BG408" s="66"/>
      <c r="BH408" s="24"/>
      <c r="BL408" s="14"/>
      <c r="BM408" s="14"/>
      <c r="BO408" s="24"/>
      <c r="CE408" s="24"/>
      <c r="CT408" s="14"/>
    </row>
    <row r="409" spans="1:98">
      <c r="A409" s="24"/>
      <c r="B409" s="24"/>
      <c r="H409" s="14"/>
      <c r="P409" s="24"/>
      <c r="W409" s="24"/>
      <c r="AC409" s="14"/>
      <c r="AK409" s="71"/>
      <c r="AL409" s="66"/>
      <c r="AM409" s="66"/>
      <c r="AN409" s="66"/>
      <c r="AO409" s="66"/>
      <c r="AP409" s="66"/>
      <c r="AQ409" s="66"/>
      <c r="AR409" s="71"/>
      <c r="AY409" s="66"/>
      <c r="AZ409"/>
      <c r="BA409"/>
      <c r="BD409" s="66"/>
      <c r="BE409" s="66"/>
      <c r="BF409" s="66"/>
      <c r="BG409" s="66"/>
      <c r="BH409" s="24"/>
      <c r="BL409" s="14"/>
      <c r="BM409" s="14"/>
      <c r="BO409" s="24"/>
      <c r="CE409" s="24"/>
      <c r="CT409" s="14"/>
    </row>
    <row r="410" spans="1:98">
      <c r="A410" s="24"/>
      <c r="B410" s="24"/>
      <c r="H410" s="14"/>
      <c r="P410" s="24"/>
      <c r="W410" s="24"/>
      <c r="AC410" s="14"/>
      <c r="AK410" s="71"/>
      <c r="AL410" s="66"/>
      <c r="AM410" s="66"/>
      <c r="AN410" s="66"/>
      <c r="AO410" s="66"/>
      <c r="AP410" s="66"/>
      <c r="AQ410" s="66"/>
      <c r="AR410" s="71"/>
      <c r="AY410" s="66"/>
      <c r="AZ410" s="66"/>
      <c r="BA410" s="66"/>
      <c r="BD410" s="66"/>
      <c r="BE410" s="66"/>
      <c r="BF410" s="66"/>
      <c r="BG410" s="66"/>
      <c r="BH410" s="24"/>
      <c r="BL410" s="14"/>
      <c r="BM410" s="14"/>
      <c r="BO410" s="24"/>
      <c r="CE410" s="24"/>
      <c r="CT410" s="14"/>
    </row>
    <row r="411" spans="1:98">
      <c r="A411" s="24"/>
      <c r="B411" s="24"/>
      <c r="H411" s="14"/>
      <c r="P411" s="24"/>
      <c r="W411" s="24"/>
      <c r="AC411" s="14"/>
      <c r="AK411" s="71"/>
      <c r="AL411" s="66"/>
      <c r="AM411" s="66"/>
      <c r="AN411" s="66"/>
      <c r="AO411" s="66"/>
      <c r="AP411" s="66"/>
      <c r="AQ411" s="66"/>
      <c r="AR411" s="71"/>
      <c r="AU411" s="8"/>
      <c r="AY411"/>
      <c r="AZ411" s="66"/>
      <c r="BA411" s="66"/>
      <c r="BD411" s="66"/>
      <c r="BE411" s="66"/>
      <c r="BF411" s="66"/>
      <c r="BG411" s="66"/>
      <c r="BH411" s="24"/>
      <c r="BL411" s="14"/>
      <c r="BM411" s="14"/>
      <c r="BO411" s="24"/>
      <c r="CE411" s="24"/>
      <c r="CT411" s="14"/>
    </row>
    <row r="412" spans="1:98">
      <c r="A412" s="24"/>
      <c r="B412" s="24"/>
      <c r="H412" s="14"/>
      <c r="P412" s="24"/>
      <c r="W412" s="24"/>
      <c r="AC412" s="14"/>
      <c r="AK412" s="71"/>
      <c r="AL412" s="66"/>
      <c r="AM412" s="66"/>
      <c r="AN412" s="66"/>
      <c r="AO412" s="66"/>
      <c r="AP412" s="66"/>
      <c r="AQ412" s="66"/>
      <c r="AR412" s="71"/>
      <c r="AS412" s="16" t="s">
        <v>360</v>
      </c>
      <c r="AU412" s="8"/>
      <c r="AY412"/>
      <c r="AZ412" s="66"/>
      <c r="BA412" s="66"/>
      <c r="BD412" s="66"/>
      <c r="BE412" s="66"/>
      <c r="BF412" s="66"/>
      <c r="BG412" s="66"/>
      <c r="BH412" s="24"/>
      <c r="BL412" s="14"/>
      <c r="BM412" s="14"/>
      <c r="BO412" s="24"/>
      <c r="CE412" s="24"/>
      <c r="CT412" s="14"/>
    </row>
    <row r="413" spans="1:98">
      <c r="A413" s="24"/>
      <c r="B413" s="24"/>
      <c r="H413" s="14"/>
      <c r="P413" s="24"/>
      <c r="W413" s="24"/>
      <c r="AC413" s="14"/>
      <c r="AK413" s="71"/>
      <c r="AL413" s="66"/>
      <c r="AM413" s="66"/>
      <c r="AN413" s="66"/>
      <c r="AO413" s="66"/>
      <c r="AP413" s="66"/>
      <c r="AQ413" s="66"/>
      <c r="AR413" s="71"/>
      <c r="AT413" s="8" t="s">
        <v>361</v>
      </c>
      <c r="AU413" s="8"/>
      <c r="AY413" s="66"/>
      <c r="AZ413" s="66"/>
      <c r="BA413" s="66"/>
      <c r="BD413" s="66"/>
      <c r="BE413" s="66"/>
      <c r="BF413" s="66"/>
      <c r="BG413" s="66"/>
      <c r="BH413" s="24"/>
      <c r="BL413" s="14"/>
      <c r="BM413" s="14"/>
      <c r="BO413" s="24"/>
      <c r="CE413" s="24"/>
      <c r="CT413" s="14"/>
    </row>
    <row r="414" spans="1:98">
      <c r="A414" s="24"/>
      <c r="B414" s="24"/>
      <c r="H414" s="14"/>
      <c r="P414" s="24"/>
      <c r="W414" s="24"/>
      <c r="AC414" s="14"/>
      <c r="AK414" s="71"/>
      <c r="AL414" s="66"/>
      <c r="AM414" s="66"/>
      <c r="AN414" s="66"/>
      <c r="AO414" s="66"/>
      <c r="AP414" s="66"/>
      <c r="AQ414" s="66"/>
      <c r="AR414" s="71"/>
      <c r="AT414" s="8" t="s">
        <v>362</v>
      </c>
      <c r="AU414" s="8"/>
      <c r="BA414"/>
      <c r="BD414" s="66"/>
      <c r="BE414" s="66"/>
      <c r="BF414" s="66"/>
      <c r="BG414" s="66"/>
      <c r="BH414" s="24"/>
      <c r="BL414" s="14"/>
      <c r="BM414" s="14"/>
      <c r="BO414" s="24"/>
      <c r="CE414" s="24"/>
      <c r="CT414" s="14"/>
    </row>
    <row r="415" spans="1:98">
      <c r="A415" s="24"/>
      <c r="B415" s="24"/>
      <c r="H415" s="14"/>
      <c r="P415" s="24"/>
      <c r="W415" s="24"/>
      <c r="AC415" s="14"/>
      <c r="AK415" s="71"/>
      <c r="AL415" s="66"/>
      <c r="AM415" s="66"/>
      <c r="AN415" s="66"/>
      <c r="AO415" s="66"/>
      <c r="AP415" s="66"/>
      <c r="AQ415" s="66"/>
      <c r="AR415" s="71"/>
      <c r="AS415" s="66"/>
      <c r="AT415" s="66" t="s">
        <v>363</v>
      </c>
      <c r="AV415" s="66"/>
      <c r="AW415"/>
      <c r="AX415"/>
      <c r="BA415"/>
      <c r="BD415" s="66"/>
      <c r="BE415" s="66"/>
      <c r="BF415" s="66"/>
      <c r="BG415" s="66"/>
      <c r="BH415" s="24"/>
      <c r="BL415" s="14"/>
      <c r="BM415" s="14"/>
      <c r="BO415" s="24"/>
      <c r="CE415" s="24"/>
      <c r="CT415" s="14"/>
    </row>
    <row r="416" spans="1:98">
      <c r="A416" s="24"/>
      <c r="B416" s="24"/>
      <c r="H416" s="14"/>
      <c r="P416" s="24"/>
      <c r="W416" s="24"/>
      <c r="AC416" s="14"/>
      <c r="AK416" s="71"/>
      <c r="AL416" s="66"/>
      <c r="AM416" s="66"/>
      <c r="AN416" s="66"/>
      <c r="AO416" s="66"/>
      <c r="AP416" s="66"/>
      <c r="AQ416" s="66"/>
      <c r="AR416" s="71"/>
      <c r="AY416"/>
      <c r="AZ416"/>
      <c r="BA416"/>
      <c r="BD416" s="66"/>
      <c r="BE416" s="66"/>
      <c r="BF416" s="66"/>
      <c r="BG416" s="66"/>
      <c r="BH416" s="24"/>
      <c r="BL416" s="14"/>
      <c r="BM416" s="14"/>
      <c r="BO416" s="24"/>
      <c r="CE416" s="24"/>
      <c r="CT416" s="14"/>
    </row>
    <row r="417" spans="1:98">
      <c r="A417" s="24"/>
      <c r="B417" s="24"/>
      <c r="H417" s="14"/>
      <c r="P417" s="24"/>
      <c r="W417" s="24"/>
      <c r="AC417" s="14"/>
      <c r="AK417" s="71"/>
      <c r="AL417" s="66"/>
      <c r="AM417" s="66"/>
      <c r="AN417" s="66"/>
      <c r="AO417" s="66"/>
      <c r="AP417" s="66"/>
      <c r="AQ417" s="66"/>
      <c r="AR417" s="71"/>
      <c r="AZ417"/>
      <c r="BA417" s="66"/>
      <c r="BD417" s="66"/>
      <c r="BE417" s="66"/>
      <c r="BF417" s="66"/>
      <c r="BG417" s="66"/>
      <c r="BH417" s="24"/>
      <c r="BL417" s="14"/>
      <c r="BM417" s="14"/>
      <c r="BO417" s="24"/>
      <c r="CE417" s="24"/>
      <c r="CT417" s="14"/>
    </row>
    <row r="418" spans="1:98">
      <c r="A418" s="24"/>
      <c r="B418" s="24"/>
      <c r="H418" s="14"/>
      <c r="P418" s="24"/>
      <c r="W418" s="24"/>
      <c r="AC418" s="14"/>
      <c r="AK418" s="71"/>
      <c r="AL418" s="66"/>
      <c r="AM418" s="66"/>
      <c r="AN418" s="66"/>
      <c r="AO418" s="66"/>
      <c r="AP418" s="66"/>
      <c r="AQ418" s="66"/>
      <c r="AR418" s="71"/>
      <c r="AS418" s="76" t="s">
        <v>364</v>
      </c>
      <c r="AT418" s="66"/>
      <c r="AV418"/>
      <c r="AW418"/>
      <c r="AX418"/>
      <c r="AZ418"/>
      <c r="BA418" s="66"/>
      <c r="BD418" s="66"/>
      <c r="BE418" s="66"/>
      <c r="BF418" s="66"/>
      <c r="BG418" s="66"/>
      <c r="BH418" s="24"/>
      <c r="BL418" s="14"/>
      <c r="BM418" s="14"/>
      <c r="BO418" s="24"/>
      <c r="CE418" s="24"/>
      <c r="CT418" s="14"/>
    </row>
    <row r="419" spans="1:98">
      <c r="A419" s="24"/>
      <c r="B419" s="24"/>
      <c r="H419" s="14"/>
      <c r="P419" s="24"/>
      <c r="W419" s="24"/>
      <c r="AC419" s="14"/>
      <c r="AK419" s="71"/>
      <c r="AL419" s="66"/>
      <c r="AM419" s="66"/>
      <c r="AN419" s="66"/>
      <c r="AO419" s="66"/>
      <c r="AP419" s="66"/>
      <c r="AQ419" s="66"/>
      <c r="AR419" s="71"/>
      <c r="AS419" s="66"/>
      <c r="AT419" s="8" t="s">
        <v>194</v>
      </c>
      <c r="AU419" s="8"/>
      <c r="AY419"/>
      <c r="AZ419" s="66"/>
      <c r="BD419" s="66"/>
      <c r="BE419" s="66"/>
      <c r="BF419" s="66"/>
      <c r="BG419" s="66"/>
      <c r="BH419" s="24"/>
      <c r="BL419" s="14"/>
      <c r="BM419" s="14"/>
      <c r="BO419" s="24"/>
      <c r="CE419" s="24"/>
      <c r="CT419" s="14"/>
    </row>
    <row r="420" spans="1:98">
      <c r="A420" s="24"/>
      <c r="B420" s="24"/>
      <c r="H420" s="14"/>
      <c r="P420" s="24"/>
      <c r="W420" s="24"/>
      <c r="AC420" s="14"/>
      <c r="AK420" s="71"/>
      <c r="AL420" s="66"/>
      <c r="AM420" s="66"/>
      <c r="AN420" s="66"/>
      <c r="AO420" s="66"/>
      <c r="AP420" s="66"/>
      <c r="AQ420" s="66"/>
      <c r="AR420" s="71"/>
      <c r="AS420" s="66"/>
      <c r="AT420" s="8" t="s">
        <v>346</v>
      </c>
      <c r="AU420" s="8"/>
      <c r="AY420"/>
      <c r="AZ420" s="66"/>
      <c r="BD420" s="66"/>
      <c r="BE420" s="66"/>
      <c r="BF420" s="66"/>
      <c r="BG420" s="66"/>
      <c r="BH420" s="24"/>
      <c r="BL420" s="14"/>
      <c r="BM420" s="14"/>
      <c r="BO420" s="24"/>
      <c r="CE420" s="24"/>
      <c r="CT420" s="14"/>
    </row>
    <row r="421" spans="1:98">
      <c r="A421" s="24"/>
      <c r="B421" s="24"/>
      <c r="H421" s="14"/>
      <c r="P421" s="24"/>
      <c r="W421" s="24"/>
      <c r="AC421" s="14"/>
      <c r="AK421" s="71"/>
      <c r="AL421" s="66"/>
      <c r="AM421" s="66"/>
      <c r="AN421" s="66"/>
      <c r="AO421" s="66"/>
      <c r="AP421" s="66"/>
      <c r="AQ421" s="66"/>
      <c r="AR421" s="71"/>
      <c r="AS421" s="66"/>
      <c r="AT421" s="66" t="s">
        <v>365</v>
      </c>
      <c r="AV421"/>
      <c r="AW421"/>
      <c r="AX421"/>
      <c r="BD421" s="66"/>
      <c r="BE421" s="66"/>
      <c r="BF421" s="66"/>
      <c r="BG421" s="66"/>
      <c r="BH421" s="24"/>
      <c r="BL421" s="14"/>
      <c r="BM421" s="14"/>
      <c r="BO421" s="24"/>
      <c r="CE421" s="24"/>
      <c r="CT421" s="14"/>
    </row>
    <row r="422" spans="1:98">
      <c r="A422" s="24"/>
      <c r="B422" s="24"/>
      <c r="H422" s="14"/>
      <c r="P422" s="24"/>
      <c r="W422" s="24"/>
      <c r="AC422" s="14"/>
      <c r="AK422" s="71"/>
      <c r="AL422" s="66"/>
      <c r="AM422" s="66"/>
      <c r="AN422" s="66"/>
      <c r="AO422" s="66"/>
      <c r="AP422" s="66"/>
      <c r="AQ422" s="66"/>
      <c r="AR422" s="71"/>
      <c r="AU422" s="8"/>
      <c r="BD422" s="66"/>
      <c r="BE422" s="66"/>
      <c r="BF422" s="66"/>
      <c r="BG422" s="66"/>
      <c r="BH422" s="24"/>
      <c r="BL422" s="14"/>
      <c r="BM422" s="14"/>
      <c r="BO422" s="24"/>
      <c r="CE422" s="24"/>
      <c r="CT422" s="14"/>
    </row>
    <row r="423" spans="1:98">
      <c r="A423" s="24"/>
      <c r="B423" s="24"/>
      <c r="H423" s="14"/>
      <c r="P423" s="24"/>
      <c r="W423" s="24"/>
      <c r="AC423" s="14"/>
      <c r="AK423" s="71"/>
      <c r="AL423" s="66"/>
      <c r="AM423" s="66"/>
      <c r="AN423" s="66"/>
      <c r="AO423" s="66"/>
      <c r="AP423" s="66"/>
      <c r="AQ423" s="66"/>
      <c r="AR423" s="71"/>
      <c r="AU423" s="8"/>
      <c r="BD423" s="66"/>
      <c r="BE423" s="66"/>
      <c r="BF423" s="66"/>
      <c r="BG423" s="66"/>
      <c r="BH423" s="24"/>
      <c r="BL423" s="14"/>
      <c r="BM423" s="14"/>
      <c r="BO423" s="24"/>
      <c r="CE423" s="24"/>
      <c r="CT423" s="14"/>
    </row>
    <row r="424" spans="1:98">
      <c r="A424" s="24"/>
      <c r="B424" s="24"/>
      <c r="H424" s="14"/>
      <c r="P424" s="24"/>
      <c r="W424" s="24"/>
      <c r="AC424" s="14"/>
      <c r="AK424" s="71"/>
      <c r="AL424" s="66"/>
      <c r="AM424" s="66"/>
      <c r="AN424" s="66"/>
      <c r="AO424" s="66"/>
      <c r="AP424" s="66"/>
      <c r="AQ424" s="66"/>
      <c r="AR424" s="71"/>
      <c r="AS424" s="80" t="s">
        <v>366</v>
      </c>
      <c r="AT424" s="70"/>
      <c r="AU424" s="70"/>
      <c r="AV424" s="70"/>
      <c r="AW424" s="66"/>
      <c r="AX424" s="66"/>
      <c r="BD424" s="66"/>
      <c r="BE424" s="66"/>
      <c r="BF424" s="66"/>
      <c r="BG424" s="66"/>
      <c r="BH424" s="24"/>
      <c r="BL424" s="14"/>
      <c r="BM424" s="14"/>
      <c r="BO424" s="24"/>
      <c r="CE424" s="24"/>
      <c r="CT424" s="14"/>
    </row>
    <row r="425" spans="1:98">
      <c r="A425" s="24"/>
      <c r="B425" s="24"/>
      <c r="H425" s="14"/>
      <c r="P425" s="24"/>
      <c r="W425" s="24"/>
      <c r="AC425" s="14"/>
      <c r="AK425" s="71"/>
      <c r="AL425" s="66"/>
      <c r="AM425" s="66"/>
      <c r="AN425" s="66"/>
      <c r="AO425" s="66"/>
      <c r="AP425" s="66"/>
      <c r="AQ425" s="66"/>
      <c r="AR425" s="71"/>
      <c r="AS425" s="70"/>
      <c r="AT425" s="66" t="s">
        <v>367</v>
      </c>
      <c r="AU425" s="70"/>
      <c r="AV425" s="70"/>
      <c r="AW425" s="66"/>
      <c r="AX425" s="66"/>
      <c r="BD425" s="66"/>
      <c r="BE425" s="66"/>
      <c r="BF425" s="66"/>
      <c r="BG425" s="66"/>
      <c r="BH425" s="24"/>
      <c r="BL425" s="14"/>
      <c r="BM425" s="14"/>
      <c r="BO425" s="24"/>
      <c r="CE425" s="24"/>
      <c r="CT425" s="14"/>
    </row>
    <row r="426" spans="1:98">
      <c r="A426" s="24"/>
      <c r="B426" s="24"/>
      <c r="H426" s="14"/>
      <c r="P426" s="24"/>
      <c r="W426" s="24"/>
      <c r="AC426" s="14"/>
      <c r="AK426" s="71"/>
      <c r="AL426" s="66"/>
      <c r="AM426" s="66"/>
      <c r="AN426" s="66"/>
      <c r="AO426" s="66"/>
      <c r="AP426" s="66"/>
      <c r="AQ426" s="66"/>
      <c r="AR426" s="71"/>
      <c r="AT426" s="74" t="s">
        <v>118</v>
      </c>
      <c r="AU426" s="45" t="s">
        <v>368</v>
      </c>
      <c r="AV426" s="66"/>
      <c r="AW426" s="66"/>
      <c r="AX426" s="66"/>
      <c r="BD426" s="66"/>
      <c r="BE426" s="66"/>
      <c r="BF426" s="66"/>
      <c r="BG426" s="66"/>
      <c r="BH426" s="24"/>
      <c r="BL426" s="14"/>
      <c r="BM426" s="14"/>
      <c r="BO426" s="24"/>
      <c r="CE426" s="24"/>
      <c r="CT426" s="14"/>
    </row>
    <row r="427" spans="1:98">
      <c r="A427" s="24"/>
      <c r="B427" s="24"/>
      <c r="H427" s="14"/>
      <c r="P427" s="24"/>
      <c r="W427" s="24"/>
      <c r="AC427" s="14"/>
      <c r="AK427" s="71"/>
      <c r="AL427" s="66"/>
      <c r="AM427" s="66"/>
      <c r="AN427" s="66"/>
      <c r="AO427" s="66"/>
      <c r="AP427" s="66"/>
      <c r="AQ427" s="66"/>
      <c r="AR427" s="71"/>
      <c r="AT427" s="74"/>
      <c r="AU427" s="45" t="s">
        <v>369</v>
      </c>
      <c r="AV427" s="66"/>
      <c r="AW427" s="66"/>
      <c r="AX427" s="66"/>
      <c r="BD427" s="66"/>
      <c r="BE427" s="66"/>
      <c r="BF427" s="66"/>
      <c r="BG427" s="66"/>
      <c r="BH427" s="24"/>
      <c r="BL427" s="14"/>
      <c r="BM427" s="14"/>
      <c r="BO427" s="24"/>
      <c r="CE427" s="24"/>
      <c r="CT427" s="14"/>
    </row>
    <row r="428" spans="1:98">
      <c r="A428" s="24"/>
      <c r="B428" s="24"/>
      <c r="H428" s="14"/>
      <c r="P428" s="24"/>
      <c r="W428" s="24"/>
      <c r="AC428" s="14"/>
      <c r="AK428" s="71"/>
      <c r="AL428" s="66"/>
      <c r="AM428" s="66"/>
      <c r="AN428" s="66"/>
      <c r="AO428" s="66"/>
      <c r="AP428" s="66"/>
      <c r="AQ428" s="66"/>
      <c r="AR428" s="71"/>
      <c r="AT428" s="8" t="s">
        <v>118</v>
      </c>
      <c r="AU428" s="66" t="s">
        <v>370</v>
      </c>
      <c r="AX428" s="66"/>
      <c r="BD428" s="66"/>
      <c r="BE428" s="66"/>
      <c r="BF428" s="66"/>
      <c r="BG428" s="66"/>
      <c r="BH428" s="24"/>
      <c r="BL428" s="14"/>
      <c r="BM428" s="14"/>
      <c r="BO428" s="24"/>
      <c r="CE428" s="24"/>
      <c r="CT428" s="14"/>
    </row>
    <row r="429" spans="1:98">
      <c r="A429" s="24"/>
      <c r="B429" s="24"/>
      <c r="H429" s="14"/>
      <c r="P429" s="24"/>
      <c r="W429" s="24"/>
      <c r="AC429" s="14"/>
      <c r="AK429" s="71"/>
      <c r="AL429" s="66"/>
      <c r="AM429" s="66"/>
      <c r="AN429" s="66"/>
      <c r="AO429" s="66"/>
      <c r="AP429" s="66"/>
      <c r="AQ429" s="66"/>
      <c r="AR429" s="71"/>
      <c r="AX429" s="66"/>
      <c r="BD429" s="66"/>
      <c r="BE429" s="66"/>
      <c r="BF429" s="66"/>
      <c r="BG429" s="66"/>
      <c r="BH429" s="24"/>
      <c r="BL429" s="14"/>
      <c r="BM429" s="14"/>
      <c r="BO429" s="24"/>
      <c r="CE429" s="24"/>
      <c r="CT429" s="14"/>
    </row>
    <row r="430" spans="1:98">
      <c r="A430" s="24"/>
      <c r="B430" s="24"/>
      <c r="H430" s="14"/>
      <c r="P430" s="24"/>
      <c r="W430" s="24"/>
      <c r="AC430" s="14"/>
      <c r="AK430" s="71"/>
      <c r="AL430" s="66"/>
      <c r="AM430" s="66"/>
      <c r="AN430" s="66"/>
      <c r="AO430" s="66"/>
      <c r="AP430" s="66"/>
      <c r="AQ430" s="66"/>
      <c r="AR430" s="71"/>
      <c r="AX430" s="66"/>
      <c r="BD430" s="66"/>
      <c r="BE430" s="66"/>
      <c r="BF430" s="66"/>
      <c r="BG430" s="66"/>
      <c r="BH430" s="24"/>
      <c r="BL430" s="14"/>
      <c r="BM430" s="14"/>
      <c r="BO430" s="24"/>
      <c r="CE430" s="24"/>
      <c r="CT430" s="14"/>
    </row>
    <row r="431" spans="1:98">
      <c r="A431" s="24"/>
      <c r="B431" s="24"/>
      <c r="H431" s="14"/>
      <c r="P431" s="24"/>
      <c r="W431" s="24"/>
      <c r="AC431" s="14"/>
      <c r="AK431" s="71"/>
      <c r="AL431" s="66"/>
      <c r="AM431" s="66"/>
      <c r="AN431" s="66"/>
      <c r="AO431" s="66"/>
      <c r="AP431" s="66"/>
      <c r="AQ431" s="66"/>
      <c r="AR431" s="71"/>
      <c r="AS431" s="80" t="s">
        <v>371</v>
      </c>
      <c r="AT431" s="70"/>
      <c r="AU431" s="70"/>
      <c r="AV431" s="66"/>
      <c r="AW431" s="66"/>
      <c r="AX431" s="66"/>
      <c r="BD431" s="66"/>
      <c r="BE431" s="66"/>
      <c r="BF431" s="66"/>
      <c r="BG431" s="66"/>
      <c r="BH431" s="24"/>
      <c r="BL431" s="14"/>
      <c r="BM431" s="14"/>
      <c r="BO431" s="24"/>
      <c r="CE431" s="24"/>
      <c r="CT431" s="14"/>
    </row>
    <row r="432" spans="1:98">
      <c r="A432" s="24"/>
      <c r="B432" s="24"/>
      <c r="H432" s="14"/>
      <c r="P432" s="24"/>
      <c r="W432" s="24"/>
      <c r="AC432" s="14"/>
      <c r="AK432" s="71"/>
      <c r="AL432" s="66"/>
      <c r="AM432" s="66"/>
      <c r="AN432" s="66"/>
      <c r="AO432" s="66"/>
      <c r="AP432" s="66"/>
      <c r="AQ432" s="66"/>
      <c r="AR432" s="71"/>
      <c r="AS432" s="70"/>
      <c r="AT432" s="8" t="s">
        <v>186</v>
      </c>
      <c r="AU432" s="8"/>
      <c r="AV432" s="66"/>
      <c r="AW432" s="66"/>
      <c r="AX432" s="66"/>
      <c r="BD432" s="66"/>
      <c r="BE432" s="66"/>
      <c r="BF432" s="66"/>
      <c r="BG432" s="66"/>
      <c r="BH432" s="24"/>
      <c r="BL432" s="14"/>
      <c r="BM432" s="14"/>
      <c r="BO432" s="24"/>
      <c r="CE432" s="24"/>
      <c r="CT432" s="14"/>
    </row>
    <row r="433" spans="1:98">
      <c r="A433" s="24"/>
      <c r="B433" s="24"/>
      <c r="H433" s="14"/>
      <c r="P433" s="24"/>
      <c r="W433" s="24"/>
      <c r="AC433" s="14"/>
      <c r="AK433" s="71"/>
      <c r="AL433" s="66"/>
      <c r="AM433" s="66"/>
      <c r="AN433" s="66"/>
      <c r="AO433" s="66"/>
      <c r="AP433" s="66"/>
      <c r="AQ433" s="66"/>
      <c r="AR433" s="71"/>
      <c r="BD433" s="66"/>
      <c r="BE433" s="66"/>
      <c r="BF433" s="66"/>
      <c r="BG433" s="66"/>
      <c r="BH433" s="24"/>
      <c r="BL433" s="14"/>
      <c r="BM433" s="14"/>
      <c r="BO433" s="24"/>
      <c r="CE433" s="24"/>
      <c r="CT433" s="14"/>
    </row>
    <row r="434" spans="1:98">
      <c r="A434" s="24"/>
      <c r="B434" s="24"/>
      <c r="H434" s="14"/>
      <c r="P434" s="24"/>
      <c r="W434" s="24"/>
      <c r="AC434" s="14"/>
      <c r="AK434" s="71"/>
      <c r="AL434" s="66"/>
      <c r="AM434" s="66"/>
      <c r="AN434" s="66"/>
      <c r="AO434" s="66"/>
      <c r="AP434" s="66"/>
      <c r="AQ434" s="66"/>
      <c r="AR434" s="71"/>
      <c r="BD434" s="66"/>
      <c r="BE434" s="66"/>
      <c r="BF434" s="66"/>
      <c r="BG434" s="66"/>
      <c r="BH434" s="24"/>
      <c r="BL434" s="14"/>
      <c r="BM434" s="14"/>
      <c r="BO434" s="24"/>
      <c r="CE434" s="24"/>
      <c r="CT434" s="14"/>
    </row>
    <row r="435" spans="1:98">
      <c r="A435" s="24"/>
      <c r="B435" s="24"/>
      <c r="H435" s="14"/>
      <c r="P435" s="24"/>
      <c r="W435" s="24"/>
      <c r="AC435" s="14"/>
      <c r="AK435" s="71"/>
      <c r="AL435" s="66"/>
      <c r="AM435" s="66"/>
      <c r="AN435" s="66"/>
      <c r="AO435" s="66"/>
      <c r="AP435" s="66"/>
      <c r="AQ435" s="66"/>
      <c r="AR435" s="71"/>
      <c r="AS435" s="66"/>
      <c r="AT435" s="78"/>
      <c r="AV435" s="66"/>
      <c r="AW435" s="66"/>
      <c r="AX435" s="66"/>
      <c r="BD435" s="66"/>
      <c r="BE435" s="66"/>
      <c r="BF435" s="66"/>
      <c r="BG435" s="66"/>
      <c r="BH435" s="24"/>
      <c r="BL435" s="14"/>
      <c r="BM435" s="14"/>
      <c r="BO435" s="24"/>
      <c r="CE435" s="24"/>
      <c r="CT435" s="14"/>
    </row>
    <row r="436" spans="1:98">
      <c r="A436" s="24"/>
      <c r="B436" s="24"/>
      <c r="H436" s="14"/>
      <c r="P436" s="24"/>
      <c r="W436" s="24"/>
      <c r="AC436" s="14"/>
      <c r="AK436" s="71"/>
      <c r="AL436" s="66"/>
      <c r="AM436" s="66"/>
      <c r="AN436" s="66"/>
      <c r="AO436" s="66"/>
      <c r="AP436" s="66"/>
      <c r="AQ436" s="66"/>
      <c r="AR436" s="71"/>
      <c r="AS436" s="80" t="s">
        <v>372</v>
      </c>
      <c r="AT436" s="66"/>
      <c r="AV436" s="66"/>
      <c r="AW436" s="66"/>
      <c r="AX436" s="66"/>
      <c r="BD436" s="66"/>
      <c r="BE436" s="66"/>
      <c r="BF436" s="66"/>
      <c r="BG436" s="66"/>
      <c r="BH436" s="24"/>
      <c r="BL436" s="14"/>
      <c r="BM436" s="14"/>
      <c r="BO436" s="24"/>
      <c r="CE436" s="24"/>
      <c r="CT436" s="14"/>
    </row>
    <row r="437" spans="1:98">
      <c r="A437" s="24"/>
      <c r="B437" s="24"/>
      <c r="H437" s="14"/>
      <c r="P437" s="24"/>
      <c r="W437" s="24"/>
      <c r="AC437" s="14"/>
      <c r="AK437" s="71"/>
      <c r="AL437" s="66"/>
      <c r="AM437" s="66"/>
      <c r="AN437" s="66"/>
      <c r="AO437" s="66"/>
      <c r="AP437" s="66"/>
      <c r="AQ437" s="66"/>
      <c r="AR437" s="71"/>
      <c r="AS437" s="77"/>
      <c r="AT437" s="8" t="s">
        <v>188</v>
      </c>
      <c r="AV437" s="66"/>
      <c r="AW437" s="66"/>
      <c r="AX437" s="66"/>
      <c r="BD437" s="66"/>
      <c r="BE437" s="66"/>
      <c r="BF437" s="66"/>
      <c r="BG437" s="66"/>
      <c r="BH437" s="24"/>
      <c r="BL437" s="14"/>
      <c r="BM437" s="14"/>
      <c r="BO437" s="24"/>
      <c r="CE437" s="24"/>
      <c r="CT437" s="14"/>
    </row>
    <row r="438" spans="1:98">
      <c r="A438" s="24"/>
      <c r="B438" s="24"/>
      <c r="H438" s="14"/>
      <c r="P438" s="24"/>
      <c r="W438" s="24"/>
      <c r="AC438" s="14"/>
      <c r="AK438" s="71"/>
      <c r="AL438" s="66"/>
      <c r="AM438" s="66"/>
      <c r="AN438" s="66"/>
      <c r="AO438" s="66"/>
      <c r="AP438" s="66"/>
      <c r="AQ438" s="66"/>
      <c r="AR438" s="71"/>
      <c r="AS438" s="66"/>
      <c r="AV438" s="66"/>
      <c r="AW438" s="66"/>
      <c r="AX438" s="66"/>
      <c r="BD438" s="66"/>
      <c r="BE438" s="66"/>
      <c r="BF438" s="66"/>
      <c r="BG438" s="66"/>
      <c r="BH438" s="24"/>
      <c r="BL438" s="14"/>
      <c r="BM438" s="14"/>
      <c r="BO438" s="24"/>
      <c r="CE438" s="24"/>
      <c r="CT438" s="14"/>
    </row>
    <row r="439" spans="1:98">
      <c r="A439" s="24"/>
      <c r="B439" s="24"/>
      <c r="H439" s="14"/>
      <c r="P439" s="24"/>
      <c r="W439" s="24"/>
      <c r="AC439" s="14"/>
      <c r="AK439" s="71"/>
      <c r="AL439" s="66"/>
      <c r="AM439" s="66"/>
      <c r="AN439" s="66"/>
      <c r="AO439" s="66"/>
      <c r="AP439" s="66"/>
      <c r="AQ439" s="66"/>
      <c r="AR439" s="71"/>
      <c r="BD439" s="66"/>
      <c r="BE439" s="66"/>
      <c r="BF439" s="66"/>
      <c r="BG439" s="66"/>
      <c r="BH439" s="24"/>
      <c r="BL439" s="14"/>
      <c r="BM439" s="14"/>
      <c r="BO439" s="24"/>
      <c r="CE439" s="24"/>
      <c r="CT439" s="14"/>
    </row>
    <row r="440" spans="1:98">
      <c r="A440" s="24"/>
      <c r="B440" s="24"/>
      <c r="H440" s="14"/>
      <c r="P440" s="24"/>
      <c r="W440" s="24"/>
      <c r="AC440" s="14"/>
      <c r="AK440" s="71"/>
      <c r="AL440" s="66"/>
      <c r="AM440" s="66"/>
      <c r="AN440" s="66"/>
      <c r="AO440" s="66"/>
      <c r="AP440" s="66"/>
      <c r="AQ440" s="66"/>
      <c r="AR440" s="71"/>
      <c r="AU440" s="8"/>
      <c r="BD440" s="66"/>
      <c r="BE440" s="66"/>
      <c r="BF440" s="66"/>
      <c r="BG440" s="66"/>
      <c r="BH440" s="24"/>
      <c r="BL440" s="14"/>
      <c r="BM440" s="14"/>
      <c r="BO440" s="24"/>
      <c r="CE440" s="24"/>
      <c r="CT440" s="14"/>
    </row>
    <row r="441" spans="1:98">
      <c r="A441" s="24"/>
      <c r="B441" s="24"/>
      <c r="H441" s="14"/>
      <c r="P441" s="24"/>
      <c r="W441" s="24"/>
      <c r="AC441" s="14"/>
      <c r="AK441" s="71"/>
      <c r="AL441" s="66"/>
      <c r="AM441" s="66"/>
      <c r="AN441" s="66"/>
      <c r="AO441" s="66"/>
      <c r="AP441" s="66"/>
      <c r="AQ441" s="66"/>
      <c r="AR441" s="71"/>
      <c r="AU441" s="8"/>
      <c r="BD441" s="66"/>
      <c r="BE441" s="66"/>
      <c r="BF441" s="66"/>
      <c r="BG441" s="66"/>
      <c r="BH441" s="24"/>
      <c r="BL441" s="14"/>
      <c r="BM441" s="14"/>
      <c r="BO441" s="24"/>
      <c r="CE441" s="24"/>
      <c r="CT441" s="14"/>
    </row>
    <row r="442" spans="1:98">
      <c r="A442" s="24"/>
      <c r="B442" s="24"/>
      <c r="H442" s="14"/>
      <c r="P442" s="24"/>
      <c r="W442" s="24"/>
      <c r="AC442" s="14"/>
      <c r="AK442" s="71"/>
      <c r="AL442" s="66"/>
      <c r="AM442" s="66"/>
      <c r="AN442" s="66"/>
      <c r="AO442" s="66"/>
      <c r="AP442" s="66"/>
      <c r="AQ442" s="66"/>
      <c r="AR442" s="71"/>
      <c r="AU442" s="8"/>
      <c r="BD442" s="66"/>
      <c r="BE442" s="66"/>
      <c r="BF442" s="66"/>
      <c r="BG442" s="66"/>
      <c r="BH442" s="24"/>
      <c r="BL442" s="14"/>
      <c r="BM442" s="14"/>
      <c r="BO442" s="24"/>
      <c r="CE442" s="24"/>
      <c r="CT442" s="14"/>
    </row>
    <row r="443" spans="1:98">
      <c r="A443" s="24"/>
      <c r="B443" s="24"/>
      <c r="H443" s="14"/>
      <c r="P443" s="24"/>
      <c r="W443" s="24"/>
      <c r="AC443" s="14"/>
      <c r="AK443" s="71"/>
      <c r="AL443" s="66"/>
      <c r="AM443" s="66"/>
      <c r="AN443" s="66"/>
      <c r="AO443" s="66"/>
      <c r="AP443" s="66"/>
      <c r="AQ443" s="66"/>
      <c r="AR443" s="71"/>
      <c r="BD443" s="66"/>
      <c r="BE443" s="66"/>
      <c r="BF443" s="66"/>
      <c r="BG443" s="66"/>
      <c r="BH443" s="24"/>
      <c r="BL443" s="14"/>
      <c r="BM443" s="14"/>
      <c r="BO443" s="24"/>
      <c r="CE443" s="24"/>
      <c r="CT443" s="14"/>
    </row>
    <row r="444" spans="1:98">
      <c r="A444" s="24"/>
      <c r="B444" s="24"/>
      <c r="H444" s="14"/>
      <c r="P444" s="24"/>
      <c r="W444" s="24"/>
      <c r="AC444" s="14"/>
      <c r="AK444" s="71"/>
      <c r="AL444" s="66"/>
      <c r="AM444" s="66"/>
      <c r="AN444" s="66"/>
      <c r="AO444" s="66"/>
      <c r="AP444" s="66"/>
      <c r="AQ444" s="66"/>
      <c r="AR444" s="71"/>
      <c r="BD444" s="66"/>
      <c r="BE444" s="66"/>
      <c r="BF444" s="66"/>
      <c r="BG444" s="66"/>
      <c r="BH444" s="24"/>
      <c r="BL444" s="14"/>
      <c r="BM444" s="14"/>
      <c r="BO444" s="24"/>
      <c r="CE444" s="24"/>
      <c r="CT444" s="14"/>
    </row>
    <row r="445" spans="1:98">
      <c r="A445" s="24"/>
      <c r="B445" s="24"/>
      <c r="H445" s="14"/>
      <c r="P445" s="24"/>
      <c r="W445" s="24"/>
      <c r="AC445" s="14"/>
      <c r="AK445" s="71"/>
      <c r="AL445" s="66"/>
      <c r="AM445" s="66"/>
      <c r="AN445" s="66"/>
      <c r="AO445" s="66"/>
      <c r="AP445" s="66"/>
      <c r="AQ445" s="66"/>
      <c r="AR445" s="71"/>
      <c r="BD445" s="66"/>
      <c r="BE445" s="66"/>
      <c r="BF445" s="66"/>
      <c r="BG445" s="66"/>
      <c r="BH445" s="24"/>
      <c r="BL445" s="14"/>
      <c r="BM445" s="14"/>
      <c r="BO445" s="24"/>
      <c r="CE445" s="24"/>
      <c r="CT445" s="14"/>
    </row>
    <row r="446" spans="1:98">
      <c r="A446" s="24"/>
      <c r="B446" s="24"/>
      <c r="H446" s="14"/>
      <c r="P446" s="24"/>
      <c r="W446" s="24"/>
      <c r="AC446" s="14"/>
      <c r="AK446" s="71"/>
      <c r="AL446" s="66"/>
      <c r="AM446" s="66"/>
      <c r="AN446" s="66"/>
      <c r="AO446" s="66"/>
      <c r="AP446" s="66"/>
      <c r="AQ446" s="66"/>
      <c r="AR446" s="71"/>
      <c r="AS446" s="16" t="s">
        <v>373</v>
      </c>
      <c r="AU446" s="8"/>
      <c r="BD446" s="66"/>
      <c r="BE446" s="66"/>
      <c r="BF446" s="66"/>
      <c r="BG446" s="66"/>
      <c r="BH446" s="24"/>
      <c r="BL446" s="14"/>
      <c r="BM446" s="14"/>
      <c r="BO446" s="24"/>
      <c r="CE446" s="24"/>
      <c r="CT446" s="14"/>
    </row>
    <row r="447" spans="1:98">
      <c r="A447" s="24"/>
      <c r="B447" s="24"/>
      <c r="H447" s="14"/>
      <c r="P447" s="24"/>
      <c r="W447" s="24"/>
      <c r="AC447" s="14"/>
      <c r="AK447" s="71"/>
      <c r="AL447" s="66"/>
      <c r="AM447" s="66"/>
      <c r="AN447" s="66"/>
      <c r="AO447" s="66"/>
      <c r="AP447" s="66"/>
      <c r="AQ447" s="66"/>
      <c r="AR447" s="71"/>
      <c r="AT447" s="8" t="s">
        <v>374</v>
      </c>
      <c r="AU447" s="8"/>
      <c r="BD447" s="66"/>
      <c r="BE447" s="66"/>
      <c r="BF447" s="66"/>
      <c r="BG447" s="66"/>
      <c r="BH447" s="24"/>
      <c r="BL447" s="14"/>
      <c r="BM447" s="14"/>
      <c r="BO447" s="24"/>
      <c r="CE447" s="24"/>
      <c r="CT447" s="14"/>
    </row>
    <row r="448" spans="1:98">
      <c r="A448" s="24"/>
      <c r="B448" s="24"/>
      <c r="H448" s="14"/>
      <c r="P448" s="24"/>
      <c r="W448" s="24"/>
      <c r="AC448" s="14"/>
      <c r="AK448" s="71"/>
      <c r="AL448" s="66"/>
      <c r="AM448" s="66"/>
      <c r="AN448" s="66"/>
      <c r="AO448" s="66"/>
      <c r="AP448" s="66"/>
      <c r="AQ448" s="66"/>
      <c r="AR448" s="71"/>
      <c r="AT448" s="8" t="s">
        <v>362</v>
      </c>
      <c r="AU448" s="8"/>
      <c r="BD448" s="66"/>
      <c r="BE448" s="66"/>
      <c r="BF448" s="66"/>
      <c r="BG448" s="66"/>
      <c r="BH448" s="24"/>
      <c r="BL448" s="14"/>
      <c r="BM448" s="14"/>
      <c r="BO448" s="24"/>
      <c r="CE448" s="24"/>
      <c r="CT448" s="14"/>
    </row>
    <row r="449" spans="1:98">
      <c r="A449" s="24"/>
      <c r="B449" s="24"/>
      <c r="H449" s="14"/>
      <c r="P449" s="24"/>
      <c r="W449" s="24"/>
      <c r="AC449" s="14"/>
      <c r="AK449" s="71"/>
      <c r="AL449" s="66"/>
      <c r="AM449" s="66"/>
      <c r="AN449" s="66"/>
      <c r="AO449" s="66"/>
      <c r="AP449" s="66"/>
      <c r="AQ449" s="66"/>
      <c r="AR449" s="71"/>
      <c r="AS449" s="66"/>
      <c r="AT449" s="66" t="s">
        <v>375</v>
      </c>
      <c r="AV449" s="66"/>
      <c r="AW449"/>
      <c r="AX449"/>
      <c r="BD449" s="66"/>
      <c r="BE449" s="66"/>
      <c r="BF449" s="66"/>
      <c r="BG449" s="66"/>
      <c r="BH449" s="24"/>
      <c r="BL449" s="14"/>
      <c r="BM449" s="14"/>
      <c r="BO449" s="24"/>
      <c r="CE449" s="24"/>
      <c r="CT449" s="14"/>
    </row>
    <row r="450" spans="1:98">
      <c r="A450" s="24"/>
      <c r="B450" s="24"/>
      <c r="H450" s="14"/>
      <c r="P450" s="24"/>
      <c r="W450" s="24"/>
      <c r="AC450" s="14"/>
      <c r="AK450" s="71"/>
      <c r="AL450" s="66"/>
      <c r="AM450" s="66"/>
      <c r="AN450" s="66"/>
      <c r="AO450" s="66"/>
      <c r="AP450" s="66"/>
      <c r="AQ450" s="66"/>
      <c r="AR450" s="71"/>
      <c r="AS450" s="66"/>
      <c r="AT450" s="66"/>
      <c r="AV450" s="66"/>
      <c r="AW450" s="66"/>
      <c r="AX450" s="66"/>
      <c r="BD450" s="66"/>
      <c r="BE450" s="66"/>
      <c r="BF450" s="66"/>
      <c r="BG450" s="66"/>
      <c r="BH450" s="24"/>
      <c r="BL450" s="14"/>
      <c r="BM450" s="14"/>
      <c r="BO450" s="24"/>
      <c r="CE450" s="24"/>
      <c r="CT450" s="14"/>
    </row>
    <row r="451" spans="1:98">
      <c r="A451" s="24"/>
      <c r="B451" s="24"/>
      <c r="H451" s="14"/>
      <c r="P451" s="24"/>
      <c r="W451" s="24"/>
      <c r="AC451" s="14"/>
      <c r="AK451" s="71"/>
      <c r="AL451" s="66"/>
      <c r="AM451" s="66"/>
      <c r="AN451" s="66"/>
      <c r="AO451" s="66"/>
      <c r="AP451" s="66"/>
      <c r="AQ451" s="66"/>
      <c r="AR451" s="71"/>
      <c r="BD451" s="66"/>
      <c r="BE451" s="66"/>
      <c r="BF451" s="66"/>
      <c r="BG451" s="66"/>
      <c r="BH451" s="24"/>
      <c r="BL451" s="14"/>
      <c r="BM451" s="14"/>
      <c r="BO451" s="24"/>
      <c r="CE451" s="24"/>
      <c r="CT451" s="14"/>
    </row>
    <row r="452" spans="1:98">
      <c r="A452" s="24"/>
      <c r="B452" s="24"/>
      <c r="H452" s="14"/>
      <c r="P452" s="24"/>
      <c r="W452" s="24"/>
      <c r="AC452" s="14"/>
      <c r="AK452" s="71"/>
      <c r="AL452" s="66"/>
      <c r="AM452" s="66"/>
      <c r="AN452" s="66"/>
      <c r="AO452" s="66"/>
      <c r="AP452" s="66"/>
      <c r="AQ452" s="66"/>
      <c r="AR452" s="71"/>
      <c r="BD452" s="66"/>
      <c r="BE452" s="66"/>
      <c r="BF452" s="66"/>
      <c r="BG452" s="66"/>
      <c r="BH452" s="24"/>
      <c r="BL452" s="14"/>
      <c r="BM452" s="14"/>
      <c r="BO452" s="24"/>
      <c r="CE452" s="24"/>
      <c r="CT452" s="14"/>
    </row>
    <row r="453" spans="1:98">
      <c r="A453" s="24"/>
      <c r="B453" s="24"/>
      <c r="H453" s="14"/>
      <c r="P453" s="24"/>
      <c r="W453" s="24"/>
      <c r="AC453" s="14"/>
      <c r="AK453" s="71"/>
      <c r="AL453" s="66"/>
      <c r="AM453" s="66"/>
      <c r="AN453" s="66"/>
      <c r="AO453" s="66"/>
      <c r="AP453" s="66"/>
      <c r="AQ453" s="66"/>
      <c r="AR453" s="71"/>
      <c r="AS453" s="76" t="s">
        <v>376</v>
      </c>
      <c r="AT453" s="66"/>
      <c r="AV453"/>
      <c r="AW453"/>
      <c r="AX453"/>
      <c r="BD453" s="66"/>
      <c r="BE453" s="66"/>
      <c r="BF453" s="66"/>
      <c r="BG453" s="66"/>
      <c r="BH453" s="24"/>
      <c r="BL453" s="14"/>
      <c r="BM453" s="14"/>
      <c r="BO453" s="24"/>
      <c r="CE453" s="24"/>
      <c r="CT453" s="14"/>
    </row>
    <row r="454" spans="1:98">
      <c r="A454" s="24"/>
      <c r="B454" s="24"/>
      <c r="H454" s="14"/>
      <c r="P454" s="24"/>
      <c r="W454" s="24"/>
      <c r="AC454" s="14"/>
      <c r="AK454" s="71"/>
      <c r="AL454" s="66"/>
      <c r="AM454" s="66"/>
      <c r="AN454" s="66"/>
      <c r="AO454" s="66"/>
      <c r="AP454" s="66"/>
      <c r="AQ454" s="66"/>
      <c r="AR454" s="71"/>
      <c r="AS454" s="66"/>
      <c r="AT454" s="8" t="s">
        <v>194</v>
      </c>
      <c r="AU454" s="8"/>
      <c r="BD454" s="66"/>
      <c r="BE454" s="66"/>
      <c r="BF454" s="66"/>
      <c r="BG454" s="66"/>
      <c r="BH454" s="24"/>
      <c r="BL454" s="14"/>
      <c r="BM454" s="14"/>
      <c r="BO454" s="24"/>
      <c r="CE454" s="24"/>
      <c r="CT454" s="14"/>
    </row>
    <row r="455" spans="1:98">
      <c r="A455" s="24"/>
      <c r="B455" s="24"/>
      <c r="H455" s="14"/>
      <c r="P455" s="24"/>
      <c r="W455" s="24"/>
      <c r="AC455" s="14"/>
      <c r="AK455" s="71"/>
      <c r="AL455" s="66"/>
      <c r="AM455" s="66"/>
      <c r="AN455" s="66"/>
      <c r="AO455" s="66"/>
      <c r="AP455" s="66"/>
      <c r="AQ455" s="66"/>
      <c r="AR455" s="71"/>
      <c r="AS455" s="66"/>
      <c r="AT455" s="8" t="s">
        <v>346</v>
      </c>
      <c r="AU455" s="8"/>
      <c r="BD455" s="66"/>
      <c r="BE455" s="66"/>
      <c r="BF455" s="66"/>
      <c r="BG455" s="66"/>
      <c r="BH455" s="24"/>
      <c r="BL455" s="14"/>
      <c r="BM455" s="14"/>
      <c r="BO455" s="24"/>
      <c r="CE455" s="24"/>
      <c r="CT455" s="14"/>
    </row>
    <row r="456" spans="1:98">
      <c r="A456" s="24"/>
      <c r="B456" s="24"/>
      <c r="H456" s="14"/>
      <c r="P456" s="24"/>
      <c r="W456" s="24"/>
      <c r="AC456" s="14"/>
      <c r="AK456" s="71"/>
      <c r="AL456" s="66"/>
      <c r="AM456" s="66"/>
      <c r="AN456" s="66"/>
      <c r="AO456" s="66"/>
      <c r="AP456" s="66"/>
      <c r="AQ456" s="66"/>
      <c r="AR456" s="71"/>
      <c r="AS456" s="66"/>
      <c r="AT456" s="66" t="s">
        <v>377</v>
      </c>
      <c r="AV456"/>
      <c r="AW456"/>
      <c r="AX456"/>
      <c r="BD456" s="66"/>
      <c r="BE456" s="66"/>
      <c r="BF456" s="66"/>
      <c r="BG456" s="66"/>
      <c r="BH456" s="24"/>
      <c r="BL456" s="14"/>
      <c r="BM456" s="14"/>
      <c r="BO456" s="24"/>
      <c r="CE456" s="24"/>
      <c r="CT456" s="14"/>
    </row>
    <row r="457" spans="1:98">
      <c r="A457" s="24"/>
      <c r="B457" s="24"/>
      <c r="H457" s="14"/>
      <c r="P457" s="24"/>
      <c r="W457" s="24"/>
      <c r="AC457" s="14"/>
      <c r="AK457" s="71"/>
      <c r="AL457" s="66"/>
      <c r="AM457" s="66"/>
      <c r="AN457" s="66"/>
      <c r="AO457" s="66"/>
      <c r="AP457" s="66"/>
      <c r="AQ457" s="66"/>
      <c r="AR457" s="71"/>
      <c r="AU457" s="8"/>
      <c r="BD457" s="66"/>
      <c r="BE457" s="66"/>
      <c r="BF457" s="66"/>
      <c r="BG457" s="66"/>
      <c r="BH457" s="24"/>
      <c r="BL457" s="14"/>
      <c r="BM457" s="14"/>
      <c r="BO457" s="24"/>
      <c r="CE457" s="24"/>
      <c r="CT457" s="14"/>
    </row>
    <row r="458" spans="1:98">
      <c r="A458" s="24"/>
      <c r="B458" s="24"/>
      <c r="H458" s="14"/>
      <c r="P458" s="24"/>
      <c r="W458" s="24"/>
      <c r="AC458" s="14"/>
      <c r="AK458" s="71"/>
      <c r="AL458" s="66"/>
      <c r="AM458" s="66"/>
      <c r="AN458" s="66"/>
      <c r="AO458" s="66"/>
      <c r="AP458" s="66"/>
      <c r="AQ458" s="66"/>
      <c r="AR458" s="71"/>
      <c r="AU458" s="8"/>
      <c r="BD458" s="66"/>
      <c r="BE458" s="66"/>
      <c r="BF458" s="66"/>
      <c r="BG458" s="66"/>
      <c r="BH458" s="24"/>
      <c r="BL458" s="14"/>
      <c r="BM458" s="14"/>
      <c r="BO458" s="24"/>
      <c r="CE458" s="24"/>
      <c r="CT458" s="14"/>
    </row>
    <row r="459" spans="1:98">
      <c r="A459" s="24"/>
      <c r="B459" s="24"/>
      <c r="H459" s="14"/>
      <c r="P459" s="24"/>
      <c r="W459" s="24"/>
      <c r="AC459" s="14"/>
      <c r="AK459" s="71"/>
      <c r="AL459" s="66"/>
      <c r="AM459" s="66"/>
      <c r="AN459" s="66"/>
      <c r="AO459" s="66"/>
      <c r="AP459" s="66"/>
      <c r="AQ459" s="66"/>
      <c r="AR459" s="71"/>
      <c r="AU459" s="8"/>
      <c r="BD459" s="66"/>
      <c r="BE459" s="66"/>
      <c r="BF459" s="66"/>
      <c r="BG459" s="66"/>
      <c r="BH459" s="24"/>
      <c r="BL459" s="14"/>
      <c r="BM459" s="14"/>
      <c r="BO459" s="24"/>
      <c r="CE459" s="24"/>
      <c r="CT459" s="14"/>
    </row>
    <row r="460" spans="1:98">
      <c r="A460" s="24"/>
      <c r="B460" s="24"/>
      <c r="H460" s="14"/>
      <c r="P460" s="24"/>
      <c r="W460" s="24"/>
      <c r="AC460" s="14"/>
      <c r="AK460" s="71"/>
      <c r="AL460" s="66"/>
      <c r="AM460" s="66"/>
      <c r="AN460" s="66"/>
      <c r="AO460" s="66"/>
      <c r="AP460" s="66"/>
      <c r="AQ460" s="66"/>
      <c r="AR460" s="71"/>
      <c r="AU460" s="8"/>
      <c r="BD460" s="66"/>
      <c r="BE460" s="66"/>
      <c r="BF460" s="66"/>
      <c r="BG460" s="66"/>
      <c r="BH460" s="24"/>
      <c r="BL460" s="14"/>
      <c r="BM460" s="14"/>
      <c r="BO460" s="24"/>
      <c r="CE460" s="24"/>
      <c r="CT460" s="14"/>
    </row>
    <row r="461" spans="1:98">
      <c r="A461" s="24"/>
      <c r="B461" s="24"/>
      <c r="H461" s="14"/>
      <c r="P461" s="24"/>
      <c r="W461" s="24"/>
      <c r="AC461" s="14"/>
      <c r="AK461" s="71"/>
      <c r="AL461" s="66"/>
      <c r="AM461" s="66"/>
      <c r="AN461" s="66"/>
      <c r="AO461" s="66"/>
      <c r="AP461" s="66"/>
      <c r="AQ461" s="66"/>
      <c r="AR461" s="71"/>
      <c r="AU461" s="8"/>
      <c r="BD461" s="66"/>
      <c r="BE461" s="66"/>
      <c r="BF461" s="66"/>
      <c r="BG461" s="66"/>
      <c r="BH461" s="24"/>
      <c r="BL461" s="14"/>
      <c r="BM461" s="14"/>
      <c r="BO461" s="24"/>
      <c r="CE461" s="24"/>
      <c r="CT461" s="14"/>
    </row>
    <row r="462" spans="1:98">
      <c r="A462" s="24"/>
      <c r="B462" s="24"/>
      <c r="H462" s="14"/>
      <c r="P462" s="24"/>
      <c r="W462" s="24"/>
      <c r="AC462" s="14"/>
      <c r="AK462" s="71"/>
      <c r="AL462" s="66"/>
      <c r="AM462" s="66"/>
      <c r="AN462" s="66"/>
      <c r="AO462" s="66"/>
      <c r="AP462" s="66"/>
      <c r="AQ462" s="66"/>
      <c r="AR462" s="71"/>
      <c r="AU462" s="8"/>
      <c r="BD462" s="66"/>
      <c r="BE462" s="66"/>
      <c r="BF462" s="66"/>
      <c r="BG462" s="66"/>
      <c r="BH462" s="24"/>
      <c r="BL462" s="14"/>
      <c r="BM462" s="14"/>
      <c r="BO462" s="24"/>
      <c r="CE462" s="24"/>
      <c r="CT462" s="14"/>
    </row>
    <row r="463" spans="1:98">
      <c r="A463" s="24"/>
      <c r="B463" s="24"/>
      <c r="H463" s="14"/>
      <c r="P463" s="24"/>
      <c r="W463" s="24"/>
      <c r="AC463" s="14"/>
      <c r="AK463" s="71"/>
      <c r="AL463" s="66"/>
      <c r="AM463" s="66"/>
      <c r="AN463" s="66"/>
      <c r="AO463" s="66"/>
      <c r="AP463" s="66"/>
      <c r="AQ463" s="66"/>
      <c r="AR463" s="71"/>
      <c r="AS463" s="70"/>
      <c r="AT463" s="66"/>
      <c r="AU463" s="70"/>
      <c r="AV463" s="70"/>
      <c r="AW463" s="66"/>
      <c r="AX463" s="66"/>
      <c r="AY463" s="66"/>
      <c r="AZ463" s="66"/>
      <c r="BA463" s="66"/>
      <c r="BB463" s="66"/>
      <c r="BC463" s="66"/>
      <c r="BD463" s="66"/>
      <c r="BE463" s="66"/>
      <c r="BF463" s="66"/>
      <c r="BG463" s="66"/>
      <c r="BH463" s="24"/>
      <c r="BL463" s="14"/>
      <c r="BM463" s="14"/>
      <c r="BO463" s="24"/>
      <c r="CE463" s="24"/>
      <c r="CT463" s="14"/>
    </row>
    <row r="464" spans="1:98">
      <c r="A464" s="24"/>
      <c r="B464" s="24"/>
      <c r="H464" s="14"/>
      <c r="P464" s="24"/>
      <c r="W464" s="24"/>
      <c r="AC464" s="14"/>
      <c r="AK464" s="71"/>
      <c r="AL464" s="66"/>
      <c r="AM464" s="66"/>
      <c r="AN464" s="66"/>
      <c r="AO464" s="66"/>
      <c r="AP464" s="66"/>
      <c r="AQ464" s="66"/>
      <c r="AR464" s="71"/>
      <c r="AS464" s="70"/>
      <c r="AT464" s="66"/>
      <c r="AU464" s="70"/>
      <c r="AV464" s="70"/>
      <c r="AW464" s="66"/>
      <c r="AX464" s="66"/>
      <c r="AY464" s="66"/>
      <c r="AZ464" s="66"/>
      <c r="BA464" s="66"/>
      <c r="BB464" s="66"/>
      <c r="BC464" s="66"/>
      <c r="BD464" s="66"/>
      <c r="BE464" s="66"/>
      <c r="BF464" s="66"/>
      <c r="BG464" s="66"/>
      <c r="BH464" s="24"/>
      <c r="BL464" s="14"/>
      <c r="BM464" s="14"/>
      <c r="BO464" s="24"/>
      <c r="CE464" s="24"/>
      <c r="CT464" s="14"/>
    </row>
    <row r="465" spans="1:98">
      <c r="A465" s="24"/>
      <c r="B465" s="24"/>
      <c r="H465" s="14"/>
      <c r="P465" s="24"/>
      <c r="W465" s="24"/>
      <c r="AC465" s="14"/>
      <c r="AK465" s="71"/>
      <c r="AL465" s="66"/>
      <c r="AM465" s="66"/>
      <c r="AN465" s="66"/>
      <c r="AO465" s="66"/>
      <c r="AP465" s="66"/>
      <c r="AQ465" s="66"/>
      <c r="AR465" s="71"/>
      <c r="AS465" s="70"/>
      <c r="AT465" s="66"/>
      <c r="AU465" s="70"/>
      <c r="AV465" s="70"/>
      <c r="AW465" s="66"/>
      <c r="AX465" s="66"/>
      <c r="AY465" s="66"/>
      <c r="AZ465" s="66"/>
      <c r="BA465" s="66"/>
      <c r="BB465" s="66"/>
      <c r="BC465" s="66"/>
      <c r="BD465" s="66"/>
      <c r="BE465" s="66"/>
      <c r="BF465" s="66"/>
      <c r="BG465" s="66"/>
      <c r="BH465" s="24"/>
      <c r="BL465" s="14"/>
      <c r="BM465" s="14"/>
      <c r="BO465" s="24"/>
      <c r="CE465" s="24"/>
      <c r="CT465" s="14"/>
    </row>
    <row r="466" spans="1:98">
      <c r="A466" s="24"/>
      <c r="B466" s="24"/>
      <c r="H466" s="14"/>
      <c r="P466" s="24"/>
      <c r="W466" s="24"/>
      <c r="AC466" s="14"/>
      <c r="AK466" s="71"/>
      <c r="AL466" s="66"/>
      <c r="AM466" s="66"/>
      <c r="AN466" s="66"/>
      <c r="AO466" s="66"/>
      <c r="AP466" s="66"/>
      <c r="AQ466" s="66"/>
      <c r="AR466" s="71"/>
      <c r="AS466" s="76"/>
      <c r="AT466" s="66"/>
      <c r="AV466" s="66"/>
      <c r="AW466" s="66"/>
      <c r="AX466" s="66"/>
      <c r="AY466" s="66"/>
      <c r="AZ466" s="66"/>
      <c r="BA466" s="66"/>
      <c r="BB466" s="66"/>
      <c r="BC466" s="66"/>
      <c r="BD466" s="66"/>
      <c r="BE466" s="66"/>
      <c r="BF466" s="66"/>
      <c r="BG466" s="66"/>
      <c r="BH466" s="24"/>
      <c r="BL466" s="14"/>
      <c r="BM466" s="14"/>
      <c r="BO466" s="24"/>
      <c r="CE466" s="24"/>
      <c r="CT466" s="14"/>
    </row>
    <row r="467" spans="1:98" s="11" customFormat="1">
      <c r="A467" s="25"/>
      <c r="B467" s="26" t="s">
        <v>378</v>
      </c>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30"/>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13"/>
      <c r="BO467" s="24"/>
      <c r="BP467" s="8"/>
      <c r="BQ467" s="8"/>
      <c r="BR467" s="8"/>
      <c r="BS467" s="8"/>
      <c r="BT467" s="8"/>
      <c r="BU467" s="8"/>
      <c r="BV467" s="8"/>
      <c r="BW467" s="8"/>
      <c r="BX467" s="8"/>
      <c r="BY467" s="8"/>
      <c r="BZ467" s="8"/>
      <c r="CA467" s="8"/>
      <c r="CB467" s="8"/>
      <c r="CC467" s="8"/>
      <c r="CD467" s="8"/>
      <c r="CE467" s="24"/>
      <c r="CF467" s="8"/>
      <c r="CG467" s="8"/>
      <c r="CH467" s="8"/>
      <c r="CI467" s="8"/>
      <c r="CJ467" s="8"/>
      <c r="CK467" s="8"/>
      <c r="CL467" s="8"/>
      <c r="CM467" s="8"/>
      <c r="CN467" s="8"/>
      <c r="CO467" s="8"/>
      <c r="CP467" s="8"/>
      <c r="CQ467" s="8"/>
      <c r="CR467" s="8"/>
      <c r="CS467" s="8"/>
      <c r="CT467" s="14"/>
    </row>
    <row r="468" spans="1:98" s="11" customFormat="1">
      <c r="A468" s="25"/>
      <c r="B468" s="24"/>
      <c r="C468" s="8"/>
      <c r="D468" s="8"/>
      <c r="E468" s="8"/>
      <c r="F468" s="8"/>
      <c r="G468" s="8"/>
      <c r="H468" s="14"/>
      <c r="P468" s="24"/>
      <c r="Q468" s="8"/>
      <c r="R468" s="8"/>
      <c r="S468" s="8"/>
      <c r="T468" s="8"/>
      <c r="U468" s="8"/>
      <c r="V468" s="8"/>
      <c r="W468" s="24"/>
      <c r="X468" s="8"/>
      <c r="Y468" s="8"/>
      <c r="Z468" s="8"/>
      <c r="AA468" s="8"/>
      <c r="AB468" s="8"/>
      <c r="AC468" s="14"/>
      <c r="AD468" s="8"/>
      <c r="AE468" s="8"/>
      <c r="AF468" s="8"/>
      <c r="AG468" s="8"/>
      <c r="AH468" s="8"/>
      <c r="AI468" s="8"/>
      <c r="AJ468" s="8"/>
      <c r="AK468" s="71"/>
      <c r="AL468" s="66"/>
      <c r="AM468" s="66"/>
      <c r="AN468" s="66"/>
      <c r="AO468" s="66"/>
      <c r="AP468" s="66"/>
      <c r="AQ468" s="66"/>
      <c r="AR468" s="71"/>
      <c r="AS468" s="76"/>
      <c r="AT468" s="66"/>
      <c r="AU468" s="66"/>
      <c r="AV468" s="66"/>
      <c r="AW468" s="66"/>
      <c r="AX468" s="66"/>
      <c r="AY468" s="66"/>
      <c r="AZ468" s="66"/>
      <c r="BA468" s="66"/>
      <c r="BB468" s="66"/>
      <c r="BC468" s="66"/>
      <c r="BD468" s="66"/>
      <c r="BE468" s="66"/>
      <c r="BF468" s="66"/>
      <c r="BG468" s="66"/>
      <c r="BH468" s="24"/>
      <c r="BI468" s="8"/>
      <c r="BJ468" s="8"/>
      <c r="BK468" s="8"/>
      <c r="BL468" s="14"/>
      <c r="BM468" s="13"/>
      <c r="BO468" s="29"/>
      <c r="CE468" s="29"/>
      <c r="CT468" s="13"/>
    </row>
    <row r="469" spans="1:98" s="11" customFormat="1">
      <c r="A469" s="25"/>
      <c r="B469" s="24"/>
      <c r="C469" s="8"/>
      <c r="D469" s="8"/>
      <c r="E469" s="8"/>
      <c r="F469" s="8"/>
      <c r="G469" s="8"/>
      <c r="H469" s="14"/>
      <c r="P469" s="24"/>
      <c r="Q469" s="8"/>
      <c r="R469" s="8"/>
      <c r="S469" s="8"/>
      <c r="T469" s="8"/>
      <c r="U469" s="8"/>
      <c r="V469" s="8"/>
      <c r="W469" s="24"/>
      <c r="X469" s="8"/>
      <c r="Y469" s="8"/>
      <c r="Z469" s="8"/>
      <c r="AA469" s="8"/>
      <c r="AB469" s="8"/>
      <c r="AC469" s="14"/>
      <c r="AD469" s="8"/>
      <c r="AE469" s="8"/>
      <c r="AF469" s="8"/>
      <c r="AG469" s="8"/>
      <c r="AH469" s="8"/>
      <c r="AI469" s="8"/>
      <c r="AJ469" s="8"/>
      <c r="AK469" s="71"/>
      <c r="AL469" s="66"/>
      <c r="AM469" s="66"/>
      <c r="AN469" s="66"/>
      <c r="AO469" s="66"/>
      <c r="AP469" s="66"/>
      <c r="AQ469" s="66"/>
      <c r="AR469" s="71"/>
      <c r="AS469" s="76"/>
      <c r="AT469" s="66"/>
      <c r="AU469" s="66"/>
      <c r="AV469" s="66"/>
      <c r="AW469" s="66"/>
      <c r="AX469" s="66"/>
      <c r="AY469" s="66"/>
      <c r="AZ469" s="66"/>
      <c r="BA469" s="66"/>
      <c r="BB469" s="66"/>
      <c r="BC469" s="66"/>
      <c r="BD469" s="66"/>
      <c r="BE469" s="66"/>
      <c r="BF469" s="66"/>
      <c r="BG469" s="66"/>
      <c r="BH469" s="24"/>
      <c r="BI469" s="8"/>
      <c r="BJ469" s="8"/>
      <c r="BK469" s="8"/>
      <c r="BL469" s="14"/>
      <c r="BM469" s="13"/>
      <c r="BO469" s="29"/>
      <c r="CE469" s="29"/>
      <c r="CT469" s="13"/>
    </row>
    <row r="470" spans="1:98" s="11" customFormat="1">
      <c r="A470" s="25"/>
      <c r="B470" s="24"/>
      <c r="C470" s="8"/>
      <c r="D470" s="8"/>
      <c r="E470" s="8"/>
      <c r="F470" s="8"/>
      <c r="G470" s="8"/>
      <c r="H470" s="14"/>
      <c r="P470" s="24"/>
      <c r="Q470" s="8"/>
      <c r="R470" s="8"/>
      <c r="S470" s="8"/>
      <c r="T470" s="8"/>
      <c r="U470" s="8"/>
      <c r="V470" s="8"/>
      <c r="W470" s="24"/>
      <c r="X470" s="8"/>
      <c r="Y470" s="8"/>
      <c r="Z470" s="8"/>
      <c r="AA470" s="8"/>
      <c r="AB470" s="8"/>
      <c r="AC470" s="14"/>
      <c r="AD470" s="8"/>
      <c r="AE470" s="8"/>
      <c r="AF470" s="8"/>
      <c r="AG470" s="8"/>
      <c r="AH470" s="8"/>
      <c r="AI470" s="8"/>
      <c r="AJ470" s="8"/>
      <c r="AK470" s="71"/>
      <c r="AM470" s="66"/>
      <c r="AN470" s="66"/>
      <c r="AO470" s="66"/>
      <c r="AP470" s="66"/>
      <c r="AQ470" s="66"/>
      <c r="AR470" s="71"/>
      <c r="AS470" s="76"/>
      <c r="AT470" s="66"/>
      <c r="AU470" s="66"/>
      <c r="AV470" s="66"/>
      <c r="AW470" s="66"/>
      <c r="AX470" s="66"/>
      <c r="AY470" s="66"/>
      <c r="AZ470" s="66"/>
      <c r="BA470" s="66"/>
      <c r="BB470" s="66"/>
      <c r="BC470" s="66"/>
      <c r="BD470" s="66"/>
      <c r="BE470" s="66"/>
      <c r="BF470" s="66"/>
      <c r="BG470" s="66"/>
      <c r="BH470" s="24"/>
      <c r="BI470" s="8"/>
      <c r="BJ470" s="8"/>
      <c r="BK470" s="8"/>
      <c r="BL470" s="14"/>
      <c r="BM470" s="13"/>
      <c r="BO470" s="29"/>
      <c r="CE470" s="29"/>
      <c r="CT470" s="13"/>
    </row>
    <row r="471" spans="1:98" s="11" customFormat="1">
      <c r="A471" s="25"/>
      <c r="B471" s="24"/>
      <c r="C471" s="8"/>
      <c r="D471" s="8"/>
      <c r="E471" s="8"/>
      <c r="F471" s="8"/>
      <c r="G471" s="8"/>
      <c r="H471" s="14"/>
      <c r="P471" s="24"/>
      <c r="Q471" s="8"/>
      <c r="R471" s="8"/>
      <c r="S471" s="8"/>
      <c r="T471" s="8"/>
      <c r="U471" s="8"/>
      <c r="V471" s="8"/>
      <c r="W471" s="24"/>
      <c r="X471" s="8"/>
      <c r="Y471" s="8"/>
      <c r="Z471" s="8"/>
      <c r="AA471" s="8"/>
      <c r="AB471" s="8"/>
      <c r="AC471" s="14"/>
      <c r="AD471" s="8"/>
      <c r="AE471" s="8"/>
      <c r="AF471" s="8"/>
      <c r="AG471" s="8"/>
      <c r="AH471" s="8"/>
      <c r="AI471" s="8"/>
      <c r="AJ471" s="8"/>
      <c r="AK471" s="71"/>
      <c r="AL471"/>
      <c r="AM471" s="66"/>
      <c r="AN471" s="66"/>
      <c r="AO471" s="66"/>
      <c r="AP471" s="66"/>
      <c r="AQ471" s="66"/>
      <c r="AR471" s="71" t="s">
        <v>118</v>
      </c>
      <c r="AS471" s="77" t="s">
        <v>379</v>
      </c>
      <c r="AT471" s="66"/>
      <c r="AU471" s="66"/>
      <c r="AV471" s="66"/>
      <c r="AW471" s="66"/>
      <c r="AX471" s="66"/>
      <c r="AY471" s="66"/>
      <c r="AZ471" s="66"/>
      <c r="BA471" s="66"/>
      <c r="BB471" s="66"/>
      <c r="BC471" s="66"/>
      <c r="BD471" s="66"/>
      <c r="BE471" s="66"/>
      <c r="BF471" s="66"/>
      <c r="BG471" s="66"/>
      <c r="BH471" s="24"/>
      <c r="BI471" s="8"/>
      <c r="BJ471" s="8"/>
      <c r="BK471" s="8"/>
      <c r="BL471" s="14"/>
      <c r="BM471" s="13"/>
      <c r="BO471" s="29"/>
      <c r="CE471" s="29"/>
      <c r="CT471" s="13"/>
    </row>
    <row r="472" spans="1:98" s="11" customFormat="1">
      <c r="A472" s="25"/>
      <c r="B472" s="24"/>
      <c r="C472" s="8"/>
      <c r="D472" s="8"/>
      <c r="E472" s="8"/>
      <c r="F472" s="8"/>
      <c r="G472" s="8"/>
      <c r="H472" s="14"/>
      <c r="P472" s="24"/>
      <c r="Q472" s="8"/>
      <c r="R472" s="8"/>
      <c r="S472" s="8"/>
      <c r="T472" s="8"/>
      <c r="U472" s="8"/>
      <c r="V472" s="8"/>
      <c r="W472" s="24"/>
      <c r="X472" s="8"/>
      <c r="Y472" s="8"/>
      <c r="Z472" s="8"/>
      <c r="AA472" s="8"/>
      <c r="AB472" s="8"/>
      <c r="AC472" s="14"/>
      <c r="AD472" s="8"/>
      <c r="AE472" s="8"/>
      <c r="AF472" s="8"/>
      <c r="AG472" s="8"/>
      <c r="AH472" s="8"/>
      <c r="AI472" s="8"/>
      <c r="AJ472" s="8"/>
      <c r="AK472" s="71"/>
      <c r="AM472" s="66"/>
      <c r="AN472" s="66"/>
      <c r="AO472" s="66"/>
      <c r="AP472" s="66"/>
      <c r="AQ472" s="66"/>
      <c r="AR472" s="71"/>
      <c r="AS472" t="s">
        <v>380</v>
      </c>
      <c r="AT472" s="66"/>
      <c r="AU472" s="66"/>
      <c r="AV472" s="66"/>
      <c r="AW472" s="66"/>
      <c r="AX472" s="66"/>
      <c r="AY472" s="66"/>
      <c r="AZ472" s="66"/>
      <c r="BA472" s="66"/>
      <c r="BB472" s="66"/>
      <c r="BC472" s="66"/>
      <c r="BD472" s="66"/>
      <c r="BE472" s="66"/>
      <c r="BF472" s="66"/>
      <c r="BG472" s="66"/>
      <c r="BH472" s="24"/>
      <c r="BI472" s="8"/>
      <c r="BJ472" s="8"/>
      <c r="BK472" s="8"/>
      <c r="BL472" s="14"/>
      <c r="BM472" s="13"/>
      <c r="BO472" s="29"/>
      <c r="CE472" s="29"/>
      <c r="CT472" s="13"/>
    </row>
    <row r="473" spans="1:98" s="11" customFormat="1">
      <c r="A473" s="25"/>
      <c r="B473" s="24"/>
      <c r="C473" s="8"/>
      <c r="D473" s="8"/>
      <c r="E473" s="8"/>
      <c r="F473" s="8"/>
      <c r="G473" s="8"/>
      <c r="H473" s="14"/>
      <c r="P473" s="24"/>
      <c r="Q473" s="8"/>
      <c r="R473" s="8"/>
      <c r="S473" s="8"/>
      <c r="T473" s="8"/>
      <c r="U473" s="8"/>
      <c r="V473" s="8"/>
      <c r="W473" s="24"/>
      <c r="X473" s="8"/>
      <c r="Y473" s="8"/>
      <c r="Z473" s="8"/>
      <c r="AA473" s="8"/>
      <c r="AB473" s="8"/>
      <c r="AC473" s="14"/>
      <c r="AD473" s="8"/>
      <c r="AE473" s="8"/>
      <c r="AF473" s="8"/>
      <c r="AG473" s="8"/>
      <c r="AH473" s="8"/>
      <c r="AI473" s="8"/>
      <c r="AJ473" s="8"/>
      <c r="AK473" s="71"/>
      <c r="AL473"/>
      <c r="AM473" s="66"/>
      <c r="AN473" s="66"/>
      <c r="AO473" s="66"/>
      <c r="AP473" s="66"/>
      <c r="AQ473" s="66"/>
      <c r="AR473" s="71"/>
      <c r="AS473" t="s">
        <v>381</v>
      </c>
      <c r="AT473" s="66"/>
      <c r="AU473" s="66"/>
      <c r="AV473" s="66"/>
      <c r="AW473" s="66"/>
      <c r="AX473" s="66"/>
      <c r="AY473" s="66"/>
      <c r="AZ473" s="66"/>
      <c r="BA473" s="66"/>
      <c r="BB473" s="66"/>
      <c r="BC473" s="66"/>
      <c r="BD473" s="66"/>
      <c r="BE473" s="66"/>
      <c r="BF473" s="66"/>
      <c r="BG473" s="66"/>
      <c r="BH473" s="24"/>
      <c r="BI473" s="8"/>
      <c r="BJ473" s="8"/>
      <c r="BK473" s="8"/>
      <c r="BL473" s="14"/>
      <c r="BM473" s="13"/>
      <c r="BO473" s="29"/>
      <c r="CE473" s="29"/>
      <c r="CT473" s="13"/>
    </row>
    <row r="474" spans="1:98" s="11" customFormat="1">
      <c r="A474" s="25"/>
      <c r="B474" s="24"/>
      <c r="C474" s="8"/>
      <c r="D474" s="8"/>
      <c r="E474" s="8"/>
      <c r="F474" s="8"/>
      <c r="G474" s="8"/>
      <c r="H474" s="14"/>
      <c r="P474" s="24"/>
      <c r="Q474" s="8"/>
      <c r="R474" s="8"/>
      <c r="S474" s="8"/>
      <c r="T474" s="8"/>
      <c r="U474" s="8"/>
      <c r="V474" s="8"/>
      <c r="W474" s="24"/>
      <c r="X474" s="8"/>
      <c r="Y474" s="8"/>
      <c r="Z474" s="8"/>
      <c r="AA474" s="8"/>
      <c r="AB474" s="8"/>
      <c r="AC474" s="14"/>
      <c r="AD474" s="8"/>
      <c r="AE474" s="8"/>
      <c r="AF474" s="8"/>
      <c r="AG474" s="8"/>
      <c r="AH474" s="8"/>
      <c r="AI474" s="8"/>
      <c r="AJ474" s="8"/>
      <c r="AK474" s="71"/>
      <c r="AM474" s="66"/>
      <c r="AN474" s="66"/>
      <c r="AO474" s="66"/>
      <c r="AP474" s="66"/>
      <c r="AQ474" s="66"/>
      <c r="AR474" s="124" t="s">
        <v>118</v>
      </c>
      <c r="AS474" s="45" t="s">
        <v>382</v>
      </c>
      <c r="AT474" s="66"/>
      <c r="AU474" s="66"/>
      <c r="AV474" s="66"/>
      <c r="AW474" s="66"/>
      <c r="AX474" s="66"/>
      <c r="AY474" s="66"/>
      <c r="AZ474" s="66"/>
      <c r="BA474" s="66"/>
      <c r="BB474" s="66"/>
      <c r="BC474" s="66"/>
      <c r="BD474" s="66"/>
      <c r="BE474" s="66"/>
      <c r="BF474" s="66"/>
      <c r="BG474" s="66"/>
      <c r="BH474" s="24"/>
      <c r="BI474" s="8"/>
      <c r="BJ474" s="8"/>
      <c r="BK474" s="8"/>
      <c r="BL474" s="14"/>
      <c r="BM474" s="13"/>
      <c r="BO474" s="29"/>
      <c r="CE474" s="29"/>
      <c r="CT474" s="13"/>
    </row>
    <row r="475" spans="1:98" s="11" customFormat="1">
      <c r="A475" s="25"/>
      <c r="B475" s="24"/>
      <c r="C475" s="8"/>
      <c r="D475" s="8"/>
      <c r="E475" s="8"/>
      <c r="F475" s="8"/>
      <c r="G475" s="8"/>
      <c r="H475" s="14"/>
      <c r="P475" s="24"/>
      <c r="Q475" s="8"/>
      <c r="R475" s="8"/>
      <c r="S475" s="8"/>
      <c r="T475" s="8"/>
      <c r="U475" s="8"/>
      <c r="V475" s="8"/>
      <c r="W475" s="24"/>
      <c r="X475" s="8"/>
      <c r="Y475" s="8"/>
      <c r="Z475" s="8"/>
      <c r="AA475" s="8"/>
      <c r="AB475" s="8"/>
      <c r="AC475" s="14"/>
      <c r="AD475" s="8"/>
      <c r="AE475" s="8"/>
      <c r="AF475" s="8"/>
      <c r="AG475" s="8"/>
      <c r="AH475" s="8"/>
      <c r="AI475" s="8"/>
      <c r="AJ475" s="8"/>
      <c r="AK475" s="71"/>
      <c r="AL475" s="66"/>
      <c r="AM475" s="66"/>
      <c r="AN475" s="66"/>
      <c r="AO475" s="66"/>
      <c r="AP475" s="66"/>
      <c r="AQ475" s="66"/>
      <c r="AR475" s="71"/>
      <c r="AS475" s="76"/>
      <c r="AT475" s="66"/>
      <c r="AU475" s="66"/>
      <c r="AV475" s="66"/>
      <c r="AW475" s="66"/>
      <c r="AX475" s="66"/>
      <c r="AY475" s="66"/>
      <c r="AZ475" s="66"/>
      <c r="BA475" s="66"/>
      <c r="BB475" s="66"/>
      <c r="BC475" s="66"/>
      <c r="BD475" s="66"/>
      <c r="BE475" s="66"/>
      <c r="BF475" s="66"/>
      <c r="BG475" s="66"/>
      <c r="BH475" s="24"/>
      <c r="BI475" s="8"/>
      <c r="BJ475" s="8"/>
      <c r="BK475" s="8"/>
      <c r="BL475" s="14"/>
      <c r="BM475" s="13"/>
      <c r="BO475" s="29"/>
      <c r="CE475" s="29"/>
      <c r="CT475" s="13"/>
    </row>
    <row r="476" spans="1:98" s="11" customFormat="1">
      <c r="A476" s="25"/>
      <c r="B476" s="24"/>
      <c r="C476" s="8"/>
      <c r="D476" s="8"/>
      <c r="E476" s="8"/>
      <c r="F476" s="8"/>
      <c r="G476" s="8"/>
      <c r="H476" s="14"/>
      <c r="P476" s="24"/>
      <c r="Q476" s="8"/>
      <c r="R476" s="8"/>
      <c r="S476" s="8"/>
      <c r="T476" s="8"/>
      <c r="U476" s="8"/>
      <c r="V476" s="8"/>
      <c r="W476" s="24"/>
      <c r="X476" s="8"/>
      <c r="Y476" s="8"/>
      <c r="Z476" s="8"/>
      <c r="AA476" s="8"/>
      <c r="AB476" s="8"/>
      <c r="AC476" s="14"/>
      <c r="AD476" s="8"/>
      <c r="AE476" s="8"/>
      <c r="AF476" s="8"/>
      <c r="AG476" s="8"/>
      <c r="AH476" s="8"/>
      <c r="AI476" s="8"/>
      <c r="AJ476" s="8"/>
      <c r="AK476" s="71"/>
      <c r="AL476" s="66"/>
      <c r="AM476" s="66"/>
      <c r="AN476" s="66"/>
      <c r="AO476" s="66"/>
      <c r="AP476" s="66"/>
      <c r="AQ476" s="66"/>
      <c r="AR476" s="58" t="s">
        <v>383</v>
      </c>
      <c r="AS476" s="66"/>
      <c r="AT476" s="66"/>
      <c r="AU476" s="66"/>
      <c r="AV476" s="66"/>
      <c r="AW476" s="66"/>
      <c r="AX476" s="66"/>
      <c r="AY476" s="66"/>
      <c r="AZ476" s="66"/>
      <c r="BA476" s="66"/>
      <c r="BB476" s="66"/>
      <c r="BC476" s="66"/>
      <c r="BD476" s="66"/>
      <c r="BE476" s="66"/>
      <c r="BF476" s="66"/>
      <c r="BG476" s="66"/>
      <c r="BH476" s="24"/>
      <c r="BI476" s="8"/>
      <c r="BJ476" s="8"/>
      <c r="BK476" s="8"/>
      <c r="BL476" s="14"/>
      <c r="BM476" s="13"/>
      <c r="BO476" s="29"/>
      <c r="CE476" s="29"/>
      <c r="CT476" s="13"/>
    </row>
    <row r="477" spans="1:98">
      <c r="A477" s="24"/>
      <c r="B477" s="24"/>
      <c r="H477" s="14"/>
      <c r="P477" s="24"/>
      <c r="W477" s="24"/>
      <c r="AC477" s="14"/>
      <c r="AK477" s="71"/>
      <c r="AL477" s="66"/>
      <c r="AM477" s="66"/>
      <c r="AN477" s="66"/>
      <c r="AO477" s="66"/>
      <c r="AP477" s="66"/>
      <c r="AQ477" s="66"/>
      <c r="AR477" s="83" t="s">
        <v>384</v>
      </c>
      <c r="AS477" s="66"/>
      <c r="AT477" s="66"/>
      <c r="AV477" s="66"/>
      <c r="AW477" s="66"/>
      <c r="AX477" s="66"/>
      <c r="AY477" s="66"/>
      <c r="AZ477" s="66"/>
      <c r="BA477" s="66"/>
      <c r="BB477" s="66"/>
      <c r="BC477" s="66"/>
      <c r="BD477" s="66"/>
      <c r="BE477" s="66"/>
      <c r="BF477" s="66"/>
      <c r="BG477" s="66"/>
      <c r="BH477" s="56"/>
      <c r="BL477" s="14"/>
      <c r="BM477" s="14"/>
      <c r="BO477" s="29"/>
      <c r="BP477" s="11"/>
      <c r="BQ477" s="11"/>
      <c r="BR477" s="11"/>
      <c r="BS477" s="11"/>
      <c r="BT477" s="11"/>
      <c r="BU477" s="11"/>
      <c r="BV477" s="11"/>
      <c r="BW477" s="11"/>
      <c r="BX477" s="11"/>
      <c r="BY477" s="11"/>
      <c r="BZ477" s="11"/>
      <c r="CA477" s="11"/>
      <c r="CB477" s="11"/>
      <c r="CC477" s="11"/>
      <c r="CD477" s="11"/>
      <c r="CE477" s="29"/>
      <c r="CF477" s="11"/>
      <c r="CG477" s="11"/>
      <c r="CH477" s="11"/>
      <c r="CI477" s="11"/>
      <c r="CJ477" s="11"/>
      <c r="CK477" s="11"/>
      <c r="CL477" s="11"/>
      <c r="CM477" s="11"/>
      <c r="CN477" s="11"/>
      <c r="CO477" s="11"/>
      <c r="CP477" s="11"/>
      <c r="CQ477" s="11"/>
      <c r="CR477" s="11"/>
      <c r="CS477" s="11"/>
      <c r="CT477" s="13"/>
    </row>
    <row r="478" spans="1:98">
      <c r="A478" s="24"/>
      <c r="B478" s="24"/>
      <c r="H478" s="14"/>
      <c r="P478" s="24"/>
      <c r="V478" s="14"/>
      <c r="AC478" s="14"/>
      <c r="AK478" s="71"/>
      <c r="AL478" s="66"/>
      <c r="AM478" s="66"/>
      <c r="AN478" s="66"/>
      <c r="AO478" s="66"/>
      <c r="AP478" s="66"/>
      <c r="AQ478" s="66"/>
      <c r="AR478" s="83" t="s">
        <v>385</v>
      </c>
      <c r="AS478" s="66"/>
      <c r="AT478" s="66"/>
      <c r="AV478" s="66"/>
      <c r="AW478" s="66"/>
      <c r="AX478" s="66"/>
      <c r="AY478" s="66"/>
      <c r="AZ478" s="66"/>
      <c r="BA478" s="66"/>
      <c r="BB478" s="66"/>
      <c r="BC478" s="66"/>
      <c r="BD478" s="66"/>
      <c r="BE478" s="66"/>
      <c r="BF478" s="66"/>
      <c r="BG478" s="66"/>
      <c r="BH478" s="24"/>
      <c r="BL478" s="14"/>
      <c r="BM478" s="14"/>
      <c r="BO478" s="24"/>
      <c r="CE478" s="24"/>
      <c r="CT478" s="14"/>
    </row>
    <row r="479" spans="1:98">
      <c r="A479" s="24"/>
      <c r="B479" s="24"/>
      <c r="H479" s="14"/>
      <c r="P479" s="24"/>
      <c r="W479" s="24"/>
      <c r="AC479" s="14"/>
      <c r="AJ479" s="66"/>
      <c r="AK479" s="71"/>
      <c r="AL479" s="66"/>
      <c r="AM479" s="66"/>
      <c r="AN479" s="66"/>
      <c r="AO479" s="66"/>
      <c r="AP479" s="66"/>
      <c r="AQ479" s="72"/>
      <c r="AR479" s="66" t="s">
        <v>386</v>
      </c>
      <c r="AS479" s="66"/>
      <c r="AT479" s="66"/>
      <c r="AV479" s="66"/>
      <c r="AW479" s="66"/>
      <c r="AX479" s="66"/>
      <c r="AY479" s="66"/>
      <c r="AZ479" s="66"/>
      <c r="BA479" s="66"/>
      <c r="BB479" s="66"/>
      <c r="BC479" s="66"/>
      <c r="BD479" s="66"/>
      <c r="BE479" s="66"/>
      <c r="BF479" s="66"/>
      <c r="BG479" s="66"/>
      <c r="BH479" s="24"/>
      <c r="BL479" s="14"/>
      <c r="BM479" s="14"/>
      <c r="BO479" s="24"/>
      <c r="CE479" s="24"/>
      <c r="CT479" s="14"/>
    </row>
    <row r="480" spans="1:98">
      <c r="A480" s="24"/>
      <c r="B480" s="24"/>
      <c r="H480" s="14"/>
      <c r="P480" s="24"/>
      <c r="W480" s="24"/>
      <c r="AC480" s="14"/>
      <c r="AK480" s="71"/>
      <c r="AL480" s="66"/>
      <c r="AM480" s="66"/>
      <c r="AN480" s="66"/>
      <c r="AO480" s="66"/>
      <c r="AP480" s="66"/>
      <c r="AQ480" s="66"/>
      <c r="AR480" s="71"/>
      <c r="AS480" s="66"/>
      <c r="AT480" s="66"/>
      <c r="AV480" s="70"/>
      <c r="AW480" s="66"/>
      <c r="AX480" s="66"/>
      <c r="AY480" s="66"/>
      <c r="AZ480" s="66"/>
      <c r="BA480" s="66"/>
      <c r="BB480" s="66"/>
      <c r="BC480" s="66"/>
      <c r="BD480" s="66"/>
      <c r="BE480" s="66"/>
      <c r="BF480" s="66"/>
      <c r="BG480" s="66"/>
      <c r="BH480" s="24"/>
      <c r="BL480" s="14"/>
      <c r="BM480" s="14"/>
      <c r="BO480" s="24"/>
      <c r="CE480" s="24"/>
      <c r="CT480" s="14"/>
    </row>
    <row r="481" spans="1:98">
      <c r="A481" s="24"/>
      <c r="B481" s="24"/>
      <c r="H481" s="14"/>
      <c r="P481" s="24"/>
      <c r="W481" s="24"/>
      <c r="AC481" s="14"/>
      <c r="AK481" s="71"/>
      <c r="AL481" s="66"/>
      <c r="AM481" s="66"/>
      <c r="AN481" s="66"/>
      <c r="AO481" s="66"/>
      <c r="AP481" s="66"/>
      <c r="AQ481" s="66"/>
      <c r="AR481" s="71"/>
      <c r="AS481" s="80" t="s">
        <v>387</v>
      </c>
      <c r="AT481" s="70"/>
      <c r="AU481" s="70"/>
      <c r="AV481" s="70"/>
      <c r="AW481" s="66"/>
      <c r="AX481" s="66"/>
      <c r="AY481" s="66"/>
      <c r="AZ481" s="66"/>
      <c r="BA481" s="66"/>
      <c r="BB481" s="66"/>
      <c r="BC481" s="66"/>
      <c r="BD481" s="66"/>
      <c r="BE481" s="66"/>
      <c r="BF481" s="66"/>
      <c r="BG481" s="66"/>
      <c r="BH481" s="24"/>
      <c r="BL481" s="14"/>
      <c r="BM481" s="14"/>
      <c r="BO481" s="24"/>
      <c r="CE481" s="24"/>
      <c r="CT481" s="14"/>
    </row>
    <row r="482" spans="1:98">
      <c r="A482" s="24"/>
      <c r="B482" s="24"/>
      <c r="H482" s="14"/>
      <c r="P482" s="24"/>
      <c r="W482" s="24"/>
      <c r="AC482" s="14"/>
      <c r="AK482" s="71"/>
      <c r="AL482" s="66"/>
      <c r="AM482" s="66"/>
      <c r="AN482" s="66"/>
      <c r="AO482" s="66"/>
      <c r="AP482" s="66"/>
      <c r="AQ482" s="66"/>
      <c r="AR482" s="71"/>
      <c r="AS482" s="70"/>
      <c r="AT482" s="66" t="s">
        <v>388</v>
      </c>
      <c r="AU482" s="70"/>
      <c r="AV482" s="70"/>
      <c r="AW482" s="66"/>
      <c r="AX482" s="66"/>
      <c r="AY482" s="66"/>
      <c r="AZ482" s="66"/>
      <c r="BA482" s="66"/>
      <c r="BB482" s="66"/>
      <c r="BC482" s="66"/>
      <c r="BD482" s="66"/>
      <c r="BE482" s="66"/>
      <c r="BF482" s="66"/>
      <c r="BG482" s="66"/>
      <c r="BH482" s="24"/>
      <c r="BL482" s="14"/>
      <c r="BM482" s="14"/>
      <c r="BO482" s="24"/>
      <c r="CE482" s="24"/>
      <c r="CT482" s="14"/>
    </row>
    <row r="483" spans="1:98">
      <c r="A483" s="24"/>
      <c r="B483" s="24"/>
      <c r="H483" s="14"/>
      <c r="P483" s="24"/>
      <c r="W483" s="24"/>
      <c r="AC483" s="14"/>
      <c r="AJ483" s="66"/>
      <c r="AK483" s="71"/>
      <c r="AL483" s="66"/>
      <c r="AM483" s="66"/>
      <c r="AN483" s="66"/>
      <c r="AO483" s="66"/>
      <c r="AP483" s="66"/>
      <c r="AQ483" s="72"/>
      <c r="AR483" s="71"/>
      <c r="AS483" s="70"/>
      <c r="AT483" s="70" t="s">
        <v>389</v>
      </c>
      <c r="AU483" s="70"/>
      <c r="AV483" s="70"/>
      <c r="AW483" s="66"/>
      <c r="AX483" s="66"/>
      <c r="AY483" s="66"/>
      <c r="AZ483" s="66"/>
      <c r="BA483" s="66"/>
      <c r="BB483" s="66"/>
      <c r="BC483" s="66"/>
      <c r="BD483" s="66"/>
      <c r="BE483" s="66"/>
      <c r="BF483" s="66"/>
      <c r="BG483" s="66"/>
      <c r="BH483" s="24"/>
      <c r="BL483" s="14"/>
      <c r="BM483" s="14"/>
      <c r="BO483" s="24"/>
      <c r="CE483" s="24"/>
      <c r="CT483" s="14"/>
    </row>
    <row r="484" spans="1:98">
      <c r="A484" s="24"/>
      <c r="B484" s="24"/>
      <c r="H484" s="14"/>
      <c r="P484" s="24"/>
      <c r="W484" s="24"/>
      <c r="AC484" s="14"/>
      <c r="AJ484" s="66"/>
      <c r="AK484" s="71"/>
      <c r="AL484" s="66"/>
      <c r="AM484" s="66"/>
      <c r="AN484" s="66"/>
      <c r="AO484" s="66"/>
      <c r="AP484" s="66"/>
      <c r="AQ484" s="72"/>
      <c r="AR484" s="66"/>
      <c r="AS484" s="70"/>
      <c r="AT484" s="74" t="s">
        <v>118</v>
      </c>
      <c r="AU484" s="45" t="s">
        <v>390</v>
      </c>
      <c r="AV484" s="70"/>
      <c r="AW484" s="66"/>
      <c r="AX484" s="66"/>
      <c r="AY484" s="66"/>
      <c r="AZ484" s="66"/>
      <c r="BA484" s="66"/>
      <c r="BB484" s="66"/>
      <c r="BC484" s="66"/>
      <c r="BD484" s="66"/>
      <c r="BE484" s="66"/>
      <c r="BF484" s="66"/>
      <c r="BG484" s="66"/>
      <c r="BH484" s="24"/>
      <c r="BL484" s="14"/>
      <c r="BM484" s="14"/>
      <c r="BO484" s="24"/>
      <c r="CE484" s="24"/>
      <c r="CT484" s="14"/>
    </row>
    <row r="485" spans="1:98">
      <c r="A485" s="24"/>
      <c r="B485" s="24"/>
      <c r="H485" s="14"/>
      <c r="P485" s="24"/>
      <c r="W485" s="24"/>
      <c r="AC485" s="14"/>
      <c r="AJ485" s="66"/>
      <c r="AK485" s="71"/>
      <c r="AL485" s="66"/>
      <c r="AM485" s="66"/>
      <c r="AN485" s="66"/>
      <c r="AO485" s="66"/>
      <c r="AP485" s="66"/>
      <c r="AQ485" s="72"/>
      <c r="AR485" s="66"/>
      <c r="AS485" s="80" t="s">
        <v>391</v>
      </c>
      <c r="AT485" s="70"/>
      <c r="AU485" s="70"/>
      <c r="AV485" s="70"/>
      <c r="AW485" s="66"/>
      <c r="AX485" s="66"/>
      <c r="AY485" s="66"/>
      <c r="AZ485" s="66"/>
      <c r="BA485" s="66"/>
      <c r="BB485" s="66"/>
      <c r="BC485" s="66"/>
      <c r="BD485" s="66"/>
      <c r="BE485" s="66"/>
      <c r="BF485" s="66"/>
      <c r="BG485" s="66"/>
      <c r="BH485" s="24"/>
      <c r="BL485" s="14"/>
      <c r="BM485" s="14"/>
      <c r="BO485" s="24"/>
      <c r="CE485" s="24"/>
      <c r="CT485" s="14"/>
    </row>
    <row r="486" spans="1:98">
      <c r="A486" s="24"/>
      <c r="B486" s="24"/>
      <c r="H486" s="14"/>
      <c r="P486" s="24"/>
      <c r="W486" s="24"/>
      <c r="AC486" s="14"/>
      <c r="AJ486" s="66"/>
      <c r="AK486" s="71"/>
      <c r="AL486" s="66"/>
      <c r="AM486" s="66"/>
      <c r="AN486" s="66"/>
      <c r="AO486" s="66"/>
      <c r="AP486" s="66"/>
      <c r="AQ486" s="72"/>
      <c r="AR486" s="66"/>
      <c r="AS486" s="70"/>
      <c r="AT486" s="66" t="s">
        <v>392</v>
      </c>
      <c r="AU486" s="70"/>
      <c r="AV486" s="70"/>
      <c r="AW486" s="66"/>
      <c r="AX486" s="66"/>
      <c r="AY486" s="66"/>
      <c r="AZ486" s="66"/>
      <c r="BA486" s="66"/>
      <c r="BB486" s="66"/>
      <c r="BC486" s="66"/>
      <c r="BD486" s="66"/>
      <c r="BE486" s="66"/>
      <c r="BF486" s="66"/>
      <c r="BG486" s="66"/>
      <c r="BH486" s="24"/>
      <c r="BL486" s="14"/>
      <c r="BM486" s="14"/>
      <c r="BO486" s="98"/>
      <c r="BP486" s="96"/>
      <c r="CE486" s="24"/>
      <c r="CT486" s="14"/>
    </row>
    <row r="487" spans="1:98">
      <c r="A487" s="24"/>
      <c r="B487" s="24"/>
      <c r="H487" s="14"/>
      <c r="P487" s="24"/>
      <c r="W487" s="24"/>
      <c r="AC487" s="14"/>
      <c r="AJ487" s="66"/>
      <c r="AK487" s="71"/>
      <c r="AL487" s="66"/>
      <c r="AM487" s="66"/>
      <c r="AN487" s="66"/>
      <c r="AO487" s="66"/>
      <c r="AP487" s="66"/>
      <c r="AQ487" s="72"/>
      <c r="AR487" s="66"/>
      <c r="AS487" s="70"/>
      <c r="AT487" s="70" t="s">
        <v>393</v>
      </c>
      <c r="AU487" s="70"/>
      <c r="AV487" s="70"/>
      <c r="AW487" s="66"/>
      <c r="AX487" s="66"/>
      <c r="AY487" s="66"/>
      <c r="AZ487" s="66"/>
      <c r="BA487" s="66"/>
      <c r="BB487" s="66"/>
      <c r="BC487" s="66"/>
      <c r="BD487" s="66"/>
      <c r="BE487" s="66"/>
      <c r="BF487" s="66"/>
      <c r="BG487" s="66"/>
      <c r="BH487" s="24"/>
      <c r="BL487" s="14"/>
      <c r="BM487" s="14"/>
      <c r="BO487" s="98"/>
      <c r="BP487" s="96"/>
      <c r="CE487" s="24"/>
      <c r="CT487" s="14"/>
    </row>
    <row r="488" spans="1:98">
      <c r="A488" s="24"/>
      <c r="B488" s="24"/>
      <c r="H488" s="14"/>
      <c r="P488" s="24"/>
      <c r="W488" s="24"/>
      <c r="AC488" s="14"/>
      <c r="AJ488" s="66"/>
      <c r="AK488" s="71"/>
      <c r="AL488" s="66"/>
      <c r="AM488" s="66"/>
      <c r="AN488" s="66"/>
      <c r="AO488" s="66"/>
      <c r="AP488" s="66"/>
      <c r="AQ488" s="72"/>
      <c r="AR488" s="66"/>
      <c r="AS488" s="70"/>
      <c r="AT488" s="70"/>
      <c r="AU488" s="70"/>
      <c r="AV488" s="70"/>
      <c r="AW488" s="66"/>
      <c r="AX488" s="66"/>
      <c r="AY488" s="66"/>
      <c r="AZ488" s="66"/>
      <c r="BA488" s="66"/>
      <c r="BB488" s="66"/>
      <c r="BC488" s="66"/>
      <c r="BD488" s="66"/>
      <c r="BE488" s="66"/>
      <c r="BF488" s="66"/>
      <c r="BG488" s="66"/>
      <c r="BH488" s="24"/>
      <c r="BL488" s="14"/>
      <c r="BM488" s="14"/>
      <c r="BO488" s="24"/>
      <c r="CE488" s="24"/>
      <c r="CT488" s="14"/>
    </row>
    <row r="489" spans="1:98">
      <c r="A489" s="24"/>
      <c r="B489" s="24"/>
      <c r="H489" s="14"/>
      <c r="P489" s="24"/>
      <c r="W489" s="24"/>
      <c r="AC489" s="14"/>
      <c r="AJ489" s="66"/>
      <c r="AK489" s="71"/>
      <c r="AL489" s="66"/>
      <c r="AM489" s="66"/>
      <c r="AN489" s="66"/>
      <c r="AO489" s="66"/>
      <c r="AP489" s="66"/>
      <c r="AQ489" s="72"/>
      <c r="AR489" s="66"/>
      <c r="AS489" s="70"/>
      <c r="AT489" s="70"/>
      <c r="AU489" s="70"/>
      <c r="AV489" s="70"/>
      <c r="AW489" s="66"/>
      <c r="AX489" s="66"/>
      <c r="AY489" s="66"/>
      <c r="AZ489" s="66"/>
      <c r="BA489" s="66"/>
      <c r="BB489" s="66"/>
      <c r="BC489" s="66"/>
      <c r="BD489" s="66"/>
      <c r="BE489" s="66"/>
      <c r="BF489" s="66"/>
      <c r="BG489" s="66"/>
      <c r="BH489" s="24"/>
      <c r="BL489" s="14"/>
      <c r="BM489" s="14"/>
      <c r="BO489" s="24"/>
      <c r="CE489" s="24"/>
      <c r="CT489" s="14"/>
    </row>
    <row r="490" spans="1:98">
      <c r="A490" s="24"/>
      <c r="B490" s="24"/>
      <c r="H490" s="14"/>
      <c r="P490" s="24"/>
      <c r="W490" s="24"/>
      <c r="AC490" s="14"/>
      <c r="AK490" s="71"/>
      <c r="AL490" s="66"/>
      <c r="AM490" s="66"/>
      <c r="AN490" s="66"/>
      <c r="AO490" s="66"/>
      <c r="AP490" s="66"/>
      <c r="AQ490" s="66"/>
      <c r="AR490" s="71"/>
      <c r="AS490" s="66"/>
      <c r="AT490" s="66"/>
      <c r="AV490" s="70"/>
      <c r="AW490" s="66"/>
      <c r="AX490" s="66"/>
      <c r="AY490" s="66"/>
      <c r="AZ490" s="66"/>
      <c r="BA490" s="66"/>
      <c r="BB490" s="66"/>
      <c r="BC490" s="66"/>
      <c r="BD490" s="66"/>
      <c r="BE490" s="66"/>
      <c r="BF490" s="66"/>
      <c r="BG490" s="66"/>
      <c r="BH490" s="24"/>
      <c r="BL490" s="14"/>
      <c r="BM490" s="14"/>
      <c r="BO490" s="24"/>
      <c r="CE490" s="24"/>
      <c r="CT490" s="14"/>
    </row>
    <row r="491" spans="1:98">
      <c r="A491" s="24"/>
      <c r="B491" s="24"/>
      <c r="H491" s="14"/>
      <c r="P491" s="24"/>
      <c r="W491" s="24"/>
      <c r="AC491" s="14"/>
      <c r="AK491" s="71"/>
      <c r="AL491" s="66"/>
      <c r="AM491" s="66"/>
      <c r="AN491" s="66"/>
      <c r="AO491" s="66"/>
      <c r="AP491" s="66"/>
      <c r="AQ491" s="66"/>
      <c r="AR491" s="71"/>
      <c r="AS491" s="80" t="s">
        <v>394</v>
      </c>
      <c r="AT491" s="70"/>
      <c r="AU491" s="70"/>
      <c r="AV491" s="70"/>
      <c r="AW491" s="66"/>
      <c r="AX491" s="66"/>
      <c r="AY491" s="66"/>
      <c r="AZ491" s="66"/>
      <c r="BA491" s="66"/>
      <c r="BB491" s="66"/>
      <c r="BC491" s="66"/>
      <c r="BD491" s="66"/>
      <c r="BE491" s="66"/>
      <c r="BF491" s="66"/>
      <c r="BG491" s="66"/>
      <c r="BH491" s="24"/>
      <c r="BL491" s="14"/>
      <c r="BM491" s="14"/>
      <c r="BO491" s="24"/>
      <c r="CE491" s="24"/>
      <c r="CT491" s="14"/>
    </row>
    <row r="492" spans="1:98">
      <c r="A492" s="24"/>
      <c r="B492" s="24"/>
      <c r="H492" s="14"/>
      <c r="P492" s="24"/>
      <c r="W492" s="24"/>
      <c r="AC492" s="14"/>
      <c r="AK492" s="71"/>
      <c r="AL492" s="66"/>
      <c r="AM492" s="66"/>
      <c r="AN492" s="66"/>
      <c r="AO492" s="66"/>
      <c r="AP492" s="66"/>
      <c r="AQ492" s="66"/>
      <c r="AR492" s="71"/>
      <c r="AS492" s="70"/>
      <c r="AT492" s="66" t="s">
        <v>395</v>
      </c>
      <c r="AU492" s="70"/>
      <c r="AV492" s="70"/>
      <c r="AW492" s="66"/>
      <c r="AX492" s="66"/>
      <c r="AY492" s="66"/>
      <c r="AZ492" s="66"/>
      <c r="BA492" s="66"/>
      <c r="BB492" s="66"/>
      <c r="BC492" s="66"/>
      <c r="BD492" s="66"/>
      <c r="BE492" s="66"/>
      <c r="BF492" s="66"/>
      <c r="BG492" s="66"/>
      <c r="BH492" s="24"/>
      <c r="BL492" s="14"/>
      <c r="BM492" s="14"/>
      <c r="BO492" s="24"/>
      <c r="CE492" s="24"/>
      <c r="CT492" s="14"/>
    </row>
    <row r="493" spans="1:98">
      <c r="A493" s="24"/>
      <c r="B493" s="24"/>
      <c r="H493" s="14"/>
      <c r="P493" s="24"/>
      <c r="W493" s="24"/>
      <c r="AC493" s="14"/>
      <c r="AK493" s="71"/>
      <c r="AL493" s="66"/>
      <c r="AM493" s="66"/>
      <c r="AN493" s="66"/>
      <c r="AO493" s="66"/>
      <c r="AP493" s="66"/>
      <c r="AQ493" s="66"/>
      <c r="AR493" s="71"/>
      <c r="AS493" s="70"/>
      <c r="AT493" s="70" t="s">
        <v>396</v>
      </c>
      <c r="AU493" s="70"/>
      <c r="AV493" s="70"/>
      <c r="AW493" s="66"/>
      <c r="AX493" s="66"/>
      <c r="AY493" s="66"/>
      <c r="AZ493" s="66"/>
      <c r="BA493" s="66"/>
      <c r="BB493" s="66"/>
      <c r="BC493" s="66"/>
      <c r="BD493" s="66"/>
      <c r="BE493" s="66"/>
      <c r="BF493" s="66"/>
      <c r="BG493" s="66"/>
      <c r="BH493" s="24"/>
      <c r="BL493" s="14"/>
      <c r="BM493" s="14"/>
      <c r="BO493" s="24"/>
      <c r="CE493" s="24"/>
      <c r="CT493" s="14"/>
    </row>
    <row r="494" spans="1:98">
      <c r="A494" s="24"/>
      <c r="B494" s="24"/>
      <c r="H494" s="14"/>
      <c r="P494" s="24"/>
      <c r="W494" s="24"/>
      <c r="AC494" s="14"/>
      <c r="AK494" s="71"/>
      <c r="AL494" s="66"/>
      <c r="AM494" s="66"/>
      <c r="AN494" s="66"/>
      <c r="AO494" s="66"/>
      <c r="AP494" s="66"/>
      <c r="AQ494" s="66"/>
      <c r="AR494" s="71"/>
      <c r="AS494" s="70"/>
      <c r="AT494" s="79"/>
      <c r="AU494" s="70"/>
      <c r="AV494" s="70"/>
      <c r="AW494" s="66"/>
      <c r="AX494" s="66"/>
      <c r="AY494" s="66"/>
      <c r="AZ494" s="66"/>
      <c r="BA494" s="66"/>
      <c r="BB494" s="66"/>
      <c r="BC494" s="66"/>
      <c r="BD494" s="66"/>
      <c r="BE494" s="66"/>
      <c r="BF494" s="66"/>
      <c r="BG494" s="66"/>
      <c r="BH494" s="24"/>
      <c r="BL494" s="14"/>
      <c r="BM494" s="14"/>
      <c r="BO494" s="24"/>
      <c r="CE494" s="24"/>
      <c r="CT494" s="14"/>
    </row>
    <row r="495" spans="1:98">
      <c r="A495" s="24"/>
      <c r="B495" s="24"/>
      <c r="H495" s="14"/>
      <c r="P495" s="24"/>
      <c r="W495" s="24"/>
      <c r="AC495" s="14"/>
      <c r="AJ495" s="66"/>
      <c r="AK495" s="71"/>
      <c r="AL495" s="66"/>
      <c r="AM495" s="66"/>
      <c r="AN495" s="66"/>
      <c r="AO495" s="66"/>
      <c r="AP495" s="66"/>
      <c r="AQ495" s="72"/>
      <c r="AR495" s="66"/>
      <c r="AS495" s="70"/>
      <c r="AT495" s="70"/>
      <c r="AU495" s="70"/>
      <c r="AV495" s="70"/>
      <c r="AW495" s="66"/>
      <c r="AX495" s="66"/>
      <c r="AY495" s="66"/>
      <c r="AZ495" s="66"/>
      <c r="BA495" s="66"/>
      <c r="BB495" s="66"/>
      <c r="BC495" s="66"/>
      <c r="BD495" s="66"/>
      <c r="BE495" s="66"/>
      <c r="BF495" s="66"/>
      <c r="BG495" s="66"/>
      <c r="BH495" s="24"/>
      <c r="BL495" s="14"/>
      <c r="BM495" s="14"/>
      <c r="BO495" s="24"/>
      <c r="CE495" s="24"/>
      <c r="CT495" s="14"/>
    </row>
    <row r="496" spans="1:98">
      <c r="A496" s="24"/>
      <c r="B496" s="24"/>
      <c r="H496" s="14"/>
      <c r="P496" s="24"/>
      <c r="W496" s="24"/>
      <c r="AC496" s="14"/>
      <c r="AK496" s="71"/>
      <c r="AL496" s="66"/>
      <c r="AM496" s="66"/>
      <c r="AN496" s="66"/>
      <c r="AO496" s="66"/>
      <c r="AP496" s="66"/>
      <c r="AQ496" s="66"/>
      <c r="AR496" s="71"/>
      <c r="AS496" s="66"/>
      <c r="AT496" s="66"/>
      <c r="AV496" s="70"/>
      <c r="AW496" s="66"/>
      <c r="AX496" s="66"/>
      <c r="AY496" s="66"/>
      <c r="AZ496" s="66"/>
      <c r="BA496" s="66"/>
      <c r="BB496" s="66"/>
      <c r="BC496" s="66"/>
      <c r="BD496" s="66"/>
      <c r="BE496" s="66"/>
      <c r="BF496" s="66"/>
      <c r="BG496" s="66"/>
      <c r="BH496" s="24"/>
      <c r="BL496" s="14"/>
      <c r="BM496" s="14"/>
      <c r="BO496" s="24"/>
      <c r="CE496" s="24"/>
      <c r="CT496" s="14"/>
    </row>
    <row r="497" spans="1:98">
      <c r="A497" s="24"/>
      <c r="B497" s="24"/>
      <c r="H497" s="14"/>
      <c r="P497" s="24"/>
      <c r="W497" s="24"/>
      <c r="AC497" s="14"/>
      <c r="AK497" s="71"/>
      <c r="AL497" s="66"/>
      <c r="AM497" s="66"/>
      <c r="AN497" s="66"/>
      <c r="AO497" s="66"/>
      <c r="AP497" s="66"/>
      <c r="AQ497" s="66"/>
      <c r="AR497" s="71"/>
      <c r="AS497" s="80" t="s">
        <v>397</v>
      </c>
      <c r="AT497" s="70"/>
      <c r="AU497" s="70"/>
      <c r="AV497" s="70"/>
      <c r="AW497" s="66"/>
      <c r="AX497" s="66"/>
      <c r="AY497" s="66"/>
      <c r="AZ497" s="66"/>
      <c r="BA497" s="66"/>
      <c r="BB497" s="66"/>
      <c r="BC497" s="66"/>
      <c r="BD497" s="66"/>
      <c r="BE497" s="66"/>
      <c r="BF497" s="66"/>
      <c r="BG497" s="66"/>
      <c r="BH497" s="24"/>
      <c r="BL497" s="14"/>
      <c r="BM497" s="14"/>
      <c r="BO497" s="24" t="s">
        <v>105</v>
      </c>
      <c r="BP497" s="8" t="s">
        <v>398</v>
      </c>
      <c r="CE497" s="24" t="s">
        <v>107</v>
      </c>
      <c r="CF497" s="8" t="s">
        <v>296</v>
      </c>
      <c r="CT497" s="14"/>
    </row>
    <row r="498" spans="1:98">
      <c r="A498" s="24"/>
      <c r="B498" s="24"/>
      <c r="H498" s="14"/>
      <c r="P498" s="24"/>
      <c r="W498" s="24"/>
      <c r="AC498" s="14"/>
      <c r="AK498" s="71"/>
      <c r="AL498" s="66"/>
      <c r="AM498" s="66"/>
      <c r="AN498" s="66"/>
      <c r="AO498" s="66"/>
      <c r="AP498" s="66"/>
      <c r="AQ498" s="66"/>
      <c r="AR498" s="71"/>
      <c r="AS498" s="70"/>
      <c r="AT498" s="66" t="s">
        <v>399</v>
      </c>
      <c r="AU498" s="70"/>
      <c r="AV498" s="70"/>
      <c r="AW498" s="66"/>
      <c r="AX498" s="66"/>
      <c r="AY498" s="66"/>
      <c r="AZ498" s="66"/>
      <c r="BA498" s="66"/>
      <c r="BB498" s="66"/>
      <c r="BC498" s="66"/>
      <c r="BD498" s="66"/>
      <c r="BE498" s="66"/>
      <c r="BF498" s="66"/>
      <c r="BG498" s="66"/>
      <c r="BH498" s="24"/>
      <c r="BL498" s="14"/>
      <c r="BM498" s="14"/>
      <c r="BO498" s="24"/>
      <c r="BP498" s="96" t="s">
        <v>133</v>
      </c>
      <c r="BQ498" s="96" t="s">
        <v>297</v>
      </c>
      <c r="BR498" s="96"/>
      <c r="BS498" s="96"/>
      <c r="BT498" s="96"/>
      <c r="BU498" s="96"/>
      <c r="BV498" s="96"/>
      <c r="CE498" s="24" t="s">
        <v>133</v>
      </c>
      <c r="CF498" s="8" t="s">
        <v>298</v>
      </c>
      <c r="CT498" s="14"/>
    </row>
    <row r="499" spans="1:98">
      <c r="A499" s="24"/>
      <c r="B499" s="24"/>
      <c r="H499" s="14"/>
      <c r="P499" s="24"/>
      <c r="W499" s="24"/>
      <c r="AC499" s="14"/>
      <c r="AK499" s="71"/>
      <c r="AL499" s="66"/>
      <c r="AM499" s="66"/>
      <c r="AN499" s="66"/>
      <c r="AO499" s="66"/>
      <c r="AP499" s="66"/>
      <c r="AQ499" s="66"/>
      <c r="AR499" s="71"/>
      <c r="AS499" s="70"/>
      <c r="AT499" s="70" t="s">
        <v>400</v>
      </c>
      <c r="AU499" s="70"/>
      <c r="AV499" s="70"/>
      <c r="AW499" s="66"/>
      <c r="AX499" s="66"/>
      <c r="AY499" s="66"/>
      <c r="AZ499" s="66"/>
      <c r="BA499" s="66"/>
      <c r="BB499" s="66"/>
      <c r="BC499" s="66"/>
      <c r="BD499" s="66"/>
      <c r="BE499" s="66"/>
      <c r="BF499" s="66"/>
      <c r="BG499" s="66"/>
      <c r="BH499" s="24"/>
      <c r="BL499" s="14"/>
      <c r="BM499" s="14"/>
      <c r="BO499" s="24"/>
      <c r="BP499" s="96"/>
      <c r="BQ499" s="96" t="s">
        <v>401</v>
      </c>
      <c r="BR499" s="96"/>
      <c r="BS499" s="96"/>
      <c r="BT499" s="96"/>
      <c r="BU499" s="96"/>
      <c r="BV499" s="96"/>
      <c r="CE499" s="24"/>
      <c r="CT499" s="14"/>
    </row>
    <row r="500" spans="1:98">
      <c r="A500" s="24"/>
      <c r="B500" s="24"/>
      <c r="H500" s="14"/>
      <c r="P500" s="24"/>
      <c r="W500" s="24"/>
      <c r="AC500" s="14"/>
      <c r="AK500" s="71"/>
      <c r="AL500" s="66"/>
      <c r="AM500" s="66"/>
      <c r="AN500" s="66"/>
      <c r="AO500" s="66"/>
      <c r="AP500" s="66"/>
      <c r="AQ500" s="66"/>
      <c r="AR500" s="71"/>
      <c r="AS500" s="70"/>
      <c r="AT500" s="92" t="s">
        <v>118</v>
      </c>
      <c r="AU500" s="92" t="s">
        <v>402</v>
      </c>
      <c r="AV500" s="70"/>
      <c r="AW500" s="66"/>
      <c r="AX500" s="66"/>
      <c r="AY500" s="66"/>
      <c r="AZ500" s="66"/>
      <c r="BA500" s="66"/>
      <c r="BB500" s="66"/>
      <c r="BC500" s="66"/>
      <c r="BD500" s="66"/>
      <c r="BE500" s="66"/>
      <c r="BF500" s="66"/>
      <c r="BG500" s="66"/>
      <c r="BH500" s="24"/>
      <c r="BL500" s="14"/>
      <c r="BM500" s="14"/>
      <c r="BO500" s="24"/>
      <c r="BP500" s="96"/>
      <c r="BQ500" s="96"/>
      <c r="BR500" s="96"/>
      <c r="BS500" s="96"/>
      <c r="BT500" s="96"/>
      <c r="BU500" s="96"/>
      <c r="BV500" s="96"/>
      <c r="CE500" s="24"/>
      <c r="CT500" s="14"/>
    </row>
    <row r="501" spans="1:98">
      <c r="A501" s="24"/>
      <c r="B501" s="24"/>
      <c r="H501" s="14"/>
      <c r="P501" s="24"/>
      <c r="W501" s="24"/>
      <c r="AC501" s="14"/>
      <c r="AK501" s="71"/>
      <c r="AL501" s="66"/>
      <c r="AM501" s="66"/>
      <c r="AN501" s="66"/>
      <c r="AO501" s="66"/>
      <c r="AP501" s="66"/>
      <c r="AQ501" s="66"/>
      <c r="AR501" s="71"/>
      <c r="AS501" s="70"/>
      <c r="AT501" s="79"/>
      <c r="AU501" s="70"/>
      <c r="AV501" s="70"/>
      <c r="AW501" s="66"/>
      <c r="AX501" s="66"/>
      <c r="AY501" s="66"/>
      <c r="AZ501" s="66"/>
      <c r="BA501" s="66"/>
      <c r="BB501" s="66"/>
      <c r="BC501" s="66"/>
      <c r="BD501" s="66"/>
      <c r="BE501" s="66"/>
      <c r="BF501" s="66"/>
      <c r="BG501" s="66"/>
      <c r="BH501" s="24"/>
      <c r="BL501" s="14"/>
      <c r="BM501" s="14"/>
      <c r="BO501" s="24"/>
      <c r="CE501" s="24"/>
      <c r="CT501" s="14"/>
    </row>
    <row r="502" spans="1:98">
      <c r="A502" s="24"/>
      <c r="B502" s="24"/>
      <c r="H502" s="14"/>
      <c r="P502" s="24"/>
      <c r="W502" s="24"/>
      <c r="AC502" s="14"/>
      <c r="AK502" s="71"/>
      <c r="AL502" s="66"/>
      <c r="AM502" s="66"/>
      <c r="AN502" s="66"/>
      <c r="AO502" s="66"/>
      <c r="AP502" s="66"/>
      <c r="AQ502" s="66"/>
      <c r="AR502" s="71"/>
      <c r="AS502" s="80" t="s">
        <v>403</v>
      </c>
      <c r="AT502" s="70"/>
      <c r="AU502" s="70"/>
      <c r="AV502" s="66"/>
      <c r="AW502" s="66"/>
      <c r="AX502" s="66"/>
      <c r="AY502" s="66"/>
      <c r="AZ502" s="66"/>
      <c r="BA502" s="66"/>
      <c r="BB502" s="66"/>
      <c r="BD502" s="66"/>
      <c r="BE502" s="66"/>
      <c r="BF502" s="66"/>
      <c r="BG502" s="66"/>
      <c r="BH502" s="24"/>
      <c r="BL502" s="14"/>
      <c r="BM502" s="14"/>
      <c r="BO502" s="24"/>
      <c r="CE502" s="24"/>
      <c r="CT502" s="14"/>
    </row>
    <row r="503" spans="1:98">
      <c r="A503" s="24"/>
      <c r="B503" s="24"/>
      <c r="H503" s="14"/>
      <c r="P503" s="28"/>
      <c r="Q503"/>
      <c r="R503"/>
      <c r="S503"/>
      <c r="T503"/>
      <c r="U503"/>
      <c r="V503"/>
      <c r="W503" s="24"/>
      <c r="X503"/>
      <c r="Y503"/>
      <c r="Z503"/>
      <c r="AA503"/>
      <c r="AB503"/>
      <c r="AC503" s="14"/>
      <c r="AD503"/>
      <c r="AE503"/>
      <c r="AF503"/>
      <c r="AG503"/>
      <c r="AH503"/>
      <c r="AI503"/>
      <c r="AJ503"/>
      <c r="AK503" s="28"/>
      <c r="AL503"/>
      <c r="AM503"/>
      <c r="AN503"/>
      <c r="AO503"/>
      <c r="AP503"/>
      <c r="AQ503"/>
      <c r="AR503" s="71"/>
      <c r="AS503" s="70"/>
      <c r="AT503" s="8" t="s">
        <v>186</v>
      </c>
      <c r="AU503" s="8"/>
      <c r="AV503" s="66"/>
      <c r="AW503" s="66"/>
      <c r="AX503" s="66"/>
      <c r="AY503" s="66"/>
      <c r="AZ503" s="66"/>
      <c r="BA503" s="66"/>
      <c r="BB503" s="66"/>
      <c r="BD503"/>
      <c r="BE503"/>
      <c r="BF503" s="66"/>
      <c r="BG503" s="66"/>
      <c r="BH503" s="24"/>
      <c r="BL503" s="14"/>
      <c r="BM503" s="14"/>
      <c r="BO503" s="24"/>
      <c r="CE503" s="24"/>
      <c r="CT503" s="14"/>
    </row>
    <row r="504" spans="1:98">
      <c r="A504" s="24"/>
      <c r="B504" s="24"/>
      <c r="H504" s="14"/>
      <c r="P504" s="24"/>
      <c r="W504" s="24"/>
      <c r="AC504" s="14"/>
      <c r="AK504" s="71"/>
      <c r="AL504" s="66"/>
      <c r="AM504" s="66"/>
      <c r="AN504" s="66"/>
      <c r="AO504" s="66"/>
      <c r="AP504" s="66"/>
      <c r="AQ504" s="66"/>
      <c r="AR504" s="71"/>
      <c r="AS504" s="77"/>
      <c r="AU504" s="8"/>
      <c r="AV504" s="66"/>
      <c r="AW504" s="66"/>
      <c r="AX504" s="66"/>
      <c r="AY504" s="66"/>
      <c r="AZ504" s="66"/>
      <c r="BA504" s="66"/>
      <c r="BB504" s="66"/>
      <c r="BD504" s="66"/>
      <c r="BE504" s="66"/>
      <c r="BF504" s="66"/>
      <c r="BG504" s="66"/>
      <c r="BH504" s="24"/>
      <c r="BL504" s="14"/>
      <c r="BM504" s="14"/>
      <c r="BO504" s="24"/>
      <c r="CE504" s="24"/>
      <c r="CT504" s="14"/>
    </row>
    <row r="505" spans="1:98">
      <c r="A505" s="24"/>
      <c r="B505" s="24"/>
      <c r="H505" s="14"/>
      <c r="P505" s="28"/>
      <c r="Q505"/>
      <c r="R505"/>
      <c r="S505"/>
      <c r="T505"/>
      <c r="U505"/>
      <c r="V505" s="14"/>
      <c r="W505" s="24"/>
      <c r="X505"/>
      <c r="Y505"/>
      <c r="Z505"/>
      <c r="AA505"/>
      <c r="AB505"/>
      <c r="AC505" s="14"/>
      <c r="AD505"/>
      <c r="AE505"/>
      <c r="AF505"/>
      <c r="AG505"/>
      <c r="AH505"/>
      <c r="AI505"/>
      <c r="AJ505"/>
      <c r="AK505" s="28"/>
      <c r="AL505"/>
      <c r="AM505"/>
      <c r="AN505"/>
      <c r="AO505"/>
      <c r="AP505"/>
      <c r="AQ505"/>
      <c r="AR505" s="71"/>
      <c r="AS505" s="66"/>
      <c r="AT505" s="70"/>
      <c r="AV505" s="66"/>
      <c r="AW505" s="66"/>
      <c r="AX505" s="66"/>
      <c r="AY505" s="66"/>
      <c r="AZ505" s="66"/>
      <c r="BA505" s="66"/>
      <c r="BB505" s="66"/>
      <c r="BD505"/>
      <c r="BE505"/>
      <c r="BF505" s="66"/>
      <c r="BG505" s="66"/>
      <c r="BH505" s="24"/>
      <c r="BL505" s="14"/>
      <c r="BM505" s="14"/>
      <c r="BO505" s="24"/>
      <c r="CE505" s="24"/>
      <c r="CT505" s="14"/>
    </row>
    <row r="506" spans="1:98">
      <c r="A506" s="24"/>
      <c r="B506" s="24"/>
      <c r="H506" s="14"/>
      <c r="P506" s="28"/>
      <c r="Q506"/>
      <c r="R506"/>
      <c r="S506"/>
      <c r="T506"/>
      <c r="U506"/>
      <c r="V506" s="14"/>
      <c r="W506" s="24"/>
      <c r="X506"/>
      <c r="Y506"/>
      <c r="Z506"/>
      <c r="AA506"/>
      <c r="AB506"/>
      <c r="AC506" s="14"/>
      <c r="AD506"/>
      <c r="AE506"/>
      <c r="AF506"/>
      <c r="AG506"/>
      <c r="AH506"/>
      <c r="AI506"/>
      <c r="AJ506"/>
      <c r="AK506" s="28"/>
      <c r="AL506"/>
      <c r="AM506"/>
      <c r="AN506"/>
      <c r="AO506"/>
      <c r="AP506"/>
      <c r="AQ506"/>
      <c r="AR506" s="71"/>
      <c r="AS506" s="66"/>
      <c r="AT506" s="70"/>
      <c r="AV506" s="66"/>
      <c r="AW506" s="66"/>
      <c r="AX506" s="66"/>
      <c r="AY506" s="66"/>
      <c r="AZ506" s="66"/>
      <c r="BA506" s="66"/>
      <c r="BB506" s="66"/>
      <c r="BD506"/>
      <c r="BE506"/>
      <c r="BF506" s="66"/>
      <c r="BG506" s="66"/>
      <c r="BH506" s="24"/>
      <c r="BL506" s="14"/>
      <c r="BM506" s="14"/>
      <c r="BO506" s="24"/>
      <c r="CE506" s="24"/>
      <c r="CT506" s="14"/>
    </row>
    <row r="507" spans="1:98">
      <c r="A507" s="24"/>
      <c r="B507" s="24"/>
      <c r="H507" s="14"/>
      <c r="P507" s="28"/>
      <c r="Q507"/>
      <c r="R507"/>
      <c r="S507"/>
      <c r="T507"/>
      <c r="U507"/>
      <c r="V507" s="14"/>
      <c r="W507" s="24"/>
      <c r="X507"/>
      <c r="Y507"/>
      <c r="Z507"/>
      <c r="AA507"/>
      <c r="AB507"/>
      <c r="AC507" s="14"/>
      <c r="AD507"/>
      <c r="AE507"/>
      <c r="AF507"/>
      <c r="AG507"/>
      <c r="AH507"/>
      <c r="AI507"/>
      <c r="AJ507"/>
      <c r="AK507" s="28"/>
      <c r="AL507"/>
      <c r="AM507"/>
      <c r="AN507"/>
      <c r="AO507"/>
      <c r="AP507"/>
      <c r="AQ507"/>
      <c r="AR507" s="71"/>
      <c r="AS507" s="66"/>
      <c r="AT507" s="78"/>
      <c r="AV507" s="66"/>
      <c r="AW507" s="66"/>
      <c r="AX507" s="66"/>
      <c r="AY507" s="66"/>
      <c r="AZ507" s="66"/>
      <c r="BA507" s="66"/>
      <c r="BB507" s="66"/>
      <c r="BD507"/>
      <c r="BE507"/>
      <c r="BF507" s="66"/>
      <c r="BG507" s="66"/>
      <c r="BH507" s="24"/>
      <c r="BL507" s="14"/>
      <c r="BM507" s="14"/>
      <c r="BO507" s="24"/>
      <c r="CE507" s="24"/>
      <c r="CT507" s="14"/>
    </row>
    <row r="508" spans="1:98">
      <c r="A508" s="24"/>
      <c r="B508" s="24"/>
      <c r="H508" s="14"/>
      <c r="P508" s="28"/>
      <c r="Q508"/>
      <c r="R508"/>
      <c r="S508"/>
      <c r="T508"/>
      <c r="U508"/>
      <c r="V508" s="14"/>
      <c r="W508" s="24"/>
      <c r="X508"/>
      <c r="Y508"/>
      <c r="Z508"/>
      <c r="AA508"/>
      <c r="AB508"/>
      <c r="AC508" s="14"/>
      <c r="AD508"/>
      <c r="AE508"/>
      <c r="AF508"/>
      <c r="AG508"/>
      <c r="AH508"/>
      <c r="AI508"/>
      <c r="AJ508"/>
      <c r="AK508" s="28"/>
      <c r="AL508"/>
      <c r="AM508"/>
      <c r="AN508"/>
      <c r="AO508"/>
      <c r="AP508"/>
      <c r="AQ508"/>
      <c r="AR508" s="71"/>
      <c r="AS508" s="80" t="s">
        <v>404</v>
      </c>
      <c r="AT508" s="66"/>
      <c r="AV508" s="66"/>
      <c r="AW508" s="66"/>
      <c r="AX508" s="66"/>
      <c r="AY508" s="66"/>
      <c r="AZ508" s="66"/>
      <c r="BA508" s="66"/>
      <c r="BB508" s="66"/>
      <c r="BD508"/>
      <c r="BE508"/>
      <c r="BF508" s="66"/>
      <c r="BG508" s="66"/>
      <c r="BH508" s="24"/>
      <c r="BL508" s="14"/>
      <c r="BM508" s="14"/>
      <c r="BO508" s="24"/>
      <c r="CE508" s="24"/>
      <c r="CT508" s="14"/>
    </row>
    <row r="509" spans="1:98">
      <c r="A509" s="24"/>
      <c r="B509" s="24"/>
      <c r="H509" s="14"/>
      <c r="P509" s="28"/>
      <c r="Q509"/>
      <c r="R509"/>
      <c r="S509"/>
      <c r="T509"/>
      <c r="U509"/>
      <c r="V509" s="14"/>
      <c r="W509" s="24"/>
      <c r="X509"/>
      <c r="Y509"/>
      <c r="Z509"/>
      <c r="AA509"/>
      <c r="AB509"/>
      <c r="AC509" s="14"/>
      <c r="AD509"/>
      <c r="AE509"/>
      <c r="AF509"/>
      <c r="AG509"/>
      <c r="AH509"/>
      <c r="AI509"/>
      <c r="AJ509"/>
      <c r="AK509" s="28"/>
      <c r="AL509"/>
      <c r="AM509"/>
      <c r="AN509"/>
      <c r="AO509"/>
      <c r="AP509"/>
      <c r="AQ509"/>
      <c r="AR509" s="71"/>
      <c r="AS509" s="77"/>
      <c r="AT509" s="8" t="s">
        <v>188</v>
      </c>
      <c r="AV509" s="66"/>
      <c r="AW509" s="66"/>
      <c r="AX509" s="66"/>
      <c r="AY509" s="66"/>
      <c r="AZ509" s="66"/>
      <c r="BA509" s="66"/>
      <c r="BB509" s="66"/>
      <c r="BC509"/>
      <c r="BD509"/>
      <c r="BE509"/>
      <c r="BF509" s="66"/>
      <c r="BG509" s="66"/>
      <c r="BH509" s="24"/>
      <c r="BL509" s="14"/>
      <c r="BM509" s="14"/>
      <c r="BO509" s="24"/>
      <c r="CE509" s="24"/>
      <c r="CT509" s="14"/>
    </row>
    <row r="510" spans="1:98">
      <c r="A510" s="24"/>
      <c r="B510" s="24"/>
      <c r="H510" s="14"/>
      <c r="P510" s="28"/>
      <c r="Q510"/>
      <c r="R510"/>
      <c r="S510"/>
      <c r="T510"/>
      <c r="U510"/>
      <c r="V510" s="14"/>
      <c r="W510" s="24"/>
      <c r="X510"/>
      <c r="Y510"/>
      <c r="Z510"/>
      <c r="AA510"/>
      <c r="AB510"/>
      <c r="AC510" s="14"/>
      <c r="AD510"/>
      <c r="AE510"/>
      <c r="AF510"/>
      <c r="AG510"/>
      <c r="AH510"/>
      <c r="AI510"/>
      <c r="AJ510"/>
      <c r="AK510" s="28"/>
      <c r="AL510"/>
      <c r="AM510"/>
      <c r="AN510"/>
      <c r="AO510"/>
      <c r="AP510"/>
      <c r="AQ510"/>
      <c r="AR510" s="71"/>
      <c r="AS510" s="66"/>
      <c r="AV510" s="66"/>
      <c r="AW510" s="66"/>
      <c r="AX510" s="66"/>
      <c r="AY510" s="66"/>
      <c r="AZ510" s="66"/>
      <c r="BA510" s="66"/>
      <c r="BB510" s="66"/>
      <c r="BC510"/>
      <c r="BD510"/>
      <c r="BE510"/>
      <c r="BF510" s="66"/>
      <c r="BG510" s="66"/>
      <c r="BH510" s="24"/>
      <c r="BL510" s="14"/>
      <c r="BM510" s="14"/>
      <c r="BO510" s="24"/>
      <c r="CE510" s="24"/>
      <c r="CT510" s="14"/>
    </row>
    <row r="511" spans="1:98">
      <c r="A511" s="24"/>
      <c r="B511" s="24"/>
      <c r="H511" s="14"/>
      <c r="P511" s="28"/>
      <c r="Q511"/>
      <c r="R511"/>
      <c r="S511"/>
      <c r="T511"/>
      <c r="U511"/>
      <c r="V511" s="14"/>
      <c r="W511" s="24"/>
      <c r="X511"/>
      <c r="Y511"/>
      <c r="Z511"/>
      <c r="AA511"/>
      <c r="AB511"/>
      <c r="AC511" s="14"/>
      <c r="AD511"/>
      <c r="AE511"/>
      <c r="AF511"/>
      <c r="AG511"/>
      <c r="AH511"/>
      <c r="AI511"/>
      <c r="AJ511"/>
      <c r="AK511" s="28"/>
      <c r="AL511"/>
      <c r="AM511"/>
      <c r="AN511"/>
      <c r="AO511"/>
      <c r="AP511"/>
      <c r="AQ511"/>
      <c r="AR511" s="71"/>
      <c r="AS511" s="66"/>
      <c r="AV511" s="66"/>
      <c r="AW511" s="66"/>
      <c r="AX511" s="66"/>
      <c r="AY511" s="66"/>
      <c r="AZ511" s="66"/>
      <c r="BA511" s="66"/>
      <c r="BB511" s="66"/>
      <c r="BC511"/>
      <c r="BD511"/>
      <c r="BE511"/>
      <c r="BF511" s="66"/>
      <c r="BG511" s="66"/>
      <c r="BH511" s="24"/>
      <c r="BL511" s="14"/>
      <c r="BM511" s="14"/>
      <c r="BO511" s="24"/>
      <c r="CE511" s="24"/>
      <c r="CT511" s="14"/>
    </row>
    <row r="512" spans="1:98">
      <c r="A512" s="24"/>
      <c r="B512" s="24"/>
      <c r="H512" s="14"/>
      <c r="P512" s="28"/>
      <c r="Q512"/>
      <c r="R512"/>
      <c r="S512"/>
      <c r="T512"/>
      <c r="U512"/>
      <c r="V512" s="14"/>
      <c r="W512" s="24"/>
      <c r="X512"/>
      <c r="Y512"/>
      <c r="Z512"/>
      <c r="AA512"/>
      <c r="AB512"/>
      <c r="AC512" s="14"/>
      <c r="AD512"/>
      <c r="AE512"/>
      <c r="AF512"/>
      <c r="AG512"/>
      <c r="AH512"/>
      <c r="AI512"/>
      <c r="AJ512"/>
      <c r="AK512" s="28"/>
      <c r="AL512"/>
      <c r="AM512"/>
      <c r="AN512"/>
      <c r="AO512"/>
      <c r="AP512"/>
      <c r="AQ512"/>
      <c r="AR512" s="71"/>
      <c r="AS512" s="66"/>
      <c r="AT512" s="70"/>
      <c r="AV512" s="66"/>
      <c r="AW512" s="66"/>
      <c r="AX512" s="66"/>
      <c r="AY512" s="66"/>
      <c r="AZ512" s="66"/>
      <c r="BA512" s="66"/>
      <c r="BB512" s="66"/>
      <c r="BC512" s="66"/>
      <c r="BD512"/>
      <c r="BE512"/>
      <c r="BF512" s="66"/>
      <c r="BG512" s="66"/>
      <c r="BH512" s="24"/>
      <c r="BL512" s="14"/>
      <c r="BM512" s="14"/>
      <c r="BO512" s="24"/>
      <c r="CE512" s="24"/>
      <c r="CT512" s="14"/>
    </row>
    <row r="513" spans="1:98">
      <c r="A513" s="24"/>
      <c r="B513" s="24"/>
      <c r="H513" s="14"/>
      <c r="P513" s="28"/>
      <c r="Q513"/>
      <c r="R513"/>
      <c r="S513"/>
      <c r="T513"/>
      <c r="U513"/>
      <c r="V513" s="14"/>
      <c r="W513" s="24"/>
      <c r="X513"/>
      <c r="Y513"/>
      <c r="Z513"/>
      <c r="AA513"/>
      <c r="AB513"/>
      <c r="AC513" s="14"/>
      <c r="AD513"/>
      <c r="AE513"/>
      <c r="AF513"/>
      <c r="AG513"/>
      <c r="AH513"/>
      <c r="AI513"/>
      <c r="AJ513"/>
      <c r="AK513" s="28"/>
      <c r="AL513"/>
      <c r="AM513"/>
      <c r="AN513"/>
      <c r="AO513"/>
      <c r="AP513"/>
      <c r="AQ513"/>
      <c r="AR513" s="71"/>
      <c r="AU513" s="8"/>
      <c r="AZ513" s="66"/>
      <c r="BA513" s="66"/>
      <c r="BB513" s="66"/>
      <c r="BC513" s="21"/>
      <c r="BD513"/>
      <c r="BE513"/>
      <c r="BF513" s="66"/>
      <c r="BG513" s="66"/>
      <c r="BH513" s="24"/>
      <c r="BL513" s="14"/>
      <c r="BM513" s="14"/>
      <c r="BO513" s="24"/>
      <c r="CE513" s="24"/>
      <c r="CT513" s="14"/>
    </row>
    <row r="514" spans="1:98">
      <c r="A514" s="24"/>
      <c r="B514" s="28"/>
      <c r="C514"/>
      <c r="D514"/>
      <c r="E514"/>
      <c r="F514"/>
      <c r="G514"/>
      <c r="H514" s="19"/>
      <c r="P514" s="24"/>
      <c r="W514" s="24"/>
      <c r="AC514" s="14"/>
      <c r="AK514" s="71"/>
      <c r="AL514" s="66"/>
      <c r="AM514" s="66"/>
      <c r="AN514" s="66"/>
      <c r="AO514" s="66"/>
      <c r="AP514" s="66"/>
      <c r="AQ514" s="66"/>
      <c r="AR514" s="71"/>
      <c r="AU514" s="8"/>
      <c r="AZ514" s="66"/>
      <c r="BA514" s="66"/>
      <c r="BB514" s="66"/>
      <c r="BC514" s="11"/>
      <c r="BD514" s="66"/>
      <c r="BE514" s="66"/>
      <c r="BF514" s="66"/>
      <c r="BG514" s="66"/>
      <c r="BH514" s="24"/>
      <c r="BL514" s="14"/>
      <c r="BM514" s="14"/>
      <c r="BO514" s="24"/>
      <c r="CE514" s="24"/>
      <c r="CT514" s="14"/>
    </row>
    <row r="515" spans="1:98">
      <c r="A515" s="24"/>
      <c r="B515" s="28"/>
      <c r="C515"/>
      <c r="D515"/>
      <c r="E515"/>
      <c r="F515"/>
      <c r="G515"/>
      <c r="H515" s="19"/>
      <c r="P515" s="24"/>
      <c r="W515" s="24"/>
      <c r="AC515" s="14"/>
      <c r="AK515" s="71"/>
      <c r="AL515" s="66"/>
      <c r="AM515" s="66"/>
      <c r="AN515" s="66"/>
      <c r="AO515" s="66"/>
      <c r="AP515" s="66"/>
      <c r="AQ515" s="66"/>
      <c r="AR515" s="71"/>
      <c r="AU515" s="8"/>
      <c r="AZ515"/>
      <c r="BA515"/>
      <c r="BB515"/>
      <c r="BC515" s="11"/>
      <c r="BD515" s="66"/>
      <c r="BE515" s="66"/>
      <c r="BF515" s="66"/>
      <c r="BG515" s="66"/>
      <c r="BH515" s="24"/>
      <c r="BL515" s="14"/>
      <c r="BM515" s="14"/>
      <c r="BO515" s="24"/>
      <c r="CE515" s="24"/>
      <c r="CT515" s="14"/>
    </row>
    <row r="516" spans="1:98">
      <c r="A516" s="24"/>
      <c r="B516" s="29"/>
      <c r="C516" s="11"/>
      <c r="D516" s="11"/>
      <c r="E516" s="11"/>
      <c r="F516" s="11"/>
      <c r="G516" s="11"/>
      <c r="H516" s="13"/>
      <c r="P516" s="24"/>
      <c r="W516" s="24"/>
      <c r="AC516" s="14"/>
      <c r="AK516" s="71"/>
      <c r="AL516" s="66"/>
      <c r="AM516" s="66"/>
      <c r="AN516" s="66"/>
      <c r="AO516" s="66"/>
      <c r="AP516" s="66"/>
      <c r="AQ516" s="66"/>
      <c r="AR516" s="71"/>
      <c r="AU516" s="8"/>
      <c r="AZ516"/>
      <c r="BA516"/>
      <c r="BB516"/>
      <c r="BC516" s="11"/>
      <c r="BD516" s="66"/>
      <c r="BE516" s="66"/>
      <c r="BF516" s="66"/>
      <c r="BG516" s="66"/>
      <c r="BH516" s="24"/>
      <c r="BL516" s="14"/>
      <c r="BM516" s="14"/>
      <c r="BO516" s="24"/>
      <c r="CE516" s="24"/>
      <c r="CT516" s="14"/>
    </row>
    <row r="517" spans="1:98">
      <c r="A517" s="24"/>
      <c r="B517" s="24"/>
      <c r="H517" s="14"/>
      <c r="P517" s="24"/>
      <c r="W517" s="24"/>
      <c r="AC517" s="14"/>
      <c r="AK517" s="71"/>
      <c r="AL517" s="66"/>
      <c r="AM517" s="66"/>
      <c r="AN517" s="66"/>
      <c r="AO517" s="66"/>
      <c r="AP517" s="66"/>
      <c r="AQ517" s="66"/>
      <c r="AR517" s="71"/>
      <c r="AS517" s="16" t="s">
        <v>189</v>
      </c>
      <c r="AU517" s="8"/>
      <c r="AY517" s="66"/>
      <c r="AZ517"/>
      <c r="BA517"/>
      <c r="BB517"/>
      <c r="BD517" s="66"/>
      <c r="BE517" s="66"/>
      <c r="BF517" s="66"/>
      <c r="BG517" s="66"/>
      <c r="BH517" s="24"/>
      <c r="BL517" s="14"/>
      <c r="BM517" s="14"/>
      <c r="BO517" s="24"/>
      <c r="CE517" s="24"/>
      <c r="CT517" s="14"/>
    </row>
    <row r="518" spans="1:98">
      <c r="A518" s="24"/>
      <c r="B518" s="24"/>
      <c r="H518" s="14"/>
      <c r="P518" s="24"/>
      <c r="W518" s="24"/>
      <c r="AC518" s="14"/>
      <c r="AK518" s="71"/>
      <c r="AL518" s="66"/>
      <c r="AM518" s="66"/>
      <c r="AN518" s="66"/>
      <c r="AO518" s="66"/>
      <c r="AP518" s="66"/>
      <c r="AQ518" s="66"/>
      <c r="AR518" s="71"/>
      <c r="AT518" s="8" t="s">
        <v>405</v>
      </c>
      <c r="AU518" s="8"/>
      <c r="AY518" s="66"/>
      <c r="AZ518" s="66"/>
      <c r="BA518" s="66"/>
      <c r="BB518" s="66"/>
      <c r="BC518" s="66"/>
      <c r="BD518" s="66"/>
      <c r="BE518" s="66"/>
      <c r="BF518" s="66"/>
      <c r="BG518" s="66"/>
      <c r="BH518" s="24"/>
      <c r="BL518" s="14"/>
      <c r="BM518" s="14"/>
      <c r="BO518" s="24"/>
      <c r="CE518" s="24"/>
      <c r="CT518" s="14"/>
    </row>
    <row r="519" spans="1:98">
      <c r="A519" s="24"/>
      <c r="B519" s="24"/>
      <c r="H519" s="14"/>
      <c r="P519" s="24"/>
      <c r="W519" s="24"/>
      <c r="AC519" s="14"/>
      <c r="AK519" s="71"/>
      <c r="AL519" s="66"/>
      <c r="AM519" s="66"/>
      <c r="AN519" s="66"/>
      <c r="AO519" s="66"/>
      <c r="AP519" s="66"/>
      <c r="AQ519" s="66"/>
      <c r="AR519" s="71"/>
      <c r="AT519" s="8" t="s">
        <v>191</v>
      </c>
      <c r="AU519" s="8"/>
      <c r="AY519"/>
      <c r="AZ519" s="66"/>
      <c r="BA519" s="66"/>
      <c r="BB519" s="66"/>
      <c r="BC519" s="66"/>
      <c r="BD519" s="66"/>
      <c r="BE519" s="66"/>
      <c r="BF519" s="66"/>
      <c r="BG519" s="66"/>
      <c r="BH519" s="24"/>
      <c r="BL519" s="14"/>
      <c r="BM519" s="14"/>
      <c r="BO519" s="24"/>
      <c r="CE519" s="24"/>
      <c r="CT519" s="14"/>
    </row>
    <row r="520" spans="1:98">
      <c r="A520" s="24"/>
      <c r="B520" s="24"/>
      <c r="H520" s="14"/>
      <c r="P520" s="24"/>
      <c r="W520" s="24"/>
      <c r="AC520" s="14"/>
      <c r="AK520" s="71"/>
      <c r="AL520" s="66"/>
      <c r="AM520" s="66"/>
      <c r="AN520" s="66"/>
      <c r="AO520" s="66"/>
      <c r="AP520" s="66"/>
      <c r="AQ520" s="66"/>
      <c r="AR520" s="71"/>
      <c r="AS520" s="66"/>
      <c r="AT520" s="66" t="s">
        <v>406</v>
      </c>
      <c r="AV520" s="66"/>
      <c r="AW520"/>
      <c r="AX520"/>
      <c r="AY520"/>
      <c r="AZ520" s="66"/>
      <c r="BA520" s="66"/>
      <c r="BB520" s="66"/>
      <c r="BC520" s="66"/>
      <c r="BD520" s="66"/>
      <c r="BE520" s="66"/>
      <c r="BF520" s="66"/>
      <c r="BG520" s="66"/>
      <c r="BH520" s="24"/>
      <c r="BL520" s="14"/>
      <c r="BM520" s="14"/>
      <c r="BO520" s="24"/>
      <c r="CE520" s="24"/>
      <c r="CT520" s="14"/>
    </row>
    <row r="521" spans="1:98">
      <c r="A521" s="24"/>
      <c r="B521" s="24"/>
      <c r="H521" s="14"/>
      <c r="P521" s="24"/>
      <c r="W521" s="24"/>
      <c r="AC521" s="14"/>
      <c r="AK521" s="71"/>
      <c r="AL521" s="66"/>
      <c r="AM521" s="66"/>
      <c r="AN521" s="66"/>
      <c r="AO521" s="66"/>
      <c r="AP521" s="66"/>
      <c r="AQ521" s="66"/>
      <c r="AR521" s="71"/>
      <c r="AS521" s="66"/>
      <c r="AT521" s="66"/>
      <c r="AV521" s="66"/>
      <c r="AW521" s="66"/>
      <c r="AX521" s="66"/>
      <c r="AY521" s="66"/>
      <c r="AZ521" s="66"/>
      <c r="BA521" s="66"/>
      <c r="BB521" s="66"/>
      <c r="BC521" s="66"/>
      <c r="BD521" s="66"/>
      <c r="BE521" s="66"/>
      <c r="BF521" s="66"/>
      <c r="BG521" s="66"/>
      <c r="BH521" s="24"/>
      <c r="BL521" s="14"/>
      <c r="BM521" s="14"/>
      <c r="BO521" s="24"/>
      <c r="CE521" s="24"/>
      <c r="CT521" s="14"/>
    </row>
    <row r="522" spans="1:98">
      <c r="A522" s="24"/>
      <c r="B522" s="24"/>
      <c r="H522" s="14"/>
      <c r="P522" s="24"/>
      <c r="W522" s="24"/>
      <c r="AC522" s="14"/>
      <c r="AK522" s="71"/>
      <c r="AL522" s="66"/>
      <c r="AM522" s="66"/>
      <c r="AN522" s="66"/>
      <c r="AO522" s="66"/>
      <c r="AP522" s="66"/>
      <c r="AQ522" s="66"/>
      <c r="AR522" s="71"/>
      <c r="AS522" s="76" t="s">
        <v>407</v>
      </c>
      <c r="AT522" s="66"/>
      <c r="AV522"/>
      <c r="AW522"/>
      <c r="AX522"/>
      <c r="AY522"/>
      <c r="AZ522"/>
      <c r="BA522"/>
      <c r="BB522"/>
      <c r="BC522" s="66"/>
      <c r="BD522" s="66"/>
      <c r="BE522" s="66"/>
      <c r="BF522" s="66"/>
      <c r="BG522" s="66"/>
      <c r="BH522" s="24"/>
      <c r="BL522" s="14"/>
      <c r="BM522" s="14"/>
      <c r="BO522" s="24"/>
      <c r="CE522" s="24"/>
      <c r="CT522" s="14"/>
    </row>
    <row r="523" spans="1:98">
      <c r="A523" s="24"/>
      <c r="B523" s="24"/>
      <c r="H523" s="14"/>
      <c r="P523" s="24"/>
      <c r="W523" s="24"/>
      <c r="AC523" s="14"/>
      <c r="AK523" s="71"/>
      <c r="AL523" s="66"/>
      <c r="AM523" s="66"/>
      <c r="AN523" s="66"/>
      <c r="AO523" s="66"/>
      <c r="AP523" s="66"/>
      <c r="AQ523" s="66"/>
      <c r="AR523" s="71"/>
      <c r="AS523" s="66"/>
      <c r="AT523" s="8" t="s">
        <v>194</v>
      </c>
      <c r="AU523" s="8"/>
      <c r="AZ523"/>
      <c r="BA523"/>
      <c r="BB523"/>
      <c r="BC523"/>
      <c r="BD523" s="66"/>
      <c r="BE523" s="66"/>
      <c r="BF523" s="66"/>
      <c r="BG523" s="66"/>
      <c r="BH523" s="24"/>
      <c r="BL523" s="14"/>
      <c r="BM523" s="14"/>
      <c r="BO523" s="24"/>
      <c r="CE523" s="24"/>
      <c r="CT523" s="14"/>
    </row>
    <row r="524" spans="1:98">
      <c r="A524" s="24"/>
      <c r="B524" s="24"/>
      <c r="H524" s="14"/>
      <c r="P524" s="24"/>
      <c r="W524" s="24"/>
      <c r="AC524" s="14"/>
      <c r="AK524" s="71"/>
      <c r="AL524" s="66"/>
      <c r="AM524" s="66"/>
      <c r="AN524" s="66"/>
      <c r="AO524" s="66"/>
      <c r="AP524" s="66"/>
      <c r="AQ524" s="66"/>
      <c r="AR524" s="71"/>
      <c r="AS524" s="66"/>
      <c r="AT524" s="8" t="s">
        <v>195</v>
      </c>
      <c r="AU524" s="8"/>
      <c r="AZ524"/>
      <c r="BA524"/>
      <c r="BB524"/>
      <c r="BC524" s="66"/>
      <c r="BD524" s="66"/>
      <c r="BE524" s="66"/>
      <c r="BF524" s="66"/>
      <c r="BG524" s="66"/>
      <c r="BH524" s="24"/>
      <c r="BL524" s="14"/>
      <c r="BM524" s="14"/>
      <c r="BO524" s="24"/>
      <c r="CE524" s="24"/>
      <c r="CT524" s="14"/>
    </row>
    <row r="525" spans="1:98">
      <c r="A525" s="24"/>
      <c r="B525" s="24"/>
      <c r="H525" s="14"/>
      <c r="P525" s="24"/>
      <c r="W525" s="24"/>
      <c r="AC525" s="14"/>
      <c r="AK525" s="71"/>
      <c r="AL525" s="66"/>
      <c r="AM525" s="66"/>
      <c r="AN525" s="66"/>
      <c r="AO525" s="66"/>
      <c r="AP525" s="66"/>
      <c r="AQ525" s="66"/>
      <c r="AR525" s="71"/>
      <c r="AS525" s="66"/>
      <c r="AT525" s="66" t="s">
        <v>196</v>
      </c>
      <c r="AV525"/>
      <c r="AW525"/>
      <c r="AX525"/>
      <c r="AY525"/>
      <c r="AZ525" s="66"/>
      <c r="BA525" s="66"/>
      <c r="BB525" s="66"/>
      <c r="BC525"/>
      <c r="BD525" s="66"/>
      <c r="BE525" s="66"/>
      <c r="BF525" s="66"/>
      <c r="BG525" s="66"/>
      <c r="BH525" s="24"/>
      <c r="BL525" s="14"/>
      <c r="BM525" s="14"/>
      <c r="BO525" s="24"/>
      <c r="CE525" s="24"/>
      <c r="CT525" s="14"/>
    </row>
    <row r="526" spans="1:98">
      <c r="A526" s="24"/>
      <c r="B526" s="24"/>
      <c r="H526" s="14"/>
      <c r="P526" s="24"/>
      <c r="W526" s="24"/>
      <c r="AC526" s="14"/>
      <c r="AK526" s="71"/>
      <c r="AL526" s="66"/>
      <c r="AM526" s="66"/>
      <c r="AN526" s="66"/>
      <c r="AO526" s="66"/>
      <c r="AP526" s="66"/>
      <c r="AQ526" s="66"/>
      <c r="AR526" s="71"/>
      <c r="AS526" s="66"/>
      <c r="AT526" s="66" t="s">
        <v>408</v>
      </c>
      <c r="AV526"/>
      <c r="AW526"/>
      <c r="AX526"/>
      <c r="AY526"/>
      <c r="AZ526" s="66"/>
      <c r="BA526" s="66"/>
      <c r="BB526" s="66"/>
      <c r="BC526"/>
      <c r="BD526" s="66"/>
      <c r="BE526" s="66"/>
      <c r="BF526" s="66"/>
      <c r="BG526" s="66"/>
      <c r="BH526" s="24"/>
      <c r="BL526" s="14"/>
      <c r="BM526" s="14"/>
      <c r="BO526" s="24"/>
      <c r="CE526" s="24"/>
      <c r="CT526" s="14"/>
    </row>
    <row r="527" spans="1:98">
      <c r="A527" s="24"/>
      <c r="B527" s="24"/>
      <c r="H527" s="14"/>
      <c r="P527" s="24"/>
      <c r="W527" s="24"/>
      <c r="AC527" s="14"/>
      <c r="AK527" s="71"/>
      <c r="AL527" s="66"/>
      <c r="AM527" s="66"/>
      <c r="AN527" s="66"/>
      <c r="AO527" s="66"/>
      <c r="AP527" s="66"/>
      <c r="AQ527" s="66"/>
      <c r="AR527" s="71"/>
      <c r="AT527" s="66"/>
      <c r="AV527" s="66"/>
      <c r="AW527" s="66"/>
      <c r="AX527" s="66"/>
      <c r="AY527" s="66"/>
      <c r="BC527"/>
      <c r="BD527" s="66"/>
      <c r="BE527" s="66"/>
      <c r="BF527" s="66"/>
      <c r="BG527" s="66"/>
      <c r="BH527" s="24"/>
      <c r="BL527" s="14"/>
      <c r="BM527" s="14"/>
      <c r="BO527" s="24"/>
      <c r="CE527" s="24"/>
      <c r="CT527" s="14"/>
    </row>
    <row r="528" spans="1:98">
      <c r="A528" s="24"/>
      <c r="B528" s="24"/>
      <c r="H528" s="14"/>
      <c r="P528" s="24"/>
      <c r="W528" s="24"/>
      <c r="AC528" s="14"/>
      <c r="AK528" s="71"/>
      <c r="AL528" s="66"/>
      <c r="AM528" s="66"/>
      <c r="AN528" s="66"/>
      <c r="AO528" s="66"/>
      <c r="AP528" s="66"/>
      <c r="AQ528" s="66"/>
      <c r="AR528" s="71"/>
      <c r="AT528" s="66"/>
      <c r="AV528" s="66"/>
      <c r="AW528" s="66"/>
      <c r="AX528" s="66"/>
      <c r="AY528" s="66"/>
      <c r="BC528"/>
      <c r="BD528" s="66"/>
      <c r="BE528" s="66"/>
      <c r="BF528" s="66"/>
      <c r="BG528" s="66"/>
      <c r="BH528" s="24"/>
      <c r="BL528" s="14"/>
      <c r="BM528" s="14"/>
      <c r="BO528" s="24"/>
      <c r="CE528" s="24"/>
      <c r="CT528" s="14"/>
    </row>
    <row r="529" spans="1:98">
      <c r="A529" s="24"/>
      <c r="B529" s="24"/>
      <c r="H529" s="14"/>
      <c r="P529" s="24"/>
      <c r="W529" s="24"/>
      <c r="AC529" s="14"/>
      <c r="AK529" s="71"/>
      <c r="AL529" s="66"/>
      <c r="AM529" s="66"/>
      <c r="AN529" s="66"/>
      <c r="AO529" s="66"/>
      <c r="AP529" s="66"/>
      <c r="AQ529" s="66"/>
      <c r="AR529" s="71"/>
      <c r="AT529" s="66"/>
      <c r="AV529" s="66"/>
      <c r="AW529" s="66"/>
      <c r="AX529" s="66"/>
      <c r="AY529" s="66"/>
      <c r="BC529"/>
      <c r="BD529" s="66"/>
      <c r="BE529" s="66"/>
      <c r="BF529" s="66"/>
      <c r="BG529" s="66"/>
      <c r="BH529" s="24"/>
      <c r="BL529" s="14"/>
      <c r="BM529" s="14"/>
      <c r="BO529" s="24"/>
      <c r="CE529" s="24"/>
      <c r="CT529" s="14"/>
    </row>
    <row r="530" spans="1:98">
      <c r="A530" s="24"/>
      <c r="B530" s="24"/>
      <c r="H530" s="14"/>
      <c r="P530" s="24"/>
      <c r="W530" s="24"/>
      <c r="AC530" s="14"/>
      <c r="AK530" s="71"/>
      <c r="AL530" s="66"/>
      <c r="AM530" s="66"/>
      <c r="AN530" s="66"/>
      <c r="AO530" s="66"/>
      <c r="AP530" s="66"/>
      <c r="AQ530" s="66"/>
      <c r="AR530" s="71"/>
      <c r="AU530" s="8"/>
      <c r="BD530" s="66"/>
      <c r="BE530" s="66"/>
      <c r="BF530" s="66"/>
      <c r="BG530" s="66"/>
      <c r="BH530" s="24"/>
      <c r="BL530" s="14"/>
      <c r="BM530" s="14"/>
      <c r="BO530" s="24"/>
      <c r="CE530" s="24"/>
      <c r="CT530" s="14"/>
    </row>
    <row r="531" spans="1:98">
      <c r="A531" s="24"/>
      <c r="B531" s="24"/>
      <c r="H531" s="14"/>
      <c r="P531" s="24"/>
      <c r="W531" s="24"/>
      <c r="AC531" s="14"/>
      <c r="AK531" s="71"/>
      <c r="AL531" s="66"/>
      <c r="AM531" s="66"/>
      <c r="AN531" s="66"/>
      <c r="AO531" s="66"/>
      <c r="AP531" s="66"/>
      <c r="AQ531" s="66"/>
      <c r="AR531" s="71"/>
      <c r="AS531" s="70"/>
      <c r="AT531" s="66"/>
      <c r="AU531" s="70"/>
      <c r="AV531" s="70"/>
      <c r="AW531" s="66"/>
      <c r="AX531" s="66"/>
      <c r="AY531" s="66"/>
      <c r="AZ531" s="66"/>
      <c r="BA531" s="66"/>
      <c r="BB531" s="66"/>
      <c r="BC531" s="66"/>
      <c r="BD531" s="66"/>
      <c r="BE531" s="66"/>
      <c r="BF531" s="66"/>
      <c r="BG531" s="66"/>
      <c r="BH531" s="24"/>
      <c r="BL531" s="14"/>
      <c r="BM531" s="14"/>
      <c r="BO531" s="24"/>
      <c r="CE531" s="24"/>
      <c r="CT531" s="14"/>
    </row>
    <row r="532" spans="1:98">
      <c r="A532" s="24"/>
      <c r="B532" s="24"/>
      <c r="H532" s="14"/>
      <c r="P532" s="24"/>
      <c r="W532" s="24"/>
      <c r="AC532" s="14"/>
      <c r="AK532" s="71"/>
      <c r="AL532" s="66"/>
      <c r="AM532" s="66"/>
      <c r="AN532" s="66"/>
      <c r="AO532" s="66"/>
      <c r="AP532" s="66"/>
      <c r="AQ532" s="66"/>
      <c r="AR532" s="71"/>
      <c r="AS532" s="70"/>
      <c r="AT532" s="66"/>
      <c r="AU532" s="70"/>
      <c r="AV532" s="70"/>
      <c r="AW532" s="66"/>
      <c r="AX532" s="66"/>
      <c r="AY532" s="66"/>
      <c r="AZ532" s="66"/>
      <c r="BA532" s="66"/>
      <c r="BB532" s="66"/>
      <c r="BC532" s="66"/>
      <c r="BD532" s="66"/>
      <c r="BE532" s="66"/>
      <c r="BF532" s="66"/>
      <c r="BG532" s="66"/>
      <c r="BH532" s="24"/>
      <c r="BL532" s="14"/>
      <c r="BM532" s="14"/>
      <c r="BO532" s="24"/>
      <c r="CE532" s="24"/>
      <c r="CT532" s="14"/>
    </row>
    <row r="533" spans="1:98">
      <c r="A533" s="24"/>
      <c r="B533" s="24"/>
      <c r="H533" s="14"/>
      <c r="P533" s="24"/>
      <c r="W533" s="24"/>
      <c r="AC533" s="14"/>
      <c r="AK533" s="71"/>
      <c r="AL533" s="66"/>
      <c r="AM533" s="66"/>
      <c r="AN533" s="66"/>
      <c r="AO533" s="66"/>
      <c r="AP533" s="66"/>
      <c r="AQ533" s="66"/>
      <c r="AR533" s="71"/>
      <c r="AS533" s="66"/>
      <c r="AT533" s="66"/>
      <c r="AV533" s="66"/>
      <c r="AW533" s="66"/>
      <c r="AX533" s="66"/>
      <c r="AY533" s="66"/>
      <c r="AZ533" s="66"/>
      <c r="BA533" s="66"/>
      <c r="BB533" s="66"/>
      <c r="BC533" s="66"/>
      <c r="BD533" s="66"/>
      <c r="BE533" s="66"/>
      <c r="BF533" s="66"/>
      <c r="BG533" s="66"/>
      <c r="BH533" s="24"/>
      <c r="BL533" s="14"/>
      <c r="BM533" s="14"/>
      <c r="BO533" s="24"/>
      <c r="CE533" s="24"/>
      <c r="CT533" s="14"/>
    </row>
    <row r="534" spans="1:98">
      <c r="A534" s="24"/>
      <c r="B534" s="24"/>
      <c r="H534" s="14"/>
      <c r="P534" s="24"/>
      <c r="W534" s="24"/>
      <c r="AC534" s="14"/>
      <c r="AK534" s="71"/>
      <c r="AL534" s="66"/>
      <c r="AM534" s="66"/>
      <c r="AN534" s="66"/>
      <c r="AO534" s="66"/>
      <c r="AP534" s="66"/>
      <c r="AQ534" s="66"/>
      <c r="AR534" s="71"/>
      <c r="AS534" s="80"/>
      <c r="AT534" s="70"/>
      <c r="AU534" s="70"/>
      <c r="AV534" s="70"/>
      <c r="AW534" s="66"/>
      <c r="AX534" s="66"/>
      <c r="AY534" s="66"/>
      <c r="AZ534" s="66"/>
      <c r="BA534" s="66"/>
      <c r="BB534" s="66"/>
      <c r="BC534" s="66"/>
      <c r="BD534" s="66"/>
      <c r="BE534" s="66"/>
      <c r="BF534" s="66"/>
      <c r="BG534" s="66"/>
      <c r="BH534" s="24"/>
      <c r="BL534" s="14"/>
      <c r="BM534" s="14"/>
      <c r="BO534" s="24"/>
      <c r="CE534" s="24"/>
      <c r="CT534" s="14"/>
    </row>
    <row r="535" spans="1:98">
      <c r="A535" s="24"/>
      <c r="B535" s="24"/>
      <c r="H535" s="14"/>
      <c r="P535" s="24"/>
      <c r="W535" s="24"/>
      <c r="AC535" s="14"/>
      <c r="AK535" s="71"/>
      <c r="AL535" s="66"/>
      <c r="AM535" s="66"/>
      <c r="AN535" s="66"/>
      <c r="AO535" s="66"/>
      <c r="AP535" s="66"/>
      <c r="AQ535" s="66"/>
      <c r="AR535" s="71"/>
      <c r="AS535" s="70"/>
      <c r="AT535" s="66"/>
      <c r="AU535" s="70"/>
      <c r="AV535" s="70"/>
      <c r="AW535" s="66"/>
      <c r="AX535" s="66"/>
      <c r="AY535" s="66"/>
      <c r="AZ535" s="66"/>
      <c r="BA535" s="66"/>
      <c r="BB535" s="66"/>
      <c r="BC535" s="66"/>
      <c r="BD535" s="66"/>
      <c r="BE535" s="66"/>
      <c r="BF535" s="66"/>
      <c r="BG535" s="66"/>
      <c r="BH535" s="24"/>
      <c r="BL535" s="14"/>
      <c r="BM535" s="14"/>
      <c r="BO535" s="24"/>
      <c r="CE535" s="24"/>
      <c r="CT535" s="14"/>
    </row>
    <row r="536" spans="1:98">
      <c r="A536" s="24"/>
      <c r="B536" s="24"/>
      <c r="H536" s="14"/>
      <c r="P536" s="24"/>
      <c r="W536" s="24"/>
      <c r="AC536" s="14"/>
      <c r="AK536" s="71"/>
      <c r="AL536" s="66"/>
      <c r="AM536" s="66"/>
      <c r="AN536" s="66"/>
      <c r="AO536" s="66"/>
      <c r="AP536" s="66"/>
      <c r="AQ536" s="66"/>
      <c r="AR536" s="71"/>
      <c r="AS536" s="70"/>
      <c r="AT536" s="66"/>
      <c r="AU536" s="70"/>
      <c r="AV536" s="70"/>
      <c r="AW536" s="66"/>
      <c r="AX536" s="66"/>
      <c r="AY536" s="66"/>
      <c r="AZ536" s="66"/>
      <c r="BA536" s="66"/>
      <c r="BB536" s="66"/>
      <c r="BC536" s="66"/>
      <c r="BD536" s="66"/>
      <c r="BE536" s="66"/>
      <c r="BF536" s="66"/>
      <c r="BG536" s="66"/>
      <c r="BH536" s="24"/>
      <c r="BL536" s="14"/>
      <c r="BM536" s="14"/>
      <c r="BO536" s="24"/>
      <c r="CE536" s="24"/>
      <c r="CT536" s="14"/>
    </row>
    <row r="537" spans="1:98">
      <c r="A537" s="24"/>
      <c r="B537" s="24"/>
      <c r="H537" s="14"/>
      <c r="P537" s="24"/>
      <c r="W537" s="24"/>
      <c r="AC537" s="14"/>
      <c r="AK537" s="71"/>
      <c r="AL537" s="66"/>
      <c r="AM537" s="66"/>
      <c r="AN537" s="66"/>
      <c r="AO537" s="66"/>
      <c r="AP537" s="66"/>
      <c r="AQ537" s="66"/>
      <c r="AR537" s="71"/>
      <c r="AS537" s="70"/>
      <c r="AT537" s="66"/>
      <c r="AU537" s="70"/>
      <c r="AV537" s="70"/>
      <c r="AW537" s="66"/>
      <c r="AX537" s="66"/>
      <c r="AY537" s="66"/>
      <c r="AZ537" s="66"/>
      <c r="BA537" s="66"/>
      <c r="BB537" s="66"/>
      <c r="BC537" s="66"/>
      <c r="BD537" s="66"/>
      <c r="BE537" s="66"/>
      <c r="BF537" s="66"/>
      <c r="BG537" s="66"/>
      <c r="BH537" s="24"/>
      <c r="BL537" s="14"/>
      <c r="BM537" s="14"/>
      <c r="BO537" s="24"/>
      <c r="CE537" s="24"/>
      <c r="CT537" s="14"/>
    </row>
    <row r="538" spans="1:98">
      <c r="A538" s="24"/>
      <c r="B538" s="24"/>
      <c r="H538" s="14"/>
      <c r="P538" s="24"/>
      <c r="W538" s="24"/>
      <c r="AC538" s="14"/>
      <c r="AJ538" s="66"/>
      <c r="AK538" s="71"/>
      <c r="AL538" s="66"/>
      <c r="AM538" s="66"/>
      <c r="AN538" s="66"/>
      <c r="AO538" s="66"/>
      <c r="AP538" s="66"/>
      <c r="AQ538" s="72"/>
      <c r="AR538" s="66"/>
      <c r="AS538" s="66"/>
      <c r="AT538" s="78"/>
      <c r="AU538" s="70"/>
      <c r="AV538" s="70"/>
      <c r="AW538" s="66"/>
      <c r="AX538" s="66"/>
      <c r="AY538" s="66"/>
      <c r="AZ538" s="66"/>
      <c r="BA538" s="66"/>
      <c r="BB538" s="66"/>
      <c r="BC538" s="66"/>
      <c r="BD538" s="66"/>
      <c r="BE538" s="66"/>
      <c r="BF538" s="66"/>
      <c r="BG538" s="66"/>
      <c r="BH538" s="24"/>
      <c r="BL538" s="14"/>
      <c r="BM538" s="14"/>
      <c r="BO538" s="24"/>
      <c r="CE538" s="24"/>
      <c r="CT538" s="14"/>
    </row>
    <row r="539" spans="1:98">
      <c r="A539" s="24"/>
      <c r="B539" s="24"/>
      <c r="H539" s="14"/>
      <c r="P539" s="24"/>
      <c r="W539" s="24"/>
      <c r="AC539" s="14"/>
      <c r="AJ539" s="66"/>
      <c r="AK539" s="71"/>
      <c r="AL539" s="66"/>
      <c r="AM539" s="66"/>
      <c r="AN539" s="66"/>
      <c r="AO539" s="66"/>
      <c r="AP539" s="66"/>
      <c r="AQ539" s="72"/>
      <c r="AR539" s="83"/>
      <c r="AS539" s="76"/>
      <c r="AT539" s="66"/>
      <c r="AV539" s="74"/>
      <c r="AW539" s="66"/>
      <c r="AX539" s="66"/>
      <c r="AY539" s="66"/>
      <c r="AZ539" s="66"/>
      <c r="BA539" s="66"/>
      <c r="BB539" s="66"/>
      <c r="BC539" s="66"/>
      <c r="BD539" s="66"/>
      <c r="BE539" s="66"/>
      <c r="BF539" s="66"/>
      <c r="BG539" s="66"/>
      <c r="BH539" s="53"/>
      <c r="BL539" s="14"/>
      <c r="BM539" s="14"/>
      <c r="BO539" s="24"/>
      <c r="CE539" s="24"/>
      <c r="CT539" s="14"/>
    </row>
    <row r="540" spans="1:98">
      <c r="A540" s="24"/>
      <c r="B540" s="24"/>
      <c r="H540" s="14"/>
      <c r="P540" s="24"/>
      <c r="W540" s="24"/>
      <c r="AC540" s="14"/>
      <c r="AJ540" s="66"/>
      <c r="AK540" s="71"/>
      <c r="AL540" s="66"/>
      <c r="AM540" s="66"/>
      <c r="AN540" s="66"/>
      <c r="AO540" s="66"/>
      <c r="AP540" s="66"/>
      <c r="AQ540" s="72"/>
      <c r="AR540" s="83"/>
      <c r="AS540" s="76"/>
      <c r="AT540" s="66"/>
      <c r="AV540" s="74"/>
      <c r="AW540" s="66"/>
      <c r="AX540" s="66"/>
      <c r="AY540" s="66"/>
      <c r="AZ540" s="66"/>
      <c r="BA540" s="66"/>
      <c r="BB540" s="66"/>
      <c r="BC540" s="66"/>
      <c r="BD540" s="66"/>
      <c r="BE540" s="66"/>
      <c r="BF540" s="66"/>
      <c r="BG540" s="66"/>
      <c r="BH540" s="24"/>
      <c r="BL540" s="14"/>
      <c r="BM540" s="14"/>
      <c r="BO540" s="24"/>
      <c r="CE540" s="24"/>
      <c r="CT540" s="14"/>
    </row>
    <row r="541" spans="1:98">
      <c r="A541" s="24"/>
      <c r="B541" s="24"/>
      <c r="H541" s="14"/>
      <c r="P541" s="24"/>
      <c r="W541" s="24"/>
      <c r="AC541" s="14"/>
      <c r="AK541" s="71"/>
      <c r="AL541" s="66"/>
      <c r="AM541" s="66"/>
      <c r="AN541" s="66"/>
      <c r="AO541" s="66"/>
      <c r="AP541" s="66"/>
      <c r="AQ541" s="66"/>
      <c r="AR541" s="83"/>
      <c r="AS541" s="76"/>
      <c r="AT541" s="66"/>
      <c r="AV541" s="74"/>
      <c r="AW541" s="66"/>
      <c r="AX541" s="66"/>
      <c r="AY541" s="66"/>
      <c r="AZ541" s="66"/>
      <c r="BA541" s="66"/>
      <c r="BB541" s="66"/>
      <c r="BC541" s="66"/>
      <c r="BD541" s="66"/>
      <c r="BE541" s="66"/>
      <c r="BF541" s="66"/>
      <c r="BG541" s="66"/>
      <c r="BH541" s="24"/>
      <c r="BL541" s="14"/>
      <c r="BM541" s="14"/>
      <c r="BO541" s="24"/>
      <c r="CE541" s="24"/>
      <c r="CT541" s="14"/>
    </row>
    <row r="542" spans="1:98">
      <c r="A542" s="24"/>
      <c r="B542" s="24"/>
      <c r="H542" s="14"/>
      <c r="P542" s="24"/>
      <c r="W542" s="24"/>
      <c r="AC542" s="14"/>
      <c r="AK542" s="71"/>
      <c r="AL542" s="66"/>
      <c r="AM542" s="66"/>
      <c r="AN542" s="66"/>
      <c r="AO542" s="66"/>
      <c r="AP542" s="66"/>
      <c r="AQ542" s="66"/>
      <c r="AR542" s="83"/>
      <c r="AS542" s="76"/>
      <c r="AT542" s="66"/>
      <c r="AV542" s="74"/>
      <c r="AW542" s="66"/>
      <c r="AX542" s="66"/>
      <c r="AY542" s="66"/>
      <c r="AZ542" s="66"/>
      <c r="BA542" s="66"/>
      <c r="BB542" s="66"/>
      <c r="BC542" s="66"/>
      <c r="BD542" s="66"/>
      <c r="BE542" s="66"/>
      <c r="BF542" s="66"/>
      <c r="BG542" s="66"/>
      <c r="BH542" s="24"/>
      <c r="BL542" s="14"/>
      <c r="BM542" s="14"/>
      <c r="BO542" s="24"/>
      <c r="CE542" s="24"/>
      <c r="CT542" s="14"/>
    </row>
    <row r="543" spans="1:98">
      <c r="A543" s="24"/>
      <c r="B543" s="24"/>
      <c r="H543" s="14"/>
      <c r="P543" s="24"/>
      <c r="W543" s="24"/>
      <c r="AC543" s="14"/>
      <c r="AK543" s="71"/>
      <c r="AL543" s="66"/>
      <c r="AM543" s="66"/>
      <c r="AN543" s="66"/>
      <c r="AO543" s="66"/>
      <c r="AP543" s="66"/>
      <c r="AQ543" s="66"/>
      <c r="AR543" s="83"/>
      <c r="AS543" s="76"/>
      <c r="AT543" s="66"/>
      <c r="AV543" s="74"/>
      <c r="AW543" s="66"/>
      <c r="AX543" s="66"/>
      <c r="AY543" s="66"/>
      <c r="AZ543" s="66"/>
      <c r="BA543" s="66"/>
      <c r="BB543" s="66"/>
      <c r="BC543" s="66"/>
      <c r="BD543" s="66"/>
      <c r="BE543" s="66"/>
      <c r="BF543" s="66"/>
      <c r="BG543" s="66"/>
      <c r="BH543" s="24"/>
      <c r="BL543" s="14"/>
      <c r="BM543" s="14"/>
      <c r="BO543" s="24"/>
      <c r="CE543" s="24"/>
      <c r="CT543" s="14"/>
    </row>
    <row r="544" spans="1:98">
      <c r="A544" s="24"/>
      <c r="B544" s="24"/>
      <c r="H544" s="14"/>
      <c r="P544" s="24"/>
      <c r="W544" s="24"/>
      <c r="AC544" s="14"/>
      <c r="AK544" s="71"/>
      <c r="AL544" s="66"/>
      <c r="AM544" s="66"/>
      <c r="AN544" s="66"/>
      <c r="AO544" s="66"/>
      <c r="AP544" s="66"/>
      <c r="AQ544" s="66"/>
      <c r="AR544" s="83"/>
      <c r="AS544" s="76"/>
      <c r="AT544" s="66"/>
      <c r="AV544" s="74"/>
      <c r="AW544" s="66"/>
      <c r="AX544" s="66"/>
      <c r="AY544" s="66"/>
      <c r="AZ544" s="66"/>
      <c r="BA544" s="66"/>
      <c r="BB544" s="66"/>
      <c r="BC544" s="66"/>
      <c r="BD544" s="66"/>
      <c r="BE544" s="66"/>
      <c r="BF544" s="66"/>
      <c r="BG544" s="66"/>
      <c r="BH544" s="24"/>
      <c r="BL544" s="14"/>
      <c r="BM544" s="14"/>
      <c r="BO544" s="24"/>
      <c r="CE544" s="24"/>
      <c r="CT544" s="14"/>
    </row>
    <row r="545" spans="1:98">
      <c r="A545" s="24"/>
      <c r="B545" s="24"/>
      <c r="H545" s="14"/>
      <c r="P545" s="24"/>
      <c r="W545" s="24"/>
      <c r="AC545" s="14"/>
      <c r="AK545" s="71"/>
      <c r="AL545" s="66"/>
      <c r="AM545" s="66"/>
      <c r="AN545" s="66"/>
      <c r="AO545" s="66"/>
      <c r="AP545" s="66"/>
      <c r="AQ545" s="66"/>
      <c r="AR545" s="83"/>
      <c r="AS545" s="76"/>
      <c r="AT545" s="66"/>
      <c r="AV545" s="74"/>
      <c r="AW545" s="66"/>
      <c r="AX545" s="66"/>
      <c r="AY545" s="66"/>
      <c r="AZ545" s="66"/>
      <c r="BA545" s="66"/>
      <c r="BB545" s="66"/>
      <c r="BC545" s="66"/>
      <c r="BD545" s="66"/>
      <c r="BE545" s="66"/>
      <c r="BF545" s="66"/>
      <c r="BG545" s="66"/>
      <c r="BH545" s="24"/>
      <c r="BL545" s="14"/>
      <c r="BM545" s="14"/>
      <c r="BO545" s="24"/>
      <c r="CE545" s="24"/>
      <c r="CT545" s="14"/>
    </row>
    <row r="546" spans="1:98">
      <c r="A546" s="24"/>
      <c r="B546" s="24"/>
      <c r="H546" s="14"/>
      <c r="P546" s="24"/>
      <c r="W546" s="24"/>
      <c r="AC546" s="14"/>
      <c r="AK546" s="71"/>
      <c r="AL546" s="66"/>
      <c r="AM546" s="66"/>
      <c r="AN546" s="66"/>
      <c r="AO546" s="66"/>
      <c r="AP546" s="66"/>
      <c r="AQ546" s="66"/>
      <c r="AR546" s="83"/>
      <c r="AS546" s="76"/>
      <c r="AT546" s="66"/>
      <c r="AV546" s="74"/>
      <c r="AW546" s="66"/>
      <c r="AX546" s="66"/>
      <c r="AY546" s="66"/>
      <c r="AZ546" s="66"/>
      <c r="BA546" s="66"/>
      <c r="BB546" s="66"/>
      <c r="BC546" s="66"/>
      <c r="BD546" s="66"/>
      <c r="BE546" s="66"/>
      <c r="BF546" s="66"/>
      <c r="BG546" s="66"/>
      <c r="BH546" s="24"/>
      <c r="BL546" s="14"/>
      <c r="BM546" s="14"/>
      <c r="BO546" s="24"/>
      <c r="CE546" s="24"/>
      <c r="CT546" s="14"/>
    </row>
    <row r="547" spans="1:98">
      <c r="A547" s="24"/>
      <c r="B547" s="24"/>
      <c r="H547" s="14"/>
      <c r="P547" s="24"/>
      <c r="W547" s="24"/>
      <c r="AC547" s="14"/>
      <c r="AK547" s="71"/>
      <c r="AL547" s="66"/>
      <c r="AM547" s="66"/>
      <c r="AN547" s="66"/>
      <c r="AO547" s="66"/>
      <c r="AP547" s="66"/>
      <c r="AQ547" s="66"/>
      <c r="AR547" s="83"/>
      <c r="AS547" s="76"/>
      <c r="AT547" s="66"/>
      <c r="AV547" s="74"/>
      <c r="AW547" s="66"/>
      <c r="AX547" s="66"/>
      <c r="AY547" s="66"/>
      <c r="AZ547" s="66"/>
      <c r="BA547" s="66"/>
      <c r="BB547" s="66"/>
      <c r="BC547" s="66"/>
      <c r="BD547" s="66"/>
      <c r="BE547" s="66"/>
      <c r="BF547" s="66"/>
      <c r="BG547" s="66"/>
      <c r="BH547" s="24"/>
      <c r="BL547" s="14"/>
      <c r="BM547" s="14"/>
      <c r="BO547" s="24"/>
      <c r="CE547" s="24"/>
      <c r="CT547" s="14"/>
    </row>
    <row r="548" spans="1:98">
      <c r="A548" s="24"/>
      <c r="B548" s="24"/>
      <c r="H548" s="14"/>
      <c r="P548" s="24"/>
      <c r="W548" s="24"/>
      <c r="AC548" s="14"/>
      <c r="AK548" s="71"/>
      <c r="AL548" s="66"/>
      <c r="AM548" s="66"/>
      <c r="AN548" s="66"/>
      <c r="AO548" s="66"/>
      <c r="AP548" s="66"/>
      <c r="AQ548" s="66"/>
      <c r="AR548" s="83"/>
      <c r="AS548" s="76"/>
      <c r="AT548" s="66"/>
      <c r="AV548" s="74"/>
      <c r="AW548" s="66"/>
      <c r="AX548" s="66"/>
      <c r="AY548" s="66"/>
      <c r="AZ548" s="66"/>
      <c r="BA548" s="66"/>
      <c r="BB548" s="66"/>
      <c r="BC548" s="66"/>
      <c r="BD548" s="66"/>
      <c r="BE548" s="66"/>
      <c r="BF548" s="66"/>
      <c r="BG548" s="66"/>
      <c r="BH548" s="24"/>
      <c r="BL548" s="14"/>
      <c r="BM548" s="14"/>
      <c r="BO548" s="24"/>
      <c r="CE548" s="24"/>
      <c r="CT548" s="14"/>
    </row>
    <row r="549" spans="1:98">
      <c r="A549" s="24"/>
      <c r="B549" s="24"/>
      <c r="H549" s="14"/>
      <c r="P549" s="24"/>
      <c r="W549" s="24"/>
      <c r="AC549" s="14"/>
      <c r="AK549" s="71"/>
      <c r="AL549" s="66"/>
      <c r="AM549" s="66"/>
      <c r="AN549" s="66"/>
      <c r="AO549" s="66"/>
      <c r="AP549" s="66"/>
      <c r="AQ549" s="66"/>
      <c r="AR549" s="71"/>
      <c r="AS549" s="76"/>
      <c r="AT549" s="66"/>
      <c r="AV549" s="66"/>
      <c r="AW549" s="66"/>
      <c r="AX549" s="66"/>
      <c r="AY549" s="66"/>
      <c r="AZ549" s="66"/>
      <c r="BA549" s="66"/>
      <c r="BB549" s="66"/>
      <c r="BC549" s="66"/>
      <c r="BD549" s="66"/>
      <c r="BE549" s="66"/>
      <c r="BF549" s="66"/>
      <c r="BG549" s="66"/>
      <c r="BH549" s="24"/>
      <c r="BL549" s="14"/>
      <c r="BM549" s="14"/>
      <c r="BO549" s="24"/>
      <c r="CE549" s="24"/>
      <c r="CT549" s="14"/>
    </row>
    <row r="550" spans="1:98" s="11" customFormat="1">
      <c r="A550" s="25"/>
      <c r="B550" s="26" t="s">
        <v>409</v>
      </c>
      <c r="C550" s="23"/>
      <c r="D550" s="23"/>
      <c r="E550" s="23"/>
      <c r="F550" s="23"/>
      <c r="G550" s="23"/>
      <c r="H550" s="23"/>
      <c r="I550" s="23"/>
      <c r="J550" s="23"/>
      <c r="K550" s="23"/>
      <c r="L550" s="23"/>
      <c r="M550" s="23"/>
      <c r="N550" s="23"/>
      <c r="O550" s="23"/>
      <c r="P550" s="23"/>
      <c r="Q550" s="23"/>
      <c r="R550" s="23"/>
      <c r="S550" s="23"/>
      <c r="T550" s="23"/>
      <c r="U550" s="23"/>
      <c r="V550" s="23"/>
      <c r="W550" s="30"/>
      <c r="X550" s="23"/>
      <c r="Y550" s="23"/>
      <c r="Z550" s="23"/>
      <c r="AA550" s="23"/>
      <c r="AB550" s="23"/>
      <c r="AC550" s="23"/>
      <c r="AD550" s="23"/>
      <c r="AE550" s="23"/>
      <c r="AF550" s="23"/>
      <c r="AG550" s="23"/>
      <c r="AH550" s="23"/>
      <c r="AI550" s="23"/>
      <c r="AJ550" s="23"/>
      <c r="AK550" s="30"/>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13"/>
      <c r="BO550" s="24"/>
      <c r="BP550" s="8"/>
      <c r="BQ550" s="8"/>
      <c r="BR550" s="8"/>
      <c r="BS550" s="8"/>
      <c r="BT550" s="8"/>
      <c r="BU550" s="8"/>
      <c r="BV550" s="8"/>
      <c r="BW550" s="8"/>
      <c r="BX550" s="8"/>
      <c r="BY550" s="8"/>
      <c r="BZ550" s="8"/>
      <c r="CA550" s="8"/>
      <c r="CB550" s="8"/>
      <c r="CC550" s="8"/>
      <c r="CD550" s="8"/>
      <c r="CE550" s="24"/>
      <c r="CF550" s="8"/>
      <c r="CG550" s="8"/>
      <c r="CH550" s="8"/>
      <c r="CI550" s="8"/>
      <c r="CJ550" s="8"/>
      <c r="CK550" s="8"/>
      <c r="CL550" s="8"/>
      <c r="CM550" s="8"/>
      <c r="CN550" s="8"/>
      <c r="CO550" s="8"/>
      <c r="CP550" s="8"/>
      <c r="CQ550" s="8"/>
      <c r="CR550" s="8"/>
      <c r="CS550" s="8"/>
      <c r="CT550" s="14"/>
    </row>
    <row r="551" spans="1:98" s="11" customFormat="1">
      <c r="A551" s="25"/>
      <c r="B551" s="24"/>
      <c r="C551" s="8"/>
      <c r="D551" s="8"/>
      <c r="E551" s="8"/>
      <c r="F551" s="8"/>
      <c r="G551" s="8"/>
      <c r="H551" s="14"/>
      <c r="P551" s="24"/>
      <c r="Q551" s="8"/>
      <c r="R551" s="8"/>
      <c r="S551" s="8"/>
      <c r="T551" s="8"/>
      <c r="U551" s="8"/>
      <c r="V551" s="8"/>
      <c r="W551" s="24"/>
      <c r="X551" s="8"/>
      <c r="Y551" s="8"/>
      <c r="Z551" s="8"/>
      <c r="AA551" s="8"/>
      <c r="AB551" s="8"/>
      <c r="AC551" s="14"/>
      <c r="AD551" s="8"/>
      <c r="AE551" s="8"/>
      <c r="AF551" s="8"/>
      <c r="AG551" s="8"/>
      <c r="AH551" s="8"/>
      <c r="AI551" s="8"/>
      <c r="AJ551" s="8"/>
      <c r="AK551" s="71"/>
      <c r="AL551" s="66"/>
      <c r="AM551" s="66"/>
      <c r="AN551" s="66"/>
      <c r="AO551" s="66"/>
      <c r="AP551" s="66"/>
      <c r="AQ551" s="66"/>
      <c r="AR551" s="71"/>
      <c r="AS551" s="66"/>
      <c r="AT551" s="66"/>
      <c r="AU551" s="66"/>
      <c r="AV551" s="66"/>
      <c r="AW551" s="66"/>
      <c r="AX551" s="66"/>
      <c r="AY551" s="66"/>
      <c r="AZ551" s="66"/>
      <c r="BA551" s="66"/>
      <c r="BB551" s="66"/>
      <c r="BC551" s="66"/>
      <c r="BD551" s="66"/>
      <c r="BE551" s="66"/>
      <c r="BF551" s="66"/>
      <c r="BG551" s="66"/>
      <c r="BH551" s="24"/>
      <c r="BI551" s="8"/>
      <c r="BJ551" s="8"/>
      <c r="BK551" s="8"/>
      <c r="BL551" s="14"/>
      <c r="BM551" s="13"/>
      <c r="BO551" s="29"/>
      <c r="CD551" s="8"/>
      <c r="CE551" s="24"/>
      <c r="CT551" s="13"/>
    </row>
    <row r="552" spans="1:98">
      <c r="A552" s="24"/>
      <c r="B552" s="24"/>
      <c r="H552" s="14"/>
      <c r="P552" s="24"/>
      <c r="W552" s="24"/>
      <c r="AC552" s="14"/>
      <c r="AK552" s="71"/>
      <c r="AL552" s="66"/>
      <c r="AM552" s="66"/>
      <c r="AN552" s="66"/>
      <c r="AO552" s="66"/>
      <c r="AP552" s="66"/>
      <c r="AQ552" s="66"/>
      <c r="AR552" s="71"/>
      <c r="AS552" s="66"/>
      <c r="AT552" s="66"/>
      <c r="AV552" s="66"/>
      <c r="AW552" s="66"/>
      <c r="AX552" s="66"/>
      <c r="AY552" s="66"/>
      <c r="AZ552" s="66"/>
      <c r="BA552" s="66"/>
      <c r="BB552" s="66"/>
      <c r="BC552" s="66"/>
      <c r="BD552" s="66"/>
      <c r="BE552" s="66"/>
      <c r="BF552" s="66"/>
      <c r="BG552" s="66"/>
      <c r="BH552" s="24"/>
      <c r="BL552" s="14"/>
      <c r="BM552" s="14"/>
      <c r="BO552" s="29"/>
      <c r="BP552" s="11"/>
      <c r="BQ552" s="11"/>
      <c r="BR552" s="11"/>
      <c r="BS552" s="11"/>
      <c r="BT552" s="11"/>
      <c r="BU552" s="11"/>
      <c r="BV552" s="11"/>
      <c r="BW552" s="11"/>
      <c r="BX552" s="11"/>
      <c r="BY552" s="11"/>
      <c r="BZ552" s="11"/>
      <c r="CA552" s="11"/>
      <c r="CB552" s="11"/>
      <c r="CC552" s="11"/>
      <c r="CE552" s="24"/>
      <c r="CF552" s="11"/>
      <c r="CG552" s="11"/>
      <c r="CH552" s="11"/>
      <c r="CI552" s="11"/>
      <c r="CJ552" s="11"/>
      <c r="CK552" s="11"/>
      <c r="CL552" s="11"/>
      <c r="CM552" s="11"/>
      <c r="CN552" s="11"/>
      <c r="CO552" s="11"/>
      <c r="CP552" s="11"/>
      <c r="CQ552" s="11"/>
      <c r="CR552" s="11"/>
      <c r="CS552" s="11"/>
      <c r="CT552" s="13"/>
    </row>
    <row r="553" spans="1:98">
      <c r="A553" s="24"/>
      <c r="B553" s="24"/>
      <c r="H553" s="14"/>
      <c r="P553" s="24"/>
      <c r="W553" s="24"/>
      <c r="AC553" s="14"/>
      <c r="AK553" s="71"/>
      <c r="AL553" s="66"/>
      <c r="AM553" s="66"/>
      <c r="AN553" s="66"/>
      <c r="AO553" s="66"/>
      <c r="AP553" s="66"/>
      <c r="AQ553" s="66"/>
      <c r="AR553" s="71"/>
      <c r="AS553" s="66"/>
      <c r="AT553" s="66"/>
      <c r="AV553" s="66"/>
      <c r="AW553" s="66"/>
      <c r="AX553" s="66"/>
      <c r="AY553" s="66"/>
      <c r="AZ553" s="66"/>
      <c r="BA553" s="66"/>
      <c r="BB553" s="66"/>
      <c r="BC553" s="66"/>
      <c r="BD553" s="66"/>
      <c r="BE553" s="66"/>
      <c r="BF553" s="66"/>
      <c r="BG553" s="66"/>
      <c r="BH553" s="24"/>
      <c r="BL553" s="14"/>
      <c r="BM553" s="14"/>
      <c r="BO553" s="24"/>
      <c r="CE553" s="24"/>
      <c r="CT553" s="14"/>
    </row>
    <row r="554" spans="1:98">
      <c r="A554" s="24"/>
      <c r="B554" s="24"/>
      <c r="H554" s="14"/>
      <c r="P554" s="24"/>
      <c r="W554" s="24"/>
      <c r="AC554" s="14"/>
      <c r="AK554" s="71"/>
      <c r="AL554" s="66"/>
      <c r="AM554" s="66"/>
      <c r="AN554" s="66"/>
      <c r="AO554" s="66"/>
      <c r="AP554" s="66"/>
      <c r="AQ554" s="66"/>
      <c r="AR554" s="71"/>
      <c r="AS554" s="66"/>
      <c r="AT554" s="66"/>
      <c r="AV554" s="66"/>
      <c r="AW554" s="66"/>
      <c r="AX554" s="66"/>
      <c r="AY554" s="66"/>
      <c r="AZ554" s="66"/>
      <c r="BA554" s="66"/>
      <c r="BB554" s="66"/>
      <c r="BC554" s="66"/>
      <c r="BD554" s="66"/>
      <c r="BE554" s="66"/>
      <c r="BF554" s="66"/>
      <c r="BG554" s="66"/>
      <c r="BH554" s="24"/>
      <c r="BL554" s="14"/>
      <c r="BM554" s="14"/>
      <c r="BO554" s="24" t="s">
        <v>410</v>
      </c>
      <c r="CE554" s="24"/>
      <c r="CT554" s="14"/>
    </row>
    <row r="555" spans="1:98">
      <c r="A555" s="24"/>
      <c r="B555" s="24"/>
      <c r="H555" s="14"/>
      <c r="P555" s="24"/>
      <c r="W555" s="24"/>
      <c r="AC555" s="14"/>
      <c r="AK555" s="71"/>
      <c r="AL555" s="66"/>
      <c r="AM555" s="66"/>
      <c r="AN555" s="66"/>
      <c r="AO555" s="66"/>
      <c r="AP555" s="66"/>
      <c r="AQ555" s="66"/>
      <c r="AR555" s="71"/>
      <c r="AS555" s="66"/>
      <c r="AT555" s="66"/>
      <c r="AV555" s="66"/>
      <c r="AW555" s="66"/>
      <c r="AX555" s="66"/>
      <c r="AY555" s="66"/>
      <c r="AZ555" s="66"/>
      <c r="BA555" s="66"/>
      <c r="BB555" s="66"/>
      <c r="BC555" s="66"/>
      <c r="BD555" s="66"/>
      <c r="BE555" s="66"/>
      <c r="BF555" s="66"/>
      <c r="BG555" s="66"/>
      <c r="BH555" s="24"/>
      <c r="BL555" s="14"/>
      <c r="BM555" s="14"/>
      <c r="BO555" s="24" t="s">
        <v>411</v>
      </c>
      <c r="CE555" s="24"/>
      <c r="CT555" s="14"/>
    </row>
    <row r="556" spans="1:98">
      <c r="A556" s="24"/>
      <c r="B556" s="24"/>
      <c r="H556" s="14"/>
      <c r="P556" s="24"/>
      <c r="W556" s="24"/>
      <c r="AC556" s="14"/>
      <c r="AK556" s="71"/>
      <c r="AL556" s="66"/>
      <c r="AM556" s="66"/>
      <c r="AN556" s="66"/>
      <c r="AO556" s="66"/>
      <c r="AP556" s="66"/>
      <c r="AQ556" s="66"/>
      <c r="AR556" s="71"/>
      <c r="AS556" s="66"/>
      <c r="AT556" s="70"/>
      <c r="AV556" s="66"/>
      <c r="AW556" s="66"/>
      <c r="AX556" s="66"/>
      <c r="AY556" s="66"/>
      <c r="AZ556" s="66"/>
      <c r="BA556" s="66"/>
      <c r="BB556" s="66"/>
      <c r="BC556" s="66"/>
      <c r="BD556" s="66"/>
      <c r="BE556" s="66"/>
      <c r="BF556" s="66"/>
      <c r="BG556" s="66"/>
      <c r="BH556" s="24"/>
      <c r="BL556" s="14"/>
      <c r="BM556" s="14"/>
      <c r="BO556" s="24" t="s">
        <v>412</v>
      </c>
      <c r="CD556" s="14"/>
      <c r="CT556" s="14"/>
    </row>
    <row r="557" spans="1:98">
      <c r="A557" s="24"/>
      <c r="B557" s="24"/>
      <c r="H557" s="14"/>
      <c r="P557" s="24"/>
      <c r="W557" s="24"/>
      <c r="AC557" s="14"/>
      <c r="AK557" s="71"/>
      <c r="AL557" s="66"/>
      <c r="AM557" s="66"/>
      <c r="AN557" s="66"/>
      <c r="AO557" s="66"/>
      <c r="AP557" s="66"/>
      <c r="AQ557" s="66"/>
      <c r="AR557" s="71"/>
      <c r="AS557" s="76" t="s">
        <v>413</v>
      </c>
      <c r="AT557" s="66"/>
      <c r="AV557" s="66"/>
      <c r="AW557" s="66"/>
      <c r="AX557" s="66"/>
      <c r="AY557" s="66"/>
      <c r="AZ557" s="66"/>
      <c r="BA557" s="66"/>
      <c r="BB557" s="66"/>
      <c r="BC557" s="66"/>
      <c r="BD557" s="66"/>
      <c r="BE557" s="66"/>
      <c r="BF557" s="66"/>
      <c r="BG557" s="66"/>
      <c r="BH557" s="24"/>
      <c r="BL557" s="14"/>
      <c r="BM557" s="14"/>
      <c r="BO557" s="24"/>
      <c r="BP557" s="96" t="s">
        <v>133</v>
      </c>
      <c r="BQ557" s="96" t="s">
        <v>414</v>
      </c>
      <c r="CD557" s="14"/>
      <c r="CT557" s="14"/>
    </row>
    <row r="558" spans="1:98">
      <c r="A558" s="24"/>
      <c r="B558" s="24"/>
      <c r="H558" s="14"/>
      <c r="P558" s="24"/>
      <c r="W558" s="24"/>
      <c r="AC558" s="14"/>
      <c r="AK558" s="71"/>
      <c r="AL558" s="66"/>
      <c r="AM558" s="66"/>
      <c r="AN558" s="66"/>
      <c r="AO558" s="66"/>
      <c r="AP558" s="66"/>
      <c r="AQ558" s="66"/>
      <c r="AR558" s="71"/>
      <c r="AS558" s="66"/>
      <c r="AT558" s="66" t="s">
        <v>415</v>
      </c>
      <c r="AV558" s="66"/>
      <c r="AW558" s="66"/>
      <c r="AX558" s="66"/>
      <c r="AY558" s="66"/>
      <c r="AZ558" s="66"/>
      <c r="BA558" s="66"/>
      <c r="BB558" s="66"/>
      <c r="BC558" s="66"/>
      <c r="BD558" s="66"/>
      <c r="BE558" s="66"/>
      <c r="BF558" s="66"/>
      <c r="BG558" s="66"/>
      <c r="BH558" s="24"/>
      <c r="BL558" s="14"/>
      <c r="BM558" s="14"/>
      <c r="BO558" s="24"/>
      <c r="BQ558" s="96" t="s">
        <v>416</v>
      </c>
      <c r="CD558" s="14"/>
      <c r="CT558" s="14"/>
    </row>
    <row r="559" spans="1:98">
      <c r="A559" s="24"/>
      <c r="B559" s="24"/>
      <c r="H559" s="14"/>
      <c r="P559" s="24"/>
      <c r="W559" s="24"/>
      <c r="AC559" s="14"/>
      <c r="AK559" s="71"/>
      <c r="AL559" s="66"/>
      <c r="AM559" s="66"/>
      <c r="AN559" s="66"/>
      <c r="AO559" s="66"/>
      <c r="AP559" s="66"/>
      <c r="AQ559" s="66"/>
      <c r="AR559" s="71"/>
      <c r="AS559" s="66"/>
      <c r="AT559" s="66"/>
      <c r="AV559" s="66"/>
      <c r="AW559" s="66"/>
      <c r="AX559" s="66"/>
      <c r="AY559" s="66"/>
      <c r="AZ559" s="66"/>
      <c r="BA559" s="66"/>
      <c r="BB559" s="66"/>
      <c r="BC559" s="66"/>
      <c r="BD559" s="66"/>
      <c r="BE559" s="66"/>
      <c r="BF559" s="66"/>
      <c r="BG559" s="66"/>
      <c r="BH559" s="24"/>
      <c r="BL559" s="14"/>
      <c r="BM559" s="14"/>
      <c r="BO559" s="24"/>
      <c r="BQ559" s="96" t="s">
        <v>417</v>
      </c>
      <c r="CD559" s="14"/>
      <c r="CT559" s="14"/>
    </row>
    <row r="560" spans="1:98">
      <c r="A560" s="24"/>
      <c r="B560" s="24"/>
      <c r="H560" s="14"/>
      <c r="P560" s="24"/>
      <c r="W560" s="24"/>
      <c r="AC560" s="14"/>
      <c r="AK560" s="71"/>
      <c r="AL560" s="66"/>
      <c r="AM560" s="66"/>
      <c r="AN560" s="66"/>
      <c r="AO560" s="66"/>
      <c r="AP560" s="66"/>
      <c r="AQ560" s="66"/>
      <c r="AR560" s="71"/>
      <c r="AS560" s="66"/>
      <c r="AT560" s="66"/>
      <c r="AV560" s="66"/>
      <c r="AW560" s="66"/>
      <c r="AX560" s="66"/>
      <c r="AY560" s="66"/>
      <c r="AZ560" s="66"/>
      <c r="BA560" s="66"/>
      <c r="BB560" s="66"/>
      <c r="BC560" s="66"/>
      <c r="BD560" s="66"/>
      <c r="BE560" s="66"/>
      <c r="BF560" s="66"/>
      <c r="BG560" s="66"/>
      <c r="BH560" s="24"/>
      <c r="BL560" s="14"/>
      <c r="BM560" s="14"/>
      <c r="BO560" s="24"/>
      <c r="BQ560" s="96" t="s">
        <v>105</v>
      </c>
      <c r="BR560" s="96" t="s">
        <v>418</v>
      </c>
      <c r="BS560" s="96"/>
      <c r="BT560" s="96"/>
      <c r="BU560" s="96"/>
      <c r="BV560" s="96"/>
      <c r="BW560" s="96"/>
      <c r="BX560" s="96"/>
      <c r="BY560" s="96"/>
      <c r="BZ560" s="96"/>
      <c r="CA560" s="96"/>
      <c r="CB560" s="96"/>
      <c r="CC560" s="96"/>
      <c r="CD560" s="109"/>
      <c r="CE560" s="8" t="s">
        <v>107</v>
      </c>
      <c r="CF560" s="8" t="s">
        <v>419</v>
      </c>
      <c r="CT560" s="14"/>
    </row>
    <row r="561" spans="1:98">
      <c r="A561" s="24"/>
      <c r="B561" s="24"/>
      <c r="H561" s="14"/>
      <c r="P561" s="24"/>
      <c r="W561" s="24"/>
      <c r="AC561" s="14"/>
      <c r="AK561" s="71"/>
      <c r="AL561" s="66"/>
      <c r="AM561" s="66"/>
      <c r="AN561" s="66"/>
      <c r="AO561" s="66"/>
      <c r="AP561" s="66"/>
      <c r="AQ561" s="66"/>
      <c r="AR561" s="71"/>
      <c r="AS561" s="66"/>
      <c r="AT561" s="66"/>
      <c r="AV561" s="66"/>
      <c r="AW561" s="66"/>
      <c r="AX561" s="66"/>
      <c r="AY561" s="66"/>
      <c r="AZ561" s="66"/>
      <c r="BA561" s="66"/>
      <c r="BB561" s="66"/>
      <c r="BC561" s="66"/>
      <c r="BD561" s="66"/>
      <c r="BE561" s="66"/>
      <c r="BF561" s="66"/>
      <c r="BG561" s="66"/>
      <c r="BH561" s="24"/>
      <c r="BL561" s="14"/>
      <c r="BM561" s="14"/>
      <c r="BO561" s="24"/>
      <c r="CD561" s="14"/>
      <c r="CF561" s="8" t="s">
        <v>420</v>
      </c>
      <c r="CT561" s="14"/>
    </row>
    <row r="562" spans="1:98">
      <c r="A562" s="24"/>
      <c r="B562" s="24"/>
      <c r="H562" s="14"/>
      <c r="P562" s="24"/>
      <c r="W562" s="24"/>
      <c r="AC562" s="14"/>
      <c r="AK562" s="71"/>
      <c r="AL562" s="66"/>
      <c r="AM562" s="66"/>
      <c r="AN562" s="66"/>
      <c r="AO562" s="66"/>
      <c r="AP562" s="66"/>
      <c r="AQ562" s="66"/>
      <c r="AR562" s="71"/>
      <c r="AS562" s="66"/>
      <c r="AT562" s="66"/>
      <c r="AV562" s="70"/>
      <c r="AW562" s="66"/>
      <c r="AX562" s="66"/>
      <c r="AY562" s="66"/>
      <c r="AZ562" s="66"/>
      <c r="BA562" s="66"/>
      <c r="BB562" s="66"/>
      <c r="BC562" s="66"/>
      <c r="BD562" s="66"/>
      <c r="BE562" s="66"/>
      <c r="BF562" s="66"/>
      <c r="BG562" s="66"/>
      <c r="BH562" s="24"/>
      <c r="BL562" s="14"/>
      <c r="BM562" s="14"/>
      <c r="BO562" s="24"/>
      <c r="CD562" s="14"/>
      <c r="CF562" s="8" t="s">
        <v>421</v>
      </c>
      <c r="CT562" s="14"/>
    </row>
    <row r="563" spans="1:98">
      <c r="A563" s="24"/>
      <c r="B563" s="24"/>
      <c r="H563" s="14"/>
      <c r="P563" s="24"/>
      <c r="W563" s="24"/>
      <c r="AC563" s="14"/>
      <c r="AK563" s="71"/>
      <c r="AL563" s="66"/>
      <c r="AM563" s="66"/>
      <c r="AN563" s="66"/>
      <c r="AO563" s="66"/>
      <c r="AP563" s="66"/>
      <c r="AQ563" s="66"/>
      <c r="AR563" s="71"/>
      <c r="AS563" s="80" t="s">
        <v>422</v>
      </c>
      <c r="AT563" s="70"/>
      <c r="AU563" s="70"/>
      <c r="AV563" s="70"/>
      <c r="AW563" s="66"/>
      <c r="AX563" s="66"/>
      <c r="AY563" s="66"/>
      <c r="AZ563" s="66"/>
      <c r="BA563" s="66"/>
      <c r="BB563" s="66"/>
      <c r="BC563" s="66"/>
      <c r="BD563" s="66"/>
      <c r="BE563" s="66"/>
      <c r="BF563" s="66"/>
      <c r="BG563" s="66"/>
      <c r="BH563" s="24"/>
      <c r="BL563" s="14"/>
      <c r="BM563" s="14"/>
      <c r="BO563" s="24"/>
      <c r="BQ563" s="96" t="s">
        <v>105</v>
      </c>
      <c r="BR563" s="96" t="s">
        <v>423</v>
      </c>
      <c r="BS563" s="96"/>
      <c r="BT563" s="96"/>
      <c r="BU563" s="96"/>
      <c r="BV563" s="96"/>
      <c r="BW563" s="96"/>
      <c r="BX563" s="96"/>
      <c r="BY563" s="96"/>
      <c r="BZ563" s="96"/>
      <c r="CA563" s="96"/>
      <c r="CB563" s="96"/>
      <c r="CC563" s="96"/>
      <c r="CD563" s="109"/>
      <c r="CE563" s="8" t="s">
        <v>107</v>
      </c>
      <c r="CF563" s="8" t="s">
        <v>424</v>
      </c>
      <c r="CT563" s="14"/>
    </row>
    <row r="564" spans="1:98">
      <c r="A564" s="24"/>
      <c r="B564" s="24"/>
      <c r="H564" s="14"/>
      <c r="P564" s="24"/>
      <c r="W564" s="24"/>
      <c r="AC564" s="14"/>
      <c r="AK564" s="71"/>
      <c r="AL564" s="66"/>
      <c r="AM564" s="66"/>
      <c r="AN564" s="66"/>
      <c r="AO564" s="66"/>
      <c r="AP564" s="66"/>
      <c r="AQ564" s="66"/>
      <c r="AR564" s="71"/>
      <c r="AS564" s="70"/>
      <c r="AT564" s="66" t="s">
        <v>425</v>
      </c>
      <c r="AU564" s="70"/>
      <c r="AV564" s="70"/>
      <c r="AW564" s="66"/>
      <c r="AX564" s="66"/>
      <c r="AY564" s="66"/>
      <c r="AZ564" s="66"/>
      <c r="BA564" s="66"/>
      <c r="BB564" s="66"/>
      <c r="BC564" s="66"/>
      <c r="BD564" s="66"/>
      <c r="BE564" s="66"/>
      <c r="BF564" s="66"/>
      <c r="BG564" s="66"/>
      <c r="BH564" s="24"/>
      <c r="BL564" s="14"/>
      <c r="BM564" s="14"/>
      <c r="BO564" s="24"/>
      <c r="BQ564" s="96" t="s">
        <v>105</v>
      </c>
      <c r="BR564" s="96" t="s">
        <v>426</v>
      </c>
      <c r="BS564" s="96"/>
      <c r="BT564" s="96"/>
      <c r="BU564" s="96"/>
      <c r="BV564" s="96"/>
      <c r="BW564" s="96"/>
      <c r="BX564" s="96"/>
      <c r="BY564" s="96"/>
      <c r="BZ564" s="96"/>
      <c r="CA564" s="96"/>
      <c r="CB564" s="96"/>
      <c r="CC564" s="96"/>
      <c r="CD564" s="109"/>
      <c r="CE564" s="8" t="s">
        <v>107</v>
      </c>
      <c r="CF564" s="8" t="s">
        <v>296</v>
      </c>
      <c r="CT564" s="14"/>
    </row>
    <row r="565" spans="1:98">
      <c r="A565" s="24"/>
      <c r="B565" s="24"/>
      <c r="H565" s="14"/>
      <c r="P565" s="24"/>
      <c r="W565" s="24"/>
      <c r="AC565" s="14"/>
      <c r="AK565" s="71"/>
      <c r="AL565" s="66"/>
      <c r="AM565" s="66"/>
      <c r="AN565" s="66"/>
      <c r="AO565" s="66"/>
      <c r="AP565" s="66"/>
      <c r="AQ565" s="66"/>
      <c r="AR565" s="71"/>
      <c r="AS565" s="70"/>
      <c r="AT565" s="70" t="s">
        <v>427</v>
      </c>
      <c r="AU565" s="70"/>
      <c r="AV565" s="70"/>
      <c r="AW565" s="66"/>
      <c r="AX565" s="66"/>
      <c r="AY565" s="66"/>
      <c r="AZ565" s="66"/>
      <c r="BA565" s="66"/>
      <c r="BB565" s="66"/>
      <c r="BC565" s="66"/>
      <c r="BD565" s="66"/>
      <c r="BE565" s="66"/>
      <c r="BF565" s="66"/>
      <c r="BG565" s="66"/>
      <c r="BH565" s="24"/>
      <c r="BL565" s="14"/>
      <c r="BM565" s="14"/>
      <c r="BO565" s="24"/>
      <c r="BQ565" s="96"/>
      <c r="BR565" s="96" t="s">
        <v>428</v>
      </c>
      <c r="BS565" s="96"/>
      <c r="BT565" s="96"/>
      <c r="BU565" s="96"/>
      <c r="BV565" s="96"/>
      <c r="BW565" s="96"/>
      <c r="BX565" s="96"/>
      <c r="BY565" s="96"/>
      <c r="BZ565" s="96"/>
      <c r="CA565" s="96"/>
      <c r="CB565" s="96"/>
      <c r="CC565" s="96"/>
      <c r="CD565" s="109"/>
      <c r="CF565" s="8" t="s">
        <v>429</v>
      </c>
      <c r="CT565" s="14"/>
    </row>
    <row r="566" spans="1:98">
      <c r="A566" s="24"/>
      <c r="B566" s="24"/>
      <c r="H566" s="14"/>
      <c r="P566" s="24"/>
      <c r="W566" s="24"/>
      <c r="AC566" s="14"/>
      <c r="AK566" s="71"/>
      <c r="AL566" s="66"/>
      <c r="AM566" s="66"/>
      <c r="AN566" s="66"/>
      <c r="AO566" s="66"/>
      <c r="AP566" s="66"/>
      <c r="AQ566" s="66"/>
      <c r="AR566" s="71"/>
      <c r="AS566" s="70"/>
      <c r="AT566" s="92" t="s">
        <v>430</v>
      </c>
      <c r="AU566" s="92"/>
      <c r="AV566" s="92"/>
      <c r="AW566" s="92" t="s">
        <v>431</v>
      </c>
      <c r="AX566" s="92"/>
      <c r="AY566" s="66"/>
      <c r="AZ566" s="66"/>
      <c r="BA566" s="66"/>
      <c r="BB566" s="66"/>
      <c r="BC566" s="66"/>
      <c r="BD566" s="66"/>
      <c r="BE566" s="66"/>
      <c r="BF566" s="66"/>
      <c r="BG566" s="66"/>
      <c r="BH566" s="24"/>
      <c r="BL566" s="14"/>
      <c r="BM566" s="14"/>
      <c r="BO566" s="24"/>
      <c r="CD566" s="14"/>
      <c r="CT566" s="14"/>
    </row>
    <row r="567" spans="1:98">
      <c r="A567" s="24"/>
      <c r="B567" s="24"/>
      <c r="H567" s="14"/>
      <c r="P567" s="24"/>
      <c r="W567" s="24"/>
      <c r="AC567" s="14"/>
      <c r="AK567" s="71"/>
      <c r="AL567" s="66"/>
      <c r="AM567" s="66"/>
      <c r="AN567" s="66"/>
      <c r="AO567" s="66"/>
      <c r="AP567" s="66"/>
      <c r="AQ567" s="66"/>
      <c r="AR567" s="71"/>
      <c r="AS567" s="70"/>
      <c r="AT567" s="92" t="s">
        <v>432</v>
      </c>
      <c r="AU567" s="92"/>
      <c r="AV567" s="92"/>
      <c r="AW567" s="92" t="s">
        <v>433</v>
      </c>
      <c r="AX567" s="92"/>
      <c r="AY567" s="66"/>
      <c r="AZ567" s="66"/>
      <c r="BA567" s="66"/>
      <c r="BB567" s="66"/>
      <c r="BC567" s="66"/>
      <c r="BD567" s="66"/>
      <c r="BE567" s="66"/>
      <c r="BF567" s="66"/>
      <c r="BG567" s="66"/>
      <c r="BH567" s="24"/>
      <c r="BL567" s="14"/>
      <c r="BM567" s="14"/>
      <c r="BO567" s="24"/>
      <c r="CE567" s="24"/>
      <c r="CT567" s="14"/>
    </row>
    <row r="568" spans="1:98">
      <c r="A568" s="24"/>
      <c r="B568" s="24"/>
      <c r="H568" s="14"/>
      <c r="P568" s="24"/>
      <c r="W568" s="24"/>
      <c r="AC568" s="14"/>
      <c r="AK568" s="71"/>
      <c r="AL568" s="66"/>
      <c r="AM568" s="66"/>
      <c r="AN568" s="66"/>
      <c r="AO568" s="66"/>
      <c r="AP568" s="66"/>
      <c r="AQ568" s="66"/>
      <c r="AR568" s="71"/>
      <c r="AS568" s="70"/>
      <c r="AT568" s="70" t="s">
        <v>118</v>
      </c>
      <c r="AU568" s="70" t="s">
        <v>434</v>
      </c>
      <c r="AV568" s="66"/>
      <c r="AW568" s="66"/>
      <c r="AX568" s="66"/>
      <c r="AY568" s="66"/>
      <c r="AZ568" s="66"/>
      <c r="BA568" s="66"/>
      <c r="BB568" s="66"/>
      <c r="BD568" s="66"/>
      <c r="BE568" s="66"/>
      <c r="BF568" s="66"/>
      <c r="BG568" s="66"/>
      <c r="BH568" s="24"/>
      <c r="BL568" s="14"/>
      <c r="BM568" s="14"/>
      <c r="BO568" s="24"/>
      <c r="CE568" s="24"/>
      <c r="CT568" s="14"/>
    </row>
    <row r="569" spans="1:98">
      <c r="A569" s="24"/>
      <c r="B569" s="24"/>
      <c r="H569" s="14"/>
      <c r="P569" s="24"/>
      <c r="W569" s="24"/>
      <c r="AC569" s="14"/>
      <c r="AK569" s="71"/>
      <c r="AL569" s="66"/>
      <c r="AM569" s="66"/>
      <c r="AN569" s="66"/>
      <c r="AO569" s="66"/>
      <c r="AP569" s="66"/>
      <c r="AQ569" s="66"/>
      <c r="AR569" s="71"/>
      <c r="AS569" s="70"/>
      <c r="AT569" s="70" t="s">
        <v>118</v>
      </c>
      <c r="AU569" s="70" t="s">
        <v>435</v>
      </c>
      <c r="AV569" s="66"/>
      <c r="AW569" s="66"/>
      <c r="AX569" s="66"/>
      <c r="AY569" s="66"/>
      <c r="AZ569" s="66"/>
      <c r="BA569" s="66"/>
      <c r="BB569" s="66"/>
      <c r="BD569" s="66"/>
      <c r="BE569" s="66"/>
      <c r="BF569" s="66"/>
      <c r="BG569" s="66"/>
      <c r="BH569" s="24"/>
      <c r="BL569" s="14"/>
      <c r="BM569" s="14"/>
      <c r="BO569" s="24"/>
      <c r="CE569" s="24"/>
      <c r="CT569" s="14"/>
    </row>
    <row r="570" spans="1:98">
      <c r="A570" s="24"/>
      <c r="B570" s="24"/>
      <c r="H570" s="14"/>
      <c r="P570" s="24"/>
      <c r="W570" s="24"/>
      <c r="AC570" s="14"/>
      <c r="AK570" s="71"/>
      <c r="AL570" s="66"/>
      <c r="AM570" s="66"/>
      <c r="AN570" s="66"/>
      <c r="AO570" s="66"/>
      <c r="AP570" s="66"/>
      <c r="AQ570" s="66"/>
      <c r="AR570" s="71"/>
      <c r="AU570" s="8"/>
      <c r="BD570" s="66"/>
      <c r="BE570" s="66"/>
      <c r="BF570" s="66"/>
      <c r="BG570" s="66"/>
      <c r="BH570" s="24"/>
      <c r="BL570" s="14"/>
      <c r="BM570" s="14"/>
      <c r="BO570" s="24"/>
      <c r="CE570" s="24"/>
      <c r="CT570" s="14"/>
    </row>
    <row r="571" spans="1:98">
      <c r="A571" s="24"/>
      <c r="B571" s="24"/>
      <c r="H571" s="14"/>
      <c r="P571" s="24"/>
      <c r="W571" s="24"/>
      <c r="AC571" s="14"/>
      <c r="AK571" s="71"/>
      <c r="AL571" s="66"/>
      <c r="AM571" s="66"/>
      <c r="AN571" s="66"/>
      <c r="AO571" s="66"/>
      <c r="AP571" s="66"/>
      <c r="AQ571" s="66"/>
      <c r="AR571" s="71"/>
      <c r="AS571" s="80" t="s">
        <v>436</v>
      </c>
      <c r="AT571" s="70"/>
      <c r="AU571" s="70"/>
      <c r="AV571" s="66"/>
      <c r="AW571" s="66"/>
      <c r="BD571" s="66"/>
      <c r="BE571" s="66"/>
      <c r="BF571" s="66"/>
      <c r="BG571" s="66"/>
      <c r="BH571" s="24"/>
      <c r="BL571" s="14"/>
      <c r="BM571" s="14"/>
      <c r="BO571" s="24"/>
      <c r="BQ571" s="113" t="s">
        <v>437</v>
      </c>
      <c r="BR571" s="113"/>
      <c r="BS571" s="113"/>
      <c r="BT571" s="113"/>
      <c r="BU571" s="113"/>
      <c r="BV571" s="113"/>
      <c r="BW571" s="113"/>
      <c r="BX571" s="113"/>
      <c r="BY571" s="113"/>
      <c r="BZ571" s="113"/>
      <c r="CA571" s="113"/>
      <c r="CB571" s="113"/>
      <c r="CC571" s="113"/>
      <c r="CE571" s="115" t="s">
        <v>107</v>
      </c>
      <c r="CF571" s="116" t="s">
        <v>438</v>
      </c>
      <c r="CT571" s="14"/>
    </row>
    <row r="572" spans="1:98">
      <c r="A572" s="24"/>
      <c r="B572" s="24"/>
      <c r="H572" s="14"/>
      <c r="P572" s="24"/>
      <c r="W572" s="24"/>
      <c r="AC572" s="14"/>
      <c r="AK572" s="71"/>
      <c r="AL572" s="66"/>
      <c r="AM572" s="66"/>
      <c r="AN572" s="66"/>
      <c r="AO572" s="66"/>
      <c r="AP572" s="66"/>
      <c r="AQ572" s="66"/>
      <c r="AR572" s="71"/>
      <c r="AS572" s="70"/>
      <c r="AT572" s="8" t="s">
        <v>186</v>
      </c>
      <c r="AU572" s="8"/>
      <c r="AV572" s="66"/>
      <c r="AW572" s="66"/>
      <c r="BD572" s="66"/>
      <c r="BE572" s="66"/>
      <c r="BF572" s="66"/>
      <c r="BG572" s="66"/>
      <c r="BH572" s="24"/>
      <c r="BL572" s="14"/>
      <c r="BM572" s="14"/>
      <c r="BO572" s="24"/>
      <c r="BQ572" s="113" t="s">
        <v>439</v>
      </c>
      <c r="BR572" s="113"/>
      <c r="BS572" s="113"/>
      <c r="BT572" s="113"/>
      <c r="BU572" s="113"/>
      <c r="BV572" s="113"/>
      <c r="BW572" s="113"/>
      <c r="BX572" s="113"/>
      <c r="BY572" s="113"/>
      <c r="BZ572" s="113"/>
      <c r="CA572" s="113"/>
      <c r="CB572" s="113"/>
      <c r="CC572" s="113"/>
      <c r="CE572" s="115"/>
      <c r="CF572" s="116"/>
      <c r="CT572" s="14"/>
    </row>
    <row r="573" spans="1:98">
      <c r="A573" s="24"/>
      <c r="B573" s="24"/>
      <c r="H573" s="14"/>
      <c r="P573" s="24"/>
      <c r="W573" s="24"/>
      <c r="AC573" s="14"/>
      <c r="AK573" s="71"/>
      <c r="AL573" s="66"/>
      <c r="AM573" s="66"/>
      <c r="AN573" s="66"/>
      <c r="AO573" s="66"/>
      <c r="AP573" s="66"/>
      <c r="AQ573" s="66"/>
      <c r="AR573" s="71"/>
      <c r="AU573" s="8"/>
      <c r="AX573" s="66"/>
      <c r="AY573" s="66"/>
      <c r="AZ573" s="66"/>
      <c r="BA573" s="66"/>
      <c r="BD573" s="66"/>
      <c r="BE573" s="66"/>
      <c r="BF573" s="66"/>
      <c r="BG573" s="66"/>
      <c r="BH573" s="24"/>
      <c r="BL573" s="14"/>
      <c r="BM573" s="14"/>
      <c r="BO573" s="24"/>
      <c r="BQ573" s="113" t="s">
        <v>440</v>
      </c>
      <c r="BR573" s="113"/>
      <c r="BS573" s="113"/>
      <c r="BT573" s="113"/>
      <c r="BU573" s="113"/>
      <c r="BV573" s="113"/>
      <c r="BW573" s="113"/>
      <c r="BX573" s="113"/>
      <c r="BY573" s="113"/>
      <c r="BZ573" s="113"/>
      <c r="CA573" s="113"/>
      <c r="CB573" s="113"/>
      <c r="CC573" s="113"/>
      <c r="CE573" s="24"/>
      <c r="CT573" s="14"/>
    </row>
    <row r="574" spans="1:98">
      <c r="A574" s="24"/>
      <c r="B574" s="24"/>
      <c r="H574" s="14"/>
      <c r="P574" s="24"/>
      <c r="W574" s="24"/>
      <c r="AC574" s="14"/>
      <c r="AK574" s="71"/>
      <c r="AL574" s="66"/>
      <c r="AM574" s="66"/>
      <c r="AN574" s="66"/>
      <c r="AO574" s="66"/>
      <c r="AP574" s="66"/>
      <c r="AQ574" s="66"/>
      <c r="AR574" s="71"/>
      <c r="AU574" s="8"/>
      <c r="AX574" s="66"/>
      <c r="AY574" s="66"/>
      <c r="AZ574" s="66"/>
      <c r="BA574" s="66"/>
      <c r="BD574" s="66"/>
      <c r="BE574" s="66"/>
      <c r="BF574" s="66"/>
      <c r="BG574" s="66"/>
      <c r="BH574" s="24"/>
      <c r="BL574" s="14"/>
      <c r="BM574" s="14"/>
      <c r="BO574" s="24"/>
      <c r="CE574" s="24"/>
      <c r="CT574" s="14"/>
    </row>
    <row r="575" spans="1:98">
      <c r="A575" s="24"/>
      <c r="B575" s="24"/>
      <c r="H575" s="14"/>
      <c r="P575" s="24"/>
      <c r="W575" s="24"/>
      <c r="AC575" s="14"/>
      <c r="AK575" s="71"/>
      <c r="AL575" s="66"/>
      <c r="AM575" s="66"/>
      <c r="AN575" s="66"/>
      <c r="AO575" s="66"/>
      <c r="AP575" s="66"/>
      <c r="AQ575" s="66"/>
      <c r="AR575" s="71"/>
      <c r="AU575" s="8"/>
      <c r="BD575" s="66"/>
      <c r="BE575" s="66"/>
      <c r="BF575" s="66"/>
      <c r="BG575" s="66"/>
      <c r="BH575" s="24"/>
      <c r="BL575" s="14"/>
      <c r="BM575" s="14"/>
      <c r="BO575" s="24"/>
      <c r="CE575" s="24"/>
      <c r="CT575" s="14"/>
    </row>
    <row r="576" spans="1:98">
      <c r="A576" s="24"/>
      <c r="B576" s="24"/>
      <c r="H576" s="14"/>
      <c r="P576" s="24"/>
      <c r="W576" s="24"/>
      <c r="AC576" s="14"/>
      <c r="AK576" s="71"/>
      <c r="AL576" s="66"/>
      <c r="AM576" s="66"/>
      <c r="AN576" s="66"/>
      <c r="AO576" s="66"/>
      <c r="AP576" s="66"/>
      <c r="AQ576" s="66"/>
      <c r="AR576" s="71"/>
      <c r="AU576" s="8"/>
      <c r="AZ576" s="66"/>
      <c r="BA576" s="66"/>
      <c r="BB576" s="66"/>
      <c r="BC576" s="66"/>
      <c r="BD576" s="66"/>
      <c r="BE576" s="66"/>
      <c r="BF576" s="66"/>
      <c r="BG576" s="66"/>
      <c r="BH576" s="24"/>
      <c r="BL576" s="14"/>
      <c r="BM576" s="14"/>
      <c r="BO576" s="24"/>
      <c r="CE576" s="24"/>
      <c r="CT576" s="14"/>
    </row>
    <row r="577" spans="1:98">
      <c r="A577" s="24"/>
      <c r="B577" s="24"/>
      <c r="H577" s="14"/>
      <c r="P577" s="24"/>
      <c r="W577" s="24"/>
      <c r="AC577" s="14"/>
      <c r="AK577" s="71"/>
      <c r="AL577" s="66"/>
      <c r="AM577" s="66"/>
      <c r="AN577" s="66"/>
      <c r="AO577" s="66"/>
      <c r="AP577" s="66"/>
      <c r="AQ577" s="66"/>
      <c r="AR577" s="71"/>
      <c r="AS577" s="80" t="s">
        <v>441</v>
      </c>
      <c r="AT577" s="66"/>
      <c r="AV577" s="66"/>
      <c r="AW577" s="66"/>
      <c r="AZ577" s="66"/>
      <c r="BA577" s="66"/>
      <c r="BB577" s="66"/>
      <c r="BC577" s="66"/>
      <c r="BG577" s="66"/>
      <c r="BH577" s="24"/>
      <c r="BL577" s="14"/>
      <c r="BM577" s="14"/>
      <c r="BO577" s="24"/>
      <c r="CE577" s="24"/>
      <c r="CT577" s="14"/>
    </row>
    <row r="578" spans="1:98">
      <c r="A578" s="24"/>
      <c r="B578" s="24"/>
      <c r="H578" s="14"/>
      <c r="P578" s="24"/>
      <c r="W578" s="24"/>
      <c r="AC578" s="14"/>
      <c r="AK578" s="71"/>
      <c r="AL578" s="66"/>
      <c r="AM578" s="66"/>
      <c r="AN578" s="66"/>
      <c r="AO578" s="66"/>
      <c r="AP578" s="66"/>
      <c r="AQ578" s="66"/>
      <c r="AR578" s="71"/>
      <c r="AS578" s="77"/>
      <c r="AT578" s="8" t="s">
        <v>188</v>
      </c>
      <c r="AV578" s="66"/>
      <c r="AW578" s="66"/>
      <c r="BD578" s="66"/>
      <c r="BE578" s="66"/>
      <c r="BF578" s="66"/>
      <c r="BG578" s="66"/>
      <c r="BH578" s="24"/>
      <c r="BL578" s="14"/>
      <c r="BM578" s="14"/>
      <c r="BO578" s="24"/>
      <c r="CE578" s="24"/>
      <c r="CT578" s="14"/>
    </row>
    <row r="579" spans="1:98">
      <c r="A579" s="24"/>
      <c r="B579" s="24"/>
      <c r="H579" s="14"/>
      <c r="P579" s="24"/>
      <c r="W579" s="24"/>
      <c r="AD579" s="24"/>
      <c r="AK579" s="71"/>
      <c r="AL579" s="66"/>
      <c r="AM579" s="66"/>
      <c r="AN579" s="66"/>
      <c r="AO579" s="66"/>
      <c r="AP579" s="66"/>
      <c r="AQ579" s="66"/>
      <c r="AR579" s="71"/>
      <c r="AU579" s="8"/>
      <c r="BD579" s="66"/>
      <c r="BE579" s="66"/>
      <c r="BF579" s="66"/>
      <c r="BG579" s="66"/>
      <c r="BH579" s="24"/>
      <c r="BL579" s="14"/>
      <c r="BM579" s="14"/>
      <c r="BO579" s="24"/>
      <c r="CE579" s="24"/>
      <c r="CT579" s="14"/>
    </row>
    <row r="580" spans="1:98">
      <c r="A580" s="24"/>
      <c r="B580" s="24"/>
      <c r="H580" s="14"/>
      <c r="P580" s="24"/>
      <c r="W580" s="24"/>
      <c r="AC580" s="14"/>
      <c r="AK580" s="71"/>
      <c r="AL580" s="66"/>
      <c r="AM580" s="66"/>
      <c r="AN580" s="66"/>
      <c r="AO580" s="66"/>
      <c r="AP580" s="66"/>
      <c r="AQ580" s="66"/>
      <c r="AR580" s="71"/>
      <c r="AU580" s="8"/>
      <c r="AX580" s="66"/>
      <c r="AY580" s="66"/>
      <c r="BD580" s="66"/>
      <c r="BE580" s="66"/>
      <c r="BF580" s="66"/>
      <c r="BG580" s="66"/>
      <c r="BH580" s="24"/>
      <c r="BL580" s="14"/>
      <c r="BM580" s="14"/>
      <c r="BO580" s="24"/>
      <c r="CE580" s="24"/>
      <c r="CT580" s="14"/>
    </row>
    <row r="581" spans="1:98">
      <c r="A581" s="24"/>
      <c r="B581" s="24"/>
      <c r="H581" s="14"/>
      <c r="P581" s="24"/>
      <c r="W581" s="24"/>
      <c r="AC581" s="14"/>
      <c r="AK581" s="71"/>
      <c r="AL581" s="66"/>
      <c r="AM581" s="66"/>
      <c r="AN581" s="66"/>
      <c r="AO581" s="66"/>
      <c r="AP581" s="66"/>
      <c r="AQ581" s="66"/>
      <c r="AR581" s="71"/>
      <c r="AU581" s="8"/>
      <c r="AX581" s="66"/>
      <c r="AY581" s="66"/>
      <c r="BD581" s="66"/>
      <c r="BE581" s="66"/>
      <c r="BF581" s="66"/>
      <c r="BG581" s="66"/>
      <c r="BH581" s="24"/>
      <c r="BL581" s="14"/>
      <c r="BM581" s="14"/>
      <c r="BO581" s="24"/>
      <c r="CE581" s="24"/>
      <c r="CT581" s="14"/>
    </row>
    <row r="582" spans="1:98">
      <c r="A582" s="24"/>
      <c r="B582" s="24"/>
      <c r="H582" s="14"/>
      <c r="P582" s="24"/>
      <c r="W582" s="24"/>
      <c r="AC582" s="14"/>
      <c r="AK582" s="71"/>
      <c r="AL582" s="66"/>
      <c r="AM582" s="66"/>
      <c r="AN582" s="66"/>
      <c r="AO582" s="66"/>
      <c r="AP582" s="66"/>
      <c r="AQ582" s="66"/>
      <c r="AR582" s="71"/>
      <c r="AU582" s="8"/>
      <c r="AY582"/>
      <c r="AZ582" s="66"/>
      <c r="BA582" s="66"/>
      <c r="BB582" s="66"/>
      <c r="BC582" s="66"/>
      <c r="BD582" s="66"/>
      <c r="BE582" s="66"/>
      <c r="BF582" s="66"/>
      <c r="BG582" s="66"/>
      <c r="BH582" s="24"/>
      <c r="BL582" s="14"/>
      <c r="BM582" s="14"/>
      <c r="BO582" s="24"/>
      <c r="CE582" s="24"/>
      <c r="CT582" s="14"/>
    </row>
    <row r="583" spans="1:98">
      <c r="A583" s="24"/>
      <c r="B583" s="24"/>
      <c r="H583" s="14"/>
      <c r="P583" s="28"/>
      <c r="Q583"/>
      <c r="R583"/>
      <c r="S583"/>
      <c r="T583"/>
      <c r="U583"/>
      <c r="V583"/>
      <c r="W583" s="24"/>
      <c r="X583"/>
      <c r="Y583"/>
      <c r="Z583"/>
      <c r="AA583"/>
      <c r="AB583"/>
      <c r="AC583" s="14"/>
      <c r="AD583"/>
      <c r="AE583"/>
      <c r="AF583"/>
      <c r="AG583"/>
      <c r="AH583"/>
      <c r="AI583"/>
      <c r="AJ583"/>
      <c r="AK583" s="28"/>
      <c r="AL583"/>
      <c r="AM583"/>
      <c r="AN583"/>
      <c r="AO583"/>
      <c r="AP583"/>
      <c r="AQ583"/>
      <c r="AR583" s="71"/>
      <c r="AU583" s="8"/>
      <c r="BF583" s="66"/>
      <c r="BG583" s="66"/>
      <c r="BH583" s="24"/>
      <c r="BL583" s="14"/>
      <c r="BM583" s="14"/>
      <c r="BO583" s="24"/>
      <c r="CE583" s="24"/>
      <c r="CT583" s="14"/>
    </row>
    <row r="584" spans="1:98">
      <c r="A584" s="24"/>
      <c r="B584" s="24"/>
      <c r="H584" s="14"/>
      <c r="P584" s="28"/>
      <c r="Q584"/>
      <c r="R584"/>
      <c r="S584"/>
      <c r="T584"/>
      <c r="U584"/>
      <c r="V584" s="14"/>
      <c r="W584" s="24"/>
      <c r="X584"/>
      <c r="Y584"/>
      <c r="Z584"/>
      <c r="AA584"/>
      <c r="AB584"/>
      <c r="AC584" s="14"/>
      <c r="AD584"/>
      <c r="AE584"/>
      <c r="AF584"/>
      <c r="AG584"/>
      <c r="AH584"/>
      <c r="AI584"/>
      <c r="AJ584"/>
      <c r="AK584" s="28"/>
      <c r="AL584"/>
      <c r="AM584"/>
      <c r="AN584"/>
      <c r="AO584"/>
      <c r="AP584"/>
      <c r="AQ584"/>
      <c r="AR584" s="71"/>
      <c r="AU584" s="8"/>
      <c r="BF584" s="66"/>
      <c r="BG584" s="66"/>
      <c r="BH584" s="24"/>
      <c r="BL584" s="14"/>
      <c r="BM584" s="14"/>
      <c r="BO584" s="24"/>
      <c r="CE584" s="24"/>
      <c r="CT584" s="14"/>
    </row>
    <row r="585" spans="1:98">
      <c r="A585" s="24"/>
      <c r="B585" s="24"/>
      <c r="H585" s="14"/>
      <c r="P585" s="28"/>
      <c r="Q585"/>
      <c r="R585"/>
      <c r="S585"/>
      <c r="T585"/>
      <c r="U585"/>
      <c r="V585" s="14"/>
      <c r="W585" s="24"/>
      <c r="X585"/>
      <c r="Y585"/>
      <c r="Z585"/>
      <c r="AA585"/>
      <c r="AB585"/>
      <c r="AC585" s="14"/>
      <c r="AD585"/>
      <c r="AE585"/>
      <c r="AF585"/>
      <c r="AG585"/>
      <c r="AH585"/>
      <c r="AI585"/>
      <c r="AJ585"/>
      <c r="AK585" s="28"/>
      <c r="AL585"/>
      <c r="AM585"/>
      <c r="AN585"/>
      <c r="AO585"/>
      <c r="AP585"/>
      <c r="AQ585"/>
      <c r="AR585" s="71"/>
      <c r="AS585" s="16" t="s">
        <v>303</v>
      </c>
      <c r="AU585" s="8"/>
      <c r="AY585"/>
      <c r="BD585" s="66"/>
      <c r="BE585" s="66"/>
      <c r="BF585" s="66"/>
      <c r="BG585" s="66"/>
      <c r="BH585" s="24"/>
      <c r="BL585" s="14"/>
      <c r="BM585" s="14"/>
      <c r="BO585" s="24"/>
      <c r="CE585" s="24"/>
      <c r="CT585" s="14"/>
    </row>
    <row r="586" spans="1:98">
      <c r="A586" s="24"/>
      <c r="B586" s="24"/>
      <c r="H586" s="14"/>
      <c r="P586" s="24"/>
      <c r="W586" s="24"/>
      <c r="AC586" s="14"/>
      <c r="AK586" s="71"/>
      <c r="AL586" s="66"/>
      <c r="AM586" s="66"/>
      <c r="AN586" s="66"/>
      <c r="AO586" s="66"/>
      <c r="AP586" s="66"/>
      <c r="AQ586" s="66"/>
      <c r="AR586" s="71"/>
      <c r="AT586" s="8" t="s">
        <v>442</v>
      </c>
      <c r="AU586" s="8"/>
      <c r="AY586" s="66"/>
      <c r="BB586" s="66"/>
      <c r="BC586" s="66"/>
      <c r="BD586" s="66"/>
      <c r="BE586" s="66"/>
      <c r="BF586" s="66"/>
      <c r="BG586" s="66"/>
      <c r="BH586" s="24"/>
      <c r="BL586" s="14"/>
      <c r="BM586" s="14"/>
      <c r="BO586" s="24"/>
      <c r="CE586" s="24"/>
      <c r="CT586" s="14"/>
    </row>
    <row r="587" spans="1:98">
      <c r="A587" s="24"/>
      <c r="B587" s="24"/>
      <c r="H587" s="14"/>
      <c r="P587" s="24"/>
      <c r="W587" s="24"/>
      <c r="AC587" s="14"/>
      <c r="AK587" s="71"/>
      <c r="AL587" s="66"/>
      <c r="AM587" s="66"/>
      <c r="AN587" s="66"/>
      <c r="AO587" s="66"/>
      <c r="AP587" s="66"/>
      <c r="AQ587" s="66"/>
      <c r="AR587" s="71"/>
      <c r="AT587" s="8" t="s">
        <v>191</v>
      </c>
      <c r="AU587" s="8"/>
      <c r="AY587" s="66"/>
      <c r="BB587" s="66"/>
      <c r="BC587" s="66"/>
      <c r="BD587" s="66"/>
      <c r="BE587" s="66"/>
      <c r="BF587" s="66"/>
      <c r="BG587" s="66"/>
      <c r="BH587" s="24"/>
      <c r="BL587" s="14"/>
      <c r="BM587" s="14"/>
      <c r="BO587" s="24"/>
      <c r="CE587" s="24"/>
      <c r="CT587" s="14"/>
    </row>
    <row r="588" spans="1:98">
      <c r="A588" s="24"/>
      <c r="B588" s="24"/>
      <c r="H588" s="14"/>
      <c r="P588" s="24"/>
      <c r="W588" s="24"/>
      <c r="AC588" s="14"/>
      <c r="AK588" s="71"/>
      <c r="AL588" s="66"/>
      <c r="AM588" s="66"/>
      <c r="AN588" s="66"/>
      <c r="AO588" s="66"/>
      <c r="AP588" s="66"/>
      <c r="AQ588" s="66"/>
      <c r="AR588" s="71"/>
      <c r="AS588" s="66"/>
      <c r="AT588" s="66" t="s">
        <v>443</v>
      </c>
      <c r="AV588" s="66"/>
      <c r="AW588"/>
      <c r="AX588"/>
      <c r="AY588" s="66"/>
      <c r="AZ588" s="66"/>
      <c r="BA588" s="66"/>
      <c r="BB588" s="66"/>
      <c r="BC588" s="66"/>
      <c r="BD588" s="66"/>
      <c r="BE588" s="66"/>
      <c r="BF588" s="66"/>
      <c r="BG588" s="66"/>
      <c r="BH588" s="24"/>
      <c r="BL588" s="14"/>
      <c r="BM588" s="14"/>
      <c r="BO588" s="24"/>
      <c r="CE588" s="24"/>
      <c r="CT588" s="14"/>
    </row>
    <row r="589" spans="1:98">
      <c r="A589" s="24"/>
      <c r="B589" s="24"/>
      <c r="H589" s="14"/>
      <c r="P589" s="24"/>
      <c r="W589" s="24"/>
      <c r="AC589" s="14"/>
      <c r="AK589" s="71"/>
      <c r="AL589" s="66"/>
      <c r="AM589" s="66"/>
      <c r="AN589" s="66"/>
      <c r="AO589" s="66"/>
      <c r="AP589" s="66"/>
      <c r="AQ589" s="66"/>
      <c r="AR589" s="71"/>
      <c r="AS589" s="66"/>
      <c r="AT589" s="66" t="s">
        <v>118</v>
      </c>
      <c r="AU589" s="66" t="s">
        <v>444</v>
      </c>
      <c r="AV589" s="66"/>
      <c r="AW589" s="66"/>
      <c r="AX589" s="66"/>
      <c r="AY589" s="66"/>
      <c r="AZ589" s="66"/>
      <c r="BA589" s="66"/>
      <c r="BB589" s="66"/>
      <c r="BC589" s="66"/>
      <c r="BD589" s="66"/>
      <c r="BE589" s="66"/>
      <c r="BF589" s="66"/>
      <c r="BG589" s="66"/>
      <c r="BH589" s="24"/>
      <c r="BL589" s="14"/>
      <c r="BM589" s="14"/>
      <c r="BO589" s="24"/>
      <c r="CE589" s="24"/>
      <c r="CT589" s="14"/>
    </row>
    <row r="590" spans="1:98">
      <c r="A590" s="24"/>
      <c r="B590" s="24"/>
      <c r="H590" s="14"/>
      <c r="P590" s="24"/>
      <c r="W590" s="24"/>
      <c r="AC590" s="14"/>
      <c r="AK590" s="71"/>
      <c r="AL590" s="66"/>
      <c r="AM590" s="66"/>
      <c r="AN590" s="66"/>
      <c r="AO590" s="66"/>
      <c r="AP590" s="66"/>
      <c r="AQ590" s="66"/>
      <c r="AR590" s="71"/>
      <c r="AU590" s="8"/>
      <c r="BB590" s="66"/>
      <c r="BC590" s="66"/>
      <c r="BD590" s="66"/>
      <c r="BE590" s="66"/>
      <c r="BF590" s="66"/>
      <c r="BG590" s="66"/>
      <c r="BH590" s="24"/>
      <c r="BL590" s="14"/>
      <c r="BM590" s="14"/>
      <c r="BO590" s="24"/>
      <c r="CE590" s="24"/>
      <c r="CT590" s="14"/>
    </row>
    <row r="591" spans="1:98">
      <c r="A591" s="24"/>
      <c r="B591" s="24"/>
      <c r="H591" s="14"/>
      <c r="P591" s="24"/>
      <c r="W591" s="24"/>
      <c r="AC591" s="14"/>
      <c r="AK591" s="71"/>
      <c r="AL591" s="66"/>
      <c r="AM591" s="66"/>
      <c r="AN591" s="66"/>
      <c r="AO591" s="66"/>
      <c r="AP591" s="66"/>
      <c r="AQ591" s="66"/>
      <c r="AR591" s="71"/>
      <c r="AU591" s="8"/>
      <c r="BB591" s="66"/>
      <c r="BC591" s="66"/>
      <c r="BD591" s="66"/>
      <c r="BE591" s="66"/>
      <c r="BF591" s="66"/>
      <c r="BG591" s="66"/>
      <c r="BH591" s="24"/>
      <c r="BL591" s="14"/>
      <c r="BM591" s="14"/>
      <c r="BO591" s="24"/>
      <c r="CE591" s="24"/>
      <c r="CT591" s="14"/>
    </row>
    <row r="592" spans="1:98">
      <c r="A592" s="24"/>
      <c r="B592" s="24"/>
      <c r="H592" s="14"/>
      <c r="P592" s="24"/>
      <c r="W592" s="24"/>
      <c r="AC592" s="14"/>
      <c r="AK592" s="71"/>
      <c r="AL592" s="66"/>
      <c r="AM592" s="66"/>
      <c r="AN592" s="66"/>
      <c r="AO592" s="66"/>
      <c r="AP592" s="66"/>
      <c r="AQ592" s="66"/>
      <c r="AR592" s="71"/>
      <c r="AU592" s="8"/>
      <c r="BB592" s="66"/>
      <c r="BC592" s="66"/>
      <c r="BD592" s="66"/>
      <c r="BE592" s="66"/>
      <c r="BF592" s="66"/>
      <c r="BG592" s="66"/>
      <c r="BH592" s="24"/>
      <c r="BL592" s="14"/>
      <c r="BM592" s="14"/>
      <c r="BO592" s="24"/>
      <c r="CE592" s="24"/>
      <c r="CT592" s="14"/>
    </row>
    <row r="593" spans="1:98">
      <c r="A593" s="24"/>
      <c r="B593" s="24"/>
      <c r="H593" s="14"/>
      <c r="P593" s="28"/>
      <c r="Q593"/>
      <c r="R593"/>
      <c r="S593"/>
      <c r="T593"/>
      <c r="U593"/>
      <c r="V593" s="14"/>
      <c r="W593" s="24"/>
      <c r="X593"/>
      <c r="Y593"/>
      <c r="Z593"/>
      <c r="AA593"/>
      <c r="AB593"/>
      <c r="AC593" s="14"/>
      <c r="AD593"/>
      <c r="AE593"/>
      <c r="AF593"/>
      <c r="AG593"/>
      <c r="AH593"/>
      <c r="AI593"/>
      <c r="AJ593"/>
      <c r="AK593" s="28"/>
      <c r="AL593"/>
      <c r="AM593"/>
      <c r="AN593"/>
      <c r="AO593"/>
      <c r="AP593"/>
      <c r="AQ593"/>
      <c r="AR593" s="71"/>
      <c r="AS593" s="76" t="s">
        <v>306</v>
      </c>
      <c r="AT593" s="66"/>
      <c r="AV593"/>
      <c r="AW593"/>
      <c r="AX593"/>
      <c r="AY593"/>
      <c r="AZ593" s="66"/>
      <c r="BA593" s="66"/>
      <c r="BB593" s="66"/>
      <c r="BC593" s="66"/>
      <c r="BD593"/>
      <c r="BE593"/>
      <c r="BF593" s="66"/>
      <c r="BG593" s="66"/>
      <c r="BH593" s="24"/>
      <c r="BL593" s="14"/>
      <c r="BM593" s="14"/>
      <c r="BO593" s="24"/>
      <c r="CE593" s="24"/>
      <c r="CT593" s="14"/>
    </row>
    <row r="594" spans="1:98">
      <c r="A594" s="24"/>
      <c r="B594" s="24"/>
      <c r="H594" s="14"/>
      <c r="P594" s="24"/>
      <c r="W594" s="24"/>
      <c r="AD594" s="24"/>
      <c r="AK594" s="71"/>
      <c r="AL594" s="66"/>
      <c r="AM594" s="66"/>
      <c r="AN594" s="66"/>
      <c r="AO594" s="66"/>
      <c r="AP594" s="66"/>
      <c r="AQ594" s="66"/>
      <c r="AR594" s="71"/>
      <c r="AS594" s="66"/>
      <c r="AT594" s="8" t="s">
        <v>194</v>
      </c>
      <c r="AU594" s="8"/>
      <c r="AZ594" s="66"/>
      <c r="BA594" s="66"/>
      <c r="BB594"/>
      <c r="BC594"/>
      <c r="BD594"/>
      <c r="BE594"/>
      <c r="BF594" s="66"/>
      <c r="BG594" s="66"/>
      <c r="BH594" s="24"/>
      <c r="BL594" s="14"/>
      <c r="BM594" s="14"/>
      <c r="BO594" s="24"/>
      <c r="CE594" s="24"/>
      <c r="CT594" s="14"/>
    </row>
    <row r="595" spans="1:98">
      <c r="A595" s="24"/>
      <c r="B595" s="24"/>
      <c r="H595" s="14"/>
      <c r="P595" s="24"/>
      <c r="W595" s="24"/>
      <c r="AD595" s="24"/>
      <c r="AK595" s="71"/>
      <c r="AL595" s="66"/>
      <c r="AM595" s="66"/>
      <c r="AN595" s="66"/>
      <c r="AO595" s="66"/>
      <c r="AP595" s="66"/>
      <c r="AQ595" s="66"/>
      <c r="AR595" s="71"/>
      <c r="AS595" s="66"/>
      <c r="AT595" s="8" t="s">
        <v>195</v>
      </c>
      <c r="AU595" s="8"/>
      <c r="AZ595" s="66"/>
      <c r="BA595" s="66"/>
      <c r="BB595"/>
      <c r="BC595"/>
      <c r="BD595"/>
      <c r="BE595"/>
      <c r="BF595" s="66"/>
      <c r="BG595" s="66"/>
      <c r="BH595" s="24"/>
      <c r="BL595" s="14"/>
      <c r="BM595" s="14"/>
      <c r="BO595" s="24"/>
      <c r="CE595" s="24"/>
      <c r="CT595" s="14"/>
    </row>
    <row r="596" spans="1:98">
      <c r="A596" s="24"/>
      <c r="B596" s="24"/>
      <c r="H596" s="14"/>
      <c r="P596" s="24"/>
      <c r="W596" s="24"/>
      <c r="AD596" s="24"/>
      <c r="AK596" s="71"/>
      <c r="AL596" s="66"/>
      <c r="AM596" s="66"/>
      <c r="AN596" s="66"/>
      <c r="AO596" s="66"/>
      <c r="AP596" s="66"/>
      <c r="AQ596" s="66"/>
      <c r="AR596" s="71"/>
      <c r="AS596" s="66"/>
      <c r="AT596" s="66" t="s">
        <v>307</v>
      </c>
      <c r="AV596"/>
      <c r="AW596"/>
      <c r="AX596"/>
      <c r="AY596"/>
      <c r="AZ596" s="66"/>
      <c r="BA596" s="66"/>
      <c r="BB596" s="66"/>
      <c r="BC596" s="66"/>
      <c r="BD596" s="66"/>
      <c r="BE596" s="66"/>
      <c r="BF596" s="66"/>
      <c r="BG596" s="66"/>
      <c r="BH596" s="24"/>
      <c r="BL596" s="14"/>
      <c r="BM596" s="14"/>
      <c r="BO596" s="24"/>
      <c r="CE596" s="24"/>
      <c r="CT596" s="14"/>
    </row>
    <row r="597" spans="1:98">
      <c r="A597" s="24"/>
      <c r="B597" s="24"/>
      <c r="H597" s="14"/>
      <c r="P597" s="24"/>
      <c r="W597" s="24"/>
      <c r="AD597" s="24"/>
      <c r="AK597" s="71"/>
      <c r="AL597" s="66"/>
      <c r="AM597" s="66"/>
      <c r="AN597" s="66"/>
      <c r="AO597" s="66"/>
      <c r="AP597" s="66"/>
      <c r="AQ597" s="66"/>
      <c r="AR597" s="71"/>
      <c r="AS597" s="66"/>
      <c r="AT597" s="66" t="s">
        <v>445</v>
      </c>
      <c r="AV597"/>
      <c r="AW597"/>
      <c r="AX597"/>
      <c r="AY597"/>
      <c r="AZ597"/>
      <c r="BA597"/>
      <c r="BB597" s="66"/>
      <c r="BC597" s="66"/>
      <c r="BD597" s="66"/>
      <c r="BE597" s="66"/>
      <c r="BF597" s="66"/>
      <c r="BG597" s="66"/>
      <c r="BH597" s="24"/>
      <c r="BL597" s="14"/>
      <c r="BM597" s="14"/>
      <c r="BO597" s="24"/>
      <c r="CE597" s="24"/>
      <c r="CT597" s="14"/>
    </row>
    <row r="598" spans="1:98">
      <c r="A598" s="24"/>
      <c r="B598" s="24"/>
      <c r="H598" s="14"/>
      <c r="P598" s="24"/>
      <c r="W598" s="24"/>
      <c r="AD598" s="24"/>
      <c r="AK598" s="71"/>
      <c r="AL598" s="66"/>
      <c r="AM598" s="66"/>
      <c r="AN598" s="66"/>
      <c r="AO598" s="66"/>
      <c r="AP598" s="66"/>
      <c r="AQ598" s="66"/>
      <c r="AR598" s="71"/>
      <c r="AT598" s="66"/>
      <c r="AV598" s="66"/>
      <c r="AW598" s="66"/>
      <c r="AX598" s="66"/>
      <c r="AY598" s="66"/>
      <c r="AZ598"/>
      <c r="BA598"/>
      <c r="BB598"/>
      <c r="BC598"/>
      <c r="BD598" s="66"/>
      <c r="BE598" s="66"/>
      <c r="BF598" s="66"/>
      <c r="BG598" s="66"/>
      <c r="BH598" s="24"/>
      <c r="BL598" s="14"/>
      <c r="BM598" s="14"/>
      <c r="BO598" s="24"/>
      <c r="CE598" s="24"/>
      <c r="CT598" s="14"/>
    </row>
    <row r="599" spans="1:98">
      <c r="A599" s="24"/>
      <c r="B599" s="24"/>
      <c r="H599" s="14"/>
      <c r="P599" s="24"/>
      <c r="W599" s="24"/>
      <c r="AC599" s="14"/>
      <c r="AK599" s="71"/>
      <c r="AL599" s="66"/>
      <c r="AM599" s="66"/>
      <c r="AN599" s="66"/>
      <c r="AO599" s="66"/>
      <c r="AP599" s="66"/>
      <c r="AQ599" s="66"/>
      <c r="AR599" s="71"/>
      <c r="AU599" s="8"/>
      <c r="BD599" s="66"/>
      <c r="BE599"/>
      <c r="BF599" s="66"/>
      <c r="BG599" s="66"/>
      <c r="BH599" s="24"/>
      <c r="BL599" s="14"/>
      <c r="BM599" s="14"/>
      <c r="BO599" s="24"/>
      <c r="CE599" s="24"/>
      <c r="CT599" s="14"/>
    </row>
    <row r="600" spans="1:98">
      <c r="A600" s="24"/>
      <c r="B600" s="24"/>
      <c r="H600" s="14"/>
      <c r="P600" s="24"/>
      <c r="W600" s="24"/>
      <c r="AC600" s="14"/>
      <c r="AK600" s="71"/>
      <c r="AL600" s="66"/>
      <c r="AM600" s="66"/>
      <c r="AN600" s="66"/>
      <c r="AO600" s="66"/>
      <c r="AP600" s="66"/>
      <c r="AQ600" s="66"/>
      <c r="AR600" s="71"/>
      <c r="AT600" s="66"/>
      <c r="AV600" s="66"/>
      <c r="AW600" s="66"/>
      <c r="AX600" s="66"/>
      <c r="AY600" s="66"/>
      <c r="BD600" s="66"/>
      <c r="BE600"/>
      <c r="BF600" s="66"/>
      <c r="BG600" s="66"/>
      <c r="BH600" s="24"/>
      <c r="BL600" s="14"/>
      <c r="BM600" s="14"/>
      <c r="BO600" s="24"/>
      <c r="CE600" s="24"/>
      <c r="CT600" s="14"/>
    </row>
    <row r="601" spans="1:98">
      <c r="A601" s="24"/>
      <c r="B601" s="24"/>
      <c r="H601" s="14"/>
      <c r="P601" s="24"/>
      <c r="W601" s="24"/>
      <c r="AC601" s="14"/>
      <c r="AK601" s="71"/>
      <c r="AL601" s="66"/>
      <c r="AM601" s="66"/>
      <c r="AN601" s="66"/>
      <c r="AO601" s="66"/>
      <c r="AP601" s="66"/>
      <c r="AQ601" s="66"/>
      <c r="AR601" s="71"/>
      <c r="AT601" s="66"/>
      <c r="AV601" s="66"/>
      <c r="AW601" s="66"/>
      <c r="AX601" s="66"/>
      <c r="AY601" s="66"/>
      <c r="BD601" s="66"/>
      <c r="BE601"/>
      <c r="BF601" s="66"/>
      <c r="BG601" s="66"/>
      <c r="BH601" s="24"/>
      <c r="BL601" s="14"/>
      <c r="BM601" s="14"/>
      <c r="BO601" s="24"/>
      <c r="CE601" s="24"/>
      <c r="CT601" s="14"/>
    </row>
    <row r="602" spans="1:98">
      <c r="A602" s="24"/>
      <c r="B602" s="24"/>
      <c r="H602" s="14"/>
      <c r="P602" s="24"/>
      <c r="W602" s="24"/>
      <c r="AC602" s="14"/>
      <c r="AK602" s="71"/>
      <c r="AL602" s="66"/>
      <c r="AM602" s="66"/>
      <c r="AN602" s="66"/>
      <c r="AO602" s="66"/>
      <c r="AP602" s="66"/>
      <c r="AQ602" s="66"/>
      <c r="AR602" s="71"/>
      <c r="AT602" s="66"/>
      <c r="AV602" s="66"/>
      <c r="AW602" s="66"/>
      <c r="AX602" s="66"/>
      <c r="AY602" s="66"/>
      <c r="BD602" s="66"/>
      <c r="BE602"/>
      <c r="BF602" s="66"/>
      <c r="BG602" s="66"/>
      <c r="BH602" s="24"/>
      <c r="BL602" s="14"/>
      <c r="BM602" s="14"/>
      <c r="BO602" s="24"/>
      <c r="CE602" s="24"/>
      <c r="CT602" s="14"/>
    </row>
    <row r="603" spans="1:98" s="11" customFormat="1">
      <c r="A603" s="25"/>
      <c r="B603" s="26" t="s">
        <v>446</v>
      </c>
      <c r="C603" s="23"/>
      <c r="D603" s="23"/>
      <c r="E603" s="23"/>
      <c r="F603" s="23"/>
      <c r="G603" s="23"/>
      <c r="H603" s="23"/>
      <c r="I603" s="23"/>
      <c r="J603" s="23"/>
      <c r="K603" s="23"/>
      <c r="L603" s="23"/>
      <c r="M603" s="23"/>
      <c r="N603" s="23"/>
      <c r="O603" s="23"/>
      <c r="P603" s="23"/>
      <c r="Q603" s="23"/>
      <c r="R603" s="23"/>
      <c r="S603" s="23"/>
      <c r="T603" s="23"/>
      <c r="U603" s="23"/>
      <c r="V603" s="23"/>
      <c r="W603" s="30"/>
      <c r="X603" s="23"/>
      <c r="Y603" s="23"/>
      <c r="Z603" s="23"/>
      <c r="AA603" s="23"/>
      <c r="AB603" s="23"/>
      <c r="AC603" s="23"/>
      <c r="AD603" s="23"/>
      <c r="AE603" s="23"/>
      <c r="AF603" s="23"/>
      <c r="AG603" s="23"/>
      <c r="AH603" s="23"/>
      <c r="AI603" s="23"/>
      <c r="AJ603" s="23"/>
      <c r="AK603" s="30"/>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13"/>
      <c r="BO603" s="24"/>
      <c r="BP603" s="8"/>
      <c r="BQ603" s="8"/>
      <c r="BR603" s="8"/>
      <c r="BS603" s="8"/>
      <c r="BT603" s="8"/>
      <c r="BU603" s="8"/>
      <c r="BV603" s="8"/>
      <c r="BW603" s="8"/>
      <c r="BX603" s="8"/>
      <c r="BY603" s="8"/>
      <c r="BZ603" s="8"/>
      <c r="CA603" s="8"/>
      <c r="CB603" s="8"/>
      <c r="CC603" s="8"/>
      <c r="CD603" s="8"/>
      <c r="CE603" s="24"/>
      <c r="CF603" s="8"/>
      <c r="CG603" s="8"/>
      <c r="CH603" s="8"/>
      <c r="CI603" s="8"/>
      <c r="CJ603" s="8"/>
      <c r="CK603" s="8"/>
      <c r="CL603" s="8"/>
      <c r="CM603" s="8"/>
      <c r="CN603" s="8"/>
      <c r="CO603" s="8"/>
      <c r="CP603" s="8"/>
      <c r="CQ603" s="8"/>
      <c r="CR603" s="8"/>
      <c r="CS603" s="8"/>
      <c r="CT603" s="14"/>
    </row>
    <row r="604" spans="1:98" s="11" customFormat="1">
      <c r="A604" s="25"/>
      <c r="B604" s="24"/>
      <c r="C604" s="8"/>
      <c r="D604" s="8"/>
      <c r="E604" s="8"/>
      <c r="F604" s="8"/>
      <c r="G604" s="8"/>
      <c r="H604" s="14"/>
      <c r="P604" s="24"/>
      <c r="Q604" s="8"/>
      <c r="R604" s="8"/>
      <c r="S604" s="8"/>
      <c r="T604" s="8"/>
      <c r="U604" s="8"/>
      <c r="V604" s="8"/>
      <c r="W604" s="24"/>
      <c r="X604" s="8"/>
      <c r="Y604" s="8"/>
      <c r="Z604" s="8"/>
      <c r="AA604" s="8"/>
      <c r="AB604" s="8"/>
      <c r="AC604" s="14"/>
      <c r="AD604" s="8"/>
      <c r="AE604" s="8"/>
      <c r="AF604" s="8"/>
      <c r="AG604" s="8"/>
      <c r="AH604" s="8"/>
      <c r="AI604" s="8"/>
      <c r="AJ604" s="8"/>
      <c r="AK604" s="71"/>
      <c r="AL604" s="66"/>
      <c r="AM604" s="66"/>
      <c r="AN604" s="66"/>
      <c r="AO604" s="66"/>
      <c r="AP604" s="66"/>
      <c r="AQ604" s="66"/>
      <c r="AR604" s="71"/>
      <c r="AS604" s="66"/>
      <c r="AT604" s="66"/>
      <c r="AU604" s="66"/>
      <c r="AV604" s="66"/>
      <c r="AW604" s="66"/>
      <c r="AX604" s="66"/>
      <c r="AY604" s="66"/>
      <c r="AZ604" s="66"/>
      <c r="BA604" s="66"/>
      <c r="BB604" s="66"/>
      <c r="BC604" s="66"/>
      <c r="BD604" s="66"/>
      <c r="BE604" s="66"/>
      <c r="BF604" s="66"/>
      <c r="BG604" s="66"/>
      <c r="BH604" s="24"/>
      <c r="BI604" s="8"/>
      <c r="BJ604" s="8"/>
      <c r="BK604" s="8"/>
      <c r="BL604" s="14"/>
      <c r="BM604" s="13"/>
      <c r="BO604" s="29"/>
      <c r="CE604" s="29"/>
      <c r="CT604" s="13"/>
    </row>
    <row r="605" spans="1:98">
      <c r="A605" s="24"/>
      <c r="B605" s="24"/>
      <c r="H605" s="14"/>
      <c r="P605" s="24"/>
      <c r="W605" s="24"/>
      <c r="AC605" s="14"/>
      <c r="AK605" s="71"/>
      <c r="AL605" s="66"/>
      <c r="AM605" s="66"/>
      <c r="AN605" s="66"/>
      <c r="AO605" s="66"/>
      <c r="AP605" s="66"/>
      <c r="AQ605" s="66"/>
      <c r="AR605" s="71"/>
      <c r="AS605" s="66"/>
      <c r="AT605" s="66"/>
      <c r="AV605" s="66"/>
      <c r="AW605" s="66"/>
      <c r="AX605" s="66"/>
      <c r="AY605" s="66"/>
      <c r="AZ605" s="66"/>
      <c r="BA605" s="66"/>
      <c r="BB605" s="66"/>
      <c r="BC605" s="66"/>
      <c r="BD605" s="66"/>
      <c r="BE605" s="66"/>
      <c r="BF605" s="66"/>
      <c r="BG605" s="66"/>
      <c r="BH605" s="24"/>
      <c r="BL605" s="14"/>
      <c r="BM605" s="14"/>
      <c r="BO605" s="29"/>
      <c r="BP605" s="11"/>
      <c r="BQ605" s="11"/>
      <c r="BR605" s="11"/>
      <c r="BS605" s="11"/>
      <c r="BT605" s="11"/>
      <c r="BU605" s="11"/>
      <c r="BV605" s="11"/>
      <c r="BW605" s="11"/>
      <c r="BX605" s="11"/>
      <c r="BY605" s="11"/>
      <c r="BZ605" s="11"/>
      <c r="CA605" s="11"/>
      <c r="CB605" s="11"/>
      <c r="CC605" s="11"/>
      <c r="CD605" s="11"/>
      <c r="CE605" s="29"/>
      <c r="CF605" s="11"/>
      <c r="CG605" s="11"/>
      <c r="CH605" s="11"/>
      <c r="CI605" s="11"/>
      <c r="CJ605" s="11"/>
      <c r="CK605" s="11"/>
      <c r="CL605" s="11"/>
      <c r="CM605" s="11"/>
      <c r="CN605" s="11"/>
      <c r="CO605" s="11"/>
      <c r="CP605" s="11"/>
      <c r="CQ605" s="11"/>
      <c r="CR605" s="11"/>
      <c r="CS605" s="11"/>
      <c r="CT605" s="13"/>
    </row>
    <row r="606" spans="1:98">
      <c r="A606" s="24"/>
      <c r="B606" s="24"/>
      <c r="H606" s="14"/>
      <c r="P606" s="24"/>
      <c r="W606" s="24"/>
      <c r="AC606" s="14"/>
      <c r="AK606" s="71"/>
      <c r="AL606" s="66"/>
      <c r="AM606" s="66"/>
      <c r="AN606" s="66"/>
      <c r="AO606" s="66"/>
      <c r="AP606" s="66"/>
      <c r="AQ606" s="66"/>
      <c r="AR606" s="71"/>
      <c r="AS606" s="66"/>
      <c r="AT606" s="78"/>
      <c r="AV606" s="66"/>
      <c r="AW606" s="66"/>
      <c r="AX606" s="66"/>
      <c r="AY606" s="66"/>
      <c r="AZ606" s="66"/>
      <c r="BA606" s="66"/>
      <c r="BB606" s="66"/>
      <c r="BC606" s="66"/>
      <c r="BD606" s="66"/>
      <c r="BE606" s="66"/>
      <c r="BF606" s="66"/>
      <c r="BG606" s="66"/>
      <c r="BH606" s="24"/>
      <c r="BL606" s="14"/>
      <c r="BM606" s="14"/>
      <c r="BO606" s="24"/>
      <c r="CE606" s="24"/>
      <c r="CT606" s="14"/>
    </row>
    <row r="607" spans="1:98">
      <c r="A607" s="24"/>
      <c r="B607" s="24"/>
      <c r="H607" s="14"/>
      <c r="P607" s="24"/>
      <c r="W607" s="24"/>
      <c r="AC607" s="14"/>
      <c r="AK607" s="71"/>
      <c r="AL607" s="66"/>
      <c r="AM607" s="66"/>
      <c r="AN607" s="66"/>
      <c r="AO607" s="66"/>
      <c r="AP607" s="66"/>
      <c r="AQ607" s="66"/>
      <c r="AR607" s="71"/>
      <c r="AS607" s="66"/>
      <c r="AT607" s="66"/>
      <c r="AV607" s="66"/>
      <c r="AW607" s="66"/>
      <c r="AX607" s="66"/>
      <c r="AY607" s="66"/>
      <c r="AZ607" s="66"/>
      <c r="BA607" s="66"/>
      <c r="BB607" s="66"/>
      <c r="BC607" s="66"/>
      <c r="BD607" s="66"/>
      <c r="BE607" s="66"/>
      <c r="BF607" s="66"/>
      <c r="BG607" s="66"/>
      <c r="BH607" s="24"/>
      <c r="BL607" s="14"/>
      <c r="BM607" s="14"/>
      <c r="BO607" s="24"/>
      <c r="CE607" s="24"/>
      <c r="CT607" s="14"/>
    </row>
    <row r="608" spans="1:98">
      <c r="A608" s="24"/>
      <c r="B608" s="24"/>
      <c r="H608" s="14"/>
      <c r="P608" s="24"/>
      <c r="W608" s="24"/>
      <c r="AC608" s="14"/>
      <c r="AK608" s="71"/>
      <c r="AL608" s="66"/>
      <c r="AM608" s="66"/>
      <c r="AN608" s="66"/>
      <c r="AO608" s="66"/>
      <c r="AP608" s="66"/>
      <c r="AQ608" s="66"/>
      <c r="AR608" s="71"/>
      <c r="AS608" s="66"/>
      <c r="AT608" s="66"/>
      <c r="AV608" s="66"/>
      <c r="AW608" s="66"/>
      <c r="AX608" s="66"/>
      <c r="AY608" s="66"/>
      <c r="AZ608" s="66"/>
      <c r="BA608" s="66"/>
      <c r="BB608" s="66"/>
      <c r="BC608" s="66"/>
      <c r="BD608" s="66"/>
      <c r="BE608" s="66"/>
      <c r="BF608" s="66"/>
      <c r="BG608" s="66"/>
      <c r="BH608" s="24"/>
      <c r="BL608" s="14"/>
      <c r="BM608" s="14"/>
      <c r="BO608" s="24"/>
      <c r="CE608" s="24"/>
      <c r="CT608" s="14"/>
    </row>
    <row r="609" spans="1:98">
      <c r="A609" s="24"/>
      <c r="B609" s="24"/>
      <c r="H609" s="14"/>
      <c r="P609" s="24"/>
      <c r="W609" s="24"/>
      <c r="AC609" s="14"/>
      <c r="AK609" s="71"/>
      <c r="AL609" s="66"/>
      <c r="AM609" s="66"/>
      <c r="AN609" s="66"/>
      <c r="AO609" s="66"/>
      <c r="AP609" s="66"/>
      <c r="AQ609" s="66"/>
      <c r="AR609" s="71"/>
      <c r="AS609" s="80" t="s">
        <v>447</v>
      </c>
      <c r="AT609" s="70"/>
      <c r="AU609" s="70"/>
      <c r="AV609" s="70"/>
      <c r="AW609" s="66"/>
      <c r="AX609" s="66"/>
      <c r="AY609" s="66"/>
      <c r="AZ609" s="66"/>
      <c r="BA609" s="66"/>
      <c r="BB609" s="66"/>
      <c r="BC609" s="66"/>
      <c r="BD609" s="66"/>
      <c r="BE609" s="66"/>
      <c r="BF609" s="66"/>
      <c r="BG609" s="66"/>
      <c r="BH609" s="24"/>
      <c r="BL609" s="14"/>
      <c r="BM609" s="14"/>
      <c r="BO609" s="24"/>
      <c r="CE609" s="24"/>
      <c r="CT609" s="14"/>
    </row>
    <row r="610" spans="1:98">
      <c r="A610" s="24"/>
      <c r="B610" s="24"/>
      <c r="H610" s="14"/>
      <c r="P610" s="24"/>
      <c r="W610" s="24"/>
      <c r="AC610" s="14"/>
      <c r="AK610" s="71"/>
      <c r="AL610" s="66"/>
      <c r="AM610" s="66"/>
      <c r="AN610" s="66"/>
      <c r="AO610" s="66"/>
      <c r="AP610" s="66"/>
      <c r="AQ610" s="66"/>
      <c r="AR610" s="71"/>
      <c r="AS610" s="70"/>
      <c r="AT610" s="66" t="s">
        <v>448</v>
      </c>
      <c r="AU610" s="70"/>
      <c r="AV610" s="70"/>
      <c r="AW610" s="66"/>
      <c r="AX610" s="66"/>
      <c r="AY610" s="66"/>
      <c r="AZ610" s="66"/>
      <c r="BA610" s="66"/>
      <c r="BB610" s="66"/>
      <c r="BC610" s="66"/>
      <c r="BD610" s="66"/>
      <c r="BE610" s="66"/>
      <c r="BF610" s="66"/>
      <c r="BG610" s="66"/>
      <c r="BH610" s="24"/>
      <c r="BL610" s="14"/>
      <c r="BM610" s="14"/>
      <c r="BO610" s="24"/>
      <c r="CE610" s="24"/>
      <c r="CT610" s="14"/>
    </row>
    <row r="611" spans="1:98">
      <c r="A611" s="24"/>
      <c r="B611" s="24"/>
      <c r="H611" s="14"/>
      <c r="P611" s="24"/>
      <c r="W611" s="24"/>
      <c r="AC611" s="14"/>
      <c r="AK611" s="71"/>
      <c r="AL611" s="66"/>
      <c r="AM611" s="66"/>
      <c r="AN611" s="66"/>
      <c r="AO611" s="66"/>
      <c r="AP611" s="66"/>
      <c r="AQ611" s="66"/>
      <c r="AR611" s="71"/>
      <c r="AS611" s="70"/>
      <c r="AT611" s="66"/>
      <c r="AU611" s="70"/>
      <c r="AV611" s="70"/>
      <c r="AW611" s="66"/>
      <c r="AX611" s="66"/>
      <c r="AY611" s="66"/>
      <c r="AZ611" s="66"/>
      <c r="BA611" s="66"/>
      <c r="BB611" s="66"/>
      <c r="BC611" s="66"/>
      <c r="BD611" s="66"/>
      <c r="BE611" s="66"/>
      <c r="BF611" s="66"/>
      <c r="BG611" s="66"/>
      <c r="BH611" s="24"/>
      <c r="BL611" s="14"/>
      <c r="BM611" s="14"/>
      <c r="BO611" s="24"/>
      <c r="CE611" s="24"/>
      <c r="CT611" s="14"/>
    </row>
    <row r="612" spans="1:98">
      <c r="A612" s="24"/>
      <c r="B612" s="24"/>
      <c r="H612" s="14"/>
      <c r="P612" s="24"/>
      <c r="W612" s="24"/>
      <c r="AC612" s="14"/>
      <c r="AK612" s="71"/>
      <c r="AL612" s="66"/>
      <c r="AM612" s="66"/>
      <c r="AN612" s="66"/>
      <c r="AO612" s="66"/>
      <c r="AP612" s="66"/>
      <c r="AQ612" s="66"/>
      <c r="AR612" s="71"/>
      <c r="AS612" s="70"/>
      <c r="AT612" s="70"/>
      <c r="AU612" s="70"/>
      <c r="AV612" s="70"/>
      <c r="AW612" s="66"/>
      <c r="AX612" s="66"/>
      <c r="AY612" s="66"/>
      <c r="AZ612" s="66"/>
      <c r="BA612" s="66"/>
      <c r="BB612" s="66"/>
      <c r="BC612" s="66"/>
      <c r="BD612" s="66"/>
      <c r="BE612" s="66"/>
      <c r="BF612" s="66"/>
      <c r="BG612" s="66"/>
      <c r="BH612" s="24"/>
      <c r="BL612" s="14"/>
      <c r="BM612" s="14"/>
      <c r="BO612" s="24"/>
      <c r="CE612" s="24"/>
      <c r="CT612" s="14"/>
    </row>
    <row r="613" spans="1:98">
      <c r="A613" s="24"/>
      <c r="B613" s="24"/>
      <c r="H613" s="14"/>
      <c r="P613" s="24"/>
      <c r="W613" s="24"/>
      <c r="AC613" s="14"/>
      <c r="AK613" s="71"/>
      <c r="AL613" s="66"/>
      <c r="AM613" s="66"/>
      <c r="AN613" s="66"/>
      <c r="AO613" s="66"/>
      <c r="AP613" s="66"/>
      <c r="AQ613" s="66"/>
      <c r="AR613" s="71"/>
      <c r="AS613" s="70"/>
      <c r="AT613" s="70"/>
      <c r="AU613" s="70"/>
      <c r="AV613" s="70"/>
      <c r="AW613" s="66"/>
      <c r="AX613" s="66"/>
      <c r="AY613" s="66"/>
      <c r="AZ613" s="66"/>
      <c r="BA613" s="66"/>
      <c r="BB613" s="66"/>
      <c r="BC613" s="66"/>
      <c r="BD613" s="66"/>
      <c r="BE613" s="66"/>
      <c r="BF613" s="66"/>
      <c r="BG613" s="66"/>
      <c r="BH613" s="24"/>
      <c r="BL613" s="14"/>
      <c r="BM613" s="14"/>
      <c r="BO613" s="24"/>
      <c r="CE613" s="24"/>
      <c r="CT613" s="14"/>
    </row>
    <row r="614" spans="1:98">
      <c r="A614" s="24"/>
      <c r="B614" s="24"/>
      <c r="H614" s="14"/>
      <c r="P614" s="24"/>
      <c r="W614" s="24"/>
      <c r="AC614" s="14"/>
      <c r="AK614" s="71"/>
      <c r="AL614" s="66"/>
      <c r="AM614" s="66"/>
      <c r="AN614" s="66"/>
      <c r="AO614" s="66"/>
      <c r="AP614" s="66"/>
      <c r="AQ614" s="66"/>
      <c r="AR614" s="71"/>
      <c r="AS614" s="80" t="s">
        <v>449</v>
      </c>
      <c r="AT614" s="70"/>
      <c r="AU614" s="70"/>
      <c r="AV614" s="70"/>
      <c r="AW614" s="66"/>
      <c r="AX614" s="66"/>
      <c r="AY614" s="66"/>
      <c r="AZ614" s="66"/>
      <c r="BA614" s="66"/>
      <c r="BB614" s="66"/>
      <c r="BC614" s="66"/>
      <c r="BD614" s="66"/>
      <c r="BE614" s="66"/>
      <c r="BF614" s="66"/>
      <c r="BG614" s="66"/>
      <c r="BH614" s="24"/>
      <c r="BL614" s="14"/>
      <c r="BM614" s="14"/>
      <c r="BO614" s="24"/>
      <c r="CE614" s="24"/>
      <c r="CT614" s="14"/>
    </row>
    <row r="615" spans="1:98">
      <c r="A615" s="24"/>
      <c r="B615" s="24"/>
      <c r="H615" s="14"/>
      <c r="P615" s="24"/>
      <c r="W615" s="24"/>
      <c r="AC615" s="14"/>
      <c r="AK615" s="71"/>
      <c r="AL615" s="66"/>
      <c r="AM615" s="66"/>
      <c r="AN615" s="66"/>
      <c r="AO615" s="66"/>
      <c r="AP615" s="66"/>
      <c r="AQ615" s="66"/>
      <c r="AR615" s="71"/>
      <c r="AS615" s="70"/>
      <c r="AT615" s="66" t="s">
        <v>450</v>
      </c>
      <c r="AU615" s="70"/>
      <c r="AV615" s="70"/>
      <c r="AW615" s="66"/>
      <c r="AX615" s="66"/>
      <c r="AY615" s="66"/>
      <c r="AZ615" s="66"/>
      <c r="BA615" s="66"/>
      <c r="BB615" s="66"/>
      <c r="BC615" s="66"/>
      <c r="BD615" s="66"/>
      <c r="BE615" s="66"/>
      <c r="BF615" s="66"/>
      <c r="BG615" s="66"/>
      <c r="BH615" s="24"/>
      <c r="BL615" s="14"/>
      <c r="BM615" s="14"/>
      <c r="BO615" s="24"/>
      <c r="CE615" s="24"/>
      <c r="CT615" s="14"/>
    </row>
    <row r="616" spans="1:98">
      <c r="A616" s="24"/>
      <c r="B616" s="24"/>
      <c r="H616" s="14"/>
      <c r="P616" s="24"/>
      <c r="W616" s="24"/>
      <c r="AC616" s="14"/>
      <c r="AK616" s="71"/>
      <c r="AL616" s="66"/>
      <c r="AM616" s="66"/>
      <c r="AN616" s="66"/>
      <c r="AO616" s="66"/>
      <c r="AP616" s="66"/>
      <c r="AQ616" s="66"/>
      <c r="AR616" s="71"/>
      <c r="AS616" s="70"/>
      <c r="AT616" s="66"/>
      <c r="AU616" s="70"/>
      <c r="AV616" s="70"/>
      <c r="AW616" s="66"/>
      <c r="AX616" s="66"/>
      <c r="AY616" s="66"/>
      <c r="AZ616" s="66"/>
      <c r="BA616" s="66"/>
      <c r="BB616" s="66"/>
      <c r="BC616" s="66"/>
      <c r="BD616" s="66"/>
      <c r="BE616" s="66"/>
      <c r="BF616" s="66"/>
      <c r="BG616" s="66"/>
      <c r="BH616" s="24"/>
      <c r="BL616" s="14"/>
      <c r="BM616" s="14"/>
      <c r="BO616" s="24"/>
      <c r="CE616" s="24"/>
      <c r="CT616" s="14"/>
    </row>
    <row r="617" spans="1:98">
      <c r="A617" s="24"/>
      <c r="B617" s="24"/>
      <c r="H617" s="14"/>
      <c r="P617" s="24"/>
      <c r="W617" s="24"/>
      <c r="AC617" s="14"/>
      <c r="AK617" s="71"/>
      <c r="AL617" s="66"/>
      <c r="AM617" s="66"/>
      <c r="AN617" s="66"/>
      <c r="AO617" s="66"/>
      <c r="AP617" s="66"/>
      <c r="AQ617" s="66"/>
      <c r="AR617" s="71"/>
      <c r="AS617" s="70"/>
      <c r="AT617" s="70"/>
      <c r="AU617" s="70"/>
      <c r="AV617" s="70"/>
      <c r="AW617" s="66"/>
      <c r="AX617" s="66"/>
      <c r="AY617" s="66"/>
      <c r="AZ617" s="66"/>
      <c r="BA617" s="66"/>
      <c r="BB617" s="66"/>
      <c r="BC617" s="66"/>
      <c r="BD617" s="66"/>
      <c r="BE617" s="66"/>
      <c r="BF617" s="66"/>
      <c r="BG617" s="66"/>
      <c r="BH617" s="24"/>
      <c r="BL617" s="14"/>
      <c r="BM617" s="14"/>
      <c r="BO617" s="24"/>
      <c r="CE617" s="24"/>
      <c r="CT617" s="14"/>
    </row>
    <row r="618" spans="1:98">
      <c r="A618" s="24"/>
      <c r="B618" s="24"/>
      <c r="H618" s="14"/>
      <c r="P618" s="24"/>
      <c r="W618" s="24"/>
      <c r="AC618" s="14"/>
      <c r="AK618" s="71"/>
      <c r="AL618" s="66"/>
      <c r="AM618" s="66"/>
      <c r="AN618" s="66"/>
      <c r="AO618" s="66"/>
      <c r="AP618" s="66"/>
      <c r="AQ618" s="66"/>
      <c r="AR618" s="71"/>
      <c r="AS618" s="66"/>
      <c r="AT618" s="66"/>
      <c r="AV618" s="66"/>
      <c r="AW618" s="66"/>
      <c r="AX618" s="66"/>
      <c r="AY618" s="66"/>
      <c r="AZ618" s="66"/>
      <c r="BA618" s="66"/>
      <c r="BB618" s="66"/>
      <c r="BC618" s="66"/>
      <c r="BD618" s="66"/>
      <c r="BE618" s="66"/>
      <c r="BF618" s="66"/>
      <c r="BG618" s="66"/>
      <c r="BH618" s="24"/>
      <c r="BL618" s="14"/>
      <c r="BM618" s="14"/>
      <c r="BO618" s="24"/>
      <c r="CE618" s="24"/>
      <c r="CT618" s="14"/>
    </row>
    <row r="619" spans="1:98">
      <c r="A619" s="24"/>
      <c r="B619" s="24"/>
      <c r="H619" s="14"/>
      <c r="P619" s="24"/>
      <c r="W619" s="24"/>
      <c r="AC619" s="14"/>
      <c r="AK619" s="71"/>
      <c r="AL619" s="66"/>
      <c r="AM619" s="66"/>
      <c r="AN619" s="66"/>
      <c r="AO619" s="66"/>
      <c r="AP619" s="66"/>
      <c r="AQ619" s="66"/>
      <c r="AR619" s="71"/>
      <c r="AS619" s="80" t="s">
        <v>451</v>
      </c>
      <c r="AT619" s="70"/>
      <c r="AU619" s="70"/>
      <c r="AV619" s="70"/>
      <c r="AW619" s="66"/>
      <c r="AX619" s="66"/>
      <c r="AY619" s="66"/>
      <c r="AZ619" s="66"/>
      <c r="BA619" s="66"/>
      <c r="BB619" s="66"/>
      <c r="BC619" s="66"/>
      <c r="BD619" s="66"/>
      <c r="BE619" s="66"/>
      <c r="BF619" s="66"/>
      <c r="BG619" s="66"/>
      <c r="BH619" s="24"/>
      <c r="BL619" s="14"/>
      <c r="BM619" s="14"/>
      <c r="BO619" s="24"/>
      <c r="CE619" s="24"/>
      <c r="CT619" s="14"/>
    </row>
    <row r="620" spans="1:98">
      <c r="A620" s="24"/>
      <c r="B620" s="24"/>
      <c r="H620" s="14"/>
      <c r="P620" s="24"/>
      <c r="W620" s="24"/>
      <c r="AC620" s="14"/>
      <c r="AK620" s="71"/>
      <c r="AL620" s="66"/>
      <c r="AM620" s="66"/>
      <c r="AN620" s="66"/>
      <c r="AO620" s="66"/>
      <c r="AP620" s="66"/>
      <c r="AQ620" s="66"/>
      <c r="AR620" s="71"/>
      <c r="AS620" s="70"/>
      <c r="AT620" s="66" t="s">
        <v>452</v>
      </c>
      <c r="AU620" s="70"/>
      <c r="AV620" s="70"/>
      <c r="AW620" s="66"/>
      <c r="AX620" s="66"/>
      <c r="AY620" s="66"/>
      <c r="AZ620" s="66"/>
      <c r="BA620" s="66"/>
      <c r="BB620" s="66"/>
      <c r="BC620" s="66"/>
      <c r="BD620" s="66"/>
      <c r="BE620" s="66"/>
      <c r="BF620" s="66"/>
      <c r="BG620" s="66"/>
      <c r="BH620" s="24"/>
      <c r="BI620" s="66"/>
      <c r="BJ620" s="66"/>
      <c r="BK620" s="66"/>
      <c r="BL620" s="14"/>
      <c r="BM620" s="14"/>
      <c r="BO620" s="24"/>
      <c r="CE620" s="24"/>
      <c r="CT620" s="14"/>
    </row>
    <row r="621" spans="1:98">
      <c r="A621" s="24"/>
      <c r="B621" s="24"/>
      <c r="H621" s="14"/>
      <c r="P621" s="24"/>
      <c r="W621" s="24"/>
      <c r="AC621" s="14"/>
      <c r="AK621" s="71"/>
      <c r="AL621" s="66"/>
      <c r="AM621" s="66"/>
      <c r="AN621" s="66"/>
      <c r="AO621" s="66"/>
      <c r="AP621" s="66"/>
      <c r="AQ621" s="66"/>
      <c r="AR621" s="71"/>
      <c r="AS621" s="70"/>
      <c r="AT621" s="74" t="s">
        <v>453</v>
      </c>
      <c r="AU621" s="74" t="s">
        <v>454</v>
      </c>
      <c r="AV621" s="70"/>
      <c r="AW621" s="66"/>
      <c r="AX621" s="66"/>
      <c r="AY621" s="66"/>
      <c r="AZ621" s="66"/>
      <c r="BA621" s="66"/>
      <c r="BB621" s="66"/>
      <c r="BC621" s="66"/>
      <c r="BD621" s="66"/>
      <c r="BE621" s="66"/>
      <c r="BF621" s="66"/>
      <c r="BG621" s="66"/>
      <c r="BH621" s="24"/>
      <c r="BI621" s="66"/>
      <c r="BL621" s="14"/>
      <c r="BM621" s="14"/>
      <c r="BO621" s="24" t="s">
        <v>105</v>
      </c>
      <c r="BP621" s="8" t="s">
        <v>455</v>
      </c>
      <c r="CE621" s="24" t="s">
        <v>107</v>
      </c>
      <c r="CF621" s="8" t="s">
        <v>296</v>
      </c>
      <c r="CT621" s="14"/>
    </row>
    <row r="622" spans="1:98">
      <c r="A622" s="24"/>
      <c r="B622" s="24"/>
      <c r="H622" s="14"/>
      <c r="P622" s="24"/>
      <c r="W622" s="24"/>
      <c r="AC622" s="14"/>
      <c r="AK622" s="71"/>
      <c r="AL622" s="66"/>
      <c r="AM622" s="66"/>
      <c r="AN622" s="66"/>
      <c r="AO622" s="66"/>
      <c r="AP622" s="66"/>
      <c r="AQ622" s="66"/>
      <c r="AR622" s="71"/>
      <c r="AS622" s="70"/>
      <c r="AT622" s="66"/>
      <c r="AU622" s="74" t="s">
        <v>456</v>
      </c>
      <c r="AV622" s="70"/>
      <c r="AW622" s="66"/>
      <c r="AX622" s="66"/>
      <c r="AY622" s="66"/>
      <c r="AZ622" s="66"/>
      <c r="BA622" s="66"/>
      <c r="BB622" s="66"/>
      <c r="BC622" s="66"/>
      <c r="BD622" s="66"/>
      <c r="BE622" s="66"/>
      <c r="BF622" s="66"/>
      <c r="BG622" s="66"/>
      <c r="BH622" s="24"/>
      <c r="BI622" s="66"/>
      <c r="BL622" s="14"/>
      <c r="BM622" s="14"/>
      <c r="BO622" s="24"/>
      <c r="BP622" s="97" t="s">
        <v>133</v>
      </c>
      <c r="BQ622" s="97" t="s">
        <v>297</v>
      </c>
      <c r="BR622" s="97"/>
      <c r="BS622" s="97"/>
      <c r="CE622" s="24" t="s">
        <v>457</v>
      </c>
      <c r="CF622" s="8" t="s">
        <v>298</v>
      </c>
      <c r="CT622" s="14"/>
    </row>
    <row r="623" spans="1:98">
      <c r="A623" s="24"/>
      <c r="B623" s="24"/>
      <c r="H623" s="14"/>
      <c r="P623" s="24"/>
      <c r="W623" s="24"/>
      <c r="AC623" s="14"/>
      <c r="AK623" s="71"/>
      <c r="AL623" s="66"/>
      <c r="AM623" s="66"/>
      <c r="AN623" s="66"/>
      <c r="AO623" s="66"/>
      <c r="AP623" s="66"/>
      <c r="AQ623" s="66"/>
      <c r="AR623" s="71"/>
      <c r="AS623" s="70"/>
      <c r="AT623" s="66"/>
      <c r="AU623" s="70"/>
      <c r="AV623" s="70"/>
      <c r="AW623" s="66"/>
      <c r="AX623" s="66"/>
      <c r="AY623" s="66"/>
      <c r="AZ623" s="66"/>
      <c r="BA623" s="66"/>
      <c r="BB623" s="66"/>
      <c r="BC623" s="66"/>
      <c r="BD623" s="66"/>
      <c r="BE623" s="66"/>
      <c r="BF623" s="66"/>
      <c r="BG623" s="66"/>
      <c r="BH623" s="24"/>
      <c r="BI623" s="66"/>
      <c r="BL623" s="14"/>
      <c r="BM623" s="14"/>
      <c r="BO623" s="24"/>
      <c r="BP623" s="97"/>
      <c r="BQ623" s="97" t="s">
        <v>401</v>
      </c>
      <c r="BR623" s="97"/>
      <c r="BS623" s="97"/>
      <c r="CE623" s="24"/>
      <c r="CT623" s="14"/>
    </row>
    <row r="624" spans="1:98">
      <c r="A624" s="24"/>
      <c r="B624" s="24"/>
      <c r="H624" s="14"/>
      <c r="P624" s="24"/>
      <c r="W624" s="24"/>
      <c r="AC624" s="14"/>
      <c r="AK624" s="71"/>
      <c r="AL624" s="66"/>
      <c r="AM624" s="66"/>
      <c r="AN624" s="66"/>
      <c r="AO624" s="66"/>
      <c r="AP624" s="66"/>
      <c r="AQ624" s="66"/>
      <c r="AR624" s="71"/>
      <c r="AS624" s="80" t="s">
        <v>458</v>
      </c>
      <c r="AT624" s="70"/>
      <c r="AU624" s="70"/>
      <c r="AV624" s="66"/>
      <c r="AW624" s="66"/>
      <c r="AX624" s="66"/>
      <c r="AY624" s="66"/>
      <c r="AZ624" s="66"/>
      <c r="BA624" s="66"/>
      <c r="BB624" s="66"/>
      <c r="BD624" s="66"/>
      <c r="BE624" s="66"/>
      <c r="BF624" s="66"/>
      <c r="BG624" s="66"/>
      <c r="BH624" s="24"/>
      <c r="BL624" s="14"/>
      <c r="BM624" s="14"/>
      <c r="BO624" s="24"/>
      <c r="CE624" s="24"/>
      <c r="CT624" s="14"/>
    </row>
    <row r="625" spans="1:98">
      <c r="A625" s="24"/>
      <c r="B625" s="24"/>
      <c r="H625" s="14"/>
      <c r="P625" s="28"/>
      <c r="Q625"/>
      <c r="R625"/>
      <c r="S625"/>
      <c r="T625"/>
      <c r="U625"/>
      <c r="V625"/>
      <c r="W625" s="24"/>
      <c r="X625"/>
      <c r="Y625"/>
      <c r="Z625"/>
      <c r="AA625"/>
      <c r="AB625"/>
      <c r="AC625" s="14"/>
      <c r="AD625"/>
      <c r="AE625"/>
      <c r="AF625"/>
      <c r="AG625"/>
      <c r="AH625"/>
      <c r="AI625"/>
      <c r="AJ625"/>
      <c r="AK625" s="28"/>
      <c r="AL625"/>
      <c r="AM625"/>
      <c r="AN625"/>
      <c r="AO625"/>
      <c r="AP625"/>
      <c r="AQ625"/>
      <c r="AR625" s="71"/>
      <c r="AS625" s="70"/>
      <c r="AT625" s="8" t="s">
        <v>186</v>
      </c>
      <c r="AU625" s="8"/>
      <c r="AV625" s="66"/>
      <c r="AW625" s="66"/>
      <c r="AX625" s="66"/>
      <c r="AY625" s="66"/>
      <c r="AZ625" s="66"/>
      <c r="BA625" s="66"/>
      <c r="BB625" s="66"/>
      <c r="BD625"/>
      <c r="BE625"/>
      <c r="BF625" s="66"/>
      <c r="BG625" s="66"/>
      <c r="BH625" s="24"/>
      <c r="BL625" s="14"/>
      <c r="BM625" s="14"/>
      <c r="BO625" s="24"/>
      <c r="CE625" s="24"/>
      <c r="CT625" s="14"/>
    </row>
    <row r="626" spans="1:98">
      <c r="A626" s="24"/>
      <c r="B626" s="24"/>
      <c r="H626" s="14"/>
      <c r="P626" s="24"/>
      <c r="W626" s="24"/>
      <c r="AC626" s="14"/>
      <c r="AK626" s="71"/>
      <c r="AL626" s="66"/>
      <c r="AM626" s="66"/>
      <c r="AN626" s="66"/>
      <c r="AO626" s="66"/>
      <c r="AP626" s="66"/>
      <c r="AQ626" s="66"/>
      <c r="AR626" s="71"/>
      <c r="AS626" s="77"/>
      <c r="AU626" s="8"/>
      <c r="AV626" s="66"/>
      <c r="AW626" s="66"/>
      <c r="AX626" s="66"/>
      <c r="AY626" s="66"/>
      <c r="AZ626" s="66"/>
      <c r="BA626" s="66"/>
      <c r="BB626" s="66"/>
      <c r="BD626" s="66"/>
      <c r="BE626" s="66"/>
      <c r="BF626" s="66"/>
      <c r="BG626" s="66"/>
      <c r="BH626" s="24"/>
      <c r="BL626" s="14"/>
      <c r="BM626" s="14"/>
      <c r="BO626" s="24"/>
      <c r="CE626" s="24"/>
      <c r="CT626" s="14"/>
    </row>
    <row r="627" spans="1:98">
      <c r="A627" s="24"/>
      <c r="B627" s="24"/>
      <c r="H627" s="14"/>
      <c r="P627" s="28"/>
      <c r="Q627"/>
      <c r="R627"/>
      <c r="S627"/>
      <c r="T627"/>
      <c r="U627"/>
      <c r="V627" s="14"/>
      <c r="W627" s="24"/>
      <c r="X627"/>
      <c r="Y627"/>
      <c r="Z627"/>
      <c r="AA627"/>
      <c r="AB627"/>
      <c r="AC627" s="14"/>
      <c r="AD627"/>
      <c r="AE627"/>
      <c r="AF627"/>
      <c r="AG627"/>
      <c r="AH627"/>
      <c r="AI627"/>
      <c r="AJ627"/>
      <c r="AK627" s="28"/>
      <c r="AL627"/>
      <c r="AM627"/>
      <c r="AN627"/>
      <c r="AO627"/>
      <c r="AP627"/>
      <c r="AQ627"/>
      <c r="AR627" s="71"/>
      <c r="AS627" s="66"/>
      <c r="AT627" s="70"/>
      <c r="AV627" s="66"/>
      <c r="AW627" s="66"/>
      <c r="AX627" s="66"/>
      <c r="AY627" s="66"/>
      <c r="AZ627" s="66"/>
      <c r="BA627" s="66"/>
      <c r="BB627" s="66"/>
      <c r="BD627"/>
      <c r="BE627"/>
      <c r="BF627" s="66"/>
      <c r="BG627" s="66"/>
      <c r="BH627" s="24"/>
      <c r="BL627" s="14"/>
      <c r="BM627" s="14"/>
      <c r="BO627" s="24"/>
      <c r="CE627" s="24"/>
      <c r="CT627" s="14"/>
    </row>
    <row r="628" spans="1:98">
      <c r="A628" s="24"/>
      <c r="B628" s="24"/>
      <c r="H628" s="14"/>
      <c r="P628" s="28"/>
      <c r="Q628"/>
      <c r="R628"/>
      <c r="S628"/>
      <c r="T628"/>
      <c r="U628"/>
      <c r="V628" s="14"/>
      <c r="W628" s="24"/>
      <c r="X628"/>
      <c r="Y628"/>
      <c r="Z628"/>
      <c r="AA628"/>
      <c r="AB628"/>
      <c r="AC628" s="14"/>
      <c r="AD628"/>
      <c r="AE628"/>
      <c r="AF628"/>
      <c r="AG628"/>
      <c r="AH628"/>
      <c r="AI628"/>
      <c r="AJ628"/>
      <c r="AK628" s="28"/>
      <c r="AL628"/>
      <c r="AM628"/>
      <c r="AN628"/>
      <c r="AO628"/>
      <c r="AP628"/>
      <c r="AQ628"/>
      <c r="AR628" s="71"/>
      <c r="AS628" s="66"/>
      <c r="AT628" s="70"/>
      <c r="AV628" s="66"/>
      <c r="AW628" s="66"/>
      <c r="AX628" s="66"/>
      <c r="AY628" s="66"/>
      <c r="AZ628" s="66"/>
      <c r="BA628" s="66"/>
      <c r="BB628" s="66"/>
      <c r="BD628"/>
      <c r="BE628"/>
      <c r="BF628" s="66"/>
      <c r="BG628" s="66"/>
      <c r="BH628" s="24"/>
      <c r="BL628" s="14"/>
      <c r="BM628" s="14"/>
      <c r="BO628" s="24"/>
      <c r="CE628" s="24"/>
      <c r="CT628" s="14"/>
    </row>
    <row r="629" spans="1:98">
      <c r="A629" s="24"/>
      <c r="B629" s="24"/>
      <c r="H629" s="14"/>
      <c r="P629" s="28"/>
      <c r="Q629"/>
      <c r="R629"/>
      <c r="S629"/>
      <c r="T629"/>
      <c r="U629"/>
      <c r="V629" s="14"/>
      <c r="W629" s="24"/>
      <c r="X629"/>
      <c r="Y629"/>
      <c r="Z629"/>
      <c r="AA629"/>
      <c r="AB629"/>
      <c r="AC629" s="14"/>
      <c r="AD629"/>
      <c r="AE629"/>
      <c r="AF629"/>
      <c r="AG629"/>
      <c r="AH629"/>
      <c r="AI629"/>
      <c r="AJ629"/>
      <c r="AK629" s="28"/>
      <c r="AL629"/>
      <c r="AM629"/>
      <c r="AN629"/>
      <c r="AO629"/>
      <c r="AP629"/>
      <c r="AQ629"/>
      <c r="AR629" s="71"/>
      <c r="AS629" s="66"/>
      <c r="AT629" s="78"/>
      <c r="AV629" s="66"/>
      <c r="AW629" s="66"/>
      <c r="AX629" s="66"/>
      <c r="AY629" s="66"/>
      <c r="AZ629" s="66"/>
      <c r="BA629" s="66"/>
      <c r="BB629" s="66"/>
      <c r="BD629"/>
      <c r="BE629"/>
      <c r="BF629" s="66"/>
      <c r="BG629" s="66"/>
      <c r="BH629" s="24"/>
      <c r="BL629" s="14"/>
      <c r="BM629" s="14"/>
      <c r="BO629" s="24"/>
      <c r="CE629" s="24"/>
      <c r="CT629" s="14"/>
    </row>
    <row r="630" spans="1:98">
      <c r="A630" s="24"/>
      <c r="B630" s="24"/>
      <c r="H630" s="14"/>
      <c r="P630" s="28"/>
      <c r="Q630"/>
      <c r="R630"/>
      <c r="S630"/>
      <c r="T630"/>
      <c r="U630"/>
      <c r="V630" s="14"/>
      <c r="W630" s="24"/>
      <c r="X630"/>
      <c r="Y630"/>
      <c r="Z630"/>
      <c r="AA630"/>
      <c r="AB630"/>
      <c r="AC630" s="14"/>
      <c r="AD630"/>
      <c r="AE630"/>
      <c r="AF630"/>
      <c r="AG630"/>
      <c r="AH630"/>
      <c r="AI630"/>
      <c r="AJ630"/>
      <c r="AK630" s="28"/>
      <c r="AL630"/>
      <c r="AM630"/>
      <c r="AN630"/>
      <c r="AO630"/>
      <c r="AP630"/>
      <c r="AQ630"/>
      <c r="AR630" s="71"/>
      <c r="AS630" s="80" t="s">
        <v>459</v>
      </c>
      <c r="AT630" s="66"/>
      <c r="AV630" s="66"/>
      <c r="AW630" s="66"/>
      <c r="AX630" s="66"/>
      <c r="AY630" s="66"/>
      <c r="AZ630" s="66"/>
      <c r="BA630" s="66"/>
      <c r="BB630" s="66"/>
      <c r="BD630"/>
      <c r="BE630"/>
      <c r="BF630" s="66"/>
      <c r="BG630" s="66"/>
      <c r="BH630" s="24"/>
      <c r="BL630" s="14"/>
      <c r="BM630" s="14"/>
      <c r="BO630" s="24"/>
      <c r="CE630" s="24"/>
      <c r="CT630" s="14"/>
    </row>
    <row r="631" spans="1:98">
      <c r="A631" s="24"/>
      <c r="B631" s="24"/>
      <c r="H631" s="14"/>
      <c r="P631" s="28"/>
      <c r="Q631"/>
      <c r="R631"/>
      <c r="S631"/>
      <c r="T631"/>
      <c r="U631"/>
      <c r="V631" s="14"/>
      <c r="W631" s="24"/>
      <c r="X631"/>
      <c r="Y631"/>
      <c r="Z631"/>
      <c r="AA631"/>
      <c r="AB631"/>
      <c r="AC631" s="14"/>
      <c r="AD631"/>
      <c r="AE631"/>
      <c r="AF631"/>
      <c r="AG631"/>
      <c r="AH631"/>
      <c r="AI631"/>
      <c r="AJ631"/>
      <c r="AK631" s="28"/>
      <c r="AL631"/>
      <c r="AM631"/>
      <c r="AN631"/>
      <c r="AO631"/>
      <c r="AP631"/>
      <c r="AQ631"/>
      <c r="AR631" s="71"/>
      <c r="AS631" s="77"/>
      <c r="AT631" s="8" t="s">
        <v>188</v>
      </c>
      <c r="AV631" s="66"/>
      <c r="AW631" s="66"/>
      <c r="AX631" s="66"/>
      <c r="AY631" s="66"/>
      <c r="AZ631" s="66"/>
      <c r="BA631" s="66"/>
      <c r="BB631" s="66"/>
      <c r="BC631"/>
      <c r="BD631"/>
      <c r="BE631"/>
      <c r="BF631" s="66"/>
      <c r="BG631" s="66"/>
      <c r="BH631" s="24"/>
      <c r="BL631" s="14"/>
      <c r="BM631" s="14"/>
      <c r="BO631" s="24"/>
      <c r="CE631" s="24"/>
      <c r="CT631" s="14"/>
    </row>
    <row r="632" spans="1:98">
      <c r="A632" s="24"/>
      <c r="B632" s="24"/>
      <c r="H632" s="14"/>
      <c r="P632" s="28"/>
      <c r="Q632"/>
      <c r="R632"/>
      <c r="S632"/>
      <c r="T632"/>
      <c r="U632"/>
      <c r="V632" s="14"/>
      <c r="W632" s="24"/>
      <c r="X632"/>
      <c r="Y632"/>
      <c r="Z632"/>
      <c r="AA632"/>
      <c r="AB632"/>
      <c r="AC632" s="14"/>
      <c r="AD632"/>
      <c r="AE632"/>
      <c r="AF632"/>
      <c r="AG632"/>
      <c r="AH632"/>
      <c r="AI632"/>
      <c r="AJ632"/>
      <c r="AK632" s="28"/>
      <c r="AL632"/>
      <c r="AM632"/>
      <c r="AN632"/>
      <c r="AO632"/>
      <c r="AP632"/>
      <c r="AQ632"/>
      <c r="AR632" s="71"/>
      <c r="AS632" s="66"/>
      <c r="AV632" s="66"/>
      <c r="AW632" s="66"/>
      <c r="AX632" s="66"/>
      <c r="AY632" s="66"/>
      <c r="AZ632" s="66"/>
      <c r="BA632" s="66"/>
      <c r="BB632" s="66"/>
      <c r="BC632"/>
      <c r="BD632"/>
      <c r="BE632"/>
      <c r="BF632" s="66"/>
      <c r="BG632" s="66"/>
      <c r="BH632" s="24"/>
      <c r="BL632" s="14"/>
      <c r="BM632" s="14"/>
      <c r="BO632" s="24"/>
      <c r="CE632" s="24"/>
      <c r="CT632" s="14"/>
    </row>
    <row r="633" spans="1:98">
      <c r="A633" s="24"/>
      <c r="B633" s="24"/>
      <c r="H633" s="14"/>
      <c r="P633" s="28"/>
      <c r="Q633"/>
      <c r="R633"/>
      <c r="S633"/>
      <c r="T633"/>
      <c r="U633"/>
      <c r="V633" s="14"/>
      <c r="W633" s="24"/>
      <c r="X633"/>
      <c r="Y633"/>
      <c r="Z633"/>
      <c r="AA633"/>
      <c r="AB633"/>
      <c r="AC633" s="14"/>
      <c r="AD633"/>
      <c r="AE633"/>
      <c r="AF633"/>
      <c r="AG633"/>
      <c r="AH633"/>
      <c r="AI633"/>
      <c r="AJ633"/>
      <c r="AK633" s="28"/>
      <c r="AL633"/>
      <c r="AM633"/>
      <c r="AN633"/>
      <c r="AO633"/>
      <c r="AP633"/>
      <c r="AQ633"/>
      <c r="AR633" s="71"/>
      <c r="AS633" s="66"/>
      <c r="AV633" s="66"/>
      <c r="AW633" s="66"/>
      <c r="AX633" s="66"/>
      <c r="AY633" s="66"/>
      <c r="AZ633" s="66"/>
      <c r="BA633" s="66"/>
      <c r="BB633" s="66"/>
      <c r="BC633"/>
      <c r="BD633"/>
      <c r="BE633"/>
      <c r="BF633" s="66"/>
      <c r="BG633" s="66"/>
      <c r="BH633" s="24"/>
      <c r="BL633" s="14"/>
      <c r="BM633" s="14"/>
      <c r="BO633" s="24"/>
      <c r="CE633" s="24"/>
      <c r="CT633" s="14"/>
    </row>
    <row r="634" spans="1:98">
      <c r="A634" s="24"/>
      <c r="B634" s="24"/>
      <c r="H634" s="14"/>
      <c r="P634" s="28"/>
      <c r="Q634"/>
      <c r="R634"/>
      <c r="S634"/>
      <c r="T634"/>
      <c r="U634"/>
      <c r="V634" s="14"/>
      <c r="W634" s="24"/>
      <c r="X634"/>
      <c r="Y634"/>
      <c r="Z634"/>
      <c r="AA634"/>
      <c r="AB634"/>
      <c r="AC634" s="14"/>
      <c r="AD634"/>
      <c r="AE634"/>
      <c r="AF634"/>
      <c r="AG634"/>
      <c r="AH634"/>
      <c r="AI634"/>
      <c r="AJ634"/>
      <c r="AK634" s="28"/>
      <c r="AL634"/>
      <c r="AM634"/>
      <c r="AN634"/>
      <c r="AO634"/>
      <c r="AP634"/>
      <c r="AQ634"/>
      <c r="AR634" s="71"/>
      <c r="AS634" s="66"/>
      <c r="AT634" s="70"/>
      <c r="AV634" s="66"/>
      <c r="AW634" s="66"/>
      <c r="AX634" s="66"/>
      <c r="AY634" s="66"/>
      <c r="AZ634" s="66"/>
      <c r="BA634" s="66"/>
      <c r="BB634" s="66"/>
      <c r="BC634" s="66"/>
      <c r="BD634"/>
      <c r="BE634"/>
      <c r="BF634" s="66"/>
      <c r="BG634" s="66"/>
      <c r="BH634" s="24"/>
      <c r="BL634" s="14"/>
      <c r="BM634" s="14"/>
      <c r="BO634" s="24"/>
      <c r="CE634" s="24"/>
      <c r="CT634" s="14"/>
    </row>
    <row r="635" spans="1:98">
      <c r="A635" s="24"/>
      <c r="B635" s="24"/>
      <c r="H635" s="14"/>
      <c r="P635" s="28"/>
      <c r="Q635"/>
      <c r="R635"/>
      <c r="S635"/>
      <c r="T635"/>
      <c r="U635"/>
      <c r="V635" s="14"/>
      <c r="W635" s="24"/>
      <c r="X635"/>
      <c r="Y635"/>
      <c r="Z635"/>
      <c r="AA635"/>
      <c r="AB635"/>
      <c r="AC635" s="14"/>
      <c r="AD635"/>
      <c r="AE635"/>
      <c r="AF635"/>
      <c r="AG635"/>
      <c r="AH635"/>
      <c r="AI635"/>
      <c r="AJ635"/>
      <c r="AK635" s="28"/>
      <c r="AL635"/>
      <c r="AM635"/>
      <c r="AN635"/>
      <c r="AO635"/>
      <c r="AP635"/>
      <c r="AQ635"/>
      <c r="AR635" s="71"/>
      <c r="AU635" s="8"/>
      <c r="AZ635" s="66"/>
      <c r="BA635" s="66"/>
      <c r="BB635" s="66"/>
      <c r="BC635" s="21"/>
      <c r="BD635"/>
      <c r="BE635"/>
      <c r="BF635" s="66"/>
      <c r="BG635" s="66"/>
      <c r="BH635" s="24"/>
      <c r="BL635" s="14"/>
      <c r="BM635" s="14"/>
      <c r="BO635" s="24"/>
      <c r="CE635" s="24"/>
      <c r="CT635" s="14"/>
    </row>
    <row r="636" spans="1:98">
      <c r="A636" s="24"/>
      <c r="B636" s="28"/>
      <c r="C636"/>
      <c r="D636"/>
      <c r="E636"/>
      <c r="F636"/>
      <c r="G636"/>
      <c r="H636" s="19"/>
      <c r="P636" s="24"/>
      <c r="W636" s="24"/>
      <c r="AC636" s="14"/>
      <c r="AK636" s="71"/>
      <c r="AL636" s="66"/>
      <c r="AM636" s="66"/>
      <c r="AN636" s="66"/>
      <c r="AO636" s="66"/>
      <c r="AP636" s="66"/>
      <c r="AQ636" s="66"/>
      <c r="AR636" s="71"/>
      <c r="AU636" s="8"/>
      <c r="AZ636" s="66"/>
      <c r="BA636" s="66"/>
      <c r="BB636" s="66"/>
      <c r="BC636" s="11"/>
      <c r="BD636" s="66"/>
      <c r="BE636" s="66"/>
      <c r="BF636" s="66"/>
      <c r="BG636" s="66"/>
      <c r="BH636" s="24"/>
      <c r="BL636" s="14"/>
      <c r="BM636" s="14"/>
      <c r="BO636" s="24"/>
      <c r="CE636" s="24"/>
      <c r="CT636" s="14"/>
    </row>
    <row r="637" spans="1:98">
      <c r="A637" s="24"/>
      <c r="B637" s="28"/>
      <c r="C637"/>
      <c r="D637"/>
      <c r="E637"/>
      <c r="F637"/>
      <c r="G637"/>
      <c r="H637" s="19"/>
      <c r="P637" s="24"/>
      <c r="W637" s="24"/>
      <c r="AC637" s="14"/>
      <c r="AK637" s="71"/>
      <c r="AL637" s="66"/>
      <c r="AM637" s="66"/>
      <c r="AN637" s="66"/>
      <c r="AO637" s="66"/>
      <c r="AP637" s="66"/>
      <c r="AQ637" s="66"/>
      <c r="AR637" s="71"/>
      <c r="AU637" s="8"/>
      <c r="AZ637"/>
      <c r="BA637"/>
      <c r="BB637"/>
      <c r="BC637" s="11"/>
      <c r="BD637" s="66"/>
      <c r="BE637" s="66"/>
      <c r="BF637" s="66"/>
      <c r="BG637" s="66"/>
      <c r="BH637" s="24"/>
      <c r="BL637" s="14"/>
      <c r="BM637" s="14"/>
      <c r="BO637" s="24"/>
      <c r="CE637" s="24"/>
      <c r="CT637" s="14"/>
    </row>
    <row r="638" spans="1:98">
      <c r="A638" s="24"/>
      <c r="B638" s="29"/>
      <c r="C638" s="11"/>
      <c r="D638" s="11"/>
      <c r="E638" s="11"/>
      <c r="F638" s="11"/>
      <c r="G638" s="11"/>
      <c r="H638" s="13"/>
      <c r="P638" s="24"/>
      <c r="W638" s="24"/>
      <c r="AC638" s="14"/>
      <c r="AK638" s="71"/>
      <c r="AL638" s="66"/>
      <c r="AM638" s="66"/>
      <c r="AN638" s="66"/>
      <c r="AO638" s="66"/>
      <c r="AP638" s="66"/>
      <c r="AQ638" s="66"/>
      <c r="AR638" s="71"/>
      <c r="AU638" s="8"/>
      <c r="AZ638"/>
      <c r="BA638"/>
      <c r="BB638"/>
      <c r="BC638" s="11"/>
      <c r="BD638" s="66"/>
      <c r="BE638" s="66"/>
      <c r="BF638" s="66"/>
      <c r="BG638" s="66"/>
      <c r="BH638" s="24"/>
      <c r="BL638" s="14"/>
      <c r="BM638" s="14"/>
      <c r="BO638" s="24"/>
      <c r="CE638" s="24"/>
      <c r="CT638" s="14"/>
    </row>
    <row r="639" spans="1:98">
      <c r="A639" s="24"/>
      <c r="B639" s="24"/>
      <c r="H639" s="14"/>
      <c r="P639" s="24"/>
      <c r="W639" s="24"/>
      <c r="AC639" s="14"/>
      <c r="AK639" s="71"/>
      <c r="AL639" s="66"/>
      <c r="AM639" s="66"/>
      <c r="AN639" s="66"/>
      <c r="AO639" s="66"/>
      <c r="AP639" s="66"/>
      <c r="AQ639" s="66"/>
      <c r="AR639" s="71"/>
      <c r="AS639" s="16" t="s">
        <v>460</v>
      </c>
      <c r="AU639" s="8"/>
      <c r="AY639" s="66"/>
      <c r="AZ639"/>
      <c r="BA639"/>
      <c r="BB639"/>
      <c r="BD639" s="66"/>
      <c r="BE639" s="66"/>
      <c r="BF639" s="66"/>
      <c r="BG639" s="66"/>
      <c r="BH639" s="24"/>
      <c r="BL639" s="14"/>
      <c r="BM639" s="14"/>
      <c r="BO639" s="24"/>
      <c r="CE639" s="24"/>
      <c r="CT639" s="14"/>
    </row>
    <row r="640" spans="1:98">
      <c r="A640" s="24"/>
      <c r="B640" s="24"/>
      <c r="H640" s="14"/>
      <c r="P640" s="24"/>
      <c r="W640" s="24"/>
      <c r="AC640" s="14"/>
      <c r="AK640" s="71"/>
      <c r="AL640" s="66"/>
      <c r="AM640" s="66"/>
      <c r="AN640" s="66"/>
      <c r="AO640" s="66"/>
      <c r="AP640" s="66"/>
      <c r="AQ640" s="66"/>
      <c r="AR640" s="71"/>
      <c r="AT640" s="8" t="s">
        <v>405</v>
      </c>
      <c r="AU640" s="8"/>
      <c r="AY640" s="66"/>
      <c r="AZ640" s="66"/>
      <c r="BA640" s="66"/>
      <c r="BB640" s="66"/>
      <c r="BC640" s="66"/>
      <c r="BD640" s="66"/>
      <c r="BE640" s="66"/>
      <c r="BF640" s="66"/>
      <c r="BG640" s="66"/>
      <c r="BH640" s="24"/>
      <c r="BL640" s="14"/>
      <c r="BM640" s="14"/>
      <c r="BO640" s="24"/>
      <c r="CE640" s="24"/>
      <c r="CT640" s="14"/>
    </row>
    <row r="641" spans="1:98">
      <c r="A641" s="24"/>
      <c r="B641" s="24"/>
      <c r="H641" s="14"/>
      <c r="P641" s="24"/>
      <c r="W641" s="24"/>
      <c r="AC641" s="14"/>
      <c r="AK641" s="71"/>
      <c r="AL641" s="66"/>
      <c r="AM641" s="66"/>
      <c r="AN641" s="66"/>
      <c r="AO641" s="66"/>
      <c r="AP641" s="66"/>
      <c r="AQ641" s="66"/>
      <c r="AR641" s="71"/>
      <c r="AT641" s="8" t="s">
        <v>191</v>
      </c>
      <c r="AU641" s="8"/>
      <c r="AY641"/>
      <c r="AZ641" s="66"/>
      <c r="BA641" s="66"/>
      <c r="BB641" s="66"/>
      <c r="BC641" s="66"/>
      <c r="BD641" s="66"/>
      <c r="BE641" s="66"/>
      <c r="BF641" s="66"/>
      <c r="BG641" s="66"/>
      <c r="BH641" s="24"/>
      <c r="BL641" s="14"/>
      <c r="BM641" s="14"/>
      <c r="BO641" s="24"/>
      <c r="CE641" s="24"/>
      <c r="CT641" s="14"/>
    </row>
    <row r="642" spans="1:98">
      <c r="A642" s="24"/>
      <c r="B642" s="24"/>
      <c r="H642" s="14"/>
      <c r="P642" s="24"/>
      <c r="W642" s="24"/>
      <c r="AC642" s="14"/>
      <c r="AK642" s="71"/>
      <c r="AL642" s="66"/>
      <c r="AM642" s="66"/>
      <c r="AN642" s="66"/>
      <c r="AO642" s="66"/>
      <c r="AP642" s="66"/>
      <c r="AQ642" s="66"/>
      <c r="AR642" s="71"/>
      <c r="AS642" s="66"/>
      <c r="AT642" s="66" t="s">
        <v>406</v>
      </c>
      <c r="AV642" s="66"/>
      <c r="AW642"/>
      <c r="AX642"/>
      <c r="AY642"/>
      <c r="AZ642" s="66"/>
      <c r="BA642" s="66"/>
      <c r="BB642" s="66"/>
      <c r="BC642" s="66"/>
      <c r="BD642" s="66"/>
      <c r="BE642" s="66"/>
      <c r="BF642" s="66"/>
      <c r="BG642" s="66"/>
      <c r="BH642" s="24"/>
      <c r="BL642" s="14"/>
      <c r="BM642" s="14"/>
      <c r="BO642" s="24"/>
      <c r="CE642" s="24"/>
      <c r="CT642" s="14"/>
    </row>
    <row r="643" spans="1:98">
      <c r="A643" s="24"/>
      <c r="B643" s="24"/>
      <c r="H643" s="14"/>
      <c r="P643" s="24"/>
      <c r="W643" s="24"/>
      <c r="AC643" s="14"/>
      <c r="AK643" s="71"/>
      <c r="AL643" s="66"/>
      <c r="AM643" s="66"/>
      <c r="AN643" s="66"/>
      <c r="AO643" s="66"/>
      <c r="AP643" s="66"/>
      <c r="AQ643" s="66"/>
      <c r="AR643" s="71"/>
      <c r="AS643" s="66"/>
      <c r="AT643" s="66"/>
      <c r="AV643" s="66"/>
      <c r="AW643" s="66"/>
      <c r="AX643" s="66"/>
      <c r="AY643" s="66"/>
      <c r="AZ643" s="66"/>
      <c r="BA643" s="66"/>
      <c r="BB643" s="66"/>
      <c r="BC643" s="66"/>
      <c r="BD643" s="66"/>
      <c r="BE643" s="66"/>
      <c r="BF643" s="66"/>
      <c r="BG643" s="66"/>
      <c r="BH643" s="24"/>
      <c r="BL643" s="14"/>
      <c r="BM643" s="14"/>
      <c r="BO643" s="24"/>
      <c r="CE643" s="24"/>
      <c r="CT643" s="14"/>
    </row>
    <row r="644" spans="1:98">
      <c r="A644" s="24"/>
      <c r="B644" s="24"/>
      <c r="H644" s="14"/>
      <c r="P644" s="24"/>
      <c r="W644" s="24"/>
      <c r="AC644" s="14"/>
      <c r="AK644" s="71"/>
      <c r="AL644" s="66"/>
      <c r="AM644" s="66"/>
      <c r="AN644" s="66"/>
      <c r="AO644" s="66"/>
      <c r="AP644" s="66"/>
      <c r="AQ644" s="66"/>
      <c r="AR644" s="71"/>
      <c r="AS644" s="76" t="s">
        <v>461</v>
      </c>
      <c r="AT644" s="66"/>
      <c r="AV644"/>
      <c r="AW644"/>
      <c r="AX644"/>
      <c r="AY644"/>
      <c r="AZ644"/>
      <c r="BA644"/>
      <c r="BB644"/>
      <c r="BC644" s="66"/>
      <c r="BD644" s="66"/>
      <c r="BE644" s="66"/>
      <c r="BF644" s="66"/>
      <c r="BG644" s="66"/>
      <c r="BH644" s="24"/>
      <c r="BL644" s="14"/>
      <c r="BM644" s="14"/>
      <c r="BO644" s="24"/>
      <c r="CE644" s="24"/>
      <c r="CT644" s="14"/>
    </row>
    <row r="645" spans="1:98">
      <c r="A645" s="24"/>
      <c r="B645" s="24"/>
      <c r="H645" s="14"/>
      <c r="P645" s="24"/>
      <c r="W645" s="24"/>
      <c r="AC645" s="14"/>
      <c r="AK645" s="71"/>
      <c r="AL645" s="66"/>
      <c r="AM645" s="66"/>
      <c r="AN645" s="66"/>
      <c r="AO645" s="66"/>
      <c r="AP645" s="66"/>
      <c r="AQ645" s="66"/>
      <c r="AR645" s="71"/>
      <c r="AS645" s="66"/>
      <c r="AT645" s="8" t="s">
        <v>194</v>
      </c>
      <c r="AU645" s="8"/>
      <c r="AZ645"/>
      <c r="BA645"/>
      <c r="BB645"/>
      <c r="BC645"/>
      <c r="BD645" s="66"/>
      <c r="BE645" s="66"/>
      <c r="BF645" s="66"/>
      <c r="BG645" s="66"/>
      <c r="BH645" s="24"/>
      <c r="BL645" s="14"/>
      <c r="BM645" s="14"/>
      <c r="BO645" s="24"/>
      <c r="CE645" s="24"/>
      <c r="CT645" s="14"/>
    </row>
    <row r="646" spans="1:98">
      <c r="A646" s="24"/>
      <c r="B646" s="24"/>
      <c r="H646" s="14"/>
      <c r="P646" s="24"/>
      <c r="W646" s="24"/>
      <c r="AC646" s="14"/>
      <c r="AK646" s="71"/>
      <c r="AL646" s="66"/>
      <c r="AM646" s="66"/>
      <c r="AN646" s="66"/>
      <c r="AO646" s="66"/>
      <c r="AP646" s="66"/>
      <c r="AQ646" s="66"/>
      <c r="AR646" s="71"/>
      <c r="AS646" s="66"/>
      <c r="AT646" s="8" t="s">
        <v>195</v>
      </c>
      <c r="AU646" s="8"/>
      <c r="AZ646"/>
      <c r="BA646"/>
      <c r="BB646"/>
      <c r="BC646" s="66"/>
      <c r="BD646" s="66"/>
      <c r="BE646" s="66"/>
      <c r="BF646" s="66"/>
      <c r="BG646" s="66"/>
      <c r="BH646" s="24"/>
      <c r="BL646" s="14"/>
      <c r="BM646" s="14"/>
      <c r="BO646" s="24"/>
      <c r="CE646" s="24"/>
      <c r="CT646" s="14"/>
    </row>
    <row r="647" spans="1:98">
      <c r="A647" s="24"/>
      <c r="B647" s="24"/>
      <c r="H647" s="14"/>
      <c r="P647" s="24"/>
      <c r="W647" s="24"/>
      <c r="AC647" s="14"/>
      <c r="AK647" s="71"/>
      <c r="AL647" s="66"/>
      <c r="AM647" s="66"/>
      <c r="AN647" s="66"/>
      <c r="AO647" s="66"/>
      <c r="AP647" s="66"/>
      <c r="AQ647" s="66"/>
      <c r="AR647" s="71"/>
      <c r="AS647" s="66"/>
      <c r="AT647" s="66" t="s">
        <v>462</v>
      </c>
      <c r="AV647"/>
      <c r="AW647"/>
      <c r="AX647"/>
      <c r="AY647"/>
      <c r="AZ647" s="66"/>
      <c r="BA647" s="66"/>
      <c r="BB647" s="66"/>
      <c r="BC647"/>
      <c r="BD647" s="66"/>
      <c r="BE647" s="66"/>
      <c r="BF647" s="66"/>
      <c r="BG647" s="66"/>
      <c r="BH647" s="24"/>
      <c r="BL647" s="14"/>
      <c r="BM647" s="14"/>
      <c r="BO647" s="24"/>
      <c r="CE647" s="24"/>
      <c r="CT647" s="14"/>
    </row>
    <row r="648" spans="1:98">
      <c r="A648" s="24"/>
      <c r="B648" s="24"/>
      <c r="H648" s="14"/>
      <c r="P648" s="24"/>
      <c r="W648" s="24"/>
      <c r="AC648" s="14"/>
      <c r="AK648" s="71"/>
      <c r="AL648" s="66"/>
      <c r="AM648" s="66"/>
      <c r="AN648" s="66"/>
      <c r="AO648" s="66"/>
      <c r="AP648" s="66"/>
      <c r="AQ648" s="66"/>
      <c r="AR648" s="71"/>
      <c r="AS648" s="66"/>
      <c r="AT648" s="66" t="s">
        <v>463</v>
      </c>
      <c r="AV648"/>
      <c r="AW648"/>
      <c r="AX648"/>
      <c r="AY648"/>
      <c r="AZ648" s="66"/>
      <c r="BA648" s="66"/>
      <c r="BB648" s="66"/>
      <c r="BC648"/>
      <c r="BD648" s="66"/>
      <c r="BE648" s="66"/>
      <c r="BF648" s="66"/>
      <c r="BG648" s="66"/>
      <c r="BH648" s="24"/>
      <c r="BL648" s="14"/>
      <c r="BM648" s="14"/>
      <c r="BO648" s="24"/>
      <c r="CE648" s="24"/>
      <c r="CT648" s="14"/>
    </row>
    <row r="649" spans="1:98">
      <c r="A649" s="24"/>
      <c r="B649" s="24"/>
      <c r="H649" s="14"/>
      <c r="P649" s="24"/>
      <c r="W649" s="24"/>
      <c r="AC649" s="14"/>
      <c r="AK649" s="71"/>
      <c r="AL649" s="66"/>
      <c r="AM649" s="66"/>
      <c r="AN649" s="66"/>
      <c r="AO649" s="66"/>
      <c r="AP649" s="66"/>
      <c r="AQ649" s="66"/>
      <c r="AR649" s="71"/>
      <c r="AT649" s="66"/>
      <c r="AV649" s="66"/>
      <c r="AW649" s="66"/>
      <c r="AX649" s="66"/>
      <c r="AY649" s="66"/>
      <c r="BC649"/>
      <c r="BD649" s="66"/>
      <c r="BE649" s="66"/>
      <c r="BF649" s="66"/>
      <c r="BG649" s="66"/>
      <c r="BH649" s="24"/>
      <c r="BL649" s="14"/>
      <c r="BM649" s="14"/>
      <c r="BO649" s="24"/>
      <c r="CE649" s="24"/>
      <c r="CT649" s="14"/>
    </row>
    <row r="650" spans="1:98">
      <c r="A650" s="24"/>
      <c r="B650" s="24"/>
      <c r="H650" s="14"/>
      <c r="P650" s="24"/>
      <c r="W650" s="24"/>
      <c r="AC650" s="14"/>
      <c r="AK650" s="71"/>
      <c r="AL650" s="66"/>
      <c r="AM650" s="66"/>
      <c r="AN650" s="66"/>
      <c r="AO650" s="66"/>
      <c r="AP650" s="66"/>
      <c r="AQ650" s="66"/>
      <c r="AR650" s="71"/>
      <c r="AT650" s="66"/>
      <c r="AV650" s="66"/>
      <c r="AW650" s="66"/>
      <c r="AX650" s="66"/>
      <c r="AY650" s="66"/>
      <c r="BC650"/>
      <c r="BD650" s="66"/>
      <c r="BE650" s="66"/>
      <c r="BF650" s="66"/>
      <c r="BG650" s="66"/>
      <c r="BH650" s="24"/>
      <c r="BL650" s="14"/>
      <c r="BM650" s="14"/>
      <c r="BO650" s="24"/>
      <c r="CE650" s="24"/>
      <c r="CT650" s="14"/>
    </row>
    <row r="651" spans="1:98">
      <c r="A651" s="24"/>
      <c r="B651" s="24"/>
      <c r="H651" s="14"/>
      <c r="P651" s="24"/>
      <c r="W651" s="24"/>
      <c r="AC651" s="14"/>
      <c r="AK651" s="71"/>
      <c r="AL651" s="66"/>
      <c r="AM651" s="66"/>
      <c r="AN651" s="66"/>
      <c r="AO651" s="66"/>
      <c r="AP651" s="66"/>
      <c r="AQ651" s="66"/>
      <c r="AR651" s="71"/>
      <c r="AT651" s="66"/>
      <c r="AV651" s="66"/>
      <c r="AW651" s="66"/>
      <c r="AX651" s="66"/>
      <c r="AY651" s="66"/>
      <c r="BC651"/>
      <c r="BD651" s="66"/>
      <c r="BE651" s="66"/>
      <c r="BF651" s="66"/>
      <c r="BG651" s="66"/>
      <c r="BH651" s="24"/>
      <c r="BL651" s="14"/>
      <c r="BM651" s="14"/>
      <c r="BO651" s="24"/>
      <c r="CE651" s="24"/>
      <c r="CT651" s="14"/>
    </row>
    <row r="652" spans="1:98">
      <c r="A652" s="24"/>
      <c r="B652" s="24"/>
      <c r="H652" s="14"/>
      <c r="P652" s="24"/>
      <c r="W652" s="24"/>
      <c r="AC652" s="14"/>
      <c r="AK652" s="71"/>
      <c r="AL652" s="66"/>
      <c r="AM652" s="66"/>
      <c r="AN652" s="66"/>
      <c r="AO652" s="66"/>
      <c r="AP652" s="66"/>
      <c r="AQ652" s="66"/>
      <c r="AR652" s="71"/>
      <c r="AS652" s="66"/>
      <c r="AT652" s="66"/>
      <c r="AV652" s="66"/>
      <c r="AW652" s="66"/>
      <c r="AX652" s="66"/>
      <c r="AY652" s="66"/>
      <c r="AZ652" s="66"/>
      <c r="BA652" s="66"/>
      <c r="BB652" s="66"/>
      <c r="BC652" s="66"/>
      <c r="BD652" s="66"/>
      <c r="BE652" s="66"/>
      <c r="BF652" s="66"/>
      <c r="BG652" s="66"/>
      <c r="BH652" s="24"/>
      <c r="BL652" s="14"/>
      <c r="BM652" s="14"/>
      <c r="BO652" s="24"/>
      <c r="CE652" s="24"/>
      <c r="CT652" s="14"/>
    </row>
    <row r="653" spans="1:98">
      <c r="A653" s="24"/>
      <c r="B653" s="24"/>
      <c r="H653" s="14"/>
      <c r="P653" s="24"/>
      <c r="W653" s="24"/>
      <c r="AC653" s="14"/>
      <c r="AK653" s="71"/>
      <c r="AL653" s="66"/>
      <c r="AM653" s="66"/>
      <c r="AN653" s="66"/>
      <c r="AO653" s="66"/>
      <c r="AP653" s="66"/>
      <c r="AQ653" s="66"/>
      <c r="AR653" s="71"/>
      <c r="AS653" s="80"/>
      <c r="AT653" s="70"/>
      <c r="AU653" s="70"/>
      <c r="AV653" s="70"/>
      <c r="AW653" s="66"/>
      <c r="AX653" s="66"/>
      <c r="AY653" s="66"/>
      <c r="AZ653" s="66"/>
      <c r="BA653" s="66"/>
      <c r="BB653" s="66"/>
      <c r="BC653" s="66"/>
      <c r="BD653" s="66"/>
      <c r="BE653" s="66"/>
      <c r="BF653" s="66"/>
      <c r="BG653" s="66"/>
      <c r="BH653" s="24"/>
      <c r="BL653" s="14"/>
      <c r="BM653" s="14"/>
      <c r="BO653" s="24"/>
      <c r="CE653" s="24"/>
      <c r="CT653" s="14"/>
    </row>
    <row r="654" spans="1:98">
      <c r="A654" s="24"/>
      <c r="B654" s="24"/>
      <c r="H654" s="14"/>
      <c r="P654" s="24"/>
      <c r="W654" s="24"/>
      <c r="AC654" s="14"/>
      <c r="AK654" s="71"/>
      <c r="AL654" s="66"/>
      <c r="AM654" s="66"/>
      <c r="AN654" s="66"/>
      <c r="AO654" s="66"/>
      <c r="AP654" s="66"/>
      <c r="AQ654" s="66"/>
      <c r="AR654" s="71"/>
      <c r="AS654" s="70"/>
      <c r="AT654" s="66"/>
      <c r="AU654" s="70"/>
      <c r="AV654" s="70"/>
      <c r="AW654" s="66"/>
      <c r="AX654" s="66"/>
      <c r="AY654" s="66"/>
      <c r="AZ654" s="66"/>
      <c r="BA654" s="66"/>
      <c r="BB654" s="66"/>
      <c r="BC654" s="66"/>
      <c r="BD654" s="66"/>
      <c r="BE654" s="66"/>
      <c r="BF654" s="66"/>
      <c r="BG654" s="66"/>
      <c r="BH654" s="24"/>
      <c r="BL654" s="14"/>
      <c r="BM654" s="14"/>
      <c r="BO654" s="24"/>
      <c r="CE654" s="24"/>
      <c r="CT654" s="14"/>
    </row>
    <row r="655" spans="1:98">
      <c r="A655" s="24"/>
      <c r="B655" s="24"/>
      <c r="H655" s="14"/>
      <c r="P655" s="24"/>
      <c r="W655" s="24"/>
      <c r="AC655" s="14"/>
      <c r="AK655" s="71"/>
      <c r="AL655" s="66"/>
      <c r="AM655" s="66"/>
      <c r="AN655" s="66"/>
      <c r="AO655" s="66"/>
      <c r="AP655" s="66"/>
      <c r="AQ655" s="66"/>
      <c r="AR655" s="71"/>
      <c r="AS655" s="70"/>
      <c r="AT655" s="66"/>
      <c r="AU655" s="70"/>
      <c r="AV655" s="70"/>
      <c r="AW655" s="66"/>
      <c r="AX655" s="66"/>
      <c r="AY655" s="66"/>
      <c r="AZ655" s="66"/>
      <c r="BA655" s="66"/>
      <c r="BB655" s="66"/>
      <c r="BC655" s="66"/>
      <c r="BD655" s="66"/>
      <c r="BE655" s="66"/>
      <c r="BF655" s="66"/>
      <c r="BG655" s="66"/>
      <c r="BH655" s="24"/>
      <c r="BL655" s="14"/>
      <c r="BM655" s="14"/>
      <c r="BO655" s="24"/>
      <c r="CE655" s="24"/>
      <c r="CT655" s="14"/>
    </row>
    <row r="656" spans="1:98">
      <c r="A656" s="24"/>
      <c r="B656" s="24"/>
      <c r="H656" s="14"/>
      <c r="P656" s="24"/>
      <c r="W656" s="24"/>
      <c r="AC656" s="14"/>
      <c r="AK656" s="71"/>
      <c r="AL656" s="66"/>
      <c r="AM656" s="66"/>
      <c r="AN656" s="66"/>
      <c r="AO656" s="66"/>
      <c r="AP656" s="66"/>
      <c r="AQ656" s="66"/>
      <c r="AR656" s="71"/>
      <c r="AS656" s="70"/>
      <c r="AT656" s="66"/>
      <c r="AU656" s="70"/>
      <c r="AV656" s="70"/>
      <c r="AW656" s="66"/>
      <c r="AX656" s="66"/>
      <c r="AY656" s="66"/>
      <c r="AZ656" s="66"/>
      <c r="BA656" s="66"/>
      <c r="BB656" s="66"/>
      <c r="BC656" s="66"/>
      <c r="BD656" s="66"/>
      <c r="BE656" s="66"/>
      <c r="BF656" s="66"/>
      <c r="BG656" s="66"/>
      <c r="BH656" s="24"/>
      <c r="BL656" s="14"/>
      <c r="BM656" s="14"/>
      <c r="BO656" s="24"/>
      <c r="CE656" s="24"/>
      <c r="CT656" s="14"/>
    </row>
    <row r="657" spans="1:98" s="11" customFormat="1">
      <c r="A657" s="25"/>
      <c r="B657" s="26" t="s">
        <v>464</v>
      </c>
      <c r="C657" s="23"/>
      <c r="D657" s="23"/>
      <c r="E657" s="23"/>
      <c r="F657" s="23"/>
      <c r="G657" s="23"/>
      <c r="H657" s="23"/>
      <c r="I657" s="23"/>
      <c r="J657" s="23"/>
      <c r="K657" s="23"/>
      <c r="L657" s="23"/>
      <c r="M657" s="23"/>
      <c r="N657" s="23"/>
      <c r="O657" s="23"/>
      <c r="P657" s="23"/>
      <c r="Q657" s="23"/>
      <c r="R657" s="23"/>
      <c r="S657" s="23"/>
      <c r="T657" s="23"/>
      <c r="U657" s="23"/>
      <c r="V657" s="23"/>
      <c r="W657" s="30"/>
      <c r="X657" s="23"/>
      <c r="Y657" s="23"/>
      <c r="Z657" s="23"/>
      <c r="AA657" s="23"/>
      <c r="AB657" s="23"/>
      <c r="AC657" s="23"/>
      <c r="AD657" s="23"/>
      <c r="AE657" s="23"/>
      <c r="AF657" s="23"/>
      <c r="AG657" s="23"/>
      <c r="AH657" s="23"/>
      <c r="AI657" s="23"/>
      <c r="AJ657" s="23"/>
      <c r="AK657" s="30"/>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13"/>
      <c r="BO657" s="24"/>
      <c r="BP657" s="8"/>
      <c r="BQ657" s="8"/>
      <c r="BR657" s="8"/>
      <c r="BS657" s="8"/>
      <c r="BT657" s="8"/>
      <c r="BU657" s="8"/>
      <c r="BV657" s="8"/>
      <c r="BW657" s="8"/>
      <c r="BX657" s="8"/>
      <c r="BY657" s="8"/>
      <c r="BZ657" s="8"/>
      <c r="CA657" s="8"/>
      <c r="CB657" s="8"/>
      <c r="CC657" s="8"/>
      <c r="CD657" s="8"/>
      <c r="CE657" s="24"/>
      <c r="CF657" s="8"/>
      <c r="CG657" s="8"/>
      <c r="CH657" s="8"/>
      <c r="CI657" s="8"/>
      <c r="CJ657" s="8"/>
      <c r="CK657" s="8"/>
      <c r="CL657" s="8"/>
      <c r="CM657" s="8"/>
      <c r="CN657" s="8"/>
      <c r="CO657" s="8"/>
      <c r="CP657" s="8"/>
      <c r="CQ657" s="8"/>
      <c r="CR657" s="8"/>
      <c r="CS657" s="8"/>
      <c r="CT657" s="14"/>
    </row>
    <row r="658" spans="1:98" s="11" customFormat="1">
      <c r="A658" s="25"/>
      <c r="B658" s="24"/>
      <c r="C658" s="8"/>
      <c r="D658" s="8"/>
      <c r="E658" s="8"/>
      <c r="F658" s="8"/>
      <c r="G658" s="8"/>
      <c r="H658" s="14"/>
      <c r="P658" s="24"/>
      <c r="Q658" s="8"/>
      <c r="R658" s="8"/>
      <c r="S658" s="8"/>
      <c r="T658" s="8"/>
      <c r="U658" s="8"/>
      <c r="V658" s="8"/>
      <c r="W658" s="24"/>
      <c r="X658" s="8"/>
      <c r="Y658" s="8"/>
      <c r="Z658" s="8"/>
      <c r="AA658" s="8"/>
      <c r="AB658" s="8"/>
      <c r="AC658" s="14"/>
      <c r="AD658" s="8"/>
      <c r="AE658" s="8"/>
      <c r="AF658" s="8"/>
      <c r="AG658" s="8"/>
      <c r="AH658" s="8"/>
      <c r="AI658" s="8"/>
      <c r="AJ658" s="8"/>
      <c r="AK658" s="71"/>
      <c r="AL658" s="66"/>
      <c r="AM658" s="66"/>
      <c r="AN658" s="66"/>
      <c r="AO658" s="66"/>
      <c r="AP658" s="66"/>
      <c r="AQ658" s="66"/>
      <c r="AR658" s="71"/>
      <c r="AS658" s="66"/>
      <c r="AT658" s="66"/>
      <c r="AU658" s="66"/>
      <c r="AV658" s="66"/>
      <c r="AW658" s="66"/>
      <c r="AX658" s="66"/>
      <c r="AY658" s="66"/>
      <c r="AZ658" s="66"/>
      <c r="BA658" s="66"/>
      <c r="BB658" s="66"/>
      <c r="BC658" s="66"/>
      <c r="BD658" s="66"/>
      <c r="BE658" s="66"/>
      <c r="BF658" s="66"/>
      <c r="BG658" s="66"/>
      <c r="BH658" s="24"/>
      <c r="BI658" s="8"/>
      <c r="BJ658" s="8"/>
      <c r="BK658" s="8"/>
      <c r="BL658" s="14"/>
      <c r="BM658" s="13"/>
      <c r="BO658" s="29"/>
      <c r="CE658" s="29"/>
      <c r="CT658" s="13"/>
    </row>
    <row r="659" spans="1:98">
      <c r="A659" s="24"/>
      <c r="B659" s="24"/>
      <c r="H659" s="14"/>
      <c r="P659" s="24"/>
      <c r="W659" s="24"/>
      <c r="AC659" s="14"/>
      <c r="AK659" s="71"/>
      <c r="AL659" s="66"/>
      <c r="AM659" s="66"/>
      <c r="AN659" s="66"/>
      <c r="AO659" s="66"/>
      <c r="AP659" s="66"/>
      <c r="AQ659" s="66"/>
      <c r="AR659" s="71"/>
      <c r="AS659" s="66"/>
      <c r="AT659" s="66"/>
      <c r="AV659" s="66"/>
      <c r="AW659" s="66"/>
      <c r="AX659" s="66"/>
      <c r="AY659" s="66"/>
      <c r="AZ659" s="66"/>
      <c r="BA659" s="66"/>
      <c r="BB659" s="66"/>
      <c r="BC659" s="66"/>
      <c r="BD659" s="66"/>
      <c r="BE659" s="66"/>
      <c r="BF659" s="66"/>
      <c r="BG659" s="66"/>
      <c r="BH659" s="24"/>
      <c r="BL659" s="14"/>
      <c r="BM659" s="14"/>
      <c r="BO659" s="29"/>
      <c r="BP659" s="11"/>
      <c r="BQ659" s="11"/>
      <c r="BR659" s="11"/>
      <c r="BS659" s="11"/>
      <c r="BT659" s="11"/>
      <c r="BU659" s="11"/>
      <c r="BV659" s="11"/>
      <c r="BW659" s="11"/>
      <c r="BX659" s="11"/>
      <c r="BY659" s="11"/>
      <c r="BZ659" s="11"/>
      <c r="CA659" s="11"/>
      <c r="CB659" s="11"/>
      <c r="CC659" s="11"/>
      <c r="CD659" s="11"/>
      <c r="CE659" s="29"/>
      <c r="CF659" s="11"/>
      <c r="CG659" s="11"/>
      <c r="CH659" s="11"/>
      <c r="CI659" s="11"/>
      <c r="CJ659" s="11"/>
      <c r="CK659" s="11"/>
      <c r="CL659" s="11"/>
      <c r="CM659" s="11"/>
      <c r="CN659" s="11"/>
      <c r="CO659" s="11"/>
      <c r="CP659" s="11"/>
      <c r="CQ659" s="11"/>
      <c r="CR659" s="11"/>
      <c r="CS659" s="11"/>
      <c r="CT659" s="13"/>
    </row>
    <row r="660" spans="1:98">
      <c r="A660" s="24"/>
      <c r="B660" s="24"/>
      <c r="H660" s="14"/>
      <c r="P660" s="24"/>
      <c r="W660" s="24"/>
      <c r="AC660" s="14"/>
      <c r="AK660" s="71"/>
      <c r="AL660" s="66"/>
      <c r="AM660" s="66"/>
      <c r="AN660" s="66"/>
      <c r="AO660" s="66"/>
      <c r="AP660" s="66"/>
      <c r="AQ660" s="66"/>
      <c r="AR660" s="71"/>
      <c r="AS660" s="66"/>
      <c r="AT660" s="78"/>
      <c r="AV660" s="66"/>
      <c r="AW660" s="66"/>
      <c r="AX660" s="66"/>
      <c r="AY660" s="66"/>
      <c r="AZ660" s="66"/>
      <c r="BA660" s="66"/>
      <c r="BB660" s="66"/>
      <c r="BC660" s="66"/>
      <c r="BD660" s="66"/>
      <c r="BE660" s="66"/>
      <c r="BF660" s="66"/>
      <c r="BG660" s="66"/>
      <c r="BH660" s="24"/>
      <c r="BL660" s="14"/>
      <c r="BM660" s="14"/>
      <c r="BN660" s="42"/>
      <c r="BO660" s="24"/>
      <c r="CE660" s="24"/>
      <c r="CT660" s="14"/>
    </row>
    <row r="661" spans="1:98">
      <c r="A661" s="24"/>
      <c r="B661" s="24"/>
      <c r="H661" s="14"/>
      <c r="P661" s="24"/>
      <c r="W661" s="24"/>
      <c r="AC661" s="14"/>
      <c r="AK661" s="71"/>
      <c r="AL661" s="66"/>
      <c r="AM661" s="66"/>
      <c r="AN661" s="66"/>
      <c r="AO661" s="66"/>
      <c r="AP661" s="66"/>
      <c r="AQ661" s="66"/>
      <c r="AR661" s="71"/>
      <c r="AS661" s="66"/>
      <c r="AT661" s="66"/>
      <c r="AV661" s="66"/>
      <c r="AW661" s="66"/>
      <c r="AX661" s="66"/>
      <c r="AY661" s="66"/>
      <c r="AZ661" s="66"/>
      <c r="BA661" s="66"/>
      <c r="BB661" s="66"/>
      <c r="BC661" s="66"/>
      <c r="BD661" s="66"/>
      <c r="BE661" s="66"/>
      <c r="BF661" s="66"/>
      <c r="BG661" s="66"/>
      <c r="BH661" s="24"/>
      <c r="BL661" s="14"/>
      <c r="BM661" s="14"/>
      <c r="BN661" s="42"/>
      <c r="BO661" s="114" t="s">
        <v>465</v>
      </c>
      <c r="BP661" s="113"/>
      <c r="BQ661" s="113"/>
      <c r="BS661" s="113"/>
      <c r="BT661" s="113"/>
      <c r="CE661" s="115" t="s">
        <v>107</v>
      </c>
      <c r="CF661" s="116" t="s">
        <v>466</v>
      </c>
      <c r="CT661" s="14"/>
    </row>
    <row r="662" spans="1:98" s="11" customFormat="1">
      <c r="A662" s="25"/>
      <c r="B662" s="24"/>
      <c r="C662" s="8"/>
      <c r="D662" s="8"/>
      <c r="E662" s="8"/>
      <c r="F662" s="8"/>
      <c r="G662" s="8"/>
      <c r="H662" s="14"/>
      <c r="P662" s="24"/>
      <c r="Q662" s="8"/>
      <c r="R662" s="8"/>
      <c r="S662" s="8"/>
      <c r="T662" s="8"/>
      <c r="U662" s="8"/>
      <c r="V662" s="8"/>
      <c r="W662" s="24"/>
      <c r="X662" s="8"/>
      <c r="Y662" s="8"/>
      <c r="Z662" s="8"/>
      <c r="AA662" s="8"/>
      <c r="AB662" s="8"/>
      <c r="AC662" s="14"/>
      <c r="AD662" s="8"/>
      <c r="AE662" s="8"/>
      <c r="AF662" s="8"/>
      <c r="AG662" s="8"/>
      <c r="AH662" s="8"/>
      <c r="AI662" s="8"/>
      <c r="AJ662" s="8"/>
      <c r="AK662" s="71"/>
      <c r="AL662" s="66"/>
      <c r="AM662" s="66"/>
      <c r="AN662" s="66"/>
      <c r="AO662" s="66"/>
      <c r="AP662" s="66"/>
      <c r="AQ662" s="66"/>
      <c r="AR662" s="71"/>
      <c r="AS662" s="66"/>
      <c r="AT662" s="66"/>
      <c r="AU662" s="66"/>
      <c r="AV662" s="66"/>
      <c r="AW662" s="66"/>
      <c r="AX662" s="66"/>
      <c r="AY662" s="66"/>
      <c r="AZ662" s="66"/>
      <c r="BA662" s="66"/>
      <c r="BB662" s="66"/>
      <c r="BC662" s="66"/>
      <c r="BD662" s="66"/>
      <c r="BE662" s="66"/>
      <c r="BF662" s="66"/>
      <c r="BG662" s="66"/>
      <c r="BH662" s="24"/>
      <c r="BI662" s="8"/>
      <c r="BJ662" s="8"/>
      <c r="BK662" s="8"/>
      <c r="BL662" s="14"/>
      <c r="BM662" s="13"/>
      <c r="BN662" s="117"/>
      <c r="BO662" s="114" t="s">
        <v>467</v>
      </c>
      <c r="BP662" s="113"/>
      <c r="BQ662" s="113"/>
      <c r="BS662" s="113"/>
      <c r="BT662" s="113"/>
      <c r="BU662" s="8"/>
      <c r="BV662" s="8"/>
      <c r="BW662" s="8"/>
      <c r="BX662" s="8"/>
      <c r="BY662" s="8"/>
      <c r="BZ662" s="8"/>
      <c r="CA662" s="8"/>
      <c r="CB662" s="8"/>
      <c r="CC662" s="8"/>
      <c r="CD662" s="8"/>
      <c r="CE662" s="115"/>
      <c r="CF662" s="116" t="s">
        <v>468</v>
      </c>
      <c r="CG662" s="8"/>
      <c r="CH662" s="8"/>
      <c r="CI662" s="8"/>
      <c r="CJ662" s="8"/>
      <c r="CK662" s="8"/>
      <c r="CL662" s="8"/>
      <c r="CM662" s="8"/>
      <c r="CN662" s="8"/>
      <c r="CO662" s="8"/>
      <c r="CP662" s="8"/>
      <c r="CQ662" s="8"/>
      <c r="CR662" s="8"/>
      <c r="CS662" s="8"/>
      <c r="CT662" s="14"/>
    </row>
    <row r="663" spans="1:98">
      <c r="A663" s="24"/>
      <c r="B663" s="24"/>
      <c r="H663" s="14"/>
      <c r="P663" s="24"/>
      <c r="W663" s="24"/>
      <c r="AC663" s="14"/>
      <c r="AK663" s="71"/>
      <c r="AL663" s="66"/>
      <c r="AM663" s="66"/>
      <c r="AN663" s="66"/>
      <c r="AO663" s="66"/>
      <c r="AP663" s="66"/>
      <c r="AQ663" s="66"/>
      <c r="AR663" s="71"/>
      <c r="AS663" s="80" t="s">
        <v>469</v>
      </c>
      <c r="AT663" s="70"/>
      <c r="AU663" s="70"/>
      <c r="AV663" s="66"/>
      <c r="AW663" s="66"/>
      <c r="AX663" s="66"/>
      <c r="AY663" s="66"/>
      <c r="AZ663" s="66"/>
      <c r="BA663" s="66"/>
      <c r="BB663" s="66"/>
      <c r="BC663" s="66"/>
      <c r="BD663" s="66"/>
      <c r="BE663" s="66"/>
      <c r="BF663" s="66"/>
      <c r="BG663" s="66"/>
      <c r="BH663" s="24"/>
      <c r="BL663" s="14"/>
      <c r="BM663" s="14"/>
      <c r="BN663" s="42"/>
      <c r="BO663" s="29"/>
      <c r="BP663" s="11"/>
      <c r="BQ663" s="11"/>
      <c r="BR663" s="11"/>
      <c r="BS663" s="11"/>
      <c r="BT663" s="11"/>
      <c r="BU663" s="11"/>
      <c r="BV663" s="11"/>
      <c r="BW663" s="11"/>
      <c r="BX663" s="11"/>
      <c r="BY663" s="11"/>
      <c r="BZ663" s="11"/>
      <c r="CA663" s="11"/>
      <c r="CB663" s="11"/>
      <c r="CC663" s="11"/>
      <c r="CD663" s="11"/>
      <c r="CE663" s="115"/>
      <c r="CF663" s="116" t="s">
        <v>470</v>
      </c>
      <c r="CG663" s="11"/>
      <c r="CH663" s="11"/>
      <c r="CI663" s="11"/>
      <c r="CJ663" s="11"/>
      <c r="CK663" s="11"/>
      <c r="CL663" s="11"/>
      <c r="CM663" s="11"/>
      <c r="CN663" s="11"/>
      <c r="CO663" s="11"/>
      <c r="CP663" s="11"/>
      <c r="CQ663" s="11"/>
      <c r="CR663" s="11"/>
      <c r="CS663" s="11"/>
      <c r="CT663" s="13"/>
    </row>
    <row r="664" spans="1:98">
      <c r="A664" s="24"/>
      <c r="B664" s="24"/>
      <c r="H664" s="14"/>
      <c r="P664" s="24"/>
      <c r="W664" s="24"/>
      <c r="AC664" s="14"/>
      <c r="AK664" s="71"/>
      <c r="AL664" s="66"/>
      <c r="AM664" s="66"/>
      <c r="AN664" s="66"/>
      <c r="AO664" s="66"/>
      <c r="AP664" s="66"/>
      <c r="AQ664" s="66"/>
      <c r="AR664" s="71"/>
      <c r="AS664" s="70"/>
      <c r="AT664" s="66" t="s">
        <v>471</v>
      </c>
      <c r="AU664" s="70"/>
      <c r="AV664" s="66"/>
      <c r="AW664" s="66"/>
      <c r="AX664" s="66"/>
      <c r="AY664" s="66"/>
      <c r="AZ664" s="66"/>
      <c r="BA664" s="66"/>
      <c r="BB664" s="66"/>
      <c r="BC664" s="66"/>
      <c r="BD664" s="66"/>
      <c r="BE664" s="66"/>
      <c r="BF664" s="66"/>
      <c r="BG664" s="66"/>
      <c r="BH664" s="24"/>
      <c r="BL664" s="14"/>
      <c r="BM664" s="14"/>
      <c r="BN664" s="42"/>
      <c r="BO664" s="24"/>
      <c r="CE664" s="115"/>
      <c r="CF664" s="116" t="s">
        <v>472</v>
      </c>
      <c r="CT664" s="14"/>
    </row>
    <row r="665" spans="1:98">
      <c r="A665" s="24"/>
      <c r="B665" s="24"/>
      <c r="H665" s="14"/>
      <c r="P665" s="24"/>
      <c r="W665" s="24"/>
      <c r="AC665" s="14"/>
      <c r="AK665" s="71"/>
      <c r="AL665" s="66"/>
      <c r="AM665" s="66"/>
      <c r="AN665" s="66"/>
      <c r="AO665" s="66"/>
      <c r="AP665" s="66"/>
      <c r="AQ665" s="66"/>
      <c r="AR665" s="71"/>
      <c r="AS665" s="70"/>
      <c r="AT665" s="66" t="s">
        <v>473</v>
      </c>
      <c r="AU665" s="70"/>
      <c r="AV665" s="66"/>
      <c r="AW665" s="66"/>
      <c r="AX665" s="66"/>
      <c r="AY665" s="66"/>
      <c r="AZ665" s="66"/>
      <c r="BA665" s="66"/>
      <c r="BB665" s="66"/>
      <c r="BC665" s="66"/>
      <c r="BD665" s="66"/>
      <c r="BE665" s="66"/>
      <c r="BF665" s="66"/>
      <c r="BG665" s="66"/>
      <c r="BH665" s="24"/>
      <c r="BL665" s="14"/>
      <c r="BM665" s="14"/>
      <c r="BN665" s="42"/>
      <c r="BO665" s="24"/>
      <c r="CE665" s="24"/>
      <c r="CF665" s="113" t="s">
        <v>474</v>
      </c>
      <c r="CT665" s="14"/>
    </row>
    <row r="666" spans="1:98">
      <c r="A666" s="24"/>
      <c r="B666" s="24"/>
      <c r="H666" s="14"/>
      <c r="P666" s="24"/>
      <c r="W666" s="24"/>
      <c r="AC666" s="14"/>
      <c r="AK666" s="71"/>
      <c r="AL666" s="66"/>
      <c r="AM666" s="66"/>
      <c r="AN666" s="66"/>
      <c r="AO666" s="66"/>
      <c r="AP666" s="66"/>
      <c r="AQ666" s="66"/>
      <c r="AR666" s="71"/>
      <c r="AS666" s="66"/>
      <c r="AT666" s="66"/>
      <c r="AV666" s="70"/>
      <c r="AW666" s="66"/>
      <c r="AX666" s="66"/>
      <c r="AY666" s="66"/>
      <c r="AZ666" s="66"/>
      <c r="BA666" s="66"/>
      <c r="BB666" s="66"/>
      <c r="BC666" s="66"/>
      <c r="BD666" s="66"/>
      <c r="BE666" s="66"/>
      <c r="BF666" s="66"/>
      <c r="BG666" s="66"/>
      <c r="BH666" s="24"/>
      <c r="BL666" s="14"/>
      <c r="BM666" s="14"/>
      <c r="BN666" s="42"/>
      <c r="BO666" s="24"/>
      <c r="CE666" s="24"/>
      <c r="CT666" s="14"/>
    </row>
    <row r="667" spans="1:98">
      <c r="A667" s="24"/>
      <c r="B667" s="24"/>
      <c r="H667" s="14"/>
      <c r="P667" s="24"/>
      <c r="W667" s="24"/>
      <c r="AC667" s="14"/>
      <c r="AK667" s="71"/>
      <c r="AL667" s="66"/>
      <c r="AM667" s="66"/>
      <c r="AN667" s="66"/>
      <c r="AO667" s="66"/>
      <c r="AP667" s="66"/>
      <c r="AQ667" s="66"/>
      <c r="AR667" s="71"/>
      <c r="AS667" s="66"/>
      <c r="AT667" s="66"/>
      <c r="AV667" s="70"/>
      <c r="AW667" s="66"/>
      <c r="AX667" s="66"/>
      <c r="AY667" s="66"/>
      <c r="AZ667" s="66"/>
      <c r="BA667" s="66"/>
      <c r="BB667" s="66"/>
      <c r="BC667" s="66"/>
      <c r="BD667" s="66"/>
      <c r="BE667" s="66"/>
      <c r="BF667" s="66"/>
      <c r="BG667" s="66"/>
      <c r="BH667" s="24"/>
      <c r="BL667" s="14"/>
      <c r="BM667" s="14"/>
      <c r="BO667" s="24"/>
      <c r="CE667" s="24"/>
      <c r="CT667" s="14"/>
    </row>
    <row r="668" spans="1:98">
      <c r="A668" s="24"/>
      <c r="B668" s="24"/>
      <c r="H668" s="14"/>
      <c r="P668" s="24"/>
      <c r="W668" s="24"/>
      <c r="AC668" s="14"/>
      <c r="AK668" s="71"/>
      <c r="AL668" s="66"/>
      <c r="AM668" s="66"/>
      <c r="AN668" s="66"/>
      <c r="AO668" s="66"/>
      <c r="AP668" s="66"/>
      <c r="AQ668" s="66"/>
      <c r="AR668" s="71"/>
      <c r="AS668" s="66"/>
      <c r="AT668" s="66"/>
      <c r="AV668" s="70"/>
      <c r="AW668" s="66"/>
      <c r="AX668" s="66"/>
      <c r="AY668" s="66"/>
      <c r="AZ668" s="66"/>
      <c r="BA668" s="66"/>
      <c r="BB668" s="66"/>
      <c r="BC668" s="66"/>
      <c r="BD668" s="66"/>
      <c r="BE668" s="66"/>
      <c r="BF668" s="66"/>
      <c r="BG668" s="66"/>
      <c r="BH668" s="24"/>
      <c r="BL668" s="14"/>
      <c r="BM668" s="14"/>
      <c r="BO668" s="24"/>
      <c r="CE668" s="24"/>
      <c r="CT668" s="14"/>
    </row>
    <row r="669" spans="1:98">
      <c r="A669" s="24"/>
      <c r="B669" s="24"/>
      <c r="H669" s="14"/>
      <c r="P669" s="24"/>
      <c r="W669" s="24"/>
      <c r="AC669" s="14"/>
      <c r="AK669" s="71"/>
      <c r="AL669" s="66"/>
      <c r="AM669" s="66"/>
      <c r="AN669" s="66"/>
      <c r="AO669" s="66"/>
      <c r="AP669" s="66"/>
      <c r="AQ669" s="66"/>
      <c r="AR669" s="71"/>
      <c r="AS669" s="66"/>
      <c r="AT669" s="66"/>
      <c r="AV669" s="70"/>
      <c r="AW669" s="66"/>
      <c r="AX669" s="66"/>
      <c r="AY669" s="66"/>
      <c r="AZ669" s="66"/>
      <c r="BA669" s="66"/>
      <c r="BB669" s="66"/>
      <c r="BC669" s="66"/>
      <c r="BD669" s="66"/>
      <c r="BE669" s="66"/>
      <c r="BF669" s="66"/>
      <c r="BG669" s="66"/>
      <c r="BH669" s="24"/>
      <c r="BL669" s="14"/>
      <c r="BM669" s="14"/>
      <c r="BO669" s="24"/>
      <c r="CE669" s="24"/>
      <c r="CT669" s="14"/>
    </row>
    <row r="670" spans="1:98">
      <c r="A670" s="24"/>
      <c r="B670" s="24"/>
      <c r="H670" s="14"/>
      <c r="P670" s="24"/>
      <c r="W670" s="24"/>
      <c r="AC670" s="14"/>
      <c r="AK670" s="71"/>
      <c r="AL670" s="66"/>
      <c r="AM670" s="66"/>
      <c r="AN670" s="66"/>
      <c r="AO670" s="66"/>
      <c r="AP670" s="66"/>
      <c r="AQ670" s="66"/>
      <c r="AR670" s="71"/>
      <c r="AS670" s="66"/>
      <c r="AT670" s="66"/>
      <c r="AV670" s="66"/>
      <c r="AW670" s="66"/>
      <c r="AX670" s="66"/>
      <c r="AY670" s="66"/>
      <c r="AZ670" s="66"/>
      <c r="BA670" s="66"/>
      <c r="BB670" s="66"/>
      <c r="BC670" s="66"/>
      <c r="BD670" s="66"/>
      <c r="BE670" s="66"/>
      <c r="BF670" s="66"/>
      <c r="BG670" s="66"/>
      <c r="BH670" s="24"/>
      <c r="BL670" s="14"/>
      <c r="BM670" s="14"/>
      <c r="BO670" s="24"/>
      <c r="CE670" s="24"/>
      <c r="CT670" s="14"/>
    </row>
    <row r="671" spans="1:98">
      <c r="A671" s="42"/>
      <c r="B671" s="24"/>
      <c r="H671" s="14"/>
      <c r="P671" s="24"/>
      <c r="W671" s="24"/>
      <c r="AC671" s="14"/>
      <c r="AK671" s="71"/>
      <c r="AL671" s="66"/>
      <c r="AM671" s="66"/>
      <c r="AN671" s="66"/>
      <c r="AO671" s="66"/>
      <c r="AP671" s="66"/>
      <c r="AQ671" s="66"/>
      <c r="AR671" s="71"/>
      <c r="AS671" s="70"/>
      <c r="AT671" s="70"/>
      <c r="AU671" s="70"/>
      <c r="AV671" s="70"/>
      <c r="AW671" s="66"/>
      <c r="AX671" s="66"/>
      <c r="AY671" s="66"/>
      <c r="AZ671" s="66"/>
      <c r="BA671" s="66"/>
      <c r="BB671" s="66"/>
      <c r="BC671" s="66"/>
      <c r="BD671" s="66"/>
      <c r="BE671" s="66"/>
      <c r="BF671" s="66"/>
      <c r="BG671" s="66"/>
      <c r="BH671" s="24"/>
      <c r="BL671" s="14"/>
      <c r="BM671" s="42"/>
      <c r="BO671" s="24"/>
      <c r="CE671" s="24"/>
      <c r="CT671" s="14"/>
    </row>
    <row r="672" spans="1:98">
      <c r="A672" s="24"/>
      <c r="B672" s="24"/>
      <c r="H672" s="14"/>
      <c r="P672" s="24"/>
      <c r="W672" s="24"/>
      <c r="AC672" s="14"/>
      <c r="AK672" s="71"/>
      <c r="AL672" s="66"/>
      <c r="AM672" s="66"/>
      <c r="AN672" s="66"/>
      <c r="AO672" s="66"/>
      <c r="AP672" s="66"/>
      <c r="AQ672" s="66"/>
      <c r="AR672" s="71"/>
      <c r="AS672" s="70"/>
      <c r="AT672" s="70"/>
      <c r="AU672" s="70"/>
      <c r="AV672" s="70"/>
      <c r="AW672" s="66"/>
      <c r="AX672" s="66"/>
      <c r="AY672" s="66"/>
      <c r="AZ672" s="66"/>
      <c r="BA672" s="66"/>
      <c r="BB672" s="66"/>
      <c r="BC672" s="66"/>
      <c r="BD672" s="66"/>
      <c r="BE672" s="66"/>
      <c r="BF672" s="66"/>
      <c r="BG672" s="66"/>
      <c r="BH672" s="24"/>
      <c r="BL672" s="14"/>
      <c r="BM672" s="14"/>
      <c r="BO672" s="24"/>
      <c r="CE672" s="24"/>
      <c r="CT672" s="14"/>
    </row>
    <row r="673" spans="1:98">
      <c r="A673" s="24"/>
      <c r="B673" s="24"/>
      <c r="H673" s="14"/>
      <c r="P673" s="24"/>
      <c r="W673" s="24"/>
      <c r="AC673" s="14"/>
      <c r="AK673" s="71"/>
      <c r="AL673" s="66"/>
      <c r="AM673" s="66"/>
      <c r="AN673" s="66"/>
      <c r="AO673" s="66"/>
      <c r="AP673" s="66"/>
      <c r="AQ673" s="66"/>
      <c r="AR673" s="71"/>
      <c r="AS673" s="70"/>
      <c r="AT673" s="70"/>
      <c r="AU673" s="70"/>
      <c r="AV673" s="70"/>
      <c r="AW673" s="66"/>
      <c r="AX673" s="66"/>
      <c r="AY673" s="66"/>
      <c r="AZ673" s="66"/>
      <c r="BA673" s="66"/>
      <c r="BB673" s="66"/>
      <c r="BC673" s="66"/>
      <c r="BD673" s="66"/>
      <c r="BE673" s="66"/>
      <c r="BF673" s="66"/>
      <c r="BG673" s="66"/>
      <c r="BH673" s="24"/>
      <c r="BL673" s="14"/>
      <c r="BM673" s="14"/>
      <c r="BO673" s="24"/>
      <c r="CE673" s="24"/>
      <c r="CT673" s="14"/>
    </row>
    <row r="674" spans="1:98">
      <c r="A674" s="24"/>
      <c r="B674" s="24"/>
      <c r="H674" s="14"/>
      <c r="P674" s="24"/>
      <c r="W674" s="24"/>
      <c r="AC674" s="14"/>
      <c r="AK674" s="71"/>
      <c r="AL674" s="66"/>
      <c r="AM674" s="66"/>
      <c r="AN674" s="66"/>
      <c r="AO674" s="66"/>
      <c r="AP674" s="66"/>
      <c r="AQ674" s="66"/>
      <c r="AR674" s="71"/>
      <c r="AS674" s="70"/>
      <c r="AT674" s="70"/>
      <c r="AU674" s="70"/>
      <c r="AV674" s="70"/>
      <c r="AW674" s="66"/>
      <c r="AX674" s="66"/>
      <c r="AY674" s="66"/>
      <c r="AZ674" s="66"/>
      <c r="BA674" s="66"/>
      <c r="BB674" s="66"/>
      <c r="BC674" s="66"/>
      <c r="BD674" s="66"/>
      <c r="BE674" s="66"/>
      <c r="BF674" s="66"/>
      <c r="BG674" s="66"/>
      <c r="BH674" s="24"/>
      <c r="BL674" s="14"/>
      <c r="BM674" s="14"/>
      <c r="BO674" s="24"/>
      <c r="CE674" s="24"/>
      <c r="CT674" s="14"/>
    </row>
    <row r="675" spans="1:98">
      <c r="A675" s="24"/>
      <c r="B675" s="24"/>
      <c r="H675" s="14"/>
      <c r="P675" s="24"/>
      <c r="W675" s="24"/>
      <c r="AC675" s="14"/>
      <c r="AK675" s="71"/>
      <c r="AL675" s="66"/>
      <c r="AM675" s="66"/>
      <c r="AN675" s="66"/>
      <c r="AO675" s="66"/>
      <c r="AP675" s="66"/>
      <c r="AQ675" s="66"/>
      <c r="AR675" s="71"/>
      <c r="AS675" s="70"/>
      <c r="AT675" s="70"/>
      <c r="AU675" s="70"/>
      <c r="AV675" s="70"/>
      <c r="AW675" s="66"/>
      <c r="AX675" s="66"/>
      <c r="AY675" s="66"/>
      <c r="AZ675" s="66"/>
      <c r="BA675" s="66"/>
      <c r="BB675" s="66"/>
      <c r="BC675" s="66"/>
      <c r="BD675" s="66"/>
      <c r="BE675" s="66"/>
      <c r="BF675" s="66"/>
      <c r="BG675" s="66"/>
      <c r="BH675" s="24"/>
      <c r="BL675" s="14"/>
      <c r="BM675" s="14"/>
      <c r="BO675" s="24"/>
      <c r="CE675" s="24"/>
      <c r="CT675" s="14"/>
    </row>
    <row r="676" spans="1:98">
      <c r="A676" s="24"/>
      <c r="B676" s="24"/>
      <c r="H676" s="14"/>
      <c r="P676" s="24"/>
      <c r="W676" s="24"/>
      <c r="AC676" s="14"/>
      <c r="AK676" s="71"/>
      <c r="AL676" s="66"/>
      <c r="AM676" s="66"/>
      <c r="AN676" s="66"/>
      <c r="AO676" s="66"/>
      <c r="AP676" s="66"/>
      <c r="AQ676" s="66"/>
      <c r="AR676" s="71"/>
      <c r="AS676" s="70"/>
      <c r="AT676" s="70"/>
      <c r="AU676" s="70"/>
      <c r="AV676" s="70"/>
      <c r="AW676" s="66"/>
      <c r="AX676" s="66"/>
      <c r="AY676" s="66"/>
      <c r="AZ676" s="66"/>
      <c r="BA676" s="66"/>
      <c r="BB676" s="66"/>
      <c r="BC676" s="66"/>
      <c r="BD676" s="66"/>
      <c r="BE676" s="66"/>
      <c r="BF676" s="66"/>
      <c r="BG676" s="66"/>
      <c r="BH676" s="24"/>
      <c r="BL676" s="14"/>
      <c r="BM676" s="14"/>
      <c r="BO676" s="24"/>
      <c r="CE676" s="24"/>
      <c r="CT676" s="14"/>
    </row>
    <row r="677" spans="1:98" s="11" customFormat="1">
      <c r="A677" s="25"/>
      <c r="B677" s="26" t="s">
        <v>475</v>
      </c>
      <c r="C677" s="23"/>
      <c r="D677" s="23"/>
      <c r="E677" s="23"/>
      <c r="F677" s="23"/>
      <c r="G677" s="23"/>
      <c r="H677" s="23"/>
      <c r="I677" s="23"/>
      <c r="J677" s="23"/>
      <c r="K677" s="23"/>
      <c r="L677" s="23"/>
      <c r="M677" s="23"/>
      <c r="N677" s="23"/>
      <c r="O677" s="23"/>
      <c r="P677" s="23"/>
      <c r="Q677" s="23"/>
      <c r="R677" s="23"/>
      <c r="S677" s="23"/>
      <c r="T677" s="23"/>
      <c r="U677" s="23"/>
      <c r="V677" s="23"/>
      <c r="W677" s="30"/>
      <c r="X677" s="23"/>
      <c r="Y677" s="23"/>
      <c r="Z677" s="23"/>
      <c r="AA677" s="23"/>
      <c r="AB677" s="23"/>
      <c r="AC677" s="23"/>
      <c r="AD677" s="23"/>
      <c r="AE677" s="23"/>
      <c r="AF677" s="23"/>
      <c r="AG677" s="23"/>
      <c r="AH677" s="23"/>
      <c r="AI677" s="23"/>
      <c r="AJ677" s="23"/>
      <c r="AK677" s="30"/>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13"/>
      <c r="BO677" s="24"/>
      <c r="BP677" s="8"/>
      <c r="BQ677" s="8"/>
      <c r="BR677" s="8"/>
      <c r="BS677" s="8"/>
      <c r="BT677" s="8"/>
      <c r="BU677" s="8"/>
      <c r="BV677" s="8"/>
      <c r="BW677" s="8"/>
      <c r="BX677" s="8"/>
      <c r="BY677" s="8"/>
      <c r="BZ677" s="8"/>
      <c r="CA677" s="8"/>
      <c r="CB677" s="8"/>
      <c r="CC677" s="8"/>
      <c r="CD677" s="8"/>
      <c r="CE677" s="24"/>
      <c r="CF677" s="8"/>
      <c r="CG677" s="8"/>
      <c r="CH677" s="8"/>
      <c r="CI677" s="8"/>
      <c r="CJ677" s="8"/>
      <c r="CK677" s="8"/>
      <c r="CL677" s="8"/>
      <c r="CM677" s="8"/>
      <c r="CN677" s="8"/>
      <c r="CO677" s="8"/>
      <c r="CP677" s="8"/>
      <c r="CQ677" s="8"/>
      <c r="CR677" s="8"/>
      <c r="CS677" s="8"/>
      <c r="CT677" s="14"/>
    </row>
    <row r="678" spans="1:98" s="11" customFormat="1">
      <c r="A678" s="25"/>
      <c r="B678" s="24"/>
      <c r="C678" s="8"/>
      <c r="D678" s="8"/>
      <c r="E678" s="8"/>
      <c r="F678" s="8"/>
      <c r="G678" s="8"/>
      <c r="H678" s="14"/>
      <c r="P678" s="24"/>
      <c r="Q678" s="8"/>
      <c r="R678" s="8"/>
      <c r="S678" s="8"/>
      <c r="T678" s="8"/>
      <c r="U678" s="8"/>
      <c r="V678" s="8"/>
      <c r="W678" s="24"/>
      <c r="X678" s="8"/>
      <c r="Y678" s="8"/>
      <c r="Z678" s="8"/>
      <c r="AA678" s="8"/>
      <c r="AB678" s="8"/>
      <c r="AC678" s="14"/>
      <c r="AD678" s="8"/>
      <c r="AE678" s="8"/>
      <c r="AF678" s="8"/>
      <c r="AG678" s="8"/>
      <c r="AH678" s="8"/>
      <c r="AI678" s="8"/>
      <c r="AJ678" s="8"/>
      <c r="AK678" s="71"/>
      <c r="AL678" s="66"/>
      <c r="AM678" s="66"/>
      <c r="AN678" s="66"/>
      <c r="AO678" s="66"/>
      <c r="AP678" s="66"/>
      <c r="AQ678" s="66"/>
      <c r="AR678" s="71"/>
      <c r="AS678" s="66"/>
      <c r="AT678" s="66"/>
      <c r="AU678" s="66"/>
      <c r="AV678" s="66"/>
      <c r="AW678" s="66"/>
      <c r="AX678" s="66"/>
      <c r="AY678" s="66"/>
      <c r="AZ678" s="66"/>
      <c r="BA678" s="66"/>
      <c r="BB678" s="66"/>
      <c r="BC678" s="66"/>
      <c r="BD678" s="66"/>
      <c r="BE678" s="66"/>
      <c r="BF678" s="66"/>
      <c r="BG678" s="66"/>
      <c r="BH678" s="24"/>
      <c r="BI678" s="8"/>
      <c r="BJ678" s="8"/>
      <c r="BK678" s="8"/>
      <c r="BL678" s="14"/>
      <c r="BM678" s="13"/>
      <c r="BO678" s="29"/>
      <c r="CE678" s="29"/>
      <c r="CT678" s="13"/>
    </row>
    <row r="679" spans="1:98">
      <c r="A679" s="24"/>
      <c r="B679" s="24"/>
      <c r="H679" s="14"/>
      <c r="P679" s="24"/>
      <c r="W679" s="24"/>
      <c r="AC679" s="14"/>
      <c r="AK679" s="71"/>
      <c r="AL679" s="66"/>
      <c r="AM679" s="66"/>
      <c r="AN679" s="66"/>
      <c r="AO679" s="66"/>
      <c r="AP679" s="66"/>
      <c r="AQ679" s="66"/>
      <c r="AR679" s="71"/>
      <c r="AS679" s="66"/>
      <c r="AT679" s="66"/>
      <c r="AV679" s="66"/>
      <c r="AW679" s="66"/>
      <c r="AX679" s="66"/>
      <c r="AY679" s="66"/>
      <c r="AZ679" s="66"/>
      <c r="BA679" s="66"/>
      <c r="BB679" s="66"/>
      <c r="BC679" s="66"/>
      <c r="BD679" s="66"/>
      <c r="BE679" s="66"/>
      <c r="BF679" s="66"/>
      <c r="BG679" s="66"/>
      <c r="BH679" s="24"/>
      <c r="BL679" s="14"/>
      <c r="BM679" s="14"/>
      <c r="BO679" s="29"/>
      <c r="BP679" s="11"/>
      <c r="BQ679" s="11"/>
      <c r="BR679" s="11"/>
      <c r="BS679" s="11"/>
      <c r="BT679" s="11"/>
      <c r="BU679" s="11"/>
      <c r="BV679" s="11"/>
      <c r="BW679" s="11"/>
      <c r="BX679" s="11"/>
      <c r="BY679" s="11"/>
      <c r="BZ679" s="11"/>
      <c r="CA679" s="11"/>
      <c r="CB679" s="11"/>
      <c r="CC679" s="11"/>
      <c r="CD679" s="11"/>
      <c r="CE679" s="29"/>
      <c r="CF679" s="11"/>
      <c r="CG679" s="11"/>
      <c r="CH679" s="11"/>
      <c r="CI679" s="11"/>
      <c r="CJ679" s="11"/>
      <c r="CK679" s="11"/>
      <c r="CL679" s="11"/>
      <c r="CM679" s="11"/>
      <c r="CN679" s="11"/>
      <c r="CO679" s="11"/>
      <c r="CP679" s="11"/>
      <c r="CQ679" s="11"/>
      <c r="CR679" s="11"/>
      <c r="CS679" s="11"/>
      <c r="CT679" s="13"/>
    </row>
    <row r="680" spans="1:98">
      <c r="A680" s="24"/>
      <c r="B680" s="24"/>
      <c r="H680" s="14"/>
      <c r="P680" s="24"/>
      <c r="W680" s="24"/>
      <c r="AC680" s="14"/>
      <c r="AK680" s="71"/>
      <c r="AL680" s="66"/>
      <c r="AM680" s="66"/>
      <c r="AN680" s="66"/>
      <c r="AO680" s="66"/>
      <c r="AP680" s="66"/>
      <c r="AQ680" s="66"/>
      <c r="AR680" s="71"/>
      <c r="AS680" s="66"/>
      <c r="AT680" s="78"/>
      <c r="AV680" s="66"/>
      <c r="AW680" s="66"/>
      <c r="AX680" s="66"/>
      <c r="AY680" s="66"/>
      <c r="AZ680" s="66"/>
      <c r="BA680" s="66"/>
      <c r="BB680" s="66"/>
      <c r="BC680" s="66"/>
      <c r="BD680" s="66"/>
      <c r="BE680" s="66"/>
      <c r="BF680" s="66"/>
      <c r="BG680" s="66"/>
      <c r="BH680" s="24"/>
      <c r="BL680" s="14"/>
      <c r="BM680" s="14"/>
      <c r="BO680" s="24"/>
      <c r="CE680" s="24"/>
      <c r="CT680" s="14"/>
    </row>
    <row r="681" spans="1:98">
      <c r="A681" s="24"/>
      <c r="B681" s="24"/>
      <c r="H681" s="14"/>
      <c r="P681" s="24"/>
      <c r="W681" s="24"/>
      <c r="AC681" s="14"/>
      <c r="AK681" s="71"/>
      <c r="AL681" s="66"/>
      <c r="AM681" s="66"/>
      <c r="AN681" s="66"/>
      <c r="AO681" s="66"/>
      <c r="AP681" s="66"/>
      <c r="AQ681" s="66"/>
      <c r="AR681" s="71"/>
      <c r="AS681" s="66"/>
      <c r="AT681" s="66"/>
      <c r="AV681" s="66"/>
      <c r="AW681" s="66"/>
      <c r="AX681" s="66"/>
      <c r="AY681" s="66"/>
      <c r="AZ681" s="66"/>
      <c r="BA681" s="66"/>
      <c r="BB681" s="66"/>
      <c r="BC681" s="66"/>
      <c r="BD681" s="66"/>
      <c r="BE681" s="66"/>
      <c r="BF681" s="66"/>
      <c r="BG681" s="66"/>
      <c r="BH681" s="24"/>
      <c r="BL681" s="14"/>
      <c r="BM681" s="14"/>
      <c r="BO681" s="24"/>
      <c r="CE681" s="24"/>
      <c r="CT681" s="14"/>
    </row>
    <row r="682" spans="1:98" s="11" customFormat="1">
      <c r="A682" s="25"/>
      <c r="B682" s="24"/>
      <c r="C682" s="8"/>
      <c r="D682" s="8"/>
      <c r="E682" s="8"/>
      <c r="F682" s="8"/>
      <c r="G682" s="8"/>
      <c r="H682" s="14"/>
      <c r="P682" s="24"/>
      <c r="Q682" s="8"/>
      <c r="R682" s="8"/>
      <c r="S682" s="8"/>
      <c r="T682" s="8"/>
      <c r="U682" s="8"/>
      <c r="V682" s="8"/>
      <c r="W682" s="24"/>
      <c r="X682" s="8"/>
      <c r="Y682" s="8"/>
      <c r="Z682" s="8"/>
      <c r="AA682" s="8"/>
      <c r="AB682" s="8"/>
      <c r="AC682" s="14"/>
      <c r="AD682" s="8"/>
      <c r="AE682" s="8"/>
      <c r="AF682" s="8"/>
      <c r="AG682" s="8"/>
      <c r="AH682" s="8"/>
      <c r="AI682" s="8"/>
      <c r="AJ682" s="8"/>
      <c r="AK682" s="71"/>
      <c r="AL682" s="66"/>
      <c r="AM682" s="66"/>
      <c r="AN682" s="66"/>
      <c r="AO682" s="66"/>
      <c r="AP682" s="66"/>
      <c r="AQ682" s="66"/>
      <c r="AR682" s="71"/>
      <c r="AS682" s="66"/>
      <c r="AT682" s="66"/>
      <c r="AU682" s="66"/>
      <c r="AV682" s="66"/>
      <c r="AW682" s="66"/>
      <c r="AX682" s="66"/>
      <c r="AY682" s="66"/>
      <c r="AZ682" s="66"/>
      <c r="BA682" s="66"/>
      <c r="BB682" s="66"/>
      <c r="BC682" s="66"/>
      <c r="BD682" s="66"/>
      <c r="BE682" s="66"/>
      <c r="BF682" s="66"/>
      <c r="BG682" s="66"/>
      <c r="BH682" s="24"/>
      <c r="BI682" s="8"/>
      <c r="BJ682" s="8"/>
      <c r="BK682" s="8"/>
      <c r="BL682" s="14"/>
      <c r="BM682" s="13"/>
      <c r="BO682" s="24"/>
      <c r="BP682" s="8"/>
      <c r="BQ682" s="8"/>
      <c r="BR682" s="8"/>
      <c r="BS682" s="8"/>
      <c r="BT682" s="8"/>
      <c r="BU682" s="8"/>
      <c r="BV682" s="8"/>
      <c r="BW682" s="8"/>
      <c r="BX682" s="8"/>
      <c r="BY682" s="8"/>
      <c r="BZ682" s="8"/>
      <c r="CA682" s="8"/>
      <c r="CB682" s="8"/>
      <c r="CC682" s="8"/>
      <c r="CD682" s="8"/>
      <c r="CE682" s="24"/>
      <c r="CF682" s="8"/>
      <c r="CG682" s="8"/>
      <c r="CH682" s="8"/>
      <c r="CI682" s="8"/>
      <c r="CJ682" s="8"/>
      <c r="CK682" s="8"/>
      <c r="CL682" s="8"/>
      <c r="CM682" s="8"/>
      <c r="CN682" s="8"/>
      <c r="CO682" s="8"/>
      <c r="CP682" s="8"/>
      <c r="CQ682" s="8"/>
      <c r="CR682" s="8"/>
      <c r="CS682" s="8"/>
      <c r="CT682" s="14"/>
    </row>
    <row r="683" spans="1:98">
      <c r="A683" s="24"/>
      <c r="B683" s="24"/>
      <c r="H683" s="14"/>
      <c r="P683" s="24"/>
      <c r="W683" s="24"/>
      <c r="AC683" s="14"/>
      <c r="AK683" s="71"/>
      <c r="AL683" s="66"/>
      <c r="AM683" s="66"/>
      <c r="AN683" s="66"/>
      <c r="AO683" s="66"/>
      <c r="AP683" s="66"/>
      <c r="AQ683" s="66"/>
      <c r="AR683" s="71"/>
      <c r="AS683" s="80" t="s">
        <v>476</v>
      </c>
      <c r="AT683" s="70"/>
      <c r="AU683" s="70"/>
      <c r="AV683" s="66"/>
      <c r="AW683" s="66"/>
      <c r="AX683" s="66"/>
      <c r="AY683" s="66"/>
      <c r="AZ683" s="66"/>
      <c r="BA683" s="66"/>
      <c r="BB683" s="66"/>
      <c r="BC683" s="66"/>
      <c r="BD683" s="66"/>
      <c r="BE683" s="66"/>
      <c r="BF683" s="66"/>
      <c r="BG683" s="66"/>
      <c r="BH683" s="24"/>
      <c r="BL683" s="14"/>
      <c r="BM683" s="14"/>
      <c r="BO683" s="29"/>
      <c r="BP683" s="11"/>
      <c r="BQ683" s="11"/>
      <c r="BR683" s="11"/>
      <c r="BS683" s="11"/>
      <c r="BT683" s="11"/>
      <c r="BU683" s="11"/>
      <c r="BV683" s="11"/>
      <c r="BW683" s="11"/>
      <c r="BX683" s="11"/>
      <c r="BY683" s="11"/>
      <c r="BZ683" s="11"/>
      <c r="CA683" s="11"/>
      <c r="CB683" s="11"/>
      <c r="CC683" s="11"/>
      <c r="CD683" s="11"/>
      <c r="CE683" s="29"/>
      <c r="CF683" s="11"/>
      <c r="CG683" s="11"/>
      <c r="CH683" s="11"/>
      <c r="CI683" s="11"/>
      <c r="CJ683" s="11"/>
      <c r="CK683" s="11"/>
      <c r="CL683" s="11"/>
      <c r="CM683" s="11"/>
      <c r="CN683" s="11"/>
      <c r="CO683" s="11"/>
      <c r="CP683" s="11"/>
      <c r="CQ683" s="11"/>
      <c r="CR683" s="11"/>
      <c r="CS683" s="11"/>
      <c r="CT683" s="13"/>
    </row>
    <row r="684" spans="1:98">
      <c r="A684" s="24"/>
      <c r="B684" s="24"/>
      <c r="H684" s="14"/>
      <c r="P684" s="24"/>
      <c r="W684" s="24"/>
      <c r="AC684" s="14"/>
      <c r="AK684" s="71"/>
      <c r="AL684" s="66"/>
      <c r="AM684" s="66"/>
      <c r="AN684" s="66"/>
      <c r="AO684" s="66"/>
      <c r="AP684" s="66"/>
      <c r="AQ684" s="66"/>
      <c r="AR684" s="71"/>
      <c r="AS684" s="70"/>
      <c r="AT684" s="66" t="s">
        <v>477</v>
      </c>
      <c r="AU684" s="70"/>
      <c r="AV684" s="66"/>
      <c r="AW684" s="66"/>
      <c r="AX684" s="66"/>
      <c r="AY684" s="66"/>
      <c r="AZ684" s="66"/>
      <c r="BA684" s="66"/>
      <c r="BB684" s="66"/>
      <c r="BC684" s="66"/>
      <c r="BD684" s="66"/>
      <c r="BE684" s="66"/>
      <c r="BF684" s="66"/>
      <c r="BG684" s="66"/>
      <c r="BH684" s="24"/>
      <c r="BL684" s="14"/>
      <c r="BM684" s="14"/>
      <c r="BO684" s="24"/>
      <c r="CE684" s="24"/>
      <c r="CT684" s="14"/>
    </row>
    <row r="685" spans="1:98">
      <c r="A685" s="24"/>
      <c r="B685" s="24"/>
      <c r="H685" s="14"/>
      <c r="P685" s="24"/>
      <c r="W685" s="24"/>
      <c r="AC685" s="14"/>
      <c r="AK685" s="71"/>
      <c r="AL685" s="66"/>
      <c r="AM685" s="66"/>
      <c r="AN685" s="66"/>
      <c r="AO685" s="66"/>
      <c r="AP685" s="66"/>
      <c r="AQ685" s="66"/>
      <c r="AR685" s="71"/>
      <c r="AS685" s="70"/>
      <c r="AT685" s="70" t="s">
        <v>478</v>
      </c>
      <c r="AU685" s="70"/>
      <c r="AV685" s="66"/>
      <c r="AW685" s="66"/>
      <c r="AX685" s="66"/>
      <c r="AY685" s="66"/>
      <c r="AZ685" s="66"/>
      <c r="BA685" s="66"/>
      <c r="BB685" s="66"/>
      <c r="BC685" s="66"/>
      <c r="BD685" s="66"/>
      <c r="BE685" s="66"/>
      <c r="BF685" s="66"/>
      <c r="BG685" s="66"/>
      <c r="BH685" s="24"/>
      <c r="BL685" s="14"/>
      <c r="BM685" s="14"/>
      <c r="BO685" s="24"/>
      <c r="CE685" s="24"/>
      <c r="CT685" s="14"/>
    </row>
    <row r="686" spans="1:98">
      <c r="A686" s="24"/>
      <c r="B686" s="24"/>
      <c r="H686" s="14"/>
      <c r="P686" s="24"/>
      <c r="W686" s="24"/>
      <c r="AC686" s="14"/>
      <c r="AK686" s="71"/>
      <c r="AL686" s="66"/>
      <c r="AM686" s="66"/>
      <c r="AN686" s="66"/>
      <c r="AO686" s="66"/>
      <c r="AP686" s="66"/>
      <c r="AQ686" s="66"/>
      <c r="AR686" s="71"/>
      <c r="AS686" s="66"/>
      <c r="AT686" s="66" t="s">
        <v>479</v>
      </c>
      <c r="AV686" s="70"/>
      <c r="AW686" s="66"/>
      <c r="AX686" s="66"/>
      <c r="AY686" s="66"/>
      <c r="AZ686" s="66"/>
      <c r="BA686" s="66"/>
      <c r="BB686" s="66"/>
      <c r="BC686" s="66"/>
      <c r="BD686" s="66"/>
      <c r="BE686" s="66"/>
      <c r="BF686" s="66"/>
      <c r="BG686" s="66"/>
      <c r="BH686" s="24"/>
      <c r="BL686" s="14"/>
      <c r="BM686" s="14"/>
      <c r="BO686" s="24"/>
      <c r="CE686" s="24"/>
      <c r="CT686" s="14"/>
    </row>
    <row r="687" spans="1:98">
      <c r="A687" s="24"/>
      <c r="B687" s="24"/>
      <c r="H687" s="14"/>
      <c r="P687" s="24"/>
      <c r="W687" s="24"/>
      <c r="AC687" s="14"/>
      <c r="AK687" s="71"/>
      <c r="AL687" s="66"/>
      <c r="AM687" s="66"/>
      <c r="AN687" s="66"/>
      <c r="AO687" s="66"/>
      <c r="AP687" s="66"/>
      <c r="AQ687" s="66"/>
      <c r="AR687" s="71"/>
      <c r="AS687" s="66"/>
      <c r="AT687" s="66"/>
      <c r="AV687" s="70"/>
      <c r="AW687" s="66"/>
      <c r="AX687" s="66"/>
      <c r="AY687" s="66"/>
      <c r="AZ687" s="66"/>
      <c r="BA687" s="66"/>
      <c r="BB687" s="66"/>
      <c r="BC687" s="66"/>
      <c r="BD687" s="66"/>
      <c r="BE687" s="66"/>
      <c r="BF687" s="66"/>
      <c r="BG687" s="66"/>
      <c r="BH687" s="24"/>
      <c r="BL687" s="14"/>
      <c r="BM687" s="14"/>
      <c r="BO687" s="24"/>
      <c r="CE687" s="24"/>
      <c r="CT687" s="14"/>
    </row>
    <row r="688" spans="1:98">
      <c r="A688" s="24"/>
      <c r="B688" s="24"/>
      <c r="H688" s="14"/>
      <c r="P688" s="24"/>
      <c r="W688" s="24"/>
      <c r="AC688" s="14"/>
      <c r="AK688" s="71"/>
      <c r="AL688" s="66"/>
      <c r="AM688" s="66"/>
      <c r="AN688" s="66"/>
      <c r="AO688" s="66"/>
      <c r="AP688" s="66"/>
      <c r="AQ688" s="66"/>
      <c r="AR688" s="71"/>
      <c r="AS688" s="66"/>
      <c r="AT688" s="66"/>
      <c r="AV688" s="70"/>
      <c r="AW688" s="66"/>
      <c r="AX688" s="66"/>
      <c r="AY688" s="66"/>
      <c r="AZ688" s="66"/>
      <c r="BA688" s="66"/>
      <c r="BB688" s="66"/>
      <c r="BC688" s="66"/>
      <c r="BD688" s="66"/>
      <c r="BE688" s="66"/>
      <c r="BF688" s="66"/>
      <c r="BG688" s="66"/>
      <c r="BH688" s="24"/>
      <c r="BL688" s="14"/>
      <c r="BM688" s="14"/>
      <c r="BO688" s="24"/>
      <c r="CE688" s="24"/>
      <c r="CT688" s="14"/>
    </row>
    <row r="689" spans="1:98">
      <c r="A689" s="24"/>
      <c r="B689" s="24"/>
      <c r="H689" s="14"/>
      <c r="P689" s="24"/>
      <c r="W689" s="24"/>
      <c r="AC689" s="14"/>
      <c r="AK689" s="71"/>
      <c r="AL689" s="66"/>
      <c r="AM689" s="66"/>
      <c r="AN689" s="66"/>
      <c r="AO689" s="66"/>
      <c r="AP689" s="66"/>
      <c r="AQ689" s="66"/>
      <c r="AR689" s="71"/>
      <c r="AS689" s="66"/>
      <c r="AT689" s="66"/>
      <c r="AV689" s="70"/>
      <c r="AW689" s="66"/>
      <c r="AX689" s="66"/>
      <c r="AY689" s="66"/>
      <c r="AZ689" s="66"/>
      <c r="BA689" s="66"/>
      <c r="BB689" s="66"/>
      <c r="BC689" s="66"/>
      <c r="BD689" s="66"/>
      <c r="BE689" s="66"/>
      <c r="BF689" s="66"/>
      <c r="BG689" s="66"/>
      <c r="BH689" s="24"/>
      <c r="BL689" s="14"/>
      <c r="BM689" s="14"/>
      <c r="BO689" s="24"/>
      <c r="CE689" s="24"/>
      <c r="CT689" s="14"/>
    </row>
    <row r="690" spans="1:98">
      <c r="A690" s="24"/>
      <c r="B690" s="24"/>
      <c r="H690" s="14"/>
      <c r="P690" s="24"/>
      <c r="W690" s="24"/>
      <c r="AC690" s="14"/>
      <c r="AK690" s="71"/>
      <c r="AL690" s="66"/>
      <c r="AM690" s="66"/>
      <c r="AN690" s="66"/>
      <c r="AO690" s="66"/>
      <c r="AP690" s="66"/>
      <c r="AQ690" s="66"/>
      <c r="AR690" s="71"/>
      <c r="AS690" s="66"/>
      <c r="AT690" s="66"/>
      <c r="AV690" s="66"/>
      <c r="AW690" s="66"/>
      <c r="AX690" s="66"/>
      <c r="AY690" s="66"/>
      <c r="AZ690" s="66"/>
      <c r="BA690" s="66"/>
      <c r="BB690" s="66"/>
      <c r="BC690" s="66"/>
      <c r="BD690" s="66"/>
      <c r="BE690" s="66"/>
      <c r="BF690" s="66"/>
      <c r="BG690" s="66"/>
      <c r="BH690" s="24"/>
      <c r="BL690" s="14"/>
      <c r="BM690" s="14"/>
      <c r="BO690" s="24"/>
      <c r="CE690" s="24"/>
      <c r="CT690" s="14"/>
    </row>
    <row r="691" spans="1:98">
      <c r="A691" s="42"/>
      <c r="B691" s="24"/>
      <c r="H691" s="14"/>
      <c r="P691" s="24"/>
      <c r="W691" s="24"/>
      <c r="AC691" s="14"/>
      <c r="AK691" s="71"/>
      <c r="AL691" s="66"/>
      <c r="AM691" s="66"/>
      <c r="AN691" s="66"/>
      <c r="AO691" s="66"/>
      <c r="AP691" s="66"/>
      <c r="AQ691" s="66"/>
      <c r="AR691" s="71"/>
      <c r="AS691" s="70"/>
      <c r="AT691" s="70"/>
      <c r="AU691" s="70"/>
      <c r="AV691" s="70"/>
      <c r="AW691" s="66"/>
      <c r="AX691" s="66"/>
      <c r="AY691" s="66"/>
      <c r="AZ691" s="66"/>
      <c r="BA691" s="66"/>
      <c r="BB691" s="66"/>
      <c r="BC691" s="66"/>
      <c r="BD691" s="66"/>
      <c r="BE691" s="66"/>
      <c r="BF691" s="66"/>
      <c r="BG691" s="66"/>
      <c r="BH691" s="24"/>
      <c r="BL691" s="14"/>
      <c r="BM691" s="42"/>
      <c r="BO691" s="24"/>
      <c r="CE691" s="24"/>
      <c r="CT691" s="14"/>
    </row>
    <row r="692" spans="1:98">
      <c r="A692" s="24"/>
      <c r="B692" s="24"/>
      <c r="H692" s="14"/>
      <c r="P692" s="24"/>
      <c r="W692" s="24"/>
      <c r="AC692" s="14"/>
      <c r="AK692" s="71"/>
      <c r="AL692" s="66"/>
      <c r="AM692" s="66"/>
      <c r="AN692" s="66"/>
      <c r="AO692" s="66"/>
      <c r="AP692" s="66"/>
      <c r="AQ692" s="66"/>
      <c r="AR692" s="71"/>
      <c r="AS692" s="70"/>
      <c r="AT692" s="70"/>
      <c r="AU692" s="70"/>
      <c r="AV692" s="70"/>
      <c r="AW692" s="66"/>
      <c r="AX692" s="66"/>
      <c r="AY692" s="66"/>
      <c r="AZ692" s="66"/>
      <c r="BA692" s="66"/>
      <c r="BB692" s="66"/>
      <c r="BC692" s="66"/>
      <c r="BD692" s="66"/>
      <c r="BE692" s="66"/>
      <c r="BF692" s="66"/>
      <c r="BG692" s="66"/>
      <c r="BH692" s="24"/>
      <c r="BL692" s="14"/>
      <c r="BM692" s="14"/>
      <c r="BO692" s="24"/>
      <c r="CE692" s="24"/>
      <c r="CT692" s="14"/>
    </row>
    <row r="693" spans="1:98">
      <c r="A693" s="24"/>
      <c r="B693" s="24"/>
      <c r="H693" s="14"/>
      <c r="P693" s="24"/>
      <c r="W693" s="24"/>
      <c r="AC693" s="14"/>
      <c r="AK693" s="71"/>
      <c r="AL693" s="66"/>
      <c r="AM693" s="66"/>
      <c r="AN693" s="66"/>
      <c r="AO693" s="66"/>
      <c r="AP693" s="66"/>
      <c r="AQ693" s="66"/>
      <c r="AR693" s="71"/>
      <c r="AS693" s="70"/>
      <c r="AT693" s="70"/>
      <c r="AU693" s="70"/>
      <c r="AV693" s="70"/>
      <c r="AW693" s="66"/>
      <c r="AX693" s="66"/>
      <c r="AY693" s="66"/>
      <c r="AZ693" s="66"/>
      <c r="BA693" s="66"/>
      <c r="BB693" s="66"/>
      <c r="BC693" s="66"/>
      <c r="BD693" s="66"/>
      <c r="BE693" s="66"/>
      <c r="BF693" s="66"/>
      <c r="BG693" s="66"/>
      <c r="BH693" s="24"/>
      <c r="BL693" s="14"/>
      <c r="BM693" s="14"/>
      <c r="BO693" s="24"/>
      <c r="CE693" s="24"/>
      <c r="CT693" s="14"/>
    </row>
    <row r="694" spans="1:98">
      <c r="A694" s="24"/>
      <c r="B694" s="24"/>
      <c r="H694" s="14"/>
      <c r="P694" s="24"/>
      <c r="W694" s="24"/>
      <c r="AC694" s="14"/>
      <c r="AK694" s="71"/>
      <c r="AL694" s="66"/>
      <c r="AM694" s="66"/>
      <c r="AN694" s="66"/>
      <c r="AO694" s="66"/>
      <c r="AP694" s="66"/>
      <c r="AQ694" s="66"/>
      <c r="AR694" s="71"/>
      <c r="AS694" s="70"/>
      <c r="AT694" s="70"/>
      <c r="AU694" s="70"/>
      <c r="AV694" s="70"/>
      <c r="AW694" s="66"/>
      <c r="AX694" s="66"/>
      <c r="AY694" s="66"/>
      <c r="AZ694" s="66"/>
      <c r="BA694" s="66"/>
      <c r="BB694" s="66"/>
      <c r="BC694" s="66"/>
      <c r="BD694" s="66"/>
      <c r="BE694" s="66"/>
      <c r="BF694" s="66"/>
      <c r="BG694" s="66"/>
      <c r="BH694" s="24"/>
      <c r="BL694" s="14"/>
      <c r="BM694" s="14"/>
      <c r="BO694" s="24"/>
      <c r="CE694" s="24"/>
      <c r="CT694" s="14"/>
    </row>
    <row r="695" spans="1:98">
      <c r="A695" s="24"/>
      <c r="B695" s="24"/>
      <c r="H695" s="14"/>
      <c r="P695" s="24"/>
      <c r="W695" s="24"/>
      <c r="AC695" s="14"/>
      <c r="AK695" s="71"/>
      <c r="AL695" s="66"/>
      <c r="AM695" s="66"/>
      <c r="AN695" s="66"/>
      <c r="AO695" s="66"/>
      <c r="AP695" s="66"/>
      <c r="AQ695" s="66"/>
      <c r="AR695" s="71"/>
      <c r="AS695" s="70"/>
      <c r="AT695" s="70"/>
      <c r="AU695" s="70"/>
      <c r="AV695" s="70"/>
      <c r="AW695" s="66"/>
      <c r="AX695" s="66"/>
      <c r="AY695" s="66"/>
      <c r="AZ695" s="66"/>
      <c r="BA695" s="66"/>
      <c r="BB695" s="66"/>
      <c r="BC695" s="66"/>
      <c r="BD695" s="66"/>
      <c r="BE695" s="66"/>
      <c r="BF695" s="66"/>
      <c r="BG695" s="66"/>
      <c r="BH695" s="24"/>
      <c r="BL695" s="14"/>
      <c r="BM695" s="14"/>
      <c r="BO695" s="24"/>
      <c r="CE695" s="24"/>
      <c r="CT695" s="14"/>
    </row>
    <row r="696" spans="1:98">
      <c r="A696" s="24"/>
      <c r="B696" s="24"/>
      <c r="H696" s="14"/>
      <c r="P696" s="24"/>
      <c r="W696" s="24"/>
      <c r="AC696" s="14"/>
      <c r="AK696" s="71"/>
      <c r="AL696" s="66"/>
      <c r="AM696" s="66"/>
      <c r="AN696" s="66"/>
      <c r="AO696" s="66"/>
      <c r="AP696" s="66"/>
      <c r="AQ696" s="66"/>
      <c r="AR696" s="71"/>
      <c r="AS696" s="70"/>
      <c r="AT696" s="70"/>
      <c r="AU696" s="70"/>
      <c r="AV696" s="70"/>
      <c r="AW696" s="66"/>
      <c r="AX696" s="66"/>
      <c r="AY696" s="66"/>
      <c r="AZ696" s="66"/>
      <c r="BA696" s="66"/>
      <c r="BB696" s="66"/>
      <c r="BC696" s="66"/>
      <c r="BD696" s="66"/>
      <c r="BE696" s="66"/>
      <c r="BF696" s="66"/>
      <c r="BG696" s="66"/>
      <c r="BH696" s="24"/>
      <c r="BL696" s="14"/>
      <c r="BM696" s="14"/>
      <c r="BO696" s="24"/>
      <c r="CE696" s="24"/>
      <c r="CT696" s="14"/>
    </row>
    <row r="697" spans="1:98" s="11" customFormat="1">
      <c r="A697" s="25"/>
      <c r="B697" s="26" t="s">
        <v>480</v>
      </c>
      <c r="C697" s="23"/>
      <c r="D697" s="23"/>
      <c r="E697" s="23"/>
      <c r="F697" s="23"/>
      <c r="G697" s="23"/>
      <c r="H697" s="23"/>
      <c r="I697" s="23"/>
      <c r="J697" s="23"/>
      <c r="K697" s="23"/>
      <c r="L697" s="23"/>
      <c r="M697" s="23"/>
      <c r="N697" s="23"/>
      <c r="O697" s="23"/>
      <c r="P697" s="23"/>
      <c r="Q697" s="23"/>
      <c r="R697" s="23"/>
      <c r="S697" s="23"/>
      <c r="T697" s="23"/>
      <c r="U697" s="23"/>
      <c r="V697" s="23"/>
      <c r="W697" s="30"/>
      <c r="X697" s="23"/>
      <c r="Y697" s="23"/>
      <c r="Z697" s="23"/>
      <c r="AA697" s="23"/>
      <c r="AB697" s="23"/>
      <c r="AC697" s="23"/>
      <c r="AD697" s="23"/>
      <c r="AE697" s="23"/>
      <c r="AF697" s="23"/>
      <c r="AG697" s="23"/>
      <c r="AH697" s="23"/>
      <c r="AI697" s="23"/>
      <c r="AJ697" s="23"/>
      <c r="AK697" s="30"/>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13"/>
      <c r="BO697" s="24"/>
      <c r="BP697" s="8"/>
      <c r="BQ697" s="8"/>
      <c r="BR697" s="8"/>
      <c r="BS697" s="8"/>
      <c r="BT697" s="8"/>
      <c r="BU697" s="8"/>
      <c r="BV697" s="8"/>
      <c r="BW697" s="8"/>
      <c r="BX697" s="8"/>
      <c r="BY697" s="8"/>
      <c r="BZ697" s="8"/>
      <c r="CA697" s="8"/>
      <c r="CB697" s="8"/>
      <c r="CC697" s="8"/>
      <c r="CD697" s="8"/>
      <c r="CE697" s="24"/>
      <c r="CF697" s="8"/>
      <c r="CG697" s="8"/>
      <c r="CH697" s="8"/>
      <c r="CI697" s="8"/>
      <c r="CJ697" s="8"/>
      <c r="CK697" s="8"/>
      <c r="CL697" s="8"/>
      <c r="CM697" s="8"/>
      <c r="CN697" s="8"/>
      <c r="CO697" s="8"/>
      <c r="CP697" s="8"/>
      <c r="CQ697" s="8"/>
      <c r="CR697" s="8"/>
      <c r="CS697" s="8"/>
      <c r="CT697" s="14"/>
    </row>
    <row r="698" spans="1:98" s="11" customFormat="1">
      <c r="A698" s="25"/>
      <c r="B698" s="24"/>
      <c r="C698" s="8"/>
      <c r="D698" s="8"/>
      <c r="E698" s="8"/>
      <c r="F698" s="8"/>
      <c r="G698" s="8"/>
      <c r="H698" s="14"/>
      <c r="P698" s="24"/>
      <c r="Q698" s="8"/>
      <c r="R698" s="8"/>
      <c r="S698" s="8"/>
      <c r="T698" s="8"/>
      <c r="U698" s="8"/>
      <c r="V698" s="8"/>
      <c r="W698" s="24"/>
      <c r="X698" s="8"/>
      <c r="Y698" s="8"/>
      <c r="Z698" s="8"/>
      <c r="AA698" s="8"/>
      <c r="AB698" s="8"/>
      <c r="AC698" s="14"/>
      <c r="AD698" s="8"/>
      <c r="AE698" s="8"/>
      <c r="AF698" s="8"/>
      <c r="AG698" s="8"/>
      <c r="AH698" s="8"/>
      <c r="AI698" s="8"/>
      <c r="AJ698" s="8"/>
      <c r="AK698" s="71"/>
      <c r="AL698" s="66"/>
      <c r="AM698" s="66"/>
      <c r="AN698" s="66"/>
      <c r="AO698" s="66"/>
      <c r="AP698" s="66"/>
      <c r="AQ698" s="66"/>
      <c r="AR698" s="71"/>
      <c r="AS698" s="66"/>
      <c r="AT698" s="66"/>
      <c r="AU698" s="66"/>
      <c r="AV698" s="66"/>
      <c r="AW698" s="66"/>
      <c r="AX698" s="66"/>
      <c r="AY698" s="66"/>
      <c r="AZ698" s="66"/>
      <c r="BA698" s="66"/>
      <c r="BB698" s="66"/>
      <c r="BC698" s="66"/>
      <c r="BD698" s="66"/>
      <c r="BE698" s="66"/>
      <c r="BF698" s="66"/>
      <c r="BG698" s="66"/>
      <c r="BH698" s="24"/>
      <c r="BI698" s="8"/>
      <c r="BJ698" s="8"/>
      <c r="BK698" s="8"/>
      <c r="BL698" s="14"/>
      <c r="BM698" s="13"/>
      <c r="BO698" s="29"/>
      <c r="CE698" s="29"/>
      <c r="CT698" s="13"/>
    </row>
    <row r="699" spans="1:98">
      <c r="A699" s="24"/>
      <c r="B699" s="24"/>
      <c r="H699" s="14"/>
      <c r="P699" s="24"/>
      <c r="W699" s="24"/>
      <c r="AC699" s="14"/>
      <c r="AK699" s="71"/>
      <c r="AL699" s="66"/>
      <c r="AM699" s="66"/>
      <c r="AN699" s="66"/>
      <c r="AO699" s="66"/>
      <c r="AP699" s="66"/>
      <c r="AQ699" s="66"/>
      <c r="AR699" s="71"/>
      <c r="AS699" s="66"/>
      <c r="AT699" s="66"/>
      <c r="AV699" s="66"/>
      <c r="AW699" s="66"/>
      <c r="AX699" s="66"/>
      <c r="AY699" s="66"/>
      <c r="AZ699" s="66"/>
      <c r="BA699" s="66"/>
      <c r="BB699" s="66"/>
      <c r="BC699" s="66"/>
      <c r="BD699" s="66"/>
      <c r="BE699" s="66"/>
      <c r="BF699" s="66"/>
      <c r="BG699" s="66"/>
      <c r="BH699" s="24"/>
      <c r="BL699" s="14"/>
      <c r="BM699" s="14"/>
      <c r="BO699" s="29"/>
      <c r="BP699" s="11"/>
      <c r="BQ699" s="11"/>
      <c r="BR699" s="11"/>
      <c r="BS699" s="11"/>
      <c r="BT699" s="11"/>
      <c r="BU699" s="11"/>
      <c r="BV699" s="11"/>
      <c r="BW699" s="11"/>
      <c r="BX699" s="11"/>
      <c r="BY699" s="11"/>
      <c r="BZ699" s="11"/>
      <c r="CA699" s="11"/>
      <c r="CB699" s="11"/>
      <c r="CC699" s="11"/>
      <c r="CD699" s="11"/>
      <c r="CE699" s="29"/>
      <c r="CF699" s="11"/>
      <c r="CG699" s="11"/>
      <c r="CH699" s="11"/>
      <c r="CI699" s="11"/>
      <c r="CJ699" s="11"/>
      <c r="CK699" s="11"/>
      <c r="CL699" s="11"/>
      <c r="CM699" s="11"/>
      <c r="CN699" s="11"/>
      <c r="CO699" s="11"/>
      <c r="CP699" s="11"/>
      <c r="CQ699" s="11"/>
      <c r="CR699" s="11"/>
      <c r="CS699" s="11"/>
      <c r="CT699" s="13"/>
    </row>
    <row r="700" spans="1:98">
      <c r="A700" s="24"/>
      <c r="B700" s="24"/>
      <c r="H700" s="14"/>
      <c r="P700" s="24"/>
      <c r="W700" s="24"/>
      <c r="AC700" s="14"/>
      <c r="AK700" s="71"/>
      <c r="AL700" s="66"/>
      <c r="AM700" s="66"/>
      <c r="AN700" s="66"/>
      <c r="AO700" s="66"/>
      <c r="AP700" s="66"/>
      <c r="AQ700" s="66"/>
      <c r="AR700" s="71"/>
      <c r="AS700" s="66"/>
      <c r="AT700" s="78"/>
      <c r="AV700" s="66"/>
      <c r="AW700" s="66"/>
      <c r="AX700" s="66"/>
      <c r="AY700" s="66"/>
      <c r="AZ700" s="66"/>
      <c r="BA700" s="66"/>
      <c r="BB700" s="66"/>
      <c r="BC700" s="66"/>
      <c r="BD700" s="66"/>
      <c r="BE700" s="66"/>
      <c r="BF700" s="66"/>
      <c r="BG700" s="66"/>
      <c r="BH700" s="24"/>
      <c r="BL700" s="14"/>
      <c r="BM700" s="14"/>
      <c r="BO700" s="24"/>
      <c r="CE700" s="24"/>
      <c r="CT700" s="14"/>
    </row>
    <row r="701" spans="1:98">
      <c r="A701" s="24"/>
      <c r="B701" s="24"/>
      <c r="H701" s="14"/>
      <c r="P701" s="24"/>
      <c r="W701" s="24"/>
      <c r="AC701" s="14"/>
      <c r="AK701" s="71"/>
      <c r="AL701" s="66"/>
      <c r="AM701" s="66"/>
      <c r="AN701" s="66"/>
      <c r="AO701" s="66"/>
      <c r="AP701" s="66"/>
      <c r="AQ701" s="66"/>
      <c r="AR701" s="71"/>
      <c r="AS701" s="66"/>
      <c r="AT701" s="66"/>
      <c r="AV701" s="66"/>
      <c r="AW701" s="66"/>
      <c r="AX701" s="66"/>
      <c r="AY701" s="66"/>
      <c r="AZ701" s="66"/>
      <c r="BA701" s="66"/>
      <c r="BB701" s="66"/>
      <c r="BC701" s="66"/>
      <c r="BD701" s="66"/>
      <c r="BE701" s="66"/>
      <c r="BF701" s="66"/>
      <c r="BG701" s="66"/>
      <c r="BH701" s="24"/>
      <c r="BL701" s="14"/>
      <c r="BM701" s="14"/>
      <c r="BO701" s="24"/>
      <c r="CE701" s="24"/>
      <c r="CT701" s="14"/>
    </row>
    <row r="702" spans="1:98" s="11" customFormat="1">
      <c r="A702" s="25"/>
      <c r="B702" s="24"/>
      <c r="C702" s="8"/>
      <c r="D702" s="8"/>
      <c r="E702" s="8"/>
      <c r="F702" s="8"/>
      <c r="G702" s="8"/>
      <c r="H702" s="14"/>
      <c r="P702" s="24"/>
      <c r="Q702" s="8"/>
      <c r="R702" s="8"/>
      <c r="S702" s="8"/>
      <c r="T702" s="8"/>
      <c r="U702" s="8"/>
      <c r="V702" s="8"/>
      <c r="W702" s="24"/>
      <c r="X702" s="8"/>
      <c r="Y702" s="8"/>
      <c r="Z702" s="8"/>
      <c r="AA702" s="8"/>
      <c r="AB702" s="8"/>
      <c r="AC702" s="14"/>
      <c r="AD702" s="8"/>
      <c r="AE702" s="8"/>
      <c r="AF702" s="8"/>
      <c r="AG702" s="8"/>
      <c r="AH702" s="8"/>
      <c r="AI702" s="8"/>
      <c r="AJ702" s="8"/>
      <c r="AK702" s="71"/>
      <c r="AL702" s="66"/>
      <c r="AM702" s="66"/>
      <c r="AN702" s="66"/>
      <c r="AO702" s="66"/>
      <c r="AP702" s="66"/>
      <c r="AQ702" s="66"/>
      <c r="AR702" s="71"/>
      <c r="AS702" s="66"/>
      <c r="AT702" s="66"/>
      <c r="AU702" s="66"/>
      <c r="AV702" s="66"/>
      <c r="AW702" s="66"/>
      <c r="AX702" s="66"/>
      <c r="AY702" s="66"/>
      <c r="AZ702" s="66"/>
      <c r="BA702" s="66"/>
      <c r="BB702" s="66"/>
      <c r="BC702" s="66"/>
      <c r="BD702" s="66"/>
      <c r="BE702" s="66"/>
      <c r="BF702" s="66"/>
      <c r="BG702" s="66"/>
      <c r="BH702" s="24"/>
      <c r="BI702" s="8"/>
      <c r="BJ702" s="8"/>
      <c r="BK702" s="8"/>
      <c r="BL702" s="14"/>
      <c r="BM702" s="13"/>
      <c r="BO702" s="24"/>
      <c r="BP702" s="8"/>
      <c r="BQ702" s="8"/>
      <c r="BR702" s="8"/>
      <c r="BS702" s="8"/>
      <c r="BT702" s="8"/>
      <c r="BU702" s="8"/>
      <c r="BV702" s="8"/>
      <c r="BW702" s="8"/>
      <c r="BX702" s="8"/>
      <c r="BY702" s="8"/>
      <c r="BZ702" s="8"/>
      <c r="CA702" s="8"/>
      <c r="CB702" s="8"/>
      <c r="CC702" s="8"/>
      <c r="CD702" s="8"/>
      <c r="CE702" s="24"/>
      <c r="CF702" s="8"/>
      <c r="CG702" s="8"/>
      <c r="CH702" s="8"/>
      <c r="CI702" s="8"/>
      <c r="CJ702" s="8"/>
      <c r="CK702" s="8"/>
      <c r="CL702" s="8"/>
      <c r="CM702" s="8"/>
      <c r="CN702" s="8"/>
      <c r="CO702" s="8"/>
      <c r="CP702" s="8"/>
      <c r="CQ702" s="8"/>
      <c r="CR702" s="8"/>
      <c r="CS702" s="8"/>
      <c r="CT702" s="14"/>
    </row>
    <row r="703" spans="1:98">
      <c r="A703" s="24"/>
      <c r="B703" s="24"/>
      <c r="H703" s="14"/>
      <c r="P703" s="24"/>
      <c r="W703" s="24"/>
      <c r="AC703" s="14"/>
      <c r="AK703" s="71"/>
      <c r="AL703" s="66"/>
      <c r="AM703" s="66"/>
      <c r="AN703" s="66"/>
      <c r="AO703" s="66"/>
      <c r="AP703" s="66"/>
      <c r="AQ703" s="66"/>
      <c r="AR703" s="71"/>
      <c r="AS703" s="80" t="s">
        <v>481</v>
      </c>
      <c r="AT703" s="70"/>
      <c r="AU703" s="70"/>
      <c r="AV703" s="66"/>
      <c r="AW703" s="66"/>
      <c r="AX703" s="66"/>
      <c r="AY703" s="66"/>
      <c r="AZ703" s="66"/>
      <c r="BA703" s="66"/>
      <c r="BB703" s="66"/>
      <c r="BC703" s="66"/>
      <c r="BD703" s="66"/>
      <c r="BE703" s="66"/>
      <c r="BF703" s="66"/>
      <c r="BG703" s="66"/>
      <c r="BH703" s="24"/>
      <c r="BL703" s="14"/>
      <c r="BM703" s="14"/>
      <c r="BO703" s="29"/>
      <c r="BP703" s="11"/>
      <c r="BQ703" s="11"/>
      <c r="BR703" s="11"/>
      <c r="BS703" s="11"/>
      <c r="BT703" s="11"/>
      <c r="BU703" s="11"/>
      <c r="BV703" s="11"/>
      <c r="BW703" s="11"/>
      <c r="BX703" s="11"/>
      <c r="BY703" s="11"/>
      <c r="BZ703" s="11"/>
      <c r="CA703" s="11"/>
      <c r="CB703" s="11"/>
      <c r="CC703" s="11"/>
      <c r="CD703" s="11"/>
      <c r="CE703" s="29"/>
      <c r="CF703" s="11"/>
      <c r="CG703" s="11"/>
      <c r="CH703" s="11"/>
      <c r="CI703" s="11"/>
      <c r="CJ703" s="11"/>
      <c r="CK703" s="11"/>
      <c r="CL703" s="11"/>
      <c r="CM703" s="11"/>
      <c r="CN703" s="11"/>
      <c r="CO703" s="11"/>
      <c r="CP703" s="11"/>
      <c r="CQ703" s="11"/>
      <c r="CR703" s="11"/>
      <c r="CS703" s="11"/>
      <c r="CT703" s="13"/>
    </row>
    <row r="704" spans="1:98">
      <c r="A704" s="24"/>
      <c r="B704" s="24"/>
      <c r="H704" s="14"/>
      <c r="P704" s="24"/>
      <c r="W704" s="24"/>
      <c r="AC704" s="14"/>
      <c r="AK704" s="71"/>
      <c r="AL704" s="66"/>
      <c r="AM704" s="66"/>
      <c r="AN704" s="66"/>
      <c r="AO704" s="66"/>
      <c r="AP704" s="66"/>
      <c r="AQ704" s="66"/>
      <c r="AR704" s="71"/>
      <c r="AS704" s="70"/>
      <c r="AT704" s="66" t="s">
        <v>482</v>
      </c>
      <c r="AU704" s="70"/>
      <c r="AV704" s="66"/>
      <c r="AW704" s="66"/>
      <c r="AX704" s="66"/>
      <c r="AY704" s="66"/>
      <c r="AZ704" s="66"/>
      <c r="BA704" s="66"/>
      <c r="BB704" s="66"/>
      <c r="BC704" s="66"/>
      <c r="BD704" s="66"/>
      <c r="BE704" s="66"/>
      <c r="BF704" s="66"/>
      <c r="BG704" s="66"/>
      <c r="BH704" s="24"/>
      <c r="BL704" s="14"/>
      <c r="BM704" s="14"/>
      <c r="BO704" s="24"/>
      <c r="CE704" s="24"/>
      <c r="CT704" s="14"/>
    </row>
    <row r="705" spans="1:98">
      <c r="A705" s="24"/>
      <c r="B705" s="24"/>
      <c r="H705" s="14"/>
      <c r="P705" s="24"/>
      <c r="W705" s="24"/>
      <c r="AC705" s="14"/>
      <c r="AK705" s="71"/>
      <c r="AL705" s="66"/>
      <c r="AM705" s="66"/>
      <c r="AN705" s="66"/>
      <c r="AO705" s="66"/>
      <c r="AP705" s="66"/>
      <c r="AQ705" s="66"/>
      <c r="AR705" s="71"/>
      <c r="AS705" s="70"/>
      <c r="AT705" s="70" t="s">
        <v>483</v>
      </c>
      <c r="AU705" s="70"/>
      <c r="AV705" s="66"/>
      <c r="AW705" s="66"/>
      <c r="AX705" s="66"/>
      <c r="AY705" s="66"/>
      <c r="AZ705" s="66"/>
      <c r="BA705" s="66"/>
      <c r="BB705" s="66"/>
      <c r="BC705" s="66"/>
      <c r="BD705" s="66"/>
      <c r="BE705" s="66"/>
      <c r="BF705" s="66"/>
      <c r="BG705" s="66"/>
      <c r="BH705" s="24"/>
      <c r="BL705" s="14"/>
      <c r="BM705" s="14"/>
      <c r="BO705" s="24"/>
      <c r="CE705" s="24"/>
      <c r="CT705" s="14"/>
    </row>
    <row r="706" spans="1:98">
      <c r="A706" s="24"/>
      <c r="B706" s="24"/>
      <c r="H706" s="14"/>
      <c r="P706" s="24"/>
      <c r="W706" s="24"/>
      <c r="AC706" s="14"/>
      <c r="AK706" s="71"/>
      <c r="AL706" s="66"/>
      <c r="AM706" s="66"/>
      <c r="AN706" s="66"/>
      <c r="AO706" s="66"/>
      <c r="AP706" s="66"/>
      <c r="AQ706" s="66"/>
      <c r="AR706" s="71"/>
      <c r="AS706" s="66"/>
      <c r="AT706" s="66"/>
      <c r="AV706" s="70"/>
      <c r="AW706" s="66"/>
      <c r="AX706" s="66"/>
      <c r="AY706" s="66"/>
      <c r="AZ706" s="66"/>
      <c r="BA706" s="66"/>
      <c r="BB706" s="66"/>
      <c r="BC706" s="66"/>
      <c r="BD706" s="66"/>
      <c r="BE706" s="66"/>
      <c r="BF706" s="66"/>
      <c r="BG706" s="66"/>
      <c r="BH706" s="24"/>
      <c r="BL706" s="14"/>
      <c r="BM706" s="14"/>
      <c r="BO706" s="24"/>
      <c r="CE706" s="24"/>
      <c r="CT706" s="14"/>
    </row>
    <row r="707" spans="1:98">
      <c r="A707" s="24"/>
      <c r="B707" s="24"/>
      <c r="H707" s="14"/>
      <c r="P707" s="24"/>
      <c r="W707" s="24"/>
      <c r="AC707" s="14"/>
      <c r="AK707" s="71"/>
      <c r="AL707" s="66"/>
      <c r="AM707" s="66"/>
      <c r="AN707" s="66"/>
      <c r="AO707" s="66"/>
      <c r="AP707" s="66"/>
      <c r="AQ707" s="66"/>
      <c r="AR707" s="71"/>
      <c r="AS707" s="66"/>
      <c r="AT707" s="66"/>
      <c r="AV707" s="70"/>
      <c r="AW707" s="66"/>
      <c r="AX707" s="66"/>
      <c r="AY707" s="66"/>
      <c r="AZ707" s="66"/>
      <c r="BA707" s="66"/>
      <c r="BB707" s="66"/>
      <c r="BC707" s="66"/>
      <c r="BD707" s="66"/>
      <c r="BE707" s="66"/>
      <c r="BF707" s="66"/>
      <c r="BG707" s="66"/>
      <c r="BH707" s="24"/>
      <c r="BL707" s="14"/>
      <c r="BM707" s="14"/>
      <c r="BO707" s="24"/>
      <c r="CE707" s="24"/>
      <c r="CT707" s="14"/>
    </row>
    <row r="708" spans="1:98">
      <c r="A708" s="24"/>
      <c r="B708" s="24"/>
      <c r="H708" s="14"/>
      <c r="P708" s="24"/>
      <c r="W708" s="24"/>
      <c r="AC708" s="14"/>
      <c r="AK708" s="71"/>
      <c r="AL708" s="66"/>
      <c r="AM708" s="66"/>
      <c r="AN708" s="66"/>
      <c r="AO708" s="66"/>
      <c r="AP708" s="66"/>
      <c r="AQ708" s="66"/>
      <c r="AR708" s="71"/>
      <c r="AS708" s="66"/>
      <c r="AT708" s="66"/>
      <c r="AV708" s="70"/>
      <c r="AW708" s="66"/>
      <c r="AX708" s="66"/>
      <c r="AY708" s="66"/>
      <c r="AZ708" s="66"/>
      <c r="BA708" s="66"/>
      <c r="BB708" s="66"/>
      <c r="BC708" s="66"/>
      <c r="BD708" s="66"/>
      <c r="BE708" s="66"/>
      <c r="BF708" s="66"/>
      <c r="BG708" s="66"/>
      <c r="BH708" s="24"/>
      <c r="BL708" s="14"/>
      <c r="BM708" s="14"/>
      <c r="BO708" s="24"/>
      <c r="CE708" s="24"/>
      <c r="CT708" s="14"/>
    </row>
    <row r="709" spans="1:98">
      <c r="A709" s="24"/>
      <c r="B709" s="24"/>
      <c r="H709" s="14"/>
      <c r="P709" s="24"/>
      <c r="W709" s="24"/>
      <c r="AC709" s="14"/>
      <c r="AK709" s="71"/>
      <c r="AL709" s="66"/>
      <c r="AM709" s="66"/>
      <c r="AN709" s="66"/>
      <c r="AO709" s="66"/>
      <c r="AP709" s="66"/>
      <c r="AQ709" s="66"/>
      <c r="AR709" s="71"/>
      <c r="AS709" s="66"/>
      <c r="AT709" s="66"/>
      <c r="AV709" s="70"/>
      <c r="AW709" s="66"/>
      <c r="AX709" s="66"/>
      <c r="AY709" s="66"/>
      <c r="AZ709" s="66"/>
      <c r="BA709" s="66"/>
      <c r="BB709" s="66"/>
      <c r="BC709" s="66"/>
      <c r="BD709" s="66"/>
      <c r="BE709" s="66"/>
      <c r="BF709" s="66"/>
      <c r="BG709" s="66"/>
      <c r="BH709" s="24"/>
      <c r="BL709" s="14"/>
      <c r="BM709" s="14"/>
      <c r="BO709" s="24"/>
      <c r="CE709" s="24"/>
      <c r="CT709" s="14"/>
    </row>
    <row r="710" spans="1:98">
      <c r="A710" s="24"/>
      <c r="B710" s="24"/>
      <c r="H710" s="14"/>
      <c r="P710" s="24"/>
      <c r="W710" s="24"/>
      <c r="AC710" s="14"/>
      <c r="AK710" s="71"/>
      <c r="AL710" s="66"/>
      <c r="AM710" s="66"/>
      <c r="AN710" s="66"/>
      <c r="AO710" s="66"/>
      <c r="AP710" s="66"/>
      <c r="AQ710" s="66"/>
      <c r="AR710" s="71"/>
      <c r="AS710" s="66"/>
      <c r="AT710" s="66"/>
      <c r="AV710" s="66"/>
      <c r="AW710" s="66"/>
      <c r="AX710" s="66"/>
      <c r="AY710" s="66"/>
      <c r="AZ710" s="66"/>
      <c r="BA710" s="66"/>
      <c r="BB710" s="66"/>
      <c r="BC710" s="66"/>
      <c r="BD710" s="66"/>
      <c r="BE710" s="66"/>
      <c r="BF710" s="66"/>
      <c r="BG710" s="66"/>
      <c r="BH710" s="24"/>
      <c r="BL710" s="14"/>
      <c r="BM710" s="14"/>
      <c r="BO710" s="24"/>
      <c r="CE710" s="24"/>
      <c r="CT710" s="14"/>
    </row>
    <row r="711" spans="1:98">
      <c r="A711" s="24"/>
      <c r="B711" s="24"/>
      <c r="H711" s="14"/>
      <c r="P711" s="24"/>
      <c r="W711" s="24"/>
      <c r="AC711" s="14"/>
      <c r="AK711" s="71"/>
      <c r="AL711" s="66"/>
      <c r="AM711" s="66"/>
      <c r="AN711" s="66"/>
      <c r="AO711" s="66"/>
      <c r="AP711" s="66"/>
      <c r="AQ711" s="66"/>
      <c r="AR711" s="71"/>
      <c r="AS711" s="80" t="s">
        <v>484</v>
      </c>
      <c r="AT711" s="70"/>
      <c r="AU711" s="70"/>
      <c r="AV711" s="66"/>
      <c r="AW711" s="66"/>
      <c r="AX711" s="66"/>
      <c r="AY711" s="66"/>
      <c r="AZ711" s="66"/>
      <c r="BA711" s="66"/>
      <c r="BB711" s="66"/>
      <c r="BC711" s="66"/>
      <c r="BD711" s="66"/>
      <c r="BE711" s="66"/>
      <c r="BF711" s="66"/>
      <c r="BG711" s="66"/>
      <c r="BH711" s="24"/>
      <c r="BL711" s="14"/>
      <c r="BM711" s="14"/>
      <c r="BO711" s="24"/>
      <c r="CE711" s="24"/>
      <c r="CT711" s="14"/>
    </row>
    <row r="712" spans="1:98">
      <c r="A712" s="24"/>
      <c r="B712" s="24"/>
      <c r="H712" s="14"/>
      <c r="P712" s="24"/>
      <c r="W712" s="24"/>
      <c r="AC712" s="14"/>
      <c r="AK712" s="71"/>
      <c r="AL712" s="66"/>
      <c r="AM712" s="66"/>
      <c r="AN712" s="66"/>
      <c r="AO712" s="66"/>
      <c r="AP712" s="66"/>
      <c r="AQ712" s="66"/>
      <c r="AR712" s="71"/>
      <c r="AS712" s="70"/>
      <c r="AT712" s="66" t="s">
        <v>485</v>
      </c>
      <c r="AU712" s="70"/>
      <c r="AV712" s="66"/>
      <c r="AW712" s="66"/>
      <c r="AX712" s="66"/>
      <c r="AY712" s="66"/>
      <c r="AZ712" s="66"/>
      <c r="BA712" s="66"/>
      <c r="BB712" s="66"/>
      <c r="BC712" s="66"/>
      <c r="BD712" s="66"/>
      <c r="BE712" s="66"/>
      <c r="BF712" s="66"/>
      <c r="BG712" s="66"/>
      <c r="BH712" s="24"/>
      <c r="BL712" s="14"/>
      <c r="BM712" s="14"/>
      <c r="BO712" s="24"/>
      <c r="CE712" s="24"/>
      <c r="CT712" s="14"/>
    </row>
    <row r="713" spans="1:98">
      <c r="A713" s="24"/>
      <c r="B713" s="24"/>
      <c r="H713" s="14"/>
      <c r="P713" s="24"/>
      <c r="W713" s="24"/>
      <c r="AC713" s="14"/>
      <c r="AK713" s="71"/>
      <c r="AL713" s="66"/>
      <c r="AM713" s="66"/>
      <c r="AN713" s="66"/>
      <c r="AO713" s="66"/>
      <c r="AP713" s="66"/>
      <c r="AQ713" s="66"/>
      <c r="AR713" s="71"/>
      <c r="AS713" s="70"/>
      <c r="AT713" s="70" t="s">
        <v>486</v>
      </c>
      <c r="AU713" s="70"/>
      <c r="AV713" s="66"/>
      <c r="AW713" s="66"/>
      <c r="AX713" s="66"/>
      <c r="AY713" s="66"/>
      <c r="AZ713" s="66"/>
      <c r="BA713" s="66"/>
      <c r="BB713" s="66"/>
      <c r="BC713" s="66"/>
      <c r="BD713" s="66"/>
      <c r="BE713" s="66"/>
      <c r="BF713" s="66"/>
      <c r="BG713" s="66"/>
      <c r="BH713" s="24"/>
      <c r="BL713" s="14"/>
      <c r="BM713" s="14"/>
      <c r="BO713" s="24"/>
      <c r="CE713" s="24"/>
      <c r="CT713" s="14"/>
    </row>
    <row r="714" spans="1:98">
      <c r="A714" s="24"/>
      <c r="B714" s="24"/>
      <c r="H714" s="14"/>
      <c r="P714" s="24"/>
      <c r="W714" s="24"/>
      <c r="AC714" s="14"/>
      <c r="AK714" s="71"/>
      <c r="AL714" s="66"/>
      <c r="AM714" s="66"/>
      <c r="AN714" s="66"/>
      <c r="AO714" s="66"/>
      <c r="AP714" s="66"/>
      <c r="AQ714" s="66"/>
      <c r="AR714" s="71"/>
      <c r="AS714" s="66"/>
      <c r="AT714" s="66"/>
      <c r="AV714" s="70"/>
      <c r="AW714" s="66"/>
      <c r="AX714" s="66"/>
      <c r="AY714" s="66"/>
      <c r="AZ714" s="66"/>
      <c r="BA714" s="66"/>
      <c r="BB714" s="66"/>
      <c r="BC714" s="66"/>
      <c r="BD714" s="66"/>
      <c r="BE714" s="66"/>
      <c r="BF714" s="66"/>
      <c r="BG714" s="66"/>
      <c r="BH714" s="24"/>
      <c r="BL714" s="14"/>
      <c r="BM714" s="14"/>
      <c r="BO714" s="24"/>
      <c r="CE714" s="24"/>
      <c r="CT714" s="14"/>
    </row>
    <row r="715" spans="1:98">
      <c r="A715" s="24"/>
      <c r="B715" s="24"/>
      <c r="H715" s="14"/>
      <c r="P715" s="24"/>
      <c r="W715" s="24"/>
      <c r="AC715" s="14"/>
      <c r="AK715" s="71"/>
      <c r="AL715" s="66"/>
      <c r="AM715" s="66"/>
      <c r="AN715" s="66"/>
      <c r="AO715" s="66"/>
      <c r="AP715" s="66"/>
      <c r="AQ715" s="66"/>
      <c r="AR715" s="71"/>
      <c r="AS715" s="66"/>
      <c r="AT715" s="66"/>
      <c r="AV715" s="70"/>
      <c r="AW715" s="66"/>
      <c r="AX715" s="66"/>
      <c r="AY715" s="66"/>
      <c r="AZ715" s="66"/>
      <c r="BA715" s="66"/>
      <c r="BB715" s="66"/>
      <c r="BC715" s="66"/>
      <c r="BD715" s="66"/>
      <c r="BE715" s="66"/>
      <c r="BF715" s="66"/>
      <c r="BG715" s="66"/>
      <c r="BH715" s="24"/>
      <c r="BL715" s="14"/>
      <c r="BM715" s="14"/>
      <c r="BO715" s="24"/>
      <c r="CE715" s="24"/>
      <c r="CT715" s="14"/>
    </row>
    <row r="716" spans="1:98">
      <c r="A716" s="24"/>
      <c r="B716" s="24"/>
      <c r="H716" s="14"/>
      <c r="P716" s="24"/>
      <c r="W716" s="24"/>
      <c r="AC716" s="14"/>
      <c r="AK716" s="71"/>
      <c r="AL716" s="66"/>
      <c r="AM716" s="66"/>
      <c r="AN716" s="66"/>
      <c r="AO716" s="66"/>
      <c r="AP716" s="66"/>
      <c r="AQ716" s="66"/>
      <c r="AR716" s="71"/>
      <c r="AS716" s="66"/>
      <c r="AT716" s="66"/>
      <c r="AV716" s="70"/>
      <c r="AW716" s="66"/>
      <c r="AX716" s="66"/>
      <c r="AY716" s="66"/>
      <c r="AZ716" s="66"/>
      <c r="BA716" s="66"/>
      <c r="BB716" s="66"/>
      <c r="BC716" s="66"/>
      <c r="BD716" s="66"/>
      <c r="BE716" s="66"/>
      <c r="BF716" s="66"/>
      <c r="BG716" s="66"/>
      <c r="BH716" s="24"/>
      <c r="BL716" s="14"/>
      <c r="BM716" s="14"/>
      <c r="BO716" s="24"/>
      <c r="CE716" s="24"/>
      <c r="CT716" s="14"/>
    </row>
    <row r="717" spans="1:98">
      <c r="A717" s="24"/>
      <c r="B717" s="24"/>
      <c r="H717" s="14"/>
      <c r="P717" s="24"/>
      <c r="W717" s="24"/>
      <c r="AC717" s="14"/>
      <c r="AK717" s="71"/>
      <c r="AL717" s="66"/>
      <c r="AM717" s="66"/>
      <c r="AN717" s="66"/>
      <c r="AO717" s="66"/>
      <c r="AP717" s="66"/>
      <c r="AQ717" s="66"/>
      <c r="AR717" s="71"/>
      <c r="AS717" s="66"/>
      <c r="AT717" s="66"/>
      <c r="AV717" s="70"/>
      <c r="AW717" s="66"/>
      <c r="AX717" s="66"/>
      <c r="AY717" s="66"/>
      <c r="AZ717" s="66"/>
      <c r="BA717" s="66"/>
      <c r="BB717" s="66"/>
      <c r="BC717" s="66"/>
      <c r="BD717" s="66"/>
      <c r="BE717" s="66"/>
      <c r="BF717" s="66"/>
      <c r="BG717" s="66"/>
      <c r="BH717" s="24"/>
      <c r="BL717" s="14"/>
      <c r="BM717" s="14"/>
      <c r="BO717" s="24"/>
      <c r="CE717" s="24"/>
      <c r="CT717" s="14"/>
    </row>
    <row r="718" spans="1:98">
      <c r="A718" s="24"/>
      <c r="B718" s="24"/>
      <c r="H718" s="14"/>
      <c r="P718" s="24"/>
      <c r="W718" s="24"/>
      <c r="AC718" s="14"/>
      <c r="AK718" s="71"/>
      <c r="AL718" s="66"/>
      <c r="AM718" s="66"/>
      <c r="AN718" s="66"/>
      <c r="AO718" s="66"/>
      <c r="AP718" s="66"/>
      <c r="AQ718" s="66"/>
      <c r="AR718" s="71"/>
      <c r="AS718" s="66"/>
      <c r="AT718" s="66"/>
      <c r="AV718" s="66"/>
      <c r="AW718" s="66"/>
      <c r="AX718" s="66"/>
      <c r="AY718" s="66"/>
      <c r="AZ718" s="66"/>
      <c r="BA718" s="66"/>
      <c r="BB718" s="66"/>
      <c r="BC718" s="66"/>
      <c r="BD718" s="66"/>
      <c r="BE718" s="66"/>
      <c r="BF718" s="66"/>
      <c r="BG718" s="66"/>
      <c r="BH718" s="24"/>
      <c r="BL718" s="14"/>
      <c r="BM718" s="14"/>
      <c r="BO718" s="24"/>
      <c r="CE718" s="24"/>
      <c r="CT718" s="14"/>
    </row>
    <row r="719" spans="1:98">
      <c r="A719" s="24"/>
      <c r="B719" s="24"/>
      <c r="H719" s="14"/>
      <c r="P719" s="24"/>
      <c r="W719" s="24"/>
      <c r="AC719" s="14"/>
      <c r="AK719" s="71"/>
      <c r="AL719" s="66"/>
      <c r="AM719" s="66"/>
      <c r="AN719" s="66"/>
      <c r="AO719" s="66"/>
      <c r="AP719" s="66"/>
      <c r="AQ719" s="66"/>
      <c r="AR719" s="71"/>
      <c r="AS719" s="80" t="s">
        <v>487</v>
      </c>
      <c r="AT719" s="70"/>
      <c r="AU719" s="70"/>
      <c r="AV719" s="66"/>
      <c r="AW719" s="66"/>
      <c r="AX719" s="66"/>
      <c r="AY719" s="66"/>
      <c r="AZ719" s="66"/>
      <c r="BA719" s="66"/>
      <c r="BB719" s="66"/>
      <c r="BC719" s="66"/>
      <c r="BD719" s="66"/>
      <c r="BE719" s="66"/>
      <c r="BF719" s="66"/>
      <c r="BG719" s="66"/>
      <c r="BH719" s="24"/>
      <c r="BL719" s="14"/>
      <c r="BM719" s="14"/>
      <c r="BO719" s="24"/>
      <c r="CE719" s="24"/>
      <c r="CT719" s="14"/>
    </row>
    <row r="720" spans="1:98">
      <c r="A720" s="24"/>
      <c r="B720" s="24"/>
      <c r="H720" s="14"/>
      <c r="P720" s="24"/>
      <c r="W720" s="24"/>
      <c r="AC720" s="14"/>
      <c r="AK720" s="71"/>
      <c r="AL720" s="66"/>
      <c r="AM720" s="66"/>
      <c r="AN720" s="66"/>
      <c r="AO720" s="66"/>
      <c r="AP720" s="66"/>
      <c r="AQ720" s="66"/>
      <c r="AR720" s="71"/>
      <c r="AS720" s="70"/>
      <c r="AT720" s="66" t="s">
        <v>488</v>
      </c>
      <c r="AU720" s="70"/>
      <c r="AV720" s="66"/>
      <c r="AW720" s="66"/>
      <c r="AX720" s="66"/>
      <c r="AY720" s="66"/>
      <c r="AZ720" s="66"/>
      <c r="BA720" s="66"/>
      <c r="BB720" s="66"/>
      <c r="BC720" s="66"/>
      <c r="BD720" s="66"/>
      <c r="BE720" s="66"/>
      <c r="BF720" s="66"/>
      <c r="BG720" s="66"/>
      <c r="BH720" s="24"/>
      <c r="BL720" s="14"/>
      <c r="BM720" s="14"/>
      <c r="BO720" s="24"/>
      <c r="CE720" s="24"/>
      <c r="CT720" s="14"/>
    </row>
    <row r="721" spans="1:98">
      <c r="A721" s="24"/>
      <c r="B721" s="24"/>
      <c r="H721" s="14"/>
      <c r="P721" s="24"/>
      <c r="W721" s="24"/>
      <c r="AC721" s="14"/>
      <c r="AK721" s="71"/>
      <c r="AL721" s="66"/>
      <c r="AM721" s="66"/>
      <c r="AN721" s="66"/>
      <c r="AO721" s="66"/>
      <c r="AP721" s="66"/>
      <c r="AQ721" s="66"/>
      <c r="AR721" s="71"/>
      <c r="AS721" s="70"/>
      <c r="AT721" s="70" t="s">
        <v>489</v>
      </c>
      <c r="AU721" s="70"/>
      <c r="AV721" s="66"/>
      <c r="AW721" s="66"/>
      <c r="AX721" s="66"/>
      <c r="AY721" s="66"/>
      <c r="AZ721" s="66"/>
      <c r="BA721" s="66"/>
      <c r="BB721" s="66"/>
      <c r="BC721" s="66"/>
      <c r="BD721" s="66"/>
      <c r="BE721" s="66"/>
      <c r="BF721" s="66"/>
      <c r="BG721" s="66"/>
      <c r="BH721" s="24"/>
      <c r="BL721" s="14"/>
      <c r="BM721" s="14"/>
      <c r="BO721" s="24"/>
      <c r="CE721" s="24"/>
      <c r="CT721" s="14"/>
    </row>
    <row r="722" spans="1:98">
      <c r="A722" s="24"/>
      <c r="B722" s="24"/>
      <c r="H722" s="14"/>
      <c r="P722" s="24"/>
      <c r="W722" s="24"/>
      <c r="AC722" s="14"/>
      <c r="AK722" s="71"/>
      <c r="AL722" s="66"/>
      <c r="AM722" s="66"/>
      <c r="AN722" s="66"/>
      <c r="AO722" s="66"/>
      <c r="AP722" s="66"/>
      <c r="AQ722" s="66"/>
      <c r="AR722" s="71"/>
      <c r="AS722" s="66"/>
      <c r="AT722" s="66"/>
      <c r="AV722" s="70"/>
      <c r="AW722" s="66"/>
      <c r="AX722" s="66"/>
      <c r="AY722" s="66"/>
      <c r="AZ722" s="66"/>
      <c r="BA722" s="66"/>
      <c r="BB722" s="66"/>
      <c r="BC722" s="66"/>
      <c r="BD722" s="66"/>
      <c r="BE722" s="66"/>
      <c r="BF722" s="66"/>
      <c r="BG722" s="66"/>
      <c r="BH722" s="24"/>
      <c r="BL722" s="14"/>
      <c r="BM722" s="14"/>
      <c r="BO722" s="24"/>
      <c r="CE722" s="24"/>
      <c r="CT722" s="14"/>
    </row>
    <row r="723" spans="1:98">
      <c r="A723" s="24"/>
      <c r="B723" s="24"/>
      <c r="H723" s="14"/>
      <c r="P723" s="24"/>
      <c r="W723" s="24"/>
      <c r="AC723" s="14"/>
      <c r="AK723" s="71"/>
      <c r="AL723" s="66"/>
      <c r="AM723" s="66"/>
      <c r="AN723" s="66"/>
      <c r="AO723" s="66"/>
      <c r="AP723" s="66"/>
      <c r="AQ723" s="66"/>
      <c r="AR723" s="71"/>
      <c r="AS723" s="66"/>
      <c r="AT723" s="66"/>
      <c r="AV723" s="70"/>
      <c r="AW723" s="66"/>
      <c r="AX723" s="66"/>
      <c r="AY723" s="66"/>
      <c r="AZ723" s="66"/>
      <c r="BA723" s="66"/>
      <c r="BB723" s="66"/>
      <c r="BC723" s="66"/>
      <c r="BD723" s="66"/>
      <c r="BE723" s="66"/>
      <c r="BF723" s="66"/>
      <c r="BG723" s="66"/>
      <c r="BH723" s="24"/>
      <c r="BL723" s="14"/>
      <c r="BM723" s="14"/>
      <c r="BO723" s="24"/>
      <c r="CE723" s="24"/>
      <c r="CT723" s="14"/>
    </row>
    <row r="724" spans="1:98">
      <c r="A724" s="24"/>
      <c r="B724" s="24"/>
      <c r="H724" s="14"/>
      <c r="P724" s="24"/>
      <c r="W724" s="24"/>
      <c r="AC724" s="14"/>
      <c r="AK724" s="71"/>
      <c r="AL724" s="66"/>
      <c r="AM724" s="66"/>
      <c r="AN724" s="66"/>
      <c r="AO724" s="66"/>
      <c r="AP724" s="66"/>
      <c r="AQ724" s="66"/>
      <c r="AR724" s="71"/>
      <c r="AS724" s="66"/>
      <c r="AT724" s="66"/>
      <c r="AV724" s="70"/>
      <c r="AW724" s="66"/>
      <c r="AX724" s="66"/>
      <c r="AY724" s="66"/>
      <c r="AZ724" s="66"/>
      <c r="BA724" s="66"/>
      <c r="BB724" s="66"/>
      <c r="BC724" s="66"/>
      <c r="BD724" s="66"/>
      <c r="BE724" s="66"/>
      <c r="BF724" s="66"/>
      <c r="BG724" s="66"/>
      <c r="BH724" s="24"/>
      <c r="BL724" s="14"/>
      <c r="BM724" s="14"/>
      <c r="BO724" s="24"/>
      <c r="CE724" s="24"/>
      <c r="CT724" s="14"/>
    </row>
    <row r="725" spans="1:98">
      <c r="A725" s="24"/>
      <c r="B725" s="24"/>
      <c r="H725" s="14"/>
      <c r="P725" s="24"/>
      <c r="W725" s="24"/>
      <c r="AC725" s="14"/>
      <c r="AK725" s="71"/>
      <c r="AL725" s="66"/>
      <c r="AM725" s="66"/>
      <c r="AN725" s="66"/>
      <c r="AO725" s="66"/>
      <c r="AP725" s="66"/>
      <c r="AQ725" s="66"/>
      <c r="AR725" s="71"/>
      <c r="AS725" s="66"/>
      <c r="AT725" s="66"/>
      <c r="AV725" s="70"/>
      <c r="AW725" s="66"/>
      <c r="AX725" s="66"/>
      <c r="AY725" s="66"/>
      <c r="AZ725" s="66"/>
      <c r="BA725" s="66"/>
      <c r="BB725" s="66"/>
      <c r="BC725" s="66"/>
      <c r="BD725" s="66"/>
      <c r="BE725" s="66"/>
      <c r="BF725" s="66"/>
      <c r="BG725" s="66"/>
      <c r="BH725" s="24"/>
      <c r="BL725" s="14"/>
      <c r="BM725" s="14"/>
      <c r="BO725" s="24"/>
      <c r="CE725" s="24"/>
      <c r="CT725" s="14"/>
    </row>
    <row r="726" spans="1:98">
      <c r="A726" s="24"/>
      <c r="B726" s="24"/>
      <c r="H726" s="14"/>
      <c r="P726" s="24"/>
      <c r="W726" s="24"/>
      <c r="AC726" s="14"/>
      <c r="AK726" s="71"/>
      <c r="AL726" s="66"/>
      <c r="AM726" s="66"/>
      <c r="AN726" s="66"/>
      <c r="AO726" s="66"/>
      <c r="AP726" s="66"/>
      <c r="AQ726" s="66"/>
      <c r="AR726" s="71"/>
      <c r="AS726" s="70"/>
      <c r="AT726" s="70"/>
      <c r="AU726" s="70"/>
      <c r="AV726" s="70"/>
      <c r="AW726" s="66"/>
      <c r="AX726" s="66"/>
      <c r="AY726" s="66"/>
      <c r="AZ726" s="66"/>
      <c r="BA726" s="66"/>
      <c r="BB726" s="66"/>
      <c r="BC726" s="66"/>
      <c r="BD726" s="66"/>
      <c r="BE726" s="66"/>
      <c r="BF726" s="66"/>
      <c r="BG726" s="66"/>
      <c r="BH726" s="24"/>
      <c r="BL726" s="14"/>
      <c r="BM726" s="14"/>
      <c r="BO726" s="24"/>
      <c r="CE726" s="24"/>
      <c r="CT726" s="14"/>
    </row>
    <row r="727" spans="1:98">
      <c r="A727" s="24"/>
      <c r="B727" s="24"/>
      <c r="H727" s="14"/>
      <c r="P727" s="24"/>
      <c r="W727" s="24"/>
      <c r="AC727" s="14"/>
      <c r="AK727" s="71"/>
      <c r="AL727" s="66"/>
      <c r="AM727" s="66"/>
      <c r="AN727" s="66"/>
      <c r="AO727" s="66"/>
      <c r="AP727" s="66"/>
      <c r="AQ727" s="66"/>
      <c r="AR727" s="71"/>
      <c r="AS727" s="80" t="s">
        <v>490</v>
      </c>
      <c r="AT727" s="70"/>
      <c r="AU727" s="70"/>
      <c r="AV727" s="66"/>
      <c r="AW727" s="66"/>
      <c r="AX727" s="66"/>
      <c r="AY727" s="66"/>
      <c r="AZ727" s="66"/>
      <c r="BA727" s="66"/>
      <c r="BB727" s="66"/>
      <c r="BC727" s="66"/>
      <c r="BD727" s="66"/>
      <c r="BE727" s="66"/>
      <c r="BF727" s="66"/>
      <c r="BG727" s="66"/>
      <c r="BH727" s="24"/>
      <c r="BL727" s="14"/>
      <c r="BM727" s="14"/>
      <c r="BO727" s="24"/>
      <c r="CE727" s="24"/>
      <c r="CT727" s="14"/>
    </row>
    <row r="728" spans="1:98">
      <c r="A728" s="24"/>
      <c r="B728" s="24"/>
      <c r="H728" s="14"/>
      <c r="P728" s="24"/>
      <c r="W728" s="24"/>
      <c r="AC728" s="14"/>
      <c r="AK728" s="71"/>
      <c r="AL728" s="66"/>
      <c r="AM728" s="66"/>
      <c r="AN728" s="66"/>
      <c r="AO728" s="66"/>
      <c r="AP728" s="66"/>
      <c r="AQ728" s="66"/>
      <c r="AR728" s="71"/>
      <c r="AS728" s="70"/>
      <c r="AT728" s="66" t="s">
        <v>491</v>
      </c>
      <c r="AU728" s="70"/>
      <c r="AV728" s="66"/>
      <c r="AW728" s="66"/>
      <c r="AX728" s="66"/>
      <c r="AY728" s="66"/>
      <c r="AZ728" s="66"/>
      <c r="BA728" s="66"/>
      <c r="BB728" s="66"/>
      <c r="BC728" s="66"/>
      <c r="BD728" s="66"/>
      <c r="BE728" s="66"/>
      <c r="BF728" s="66"/>
      <c r="BG728" s="66"/>
      <c r="BH728" s="24"/>
      <c r="BL728" s="14"/>
      <c r="BM728" s="14"/>
      <c r="BO728" s="24"/>
      <c r="CE728" s="24"/>
      <c r="CT728" s="14"/>
    </row>
    <row r="729" spans="1:98">
      <c r="A729" s="24"/>
      <c r="B729" s="24"/>
      <c r="H729" s="14"/>
      <c r="P729" s="24"/>
      <c r="W729" s="24"/>
      <c r="AC729" s="14"/>
      <c r="AK729" s="71"/>
      <c r="AL729" s="66"/>
      <c r="AM729" s="66"/>
      <c r="AN729" s="66"/>
      <c r="AO729" s="66"/>
      <c r="AP729" s="66"/>
      <c r="AQ729" s="66"/>
      <c r="AR729" s="71"/>
      <c r="AS729" s="70"/>
      <c r="AT729" s="70" t="s">
        <v>486</v>
      </c>
      <c r="AU729" s="70"/>
      <c r="AV729" s="66"/>
      <c r="AW729" s="66"/>
      <c r="AX729" s="66"/>
      <c r="AY729" s="66"/>
      <c r="AZ729" s="66"/>
      <c r="BA729" s="66"/>
      <c r="BB729" s="66"/>
      <c r="BC729" s="66"/>
      <c r="BD729" s="66"/>
      <c r="BE729" s="66"/>
      <c r="BF729" s="66"/>
      <c r="BG729" s="66"/>
      <c r="BH729" s="24"/>
      <c r="BL729" s="14"/>
      <c r="BM729" s="14"/>
      <c r="BO729" s="24"/>
      <c r="CE729" s="24"/>
      <c r="CT729" s="14"/>
    </row>
    <row r="730" spans="1:98">
      <c r="A730" s="24"/>
      <c r="B730" s="24"/>
      <c r="H730" s="14"/>
      <c r="P730" s="24"/>
      <c r="W730" s="24"/>
      <c r="AC730" s="14"/>
      <c r="AK730" s="71"/>
      <c r="AL730" s="66"/>
      <c r="AM730" s="66"/>
      <c r="AN730" s="66"/>
      <c r="AO730" s="66"/>
      <c r="AP730" s="66"/>
      <c r="AQ730" s="66"/>
      <c r="AR730" s="71"/>
      <c r="AS730" s="66"/>
      <c r="AT730" s="66"/>
      <c r="AV730" s="70"/>
      <c r="AW730" s="66"/>
      <c r="AX730" s="66"/>
      <c r="AY730" s="66"/>
      <c r="AZ730" s="66"/>
      <c r="BA730" s="66"/>
      <c r="BB730" s="66"/>
      <c r="BC730" s="66"/>
      <c r="BD730" s="66"/>
      <c r="BE730" s="66"/>
      <c r="BF730" s="66"/>
      <c r="BG730" s="66"/>
      <c r="BH730" s="24"/>
      <c r="BL730" s="14"/>
      <c r="BM730" s="14"/>
      <c r="BO730" s="24"/>
      <c r="CE730" s="24"/>
      <c r="CT730" s="14"/>
    </row>
    <row r="731" spans="1:98">
      <c r="A731" s="24"/>
      <c r="B731" s="24"/>
      <c r="H731" s="14"/>
      <c r="P731" s="24"/>
      <c r="W731" s="24"/>
      <c r="AC731" s="14"/>
      <c r="AK731" s="71"/>
      <c r="AL731" s="66"/>
      <c r="AM731" s="66"/>
      <c r="AN731" s="66"/>
      <c r="AO731" s="66"/>
      <c r="AP731" s="66"/>
      <c r="AQ731" s="66"/>
      <c r="AR731" s="71"/>
      <c r="AS731" s="66"/>
      <c r="AT731" s="66"/>
      <c r="AV731" s="70"/>
      <c r="AW731" s="66"/>
      <c r="AX731" s="66"/>
      <c r="AY731" s="66"/>
      <c r="AZ731" s="66"/>
      <c r="BA731" s="66"/>
      <c r="BB731" s="66"/>
      <c r="BC731" s="66"/>
      <c r="BD731" s="66"/>
      <c r="BE731" s="66"/>
      <c r="BF731" s="66"/>
      <c r="BG731" s="66"/>
      <c r="BH731" s="24"/>
      <c r="BL731" s="14"/>
      <c r="BM731" s="14"/>
      <c r="BO731" s="24"/>
      <c r="CE731" s="24"/>
      <c r="CT731" s="14"/>
    </row>
    <row r="732" spans="1:98">
      <c r="A732" s="24"/>
      <c r="B732" s="24"/>
      <c r="H732" s="14"/>
      <c r="P732" s="24"/>
      <c r="W732" s="24"/>
      <c r="AC732" s="14"/>
      <c r="AK732" s="71"/>
      <c r="AL732" s="66"/>
      <c r="AM732" s="66"/>
      <c r="AN732" s="66"/>
      <c r="AO732" s="66"/>
      <c r="AP732" s="66"/>
      <c r="AQ732" s="66"/>
      <c r="AR732" s="71"/>
      <c r="AS732" s="66"/>
      <c r="AT732" s="66"/>
      <c r="AV732" s="70"/>
      <c r="AW732" s="66"/>
      <c r="AX732" s="66"/>
      <c r="AY732" s="66"/>
      <c r="AZ732" s="66"/>
      <c r="BA732" s="66"/>
      <c r="BB732" s="66"/>
      <c r="BC732" s="66"/>
      <c r="BD732" s="66"/>
      <c r="BE732" s="66"/>
      <c r="BF732" s="66"/>
      <c r="BG732" s="66"/>
      <c r="BH732" s="24"/>
      <c r="BL732" s="14"/>
      <c r="BM732" s="14"/>
      <c r="BO732" s="24"/>
      <c r="CE732" s="24"/>
      <c r="CT732" s="14"/>
    </row>
    <row r="733" spans="1:98">
      <c r="A733" s="24"/>
      <c r="B733" s="24"/>
      <c r="H733" s="14"/>
      <c r="P733" s="24"/>
      <c r="W733" s="24"/>
      <c r="AC733" s="14"/>
      <c r="AK733" s="71"/>
      <c r="AL733" s="66"/>
      <c r="AM733" s="66"/>
      <c r="AN733" s="66"/>
      <c r="AO733" s="66"/>
      <c r="AP733" s="66"/>
      <c r="AQ733" s="66"/>
      <c r="AR733" s="71"/>
      <c r="AS733" s="66"/>
      <c r="AT733" s="66"/>
      <c r="AV733" s="70"/>
      <c r="AW733" s="66"/>
      <c r="AX733" s="66"/>
      <c r="AY733" s="66"/>
      <c r="AZ733" s="66"/>
      <c r="BA733" s="66"/>
      <c r="BB733" s="66"/>
      <c r="BC733" s="66"/>
      <c r="BD733" s="66"/>
      <c r="BE733" s="66"/>
      <c r="BF733" s="66"/>
      <c r="BG733" s="66"/>
      <c r="BH733" s="24"/>
      <c r="BL733" s="14"/>
      <c r="BM733" s="14"/>
      <c r="BO733" s="24"/>
      <c r="CE733" s="24"/>
      <c r="CT733" s="14"/>
    </row>
    <row r="734" spans="1:98">
      <c r="A734" s="24"/>
      <c r="B734" s="24"/>
      <c r="H734" s="14"/>
      <c r="P734" s="24"/>
      <c r="W734" s="24"/>
      <c r="AC734" s="14"/>
      <c r="AK734" s="71"/>
      <c r="AL734" s="66"/>
      <c r="AM734" s="66"/>
      <c r="AN734" s="66"/>
      <c r="AO734" s="66"/>
      <c r="AP734" s="66"/>
      <c r="AQ734" s="66"/>
      <c r="AR734" s="71"/>
      <c r="AS734" s="66"/>
      <c r="AT734" s="66"/>
      <c r="AV734" s="70"/>
      <c r="AW734" s="66"/>
      <c r="AX734" s="66"/>
      <c r="AY734" s="66"/>
      <c r="AZ734" s="66"/>
      <c r="BA734" s="66"/>
      <c r="BB734" s="66"/>
      <c r="BC734" s="66"/>
      <c r="BD734" s="66"/>
      <c r="BE734" s="66"/>
      <c r="BF734" s="66"/>
      <c r="BG734" s="66"/>
      <c r="BH734" s="24"/>
      <c r="BL734" s="14"/>
      <c r="BM734" s="14"/>
      <c r="BO734" s="24"/>
      <c r="CE734" s="24"/>
      <c r="CT734" s="14"/>
    </row>
    <row r="735" spans="1:98">
      <c r="A735" s="24"/>
      <c r="B735" s="24"/>
      <c r="H735" s="14"/>
      <c r="P735" s="24"/>
      <c r="W735" s="24"/>
      <c r="AC735" s="14"/>
      <c r="AK735" s="71"/>
      <c r="AL735" s="66"/>
      <c r="AM735" s="66"/>
      <c r="AN735" s="66"/>
      <c r="AO735" s="66"/>
      <c r="AP735" s="66"/>
      <c r="AQ735" s="66"/>
      <c r="AR735" s="82" t="s">
        <v>492</v>
      </c>
      <c r="AS735" s="66"/>
      <c r="AT735" s="66"/>
      <c r="AV735" s="70"/>
      <c r="AW735" s="66"/>
      <c r="AX735" s="66"/>
      <c r="AY735" s="66"/>
      <c r="AZ735" s="66"/>
      <c r="BA735" s="66"/>
      <c r="BB735" s="66"/>
      <c r="BC735" s="66"/>
      <c r="BD735" s="66"/>
      <c r="BE735" s="66"/>
      <c r="BF735" s="66"/>
      <c r="BG735" s="66"/>
      <c r="BH735" s="24"/>
      <c r="BL735" s="14"/>
      <c r="BM735" s="14"/>
      <c r="BO735" s="24"/>
      <c r="CE735" s="24"/>
      <c r="CT735" s="14"/>
    </row>
    <row r="736" spans="1:98">
      <c r="A736" s="24"/>
      <c r="B736" s="24"/>
      <c r="H736" s="14"/>
      <c r="P736" s="24"/>
      <c r="W736" s="24"/>
      <c r="AC736" s="14"/>
      <c r="AK736" s="71"/>
      <c r="AL736" s="66"/>
      <c r="AM736" s="66"/>
      <c r="AN736" s="66"/>
      <c r="AO736" s="66"/>
      <c r="AP736" s="66"/>
      <c r="AQ736" s="66"/>
      <c r="AR736" s="71"/>
      <c r="AS736" s="66"/>
      <c r="AT736" s="66"/>
      <c r="AV736" s="66"/>
      <c r="AW736" s="66"/>
      <c r="AX736" s="66"/>
      <c r="AY736" s="66"/>
      <c r="AZ736" s="66"/>
      <c r="BA736" s="66"/>
      <c r="BB736" s="66"/>
      <c r="BC736" s="66"/>
      <c r="BD736" s="66"/>
      <c r="BE736" s="66"/>
      <c r="BF736" s="66"/>
      <c r="BG736" s="66"/>
      <c r="BH736" s="24"/>
      <c r="BL736" s="14"/>
      <c r="BM736" s="14"/>
      <c r="BO736" s="24"/>
      <c r="CE736" s="24"/>
      <c r="CT736" s="14"/>
    </row>
    <row r="737" spans="1:98">
      <c r="A737" s="24"/>
      <c r="B737" s="24"/>
      <c r="H737" s="14"/>
      <c r="P737" s="24"/>
      <c r="W737" s="24"/>
      <c r="AC737" s="14"/>
      <c r="AK737" s="71"/>
      <c r="AL737" s="66"/>
      <c r="AM737" s="66"/>
      <c r="AN737" s="66"/>
      <c r="AO737" s="66"/>
      <c r="AP737" s="66"/>
      <c r="AQ737" s="66"/>
      <c r="AR737" s="71"/>
      <c r="AS737" s="80" t="s">
        <v>493</v>
      </c>
      <c r="AT737" s="70"/>
      <c r="AU737" s="70"/>
      <c r="AV737" s="66"/>
      <c r="AW737" s="66"/>
      <c r="AX737" s="66"/>
      <c r="AY737" s="66"/>
      <c r="AZ737" s="66"/>
      <c r="BA737" s="66"/>
      <c r="BB737" s="66"/>
      <c r="BC737" s="66"/>
      <c r="BD737" s="66"/>
      <c r="BE737" s="66"/>
      <c r="BF737" s="66"/>
      <c r="BG737" s="66"/>
      <c r="BH737" s="24"/>
      <c r="BL737" s="14"/>
      <c r="BM737" s="14"/>
      <c r="BO737" s="24"/>
      <c r="CE737" s="24"/>
      <c r="CT737" s="14"/>
    </row>
    <row r="738" spans="1:98">
      <c r="A738" s="24"/>
      <c r="B738" s="24"/>
      <c r="H738" s="14"/>
      <c r="P738" s="24"/>
      <c r="W738" s="24"/>
      <c r="AC738" s="14"/>
      <c r="AK738" s="71"/>
      <c r="AL738" s="66"/>
      <c r="AM738" s="66"/>
      <c r="AN738" s="66"/>
      <c r="AO738" s="66"/>
      <c r="AP738" s="66"/>
      <c r="AQ738" s="66"/>
      <c r="AR738" s="71"/>
      <c r="AS738" s="70"/>
      <c r="AT738" s="66" t="s">
        <v>494</v>
      </c>
      <c r="AU738" s="70"/>
      <c r="AV738" s="66"/>
      <c r="AW738" s="66"/>
      <c r="AX738" s="66"/>
      <c r="AY738" s="66"/>
      <c r="AZ738" s="66"/>
      <c r="BA738" s="66"/>
      <c r="BB738" s="66"/>
      <c r="BC738" s="66"/>
      <c r="BD738" s="66"/>
      <c r="BE738" s="66"/>
      <c r="BF738" s="66"/>
      <c r="BG738" s="66"/>
      <c r="BH738" s="24"/>
      <c r="BL738" s="14"/>
      <c r="BM738" s="14"/>
      <c r="BO738" s="24"/>
      <c r="CE738" s="24"/>
      <c r="CT738" s="14"/>
    </row>
    <row r="739" spans="1:98">
      <c r="A739" s="24"/>
      <c r="B739" s="24"/>
      <c r="H739" s="14"/>
      <c r="P739" s="24"/>
      <c r="W739" s="24"/>
      <c r="AC739" s="14"/>
      <c r="AK739" s="71"/>
      <c r="AL739" s="66"/>
      <c r="AM739" s="66"/>
      <c r="AN739" s="66"/>
      <c r="AO739" s="66"/>
      <c r="AP739" s="66"/>
      <c r="AQ739" s="66"/>
      <c r="AR739" s="71"/>
      <c r="AS739" s="70"/>
      <c r="AT739" s="70" t="s">
        <v>486</v>
      </c>
      <c r="AU739" s="70"/>
      <c r="AV739" s="66"/>
      <c r="AW739" s="66"/>
      <c r="AX739" s="66"/>
      <c r="AY739" s="66"/>
      <c r="AZ739" s="66"/>
      <c r="BA739" s="66"/>
      <c r="BB739" s="66"/>
      <c r="BC739" s="66"/>
      <c r="BD739" s="66"/>
      <c r="BE739" s="66"/>
      <c r="BF739" s="66"/>
      <c r="BG739" s="66"/>
      <c r="BH739" s="24"/>
      <c r="BL739" s="14"/>
      <c r="BM739" s="14"/>
      <c r="BO739" s="24"/>
      <c r="CE739" s="24"/>
      <c r="CT739" s="14"/>
    </row>
    <row r="740" spans="1:98">
      <c r="A740" s="24"/>
      <c r="B740" s="24"/>
      <c r="H740" s="14"/>
      <c r="P740" s="24"/>
      <c r="W740" s="24"/>
      <c r="AC740" s="14"/>
      <c r="AK740" s="71"/>
      <c r="AL740" s="66"/>
      <c r="AM740" s="66"/>
      <c r="AN740" s="66"/>
      <c r="AO740" s="66"/>
      <c r="AP740" s="66"/>
      <c r="AQ740" s="66"/>
      <c r="AR740" s="71"/>
      <c r="AS740" s="66"/>
      <c r="AT740" s="66"/>
      <c r="AV740" s="70"/>
      <c r="AW740" s="66"/>
      <c r="AX740" s="66"/>
      <c r="AY740" s="66"/>
      <c r="AZ740" s="66"/>
      <c r="BA740" s="66"/>
      <c r="BB740" s="66"/>
      <c r="BC740" s="66"/>
      <c r="BD740" s="66"/>
      <c r="BE740" s="66"/>
      <c r="BF740" s="66"/>
      <c r="BG740" s="66"/>
      <c r="BH740" s="24"/>
      <c r="BL740" s="14"/>
      <c r="BM740" s="14"/>
      <c r="BO740" s="24"/>
      <c r="CE740" s="24"/>
      <c r="CT740" s="14"/>
    </row>
    <row r="741" spans="1:98">
      <c r="A741" s="24"/>
      <c r="B741" s="24"/>
      <c r="H741" s="14"/>
      <c r="P741" s="24"/>
      <c r="W741" s="24"/>
      <c r="AC741" s="14"/>
      <c r="AK741" s="71"/>
      <c r="AL741" s="66"/>
      <c r="AM741" s="66"/>
      <c r="AN741" s="66"/>
      <c r="AO741" s="66"/>
      <c r="AP741" s="66"/>
      <c r="AQ741" s="66"/>
      <c r="AR741" s="71"/>
      <c r="AS741" s="66"/>
      <c r="AT741" s="66"/>
      <c r="AV741" s="70"/>
      <c r="AW741" s="66"/>
      <c r="AX741" s="66"/>
      <c r="AY741" s="66"/>
      <c r="AZ741" s="66"/>
      <c r="BA741" s="66"/>
      <c r="BB741" s="66"/>
      <c r="BC741" s="66"/>
      <c r="BD741" s="66"/>
      <c r="BE741" s="66"/>
      <c r="BF741" s="66"/>
      <c r="BG741" s="66"/>
      <c r="BH741" s="24"/>
      <c r="BL741" s="14"/>
      <c r="BM741" s="14"/>
      <c r="BO741" s="24"/>
      <c r="CE741" s="24"/>
      <c r="CT741" s="14"/>
    </row>
    <row r="742" spans="1:98">
      <c r="A742" s="24"/>
      <c r="B742" s="24"/>
      <c r="H742" s="14"/>
      <c r="P742" s="24"/>
      <c r="W742" s="24"/>
      <c r="AC742" s="14"/>
      <c r="AK742" s="71"/>
      <c r="AL742" s="66"/>
      <c r="AM742" s="66"/>
      <c r="AN742" s="66"/>
      <c r="AO742" s="66"/>
      <c r="AP742" s="66"/>
      <c r="AQ742" s="66"/>
      <c r="AR742" s="71"/>
      <c r="AS742" s="66"/>
      <c r="AT742" s="66"/>
      <c r="AV742" s="70"/>
      <c r="AW742" s="66"/>
      <c r="AX742" s="66"/>
      <c r="AY742" s="66"/>
      <c r="AZ742" s="66"/>
      <c r="BA742" s="66"/>
      <c r="BB742" s="66"/>
      <c r="BC742" s="66"/>
      <c r="BD742" s="66"/>
      <c r="BE742" s="66"/>
      <c r="BF742" s="66"/>
      <c r="BG742" s="66"/>
      <c r="BH742" s="24"/>
      <c r="BL742" s="14"/>
      <c r="BM742" s="14"/>
      <c r="BO742" s="24"/>
      <c r="CE742" s="24"/>
      <c r="CT742" s="14"/>
    </row>
    <row r="743" spans="1:98">
      <c r="A743" s="24"/>
      <c r="B743" s="24"/>
      <c r="H743" s="14"/>
      <c r="P743" s="24"/>
      <c r="W743" s="24"/>
      <c r="AC743" s="14"/>
      <c r="AK743" s="71"/>
      <c r="AL743" s="66"/>
      <c r="AM743" s="66"/>
      <c r="AN743" s="66"/>
      <c r="AO743" s="66"/>
      <c r="AP743" s="66"/>
      <c r="AQ743" s="66"/>
      <c r="AR743" s="71"/>
      <c r="AS743" s="66"/>
      <c r="AT743" s="66"/>
      <c r="AV743" s="70"/>
      <c r="AW743" s="66"/>
      <c r="AX743" s="66"/>
      <c r="AY743" s="66"/>
      <c r="AZ743" s="66"/>
      <c r="BA743" s="66"/>
      <c r="BB743" s="66"/>
      <c r="BC743" s="66"/>
      <c r="BD743" s="66"/>
      <c r="BE743" s="66"/>
      <c r="BF743" s="66"/>
      <c r="BG743" s="66"/>
      <c r="BH743" s="24"/>
      <c r="BL743" s="14"/>
      <c r="BM743" s="14"/>
      <c r="BO743" s="24"/>
      <c r="CE743" s="24"/>
      <c r="CT743" s="14"/>
    </row>
    <row r="744" spans="1:98">
      <c r="A744" s="24"/>
      <c r="B744" s="24"/>
      <c r="H744" s="14"/>
      <c r="P744" s="24"/>
      <c r="W744" s="24"/>
      <c r="AC744" s="14"/>
      <c r="AK744" s="71"/>
      <c r="AL744" s="66"/>
      <c r="AM744" s="66"/>
      <c r="AN744" s="66"/>
      <c r="AO744" s="66"/>
      <c r="AP744" s="66"/>
      <c r="AQ744" s="66"/>
      <c r="AR744" s="71"/>
      <c r="AS744" s="66"/>
      <c r="AT744" s="66"/>
      <c r="AV744" s="70"/>
      <c r="AW744" s="66"/>
      <c r="AX744" s="66"/>
      <c r="AY744" s="66"/>
      <c r="AZ744" s="66"/>
      <c r="BA744" s="66"/>
      <c r="BB744" s="66"/>
      <c r="BC744" s="66"/>
      <c r="BD744" s="66"/>
      <c r="BE744" s="66"/>
      <c r="BF744" s="66"/>
      <c r="BG744" s="66"/>
      <c r="BH744" s="24"/>
      <c r="BL744" s="14"/>
      <c r="BM744" s="14"/>
      <c r="BO744" s="24"/>
      <c r="CE744" s="24"/>
      <c r="CT744" s="14"/>
    </row>
    <row r="745" spans="1:98">
      <c r="A745" s="24"/>
      <c r="B745" s="24"/>
      <c r="H745" s="14"/>
      <c r="P745" s="24"/>
      <c r="W745" s="24"/>
      <c r="AC745" s="14"/>
      <c r="AK745" s="71"/>
      <c r="AL745" s="66"/>
      <c r="AM745" s="66"/>
      <c r="AN745" s="66"/>
      <c r="AO745" s="66"/>
      <c r="AP745" s="66"/>
      <c r="AQ745" s="66"/>
      <c r="AR745" s="71"/>
      <c r="AS745" s="66"/>
      <c r="AT745" s="66"/>
      <c r="AV745" s="70"/>
      <c r="AW745" s="66"/>
      <c r="AX745" s="66"/>
      <c r="AY745" s="66"/>
      <c r="AZ745" s="66"/>
      <c r="BA745" s="66"/>
      <c r="BB745" s="66"/>
      <c r="BC745" s="66"/>
      <c r="BD745" s="66"/>
      <c r="BE745" s="66"/>
      <c r="BF745" s="66"/>
      <c r="BG745" s="66"/>
      <c r="BH745" s="24"/>
      <c r="BL745" s="14"/>
      <c r="BM745" s="14"/>
      <c r="BO745" s="24"/>
      <c r="CE745" s="24"/>
      <c r="CT745" s="14"/>
    </row>
    <row r="746" spans="1:98">
      <c r="A746" s="42"/>
      <c r="B746" s="24"/>
      <c r="H746" s="14"/>
      <c r="P746" s="24"/>
      <c r="W746" s="24"/>
      <c r="AC746" s="14"/>
      <c r="AK746" s="71"/>
      <c r="AL746" s="66"/>
      <c r="AM746" s="66"/>
      <c r="AN746" s="66"/>
      <c r="AO746" s="66"/>
      <c r="AP746" s="66"/>
      <c r="AQ746" s="66"/>
      <c r="AR746" s="71"/>
      <c r="AS746" s="70"/>
      <c r="AT746" s="70"/>
      <c r="AU746" s="70"/>
      <c r="AV746" s="70"/>
      <c r="AW746" s="66"/>
      <c r="AX746" s="66"/>
      <c r="AY746" s="66"/>
      <c r="AZ746" s="66"/>
      <c r="BA746" s="66"/>
      <c r="BB746" s="66"/>
      <c r="BC746" s="66"/>
      <c r="BD746" s="66"/>
      <c r="BE746" s="66"/>
      <c r="BF746" s="66"/>
      <c r="BG746" s="66"/>
      <c r="BH746" s="24"/>
      <c r="BL746" s="14"/>
      <c r="BM746" s="42"/>
      <c r="BO746" s="24"/>
      <c r="CE746" s="24"/>
      <c r="CT746" s="14"/>
    </row>
    <row r="747" spans="1:98">
      <c r="A747" s="24"/>
      <c r="B747" s="24"/>
      <c r="H747" s="14"/>
      <c r="P747" s="24"/>
      <c r="W747" s="24"/>
      <c r="AC747" s="14"/>
      <c r="AK747" s="71"/>
      <c r="AL747" s="66"/>
      <c r="AM747" s="66"/>
      <c r="AN747" s="66"/>
      <c r="AO747" s="66"/>
      <c r="AP747" s="66"/>
      <c r="AQ747" s="66"/>
      <c r="AR747" s="71"/>
      <c r="AS747" s="70"/>
      <c r="AT747" s="70"/>
      <c r="AU747" s="70"/>
      <c r="AV747" s="70"/>
      <c r="AW747" s="66"/>
      <c r="AX747" s="66"/>
      <c r="AY747" s="66"/>
      <c r="AZ747" s="66"/>
      <c r="BA747" s="66"/>
      <c r="BB747" s="66"/>
      <c r="BC747" s="66"/>
      <c r="BD747" s="66"/>
      <c r="BE747" s="66"/>
      <c r="BF747" s="66"/>
      <c r="BG747" s="66"/>
      <c r="BH747" s="24"/>
      <c r="BL747" s="14"/>
      <c r="BM747" s="14"/>
      <c r="BO747" s="24"/>
      <c r="CE747" s="24"/>
      <c r="CT747" s="14"/>
    </row>
    <row r="748" spans="1:98">
      <c r="A748" s="24"/>
      <c r="B748" s="24"/>
      <c r="H748" s="14"/>
      <c r="P748" s="24"/>
      <c r="W748" s="24"/>
      <c r="AC748" s="14"/>
      <c r="AK748" s="71"/>
      <c r="AL748" s="66"/>
      <c r="AM748" s="66"/>
      <c r="AN748" s="66"/>
      <c r="AO748" s="66"/>
      <c r="AP748" s="66"/>
      <c r="AQ748" s="66"/>
      <c r="AR748" s="71"/>
      <c r="AS748" s="70"/>
      <c r="AT748" s="70"/>
      <c r="AU748" s="70"/>
      <c r="AV748" s="70"/>
      <c r="AW748" s="66"/>
      <c r="AX748" s="66"/>
      <c r="AY748" s="66"/>
      <c r="AZ748" s="66"/>
      <c r="BA748" s="66"/>
      <c r="BB748" s="66"/>
      <c r="BC748" s="66"/>
      <c r="BD748" s="66"/>
      <c r="BE748" s="66"/>
      <c r="BF748" s="66"/>
      <c r="BG748" s="66"/>
      <c r="BH748" s="24"/>
      <c r="BL748" s="14"/>
      <c r="BM748" s="14"/>
      <c r="BO748" s="24"/>
      <c r="CE748" s="24"/>
      <c r="CT748" s="14"/>
    </row>
    <row r="749" spans="1:98">
      <c r="A749" s="24"/>
      <c r="B749" s="24"/>
      <c r="H749" s="14"/>
      <c r="P749" s="24"/>
      <c r="W749" s="24"/>
      <c r="AC749" s="14"/>
      <c r="AK749" s="71"/>
      <c r="AL749" s="66"/>
      <c r="AM749" s="66"/>
      <c r="AN749" s="66"/>
      <c r="AO749" s="66"/>
      <c r="AP749" s="66"/>
      <c r="AQ749" s="66"/>
      <c r="AR749" s="71"/>
      <c r="AS749" s="70"/>
      <c r="AT749" s="70"/>
      <c r="AU749" s="70"/>
      <c r="AV749" s="70"/>
      <c r="AW749" s="66"/>
      <c r="AX749" s="66"/>
      <c r="AY749" s="66"/>
      <c r="AZ749" s="66"/>
      <c r="BA749" s="66"/>
      <c r="BB749" s="66"/>
      <c r="BC749" s="66"/>
      <c r="BD749" s="66"/>
      <c r="BE749" s="66"/>
      <c r="BF749" s="66"/>
      <c r="BG749" s="66"/>
      <c r="BH749" s="24"/>
      <c r="BL749" s="14"/>
      <c r="BM749" s="14"/>
      <c r="BO749" s="24"/>
      <c r="CE749" s="24"/>
      <c r="CT749" s="14"/>
    </row>
    <row r="750" spans="1:98">
      <c r="A750" s="24"/>
      <c r="B750" s="24"/>
      <c r="H750" s="14"/>
      <c r="P750" s="24"/>
      <c r="W750" s="24"/>
      <c r="AC750" s="14"/>
      <c r="AK750" s="71"/>
      <c r="AL750" s="66"/>
      <c r="AM750" s="66"/>
      <c r="AN750" s="66"/>
      <c r="AO750" s="66"/>
      <c r="AP750" s="66"/>
      <c r="AQ750" s="66"/>
      <c r="AR750" s="71"/>
      <c r="AS750" s="70"/>
      <c r="AT750" s="70"/>
      <c r="AU750" s="70"/>
      <c r="AV750" s="70"/>
      <c r="AW750" s="66"/>
      <c r="AX750" s="66"/>
      <c r="AY750" s="66"/>
      <c r="AZ750" s="66"/>
      <c r="BA750" s="66"/>
      <c r="BB750" s="66"/>
      <c r="BC750" s="66"/>
      <c r="BD750" s="66"/>
      <c r="BE750" s="66"/>
      <c r="BF750" s="66"/>
      <c r="BG750" s="66"/>
      <c r="BH750" s="24"/>
      <c r="BL750" s="14"/>
      <c r="BM750" s="14"/>
      <c r="BO750" s="24"/>
      <c r="CE750" s="24"/>
      <c r="CT750" s="14"/>
    </row>
    <row r="751" spans="1:98">
      <c r="A751" s="24"/>
      <c r="B751" s="24"/>
      <c r="H751" s="14"/>
      <c r="P751" s="24"/>
      <c r="W751" s="24"/>
      <c r="AC751" s="14"/>
      <c r="AK751" s="71"/>
      <c r="AL751" s="66"/>
      <c r="AM751" s="66"/>
      <c r="AN751" s="66"/>
      <c r="AO751" s="66"/>
      <c r="AP751" s="66"/>
      <c r="AQ751" s="66"/>
      <c r="AR751" s="71"/>
      <c r="AS751" s="70"/>
      <c r="AT751" s="70"/>
      <c r="AU751" s="70"/>
      <c r="AV751" s="70"/>
      <c r="AW751" s="66"/>
      <c r="AX751" s="66"/>
      <c r="AY751" s="66"/>
      <c r="AZ751" s="66"/>
      <c r="BA751" s="66"/>
      <c r="BB751" s="66"/>
      <c r="BC751" s="66"/>
      <c r="BD751" s="66"/>
      <c r="BE751" s="66"/>
      <c r="BF751" s="66"/>
      <c r="BG751" s="66"/>
      <c r="BH751" s="24"/>
      <c r="BL751" s="14"/>
      <c r="BM751" s="14"/>
      <c r="BO751" s="24"/>
      <c r="CE751" s="24"/>
      <c r="CT751" s="14"/>
    </row>
    <row r="752" spans="1:98">
      <c r="A752" s="24"/>
      <c r="B752" s="24"/>
      <c r="H752" s="14"/>
      <c r="P752" s="24"/>
      <c r="W752" s="24"/>
      <c r="AC752" s="14"/>
      <c r="AK752" s="71"/>
      <c r="AL752" s="66"/>
      <c r="AM752" s="66"/>
      <c r="AN752" s="66"/>
      <c r="AO752" s="66"/>
      <c r="AP752" s="66"/>
      <c r="AQ752" s="66"/>
      <c r="AR752" s="71"/>
      <c r="AS752" s="70"/>
      <c r="AT752" s="70"/>
      <c r="AU752" s="70"/>
      <c r="AV752" s="70"/>
      <c r="AW752" s="66"/>
      <c r="AX752" s="66"/>
      <c r="AY752" s="66"/>
      <c r="AZ752" s="66"/>
      <c r="BA752" s="66"/>
      <c r="BB752" s="66"/>
      <c r="BC752" s="66"/>
      <c r="BD752" s="66"/>
      <c r="BE752" s="66"/>
      <c r="BF752" s="66"/>
      <c r="BG752" s="66"/>
      <c r="BH752" s="24"/>
      <c r="BL752" s="14"/>
      <c r="BM752" s="14"/>
      <c r="BO752" s="24"/>
      <c r="CE752" s="24"/>
      <c r="CT752" s="14"/>
    </row>
    <row r="753" spans="1:98">
      <c r="A753" s="24"/>
      <c r="B753" s="24"/>
      <c r="H753" s="14"/>
      <c r="P753" s="24"/>
      <c r="W753" s="24"/>
      <c r="AC753" s="14"/>
      <c r="AK753" s="71"/>
      <c r="AL753" s="66"/>
      <c r="AM753" s="66"/>
      <c r="AN753" s="66"/>
      <c r="AO753" s="66"/>
      <c r="AP753" s="66"/>
      <c r="AQ753" s="66"/>
      <c r="AR753" s="71"/>
      <c r="AS753" s="70"/>
      <c r="AT753" s="70"/>
      <c r="AU753" s="70"/>
      <c r="AV753" s="70"/>
      <c r="AW753" s="66"/>
      <c r="AX753" s="66"/>
      <c r="AY753" s="66"/>
      <c r="AZ753" s="66"/>
      <c r="BA753" s="66"/>
      <c r="BB753" s="66"/>
      <c r="BC753" s="66"/>
      <c r="BD753" s="66"/>
      <c r="BE753" s="66"/>
      <c r="BF753" s="66"/>
      <c r="BG753" s="66"/>
      <c r="BH753" s="24"/>
      <c r="BL753" s="14"/>
      <c r="BM753" s="14"/>
      <c r="BO753" s="24"/>
      <c r="CE753" s="24"/>
      <c r="CT753" s="14"/>
    </row>
    <row r="754" spans="1:98">
      <c r="A754" s="24"/>
      <c r="B754" s="24"/>
      <c r="H754" s="14"/>
      <c r="P754" s="24"/>
      <c r="W754" s="24"/>
      <c r="AC754" s="14"/>
      <c r="AK754" s="71"/>
      <c r="AL754" s="66"/>
      <c r="AM754" s="66"/>
      <c r="AN754" s="66"/>
      <c r="AO754" s="66"/>
      <c r="AP754" s="66"/>
      <c r="AQ754" s="66"/>
      <c r="AR754" s="71"/>
      <c r="AS754" s="70"/>
      <c r="AT754" s="70"/>
      <c r="AU754" s="70"/>
      <c r="AV754" s="70"/>
      <c r="AW754" s="66"/>
      <c r="AX754" s="66"/>
      <c r="AY754" s="66"/>
      <c r="AZ754" s="66"/>
      <c r="BA754" s="66"/>
      <c r="BB754" s="66"/>
      <c r="BC754" s="66"/>
      <c r="BD754" s="66"/>
      <c r="BE754" s="66"/>
      <c r="BF754" s="66"/>
      <c r="BG754" s="66"/>
      <c r="BH754" s="24"/>
      <c r="BL754" s="14"/>
      <c r="BM754" s="14"/>
      <c r="BO754" s="24"/>
      <c r="CE754" s="24"/>
      <c r="CT754" s="14"/>
    </row>
    <row r="755" spans="1:98">
      <c r="A755" s="24"/>
      <c r="B755" s="24"/>
      <c r="H755" s="14"/>
      <c r="P755" s="24"/>
      <c r="W755" s="24"/>
      <c r="AC755" s="14"/>
      <c r="AK755" s="71"/>
      <c r="AL755" s="66"/>
      <c r="AM755" s="66"/>
      <c r="AN755" s="66"/>
      <c r="AO755" s="66"/>
      <c r="AP755" s="66"/>
      <c r="AQ755" s="66"/>
      <c r="AR755" s="71"/>
      <c r="AS755" s="70"/>
      <c r="AT755" s="70"/>
      <c r="AU755" s="70"/>
      <c r="AV755" s="70"/>
      <c r="AW755" s="66"/>
      <c r="AX755" s="66"/>
      <c r="AY755" s="66"/>
      <c r="AZ755" s="66"/>
      <c r="BA755" s="66"/>
      <c r="BB755" s="66"/>
      <c r="BC755" s="66"/>
      <c r="BD755" s="66"/>
      <c r="BE755" s="66"/>
      <c r="BF755" s="66"/>
      <c r="BG755" s="66"/>
      <c r="BH755" s="24"/>
      <c r="BL755" s="14"/>
      <c r="BM755" s="14"/>
      <c r="BO755" s="24"/>
      <c r="CE755" s="24"/>
      <c r="CT755" s="14"/>
    </row>
    <row r="756" spans="1:98" s="11" customFormat="1">
      <c r="A756" s="25"/>
      <c r="B756" s="26" t="s">
        <v>495</v>
      </c>
      <c r="C756" s="23"/>
      <c r="D756" s="23"/>
      <c r="E756" s="23"/>
      <c r="F756" s="23"/>
      <c r="G756" s="23"/>
      <c r="H756" s="23"/>
      <c r="I756" s="23"/>
      <c r="J756" s="23"/>
      <c r="K756" s="23"/>
      <c r="L756" s="23"/>
      <c r="M756" s="23"/>
      <c r="N756" s="23"/>
      <c r="O756" s="23"/>
      <c r="P756" s="23"/>
      <c r="Q756" s="23"/>
      <c r="R756" s="23"/>
      <c r="S756" s="23"/>
      <c r="T756" s="23"/>
      <c r="U756" s="23"/>
      <c r="V756" s="23"/>
      <c r="W756" s="30"/>
      <c r="X756" s="23"/>
      <c r="Y756" s="23"/>
      <c r="Z756" s="23"/>
      <c r="AA756" s="23"/>
      <c r="AB756" s="23"/>
      <c r="AC756" s="23"/>
      <c r="AD756" s="23"/>
      <c r="AE756" s="23"/>
      <c r="AF756" s="23"/>
      <c r="AG756" s="23"/>
      <c r="AH756" s="23"/>
      <c r="AI756" s="23"/>
      <c r="AJ756" s="23"/>
      <c r="AK756" s="30"/>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13"/>
      <c r="BO756" s="24"/>
      <c r="BP756" s="8"/>
      <c r="BQ756" s="8"/>
      <c r="BR756" s="8"/>
      <c r="BS756" s="8"/>
      <c r="BT756" s="8"/>
      <c r="BU756" s="8"/>
      <c r="BV756" s="8"/>
      <c r="BW756" s="8"/>
      <c r="BX756" s="8"/>
      <c r="BY756" s="8"/>
      <c r="BZ756" s="8"/>
      <c r="CA756" s="8"/>
      <c r="CB756" s="8"/>
      <c r="CC756" s="8"/>
      <c r="CD756" s="8"/>
      <c r="CE756" s="24"/>
      <c r="CF756" s="8"/>
      <c r="CG756" s="8"/>
      <c r="CH756" s="8"/>
      <c r="CI756" s="8"/>
      <c r="CJ756" s="8"/>
      <c r="CK756" s="8"/>
      <c r="CL756" s="8"/>
      <c r="CM756" s="8"/>
      <c r="CN756" s="8"/>
      <c r="CO756" s="8"/>
      <c r="CP756" s="8"/>
      <c r="CQ756" s="8"/>
      <c r="CR756" s="8"/>
      <c r="CS756" s="8"/>
      <c r="CT756" s="14"/>
    </row>
    <row r="757" spans="1:98" s="11" customFormat="1">
      <c r="A757" s="25"/>
      <c r="B757" s="24"/>
      <c r="C757" s="8"/>
      <c r="D757" s="8"/>
      <c r="E757" s="8"/>
      <c r="F757" s="8"/>
      <c r="G757" s="8"/>
      <c r="H757" s="14"/>
      <c r="P757" s="24"/>
      <c r="Q757" s="8"/>
      <c r="R757" s="8"/>
      <c r="S757" s="8"/>
      <c r="T757" s="8"/>
      <c r="U757" s="8"/>
      <c r="V757" s="8"/>
      <c r="W757" s="24"/>
      <c r="X757" s="8"/>
      <c r="Y757" s="8"/>
      <c r="Z757" s="8"/>
      <c r="AA757" s="8"/>
      <c r="AB757" s="8"/>
      <c r="AC757" s="14"/>
      <c r="AD757" s="8"/>
      <c r="AE757" s="8"/>
      <c r="AF757" s="8"/>
      <c r="AG757" s="8"/>
      <c r="AH757" s="8"/>
      <c r="AI757" s="8"/>
      <c r="AJ757" s="8"/>
      <c r="AK757" s="71"/>
      <c r="AL757" s="66"/>
      <c r="AM757" s="66"/>
      <c r="AN757" s="66"/>
      <c r="AO757" s="66"/>
      <c r="AP757" s="66"/>
      <c r="AQ757" s="66"/>
      <c r="AR757" s="71"/>
      <c r="AS757" s="66"/>
      <c r="AT757" s="66"/>
      <c r="AU757" s="66"/>
      <c r="AV757" s="66"/>
      <c r="AW757" s="66"/>
      <c r="AX757" s="66"/>
      <c r="AY757" s="66"/>
      <c r="AZ757" s="66"/>
      <c r="BA757" s="66"/>
      <c r="BB757" s="66"/>
      <c r="BC757" s="66"/>
      <c r="BD757" s="66"/>
      <c r="BE757" s="66"/>
      <c r="BF757" s="66"/>
      <c r="BG757" s="66"/>
      <c r="BH757" s="24"/>
      <c r="BI757" s="8"/>
      <c r="BJ757" s="8"/>
      <c r="BK757" s="8"/>
      <c r="BL757" s="14"/>
      <c r="BM757" s="13"/>
      <c r="BO757" s="29"/>
      <c r="CE757" s="29"/>
      <c r="CT757" s="13"/>
    </row>
    <row r="758" spans="1:98">
      <c r="A758" s="24"/>
      <c r="B758" s="24"/>
      <c r="H758" s="14"/>
      <c r="P758" s="24"/>
      <c r="W758" s="24"/>
      <c r="AC758" s="14"/>
      <c r="AK758" s="71"/>
      <c r="AL758" s="66"/>
      <c r="AM758" s="66"/>
      <c r="AN758" s="66"/>
      <c r="AO758" s="66"/>
      <c r="AP758" s="66"/>
      <c r="AQ758" s="66"/>
      <c r="AR758" s="71"/>
      <c r="AS758" s="80" t="s">
        <v>496</v>
      </c>
      <c r="AT758" s="70"/>
      <c r="AU758" s="70"/>
      <c r="AV758" s="66"/>
      <c r="AW758" s="66"/>
      <c r="AX758" s="66"/>
      <c r="AY758" s="66"/>
      <c r="AZ758" s="66"/>
      <c r="BA758" s="66"/>
      <c r="BB758" s="66"/>
      <c r="BC758" s="66"/>
      <c r="BD758" s="66"/>
      <c r="BE758" s="66"/>
      <c r="BF758" s="66"/>
      <c r="BG758" s="66"/>
      <c r="BH758" s="24"/>
      <c r="BL758" s="14"/>
      <c r="BM758" s="14"/>
      <c r="BO758" s="29"/>
      <c r="BP758" s="11"/>
      <c r="BQ758" s="11"/>
      <c r="BR758" s="11"/>
      <c r="BS758" s="11"/>
      <c r="BT758" s="11"/>
      <c r="BU758" s="11"/>
      <c r="BV758" s="11"/>
      <c r="BW758" s="11"/>
      <c r="BX758" s="11"/>
      <c r="BY758" s="11"/>
      <c r="BZ758" s="11"/>
      <c r="CA758" s="11"/>
      <c r="CB758" s="11"/>
      <c r="CC758" s="11"/>
      <c r="CD758" s="11"/>
      <c r="CE758" s="29"/>
      <c r="CF758" s="11"/>
      <c r="CG758" s="11"/>
      <c r="CH758" s="11"/>
      <c r="CI758" s="11"/>
      <c r="CJ758" s="11"/>
      <c r="CK758" s="11"/>
      <c r="CL758" s="11"/>
      <c r="CM758" s="11"/>
      <c r="CN758" s="11"/>
      <c r="CO758" s="11"/>
      <c r="CP758" s="11"/>
      <c r="CQ758" s="11"/>
      <c r="CR758" s="11"/>
      <c r="CS758" s="11"/>
      <c r="CT758" s="13"/>
    </row>
    <row r="759" spans="1:98">
      <c r="A759" s="24"/>
      <c r="B759" s="24"/>
      <c r="H759" s="14"/>
      <c r="P759" s="24"/>
      <c r="W759" s="24"/>
      <c r="AC759" s="14"/>
      <c r="AK759" s="71"/>
      <c r="AL759" s="66"/>
      <c r="AM759" s="66"/>
      <c r="AN759" s="66"/>
      <c r="AO759" s="66"/>
      <c r="AP759" s="66"/>
      <c r="AQ759" s="66"/>
      <c r="AR759" s="71"/>
      <c r="AS759" s="70"/>
      <c r="AT759" s="66" t="s">
        <v>497</v>
      </c>
      <c r="AU759" s="70"/>
      <c r="AV759" s="66"/>
      <c r="AW759" s="66"/>
      <c r="AX759" s="66"/>
      <c r="AY759" s="66"/>
      <c r="AZ759" s="66"/>
      <c r="BA759" s="66"/>
      <c r="BB759" s="66"/>
      <c r="BC759" s="66"/>
      <c r="BD759" s="66"/>
      <c r="BE759" s="66"/>
      <c r="BF759" s="66"/>
      <c r="BG759" s="66"/>
      <c r="BH759" s="24"/>
      <c r="BL759" s="14"/>
      <c r="BM759" s="14"/>
      <c r="BO759" s="24" t="s">
        <v>498</v>
      </c>
      <c r="CE759" s="98" t="s">
        <v>107</v>
      </c>
      <c r="CF759" s="96" t="s">
        <v>223</v>
      </c>
      <c r="CT759" s="14"/>
    </row>
    <row r="760" spans="1:98">
      <c r="A760" s="24"/>
      <c r="B760" s="24"/>
      <c r="H760" s="14"/>
      <c r="P760" s="24"/>
      <c r="W760" s="24"/>
      <c r="AC760" s="14"/>
      <c r="AK760" s="71"/>
      <c r="AL760" s="66"/>
      <c r="AM760" s="66"/>
      <c r="AN760" s="66"/>
      <c r="AO760" s="66"/>
      <c r="AP760" s="66"/>
      <c r="AQ760" s="66"/>
      <c r="AR760" s="71"/>
      <c r="AS760" s="70"/>
      <c r="AT760" s="70" t="s">
        <v>499</v>
      </c>
      <c r="AU760" s="70"/>
      <c r="AV760" s="66"/>
      <c r="AW760" s="66"/>
      <c r="AX760" s="66"/>
      <c r="AY760" s="66"/>
      <c r="AZ760" s="66"/>
      <c r="BA760" s="66"/>
      <c r="BB760" s="66"/>
      <c r="BC760" s="66"/>
      <c r="BD760" s="66"/>
      <c r="BE760" s="66"/>
      <c r="BF760" s="66"/>
      <c r="BG760" s="66"/>
      <c r="BH760" s="24"/>
      <c r="BL760" s="14"/>
      <c r="BM760" s="14"/>
      <c r="BO760" s="24" t="s">
        <v>500</v>
      </c>
      <c r="CE760" s="98"/>
      <c r="CF760" s="96" t="s">
        <v>501</v>
      </c>
      <c r="CT760" s="14"/>
    </row>
    <row r="761" spans="1:98">
      <c r="A761" s="24"/>
      <c r="B761" s="24"/>
      <c r="H761" s="14"/>
      <c r="P761" s="24"/>
      <c r="W761" s="24"/>
      <c r="AC761" s="14"/>
      <c r="AK761" s="71"/>
      <c r="AL761" s="66"/>
      <c r="AM761" s="66"/>
      <c r="AN761" s="66"/>
      <c r="AO761" s="66"/>
      <c r="AP761" s="66"/>
      <c r="AQ761" s="66"/>
      <c r="AR761" s="71"/>
      <c r="AS761" s="66"/>
      <c r="AU761" s="8"/>
      <c r="AY761" s="66"/>
      <c r="AZ761" s="66"/>
      <c r="BA761" s="66"/>
      <c r="BB761" s="66"/>
      <c r="BC761" s="66"/>
      <c r="BD761" s="66"/>
      <c r="BE761" s="66"/>
      <c r="BF761" s="66"/>
      <c r="BG761" s="66"/>
      <c r="BH761" s="24"/>
      <c r="BL761" s="14"/>
      <c r="BM761" s="14"/>
      <c r="BO761" s="24" t="s">
        <v>502</v>
      </c>
      <c r="CE761" s="98"/>
      <c r="CF761" s="96" t="s">
        <v>503</v>
      </c>
      <c r="CT761" s="14"/>
    </row>
    <row r="762" spans="1:98">
      <c r="A762" s="24"/>
      <c r="B762" s="24"/>
      <c r="H762" s="14"/>
      <c r="P762" s="24"/>
      <c r="W762" s="24"/>
      <c r="AC762" s="14"/>
      <c r="AK762" s="71"/>
      <c r="AL762" s="66"/>
      <c r="AM762" s="66"/>
      <c r="AN762" s="66"/>
      <c r="AO762" s="66"/>
      <c r="AP762" s="66"/>
      <c r="AQ762" s="66"/>
      <c r="AR762" s="71"/>
      <c r="AS762" s="66"/>
      <c r="AT762" s="49" t="s">
        <v>504</v>
      </c>
      <c r="AV762" s="70"/>
      <c r="AW762" s="66"/>
      <c r="AX762" s="66"/>
      <c r="AY762" s="66"/>
      <c r="AZ762" s="66"/>
      <c r="BA762" s="66"/>
      <c r="BB762" s="66"/>
      <c r="BC762" s="66"/>
      <c r="BD762" s="66"/>
      <c r="BE762" s="66"/>
      <c r="BF762" s="66"/>
      <c r="BG762" s="66"/>
      <c r="BH762" s="24"/>
      <c r="BL762" s="14"/>
      <c r="BM762" s="14"/>
      <c r="BO762" s="24" t="s">
        <v>505</v>
      </c>
      <c r="CE762" s="24"/>
      <c r="CT762" s="14"/>
    </row>
    <row r="763" spans="1:98">
      <c r="A763" s="24"/>
      <c r="B763" s="24"/>
      <c r="H763" s="14"/>
      <c r="P763" s="24"/>
      <c r="W763" s="24"/>
      <c r="AC763" s="14"/>
      <c r="AK763" s="71"/>
      <c r="AL763" s="66"/>
      <c r="AM763" s="66"/>
      <c r="AN763" s="66"/>
      <c r="AO763" s="66"/>
      <c r="AP763" s="66"/>
      <c r="AQ763" s="66"/>
      <c r="AR763" s="71"/>
      <c r="AS763" s="66"/>
      <c r="AU763" s="66" t="s">
        <v>506</v>
      </c>
      <c r="AV763" s="70"/>
      <c r="AW763" s="66"/>
      <c r="AX763" s="66"/>
      <c r="AY763" s="66"/>
      <c r="AZ763" s="66"/>
      <c r="BA763" s="66"/>
      <c r="BB763" s="66"/>
      <c r="BC763" s="66"/>
      <c r="BD763" s="66"/>
      <c r="BE763" s="66"/>
      <c r="BF763" s="66"/>
      <c r="BG763" s="66"/>
      <c r="BH763" s="24"/>
      <c r="BL763" s="14"/>
      <c r="BM763" s="14"/>
      <c r="BO763" s="24"/>
      <c r="CE763" s="24"/>
      <c r="CT763" s="14"/>
    </row>
    <row r="764" spans="1:98">
      <c r="A764" s="24"/>
      <c r="B764" s="24"/>
      <c r="H764" s="14"/>
      <c r="P764" s="24"/>
      <c r="W764" s="24"/>
      <c r="AC764" s="14"/>
      <c r="AK764" s="71"/>
      <c r="AL764" s="66"/>
      <c r="AM764" s="66"/>
      <c r="AN764" s="66"/>
      <c r="AO764" s="66"/>
      <c r="AP764" s="66"/>
      <c r="AQ764" s="66"/>
      <c r="AR764" s="71"/>
      <c r="AS764" s="66"/>
      <c r="AT764" s="66"/>
      <c r="AU764" s="66" t="s">
        <v>507</v>
      </c>
      <c r="AV764" s="70"/>
      <c r="AW764" s="66"/>
      <c r="AX764" s="66"/>
      <c r="AY764" s="66"/>
      <c r="AZ764" s="66"/>
      <c r="BA764" s="66"/>
      <c r="BB764" s="66"/>
      <c r="BC764" s="66"/>
      <c r="BD764" s="66"/>
      <c r="BE764" s="66"/>
      <c r="BF764" s="66"/>
      <c r="BG764" s="66"/>
      <c r="BH764" s="24"/>
      <c r="BL764" s="14"/>
      <c r="BM764" s="14"/>
      <c r="BO764" s="24"/>
      <c r="CE764" s="24"/>
      <c r="CT764" s="14"/>
    </row>
    <row r="765" spans="1:98">
      <c r="A765" s="24"/>
      <c r="B765" s="24"/>
      <c r="H765" s="14"/>
      <c r="P765" s="24"/>
      <c r="W765" s="24"/>
      <c r="AC765" s="14"/>
      <c r="AK765" s="71"/>
      <c r="AL765" s="66"/>
      <c r="AM765" s="66"/>
      <c r="AN765" s="66"/>
      <c r="AO765" s="66"/>
      <c r="AP765" s="66"/>
      <c r="AQ765" s="66"/>
      <c r="AR765" s="71"/>
      <c r="AS765" s="66"/>
      <c r="AU765" s="66" t="s">
        <v>508</v>
      </c>
      <c r="AV765" s="70"/>
      <c r="AW765" s="66"/>
      <c r="AX765" s="66"/>
      <c r="AY765" s="66"/>
      <c r="AZ765" s="66"/>
      <c r="BA765" s="66"/>
      <c r="BB765" s="66"/>
      <c r="BC765" s="66"/>
      <c r="BD765" s="66"/>
      <c r="BE765" s="66"/>
      <c r="BF765" s="66"/>
      <c r="BG765" s="66"/>
      <c r="BH765" s="24"/>
      <c r="BL765" s="14"/>
      <c r="BM765" s="14"/>
      <c r="BO765" s="24"/>
      <c r="CE765" s="24"/>
      <c r="CT765" s="14"/>
    </row>
    <row r="766" spans="1:98">
      <c r="A766" s="24"/>
      <c r="B766" s="24"/>
      <c r="H766" s="14"/>
      <c r="P766" s="24"/>
      <c r="W766" s="24"/>
      <c r="AC766" s="14"/>
      <c r="AK766" s="71"/>
      <c r="AL766" s="66"/>
      <c r="AM766" s="66"/>
      <c r="AN766" s="66"/>
      <c r="AO766" s="66"/>
      <c r="AP766" s="66"/>
      <c r="AQ766" s="66"/>
      <c r="AR766" s="71"/>
      <c r="AS766" s="80"/>
      <c r="AU766" s="8"/>
      <c r="AX766" s="66"/>
      <c r="AY766" s="66"/>
      <c r="AZ766" s="66"/>
      <c r="BA766" s="66"/>
      <c r="BB766" s="66"/>
      <c r="BC766" s="66"/>
      <c r="BD766" s="66"/>
      <c r="BE766" s="66"/>
      <c r="BF766" s="66"/>
      <c r="BG766" s="66"/>
      <c r="BH766" s="24"/>
      <c r="BL766" s="14"/>
      <c r="BM766" s="14"/>
      <c r="BO766" s="24"/>
      <c r="CE766" s="24"/>
      <c r="CT766" s="14"/>
    </row>
    <row r="767" spans="1:98">
      <c r="A767" s="24"/>
      <c r="B767" s="24"/>
      <c r="H767" s="14"/>
      <c r="P767" s="24"/>
      <c r="W767" s="24"/>
      <c r="AC767" s="14"/>
      <c r="AK767" s="71"/>
      <c r="AL767" s="66"/>
      <c r="AM767" s="66"/>
      <c r="AN767" s="66"/>
      <c r="AO767" s="66"/>
      <c r="AP767" s="66"/>
      <c r="AQ767" s="66"/>
      <c r="AR767" s="71"/>
      <c r="AS767" s="70"/>
      <c r="AT767" s="49" t="s">
        <v>509</v>
      </c>
      <c r="AV767" s="66"/>
      <c r="AW767" s="66"/>
      <c r="AX767" s="66"/>
      <c r="AY767" s="66"/>
      <c r="AZ767" s="66"/>
      <c r="BA767" s="66"/>
      <c r="BB767" s="66"/>
      <c r="BC767" s="66"/>
      <c r="BD767" s="66"/>
      <c r="BE767" s="66"/>
      <c r="BF767" s="66"/>
      <c r="BG767" s="66"/>
      <c r="BH767" s="24"/>
      <c r="BL767" s="14"/>
      <c r="BM767" s="14"/>
      <c r="BO767" s="24"/>
      <c r="CE767" s="24"/>
      <c r="CT767" s="14"/>
    </row>
    <row r="768" spans="1:98">
      <c r="A768" s="24"/>
      <c r="B768" s="24"/>
      <c r="H768" s="14"/>
      <c r="P768" s="24"/>
      <c r="W768" s="24"/>
      <c r="AC768" s="14"/>
      <c r="AK768" s="71"/>
      <c r="AL768" s="66"/>
      <c r="AM768" s="66"/>
      <c r="AN768" s="66"/>
      <c r="AO768" s="66"/>
      <c r="AP768" s="66"/>
      <c r="AQ768" s="66"/>
      <c r="AR768" s="71"/>
      <c r="AS768" s="70"/>
      <c r="AT768" s="70"/>
      <c r="AU768" s="66" t="s">
        <v>506</v>
      </c>
      <c r="AV768" s="66"/>
      <c r="AW768" s="66"/>
      <c r="AX768" s="66"/>
      <c r="AY768" s="66"/>
      <c r="AZ768" s="66"/>
      <c r="BA768" s="66"/>
      <c r="BB768" s="66"/>
      <c r="BC768" s="66"/>
      <c r="BD768" s="66"/>
      <c r="BE768" s="66"/>
      <c r="BF768" s="66"/>
      <c r="BG768" s="66"/>
      <c r="BH768" s="24"/>
      <c r="BL768" s="14"/>
      <c r="BM768" s="14"/>
      <c r="BO768" s="24"/>
      <c r="CE768" s="24"/>
      <c r="CT768" s="14"/>
    </row>
    <row r="769" spans="1:98">
      <c r="A769" s="24"/>
      <c r="B769" s="24"/>
      <c r="H769" s="14"/>
      <c r="P769" s="24"/>
      <c r="W769" s="24"/>
      <c r="AC769" s="14"/>
      <c r="AK769" s="71"/>
      <c r="AL769" s="66"/>
      <c r="AM769" s="66"/>
      <c r="AN769" s="66"/>
      <c r="AO769" s="66"/>
      <c r="AP769" s="66"/>
      <c r="AQ769" s="66"/>
      <c r="AR769" s="71"/>
      <c r="AS769" s="66"/>
      <c r="AT769" s="66"/>
      <c r="AV769" s="70"/>
      <c r="AW769" s="66"/>
      <c r="AX769" s="66"/>
      <c r="AY769" s="66"/>
      <c r="AZ769" s="66"/>
      <c r="BA769" s="66"/>
      <c r="BB769" s="66"/>
      <c r="BC769" s="66"/>
      <c r="BD769" s="66"/>
      <c r="BE769" s="66"/>
      <c r="BF769" s="66"/>
      <c r="BG769" s="66"/>
      <c r="BH769" s="24"/>
      <c r="BL769" s="14"/>
      <c r="BM769" s="14"/>
      <c r="BO769" s="24"/>
      <c r="CE769" s="24"/>
      <c r="CT769" s="14"/>
    </row>
    <row r="770" spans="1:98">
      <c r="A770" s="24"/>
      <c r="B770" s="24"/>
      <c r="H770" s="14"/>
      <c r="P770" s="24"/>
      <c r="W770" s="24"/>
      <c r="AC770" s="14"/>
      <c r="AK770" s="71"/>
      <c r="AL770" s="66"/>
      <c r="AM770" s="66"/>
      <c r="AN770" s="66"/>
      <c r="AO770" s="66"/>
      <c r="AP770" s="66"/>
      <c r="AQ770" s="66"/>
      <c r="AR770" s="71"/>
      <c r="AS770" s="66"/>
      <c r="AT770" s="66"/>
      <c r="AV770" s="70"/>
      <c r="AW770" s="66"/>
      <c r="AX770" s="66"/>
      <c r="AY770" s="66"/>
      <c r="AZ770" s="66"/>
      <c r="BA770" s="66"/>
      <c r="BB770" s="66"/>
      <c r="BC770" s="66"/>
      <c r="BD770" s="66"/>
      <c r="BE770" s="66"/>
      <c r="BF770" s="66"/>
      <c r="BG770" s="66"/>
      <c r="BH770" s="24"/>
      <c r="BL770" s="14"/>
      <c r="BM770" s="14"/>
      <c r="BO770" s="24"/>
      <c r="CE770" s="24"/>
      <c r="CT770" s="14"/>
    </row>
    <row r="771" spans="1:98">
      <c r="A771" s="24"/>
      <c r="B771" s="24"/>
      <c r="H771" s="14"/>
      <c r="P771" s="24"/>
      <c r="W771" s="24"/>
      <c r="AC771" s="14"/>
      <c r="AK771" s="71"/>
      <c r="AL771" s="66"/>
      <c r="AM771" s="66"/>
      <c r="AN771" s="66"/>
      <c r="AO771" s="66"/>
      <c r="AP771" s="66"/>
      <c r="AQ771" s="66"/>
      <c r="AR771" s="71"/>
      <c r="AS771" s="66"/>
      <c r="AT771" s="66"/>
      <c r="AV771" s="70"/>
      <c r="AW771" s="66"/>
      <c r="AX771" s="66"/>
      <c r="AY771" s="66"/>
      <c r="AZ771" s="66"/>
      <c r="BA771" s="66"/>
      <c r="BB771" s="66"/>
      <c r="BC771" s="66"/>
      <c r="BD771" s="66"/>
      <c r="BE771" s="66"/>
      <c r="BF771" s="66"/>
      <c r="BG771" s="66"/>
      <c r="BH771" s="24"/>
      <c r="BL771" s="14"/>
      <c r="BM771" s="14"/>
      <c r="BO771" s="24"/>
      <c r="CE771" s="24"/>
      <c r="CT771" s="14"/>
    </row>
    <row r="772" spans="1:98">
      <c r="A772" s="24"/>
      <c r="B772" s="24"/>
      <c r="H772" s="14"/>
      <c r="P772" s="24"/>
      <c r="W772" s="24"/>
      <c r="AC772" s="14"/>
      <c r="AK772" s="71"/>
      <c r="AL772" s="66"/>
      <c r="AM772" s="66"/>
      <c r="AN772" s="66"/>
      <c r="AO772" s="66"/>
      <c r="AP772" s="66"/>
      <c r="AQ772" s="66"/>
      <c r="AR772" s="71"/>
      <c r="AS772" s="66"/>
      <c r="AT772" s="66"/>
      <c r="AV772" s="70"/>
      <c r="AW772" s="66"/>
      <c r="AX772" s="66"/>
      <c r="AY772" s="66"/>
      <c r="AZ772" s="66"/>
      <c r="BA772" s="66"/>
      <c r="BB772" s="66"/>
      <c r="BC772" s="66"/>
      <c r="BD772" s="66"/>
      <c r="BE772" s="66"/>
      <c r="BF772" s="66"/>
      <c r="BG772" s="66"/>
      <c r="BH772" s="24"/>
      <c r="BL772" s="14"/>
      <c r="BM772" s="14"/>
      <c r="BO772" s="24"/>
      <c r="CE772" s="24"/>
      <c r="CT772" s="14"/>
    </row>
    <row r="773" spans="1:98">
      <c r="A773" s="24"/>
      <c r="B773" s="24"/>
      <c r="H773" s="14"/>
      <c r="P773" s="24"/>
      <c r="W773" s="24"/>
      <c r="AC773" s="14"/>
      <c r="AK773" s="71"/>
      <c r="AL773" s="66"/>
      <c r="AM773" s="66"/>
      <c r="AN773" s="66"/>
      <c r="AO773" s="66"/>
      <c r="AP773" s="66"/>
      <c r="AQ773" s="66"/>
      <c r="AR773" s="71"/>
      <c r="AS773" s="66"/>
      <c r="AT773" s="66"/>
      <c r="AV773" s="70"/>
      <c r="AW773" s="66"/>
      <c r="AX773" s="66"/>
      <c r="AY773" s="66"/>
      <c r="AZ773" s="66"/>
      <c r="BA773" s="66"/>
      <c r="BB773" s="66"/>
      <c r="BC773" s="66"/>
      <c r="BD773" s="66"/>
      <c r="BE773" s="66"/>
      <c r="BF773" s="66"/>
      <c r="BG773" s="66"/>
      <c r="BH773" s="24"/>
      <c r="BL773" s="14"/>
      <c r="BM773" s="14"/>
      <c r="BO773" s="24"/>
      <c r="CE773" s="24"/>
      <c r="CT773" s="14"/>
    </row>
    <row r="774" spans="1:98">
      <c r="A774" s="24"/>
      <c r="B774" s="24"/>
      <c r="H774" s="14"/>
      <c r="P774" s="24"/>
      <c r="W774" s="24"/>
      <c r="AC774" s="14"/>
      <c r="AK774" s="71"/>
      <c r="AL774" s="66"/>
      <c r="AM774" s="66"/>
      <c r="AN774" s="66"/>
      <c r="AO774" s="66"/>
      <c r="AP774" s="66"/>
      <c r="AQ774" s="66"/>
      <c r="AR774" s="71"/>
      <c r="AS774" s="66"/>
      <c r="AT774" s="66"/>
      <c r="AV774" s="70"/>
      <c r="AW774" s="66"/>
      <c r="AX774" s="66"/>
      <c r="AY774" s="66"/>
      <c r="AZ774" s="66"/>
      <c r="BA774" s="66"/>
      <c r="BB774" s="66"/>
      <c r="BC774" s="66"/>
      <c r="BD774" s="66"/>
      <c r="BE774" s="66"/>
      <c r="BF774" s="66"/>
      <c r="BG774" s="66"/>
      <c r="BH774" s="24"/>
      <c r="BL774" s="14"/>
      <c r="BM774" s="14"/>
      <c r="BO774" s="24"/>
      <c r="CE774" s="24"/>
      <c r="CT774" s="14"/>
    </row>
    <row r="775" spans="1:98">
      <c r="A775" s="24"/>
      <c r="B775" s="24"/>
      <c r="H775" s="14"/>
      <c r="P775" s="24"/>
      <c r="W775" s="24"/>
      <c r="AC775" s="14"/>
      <c r="AK775" s="71"/>
      <c r="AL775" s="66"/>
      <c r="AM775" s="66"/>
      <c r="AN775" s="66"/>
      <c r="AO775" s="66"/>
      <c r="AP775" s="66"/>
      <c r="AQ775" s="66"/>
      <c r="AR775" s="71"/>
      <c r="AS775" s="66"/>
      <c r="AT775" s="66"/>
      <c r="AV775" s="70"/>
      <c r="AW775" s="66"/>
      <c r="AX775" s="66"/>
      <c r="AY775" s="66"/>
      <c r="AZ775" s="66"/>
      <c r="BA775" s="66"/>
      <c r="BB775" s="66"/>
      <c r="BC775" s="66"/>
      <c r="BD775" s="66"/>
      <c r="BE775" s="66"/>
      <c r="BF775" s="66"/>
      <c r="BG775" s="66"/>
      <c r="BH775" s="24"/>
      <c r="BL775" s="14"/>
      <c r="BM775" s="14"/>
      <c r="BO775" s="24"/>
      <c r="CE775" s="24"/>
      <c r="CT775" s="14"/>
    </row>
    <row r="776" spans="1:98">
      <c r="A776" s="24"/>
      <c r="B776" s="24"/>
      <c r="H776" s="14"/>
      <c r="P776" s="24"/>
      <c r="W776" s="24"/>
      <c r="AC776" s="14"/>
      <c r="AK776" s="71"/>
      <c r="AL776" s="66"/>
      <c r="AM776" s="66"/>
      <c r="AN776" s="66"/>
      <c r="AO776" s="66"/>
      <c r="AP776" s="66"/>
      <c r="AQ776" s="66"/>
      <c r="AR776" s="71"/>
      <c r="AS776" s="66"/>
      <c r="AT776" s="66"/>
      <c r="AV776" s="70"/>
      <c r="AW776" s="66"/>
      <c r="AX776" s="66"/>
      <c r="AY776" s="66"/>
      <c r="AZ776" s="66"/>
      <c r="BA776" s="66"/>
      <c r="BB776" s="66"/>
      <c r="BC776" s="66"/>
      <c r="BD776" s="66"/>
      <c r="BE776" s="66"/>
      <c r="BF776" s="66"/>
      <c r="BG776" s="66"/>
      <c r="BH776" s="24"/>
      <c r="BL776" s="14"/>
      <c r="BM776" s="14"/>
      <c r="BO776" s="24"/>
      <c r="CE776" s="24"/>
      <c r="CT776" s="14"/>
    </row>
    <row r="777" spans="1:98">
      <c r="A777" s="24"/>
      <c r="B777" s="24"/>
      <c r="H777" s="14"/>
      <c r="P777" s="24"/>
      <c r="W777" s="24"/>
      <c r="AC777" s="14"/>
      <c r="AK777" s="71"/>
      <c r="AL777" s="66"/>
      <c r="AM777" s="66"/>
      <c r="AN777" s="66"/>
      <c r="AO777" s="66"/>
      <c r="AP777" s="66"/>
      <c r="AQ777" s="66"/>
      <c r="AR777" s="71"/>
      <c r="AS777" s="66"/>
      <c r="AT777" s="66"/>
      <c r="AV777" s="66"/>
      <c r="AW777" s="66"/>
      <c r="AX777" s="66"/>
      <c r="AY777" s="66"/>
      <c r="AZ777" s="66"/>
      <c r="BA777" s="66"/>
      <c r="BB777" s="66"/>
      <c r="BC777" s="66"/>
      <c r="BD777" s="66"/>
      <c r="BE777" s="66"/>
      <c r="BF777" s="66"/>
      <c r="BG777" s="66"/>
      <c r="BH777" s="24"/>
      <c r="BL777" s="14"/>
      <c r="BM777" s="14"/>
      <c r="BO777" s="24"/>
      <c r="CE777" s="24"/>
      <c r="CT777" s="14"/>
    </row>
    <row r="778" spans="1:98">
      <c r="A778" s="24"/>
      <c r="B778" s="24"/>
      <c r="H778" s="14"/>
      <c r="P778" s="24"/>
      <c r="W778" s="24"/>
      <c r="AC778" s="14"/>
      <c r="AK778" s="71"/>
      <c r="AL778" s="66"/>
      <c r="AM778" s="66"/>
      <c r="AN778" s="66"/>
      <c r="AO778" s="66"/>
      <c r="AP778" s="66"/>
      <c r="AQ778" s="66"/>
      <c r="AR778" s="71"/>
      <c r="AS778" s="80" t="s">
        <v>510</v>
      </c>
      <c r="AT778" s="70"/>
      <c r="AU778" s="70"/>
      <c r="AV778" s="66"/>
      <c r="AW778" s="66"/>
      <c r="AX778" s="66"/>
      <c r="AY778" s="66"/>
      <c r="AZ778" s="66"/>
      <c r="BA778" s="66"/>
      <c r="BB778" s="66"/>
      <c r="BC778" s="66"/>
      <c r="BD778" s="66"/>
      <c r="BE778" s="66"/>
      <c r="BF778" s="66"/>
      <c r="BG778" s="66"/>
      <c r="BH778" s="24"/>
      <c r="BL778" s="14"/>
      <c r="BM778" s="14"/>
      <c r="BO778" s="24"/>
      <c r="CE778" s="24"/>
      <c r="CT778" s="14"/>
    </row>
    <row r="779" spans="1:98">
      <c r="A779" s="24"/>
      <c r="B779" s="24"/>
      <c r="H779" s="14"/>
      <c r="P779" s="24"/>
      <c r="W779" s="24"/>
      <c r="AC779" s="14"/>
      <c r="AK779" s="71"/>
      <c r="AL779" s="66"/>
      <c r="AM779" s="66"/>
      <c r="AN779" s="66"/>
      <c r="AO779" s="66"/>
      <c r="AP779" s="66"/>
      <c r="AQ779" s="66"/>
      <c r="AR779" s="71"/>
      <c r="AS779" s="70"/>
      <c r="AT779" s="66" t="s">
        <v>511</v>
      </c>
      <c r="AU779" s="70"/>
      <c r="AV779" s="66"/>
      <c r="AW779" s="66"/>
      <c r="AX779" s="66"/>
      <c r="AY779" s="66"/>
      <c r="AZ779" s="66"/>
      <c r="BA779" s="66"/>
      <c r="BB779" s="66"/>
      <c r="BC779" s="66"/>
      <c r="BD779" s="66"/>
      <c r="BE779" s="66"/>
      <c r="BF779" s="66"/>
      <c r="BG779" s="66"/>
      <c r="BH779" s="24"/>
      <c r="BL779" s="14"/>
      <c r="BM779" s="14"/>
      <c r="BO779" s="24"/>
      <c r="CE779" s="24"/>
      <c r="CT779" s="14"/>
    </row>
    <row r="780" spans="1:98">
      <c r="A780" s="24"/>
      <c r="B780" s="24"/>
      <c r="H780" s="14"/>
      <c r="P780" s="24"/>
      <c r="W780" s="24"/>
      <c r="AC780" s="14"/>
      <c r="AK780" s="71"/>
      <c r="AL780" s="66"/>
      <c r="AM780" s="66"/>
      <c r="AN780" s="66"/>
      <c r="AO780" s="66"/>
      <c r="AP780" s="66"/>
      <c r="AQ780" s="66"/>
      <c r="AR780" s="71"/>
      <c r="AS780" s="70"/>
      <c r="AT780" s="66" t="s">
        <v>507</v>
      </c>
      <c r="AU780" s="70"/>
      <c r="AV780" s="66"/>
      <c r="AW780" s="66"/>
      <c r="AX780" s="66"/>
      <c r="AY780" s="66"/>
      <c r="AZ780" s="66"/>
      <c r="BA780" s="66"/>
      <c r="BB780" s="66"/>
      <c r="BC780" s="66"/>
      <c r="BD780" s="66"/>
      <c r="BE780" s="66"/>
      <c r="BF780" s="66"/>
      <c r="BG780" s="66"/>
      <c r="BH780" s="24"/>
      <c r="BL780" s="14"/>
      <c r="BM780" s="14"/>
      <c r="BO780" s="24"/>
      <c r="CE780" s="24"/>
      <c r="CT780" s="14"/>
    </row>
    <row r="781" spans="1:98">
      <c r="A781" s="24"/>
      <c r="B781" s="24"/>
      <c r="H781" s="14"/>
      <c r="P781" s="24"/>
      <c r="W781" s="24"/>
      <c r="AC781" s="14"/>
      <c r="AK781" s="71"/>
      <c r="AL781" s="66"/>
      <c r="AM781" s="66"/>
      <c r="AN781" s="66"/>
      <c r="AO781" s="66"/>
      <c r="AP781" s="66"/>
      <c r="AQ781" s="66"/>
      <c r="AR781" s="71"/>
      <c r="AS781" s="66"/>
      <c r="AT781" s="66"/>
      <c r="AV781" s="70"/>
      <c r="AW781" s="66"/>
      <c r="AX781" s="66"/>
      <c r="AY781" s="66"/>
      <c r="AZ781" s="66"/>
      <c r="BA781" s="66"/>
      <c r="BB781" s="66"/>
      <c r="BC781" s="66"/>
      <c r="BD781" s="66"/>
      <c r="BE781" s="66"/>
      <c r="BF781" s="66"/>
      <c r="BG781" s="66"/>
      <c r="BH781" s="24"/>
      <c r="BL781" s="14"/>
      <c r="BM781" s="14"/>
      <c r="BO781" s="24"/>
      <c r="CE781" s="24"/>
      <c r="CT781" s="14"/>
    </row>
    <row r="782" spans="1:98">
      <c r="A782" s="24"/>
      <c r="B782" s="24"/>
      <c r="H782" s="14"/>
      <c r="P782" s="24"/>
      <c r="W782" s="24"/>
      <c r="AC782" s="14"/>
      <c r="AK782" s="71"/>
      <c r="AL782" s="66"/>
      <c r="AM782" s="66"/>
      <c r="AN782" s="66"/>
      <c r="AO782" s="66"/>
      <c r="AP782" s="66"/>
      <c r="AQ782" s="66"/>
      <c r="AR782" s="71"/>
      <c r="AS782" s="66"/>
      <c r="AT782" s="66"/>
      <c r="AV782" s="70"/>
      <c r="AW782" s="66"/>
      <c r="AX782" s="66"/>
      <c r="AY782" s="66"/>
      <c r="AZ782" s="66"/>
      <c r="BA782" s="66"/>
      <c r="BB782" s="66"/>
      <c r="BC782" s="66"/>
      <c r="BD782" s="66"/>
      <c r="BE782" s="66"/>
      <c r="BF782" s="66"/>
      <c r="BG782" s="66"/>
      <c r="BH782" s="24"/>
      <c r="BL782" s="14"/>
      <c r="BM782" s="14"/>
      <c r="BO782" s="24"/>
      <c r="CE782" s="24"/>
      <c r="CT782" s="14"/>
    </row>
    <row r="783" spans="1:98">
      <c r="A783" s="24"/>
      <c r="B783" s="24"/>
      <c r="H783" s="14"/>
      <c r="P783" s="24"/>
      <c r="W783" s="24"/>
      <c r="AC783" s="14"/>
      <c r="AK783" s="71"/>
      <c r="AL783" s="66"/>
      <c r="AM783" s="66"/>
      <c r="AN783" s="66"/>
      <c r="AO783" s="66"/>
      <c r="AP783" s="66"/>
      <c r="AQ783" s="66"/>
      <c r="AR783" s="71"/>
      <c r="AS783" s="66"/>
      <c r="AT783" s="66"/>
      <c r="AV783" s="70"/>
      <c r="AW783" s="66"/>
      <c r="AX783" s="66"/>
      <c r="AY783" s="66"/>
      <c r="AZ783" s="66"/>
      <c r="BA783" s="66"/>
      <c r="BB783" s="66"/>
      <c r="BC783" s="66"/>
      <c r="BD783" s="66"/>
      <c r="BE783" s="66"/>
      <c r="BF783" s="66"/>
      <c r="BG783" s="66"/>
      <c r="BH783" s="24"/>
      <c r="BL783" s="14"/>
      <c r="BM783" s="14"/>
      <c r="BO783" s="24"/>
      <c r="CE783" s="24"/>
      <c r="CT783" s="14"/>
    </row>
    <row r="784" spans="1:98">
      <c r="A784" s="24"/>
      <c r="B784" s="24"/>
      <c r="H784" s="14"/>
      <c r="P784" s="24"/>
      <c r="W784" s="24"/>
      <c r="AC784" s="14"/>
      <c r="AK784" s="71"/>
      <c r="AL784" s="66"/>
      <c r="AM784" s="66"/>
      <c r="AN784" s="66"/>
      <c r="AO784" s="66"/>
      <c r="AP784" s="66"/>
      <c r="AQ784" s="66"/>
      <c r="AR784" s="71"/>
      <c r="AS784" s="66"/>
      <c r="AT784" s="66"/>
      <c r="AV784" s="70"/>
      <c r="AW784" s="66"/>
      <c r="AX784" s="66"/>
      <c r="AY784" s="66"/>
      <c r="AZ784" s="66"/>
      <c r="BA784" s="66"/>
      <c r="BB784" s="66"/>
      <c r="BC784" s="66"/>
      <c r="BD784" s="66"/>
      <c r="BE784" s="66"/>
      <c r="BF784" s="66"/>
      <c r="BG784" s="66"/>
      <c r="BH784" s="24"/>
      <c r="BL784" s="14"/>
      <c r="BM784" s="14"/>
      <c r="BO784" s="24"/>
      <c r="CE784" s="24"/>
      <c r="CT784" s="14"/>
    </row>
    <row r="785" spans="1:98">
      <c r="A785" s="24"/>
      <c r="B785" s="24"/>
      <c r="H785" s="14"/>
      <c r="P785" s="24"/>
      <c r="W785" s="24"/>
      <c r="AC785" s="14"/>
      <c r="AK785" s="71"/>
      <c r="AL785" s="66"/>
      <c r="AM785" s="66"/>
      <c r="AN785" s="66"/>
      <c r="AO785" s="66"/>
      <c r="AP785" s="66"/>
      <c r="AQ785" s="66"/>
      <c r="AR785" s="71"/>
      <c r="AS785" s="70"/>
      <c r="AT785" s="70"/>
      <c r="AU785" s="70"/>
      <c r="AV785" s="70"/>
      <c r="AW785" s="66"/>
      <c r="AX785" s="66"/>
      <c r="AY785" s="66"/>
      <c r="AZ785" s="66"/>
      <c r="BA785" s="66"/>
      <c r="BB785" s="66"/>
      <c r="BC785" s="66"/>
      <c r="BD785" s="66"/>
      <c r="BE785" s="66"/>
      <c r="BF785" s="66"/>
      <c r="BG785" s="66"/>
      <c r="BH785" s="24"/>
      <c r="BL785" s="14"/>
      <c r="BM785" s="14"/>
      <c r="BO785" s="24"/>
      <c r="CE785" s="24"/>
      <c r="CT785" s="14"/>
    </row>
    <row r="786" spans="1:98">
      <c r="A786" s="24"/>
      <c r="B786" s="24"/>
      <c r="H786" s="14"/>
      <c r="P786" s="24"/>
      <c r="W786" s="24"/>
      <c r="AC786" s="14"/>
      <c r="AK786" s="71"/>
      <c r="AL786" s="66"/>
      <c r="AM786" s="66"/>
      <c r="AN786" s="66"/>
      <c r="AO786" s="66"/>
      <c r="AP786" s="66"/>
      <c r="AQ786" s="66"/>
      <c r="AR786" s="71"/>
      <c r="AS786" s="80"/>
      <c r="AT786" s="70"/>
      <c r="AU786" s="70"/>
      <c r="AV786" s="66"/>
      <c r="AW786" s="66"/>
      <c r="AX786" s="66"/>
      <c r="AY786" s="66"/>
      <c r="AZ786" s="66"/>
      <c r="BA786" s="66"/>
      <c r="BB786" s="66"/>
      <c r="BC786" s="66"/>
      <c r="BD786" s="66"/>
      <c r="BE786" s="66"/>
      <c r="BF786" s="66"/>
      <c r="BG786" s="66"/>
      <c r="BH786" s="24"/>
      <c r="BL786" s="14"/>
      <c r="BM786" s="14"/>
      <c r="BO786" s="24"/>
      <c r="CE786" s="24"/>
      <c r="CT786" s="14"/>
    </row>
    <row r="787" spans="1:98">
      <c r="A787" s="24"/>
      <c r="B787" s="24"/>
      <c r="H787" s="14"/>
      <c r="P787" s="24"/>
      <c r="W787" s="24"/>
      <c r="AC787" s="14"/>
      <c r="AK787" s="71"/>
      <c r="AL787" s="66"/>
      <c r="AM787" s="66"/>
      <c r="AN787" s="66"/>
      <c r="AO787" s="66"/>
      <c r="AP787" s="66"/>
      <c r="AQ787" s="66"/>
      <c r="AR787" s="71"/>
      <c r="AS787" s="70"/>
      <c r="AT787" s="66"/>
      <c r="AU787" s="70"/>
      <c r="AV787" s="66"/>
      <c r="AW787" s="66"/>
      <c r="AX787" s="66"/>
      <c r="AY787" s="66"/>
      <c r="AZ787" s="66"/>
      <c r="BA787" s="66"/>
      <c r="BB787" s="66"/>
      <c r="BC787" s="66"/>
      <c r="BD787" s="66"/>
      <c r="BE787" s="66"/>
      <c r="BF787" s="66"/>
      <c r="BG787" s="66"/>
      <c r="BH787" s="24"/>
      <c r="BL787" s="14"/>
      <c r="BM787" s="14"/>
      <c r="BO787" s="24"/>
      <c r="CE787" s="24"/>
      <c r="CT787" s="14"/>
    </row>
    <row r="788" spans="1:98">
      <c r="A788" s="24"/>
      <c r="B788" s="24"/>
      <c r="H788" s="14"/>
      <c r="P788" s="24"/>
      <c r="W788" s="24"/>
      <c r="AC788" s="14"/>
      <c r="AK788" s="71"/>
      <c r="AL788" s="66"/>
      <c r="AM788" s="66"/>
      <c r="AN788" s="66"/>
      <c r="AO788" s="66"/>
      <c r="AP788" s="66"/>
      <c r="AQ788" s="66"/>
      <c r="AR788" s="71"/>
      <c r="AS788" s="70"/>
      <c r="AT788" s="70"/>
      <c r="AU788" s="70"/>
      <c r="AV788" s="66"/>
      <c r="AW788" s="66"/>
      <c r="AX788" s="66"/>
      <c r="AY788" s="66"/>
      <c r="AZ788" s="66"/>
      <c r="BA788" s="66"/>
      <c r="BB788" s="66"/>
      <c r="BC788" s="66"/>
      <c r="BD788" s="66"/>
      <c r="BE788" s="66"/>
      <c r="BF788" s="66"/>
      <c r="BG788" s="66"/>
      <c r="BH788" s="24"/>
      <c r="BL788" s="14"/>
      <c r="BM788" s="14"/>
      <c r="BO788" s="24"/>
      <c r="CE788" s="24"/>
      <c r="CT788" s="14"/>
    </row>
    <row r="789" spans="1:98">
      <c r="A789" s="24"/>
      <c r="B789" s="24"/>
      <c r="H789" s="14"/>
      <c r="P789" s="24"/>
      <c r="W789" s="24"/>
      <c r="AC789" s="14"/>
      <c r="AK789" s="71"/>
      <c r="AL789" s="66"/>
      <c r="AM789" s="66"/>
      <c r="AN789" s="66"/>
      <c r="AO789" s="66"/>
      <c r="AP789" s="66"/>
      <c r="AQ789" s="66"/>
      <c r="AR789" s="71"/>
      <c r="AS789" s="70"/>
      <c r="AT789" s="70"/>
      <c r="AU789" s="70"/>
      <c r="AV789" s="66"/>
      <c r="AW789" s="66"/>
      <c r="AX789" s="66"/>
      <c r="AY789" s="66"/>
      <c r="AZ789" s="66"/>
      <c r="BA789" s="66"/>
      <c r="BB789" s="66"/>
      <c r="BC789" s="66"/>
      <c r="BD789" s="66"/>
      <c r="BE789" s="66"/>
      <c r="BF789" s="66"/>
      <c r="BG789" s="66"/>
      <c r="BH789" s="24"/>
      <c r="BL789" s="14"/>
      <c r="BM789" s="14"/>
      <c r="BO789" s="24"/>
      <c r="CE789" s="24"/>
      <c r="CT789" s="14"/>
    </row>
    <row r="790" spans="1:98">
      <c r="A790" s="24"/>
      <c r="B790" s="24"/>
      <c r="H790" s="14"/>
      <c r="P790" s="24"/>
      <c r="W790" s="24"/>
      <c r="AC790" s="14"/>
      <c r="AK790" s="71"/>
      <c r="AL790" s="66"/>
      <c r="AM790" s="66"/>
      <c r="AN790" s="66"/>
      <c r="AO790" s="66"/>
      <c r="AP790" s="66"/>
      <c r="AQ790" s="66"/>
      <c r="AR790" s="71"/>
      <c r="AS790" s="66"/>
      <c r="AT790" s="66"/>
      <c r="AV790" s="70"/>
      <c r="AW790" s="66"/>
      <c r="AX790" s="66"/>
      <c r="AY790" s="66"/>
      <c r="AZ790" s="66"/>
      <c r="BA790" s="66"/>
      <c r="BB790" s="66"/>
      <c r="BC790" s="66"/>
      <c r="BD790" s="66"/>
      <c r="BE790" s="66"/>
      <c r="BF790" s="66"/>
      <c r="BG790" s="66"/>
      <c r="BH790" s="24"/>
      <c r="BL790" s="14"/>
      <c r="BM790" s="14"/>
      <c r="BO790" s="24"/>
      <c r="CE790" s="24"/>
      <c r="CT790" s="14"/>
    </row>
    <row r="791" spans="1:98">
      <c r="A791" s="24"/>
      <c r="B791" s="24"/>
      <c r="H791" s="14"/>
      <c r="P791" s="24"/>
      <c r="W791" s="24"/>
      <c r="AC791" s="14"/>
      <c r="AK791" s="71"/>
      <c r="AL791" s="66"/>
      <c r="AM791" s="66"/>
      <c r="AN791" s="66"/>
      <c r="AO791" s="66"/>
      <c r="AP791" s="66"/>
      <c r="AQ791" s="66"/>
      <c r="AR791" s="71"/>
      <c r="AS791" s="66"/>
      <c r="AT791" s="66"/>
      <c r="AV791" s="66"/>
      <c r="AW791" s="66"/>
      <c r="AX791" s="66"/>
      <c r="AY791" s="66"/>
      <c r="AZ791" s="66"/>
      <c r="BA791" s="66"/>
      <c r="BB791" s="66"/>
      <c r="BC791" s="66"/>
      <c r="BD791" s="66"/>
      <c r="BE791" s="66"/>
      <c r="BF791" s="66"/>
      <c r="BG791" s="66"/>
      <c r="BH791" s="24"/>
      <c r="BL791" s="14"/>
      <c r="BM791" s="14"/>
      <c r="BO791" s="24"/>
      <c r="CE791" s="24"/>
      <c r="CT791" s="14"/>
    </row>
    <row r="792" spans="1:98">
      <c r="A792" s="24"/>
      <c r="B792" s="24"/>
      <c r="H792" s="14"/>
      <c r="P792" s="24"/>
      <c r="W792" s="24"/>
      <c r="AC792" s="14"/>
      <c r="AK792" s="71"/>
      <c r="AL792" s="66"/>
      <c r="AM792" s="66"/>
      <c r="AN792" s="66"/>
      <c r="AO792" s="66"/>
      <c r="AP792" s="66"/>
      <c r="AQ792" s="66"/>
      <c r="AR792" s="71"/>
      <c r="AS792" s="80" t="s">
        <v>512</v>
      </c>
      <c r="AT792" s="70"/>
      <c r="AU792" s="70"/>
      <c r="AV792" s="66"/>
      <c r="AW792" s="66"/>
      <c r="AX792" s="66"/>
      <c r="AY792" s="66"/>
      <c r="AZ792" s="66"/>
      <c r="BA792" s="66"/>
      <c r="BB792" s="66"/>
      <c r="BC792" s="66"/>
      <c r="BD792" s="66"/>
      <c r="BE792" s="66"/>
      <c r="BF792" s="66"/>
      <c r="BG792" s="66"/>
      <c r="BH792" s="24"/>
      <c r="BL792" s="14"/>
      <c r="BM792" s="14"/>
      <c r="BO792" s="24"/>
      <c r="CE792" s="24"/>
      <c r="CT792" s="14"/>
    </row>
    <row r="793" spans="1:98">
      <c r="A793" s="24"/>
      <c r="B793" s="24"/>
      <c r="H793" s="14"/>
      <c r="P793" s="24"/>
      <c r="W793" s="24"/>
      <c r="AC793" s="14"/>
      <c r="AK793" s="71"/>
      <c r="AL793" s="66"/>
      <c r="AM793" s="66"/>
      <c r="AN793" s="66"/>
      <c r="AO793" s="66"/>
      <c r="AP793" s="66"/>
      <c r="AQ793" s="66"/>
      <c r="AR793" s="71"/>
      <c r="AS793" s="70"/>
      <c r="AT793" s="66" t="s">
        <v>513</v>
      </c>
      <c r="AU793" s="70"/>
      <c r="AV793" s="66"/>
      <c r="AW793" s="66"/>
      <c r="AX793" s="66"/>
      <c r="AY793" s="66"/>
      <c r="AZ793" s="66"/>
      <c r="BA793" s="66"/>
      <c r="BB793" s="66"/>
      <c r="BC793" s="66"/>
      <c r="BD793" s="66"/>
      <c r="BE793" s="66"/>
      <c r="BF793" s="66"/>
      <c r="BG793" s="66"/>
      <c r="BH793" s="24"/>
      <c r="BL793" s="14"/>
      <c r="BM793" s="14"/>
      <c r="BO793" s="24"/>
      <c r="CE793" s="24"/>
      <c r="CT793" s="14"/>
    </row>
    <row r="794" spans="1:98">
      <c r="A794" s="24"/>
      <c r="B794" s="24"/>
      <c r="H794" s="14"/>
      <c r="P794" s="24"/>
      <c r="W794" s="24"/>
      <c r="AC794" s="14"/>
      <c r="AK794" s="71"/>
      <c r="AL794" s="66"/>
      <c r="AM794" s="66"/>
      <c r="AN794" s="66"/>
      <c r="AO794" s="66"/>
      <c r="AP794" s="66"/>
      <c r="AQ794" s="66"/>
      <c r="AR794" s="71"/>
      <c r="AS794" s="70"/>
      <c r="AT794" s="66" t="s">
        <v>508</v>
      </c>
      <c r="AU794" s="70"/>
      <c r="AV794" s="66"/>
      <c r="AW794" s="66"/>
      <c r="AX794" s="66"/>
      <c r="AY794" s="66"/>
      <c r="AZ794" s="66"/>
      <c r="BA794" s="66"/>
      <c r="BB794" s="66"/>
      <c r="BC794" s="66"/>
      <c r="BD794" s="66"/>
      <c r="BE794" s="66"/>
      <c r="BF794" s="66"/>
      <c r="BG794" s="66"/>
      <c r="BH794" s="24"/>
      <c r="BL794" s="14"/>
      <c r="BM794" s="14"/>
      <c r="BO794" s="24"/>
      <c r="CE794" s="24"/>
      <c r="CT794" s="14"/>
    </row>
    <row r="795" spans="1:98">
      <c r="A795" s="24"/>
      <c r="B795" s="24"/>
      <c r="H795" s="14"/>
      <c r="P795" s="24"/>
      <c r="W795" s="24"/>
      <c r="AC795" s="14"/>
      <c r="AK795" s="71"/>
      <c r="AL795" s="66"/>
      <c r="AM795" s="66"/>
      <c r="AN795" s="66"/>
      <c r="AO795" s="66"/>
      <c r="AP795" s="66"/>
      <c r="AQ795" s="66"/>
      <c r="AR795" s="71"/>
      <c r="AS795" s="66"/>
      <c r="AT795" s="66"/>
      <c r="AV795" s="70"/>
      <c r="AW795" s="66"/>
      <c r="AX795" s="66"/>
      <c r="AY795" s="66"/>
      <c r="AZ795" s="66"/>
      <c r="BA795" s="66"/>
      <c r="BB795" s="66"/>
      <c r="BC795" s="66"/>
      <c r="BD795" s="66"/>
      <c r="BE795" s="66"/>
      <c r="BF795" s="66"/>
      <c r="BG795" s="66"/>
      <c r="BH795" s="24"/>
      <c r="BL795" s="14"/>
      <c r="BM795" s="14"/>
      <c r="BO795" s="24"/>
      <c r="CE795" s="24"/>
      <c r="CT795" s="14"/>
    </row>
    <row r="796" spans="1:98">
      <c r="A796" s="24"/>
      <c r="B796" s="24"/>
      <c r="H796" s="14"/>
      <c r="P796" s="24"/>
      <c r="W796" s="24"/>
      <c r="AC796" s="14"/>
      <c r="AK796" s="71"/>
      <c r="AL796" s="66"/>
      <c r="AM796" s="66"/>
      <c r="AN796" s="66"/>
      <c r="AO796" s="66"/>
      <c r="AP796" s="66"/>
      <c r="AQ796" s="66"/>
      <c r="AR796" s="71"/>
      <c r="AS796" s="66"/>
      <c r="AT796" s="66"/>
      <c r="AV796" s="70"/>
      <c r="AW796" s="66"/>
      <c r="AX796" s="66"/>
      <c r="AY796" s="66"/>
      <c r="AZ796" s="66"/>
      <c r="BA796" s="66"/>
      <c r="BB796" s="66"/>
      <c r="BC796" s="66"/>
      <c r="BD796" s="66"/>
      <c r="BE796" s="66"/>
      <c r="BF796" s="66"/>
      <c r="BG796" s="66"/>
      <c r="BH796" s="24"/>
      <c r="BL796" s="14"/>
      <c r="BM796" s="14"/>
      <c r="BO796" s="24"/>
      <c r="CE796" s="24"/>
      <c r="CT796" s="14"/>
    </row>
    <row r="797" spans="1:98">
      <c r="A797" s="24"/>
      <c r="B797" s="24"/>
      <c r="H797" s="14"/>
      <c r="P797" s="24"/>
      <c r="W797" s="24"/>
      <c r="AC797" s="14"/>
      <c r="AK797" s="71"/>
      <c r="AL797" s="66"/>
      <c r="AM797" s="66"/>
      <c r="AN797" s="66"/>
      <c r="AO797" s="66"/>
      <c r="AP797" s="66"/>
      <c r="AQ797" s="66"/>
      <c r="AR797" s="71"/>
      <c r="AS797" s="66"/>
      <c r="AT797" s="66"/>
      <c r="AV797" s="70"/>
      <c r="AW797" s="66"/>
      <c r="AX797" s="66"/>
      <c r="AY797" s="66"/>
      <c r="AZ797" s="66"/>
      <c r="BA797" s="66"/>
      <c r="BB797" s="66"/>
      <c r="BC797" s="66"/>
      <c r="BD797" s="66"/>
      <c r="BE797" s="66"/>
      <c r="BF797" s="66"/>
      <c r="BG797" s="66"/>
      <c r="BH797" s="24"/>
      <c r="BL797" s="14"/>
      <c r="BM797" s="14"/>
      <c r="BO797" s="24"/>
      <c r="CE797" s="24"/>
      <c r="CT797" s="14"/>
    </row>
    <row r="798" spans="1:98">
      <c r="A798" s="24"/>
      <c r="B798" s="24"/>
      <c r="H798" s="14"/>
      <c r="P798" s="24"/>
      <c r="W798" s="24"/>
      <c r="AC798" s="14"/>
      <c r="AK798" s="71"/>
      <c r="AL798" s="66"/>
      <c r="AM798" s="66"/>
      <c r="AN798" s="66"/>
      <c r="AO798" s="66"/>
      <c r="AP798" s="66"/>
      <c r="AQ798" s="66"/>
      <c r="AR798" s="71"/>
      <c r="AS798" s="49" t="s">
        <v>118</v>
      </c>
      <c r="AT798" s="49" t="s">
        <v>514</v>
      </c>
      <c r="AU798" s="11"/>
      <c r="AW798" s="66"/>
      <c r="AX798" s="66"/>
      <c r="AY798" s="66"/>
      <c r="AZ798" s="66"/>
      <c r="BA798" s="66"/>
      <c r="BB798" s="66"/>
      <c r="BC798" s="66"/>
      <c r="BD798" s="66"/>
      <c r="BE798" s="66"/>
      <c r="BF798" s="66"/>
      <c r="BG798" s="66"/>
      <c r="BH798" s="24"/>
      <c r="BL798" s="14"/>
      <c r="BM798" s="14"/>
      <c r="BO798" s="24"/>
      <c r="CE798" s="24"/>
      <c r="CT798" s="14"/>
    </row>
    <row r="799" spans="1:98">
      <c r="A799" s="24"/>
      <c r="B799" s="24"/>
      <c r="H799" s="14"/>
      <c r="P799" s="24"/>
      <c r="W799" s="24"/>
      <c r="AC799" s="14"/>
      <c r="AK799" s="71"/>
      <c r="AL799" s="66"/>
      <c r="AM799" s="66"/>
      <c r="AN799" s="66"/>
      <c r="AO799" s="66"/>
      <c r="AP799" s="66"/>
      <c r="AQ799" s="66"/>
      <c r="AR799" s="71"/>
      <c r="AS799" s="49"/>
      <c r="AT799" s="49" t="s">
        <v>515</v>
      </c>
      <c r="AU799" s="11"/>
      <c r="AW799" s="66"/>
      <c r="AX799" s="66"/>
      <c r="AY799" s="66"/>
      <c r="AZ799" s="66"/>
      <c r="BA799" s="66"/>
      <c r="BB799" s="66"/>
      <c r="BC799" s="66"/>
      <c r="BD799" s="66"/>
      <c r="BE799" s="66"/>
      <c r="BF799" s="66"/>
      <c r="BG799" s="66"/>
      <c r="BH799" s="24"/>
      <c r="BL799" s="14"/>
      <c r="BM799" s="14"/>
      <c r="BO799" s="24"/>
      <c r="CE799" s="24"/>
      <c r="CT799" s="14"/>
    </row>
    <row r="800" spans="1:98">
      <c r="A800" s="24"/>
      <c r="B800" s="24"/>
      <c r="H800" s="14"/>
      <c r="P800" s="24"/>
      <c r="W800" s="24"/>
      <c r="AC800" s="14"/>
      <c r="AK800" s="71"/>
      <c r="AL800" s="66"/>
      <c r="AM800" s="66"/>
      <c r="AN800" s="66"/>
      <c r="AO800" s="66"/>
      <c r="AP800" s="66"/>
      <c r="AQ800" s="66"/>
      <c r="AR800" s="71"/>
      <c r="AS800" s="49"/>
      <c r="AT800" s="49" t="s">
        <v>516</v>
      </c>
      <c r="AU800" s="8"/>
      <c r="AW800" s="66"/>
      <c r="AX800" s="66"/>
      <c r="AY800" s="66"/>
      <c r="AZ800" s="66"/>
      <c r="BA800" s="66"/>
      <c r="BB800" s="66"/>
      <c r="BC800" s="66"/>
      <c r="BD800" s="66"/>
      <c r="BE800" s="66"/>
      <c r="BF800" s="66"/>
      <c r="BG800" s="66"/>
      <c r="BH800" s="24"/>
      <c r="BL800" s="14"/>
      <c r="BM800" s="14"/>
      <c r="BO800" s="24"/>
      <c r="CE800" s="24"/>
      <c r="CT800" s="14"/>
    </row>
    <row r="801" spans="1:98">
      <c r="A801" s="24"/>
      <c r="B801" s="24"/>
      <c r="H801" s="14"/>
      <c r="P801" s="24"/>
      <c r="W801" s="24"/>
      <c r="AC801" s="14"/>
      <c r="AK801" s="71"/>
      <c r="AL801" s="66"/>
      <c r="AM801" s="66"/>
      <c r="AN801" s="66"/>
      <c r="AO801" s="66"/>
      <c r="AP801" s="66"/>
      <c r="AQ801" s="66"/>
      <c r="AR801" s="71"/>
      <c r="AS801" s="49"/>
      <c r="AT801" s="49"/>
      <c r="AU801" s="11"/>
      <c r="AW801" s="66"/>
      <c r="AX801" s="66"/>
      <c r="AY801" s="66"/>
      <c r="AZ801" s="66"/>
      <c r="BA801" s="66"/>
      <c r="BB801" s="66"/>
      <c r="BC801" s="66"/>
      <c r="BD801" s="66"/>
      <c r="BE801" s="66"/>
      <c r="BF801" s="66"/>
      <c r="BG801" s="66"/>
      <c r="BH801" s="24"/>
      <c r="BL801" s="14"/>
      <c r="BM801" s="14"/>
      <c r="BO801" s="24"/>
      <c r="CE801" s="24"/>
      <c r="CT801" s="14"/>
    </row>
    <row r="802" spans="1:98">
      <c r="A802" s="24"/>
      <c r="B802" s="24"/>
      <c r="H802" s="14"/>
      <c r="P802" s="24"/>
      <c r="W802" s="24"/>
      <c r="AC802" s="14"/>
      <c r="AK802" s="71"/>
      <c r="AL802" s="66"/>
      <c r="AM802" s="66"/>
      <c r="AN802" s="66"/>
      <c r="AO802" s="66"/>
      <c r="AP802" s="66"/>
      <c r="AQ802" s="66"/>
      <c r="AR802" s="71"/>
      <c r="AS802" s="49"/>
      <c r="AT802" s="49"/>
      <c r="AU802" s="11"/>
      <c r="AW802" s="66"/>
      <c r="AX802" s="66"/>
      <c r="AY802" s="66"/>
      <c r="AZ802" s="66"/>
      <c r="BA802" s="66"/>
      <c r="BB802" s="66"/>
      <c r="BC802" s="66"/>
      <c r="BD802" s="66"/>
      <c r="BE802" s="66"/>
      <c r="BF802" s="66"/>
      <c r="BG802" s="66"/>
      <c r="BH802" s="24"/>
      <c r="BL802" s="14"/>
      <c r="BM802" s="14"/>
      <c r="BO802" s="24"/>
      <c r="CE802" s="24"/>
      <c r="CT802" s="14"/>
    </row>
    <row r="803" spans="1:98">
      <c r="A803" s="24"/>
      <c r="B803" s="24"/>
      <c r="H803" s="14"/>
      <c r="P803" s="24"/>
      <c r="W803" s="24"/>
      <c r="AC803" s="14"/>
      <c r="AK803" s="71"/>
      <c r="AL803" s="66"/>
      <c r="AM803" s="66"/>
      <c r="AN803" s="66"/>
      <c r="AO803" s="66"/>
      <c r="AP803" s="66"/>
      <c r="AQ803" s="66"/>
      <c r="AR803" s="71"/>
      <c r="AU803" s="8"/>
      <c r="AZ803" s="66"/>
      <c r="BA803" s="66"/>
      <c r="BB803" s="66"/>
      <c r="BC803" s="66"/>
      <c r="BD803" s="66"/>
      <c r="BE803" s="66"/>
      <c r="BF803" s="66"/>
      <c r="BG803" s="66"/>
      <c r="BH803" s="24"/>
      <c r="BL803" s="14"/>
      <c r="BM803" s="14"/>
      <c r="BO803" s="24"/>
      <c r="CE803" s="24"/>
      <c r="CT803" s="14"/>
    </row>
    <row r="804" spans="1:98">
      <c r="A804" s="24"/>
      <c r="B804" s="24"/>
      <c r="H804" s="14"/>
      <c r="P804" s="24"/>
      <c r="W804" s="24"/>
      <c r="AC804" s="14"/>
      <c r="AK804" s="71"/>
      <c r="AL804" s="66"/>
      <c r="AM804" s="66"/>
      <c r="AN804" s="66"/>
      <c r="AO804" s="66"/>
      <c r="AP804" s="66"/>
      <c r="AQ804" s="66"/>
      <c r="AR804" s="71"/>
      <c r="AU804" s="8"/>
      <c r="AZ804" s="66"/>
      <c r="BA804" s="66"/>
      <c r="BB804" s="66"/>
      <c r="BC804" s="66"/>
      <c r="BD804" s="66"/>
      <c r="BE804" s="66"/>
      <c r="BF804" s="66"/>
      <c r="BG804" s="66"/>
      <c r="BH804" s="24"/>
      <c r="BL804" s="14"/>
      <c r="BM804" s="14"/>
      <c r="BO804" s="24"/>
      <c r="CE804" s="24"/>
      <c r="CT804" s="14"/>
    </row>
    <row r="805" spans="1:98">
      <c r="A805" s="24"/>
      <c r="B805" s="24"/>
      <c r="H805" s="14"/>
      <c r="P805" s="24"/>
      <c r="W805" s="24"/>
      <c r="AC805" s="14"/>
      <c r="AK805" s="71"/>
      <c r="AL805" s="66"/>
      <c r="AM805" s="66"/>
      <c r="AN805" s="66"/>
      <c r="AO805" s="66"/>
      <c r="AP805" s="66"/>
      <c r="AQ805" s="66"/>
      <c r="AR805" s="71"/>
      <c r="AS805" s="80" t="s">
        <v>517</v>
      </c>
      <c r="AT805" s="70"/>
      <c r="AU805" s="70"/>
      <c r="AV805" s="70"/>
      <c r="AW805" s="66"/>
      <c r="AX805" s="66"/>
      <c r="AY805" s="66"/>
      <c r="AZ805" s="66"/>
      <c r="BA805" s="66"/>
      <c r="BB805" s="66"/>
      <c r="BC805" s="66"/>
      <c r="BD805" s="66"/>
      <c r="BE805" s="66"/>
      <c r="BF805" s="66"/>
      <c r="BG805" s="66"/>
      <c r="BH805" s="24"/>
      <c r="BL805" s="14"/>
      <c r="BM805" s="14"/>
      <c r="BO805" s="24"/>
      <c r="CE805" s="24"/>
      <c r="CT805" s="14"/>
    </row>
    <row r="806" spans="1:98">
      <c r="A806" s="24"/>
      <c r="B806" s="24"/>
      <c r="H806" s="14"/>
      <c r="P806" s="24"/>
      <c r="W806" s="24"/>
      <c r="AC806" s="14"/>
      <c r="AK806" s="71"/>
      <c r="AL806" s="66"/>
      <c r="AM806" s="66"/>
      <c r="AN806" s="66"/>
      <c r="AO806" s="66"/>
      <c r="AP806" s="66"/>
      <c r="AQ806" s="66"/>
      <c r="AR806" s="71"/>
      <c r="AS806" s="70"/>
      <c r="AT806" s="66" t="s">
        <v>518</v>
      </c>
      <c r="AU806" s="70"/>
      <c r="AV806" s="70"/>
      <c r="AW806" s="66"/>
      <c r="AX806" s="66"/>
      <c r="AY806" s="66"/>
      <c r="AZ806" s="66"/>
      <c r="BA806" s="66"/>
      <c r="BB806" s="66"/>
      <c r="BC806" s="66"/>
      <c r="BD806" s="66"/>
      <c r="BE806" s="66"/>
      <c r="BF806" s="66"/>
      <c r="BG806" s="66"/>
      <c r="BH806" s="24"/>
      <c r="BL806" s="14"/>
      <c r="BM806" s="14"/>
      <c r="BO806" s="24"/>
      <c r="CE806" s="24"/>
      <c r="CT806" s="14"/>
    </row>
    <row r="807" spans="1:98">
      <c r="A807" s="24"/>
      <c r="B807" s="24"/>
      <c r="H807" s="14"/>
      <c r="P807" s="24"/>
      <c r="W807" s="24"/>
      <c r="AC807" s="14"/>
      <c r="AK807" s="71"/>
      <c r="AL807" s="66"/>
      <c r="AM807" s="66"/>
      <c r="AN807" s="66"/>
      <c r="AO807" s="66"/>
      <c r="AP807" s="66"/>
      <c r="AQ807" s="66"/>
      <c r="AR807" s="71"/>
      <c r="AS807" s="70"/>
      <c r="AT807" s="66" t="s">
        <v>118</v>
      </c>
      <c r="AU807" s="70" t="s">
        <v>519</v>
      </c>
      <c r="AV807" s="70"/>
      <c r="AW807" s="66"/>
      <c r="AX807" s="66"/>
      <c r="AY807" s="66"/>
      <c r="AZ807" s="66"/>
      <c r="BA807" s="66"/>
      <c r="BB807" s="66"/>
      <c r="BC807" s="66"/>
      <c r="BD807" s="66"/>
      <c r="BE807" s="66"/>
      <c r="BF807" s="66"/>
      <c r="BG807" s="66"/>
      <c r="BH807" s="24"/>
      <c r="BL807" s="14"/>
      <c r="BM807" s="14"/>
      <c r="BO807" s="24"/>
      <c r="CE807" s="24"/>
      <c r="CT807" s="14"/>
    </row>
    <row r="808" spans="1:98">
      <c r="A808" s="24"/>
      <c r="B808" s="24"/>
      <c r="H808" s="14"/>
      <c r="P808" s="24"/>
      <c r="W808" s="24"/>
      <c r="AC808" s="14"/>
      <c r="AK808" s="71"/>
      <c r="AL808" s="66"/>
      <c r="AM808" s="66"/>
      <c r="AN808" s="66"/>
      <c r="AO808" s="66"/>
      <c r="AP808" s="66"/>
      <c r="AQ808" s="66"/>
      <c r="AR808" s="71"/>
      <c r="AS808" s="70"/>
      <c r="AU808" s="8"/>
      <c r="AW808" s="66"/>
      <c r="AX808" s="66"/>
      <c r="AY808" s="66"/>
      <c r="AZ808" s="66"/>
      <c r="BA808" s="66"/>
      <c r="BB808" s="66"/>
      <c r="BC808" s="66"/>
      <c r="BD808" s="66"/>
      <c r="BE808" s="66"/>
      <c r="BF808" s="66"/>
      <c r="BG808" s="66"/>
      <c r="BH808" s="24"/>
      <c r="BL808" s="14"/>
      <c r="BM808" s="14"/>
      <c r="BO808" s="24"/>
      <c r="CE808" s="24"/>
      <c r="CT808" s="14"/>
    </row>
    <row r="809" spans="1:98">
      <c r="A809" s="24"/>
      <c r="B809" s="24"/>
      <c r="H809" s="14"/>
      <c r="P809" s="24"/>
      <c r="W809" s="24"/>
      <c r="AC809" s="14"/>
      <c r="AK809" s="71"/>
      <c r="AL809" s="66"/>
      <c r="AM809" s="66"/>
      <c r="AN809" s="66"/>
      <c r="AO809" s="66"/>
      <c r="AP809" s="66"/>
      <c r="AQ809" s="66"/>
      <c r="AR809" s="71"/>
      <c r="AS809" s="11"/>
      <c r="AU809" s="8"/>
      <c r="AX809" s="66"/>
      <c r="AY809" s="66"/>
      <c r="AZ809" s="66"/>
      <c r="BA809" s="66"/>
      <c r="BB809" s="66"/>
      <c r="BC809" s="66"/>
      <c r="BD809" s="66"/>
      <c r="BE809" s="66"/>
      <c r="BF809" s="66"/>
      <c r="BG809" s="66"/>
      <c r="BH809" s="24"/>
      <c r="BL809" s="14"/>
      <c r="BM809" s="14"/>
      <c r="BO809" s="24"/>
      <c r="CE809" s="24"/>
      <c r="CT809" s="14"/>
    </row>
    <row r="810" spans="1:98">
      <c r="A810" s="24"/>
      <c r="B810" s="24"/>
      <c r="H810" s="14"/>
      <c r="P810" s="24"/>
      <c r="W810" s="24"/>
      <c r="AC810" s="14"/>
      <c r="AK810" s="71"/>
      <c r="AL810" s="66"/>
      <c r="AM810" s="66"/>
      <c r="AN810" s="66"/>
      <c r="AO810" s="66"/>
      <c r="AP810" s="66"/>
      <c r="AQ810" s="66"/>
      <c r="AR810" s="71"/>
      <c r="AS810" s="11"/>
      <c r="AU810" s="8"/>
      <c r="AX810" s="66"/>
      <c r="AY810" s="66"/>
      <c r="AZ810" s="66"/>
      <c r="BA810" s="66"/>
      <c r="BB810" s="66"/>
      <c r="BC810" s="66"/>
      <c r="BD810" s="66"/>
      <c r="BE810" s="66"/>
      <c r="BF810" s="66"/>
      <c r="BG810" s="66"/>
      <c r="BH810" s="24"/>
      <c r="BL810" s="14"/>
      <c r="BM810" s="14"/>
      <c r="BO810" s="24"/>
      <c r="CE810" s="24"/>
      <c r="CT810" s="14"/>
    </row>
    <row r="811" spans="1:98">
      <c r="A811" s="24"/>
      <c r="B811" s="24"/>
      <c r="H811" s="14"/>
      <c r="P811" s="24"/>
      <c r="W811" s="24"/>
      <c r="AC811" s="14"/>
      <c r="AK811" s="71"/>
      <c r="AL811" s="66"/>
      <c r="AM811" s="66"/>
      <c r="AN811" s="66"/>
      <c r="AO811" s="66"/>
      <c r="AP811" s="66"/>
      <c r="AQ811" s="66"/>
      <c r="AR811" s="71"/>
      <c r="AS811" s="11"/>
      <c r="AU811" s="8"/>
      <c r="AX811" s="66"/>
      <c r="AY811" s="66"/>
      <c r="AZ811" s="66"/>
      <c r="BA811" s="66"/>
      <c r="BB811" s="66"/>
      <c r="BC811" s="66"/>
      <c r="BD811" s="66"/>
      <c r="BE811" s="66"/>
      <c r="BF811" s="66"/>
      <c r="BG811" s="66"/>
      <c r="BH811" s="24"/>
      <c r="BL811" s="14"/>
      <c r="BM811" s="14"/>
      <c r="BO811" s="24"/>
      <c r="CE811" s="24"/>
      <c r="CT811" s="14"/>
    </row>
    <row r="812" spans="1:98">
      <c r="A812" s="24"/>
      <c r="B812" s="24"/>
      <c r="H812" s="14"/>
      <c r="P812" s="24"/>
      <c r="W812" s="24"/>
      <c r="AC812" s="14"/>
      <c r="AK812" s="71"/>
      <c r="AL812" s="66"/>
      <c r="AM812" s="66"/>
      <c r="AN812" s="66"/>
      <c r="AO812" s="66"/>
      <c r="AP812" s="66"/>
      <c r="AQ812" s="66"/>
      <c r="AR812" s="71"/>
      <c r="AS812" s="11"/>
      <c r="AU812" s="8"/>
      <c r="AX812" s="66"/>
      <c r="AY812" s="66"/>
      <c r="AZ812" s="66"/>
      <c r="BA812" s="66"/>
      <c r="BB812" s="66"/>
      <c r="BC812" s="66"/>
      <c r="BD812" s="66"/>
      <c r="BE812" s="66"/>
      <c r="BF812" s="66"/>
      <c r="BG812" s="66"/>
      <c r="BH812" s="24"/>
      <c r="BL812" s="14"/>
      <c r="BM812" s="14"/>
      <c r="BO812" s="24"/>
      <c r="CE812" s="24"/>
      <c r="CT812" s="14"/>
    </row>
    <row r="813" spans="1:98">
      <c r="A813" s="24"/>
      <c r="B813" s="24"/>
      <c r="H813" s="14"/>
      <c r="P813" s="24"/>
      <c r="W813" s="24"/>
      <c r="AC813" s="14"/>
      <c r="AK813" s="71"/>
      <c r="AL813" s="66"/>
      <c r="AM813" s="66"/>
      <c r="AN813" s="66"/>
      <c r="AO813" s="66"/>
      <c r="AP813" s="66"/>
      <c r="AQ813" s="66"/>
      <c r="AR813" s="71"/>
      <c r="AS813" s="11"/>
      <c r="AU813" s="8"/>
      <c r="AX813" s="66"/>
      <c r="AY813" s="66"/>
      <c r="AZ813" s="66"/>
      <c r="BA813" s="66"/>
      <c r="BB813" s="66"/>
      <c r="BC813" s="66"/>
      <c r="BD813" s="66"/>
      <c r="BE813" s="66"/>
      <c r="BF813" s="66"/>
      <c r="BG813" s="66"/>
      <c r="BH813" s="24"/>
      <c r="BL813" s="14"/>
      <c r="BM813" s="14"/>
      <c r="BO813" s="24"/>
      <c r="CE813" s="24"/>
      <c r="CT813" s="14"/>
    </row>
    <row r="814" spans="1:98">
      <c r="A814" s="24"/>
      <c r="B814" s="24"/>
      <c r="H814" s="14"/>
      <c r="P814" s="24"/>
      <c r="W814" s="24"/>
      <c r="AC814" s="14"/>
      <c r="AK814" s="71"/>
      <c r="AL814" s="66"/>
      <c r="AM814" s="66"/>
      <c r="AN814" s="66"/>
      <c r="AO814" s="66"/>
      <c r="AP814" s="66"/>
      <c r="AQ814" s="66"/>
      <c r="AR814" s="71"/>
      <c r="AS814" s="11"/>
      <c r="AU814" s="8"/>
      <c r="AX814" s="66"/>
      <c r="AY814" s="66"/>
      <c r="AZ814" s="66"/>
      <c r="BA814" s="66"/>
      <c r="BB814" s="66"/>
      <c r="BC814" s="66"/>
      <c r="BD814" s="66"/>
      <c r="BE814" s="66"/>
      <c r="BF814" s="66"/>
      <c r="BG814" s="66"/>
      <c r="BH814" s="24"/>
      <c r="BL814" s="14"/>
      <c r="BM814" s="14"/>
      <c r="BO814" s="24"/>
      <c r="CE814" s="24"/>
      <c r="CT814" s="14"/>
    </row>
    <row r="815" spans="1:98">
      <c r="A815" s="24"/>
      <c r="B815" s="24"/>
      <c r="H815" s="14"/>
      <c r="P815" s="24"/>
      <c r="W815" s="24"/>
      <c r="AC815" s="14"/>
      <c r="AK815" s="71"/>
      <c r="AL815" s="66"/>
      <c r="AM815" s="66"/>
      <c r="AN815" s="66"/>
      <c r="AO815" s="66"/>
      <c r="AP815" s="66"/>
      <c r="AQ815" s="66"/>
      <c r="AR815" s="71"/>
      <c r="AS815" s="11"/>
      <c r="AU815" s="8"/>
      <c r="AX815" s="66"/>
      <c r="AY815" s="66"/>
      <c r="AZ815" s="66"/>
      <c r="BA815" s="66"/>
      <c r="BB815" s="66"/>
      <c r="BC815" s="66"/>
      <c r="BD815" s="66"/>
      <c r="BE815" s="66"/>
      <c r="BF815" s="66"/>
      <c r="BG815" s="66"/>
      <c r="BH815" s="24"/>
      <c r="BL815" s="14"/>
      <c r="BM815" s="14"/>
      <c r="BO815" s="24"/>
      <c r="CE815" s="24"/>
      <c r="CT815" s="14"/>
    </row>
    <row r="816" spans="1:98">
      <c r="A816" s="24"/>
      <c r="B816" s="24"/>
      <c r="H816" s="14"/>
      <c r="P816" s="24"/>
      <c r="W816" s="24"/>
      <c r="AC816" s="14"/>
      <c r="AK816" s="71"/>
      <c r="AL816" s="66"/>
      <c r="AM816" s="66"/>
      <c r="AN816" s="66"/>
      <c r="AO816" s="66"/>
      <c r="AP816" s="66"/>
      <c r="AQ816" s="66"/>
      <c r="AR816" s="71"/>
      <c r="AS816" s="11"/>
      <c r="AU816" s="8"/>
      <c r="AX816" s="66"/>
      <c r="AY816" s="66"/>
      <c r="AZ816" s="66"/>
      <c r="BA816" s="66"/>
      <c r="BB816" s="66"/>
      <c r="BC816" s="66"/>
      <c r="BD816" s="66"/>
      <c r="BE816" s="66"/>
      <c r="BF816" s="66"/>
      <c r="BG816" s="66"/>
      <c r="BH816" s="24"/>
      <c r="BL816" s="14"/>
      <c r="BM816" s="14"/>
      <c r="BO816" s="24"/>
      <c r="CE816" s="24"/>
      <c r="CT816" s="14"/>
    </row>
    <row r="817" spans="1:98">
      <c r="A817" s="24"/>
      <c r="B817" s="24"/>
      <c r="H817" s="14"/>
      <c r="P817" s="24"/>
      <c r="W817" s="24"/>
      <c r="AC817" s="14"/>
      <c r="AK817" s="71"/>
      <c r="AL817" s="66"/>
      <c r="AM817" s="66"/>
      <c r="AN817" s="66"/>
      <c r="AO817" s="66"/>
      <c r="AP817" s="66"/>
      <c r="AQ817" s="66"/>
      <c r="AR817" s="71"/>
      <c r="AS817" s="70"/>
      <c r="AT817" s="66"/>
      <c r="AU817" s="70"/>
      <c r="AV817" s="66"/>
      <c r="AW817" s="66"/>
      <c r="AX817" s="66"/>
      <c r="AY817" s="66"/>
      <c r="AZ817" s="66"/>
      <c r="BA817" s="66"/>
      <c r="BB817" s="66"/>
      <c r="BC817" s="66"/>
      <c r="BD817" s="66"/>
      <c r="BE817" s="66"/>
      <c r="BF817" s="66"/>
      <c r="BG817" s="66"/>
      <c r="BH817" s="24"/>
      <c r="BL817" s="14"/>
      <c r="BM817" s="14"/>
      <c r="BO817" s="24"/>
      <c r="CE817" s="24"/>
      <c r="CT817" s="14"/>
    </row>
    <row r="818" spans="1:98" s="11" customFormat="1">
      <c r="A818" s="25"/>
      <c r="B818" s="26" t="s">
        <v>520</v>
      </c>
      <c r="C818" s="23"/>
      <c r="D818" s="23"/>
      <c r="E818" s="23"/>
      <c r="F818" s="23"/>
      <c r="G818" s="23"/>
      <c r="H818" s="23"/>
      <c r="I818" s="23"/>
      <c r="J818" s="23"/>
      <c r="K818" s="23"/>
      <c r="L818" s="23"/>
      <c r="M818" s="23"/>
      <c r="N818" s="23"/>
      <c r="O818" s="23"/>
      <c r="P818" s="23"/>
      <c r="Q818" s="23"/>
      <c r="R818" s="23"/>
      <c r="S818" s="23"/>
      <c r="T818" s="23"/>
      <c r="U818" s="23"/>
      <c r="V818" s="23"/>
      <c r="W818" s="30"/>
      <c r="X818" s="23"/>
      <c r="Y818" s="23"/>
      <c r="Z818" s="23"/>
      <c r="AA818" s="23"/>
      <c r="AB818" s="23"/>
      <c r="AC818" s="23"/>
      <c r="AD818" s="23"/>
      <c r="AE818" s="23"/>
      <c r="AF818" s="23"/>
      <c r="AG818" s="23"/>
      <c r="AH818" s="23"/>
      <c r="AI818" s="23"/>
      <c r="AJ818" s="23"/>
      <c r="AK818" s="30"/>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13"/>
      <c r="BO818" s="24"/>
      <c r="BP818" s="8"/>
      <c r="BQ818" s="8"/>
      <c r="BR818" s="8"/>
      <c r="BS818" s="8"/>
      <c r="BT818" s="8"/>
      <c r="BU818" s="8"/>
      <c r="BV818" s="8"/>
      <c r="BW818" s="8"/>
      <c r="BX818" s="8"/>
      <c r="BY818" s="8"/>
      <c r="BZ818" s="8"/>
      <c r="CA818" s="8"/>
      <c r="CB818" s="8"/>
      <c r="CC818" s="8"/>
      <c r="CD818" s="8"/>
      <c r="CE818" s="24"/>
      <c r="CF818" s="8"/>
      <c r="CG818" s="8"/>
      <c r="CH818" s="8"/>
      <c r="CI818" s="8"/>
      <c r="CJ818" s="8"/>
      <c r="CK818" s="8"/>
      <c r="CL818" s="8"/>
      <c r="CM818" s="8"/>
      <c r="CN818" s="8"/>
      <c r="CO818" s="8"/>
      <c r="CP818" s="8"/>
      <c r="CQ818" s="8"/>
      <c r="CR818" s="8"/>
      <c r="CS818" s="8"/>
      <c r="CT818" s="14"/>
    </row>
    <row r="819" spans="1:98" s="11" customFormat="1">
      <c r="A819" s="25"/>
      <c r="B819" s="24"/>
      <c r="C819" s="8"/>
      <c r="D819" s="8"/>
      <c r="E819" s="8"/>
      <c r="F819" s="8"/>
      <c r="G819" s="8"/>
      <c r="H819" s="14"/>
      <c r="P819" s="24"/>
      <c r="Q819" s="8"/>
      <c r="R819" s="8"/>
      <c r="S819" s="8"/>
      <c r="T819" s="8"/>
      <c r="U819" s="8"/>
      <c r="V819" s="8"/>
      <c r="W819" s="24"/>
      <c r="X819" s="8"/>
      <c r="Y819" s="8"/>
      <c r="Z819" s="8"/>
      <c r="AA819" s="8"/>
      <c r="AB819" s="8"/>
      <c r="AC819" s="14"/>
      <c r="AD819" s="8"/>
      <c r="AE819" s="8"/>
      <c r="AF819" s="8"/>
      <c r="AG819" s="8"/>
      <c r="AH819" s="8"/>
      <c r="AI819" s="8"/>
      <c r="AJ819" s="8"/>
      <c r="AK819" s="71"/>
      <c r="AL819" s="66"/>
      <c r="AM819" s="66"/>
      <c r="AN819" s="66"/>
      <c r="AO819" s="66"/>
      <c r="AP819" s="66"/>
      <c r="AQ819" s="66"/>
      <c r="AR819" s="71"/>
      <c r="AS819" s="66"/>
      <c r="AT819" s="66"/>
      <c r="AU819" s="66"/>
      <c r="AV819" s="66"/>
      <c r="AW819" s="66"/>
      <c r="AX819" s="66"/>
      <c r="AY819" s="66"/>
      <c r="AZ819" s="66"/>
      <c r="BA819" s="66"/>
      <c r="BB819" s="66"/>
      <c r="BC819" s="66"/>
      <c r="BD819" s="66"/>
      <c r="BE819" s="66"/>
      <c r="BF819" s="66"/>
      <c r="BG819" s="66"/>
      <c r="BH819" s="24"/>
      <c r="BI819" s="8"/>
      <c r="BJ819" s="8"/>
      <c r="BK819" s="8"/>
      <c r="BL819" s="14"/>
      <c r="BM819" s="13"/>
      <c r="BO819" s="29"/>
      <c r="CE819" s="29"/>
      <c r="CT819" s="13"/>
    </row>
    <row r="820" spans="1:98">
      <c r="A820" s="24"/>
      <c r="B820" s="24"/>
      <c r="H820" s="14"/>
      <c r="P820" s="24"/>
      <c r="W820" s="24"/>
      <c r="AC820" s="14"/>
      <c r="AK820" s="71"/>
      <c r="AL820" s="66"/>
      <c r="AM820" s="66"/>
      <c r="AN820" s="66"/>
      <c r="AO820" s="66"/>
      <c r="AP820" s="66"/>
      <c r="AQ820" s="66"/>
      <c r="AR820" s="71"/>
      <c r="AS820" s="66"/>
      <c r="AT820" s="66"/>
      <c r="AV820" s="66"/>
      <c r="AW820" s="66"/>
      <c r="AX820" s="66"/>
      <c r="AY820" s="66"/>
      <c r="AZ820" s="66"/>
      <c r="BA820" s="66"/>
      <c r="BB820" s="66"/>
      <c r="BC820" s="66"/>
      <c r="BD820" s="66"/>
      <c r="BE820" s="66"/>
      <c r="BF820" s="66"/>
      <c r="BG820" s="66"/>
      <c r="BH820" s="24"/>
      <c r="BL820" s="14"/>
      <c r="BM820" s="14"/>
      <c r="BO820" s="29"/>
      <c r="BP820" s="11"/>
      <c r="BQ820" s="11"/>
      <c r="BR820" s="11"/>
      <c r="BS820" s="11"/>
      <c r="BT820" s="11"/>
      <c r="BU820" s="11"/>
      <c r="BV820" s="11"/>
      <c r="BW820" s="11"/>
      <c r="BX820" s="11"/>
      <c r="BY820" s="11"/>
      <c r="BZ820" s="11"/>
      <c r="CA820" s="11"/>
      <c r="CB820" s="11"/>
      <c r="CC820" s="11"/>
      <c r="CD820" s="11"/>
      <c r="CE820" s="29"/>
      <c r="CF820" s="11"/>
      <c r="CG820" s="11"/>
      <c r="CH820" s="11"/>
      <c r="CI820" s="11"/>
      <c r="CJ820" s="11"/>
      <c r="CK820" s="11"/>
      <c r="CL820" s="11"/>
      <c r="CM820" s="11"/>
      <c r="CN820" s="11"/>
      <c r="CO820" s="11"/>
      <c r="CP820" s="11"/>
      <c r="CQ820" s="11"/>
      <c r="CR820" s="11"/>
      <c r="CS820" s="11"/>
      <c r="CT820" s="13"/>
    </row>
    <row r="821" spans="1:98">
      <c r="A821" s="24"/>
      <c r="B821" s="24"/>
      <c r="H821" s="14"/>
      <c r="P821" s="24"/>
      <c r="W821" s="24"/>
      <c r="AC821" s="14"/>
      <c r="AK821" s="71"/>
      <c r="AL821" s="66"/>
      <c r="AM821" s="66"/>
      <c r="AN821" s="66"/>
      <c r="AO821" s="66"/>
      <c r="AP821" s="66"/>
      <c r="AQ821" s="66"/>
      <c r="AR821" s="71"/>
      <c r="AS821" s="66"/>
      <c r="AT821" s="78"/>
      <c r="AV821" s="66"/>
      <c r="AW821" s="66"/>
      <c r="AX821" s="66"/>
      <c r="AY821" s="66"/>
      <c r="AZ821" s="66"/>
      <c r="BA821" s="66"/>
      <c r="BB821" s="66"/>
      <c r="BC821" s="66"/>
      <c r="BD821" s="66"/>
      <c r="BE821" s="66"/>
      <c r="BF821" s="66"/>
      <c r="BG821" s="66"/>
      <c r="BH821" s="24"/>
      <c r="BL821" s="14"/>
      <c r="BM821" s="14"/>
      <c r="BO821" s="24"/>
      <c r="CE821" s="24"/>
      <c r="CT821" s="14"/>
    </row>
    <row r="822" spans="1:98">
      <c r="A822" s="24"/>
      <c r="B822" s="24"/>
      <c r="H822" s="14"/>
      <c r="P822" s="24"/>
      <c r="W822" s="24"/>
      <c r="AC822" s="14"/>
      <c r="AK822" s="71"/>
      <c r="AL822" s="66"/>
      <c r="AM822" s="66"/>
      <c r="AN822" s="66"/>
      <c r="AO822" s="66"/>
      <c r="AP822" s="66"/>
      <c r="AQ822" s="66"/>
      <c r="AR822" s="71"/>
      <c r="AS822" s="66"/>
      <c r="AT822" s="66"/>
      <c r="AV822" s="66"/>
      <c r="AW822" s="66"/>
      <c r="AX822" s="66"/>
      <c r="AY822" s="66"/>
      <c r="AZ822" s="66"/>
      <c r="BA822" s="66"/>
      <c r="BB822" s="66"/>
      <c r="BC822" s="66"/>
      <c r="BD822" s="66"/>
      <c r="BE822" s="66"/>
      <c r="BF822" s="66"/>
      <c r="BG822" s="66"/>
      <c r="BH822" s="24"/>
      <c r="BL822" s="14"/>
      <c r="BM822" s="14"/>
      <c r="BO822" s="24"/>
      <c r="CE822" s="24"/>
      <c r="CT822" s="14"/>
    </row>
    <row r="823" spans="1:98" s="11" customFormat="1">
      <c r="A823" s="25"/>
      <c r="B823" s="24"/>
      <c r="C823" s="8"/>
      <c r="D823" s="8"/>
      <c r="E823" s="8"/>
      <c r="F823" s="8"/>
      <c r="G823" s="8"/>
      <c r="H823" s="14"/>
      <c r="P823" s="24"/>
      <c r="Q823" s="8"/>
      <c r="R823" s="8"/>
      <c r="S823" s="8"/>
      <c r="T823" s="8"/>
      <c r="U823" s="8"/>
      <c r="V823" s="8"/>
      <c r="W823" s="24"/>
      <c r="X823" s="8"/>
      <c r="Y823" s="8"/>
      <c r="Z823" s="8"/>
      <c r="AA823" s="8"/>
      <c r="AB823" s="8"/>
      <c r="AC823" s="14"/>
      <c r="AD823" s="8"/>
      <c r="AE823" s="8"/>
      <c r="AF823" s="8"/>
      <c r="AG823" s="8"/>
      <c r="AH823" s="8"/>
      <c r="AI823" s="8"/>
      <c r="AJ823" s="8"/>
      <c r="AK823" s="71"/>
      <c r="AL823" s="66"/>
      <c r="AM823" s="66"/>
      <c r="AN823" s="66"/>
      <c r="AO823" s="66"/>
      <c r="AP823" s="66"/>
      <c r="AQ823" s="66"/>
      <c r="AR823" s="71"/>
      <c r="AS823" s="66"/>
      <c r="AT823" s="66"/>
      <c r="AU823" s="66"/>
      <c r="AV823" s="66"/>
      <c r="AW823" s="66"/>
      <c r="AX823" s="66"/>
      <c r="AY823" s="66"/>
      <c r="AZ823" s="66"/>
      <c r="BA823" s="66"/>
      <c r="BB823" s="66"/>
      <c r="BC823" s="66"/>
      <c r="BD823" s="66"/>
      <c r="BE823" s="66"/>
      <c r="BF823" s="66"/>
      <c r="BG823" s="66"/>
      <c r="BH823" s="24"/>
      <c r="BI823" s="8"/>
      <c r="BJ823" s="8"/>
      <c r="BK823" s="8"/>
      <c r="BL823" s="14"/>
      <c r="BM823" s="13"/>
      <c r="BO823" s="24"/>
      <c r="BP823" s="8"/>
      <c r="BQ823" s="8"/>
      <c r="BR823" s="8"/>
      <c r="BS823" s="8"/>
      <c r="BT823" s="8"/>
      <c r="BU823" s="8"/>
      <c r="BV823" s="8"/>
      <c r="BW823" s="8"/>
      <c r="BX823" s="8"/>
      <c r="BY823" s="8"/>
      <c r="BZ823" s="8"/>
      <c r="CA823" s="8"/>
      <c r="CB823" s="8"/>
      <c r="CC823" s="8"/>
      <c r="CD823" s="8"/>
      <c r="CE823" s="24"/>
      <c r="CF823" s="8"/>
      <c r="CG823" s="8"/>
      <c r="CH823" s="8"/>
      <c r="CI823" s="8"/>
      <c r="CJ823" s="8"/>
      <c r="CK823" s="8"/>
      <c r="CL823" s="8"/>
      <c r="CM823" s="8"/>
      <c r="CN823" s="8"/>
      <c r="CO823" s="8"/>
      <c r="CP823" s="8"/>
      <c r="CQ823" s="8"/>
      <c r="CR823" s="8"/>
      <c r="CS823" s="8"/>
      <c r="CT823" s="14"/>
    </row>
    <row r="824" spans="1:98">
      <c r="A824" s="24"/>
      <c r="B824" s="24"/>
      <c r="H824" s="14"/>
      <c r="P824" s="24"/>
      <c r="W824" s="24"/>
      <c r="AC824" s="14"/>
      <c r="AK824" s="71"/>
      <c r="AL824" s="66"/>
      <c r="AM824" s="66"/>
      <c r="AN824" s="66"/>
      <c r="AO824" s="66"/>
      <c r="AP824" s="66"/>
      <c r="AQ824" s="66"/>
      <c r="AR824" s="71"/>
      <c r="AS824" s="80" t="s">
        <v>521</v>
      </c>
      <c r="AT824" s="70"/>
      <c r="AU824" s="70"/>
      <c r="AV824" s="66"/>
      <c r="AW824" s="66"/>
      <c r="AX824" s="66"/>
      <c r="AY824" s="66"/>
      <c r="AZ824" s="66"/>
      <c r="BA824" s="66"/>
      <c r="BB824" s="66"/>
      <c r="BC824" s="66"/>
      <c r="BD824" s="66"/>
      <c r="BE824" s="66"/>
      <c r="BF824" s="66"/>
      <c r="BG824" s="66"/>
      <c r="BH824" s="24"/>
      <c r="BL824" s="14"/>
      <c r="BM824" s="14"/>
      <c r="BO824" s="29"/>
      <c r="BP824" s="11"/>
      <c r="BQ824" s="11"/>
      <c r="BR824" s="11"/>
      <c r="BS824" s="11"/>
      <c r="BT824" s="11"/>
      <c r="BU824" s="11"/>
      <c r="BV824" s="11"/>
      <c r="BW824" s="11"/>
      <c r="BX824" s="11"/>
      <c r="BY824" s="11"/>
      <c r="BZ824" s="11"/>
      <c r="CA824" s="11"/>
      <c r="CB824" s="11"/>
      <c r="CC824" s="11"/>
      <c r="CD824" s="11"/>
      <c r="CE824" s="29"/>
      <c r="CF824" s="11"/>
      <c r="CG824" s="11"/>
      <c r="CH824" s="11"/>
      <c r="CI824" s="11"/>
      <c r="CJ824" s="11"/>
      <c r="CK824" s="11"/>
      <c r="CL824" s="11"/>
      <c r="CM824" s="11"/>
      <c r="CN824" s="11"/>
      <c r="CO824" s="11"/>
      <c r="CP824" s="11"/>
      <c r="CQ824" s="11"/>
      <c r="CR824" s="11"/>
      <c r="CS824" s="11"/>
      <c r="CT824" s="13"/>
    </row>
    <row r="825" spans="1:98">
      <c r="A825" s="24"/>
      <c r="B825" s="24"/>
      <c r="H825" s="14"/>
      <c r="P825" s="24"/>
      <c r="W825" s="24"/>
      <c r="AC825" s="14"/>
      <c r="AK825" s="71"/>
      <c r="AL825" s="66"/>
      <c r="AM825" s="66"/>
      <c r="AN825" s="66"/>
      <c r="AO825" s="66"/>
      <c r="AP825" s="66"/>
      <c r="AQ825" s="66"/>
      <c r="AR825" s="71"/>
      <c r="AS825" s="70"/>
      <c r="AT825" s="66" t="s">
        <v>522</v>
      </c>
      <c r="AU825" s="70"/>
      <c r="AV825" s="66"/>
      <c r="AW825" s="66"/>
      <c r="AX825" s="66"/>
      <c r="AY825" s="66"/>
      <c r="AZ825" s="66"/>
      <c r="BA825" s="66"/>
      <c r="BB825" s="66"/>
      <c r="BC825" s="66"/>
      <c r="BD825" s="66"/>
      <c r="BE825" s="66"/>
      <c r="BF825" s="66"/>
      <c r="BG825" s="66"/>
      <c r="BH825" s="24"/>
      <c r="BL825" s="14"/>
      <c r="BM825" s="14"/>
      <c r="BO825" s="24"/>
      <c r="CE825" s="24"/>
      <c r="CT825" s="14"/>
    </row>
    <row r="826" spans="1:98">
      <c r="A826" s="24"/>
      <c r="B826" s="24"/>
      <c r="H826" s="14"/>
      <c r="P826" s="24"/>
      <c r="W826" s="24"/>
      <c r="AC826" s="14"/>
      <c r="AK826" s="71"/>
      <c r="AL826" s="66"/>
      <c r="AM826" s="66"/>
      <c r="AN826" s="66"/>
      <c r="AO826" s="66"/>
      <c r="AP826" s="66"/>
      <c r="AQ826" s="66"/>
      <c r="AR826" s="71"/>
      <c r="AS826" s="70"/>
      <c r="AT826" s="70" t="s">
        <v>523</v>
      </c>
      <c r="AU826" s="70"/>
      <c r="AV826" s="66"/>
      <c r="AW826" s="66"/>
      <c r="AX826" s="66"/>
      <c r="AY826" s="66"/>
      <c r="AZ826" s="66"/>
      <c r="BA826" s="66"/>
      <c r="BB826" s="66"/>
      <c r="BC826" s="66"/>
      <c r="BD826" s="66"/>
      <c r="BE826" s="66"/>
      <c r="BF826" s="66"/>
      <c r="BG826" s="66"/>
      <c r="BH826" s="24"/>
      <c r="BL826" s="14"/>
      <c r="BM826" s="14"/>
      <c r="BO826" s="24"/>
      <c r="CE826" s="24"/>
      <c r="CT826" s="14"/>
    </row>
    <row r="827" spans="1:98">
      <c r="A827" s="24"/>
      <c r="B827" s="24"/>
      <c r="H827" s="14"/>
      <c r="P827" s="24"/>
      <c r="W827" s="24"/>
      <c r="AC827" s="14"/>
      <c r="AK827" s="71"/>
      <c r="AL827" s="66"/>
      <c r="AM827" s="66"/>
      <c r="AN827" s="66"/>
      <c r="AO827" s="66"/>
      <c r="AP827" s="66"/>
      <c r="AQ827" s="66"/>
      <c r="AR827" s="71"/>
      <c r="AS827" s="66"/>
      <c r="AT827" s="66"/>
      <c r="AV827" s="70"/>
      <c r="AW827" s="66"/>
      <c r="AX827" s="66"/>
      <c r="AY827" s="66"/>
      <c r="AZ827" s="66"/>
      <c r="BA827" s="66"/>
      <c r="BB827" s="66"/>
      <c r="BC827" s="66"/>
      <c r="BD827" s="66"/>
      <c r="BE827" s="66"/>
      <c r="BF827" s="66"/>
      <c r="BG827" s="66"/>
      <c r="BH827" s="24"/>
      <c r="BL827" s="14"/>
      <c r="BM827" s="14"/>
      <c r="BO827" s="24"/>
      <c r="CE827" s="24"/>
      <c r="CT827" s="14"/>
    </row>
    <row r="828" spans="1:98">
      <c r="A828" s="24"/>
      <c r="B828" s="24"/>
      <c r="H828" s="14"/>
      <c r="P828" s="24"/>
      <c r="W828" s="24"/>
      <c r="AC828" s="14"/>
      <c r="AK828" s="71"/>
      <c r="AL828" s="66"/>
      <c r="AM828" s="66"/>
      <c r="AN828" s="66"/>
      <c r="AO828" s="66"/>
      <c r="AP828" s="66"/>
      <c r="AQ828" s="66"/>
      <c r="AR828" s="71"/>
      <c r="AS828" s="66"/>
      <c r="AT828" s="66"/>
      <c r="AV828" s="70"/>
      <c r="AW828" s="66"/>
      <c r="AX828" s="66"/>
      <c r="AY828" s="66"/>
      <c r="AZ828" s="66"/>
      <c r="BA828" s="66"/>
      <c r="BB828" s="66"/>
      <c r="BC828" s="66"/>
      <c r="BD828" s="66"/>
      <c r="BE828" s="66"/>
      <c r="BF828" s="66"/>
      <c r="BG828" s="66"/>
      <c r="BH828" s="24"/>
      <c r="BL828" s="14"/>
      <c r="BM828" s="14"/>
      <c r="BO828" s="24"/>
      <c r="CE828" s="24"/>
      <c r="CT828" s="14"/>
    </row>
    <row r="829" spans="1:98">
      <c r="A829" s="24"/>
      <c r="B829" s="24"/>
      <c r="H829" s="14"/>
      <c r="P829" s="24"/>
      <c r="W829" s="24"/>
      <c r="AC829" s="14"/>
      <c r="AK829" s="71"/>
      <c r="AL829" s="66"/>
      <c r="AM829" s="66"/>
      <c r="AN829" s="66"/>
      <c r="AO829" s="66"/>
      <c r="AP829" s="66"/>
      <c r="AQ829" s="66"/>
      <c r="AR829" s="71"/>
      <c r="AS829" s="66"/>
      <c r="AT829" s="66"/>
      <c r="AV829" s="70"/>
      <c r="AW829" s="66"/>
      <c r="AX829" s="66"/>
      <c r="AY829" s="66"/>
      <c r="AZ829" s="66"/>
      <c r="BA829" s="66"/>
      <c r="BB829" s="66"/>
      <c r="BC829" s="66"/>
      <c r="BD829" s="66"/>
      <c r="BE829" s="66"/>
      <c r="BF829" s="66"/>
      <c r="BG829" s="66"/>
      <c r="BH829" s="24"/>
      <c r="BL829" s="14"/>
      <c r="BM829" s="14"/>
      <c r="BO829" s="24"/>
      <c r="CE829" s="24"/>
      <c r="CT829" s="14"/>
    </row>
    <row r="830" spans="1:98">
      <c r="A830" s="24"/>
      <c r="B830" s="24"/>
      <c r="H830" s="14"/>
      <c r="P830" s="24"/>
      <c r="W830" s="24"/>
      <c r="AC830" s="14"/>
      <c r="AK830" s="71"/>
      <c r="AL830" s="66"/>
      <c r="AM830" s="66"/>
      <c r="AN830" s="66"/>
      <c r="AO830" s="66"/>
      <c r="AP830" s="66"/>
      <c r="AQ830" s="66"/>
      <c r="AR830" s="71"/>
      <c r="AS830" s="66"/>
      <c r="AT830" s="66"/>
      <c r="AV830" s="70"/>
      <c r="AW830" s="66"/>
      <c r="AX830" s="66"/>
      <c r="AY830" s="66"/>
      <c r="AZ830" s="66"/>
      <c r="BA830" s="66"/>
      <c r="BB830" s="66"/>
      <c r="BC830" s="66"/>
      <c r="BD830" s="66"/>
      <c r="BE830" s="66"/>
      <c r="BF830" s="66"/>
      <c r="BG830" s="66"/>
      <c r="BH830" s="24"/>
      <c r="BL830" s="14"/>
      <c r="BM830" s="14"/>
      <c r="BO830" s="24"/>
      <c r="CE830" s="24"/>
      <c r="CT830" s="14"/>
    </row>
    <row r="831" spans="1:98">
      <c r="A831" s="24"/>
      <c r="B831" s="24"/>
      <c r="H831" s="14"/>
      <c r="P831" s="24"/>
      <c r="W831" s="24"/>
      <c r="AC831" s="14"/>
      <c r="AK831" s="71"/>
      <c r="AL831" s="66"/>
      <c r="AM831" s="66"/>
      <c r="AN831" s="66"/>
      <c r="AO831" s="66"/>
      <c r="AP831" s="66"/>
      <c r="AQ831" s="66"/>
      <c r="AR831" s="71"/>
      <c r="AS831" s="66"/>
      <c r="AT831" s="66"/>
      <c r="AV831" s="66"/>
      <c r="AW831" s="66"/>
      <c r="AX831" s="66"/>
      <c r="AY831" s="66"/>
      <c r="AZ831" s="66"/>
      <c r="BA831" s="66"/>
      <c r="BB831" s="66"/>
      <c r="BC831" s="66"/>
      <c r="BD831" s="66"/>
      <c r="BE831" s="66"/>
      <c r="BF831" s="66"/>
      <c r="BG831" s="66"/>
      <c r="BH831" s="24"/>
      <c r="BL831" s="14"/>
      <c r="BM831" s="14"/>
      <c r="BO831" s="24"/>
      <c r="CE831" s="24"/>
      <c r="CT831" s="14"/>
    </row>
    <row r="832" spans="1:98">
      <c r="A832" s="24"/>
      <c r="B832" s="24"/>
      <c r="H832" s="14"/>
      <c r="P832" s="24"/>
      <c r="W832" s="24"/>
      <c r="AC832" s="14"/>
      <c r="AK832" s="71"/>
      <c r="AL832" s="66"/>
      <c r="AM832" s="66"/>
      <c r="AN832" s="66"/>
      <c r="AO832" s="66"/>
      <c r="AP832" s="66"/>
      <c r="AQ832" s="66"/>
      <c r="AR832" s="71"/>
      <c r="AU832" s="8"/>
      <c r="AX832" s="66"/>
      <c r="AY832" s="66"/>
      <c r="AZ832" s="66"/>
      <c r="BA832" s="66"/>
      <c r="BB832" s="66"/>
      <c r="BC832" s="66"/>
      <c r="BD832" s="66"/>
      <c r="BE832" s="66"/>
      <c r="BF832" s="66"/>
      <c r="BG832" s="66"/>
      <c r="BH832" s="24"/>
      <c r="BL832" s="14"/>
      <c r="BM832" s="14"/>
      <c r="BO832" s="24"/>
      <c r="CE832" s="24"/>
      <c r="CT832" s="14"/>
    </row>
    <row r="833" spans="1:98">
      <c r="A833" s="24"/>
      <c r="B833" s="24"/>
      <c r="H833" s="14"/>
      <c r="P833" s="24"/>
      <c r="W833" s="24"/>
      <c r="AC833" s="14"/>
      <c r="AK833" s="71"/>
      <c r="AL833" s="66"/>
      <c r="AM833" s="66"/>
      <c r="AN833" s="66"/>
      <c r="AO833" s="66"/>
      <c r="AP833" s="66"/>
      <c r="AQ833" s="66"/>
      <c r="AR833" s="71"/>
      <c r="AS833" s="80" t="s">
        <v>524</v>
      </c>
      <c r="AT833" s="70"/>
      <c r="AU833" s="70"/>
      <c r="AV833" s="66"/>
      <c r="AW833" s="66"/>
      <c r="AX833" s="66"/>
      <c r="AY833" s="66"/>
      <c r="AZ833" s="66"/>
      <c r="BA833" s="66"/>
      <c r="BB833" s="66"/>
      <c r="BC833" s="66"/>
      <c r="BD833" s="66"/>
      <c r="BE833" s="66"/>
      <c r="BF833" s="66"/>
      <c r="BG833" s="66"/>
      <c r="BH833" s="24"/>
      <c r="BL833" s="14"/>
      <c r="BM833" s="14"/>
      <c r="BO833" s="24"/>
      <c r="CE833" s="24"/>
      <c r="CT833" s="14"/>
    </row>
    <row r="834" spans="1:98">
      <c r="A834" s="24"/>
      <c r="B834" s="24"/>
      <c r="H834" s="14"/>
      <c r="P834" s="24"/>
      <c r="W834" s="24"/>
      <c r="AC834" s="14"/>
      <c r="AK834" s="71"/>
      <c r="AL834" s="66"/>
      <c r="AM834" s="66"/>
      <c r="AN834" s="66"/>
      <c r="AO834" s="66"/>
      <c r="AP834" s="66"/>
      <c r="AQ834" s="66"/>
      <c r="AR834" s="71"/>
      <c r="AS834" s="70"/>
      <c r="AT834" s="66" t="s">
        <v>525</v>
      </c>
      <c r="AU834" s="70"/>
      <c r="AV834" s="66"/>
      <c r="AW834" s="66"/>
      <c r="AX834" s="66"/>
      <c r="AY834" s="66"/>
      <c r="AZ834" s="66"/>
      <c r="BA834" s="66"/>
      <c r="BB834" s="66"/>
      <c r="BC834" s="66"/>
      <c r="BD834" s="66"/>
      <c r="BE834" s="66"/>
      <c r="BF834" s="66"/>
      <c r="BG834" s="66"/>
      <c r="BH834" s="24"/>
      <c r="BL834" s="14"/>
      <c r="BM834" s="14"/>
      <c r="BO834" s="24"/>
      <c r="CE834" s="24"/>
      <c r="CT834" s="14"/>
    </row>
    <row r="835" spans="1:98">
      <c r="A835" s="24"/>
      <c r="B835" s="24"/>
      <c r="H835" s="14"/>
      <c r="P835" s="24"/>
      <c r="W835" s="24"/>
      <c r="AC835" s="14"/>
      <c r="AK835" s="71"/>
      <c r="AL835" s="66"/>
      <c r="AM835" s="66"/>
      <c r="AN835" s="66"/>
      <c r="AO835" s="66"/>
      <c r="AP835" s="66"/>
      <c r="AQ835" s="66"/>
      <c r="AR835" s="71"/>
      <c r="AS835" s="70"/>
      <c r="AT835" s="66" t="s">
        <v>526</v>
      </c>
      <c r="AU835" s="70"/>
      <c r="AV835" s="66"/>
      <c r="AW835" s="66"/>
      <c r="AX835" s="66"/>
      <c r="AY835" s="66"/>
      <c r="AZ835" s="66"/>
      <c r="BA835" s="66"/>
      <c r="BB835" s="66"/>
      <c r="BC835" s="66"/>
      <c r="BD835" s="66"/>
      <c r="BE835" s="66"/>
      <c r="BF835" s="66"/>
      <c r="BG835" s="66"/>
      <c r="BH835" s="24"/>
      <c r="BL835" s="14"/>
      <c r="BM835" s="14"/>
      <c r="BO835" s="24"/>
      <c r="CE835" s="24"/>
      <c r="CT835" s="14"/>
    </row>
    <row r="836" spans="1:98">
      <c r="A836" s="24"/>
      <c r="B836" s="24"/>
      <c r="H836" s="14"/>
      <c r="P836" s="24"/>
      <c r="W836" s="24"/>
      <c r="AC836" s="14"/>
      <c r="AK836" s="71"/>
      <c r="AL836" s="66"/>
      <c r="AM836" s="66"/>
      <c r="AN836" s="66"/>
      <c r="AO836" s="66"/>
      <c r="AP836" s="66"/>
      <c r="AQ836" s="66"/>
      <c r="AR836" s="71"/>
      <c r="AS836" s="66"/>
      <c r="AT836" s="85" t="s">
        <v>527</v>
      </c>
      <c r="AV836" s="70"/>
      <c r="AW836" s="66"/>
      <c r="AX836" s="66"/>
      <c r="AY836" s="66"/>
      <c r="AZ836" s="66"/>
      <c r="BA836" s="66"/>
      <c r="BB836" s="66"/>
      <c r="BC836" s="66"/>
      <c r="BD836" s="66"/>
      <c r="BE836" s="66"/>
      <c r="BF836" s="66"/>
      <c r="BG836" s="66"/>
      <c r="BH836" s="24"/>
      <c r="BL836" s="14"/>
      <c r="BM836" s="14"/>
      <c r="BO836" s="24"/>
      <c r="CE836" s="24"/>
      <c r="CT836" s="14"/>
    </row>
    <row r="837" spans="1:98">
      <c r="A837" s="24"/>
      <c r="B837" s="24"/>
      <c r="H837" s="14"/>
      <c r="P837" s="24"/>
      <c r="W837" s="24"/>
      <c r="AC837" s="14"/>
      <c r="AK837" s="71"/>
      <c r="AL837" s="66"/>
      <c r="AM837" s="66"/>
      <c r="AN837" s="66"/>
      <c r="AO837" s="66"/>
      <c r="AP837" s="66"/>
      <c r="AQ837" s="66"/>
      <c r="AR837" s="71"/>
      <c r="AS837" s="66"/>
      <c r="AT837" s="66"/>
      <c r="AV837" s="70"/>
      <c r="AW837" s="66"/>
      <c r="AX837" s="66"/>
      <c r="AY837" s="66"/>
      <c r="AZ837" s="66"/>
      <c r="BA837" s="66"/>
      <c r="BB837" s="66"/>
      <c r="BC837" s="66"/>
      <c r="BD837" s="66"/>
      <c r="BE837" s="66"/>
      <c r="BF837" s="66"/>
      <c r="BG837" s="66"/>
      <c r="BH837" s="24"/>
      <c r="BL837" s="14"/>
      <c r="BM837" s="14"/>
      <c r="BO837" s="24"/>
      <c r="CE837" s="24"/>
      <c r="CT837" s="14"/>
    </row>
    <row r="838" spans="1:98">
      <c r="A838" s="24"/>
      <c r="B838" s="24"/>
      <c r="H838" s="14"/>
      <c r="P838" s="24"/>
      <c r="W838" s="24"/>
      <c r="AC838" s="14"/>
      <c r="AK838" s="71"/>
      <c r="AL838" s="66"/>
      <c r="AM838" s="66"/>
      <c r="AN838" s="66"/>
      <c r="AO838" s="66"/>
      <c r="AP838" s="66"/>
      <c r="AQ838" s="66"/>
      <c r="AR838" s="71"/>
      <c r="AS838" s="99"/>
      <c r="AT838" s="99"/>
      <c r="AU838" s="100"/>
      <c r="AV838" s="100"/>
      <c r="AW838" s="100"/>
      <c r="AX838" s="47"/>
      <c r="AY838" s="47"/>
      <c r="AZ838" s="66"/>
      <c r="BA838" s="66"/>
      <c r="BB838" s="66"/>
      <c r="BC838" s="66"/>
      <c r="BD838" s="66"/>
      <c r="BE838" s="66"/>
      <c r="BF838" s="66"/>
      <c r="BG838" s="66"/>
      <c r="BH838" s="24"/>
      <c r="BL838" s="14"/>
      <c r="BM838" s="14"/>
      <c r="BO838" s="24"/>
      <c r="CE838" s="24"/>
      <c r="CT838" s="14"/>
    </row>
    <row r="839" spans="1:98">
      <c r="A839" s="24"/>
      <c r="B839" s="24"/>
      <c r="H839" s="14"/>
      <c r="P839" s="24"/>
      <c r="W839" s="24"/>
      <c r="AC839" s="14"/>
      <c r="AK839" s="71"/>
      <c r="AL839" s="66"/>
      <c r="AM839" s="66"/>
      <c r="AN839" s="66"/>
      <c r="AO839" s="66"/>
      <c r="AP839" s="66"/>
      <c r="AQ839" s="66"/>
      <c r="AR839" s="71"/>
      <c r="AS839" s="99"/>
      <c r="AT839" s="100"/>
      <c r="AU839" s="100"/>
      <c r="AV839" s="100"/>
      <c r="AW839" s="100"/>
      <c r="AX839" s="47"/>
      <c r="AY839" s="47"/>
      <c r="AZ839" s="66"/>
      <c r="BA839" s="66"/>
      <c r="BB839" s="66"/>
      <c r="BC839" s="66"/>
      <c r="BD839" s="66"/>
      <c r="BE839" s="66"/>
      <c r="BF839" s="66"/>
      <c r="BG839" s="66"/>
      <c r="BH839" s="24"/>
      <c r="BL839" s="14"/>
      <c r="BM839" s="14"/>
      <c r="BO839" s="24"/>
      <c r="CE839" s="24"/>
      <c r="CT839" s="14"/>
    </row>
    <row r="840" spans="1:98">
      <c r="A840" s="24"/>
      <c r="B840" s="24"/>
      <c r="H840" s="14"/>
      <c r="P840" s="24"/>
      <c r="W840" s="24"/>
      <c r="AC840" s="14"/>
      <c r="AK840" s="71"/>
      <c r="AL840" s="66"/>
      <c r="AM840" s="66"/>
      <c r="AN840" s="66"/>
      <c r="AO840" s="66"/>
      <c r="AP840" s="66"/>
      <c r="AQ840" s="66"/>
      <c r="AR840" s="71"/>
      <c r="AS840" s="50"/>
      <c r="AT840" s="50"/>
      <c r="AU840" s="70"/>
      <c r="AV840" s="70"/>
      <c r="AW840" s="66"/>
      <c r="AX840" s="66"/>
      <c r="AY840" s="66"/>
      <c r="AZ840" s="66"/>
      <c r="BA840" s="66"/>
      <c r="BB840" s="66"/>
      <c r="BC840" s="66"/>
      <c r="BD840" s="66"/>
      <c r="BE840" s="66"/>
      <c r="BF840" s="66"/>
      <c r="BG840" s="66"/>
      <c r="BH840" s="24"/>
      <c r="BL840" s="14"/>
      <c r="BM840" s="14"/>
      <c r="BO840" s="24"/>
      <c r="CE840" s="24"/>
      <c r="CT840" s="14"/>
    </row>
    <row r="841" spans="1:98">
      <c r="A841" s="24"/>
      <c r="B841" s="24"/>
      <c r="H841" s="14"/>
      <c r="P841" s="24"/>
      <c r="W841" s="24"/>
      <c r="AC841" s="14"/>
      <c r="AK841" s="71"/>
      <c r="AL841" s="66"/>
      <c r="AM841" s="66"/>
      <c r="AN841" s="66"/>
      <c r="AO841" s="66"/>
      <c r="AP841" s="66"/>
      <c r="AQ841" s="66"/>
      <c r="AR841" s="71"/>
      <c r="AS841" s="66"/>
      <c r="AT841" s="70"/>
      <c r="AU841" s="70"/>
      <c r="AV841" s="70"/>
      <c r="AW841" s="66"/>
      <c r="AX841" s="66"/>
      <c r="AY841" s="66"/>
      <c r="AZ841" s="66"/>
      <c r="BA841" s="66"/>
      <c r="BB841" s="66"/>
      <c r="BC841" s="66"/>
      <c r="BD841" s="66"/>
      <c r="BE841" s="66"/>
      <c r="BF841" s="66"/>
      <c r="BG841" s="66"/>
      <c r="BH841" s="24"/>
      <c r="BL841" s="14"/>
      <c r="BM841" s="14"/>
      <c r="BO841" s="24"/>
      <c r="CE841" s="24"/>
      <c r="CT841" s="14"/>
    </row>
    <row r="842" spans="1:98">
      <c r="A842" s="24"/>
      <c r="B842" s="24"/>
      <c r="H842" s="14"/>
      <c r="P842" s="24"/>
      <c r="W842" s="24"/>
      <c r="AC842" s="14"/>
      <c r="AK842" s="71"/>
      <c r="AL842" s="66"/>
      <c r="AM842" s="66"/>
      <c r="AN842" s="66"/>
      <c r="AO842" s="66"/>
      <c r="AP842" s="66"/>
      <c r="AQ842" s="66"/>
      <c r="AR842" s="71"/>
      <c r="AS842" s="70"/>
      <c r="AT842" s="70"/>
      <c r="AU842" s="70"/>
      <c r="AV842" s="70"/>
      <c r="AW842" s="66"/>
      <c r="AX842" s="66"/>
      <c r="AY842" s="66"/>
      <c r="AZ842" s="66"/>
      <c r="BA842" s="66"/>
      <c r="BB842" s="66"/>
      <c r="BC842" s="66"/>
      <c r="BD842" s="66"/>
      <c r="BE842" s="66"/>
      <c r="BF842" s="66"/>
      <c r="BG842" s="66"/>
      <c r="BH842" s="24"/>
      <c r="BL842" s="14"/>
      <c r="BM842" s="14"/>
      <c r="BO842" s="24"/>
      <c r="CE842" s="24"/>
      <c r="CT842" s="14"/>
    </row>
    <row r="843" spans="1:98">
      <c r="A843" s="24"/>
      <c r="B843" s="41"/>
      <c r="C843" s="10"/>
      <c r="D843" s="10"/>
      <c r="E843" s="10"/>
      <c r="F843" s="10"/>
      <c r="G843" s="10"/>
      <c r="H843" s="15"/>
      <c r="I843" s="10"/>
      <c r="J843" s="10"/>
      <c r="K843" s="10"/>
      <c r="L843" s="10"/>
      <c r="M843" s="10"/>
      <c r="N843" s="10"/>
      <c r="O843" s="10"/>
      <c r="P843" s="41"/>
      <c r="Q843" s="10"/>
      <c r="R843" s="10"/>
      <c r="S843" s="10"/>
      <c r="T843" s="10"/>
      <c r="U843" s="10"/>
      <c r="V843" s="10"/>
      <c r="W843" s="41"/>
      <c r="X843" s="10"/>
      <c r="Y843" s="10"/>
      <c r="Z843" s="10"/>
      <c r="AA843" s="10"/>
      <c r="AB843" s="10"/>
      <c r="AC843" s="15"/>
      <c r="AD843" s="10"/>
      <c r="AE843" s="10"/>
      <c r="AF843" s="10"/>
      <c r="AG843" s="10"/>
      <c r="AH843" s="10"/>
      <c r="AI843" s="10"/>
      <c r="AJ843" s="10"/>
      <c r="AK843" s="81"/>
      <c r="AL843" s="67"/>
      <c r="AM843" s="67"/>
      <c r="AN843" s="67"/>
      <c r="AO843" s="67"/>
      <c r="AP843" s="67"/>
      <c r="AQ843" s="67"/>
      <c r="AR843" s="81"/>
      <c r="AS843" s="73"/>
      <c r="AT843" s="32"/>
      <c r="AU843" s="32"/>
      <c r="AV843" s="32"/>
      <c r="AW843" s="10"/>
      <c r="AX843" s="10"/>
      <c r="AY843" s="10"/>
      <c r="AZ843" s="10"/>
      <c r="BA843" s="10"/>
      <c r="BB843" s="10"/>
      <c r="BC843" s="10"/>
      <c r="BD843" s="10"/>
      <c r="BE843" s="10"/>
      <c r="BF843" s="10"/>
      <c r="BG843" s="10"/>
      <c r="BH843" s="41"/>
      <c r="BI843" s="10"/>
      <c r="BJ843" s="10"/>
      <c r="BK843" s="10"/>
      <c r="BL843" s="15"/>
      <c r="BM843" s="14"/>
      <c r="BO843" s="24"/>
      <c r="CE843" s="24"/>
      <c r="CT843" s="14"/>
    </row>
    <row r="844" spans="1:98" s="11" customFormat="1">
      <c r="A844" s="25"/>
      <c r="B844" s="26" t="s">
        <v>528</v>
      </c>
      <c r="C844" s="23"/>
      <c r="D844" s="23"/>
      <c r="E844" s="23"/>
      <c r="F844" s="23"/>
      <c r="G844" s="23"/>
      <c r="H844" s="23"/>
      <c r="I844" s="23"/>
      <c r="J844" s="23"/>
      <c r="K844" s="23"/>
      <c r="L844" s="23"/>
      <c r="M844" s="23"/>
      <c r="N844" s="23"/>
      <c r="O844" s="23"/>
      <c r="P844" s="23"/>
      <c r="Q844" s="23"/>
      <c r="R844" s="23"/>
      <c r="S844" s="23"/>
      <c r="T844" s="23"/>
      <c r="U844" s="23"/>
      <c r="V844" s="23"/>
      <c r="W844" s="30"/>
      <c r="X844" s="23"/>
      <c r="Y844" s="23"/>
      <c r="Z844" s="23"/>
      <c r="AA844" s="23"/>
      <c r="AB844" s="23"/>
      <c r="AC844" s="23"/>
      <c r="AD844" s="23"/>
      <c r="AE844" s="23"/>
      <c r="AF844" s="23"/>
      <c r="AG844" s="23"/>
      <c r="AH844" s="23"/>
      <c r="AI844" s="23"/>
      <c r="AJ844" s="23"/>
      <c r="AK844" s="30"/>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13"/>
      <c r="BO844" s="24"/>
      <c r="BP844" s="8"/>
      <c r="BQ844" s="8"/>
      <c r="BR844" s="8"/>
      <c r="BS844" s="8"/>
      <c r="BT844" s="8"/>
      <c r="BU844" s="8"/>
      <c r="BV844" s="8"/>
      <c r="BW844" s="8"/>
      <c r="BX844" s="8"/>
      <c r="BY844" s="8"/>
      <c r="BZ844" s="8"/>
      <c r="CA844" s="8"/>
      <c r="CB844" s="8"/>
      <c r="CC844" s="8"/>
      <c r="CD844" s="8"/>
      <c r="CE844" s="24"/>
      <c r="CF844" s="8"/>
      <c r="CG844" s="8"/>
      <c r="CH844" s="8"/>
      <c r="CI844" s="8"/>
      <c r="CJ844" s="8"/>
      <c r="CK844" s="8"/>
      <c r="CL844" s="8"/>
      <c r="CM844" s="8"/>
      <c r="CN844" s="8"/>
      <c r="CO844" s="8"/>
      <c r="CP844" s="8"/>
      <c r="CQ844" s="8"/>
      <c r="CR844" s="8"/>
      <c r="CS844" s="8"/>
      <c r="CT844" s="14"/>
    </row>
    <row r="845" spans="1:98" s="11" customFormat="1">
      <c r="A845" s="25"/>
      <c r="B845" s="24"/>
      <c r="C845" s="8"/>
      <c r="D845" s="8"/>
      <c r="E845" s="8"/>
      <c r="F845" s="8"/>
      <c r="G845" s="8"/>
      <c r="H845" s="14"/>
      <c r="P845" s="24"/>
      <c r="Q845" s="8"/>
      <c r="R845" s="8"/>
      <c r="S845" s="8"/>
      <c r="T845" s="8"/>
      <c r="U845" s="8"/>
      <c r="V845" s="8"/>
      <c r="W845" s="24"/>
      <c r="X845" s="8"/>
      <c r="Y845" s="8"/>
      <c r="Z845" s="8"/>
      <c r="AA845" s="8"/>
      <c r="AB845" s="8"/>
      <c r="AC845" s="14"/>
      <c r="AD845" s="8"/>
      <c r="AE845" s="8"/>
      <c r="AF845" s="8"/>
      <c r="AG845" s="8"/>
      <c r="AH845" s="8"/>
      <c r="AI845" s="8"/>
      <c r="AJ845" s="8"/>
      <c r="AK845" s="71"/>
      <c r="AL845" s="66"/>
      <c r="AM845" s="66"/>
      <c r="AN845" s="66"/>
      <c r="AO845" s="66"/>
      <c r="AP845" s="66"/>
      <c r="AQ845" s="66"/>
      <c r="AR845" s="71"/>
      <c r="AS845" s="66"/>
      <c r="AT845" s="66"/>
      <c r="AU845" s="66"/>
      <c r="AV845" s="66"/>
      <c r="AW845" s="66"/>
      <c r="AX845" s="66"/>
      <c r="AY845" s="66"/>
      <c r="AZ845" s="66"/>
      <c r="BA845" s="66"/>
      <c r="BB845" s="66"/>
      <c r="BC845" s="66"/>
      <c r="BD845" s="66"/>
      <c r="BE845" s="66"/>
      <c r="BF845" s="66"/>
      <c r="BG845" s="66"/>
      <c r="BH845" s="24"/>
      <c r="BI845" s="8"/>
      <c r="BJ845" s="8"/>
      <c r="BK845" s="8"/>
      <c r="BL845" s="14"/>
      <c r="BM845" s="13"/>
      <c r="BO845" s="29"/>
      <c r="CE845" s="29"/>
      <c r="CT845" s="13"/>
    </row>
    <row r="846" spans="1:98">
      <c r="A846" s="24"/>
      <c r="B846" s="24"/>
      <c r="H846" s="14"/>
      <c r="P846" s="24"/>
      <c r="W846" s="24"/>
      <c r="AC846" s="14"/>
      <c r="AK846" s="71"/>
      <c r="AL846" s="66"/>
      <c r="AM846" s="66"/>
      <c r="AN846" s="66"/>
      <c r="AO846" s="66"/>
      <c r="AP846" s="66"/>
      <c r="AQ846" s="66"/>
      <c r="AR846" s="71"/>
      <c r="AS846" s="66"/>
      <c r="AT846" s="66"/>
      <c r="AV846" s="66"/>
      <c r="AW846" s="66"/>
      <c r="AX846" s="66"/>
      <c r="AY846" s="66"/>
      <c r="AZ846" s="66"/>
      <c r="BA846" s="66"/>
      <c r="BB846" s="66"/>
      <c r="BC846" s="66"/>
      <c r="BD846" s="66"/>
      <c r="BE846" s="66"/>
      <c r="BF846" s="66"/>
      <c r="BG846" s="66"/>
      <c r="BH846" s="24"/>
      <c r="BL846" s="14"/>
      <c r="BM846" s="14"/>
      <c r="BO846" s="29"/>
      <c r="BP846" s="11"/>
      <c r="BQ846" s="11"/>
      <c r="BR846" s="11"/>
      <c r="BS846" s="11"/>
      <c r="BT846" s="11"/>
      <c r="BU846" s="11"/>
      <c r="BV846" s="11"/>
      <c r="BW846" s="11"/>
      <c r="BX846" s="11"/>
      <c r="BY846" s="11"/>
      <c r="BZ846" s="11"/>
      <c r="CA846" s="11"/>
      <c r="CB846" s="11"/>
      <c r="CC846" s="11"/>
      <c r="CD846" s="11"/>
      <c r="CE846" s="29"/>
      <c r="CF846" s="11"/>
      <c r="CG846" s="11"/>
      <c r="CH846" s="11"/>
      <c r="CI846" s="11"/>
      <c r="CJ846" s="11"/>
      <c r="CK846" s="11"/>
      <c r="CL846" s="11"/>
      <c r="CM846" s="11"/>
      <c r="CN846" s="11"/>
      <c r="CO846" s="11"/>
      <c r="CP846" s="11"/>
      <c r="CQ846" s="11"/>
      <c r="CR846" s="11"/>
      <c r="CS846" s="11"/>
      <c r="CT846" s="13"/>
    </row>
    <row r="847" spans="1:98">
      <c r="A847" s="24"/>
      <c r="B847" s="24"/>
      <c r="H847" s="14"/>
      <c r="P847" s="24"/>
      <c r="W847" s="24"/>
      <c r="AC847" s="14"/>
      <c r="AK847" s="71"/>
      <c r="AL847" s="66"/>
      <c r="AM847" s="66"/>
      <c r="AN847" s="66"/>
      <c r="AO847" s="66"/>
      <c r="AP847" s="66"/>
      <c r="AQ847" s="66"/>
      <c r="AR847" s="71"/>
      <c r="AS847" s="66"/>
      <c r="AT847" s="78"/>
      <c r="AV847" s="66"/>
      <c r="AW847" s="66"/>
      <c r="AX847" s="66"/>
      <c r="AY847" s="66"/>
      <c r="AZ847" s="66"/>
      <c r="BA847" s="66"/>
      <c r="BB847" s="66"/>
      <c r="BC847" s="66"/>
      <c r="BD847" s="66"/>
      <c r="BE847" s="66"/>
      <c r="BF847" s="66"/>
      <c r="BG847" s="66"/>
      <c r="BH847" s="24"/>
      <c r="BL847" s="14"/>
      <c r="BM847" s="14"/>
      <c r="BO847" s="24"/>
      <c r="CE847" s="24"/>
      <c r="CT847" s="14"/>
    </row>
    <row r="848" spans="1:98">
      <c r="A848" s="24"/>
      <c r="B848" s="24"/>
      <c r="H848" s="14"/>
      <c r="P848" s="24"/>
      <c r="W848" s="24"/>
      <c r="AC848" s="14"/>
      <c r="AK848" s="71"/>
      <c r="AL848" s="66"/>
      <c r="AM848" s="66"/>
      <c r="AN848" s="66"/>
      <c r="AO848" s="66"/>
      <c r="AP848" s="66"/>
      <c r="AQ848" s="66"/>
      <c r="AR848" s="71"/>
      <c r="AS848" s="66"/>
      <c r="AT848" s="66"/>
      <c r="AV848" s="66"/>
      <c r="AW848" s="66"/>
      <c r="AX848" s="66"/>
      <c r="AY848" s="66"/>
      <c r="AZ848" s="66"/>
      <c r="BA848" s="66"/>
      <c r="BB848" s="66"/>
      <c r="BC848" s="66"/>
      <c r="BD848" s="66"/>
      <c r="BE848" s="66"/>
      <c r="BF848" s="66"/>
      <c r="BG848" s="66"/>
      <c r="BH848" s="24"/>
      <c r="BL848" s="14"/>
      <c r="BM848" s="14"/>
      <c r="BO848" s="24"/>
      <c r="CE848" s="24"/>
      <c r="CT848" s="14"/>
    </row>
    <row r="849" spans="1:98" s="11" customFormat="1">
      <c r="A849" s="25"/>
      <c r="B849" s="24"/>
      <c r="C849" s="8"/>
      <c r="D849" s="8"/>
      <c r="E849" s="8"/>
      <c r="F849" s="8"/>
      <c r="G849" s="8"/>
      <c r="H849" s="14"/>
      <c r="P849" s="24"/>
      <c r="Q849" s="8"/>
      <c r="R849" s="8"/>
      <c r="S849" s="8"/>
      <c r="T849" s="8"/>
      <c r="U849" s="8"/>
      <c r="V849" s="8"/>
      <c r="W849" s="24"/>
      <c r="X849" s="8"/>
      <c r="Y849" s="8"/>
      <c r="Z849" s="8"/>
      <c r="AA849" s="8"/>
      <c r="AB849" s="8"/>
      <c r="AC849" s="14"/>
      <c r="AD849" s="8"/>
      <c r="AE849" s="8"/>
      <c r="AF849" s="8"/>
      <c r="AG849" s="8"/>
      <c r="AH849" s="8"/>
      <c r="AI849" s="8"/>
      <c r="AJ849" s="8"/>
      <c r="AK849" s="71"/>
      <c r="AL849" s="66"/>
      <c r="AM849" s="66"/>
      <c r="AN849" s="66"/>
      <c r="AO849" s="66"/>
      <c r="AP849" s="66"/>
      <c r="AQ849" s="66"/>
      <c r="AR849" s="71"/>
      <c r="AS849" s="66"/>
      <c r="AT849" s="66"/>
      <c r="AU849" s="66"/>
      <c r="AV849" s="66"/>
      <c r="AW849" s="66"/>
      <c r="AX849" s="66"/>
      <c r="AY849" s="66"/>
      <c r="AZ849" s="66"/>
      <c r="BA849" s="66"/>
      <c r="BB849" s="66"/>
      <c r="BC849" s="66"/>
      <c r="BD849" s="66"/>
      <c r="BE849" s="66"/>
      <c r="BF849" s="66"/>
      <c r="BG849" s="66"/>
      <c r="BH849" s="24"/>
      <c r="BI849" s="8"/>
      <c r="BJ849" s="8"/>
      <c r="BK849" s="8"/>
      <c r="BL849" s="14"/>
      <c r="BM849" s="13"/>
      <c r="BO849" s="24"/>
      <c r="BP849" s="8"/>
      <c r="BQ849" s="8"/>
      <c r="BR849" s="8"/>
      <c r="BS849" s="8"/>
      <c r="BT849" s="8"/>
      <c r="BU849" s="8"/>
      <c r="BV849" s="8"/>
      <c r="BW849" s="8"/>
      <c r="BX849" s="8"/>
      <c r="BY849" s="8"/>
      <c r="BZ849" s="8"/>
      <c r="CA849" s="8"/>
      <c r="CB849" s="8"/>
      <c r="CC849" s="8"/>
      <c r="CD849" s="8"/>
      <c r="CE849" s="24"/>
      <c r="CF849" s="8"/>
      <c r="CG849" s="8"/>
      <c r="CH849" s="8"/>
      <c r="CI849" s="8"/>
      <c r="CJ849" s="8"/>
      <c r="CK849" s="8"/>
      <c r="CL849" s="8"/>
      <c r="CM849" s="8"/>
      <c r="CN849" s="8"/>
      <c r="CO849" s="8"/>
      <c r="CP849" s="8"/>
      <c r="CQ849" s="8"/>
      <c r="CR849" s="8"/>
      <c r="CS849" s="8"/>
      <c r="CT849" s="14"/>
    </row>
    <row r="850" spans="1:98">
      <c r="A850" s="24"/>
      <c r="B850" s="24"/>
      <c r="H850" s="14"/>
      <c r="P850" s="24"/>
      <c r="W850" s="24"/>
      <c r="AC850" s="14"/>
      <c r="AK850" s="71"/>
      <c r="AL850" s="66"/>
      <c r="AM850" s="66"/>
      <c r="AN850" s="66"/>
      <c r="AO850" s="66"/>
      <c r="AP850" s="66"/>
      <c r="AQ850" s="66"/>
      <c r="AR850" s="71"/>
      <c r="AS850" s="80" t="s">
        <v>529</v>
      </c>
      <c r="AT850" s="70"/>
      <c r="AU850" s="70"/>
      <c r="AV850" s="70"/>
      <c r="AW850" s="70"/>
      <c r="AX850" s="70"/>
      <c r="AY850" s="70"/>
      <c r="AZ850" s="70"/>
      <c r="BA850" s="66"/>
      <c r="BB850" s="66"/>
      <c r="BC850" s="66"/>
      <c r="BD850" s="66"/>
      <c r="BE850" s="66"/>
      <c r="BF850" s="66"/>
      <c r="BG850" s="66"/>
      <c r="BH850" s="24"/>
      <c r="BL850" s="14"/>
      <c r="BM850" s="14"/>
      <c r="BO850" s="29"/>
      <c r="BP850" s="11"/>
      <c r="BQ850" s="11"/>
      <c r="BR850" s="11"/>
      <c r="BS850" s="11"/>
      <c r="BT850" s="11"/>
      <c r="BU850" s="11"/>
      <c r="BV850" s="11"/>
      <c r="BW850" s="11"/>
      <c r="BX850" s="11"/>
      <c r="BY850" s="11"/>
      <c r="BZ850" s="11"/>
      <c r="CA850" s="11"/>
      <c r="CB850" s="11"/>
      <c r="CC850" s="11"/>
      <c r="CD850" s="11"/>
      <c r="CE850" s="29"/>
      <c r="CF850" s="11"/>
      <c r="CG850" s="11"/>
      <c r="CH850" s="11"/>
      <c r="CI850" s="11"/>
      <c r="CJ850" s="11"/>
      <c r="CK850" s="11"/>
      <c r="CL850" s="11"/>
      <c r="CM850" s="11"/>
      <c r="CN850" s="11"/>
      <c r="CO850" s="11"/>
      <c r="CP850" s="11"/>
      <c r="CQ850" s="11"/>
      <c r="CR850" s="11"/>
      <c r="CS850" s="11"/>
      <c r="CT850" s="13"/>
    </row>
    <row r="851" spans="1:98">
      <c r="A851" s="24"/>
      <c r="B851" s="24"/>
      <c r="H851" s="14"/>
      <c r="P851" s="24"/>
      <c r="W851" s="24"/>
      <c r="AC851" s="14"/>
      <c r="AK851" s="71"/>
      <c r="AL851" s="66"/>
      <c r="AM851" s="66"/>
      <c r="AN851" s="66"/>
      <c r="AO851" s="66"/>
      <c r="AP851" s="66"/>
      <c r="AQ851" s="66"/>
      <c r="AR851" s="71"/>
      <c r="AS851" s="70"/>
      <c r="AT851" s="70" t="s">
        <v>530</v>
      </c>
      <c r="AU851" s="70"/>
      <c r="AV851" s="70"/>
      <c r="AW851" s="70"/>
      <c r="AX851" s="70"/>
      <c r="AY851" s="70"/>
      <c r="AZ851" s="70"/>
      <c r="BA851" s="66"/>
      <c r="BB851" s="66"/>
      <c r="BC851" s="66"/>
      <c r="BD851" s="66"/>
      <c r="BE851" s="66"/>
      <c r="BF851" s="66"/>
      <c r="BG851" s="66"/>
      <c r="BH851" s="24"/>
      <c r="BL851" s="14"/>
      <c r="BM851" s="14"/>
      <c r="BO851" s="24"/>
      <c r="CE851" s="24"/>
      <c r="CT851" s="14"/>
    </row>
    <row r="852" spans="1:98">
      <c r="A852" s="24"/>
      <c r="B852" s="24"/>
      <c r="H852" s="14"/>
      <c r="P852" s="24"/>
      <c r="W852" s="24"/>
      <c r="AC852" s="14"/>
      <c r="AK852" s="71"/>
      <c r="AL852" s="66"/>
      <c r="AM852" s="66"/>
      <c r="AN852" s="66"/>
      <c r="AO852" s="66"/>
      <c r="AP852" s="66"/>
      <c r="AQ852" s="66"/>
      <c r="AR852" s="71"/>
      <c r="AS852" s="70"/>
      <c r="AT852" s="79"/>
      <c r="AU852" s="92" t="s">
        <v>531</v>
      </c>
      <c r="AV852" s="70"/>
      <c r="AW852" s="70"/>
      <c r="AX852" s="70"/>
      <c r="AY852" s="70"/>
      <c r="AZ852" s="70"/>
      <c r="BA852" s="66"/>
      <c r="BB852" s="66"/>
      <c r="BC852" s="66"/>
      <c r="BD852" s="66"/>
      <c r="BE852" s="66"/>
      <c r="BF852" s="66"/>
      <c r="BG852" s="66"/>
      <c r="BH852" s="24"/>
      <c r="BL852" s="14"/>
      <c r="BM852" s="14"/>
      <c r="BO852" s="24"/>
      <c r="CE852" s="24"/>
      <c r="CT852" s="14"/>
    </row>
    <row r="853" spans="1:98">
      <c r="A853" s="24"/>
      <c r="B853" s="24"/>
      <c r="H853" s="14"/>
      <c r="P853" s="24"/>
      <c r="W853" s="24"/>
      <c r="AC853" s="14"/>
      <c r="AK853" s="71"/>
      <c r="AL853" s="66"/>
      <c r="AM853" s="66"/>
      <c r="AN853" s="66"/>
      <c r="AO853" s="66"/>
      <c r="AP853" s="66"/>
      <c r="AQ853" s="66"/>
      <c r="AR853" s="71"/>
      <c r="AS853" s="70"/>
      <c r="AT853" s="11"/>
      <c r="AU853" s="70" t="s">
        <v>532</v>
      </c>
      <c r="AV853" s="70"/>
      <c r="AW853" s="66"/>
      <c r="AX853" s="66"/>
      <c r="AY853" s="66"/>
      <c r="AZ853" s="66"/>
      <c r="BA853" s="66"/>
      <c r="BB853" s="66"/>
      <c r="BC853" s="66"/>
      <c r="BD853" s="66"/>
      <c r="BE853" s="66"/>
      <c r="BF853" s="66"/>
      <c r="BG853" s="66"/>
      <c r="BH853" s="24"/>
      <c r="BL853" s="14"/>
      <c r="BM853" s="14"/>
      <c r="BO853" s="24"/>
      <c r="CE853" s="24"/>
      <c r="CT853" s="14"/>
    </row>
    <row r="854" spans="1:98">
      <c r="A854" s="24"/>
      <c r="B854" s="24"/>
      <c r="H854" s="14"/>
      <c r="P854" s="24"/>
      <c r="W854" s="24"/>
      <c r="AC854" s="14"/>
      <c r="AK854" s="71"/>
      <c r="AL854" s="66"/>
      <c r="AM854" s="66"/>
      <c r="AN854" s="66"/>
      <c r="AO854" s="66"/>
      <c r="AP854" s="66"/>
      <c r="AQ854" s="66"/>
      <c r="AR854" s="71"/>
      <c r="AS854" s="70"/>
      <c r="AT854" s="11"/>
      <c r="AV854" s="70" t="s">
        <v>533</v>
      </c>
      <c r="AW854" s="66"/>
      <c r="AX854" s="66"/>
      <c r="AY854" s="66"/>
      <c r="AZ854" s="66"/>
      <c r="BA854" s="66"/>
      <c r="BB854" s="66"/>
      <c r="BC854" s="66"/>
      <c r="BD854" s="66"/>
      <c r="BE854" s="66"/>
      <c r="BF854" s="66"/>
      <c r="BG854" s="66"/>
      <c r="BH854" s="24"/>
      <c r="BL854" s="14"/>
      <c r="BM854" s="14"/>
      <c r="BO854" s="24"/>
      <c r="CE854" s="24"/>
      <c r="CT854" s="14"/>
    </row>
    <row r="855" spans="1:98">
      <c r="A855" s="24"/>
      <c r="B855" s="24"/>
      <c r="H855" s="14"/>
      <c r="P855" s="24"/>
      <c r="W855" s="24"/>
      <c r="AC855" s="14"/>
      <c r="AK855" s="71"/>
      <c r="AL855" s="66"/>
      <c r="AM855" s="66"/>
      <c r="AN855" s="66"/>
      <c r="AO855" s="66"/>
      <c r="AP855" s="66"/>
      <c r="AQ855" s="66"/>
      <c r="AR855" s="71"/>
      <c r="AS855" s="70"/>
      <c r="AT855" s="11"/>
      <c r="AV855" s="66" t="s">
        <v>534</v>
      </c>
      <c r="AW855" s="66"/>
      <c r="AX855" s="66"/>
      <c r="AY855" s="66"/>
      <c r="AZ855" s="66"/>
      <c r="BA855" s="66"/>
      <c r="BB855" s="66"/>
      <c r="BC855" s="66"/>
      <c r="BD855" s="66"/>
      <c r="BE855" s="66"/>
      <c r="BF855" s="66"/>
      <c r="BG855" s="66"/>
      <c r="BH855" s="24"/>
      <c r="BL855" s="14"/>
      <c r="BM855" s="14"/>
      <c r="BO855" s="24"/>
      <c r="CE855" s="24"/>
      <c r="CT855" s="14"/>
    </row>
    <row r="856" spans="1:98">
      <c r="A856" s="24"/>
      <c r="B856" s="24"/>
      <c r="H856" s="14"/>
      <c r="P856" s="24"/>
      <c r="W856" s="24"/>
      <c r="AC856" s="14"/>
      <c r="AK856" s="71"/>
      <c r="AL856" s="66"/>
      <c r="AM856" s="66"/>
      <c r="AN856" s="66"/>
      <c r="AO856" s="66"/>
      <c r="AP856" s="66"/>
      <c r="AQ856" s="66"/>
      <c r="AR856" s="71"/>
      <c r="AS856" s="70"/>
      <c r="AT856" s="11"/>
      <c r="AU856" s="66" t="s">
        <v>535</v>
      </c>
      <c r="AV856" s="70"/>
      <c r="AW856" s="66"/>
      <c r="AX856" s="66"/>
      <c r="AY856" s="66"/>
      <c r="AZ856" s="66"/>
      <c r="BA856" s="66"/>
      <c r="BB856" s="66"/>
      <c r="BC856" s="66"/>
      <c r="BD856" s="66"/>
      <c r="BE856" s="66"/>
      <c r="BF856" s="66"/>
      <c r="BG856" s="66"/>
      <c r="BH856" s="24"/>
      <c r="BL856" s="14"/>
      <c r="BM856" s="14"/>
      <c r="BO856" s="24"/>
      <c r="CE856" s="24"/>
      <c r="CT856" s="14"/>
    </row>
    <row r="857" spans="1:98">
      <c r="A857" s="24"/>
      <c r="B857" s="24"/>
      <c r="H857" s="14"/>
      <c r="P857" s="24"/>
      <c r="W857" s="24"/>
      <c r="AC857" s="14"/>
      <c r="AK857" s="71"/>
      <c r="AL857" s="66"/>
      <c r="AM857" s="66"/>
      <c r="AN857" s="66"/>
      <c r="AO857" s="66"/>
      <c r="AP857" s="66"/>
      <c r="AQ857" s="66"/>
      <c r="AR857" s="71"/>
      <c r="AS857" s="66"/>
      <c r="AT857" s="66"/>
      <c r="AV857" s="66" t="s">
        <v>536</v>
      </c>
      <c r="AW857" s="66"/>
      <c r="AX857" s="66"/>
      <c r="AY857" s="66"/>
      <c r="AZ857" s="66"/>
      <c r="BA857" s="66"/>
      <c r="BB857" s="66"/>
      <c r="BC857" s="66"/>
      <c r="BD857" s="66"/>
      <c r="BE857" s="66"/>
      <c r="BF857" s="66"/>
      <c r="BG857" s="66"/>
      <c r="BH857" s="24"/>
      <c r="BL857" s="14"/>
      <c r="BM857" s="14"/>
      <c r="BO857" s="24"/>
      <c r="CE857" s="24"/>
      <c r="CT857" s="14"/>
    </row>
    <row r="858" spans="1:98">
      <c r="A858" s="24"/>
      <c r="B858" s="24"/>
      <c r="H858" s="14"/>
      <c r="P858" s="24"/>
      <c r="W858" s="24"/>
      <c r="AC858" s="14"/>
      <c r="AK858" s="71"/>
      <c r="AL858" s="66"/>
      <c r="AM858" s="66"/>
      <c r="AN858" s="66"/>
      <c r="AO858" s="66"/>
      <c r="AP858" s="66"/>
      <c r="AQ858" s="66"/>
      <c r="AR858" s="71"/>
      <c r="AS858" s="66"/>
      <c r="AT858" s="66"/>
      <c r="AV858" s="66" t="s">
        <v>537</v>
      </c>
      <c r="AW858" s="66"/>
      <c r="AX858" s="66"/>
      <c r="AY858" s="66"/>
      <c r="AZ858" s="66"/>
      <c r="BA858" s="66"/>
      <c r="BB858" s="66"/>
      <c r="BC858" s="66"/>
      <c r="BD858" s="66"/>
      <c r="BE858" s="66"/>
      <c r="BF858" s="66"/>
      <c r="BG858" s="66"/>
      <c r="BH858" s="24"/>
      <c r="BL858" s="14"/>
      <c r="BM858" s="14"/>
      <c r="BO858" s="24"/>
      <c r="CE858" s="24"/>
      <c r="CT858" s="14"/>
    </row>
    <row r="859" spans="1:98">
      <c r="A859" s="24"/>
      <c r="B859" s="24"/>
      <c r="H859" s="14"/>
      <c r="P859" s="24"/>
      <c r="W859" s="24"/>
      <c r="AC859" s="14"/>
      <c r="AK859" s="71"/>
      <c r="AL859" s="66"/>
      <c r="AM859" s="66"/>
      <c r="AN859" s="66"/>
      <c r="AO859" s="66"/>
      <c r="AP859" s="66"/>
      <c r="AQ859" s="66"/>
      <c r="AR859" s="71"/>
      <c r="AS859" s="66"/>
      <c r="AT859" s="66"/>
      <c r="AU859" s="66" t="s">
        <v>538</v>
      </c>
      <c r="AV859" s="66"/>
      <c r="AW859" s="66"/>
      <c r="AX859" s="66"/>
      <c r="AY859" s="66"/>
      <c r="AZ859" s="66"/>
      <c r="BA859" s="66"/>
      <c r="BB859" s="66"/>
      <c r="BC859" s="66"/>
      <c r="BD859" s="66"/>
      <c r="BE859" s="66"/>
      <c r="BF859" s="66"/>
      <c r="BG859" s="66"/>
      <c r="BH859" s="24"/>
      <c r="BL859" s="14"/>
      <c r="BM859" s="14"/>
      <c r="BO859" s="24"/>
      <c r="CE859" s="24"/>
      <c r="CT859" s="14"/>
    </row>
    <row r="860" spans="1:98">
      <c r="A860" s="24"/>
      <c r="B860" s="24"/>
      <c r="H860" s="14"/>
      <c r="P860" s="24"/>
      <c r="W860" s="24"/>
      <c r="AC860" s="14"/>
      <c r="AK860" s="71"/>
      <c r="AL860" s="66"/>
      <c r="AM860" s="66"/>
      <c r="AN860" s="66"/>
      <c r="AO860" s="66"/>
      <c r="AP860" s="66"/>
      <c r="AQ860" s="66"/>
      <c r="AR860" s="71"/>
      <c r="AS860" s="66"/>
      <c r="AT860" s="66"/>
      <c r="AV860" s="66" t="s">
        <v>539</v>
      </c>
      <c r="AW860" s="66"/>
      <c r="AX860" s="66"/>
      <c r="AY860" s="66"/>
      <c r="AZ860" s="66"/>
      <c r="BA860" s="66"/>
      <c r="BB860" s="66"/>
      <c r="BC860" s="66"/>
      <c r="BD860" s="66"/>
      <c r="BE860" s="66"/>
      <c r="BF860" s="66"/>
      <c r="BG860" s="66"/>
      <c r="BH860" s="24"/>
      <c r="BL860" s="14"/>
      <c r="BM860" s="14"/>
      <c r="BO860" s="24"/>
      <c r="CE860" s="24"/>
      <c r="CT860" s="14"/>
    </row>
    <row r="861" spans="1:98">
      <c r="A861" s="24"/>
      <c r="B861" s="24"/>
      <c r="H861" s="14"/>
      <c r="P861" s="24"/>
      <c r="W861" s="24"/>
      <c r="AC861" s="14"/>
      <c r="AK861" s="71"/>
      <c r="AL861" s="66"/>
      <c r="AM861" s="66"/>
      <c r="AN861" s="66"/>
      <c r="AO861" s="66"/>
      <c r="AP861" s="66"/>
      <c r="AQ861" s="66"/>
      <c r="AR861" s="71"/>
      <c r="AS861" s="66"/>
      <c r="AT861" s="66"/>
      <c r="AV861" s="66" t="s">
        <v>540</v>
      </c>
      <c r="AW861" s="66"/>
      <c r="AX861" s="66"/>
      <c r="AY861" s="66"/>
      <c r="AZ861" s="66"/>
      <c r="BA861" s="66"/>
      <c r="BB861" s="66"/>
      <c r="BC861" s="66"/>
      <c r="BD861" s="66"/>
      <c r="BE861" s="66"/>
      <c r="BF861" s="66"/>
      <c r="BG861" s="66"/>
      <c r="BH861" s="24"/>
      <c r="BL861" s="14"/>
      <c r="BM861" s="14"/>
      <c r="BO861" s="24"/>
      <c r="CE861" s="24"/>
      <c r="CT861" s="14"/>
    </row>
    <row r="862" spans="1:98">
      <c r="A862" s="24"/>
      <c r="B862" s="24"/>
      <c r="H862" s="14"/>
      <c r="P862" s="24"/>
      <c r="W862" s="24"/>
      <c r="AC862" s="14"/>
      <c r="AK862" s="71"/>
      <c r="AL862" s="66"/>
      <c r="AM862" s="66"/>
      <c r="AN862" s="66"/>
      <c r="AO862" s="66"/>
      <c r="AP862" s="66"/>
      <c r="AQ862" s="66"/>
      <c r="AR862" s="71"/>
      <c r="AS862" s="66"/>
      <c r="AT862" s="66"/>
      <c r="AV862" s="66"/>
      <c r="AW862" s="66"/>
      <c r="AX862" s="66"/>
      <c r="AY862" s="66"/>
      <c r="AZ862" s="66"/>
      <c r="BA862" s="66"/>
      <c r="BB862" s="66"/>
      <c r="BC862" s="66"/>
      <c r="BD862" s="66"/>
      <c r="BE862" s="66"/>
      <c r="BF862" s="66"/>
      <c r="BG862" s="66"/>
      <c r="BH862" s="24"/>
      <c r="BL862" s="14"/>
      <c r="BM862" s="14"/>
      <c r="BO862" s="24"/>
      <c r="CE862" s="24"/>
      <c r="CT862" s="14"/>
    </row>
    <row r="863" spans="1:98">
      <c r="A863" s="24"/>
      <c r="B863" s="24"/>
      <c r="H863" s="14"/>
      <c r="P863" s="24"/>
      <c r="W863" s="24"/>
      <c r="AC863" s="14"/>
      <c r="AK863" s="71"/>
      <c r="AL863" s="66"/>
      <c r="AM863" s="66"/>
      <c r="AN863" s="66"/>
      <c r="AO863" s="66"/>
      <c r="AP863" s="66"/>
      <c r="AQ863" s="66"/>
      <c r="AR863" s="71"/>
      <c r="AS863" s="80" t="s">
        <v>541</v>
      </c>
      <c r="AT863" s="70"/>
      <c r="AU863" s="70"/>
      <c r="AV863" s="70"/>
      <c r="AW863" s="66"/>
      <c r="AX863" s="66"/>
      <c r="BF863" s="66"/>
      <c r="BG863" s="66"/>
      <c r="BH863" s="24"/>
      <c r="BL863" s="14"/>
      <c r="BM863" s="14"/>
      <c r="BO863" s="24"/>
      <c r="CE863" s="24"/>
      <c r="CT863" s="14"/>
    </row>
    <row r="864" spans="1:98">
      <c r="A864" s="24"/>
      <c r="B864" s="24"/>
      <c r="H864" s="14"/>
      <c r="P864" s="24"/>
      <c r="W864" s="24"/>
      <c r="AC864" s="14"/>
      <c r="AK864" s="71"/>
      <c r="AL864" s="66"/>
      <c r="AM864" s="66"/>
      <c r="AN864" s="66"/>
      <c r="AO864" s="66"/>
      <c r="AP864" s="66"/>
      <c r="AQ864" s="66"/>
      <c r="AR864" s="71"/>
      <c r="AS864" s="70"/>
      <c r="AT864" s="70" t="s">
        <v>542</v>
      </c>
      <c r="AU864" s="70"/>
      <c r="AV864" s="70"/>
      <c r="AW864" s="66"/>
      <c r="AX864" s="66"/>
      <c r="BF864" s="66"/>
      <c r="BG864" s="66"/>
      <c r="BH864" s="24"/>
      <c r="BL864" s="14"/>
      <c r="BM864" s="14"/>
      <c r="BO864" s="24"/>
      <c r="CE864" s="24"/>
      <c r="CT864" s="14"/>
    </row>
    <row r="865" spans="1:98">
      <c r="A865" s="24"/>
      <c r="B865" s="24"/>
      <c r="H865" s="14"/>
      <c r="P865" s="24"/>
      <c r="W865" s="24"/>
      <c r="AC865" s="14"/>
      <c r="AK865" s="71"/>
      <c r="AL865" s="66"/>
      <c r="AM865" s="66"/>
      <c r="AN865" s="66"/>
      <c r="AO865" s="66"/>
      <c r="AP865" s="66"/>
      <c r="AQ865" s="66"/>
      <c r="AR865" s="71"/>
      <c r="AS865" s="66"/>
      <c r="AT865" s="8" t="s">
        <v>543</v>
      </c>
      <c r="AV865" s="66"/>
      <c r="AW865" s="66"/>
      <c r="AX865" s="66"/>
      <c r="AY865" s="66"/>
      <c r="AZ865" s="66"/>
      <c r="BA865" s="66"/>
      <c r="BB865" s="66"/>
      <c r="BC865" s="66"/>
      <c r="BD865" s="66"/>
      <c r="BE865" s="66"/>
      <c r="BF865" s="66"/>
      <c r="BG865" s="66"/>
      <c r="BH865" s="24"/>
      <c r="BL865" s="14"/>
      <c r="BM865" s="14"/>
      <c r="BO865" s="24"/>
      <c r="CE865" s="24"/>
      <c r="CT865" s="14"/>
    </row>
    <row r="866" spans="1:98">
      <c r="A866" s="24"/>
      <c r="B866" s="24"/>
      <c r="H866" s="14"/>
      <c r="P866" s="24"/>
      <c r="W866" s="24"/>
      <c r="AC866" s="14"/>
      <c r="AK866" s="71"/>
      <c r="AL866" s="66"/>
      <c r="AM866" s="66"/>
      <c r="AN866" s="66"/>
      <c r="AO866" s="66"/>
      <c r="AP866" s="66"/>
      <c r="AQ866" s="66"/>
      <c r="AR866" s="71"/>
      <c r="AT866" s="8" t="s">
        <v>544</v>
      </c>
      <c r="AU866" s="8"/>
      <c r="AY866" s="66"/>
      <c r="AZ866" s="66"/>
      <c r="BA866" s="66"/>
      <c r="BB866" s="66"/>
      <c r="BC866" s="66"/>
      <c r="BD866" s="66"/>
      <c r="BE866" s="66"/>
      <c r="BF866" s="66"/>
      <c r="BG866" s="66"/>
      <c r="BH866" s="24"/>
      <c r="BL866" s="14"/>
      <c r="BM866" s="14"/>
      <c r="BO866" s="24"/>
      <c r="CE866" s="24"/>
      <c r="CT866" s="14"/>
    </row>
    <row r="867" spans="1:98">
      <c r="A867" s="24"/>
      <c r="B867" s="24"/>
      <c r="H867" s="14"/>
      <c r="P867" s="24"/>
      <c r="W867" s="24"/>
      <c r="AC867" s="14"/>
      <c r="AK867" s="71"/>
      <c r="AL867" s="66"/>
      <c r="AM867" s="66"/>
      <c r="AN867" s="66"/>
      <c r="AO867" s="66"/>
      <c r="AP867" s="66"/>
      <c r="AQ867" s="66"/>
      <c r="AR867" s="71"/>
      <c r="AS867" s="66"/>
      <c r="AT867" s="127" t="s">
        <v>118</v>
      </c>
      <c r="AU867" s="11" t="s">
        <v>545</v>
      </c>
      <c r="AV867" s="70"/>
      <c r="AW867" s="66"/>
      <c r="AX867" s="66"/>
      <c r="AY867" s="66"/>
      <c r="AZ867" s="66"/>
      <c r="BA867" s="66"/>
      <c r="BB867" s="66"/>
      <c r="BC867" s="66"/>
      <c r="BD867" s="66"/>
      <c r="BE867" s="66"/>
      <c r="BF867" s="66"/>
      <c r="BG867" s="66"/>
      <c r="BH867" s="24"/>
      <c r="BL867" s="14"/>
      <c r="BM867" s="14"/>
      <c r="BO867" s="24"/>
      <c r="CE867" s="24"/>
      <c r="CT867" s="14"/>
    </row>
    <row r="868" spans="1:98">
      <c r="A868" s="24"/>
      <c r="B868" s="24"/>
      <c r="H868" s="14"/>
      <c r="P868" s="24"/>
      <c r="W868" s="24"/>
      <c r="AC868" s="14"/>
      <c r="AK868" s="71"/>
      <c r="AL868" s="66"/>
      <c r="AM868" s="66"/>
      <c r="AN868" s="66"/>
      <c r="AO868" s="66"/>
      <c r="AP868" s="66"/>
      <c r="AQ868" s="66"/>
      <c r="AR868" s="71"/>
      <c r="AS868" s="66"/>
      <c r="AT868" s="66"/>
      <c r="AU868" s="66" t="s">
        <v>546</v>
      </c>
      <c r="AV868" s="70"/>
      <c r="AW868" s="66"/>
      <c r="AX868" s="66"/>
      <c r="AY868" s="66"/>
      <c r="AZ868" s="66"/>
      <c r="BA868" s="66"/>
      <c r="BB868" s="66"/>
      <c r="BC868" s="66"/>
      <c r="BD868" s="66"/>
      <c r="BE868" s="66"/>
      <c r="BF868" s="66"/>
      <c r="BG868" s="66"/>
      <c r="BH868" s="24"/>
      <c r="BL868" s="14"/>
      <c r="BM868" s="14"/>
      <c r="BO868" s="24"/>
      <c r="CE868" s="24"/>
      <c r="CT868" s="14"/>
    </row>
    <row r="869" spans="1:98">
      <c r="A869" s="24"/>
      <c r="B869" s="24"/>
      <c r="H869" s="14"/>
      <c r="P869" s="24"/>
      <c r="W869" s="24"/>
      <c r="AC869" s="14"/>
      <c r="AK869" s="71"/>
      <c r="AL869" s="66"/>
      <c r="AM869" s="66"/>
      <c r="AN869" s="66"/>
      <c r="AO869" s="66"/>
      <c r="AP869" s="66"/>
      <c r="AQ869" s="66"/>
      <c r="AR869" s="71"/>
      <c r="AS869" s="99"/>
      <c r="AV869" s="100"/>
      <c r="AW869" s="100"/>
      <c r="AX869" s="47"/>
      <c r="AY869" s="47"/>
      <c r="AZ869" s="66"/>
      <c r="BA869" s="66"/>
      <c r="BB869" s="66"/>
      <c r="BC869" s="66"/>
      <c r="BD869" s="66"/>
      <c r="BE869" s="66"/>
      <c r="BF869" s="66"/>
      <c r="BG869" s="66"/>
      <c r="BH869" s="24"/>
      <c r="BL869" s="14"/>
      <c r="BM869" s="14"/>
      <c r="BO869" s="24"/>
      <c r="CE869" s="24"/>
      <c r="CT869" s="14"/>
    </row>
    <row r="870" spans="1:98">
      <c r="A870" s="24"/>
      <c r="B870" s="24"/>
      <c r="H870" s="14"/>
      <c r="P870" s="24"/>
      <c r="W870" s="24"/>
      <c r="AC870" s="14"/>
      <c r="AK870" s="71"/>
      <c r="AL870" s="66"/>
      <c r="AM870" s="66"/>
      <c r="AN870" s="66"/>
      <c r="AO870" s="66"/>
      <c r="AP870" s="66"/>
      <c r="AQ870" s="66"/>
      <c r="AR870" s="71"/>
      <c r="AS870" s="99"/>
      <c r="AT870" s="100"/>
      <c r="AU870" s="100"/>
      <c r="AV870" s="100"/>
      <c r="AW870" s="100"/>
      <c r="AX870" s="47"/>
      <c r="AY870" s="47"/>
      <c r="AZ870" s="66"/>
      <c r="BA870" s="66"/>
      <c r="BB870" s="66"/>
      <c r="BC870" s="66"/>
      <c r="BD870" s="66"/>
      <c r="BE870" s="66"/>
      <c r="BF870" s="66"/>
      <c r="BG870" s="66"/>
      <c r="BH870" s="24"/>
      <c r="BL870" s="14"/>
      <c r="BM870" s="14"/>
      <c r="BO870" s="24"/>
      <c r="CE870" s="24"/>
      <c r="CT870" s="14"/>
    </row>
    <row r="871" spans="1:98">
      <c r="A871" s="24"/>
      <c r="B871" s="24"/>
      <c r="H871" s="14"/>
      <c r="P871" s="24"/>
      <c r="W871" s="24"/>
      <c r="AC871" s="14"/>
      <c r="AK871" s="71"/>
      <c r="AL871" s="66"/>
      <c r="AM871" s="66"/>
      <c r="AN871" s="66"/>
      <c r="AO871" s="66"/>
      <c r="AP871" s="66"/>
      <c r="AQ871" s="66"/>
      <c r="AR871" s="71"/>
      <c r="AS871" s="50"/>
      <c r="AT871" s="127" t="s">
        <v>118</v>
      </c>
      <c r="AU871" s="11" t="s">
        <v>547</v>
      </c>
      <c r="AV871" s="70"/>
      <c r="AW871" s="66"/>
      <c r="AX871" s="66"/>
      <c r="AY871" s="66"/>
      <c r="AZ871" s="66"/>
      <c r="BA871" s="66"/>
      <c r="BB871" s="66"/>
      <c r="BC871" s="66"/>
      <c r="BD871" s="66"/>
      <c r="BE871" s="66"/>
      <c r="BF871" s="66"/>
      <c r="BG871" s="66"/>
      <c r="BH871" s="24"/>
      <c r="BL871" s="14"/>
      <c r="BM871" s="14"/>
      <c r="BO871" s="24"/>
      <c r="CE871" s="24"/>
      <c r="CT871" s="14"/>
    </row>
    <row r="872" spans="1:98">
      <c r="A872" s="24"/>
      <c r="B872" s="41"/>
      <c r="C872" s="10"/>
      <c r="D872" s="10"/>
      <c r="E872" s="10"/>
      <c r="F872" s="10"/>
      <c r="G872" s="10"/>
      <c r="H872" s="15"/>
      <c r="I872" s="10"/>
      <c r="J872" s="10"/>
      <c r="K872" s="10"/>
      <c r="L872" s="10"/>
      <c r="M872" s="10"/>
      <c r="N872" s="10"/>
      <c r="O872" s="10"/>
      <c r="P872" s="41"/>
      <c r="Q872" s="10"/>
      <c r="R872" s="10"/>
      <c r="S872" s="10"/>
      <c r="T872" s="10"/>
      <c r="U872" s="10"/>
      <c r="V872" s="10"/>
      <c r="W872" s="41"/>
      <c r="X872" s="10"/>
      <c r="Y872" s="10"/>
      <c r="Z872" s="10"/>
      <c r="AA872" s="10"/>
      <c r="AB872" s="10"/>
      <c r="AC872" s="15"/>
      <c r="AD872" s="10"/>
      <c r="AE872" s="10"/>
      <c r="AF872" s="10"/>
      <c r="AG872" s="10"/>
      <c r="AH872" s="10"/>
      <c r="AI872" s="10"/>
      <c r="AJ872" s="10"/>
      <c r="AK872" s="81"/>
      <c r="AL872" s="67"/>
      <c r="AM872" s="67"/>
      <c r="AN872" s="67"/>
      <c r="AO872" s="67"/>
      <c r="AP872" s="67"/>
      <c r="AQ872" s="67"/>
      <c r="AR872" s="81"/>
      <c r="AS872" s="73"/>
      <c r="AT872" s="32"/>
      <c r="AU872" s="32"/>
      <c r="AV872" s="32"/>
      <c r="AW872" s="10"/>
      <c r="AX872" s="10"/>
      <c r="AY872" s="10"/>
      <c r="AZ872" s="10"/>
      <c r="BA872" s="10"/>
      <c r="BB872" s="10"/>
      <c r="BC872" s="10"/>
      <c r="BD872" s="10"/>
      <c r="BE872" s="10"/>
      <c r="BF872" s="10"/>
      <c r="BG872" s="10"/>
      <c r="BH872" s="41"/>
      <c r="BI872" s="10"/>
      <c r="BJ872" s="10"/>
      <c r="BK872" s="10"/>
      <c r="BL872" s="15"/>
      <c r="BM872" s="14"/>
      <c r="BO872" s="24"/>
      <c r="CE872" s="24"/>
      <c r="CT872" s="14"/>
    </row>
    <row r="873" spans="1:98">
      <c r="A873" s="24"/>
      <c r="Z873" s="66"/>
      <c r="AA873" s="66"/>
      <c r="AB873" s="66"/>
      <c r="AC873" s="66"/>
      <c r="AD873" s="66"/>
      <c r="AE873" s="66"/>
      <c r="AF873" s="66"/>
      <c r="AG873" s="66"/>
      <c r="AH873" s="11"/>
      <c r="AI873" s="11"/>
      <c r="AJ873" s="11"/>
      <c r="AK873" s="11"/>
      <c r="AU873" s="8"/>
      <c r="BM873" s="14"/>
      <c r="BO873" s="24"/>
      <c r="CE873" s="24"/>
      <c r="CT873" s="14"/>
    </row>
    <row r="874" spans="1:98">
      <c r="A874" s="41"/>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67"/>
      <c r="AA874" s="67"/>
      <c r="AB874" s="67"/>
      <c r="AC874" s="67"/>
      <c r="AD874" s="67"/>
      <c r="AE874" s="67"/>
      <c r="AF874" s="67"/>
      <c r="AG874" s="67"/>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5"/>
      <c r="BO874" s="24"/>
      <c r="CE874" s="24"/>
      <c r="CT874" s="14"/>
    </row>
    <row r="875" spans="1:98">
      <c r="BO875" s="41"/>
      <c r="BP875" s="10"/>
      <c r="BQ875" s="10"/>
      <c r="BR875" s="10"/>
      <c r="BS875" s="10"/>
      <c r="BT875" s="10"/>
      <c r="BU875" s="10"/>
      <c r="BV875" s="10"/>
      <c r="BW875" s="10"/>
      <c r="BX875" s="10"/>
      <c r="BY875" s="10"/>
      <c r="BZ875" s="10"/>
      <c r="CA875" s="10"/>
      <c r="CB875" s="10"/>
      <c r="CC875" s="10"/>
      <c r="CD875" s="10"/>
      <c r="CE875" s="41"/>
      <c r="CF875" s="10"/>
      <c r="CG875" s="10"/>
      <c r="CH875" s="10"/>
      <c r="CI875" s="10"/>
      <c r="CJ875" s="10"/>
      <c r="CK875" s="10"/>
      <c r="CL875" s="10"/>
      <c r="CM875" s="10"/>
      <c r="CN875" s="10"/>
      <c r="CO875" s="10"/>
      <c r="CP875" s="10"/>
      <c r="CQ875" s="10"/>
      <c r="CR875" s="10"/>
      <c r="CS875" s="10"/>
      <c r="CT875" s="15"/>
    </row>
  </sheetData>
  <mergeCells count="28">
    <mergeCell ref="BO8:CD10"/>
    <mergeCell ref="CE8:CT10"/>
    <mergeCell ref="B8:O9"/>
    <mergeCell ref="P8:AC9"/>
    <mergeCell ref="AD8:AQ9"/>
    <mergeCell ref="AR8:BG10"/>
    <mergeCell ref="BH8:BL10"/>
    <mergeCell ref="AK10:AQ10"/>
    <mergeCell ref="AD10:AJ10"/>
    <mergeCell ref="W10:AC10"/>
    <mergeCell ref="P10:V10"/>
    <mergeCell ref="I10:O10"/>
    <mergeCell ref="B10:H10"/>
    <mergeCell ref="AL3:AP3"/>
    <mergeCell ref="AQ3:AV3"/>
    <mergeCell ref="A4:U4"/>
    <mergeCell ref="AQ1:AV1"/>
    <mergeCell ref="AL2:AP2"/>
    <mergeCell ref="AQ2:AV2"/>
    <mergeCell ref="A1:E1"/>
    <mergeCell ref="F1:U1"/>
    <mergeCell ref="A2:E3"/>
    <mergeCell ref="F2:U3"/>
    <mergeCell ref="AJ2:AK2"/>
    <mergeCell ref="V1:AI1"/>
    <mergeCell ref="V2:AI3"/>
    <mergeCell ref="AJ3:AK3"/>
    <mergeCell ref="AJ1:AP1"/>
  </mergeCells>
  <phoneticPr fontId="3"/>
  <hyperlinks>
    <hyperlink ref="AT836" r:id="rId1" xr:uid="{C415D2EA-FEEB-4795-848B-DDA3A90650D5}"/>
  </hyperlinks>
  <pageMargins left="0.70866141732283472" right="0.70866141732283472" top="0.74803149606299213" bottom="0.74803149606299213" header="0.31496062992125984" footer="0.31496062992125984"/>
  <pageSetup paperSize="9" scale="42" fitToHeight="0" orientation="landscape" r:id="rId2"/>
  <rowBreaks count="6" manualBreakCount="6">
    <brk id="62" max="16383" man="1"/>
    <brk id="121" max="16383" man="1"/>
    <brk id="244" max="16383" man="1"/>
    <brk id="286" max="16383" man="1"/>
    <brk id="373" max="16383" man="1"/>
    <brk id="466"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dimension ref="A1:BK178"/>
  <sheetViews>
    <sheetView showGridLines="0" zoomScale="90" zoomScaleNormal="90" workbookViewId="0">
      <pane ySplit="9" topLeftCell="A145" activePane="bottomLeft" state="frozen"/>
      <selection pane="bottomLeft" activeCell="BJ69" sqref="BJ69:BJ71"/>
      <selection activeCell="X112" sqref="X112"/>
    </sheetView>
  </sheetViews>
  <sheetFormatPr defaultColWidth="2.375" defaultRowHeight="13.5"/>
  <cols>
    <col min="1" max="8" width="2.375" style="8"/>
    <col min="9" max="13" width="2.375" style="8" customWidth="1"/>
    <col min="14" max="53" width="2.375" style="8"/>
    <col min="54" max="54" width="2.375" style="8" customWidth="1"/>
    <col min="55" max="16384" width="2.375" style="8"/>
  </cols>
  <sheetData>
    <row r="1" spans="1:63" ht="14.1" customHeight="1" thickBot="1">
      <c r="A1" s="128" t="s">
        <v>9</v>
      </c>
      <c r="B1" s="129"/>
      <c r="C1" s="129"/>
      <c r="D1" s="129"/>
      <c r="E1" s="130"/>
      <c r="F1" s="142" t="str">
        <f>変更履歴!F1</f>
        <v>会計システム刷新プロジェクト（LIBRA）</v>
      </c>
      <c r="G1" s="223"/>
      <c r="H1" s="223"/>
      <c r="I1" s="223"/>
      <c r="J1" s="223"/>
      <c r="K1" s="223"/>
      <c r="L1" s="223"/>
      <c r="M1" s="223"/>
      <c r="N1" s="223"/>
      <c r="O1" s="223"/>
      <c r="P1" s="223"/>
      <c r="Q1" s="223"/>
      <c r="R1" s="223"/>
      <c r="S1" s="223"/>
      <c r="T1" s="223"/>
      <c r="U1" s="224"/>
      <c r="V1" s="128" t="s">
        <v>64</v>
      </c>
      <c r="W1" s="129"/>
      <c r="X1" s="129"/>
      <c r="Y1" s="129"/>
      <c r="Z1" s="129"/>
      <c r="AA1" s="129"/>
      <c r="AB1" s="129"/>
      <c r="AC1" s="129"/>
      <c r="AD1" s="129"/>
      <c r="AE1" s="129"/>
      <c r="AF1" s="129"/>
      <c r="AG1" s="129"/>
      <c r="AH1" s="129"/>
      <c r="AI1" s="130"/>
      <c r="AJ1" s="128" t="s">
        <v>11</v>
      </c>
      <c r="AK1" s="129"/>
      <c r="AL1" s="129"/>
      <c r="AM1" s="129"/>
      <c r="AN1" s="129"/>
      <c r="AO1" s="129"/>
      <c r="AP1" s="130"/>
      <c r="AQ1" s="128" t="s">
        <v>12</v>
      </c>
      <c r="AR1" s="129"/>
      <c r="AS1" s="129"/>
      <c r="AT1" s="129"/>
      <c r="AU1" s="129"/>
      <c r="AV1" s="130"/>
    </row>
    <row r="2" spans="1:63" ht="14.1" customHeight="1">
      <c r="A2" s="131" t="s">
        <v>13</v>
      </c>
      <c r="B2" s="253"/>
      <c r="C2" s="253"/>
      <c r="D2" s="253"/>
      <c r="E2" s="254"/>
      <c r="F2" s="150" t="str">
        <f>変更履歴!F2</f>
        <v>ToBe業務フロー（5.固定資産_リース）</v>
      </c>
      <c r="G2" s="231"/>
      <c r="H2" s="231"/>
      <c r="I2" s="231"/>
      <c r="J2" s="231"/>
      <c r="K2" s="231"/>
      <c r="L2" s="231"/>
      <c r="M2" s="231"/>
      <c r="N2" s="231"/>
      <c r="O2" s="231"/>
      <c r="P2" s="231"/>
      <c r="Q2" s="231"/>
      <c r="R2" s="231"/>
      <c r="S2" s="231"/>
      <c r="T2" s="231"/>
      <c r="U2" s="232"/>
      <c r="V2" s="150" t="e">
        <f ca="1">MID(CELL("filename",$A$1),FIND("]",CELL("filename",$A$1))+1,31)</f>
        <v>#VALUE!</v>
      </c>
      <c r="W2" s="231"/>
      <c r="X2" s="231"/>
      <c r="Y2" s="231"/>
      <c r="Z2" s="231"/>
      <c r="AA2" s="231"/>
      <c r="AB2" s="231"/>
      <c r="AC2" s="231"/>
      <c r="AD2" s="231"/>
      <c r="AE2" s="231"/>
      <c r="AF2" s="231"/>
      <c r="AG2" s="231"/>
      <c r="AH2" s="231"/>
      <c r="AI2" s="232"/>
      <c r="AJ2" s="153" t="s">
        <v>14</v>
      </c>
      <c r="AK2" s="154"/>
      <c r="AL2" s="155">
        <f>変更履歴!AT2</f>
        <v>45362</v>
      </c>
      <c r="AM2" s="156"/>
      <c r="AN2" s="156"/>
      <c r="AO2" s="156"/>
      <c r="AP2" s="157"/>
      <c r="AQ2" s="158" t="str">
        <f>変更履歴!BA2</f>
        <v>JBS大河原</v>
      </c>
      <c r="AR2" s="159"/>
      <c r="AS2" s="159"/>
      <c r="AT2" s="159"/>
      <c r="AU2" s="159"/>
      <c r="AV2" s="160"/>
    </row>
    <row r="3" spans="1:63" ht="14.1" customHeight="1" thickBot="1">
      <c r="A3" s="255"/>
      <c r="B3" s="256"/>
      <c r="C3" s="256"/>
      <c r="D3" s="256"/>
      <c r="E3" s="257"/>
      <c r="F3" s="233"/>
      <c r="G3" s="234"/>
      <c r="H3" s="234"/>
      <c r="I3" s="234"/>
      <c r="J3" s="234"/>
      <c r="K3" s="234"/>
      <c r="L3" s="234"/>
      <c r="M3" s="234"/>
      <c r="N3" s="234"/>
      <c r="O3" s="234"/>
      <c r="P3" s="234"/>
      <c r="Q3" s="234"/>
      <c r="R3" s="234"/>
      <c r="S3" s="234"/>
      <c r="T3" s="234"/>
      <c r="U3" s="235"/>
      <c r="V3" s="233"/>
      <c r="W3" s="234"/>
      <c r="X3" s="234"/>
      <c r="Y3" s="234"/>
      <c r="Z3" s="234"/>
      <c r="AA3" s="234"/>
      <c r="AB3" s="234"/>
      <c r="AC3" s="234"/>
      <c r="AD3" s="234"/>
      <c r="AE3" s="234"/>
      <c r="AF3" s="234"/>
      <c r="AG3" s="234"/>
      <c r="AH3" s="234"/>
      <c r="AI3" s="235"/>
      <c r="AJ3" s="161" t="s">
        <v>15</v>
      </c>
      <c r="AK3" s="162"/>
      <c r="AL3" s="163">
        <f ca="1">変更履歴!AT3</f>
        <v>45939</v>
      </c>
      <c r="AM3" s="164"/>
      <c r="AN3" s="164"/>
      <c r="AO3" s="164"/>
      <c r="AP3" s="165"/>
      <c r="AQ3" s="166" t="str">
        <f ca="1">変更履歴!BA3</f>
        <v>JBS中村</v>
      </c>
      <c r="AR3" s="167"/>
      <c r="AS3" s="167"/>
      <c r="AT3" s="167"/>
      <c r="AU3" s="167"/>
      <c r="AV3" s="168"/>
    </row>
    <row r="4" spans="1:63" ht="14.45">
      <c r="A4" s="259"/>
      <c r="B4" s="292"/>
      <c r="C4" s="292"/>
      <c r="D4" s="292"/>
      <c r="E4" s="292"/>
      <c r="F4" s="292"/>
      <c r="G4" s="292"/>
      <c r="H4" s="292"/>
      <c r="I4" s="292"/>
      <c r="J4" s="292"/>
      <c r="K4" s="292"/>
      <c r="L4" s="292"/>
      <c r="M4" s="292"/>
      <c r="N4" s="292"/>
      <c r="O4" s="292"/>
      <c r="P4" s="292"/>
      <c r="Q4" s="292"/>
      <c r="R4" s="292"/>
      <c r="S4" s="292"/>
      <c r="T4" s="292"/>
      <c r="U4" s="292"/>
    </row>
    <row r="5" spans="1:63" ht="14.45">
      <c r="A5" s="41"/>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row>
    <row r="6" spans="1:63" s="11" customFormat="1">
      <c r="A6" s="35" t="e">
        <f ca="1">RIGHT(CELL("filename",A1),LEN(CELL("filename",A1))-FIND("]",CELL("filename",A1)))</f>
        <v>#VALUE!</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36"/>
      <c r="BK6" s="11" t="s">
        <v>548</v>
      </c>
    </row>
    <row r="7" spans="1:63" s="11" customFormat="1">
      <c r="A7" s="25"/>
      <c r="B7" s="12"/>
      <c r="C7" s="12"/>
      <c r="D7" s="12"/>
      <c r="E7" s="12"/>
      <c r="F7" s="12"/>
      <c r="G7" s="12"/>
      <c r="H7" s="12"/>
      <c r="I7" s="12"/>
      <c r="J7" s="12"/>
      <c r="K7" s="12"/>
      <c r="BI7" s="13"/>
      <c r="BK7" s="11" t="s">
        <v>549</v>
      </c>
    </row>
    <row r="8" spans="1:63" s="11" customFormat="1" ht="18" customHeight="1">
      <c r="A8" s="25"/>
      <c r="B8" s="143" t="s">
        <v>550</v>
      </c>
      <c r="C8" s="143"/>
      <c r="D8" s="143"/>
      <c r="E8" s="143"/>
      <c r="F8" s="143"/>
      <c r="G8" s="143"/>
      <c r="H8" s="143"/>
      <c r="I8" s="143"/>
      <c r="J8" s="143"/>
      <c r="K8" s="143"/>
      <c r="L8" s="143" t="s">
        <v>551</v>
      </c>
      <c r="M8" s="143"/>
      <c r="N8" s="143"/>
      <c r="O8" s="143"/>
      <c r="P8" s="143"/>
      <c r="Q8" s="143"/>
      <c r="R8" s="143"/>
      <c r="S8" s="144" t="s">
        <v>552</v>
      </c>
      <c r="T8" s="145"/>
      <c r="U8" s="145"/>
      <c r="V8" s="145"/>
      <c r="W8" s="145"/>
      <c r="X8" s="145"/>
      <c r="Y8" s="145"/>
      <c r="Z8" s="145"/>
      <c r="AA8" s="145"/>
      <c r="AB8" s="145"/>
      <c r="AC8" s="145"/>
      <c r="AD8" s="145"/>
      <c r="AE8" s="145"/>
      <c r="AF8" s="146"/>
      <c r="AG8" s="137" t="s">
        <v>76</v>
      </c>
      <c r="AH8" s="138"/>
      <c r="AI8" s="138"/>
      <c r="AJ8" s="138"/>
      <c r="AK8" s="138"/>
      <c r="AL8" s="138"/>
      <c r="AM8" s="139"/>
      <c r="AN8" s="133" t="s">
        <v>94</v>
      </c>
      <c r="AO8" s="133"/>
      <c r="AP8" s="133"/>
      <c r="AQ8" s="133"/>
      <c r="AR8" s="133"/>
      <c r="AS8" s="133"/>
      <c r="AT8" s="133"/>
      <c r="AU8" s="133"/>
      <c r="AV8" s="133"/>
      <c r="AW8" s="133"/>
      <c r="AX8" s="133"/>
      <c r="AY8" s="133"/>
      <c r="AZ8" s="133"/>
      <c r="BA8" s="133"/>
      <c r="BB8" s="133"/>
      <c r="BC8" s="133"/>
      <c r="BD8" s="132" t="s">
        <v>96</v>
      </c>
      <c r="BE8" s="133"/>
      <c r="BF8" s="133"/>
      <c r="BG8" s="133"/>
      <c r="BH8" s="133"/>
      <c r="BI8" s="13"/>
    </row>
    <row r="9" spans="1:63" s="11" customFormat="1" ht="13.5" customHeight="1">
      <c r="A9" s="25"/>
      <c r="B9" s="143"/>
      <c r="C9" s="143"/>
      <c r="D9" s="143"/>
      <c r="E9" s="143"/>
      <c r="F9" s="143"/>
      <c r="G9" s="143"/>
      <c r="H9" s="143"/>
      <c r="I9" s="143"/>
      <c r="J9" s="143"/>
      <c r="K9" s="143"/>
      <c r="L9" s="143"/>
      <c r="M9" s="143"/>
      <c r="N9" s="143"/>
      <c r="O9" s="143"/>
      <c r="P9" s="143"/>
      <c r="Q9" s="143"/>
      <c r="R9" s="143"/>
      <c r="S9" s="134" t="s">
        <v>82</v>
      </c>
      <c r="T9" s="135"/>
      <c r="U9" s="135"/>
      <c r="V9" s="135"/>
      <c r="W9" s="135"/>
      <c r="X9" s="135"/>
      <c r="Y9" s="135"/>
      <c r="Z9" s="134" t="s">
        <v>553</v>
      </c>
      <c r="AA9" s="135"/>
      <c r="AB9" s="135"/>
      <c r="AC9" s="135"/>
      <c r="AD9" s="135"/>
      <c r="AE9" s="135"/>
      <c r="AF9" s="136"/>
      <c r="AG9" s="137" t="s">
        <v>91</v>
      </c>
      <c r="AH9" s="138"/>
      <c r="AI9" s="138"/>
      <c r="AJ9" s="138"/>
      <c r="AK9" s="138"/>
      <c r="AL9" s="138"/>
      <c r="AM9" s="139"/>
      <c r="AN9" s="133"/>
      <c r="AO9" s="133"/>
      <c r="AP9" s="133"/>
      <c r="AQ9" s="133"/>
      <c r="AR9" s="133"/>
      <c r="AS9" s="133"/>
      <c r="AT9" s="133"/>
      <c r="AU9" s="133"/>
      <c r="AV9" s="133"/>
      <c r="AW9" s="133"/>
      <c r="AX9" s="133"/>
      <c r="AY9" s="133"/>
      <c r="AZ9" s="133"/>
      <c r="BA9" s="133"/>
      <c r="BB9" s="133"/>
      <c r="BC9" s="133"/>
      <c r="BD9" s="133"/>
      <c r="BE9" s="133"/>
      <c r="BF9" s="133"/>
      <c r="BG9" s="133"/>
      <c r="BH9" s="133"/>
      <c r="BI9" s="13"/>
    </row>
    <row r="10" spans="1:63" s="11" customFormat="1">
      <c r="A10" s="25"/>
      <c r="B10" s="26" t="s">
        <v>554</v>
      </c>
      <c r="C10" s="31"/>
      <c r="D10" s="31"/>
      <c r="E10" s="31"/>
      <c r="F10" s="23"/>
      <c r="G10" s="23"/>
      <c r="H10" s="23"/>
      <c r="I10" s="23"/>
      <c r="J10" s="23"/>
      <c r="K10" s="23"/>
      <c r="L10" s="44"/>
      <c r="M10" s="44"/>
      <c r="N10" s="44"/>
      <c r="O10" s="44"/>
      <c r="P10" s="44"/>
      <c r="Q10" s="44"/>
      <c r="R10" s="44"/>
      <c r="S10" s="23"/>
      <c r="T10" s="23"/>
      <c r="U10" s="23"/>
      <c r="V10" s="23"/>
      <c r="W10" s="23"/>
      <c r="X10" s="23"/>
      <c r="Y10" s="23"/>
      <c r="Z10" s="30"/>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13"/>
    </row>
    <row r="11" spans="1:63" s="11" customFormat="1">
      <c r="A11" s="25"/>
      <c r="B11" s="27"/>
      <c r="C11" s="21"/>
      <c r="D11" s="21"/>
      <c r="E11" s="21"/>
      <c r="F11" s="21"/>
      <c r="G11" s="21"/>
      <c r="H11" s="21"/>
      <c r="I11" s="21"/>
      <c r="J11" s="21"/>
      <c r="K11" s="20"/>
      <c r="L11" s="40"/>
      <c r="M11" s="38"/>
      <c r="N11" s="38"/>
      <c r="O11" s="38"/>
      <c r="P11" s="38"/>
      <c r="Q11" s="38"/>
      <c r="R11" s="39"/>
      <c r="S11" s="27"/>
      <c r="T11" s="21"/>
      <c r="U11" s="21"/>
      <c r="V11" s="21"/>
      <c r="W11" s="21"/>
      <c r="X11" s="21"/>
      <c r="Y11" s="21"/>
      <c r="Z11" s="27"/>
      <c r="AA11" s="21"/>
      <c r="AB11" s="21"/>
      <c r="AC11" s="21"/>
      <c r="AD11" s="21"/>
      <c r="AE11" s="21"/>
      <c r="AF11" s="20"/>
      <c r="AG11" s="21"/>
      <c r="AH11" s="21"/>
      <c r="AI11" s="21"/>
      <c r="AJ11" s="21"/>
      <c r="AK11" s="21"/>
      <c r="AL11" s="21"/>
      <c r="AM11" s="21"/>
      <c r="AN11" s="27"/>
      <c r="AO11" s="21"/>
      <c r="AP11" s="21"/>
      <c r="AQ11" s="21"/>
      <c r="AR11" s="21"/>
      <c r="AS11" s="21"/>
      <c r="AT11" s="21"/>
      <c r="AU11" s="21"/>
      <c r="AV11" s="21"/>
      <c r="AW11" s="21"/>
      <c r="AX11" s="21"/>
      <c r="AY11" s="21"/>
      <c r="AZ11" s="21"/>
      <c r="BA11" s="21"/>
      <c r="BB11" s="21"/>
      <c r="BC11" s="21"/>
      <c r="BD11" s="27"/>
      <c r="BE11" s="21"/>
      <c r="BF11" s="21"/>
      <c r="BG11" s="21"/>
      <c r="BH11" s="20"/>
      <c r="BI11" s="13"/>
      <c r="BJ11" s="11" t="s">
        <v>555</v>
      </c>
    </row>
    <row r="12" spans="1:63" s="11" customFormat="1">
      <c r="A12" s="25"/>
      <c r="B12" s="27"/>
      <c r="C12" s="21"/>
      <c r="D12" s="21"/>
      <c r="E12" s="21"/>
      <c r="F12" s="21"/>
      <c r="G12" s="21"/>
      <c r="H12" s="21"/>
      <c r="I12" s="21"/>
      <c r="J12" s="21"/>
      <c r="K12" s="20"/>
      <c r="L12" s="27"/>
      <c r="M12" s="21"/>
      <c r="N12" s="21"/>
      <c r="O12" s="21"/>
      <c r="P12" s="21"/>
      <c r="Q12" s="21"/>
      <c r="R12" s="20"/>
      <c r="S12" s="27"/>
      <c r="T12" s="21"/>
      <c r="U12" s="21"/>
      <c r="V12" s="21"/>
      <c r="W12" s="21"/>
      <c r="X12" s="21"/>
      <c r="Y12" s="21"/>
      <c r="Z12" s="27"/>
      <c r="AA12" s="21"/>
      <c r="AB12" s="21"/>
      <c r="AC12" s="21"/>
      <c r="AD12" s="21"/>
      <c r="AE12" s="21"/>
      <c r="AF12" s="20"/>
      <c r="AG12" s="21"/>
      <c r="AH12" s="21"/>
      <c r="AI12" s="21"/>
      <c r="AJ12" s="21"/>
      <c r="AK12" s="21"/>
      <c r="AL12" s="21"/>
      <c r="AM12" s="21"/>
      <c r="AN12" s="27"/>
      <c r="AO12" s="51" t="s">
        <v>556</v>
      </c>
      <c r="AP12" s="21"/>
      <c r="AQ12" s="21"/>
      <c r="AR12" s="21"/>
      <c r="AS12" s="21"/>
      <c r="AT12" s="21"/>
      <c r="AU12" s="21"/>
      <c r="AV12" s="21"/>
      <c r="AW12" s="21"/>
      <c r="AX12" s="21"/>
      <c r="AY12" s="21"/>
      <c r="AZ12" s="21"/>
      <c r="BA12" s="21"/>
      <c r="BB12" s="21"/>
      <c r="BC12" s="21"/>
      <c r="BD12" s="27"/>
      <c r="BE12" s="21"/>
      <c r="BF12" s="21"/>
      <c r="BG12" s="21"/>
      <c r="BH12" s="20"/>
      <c r="BI12" s="13"/>
      <c r="BJ12" s="11" t="s">
        <v>557</v>
      </c>
    </row>
    <row r="13" spans="1:63" s="11" customFormat="1">
      <c r="A13" s="25"/>
      <c r="B13" s="27"/>
      <c r="C13" s="21"/>
      <c r="D13" s="21"/>
      <c r="E13" s="21"/>
      <c r="F13" s="21"/>
      <c r="G13" s="21"/>
      <c r="H13" s="21"/>
      <c r="I13" s="21"/>
      <c r="J13" s="21"/>
      <c r="K13" s="20"/>
      <c r="L13" s="27"/>
      <c r="M13" s="21"/>
      <c r="N13" s="21"/>
      <c r="O13" s="21"/>
      <c r="P13" s="21"/>
      <c r="Q13" s="21"/>
      <c r="R13" s="20"/>
      <c r="S13" s="27"/>
      <c r="T13" s="21"/>
      <c r="U13" s="21"/>
      <c r="V13" s="21"/>
      <c r="W13" s="21"/>
      <c r="X13" s="21"/>
      <c r="Y13" s="21"/>
      <c r="Z13" s="27"/>
      <c r="AA13" s="21"/>
      <c r="AB13" s="21"/>
      <c r="AC13" s="21"/>
      <c r="AD13" s="21"/>
      <c r="AE13" s="21"/>
      <c r="AF13" s="20"/>
      <c r="AG13" s="21"/>
      <c r="AH13" s="21"/>
      <c r="AI13" s="21"/>
      <c r="AJ13" s="21"/>
      <c r="AK13" s="21"/>
      <c r="AL13" s="21"/>
      <c r="AM13" s="21"/>
      <c r="AN13" s="27"/>
      <c r="AO13" s="21"/>
      <c r="AP13" s="21"/>
      <c r="AQ13" s="21"/>
      <c r="AR13" s="21"/>
      <c r="AS13" s="21"/>
      <c r="AT13" s="21"/>
      <c r="AU13" s="21"/>
      <c r="AV13" s="21"/>
      <c r="AW13" s="21"/>
      <c r="AX13" s="21"/>
      <c r="AY13" s="21"/>
      <c r="AZ13" s="21"/>
      <c r="BA13" s="21"/>
      <c r="BB13" s="21"/>
      <c r="BC13" s="21"/>
      <c r="BD13" s="27"/>
      <c r="BE13" s="21"/>
      <c r="BF13" s="21"/>
      <c r="BG13" s="21"/>
      <c r="BH13" s="20"/>
      <c r="BI13" s="13"/>
      <c r="BJ13" s="11" t="s">
        <v>558</v>
      </c>
    </row>
    <row r="14" spans="1:63" ht="14.45">
      <c r="A14" s="24"/>
      <c r="B14" s="24"/>
      <c r="K14" s="14"/>
      <c r="L14" s="24"/>
      <c r="R14" s="14"/>
      <c r="S14" s="24"/>
      <c r="Z14" s="24"/>
      <c r="AF14" s="14"/>
      <c r="AN14" s="24"/>
      <c r="BD14" s="24"/>
      <c r="BH14" s="14"/>
      <c r="BI14" s="14"/>
    </row>
    <row r="15" spans="1:63" ht="14.45">
      <c r="A15" s="24"/>
      <c r="B15" s="24"/>
      <c r="K15" s="14"/>
      <c r="L15" s="24"/>
      <c r="R15" s="14"/>
      <c r="S15" s="24"/>
      <c r="Z15" s="24"/>
      <c r="AF15" s="14"/>
      <c r="AN15" s="24"/>
      <c r="BD15" s="24"/>
      <c r="BH15" s="14"/>
      <c r="BI15" s="14"/>
    </row>
    <row r="16" spans="1:63">
      <c r="A16" s="24"/>
      <c r="B16" s="24"/>
      <c r="K16" s="14"/>
      <c r="L16" s="24"/>
      <c r="R16" s="14"/>
      <c r="S16" s="24"/>
      <c r="Z16" s="24"/>
      <c r="AF16" s="14"/>
      <c r="AN16" s="24"/>
      <c r="AO16" s="16" t="s">
        <v>559</v>
      </c>
      <c r="BD16" s="24"/>
      <c r="BH16" s="14"/>
      <c r="BI16" s="14"/>
    </row>
    <row r="17" spans="1:62">
      <c r="A17" s="24"/>
      <c r="B17" s="24"/>
      <c r="K17" s="14"/>
      <c r="L17" s="24"/>
      <c r="R17" s="14"/>
      <c r="S17" s="24"/>
      <c r="Z17" s="24"/>
      <c r="AF17" s="14"/>
      <c r="AN17" s="24"/>
      <c r="AP17" s="8" t="s">
        <v>560</v>
      </c>
      <c r="BD17" s="24"/>
      <c r="BH17" s="14"/>
      <c r="BI17" s="14"/>
    </row>
    <row r="18" spans="1:62" ht="14.45">
      <c r="A18" s="24"/>
      <c r="B18" s="24"/>
      <c r="K18" s="14"/>
      <c r="L18" s="24"/>
      <c r="R18" s="14"/>
      <c r="S18" s="24"/>
      <c r="Z18" s="24"/>
      <c r="AF18" s="14"/>
      <c r="AN18" s="24"/>
      <c r="AO18" s="48"/>
      <c r="BD18" s="46"/>
      <c r="BH18" s="14"/>
      <c r="BI18" s="14"/>
    </row>
    <row r="19" spans="1:62" ht="14.45">
      <c r="A19" s="24"/>
      <c r="B19" s="24"/>
      <c r="K19" s="14"/>
      <c r="L19" s="24"/>
      <c r="R19" s="14"/>
      <c r="S19" s="24"/>
      <c r="Z19" s="24"/>
      <c r="AF19" s="14"/>
      <c r="AN19" s="24"/>
      <c r="AP19" s="47"/>
      <c r="BD19" s="24"/>
      <c r="BH19" s="14"/>
      <c r="BI19" s="14"/>
    </row>
    <row r="20" spans="1:62" ht="14.45">
      <c r="A20" s="24"/>
      <c r="B20" s="24"/>
      <c r="K20" s="14"/>
      <c r="L20" s="24"/>
      <c r="R20" s="14"/>
      <c r="S20" s="24"/>
      <c r="Z20" s="24"/>
      <c r="AF20" s="14"/>
      <c r="AN20" s="24"/>
      <c r="BD20" s="24"/>
      <c r="BH20" s="14"/>
      <c r="BI20" s="14"/>
    </row>
    <row r="21" spans="1:62">
      <c r="A21" s="24"/>
      <c r="B21" s="24"/>
      <c r="K21" s="14"/>
      <c r="L21" s="24"/>
      <c r="R21" s="14"/>
      <c r="S21" s="24"/>
      <c r="Z21" s="24"/>
      <c r="AF21" s="14"/>
      <c r="AN21" s="24"/>
      <c r="AO21" s="16" t="s">
        <v>561</v>
      </c>
      <c r="BD21" s="24"/>
      <c r="BH21" s="14"/>
      <c r="BI21" s="14"/>
    </row>
    <row r="22" spans="1:62">
      <c r="A22" s="24"/>
      <c r="B22" s="24"/>
      <c r="K22" s="14"/>
      <c r="L22" s="24"/>
      <c r="R22" s="14"/>
      <c r="S22" s="24"/>
      <c r="Z22" s="24"/>
      <c r="AF22" s="14"/>
      <c r="AN22" s="24"/>
      <c r="AP22" s="8" t="s">
        <v>562</v>
      </c>
      <c r="BD22" s="24"/>
      <c r="BH22" s="14"/>
      <c r="BI22" s="14"/>
    </row>
    <row r="23" spans="1:62" ht="14.45">
      <c r="A23" s="24"/>
      <c r="B23" s="24"/>
      <c r="K23" s="14"/>
      <c r="L23" s="24"/>
      <c r="R23" s="14"/>
      <c r="S23" s="24"/>
      <c r="Z23" s="24"/>
      <c r="AF23" s="14"/>
      <c r="AN23" s="24"/>
      <c r="AP23" s="47"/>
      <c r="BD23" s="24"/>
      <c r="BH23" s="14"/>
      <c r="BI23" s="14"/>
    </row>
    <row r="24" spans="1:62" ht="14.45">
      <c r="A24" s="24"/>
      <c r="B24" s="24"/>
      <c r="K24" s="14"/>
      <c r="L24" s="24"/>
      <c r="R24" s="14"/>
      <c r="S24" s="24"/>
      <c r="Z24" s="24"/>
      <c r="AF24" s="14"/>
      <c r="AN24" s="24"/>
      <c r="AP24" s="47"/>
      <c r="BD24" s="24"/>
      <c r="BH24" s="14"/>
      <c r="BI24" s="14"/>
    </row>
    <row r="25" spans="1:62" ht="14.45">
      <c r="A25" s="24"/>
      <c r="B25" s="24"/>
      <c r="K25" s="14"/>
      <c r="L25" s="24"/>
      <c r="R25" s="14"/>
      <c r="S25" s="24"/>
      <c r="Z25" s="24"/>
      <c r="AF25" s="14"/>
      <c r="AN25" s="24"/>
      <c r="AP25" s="47"/>
      <c r="BD25" s="24"/>
      <c r="BH25" s="14"/>
      <c r="BI25" s="14"/>
    </row>
    <row r="26" spans="1:62" ht="14.45">
      <c r="A26" s="24"/>
      <c r="B26" s="24"/>
      <c r="K26" s="14"/>
      <c r="L26" s="24"/>
      <c r="R26" s="14"/>
      <c r="Z26" s="24"/>
      <c r="AF26" s="14"/>
      <c r="AN26" s="24"/>
      <c r="BD26" s="24"/>
      <c r="BH26" s="14"/>
      <c r="BI26" s="14"/>
    </row>
    <row r="27" spans="1:62" ht="14.45">
      <c r="A27" s="24"/>
      <c r="B27" s="24"/>
      <c r="K27" s="14"/>
      <c r="L27" s="24"/>
      <c r="R27" s="14"/>
      <c r="Z27" s="24"/>
      <c r="AF27" s="14"/>
      <c r="AN27" s="24"/>
      <c r="BD27" s="24"/>
      <c r="BH27" s="14"/>
      <c r="BI27" s="14"/>
    </row>
    <row r="28" spans="1:62">
      <c r="A28" s="24"/>
      <c r="B28" s="24"/>
      <c r="K28" s="14"/>
      <c r="L28" s="24"/>
      <c r="R28" s="14"/>
      <c r="Z28" s="24"/>
      <c r="AF28" s="14"/>
      <c r="AN28" s="24"/>
      <c r="AO28" s="16" t="s">
        <v>563</v>
      </c>
      <c r="BD28" s="24"/>
      <c r="BH28" s="14"/>
      <c r="BI28" s="14"/>
    </row>
    <row r="29" spans="1:62">
      <c r="A29" s="24"/>
      <c r="B29" s="24"/>
      <c r="K29" s="14"/>
      <c r="L29" s="24"/>
      <c r="R29" s="14"/>
      <c r="Z29" s="24"/>
      <c r="AF29" s="14"/>
      <c r="AN29" s="24"/>
      <c r="AP29" s="17" t="s">
        <v>564</v>
      </c>
      <c r="BD29" s="24"/>
      <c r="BH29" s="14"/>
      <c r="BI29" s="14"/>
    </row>
    <row r="30" spans="1:62">
      <c r="A30" s="24"/>
      <c r="B30" s="24"/>
      <c r="K30" s="14"/>
      <c r="L30" s="24"/>
      <c r="R30" s="14"/>
      <c r="Z30" s="24"/>
      <c r="AF30" s="14"/>
      <c r="AN30" s="24"/>
      <c r="AP30" s="49" t="s">
        <v>565</v>
      </c>
      <c r="AY30" s="45"/>
      <c r="BD30" s="24"/>
      <c r="BH30" s="14"/>
      <c r="BI30" s="14"/>
      <c r="BJ30" s="8" t="s">
        <v>566</v>
      </c>
    </row>
    <row r="31" spans="1:62">
      <c r="A31" s="24"/>
      <c r="B31" s="24"/>
      <c r="K31" s="14"/>
      <c r="L31" s="24"/>
      <c r="R31" s="14"/>
      <c r="S31" s="24"/>
      <c r="Z31" s="24"/>
      <c r="AF31" s="14"/>
      <c r="AN31" s="24"/>
      <c r="AP31" s="49" t="s">
        <v>567</v>
      </c>
      <c r="AQ31" s="49"/>
      <c r="BD31" s="24"/>
      <c r="BH31" s="14"/>
      <c r="BI31" s="14"/>
    </row>
    <row r="32" spans="1:62" ht="14.45">
      <c r="A32" s="24"/>
      <c r="B32" s="24"/>
      <c r="K32" s="14"/>
      <c r="L32" s="24"/>
      <c r="R32" s="14"/>
      <c r="S32" s="24"/>
      <c r="Z32" s="24"/>
      <c r="AF32" s="14"/>
      <c r="AN32" s="24"/>
      <c r="AO32" s="16"/>
      <c r="BD32" s="24"/>
      <c r="BH32" s="14"/>
      <c r="BI32" s="14"/>
    </row>
    <row r="33" spans="1:62">
      <c r="A33" s="24"/>
      <c r="B33" s="24"/>
      <c r="K33" s="14"/>
      <c r="L33" s="24"/>
      <c r="R33" s="14"/>
      <c r="Z33" s="24"/>
      <c r="AF33" s="14"/>
      <c r="AN33" s="24"/>
      <c r="AO33" s="49" t="s">
        <v>568</v>
      </c>
      <c r="AR33" s="50"/>
      <c r="BD33" s="24"/>
      <c r="BH33" s="14"/>
      <c r="BI33" s="14"/>
    </row>
    <row r="34" spans="1:62">
      <c r="A34" s="24"/>
      <c r="B34" s="24"/>
      <c r="K34" s="14"/>
      <c r="L34" s="24"/>
      <c r="R34" s="14"/>
      <c r="Z34" s="24"/>
      <c r="AF34" s="14"/>
      <c r="AN34" s="24"/>
      <c r="AP34" s="49" t="s">
        <v>569</v>
      </c>
      <c r="BD34" s="24"/>
      <c r="BH34" s="14"/>
      <c r="BI34" s="14"/>
      <c r="BJ34" s="8" t="s">
        <v>570</v>
      </c>
    </row>
    <row r="35" spans="1:62">
      <c r="A35" s="24"/>
      <c r="B35" s="24"/>
      <c r="K35" s="14"/>
      <c r="L35" s="24"/>
      <c r="R35" s="14"/>
      <c r="Z35" s="24"/>
      <c r="AF35" s="14"/>
      <c r="AN35" s="24"/>
      <c r="AP35" s="49" t="s">
        <v>571</v>
      </c>
      <c r="BD35" s="24"/>
      <c r="BH35" s="14"/>
      <c r="BI35" s="14"/>
      <c r="BJ35" s="8" t="s">
        <v>572</v>
      </c>
    </row>
    <row r="36" spans="1:62" ht="14.45">
      <c r="A36" s="24"/>
      <c r="B36" s="24"/>
      <c r="K36" s="14"/>
      <c r="L36" s="24"/>
      <c r="R36" s="14"/>
      <c r="Z36" s="24"/>
      <c r="AF36" s="14"/>
      <c r="AN36" s="24"/>
      <c r="AP36" s="49"/>
      <c r="BD36" s="24"/>
      <c r="BH36" s="14"/>
      <c r="BI36" s="14"/>
    </row>
    <row r="37" spans="1:62" ht="14.45">
      <c r="A37" s="24"/>
      <c r="B37" s="24"/>
      <c r="K37" s="14"/>
      <c r="L37" s="24"/>
      <c r="R37" s="14"/>
      <c r="Z37" s="24"/>
      <c r="AF37" s="14"/>
      <c r="AN37" s="24"/>
      <c r="BD37" s="24"/>
      <c r="BH37" s="14"/>
      <c r="BI37" s="14"/>
    </row>
    <row r="38" spans="1:62">
      <c r="A38" s="24"/>
      <c r="B38" s="24"/>
      <c r="K38" s="14"/>
      <c r="L38" s="24"/>
      <c r="R38" s="14"/>
      <c r="Z38" s="24"/>
      <c r="AF38" s="14"/>
      <c r="AN38" s="24"/>
      <c r="AO38" s="16" t="s">
        <v>573</v>
      </c>
      <c r="BD38" s="24"/>
      <c r="BH38" s="14"/>
      <c r="BI38" s="14"/>
      <c r="BJ38" s="8" t="s">
        <v>574</v>
      </c>
    </row>
    <row r="39" spans="1:62">
      <c r="A39" s="24"/>
      <c r="B39" s="24"/>
      <c r="K39" s="14"/>
      <c r="L39" s="24"/>
      <c r="R39" s="14"/>
      <c r="S39" s="24"/>
      <c r="Z39" s="24"/>
      <c r="AF39" s="14"/>
      <c r="AN39" s="24"/>
      <c r="AP39" s="17" t="s">
        <v>575</v>
      </c>
      <c r="BD39" s="24"/>
      <c r="BH39" s="14"/>
      <c r="BI39" s="14"/>
      <c r="BJ39" s="8" t="s">
        <v>576</v>
      </c>
    </row>
    <row r="40" spans="1:62">
      <c r="A40" s="24"/>
      <c r="B40" s="24"/>
      <c r="K40" s="14"/>
      <c r="L40" s="24"/>
      <c r="R40" s="14"/>
      <c r="Z40" s="24"/>
      <c r="AF40" s="14"/>
      <c r="AN40" s="24"/>
      <c r="AP40" s="17" t="s">
        <v>577</v>
      </c>
      <c r="BD40" s="24"/>
      <c r="BH40" s="14"/>
      <c r="BI40" s="14"/>
    </row>
    <row r="41" spans="1:62">
      <c r="A41" s="24"/>
      <c r="B41" s="24"/>
      <c r="K41" s="14"/>
      <c r="L41" s="24"/>
      <c r="R41" s="14"/>
      <c r="Z41" s="24"/>
      <c r="AF41" s="14"/>
      <c r="AN41" s="24"/>
      <c r="AP41" s="8" t="s">
        <v>578</v>
      </c>
      <c r="AQ41" s="49"/>
      <c r="BD41" s="46"/>
      <c r="BE41" s="50"/>
      <c r="BF41" s="50"/>
      <c r="BG41" s="50"/>
      <c r="BH41" s="54"/>
      <c r="BI41" s="54"/>
      <c r="BJ41" s="50"/>
    </row>
    <row r="42" spans="1:62" ht="14.45">
      <c r="A42" s="24"/>
      <c r="B42" s="24"/>
      <c r="K42" s="14"/>
      <c r="L42" s="24"/>
      <c r="R42" s="14"/>
      <c r="Z42" s="24"/>
      <c r="AF42" s="14"/>
      <c r="AN42" s="24"/>
      <c r="AP42" s="49"/>
      <c r="AQ42" s="49"/>
      <c r="BD42" s="46"/>
      <c r="BH42" s="14"/>
      <c r="BI42" s="14"/>
    </row>
    <row r="43" spans="1:62" ht="14.45">
      <c r="A43" s="24"/>
      <c r="B43" s="24"/>
      <c r="K43" s="14"/>
      <c r="L43" s="24"/>
      <c r="R43" s="14"/>
      <c r="Z43" s="24"/>
      <c r="AF43" s="14"/>
      <c r="AN43" s="24"/>
      <c r="AQ43" s="49"/>
      <c r="BD43" s="46"/>
      <c r="BH43" s="14"/>
      <c r="BI43" s="14"/>
    </row>
    <row r="44" spans="1:62">
      <c r="A44" s="24"/>
      <c r="B44" s="24"/>
      <c r="L44" s="24"/>
      <c r="R44" s="14"/>
      <c r="S44" s="24"/>
      <c r="Z44" s="24"/>
      <c r="AG44" s="24"/>
      <c r="AN44" s="24"/>
      <c r="AO44" s="16" t="s">
        <v>579</v>
      </c>
      <c r="BD44" s="24"/>
      <c r="BH44" s="14"/>
      <c r="BI44" s="14"/>
    </row>
    <row r="45" spans="1:62">
      <c r="A45" s="24"/>
      <c r="B45" s="24"/>
      <c r="L45" s="24"/>
      <c r="R45" s="14"/>
      <c r="S45" s="24"/>
      <c r="Z45" s="24"/>
      <c r="AG45" s="24"/>
      <c r="AN45" s="24"/>
      <c r="AP45" s="8" t="s">
        <v>580</v>
      </c>
      <c r="BD45" s="24"/>
      <c r="BH45" s="14"/>
      <c r="BI45" s="14"/>
    </row>
    <row r="46" spans="1:62" ht="14.45">
      <c r="A46" s="24"/>
      <c r="B46" s="24"/>
      <c r="L46" s="24"/>
      <c r="R46" s="14"/>
      <c r="S46" s="24"/>
      <c r="Z46" s="24"/>
      <c r="AG46" s="24"/>
      <c r="AN46" s="24"/>
      <c r="BD46" s="24"/>
      <c r="BH46" s="14"/>
      <c r="BI46" s="14"/>
    </row>
    <row r="47" spans="1:62" ht="14.45">
      <c r="A47" s="24"/>
      <c r="B47" s="24"/>
      <c r="L47" s="24"/>
      <c r="R47" s="14"/>
      <c r="S47" s="24"/>
      <c r="Z47" s="24"/>
      <c r="AG47" s="24"/>
      <c r="AN47" s="24"/>
      <c r="BD47" s="24"/>
      <c r="BH47" s="14"/>
      <c r="BI47" s="14"/>
    </row>
    <row r="48" spans="1:62" ht="14.45">
      <c r="A48" s="24"/>
      <c r="B48" s="24"/>
      <c r="L48" s="24"/>
      <c r="R48" s="14"/>
      <c r="S48" s="24"/>
      <c r="Z48" s="24"/>
      <c r="AG48" s="24"/>
      <c r="AN48" s="24"/>
      <c r="BD48" s="24"/>
      <c r="BH48" s="14"/>
      <c r="BI48" s="14"/>
    </row>
    <row r="49" spans="1:62" ht="14.45">
      <c r="A49" s="24"/>
      <c r="B49" s="24"/>
      <c r="L49" s="24"/>
      <c r="R49" s="14"/>
      <c r="S49" s="24"/>
      <c r="Z49" s="24"/>
      <c r="AF49" s="14"/>
      <c r="AN49" s="24"/>
      <c r="BD49" s="24"/>
      <c r="BH49" s="14"/>
      <c r="BI49" s="14"/>
    </row>
    <row r="50" spans="1:62">
      <c r="A50" s="24"/>
      <c r="B50" s="24"/>
      <c r="L50" s="24"/>
      <c r="R50" s="14"/>
      <c r="S50" s="24"/>
      <c r="Z50" s="24"/>
      <c r="AF50" s="14"/>
      <c r="AN50" s="24"/>
      <c r="AO50" s="16" t="s">
        <v>581</v>
      </c>
      <c r="BD50" s="24"/>
      <c r="BH50" s="14"/>
      <c r="BI50" s="14"/>
      <c r="BJ50" s="8" t="s">
        <v>582</v>
      </c>
    </row>
    <row r="51" spans="1:62">
      <c r="A51" s="24"/>
      <c r="B51" s="24"/>
      <c r="L51" s="24"/>
      <c r="R51" s="14"/>
      <c r="S51" s="24"/>
      <c r="Z51" s="24"/>
      <c r="AF51" s="14"/>
      <c r="AN51" s="24"/>
      <c r="AP51" s="8" t="s">
        <v>583</v>
      </c>
      <c r="BD51" s="24"/>
      <c r="BH51" s="14"/>
      <c r="BI51" s="14"/>
    </row>
    <row r="52" spans="1:62" ht="14.45">
      <c r="A52" s="24"/>
      <c r="B52" s="24"/>
      <c r="L52" s="24"/>
      <c r="R52" s="14"/>
      <c r="S52" s="24"/>
      <c r="Z52" s="24"/>
      <c r="AF52" s="14"/>
      <c r="AN52" s="24"/>
      <c r="BD52" s="24"/>
      <c r="BH52" s="14"/>
      <c r="BI52" s="14"/>
    </row>
    <row r="53" spans="1:62" ht="14.45">
      <c r="A53" s="24"/>
      <c r="B53" s="24"/>
      <c r="L53" s="24"/>
      <c r="R53" s="14"/>
      <c r="S53" s="24"/>
      <c r="Z53" s="24"/>
      <c r="AF53" s="14"/>
      <c r="AN53" s="24"/>
      <c r="BD53" s="24"/>
      <c r="BH53" s="14"/>
      <c r="BI53" s="14"/>
    </row>
    <row r="54" spans="1:62" ht="14.45">
      <c r="A54" s="24"/>
      <c r="B54" s="24"/>
      <c r="L54" s="24"/>
      <c r="R54" s="14"/>
      <c r="S54" s="24"/>
      <c r="Z54" s="24"/>
      <c r="AF54" s="14"/>
      <c r="AN54" s="24"/>
      <c r="BD54" s="24"/>
      <c r="BH54" s="14"/>
      <c r="BI54" s="14"/>
    </row>
    <row r="55" spans="1:62">
      <c r="A55" s="24"/>
      <c r="B55" s="24"/>
      <c r="L55" s="24"/>
      <c r="R55" s="14"/>
      <c r="S55" s="24"/>
      <c r="Z55" s="24"/>
      <c r="AF55" s="14"/>
      <c r="AN55" s="24"/>
      <c r="BD55" s="24"/>
      <c r="BH55" s="14"/>
      <c r="BI55" s="14"/>
      <c r="BJ55" s="8" t="s">
        <v>584</v>
      </c>
    </row>
    <row r="56" spans="1:62" ht="14.45">
      <c r="A56" s="24"/>
      <c r="B56" s="24"/>
      <c r="L56" s="24"/>
      <c r="R56" s="14"/>
      <c r="S56" s="24"/>
      <c r="Z56" s="24"/>
      <c r="AF56" s="14"/>
      <c r="AN56" s="24"/>
      <c r="BD56" s="24"/>
      <c r="BH56" s="14"/>
      <c r="BI56" s="14"/>
    </row>
    <row r="57" spans="1:62" ht="14.45">
      <c r="A57" s="24"/>
      <c r="B57" s="24"/>
      <c r="L57" s="24"/>
      <c r="R57" s="14"/>
      <c r="S57" s="24"/>
      <c r="Z57" s="24"/>
      <c r="AF57" s="14"/>
      <c r="AN57" s="24"/>
      <c r="BD57" s="24"/>
      <c r="BH57" s="14"/>
      <c r="BI57" s="14"/>
    </row>
    <row r="58" spans="1:62" ht="14.45">
      <c r="A58" s="24"/>
      <c r="B58" s="24"/>
      <c r="L58" s="24"/>
      <c r="R58" s="14"/>
      <c r="S58" s="24"/>
      <c r="Z58" s="24"/>
      <c r="AF58" s="14"/>
      <c r="AN58" s="24"/>
      <c r="BD58" s="24"/>
      <c r="BH58" s="14"/>
      <c r="BI58" s="14"/>
    </row>
    <row r="59" spans="1:62" ht="14.45">
      <c r="A59" s="24"/>
      <c r="B59" s="24"/>
      <c r="L59" s="24"/>
      <c r="R59" s="14"/>
      <c r="S59" s="24"/>
      <c r="Z59" s="24"/>
      <c r="AF59" s="14"/>
      <c r="AN59" s="24"/>
      <c r="BD59" s="24"/>
      <c r="BH59" s="14"/>
      <c r="BI59" s="14"/>
    </row>
    <row r="60" spans="1:62" ht="14.45">
      <c r="A60" s="24"/>
      <c r="B60" s="24"/>
      <c r="L60" s="24"/>
      <c r="R60" s="14"/>
      <c r="S60" s="24"/>
      <c r="Z60" s="24"/>
      <c r="AF60" s="14"/>
      <c r="AN60" s="24"/>
      <c r="BD60" s="24"/>
      <c r="BH60" s="14"/>
      <c r="BI60" s="14"/>
    </row>
    <row r="61" spans="1:62" ht="14.45">
      <c r="A61" s="24"/>
      <c r="B61" s="24"/>
      <c r="L61" s="24"/>
      <c r="R61" s="14"/>
      <c r="S61" s="24"/>
      <c r="Z61" s="24"/>
      <c r="AF61" s="14"/>
      <c r="AN61" s="24"/>
      <c r="BD61" s="24"/>
      <c r="BH61" s="14"/>
      <c r="BI61" s="14"/>
    </row>
    <row r="62" spans="1:62" ht="14.45">
      <c r="A62" s="24"/>
      <c r="B62" s="24"/>
      <c r="L62" s="24"/>
      <c r="R62" s="14"/>
      <c r="S62" s="24"/>
      <c r="Z62" s="24"/>
      <c r="AF62" s="14"/>
      <c r="AN62" s="24"/>
      <c r="BD62" s="24"/>
      <c r="BH62" s="14"/>
      <c r="BI62" s="14"/>
    </row>
    <row r="63" spans="1:62" ht="14.45">
      <c r="A63" s="24"/>
      <c r="B63" s="24"/>
      <c r="L63" s="24"/>
      <c r="R63" s="14"/>
      <c r="S63" s="24"/>
      <c r="Z63" s="24"/>
      <c r="AF63" s="14"/>
      <c r="AN63" s="24"/>
      <c r="BD63" s="24"/>
      <c r="BH63" s="14"/>
      <c r="BI63" s="14"/>
    </row>
    <row r="64" spans="1:62" ht="14.45">
      <c r="A64" s="24"/>
      <c r="B64" s="24"/>
      <c r="L64" s="24"/>
      <c r="R64" s="14"/>
      <c r="S64" s="24"/>
      <c r="Z64" s="24"/>
      <c r="AF64" s="14"/>
      <c r="AN64" s="24"/>
      <c r="BD64" s="24"/>
      <c r="BH64" s="14"/>
      <c r="BI64" s="14"/>
    </row>
    <row r="65" spans="1:62">
      <c r="A65" s="24"/>
      <c r="B65" s="24"/>
      <c r="L65" s="24"/>
      <c r="R65" s="14"/>
      <c r="S65" s="24"/>
      <c r="Z65" s="24"/>
      <c r="AF65" s="14"/>
      <c r="AN65" s="24"/>
      <c r="AO65" s="16" t="s">
        <v>585</v>
      </c>
      <c r="BD65" s="24"/>
      <c r="BH65" s="14"/>
      <c r="BI65" s="14"/>
    </row>
    <row r="66" spans="1:62">
      <c r="A66" s="24"/>
      <c r="B66" s="24"/>
      <c r="L66" s="24"/>
      <c r="R66" s="14"/>
      <c r="S66" s="24"/>
      <c r="Z66" s="24"/>
      <c r="AF66" s="14"/>
      <c r="AN66" s="24"/>
      <c r="AP66" s="8" t="s">
        <v>586</v>
      </c>
      <c r="BD66" s="24"/>
      <c r="BH66" s="14"/>
      <c r="BI66" s="14"/>
    </row>
    <row r="67" spans="1:62">
      <c r="A67" s="24"/>
      <c r="B67" s="24"/>
      <c r="L67" s="24"/>
      <c r="R67" s="14"/>
      <c r="S67" s="24"/>
      <c r="Z67" s="24"/>
      <c r="AF67" s="14"/>
      <c r="AN67" s="24"/>
      <c r="AP67" s="49" t="s">
        <v>587</v>
      </c>
      <c r="AQ67" s="49"/>
      <c r="AR67" s="49"/>
      <c r="AS67" s="49"/>
      <c r="AT67" s="49"/>
      <c r="BD67" s="24"/>
      <c r="BH67" s="14"/>
      <c r="BI67" s="14"/>
    </row>
    <row r="68" spans="1:62" ht="14.45">
      <c r="A68" s="24"/>
      <c r="B68" s="24"/>
      <c r="L68" s="24"/>
      <c r="R68" s="14"/>
      <c r="S68" s="24"/>
      <c r="Z68" s="24"/>
      <c r="AF68" s="14"/>
      <c r="AN68" s="24"/>
      <c r="BD68" s="24"/>
      <c r="BH68" s="14"/>
      <c r="BI68" s="14"/>
    </row>
    <row r="69" spans="1:62">
      <c r="A69" s="24"/>
      <c r="B69" s="24"/>
      <c r="K69" s="14"/>
      <c r="L69" s="24"/>
      <c r="R69" s="14"/>
      <c r="S69" s="24"/>
      <c r="Z69" s="24"/>
      <c r="AF69" s="14"/>
      <c r="AN69" s="24"/>
      <c r="AO69" s="11"/>
      <c r="AP69" s="49"/>
      <c r="AQ69" s="11"/>
      <c r="AR69" s="11"/>
      <c r="BD69" s="24"/>
      <c r="BH69" s="14"/>
      <c r="BI69" s="14"/>
      <c r="BJ69" s="8" t="s">
        <v>588</v>
      </c>
    </row>
    <row r="70" spans="1:62">
      <c r="A70" s="24"/>
      <c r="B70" s="24"/>
      <c r="K70" s="14"/>
      <c r="L70" s="24"/>
      <c r="R70" s="14"/>
      <c r="S70" s="24"/>
      <c r="Z70" s="24"/>
      <c r="AF70" s="14"/>
      <c r="AN70" s="24"/>
      <c r="AO70" s="11"/>
      <c r="AP70" s="49"/>
      <c r="AQ70" s="11"/>
      <c r="AR70" s="11"/>
      <c r="BD70" s="24"/>
      <c r="BH70" s="14"/>
      <c r="BI70" s="14"/>
      <c r="BJ70" s="8" t="s">
        <v>589</v>
      </c>
    </row>
    <row r="71" spans="1:62">
      <c r="A71" s="24"/>
      <c r="B71" s="24"/>
      <c r="K71" s="14"/>
      <c r="L71" s="24"/>
      <c r="R71" s="14"/>
      <c r="S71" s="24"/>
      <c r="Z71" s="24"/>
      <c r="AF71" s="14"/>
      <c r="AN71" s="24"/>
      <c r="AO71" s="11"/>
      <c r="AP71" s="49"/>
      <c r="AR71" s="11"/>
      <c r="BD71" s="24"/>
      <c r="BH71" s="14"/>
      <c r="BI71" s="14"/>
      <c r="BJ71" s="8" t="s">
        <v>590</v>
      </c>
    </row>
    <row r="72" spans="1:62" ht="14.45">
      <c r="A72" s="24"/>
      <c r="B72" s="24"/>
      <c r="L72" s="24"/>
      <c r="R72" s="14"/>
      <c r="S72" s="24"/>
      <c r="Z72" s="24"/>
      <c r="AF72" s="14"/>
      <c r="AN72" s="24"/>
      <c r="AP72" s="49"/>
      <c r="BD72" s="24"/>
      <c r="BH72" s="14"/>
      <c r="BI72" s="14"/>
    </row>
    <row r="73" spans="1:62" ht="14.45">
      <c r="A73" s="24"/>
      <c r="B73" s="24"/>
      <c r="K73" s="14"/>
      <c r="L73" s="24"/>
      <c r="R73" s="14"/>
      <c r="S73" s="24"/>
      <c r="Z73" s="24"/>
      <c r="AF73" s="14"/>
      <c r="AN73" s="24"/>
      <c r="BD73" s="24"/>
      <c r="BH73" s="14"/>
      <c r="BI73" s="14"/>
    </row>
    <row r="74" spans="1:62" ht="14.45">
      <c r="A74" s="24"/>
      <c r="B74" s="24"/>
      <c r="K74" s="14"/>
      <c r="L74" s="24"/>
      <c r="R74" s="14"/>
      <c r="S74" s="24"/>
      <c r="Z74" s="24"/>
      <c r="AF74" s="14"/>
      <c r="AN74" s="24"/>
      <c r="BD74" s="24"/>
      <c r="BH74" s="14"/>
      <c r="BI74" s="14"/>
    </row>
    <row r="75" spans="1:62" s="11" customFormat="1">
      <c r="A75" s="25"/>
      <c r="B75" s="26" t="s">
        <v>591</v>
      </c>
      <c r="C75" s="31"/>
      <c r="D75" s="31"/>
      <c r="E75" s="31"/>
      <c r="F75" s="23"/>
      <c r="G75" s="23"/>
      <c r="H75" s="23"/>
      <c r="I75" s="23"/>
      <c r="J75" s="23"/>
      <c r="K75" s="23"/>
      <c r="L75" s="23"/>
      <c r="M75" s="23"/>
      <c r="N75" s="23"/>
      <c r="O75" s="23"/>
      <c r="P75" s="23"/>
      <c r="Q75" s="23"/>
      <c r="R75" s="23"/>
      <c r="S75" s="23"/>
      <c r="T75" s="23"/>
      <c r="U75" s="23"/>
      <c r="V75" s="23"/>
      <c r="W75" s="23"/>
      <c r="X75" s="23"/>
      <c r="Y75" s="23"/>
      <c r="Z75" s="30"/>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13"/>
    </row>
    <row r="76" spans="1:62" s="11" customFormat="1">
      <c r="A76" s="25"/>
      <c r="B76" s="24"/>
      <c r="C76" s="8"/>
      <c r="D76" s="8"/>
      <c r="E76" s="8"/>
      <c r="F76" s="8"/>
      <c r="G76" s="8"/>
      <c r="H76" s="8"/>
      <c r="I76" s="8"/>
      <c r="J76" s="8"/>
      <c r="K76" s="14"/>
      <c r="L76" s="24"/>
      <c r="M76" s="8"/>
      <c r="N76" s="8"/>
      <c r="O76" s="8"/>
      <c r="P76" s="8"/>
      <c r="Q76" s="8"/>
      <c r="R76" s="8"/>
      <c r="S76" s="24"/>
      <c r="T76" s="8"/>
      <c r="U76" s="8"/>
      <c r="V76" s="8"/>
      <c r="W76" s="8"/>
      <c r="X76" s="8"/>
      <c r="Y76" s="8"/>
      <c r="Z76" s="24"/>
      <c r="AA76" s="8"/>
      <c r="AB76" s="8"/>
      <c r="AC76" s="8"/>
      <c r="AD76" s="8"/>
      <c r="AE76" s="8"/>
      <c r="AF76" s="14"/>
      <c r="AG76" s="8"/>
      <c r="AH76" s="8"/>
      <c r="AI76" s="8"/>
      <c r="AJ76" s="8"/>
      <c r="AK76" s="8"/>
      <c r="AL76" s="8"/>
      <c r="AM76" s="8"/>
      <c r="AN76" s="24"/>
      <c r="AO76" s="8"/>
      <c r="AP76" s="8"/>
      <c r="AQ76" s="8"/>
      <c r="AR76" s="8"/>
      <c r="AS76" s="8"/>
      <c r="AT76" s="8"/>
      <c r="AU76" s="8"/>
      <c r="AV76" s="8"/>
      <c r="AW76" s="8"/>
      <c r="AX76" s="8"/>
      <c r="AY76" s="8"/>
      <c r="AZ76" s="8"/>
      <c r="BA76" s="8"/>
      <c r="BB76" s="8"/>
      <c r="BC76" s="8"/>
      <c r="BD76" s="24"/>
      <c r="BE76" s="8"/>
      <c r="BF76" s="8"/>
      <c r="BG76" s="8"/>
      <c r="BH76" s="14"/>
      <c r="BI76" s="13"/>
      <c r="BJ76" s="11" t="s">
        <v>592</v>
      </c>
    </row>
    <row r="77" spans="1:62" ht="14.45">
      <c r="A77" s="24"/>
      <c r="B77" s="24"/>
      <c r="K77" s="14"/>
      <c r="L77" s="24"/>
      <c r="S77" s="24"/>
      <c r="Z77" s="24"/>
      <c r="AF77" s="14"/>
      <c r="AN77" s="24"/>
      <c r="BD77" s="24"/>
      <c r="BH77" s="14"/>
      <c r="BI77" s="14"/>
    </row>
    <row r="78" spans="1:62" ht="14.45">
      <c r="A78" s="24"/>
      <c r="B78" s="24"/>
      <c r="K78" s="14"/>
      <c r="L78" s="24"/>
      <c r="S78" s="24"/>
      <c r="Z78" s="24"/>
      <c r="AF78" s="14"/>
      <c r="AN78" s="24"/>
      <c r="BD78" s="24"/>
      <c r="BH78" s="14"/>
      <c r="BI78" s="14"/>
    </row>
    <row r="79" spans="1:62" ht="14.45">
      <c r="A79" s="24"/>
      <c r="B79" s="24"/>
      <c r="K79" s="14"/>
      <c r="L79" s="24"/>
      <c r="R79" s="14"/>
      <c r="S79" s="24"/>
      <c r="Z79" s="24"/>
      <c r="AF79" s="14"/>
      <c r="AN79" s="24"/>
      <c r="BD79" s="24"/>
      <c r="BH79" s="14"/>
      <c r="BI79" s="14"/>
    </row>
    <row r="80" spans="1:62" ht="14.45">
      <c r="A80" s="24"/>
      <c r="B80" s="24"/>
      <c r="K80" s="14"/>
      <c r="L80" s="24"/>
      <c r="R80" s="14"/>
      <c r="S80" s="24"/>
      <c r="Z80" s="24"/>
      <c r="AF80" s="14"/>
      <c r="AN80" s="24"/>
      <c r="BD80" s="24"/>
      <c r="BH80" s="14"/>
      <c r="BI80" s="14"/>
    </row>
    <row r="81" spans="1:61" ht="14.45">
      <c r="A81" s="24"/>
      <c r="B81" s="24"/>
      <c r="K81" s="14"/>
      <c r="L81" s="24"/>
      <c r="R81" s="14"/>
      <c r="S81" s="24"/>
      <c r="Z81" s="24"/>
      <c r="AF81" s="14"/>
      <c r="AN81" s="24"/>
      <c r="AR81" s="11"/>
      <c r="BD81" s="24"/>
      <c r="BH81" s="14"/>
      <c r="BI81" s="14"/>
    </row>
    <row r="82" spans="1:61">
      <c r="A82" s="24"/>
      <c r="B82" s="24"/>
      <c r="K82" s="14"/>
      <c r="L82" s="24"/>
      <c r="R82" s="14"/>
      <c r="S82" s="24"/>
      <c r="Z82" s="24"/>
      <c r="AF82" s="14"/>
      <c r="AN82" s="24"/>
      <c r="AO82" s="16" t="s">
        <v>593</v>
      </c>
      <c r="BD82" s="24"/>
      <c r="BH82" s="14"/>
      <c r="BI82" s="14"/>
    </row>
    <row r="83" spans="1:61">
      <c r="A83" s="24"/>
      <c r="B83" s="24"/>
      <c r="K83" s="14"/>
      <c r="L83" s="24"/>
      <c r="R83" s="14"/>
      <c r="S83" s="24"/>
      <c r="Z83" s="24"/>
      <c r="AF83" s="14"/>
      <c r="AN83" s="24"/>
      <c r="AP83" s="8" t="s">
        <v>594</v>
      </c>
      <c r="BD83" s="24"/>
      <c r="BH83" s="14"/>
      <c r="BI83" s="14"/>
    </row>
    <row r="84" spans="1:61" ht="14.45">
      <c r="A84" s="24"/>
      <c r="B84" s="24"/>
      <c r="K84" s="14"/>
      <c r="L84" s="24"/>
      <c r="R84" s="14"/>
      <c r="S84" s="24"/>
      <c r="Z84" s="24"/>
      <c r="AF84" s="14"/>
      <c r="AN84" s="24"/>
      <c r="BD84" s="24"/>
      <c r="BH84" s="14"/>
      <c r="BI84" s="14"/>
    </row>
    <row r="85" spans="1:61" ht="14.45">
      <c r="A85" s="24"/>
      <c r="B85" s="24"/>
      <c r="K85" s="14"/>
      <c r="L85" s="24"/>
      <c r="R85" s="14"/>
      <c r="S85" s="24"/>
      <c r="Z85" s="24"/>
      <c r="AF85" s="14"/>
      <c r="AN85" s="24"/>
      <c r="AO85" s="11"/>
      <c r="AP85" s="11"/>
      <c r="AQ85" s="11"/>
      <c r="AR85" s="11"/>
      <c r="BD85" s="24"/>
      <c r="BH85" s="14"/>
      <c r="BI85" s="14"/>
    </row>
    <row r="86" spans="1:61" ht="14.45">
      <c r="A86" s="24"/>
      <c r="B86" s="24"/>
      <c r="K86" s="14"/>
      <c r="L86" s="24"/>
      <c r="R86" s="14"/>
      <c r="S86" s="24"/>
      <c r="Z86" s="24"/>
      <c r="AF86" s="14"/>
      <c r="AN86" s="24"/>
      <c r="AO86" s="11"/>
      <c r="AP86" s="11"/>
      <c r="AQ86" s="11"/>
      <c r="AR86" s="11"/>
      <c r="BD86" s="24"/>
      <c r="BH86" s="14"/>
      <c r="BI86" s="14"/>
    </row>
    <row r="87" spans="1:61" ht="14.45">
      <c r="A87" s="24"/>
      <c r="B87" s="24"/>
      <c r="K87" s="14"/>
      <c r="L87" s="24"/>
      <c r="R87" s="14"/>
      <c r="S87" s="24"/>
      <c r="Z87" s="24"/>
      <c r="AF87" s="14"/>
      <c r="AN87" s="24"/>
      <c r="AO87" s="11"/>
      <c r="AQ87" s="11"/>
      <c r="AR87" s="11"/>
      <c r="BD87" s="24"/>
      <c r="BH87" s="14"/>
      <c r="BI87" s="14"/>
    </row>
    <row r="88" spans="1:61" ht="14.45">
      <c r="A88" s="24"/>
      <c r="B88" s="24"/>
      <c r="K88" s="14"/>
      <c r="L88" s="24"/>
      <c r="R88" s="14"/>
      <c r="S88" s="24"/>
      <c r="Z88" s="24"/>
      <c r="AF88" s="14"/>
      <c r="AN88" s="24"/>
      <c r="BD88" s="24"/>
      <c r="BH88" s="14"/>
      <c r="BI88" s="14"/>
    </row>
    <row r="89" spans="1:61">
      <c r="A89" s="24"/>
      <c r="B89" s="24"/>
      <c r="K89" s="14"/>
      <c r="L89" s="24"/>
      <c r="R89" s="14"/>
      <c r="S89" s="24"/>
      <c r="Z89" s="24"/>
      <c r="AF89" s="14"/>
      <c r="AN89" s="24"/>
      <c r="AO89" s="22" t="s">
        <v>595</v>
      </c>
      <c r="AP89" s="11"/>
      <c r="AQ89" s="11"/>
      <c r="AR89" s="11"/>
      <c r="BD89" s="24"/>
      <c r="BH89" s="14"/>
      <c r="BI89" s="14"/>
    </row>
    <row r="90" spans="1:61">
      <c r="A90" s="24"/>
      <c r="B90" s="24"/>
      <c r="K90" s="14"/>
      <c r="L90" s="24"/>
      <c r="R90" s="14"/>
      <c r="S90" s="24"/>
      <c r="Z90" s="24"/>
      <c r="AF90" s="14"/>
      <c r="AN90" s="24"/>
      <c r="AO90" s="11"/>
      <c r="AP90" s="8" t="s">
        <v>596</v>
      </c>
      <c r="AQ90" s="11"/>
      <c r="AR90" s="11"/>
      <c r="BD90" s="24"/>
      <c r="BH90" s="14"/>
      <c r="BI90" s="14"/>
    </row>
    <row r="91" spans="1:61" ht="14.45">
      <c r="A91" s="24"/>
      <c r="B91" s="24"/>
      <c r="K91" s="14"/>
      <c r="L91" s="24"/>
      <c r="R91" s="14"/>
      <c r="S91" s="24"/>
      <c r="Z91" s="24"/>
      <c r="AF91" s="14"/>
      <c r="AN91" s="24"/>
      <c r="AO91" s="11"/>
      <c r="AQ91" s="11"/>
      <c r="AR91" s="11"/>
      <c r="BD91" s="24"/>
      <c r="BH91" s="14"/>
      <c r="BI91" s="14"/>
    </row>
    <row r="92" spans="1:61" ht="14.45">
      <c r="A92" s="24"/>
      <c r="B92" s="24"/>
      <c r="K92" s="14"/>
      <c r="L92" s="24"/>
      <c r="R92" s="14"/>
      <c r="S92" s="24"/>
      <c r="Z92" s="24"/>
      <c r="AF92" s="14"/>
      <c r="AN92" s="24"/>
      <c r="AO92" s="11"/>
      <c r="AQ92" s="11"/>
      <c r="AR92" s="11"/>
      <c r="BD92" s="24"/>
      <c r="BH92" s="14"/>
      <c r="BI92" s="14"/>
    </row>
    <row r="93" spans="1:61" ht="14.45">
      <c r="A93" s="24"/>
      <c r="B93" s="24"/>
      <c r="K93" s="14"/>
      <c r="L93" s="24"/>
      <c r="R93" s="14"/>
      <c r="S93" s="24"/>
      <c r="Z93" s="24"/>
      <c r="AF93" s="14"/>
      <c r="AN93" s="24"/>
      <c r="AO93" s="11"/>
      <c r="AQ93" s="11"/>
      <c r="AR93" s="11"/>
      <c r="BD93" s="24"/>
      <c r="BH93" s="14"/>
      <c r="BI93" s="14"/>
    </row>
    <row r="94" spans="1:61" ht="14.45">
      <c r="A94" s="24"/>
      <c r="B94" s="24"/>
      <c r="K94" s="14"/>
      <c r="L94" s="24"/>
      <c r="R94" s="14"/>
      <c r="S94" s="24"/>
      <c r="Z94" s="24"/>
      <c r="AF94" s="14"/>
      <c r="AN94" s="24"/>
      <c r="AO94" s="11"/>
      <c r="AQ94" s="11"/>
      <c r="AR94" s="11"/>
      <c r="BD94" s="24"/>
      <c r="BH94" s="14"/>
      <c r="BI94" s="14"/>
    </row>
    <row r="95" spans="1:61" ht="14.45">
      <c r="A95" s="24"/>
      <c r="B95" s="24"/>
      <c r="K95" s="14"/>
      <c r="L95" s="24"/>
      <c r="R95" s="14"/>
      <c r="S95" s="24"/>
      <c r="Z95" s="24"/>
      <c r="AF95" s="14"/>
      <c r="AN95" s="24"/>
      <c r="AO95" s="11"/>
      <c r="AQ95" s="11"/>
      <c r="AR95" s="11"/>
      <c r="BD95" s="24"/>
      <c r="BH95" s="14"/>
      <c r="BI95" s="14"/>
    </row>
    <row r="96" spans="1:61">
      <c r="A96" s="24"/>
      <c r="B96" s="24"/>
      <c r="K96" s="14"/>
      <c r="L96" s="24"/>
      <c r="R96" s="14"/>
      <c r="S96" s="24"/>
      <c r="Z96" s="24"/>
      <c r="AF96" s="14"/>
      <c r="AN96" s="24"/>
      <c r="AO96" s="22" t="s">
        <v>597</v>
      </c>
      <c r="AQ96" s="11"/>
      <c r="AR96" s="11"/>
      <c r="BD96" s="24"/>
      <c r="BH96" s="14"/>
      <c r="BI96" s="14"/>
    </row>
    <row r="97" spans="1:61">
      <c r="A97" s="24"/>
      <c r="B97" s="24"/>
      <c r="K97" s="14"/>
      <c r="L97" s="24"/>
      <c r="R97" s="14"/>
      <c r="S97" s="24"/>
      <c r="Z97" s="24"/>
      <c r="AF97" s="14"/>
      <c r="AN97" s="24"/>
      <c r="AO97" s="11"/>
      <c r="AP97" s="8" t="s">
        <v>598</v>
      </c>
      <c r="AQ97" s="11"/>
      <c r="AR97" s="11"/>
      <c r="BD97" s="24"/>
      <c r="BH97" s="14"/>
      <c r="BI97" s="14"/>
    </row>
    <row r="98" spans="1:61" ht="14.45">
      <c r="A98" s="24"/>
      <c r="B98" s="24"/>
      <c r="K98" s="14"/>
      <c r="L98" s="24"/>
      <c r="R98" s="14"/>
      <c r="S98" s="24"/>
      <c r="Z98" s="24"/>
      <c r="AF98" s="14"/>
      <c r="AN98" s="24"/>
      <c r="AO98" s="11"/>
      <c r="AQ98" s="11"/>
      <c r="AR98" s="11"/>
      <c r="BD98" s="24"/>
      <c r="BH98" s="14"/>
      <c r="BI98" s="14"/>
    </row>
    <row r="99" spans="1:61" ht="14.45">
      <c r="A99" s="24"/>
      <c r="B99" s="24"/>
      <c r="K99" s="14"/>
      <c r="L99" s="24"/>
      <c r="R99" s="14"/>
      <c r="S99" s="24"/>
      <c r="Z99" s="24"/>
      <c r="AF99" s="14"/>
      <c r="AN99" s="24"/>
      <c r="AO99" s="11"/>
      <c r="AQ99" s="11"/>
      <c r="AR99" s="11"/>
      <c r="BD99" s="24"/>
      <c r="BH99" s="14"/>
      <c r="BI99" s="14"/>
    </row>
    <row r="100" spans="1:61" ht="14.45">
      <c r="A100" s="24"/>
      <c r="B100" s="24"/>
      <c r="K100" s="14"/>
      <c r="L100" s="24"/>
      <c r="R100" s="14"/>
      <c r="S100" s="24"/>
      <c r="Z100" s="24"/>
      <c r="AF100" s="14"/>
      <c r="AN100" s="24"/>
      <c r="AO100" s="11"/>
      <c r="AQ100" s="11"/>
      <c r="AR100" s="11"/>
      <c r="BD100" s="24"/>
      <c r="BH100" s="14"/>
      <c r="BI100" s="14"/>
    </row>
    <row r="101" spans="1:61" ht="14.45">
      <c r="A101" s="24"/>
      <c r="B101" s="24"/>
      <c r="K101" s="14"/>
      <c r="L101" s="24"/>
      <c r="R101" s="14"/>
      <c r="S101" s="24"/>
      <c r="Z101" s="24"/>
      <c r="AF101" s="14"/>
      <c r="AN101" s="24"/>
      <c r="AO101" s="11"/>
      <c r="AQ101" s="11"/>
      <c r="AR101" s="11"/>
      <c r="BD101" s="24"/>
      <c r="BH101" s="14"/>
      <c r="BI101" s="14"/>
    </row>
    <row r="102" spans="1:61" ht="14.45">
      <c r="A102" s="24"/>
      <c r="B102" s="24"/>
      <c r="K102" s="14"/>
      <c r="L102" s="24"/>
      <c r="R102" s="14"/>
      <c r="S102" s="24"/>
      <c r="Z102" s="24"/>
      <c r="AF102" s="14"/>
      <c r="AN102" s="24"/>
      <c r="AO102" s="11"/>
      <c r="AQ102" s="11"/>
      <c r="AR102" s="11"/>
      <c r="BD102" s="24"/>
      <c r="BH102" s="14"/>
      <c r="BI102" s="14"/>
    </row>
    <row r="103" spans="1:61" ht="14.45">
      <c r="A103" s="24"/>
      <c r="B103" s="24"/>
      <c r="K103" s="14"/>
      <c r="L103" s="24"/>
      <c r="R103" s="14"/>
      <c r="S103" s="24"/>
      <c r="Z103" s="24"/>
      <c r="AF103" s="14"/>
      <c r="AN103" s="24"/>
      <c r="AO103" s="11"/>
      <c r="AQ103" s="11"/>
      <c r="AR103" s="11"/>
      <c r="BD103" s="24"/>
      <c r="BH103" s="14"/>
      <c r="BI103" s="14"/>
    </row>
    <row r="104" spans="1:61" ht="14.45">
      <c r="A104" s="24"/>
      <c r="B104" s="24"/>
      <c r="K104" s="14"/>
      <c r="L104" s="24"/>
      <c r="R104" s="14"/>
      <c r="S104" s="24"/>
      <c r="Z104" s="24"/>
      <c r="AF104" s="14"/>
      <c r="AN104" s="24"/>
      <c r="AO104" s="11"/>
      <c r="AQ104" s="11"/>
      <c r="AR104" s="11"/>
      <c r="BD104" s="24"/>
      <c r="BH104" s="14"/>
      <c r="BI104" s="14"/>
    </row>
    <row r="105" spans="1:61" ht="14.45">
      <c r="A105" s="24"/>
      <c r="B105" s="24"/>
      <c r="K105" s="14"/>
      <c r="L105" s="24"/>
      <c r="R105" s="14"/>
      <c r="S105" s="24"/>
      <c r="Z105" s="24"/>
      <c r="AF105" s="14"/>
      <c r="AN105" s="24"/>
      <c r="AO105" s="11"/>
      <c r="AQ105" s="11"/>
      <c r="AR105" s="11"/>
      <c r="BD105" s="24"/>
      <c r="BH105" s="14"/>
      <c r="BI105" s="14"/>
    </row>
    <row r="106" spans="1:61" s="11" customFormat="1">
      <c r="A106" s="25"/>
      <c r="B106" s="26" t="s">
        <v>599</v>
      </c>
      <c r="C106" s="31"/>
      <c r="D106" s="31"/>
      <c r="E106" s="31"/>
      <c r="F106" s="23"/>
      <c r="G106" s="23"/>
      <c r="H106" s="23"/>
      <c r="I106" s="23"/>
      <c r="J106" s="23"/>
      <c r="K106" s="23"/>
      <c r="L106" s="23"/>
      <c r="M106" s="23"/>
      <c r="N106" s="23"/>
      <c r="O106" s="23"/>
      <c r="P106" s="23"/>
      <c r="Q106" s="23"/>
      <c r="R106" s="23"/>
      <c r="S106" s="23"/>
      <c r="T106" s="23"/>
      <c r="U106" s="23"/>
      <c r="V106" s="23"/>
      <c r="W106" s="23"/>
      <c r="X106" s="23"/>
      <c r="Y106" s="23"/>
      <c r="Z106" s="30"/>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13"/>
    </row>
    <row r="107" spans="1:61" s="11" customFormat="1" ht="14.45">
      <c r="A107" s="25"/>
      <c r="B107" s="24"/>
      <c r="C107" s="8"/>
      <c r="D107" s="8"/>
      <c r="E107" s="8"/>
      <c r="F107" s="8"/>
      <c r="G107" s="8"/>
      <c r="H107" s="8"/>
      <c r="I107" s="8"/>
      <c r="J107" s="8"/>
      <c r="K107" s="14"/>
      <c r="L107" s="24"/>
      <c r="M107" s="8"/>
      <c r="N107" s="8"/>
      <c r="O107" s="8"/>
      <c r="P107" s="8"/>
      <c r="Q107" s="8"/>
      <c r="R107" s="14"/>
      <c r="S107" s="24"/>
      <c r="T107" s="8"/>
      <c r="U107" s="8"/>
      <c r="V107" s="8"/>
      <c r="W107" s="8"/>
      <c r="X107" s="8"/>
      <c r="Y107" s="8"/>
      <c r="Z107" s="24"/>
      <c r="AA107" s="8"/>
      <c r="AB107" s="8"/>
      <c r="AC107" s="8"/>
      <c r="AD107" s="8"/>
      <c r="AE107" s="8"/>
      <c r="AF107" s="14"/>
      <c r="AG107" s="8"/>
      <c r="AH107" s="8"/>
      <c r="AI107" s="8"/>
      <c r="AJ107" s="8"/>
      <c r="AK107" s="8"/>
      <c r="AL107" s="8"/>
      <c r="AM107" s="8"/>
      <c r="AN107" s="24"/>
      <c r="AO107" s="8"/>
      <c r="AP107" s="8"/>
      <c r="AQ107" s="8"/>
      <c r="AR107" s="8"/>
      <c r="AS107" s="8"/>
      <c r="AT107" s="8"/>
      <c r="AU107" s="8"/>
      <c r="AV107" s="8"/>
      <c r="AW107" s="8"/>
      <c r="AX107" s="8"/>
      <c r="AY107" s="8"/>
      <c r="AZ107" s="8"/>
      <c r="BA107" s="8"/>
      <c r="BB107" s="8"/>
      <c r="BC107" s="8"/>
      <c r="BD107" s="24"/>
      <c r="BE107" s="8"/>
      <c r="BF107" s="8"/>
      <c r="BG107" s="8"/>
      <c r="BH107" s="14"/>
      <c r="BI107" s="13"/>
    </row>
    <row r="108" spans="1:61" ht="14.45">
      <c r="A108" s="24"/>
      <c r="B108" s="24"/>
      <c r="K108" s="14"/>
      <c r="L108" s="24"/>
      <c r="R108" s="14"/>
      <c r="S108" s="24"/>
      <c r="Z108" s="24"/>
      <c r="AF108" s="14"/>
      <c r="AN108" s="24"/>
      <c r="BD108" s="24"/>
      <c r="BH108" s="14"/>
      <c r="BI108" s="14"/>
    </row>
    <row r="109" spans="1:61" ht="14.45">
      <c r="A109" s="24"/>
      <c r="B109" s="24"/>
      <c r="K109" s="14"/>
      <c r="L109" s="24"/>
      <c r="R109" s="14"/>
      <c r="S109" s="24"/>
      <c r="Z109" s="24"/>
      <c r="AF109" s="14"/>
      <c r="AN109" s="24"/>
      <c r="BD109" s="24"/>
      <c r="BH109" s="14"/>
      <c r="BI109" s="14"/>
    </row>
    <row r="110" spans="1:61" ht="14.45">
      <c r="A110" s="24"/>
      <c r="B110" s="24"/>
      <c r="K110" s="14"/>
      <c r="L110" s="24"/>
      <c r="R110" s="14"/>
      <c r="S110" s="24"/>
      <c r="Z110" s="24"/>
      <c r="AF110" s="14"/>
      <c r="AN110" s="24"/>
      <c r="BD110" s="24"/>
      <c r="BH110" s="14"/>
      <c r="BI110" s="14"/>
    </row>
    <row r="111" spans="1:61" ht="14.45">
      <c r="A111" s="24"/>
      <c r="B111" s="24"/>
      <c r="K111" s="14"/>
      <c r="L111" s="24"/>
      <c r="R111" s="14"/>
      <c r="S111" s="24"/>
      <c r="Z111" s="24"/>
      <c r="AF111" s="14"/>
      <c r="AN111" s="24"/>
      <c r="BD111" s="24"/>
      <c r="BH111" s="14"/>
      <c r="BI111" s="14"/>
    </row>
    <row r="112" spans="1:61" ht="14.45">
      <c r="A112" s="24"/>
      <c r="B112" s="24"/>
      <c r="K112" s="14"/>
      <c r="L112" s="24"/>
      <c r="R112" s="14"/>
      <c r="S112" s="24"/>
      <c r="Z112" s="24"/>
      <c r="AF112" s="14"/>
      <c r="AN112" s="24"/>
      <c r="AR112" s="11"/>
      <c r="BD112" s="24"/>
      <c r="BH112" s="14"/>
      <c r="BI112" s="14"/>
    </row>
    <row r="113" spans="1:61">
      <c r="A113" s="24"/>
      <c r="B113" s="24"/>
      <c r="K113" s="14"/>
      <c r="L113" s="24"/>
      <c r="R113" s="14"/>
      <c r="S113" s="24"/>
      <c r="Z113" s="24"/>
      <c r="AF113" s="14"/>
      <c r="AN113" s="24"/>
      <c r="AO113" s="16" t="s">
        <v>593</v>
      </c>
      <c r="BD113" s="24"/>
      <c r="BH113" s="14"/>
      <c r="BI113" s="14"/>
    </row>
    <row r="114" spans="1:61">
      <c r="A114" s="24"/>
      <c r="B114" s="24"/>
      <c r="K114" s="14"/>
      <c r="L114" s="24"/>
      <c r="R114" s="14"/>
      <c r="S114" s="24"/>
      <c r="Z114" s="24"/>
      <c r="AF114" s="14"/>
      <c r="AN114" s="24"/>
      <c r="AP114" s="8" t="s">
        <v>594</v>
      </c>
      <c r="BD114" s="24"/>
      <c r="BH114" s="14"/>
      <c r="BI114" s="14"/>
    </row>
    <row r="115" spans="1:61" ht="14.45">
      <c r="A115" s="24"/>
      <c r="B115" s="24"/>
      <c r="K115" s="14"/>
      <c r="L115" s="24"/>
      <c r="R115" s="14"/>
      <c r="S115" s="24"/>
      <c r="Z115" s="24"/>
      <c r="AF115" s="14"/>
      <c r="AN115" s="24"/>
      <c r="BD115" s="24"/>
      <c r="BH115" s="14"/>
      <c r="BI115" s="14"/>
    </row>
    <row r="116" spans="1:61" ht="14.45">
      <c r="A116" s="24"/>
      <c r="B116" s="24"/>
      <c r="K116" s="14"/>
      <c r="L116" s="24"/>
      <c r="R116" s="14"/>
      <c r="S116" s="24"/>
      <c r="Z116" s="24"/>
      <c r="AF116" s="14"/>
      <c r="AN116" s="24"/>
      <c r="AO116" s="11"/>
      <c r="AP116" s="11"/>
      <c r="AQ116" s="11"/>
      <c r="AR116" s="11"/>
      <c r="BD116" s="24"/>
      <c r="BH116" s="14"/>
      <c r="BI116" s="14"/>
    </row>
    <row r="117" spans="1:61" ht="14.45">
      <c r="A117" s="24"/>
      <c r="B117" s="24"/>
      <c r="K117" s="14"/>
      <c r="L117" s="24"/>
      <c r="R117" s="14"/>
      <c r="S117" s="24"/>
      <c r="Z117" s="24"/>
      <c r="AF117" s="14"/>
      <c r="AN117" s="24"/>
      <c r="BD117" s="24"/>
      <c r="BH117" s="14"/>
      <c r="BI117" s="14"/>
    </row>
    <row r="118" spans="1:61">
      <c r="A118" s="24"/>
      <c r="B118" s="24"/>
      <c r="K118" s="14"/>
      <c r="L118" s="24"/>
      <c r="R118" s="14"/>
      <c r="S118" s="24"/>
      <c r="Z118" s="24"/>
      <c r="AF118" s="14"/>
      <c r="AN118" s="24"/>
      <c r="AO118" s="22" t="s">
        <v>271</v>
      </c>
      <c r="AP118" s="11"/>
      <c r="AQ118" s="11"/>
      <c r="AR118" s="11"/>
      <c r="BD118" s="24"/>
      <c r="BH118" s="14"/>
      <c r="BI118" s="14"/>
    </row>
    <row r="119" spans="1:61">
      <c r="A119" s="24"/>
      <c r="B119" s="24"/>
      <c r="K119" s="14"/>
      <c r="L119" s="24"/>
      <c r="R119" s="14"/>
      <c r="S119" s="24"/>
      <c r="Z119" s="24"/>
      <c r="AF119" s="14"/>
      <c r="AN119" s="24"/>
      <c r="AO119" s="11"/>
      <c r="AP119" s="8" t="s">
        <v>600</v>
      </c>
      <c r="AQ119" s="11"/>
      <c r="AR119" s="11"/>
      <c r="BD119" s="24"/>
      <c r="BH119" s="14"/>
      <c r="BI119" s="14"/>
    </row>
    <row r="120" spans="1:61" ht="14.45">
      <c r="A120" s="24"/>
      <c r="B120" s="24"/>
      <c r="K120" s="14"/>
      <c r="L120" s="24"/>
      <c r="R120" s="14"/>
      <c r="S120" s="24"/>
      <c r="Z120" s="24"/>
      <c r="AF120" s="14"/>
      <c r="AN120" s="24"/>
      <c r="AO120" s="11"/>
      <c r="AQ120" s="11"/>
      <c r="AR120" s="11"/>
      <c r="BD120" s="24"/>
      <c r="BH120" s="14"/>
      <c r="BI120" s="14"/>
    </row>
    <row r="121" spans="1:61" ht="14.45">
      <c r="A121" s="24"/>
      <c r="B121" s="24"/>
      <c r="K121" s="14"/>
      <c r="L121" s="24"/>
      <c r="R121" s="14"/>
      <c r="S121" s="24"/>
      <c r="Z121" s="24"/>
      <c r="AF121" s="14"/>
      <c r="AN121" s="24"/>
      <c r="AO121" s="11"/>
      <c r="AQ121" s="11"/>
      <c r="AR121" s="11"/>
      <c r="BD121" s="24"/>
      <c r="BH121" s="14"/>
      <c r="BI121" s="14"/>
    </row>
    <row r="122" spans="1:61" ht="14.45">
      <c r="A122" s="24"/>
      <c r="B122" s="24"/>
      <c r="K122" s="14"/>
      <c r="L122" s="24"/>
      <c r="R122" s="14"/>
      <c r="S122" s="24"/>
      <c r="Z122" s="24"/>
      <c r="AF122" s="14"/>
      <c r="AN122" s="24"/>
      <c r="AO122" s="11"/>
      <c r="AQ122" s="11"/>
      <c r="AR122" s="11"/>
      <c r="BD122" s="24"/>
      <c r="BH122" s="14"/>
      <c r="BI122" s="14"/>
    </row>
    <row r="123" spans="1:61" ht="14.45">
      <c r="A123" s="24"/>
      <c r="B123" s="24"/>
      <c r="K123" s="14"/>
      <c r="L123" s="24"/>
      <c r="R123" s="14"/>
      <c r="S123" s="24"/>
      <c r="Z123" s="24"/>
      <c r="AF123" s="14"/>
      <c r="AN123" s="24"/>
      <c r="AO123" s="11"/>
      <c r="AQ123" s="11"/>
      <c r="AR123" s="11"/>
      <c r="BD123" s="24"/>
      <c r="BH123" s="14"/>
      <c r="BI123" s="14"/>
    </row>
    <row r="124" spans="1:61" ht="14.45">
      <c r="A124" s="24"/>
      <c r="B124" s="24"/>
      <c r="K124" s="14"/>
      <c r="L124" s="24"/>
      <c r="R124" s="14"/>
      <c r="S124" s="24"/>
      <c r="Z124" s="24"/>
      <c r="AF124" s="14"/>
      <c r="AN124" s="24"/>
      <c r="AO124" s="11"/>
      <c r="AQ124" s="11"/>
      <c r="AR124" s="11"/>
      <c r="BD124" s="24"/>
      <c r="BH124" s="14"/>
      <c r="BI124" s="14"/>
    </row>
    <row r="125" spans="1:61" ht="14.45">
      <c r="A125" s="24"/>
      <c r="B125" s="24"/>
      <c r="K125" s="14"/>
      <c r="L125" s="24"/>
      <c r="R125" s="14"/>
      <c r="S125" s="24"/>
      <c r="Z125" s="24"/>
      <c r="AF125" s="14"/>
      <c r="AN125" s="24"/>
      <c r="AO125" s="11"/>
      <c r="AQ125" s="11"/>
      <c r="AR125" s="11"/>
      <c r="BD125" s="24"/>
      <c r="BH125" s="14"/>
      <c r="BI125" s="14"/>
    </row>
    <row r="126" spans="1:61" s="11" customFormat="1">
      <c r="A126" s="25"/>
      <c r="B126" s="26" t="s">
        <v>601</v>
      </c>
      <c r="C126" s="31"/>
      <c r="D126" s="31"/>
      <c r="E126" s="31"/>
      <c r="F126" s="23"/>
      <c r="G126" s="23"/>
      <c r="H126" s="23"/>
      <c r="I126" s="23"/>
      <c r="J126" s="23"/>
      <c r="K126" s="23"/>
      <c r="L126" s="23"/>
      <c r="M126" s="23"/>
      <c r="N126" s="23"/>
      <c r="O126" s="23"/>
      <c r="P126" s="23"/>
      <c r="Q126" s="23"/>
      <c r="R126" s="23"/>
      <c r="S126" s="23"/>
      <c r="T126" s="23"/>
      <c r="U126" s="23"/>
      <c r="V126" s="23"/>
      <c r="W126" s="23"/>
      <c r="X126" s="23"/>
      <c r="Y126" s="23"/>
      <c r="Z126" s="30"/>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13"/>
    </row>
    <row r="127" spans="1:61" s="11" customFormat="1" ht="14.45">
      <c r="A127" s="25"/>
      <c r="B127" s="29"/>
      <c r="K127" s="13"/>
      <c r="L127" s="29"/>
      <c r="R127" s="13"/>
      <c r="S127" s="29"/>
      <c r="Z127" s="29"/>
      <c r="AF127" s="13"/>
      <c r="AN127" s="29"/>
      <c r="BD127" s="29"/>
      <c r="BH127" s="13"/>
      <c r="BI127" s="13"/>
    </row>
    <row r="128" spans="1:61" s="11" customFormat="1">
      <c r="A128" s="25"/>
      <c r="B128" s="29"/>
      <c r="K128" s="13"/>
      <c r="L128" s="29"/>
      <c r="R128" s="13"/>
      <c r="S128" s="29"/>
      <c r="Z128" s="29"/>
      <c r="AF128" s="13"/>
      <c r="AN128" s="29"/>
      <c r="AO128" s="50" t="s">
        <v>602</v>
      </c>
      <c r="BD128" s="29"/>
      <c r="BH128" s="13"/>
      <c r="BI128" s="13"/>
    </row>
    <row r="129" spans="1:61" ht="14.45">
      <c r="A129" s="24"/>
      <c r="B129" s="29"/>
      <c r="C129" s="11"/>
      <c r="D129" s="11"/>
      <c r="E129" s="11"/>
      <c r="F129" s="11"/>
      <c r="G129" s="11"/>
      <c r="H129" s="11"/>
      <c r="I129" s="11"/>
      <c r="J129" s="11"/>
      <c r="K129" s="13"/>
      <c r="L129" s="29"/>
      <c r="M129" s="11"/>
      <c r="N129" s="11"/>
      <c r="O129" s="11"/>
      <c r="P129" s="11"/>
      <c r="Q129" s="11"/>
      <c r="R129" s="13"/>
      <c r="S129" s="29"/>
      <c r="T129" s="11"/>
      <c r="U129" s="11"/>
      <c r="V129" s="11"/>
      <c r="W129" s="11"/>
      <c r="X129" s="11"/>
      <c r="Y129" s="11"/>
      <c r="Z129" s="29"/>
      <c r="AA129" s="11"/>
      <c r="AB129" s="11"/>
      <c r="AC129" s="11"/>
      <c r="AD129" s="11"/>
      <c r="AE129" s="11"/>
      <c r="AF129" s="13"/>
      <c r="AG129" s="11"/>
      <c r="AH129" s="11"/>
      <c r="AI129" s="11"/>
      <c r="AJ129" s="11"/>
      <c r="AK129" s="11"/>
      <c r="AL129" s="11"/>
      <c r="AM129" s="11"/>
      <c r="AN129" s="29"/>
      <c r="AO129" s="11"/>
      <c r="AP129" s="11"/>
      <c r="AQ129" s="11"/>
      <c r="AR129" s="11"/>
      <c r="AS129" s="11"/>
      <c r="AT129" s="11"/>
      <c r="AU129" s="11"/>
      <c r="AV129" s="11"/>
      <c r="AW129" s="11"/>
      <c r="AX129" s="11"/>
      <c r="AY129" s="11"/>
      <c r="AZ129" s="11"/>
      <c r="BA129" s="11"/>
      <c r="BB129" s="11"/>
      <c r="BC129" s="11"/>
      <c r="BD129" s="29"/>
      <c r="BE129" s="11"/>
      <c r="BF129" s="11"/>
      <c r="BG129" s="11"/>
      <c r="BH129" s="13"/>
      <c r="BI129" s="14"/>
    </row>
    <row r="130" spans="1:61" s="11" customFormat="1">
      <c r="A130" s="25"/>
      <c r="B130" s="26" t="s">
        <v>603</v>
      </c>
      <c r="C130" s="31"/>
      <c r="D130" s="31"/>
      <c r="E130" s="31"/>
      <c r="F130" s="23"/>
      <c r="G130" s="23"/>
      <c r="H130" s="23"/>
      <c r="I130" s="23"/>
      <c r="J130" s="23"/>
      <c r="K130" s="23"/>
      <c r="L130" s="23"/>
      <c r="M130" s="23"/>
      <c r="N130" s="23"/>
      <c r="O130" s="23"/>
      <c r="P130" s="23"/>
      <c r="Q130" s="23"/>
      <c r="R130" s="23"/>
      <c r="S130" s="23"/>
      <c r="T130" s="23"/>
      <c r="U130" s="23"/>
      <c r="V130" s="23"/>
      <c r="W130" s="23"/>
      <c r="X130" s="23"/>
      <c r="Y130" s="23"/>
      <c r="Z130" s="30"/>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13"/>
    </row>
    <row r="131" spans="1:61" s="11" customFormat="1" ht="14.45">
      <c r="A131" s="25"/>
      <c r="B131" s="24"/>
      <c r="C131" s="8"/>
      <c r="D131" s="8"/>
      <c r="E131" s="8"/>
      <c r="F131" s="8"/>
      <c r="G131" s="8"/>
      <c r="H131" s="8"/>
      <c r="I131" s="8"/>
      <c r="J131" s="8"/>
      <c r="K131" s="14"/>
      <c r="L131" s="24"/>
      <c r="M131" s="8"/>
      <c r="N131" s="8"/>
      <c r="O131" s="8"/>
      <c r="P131" s="8"/>
      <c r="Q131" s="8"/>
      <c r="R131" s="14"/>
      <c r="S131" s="24"/>
      <c r="T131" s="8"/>
      <c r="U131" s="8"/>
      <c r="V131" s="8"/>
      <c r="W131" s="8"/>
      <c r="X131" s="8"/>
      <c r="Y131" s="8"/>
      <c r="Z131" s="24"/>
      <c r="AA131" s="8"/>
      <c r="AB131" s="8"/>
      <c r="AC131" s="8"/>
      <c r="AD131" s="8"/>
      <c r="AE131" s="8"/>
      <c r="AF131" s="14"/>
      <c r="AG131" s="8"/>
      <c r="AH131" s="8"/>
      <c r="AI131" s="8"/>
      <c r="AJ131" s="8"/>
      <c r="AK131" s="8"/>
      <c r="AL131" s="8"/>
      <c r="AM131" s="8"/>
      <c r="AN131" s="24"/>
      <c r="AO131" s="8"/>
      <c r="AP131" s="8"/>
      <c r="AQ131" s="8"/>
      <c r="AR131" s="8"/>
      <c r="AS131" s="8"/>
      <c r="AT131" s="8"/>
      <c r="AU131" s="8"/>
      <c r="AV131" s="8"/>
      <c r="AW131" s="8"/>
      <c r="AX131" s="8"/>
      <c r="AY131" s="8"/>
      <c r="AZ131" s="8"/>
      <c r="BA131" s="8"/>
      <c r="BB131" s="8"/>
      <c r="BC131" s="8"/>
      <c r="BD131" s="24"/>
      <c r="BE131" s="8"/>
      <c r="BF131" s="8"/>
      <c r="BG131" s="8"/>
      <c r="BH131" s="14"/>
      <c r="BI131" s="13"/>
    </row>
    <row r="132" spans="1:61" ht="14.45">
      <c r="A132" s="24"/>
      <c r="B132" s="24"/>
      <c r="K132" s="14"/>
      <c r="L132" s="24"/>
      <c r="R132" s="14"/>
      <c r="S132" s="24"/>
      <c r="Z132" s="24"/>
      <c r="AF132" s="14"/>
      <c r="AN132" s="24"/>
      <c r="BD132" s="24"/>
      <c r="BH132" s="14"/>
      <c r="BI132" s="14"/>
    </row>
    <row r="133" spans="1:61" ht="14.45">
      <c r="A133" s="24"/>
      <c r="B133" s="24"/>
      <c r="K133" s="14"/>
      <c r="L133" s="24"/>
      <c r="R133" s="14"/>
      <c r="S133" s="24"/>
      <c r="Z133" s="24"/>
      <c r="AF133" s="14"/>
      <c r="AN133" s="24"/>
      <c r="BD133" s="24"/>
      <c r="BH133" s="14"/>
      <c r="BI133" s="14"/>
    </row>
    <row r="134" spans="1:61" ht="14.45">
      <c r="A134" s="24"/>
      <c r="B134" s="24"/>
      <c r="K134" s="14"/>
      <c r="L134" s="24"/>
      <c r="R134" s="14"/>
      <c r="S134" s="24"/>
      <c r="Z134" s="24"/>
      <c r="AF134" s="14"/>
      <c r="AN134" s="24"/>
      <c r="BD134" s="24"/>
      <c r="BH134" s="14"/>
      <c r="BI134" s="14"/>
    </row>
    <row r="135" spans="1:61" ht="14.45">
      <c r="A135" s="24"/>
      <c r="B135" s="24"/>
      <c r="K135" s="14"/>
      <c r="L135" s="24"/>
      <c r="R135" s="14"/>
      <c r="S135" s="24"/>
      <c r="Z135" s="24"/>
      <c r="AF135" s="14"/>
      <c r="AN135" s="24"/>
      <c r="BD135" s="24"/>
      <c r="BH135" s="14"/>
      <c r="BI135" s="14"/>
    </row>
    <row r="136" spans="1:61" ht="14.45">
      <c r="A136" s="24"/>
      <c r="B136" s="24"/>
      <c r="K136" s="14"/>
      <c r="L136" s="24"/>
      <c r="R136" s="14"/>
      <c r="S136" s="24"/>
      <c r="Z136" s="24"/>
      <c r="AF136" s="14"/>
      <c r="AN136" s="24"/>
      <c r="AR136" s="11"/>
      <c r="BD136" s="24"/>
      <c r="BH136" s="14"/>
      <c r="BI136" s="14"/>
    </row>
    <row r="137" spans="1:61">
      <c r="A137" s="24"/>
      <c r="B137" s="24"/>
      <c r="K137" s="14"/>
      <c r="L137" s="24"/>
      <c r="R137" s="14"/>
      <c r="S137" s="24"/>
      <c r="Z137" s="24"/>
      <c r="AF137" s="14"/>
      <c r="AN137" s="24"/>
      <c r="AO137" s="16" t="s">
        <v>593</v>
      </c>
      <c r="BD137" s="24"/>
      <c r="BH137" s="14"/>
      <c r="BI137" s="14"/>
    </row>
    <row r="138" spans="1:61">
      <c r="A138" s="24"/>
      <c r="B138" s="24"/>
      <c r="K138" s="14"/>
      <c r="L138" s="24"/>
      <c r="R138" s="14"/>
      <c r="S138" s="24"/>
      <c r="Z138" s="24"/>
      <c r="AF138" s="14"/>
      <c r="AN138" s="24"/>
      <c r="AP138" s="8" t="s">
        <v>594</v>
      </c>
      <c r="BD138" s="24"/>
      <c r="BH138" s="14"/>
      <c r="BI138" s="14"/>
    </row>
    <row r="139" spans="1:61" ht="14.45">
      <c r="A139" s="24"/>
      <c r="B139" s="24"/>
      <c r="K139" s="14"/>
      <c r="L139" s="24"/>
      <c r="R139" s="14"/>
      <c r="S139" s="24"/>
      <c r="Z139" s="24"/>
      <c r="AF139" s="14"/>
      <c r="AN139" s="24"/>
      <c r="AR139" s="11"/>
      <c r="BD139" s="24"/>
      <c r="BH139" s="14"/>
      <c r="BI139" s="14"/>
    </row>
    <row r="140" spans="1:61" ht="14.45">
      <c r="A140" s="24"/>
      <c r="B140" s="24"/>
      <c r="K140" s="14"/>
      <c r="L140" s="24"/>
      <c r="R140" s="14"/>
      <c r="S140" s="24"/>
      <c r="Z140" s="24"/>
      <c r="AF140" s="14"/>
      <c r="AN140" s="24"/>
      <c r="AO140" s="11"/>
      <c r="AP140" s="11"/>
      <c r="AQ140" s="11"/>
      <c r="AR140" s="11"/>
      <c r="BD140" s="24"/>
      <c r="BH140" s="14"/>
      <c r="BI140" s="14"/>
    </row>
    <row r="141" spans="1:61" ht="14.45">
      <c r="A141" s="24"/>
      <c r="B141" s="24"/>
      <c r="K141" s="14"/>
      <c r="L141" s="24"/>
      <c r="R141" s="14"/>
      <c r="S141" s="24"/>
      <c r="Z141" s="24"/>
      <c r="AF141" s="14"/>
      <c r="AN141" s="24"/>
      <c r="AO141" s="11"/>
      <c r="AP141" s="11"/>
      <c r="AQ141" s="11"/>
      <c r="AR141" s="11"/>
      <c r="BD141" s="24"/>
      <c r="BH141" s="14"/>
      <c r="BI141" s="14"/>
    </row>
    <row r="142" spans="1:61" ht="14.45">
      <c r="A142" s="24"/>
      <c r="B142" s="24"/>
      <c r="K142" s="14"/>
      <c r="L142" s="24"/>
      <c r="R142" s="14"/>
      <c r="S142" s="24"/>
      <c r="Z142" s="24"/>
      <c r="AF142" s="14"/>
      <c r="AN142" s="24"/>
      <c r="BD142" s="24"/>
      <c r="BH142" s="14"/>
      <c r="BI142" s="14"/>
    </row>
    <row r="143" spans="1:61">
      <c r="A143" s="24"/>
      <c r="B143" s="24"/>
      <c r="K143" s="14"/>
      <c r="L143" s="24"/>
      <c r="R143" s="14"/>
      <c r="S143" s="24"/>
      <c r="Z143" s="24"/>
      <c r="AF143" s="14"/>
      <c r="AN143" s="24"/>
      <c r="AO143" s="22" t="s">
        <v>271</v>
      </c>
      <c r="AP143" s="11"/>
      <c r="AQ143" s="11"/>
      <c r="AR143" s="11"/>
      <c r="BD143" s="24"/>
      <c r="BH143" s="14"/>
      <c r="BI143" s="14"/>
    </row>
    <row r="144" spans="1:61">
      <c r="A144" s="24"/>
      <c r="B144" s="24"/>
      <c r="K144" s="14"/>
      <c r="L144" s="24"/>
      <c r="R144" s="14"/>
      <c r="S144" s="24"/>
      <c r="Z144" s="24"/>
      <c r="AF144" s="14"/>
      <c r="AN144" s="24"/>
      <c r="AO144" s="11"/>
      <c r="AP144" s="8" t="s">
        <v>604</v>
      </c>
      <c r="AQ144" s="11"/>
      <c r="AR144" s="11"/>
      <c r="BD144" s="24"/>
      <c r="BH144" s="14"/>
      <c r="BI144" s="14"/>
    </row>
    <row r="145" spans="1:61" ht="14.45">
      <c r="A145" s="24"/>
      <c r="B145" s="24"/>
      <c r="K145" s="14"/>
      <c r="L145" s="24"/>
      <c r="R145" s="14"/>
      <c r="S145" s="24"/>
      <c r="Z145" s="24"/>
      <c r="AF145" s="14"/>
      <c r="AN145" s="24"/>
      <c r="AO145" s="11"/>
      <c r="AQ145" s="11"/>
      <c r="AR145" s="11"/>
      <c r="BD145" s="24"/>
      <c r="BH145" s="14"/>
      <c r="BI145" s="14"/>
    </row>
    <row r="146" spans="1:61">
      <c r="A146" s="24"/>
      <c r="B146" s="24"/>
      <c r="K146" s="14"/>
      <c r="L146" s="24"/>
      <c r="R146" s="14"/>
      <c r="S146" s="24"/>
      <c r="Z146" s="24"/>
      <c r="AF146" s="14"/>
      <c r="AN146" s="24"/>
      <c r="AO146" s="50" t="s">
        <v>605</v>
      </c>
      <c r="AQ146" s="11"/>
      <c r="AR146" s="11"/>
      <c r="BD146" s="24"/>
      <c r="BH146" s="14"/>
      <c r="BI146" s="14"/>
    </row>
    <row r="147" spans="1:61">
      <c r="A147" s="24"/>
      <c r="B147" s="24"/>
      <c r="K147" s="14"/>
      <c r="L147" s="24"/>
      <c r="R147" s="14"/>
      <c r="S147" s="24"/>
      <c r="Z147" s="24"/>
      <c r="AF147" s="14"/>
      <c r="AN147" s="24"/>
      <c r="AO147" s="50" t="s">
        <v>606</v>
      </c>
      <c r="AQ147" s="11"/>
      <c r="AR147" s="11"/>
      <c r="BD147" s="24"/>
      <c r="BH147" s="14"/>
      <c r="BI147" s="14"/>
    </row>
    <row r="148" spans="1:61" ht="14.45">
      <c r="A148" s="24"/>
      <c r="B148" s="24"/>
      <c r="K148" s="14"/>
      <c r="L148" s="24"/>
      <c r="R148" s="14"/>
      <c r="S148" s="24"/>
      <c r="Z148" s="24"/>
      <c r="AF148" s="14"/>
      <c r="AN148" s="24"/>
      <c r="AO148" s="11"/>
      <c r="AQ148" s="11"/>
      <c r="AR148" s="11"/>
      <c r="BD148" s="24"/>
      <c r="BH148" s="14"/>
      <c r="BI148" s="14"/>
    </row>
    <row r="149" spans="1:61" ht="14.45">
      <c r="A149" s="24"/>
      <c r="B149" s="24"/>
      <c r="K149" s="14"/>
      <c r="L149" s="24"/>
      <c r="R149" s="14"/>
      <c r="S149" s="24"/>
      <c r="Z149" s="24"/>
      <c r="AF149" s="14"/>
      <c r="AN149" s="24"/>
      <c r="AO149" s="11"/>
      <c r="AQ149" s="11"/>
      <c r="AR149" s="11"/>
      <c r="BD149" s="24"/>
      <c r="BH149" s="14"/>
      <c r="BI149" s="14"/>
    </row>
    <row r="150" spans="1:61" ht="14.45">
      <c r="A150" s="24"/>
      <c r="B150" s="24"/>
      <c r="K150" s="14"/>
      <c r="L150" s="24"/>
      <c r="R150" s="14"/>
      <c r="S150" s="24"/>
      <c r="Z150" s="24"/>
      <c r="AF150" s="14"/>
      <c r="AN150" s="24"/>
      <c r="AO150" s="11"/>
      <c r="AQ150" s="11"/>
      <c r="AR150" s="11"/>
      <c r="BD150" s="24"/>
      <c r="BH150" s="14"/>
      <c r="BI150" s="14"/>
    </row>
    <row r="151" spans="1:61" s="11" customFormat="1">
      <c r="A151" s="25"/>
      <c r="B151" s="26" t="s">
        <v>607</v>
      </c>
      <c r="C151" s="31"/>
      <c r="D151" s="31"/>
      <c r="E151" s="31"/>
      <c r="F151" s="23"/>
      <c r="G151" s="23"/>
      <c r="H151" s="23"/>
      <c r="I151" s="23"/>
      <c r="J151" s="23"/>
      <c r="K151" s="23"/>
      <c r="L151" s="23"/>
      <c r="M151" s="23"/>
      <c r="N151" s="23"/>
      <c r="O151" s="23"/>
      <c r="P151" s="23"/>
      <c r="Q151" s="23"/>
      <c r="R151" s="23"/>
      <c r="S151" s="23"/>
      <c r="T151" s="23"/>
      <c r="U151" s="23"/>
      <c r="V151" s="23"/>
      <c r="W151" s="23"/>
      <c r="X151" s="23"/>
      <c r="Y151" s="23"/>
      <c r="Z151" s="30"/>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13"/>
    </row>
    <row r="152" spans="1:61" s="11" customFormat="1" ht="14.45">
      <c r="A152" s="25"/>
      <c r="B152" s="24"/>
      <c r="C152" s="8"/>
      <c r="D152" s="8"/>
      <c r="E152" s="8"/>
      <c r="F152" s="8"/>
      <c r="G152" s="8"/>
      <c r="H152" s="8"/>
      <c r="I152" s="8"/>
      <c r="J152" s="8"/>
      <c r="K152" s="14"/>
      <c r="L152" s="24"/>
      <c r="M152" s="8"/>
      <c r="N152" s="8"/>
      <c r="O152" s="8"/>
      <c r="P152" s="8"/>
      <c r="Q152" s="8"/>
      <c r="R152" s="14"/>
      <c r="S152" s="24"/>
      <c r="T152" s="8"/>
      <c r="U152" s="8"/>
      <c r="V152" s="8"/>
      <c r="W152" s="8"/>
      <c r="X152" s="8"/>
      <c r="Y152" s="8"/>
      <c r="Z152" s="24"/>
      <c r="AA152" s="8"/>
      <c r="AB152" s="8"/>
      <c r="AC152" s="8"/>
      <c r="AD152" s="8"/>
      <c r="AE152" s="8"/>
      <c r="AF152" s="14"/>
      <c r="AG152" s="8"/>
      <c r="AH152" s="8"/>
      <c r="AI152" s="8"/>
      <c r="AJ152" s="8"/>
      <c r="AK152" s="8"/>
      <c r="AL152" s="8"/>
      <c r="AM152" s="8"/>
      <c r="AN152" s="24"/>
      <c r="AO152" s="8"/>
      <c r="AP152" s="8"/>
      <c r="AQ152" s="8"/>
      <c r="AR152" s="8"/>
      <c r="AS152" s="8"/>
      <c r="AT152" s="8"/>
      <c r="AU152" s="8"/>
      <c r="AV152" s="8"/>
      <c r="AW152" s="8"/>
      <c r="AX152" s="8"/>
      <c r="AY152" s="8"/>
      <c r="AZ152" s="8"/>
      <c r="BA152" s="8"/>
      <c r="BB152" s="8"/>
      <c r="BC152" s="8"/>
      <c r="BD152" s="24"/>
      <c r="BE152" s="8"/>
      <c r="BF152" s="8"/>
      <c r="BG152" s="8"/>
      <c r="BH152" s="14"/>
      <c r="BI152" s="13"/>
    </row>
    <row r="153" spans="1:61">
      <c r="A153" s="24"/>
      <c r="B153" s="24"/>
      <c r="K153" s="14"/>
      <c r="L153" s="24"/>
      <c r="R153" s="14"/>
      <c r="S153" s="24"/>
      <c r="Z153" s="24"/>
      <c r="AF153" s="14"/>
      <c r="AN153" s="24"/>
      <c r="AO153" s="50" t="s">
        <v>608</v>
      </c>
      <c r="AR153" s="11"/>
      <c r="BD153" s="24"/>
      <c r="BH153" s="14"/>
      <c r="BI153" s="14"/>
    </row>
    <row r="154" spans="1:61" ht="14.45">
      <c r="A154" s="24"/>
      <c r="B154" s="24"/>
      <c r="K154" s="14"/>
      <c r="L154" s="24"/>
      <c r="R154" s="14"/>
      <c r="S154" s="24"/>
      <c r="Z154" s="24"/>
      <c r="AF154" s="14"/>
      <c r="AN154" s="24"/>
      <c r="AO154" s="50"/>
      <c r="AR154" s="11"/>
      <c r="BI154" s="14"/>
    </row>
    <row r="155" spans="1:61" s="11" customFormat="1">
      <c r="A155" s="25"/>
      <c r="B155" s="26" t="s">
        <v>609</v>
      </c>
      <c r="C155" s="31"/>
      <c r="D155" s="31"/>
      <c r="E155" s="31"/>
      <c r="F155" s="23"/>
      <c r="G155" s="23"/>
      <c r="H155" s="23"/>
      <c r="I155" s="23"/>
      <c r="J155" s="23"/>
      <c r="K155" s="23"/>
      <c r="L155" s="23"/>
      <c r="M155" s="23"/>
      <c r="N155" s="23"/>
      <c r="O155" s="23"/>
      <c r="P155" s="23"/>
      <c r="Q155" s="23"/>
      <c r="R155" s="23"/>
      <c r="S155" s="23"/>
      <c r="T155" s="23"/>
      <c r="U155" s="23"/>
      <c r="V155" s="23"/>
      <c r="W155" s="23"/>
      <c r="X155" s="23"/>
      <c r="Y155" s="23"/>
      <c r="Z155" s="30"/>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13"/>
    </row>
    <row r="156" spans="1:61" s="11" customFormat="1" ht="14.45">
      <c r="A156" s="25"/>
      <c r="B156" s="24"/>
      <c r="C156" s="8"/>
      <c r="D156" s="8"/>
      <c r="E156" s="8"/>
      <c r="F156" s="8"/>
      <c r="G156" s="8"/>
      <c r="H156" s="8"/>
      <c r="I156" s="8"/>
      <c r="J156" s="8"/>
      <c r="K156" s="14"/>
      <c r="L156" s="24"/>
      <c r="M156" s="8"/>
      <c r="N156" s="8"/>
      <c r="O156" s="8"/>
      <c r="P156" s="8"/>
      <c r="Q156" s="8"/>
      <c r="R156" s="14"/>
      <c r="S156" s="24"/>
      <c r="T156" s="8"/>
      <c r="U156" s="8"/>
      <c r="V156" s="8"/>
      <c r="W156" s="8"/>
      <c r="X156" s="8"/>
      <c r="Y156" s="8"/>
      <c r="Z156" s="24"/>
      <c r="AA156" s="8"/>
      <c r="AB156" s="8"/>
      <c r="AC156" s="8"/>
      <c r="AD156" s="8"/>
      <c r="AE156" s="8"/>
      <c r="AF156" s="14"/>
      <c r="AG156" s="8"/>
      <c r="AH156" s="8"/>
      <c r="AI156" s="8"/>
      <c r="AJ156" s="8"/>
      <c r="AK156" s="8"/>
      <c r="AL156" s="8"/>
      <c r="AM156" s="8"/>
      <c r="AN156" s="24"/>
      <c r="AO156" s="8"/>
      <c r="AP156" s="8"/>
      <c r="AQ156" s="8"/>
      <c r="AR156" s="8"/>
      <c r="AS156" s="8"/>
      <c r="AT156" s="8"/>
      <c r="AU156" s="8"/>
      <c r="AV156" s="8"/>
      <c r="AW156" s="8"/>
      <c r="AX156" s="8"/>
      <c r="AY156" s="8"/>
      <c r="AZ156" s="8"/>
      <c r="BA156" s="8"/>
      <c r="BB156" s="8"/>
      <c r="BC156" s="8"/>
      <c r="BD156" s="24"/>
      <c r="BE156" s="8"/>
      <c r="BF156" s="8"/>
      <c r="BG156" s="8"/>
      <c r="BH156" s="14"/>
      <c r="BI156" s="13"/>
    </row>
    <row r="157" spans="1:61" ht="14.45">
      <c r="A157" s="24"/>
      <c r="B157" s="24"/>
      <c r="K157" s="14"/>
      <c r="L157" s="24"/>
      <c r="R157" s="14"/>
      <c r="S157" s="24"/>
      <c r="Z157" s="24"/>
      <c r="AF157" s="14"/>
      <c r="AN157" s="24"/>
      <c r="BD157" s="24"/>
      <c r="BH157" s="14"/>
      <c r="BI157" s="14"/>
    </row>
    <row r="158" spans="1:61" ht="14.45">
      <c r="A158" s="24"/>
      <c r="B158" s="24"/>
      <c r="K158" s="14"/>
      <c r="L158" s="24"/>
      <c r="R158" s="14"/>
      <c r="S158" s="24"/>
      <c r="Z158" s="24"/>
      <c r="AF158" s="14"/>
      <c r="AN158" s="24"/>
      <c r="BD158" s="24"/>
      <c r="BH158" s="14"/>
      <c r="BI158" s="14"/>
    </row>
    <row r="159" spans="1:61" ht="14.45">
      <c r="A159" s="24"/>
      <c r="B159" s="24"/>
      <c r="K159" s="14"/>
      <c r="L159" s="24"/>
      <c r="R159" s="14"/>
      <c r="S159" s="24"/>
      <c r="Z159" s="24"/>
      <c r="AF159" s="14"/>
      <c r="AN159" s="24"/>
      <c r="BD159" s="24"/>
      <c r="BH159" s="14"/>
      <c r="BI159" s="14"/>
    </row>
    <row r="160" spans="1:61" ht="14.45">
      <c r="A160" s="24"/>
      <c r="B160" s="24"/>
      <c r="K160" s="14"/>
      <c r="L160" s="24"/>
      <c r="R160" s="14"/>
      <c r="S160" s="24"/>
      <c r="Z160" s="24"/>
      <c r="AF160" s="14"/>
      <c r="AN160" s="24"/>
      <c r="BD160" s="24"/>
      <c r="BH160" s="14"/>
      <c r="BI160" s="14"/>
    </row>
    <row r="161" spans="1:61" ht="14.45">
      <c r="A161" s="24"/>
      <c r="B161" s="24"/>
      <c r="K161" s="14"/>
      <c r="L161" s="24"/>
      <c r="R161" s="14"/>
      <c r="S161" s="24"/>
      <c r="Z161" s="24"/>
      <c r="AF161" s="14"/>
      <c r="AN161" s="24"/>
      <c r="AR161" s="11"/>
      <c r="BD161" s="24"/>
      <c r="BH161" s="14"/>
      <c r="BI161" s="14"/>
    </row>
    <row r="162" spans="1:61">
      <c r="A162" s="24"/>
      <c r="B162" s="24"/>
      <c r="K162" s="14"/>
      <c r="L162" s="24"/>
      <c r="R162" s="14"/>
      <c r="S162" s="24"/>
      <c r="Z162" s="24"/>
      <c r="AF162" s="14"/>
      <c r="AN162" s="24"/>
      <c r="AO162" s="16" t="s">
        <v>610</v>
      </c>
      <c r="BD162" s="24"/>
      <c r="BH162" s="14"/>
      <c r="BI162" s="14"/>
    </row>
    <row r="163" spans="1:61">
      <c r="A163" s="24"/>
      <c r="B163" s="24"/>
      <c r="K163" s="14"/>
      <c r="L163" s="24"/>
      <c r="R163" s="14"/>
      <c r="S163" s="24"/>
      <c r="Z163" s="24"/>
      <c r="AF163" s="14"/>
      <c r="AN163" s="24"/>
      <c r="AP163" s="8" t="s">
        <v>611</v>
      </c>
      <c r="BD163" s="24"/>
      <c r="BH163" s="14"/>
      <c r="BI163" s="14"/>
    </row>
    <row r="164" spans="1:61" ht="14.45">
      <c r="A164" s="24"/>
      <c r="B164" s="24"/>
      <c r="K164" s="14"/>
      <c r="L164" s="24"/>
      <c r="R164" s="14"/>
      <c r="S164" s="24"/>
      <c r="Z164" s="24"/>
      <c r="AF164" s="14"/>
      <c r="AN164" s="24"/>
      <c r="AR164" s="11"/>
      <c r="BD164" s="24"/>
      <c r="BH164" s="14"/>
      <c r="BI164" s="14"/>
    </row>
    <row r="165" spans="1:61" ht="14.45">
      <c r="A165" s="24"/>
      <c r="B165" s="24"/>
      <c r="K165" s="14"/>
      <c r="L165" s="24"/>
      <c r="R165" s="14"/>
      <c r="S165" s="24"/>
      <c r="Z165" s="24"/>
      <c r="AF165" s="14"/>
      <c r="AN165" s="24"/>
      <c r="AO165" s="11"/>
      <c r="AP165" s="11"/>
      <c r="AQ165" s="11"/>
      <c r="AR165" s="11"/>
      <c r="BD165" s="24"/>
      <c r="BH165" s="14"/>
      <c r="BI165" s="14"/>
    </row>
    <row r="166" spans="1:61" ht="14.45">
      <c r="A166" s="24"/>
      <c r="B166" s="24"/>
      <c r="K166" s="14"/>
      <c r="L166" s="24"/>
      <c r="R166" s="14"/>
      <c r="S166" s="24"/>
      <c r="Z166" s="24"/>
      <c r="AF166" s="14"/>
      <c r="AN166" s="24"/>
      <c r="AO166" s="11"/>
      <c r="AP166" s="11"/>
      <c r="AQ166" s="11"/>
      <c r="AR166" s="11"/>
      <c r="BD166" s="24"/>
      <c r="BH166" s="14"/>
      <c r="BI166" s="14"/>
    </row>
    <row r="167" spans="1:61" ht="14.45">
      <c r="A167" s="24"/>
      <c r="B167" s="24"/>
      <c r="K167" s="14"/>
      <c r="L167" s="24"/>
      <c r="R167" s="14"/>
      <c r="S167" s="24"/>
      <c r="Z167" s="24"/>
      <c r="AF167" s="14"/>
      <c r="AN167" s="24"/>
      <c r="BD167" s="24"/>
      <c r="BH167" s="14"/>
      <c r="BI167" s="14"/>
    </row>
    <row r="168" spans="1:61">
      <c r="A168" s="24"/>
      <c r="B168" s="24"/>
      <c r="K168" s="14"/>
      <c r="L168" s="24"/>
      <c r="R168" s="14"/>
      <c r="S168" s="24"/>
      <c r="Z168" s="24"/>
      <c r="AF168" s="14"/>
      <c r="AN168" s="24"/>
      <c r="AO168" s="22" t="s">
        <v>612</v>
      </c>
      <c r="AP168" s="11"/>
      <c r="AQ168" s="11"/>
      <c r="AR168" s="11"/>
      <c r="BD168" s="24"/>
      <c r="BH168" s="14"/>
      <c r="BI168" s="14"/>
    </row>
    <row r="169" spans="1:61">
      <c r="A169" s="24"/>
      <c r="B169" s="24"/>
      <c r="K169" s="14"/>
      <c r="L169" s="24"/>
      <c r="R169" s="14"/>
      <c r="S169" s="24"/>
      <c r="Z169" s="24"/>
      <c r="AF169" s="14"/>
      <c r="AN169" s="24"/>
      <c r="AO169" s="11"/>
      <c r="AP169" s="8" t="s">
        <v>613</v>
      </c>
      <c r="AQ169" s="11"/>
      <c r="AR169" s="11"/>
      <c r="BD169" s="24"/>
      <c r="BH169" s="14"/>
      <c r="BI169" s="14"/>
    </row>
    <row r="170" spans="1:61" ht="14.45">
      <c r="A170" s="24"/>
      <c r="B170" s="24"/>
      <c r="K170" s="14"/>
      <c r="L170" s="24"/>
      <c r="R170" s="14"/>
      <c r="S170" s="24"/>
      <c r="Z170" s="24"/>
      <c r="AF170" s="14"/>
      <c r="AN170" s="24"/>
      <c r="AO170" s="11"/>
      <c r="AQ170" s="11"/>
      <c r="AR170" s="11"/>
      <c r="BD170" s="24"/>
      <c r="BH170" s="14"/>
      <c r="BI170" s="14"/>
    </row>
    <row r="171" spans="1:61" ht="14.45">
      <c r="A171" s="24"/>
      <c r="B171" s="24"/>
      <c r="K171" s="14"/>
      <c r="L171" s="24"/>
      <c r="R171" s="14"/>
      <c r="S171" s="24"/>
      <c r="Z171" s="24"/>
      <c r="AF171" s="14"/>
      <c r="AN171" s="24"/>
      <c r="AO171" s="50"/>
      <c r="AQ171" s="11"/>
      <c r="AR171" s="11"/>
      <c r="BD171" s="24"/>
      <c r="BH171" s="14"/>
      <c r="BI171" s="14"/>
    </row>
    <row r="172" spans="1:61" ht="14.45">
      <c r="A172" s="24"/>
      <c r="B172" s="24"/>
      <c r="K172" s="14"/>
      <c r="L172" s="24"/>
      <c r="R172" s="14"/>
      <c r="S172" s="24"/>
      <c r="Z172" s="24"/>
      <c r="AF172" s="14"/>
      <c r="AN172" s="24"/>
      <c r="AO172" s="50"/>
      <c r="AQ172" s="11"/>
      <c r="AR172" s="11"/>
      <c r="BD172" s="24"/>
      <c r="BH172" s="14"/>
      <c r="BI172" s="14"/>
    </row>
    <row r="173" spans="1:61" ht="14.45">
      <c r="A173" s="24"/>
      <c r="B173" s="24"/>
      <c r="K173" s="14"/>
      <c r="L173" s="24"/>
      <c r="R173" s="14"/>
      <c r="S173" s="24"/>
      <c r="Z173" s="24"/>
      <c r="AF173" s="14"/>
      <c r="AN173" s="24"/>
      <c r="AO173" s="11"/>
      <c r="AQ173" s="11"/>
      <c r="AR173" s="11"/>
      <c r="BD173" s="24"/>
      <c r="BH173" s="14"/>
      <c r="BI173" s="14"/>
    </row>
    <row r="174" spans="1:61" ht="14.45">
      <c r="A174" s="24"/>
      <c r="B174" s="24"/>
      <c r="K174" s="14"/>
      <c r="L174" s="24"/>
      <c r="R174" s="14"/>
      <c r="S174" s="24"/>
      <c r="Z174" s="24"/>
      <c r="AF174" s="14"/>
      <c r="AN174" s="24"/>
      <c r="AO174" s="11"/>
      <c r="AQ174" s="11"/>
      <c r="AR174" s="11"/>
      <c r="BD174" s="24"/>
      <c r="BH174" s="14"/>
      <c r="BI174" s="14"/>
    </row>
    <row r="175" spans="1:61" ht="14.45">
      <c r="A175" s="24"/>
      <c r="B175" s="24"/>
      <c r="K175" s="14"/>
      <c r="L175" s="24"/>
      <c r="R175" s="14"/>
      <c r="S175" s="24"/>
      <c r="Z175" s="24"/>
      <c r="AF175" s="14"/>
      <c r="AN175" s="24"/>
      <c r="AO175" s="11"/>
      <c r="AQ175" s="11"/>
      <c r="AR175" s="11"/>
      <c r="BD175" s="24"/>
      <c r="BH175" s="14"/>
      <c r="BI175" s="14"/>
    </row>
    <row r="176" spans="1:61" ht="14.45">
      <c r="A176" s="42"/>
      <c r="B176" s="41"/>
      <c r="C176" s="10"/>
      <c r="D176" s="10"/>
      <c r="E176" s="10"/>
      <c r="F176" s="10"/>
      <c r="G176" s="10"/>
      <c r="H176" s="10"/>
      <c r="I176" s="10"/>
      <c r="J176" s="10"/>
      <c r="K176" s="15"/>
      <c r="L176" s="41"/>
      <c r="M176" s="10"/>
      <c r="N176" s="10"/>
      <c r="O176" s="10"/>
      <c r="P176" s="10"/>
      <c r="Q176" s="10"/>
      <c r="R176" s="15"/>
      <c r="S176" s="41"/>
      <c r="T176" s="10"/>
      <c r="U176" s="10"/>
      <c r="V176" s="10"/>
      <c r="W176" s="10"/>
      <c r="X176" s="10"/>
      <c r="Y176" s="10"/>
      <c r="Z176" s="41"/>
      <c r="AA176" s="10"/>
      <c r="AB176" s="10"/>
      <c r="AC176" s="10"/>
      <c r="AD176" s="10"/>
      <c r="AE176" s="10"/>
      <c r="AF176" s="15"/>
      <c r="AG176" s="10"/>
      <c r="AH176" s="10"/>
      <c r="AI176" s="10"/>
      <c r="AJ176" s="10"/>
      <c r="AK176" s="10"/>
      <c r="AL176" s="10"/>
      <c r="AM176" s="10"/>
      <c r="AN176" s="41"/>
      <c r="AO176" s="60"/>
      <c r="AP176" s="10"/>
      <c r="AQ176" s="32"/>
      <c r="AR176" s="32"/>
      <c r="AS176" s="10"/>
      <c r="AT176" s="10"/>
      <c r="AU176" s="10"/>
      <c r="AV176" s="10"/>
      <c r="AW176" s="10"/>
      <c r="AX176" s="10"/>
      <c r="AY176" s="10"/>
      <c r="AZ176" s="10"/>
      <c r="BA176" s="10"/>
      <c r="BB176" s="10"/>
      <c r="BC176" s="10"/>
      <c r="BD176" s="41"/>
      <c r="BE176" s="10"/>
      <c r="BF176" s="10"/>
      <c r="BG176" s="10"/>
      <c r="BH176" s="15"/>
      <c r="BI176" s="42"/>
    </row>
    <row r="177" spans="1:61" ht="14.45">
      <c r="A177" s="24"/>
      <c r="AO177" s="11"/>
      <c r="AQ177" s="11"/>
      <c r="AR177" s="11"/>
      <c r="BI177" s="14"/>
    </row>
    <row r="178" spans="1:61" ht="14.45">
      <c r="A178" s="41"/>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5"/>
    </row>
  </sheetData>
  <mergeCells count="24">
    <mergeCell ref="AQ2:AV2"/>
    <mergeCell ref="AJ3:AK3"/>
    <mergeCell ref="AL3:AP3"/>
    <mergeCell ref="AQ3:AV3"/>
    <mergeCell ref="BD8:BH9"/>
    <mergeCell ref="AN8:BC9"/>
    <mergeCell ref="A2:E3"/>
    <mergeCell ref="F2:U3"/>
    <mergeCell ref="V2:AI3"/>
    <mergeCell ref="AJ2:AK2"/>
    <mergeCell ref="AL2:AP2"/>
    <mergeCell ref="A1:E1"/>
    <mergeCell ref="F1:U1"/>
    <mergeCell ref="V1:AI1"/>
    <mergeCell ref="AJ1:AP1"/>
    <mergeCell ref="AQ1:AV1"/>
    <mergeCell ref="S9:Y9"/>
    <mergeCell ref="Z9:AF9"/>
    <mergeCell ref="AG9:AM9"/>
    <mergeCell ref="AG8:AM8"/>
    <mergeCell ref="A4:U4"/>
    <mergeCell ref="B8:K9"/>
    <mergeCell ref="S8:AF8"/>
    <mergeCell ref="L8:R9"/>
  </mergeCells>
  <phoneticPr fontId="3"/>
  <pageMargins left="0.7" right="0.7" top="0.75" bottom="0.75" header="0.3" footer="0.3"/>
  <pageSetup paperSize="9" scale="69" fitToHeight="0" orientation="portrait"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9D0F-A185-49B1-8085-97AC54E4262D}">
  <sheetPr codeName="Sheet5"/>
  <dimension ref="A1:BS328"/>
  <sheetViews>
    <sheetView showGridLines="0" zoomScale="85" zoomScaleNormal="100" workbookViewId="0">
      <pane ySplit="9" topLeftCell="A282" activePane="bottomLeft" state="frozen"/>
      <selection pane="bottomLeft" activeCell="B151" sqref="B151"/>
      <selection activeCell="X112" sqref="X112"/>
    </sheetView>
  </sheetViews>
  <sheetFormatPr defaultColWidth="2.375" defaultRowHeight="13.5"/>
  <cols>
    <col min="1" max="8" width="2.375" style="8"/>
    <col min="9" max="13" width="2.375" style="8" customWidth="1"/>
    <col min="14" max="18" width="2.375" style="8" bestFit="1" customWidth="1"/>
    <col min="19" max="20" width="2.375" style="8" customWidth="1"/>
    <col min="21" max="60" width="2.375" style="8"/>
    <col min="61" max="61" width="2.375" style="8" customWidth="1"/>
    <col min="62" max="16384" width="2.375" style="8"/>
  </cols>
  <sheetData>
    <row r="1" spans="1:69" ht="14.1" customHeight="1" thickBot="1">
      <c r="A1" s="128" t="s">
        <v>9</v>
      </c>
      <c r="B1" s="129"/>
      <c r="C1" s="129"/>
      <c r="D1" s="129"/>
      <c r="E1" s="130"/>
      <c r="F1" s="142" t="str">
        <f>変更履歴!F1</f>
        <v>会計システム刷新プロジェクト（LIBRA）</v>
      </c>
      <c r="G1" s="223"/>
      <c r="H1" s="223"/>
      <c r="I1" s="223"/>
      <c r="J1" s="223"/>
      <c r="K1" s="223"/>
      <c r="L1" s="223"/>
      <c r="M1" s="223"/>
      <c r="N1" s="223"/>
      <c r="O1" s="223"/>
      <c r="P1" s="223"/>
      <c r="Q1" s="223"/>
      <c r="R1" s="223"/>
      <c r="S1" s="223"/>
      <c r="T1" s="223"/>
      <c r="U1" s="223"/>
      <c r="V1" s="223"/>
      <c r="W1" s="223"/>
      <c r="X1" s="223"/>
      <c r="Y1" s="223"/>
      <c r="Z1" s="223"/>
      <c r="AA1" s="223"/>
      <c r="AB1" s="224"/>
      <c r="AC1" s="128" t="s">
        <v>64</v>
      </c>
      <c r="AD1" s="129"/>
      <c r="AE1" s="129"/>
      <c r="AF1" s="129"/>
      <c r="AG1" s="129"/>
      <c r="AH1" s="129"/>
      <c r="AI1" s="129"/>
      <c r="AJ1" s="129"/>
      <c r="AK1" s="129"/>
      <c r="AL1" s="129"/>
      <c r="AM1" s="129"/>
      <c r="AN1" s="129"/>
      <c r="AO1" s="129"/>
      <c r="AP1" s="130"/>
      <c r="AQ1" s="128" t="s">
        <v>11</v>
      </c>
      <c r="AR1" s="129"/>
      <c r="AS1" s="129"/>
      <c r="AT1" s="129"/>
      <c r="AU1" s="129"/>
      <c r="AV1" s="129"/>
      <c r="AW1" s="130"/>
      <c r="AX1" s="128" t="s">
        <v>12</v>
      </c>
      <c r="AY1" s="129"/>
      <c r="AZ1" s="129"/>
      <c r="BA1" s="129"/>
      <c r="BB1" s="129"/>
      <c r="BC1" s="130"/>
    </row>
    <row r="2" spans="1:69" ht="14.1" customHeight="1">
      <c r="A2" s="131" t="s">
        <v>13</v>
      </c>
      <c r="B2" s="253"/>
      <c r="C2" s="253"/>
      <c r="D2" s="253"/>
      <c r="E2" s="254"/>
      <c r="F2" s="150" t="str">
        <f>変更履歴!F2</f>
        <v>ToBe業務フロー（5.固定資産_リース）</v>
      </c>
      <c r="G2" s="231"/>
      <c r="H2" s="231"/>
      <c r="I2" s="231"/>
      <c r="J2" s="231"/>
      <c r="K2" s="231"/>
      <c r="L2" s="231"/>
      <c r="M2" s="231"/>
      <c r="N2" s="231"/>
      <c r="O2" s="231"/>
      <c r="P2" s="231"/>
      <c r="Q2" s="231"/>
      <c r="R2" s="231"/>
      <c r="S2" s="231"/>
      <c r="T2" s="231"/>
      <c r="U2" s="231"/>
      <c r="V2" s="231"/>
      <c r="W2" s="231"/>
      <c r="X2" s="231"/>
      <c r="Y2" s="231"/>
      <c r="Z2" s="231"/>
      <c r="AA2" s="231"/>
      <c r="AB2" s="232"/>
      <c r="AC2" s="150" t="e">
        <f ca="1">MID(CELL("filename",$A$1),FIND("]",CELL("filename",$A$1))+1,31)</f>
        <v>#VALUE!</v>
      </c>
      <c r="AD2" s="231"/>
      <c r="AE2" s="231"/>
      <c r="AF2" s="231"/>
      <c r="AG2" s="231"/>
      <c r="AH2" s="231"/>
      <c r="AI2" s="231"/>
      <c r="AJ2" s="231"/>
      <c r="AK2" s="231"/>
      <c r="AL2" s="231"/>
      <c r="AM2" s="231"/>
      <c r="AN2" s="231"/>
      <c r="AO2" s="231"/>
      <c r="AP2" s="232"/>
      <c r="AQ2" s="153" t="s">
        <v>14</v>
      </c>
      <c r="AR2" s="154"/>
      <c r="AS2" s="155">
        <f>変更履歴!AT2</f>
        <v>45362</v>
      </c>
      <c r="AT2" s="156"/>
      <c r="AU2" s="156"/>
      <c r="AV2" s="156"/>
      <c r="AW2" s="157"/>
      <c r="AX2" s="158" t="str">
        <f>変更履歴!BA2</f>
        <v>JBS大河原</v>
      </c>
      <c r="AY2" s="159"/>
      <c r="AZ2" s="159"/>
      <c r="BA2" s="159"/>
      <c r="BB2" s="159"/>
      <c r="BC2" s="160"/>
    </row>
    <row r="3" spans="1:69" ht="14.1" customHeight="1" thickBot="1">
      <c r="A3" s="255"/>
      <c r="B3" s="256"/>
      <c r="C3" s="256"/>
      <c r="D3" s="256"/>
      <c r="E3" s="257"/>
      <c r="F3" s="233"/>
      <c r="G3" s="234"/>
      <c r="H3" s="234"/>
      <c r="I3" s="234"/>
      <c r="J3" s="234"/>
      <c r="K3" s="234"/>
      <c r="L3" s="234"/>
      <c r="M3" s="234"/>
      <c r="N3" s="234"/>
      <c r="O3" s="234"/>
      <c r="P3" s="234"/>
      <c r="Q3" s="234"/>
      <c r="R3" s="234"/>
      <c r="S3" s="234"/>
      <c r="T3" s="234"/>
      <c r="U3" s="234"/>
      <c r="V3" s="234"/>
      <c r="W3" s="234"/>
      <c r="X3" s="234"/>
      <c r="Y3" s="234"/>
      <c r="Z3" s="234"/>
      <c r="AA3" s="234"/>
      <c r="AB3" s="235"/>
      <c r="AC3" s="233"/>
      <c r="AD3" s="234"/>
      <c r="AE3" s="234"/>
      <c r="AF3" s="234"/>
      <c r="AG3" s="234"/>
      <c r="AH3" s="234"/>
      <c r="AI3" s="234"/>
      <c r="AJ3" s="234"/>
      <c r="AK3" s="234"/>
      <c r="AL3" s="234"/>
      <c r="AM3" s="234"/>
      <c r="AN3" s="234"/>
      <c r="AO3" s="234"/>
      <c r="AP3" s="235"/>
      <c r="AQ3" s="161" t="s">
        <v>15</v>
      </c>
      <c r="AR3" s="162"/>
      <c r="AS3" s="163">
        <f ca="1">変更履歴!AT3</f>
        <v>45939</v>
      </c>
      <c r="AT3" s="164"/>
      <c r="AU3" s="164"/>
      <c r="AV3" s="164"/>
      <c r="AW3" s="165"/>
      <c r="AX3" s="166" t="str">
        <f ca="1">変更履歴!BA3</f>
        <v>JBS中村</v>
      </c>
      <c r="AY3" s="167"/>
      <c r="AZ3" s="167"/>
      <c r="BA3" s="167"/>
      <c r="BB3" s="167"/>
      <c r="BC3" s="168"/>
    </row>
    <row r="4" spans="1:69" ht="14.45">
      <c r="A4" s="259"/>
      <c r="B4" s="292"/>
      <c r="C4" s="292"/>
      <c r="D4" s="292"/>
      <c r="E4" s="292"/>
      <c r="F4" s="292"/>
      <c r="G4" s="292"/>
      <c r="H4" s="292"/>
      <c r="I4" s="292"/>
      <c r="J4" s="292"/>
      <c r="K4" s="292"/>
      <c r="L4" s="292"/>
      <c r="M4" s="292"/>
      <c r="N4" s="292"/>
      <c r="O4" s="292"/>
      <c r="P4" s="292"/>
      <c r="Q4" s="292"/>
      <c r="R4" s="292"/>
      <c r="S4" s="292"/>
      <c r="T4" s="292"/>
      <c r="U4" s="292"/>
      <c r="V4" s="292"/>
      <c r="W4" s="292"/>
      <c r="X4" s="292"/>
      <c r="Y4" s="292"/>
      <c r="Z4" s="292"/>
      <c r="AA4" s="292"/>
      <c r="AB4" s="292"/>
    </row>
    <row r="5" spans="1:69" ht="14.45">
      <c r="A5" s="41"/>
      <c r="B5" s="10"/>
      <c r="C5" s="10"/>
      <c r="D5" s="10"/>
      <c r="E5" s="10"/>
      <c r="F5" s="10"/>
      <c r="G5" s="10"/>
      <c r="H5" s="10"/>
      <c r="I5" s="10"/>
      <c r="J5" s="10"/>
      <c r="K5" s="10"/>
      <c r="L5" s="67"/>
      <c r="M5" s="67"/>
      <c r="N5" s="67"/>
      <c r="O5" s="67"/>
      <c r="P5" s="67"/>
      <c r="Q5" s="67"/>
      <c r="R5" s="67"/>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row>
    <row r="6" spans="1:69" s="11" customFormat="1" ht="14.45">
      <c r="A6" s="35" t="e">
        <f ca="1">RIGHT(CELL("filename",A1),LEN(CELL("filename",A1))-FIND("]",CELL("filename",A1)))</f>
        <v>#VALUE!</v>
      </c>
      <c r="B6" s="43"/>
      <c r="C6" s="43"/>
      <c r="D6" s="43"/>
      <c r="E6" s="43"/>
      <c r="F6" s="43"/>
      <c r="G6" s="43"/>
      <c r="H6" s="43"/>
      <c r="I6" s="43"/>
      <c r="J6" s="43"/>
      <c r="K6" s="43"/>
      <c r="L6" s="68"/>
      <c r="M6" s="68"/>
      <c r="N6" s="68"/>
      <c r="O6" s="68"/>
      <c r="P6" s="68"/>
      <c r="Q6" s="68"/>
      <c r="R6" s="68"/>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36"/>
    </row>
    <row r="7" spans="1:69" s="11" customFormat="1" ht="14.45">
      <c r="A7" s="25"/>
      <c r="B7" s="12"/>
      <c r="C7" s="12"/>
      <c r="D7" s="12"/>
      <c r="E7" s="12"/>
      <c r="F7" s="12"/>
      <c r="G7" s="12"/>
      <c r="H7" s="12"/>
      <c r="I7" s="12"/>
      <c r="J7" s="12"/>
      <c r="K7" s="12"/>
      <c r="L7" s="70"/>
      <c r="M7" s="70"/>
      <c r="N7" s="70"/>
      <c r="O7" s="70"/>
      <c r="P7" s="70"/>
      <c r="Q7" s="70"/>
      <c r="R7" s="70"/>
      <c r="BP7" s="13"/>
    </row>
    <row r="8" spans="1:69" s="11" customFormat="1" ht="18" customHeight="1">
      <c r="A8" s="25"/>
      <c r="B8" s="143" t="s">
        <v>550</v>
      </c>
      <c r="C8" s="143"/>
      <c r="D8" s="143"/>
      <c r="E8" s="143"/>
      <c r="F8" s="143"/>
      <c r="G8" s="143"/>
      <c r="H8" s="143"/>
      <c r="I8" s="143"/>
      <c r="J8" s="143"/>
      <c r="K8" s="143"/>
      <c r="L8" s="144" t="s">
        <v>614</v>
      </c>
      <c r="M8" s="145"/>
      <c r="N8" s="145"/>
      <c r="O8" s="145"/>
      <c r="P8" s="145"/>
      <c r="Q8" s="145"/>
      <c r="R8" s="145"/>
      <c r="S8" s="145"/>
      <c r="T8" s="145"/>
      <c r="U8" s="145"/>
      <c r="V8" s="145"/>
      <c r="W8" s="145"/>
      <c r="X8" s="145"/>
      <c r="Y8" s="146"/>
      <c r="Z8" s="144" t="s">
        <v>615</v>
      </c>
      <c r="AA8" s="145"/>
      <c r="AB8" s="145"/>
      <c r="AC8" s="145"/>
      <c r="AD8" s="145"/>
      <c r="AE8" s="145"/>
      <c r="AF8" s="145"/>
      <c r="AG8" s="145"/>
      <c r="AH8" s="145"/>
      <c r="AI8" s="145"/>
      <c r="AJ8" s="145"/>
      <c r="AK8" s="145"/>
      <c r="AL8" s="145"/>
      <c r="AM8" s="146"/>
      <c r="AN8" s="137" t="s">
        <v>76</v>
      </c>
      <c r="AO8" s="138"/>
      <c r="AP8" s="138"/>
      <c r="AQ8" s="138"/>
      <c r="AR8" s="138"/>
      <c r="AS8" s="138"/>
      <c r="AT8" s="139"/>
      <c r="AU8" s="133" t="s">
        <v>94</v>
      </c>
      <c r="AV8" s="133"/>
      <c r="AW8" s="133"/>
      <c r="AX8" s="133"/>
      <c r="AY8" s="133"/>
      <c r="AZ8" s="133"/>
      <c r="BA8" s="133"/>
      <c r="BB8" s="133"/>
      <c r="BC8" s="133"/>
      <c r="BD8" s="133"/>
      <c r="BE8" s="133"/>
      <c r="BF8" s="133"/>
      <c r="BG8" s="133"/>
      <c r="BH8" s="133"/>
      <c r="BI8" s="133"/>
      <c r="BJ8" s="133"/>
      <c r="BK8" s="132" t="s">
        <v>96</v>
      </c>
      <c r="BL8" s="133"/>
      <c r="BM8" s="133"/>
      <c r="BN8" s="133"/>
      <c r="BO8" s="133"/>
      <c r="BP8" s="13"/>
    </row>
    <row r="9" spans="1:69" s="11" customFormat="1" ht="13.5" customHeight="1">
      <c r="A9" s="25"/>
      <c r="B9" s="143"/>
      <c r="C9" s="143"/>
      <c r="D9" s="143"/>
      <c r="E9" s="143"/>
      <c r="F9" s="143"/>
      <c r="G9" s="143"/>
      <c r="H9" s="143"/>
      <c r="I9" s="143"/>
      <c r="J9" s="143"/>
      <c r="K9" s="143"/>
      <c r="L9" s="134" t="s">
        <v>82</v>
      </c>
      <c r="M9" s="135"/>
      <c r="N9" s="135"/>
      <c r="O9" s="135"/>
      <c r="P9" s="135"/>
      <c r="Q9" s="135"/>
      <c r="R9" s="135"/>
      <c r="S9" s="134" t="s">
        <v>553</v>
      </c>
      <c r="T9" s="135"/>
      <c r="U9" s="135"/>
      <c r="V9" s="135"/>
      <c r="W9" s="135"/>
      <c r="X9" s="135"/>
      <c r="Y9" s="136"/>
      <c r="Z9" s="134" t="s">
        <v>82</v>
      </c>
      <c r="AA9" s="135"/>
      <c r="AB9" s="135"/>
      <c r="AC9" s="135"/>
      <c r="AD9" s="135"/>
      <c r="AE9" s="135"/>
      <c r="AF9" s="135"/>
      <c r="AG9" s="134" t="s">
        <v>553</v>
      </c>
      <c r="AH9" s="135"/>
      <c r="AI9" s="135"/>
      <c r="AJ9" s="135"/>
      <c r="AK9" s="135"/>
      <c r="AL9" s="135"/>
      <c r="AM9" s="136"/>
      <c r="AN9" s="137" t="s">
        <v>91</v>
      </c>
      <c r="AO9" s="138"/>
      <c r="AP9" s="138"/>
      <c r="AQ9" s="138"/>
      <c r="AR9" s="138"/>
      <c r="AS9" s="138"/>
      <c r="AT9" s="139"/>
      <c r="AU9" s="133"/>
      <c r="AV9" s="133"/>
      <c r="AW9" s="133"/>
      <c r="AX9" s="133"/>
      <c r="AY9" s="133"/>
      <c r="AZ9" s="133"/>
      <c r="BA9" s="133"/>
      <c r="BB9" s="133"/>
      <c r="BC9" s="133"/>
      <c r="BD9" s="133"/>
      <c r="BE9" s="133"/>
      <c r="BF9" s="133"/>
      <c r="BG9" s="133"/>
      <c r="BH9" s="133"/>
      <c r="BI9" s="133"/>
      <c r="BJ9" s="133"/>
      <c r="BK9" s="133"/>
      <c r="BL9" s="133"/>
      <c r="BM9" s="133"/>
      <c r="BN9" s="133"/>
      <c r="BO9" s="133"/>
      <c r="BP9" s="13"/>
      <c r="BQ9" s="45"/>
    </row>
    <row r="10" spans="1:69" s="11" customFormat="1">
      <c r="A10" s="25"/>
      <c r="B10" s="26" t="s">
        <v>554</v>
      </c>
      <c r="C10" s="31"/>
      <c r="D10" s="31"/>
      <c r="E10" s="31"/>
      <c r="F10" s="23"/>
      <c r="G10" s="23"/>
      <c r="H10" s="23"/>
      <c r="I10" s="23"/>
      <c r="J10" s="23"/>
      <c r="K10" s="23"/>
      <c r="L10" s="44"/>
      <c r="M10" s="44"/>
      <c r="N10" s="44"/>
      <c r="O10" s="44"/>
      <c r="P10" s="44"/>
      <c r="Q10" s="44"/>
      <c r="R10" s="44"/>
      <c r="S10" s="44"/>
      <c r="T10" s="44"/>
      <c r="U10" s="44"/>
      <c r="V10" s="44"/>
      <c r="W10" s="44"/>
      <c r="X10" s="44"/>
      <c r="Y10" s="44"/>
      <c r="Z10" s="23"/>
      <c r="AA10" s="23"/>
      <c r="AB10" s="23"/>
      <c r="AC10" s="23"/>
      <c r="AD10" s="23"/>
      <c r="AE10" s="23"/>
      <c r="AF10" s="23"/>
      <c r="AG10" s="30"/>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13"/>
    </row>
    <row r="11" spans="1:69" s="11" customFormat="1" ht="14.45">
      <c r="A11" s="25"/>
      <c r="B11" s="27"/>
      <c r="C11" s="21"/>
      <c r="D11" s="21"/>
      <c r="E11" s="21"/>
      <c r="F11" s="21"/>
      <c r="G11" s="21"/>
      <c r="H11" s="21"/>
      <c r="I11" s="21"/>
      <c r="J11" s="21"/>
      <c r="K11" s="20"/>
      <c r="L11" s="40"/>
      <c r="M11" s="38"/>
      <c r="N11" s="38"/>
      <c r="O11" s="38"/>
      <c r="P11" s="38"/>
      <c r="Q11" s="38"/>
      <c r="R11" s="39"/>
      <c r="S11" s="40"/>
      <c r="T11" s="38"/>
      <c r="U11" s="38"/>
      <c r="V11" s="38"/>
      <c r="W11" s="38"/>
      <c r="X11" s="38"/>
      <c r="Y11" s="39"/>
      <c r="Z11" s="27"/>
      <c r="AA11" s="21"/>
      <c r="AB11" s="21"/>
      <c r="AC11" s="21"/>
      <c r="AD11" s="21"/>
      <c r="AE11" s="21"/>
      <c r="AF11" s="21"/>
      <c r="AG11" s="27"/>
      <c r="AH11" s="21"/>
      <c r="AI11" s="21"/>
      <c r="AJ11" s="21"/>
      <c r="AK11" s="21"/>
      <c r="AL11" s="21"/>
      <c r="AM11" s="20"/>
      <c r="AN11" s="21"/>
      <c r="AO11" s="21"/>
      <c r="AP11" s="21"/>
      <c r="AQ11" s="21"/>
      <c r="AR11" s="21"/>
      <c r="AS11" s="21"/>
      <c r="AT11" s="21"/>
      <c r="AU11" s="27"/>
      <c r="AV11" s="21"/>
      <c r="AW11" s="21"/>
      <c r="AX11" s="21"/>
      <c r="AY11" s="21"/>
      <c r="AZ11" s="21"/>
      <c r="BA11" s="21"/>
      <c r="BB11" s="21"/>
      <c r="BC11" s="21"/>
      <c r="BD11" s="21"/>
      <c r="BE11" s="21"/>
      <c r="BF11" s="21"/>
      <c r="BG11" s="21"/>
      <c r="BH11" s="21"/>
      <c r="BI11" s="21"/>
      <c r="BJ11" s="21"/>
      <c r="BK11" s="27"/>
      <c r="BL11" s="21"/>
      <c r="BM11" s="21"/>
      <c r="BN11" s="21"/>
      <c r="BO11" s="20"/>
      <c r="BP11" s="13"/>
    </row>
    <row r="12" spans="1:69" s="11" customFormat="1">
      <c r="A12" s="25"/>
      <c r="B12" s="27"/>
      <c r="C12" s="21"/>
      <c r="D12" s="21"/>
      <c r="E12" s="21"/>
      <c r="F12" s="21"/>
      <c r="G12" s="21"/>
      <c r="H12" s="21"/>
      <c r="I12" s="21"/>
      <c r="J12" s="21"/>
      <c r="K12" s="20"/>
      <c r="L12" s="27"/>
      <c r="M12" s="21"/>
      <c r="N12" s="21"/>
      <c r="O12" s="21"/>
      <c r="P12" s="21"/>
      <c r="Q12" s="21"/>
      <c r="R12" s="20"/>
      <c r="S12" s="27"/>
      <c r="T12" s="21"/>
      <c r="U12" s="21"/>
      <c r="V12" s="21"/>
      <c r="W12" s="21"/>
      <c r="X12" s="21"/>
      <c r="Y12" s="20"/>
      <c r="Z12" s="27"/>
      <c r="AA12" s="21"/>
      <c r="AB12" s="21"/>
      <c r="AC12" s="21"/>
      <c r="AD12" s="21"/>
      <c r="AE12" s="21"/>
      <c r="AF12" s="21"/>
      <c r="AG12" s="27"/>
      <c r="AH12" s="21"/>
      <c r="AI12" s="21"/>
      <c r="AJ12" s="21"/>
      <c r="AK12" s="21"/>
      <c r="AL12" s="21"/>
      <c r="AM12" s="20"/>
      <c r="AN12" s="21"/>
      <c r="AO12" s="21"/>
      <c r="AP12" s="21"/>
      <c r="AQ12" s="21"/>
      <c r="AR12" s="21"/>
      <c r="AS12" s="21"/>
      <c r="AT12" s="21"/>
      <c r="AU12" s="27"/>
      <c r="AV12" s="51" t="s">
        <v>556</v>
      </c>
      <c r="AW12" s="21"/>
      <c r="AX12" s="21"/>
      <c r="AY12" s="21"/>
      <c r="AZ12" s="21"/>
      <c r="BA12" s="21"/>
      <c r="BB12" s="21"/>
      <c r="BC12" s="21"/>
      <c r="BD12" s="21"/>
      <c r="BE12" s="21"/>
      <c r="BF12" s="21"/>
      <c r="BG12" s="21"/>
      <c r="BH12" s="21"/>
      <c r="BI12" s="21"/>
      <c r="BJ12" s="21"/>
      <c r="BK12" s="27"/>
      <c r="BL12" s="21"/>
      <c r="BM12" s="21"/>
      <c r="BN12" s="21"/>
      <c r="BO12" s="20"/>
      <c r="BP12" s="13"/>
    </row>
    <row r="13" spans="1:69" s="11" customFormat="1" ht="14.45">
      <c r="A13" s="25"/>
      <c r="B13" s="27"/>
      <c r="C13" s="21"/>
      <c r="D13" s="21"/>
      <c r="E13" s="21"/>
      <c r="F13" s="21"/>
      <c r="G13" s="21"/>
      <c r="H13" s="21"/>
      <c r="I13" s="21"/>
      <c r="J13" s="21"/>
      <c r="K13" s="20"/>
      <c r="L13" s="27"/>
      <c r="M13" s="21"/>
      <c r="N13" s="21"/>
      <c r="O13" s="21"/>
      <c r="P13" s="21"/>
      <c r="Q13" s="21"/>
      <c r="R13" s="20"/>
      <c r="S13" s="27"/>
      <c r="T13" s="21"/>
      <c r="U13" s="21"/>
      <c r="V13" s="21"/>
      <c r="W13" s="21"/>
      <c r="X13" s="21"/>
      <c r="Y13" s="20"/>
      <c r="Z13" s="27"/>
      <c r="AA13" s="21"/>
      <c r="AB13" s="21"/>
      <c r="AC13" s="21"/>
      <c r="AD13" s="21"/>
      <c r="AE13" s="21"/>
      <c r="AF13" s="21"/>
      <c r="AG13" s="27"/>
      <c r="AH13" s="21"/>
      <c r="AI13" s="21"/>
      <c r="AJ13" s="21"/>
      <c r="AK13" s="21"/>
      <c r="AL13" s="21"/>
      <c r="AM13" s="20"/>
      <c r="AN13" s="21"/>
      <c r="AO13" s="21"/>
      <c r="AP13" s="21"/>
      <c r="AQ13" s="21"/>
      <c r="AR13" s="21"/>
      <c r="AS13" s="21"/>
      <c r="AT13" s="21"/>
      <c r="AU13" s="27"/>
      <c r="AV13" s="21"/>
      <c r="AW13" s="21"/>
      <c r="AX13" s="21"/>
      <c r="AY13" s="21"/>
      <c r="AZ13" s="21"/>
      <c r="BA13" s="21"/>
      <c r="BB13" s="21"/>
      <c r="BC13" s="21"/>
      <c r="BD13" s="21"/>
      <c r="BE13" s="21"/>
      <c r="BF13" s="21"/>
      <c r="BG13" s="21"/>
      <c r="BH13" s="21"/>
      <c r="BI13" s="21"/>
      <c r="BJ13" s="21"/>
      <c r="BK13" s="27"/>
      <c r="BL13" s="21"/>
      <c r="BM13" s="21"/>
      <c r="BN13" s="21"/>
      <c r="BO13" s="20"/>
      <c r="BP13" s="13"/>
    </row>
    <row r="14" spans="1:69">
      <c r="A14" s="24"/>
      <c r="B14" s="24"/>
      <c r="K14" s="14"/>
      <c r="L14" s="71"/>
      <c r="M14" s="66"/>
      <c r="N14" s="66"/>
      <c r="O14" s="66"/>
      <c r="P14" s="66"/>
      <c r="Q14" s="66"/>
      <c r="R14" s="72"/>
      <c r="S14" s="24"/>
      <c r="Y14" s="14"/>
      <c r="Z14" s="24"/>
      <c r="AG14" s="24"/>
      <c r="AM14" s="14"/>
      <c r="AU14" s="24"/>
      <c r="AV14" s="11" t="s">
        <v>555</v>
      </c>
      <c r="BK14" s="24"/>
      <c r="BO14" s="14"/>
      <c r="BP14" s="14"/>
    </row>
    <row r="15" spans="1:69">
      <c r="A15" s="24"/>
      <c r="B15" s="24"/>
      <c r="K15" s="14"/>
      <c r="L15" s="71"/>
      <c r="M15" s="66"/>
      <c r="N15" s="66"/>
      <c r="O15" s="66"/>
      <c r="P15" s="66"/>
      <c r="Q15" s="66"/>
      <c r="R15" s="72"/>
      <c r="S15" s="24"/>
      <c r="Y15" s="14"/>
      <c r="Z15" s="24"/>
      <c r="AG15" s="24"/>
      <c r="AM15" s="14"/>
      <c r="AU15" s="24"/>
      <c r="AV15" s="11" t="s">
        <v>557</v>
      </c>
      <c r="BK15" s="24"/>
      <c r="BO15" s="14"/>
      <c r="BP15" s="14"/>
    </row>
    <row r="16" spans="1:69">
      <c r="A16" s="24"/>
      <c r="B16" s="24"/>
      <c r="K16" s="14"/>
      <c r="L16" s="71"/>
      <c r="M16" s="66"/>
      <c r="N16" s="66"/>
      <c r="O16" s="66"/>
      <c r="P16" s="66"/>
      <c r="Q16" s="66"/>
      <c r="R16" s="72"/>
      <c r="S16" s="24"/>
      <c r="Y16" s="14"/>
      <c r="Z16" s="24"/>
      <c r="AG16" s="24"/>
      <c r="AM16" s="14"/>
      <c r="AU16" s="24"/>
      <c r="AV16" s="11" t="s">
        <v>558</v>
      </c>
      <c r="BK16" s="24"/>
      <c r="BO16" s="14"/>
      <c r="BP16" s="14"/>
    </row>
    <row r="17" spans="1:68" ht="14.45">
      <c r="A17" s="24"/>
      <c r="B17" s="24"/>
      <c r="K17" s="14"/>
      <c r="L17" s="71"/>
      <c r="M17" s="66"/>
      <c r="N17" s="66"/>
      <c r="O17" s="66"/>
      <c r="P17" s="66"/>
      <c r="Q17" s="66"/>
      <c r="R17" s="72"/>
      <c r="S17" s="24"/>
      <c r="Y17" s="14"/>
      <c r="Z17" s="24"/>
      <c r="AG17" s="24"/>
      <c r="AM17" s="14"/>
      <c r="AU17" s="24"/>
      <c r="BK17" s="24"/>
      <c r="BO17" s="14"/>
      <c r="BP17" s="14"/>
    </row>
    <row r="18" spans="1:68" ht="14.45">
      <c r="A18" s="24"/>
      <c r="B18" s="24"/>
      <c r="K18" s="14"/>
      <c r="L18" s="71"/>
      <c r="M18" s="66"/>
      <c r="N18" s="66"/>
      <c r="O18" s="66"/>
      <c r="P18" s="66"/>
      <c r="Q18" s="66"/>
      <c r="R18" s="72"/>
      <c r="S18" s="24"/>
      <c r="Y18" s="14"/>
      <c r="Z18" s="24"/>
      <c r="AG18" s="24"/>
      <c r="AM18" s="14"/>
      <c r="AU18" s="24"/>
      <c r="BK18" s="24"/>
      <c r="BO18" s="14"/>
      <c r="BP18" s="14"/>
    </row>
    <row r="19" spans="1:68">
      <c r="A19" s="24"/>
      <c r="B19" s="24"/>
      <c r="K19" s="14"/>
      <c r="L19" s="71"/>
      <c r="M19" s="66"/>
      <c r="N19" s="66"/>
      <c r="O19" s="66"/>
      <c r="P19" s="66"/>
      <c r="Q19" s="66"/>
      <c r="R19" s="72"/>
      <c r="S19" s="24"/>
      <c r="Y19" s="14"/>
      <c r="Z19" s="24"/>
      <c r="AG19" s="24"/>
      <c r="AM19" s="14"/>
      <c r="AU19" s="24"/>
      <c r="AV19" s="16" t="s">
        <v>559</v>
      </c>
      <c r="BK19" s="24"/>
      <c r="BO19" s="14"/>
      <c r="BP19" s="14"/>
    </row>
    <row r="20" spans="1:68">
      <c r="A20" s="24"/>
      <c r="B20" s="24"/>
      <c r="K20" s="14"/>
      <c r="L20" s="71"/>
      <c r="M20" s="66"/>
      <c r="N20" s="66"/>
      <c r="O20" s="66"/>
      <c r="P20" s="66"/>
      <c r="Q20" s="66"/>
      <c r="R20" s="72"/>
      <c r="S20" s="24"/>
      <c r="Y20" s="14"/>
      <c r="Z20" s="24"/>
      <c r="AG20" s="24"/>
      <c r="AM20" s="14"/>
      <c r="AU20" s="24"/>
      <c r="AW20" s="8" t="s">
        <v>560</v>
      </c>
      <c r="BK20" s="24"/>
      <c r="BO20" s="14"/>
      <c r="BP20" s="14"/>
    </row>
    <row r="21" spans="1:68" ht="14.45">
      <c r="A21" s="24"/>
      <c r="B21" s="24"/>
      <c r="K21" s="14"/>
      <c r="L21" s="71"/>
      <c r="M21" s="66"/>
      <c r="N21" s="66"/>
      <c r="O21" s="66"/>
      <c r="P21" s="66"/>
      <c r="Q21" s="66"/>
      <c r="R21" s="72"/>
      <c r="S21" s="24"/>
      <c r="Y21" s="14"/>
      <c r="Z21" s="24"/>
      <c r="AG21" s="24"/>
      <c r="AM21" s="14"/>
      <c r="AU21" s="24"/>
      <c r="AV21" s="48"/>
      <c r="BK21" s="46"/>
      <c r="BO21" s="14"/>
      <c r="BP21" s="14"/>
    </row>
    <row r="22" spans="1:68" ht="14.45">
      <c r="A22" s="24"/>
      <c r="B22" s="24"/>
      <c r="K22" s="14"/>
      <c r="L22" s="71"/>
      <c r="M22" s="66"/>
      <c r="N22" s="66"/>
      <c r="O22" s="66"/>
      <c r="P22" s="66"/>
      <c r="Q22" s="66"/>
      <c r="R22" s="72"/>
      <c r="S22" s="24"/>
      <c r="Y22" s="14"/>
      <c r="Z22" s="24"/>
      <c r="AG22" s="24"/>
      <c r="AM22" s="14"/>
      <c r="AU22" s="24"/>
      <c r="AW22" s="47"/>
      <c r="BK22" s="24"/>
      <c r="BO22" s="14"/>
      <c r="BP22" s="14"/>
    </row>
    <row r="23" spans="1:68" ht="14.45">
      <c r="A23" s="24"/>
      <c r="B23" s="24"/>
      <c r="K23" s="14"/>
      <c r="L23" s="71"/>
      <c r="M23" s="66"/>
      <c r="N23" s="66"/>
      <c r="O23" s="66"/>
      <c r="P23" s="66"/>
      <c r="Q23" s="66"/>
      <c r="R23" s="72"/>
      <c r="S23" s="24"/>
      <c r="Y23" s="14"/>
      <c r="Z23" s="24"/>
      <c r="AG23" s="24"/>
      <c r="AM23" s="14"/>
      <c r="AU23" s="24"/>
      <c r="BK23" s="24"/>
      <c r="BO23" s="14"/>
      <c r="BP23" s="14"/>
    </row>
    <row r="24" spans="1:68">
      <c r="A24" s="24"/>
      <c r="B24" s="24"/>
      <c r="K24" s="14"/>
      <c r="L24" s="71"/>
      <c r="M24" s="66"/>
      <c r="N24" s="66"/>
      <c r="O24" s="66"/>
      <c r="P24" s="66"/>
      <c r="Q24" s="66"/>
      <c r="R24" s="72"/>
      <c r="S24" s="24"/>
      <c r="Y24" s="14"/>
      <c r="Z24" s="24"/>
      <c r="AG24" s="24"/>
      <c r="AM24" s="14"/>
      <c r="AU24" s="24"/>
      <c r="AV24" s="16" t="s">
        <v>561</v>
      </c>
      <c r="BK24" s="24"/>
      <c r="BO24" s="14"/>
      <c r="BP24" s="14"/>
    </row>
    <row r="25" spans="1:68">
      <c r="A25" s="24"/>
      <c r="B25" s="24"/>
      <c r="K25" s="14"/>
      <c r="L25" s="71"/>
      <c r="M25" s="66"/>
      <c r="N25" s="66"/>
      <c r="O25" s="66"/>
      <c r="P25" s="66"/>
      <c r="Q25" s="66"/>
      <c r="R25" s="72"/>
      <c r="S25" s="24"/>
      <c r="Y25" s="14"/>
      <c r="Z25" s="24"/>
      <c r="AG25" s="24"/>
      <c r="AM25" s="14"/>
      <c r="AU25" s="24"/>
      <c r="AW25" s="8" t="s">
        <v>562</v>
      </c>
      <c r="BK25" s="24"/>
      <c r="BO25" s="14"/>
      <c r="BP25" s="14"/>
    </row>
    <row r="26" spans="1:68" ht="14.45">
      <c r="A26" s="24"/>
      <c r="B26" s="24"/>
      <c r="K26" s="14"/>
      <c r="L26" s="71"/>
      <c r="M26" s="66"/>
      <c r="N26" s="66"/>
      <c r="O26" s="66"/>
      <c r="P26" s="66"/>
      <c r="Q26" s="66"/>
      <c r="R26" s="72"/>
      <c r="S26" s="24"/>
      <c r="Y26" s="14"/>
      <c r="Z26" s="24"/>
      <c r="AG26" s="24"/>
      <c r="AM26" s="14"/>
      <c r="AU26" s="24"/>
      <c r="AW26" s="47"/>
      <c r="BK26" s="24"/>
      <c r="BO26" s="14"/>
      <c r="BP26" s="14"/>
    </row>
    <row r="27" spans="1:68" ht="14.45">
      <c r="A27" s="24"/>
      <c r="B27" s="24"/>
      <c r="K27" s="14"/>
      <c r="L27" s="71"/>
      <c r="M27" s="66"/>
      <c r="N27" s="66"/>
      <c r="O27" s="66"/>
      <c r="P27" s="66"/>
      <c r="Q27" s="66"/>
      <c r="R27" s="72"/>
      <c r="S27" s="24"/>
      <c r="Y27" s="14"/>
      <c r="Z27" s="24"/>
      <c r="AG27" s="24"/>
      <c r="AM27" s="14"/>
      <c r="AU27" s="24"/>
      <c r="AW27" s="47"/>
      <c r="BK27" s="24"/>
      <c r="BO27" s="14"/>
      <c r="BP27" s="14"/>
    </row>
    <row r="28" spans="1:68" ht="14.45">
      <c r="A28" s="24"/>
      <c r="B28" s="24"/>
      <c r="K28" s="14"/>
      <c r="L28" s="71"/>
      <c r="M28" s="66"/>
      <c r="N28" s="66"/>
      <c r="O28" s="66"/>
      <c r="P28" s="66"/>
      <c r="Q28" s="66"/>
      <c r="R28" s="72"/>
      <c r="S28" s="24"/>
      <c r="Y28" s="14"/>
      <c r="Z28" s="24"/>
      <c r="AG28" s="24"/>
      <c r="AM28" s="14"/>
      <c r="AU28" s="24"/>
      <c r="AW28" s="47"/>
      <c r="BK28" s="24"/>
      <c r="BO28" s="14"/>
      <c r="BP28" s="14"/>
    </row>
    <row r="29" spans="1:68" ht="14.45">
      <c r="A29" s="24"/>
      <c r="B29" s="24"/>
      <c r="K29" s="14"/>
      <c r="L29" s="71"/>
      <c r="M29" s="66"/>
      <c r="N29" s="66"/>
      <c r="O29" s="66"/>
      <c r="P29" s="66"/>
      <c r="Q29" s="66"/>
      <c r="R29" s="72"/>
      <c r="S29" s="24"/>
      <c r="Y29" s="14"/>
      <c r="AG29" s="24"/>
      <c r="AM29" s="14"/>
      <c r="AU29" s="24"/>
      <c r="BK29" s="24"/>
      <c r="BO29" s="14"/>
      <c r="BP29" s="14"/>
    </row>
    <row r="30" spans="1:68" ht="14.45">
      <c r="A30" s="24"/>
      <c r="B30" s="24"/>
      <c r="K30" s="14"/>
      <c r="L30" s="71"/>
      <c r="M30" s="66"/>
      <c r="N30" s="66"/>
      <c r="O30" s="66"/>
      <c r="P30" s="66"/>
      <c r="Q30" s="66"/>
      <c r="R30" s="72"/>
      <c r="S30" s="24"/>
      <c r="Y30" s="14"/>
      <c r="AG30" s="24"/>
      <c r="AM30" s="14"/>
      <c r="AU30" s="24"/>
      <c r="BK30" s="24"/>
      <c r="BO30" s="14"/>
      <c r="BP30" s="14"/>
    </row>
    <row r="31" spans="1:68">
      <c r="A31" s="24"/>
      <c r="B31" s="24"/>
      <c r="K31" s="14"/>
      <c r="L31" s="71"/>
      <c r="M31" s="66"/>
      <c r="N31" s="66"/>
      <c r="O31" s="66"/>
      <c r="P31" s="66"/>
      <c r="Q31" s="66"/>
      <c r="R31" s="72"/>
      <c r="S31" s="24"/>
      <c r="Y31" s="14"/>
      <c r="AG31" s="24"/>
      <c r="AM31" s="14"/>
      <c r="AU31" s="24"/>
      <c r="AV31" s="16" t="s">
        <v>563</v>
      </c>
      <c r="BK31" s="24"/>
      <c r="BO31" s="14"/>
      <c r="BP31" s="14"/>
    </row>
    <row r="32" spans="1:68">
      <c r="A32" s="24"/>
      <c r="B32" s="24"/>
      <c r="K32" s="14"/>
      <c r="L32" s="71"/>
      <c r="M32" s="66"/>
      <c r="N32" s="66"/>
      <c r="O32" s="66"/>
      <c r="P32" s="66"/>
      <c r="Q32" s="66"/>
      <c r="R32" s="72"/>
      <c r="S32" s="24"/>
      <c r="Y32" s="14"/>
      <c r="AG32" s="24"/>
      <c r="AM32" s="14"/>
      <c r="AU32" s="24"/>
      <c r="AW32" s="17" t="s">
        <v>564</v>
      </c>
      <c r="BK32" s="24"/>
      <c r="BO32" s="14"/>
      <c r="BP32" s="14"/>
    </row>
    <row r="33" spans="1:71" ht="14.45">
      <c r="A33" s="24"/>
      <c r="B33" s="24"/>
      <c r="K33" s="14"/>
      <c r="L33" s="71"/>
      <c r="M33" s="66"/>
      <c r="N33" s="66"/>
      <c r="O33" s="66"/>
      <c r="P33" s="66"/>
      <c r="Q33" s="66"/>
      <c r="R33" s="72"/>
      <c r="S33" s="24"/>
      <c r="Y33" s="14"/>
      <c r="AG33" s="24"/>
      <c r="AM33" s="14"/>
      <c r="AU33" s="24"/>
      <c r="AW33" s="49"/>
      <c r="BF33" s="45"/>
      <c r="BK33" s="24"/>
      <c r="BO33" s="14"/>
      <c r="BP33" s="14"/>
      <c r="BS33" s="49"/>
    </row>
    <row r="34" spans="1:71" ht="14.45">
      <c r="A34" s="24"/>
      <c r="B34" s="24"/>
      <c r="K34" s="14"/>
      <c r="L34" s="71"/>
      <c r="M34" s="66"/>
      <c r="N34" s="66"/>
      <c r="O34" s="66"/>
      <c r="P34" s="66"/>
      <c r="Q34" s="66"/>
      <c r="R34" s="72"/>
      <c r="S34" s="24"/>
      <c r="Y34" s="14"/>
      <c r="Z34" s="24"/>
      <c r="AG34" s="24"/>
      <c r="AM34" s="14"/>
      <c r="AU34" s="24"/>
      <c r="AW34" s="49"/>
      <c r="AX34" s="49"/>
      <c r="BK34" s="24"/>
      <c r="BO34" s="14"/>
      <c r="BP34" s="14"/>
    </row>
    <row r="35" spans="1:71" ht="14.45">
      <c r="A35" s="24"/>
      <c r="B35" s="24"/>
      <c r="K35" s="14"/>
      <c r="L35" s="71"/>
      <c r="M35" s="66"/>
      <c r="N35" s="66"/>
      <c r="O35" s="66"/>
      <c r="P35" s="66"/>
      <c r="Q35" s="66"/>
      <c r="R35" s="72"/>
      <c r="S35" s="24"/>
      <c r="Y35" s="14"/>
      <c r="AG35" s="24"/>
      <c r="AM35" s="14"/>
      <c r="AU35" s="24"/>
      <c r="AX35" s="49"/>
      <c r="BK35" s="46"/>
      <c r="BO35" s="14"/>
      <c r="BP35" s="14"/>
    </row>
    <row r="36" spans="1:71" ht="14.45">
      <c r="A36" s="24"/>
      <c r="B36" s="24"/>
      <c r="L36" s="71"/>
      <c r="M36" s="66"/>
      <c r="N36" s="66"/>
      <c r="O36" s="66"/>
      <c r="P36" s="66"/>
      <c r="Q36" s="66"/>
      <c r="R36" s="72"/>
      <c r="S36" s="24"/>
      <c r="Y36" s="14"/>
      <c r="Z36" s="24"/>
      <c r="AG36" s="24"/>
      <c r="AN36" s="24"/>
      <c r="AU36" s="24"/>
      <c r="BK36" s="24"/>
      <c r="BO36" s="14"/>
      <c r="BP36" s="14"/>
    </row>
    <row r="37" spans="1:71">
      <c r="A37" s="24"/>
      <c r="B37" s="24"/>
      <c r="L37" s="71"/>
      <c r="M37" s="66"/>
      <c r="N37" s="66"/>
      <c r="O37" s="66"/>
      <c r="P37" s="66"/>
      <c r="Q37" s="66"/>
      <c r="R37" s="72"/>
      <c r="S37" s="24"/>
      <c r="Y37" s="14"/>
      <c r="Z37" s="24"/>
      <c r="AG37" s="24"/>
      <c r="AN37" s="24"/>
      <c r="AU37" s="24"/>
      <c r="AV37" s="16" t="s">
        <v>616</v>
      </c>
      <c r="BK37" s="24"/>
      <c r="BO37" s="14"/>
      <c r="BP37" s="14"/>
    </row>
    <row r="38" spans="1:71">
      <c r="A38" s="24"/>
      <c r="B38" s="24"/>
      <c r="L38" s="71"/>
      <c r="M38" s="66"/>
      <c r="N38" s="66"/>
      <c r="O38" s="66"/>
      <c r="P38" s="66"/>
      <c r="Q38" s="66"/>
      <c r="R38" s="72"/>
      <c r="S38" s="24"/>
      <c r="Y38" s="14"/>
      <c r="Z38" s="24"/>
      <c r="AG38" s="24"/>
      <c r="AN38" s="24"/>
      <c r="AU38" s="24"/>
      <c r="AW38" s="8" t="s">
        <v>617</v>
      </c>
      <c r="BK38" s="24"/>
      <c r="BO38" s="14"/>
      <c r="BP38" s="14"/>
    </row>
    <row r="39" spans="1:71" ht="14.45">
      <c r="A39" s="24"/>
      <c r="B39" s="24"/>
      <c r="L39" s="71"/>
      <c r="M39" s="66"/>
      <c r="N39" s="66"/>
      <c r="O39" s="66"/>
      <c r="P39" s="66"/>
      <c r="Q39" s="66"/>
      <c r="R39" s="72"/>
      <c r="S39" s="24"/>
      <c r="Y39" s="14"/>
      <c r="Z39" s="24"/>
      <c r="AG39" s="24"/>
      <c r="AN39" s="24"/>
      <c r="AU39" s="24"/>
      <c r="BK39" s="24"/>
      <c r="BO39" s="14"/>
      <c r="BP39" s="14"/>
    </row>
    <row r="40" spans="1:71" ht="14.45">
      <c r="A40" s="24"/>
      <c r="B40" s="24"/>
      <c r="L40" s="71"/>
      <c r="M40" s="66"/>
      <c r="N40" s="66"/>
      <c r="O40" s="66"/>
      <c r="P40" s="66"/>
      <c r="Q40" s="66"/>
      <c r="R40" s="72"/>
      <c r="S40" s="24"/>
      <c r="Y40" s="14"/>
      <c r="Z40" s="24"/>
      <c r="AG40" s="24"/>
      <c r="AN40" s="24"/>
      <c r="AU40" s="24"/>
      <c r="BK40" s="24"/>
      <c r="BO40" s="14"/>
      <c r="BP40" s="14"/>
    </row>
    <row r="41" spans="1:71" ht="14.45">
      <c r="A41" s="24"/>
      <c r="B41" s="24"/>
      <c r="L41" s="71"/>
      <c r="M41" s="66"/>
      <c r="N41" s="66"/>
      <c r="O41" s="66"/>
      <c r="P41" s="66"/>
      <c r="Q41" s="66"/>
      <c r="R41" s="72"/>
      <c r="S41" s="24"/>
      <c r="Y41" s="14"/>
      <c r="Z41" s="24"/>
      <c r="AG41" s="24"/>
      <c r="AN41" s="24"/>
      <c r="AU41" s="24"/>
      <c r="BK41" s="24"/>
      <c r="BO41" s="14"/>
      <c r="BP41" s="14"/>
    </row>
    <row r="42" spans="1:71" ht="14.45">
      <c r="A42" s="24"/>
      <c r="B42" s="24"/>
      <c r="L42" s="71"/>
      <c r="M42" s="66"/>
      <c r="N42" s="66"/>
      <c r="O42" s="66"/>
      <c r="P42" s="66"/>
      <c r="Q42" s="66"/>
      <c r="R42" s="72"/>
      <c r="S42" s="24"/>
      <c r="Y42" s="14"/>
      <c r="Z42" s="24"/>
      <c r="AG42" s="24"/>
      <c r="AN42" s="24"/>
      <c r="AU42" s="24"/>
      <c r="BK42" s="24"/>
      <c r="BO42" s="14"/>
      <c r="BP42" s="14"/>
    </row>
    <row r="43" spans="1:71">
      <c r="A43" s="24"/>
      <c r="B43" s="24"/>
      <c r="L43" s="71"/>
      <c r="M43" s="66"/>
      <c r="N43" s="66"/>
      <c r="O43" s="66"/>
      <c r="P43" s="66"/>
      <c r="Q43" s="66"/>
      <c r="R43" s="72"/>
      <c r="S43" s="24"/>
      <c r="Y43" s="14"/>
      <c r="Z43" s="24"/>
      <c r="AG43" s="24"/>
      <c r="AN43" s="24"/>
      <c r="AU43" s="24"/>
      <c r="AV43" s="8" t="s">
        <v>618</v>
      </c>
      <c r="BK43" s="24"/>
      <c r="BO43" s="14"/>
      <c r="BP43" s="14"/>
    </row>
    <row r="44" spans="1:71">
      <c r="A44" s="24"/>
      <c r="B44" s="24"/>
      <c r="L44" s="71"/>
      <c r="M44" s="66"/>
      <c r="N44" s="66"/>
      <c r="O44" s="66"/>
      <c r="P44" s="66"/>
      <c r="Q44" s="66"/>
      <c r="R44" s="72"/>
      <c r="S44" s="24"/>
      <c r="Y44" s="14"/>
      <c r="Z44" s="24"/>
      <c r="AG44" s="24"/>
      <c r="AN44" s="24"/>
      <c r="AU44" s="24"/>
      <c r="AV44" s="8" t="s">
        <v>619</v>
      </c>
      <c r="BK44" s="24"/>
      <c r="BO44" s="14"/>
      <c r="BP44" s="14"/>
    </row>
    <row r="45" spans="1:71" ht="14.45">
      <c r="A45" s="24"/>
      <c r="B45" s="24"/>
      <c r="L45" s="71"/>
      <c r="M45" s="66"/>
      <c r="N45" s="66"/>
      <c r="O45" s="66"/>
      <c r="P45" s="66"/>
      <c r="Q45" s="66"/>
      <c r="R45" s="72"/>
      <c r="S45" s="24"/>
      <c r="Y45" s="14"/>
      <c r="Z45" s="24"/>
      <c r="AG45" s="24"/>
      <c r="AN45" s="24"/>
      <c r="AU45" s="24"/>
      <c r="BK45" s="24"/>
      <c r="BO45" s="14"/>
      <c r="BP45" s="14"/>
    </row>
    <row r="46" spans="1:71" ht="14.45">
      <c r="A46" s="24"/>
      <c r="B46" s="24"/>
      <c r="L46" s="71"/>
      <c r="M46" s="66"/>
      <c r="N46" s="66"/>
      <c r="O46" s="66"/>
      <c r="P46" s="66"/>
      <c r="Q46" s="66"/>
      <c r="R46" s="72"/>
      <c r="S46" s="24"/>
      <c r="Y46" s="14"/>
      <c r="Z46" s="24"/>
      <c r="AG46" s="24"/>
      <c r="AN46" s="24"/>
      <c r="AU46" s="24"/>
      <c r="BK46" s="24"/>
      <c r="BO46" s="14"/>
      <c r="BP46" s="14"/>
    </row>
    <row r="47" spans="1:71" ht="14.45">
      <c r="A47" s="24"/>
      <c r="B47" s="24"/>
      <c r="L47" s="71"/>
      <c r="M47" s="66"/>
      <c r="N47" s="66"/>
      <c r="O47" s="66"/>
      <c r="P47" s="66"/>
      <c r="Q47" s="66"/>
      <c r="R47" s="72"/>
      <c r="S47" s="24"/>
      <c r="Y47" s="14"/>
      <c r="Z47" s="24"/>
      <c r="AG47" s="24"/>
      <c r="AN47" s="24"/>
      <c r="AU47" s="24"/>
      <c r="BK47" s="24"/>
      <c r="BO47" s="14"/>
      <c r="BP47" s="14"/>
    </row>
    <row r="48" spans="1:71" ht="14.45">
      <c r="A48" s="24"/>
      <c r="B48" s="24"/>
      <c r="L48" s="71"/>
      <c r="M48" s="66"/>
      <c r="N48" s="66"/>
      <c r="O48" s="66"/>
      <c r="P48" s="66"/>
      <c r="Q48" s="66"/>
      <c r="R48" s="72"/>
      <c r="S48" s="24"/>
      <c r="Y48" s="14"/>
      <c r="Z48" s="24"/>
      <c r="AG48" s="24"/>
      <c r="AN48" s="24"/>
      <c r="AU48" s="24"/>
      <c r="BK48" s="24"/>
      <c r="BO48" s="14"/>
      <c r="BP48" s="14"/>
    </row>
    <row r="49" spans="1:68" ht="14.45">
      <c r="A49" s="24"/>
      <c r="B49" s="24"/>
      <c r="L49" s="71"/>
      <c r="M49" s="66"/>
      <c r="N49" s="66"/>
      <c r="O49" s="66"/>
      <c r="P49" s="66"/>
      <c r="Q49" s="66"/>
      <c r="R49" s="72"/>
      <c r="S49" s="24"/>
      <c r="Y49" s="14"/>
      <c r="Z49" s="24"/>
      <c r="AG49" s="24"/>
      <c r="AN49" s="24"/>
      <c r="AU49" s="24"/>
      <c r="BK49" s="24"/>
      <c r="BO49" s="14"/>
      <c r="BP49" s="14"/>
    </row>
    <row r="50" spans="1:68">
      <c r="A50" s="24"/>
      <c r="B50" s="24"/>
      <c r="L50" s="71"/>
      <c r="M50" s="66"/>
      <c r="N50" s="66"/>
      <c r="O50" s="66"/>
      <c r="P50" s="66"/>
      <c r="Q50" s="66"/>
      <c r="R50" s="72"/>
      <c r="S50" s="24"/>
      <c r="Y50" s="14"/>
      <c r="Z50" s="24"/>
      <c r="AG50" s="24"/>
      <c r="AN50" s="24"/>
      <c r="AU50" s="24"/>
      <c r="AV50" s="16" t="s">
        <v>620</v>
      </c>
      <c r="BK50" s="24"/>
      <c r="BO50" s="14"/>
      <c r="BP50" s="14"/>
    </row>
    <row r="51" spans="1:68">
      <c r="A51" s="24"/>
      <c r="B51" s="24"/>
      <c r="L51" s="71"/>
      <c r="M51" s="66"/>
      <c r="N51" s="66"/>
      <c r="O51" s="66"/>
      <c r="P51" s="66"/>
      <c r="Q51" s="66"/>
      <c r="R51" s="72"/>
      <c r="S51" s="24"/>
      <c r="Y51" s="14"/>
      <c r="Z51" s="24"/>
      <c r="AG51" s="24"/>
      <c r="AN51" s="24"/>
      <c r="AU51" s="24"/>
      <c r="AW51" s="8" t="s">
        <v>621</v>
      </c>
      <c r="BK51" s="24"/>
      <c r="BO51" s="14"/>
      <c r="BP51" s="14"/>
    </row>
    <row r="52" spans="1:68">
      <c r="A52" s="24"/>
      <c r="B52" s="24"/>
      <c r="L52" s="71"/>
      <c r="M52" s="66"/>
      <c r="N52" s="66"/>
      <c r="O52" s="66"/>
      <c r="P52" s="66"/>
      <c r="Q52" s="66"/>
      <c r="R52" s="72"/>
      <c r="S52" s="24"/>
      <c r="Y52" s="14"/>
      <c r="Z52" s="24"/>
      <c r="AG52" s="24"/>
      <c r="AN52" s="24"/>
      <c r="AU52" s="24"/>
      <c r="AW52" s="8" t="s">
        <v>622</v>
      </c>
      <c r="BK52" s="24"/>
      <c r="BO52" s="14"/>
      <c r="BP52" s="14"/>
    </row>
    <row r="53" spans="1:68" ht="14.45">
      <c r="A53" s="24"/>
      <c r="B53" s="24"/>
      <c r="L53" s="71"/>
      <c r="M53" s="66"/>
      <c r="N53" s="66"/>
      <c r="O53" s="66"/>
      <c r="P53" s="66"/>
      <c r="Q53" s="66"/>
      <c r="R53" s="72"/>
      <c r="S53" s="24"/>
      <c r="Y53" s="14"/>
      <c r="Z53" s="24"/>
      <c r="AG53" s="24"/>
      <c r="AN53" s="24"/>
      <c r="AU53" s="24"/>
      <c r="BK53" s="24"/>
      <c r="BO53" s="14"/>
      <c r="BP53" s="14"/>
    </row>
    <row r="54" spans="1:68" ht="14.45">
      <c r="A54" s="24"/>
      <c r="B54" s="24"/>
      <c r="L54" s="71"/>
      <c r="M54" s="66"/>
      <c r="N54" s="66"/>
      <c r="O54" s="66"/>
      <c r="P54" s="66"/>
      <c r="Q54" s="66"/>
      <c r="R54" s="72"/>
      <c r="S54" s="24"/>
      <c r="Y54" s="14"/>
      <c r="Z54" s="24"/>
      <c r="AG54" s="24"/>
      <c r="AN54" s="24"/>
      <c r="AU54" s="24"/>
      <c r="BK54" s="24"/>
      <c r="BO54" s="14"/>
      <c r="BP54" s="14"/>
    </row>
    <row r="55" spans="1:68" ht="14.45">
      <c r="A55" s="24"/>
      <c r="B55" s="24"/>
      <c r="L55" s="71"/>
      <c r="M55" s="66"/>
      <c r="N55" s="66"/>
      <c r="O55" s="66"/>
      <c r="P55" s="66"/>
      <c r="Q55" s="66"/>
      <c r="R55" s="72"/>
      <c r="S55" s="24"/>
      <c r="Y55" s="14"/>
      <c r="Z55" s="24"/>
      <c r="AG55" s="24"/>
      <c r="AN55" s="24"/>
      <c r="AU55" s="24"/>
      <c r="BK55" s="24"/>
      <c r="BO55" s="14"/>
      <c r="BP55" s="14"/>
    </row>
    <row r="56" spans="1:68" ht="14.45">
      <c r="A56" s="24"/>
      <c r="B56" s="24"/>
      <c r="L56" s="71"/>
      <c r="M56" s="66"/>
      <c r="N56" s="66"/>
      <c r="O56" s="66"/>
      <c r="P56" s="66"/>
      <c r="Q56" s="66"/>
      <c r="R56" s="72"/>
      <c r="S56" s="24"/>
      <c r="Y56" s="14"/>
      <c r="Z56" s="24"/>
      <c r="AG56" s="24"/>
      <c r="AM56" s="14"/>
      <c r="AU56" s="24"/>
      <c r="BK56" s="24"/>
      <c r="BO56" s="14"/>
      <c r="BP56" s="14"/>
    </row>
    <row r="57" spans="1:68" ht="14.45">
      <c r="A57" s="24"/>
      <c r="B57" s="24"/>
      <c r="L57" s="71"/>
      <c r="M57" s="66"/>
      <c r="N57" s="66"/>
      <c r="O57" s="66"/>
      <c r="P57" s="66"/>
      <c r="Q57" s="66"/>
      <c r="R57" s="72"/>
      <c r="S57" s="24"/>
      <c r="Y57" s="14"/>
      <c r="Z57" s="24"/>
      <c r="AG57" s="24"/>
      <c r="AM57" s="14"/>
      <c r="AU57" s="24"/>
      <c r="BK57" s="24"/>
      <c r="BO57" s="14"/>
      <c r="BP57" s="14"/>
    </row>
    <row r="58" spans="1:68" ht="14.45">
      <c r="A58" s="24"/>
      <c r="B58" s="24"/>
      <c r="L58" s="71"/>
      <c r="M58" s="66"/>
      <c r="N58" s="66"/>
      <c r="O58" s="66"/>
      <c r="P58" s="66"/>
      <c r="Q58" s="66"/>
      <c r="R58" s="72"/>
      <c r="S58" s="24"/>
      <c r="Y58" s="14"/>
      <c r="Z58" s="24"/>
      <c r="AG58" s="24"/>
      <c r="AM58" s="14"/>
      <c r="AU58" s="24"/>
      <c r="BK58" s="24"/>
      <c r="BO58" s="14"/>
      <c r="BP58" s="14"/>
    </row>
    <row r="59" spans="1:68">
      <c r="A59" s="24"/>
      <c r="B59" s="24"/>
      <c r="L59" s="71"/>
      <c r="M59" s="66"/>
      <c r="N59" s="66"/>
      <c r="O59" s="66"/>
      <c r="P59" s="66"/>
      <c r="Q59" s="66"/>
      <c r="R59" s="72"/>
      <c r="S59" s="24"/>
      <c r="Y59" s="14"/>
      <c r="Z59" s="24"/>
      <c r="AG59" s="24"/>
      <c r="AM59" s="14"/>
      <c r="AU59" s="24"/>
      <c r="AV59" s="16" t="s">
        <v>623</v>
      </c>
      <c r="BK59" s="24"/>
      <c r="BO59" s="14"/>
      <c r="BP59" s="14"/>
    </row>
    <row r="60" spans="1:68">
      <c r="A60" s="24"/>
      <c r="B60" s="24"/>
      <c r="L60" s="71"/>
      <c r="M60" s="66"/>
      <c r="N60" s="66"/>
      <c r="O60" s="66"/>
      <c r="P60" s="66"/>
      <c r="Q60" s="66"/>
      <c r="R60" s="72"/>
      <c r="S60" s="24"/>
      <c r="Y60" s="14"/>
      <c r="Z60" s="24"/>
      <c r="AG60" s="24"/>
      <c r="AM60" s="14"/>
      <c r="AU60" s="24"/>
      <c r="AW60" s="8" t="s">
        <v>624</v>
      </c>
      <c r="BK60" s="24"/>
      <c r="BO60" s="14"/>
      <c r="BP60" s="14"/>
    </row>
    <row r="61" spans="1:68">
      <c r="A61" s="24"/>
      <c r="B61" s="24"/>
      <c r="L61" s="71"/>
      <c r="M61" s="66"/>
      <c r="N61" s="66"/>
      <c r="O61" s="66"/>
      <c r="P61" s="66"/>
      <c r="Q61" s="66"/>
      <c r="R61" s="72"/>
      <c r="S61" s="24"/>
      <c r="Y61" s="14"/>
      <c r="Z61" s="24"/>
      <c r="AG61" s="24"/>
      <c r="AM61" s="14"/>
      <c r="AU61" s="24"/>
      <c r="AW61" s="8" t="s">
        <v>625</v>
      </c>
      <c r="BK61" s="24"/>
      <c r="BO61" s="14"/>
      <c r="BP61" s="14"/>
    </row>
    <row r="62" spans="1:68" ht="14.45">
      <c r="A62" s="24"/>
      <c r="B62" s="24"/>
      <c r="L62" s="71"/>
      <c r="M62" s="66"/>
      <c r="N62" s="66"/>
      <c r="O62" s="66"/>
      <c r="P62" s="66"/>
      <c r="Q62" s="66"/>
      <c r="R62" s="72"/>
      <c r="S62" s="24"/>
      <c r="Y62" s="14"/>
      <c r="Z62" s="24"/>
      <c r="AG62" s="24"/>
      <c r="AM62" s="14"/>
      <c r="AU62" s="24"/>
      <c r="BK62" s="24"/>
      <c r="BO62" s="14"/>
      <c r="BP62" s="14"/>
    </row>
    <row r="63" spans="1:68" ht="14.45">
      <c r="A63" s="24"/>
      <c r="B63" s="24"/>
      <c r="L63" s="71"/>
      <c r="M63" s="66"/>
      <c r="N63" s="66"/>
      <c r="O63" s="66"/>
      <c r="P63" s="66"/>
      <c r="Q63" s="66"/>
      <c r="R63" s="72"/>
      <c r="S63" s="24"/>
      <c r="Y63" s="14"/>
      <c r="Z63" s="24"/>
      <c r="AG63" s="24"/>
      <c r="AM63" s="14"/>
      <c r="AU63" s="24"/>
      <c r="BK63" s="24"/>
      <c r="BO63" s="14"/>
      <c r="BP63" s="14"/>
    </row>
    <row r="64" spans="1:68" ht="14.45">
      <c r="A64" s="24"/>
      <c r="B64" s="24"/>
      <c r="L64" s="71"/>
      <c r="M64" s="66"/>
      <c r="N64" s="66"/>
      <c r="O64" s="66"/>
      <c r="P64" s="66"/>
      <c r="Q64" s="66"/>
      <c r="R64" s="72"/>
      <c r="S64" s="24"/>
      <c r="Y64" s="14"/>
      <c r="Z64" s="24"/>
      <c r="AG64" s="24"/>
      <c r="AM64" s="14"/>
      <c r="AU64" s="24"/>
      <c r="BK64" s="24"/>
      <c r="BO64" s="14"/>
      <c r="BP64" s="14"/>
    </row>
    <row r="65" spans="1:68" ht="14.45">
      <c r="A65" s="24"/>
      <c r="B65" s="24"/>
      <c r="L65" s="71"/>
      <c r="M65" s="66"/>
      <c r="N65" s="66"/>
      <c r="O65" s="66"/>
      <c r="P65" s="66"/>
      <c r="Q65" s="66"/>
      <c r="R65" s="72"/>
      <c r="S65" s="24"/>
      <c r="Y65" s="14"/>
      <c r="Z65" s="24"/>
      <c r="AG65" s="24"/>
      <c r="AM65" s="14"/>
      <c r="AU65" s="24"/>
      <c r="BK65" s="24"/>
      <c r="BO65" s="14"/>
      <c r="BP65" s="14"/>
    </row>
    <row r="66" spans="1:68">
      <c r="A66" s="24"/>
      <c r="B66" s="24"/>
      <c r="L66" s="71"/>
      <c r="M66" s="66"/>
      <c r="N66" s="66"/>
      <c r="O66" s="66"/>
      <c r="P66" s="66"/>
      <c r="Q66" s="66"/>
      <c r="R66" s="72"/>
      <c r="S66" s="24"/>
      <c r="Y66" s="14"/>
      <c r="Z66" s="24"/>
      <c r="AG66" s="24"/>
      <c r="AM66" s="14"/>
      <c r="AU66" s="24"/>
      <c r="AV66" s="16" t="s">
        <v>626</v>
      </c>
      <c r="BK66" s="24"/>
      <c r="BO66" s="14"/>
      <c r="BP66" s="14"/>
    </row>
    <row r="67" spans="1:68">
      <c r="A67" s="24"/>
      <c r="B67" s="24"/>
      <c r="L67" s="71"/>
      <c r="M67" s="66"/>
      <c r="N67" s="66"/>
      <c r="O67" s="66"/>
      <c r="P67" s="66"/>
      <c r="Q67" s="66"/>
      <c r="R67" s="72"/>
      <c r="S67" s="24"/>
      <c r="Y67" s="14"/>
      <c r="Z67" s="24"/>
      <c r="AG67" s="24"/>
      <c r="AM67" s="14"/>
      <c r="AU67" s="24"/>
      <c r="AW67" s="8" t="s">
        <v>627</v>
      </c>
      <c r="BK67" s="24"/>
      <c r="BO67" s="14"/>
      <c r="BP67" s="14"/>
    </row>
    <row r="68" spans="1:68">
      <c r="A68" s="24"/>
      <c r="B68" s="24"/>
      <c r="L68" s="71"/>
      <c r="M68" s="66"/>
      <c r="N68" s="66"/>
      <c r="O68" s="66"/>
      <c r="P68" s="66"/>
      <c r="Q68" s="66"/>
      <c r="R68" s="72"/>
      <c r="S68" s="24"/>
      <c r="Y68" s="14"/>
      <c r="Z68" s="24"/>
      <c r="AG68" s="24"/>
      <c r="AM68" s="14"/>
      <c r="AU68" s="24"/>
      <c r="AW68" s="8" t="s">
        <v>118</v>
      </c>
      <c r="AX68" s="8" t="s">
        <v>628</v>
      </c>
      <c r="BK68" s="24"/>
      <c r="BO68" s="14"/>
      <c r="BP68" s="14"/>
    </row>
    <row r="69" spans="1:68">
      <c r="A69" s="24"/>
      <c r="B69" s="24"/>
      <c r="L69" s="71"/>
      <c r="M69" s="66"/>
      <c r="N69" s="66"/>
      <c r="O69" s="66"/>
      <c r="P69" s="66"/>
      <c r="Q69" s="66"/>
      <c r="R69" s="72"/>
      <c r="S69" s="24"/>
      <c r="Y69" s="14"/>
      <c r="Z69" s="24"/>
      <c r="AG69" s="24"/>
      <c r="AM69" s="14"/>
      <c r="AU69" s="24"/>
      <c r="AW69" s="8" t="s">
        <v>118</v>
      </c>
      <c r="AX69" s="8" t="s">
        <v>629</v>
      </c>
      <c r="BK69" s="24"/>
      <c r="BO69" s="14"/>
      <c r="BP69" s="14"/>
    </row>
    <row r="70" spans="1:68" ht="14.45">
      <c r="A70" s="24"/>
      <c r="B70" s="24"/>
      <c r="L70" s="71"/>
      <c r="M70" s="66"/>
      <c r="N70" s="66"/>
      <c r="O70" s="66"/>
      <c r="P70" s="66"/>
      <c r="Q70" s="66"/>
      <c r="R70" s="72"/>
      <c r="S70" s="24"/>
      <c r="Y70" s="14"/>
      <c r="Z70" s="24"/>
      <c r="AG70" s="24"/>
      <c r="AM70" s="14"/>
      <c r="AU70" s="24"/>
      <c r="BK70" s="24"/>
      <c r="BO70" s="14"/>
      <c r="BP70" s="14"/>
    </row>
    <row r="71" spans="1:68" ht="14.45">
      <c r="A71" s="24"/>
      <c r="B71" s="24"/>
      <c r="L71" s="71"/>
      <c r="M71" s="66"/>
      <c r="N71" s="66"/>
      <c r="O71" s="66"/>
      <c r="P71" s="66"/>
      <c r="Q71" s="66"/>
      <c r="R71" s="72"/>
      <c r="S71" s="24"/>
      <c r="Y71" s="14"/>
      <c r="Z71" s="24"/>
      <c r="AG71" s="24"/>
      <c r="AM71" s="14"/>
      <c r="AU71" s="24"/>
      <c r="BK71" s="24"/>
      <c r="BO71" s="14"/>
      <c r="BP71" s="14"/>
    </row>
    <row r="72" spans="1:68" ht="14.45">
      <c r="A72" s="24"/>
      <c r="B72" s="24"/>
      <c r="L72" s="71"/>
      <c r="M72" s="66"/>
      <c r="N72" s="66"/>
      <c r="O72" s="66"/>
      <c r="P72" s="66"/>
      <c r="Q72" s="66"/>
      <c r="R72" s="72"/>
      <c r="S72" s="24"/>
      <c r="Y72" s="14"/>
      <c r="Z72" s="24"/>
      <c r="AG72" s="24"/>
      <c r="AM72" s="14"/>
      <c r="AU72" s="24"/>
      <c r="BK72" s="24"/>
      <c r="BO72" s="14"/>
      <c r="BP72" s="14"/>
    </row>
    <row r="73" spans="1:68">
      <c r="A73" s="24"/>
      <c r="B73" s="24"/>
      <c r="L73" s="71"/>
      <c r="M73" s="66"/>
      <c r="N73" s="66"/>
      <c r="O73" s="66"/>
      <c r="P73" s="66"/>
      <c r="Q73" s="66"/>
      <c r="R73" s="72"/>
      <c r="S73" s="24"/>
      <c r="Y73" s="14"/>
      <c r="Z73" s="24"/>
      <c r="AG73" s="24"/>
      <c r="AM73" s="14"/>
      <c r="AU73" s="24"/>
      <c r="AV73" s="16" t="s">
        <v>630</v>
      </c>
      <c r="BK73" s="24"/>
      <c r="BO73" s="14"/>
      <c r="BP73" s="14"/>
    </row>
    <row r="74" spans="1:68">
      <c r="A74" s="24"/>
      <c r="B74" s="24"/>
      <c r="L74" s="71"/>
      <c r="M74" s="66"/>
      <c r="N74" s="66"/>
      <c r="O74" s="66"/>
      <c r="P74" s="66"/>
      <c r="Q74" s="66"/>
      <c r="R74" s="72"/>
      <c r="S74" s="24"/>
      <c r="Y74" s="14"/>
      <c r="Z74" s="24"/>
      <c r="AG74" s="24"/>
      <c r="AM74" s="14"/>
      <c r="AU74" s="24"/>
      <c r="AW74" s="8" t="s">
        <v>631</v>
      </c>
      <c r="BK74" s="24"/>
      <c r="BO74" s="14"/>
      <c r="BP74" s="14"/>
    </row>
    <row r="75" spans="1:68">
      <c r="A75" s="24"/>
      <c r="B75" s="24"/>
      <c r="L75" s="71"/>
      <c r="M75" s="66"/>
      <c r="N75" s="66"/>
      <c r="O75" s="66"/>
      <c r="P75" s="66"/>
      <c r="Q75" s="66"/>
      <c r="R75" s="72"/>
      <c r="S75" s="24"/>
      <c r="Y75" s="14"/>
      <c r="Z75" s="24"/>
      <c r="AG75" s="24"/>
      <c r="AM75" s="14"/>
      <c r="AU75" s="24"/>
      <c r="AW75" s="8" t="s">
        <v>118</v>
      </c>
      <c r="AX75" s="8" t="s">
        <v>632</v>
      </c>
      <c r="BK75" s="24"/>
      <c r="BO75" s="14"/>
      <c r="BP75" s="14"/>
    </row>
    <row r="76" spans="1:68" ht="14.45">
      <c r="A76" s="24"/>
      <c r="B76" s="24"/>
      <c r="L76" s="71"/>
      <c r="M76" s="66"/>
      <c r="N76" s="66"/>
      <c r="O76" s="66"/>
      <c r="P76" s="66"/>
      <c r="Q76" s="66"/>
      <c r="R76" s="72"/>
      <c r="S76" s="24"/>
      <c r="Y76" s="14"/>
      <c r="Z76" s="24"/>
      <c r="AG76" s="24"/>
      <c r="AM76" s="14"/>
      <c r="AU76" s="24"/>
      <c r="BK76" s="24"/>
      <c r="BO76" s="14"/>
      <c r="BP76" s="14"/>
    </row>
    <row r="77" spans="1:68" ht="14.45">
      <c r="A77" s="24"/>
      <c r="B77" s="24"/>
      <c r="L77" s="71"/>
      <c r="M77" s="66"/>
      <c r="N77" s="66"/>
      <c r="O77" s="66"/>
      <c r="P77" s="66"/>
      <c r="Q77" s="66"/>
      <c r="R77" s="72"/>
      <c r="S77" s="24"/>
      <c r="Y77" s="14"/>
      <c r="Z77" s="24"/>
      <c r="AG77" s="24"/>
      <c r="AM77" s="14"/>
      <c r="AU77" s="24"/>
      <c r="BK77" s="24"/>
      <c r="BO77" s="14"/>
      <c r="BP77" s="14"/>
    </row>
    <row r="78" spans="1:68" ht="14.45">
      <c r="A78" s="24"/>
      <c r="B78" s="24"/>
      <c r="L78" s="71"/>
      <c r="M78" s="66"/>
      <c r="N78" s="66"/>
      <c r="O78" s="66"/>
      <c r="P78" s="66"/>
      <c r="Q78" s="66"/>
      <c r="R78" s="72"/>
      <c r="S78" s="24"/>
      <c r="Y78" s="14"/>
      <c r="Z78" s="24"/>
      <c r="AG78" s="24"/>
      <c r="AM78" s="14"/>
      <c r="AU78" s="24"/>
      <c r="BK78" s="24"/>
      <c r="BO78" s="14"/>
      <c r="BP78" s="14"/>
    </row>
    <row r="79" spans="1:68" ht="14.45">
      <c r="A79" s="24"/>
      <c r="B79" s="24"/>
      <c r="L79" s="71"/>
      <c r="M79" s="66"/>
      <c r="N79" s="66"/>
      <c r="O79" s="66"/>
      <c r="P79" s="66"/>
      <c r="Q79" s="66"/>
      <c r="R79" s="72"/>
      <c r="S79" s="24"/>
      <c r="Y79" s="14"/>
      <c r="Z79" s="24"/>
      <c r="AG79" s="24"/>
      <c r="AM79" s="14"/>
      <c r="AU79" s="24"/>
      <c r="BK79" s="24"/>
      <c r="BO79" s="14"/>
      <c r="BP79" s="14"/>
    </row>
    <row r="80" spans="1:68" ht="14.45">
      <c r="A80" s="24"/>
      <c r="B80" s="24"/>
      <c r="L80" s="71"/>
      <c r="M80" s="66"/>
      <c r="N80" s="66"/>
      <c r="O80" s="66"/>
      <c r="P80" s="66"/>
      <c r="Q80" s="66"/>
      <c r="R80" s="72"/>
      <c r="S80" s="24"/>
      <c r="Y80" s="14"/>
      <c r="Z80" s="24"/>
      <c r="AG80" s="24"/>
      <c r="AM80" s="14"/>
      <c r="AU80" s="24"/>
      <c r="BK80" s="24"/>
      <c r="BO80" s="14"/>
      <c r="BP80" s="14"/>
    </row>
    <row r="81" spans="1:68" ht="14.45">
      <c r="A81" s="24"/>
      <c r="B81" s="24"/>
      <c r="L81" s="71"/>
      <c r="M81" s="66"/>
      <c r="N81" s="66"/>
      <c r="O81" s="66"/>
      <c r="P81" s="66"/>
      <c r="Q81" s="66"/>
      <c r="R81" s="72"/>
      <c r="S81" s="24"/>
      <c r="Y81" s="14"/>
      <c r="Z81" s="24"/>
      <c r="AG81" s="24"/>
      <c r="AM81" s="14"/>
      <c r="AU81" s="24"/>
      <c r="BK81" s="24"/>
      <c r="BO81" s="14"/>
      <c r="BP81" s="14"/>
    </row>
    <row r="82" spans="1:68">
      <c r="A82" s="24"/>
      <c r="B82" s="24"/>
      <c r="L82" s="71"/>
      <c r="M82" s="66"/>
      <c r="N82" s="66"/>
      <c r="O82" s="66"/>
      <c r="P82" s="66"/>
      <c r="Q82" s="66"/>
      <c r="R82" s="72"/>
      <c r="S82" s="24"/>
      <c r="Y82" s="14"/>
      <c r="Z82" s="24"/>
      <c r="AG82" s="24"/>
      <c r="AM82" s="14"/>
      <c r="AU82" s="24"/>
      <c r="AV82" s="16" t="s">
        <v>633</v>
      </c>
      <c r="BK82" s="24"/>
      <c r="BO82" s="14"/>
      <c r="BP82" s="14"/>
    </row>
    <row r="83" spans="1:68">
      <c r="A83" s="24"/>
      <c r="B83" s="24"/>
      <c r="L83" s="71"/>
      <c r="M83" s="66"/>
      <c r="N83" s="66"/>
      <c r="O83" s="66"/>
      <c r="P83" s="66"/>
      <c r="Q83" s="66"/>
      <c r="R83" s="72"/>
      <c r="S83" s="24"/>
      <c r="Y83" s="14"/>
      <c r="Z83" s="24"/>
      <c r="AG83" s="24"/>
      <c r="AM83" s="14"/>
      <c r="AU83" s="24"/>
      <c r="AW83" s="8" t="s">
        <v>634</v>
      </c>
      <c r="BK83" s="24"/>
      <c r="BO83" s="14"/>
      <c r="BP83" s="14"/>
    </row>
    <row r="84" spans="1:68">
      <c r="A84" s="24"/>
      <c r="B84" s="24"/>
      <c r="L84" s="71"/>
      <c r="M84" s="66"/>
      <c r="N84" s="66"/>
      <c r="O84" s="66"/>
      <c r="P84" s="66"/>
      <c r="Q84" s="66"/>
      <c r="R84" s="72"/>
      <c r="S84" s="24"/>
      <c r="Y84" s="14"/>
      <c r="Z84" s="24"/>
      <c r="AG84" s="24"/>
      <c r="AM84" s="14"/>
      <c r="AU84" s="24"/>
      <c r="AW84" s="8" t="s">
        <v>635</v>
      </c>
      <c r="BK84" s="24"/>
      <c r="BO84" s="14"/>
      <c r="BP84" s="14"/>
    </row>
    <row r="85" spans="1:68">
      <c r="A85" s="24"/>
      <c r="B85" s="24"/>
      <c r="L85" s="71"/>
      <c r="M85" s="66"/>
      <c r="N85" s="66"/>
      <c r="O85" s="66"/>
      <c r="P85" s="66"/>
      <c r="Q85" s="66"/>
      <c r="R85" s="72"/>
      <c r="S85" s="24"/>
      <c r="Y85" s="14"/>
      <c r="Z85" s="24"/>
      <c r="AG85" s="24"/>
      <c r="AM85" s="14"/>
      <c r="AU85" s="24"/>
      <c r="AW85" s="8" t="s">
        <v>118</v>
      </c>
      <c r="AX85" s="8" t="s">
        <v>636</v>
      </c>
      <c r="BK85" s="24"/>
      <c r="BO85" s="14"/>
      <c r="BP85" s="14"/>
    </row>
    <row r="86" spans="1:68">
      <c r="A86" s="24"/>
      <c r="B86" s="24"/>
      <c r="L86" s="71"/>
      <c r="M86" s="66"/>
      <c r="N86" s="66"/>
      <c r="O86" s="66"/>
      <c r="P86" s="66"/>
      <c r="Q86" s="66"/>
      <c r="R86" s="72"/>
      <c r="S86" s="24"/>
      <c r="Y86" s="14"/>
      <c r="Z86" s="24"/>
      <c r="AG86" s="24"/>
      <c r="AM86" s="14"/>
      <c r="AU86" s="24"/>
      <c r="AW86" s="86" t="s">
        <v>637</v>
      </c>
      <c r="AX86" s="87"/>
      <c r="AY86" s="87"/>
      <c r="AZ86" s="87"/>
      <c r="BA86" s="87"/>
      <c r="BB86" s="87"/>
      <c r="BC86" s="87"/>
      <c r="BD86" s="87"/>
      <c r="BE86" s="87"/>
      <c r="BF86" s="88"/>
      <c r="BK86" s="24"/>
      <c r="BO86" s="14"/>
      <c r="BP86" s="14"/>
    </row>
    <row r="87" spans="1:68">
      <c r="A87" s="24"/>
      <c r="B87" s="24"/>
      <c r="L87" s="71"/>
      <c r="M87" s="66"/>
      <c r="N87" s="66"/>
      <c r="O87" s="66"/>
      <c r="P87" s="66"/>
      <c r="Q87" s="66"/>
      <c r="R87" s="72"/>
      <c r="S87" s="24"/>
      <c r="Y87" s="14"/>
      <c r="Z87" s="24"/>
      <c r="AG87" s="24"/>
      <c r="AM87" s="14"/>
      <c r="AU87" s="24"/>
      <c r="AW87" s="89" t="s">
        <v>638</v>
      </c>
      <c r="AX87" s="90"/>
      <c r="AY87" s="90"/>
      <c r="AZ87" s="91"/>
      <c r="BA87" s="89" t="s">
        <v>639</v>
      </c>
      <c r="BB87" s="90"/>
      <c r="BC87" s="90"/>
      <c r="BD87" s="90"/>
      <c r="BE87" s="90"/>
      <c r="BF87" s="91"/>
      <c r="BK87" s="24"/>
      <c r="BO87" s="14"/>
      <c r="BP87" s="14"/>
    </row>
    <row r="88" spans="1:68">
      <c r="A88" s="24"/>
      <c r="B88" s="24"/>
      <c r="L88" s="71"/>
      <c r="M88" s="66"/>
      <c r="N88" s="66"/>
      <c r="O88" s="66"/>
      <c r="P88" s="66"/>
      <c r="Q88" s="66"/>
      <c r="R88" s="72"/>
      <c r="S88" s="24"/>
      <c r="Y88" s="14"/>
      <c r="Z88" s="24"/>
      <c r="AG88" s="24"/>
      <c r="AM88" s="14"/>
      <c r="AU88" s="24"/>
      <c r="AW88" s="45" t="s">
        <v>118</v>
      </c>
      <c r="AX88" s="45" t="s">
        <v>640</v>
      </c>
      <c r="BK88" s="24"/>
      <c r="BO88" s="14"/>
      <c r="BP88" s="14"/>
    </row>
    <row r="89" spans="1:68" ht="14.45">
      <c r="A89" s="24"/>
      <c r="B89" s="24"/>
      <c r="L89" s="71"/>
      <c r="M89" s="66"/>
      <c r="N89" s="66"/>
      <c r="O89" s="66"/>
      <c r="P89" s="66"/>
      <c r="Q89" s="66"/>
      <c r="R89" s="72"/>
      <c r="S89" s="24"/>
      <c r="Y89" s="14"/>
      <c r="Z89" s="24"/>
      <c r="AG89" s="24"/>
      <c r="AM89" s="14"/>
      <c r="AU89" s="24"/>
      <c r="BK89" s="24"/>
      <c r="BO89" s="14"/>
      <c r="BP89" s="14"/>
    </row>
    <row r="90" spans="1:68" ht="14.45">
      <c r="A90" s="24"/>
      <c r="B90" s="24"/>
      <c r="L90" s="71"/>
      <c r="M90" s="66"/>
      <c r="N90" s="66"/>
      <c r="O90" s="66"/>
      <c r="P90" s="66"/>
      <c r="Q90" s="66"/>
      <c r="R90" s="72"/>
      <c r="S90" s="24"/>
      <c r="Y90" s="14"/>
      <c r="Z90" s="24"/>
      <c r="AG90" s="24"/>
      <c r="AM90" s="14"/>
      <c r="AU90" s="24"/>
      <c r="BK90" s="24"/>
      <c r="BO90" s="14"/>
      <c r="BP90" s="14"/>
    </row>
    <row r="91" spans="1:68" ht="14.45">
      <c r="A91" s="24"/>
      <c r="B91" s="24"/>
      <c r="L91" s="71"/>
      <c r="M91" s="66"/>
      <c r="N91" s="66"/>
      <c r="O91" s="66"/>
      <c r="P91" s="66"/>
      <c r="Q91" s="66"/>
      <c r="R91" s="72"/>
      <c r="S91" s="24"/>
      <c r="Y91" s="14"/>
      <c r="Z91" s="24"/>
      <c r="AG91" s="24"/>
      <c r="AM91" s="14"/>
      <c r="AU91" s="24"/>
      <c r="BK91" s="24"/>
      <c r="BO91" s="14"/>
      <c r="BP91" s="14"/>
    </row>
    <row r="92" spans="1:68" ht="14.45">
      <c r="A92" s="24"/>
      <c r="B92" s="24"/>
      <c r="L92" s="71"/>
      <c r="M92" s="66"/>
      <c r="N92" s="66"/>
      <c r="O92" s="66"/>
      <c r="P92" s="66"/>
      <c r="Q92" s="66"/>
      <c r="R92" s="72"/>
      <c r="S92" s="24"/>
      <c r="Y92" s="14"/>
      <c r="Z92" s="24"/>
      <c r="AG92" s="24"/>
      <c r="AM92" s="14"/>
      <c r="AU92" s="24"/>
      <c r="BK92" s="24"/>
      <c r="BO92" s="14"/>
      <c r="BP92" s="14"/>
    </row>
    <row r="93" spans="1:68" ht="14.45">
      <c r="A93" s="24"/>
      <c r="B93" s="24"/>
      <c r="L93" s="71"/>
      <c r="M93" s="66"/>
      <c r="N93" s="66"/>
      <c r="O93" s="66"/>
      <c r="P93" s="66"/>
      <c r="Q93" s="66"/>
      <c r="R93" s="72"/>
      <c r="S93" s="24"/>
      <c r="Y93" s="14"/>
      <c r="Z93" s="24"/>
      <c r="AG93" s="24"/>
      <c r="AM93" s="14"/>
      <c r="AU93" s="24"/>
      <c r="BK93" s="24"/>
      <c r="BO93" s="14"/>
      <c r="BP93" s="14"/>
    </row>
    <row r="94" spans="1:68" ht="14.45">
      <c r="A94" s="24"/>
      <c r="B94" s="24"/>
      <c r="L94" s="71"/>
      <c r="M94" s="66"/>
      <c r="N94" s="66"/>
      <c r="O94" s="66"/>
      <c r="P94" s="66"/>
      <c r="Q94" s="66"/>
      <c r="R94" s="72"/>
      <c r="S94" s="24"/>
      <c r="Y94" s="14"/>
      <c r="Z94" s="24"/>
      <c r="AG94" s="24"/>
      <c r="AM94" s="14"/>
      <c r="AU94" s="24"/>
      <c r="BK94" s="24"/>
      <c r="BO94" s="14"/>
      <c r="BP94" s="14"/>
    </row>
    <row r="95" spans="1:68">
      <c r="A95" s="24"/>
      <c r="B95" s="24"/>
      <c r="L95" s="71"/>
      <c r="M95" s="66"/>
      <c r="N95" s="66"/>
      <c r="O95" s="66"/>
      <c r="P95" s="66"/>
      <c r="Q95" s="66"/>
      <c r="R95" s="72"/>
      <c r="S95" s="24"/>
      <c r="Y95" s="14"/>
      <c r="Z95" s="24"/>
      <c r="AG95" s="24"/>
      <c r="AM95" s="14"/>
      <c r="AU95" s="24"/>
      <c r="AV95" s="16" t="s">
        <v>641</v>
      </c>
      <c r="BK95" s="24"/>
      <c r="BO95" s="14"/>
      <c r="BP95" s="14"/>
    </row>
    <row r="96" spans="1:68">
      <c r="A96" s="24"/>
      <c r="B96" s="24"/>
      <c r="L96" s="71"/>
      <c r="M96" s="66"/>
      <c r="N96" s="66"/>
      <c r="O96" s="66"/>
      <c r="P96" s="66"/>
      <c r="Q96" s="66"/>
      <c r="R96" s="72"/>
      <c r="S96" s="24"/>
      <c r="Y96" s="14"/>
      <c r="Z96" s="24"/>
      <c r="AG96" s="24"/>
      <c r="AM96" s="14"/>
      <c r="AU96" s="24"/>
      <c r="AW96" s="8" t="s">
        <v>642</v>
      </c>
      <c r="BK96" s="24"/>
      <c r="BO96" s="14"/>
      <c r="BP96" s="14"/>
    </row>
    <row r="97" spans="1:68">
      <c r="A97" s="24"/>
      <c r="B97" s="24"/>
      <c r="L97" s="71"/>
      <c r="M97" s="66"/>
      <c r="N97" s="66"/>
      <c r="O97" s="66"/>
      <c r="P97" s="66"/>
      <c r="Q97" s="66"/>
      <c r="R97" s="72"/>
      <c r="S97" s="24"/>
      <c r="Y97" s="14"/>
      <c r="Z97" s="24"/>
      <c r="AG97" s="24"/>
      <c r="AM97" s="14"/>
      <c r="AU97" s="24"/>
      <c r="AW97" s="8" t="s">
        <v>643</v>
      </c>
      <c r="BK97" s="24"/>
      <c r="BO97" s="14"/>
      <c r="BP97" s="14"/>
    </row>
    <row r="98" spans="1:68" ht="14.45">
      <c r="A98" s="24"/>
      <c r="B98" s="24"/>
      <c r="L98" s="71"/>
      <c r="M98" s="66"/>
      <c r="N98" s="66"/>
      <c r="O98" s="66"/>
      <c r="P98" s="66"/>
      <c r="Q98" s="66"/>
      <c r="R98" s="72"/>
      <c r="S98" s="24"/>
      <c r="Y98" s="14"/>
      <c r="Z98" s="24"/>
      <c r="AG98" s="24"/>
      <c r="AM98" s="14"/>
      <c r="AU98" s="24"/>
      <c r="BK98" s="24"/>
      <c r="BO98" s="14"/>
      <c r="BP98" s="14"/>
    </row>
    <row r="99" spans="1:68" ht="14.45">
      <c r="A99" s="24"/>
      <c r="B99" s="24"/>
      <c r="L99" s="71"/>
      <c r="M99" s="66"/>
      <c r="N99" s="66"/>
      <c r="O99" s="66"/>
      <c r="P99" s="66"/>
      <c r="Q99" s="66"/>
      <c r="R99" s="72"/>
      <c r="S99" s="24"/>
      <c r="Y99" s="14"/>
      <c r="Z99" s="24"/>
      <c r="AG99" s="24"/>
      <c r="AM99" s="14"/>
      <c r="AU99" s="24"/>
      <c r="BK99" s="24"/>
      <c r="BO99" s="14"/>
      <c r="BP99" s="14"/>
    </row>
    <row r="100" spans="1:68" ht="14.45">
      <c r="A100" s="24"/>
      <c r="B100" s="24"/>
      <c r="L100" s="71"/>
      <c r="M100" s="66"/>
      <c r="N100" s="66"/>
      <c r="O100" s="66"/>
      <c r="P100" s="66"/>
      <c r="Q100" s="66"/>
      <c r="R100" s="72"/>
      <c r="S100" s="24"/>
      <c r="Y100" s="14"/>
      <c r="Z100" s="24"/>
      <c r="AG100" s="24"/>
      <c r="AM100" s="14"/>
      <c r="AU100" s="24"/>
      <c r="BK100" s="24"/>
      <c r="BO100" s="14"/>
      <c r="BP100" s="14"/>
    </row>
    <row r="101" spans="1:68" ht="14.45">
      <c r="A101" s="24"/>
      <c r="B101" s="24"/>
      <c r="L101" s="71"/>
      <c r="M101" s="66"/>
      <c r="N101" s="66"/>
      <c r="O101" s="66"/>
      <c r="P101" s="66"/>
      <c r="Q101" s="66"/>
      <c r="R101" s="72"/>
      <c r="S101" s="24"/>
      <c r="Y101" s="14"/>
      <c r="Z101" s="24"/>
      <c r="AG101" s="24"/>
      <c r="AM101" s="14"/>
      <c r="AU101" s="24"/>
      <c r="BK101" s="24"/>
      <c r="BO101" s="14"/>
      <c r="BP101" s="14"/>
    </row>
    <row r="102" spans="1:68" ht="14.45">
      <c r="A102" s="24"/>
      <c r="B102" s="24"/>
      <c r="L102" s="71"/>
      <c r="M102" s="66"/>
      <c r="N102" s="66"/>
      <c r="O102" s="66"/>
      <c r="P102" s="66"/>
      <c r="Q102" s="66"/>
      <c r="R102" s="72"/>
      <c r="S102" s="24"/>
      <c r="Y102" s="14"/>
      <c r="Z102" s="24"/>
      <c r="AG102" s="24"/>
      <c r="AM102" s="14"/>
      <c r="AU102" s="24"/>
      <c r="BK102" s="24"/>
      <c r="BO102" s="14"/>
      <c r="BP102" s="14"/>
    </row>
    <row r="103" spans="1:68" ht="14.45">
      <c r="A103" s="24"/>
      <c r="B103" s="24"/>
      <c r="K103" s="14"/>
      <c r="L103" s="71"/>
      <c r="M103" s="66"/>
      <c r="N103" s="66"/>
      <c r="O103" s="66"/>
      <c r="P103" s="66"/>
      <c r="Q103" s="66"/>
      <c r="R103" s="72"/>
      <c r="S103" s="24"/>
      <c r="Y103" s="14"/>
      <c r="Z103" s="24"/>
      <c r="AG103" s="24"/>
      <c r="AM103" s="14"/>
      <c r="AU103" s="24"/>
      <c r="AV103" s="11"/>
      <c r="AW103" s="49"/>
      <c r="AX103" s="11"/>
      <c r="AY103" s="11"/>
      <c r="BK103" s="24"/>
      <c r="BO103" s="14"/>
      <c r="BP103" s="14"/>
    </row>
    <row r="104" spans="1:68" ht="14.45">
      <c r="A104" s="24"/>
      <c r="B104" s="24"/>
      <c r="K104" s="14"/>
      <c r="L104" s="71"/>
      <c r="M104" s="66"/>
      <c r="N104" s="66"/>
      <c r="O104" s="66"/>
      <c r="P104" s="66"/>
      <c r="Q104" s="66"/>
      <c r="R104" s="72"/>
      <c r="S104" s="24"/>
      <c r="Y104" s="14"/>
      <c r="Z104" s="24"/>
      <c r="AG104" s="24"/>
      <c r="AM104" s="14"/>
      <c r="AU104" s="24"/>
      <c r="AV104" s="11"/>
      <c r="AW104" s="49"/>
      <c r="AY104" s="11"/>
      <c r="BK104" s="24"/>
      <c r="BO104" s="14"/>
      <c r="BP104" s="14"/>
    </row>
    <row r="105" spans="1:68" ht="14.45">
      <c r="A105" s="24"/>
      <c r="B105" s="24"/>
      <c r="L105" s="71"/>
      <c r="M105" s="66"/>
      <c r="N105" s="66"/>
      <c r="O105" s="66"/>
      <c r="P105" s="66"/>
      <c r="Q105" s="66"/>
      <c r="R105" s="72"/>
      <c r="S105" s="24"/>
      <c r="Y105" s="14"/>
      <c r="Z105" s="24"/>
      <c r="AG105" s="24"/>
      <c r="AM105" s="14"/>
      <c r="AU105" s="24"/>
      <c r="AW105" s="49"/>
      <c r="BK105" s="24"/>
      <c r="BO105" s="14"/>
      <c r="BP105" s="14"/>
    </row>
    <row r="106" spans="1:68" ht="14.45">
      <c r="A106" s="24"/>
      <c r="B106" s="24"/>
      <c r="K106" s="14"/>
      <c r="L106" s="71"/>
      <c r="M106" s="66"/>
      <c r="N106" s="66"/>
      <c r="O106" s="66"/>
      <c r="P106" s="66"/>
      <c r="Q106" s="66"/>
      <c r="R106" s="72"/>
      <c r="S106" s="24"/>
      <c r="Y106" s="14"/>
      <c r="Z106" s="24"/>
      <c r="AG106" s="24"/>
      <c r="AM106" s="14"/>
      <c r="AU106" s="24"/>
      <c r="BK106" s="24"/>
      <c r="BO106" s="14"/>
      <c r="BP106" s="14"/>
    </row>
    <row r="107" spans="1:68" ht="14.45">
      <c r="A107" s="24"/>
      <c r="B107" s="24"/>
      <c r="K107" s="14"/>
      <c r="L107" s="71"/>
      <c r="M107" s="66"/>
      <c r="N107" s="66"/>
      <c r="O107" s="66"/>
      <c r="P107" s="66"/>
      <c r="Q107" s="66"/>
      <c r="R107" s="72"/>
      <c r="S107" s="24"/>
      <c r="Y107" s="14"/>
      <c r="Z107" s="24"/>
      <c r="AG107" s="24"/>
      <c r="AM107" s="14"/>
      <c r="AU107" s="24"/>
      <c r="BK107" s="24"/>
      <c r="BO107" s="14"/>
      <c r="BP107" s="14"/>
    </row>
    <row r="108" spans="1:68" s="11" customFormat="1">
      <c r="A108" s="25"/>
      <c r="B108" s="26" t="s">
        <v>591</v>
      </c>
      <c r="C108" s="31"/>
      <c r="D108" s="31"/>
      <c r="E108" s="31"/>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30"/>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13"/>
    </row>
    <row r="109" spans="1:68" s="11" customFormat="1" ht="14.45">
      <c r="A109" s="25"/>
      <c r="B109" s="24"/>
      <c r="C109" s="8"/>
      <c r="D109" s="8"/>
      <c r="E109" s="8"/>
      <c r="F109" s="8"/>
      <c r="G109" s="8"/>
      <c r="H109" s="8"/>
      <c r="I109" s="8"/>
      <c r="J109" s="8"/>
      <c r="K109" s="14"/>
      <c r="L109" s="71"/>
      <c r="M109" s="66"/>
      <c r="N109" s="66"/>
      <c r="O109" s="66"/>
      <c r="P109" s="66"/>
      <c r="Q109" s="66"/>
      <c r="R109" s="66"/>
      <c r="S109" s="24"/>
      <c r="T109" s="8"/>
      <c r="U109" s="8"/>
      <c r="V109" s="8"/>
      <c r="W109" s="8"/>
      <c r="X109" s="8"/>
      <c r="Y109" s="8"/>
      <c r="Z109" s="24"/>
      <c r="AA109" s="8"/>
      <c r="AB109" s="8"/>
      <c r="AC109" s="8"/>
      <c r="AD109" s="8"/>
      <c r="AE109" s="8"/>
      <c r="AF109" s="8"/>
      <c r="AG109" s="24"/>
      <c r="AH109" s="8"/>
      <c r="AI109" s="8"/>
      <c r="AJ109" s="8"/>
      <c r="AK109" s="8"/>
      <c r="AL109" s="8"/>
      <c r="AM109" s="14"/>
      <c r="AN109" s="8"/>
      <c r="AO109" s="8"/>
      <c r="AP109" s="8"/>
      <c r="AQ109" s="8"/>
      <c r="AR109" s="8"/>
      <c r="AS109" s="8"/>
      <c r="AT109" s="8"/>
      <c r="AU109" s="24"/>
      <c r="AV109" s="8"/>
      <c r="AW109" s="8"/>
      <c r="AX109" s="8"/>
      <c r="AY109" s="8"/>
      <c r="AZ109" s="8"/>
      <c r="BA109" s="8"/>
      <c r="BB109" s="8"/>
      <c r="BC109" s="8"/>
      <c r="BD109" s="8"/>
      <c r="BE109" s="8"/>
      <c r="BF109" s="8"/>
      <c r="BG109" s="8"/>
      <c r="BH109" s="8"/>
      <c r="BI109" s="8"/>
      <c r="BJ109" s="8"/>
      <c r="BK109" s="24"/>
      <c r="BL109" s="8"/>
      <c r="BM109" s="8"/>
      <c r="BN109" s="8"/>
      <c r="BO109" s="14"/>
      <c r="BP109" s="13"/>
    </row>
    <row r="110" spans="1:68" ht="14.45">
      <c r="A110" s="24"/>
      <c r="B110" s="24"/>
      <c r="K110" s="14"/>
      <c r="L110" s="71"/>
      <c r="M110" s="66"/>
      <c r="N110" s="66"/>
      <c r="O110" s="66"/>
      <c r="P110" s="66"/>
      <c r="Q110" s="66"/>
      <c r="R110" s="66"/>
      <c r="S110" s="24"/>
      <c r="Z110" s="24"/>
      <c r="AG110" s="24"/>
      <c r="AM110" s="14"/>
      <c r="AU110" s="24"/>
      <c r="BK110" s="24"/>
      <c r="BO110" s="14"/>
      <c r="BP110" s="14"/>
    </row>
    <row r="111" spans="1:68" ht="14.45">
      <c r="A111" s="24"/>
      <c r="B111" s="24"/>
      <c r="K111" s="14"/>
      <c r="L111" s="71"/>
      <c r="M111" s="66"/>
      <c r="N111" s="66"/>
      <c r="O111" s="66"/>
      <c r="P111" s="66"/>
      <c r="Q111" s="66"/>
      <c r="R111" s="66"/>
      <c r="S111" s="24"/>
      <c r="Z111" s="24"/>
      <c r="AG111" s="24"/>
      <c r="AM111" s="14"/>
      <c r="AU111" s="24"/>
      <c r="BK111" s="24"/>
      <c r="BO111" s="14"/>
      <c r="BP111" s="14"/>
    </row>
    <row r="112" spans="1:68" ht="14.45">
      <c r="A112" s="24"/>
      <c r="B112" s="24"/>
      <c r="K112" s="14"/>
      <c r="L112" s="71"/>
      <c r="M112" s="66"/>
      <c r="N112" s="66"/>
      <c r="O112" s="66"/>
      <c r="P112" s="66"/>
      <c r="Q112" s="66"/>
      <c r="R112" s="72"/>
      <c r="S112" s="24"/>
      <c r="Y112" s="14"/>
      <c r="Z112" s="24"/>
      <c r="AG112" s="24"/>
      <c r="AM112" s="14"/>
      <c r="AU112" s="24"/>
      <c r="BK112" s="24"/>
      <c r="BO112" s="14"/>
      <c r="BP112" s="14"/>
    </row>
    <row r="113" spans="1:68" ht="14.45">
      <c r="A113" s="24"/>
      <c r="B113" s="24"/>
      <c r="K113" s="14"/>
      <c r="L113" s="71"/>
      <c r="M113" s="66"/>
      <c r="N113" s="66"/>
      <c r="O113" s="66"/>
      <c r="P113" s="66"/>
      <c r="Q113" s="66"/>
      <c r="R113" s="72"/>
      <c r="S113" s="24"/>
      <c r="Y113" s="14"/>
      <c r="Z113" s="24"/>
      <c r="AG113" s="24"/>
      <c r="AM113" s="14"/>
      <c r="AU113" s="24"/>
      <c r="BK113" s="24"/>
      <c r="BO113" s="14"/>
      <c r="BP113" s="14"/>
    </row>
    <row r="114" spans="1:68" ht="14.45">
      <c r="A114" s="24"/>
      <c r="B114" s="24"/>
      <c r="K114" s="14"/>
      <c r="L114" s="71"/>
      <c r="M114" s="66"/>
      <c r="N114" s="66"/>
      <c r="O114" s="66"/>
      <c r="P114" s="66"/>
      <c r="Q114" s="66"/>
      <c r="R114" s="72"/>
      <c r="S114" s="24"/>
      <c r="Y114" s="14"/>
      <c r="Z114" s="24"/>
      <c r="AG114" s="24"/>
      <c r="AM114" s="14"/>
      <c r="AU114" s="24"/>
      <c r="BK114" s="24"/>
      <c r="BO114" s="14"/>
      <c r="BP114" s="14"/>
    </row>
    <row r="115" spans="1:68" ht="14.45">
      <c r="A115" s="24"/>
      <c r="B115" s="24"/>
      <c r="K115" s="14"/>
      <c r="L115" s="71"/>
      <c r="M115" s="66"/>
      <c r="N115" s="66"/>
      <c r="O115" s="66"/>
      <c r="P115" s="66"/>
      <c r="Q115" s="66"/>
      <c r="R115" s="72"/>
      <c r="S115" s="24"/>
      <c r="Y115" s="14"/>
      <c r="Z115" s="24"/>
      <c r="AG115" s="24"/>
      <c r="AM115" s="14"/>
      <c r="AU115" s="24"/>
      <c r="BK115" s="24"/>
      <c r="BO115" s="14"/>
      <c r="BP115" s="14"/>
    </row>
    <row r="116" spans="1:68">
      <c r="A116" s="24"/>
      <c r="B116" s="24"/>
      <c r="K116" s="14"/>
      <c r="L116" s="71"/>
      <c r="M116" s="66"/>
      <c r="N116" s="66"/>
      <c r="O116" s="66"/>
      <c r="P116" s="66"/>
      <c r="Q116" s="66"/>
      <c r="R116" s="72"/>
      <c r="S116" s="24"/>
      <c r="Y116" s="14"/>
      <c r="Z116" s="24"/>
      <c r="AG116" s="24"/>
      <c r="AM116" s="14"/>
      <c r="AU116" s="24"/>
      <c r="AV116" s="16" t="s">
        <v>644</v>
      </c>
      <c r="BK116" s="24"/>
      <c r="BO116" s="14"/>
      <c r="BP116" s="14"/>
    </row>
    <row r="117" spans="1:68">
      <c r="A117" s="24"/>
      <c r="B117" s="24"/>
      <c r="K117" s="14"/>
      <c r="L117" s="71"/>
      <c r="M117" s="66"/>
      <c r="N117" s="66"/>
      <c r="O117" s="66"/>
      <c r="P117" s="66"/>
      <c r="Q117" s="66"/>
      <c r="R117" s="72"/>
      <c r="S117" s="24"/>
      <c r="Y117" s="14"/>
      <c r="Z117" s="24"/>
      <c r="AG117" s="24"/>
      <c r="AM117" s="14"/>
      <c r="AU117" s="24"/>
      <c r="AW117" s="8" t="s">
        <v>645</v>
      </c>
      <c r="BK117" s="24"/>
      <c r="BO117" s="14"/>
      <c r="BP117" s="14"/>
    </row>
    <row r="118" spans="1:68">
      <c r="A118" s="24"/>
      <c r="B118" s="24"/>
      <c r="K118" s="14"/>
      <c r="L118" s="71"/>
      <c r="M118" s="66"/>
      <c r="N118" s="66"/>
      <c r="O118" s="66"/>
      <c r="P118" s="66"/>
      <c r="Q118" s="66"/>
      <c r="R118" s="72"/>
      <c r="S118" s="24"/>
      <c r="Y118" s="14"/>
      <c r="Z118" s="24"/>
      <c r="AG118" s="24"/>
      <c r="AM118" s="14"/>
      <c r="AU118" s="24"/>
      <c r="AW118" s="8" t="s">
        <v>646</v>
      </c>
      <c r="BK118" s="24"/>
      <c r="BO118" s="14"/>
      <c r="BP118" s="14"/>
    </row>
    <row r="119" spans="1:68">
      <c r="A119" s="24"/>
      <c r="B119" s="24"/>
      <c r="K119" s="14"/>
      <c r="L119" s="71"/>
      <c r="M119" s="66"/>
      <c r="N119" s="66"/>
      <c r="O119" s="66"/>
      <c r="P119" s="66"/>
      <c r="Q119" s="66"/>
      <c r="R119" s="72"/>
      <c r="S119" s="24"/>
      <c r="Y119" s="14"/>
      <c r="Z119" s="24"/>
      <c r="AG119" s="24"/>
      <c r="AM119" s="14"/>
      <c r="AU119" s="24"/>
      <c r="AW119" s="8" t="s">
        <v>118</v>
      </c>
      <c r="AX119" s="8" t="s">
        <v>647</v>
      </c>
      <c r="BK119" s="24"/>
      <c r="BO119" s="14"/>
      <c r="BP119" s="14"/>
    </row>
    <row r="120" spans="1:68">
      <c r="A120" s="24"/>
      <c r="B120" s="24"/>
      <c r="K120" s="14"/>
      <c r="L120" s="71"/>
      <c r="M120" s="66"/>
      <c r="N120" s="66"/>
      <c r="O120" s="66"/>
      <c r="P120" s="66"/>
      <c r="Q120" s="66"/>
      <c r="R120" s="72"/>
      <c r="S120" s="24"/>
      <c r="Y120" s="14"/>
      <c r="Z120" s="24"/>
      <c r="AG120" s="24"/>
      <c r="AM120" s="14"/>
      <c r="AU120" s="24"/>
      <c r="AW120" s="8" t="s">
        <v>118</v>
      </c>
      <c r="AX120" s="8" t="s">
        <v>648</v>
      </c>
      <c r="BK120" s="24"/>
      <c r="BO120" s="14"/>
      <c r="BP120" s="14"/>
    </row>
    <row r="121" spans="1:68">
      <c r="A121" s="24"/>
      <c r="B121" s="24"/>
      <c r="K121" s="14"/>
      <c r="L121" s="71"/>
      <c r="M121" s="66"/>
      <c r="N121" s="66"/>
      <c r="O121" s="66"/>
      <c r="P121" s="66"/>
      <c r="Q121" s="66"/>
      <c r="R121" s="72"/>
      <c r="S121" s="24"/>
      <c r="Y121" s="14"/>
      <c r="Z121" s="24"/>
      <c r="AG121" s="24"/>
      <c r="AM121" s="14"/>
      <c r="AU121" s="24"/>
      <c r="AW121" s="86" t="s">
        <v>637</v>
      </c>
      <c r="AX121" s="87"/>
      <c r="AY121" s="87"/>
      <c r="AZ121" s="87"/>
      <c r="BA121" s="87"/>
      <c r="BB121" s="87"/>
      <c r="BC121" s="87"/>
      <c r="BD121" s="87"/>
      <c r="BE121" s="87"/>
      <c r="BF121" s="87"/>
      <c r="BG121" s="88"/>
      <c r="BK121" s="24"/>
      <c r="BO121" s="14"/>
      <c r="BP121" s="14"/>
    </row>
    <row r="122" spans="1:68">
      <c r="A122" s="24"/>
      <c r="B122" s="24"/>
      <c r="K122" s="14"/>
      <c r="L122" s="71"/>
      <c r="M122" s="66"/>
      <c r="N122" s="66"/>
      <c r="O122" s="66"/>
      <c r="P122" s="66"/>
      <c r="Q122" s="66"/>
      <c r="R122" s="72"/>
      <c r="S122" s="24"/>
      <c r="Y122" s="14"/>
      <c r="Z122" s="24"/>
      <c r="AG122" s="24"/>
      <c r="AM122" s="14"/>
      <c r="AU122" s="24"/>
      <c r="AV122" s="11"/>
      <c r="AW122" s="89" t="s">
        <v>639</v>
      </c>
      <c r="AX122" s="90"/>
      <c r="AY122" s="90"/>
      <c r="AZ122" s="90"/>
      <c r="BA122" s="91"/>
      <c r="BB122" s="89" t="s">
        <v>649</v>
      </c>
      <c r="BC122" s="90"/>
      <c r="BD122" s="90"/>
      <c r="BE122" s="90"/>
      <c r="BF122" s="90"/>
      <c r="BG122" s="91"/>
      <c r="BK122" s="24"/>
      <c r="BO122" s="14"/>
      <c r="BP122" s="14"/>
    </row>
    <row r="123" spans="1:68" ht="14.45">
      <c r="A123" s="24"/>
      <c r="B123" s="24"/>
      <c r="K123" s="14"/>
      <c r="L123" s="71"/>
      <c r="M123" s="66"/>
      <c r="N123" s="66"/>
      <c r="O123" s="66"/>
      <c r="P123" s="66"/>
      <c r="Q123" s="66"/>
      <c r="R123" s="72"/>
      <c r="S123" s="24"/>
      <c r="Y123" s="14"/>
      <c r="Z123" s="24"/>
      <c r="AG123" s="24"/>
      <c r="AM123" s="14"/>
      <c r="AU123" s="24"/>
      <c r="AV123" s="11"/>
      <c r="AX123" s="11"/>
      <c r="AY123" s="11"/>
      <c r="BK123" s="24"/>
      <c r="BO123" s="14"/>
      <c r="BP123" s="14"/>
    </row>
    <row r="124" spans="1:68">
      <c r="A124" s="24"/>
      <c r="B124" s="24"/>
      <c r="K124" s="14"/>
      <c r="L124" s="71"/>
      <c r="M124" s="66"/>
      <c r="N124" s="66"/>
      <c r="O124" s="66"/>
      <c r="P124" s="66"/>
      <c r="Q124" s="66"/>
      <c r="R124" s="72"/>
      <c r="S124" s="24"/>
      <c r="Y124" s="14"/>
      <c r="Z124" s="24"/>
      <c r="AG124" s="24"/>
      <c r="AM124" s="14"/>
      <c r="AU124" s="24"/>
      <c r="AV124" s="11"/>
      <c r="AW124" s="8" t="s">
        <v>118</v>
      </c>
      <c r="AX124" s="11" t="s">
        <v>650</v>
      </c>
      <c r="AY124" s="11"/>
      <c r="BK124" s="24"/>
      <c r="BO124" s="14"/>
      <c r="BP124" s="14"/>
    </row>
    <row r="125" spans="1:68">
      <c r="A125" s="24"/>
      <c r="B125" s="24"/>
      <c r="K125" s="14"/>
      <c r="L125" s="71"/>
      <c r="M125" s="66"/>
      <c r="N125" s="66"/>
      <c r="O125" s="66"/>
      <c r="P125" s="66"/>
      <c r="Q125" s="66"/>
      <c r="R125" s="72"/>
      <c r="S125" s="24"/>
      <c r="Y125" s="14"/>
      <c r="Z125" s="24"/>
      <c r="AG125" s="24"/>
      <c r="AM125" s="14"/>
      <c r="AU125" s="24"/>
      <c r="AV125" s="11"/>
      <c r="AX125" s="11" t="s">
        <v>651</v>
      </c>
      <c r="AY125" s="11"/>
      <c r="BK125" s="24"/>
      <c r="BO125" s="14"/>
      <c r="BP125" s="14"/>
    </row>
    <row r="126" spans="1:68">
      <c r="A126" s="24"/>
      <c r="B126" s="24"/>
      <c r="K126" s="14"/>
      <c r="L126" s="71"/>
      <c r="M126" s="66"/>
      <c r="N126" s="66"/>
      <c r="O126" s="66"/>
      <c r="P126" s="66"/>
      <c r="Q126" s="66"/>
      <c r="R126" s="72"/>
      <c r="S126" s="24"/>
      <c r="Y126" s="14"/>
      <c r="Z126" s="24"/>
      <c r="AG126" s="24"/>
      <c r="AM126" s="14"/>
      <c r="AU126" s="24"/>
      <c r="AV126" s="11"/>
      <c r="AX126" s="11" t="s">
        <v>652</v>
      </c>
      <c r="AY126" s="11"/>
      <c r="BK126" s="24"/>
      <c r="BO126" s="14"/>
      <c r="BP126" s="14"/>
    </row>
    <row r="127" spans="1:68">
      <c r="A127" s="24"/>
      <c r="B127" s="24"/>
      <c r="K127" s="14"/>
      <c r="L127" s="71"/>
      <c r="M127" s="66"/>
      <c r="N127" s="66"/>
      <c r="O127" s="66"/>
      <c r="P127" s="66"/>
      <c r="Q127" s="66"/>
      <c r="R127" s="72"/>
      <c r="S127" s="24"/>
      <c r="Y127" s="14"/>
      <c r="Z127" s="24"/>
      <c r="AG127" s="24"/>
      <c r="AM127" s="14"/>
      <c r="AU127" s="24"/>
      <c r="AV127" s="11"/>
      <c r="AX127" s="11" t="s">
        <v>653</v>
      </c>
      <c r="AY127" s="11"/>
      <c r="BK127" s="24"/>
      <c r="BO127" s="14"/>
      <c r="BP127" s="14"/>
    </row>
    <row r="128" spans="1:68">
      <c r="A128" s="24"/>
      <c r="B128" s="24"/>
      <c r="K128" s="14"/>
      <c r="L128" s="71"/>
      <c r="M128" s="66"/>
      <c r="N128" s="66"/>
      <c r="O128" s="66"/>
      <c r="P128" s="66"/>
      <c r="Q128" s="66"/>
      <c r="R128" s="72"/>
      <c r="S128" s="24"/>
      <c r="Y128" s="14"/>
      <c r="Z128" s="24"/>
      <c r="AG128" s="24"/>
      <c r="AM128" s="14"/>
      <c r="AU128" s="24"/>
      <c r="AV128" s="11"/>
      <c r="AX128" s="11" t="s">
        <v>654</v>
      </c>
      <c r="AY128" s="11"/>
      <c r="BK128" s="24"/>
      <c r="BO128" s="14"/>
      <c r="BP128" s="14"/>
    </row>
    <row r="129" spans="1:68">
      <c r="A129" s="24"/>
      <c r="B129" s="24"/>
      <c r="K129" s="14"/>
      <c r="L129" s="71"/>
      <c r="M129" s="66"/>
      <c r="N129" s="66"/>
      <c r="O129" s="66"/>
      <c r="P129" s="66"/>
      <c r="Q129" s="66"/>
      <c r="R129" s="72"/>
      <c r="S129" s="24"/>
      <c r="Y129" s="14"/>
      <c r="Z129" s="24"/>
      <c r="AG129" s="24"/>
      <c r="AM129" s="14"/>
      <c r="AU129" s="24"/>
      <c r="AV129" s="11"/>
      <c r="AX129" s="11" t="s">
        <v>655</v>
      </c>
      <c r="AY129" s="11"/>
      <c r="BK129" s="24"/>
      <c r="BO129" s="14"/>
      <c r="BP129" s="14"/>
    </row>
    <row r="130" spans="1:68" ht="14.45">
      <c r="A130" s="24"/>
      <c r="B130" s="24"/>
      <c r="K130" s="14"/>
      <c r="L130" s="71"/>
      <c r="M130" s="66"/>
      <c r="N130" s="66"/>
      <c r="O130" s="66"/>
      <c r="P130" s="66"/>
      <c r="Q130" s="66"/>
      <c r="R130" s="72"/>
      <c r="S130" s="24"/>
      <c r="Y130" s="14"/>
      <c r="Z130" s="24"/>
      <c r="AG130" s="24"/>
      <c r="AM130" s="14"/>
      <c r="AU130" s="24"/>
      <c r="AV130" s="11"/>
      <c r="AX130" s="11"/>
      <c r="AY130" s="11"/>
      <c r="BK130" s="24"/>
      <c r="BO130" s="14"/>
      <c r="BP130" s="14"/>
    </row>
    <row r="131" spans="1:68" s="11" customFormat="1">
      <c r="A131" s="25"/>
      <c r="B131" s="26" t="s">
        <v>599</v>
      </c>
      <c r="C131" s="31"/>
      <c r="D131" s="31"/>
      <c r="E131" s="31"/>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30"/>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13"/>
    </row>
    <row r="132" spans="1:68" s="11" customFormat="1" ht="14.45">
      <c r="A132" s="25"/>
      <c r="B132" s="24"/>
      <c r="C132" s="8"/>
      <c r="D132" s="8"/>
      <c r="E132" s="8"/>
      <c r="F132" s="8"/>
      <c r="G132" s="8"/>
      <c r="H132" s="8"/>
      <c r="I132" s="8"/>
      <c r="J132" s="8"/>
      <c r="K132" s="14"/>
      <c r="L132" s="71"/>
      <c r="M132" s="66"/>
      <c r="N132" s="66"/>
      <c r="O132" s="66"/>
      <c r="P132" s="66"/>
      <c r="Q132" s="66"/>
      <c r="R132" s="72"/>
      <c r="S132" s="24"/>
      <c r="T132" s="8"/>
      <c r="U132" s="8"/>
      <c r="V132" s="8"/>
      <c r="W132" s="8"/>
      <c r="X132" s="8"/>
      <c r="Y132" s="14"/>
      <c r="Z132" s="24"/>
      <c r="AA132" s="8"/>
      <c r="AB132" s="8"/>
      <c r="AC132" s="8"/>
      <c r="AD132" s="8"/>
      <c r="AE132" s="8"/>
      <c r="AF132" s="8"/>
      <c r="AG132" s="24"/>
      <c r="AH132" s="8"/>
      <c r="AI132" s="8"/>
      <c r="AJ132" s="8"/>
      <c r="AK132" s="8"/>
      <c r="AL132" s="8"/>
      <c r="AM132" s="14"/>
      <c r="AN132" s="8"/>
      <c r="AO132" s="8"/>
      <c r="AP132" s="8"/>
      <c r="AQ132" s="8"/>
      <c r="AR132" s="8"/>
      <c r="AS132" s="8"/>
      <c r="AT132" s="8"/>
      <c r="AU132" s="24"/>
      <c r="AV132" s="8"/>
      <c r="AW132" s="8"/>
      <c r="AX132" s="8"/>
      <c r="AY132" s="8"/>
      <c r="AZ132" s="8"/>
      <c r="BA132" s="8"/>
      <c r="BB132" s="8"/>
      <c r="BC132" s="8"/>
      <c r="BD132" s="8"/>
      <c r="BE132" s="8"/>
      <c r="BF132" s="8"/>
      <c r="BG132" s="8"/>
      <c r="BH132" s="8"/>
      <c r="BI132" s="8"/>
      <c r="BJ132" s="8"/>
      <c r="BK132" s="24"/>
      <c r="BL132" s="8"/>
      <c r="BM132" s="8"/>
      <c r="BN132" s="8"/>
      <c r="BO132" s="14"/>
      <c r="BP132" s="13"/>
    </row>
    <row r="133" spans="1:68" ht="14.45">
      <c r="A133" s="24"/>
      <c r="B133" s="24"/>
      <c r="K133" s="14"/>
      <c r="L133" s="71"/>
      <c r="M133" s="66"/>
      <c r="N133" s="66"/>
      <c r="O133" s="66"/>
      <c r="P133" s="66"/>
      <c r="Q133" s="66"/>
      <c r="R133" s="72"/>
      <c r="S133" s="24"/>
      <c r="Y133" s="14"/>
      <c r="Z133" s="24"/>
      <c r="AG133" s="24"/>
      <c r="AM133" s="14"/>
      <c r="AU133" s="24"/>
      <c r="BK133" s="24"/>
      <c r="BO133" s="14"/>
      <c r="BP133" s="14"/>
    </row>
    <row r="134" spans="1:68" ht="14.45">
      <c r="A134" s="24"/>
      <c r="B134" s="24"/>
      <c r="K134" s="14"/>
      <c r="L134" s="71"/>
      <c r="M134" s="66"/>
      <c r="N134" s="66"/>
      <c r="O134" s="66"/>
      <c r="P134" s="66"/>
      <c r="Q134" s="66"/>
      <c r="R134" s="72"/>
      <c r="S134" s="24"/>
      <c r="Y134" s="14"/>
      <c r="Z134" s="24"/>
      <c r="AG134" s="24"/>
      <c r="AM134" s="14"/>
      <c r="AU134" s="24"/>
      <c r="BK134" s="24"/>
      <c r="BO134" s="14"/>
      <c r="BP134" s="14"/>
    </row>
    <row r="135" spans="1:68" ht="14.45">
      <c r="A135" s="24"/>
      <c r="B135" s="24"/>
      <c r="K135" s="14"/>
      <c r="L135" s="71"/>
      <c r="M135" s="66"/>
      <c r="N135" s="66"/>
      <c r="O135" s="66"/>
      <c r="P135" s="66"/>
      <c r="Q135" s="66"/>
      <c r="R135" s="72"/>
      <c r="S135" s="24"/>
      <c r="Y135" s="14"/>
      <c r="Z135" s="24"/>
      <c r="AG135" s="24"/>
      <c r="AM135" s="14"/>
      <c r="AU135" s="24"/>
      <c r="BK135" s="24"/>
      <c r="BO135" s="14"/>
      <c r="BP135" s="14"/>
    </row>
    <row r="136" spans="1:68" ht="14.45">
      <c r="A136" s="24"/>
      <c r="B136" s="24"/>
      <c r="K136" s="14"/>
      <c r="L136" s="71"/>
      <c r="M136" s="66"/>
      <c r="N136" s="66"/>
      <c r="O136" s="66"/>
      <c r="P136" s="66"/>
      <c r="Q136" s="66"/>
      <c r="R136" s="72"/>
      <c r="S136" s="24"/>
      <c r="Y136" s="14"/>
      <c r="Z136" s="24"/>
      <c r="AG136" s="24"/>
      <c r="AM136" s="14"/>
      <c r="AU136" s="24"/>
      <c r="BK136" s="24"/>
      <c r="BO136" s="14"/>
      <c r="BP136" s="14"/>
    </row>
    <row r="137" spans="1:68" ht="14.45">
      <c r="A137" s="24"/>
      <c r="B137" s="24"/>
      <c r="K137" s="14"/>
      <c r="L137" s="71"/>
      <c r="M137" s="66"/>
      <c r="N137" s="66"/>
      <c r="O137" s="66"/>
      <c r="P137" s="66"/>
      <c r="Q137" s="66"/>
      <c r="R137" s="72"/>
      <c r="S137" s="24"/>
      <c r="Y137" s="14"/>
      <c r="Z137" s="24"/>
      <c r="AG137" s="24"/>
      <c r="AM137" s="14"/>
      <c r="AU137" s="24"/>
      <c r="AY137" s="11"/>
      <c r="BK137" s="24"/>
      <c r="BO137" s="14"/>
      <c r="BP137" s="14"/>
    </row>
    <row r="138" spans="1:68">
      <c r="A138" s="24"/>
      <c r="B138" s="24"/>
      <c r="K138" s="14"/>
      <c r="L138" s="71"/>
      <c r="M138" s="66"/>
      <c r="N138" s="66"/>
      <c r="O138" s="66"/>
      <c r="P138" s="66"/>
      <c r="Q138" s="66"/>
      <c r="R138" s="72"/>
      <c r="S138" s="24"/>
      <c r="Y138" s="14"/>
      <c r="Z138" s="24"/>
      <c r="AG138" s="24"/>
      <c r="AM138" s="14"/>
      <c r="AU138" s="24"/>
      <c r="AV138" s="16" t="s">
        <v>656</v>
      </c>
      <c r="BK138" s="24"/>
      <c r="BO138" s="14"/>
      <c r="BP138" s="14"/>
    </row>
    <row r="139" spans="1:68">
      <c r="A139" s="24"/>
      <c r="B139" s="24"/>
      <c r="K139" s="14"/>
      <c r="L139" s="71"/>
      <c r="M139" s="66"/>
      <c r="N139" s="66"/>
      <c r="O139" s="66"/>
      <c r="P139" s="66"/>
      <c r="Q139" s="66"/>
      <c r="R139" s="72"/>
      <c r="S139" s="24"/>
      <c r="Y139" s="14"/>
      <c r="Z139" s="24"/>
      <c r="AG139" s="24"/>
      <c r="AM139" s="14"/>
      <c r="AU139" s="24"/>
      <c r="AW139" s="8" t="s">
        <v>657</v>
      </c>
      <c r="BK139" s="24"/>
      <c r="BO139" s="14"/>
      <c r="BP139" s="14"/>
    </row>
    <row r="140" spans="1:68">
      <c r="A140" s="24"/>
      <c r="B140" s="24"/>
      <c r="K140" s="14"/>
      <c r="L140" s="71"/>
      <c r="M140" s="66"/>
      <c r="N140" s="66"/>
      <c r="O140" s="66"/>
      <c r="P140" s="66"/>
      <c r="Q140" s="66"/>
      <c r="R140" s="72"/>
      <c r="S140" s="24"/>
      <c r="Y140" s="14"/>
      <c r="Z140" s="24"/>
      <c r="AG140" s="24"/>
      <c r="AM140" s="14"/>
      <c r="AU140" s="24"/>
      <c r="AW140" s="8" t="s">
        <v>658</v>
      </c>
      <c r="BK140" s="24"/>
      <c r="BO140" s="14"/>
      <c r="BP140" s="14"/>
    </row>
    <row r="141" spans="1:68">
      <c r="A141" s="24"/>
      <c r="B141" s="24"/>
      <c r="K141" s="14"/>
      <c r="L141" s="71"/>
      <c r="M141" s="66"/>
      <c r="N141" s="66"/>
      <c r="O141" s="66"/>
      <c r="P141" s="66"/>
      <c r="Q141" s="66"/>
      <c r="R141" s="72"/>
      <c r="S141" s="24"/>
      <c r="Y141" s="14"/>
      <c r="Z141" s="24"/>
      <c r="AG141" s="24"/>
      <c r="AM141" s="14"/>
      <c r="AU141" s="24"/>
      <c r="AW141" s="8" t="s">
        <v>118</v>
      </c>
      <c r="AX141" s="8" t="s">
        <v>659</v>
      </c>
      <c r="BK141" s="24"/>
      <c r="BO141" s="14"/>
      <c r="BP141" s="14"/>
    </row>
    <row r="142" spans="1:68">
      <c r="A142" s="24"/>
      <c r="B142" s="24"/>
      <c r="K142" s="14"/>
      <c r="L142" s="71"/>
      <c r="M142" s="66"/>
      <c r="N142" s="66"/>
      <c r="O142" s="66"/>
      <c r="P142" s="66"/>
      <c r="Q142" s="66"/>
      <c r="R142" s="72"/>
      <c r="S142" s="24"/>
      <c r="Y142" s="14"/>
      <c r="Z142" s="24"/>
      <c r="AG142" s="24"/>
      <c r="AM142" s="14"/>
      <c r="AU142" s="24"/>
      <c r="AW142" s="8" t="s">
        <v>118</v>
      </c>
      <c r="AX142" s="8" t="s">
        <v>648</v>
      </c>
      <c r="BK142" s="24"/>
      <c r="BO142" s="14"/>
      <c r="BP142" s="14"/>
    </row>
    <row r="143" spans="1:68">
      <c r="A143" s="24"/>
      <c r="B143" s="24"/>
      <c r="K143" s="14"/>
      <c r="L143" s="71"/>
      <c r="M143" s="66"/>
      <c r="N143" s="66"/>
      <c r="O143" s="66"/>
      <c r="P143" s="66"/>
      <c r="Q143" s="66"/>
      <c r="R143" s="72"/>
      <c r="S143" s="24"/>
      <c r="Y143" s="14"/>
      <c r="Z143" s="24"/>
      <c r="AG143" s="24"/>
      <c r="AM143" s="14"/>
      <c r="AU143" s="24"/>
      <c r="AV143" s="11"/>
      <c r="AW143" s="86" t="s">
        <v>637</v>
      </c>
      <c r="AX143" s="87"/>
      <c r="AY143" s="87"/>
      <c r="AZ143" s="87"/>
      <c r="BA143" s="87"/>
      <c r="BB143" s="87"/>
      <c r="BC143" s="87"/>
      <c r="BD143" s="87"/>
      <c r="BE143" s="87"/>
      <c r="BF143" s="87"/>
      <c r="BG143" s="87"/>
      <c r="BH143" s="88"/>
      <c r="BK143" s="24"/>
      <c r="BO143" s="14"/>
      <c r="BP143" s="14"/>
    </row>
    <row r="144" spans="1:68">
      <c r="A144" s="24"/>
      <c r="B144" s="24"/>
      <c r="K144" s="14"/>
      <c r="L144" s="71"/>
      <c r="M144" s="66"/>
      <c r="N144" s="66"/>
      <c r="O144" s="66"/>
      <c r="P144" s="66"/>
      <c r="Q144" s="66"/>
      <c r="R144" s="72"/>
      <c r="S144" s="24"/>
      <c r="Y144" s="14"/>
      <c r="Z144" s="24"/>
      <c r="AG144" s="24"/>
      <c r="AM144" s="14"/>
      <c r="AU144" s="24"/>
      <c r="AV144" s="11"/>
      <c r="AW144" s="89" t="s">
        <v>660</v>
      </c>
      <c r="AX144" s="90"/>
      <c r="AY144" s="90"/>
      <c r="AZ144" s="90"/>
      <c r="BA144" s="91"/>
      <c r="BB144" s="91"/>
      <c r="BC144" s="89" t="s">
        <v>639</v>
      </c>
      <c r="BD144" s="90"/>
      <c r="BE144" s="90"/>
      <c r="BF144" s="90"/>
      <c r="BG144" s="90"/>
      <c r="BH144" s="91"/>
      <c r="BK144" s="24"/>
      <c r="BO144" s="14"/>
      <c r="BP144" s="14"/>
    </row>
    <row r="145" spans="1:69" ht="14.45">
      <c r="A145" s="24"/>
      <c r="B145" s="24"/>
      <c r="K145" s="14"/>
      <c r="L145" s="71"/>
      <c r="M145" s="66"/>
      <c r="N145" s="66"/>
      <c r="O145" s="66"/>
      <c r="P145" s="66"/>
      <c r="Q145" s="66"/>
      <c r="R145" s="72"/>
      <c r="S145" s="24"/>
      <c r="Y145" s="14"/>
      <c r="Z145" s="24"/>
      <c r="AG145" s="24"/>
      <c r="AM145" s="14"/>
      <c r="AU145" s="24"/>
      <c r="AV145" s="11"/>
      <c r="AX145" s="11"/>
      <c r="AY145" s="11"/>
      <c r="BK145" s="24"/>
      <c r="BO145" s="14"/>
      <c r="BP145" s="14"/>
    </row>
    <row r="146" spans="1:69" ht="14.45">
      <c r="A146" s="24"/>
      <c r="B146" s="24"/>
      <c r="K146" s="14"/>
      <c r="L146" s="71"/>
      <c r="M146" s="66"/>
      <c r="N146" s="66"/>
      <c r="O146" s="66"/>
      <c r="P146" s="66"/>
      <c r="Q146" s="66"/>
      <c r="R146" s="72"/>
      <c r="S146" s="24"/>
      <c r="Y146" s="14"/>
      <c r="Z146" s="24"/>
      <c r="AG146" s="24"/>
      <c r="AM146" s="14"/>
      <c r="AU146" s="24"/>
      <c r="AX146" s="11"/>
      <c r="AY146" s="11"/>
      <c r="BK146" s="24"/>
      <c r="BO146" s="14"/>
      <c r="BP146" s="14"/>
    </row>
    <row r="147" spans="1:69" ht="14.45">
      <c r="A147" s="24"/>
      <c r="B147" s="24"/>
      <c r="K147" s="14"/>
      <c r="L147" s="71"/>
      <c r="M147" s="66"/>
      <c r="N147" s="66"/>
      <c r="O147" s="66"/>
      <c r="P147" s="66"/>
      <c r="Q147" s="66"/>
      <c r="R147" s="72"/>
      <c r="S147" s="24"/>
      <c r="Y147" s="14"/>
      <c r="Z147" s="24"/>
      <c r="AG147" s="24"/>
      <c r="AM147" s="14"/>
      <c r="AU147" s="24"/>
      <c r="AV147" s="11"/>
      <c r="AX147" s="11"/>
      <c r="AY147" s="11"/>
      <c r="BK147" s="24"/>
      <c r="BO147" s="14"/>
      <c r="BP147" s="14"/>
    </row>
    <row r="148" spans="1:69" ht="14.45">
      <c r="A148" s="24"/>
      <c r="B148" s="24"/>
      <c r="K148" s="14"/>
      <c r="L148" s="71"/>
      <c r="M148" s="66"/>
      <c r="N148" s="66"/>
      <c r="O148" s="66"/>
      <c r="P148" s="66"/>
      <c r="Q148" s="66"/>
      <c r="R148" s="72"/>
      <c r="S148" s="24"/>
      <c r="Y148" s="14"/>
      <c r="Z148" s="24"/>
      <c r="AG148" s="24"/>
      <c r="AM148" s="14"/>
      <c r="AU148" s="24"/>
      <c r="AV148" s="11"/>
      <c r="AX148" s="11"/>
      <c r="AY148" s="11"/>
      <c r="BK148" s="24"/>
      <c r="BO148" s="14"/>
      <c r="BP148" s="14"/>
    </row>
    <row r="149" spans="1:69" ht="14.45">
      <c r="A149" s="24"/>
      <c r="B149" s="24"/>
      <c r="K149" s="14"/>
      <c r="L149" s="71"/>
      <c r="M149" s="66"/>
      <c r="N149" s="66"/>
      <c r="O149" s="66"/>
      <c r="P149" s="66"/>
      <c r="Q149" s="66"/>
      <c r="R149" s="72"/>
      <c r="S149" s="24"/>
      <c r="Y149" s="14"/>
      <c r="Z149" s="24"/>
      <c r="AG149" s="24"/>
      <c r="AM149" s="14"/>
      <c r="AU149" s="24"/>
      <c r="AV149" s="11"/>
      <c r="AX149" s="11"/>
      <c r="AY149" s="11"/>
      <c r="BK149" s="24"/>
      <c r="BO149" s="14"/>
      <c r="BP149" s="14"/>
    </row>
    <row r="150" spans="1:69" ht="14.45">
      <c r="A150" s="24"/>
      <c r="B150" s="24"/>
      <c r="K150" s="14"/>
      <c r="L150" s="71"/>
      <c r="M150" s="66"/>
      <c r="N150" s="66"/>
      <c r="O150" s="66"/>
      <c r="P150" s="66"/>
      <c r="Q150" s="66"/>
      <c r="R150" s="72"/>
      <c r="S150" s="24"/>
      <c r="Y150" s="14"/>
      <c r="Z150" s="24"/>
      <c r="AG150" s="24"/>
      <c r="AM150" s="14"/>
      <c r="AU150" s="24"/>
      <c r="AV150" s="11"/>
      <c r="AX150" s="11"/>
      <c r="AY150" s="11"/>
      <c r="BK150" s="24"/>
      <c r="BO150" s="14"/>
      <c r="BP150" s="14"/>
    </row>
    <row r="151" spans="1:69" s="11" customFormat="1">
      <c r="A151" s="25"/>
      <c r="B151" s="26" t="s">
        <v>661</v>
      </c>
      <c r="C151" s="31"/>
      <c r="D151" s="31"/>
      <c r="E151" s="31"/>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30"/>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13"/>
    </row>
    <row r="152" spans="1:69" s="11" customFormat="1" ht="14.45">
      <c r="A152" s="25"/>
      <c r="B152" s="29"/>
      <c r="K152" s="13"/>
      <c r="L152" s="84"/>
      <c r="M152" s="70"/>
      <c r="N152" s="70"/>
      <c r="O152" s="70"/>
      <c r="P152" s="70"/>
      <c r="Q152" s="70"/>
      <c r="R152" s="107"/>
      <c r="S152" s="29"/>
      <c r="Y152" s="13"/>
      <c r="Z152" s="29"/>
      <c r="AG152" s="29"/>
      <c r="AM152" s="13"/>
      <c r="AU152" s="29"/>
      <c r="BK152" s="29"/>
      <c r="BO152" s="13"/>
      <c r="BP152" s="13"/>
    </row>
    <row r="153" spans="1:69" s="11" customFormat="1" ht="14.45">
      <c r="A153" s="25"/>
      <c r="B153" s="29"/>
      <c r="K153" s="13"/>
      <c r="L153" s="84"/>
      <c r="M153" s="70"/>
      <c r="N153" s="70"/>
      <c r="O153" s="70"/>
      <c r="P153" s="70"/>
      <c r="Q153" s="70"/>
      <c r="R153" s="107"/>
      <c r="S153" s="29"/>
      <c r="Y153" s="13"/>
      <c r="Z153" s="29"/>
      <c r="AG153" s="29"/>
      <c r="AM153" s="13"/>
      <c r="AU153" s="29"/>
      <c r="BK153" s="29"/>
      <c r="BO153" s="13"/>
      <c r="BP153" s="13"/>
    </row>
    <row r="154" spans="1:69" s="11" customFormat="1" ht="14.45">
      <c r="A154" s="25"/>
      <c r="B154" s="29"/>
      <c r="K154" s="13"/>
      <c r="L154" s="84"/>
      <c r="M154" s="70"/>
      <c r="N154" s="70"/>
      <c r="O154" s="70"/>
      <c r="P154" s="70"/>
      <c r="Q154" s="70"/>
      <c r="R154" s="107"/>
      <c r="S154" s="29"/>
      <c r="Y154" s="13"/>
      <c r="Z154" s="29"/>
      <c r="AG154" s="29"/>
      <c r="AM154" s="13"/>
      <c r="AU154" s="29"/>
      <c r="BK154" s="29"/>
      <c r="BO154" s="13"/>
      <c r="BP154" s="13"/>
    </row>
    <row r="155" spans="1:69" s="11" customFormat="1" ht="14.45">
      <c r="A155" s="25"/>
      <c r="B155" s="29"/>
      <c r="K155" s="13"/>
      <c r="L155" s="84"/>
      <c r="M155" s="70"/>
      <c r="N155" s="70"/>
      <c r="O155" s="70"/>
      <c r="P155" s="70"/>
      <c r="Q155" s="70"/>
      <c r="R155" s="107"/>
      <c r="S155" s="29"/>
      <c r="Y155" s="13"/>
      <c r="Z155" s="29"/>
      <c r="AG155" s="29"/>
      <c r="AM155" s="13"/>
      <c r="AU155" s="29"/>
      <c r="BK155" s="29"/>
      <c r="BO155" s="13"/>
      <c r="BP155" s="13"/>
    </row>
    <row r="156" spans="1:69" s="11" customFormat="1" ht="14.45">
      <c r="A156" s="25"/>
      <c r="B156" s="29"/>
      <c r="K156" s="13"/>
      <c r="L156" s="84"/>
      <c r="M156" s="70"/>
      <c r="N156" s="70"/>
      <c r="O156" s="70"/>
      <c r="P156" s="70"/>
      <c r="Q156" s="70"/>
      <c r="R156" s="107"/>
      <c r="S156" s="29"/>
      <c r="Y156" s="13"/>
      <c r="Z156" s="29"/>
      <c r="AG156" s="29"/>
      <c r="AM156" s="13"/>
      <c r="AU156" s="29"/>
      <c r="BK156" s="29"/>
      <c r="BO156" s="13"/>
      <c r="BP156" s="13"/>
    </row>
    <row r="157" spans="1:69" s="11" customFormat="1" ht="14.45">
      <c r="A157" s="25"/>
      <c r="B157" s="29"/>
      <c r="K157" s="13"/>
      <c r="L157" s="84"/>
      <c r="M157" s="70"/>
      <c r="N157" s="70"/>
      <c r="O157" s="70"/>
      <c r="P157" s="70"/>
      <c r="Q157" s="70"/>
      <c r="R157" s="107"/>
      <c r="S157" s="29"/>
      <c r="Y157" s="13"/>
      <c r="Z157" s="29"/>
      <c r="AG157" s="29"/>
      <c r="AM157" s="13"/>
      <c r="AU157" s="29"/>
      <c r="BK157" s="29"/>
      <c r="BO157" s="13"/>
      <c r="BP157" s="13"/>
      <c r="BQ157" s="8"/>
    </row>
    <row r="158" spans="1:69" s="11" customFormat="1">
      <c r="A158" s="25"/>
      <c r="B158" s="29"/>
      <c r="K158" s="13"/>
      <c r="L158" s="84"/>
      <c r="M158" s="70"/>
      <c r="N158" s="70"/>
      <c r="O158" s="70"/>
      <c r="P158" s="70"/>
      <c r="Q158" s="70"/>
      <c r="R158" s="107"/>
      <c r="S158" s="29"/>
      <c r="Y158" s="13"/>
      <c r="Z158" s="29"/>
      <c r="AG158" s="29"/>
      <c r="AM158" s="13"/>
      <c r="AU158" s="29"/>
      <c r="AV158" s="16" t="s">
        <v>662</v>
      </c>
      <c r="AW158" s="8"/>
      <c r="AX158" s="8"/>
      <c r="AY158" s="8"/>
      <c r="AZ158" s="8"/>
      <c r="BA158" s="8"/>
      <c r="BB158" s="8"/>
      <c r="BC158" s="8"/>
      <c r="BD158" s="8"/>
      <c r="BE158" s="8"/>
      <c r="BF158" s="8"/>
      <c r="BG158" s="8"/>
      <c r="BH158" s="8"/>
      <c r="BK158" s="29"/>
      <c r="BO158" s="13"/>
      <c r="BP158" s="13"/>
      <c r="BQ158" s="8"/>
    </row>
    <row r="159" spans="1:69" s="11" customFormat="1">
      <c r="A159" s="25"/>
      <c r="B159" s="29"/>
      <c r="K159" s="13"/>
      <c r="L159" s="84"/>
      <c r="M159" s="70"/>
      <c r="N159" s="70"/>
      <c r="O159" s="70"/>
      <c r="P159" s="70"/>
      <c r="Q159" s="70"/>
      <c r="R159" s="107"/>
      <c r="S159" s="29"/>
      <c r="Y159" s="13"/>
      <c r="Z159" s="29"/>
      <c r="AG159" s="29"/>
      <c r="AM159" s="13"/>
      <c r="AU159" s="29"/>
      <c r="AV159" s="8"/>
      <c r="AW159" s="8" t="s">
        <v>663</v>
      </c>
      <c r="AX159" s="8"/>
      <c r="AY159" s="8"/>
      <c r="AZ159" s="8"/>
      <c r="BA159" s="8"/>
      <c r="BB159" s="8"/>
      <c r="BC159" s="8"/>
      <c r="BD159" s="8"/>
      <c r="BE159" s="8"/>
      <c r="BF159" s="8"/>
      <c r="BG159" s="8"/>
      <c r="BH159" s="8"/>
      <c r="BK159" s="29"/>
      <c r="BO159" s="13"/>
      <c r="BP159" s="13"/>
      <c r="BQ159" s="8"/>
    </row>
    <row r="160" spans="1:69" s="11" customFormat="1">
      <c r="A160" s="25"/>
      <c r="B160" s="29"/>
      <c r="K160" s="13"/>
      <c r="L160" s="84"/>
      <c r="M160" s="70"/>
      <c r="N160" s="70"/>
      <c r="O160" s="70"/>
      <c r="P160" s="70"/>
      <c r="Q160" s="70"/>
      <c r="R160" s="107"/>
      <c r="S160" s="29"/>
      <c r="Y160" s="13"/>
      <c r="Z160" s="29"/>
      <c r="AG160" s="29"/>
      <c r="AM160" s="13"/>
      <c r="AU160" s="29"/>
      <c r="AV160" s="8"/>
      <c r="AW160" s="11" t="s">
        <v>664</v>
      </c>
      <c r="BK160" s="29"/>
      <c r="BO160" s="13"/>
      <c r="BP160" s="13"/>
      <c r="BQ160" s="8"/>
    </row>
    <row r="161" spans="1:70" s="11" customFormat="1">
      <c r="A161" s="25"/>
      <c r="B161" s="29"/>
      <c r="K161" s="13"/>
      <c r="L161" s="84"/>
      <c r="M161" s="70"/>
      <c r="N161" s="70"/>
      <c r="O161" s="70"/>
      <c r="P161" s="70"/>
      <c r="Q161" s="70"/>
      <c r="R161" s="107"/>
      <c r="S161" s="29"/>
      <c r="Y161" s="13"/>
      <c r="Z161" s="29"/>
      <c r="AG161" s="29"/>
      <c r="AM161" s="13"/>
      <c r="AU161" s="29"/>
      <c r="AV161" s="8"/>
      <c r="AW161" s="11" t="s">
        <v>665</v>
      </c>
      <c r="BK161" s="29"/>
      <c r="BO161" s="13"/>
      <c r="BP161" s="13"/>
    </row>
    <row r="162" spans="1:70" s="11" customFormat="1">
      <c r="A162" s="25"/>
      <c r="B162" s="29"/>
      <c r="K162" s="13"/>
      <c r="L162" s="84"/>
      <c r="M162" s="70"/>
      <c r="N162" s="70"/>
      <c r="O162" s="70"/>
      <c r="P162" s="70"/>
      <c r="Q162" s="70"/>
      <c r="R162" s="107"/>
      <c r="S162" s="29"/>
      <c r="Y162" s="13"/>
      <c r="Z162" s="29"/>
      <c r="AG162" s="29"/>
      <c r="AM162" s="13"/>
      <c r="AU162" s="29"/>
      <c r="AV162" s="8"/>
      <c r="AW162" s="11" t="s">
        <v>653</v>
      </c>
      <c r="BK162" s="29"/>
      <c r="BO162" s="13"/>
      <c r="BP162" s="13"/>
    </row>
    <row r="163" spans="1:70" s="11" customFormat="1">
      <c r="A163" s="25"/>
      <c r="B163" s="29"/>
      <c r="K163" s="13"/>
      <c r="L163" s="84"/>
      <c r="M163" s="70"/>
      <c r="N163" s="70"/>
      <c r="O163" s="70"/>
      <c r="P163" s="70"/>
      <c r="Q163" s="70"/>
      <c r="R163" s="107"/>
      <c r="S163" s="29"/>
      <c r="Y163" s="13"/>
      <c r="Z163" s="29"/>
      <c r="AG163" s="29"/>
      <c r="AM163" s="13"/>
      <c r="AU163" s="29"/>
      <c r="AW163" s="11" t="s">
        <v>654</v>
      </c>
      <c r="BK163" s="29"/>
      <c r="BO163" s="13"/>
      <c r="BP163" s="13"/>
    </row>
    <row r="164" spans="1:70" s="11" customFormat="1">
      <c r="A164" s="25"/>
      <c r="B164" s="29"/>
      <c r="K164" s="13"/>
      <c r="L164" s="84"/>
      <c r="M164" s="70"/>
      <c r="N164" s="70"/>
      <c r="O164" s="70"/>
      <c r="P164" s="70"/>
      <c r="Q164" s="70"/>
      <c r="R164" s="107"/>
      <c r="S164" s="29"/>
      <c r="Y164" s="13"/>
      <c r="Z164" s="29"/>
      <c r="AG164" s="29"/>
      <c r="AM164" s="13"/>
      <c r="AU164" s="29"/>
      <c r="AW164" s="11" t="s">
        <v>655</v>
      </c>
      <c r="BK164" s="29"/>
      <c r="BO164" s="13"/>
      <c r="BP164" s="13"/>
    </row>
    <row r="165" spans="1:70" s="11" customFormat="1">
      <c r="A165" s="25"/>
      <c r="B165" s="29"/>
      <c r="K165" s="13"/>
      <c r="L165" s="84"/>
      <c r="M165" s="70"/>
      <c r="N165" s="70"/>
      <c r="O165" s="70"/>
      <c r="P165" s="70"/>
      <c r="Q165" s="70"/>
      <c r="R165" s="107"/>
      <c r="S165" s="29"/>
      <c r="Y165" s="13"/>
      <c r="Z165" s="29"/>
      <c r="AG165" s="29"/>
      <c r="AM165" s="13"/>
      <c r="AU165" s="29"/>
      <c r="AW165" s="8" t="s">
        <v>118</v>
      </c>
      <c r="AX165" s="8" t="s">
        <v>666</v>
      </c>
      <c r="AY165" s="8"/>
      <c r="AZ165" s="8"/>
      <c r="BA165" s="8"/>
      <c r="BB165" s="8"/>
      <c r="BC165" s="8"/>
      <c r="BD165" s="8"/>
      <c r="BE165" s="8"/>
      <c r="BF165" s="8"/>
      <c r="BG165" s="8"/>
      <c r="BH165" s="8"/>
      <c r="BK165" s="29"/>
      <c r="BO165" s="13"/>
      <c r="BP165" s="13"/>
    </row>
    <row r="166" spans="1:70" s="11" customFormat="1">
      <c r="A166" s="25"/>
      <c r="B166" s="29"/>
      <c r="K166" s="13"/>
      <c r="L166" s="84"/>
      <c r="M166" s="70"/>
      <c r="N166" s="70"/>
      <c r="O166" s="70"/>
      <c r="P166" s="70"/>
      <c r="Q166" s="70"/>
      <c r="R166" s="107"/>
      <c r="S166" s="29"/>
      <c r="Y166" s="13"/>
      <c r="Z166" s="29"/>
      <c r="AG166" s="29"/>
      <c r="AM166" s="13"/>
      <c r="AU166" s="29"/>
      <c r="AW166" s="11" t="s">
        <v>118</v>
      </c>
      <c r="AX166" s="11" t="s">
        <v>667</v>
      </c>
      <c r="BH166" s="8"/>
      <c r="BK166" s="29"/>
      <c r="BO166" s="13"/>
      <c r="BP166" s="13"/>
    </row>
    <row r="167" spans="1:70" s="11" customFormat="1">
      <c r="A167" s="25"/>
      <c r="B167" s="29"/>
      <c r="K167" s="13"/>
      <c r="L167" s="84"/>
      <c r="M167" s="70"/>
      <c r="N167" s="70"/>
      <c r="O167" s="70"/>
      <c r="P167" s="70"/>
      <c r="Q167" s="70"/>
      <c r="R167" s="107"/>
      <c r="S167" s="29"/>
      <c r="Y167" s="13"/>
      <c r="Z167" s="29"/>
      <c r="AG167" s="29"/>
      <c r="AM167" s="13"/>
      <c r="AU167" s="29"/>
      <c r="AW167" s="8" t="s">
        <v>118</v>
      </c>
      <c r="AX167" s="8" t="s">
        <v>648</v>
      </c>
      <c r="AY167" s="8"/>
      <c r="AZ167" s="8"/>
      <c r="BA167" s="8"/>
      <c r="BB167" s="8"/>
      <c r="BC167" s="8"/>
      <c r="BD167" s="8"/>
      <c r="BE167" s="8"/>
      <c r="BF167" s="8"/>
      <c r="BG167" s="8"/>
      <c r="BH167" s="8"/>
      <c r="BK167" s="29"/>
      <c r="BO167" s="13"/>
      <c r="BP167" s="13"/>
      <c r="BQ167" s="8"/>
    </row>
    <row r="168" spans="1:70" s="11" customFormat="1">
      <c r="A168" s="25"/>
      <c r="B168" s="29"/>
      <c r="K168" s="13"/>
      <c r="L168" s="84"/>
      <c r="M168" s="70"/>
      <c r="N168" s="70"/>
      <c r="O168" s="70"/>
      <c r="P168" s="70"/>
      <c r="Q168" s="70"/>
      <c r="R168" s="107"/>
      <c r="S168" s="29"/>
      <c r="Y168" s="13"/>
      <c r="Z168" s="29"/>
      <c r="AG168" s="29"/>
      <c r="AM168" s="13"/>
      <c r="AU168" s="29"/>
      <c r="AW168" s="86" t="s">
        <v>637</v>
      </c>
      <c r="AX168" s="87"/>
      <c r="AY168" s="87"/>
      <c r="AZ168" s="87"/>
      <c r="BA168" s="87"/>
      <c r="BB168" s="87"/>
      <c r="BC168" s="87"/>
      <c r="BD168" s="87"/>
      <c r="BE168" s="87"/>
      <c r="BF168" s="87"/>
      <c r="BG168" s="88"/>
      <c r="BH168" s="8"/>
      <c r="BK168" s="29"/>
      <c r="BO168" s="13"/>
      <c r="BP168" s="13"/>
      <c r="BQ168" s="8"/>
    </row>
    <row r="169" spans="1:70" s="11" customFormat="1">
      <c r="A169" s="25"/>
      <c r="B169" s="29"/>
      <c r="K169" s="13"/>
      <c r="L169" s="84"/>
      <c r="M169" s="70"/>
      <c r="N169" s="70"/>
      <c r="O169" s="70"/>
      <c r="P169" s="70"/>
      <c r="Q169" s="70"/>
      <c r="R169" s="107"/>
      <c r="S169" s="29"/>
      <c r="Y169" s="13"/>
      <c r="Z169" s="29"/>
      <c r="AG169" s="29"/>
      <c r="AM169" s="13"/>
      <c r="AU169" s="29"/>
      <c r="AW169" s="89" t="s">
        <v>649</v>
      </c>
      <c r="AX169" s="90"/>
      <c r="AY169" s="90"/>
      <c r="AZ169" s="90"/>
      <c r="BA169" s="91"/>
      <c r="BB169" s="89" t="s">
        <v>668</v>
      </c>
      <c r="BC169" s="90"/>
      <c r="BD169" s="90"/>
      <c r="BE169" s="90"/>
      <c r="BF169" s="90"/>
      <c r="BG169" s="91"/>
      <c r="BK169" s="29"/>
      <c r="BO169" s="13"/>
      <c r="BP169" s="13"/>
      <c r="BQ169" s="8"/>
    </row>
    <row r="170" spans="1:70" s="11" customFormat="1" ht="14.45">
      <c r="A170" s="25"/>
      <c r="B170" s="29"/>
      <c r="K170" s="13"/>
      <c r="L170" s="84"/>
      <c r="M170" s="70"/>
      <c r="N170" s="70"/>
      <c r="O170" s="70"/>
      <c r="P170" s="70"/>
      <c r="Q170" s="70"/>
      <c r="R170" s="107"/>
      <c r="S170" s="29"/>
      <c r="Y170" s="13"/>
      <c r="Z170" s="29"/>
      <c r="AG170" s="29"/>
      <c r="AM170" s="13"/>
      <c r="AU170" s="29"/>
      <c r="BK170" s="29"/>
      <c r="BO170" s="13"/>
      <c r="BP170" s="13"/>
      <c r="BQ170" s="8"/>
      <c r="BR170" s="8"/>
    </row>
    <row r="171" spans="1:70" s="11" customFormat="1" ht="14.45">
      <c r="A171" s="25"/>
      <c r="B171" s="29"/>
      <c r="K171" s="13"/>
      <c r="L171" s="84"/>
      <c r="M171" s="70"/>
      <c r="N171" s="70"/>
      <c r="O171" s="70"/>
      <c r="P171" s="70"/>
      <c r="Q171" s="70"/>
      <c r="R171" s="107"/>
      <c r="S171" s="29"/>
      <c r="Y171" s="13"/>
      <c r="Z171" s="29"/>
      <c r="AG171" s="29"/>
      <c r="AM171" s="13"/>
      <c r="AU171" s="29"/>
      <c r="BK171" s="29"/>
      <c r="BO171" s="13"/>
      <c r="BP171" s="13"/>
      <c r="BQ171" s="8"/>
      <c r="BR171" s="8"/>
    </row>
    <row r="172" spans="1:70" s="11" customFormat="1" ht="14.45">
      <c r="A172" s="25"/>
      <c r="B172" s="29"/>
      <c r="K172" s="13"/>
      <c r="L172" s="84"/>
      <c r="M172" s="70"/>
      <c r="N172" s="70"/>
      <c r="O172" s="70"/>
      <c r="P172" s="70"/>
      <c r="Q172" s="70"/>
      <c r="R172" s="107"/>
      <c r="S172" s="29"/>
      <c r="Y172" s="13"/>
      <c r="Z172" s="29"/>
      <c r="AG172" s="29"/>
      <c r="AM172" s="13"/>
      <c r="AU172" s="29"/>
      <c r="BK172" s="29"/>
      <c r="BO172" s="13"/>
      <c r="BP172" s="13"/>
      <c r="BQ172" s="8"/>
      <c r="BR172" s="8"/>
    </row>
    <row r="173" spans="1:70" ht="14.45">
      <c r="A173" s="24"/>
      <c r="B173" s="29"/>
      <c r="C173" s="11"/>
      <c r="D173" s="11"/>
      <c r="E173" s="11"/>
      <c r="F173" s="11"/>
      <c r="G173" s="11"/>
      <c r="H173" s="11"/>
      <c r="I173" s="11"/>
      <c r="J173" s="11"/>
      <c r="K173" s="13"/>
      <c r="L173" s="84"/>
      <c r="M173" s="70"/>
      <c r="N173" s="70"/>
      <c r="O173" s="70"/>
      <c r="P173" s="70"/>
      <c r="Q173" s="70"/>
      <c r="R173" s="107"/>
      <c r="S173" s="29"/>
      <c r="T173" s="11"/>
      <c r="U173" s="11"/>
      <c r="V173" s="11"/>
      <c r="W173" s="11"/>
      <c r="X173" s="11"/>
      <c r="Y173" s="13"/>
      <c r="Z173" s="29"/>
      <c r="AA173" s="11"/>
      <c r="AB173" s="11"/>
      <c r="AC173" s="11"/>
      <c r="AD173" s="11"/>
      <c r="AE173" s="11"/>
      <c r="AF173" s="11"/>
      <c r="AG173" s="29"/>
      <c r="AH173" s="11"/>
      <c r="AI173" s="11"/>
      <c r="AJ173" s="11"/>
      <c r="AK173" s="11"/>
      <c r="AL173" s="11"/>
      <c r="AM173" s="13"/>
      <c r="AN173" s="11"/>
      <c r="AO173" s="11"/>
      <c r="AP173" s="11"/>
      <c r="AQ173" s="11"/>
      <c r="AR173" s="11"/>
      <c r="AS173" s="11"/>
      <c r="AT173" s="11"/>
      <c r="AU173" s="29"/>
      <c r="AV173" s="11"/>
      <c r="AW173" s="11"/>
      <c r="AX173" s="11"/>
      <c r="AY173" s="11"/>
      <c r="AZ173" s="11"/>
      <c r="BA173" s="11"/>
      <c r="BB173" s="11"/>
      <c r="BC173" s="11"/>
      <c r="BD173" s="11"/>
      <c r="BE173" s="11"/>
      <c r="BF173" s="11"/>
      <c r="BG173" s="11"/>
      <c r="BH173" s="11"/>
      <c r="BI173" s="11"/>
      <c r="BJ173" s="11"/>
      <c r="BK173" s="29"/>
      <c r="BL173" s="11"/>
      <c r="BM173" s="11"/>
      <c r="BN173" s="11"/>
      <c r="BO173" s="13"/>
      <c r="BP173" s="14"/>
    </row>
    <row r="174" spans="1:70" s="11" customFormat="1">
      <c r="A174" s="25"/>
      <c r="B174" s="26" t="s">
        <v>603</v>
      </c>
      <c r="C174" s="31"/>
      <c r="D174" s="31"/>
      <c r="E174" s="31"/>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30"/>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13"/>
      <c r="BQ174" s="8"/>
    </row>
    <row r="175" spans="1:70" s="11" customFormat="1" ht="14.45">
      <c r="A175" s="25"/>
      <c r="B175" s="24"/>
      <c r="C175" s="8"/>
      <c r="D175" s="8"/>
      <c r="E175" s="8"/>
      <c r="F175" s="8"/>
      <c r="G175" s="8"/>
      <c r="H175" s="8"/>
      <c r="I175" s="8"/>
      <c r="J175" s="8"/>
      <c r="K175" s="14"/>
      <c r="L175" s="71"/>
      <c r="M175" s="66"/>
      <c r="N175" s="66"/>
      <c r="O175" s="66"/>
      <c r="P175" s="66"/>
      <c r="Q175" s="66"/>
      <c r="R175" s="72"/>
      <c r="S175" s="24"/>
      <c r="T175" s="8"/>
      <c r="U175" s="8"/>
      <c r="V175" s="8"/>
      <c r="W175" s="8"/>
      <c r="X175" s="8"/>
      <c r="Y175" s="14"/>
      <c r="Z175" s="24"/>
      <c r="AA175" s="8"/>
      <c r="AB175" s="8"/>
      <c r="AC175" s="8"/>
      <c r="AD175" s="8"/>
      <c r="AE175" s="8"/>
      <c r="AF175" s="8"/>
      <c r="AG175" s="24"/>
      <c r="AH175" s="8"/>
      <c r="AI175" s="8"/>
      <c r="AJ175" s="8"/>
      <c r="AK175" s="8"/>
      <c r="AL175" s="8"/>
      <c r="AM175" s="14"/>
      <c r="AN175" s="8"/>
      <c r="AO175" s="8"/>
      <c r="AP175" s="8"/>
      <c r="AQ175" s="8"/>
      <c r="AR175" s="8"/>
      <c r="AS175" s="8"/>
      <c r="AT175" s="8"/>
      <c r="AU175" s="24"/>
      <c r="AV175" s="8"/>
      <c r="AW175" s="8"/>
      <c r="AX175" s="8"/>
      <c r="AY175" s="8"/>
      <c r="AZ175" s="8"/>
      <c r="BA175" s="8"/>
      <c r="BB175" s="8"/>
      <c r="BC175" s="8"/>
      <c r="BD175" s="8"/>
      <c r="BE175" s="8"/>
      <c r="BF175" s="8"/>
      <c r="BG175" s="8"/>
      <c r="BH175" s="8"/>
      <c r="BI175" s="8"/>
      <c r="BJ175" s="8"/>
      <c r="BK175" s="24"/>
      <c r="BL175" s="8"/>
      <c r="BM175" s="8"/>
      <c r="BN175" s="8"/>
      <c r="BO175" s="14"/>
      <c r="BP175" s="13"/>
      <c r="BQ175" s="8"/>
    </row>
    <row r="176" spans="1:70" ht="14.45">
      <c r="A176" s="24"/>
      <c r="B176" s="24"/>
      <c r="K176" s="14"/>
      <c r="L176" s="71"/>
      <c r="M176" s="66"/>
      <c r="N176" s="66"/>
      <c r="O176" s="66"/>
      <c r="P176" s="66"/>
      <c r="Q176" s="66"/>
      <c r="R176" s="72"/>
      <c r="S176" s="24"/>
      <c r="Y176" s="14"/>
      <c r="Z176" s="24"/>
      <c r="AG176" s="24"/>
      <c r="AM176" s="14"/>
      <c r="AU176" s="24"/>
      <c r="BK176" s="24"/>
      <c r="BO176" s="14"/>
      <c r="BP176" s="14"/>
    </row>
    <row r="177" spans="1:68" ht="14.45">
      <c r="A177" s="24"/>
      <c r="B177" s="24"/>
      <c r="K177" s="14"/>
      <c r="L177" s="71"/>
      <c r="M177" s="66"/>
      <c r="N177" s="66"/>
      <c r="O177" s="66"/>
      <c r="P177" s="66"/>
      <c r="Q177" s="66"/>
      <c r="R177" s="72"/>
      <c r="S177" s="24"/>
      <c r="Y177" s="14"/>
      <c r="Z177" s="24"/>
      <c r="AG177" s="24"/>
      <c r="AM177" s="14"/>
      <c r="AU177" s="24"/>
      <c r="BK177" s="24"/>
      <c r="BO177" s="14"/>
      <c r="BP177" s="14"/>
    </row>
    <row r="178" spans="1:68" ht="14.45">
      <c r="A178" s="24"/>
      <c r="B178" s="24"/>
      <c r="K178" s="14"/>
      <c r="L178" s="71"/>
      <c r="M178" s="66"/>
      <c r="N178" s="66"/>
      <c r="O178" s="66"/>
      <c r="P178" s="66"/>
      <c r="Q178" s="66"/>
      <c r="R178" s="72"/>
      <c r="S178" s="24"/>
      <c r="Y178" s="14"/>
      <c r="Z178" s="24"/>
      <c r="AG178" s="24"/>
      <c r="AM178" s="14"/>
      <c r="AU178" s="24"/>
      <c r="BK178" s="24"/>
      <c r="BO178" s="14"/>
      <c r="BP178" s="14"/>
    </row>
    <row r="179" spans="1:68" ht="14.45">
      <c r="A179" s="24"/>
      <c r="B179" s="24"/>
      <c r="K179" s="14"/>
      <c r="L179" s="71"/>
      <c r="M179" s="66"/>
      <c r="N179" s="66"/>
      <c r="O179" s="66"/>
      <c r="P179" s="66"/>
      <c r="Q179" s="66"/>
      <c r="R179" s="72"/>
      <c r="S179" s="24"/>
      <c r="Y179" s="14"/>
      <c r="Z179" s="24"/>
      <c r="AG179" s="24"/>
      <c r="AM179" s="14"/>
      <c r="AU179" s="24"/>
      <c r="BK179" s="24"/>
      <c r="BO179" s="14"/>
      <c r="BP179" s="14"/>
    </row>
    <row r="180" spans="1:68" ht="14.45">
      <c r="A180" s="24"/>
      <c r="B180" s="24"/>
      <c r="K180" s="14"/>
      <c r="L180" s="71"/>
      <c r="M180" s="66"/>
      <c r="N180" s="66"/>
      <c r="O180" s="66"/>
      <c r="P180" s="66"/>
      <c r="Q180" s="66"/>
      <c r="R180" s="72"/>
      <c r="S180" s="24"/>
      <c r="Y180" s="14"/>
      <c r="Z180" s="24"/>
      <c r="AG180" s="24"/>
      <c r="AM180" s="14"/>
      <c r="AU180" s="24"/>
      <c r="BK180" s="24"/>
      <c r="BO180" s="14"/>
      <c r="BP180" s="14"/>
    </row>
    <row r="181" spans="1:68" ht="14.45">
      <c r="A181" s="24"/>
      <c r="B181" s="24"/>
      <c r="K181" s="14"/>
      <c r="L181" s="71"/>
      <c r="M181" s="66"/>
      <c r="N181" s="66"/>
      <c r="O181" s="66"/>
      <c r="P181" s="66"/>
      <c r="Q181" s="66"/>
      <c r="R181" s="72"/>
      <c r="S181" s="24"/>
      <c r="Y181" s="14"/>
      <c r="Z181" s="24"/>
      <c r="AG181" s="24"/>
      <c r="AM181" s="14"/>
      <c r="AU181" s="24"/>
      <c r="AY181" s="11"/>
      <c r="BK181" s="24"/>
      <c r="BO181" s="14"/>
      <c r="BP181" s="14"/>
    </row>
    <row r="182" spans="1:68">
      <c r="A182" s="24"/>
      <c r="B182" s="24"/>
      <c r="K182" s="14"/>
      <c r="L182" s="71"/>
      <c r="M182" s="66"/>
      <c r="N182" s="66"/>
      <c r="O182" s="66"/>
      <c r="P182" s="66"/>
      <c r="Q182" s="66"/>
      <c r="R182" s="72"/>
      <c r="S182" s="24"/>
      <c r="Y182" s="14"/>
      <c r="Z182" s="24"/>
      <c r="AG182" s="24"/>
      <c r="AM182" s="14"/>
      <c r="AU182" s="24"/>
      <c r="AV182" s="16" t="s">
        <v>669</v>
      </c>
      <c r="BK182" s="24"/>
      <c r="BO182" s="14"/>
      <c r="BP182" s="14"/>
    </row>
    <row r="183" spans="1:68">
      <c r="A183" s="24"/>
      <c r="B183" s="24"/>
      <c r="K183" s="14"/>
      <c r="L183" s="71"/>
      <c r="M183" s="66"/>
      <c r="N183" s="66"/>
      <c r="O183" s="66"/>
      <c r="P183" s="66"/>
      <c r="Q183" s="66"/>
      <c r="R183" s="72"/>
      <c r="S183" s="24"/>
      <c r="Y183" s="14"/>
      <c r="Z183" s="24"/>
      <c r="AG183" s="24"/>
      <c r="AM183" s="14"/>
      <c r="AU183" s="24"/>
      <c r="AW183" s="8" t="s">
        <v>670</v>
      </c>
      <c r="BK183" s="24"/>
      <c r="BO183" s="14"/>
      <c r="BP183" s="14"/>
    </row>
    <row r="184" spans="1:68">
      <c r="A184" s="24"/>
      <c r="B184" s="24"/>
      <c r="K184" s="14"/>
      <c r="L184" s="71"/>
      <c r="M184" s="66"/>
      <c r="N184" s="66"/>
      <c r="O184" s="66"/>
      <c r="P184" s="66"/>
      <c r="Q184" s="66"/>
      <c r="R184" s="72"/>
      <c r="S184" s="24"/>
      <c r="Y184" s="14"/>
      <c r="Z184" s="24"/>
      <c r="AG184" s="24"/>
      <c r="AM184" s="14"/>
      <c r="AU184" s="24"/>
      <c r="AW184" s="8" t="s">
        <v>671</v>
      </c>
      <c r="BK184" s="24"/>
      <c r="BO184" s="14"/>
      <c r="BP184" s="14"/>
    </row>
    <row r="185" spans="1:68">
      <c r="A185" s="24"/>
      <c r="B185" s="24"/>
      <c r="K185" s="14"/>
      <c r="L185" s="71"/>
      <c r="M185" s="66"/>
      <c r="N185" s="66"/>
      <c r="O185" s="66"/>
      <c r="P185" s="66"/>
      <c r="Q185" s="66"/>
      <c r="R185" s="72"/>
      <c r="S185" s="24"/>
      <c r="Y185" s="14"/>
      <c r="Z185" s="24"/>
      <c r="AG185" s="24"/>
      <c r="AM185" s="14"/>
      <c r="AU185" s="24"/>
      <c r="AW185" s="8" t="s">
        <v>118</v>
      </c>
      <c r="AX185" s="8" t="s">
        <v>672</v>
      </c>
      <c r="BK185" s="24"/>
      <c r="BO185" s="14"/>
      <c r="BP185" s="14"/>
    </row>
    <row r="186" spans="1:68">
      <c r="A186" s="24"/>
      <c r="B186" s="24"/>
      <c r="K186" s="14"/>
      <c r="L186" s="71"/>
      <c r="M186" s="66"/>
      <c r="N186" s="66"/>
      <c r="O186" s="66"/>
      <c r="P186" s="66"/>
      <c r="Q186" s="66"/>
      <c r="R186" s="72"/>
      <c r="S186" s="24"/>
      <c r="Y186" s="14"/>
      <c r="Z186" s="24"/>
      <c r="AG186" s="24"/>
      <c r="AM186" s="14"/>
      <c r="AU186" s="24"/>
      <c r="AW186" s="8" t="s">
        <v>118</v>
      </c>
      <c r="AX186" s="8" t="s">
        <v>648</v>
      </c>
      <c r="BK186" s="24"/>
      <c r="BO186" s="14"/>
      <c r="BP186" s="14"/>
    </row>
    <row r="187" spans="1:68">
      <c r="A187" s="24"/>
      <c r="B187" s="24"/>
      <c r="K187" s="14"/>
      <c r="L187" s="71"/>
      <c r="M187" s="66"/>
      <c r="N187" s="66"/>
      <c r="O187" s="66"/>
      <c r="P187" s="66"/>
      <c r="Q187" s="66"/>
      <c r="R187" s="72"/>
      <c r="S187" s="24"/>
      <c r="Y187" s="14"/>
      <c r="Z187" s="24"/>
      <c r="AG187" s="24"/>
      <c r="AM187" s="14"/>
      <c r="AU187" s="24"/>
      <c r="AV187" s="11"/>
      <c r="AW187" s="86" t="s">
        <v>637</v>
      </c>
      <c r="AX187" s="87"/>
      <c r="AY187" s="87"/>
      <c r="AZ187" s="87"/>
      <c r="BA187" s="87"/>
      <c r="BB187" s="87"/>
      <c r="BC187" s="87"/>
      <c r="BD187" s="87"/>
      <c r="BE187" s="87"/>
      <c r="BF187" s="87"/>
      <c r="BG187" s="88"/>
      <c r="BK187" s="24"/>
      <c r="BO187" s="14"/>
      <c r="BP187" s="14"/>
    </row>
    <row r="188" spans="1:68">
      <c r="A188" s="24"/>
      <c r="B188" s="24"/>
      <c r="K188" s="14"/>
      <c r="L188" s="71"/>
      <c r="M188" s="66"/>
      <c r="N188" s="66"/>
      <c r="O188" s="66"/>
      <c r="P188" s="66"/>
      <c r="Q188" s="66"/>
      <c r="R188" s="72"/>
      <c r="S188" s="24"/>
      <c r="Y188" s="14"/>
      <c r="Z188" s="24"/>
      <c r="AG188" s="24"/>
      <c r="AM188" s="14"/>
      <c r="AU188" s="24"/>
      <c r="AV188" s="11"/>
      <c r="AW188" s="89" t="s">
        <v>673</v>
      </c>
      <c r="AX188" s="90"/>
      <c r="AY188" s="90"/>
      <c r="AZ188" s="90"/>
      <c r="BA188" s="91"/>
      <c r="BB188" s="89" t="s">
        <v>674</v>
      </c>
      <c r="BC188" s="90"/>
      <c r="BD188" s="90"/>
      <c r="BE188" s="90"/>
      <c r="BF188" s="90"/>
      <c r="BG188" s="91"/>
      <c r="BK188" s="24"/>
      <c r="BO188" s="14"/>
      <c r="BP188" s="14"/>
    </row>
    <row r="189" spans="1:68" ht="14.45">
      <c r="A189" s="24"/>
      <c r="B189" s="24"/>
      <c r="K189" s="14"/>
      <c r="L189" s="71"/>
      <c r="M189" s="66"/>
      <c r="N189" s="66"/>
      <c r="O189" s="66"/>
      <c r="P189" s="66"/>
      <c r="Q189" s="66"/>
      <c r="R189" s="72"/>
      <c r="S189" s="24"/>
      <c r="Y189" s="14"/>
      <c r="Z189" s="24"/>
      <c r="AG189" s="24"/>
      <c r="AM189" s="14"/>
      <c r="AU189" s="24"/>
      <c r="AV189" s="11"/>
      <c r="AX189" s="11"/>
      <c r="AY189" s="11"/>
      <c r="BK189" s="24"/>
      <c r="BO189" s="14"/>
      <c r="BP189" s="14"/>
    </row>
    <row r="190" spans="1:68" ht="14.45">
      <c r="A190" s="24"/>
      <c r="B190" s="24"/>
      <c r="K190" s="14"/>
      <c r="L190" s="71"/>
      <c r="M190" s="66"/>
      <c r="N190" s="66"/>
      <c r="O190" s="66"/>
      <c r="P190" s="66"/>
      <c r="Q190" s="66"/>
      <c r="R190" s="72"/>
      <c r="S190" s="24"/>
      <c r="Y190" s="14"/>
      <c r="Z190" s="24"/>
      <c r="AG190" s="24"/>
      <c r="AM190" s="14"/>
      <c r="AU190" s="24"/>
      <c r="AY190" s="11"/>
      <c r="BK190" s="24"/>
      <c r="BO190" s="14"/>
      <c r="BP190" s="14"/>
    </row>
    <row r="191" spans="1:68" ht="14.45">
      <c r="A191" s="24"/>
      <c r="B191" s="24"/>
      <c r="K191" s="14"/>
      <c r="L191" s="71"/>
      <c r="M191" s="66"/>
      <c r="N191" s="66"/>
      <c r="O191" s="66"/>
      <c r="P191" s="66"/>
      <c r="Q191" s="66"/>
      <c r="R191" s="72"/>
      <c r="S191" s="24"/>
      <c r="Y191" s="14"/>
      <c r="Z191" s="24"/>
      <c r="AG191" s="24"/>
      <c r="AM191" s="14"/>
      <c r="AU191" s="24"/>
      <c r="AV191" s="16"/>
      <c r="BK191" s="24"/>
      <c r="BO191" s="14"/>
      <c r="BP191" s="14"/>
    </row>
    <row r="192" spans="1:68" ht="14.45">
      <c r="A192" s="24"/>
      <c r="B192" s="24"/>
      <c r="K192" s="14"/>
      <c r="L192" s="71"/>
      <c r="M192" s="66"/>
      <c r="N192" s="66"/>
      <c r="O192" s="66"/>
      <c r="P192" s="66"/>
      <c r="Q192" s="66"/>
      <c r="R192" s="72"/>
      <c r="S192" s="24"/>
      <c r="Y192" s="14"/>
      <c r="Z192" s="24"/>
      <c r="AG192" s="24"/>
      <c r="AM192" s="14"/>
      <c r="AU192" s="24"/>
      <c r="BK192" s="24"/>
      <c r="BO192" s="14"/>
      <c r="BP192" s="14"/>
    </row>
    <row r="193" spans="1:69" ht="14.45">
      <c r="A193" s="24"/>
      <c r="B193" s="24"/>
      <c r="K193" s="14"/>
      <c r="L193" s="71"/>
      <c r="M193" s="66"/>
      <c r="N193" s="66"/>
      <c r="O193" s="66"/>
      <c r="P193" s="66"/>
      <c r="Q193" s="66"/>
      <c r="R193" s="72"/>
      <c r="S193" s="24"/>
      <c r="Y193" s="14"/>
      <c r="Z193" s="24"/>
      <c r="AG193" s="24"/>
      <c r="AM193" s="14"/>
      <c r="AU193" s="24"/>
      <c r="AY193" s="11"/>
      <c r="BK193" s="24"/>
      <c r="BO193" s="14"/>
      <c r="BP193" s="14"/>
    </row>
    <row r="194" spans="1:69" ht="14.45">
      <c r="A194" s="24"/>
      <c r="B194" s="24"/>
      <c r="K194" s="14"/>
      <c r="L194" s="71"/>
      <c r="M194" s="66"/>
      <c r="N194" s="66"/>
      <c r="O194" s="66"/>
      <c r="P194" s="66"/>
      <c r="Q194" s="66"/>
      <c r="R194" s="72"/>
      <c r="S194" s="24"/>
      <c r="Y194" s="14"/>
      <c r="Z194" s="24"/>
      <c r="AG194" s="24"/>
      <c r="AM194" s="14"/>
      <c r="AU194" s="24"/>
      <c r="AV194" s="11"/>
      <c r="AX194" s="11"/>
      <c r="AY194" s="11"/>
      <c r="BK194" s="24"/>
      <c r="BO194" s="14"/>
      <c r="BP194" s="14"/>
    </row>
    <row r="195" spans="1:69" ht="14.45">
      <c r="A195" s="24"/>
      <c r="B195" s="24"/>
      <c r="K195" s="14"/>
      <c r="L195" s="71"/>
      <c r="M195" s="66"/>
      <c r="N195" s="66"/>
      <c r="O195" s="66"/>
      <c r="P195" s="66"/>
      <c r="Q195" s="66"/>
      <c r="R195" s="72"/>
      <c r="S195" s="24"/>
      <c r="Y195" s="14"/>
      <c r="Z195" s="24"/>
      <c r="AG195" s="24"/>
      <c r="AM195" s="14"/>
      <c r="AU195" s="24"/>
      <c r="AV195" s="11"/>
      <c r="AX195" s="11"/>
      <c r="AY195" s="11"/>
      <c r="BK195" s="24"/>
      <c r="BO195" s="14"/>
      <c r="BP195" s="14"/>
    </row>
    <row r="196" spans="1:69" s="11" customFormat="1">
      <c r="A196" s="25"/>
      <c r="B196" s="26" t="s">
        <v>675</v>
      </c>
      <c r="C196" s="31"/>
      <c r="D196" s="31"/>
      <c r="E196" s="31"/>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30"/>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13"/>
    </row>
    <row r="197" spans="1:69" s="11" customFormat="1" ht="14.45">
      <c r="A197" s="25"/>
      <c r="B197" s="24"/>
      <c r="C197" s="8"/>
      <c r="D197" s="8"/>
      <c r="E197" s="8"/>
      <c r="F197" s="8"/>
      <c r="G197" s="8"/>
      <c r="H197" s="8"/>
      <c r="I197" s="8"/>
      <c r="J197" s="8"/>
      <c r="K197" s="14"/>
      <c r="L197" s="71"/>
      <c r="M197" s="66"/>
      <c r="N197" s="66"/>
      <c r="O197" s="66"/>
      <c r="P197" s="66"/>
      <c r="Q197" s="66"/>
      <c r="R197" s="72"/>
      <c r="S197" s="24"/>
      <c r="T197" s="8"/>
      <c r="U197" s="8"/>
      <c r="V197" s="8"/>
      <c r="W197" s="8"/>
      <c r="X197" s="8"/>
      <c r="Y197" s="14"/>
      <c r="Z197" s="24"/>
      <c r="AA197" s="8"/>
      <c r="AB197" s="8"/>
      <c r="AC197" s="8"/>
      <c r="AD197" s="8"/>
      <c r="AE197" s="8"/>
      <c r="AF197" s="8"/>
      <c r="AG197" s="24"/>
      <c r="AH197" s="8"/>
      <c r="AI197" s="8"/>
      <c r="AJ197" s="8"/>
      <c r="AK197" s="8"/>
      <c r="AL197" s="8"/>
      <c r="AM197" s="14"/>
      <c r="AN197" s="8"/>
      <c r="AO197" s="8"/>
      <c r="AP197" s="8"/>
      <c r="AQ197" s="8"/>
      <c r="AR197" s="8"/>
      <c r="AS197" s="8"/>
      <c r="AT197" s="8"/>
      <c r="AU197" s="24"/>
      <c r="AV197" s="8"/>
      <c r="AW197" s="8"/>
      <c r="AX197" s="8"/>
      <c r="AY197" s="8"/>
      <c r="AZ197" s="8"/>
      <c r="BA197" s="8"/>
      <c r="BB197" s="8"/>
      <c r="BC197" s="8"/>
      <c r="BD197" s="8"/>
      <c r="BE197" s="8"/>
      <c r="BF197" s="8"/>
      <c r="BG197" s="8"/>
      <c r="BH197" s="8"/>
      <c r="BI197" s="8"/>
      <c r="BJ197" s="8"/>
      <c r="BK197" s="24"/>
      <c r="BL197" s="8"/>
      <c r="BM197" s="8"/>
      <c r="BN197" s="8"/>
      <c r="BO197" s="14"/>
      <c r="BP197" s="13"/>
    </row>
    <row r="198" spans="1:69" s="11" customFormat="1" ht="14.45">
      <c r="A198" s="25"/>
      <c r="B198" s="24"/>
      <c r="C198" s="8"/>
      <c r="D198" s="8"/>
      <c r="E198" s="8"/>
      <c r="F198" s="8"/>
      <c r="G198" s="8"/>
      <c r="H198" s="8"/>
      <c r="I198" s="8"/>
      <c r="J198" s="8"/>
      <c r="K198" s="14"/>
      <c r="L198" s="71"/>
      <c r="M198" s="66"/>
      <c r="N198" s="66"/>
      <c r="O198" s="66"/>
      <c r="P198" s="66"/>
      <c r="Q198" s="66"/>
      <c r="R198" s="72"/>
      <c r="S198" s="24"/>
      <c r="T198" s="8"/>
      <c r="U198" s="8"/>
      <c r="V198" s="8"/>
      <c r="W198" s="8"/>
      <c r="X198" s="8"/>
      <c r="Y198" s="14"/>
      <c r="Z198" s="24"/>
      <c r="AA198" s="8"/>
      <c r="AB198" s="8"/>
      <c r="AC198" s="8"/>
      <c r="AD198" s="8"/>
      <c r="AE198" s="8"/>
      <c r="AF198" s="8"/>
      <c r="AG198" s="24"/>
      <c r="AH198" s="8"/>
      <c r="AI198" s="8"/>
      <c r="AJ198" s="8"/>
      <c r="AK198" s="8"/>
      <c r="AL198" s="8"/>
      <c r="AM198" s="14"/>
      <c r="AN198" s="8"/>
      <c r="AO198" s="8"/>
      <c r="AP198" s="8"/>
      <c r="AQ198" s="8"/>
      <c r="AR198" s="8"/>
      <c r="AS198" s="8"/>
      <c r="AT198" s="8"/>
      <c r="AU198" s="24"/>
      <c r="AV198" s="8"/>
      <c r="AW198" s="8"/>
      <c r="AX198" s="8"/>
      <c r="AY198" s="8"/>
      <c r="AZ198" s="8"/>
      <c r="BA198" s="8"/>
      <c r="BB198" s="8"/>
      <c r="BC198" s="8"/>
      <c r="BD198" s="8"/>
      <c r="BE198" s="8"/>
      <c r="BF198" s="8"/>
      <c r="BG198" s="8"/>
      <c r="BH198" s="8"/>
      <c r="BI198" s="8"/>
      <c r="BJ198" s="8"/>
      <c r="BK198" s="24"/>
      <c r="BL198" s="8"/>
      <c r="BM198" s="8"/>
      <c r="BN198" s="8"/>
      <c r="BO198" s="14"/>
      <c r="BP198" s="13"/>
    </row>
    <row r="199" spans="1:69" s="11" customFormat="1" ht="14.45">
      <c r="A199" s="25"/>
      <c r="B199" s="24"/>
      <c r="C199" s="8"/>
      <c r="D199" s="8"/>
      <c r="E199" s="8"/>
      <c r="F199" s="8"/>
      <c r="G199" s="8"/>
      <c r="H199" s="8"/>
      <c r="I199" s="8"/>
      <c r="J199" s="8"/>
      <c r="K199" s="14"/>
      <c r="L199" s="71"/>
      <c r="M199" s="66"/>
      <c r="N199" s="66"/>
      <c r="O199" s="66"/>
      <c r="P199" s="66"/>
      <c r="Q199" s="66"/>
      <c r="R199" s="72"/>
      <c r="S199" s="24"/>
      <c r="T199" s="8"/>
      <c r="U199" s="8"/>
      <c r="V199" s="8"/>
      <c r="W199" s="8"/>
      <c r="X199" s="8"/>
      <c r="Y199" s="14"/>
      <c r="Z199" s="24"/>
      <c r="AA199" s="8"/>
      <c r="AB199" s="8"/>
      <c r="AC199" s="8"/>
      <c r="AD199" s="8"/>
      <c r="AE199" s="8"/>
      <c r="AF199" s="8"/>
      <c r="AG199" s="24"/>
      <c r="AH199" s="8"/>
      <c r="AI199" s="8"/>
      <c r="AJ199" s="8"/>
      <c r="AK199" s="8"/>
      <c r="AL199" s="8"/>
      <c r="AM199" s="14"/>
      <c r="AN199" s="8"/>
      <c r="AO199" s="8"/>
      <c r="AP199" s="8"/>
      <c r="AQ199" s="8"/>
      <c r="AR199" s="8"/>
      <c r="AS199" s="8"/>
      <c r="AT199" s="8"/>
      <c r="AU199" s="24"/>
      <c r="AV199" s="8"/>
      <c r="AW199" s="8"/>
      <c r="AX199" s="8"/>
      <c r="AY199" s="8"/>
      <c r="AZ199" s="8"/>
      <c r="BA199" s="8"/>
      <c r="BB199" s="8"/>
      <c r="BC199" s="8"/>
      <c r="BD199" s="8"/>
      <c r="BE199" s="8"/>
      <c r="BF199" s="8"/>
      <c r="BG199" s="8"/>
      <c r="BH199" s="8"/>
      <c r="BI199" s="8"/>
      <c r="BJ199" s="8"/>
      <c r="BK199" s="24"/>
      <c r="BL199" s="8"/>
      <c r="BM199" s="8"/>
      <c r="BN199" s="8"/>
      <c r="BO199" s="14"/>
      <c r="BP199" s="13"/>
    </row>
    <row r="200" spans="1:69" s="11" customFormat="1" ht="14.45">
      <c r="A200" s="25"/>
      <c r="B200" s="24"/>
      <c r="C200" s="8"/>
      <c r="D200" s="8"/>
      <c r="E200" s="8"/>
      <c r="F200" s="8"/>
      <c r="G200" s="8"/>
      <c r="H200" s="8"/>
      <c r="I200" s="8"/>
      <c r="J200" s="8"/>
      <c r="K200" s="14"/>
      <c r="L200" s="71"/>
      <c r="M200" s="66"/>
      <c r="N200" s="66"/>
      <c r="O200" s="66"/>
      <c r="P200" s="66"/>
      <c r="Q200" s="66"/>
      <c r="R200" s="72"/>
      <c r="S200" s="24"/>
      <c r="T200" s="8"/>
      <c r="U200" s="8"/>
      <c r="V200" s="8"/>
      <c r="W200" s="8"/>
      <c r="X200" s="8"/>
      <c r="Y200" s="14"/>
      <c r="Z200" s="24"/>
      <c r="AA200" s="8"/>
      <c r="AB200" s="8"/>
      <c r="AC200" s="8"/>
      <c r="AD200" s="8"/>
      <c r="AE200" s="8"/>
      <c r="AF200" s="8"/>
      <c r="AG200" s="24"/>
      <c r="AH200" s="8"/>
      <c r="AI200" s="8"/>
      <c r="AJ200" s="8"/>
      <c r="AK200" s="8"/>
      <c r="AL200" s="8"/>
      <c r="AM200" s="14"/>
      <c r="AN200" s="8"/>
      <c r="AO200" s="8"/>
      <c r="AP200" s="8"/>
      <c r="AQ200" s="8"/>
      <c r="AR200" s="8"/>
      <c r="AS200" s="8"/>
      <c r="AT200" s="8"/>
      <c r="AU200" s="24"/>
      <c r="AV200" s="8"/>
      <c r="AW200" s="8"/>
      <c r="AX200" s="8"/>
      <c r="AY200" s="8"/>
      <c r="AZ200" s="8"/>
      <c r="BA200" s="8"/>
      <c r="BB200" s="8"/>
      <c r="BC200" s="8"/>
      <c r="BD200" s="8"/>
      <c r="BE200" s="8"/>
      <c r="BF200" s="8"/>
      <c r="BG200" s="8"/>
      <c r="BH200" s="8"/>
      <c r="BI200" s="8"/>
      <c r="BJ200" s="8"/>
      <c r="BK200" s="24"/>
      <c r="BL200" s="8"/>
      <c r="BM200" s="8"/>
      <c r="BN200" s="8"/>
      <c r="BO200" s="14"/>
      <c r="BP200" s="13"/>
    </row>
    <row r="201" spans="1:69" s="11" customFormat="1" ht="14.45">
      <c r="A201" s="25"/>
      <c r="B201" s="24"/>
      <c r="C201" s="8"/>
      <c r="D201" s="8"/>
      <c r="E201" s="8"/>
      <c r="F201" s="8"/>
      <c r="G201" s="8"/>
      <c r="H201" s="8"/>
      <c r="I201" s="8"/>
      <c r="J201" s="8"/>
      <c r="K201" s="14"/>
      <c r="L201" s="71"/>
      <c r="M201" s="66"/>
      <c r="N201" s="66"/>
      <c r="O201" s="66"/>
      <c r="P201" s="66"/>
      <c r="Q201" s="66"/>
      <c r="R201" s="72"/>
      <c r="S201" s="24"/>
      <c r="T201" s="8"/>
      <c r="U201" s="8"/>
      <c r="V201" s="8"/>
      <c r="W201" s="8"/>
      <c r="X201" s="8"/>
      <c r="Y201" s="14"/>
      <c r="Z201" s="24"/>
      <c r="AA201" s="8"/>
      <c r="AB201" s="8"/>
      <c r="AC201" s="8"/>
      <c r="AD201" s="8"/>
      <c r="AE201" s="8"/>
      <c r="AF201" s="8"/>
      <c r="AG201" s="24"/>
      <c r="AH201" s="8"/>
      <c r="AI201" s="8"/>
      <c r="AJ201" s="8"/>
      <c r="AK201" s="8"/>
      <c r="AL201" s="8"/>
      <c r="AM201" s="14"/>
      <c r="AN201" s="8"/>
      <c r="AO201" s="8"/>
      <c r="AP201" s="8"/>
      <c r="AQ201" s="8"/>
      <c r="AR201" s="8"/>
      <c r="AS201" s="8"/>
      <c r="AT201" s="8"/>
      <c r="AU201" s="24"/>
      <c r="AV201" s="8"/>
      <c r="AW201" s="8"/>
      <c r="AX201" s="8"/>
      <c r="AY201" s="8"/>
      <c r="AZ201" s="8"/>
      <c r="BA201" s="8"/>
      <c r="BB201" s="8"/>
      <c r="BC201" s="8"/>
      <c r="BD201" s="8"/>
      <c r="BE201" s="8"/>
      <c r="BF201" s="8"/>
      <c r="BG201" s="8"/>
      <c r="BH201" s="8"/>
      <c r="BI201" s="8"/>
      <c r="BJ201" s="8"/>
      <c r="BK201" s="24"/>
      <c r="BL201" s="8"/>
      <c r="BM201" s="8"/>
      <c r="BN201" s="8"/>
      <c r="BO201" s="14"/>
      <c r="BP201" s="13"/>
    </row>
    <row r="202" spans="1:69" s="11" customFormat="1" ht="14.45">
      <c r="A202" s="25"/>
      <c r="B202" s="24"/>
      <c r="C202" s="8"/>
      <c r="D202" s="8"/>
      <c r="E202" s="8"/>
      <c r="F202" s="8"/>
      <c r="G202" s="8"/>
      <c r="H202" s="8"/>
      <c r="I202" s="8"/>
      <c r="J202" s="8"/>
      <c r="K202" s="14"/>
      <c r="L202" s="71"/>
      <c r="M202" s="66"/>
      <c r="N202" s="66"/>
      <c r="O202" s="66"/>
      <c r="P202" s="66"/>
      <c r="Q202" s="66"/>
      <c r="R202" s="72"/>
      <c r="S202" s="24"/>
      <c r="T202" s="8"/>
      <c r="U202" s="8"/>
      <c r="V202" s="8"/>
      <c r="W202" s="8"/>
      <c r="X202" s="8"/>
      <c r="Y202" s="14"/>
      <c r="Z202" s="24"/>
      <c r="AA202" s="8"/>
      <c r="AB202" s="8"/>
      <c r="AC202" s="8"/>
      <c r="AD202" s="8"/>
      <c r="AE202" s="8"/>
      <c r="AF202" s="8"/>
      <c r="AG202" s="24"/>
      <c r="AH202" s="8"/>
      <c r="AI202" s="8"/>
      <c r="AJ202" s="8"/>
      <c r="AK202" s="8"/>
      <c r="AL202" s="8"/>
      <c r="AM202" s="14"/>
      <c r="AN202" s="8"/>
      <c r="AO202" s="8"/>
      <c r="AP202" s="8"/>
      <c r="AQ202" s="8"/>
      <c r="AR202" s="8"/>
      <c r="AS202" s="8"/>
      <c r="AT202" s="8"/>
      <c r="AU202" s="24"/>
      <c r="AV202" s="8"/>
      <c r="AW202" s="8"/>
      <c r="AX202" s="8"/>
      <c r="AY202" s="8"/>
      <c r="AZ202" s="8"/>
      <c r="BA202" s="8"/>
      <c r="BB202" s="8"/>
      <c r="BC202" s="8"/>
      <c r="BD202" s="8"/>
      <c r="BE202" s="8"/>
      <c r="BF202" s="8"/>
      <c r="BG202" s="8"/>
      <c r="BH202" s="8"/>
      <c r="BI202" s="8"/>
      <c r="BJ202" s="8"/>
      <c r="BK202" s="24"/>
      <c r="BL202" s="8"/>
      <c r="BM202" s="8"/>
      <c r="BN202" s="8"/>
      <c r="BO202" s="14"/>
      <c r="BP202" s="13"/>
      <c r="BQ202" s="8"/>
    </row>
    <row r="203" spans="1:69" s="11" customFormat="1">
      <c r="A203" s="25"/>
      <c r="B203" s="24"/>
      <c r="C203" s="8"/>
      <c r="D203" s="8"/>
      <c r="E203" s="8"/>
      <c r="F203" s="8"/>
      <c r="G203" s="8"/>
      <c r="H203" s="8"/>
      <c r="I203" s="8"/>
      <c r="J203" s="8"/>
      <c r="K203" s="14"/>
      <c r="L203" s="71"/>
      <c r="M203" s="66"/>
      <c r="N203" s="66"/>
      <c r="O203" s="66"/>
      <c r="P203" s="66"/>
      <c r="Q203" s="66"/>
      <c r="R203" s="72"/>
      <c r="S203" s="24"/>
      <c r="T203" s="8"/>
      <c r="U203" s="8"/>
      <c r="V203" s="8"/>
      <c r="W203" s="8"/>
      <c r="X203" s="8"/>
      <c r="Y203" s="14"/>
      <c r="Z203" s="24"/>
      <c r="AA203" s="8"/>
      <c r="AB203" s="8"/>
      <c r="AC203" s="8"/>
      <c r="AD203" s="8"/>
      <c r="AE203" s="8"/>
      <c r="AF203" s="8"/>
      <c r="AG203" s="24"/>
      <c r="AH203" s="8"/>
      <c r="AI203" s="8"/>
      <c r="AJ203" s="8"/>
      <c r="AK203" s="8"/>
      <c r="AL203" s="8"/>
      <c r="AM203" s="14"/>
      <c r="AN203" s="8"/>
      <c r="AO203" s="8"/>
      <c r="AP203" s="8"/>
      <c r="AQ203" s="8"/>
      <c r="AR203" s="8"/>
      <c r="AS203" s="8"/>
      <c r="AT203" s="8"/>
      <c r="AU203" s="24"/>
      <c r="AV203" s="16" t="s">
        <v>676</v>
      </c>
      <c r="AW203" s="8"/>
      <c r="AX203" s="8"/>
      <c r="AY203" s="8"/>
      <c r="AZ203" s="8"/>
      <c r="BA203" s="8"/>
      <c r="BB203" s="8"/>
      <c r="BC203" s="8"/>
      <c r="BD203" s="8"/>
      <c r="BE203" s="8"/>
      <c r="BF203" s="8"/>
      <c r="BG203" s="8"/>
      <c r="BH203" s="8"/>
      <c r="BI203" s="8"/>
      <c r="BJ203" s="8"/>
      <c r="BK203" s="24"/>
      <c r="BL203" s="8"/>
      <c r="BM203" s="8"/>
      <c r="BN203" s="8"/>
      <c r="BO203" s="14"/>
      <c r="BP203" s="13"/>
      <c r="BQ203" s="8"/>
    </row>
    <row r="204" spans="1:69" s="11" customFormat="1">
      <c r="A204" s="25"/>
      <c r="B204" s="24"/>
      <c r="C204" s="8"/>
      <c r="D204" s="8"/>
      <c r="E204" s="8"/>
      <c r="F204" s="8"/>
      <c r="G204" s="8"/>
      <c r="H204" s="8"/>
      <c r="I204" s="8"/>
      <c r="J204" s="8"/>
      <c r="K204" s="14"/>
      <c r="L204" s="71"/>
      <c r="M204" s="66"/>
      <c r="N204" s="66"/>
      <c r="O204" s="66"/>
      <c r="P204" s="66"/>
      <c r="Q204" s="66"/>
      <c r="R204" s="72"/>
      <c r="S204" s="24"/>
      <c r="T204" s="8"/>
      <c r="U204" s="8"/>
      <c r="V204" s="8"/>
      <c r="W204" s="8"/>
      <c r="X204" s="8"/>
      <c r="Y204" s="14"/>
      <c r="Z204" s="24"/>
      <c r="AA204" s="8"/>
      <c r="AB204" s="8"/>
      <c r="AC204" s="8"/>
      <c r="AD204" s="8"/>
      <c r="AE204" s="8"/>
      <c r="AF204" s="8"/>
      <c r="AG204" s="24"/>
      <c r="AH204" s="8"/>
      <c r="AI204" s="8"/>
      <c r="AJ204" s="8"/>
      <c r="AK204" s="8"/>
      <c r="AL204" s="8"/>
      <c r="AM204" s="14"/>
      <c r="AN204" s="8"/>
      <c r="AO204" s="8"/>
      <c r="AP204" s="8"/>
      <c r="AQ204" s="8"/>
      <c r="AR204" s="8"/>
      <c r="AS204" s="8"/>
      <c r="AT204" s="8"/>
      <c r="AU204" s="24"/>
      <c r="AV204" s="8"/>
      <c r="AW204" s="8" t="s">
        <v>677</v>
      </c>
      <c r="AX204" s="8"/>
      <c r="AY204" s="8"/>
      <c r="AZ204" s="8"/>
      <c r="BA204" s="8"/>
      <c r="BB204" s="8"/>
      <c r="BC204" s="8"/>
      <c r="BD204" s="8"/>
      <c r="BE204" s="8"/>
      <c r="BF204" s="8"/>
      <c r="BG204" s="8"/>
      <c r="BH204" s="8"/>
      <c r="BI204" s="8"/>
      <c r="BJ204" s="8"/>
      <c r="BK204" s="24"/>
      <c r="BL204" s="8"/>
      <c r="BM204" s="8"/>
      <c r="BN204" s="8"/>
      <c r="BO204" s="14"/>
      <c r="BP204" s="13"/>
    </row>
    <row r="205" spans="1:69" s="11" customFormat="1">
      <c r="A205" s="25"/>
      <c r="B205" s="24"/>
      <c r="C205" s="8"/>
      <c r="D205" s="8"/>
      <c r="E205" s="8"/>
      <c r="F205" s="8"/>
      <c r="G205" s="8"/>
      <c r="H205" s="8"/>
      <c r="I205" s="8"/>
      <c r="J205" s="8"/>
      <c r="K205" s="14"/>
      <c r="L205" s="71"/>
      <c r="M205" s="66"/>
      <c r="N205" s="66"/>
      <c r="O205" s="66"/>
      <c r="P205" s="66"/>
      <c r="Q205" s="66"/>
      <c r="R205" s="72"/>
      <c r="S205" s="24"/>
      <c r="T205" s="8"/>
      <c r="U205" s="8"/>
      <c r="V205" s="8"/>
      <c r="W205" s="8"/>
      <c r="X205" s="8"/>
      <c r="Y205" s="14"/>
      <c r="Z205" s="24"/>
      <c r="AA205" s="8"/>
      <c r="AB205" s="8"/>
      <c r="AC205" s="8"/>
      <c r="AD205" s="8"/>
      <c r="AE205" s="8"/>
      <c r="AF205" s="8"/>
      <c r="AG205" s="24"/>
      <c r="AH205" s="8"/>
      <c r="AI205" s="8"/>
      <c r="AJ205" s="8"/>
      <c r="AK205" s="8"/>
      <c r="AL205" s="8"/>
      <c r="AM205" s="14"/>
      <c r="AN205" s="8"/>
      <c r="AO205" s="8"/>
      <c r="AP205" s="8"/>
      <c r="AQ205" s="8"/>
      <c r="AR205" s="8"/>
      <c r="AS205" s="8"/>
      <c r="AT205" s="8"/>
      <c r="AU205" s="24"/>
      <c r="AV205" s="8"/>
      <c r="AW205" s="8" t="s">
        <v>678</v>
      </c>
      <c r="AX205" s="8"/>
      <c r="AY205" s="8"/>
      <c r="AZ205" s="8"/>
      <c r="BA205" s="8"/>
      <c r="BB205" s="8"/>
      <c r="BC205" s="8"/>
      <c r="BD205" s="8"/>
      <c r="BE205" s="8"/>
      <c r="BF205" s="8"/>
      <c r="BG205" s="8"/>
      <c r="BH205" s="8"/>
      <c r="BI205" s="8"/>
      <c r="BJ205" s="8"/>
      <c r="BK205" s="24"/>
      <c r="BL205" s="8"/>
      <c r="BM205" s="8"/>
      <c r="BN205" s="8"/>
      <c r="BO205" s="14"/>
      <c r="BP205" s="13"/>
    </row>
    <row r="206" spans="1:69" s="11" customFormat="1">
      <c r="A206" s="25"/>
      <c r="B206" s="24"/>
      <c r="C206" s="8"/>
      <c r="D206" s="8"/>
      <c r="E206" s="8"/>
      <c r="F206" s="8"/>
      <c r="G206" s="8"/>
      <c r="H206" s="8"/>
      <c r="I206" s="8"/>
      <c r="J206" s="8"/>
      <c r="K206" s="14"/>
      <c r="L206" s="71"/>
      <c r="M206" s="66"/>
      <c r="N206" s="66"/>
      <c r="O206" s="66"/>
      <c r="P206" s="66"/>
      <c r="Q206" s="66"/>
      <c r="R206" s="72"/>
      <c r="S206" s="24"/>
      <c r="T206" s="8"/>
      <c r="U206" s="8"/>
      <c r="V206" s="8"/>
      <c r="W206" s="8"/>
      <c r="X206" s="8"/>
      <c r="Y206" s="14"/>
      <c r="Z206" s="24"/>
      <c r="AA206" s="8"/>
      <c r="AB206" s="8"/>
      <c r="AC206" s="8"/>
      <c r="AD206" s="8"/>
      <c r="AE206" s="8"/>
      <c r="AF206" s="8"/>
      <c r="AG206" s="24"/>
      <c r="AH206" s="8"/>
      <c r="AI206" s="8"/>
      <c r="AJ206" s="8"/>
      <c r="AK206" s="8"/>
      <c r="AL206" s="8"/>
      <c r="AM206" s="14"/>
      <c r="AN206" s="8"/>
      <c r="AO206" s="8"/>
      <c r="AP206" s="8"/>
      <c r="AQ206" s="8"/>
      <c r="AR206" s="8"/>
      <c r="AS206" s="8"/>
      <c r="AT206" s="8"/>
      <c r="AU206" s="24"/>
      <c r="AV206" s="8"/>
      <c r="AW206" s="8" t="s">
        <v>118</v>
      </c>
      <c r="AX206" s="8" t="s">
        <v>679</v>
      </c>
      <c r="AY206" s="8"/>
      <c r="AZ206" s="8"/>
      <c r="BA206" s="8"/>
      <c r="BB206" s="8"/>
      <c r="BC206" s="8"/>
      <c r="BD206" s="8"/>
      <c r="BE206" s="8"/>
      <c r="BF206" s="8"/>
      <c r="BG206" s="8"/>
      <c r="BH206" s="8"/>
      <c r="BI206" s="8"/>
      <c r="BJ206" s="8"/>
      <c r="BK206" s="24"/>
      <c r="BL206" s="8"/>
      <c r="BM206" s="8"/>
      <c r="BN206" s="8"/>
      <c r="BO206" s="14"/>
      <c r="BP206" s="13"/>
    </row>
    <row r="207" spans="1:69" s="11" customFormat="1">
      <c r="A207" s="25"/>
      <c r="B207" s="24"/>
      <c r="C207" s="8"/>
      <c r="D207" s="8"/>
      <c r="E207" s="8"/>
      <c r="F207" s="8"/>
      <c r="G207" s="8"/>
      <c r="H207" s="8"/>
      <c r="I207" s="8"/>
      <c r="J207" s="8"/>
      <c r="K207" s="14"/>
      <c r="L207" s="71"/>
      <c r="M207" s="66"/>
      <c r="N207" s="66"/>
      <c r="O207" s="66"/>
      <c r="P207" s="66"/>
      <c r="Q207" s="66"/>
      <c r="R207" s="72"/>
      <c r="S207" s="24"/>
      <c r="T207" s="8"/>
      <c r="U207" s="8"/>
      <c r="V207" s="8"/>
      <c r="W207" s="8"/>
      <c r="X207" s="8"/>
      <c r="Y207" s="14"/>
      <c r="Z207" s="24"/>
      <c r="AA207" s="8"/>
      <c r="AB207" s="8"/>
      <c r="AC207" s="8"/>
      <c r="AD207" s="8"/>
      <c r="AE207" s="8"/>
      <c r="AF207" s="8"/>
      <c r="AG207" s="24"/>
      <c r="AH207" s="8"/>
      <c r="AI207" s="8"/>
      <c r="AJ207" s="8"/>
      <c r="AK207" s="8"/>
      <c r="AL207" s="8"/>
      <c r="AM207" s="14"/>
      <c r="AN207" s="8"/>
      <c r="AO207" s="8"/>
      <c r="AP207" s="8"/>
      <c r="AQ207" s="8"/>
      <c r="AR207" s="8"/>
      <c r="AS207" s="8"/>
      <c r="AT207" s="8"/>
      <c r="AU207" s="24"/>
      <c r="AV207" s="8"/>
      <c r="AW207" s="8"/>
      <c r="AX207" s="8" t="s">
        <v>680</v>
      </c>
      <c r="AY207" s="8"/>
      <c r="AZ207" s="8"/>
      <c r="BA207" s="8"/>
      <c r="BB207" s="8"/>
      <c r="BC207" s="8"/>
      <c r="BD207" s="8"/>
      <c r="BE207" s="8"/>
      <c r="BF207" s="8"/>
      <c r="BG207" s="8"/>
      <c r="BH207" s="8"/>
      <c r="BI207" s="8"/>
      <c r="BJ207" s="8"/>
      <c r="BK207" s="24"/>
      <c r="BL207" s="8"/>
      <c r="BM207" s="8"/>
      <c r="BN207" s="8"/>
      <c r="BO207" s="14"/>
      <c r="BP207" s="13"/>
    </row>
    <row r="208" spans="1:69" s="11" customFormat="1" ht="14.45">
      <c r="A208" s="25"/>
      <c r="B208" s="24"/>
      <c r="C208" s="8"/>
      <c r="D208" s="8"/>
      <c r="E208" s="8"/>
      <c r="F208" s="8"/>
      <c r="G208" s="8"/>
      <c r="H208" s="8"/>
      <c r="I208" s="8"/>
      <c r="J208" s="8"/>
      <c r="K208" s="14"/>
      <c r="L208" s="71"/>
      <c r="M208" s="66"/>
      <c r="N208" s="66"/>
      <c r="O208" s="66"/>
      <c r="P208" s="66"/>
      <c r="Q208" s="66"/>
      <c r="R208" s="72"/>
      <c r="S208" s="24"/>
      <c r="T208" s="8"/>
      <c r="U208" s="8"/>
      <c r="V208" s="8"/>
      <c r="W208" s="8"/>
      <c r="X208" s="8"/>
      <c r="Y208" s="14"/>
      <c r="Z208" s="24"/>
      <c r="AA208" s="8"/>
      <c r="AB208" s="8"/>
      <c r="AC208" s="8"/>
      <c r="AD208" s="8"/>
      <c r="AE208" s="8"/>
      <c r="AF208" s="8"/>
      <c r="AG208" s="24"/>
      <c r="AH208" s="8"/>
      <c r="AI208" s="8"/>
      <c r="AJ208" s="8"/>
      <c r="AK208" s="8"/>
      <c r="AL208" s="8"/>
      <c r="AM208" s="14"/>
      <c r="AN208" s="8"/>
      <c r="AO208" s="8"/>
      <c r="AP208" s="8"/>
      <c r="AQ208" s="8"/>
      <c r="AR208" s="8"/>
      <c r="AS208" s="8"/>
      <c r="AT208" s="8"/>
      <c r="AU208" s="24"/>
      <c r="AV208" s="8"/>
      <c r="AW208" s="8"/>
      <c r="AX208" s="8"/>
      <c r="AY208" s="8"/>
      <c r="AZ208" s="8"/>
      <c r="BA208" s="8"/>
      <c r="BB208" s="8"/>
      <c r="BC208" s="8"/>
      <c r="BD208" s="8"/>
      <c r="BE208" s="8"/>
      <c r="BF208" s="8"/>
      <c r="BG208" s="8"/>
      <c r="BH208" s="8"/>
      <c r="BI208" s="8"/>
      <c r="BJ208" s="8"/>
      <c r="BK208" s="24"/>
      <c r="BL208" s="8"/>
      <c r="BM208" s="8"/>
      <c r="BN208" s="8"/>
      <c r="BO208" s="14"/>
      <c r="BP208" s="13"/>
    </row>
    <row r="209" spans="1:68" s="11" customFormat="1">
      <c r="A209" s="25"/>
      <c r="B209" s="24"/>
      <c r="C209" s="8"/>
      <c r="D209" s="8"/>
      <c r="E209" s="8"/>
      <c r="F209" s="8"/>
      <c r="G209" s="8"/>
      <c r="H209" s="8"/>
      <c r="I209" s="8"/>
      <c r="J209" s="8"/>
      <c r="K209" s="14"/>
      <c r="L209" s="71"/>
      <c r="M209" s="66"/>
      <c r="N209" s="66"/>
      <c r="O209" s="66"/>
      <c r="P209" s="66"/>
      <c r="Q209" s="66"/>
      <c r="R209" s="72"/>
      <c r="S209" s="24"/>
      <c r="T209" s="8"/>
      <c r="U209" s="8"/>
      <c r="V209" s="8"/>
      <c r="W209" s="8"/>
      <c r="X209" s="8"/>
      <c r="Y209" s="14"/>
      <c r="Z209" s="24"/>
      <c r="AA209" s="8"/>
      <c r="AB209" s="8"/>
      <c r="AC209" s="8"/>
      <c r="AD209" s="8"/>
      <c r="AE209" s="8"/>
      <c r="AF209" s="8"/>
      <c r="AG209" s="24"/>
      <c r="AH209" s="8"/>
      <c r="AI209" s="8"/>
      <c r="AJ209" s="8"/>
      <c r="AK209" s="8"/>
      <c r="AL209" s="8"/>
      <c r="AM209" s="14"/>
      <c r="AN209" s="8"/>
      <c r="AO209" s="8"/>
      <c r="AP209" s="8"/>
      <c r="AQ209" s="8"/>
      <c r="AR209" s="8"/>
      <c r="AS209" s="8"/>
      <c r="AT209" s="8"/>
      <c r="AU209" s="24"/>
      <c r="AV209" s="16" t="s">
        <v>681</v>
      </c>
      <c r="AW209" s="8"/>
      <c r="AX209" s="8"/>
      <c r="AY209" s="8"/>
      <c r="AZ209" s="8"/>
      <c r="BA209" s="8"/>
      <c r="BB209" s="8"/>
      <c r="BC209" s="8"/>
      <c r="BD209" s="8"/>
      <c r="BE209" s="8"/>
      <c r="BF209" s="8"/>
      <c r="BG209" s="8"/>
      <c r="BH209" s="8"/>
      <c r="BI209" s="8"/>
      <c r="BJ209" s="8"/>
      <c r="BK209" s="24"/>
      <c r="BL209" s="8"/>
      <c r="BM209" s="8"/>
      <c r="BN209" s="8"/>
      <c r="BO209" s="14"/>
      <c r="BP209" s="13"/>
    </row>
    <row r="210" spans="1:68" s="11" customFormat="1">
      <c r="A210" s="25"/>
      <c r="B210" s="24"/>
      <c r="C210" s="8"/>
      <c r="D210" s="8"/>
      <c r="E210" s="8"/>
      <c r="F210" s="8"/>
      <c r="G210" s="8"/>
      <c r="H210" s="8"/>
      <c r="I210" s="8"/>
      <c r="J210" s="8"/>
      <c r="K210" s="14"/>
      <c r="L210" s="71"/>
      <c r="M210" s="66"/>
      <c r="N210" s="66"/>
      <c r="O210" s="66"/>
      <c r="P210" s="66"/>
      <c r="Q210" s="66"/>
      <c r="R210" s="72"/>
      <c r="S210" s="24"/>
      <c r="T210" s="8"/>
      <c r="U210" s="8"/>
      <c r="V210" s="8"/>
      <c r="W210" s="8"/>
      <c r="X210" s="8"/>
      <c r="Y210" s="14"/>
      <c r="Z210" s="24"/>
      <c r="AA210" s="8"/>
      <c r="AB210" s="8"/>
      <c r="AC210" s="8"/>
      <c r="AD210" s="8"/>
      <c r="AE210" s="8"/>
      <c r="AF210" s="8"/>
      <c r="AG210" s="24"/>
      <c r="AH210" s="8"/>
      <c r="AI210" s="8"/>
      <c r="AJ210" s="8"/>
      <c r="AK210" s="8"/>
      <c r="AL210" s="8"/>
      <c r="AM210" s="14"/>
      <c r="AN210" s="8"/>
      <c r="AO210" s="8"/>
      <c r="AP210" s="8"/>
      <c r="AQ210" s="8"/>
      <c r="AR210" s="8"/>
      <c r="AS210" s="8"/>
      <c r="AT210" s="8"/>
      <c r="AU210" s="24"/>
      <c r="AV210" s="8"/>
      <c r="AW210" s="8" t="s">
        <v>682</v>
      </c>
      <c r="AX210" s="8"/>
      <c r="AY210" s="8"/>
      <c r="AZ210" s="8"/>
      <c r="BA210" s="8"/>
      <c r="BB210" s="8"/>
      <c r="BC210" s="8"/>
      <c r="BD210" s="8"/>
      <c r="BE210" s="8"/>
      <c r="BF210" s="8"/>
      <c r="BG210" s="8"/>
      <c r="BH210" s="8"/>
      <c r="BI210" s="8"/>
      <c r="BJ210" s="8"/>
      <c r="BK210" s="24"/>
      <c r="BL210" s="8"/>
      <c r="BM210" s="8"/>
      <c r="BN210" s="8"/>
      <c r="BO210" s="14"/>
      <c r="BP210" s="13"/>
    </row>
    <row r="211" spans="1:68" s="11" customFormat="1">
      <c r="A211" s="25"/>
      <c r="B211" s="24"/>
      <c r="C211" s="8"/>
      <c r="D211" s="8"/>
      <c r="E211" s="8"/>
      <c r="F211" s="8"/>
      <c r="G211" s="8"/>
      <c r="H211" s="8"/>
      <c r="I211" s="8"/>
      <c r="J211" s="8"/>
      <c r="K211" s="14"/>
      <c r="L211" s="71"/>
      <c r="M211" s="66"/>
      <c r="N211" s="66"/>
      <c r="O211" s="66"/>
      <c r="P211" s="66"/>
      <c r="Q211" s="66"/>
      <c r="R211" s="72"/>
      <c r="S211" s="24"/>
      <c r="T211" s="8"/>
      <c r="U211" s="8"/>
      <c r="V211" s="8"/>
      <c r="W211" s="8"/>
      <c r="X211" s="8"/>
      <c r="Y211" s="14"/>
      <c r="Z211" s="24"/>
      <c r="AA211" s="8"/>
      <c r="AB211" s="8"/>
      <c r="AC211" s="8"/>
      <c r="AD211" s="8"/>
      <c r="AE211" s="8"/>
      <c r="AF211" s="8"/>
      <c r="AG211" s="24"/>
      <c r="AH211" s="8"/>
      <c r="AI211" s="8"/>
      <c r="AJ211" s="8"/>
      <c r="AK211" s="8"/>
      <c r="AL211" s="8"/>
      <c r="AM211" s="14"/>
      <c r="AN211" s="8"/>
      <c r="AO211" s="8"/>
      <c r="AP211" s="8"/>
      <c r="AQ211" s="8"/>
      <c r="AR211" s="8"/>
      <c r="AS211" s="8"/>
      <c r="AT211" s="8"/>
      <c r="AU211" s="24"/>
      <c r="AV211" s="8"/>
      <c r="AW211" s="8" t="s">
        <v>118</v>
      </c>
      <c r="AX211" s="8" t="s">
        <v>679</v>
      </c>
      <c r="AY211" s="8"/>
      <c r="AZ211" s="8"/>
      <c r="BA211" s="8"/>
      <c r="BB211" s="8"/>
      <c r="BC211" s="8"/>
      <c r="BD211" s="8"/>
      <c r="BE211" s="8"/>
      <c r="BF211" s="8"/>
      <c r="BG211" s="8"/>
      <c r="BH211" s="8"/>
      <c r="BI211" s="8"/>
      <c r="BJ211" s="8"/>
      <c r="BK211" s="24"/>
      <c r="BL211" s="8"/>
      <c r="BM211" s="8"/>
      <c r="BN211" s="8"/>
      <c r="BO211" s="14"/>
      <c r="BP211" s="13"/>
    </row>
    <row r="212" spans="1:68" s="11" customFormat="1">
      <c r="A212" s="25"/>
      <c r="B212" s="24"/>
      <c r="C212" s="8"/>
      <c r="D212" s="8"/>
      <c r="E212" s="8"/>
      <c r="F212" s="8"/>
      <c r="G212" s="8"/>
      <c r="H212" s="8"/>
      <c r="I212" s="8"/>
      <c r="J212" s="8"/>
      <c r="K212" s="14"/>
      <c r="L212" s="71"/>
      <c r="M212" s="66"/>
      <c r="N212" s="66"/>
      <c r="O212" s="66"/>
      <c r="P212" s="66"/>
      <c r="Q212" s="66"/>
      <c r="R212" s="72"/>
      <c r="S212" s="24"/>
      <c r="T212" s="8"/>
      <c r="U212" s="8"/>
      <c r="V212" s="8"/>
      <c r="W212" s="8"/>
      <c r="X212" s="8"/>
      <c r="Y212" s="14"/>
      <c r="Z212" s="24"/>
      <c r="AA212" s="8"/>
      <c r="AB212" s="8"/>
      <c r="AC212" s="8"/>
      <c r="AD212" s="8"/>
      <c r="AE212" s="8"/>
      <c r="AF212" s="8"/>
      <c r="AG212" s="24"/>
      <c r="AH212" s="8"/>
      <c r="AI212" s="8"/>
      <c r="AJ212" s="8"/>
      <c r="AK212" s="8"/>
      <c r="AL212" s="8"/>
      <c r="AM212" s="14"/>
      <c r="AN212" s="8"/>
      <c r="AO212" s="8"/>
      <c r="AP212" s="8"/>
      <c r="AQ212" s="8"/>
      <c r="AR212" s="8"/>
      <c r="AS212" s="8"/>
      <c r="AT212" s="8"/>
      <c r="AU212" s="24"/>
      <c r="AV212" s="8"/>
      <c r="AW212" s="8"/>
      <c r="AX212" s="8" t="s">
        <v>680</v>
      </c>
      <c r="AY212" s="8"/>
      <c r="AZ212" s="8"/>
      <c r="BA212" s="8"/>
      <c r="BB212" s="8"/>
      <c r="BC212" s="8"/>
      <c r="BD212" s="8"/>
      <c r="BE212" s="8"/>
      <c r="BF212" s="8"/>
      <c r="BG212" s="8"/>
      <c r="BH212" s="8"/>
      <c r="BI212" s="8"/>
      <c r="BJ212" s="8"/>
      <c r="BK212" s="24"/>
      <c r="BL212" s="8"/>
      <c r="BM212" s="8"/>
      <c r="BN212" s="8"/>
      <c r="BO212" s="14"/>
      <c r="BP212" s="13"/>
    </row>
    <row r="213" spans="1:68" s="11" customFormat="1" ht="14.45">
      <c r="A213" s="25"/>
      <c r="B213" s="24"/>
      <c r="C213" s="8"/>
      <c r="D213" s="8"/>
      <c r="E213" s="8"/>
      <c r="F213" s="8"/>
      <c r="G213" s="8"/>
      <c r="H213" s="8"/>
      <c r="I213" s="8"/>
      <c r="J213" s="8"/>
      <c r="K213" s="14"/>
      <c r="L213" s="71"/>
      <c r="M213" s="66"/>
      <c r="N213" s="66"/>
      <c r="O213" s="66"/>
      <c r="P213" s="66"/>
      <c r="Q213" s="66"/>
      <c r="R213" s="72"/>
      <c r="S213" s="24"/>
      <c r="T213" s="8"/>
      <c r="U213" s="8"/>
      <c r="V213" s="8"/>
      <c r="W213" s="8"/>
      <c r="X213" s="8"/>
      <c r="Y213" s="14"/>
      <c r="Z213" s="24"/>
      <c r="AA213" s="8"/>
      <c r="AB213" s="8"/>
      <c r="AC213" s="8"/>
      <c r="AD213" s="8"/>
      <c r="AE213" s="8"/>
      <c r="AF213" s="8"/>
      <c r="AG213" s="24"/>
      <c r="AH213" s="8"/>
      <c r="AI213" s="8"/>
      <c r="AJ213" s="8"/>
      <c r="AK213" s="8"/>
      <c r="AL213" s="8"/>
      <c r="AM213" s="14"/>
      <c r="AN213" s="8"/>
      <c r="AO213" s="8"/>
      <c r="AP213" s="8"/>
      <c r="AQ213" s="8"/>
      <c r="AR213" s="8"/>
      <c r="AS213" s="8"/>
      <c r="AT213" s="8"/>
      <c r="AU213" s="24"/>
      <c r="AV213" s="8"/>
      <c r="AW213" s="8"/>
      <c r="AX213" s="8"/>
      <c r="AY213" s="8"/>
      <c r="AZ213" s="8"/>
      <c r="BA213" s="8"/>
      <c r="BB213" s="8"/>
      <c r="BC213" s="8"/>
      <c r="BD213" s="8"/>
      <c r="BE213" s="8"/>
      <c r="BF213" s="8"/>
      <c r="BG213" s="8"/>
      <c r="BH213" s="8"/>
      <c r="BI213" s="8"/>
      <c r="BJ213" s="8"/>
      <c r="BK213" s="24"/>
      <c r="BL213" s="8"/>
      <c r="BM213" s="8"/>
      <c r="BN213" s="8"/>
      <c r="BO213" s="14"/>
      <c r="BP213" s="13"/>
    </row>
    <row r="214" spans="1:68" s="11" customFormat="1" ht="14.45">
      <c r="A214" s="25"/>
      <c r="B214" s="24"/>
      <c r="C214" s="8"/>
      <c r="D214" s="8"/>
      <c r="E214" s="8"/>
      <c r="F214" s="8"/>
      <c r="G214" s="8"/>
      <c r="H214" s="8"/>
      <c r="I214" s="8"/>
      <c r="J214" s="8"/>
      <c r="K214" s="14"/>
      <c r="L214" s="71"/>
      <c r="M214" s="66"/>
      <c r="N214" s="66"/>
      <c r="O214" s="66"/>
      <c r="P214" s="66"/>
      <c r="Q214" s="66"/>
      <c r="R214" s="72"/>
      <c r="S214" s="24"/>
      <c r="T214" s="8"/>
      <c r="U214" s="8"/>
      <c r="V214" s="8"/>
      <c r="W214" s="8"/>
      <c r="X214" s="8"/>
      <c r="Y214" s="14"/>
      <c r="Z214" s="24"/>
      <c r="AA214" s="8"/>
      <c r="AB214" s="8"/>
      <c r="AC214" s="8"/>
      <c r="AD214" s="8"/>
      <c r="AE214" s="8"/>
      <c r="AF214" s="8"/>
      <c r="AG214" s="24"/>
      <c r="AH214" s="8"/>
      <c r="AI214" s="8"/>
      <c r="AJ214" s="8"/>
      <c r="AK214" s="8"/>
      <c r="AL214" s="8"/>
      <c r="AM214" s="14"/>
      <c r="AN214" s="8"/>
      <c r="AO214" s="8"/>
      <c r="AP214" s="8"/>
      <c r="AQ214" s="8"/>
      <c r="AR214" s="8"/>
      <c r="AS214" s="8"/>
      <c r="AT214" s="8"/>
      <c r="AU214" s="24"/>
      <c r="AV214" s="8"/>
      <c r="AW214" s="8"/>
      <c r="AX214" s="8"/>
      <c r="AY214" s="8"/>
      <c r="AZ214" s="8"/>
      <c r="BA214" s="8"/>
      <c r="BB214" s="8"/>
      <c r="BC214" s="8"/>
      <c r="BD214" s="8"/>
      <c r="BE214" s="8"/>
      <c r="BF214" s="8"/>
      <c r="BG214" s="8"/>
      <c r="BH214" s="8"/>
      <c r="BI214" s="8"/>
      <c r="BJ214" s="8"/>
      <c r="BK214" s="24"/>
      <c r="BL214" s="8"/>
      <c r="BM214" s="8"/>
      <c r="BN214" s="8"/>
      <c r="BO214" s="14"/>
      <c r="BP214" s="13"/>
    </row>
    <row r="215" spans="1:68" s="11" customFormat="1" ht="14.45">
      <c r="A215" s="25"/>
      <c r="B215" s="24"/>
      <c r="C215" s="8"/>
      <c r="D215" s="8"/>
      <c r="E215" s="8"/>
      <c r="F215" s="8"/>
      <c r="G215" s="8"/>
      <c r="H215" s="8"/>
      <c r="I215" s="8"/>
      <c r="J215" s="8"/>
      <c r="K215" s="14"/>
      <c r="L215" s="71"/>
      <c r="M215" s="66"/>
      <c r="N215" s="66"/>
      <c r="O215" s="66"/>
      <c r="P215" s="66"/>
      <c r="Q215" s="66"/>
      <c r="R215" s="72"/>
      <c r="S215" s="24"/>
      <c r="T215" s="8"/>
      <c r="U215" s="8"/>
      <c r="V215" s="8"/>
      <c r="W215" s="8"/>
      <c r="X215" s="8"/>
      <c r="Y215" s="14"/>
      <c r="Z215" s="24"/>
      <c r="AA215" s="8"/>
      <c r="AB215" s="8"/>
      <c r="AC215" s="8"/>
      <c r="AD215" s="8"/>
      <c r="AE215" s="8"/>
      <c r="AF215" s="8"/>
      <c r="AG215" s="24"/>
      <c r="AH215" s="8"/>
      <c r="AI215" s="8"/>
      <c r="AJ215" s="8"/>
      <c r="AK215" s="8"/>
      <c r="AL215" s="8"/>
      <c r="AM215" s="14"/>
      <c r="AN215" s="8"/>
      <c r="AO215" s="8"/>
      <c r="AP215" s="8"/>
      <c r="AQ215" s="8"/>
      <c r="AR215" s="8"/>
      <c r="AS215" s="8"/>
      <c r="AT215" s="8"/>
      <c r="AU215" s="24"/>
      <c r="AV215" s="8"/>
      <c r="AW215" s="8"/>
      <c r="AX215" s="8"/>
      <c r="AY215" s="8"/>
      <c r="AZ215" s="8"/>
      <c r="BA215" s="8"/>
      <c r="BB215" s="8"/>
      <c r="BC215" s="8"/>
      <c r="BD215" s="8"/>
      <c r="BE215" s="8"/>
      <c r="BF215" s="8"/>
      <c r="BG215" s="8"/>
      <c r="BH215" s="8"/>
      <c r="BI215" s="8"/>
      <c r="BJ215" s="8"/>
      <c r="BK215" s="24"/>
      <c r="BL215" s="8"/>
      <c r="BM215" s="8"/>
      <c r="BN215" s="8"/>
      <c r="BO215" s="14"/>
      <c r="BP215" s="13"/>
    </row>
    <row r="216" spans="1:68" s="11" customFormat="1">
      <c r="A216" s="25"/>
      <c r="B216" s="24"/>
      <c r="C216" s="8"/>
      <c r="D216" s="8"/>
      <c r="E216" s="8"/>
      <c r="F216" s="8"/>
      <c r="G216" s="8"/>
      <c r="H216" s="8"/>
      <c r="I216" s="8"/>
      <c r="J216" s="8"/>
      <c r="K216" s="14"/>
      <c r="L216" s="71"/>
      <c r="M216" s="66"/>
      <c r="N216" s="66"/>
      <c r="O216" s="66"/>
      <c r="P216" s="66"/>
      <c r="Q216" s="66"/>
      <c r="R216" s="72"/>
      <c r="S216" s="24"/>
      <c r="T216" s="8"/>
      <c r="U216" s="8"/>
      <c r="V216" s="8"/>
      <c r="W216" s="8"/>
      <c r="X216" s="8"/>
      <c r="Y216" s="14"/>
      <c r="Z216" s="24"/>
      <c r="AA216" s="8"/>
      <c r="AB216" s="8"/>
      <c r="AC216" s="8"/>
      <c r="AD216" s="8"/>
      <c r="AE216" s="8"/>
      <c r="AF216" s="8"/>
      <c r="AG216" s="24"/>
      <c r="AH216" s="8"/>
      <c r="AI216" s="8"/>
      <c r="AJ216" s="8"/>
      <c r="AK216" s="8"/>
      <c r="AL216" s="8"/>
      <c r="AM216" s="14"/>
      <c r="AN216" s="8"/>
      <c r="AO216" s="8"/>
      <c r="AP216" s="8"/>
      <c r="AQ216" s="8"/>
      <c r="AR216" s="8"/>
      <c r="AS216" s="8"/>
      <c r="AT216" s="8"/>
      <c r="AU216" s="24"/>
      <c r="AV216" s="16" t="s">
        <v>683</v>
      </c>
      <c r="AW216" s="8"/>
      <c r="AX216" s="8"/>
      <c r="AY216" s="8"/>
      <c r="AZ216" s="8"/>
      <c r="BA216" s="8"/>
      <c r="BB216" s="8"/>
      <c r="BC216" s="8"/>
      <c r="BD216" s="8"/>
      <c r="BE216" s="8"/>
      <c r="BF216" s="8"/>
      <c r="BG216" s="8"/>
      <c r="BH216" s="8"/>
      <c r="BI216" s="8"/>
      <c r="BJ216" s="8"/>
      <c r="BK216" s="24"/>
      <c r="BL216" s="8"/>
      <c r="BM216" s="8"/>
      <c r="BN216" s="8"/>
      <c r="BO216" s="14"/>
      <c r="BP216" s="13"/>
    </row>
    <row r="217" spans="1:68" s="11" customFormat="1">
      <c r="A217" s="25"/>
      <c r="B217" s="24"/>
      <c r="C217" s="8"/>
      <c r="D217" s="8"/>
      <c r="E217" s="8"/>
      <c r="F217" s="8"/>
      <c r="G217" s="8"/>
      <c r="H217" s="8"/>
      <c r="I217" s="8"/>
      <c r="J217" s="8"/>
      <c r="K217" s="14"/>
      <c r="L217" s="71"/>
      <c r="M217" s="66"/>
      <c r="N217" s="66"/>
      <c r="O217" s="66"/>
      <c r="P217" s="66"/>
      <c r="Q217" s="66"/>
      <c r="R217" s="72"/>
      <c r="S217" s="24"/>
      <c r="T217" s="8"/>
      <c r="U217" s="8"/>
      <c r="V217" s="8"/>
      <c r="W217" s="8"/>
      <c r="X217" s="8"/>
      <c r="Y217" s="14"/>
      <c r="Z217" s="24"/>
      <c r="AA217" s="8"/>
      <c r="AB217" s="8"/>
      <c r="AC217" s="8"/>
      <c r="AD217" s="8"/>
      <c r="AE217" s="8"/>
      <c r="AF217" s="8"/>
      <c r="AG217" s="24"/>
      <c r="AH217" s="8"/>
      <c r="AI217" s="8"/>
      <c r="AJ217" s="8"/>
      <c r="AK217" s="8"/>
      <c r="AL217" s="8"/>
      <c r="AM217" s="14"/>
      <c r="AN217" s="8"/>
      <c r="AO217" s="8"/>
      <c r="AP217" s="8"/>
      <c r="AQ217" s="8"/>
      <c r="AR217" s="8"/>
      <c r="AS217" s="8"/>
      <c r="AT217" s="8"/>
      <c r="AU217" s="24"/>
      <c r="AV217" s="8"/>
      <c r="AW217" s="8" t="s">
        <v>684</v>
      </c>
      <c r="AX217" s="8"/>
      <c r="AY217" s="8"/>
      <c r="AZ217" s="8"/>
      <c r="BA217" s="8"/>
      <c r="BB217" s="8"/>
      <c r="BC217" s="8"/>
      <c r="BD217" s="8"/>
      <c r="BE217" s="8"/>
      <c r="BF217" s="8"/>
      <c r="BG217" s="8"/>
      <c r="BH217" s="8"/>
      <c r="BI217" s="8"/>
      <c r="BJ217" s="8"/>
      <c r="BK217" s="24"/>
      <c r="BL217" s="8"/>
      <c r="BM217" s="8"/>
      <c r="BN217" s="8"/>
      <c r="BO217" s="14"/>
      <c r="BP217" s="13"/>
    </row>
    <row r="218" spans="1:68" s="11" customFormat="1">
      <c r="A218" s="25"/>
      <c r="B218" s="24"/>
      <c r="C218" s="8"/>
      <c r="D218" s="8"/>
      <c r="E218" s="8"/>
      <c r="F218" s="8"/>
      <c r="G218" s="8"/>
      <c r="H218" s="8"/>
      <c r="I218" s="8"/>
      <c r="J218" s="8"/>
      <c r="K218" s="14"/>
      <c r="L218" s="71"/>
      <c r="M218" s="66"/>
      <c r="N218" s="66"/>
      <c r="O218" s="66"/>
      <c r="P218" s="66"/>
      <c r="Q218" s="66"/>
      <c r="R218" s="72"/>
      <c r="S218" s="24"/>
      <c r="T218" s="8"/>
      <c r="U218" s="8"/>
      <c r="V218" s="8"/>
      <c r="W218" s="8"/>
      <c r="X218" s="8"/>
      <c r="Y218" s="14"/>
      <c r="Z218" s="24"/>
      <c r="AA218" s="8"/>
      <c r="AB218" s="8"/>
      <c r="AC218" s="8"/>
      <c r="AD218" s="8"/>
      <c r="AE218" s="8"/>
      <c r="AF218" s="8"/>
      <c r="AG218" s="24"/>
      <c r="AH218" s="8"/>
      <c r="AI218" s="8"/>
      <c r="AJ218" s="8"/>
      <c r="AK218" s="8"/>
      <c r="AL218" s="8"/>
      <c r="AM218" s="14"/>
      <c r="AN218" s="8"/>
      <c r="AO218" s="8"/>
      <c r="AP218" s="8"/>
      <c r="AQ218" s="8"/>
      <c r="AR218" s="8"/>
      <c r="AS218" s="8"/>
      <c r="AT218" s="8"/>
      <c r="AU218" s="24"/>
      <c r="AV218" s="8"/>
      <c r="AW218" s="8" t="s">
        <v>118</v>
      </c>
      <c r="AX218" s="8" t="s">
        <v>679</v>
      </c>
      <c r="AZ218" s="8"/>
      <c r="BA218" s="8"/>
      <c r="BB218" s="8"/>
      <c r="BC218" s="8"/>
      <c r="BD218" s="8"/>
      <c r="BE218" s="8"/>
      <c r="BF218" s="8"/>
      <c r="BG218" s="8"/>
      <c r="BH218" s="8"/>
      <c r="BI218" s="8"/>
      <c r="BJ218" s="8"/>
      <c r="BK218" s="24"/>
      <c r="BL218" s="8"/>
      <c r="BM218" s="8"/>
      <c r="BN218" s="8"/>
      <c r="BO218" s="14"/>
      <c r="BP218" s="13"/>
    </row>
    <row r="219" spans="1:68" s="11" customFormat="1">
      <c r="A219" s="25"/>
      <c r="B219" s="24"/>
      <c r="C219" s="8"/>
      <c r="D219" s="8"/>
      <c r="E219" s="8"/>
      <c r="F219" s="8"/>
      <c r="G219" s="8"/>
      <c r="H219" s="8"/>
      <c r="I219" s="8"/>
      <c r="J219" s="8"/>
      <c r="K219" s="14"/>
      <c r="L219" s="71"/>
      <c r="M219" s="66"/>
      <c r="N219" s="66"/>
      <c r="O219" s="66"/>
      <c r="P219" s="66"/>
      <c r="Q219" s="66"/>
      <c r="R219" s="72"/>
      <c r="S219" s="24"/>
      <c r="T219" s="8"/>
      <c r="U219" s="8"/>
      <c r="V219" s="8"/>
      <c r="W219" s="8"/>
      <c r="X219" s="8"/>
      <c r="Y219" s="14"/>
      <c r="Z219" s="24"/>
      <c r="AA219" s="8"/>
      <c r="AB219" s="8"/>
      <c r="AC219" s="8"/>
      <c r="AD219" s="8"/>
      <c r="AE219" s="8"/>
      <c r="AF219" s="8"/>
      <c r="AG219" s="24"/>
      <c r="AH219" s="8"/>
      <c r="AI219" s="8"/>
      <c r="AJ219" s="8"/>
      <c r="AK219" s="8"/>
      <c r="AL219" s="8"/>
      <c r="AM219" s="14"/>
      <c r="AN219" s="8"/>
      <c r="AO219" s="8"/>
      <c r="AP219" s="8"/>
      <c r="AQ219" s="8"/>
      <c r="AR219" s="8"/>
      <c r="AS219" s="8"/>
      <c r="AT219" s="8"/>
      <c r="AU219" s="24"/>
      <c r="AV219" s="8"/>
      <c r="AX219" s="8" t="s">
        <v>680</v>
      </c>
      <c r="BJ219" s="8"/>
      <c r="BK219" s="24"/>
      <c r="BL219" s="8"/>
      <c r="BM219" s="8"/>
      <c r="BN219" s="8"/>
      <c r="BO219" s="14"/>
      <c r="BP219" s="13"/>
    </row>
    <row r="220" spans="1:68" s="11" customFormat="1">
      <c r="A220" s="25"/>
      <c r="B220" s="24"/>
      <c r="C220" s="8"/>
      <c r="D220" s="8"/>
      <c r="E220" s="8"/>
      <c r="F220" s="8"/>
      <c r="G220" s="8"/>
      <c r="H220" s="8"/>
      <c r="I220" s="8"/>
      <c r="J220" s="8"/>
      <c r="K220" s="14"/>
      <c r="L220" s="71"/>
      <c r="M220" s="66"/>
      <c r="N220" s="66"/>
      <c r="O220" s="66"/>
      <c r="P220" s="66"/>
      <c r="Q220" s="66"/>
      <c r="R220" s="72"/>
      <c r="S220" s="24"/>
      <c r="T220" s="8"/>
      <c r="U220" s="8"/>
      <c r="V220" s="8"/>
      <c r="W220" s="8"/>
      <c r="X220" s="8"/>
      <c r="Y220" s="14"/>
      <c r="Z220" s="24"/>
      <c r="AA220" s="8"/>
      <c r="AB220" s="8"/>
      <c r="AC220" s="8"/>
      <c r="AD220" s="8"/>
      <c r="AE220" s="8"/>
      <c r="AF220" s="8"/>
      <c r="AG220" s="24"/>
      <c r="AH220" s="8"/>
      <c r="AI220" s="8"/>
      <c r="AJ220" s="8"/>
      <c r="AK220" s="8"/>
      <c r="AL220" s="8"/>
      <c r="AM220" s="14"/>
      <c r="AN220" s="8"/>
      <c r="AO220" s="8"/>
      <c r="AP220" s="8"/>
      <c r="AQ220" s="8"/>
      <c r="AR220" s="8"/>
      <c r="AS220" s="8"/>
      <c r="AT220" s="8"/>
      <c r="AU220" s="24"/>
      <c r="AV220" s="8"/>
      <c r="AW220" s="86" t="s">
        <v>637</v>
      </c>
      <c r="AX220" s="87"/>
      <c r="AY220" s="87"/>
      <c r="AZ220" s="87"/>
      <c r="BA220" s="87"/>
      <c r="BB220" s="87"/>
      <c r="BC220" s="87"/>
      <c r="BD220" s="87"/>
      <c r="BE220" s="87"/>
      <c r="BF220" s="87"/>
      <c r="BG220" s="88"/>
      <c r="BH220" s="8"/>
      <c r="BI220" s="8"/>
      <c r="BJ220" s="8"/>
      <c r="BK220" s="24"/>
      <c r="BL220" s="8"/>
      <c r="BM220" s="8"/>
      <c r="BN220" s="8"/>
      <c r="BO220" s="14"/>
      <c r="BP220" s="13"/>
    </row>
    <row r="221" spans="1:68" s="11" customFormat="1">
      <c r="A221" s="25"/>
      <c r="B221" s="24"/>
      <c r="C221" s="8"/>
      <c r="D221" s="8"/>
      <c r="E221" s="8"/>
      <c r="F221" s="8"/>
      <c r="G221" s="8"/>
      <c r="H221" s="8"/>
      <c r="I221" s="8"/>
      <c r="J221" s="8"/>
      <c r="K221" s="14"/>
      <c r="L221" s="71"/>
      <c r="M221" s="66"/>
      <c r="N221" s="66"/>
      <c r="O221" s="66"/>
      <c r="P221" s="66"/>
      <c r="Q221" s="66"/>
      <c r="R221" s="72"/>
      <c r="S221" s="24"/>
      <c r="T221" s="8"/>
      <c r="U221" s="8"/>
      <c r="V221" s="8"/>
      <c r="W221" s="8"/>
      <c r="X221" s="8"/>
      <c r="Y221" s="14"/>
      <c r="Z221" s="24"/>
      <c r="AA221" s="8"/>
      <c r="AB221" s="8"/>
      <c r="AC221" s="8"/>
      <c r="AD221" s="8"/>
      <c r="AE221" s="8"/>
      <c r="AF221" s="8"/>
      <c r="AG221" s="24"/>
      <c r="AH221" s="8"/>
      <c r="AI221" s="8"/>
      <c r="AJ221" s="8"/>
      <c r="AK221" s="8"/>
      <c r="AL221" s="8"/>
      <c r="AM221" s="14"/>
      <c r="AN221" s="8"/>
      <c r="AO221" s="8"/>
      <c r="AP221" s="8"/>
      <c r="AQ221" s="8"/>
      <c r="AR221" s="8"/>
      <c r="AS221" s="8"/>
      <c r="AT221" s="8"/>
      <c r="AU221" s="24"/>
      <c r="AV221" s="8"/>
      <c r="AW221" s="89" t="s">
        <v>639</v>
      </c>
      <c r="AX221" s="90"/>
      <c r="AY221" s="90"/>
      <c r="AZ221" s="90"/>
      <c r="BA221" s="90"/>
      <c r="BB221" s="89" t="s">
        <v>685</v>
      </c>
      <c r="BC221" s="90"/>
      <c r="BD221" s="90"/>
      <c r="BE221" s="90"/>
      <c r="BF221" s="90"/>
      <c r="BG221" s="91"/>
      <c r="BH221" s="8"/>
      <c r="BI221" s="8"/>
      <c r="BJ221" s="8"/>
      <c r="BK221" s="24"/>
      <c r="BL221" s="8"/>
      <c r="BM221" s="8"/>
      <c r="BN221" s="8"/>
      <c r="BO221" s="14"/>
      <c r="BP221" s="13"/>
    </row>
    <row r="222" spans="1:68" s="11" customFormat="1">
      <c r="A222" s="25"/>
      <c r="B222" s="24"/>
      <c r="C222" s="8"/>
      <c r="D222" s="8"/>
      <c r="E222" s="8"/>
      <c r="F222" s="8"/>
      <c r="G222" s="8"/>
      <c r="H222" s="8"/>
      <c r="I222" s="8"/>
      <c r="J222" s="8"/>
      <c r="K222" s="14"/>
      <c r="L222" s="71"/>
      <c r="M222" s="66"/>
      <c r="N222" s="66"/>
      <c r="O222" s="66"/>
      <c r="P222" s="66"/>
      <c r="Q222" s="66"/>
      <c r="R222" s="72"/>
      <c r="S222" s="24"/>
      <c r="T222" s="8"/>
      <c r="U222" s="8"/>
      <c r="V222" s="8"/>
      <c r="W222" s="8"/>
      <c r="X222" s="8"/>
      <c r="Y222" s="14"/>
      <c r="Z222" s="24"/>
      <c r="AA222" s="8"/>
      <c r="AB222" s="8"/>
      <c r="AC222" s="8"/>
      <c r="AD222" s="8"/>
      <c r="AE222" s="8"/>
      <c r="AF222" s="8"/>
      <c r="AG222" s="24"/>
      <c r="AH222" s="8"/>
      <c r="AI222" s="8"/>
      <c r="AJ222" s="8"/>
      <c r="AK222" s="8"/>
      <c r="AL222" s="8"/>
      <c r="AM222" s="14"/>
      <c r="AN222" s="8"/>
      <c r="AO222" s="8"/>
      <c r="AP222" s="8"/>
      <c r="AQ222" s="8"/>
      <c r="AR222" s="8"/>
      <c r="AS222" s="8"/>
      <c r="AT222" s="8"/>
      <c r="AU222" s="24"/>
      <c r="AV222" s="8"/>
      <c r="AW222" s="45" t="s">
        <v>118</v>
      </c>
      <c r="AX222" s="45" t="s">
        <v>640</v>
      </c>
      <c r="AY222" s="8"/>
      <c r="AZ222" s="8"/>
      <c r="BA222" s="8"/>
      <c r="BB222" s="8"/>
      <c r="BC222" s="8"/>
      <c r="BD222" s="8"/>
      <c r="BE222" s="8"/>
      <c r="BF222" s="8"/>
      <c r="BG222" s="8"/>
      <c r="BH222" s="8"/>
      <c r="BI222" s="8"/>
      <c r="BJ222" s="8"/>
      <c r="BK222" s="24"/>
      <c r="BL222" s="8"/>
      <c r="BM222" s="8"/>
      <c r="BN222" s="8"/>
      <c r="BO222" s="14"/>
      <c r="BP222" s="13"/>
    </row>
    <row r="223" spans="1:68" s="11" customFormat="1" ht="14.45">
      <c r="A223" s="25"/>
      <c r="B223" s="24"/>
      <c r="C223" s="8"/>
      <c r="D223" s="8"/>
      <c r="E223" s="8"/>
      <c r="F223" s="8"/>
      <c r="G223" s="8"/>
      <c r="H223" s="8"/>
      <c r="I223" s="8"/>
      <c r="J223" s="8"/>
      <c r="K223" s="14"/>
      <c r="L223" s="71"/>
      <c r="M223" s="66"/>
      <c r="N223" s="66"/>
      <c r="O223" s="66"/>
      <c r="P223" s="66"/>
      <c r="Q223" s="66"/>
      <c r="R223" s="72"/>
      <c r="S223" s="24"/>
      <c r="T223" s="8"/>
      <c r="U223" s="8"/>
      <c r="V223" s="8"/>
      <c r="W223" s="8"/>
      <c r="X223" s="8"/>
      <c r="Y223" s="14"/>
      <c r="Z223" s="24"/>
      <c r="AA223" s="8"/>
      <c r="AB223" s="8"/>
      <c r="AC223" s="8"/>
      <c r="AD223" s="8"/>
      <c r="AE223" s="8"/>
      <c r="AF223" s="8"/>
      <c r="AG223" s="24"/>
      <c r="AH223" s="8"/>
      <c r="AI223" s="8"/>
      <c r="AJ223" s="8"/>
      <c r="AK223" s="8"/>
      <c r="AL223" s="8"/>
      <c r="AM223" s="14"/>
      <c r="AN223" s="8"/>
      <c r="AO223" s="8"/>
      <c r="AP223" s="8"/>
      <c r="AQ223" s="8"/>
      <c r="AR223" s="8"/>
      <c r="AS223" s="8"/>
      <c r="AT223" s="8"/>
      <c r="AU223" s="24"/>
      <c r="AV223" s="8"/>
      <c r="AW223" s="45"/>
      <c r="AX223" s="45"/>
      <c r="AY223" s="8"/>
      <c r="AZ223" s="8"/>
      <c r="BA223" s="8"/>
      <c r="BB223" s="8"/>
      <c r="BC223" s="8"/>
      <c r="BD223" s="8"/>
      <c r="BE223" s="8"/>
      <c r="BF223" s="8"/>
      <c r="BG223" s="8"/>
      <c r="BH223" s="8"/>
      <c r="BI223" s="8"/>
      <c r="BJ223" s="8"/>
      <c r="BK223" s="24"/>
      <c r="BL223" s="8"/>
      <c r="BM223" s="8"/>
      <c r="BN223" s="8"/>
      <c r="BO223" s="14"/>
      <c r="BP223" s="13"/>
    </row>
    <row r="224" spans="1:68" s="11" customFormat="1">
      <c r="A224" s="25"/>
      <c r="B224" s="24"/>
      <c r="C224" s="8"/>
      <c r="D224" s="8"/>
      <c r="E224" s="8"/>
      <c r="F224" s="8"/>
      <c r="G224" s="8"/>
      <c r="H224" s="8"/>
      <c r="I224" s="8"/>
      <c r="J224" s="8"/>
      <c r="K224" s="14"/>
      <c r="L224" s="71"/>
      <c r="M224" s="66"/>
      <c r="N224" s="66"/>
      <c r="O224" s="66"/>
      <c r="P224" s="66"/>
      <c r="Q224" s="66"/>
      <c r="R224" s="72"/>
      <c r="S224" s="24"/>
      <c r="T224" s="8"/>
      <c r="U224" s="8"/>
      <c r="V224" s="8"/>
      <c r="W224" s="8"/>
      <c r="X224" s="8"/>
      <c r="Y224" s="14"/>
      <c r="Z224" s="24"/>
      <c r="AA224" s="8"/>
      <c r="AB224" s="8"/>
      <c r="AC224" s="8"/>
      <c r="AD224" s="8"/>
      <c r="AE224" s="8"/>
      <c r="AF224" s="8"/>
      <c r="AG224" s="24"/>
      <c r="AH224" s="8"/>
      <c r="AI224" s="8"/>
      <c r="AJ224" s="8"/>
      <c r="AK224" s="8"/>
      <c r="AL224" s="8"/>
      <c r="AM224" s="14"/>
      <c r="AN224" s="8"/>
      <c r="AO224" s="8"/>
      <c r="AP224" s="8"/>
      <c r="AQ224" s="8"/>
      <c r="AR224" s="8"/>
      <c r="AS224" s="8"/>
      <c r="AT224" s="8"/>
      <c r="AU224" s="24"/>
      <c r="AV224" s="50" t="s">
        <v>118</v>
      </c>
      <c r="AW224" s="50" t="s">
        <v>686</v>
      </c>
      <c r="AX224" s="45"/>
      <c r="AY224" s="8"/>
      <c r="AZ224" s="8"/>
      <c r="BA224" s="8"/>
      <c r="BB224" s="8"/>
      <c r="BC224" s="8"/>
      <c r="BD224" s="8"/>
      <c r="BE224" s="8"/>
      <c r="BF224" s="8"/>
      <c r="BG224" s="8"/>
      <c r="BH224" s="8"/>
      <c r="BI224" s="8"/>
      <c r="BJ224" s="8"/>
      <c r="BK224" s="24"/>
      <c r="BL224" s="8"/>
      <c r="BM224" s="8"/>
      <c r="BN224" s="8"/>
      <c r="BO224" s="14"/>
      <c r="BP224" s="13"/>
    </row>
    <row r="225" spans="1:68" s="11" customFormat="1" ht="14.45">
      <c r="A225" s="25"/>
      <c r="B225" s="24"/>
      <c r="C225" s="8"/>
      <c r="D225" s="8"/>
      <c r="E225" s="8"/>
      <c r="F225" s="8"/>
      <c r="G225" s="8"/>
      <c r="H225" s="8"/>
      <c r="I225" s="8"/>
      <c r="J225" s="8"/>
      <c r="K225" s="14"/>
      <c r="L225" s="71"/>
      <c r="M225" s="66"/>
      <c r="N225" s="66"/>
      <c r="O225" s="66"/>
      <c r="P225" s="66"/>
      <c r="Q225" s="66"/>
      <c r="R225" s="72"/>
      <c r="S225" s="24"/>
      <c r="T225" s="8"/>
      <c r="U225" s="8"/>
      <c r="V225" s="8"/>
      <c r="W225" s="8"/>
      <c r="X225" s="8"/>
      <c r="Y225" s="14"/>
      <c r="Z225" s="24"/>
      <c r="AA225" s="8"/>
      <c r="AB225" s="8"/>
      <c r="AC225" s="8"/>
      <c r="AD225" s="8"/>
      <c r="AE225" s="8"/>
      <c r="AF225" s="8"/>
      <c r="AG225" s="24"/>
      <c r="AH225" s="8"/>
      <c r="AI225" s="8"/>
      <c r="AJ225" s="8"/>
      <c r="AK225" s="8"/>
      <c r="AL225" s="8"/>
      <c r="AM225" s="14"/>
      <c r="AN225" s="8"/>
      <c r="AO225" s="8"/>
      <c r="AP225" s="8"/>
      <c r="AQ225" s="8"/>
      <c r="AR225" s="8"/>
      <c r="AS225" s="8"/>
      <c r="AT225" s="8"/>
      <c r="AU225" s="24"/>
      <c r="AV225" s="8"/>
      <c r="AW225" s="45"/>
      <c r="AX225" s="45"/>
      <c r="AY225" s="8"/>
      <c r="AZ225" s="8"/>
      <c r="BA225" s="8"/>
      <c r="BB225" s="8"/>
      <c r="BC225" s="8"/>
      <c r="BD225" s="8"/>
      <c r="BE225" s="8"/>
      <c r="BF225" s="8"/>
      <c r="BG225" s="8"/>
      <c r="BH225" s="8"/>
      <c r="BI225" s="8"/>
      <c r="BJ225" s="8"/>
      <c r="BK225" s="24"/>
      <c r="BL225" s="8"/>
      <c r="BM225" s="8"/>
      <c r="BN225" s="8"/>
      <c r="BO225" s="14"/>
      <c r="BP225" s="13"/>
    </row>
    <row r="226" spans="1:68" s="11" customFormat="1" ht="14.45">
      <c r="A226" s="25"/>
      <c r="B226" s="24"/>
      <c r="C226" s="8"/>
      <c r="D226" s="8"/>
      <c r="E226" s="8"/>
      <c r="F226" s="8"/>
      <c r="G226" s="8"/>
      <c r="H226" s="8"/>
      <c r="I226" s="8"/>
      <c r="J226" s="8"/>
      <c r="K226" s="14"/>
      <c r="L226" s="71"/>
      <c r="M226" s="66"/>
      <c r="N226" s="66"/>
      <c r="O226" s="66"/>
      <c r="P226" s="66"/>
      <c r="Q226" s="66"/>
      <c r="R226" s="72"/>
      <c r="S226" s="24"/>
      <c r="T226" s="8"/>
      <c r="U226" s="8"/>
      <c r="V226" s="8"/>
      <c r="W226" s="8"/>
      <c r="X226" s="8"/>
      <c r="Y226" s="14"/>
      <c r="Z226" s="24"/>
      <c r="AA226" s="8"/>
      <c r="AB226" s="8"/>
      <c r="AC226" s="8"/>
      <c r="AD226" s="8"/>
      <c r="AE226" s="8"/>
      <c r="AF226" s="8"/>
      <c r="AG226" s="24"/>
      <c r="AH226" s="8"/>
      <c r="AI226" s="8"/>
      <c r="AJ226" s="8"/>
      <c r="AK226" s="8"/>
      <c r="AL226" s="8"/>
      <c r="AM226" s="14"/>
      <c r="AN226" s="8"/>
      <c r="AO226" s="8"/>
      <c r="AP226" s="8"/>
      <c r="AQ226" s="8"/>
      <c r="AR226" s="8"/>
      <c r="AS226" s="8"/>
      <c r="AT226" s="8"/>
      <c r="AU226" s="24"/>
      <c r="AV226" s="8"/>
      <c r="AW226" s="8"/>
      <c r="AX226" s="8"/>
      <c r="AY226" s="8"/>
      <c r="AZ226" s="8"/>
      <c r="BA226" s="8"/>
      <c r="BB226" s="8"/>
      <c r="BC226" s="8"/>
      <c r="BD226" s="8"/>
      <c r="BE226" s="8"/>
      <c r="BF226" s="8"/>
      <c r="BG226" s="8"/>
      <c r="BH226" s="8"/>
      <c r="BI226" s="8"/>
      <c r="BJ226" s="8"/>
      <c r="BK226" s="24"/>
      <c r="BL226" s="8"/>
      <c r="BM226" s="8"/>
      <c r="BN226" s="8"/>
      <c r="BO226" s="14"/>
      <c r="BP226" s="13"/>
    </row>
    <row r="227" spans="1:68" ht="14.45">
      <c r="A227" s="24"/>
      <c r="B227" s="24"/>
      <c r="K227" s="14"/>
      <c r="L227" s="71"/>
      <c r="M227" s="66"/>
      <c r="N227" s="66"/>
      <c r="O227" s="66"/>
      <c r="P227" s="66"/>
      <c r="Q227" s="66"/>
      <c r="R227" s="72"/>
      <c r="S227" s="24"/>
      <c r="Y227" s="14"/>
      <c r="Z227" s="24"/>
      <c r="AG227" s="24"/>
      <c r="AM227" s="14"/>
      <c r="AU227" s="24"/>
      <c r="AV227" s="11"/>
      <c r="AY227" s="11"/>
      <c r="BK227" s="24"/>
      <c r="BO227" s="14"/>
      <c r="BP227" s="14"/>
    </row>
    <row r="228" spans="1:68" ht="14.45">
      <c r="A228" s="24"/>
      <c r="B228" s="24"/>
      <c r="K228" s="14"/>
      <c r="L228" s="71"/>
      <c r="M228" s="66"/>
      <c r="N228" s="66"/>
      <c r="O228" s="66"/>
      <c r="P228" s="66"/>
      <c r="Q228" s="66"/>
      <c r="R228" s="72"/>
      <c r="S228" s="24"/>
      <c r="Y228" s="14"/>
      <c r="Z228" s="24"/>
      <c r="AG228" s="24"/>
      <c r="AM228" s="14"/>
      <c r="AU228" s="24"/>
      <c r="AV228" s="50"/>
      <c r="AY228" s="11"/>
      <c r="BP228" s="14"/>
    </row>
    <row r="229" spans="1:68" s="11" customFormat="1">
      <c r="A229" s="25"/>
      <c r="B229" s="26" t="s">
        <v>687</v>
      </c>
      <c r="C229" s="31"/>
      <c r="D229" s="31"/>
      <c r="E229" s="31"/>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30"/>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13"/>
    </row>
    <row r="230" spans="1:68" s="11" customFormat="1" ht="14.45">
      <c r="A230" s="25"/>
      <c r="B230" s="24"/>
      <c r="C230" s="8"/>
      <c r="D230" s="8"/>
      <c r="E230" s="8"/>
      <c r="F230" s="8"/>
      <c r="G230" s="8"/>
      <c r="H230" s="8"/>
      <c r="I230" s="8"/>
      <c r="J230" s="8"/>
      <c r="K230" s="14"/>
      <c r="L230" s="71"/>
      <c r="M230" s="66"/>
      <c r="N230" s="66"/>
      <c r="O230" s="66"/>
      <c r="P230" s="66"/>
      <c r="Q230" s="66"/>
      <c r="R230" s="72"/>
      <c r="S230" s="24"/>
      <c r="T230" s="8"/>
      <c r="U230" s="8"/>
      <c r="V230" s="8"/>
      <c r="W230" s="8"/>
      <c r="X230" s="8"/>
      <c r="Y230" s="14"/>
      <c r="Z230" s="24"/>
      <c r="AA230" s="8"/>
      <c r="AB230" s="8"/>
      <c r="AC230" s="8"/>
      <c r="AD230" s="8"/>
      <c r="AE230" s="8"/>
      <c r="AF230" s="8"/>
      <c r="AG230" s="24"/>
      <c r="AH230" s="8"/>
      <c r="AI230" s="8"/>
      <c r="AJ230" s="8"/>
      <c r="AK230" s="8"/>
      <c r="AL230" s="8"/>
      <c r="AM230" s="14"/>
      <c r="AN230" s="8"/>
      <c r="AO230" s="8"/>
      <c r="AP230" s="8"/>
      <c r="AQ230" s="8"/>
      <c r="AR230" s="8"/>
      <c r="AS230" s="8"/>
      <c r="AT230" s="8"/>
      <c r="AU230" s="24"/>
      <c r="AV230" s="8"/>
      <c r="AW230" s="8"/>
      <c r="AX230" s="8"/>
      <c r="AY230" s="8"/>
      <c r="AZ230" s="8"/>
      <c r="BA230" s="8"/>
      <c r="BB230" s="8"/>
      <c r="BC230" s="8"/>
      <c r="BD230" s="8"/>
      <c r="BE230" s="8"/>
      <c r="BF230" s="8"/>
      <c r="BG230" s="8"/>
      <c r="BH230" s="8"/>
      <c r="BI230" s="8"/>
      <c r="BJ230" s="8"/>
      <c r="BK230" s="24"/>
      <c r="BL230" s="8"/>
      <c r="BM230" s="8"/>
      <c r="BN230" s="8"/>
      <c r="BO230" s="14"/>
      <c r="BP230" s="13"/>
    </row>
    <row r="231" spans="1:68" ht="14.45">
      <c r="A231" s="24"/>
      <c r="B231" s="24"/>
      <c r="K231" s="14"/>
      <c r="L231" s="71"/>
      <c r="M231" s="66"/>
      <c r="N231" s="66"/>
      <c r="O231" s="66"/>
      <c r="P231" s="66"/>
      <c r="Q231" s="66"/>
      <c r="R231" s="72"/>
      <c r="S231" s="24"/>
      <c r="Y231" s="14"/>
      <c r="Z231" s="24"/>
      <c r="AG231" s="24"/>
      <c r="AM231" s="14"/>
      <c r="AU231" s="24"/>
      <c r="BK231" s="24"/>
      <c r="BO231" s="14"/>
      <c r="BP231" s="14"/>
    </row>
    <row r="232" spans="1:68" ht="14.45">
      <c r="A232" s="24"/>
      <c r="B232" s="24"/>
      <c r="K232" s="14"/>
      <c r="L232" s="71"/>
      <c r="M232" s="66"/>
      <c r="N232" s="66"/>
      <c r="O232" s="66"/>
      <c r="P232" s="66"/>
      <c r="Q232" s="66"/>
      <c r="R232" s="72"/>
      <c r="S232" s="24"/>
      <c r="Y232" s="14"/>
      <c r="Z232" s="24"/>
      <c r="AG232" s="24"/>
      <c r="AM232" s="14"/>
      <c r="AU232" s="24"/>
      <c r="BK232" s="24"/>
      <c r="BO232" s="14"/>
      <c r="BP232" s="14"/>
    </row>
    <row r="233" spans="1:68" ht="14.45">
      <c r="A233" s="24"/>
      <c r="B233" s="24"/>
      <c r="K233" s="14"/>
      <c r="L233" s="71"/>
      <c r="M233" s="66"/>
      <c r="N233" s="66"/>
      <c r="O233" s="66"/>
      <c r="P233" s="66"/>
      <c r="Q233" s="66"/>
      <c r="R233" s="72"/>
      <c r="S233" s="24"/>
      <c r="Y233" s="14"/>
      <c r="Z233" s="24"/>
      <c r="AG233" s="24"/>
      <c r="AM233" s="14"/>
      <c r="AU233" s="24"/>
      <c r="BK233" s="24"/>
      <c r="BO233" s="14"/>
      <c r="BP233" s="14"/>
    </row>
    <row r="234" spans="1:68" ht="14.45">
      <c r="A234" s="24"/>
      <c r="B234" s="24"/>
      <c r="K234" s="14"/>
      <c r="L234" s="71"/>
      <c r="M234" s="66"/>
      <c r="N234" s="66"/>
      <c r="O234" s="66"/>
      <c r="P234" s="66"/>
      <c r="Q234" s="66"/>
      <c r="R234" s="72"/>
      <c r="S234" s="24"/>
      <c r="Y234" s="14"/>
      <c r="Z234" s="24"/>
      <c r="AG234" s="24"/>
      <c r="AM234" s="14"/>
      <c r="AU234" s="24"/>
      <c r="BK234" s="24"/>
      <c r="BO234" s="14"/>
      <c r="BP234" s="14"/>
    </row>
    <row r="235" spans="1:68" ht="14.45">
      <c r="A235" s="24"/>
      <c r="B235" s="24"/>
      <c r="K235" s="14"/>
      <c r="L235" s="71"/>
      <c r="M235" s="66"/>
      <c r="N235" s="66"/>
      <c r="O235" s="66"/>
      <c r="P235" s="66"/>
      <c r="Q235" s="66"/>
      <c r="R235" s="72"/>
      <c r="S235" s="24"/>
      <c r="Y235" s="14"/>
      <c r="Z235" s="24"/>
      <c r="AG235" s="24"/>
      <c r="AM235" s="14"/>
      <c r="AU235" s="24"/>
      <c r="AY235" s="11"/>
      <c r="BK235" s="24"/>
      <c r="BO235" s="14"/>
      <c r="BP235" s="14"/>
    </row>
    <row r="236" spans="1:68">
      <c r="A236" s="24"/>
      <c r="B236" s="24"/>
      <c r="K236" s="14"/>
      <c r="L236" s="71"/>
      <c r="M236" s="66"/>
      <c r="N236" s="66"/>
      <c r="O236" s="66"/>
      <c r="P236" s="66"/>
      <c r="Q236" s="66"/>
      <c r="R236" s="72"/>
      <c r="S236" s="24"/>
      <c r="Y236" s="14"/>
      <c r="Z236" s="24"/>
      <c r="AG236" s="24"/>
      <c r="AM236" s="14"/>
      <c r="AU236" s="24"/>
      <c r="AV236" s="16" t="s">
        <v>610</v>
      </c>
      <c r="BK236" s="24"/>
      <c r="BO236" s="14"/>
      <c r="BP236" s="14"/>
    </row>
    <row r="237" spans="1:68">
      <c r="A237" s="24"/>
      <c r="B237" s="24"/>
      <c r="K237" s="14"/>
      <c r="L237" s="71"/>
      <c r="M237" s="66"/>
      <c r="N237" s="66"/>
      <c r="O237" s="66"/>
      <c r="P237" s="66"/>
      <c r="Q237" s="66"/>
      <c r="R237" s="72"/>
      <c r="S237" s="24"/>
      <c r="Y237" s="14"/>
      <c r="Z237" s="24"/>
      <c r="AG237" s="24"/>
      <c r="AM237" s="14"/>
      <c r="AU237" s="24"/>
      <c r="AW237" s="8" t="s">
        <v>611</v>
      </c>
      <c r="BK237" s="24"/>
      <c r="BO237" s="14"/>
      <c r="BP237" s="14"/>
    </row>
    <row r="238" spans="1:68" ht="14.45">
      <c r="A238" s="24"/>
      <c r="B238" s="24"/>
      <c r="K238" s="14"/>
      <c r="L238" s="71"/>
      <c r="M238" s="66"/>
      <c r="N238" s="66"/>
      <c r="O238" s="66"/>
      <c r="P238" s="66"/>
      <c r="Q238" s="66"/>
      <c r="R238" s="72"/>
      <c r="S238" s="24"/>
      <c r="Y238" s="14"/>
      <c r="Z238" s="24"/>
      <c r="AG238" s="24"/>
      <c r="AM238" s="14"/>
      <c r="AU238" s="24"/>
      <c r="AY238" s="11"/>
      <c r="BK238" s="24"/>
      <c r="BO238" s="14"/>
      <c r="BP238" s="14"/>
    </row>
    <row r="239" spans="1:68" ht="14.45">
      <c r="A239" s="24"/>
      <c r="B239" s="24"/>
      <c r="K239" s="14"/>
      <c r="L239" s="71"/>
      <c r="M239" s="66"/>
      <c r="N239" s="66"/>
      <c r="O239" s="66"/>
      <c r="P239" s="66"/>
      <c r="Q239" s="66"/>
      <c r="R239" s="72"/>
      <c r="S239" s="24"/>
      <c r="Y239" s="14"/>
      <c r="Z239" s="24"/>
      <c r="AG239" s="24"/>
      <c r="AM239" s="14"/>
      <c r="AU239" s="24"/>
      <c r="AV239" s="11"/>
      <c r="AW239" s="11"/>
      <c r="AX239" s="11"/>
      <c r="AY239" s="11"/>
      <c r="BK239" s="24"/>
      <c r="BO239" s="14"/>
      <c r="BP239" s="14"/>
    </row>
    <row r="240" spans="1:68" ht="14.45">
      <c r="A240" s="24"/>
      <c r="B240" s="24"/>
      <c r="K240" s="14"/>
      <c r="L240" s="71"/>
      <c r="M240" s="66"/>
      <c r="N240" s="66"/>
      <c r="O240" s="66"/>
      <c r="P240" s="66"/>
      <c r="Q240" s="66"/>
      <c r="R240" s="72"/>
      <c r="S240" s="24"/>
      <c r="Y240" s="14"/>
      <c r="Z240" s="24"/>
      <c r="AG240" s="24"/>
      <c r="AM240" s="14"/>
      <c r="AU240" s="24"/>
      <c r="AV240" s="11"/>
      <c r="AW240" s="11"/>
      <c r="AX240" s="11"/>
      <c r="AY240" s="11"/>
      <c r="BK240" s="24"/>
      <c r="BO240" s="14"/>
      <c r="BP240" s="14"/>
    </row>
    <row r="241" spans="1:68" ht="14.45">
      <c r="A241" s="24"/>
      <c r="B241" s="24"/>
      <c r="K241" s="14"/>
      <c r="L241" s="71"/>
      <c r="M241" s="66"/>
      <c r="N241" s="66"/>
      <c r="O241" s="66"/>
      <c r="P241" s="66"/>
      <c r="Q241" s="66"/>
      <c r="R241" s="72"/>
      <c r="S241" s="24"/>
      <c r="Y241" s="14"/>
      <c r="Z241" s="24"/>
      <c r="AG241" s="24"/>
      <c r="AM241" s="14"/>
      <c r="AU241" s="24"/>
      <c r="BK241" s="24"/>
      <c r="BO241" s="14"/>
      <c r="BP241" s="14"/>
    </row>
    <row r="242" spans="1:68">
      <c r="A242" s="24"/>
      <c r="B242" s="24"/>
      <c r="K242" s="14"/>
      <c r="L242" s="71"/>
      <c r="M242" s="66"/>
      <c r="N242" s="66"/>
      <c r="O242" s="66"/>
      <c r="P242" s="66"/>
      <c r="Q242" s="66"/>
      <c r="R242" s="72"/>
      <c r="S242" s="24"/>
      <c r="Y242" s="14"/>
      <c r="Z242" s="24"/>
      <c r="AG242" s="24"/>
      <c r="AM242" s="14"/>
      <c r="AU242" s="24"/>
      <c r="AV242" s="22" t="s">
        <v>688</v>
      </c>
      <c r="AW242" s="11"/>
      <c r="AX242" s="11"/>
      <c r="AY242" s="11"/>
      <c r="BK242" s="24"/>
      <c r="BO242" s="14"/>
      <c r="BP242" s="14"/>
    </row>
    <row r="243" spans="1:68">
      <c r="A243" s="24"/>
      <c r="B243" s="24"/>
      <c r="K243" s="14"/>
      <c r="L243" s="71"/>
      <c r="M243" s="66"/>
      <c r="N243" s="66"/>
      <c r="O243" s="66"/>
      <c r="P243" s="66"/>
      <c r="Q243" s="66"/>
      <c r="R243" s="72"/>
      <c r="S243" s="24"/>
      <c r="Y243" s="14"/>
      <c r="Z243" s="24"/>
      <c r="AG243" s="24"/>
      <c r="AM243" s="14"/>
      <c r="AU243" s="24"/>
      <c r="AV243" s="11"/>
      <c r="AW243" s="8" t="s">
        <v>689</v>
      </c>
      <c r="AX243" s="11"/>
      <c r="AY243" s="11"/>
      <c r="BK243" s="24"/>
      <c r="BO243" s="14"/>
      <c r="BP243" s="14"/>
    </row>
    <row r="244" spans="1:68">
      <c r="A244" s="24"/>
      <c r="B244" s="24"/>
      <c r="K244" s="14"/>
      <c r="L244" s="71"/>
      <c r="M244" s="66"/>
      <c r="N244" s="66"/>
      <c r="O244" s="66"/>
      <c r="P244" s="66"/>
      <c r="Q244" s="66"/>
      <c r="R244" s="72"/>
      <c r="S244" s="24"/>
      <c r="Y244" s="14"/>
      <c r="Z244" s="24"/>
      <c r="AG244" s="24"/>
      <c r="AM244" s="14"/>
      <c r="AU244" s="24"/>
      <c r="AV244" s="11"/>
      <c r="AW244" s="8" t="s">
        <v>690</v>
      </c>
      <c r="AX244" s="11"/>
      <c r="AY244" s="11"/>
      <c r="BK244" s="24"/>
      <c r="BO244" s="14"/>
      <c r="BP244" s="14"/>
    </row>
    <row r="245" spans="1:68" ht="14.45">
      <c r="A245" s="24"/>
      <c r="B245" s="24"/>
      <c r="K245" s="14"/>
      <c r="L245" s="71"/>
      <c r="M245" s="66"/>
      <c r="N245" s="66"/>
      <c r="O245" s="66"/>
      <c r="P245" s="66"/>
      <c r="Q245" s="66"/>
      <c r="R245" s="72"/>
      <c r="S245" s="24"/>
      <c r="Y245" s="14"/>
      <c r="Z245" s="24"/>
      <c r="AG245" s="24"/>
      <c r="AM245" s="14"/>
      <c r="AU245" s="24"/>
      <c r="AV245" s="50"/>
      <c r="AX245" s="11"/>
      <c r="AY245" s="11"/>
      <c r="BK245" s="24"/>
      <c r="BO245" s="14"/>
      <c r="BP245" s="14"/>
    </row>
    <row r="246" spans="1:68" ht="14.45">
      <c r="A246" s="24"/>
      <c r="B246" s="24"/>
      <c r="K246" s="14"/>
      <c r="L246" s="71"/>
      <c r="M246" s="66"/>
      <c r="N246" s="66"/>
      <c r="O246" s="66"/>
      <c r="P246" s="66"/>
      <c r="Q246" s="66"/>
      <c r="R246" s="72"/>
      <c r="S246" s="24"/>
      <c r="Y246" s="14"/>
      <c r="Z246" s="24"/>
      <c r="AG246" s="24"/>
      <c r="AM246" s="14"/>
      <c r="AU246" s="24"/>
      <c r="AV246" s="50"/>
      <c r="AX246" s="11"/>
      <c r="AY246" s="11"/>
      <c r="BK246" s="24"/>
      <c r="BO246" s="14"/>
      <c r="BP246" s="14"/>
    </row>
    <row r="247" spans="1:68" ht="14.45">
      <c r="A247" s="24"/>
      <c r="B247" s="24"/>
      <c r="K247" s="14"/>
      <c r="L247" s="71"/>
      <c r="M247" s="66"/>
      <c r="N247" s="66"/>
      <c r="O247" s="66"/>
      <c r="P247" s="66"/>
      <c r="Q247" s="66"/>
      <c r="R247" s="72"/>
      <c r="S247" s="24"/>
      <c r="Y247" s="14"/>
      <c r="Z247" s="24"/>
      <c r="AG247" s="24"/>
      <c r="AM247" s="14"/>
      <c r="AU247" s="24"/>
      <c r="AV247" s="50"/>
      <c r="AX247" s="11"/>
      <c r="AY247" s="11"/>
      <c r="BK247" s="24"/>
      <c r="BO247" s="14"/>
      <c r="BP247" s="14"/>
    </row>
    <row r="248" spans="1:68" ht="14.45">
      <c r="A248" s="24"/>
      <c r="B248" s="24"/>
      <c r="K248" s="14"/>
      <c r="L248" s="71"/>
      <c r="M248" s="66"/>
      <c r="N248" s="66"/>
      <c r="O248" s="66"/>
      <c r="P248" s="66"/>
      <c r="Q248" s="66"/>
      <c r="R248" s="72"/>
      <c r="S248" s="24"/>
      <c r="Y248" s="14"/>
      <c r="Z248" s="24"/>
      <c r="AG248" s="24"/>
      <c r="AM248" s="14"/>
      <c r="AU248" s="24"/>
      <c r="AV248" s="50"/>
      <c r="AX248" s="11"/>
      <c r="AY248" s="11"/>
      <c r="BK248" s="24"/>
      <c r="BO248" s="14"/>
      <c r="BP248" s="14"/>
    </row>
    <row r="249" spans="1:68">
      <c r="A249" s="24"/>
      <c r="B249" s="24"/>
      <c r="K249" s="14"/>
      <c r="L249" s="71"/>
      <c r="M249" s="66"/>
      <c r="N249" s="66"/>
      <c r="O249" s="66"/>
      <c r="P249" s="66"/>
      <c r="Q249" s="66"/>
      <c r="R249" s="72"/>
      <c r="S249" s="24"/>
      <c r="Y249" s="14"/>
      <c r="Z249" s="24"/>
      <c r="AG249" s="24"/>
      <c r="AM249" s="14"/>
      <c r="AU249" s="24"/>
      <c r="AV249" s="22" t="s">
        <v>691</v>
      </c>
      <c r="AW249" s="11"/>
      <c r="AX249" s="11"/>
      <c r="AY249" s="11"/>
      <c r="BK249" s="24"/>
      <c r="BO249" s="14"/>
      <c r="BP249" s="14"/>
    </row>
    <row r="250" spans="1:68">
      <c r="A250" s="24"/>
      <c r="B250" s="24"/>
      <c r="K250" s="14"/>
      <c r="L250" s="71"/>
      <c r="M250" s="66"/>
      <c r="N250" s="66"/>
      <c r="O250" s="66"/>
      <c r="P250" s="66"/>
      <c r="Q250" s="66"/>
      <c r="R250" s="72"/>
      <c r="S250" s="24"/>
      <c r="Y250" s="14"/>
      <c r="Z250" s="24"/>
      <c r="AG250" s="24"/>
      <c r="AM250" s="14"/>
      <c r="AU250" s="24"/>
      <c r="AV250" s="11"/>
      <c r="AW250" s="8" t="s">
        <v>689</v>
      </c>
      <c r="AX250" s="11"/>
      <c r="AY250" s="11"/>
      <c r="BK250" s="24"/>
      <c r="BO250" s="14"/>
      <c r="BP250" s="14"/>
    </row>
    <row r="251" spans="1:68">
      <c r="A251" s="24"/>
      <c r="B251" s="24"/>
      <c r="K251" s="14"/>
      <c r="L251" s="71"/>
      <c r="M251" s="66"/>
      <c r="N251" s="66"/>
      <c r="O251" s="66"/>
      <c r="P251" s="66"/>
      <c r="Q251" s="66"/>
      <c r="R251" s="72"/>
      <c r="S251" s="24"/>
      <c r="Y251" s="14"/>
      <c r="Z251" s="24"/>
      <c r="AG251" s="24"/>
      <c r="AM251" s="14"/>
      <c r="AU251" s="24"/>
      <c r="AV251" s="11"/>
      <c r="AW251" s="8" t="s">
        <v>692</v>
      </c>
      <c r="AX251" s="11"/>
      <c r="AY251" s="11"/>
      <c r="BK251" s="24"/>
      <c r="BO251" s="14"/>
      <c r="BP251" s="14"/>
    </row>
    <row r="252" spans="1:68" ht="14.45">
      <c r="A252" s="24"/>
      <c r="B252" s="24"/>
      <c r="K252" s="14"/>
      <c r="L252" s="71"/>
      <c r="M252" s="66"/>
      <c r="N252" s="66"/>
      <c r="O252" s="66"/>
      <c r="P252" s="66"/>
      <c r="Q252" s="66"/>
      <c r="R252" s="72"/>
      <c r="S252" s="24"/>
      <c r="Y252" s="14"/>
      <c r="Z252" s="24"/>
      <c r="AG252" s="24"/>
      <c r="AM252" s="14"/>
      <c r="AU252" s="24"/>
      <c r="AV252" s="50"/>
      <c r="AX252" s="11"/>
      <c r="AY252" s="11"/>
      <c r="BK252" s="24"/>
      <c r="BO252" s="14"/>
      <c r="BP252" s="14"/>
    </row>
    <row r="253" spans="1:68" ht="14.45">
      <c r="A253" s="24"/>
      <c r="B253" s="24"/>
      <c r="K253" s="14"/>
      <c r="L253" s="71"/>
      <c r="M253" s="66"/>
      <c r="N253" s="66"/>
      <c r="O253" s="66"/>
      <c r="P253" s="66"/>
      <c r="Q253" s="66"/>
      <c r="R253" s="72"/>
      <c r="S253" s="24"/>
      <c r="Y253" s="14"/>
      <c r="Z253" s="24"/>
      <c r="AG253" s="24"/>
      <c r="AM253" s="14"/>
      <c r="AU253" s="24"/>
      <c r="AV253" s="50"/>
      <c r="AX253" s="11"/>
      <c r="AY253" s="11"/>
      <c r="BK253" s="24"/>
      <c r="BO253" s="14"/>
      <c r="BP253" s="14"/>
    </row>
    <row r="254" spans="1:68" ht="14.45">
      <c r="A254" s="24"/>
      <c r="B254" s="24"/>
      <c r="K254" s="14"/>
      <c r="L254" s="71"/>
      <c r="M254" s="66"/>
      <c r="N254" s="66"/>
      <c r="O254" s="66"/>
      <c r="P254" s="66"/>
      <c r="Q254" s="66"/>
      <c r="R254" s="72"/>
      <c r="S254" s="24"/>
      <c r="Y254" s="14"/>
      <c r="Z254" s="24"/>
      <c r="AG254" s="24"/>
      <c r="AM254" s="14"/>
      <c r="AU254" s="24"/>
      <c r="AV254" s="50"/>
      <c r="AX254" s="11"/>
      <c r="AY254" s="11"/>
      <c r="BK254" s="24"/>
      <c r="BO254" s="14"/>
      <c r="BP254" s="14"/>
    </row>
    <row r="255" spans="1:68">
      <c r="A255" s="24"/>
      <c r="B255" s="24"/>
      <c r="K255" s="14"/>
      <c r="L255" s="71"/>
      <c r="M255" s="66"/>
      <c r="N255" s="66"/>
      <c r="O255" s="66"/>
      <c r="P255" s="66"/>
      <c r="Q255" s="66"/>
      <c r="R255" s="72"/>
      <c r="S255" s="24"/>
      <c r="Y255" s="14"/>
      <c r="Z255" s="24"/>
      <c r="AG255" s="24"/>
      <c r="AM255" s="14"/>
      <c r="AU255" s="24"/>
      <c r="AV255" s="22" t="s">
        <v>693</v>
      </c>
      <c r="AX255" s="11"/>
      <c r="AY255" s="11"/>
      <c r="BK255" s="24"/>
      <c r="BO255" s="14"/>
      <c r="BP255" s="14"/>
    </row>
    <row r="256" spans="1:68">
      <c r="A256" s="24"/>
      <c r="B256" s="24"/>
      <c r="K256" s="14"/>
      <c r="L256" s="71"/>
      <c r="M256" s="66"/>
      <c r="N256" s="66"/>
      <c r="O256" s="66"/>
      <c r="P256" s="66"/>
      <c r="Q256" s="66"/>
      <c r="R256" s="72"/>
      <c r="S256" s="24"/>
      <c r="Y256" s="14"/>
      <c r="Z256" s="24"/>
      <c r="AG256" s="24"/>
      <c r="AM256" s="14"/>
      <c r="AU256" s="24"/>
      <c r="AV256" s="50"/>
      <c r="AW256" s="8" t="s">
        <v>694</v>
      </c>
      <c r="AX256" s="11"/>
      <c r="AY256" s="11"/>
      <c r="BK256" s="24"/>
      <c r="BO256" s="14"/>
      <c r="BP256" s="14"/>
    </row>
    <row r="257" spans="1:70">
      <c r="A257" s="24"/>
      <c r="B257" s="24"/>
      <c r="K257" s="14"/>
      <c r="L257" s="71"/>
      <c r="M257" s="66"/>
      <c r="N257" s="66"/>
      <c r="O257" s="66"/>
      <c r="P257" s="66"/>
      <c r="Q257" s="66"/>
      <c r="R257" s="72"/>
      <c r="S257" s="24"/>
      <c r="Y257" s="14"/>
      <c r="Z257" s="24"/>
      <c r="AG257" s="24"/>
      <c r="AM257" s="14"/>
      <c r="AU257" s="24"/>
      <c r="AV257" s="50"/>
      <c r="AW257" s="8" t="s">
        <v>695</v>
      </c>
      <c r="AX257" s="11"/>
      <c r="AY257" s="11"/>
      <c r="BK257" s="24"/>
      <c r="BO257" s="14"/>
      <c r="BP257" s="14"/>
    </row>
    <row r="258" spans="1:70">
      <c r="A258" s="24"/>
      <c r="B258" s="24"/>
      <c r="K258" s="14"/>
      <c r="L258" s="71"/>
      <c r="M258" s="66"/>
      <c r="N258" s="66"/>
      <c r="O258" s="66"/>
      <c r="P258" s="66"/>
      <c r="Q258" s="66"/>
      <c r="R258" s="72"/>
      <c r="S258" s="24"/>
      <c r="Y258" s="14"/>
      <c r="Z258" s="24"/>
      <c r="AG258" s="24"/>
      <c r="AM258" s="14"/>
      <c r="AU258" s="24"/>
      <c r="AV258" s="50"/>
      <c r="AW258" s="86" t="s">
        <v>637</v>
      </c>
      <c r="AX258" s="87"/>
      <c r="AY258" s="87"/>
      <c r="AZ258" s="87"/>
      <c r="BA258" s="87"/>
      <c r="BB258" s="87"/>
      <c r="BC258" s="87"/>
      <c r="BD258" s="87"/>
      <c r="BE258" s="87"/>
      <c r="BF258" s="87"/>
      <c r="BG258" s="88"/>
      <c r="BK258" s="24"/>
      <c r="BO258" s="14"/>
      <c r="BP258" s="14"/>
    </row>
    <row r="259" spans="1:70">
      <c r="A259" s="24"/>
      <c r="B259" s="24"/>
      <c r="K259" s="14"/>
      <c r="L259" s="71"/>
      <c r="M259" s="66"/>
      <c r="N259" s="66"/>
      <c r="O259" s="66"/>
      <c r="P259" s="66"/>
      <c r="Q259" s="66"/>
      <c r="R259" s="72"/>
      <c r="S259" s="24"/>
      <c r="Y259" s="14"/>
      <c r="Z259" s="24"/>
      <c r="AG259" s="24"/>
      <c r="AM259" s="14"/>
      <c r="AU259" s="24"/>
      <c r="AV259" s="50"/>
      <c r="AW259" s="65" t="s">
        <v>696</v>
      </c>
      <c r="AX259" s="63"/>
      <c r="AY259" s="63"/>
      <c r="AZ259" s="63"/>
      <c r="BA259" s="63"/>
      <c r="BB259" s="65" t="s">
        <v>638</v>
      </c>
      <c r="BC259" s="63"/>
      <c r="BD259" s="63"/>
      <c r="BE259" s="63"/>
      <c r="BF259" s="63"/>
      <c r="BG259" s="64"/>
      <c r="BK259" s="24"/>
      <c r="BO259" s="14"/>
      <c r="BP259" s="14"/>
    </row>
    <row r="260" spans="1:70">
      <c r="A260" s="24"/>
      <c r="B260" s="24"/>
      <c r="K260" s="14"/>
      <c r="L260" s="71"/>
      <c r="M260" s="66"/>
      <c r="N260" s="66"/>
      <c r="O260" s="66"/>
      <c r="P260" s="66"/>
      <c r="Q260" s="66"/>
      <c r="R260" s="72"/>
      <c r="S260" s="24"/>
      <c r="Y260" s="14"/>
      <c r="Z260" s="24"/>
      <c r="AG260" s="24"/>
      <c r="AM260" s="14"/>
      <c r="AU260" s="24"/>
      <c r="AV260" s="50"/>
      <c r="AW260" s="106" t="s">
        <v>639</v>
      </c>
      <c r="AX260" s="105"/>
      <c r="AY260" s="105"/>
      <c r="AZ260" s="104"/>
      <c r="BA260" s="104"/>
      <c r="BB260" s="106" t="s">
        <v>697</v>
      </c>
      <c r="BC260" s="104"/>
      <c r="BD260" s="104"/>
      <c r="BE260" s="104"/>
      <c r="BF260" s="104"/>
      <c r="BG260" s="103"/>
      <c r="BK260" s="24"/>
      <c r="BO260" s="14"/>
      <c r="BP260" s="14"/>
    </row>
    <row r="261" spans="1:70" ht="14.45">
      <c r="A261" s="24"/>
      <c r="B261" s="24"/>
      <c r="K261" s="14"/>
      <c r="L261" s="71"/>
      <c r="M261" s="66"/>
      <c r="N261" s="66"/>
      <c r="O261" s="66"/>
      <c r="P261" s="66"/>
      <c r="Q261" s="66"/>
      <c r="R261" s="72"/>
      <c r="S261" s="24"/>
      <c r="Y261" s="14"/>
      <c r="Z261" s="24"/>
      <c r="AG261" s="24"/>
      <c r="AM261" s="14"/>
      <c r="AU261" s="24"/>
      <c r="AX261" s="11"/>
      <c r="AY261" s="11"/>
      <c r="BK261" s="24"/>
      <c r="BO261" s="14"/>
      <c r="BP261" s="14"/>
    </row>
    <row r="262" spans="1:70" ht="14.45">
      <c r="A262" s="24"/>
      <c r="B262" s="24"/>
      <c r="K262" s="14"/>
      <c r="L262" s="71"/>
      <c r="M262" s="66"/>
      <c r="N262" s="66"/>
      <c r="O262" s="66"/>
      <c r="P262" s="66"/>
      <c r="Q262" s="66"/>
      <c r="R262" s="72"/>
      <c r="S262" s="24"/>
      <c r="Y262" s="14"/>
      <c r="Z262" s="24"/>
      <c r="AG262" s="24"/>
      <c r="AM262" s="14"/>
      <c r="AU262" s="24"/>
      <c r="AV262" s="11"/>
      <c r="BK262" s="24"/>
      <c r="BO262" s="14"/>
      <c r="BP262" s="14"/>
    </row>
    <row r="263" spans="1:70" ht="14.45">
      <c r="A263" s="24"/>
      <c r="B263" s="24"/>
      <c r="K263" s="14"/>
      <c r="L263" s="71"/>
      <c r="M263" s="66"/>
      <c r="N263" s="66"/>
      <c r="O263" s="66"/>
      <c r="P263" s="66"/>
      <c r="Q263" s="66"/>
      <c r="R263" s="72"/>
      <c r="S263" s="24"/>
      <c r="Y263" s="14"/>
      <c r="Z263" s="24"/>
      <c r="AG263" s="24"/>
      <c r="AM263" s="14"/>
      <c r="AU263" s="24"/>
      <c r="AV263" s="11"/>
      <c r="AX263" s="11"/>
      <c r="AY263" s="11"/>
      <c r="BK263" s="24"/>
      <c r="BO263" s="14"/>
      <c r="BP263" s="14"/>
    </row>
    <row r="264" spans="1:70" ht="14.45">
      <c r="A264" s="42"/>
      <c r="B264" s="41"/>
      <c r="C264" s="10"/>
      <c r="D264" s="10"/>
      <c r="E264" s="10"/>
      <c r="F264" s="10"/>
      <c r="G264" s="10"/>
      <c r="H264" s="10"/>
      <c r="I264" s="10"/>
      <c r="J264" s="10"/>
      <c r="K264" s="15"/>
      <c r="L264" s="81"/>
      <c r="M264" s="67"/>
      <c r="N264" s="67"/>
      <c r="O264" s="67"/>
      <c r="P264" s="67"/>
      <c r="Q264" s="67"/>
      <c r="R264" s="108"/>
      <c r="S264" s="41"/>
      <c r="T264" s="10"/>
      <c r="U264" s="10"/>
      <c r="V264" s="10"/>
      <c r="W264" s="10"/>
      <c r="X264" s="10"/>
      <c r="Y264" s="15"/>
      <c r="Z264" s="41"/>
      <c r="AA264" s="10"/>
      <c r="AB264" s="10"/>
      <c r="AC264" s="10"/>
      <c r="AD264" s="10"/>
      <c r="AE264" s="10"/>
      <c r="AF264" s="10"/>
      <c r="AG264" s="41"/>
      <c r="AH264" s="10"/>
      <c r="AI264" s="10"/>
      <c r="AJ264" s="10"/>
      <c r="AK264" s="10"/>
      <c r="AL264" s="10"/>
      <c r="AM264" s="15"/>
      <c r="AN264" s="10"/>
      <c r="AO264" s="10"/>
      <c r="AP264" s="10"/>
      <c r="AQ264" s="10"/>
      <c r="AR264" s="10"/>
      <c r="AS264" s="10"/>
      <c r="AT264" s="10"/>
      <c r="AU264" s="41"/>
      <c r="AV264" s="60"/>
      <c r="AW264" s="10"/>
      <c r="AX264" s="32"/>
      <c r="AY264" s="32"/>
      <c r="AZ264" s="10"/>
      <c r="BA264" s="10"/>
      <c r="BB264" s="10"/>
      <c r="BC264" s="10"/>
      <c r="BD264" s="10"/>
      <c r="BE264" s="10"/>
      <c r="BF264" s="10"/>
      <c r="BG264" s="10"/>
      <c r="BH264" s="10"/>
      <c r="BI264" s="10"/>
      <c r="BJ264" s="10"/>
      <c r="BK264" s="41"/>
      <c r="BL264" s="10"/>
      <c r="BM264" s="10"/>
      <c r="BN264" s="10"/>
      <c r="BO264" s="15"/>
      <c r="BP264" s="42"/>
    </row>
    <row r="265" spans="1:70" s="11" customFormat="1">
      <c r="A265" s="25"/>
      <c r="B265" s="26" t="s">
        <v>698</v>
      </c>
      <c r="C265" s="31"/>
      <c r="D265" s="31"/>
      <c r="E265" s="31"/>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30"/>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13"/>
      <c r="BQ265" s="8"/>
      <c r="BR265" s="8"/>
    </row>
    <row r="266" spans="1:70" s="11" customFormat="1" ht="14.45">
      <c r="A266" s="25"/>
      <c r="B266" s="24"/>
      <c r="C266" s="8"/>
      <c r="D266" s="8"/>
      <c r="E266" s="8"/>
      <c r="F266" s="8"/>
      <c r="G266" s="8"/>
      <c r="H266" s="8"/>
      <c r="I266" s="8"/>
      <c r="J266" s="8"/>
      <c r="K266" s="14"/>
      <c r="L266" s="71"/>
      <c r="M266" s="66"/>
      <c r="N266" s="66"/>
      <c r="O266" s="66"/>
      <c r="P266" s="66"/>
      <c r="Q266" s="66"/>
      <c r="R266" s="72"/>
      <c r="S266" s="24"/>
      <c r="T266" s="8"/>
      <c r="U266" s="8"/>
      <c r="V266" s="8"/>
      <c r="W266" s="8"/>
      <c r="X266" s="8"/>
      <c r="Y266" s="14"/>
      <c r="Z266" s="24"/>
      <c r="AA266" s="8"/>
      <c r="AB266" s="8"/>
      <c r="AC266" s="8"/>
      <c r="AD266" s="8"/>
      <c r="AE266" s="8"/>
      <c r="AF266" s="8"/>
      <c r="AG266" s="24"/>
      <c r="AH266" s="8"/>
      <c r="AI266" s="8"/>
      <c r="AJ266" s="8"/>
      <c r="AK266" s="8"/>
      <c r="AL266" s="8"/>
      <c r="AM266" s="14"/>
      <c r="AN266" s="8"/>
      <c r="AO266" s="8"/>
      <c r="AP266" s="8"/>
      <c r="AQ266" s="8"/>
      <c r="AR266" s="8"/>
      <c r="AS266" s="8"/>
      <c r="AT266" s="8"/>
      <c r="AU266" s="24"/>
      <c r="AV266" s="8"/>
      <c r="AW266" s="8"/>
      <c r="AX266" s="8"/>
      <c r="AY266" s="8"/>
      <c r="AZ266" s="8"/>
      <c r="BA266" s="8"/>
      <c r="BB266" s="8"/>
      <c r="BC266" s="8"/>
      <c r="BD266" s="8"/>
      <c r="BE266" s="8"/>
      <c r="BF266" s="8"/>
      <c r="BG266" s="8"/>
      <c r="BH266" s="8"/>
      <c r="BI266" s="8"/>
      <c r="BJ266" s="8"/>
      <c r="BK266" s="24"/>
      <c r="BL266" s="8"/>
      <c r="BM266" s="8"/>
      <c r="BN266" s="8"/>
      <c r="BO266" s="14"/>
      <c r="BP266" s="13"/>
      <c r="BQ266" s="8"/>
      <c r="BR266" s="8"/>
    </row>
    <row r="267" spans="1:70" ht="14.45">
      <c r="A267" s="24"/>
      <c r="B267" s="24"/>
      <c r="K267" s="14"/>
      <c r="L267" s="71"/>
      <c r="M267" s="66"/>
      <c r="N267" s="66"/>
      <c r="O267" s="66"/>
      <c r="P267" s="66"/>
      <c r="Q267" s="66"/>
      <c r="R267" s="72"/>
      <c r="S267" s="24"/>
      <c r="Y267" s="14"/>
      <c r="Z267" s="24"/>
      <c r="AG267" s="24"/>
      <c r="AM267" s="14"/>
      <c r="AU267" s="24"/>
      <c r="BK267" s="24"/>
      <c r="BO267" s="14"/>
      <c r="BP267" s="14"/>
    </row>
    <row r="268" spans="1:70" ht="14.45">
      <c r="A268" s="24"/>
      <c r="B268" s="24"/>
      <c r="K268" s="14"/>
      <c r="L268" s="71"/>
      <c r="M268" s="66"/>
      <c r="N268" s="66"/>
      <c r="O268" s="66"/>
      <c r="P268" s="66"/>
      <c r="Q268" s="66"/>
      <c r="R268" s="72"/>
      <c r="S268" s="24"/>
      <c r="Y268" s="14"/>
      <c r="Z268" s="24"/>
      <c r="AG268" s="24"/>
      <c r="AM268" s="14"/>
      <c r="AU268" s="24"/>
      <c r="BK268" s="24"/>
      <c r="BO268" s="14"/>
      <c r="BP268" s="14"/>
    </row>
    <row r="269" spans="1:70" ht="14.45">
      <c r="A269" s="24"/>
      <c r="B269" s="24"/>
      <c r="K269" s="14"/>
      <c r="L269" s="71"/>
      <c r="M269" s="66"/>
      <c r="N269" s="66"/>
      <c r="O269" s="66"/>
      <c r="P269" s="66"/>
      <c r="Q269" s="66"/>
      <c r="R269" s="72"/>
      <c r="S269" s="24"/>
      <c r="Y269" s="14"/>
      <c r="Z269" s="24"/>
      <c r="AG269" s="24"/>
      <c r="AM269" s="14"/>
      <c r="AU269" s="24"/>
      <c r="BK269" s="24"/>
      <c r="BO269" s="14"/>
      <c r="BP269" s="14"/>
    </row>
    <row r="270" spans="1:70" ht="14.45">
      <c r="A270" s="24"/>
      <c r="B270" s="24"/>
      <c r="K270" s="14"/>
      <c r="L270" s="71"/>
      <c r="M270" s="66"/>
      <c r="N270" s="66"/>
      <c r="O270" s="66"/>
      <c r="P270" s="66"/>
      <c r="Q270" s="66"/>
      <c r="R270" s="72"/>
      <c r="S270" s="24"/>
      <c r="Y270" s="14"/>
      <c r="Z270" s="24"/>
      <c r="AG270" s="24"/>
      <c r="AM270" s="14"/>
      <c r="AU270" s="24"/>
      <c r="BK270" s="24"/>
      <c r="BO270" s="14"/>
      <c r="BP270" s="14"/>
    </row>
    <row r="271" spans="1:70" ht="14.45">
      <c r="A271" s="24"/>
      <c r="B271" s="24"/>
      <c r="K271" s="14"/>
      <c r="L271" s="71"/>
      <c r="M271" s="66"/>
      <c r="N271" s="66"/>
      <c r="O271" s="66"/>
      <c r="P271" s="66"/>
      <c r="Q271" s="66"/>
      <c r="R271" s="72"/>
      <c r="S271" s="24"/>
      <c r="Y271" s="14"/>
      <c r="Z271" s="24"/>
      <c r="AG271" s="24"/>
      <c r="AM271" s="14"/>
      <c r="AU271" s="24"/>
      <c r="AY271" s="11"/>
      <c r="BK271" s="24"/>
      <c r="BO271" s="14"/>
      <c r="BP271" s="14"/>
    </row>
    <row r="272" spans="1:70">
      <c r="A272" s="24"/>
      <c r="B272" s="24"/>
      <c r="K272" s="14"/>
      <c r="L272" s="71"/>
      <c r="M272" s="66"/>
      <c r="N272" s="66"/>
      <c r="O272" s="66"/>
      <c r="P272" s="66"/>
      <c r="Q272" s="66"/>
      <c r="R272" s="72"/>
      <c r="S272" s="24"/>
      <c r="Y272" s="14"/>
      <c r="Z272" s="24"/>
      <c r="AG272" s="24"/>
      <c r="AM272" s="14"/>
      <c r="AU272" s="24"/>
      <c r="AV272" s="16" t="s">
        <v>699</v>
      </c>
      <c r="BK272" s="24"/>
      <c r="BO272" s="14"/>
      <c r="BP272" s="14"/>
    </row>
    <row r="273" spans="1:68">
      <c r="A273" s="24"/>
      <c r="B273" s="24"/>
      <c r="K273" s="14"/>
      <c r="L273" s="71"/>
      <c r="M273" s="66"/>
      <c r="N273" s="66"/>
      <c r="O273" s="66"/>
      <c r="P273" s="66"/>
      <c r="Q273" s="66"/>
      <c r="R273" s="72"/>
      <c r="S273" s="24"/>
      <c r="Y273" s="14"/>
      <c r="Z273" s="24"/>
      <c r="AG273" s="24"/>
      <c r="AM273" s="14"/>
      <c r="AU273" s="24"/>
      <c r="AW273" s="8" t="s">
        <v>700</v>
      </c>
      <c r="BK273" s="24"/>
      <c r="BO273" s="14"/>
      <c r="BP273" s="14"/>
    </row>
    <row r="274" spans="1:68">
      <c r="A274" s="24"/>
      <c r="B274" s="24"/>
      <c r="K274" s="14"/>
      <c r="L274" s="71"/>
      <c r="M274" s="66"/>
      <c r="N274" s="66"/>
      <c r="O274" s="66"/>
      <c r="P274" s="66"/>
      <c r="Q274" s="66"/>
      <c r="R274" s="72"/>
      <c r="S274" s="24"/>
      <c r="Y274" s="14"/>
      <c r="Z274" s="24"/>
      <c r="AG274" s="24"/>
      <c r="AM274" s="14"/>
      <c r="AU274" s="24"/>
      <c r="AW274" s="8" t="s">
        <v>701</v>
      </c>
      <c r="AY274" s="11"/>
      <c r="BK274" s="24"/>
      <c r="BO274" s="14"/>
      <c r="BP274" s="14"/>
    </row>
    <row r="275" spans="1:68" ht="14.45">
      <c r="A275" s="24"/>
      <c r="B275" s="24"/>
      <c r="K275" s="14"/>
      <c r="L275" s="71"/>
      <c r="M275" s="66"/>
      <c r="N275" s="66"/>
      <c r="O275" s="66"/>
      <c r="P275" s="66"/>
      <c r="Q275" s="66"/>
      <c r="R275" s="72"/>
      <c r="S275" s="24"/>
      <c r="Y275" s="14"/>
      <c r="Z275" s="24"/>
      <c r="AG275" s="24"/>
      <c r="AM275" s="14"/>
      <c r="AU275" s="24"/>
      <c r="AV275" s="11"/>
      <c r="AW275" s="11"/>
      <c r="AX275" s="11"/>
      <c r="AY275" s="11"/>
      <c r="BK275" s="24"/>
      <c r="BO275" s="14"/>
      <c r="BP275" s="14"/>
    </row>
    <row r="276" spans="1:68">
      <c r="A276" s="24"/>
      <c r="B276" s="24"/>
      <c r="K276" s="14"/>
      <c r="L276" s="71"/>
      <c r="M276" s="66"/>
      <c r="N276" s="66"/>
      <c r="O276" s="66"/>
      <c r="P276" s="66"/>
      <c r="Q276" s="66"/>
      <c r="R276" s="72"/>
      <c r="S276" s="24"/>
      <c r="Y276" s="14"/>
      <c r="Z276" s="24"/>
      <c r="AG276" s="24"/>
      <c r="AM276" s="14"/>
      <c r="AU276" s="24"/>
      <c r="AV276" s="11" t="s">
        <v>118</v>
      </c>
      <c r="AW276" s="8" t="s">
        <v>702</v>
      </c>
      <c r="AX276" s="11"/>
      <c r="AY276" s="11"/>
      <c r="BK276" s="24"/>
      <c r="BO276" s="14"/>
      <c r="BP276" s="14"/>
    </row>
    <row r="277" spans="1:68">
      <c r="A277" s="24"/>
      <c r="B277" s="24"/>
      <c r="K277" s="14"/>
      <c r="L277" s="71"/>
      <c r="M277" s="66"/>
      <c r="N277" s="66"/>
      <c r="O277" s="66"/>
      <c r="P277" s="66"/>
      <c r="Q277" s="66"/>
      <c r="R277" s="72"/>
      <c r="S277" s="24"/>
      <c r="Y277" s="14"/>
      <c r="Z277" s="24"/>
      <c r="AG277" s="24"/>
      <c r="AM277" s="14"/>
      <c r="AU277" s="24"/>
      <c r="AV277" s="11"/>
      <c r="AW277" s="8" t="s">
        <v>703</v>
      </c>
      <c r="AX277" s="11"/>
      <c r="AY277" s="11"/>
      <c r="BK277" s="24"/>
      <c r="BO277" s="14"/>
      <c r="BP277" s="14"/>
    </row>
    <row r="278" spans="1:68">
      <c r="A278" s="24"/>
      <c r="B278" s="24"/>
      <c r="K278" s="14"/>
      <c r="L278" s="71"/>
      <c r="M278" s="66"/>
      <c r="N278" s="66"/>
      <c r="O278" s="66"/>
      <c r="P278" s="66"/>
      <c r="Q278" s="66"/>
      <c r="R278" s="72"/>
      <c r="S278" s="24"/>
      <c r="Y278" s="14"/>
      <c r="Z278" s="24"/>
      <c r="AG278" s="24"/>
      <c r="AM278" s="14"/>
      <c r="AU278" s="24"/>
      <c r="AV278" s="11"/>
      <c r="AW278" s="8" t="s">
        <v>704</v>
      </c>
      <c r="AX278" s="11"/>
      <c r="AY278" s="11"/>
      <c r="BK278" s="24"/>
      <c r="BO278" s="14"/>
      <c r="BP278" s="14"/>
    </row>
    <row r="279" spans="1:68" ht="14.45">
      <c r="A279" s="24"/>
      <c r="B279" s="24"/>
      <c r="K279" s="14"/>
      <c r="L279" s="71"/>
      <c r="M279" s="66"/>
      <c r="N279" s="66"/>
      <c r="O279" s="66"/>
      <c r="P279" s="66"/>
      <c r="Q279" s="66"/>
      <c r="R279" s="72"/>
      <c r="S279" s="24"/>
      <c r="Y279" s="14"/>
      <c r="Z279" s="24"/>
      <c r="AG279" s="24"/>
      <c r="AM279" s="14"/>
      <c r="AU279" s="24"/>
      <c r="AV279" s="11"/>
      <c r="AW279" s="11"/>
      <c r="BK279" s="24"/>
      <c r="BO279" s="14"/>
      <c r="BP279" s="14"/>
    </row>
    <row r="280" spans="1:68" ht="14.45">
      <c r="A280" s="24"/>
      <c r="B280" s="24"/>
      <c r="K280" s="14"/>
      <c r="L280" s="71"/>
      <c r="M280" s="66"/>
      <c r="N280" s="66"/>
      <c r="O280" s="66"/>
      <c r="P280" s="66"/>
      <c r="Q280" s="66"/>
      <c r="R280" s="72"/>
      <c r="S280" s="24"/>
      <c r="Y280" s="14"/>
      <c r="Z280" s="24"/>
      <c r="AG280" s="24"/>
      <c r="AM280" s="14"/>
      <c r="AU280" s="24"/>
      <c r="AV280" s="11"/>
      <c r="AW280" s="11"/>
      <c r="BK280" s="24"/>
      <c r="BO280" s="14"/>
      <c r="BP280" s="14"/>
    </row>
    <row r="281" spans="1:68" ht="14.45">
      <c r="A281" s="24"/>
      <c r="B281" s="24"/>
      <c r="K281" s="14"/>
      <c r="L281" s="71"/>
      <c r="M281" s="66"/>
      <c r="N281" s="66"/>
      <c r="O281" s="66"/>
      <c r="P281" s="66"/>
      <c r="Q281" s="66"/>
      <c r="R281" s="72"/>
      <c r="S281" s="24"/>
      <c r="Y281" s="14"/>
      <c r="Z281" s="24"/>
      <c r="AG281" s="24"/>
      <c r="AM281" s="14"/>
      <c r="AU281" s="24"/>
      <c r="AV281" s="11"/>
      <c r="AW281" s="11"/>
      <c r="AY281" s="11"/>
      <c r="BK281" s="24"/>
      <c r="BO281" s="14"/>
      <c r="BP281" s="14"/>
    </row>
    <row r="282" spans="1:68" ht="14.45">
      <c r="A282" s="24"/>
      <c r="B282" s="24"/>
      <c r="K282" s="14"/>
      <c r="L282" s="71"/>
      <c r="M282" s="66"/>
      <c r="N282" s="66"/>
      <c r="O282" s="66"/>
      <c r="P282" s="66"/>
      <c r="Q282" s="66"/>
      <c r="R282" s="72"/>
      <c r="S282" s="24"/>
      <c r="Y282" s="14"/>
      <c r="Z282" s="24"/>
      <c r="AG282" s="24"/>
      <c r="AM282" s="14"/>
      <c r="AU282" s="24"/>
      <c r="AV282" s="11"/>
      <c r="AW282" s="11"/>
      <c r="AX282" s="11"/>
      <c r="AY282" s="11"/>
      <c r="BK282" s="24"/>
      <c r="BO282" s="14"/>
      <c r="BP282" s="14"/>
    </row>
    <row r="283" spans="1:68" ht="14.45">
      <c r="A283" s="42"/>
      <c r="B283" s="41"/>
      <c r="C283" s="10"/>
      <c r="D283" s="10"/>
      <c r="E283" s="10"/>
      <c r="F283" s="10"/>
      <c r="G283" s="10"/>
      <c r="H283" s="10"/>
      <c r="I283" s="10"/>
      <c r="J283" s="10"/>
      <c r="K283" s="15"/>
      <c r="L283" s="81"/>
      <c r="M283" s="67"/>
      <c r="N283" s="67"/>
      <c r="O283" s="67"/>
      <c r="P283" s="67"/>
      <c r="Q283" s="67"/>
      <c r="R283" s="108"/>
      <c r="S283" s="41"/>
      <c r="T283" s="10"/>
      <c r="U283" s="10"/>
      <c r="V283" s="10"/>
      <c r="W283" s="10"/>
      <c r="X283" s="10"/>
      <c r="Y283" s="15"/>
      <c r="Z283" s="41"/>
      <c r="AA283" s="10"/>
      <c r="AB283" s="10"/>
      <c r="AC283" s="10"/>
      <c r="AD283" s="10"/>
      <c r="AE283" s="10"/>
      <c r="AF283" s="10"/>
      <c r="AG283" s="41"/>
      <c r="AH283" s="10"/>
      <c r="AI283" s="10"/>
      <c r="AJ283" s="10"/>
      <c r="AK283" s="10"/>
      <c r="AL283" s="10"/>
      <c r="AM283" s="15"/>
      <c r="AN283" s="10"/>
      <c r="AO283" s="10"/>
      <c r="AP283" s="10"/>
      <c r="AQ283" s="10"/>
      <c r="AR283" s="10"/>
      <c r="AS283" s="10"/>
      <c r="AT283" s="10"/>
      <c r="AU283" s="41"/>
      <c r="AV283" s="60"/>
      <c r="AW283" s="10"/>
      <c r="AX283" s="32"/>
      <c r="AY283" s="32"/>
      <c r="AZ283" s="10"/>
      <c r="BA283" s="10"/>
      <c r="BB283" s="10"/>
      <c r="BC283" s="10"/>
      <c r="BD283" s="10"/>
      <c r="BE283" s="10"/>
      <c r="BF283" s="10"/>
      <c r="BG283" s="10"/>
      <c r="BH283" s="10"/>
      <c r="BI283" s="10"/>
      <c r="BJ283" s="10"/>
      <c r="BK283" s="41"/>
      <c r="BL283" s="10"/>
      <c r="BM283" s="10"/>
      <c r="BN283" s="10"/>
      <c r="BO283" s="15"/>
      <c r="BP283" s="42"/>
    </row>
    <row r="284" spans="1:68" s="11" customFormat="1">
      <c r="A284" s="25"/>
      <c r="B284" s="26" t="s">
        <v>705</v>
      </c>
      <c r="C284" s="31"/>
      <c r="D284" s="31"/>
      <c r="E284" s="31"/>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30"/>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13"/>
    </row>
    <row r="285" spans="1:68" s="11" customFormat="1" ht="14.45">
      <c r="A285" s="25"/>
      <c r="B285" s="24"/>
      <c r="C285" s="8"/>
      <c r="D285" s="8"/>
      <c r="E285" s="8"/>
      <c r="F285" s="8"/>
      <c r="G285" s="8"/>
      <c r="H285" s="8"/>
      <c r="I285" s="8"/>
      <c r="J285" s="8"/>
      <c r="K285" s="14"/>
      <c r="L285" s="71"/>
      <c r="M285" s="66"/>
      <c r="N285" s="66"/>
      <c r="O285" s="66"/>
      <c r="P285" s="66"/>
      <c r="Q285" s="66"/>
      <c r="R285" s="72"/>
      <c r="S285" s="24"/>
      <c r="T285" s="8"/>
      <c r="U285" s="8"/>
      <c r="V285" s="8"/>
      <c r="W285" s="8"/>
      <c r="X285" s="8"/>
      <c r="Y285" s="14"/>
      <c r="Z285" s="24"/>
      <c r="AA285" s="8"/>
      <c r="AB285" s="8"/>
      <c r="AC285" s="8"/>
      <c r="AD285" s="8"/>
      <c r="AE285" s="8"/>
      <c r="AF285" s="8"/>
      <c r="AG285" s="24"/>
      <c r="AH285" s="8"/>
      <c r="AI285" s="8"/>
      <c r="AJ285" s="8"/>
      <c r="AK285" s="8"/>
      <c r="AL285" s="8"/>
      <c r="AM285" s="14"/>
      <c r="AN285" s="8"/>
      <c r="AO285" s="8"/>
      <c r="AP285" s="8"/>
      <c r="AQ285" s="8"/>
      <c r="AR285" s="8"/>
      <c r="AS285" s="8"/>
      <c r="AT285" s="8"/>
      <c r="AU285" s="24"/>
      <c r="AV285" s="8"/>
      <c r="AW285" s="8"/>
      <c r="AX285" s="8"/>
      <c r="AY285" s="8"/>
      <c r="AZ285" s="8"/>
      <c r="BA285" s="8"/>
      <c r="BB285" s="8"/>
      <c r="BC285" s="8"/>
      <c r="BD285" s="8"/>
      <c r="BE285" s="8"/>
      <c r="BF285" s="8"/>
      <c r="BG285" s="8"/>
      <c r="BH285" s="8"/>
      <c r="BI285" s="8"/>
      <c r="BJ285" s="8"/>
      <c r="BK285" s="24"/>
      <c r="BL285" s="8"/>
      <c r="BM285" s="8"/>
      <c r="BN285" s="8"/>
      <c r="BO285" s="14"/>
      <c r="BP285" s="13"/>
    </row>
    <row r="286" spans="1:68">
      <c r="A286" s="24"/>
      <c r="B286" s="24"/>
      <c r="K286" s="14"/>
      <c r="L286" s="71"/>
      <c r="M286" s="66"/>
      <c r="N286" s="66"/>
      <c r="O286" s="66"/>
      <c r="P286" s="66"/>
      <c r="Q286" s="66"/>
      <c r="R286" s="72"/>
      <c r="S286" s="24"/>
      <c r="Y286" s="14"/>
      <c r="Z286" s="24"/>
      <c r="AG286" s="24"/>
      <c r="AM286" s="14"/>
      <c r="AU286" s="24"/>
      <c r="AV286" s="8" t="s">
        <v>706</v>
      </c>
      <c r="BK286" s="24"/>
      <c r="BO286" s="14"/>
      <c r="BP286" s="14"/>
    </row>
    <row r="287" spans="1:68" ht="14.45">
      <c r="A287" s="24"/>
      <c r="B287" s="24"/>
      <c r="K287" s="14"/>
      <c r="L287" s="71"/>
      <c r="M287" s="66"/>
      <c r="N287" s="66"/>
      <c r="O287" s="66"/>
      <c r="P287" s="66"/>
      <c r="Q287" s="66"/>
      <c r="R287" s="72"/>
      <c r="S287" s="24"/>
      <c r="Y287" s="14"/>
      <c r="Z287" s="24"/>
      <c r="AG287" s="24"/>
      <c r="AM287" s="14"/>
      <c r="AU287" s="24"/>
      <c r="BK287" s="24"/>
      <c r="BO287" s="14"/>
      <c r="BP287" s="14"/>
    </row>
    <row r="288" spans="1:68" ht="14.45">
      <c r="A288" s="24"/>
      <c r="B288" s="24"/>
      <c r="K288" s="14"/>
      <c r="L288" s="71"/>
      <c r="M288" s="66"/>
      <c r="N288" s="66"/>
      <c r="O288" s="66"/>
      <c r="P288" s="66"/>
      <c r="Q288" s="66"/>
      <c r="R288" s="72"/>
      <c r="S288" s="24"/>
      <c r="Y288" s="14"/>
      <c r="Z288" s="24"/>
      <c r="AG288" s="24"/>
      <c r="AM288" s="14"/>
      <c r="AU288" s="24"/>
      <c r="BK288" s="24"/>
      <c r="BO288" s="14"/>
      <c r="BP288" s="14"/>
    </row>
    <row r="289" spans="1:68" ht="14.45">
      <c r="A289" s="24"/>
      <c r="B289" s="24"/>
      <c r="K289" s="14"/>
      <c r="L289" s="71"/>
      <c r="M289" s="66"/>
      <c r="N289" s="66"/>
      <c r="O289" s="66"/>
      <c r="P289" s="66"/>
      <c r="Q289" s="66"/>
      <c r="R289" s="72"/>
      <c r="S289" s="24"/>
      <c r="Y289" s="14"/>
      <c r="Z289" s="24"/>
      <c r="AG289" s="24"/>
      <c r="AM289" s="14"/>
      <c r="AU289" s="24"/>
      <c r="BK289" s="24"/>
      <c r="BO289" s="14"/>
      <c r="BP289" s="14"/>
    </row>
    <row r="290" spans="1:68" ht="14.45">
      <c r="A290" s="24"/>
      <c r="B290" s="24"/>
      <c r="K290" s="14"/>
      <c r="L290" s="71"/>
      <c r="M290" s="66"/>
      <c r="N290" s="66"/>
      <c r="O290" s="66"/>
      <c r="P290" s="66"/>
      <c r="Q290" s="66"/>
      <c r="R290" s="72"/>
      <c r="S290" s="24"/>
      <c r="Y290" s="14"/>
      <c r="Z290" s="24"/>
      <c r="AG290" s="24"/>
      <c r="AM290" s="14"/>
      <c r="AU290" s="24"/>
      <c r="AY290" s="11"/>
      <c r="BK290" s="24"/>
      <c r="BO290" s="14"/>
      <c r="BP290" s="14"/>
    </row>
    <row r="291" spans="1:68">
      <c r="A291" s="24"/>
      <c r="B291" s="24"/>
      <c r="K291" s="14"/>
      <c r="L291" s="71"/>
      <c r="M291" s="66"/>
      <c r="N291" s="66"/>
      <c r="O291" s="66"/>
      <c r="P291" s="66"/>
      <c r="Q291" s="66"/>
      <c r="R291" s="72"/>
      <c r="S291" s="24"/>
      <c r="Y291" s="14"/>
      <c r="Z291" s="24"/>
      <c r="AG291" s="24"/>
      <c r="AM291" s="14"/>
      <c r="AU291" s="24"/>
      <c r="AV291" s="16" t="s">
        <v>707</v>
      </c>
      <c r="BK291" s="24"/>
      <c r="BO291" s="14"/>
      <c r="BP291" s="14"/>
    </row>
    <row r="292" spans="1:68">
      <c r="A292" s="24"/>
      <c r="B292" s="24"/>
      <c r="K292" s="14"/>
      <c r="L292" s="71"/>
      <c r="M292" s="66"/>
      <c r="N292" s="66"/>
      <c r="O292" s="66"/>
      <c r="P292" s="66"/>
      <c r="Q292" s="66"/>
      <c r="R292" s="72"/>
      <c r="S292" s="24"/>
      <c r="Y292" s="14"/>
      <c r="Z292" s="24"/>
      <c r="AG292" s="24"/>
      <c r="AM292" s="14"/>
      <c r="AU292" s="24"/>
      <c r="AW292" s="8" t="s">
        <v>708</v>
      </c>
      <c r="BK292" s="24"/>
      <c r="BO292" s="14"/>
      <c r="BP292" s="14"/>
    </row>
    <row r="293" spans="1:68">
      <c r="A293" s="24"/>
      <c r="B293" s="24"/>
      <c r="K293" s="14"/>
      <c r="L293" s="71"/>
      <c r="M293" s="66"/>
      <c r="N293" s="66"/>
      <c r="O293" s="66"/>
      <c r="P293" s="66"/>
      <c r="Q293" s="66"/>
      <c r="R293" s="72"/>
      <c r="S293" s="24"/>
      <c r="Y293" s="14"/>
      <c r="Z293" s="24"/>
      <c r="AG293" s="24"/>
      <c r="AM293" s="14"/>
      <c r="AU293" s="24"/>
      <c r="AW293" s="8" t="s">
        <v>709</v>
      </c>
      <c r="AY293" s="11"/>
      <c r="BK293" s="24"/>
      <c r="BO293" s="14"/>
      <c r="BP293" s="14"/>
    </row>
    <row r="294" spans="1:68">
      <c r="A294" s="24"/>
      <c r="B294" s="24"/>
      <c r="K294" s="14"/>
      <c r="L294" s="71"/>
      <c r="M294" s="66"/>
      <c r="N294" s="66"/>
      <c r="O294" s="66"/>
      <c r="P294" s="66"/>
      <c r="Q294" s="66"/>
      <c r="R294" s="72"/>
      <c r="S294" s="24"/>
      <c r="Y294" s="14"/>
      <c r="Z294" s="24"/>
      <c r="AG294" s="24"/>
      <c r="AM294" s="14"/>
      <c r="AU294" s="24"/>
      <c r="AV294" s="11"/>
      <c r="AW294" s="86" t="s">
        <v>637</v>
      </c>
      <c r="AX294" s="87"/>
      <c r="AY294" s="87"/>
      <c r="AZ294" s="87"/>
      <c r="BA294" s="87"/>
      <c r="BB294" s="87"/>
      <c r="BC294" s="87"/>
      <c r="BD294" s="87"/>
      <c r="BE294" s="87"/>
      <c r="BF294" s="87"/>
      <c r="BG294" s="87"/>
      <c r="BH294" s="87"/>
      <c r="BI294" s="88"/>
      <c r="BK294" s="24"/>
      <c r="BO294" s="14"/>
      <c r="BP294" s="14"/>
    </row>
    <row r="295" spans="1:68">
      <c r="A295" s="24"/>
      <c r="B295" s="24"/>
      <c r="K295" s="14"/>
      <c r="L295" s="71"/>
      <c r="M295" s="66"/>
      <c r="N295" s="66"/>
      <c r="O295" s="66"/>
      <c r="P295" s="66"/>
      <c r="Q295" s="66"/>
      <c r="R295" s="72"/>
      <c r="S295" s="24"/>
      <c r="Y295" s="14"/>
      <c r="Z295" s="24"/>
      <c r="AG295" s="24"/>
      <c r="AM295" s="14"/>
      <c r="AU295" s="24"/>
      <c r="AV295" s="11"/>
      <c r="AW295" s="89" t="s">
        <v>710</v>
      </c>
      <c r="AX295" s="90"/>
      <c r="AY295" s="90"/>
      <c r="AZ295" s="90"/>
      <c r="BA295" s="90"/>
      <c r="BB295" s="90"/>
      <c r="BC295" s="90"/>
      <c r="BD295" s="89" t="s">
        <v>638</v>
      </c>
      <c r="BE295" s="90"/>
      <c r="BF295" s="90"/>
      <c r="BG295" s="90"/>
      <c r="BH295" s="90"/>
      <c r="BI295" s="91"/>
      <c r="BK295" s="24"/>
      <c r="BO295" s="14"/>
      <c r="BP295" s="14"/>
    </row>
    <row r="296" spans="1:68">
      <c r="A296" s="24"/>
      <c r="B296" s="24"/>
      <c r="K296" s="14"/>
      <c r="L296" s="71"/>
      <c r="M296" s="66"/>
      <c r="N296" s="66"/>
      <c r="O296" s="66"/>
      <c r="P296" s="66"/>
      <c r="Q296" s="66"/>
      <c r="R296" s="72"/>
      <c r="S296" s="24"/>
      <c r="Y296" s="14"/>
      <c r="Z296" s="24"/>
      <c r="AG296" s="24"/>
      <c r="AM296" s="14"/>
      <c r="AU296" s="24"/>
      <c r="AV296" s="11"/>
      <c r="AW296" s="11" t="s">
        <v>711</v>
      </c>
      <c r="AX296" s="11"/>
      <c r="AY296" s="11"/>
      <c r="BK296" s="24"/>
      <c r="BO296" s="14"/>
      <c r="BP296" s="14"/>
    </row>
    <row r="297" spans="1:68" ht="14.45">
      <c r="A297" s="24"/>
      <c r="B297" s="24"/>
      <c r="K297" s="14"/>
      <c r="L297" s="71"/>
      <c r="M297" s="66"/>
      <c r="N297" s="66"/>
      <c r="O297" s="66"/>
      <c r="P297" s="66"/>
      <c r="Q297" s="66"/>
      <c r="R297" s="72"/>
      <c r="S297" s="24"/>
      <c r="Y297" s="14"/>
      <c r="Z297" s="24"/>
      <c r="AG297" s="24"/>
      <c r="AM297" s="14"/>
      <c r="AU297" s="24"/>
      <c r="AV297" s="11"/>
      <c r="AW297" s="11"/>
      <c r="AX297" s="11"/>
      <c r="AY297" s="11"/>
      <c r="BK297" s="24"/>
      <c r="BO297" s="14"/>
      <c r="BP297" s="14"/>
    </row>
    <row r="298" spans="1:68" ht="14.45">
      <c r="A298" s="24"/>
      <c r="B298" s="24"/>
      <c r="K298" s="14"/>
      <c r="L298" s="71"/>
      <c r="M298" s="66"/>
      <c r="N298" s="66"/>
      <c r="O298" s="66"/>
      <c r="P298" s="66"/>
      <c r="Q298" s="66"/>
      <c r="R298" s="72"/>
      <c r="S298" s="24"/>
      <c r="Y298" s="14"/>
      <c r="Z298" s="24"/>
      <c r="AG298" s="24"/>
      <c r="AM298" s="14"/>
      <c r="AU298" s="24"/>
      <c r="AV298" s="11"/>
      <c r="AW298" s="11"/>
      <c r="AX298" s="11"/>
      <c r="AY298" s="11"/>
      <c r="BK298" s="24"/>
      <c r="BO298" s="14"/>
      <c r="BP298" s="14"/>
    </row>
    <row r="299" spans="1:68" ht="14.45">
      <c r="A299" s="24"/>
      <c r="B299" s="24"/>
      <c r="K299" s="14"/>
      <c r="L299" s="71"/>
      <c r="M299" s="66"/>
      <c r="N299" s="66"/>
      <c r="O299" s="66"/>
      <c r="P299" s="66"/>
      <c r="Q299" s="66"/>
      <c r="R299" s="72"/>
      <c r="S299" s="24"/>
      <c r="Y299" s="14"/>
      <c r="Z299" s="24"/>
      <c r="AG299" s="24"/>
      <c r="AM299" s="14"/>
      <c r="AU299" s="24"/>
      <c r="AV299" s="11"/>
      <c r="AW299" s="11"/>
      <c r="AX299" s="11"/>
      <c r="AY299" s="11"/>
      <c r="BK299" s="24"/>
      <c r="BO299" s="14"/>
      <c r="BP299" s="14"/>
    </row>
    <row r="300" spans="1:68">
      <c r="A300" s="24"/>
      <c r="B300" s="24"/>
      <c r="K300" s="14"/>
      <c r="L300" s="71"/>
      <c r="M300" s="66"/>
      <c r="N300" s="66"/>
      <c r="O300" s="66"/>
      <c r="P300" s="66"/>
      <c r="Q300" s="66"/>
      <c r="R300" s="72"/>
      <c r="S300" s="24"/>
      <c r="Y300" s="14"/>
      <c r="Z300" s="24"/>
      <c r="AG300" s="24"/>
      <c r="AM300" s="14"/>
      <c r="AU300" s="24"/>
      <c r="AV300" s="16" t="s">
        <v>712</v>
      </c>
      <c r="BK300" s="24"/>
      <c r="BO300" s="14"/>
      <c r="BP300" s="14"/>
    </row>
    <row r="301" spans="1:68">
      <c r="A301" s="24"/>
      <c r="B301" s="24"/>
      <c r="K301" s="14"/>
      <c r="L301" s="71"/>
      <c r="M301" s="66"/>
      <c r="N301" s="66"/>
      <c r="O301" s="66"/>
      <c r="P301" s="66"/>
      <c r="Q301" s="66"/>
      <c r="R301" s="72"/>
      <c r="S301" s="24"/>
      <c r="Y301" s="14"/>
      <c r="Z301" s="24"/>
      <c r="AG301" s="24"/>
      <c r="AM301" s="14"/>
      <c r="AU301" s="24"/>
      <c r="AW301" s="8" t="s">
        <v>713</v>
      </c>
      <c r="BK301" s="24"/>
      <c r="BO301" s="14"/>
      <c r="BP301" s="14"/>
    </row>
    <row r="302" spans="1:68">
      <c r="A302" s="24"/>
      <c r="B302" s="24"/>
      <c r="K302" s="14"/>
      <c r="L302" s="71"/>
      <c r="M302" s="66"/>
      <c r="N302" s="66"/>
      <c r="O302" s="66"/>
      <c r="P302" s="66"/>
      <c r="Q302" s="66"/>
      <c r="R302" s="72"/>
      <c r="S302" s="24"/>
      <c r="Y302" s="14"/>
      <c r="Z302" s="24"/>
      <c r="AG302" s="24"/>
      <c r="AM302" s="14"/>
      <c r="AU302" s="24"/>
      <c r="AW302" s="8" t="s">
        <v>118</v>
      </c>
      <c r="AX302" s="8" t="s">
        <v>714</v>
      </c>
      <c r="BK302" s="24"/>
      <c r="BO302" s="14"/>
      <c r="BP302" s="14"/>
    </row>
    <row r="303" spans="1:68" ht="14.45">
      <c r="A303" s="24"/>
      <c r="B303" s="24"/>
      <c r="K303" s="14"/>
      <c r="L303" s="71"/>
      <c r="M303" s="66"/>
      <c r="N303" s="66"/>
      <c r="O303" s="66"/>
      <c r="P303" s="66"/>
      <c r="Q303" s="66"/>
      <c r="R303" s="72"/>
      <c r="S303" s="24"/>
      <c r="Y303" s="14"/>
      <c r="Z303" s="24"/>
      <c r="AG303" s="24"/>
      <c r="AM303" s="14"/>
      <c r="AU303" s="24"/>
      <c r="BK303" s="24"/>
      <c r="BO303" s="14"/>
      <c r="BP303" s="14"/>
    </row>
    <row r="304" spans="1:68" ht="14.45">
      <c r="A304" s="24"/>
      <c r="B304" s="24"/>
      <c r="K304" s="14"/>
      <c r="L304" s="71"/>
      <c r="M304" s="66"/>
      <c r="N304" s="66"/>
      <c r="O304" s="66"/>
      <c r="P304" s="66"/>
      <c r="Q304" s="66"/>
      <c r="R304" s="72"/>
      <c r="S304" s="24"/>
      <c r="Y304" s="14"/>
      <c r="Z304" s="24"/>
      <c r="AG304" s="24"/>
      <c r="AM304" s="14"/>
      <c r="AU304" s="24"/>
      <c r="BK304" s="24"/>
      <c r="BO304" s="14"/>
      <c r="BP304" s="14"/>
    </row>
    <row r="305" spans="1:68" ht="14.45">
      <c r="A305" s="24"/>
      <c r="B305" s="24"/>
      <c r="K305" s="14"/>
      <c r="L305" s="71"/>
      <c r="M305" s="66"/>
      <c r="N305" s="66"/>
      <c r="O305" s="66"/>
      <c r="P305" s="66"/>
      <c r="Q305" s="66"/>
      <c r="R305" s="72"/>
      <c r="S305" s="24"/>
      <c r="Y305" s="14"/>
      <c r="Z305" s="24"/>
      <c r="AG305" s="24"/>
      <c r="AM305" s="14"/>
      <c r="AU305" s="24"/>
      <c r="BK305" s="24"/>
      <c r="BO305" s="14"/>
      <c r="BP305" s="14"/>
    </row>
    <row r="306" spans="1:68">
      <c r="A306" s="24"/>
      <c r="B306" s="24"/>
      <c r="K306" s="14"/>
      <c r="L306" s="71"/>
      <c r="M306" s="66"/>
      <c r="N306" s="66"/>
      <c r="O306" s="66"/>
      <c r="P306" s="66"/>
      <c r="Q306" s="66"/>
      <c r="R306" s="72"/>
      <c r="S306" s="24"/>
      <c r="Y306" s="14"/>
      <c r="Z306" s="24"/>
      <c r="AG306" s="24"/>
      <c r="AM306" s="14"/>
      <c r="AU306" s="24"/>
      <c r="AV306" s="16" t="s">
        <v>715</v>
      </c>
      <c r="BK306" s="24"/>
      <c r="BO306" s="14"/>
      <c r="BP306" s="14"/>
    </row>
    <row r="307" spans="1:68">
      <c r="A307" s="24"/>
      <c r="B307" s="24"/>
      <c r="K307" s="14"/>
      <c r="L307" s="71"/>
      <c r="M307" s="66"/>
      <c r="N307" s="66"/>
      <c r="O307" s="66"/>
      <c r="P307" s="66"/>
      <c r="Q307" s="66"/>
      <c r="R307" s="72"/>
      <c r="S307" s="24"/>
      <c r="Y307" s="14"/>
      <c r="Z307" s="24"/>
      <c r="AG307" s="24"/>
      <c r="AM307" s="14"/>
      <c r="AU307" s="24"/>
      <c r="AW307" s="8" t="s">
        <v>682</v>
      </c>
      <c r="BK307" s="24"/>
      <c r="BO307" s="14"/>
      <c r="BP307" s="14"/>
    </row>
    <row r="308" spans="1:68">
      <c r="A308" s="24"/>
      <c r="B308" s="24"/>
      <c r="K308" s="14"/>
      <c r="L308" s="71"/>
      <c r="M308" s="66"/>
      <c r="N308" s="66"/>
      <c r="O308" s="66"/>
      <c r="P308" s="66"/>
      <c r="Q308" s="66"/>
      <c r="R308" s="72"/>
      <c r="S308" s="24"/>
      <c r="Y308" s="14"/>
      <c r="Z308" s="24"/>
      <c r="AG308" s="24"/>
      <c r="AM308" s="14"/>
      <c r="AU308" s="24"/>
      <c r="AW308" s="8" t="s">
        <v>118</v>
      </c>
      <c r="AX308" s="8" t="s">
        <v>714</v>
      </c>
      <c r="BK308" s="24"/>
      <c r="BO308" s="14"/>
      <c r="BP308" s="14"/>
    </row>
    <row r="309" spans="1:68" ht="14.45">
      <c r="A309" s="24"/>
      <c r="B309" s="24"/>
      <c r="K309" s="14"/>
      <c r="L309" s="71"/>
      <c r="M309" s="66"/>
      <c r="N309" s="66"/>
      <c r="O309" s="66"/>
      <c r="P309" s="66"/>
      <c r="Q309" s="66"/>
      <c r="R309" s="72"/>
      <c r="S309" s="24"/>
      <c r="Y309" s="14"/>
      <c r="Z309" s="24"/>
      <c r="AG309" s="24"/>
      <c r="AM309" s="14"/>
      <c r="AU309" s="24"/>
      <c r="BK309" s="24"/>
      <c r="BO309" s="14"/>
      <c r="BP309" s="14"/>
    </row>
    <row r="310" spans="1:68" ht="14.45">
      <c r="A310" s="24"/>
      <c r="B310" s="24"/>
      <c r="K310" s="14"/>
      <c r="L310" s="71"/>
      <c r="M310" s="66"/>
      <c r="N310" s="66"/>
      <c r="O310" s="66"/>
      <c r="P310" s="66"/>
      <c r="Q310" s="66"/>
      <c r="R310" s="72"/>
      <c r="S310" s="24"/>
      <c r="Y310" s="14"/>
      <c r="Z310" s="24"/>
      <c r="AG310" s="24"/>
      <c r="AM310" s="14"/>
      <c r="AU310" s="24"/>
      <c r="AV310" s="11"/>
      <c r="AW310" s="11"/>
      <c r="AX310" s="11"/>
      <c r="AY310" s="11"/>
      <c r="BK310" s="24"/>
      <c r="BO310" s="14"/>
      <c r="BP310" s="14"/>
    </row>
    <row r="311" spans="1:68" ht="14.45">
      <c r="A311" s="24"/>
      <c r="B311" s="24"/>
      <c r="K311" s="14"/>
      <c r="L311" s="71"/>
      <c r="M311" s="66"/>
      <c r="N311" s="66"/>
      <c r="O311" s="66"/>
      <c r="P311" s="66"/>
      <c r="Q311" s="66"/>
      <c r="R311" s="72"/>
      <c r="S311" s="24"/>
      <c r="Y311" s="14"/>
      <c r="Z311" s="24"/>
      <c r="AG311" s="24"/>
      <c r="AM311" s="14"/>
      <c r="AU311" s="24"/>
      <c r="AV311" s="11"/>
      <c r="AW311" s="11"/>
      <c r="AX311" s="11"/>
      <c r="AY311" s="11"/>
      <c r="BK311" s="24"/>
      <c r="BO311" s="14"/>
      <c r="BP311" s="14"/>
    </row>
    <row r="312" spans="1:68" ht="14.45">
      <c r="A312" s="24"/>
      <c r="B312" s="24"/>
      <c r="K312" s="14"/>
      <c r="L312" s="71"/>
      <c r="M312" s="66"/>
      <c r="N312" s="66"/>
      <c r="O312" s="66"/>
      <c r="P312" s="66"/>
      <c r="Q312" s="66"/>
      <c r="R312" s="72"/>
      <c r="S312" s="24"/>
      <c r="Y312" s="14"/>
      <c r="Z312" s="24"/>
      <c r="AG312" s="24"/>
      <c r="AM312" s="14"/>
      <c r="AU312" s="24"/>
      <c r="AV312" s="11"/>
      <c r="AW312" s="11"/>
      <c r="AX312" s="11"/>
      <c r="AY312" s="11"/>
      <c r="BK312" s="24"/>
      <c r="BO312" s="14"/>
      <c r="BP312" s="14"/>
    </row>
    <row r="313" spans="1:68" ht="14.45">
      <c r="A313" s="24"/>
      <c r="B313" s="24"/>
      <c r="K313" s="14"/>
      <c r="L313" s="71"/>
      <c r="M313" s="66"/>
      <c r="N313" s="66"/>
      <c r="O313" s="66"/>
      <c r="P313" s="66"/>
      <c r="Q313" s="66"/>
      <c r="R313" s="72"/>
      <c r="S313" s="24"/>
      <c r="Y313" s="14"/>
      <c r="Z313" s="24"/>
      <c r="AG313" s="24"/>
      <c r="AM313" s="14"/>
      <c r="AU313" s="24"/>
      <c r="AV313" s="11"/>
      <c r="AW313" s="11"/>
      <c r="AX313" s="11"/>
      <c r="AY313" s="11"/>
      <c r="BK313" s="24"/>
      <c r="BO313" s="14"/>
      <c r="BP313" s="14"/>
    </row>
    <row r="314" spans="1:68">
      <c r="A314" s="24"/>
      <c r="B314" s="24"/>
      <c r="K314" s="14"/>
      <c r="L314" s="71"/>
      <c r="M314" s="66"/>
      <c r="N314" s="66"/>
      <c r="O314" s="66"/>
      <c r="P314" s="66"/>
      <c r="Q314" s="66"/>
      <c r="R314" s="72"/>
      <c r="S314" s="24"/>
      <c r="Y314" s="14"/>
      <c r="Z314" s="24"/>
      <c r="AG314" s="24"/>
      <c r="AM314" s="14"/>
      <c r="AU314" s="24"/>
      <c r="AV314" s="16" t="s">
        <v>716</v>
      </c>
      <c r="BK314" s="24"/>
      <c r="BO314" s="14"/>
      <c r="BP314" s="14"/>
    </row>
    <row r="315" spans="1:68">
      <c r="A315" s="24"/>
      <c r="B315" s="24"/>
      <c r="K315" s="14"/>
      <c r="L315" s="71"/>
      <c r="M315" s="66"/>
      <c r="N315" s="66"/>
      <c r="O315" s="66"/>
      <c r="P315" s="66"/>
      <c r="Q315" s="66"/>
      <c r="R315" s="72"/>
      <c r="S315" s="24"/>
      <c r="Y315" s="14"/>
      <c r="Z315" s="24"/>
      <c r="AG315" s="24"/>
      <c r="AM315" s="14"/>
      <c r="AU315" s="24"/>
      <c r="AW315" s="8" t="s">
        <v>717</v>
      </c>
      <c r="BK315" s="24"/>
      <c r="BO315" s="14"/>
      <c r="BP315" s="14"/>
    </row>
    <row r="316" spans="1:68">
      <c r="A316" s="24"/>
      <c r="B316" s="24"/>
      <c r="K316" s="14"/>
      <c r="L316" s="71"/>
      <c r="M316" s="66"/>
      <c r="N316" s="66"/>
      <c r="O316" s="66"/>
      <c r="P316" s="66"/>
      <c r="Q316" s="66"/>
      <c r="R316" s="72"/>
      <c r="S316" s="24"/>
      <c r="Y316" s="14"/>
      <c r="Z316" s="24"/>
      <c r="AG316" s="24"/>
      <c r="AM316" s="14"/>
      <c r="AU316" s="24"/>
      <c r="AW316" s="8" t="s">
        <v>118</v>
      </c>
      <c r="AX316" s="8" t="s">
        <v>718</v>
      </c>
      <c r="AY316" s="11"/>
      <c r="BK316" s="24"/>
      <c r="BO316" s="14"/>
      <c r="BP316" s="14"/>
    </row>
    <row r="317" spans="1:68">
      <c r="A317" s="24"/>
      <c r="B317" s="24"/>
      <c r="K317" s="14"/>
      <c r="L317" s="71"/>
      <c r="M317" s="66"/>
      <c r="N317" s="66"/>
      <c r="O317" s="66"/>
      <c r="P317" s="66"/>
      <c r="Q317" s="66"/>
      <c r="R317" s="72"/>
      <c r="S317" s="24"/>
      <c r="Y317" s="14"/>
      <c r="Z317" s="24"/>
      <c r="AG317" s="24"/>
      <c r="AM317" s="14"/>
      <c r="AU317" s="24"/>
      <c r="AW317" s="86" t="s">
        <v>637</v>
      </c>
      <c r="AX317" s="87"/>
      <c r="AY317" s="87"/>
      <c r="AZ317" s="87"/>
      <c r="BA317" s="87"/>
      <c r="BB317" s="87"/>
      <c r="BC317" s="87"/>
      <c r="BD317" s="87"/>
      <c r="BE317" s="87"/>
      <c r="BF317" s="87"/>
      <c r="BG317" s="88"/>
      <c r="BK317" s="24"/>
      <c r="BO317" s="14"/>
      <c r="BP317" s="14"/>
    </row>
    <row r="318" spans="1:68">
      <c r="A318" s="24"/>
      <c r="B318" s="24"/>
      <c r="K318" s="14"/>
      <c r="L318" s="71"/>
      <c r="M318" s="66"/>
      <c r="N318" s="66"/>
      <c r="O318" s="66"/>
      <c r="P318" s="66"/>
      <c r="Q318" s="66"/>
      <c r="R318" s="72"/>
      <c r="S318" s="24"/>
      <c r="Y318" s="14"/>
      <c r="Z318" s="24"/>
      <c r="AG318" s="24"/>
      <c r="AM318" s="14"/>
      <c r="AU318" s="24"/>
      <c r="AW318" s="89" t="s">
        <v>638</v>
      </c>
      <c r="AX318" s="90"/>
      <c r="AY318" s="90"/>
      <c r="AZ318" s="90"/>
      <c r="BA318" s="90"/>
      <c r="BB318" s="118" t="s">
        <v>719</v>
      </c>
      <c r="BC318" s="90"/>
      <c r="BD318" s="90"/>
      <c r="BE318" s="90"/>
      <c r="BF318" s="90"/>
      <c r="BG318" s="91"/>
      <c r="BK318" s="24"/>
      <c r="BO318" s="14"/>
      <c r="BP318" s="14"/>
    </row>
    <row r="319" spans="1:68">
      <c r="A319" s="24"/>
      <c r="B319" s="24"/>
      <c r="K319" s="14"/>
      <c r="L319" s="71"/>
      <c r="M319" s="66"/>
      <c r="N319" s="66"/>
      <c r="O319" s="66"/>
      <c r="P319" s="66"/>
      <c r="Q319" s="66"/>
      <c r="R319" s="72"/>
      <c r="S319" s="24"/>
      <c r="Y319" s="14"/>
      <c r="Z319" s="24"/>
      <c r="AG319" s="24"/>
      <c r="AM319" s="14"/>
      <c r="AU319" s="24"/>
      <c r="AW319" s="45" t="s">
        <v>118</v>
      </c>
      <c r="AX319" s="45" t="s">
        <v>640</v>
      </c>
      <c r="BK319" s="24"/>
      <c r="BO319" s="14"/>
      <c r="BP319" s="14"/>
    </row>
    <row r="320" spans="1:68" ht="14.45">
      <c r="A320" s="24"/>
      <c r="B320" s="24"/>
      <c r="K320" s="14"/>
      <c r="L320" s="71"/>
      <c r="M320" s="66"/>
      <c r="N320" s="66"/>
      <c r="O320" s="66"/>
      <c r="P320" s="66"/>
      <c r="Q320" s="66"/>
      <c r="R320" s="72"/>
      <c r="S320" s="24"/>
      <c r="Y320" s="14"/>
      <c r="Z320" s="24"/>
      <c r="AG320" s="24"/>
      <c r="AM320" s="14"/>
      <c r="AU320" s="24"/>
      <c r="AW320" s="45"/>
      <c r="AX320" s="45"/>
      <c r="BK320" s="24"/>
      <c r="BO320" s="14"/>
      <c r="BP320" s="14"/>
    </row>
    <row r="321" spans="1:68" ht="14.45">
      <c r="A321" s="24"/>
      <c r="B321" s="24"/>
      <c r="K321" s="14"/>
      <c r="L321" s="71"/>
      <c r="M321" s="66"/>
      <c r="N321" s="66"/>
      <c r="O321" s="66"/>
      <c r="P321" s="66"/>
      <c r="Q321" s="66"/>
      <c r="R321" s="72"/>
      <c r="S321" s="24"/>
      <c r="Y321" s="14"/>
      <c r="Z321" s="24"/>
      <c r="AG321" s="24"/>
      <c r="AM321" s="14"/>
      <c r="AU321" s="24"/>
      <c r="AV321" s="11"/>
      <c r="AW321" s="11"/>
      <c r="AX321" s="11"/>
      <c r="AY321" s="11"/>
      <c r="BK321" s="24"/>
      <c r="BO321" s="14"/>
      <c r="BP321" s="14"/>
    </row>
    <row r="322" spans="1:68">
      <c r="A322" s="24"/>
      <c r="B322" s="24"/>
      <c r="K322" s="14"/>
      <c r="L322" s="71"/>
      <c r="M322" s="66"/>
      <c r="N322" s="66"/>
      <c r="O322" s="66"/>
      <c r="P322" s="66"/>
      <c r="Q322" s="66"/>
      <c r="R322" s="72"/>
      <c r="S322" s="24"/>
      <c r="Y322" s="14"/>
      <c r="Z322" s="24"/>
      <c r="AG322" s="24"/>
      <c r="AM322" s="14"/>
      <c r="AU322" s="24"/>
      <c r="AV322" s="11"/>
      <c r="AW322" s="11"/>
      <c r="BK322" s="24"/>
      <c r="BO322" s="14"/>
      <c r="BP322" s="14"/>
    </row>
    <row r="323" spans="1:68">
      <c r="A323" s="24"/>
      <c r="B323" s="24"/>
      <c r="K323" s="14"/>
      <c r="L323" s="71"/>
      <c r="M323" s="66"/>
      <c r="N323" s="66"/>
      <c r="O323" s="66"/>
      <c r="P323" s="66"/>
      <c r="Q323" s="66"/>
      <c r="R323" s="72"/>
      <c r="S323" s="24"/>
      <c r="Y323" s="14"/>
      <c r="Z323" s="24"/>
      <c r="AG323" s="24"/>
      <c r="AM323" s="14"/>
      <c r="AU323" s="24"/>
      <c r="AV323" s="11"/>
      <c r="AW323" s="11"/>
      <c r="BK323" s="24"/>
      <c r="BO323" s="14"/>
      <c r="BP323" s="14"/>
    </row>
    <row r="324" spans="1:68">
      <c r="A324" s="24"/>
      <c r="B324" s="24"/>
      <c r="K324" s="14"/>
      <c r="L324" s="71"/>
      <c r="M324" s="66"/>
      <c r="N324" s="66"/>
      <c r="O324" s="66"/>
      <c r="P324" s="66"/>
      <c r="Q324" s="66"/>
      <c r="R324" s="72"/>
      <c r="S324" s="24"/>
      <c r="Y324" s="14"/>
      <c r="Z324" s="24"/>
      <c r="AG324" s="24"/>
      <c r="AM324" s="14"/>
      <c r="AU324" s="24"/>
      <c r="AV324" s="11"/>
      <c r="AW324" s="11"/>
      <c r="AY324" s="11"/>
      <c r="BK324" s="24"/>
      <c r="BO324" s="14"/>
      <c r="BP324" s="14"/>
    </row>
    <row r="325" spans="1:68">
      <c r="A325" s="24"/>
      <c r="B325" s="24"/>
      <c r="K325" s="14"/>
      <c r="L325" s="71"/>
      <c r="M325" s="66"/>
      <c r="N325" s="66"/>
      <c r="O325" s="66"/>
      <c r="P325" s="66"/>
      <c r="Q325" s="66"/>
      <c r="R325" s="72"/>
      <c r="S325" s="24"/>
      <c r="Y325" s="14"/>
      <c r="Z325" s="24"/>
      <c r="AG325" s="24"/>
      <c r="AM325" s="14"/>
      <c r="AU325" s="24"/>
      <c r="AV325" s="11"/>
      <c r="AW325" s="11"/>
      <c r="AX325" s="11"/>
      <c r="AY325" s="11"/>
      <c r="BK325" s="24"/>
      <c r="BO325" s="14"/>
      <c r="BP325" s="14"/>
    </row>
    <row r="326" spans="1:68">
      <c r="A326" s="42"/>
      <c r="B326" s="41"/>
      <c r="C326" s="10"/>
      <c r="D326" s="10"/>
      <c r="E326" s="10"/>
      <c r="F326" s="10"/>
      <c r="G326" s="10"/>
      <c r="H326" s="10"/>
      <c r="I326" s="10"/>
      <c r="J326" s="10"/>
      <c r="K326" s="15"/>
      <c r="L326" s="81"/>
      <c r="M326" s="67"/>
      <c r="N326" s="67"/>
      <c r="O326" s="67"/>
      <c r="P326" s="67"/>
      <c r="Q326" s="67"/>
      <c r="R326" s="108"/>
      <c r="S326" s="41"/>
      <c r="T326" s="10"/>
      <c r="U326" s="10"/>
      <c r="V326" s="10"/>
      <c r="W326" s="10"/>
      <c r="X326" s="10"/>
      <c r="Y326" s="15"/>
      <c r="Z326" s="41"/>
      <c r="AA326" s="10"/>
      <c r="AB326" s="10"/>
      <c r="AC326" s="10"/>
      <c r="AD326" s="10"/>
      <c r="AE326" s="10"/>
      <c r="AF326" s="10"/>
      <c r="AG326" s="41"/>
      <c r="AH326" s="10"/>
      <c r="AI326" s="10"/>
      <c r="AJ326" s="10"/>
      <c r="AK326" s="10"/>
      <c r="AL326" s="10"/>
      <c r="AM326" s="15"/>
      <c r="AN326" s="10"/>
      <c r="AO326" s="10"/>
      <c r="AP326" s="10"/>
      <c r="AQ326" s="10"/>
      <c r="AR326" s="10"/>
      <c r="AS326" s="10"/>
      <c r="AT326" s="10"/>
      <c r="AU326" s="41"/>
      <c r="AV326" s="60"/>
      <c r="AW326" s="10"/>
      <c r="AX326" s="32"/>
      <c r="AY326" s="32"/>
      <c r="AZ326" s="10"/>
      <c r="BA326" s="10"/>
      <c r="BB326" s="10"/>
      <c r="BC326" s="10"/>
      <c r="BD326" s="10"/>
      <c r="BE326" s="10"/>
      <c r="BF326" s="10"/>
      <c r="BG326" s="10"/>
      <c r="BH326" s="10"/>
      <c r="BI326" s="10"/>
      <c r="BJ326" s="10"/>
      <c r="BK326" s="41"/>
      <c r="BL326" s="10"/>
      <c r="BM326" s="10"/>
      <c r="BN326" s="10"/>
      <c r="BO326" s="15"/>
      <c r="BP326" s="42"/>
    </row>
    <row r="327" spans="1:68">
      <c r="A327" s="24"/>
      <c r="L327" s="66"/>
      <c r="M327" s="66"/>
      <c r="N327" s="66"/>
      <c r="O327" s="66"/>
      <c r="P327" s="66"/>
      <c r="Q327" s="66"/>
      <c r="R327" s="66"/>
      <c r="AV327" s="11"/>
      <c r="AX327" s="11"/>
      <c r="AY327" s="11"/>
      <c r="BP327" s="14"/>
    </row>
    <row r="328" spans="1:68">
      <c r="A328" s="41"/>
      <c r="B328" s="10"/>
      <c r="C328" s="10"/>
      <c r="D328" s="10"/>
      <c r="E328" s="10"/>
      <c r="F328" s="10"/>
      <c r="G328" s="10"/>
      <c r="H328" s="10"/>
      <c r="I328" s="10"/>
      <c r="J328" s="10"/>
      <c r="K328" s="10"/>
      <c r="L328" s="67"/>
      <c r="M328" s="67"/>
      <c r="N328" s="67"/>
      <c r="O328" s="67"/>
      <c r="P328" s="67"/>
      <c r="Q328" s="67"/>
      <c r="R328" s="67"/>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5"/>
    </row>
  </sheetData>
  <mergeCells count="26">
    <mergeCell ref="A1:E1"/>
    <mergeCell ref="F1:AB1"/>
    <mergeCell ref="AC1:AP1"/>
    <mergeCell ref="AQ1:AW1"/>
    <mergeCell ref="AX1:BC1"/>
    <mergeCell ref="B8:K9"/>
    <mergeCell ref="L8:Y8"/>
    <mergeCell ref="Z8:AM8"/>
    <mergeCell ref="AN8:AT8"/>
    <mergeCell ref="AU8:BJ9"/>
    <mergeCell ref="AX2:BC2"/>
    <mergeCell ref="AQ3:AR3"/>
    <mergeCell ref="AS3:AW3"/>
    <mergeCell ref="AX3:BC3"/>
    <mergeCell ref="A4:AB4"/>
    <mergeCell ref="A2:E3"/>
    <mergeCell ref="F2:AB3"/>
    <mergeCell ref="AC2:AP3"/>
    <mergeCell ref="AQ2:AR2"/>
    <mergeCell ref="AS2:AW2"/>
    <mergeCell ref="BK8:BO9"/>
    <mergeCell ref="L9:R9"/>
    <mergeCell ref="S9:Y9"/>
    <mergeCell ref="Z9:AF9"/>
    <mergeCell ref="AG9:AM9"/>
    <mergeCell ref="AN9:AT9"/>
  </mergeCells>
  <phoneticPr fontId="3"/>
  <pageMargins left="0.7" right="0.7" top="0.75" bottom="0.75" header="0.3" footer="0.3"/>
  <pageSetup paperSize="9" scale="69" fitToHeight="0" orientation="portrait"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2194-36C4-4E21-937F-4F96EB3E6C62}">
  <sheetPr codeName="Sheet6"/>
  <dimension ref="A1:BZ527"/>
  <sheetViews>
    <sheetView showGridLines="0" tabSelected="1" zoomScale="85" zoomScaleNormal="85" workbookViewId="0">
      <pane ySplit="9" topLeftCell="A94" activePane="bottomLeft" state="frozen"/>
      <selection pane="bottomLeft" activeCell="AJ2" sqref="AJ2:AK2"/>
      <selection activeCell="X112" sqref="X112"/>
    </sheetView>
  </sheetViews>
  <sheetFormatPr defaultColWidth="2.375" defaultRowHeight="13.5"/>
  <cols>
    <col min="1" max="8" width="2.375" style="8"/>
    <col min="9" max="13" width="2.375" style="8" customWidth="1"/>
    <col min="14" max="18" width="2.375" style="8" bestFit="1" customWidth="1"/>
    <col min="19" max="20" width="2.375" style="8" customWidth="1"/>
    <col min="21" max="67" width="2.375" style="8"/>
    <col min="68" max="68" width="2.375" style="8" customWidth="1"/>
    <col min="69" max="16384" width="2.375" style="8"/>
  </cols>
  <sheetData>
    <row r="1" spans="1:76" ht="14.1" customHeight="1" thickBot="1">
      <c r="A1" s="141" t="s">
        <v>9</v>
      </c>
      <c r="B1" s="141"/>
      <c r="C1" s="141"/>
      <c r="D1" s="141"/>
      <c r="E1" s="141"/>
      <c r="F1" s="142" t="str">
        <f>変更履歴!F1</f>
        <v>会計システム刷新プロジェクト（LIBRA）</v>
      </c>
      <c r="G1" s="142"/>
      <c r="H1" s="142"/>
      <c r="I1" s="142"/>
      <c r="J1" s="142"/>
      <c r="K1" s="142"/>
      <c r="L1" s="142"/>
      <c r="M1" s="142"/>
      <c r="N1" s="142"/>
      <c r="O1" s="142"/>
      <c r="P1" s="142"/>
      <c r="Q1" s="142"/>
      <c r="R1" s="142"/>
      <c r="S1" s="142"/>
      <c r="T1" s="142"/>
      <c r="U1" s="142"/>
      <c r="V1" s="141" t="s">
        <v>64</v>
      </c>
      <c r="W1" s="141"/>
      <c r="X1" s="141"/>
      <c r="Y1" s="141"/>
      <c r="Z1" s="141"/>
      <c r="AA1" s="141"/>
      <c r="AB1" s="141"/>
      <c r="AC1" s="141"/>
      <c r="AD1" s="141"/>
      <c r="AE1" s="141"/>
      <c r="AF1" s="141"/>
      <c r="AG1" s="141"/>
      <c r="AH1" s="141"/>
      <c r="AI1" s="141"/>
      <c r="AJ1" s="128" t="s">
        <v>11</v>
      </c>
      <c r="AK1" s="129"/>
      <c r="AL1" s="129"/>
      <c r="AM1" s="129"/>
      <c r="AN1" s="129"/>
      <c r="AO1" s="129"/>
      <c r="AP1" s="130"/>
      <c r="AQ1" s="128" t="s">
        <v>12</v>
      </c>
      <c r="AR1" s="129"/>
      <c r="AS1" s="129"/>
      <c r="AT1" s="129"/>
      <c r="AU1" s="129"/>
      <c r="AV1" s="130"/>
      <c r="BJ1" s="57"/>
    </row>
    <row r="2" spans="1:76" ht="14.1" customHeight="1" thickBot="1">
      <c r="A2" s="131" t="s">
        <v>13</v>
      </c>
      <c r="B2" s="131"/>
      <c r="C2" s="131"/>
      <c r="D2" s="131"/>
      <c r="E2" s="131"/>
      <c r="F2" s="150" t="str">
        <f>変更履歴!F2</f>
        <v>ToBe業務フロー（5.固定資産_リース）</v>
      </c>
      <c r="G2" s="150"/>
      <c r="H2" s="150"/>
      <c r="I2" s="150"/>
      <c r="J2" s="150"/>
      <c r="K2" s="150"/>
      <c r="L2" s="150"/>
      <c r="M2" s="150"/>
      <c r="N2" s="150"/>
      <c r="O2" s="150"/>
      <c r="P2" s="150"/>
      <c r="Q2" s="150"/>
      <c r="R2" s="150"/>
      <c r="S2" s="150"/>
      <c r="T2" s="150"/>
      <c r="U2" s="150"/>
      <c r="V2" s="150" t="e">
        <f ca="1">MID(CELL("filename",$A$1),FIND("]",CELL("filename",$A$1))+1,31)</f>
        <v>#VALUE!</v>
      </c>
      <c r="W2" s="150"/>
      <c r="X2" s="150"/>
      <c r="Y2" s="150"/>
      <c r="Z2" s="150"/>
      <c r="AA2" s="150"/>
      <c r="AB2" s="150"/>
      <c r="AC2" s="150"/>
      <c r="AD2" s="150"/>
      <c r="AE2" s="150"/>
      <c r="AF2" s="150"/>
      <c r="AG2" s="150"/>
      <c r="AH2" s="150"/>
      <c r="AI2" s="151"/>
      <c r="AJ2" s="153" t="s">
        <v>14</v>
      </c>
      <c r="AK2" s="154"/>
      <c r="AL2" s="155">
        <f>変更履歴!AT2</f>
        <v>45362</v>
      </c>
      <c r="AM2" s="156"/>
      <c r="AN2" s="156"/>
      <c r="AO2" s="156"/>
      <c r="AP2" s="157"/>
      <c r="AQ2" s="158" t="str">
        <f>変更履歴!BA2</f>
        <v>JBS大河原</v>
      </c>
      <c r="AR2" s="159"/>
      <c r="AS2" s="159"/>
      <c r="AT2" s="159"/>
      <c r="AU2" s="159"/>
      <c r="AV2" s="160"/>
      <c r="BG2" s="57"/>
    </row>
    <row r="3" spans="1:76" ht="14.1" customHeight="1" thickBot="1">
      <c r="A3" s="131"/>
      <c r="B3" s="131"/>
      <c r="C3" s="131"/>
      <c r="D3" s="131"/>
      <c r="E3" s="131"/>
      <c r="F3" s="150"/>
      <c r="G3" s="150"/>
      <c r="H3" s="150"/>
      <c r="I3" s="150"/>
      <c r="J3" s="150"/>
      <c r="K3" s="150"/>
      <c r="L3" s="150"/>
      <c r="M3" s="150"/>
      <c r="N3" s="150"/>
      <c r="O3" s="150"/>
      <c r="P3" s="150"/>
      <c r="Q3" s="150"/>
      <c r="R3" s="150"/>
      <c r="S3" s="150"/>
      <c r="T3" s="150"/>
      <c r="U3" s="150"/>
      <c r="V3" s="142"/>
      <c r="W3" s="142"/>
      <c r="X3" s="142"/>
      <c r="Y3" s="142"/>
      <c r="Z3" s="142"/>
      <c r="AA3" s="142"/>
      <c r="AB3" s="142"/>
      <c r="AC3" s="142"/>
      <c r="AD3" s="142"/>
      <c r="AE3" s="142"/>
      <c r="AF3" s="142"/>
      <c r="AG3" s="142"/>
      <c r="AH3" s="142"/>
      <c r="AI3" s="152"/>
      <c r="AJ3" s="161" t="s">
        <v>15</v>
      </c>
      <c r="AK3" s="162"/>
      <c r="AL3" s="163">
        <f ca="1">変更履歴!AT3</f>
        <v>45939</v>
      </c>
      <c r="AM3" s="164"/>
      <c r="AN3" s="164"/>
      <c r="AO3" s="164"/>
      <c r="AP3" s="165"/>
      <c r="AQ3" s="166" t="str">
        <f ca="1">変更履歴!BA3</f>
        <v>JBS中村</v>
      </c>
      <c r="AR3" s="167"/>
      <c r="AS3" s="167"/>
      <c r="AT3" s="167"/>
      <c r="AU3" s="167"/>
      <c r="AV3" s="168"/>
    </row>
    <row r="4" spans="1:76" ht="14.45">
      <c r="A4" s="140"/>
      <c r="B4" s="293"/>
      <c r="C4" s="293"/>
      <c r="D4" s="293"/>
      <c r="E4" s="293"/>
      <c r="F4" s="293"/>
      <c r="G4" s="293"/>
      <c r="H4" s="293"/>
      <c r="I4" s="293"/>
      <c r="J4" s="293"/>
      <c r="K4" s="293"/>
      <c r="L4" s="293"/>
      <c r="M4" s="293"/>
      <c r="N4" s="293"/>
      <c r="O4" s="293"/>
      <c r="P4" s="293"/>
      <c r="Q4" s="293"/>
      <c r="R4" s="293"/>
      <c r="S4" s="293"/>
      <c r="T4" s="293"/>
      <c r="U4" s="293"/>
      <c r="V4" s="293"/>
      <c r="W4" s="293"/>
      <c r="X4" s="293"/>
      <c r="Y4" s="293"/>
      <c r="Z4" s="293"/>
      <c r="AA4" s="293"/>
      <c r="AB4" s="293"/>
    </row>
    <row r="5" spans="1:76" ht="14.45">
      <c r="A5" s="41"/>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row>
    <row r="6" spans="1:76" s="11" customFormat="1" ht="14.45">
      <c r="A6" s="35" t="e">
        <f ca="1">RIGHT(CELL("filename",A1),LEN(CELL("filename",A1))-FIND("]",CELL("filename",A1)))</f>
        <v>#VALUE!</v>
      </c>
      <c r="B6" s="43"/>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36"/>
    </row>
    <row r="7" spans="1:76" s="11" customFormat="1" ht="14.45">
      <c r="A7" s="25"/>
      <c r="B7" s="12"/>
      <c r="C7" s="12"/>
      <c r="D7" s="12"/>
      <c r="E7" s="12"/>
      <c r="F7" s="12"/>
      <c r="G7" s="12"/>
      <c r="H7" s="12"/>
      <c r="I7" s="12"/>
      <c r="J7" s="12"/>
      <c r="K7" s="12"/>
      <c r="BW7" s="13"/>
    </row>
    <row r="8" spans="1:76" s="11" customFormat="1" ht="18" customHeight="1">
      <c r="A8" s="25"/>
      <c r="B8" s="143" t="s">
        <v>550</v>
      </c>
      <c r="C8" s="143"/>
      <c r="D8" s="143"/>
      <c r="E8" s="143"/>
      <c r="F8" s="143"/>
      <c r="G8" s="143"/>
      <c r="H8" s="143"/>
      <c r="I8" s="143"/>
      <c r="J8" s="143"/>
      <c r="K8" s="143"/>
      <c r="L8" s="144" t="s">
        <v>614</v>
      </c>
      <c r="M8" s="145"/>
      <c r="N8" s="145"/>
      <c r="O8" s="145"/>
      <c r="P8" s="145"/>
      <c r="Q8" s="145"/>
      <c r="R8" s="145"/>
      <c r="S8" s="145"/>
      <c r="T8" s="145"/>
      <c r="U8" s="145"/>
      <c r="V8" s="145"/>
      <c r="W8" s="145"/>
      <c r="X8" s="145"/>
      <c r="Y8" s="146"/>
      <c r="Z8" s="144" t="s">
        <v>615</v>
      </c>
      <c r="AA8" s="145"/>
      <c r="AB8" s="145"/>
      <c r="AC8" s="145"/>
      <c r="AD8" s="145"/>
      <c r="AE8" s="145"/>
      <c r="AF8" s="145"/>
      <c r="AG8" s="145"/>
      <c r="AH8" s="145"/>
      <c r="AI8" s="145"/>
      <c r="AJ8" s="145"/>
      <c r="AK8" s="145"/>
      <c r="AL8" s="145"/>
      <c r="AM8" s="146"/>
      <c r="AN8" s="144" t="s">
        <v>720</v>
      </c>
      <c r="AO8" s="145"/>
      <c r="AP8" s="145"/>
      <c r="AQ8" s="145"/>
      <c r="AR8" s="145"/>
      <c r="AS8" s="145"/>
      <c r="AT8" s="146"/>
      <c r="AU8" s="137" t="s">
        <v>76</v>
      </c>
      <c r="AV8" s="138"/>
      <c r="AW8" s="138"/>
      <c r="AX8" s="138"/>
      <c r="AY8" s="138"/>
      <c r="AZ8" s="138"/>
      <c r="BA8" s="139"/>
      <c r="BB8" s="133" t="s">
        <v>94</v>
      </c>
      <c r="BC8" s="133"/>
      <c r="BD8" s="133"/>
      <c r="BE8" s="133"/>
      <c r="BF8" s="133"/>
      <c r="BG8" s="133"/>
      <c r="BH8" s="133"/>
      <c r="BI8" s="133"/>
      <c r="BJ8" s="133"/>
      <c r="BK8" s="133"/>
      <c r="BL8" s="133"/>
      <c r="BM8" s="133"/>
      <c r="BN8" s="133"/>
      <c r="BO8" s="133"/>
      <c r="BP8" s="133"/>
      <c r="BQ8" s="133"/>
      <c r="BR8" s="132" t="s">
        <v>96</v>
      </c>
      <c r="BS8" s="133"/>
      <c r="BT8" s="133"/>
      <c r="BU8" s="133"/>
      <c r="BV8" s="133"/>
      <c r="BW8" s="13"/>
    </row>
    <row r="9" spans="1:76" s="11" customFormat="1" ht="13.5" customHeight="1">
      <c r="A9" s="25"/>
      <c r="B9" s="143"/>
      <c r="C9" s="143"/>
      <c r="D9" s="143"/>
      <c r="E9" s="143"/>
      <c r="F9" s="143"/>
      <c r="G9" s="143"/>
      <c r="H9" s="143"/>
      <c r="I9" s="143"/>
      <c r="J9" s="143"/>
      <c r="K9" s="143"/>
      <c r="L9" s="134" t="s">
        <v>82</v>
      </c>
      <c r="M9" s="135"/>
      <c r="N9" s="135"/>
      <c r="O9" s="135"/>
      <c r="P9" s="135"/>
      <c r="Q9" s="135"/>
      <c r="R9" s="135"/>
      <c r="S9" s="134" t="s">
        <v>83</v>
      </c>
      <c r="T9" s="135"/>
      <c r="U9" s="135"/>
      <c r="V9" s="135"/>
      <c r="W9" s="135"/>
      <c r="X9" s="135"/>
      <c r="Y9" s="136"/>
      <c r="Z9" s="134" t="s">
        <v>82</v>
      </c>
      <c r="AA9" s="135"/>
      <c r="AB9" s="135"/>
      <c r="AC9" s="135"/>
      <c r="AD9" s="135"/>
      <c r="AE9" s="135"/>
      <c r="AF9" s="135"/>
      <c r="AG9" s="134" t="s">
        <v>83</v>
      </c>
      <c r="AH9" s="135"/>
      <c r="AI9" s="135"/>
      <c r="AJ9" s="135"/>
      <c r="AK9" s="135"/>
      <c r="AL9" s="135"/>
      <c r="AM9" s="136"/>
      <c r="AN9" s="147"/>
      <c r="AO9" s="148"/>
      <c r="AP9" s="148"/>
      <c r="AQ9" s="148"/>
      <c r="AR9" s="148"/>
      <c r="AS9" s="148"/>
      <c r="AT9" s="149"/>
      <c r="AU9" s="137" t="s">
        <v>91</v>
      </c>
      <c r="AV9" s="138"/>
      <c r="AW9" s="138"/>
      <c r="AX9" s="138"/>
      <c r="AY9" s="138"/>
      <c r="AZ9" s="138"/>
      <c r="BA9" s="139"/>
      <c r="BB9" s="133"/>
      <c r="BC9" s="133"/>
      <c r="BD9" s="133"/>
      <c r="BE9" s="133"/>
      <c r="BF9" s="133"/>
      <c r="BG9" s="133"/>
      <c r="BH9" s="133"/>
      <c r="BI9" s="133"/>
      <c r="BJ9" s="133"/>
      <c r="BK9" s="133"/>
      <c r="BL9" s="133"/>
      <c r="BM9" s="133"/>
      <c r="BN9" s="133"/>
      <c r="BO9" s="133"/>
      <c r="BP9" s="133"/>
      <c r="BQ9" s="133"/>
      <c r="BR9" s="133"/>
      <c r="BS9" s="133"/>
      <c r="BT9" s="133"/>
      <c r="BU9" s="133"/>
      <c r="BV9" s="133"/>
      <c r="BW9" s="13"/>
      <c r="BX9" s="45"/>
    </row>
    <row r="10" spans="1:76" s="11" customFormat="1">
      <c r="A10" s="25"/>
      <c r="B10" s="26" t="s">
        <v>554</v>
      </c>
      <c r="C10" s="31"/>
      <c r="D10" s="31"/>
      <c r="E10" s="31"/>
      <c r="F10" s="23"/>
      <c r="G10" s="23"/>
      <c r="H10" s="23"/>
      <c r="I10" s="23"/>
      <c r="J10" s="23"/>
      <c r="K10" s="23"/>
      <c r="L10" s="44"/>
      <c r="M10" s="44"/>
      <c r="N10" s="44"/>
      <c r="O10" s="44"/>
      <c r="P10" s="44"/>
      <c r="Q10" s="44"/>
      <c r="R10" s="44"/>
      <c r="S10" s="44"/>
      <c r="T10" s="44"/>
      <c r="U10" s="44"/>
      <c r="V10" s="44"/>
      <c r="W10" s="44"/>
      <c r="X10" s="44"/>
      <c r="Y10" s="44"/>
      <c r="Z10" s="23"/>
      <c r="AA10" s="23"/>
      <c r="AB10" s="23"/>
      <c r="AC10" s="23"/>
      <c r="AD10" s="23"/>
      <c r="AE10" s="23"/>
      <c r="AF10" s="23"/>
      <c r="AG10" s="30"/>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13"/>
    </row>
    <row r="11" spans="1:76" s="11" customFormat="1" ht="14.45">
      <c r="A11" s="25"/>
      <c r="B11" s="27"/>
      <c r="C11" s="21"/>
      <c r="D11" s="21"/>
      <c r="E11" s="21"/>
      <c r="F11" s="21"/>
      <c r="G11" s="21"/>
      <c r="H11" s="21"/>
      <c r="I11" s="21"/>
      <c r="J11" s="21"/>
      <c r="K11" s="20"/>
      <c r="L11" s="40"/>
      <c r="M11" s="38"/>
      <c r="N11" s="38"/>
      <c r="O11" s="38"/>
      <c r="P11" s="38"/>
      <c r="Q11" s="38"/>
      <c r="R11" s="39"/>
      <c r="S11" s="40"/>
      <c r="T11" s="38"/>
      <c r="U11" s="38"/>
      <c r="V11" s="38"/>
      <c r="W11" s="38"/>
      <c r="X11" s="38"/>
      <c r="Y11" s="39"/>
      <c r="Z11" s="27"/>
      <c r="AA11" s="21"/>
      <c r="AB11" s="21"/>
      <c r="AC11" s="21"/>
      <c r="AD11" s="21"/>
      <c r="AE11" s="21"/>
      <c r="AF11" s="21"/>
      <c r="AG11" s="27"/>
      <c r="AH11" s="21"/>
      <c r="AI11" s="21"/>
      <c r="AJ11" s="21"/>
      <c r="AK11" s="21"/>
      <c r="AL11" s="21"/>
      <c r="AM11" s="21"/>
      <c r="AN11" s="27"/>
      <c r="AO11" s="21"/>
      <c r="AP11" s="21"/>
      <c r="AQ11" s="21"/>
      <c r="AR11" s="21"/>
      <c r="AS11" s="21"/>
      <c r="AT11" s="20"/>
      <c r="AU11" s="21"/>
      <c r="AV11" s="21"/>
      <c r="AW11" s="21"/>
      <c r="AX11" s="21"/>
      <c r="AY11" s="21"/>
      <c r="AZ11" s="21"/>
      <c r="BA11" s="21"/>
      <c r="BB11" s="27"/>
      <c r="BC11" s="21"/>
      <c r="BD11" s="21"/>
      <c r="BE11" s="21"/>
      <c r="BF11" s="21"/>
      <c r="BG11" s="21"/>
      <c r="BH11" s="21"/>
      <c r="BI11" s="21"/>
      <c r="BJ11" s="21"/>
      <c r="BK11" s="21"/>
      <c r="BL11" s="21"/>
      <c r="BM11" s="21"/>
      <c r="BN11" s="21"/>
      <c r="BO11" s="21"/>
      <c r="BP11" s="21"/>
      <c r="BQ11" s="21"/>
      <c r="BR11" s="27"/>
      <c r="BS11" s="21"/>
      <c r="BT11" s="21"/>
      <c r="BU11" s="21"/>
      <c r="BV11" s="20"/>
      <c r="BW11" s="13"/>
    </row>
    <row r="12" spans="1:76" s="11" customFormat="1">
      <c r="A12" s="25"/>
      <c r="B12" s="27"/>
      <c r="C12" s="21"/>
      <c r="D12" s="21"/>
      <c r="E12" s="21"/>
      <c r="F12" s="21"/>
      <c r="G12" s="21"/>
      <c r="H12" s="21"/>
      <c r="I12" s="21"/>
      <c r="J12" s="21"/>
      <c r="K12" s="20"/>
      <c r="L12" s="27"/>
      <c r="M12" s="21"/>
      <c r="N12" s="21"/>
      <c r="O12" s="21"/>
      <c r="P12" s="21"/>
      <c r="Q12" s="21"/>
      <c r="R12" s="20"/>
      <c r="S12" s="27"/>
      <c r="T12" s="21"/>
      <c r="U12" s="21"/>
      <c r="V12" s="21"/>
      <c r="W12" s="21"/>
      <c r="X12" s="21"/>
      <c r="Y12" s="20"/>
      <c r="Z12" s="27"/>
      <c r="AA12" s="21"/>
      <c r="AB12" s="21"/>
      <c r="AC12" s="21"/>
      <c r="AD12" s="21"/>
      <c r="AE12" s="21"/>
      <c r="AF12" s="21"/>
      <c r="AG12" s="27"/>
      <c r="AH12" s="21"/>
      <c r="AI12" s="21"/>
      <c r="AJ12" s="21"/>
      <c r="AK12" s="21"/>
      <c r="AL12" s="21"/>
      <c r="AM12" s="21"/>
      <c r="AN12" s="27"/>
      <c r="AO12" s="21"/>
      <c r="AP12" s="21"/>
      <c r="AQ12" s="21"/>
      <c r="AR12" s="21"/>
      <c r="AS12" s="21"/>
      <c r="AT12" s="20"/>
      <c r="AU12" s="21"/>
      <c r="AV12" s="21"/>
      <c r="AW12" s="21"/>
      <c r="AX12" s="21"/>
      <c r="AY12" s="21"/>
      <c r="AZ12" s="21"/>
      <c r="BA12" s="21"/>
      <c r="BB12" s="27"/>
      <c r="BC12" s="51" t="s">
        <v>556</v>
      </c>
      <c r="BD12" s="21"/>
      <c r="BE12" s="21"/>
      <c r="BF12" s="21"/>
      <c r="BG12" s="21"/>
      <c r="BH12" s="21"/>
      <c r="BI12" s="21"/>
      <c r="BJ12" s="21"/>
      <c r="BK12" s="21"/>
      <c r="BL12" s="21"/>
      <c r="BM12" s="21"/>
      <c r="BN12" s="21"/>
      <c r="BO12" s="21"/>
      <c r="BP12" s="21"/>
      <c r="BQ12" s="21"/>
      <c r="BR12" s="27"/>
      <c r="BS12" s="21"/>
      <c r="BT12" s="21"/>
      <c r="BU12" s="21"/>
      <c r="BV12" s="20"/>
      <c r="BW12" s="13"/>
    </row>
    <row r="13" spans="1:76" s="11" customFormat="1" ht="14.45">
      <c r="A13" s="25"/>
      <c r="B13" s="27"/>
      <c r="C13" s="21"/>
      <c r="D13" s="21"/>
      <c r="E13" s="21"/>
      <c r="F13" s="21"/>
      <c r="G13" s="21"/>
      <c r="H13" s="21"/>
      <c r="I13" s="21"/>
      <c r="J13" s="21"/>
      <c r="K13" s="20"/>
      <c r="L13" s="27"/>
      <c r="M13" s="21"/>
      <c r="N13" s="21"/>
      <c r="O13" s="21"/>
      <c r="P13" s="21"/>
      <c r="Q13" s="21"/>
      <c r="R13" s="20"/>
      <c r="S13" s="27"/>
      <c r="T13" s="21"/>
      <c r="U13" s="21"/>
      <c r="V13" s="21"/>
      <c r="W13" s="21"/>
      <c r="X13" s="21"/>
      <c r="Y13" s="20"/>
      <c r="Z13" s="27"/>
      <c r="AA13" s="21"/>
      <c r="AB13" s="21"/>
      <c r="AC13" s="21"/>
      <c r="AD13" s="21"/>
      <c r="AE13" s="21"/>
      <c r="AF13" s="21"/>
      <c r="AG13" s="27"/>
      <c r="AH13" s="21"/>
      <c r="AI13" s="21"/>
      <c r="AJ13" s="21"/>
      <c r="AK13" s="21"/>
      <c r="AL13" s="21"/>
      <c r="AM13" s="21"/>
      <c r="AN13" s="27"/>
      <c r="AO13" s="21"/>
      <c r="AP13" s="21"/>
      <c r="AQ13" s="21"/>
      <c r="AR13" s="21"/>
      <c r="AS13" s="21"/>
      <c r="AT13" s="20"/>
      <c r="AU13" s="21"/>
      <c r="AV13" s="21"/>
      <c r="AW13" s="21"/>
      <c r="AX13" s="21"/>
      <c r="AY13" s="21"/>
      <c r="AZ13" s="21"/>
      <c r="BA13" s="21"/>
      <c r="BB13" s="27"/>
      <c r="BC13" s="21"/>
      <c r="BD13" s="21"/>
      <c r="BE13" s="21"/>
      <c r="BF13" s="21"/>
      <c r="BG13" s="21"/>
      <c r="BH13" s="21"/>
      <c r="BI13" s="21"/>
      <c r="BJ13" s="21"/>
      <c r="BK13" s="21"/>
      <c r="BL13" s="21"/>
      <c r="BM13" s="21"/>
      <c r="BN13" s="21"/>
      <c r="BO13" s="21"/>
      <c r="BP13" s="21"/>
      <c r="BQ13" s="21"/>
      <c r="BR13" s="27"/>
      <c r="BS13" s="21"/>
      <c r="BT13" s="21"/>
      <c r="BU13" s="21"/>
      <c r="BV13" s="20"/>
      <c r="BW13" s="13"/>
    </row>
    <row r="14" spans="1:76">
      <c r="A14" s="24"/>
      <c r="B14" s="24"/>
      <c r="K14" s="14"/>
      <c r="L14" s="24"/>
      <c r="R14" s="14"/>
      <c r="S14" s="24"/>
      <c r="Y14" s="14"/>
      <c r="Z14" s="24"/>
      <c r="AG14" s="24"/>
      <c r="AN14" s="24"/>
      <c r="AT14" s="14"/>
      <c r="BB14" s="24"/>
      <c r="BC14" s="11" t="s">
        <v>555</v>
      </c>
      <c r="BR14" s="24"/>
      <c r="BV14" s="14"/>
      <c r="BW14" s="14"/>
    </row>
    <row r="15" spans="1:76">
      <c r="A15" s="24"/>
      <c r="B15" s="24"/>
      <c r="K15" s="14"/>
      <c r="L15" s="24"/>
      <c r="R15" s="14"/>
      <c r="S15" s="24"/>
      <c r="Y15" s="14"/>
      <c r="Z15" s="24"/>
      <c r="AG15" s="24"/>
      <c r="AN15" s="24"/>
      <c r="AT15" s="14"/>
      <c r="BB15" s="24"/>
      <c r="BC15" s="11" t="s">
        <v>557</v>
      </c>
      <c r="BR15" s="24"/>
      <c r="BV15" s="14"/>
      <c r="BW15" s="14"/>
    </row>
    <row r="16" spans="1:76">
      <c r="A16" s="24"/>
      <c r="B16" s="24"/>
      <c r="K16" s="14"/>
      <c r="L16" s="24"/>
      <c r="R16" s="14"/>
      <c r="S16" s="24"/>
      <c r="Y16" s="14"/>
      <c r="Z16" s="24"/>
      <c r="AG16" s="24"/>
      <c r="AN16" s="24"/>
      <c r="AT16" s="14"/>
      <c r="BB16" s="24"/>
      <c r="BC16" s="11" t="s">
        <v>558</v>
      </c>
      <c r="BR16" s="24"/>
      <c r="BV16" s="14"/>
      <c r="BW16" s="14"/>
    </row>
    <row r="17" spans="1:75" ht="14.45">
      <c r="A17" s="24"/>
      <c r="B17" s="24"/>
      <c r="K17" s="14"/>
      <c r="L17" s="24"/>
      <c r="R17" s="14"/>
      <c r="S17" s="24"/>
      <c r="Y17" s="14"/>
      <c r="Z17" s="24"/>
      <c r="AG17" s="24"/>
      <c r="AN17" s="24"/>
      <c r="AT17" s="14"/>
      <c r="BB17" s="24"/>
      <c r="BC17" s="11"/>
      <c r="BR17" s="24"/>
      <c r="BV17" s="14"/>
      <c r="BW17" s="14"/>
    </row>
    <row r="18" spans="1:75">
      <c r="A18" s="24"/>
      <c r="B18" s="24"/>
      <c r="K18" s="14"/>
      <c r="L18" s="24"/>
      <c r="R18" s="14"/>
      <c r="S18" s="24"/>
      <c r="Y18" s="14"/>
      <c r="Z18" s="24"/>
      <c r="AG18" s="24"/>
      <c r="AN18" s="24"/>
      <c r="AT18" s="14"/>
      <c r="BB18" s="24"/>
      <c r="BC18" s="51" t="s">
        <v>721</v>
      </c>
      <c r="BD18" s="21"/>
      <c r="BR18" s="24"/>
      <c r="BV18" s="14"/>
      <c r="BW18" s="14"/>
    </row>
    <row r="19" spans="1:75" ht="14.45">
      <c r="A19" s="24"/>
      <c r="B19" s="24"/>
      <c r="K19" s="14"/>
      <c r="L19" s="24"/>
      <c r="R19" s="14"/>
      <c r="S19" s="24"/>
      <c r="Y19" s="14"/>
      <c r="Z19" s="24"/>
      <c r="AG19" s="24"/>
      <c r="AN19" s="24"/>
      <c r="AT19" s="14"/>
      <c r="BB19" s="24"/>
      <c r="BC19" s="11"/>
      <c r="BR19" s="24"/>
      <c r="BV19" s="14"/>
      <c r="BW19" s="14"/>
    </row>
    <row r="20" spans="1:75" ht="14.45">
      <c r="A20" s="24"/>
      <c r="B20" s="24"/>
      <c r="K20" s="14"/>
      <c r="L20" s="24"/>
      <c r="R20" s="14"/>
      <c r="S20" s="24"/>
      <c r="Y20" s="14"/>
      <c r="Z20" s="24"/>
      <c r="AG20" s="24"/>
      <c r="AN20" s="24"/>
      <c r="AT20" s="14"/>
      <c r="BB20" s="24"/>
      <c r="BR20" s="24"/>
      <c r="BV20" s="14"/>
      <c r="BW20" s="14"/>
    </row>
    <row r="21" spans="1:75" ht="14.45">
      <c r="A21" s="24"/>
      <c r="B21" s="24"/>
      <c r="K21" s="14"/>
      <c r="L21" s="24"/>
      <c r="R21" s="14"/>
      <c r="S21" s="24"/>
      <c r="Y21" s="14"/>
      <c r="Z21" s="24"/>
      <c r="AG21" s="24"/>
      <c r="AN21" s="24"/>
      <c r="AT21" s="14"/>
      <c r="BB21" s="24"/>
      <c r="BR21" s="24"/>
      <c r="BV21" s="14"/>
      <c r="BW21" s="14"/>
    </row>
    <row r="22" spans="1:75">
      <c r="A22" s="24"/>
      <c r="B22" s="24"/>
      <c r="K22" s="14"/>
      <c r="L22" s="24"/>
      <c r="R22" s="14"/>
      <c r="S22" s="24"/>
      <c r="Y22" s="14"/>
      <c r="Z22" s="24"/>
      <c r="AG22" s="24"/>
      <c r="AN22" s="24"/>
      <c r="AT22" s="14"/>
      <c r="BB22" s="24"/>
      <c r="BC22" s="16" t="s">
        <v>559</v>
      </c>
      <c r="BR22" s="24"/>
      <c r="BV22" s="14"/>
      <c r="BW22" s="14"/>
    </row>
    <row r="23" spans="1:75">
      <c r="A23" s="24"/>
      <c r="B23" s="24"/>
      <c r="K23" s="14"/>
      <c r="L23" s="24"/>
      <c r="R23" s="14"/>
      <c r="S23" s="24"/>
      <c r="Y23" s="14"/>
      <c r="Z23" s="24"/>
      <c r="AG23" s="24"/>
      <c r="AN23" s="24"/>
      <c r="AT23" s="14"/>
      <c r="BB23" s="24"/>
      <c r="BD23" s="8" t="s">
        <v>560</v>
      </c>
      <c r="BR23" s="24"/>
      <c r="BV23" s="14"/>
      <c r="BW23" s="14"/>
    </row>
    <row r="24" spans="1:75" ht="14.45">
      <c r="A24" s="24"/>
      <c r="B24" s="24"/>
      <c r="K24" s="14"/>
      <c r="L24" s="24"/>
      <c r="R24" s="14"/>
      <c r="S24" s="24"/>
      <c r="Y24" s="14"/>
      <c r="Z24" s="24"/>
      <c r="AG24" s="24"/>
      <c r="AN24" s="24"/>
      <c r="AT24" s="14"/>
      <c r="BB24" s="24"/>
      <c r="BR24" s="46"/>
      <c r="BV24" s="14"/>
      <c r="BW24" s="14"/>
    </row>
    <row r="25" spans="1:75" ht="14.45">
      <c r="A25" s="24"/>
      <c r="B25" s="24"/>
      <c r="K25" s="14"/>
      <c r="L25" s="24"/>
      <c r="R25" s="14"/>
      <c r="S25" s="24"/>
      <c r="Y25" s="14"/>
      <c r="Z25" s="24"/>
      <c r="AG25" s="24"/>
      <c r="AN25" s="24"/>
      <c r="AT25" s="14"/>
      <c r="BB25" s="24"/>
      <c r="BD25" s="47"/>
      <c r="BR25" s="24"/>
      <c r="BV25" s="14"/>
      <c r="BW25" s="14"/>
    </row>
    <row r="26" spans="1:75" ht="14.45">
      <c r="A26" s="24"/>
      <c r="B26" s="24"/>
      <c r="K26" s="14"/>
      <c r="L26" s="24"/>
      <c r="R26" s="14"/>
      <c r="S26" s="24"/>
      <c r="Y26" s="14"/>
      <c r="Z26" s="24"/>
      <c r="AG26" s="24"/>
      <c r="AN26" s="24"/>
      <c r="AT26" s="14"/>
      <c r="BB26" s="24"/>
      <c r="BR26" s="24"/>
      <c r="BV26" s="14"/>
      <c r="BW26" s="14"/>
    </row>
    <row r="27" spans="1:75">
      <c r="A27" s="24"/>
      <c r="B27" s="24"/>
      <c r="K27" s="14"/>
      <c r="L27" s="24"/>
      <c r="R27" s="14"/>
      <c r="S27" s="24"/>
      <c r="Y27" s="14"/>
      <c r="Z27" s="24"/>
      <c r="AG27" s="24"/>
      <c r="AN27" s="24"/>
      <c r="AT27" s="14"/>
      <c r="BB27" s="24"/>
      <c r="BC27" s="16" t="s">
        <v>561</v>
      </c>
      <c r="BR27" s="24"/>
      <c r="BV27" s="14"/>
      <c r="BW27" s="14"/>
    </row>
    <row r="28" spans="1:75">
      <c r="A28" s="24"/>
      <c r="B28" s="24"/>
      <c r="K28" s="14"/>
      <c r="L28" s="24"/>
      <c r="R28" s="14"/>
      <c r="S28" s="24"/>
      <c r="Y28" s="14"/>
      <c r="Z28" s="24"/>
      <c r="AG28" s="24"/>
      <c r="AN28" s="24"/>
      <c r="AT28" s="14"/>
      <c r="BB28" s="24"/>
      <c r="BD28" s="8" t="s">
        <v>562</v>
      </c>
      <c r="BR28" s="24"/>
      <c r="BV28" s="14"/>
      <c r="BW28" s="14"/>
    </row>
    <row r="29" spans="1:75" ht="14.45">
      <c r="A29" s="24"/>
      <c r="B29" s="24"/>
      <c r="K29" s="14"/>
      <c r="L29" s="24"/>
      <c r="R29" s="14"/>
      <c r="S29" s="24"/>
      <c r="Y29" s="14"/>
      <c r="Z29" s="24"/>
      <c r="AG29" s="24"/>
      <c r="AN29" s="24"/>
      <c r="AT29" s="14"/>
      <c r="BB29" s="24"/>
      <c r="BD29" s="47"/>
      <c r="BR29" s="24"/>
      <c r="BV29" s="14"/>
      <c r="BW29" s="14"/>
    </row>
    <row r="30" spans="1:75" ht="14.45">
      <c r="A30" s="24"/>
      <c r="B30" s="24"/>
      <c r="K30" s="14"/>
      <c r="L30" s="24"/>
      <c r="R30" s="14"/>
      <c r="S30" s="24"/>
      <c r="Y30" s="14"/>
      <c r="Z30" s="24"/>
      <c r="AG30" s="24"/>
      <c r="AN30" s="24"/>
      <c r="AT30" s="14"/>
      <c r="BB30" s="24"/>
      <c r="BD30" s="47"/>
      <c r="BR30" s="24"/>
      <c r="BV30" s="14"/>
      <c r="BW30" s="14"/>
    </row>
    <row r="31" spans="1:75" ht="14.45">
      <c r="A31" s="24"/>
      <c r="B31" s="24"/>
      <c r="K31" s="14"/>
      <c r="L31" s="24"/>
      <c r="R31" s="14"/>
      <c r="S31" s="24"/>
      <c r="Y31" s="14"/>
      <c r="Z31" s="24"/>
      <c r="AG31" s="24"/>
      <c r="AN31" s="24"/>
      <c r="AT31" s="14"/>
      <c r="BB31" s="24"/>
      <c r="BD31" s="47"/>
      <c r="BR31" s="24"/>
      <c r="BV31" s="14"/>
      <c r="BW31" s="14"/>
    </row>
    <row r="32" spans="1:75" ht="14.45">
      <c r="A32" s="24"/>
      <c r="B32" s="24"/>
      <c r="K32" s="14"/>
      <c r="L32" s="24"/>
      <c r="R32" s="14"/>
      <c r="S32" s="24"/>
      <c r="Y32" s="14"/>
      <c r="AG32" s="24"/>
      <c r="AN32" s="24"/>
      <c r="AT32" s="14"/>
      <c r="BB32" s="24"/>
      <c r="BR32" s="24"/>
      <c r="BV32" s="14"/>
      <c r="BW32" s="14"/>
    </row>
    <row r="33" spans="1:78" ht="14.45">
      <c r="A33" s="24"/>
      <c r="B33" s="24"/>
      <c r="K33" s="14"/>
      <c r="L33" s="24"/>
      <c r="R33" s="14"/>
      <c r="S33" s="24"/>
      <c r="Y33" s="14"/>
      <c r="AG33" s="24"/>
      <c r="AN33" s="24"/>
      <c r="AT33" s="14"/>
      <c r="BB33" s="24"/>
      <c r="BR33" s="24"/>
      <c r="BV33" s="14"/>
      <c r="BW33" s="14"/>
    </row>
    <row r="34" spans="1:78">
      <c r="A34" s="24"/>
      <c r="B34" s="24"/>
      <c r="K34" s="14"/>
      <c r="L34" s="24"/>
      <c r="R34" s="14"/>
      <c r="S34" s="24"/>
      <c r="Y34" s="14"/>
      <c r="AG34" s="24"/>
      <c r="AN34" s="24"/>
      <c r="AT34" s="14"/>
      <c r="BB34" s="24"/>
      <c r="BC34" s="16" t="s">
        <v>563</v>
      </c>
      <c r="BR34" s="24"/>
      <c r="BV34" s="14"/>
      <c r="BW34" s="14"/>
    </row>
    <row r="35" spans="1:78">
      <c r="A35" s="24"/>
      <c r="B35" s="24"/>
      <c r="K35" s="14"/>
      <c r="L35" s="24"/>
      <c r="R35" s="14"/>
      <c r="S35" s="24"/>
      <c r="Y35" s="14"/>
      <c r="AG35" s="24"/>
      <c r="AN35" s="24"/>
      <c r="AT35" s="14"/>
      <c r="BB35" s="24"/>
      <c r="BD35" s="17" t="s">
        <v>564</v>
      </c>
      <c r="BR35" s="24"/>
      <c r="BV35" s="14"/>
      <c r="BW35" s="14"/>
    </row>
    <row r="36" spans="1:78" ht="14.45">
      <c r="A36" s="24"/>
      <c r="B36" s="24"/>
      <c r="K36" s="14"/>
      <c r="L36" s="24"/>
      <c r="R36" s="14"/>
      <c r="S36" s="24"/>
      <c r="Y36" s="14"/>
      <c r="AG36" s="24"/>
      <c r="AN36" s="24"/>
      <c r="AT36" s="14"/>
      <c r="BB36" s="24"/>
      <c r="BD36" s="49"/>
      <c r="BM36" s="45"/>
      <c r="BR36" s="24"/>
      <c r="BV36" s="14"/>
      <c r="BW36" s="14"/>
      <c r="BZ36" s="49"/>
    </row>
    <row r="37" spans="1:78" ht="14.45">
      <c r="A37" s="24"/>
      <c r="B37" s="24"/>
      <c r="K37" s="14"/>
      <c r="L37" s="24"/>
      <c r="R37" s="14"/>
      <c r="S37" s="24"/>
      <c r="Y37" s="14"/>
      <c r="Z37" s="24"/>
      <c r="AG37" s="24"/>
      <c r="AN37" s="24"/>
      <c r="AT37" s="14"/>
      <c r="BB37" s="24"/>
      <c r="BD37" s="49"/>
      <c r="BE37" s="49"/>
      <c r="BR37" s="24"/>
      <c r="BV37" s="14"/>
      <c r="BW37" s="14"/>
    </row>
    <row r="38" spans="1:78" ht="14.45">
      <c r="A38" s="24"/>
      <c r="B38" s="24"/>
      <c r="K38" s="14"/>
      <c r="L38" s="24"/>
      <c r="R38" s="14"/>
      <c r="S38" s="24"/>
      <c r="Y38" s="14"/>
      <c r="AG38" s="24"/>
      <c r="AN38" s="24"/>
      <c r="AT38" s="14"/>
      <c r="BB38" s="24"/>
      <c r="BE38" s="49"/>
      <c r="BR38" s="46"/>
      <c r="BV38" s="14"/>
      <c r="BW38" s="14"/>
    </row>
    <row r="39" spans="1:78" ht="14.45">
      <c r="A39" s="24"/>
      <c r="B39" s="24"/>
      <c r="L39" s="24"/>
      <c r="R39" s="14"/>
      <c r="S39" s="24"/>
      <c r="Y39" s="14"/>
      <c r="Z39" s="24"/>
      <c r="AG39" s="24"/>
      <c r="AN39" s="24"/>
      <c r="AT39" s="14"/>
      <c r="BB39" s="24"/>
      <c r="BR39" s="24"/>
      <c r="BV39" s="14"/>
      <c r="BW39" s="14"/>
    </row>
    <row r="40" spans="1:78">
      <c r="A40" s="24"/>
      <c r="B40" s="24"/>
      <c r="L40" s="24"/>
      <c r="R40" s="14"/>
      <c r="S40" s="24"/>
      <c r="Y40" s="14"/>
      <c r="Z40" s="24"/>
      <c r="AG40" s="24"/>
      <c r="AN40" s="24"/>
      <c r="AT40" s="14"/>
      <c r="BB40" s="24"/>
      <c r="BC40" s="16" t="s">
        <v>616</v>
      </c>
      <c r="BR40" s="24"/>
      <c r="BV40" s="14"/>
      <c r="BW40" s="14"/>
    </row>
    <row r="41" spans="1:78">
      <c r="A41" s="24"/>
      <c r="B41" s="24"/>
      <c r="L41" s="24"/>
      <c r="R41" s="14"/>
      <c r="S41" s="24"/>
      <c r="Y41" s="14"/>
      <c r="Z41" s="24"/>
      <c r="AG41" s="24"/>
      <c r="AN41" s="24"/>
      <c r="AT41" s="14"/>
      <c r="BB41" s="24"/>
      <c r="BD41" s="8" t="s">
        <v>617</v>
      </c>
      <c r="BR41" s="24"/>
      <c r="BV41" s="14"/>
      <c r="BW41" s="14"/>
    </row>
    <row r="42" spans="1:78" ht="14.45">
      <c r="A42" s="24"/>
      <c r="B42" s="24"/>
      <c r="L42" s="24"/>
      <c r="R42" s="14"/>
      <c r="S42" s="24"/>
      <c r="Y42" s="14"/>
      <c r="Z42" s="24"/>
      <c r="AG42" s="24"/>
      <c r="AN42" s="24"/>
      <c r="AT42" s="14"/>
      <c r="BB42" s="24"/>
      <c r="BR42" s="24"/>
      <c r="BV42" s="14"/>
      <c r="BW42" s="14"/>
    </row>
    <row r="43" spans="1:78" ht="14.45">
      <c r="A43" s="24"/>
      <c r="B43" s="24"/>
      <c r="L43" s="24"/>
      <c r="R43" s="14"/>
      <c r="S43" s="24"/>
      <c r="Y43" s="14"/>
      <c r="Z43" s="24"/>
      <c r="AG43" s="24"/>
      <c r="AN43" s="24"/>
      <c r="AT43" s="14"/>
      <c r="BB43" s="24"/>
      <c r="BR43" s="24"/>
      <c r="BV43" s="14"/>
      <c r="BW43" s="14"/>
    </row>
    <row r="44" spans="1:78" ht="14.45">
      <c r="A44" s="24"/>
      <c r="B44" s="24"/>
      <c r="L44" s="24"/>
      <c r="R44" s="14"/>
      <c r="S44" s="24"/>
      <c r="Y44" s="14"/>
      <c r="Z44" s="24"/>
      <c r="AG44" s="24"/>
      <c r="AN44" s="24"/>
      <c r="AT44" s="14"/>
      <c r="BB44" s="24"/>
      <c r="BR44" s="24"/>
      <c r="BV44" s="14"/>
      <c r="BW44" s="14"/>
    </row>
    <row r="45" spans="1:78" ht="14.45">
      <c r="A45" s="24"/>
      <c r="B45" s="24"/>
      <c r="L45" s="24"/>
      <c r="R45" s="14"/>
      <c r="S45" s="24"/>
      <c r="Y45" s="14"/>
      <c r="Z45" s="24"/>
      <c r="AG45" s="24"/>
      <c r="AN45" s="24"/>
      <c r="AT45" s="14"/>
      <c r="BB45" s="24"/>
      <c r="BR45" s="24"/>
      <c r="BV45" s="14"/>
      <c r="BW45" s="14"/>
    </row>
    <row r="46" spans="1:78">
      <c r="A46" s="24"/>
      <c r="B46" s="24"/>
      <c r="L46" s="24"/>
      <c r="R46" s="14"/>
      <c r="S46" s="24"/>
      <c r="Y46" s="14"/>
      <c r="Z46" s="24"/>
      <c r="AG46" s="24"/>
      <c r="AN46" s="24"/>
      <c r="AT46" s="14"/>
      <c r="BB46" s="24"/>
      <c r="BC46" s="8" t="s">
        <v>618</v>
      </c>
      <c r="BR46" s="24"/>
      <c r="BV46" s="14"/>
      <c r="BW46" s="14"/>
    </row>
    <row r="47" spans="1:78">
      <c r="A47" s="24"/>
      <c r="B47" s="24"/>
      <c r="L47" s="24"/>
      <c r="R47" s="14"/>
      <c r="S47" s="24"/>
      <c r="Y47" s="14"/>
      <c r="Z47" s="24"/>
      <c r="AG47" s="24"/>
      <c r="AN47" s="24"/>
      <c r="AT47" s="14"/>
      <c r="BB47" s="24"/>
      <c r="BC47" s="8" t="s">
        <v>619</v>
      </c>
      <c r="BR47" s="24"/>
      <c r="BV47" s="14"/>
      <c r="BW47" s="14"/>
    </row>
    <row r="48" spans="1:78" ht="14.45">
      <c r="A48" s="24"/>
      <c r="B48" s="24"/>
      <c r="L48" s="24"/>
      <c r="R48" s="14"/>
      <c r="S48" s="24"/>
      <c r="Y48" s="14"/>
      <c r="Z48" s="24"/>
      <c r="AG48" s="24"/>
      <c r="AN48" s="24"/>
      <c r="AT48" s="14"/>
      <c r="BB48" s="24"/>
      <c r="BR48" s="24"/>
      <c r="BV48" s="14"/>
      <c r="BW48" s="14"/>
    </row>
    <row r="49" spans="1:75" ht="14.45">
      <c r="A49" s="24"/>
      <c r="B49" s="24"/>
      <c r="L49" s="24"/>
      <c r="R49" s="14"/>
      <c r="S49" s="24"/>
      <c r="Y49" s="14"/>
      <c r="Z49" s="24"/>
      <c r="AG49" s="24"/>
      <c r="AN49" s="24"/>
      <c r="AT49" s="14"/>
      <c r="BB49" s="24"/>
      <c r="BR49" s="24"/>
      <c r="BV49" s="14"/>
      <c r="BW49" s="14"/>
    </row>
    <row r="50" spans="1:75" ht="14.45">
      <c r="A50" s="24"/>
      <c r="B50" s="24"/>
      <c r="L50" s="24"/>
      <c r="R50" s="14"/>
      <c r="S50" s="24"/>
      <c r="Y50" s="14"/>
      <c r="Z50" s="24"/>
      <c r="AG50" s="24"/>
      <c r="AN50" s="24"/>
      <c r="AT50" s="14"/>
      <c r="BB50" s="24"/>
      <c r="BR50" s="24"/>
      <c r="BV50" s="14"/>
      <c r="BW50" s="14"/>
    </row>
    <row r="51" spans="1:75" ht="14.45">
      <c r="A51" s="24"/>
      <c r="B51" s="24"/>
      <c r="L51" s="24"/>
      <c r="R51" s="14"/>
      <c r="S51" s="24"/>
      <c r="Y51" s="14"/>
      <c r="Z51" s="24"/>
      <c r="AG51" s="24"/>
      <c r="AN51" s="24"/>
      <c r="AT51" s="14"/>
      <c r="BB51" s="24"/>
      <c r="BR51" s="24"/>
      <c r="BV51" s="14"/>
      <c r="BW51" s="14"/>
    </row>
    <row r="52" spans="1:75" ht="14.45">
      <c r="A52" s="24"/>
      <c r="B52" s="24"/>
      <c r="L52" s="24"/>
      <c r="R52" s="14"/>
      <c r="S52" s="24"/>
      <c r="Y52" s="14"/>
      <c r="Z52" s="24"/>
      <c r="AG52" s="24"/>
      <c r="AN52" s="24"/>
      <c r="AT52" s="14"/>
      <c r="BB52" s="24"/>
      <c r="BR52" s="24"/>
      <c r="BV52" s="14"/>
      <c r="BW52" s="14"/>
    </row>
    <row r="53" spans="1:75">
      <c r="A53" s="24"/>
      <c r="B53" s="24"/>
      <c r="L53" s="24"/>
      <c r="R53" s="14"/>
      <c r="S53" s="24"/>
      <c r="Y53" s="14"/>
      <c r="Z53" s="24"/>
      <c r="AG53" s="24"/>
      <c r="AN53" s="24"/>
      <c r="AT53" s="14"/>
      <c r="BB53" s="24"/>
      <c r="BC53" s="16" t="s">
        <v>620</v>
      </c>
      <c r="BR53" s="24"/>
      <c r="BV53" s="14"/>
      <c r="BW53" s="14"/>
    </row>
    <row r="54" spans="1:75">
      <c r="A54" s="24"/>
      <c r="B54" s="24"/>
      <c r="L54" s="24"/>
      <c r="R54" s="14"/>
      <c r="S54" s="24"/>
      <c r="Y54" s="14"/>
      <c r="Z54" s="24"/>
      <c r="AG54" s="24"/>
      <c r="AN54" s="24"/>
      <c r="AT54" s="14"/>
      <c r="BB54" s="24"/>
      <c r="BD54" s="8" t="s">
        <v>621</v>
      </c>
      <c r="BR54" s="24"/>
      <c r="BV54" s="14"/>
      <c r="BW54" s="14"/>
    </row>
    <row r="55" spans="1:75">
      <c r="A55" s="24"/>
      <c r="B55" s="24"/>
      <c r="L55" s="24"/>
      <c r="R55" s="14"/>
      <c r="S55" s="24"/>
      <c r="Y55" s="14"/>
      <c r="Z55" s="24"/>
      <c r="AG55" s="24"/>
      <c r="AN55" s="24"/>
      <c r="AT55" s="14"/>
      <c r="BB55" s="24"/>
      <c r="BD55" s="8" t="s">
        <v>622</v>
      </c>
      <c r="BR55" s="24"/>
      <c r="BV55" s="14"/>
      <c r="BW55" s="14"/>
    </row>
    <row r="56" spans="1:75" ht="14.45">
      <c r="A56" s="24"/>
      <c r="B56" s="24"/>
      <c r="L56" s="24"/>
      <c r="R56" s="14"/>
      <c r="S56" s="24"/>
      <c r="Y56" s="14"/>
      <c r="Z56" s="24"/>
      <c r="AG56" s="24"/>
      <c r="AN56" s="24"/>
      <c r="AT56" s="14"/>
      <c r="BB56" s="24"/>
      <c r="BR56" s="24"/>
      <c r="BV56" s="14"/>
      <c r="BW56" s="14"/>
    </row>
    <row r="57" spans="1:75" ht="14.45">
      <c r="A57" s="24"/>
      <c r="B57" s="24"/>
      <c r="L57" s="24"/>
      <c r="R57" s="14"/>
      <c r="S57" s="24"/>
      <c r="Y57" s="14"/>
      <c r="Z57" s="24"/>
      <c r="AG57" s="24"/>
      <c r="AN57" s="24"/>
      <c r="AT57" s="14"/>
      <c r="BB57" s="24"/>
      <c r="BR57" s="24"/>
      <c r="BV57" s="14"/>
      <c r="BW57" s="14"/>
    </row>
    <row r="58" spans="1:75" ht="14.45">
      <c r="A58" s="24"/>
      <c r="B58" s="24"/>
      <c r="L58" s="24"/>
      <c r="R58" s="14"/>
      <c r="S58" s="24"/>
      <c r="Y58" s="14"/>
      <c r="Z58" s="24"/>
      <c r="AG58" s="24"/>
      <c r="AN58" s="24"/>
      <c r="AT58" s="14"/>
      <c r="BB58" s="24"/>
      <c r="BR58" s="24"/>
      <c r="BV58" s="14"/>
      <c r="BW58" s="14"/>
    </row>
    <row r="59" spans="1:75" ht="14.45">
      <c r="A59" s="24"/>
      <c r="B59" s="24"/>
      <c r="L59" s="24"/>
      <c r="R59" s="14"/>
      <c r="S59" s="24"/>
      <c r="Y59" s="14"/>
      <c r="Z59" s="24"/>
      <c r="AG59" s="24"/>
      <c r="AN59" s="24"/>
      <c r="AT59" s="14"/>
      <c r="BB59" s="24"/>
      <c r="BR59" s="24"/>
      <c r="BV59" s="14"/>
      <c r="BW59" s="14"/>
    </row>
    <row r="60" spans="1:75" ht="14.45">
      <c r="A60" s="24"/>
      <c r="B60" s="24"/>
      <c r="L60" s="24"/>
      <c r="R60" s="14"/>
      <c r="S60" s="24"/>
      <c r="Y60" s="14"/>
      <c r="Z60" s="24"/>
      <c r="AG60" s="24"/>
      <c r="AN60" s="24"/>
      <c r="AT60" s="14"/>
      <c r="BB60" s="24"/>
      <c r="BR60" s="24"/>
      <c r="BV60" s="14"/>
      <c r="BW60" s="14"/>
    </row>
    <row r="61" spans="1:75" ht="14.45">
      <c r="A61" s="24"/>
      <c r="B61" s="24"/>
      <c r="L61" s="24"/>
      <c r="R61" s="14"/>
      <c r="S61" s="24"/>
      <c r="Y61" s="14"/>
      <c r="Z61" s="24"/>
      <c r="AG61" s="24"/>
      <c r="AN61" s="24"/>
      <c r="AT61" s="14"/>
      <c r="BB61" s="24"/>
      <c r="BR61" s="24"/>
      <c r="BV61" s="14"/>
      <c r="BW61" s="14"/>
    </row>
    <row r="62" spans="1:75">
      <c r="A62" s="24"/>
      <c r="B62" s="24"/>
      <c r="L62" s="24"/>
      <c r="R62" s="14"/>
      <c r="S62" s="24"/>
      <c r="Y62" s="14"/>
      <c r="Z62" s="24"/>
      <c r="AG62" s="24"/>
      <c r="AN62" s="24"/>
      <c r="AT62" s="14"/>
      <c r="BB62" s="24"/>
      <c r="BC62" s="16" t="s">
        <v>722</v>
      </c>
      <c r="BR62" s="24"/>
      <c r="BV62" s="14"/>
      <c r="BW62" s="14"/>
    </row>
    <row r="63" spans="1:75">
      <c r="A63" s="24"/>
      <c r="B63" s="24"/>
      <c r="L63" s="24"/>
      <c r="R63" s="14"/>
      <c r="S63" s="24"/>
      <c r="Y63" s="14"/>
      <c r="Z63" s="24"/>
      <c r="AG63" s="24"/>
      <c r="AN63" s="24"/>
      <c r="AT63" s="14"/>
      <c r="BB63" s="24"/>
      <c r="BD63" s="8" t="s">
        <v>723</v>
      </c>
      <c r="BR63" s="24"/>
      <c r="BV63" s="14"/>
      <c r="BW63" s="14"/>
    </row>
    <row r="64" spans="1:75">
      <c r="A64" s="24"/>
      <c r="B64" s="24"/>
      <c r="L64" s="24"/>
      <c r="R64" s="14"/>
      <c r="S64" s="24"/>
      <c r="Y64" s="14"/>
      <c r="Z64" s="24"/>
      <c r="AG64" s="24"/>
      <c r="AN64" s="24"/>
      <c r="AT64" s="14"/>
      <c r="BB64" s="24"/>
      <c r="BC64" s="45"/>
      <c r="BD64" s="8" t="s">
        <v>724</v>
      </c>
      <c r="BR64" s="24"/>
      <c r="BV64" s="14"/>
      <c r="BW64" s="14"/>
    </row>
    <row r="65" spans="1:75">
      <c r="A65" s="24"/>
      <c r="B65" s="24"/>
      <c r="L65" s="24"/>
      <c r="R65" s="14"/>
      <c r="S65" s="24"/>
      <c r="Y65" s="14"/>
      <c r="Z65" s="24"/>
      <c r="AG65" s="24"/>
      <c r="AN65" s="24"/>
      <c r="AT65" s="14"/>
      <c r="BB65" s="24"/>
      <c r="BC65" s="45"/>
      <c r="BD65" s="8" t="s">
        <v>725</v>
      </c>
      <c r="BR65" s="24"/>
      <c r="BV65" s="14"/>
      <c r="BW65" s="14"/>
    </row>
    <row r="66" spans="1:75">
      <c r="A66" s="24"/>
      <c r="B66" s="24"/>
      <c r="L66" s="24"/>
      <c r="R66" s="14"/>
      <c r="S66" s="24"/>
      <c r="Y66" s="14"/>
      <c r="Z66" s="24"/>
      <c r="AG66" s="24"/>
      <c r="AN66" s="24"/>
      <c r="AT66" s="14"/>
      <c r="BB66" s="24"/>
      <c r="BC66" s="45"/>
      <c r="BD66" s="8" t="s">
        <v>726</v>
      </c>
      <c r="BR66" s="24"/>
      <c r="BV66" s="14"/>
      <c r="BW66" s="14"/>
    </row>
    <row r="67" spans="1:75">
      <c r="A67" s="24"/>
      <c r="B67" s="24"/>
      <c r="L67" s="24"/>
      <c r="R67" s="14"/>
      <c r="S67" s="24"/>
      <c r="Y67" s="14"/>
      <c r="Z67" s="24"/>
      <c r="AG67" s="24"/>
      <c r="AN67" s="24"/>
      <c r="AT67" s="14"/>
      <c r="BB67" s="24"/>
      <c r="BC67" s="45"/>
      <c r="BD67" s="8" t="s">
        <v>727</v>
      </c>
      <c r="BR67" s="24"/>
      <c r="BV67" s="14"/>
      <c r="BW67" s="14"/>
    </row>
    <row r="68" spans="1:75">
      <c r="A68" s="24"/>
      <c r="B68" s="24"/>
      <c r="L68" s="24"/>
      <c r="R68" s="14"/>
      <c r="S68" s="24"/>
      <c r="Y68" s="14"/>
      <c r="Z68" s="24"/>
      <c r="AG68" s="24"/>
      <c r="AN68" s="24"/>
      <c r="AT68" s="14"/>
      <c r="BB68" s="24"/>
      <c r="BC68" s="45"/>
      <c r="BD68" s="8" t="s">
        <v>728</v>
      </c>
      <c r="BR68" s="24"/>
      <c r="BV68" s="14"/>
      <c r="BW68" s="14"/>
    </row>
    <row r="69" spans="1:75">
      <c r="A69" s="24"/>
      <c r="B69" s="24"/>
      <c r="L69" s="24"/>
      <c r="R69" s="14"/>
      <c r="S69" s="24"/>
      <c r="Y69" s="14"/>
      <c r="Z69" s="24"/>
      <c r="AG69" s="24"/>
      <c r="AN69" s="24"/>
      <c r="AT69" s="14"/>
      <c r="BB69" s="24"/>
      <c r="BD69" s="8" t="s">
        <v>729</v>
      </c>
      <c r="BR69" s="24"/>
      <c r="BV69" s="14"/>
      <c r="BW69" s="14"/>
    </row>
    <row r="70" spans="1:75" ht="14.45">
      <c r="A70" s="24"/>
      <c r="B70" s="24"/>
      <c r="L70" s="24"/>
      <c r="R70" s="14"/>
      <c r="S70" s="24"/>
      <c r="Y70" s="14"/>
      <c r="Z70" s="24"/>
      <c r="AG70" s="24"/>
      <c r="AN70" s="24"/>
      <c r="AT70" s="14"/>
      <c r="BB70" s="24"/>
      <c r="BR70" s="24"/>
      <c r="BV70" s="14"/>
      <c r="BW70" s="14"/>
    </row>
    <row r="71" spans="1:75">
      <c r="A71" s="24"/>
      <c r="B71" s="24"/>
      <c r="L71" s="24"/>
      <c r="R71" s="14"/>
      <c r="S71" s="24"/>
      <c r="Y71" s="14"/>
      <c r="Z71" s="24"/>
      <c r="AG71" s="24"/>
      <c r="AN71" s="24"/>
      <c r="AT71" s="14"/>
      <c r="BB71" s="24"/>
      <c r="BC71" s="16" t="s">
        <v>730</v>
      </c>
      <c r="BR71" s="24"/>
      <c r="BV71" s="14"/>
      <c r="BW71" s="14"/>
    </row>
    <row r="72" spans="1:75">
      <c r="A72" s="24"/>
      <c r="B72" s="24"/>
      <c r="L72" s="24"/>
      <c r="R72" s="14"/>
      <c r="S72" s="24"/>
      <c r="Y72" s="14"/>
      <c r="Z72" s="24"/>
      <c r="AG72" s="24"/>
      <c r="AN72" s="24"/>
      <c r="AT72" s="14"/>
      <c r="BB72" s="24"/>
      <c r="BD72" s="8" t="s">
        <v>624</v>
      </c>
      <c r="BR72" s="24"/>
      <c r="BV72" s="14"/>
      <c r="BW72" s="14"/>
    </row>
    <row r="73" spans="1:75">
      <c r="A73" s="24"/>
      <c r="B73" s="24"/>
      <c r="L73" s="24"/>
      <c r="R73" s="14"/>
      <c r="S73" s="24"/>
      <c r="Y73" s="14"/>
      <c r="Z73" s="24"/>
      <c r="AG73" s="24"/>
      <c r="AN73" s="24"/>
      <c r="AT73" s="14"/>
      <c r="BB73" s="24"/>
      <c r="BD73" s="8" t="s">
        <v>625</v>
      </c>
      <c r="BR73" s="24"/>
      <c r="BV73" s="14"/>
      <c r="BW73" s="14"/>
    </row>
    <row r="74" spans="1:75" ht="14.45">
      <c r="A74" s="24"/>
      <c r="B74" s="24"/>
      <c r="L74" s="24"/>
      <c r="R74" s="14"/>
      <c r="S74" s="24"/>
      <c r="Y74" s="14"/>
      <c r="Z74" s="24"/>
      <c r="AG74" s="24"/>
      <c r="AN74" s="24"/>
      <c r="AT74" s="14"/>
      <c r="BB74" s="24"/>
      <c r="BR74" s="24"/>
      <c r="BV74" s="14"/>
      <c r="BW74" s="14"/>
    </row>
    <row r="75" spans="1:75" ht="14.45">
      <c r="A75" s="24"/>
      <c r="B75" s="24"/>
      <c r="L75" s="24"/>
      <c r="R75" s="14"/>
      <c r="S75" s="24"/>
      <c r="Y75" s="14"/>
      <c r="Z75" s="24"/>
      <c r="AG75" s="24"/>
      <c r="AN75" s="24"/>
      <c r="AT75" s="14"/>
      <c r="BB75" s="24"/>
      <c r="BR75" s="24"/>
      <c r="BV75" s="14"/>
      <c r="BW75" s="14"/>
    </row>
    <row r="76" spans="1:75" ht="14.45">
      <c r="A76" s="24"/>
      <c r="B76" s="24"/>
      <c r="L76" s="24"/>
      <c r="R76" s="14"/>
      <c r="S76" s="24"/>
      <c r="Y76" s="14"/>
      <c r="Z76" s="24"/>
      <c r="AG76" s="24"/>
      <c r="AN76" s="24"/>
      <c r="AT76" s="14"/>
      <c r="BB76" s="24"/>
      <c r="BR76" s="24"/>
      <c r="BV76" s="14"/>
      <c r="BW76" s="14"/>
    </row>
    <row r="77" spans="1:75" ht="14.45">
      <c r="A77" s="24"/>
      <c r="B77" s="24"/>
      <c r="L77" s="24"/>
      <c r="R77" s="14"/>
      <c r="S77" s="24"/>
      <c r="Y77" s="14"/>
      <c r="Z77" s="24"/>
      <c r="AG77" s="24"/>
      <c r="AN77" s="24"/>
      <c r="AT77" s="14"/>
      <c r="BB77" s="24"/>
      <c r="BR77" s="24"/>
      <c r="BV77" s="14"/>
      <c r="BW77" s="14"/>
    </row>
    <row r="78" spans="1:75">
      <c r="A78" s="24"/>
      <c r="B78" s="24"/>
      <c r="L78" s="24"/>
      <c r="R78" s="14"/>
      <c r="S78" s="24"/>
      <c r="Y78" s="14"/>
      <c r="Z78" s="24"/>
      <c r="AG78" s="24"/>
      <c r="AN78" s="24"/>
      <c r="AT78" s="14"/>
      <c r="BB78" s="24"/>
      <c r="BC78" s="16" t="s">
        <v>731</v>
      </c>
      <c r="BR78" s="24"/>
      <c r="BV78" s="14"/>
      <c r="BW78" s="14"/>
    </row>
    <row r="79" spans="1:75">
      <c r="A79" s="24"/>
      <c r="B79" s="24"/>
      <c r="L79" s="24"/>
      <c r="R79" s="14"/>
      <c r="S79" s="24"/>
      <c r="Y79" s="14"/>
      <c r="Z79" s="24"/>
      <c r="AG79" s="24"/>
      <c r="AN79" s="24"/>
      <c r="AT79" s="14"/>
      <c r="BB79" s="24"/>
      <c r="BD79" s="8" t="s">
        <v>627</v>
      </c>
      <c r="BR79" s="24"/>
      <c r="BV79" s="14"/>
      <c r="BW79" s="14"/>
    </row>
    <row r="80" spans="1:75">
      <c r="A80" s="24"/>
      <c r="B80" s="24"/>
      <c r="L80" s="24"/>
      <c r="R80" s="14"/>
      <c r="S80" s="24"/>
      <c r="Y80" s="14"/>
      <c r="Z80" s="24"/>
      <c r="AG80" s="24"/>
      <c r="AN80" s="24"/>
      <c r="AT80" s="14"/>
      <c r="BB80" s="24"/>
      <c r="BD80" s="8" t="s">
        <v>118</v>
      </c>
      <c r="BE80" s="8" t="s">
        <v>628</v>
      </c>
      <c r="BR80" s="24"/>
      <c r="BV80" s="14"/>
      <c r="BW80" s="14"/>
    </row>
    <row r="81" spans="1:75">
      <c r="A81" s="24"/>
      <c r="B81" s="24"/>
      <c r="L81" s="24"/>
      <c r="R81" s="14"/>
      <c r="S81" s="24"/>
      <c r="Y81" s="14"/>
      <c r="Z81" s="24"/>
      <c r="AG81" s="24"/>
      <c r="AN81" s="24"/>
      <c r="AT81" s="14"/>
      <c r="BB81" s="24"/>
      <c r="BD81" s="8" t="s">
        <v>118</v>
      </c>
      <c r="BE81" s="8" t="s">
        <v>629</v>
      </c>
      <c r="BR81" s="24"/>
      <c r="BV81" s="14"/>
      <c r="BW81" s="14"/>
    </row>
    <row r="82" spans="1:75" ht="14.45">
      <c r="A82" s="24"/>
      <c r="B82" s="24"/>
      <c r="L82" s="24"/>
      <c r="R82" s="14"/>
      <c r="S82" s="24"/>
      <c r="Y82" s="14"/>
      <c r="Z82" s="24"/>
      <c r="AG82" s="24"/>
      <c r="AN82" s="24"/>
      <c r="AT82" s="14"/>
      <c r="BB82" s="24"/>
      <c r="BR82" s="24"/>
      <c r="BV82" s="14"/>
      <c r="BW82" s="14"/>
    </row>
    <row r="83" spans="1:75" ht="14.45">
      <c r="A83" s="24"/>
      <c r="B83" s="24"/>
      <c r="L83" s="24"/>
      <c r="R83" s="14"/>
      <c r="S83" s="24"/>
      <c r="Y83" s="14"/>
      <c r="Z83" s="24"/>
      <c r="AG83" s="24"/>
      <c r="AN83" s="24"/>
      <c r="AT83" s="14"/>
      <c r="BB83" s="24"/>
      <c r="BR83" s="24"/>
      <c r="BV83" s="14"/>
      <c r="BW83" s="14"/>
    </row>
    <row r="84" spans="1:75" ht="14.45">
      <c r="A84" s="24"/>
      <c r="B84" s="24"/>
      <c r="L84" s="24"/>
      <c r="R84" s="14"/>
      <c r="S84" s="24"/>
      <c r="Y84" s="14"/>
      <c r="Z84" s="24"/>
      <c r="AG84" s="24"/>
      <c r="AN84" s="24"/>
      <c r="AT84" s="14"/>
      <c r="BB84" s="24"/>
      <c r="BR84" s="24"/>
      <c r="BV84" s="14"/>
      <c r="BW84" s="14"/>
    </row>
    <row r="85" spans="1:75">
      <c r="A85" s="24"/>
      <c r="B85" s="24"/>
      <c r="L85" s="24"/>
      <c r="R85" s="14"/>
      <c r="S85" s="24"/>
      <c r="Y85" s="14"/>
      <c r="Z85" s="24"/>
      <c r="AG85" s="24"/>
      <c r="AN85" s="24"/>
      <c r="AT85" s="14"/>
      <c r="BB85" s="24"/>
      <c r="BC85" s="16" t="s">
        <v>732</v>
      </c>
      <c r="BR85" s="24"/>
      <c r="BV85" s="14"/>
      <c r="BW85" s="14"/>
    </row>
    <row r="86" spans="1:75">
      <c r="A86" s="24"/>
      <c r="B86" s="24"/>
      <c r="L86" s="24"/>
      <c r="R86" s="14"/>
      <c r="S86" s="24"/>
      <c r="Y86" s="14"/>
      <c r="Z86" s="24"/>
      <c r="AG86" s="24"/>
      <c r="AN86" s="24"/>
      <c r="AT86" s="14"/>
      <c r="BB86" s="24"/>
      <c r="BD86" s="8" t="s">
        <v>631</v>
      </c>
      <c r="BR86" s="24"/>
      <c r="BV86" s="14"/>
      <c r="BW86" s="14"/>
    </row>
    <row r="87" spans="1:75">
      <c r="A87" s="24"/>
      <c r="B87" s="24"/>
      <c r="L87" s="24"/>
      <c r="R87" s="14"/>
      <c r="S87" s="24"/>
      <c r="Y87" s="14"/>
      <c r="Z87" s="24"/>
      <c r="AG87" s="24"/>
      <c r="AN87" s="24"/>
      <c r="AT87" s="14"/>
      <c r="BB87" s="24"/>
      <c r="BD87" s="8" t="s">
        <v>118</v>
      </c>
      <c r="BE87" s="8" t="s">
        <v>632</v>
      </c>
      <c r="BR87" s="24"/>
      <c r="BV87" s="14"/>
      <c r="BW87" s="14"/>
    </row>
    <row r="88" spans="1:75" ht="14.45">
      <c r="A88" s="24"/>
      <c r="B88" s="24"/>
      <c r="L88" s="24"/>
      <c r="R88" s="14"/>
      <c r="S88" s="24"/>
      <c r="Y88" s="14"/>
      <c r="Z88" s="24"/>
      <c r="AG88" s="24"/>
      <c r="AN88" s="24"/>
      <c r="AT88" s="14"/>
      <c r="BB88" s="24"/>
      <c r="BR88" s="24"/>
      <c r="BV88" s="14"/>
      <c r="BW88" s="14"/>
    </row>
    <row r="89" spans="1:75" ht="14.45">
      <c r="A89" s="24"/>
      <c r="B89" s="24"/>
      <c r="L89" s="24"/>
      <c r="R89" s="14"/>
      <c r="S89" s="24"/>
      <c r="Y89" s="14"/>
      <c r="Z89" s="24"/>
      <c r="AG89" s="24"/>
      <c r="AN89" s="24"/>
      <c r="AT89" s="14"/>
      <c r="BB89" s="24"/>
      <c r="BR89" s="24"/>
      <c r="BV89" s="14"/>
      <c r="BW89" s="14"/>
    </row>
    <row r="90" spans="1:75" ht="14.45">
      <c r="A90" s="24"/>
      <c r="B90" s="24"/>
      <c r="L90" s="24"/>
      <c r="R90" s="14"/>
      <c r="S90" s="24"/>
      <c r="Y90" s="14"/>
      <c r="Z90" s="24"/>
      <c r="AG90" s="24"/>
      <c r="AN90" s="24"/>
      <c r="AT90" s="14"/>
      <c r="BB90" s="24"/>
      <c r="BR90" s="24"/>
      <c r="BV90" s="14"/>
      <c r="BW90" s="14"/>
    </row>
    <row r="91" spans="1:75" ht="14.45">
      <c r="A91" s="24"/>
      <c r="B91" s="24"/>
      <c r="L91" s="24"/>
      <c r="R91" s="14"/>
      <c r="S91" s="24"/>
      <c r="Y91" s="14"/>
      <c r="Z91" s="24"/>
      <c r="AG91" s="24"/>
      <c r="AN91" s="24"/>
      <c r="AT91" s="14"/>
      <c r="BB91" s="24"/>
      <c r="BR91" s="24"/>
      <c r="BV91" s="14"/>
      <c r="BW91" s="14"/>
    </row>
    <row r="92" spans="1:75" ht="14.45">
      <c r="A92" s="24"/>
      <c r="B92" s="24"/>
      <c r="L92" s="24"/>
      <c r="R92" s="14"/>
      <c r="S92" s="24"/>
      <c r="Y92" s="14"/>
      <c r="Z92" s="24"/>
      <c r="AG92" s="24"/>
      <c r="AN92" s="24"/>
      <c r="AT92" s="14"/>
      <c r="BB92" s="24"/>
      <c r="BR92" s="24"/>
      <c r="BV92" s="14"/>
      <c r="BW92" s="14"/>
    </row>
    <row r="93" spans="1:75" ht="14.45">
      <c r="A93" s="24"/>
      <c r="B93" s="24"/>
      <c r="L93" s="24"/>
      <c r="R93" s="14"/>
      <c r="S93" s="24"/>
      <c r="Y93" s="14"/>
      <c r="Z93" s="24"/>
      <c r="AG93" s="24"/>
      <c r="AN93" s="24"/>
      <c r="AT93" s="14"/>
      <c r="BB93" s="24"/>
      <c r="BR93" s="24"/>
      <c r="BV93" s="14"/>
      <c r="BW93" s="14"/>
    </row>
    <row r="94" spans="1:75">
      <c r="A94" s="24"/>
      <c r="B94" s="24"/>
      <c r="L94" s="24"/>
      <c r="R94" s="14"/>
      <c r="S94" s="24"/>
      <c r="Y94" s="14"/>
      <c r="Z94" s="24"/>
      <c r="AG94" s="24"/>
      <c r="AN94" s="24"/>
      <c r="AT94" s="14"/>
      <c r="BB94" s="24"/>
      <c r="BC94" s="16" t="s">
        <v>733</v>
      </c>
      <c r="BR94" s="24"/>
      <c r="BV94" s="14"/>
      <c r="BW94" s="14"/>
    </row>
    <row r="95" spans="1:75">
      <c r="A95" s="24"/>
      <c r="B95" s="24"/>
      <c r="L95" s="24"/>
      <c r="R95" s="14"/>
      <c r="S95" s="24"/>
      <c r="Y95" s="14"/>
      <c r="Z95" s="24"/>
      <c r="AG95" s="24"/>
      <c r="AN95" s="24"/>
      <c r="AT95" s="14"/>
      <c r="BB95" s="24"/>
      <c r="BD95" s="8" t="s">
        <v>634</v>
      </c>
      <c r="BR95" s="24"/>
      <c r="BV95" s="14"/>
      <c r="BW95" s="14"/>
    </row>
    <row r="96" spans="1:75">
      <c r="A96" s="24"/>
      <c r="B96" s="24"/>
      <c r="L96" s="24"/>
      <c r="R96" s="14"/>
      <c r="S96" s="24"/>
      <c r="Y96" s="14"/>
      <c r="Z96" s="24"/>
      <c r="AG96" s="24"/>
      <c r="AN96" s="24"/>
      <c r="AT96" s="14"/>
      <c r="BB96" s="24"/>
      <c r="BD96" s="8" t="s">
        <v>635</v>
      </c>
      <c r="BR96" s="24"/>
      <c r="BV96" s="14"/>
      <c r="BW96" s="14"/>
    </row>
    <row r="97" spans="1:75">
      <c r="A97" s="24"/>
      <c r="B97" s="24"/>
      <c r="L97" s="24"/>
      <c r="R97" s="14"/>
      <c r="S97" s="24"/>
      <c r="Y97" s="14"/>
      <c r="Z97" s="24"/>
      <c r="AG97" s="24"/>
      <c r="AN97" s="24"/>
      <c r="AT97" s="14"/>
      <c r="BB97" s="24"/>
      <c r="BD97" s="8" t="s">
        <v>118</v>
      </c>
      <c r="BE97" s="8" t="s">
        <v>636</v>
      </c>
      <c r="BR97" s="24"/>
      <c r="BV97" s="14"/>
      <c r="BW97" s="14"/>
    </row>
    <row r="98" spans="1:75" ht="14.45">
      <c r="A98" s="24"/>
      <c r="B98" s="24"/>
      <c r="L98" s="24"/>
      <c r="R98" s="14"/>
      <c r="S98" s="24"/>
      <c r="Y98" s="14"/>
      <c r="Z98" s="24"/>
      <c r="AG98" s="24"/>
      <c r="AN98" s="24"/>
      <c r="AT98" s="14"/>
      <c r="BB98" s="24"/>
      <c r="BR98" s="24"/>
      <c r="BV98" s="14"/>
      <c r="BW98" s="14"/>
    </row>
    <row r="99" spans="1:75" ht="14.45">
      <c r="A99" s="24"/>
      <c r="B99" s="24"/>
      <c r="L99" s="24"/>
      <c r="R99" s="14"/>
      <c r="S99" s="24"/>
      <c r="Y99" s="14"/>
      <c r="Z99" s="24"/>
      <c r="AG99" s="24"/>
      <c r="AN99" s="24"/>
      <c r="AT99" s="14"/>
      <c r="BB99" s="24"/>
      <c r="BR99" s="24"/>
      <c r="BV99" s="14"/>
      <c r="BW99" s="14"/>
    </row>
    <row r="100" spans="1:75" ht="14.45">
      <c r="A100" s="24"/>
      <c r="B100" s="24"/>
      <c r="L100" s="24"/>
      <c r="R100" s="14"/>
      <c r="S100" s="24"/>
      <c r="Y100" s="14"/>
      <c r="Z100" s="24"/>
      <c r="AG100" s="24"/>
      <c r="AN100" s="24"/>
      <c r="AT100" s="14"/>
      <c r="BB100" s="24"/>
      <c r="BR100" s="24"/>
      <c r="BV100" s="14"/>
      <c r="BW100" s="14"/>
    </row>
    <row r="101" spans="1:75" ht="14.45">
      <c r="A101" s="24"/>
      <c r="B101" s="24"/>
      <c r="L101" s="24"/>
      <c r="R101" s="14"/>
      <c r="S101" s="24"/>
      <c r="Y101" s="14"/>
      <c r="Z101" s="24"/>
      <c r="AG101" s="24"/>
      <c r="AN101" s="24"/>
      <c r="AT101" s="14"/>
      <c r="BB101" s="24"/>
      <c r="BR101" s="24"/>
      <c r="BV101" s="14"/>
      <c r="BW101" s="14"/>
    </row>
    <row r="102" spans="1:75" ht="14.45">
      <c r="A102" s="24"/>
      <c r="B102" s="24"/>
      <c r="L102" s="24"/>
      <c r="R102" s="14"/>
      <c r="S102" s="24"/>
      <c r="Y102" s="14"/>
      <c r="Z102" s="24"/>
      <c r="AG102" s="24"/>
      <c r="AN102" s="24"/>
      <c r="AT102" s="14"/>
      <c r="BB102" s="24"/>
      <c r="BR102" s="24"/>
      <c r="BV102" s="14"/>
      <c r="BW102" s="14"/>
    </row>
    <row r="103" spans="1:75">
      <c r="A103" s="24"/>
      <c r="B103" s="24"/>
      <c r="L103" s="24"/>
      <c r="R103" s="14"/>
      <c r="S103" s="24"/>
      <c r="Y103" s="14"/>
      <c r="Z103" s="24"/>
      <c r="AG103" s="24"/>
      <c r="AN103" s="24"/>
      <c r="AT103" s="14"/>
      <c r="BB103" s="24"/>
      <c r="BC103" s="16" t="s">
        <v>345</v>
      </c>
      <c r="BR103" s="24"/>
      <c r="BV103" s="14"/>
      <c r="BW103" s="14"/>
    </row>
    <row r="104" spans="1:75">
      <c r="A104" s="24"/>
      <c r="B104" s="24"/>
      <c r="L104" s="24"/>
      <c r="R104" s="14"/>
      <c r="S104" s="24"/>
      <c r="Y104" s="14"/>
      <c r="Z104" s="24"/>
      <c r="AG104" s="24"/>
      <c r="AN104" s="24"/>
      <c r="AT104" s="14"/>
      <c r="BB104" s="24"/>
      <c r="BD104" s="8" t="s">
        <v>734</v>
      </c>
      <c r="BR104" s="24"/>
      <c r="BV104" s="14"/>
      <c r="BW104" s="14"/>
    </row>
    <row r="105" spans="1:75">
      <c r="A105" s="24"/>
      <c r="B105" s="24"/>
      <c r="L105" s="24"/>
      <c r="R105" s="14"/>
      <c r="S105" s="24"/>
      <c r="Y105" s="14"/>
      <c r="Z105" s="24"/>
      <c r="AG105" s="24"/>
      <c r="AN105" s="24"/>
      <c r="AT105" s="14"/>
      <c r="BB105" s="24"/>
      <c r="BD105" s="8" t="s">
        <v>735</v>
      </c>
      <c r="BR105" s="24"/>
      <c r="BV105" s="14"/>
      <c r="BW105" s="14"/>
    </row>
    <row r="106" spans="1:75">
      <c r="A106" s="24"/>
      <c r="B106" s="24"/>
      <c r="L106" s="24"/>
      <c r="R106" s="14"/>
      <c r="S106" s="24"/>
      <c r="Y106" s="14"/>
      <c r="Z106" s="24"/>
      <c r="AG106" s="24"/>
      <c r="AN106" s="24"/>
      <c r="AT106" s="14"/>
      <c r="BB106" s="24"/>
      <c r="BD106" s="86" t="s">
        <v>637</v>
      </c>
      <c r="BE106" s="87"/>
      <c r="BF106" s="87"/>
      <c r="BG106" s="87"/>
      <c r="BH106" s="87"/>
      <c r="BI106" s="87"/>
      <c r="BJ106" s="87"/>
      <c r="BK106" s="87"/>
      <c r="BL106" s="87"/>
      <c r="BM106" s="87"/>
      <c r="BN106" s="121"/>
      <c r="BO106" s="122"/>
      <c r="BR106" s="24"/>
      <c r="BV106" s="14"/>
      <c r="BW106" s="14"/>
    </row>
    <row r="107" spans="1:75">
      <c r="A107" s="24"/>
      <c r="B107" s="24"/>
      <c r="L107" s="24"/>
      <c r="R107" s="14"/>
      <c r="S107" s="24"/>
      <c r="Y107" s="14"/>
      <c r="Z107" s="24"/>
      <c r="AG107" s="24"/>
      <c r="AN107" s="24"/>
      <c r="AT107" s="14"/>
      <c r="BB107" s="24"/>
      <c r="BD107" s="89" t="s">
        <v>638</v>
      </c>
      <c r="BE107" s="90"/>
      <c r="BF107" s="90"/>
      <c r="BG107" s="91"/>
      <c r="BH107" s="89" t="s">
        <v>639</v>
      </c>
      <c r="BI107" s="90"/>
      <c r="BJ107" s="90"/>
      <c r="BK107" s="90"/>
      <c r="BL107" s="90"/>
      <c r="BM107" s="90"/>
      <c r="BN107" s="90"/>
      <c r="BO107" s="91"/>
      <c r="BR107" s="24"/>
      <c r="BV107" s="14"/>
      <c r="BW107" s="14"/>
    </row>
    <row r="108" spans="1:75">
      <c r="A108" s="24"/>
      <c r="B108" s="24"/>
      <c r="L108" s="24"/>
      <c r="R108" s="14"/>
      <c r="S108" s="24"/>
      <c r="Y108" s="14"/>
      <c r="Z108" s="24"/>
      <c r="AG108" s="24"/>
      <c r="AN108" s="24"/>
      <c r="AT108" s="14"/>
      <c r="BB108" s="24"/>
      <c r="BD108" s="123" t="s">
        <v>118</v>
      </c>
      <c r="BE108" s="125" t="s">
        <v>736</v>
      </c>
      <c r="BF108" s="11"/>
      <c r="BR108" s="24"/>
      <c r="BV108" s="14"/>
      <c r="BW108" s="14"/>
    </row>
    <row r="109" spans="1:75">
      <c r="A109" s="24"/>
      <c r="B109" s="24"/>
      <c r="L109" s="24"/>
      <c r="R109" s="14"/>
      <c r="S109" s="24"/>
      <c r="Y109" s="14"/>
      <c r="Z109" s="24"/>
      <c r="AG109" s="24"/>
      <c r="AN109" s="24"/>
      <c r="AT109" s="14"/>
      <c r="BB109" s="24"/>
      <c r="BE109" s="125" t="s">
        <v>737</v>
      </c>
      <c r="BF109" s="11"/>
      <c r="BR109" s="24"/>
      <c r="BV109" s="14"/>
      <c r="BW109" s="14"/>
    </row>
    <row r="110" spans="1:75">
      <c r="A110" s="24"/>
      <c r="B110" s="24"/>
      <c r="L110" s="24"/>
      <c r="R110" s="14"/>
      <c r="S110" s="24"/>
      <c r="Y110" s="14"/>
      <c r="Z110" s="24"/>
      <c r="AG110" s="24"/>
      <c r="AN110" s="24"/>
      <c r="AT110" s="14"/>
      <c r="BB110" s="24"/>
      <c r="BD110" s="123" t="s">
        <v>118</v>
      </c>
      <c r="BE110" s="125" t="s">
        <v>738</v>
      </c>
      <c r="BF110" s="11"/>
      <c r="BR110" s="24"/>
      <c r="BV110" s="14"/>
      <c r="BW110" s="14"/>
    </row>
    <row r="111" spans="1:75">
      <c r="A111" s="24"/>
      <c r="B111" s="24"/>
      <c r="L111" s="24"/>
      <c r="R111" s="14"/>
      <c r="S111" s="24"/>
      <c r="Y111" s="14"/>
      <c r="Z111" s="24"/>
      <c r="AG111" s="24"/>
      <c r="AN111" s="24"/>
      <c r="AT111" s="14"/>
      <c r="BB111" s="24"/>
      <c r="BE111" s="125" t="s">
        <v>739</v>
      </c>
      <c r="BF111" s="11"/>
      <c r="BR111" s="24"/>
      <c r="BV111" s="14"/>
      <c r="BW111" s="14"/>
    </row>
    <row r="112" spans="1:75">
      <c r="A112" s="24"/>
      <c r="B112" s="24"/>
      <c r="L112" s="24"/>
      <c r="R112" s="14"/>
      <c r="S112" s="24"/>
      <c r="Y112" s="14"/>
      <c r="Z112" s="24"/>
      <c r="AG112" s="24"/>
      <c r="AN112" s="24"/>
      <c r="AT112" s="14"/>
      <c r="BB112" s="24"/>
      <c r="BE112" s="125" t="s">
        <v>740</v>
      </c>
      <c r="BF112" s="11"/>
      <c r="BR112" s="24"/>
      <c r="BV112" s="14"/>
      <c r="BW112" s="14"/>
    </row>
    <row r="113" spans="1:75" ht="14.45">
      <c r="A113" s="24"/>
      <c r="B113" s="24"/>
      <c r="L113" s="24"/>
      <c r="R113" s="14"/>
      <c r="S113" s="24"/>
      <c r="Y113" s="14"/>
      <c r="Z113" s="24"/>
      <c r="AG113" s="24"/>
      <c r="AN113" s="24"/>
      <c r="AT113" s="14"/>
      <c r="BB113" s="24"/>
      <c r="BE113" s="11"/>
      <c r="BF113" s="11"/>
      <c r="BR113" s="24"/>
      <c r="BV113" s="14"/>
      <c r="BW113" s="14"/>
    </row>
    <row r="114" spans="1:75">
      <c r="A114" s="24"/>
      <c r="B114" s="24"/>
      <c r="L114" s="24"/>
      <c r="R114" s="14"/>
      <c r="S114" s="24"/>
      <c r="Y114" s="14"/>
      <c r="Z114" s="24"/>
      <c r="AG114" s="24"/>
      <c r="AN114" s="24"/>
      <c r="AT114" s="14"/>
      <c r="BB114" s="24"/>
      <c r="BD114" s="8" t="s">
        <v>741</v>
      </c>
      <c r="BR114" s="24"/>
      <c r="BV114" s="14"/>
      <c r="BW114" s="14"/>
    </row>
    <row r="115" spans="1:75">
      <c r="A115" s="24"/>
      <c r="B115" s="24"/>
      <c r="L115" s="24"/>
      <c r="R115" s="14"/>
      <c r="S115" s="24"/>
      <c r="Y115" s="14"/>
      <c r="Z115" s="24"/>
      <c r="AG115" s="24"/>
      <c r="AN115" s="24"/>
      <c r="AT115" s="14"/>
      <c r="BB115" s="24"/>
      <c r="BD115" s="120" t="s">
        <v>637</v>
      </c>
      <c r="BE115" s="121"/>
      <c r="BF115" s="121"/>
      <c r="BG115" s="121"/>
      <c r="BH115" s="121"/>
      <c r="BI115" s="121"/>
      <c r="BJ115" s="121"/>
      <c r="BK115" s="121"/>
      <c r="BL115" s="121"/>
      <c r="BM115" s="121"/>
      <c r="BN115" s="121"/>
      <c r="BO115" s="122"/>
      <c r="BR115" s="24"/>
      <c r="BV115" s="14"/>
      <c r="BW115" s="14"/>
    </row>
    <row r="116" spans="1:75">
      <c r="A116" s="24"/>
      <c r="B116" s="24"/>
      <c r="L116" s="24"/>
      <c r="R116" s="14"/>
      <c r="S116" s="24"/>
      <c r="Y116" s="14"/>
      <c r="Z116" s="24"/>
      <c r="AG116" s="24"/>
      <c r="AN116" s="24"/>
      <c r="AT116" s="14"/>
      <c r="BB116" s="24"/>
      <c r="BD116" s="41" t="s">
        <v>742</v>
      </c>
      <c r="BE116" s="10"/>
      <c r="BF116" s="10"/>
      <c r="BG116" s="15"/>
      <c r="BJ116" s="89" t="s">
        <v>639</v>
      </c>
      <c r="BK116" s="10"/>
      <c r="BL116" s="10"/>
      <c r="BM116" s="10"/>
      <c r="BN116" s="10"/>
      <c r="BO116" s="15"/>
      <c r="BR116" s="24"/>
      <c r="BV116" s="14"/>
      <c r="BW116" s="14"/>
    </row>
    <row r="117" spans="1:75">
      <c r="A117" s="24"/>
      <c r="B117" s="24"/>
      <c r="L117" s="24"/>
      <c r="R117" s="14"/>
      <c r="S117" s="24"/>
      <c r="Y117" s="14"/>
      <c r="Z117" s="24"/>
      <c r="AG117" s="24"/>
      <c r="AN117" s="24"/>
      <c r="AT117" s="14"/>
      <c r="BB117" s="24"/>
      <c r="BD117" s="63" t="s">
        <v>118</v>
      </c>
      <c r="BE117" s="63" t="s">
        <v>743</v>
      </c>
      <c r="BF117" s="63"/>
      <c r="BG117" s="63"/>
      <c r="BH117" s="63"/>
      <c r="BI117" s="63"/>
      <c r="BJ117" s="63"/>
      <c r="BK117" s="63"/>
      <c r="BL117" s="63"/>
      <c r="BM117" s="63"/>
      <c r="BN117" s="63"/>
      <c r="BO117" s="63"/>
      <c r="BR117" s="24"/>
      <c r="BV117" s="14"/>
      <c r="BW117" s="14"/>
    </row>
    <row r="118" spans="1:75">
      <c r="A118" s="24"/>
      <c r="B118" s="24"/>
      <c r="L118" s="24"/>
      <c r="R118" s="14"/>
      <c r="S118" s="24"/>
      <c r="Y118" s="14"/>
      <c r="Z118" s="24"/>
      <c r="AG118" s="24"/>
      <c r="AN118" s="24"/>
      <c r="AT118" s="14"/>
      <c r="BB118" s="24"/>
      <c r="BD118" s="123" t="s">
        <v>118</v>
      </c>
      <c r="BE118" s="125" t="s">
        <v>737</v>
      </c>
      <c r="BR118" s="24"/>
      <c r="BV118" s="14"/>
      <c r="BW118" s="14"/>
    </row>
    <row r="119" spans="1:75" ht="14.45">
      <c r="A119" s="24"/>
      <c r="B119" s="24"/>
      <c r="L119" s="24"/>
      <c r="R119" s="14"/>
      <c r="S119" s="24"/>
      <c r="Y119" s="14"/>
      <c r="Z119" s="24"/>
      <c r="AG119" s="24"/>
      <c r="AN119" s="24"/>
      <c r="AT119" s="14"/>
      <c r="BB119" s="24"/>
      <c r="BR119" s="24"/>
      <c r="BV119" s="14"/>
      <c r="BW119" s="14"/>
    </row>
    <row r="120" spans="1:75" ht="14.45">
      <c r="A120" s="24"/>
      <c r="B120" s="24"/>
      <c r="L120" s="24"/>
      <c r="R120" s="14"/>
      <c r="S120" s="24"/>
      <c r="Y120" s="14"/>
      <c r="Z120" s="24"/>
      <c r="AG120" s="24"/>
      <c r="AN120" s="24"/>
      <c r="AT120" s="14"/>
      <c r="BB120" s="24"/>
      <c r="BR120" s="24"/>
      <c r="BV120" s="14"/>
      <c r="BW120" s="14"/>
    </row>
    <row r="121" spans="1:75" ht="14.45">
      <c r="A121" s="24"/>
      <c r="B121" s="24"/>
      <c r="L121" s="24"/>
      <c r="R121" s="14"/>
      <c r="S121" s="24"/>
      <c r="Y121" s="14"/>
      <c r="Z121" s="24"/>
      <c r="AG121" s="24"/>
      <c r="AN121" s="24"/>
      <c r="AT121" s="14"/>
      <c r="BB121" s="24"/>
      <c r="BR121" s="24"/>
      <c r="BV121" s="14"/>
      <c r="BW121" s="14"/>
    </row>
    <row r="122" spans="1:75">
      <c r="A122" s="24"/>
      <c r="B122" s="24"/>
      <c r="L122" s="24"/>
      <c r="R122" s="14"/>
      <c r="S122" s="24"/>
      <c r="Y122" s="14"/>
      <c r="Z122" s="24"/>
      <c r="AG122" s="24"/>
      <c r="AN122" s="24"/>
      <c r="AT122" s="14"/>
      <c r="BB122" s="24"/>
      <c r="BC122" s="16" t="s">
        <v>744</v>
      </c>
      <c r="BR122" s="24"/>
      <c r="BV122" s="14"/>
      <c r="BW122" s="14"/>
    </row>
    <row r="123" spans="1:75">
      <c r="A123" s="24"/>
      <c r="B123" s="24"/>
      <c r="L123" s="24"/>
      <c r="R123" s="14"/>
      <c r="S123" s="24"/>
      <c r="Y123" s="14"/>
      <c r="Z123" s="24"/>
      <c r="AG123" s="24"/>
      <c r="AN123" s="24"/>
      <c r="AT123" s="14"/>
      <c r="BB123" s="24"/>
      <c r="BD123" s="8" t="s">
        <v>745</v>
      </c>
      <c r="BR123" s="24"/>
      <c r="BV123" s="14"/>
      <c r="BW123" s="14"/>
    </row>
    <row r="124" spans="1:75">
      <c r="A124" s="24"/>
      <c r="B124" s="24"/>
      <c r="L124" s="24"/>
      <c r="R124" s="14"/>
      <c r="S124" s="24"/>
      <c r="Y124" s="14"/>
      <c r="Z124" s="24"/>
      <c r="AG124" s="24"/>
      <c r="AN124" s="24"/>
      <c r="AT124" s="14"/>
      <c r="BB124" s="24"/>
      <c r="BD124" s="8" t="s">
        <v>746</v>
      </c>
      <c r="BR124" s="24"/>
      <c r="BV124" s="14"/>
      <c r="BW124" s="14"/>
    </row>
    <row r="125" spans="1:75" ht="14.45">
      <c r="A125" s="24"/>
      <c r="B125" s="24"/>
      <c r="L125" s="24"/>
      <c r="R125" s="14"/>
      <c r="S125" s="24"/>
      <c r="Y125" s="14"/>
      <c r="Z125" s="24"/>
      <c r="AG125" s="24"/>
      <c r="AN125" s="24"/>
      <c r="AT125" s="14"/>
      <c r="BB125" s="24"/>
      <c r="BR125" s="24"/>
      <c r="BV125" s="14"/>
      <c r="BW125" s="14"/>
    </row>
    <row r="126" spans="1:75" ht="14.45">
      <c r="A126" s="24"/>
      <c r="B126" s="24"/>
      <c r="L126" s="24"/>
      <c r="R126" s="14"/>
      <c r="S126" s="24"/>
      <c r="Y126" s="14"/>
      <c r="Z126" s="24"/>
      <c r="AG126" s="24"/>
      <c r="AN126" s="24"/>
      <c r="AT126" s="14"/>
      <c r="BB126" s="24"/>
      <c r="BR126" s="24"/>
      <c r="BV126" s="14"/>
      <c r="BW126" s="14"/>
    </row>
    <row r="127" spans="1:75" ht="14.45">
      <c r="A127" s="24"/>
      <c r="B127" s="24"/>
      <c r="L127" s="24"/>
      <c r="R127" s="14"/>
      <c r="S127" s="24"/>
      <c r="Y127" s="14"/>
      <c r="Z127" s="24"/>
      <c r="AG127" s="24"/>
      <c r="AN127" s="24"/>
      <c r="AT127" s="14"/>
      <c r="BB127" s="24"/>
      <c r="BR127" s="24"/>
      <c r="BV127" s="14"/>
      <c r="BW127" s="14"/>
    </row>
    <row r="128" spans="1:75">
      <c r="A128" s="24"/>
      <c r="B128" s="24"/>
      <c r="L128" s="24"/>
      <c r="R128" s="14"/>
      <c r="S128" s="24"/>
      <c r="Y128" s="14"/>
      <c r="Z128" s="24"/>
      <c r="AG128" s="24"/>
      <c r="AN128" s="24"/>
      <c r="AT128" s="14"/>
      <c r="BB128" s="24"/>
      <c r="BC128" s="16" t="s">
        <v>747</v>
      </c>
      <c r="BR128" s="24"/>
      <c r="BV128" s="14"/>
      <c r="BW128" s="14"/>
    </row>
    <row r="129" spans="1:75">
      <c r="A129" s="24"/>
      <c r="B129" s="24"/>
      <c r="L129" s="24"/>
      <c r="R129" s="14"/>
      <c r="S129" s="24"/>
      <c r="Y129" s="14"/>
      <c r="Z129" s="24"/>
      <c r="AG129" s="24"/>
      <c r="AN129" s="24"/>
      <c r="AT129" s="14"/>
      <c r="BB129" s="24"/>
      <c r="BD129" s="8" t="s">
        <v>748</v>
      </c>
      <c r="BR129" s="24"/>
      <c r="BV129" s="14"/>
      <c r="BW129" s="14"/>
    </row>
    <row r="130" spans="1:75">
      <c r="A130" s="24"/>
      <c r="B130" s="24"/>
      <c r="L130" s="24"/>
      <c r="R130" s="14"/>
      <c r="S130" s="24"/>
      <c r="Y130" s="14"/>
      <c r="Z130" s="24"/>
      <c r="AG130" s="24"/>
      <c r="AN130" s="24"/>
      <c r="AT130" s="14"/>
      <c r="BB130" s="24"/>
      <c r="BD130" s="8" t="s">
        <v>749</v>
      </c>
      <c r="BR130" s="24"/>
      <c r="BV130" s="14"/>
      <c r="BW130" s="14"/>
    </row>
    <row r="131" spans="1:75" ht="14.45">
      <c r="A131" s="24"/>
      <c r="B131" s="24"/>
      <c r="L131" s="24"/>
      <c r="R131" s="14"/>
      <c r="S131" s="24"/>
      <c r="Y131" s="14"/>
      <c r="Z131" s="24"/>
      <c r="AG131" s="24"/>
      <c r="AN131" s="24"/>
      <c r="AT131" s="14"/>
      <c r="BB131" s="24"/>
      <c r="BR131" s="24"/>
      <c r="BV131" s="14"/>
      <c r="BW131" s="14"/>
    </row>
    <row r="132" spans="1:75" ht="14.45">
      <c r="A132" s="24"/>
      <c r="B132" s="24"/>
      <c r="L132" s="24"/>
      <c r="R132" s="14"/>
      <c r="S132" s="24"/>
      <c r="Y132" s="14"/>
      <c r="Z132" s="24"/>
      <c r="AG132" s="24"/>
      <c r="AN132" s="24"/>
      <c r="AT132" s="14"/>
      <c r="BB132" s="24"/>
      <c r="BR132" s="24"/>
      <c r="BV132" s="14"/>
      <c r="BW132" s="14"/>
    </row>
    <row r="133" spans="1:75">
      <c r="A133" s="24"/>
      <c r="B133" s="24"/>
      <c r="L133" s="24"/>
      <c r="R133" s="14"/>
      <c r="S133" s="24"/>
      <c r="Y133" s="14"/>
      <c r="Z133" s="24"/>
      <c r="AG133" s="24"/>
      <c r="AN133" s="24"/>
      <c r="AT133" s="14"/>
      <c r="BB133" s="24"/>
      <c r="BC133" s="16" t="s">
        <v>750</v>
      </c>
      <c r="BR133" s="24"/>
      <c r="BV133" s="14"/>
      <c r="BW133" s="14"/>
    </row>
    <row r="134" spans="1:75">
      <c r="A134" s="24"/>
      <c r="B134" s="24"/>
      <c r="L134" s="24"/>
      <c r="R134" s="14"/>
      <c r="S134" s="24"/>
      <c r="Y134" s="14"/>
      <c r="Z134" s="24"/>
      <c r="AG134" s="24"/>
      <c r="AN134" s="24"/>
      <c r="AT134" s="14"/>
      <c r="BB134" s="24"/>
      <c r="BD134" s="8" t="s">
        <v>734</v>
      </c>
      <c r="BR134" s="24"/>
      <c r="BV134" s="14"/>
      <c r="BW134" s="14"/>
    </row>
    <row r="135" spans="1:75">
      <c r="A135" s="24"/>
      <c r="B135" s="24"/>
      <c r="L135" s="24"/>
      <c r="R135" s="14"/>
      <c r="S135" s="24"/>
      <c r="Y135" s="14"/>
      <c r="Z135" s="24"/>
      <c r="AG135" s="24"/>
      <c r="AN135" s="24"/>
      <c r="AT135" s="14"/>
      <c r="BB135" s="24"/>
      <c r="BD135" s="8" t="s">
        <v>751</v>
      </c>
      <c r="BR135" s="24"/>
      <c r="BV135" s="14"/>
      <c r="BW135" s="14"/>
    </row>
    <row r="136" spans="1:75">
      <c r="A136" s="24"/>
      <c r="B136" s="24"/>
      <c r="L136" s="24"/>
      <c r="R136" s="14"/>
      <c r="S136" s="24"/>
      <c r="Y136" s="14"/>
      <c r="Z136" s="24"/>
      <c r="AG136" s="24"/>
      <c r="AN136" s="24"/>
      <c r="AT136" s="14"/>
      <c r="BB136" s="24"/>
      <c r="BR136" s="24"/>
      <c r="BV136" s="14"/>
      <c r="BW136" s="14"/>
    </row>
    <row r="137" spans="1:75">
      <c r="A137" s="24"/>
      <c r="B137" s="24"/>
      <c r="L137" s="24"/>
      <c r="R137" s="14"/>
      <c r="S137" s="24"/>
      <c r="Y137" s="14"/>
      <c r="Z137" s="24"/>
      <c r="AG137" s="24"/>
      <c r="AN137" s="24"/>
      <c r="AT137" s="14"/>
      <c r="BB137" s="24"/>
      <c r="BD137" s="8" t="s">
        <v>752</v>
      </c>
      <c r="BR137" s="24"/>
      <c r="BV137" s="14"/>
      <c r="BW137" s="14"/>
    </row>
    <row r="138" spans="1:75">
      <c r="A138" s="24"/>
      <c r="B138" s="24"/>
      <c r="L138" s="24"/>
      <c r="R138" s="14"/>
      <c r="S138" s="24"/>
      <c r="Y138" s="14"/>
      <c r="Z138" s="24"/>
      <c r="AG138" s="24"/>
      <c r="AN138" s="24"/>
      <c r="AT138" s="14"/>
      <c r="BB138" s="24"/>
      <c r="BD138" s="120" t="s">
        <v>637</v>
      </c>
      <c r="BE138" s="121"/>
      <c r="BF138" s="121"/>
      <c r="BG138" s="121"/>
      <c r="BH138" s="121"/>
      <c r="BI138" s="121"/>
      <c r="BJ138" s="121"/>
      <c r="BK138" s="121"/>
      <c r="BL138" s="121"/>
      <c r="BM138" s="121"/>
      <c r="BN138" s="121"/>
      <c r="BO138" s="122"/>
      <c r="BR138" s="24"/>
      <c r="BV138" s="14"/>
      <c r="BW138" s="14"/>
    </row>
    <row r="139" spans="1:75">
      <c r="A139" s="24"/>
      <c r="B139" s="24"/>
      <c r="L139" s="24"/>
      <c r="R139" s="14"/>
      <c r="S139" s="24"/>
      <c r="Y139" s="14"/>
      <c r="Z139" s="24"/>
      <c r="AG139" s="24"/>
      <c r="AN139" s="24"/>
      <c r="AT139" s="14"/>
      <c r="BB139" s="24"/>
      <c r="BD139" s="41" t="s">
        <v>753</v>
      </c>
      <c r="BE139" s="10"/>
      <c r="BF139" s="10"/>
      <c r="BG139" s="15"/>
      <c r="BH139" s="41" t="s">
        <v>742</v>
      </c>
      <c r="BI139" s="10"/>
      <c r="BJ139" s="10"/>
      <c r="BK139" s="10"/>
      <c r="BL139" s="10"/>
      <c r="BM139" s="10"/>
      <c r="BN139" s="10"/>
      <c r="BO139" s="15"/>
      <c r="BR139" s="24"/>
      <c r="BV139" s="14"/>
      <c r="BW139" s="14"/>
    </row>
    <row r="140" spans="1:75">
      <c r="A140" s="24"/>
      <c r="B140" s="24"/>
      <c r="L140" s="24"/>
      <c r="R140" s="14"/>
      <c r="S140" s="24"/>
      <c r="Y140" s="14"/>
      <c r="Z140" s="24"/>
      <c r="AG140" s="24"/>
      <c r="AN140" s="24"/>
      <c r="AT140" s="14"/>
      <c r="BB140" s="24"/>
      <c r="BD140" s="123" t="s">
        <v>118</v>
      </c>
      <c r="BE140" s="125" t="s">
        <v>737</v>
      </c>
      <c r="BF140" s="63"/>
      <c r="BG140" s="63"/>
      <c r="BH140" s="63"/>
      <c r="BI140" s="63"/>
      <c r="BJ140" s="63"/>
      <c r="BK140" s="63"/>
      <c r="BL140" s="63"/>
      <c r="BM140" s="63"/>
      <c r="BN140" s="63"/>
      <c r="BO140" s="63"/>
      <c r="BR140" s="24"/>
      <c r="BV140" s="14"/>
      <c r="BW140" s="14"/>
    </row>
    <row r="141" spans="1:75">
      <c r="A141" s="24"/>
      <c r="B141" s="24"/>
      <c r="L141" s="24"/>
      <c r="R141" s="14"/>
      <c r="S141" s="24"/>
      <c r="Y141" s="14"/>
      <c r="Z141" s="24"/>
      <c r="AG141" s="24"/>
      <c r="AN141" s="24"/>
      <c r="AT141" s="14"/>
      <c r="BB141" s="24"/>
      <c r="BR141" s="24"/>
      <c r="BV141" s="14"/>
      <c r="BW141" s="14"/>
    </row>
    <row r="142" spans="1:75">
      <c r="A142" s="24"/>
      <c r="B142" s="24"/>
      <c r="L142" s="24"/>
      <c r="R142" s="14"/>
      <c r="S142" s="24"/>
      <c r="Y142" s="14"/>
      <c r="Z142" s="24"/>
      <c r="AG142" s="24"/>
      <c r="AN142" s="24"/>
      <c r="AT142" s="14"/>
      <c r="BB142" s="24"/>
      <c r="BR142" s="24"/>
      <c r="BV142" s="14"/>
      <c r="BW142" s="14"/>
    </row>
    <row r="143" spans="1:75">
      <c r="A143" s="24"/>
      <c r="B143" s="24"/>
      <c r="L143" s="24"/>
      <c r="R143" s="14"/>
      <c r="S143" s="24"/>
      <c r="Y143" s="14"/>
      <c r="Z143" s="24"/>
      <c r="AG143" s="24"/>
      <c r="AN143" s="24"/>
      <c r="AT143" s="14"/>
      <c r="BB143" s="24"/>
      <c r="BC143" s="16" t="s">
        <v>754</v>
      </c>
      <c r="BR143" s="24"/>
      <c r="BV143" s="14"/>
      <c r="BW143" s="14"/>
    </row>
    <row r="144" spans="1:75">
      <c r="A144" s="24"/>
      <c r="B144" s="24"/>
      <c r="L144" s="24"/>
      <c r="R144" s="14"/>
      <c r="S144" s="24"/>
      <c r="Y144" s="14"/>
      <c r="Z144" s="24"/>
      <c r="AG144" s="24"/>
      <c r="AN144" s="24"/>
      <c r="AT144" s="14"/>
      <c r="BB144" s="24"/>
      <c r="BD144" s="8" t="s">
        <v>642</v>
      </c>
      <c r="BR144" s="24"/>
      <c r="BV144" s="14"/>
      <c r="BW144" s="14"/>
    </row>
    <row r="145" spans="1:75">
      <c r="A145" s="24"/>
      <c r="B145" s="24"/>
      <c r="L145" s="24"/>
      <c r="R145" s="14"/>
      <c r="S145" s="24"/>
      <c r="Y145" s="14"/>
      <c r="Z145" s="24"/>
      <c r="AG145" s="24"/>
      <c r="AN145" s="24"/>
      <c r="AT145" s="14"/>
      <c r="BB145" s="24"/>
      <c r="BD145" s="8" t="s">
        <v>643</v>
      </c>
      <c r="BR145" s="24"/>
      <c r="BV145" s="14"/>
      <c r="BW145" s="14"/>
    </row>
    <row r="146" spans="1:75">
      <c r="A146" s="24"/>
      <c r="B146" s="24"/>
      <c r="L146" s="24"/>
      <c r="R146" s="14"/>
      <c r="S146" s="24"/>
      <c r="Y146" s="14"/>
      <c r="Z146" s="24"/>
      <c r="AG146" s="24"/>
      <c r="AN146" s="24"/>
      <c r="AT146" s="14"/>
      <c r="BB146" s="24"/>
      <c r="BR146" s="24"/>
      <c r="BV146" s="14"/>
      <c r="BW146" s="14"/>
    </row>
    <row r="147" spans="1:75">
      <c r="A147" s="24"/>
      <c r="B147" s="24"/>
      <c r="L147" s="24"/>
      <c r="R147" s="14"/>
      <c r="S147" s="24"/>
      <c r="Y147" s="14"/>
      <c r="Z147" s="24"/>
      <c r="AG147" s="24"/>
      <c r="AN147" s="24"/>
      <c r="AT147" s="14"/>
      <c r="BB147" s="24"/>
      <c r="BR147" s="24"/>
      <c r="BV147" s="14"/>
      <c r="BW147" s="14"/>
    </row>
    <row r="148" spans="1:75">
      <c r="A148" s="24"/>
      <c r="B148" s="24"/>
      <c r="L148" s="24"/>
      <c r="R148" s="14"/>
      <c r="S148" s="24"/>
      <c r="Y148" s="14"/>
      <c r="Z148" s="24"/>
      <c r="AG148" s="24"/>
      <c r="AN148" s="24"/>
      <c r="AT148" s="14"/>
      <c r="BB148" s="24"/>
      <c r="BR148" s="24"/>
      <c r="BV148" s="14"/>
      <c r="BW148" s="14"/>
    </row>
    <row r="149" spans="1:75">
      <c r="A149" s="24"/>
      <c r="B149" s="24"/>
      <c r="L149" s="24"/>
      <c r="R149" s="14"/>
      <c r="S149" s="24"/>
      <c r="Y149" s="14"/>
      <c r="Z149" s="24"/>
      <c r="AG149" s="24"/>
      <c r="AN149" s="24"/>
      <c r="AT149" s="14"/>
      <c r="BB149" s="24"/>
      <c r="BR149" s="24"/>
      <c r="BV149" s="14"/>
      <c r="BW149" s="14"/>
    </row>
    <row r="150" spans="1:75">
      <c r="A150" s="24"/>
      <c r="B150" s="24"/>
      <c r="L150" s="24"/>
      <c r="R150" s="14"/>
      <c r="S150" s="24"/>
      <c r="Y150" s="14"/>
      <c r="Z150" s="24"/>
      <c r="AG150" s="24"/>
      <c r="AN150" s="24"/>
      <c r="AT150" s="14"/>
      <c r="BB150" s="24"/>
      <c r="BR150" s="24"/>
      <c r="BV150" s="14"/>
      <c r="BW150" s="14"/>
    </row>
    <row r="151" spans="1:75">
      <c r="A151" s="24"/>
      <c r="B151" s="24"/>
      <c r="K151" s="14"/>
      <c r="L151" s="24"/>
      <c r="R151" s="14"/>
      <c r="S151" s="24"/>
      <c r="Y151" s="14"/>
      <c r="Z151" s="24"/>
      <c r="AG151" s="24"/>
      <c r="AN151" s="24"/>
      <c r="AT151" s="14"/>
      <c r="BB151" s="24"/>
      <c r="BC151" s="11"/>
      <c r="BD151" s="49"/>
      <c r="BE151" s="11"/>
      <c r="BF151" s="11"/>
      <c r="BR151" s="24"/>
      <c r="BV151" s="14"/>
      <c r="BW151" s="14"/>
    </row>
    <row r="152" spans="1:75">
      <c r="A152" s="24"/>
      <c r="B152" s="24"/>
      <c r="K152" s="14"/>
      <c r="L152" s="24"/>
      <c r="R152" s="14"/>
      <c r="S152" s="24"/>
      <c r="Y152" s="14"/>
      <c r="Z152" s="24"/>
      <c r="AG152" s="24"/>
      <c r="AN152" s="24"/>
      <c r="AT152" s="14"/>
      <c r="BB152" s="24"/>
      <c r="BC152" s="11"/>
      <c r="BD152" s="49"/>
      <c r="BF152" s="11"/>
      <c r="BR152" s="24"/>
      <c r="BV152" s="14"/>
      <c r="BW152" s="14"/>
    </row>
    <row r="153" spans="1:75">
      <c r="A153" s="24"/>
      <c r="B153" s="24"/>
      <c r="L153" s="24"/>
      <c r="R153" s="14"/>
      <c r="S153" s="24"/>
      <c r="Y153" s="14"/>
      <c r="Z153" s="24"/>
      <c r="AG153" s="24"/>
      <c r="AN153" s="24"/>
      <c r="AT153" s="14"/>
      <c r="BB153" s="24"/>
      <c r="BD153" s="49"/>
      <c r="BR153" s="24"/>
      <c r="BV153" s="14"/>
      <c r="BW153" s="14"/>
    </row>
    <row r="154" spans="1:75">
      <c r="A154" s="24"/>
      <c r="B154" s="24"/>
      <c r="K154" s="14"/>
      <c r="L154" s="24"/>
      <c r="R154" s="14"/>
      <c r="S154" s="24"/>
      <c r="Y154" s="14"/>
      <c r="Z154" s="24"/>
      <c r="AG154" s="24"/>
      <c r="AN154" s="24"/>
      <c r="AT154" s="14"/>
      <c r="BB154" s="24"/>
      <c r="BR154" s="24"/>
      <c r="BV154" s="14"/>
      <c r="BW154" s="14"/>
    </row>
    <row r="155" spans="1:75">
      <c r="A155" s="24"/>
      <c r="B155" s="24"/>
      <c r="K155" s="14"/>
      <c r="L155" s="24"/>
      <c r="R155" s="14"/>
      <c r="S155" s="24"/>
      <c r="Y155" s="14"/>
      <c r="Z155" s="24"/>
      <c r="AG155" s="24"/>
      <c r="AN155" s="24"/>
      <c r="AT155" s="14"/>
      <c r="BB155" s="24"/>
      <c r="BR155" s="24"/>
      <c r="BV155" s="14"/>
      <c r="BW155" s="14"/>
    </row>
    <row r="156" spans="1:75" s="11" customFormat="1">
      <c r="A156" s="25"/>
      <c r="B156" s="26" t="s">
        <v>591</v>
      </c>
      <c r="C156" s="31"/>
      <c r="D156" s="31"/>
      <c r="E156" s="31"/>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30"/>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13"/>
    </row>
    <row r="157" spans="1:75" s="11" customFormat="1">
      <c r="A157" s="25"/>
      <c r="B157" s="24"/>
      <c r="C157" s="8"/>
      <c r="D157" s="8"/>
      <c r="E157" s="8"/>
      <c r="F157" s="8"/>
      <c r="G157" s="8"/>
      <c r="H157" s="8"/>
      <c r="I157" s="8"/>
      <c r="J157" s="8"/>
      <c r="K157" s="14"/>
      <c r="L157" s="24"/>
      <c r="M157" s="8"/>
      <c r="N157" s="8"/>
      <c r="O157" s="8"/>
      <c r="P157" s="8"/>
      <c r="Q157" s="8"/>
      <c r="R157" s="8"/>
      <c r="S157" s="24"/>
      <c r="T157" s="8"/>
      <c r="U157" s="8"/>
      <c r="V157" s="8"/>
      <c r="W157" s="8"/>
      <c r="X157" s="8"/>
      <c r="Y157" s="8"/>
      <c r="Z157" s="24"/>
      <c r="AA157" s="8"/>
      <c r="AB157" s="8"/>
      <c r="AC157" s="8"/>
      <c r="AD157" s="8"/>
      <c r="AE157" s="8"/>
      <c r="AF157" s="8"/>
      <c r="AG157" s="24"/>
      <c r="AH157" s="8"/>
      <c r="AI157" s="8"/>
      <c r="AJ157" s="8"/>
      <c r="AK157" s="8"/>
      <c r="AL157" s="8"/>
      <c r="AM157" s="14"/>
      <c r="AN157" s="24"/>
      <c r="AO157" s="8"/>
      <c r="AP157" s="8"/>
      <c r="AQ157" s="8"/>
      <c r="AR157" s="8"/>
      <c r="AS157" s="8"/>
      <c r="AT157" s="14"/>
      <c r="AU157" s="8"/>
      <c r="AV157" s="8"/>
      <c r="AW157" s="8"/>
      <c r="AX157" s="8"/>
      <c r="AY157" s="8"/>
      <c r="AZ157" s="8"/>
      <c r="BA157" s="8"/>
      <c r="BB157" s="24"/>
      <c r="BC157" s="8"/>
      <c r="BD157" s="8"/>
      <c r="BE157" s="8"/>
      <c r="BF157" s="8"/>
      <c r="BG157" s="8"/>
      <c r="BH157" s="8"/>
      <c r="BI157" s="8"/>
      <c r="BJ157" s="8"/>
      <c r="BK157" s="8"/>
      <c r="BL157" s="8"/>
      <c r="BM157" s="8"/>
      <c r="BN157" s="8"/>
      <c r="BO157" s="8"/>
      <c r="BP157" s="8"/>
      <c r="BQ157" s="8"/>
      <c r="BR157" s="24"/>
      <c r="BS157" s="8"/>
      <c r="BT157" s="8"/>
      <c r="BU157" s="8"/>
      <c r="BV157" s="14"/>
      <c r="BW157" s="13"/>
    </row>
    <row r="158" spans="1:75">
      <c r="A158" s="24"/>
      <c r="B158" s="24"/>
      <c r="K158" s="14"/>
      <c r="L158" s="24"/>
      <c r="S158" s="24"/>
      <c r="Z158" s="24"/>
      <c r="AG158" s="24"/>
      <c r="AM158" s="14"/>
      <c r="AN158" s="24"/>
      <c r="AT158" s="14"/>
      <c r="BB158" s="24"/>
      <c r="BR158" s="24"/>
      <c r="BV158" s="14"/>
      <c r="BW158" s="14"/>
    </row>
    <row r="159" spans="1:75">
      <c r="A159" s="24"/>
      <c r="B159" s="24"/>
      <c r="K159" s="14"/>
      <c r="L159" s="24"/>
      <c r="S159" s="24"/>
      <c r="Z159" s="24"/>
      <c r="AG159" s="24"/>
      <c r="AM159" s="14"/>
      <c r="AN159" s="24"/>
      <c r="AT159" s="14"/>
      <c r="BB159" s="24"/>
      <c r="BR159" s="24"/>
      <c r="BV159" s="14"/>
      <c r="BW159" s="14"/>
    </row>
    <row r="160" spans="1:75">
      <c r="A160" s="24"/>
      <c r="B160" s="24"/>
      <c r="K160" s="14"/>
      <c r="L160" s="24"/>
      <c r="R160" s="14"/>
      <c r="S160" s="24"/>
      <c r="Y160" s="14"/>
      <c r="Z160" s="24"/>
      <c r="AG160" s="24"/>
      <c r="AM160" s="14"/>
      <c r="AN160" s="24"/>
      <c r="AT160" s="14"/>
      <c r="BB160" s="24"/>
      <c r="BR160" s="24"/>
      <c r="BV160" s="14"/>
      <c r="BW160" s="14"/>
    </row>
    <row r="161" spans="1:75">
      <c r="A161" s="24"/>
      <c r="B161" s="24"/>
      <c r="K161" s="14"/>
      <c r="L161" s="24"/>
      <c r="R161" s="14"/>
      <c r="S161" s="24"/>
      <c r="Y161" s="14"/>
      <c r="Z161" s="24"/>
      <c r="AG161" s="24"/>
      <c r="AM161" s="14"/>
      <c r="AN161" s="24"/>
      <c r="AT161" s="14"/>
      <c r="BB161" s="24"/>
      <c r="BC161" s="16" t="s">
        <v>644</v>
      </c>
      <c r="BR161" s="24"/>
      <c r="BV161" s="14"/>
      <c r="BW161" s="14"/>
    </row>
    <row r="162" spans="1:75">
      <c r="A162" s="24"/>
      <c r="B162" s="24"/>
      <c r="K162" s="14"/>
      <c r="L162" s="24"/>
      <c r="R162" s="14"/>
      <c r="S162" s="24"/>
      <c r="Y162" s="14"/>
      <c r="Z162" s="24"/>
      <c r="AG162" s="24"/>
      <c r="AM162" s="14"/>
      <c r="AN162" s="24"/>
      <c r="AT162" s="14"/>
      <c r="BB162" s="24"/>
      <c r="BD162" s="8" t="s">
        <v>645</v>
      </c>
      <c r="BR162" s="24"/>
      <c r="BV162" s="14"/>
      <c r="BW162" s="14"/>
    </row>
    <row r="163" spans="1:75">
      <c r="A163" s="24"/>
      <c r="B163" s="24"/>
      <c r="K163" s="14"/>
      <c r="L163" s="24"/>
      <c r="R163" s="14"/>
      <c r="S163" s="24"/>
      <c r="Y163" s="14"/>
      <c r="Z163" s="24"/>
      <c r="AG163" s="24"/>
      <c r="AM163" s="14"/>
      <c r="AN163" s="24"/>
      <c r="AT163" s="14"/>
      <c r="BB163" s="24"/>
      <c r="BD163" s="8" t="s">
        <v>646</v>
      </c>
      <c r="BR163" s="24"/>
      <c r="BV163" s="14"/>
      <c r="BW163" s="14"/>
    </row>
    <row r="164" spans="1:75">
      <c r="A164" s="24"/>
      <c r="B164" s="24"/>
      <c r="K164" s="14"/>
      <c r="L164" s="24"/>
      <c r="R164" s="14"/>
      <c r="S164" s="24"/>
      <c r="Y164" s="14"/>
      <c r="Z164" s="24"/>
      <c r="AG164" s="24"/>
      <c r="AM164" s="14"/>
      <c r="AN164" s="24"/>
      <c r="AT164" s="14"/>
      <c r="BB164" s="24"/>
      <c r="BD164" s="8" t="s">
        <v>118</v>
      </c>
      <c r="BE164" s="8" t="s">
        <v>647</v>
      </c>
      <c r="BR164" s="24"/>
      <c r="BV164" s="14"/>
      <c r="BW164" s="14"/>
    </row>
    <row r="165" spans="1:75">
      <c r="A165" s="24"/>
      <c r="B165" s="24"/>
      <c r="K165" s="14"/>
      <c r="L165" s="24"/>
      <c r="R165" s="14"/>
      <c r="S165" s="24"/>
      <c r="Y165" s="14"/>
      <c r="Z165" s="24"/>
      <c r="AG165" s="24"/>
      <c r="AM165" s="14"/>
      <c r="AN165" s="24"/>
      <c r="AT165" s="14"/>
      <c r="BB165" s="24"/>
      <c r="BD165" s="8" t="s">
        <v>118</v>
      </c>
      <c r="BE165" s="8" t="s">
        <v>648</v>
      </c>
      <c r="BR165" s="24"/>
      <c r="BV165" s="14"/>
      <c r="BW165" s="14"/>
    </row>
    <row r="166" spans="1:75">
      <c r="A166" s="24"/>
      <c r="B166" s="24"/>
      <c r="K166" s="14"/>
      <c r="L166" s="24"/>
      <c r="R166" s="14"/>
      <c r="S166" s="24"/>
      <c r="Y166" s="14"/>
      <c r="Z166" s="24"/>
      <c r="AG166" s="24"/>
      <c r="AM166" s="14"/>
      <c r="AN166" s="24"/>
      <c r="AT166" s="14"/>
      <c r="BB166" s="24"/>
      <c r="BD166" s="86" t="s">
        <v>637</v>
      </c>
      <c r="BE166" s="87"/>
      <c r="BF166" s="87"/>
      <c r="BG166" s="87"/>
      <c r="BH166" s="87"/>
      <c r="BI166" s="87"/>
      <c r="BJ166" s="87"/>
      <c r="BK166" s="87"/>
      <c r="BL166" s="87"/>
      <c r="BM166" s="87"/>
      <c r="BN166" s="88"/>
      <c r="BR166" s="24"/>
      <c r="BV166" s="14"/>
      <c r="BW166" s="14"/>
    </row>
    <row r="167" spans="1:75">
      <c r="A167" s="24"/>
      <c r="B167" s="24"/>
      <c r="K167" s="14"/>
      <c r="L167" s="24"/>
      <c r="R167" s="14"/>
      <c r="S167" s="24"/>
      <c r="Y167" s="14"/>
      <c r="Z167" s="24"/>
      <c r="AG167" s="24"/>
      <c r="AM167" s="14"/>
      <c r="AN167" s="24"/>
      <c r="AT167" s="14"/>
      <c r="BB167" s="24"/>
      <c r="BC167" s="11"/>
      <c r="BD167" s="89" t="s">
        <v>639</v>
      </c>
      <c r="BE167" s="90"/>
      <c r="BF167" s="90"/>
      <c r="BG167" s="90"/>
      <c r="BH167" s="91"/>
      <c r="BI167" s="89" t="s">
        <v>649</v>
      </c>
      <c r="BJ167" s="90"/>
      <c r="BK167" s="90"/>
      <c r="BL167" s="90"/>
      <c r="BM167" s="90"/>
      <c r="BN167" s="91"/>
      <c r="BR167" s="24"/>
      <c r="BV167" s="14"/>
      <c r="BW167" s="14"/>
    </row>
    <row r="168" spans="1:75">
      <c r="A168" s="24"/>
      <c r="B168" s="24"/>
      <c r="K168" s="14"/>
      <c r="L168" s="24"/>
      <c r="R168" s="14"/>
      <c r="S168" s="24"/>
      <c r="Y168" s="14"/>
      <c r="Z168" s="24"/>
      <c r="AG168" s="24"/>
      <c r="AM168" s="14"/>
      <c r="AN168" s="24"/>
      <c r="AT168" s="14"/>
      <c r="BB168" s="24"/>
      <c r="BC168" s="11"/>
      <c r="BD168" s="123" t="s">
        <v>118</v>
      </c>
      <c r="BE168" s="125" t="s">
        <v>736</v>
      </c>
      <c r="BF168" s="11"/>
      <c r="BR168" s="24"/>
      <c r="BV168" s="14"/>
      <c r="BW168" s="14"/>
    </row>
    <row r="169" spans="1:75">
      <c r="A169" s="24"/>
      <c r="B169" s="24"/>
      <c r="K169" s="14"/>
      <c r="L169" s="24"/>
      <c r="R169" s="14"/>
      <c r="S169" s="24"/>
      <c r="Y169" s="14"/>
      <c r="Z169" s="24"/>
      <c r="AG169" s="24"/>
      <c r="AM169" s="14"/>
      <c r="AN169" s="24"/>
      <c r="AT169" s="14"/>
      <c r="BB169" s="24"/>
      <c r="BC169" s="11"/>
      <c r="BE169" s="125" t="s">
        <v>737</v>
      </c>
      <c r="BF169" s="11"/>
      <c r="BR169" s="24"/>
      <c r="BV169" s="14"/>
      <c r="BW169" s="14"/>
    </row>
    <row r="170" spans="1:75">
      <c r="A170" s="24"/>
      <c r="B170" s="24"/>
      <c r="K170" s="14"/>
      <c r="L170" s="24"/>
      <c r="R170" s="14"/>
      <c r="S170" s="24"/>
      <c r="Y170" s="14"/>
      <c r="Z170" s="24"/>
      <c r="AG170" s="24"/>
      <c r="AM170" s="14"/>
      <c r="AN170" s="24"/>
      <c r="AT170" s="14"/>
      <c r="BB170" s="24"/>
      <c r="BC170" s="11"/>
      <c r="BD170" s="123" t="s">
        <v>118</v>
      </c>
      <c r="BE170" s="125" t="s">
        <v>738</v>
      </c>
      <c r="BF170" s="11"/>
      <c r="BR170" s="24"/>
      <c r="BV170" s="14"/>
      <c r="BW170" s="14"/>
    </row>
    <row r="171" spans="1:75">
      <c r="A171" s="24"/>
      <c r="B171" s="24"/>
      <c r="K171" s="14"/>
      <c r="L171" s="24"/>
      <c r="R171" s="14"/>
      <c r="S171" s="24"/>
      <c r="Y171" s="14"/>
      <c r="Z171" s="24"/>
      <c r="AG171" s="24"/>
      <c r="AM171" s="14"/>
      <c r="AN171" s="24"/>
      <c r="AT171" s="14"/>
      <c r="BB171" s="24"/>
      <c r="BC171" s="11"/>
      <c r="BE171" s="125" t="s">
        <v>739</v>
      </c>
      <c r="BF171" s="11"/>
      <c r="BR171" s="24"/>
      <c r="BV171" s="14"/>
      <c r="BW171" s="14"/>
    </row>
    <row r="172" spans="1:75">
      <c r="A172" s="24"/>
      <c r="B172" s="24"/>
      <c r="K172" s="14"/>
      <c r="L172" s="24"/>
      <c r="R172" s="14"/>
      <c r="S172" s="24"/>
      <c r="Y172" s="14"/>
      <c r="Z172" s="24"/>
      <c r="AG172" s="24"/>
      <c r="AM172" s="14"/>
      <c r="AN172" s="24"/>
      <c r="AT172" s="14"/>
      <c r="BB172" s="24"/>
      <c r="BC172" s="11"/>
      <c r="BE172" s="125" t="s">
        <v>740</v>
      </c>
      <c r="BF172" s="11"/>
      <c r="BR172" s="24"/>
      <c r="BV172" s="14"/>
      <c r="BW172" s="14"/>
    </row>
    <row r="173" spans="1:75">
      <c r="A173" s="24"/>
      <c r="B173" s="24"/>
      <c r="K173" s="14"/>
      <c r="L173" s="24"/>
      <c r="R173" s="14"/>
      <c r="S173" s="24"/>
      <c r="Y173" s="14"/>
      <c r="Z173" s="24"/>
      <c r="AG173" s="24"/>
      <c r="AM173" s="14"/>
      <c r="AN173" s="24"/>
      <c r="AT173" s="14"/>
      <c r="BB173" s="24"/>
      <c r="BC173" s="11"/>
      <c r="BR173" s="24"/>
      <c r="BV173" s="14"/>
      <c r="BW173" s="14"/>
    </row>
    <row r="174" spans="1:75">
      <c r="A174" s="24"/>
      <c r="B174" s="24"/>
      <c r="K174" s="14"/>
      <c r="L174" s="24"/>
      <c r="R174" s="14"/>
      <c r="S174" s="24"/>
      <c r="Y174" s="14"/>
      <c r="Z174" s="24"/>
      <c r="AG174" s="24"/>
      <c r="AM174" s="14"/>
      <c r="AN174" s="24"/>
      <c r="AT174" s="14"/>
      <c r="BB174" s="24"/>
      <c r="BC174" s="11"/>
      <c r="BD174" s="8" t="s">
        <v>118</v>
      </c>
      <c r="BE174" s="11" t="s">
        <v>755</v>
      </c>
      <c r="BF174" s="11"/>
      <c r="BR174" s="24"/>
      <c r="BV174" s="14"/>
      <c r="BW174" s="14"/>
    </row>
    <row r="175" spans="1:75">
      <c r="A175" s="24"/>
      <c r="B175" s="24"/>
      <c r="K175" s="14"/>
      <c r="L175" s="24"/>
      <c r="R175" s="14"/>
      <c r="S175" s="24"/>
      <c r="Y175" s="14"/>
      <c r="Z175" s="24"/>
      <c r="AG175" s="24"/>
      <c r="AM175" s="14"/>
      <c r="AN175" s="24"/>
      <c r="AT175" s="14"/>
      <c r="BB175" s="24"/>
      <c r="BC175" s="11"/>
      <c r="BE175" s="11" t="s">
        <v>651</v>
      </c>
      <c r="BF175" s="11"/>
      <c r="BR175" s="24"/>
      <c r="BV175" s="14"/>
      <c r="BW175" s="14"/>
    </row>
    <row r="176" spans="1:75">
      <c r="A176" s="24"/>
      <c r="B176" s="24"/>
      <c r="K176" s="14"/>
      <c r="L176" s="24"/>
      <c r="R176" s="14"/>
      <c r="S176" s="24"/>
      <c r="Y176" s="14"/>
      <c r="Z176" s="24"/>
      <c r="AG176" s="24"/>
      <c r="AM176" s="14"/>
      <c r="AN176" s="24"/>
      <c r="AT176" s="14"/>
      <c r="BB176" s="24"/>
      <c r="BC176" s="11"/>
      <c r="BE176" s="11" t="s">
        <v>652</v>
      </c>
      <c r="BF176" s="11"/>
      <c r="BR176" s="24"/>
      <c r="BV176" s="14"/>
      <c r="BW176" s="14"/>
    </row>
    <row r="177" spans="1:75">
      <c r="A177" s="24"/>
      <c r="B177" s="24"/>
      <c r="K177" s="14"/>
      <c r="L177" s="24"/>
      <c r="R177" s="14"/>
      <c r="S177" s="24"/>
      <c r="Y177" s="14"/>
      <c r="Z177" s="24"/>
      <c r="AG177" s="24"/>
      <c r="AM177" s="14"/>
      <c r="AN177" s="24"/>
      <c r="AT177" s="14"/>
      <c r="BB177" s="24"/>
      <c r="BC177" s="11"/>
      <c r="BE177" s="11" t="s">
        <v>653</v>
      </c>
      <c r="BF177" s="11"/>
      <c r="BR177" s="24"/>
      <c r="BV177" s="14"/>
      <c r="BW177" s="14"/>
    </row>
    <row r="178" spans="1:75">
      <c r="A178" s="24"/>
      <c r="B178" s="24"/>
      <c r="K178" s="14"/>
      <c r="L178" s="24"/>
      <c r="R178" s="14"/>
      <c r="S178" s="24"/>
      <c r="Y178" s="14"/>
      <c r="Z178" s="24"/>
      <c r="AG178" s="24"/>
      <c r="AM178" s="14"/>
      <c r="AN178" s="24"/>
      <c r="AT178" s="14"/>
      <c r="BB178" s="24"/>
      <c r="BC178" s="11"/>
      <c r="BE178" s="11" t="s">
        <v>654</v>
      </c>
      <c r="BF178" s="11"/>
      <c r="BR178" s="24"/>
      <c r="BV178" s="14"/>
      <c r="BW178" s="14"/>
    </row>
    <row r="179" spans="1:75">
      <c r="A179" s="24"/>
      <c r="B179" s="24"/>
      <c r="K179" s="14"/>
      <c r="L179" s="24"/>
      <c r="R179" s="14"/>
      <c r="S179" s="24"/>
      <c r="Y179" s="14"/>
      <c r="Z179" s="24"/>
      <c r="AG179" s="24"/>
      <c r="AM179" s="14"/>
      <c r="AN179" s="24"/>
      <c r="AT179" s="14"/>
      <c r="BB179" s="24"/>
      <c r="BC179" s="11"/>
      <c r="BE179" s="11" t="s">
        <v>756</v>
      </c>
      <c r="BF179" s="11"/>
      <c r="BR179" s="24"/>
      <c r="BV179" s="14"/>
      <c r="BW179" s="14"/>
    </row>
    <row r="180" spans="1:75">
      <c r="A180" s="24"/>
      <c r="B180" s="24"/>
      <c r="K180" s="14"/>
      <c r="L180" s="24"/>
      <c r="R180" s="14"/>
      <c r="S180" s="24"/>
      <c r="Y180" s="14"/>
      <c r="Z180" s="24"/>
      <c r="AG180" s="24"/>
      <c r="AM180" s="14"/>
      <c r="AN180" s="24"/>
      <c r="AT180" s="14"/>
      <c r="BB180" s="24"/>
      <c r="BC180" s="11"/>
      <c r="BE180" s="11" t="s">
        <v>757</v>
      </c>
      <c r="BF180" s="11"/>
      <c r="BR180" s="24"/>
      <c r="BV180" s="14"/>
      <c r="BW180" s="14"/>
    </row>
    <row r="181" spans="1:75">
      <c r="A181" s="24"/>
      <c r="B181" s="24"/>
      <c r="K181" s="14"/>
      <c r="L181" s="24"/>
      <c r="R181" s="14"/>
      <c r="S181" s="24"/>
      <c r="Y181" s="14"/>
      <c r="Z181" s="24"/>
      <c r="AG181" s="24"/>
      <c r="AM181" s="14"/>
      <c r="AN181" s="24"/>
      <c r="AT181" s="14"/>
      <c r="BB181" s="24"/>
      <c r="BE181" s="11" t="s">
        <v>655</v>
      </c>
      <c r="BF181" s="11"/>
      <c r="BR181" s="24"/>
      <c r="BV181" s="14"/>
      <c r="BW181" s="14"/>
    </row>
    <row r="182" spans="1:75">
      <c r="A182" s="24"/>
      <c r="B182" s="24"/>
      <c r="K182" s="14"/>
      <c r="L182" s="24"/>
      <c r="R182" s="14"/>
      <c r="S182" s="24"/>
      <c r="Y182" s="14"/>
      <c r="Z182" s="24"/>
      <c r="AG182" s="24"/>
      <c r="AM182" s="14"/>
      <c r="AN182" s="24"/>
      <c r="AT182" s="14"/>
      <c r="BB182" s="24"/>
      <c r="BR182" s="24"/>
      <c r="BV182" s="14"/>
      <c r="BW182" s="14"/>
    </row>
    <row r="183" spans="1:75">
      <c r="A183" s="24"/>
      <c r="B183" s="24"/>
      <c r="K183" s="14"/>
      <c r="L183" s="24"/>
      <c r="R183" s="14"/>
      <c r="S183" s="24"/>
      <c r="Y183" s="14"/>
      <c r="Z183" s="24"/>
      <c r="AG183" s="24"/>
      <c r="AM183" s="14"/>
      <c r="AN183" s="24"/>
      <c r="AT183" s="14"/>
      <c r="BB183" s="24"/>
      <c r="BR183" s="24"/>
      <c r="BV183" s="14"/>
      <c r="BW183" s="14"/>
    </row>
    <row r="184" spans="1:75">
      <c r="A184" s="24"/>
      <c r="B184" s="24"/>
      <c r="K184" s="14"/>
      <c r="L184" s="24"/>
      <c r="R184" s="14"/>
      <c r="S184" s="24"/>
      <c r="Y184" s="14"/>
      <c r="Z184" s="24"/>
      <c r="AG184" s="24"/>
      <c r="AM184" s="14"/>
      <c r="AN184" s="24"/>
      <c r="AT184" s="14"/>
      <c r="BB184" s="24"/>
      <c r="BC184" s="11"/>
      <c r="BE184" s="11"/>
      <c r="BF184" s="11"/>
      <c r="BR184" s="24"/>
      <c r="BV184" s="14"/>
      <c r="BW184" s="14"/>
    </row>
    <row r="185" spans="1:75" s="11" customFormat="1">
      <c r="A185" s="25"/>
      <c r="B185" s="26" t="s">
        <v>599</v>
      </c>
      <c r="C185" s="31"/>
      <c r="D185" s="31"/>
      <c r="E185" s="31"/>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30"/>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13"/>
    </row>
    <row r="186" spans="1:75" s="11" customFormat="1">
      <c r="A186" s="25"/>
      <c r="B186" s="24"/>
      <c r="C186" s="8"/>
      <c r="D186" s="8"/>
      <c r="E186" s="8"/>
      <c r="F186" s="8"/>
      <c r="G186" s="8"/>
      <c r="H186" s="8"/>
      <c r="I186" s="8"/>
      <c r="J186" s="8"/>
      <c r="K186" s="14"/>
      <c r="L186" s="24"/>
      <c r="M186" s="8"/>
      <c r="N186" s="8"/>
      <c r="O186" s="8"/>
      <c r="P186" s="8"/>
      <c r="Q186" s="8"/>
      <c r="R186" s="14"/>
      <c r="S186" s="24"/>
      <c r="T186" s="8"/>
      <c r="U186" s="8"/>
      <c r="V186" s="8"/>
      <c r="W186" s="8"/>
      <c r="X186" s="8"/>
      <c r="Y186" s="14"/>
      <c r="Z186" s="24"/>
      <c r="AA186" s="8"/>
      <c r="AB186" s="8"/>
      <c r="AC186" s="8"/>
      <c r="AD186" s="8"/>
      <c r="AE186" s="8"/>
      <c r="AF186" s="8"/>
      <c r="AG186" s="24"/>
      <c r="AH186" s="8"/>
      <c r="AI186" s="8"/>
      <c r="AJ186" s="8"/>
      <c r="AK186" s="8"/>
      <c r="AL186" s="8"/>
      <c r="AM186" s="14"/>
      <c r="AN186" s="24"/>
      <c r="AO186" s="8"/>
      <c r="AP186" s="8"/>
      <c r="AQ186" s="8"/>
      <c r="AR186" s="8"/>
      <c r="AS186" s="8"/>
      <c r="AT186" s="14"/>
      <c r="AU186" s="8"/>
      <c r="AV186" s="8"/>
      <c r="AW186" s="8"/>
      <c r="AX186" s="8"/>
      <c r="AY186" s="8"/>
      <c r="AZ186" s="8"/>
      <c r="BA186" s="8"/>
      <c r="BB186" s="24"/>
      <c r="BC186" s="8"/>
      <c r="BD186" s="8"/>
      <c r="BE186" s="8"/>
      <c r="BF186" s="8"/>
      <c r="BG186" s="8"/>
      <c r="BH186" s="8"/>
      <c r="BI186" s="8"/>
      <c r="BJ186" s="8"/>
      <c r="BK186" s="8"/>
      <c r="BL186" s="8"/>
      <c r="BM186" s="8"/>
      <c r="BN186" s="8"/>
      <c r="BO186" s="8"/>
      <c r="BP186" s="8"/>
      <c r="BQ186" s="8"/>
      <c r="BR186" s="24"/>
      <c r="BS186" s="8"/>
      <c r="BT186" s="8"/>
      <c r="BU186" s="8"/>
      <c r="BV186" s="14"/>
      <c r="BW186" s="13"/>
    </row>
    <row r="187" spans="1:75">
      <c r="A187" s="24"/>
      <c r="B187" s="24"/>
      <c r="K187" s="14"/>
      <c r="L187" s="24"/>
      <c r="R187" s="14"/>
      <c r="S187" s="24"/>
      <c r="Y187" s="14"/>
      <c r="Z187" s="24"/>
      <c r="AG187" s="24"/>
      <c r="AM187" s="14"/>
      <c r="AN187" s="24"/>
      <c r="AT187" s="14"/>
      <c r="BB187" s="24"/>
      <c r="BR187" s="24"/>
      <c r="BV187" s="14"/>
      <c r="BW187" s="14"/>
    </row>
    <row r="188" spans="1:75">
      <c r="A188" s="24"/>
      <c r="B188" s="24"/>
      <c r="K188" s="14"/>
      <c r="L188" s="24"/>
      <c r="R188" s="14"/>
      <c r="S188" s="24"/>
      <c r="Y188" s="14"/>
      <c r="Z188" s="24"/>
      <c r="AG188" s="24"/>
      <c r="AM188" s="14"/>
      <c r="AN188" s="24"/>
      <c r="AT188" s="14"/>
      <c r="BB188" s="24"/>
      <c r="BR188" s="24"/>
      <c r="BV188" s="14"/>
      <c r="BW188" s="14"/>
    </row>
    <row r="189" spans="1:75">
      <c r="A189" s="24"/>
      <c r="B189" s="24"/>
      <c r="K189" s="14"/>
      <c r="L189" s="24"/>
      <c r="R189" s="14"/>
      <c r="S189" s="24"/>
      <c r="Y189" s="14"/>
      <c r="Z189" s="24"/>
      <c r="AG189" s="24"/>
      <c r="AM189" s="14"/>
      <c r="AN189" s="24"/>
      <c r="AT189" s="14"/>
      <c r="BB189" s="24"/>
      <c r="BR189" s="24"/>
      <c r="BV189" s="14"/>
      <c r="BW189" s="14"/>
    </row>
    <row r="190" spans="1:75">
      <c r="A190" s="24"/>
      <c r="B190" s="24"/>
      <c r="K190" s="14"/>
      <c r="L190" s="24"/>
      <c r="R190" s="14"/>
      <c r="S190" s="24"/>
      <c r="Y190" s="14"/>
      <c r="Z190" s="24"/>
      <c r="AG190" s="24"/>
      <c r="AM190" s="14"/>
      <c r="AN190" s="24"/>
      <c r="AT190" s="14"/>
      <c r="BB190" s="24"/>
      <c r="BR190" s="24"/>
      <c r="BV190" s="14"/>
      <c r="BW190" s="14"/>
    </row>
    <row r="191" spans="1:75">
      <c r="A191" s="24"/>
      <c r="B191" s="24"/>
      <c r="K191" s="14"/>
      <c r="L191" s="24"/>
      <c r="R191" s="14"/>
      <c r="S191" s="24"/>
      <c r="Y191" s="14"/>
      <c r="Z191" s="24"/>
      <c r="AG191" s="24"/>
      <c r="AM191" s="14"/>
      <c r="AN191" s="24"/>
      <c r="AT191" s="14"/>
      <c r="BB191" s="24"/>
      <c r="BF191" s="11"/>
      <c r="BR191" s="24"/>
      <c r="BV191" s="14"/>
      <c r="BW191" s="14"/>
    </row>
    <row r="192" spans="1:75">
      <c r="A192" s="24"/>
      <c r="B192" s="24"/>
      <c r="K192" s="14"/>
      <c r="L192" s="24"/>
      <c r="R192" s="14"/>
      <c r="S192" s="24"/>
      <c r="Y192" s="14"/>
      <c r="Z192" s="24"/>
      <c r="AG192" s="24"/>
      <c r="AM192" s="14"/>
      <c r="AN192" s="24"/>
      <c r="AT192" s="14"/>
      <c r="BB192" s="24"/>
      <c r="BC192" s="16" t="s">
        <v>656</v>
      </c>
      <c r="BR192" s="24"/>
      <c r="BV192" s="14"/>
      <c r="BW192" s="14"/>
    </row>
    <row r="193" spans="1:75">
      <c r="A193" s="24"/>
      <c r="B193" s="24"/>
      <c r="K193" s="14"/>
      <c r="L193" s="24"/>
      <c r="R193" s="14"/>
      <c r="S193" s="24"/>
      <c r="Y193" s="14"/>
      <c r="Z193" s="24"/>
      <c r="AG193" s="24"/>
      <c r="AM193" s="14"/>
      <c r="AN193" s="24"/>
      <c r="AT193" s="14"/>
      <c r="BB193" s="24"/>
      <c r="BD193" s="8" t="s">
        <v>657</v>
      </c>
      <c r="BR193" s="24"/>
      <c r="BV193" s="14"/>
      <c r="BW193" s="14"/>
    </row>
    <row r="194" spans="1:75">
      <c r="A194" s="24"/>
      <c r="B194" s="24"/>
      <c r="K194" s="14"/>
      <c r="L194" s="24"/>
      <c r="R194" s="14"/>
      <c r="S194" s="24"/>
      <c r="Y194" s="14"/>
      <c r="Z194" s="24"/>
      <c r="AG194" s="24"/>
      <c r="AM194" s="14"/>
      <c r="AN194" s="24"/>
      <c r="AT194" s="14"/>
      <c r="BB194" s="24"/>
      <c r="BD194" s="8" t="s">
        <v>658</v>
      </c>
      <c r="BR194" s="24"/>
      <c r="BV194" s="14"/>
      <c r="BW194" s="14"/>
    </row>
    <row r="195" spans="1:75">
      <c r="A195" s="24"/>
      <c r="B195" s="24"/>
      <c r="K195" s="14"/>
      <c r="L195" s="24"/>
      <c r="R195" s="14"/>
      <c r="S195" s="24"/>
      <c r="Y195" s="14"/>
      <c r="Z195" s="24"/>
      <c r="AG195" s="24"/>
      <c r="AM195" s="14"/>
      <c r="AN195" s="24"/>
      <c r="AT195" s="14"/>
      <c r="BB195" s="24"/>
      <c r="BD195" s="8" t="s">
        <v>118</v>
      </c>
      <c r="BE195" s="8" t="s">
        <v>659</v>
      </c>
      <c r="BR195" s="24"/>
      <c r="BV195" s="14"/>
      <c r="BW195" s="14"/>
    </row>
    <row r="196" spans="1:75">
      <c r="A196" s="24"/>
      <c r="B196" s="24"/>
      <c r="K196" s="14"/>
      <c r="L196" s="24"/>
      <c r="R196" s="14"/>
      <c r="S196" s="24"/>
      <c r="Y196" s="14"/>
      <c r="Z196" s="24"/>
      <c r="AG196" s="24"/>
      <c r="AM196" s="14"/>
      <c r="AN196" s="24"/>
      <c r="AT196" s="14"/>
      <c r="BB196" s="24"/>
      <c r="BD196" s="8" t="s">
        <v>118</v>
      </c>
      <c r="BE196" s="8" t="s">
        <v>648</v>
      </c>
      <c r="BR196" s="24"/>
      <c r="BV196" s="14"/>
      <c r="BW196" s="14"/>
    </row>
    <row r="197" spans="1:75">
      <c r="A197" s="24"/>
      <c r="B197" s="24"/>
      <c r="K197" s="14"/>
      <c r="L197" s="24"/>
      <c r="R197" s="14"/>
      <c r="S197" s="24"/>
      <c r="Y197" s="14"/>
      <c r="Z197" s="24"/>
      <c r="AG197" s="24"/>
      <c r="AM197" s="14"/>
      <c r="AN197" s="24"/>
      <c r="AT197" s="14"/>
      <c r="BB197" s="24"/>
      <c r="BC197" s="11"/>
      <c r="BD197" s="86" t="s">
        <v>637</v>
      </c>
      <c r="BE197" s="87"/>
      <c r="BF197" s="87"/>
      <c r="BG197" s="87"/>
      <c r="BH197" s="87"/>
      <c r="BI197" s="87"/>
      <c r="BJ197" s="87"/>
      <c r="BK197" s="87"/>
      <c r="BL197" s="87"/>
      <c r="BM197" s="87"/>
      <c r="BN197" s="87"/>
      <c r="BO197" s="88"/>
      <c r="BR197" s="24"/>
      <c r="BV197" s="14"/>
      <c r="BW197" s="14"/>
    </row>
    <row r="198" spans="1:75">
      <c r="A198" s="24"/>
      <c r="B198" s="24"/>
      <c r="K198" s="14"/>
      <c r="L198" s="24"/>
      <c r="R198" s="14"/>
      <c r="S198" s="24"/>
      <c r="Y198" s="14"/>
      <c r="Z198" s="24"/>
      <c r="AG198" s="24"/>
      <c r="AM198" s="14"/>
      <c r="AN198" s="24"/>
      <c r="AT198" s="14"/>
      <c r="BB198" s="24"/>
      <c r="BC198" s="11"/>
      <c r="BD198" s="89" t="s">
        <v>660</v>
      </c>
      <c r="BE198" s="90"/>
      <c r="BF198" s="90"/>
      <c r="BG198" s="90"/>
      <c r="BH198" s="91"/>
      <c r="BI198" s="91"/>
      <c r="BJ198" s="89" t="s">
        <v>639</v>
      </c>
      <c r="BK198" s="90"/>
      <c r="BL198" s="90"/>
      <c r="BM198" s="90"/>
      <c r="BN198" s="90"/>
      <c r="BO198" s="91"/>
      <c r="BR198" s="24"/>
      <c r="BV198" s="14"/>
      <c r="BW198" s="14"/>
    </row>
    <row r="199" spans="1:75">
      <c r="A199" s="24"/>
      <c r="B199" s="24"/>
      <c r="K199" s="14"/>
      <c r="L199" s="24"/>
      <c r="R199" s="14"/>
      <c r="S199" s="24"/>
      <c r="Y199" s="14"/>
      <c r="Z199" s="24"/>
      <c r="AG199" s="24"/>
      <c r="AM199" s="14"/>
      <c r="AN199" s="24"/>
      <c r="AT199" s="14"/>
      <c r="BB199" s="24"/>
      <c r="BC199" s="11"/>
      <c r="BD199" s="123" t="s">
        <v>118</v>
      </c>
      <c r="BE199" s="125" t="s">
        <v>736</v>
      </c>
      <c r="BF199" s="11"/>
      <c r="BR199" s="24"/>
      <c r="BV199" s="14"/>
      <c r="BW199" s="14"/>
    </row>
    <row r="200" spans="1:75">
      <c r="A200" s="24"/>
      <c r="B200" s="24"/>
      <c r="K200" s="14"/>
      <c r="L200" s="24"/>
      <c r="R200" s="14"/>
      <c r="S200" s="24"/>
      <c r="Y200" s="14"/>
      <c r="Z200" s="24"/>
      <c r="AG200" s="24"/>
      <c r="AM200" s="14"/>
      <c r="AN200" s="24"/>
      <c r="AT200" s="14"/>
      <c r="BB200" s="24"/>
      <c r="BE200" s="125" t="s">
        <v>737</v>
      </c>
      <c r="BF200" s="11"/>
      <c r="BR200" s="24"/>
      <c r="BV200" s="14"/>
      <c r="BW200" s="14"/>
    </row>
    <row r="201" spans="1:75">
      <c r="A201" s="24"/>
      <c r="B201" s="24"/>
      <c r="K201" s="14"/>
      <c r="L201" s="24"/>
      <c r="R201" s="14"/>
      <c r="S201" s="24"/>
      <c r="Y201" s="14"/>
      <c r="Z201" s="24"/>
      <c r="AG201" s="24"/>
      <c r="AM201" s="14"/>
      <c r="AN201" s="24"/>
      <c r="AT201" s="14"/>
      <c r="BB201" s="24"/>
      <c r="BC201" s="11"/>
      <c r="BD201" s="123" t="s">
        <v>118</v>
      </c>
      <c r="BE201" s="125" t="s">
        <v>738</v>
      </c>
      <c r="BF201" s="11"/>
      <c r="BR201" s="24"/>
      <c r="BV201" s="14"/>
      <c r="BW201" s="14"/>
    </row>
    <row r="202" spans="1:75">
      <c r="A202" s="24"/>
      <c r="B202" s="24"/>
      <c r="K202" s="14"/>
      <c r="L202" s="24"/>
      <c r="R202" s="14"/>
      <c r="S202" s="24"/>
      <c r="Y202" s="14"/>
      <c r="Z202" s="24"/>
      <c r="AG202" s="24"/>
      <c r="AM202" s="14"/>
      <c r="AN202" s="24"/>
      <c r="AT202" s="14"/>
      <c r="BB202" s="24"/>
      <c r="BC202" s="11"/>
      <c r="BE202" s="125" t="s">
        <v>739</v>
      </c>
      <c r="BF202" s="11"/>
      <c r="BR202" s="24"/>
      <c r="BV202" s="14"/>
      <c r="BW202" s="14"/>
    </row>
    <row r="203" spans="1:75">
      <c r="A203" s="24"/>
      <c r="B203" s="24"/>
      <c r="K203" s="14"/>
      <c r="L203" s="24"/>
      <c r="R203" s="14"/>
      <c r="S203" s="24"/>
      <c r="Y203" s="14"/>
      <c r="Z203" s="24"/>
      <c r="AG203" s="24"/>
      <c r="AM203" s="14"/>
      <c r="AN203" s="24"/>
      <c r="AT203" s="14"/>
      <c r="BB203" s="24"/>
      <c r="BC203" s="11"/>
      <c r="BE203" s="125" t="s">
        <v>740</v>
      </c>
      <c r="BF203" s="11"/>
      <c r="BR203" s="24"/>
      <c r="BV203" s="14"/>
      <c r="BW203" s="14"/>
    </row>
    <row r="204" spans="1:75">
      <c r="A204" s="24"/>
      <c r="B204" s="24"/>
      <c r="K204" s="14"/>
      <c r="L204" s="24"/>
      <c r="R204" s="14"/>
      <c r="S204" s="24"/>
      <c r="Y204" s="14"/>
      <c r="Z204" s="24"/>
      <c r="AG204" s="24"/>
      <c r="AM204" s="14"/>
      <c r="AN204" s="24"/>
      <c r="AT204" s="14"/>
      <c r="BB204" s="24"/>
      <c r="BC204" s="11"/>
      <c r="BE204" s="11"/>
      <c r="BF204" s="11"/>
      <c r="BR204" s="24"/>
      <c r="BV204" s="14"/>
      <c r="BW204" s="14"/>
    </row>
    <row r="205" spans="1:75">
      <c r="A205" s="24"/>
      <c r="B205" s="24"/>
      <c r="K205" s="14"/>
      <c r="L205" s="24"/>
      <c r="R205" s="14"/>
      <c r="S205" s="24"/>
      <c r="Y205" s="14"/>
      <c r="Z205" s="24"/>
      <c r="AG205" s="24"/>
      <c r="AM205" s="14"/>
      <c r="AN205" s="24"/>
      <c r="AT205" s="14"/>
      <c r="BB205" s="24"/>
      <c r="BC205" s="11"/>
      <c r="BE205" s="11"/>
      <c r="BF205" s="11"/>
      <c r="BR205" s="24"/>
      <c r="BV205" s="14"/>
      <c r="BW205" s="14"/>
    </row>
    <row r="206" spans="1:75">
      <c r="A206" s="24"/>
      <c r="B206" s="24"/>
      <c r="K206" s="14"/>
      <c r="L206" s="24"/>
      <c r="R206" s="14"/>
      <c r="S206" s="24"/>
      <c r="Y206" s="14"/>
      <c r="Z206" s="24"/>
      <c r="AG206" s="24"/>
      <c r="AM206" s="14"/>
      <c r="AN206" s="24"/>
      <c r="AT206" s="14"/>
      <c r="BB206" s="24"/>
      <c r="BC206" s="11"/>
      <c r="BE206" s="11"/>
      <c r="BF206" s="11"/>
      <c r="BR206" s="24"/>
      <c r="BV206" s="14"/>
      <c r="BW206" s="14"/>
    </row>
    <row r="207" spans="1:75">
      <c r="A207" s="24"/>
      <c r="B207" s="24"/>
      <c r="K207" s="14"/>
      <c r="L207" s="24"/>
      <c r="R207" s="14"/>
      <c r="S207" s="24"/>
      <c r="Y207" s="14"/>
      <c r="Z207" s="24"/>
      <c r="AG207" s="24"/>
      <c r="AM207" s="14"/>
      <c r="AN207" s="24"/>
      <c r="AT207" s="14"/>
      <c r="BB207" s="24"/>
      <c r="BC207" s="11"/>
      <c r="BE207" s="11"/>
      <c r="BF207" s="11"/>
      <c r="BR207" s="24"/>
      <c r="BV207" s="14"/>
      <c r="BW207" s="14"/>
    </row>
    <row r="208" spans="1:75">
      <c r="A208" s="24"/>
      <c r="B208" s="24"/>
      <c r="K208" s="14"/>
      <c r="L208" s="24"/>
      <c r="R208" s="14"/>
      <c r="S208" s="24"/>
      <c r="Y208" s="14"/>
      <c r="Z208" s="24"/>
      <c r="AG208" s="24"/>
      <c r="AM208" s="14"/>
      <c r="AN208" s="24"/>
      <c r="AT208" s="14"/>
      <c r="BB208" s="24"/>
      <c r="BC208" s="11"/>
      <c r="BE208" s="11"/>
      <c r="BF208" s="11"/>
      <c r="BR208" s="24"/>
      <c r="BV208" s="14"/>
      <c r="BW208" s="14"/>
    </row>
    <row r="209" spans="1:76">
      <c r="A209" s="24"/>
      <c r="B209" s="24"/>
      <c r="K209" s="14"/>
      <c r="L209" s="24"/>
      <c r="R209" s="14"/>
      <c r="S209" s="24"/>
      <c r="Y209" s="14"/>
      <c r="Z209" s="24"/>
      <c r="AG209" s="24"/>
      <c r="AM209" s="14"/>
      <c r="AN209" s="24"/>
      <c r="AT209" s="14"/>
      <c r="BB209" s="24"/>
      <c r="BC209" s="11"/>
      <c r="BE209" s="11"/>
      <c r="BF209" s="11"/>
      <c r="BR209" s="24"/>
      <c r="BV209" s="14"/>
      <c r="BW209" s="14"/>
    </row>
    <row r="210" spans="1:76" s="11" customFormat="1">
      <c r="A210" s="25"/>
      <c r="B210" s="26" t="s">
        <v>758</v>
      </c>
      <c r="C210" s="31"/>
      <c r="D210" s="31"/>
      <c r="E210" s="31"/>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30"/>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13"/>
    </row>
    <row r="211" spans="1:76" s="11" customFormat="1">
      <c r="A211" s="25"/>
      <c r="B211" s="29"/>
      <c r="K211" s="13"/>
      <c r="L211" s="29"/>
      <c r="R211" s="13"/>
      <c r="S211" s="29"/>
      <c r="Y211" s="13"/>
      <c r="Z211" s="29"/>
      <c r="AG211" s="29"/>
      <c r="AM211" s="13"/>
      <c r="AN211" s="29"/>
      <c r="AT211" s="13"/>
      <c r="BB211" s="29"/>
      <c r="BR211" s="29"/>
      <c r="BV211" s="13"/>
      <c r="BW211" s="13"/>
    </row>
    <row r="212" spans="1:76" s="11" customFormat="1">
      <c r="A212" s="25"/>
      <c r="B212" s="29"/>
      <c r="K212" s="13"/>
      <c r="L212" s="29"/>
      <c r="R212" s="13"/>
      <c r="S212" s="29"/>
      <c r="Y212" s="13"/>
      <c r="Z212" s="29"/>
      <c r="AG212" s="29"/>
      <c r="AM212" s="13"/>
      <c r="AN212" s="29"/>
      <c r="AT212" s="13"/>
      <c r="BB212" s="29"/>
      <c r="BR212" s="29"/>
      <c r="BV212" s="13"/>
      <c r="BW212" s="13"/>
    </row>
    <row r="213" spans="1:76" s="11" customFormat="1">
      <c r="A213" s="25"/>
      <c r="B213" s="29"/>
      <c r="K213" s="13"/>
      <c r="L213" s="29"/>
      <c r="R213" s="13"/>
      <c r="S213" s="29"/>
      <c r="Y213" s="13"/>
      <c r="Z213" s="29"/>
      <c r="AG213" s="29"/>
      <c r="AM213" s="13"/>
      <c r="AN213" s="29"/>
      <c r="AT213" s="13"/>
      <c r="BB213" s="29"/>
      <c r="BR213" s="29"/>
      <c r="BV213" s="13"/>
      <c r="BW213" s="13"/>
    </row>
    <row r="214" spans="1:76" s="11" customFormat="1">
      <c r="A214" s="25"/>
      <c r="B214" s="29"/>
      <c r="K214" s="13"/>
      <c r="L214" s="29"/>
      <c r="R214" s="13"/>
      <c r="S214" s="29"/>
      <c r="Y214" s="13"/>
      <c r="Z214" s="29"/>
      <c r="AG214" s="29"/>
      <c r="AM214" s="13"/>
      <c r="AN214" s="29"/>
      <c r="AT214" s="13"/>
      <c r="BB214" s="29"/>
      <c r="BR214" s="29"/>
      <c r="BV214" s="13"/>
      <c r="BW214" s="13"/>
    </row>
    <row r="215" spans="1:76" s="11" customFormat="1">
      <c r="A215" s="25"/>
      <c r="B215" s="29"/>
      <c r="K215" s="13"/>
      <c r="L215" s="29"/>
      <c r="R215" s="13"/>
      <c r="S215" s="29"/>
      <c r="Y215" s="13"/>
      <c r="Z215" s="29"/>
      <c r="AG215" s="29"/>
      <c r="AM215" s="13"/>
      <c r="AN215" s="29"/>
      <c r="AT215" s="13"/>
      <c r="BB215" s="29"/>
      <c r="BC215" s="16" t="s">
        <v>759</v>
      </c>
      <c r="BD215" s="8"/>
      <c r="BE215" s="8"/>
      <c r="BF215" s="8"/>
      <c r="BG215" s="8"/>
      <c r="BH215" s="8"/>
      <c r="BI215" s="8"/>
      <c r="BJ215" s="8"/>
      <c r="BK215" s="8"/>
      <c r="BL215" s="8"/>
      <c r="BM215" s="8"/>
      <c r="BN215" s="8"/>
      <c r="BO215" s="8"/>
      <c r="BR215" s="29"/>
      <c r="BV215" s="13"/>
      <c r="BW215" s="13"/>
    </row>
    <row r="216" spans="1:76" s="11" customFormat="1">
      <c r="A216" s="25"/>
      <c r="B216" s="29"/>
      <c r="K216" s="13"/>
      <c r="L216" s="29"/>
      <c r="R216" s="13"/>
      <c r="S216" s="29"/>
      <c r="Y216" s="13"/>
      <c r="Z216" s="29"/>
      <c r="AG216" s="29"/>
      <c r="AM216" s="13"/>
      <c r="AN216" s="29"/>
      <c r="AT216" s="13"/>
      <c r="BB216" s="29"/>
      <c r="BC216" s="8"/>
      <c r="BD216" s="11" t="s">
        <v>760</v>
      </c>
      <c r="BR216" s="29"/>
      <c r="BV216" s="13"/>
      <c r="BW216" s="13"/>
      <c r="BX216" s="8"/>
    </row>
    <row r="217" spans="1:76" s="11" customFormat="1">
      <c r="A217" s="25"/>
      <c r="B217" s="29"/>
      <c r="K217" s="13"/>
      <c r="L217" s="29"/>
      <c r="R217" s="13"/>
      <c r="S217" s="29"/>
      <c r="Y217" s="13"/>
      <c r="Z217" s="29"/>
      <c r="AG217" s="29"/>
      <c r="AM217" s="13"/>
      <c r="AN217" s="29"/>
      <c r="AT217" s="13"/>
      <c r="BB217" s="29"/>
      <c r="BC217" s="8"/>
      <c r="BD217" s="11" t="s">
        <v>761</v>
      </c>
      <c r="BR217" s="29"/>
      <c r="BV217" s="13"/>
      <c r="BW217" s="13"/>
      <c r="BX217" s="8"/>
    </row>
    <row r="218" spans="1:76" s="11" customFormat="1">
      <c r="A218" s="25"/>
      <c r="B218" s="29"/>
      <c r="K218" s="13"/>
      <c r="L218" s="29"/>
      <c r="R218" s="13"/>
      <c r="S218" s="29"/>
      <c r="Y218" s="13"/>
      <c r="Z218" s="29"/>
      <c r="AG218" s="29"/>
      <c r="AM218" s="13"/>
      <c r="AN218" s="29"/>
      <c r="AT218" s="13"/>
      <c r="BB218" s="29"/>
      <c r="BC218" s="8"/>
      <c r="BD218" s="11" t="s">
        <v>762</v>
      </c>
      <c r="BR218" s="29"/>
      <c r="BV218" s="13"/>
      <c r="BW218" s="13"/>
      <c r="BX218" s="8"/>
    </row>
    <row r="219" spans="1:76" s="11" customFormat="1">
      <c r="A219" s="25"/>
      <c r="B219" s="29"/>
      <c r="K219" s="13"/>
      <c r="L219" s="29"/>
      <c r="R219" s="13"/>
      <c r="S219" s="29"/>
      <c r="Y219" s="13"/>
      <c r="Z219" s="29"/>
      <c r="AG219" s="29"/>
      <c r="AM219" s="13"/>
      <c r="AN219" s="29"/>
      <c r="AT219" s="13"/>
      <c r="BB219" s="29"/>
      <c r="BC219" s="8"/>
      <c r="BD219" s="11" t="s">
        <v>653</v>
      </c>
      <c r="BR219" s="29"/>
      <c r="BV219" s="13"/>
      <c r="BW219" s="13"/>
      <c r="BX219" s="8"/>
    </row>
    <row r="220" spans="1:76" s="11" customFormat="1">
      <c r="A220" s="25"/>
      <c r="B220" s="29"/>
      <c r="K220" s="13"/>
      <c r="L220" s="29"/>
      <c r="R220" s="13"/>
      <c r="S220" s="29"/>
      <c r="Y220" s="13"/>
      <c r="Z220" s="29"/>
      <c r="AG220" s="29"/>
      <c r="AM220" s="13"/>
      <c r="AN220" s="29"/>
      <c r="AT220" s="13"/>
      <c r="BB220" s="29"/>
      <c r="BD220" s="11" t="s">
        <v>654</v>
      </c>
      <c r="BR220" s="29"/>
      <c r="BV220" s="13"/>
      <c r="BW220" s="13"/>
    </row>
    <row r="221" spans="1:76" s="11" customFormat="1">
      <c r="A221" s="25"/>
      <c r="B221" s="29"/>
      <c r="K221" s="13"/>
      <c r="L221" s="29"/>
      <c r="R221" s="13"/>
      <c r="S221" s="29"/>
      <c r="Y221" s="13"/>
      <c r="Z221" s="29"/>
      <c r="AG221" s="29"/>
      <c r="AM221" s="13"/>
      <c r="AN221" s="29"/>
      <c r="AT221" s="13"/>
      <c r="BB221" s="29"/>
      <c r="BD221" s="11" t="s">
        <v>756</v>
      </c>
      <c r="BR221" s="29"/>
      <c r="BV221" s="13"/>
      <c r="BW221" s="13"/>
    </row>
    <row r="222" spans="1:76" s="11" customFormat="1">
      <c r="A222" s="25"/>
      <c r="B222" s="29"/>
      <c r="K222" s="13"/>
      <c r="L222" s="29"/>
      <c r="R222" s="13"/>
      <c r="S222" s="29"/>
      <c r="Y222" s="13"/>
      <c r="Z222" s="29"/>
      <c r="AG222" s="29"/>
      <c r="AM222" s="13"/>
      <c r="AN222" s="29"/>
      <c r="AT222" s="13"/>
      <c r="BB222" s="29"/>
      <c r="BD222" s="11" t="s">
        <v>757</v>
      </c>
      <c r="BR222" s="29"/>
      <c r="BV222" s="13"/>
      <c r="BW222" s="13"/>
    </row>
    <row r="223" spans="1:76" s="11" customFormat="1">
      <c r="A223" s="25"/>
      <c r="B223" s="29"/>
      <c r="K223" s="13"/>
      <c r="L223" s="29"/>
      <c r="R223" s="13"/>
      <c r="S223" s="29"/>
      <c r="Y223" s="13"/>
      <c r="Z223" s="29"/>
      <c r="AG223" s="29"/>
      <c r="AM223" s="13"/>
      <c r="AN223" s="29"/>
      <c r="AT223" s="13"/>
      <c r="BB223" s="29"/>
      <c r="BD223" s="11" t="s">
        <v>655</v>
      </c>
      <c r="BR223" s="29"/>
      <c r="BV223" s="13"/>
      <c r="BW223" s="13"/>
    </row>
    <row r="224" spans="1:76" s="11" customFormat="1">
      <c r="A224" s="25"/>
      <c r="B224" s="29"/>
      <c r="K224" s="13"/>
      <c r="L224" s="29"/>
      <c r="R224" s="13"/>
      <c r="S224" s="29"/>
      <c r="Y224" s="13"/>
      <c r="Z224" s="29"/>
      <c r="AG224" s="29"/>
      <c r="AM224" s="13"/>
      <c r="AN224" s="29"/>
      <c r="AT224" s="13"/>
      <c r="BB224" s="29"/>
      <c r="BR224" s="29"/>
      <c r="BV224" s="13"/>
      <c r="BW224" s="13"/>
    </row>
    <row r="225" spans="1:77" s="11" customFormat="1">
      <c r="A225" s="25"/>
      <c r="B225" s="29"/>
      <c r="K225" s="13"/>
      <c r="L225" s="29"/>
      <c r="R225" s="13"/>
      <c r="S225" s="29"/>
      <c r="Y225" s="13"/>
      <c r="Z225" s="29"/>
      <c r="AG225" s="29"/>
      <c r="AM225" s="13"/>
      <c r="AN225" s="29"/>
      <c r="AT225" s="13"/>
      <c r="BB225" s="29"/>
      <c r="BR225" s="29"/>
      <c r="BV225" s="13"/>
      <c r="BW225" s="13"/>
    </row>
    <row r="226" spans="1:77" s="11" customFormat="1">
      <c r="A226" s="25"/>
      <c r="B226" s="29"/>
      <c r="K226" s="13"/>
      <c r="L226" s="29"/>
      <c r="R226" s="13"/>
      <c r="S226" s="29"/>
      <c r="Y226" s="13"/>
      <c r="Z226" s="29"/>
      <c r="AG226" s="29"/>
      <c r="AM226" s="13"/>
      <c r="AN226" s="29"/>
      <c r="AT226" s="13"/>
      <c r="BB226" s="29"/>
      <c r="BC226" s="16" t="s">
        <v>763</v>
      </c>
      <c r="BR226" s="29"/>
      <c r="BV226" s="13"/>
      <c r="BW226" s="13"/>
      <c r="BX226" s="8"/>
    </row>
    <row r="227" spans="1:77" s="11" customFormat="1">
      <c r="A227" s="25"/>
      <c r="B227" s="29"/>
      <c r="K227" s="13"/>
      <c r="L227" s="29"/>
      <c r="R227" s="13"/>
      <c r="S227" s="29"/>
      <c r="Y227" s="13"/>
      <c r="Z227" s="29"/>
      <c r="AG227" s="29"/>
      <c r="AM227" s="13"/>
      <c r="AN227" s="29"/>
      <c r="AT227" s="13"/>
      <c r="BB227" s="29"/>
      <c r="BD227" s="11" t="s">
        <v>764</v>
      </c>
      <c r="BR227" s="29"/>
      <c r="BV227" s="13"/>
      <c r="BW227" s="13"/>
      <c r="BX227" s="8"/>
    </row>
    <row r="228" spans="1:77" s="11" customFormat="1">
      <c r="A228" s="25"/>
      <c r="B228" s="29"/>
      <c r="K228" s="13"/>
      <c r="L228" s="29"/>
      <c r="R228" s="13"/>
      <c r="S228" s="29"/>
      <c r="Y228" s="13"/>
      <c r="Z228" s="29"/>
      <c r="AG228" s="29"/>
      <c r="AM228" s="13"/>
      <c r="AN228" s="29"/>
      <c r="AT228" s="13"/>
      <c r="BB228" s="29"/>
      <c r="BD228" s="8"/>
      <c r="BE228" s="8"/>
      <c r="BF228" s="8"/>
      <c r="BG228" s="8"/>
      <c r="BH228" s="8"/>
      <c r="BI228" s="8"/>
      <c r="BJ228" s="8"/>
      <c r="BK228" s="8"/>
      <c r="BL228" s="8"/>
      <c r="BM228" s="8"/>
      <c r="BN228" s="8"/>
      <c r="BO228" s="8"/>
      <c r="BR228" s="29"/>
      <c r="BV228" s="13"/>
      <c r="BW228" s="13"/>
      <c r="BX228" s="8"/>
    </row>
    <row r="229" spans="1:77" s="11" customFormat="1">
      <c r="A229" s="25"/>
      <c r="B229" s="29"/>
      <c r="K229" s="13"/>
      <c r="L229" s="29"/>
      <c r="R229" s="13"/>
      <c r="S229" s="29"/>
      <c r="Y229" s="13"/>
      <c r="Z229" s="29"/>
      <c r="AG229" s="29"/>
      <c r="AM229" s="13"/>
      <c r="AN229" s="29"/>
      <c r="AT229" s="13"/>
      <c r="BB229" s="29"/>
      <c r="BR229" s="29"/>
      <c r="BV229" s="13"/>
      <c r="BW229" s="13"/>
      <c r="BX229" s="8"/>
      <c r="BY229" s="8"/>
    </row>
    <row r="230" spans="1:77" s="11" customFormat="1">
      <c r="A230" s="25"/>
      <c r="B230" s="29"/>
      <c r="K230" s="13"/>
      <c r="L230" s="29"/>
      <c r="R230" s="13"/>
      <c r="S230" s="29"/>
      <c r="Y230" s="13"/>
      <c r="Z230" s="29"/>
      <c r="AG230" s="29"/>
      <c r="AM230" s="13"/>
      <c r="AN230" s="29"/>
      <c r="AT230" s="13"/>
      <c r="BB230" s="29"/>
      <c r="BR230" s="29"/>
      <c r="BV230" s="13"/>
      <c r="BW230" s="13"/>
      <c r="BX230" s="8"/>
      <c r="BY230" s="8"/>
    </row>
    <row r="231" spans="1:77" s="11" customFormat="1">
      <c r="A231" s="25"/>
      <c r="B231" s="29"/>
      <c r="K231" s="13"/>
      <c r="L231" s="29"/>
      <c r="R231" s="13"/>
      <c r="S231" s="29"/>
      <c r="Y231" s="13"/>
      <c r="Z231" s="29"/>
      <c r="AG231" s="29"/>
      <c r="AM231" s="13"/>
      <c r="AN231" s="29"/>
      <c r="AT231" s="13"/>
      <c r="BB231" s="29"/>
      <c r="BR231" s="29"/>
      <c r="BV231" s="13"/>
      <c r="BW231" s="13"/>
      <c r="BX231" s="8"/>
      <c r="BY231" s="8"/>
    </row>
    <row r="232" spans="1:77" s="11" customFormat="1">
      <c r="A232" s="25"/>
      <c r="B232" s="29"/>
      <c r="K232" s="13"/>
      <c r="L232" s="29"/>
      <c r="R232" s="13"/>
      <c r="S232" s="29"/>
      <c r="Y232" s="13"/>
      <c r="Z232" s="29"/>
      <c r="AG232" s="29"/>
      <c r="AM232" s="13"/>
      <c r="AN232" s="29"/>
      <c r="AT232" s="13"/>
      <c r="BB232" s="29"/>
      <c r="BC232" s="16" t="s">
        <v>765</v>
      </c>
      <c r="BR232" s="29"/>
      <c r="BV232" s="13"/>
      <c r="BW232" s="13"/>
      <c r="BX232" s="8"/>
      <c r="BY232" s="8"/>
    </row>
    <row r="233" spans="1:77" s="11" customFormat="1">
      <c r="A233" s="25"/>
      <c r="B233" s="29"/>
      <c r="K233" s="13"/>
      <c r="L233" s="29"/>
      <c r="R233" s="13"/>
      <c r="S233" s="29"/>
      <c r="Y233" s="13"/>
      <c r="Z233" s="29"/>
      <c r="AG233" s="29"/>
      <c r="AM233" s="13"/>
      <c r="AN233" s="29"/>
      <c r="AT233" s="13"/>
      <c r="BB233" s="29"/>
      <c r="BD233" s="11" t="s">
        <v>766</v>
      </c>
      <c r="BR233" s="29"/>
      <c r="BV233" s="13"/>
      <c r="BW233" s="13"/>
      <c r="BX233" s="8"/>
      <c r="BY233" s="8"/>
    </row>
    <row r="234" spans="1:77" s="11" customFormat="1">
      <c r="A234" s="25"/>
      <c r="B234" s="29"/>
      <c r="K234" s="13"/>
      <c r="L234" s="29"/>
      <c r="R234" s="13"/>
      <c r="S234" s="29"/>
      <c r="Y234" s="13"/>
      <c r="Z234" s="29"/>
      <c r="AG234" s="29"/>
      <c r="AM234" s="13"/>
      <c r="AN234" s="29"/>
      <c r="AT234" s="13"/>
      <c r="BB234" s="29"/>
      <c r="BD234" s="11" t="s">
        <v>767</v>
      </c>
      <c r="BR234" s="29"/>
      <c r="BV234" s="13"/>
      <c r="BW234" s="13"/>
      <c r="BX234" s="8"/>
      <c r="BY234" s="8"/>
    </row>
    <row r="235" spans="1:77" s="11" customFormat="1">
      <c r="A235" s="25"/>
      <c r="B235" s="29"/>
      <c r="K235" s="13"/>
      <c r="L235" s="29"/>
      <c r="R235" s="13"/>
      <c r="S235" s="29"/>
      <c r="Y235" s="13"/>
      <c r="Z235" s="29"/>
      <c r="AG235" s="29"/>
      <c r="AM235" s="13"/>
      <c r="AN235" s="29"/>
      <c r="AT235" s="13"/>
      <c r="BB235" s="29"/>
      <c r="BD235" s="11" t="s">
        <v>118</v>
      </c>
      <c r="BE235" t="s">
        <v>768</v>
      </c>
      <c r="BR235" s="29"/>
      <c r="BV235" s="13"/>
      <c r="BW235" s="13"/>
      <c r="BX235" s="8"/>
      <c r="BY235" s="8"/>
    </row>
    <row r="236" spans="1:77" s="11" customFormat="1">
      <c r="A236" s="25"/>
      <c r="B236" s="29"/>
      <c r="K236" s="13"/>
      <c r="L236" s="29"/>
      <c r="R236" s="13"/>
      <c r="S236" s="29"/>
      <c r="Y236" s="13"/>
      <c r="Z236" s="29"/>
      <c r="AG236" s="29"/>
      <c r="AM236" s="13"/>
      <c r="AN236" s="29"/>
      <c r="AT236" s="13"/>
      <c r="BB236" s="29"/>
      <c r="BD236" s="8"/>
      <c r="BE236" s="8"/>
      <c r="BF236" s="8"/>
      <c r="BG236" s="8"/>
      <c r="BH236" s="8"/>
      <c r="BI236" s="8"/>
      <c r="BJ236" s="8"/>
      <c r="BK236" s="8"/>
      <c r="BL236" s="8"/>
      <c r="BM236" s="8"/>
      <c r="BN236" s="8"/>
      <c r="BO236" s="8"/>
      <c r="BR236" s="29"/>
      <c r="BV236" s="13"/>
      <c r="BW236" s="13"/>
      <c r="BX236" s="8"/>
      <c r="BY236" s="8"/>
    </row>
    <row r="237" spans="1:77" s="11" customFormat="1">
      <c r="A237" s="25"/>
      <c r="B237" s="29"/>
      <c r="K237" s="13"/>
      <c r="L237" s="29"/>
      <c r="R237" s="13"/>
      <c r="S237" s="29"/>
      <c r="Y237" s="13"/>
      <c r="Z237" s="29"/>
      <c r="AG237" s="29"/>
      <c r="AM237" s="13"/>
      <c r="AN237" s="29"/>
      <c r="AT237" s="13"/>
      <c r="BB237" s="29"/>
      <c r="BO237" s="8"/>
      <c r="BR237" s="29"/>
      <c r="BV237" s="13"/>
      <c r="BW237" s="13"/>
      <c r="BX237" s="8"/>
      <c r="BY237" s="8"/>
    </row>
    <row r="238" spans="1:77" s="11" customFormat="1">
      <c r="A238" s="25"/>
      <c r="B238" s="29"/>
      <c r="K238" s="13"/>
      <c r="L238" s="29"/>
      <c r="R238" s="13"/>
      <c r="S238" s="29"/>
      <c r="Y238" s="13"/>
      <c r="Z238" s="29"/>
      <c r="AG238" s="29"/>
      <c r="AM238" s="13"/>
      <c r="AN238" s="29"/>
      <c r="AT238" s="13"/>
      <c r="BB238" s="29"/>
      <c r="BD238" s="8"/>
      <c r="BE238" s="8"/>
      <c r="BF238" s="8"/>
      <c r="BG238" s="8"/>
      <c r="BH238" s="8"/>
      <c r="BI238" s="8"/>
      <c r="BJ238" s="8"/>
      <c r="BK238" s="8"/>
      <c r="BL238" s="8"/>
      <c r="BM238" s="8"/>
      <c r="BN238" s="8"/>
      <c r="BO238" s="8"/>
      <c r="BR238" s="29"/>
      <c r="BV238" s="13"/>
      <c r="BW238" s="13"/>
      <c r="BX238" s="8"/>
      <c r="BY238" s="8"/>
    </row>
    <row r="239" spans="1:77" s="11" customFormat="1">
      <c r="A239" s="25"/>
      <c r="B239" s="29"/>
      <c r="K239" s="13"/>
      <c r="L239" s="29"/>
      <c r="R239" s="13"/>
      <c r="S239" s="29"/>
      <c r="Y239" s="13"/>
      <c r="Z239" s="29"/>
      <c r="AG239" s="29"/>
      <c r="AM239" s="13"/>
      <c r="AN239" s="29"/>
      <c r="AT239" s="13"/>
      <c r="BB239" s="29"/>
      <c r="BR239" s="29"/>
      <c r="BV239" s="13"/>
      <c r="BW239" s="13"/>
      <c r="BX239" s="8"/>
      <c r="BY239" s="8"/>
    </row>
    <row r="240" spans="1:77" s="11" customFormat="1">
      <c r="A240" s="25"/>
      <c r="B240" s="29"/>
      <c r="K240" s="13"/>
      <c r="L240" s="29"/>
      <c r="R240" s="13"/>
      <c r="S240" s="29"/>
      <c r="Y240" s="13"/>
      <c r="Z240" s="29"/>
      <c r="AG240" s="29"/>
      <c r="AM240" s="13"/>
      <c r="AN240" s="29"/>
      <c r="AT240" s="13"/>
      <c r="BB240" s="29"/>
      <c r="BC240" s="16" t="s">
        <v>769</v>
      </c>
      <c r="BD240" s="8"/>
      <c r="BE240" s="8"/>
      <c r="BR240" s="29"/>
      <c r="BV240" s="13"/>
      <c r="BW240" s="13"/>
      <c r="BX240" s="8"/>
      <c r="BY240" s="8"/>
    </row>
    <row r="241" spans="1:77" s="11" customFormat="1">
      <c r="A241" s="25"/>
      <c r="B241" s="29"/>
      <c r="K241" s="13"/>
      <c r="L241" s="29"/>
      <c r="R241" s="13"/>
      <c r="S241" s="29"/>
      <c r="Y241" s="13"/>
      <c r="Z241" s="29"/>
      <c r="AG241" s="29"/>
      <c r="AM241" s="13"/>
      <c r="AN241" s="29"/>
      <c r="AT241" s="13"/>
      <c r="BB241" s="29"/>
      <c r="BC241" s="8"/>
      <c r="BD241" s="8" t="s">
        <v>734</v>
      </c>
      <c r="BE241" s="8"/>
      <c r="BR241" s="29"/>
      <c r="BV241" s="13"/>
      <c r="BW241" s="13"/>
      <c r="BX241" s="8"/>
      <c r="BY241" s="8"/>
    </row>
    <row r="242" spans="1:77" s="11" customFormat="1">
      <c r="A242" s="25"/>
      <c r="B242" s="29"/>
      <c r="K242" s="13"/>
      <c r="L242" s="29"/>
      <c r="R242" s="13"/>
      <c r="S242" s="29"/>
      <c r="Y242" s="13"/>
      <c r="Z242" s="29"/>
      <c r="AG242" s="29"/>
      <c r="AM242" s="13"/>
      <c r="AN242" s="29"/>
      <c r="AT242" s="13"/>
      <c r="BB242" s="29"/>
      <c r="BC242" s="8"/>
      <c r="BD242" s="8" t="s">
        <v>770</v>
      </c>
      <c r="BE242" s="8"/>
      <c r="BR242" s="29"/>
      <c r="BV242" s="13"/>
      <c r="BW242" s="13"/>
      <c r="BX242" s="8"/>
      <c r="BY242" s="8"/>
    </row>
    <row r="243" spans="1:77" s="11" customFormat="1">
      <c r="A243" s="25"/>
      <c r="B243" s="29"/>
      <c r="K243" s="13"/>
      <c r="L243" s="29"/>
      <c r="R243" s="13"/>
      <c r="S243" s="29"/>
      <c r="Y243" s="13"/>
      <c r="Z243" s="29"/>
      <c r="AG243" s="29"/>
      <c r="AM243" s="13"/>
      <c r="AN243" s="29"/>
      <c r="AT243" s="13"/>
      <c r="BB243" s="29"/>
      <c r="BD243" s="86" t="s">
        <v>637</v>
      </c>
      <c r="BE243" s="87"/>
      <c r="BF243" s="87"/>
      <c r="BG243" s="87"/>
      <c r="BH243" s="87"/>
      <c r="BI243" s="87"/>
      <c r="BJ243" s="87"/>
      <c r="BK243" s="87"/>
      <c r="BL243" s="87"/>
      <c r="BM243" s="87"/>
      <c r="BN243" s="88"/>
      <c r="BO243" s="8"/>
      <c r="BR243" s="29"/>
      <c r="BV243" s="13"/>
      <c r="BW243" s="13"/>
      <c r="BX243" s="8"/>
      <c r="BY243" s="8"/>
    </row>
    <row r="244" spans="1:77" s="11" customFormat="1">
      <c r="A244" s="25"/>
      <c r="B244" s="29"/>
      <c r="K244" s="13"/>
      <c r="L244" s="29"/>
      <c r="R244" s="13"/>
      <c r="S244" s="29"/>
      <c r="Y244" s="13"/>
      <c r="Z244" s="29"/>
      <c r="AG244" s="29"/>
      <c r="AM244" s="13"/>
      <c r="AN244" s="29"/>
      <c r="AT244" s="13"/>
      <c r="BB244" s="29"/>
      <c r="BD244" s="89" t="s">
        <v>649</v>
      </c>
      <c r="BE244" s="90"/>
      <c r="BF244" s="90"/>
      <c r="BG244" s="90"/>
      <c r="BH244" s="91"/>
      <c r="BI244" s="89" t="s">
        <v>668</v>
      </c>
      <c r="BJ244" s="90"/>
      <c r="BK244" s="90"/>
      <c r="BL244" s="90"/>
      <c r="BM244" s="90"/>
      <c r="BN244" s="91"/>
      <c r="BR244" s="29"/>
      <c r="BV244" s="13"/>
      <c r="BW244" s="13"/>
      <c r="BX244" s="8"/>
      <c r="BY244" s="8"/>
    </row>
    <row r="245" spans="1:77" s="11" customFormat="1">
      <c r="A245" s="25"/>
      <c r="B245" s="29"/>
      <c r="K245" s="13"/>
      <c r="L245" s="29"/>
      <c r="R245" s="13"/>
      <c r="S245" s="29"/>
      <c r="Y245" s="13"/>
      <c r="Z245" s="29"/>
      <c r="AG245" s="29"/>
      <c r="AM245" s="13"/>
      <c r="AN245" s="29"/>
      <c r="AT245" s="13"/>
      <c r="BB245" s="29"/>
      <c r="BD245" s="123" t="s">
        <v>118</v>
      </c>
      <c r="BE245" s="125" t="s">
        <v>738</v>
      </c>
      <c r="BR245" s="29"/>
      <c r="BV245" s="13"/>
      <c r="BW245" s="13"/>
      <c r="BX245" s="8"/>
      <c r="BY245" s="8"/>
    </row>
    <row r="246" spans="1:77" s="11" customFormat="1">
      <c r="A246" s="25"/>
      <c r="B246" s="29"/>
      <c r="K246" s="13"/>
      <c r="L246" s="29"/>
      <c r="R246" s="13"/>
      <c r="S246" s="29"/>
      <c r="Y246" s="13"/>
      <c r="Z246" s="29"/>
      <c r="AG246" s="29"/>
      <c r="AM246" s="13"/>
      <c r="AN246" s="29"/>
      <c r="AT246" s="13"/>
      <c r="BB246" s="29"/>
      <c r="BD246" s="8"/>
      <c r="BE246" s="125" t="s">
        <v>739</v>
      </c>
      <c r="BR246" s="29"/>
      <c r="BV246" s="13"/>
      <c r="BW246" s="13"/>
      <c r="BX246" s="8"/>
      <c r="BY246" s="8"/>
    </row>
    <row r="247" spans="1:77" s="11" customFormat="1">
      <c r="A247" s="25"/>
      <c r="B247" s="29"/>
      <c r="K247" s="13"/>
      <c r="L247" s="29"/>
      <c r="R247" s="13"/>
      <c r="S247" s="29"/>
      <c r="Y247" s="13"/>
      <c r="Z247" s="29"/>
      <c r="AG247" s="29"/>
      <c r="AM247" s="13"/>
      <c r="AN247" s="29"/>
      <c r="AT247" s="13"/>
      <c r="BB247" s="29"/>
      <c r="BD247" s="8"/>
      <c r="BE247" s="125" t="s">
        <v>740</v>
      </c>
      <c r="BR247" s="29"/>
      <c r="BV247" s="13"/>
      <c r="BW247" s="13"/>
      <c r="BX247" s="8"/>
      <c r="BY247" s="8"/>
    </row>
    <row r="248" spans="1:77" s="11" customFormat="1">
      <c r="A248" s="25"/>
      <c r="B248" s="29"/>
      <c r="K248" s="13"/>
      <c r="L248" s="29"/>
      <c r="R248" s="13"/>
      <c r="S248" s="29"/>
      <c r="Y248" s="13"/>
      <c r="Z248" s="29"/>
      <c r="AG248" s="29"/>
      <c r="AM248" s="13"/>
      <c r="AN248" s="29"/>
      <c r="AT248" s="13"/>
      <c r="BB248" s="29"/>
      <c r="BR248" s="29"/>
      <c r="BV248" s="13"/>
      <c r="BW248" s="13"/>
      <c r="BX248" s="8"/>
      <c r="BY248" s="8"/>
    </row>
    <row r="249" spans="1:77">
      <c r="A249" s="24"/>
      <c r="B249" s="29"/>
      <c r="C249" s="11"/>
      <c r="D249" s="11"/>
      <c r="E249" s="11"/>
      <c r="F249" s="11"/>
      <c r="G249" s="11"/>
      <c r="H249" s="11"/>
      <c r="I249" s="11"/>
      <c r="J249" s="11"/>
      <c r="K249" s="13"/>
      <c r="L249" s="29"/>
      <c r="M249" s="11"/>
      <c r="N249" s="11"/>
      <c r="O249" s="11"/>
      <c r="P249" s="11"/>
      <c r="Q249" s="11"/>
      <c r="R249" s="13"/>
      <c r="S249" s="29"/>
      <c r="T249" s="11"/>
      <c r="U249" s="11"/>
      <c r="V249" s="11"/>
      <c r="W249" s="11"/>
      <c r="X249" s="11"/>
      <c r="Y249" s="13"/>
      <c r="Z249" s="29"/>
      <c r="AA249" s="11"/>
      <c r="AB249" s="11"/>
      <c r="AC249" s="11"/>
      <c r="AD249" s="11"/>
      <c r="AE249" s="11"/>
      <c r="AF249" s="11"/>
      <c r="AG249" s="29"/>
      <c r="AH249" s="11"/>
      <c r="AI249" s="11"/>
      <c r="AJ249" s="11"/>
      <c r="AK249" s="11"/>
      <c r="AL249" s="11"/>
      <c r="AM249" s="13"/>
      <c r="AN249" s="29"/>
      <c r="AO249" s="11"/>
      <c r="AP249" s="11"/>
      <c r="AQ249" s="11"/>
      <c r="AR249" s="11"/>
      <c r="AS249" s="11"/>
      <c r="AT249" s="13"/>
      <c r="AU249" s="11"/>
      <c r="AV249" s="11"/>
      <c r="AW249" s="11"/>
      <c r="AX249" s="11"/>
      <c r="AY249" s="11"/>
      <c r="AZ249" s="11"/>
      <c r="BA249" s="11"/>
      <c r="BB249" s="29"/>
      <c r="BC249" s="11"/>
      <c r="BD249" s="11"/>
      <c r="BE249" s="11"/>
      <c r="BF249" s="11"/>
      <c r="BG249" s="11"/>
      <c r="BH249" s="11"/>
      <c r="BI249" s="11"/>
      <c r="BJ249" s="11"/>
      <c r="BK249" s="11"/>
      <c r="BL249" s="11"/>
      <c r="BM249" s="11"/>
      <c r="BN249" s="11"/>
      <c r="BO249" s="11"/>
      <c r="BP249" s="11"/>
      <c r="BQ249" s="11"/>
      <c r="BR249" s="29"/>
      <c r="BS249" s="11"/>
      <c r="BT249" s="11"/>
      <c r="BU249" s="11"/>
      <c r="BV249" s="13"/>
      <c r="BW249" s="14"/>
    </row>
    <row r="250" spans="1:77" s="11" customFormat="1">
      <c r="A250" s="25"/>
      <c r="B250" s="26" t="s">
        <v>603</v>
      </c>
      <c r="C250" s="31"/>
      <c r="D250" s="31"/>
      <c r="E250" s="31"/>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30"/>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13"/>
      <c r="BX250" s="8"/>
    </row>
    <row r="251" spans="1:77" s="11" customFormat="1">
      <c r="A251" s="25"/>
      <c r="B251" s="24"/>
      <c r="C251" s="8"/>
      <c r="D251" s="8"/>
      <c r="E251" s="8"/>
      <c r="F251" s="8"/>
      <c r="G251" s="8"/>
      <c r="H251" s="8"/>
      <c r="I251" s="8"/>
      <c r="J251" s="8"/>
      <c r="K251" s="14"/>
      <c r="L251" s="24"/>
      <c r="M251" s="8"/>
      <c r="N251" s="8"/>
      <c r="O251" s="8"/>
      <c r="P251" s="8"/>
      <c r="Q251" s="8"/>
      <c r="R251" s="14"/>
      <c r="S251" s="24"/>
      <c r="T251" s="8"/>
      <c r="U251" s="8"/>
      <c r="V251" s="8"/>
      <c r="W251" s="8"/>
      <c r="X251" s="8"/>
      <c r="Y251" s="14"/>
      <c r="Z251" s="24"/>
      <c r="AA251" s="8"/>
      <c r="AB251" s="8"/>
      <c r="AC251" s="8"/>
      <c r="AD251" s="8"/>
      <c r="AE251" s="8"/>
      <c r="AF251" s="8"/>
      <c r="AG251" s="24"/>
      <c r="AH251" s="8"/>
      <c r="AI251" s="8"/>
      <c r="AJ251" s="8"/>
      <c r="AK251" s="8"/>
      <c r="AL251" s="8"/>
      <c r="AM251" s="14"/>
      <c r="AN251" s="24"/>
      <c r="AO251" s="8"/>
      <c r="AP251" s="8"/>
      <c r="AQ251" s="8"/>
      <c r="AR251" s="8"/>
      <c r="AS251" s="8"/>
      <c r="AT251" s="14"/>
      <c r="AU251" s="8"/>
      <c r="AV251" s="8"/>
      <c r="AW251" s="8"/>
      <c r="AX251" s="8"/>
      <c r="AY251" s="8"/>
      <c r="AZ251" s="8"/>
      <c r="BA251" s="8"/>
      <c r="BB251" s="24"/>
      <c r="BC251" s="8"/>
      <c r="BD251" s="8"/>
      <c r="BE251" s="8"/>
      <c r="BF251" s="8"/>
      <c r="BG251" s="8"/>
      <c r="BH251" s="8"/>
      <c r="BI251" s="8"/>
      <c r="BJ251" s="8"/>
      <c r="BK251" s="8"/>
      <c r="BL251" s="8"/>
      <c r="BM251" s="8"/>
      <c r="BN251" s="8"/>
      <c r="BO251" s="8"/>
      <c r="BP251" s="8"/>
      <c r="BQ251" s="8"/>
      <c r="BR251" s="24"/>
      <c r="BS251" s="8"/>
      <c r="BT251" s="8"/>
      <c r="BU251" s="8"/>
      <c r="BV251" s="14"/>
      <c r="BW251" s="13"/>
      <c r="BX251" s="8"/>
    </row>
    <row r="252" spans="1:77">
      <c r="A252" s="24"/>
      <c r="B252" s="24"/>
      <c r="K252" s="14"/>
      <c r="L252" s="24"/>
      <c r="R252" s="14"/>
      <c r="S252" s="24"/>
      <c r="Y252" s="14"/>
      <c r="Z252" s="24"/>
      <c r="AG252" s="24"/>
      <c r="AM252" s="14"/>
      <c r="AN252" s="24"/>
      <c r="AT252" s="14"/>
      <c r="BB252" s="24"/>
      <c r="BR252" s="24"/>
      <c r="BV252" s="14"/>
      <c r="BW252" s="14"/>
    </row>
    <row r="253" spans="1:77">
      <c r="A253" s="24"/>
      <c r="B253" s="24"/>
      <c r="K253" s="14"/>
      <c r="L253" s="24"/>
      <c r="R253" s="14"/>
      <c r="S253" s="24"/>
      <c r="Y253" s="14"/>
      <c r="Z253" s="24"/>
      <c r="AG253" s="24"/>
      <c r="AM253" s="14"/>
      <c r="AN253" s="24"/>
      <c r="AT253" s="14"/>
      <c r="BB253" s="24"/>
      <c r="BR253" s="24"/>
      <c r="BV253" s="14"/>
      <c r="BW253" s="14"/>
    </row>
    <row r="254" spans="1:77">
      <c r="A254" s="24"/>
      <c r="B254" s="24"/>
      <c r="K254" s="14"/>
      <c r="L254" s="24"/>
      <c r="R254" s="14"/>
      <c r="S254" s="24"/>
      <c r="Y254" s="14"/>
      <c r="Z254" s="24"/>
      <c r="AG254" s="24"/>
      <c r="AM254" s="14"/>
      <c r="AN254" s="24"/>
      <c r="AT254" s="14"/>
      <c r="BB254" s="24"/>
      <c r="BR254" s="24"/>
      <c r="BV254" s="14"/>
      <c r="BW254" s="14"/>
    </row>
    <row r="255" spans="1:77">
      <c r="A255" s="24"/>
      <c r="B255" s="24"/>
      <c r="K255" s="14"/>
      <c r="L255" s="24"/>
      <c r="R255" s="14"/>
      <c r="S255" s="24"/>
      <c r="Y255" s="14"/>
      <c r="Z255" s="24"/>
      <c r="AG255" s="24"/>
      <c r="AM255" s="14"/>
      <c r="AN255" s="24"/>
      <c r="AT255" s="14"/>
      <c r="BB255" s="24"/>
      <c r="BR255" s="24"/>
      <c r="BV255" s="14"/>
      <c r="BW255" s="14"/>
    </row>
    <row r="256" spans="1:77">
      <c r="A256" s="24"/>
      <c r="B256" s="24"/>
      <c r="K256" s="14"/>
      <c r="L256" s="24"/>
      <c r="R256" s="14"/>
      <c r="S256" s="24"/>
      <c r="Y256" s="14"/>
      <c r="Z256" s="24"/>
      <c r="AG256" s="24"/>
      <c r="AM256" s="14"/>
      <c r="AN256" s="24"/>
      <c r="AT256" s="14"/>
      <c r="BB256" s="24"/>
      <c r="BR256" s="24"/>
      <c r="BV256" s="14"/>
      <c r="BW256" s="14"/>
    </row>
    <row r="257" spans="1:75">
      <c r="A257" s="24"/>
      <c r="B257" s="24"/>
      <c r="K257" s="14"/>
      <c r="L257" s="24"/>
      <c r="R257" s="14"/>
      <c r="S257" s="24"/>
      <c r="Y257" s="14"/>
      <c r="Z257" s="24"/>
      <c r="AG257" s="24"/>
      <c r="AM257" s="14"/>
      <c r="AN257" s="24"/>
      <c r="AT257" s="14"/>
      <c r="BB257" s="24"/>
      <c r="BF257" s="11"/>
      <c r="BR257" s="24"/>
      <c r="BV257" s="14"/>
      <c r="BW257" s="14"/>
    </row>
    <row r="258" spans="1:75">
      <c r="A258" s="24"/>
      <c r="B258" s="24"/>
      <c r="K258" s="14"/>
      <c r="L258" s="24"/>
      <c r="R258" s="14"/>
      <c r="S258" s="24"/>
      <c r="Y258" s="14"/>
      <c r="Z258" s="24"/>
      <c r="AG258" s="24"/>
      <c r="AM258" s="14"/>
      <c r="AN258" s="24"/>
      <c r="AT258" s="14"/>
      <c r="BB258" s="24"/>
      <c r="BC258" s="16" t="s">
        <v>669</v>
      </c>
      <c r="BR258" s="24"/>
      <c r="BV258" s="14"/>
      <c r="BW258" s="14"/>
    </row>
    <row r="259" spans="1:75">
      <c r="A259" s="24"/>
      <c r="B259" s="24"/>
      <c r="K259" s="14"/>
      <c r="L259" s="24"/>
      <c r="R259" s="14"/>
      <c r="S259" s="24"/>
      <c r="Y259" s="14"/>
      <c r="Z259" s="24"/>
      <c r="AG259" s="24"/>
      <c r="AM259" s="14"/>
      <c r="AN259" s="24"/>
      <c r="AT259" s="14"/>
      <c r="BB259" s="24"/>
      <c r="BD259" s="8" t="s">
        <v>670</v>
      </c>
      <c r="BR259" s="24"/>
      <c r="BV259" s="14"/>
      <c r="BW259" s="14"/>
    </row>
    <row r="260" spans="1:75">
      <c r="A260" s="24"/>
      <c r="B260" s="24"/>
      <c r="K260" s="14"/>
      <c r="L260" s="24"/>
      <c r="R260" s="14"/>
      <c r="S260" s="24"/>
      <c r="Y260" s="14"/>
      <c r="Z260" s="24"/>
      <c r="AG260" s="24"/>
      <c r="AM260" s="14"/>
      <c r="AN260" s="24"/>
      <c r="AT260" s="14"/>
      <c r="BB260" s="24"/>
      <c r="BD260" s="8" t="s">
        <v>671</v>
      </c>
      <c r="BR260" s="24"/>
      <c r="BV260" s="14"/>
      <c r="BW260" s="14"/>
    </row>
    <row r="261" spans="1:75">
      <c r="A261" s="24"/>
      <c r="B261" s="24"/>
      <c r="K261" s="14"/>
      <c r="L261" s="24"/>
      <c r="R261" s="14"/>
      <c r="S261" s="24"/>
      <c r="Y261" s="14"/>
      <c r="Z261" s="24"/>
      <c r="AG261" s="24"/>
      <c r="AM261" s="14"/>
      <c r="AN261" s="24"/>
      <c r="AT261" s="14"/>
      <c r="BB261" s="24"/>
      <c r="BD261" s="8" t="s">
        <v>118</v>
      </c>
      <c r="BE261" s="8" t="s">
        <v>672</v>
      </c>
      <c r="BR261" s="24"/>
      <c r="BV261" s="14"/>
      <c r="BW261" s="14"/>
    </row>
    <row r="262" spans="1:75">
      <c r="A262" s="24"/>
      <c r="B262" s="24"/>
      <c r="K262" s="14"/>
      <c r="L262" s="24"/>
      <c r="R262" s="14"/>
      <c r="S262" s="24"/>
      <c r="Y262" s="14"/>
      <c r="Z262" s="24"/>
      <c r="AG262" s="24"/>
      <c r="AM262" s="14"/>
      <c r="AN262" s="24"/>
      <c r="AT262" s="14"/>
      <c r="BB262" s="24"/>
      <c r="BD262" s="8" t="s">
        <v>118</v>
      </c>
      <c r="BE262" s="8" t="s">
        <v>648</v>
      </c>
      <c r="BR262" s="24"/>
      <c r="BV262" s="14"/>
      <c r="BW262" s="14"/>
    </row>
    <row r="263" spans="1:75">
      <c r="A263" s="24"/>
      <c r="B263" s="24"/>
      <c r="K263" s="14"/>
      <c r="L263" s="24"/>
      <c r="R263" s="14"/>
      <c r="S263" s="24"/>
      <c r="Y263" s="14"/>
      <c r="Z263" s="24"/>
      <c r="AG263" s="24"/>
      <c r="AM263" s="14"/>
      <c r="AN263" s="24"/>
      <c r="AT263" s="14"/>
      <c r="BB263" s="24"/>
      <c r="BC263" s="11"/>
      <c r="BD263" s="8" t="s">
        <v>771</v>
      </c>
      <c r="BR263" s="24"/>
      <c r="BV263" s="14"/>
      <c r="BW263" s="14"/>
    </row>
    <row r="264" spans="1:75">
      <c r="A264" s="24"/>
      <c r="B264" s="24"/>
      <c r="K264" s="14"/>
      <c r="L264" s="24"/>
      <c r="R264" s="14"/>
      <c r="S264" s="24"/>
      <c r="Y264" s="14"/>
      <c r="Z264" s="24"/>
      <c r="AG264" s="24"/>
      <c r="AM264" s="14"/>
      <c r="AN264" s="24"/>
      <c r="AT264" s="14"/>
      <c r="BB264" s="24"/>
      <c r="BC264" s="11"/>
      <c r="BD264" s="86" t="s">
        <v>637</v>
      </c>
      <c r="BE264" s="87"/>
      <c r="BF264" s="87"/>
      <c r="BG264" s="87"/>
      <c r="BH264" s="87"/>
      <c r="BI264" s="87"/>
      <c r="BJ264" s="87"/>
      <c r="BK264" s="87"/>
      <c r="BL264" s="87"/>
      <c r="BM264" s="87"/>
      <c r="BN264" s="88"/>
      <c r="BR264" s="24"/>
      <c r="BV264" s="14"/>
      <c r="BW264" s="14"/>
    </row>
    <row r="265" spans="1:75">
      <c r="A265" s="24"/>
      <c r="B265" s="24"/>
      <c r="K265" s="14"/>
      <c r="L265" s="24"/>
      <c r="R265" s="14"/>
      <c r="S265" s="24"/>
      <c r="Y265" s="14"/>
      <c r="Z265" s="24"/>
      <c r="AG265" s="24"/>
      <c r="AM265" s="14"/>
      <c r="AN265" s="24"/>
      <c r="AT265" s="14"/>
      <c r="BB265" s="24"/>
      <c r="BC265" s="11"/>
      <c r="BD265" s="89" t="s">
        <v>673</v>
      </c>
      <c r="BE265" s="90"/>
      <c r="BF265" s="90"/>
      <c r="BG265" s="90"/>
      <c r="BH265" s="91"/>
      <c r="BI265" s="89" t="s">
        <v>674</v>
      </c>
      <c r="BJ265" s="90"/>
      <c r="BK265" s="90"/>
      <c r="BL265" s="90"/>
      <c r="BM265" s="90"/>
      <c r="BN265" s="91"/>
      <c r="BR265" s="24"/>
      <c r="BV265" s="14"/>
      <c r="BW265" s="14"/>
    </row>
    <row r="266" spans="1:75">
      <c r="A266" s="24"/>
      <c r="B266" s="24"/>
      <c r="K266" s="14"/>
      <c r="L266" s="24"/>
      <c r="R266" s="14"/>
      <c r="S266" s="24"/>
      <c r="Y266" s="14"/>
      <c r="Z266" s="24"/>
      <c r="AG266" s="24"/>
      <c r="AM266" s="14"/>
      <c r="AN266" s="24"/>
      <c r="AT266" s="14"/>
      <c r="BB266" s="24"/>
      <c r="BD266" s="123" t="s">
        <v>118</v>
      </c>
      <c r="BE266" s="125" t="s">
        <v>736</v>
      </c>
      <c r="BF266" s="11"/>
      <c r="BR266" s="24"/>
      <c r="BV266" s="14"/>
      <c r="BW266" s="14"/>
    </row>
    <row r="267" spans="1:75">
      <c r="A267" s="24"/>
      <c r="B267" s="24"/>
      <c r="K267" s="14"/>
      <c r="L267" s="24"/>
      <c r="R267" s="14"/>
      <c r="S267" s="24"/>
      <c r="Y267" s="14"/>
      <c r="Z267" s="24"/>
      <c r="AG267" s="24"/>
      <c r="AM267" s="14"/>
      <c r="AN267" s="24"/>
      <c r="AT267" s="14"/>
      <c r="BB267" s="24"/>
      <c r="BE267" s="125" t="s">
        <v>737</v>
      </c>
      <c r="BF267" s="11"/>
      <c r="BR267" s="24"/>
      <c r="BV267" s="14"/>
      <c r="BW267" s="14"/>
    </row>
    <row r="268" spans="1:75">
      <c r="A268" s="24"/>
      <c r="B268" s="24"/>
      <c r="K268" s="14"/>
      <c r="L268" s="24"/>
      <c r="R268" s="14"/>
      <c r="S268" s="24"/>
      <c r="Y268" s="14"/>
      <c r="Z268" s="24"/>
      <c r="AG268" s="24"/>
      <c r="AM268" s="14"/>
      <c r="AN268" s="24"/>
      <c r="AT268" s="14"/>
      <c r="BB268" s="24"/>
      <c r="BD268" s="123" t="s">
        <v>118</v>
      </c>
      <c r="BE268" s="125" t="s">
        <v>738</v>
      </c>
      <c r="BF268" s="11"/>
      <c r="BR268" s="24"/>
      <c r="BV268" s="14"/>
      <c r="BW268" s="14"/>
    </row>
    <row r="269" spans="1:75">
      <c r="A269" s="24"/>
      <c r="B269" s="24"/>
      <c r="K269" s="14"/>
      <c r="L269" s="24"/>
      <c r="R269" s="14"/>
      <c r="S269" s="24"/>
      <c r="Y269" s="14"/>
      <c r="Z269" s="24"/>
      <c r="AG269" s="24"/>
      <c r="AM269" s="14"/>
      <c r="AN269" s="24"/>
      <c r="AT269" s="14"/>
      <c r="BB269" s="24"/>
      <c r="BE269" s="125" t="s">
        <v>739</v>
      </c>
      <c r="BF269" s="11"/>
      <c r="BR269" s="24"/>
      <c r="BV269" s="14"/>
      <c r="BW269" s="14"/>
    </row>
    <row r="270" spans="1:75">
      <c r="A270" s="24"/>
      <c r="B270" s="24"/>
      <c r="K270" s="14"/>
      <c r="L270" s="24"/>
      <c r="R270" s="14"/>
      <c r="S270" s="24"/>
      <c r="Y270" s="14"/>
      <c r="Z270" s="24"/>
      <c r="AG270" s="24"/>
      <c r="AM270" s="14"/>
      <c r="AN270" s="24"/>
      <c r="AT270" s="14"/>
      <c r="BB270" s="24"/>
      <c r="BE270" s="125" t="s">
        <v>740</v>
      </c>
      <c r="BF270" s="11"/>
      <c r="BR270" s="24"/>
      <c r="BV270" s="14"/>
      <c r="BW270" s="14"/>
    </row>
    <row r="271" spans="1:75">
      <c r="A271" s="24"/>
      <c r="B271" s="24"/>
      <c r="K271" s="14"/>
      <c r="L271" s="24"/>
      <c r="R271" s="14"/>
      <c r="S271" s="24"/>
      <c r="Y271" s="14"/>
      <c r="Z271" s="24"/>
      <c r="AG271" s="24"/>
      <c r="AM271" s="14"/>
      <c r="AN271" s="24"/>
      <c r="AT271" s="14"/>
      <c r="BB271" s="24"/>
      <c r="BD271" s="123"/>
      <c r="BE271" s="11"/>
      <c r="BF271" s="11"/>
      <c r="BR271" s="24"/>
      <c r="BV271" s="14"/>
      <c r="BW271" s="14"/>
    </row>
    <row r="272" spans="1:75">
      <c r="A272" s="24"/>
      <c r="B272" s="24"/>
      <c r="K272" s="14"/>
      <c r="L272" s="24"/>
      <c r="R272" s="14"/>
      <c r="S272" s="24"/>
      <c r="Y272" s="14"/>
      <c r="Z272" s="24"/>
      <c r="AG272" s="24"/>
      <c r="AM272" s="14"/>
      <c r="AN272" s="24"/>
      <c r="AT272" s="14"/>
      <c r="BB272" s="24"/>
      <c r="BD272" s="8" t="s">
        <v>772</v>
      </c>
      <c r="BR272" s="24"/>
      <c r="BV272" s="14"/>
      <c r="BW272" s="14"/>
    </row>
    <row r="273" spans="1:75">
      <c r="A273" s="24"/>
      <c r="B273" s="24"/>
      <c r="K273" s="14"/>
      <c r="L273" s="24"/>
      <c r="R273" s="14"/>
      <c r="S273" s="24"/>
      <c r="Y273" s="14"/>
      <c r="Z273" s="24"/>
      <c r="AG273" s="24"/>
      <c r="AM273" s="14"/>
      <c r="AN273" s="24"/>
      <c r="AT273" s="14"/>
      <c r="BB273" s="24"/>
      <c r="BD273" s="86" t="s">
        <v>637</v>
      </c>
      <c r="BE273" s="87"/>
      <c r="BF273" s="87"/>
      <c r="BG273" s="87"/>
      <c r="BH273" s="87"/>
      <c r="BI273" s="87"/>
      <c r="BJ273" s="87"/>
      <c r="BK273" s="87"/>
      <c r="BL273" s="87"/>
      <c r="BM273" s="87"/>
      <c r="BN273" s="88"/>
      <c r="BR273" s="24"/>
      <c r="BV273" s="14"/>
      <c r="BW273" s="14"/>
    </row>
    <row r="274" spans="1:75">
      <c r="A274" s="24"/>
      <c r="B274" s="24"/>
      <c r="K274" s="14"/>
      <c r="L274" s="24"/>
      <c r="R274" s="14"/>
      <c r="S274" s="24"/>
      <c r="Y274" s="14"/>
      <c r="Z274" s="24"/>
      <c r="AG274" s="24"/>
      <c r="AM274" s="14"/>
      <c r="AN274" s="24"/>
      <c r="AT274" s="14"/>
      <c r="BB274" s="24"/>
      <c r="BD274" s="89" t="s">
        <v>673</v>
      </c>
      <c r="BE274" s="90"/>
      <c r="BF274" s="90"/>
      <c r="BG274" s="90"/>
      <c r="BH274" s="91"/>
      <c r="BI274" s="89" t="s">
        <v>674</v>
      </c>
      <c r="BJ274" s="90"/>
      <c r="BK274" s="90"/>
      <c r="BL274" s="90"/>
      <c r="BM274" s="90"/>
      <c r="BN274" s="91"/>
      <c r="BR274" s="24"/>
      <c r="BV274" s="14"/>
      <c r="BW274" s="14"/>
    </row>
    <row r="275" spans="1:75">
      <c r="A275" s="24"/>
      <c r="B275" s="24"/>
      <c r="K275" s="14"/>
      <c r="L275" s="24"/>
      <c r="R275" s="14"/>
      <c r="S275" s="24"/>
      <c r="Y275" s="14"/>
      <c r="Z275" s="24"/>
      <c r="AG275" s="24"/>
      <c r="AM275" s="14"/>
      <c r="AN275" s="24"/>
      <c r="AT275" s="14"/>
      <c r="BB275" s="24"/>
      <c r="BD275" s="123" t="s">
        <v>118</v>
      </c>
      <c r="BE275" s="125" t="s">
        <v>773</v>
      </c>
      <c r="BF275" s="11"/>
      <c r="BR275" s="24"/>
      <c r="BV275" s="14"/>
      <c r="BW275" s="14"/>
    </row>
    <row r="276" spans="1:75">
      <c r="A276" s="24"/>
      <c r="B276" s="24"/>
      <c r="K276" s="14"/>
      <c r="L276" s="24"/>
      <c r="R276" s="14"/>
      <c r="S276" s="24"/>
      <c r="Y276" s="14"/>
      <c r="Z276" s="24"/>
      <c r="AG276" s="24"/>
      <c r="AM276" s="14"/>
      <c r="AN276" s="24"/>
      <c r="AT276" s="14"/>
      <c r="BB276" s="24"/>
      <c r="BE276" s="125" t="s">
        <v>738</v>
      </c>
      <c r="BF276" s="11"/>
      <c r="BR276" s="24"/>
      <c r="BV276" s="14"/>
      <c r="BW276" s="14"/>
    </row>
    <row r="277" spans="1:75">
      <c r="A277" s="24"/>
      <c r="B277" s="24"/>
      <c r="K277" s="14"/>
      <c r="L277" s="24"/>
      <c r="R277" s="14"/>
      <c r="S277" s="24"/>
      <c r="Y277" s="14"/>
      <c r="Z277" s="24"/>
      <c r="AG277" s="24"/>
      <c r="AM277" s="14"/>
      <c r="AN277" s="24"/>
      <c r="AT277" s="14"/>
      <c r="BB277" s="24"/>
      <c r="BD277" s="123"/>
      <c r="BE277" s="125" t="s">
        <v>739</v>
      </c>
      <c r="BR277" s="24"/>
      <c r="BV277" s="14"/>
      <c r="BW277" s="14"/>
    </row>
    <row r="278" spans="1:75">
      <c r="A278" s="24"/>
      <c r="B278" s="24"/>
      <c r="K278" s="14"/>
      <c r="L278" s="24"/>
      <c r="R278" s="14"/>
      <c r="S278" s="24"/>
      <c r="Y278" s="14"/>
      <c r="Z278" s="24"/>
      <c r="AG278" s="24"/>
      <c r="AM278" s="14"/>
      <c r="AN278" s="24"/>
      <c r="AT278" s="14"/>
      <c r="BB278" s="24"/>
      <c r="BE278" s="125" t="s">
        <v>740</v>
      </c>
      <c r="BR278" s="24"/>
      <c r="BV278" s="14"/>
      <c r="BW278" s="14"/>
    </row>
    <row r="279" spans="1:75">
      <c r="A279" s="24"/>
      <c r="B279" s="24"/>
      <c r="K279" s="14"/>
      <c r="L279" s="24"/>
      <c r="R279" s="14"/>
      <c r="S279" s="24"/>
      <c r="Y279" s="14"/>
      <c r="Z279" s="24"/>
      <c r="AG279" s="24"/>
      <c r="AM279" s="14"/>
      <c r="AN279" s="24"/>
      <c r="AT279" s="14"/>
      <c r="BB279" s="24"/>
      <c r="BD279" s="123"/>
      <c r="BE279" s="11"/>
      <c r="BF279" s="11"/>
      <c r="BR279" s="24"/>
      <c r="BV279" s="14"/>
      <c r="BW279" s="14"/>
    </row>
    <row r="280" spans="1:75">
      <c r="A280" s="24"/>
      <c r="B280" s="24"/>
      <c r="K280" s="14"/>
      <c r="L280" s="24"/>
      <c r="R280" s="14"/>
      <c r="S280" s="24"/>
      <c r="Y280" s="14"/>
      <c r="Z280" s="24"/>
      <c r="AG280" s="24"/>
      <c r="AM280" s="14"/>
      <c r="AN280" s="24"/>
      <c r="AT280" s="14"/>
      <c r="BB280" s="24"/>
      <c r="BD280" s="86" t="s">
        <v>637</v>
      </c>
      <c r="BE280" s="87"/>
      <c r="BF280" s="87"/>
      <c r="BG280" s="87"/>
      <c r="BH280" s="87"/>
      <c r="BI280" s="87"/>
      <c r="BJ280" s="87"/>
      <c r="BK280" s="87"/>
      <c r="BL280" s="87"/>
      <c r="BM280" s="87"/>
      <c r="BN280" s="88"/>
      <c r="BR280" s="24"/>
      <c r="BV280" s="14"/>
      <c r="BW280" s="14"/>
    </row>
    <row r="281" spans="1:75">
      <c r="A281" s="24"/>
      <c r="B281" s="24"/>
      <c r="K281" s="14"/>
      <c r="L281" s="24"/>
      <c r="R281" s="14"/>
      <c r="S281" s="24"/>
      <c r="Y281" s="14"/>
      <c r="Z281" s="24"/>
      <c r="AG281" s="24"/>
      <c r="AM281" s="14"/>
      <c r="AN281" s="24"/>
      <c r="AT281" s="14"/>
      <c r="BB281" s="24"/>
      <c r="BD281" s="89" t="s">
        <v>673</v>
      </c>
      <c r="BE281" s="90"/>
      <c r="BF281" s="90"/>
      <c r="BG281" s="90"/>
      <c r="BH281" s="91"/>
      <c r="BI281" s="89" t="s">
        <v>774</v>
      </c>
      <c r="BJ281" s="90"/>
      <c r="BK281" s="90"/>
      <c r="BL281" s="90"/>
      <c r="BM281" s="90"/>
      <c r="BN281" s="91"/>
      <c r="BR281" s="24"/>
      <c r="BV281" s="14"/>
      <c r="BW281" s="14"/>
    </row>
    <row r="282" spans="1:75">
      <c r="A282" s="24"/>
      <c r="B282" s="24"/>
      <c r="K282" s="14"/>
      <c r="L282" s="24"/>
      <c r="R282" s="14"/>
      <c r="S282" s="24"/>
      <c r="Y282" s="14"/>
      <c r="Z282" s="24"/>
      <c r="AG282" s="24"/>
      <c r="AM282" s="14"/>
      <c r="AN282" s="24"/>
      <c r="AT282" s="14"/>
      <c r="BB282" s="24"/>
      <c r="BC282" s="49"/>
      <c r="BD282" s="123" t="s">
        <v>118</v>
      </c>
      <c r="BE282" s="125" t="s">
        <v>736</v>
      </c>
      <c r="BF282" s="11"/>
      <c r="BR282" s="24"/>
      <c r="BV282" s="14"/>
      <c r="BW282" s="14"/>
    </row>
    <row r="283" spans="1:75">
      <c r="A283" s="24"/>
      <c r="B283" s="24"/>
      <c r="K283" s="14"/>
      <c r="L283" s="24"/>
      <c r="R283" s="14"/>
      <c r="S283" s="24"/>
      <c r="Y283" s="14"/>
      <c r="Z283" s="24"/>
      <c r="AG283" s="24"/>
      <c r="AM283" s="14"/>
      <c r="AN283" s="24"/>
      <c r="AT283" s="14"/>
      <c r="BB283" s="24"/>
      <c r="BE283" s="125" t="s">
        <v>775</v>
      </c>
      <c r="BR283" s="24"/>
      <c r="BV283" s="14"/>
      <c r="BW283" s="14"/>
    </row>
    <row r="284" spans="1:75">
      <c r="A284" s="24"/>
      <c r="B284" s="24"/>
      <c r="K284" s="14"/>
      <c r="L284" s="24"/>
      <c r="R284" s="14"/>
      <c r="S284" s="24"/>
      <c r="Y284" s="14"/>
      <c r="Z284" s="24"/>
      <c r="AG284" s="24"/>
      <c r="AM284" s="14"/>
      <c r="AN284" s="24"/>
      <c r="AT284" s="14"/>
      <c r="BB284" s="24"/>
      <c r="BF284" s="11"/>
      <c r="BR284" s="24"/>
      <c r="BV284" s="14"/>
      <c r="BW284" s="14"/>
    </row>
    <row r="285" spans="1:75">
      <c r="A285" s="24"/>
      <c r="B285" s="24"/>
      <c r="K285" s="14"/>
      <c r="L285" s="24"/>
      <c r="R285" s="14"/>
      <c r="S285" s="24"/>
      <c r="Y285" s="14"/>
      <c r="Z285" s="24"/>
      <c r="AG285" s="24"/>
      <c r="AM285" s="14"/>
      <c r="AN285" s="24"/>
      <c r="AT285" s="14"/>
      <c r="BB285" s="24"/>
      <c r="BC285" s="11"/>
      <c r="BE285" s="11"/>
      <c r="BF285" s="11"/>
      <c r="BR285" s="24"/>
      <c r="BV285" s="14"/>
      <c r="BW285" s="14"/>
    </row>
    <row r="286" spans="1:75">
      <c r="A286" s="24"/>
      <c r="B286" s="24"/>
      <c r="K286" s="14"/>
      <c r="L286" s="24"/>
      <c r="R286" s="14"/>
      <c r="S286" s="24"/>
      <c r="Y286" s="14"/>
      <c r="Z286" s="24"/>
      <c r="AG286" s="24"/>
      <c r="AM286" s="14"/>
      <c r="AN286" s="24"/>
      <c r="AT286" s="14"/>
      <c r="BB286" s="24"/>
      <c r="BC286" s="11"/>
      <c r="BE286" s="11"/>
      <c r="BF286" s="11"/>
      <c r="BR286" s="24"/>
      <c r="BV286" s="14"/>
      <c r="BW286" s="14"/>
    </row>
    <row r="287" spans="1:75" s="11" customFormat="1">
      <c r="A287" s="25"/>
      <c r="B287" s="26" t="s">
        <v>675</v>
      </c>
      <c r="C287" s="31"/>
      <c r="D287" s="31"/>
      <c r="E287" s="31"/>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30"/>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13"/>
    </row>
    <row r="288" spans="1:75" s="11" customFormat="1">
      <c r="A288" s="25"/>
      <c r="B288" s="24"/>
      <c r="C288" s="8"/>
      <c r="D288" s="8"/>
      <c r="E288" s="8"/>
      <c r="F288" s="8"/>
      <c r="G288" s="8"/>
      <c r="H288" s="8"/>
      <c r="I288" s="8"/>
      <c r="J288" s="8"/>
      <c r="K288" s="14"/>
      <c r="L288" s="24"/>
      <c r="M288" s="8"/>
      <c r="N288" s="8"/>
      <c r="O288" s="8"/>
      <c r="P288" s="8"/>
      <c r="Q288" s="8"/>
      <c r="R288" s="14"/>
      <c r="S288" s="24"/>
      <c r="T288" s="8"/>
      <c r="U288" s="8"/>
      <c r="V288" s="8"/>
      <c r="W288" s="8"/>
      <c r="X288" s="8"/>
      <c r="Y288" s="14"/>
      <c r="Z288" s="24"/>
      <c r="AA288" s="8"/>
      <c r="AB288" s="8"/>
      <c r="AC288" s="8"/>
      <c r="AD288" s="8"/>
      <c r="AE288" s="8"/>
      <c r="AF288" s="8"/>
      <c r="AG288" s="24"/>
      <c r="AH288" s="8"/>
      <c r="AI288" s="8"/>
      <c r="AJ288" s="8"/>
      <c r="AK288" s="8"/>
      <c r="AL288" s="8"/>
      <c r="AM288" s="14"/>
      <c r="AN288" s="24"/>
      <c r="AO288" s="8"/>
      <c r="AP288" s="8"/>
      <c r="AQ288" s="8"/>
      <c r="AR288" s="8"/>
      <c r="AS288" s="8"/>
      <c r="AT288" s="14"/>
      <c r="AU288" s="8"/>
      <c r="AV288" s="8"/>
      <c r="AW288" s="8"/>
      <c r="AX288" s="8"/>
      <c r="AY288" s="8"/>
      <c r="AZ288" s="8"/>
      <c r="BA288" s="8"/>
      <c r="BB288" s="24"/>
      <c r="BC288" s="8"/>
      <c r="BD288" s="8"/>
      <c r="BE288" s="8"/>
      <c r="BF288" s="8"/>
      <c r="BG288" s="8"/>
      <c r="BH288" s="8"/>
      <c r="BI288" s="8"/>
      <c r="BJ288" s="8"/>
      <c r="BK288" s="8"/>
      <c r="BL288" s="8"/>
      <c r="BM288" s="8"/>
      <c r="BN288" s="8"/>
      <c r="BO288" s="8"/>
      <c r="BP288" s="8"/>
      <c r="BQ288" s="8"/>
      <c r="BR288" s="24"/>
      <c r="BS288" s="8"/>
      <c r="BT288" s="8"/>
      <c r="BU288" s="8"/>
      <c r="BV288" s="14"/>
      <c r="BW288" s="13"/>
    </row>
    <row r="289" spans="1:76" s="11" customFormat="1">
      <c r="A289" s="25"/>
      <c r="B289" s="24"/>
      <c r="C289" s="8"/>
      <c r="D289" s="8"/>
      <c r="E289" s="8"/>
      <c r="F289" s="8"/>
      <c r="G289" s="8"/>
      <c r="H289" s="8"/>
      <c r="I289" s="8"/>
      <c r="J289" s="8"/>
      <c r="K289" s="14"/>
      <c r="L289" s="24"/>
      <c r="M289" s="8"/>
      <c r="N289" s="8"/>
      <c r="O289" s="8"/>
      <c r="P289" s="8"/>
      <c r="Q289" s="8"/>
      <c r="R289" s="14"/>
      <c r="S289" s="24"/>
      <c r="T289" s="8"/>
      <c r="U289" s="8"/>
      <c r="V289" s="8"/>
      <c r="W289" s="8"/>
      <c r="X289" s="8"/>
      <c r="Y289" s="14"/>
      <c r="Z289" s="24"/>
      <c r="AA289" s="8"/>
      <c r="AB289" s="8"/>
      <c r="AC289" s="8"/>
      <c r="AD289" s="8"/>
      <c r="AE289" s="8"/>
      <c r="AF289" s="8"/>
      <c r="AG289" s="24"/>
      <c r="AH289" s="8"/>
      <c r="AI289" s="8"/>
      <c r="AJ289" s="8"/>
      <c r="AK289" s="8"/>
      <c r="AL289" s="8"/>
      <c r="AM289" s="14"/>
      <c r="AN289" s="24"/>
      <c r="AO289" s="8"/>
      <c r="AP289" s="8"/>
      <c r="AQ289" s="8"/>
      <c r="AR289" s="8"/>
      <c r="AS289" s="8"/>
      <c r="AT289" s="14"/>
      <c r="AU289" s="8"/>
      <c r="AV289" s="8"/>
      <c r="AW289" s="8"/>
      <c r="AX289" s="8"/>
      <c r="AY289" s="8"/>
      <c r="AZ289" s="8"/>
      <c r="BA289" s="8"/>
      <c r="BB289" s="24"/>
      <c r="BC289" s="8"/>
      <c r="BD289" s="8"/>
      <c r="BE289" s="8"/>
      <c r="BF289" s="8"/>
      <c r="BG289" s="8"/>
      <c r="BH289" s="8"/>
      <c r="BI289" s="8"/>
      <c r="BJ289" s="8"/>
      <c r="BK289" s="8"/>
      <c r="BL289" s="8"/>
      <c r="BM289" s="8"/>
      <c r="BN289" s="8"/>
      <c r="BO289" s="8"/>
      <c r="BP289" s="8"/>
      <c r="BQ289" s="8"/>
      <c r="BR289" s="24"/>
      <c r="BS289" s="8"/>
      <c r="BT289" s="8"/>
      <c r="BU289" s="8"/>
      <c r="BV289" s="14"/>
      <c r="BW289" s="13"/>
    </row>
    <row r="290" spans="1:76" s="11" customFormat="1">
      <c r="A290" s="25"/>
      <c r="B290" s="24"/>
      <c r="C290" s="8"/>
      <c r="D290" s="8"/>
      <c r="E290" s="8"/>
      <c r="F290" s="8"/>
      <c r="G290" s="8"/>
      <c r="H290" s="8"/>
      <c r="I290" s="8"/>
      <c r="J290" s="8"/>
      <c r="K290" s="14"/>
      <c r="L290" s="24"/>
      <c r="M290" s="8"/>
      <c r="N290" s="8"/>
      <c r="O290" s="8"/>
      <c r="P290" s="8"/>
      <c r="Q290" s="8"/>
      <c r="R290" s="14"/>
      <c r="S290" s="24"/>
      <c r="T290" s="8"/>
      <c r="U290" s="8"/>
      <c r="V290" s="8"/>
      <c r="W290" s="8"/>
      <c r="X290" s="8"/>
      <c r="Y290" s="14"/>
      <c r="Z290" s="24"/>
      <c r="AA290" s="8"/>
      <c r="AB290" s="8"/>
      <c r="AC290" s="8"/>
      <c r="AD290" s="8"/>
      <c r="AE290" s="8"/>
      <c r="AF290" s="8"/>
      <c r="AG290" s="24"/>
      <c r="AH290" s="8"/>
      <c r="AI290" s="8"/>
      <c r="AJ290" s="8"/>
      <c r="AK290" s="8"/>
      <c r="AL290" s="8"/>
      <c r="AM290" s="14"/>
      <c r="AN290" s="24"/>
      <c r="AO290" s="8"/>
      <c r="AP290" s="8"/>
      <c r="AQ290" s="8"/>
      <c r="AR290" s="8"/>
      <c r="AS290" s="8"/>
      <c r="AT290" s="14"/>
      <c r="AU290" s="8"/>
      <c r="AV290" s="8"/>
      <c r="AW290" s="8"/>
      <c r="AX290" s="8"/>
      <c r="AY290" s="8"/>
      <c r="AZ290" s="8"/>
      <c r="BA290" s="8"/>
      <c r="BB290" s="24"/>
      <c r="BC290" s="8"/>
      <c r="BD290" s="8"/>
      <c r="BE290" s="8"/>
      <c r="BF290" s="8"/>
      <c r="BG290" s="8"/>
      <c r="BH290" s="8"/>
      <c r="BI290" s="8"/>
      <c r="BJ290" s="8"/>
      <c r="BK290" s="8"/>
      <c r="BL290" s="8"/>
      <c r="BM290" s="8"/>
      <c r="BN290" s="8"/>
      <c r="BO290" s="8"/>
      <c r="BP290" s="8"/>
      <c r="BQ290" s="8"/>
      <c r="BR290" s="24"/>
      <c r="BS290" s="8"/>
      <c r="BT290" s="8"/>
      <c r="BU290" s="8"/>
      <c r="BV290" s="14"/>
      <c r="BW290" s="13"/>
    </row>
    <row r="291" spans="1:76" s="11" customFormat="1">
      <c r="A291" s="25"/>
      <c r="B291" s="24"/>
      <c r="C291" s="8"/>
      <c r="D291" s="8"/>
      <c r="E291" s="8"/>
      <c r="F291" s="8"/>
      <c r="G291" s="8"/>
      <c r="H291" s="8"/>
      <c r="I291" s="8"/>
      <c r="J291" s="8"/>
      <c r="K291" s="14"/>
      <c r="L291" s="24"/>
      <c r="M291" s="8"/>
      <c r="N291" s="8"/>
      <c r="O291" s="8"/>
      <c r="P291" s="8"/>
      <c r="Q291" s="8"/>
      <c r="R291" s="14"/>
      <c r="S291" s="24"/>
      <c r="T291" s="8"/>
      <c r="U291" s="8"/>
      <c r="V291" s="8"/>
      <c r="W291" s="8"/>
      <c r="X291" s="8"/>
      <c r="Y291" s="14"/>
      <c r="Z291" s="24"/>
      <c r="AA291" s="8"/>
      <c r="AB291" s="8"/>
      <c r="AC291" s="8"/>
      <c r="AD291" s="8"/>
      <c r="AE291" s="8"/>
      <c r="AF291" s="8"/>
      <c r="AG291" s="24"/>
      <c r="AH291" s="8"/>
      <c r="AI291" s="8"/>
      <c r="AJ291" s="8"/>
      <c r="AK291" s="8"/>
      <c r="AL291" s="8"/>
      <c r="AM291" s="14"/>
      <c r="AN291" s="24"/>
      <c r="AO291" s="8"/>
      <c r="AP291" s="8"/>
      <c r="AQ291" s="8"/>
      <c r="AR291" s="8"/>
      <c r="AS291" s="8"/>
      <c r="AT291" s="14"/>
      <c r="AU291" s="8"/>
      <c r="AV291" s="8"/>
      <c r="AW291" s="8"/>
      <c r="AX291" s="8"/>
      <c r="AY291" s="8"/>
      <c r="AZ291" s="8"/>
      <c r="BA291" s="8"/>
      <c r="BB291" s="24"/>
      <c r="BC291" s="8"/>
      <c r="BD291" s="8"/>
      <c r="BE291" s="8"/>
      <c r="BF291" s="8"/>
      <c r="BG291" s="8"/>
      <c r="BH291" s="8"/>
      <c r="BI291" s="8"/>
      <c r="BJ291" s="8"/>
      <c r="BK291" s="8"/>
      <c r="BL291" s="8"/>
      <c r="BM291" s="8"/>
      <c r="BN291" s="8"/>
      <c r="BO291" s="8"/>
      <c r="BP291" s="8"/>
      <c r="BQ291" s="8"/>
      <c r="BR291" s="24"/>
      <c r="BS291" s="8"/>
      <c r="BT291" s="8"/>
      <c r="BU291" s="8"/>
      <c r="BV291" s="14"/>
      <c r="BW291" s="13"/>
    </row>
    <row r="292" spans="1:76" s="11" customFormat="1">
      <c r="A292" s="25"/>
      <c r="B292" s="24"/>
      <c r="C292" s="8"/>
      <c r="D292" s="8"/>
      <c r="E292" s="8"/>
      <c r="F292" s="8"/>
      <c r="G292" s="8"/>
      <c r="H292" s="8"/>
      <c r="I292" s="8"/>
      <c r="J292" s="8"/>
      <c r="K292" s="14"/>
      <c r="L292" s="24"/>
      <c r="M292" s="8"/>
      <c r="N292" s="8"/>
      <c r="O292" s="8"/>
      <c r="P292" s="8"/>
      <c r="Q292" s="8"/>
      <c r="R292" s="14"/>
      <c r="S292" s="24"/>
      <c r="T292" s="8"/>
      <c r="U292" s="8"/>
      <c r="V292" s="8"/>
      <c r="W292" s="8"/>
      <c r="X292" s="8"/>
      <c r="Y292" s="14"/>
      <c r="Z292" s="24"/>
      <c r="AA292" s="8"/>
      <c r="AB292" s="8"/>
      <c r="AC292" s="8"/>
      <c r="AD292" s="8"/>
      <c r="AE292" s="8"/>
      <c r="AF292" s="8"/>
      <c r="AG292" s="24"/>
      <c r="AH292" s="8"/>
      <c r="AI292" s="8"/>
      <c r="AJ292" s="8"/>
      <c r="AK292" s="8"/>
      <c r="AL292" s="8"/>
      <c r="AM292" s="14"/>
      <c r="AN292" s="24"/>
      <c r="AO292" s="8"/>
      <c r="AP292" s="8"/>
      <c r="AQ292" s="8"/>
      <c r="AR292" s="8"/>
      <c r="AS292" s="8"/>
      <c r="AT292" s="14"/>
      <c r="AU292" s="8"/>
      <c r="AV292" s="8"/>
      <c r="AW292" s="8"/>
      <c r="AX292" s="8"/>
      <c r="AY292" s="8"/>
      <c r="AZ292" s="8"/>
      <c r="BA292" s="8"/>
      <c r="BB292" s="24"/>
      <c r="BC292" s="8"/>
      <c r="BD292" s="8"/>
      <c r="BE292" s="8"/>
      <c r="BF292" s="8"/>
      <c r="BG292" s="8"/>
      <c r="BH292" s="8"/>
      <c r="BI292" s="8"/>
      <c r="BJ292" s="8"/>
      <c r="BK292" s="8"/>
      <c r="BL292" s="8"/>
      <c r="BM292" s="8"/>
      <c r="BN292" s="8"/>
      <c r="BO292" s="8"/>
      <c r="BP292" s="8"/>
      <c r="BQ292" s="8"/>
      <c r="BR292" s="24"/>
      <c r="BS292" s="8"/>
      <c r="BT292" s="8"/>
      <c r="BU292" s="8"/>
      <c r="BV292" s="14"/>
      <c r="BW292" s="13"/>
    </row>
    <row r="293" spans="1:76" s="11" customFormat="1">
      <c r="A293" s="25"/>
      <c r="B293" s="24"/>
      <c r="C293" s="8"/>
      <c r="D293" s="8"/>
      <c r="E293" s="8"/>
      <c r="F293" s="8"/>
      <c r="G293" s="8"/>
      <c r="H293" s="8"/>
      <c r="I293" s="8"/>
      <c r="J293" s="8"/>
      <c r="K293" s="14"/>
      <c r="L293" s="24"/>
      <c r="M293" s="8"/>
      <c r="N293" s="8"/>
      <c r="O293" s="8"/>
      <c r="P293" s="8"/>
      <c r="Q293" s="8"/>
      <c r="R293" s="14"/>
      <c r="S293" s="24"/>
      <c r="T293" s="8"/>
      <c r="U293" s="8"/>
      <c r="V293" s="8"/>
      <c r="W293" s="8"/>
      <c r="X293" s="8"/>
      <c r="Y293" s="14"/>
      <c r="Z293" s="24"/>
      <c r="AA293" s="8"/>
      <c r="AB293" s="8"/>
      <c r="AC293" s="8"/>
      <c r="AD293" s="8"/>
      <c r="AE293" s="8"/>
      <c r="AF293" s="8"/>
      <c r="AG293" s="24"/>
      <c r="AH293" s="8"/>
      <c r="AI293" s="8"/>
      <c r="AJ293" s="8"/>
      <c r="AK293" s="8"/>
      <c r="AL293" s="8"/>
      <c r="AM293" s="14"/>
      <c r="AN293" s="24"/>
      <c r="AO293" s="8"/>
      <c r="AP293" s="8"/>
      <c r="AQ293" s="8"/>
      <c r="AR293" s="8"/>
      <c r="AS293" s="8"/>
      <c r="AT293" s="14"/>
      <c r="AU293" s="8"/>
      <c r="AV293" s="8"/>
      <c r="AW293" s="8"/>
      <c r="AX293" s="8"/>
      <c r="AY293" s="8"/>
      <c r="AZ293" s="8"/>
      <c r="BA293" s="8"/>
      <c r="BB293" s="24"/>
      <c r="BC293" s="8"/>
      <c r="BD293" s="8"/>
      <c r="BE293" s="8"/>
      <c r="BF293" s="8"/>
      <c r="BG293" s="8"/>
      <c r="BH293" s="8"/>
      <c r="BI293" s="8"/>
      <c r="BJ293" s="8"/>
      <c r="BK293" s="8"/>
      <c r="BL293" s="8"/>
      <c r="BM293" s="8"/>
      <c r="BN293" s="8"/>
      <c r="BO293" s="8"/>
      <c r="BP293" s="8"/>
      <c r="BQ293" s="8"/>
      <c r="BR293" s="24"/>
      <c r="BS293" s="8"/>
      <c r="BT293" s="8"/>
      <c r="BU293" s="8"/>
      <c r="BV293" s="14"/>
      <c r="BW293" s="13"/>
      <c r="BX293" s="8"/>
    </row>
    <row r="294" spans="1:76" s="11" customFormat="1">
      <c r="A294" s="25"/>
      <c r="B294" s="24"/>
      <c r="C294" s="8"/>
      <c r="D294" s="8"/>
      <c r="E294" s="8"/>
      <c r="F294" s="8"/>
      <c r="G294" s="8"/>
      <c r="H294" s="8"/>
      <c r="I294" s="8"/>
      <c r="J294" s="8"/>
      <c r="K294" s="14"/>
      <c r="L294" s="24"/>
      <c r="M294" s="8"/>
      <c r="N294" s="8"/>
      <c r="O294" s="8"/>
      <c r="P294" s="8"/>
      <c r="Q294" s="8"/>
      <c r="R294" s="14"/>
      <c r="S294" s="24"/>
      <c r="T294" s="8"/>
      <c r="U294" s="8"/>
      <c r="V294" s="8"/>
      <c r="W294" s="8"/>
      <c r="X294" s="8"/>
      <c r="Y294" s="14"/>
      <c r="Z294" s="24"/>
      <c r="AA294" s="8"/>
      <c r="AB294" s="8"/>
      <c r="AC294" s="8"/>
      <c r="AD294" s="8"/>
      <c r="AE294" s="8"/>
      <c r="AF294" s="8"/>
      <c r="AG294" s="24"/>
      <c r="AH294" s="8"/>
      <c r="AI294" s="8"/>
      <c r="AJ294" s="8"/>
      <c r="AK294" s="8"/>
      <c r="AL294" s="8"/>
      <c r="AM294" s="14"/>
      <c r="AN294" s="24"/>
      <c r="AO294" s="8"/>
      <c r="AP294" s="8"/>
      <c r="AQ294" s="8"/>
      <c r="AR294" s="8"/>
      <c r="AS294" s="8"/>
      <c r="AT294" s="14"/>
      <c r="AU294" s="8"/>
      <c r="AV294" s="8"/>
      <c r="AW294" s="8"/>
      <c r="AX294" s="8"/>
      <c r="AY294" s="8"/>
      <c r="AZ294" s="8"/>
      <c r="BA294" s="8"/>
      <c r="BB294" s="24"/>
      <c r="BC294" s="16" t="s">
        <v>676</v>
      </c>
      <c r="BD294" s="8"/>
      <c r="BE294" s="8"/>
      <c r="BF294" s="8"/>
      <c r="BG294" s="8"/>
      <c r="BH294" s="8"/>
      <c r="BI294" s="8"/>
      <c r="BJ294" s="8"/>
      <c r="BK294" s="8"/>
      <c r="BL294" s="8"/>
      <c r="BM294" s="8"/>
      <c r="BN294" s="8"/>
      <c r="BO294" s="8"/>
      <c r="BP294" s="8"/>
      <c r="BQ294" s="8"/>
      <c r="BR294" s="24"/>
      <c r="BS294" s="8"/>
      <c r="BT294" s="8"/>
      <c r="BU294" s="8"/>
      <c r="BV294" s="14"/>
      <c r="BW294" s="13"/>
      <c r="BX294" s="8"/>
    </row>
    <row r="295" spans="1:76" s="11" customFormat="1">
      <c r="A295" s="25"/>
      <c r="B295" s="24"/>
      <c r="C295" s="8"/>
      <c r="D295" s="8"/>
      <c r="E295" s="8"/>
      <c r="F295" s="8"/>
      <c r="G295" s="8"/>
      <c r="H295" s="8"/>
      <c r="I295" s="8"/>
      <c r="J295" s="8"/>
      <c r="K295" s="14"/>
      <c r="L295" s="24"/>
      <c r="M295" s="8"/>
      <c r="N295" s="8"/>
      <c r="O295" s="8"/>
      <c r="P295" s="8"/>
      <c r="Q295" s="8"/>
      <c r="R295" s="14"/>
      <c r="S295" s="24"/>
      <c r="T295" s="8"/>
      <c r="U295" s="8"/>
      <c r="V295" s="8"/>
      <c r="W295" s="8"/>
      <c r="X295" s="8"/>
      <c r="Y295" s="14"/>
      <c r="Z295" s="24"/>
      <c r="AA295" s="8"/>
      <c r="AB295" s="8"/>
      <c r="AC295" s="8"/>
      <c r="AD295" s="8"/>
      <c r="AE295" s="8"/>
      <c r="AF295" s="8"/>
      <c r="AG295" s="24"/>
      <c r="AH295" s="8"/>
      <c r="AI295" s="8"/>
      <c r="AJ295" s="8"/>
      <c r="AK295" s="8"/>
      <c r="AL295" s="8"/>
      <c r="AM295" s="14"/>
      <c r="AN295" s="24"/>
      <c r="AO295" s="8"/>
      <c r="AP295" s="8"/>
      <c r="AQ295" s="8"/>
      <c r="AR295" s="8"/>
      <c r="AS295" s="8"/>
      <c r="AT295" s="14"/>
      <c r="AU295" s="8"/>
      <c r="AV295" s="8"/>
      <c r="AW295" s="8"/>
      <c r="AX295" s="8"/>
      <c r="AY295" s="8"/>
      <c r="AZ295" s="8"/>
      <c r="BA295" s="8"/>
      <c r="BB295" s="24"/>
      <c r="BC295" s="8"/>
      <c r="BD295" s="8" t="s">
        <v>677</v>
      </c>
      <c r="BE295" s="8"/>
      <c r="BF295" s="8"/>
      <c r="BG295" s="8"/>
      <c r="BH295" s="8"/>
      <c r="BI295" s="8"/>
      <c r="BJ295" s="8"/>
      <c r="BK295" s="8"/>
      <c r="BL295" s="8"/>
      <c r="BM295" s="8"/>
      <c r="BN295" s="8"/>
      <c r="BO295" s="8"/>
      <c r="BP295" s="8"/>
      <c r="BQ295" s="8"/>
      <c r="BR295" s="24"/>
      <c r="BS295" s="8"/>
      <c r="BT295" s="8"/>
      <c r="BU295" s="8"/>
      <c r="BV295" s="14"/>
      <c r="BW295" s="13"/>
    </row>
    <row r="296" spans="1:76" s="11" customFormat="1">
      <c r="A296" s="25"/>
      <c r="B296" s="24"/>
      <c r="C296" s="8"/>
      <c r="D296" s="8"/>
      <c r="E296" s="8"/>
      <c r="F296" s="8"/>
      <c r="G296" s="8"/>
      <c r="H296" s="8"/>
      <c r="I296" s="8"/>
      <c r="J296" s="8"/>
      <c r="K296" s="14"/>
      <c r="L296" s="24"/>
      <c r="M296" s="8"/>
      <c r="N296" s="8"/>
      <c r="O296" s="8"/>
      <c r="P296" s="8"/>
      <c r="Q296" s="8"/>
      <c r="R296" s="14"/>
      <c r="S296" s="24"/>
      <c r="T296" s="8"/>
      <c r="U296" s="8"/>
      <c r="V296" s="8"/>
      <c r="W296" s="8"/>
      <c r="X296" s="8"/>
      <c r="Y296" s="14"/>
      <c r="Z296" s="24"/>
      <c r="AA296" s="8"/>
      <c r="AB296" s="8"/>
      <c r="AC296" s="8"/>
      <c r="AD296" s="8"/>
      <c r="AE296" s="8"/>
      <c r="AF296" s="8"/>
      <c r="AG296" s="24"/>
      <c r="AH296" s="8"/>
      <c r="AI296" s="8"/>
      <c r="AJ296" s="8"/>
      <c r="AK296" s="8"/>
      <c r="AL296" s="8"/>
      <c r="AM296" s="14"/>
      <c r="AN296" s="24"/>
      <c r="AO296" s="8"/>
      <c r="AP296" s="8"/>
      <c r="AQ296" s="8"/>
      <c r="AR296" s="8"/>
      <c r="AS296" s="8"/>
      <c r="AT296" s="14"/>
      <c r="AU296" s="8"/>
      <c r="AV296" s="8"/>
      <c r="AW296" s="8"/>
      <c r="AX296" s="8"/>
      <c r="AY296" s="8"/>
      <c r="AZ296" s="8"/>
      <c r="BA296" s="8"/>
      <c r="BB296" s="24"/>
      <c r="BC296" s="8"/>
      <c r="BD296" s="8" t="s">
        <v>678</v>
      </c>
      <c r="BE296" s="8"/>
      <c r="BF296" s="8"/>
      <c r="BG296" s="8"/>
      <c r="BH296" s="8"/>
      <c r="BI296" s="8"/>
      <c r="BJ296" s="8"/>
      <c r="BK296" s="8"/>
      <c r="BL296" s="8"/>
      <c r="BM296" s="8"/>
      <c r="BN296" s="8"/>
      <c r="BO296" s="8"/>
      <c r="BP296" s="8"/>
      <c r="BQ296" s="8"/>
      <c r="BR296" s="24"/>
      <c r="BS296" s="8"/>
      <c r="BT296" s="8"/>
      <c r="BU296" s="8"/>
      <c r="BV296" s="14"/>
      <c r="BW296" s="13"/>
    </row>
    <row r="297" spans="1:76" s="11" customFormat="1">
      <c r="A297" s="25"/>
      <c r="B297" s="24"/>
      <c r="C297" s="8"/>
      <c r="D297" s="8"/>
      <c r="E297" s="8"/>
      <c r="F297" s="8"/>
      <c r="G297" s="8"/>
      <c r="H297" s="8"/>
      <c r="I297" s="8"/>
      <c r="J297" s="8"/>
      <c r="K297" s="14"/>
      <c r="L297" s="24"/>
      <c r="M297" s="8"/>
      <c r="N297" s="8"/>
      <c r="O297" s="8"/>
      <c r="P297" s="8"/>
      <c r="Q297" s="8"/>
      <c r="R297" s="14"/>
      <c r="S297" s="24"/>
      <c r="T297" s="8"/>
      <c r="U297" s="8"/>
      <c r="V297" s="8"/>
      <c r="W297" s="8"/>
      <c r="X297" s="8"/>
      <c r="Y297" s="14"/>
      <c r="Z297" s="24"/>
      <c r="AA297" s="8"/>
      <c r="AB297" s="8"/>
      <c r="AC297" s="8"/>
      <c r="AD297" s="8"/>
      <c r="AE297" s="8"/>
      <c r="AF297" s="8"/>
      <c r="AG297" s="24"/>
      <c r="AH297" s="8"/>
      <c r="AI297" s="8"/>
      <c r="AJ297" s="8"/>
      <c r="AK297" s="8"/>
      <c r="AL297" s="8"/>
      <c r="AM297" s="14"/>
      <c r="AN297" s="24"/>
      <c r="AO297" s="8"/>
      <c r="AP297" s="8"/>
      <c r="AQ297" s="8"/>
      <c r="AR297" s="8"/>
      <c r="AS297" s="8"/>
      <c r="AT297" s="14"/>
      <c r="AU297" s="8"/>
      <c r="AV297" s="8"/>
      <c r="AW297" s="8"/>
      <c r="AX297" s="8"/>
      <c r="AY297" s="8"/>
      <c r="AZ297" s="8"/>
      <c r="BA297" s="8"/>
      <c r="BB297" s="24"/>
      <c r="BC297" s="8"/>
      <c r="BD297" s="8"/>
      <c r="BE297" s="8"/>
      <c r="BF297" s="8"/>
      <c r="BG297" s="8"/>
      <c r="BH297" s="8"/>
      <c r="BI297" s="8"/>
      <c r="BJ297" s="8"/>
      <c r="BK297" s="8"/>
      <c r="BL297" s="8"/>
      <c r="BM297" s="8"/>
      <c r="BN297" s="8"/>
      <c r="BO297" s="8"/>
      <c r="BP297" s="8"/>
      <c r="BQ297" s="8"/>
      <c r="BR297" s="24"/>
      <c r="BS297" s="8"/>
      <c r="BT297" s="8"/>
      <c r="BU297" s="8"/>
      <c r="BV297" s="14"/>
      <c r="BW297" s="13"/>
    </row>
    <row r="298" spans="1:76" s="11" customFormat="1">
      <c r="A298" s="25"/>
      <c r="B298" s="24"/>
      <c r="C298" s="8"/>
      <c r="D298" s="8"/>
      <c r="E298" s="8"/>
      <c r="F298" s="8"/>
      <c r="G298" s="8"/>
      <c r="H298" s="8"/>
      <c r="I298" s="8"/>
      <c r="J298" s="8"/>
      <c r="K298" s="14"/>
      <c r="L298" s="24"/>
      <c r="M298" s="8"/>
      <c r="N298" s="8"/>
      <c r="O298" s="8"/>
      <c r="P298" s="8"/>
      <c r="Q298" s="8"/>
      <c r="R298" s="14"/>
      <c r="S298" s="24"/>
      <c r="T298" s="8"/>
      <c r="U298" s="8"/>
      <c r="V298" s="8"/>
      <c r="W298" s="8"/>
      <c r="X298" s="8"/>
      <c r="Y298" s="14"/>
      <c r="Z298" s="24"/>
      <c r="AA298" s="8"/>
      <c r="AB298" s="8"/>
      <c r="AC298" s="8"/>
      <c r="AD298" s="8"/>
      <c r="AE298" s="8"/>
      <c r="AF298" s="8"/>
      <c r="AG298" s="24"/>
      <c r="AH298" s="8"/>
      <c r="AI298" s="8"/>
      <c r="AJ298" s="8"/>
      <c r="AK298" s="8"/>
      <c r="AL298" s="8"/>
      <c r="AM298" s="14"/>
      <c r="AN298" s="24"/>
      <c r="AO298" s="8"/>
      <c r="AP298" s="8"/>
      <c r="AQ298" s="8"/>
      <c r="AR298" s="8"/>
      <c r="AS298" s="8"/>
      <c r="AT298" s="14"/>
      <c r="AU298" s="8"/>
      <c r="AV298" s="8"/>
      <c r="AW298" s="8"/>
      <c r="AX298" s="8"/>
      <c r="AY298" s="8"/>
      <c r="AZ298" s="8"/>
      <c r="BA298" s="8"/>
      <c r="BB298" s="24"/>
      <c r="BC298" s="8"/>
      <c r="BD298" s="8"/>
      <c r="BE298" s="8"/>
      <c r="BF298" s="8"/>
      <c r="BG298" s="8"/>
      <c r="BH298" s="8"/>
      <c r="BI298" s="8"/>
      <c r="BJ298" s="8"/>
      <c r="BK298" s="8"/>
      <c r="BL298" s="8"/>
      <c r="BM298" s="8"/>
      <c r="BN298" s="8"/>
      <c r="BO298" s="8"/>
      <c r="BP298" s="8"/>
      <c r="BQ298" s="8"/>
      <c r="BR298" s="24"/>
      <c r="BS298" s="8"/>
      <c r="BT298" s="8"/>
      <c r="BU298" s="8"/>
      <c r="BV298" s="14"/>
      <c r="BW298" s="13"/>
    </row>
    <row r="299" spans="1:76" s="11" customFormat="1">
      <c r="A299" s="25"/>
      <c r="B299" s="24"/>
      <c r="C299" s="8"/>
      <c r="D299" s="8"/>
      <c r="E299" s="8"/>
      <c r="F299" s="8"/>
      <c r="G299" s="8"/>
      <c r="H299" s="8"/>
      <c r="I299" s="8"/>
      <c r="J299" s="8"/>
      <c r="K299" s="14"/>
      <c r="L299" s="24"/>
      <c r="M299" s="8"/>
      <c r="N299" s="8"/>
      <c r="O299" s="8"/>
      <c r="P299" s="8"/>
      <c r="Q299" s="8"/>
      <c r="R299" s="14"/>
      <c r="S299" s="24"/>
      <c r="T299" s="8"/>
      <c r="U299" s="8"/>
      <c r="V299" s="8"/>
      <c r="W299" s="8"/>
      <c r="X299" s="8"/>
      <c r="Y299" s="14"/>
      <c r="Z299" s="24"/>
      <c r="AA299" s="8"/>
      <c r="AB299" s="8"/>
      <c r="AC299" s="8"/>
      <c r="AD299" s="8"/>
      <c r="AE299" s="8"/>
      <c r="AF299" s="8"/>
      <c r="AG299" s="24"/>
      <c r="AH299" s="8"/>
      <c r="AI299" s="8"/>
      <c r="AJ299" s="8"/>
      <c r="AK299" s="8"/>
      <c r="AL299" s="8"/>
      <c r="AM299" s="14"/>
      <c r="AN299" s="24"/>
      <c r="AO299" s="8"/>
      <c r="AP299" s="8"/>
      <c r="AQ299" s="8"/>
      <c r="AR299" s="8"/>
      <c r="AS299" s="8"/>
      <c r="AT299" s="14"/>
      <c r="AU299" s="8"/>
      <c r="AV299" s="8"/>
      <c r="AW299" s="8"/>
      <c r="AX299" s="8"/>
      <c r="AY299" s="8"/>
      <c r="AZ299" s="8"/>
      <c r="BA299" s="8"/>
      <c r="BB299" s="24"/>
      <c r="BC299" s="8"/>
      <c r="BD299" s="8"/>
      <c r="BE299" s="8"/>
      <c r="BF299" s="8"/>
      <c r="BG299" s="8"/>
      <c r="BH299" s="8"/>
      <c r="BI299" s="8"/>
      <c r="BJ299" s="8"/>
      <c r="BK299" s="8"/>
      <c r="BL299" s="8"/>
      <c r="BM299" s="8"/>
      <c r="BN299" s="8"/>
      <c r="BO299" s="8"/>
      <c r="BP299" s="8"/>
      <c r="BQ299" s="8"/>
      <c r="BR299" s="24"/>
      <c r="BS299" s="8"/>
      <c r="BT299" s="8"/>
      <c r="BU299" s="8"/>
      <c r="BV299" s="14"/>
      <c r="BW299" s="13"/>
    </row>
    <row r="300" spans="1:76" s="11" customFormat="1">
      <c r="A300" s="25"/>
      <c r="B300" s="24"/>
      <c r="C300" s="8"/>
      <c r="D300" s="8"/>
      <c r="E300" s="8"/>
      <c r="F300" s="8"/>
      <c r="G300" s="8"/>
      <c r="H300" s="8"/>
      <c r="I300" s="8"/>
      <c r="J300" s="8"/>
      <c r="K300" s="14"/>
      <c r="L300" s="24"/>
      <c r="M300" s="8"/>
      <c r="N300" s="8"/>
      <c r="O300" s="8"/>
      <c r="P300" s="8"/>
      <c r="Q300" s="8"/>
      <c r="R300" s="14"/>
      <c r="S300" s="24"/>
      <c r="T300" s="8"/>
      <c r="U300" s="8"/>
      <c r="V300" s="8"/>
      <c r="W300" s="8"/>
      <c r="X300" s="8"/>
      <c r="Y300" s="14"/>
      <c r="Z300" s="24"/>
      <c r="AA300" s="8"/>
      <c r="AB300" s="8"/>
      <c r="AC300" s="8"/>
      <c r="AD300" s="8"/>
      <c r="AE300" s="8"/>
      <c r="AF300" s="8"/>
      <c r="AG300" s="24"/>
      <c r="AH300" s="8"/>
      <c r="AI300" s="8"/>
      <c r="AJ300" s="8"/>
      <c r="AK300" s="8"/>
      <c r="AL300" s="8"/>
      <c r="AM300" s="14"/>
      <c r="AN300" s="24"/>
      <c r="AO300" s="8"/>
      <c r="AP300" s="8"/>
      <c r="AQ300" s="8"/>
      <c r="AR300" s="8"/>
      <c r="AS300" s="8"/>
      <c r="AT300" s="14"/>
      <c r="AU300" s="8"/>
      <c r="AV300" s="8"/>
      <c r="AW300" s="8"/>
      <c r="AX300" s="8"/>
      <c r="AY300" s="8"/>
      <c r="AZ300" s="8"/>
      <c r="BA300" s="8"/>
      <c r="BB300" s="24"/>
      <c r="BC300" s="16" t="s">
        <v>681</v>
      </c>
      <c r="BD300" s="8"/>
      <c r="BE300" s="8"/>
      <c r="BF300" s="8"/>
      <c r="BG300" s="8"/>
      <c r="BH300" s="8"/>
      <c r="BI300" s="8"/>
      <c r="BJ300" s="8"/>
      <c r="BK300" s="8"/>
      <c r="BL300" s="8"/>
      <c r="BM300" s="8"/>
      <c r="BN300" s="8"/>
      <c r="BO300" s="8"/>
      <c r="BP300" s="8"/>
      <c r="BQ300" s="8"/>
      <c r="BR300" s="24"/>
      <c r="BS300" s="8"/>
      <c r="BT300" s="8"/>
      <c r="BU300" s="8"/>
      <c r="BV300" s="14"/>
      <c r="BW300" s="13"/>
    </row>
    <row r="301" spans="1:76" s="11" customFormat="1">
      <c r="A301" s="25"/>
      <c r="B301" s="24"/>
      <c r="C301" s="8"/>
      <c r="D301" s="8"/>
      <c r="E301" s="8"/>
      <c r="F301" s="8"/>
      <c r="G301" s="8"/>
      <c r="H301" s="8"/>
      <c r="I301" s="8"/>
      <c r="J301" s="8"/>
      <c r="K301" s="14"/>
      <c r="L301" s="24"/>
      <c r="M301" s="8"/>
      <c r="N301" s="8"/>
      <c r="O301" s="8"/>
      <c r="P301" s="8"/>
      <c r="Q301" s="8"/>
      <c r="R301" s="14"/>
      <c r="S301" s="24"/>
      <c r="T301" s="8"/>
      <c r="U301" s="8"/>
      <c r="V301" s="8"/>
      <c r="W301" s="8"/>
      <c r="X301" s="8"/>
      <c r="Y301" s="14"/>
      <c r="Z301" s="24"/>
      <c r="AA301" s="8"/>
      <c r="AB301" s="8"/>
      <c r="AC301" s="8"/>
      <c r="AD301" s="8"/>
      <c r="AE301" s="8"/>
      <c r="AF301" s="8"/>
      <c r="AG301" s="24"/>
      <c r="AH301" s="8"/>
      <c r="AI301" s="8"/>
      <c r="AJ301" s="8"/>
      <c r="AK301" s="8"/>
      <c r="AL301" s="8"/>
      <c r="AM301" s="14"/>
      <c r="AN301" s="24"/>
      <c r="AO301" s="8"/>
      <c r="AP301" s="8"/>
      <c r="AQ301" s="8"/>
      <c r="AR301" s="8"/>
      <c r="AS301" s="8"/>
      <c r="AT301" s="14"/>
      <c r="AU301" s="8"/>
      <c r="AV301" s="8"/>
      <c r="AW301" s="8"/>
      <c r="AX301" s="8"/>
      <c r="AY301" s="8"/>
      <c r="AZ301" s="8"/>
      <c r="BA301" s="8"/>
      <c r="BB301" s="24"/>
      <c r="BC301" s="8"/>
      <c r="BD301" s="8" t="s">
        <v>682</v>
      </c>
      <c r="BE301" s="8"/>
      <c r="BF301" s="8"/>
      <c r="BG301" s="8"/>
      <c r="BH301" s="8"/>
      <c r="BI301" s="8"/>
      <c r="BJ301" s="8"/>
      <c r="BK301" s="8"/>
      <c r="BL301" s="8"/>
      <c r="BM301" s="8"/>
      <c r="BN301" s="8"/>
      <c r="BO301" s="8"/>
      <c r="BP301" s="8"/>
      <c r="BQ301" s="8"/>
      <c r="BR301" s="24"/>
      <c r="BS301" s="8"/>
      <c r="BT301" s="8"/>
      <c r="BU301" s="8"/>
      <c r="BV301" s="14"/>
      <c r="BW301" s="13"/>
    </row>
    <row r="302" spans="1:76" s="11" customFormat="1">
      <c r="A302" s="25"/>
      <c r="B302" s="24"/>
      <c r="C302" s="8"/>
      <c r="D302" s="8"/>
      <c r="E302" s="8"/>
      <c r="F302" s="8"/>
      <c r="G302" s="8"/>
      <c r="H302" s="8"/>
      <c r="I302" s="8"/>
      <c r="J302" s="8"/>
      <c r="K302" s="14"/>
      <c r="L302" s="24"/>
      <c r="M302" s="8"/>
      <c r="N302" s="8"/>
      <c r="O302" s="8"/>
      <c r="P302" s="8"/>
      <c r="Q302" s="8"/>
      <c r="R302" s="14"/>
      <c r="S302" s="24"/>
      <c r="T302" s="8"/>
      <c r="U302" s="8"/>
      <c r="V302" s="8"/>
      <c r="W302" s="8"/>
      <c r="X302" s="8"/>
      <c r="Y302" s="14"/>
      <c r="Z302" s="24"/>
      <c r="AA302" s="8"/>
      <c r="AB302" s="8"/>
      <c r="AC302" s="8"/>
      <c r="AD302" s="8"/>
      <c r="AE302" s="8"/>
      <c r="AF302" s="8"/>
      <c r="AG302" s="24"/>
      <c r="AH302" s="8"/>
      <c r="AI302" s="8"/>
      <c r="AJ302" s="8"/>
      <c r="AK302" s="8"/>
      <c r="AL302" s="8"/>
      <c r="AM302" s="14"/>
      <c r="AN302" s="24"/>
      <c r="AO302" s="8"/>
      <c r="AP302" s="8"/>
      <c r="AQ302" s="8"/>
      <c r="AR302" s="8"/>
      <c r="AS302" s="8"/>
      <c r="AT302" s="14"/>
      <c r="AU302" s="8"/>
      <c r="AV302" s="8"/>
      <c r="AW302" s="8"/>
      <c r="AX302" s="8"/>
      <c r="AY302" s="8"/>
      <c r="AZ302" s="8"/>
      <c r="BA302" s="8"/>
      <c r="BB302" s="24"/>
      <c r="BC302" s="8"/>
      <c r="BD302" s="8"/>
      <c r="BE302" s="8"/>
      <c r="BF302" s="8"/>
      <c r="BG302" s="8"/>
      <c r="BH302" s="8"/>
      <c r="BI302" s="8"/>
      <c r="BJ302" s="8"/>
      <c r="BK302" s="8"/>
      <c r="BL302" s="8"/>
      <c r="BM302" s="8"/>
      <c r="BN302" s="8"/>
      <c r="BO302" s="8"/>
      <c r="BP302" s="8"/>
      <c r="BQ302" s="8"/>
      <c r="BR302" s="24"/>
      <c r="BS302" s="8"/>
      <c r="BT302" s="8"/>
      <c r="BU302" s="8"/>
      <c r="BV302" s="14"/>
      <c r="BW302" s="13"/>
    </row>
    <row r="303" spans="1:76" s="11" customFormat="1">
      <c r="A303" s="25"/>
      <c r="B303" s="24"/>
      <c r="C303" s="8"/>
      <c r="D303" s="8"/>
      <c r="E303" s="8"/>
      <c r="F303" s="8"/>
      <c r="G303" s="8"/>
      <c r="H303" s="8"/>
      <c r="I303" s="8"/>
      <c r="J303" s="8"/>
      <c r="K303" s="14"/>
      <c r="L303" s="24"/>
      <c r="M303" s="8"/>
      <c r="N303" s="8"/>
      <c r="O303" s="8"/>
      <c r="P303" s="8"/>
      <c r="Q303" s="8"/>
      <c r="R303" s="14"/>
      <c r="S303" s="24"/>
      <c r="T303" s="8"/>
      <c r="U303" s="8"/>
      <c r="V303" s="8"/>
      <c r="W303" s="8"/>
      <c r="X303" s="8"/>
      <c r="Y303" s="14"/>
      <c r="Z303" s="24"/>
      <c r="AA303" s="8"/>
      <c r="AB303" s="8"/>
      <c r="AC303" s="8"/>
      <c r="AD303" s="8"/>
      <c r="AE303" s="8"/>
      <c r="AF303" s="8"/>
      <c r="AG303" s="24"/>
      <c r="AH303" s="8"/>
      <c r="AI303" s="8"/>
      <c r="AJ303" s="8"/>
      <c r="AK303" s="8"/>
      <c r="AL303" s="8"/>
      <c r="AM303" s="14"/>
      <c r="AN303" s="24"/>
      <c r="AO303" s="8"/>
      <c r="AP303" s="8"/>
      <c r="AQ303" s="8"/>
      <c r="AR303" s="8"/>
      <c r="AS303" s="8"/>
      <c r="AT303" s="14"/>
      <c r="AU303" s="8"/>
      <c r="AV303" s="8"/>
      <c r="AW303" s="8"/>
      <c r="AX303" s="8"/>
      <c r="AY303" s="8"/>
      <c r="AZ303" s="8"/>
      <c r="BA303" s="8"/>
      <c r="BB303" s="24"/>
      <c r="BC303" s="8"/>
      <c r="BD303" s="8"/>
      <c r="BE303" s="8"/>
      <c r="BF303" s="8"/>
      <c r="BG303" s="8"/>
      <c r="BH303" s="8"/>
      <c r="BI303" s="8"/>
      <c r="BJ303" s="8"/>
      <c r="BK303" s="8"/>
      <c r="BL303" s="8"/>
      <c r="BM303" s="8"/>
      <c r="BN303" s="8"/>
      <c r="BO303" s="8"/>
      <c r="BP303" s="8"/>
      <c r="BQ303" s="8"/>
      <c r="BR303" s="24"/>
      <c r="BS303" s="8"/>
      <c r="BT303" s="8"/>
      <c r="BU303" s="8"/>
      <c r="BV303" s="14"/>
      <c r="BW303" s="13"/>
    </row>
    <row r="304" spans="1:76" s="11" customFormat="1">
      <c r="A304" s="25"/>
      <c r="B304" s="24"/>
      <c r="C304" s="8"/>
      <c r="D304" s="8"/>
      <c r="E304" s="8"/>
      <c r="F304" s="8"/>
      <c r="G304" s="8"/>
      <c r="H304" s="8"/>
      <c r="I304" s="8"/>
      <c r="J304" s="8"/>
      <c r="K304" s="14"/>
      <c r="L304" s="24"/>
      <c r="M304" s="8"/>
      <c r="N304" s="8"/>
      <c r="O304" s="8"/>
      <c r="P304" s="8"/>
      <c r="Q304" s="8"/>
      <c r="R304" s="14"/>
      <c r="S304" s="24"/>
      <c r="T304" s="8"/>
      <c r="U304" s="8"/>
      <c r="V304" s="8"/>
      <c r="W304" s="8"/>
      <c r="X304" s="8"/>
      <c r="Y304" s="14"/>
      <c r="Z304" s="24"/>
      <c r="AA304" s="8"/>
      <c r="AB304" s="8"/>
      <c r="AC304" s="8"/>
      <c r="AD304" s="8"/>
      <c r="AE304" s="8"/>
      <c r="AF304" s="8"/>
      <c r="AG304" s="24"/>
      <c r="AH304" s="8"/>
      <c r="AI304" s="8"/>
      <c r="AJ304" s="8"/>
      <c r="AK304" s="8"/>
      <c r="AL304" s="8"/>
      <c r="AM304" s="14"/>
      <c r="AN304" s="24"/>
      <c r="AO304" s="8"/>
      <c r="AP304" s="8"/>
      <c r="AQ304" s="8"/>
      <c r="AR304" s="8"/>
      <c r="AS304" s="8"/>
      <c r="AT304" s="14"/>
      <c r="AU304" s="8"/>
      <c r="AV304" s="8"/>
      <c r="AW304" s="8"/>
      <c r="AX304" s="8"/>
      <c r="AY304" s="8"/>
      <c r="AZ304" s="8"/>
      <c r="BA304" s="8"/>
      <c r="BB304" s="24"/>
      <c r="BC304" s="8"/>
      <c r="BD304" s="8"/>
      <c r="BE304" s="8"/>
      <c r="BF304" s="8"/>
      <c r="BG304" s="8"/>
      <c r="BH304" s="8"/>
      <c r="BI304" s="8"/>
      <c r="BJ304" s="8"/>
      <c r="BK304" s="8"/>
      <c r="BL304" s="8"/>
      <c r="BM304" s="8"/>
      <c r="BN304" s="8"/>
      <c r="BO304" s="8"/>
      <c r="BP304" s="8"/>
      <c r="BQ304" s="8"/>
      <c r="BR304" s="24"/>
      <c r="BS304" s="8"/>
      <c r="BT304" s="8"/>
      <c r="BU304" s="8"/>
      <c r="BV304" s="14"/>
      <c r="BW304" s="13"/>
    </row>
    <row r="305" spans="1:75" s="11" customFormat="1">
      <c r="A305" s="25"/>
      <c r="B305" s="24"/>
      <c r="C305" s="8"/>
      <c r="D305" s="8"/>
      <c r="E305" s="8"/>
      <c r="F305" s="8"/>
      <c r="G305" s="8"/>
      <c r="H305" s="8"/>
      <c r="I305" s="8"/>
      <c r="J305" s="8"/>
      <c r="K305" s="14"/>
      <c r="L305" s="24"/>
      <c r="M305" s="8"/>
      <c r="N305" s="8"/>
      <c r="O305" s="8"/>
      <c r="P305" s="8"/>
      <c r="Q305" s="8"/>
      <c r="R305" s="14"/>
      <c r="S305" s="24"/>
      <c r="T305" s="8"/>
      <c r="U305" s="8"/>
      <c r="V305" s="8"/>
      <c r="W305" s="8"/>
      <c r="X305" s="8"/>
      <c r="Y305" s="14"/>
      <c r="Z305" s="24"/>
      <c r="AA305" s="8"/>
      <c r="AB305" s="8"/>
      <c r="AC305" s="8"/>
      <c r="AD305" s="8"/>
      <c r="AE305" s="8"/>
      <c r="AF305" s="8"/>
      <c r="AG305" s="24"/>
      <c r="AH305" s="8"/>
      <c r="AI305" s="8"/>
      <c r="AJ305" s="8"/>
      <c r="AK305" s="8"/>
      <c r="AL305" s="8"/>
      <c r="AM305" s="14"/>
      <c r="AN305" s="24"/>
      <c r="AO305" s="8"/>
      <c r="AP305" s="8"/>
      <c r="AQ305" s="8"/>
      <c r="AR305" s="8"/>
      <c r="AS305" s="8"/>
      <c r="AT305" s="14"/>
      <c r="AU305" s="8"/>
      <c r="AV305" s="8"/>
      <c r="AW305" s="8"/>
      <c r="AX305" s="8"/>
      <c r="AY305" s="8"/>
      <c r="AZ305" s="8"/>
      <c r="BA305" s="8"/>
      <c r="BB305" s="24"/>
      <c r="BC305" s="8"/>
      <c r="BD305" s="8"/>
      <c r="BE305" s="8"/>
      <c r="BF305" s="8"/>
      <c r="BG305" s="8"/>
      <c r="BH305" s="8"/>
      <c r="BI305" s="8"/>
      <c r="BJ305" s="8"/>
      <c r="BK305" s="8"/>
      <c r="BL305" s="8"/>
      <c r="BM305" s="8"/>
      <c r="BN305" s="8"/>
      <c r="BO305" s="8"/>
      <c r="BP305" s="8"/>
      <c r="BQ305" s="8"/>
      <c r="BR305" s="24"/>
      <c r="BS305" s="8"/>
      <c r="BT305" s="8"/>
      <c r="BU305" s="8"/>
      <c r="BV305" s="14"/>
      <c r="BW305" s="13"/>
    </row>
    <row r="306" spans="1:75" s="11" customFormat="1">
      <c r="A306" s="25"/>
      <c r="B306" s="24"/>
      <c r="C306" s="8"/>
      <c r="D306" s="8"/>
      <c r="E306" s="8"/>
      <c r="F306" s="8"/>
      <c r="G306" s="8"/>
      <c r="H306" s="8"/>
      <c r="I306" s="8"/>
      <c r="J306" s="8"/>
      <c r="K306" s="14"/>
      <c r="L306" s="24"/>
      <c r="M306" s="8"/>
      <c r="N306" s="8"/>
      <c r="O306" s="8"/>
      <c r="P306" s="8"/>
      <c r="Q306" s="8"/>
      <c r="R306" s="14"/>
      <c r="S306" s="24"/>
      <c r="T306" s="8"/>
      <c r="U306" s="8"/>
      <c r="V306" s="8"/>
      <c r="W306" s="8"/>
      <c r="X306" s="8"/>
      <c r="Y306" s="14"/>
      <c r="Z306" s="24"/>
      <c r="AA306" s="8"/>
      <c r="AB306" s="8"/>
      <c r="AC306" s="8"/>
      <c r="AD306" s="8"/>
      <c r="AE306" s="8"/>
      <c r="AF306" s="8"/>
      <c r="AG306" s="24"/>
      <c r="AH306" s="8"/>
      <c r="AI306" s="8"/>
      <c r="AJ306" s="8"/>
      <c r="AK306" s="8"/>
      <c r="AL306" s="8"/>
      <c r="AM306" s="14"/>
      <c r="AN306" s="24"/>
      <c r="AO306" s="8"/>
      <c r="AP306" s="8"/>
      <c r="AQ306" s="8"/>
      <c r="AR306" s="8"/>
      <c r="AS306" s="8"/>
      <c r="AT306" s="14"/>
      <c r="AU306" s="8"/>
      <c r="AV306" s="8"/>
      <c r="AW306" s="8"/>
      <c r="AX306" s="8"/>
      <c r="AY306" s="8"/>
      <c r="AZ306" s="8"/>
      <c r="BA306" s="8"/>
      <c r="BB306" s="24"/>
      <c r="BC306" s="8"/>
      <c r="BD306" s="8"/>
      <c r="BE306" s="8"/>
      <c r="BF306" s="8"/>
      <c r="BG306" s="8"/>
      <c r="BH306" s="8"/>
      <c r="BI306" s="8"/>
      <c r="BJ306" s="8"/>
      <c r="BK306" s="8"/>
      <c r="BL306" s="8"/>
      <c r="BM306" s="8"/>
      <c r="BN306" s="8"/>
      <c r="BO306" s="8"/>
      <c r="BP306" s="8"/>
      <c r="BQ306" s="8"/>
      <c r="BR306" s="24"/>
      <c r="BS306" s="8"/>
      <c r="BT306" s="8"/>
      <c r="BU306" s="8"/>
      <c r="BV306" s="14"/>
      <c r="BW306" s="13"/>
    </row>
    <row r="307" spans="1:75" s="11" customFormat="1">
      <c r="A307" s="25"/>
      <c r="B307" s="24"/>
      <c r="C307" s="8"/>
      <c r="D307" s="8"/>
      <c r="E307" s="8"/>
      <c r="F307" s="8"/>
      <c r="G307" s="8"/>
      <c r="H307" s="8"/>
      <c r="I307" s="8"/>
      <c r="J307" s="8"/>
      <c r="K307" s="14"/>
      <c r="L307" s="24"/>
      <c r="M307" s="8"/>
      <c r="N307" s="8"/>
      <c r="O307" s="8"/>
      <c r="P307" s="8"/>
      <c r="Q307" s="8"/>
      <c r="R307" s="14"/>
      <c r="S307" s="24"/>
      <c r="T307" s="8"/>
      <c r="U307" s="8"/>
      <c r="V307" s="8"/>
      <c r="W307" s="8"/>
      <c r="X307" s="8"/>
      <c r="Y307" s="14"/>
      <c r="Z307" s="24"/>
      <c r="AA307" s="8"/>
      <c r="AB307" s="8"/>
      <c r="AC307" s="8"/>
      <c r="AD307" s="8"/>
      <c r="AE307" s="8"/>
      <c r="AF307" s="8"/>
      <c r="AG307" s="24"/>
      <c r="AH307" s="8"/>
      <c r="AI307" s="8"/>
      <c r="AJ307" s="8"/>
      <c r="AK307" s="8"/>
      <c r="AL307" s="8"/>
      <c r="AM307" s="14"/>
      <c r="AN307" s="24"/>
      <c r="AO307" s="8"/>
      <c r="AP307" s="8"/>
      <c r="AQ307" s="8"/>
      <c r="AR307" s="8"/>
      <c r="AS307" s="8"/>
      <c r="AT307" s="14"/>
      <c r="AU307" s="8"/>
      <c r="AV307" s="8"/>
      <c r="AW307" s="8"/>
      <c r="AX307" s="8"/>
      <c r="AY307" s="8"/>
      <c r="AZ307" s="8"/>
      <c r="BA307" s="8"/>
      <c r="BB307" s="24"/>
      <c r="BC307" s="16" t="s">
        <v>683</v>
      </c>
      <c r="BD307" s="8"/>
      <c r="BE307" s="8"/>
      <c r="BF307" s="8"/>
      <c r="BG307" s="8"/>
      <c r="BH307" s="8"/>
      <c r="BI307" s="8"/>
      <c r="BJ307" s="8"/>
      <c r="BK307" s="8"/>
      <c r="BL307" s="8"/>
      <c r="BM307" s="8"/>
      <c r="BN307" s="8"/>
      <c r="BO307" s="8"/>
      <c r="BP307" s="8"/>
      <c r="BQ307" s="8"/>
      <c r="BR307" s="24"/>
      <c r="BS307" s="8"/>
      <c r="BT307" s="8"/>
      <c r="BU307" s="8"/>
      <c r="BV307" s="14"/>
      <c r="BW307" s="13"/>
    </row>
    <row r="308" spans="1:75" s="11" customFormat="1">
      <c r="A308" s="25"/>
      <c r="B308" s="24"/>
      <c r="C308" s="8"/>
      <c r="D308" s="8"/>
      <c r="E308" s="8"/>
      <c r="F308" s="8"/>
      <c r="G308" s="8"/>
      <c r="H308" s="8"/>
      <c r="I308" s="8"/>
      <c r="J308" s="8"/>
      <c r="K308" s="14"/>
      <c r="L308" s="24"/>
      <c r="M308" s="8"/>
      <c r="N308" s="8"/>
      <c r="O308" s="8"/>
      <c r="P308" s="8"/>
      <c r="Q308" s="8"/>
      <c r="R308" s="14"/>
      <c r="S308" s="24"/>
      <c r="T308" s="8"/>
      <c r="U308" s="8"/>
      <c r="V308" s="8"/>
      <c r="W308" s="8"/>
      <c r="X308" s="8"/>
      <c r="Y308" s="14"/>
      <c r="Z308" s="24"/>
      <c r="AA308" s="8"/>
      <c r="AB308" s="8"/>
      <c r="AC308" s="8"/>
      <c r="AD308" s="8"/>
      <c r="AE308" s="8"/>
      <c r="AF308" s="8"/>
      <c r="AG308" s="24"/>
      <c r="AH308" s="8"/>
      <c r="AI308" s="8"/>
      <c r="AJ308" s="8"/>
      <c r="AK308" s="8"/>
      <c r="AL308" s="8"/>
      <c r="AM308" s="14"/>
      <c r="AN308" s="24"/>
      <c r="AO308" s="8"/>
      <c r="AP308" s="8"/>
      <c r="AQ308" s="8"/>
      <c r="AR308" s="8"/>
      <c r="AS308" s="8"/>
      <c r="AT308" s="14"/>
      <c r="AU308" s="8"/>
      <c r="AV308" s="8"/>
      <c r="AW308" s="8"/>
      <c r="AX308" s="8"/>
      <c r="AY308" s="8"/>
      <c r="AZ308" s="8"/>
      <c r="BA308" s="8"/>
      <c r="BB308" s="24"/>
      <c r="BC308" s="8"/>
      <c r="BD308" s="8" t="s">
        <v>684</v>
      </c>
      <c r="BE308" s="8"/>
      <c r="BF308" s="8"/>
      <c r="BG308" s="8"/>
      <c r="BH308" s="8"/>
      <c r="BI308" s="8"/>
      <c r="BJ308" s="8"/>
      <c r="BK308" s="8"/>
      <c r="BL308" s="8"/>
      <c r="BM308" s="8"/>
      <c r="BN308" s="8"/>
      <c r="BO308" s="8"/>
      <c r="BP308" s="8"/>
      <c r="BQ308" s="8"/>
      <c r="BR308" s="24"/>
      <c r="BS308" s="8"/>
      <c r="BT308" s="8"/>
      <c r="BU308" s="8"/>
      <c r="BV308" s="14"/>
      <c r="BW308" s="13"/>
    </row>
    <row r="309" spans="1:75" s="11" customFormat="1">
      <c r="A309" s="25"/>
      <c r="B309" s="24"/>
      <c r="C309" s="8"/>
      <c r="D309" s="8"/>
      <c r="E309" s="8"/>
      <c r="F309" s="8"/>
      <c r="G309" s="8"/>
      <c r="H309" s="8"/>
      <c r="I309" s="8"/>
      <c r="J309" s="8"/>
      <c r="K309" s="14"/>
      <c r="L309" s="24"/>
      <c r="M309" s="8"/>
      <c r="N309" s="8"/>
      <c r="O309" s="8"/>
      <c r="P309" s="8"/>
      <c r="Q309" s="8"/>
      <c r="R309" s="14"/>
      <c r="S309" s="24"/>
      <c r="T309" s="8"/>
      <c r="U309" s="8"/>
      <c r="V309" s="8"/>
      <c r="W309" s="8"/>
      <c r="X309" s="8"/>
      <c r="Y309" s="14"/>
      <c r="Z309" s="24"/>
      <c r="AA309" s="8"/>
      <c r="AB309" s="8"/>
      <c r="AC309" s="8"/>
      <c r="AD309" s="8"/>
      <c r="AE309" s="8"/>
      <c r="AF309" s="8"/>
      <c r="AG309" s="24"/>
      <c r="AH309" s="8"/>
      <c r="AI309" s="8"/>
      <c r="AJ309" s="8"/>
      <c r="AK309" s="8"/>
      <c r="AL309" s="8"/>
      <c r="AM309" s="14"/>
      <c r="AN309" s="24"/>
      <c r="AO309" s="8"/>
      <c r="AP309" s="8"/>
      <c r="AQ309" s="8"/>
      <c r="AR309" s="8"/>
      <c r="AS309" s="8"/>
      <c r="AT309" s="14"/>
      <c r="AU309" s="8"/>
      <c r="AV309" s="8"/>
      <c r="AW309" s="8"/>
      <c r="AX309" s="8"/>
      <c r="AY309" s="8"/>
      <c r="AZ309" s="8"/>
      <c r="BA309" s="8"/>
      <c r="BB309" s="24"/>
      <c r="BC309" s="8"/>
      <c r="BD309" s="8"/>
      <c r="BE309" s="8"/>
      <c r="BG309" s="8"/>
      <c r="BH309" s="8"/>
      <c r="BI309" s="8"/>
      <c r="BJ309" s="8"/>
      <c r="BK309" s="8"/>
      <c r="BL309" s="8"/>
      <c r="BM309" s="8"/>
      <c r="BN309" s="8"/>
      <c r="BO309" s="8"/>
      <c r="BP309" s="8"/>
      <c r="BQ309" s="8"/>
      <c r="BR309" s="24"/>
      <c r="BS309" s="8"/>
      <c r="BT309" s="8"/>
      <c r="BU309" s="8"/>
      <c r="BV309" s="14"/>
      <c r="BW309" s="13"/>
    </row>
    <row r="310" spans="1:75" s="11" customFormat="1">
      <c r="A310" s="25"/>
      <c r="B310" s="24"/>
      <c r="C310" s="8"/>
      <c r="D310" s="8"/>
      <c r="E310" s="8"/>
      <c r="F310" s="8"/>
      <c r="G310" s="8"/>
      <c r="H310" s="8"/>
      <c r="I310" s="8"/>
      <c r="J310" s="8"/>
      <c r="K310" s="14"/>
      <c r="L310" s="24"/>
      <c r="M310" s="8"/>
      <c r="N310" s="8"/>
      <c r="O310" s="8"/>
      <c r="P310" s="8"/>
      <c r="Q310" s="8"/>
      <c r="R310" s="14"/>
      <c r="S310" s="24"/>
      <c r="T310" s="8"/>
      <c r="U310" s="8"/>
      <c r="V310" s="8"/>
      <c r="W310" s="8"/>
      <c r="X310" s="8"/>
      <c r="Y310" s="14"/>
      <c r="Z310" s="24"/>
      <c r="AA310" s="8"/>
      <c r="AB310" s="8"/>
      <c r="AC310" s="8"/>
      <c r="AD310" s="8"/>
      <c r="AE310" s="8"/>
      <c r="AF310" s="8"/>
      <c r="AG310" s="24"/>
      <c r="AH310" s="8"/>
      <c r="AI310" s="8"/>
      <c r="AJ310" s="8"/>
      <c r="AK310" s="8"/>
      <c r="AL310" s="8"/>
      <c r="AM310" s="14"/>
      <c r="AN310" s="24"/>
      <c r="AO310" s="8"/>
      <c r="AP310" s="8"/>
      <c r="AQ310" s="8"/>
      <c r="AR310" s="8"/>
      <c r="AS310" s="8"/>
      <c r="AT310" s="14"/>
      <c r="AU310" s="8"/>
      <c r="AV310" s="8"/>
      <c r="AW310" s="8"/>
      <c r="AX310" s="8"/>
      <c r="AY310" s="8"/>
      <c r="AZ310" s="8"/>
      <c r="BA310" s="8"/>
      <c r="BB310" s="24"/>
      <c r="BC310" s="8"/>
      <c r="BE310" s="8"/>
      <c r="BQ310" s="8"/>
      <c r="BR310" s="24"/>
      <c r="BS310" s="8"/>
      <c r="BT310" s="8"/>
      <c r="BU310" s="8"/>
      <c r="BV310" s="14"/>
      <c r="BW310" s="13"/>
    </row>
    <row r="311" spans="1:75" s="11" customFormat="1">
      <c r="A311" s="25"/>
      <c r="B311" s="24"/>
      <c r="C311" s="8"/>
      <c r="D311" s="8"/>
      <c r="E311" s="8"/>
      <c r="F311" s="8"/>
      <c r="G311" s="8"/>
      <c r="H311" s="8"/>
      <c r="I311" s="8"/>
      <c r="J311" s="8"/>
      <c r="K311" s="14"/>
      <c r="L311" s="24"/>
      <c r="M311" s="8"/>
      <c r="N311" s="8"/>
      <c r="O311" s="8"/>
      <c r="P311" s="8"/>
      <c r="Q311" s="8"/>
      <c r="R311" s="14"/>
      <c r="S311" s="24"/>
      <c r="T311" s="8"/>
      <c r="U311" s="8"/>
      <c r="V311" s="8"/>
      <c r="W311" s="8"/>
      <c r="X311" s="8"/>
      <c r="Y311" s="14"/>
      <c r="Z311" s="24"/>
      <c r="AA311" s="8"/>
      <c r="AB311" s="8"/>
      <c r="AC311" s="8"/>
      <c r="AD311" s="8"/>
      <c r="AE311" s="8"/>
      <c r="AF311" s="8"/>
      <c r="AG311" s="24"/>
      <c r="AH311" s="8"/>
      <c r="AI311" s="8"/>
      <c r="AJ311" s="8"/>
      <c r="AK311" s="8"/>
      <c r="AL311" s="8"/>
      <c r="AM311" s="14"/>
      <c r="AN311" s="24"/>
      <c r="AO311" s="8"/>
      <c r="AP311" s="8"/>
      <c r="AQ311" s="8"/>
      <c r="AR311" s="8"/>
      <c r="AS311" s="8"/>
      <c r="AT311" s="14"/>
      <c r="AU311" s="8"/>
      <c r="AV311" s="8"/>
      <c r="AW311" s="8"/>
      <c r="AX311" s="8"/>
      <c r="AY311" s="8"/>
      <c r="AZ311" s="8"/>
      <c r="BA311" s="8"/>
      <c r="BB311" s="24"/>
      <c r="BC311" s="8"/>
      <c r="BO311" s="8"/>
      <c r="BP311" s="8"/>
      <c r="BQ311" s="8"/>
      <c r="BR311" s="24"/>
      <c r="BS311" s="8"/>
      <c r="BT311" s="8"/>
      <c r="BU311" s="8"/>
      <c r="BV311" s="14"/>
      <c r="BW311" s="13"/>
    </row>
    <row r="312" spans="1:75" s="11" customFormat="1">
      <c r="A312" s="25"/>
      <c r="B312" s="24"/>
      <c r="C312" s="8"/>
      <c r="D312" s="8"/>
      <c r="E312" s="8"/>
      <c r="F312" s="8"/>
      <c r="G312" s="8"/>
      <c r="H312" s="8"/>
      <c r="I312" s="8"/>
      <c r="J312" s="8"/>
      <c r="K312" s="14"/>
      <c r="L312" s="24"/>
      <c r="M312" s="8"/>
      <c r="N312" s="8"/>
      <c r="O312" s="8"/>
      <c r="P312" s="8"/>
      <c r="Q312" s="8"/>
      <c r="R312" s="14"/>
      <c r="S312" s="24"/>
      <c r="T312" s="8"/>
      <c r="U312" s="8"/>
      <c r="V312" s="8"/>
      <c r="W312" s="8"/>
      <c r="X312" s="8"/>
      <c r="Y312" s="14"/>
      <c r="Z312" s="24"/>
      <c r="AA312" s="8"/>
      <c r="AB312" s="8"/>
      <c r="AC312" s="8"/>
      <c r="AD312" s="8"/>
      <c r="AE312" s="8"/>
      <c r="AF312" s="8"/>
      <c r="AG312" s="24"/>
      <c r="AH312" s="8"/>
      <c r="AI312" s="8"/>
      <c r="AJ312" s="8"/>
      <c r="AK312" s="8"/>
      <c r="AL312" s="8"/>
      <c r="AM312" s="14"/>
      <c r="AN312" s="24"/>
      <c r="AO312" s="8"/>
      <c r="AP312" s="8"/>
      <c r="AQ312" s="8"/>
      <c r="AR312" s="8"/>
      <c r="AS312" s="8"/>
      <c r="AT312" s="14"/>
      <c r="AU312" s="8"/>
      <c r="AV312" s="8"/>
      <c r="AW312" s="8"/>
      <c r="AX312" s="8"/>
      <c r="AY312" s="8"/>
      <c r="AZ312" s="8"/>
      <c r="BA312" s="8"/>
      <c r="BB312" s="24"/>
      <c r="BC312" s="8"/>
      <c r="BO312" s="8"/>
      <c r="BP312" s="8"/>
      <c r="BQ312" s="8"/>
      <c r="BR312" s="24"/>
      <c r="BS312" s="8"/>
      <c r="BT312" s="8"/>
      <c r="BU312" s="8"/>
      <c r="BV312" s="14"/>
      <c r="BW312" s="13"/>
    </row>
    <row r="313" spans="1:75" s="11" customFormat="1">
      <c r="A313" s="25"/>
      <c r="B313" s="24"/>
      <c r="C313" s="8"/>
      <c r="D313" s="8"/>
      <c r="E313" s="8"/>
      <c r="F313" s="8"/>
      <c r="G313" s="8"/>
      <c r="H313" s="8"/>
      <c r="I313" s="8"/>
      <c r="J313" s="8"/>
      <c r="K313" s="14"/>
      <c r="L313" s="24"/>
      <c r="M313" s="8"/>
      <c r="N313" s="8"/>
      <c r="O313" s="8"/>
      <c r="P313" s="8"/>
      <c r="Q313" s="8"/>
      <c r="R313" s="14"/>
      <c r="S313" s="24"/>
      <c r="T313" s="8"/>
      <c r="U313" s="8"/>
      <c r="V313" s="8"/>
      <c r="W313" s="8"/>
      <c r="X313" s="8"/>
      <c r="Y313" s="14"/>
      <c r="Z313" s="24"/>
      <c r="AA313" s="8"/>
      <c r="AB313" s="8"/>
      <c r="AC313" s="8"/>
      <c r="AD313" s="8"/>
      <c r="AE313" s="8"/>
      <c r="AF313" s="8"/>
      <c r="AG313" s="24"/>
      <c r="AH313" s="8"/>
      <c r="AI313" s="8"/>
      <c r="AJ313" s="8"/>
      <c r="AK313" s="8"/>
      <c r="AL313" s="8"/>
      <c r="AM313" s="14"/>
      <c r="AN313" s="24"/>
      <c r="AO313" s="8"/>
      <c r="AP313" s="8"/>
      <c r="AQ313" s="8"/>
      <c r="AR313" s="8"/>
      <c r="AS313" s="8"/>
      <c r="AT313" s="14"/>
      <c r="AU313" s="8"/>
      <c r="AV313" s="8"/>
      <c r="AW313" s="8"/>
      <c r="AX313" s="8"/>
      <c r="AY313" s="8"/>
      <c r="AZ313" s="8"/>
      <c r="BA313" s="8"/>
      <c r="BB313" s="24"/>
      <c r="BC313" s="16" t="s">
        <v>776</v>
      </c>
      <c r="BD313" s="8"/>
      <c r="BE313" s="8"/>
      <c r="BF313" s="8"/>
      <c r="BG313" s="8"/>
      <c r="BH313" s="8"/>
      <c r="BI313" s="8"/>
      <c r="BJ313" s="8"/>
      <c r="BK313" s="8"/>
      <c r="BL313" s="8"/>
      <c r="BM313" s="8"/>
      <c r="BN313" s="8"/>
      <c r="BO313" s="8"/>
      <c r="BP313" s="8"/>
      <c r="BQ313" s="8"/>
      <c r="BR313" s="24"/>
      <c r="BS313" s="8"/>
      <c r="BT313" s="8"/>
      <c r="BU313" s="8"/>
      <c r="BV313" s="14"/>
      <c r="BW313" s="13"/>
    </row>
    <row r="314" spans="1:75" s="11" customFormat="1">
      <c r="A314" s="25"/>
      <c r="B314" s="24"/>
      <c r="C314" s="8"/>
      <c r="D314" s="8"/>
      <c r="E314" s="8"/>
      <c r="F314" s="8"/>
      <c r="G314" s="8"/>
      <c r="H314" s="8"/>
      <c r="I314" s="8"/>
      <c r="J314" s="8"/>
      <c r="K314" s="14"/>
      <c r="L314" s="24"/>
      <c r="M314" s="8"/>
      <c r="N314" s="8"/>
      <c r="O314" s="8"/>
      <c r="P314" s="8"/>
      <c r="Q314" s="8"/>
      <c r="R314" s="14"/>
      <c r="S314" s="24"/>
      <c r="T314" s="8"/>
      <c r="U314" s="8"/>
      <c r="V314" s="8"/>
      <c r="W314" s="8"/>
      <c r="X314" s="8"/>
      <c r="Y314" s="14"/>
      <c r="Z314" s="24"/>
      <c r="AA314" s="8"/>
      <c r="AB314" s="8"/>
      <c r="AC314" s="8"/>
      <c r="AD314" s="8"/>
      <c r="AE314" s="8"/>
      <c r="AF314" s="8"/>
      <c r="AG314" s="24"/>
      <c r="AH314" s="8"/>
      <c r="AI314" s="8"/>
      <c r="AJ314" s="8"/>
      <c r="AK314" s="8"/>
      <c r="AL314" s="8"/>
      <c r="AM314" s="14"/>
      <c r="AN314" s="24"/>
      <c r="AO314" s="8"/>
      <c r="AP314" s="8"/>
      <c r="AQ314" s="8"/>
      <c r="AR314" s="8"/>
      <c r="AS314" s="8"/>
      <c r="AT314" s="14"/>
      <c r="AU314" s="8"/>
      <c r="AV314" s="8"/>
      <c r="AW314" s="8"/>
      <c r="AX314" s="8"/>
      <c r="AY314" s="8"/>
      <c r="AZ314" s="8"/>
      <c r="BA314" s="8"/>
      <c r="BB314" s="24"/>
      <c r="BC314" s="8"/>
      <c r="BD314" s="8" t="s">
        <v>734</v>
      </c>
      <c r="BE314" s="8"/>
      <c r="BF314" s="8"/>
      <c r="BG314" s="8"/>
      <c r="BH314" s="8"/>
      <c r="BI314" s="8"/>
      <c r="BJ314" s="8"/>
      <c r="BK314" s="8"/>
      <c r="BL314" s="8"/>
      <c r="BM314" s="8"/>
      <c r="BN314" s="8"/>
      <c r="BO314" s="8"/>
      <c r="BP314" s="8"/>
      <c r="BQ314" s="8"/>
      <c r="BR314" s="24"/>
      <c r="BS314" s="8"/>
      <c r="BT314" s="8"/>
      <c r="BU314" s="8"/>
      <c r="BV314" s="14"/>
      <c r="BW314" s="13"/>
    </row>
    <row r="315" spans="1:75" s="11" customFormat="1">
      <c r="A315" s="25"/>
      <c r="B315" s="24"/>
      <c r="C315" s="8"/>
      <c r="D315" s="8"/>
      <c r="E315" s="8"/>
      <c r="F315" s="8"/>
      <c r="G315" s="8"/>
      <c r="H315" s="8"/>
      <c r="I315" s="8"/>
      <c r="J315" s="8"/>
      <c r="K315" s="14"/>
      <c r="L315" s="24"/>
      <c r="M315" s="8"/>
      <c r="N315" s="8"/>
      <c r="O315" s="8"/>
      <c r="P315" s="8"/>
      <c r="Q315" s="8"/>
      <c r="R315" s="14"/>
      <c r="S315" s="24"/>
      <c r="T315" s="8"/>
      <c r="U315" s="8"/>
      <c r="V315" s="8"/>
      <c r="W315" s="8"/>
      <c r="X315" s="8"/>
      <c r="Y315" s="14"/>
      <c r="Z315" s="24"/>
      <c r="AA315" s="8"/>
      <c r="AB315" s="8"/>
      <c r="AC315" s="8"/>
      <c r="AD315" s="8"/>
      <c r="AE315" s="8"/>
      <c r="AF315" s="8"/>
      <c r="AG315" s="24"/>
      <c r="AH315" s="8"/>
      <c r="AI315" s="8"/>
      <c r="AJ315" s="8"/>
      <c r="AK315" s="8"/>
      <c r="AL315" s="8"/>
      <c r="AM315" s="14"/>
      <c r="AN315" s="24"/>
      <c r="AO315" s="8"/>
      <c r="AP315" s="8"/>
      <c r="AQ315" s="8"/>
      <c r="AR315" s="8"/>
      <c r="AS315" s="8"/>
      <c r="AT315" s="14"/>
      <c r="AU315" s="8"/>
      <c r="AV315" s="8"/>
      <c r="AW315" s="8"/>
      <c r="AX315" s="8"/>
      <c r="AY315" s="8"/>
      <c r="AZ315" s="8"/>
      <c r="BA315" s="8"/>
      <c r="BB315" s="24"/>
      <c r="BC315" s="8"/>
      <c r="BD315" s="8" t="s">
        <v>751</v>
      </c>
      <c r="BE315" s="8"/>
      <c r="BF315" s="8"/>
      <c r="BG315" s="8"/>
      <c r="BH315" s="8"/>
      <c r="BI315" s="8"/>
      <c r="BJ315" s="8"/>
      <c r="BK315" s="8"/>
      <c r="BL315" s="8"/>
      <c r="BM315" s="8"/>
      <c r="BN315" s="8"/>
      <c r="BO315" s="8"/>
      <c r="BP315" s="8"/>
      <c r="BQ315" s="8"/>
      <c r="BR315" s="24"/>
      <c r="BS315" s="8"/>
      <c r="BT315" s="8"/>
      <c r="BU315" s="8"/>
      <c r="BV315" s="14"/>
      <c r="BW315" s="13"/>
    </row>
    <row r="316" spans="1:75" s="11" customFormat="1">
      <c r="A316" s="25"/>
      <c r="B316" s="24"/>
      <c r="C316" s="8"/>
      <c r="D316" s="8"/>
      <c r="E316" s="8"/>
      <c r="F316" s="8"/>
      <c r="G316" s="8"/>
      <c r="H316" s="8"/>
      <c r="I316" s="8"/>
      <c r="J316" s="8"/>
      <c r="K316" s="14"/>
      <c r="L316" s="24"/>
      <c r="M316" s="8"/>
      <c r="N316" s="8"/>
      <c r="O316" s="8"/>
      <c r="P316" s="8"/>
      <c r="Q316" s="8"/>
      <c r="R316" s="14"/>
      <c r="S316" s="24"/>
      <c r="T316" s="8"/>
      <c r="U316" s="8"/>
      <c r="V316" s="8"/>
      <c r="W316" s="8"/>
      <c r="X316" s="8"/>
      <c r="Y316" s="14"/>
      <c r="Z316" s="24"/>
      <c r="AA316" s="8"/>
      <c r="AB316" s="8"/>
      <c r="AC316" s="8"/>
      <c r="AD316" s="8"/>
      <c r="AE316" s="8"/>
      <c r="AF316" s="8"/>
      <c r="AG316" s="24"/>
      <c r="AH316" s="8"/>
      <c r="AI316" s="8"/>
      <c r="AJ316" s="8"/>
      <c r="AK316" s="8"/>
      <c r="AL316" s="8"/>
      <c r="AM316" s="14"/>
      <c r="AN316" s="24"/>
      <c r="AO316" s="8"/>
      <c r="AP316" s="8"/>
      <c r="AQ316" s="8"/>
      <c r="AR316" s="8"/>
      <c r="AS316" s="8"/>
      <c r="AT316" s="14"/>
      <c r="AU316" s="8"/>
      <c r="AV316" s="8"/>
      <c r="AW316" s="8"/>
      <c r="AX316" s="8"/>
      <c r="AY316" s="8"/>
      <c r="AZ316" s="8"/>
      <c r="BA316" s="8"/>
      <c r="BB316" s="24"/>
      <c r="BC316" s="8"/>
      <c r="BD316" s="86" t="s">
        <v>637</v>
      </c>
      <c r="BE316" s="87"/>
      <c r="BF316" s="87"/>
      <c r="BG316" s="87"/>
      <c r="BH316" s="87"/>
      <c r="BI316" s="87"/>
      <c r="BJ316" s="87"/>
      <c r="BK316" s="87"/>
      <c r="BL316" s="87"/>
      <c r="BM316" s="87"/>
      <c r="BN316" s="88"/>
      <c r="BO316" s="8"/>
      <c r="BP316" s="8"/>
      <c r="BQ316" s="8"/>
      <c r="BR316" s="24"/>
      <c r="BS316" s="8"/>
      <c r="BT316" s="8"/>
      <c r="BU316" s="8"/>
      <c r="BV316" s="14"/>
      <c r="BW316" s="13"/>
    </row>
    <row r="317" spans="1:75" s="11" customFormat="1">
      <c r="A317" s="25"/>
      <c r="B317" s="24"/>
      <c r="C317" s="8"/>
      <c r="D317" s="8"/>
      <c r="E317" s="8"/>
      <c r="F317" s="8"/>
      <c r="G317" s="8"/>
      <c r="H317" s="8"/>
      <c r="I317" s="8"/>
      <c r="J317" s="8"/>
      <c r="K317" s="14"/>
      <c r="L317" s="24"/>
      <c r="M317" s="8"/>
      <c r="N317" s="8"/>
      <c r="O317" s="8"/>
      <c r="P317" s="8"/>
      <c r="Q317" s="8"/>
      <c r="R317" s="14"/>
      <c r="S317" s="24"/>
      <c r="T317" s="8"/>
      <c r="U317" s="8"/>
      <c r="V317" s="8"/>
      <c r="W317" s="8"/>
      <c r="X317" s="8"/>
      <c r="Y317" s="14"/>
      <c r="Z317" s="24"/>
      <c r="AA317" s="8"/>
      <c r="AB317" s="8"/>
      <c r="AC317" s="8"/>
      <c r="AD317" s="8"/>
      <c r="AE317" s="8"/>
      <c r="AF317" s="8"/>
      <c r="AG317" s="24"/>
      <c r="AH317" s="8"/>
      <c r="AI317" s="8"/>
      <c r="AJ317" s="8"/>
      <c r="AK317" s="8"/>
      <c r="AL317" s="8"/>
      <c r="AM317" s="14"/>
      <c r="AN317" s="24"/>
      <c r="AO317" s="8"/>
      <c r="AP317" s="8"/>
      <c r="AQ317" s="8"/>
      <c r="AR317" s="8"/>
      <c r="AS317" s="8"/>
      <c r="AT317" s="14"/>
      <c r="AU317" s="8"/>
      <c r="AV317" s="8"/>
      <c r="AW317" s="8"/>
      <c r="AX317" s="8"/>
      <c r="AY317" s="8"/>
      <c r="AZ317" s="8"/>
      <c r="BA317" s="8"/>
      <c r="BB317" s="24"/>
      <c r="BC317" s="8"/>
      <c r="BD317" s="89" t="s">
        <v>639</v>
      </c>
      <c r="BE317" s="90"/>
      <c r="BF317" s="90"/>
      <c r="BG317" s="90"/>
      <c r="BH317" s="90"/>
      <c r="BI317" s="89" t="s">
        <v>685</v>
      </c>
      <c r="BJ317" s="90"/>
      <c r="BK317" s="90"/>
      <c r="BL317" s="90"/>
      <c r="BM317" s="90"/>
      <c r="BN317" s="91"/>
      <c r="BO317" s="8"/>
      <c r="BP317" s="8"/>
      <c r="BQ317" s="8"/>
      <c r="BR317" s="24"/>
      <c r="BS317" s="8"/>
      <c r="BT317" s="8"/>
      <c r="BU317" s="8"/>
      <c r="BV317" s="14"/>
      <c r="BW317" s="13"/>
    </row>
    <row r="318" spans="1:75" s="11" customFormat="1">
      <c r="A318" s="25"/>
      <c r="B318" s="24"/>
      <c r="C318" s="8"/>
      <c r="D318" s="8"/>
      <c r="E318" s="8"/>
      <c r="F318" s="8"/>
      <c r="G318" s="8"/>
      <c r="H318" s="8"/>
      <c r="I318" s="8"/>
      <c r="J318" s="8"/>
      <c r="K318" s="14"/>
      <c r="L318" s="24"/>
      <c r="M318" s="8"/>
      <c r="N318" s="8"/>
      <c r="O318" s="8"/>
      <c r="P318" s="8"/>
      <c r="Q318" s="8"/>
      <c r="R318" s="14"/>
      <c r="S318" s="24"/>
      <c r="T318" s="8"/>
      <c r="U318" s="8"/>
      <c r="V318" s="8"/>
      <c r="W318" s="8"/>
      <c r="X318" s="8"/>
      <c r="Y318" s="14"/>
      <c r="Z318" s="24"/>
      <c r="AA318" s="8"/>
      <c r="AB318" s="8"/>
      <c r="AC318" s="8"/>
      <c r="AD318" s="8"/>
      <c r="AE318" s="8"/>
      <c r="AF318" s="8"/>
      <c r="AG318" s="24"/>
      <c r="AH318" s="8"/>
      <c r="AI318" s="8"/>
      <c r="AJ318" s="8"/>
      <c r="AK318" s="8"/>
      <c r="AL318" s="8"/>
      <c r="AM318" s="14"/>
      <c r="AN318" s="24"/>
      <c r="AO318" s="8"/>
      <c r="AP318" s="8"/>
      <c r="AQ318" s="8"/>
      <c r="AR318" s="8"/>
      <c r="AS318" s="8"/>
      <c r="AT318" s="14"/>
      <c r="AU318" s="8"/>
      <c r="AV318" s="8"/>
      <c r="AW318" s="8"/>
      <c r="AX318" s="8"/>
      <c r="AY318" s="8"/>
      <c r="AZ318" s="8"/>
      <c r="BA318" s="8"/>
      <c r="BB318" s="24"/>
      <c r="BC318" s="8"/>
      <c r="BD318" s="123" t="s">
        <v>118</v>
      </c>
      <c r="BE318" s="125" t="s">
        <v>736</v>
      </c>
      <c r="BF318" s="8"/>
      <c r="BG318" s="8"/>
      <c r="BH318" s="8"/>
      <c r="BI318" s="8"/>
      <c r="BJ318" s="8"/>
      <c r="BK318" s="8"/>
      <c r="BL318" s="8"/>
      <c r="BM318" s="8"/>
      <c r="BN318" s="8"/>
      <c r="BO318" s="8"/>
      <c r="BP318" s="8"/>
      <c r="BQ318" s="8"/>
      <c r="BR318" s="24"/>
      <c r="BS318" s="8"/>
      <c r="BT318" s="8"/>
      <c r="BU318" s="8"/>
      <c r="BV318" s="14"/>
      <c r="BW318" s="13"/>
    </row>
    <row r="319" spans="1:75" s="11" customFormat="1">
      <c r="A319" s="25"/>
      <c r="B319" s="24"/>
      <c r="C319" s="8"/>
      <c r="D319" s="8"/>
      <c r="E319" s="8"/>
      <c r="F319" s="8"/>
      <c r="G319" s="8"/>
      <c r="H319" s="8"/>
      <c r="I319" s="8"/>
      <c r="J319" s="8"/>
      <c r="K319" s="14"/>
      <c r="L319" s="24"/>
      <c r="M319" s="8"/>
      <c r="N319" s="8"/>
      <c r="O319" s="8"/>
      <c r="P319" s="8"/>
      <c r="Q319" s="8"/>
      <c r="R319" s="14"/>
      <c r="S319" s="24"/>
      <c r="T319" s="8"/>
      <c r="U319" s="8"/>
      <c r="V319" s="8"/>
      <c r="W319" s="8"/>
      <c r="X319" s="8"/>
      <c r="Y319" s="14"/>
      <c r="Z319" s="24"/>
      <c r="AA319" s="8"/>
      <c r="AB319" s="8"/>
      <c r="AC319" s="8"/>
      <c r="AD319" s="8"/>
      <c r="AE319" s="8"/>
      <c r="AF319" s="8"/>
      <c r="AG319" s="24"/>
      <c r="AH319" s="8"/>
      <c r="AI319" s="8"/>
      <c r="AJ319" s="8"/>
      <c r="AK319" s="8"/>
      <c r="AL319" s="8"/>
      <c r="AM319" s="14"/>
      <c r="AN319" s="24"/>
      <c r="AO319" s="8"/>
      <c r="AP319" s="8"/>
      <c r="AQ319" s="8"/>
      <c r="AR319" s="8"/>
      <c r="AS319" s="8"/>
      <c r="AT319" s="14"/>
      <c r="AU319" s="8"/>
      <c r="AV319" s="8"/>
      <c r="AW319" s="8"/>
      <c r="AX319" s="8"/>
      <c r="AY319" s="8"/>
      <c r="AZ319" s="8"/>
      <c r="BA319" s="8"/>
      <c r="BB319" s="24"/>
      <c r="BD319" s="8"/>
      <c r="BE319" s="125" t="s">
        <v>737</v>
      </c>
      <c r="BP319" s="8"/>
      <c r="BQ319" s="8"/>
      <c r="BR319" s="24"/>
      <c r="BS319" s="8"/>
      <c r="BT319" s="8"/>
      <c r="BU319" s="8"/>
      <c r="BV319" s="14"/>
      <c r="BW319" s="13"/>
    </row>
    <row r="320" spans="1:75" s="11" customFormat="1">
      <c r="A320" s="25"/>
      <c r="B320" s="24"/>
      <c r="C320" s="8"/>
      <c r="D320" s="8"/>
      <c r="E320" s="8"/>
      <c r="F320" s="8"/>
      <c r="G320" s="8"/>
      <c r="H320" s="8"/>
      <c r="I320" s="8"/>
      <c r="J320" s="8"/>
      <c r="K320" s="14"/>
      <c r="L320" s="24"/>
      <c r="M320" s="8"/>
      <c r="N320" s="8"/>
      <c r="O320" s="8"/>
      <c r="P320" s="8"/>
      <c r="Q320" s="8"/>
      <c r="R320" s="14"/>
      <c r="S320" s="24"/>
      <c r="T320" s="8"/>
      <c r="U320" s="8"/>
      <c r="V320" s="8"/>
      <c r="W320" s="8"/>
      <c r="X320" s="8"/>
      <c r="Y320" s="14"/>
      <c r="Z320" s="24"/>
      <c r="AA320" s="8"/>
      <c r="AB320" s="8"/>
      <c r="AC320" s="8"/>
      <c r="AD320" s="8"/>
      <c r="AE320" s="8"/>
      <c r="AF320" s="8"/>
      <c r="AG320" s="24"/>
      <c r="AH320" s="8"/>
      <c r="AI320" s="8"/>
      <c r="AJ320" s="8"/>
      <c r="AK320" s="8"/>
      <c r="AL320" s="8"/>
      <c r="AM320" s="14"/>
      <c r="AN320" s="24"/>
      <c r="AO320" s="8"/>
      <c r="AP320" s="8"/>
      <c r="AQ320" s="8"/>
      <c r="AR320" s="8"/>
      <c r="AS320" s="8"/>
      <c r="AT320" s="14"/>
      <c r="AU320" s="8"/>
      <c r="AV320" s="8"/>
      <c r="AW320" s="8"/>
      <c r="AX320" s="8"/>
      <c r="AY320" s="8"/>
      <c r="AZ320" s="8"/>
      <c r="BA320" s="8"/>
      <c r="BB320" s="24"/>
      <c r="BC320" s="8"/>
      <c r="BD320" s="123" t="s">
        <v>118</v>
      </c>
      <c r="BE320" s="125" t="s">
        <v>738</v>
      </c>
      <c r="BF320" s="8"/>
      <c r="BG320" s="8"/>
      <c r="BH320" s="8"/>
      <c r="BI320" s="8"/>
      <c r="BJ320" s="8"/>
      <c r="BK320" s="8"/>
      <c r="BL320" s="8"/>
      <c r="BM320" s="8"/>
      <c r="BN320" s="8"/>
      <c r="BO320" s="8"/>
      <c r="BP320" s="8"/>
      <c r="BQ320" s="8"/>
      <c r="BR320" s="24"/>
      <c r="BS320" s="8"/>
      <c r="BT320" s="8"/>
      <c r="BU320" s="8"/>
      <c r="BV320" s="14"/>
      <c r="BW320" s="13"/>
    </row>
    <row r="321" spans="1:77" s="11" customFormat="1">
      <c r="A321" s="25"/>
      <c r="B321" s="24"/>
      <c r="C321" s="8"/>
      <c r="D321" s="8"/>
      <c r="E321" s="8"/>
      <c r="F321" s="8"/>
      <c r="G321" s="8"/>
      <c r="H321" s="8"/>
      <c r="I321" s="8"/>
      <c r="J321" s="8"/>
      <c r="K321" s="14"/>
      <c r="L321" s="24"/>
      <c r="M321" s="8"/>
      <c r="N321" s="8"/>
      <c r="O321" s="8"/>
      <c r="P321" s="8"/>
      <c r="Q321" s="8"/>
      <c r="R321" s="14"/>
      <c r="S321" s="24"/>
      <c r="T321" s="8"/>
      <c r="U321" s="8"/>
      <c r="V321" s="8"/>
      <c r="W321" s="8"/>
      <c r="X321" s="8"/>
      <c r="Y321" s="14"/>
      <c r="Z321" s="24"/>
      <c r="AA321" s="8"/>
      <c r="AB321" s="8"/>
      <c r="AC321" s="8"/>
      <c r="AD321" s="8"/>
      <c r="AE321" s="8"/>
      <c r="AF321" s="8"/>
      <c r="AG321" s="24"/>
      <c r="AH321" s="8"/>
      <c r="AI321" s="8"/>
      <c r="AJ321" s="8"/>
      <c r="AK321" s="8"/>
      <c r="AL321" s="8"/>
      <c r="AM321" s="14"/>
      <c r="AN321" s="24"/>
      <c r="AO321" s="8"/>
      <c r="AP321" s="8"/>
      <c r="AQ321" s="8"/>
      <c r="AR321" s="8"/>
      <c r="AS321" s="8"/>
      <c r="AT321" s="14"/>
      <c r="AU321" s="8"/>
      <c r="AV321" s="8"/>
      <c r="AW321" s="8"/>
      <c r="AX321" s="8"/>
      <c r="AY321" s="8"/>
      <c r="AZ321" s="8"/>
      <c r="BA321" s="8"/>
      <c r="BB321" s="24"/>
      <c r="BC321" s="8"/>
      <c r="BD321" s="8"/>
      <c r="BE321" s="125" t="s">
        <v>739</v>
      </c>
      <c r="BF321" s="8"/>
      <c r="BG321" s="8"/>
      <c r="BH321" s="8"/>
      <c r="BI321" s="8"/>
      <c r="BJ321" s="8"/>
      <c r="BK321" s="8"/>
      <c r="BL321" s="8"/>
      <c r="BM321" s="8"/>
      <c r="BN321" s="8"/>
      <c r="BO321" s="8"/>
      <c r="BP321" s="8"/>
      <c r="BQ321" s="8"/>
      <c r="BR321" s="24"/>
      <c r="BS321" s="8"/>
      <c r="BT321" s="8"/>
      <c r="BU321" s="8"/>
      <c r="BV321" s="14"/>
      <c r="BW321" s="13"/>
    </row>
    <row r="322" spans="1:77" s="11" customFormat="1">
      <c r="A322" s="25"/>
      <c r="B322" s="24"/>
      <c r="C322" s="8"/>
      <c r="D322" s="8"/>
      <c r="E322" s="8"/>
      <c r="F322" s="8"/>
      <c r="G322" s="8"/>
      <c r="H322" s="8"/>
      <c r="I322" s="8"/>
      <c r="J322" s="8"/>
      <c r="K322" s="14"/>
      <c r="L322" s="24"/>
      <c r="M322" s="8"/>
      <c r="N322" s="8"/>
      <c r="O322" s="8"/>
      <c r="P322" s="8"/>
      <c r="Q322" s="8"/>
      <c r="R322" s="14"/>
      <c r="S322" s="24"/>
      <c r="T322" s="8"/>
      <c r="U322" s="8"/>
      <c r="V322" s="8"/>
      <c r="W322" s="8"/>
      <c r="X322" s="8"/>
      <c r="Y322" s="14"/>
      <c r="Z322" s="24"/>
      <c r="AA322" s="8"/>
      <c r="AB322" s="8"/>
      <c r="AC322" s="8"/>
      <c r="AD322" s="8"/>
      <c r="AE322" s="8"/>
      <c r="AF322" s="8"/>
      <c r="AG322" s="24"/>
      <c r="AH322" s="8"/>
      <c r="AI322" s="8"/>
      <c r="AJ322" s="8"/>
      <c r="AK322" s="8"/>
      <c r="AL322" s="8"/>
      <c r="AM322" s="14"/>
      <c r="AN322" s="24"/>
      <c r="AO322" s="8"/>
      <c r="AP322" s="8"/>
      <c r="AQ322" s="8"/>
      <c r="AR322" s="8"/>
      <c r="AS322" s="8"/>
      <c r="AT322" s="14"/>
      <c r="AU322" s="8"/>
      <c r="AV322" s="8"/>
      <c r="AW322" s="8"/>
      <c r="AX322" s="8"/>
      <c r="AY322" s="8"/>
      <c r="AZ322" s="8"/>
      <c r="BA322" s="8"/>
      <c r="BB322" s="24"/>
      <c r="BD322" s="8"/>
      <c r="BE322" s="125" t="s">
        <v>740</v>
      </c>
      <c r="BF322" s="8"/>
      <c r="BG322" s="8"/>
      <c r="BH322" s="8"/>
      <c r="BI322" s="8"/>
      <c r="BJ322" s="8"/>
      <c r="BK322" s="8"/>
      <c r="BL322" s="8"/>
      <c r="BM322" s="8"/>
      <c r="BN322" s="8"/>
      <c r="BO322" s="8"/>
      <c r="BP322" s="8"/>
      <c r="BQ322" s="8"/>
      <c r="BR322" s="24"/>
      <c r="BS322" s="8"/>
      <c r="BT322" s="8"/>
      <c r="BU322" s="8"/>
      <c r="BV322" s="14"/>
      <c r="BW322" s="13"/>
    </row>
    <row r="323" spans="1:77" s="11" customFormat="1">
      <c r="A323" s="25"/>
      <c r="B323" s="24"/>
      <c r="C323" s="8"/>
      <c r="D323" s="8"/>
      <c r="E323" s="8"/>
      <c r="F323" s="8"/>
      <c r="G323" s="8"/>
      <c r="H323" s="8"/>
      <c r="I323" s="8"/>
      <c r="J323" s="8"/>
      <c r="K323" s="14"/>
      <c r="L323" s="24"/>
      <c r="M323" s="8"/>
      <c r="N323" s="8"/>
      <c r="O323" s="8"/>
      <c r="P323" s="8"/>
      <c r="Q323" s="8"/>
      <c r="R323" s="14"/>
      <c r="S323" s="24"/>
      <c r="T323" s="8"/>
      <c r="U323" s="8"/>
      <c r="V323" s="8"/>
      <c r="W323" s="8"/>
      <c r="X323" s="8"/>
      <c r="Y323" s="14"/>
      <c r="Z323" s="24"/>
      <c r="AA323" s="8"/>
      <c r="AB323" s="8"/>
      <c r="AC323" s="8"/>
      <c r="AD323" s="8"/>
      <c r="AE323" s="8"/>
      <c r="AF323" s="8"/>
      <c r="AG323" s="24"/>
      <c r="AH323" s="8"/>
      <c r="AI323" s="8"/>
      <c r="AJ323" s="8"/>
      <c r="AK323" s="8"/>
      <c r="AL323" s="8"/>
      <c r="AM323" s="14"/>
      <c r="AN323" s="24"/>
      <c r="AO323" s="8"/>
      <c r="AP323" s="8"/>
      <c r="AQ323" s="8"/>
      <c r="AR323" s="8"/>
      <c r="AS323" s="8"/>
      <c r="AT323" s="14"/>
      <c r="AU323" s="8"/>
      <c r="AV323" s="8"/>
      <c r="AW323" s="8"/>
      <c r="AX323" s="8"/>
      <c r="AY323" s="8"/>
      <c r="AZ323" s="8"/>
      <c r="BA323" s="8"/>
      <c r="BB323" s="24"/>
      <c r="BC323" s="8"/>
      <c r="BD323" s="45"/>
      <c r="BE323" s="45"/>
      <c r="BF323" s="8"/>
      <c r="BG323" s="8"/>
      <c r="BH323" s="8"/>
      <c r="BI323" s="8"/>
      <c r="BJ323" s="8"/>
      <c r="BK323" s="8"/>
      <c r="BL323" s="8"/>
      <c r="BM323" s="8"/>
      <c r="BN323" s="8"/>
      <c r="BO323" s="8"/>
      <c r="BP323" s="8"/>
      <c r="BQ323" s="8"/>
      <c r="BR323" s="24"/>
      <c r="BS323" s="8"/>
      <c r="BT323" s="8"/>
      <c r="BU323" s="8"/>
      <c r="BV323" s="14"/>
      <c r="BW323" s="13"/>
    </row>
    <row r="324" spans="1:77" s="11" customFormat="1">
      <c r="A324" s="25"/>
      <c r="B324" s="24"/>
      <c r="C324" s="8"/>
      <c r="D324" s="8"/>
      <c r="E324" s="8"/>
      <c r="F324" s="8"/>
      <c r="G324" s="8"/>
      <c r="H324" s="8"/>
      <c r="I324" s="8"/>
      <c r="J324" s="8"/>
      <c r="K324" s="14"/>
      <c r="L324" s="24"/>
      <c r="M324" s="8"/>
      <c r="N324" s="8"/>
      <c r="O324" s="8"/>
      <c r="P324" s="8"/>
      <c r="Q324" s="8"/>
      <c r="R324" s="14"/>
      <c r="S324" s="24"/>
      <c r="T324" s="8"/>
      <c r="U324" s="8"/>
      <c r="V324" s="8"/>
      <c r="W324" s="8"/>
      <c r="X324" s="8"/>
      <c r="Y324" s="14"/>
      <c r="Z324" s="24"/>
      <c r="AA324" s="8"/>
      <c r="AB324" s="8"/>
      <c r="AC324" s="8"/>
      <c r="AD324" s="8"/>
      <c r="AE324" s="8"/>
      <c r="AF324" s="8"/>
      <c r="AG324" s="24"/>
      <c r="AH324" s="8"/>
      <c r="AI324" s="8"/>
      <c r="AJ324" s="8"/>
      <c r="AK324" s="8"/>
      <c r="AL324" s="8"/>
      <c r="AM324" s="14"/>
      <c r="AN324" s="24"/>
      <c r="AO324" s="8"/>
      <c r="AP324" s="8"/>
      <c r="AQ324" s="8"/>
      <c r="AR324" s="8"/>
      <c r="AS324" s="8"/>
      <c r="AT324" s="14"/>
      <c r="AU324" s="8"/>
      <c r="AV324" s="8"/>
      <c r="AW324" s="8"/>
      <c r="AX324" s="8"/>
      <c r="AY324" s="8"/>
      <c r="AZ324" s="8"/>
      <c r="BA324" s="8"/>
      <c r="BB324" s="24"/>
      <c r="BC324" s="50" t="s">
        <v>118</v>
      </c>
      <c r="BD324" s="50" t="s">
        <v>686</v>
      </c>
      <c r="BE324" s="8"/>
      <c r="BF324" s="8"/>
      <c r="BG324" s="8"/>
      <c r="BH324" s="8"/>
      <c r="BI324" s="8"/>
      <c r="BJ324" s="8"/>
      <c r="BK324" s="8"/>
      <c r="BL324" s="8"/>
      <c r="BM324" s="8"/>
      <c r="BN324" s="8"/>
      <c r="BO324" s="8"/>
      <c r="BP324" s="8"/>
      <c r="BQ324" s="8"/>
      <c r="BR324" s="24"/>
      <c r="BS324" s="8"/>
      <c r="BT324" s="8"/>
      <c r="BU324" s="8"/>
      <c r="BV324" s="14"/>
      <c r="BW324" s="13"/>
    </row>
    <row r="325" spans="1:77">
      <c r="A325" s="24"/>
      <c r="B325" s="24"/>
      <c r="K325" s="14"/>
      <c r="L325" s="24"/>
      <c r="R325" s="14"/>
      <c r="S325" s="24"/>
      <c r="Y325" s="14"/>
      <c r="Z325" s="24"/>
      <c r="AG325" s="24"/>
      <c r="AM325" s="14"/>
      <c r="AN325" s="24"/>
      <c r="AT325" s="14"/>
      <c r="BB325" s="24"/>
      <c r="BF325" s="11"/>
      <c r="BR325" s="24"/>
      <c r="BV325" s="14"/>
      <c r="BW325" s="14"/>
    </row>
    <row r="326" spans="1:77">
      <c r="A326" s="24"/>
      <c r="B326" s="24"/>
      <c r="K326" s="14"/>
      <c r="L326" s="24"/>
      <c r="R326" s="14"/>
      <c r="S326" s="24"/>
      <c r="Y326" s="14"/>
      <c r="Z326" s="24"/>
      <c r="AG326" s="24"/>
      <c r="AM326" s="14"/>
      <c r="AN326" s="24"/>
      <c r="AT326" s="14"/>
      <c r="BB326" s="24"/>
      <c r="BC326" s="50"/>
      <c r="BF326" s="11"/>
      <c r="BR326" s="24"/>
      <c r="BV326" s="14"/>
      <c r="BW326" s="14"/>
    </row>
    <row r="327" spans="1:77" s="11" customFormat="1">
      <c r="A327" s="25"/>
      <c r="B327" s="26" t="s">
        <v>777</v>
      </c>
      <c r="C327" s="31"/>
      <c r="D327" s="31"/>
      <c r="E327" s="31"/>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30"/>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13"/>
      <c r="BX327" s="8"/>
      <c r="BY327" s="8"/>
    </row>
    <row r="328" spans="1:77" s="11" customFormat="1">
      <c r="A328" s="25"/>
      <c r="B328" s="24"/>
      <c r="C328" s="8"/>
      <c r="D328" s="8"/>
      <c r="E328" s="8"/>
      <c r="F328" s="8"/>
      <c r="G328" s="8"/>
      <c r="H328" s="8"/>
      <c r="I328" s="8"/>
      <c r="J328" s="8"/>
      <c r="K328" s="14"/>
      <c r="L328" s="24"/>
      <c r="M328" s="8"/>
      <c r="N328" s="8"/>
      <c r="O328" s="8"/>
      <c r="P328" s="8"/>
      <c r="Q328" s="8"/>
      <c r="R328" s="14"/>
      <c r="S328" s="24"/>
      <c r="T328" s="8"/>
      <c r="U328" s="8"/>
      <c r="V328" s="8"/>
      <c r="W328" s="8"/>
      <c r="X328" s="8"/>
      <c r="Y328" s="14"/>
      <c r="Z328" s="24"/>
      <c r="AA328" s="8"/>
      <c r="AB328" s="8"/>
      <c r="AC328" s="8"/>
      <c r="AD328" s="8"/>
      <c r="AE328" s="8"/>
      <c r="AF328" s="8"/>
      <c r="AG328" s="24"/>
      <c r="AH328" s="8"/>
      <c r="AI328" s="8"/>
      <c r="AJ328" s="8"/>
      <c r="AK328" s="8"/>
      <c r="AL328" s="8"/>
      <c r="AM328" s="14"/>
      <c r="AN328" s="24"/>
      <c r="AO328" s="8"/>
      <c r="AP328" s="8"/>
      <c r="AQ328" s="8"/>
      <c r="AR328" s="8"/>
      <c r="AS328" s="8"/>
      <c r="AT328" s="14"/>
      <c r="AU328" s="8"/>
      <c r="AV328" s="8"/>
      <c r="AW328" s="8"/>
      <c r="AX328" s="8"/>
      <c r="AY328" s="8"/>
      <c r="AZ328" s="8"/>
      <c r="BA328" s="8"/>
      <c r="BB328" s="24"/>
      <c r="BC328" s="8"/>
      <c r="BD328" s="8"/>
      <c r="BE328" s="8"/>
      <c r="BF328" s="8"/>
      <c r="BG328" s="8"/>
      <c r="BH328" s="8"/>
      <c r="BI328" s="8"/>
      <c r="BJ328" s="8"/>
      <c r="BK328" s="8"/>
      <c r="BL328" s="8"/>
      <c r="BM328" s="8"/>
      <c r="BN328" s="8"/>
      <c r="BO328" s="8"/>
      <c r="BP328" s="8"/>
      <c r="BQ328" s="8"/>
      <c r="BR328" s="24"/>
      <c r="BS328" s="8"/>
      <c r="BT328" s="8"/>
      <c r="BU328" s="8"/>
      <c r="BV328" s="14"/>
      <c r="BW328" s="13"/>
      <c r="BX328" s="8"/>
      <c r="BY328" s="8"/>
    </row>
    <row r="329" spans="1:77">
      <c r="A329" s="24"/>
      <c r="B329" s="24"/>
      <c r="K329" s="14"/>
      <c r="L329" s="24"/>
      <c r="R329" s="14"/>
      <c r="S329" s="24"/>
      <c r="Y329" s="14"/>
      <c r="Z329" s="24"/>
      <c r="AG329" s="24"/>
      <c r="AM329" s="14"/>
      <c r="AN329" s="24"/>
      <c r="AT329" s="14"/>
      <c r="BB329" s="24"/>
      <c r="BR329" s="24"/>
      <c r="BV329" s="14"/>
      <c r="BW329" s="14"/>
    </row>
    <row r="330" spans="1:77">
      <c r="A330" s="24"/>
      <c r="B330" s="24"/>
      <c r="K330" s="14"/>
      <c r="L330" s="24"/>
      <c r="R330" s="14"/>
      <c r="S330" s="24"/>
      <c r="Y330" s="14"/>
      <c r="Z330" s="24"/>
      <c r="AG330" s="24"/>
      <c r="AM330" s="14"/>
      <c r="AN330" s="24"/>
      <c r="AT330" s="14"/>
      <c r="BB330" s="24"/>
      <c r="BR330" s="24"/>
      <c r="BV330" s="14"/>
      <c r="BW330" s="14"/>
    </row>
    <row r="331" spans="1:77">
      <c r="A331" s="24"/>
      <c r="B331" s="24"/>
      <c r="K331" s="14"/>
      <c r="L331" s="24"/>
      <c r="R331" s="14"/>
      <c r="S331" s="24"/>
      <c r="Y331" s="14"/>
      <c r="Z331" s="24"/>
      <c r="AG331" s="24"/>
      <c r="AM331" s="14"/>
      <c r="AN331" s="24"/>
      <c r="AT331" s="14"/>
      <c r="BB331" s="24"/>
      <c r="BR331" s="24"/>
      <c r="BV331" s="14"/>
      <c r="BW331" s="14"/>
    </row>
    <row r="332" spans="1:77">
      <c r="A332" s="24"/>
      <c r="B332" s="24"/>
      <c r="K332" s="14"/>
      <c r="L332" s="24"/>
      <c r="R332" s="14"/>
      <c r="S332" s="24"/>
      <c r="Y332" s="14"/>
      <c r="Z332" s="24"/>
      <c r="AG332" s="24"/>
      <c r="AM332" s="14"/>
      <c r="AN332" s="24"/>
      <c r="AT332" s="14"/>
      <c r="BB332" s="24"/>
      <c r="BR332" s="24"/>
      <c r="BV332" s="14"/>
      <c r="BW332" s="14"/>
    </row>
    <row r="333" spans="1:77">
      <c r="A333" s="24"/>
      <c r="B333" s="24"/>
      <c r="K333" s="14"/>
      <c r="L333" s="24"/>
      <c r="R333" s="14"/>
      <c r="S333" s="24"/>
      <c r="Y333" s="14"/>
      <c r="Z333" s="24"/>
      <c r="AG333" s="24"/>
      <c r="AM333" s="14"/>
      <c r="AN333" s="24"/>
      <c r="AT333" s="14"/>
      <c r="BB333" s="24"/>
      <c r="BF333" s="11"/>
      <c r="BR333" s="24"/>
      <c r="BV333" s="14"/>
      <c r="BW333" s="14"/>
    </row>
    <row r="334" spans="1:77">
      <c r="A334" s="24"/>
      <c r="B334" s="24"/>
      <c r="K334" s="14"/>
      <c r="L334" s="24"/>
      <c r="R334" s="14"/>
      <c r="S334" s="24"/>
      <c r="Y334" s="14"/>
      <c r="Z334" s="24"/>
      <c r="AG334" s="24"/>
      <c r="AM334" s="14"/>
      <c r="AN334" s="24"/>
      <c r="AT334" s="14"/>
      <c r="BB334" s="24"/>
      <c r="BC334" s="16" t="s">
        <v>699</v>
      </c>
      <c r="BR334" s="24"/>
      <c r="BV334" s="14"/>
      <c r="BW334" s="14"/>
    </row>
    <row r="335" spans="1:77">
      <c r="A335" s="24"/>
      <c r="B335" s="24"/>
      <c r="K335" s="14"/>
      <c r="L335" s="24"/>
      <c r="R335" s="14"/>
      <c r="S335" s="24"/>
      <c r="Y335" s="14"/>
      <c r="Z335" s="24"/>
      <c r="AG335" s="24"/>
      <c r="AM335" s="14"/>
      <c r="AN335" s="24"/>
      <c r="AT335" s="14"/>
      <c r="BB335" s="24"/>
      <c r="BD335" s="8" t="s">
        <v>700</v>
      </c>
      <c r="BR335" s="24"/>
      <c r="BV335" s="14"/>
      <c r="BW335" s="14"/>
    </row>
    <row r="336" spans="1:77">
      <c r="A336" s="24"/>
      <c r="B336" s="24"/>
      <c r="K336" s="14"/>
      <c r="L336" s="24"/>
      <c r="R336" s="14"/>
      <c r="S336" s="24"/>
      <c r="Y336" s="14"/>
      <c r="Z336" s="24"/>
      <c r="AG336" s="24"/>
      <c r="AM336" s="14"/>
      <c r="AN336" s="24"/>
      <c r="AT336" s="14"/>
      <c r="BB336" s="24"/>
      <c r="BD336" s="8" t="s">
        <v>701</v>
      </c>
      <c r="BF336" s="11"/>
      <c r="BR336" s="24"/>
      <c r="BV336" s="14"/>
      <c r="BW336" s="14"/>
    </row>
    <row r="337" spans="1:75">
      <c r="A337" s="24"/>
      <c r="B337" s="24"/>
      <c r="K337" s="14"/>
      <c r="L337" s="24"/>
      <c r="R337" s="14"/>
      <c r="S337" s="24"/>
      <c r="Y337" s="14"/>
      <c r="Z337" s="24"/>
      <c r="AG337" s="24"/>
      <c r="AM337" s="14"/>
      <c r="AN337" s="24"/>
      <c r="AT337" s="14"/>
      <c r="BB337" s="24"/>
      <c r="BC337" s="11"/>
      <c r="BD337" s="11"/>
      <c r="BE337" s="11"/>
      <c r="BF337" s="11"/>
      <c r="BR337" s="24"/>
      <c r="BV337" s="14"/>
      <c r="BW337" s="14"/>
    </row>
    <row r="338" spans="1:75">
      <c r="A338" s="24"/>
      <c r="B338" s="24"/>
      <c r="K338" s="14"/>
      <c r="L338" s="24"/>
      <c r="R338" s="14"/>
      <c r="S338" s="24"/>
      <c r="Y338" s="14"/>
      <c r="Z338" s="24"/>
      <c r="AG338" s="24"/>
      <c r="AM338" s="14"/>
      <c r="AN338" s="24"/>
      <c r="AT338" s="14"/>
      <c r="BB338" s="24"/>
      <c r="BC338" s="11" t="s">
        <v>118</v>
      </c>
      <c r="BD338" s="8" t="s">
        <v>702</v>
      </c>
      <c r="BE338" s="11"/>
      <c r="BF338" s="11"/>
      <c r="BR338" s="24"/>
      <c r="BV338" s="14"/>
      <c r="BW338" s="14"/>
    </row>
    <row r="339" spans="1:75">
      <c r="A339" s="24"/>
      <c r="B339" s="24"/>
      <c r="K339" s="14"/>
      <c r="L339" s="24"/>
      <c r="R339" s="14"/>
      <c r="S339" s="24"/>
      <c r="Y339" s="14"/>
      <c r="Z339" s="24"/>
      <c r="AG339" s="24"/>
      <c r="AM339" s="14"/>
      <c r="AN339" s="24"/>
      <c r="AT339" s="14"/>
      <c r="BB339" s="24"/>
      <c r="BC339" s="11"/>
      <c r="BD339" s="8" t="s">
        <v>703</v>
      </c>
      <c r="BE339" s="11"/>
      <c r="BF339" s="11"/>
      <c r="BR339" s="24"/>
      <c r="BV339" s="14"/>
      <c r="BW339" s="14"/>
    </row>
    <row r="340" spans="1:75">
      <c r="A340" s="24"/>
      <c r="B340" s="24"/>
      <c r="K340" s="14"/>
      <c r="L340" s="24"/>
      <c r="R340" s="14"/>
      <c r="S340" s="24"/>
      <c r="Y340" s="14"/>
      <c r="Z340" s="24"/>
      <c r="AG340" s="24"/>
      <c r="AM340" s="14"/>
      <c r="AN340" s="24"/>
      <c r="AT340" s="14"/>
      <c r="BB340" s="24"/>
      <c r="BC340" s="11"/>
      <c r="BD340" s="8" t="s">
        <v>704</v>
      </c>
      <c r="BE340" s="11"/>
      <c r="BF340" s="11"/>
      <c r="BR340" s="24"/>
      <c r="BV340" s="14"/>
      <c r="BW340" s="14"/>
    </row>
    <row r="341" spans="1:75">
      <c r="A341" s="24"/>
      <c r="B341" s="24"/>
      <c r="K341" s="14"/>
      <c r="L341" s="24"/>
      <c r="R341" s="14"/>
      <c r="S341" s="24"/>
      <c r="Y341" s="14"/>
      <c r="Z341" s="24"/>
      <c r="AG341" s="24"/>
      <c r="AM341" s="14"/>
      <c r="AN341" s="24"/>
      <c r="AT341" s="14"/>
      <c r="BB341" s="24"/>
      <c r="BC341" s="11"/>
      <c r="BD341" s="11"/>
      <c r="BR341" s="24"/>
      <c r="BV341" s="14"/>
      <c r="BW341" s="14"/>
    </row>
    <row r="342" spans="1:75">
      <c r="A342" s="24"/>
      <c r="B342" s="24"/>
      <c r="K342" s="14"/>
      <c r="L342" s="24"/>
      <c r="R342" s="14"/>
      <c r="S342" s="24"/>
      <c r="Y342" s="14"/>
      <c r="Z342" s="24"/>
      <c r="AG342" s="24"/>
      <c r="AM342" s="14"/>
      <c r="AN342" s="24"/>
      <c r="AT342" s="14"/>
      <c r="BB342" s="24"/>
      <c r="BC342" s="11"/>
      <c r="BD342" s="11"/>
      <c r="BR342" s="24"/>
      <c r="BV342" s="14"/>
      <c r="BW342" s="14"/>
    </row>
    <row r="343" spans="1:75">
      <c r="A343" s="24"/>
      <c r="B343" s="24"/>
      <c r="K343" s="14"/>
      <c r="L343" s="24"/>
      <c r="R343" s="14"/>
      <c r="S343" s="24"/>
      <c r="Y343" s="14"/>
      <c r="Z343" s="24"/>
      <c r="AG343" s="24"/>
      <c r="AM343" s="14"/>
      <c r="AN343" s="24"/>
      <c r="AT343" s="14"/>
      <c r="BB343" s="24"/>
      <c r="BC343" s="11"/>
      <c r="BD343" s="11"/>
      <c r="BF343" s="11"/>
      <c r="BR343" s="24"/>
      <c r="BV343" s="14"/>
      <c r="BW343" s="14"/>
    </row>
    <row r="344" spans="1:75">
      <c r="A344" s="24"/>
      <c r="B344" s="24"/>
      <c r="K344" s="14"/>
      <c r="L344" s="24"/>
      <c r="R344" s="14"/>
      <c r="S344" s="24"/>
      <c r="Y344" s="14"/>
      <c r="Z344" s="24"/>
      <c r="AG344" s="24"/>
      <c r="AM344" s="14"/>
      <c r="AN344" s="24"/>
      <c r="AT344" s="14"/>
      <c r="BB344" s="24"/>
      <c r="BC344" s="11"/>
      <c r="BD344" s="11"/>
      <c r="BE344" s="11"/>
      <c r="BF344" s="11"/>
      <c r="BR344" s="24"/>
      <c r="BV344" s="14"/>
      <c r="BW344" s="14"/>
    </row>
    <row r="345" spans="1:75">
      <c r="A345" s="42"/>
      <c r="B345" s="41"/>
      <c r="C345" s="10"/>
      <c r="D345" s="10"/>
      <c r="E345" s="10"/>
      <c r="F345" s="10"/>
      <c r="G345" s="10"/>
      <c r="H345" s="10"/>
      <c r="I345" s="10"/>
      <c r="J345" s="10"/>
      <c r="K345" s="15"/>
      <c r="L345" s="41"/>
      <c r="M345" s="10"/>
      <c r="N345" s="10"/>
      <c r="O345" s="10"/>
      <c r="P345" s="10"/>
      <c r="Q345" s="10"/>
      <c r="R345" s="15"/>
      <c r="S345" s="41"/>
      <c r="T345" s="10"/>
      <c r="U345" s="10"/>
      <c r="V345" s="10"/>
      <c r="W345" s="10"/>
      <c r="X345" s="10"/>
      <c r="Y345" s="15"/>
      <c r="Z345" s="41"/>
      <c r="AA345" s="10"/>
      <c r="AB345" s="10"/>
      <c r="AC345" s="10"/>
      <c r="AD345" s="10"/>
      <c r="AE345" s="10"/>
      <c r="AF345" s="10"/>
      <c r="AG345" s="41"/>
      <c r="AH345" s="10"/>
      <c r="AI345" s="10"/>
      <c r="AJ345" s="10"/>
      <c r="AK345" s="10"/>
      <c r="AL345" s="10"/>
      <c r="AM345" s="15"/>
      <c r="AN345" s="24"/>
      <c r="AT345" s="14"/>
      <c r="AU345" s="10"/>
      <c r="AV345" s="10"/>
      <c r="AW345" s="10"/>
      <c r="AX345" s="10"/>
      <c r="AY345" s="10"/>
      <c r="AZ345" s="10"/>
      <c r="BA345" s="10"/>
      <c r="BB345" s="41"/>
      <c r="BC345" s="60"/>
      <c r="BD345" s="10"/>
      <c r="BE345" s="32"/>
      <c r="BF345" s="32"/>
      <c r="BG345" s="10"/>
      <c r="BH345" s="10"/>
      <c r="BI345" s="10"/>
      <c r="BJ345" s="10"/>
      <c r="BK345" s="10"/>
      <c r="BL345" s="10"/>
      <c r="BM345" s="10"/>
      <c r="BN345" s="10"/>
      <c r="BO345" s="10"/>
      <c r="BP345" s="10"/>
      <c r="BQ345" s="10"/>
      <c r="BR345" s="41"/>
      <c r="BS345" s="10"/>
      <c r="BT345" s="10"/>
      <c r="BU345" s="10"/>
      <c r="BV345" s="15"/>
      <c r="BW345" s="42"/>
    </row>
    <row r="346" spans="1:75" s="11" customFormat="1">
      <c r="A346" s="25"/>
      <c r="B346" s="26" t="s">
        <v>778</v>
      </c>
      <c r="C346" s="31"/>
      <c r="D346" s="31"/>
      <c r="E346" s="31"/>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30"/>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13"/>
    </row>
    <row r="347" spans="1:75" s="11" customFormat="1">
      <c r="A347" s="25"/>
      <c r="B347" s="24"/>
      <c r="C347" s="8"/>
      <c r="D347" s="8"/>
      <c r="E347" s="8"/>
      <c r="F347" s="8"/>
      <c r="G347" s="8"/>
      <c r="H347" s="8"/>
      <c r="I347" s="8"/>
      <c r="J347" s="8"/>
      <c r="K347" s="14"/>
      <c r="L347" s="24"/>
      <c r="M347" s="8"/>
      <c r="N347" s="8"/>
      <c r="O347" s="8"/>
      <c r="P347" s="8"/>
      <c r="Q347" s="8"/>
      <c r="R347" s="14"/>
      <c r="S347" s="24"/>
      <c r="T347" s="8"/>
      <c r="U347" s="8"/>
      <c r="V347" s="8"/>
      <c r="W347" s="8"/>
      <c r="X347" s="8"/>
      <c r="Y347" s="14"/>
      <c r="Z347" s="24"/>
      <c r="AA347" s="8"/>
      <c r="AB347" s="8"/>
      <c r="AC347" s="8"/>
      <c r="AD347" s="8"/>
      <c r="AE347" s="8"/>
      <c r="AF347" s="8"/>
      <c r="AG347" s="24"/>
      <c r="AH347" s="8"/>
      <c r="AI347" s="8"/>
      <c r="AJ347" s="8"/>
      <c r="AK347" s="8"/>
      <c r="AL347" s="8"/>
      <c r="AM347" s="14"/>
      <c r="AN347" s="24"/>
      <c r="AO347" s="8"/>
      <c r="AP347" s="8"/>
      <c r="AQ347" s="8"/>
      <c r="AR347" s="8"/>
      <c r="AS347" s="8"/>
      <c r="AT347" s="14"/>
      <c r="AU347" s="8"/>
      <c r="AV347" s="8"/>
      <c r="AW347" s="8"/>
      <c r="AX347" s="8"/>
      <c r="AY347" s="8"/>
      <c r="AZ347" s="8"/>
      <c r="BA347" s="8"/>
      <c r="BB347" s="24"/>
      <c r="BC347" s="8"/>
      <c r="BD347" s="8"/>
      <c r="BE347" s="8"/>
      <c r="BF347" s="8"/>
      <c r="BG347" s="8"/>
      <c r="BH347" s="8"/>
      <c r="BI347" s="8"/>
      <c r="BJ347" s="8"/>
      <c r="BK347" s="8"/>
      <c r="BL347" s="8"/>
      <c r="BM347" s="8"/>
      <c r="BN347" s="8"/>
      <c r="BO347" s="8"/>
      <c r="BP347" s="8"/>
      <c r="BQ347" s="8"/>
      <c r="BR347" s="24"/>
      <c r="BS347" s="8"/>
      <c r="BT347" s="8"/>
      <c r="BU347" s="8"/>
      <c r="BV347" s="14"/>
      <c r="BW347" s="13"/>
    </row>
    <row r="348" spans="1:75">
      <c r="A348" s="24"/>
      <c r="B348" s="24"/>
      <c r="K348" s="14"/>
      <c r="L348" s="24"/>
      <c r="R348" s="14"/>
      <c r="S348" s="24"/>
      <c r="Y348" s="14"/>
      <c r="Z348" s="24"/>
      <c r="AG348" s="24"/>
      <c r="AM348" s="14"/>
      <c r="AN348" s="24"/>
      <c r="AT348" s="14"/>
      <c r="BB348" s="24"/>
      <c r="BC348" s="8" t="s">
        <v>706</v>
      </c>
      <c r="BR348" s="24"/>
      <c r="BV348" s="14"/>
      <c r="BW348" s="14"/>
    </row>
    <row r="349" spans="1:75">
      <c r="A349" s="24"/>
      <c r="B349" s="24"/>
      <c r="K349" s="14"/>
      <c r="L349" s="24"/>
      <c r="R349" s="14"/>
      <c r="S349" s="24"/>
      <c r="Y349" s="14"/>
      <c r="Z349" s="24"/>
      <c r="AG349" s="24"/>
      <c r="AM349" s="14"/>
      <c r="AN349" s="24"/>
      <c r="AT349" s="14"/>
      <c r="BB349" s="24"/>
      <c r="BR349" s="24"/>
      <c r="BV349" s="14"/>
      <c r="BW349" s="14"/>
    </row>
    <row r="350" spans="1:75">
      <c r="A350" s="24"/>
      <c r="B350" s="24"/>
      <c r="K350" s="14"/>
      <c r="L350" s="24"/>
      <c r="R350" s="14"/>
      <c r="S350" s="24"/>
      <c r="Y350" s="14"/>
      <c r="Z350" s="24"/>
      <c r="AG350" s="24"/>
      <c r="AM350" s="14"/>
      <c r="AN350" s="24"/>
      <c r="AT350" s="14"/>
      <c r="BB350" s="24"/>
      <c r="BR350" s="24"/>
      <c r="BV350" s="14"/>
      <c r="BW350" s="14"/>
    </row>
    <row r="351" spans="1:75">
      <c r="A351" s="24"/>
      <c r="B351" s="24"/>
      <c r="K351" s="14"/>
      <c r="L351" s="24"/>
      <c r="R351" s="14"/>
      <c r="S351" s="24"/>
      <c r="Y351" s="14"/>
      <c r="Z351" s="24"/>
      <c r="AG351" s="24"/>
      <c r="AM351" s="14"/>
      <c r="AN351" s="24"/>
      <c r="AT351" s="14"/>
      <c r="BB351" s="24"/>
      <c r="BR351" s="24"/>
      <c r="BV351" s="14"/>
      <c r="BW351" s="14"/>
    </row>
    <row r="352" spans="1:75">
      <c r="A352" s="24"/>
      <c r="B352" s="24"/>
      <c r="K352" s="14"/>
      <c r="L352" s="24"/>
      <c r="R352" s="14"/>
      <c r="S352" s="24"/>
      <c r="Y352" s="14"/>
      <c r="Z352" s="24"/>
      <c r="AG352" s="24"/>
      <c r="AM352" s="14"/>
      <c r="AN352" s="24"/>
      <c r="AT352" s="14"/>
      <c r="BB352" s="24"/>
      <c r="BF352" s="11"/>
      <c r="BR352" s="24"/>
      <c r="BV352" s="14"/>
      <c r="BW352" s="14"/>
    </row>
    <row r="353" spans="1:75">
      <c r="A353" s="24"/>
      <c r="B353" s="24"/>
      <c r="K353" s="14"/>
      <c r="L353" s="24"/>
      <c r="R353" s="14"/>
      <c r="S353" s="24"/>
      <c r="Y353" s="14"/>
      <c r="Z353" s="24"/>
      <c r="AG353" s="24"/>
      <c r="AM353" s="14"/>
      <c r="AN353" s="24"/>
      <c r="AT353" s="14"/>
      <c r="BB353" s="24"/>
      <c r="BC353" s="16" t="s">
        <v>707</v>
      </c>
      <c r="BR353" s="24"/>
      <c r="BV353" s="14"/>
      <c r="BW353" s="14"/>
    </row>
    <row r="354" spans="1:75">
      <c r="A354" s="24"/>
      <c r="B354" s="24"/>
      <c r="K354" s="14"/>
      <c r="L354" s="24"/>
      <c r="R354" s="14"/>
      <c r="S354" s="24"/>
      <c r="Y354" s="14"/>
      <c r="Z354" s="24"/>
      <c r="AG354" s="24"/>
      <c r="AM354" s="14"/>
      <c r="AN354" s="24"/>
      <c r="AT354" s="14"/>
      <c r="BB354" s="24"/>
      <c r="BD354" s="8" t="s">
        <v>708</v>
      </c>
      <c r="BR354" s="24"/>
      <c r="BV354" s="14"/>
      <c r="BW354" s="14"/>
    </row>
    <row r="355" spans="1:75">
      <c r="A355" s="24"/>
      <c r="B355" s="24"/>
      <c r="K355" s="14"/>
      <c r="L355" s="24"/>
      <c r="R355" s="14"/>
      <c r="S355" s="24"/>
      <c r="Y355" s="14"/>
      <c r="Z355" s="24"/>
      <c r="AG355" s="24"/>
      <c r="AM355" s="14"/>
      <c r="AN355" s="24"/>
      <c r="AT355" s="14"/>
      <c r="BB355" s="24"/>
      <c r="BD355" s="86" t="s">
        <v>637</v>
      </c>
      <c r="BE355" s="87"/>
      <c r="BF355" s="87"/>
      <c r="BG355" s="87"/>
      <c r="BH355" s="87"/>
      <c r="BI355" s="87"/>
      <c r="BJ355" s="87"/>
      <c r="BK355" s="87"/>
      <c r="BL355" s="87"/>
      <c r="BM355" s="87"/>
      <c r="BN355" s="87"/>
      <c r="BO355" s="87"/>
      <c r="BP355" s="88"/>
      <c r="BR355" s="24"/>
      <c r="BV355" s="14"/>
      <c r="BW355" s="14"/>
    </row>
    <row r="356" spans="1:75">
      <c r="A356" s="24"/>
      <c r="B356" s="24"/>
      <c r="K356" s="14"/>
      <c r="L356" s="24"/>
      <c r="R356" s="14"/>
      <c r="S356" s="24"/>
      <c r="Y356" s="14"/>
      <c r="Z356" s="24"/>
      <c r="AG356" s="24"/>
      <c r="AM356" s="14"/>
      <c r="AN356" s="24"/>
      <c r="AT356" s="14"/>
      <c r="BB356" s="24"/>
      <c r="BC356" s="11"/>
      <c r="BD356" s="89" t="s">
        <v>710</v>
      </c>
      <c r="BE356" s="90"/>
      <c r="BF356" s="90"/>
      <c r="BG356" s="90"/>
      <c r="BH356" s="90"/>
      <c r="BI356" s="90"/>
      <c r="BJ356" s="90"/>
      <c r="BK356" s="89" t="s">
        <v>638</v>
      </c>
      <c r="BL356" s="90"/>
      <c r="BM356" s="90"/>
      <c r="BN356" s="90"/>
      <c r="BO356" s="90"/>
      <c r="BP356" s="91"/>
      <c r="BR356" s="24"/>
      <c r="BV356" s="14"/>
      <c r="BW356" s="14"/>
    </row>
    <row r="357" spans="1:75">
      <c r="A357" s="24"/>
      <c r="B357" s="24"/>
      <c r="K357" s="14"/>
      <c r="L357" s="24"/>
      <c r="R357" s="14"/>
      <c r="S357" s="24"/>
      <c r="Y357" s="14"/>
      <c r="Z357" s="24"/>
      <c r="AG357" s="24"/>
      <c r="AM357" s="14"/>
      <c r="AN357" s="24"/>
      <c r="AT357" s="14"/>
      <c r="BB357" s="24"/>
      <c r="BC357" s="11"/>
      <c r="BD357" s="11" t="s">
        <v>711</v>
      </c>
      <c r="BE357" s="11"/>
      <c r="BF357" s="11"/>
      <c r="BR357" s="24"/>
      <c r="BV357" s="14"/>
      <c r="BW357" s="14"/>
    </row>
    <row r="358" spans="1:75">
      <c r="A358" s="24"/>
      <c r="B358" s="24"/>
      <c r="K358" s="14"/>
      <c r="L358" s="24"/>
      <c r="R358" s="14"/>
      <c r="S358" s="24"/>
      <c r="Y358" s="14"/>
      <c r="Z358" s="24"/>
      <c r="AG358" s="24"/>
      <c r="AM358" s="14"/>
      <c r="AN358" s="24"/>
      <c r="AT358" s="14"/>
      <c r="BB358" s="24"/>
      <c r="BC358" s="11"/>
      <c r="BD358" s="123" t="s">
        <v>118</v>
      </c>
      <c r="BE358" s="125" t="s">
        <v>736</v>
      </c>
      <c r="BF358" s="11"/>
      <c r="BR358" s="24"/>
      <c r="BV358" s="14"/>
      <c r="BW358" s="14"/>
    </row>
    <row r="359" spans="1:75">
      <c r="A359" s="24"/>
      <c r="B359" s="24"/>
      <c r="K359" s="14"/>
      <c r="L359" s="24"/>
      <c r="R359" s="14"/>
      <c r="S359" s="24"/>
      <c r="Y359" s="14"/>
      <c r="Z359" s="24"/>
      <c r="AG359" s="24"/>
      <c r="AM359" s="14"/>
      <c r="AN359" s="24"/>
      <c r="AT359" s="14"/>
      <c r="BB359" s="24"/>
      <c r="BC359" s="11"/>
      <c r="BE359" s="125" t="s">
        <v>779</v>
      </c>
      <c r="BF359" s="11"/>
      <c r="BR359" s="24"/>
      <c r="BV359" s="14"/>
      <c r="BW359" s="14"/>
    </row>
    <row r="360" spans="1:75">
      <c r="A360" s="24"/>
      <c r="B360" s="24"/>
      <c r="K360" s="14"/>
      <c r="L360" s="24"/>
      <c r="R360" s="14"/>
      <c r="S360" s="24"/>
      <c r="Y360" s="14"/>
      <c r="Z360" s="24"/>
      <c r="AG360" s="24"/>
      <c r="AM360" s="14"/>
      <c r="AN360" s="24"/>
      <c r="AT360" s="14"/>
      <c r="BB360" s="24"/>
      <c r="BC360" s="11"/>
      <c r="BD360" s="123" t="s">
        <v>118</v>
      </c>
      <c r="BE360" s="125" t="s">
        <v>738</v>
      </c>
      <c r="BF360" s="11"/>
      <c r="BR360" s="24"/>
      <c r="BV360" s="14"/>
      <c r="BW360" s="14"/>
    </row>
    <row r="361" spans="1:75">
      <c r="A361" s="24"/>
      <c r="B361" s="24"/>
      <c r="K361" s="14"/>
      <c r="L361" s="24"/>
      <c r="R361" s="14"/>
      <c r="S361" s="24"/>
      <c r="Y361" s="14"/>
      <c r="Z361" s="24"/>
      <c r="AG361" s="24"/>
      <c r="AM361" s="14"/>
      <c r="AN361" s="24"/>
      <c r="AT361" s="14"/>
      <c r="BB361" s="24"/>
      <c r="BC361" s="11"/>
      <c r="BE361" s="125" t="s">
        <v>739</v>
      </c>
      <c r="BF361" s="11"/>
      <c r="BR361" s="24"/>
      <c r="BV361" s="14"/>
      <c r="BW361" s="14"/>
    </row>
    <row r="362" spans="1:75">
      <c r="A362" s="24"/>
      <c r="B362" s="24"/>
      <c r="K362" s="14"/>
      <c r="L362" s="24"/>
      <c r="R362" s="14"/>
      <c r="S362" s="24"/>
      <c r="Y362" s="14"/>
      <c r="Z362" s="24"/>
      <c r="AG362" s="24"/>
      <c r="AM362" s="14"/>
      <c r="AN362" s="24"/>
      <c r="AT362" s="14"/>
      <c r="BB362" s="24"/>
      <c r="BC362" s="11"/>
      <c r="BE362" s="125" t="s">
        <v>740</v>
      </c>
      <c r="BF362" s="11"/>
      <c r="BR362" s="24"/>
      <c r="BV362" s="14"/>
      <c r="BW362" s="14"/>
    </row>
    <row r="363" spans="1:75">
      <c r="A363" s="24"/>
      <c r="B363" s="24"/>
      <c r="K363" s="14"/>
      <c r="L363" s="24"/>
      <c r="R363" s="14"/>
      <c r="S363" s="24"/>
      <c r="Y363" s="14"/>
      <c r="Z363" s="24"/>
      <c r="AG363" s="24"/>
      <c r="AM363" s="14"/>
      <c r="AN363" s="24"/>
      <c r="AT363" s="14"/>
      <c r="BB363" s="24"/>
      <c r="BC363" s="11"/>
      <c r="BD363" s="123"/>
      <c r="BE363" s="11"/>
      <c r="BF363" s="11"/>
      <c r="BR363" s="24"/>
      <c r="BV363" s="14"/>
      <c r="BW363" s="14"/>
    </row>
    <row r="364" spans="1:75">
      <c r="A364" s="24"/>
      <c r="B364" s="24"/>
      <c r="K364" s="14"/>
      <c r="L364" s="24"/>
      <c r="R364" s="14"/>
      <c r="S364" s="24"/>
      <c r="Y364" s="14"/>
      <c r="Z364" s="24"/>
      <c r="AG364" s="24"/>
      <c r="AM364" s="14"/>
      <c r="AN364" s="24"/>
      <c r="AT364" s="14"/>
      <c r="BB364" s="24"/>
      <c r="BC364" s="11"/>
      <c r="BD364" s="123"/>
      <c r="BE364" s="11"/>
      <c r="BF364" s="11"/>
      <c r="BR364" s="24"/>
      <c r="BV364" s="14"/>
      <c r="BW364" s="14"/>
    </row>
    <row r="365" spans="1:75">
      <c r="A365" s="24"/>
      <c r="B365" s="24"/>
      <c r="K365" s="14"/>
      <c r="L365" s="24"/>
      <c r="R365" s="14"/>
      <c r="S365" s="24"/>
      <c r="Y365" s="14"/>
      <c r="Z365" s="24"/>
      <c r="AG365" s="24"/>
      <c r="AM365" s="14"/>
      <c r="AN365" s="24"/>
      <c r="AT365" s="14"/>
      <c r="BB365" s="24"/>
      <c r="BC365" s="11"/>
      <c r="BD365" s="123"/>
      <c r="BE365" s="11"/>
      <c r="BF365" s="11"/>
      <c r="BR365" s="24"/>
      <c r="BV365" s="14"/>
      <c r="BW365" s="14"/>
    </row>
    <row r="366" spans="1:75">
      <c r="A366" s="24"/>
      <c r="B366" s="24"/>
      <c r="K366" s="14"/>
      <c r="L366" s="24"/>
      <c r="R366" s="14"/>
      <c r="S366" s="24"/>
      <c r="Y366" s="14"/>
      <c r="Z366" s="24"/>
      <c r="AG366" s="24"/>
      <c r="AM366" s="14"/>
      <c r="AN366" s="24"/>
      <c r="AT366" s="14"/>
      <c r="BB366" s="24"/>
      <c r="BC366" s="11"/>
      <c r="BD366" s="123"/>
      <c r="BE366" s="11"/>
      <c r="BF366" s="11"/>
      <c r="BR366" s="24"/>
      <c r="BV366" s="14"/>
      <c r="BW366" s="14"/>
    </row>
    <row r="367" spans="1:75">
      <c r="A367" s="24"/>
      <c r="B367" s="24"/>
      <c r="K367" s="14"/>
      <c r="L367" s="24"/>
      <c r="R367" s="14"/>
      <c r="S367" s="24"/>
      <c r="Y367" s="14"/>
      <c r="Z367" s="24"/>
      <c r="AG367" s="24"/>
      <c r="AM367" s="14"/>
      <c r="AN367" s="24"/>
      <c r="AT367" s="14"/>
      <c r="BB367" s="24"/>
      <c r="BC367" s="11"/>
      <c r="BR367" s="24"/>
      <c r="BV367" s="14"/>
      <c r="BW367" s="14"/>
    </row>
    <row r="368" spans="1:75">
      <c r="A368" s="24"/>
      <c r="B368" s="24"/>
      <c r="K368" s="14"/>
      <c r="L368" s="24"/>
      <c r="R368" s="14"/>
      <c r="S368" s="24"/>
      <c r="Y368" s="14"/>
      <c r="Z368" s="24"/>
      <c r="AG368" s="24"/>
      <c r="AM368" s="14"/>
      <c r="AN368" s="24"/>
      <c r="AT368" s="14"/>
      <c r="BB368" s="24"/>
      <c r="BC368" s="11"/>
      <c r="BD368" s="11"/>
      <c r="BE368" s="11"/>
      <c r="BF368" s="11"/>
      <c r="BR368" s="24"/>
      <c r="BV368" s="14"/>
      <c r="BW368" s="14"/>
    </row>
    <row r="369" spans="1:75">
      <c r="A369" s="24"/>
      <c r="B369" s="24"/>
      <c r="K369" s="14"/>
      <c r="L369" s="24"/>
      <c r="R369" s="14"/>
      <c r="S369" s="24"/>
      <c r="Y369" s="14"/>
      <c r="Z369" s="24"/>
      <c r="AG369" s="24"/>
      <c r="AM369" s="14"/>
      <c r="AN369" s="24"/>
      <c r="AT369" s="14"/>
      <c r="BB369" s="24"/>
      <c r="BC369" s="11"/>
      <c r="BD369" s="11"/>
      <c r="BE369" s="11"/>
      <c r="BF369" s="11"/>
      <c r="BR369" s="24"/>
      <c r="BV369" s="14"/>
      <c r="BW369" s="14"/>
    </row>
    <row r="370" spans="1:75">
      <c r="A370" s="24"/>
      <c r="B370" s="24"/>
      <c r="K370" s="14"/>
      <c r="L370" s="24"/>
      <c r="R370" s="14"/>
      <c r="S370" s="24"/>
      <c r="Y370" s="14"/>
      <c r="Z370" s="24"/>
      <c r="AG370" s="24"/>
      <c r="AM370" s="14"/>
      <c r="AN370" s="24"/>
      <c r="AT370" s="14"/>
      <c r="BB370" s="24"/>
      <c r="BC370" s="16" t="s">
        <v>712</v>
      </c>
      <c r="BR370" s="24"/>
      <c r="BV370" s="14"/>
      <c r="BW370" s="14"/>
    </row>
    <row r="371" spans="1:75">
      <c r="A371" s="24"/>
      <c r="B371" s="24"/>
      <c r="K371" s="14"/>
      <c r="L371" s="24"/>
      <c r="R371" s="14"/>
      <c r="S371" s="24"/>
      <c r="Y371" s="14"/>
      <c r="Z371" s="24"/>
      <c r="AG371" s="24"/>
      <c r="AM371" s="14"/>
      <c r="AN371" s="24"/>
      <c r="AT371" s="14"/>
      <c r="BB371" s="24"/>
      <c r="BD371" s="8" t="s">
        <v>713</v>
      </c>
      <c r="BR371" s="24"/>
      <c r="BV371" s="14"/>
      <c r="BW371" s="14"/>
    </row>
    <row r="372" spans="1:75">
      <c r="A372" s="24"/>
      <c r="B372" s="24"/>
      <c r="K372" s="14"/>
      <c r="L372" s="24"/>
      <c r="R372" s="14"/>
      <c r="S372" s="24"/>
      <c r="Y372" s="14"/>
      <c r="Z372" s="24"/>
      <c r="AG372" s="24"/>
      <c r="AM372" s="14"/>
      <c r="AN372" s="24"/>
      <c r="AT372" s="14"/>
      <c r="BB372" s="24"/>
      <c r="BR372" s="24"/>
      <c r="BV372" s="14"/>
      <c r="BW372" s="14"/>
    </row>
    <row r="373" spans="1:75">
      <c r="A373" s="24"/>
      <c r="B373" s="24"/>
      <c r="K373" s="14"/>
      <c r="L373" s="24"/>
      <c r="R373" s="14"/>
      <c r="S373" s="24"/>
      <c r="Y373" s="14"/>
      <c r="Z373" s="24"/>
      <c r="AG373" s="24"/>
      <c r="AM373" s="14"/>
      <c r="AN373" s="24"/>
      <c r="AT373" s="14"/>
      <c r="BB373" s="24"/>
      <c r="BR373" s="24"/>
      <c r="BV373" s="14"/>
      <c r="BW373" s="14"/>
    </row>
    <row r="374" spans="1:75">
      <c r="A374" s="24"/>
      <c r="B374" s="24"/>
      <c r="K374" s="14"/>
      <c r="L374" s="24"/>
      <c r="R374" s="14"/>
      <c r="S374" s="24"/>
      <c r="Y374" s="14"/>
      <c r="Z374" s="24"/>
      <c r="AG374" s="24"/>
      <c r="AM374" s="14"/>
      <c r="AN374" s="24"/>
      <c r="AT374" s="14"/>
      <c r="BB374" s="24"/>
      <c r="BR374" s="24"/>
      <c r="BV374" s="14"/>
      <c r="BW374" s="14"/>
    </row>
    <row r="375" spans="1:75">
      <c r="A375" s="24"/>
      <c r="B375" s="24"/>
      <c r="K375" s="14"/>
      <c r="L375" s="24"/>
      <c r="R375" s="14"/>
      <c r="S375" s="24"/>
      <c r="Y375" s="14"/>
      <c r="Z375" s="24"/>
      <c r="AG375" s="24"/>
      <c r="AM375" s="14"/>
      <c r="AN375" s="24"/>
      <c r="AT375" s="14"/>
      <c r="BB375" s="24"/>
      <c r="BR375" s="24"/>
      <c r="BV375" s="14"/>
      <c r="BW375" s="14"/>
    </row>
    <row r="376" spans="1:75">
      <c r="A376" s="24"/>
      <c r="B376" s="24"/>
      <c r="K376" s="14"/>
      <c r="L376" s="24"/>
      <c r="R376" s="14"/>
      <c r="S376" s="24"/>
      <c r="Y376" s="14"/>
      <c r="Z376" s="24"/>
      <c r="AG376" s="24"/>
      <c r="AM376" s="14"/>
      <c r="AN376" s="24"/>
      <c r="AT376" s="14"/>
      <c r="BB376" s="24"/>
      <c r="BC376" s="16" t="s">
        <v>715</v>
      </c>
      <c r="BR376" s="24"/>
      <c r="BV376" s="14"/>
      <c r="BW376" s="14"/>
    </row>
    <row r="377" spans="1:75">
      <c r="A377" s="24"/>
      <c r="B377" s="24"/>
      <c r="K377" s="14"/>
      <c r="L377" s="24"/>
      <c r="R377" s="14"/>
      <c r="S377" s="24"/>
      <c r="Y377" s="14"/>
      <c r="Z377" s="24"/>
      <c r="AG377" s="24"/>
      <c r="AM377" s="14"/>
      <c r="AN377" s="24"/>
      <c r="AT377" s="14"/>
      <c r="BB377" s="24"/>
      <c r="BD377" s="8" t="s">
        <v>682</v>
      </c>
      <c r="BR377" s="24"/>
      <c r="BV377" s="14"/>
      <c r="BW377" s="14"/>
    </row>
    <row r="378" spans="1:75">
      <c r="A378" s="24"/>
      <c r="B378" s="24"/>
      <c r="K378" s="14"/>
      <c r="L378" s="24"/>
      <c r="R378" s="14"/>
      <c r="S378" s="24"/>
      <c r="Y378" s="14"/>
      <c r="Z378" s="24"/>
      <c r="AG378" s="24"/>
      <c r="AM378" s="14"/>
      <c r="AN378" s="24"/>
      <c r="AT378" s="14"/>
      <c r="BB378" s="24"/>
      <c r="BR378" s="24"/>
      <c r="BV378" s="14"/>
      <c r="BW378" s="14"/>
    </row>
    <row r="379" spans="1:75">
      <c r="A379" s="24"/>
      <c r="B379" s="24"/>
      <c r="K379" s="14"/>
      <c r="L379" s="24"/>
      <c r="R379" s="14"/>
      <c r="S379" s="24"/>
      <c r="Y379" s="14"/>
      <c r="Z379" s="24"/>
      <c r="AG379" s="24"/>
      <c r="AM379" s="14"/>
      <c r="AN379" s="24"/>
      <c r="AT379" s="14"/>
      <c r="BB379" s="24"/>
      <c r="BR379" s="24"/>
      <c r="BV379" s="14"/>
      <c r="BW379" s="14"/>
    </row>
    <row r="380" spans="1:75">
      <c r="A380" s="24"/>
      <c r="B380" s="24"/>
      <c r="K380" s="14"/>
      <c r="L380" s="24"/>
      <c r="R380" s="14"/>
      <c r="S380" s="24"/>
      <c r="Y380" s="14"/>
      <c r="Z380" s="24"/>
      <c r="AG380" s="24"/>
      <c r="AM380" s="14"/>
      <c r="AN380" s="24"/>
      <c r="AT380" s="14"/>
      <c r="BB380" s="24"/>
      <c r="BC380" s="11"/>
      <c r="BD380" s="11"/>
      <c r="BE380" s="11"/>
      <c r="BF380" s="11"/>
      <c r="BR380" s="24"/>
      <c r="BV380" s="14"/>
      <c r="BW380" s="14"/>
    </row>
    <row r="381" spans="1:75">
      <c r="A381" s="24"/>
      <c r="B381" s="24"/>
      <c r="K381" s="14"/>
      <c r="L381" s="24"/>
      <c r="R381" s="14"/>
      <c r="S381" s="24"/>
      <c r="Y381" s="14"/>
      <c r="Z381" s="24"/>
      <c r="AG381" s="24"/>
      <c r="AM381" s="14"/>
      <c r="AN381" s="24"/>
      <c r="AT381" s="14"/>
      <c r="BB381" s="24"/>
      <c r="BC381" s="11"/>
      <c r="BD381" s="11"/>
      <c r="BE381" s="11"/>
      <c r="BF381" s="11"/>
      <c r="BR381" s="24"/>
      <c r="BV381" s="14"/>
      <c r="BW381" s="14"/>
    </row>
    <row r="382" spans="1:75">
      <c r="A382" s="24"/>
      <c r="B382" s="24"/>
      <c r="K382" s="14"/>
      <c r="L382" s="24"/>
      <c r="R382" s="14"/>
      <c r="S382" s="24"/>
      <c r="Y382" s="14"/>
      <c r="Z382" s="24"/>
      <c r="AG382" s="24"/>
      <c r="AM382" s="14"/>
      <c r="AN382" s="24"/>
      <c r="AT382" s="14"/>
      <c r="BB382" s="24"/>
      <c r="BC382" s="11"/>
      <c r="BD382" s="11"/>
      <c r="BE382" s="11"/>
      <c r="BF382" s="11"/>
      <c r="BR382" s="24"/>
      <c r="BV382" s="14"/>
      <c r="BW382" s="14"/>
    </row>
    <row r="383" spans="1:75">
      <c r="A383" s="24"/>
      <c r="B383" s="24"/>
      <c r="K383" s="14"/>
      <c r="L383" s="24"/>
      <c r="R383" s="14"/>
      <c r="S383" s="24"/>
      <c r="Y383" s="14"/>
      <c r="Z383" s="24"/>
      <c r="AG383" s="24"/>
      <c r="AM383" s="14"/>
      <c r="AN383" s="24"/>
      <c r="AT383" s="14"/>
      <c r="BB383" s="24"/>
      <c r="BC383" s="11"/>
      <c r="BD383" s="11"/>
      <c r="BE383" s="11"/>
      <c r="BF383" s="11"/>
      <c r="BR383" s="24"/>
      <c r="BV383" s="14"/>
      <c r="BW383" s="14"/>
    </row>
    <row r="384" spans="1:75">
      <c r="A384" s="24"/>
      <c r="B384" s="24"/>
      <c r="K384" s="14"/>
      <c r="L384" s="24"/>
      <c r="R384" s="14"/>
      <c r="S384" s="24"/>
      <c r="Y384" s="14"/>
      <c r="Z384" s="24"/>
      <c r="AG384" s="24"/>
      <c r="AM384" s="14"/>
      <c r="AN384" s="24"/>
      <c r="AT384" s="14"/>
      <c r="BB384" s="24"/>
      <c r="BC384" s="16" t="s">
        <v>716</v>
      </c>
      <c r="BR384" s="24"/>
      <c r="BV384" s="14"/>
      <c r="BW384" s="14"/>
    </row>
    <row r="385" spans="1:75">
      <c r="A385" s="24"/>
      <c r="B385" s="24"/>
      <c r="K385" s="14"/>
      <c r="L385" s="24"/>
      <c r="R385" s="14"/>
      <c r="S385" s="24"/>
      <c r="Y385" s="14"/>
      <c r="Z385" s="24"/>
      <c r="AG385" s="24"/>
      <c r="AM385" s="14"/>
      <c r="AN385" s="24"/>
      <c r="AT385" s="14"/>
      <c r="BB385" s="24"/>
      <c r="BD385" s="8" t="s">
        <v>717</v>
      </c>
      <c r="BR385" s="24"/>
      <c r="BV385" s="14"/>
      <c r="BW385" s="14"/>
    </row>
    <row r="386" spans="1:75">
      <c r="A386" s="24"/>
      <c r="B386" s="24"/>
      <c r="K386" s="14"/>
      <c r="L386" s="24"/>
      <c r="R386" s="14"/>
      <c r="S386" s="24"/>
      <c r="Y386" s="14"/>
      <c r="Z386" s="24"/>
      <c r="AG386" s="24"/>
      <c r="AM386" s="14"/>
      <c r="AN386" s="24"/>
      <c r="AT386" s="14"/>
      <c r="BB386" s="24"/>
      <c r="BF386" s="11"/>
      <c r="BR386" s="24"/>
      <c r="BV386" s="14"/>
      <c r="BW386" s="14"/>
    </row>
    <row r="387" spans="1:75">
      <c r="A387" s="24"/>
      <c r="B387" s="24"/>
      <c r="K387" s="14"/>
      <c r="L387" s="24"/>
      <c r="R387" s="14"/>
      <c r="S387" s="24"/>
      <c r="Y387" s="14"/>
      <c r="Z387" s="24"/>
      <c r="AG387" s="24"/>
      <c r="AM387" s="14"/>
      <c r="AN387" s="24"/>
      <c r="AT387" s="14"/>
      <c r="BB387" s="24"/>
      <c r="BR387" s="24"/>
      <c r="BV387" s="14"/>
      <c r="BW387" s="14"/>
    </row>
    <row r="388" spans="1:75">
      <c r="A388" s="24"/>
      <c r="B388" s="24"/>
      <c r="K388" s="14"/>
      <c r="L388" s="24"/>
      <c r="R388" s="14"/>
      <c r="S388" s="24"/>
      <c r="Y388" s="14"/>
      <c r="Z388" s="24"/>
      <c r="AG388" s="24"/>
      <c r="AM388" s="14"/>
      <c r="AN388" s="24"/>
      <c r="AT388" s="14"/>
      <c r="BB388" s="24"/>
      <c r="BR388" s="24"/>
      <c r="BV388" s="14"/>
      <c r="BW388" s="14"/>
    </row>
    <row r="389" spans="1:75">
      <c r="A389" s="24"/>
      <c r="B389" s="24"/>
      <c r="K389" s="14"/>
      <c r="L389" s="24"/>
      <c r="R389" s="14"/>
      <c r="S389" s="24"/>
      <c r="Y389" s="14"/>
      <c r="Z389" s="24"/>
      <c r="AG389" s="24"/>
      <c r="AM389" s="14"/>
      <c r="AN389" s="24"/>
      <c r="AT389" s="14"/>
      <c r="BB389" s="24"/>
      <c r="BD389" s="45"/>
      <c r="BE389" s="45"/>
      <c r="BR389" s="24"/>
      <c r="BV389" s="14"/>
      <c r="BW389" s="14"/>
    </row>
    <row r="390" spans="1:75">
      <c r="A390" s="24"/>
      <c r="B390" s="24"/>
      <c r="K390" s="14"/>
      <c r="L390" s="24"/>
      <c r="R390" s="14"/>
      <c r="S390" s="24"/>
      <c r="Y390" s="14"/>
      <c r="Z390" s="24"/>
      <c r="AG390" s="24"/>
      <c r="AM390" s="14"/>
      <c r="AN390" s="24"/>
      <c r="AT390" s="14"/>
      <c r="BB390" s="24"/>
      <c r="BC390" s="16" t="s">
        <v>780</v>
      </c>
      <c r="BR390" s="24"/>
      <c r="BV390" s="14"/>
      <c r="BW390" s="14"/>
    </row>
    <row r="391" spans="1:75">
      <c r="A391" s="24"/>
      <c r="B391" s="24"/>
      <c r="K391" s="14"/>
      <c r="L391" s="24"/>
      <c r="R391" s="14"/>
      <c r="S391" s="24"/>
      <c r="Y391" s="14"/>
      <c r="Z391" s="24"/>
      <c r="AG391" s="24"/>
      <c r="AM391" s="14"/>
      <c r="AN391" s="24"/>
      <c r="AT391" s="14"/>
      <c r="BB391" s="24"/>
      <c r="BD391" s="8" t="s">
        <v>734</v>
      </c>
      <c r="BR391" s="24"/>
      <c r="BV391" s="14"/>
      <c r="BW391" s="14"/>
    </row>
    <row r="392" spans="1:75">
      <c r="A392" s="24"/>
      <c r="B392" s="24"/>
      <c r="K392" s="14"/>
      <c r="L392" s="24"/>
      <c r="R392" s="14"/>
      <c r="S392" s="24"/>
      <c r="Y392" s="14"/>
      <c r="Z392" s="24"/>
      <c r="AG392" s="24"/>
      <c r="AM392" s="14"/>
      <c r="AN392" s="24"/>
      <c r="AT392" s="14"/>
      <c r="BB392" s="24"/>
      <c r="BD392" s="8" t="s">
        <v>751</v>
      </c>
      <c r="BR392" s="24"/>
      <c r="BV392" s="14"/>
      <c r="BW392" s="14"/>
    </row>
    <row r="393" spans="1:75">
      <c r="A393" s="24"/>
      <c r="B393" s="24"/>
      <c r="K393" s="14"/>
      <c r="L393" s="24"/>
      <c r="R393" s="14"/>
      <c r="S393" s="24"/>
      <c r="Y393" s="14"/>
      <c r="Z393" s="24"/>
      <c r="AG393" s="24"/>
      <c r="AM393" s="14"/>
      <c r="AN393" s="24"/>
      <c r="AT393" s="14"/>
      <c r="BB393" s="24"/>
      <c r="BD393" s="86" t="s">
        <v>637</v>
      </c>
      <c r="BE393" s="87"/>
      <c r="BF393" s="87"/>
      <c r="BG393" s="87"/>
      <c r="BH393" s="87"/>
      <c r="BI393" s="87"/>
      <c r="BJ393" s="87"/>
      <c r="BK393" s="87"/>
      <c r="BL393" s="87"/>
      <c r="BM393" s="87"/>
      <c r="BN393" s="88"/>
      <c r="BR393" s="24"/>
      <c r="BV393" s="14"/>
      <c r="BW393" s="14"/>
    </row>
    <row r="394" spans="1:75">
      <c r="A394" s="24"/>
      <c r="B394" s="24"/>
      <c r="K394" s="14"/>
      <c r="L394" s="24"/>
      <c r="R394" s="14"/>
      <c r="S394" s="24"/>
      <c r="Y394" s="14"/>
      <c r="Z394" s="24"/>
      <c r="AG394" s="24"/>
      <c r="AM394" s="14"/>
      <c r="AN394" s="24"/>
      <c r="AT394" s="14"/>
      <c r="BB394" s="24"/>
      <c r="BD394" s="89" t="s">
        <v>638</v>
      </c>
      <c r="BE394" s="90"/>
      <c r="BF394" s="90"/>
      <c r="BG394" s="90"/>
      <c r="BH394" s="90"/>
      <c r="BI394" s="118" t="s">
        <v>719</v>
      </c>
      <c r="BJ394" s="90"/>
      <c r="BK394" s="90"/>
      <c r="BL394" s="90"/>
      <c r="BM394" s="90"/>
      <c r="BN394" s="91"/>
      <c r="BR394" s="24"/>
      <c r="BV394" s="14"/>
      <c r="BW394" s="14"/>
    </row>
    <row r="395" spans="1:75">
      <c r="A395" s="24"/>
      <c r="B395" s="24"/>
      <c r="K395" s="14"/>
      <c r="L395" s="24"/>
      <c r="R395" s="14"/>
      <c r="S395" s="24"/>
      <c r="Y395" s="14"/>
      <c r="Z395" s="24"/>
      <c r="AG395" s="24"/>
      <c r="AM395" s="14"/>
      <c r="AN395" s="24"/>
      <c r="AT395" s="14"/>
      <c r="BB395" s="24"/>
      <c r="BD395" s="123" t="s">
        <v>118</v>
      </c>
      <c r="BE395" s="125" t="s">
        <v>736</v>
      </c>
      <c r="BF395" s="11"/>
      <c r="BR395" s="24"/>
      <c r="BV395" s="14"/>
      <c r="BW395" s="14"/>
    </row>
    <row r="396" spans="1:75">
      <c r="A396" s="24"/>
      <c r="B396" s="24"/>
      <c r="K396" s="14"/>
      <c r="L396" s="24"/>
      <c r="R396" s="14"/>
      <c r="S396" s="24"/>
      <c r="Y396" s="14"/>
      <c r="Z396" s="24"/>
      <c r="AG396" s="24"/>
      <c r="AM396" s="14"/>
      <c r="AN396" s="24"/>
      <c r="AT396" s="14"/>
      <c r="BB396" s="24"/>
      <c r="BC396" s="11"/>
      <c r="BE396" s="125" t="s">
        <v>779</v>
      </c>
      <c r="BF396" s="11"/>
      <c r="BR396" s="24"/>
      <c r="BV396" s="14"/>
      <c r="BW396" s="14"/>
    </row>
    <row r="397" spans="1:75">
      <c r="A397" s="24"/>
      <c r="B397" s="24"/>
      <c r="K397" s="14"/>
      <c r="L397" s="24"/>
      <c r="R397" s="14"/>
      <c r="S397" s="24"/>
      <c r="Y397" s="14"/>
      <c r="Z397" s="24"/>
      <c r="AG397" s="24"/>
      <c r="AM397" s="14"/>
      <c r="AN397" s="24"/>
      <c r="AT397" s="14"/>
      <c r="BB397" s="24"/>
      <c r="BC397" s="11"/>
      <c r="BD397" s="123" t="s">
        <v>118</v>
      </c>
      <c r="BE397" s="125" t="s">
        <v>738</v>
      </c>
      <c r="BF397" s="11"/>
      <c r="BR397" s="24"/>
      <c r="BV397" s="14"/>
      <c r="BW397" s="14"/>
    </row>
    <row r="398" spans="1:75">
      <c r="A398" s="24"/>
      <c r="B398" s="24"/>
      <c r="K398" s="14"/>
      <c r="L398" s="24"/>
      <c r="R398" s="14"/>
      <c r="S398" s="24"/>
      <c r="Y398" s="14"/>
      <c r="Z398" s="24"/>
      <c r="AG398" s="24"/>
      <c r="AM398" s="14"/>
      <c r="AN398" s="24"/>
      <c r="AT398" s="14"/>
      <c r="BB398" s="24"/>
      <c r="BC398" s="11"/>
      <c r="BE398" s="125" t="s">
        <v>739</v>
      </c>
      <c r="BF398" s="11"/>
      <c r="BR398" s="24"/>
      <c r="BV398" s="14"/>
      <c r="BW398" s="14"/>
    </row>
    <row r="399" spans="1:75">
      <c r="A399" s="24"/>
      <c r="B399" s="24"/>
      <c r="K399" s="14"/>
      <c r="L399" s="24"/>
      <c r="R399" s="14"/>
      <c r="S399" s="24"/>
      <c r="Y399" s="14"/>
      <c r="Z399" s="24"/>
      <c r="AG399" s="24"/>
      <c r="AM399" s="14"/>
      <c r="AN399" s="24"/>
      <c r="AT399" s="14"/>
      <c r="BB399" s="24"/>
      <c r="BC399" s="11"/>
      <c r="BE399" s="125" t="s">
        <v>740</v>
      </c>
      <c r="BF399" s="11"/>
      <c r="BR399" s="24"/>
      <c r="BV399" s="14"/>
      <c r="BW399" s="14"/>
    </row>
    <row r="400" spans="1:75">
      <c r="A400" s="24"/>
      <c r="B400" s="24"/>
      <c r="K400" s="14"/>
      <c r="L400" s="24"/>
      <c r="R400" s="14"/>
      <c r="S400" s="24"/>
      <c r="Y400" s="14"/>
      <c r="Z400" s="24"/>
      <c r="AG400" s="24"/>
      <c r="AM400" s="14"/>
      <c r="AN400" s="24"/>
      <c r="AT400" s="14"/>
      <c r="BB400" s="24"/>
      <c r="BC400" s="11"/>
      <c r="BD400" s="11"/>
      <c r="BE400" s="11"/>
      <c r="BF400" s="11"/>
      <c r="BR400" s="24"/>
      <c r="BV400" s="14"/>
      <c r="BW400" s="14"/>
    </row>
    <row r="401" spans="1:75">
      <c r="A401" s="42"/>
      <c r="B401" s="41"/>
      <c r="C401" s="10"/>
      <c r="D401" s="10"/>
      <c r="E401" s="10"/>
      <c r="F401" s="10"/>
      <c r="G401" s="10"/>
      <c r="H401" s="10"/>
      <c r="I401" s="10"/>
      <c r="J401" s="10"/>
      <c r="K401" s="15"/>
      <c r="L401" s="41"/>
      <c r="M401" s="10"/>
      <c r="N401" s="10"/>
      <c r="O401" s="10"/>
      <c r="P401" s="10"/>
      <c r="Q401" s="10"/>
      <c r="R401" s="15"/>
      <c r="S401" s="41"/>
      <c r="T401" s="10"/>
      <c r="U401" s="10"/>
      <c r="V401" s="10"/>
      <c r="W401" s="10"/>
      <c r="X401" s="10"/>
      <c r="Y401" s="15"/>
      <c r="Z401" s="41"/>
      <c r="AA401" s="10"/>
      <c r="AB401" s="10"/>
      <c r="AC401" s="10"/>
      <c r="AD401" s="10"/>
      <c r="AE401" s="10"/>
      <c r="AF401" s="10"/>
      <c r="AG401" s="41"/>
      <c r="AH401" s="10"/>
      <c r="AI401" s="10"/>
      <c r="AJ401" s="10"/>
      <c r="AK401" s="10"/>
      <c r="AL401" s="10"/>
      <c r="AM401" s="15"/>
      <c r="AN401" s="41"/>
      <c r="AO401" s="10"/>
      <c r="AP401" s="10"/>
      <c r="AQ401" s="10"/>
      <c r="AR401" s="10"/>
      <c r="AS401" s="10"/>
      <c r="AT401" s="15"/>
      <c r="AU401" s="10"/>
      <c r="AV401" s="10"/>
      <c r="AW401" s="10"/>
      <c r="AX401" s="10"/>
      <c r="AY401" s="10"/>
      <c r="AZ401" s="10"/>
      <c r="BA401" s="10"/>
      <c r="BB401" s="41"/>
      <c r="BC401" s="60"/>
      <c r="BD401" s="10"/>
      <c r="BE401" s="32"/>
      <c r="BF401" s="32"/>
      <c r="BG401" s="10"/>
      <c r="BH401" s="10"/>
      <c r="BI401" s="10"/>
      <c r="BJ401" s="10"/>
      <c r="BK401" s="10"/>
      <c r="BL401" s="10"/>
      <c r="BM401" s="10"/>
      <c r="BN401" s="10"/>
      <c r="BO401" s="10"/>
      <c r="BP401" s="10"/>
      <c r="BQ401" s="10"/>
      <c r="BR401" s="41"/>
      <c r="BS401" s="10"/>
      <c r="BT401" s="10"/>
      <c r="BU401" s="10"/>
      <c r="BV401" s="15"/>
      <c r="BW401" s="42"/>
    </row>
    <row r="402" spans="1:75" s="11" customFormat="1">
      <c r="A402" s="25"/>
      <c r="B402" s="26" t="s">
        <v>781</v>
      </c>
      <c r="C402" s="31"/>
      <c r="D402" s="31"/>
      <c r="E402" s="31"/>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30"/>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13"/>
    </row>
    <row r="403" spans="1:75" s="11" customFormat="1">
      <c r="A403" s="25"/>
      <c r="B403" s="24"/>
      <c r="C403" s="8"/>
      <c r="D403" s="8"/>
      <c r="E403" s="8"/>
      <c r="F403" s="8"/>
      <c r="G403" s="8"/>
      <c r="H403" s="8"/>
      <c r="I403" s="8"/>
      <c r="J403" s="8"/>
      <c r="K403" s="14"/>
      <c r="L403" s="24"/>
      <c r="M403" s="8"/>
      <c r="N403" s="8"/>
      <c r="O403" s="8"/>
      <c r="P403" s="8"/>
      <c r="Q403" s="8"/>
      <c r="R403" s="14"/>
      <c r="S403" s="24"/>
      <c r="T403" s="8"/>
      <c r="U403" s="8"/>
      <c r="V403" s="8"/>
      <c r="W403" s="8"/>
      <c r="X403" s="8"/>
      <c r="Y403" s="14"/>
      <c r="Z403" s="24"/>
      <c r="AA403" s="8"/>
      <c r="AB403" s="8"/>
      <c r="AC403" s="8"/>
      <c r="AD403" s="8"/>
      <c r="AE403" s="8"/>
      <c r="AF403" s="8"/>
      <c r="AG403" s="24"/>
      <c r="AH403" s="8"/>
      <c r="AI403" s="8"/>
      <c r="AJ403" s="8"/>
      <c r="AK403" s="8"/>
      <c r="AL403" s="8"/>
      <c r="AM403" s="14"/>
      <c r="AN403" s="24"/>
      <c r="AO403" s="8"/>
      <c r="AP403" s="8"/>
      <c r="AQ403" s="8"/>
      <c r="AR403" s="8"/>
      <c r="AS403" s="8"/>
      <c r="AT403" s="14"/>
      <c r="AU403" s="8"/>
      <c r="AV403" s="8"/>
      <c r="AW403" s="8"/>
      <c r="AX403" s="8"/>
      <c r="AY403" s="8"/>
      <c r="AZ403" s="8"/>
      <c r="BA403" s="8"/>
      <c r="BB403" s="24"/>
      <c r="BC403" s="8"/>
      <c r="BD403" s="8"/>
      <c r="BE403" s="8"/>
      <c r="BF403" s="8"/>
      <c r="BG403" s="8"/>
      <c r="BH403" s="8"/>
      <c r="BI403" s="8"/>
      <c r="BJ403" s="8"/>
      <c r="BK403" s="8"/>
      <c r="BL403" s="8"/>
      <c r="BM403" s="8"/>
      <c r="BN403" s="8"/>
      <c r="BO403" s="8"/>
      <c r="BP403" s="8"/>
      <c r="BQ403" s="8"/>
      <c r="BR403" s="24"/>
      <c r="BS403" s="8"/>
      <c r="BT403" s="8"/>
      <c r="BU403" s="8"/>
      <c r="BV403" s="14"/>
      <c r="BW403" s="13"/>
    </row>
    <row r="404" spans="1:75">
      <c r="A404" s="24"/>
      <c r="B404" s="24"/>
      <c r="K404" s="14"/>
      <c r="L404" s="24"/>
      <c r="R404" s="14"/>
      <c r="S404" s="24"/>
      <c r="Y404" s="14"/>
      <c r="Z404" s="24"/>
      <c r="AG404" s="24"/>
      <c r="AM404" s="14"/>
      <c r="AN404" s="24"/>
      <c r="AT404" s="14"/>
      <c r="BB404" s="24"/>
      <c r="BR404" s="24"/>
      <c r="BV404" s="14"/>
      <c r="BW404" s="14"/>
    </row>
    <row r="405" spans="1:75">
      <c r="A405" s="24"/>
      <c r="B405" s="24"/>
      <c r="K405" s="14"/>
      <c r="L405" s="24"/>
      <c r="R405" s="14"/>
      <c r="S405" s="24"/>
      <c r="Y405" s="14"/>
      <c r="Z405" s="24"/>
      <c r="AG405" s="24"/>
      <c r="AM405" s="14"/>
      <c r="AN405" s="24"/>
      <c r="AT405" s="14"/>
      <c r="BB405" s="24"/>
      <c r="BR405" s="24"/>
      <c r="BV405" s="14"/>
      <c r="BW405" s="14"/>
    </row>
    <row r="406" spans="1:75">
      <c r="A406" s="24"/>
      <c r="B406" s="24"/>
      <c r="K406" s="14"/>
      <c r="L406" s="24"/>
      <c r="R406" s="14"/>
      <c r="S406" s="24"/>
      <c r="Y406" s="14"/>
      <c r="Z406" s="24"/>
      <c r="AG406" s="24"/>
      <c r="AM406" s="14"/>
      <c r="AN406" s="24"/>
      <c r="AT406" s="14"/>
      <c r="BB406" s="24"/>
      <c r="BR406" s="24"/>
      <c r="BV406" s="14"/>
      <c r="BW406" s="14"/>
    </row>
    <row r="407" spans="1:75">
      <c r="A407" s="24"/>
      <c r="B407" s="24"/>
      <c r="K407" s="14"/>
      <c r="L407" s="24"/>
      <c r="R407" s="14"/>
      <c r="S407" s="24"/>
      <c r="Y407" s="14"/>
      <c r="Z407" s="24"/>
      <c r="AG407" s="24"/>
      <c r="AM407" s="14"/>
      <c r="AN407" s="24"/>
      <c r="AT407" s="14"/>
      <c r="BB407" s="24"/>
      <c r="BR407" s="24"/>
      <c r="BV407" s="14"/>
      <c r="BW407" s="14"/>
    </row>
    <row r="408" spans="1:75">
      <c r="A408" s="24"/>
      <c r="B408" s="24"/>
      <c r="K408" s="14"/>
      <c r="L408" s="24"/>
      <c r="R408" s="14"/>
      <c r="S408" s="24"/>
      <c r="Y408" s="14"/>
      <c r="Z408" s="24"/>
      <c r="AG408" s="24"/>
      <c r="AM408" s="14"/>
      <c r="AN408" s="24"/>
      <c r="AT408" s="14"/>
      <c r="BB408" s="24"/>
      <c r="BF408" s="11"/>
      <c r="BR408" s="24"/>
      <c r="BV408" s="14"/>
      <c r="BW408" s="14"/>
    </row>
    <row r="409" spans="1:75">
      <c r="A409" s="24"/>
      <c r="B409" s="24"/>
      <c r="K409" s="14"/>
      <c r="L409" s="24"/>
      <c r="R409" s="14"/>
      <c r="S409" s="24"/>
      <c r="Y409" s="14"/>
      <c r="Z409" s="24"/>
      <c r="AG409" s="24"/>
      <c r="AM409" s="14"/>
      <c r="AN409" s="24"/>
      <c r="AT409" s="14"/>
      <c r="BB409" s="24"/>
      <c r="BC409" s="16" t="s">
        <v>610</v>
      </c>
      <c r="BR409" s="24"/>
      <c r="BV409" s="14"/>
      <c r="BW409" s="14"/>
    </row>
    <row r="410" spans="1:75">
      <c r="A410" s="24"/>
      <c r="B410" s="24"/>
      <c r="K410" s="14"/>
      <c r="L410" s="24"/>
      <c r="R410" s="14"/>
      <c r="S410" s="24"/>
      <c r="Y410" s="14"/>
      <c r="Z410" s="24"/>
      <c r="AG410" s="24"/>
      <c r="AM410" s="14"/>
      <c r="AN410" s="24"/>
      <c r="AT410" s="14"/>
      <c r="BB410" s="24"/>
      <c r="BD410" s="8" t="s">
        <v>611</v>
      </c>
      <c r="BR410" s="24"/>
      <c r="BV410" s="14"/>
      <c r="BW410" s="14"/>
    </row>
    <row r="411" spans="1:75">
      <c r="A411" s="24"/>
      <c r="B411" s="24"/>
      <c r="K411" s="14"/>
      <c r="L411" s="24"/>
      <c r="R411" s="14"/>
      <c r="S411" s="24"/>
      <c r="Y411" s="14"/>
      <c r="Z411" s="24"/>
      <c r="AG411" s="24"/>
      <c r="AM411" s="14"/>
      <c r="AN411" s="24"/>
      <c r="AT411" s="14"/>
      <c r="BB411" s="24"/>
      <c r="BF411" s="11"/>
      <c r="BR411" s="24"/>
      <c r="BV411" s="14"/>
      <c r="BW411" s="14"/>
    </row>
    <row r="412" spans="1:75">
      <c r="A412" s="24"/>
      <c r="B412" s="24"/>
      <c r="K412" s="14"/>
      <c r="L412" s="24"/>
      <c r="R412" s="14"/>
      <c r="S412" s="24"/>
      <c r="Y412" s="14"/>
      <c r="Z412" s="24"/>
      <c r="AG412" s="24"/>
      <c r="AM412" s="14"/>
      <c r="AN412" s="24"/>
      <c r="AT412" s="14"/>
      <c r="BB412" s="24"/>
      <c r="BC412" s="11"/>
      <c r="BD412" s="11"/>
      <c r="BE412" s="11"/>
      <c r="BF412" s="11"/>
      <c r="BR412" s="24"/>
      <c r="BV412" s="14"/>
      <c r="BW412" s="14"/>
    </row>
    <row r="413" spans="1:75">
      <c r="A413" s="24"/>
      <c r="B413" s="24"/>
      <c r="K413" s="14"/>
      <c r="L413" s="24"/>
      <c r="R413" s="14"/>
      <c r="S413" s="24"/>
      <c r="Y413" s="14"/>
      <c r="Z413" s="24"/>
      <c r="AG413" s="24"/>
      <c r="AM413" s="14"/>
      <c r="AN413" s="24"/>
      <c r="AT413" s="14"/>
      <c r="BB413" s="24"/>
      <c r="BC413" s="11"/>
      <c r="BD413" s="11"/>
      <c r="BE413" s="11"/>
      <c r="BF413" s="11"/>
      <c r="BR413" s="24"/>
      <c r="BV413" s="14"/>
      <c r="BW413" s="14"/>
    </row>
    <row r="414" spans="1:75">
      <c r="A414" s="24"/>
      <c r="B414" s="24"/>
      <c r="K414" s="14"/>
      <c r="L414" s="24"/>
      <c r="R414" s="14"/>
      <c r="S414" s="24"/>
      <c r="Y414" s="14"/>
      <c r="Z414" s="24"/>
      <c r="AG414" s="24"/>
      <c r="AM414" s="14"/>
      <c r="AN414" s="24"/>
      <c r="AT414" s="14"/>
      <c r="BB414" s="24"/>
      <c r="BR414" s="24"/>
      <c r="BV414" s="14"/>
      <c r="BW414" s="14"/>
    </row>
    <row r="415" spans="1:75">
      <c r="A415" s="24"/>
      <c r="B415" s="24"/>
      <c r="K415" s="14"/>
      <c r="L415" s="24"/>
      <c r="R415" s="14"/>
      <c r="S415" s="24"/>
      <c r="Y415" s="14"/>
      <c r="Z415" s="24"/>
      <c r="AG415" s="24"/>
      <c r="AM415" s="14"/>
      <c r="AN415" s="24"/>
      <c r="AT415" s="14"/>
      <c r="BB415" s="24"/>
      <c r="BC415" s="22" t="s">
        <v>688</v>
      </c>
      <c r="BD415" s="11"/>
      <c r="BE415" s="11"/>
      <c r="BF415" s="11"/>
      <c r="BR415" s="24"/>
      <c r="BV415" s="14"/>
      <c r="BW415" s="14"/>
    </row>
    <row r="416" spans="1:75">
      <c r="A416" s="24"/>
      <c r="B416" s="24"/>
      <c r="K416" s="14"/>
      <c r="L416" s="24"/>
      <c r="R416" s="14"/>
      <c r="S416" s="24"/>
      <c r="Y416" s="14"/>
      <c r="Z416" s="24"/>
      <c r="AG416" s="24"/>
      <c r="AM416" s="14"/>
      <c r="AN416" s="24"/>
      <c r="AT416" s="14"/>
      <c r="BB416" s="24"/>
      <c r="BC416" s="11"/>
      <c r="BD416" s="8" t="s">
        <v>689</v>
      </c>
      <c r="BE416" s="11"/>
      <c r="BF416" s="11"/>
      <c r="BR416" s="24"/>
      <c r="BV416" s="14"/>
      <c r="BW416" s="14"/>
    </row>
    <row r="417" spans="1:75">
      <c r="A417" s="24"/>
      <c r="B417" s="24"/>
      <c r="K417" s="14"/>
      <c r="L417" s="24"/>
      <c r="R417" s="14"/>
      <c r="S417" s="24"/>
      <c r="Y417" s="14"/>
      <c r="Z417" s="24"/>
      <c r="AG417" s="24"/>
      <c r="AM417" s="14"/>
      <c r="AN417" s="24"/>
      <c r="AT417" s="14"/>
      <c r="BB417" s="24"/>
      <c r="BC417" s="11"/>
      <c r="BD417" s="8" t="s">
        <v>690</v>
      </c>
      <c r="BE417" s="11"/>
      <c r="BF417" s="11"/>
      <c r="BR417" s="24"/>
      <c r="BV417" s="14"/>
      <c r="BW417" s="14"/>
    </row>
    <row r="418" spans="1:75">
      <c r="A418" s="24"/>
      <c r="B418" s="24"/>
      <c r="K418" s="14"/>
      <c r="L418" s="24"/>
      <c r="R418" s="14"/>
      <c r="S418" s="24"/>
      <c r="Y418" s="14"/>
      <c r="Z418" s="24"/>
      <c r="AG418" s="24"/>
      <c r="AM418" s="14"/>
      <c r="AN418" s="24"/>
      <c r="AT418" s="14"/>
      <c r="BB418" s="24"/>
      <c r="BC418" s="50"/>
      <c r="BE418" s="11"/>
      <c r="BF418" s="11"/>
      <c r="BR418" s="24"/>
      <c r="BV418" s="14"/>
      <c r="BW418" s="14"/>
    </row>
    <row r="419" spans="1:75">
      <c r="A419" s="24"/>
      <c r="B419" s="24"/>
      <c r="K419" s="14"/>
      <c r="L419" s="24"/>
      <c r="R419" s="14"/>
      <c r="S419" s="24"/>
      <c r="Y419" s="14"/>
      <c r="Z419" s="24"/>
      <c r="AG419" s="24"/>
      <c r="AM419" s="14"/>
      <c r="AN419" s="24"/>
      <c r="AT419" s="14"/>
      <c r="BB419" s="24"/>
      <c r="BC419" s="50"/>
      <c r="BE419" s="11"/>
      <c r="BF419" s="11"/>
      <c r="BR419" s="24"/>
      <c r="BV419" s="14"/>
      <c r="BW419" s="14"/>
    </row>
    <row r="420" spans="1:75">
      <c r="A420" s="24"/>
      <c r="B420" s="24"/>
      <c r="K420" s="14"/>
      <c r="L420" s="24"/>
      <c r="R420" s="14"/>
      <c r="S420" s="24"/>
      <c r="Y420" s="14"/>
      <c r="Z420" s="24"/>
      <c r="AG420" s="24"/>
      <c r="AM420" s="14"/>
      <c r="AN420" s="24"/>
      <c r="AT420" s="14"/>
      <c r="BB420" s="24"/>
      <c r="BC420" s="50"/>
      <c r="BE420" s="11"/>
      <c r="BF420" s="11"/>
      <c r="BR420" s="24"/>
      <c r="BV420" s="14"/>
      <c r="BW420" s="14"/>
    </row>
    <row r="421" spans="1:75">
      <c r="A421" s="24"/>
      <c r="B421" s="24"/>
      <c r="K421" s="14"/>
      <c r="L421" s="24"/>
      <c r="R421" s="14"/>
      <c r="S421" s="24"/>
      <c r="Y421" s="14"/>
      <c r="Z421" s="24"/>
      <c r="AG421" s="24"/>
      <c r="AM421" s="14"/>
      <c r="AN421" s="24"/>
      <c r="AT421" s="14"/>
      <c r="BB421" s="24"/>
      <c r="BC421" s="50"/>
      <c r="BE421" s="11"/>
      <c r="BF421" s="11"/>
      <c r="BR421" s="24"/>
      <c r="BV421" s="14"/>
      <c r="BW421" s="14"/>
    </row>
    <row r="422" spans="1:75">
      <c r="A422" s="24"/>
      <c r="B422" s="24"/>
      <c r="K422" s="14"/>
      <c r="L422" s="24"/>
      <c r="R422" s="14"/>
      <c r="S422" s="24"/>
      <c r="Y422" s="14"/>
      <c r="Z422" s="24"/>
      <c r="AG422" s="24"/>
      <c r="AM422" s="14"/>
      <c r="AN422" s="24"/>
      <c r="AT422" s="14"/>
      <c r="BB422" s="24"/>
      <c r="BC422" s="22" t="s">
        <v>691</v>
      </c>
      <c r="BD422" s="11"/>
      <c r="BE422" s="11"/>
      <c r="BF422" s="11"/>
      <c r="BR422" s="24"/>
      <c r="BV422" s="14"/>
      <c r="BW422" s="14"/>
    </row>
    <row r="423" spans="1:75">
      <c r="A423" s="24"/>
      <c r="B423" s="24"/>
      <c r="K423" s="14"/>
      <c r="L423" s="24"/>
      <c r="R423" s="14"/>
      <c r="S423" s="24"/>
      <c r="Y423" s="14"/>
      <c r="Z423" s="24"/>
      <c r="AG423" s="24"/>
      <c r="AM423" s="14"/>
      <c r="AN423" s="24"/>
      <c r="AT423" s="14"/>
      <c r="BB423" s="24"/>
      <c r="BC423" s="11"/>
      <c r="BD423" s="8" t="s">
        <v>689</v>
      </c>
      <c r="BE423" s="11"/>
      <c r="BF423" s="11"/>
      <c r="BR423" s="24"/>
      <c r="BV423" s="14"/>
      <c r="BW423" s="14"/>
    </row>
    <row r="424" spans="1:75">
      <c r="A424" s="24"/>
      <c r="B424" s="24"/>
      <c r="K424" s="14"/>
      <c r="L424" s="24"/>
      <c r="R424" s="14"/>
      <c r="S424" s="24"/>
      <c r="Y424" s="14"/>
      <c r="Z424" s="24"/>
      <c r="AG424" s="24"/>
      <c r="AM424" s="14"/>
      <c r="AN424" s="24"/>
      <c r="AT424" s="14"/>
      <c r="BB424" s="24"/>
      <c r="BC424" s="11"/>
      <c r="BD424" s="8" t="s">
        <v>692</v>
      </c>
      <c r="BE424" s="11"/>
      <c r="BF424" s="11"/>
      <c r="BR424" s="24"/>
      <c r="BV424" s="14"/>
      <c r="BW424" s="14"/>
    </row>
    <row r="425" spans="1:75">
      <c r="A425" s="24"/>
      <c r="B425" s="24"/>
      <c r="K425" s="14"/>
      <c r="L425" s="24"/>
      <c r="R425" s="14"/>
      <c r="S425" s="24"/>
      <c r="Y425" s="14"/>
      <c r="Z425" s="24"/>
      <c r="AG425" s="24"/>
      <c r="AM425" s="14"/>
      <c r="AN425" s="24"/>
      <c r="AT425" s="14"/>
      <c r="BB425" s="24"/>
      <c r="BC425" s="50"/>
      <c r="BE425" s="11"/>
      <c r="BF425" s="11"/>
      <c r="BR425" s="24"/>
      <c r="BV425" s="14"/>
      <c r="BW425" s="14"/>
    </row>
    <row r="426" spans="1:75">
      <c r="A426" s="24"/>
      <c r="B426" s="24"/>
      <c r="K426" s="14"/>
      <c r="L426" s="24"/>
      <c r="R426" s="14"/>
      <c r="S426" s="24"/>
      <c r="Y426" s="14"/>
      <c r="Z426" s="24"/>
      <c r="AG426" s="24"/>
      <c r="AM426" s="14"/>
      <c r="AN426" s="24"/>
      <c r="AT426" s="14"/>
      <c r="BB426" s="24"/>
      <c r="BC426" s="50"/>
      <c r="BE426" s="11"/>
      <c r="BF426" s="11"/>
      <c r="BR426" s="24"/>
      <c r="BV426" s="14"/>
      <c r="BW426" s="14"/>
    </row>
    <row r="427" spans="1:75">
      <c r="A427" s="24"/>
      <c r="B427" s="24"/>
      <c r="K427" s="14"/>
      <c r="L427" s="24"/>
      <c r="R427" s="14"/>
      <c r="S427" s="24"/>
      <c r="Y427" s="14"/>
      <c r="Z427" s="24"/>
      <c r="AG427" s="24"/>
      <c r="AM427" s="14"/>
      <c r="AN427" s="24"/>
      <c r="AT427" s="14"/>
      <c r="BB427" s="24"/>
      <c r="BC427" s="50"/>
      <c r="BE427" s="11"/>
      <c r="BF427" s="11"/>
      <c r="BR427" s="24"/>
      <c r="BV427" s="14"/>
      <c r="BW427" s="14"/>
    </row>
    <row r="428" spans="1:75">
      <c r="A428" s="24"/>
      <c r="B428" s="24"/>
      <c r="K428" s="14"/>
      <c r="L428" s="24"/>
      <c r="R428" s="14"/>
      <c r="S428" s="24"/>
      <c r="Y428" s="14"/>
      <c r="Z428" s="24"/>
      <c r="AG428" s="24"/>
      <c r="AM428" s="14"/>
      <c r="AN428" s="24"/>
      <c r="AT428" s="14"/>
      <c r="BB428" s="24"/>
      <c r="BC428" s="22" t="s">
        <v>693</v>
      </c>
      <c r="BE428" s="11"/>
      <c r="BF428" s="11"/>
      <c r="BR428" s="24"/>
      <c r="BV428" s="14"/>
      <c r="BW428" s="14"/>
    </row>
    <row r="429" spans="1:75">
      <c r="A429" s="24"/>
      <c r="B429" s="24"/>
      <c r="K429" s="14"/>
      <c r="L429" s="24"/>
      <c r="R429" s="14"/>
      <c r="S429" s="24"/>
      <c r="Y429" s="14"/>
      <c r="Z429" s="24"/>
      <c r="AG429" s="24"/>
      <c r="AM429" s="14"/>
      <c r="AN429" s="24"/>
      <c r="AT429" s="14"/>
      <c r="BB429" s="24"/>
      <c r="BC429" s="50"/>
      <c r="BD429" s="8" t="s">
        <v>694</v>
      </c>
      <c r="BE429" s="11"/>
      <c r="BF429" s="11"/>
      <c r="BR429" s="24"/>
      <c r="BV429" s="14"/>
      <c r="BW429" s="14"/>
    </row>
    <row r="430" spans="1:75">
      <c r="A430" s="24"/>
      <c r="B430" s="24"/>
      <c r="K430" s="14"/>
      <c r="L430" s="24"/>
      <c r="R430" s="14"/>
      <c r="S430" s="24"/>
      <c r="Y430" s="14"/>
      <c r="Z430" s="24"/>
      <c r="AG430" s="24"/>
      <c r="AM430" s="14"/>
      <c r="AN430" s="24"/>
      <c r="AT430" s="14"/>
      <c r="BB430" s="24"/>
      <c r="BC430" s="50"/>
      <c r="BD430" s="8" t="s">
        <v>695</v>
      </c>
      <c r="BE430" s="11"/>
      <c r="BF430" s="11"/>
      <c r="BR430" s="24"/>
      <c r="BV430" s="14"/>
      <c r="BW430" s="14"/>
    </row>
    <row r="431" spans="1:75">
      <c r="A431" s="24"/>
      <c r="B431" s="24"/>
      <c r="K431" s="14"/>
      <c r="L431" s="24"/>
      <c r="R431" s="14"/>
      <c r="S431" s="24"/>
      <c r="Y431" s="14"/>
      <c r="Z431" s="24"/>
      <c r="AG431" s="24"/>
      <c r="AM431" s="14"/>
      <c r="AN431" s="24"/>
      <c r="AT431" s="14"/>
      <c r="BB431" s="24"/>
      <c r="BC431" s="50"/>
      <c r="BD431" s="86" t="s">
        <v>637</v>
      </c>
      <c r="BE431" s="87"/>
      <c r="BF431" s="87"/>
      <c r="BG431" s="87"/>
      <c r="BH431" s="87"/>
      <c r="BI431" s="87"/>
      <c r="BJ431" s="87"/>
      <c r="BK431" s="87"/>
      <c r="BL431" s="87"/>
      <c r="BM431" s="87"/>
      <c r="BN431" s="88"/>
      <c r="BR431" s="24"/>
      <c r="BV431" s="14"/>
      <c r="BW431" s="14"/>
    </row>
    <row r="432" spans="1:75">
      <c r="A432" s="24"/>
      <c r="B432" s="24"/>
      <c r="K432" s="14"/>
      <c r="L432" s="24"/>
      <c r="R432" s="14"/>
      <c r="S432" s="24"/>
      <c r="Y432" s="14"/>
      <c r="Z432" s="24"/>
      <c r="AG432" s="24"/>
      <c r="AM432" s="14"/>
      <c r="AN432" s="24"/>
      <c r="AT432" s="14"/>
      <c r="BB432" s="24"/>
      <c r="BC432" s="50"/>
      <c r="BD432" s="65" t="s">
        <v>696</v>
      </c>
      <c r="BE432" s="63"/>
      <c r="BF432" s="63"/>
      <c r="BG432" s="63"/>
      <c r="BH432" s="63"/>
      <c r="BI432" s="65" t="s">
        <v>638</v>
      </c>
      <c r="BJ432" s="63"/>
      <c r="BK432" s="63"/>
      <c r="BL432" s="63"/>
      <c r="BM432" s="63"/>
      <c r="BN432" s="64"/>
      <c r="BR432" s="24"/>
      <c r="BV432" s="14"/>
      <c r="BW432" s="14"/>
    </row>
    <row r="433" spans="1:75">
      <c r="A433" s="24"/>
      <c r="B433" s="24"/>
      <c r="K433" s="14"/>
      <c r="L433" s="24"/>
      <c r="R433" s="14"/>
      <c r="S433" s="24"/>
      <c r="Y433" s="14"/>
      <c r="Z433" s="24"/>
      <c r="AG433" s="24"/>
      <c r="AM433" s="14"/>
      <c r="AN433" s="24"/>
      <c r="AT433" s="14"/>
      <c r="BB433" s="24"/>
      <c r="BC433" s="50"/>
      <c r="BD433" s="89" t="s">
        <v>639</v>
      </c>
      <c r="BE433" s="119"/>
      <c r="BF433" s="119"/>
      <c r="BG433" s="90"/>
      <c r="BH433" s="90"/>
      <c r="BI433" s="89" t="s">
        <v>782</v>
      </c>
      <c r="BJ433" s="90"/>
      <c r="BK433" s="90"/>
      <c r="BL433" s="90"/>
      <c r="BM433" s="90"/>
      <c r="BN433" s="91"/>
      <c r="BR433" s="24"/>
      <c r="BV433" s="14"/>
      <c r="BW433" s="14"/>
    </row>
    <row r="434" spans="1:75">
      <c r="A434" s="24"/>
      <c r="B434" s="24"/>
      <c r="K434" s="14"/>
      <c r="L434" s="24"/>
      <c r="R434" s="14"/>
      <c r="S434" s="24"/>
      <c r="Y434" s="14"/>
      <c r="Z434" s="24"/>
      <c r="AG434" s="24"/>
      <c r="AM434" s="14"/>
      <c r="AN434" s="24"/>
      <c r="AT434" s="14"/>
      <c r="BB434" s="24"/>
      <c r="BC434" s="50"/>
      <c r="BD434" s="123" t="s">
        <v>118</v>
      </c>
      <c r="BE434" s="125" t="s">
        <v>736</v>
      </c>
      <c r="BR434" s="24"/>
      <c r="BV434" s="14"/>
      <c r="BW434" s="14"/>
    </row>
    <row r="435" spans="1:75">
      <c r="A435" s="24"/>
      <c r="B435" s="24"/>
      <c r="K435" s="14"/>
      <c r="L435" s="24"/>
      <c r="R435" s="14"/>
      <c r="S435" s="24"/>
      <c r="Y435" s="14"/>
      <c r="Z435" s="24"/>
      <c r="AG435" s="24"/>
      <c r="AM435" s="14"/>
      <c r="AN435" s="24"/>
      <c r="AT435" s="14"/>
      <c r="BB435" s="24"/>
      <c r="BC435" s="50"/>
      <c r="BE435" s="125" t="s">
        <v>737</v>
      </c>
      <c r="BF435" s="11"/>
      <c r="BG435" s="11"/>
      <c r="BR435" s="24"/>
      <c r="BV435" s="14"/>
      <c r="BW435" s="14"/>
    </row>
    <row r="436" spans="1:75">
      <c r="A436" s="24"/>
      <c r="B436" s="24"/>
      <c r="K436" s="14"/>
      <c r="L436" s="24"/>
      <c r="R436" s="14"/>
      <c r="S436" s="24"/>
      <c r="Y436" s="14"/>
      <c r="Z436" s="24"/>
      <c r="AG436" s="24"/>
      <c r="AM436" s="14"/>
      <c r="AN436" s="24"/>
      <c r="AT436" s="14"/>
      <c r="BB436" s="24"/>
      <c r="BC436" s="50"/>
      <c r="BD436" s="123" t="s">
        <v>118</v>
      </c>
      <c r="BE436" s="125" t="s">
        <v>738</v>
      </c>
      <c r="BR436" s="24"/>
      <c r="BV436" s="14"/>
      <c r="BW436" s="14"/>
    </row>
    <row r="437" spans="1:75">
      <c r="A437" s="24"/>
      <c r="B437" s="24"/>
      <c r="K437" s="14"/>
      <c r="L437" s="24"/>
      <c r="R437" s="14"/>
      <c r="S437" s="24"/>
      <c r="Y437" s="14"/>
      <c r="Z437" s="24"/>
      <c r="AG437" s="24"/>
      <c r="AM437" s="14"/>
      <c r="AN437" s="24"/>
      <c r="AT437" s="14"/>
      <c r="BB437" s="24"/>
      <c r="BC437" s="50"/>
      <c r="BE437" s="125" t="s">
        <v>739</v>
      </c>
      <c r="BR437" s="24"/>
      <c r="BV437" s="14"/>
      <c r="BW437" s="14"/>
    </row>
    <row r="438" spans="1:75">
      <c r="A438" s="24"/>
      <c r="B438" s="24"/>
      <c r="K438" s="14"/>
      <c r="L438" s="24"/>
      <c r="R438" s="14"/>
      <c r="S438" s="24"/>
      <c r="Y438" s="14"/>
      <c r="Z438" s="24"/>
      <c r="AG438" s="24"/>
      <c r="AM438" s="14"/>
      <c r="AN438" s="24"/>
      <c r="AT438" s="14"/>
      <c r="BB438" s="24"/>
      <c r="BE438" s="125" t="s">
        <v>740</v>
      </c>
      <c r="BR438" s="24"/>
      <c r="BV438" s="14"/>
      <c r="BW438" s="14"/>
    </row>
    <row r="439" spans="1:75">
      <c r="A439" s="24"/>
      <c r="B439" s="24"/>
      <c r="K439" s="14"/>
      <c r="L439" s="24"/>
      <c r="R439" s="14"/>
      <c r="S439" s="24"/>
      <c r="Y439" s="14"/>
      <c r="Z439" s="24"/>
      <c r="AG439" s="24"/>
      <c r="AM439" s="14"/>
      <c r="AN439" s="24"/>
      <c r="AT439" s="14"/>
      <c r="BB439" s="24"/>
      <c r="BC439" s="11"/>
      <c r="BR439" s="24"/>
      <c r="BV439" s="14"/>
      <c r="BW439" s="14"/>
    </row>
    <row r="440" spans="1:75">
      <c r="A440" s="24"/>
      <c r="B440" s="24"/>
      <c r="K440" s="14"/>
      <c r="L440" s="24"/>
      <c r="R440" s="14"/>
      <c r="S440" s="24"/>
      <c r="Y440" s="14"/>
      <c r="Z440" s="24"/>
      <c r="AG440" s="24"/>
      <c r="AM440" s="14"/>
      <c r="AN440" s="24"/>
      <c r="AT440" s="14"/>
      <c r="BB440" s="24"/>
      <c r="BC440" s="11"/>
      <c r="BR440" s="24"/>
      <c r="BV440" s="14"/>
      <c r="BW440" s="14"/>
    </row>
    <row r="441" spans="1:75">
      <c r="A441" s="24"/>
      <c r="B441" s="24"/>
      <c r="K441" s="14"/>
      <c r="L441" s="24"/>
      <c r="R441" s="14"/>
      <c r="S441" s="24"/>
      <c r="Y441" s="14"/>
      <c r="Z441" s="24"/>
      <c r="AG441" s="24"/>
      <c r="AM441" s="14"/>
      <c r="AN441" s="24"/>
      <c r="AT441" s="14"/>
      <c r="BB441" s="24"/>
      <c r="BC441" s="11"/>
      <c r="BR441" s="24"/>
      <c r="BV441" s="14"/>
      <c r="BW441" s="14"/>
    </row>
    <row r="442" spans="1:75">
      <c r="A442" s="24"/>
      <c r="B442" s="24"/>
      <c r="K442" s="14"/>
      <c r="L442" s="24"/>
      <c r="R442" s="14"/>
      <c r="S442" s="24"/>
      <c r="Y442" s="14"/>
      <c r="Z442" s="24"/>
      <c r="AG442" s="24"/>
      <c r="AM442" s="14"/>
      <c r="AN442" s="24"/>
      <c r="AT442" s="14"/>
      <c r="BB442" s="24"/>
      <c r="BC442" s="11"/>
      <c r="BR442" s="24"/>
      <c r="BV442" s="14"/>
      <c r="BW442" s="14"/>
    </row>
    <row r="443" spans="1:75">
      <c r="A443" s="24"/>
      <c r="B443" s="24"/>
      <c r="K443" s="14"/>
      <c r="L443" s="24"/>
      <c r="R443" s="14"/>
      <c r="S443" s="24"/>
      <c r="Y443" s="14"/>
      <c r="Z443" s="24"/>
      <c r="AG443" s="24"/>
      <c r="AM443" s="14"/>
      <c r="AN443" s="24"/>
      <c r="AT443" s="14"/>
      <c r="BB443" s="24"/>
      <c r="BC443" s="11"/>
      <c r="BR443" s="24"/>
      <c r="BV443" s="14"/>
      <c r="BW443" s="14"/>
    </row>
    <row r="444" spans="1:75">
      <c r="A444" s="24"/>
      <c r="B444" s="24"/>
      <c r="K444" s="14"/>
      <c r="L444" s="24"/>
      <c r="R444" s="14"/>
      <c r="S444" s="24"/>
      <c r="Y444" s="14"/>
      <c r="Z444" s="24"/>
      <c r="AG444" s="24"/>
      <c r="AM444" s="14"/>
      <c r="AN444" s="24"/>
      <c r="AT444" s="14"/>
      <c r="BB444" s="24"/>
      <c r="BC444" s="11"/>
      <c r="BR444" s="24"/>
      <c r="BV444" s="14"/>
      <c r="BW444" s="14"/>
    </row>
    <row r="445" spans="1:75">
      <c r="A445" s="24"/>
      <c r="B445" s="24"/>
      <c r="K445" s="14"/>
      <c r="L445" s="24"/>
      <c r="R445" s="14"/>
      <c r="S445" s="24"/>
      <c r="Y445" s="14"/>
      <c r="Z445" s="24"/>
      <c r="AG445" s="24"/>
      <c r="AM445" s="14"/>
      <c r="AN445" s="24"/>
      <c r="AT445" s="14"/>
      <c r="BB445" s="24"/>
      <c r="BC445" s="11"/>
      <c r="BR445" s="24"/>
      <c r="BV445" s="14"/>
      <c r="BW445" s="14"/>
    </row>
    <row r="446" spans="1:75">
      <c r="A446" s="24"/>
      <c r="B446" s="24"/>
      <c r="K446" s="14"/>
      <c r="L446" s="24"/>
      <c r="R446" s="14"/>
      <c r="S446" s="24"/>
      <c r="Y446" s="14"/>
      <c r="Z446" s="24"/>
      <c r="AG446" s="24"/>
      <c r="AM446" s="14"/>
      <c r="AN446" s="24"/>
      <c r="AT446" s="14"/>
      <c r="BB446" s="24"/>
      <c r="BC446" s="11"/>
      <c r="BD446" s="123"/>
      <c r="BE446" s="125"/>
      <c r="BF446" s="11"/>
      <c r="BR446" s="24"/>
      <c r="BV446" s="14"/>
      <c r="BW446" s="14"/>
    </row>
    <row r="447" spans="1:75">
      <c r="A447" s="24"/>
      <c r="B447" s="24"/>
      <c r="K447" s="14"/>
      <c r="L447" s="24"/>
      <c r="R447" s="14"/>
      <c r="S447" s="24"/>
      <c r="Y447" s="14"/>
      <c r="Z447" s="24"/>
      <c r="AG447" s="24"/>
      <c r="AM447" s="14"/>
      <c r="AN447" s="24"/>
      <c r="AT447" s="14"/>
      <c r="BB447" s="24"/>
      <c r="BC447" s="11"/>
      <c r="BE447" s="125"/>
      <c r="BF447" s="11"/>
      <c r="BR447" s="24"/>
      <c r="BV447" s="14"/>
      <c r="BW447" s="14"/>
    </row>
    <row r="448" spans="1:75">
      <c r="A448" s="24"/>
      <c r="B448" s="24"/>
      <c r="K448" s="14"/>
      <c r="L448" s="24"/>
      <c r="R448" s="14"/>
      <c r="S448" s="24"/>
      <c r="Y448" s="14"/>
      <c r="Z448" s="24"/>
      <c r="AG448" s="24"/>
      <c r="AM448" s="14"/>
      <c r="AN448" s="24"/>
      <c r="AT448" s="14"/>
      <c r="BB448" s="24"/>
      <c r="BC448" s="11"/>
      <c r="BD448" s="123"/>
      <c r="BE448" s="125"/>
      <c r="BF448" s="11"/>
      <c r="BR448" s="24"/>
      <c r="BV448" s="14"/>
      <c r="BW448" s="14"/>
    </row>
    <row r="449" spans="1:75">
      <c r="A449" s="24"/>
      <c r="B449" s="24"/>
      <c r="K449" s="14"/>
      <c r="L449" s="24"/>
      <c r="R449" s="14"/>
      <c r="S449" s="24"/>
      <c r="Y449" s="14"/>
      <c r="Z449" s="24"/>
      <c r="AG449" s="24"/>
      <c r="AM449" s="14"/>
      <c r="AN449" s="24"/>
      <c r="AT449" s="14"/>
      <c r="BB449" s="24"/>
      <c r="BC449" s="11"/>
      <c r="BE449" s="125"/>
      <c r="BF449" s="11"/>
      <c r="BR449" s="24"/>
      <c r="BV449" s="14"/>
      <c r="BW449" s="14"/>
    </row>
    <row r="450" spans="1:75">
      <c r="A450" s="24"/>
      <c r="B450" s="24"/>
      <c r="K450" s="14"/>
      <c r="L450" s="24"/>
      <c r="R450" s="14"/>
      <c r="S450" s="24"/>
      <c r="Y450" s="14"/>
      <c r="Z450" s="24"/>
      <c r="AG450" s="24"/>
      <c r="AM450" s="14"/>
      <c r="AN450" s="24"/>
      <c r="AT450" s="14"/>
      <c r="BB450" s="24"/>
      <c r="BC450" s="11"/>
      <c r="BE450" s="125"/>
      <c r="BF450" s="11"/>
      <c r="BR450" s="24"/>
      <c r="BV450" s="14"/>
      <c r="BW450" s="14"/>
    </row>
    <row r="451" spans="1:75">
      <c r="A451" s="24"/>
      <c r="B451" s="24"/>
      <c r="K451" s="14"/>
      <c r="L451" s="24"/>
      <c r="R451" s="14"/>
      <c r="S451" s="24"/>
      <c r="Y451" s="14"/>
      <c r="Z451" s="24"/>
      <c r="AG451" s="24"/>
      <c r="AM451" s="14"/>
      <c r="AN451" s="24"/>
      <c r="AT451" s="14"/>
      <c r="BB451" s="24"/>
      <c r="BC451" s="11"/>
      <c r="BD451" s="123"/>
      <c r="BE451" s="11"/>
      <c r="BF451" s="11"/>
      <c r="BR451" s="24"/>
      <c r="BV451" s="14"/>
      <c r="BW451" s="14"/>
    </row>
    <row r="452" spans="1:75">
      <c r="A452" s="24"/>
      <c r="B452" s="24"/>
      <c r="K452" s="14"/>
      <c r="L452" s="24"/>
      <c r="R452" s="14"/>
      <c r="S452" s="24"/>
      <c r="Y452" s="14"/>
      <c r="Z452" s="24"/>
      <c r="AG452" s="24"/>
      <c r="AM452" s="14"/>
      <c r="AN452" s="24"/>
      <c r="AT452" s="14"/>
      <c r="BB452" s="24"/>
      <c r="BC452" s="11"/>
      <c r="BD452" s="123"/>
      <c r="BE452" s="11"/>
      <c r="BF452" s="11"/>
      <c r="BR452" s="24"/>
      <c r="BV452" s="14"/>
      <c r="BW452" s="14"/>
    </row>
    <row r="453" spans="1:75">
      <c r="A453" s="24"/>
      <c r="B453" s="24"/>
      <c r="K453" s="14"/>
      <c r="L453" s="24"/>
      <c r="R453" s="14"/>
      <c r="S453" s="24"/>
      <c r="Y453" s="14"/>
      <c r="Z453" s="24"/>
      <c r="AG453" s="24"/>
      <c r="AM453" s="14"/>
      <c r="AN453" s="24"/>
      <c r="AT453" s="14"/>
      <c r="BB453" s="24"/>
      <c r="BC453" s="11"/>
      <c r="BD453" s="123"/>
      <c r="BE453" s="11"/>
      <c r="BF453" s="11"/>
      <c r="BR453" s="24"/>
      <c r="BV453" s="14"/>
      <c r="BW453" s="14"/>
    </row>
    <row r="454" spans="1:75">
      <c r="A454" s="24"/>
      <c r="B454" s="24"/>
      <c r="K454" s="14"/>
      <c r="L454" s="24"/>
      <c r="R454" s="14"/>
      <c r="S454" s="24"/>
      <c r="Y454" s="14"/>
      <c r="Z454" s="24"/>
      <c r="AG454" s="24"/>
      <c r="AM454" s="14"/>
      <c r="AN454" s="24"/>
      <c r="AT454" s="14"/>
      <c r="BB454" s="24"/>
      <c r="BC454" s="11"/>
      <c r="BD454" s="123"/>
      <c r="BE454" s="11"/>
      <c r="BF454" s="11"/>
      <c r="BR454" s="24"/>
      <c r="BV454" s="14"/>
      <c r="BW454" s="14"/>
    </row>
    <row r="455" spans="1:75">
      <c r="A455" s="24"/>
      <c r="B455" s="24"/>
      <c r="K455" s="14"/>
      <c r="L455" s="24"/>
      <c r="R455" s="14"/>
      <c r="S455" s="24"/>
      <c r="Y455" s="14"/>
      <c r="Z455" s="24"/>
      <c r="AG455" s="24"/>
      <c r="AM455" s="14"/>
      <c r="AN455" s="24"/>
      <c r="AT455" s="14"/>
      <c r="BB455" s="24"/>
      <c r="BC455" s="11"/>
      <c r="BR455" s="24"/>
      <c r="BV455" s="14"/>
      <c r="BW455" s="14"/>
    </row>
    <row r="456" spans="1:75">
      <c r="A456" s="24"/>
      <c r="B456" s="24"/>
      <c r="K456" s="14"/>
      <c r="L456" s="24"/>
      <c r="R456" s="14"/>
      <c r="S456" s="24"/>
      <c r="Y456" s="14"/>
      <c r="Z456" s="24"/>
      <c r="AG456" s="24"/>
      <c r="AM456" s="14"/>
      <c r="AN456" s="24"/>
      <c r="AT456" s="14"/>
      <c r="BB456" s="24"/>
      <c r="BC456" s="11"/>
      <c r="BD456" s="11"/>
      <c r="BE456" s="11"/>
      <c r="BF456" s="11"/>
      <c r="BR456" s="24"/>
      <c r="BV456" s="14"/>
      <c r="BW456" s="14"/>
    </row>
    <row r="457" spans="1:75">
      <c r="A457" s="24"/>
      <c r="B457" s="24"/>
      <c r="K457" s="14"/>
      <c r="L457" s="24"/>
      <c r="R457" s="14"/>
      <c r="S457" s="24"/>
      <c r="Y457" s="14"/>
      <c r="Z457" s="24"/>
      <c r="AG457" s="24"/>
      <c r="AM457" s="14"/>
      <c r="AN457" s="24"/>
      <c r="AT457" s="14"/>
      <c r="BB457" s="24"/>
      <c r="BC457" s="11"/>
      <c r="BD457" s="11"/>
      <c r="BE457" s="11"/>
      <c r="BF457" s="11"/>
      <c r="BR457" s="24"/>
      <c r="BV457" s="14"/>
      <c r="BW457" s="14"/>
    </row>
    <row r="458" spans="1:75">
      <c r="A458" s="24"/>
      <c r="B458" s="24"/>
      <c r="K458" s="14"/>
      <c r="L458" s="24"/>
      <c r="R458" s="14"/>
      <c r="S458" s="24"/>
      <c r="Y458" s="14"/>
      <c r="Z458" s="24"/>
      <c r="AG458" s="24"/>
      <c r="AM458" s="14"/>
      <c r="AN458" s="24"/>
      <c r="AT458" s="14"/>
      <c r="BB458" s="24"/>
      <c r="BC458" s="16" t="s">
        <v>783</v>
      </c>
      <c r="BR458" s="24"/>
      <c r="BV458" s="14"/>
      <c r="BW458" s="14"/>
    </row>
    <row r="459" spans="1:75">
      <c r="A459" s="24"/>
      <c r="B459" s="24"/>
      <c r="K459" s="14"/>
      <c r="L459" s="24"/>
      <c r="R459" s="14"/>
      <c r="S459" s="24"/>
      <c r="Y459" s="14"/>
      <c r="Z459" s="24"/>
      <c r="AG459" s="24"/>
      <c r="AM459" s="14"/>
      <c r="AN459" s="24"/>
      <c r="AT459" s="14"/>
      <c r="BB459" s="24"/>
      <c r="BD459" s="8" t="s">
        <v>784</v>
      </c>
      <c r="BR459" s="24"/>
      <c r="BV459" s="14"/>
      <c r="BW459" s="14"/>
    </row>
    <row r="460" spans="1:75">
      <c r="A460" s="24"/>
      <c r="B460" s="24"/>
      <c r="K460" s="14"/>
      <c r="L460" s="24"/>
      <c r="R460" s="14"/>
      <c r="S460" s="24"/>
      <c r="Y460" s="14"/>
      <c r="Z460" s="24"/>
      <c r="AG460" s="24"/>
      <c r="AM460" s="14"/>
      <c r="AN460" s="24"/>
      <c r="AT460" s="14"/>
      <c r="BB460" s="24"/>
      <c r="BR460" s="24"/>
      <c r="BV460" s="14"/>
      <c r="BW460" s="14"/>
    </row>
    <row r="461" spans="1:75">
      <c r="A461" s="24"/>
      <c r="B461" s="24"/>
      <c r="K461" s="14"/>
      <c r="L461" s="24"/>
      <c r="R461" s="14"/>
      <c r="S461" s="24"/>
      <c r="Y461" s="14"/>
      <c r="Z461" s="24"/>
      <c r="AG461" s="24"/>
      <c r="AM461" s="14"/>
      <c r="AN461" s="24"/>
      <c r="AT461" s="14"/>
      <c r="BB461" s="24"/>
      <c r="BR461" s="24"/>
      <c r="BV461" s="14"/>
      <c r="BW461" s="14"/>
    </row>
    <row r="462" spans="1:75">
      <c r="A462" s="24"/>
      <c r="B462" s="24"/>
      <c r="K462" s="14"/>
      <c r="L462" s="24"/>
      <c r="R462" s="14"/>
      <c r="S462" s="24"/>
      <c r="Y462" s="14"/>
      <c r="Z462" s="24"/>
      <c r="AG462" s="24"/>
      <c r="AM462" s="14"/>
      <c r="AN462" s="24"/>
      <c r="AT462" s="14"/>
      <c r="BB462" s="24"/>
      <c r="BR462" s="24"/>
      <c r="BV462" s="14"/>
      <c r="BW462" s="14"/>
    </row>
    <row r="463" spans="1:75">
      <c r="A463" s="24"/>
      <c r="B463" s="24"/>
      <c r="K463" s="14"/>
      <c r="L463" s="24"/>
      <c r="R463" s="14"/>
      <c r="S463" s="24"/>
      <c r="Y463" s="14"/>
      <c r="Z463" s="24"/>
      <c r="AG463" s="24"/>
      <c r="AM463" s="14"/>
      <c r="AN463" s="24"/>
      <c r="AT463" s="14"/>
      <c r="BB463" s="24"/>
      <c r="BR463" s="24"/>
      <c r="BV463" s="14"/>
      <c r="BW463" s="14"/>
    </row>
    <row r="464" spans="1:75">
      <c r="A464" s="24"/>
      <c r="B464" s="24"/>
      <c r="K464" s="14"/>
      <c r="L464" s="24"/>
      <c r="R464" s="14"/>
      <c r="S464" s="24"/>
      <c r="Y464" s="14"/>
      <c r="Z464" s="24"/>
      <c r="AG464" s="24"/>
      <c r="AM464" s="14"/>
      <c r="AN464" s="24"/>
      <c r="AT464" s="14"/>
      <c r="BB464" s="24"/>
      <c r="BC464" s="16" t="s">
        <v>785</v>
      </c>
      <c r="BR464" s="24"/>
      <c r="BV464" s="14"/>
      <c r="BW464" s="14"/>
    </row>
    <row r="465" spans="1:75">
      <c r="A465" s="24"/>
      <c r="B465" s="24"/>
      <c r="K465" s="14"/>
      <c r="L465" s="24"/>
      <c r="R465" s="14"/>
      <c r="S465" s="24"/>
      <c r="Y465" s="14"/>
      <c r="Z465" s="24"/>
      <c r="AG465" s="24"/>
      <c r="AM465" s="14"/>
      <c r="AN465" s="24"/>
      <c r="AT465" s="14"/>
      <c r="BB465" s="24"/>
      <c r="BD465" s="8" t="s">
        <v>682</v>
      </c>
      <c r="BR465" s="24"/>
      <c r="BV465" s="14"/>
      <c r="BW465" s="14"/>
    </row>
    <row r="466" spans="1:75">
      <c r="A466" s="24"/>
      <c r="B466" s="24"/>
      <c r="K466" s="14"/>
      <c r="L466" s="24"/>
      <c r="R466" s="14"/>
      <c r="S466" s="24"/>
      <c r="Y466" s="14"/>
      <c r="Z466" s="24"/>
      <c r="AG466" s="24"/>
      <c r="AM466" s="14"/>
      <c r="AN466" s="24"/>
      <c r="AT466" s="14"/>
      <c r="BB466" s="24"/>
      <c r="BR466" s="24"/>
      <c r="BV466" s="14"/>
      <c r="BW466" s="14"/>
    </row>
    <row r="467" spans="1:75">
      <c r="A467" s="24"/>
      <c r="B467" s="24"/>
      <c r="K467" s="14"/>
      <c r="L467" s="24"/>
      <c r="R467" s="14"/>
      <c r="S467" s="24"/>
      <c r="Y467" s="14"/>
      <c r="Z467" s="24"/>
      <c r="AG467" s="24"/>
      <c r="AM467" s="14"/>
      <c r="AN467" s="24"/>
      <c r="AT467" s="14"/>
      <c r="BB467" s="24"/>
      <c r="BR467" s="24"/>
      <c r="BV467" s="14"/>
      <c r="BW467" s="14"/>
    </row>
    <row r="468" spans="1:75">
      <c r="A468" s="24"/>
      <c r="B468" s="24"/>
      <c r="K468" s="14"/>
      <c r="L468" s="24"/>
      <c r="R468" s="14"/>
      <c r="S468" s="24"/>
      <c r="Y468" s="14"/>
      <c r="Z468" s="24"/>
      <c r="AG468" s="24"/>
      <c r="AM468" s="14"/>
      <c r="AN468" s="24"/>
      <c r="AT468" s="14"/>
      <c r="BB468" s="24"/>
      <c r="BC468" s="11"/>
      <c r="BD468" s="11"/>
      <c r="BE468" s="11"/>
      <c r="BF468" s="11"/>
      <c r="BR468" s="24"/>
      <c r="BV468" s="14"/>
      <c r="BW468" s="14"/>
    </row>
    <row r="469" spans="1:75">
      <c r="A469" s="24"/>
      <c r="B469" s="24"/>
      <c r="K469" s="14"/>
      <c r="L469" s="24"/>
      <c r="R469" s="14"/>
      <c r="S469" s="24"/>
      <c r="Y469" s="14"/>
      <c r="Z469" s="24"/>
      <c r="AG469" s="24"/>
      <c r="AM469" s="14"/>
      <c r="AN469" s="24"/>
      <c r="AT469" s="14"/>
      <c r="BB469" s="24"/>
      <c r="BC469" s="11"/>
      <c r="BD469" s="11"/>
      <c r="BE469" s="11"/>
      <c r="BF469" s="11"/>
      <c r="BR469" s="24"/>
      <c r="BV469" s="14"/>
      <c r="BW469" s="14"/>
    </row>
    <row r="470" spans="1:75">
      <c r="A470" s="24"/>
      <c r="B470" s="24"/>
      <c r="K470" s="14"/>
      <c r="L470" s="24"/>
      <c r="R470" s="14"/>
      <c r="S470" s="24"/>
      <c r="Y470" s="14"/>
      <c r="Z470" s="24"/>
      <c r="AG470" s="24"/>
      <c r="AM470" s="14"/>
      <c r="AN470" s="24"/>
      <c r="AT470" s="14"/>
      <c r="BB470" s="24"/>
      <c r="BC470" s="11"/>
      <c r="BD470" s="11"/>
      <c r="BE470" s="11"/>
      <c r="BF470" s="11"/>
      <c r="BR470" s="24"/>
      <c r="BV470" s="14"/>
      <c r="BW470" s="14"/>
    </row>
    <row r="471" spans="1:75">
      <c r="A471" s="24"/>
      <c r="B471" s="24"/>
      <c r="K471" s="14"/>
      <c r="L471" s="24"/>
      <c r="R471" s="14"/>
      <c r="S471" s="24"/>
      <c r="Y471" s="14"/>
      <c r="Z471" s="24"/>
      <c r="AG471" s="24"/>
      <c r="AM471" s="14"/>
      <c r="AN471" s="24"/>
      <c r="AT471" s="14"/>
      <c r="BB471" s="24"/>
      <c r="BC471" s="11"/>
      <c r="BD471" s="11"/>
      <c r="BE471" s="11"/>
      <c r="BF471" s="11"/>
      <c r="BR471" s="24"/>
      <c r="BV471" s="14"/>
      <c r="BW471" s="14"/>
    </row>
    <row r="472" spans="1:75">
      <c r="A472" s="24"/>
      <c r="B472" s="24"/>
      <c r="K472" s="14"/>
      <c r="L472" s="24"/>
      <c r="R472" s="14"/>
      <c r="S472" s="24"/>
      <c r="Y472" s="14"/>
      <c r="Z472" s="24"/>
      <c r="AG472" s="24"/>
      <c r="AM472" s="14"/>
      <c r="AN472" s="24"/>
      <c r="AT472" s="14"/>
      <c r="BB472" s="24"/>
      <c r="BC472" s="16" t="s">
        <v>786</v>
      </c>
      <c r="BR472" s="24"/>
      <c r="BV472" s="14"/>
      <c r="BW472" s="14"/>
    </row>
    <row r="473" spans="1:75">
      <c r="A473" s="24"/>
      <c r="B473" s="24"/>
      <c r="K473" s="14"/>
      <c r="L473" s="24"/>
      <c r="R473" s="14"/>
      <c r="S473" s="24"/>
      <c r="Y473" s="14"/>
      <c r="Z473" s="24"/>
      <c r="AG473" s="24"/>
      <c r="AM473" s="14"/>
      <c r="AN473" s="24"/>
      <c r="AT473" s="14"/>
      <c r="BB473" s="24"/>
      <c r="BD473" s="8" t="s">
        <v>787</v>
      </c>
      <c r="BR473" s="24"/>
      <c r="BV473" s="14"/>
      <c r="BW473" s="14"/>
    </row>
    <row r="474" spans="1:75">
      <c r="A474" s="24"/>
      <c r="B474" s="24"/>
      <c r="K474" s="14"/>
      <c r="L474" s="24"/>
      <c r="R474" s="14"/>
      <c r="S474" s="24"/>
      <c r="Y474" s="14"/>
      <c r="Z474" s="24"/>
      <c r="AG474" s="24"/>
      <c r="AM474" s="14"/>
      <c r="AN474" s="24"/>
      <c r="AT474" s="14"/>
      <c r="BB474" s="24"/>
      <c r="BF474" s="11"/>
      <c r="BR474" s="24"/>
      <c r="BV474" s="14"/>
      <c r="BW474" s="14"/>
    </row>
    <row r="475" spans="1:75">
      <c r="A475" s="24"/>
      <c r="B475" s="24"/>
      <c r="K475" s="14"/>
      <c r="L475" s="24"/>
      <c r="R475" s="14"/>
      <c r="S475" s="24"/>
      <c r="Y475" s="14"/>
      <c r="Z475" s="24"/>
      <c r="AG475" s="24"/>
      <c r="AM475" s="14"/>
      <c r="AN475" s="24"/>
      <c r="AT475" s="14"/>
      <c r="BB475" s="24"/>
      <c r="BR475" s="24"/>
      <c r="BV475" s="14"/>
      <c r="BW475" s="14"/>
    </row>
    <row r="476" spans="1:75">
      <c r="A476" s="24"/>
      <c r="B476" s="24"/>
      <c r="K476" s="14"/>
      <c r="L476" s="24"/>
      <c r="R476" s="14"/>
      <c r="S476" s="24"/>
      <c r="Y476" s="14"/>
      <c r="Z476" s="24"/>
      <c r="AG476" s="24"/>
      <c r="AM476" s="14"/>
      <c r="AN476" s="24"/>
      <c r="AT476" s="14"/>
      <c r="BB476" s="24"/>
      <c r="BR476" s="24"/>
      <c r="BV476" s="14"/>
      <c r="BW476" s="14"/>
    </row>
    <row r="477" spans="1:75">
      <c r="A477" s="24"/>
      <c r="B477" s="24"/>
      <c r="K477" s="14"/>
      <c r="L477" s="24"/>
      <c r="R477" s="14"/>
      <c r="S477" s="24"/>
      <c r="Y477" s="14"/>
      <c r="Z477" s="24"/>
      <c r="AG477" s="24"/>
      <c r="AM477" s="14"/>
      <c r="AN477" s="24"/>
      <c r="AT477" s="14"/>
      <c r="BB477" s="24"/>
      <c r="BD477" s="45"/>
      <c r="BE477" s="45"/>
      <c r="BR477" s="24"/>
      <c r="BV477" s="14"/>
      <c r="BW477" s="14"/>
    </row>
    <row r="478" spans="1:75">
      <c r="A478" s="24"/>
      <c r="B478" s="24"/>
      <c r="K478" s="14"/>
      <c r="L478" s="24"/>
      <c r="R478" s="14"/>
      <c r="S478" s="24"/>
      <c r="Y478" s="14"/>
      <c r="Z478" s="24"/>
      <c r="AG478" s="24"/>
      <c r="AM478" s="14"/>
      <c r="AN478" s="24"/>
      <c r="AT478" s="14"/>
      <c r="BB478" s="24"/>
      <c r="BC478" s="16" t="s">
        <v>407</v>
      </c>
      <c r="BR478" s="24"/>
      <c r="BV478" s="14"/>
      <c r="BW478" s="14"/>
    </row>
    <row r="479" spans="1:75">
      <c r="A479" s="24"/>
      <c r="B479" s="24"/>
      <c r="K479" s="14"/>
      <c r="L479" s="24"/>
      <c r="R479" s="14"/>
      <c r="S479" s="24"/>
      <c r="Y479" s="14"/>
      <c r="Z479" s="24"/>
      <c r="AG479" s="24"/>
      <c r="AM479" s="14"/>
      <c r="AN479" s="24"/>
      <c r="AT479" s="14"/>
      <c r="BB479" s="24"/>
      <c r="BD479" s="8" t="s">
        <v>734</v>
      </c>
      <c r="BR479" s="24"/>
      <c r="BV479" s="14"/>
      <c r="BW479" s="14"/>
    </row>
    <row r="480" spans="1:75">
      <c r="A480" s="24"/>
      <c r="B480" s="24"/>
      <c r="K480" s="14"/>
      <c r="L480" s="24"/>
      <c r="R480" s="14"/>
      <c r="S480" s="24"/>
      <c r="Y480" s="14"/>
      <c r="Z480" s="24"/>
      <c r="AG480" s="24"/>
      <c r="AM480" s="14"/>
      <c r="AN480" s="24"/>
      <c r="AT480" s="14"/>
      <c r="BB480" s="24"/>
      <c r="BD480" s="8" t="s">
        <v>751</v>
      </c>
      <c r="BR480" s="24"/>
      <c r="BV480" s="14"/>
      <c r="BW480" s="14"/>
    </row>
    <row r="481" spans="1:75">
      <c r="A481" s="24"/>
      <c r="B481" s="24"/>
      <c r="K481" s="14"/>
      <c r="L481" s="24"/>
      <c r="R481" s="14"/>
      <c r="S481" s="24"/>
      <c r="Y481" s="14"/>
      <c r="Z481" s="24"/>
      <c r="AG481" s="24"/>
      <c r="AM481" s="14"/>
      <c r="AN481" s="24"/>
      <c r="AT481" s="14"/>
      <c r="BB481" s="24"/>
      <c r="BD481" s="86" t="s">
        <v>637</v>
      </c>
      <c r="BE481" s="87"/>
      <c r="BF481" s="87"/>
      <c r="BG481" s="87"/>
      <c r="BH481" s="87"/>
      <c r="BI481" s="87"/>
      <c r="BJ481" s="87"/>
      <c r="BK481" s="87"/>
      <c r="BL481" s="87"/>
      <c r="BM481" s="87"/>
      <c r="BN481" s="88"/>
      <c r="BR481" s="24"/>
      <c r="BV481" s="14"/>
      <c r="BW481" s="14"/>
    </row>
    <row r="482" spans="1:75">
      <c r="A482" s="24"/>
      <c r="B482" s="24"/>
      <c r="K482" s="14"/>
      <c r="L482" s="24"/>
      <c r="R482" s="14"/>
      <c r="S482" s="24"/>
      <c r="Y482" s="14"/>
      <c r="Z482" s="24"/>
      <c r="AG482" s="24"/>
      <c r="AM482" s="14"/>
      <c r="AN482" s="24"/>
      <c r="AT482" s="14"/>
      <c r="BB482" s="24"/>
      <c r="BD482" s="118" t="s">
        <v>788</v>
      </c>
      <c r="BE482" s="90"/>
      <c r="BF482" s="90"/>
      <c r="BG482" s="90"/>
      <c r="BH482" s="90"/>
      <c r="BI482" s="126" t="s">
        <v>638</v>
      </c>
      <c r="BJ482" s="90"/>
      <c r="BK482" s="90"/>
      <c r="BL482" s="90"/>
      <c r="BM482" s="90"/>
      <c r="BN482" s="91"/>
      <c r="BR482" s="24"/>
      <c r="BV482" s="14"/>
      <c r="BW482" s="14"/>
    </row>
    <row r="483" spans="1:75">
      <c r="A483" s="24"/>
      <c r="B483" s="24"/>
      <c r="K483" s="14"/>
      <c r="L483" s="24"/>
      <c r="R483" s="14"/>
      <c r="S483" s="24"/>
      <c r="Y483" s="14"/>
      <c r="Z483" s="24"/>
      <c r="AG483" s="24"/>
      <c r="AM483" s="14"/>
      <c r="AN483" s="24"/>
      <c r="AT483" s="14"/>
      <c r="BB483" s="24"/>
      <c r="BD483" s="123" t="s">
        <v>118</v>
      </c>
      <c r="BE483" s="125" t="s">
        <v>736</v>
      </c>
      <c r="BF483" s="11"/>
      <c r="BR483" s="24"/>
      <c r="BV483" s="14"/>
      <c r="BW483" s="14"/>
    </row>
    <row r="484" spans="1:75">
      <c r="A484" s="24"/>
      <c r="B484" s="24"/>
      <c r="K484" s="14"/>
      <c r="L484" s="24"/>
      <c r="R484" s="14"/>
      <c r="S484" s="24"/>
      <c r="Y484" s="14"/>
      <c r="Z484" s="24"/>
      <c r="AG484" s="24"/>
      <c r="AM484" s="14"/>
      <c r="AN484" s="24"/>
      <c r="AT484" s="14"/>
      <c r="BB484" s="24"/>
      <c r="BC484" s="11"/>
      <c r="BE484" s="125" t="s">
        <v>779</v>
      </c>
      <c r="BF484" s="11"/>
      <c r="BR484" s="24"/>
      <c r="BV484" s="14"/>
      <c r="BW484" s="14"/>
    </row>
    <row r="485" spans="1:75">
      <c r="A485" s="24"/>
      <c r="B485" s="24"/>
      <c r="K485" s="14"/>
      <c r="L485" s="24"/>
      <c r="R485" s="14"/>
      <c r="S485" s="24"/>
      <c r="Y485" s="14"/>
      <c r="Z485" s="24"/>
      <c r="AG485" s="24"/>
      <c r="AM485" s="14"/>
      <c r="AN485" s="24"/>
      <c r="AT485" s="14"/>
      <c r="BB485" s="24"/>
      <c r="BC485" s="11"/>
      <c r="BD485" s="123" t="s">
        <v>118</v>
      </c>
      <c r="BE485" s="125" t="s">
        <v>738</v>
      </c>
      <c r="BF485" s="11"/>
      <c r="BR485" s="24"/>
      <c r="BV485" s="14"/>
      <c r="BW485" s="14"/>
    </row>
    <row r="486" spans="1:75">
      <c r="A486" s="24"/>
      <c r="B486" s="24"/>
      <c r="K486" s="14"/>
      <c r="L486" s="24"/>
      <c r="R486" s="14"/>
      <c r="S486" s="24"/>
      <c r="Y486" s="14"/>
      <c r="Z486" s="24"/>
      <c r="AG486" s="24"/>
      <c r="AM486" s="14"/>
      <c r="AN486" s="24"/>
      <c r="AT486" s="14"/>
      <c r="BB486" s="24"/>
      <c r="BC486" s="11"/>
      <c r="BE486" s="125" t="s">
        <v>739</v>
      </c>
      <c r="BF486" s="11"/>
      <c r="BR486" s="24"/>
      <c r="BV486" s="14"/>
      <c r="BW486" s="14"/>
    </row>
    <row r="487" spans="1:75">
      <c r="A487" s="24"/>
      <c r="B487" s="24"/>
      <c r="K487" s="14"/>
      <c r="L487" s="24"/>
      <c r="R487" s="14"/>
      <c r="S487" s="24"/>
      <c r="Y487" s="14"/>
      <c r="Z487" s="24"/>
      <c r="AG487" s="24"/>
      <c r="AM487" s="14"/>
      <c r="AN487" s="24"/>
      <c r="AT487" s="14"/>
      <c r="BB487" s="24"/>
      <c r="BC487" s="11"/>
      <c r="BE487" s="125" t="s">
        <v>740</v>
      </c>
      <c r="BF487" s="11"/>
      <c r="BR487" s="24"/>
      <c r="BV487" s="14"/>
      <c r="BW487" s="14"/>
    </row>
    <row r="488" spans="1:75">
      <c r="A488" s="24"/>
      <c r="B488" s="24"/>
      <c r="K488" s="14"/>
      <c r="L488" s="24"/>
      <c r="R488" s="14"/>
      <c r="S488" s="24"/>
      <c r="Y488" s="14"/>
      <c r="Z488" s="24"/>
      <c r="AG488" s="24"/>
      <c r="AM488" s="14"/>
      <c r="AN488" s="24"/>
      <c r="AT488" s="14"/>
      <c r="BB488" s="24"/>
      <c r="BC488" s="11"/>
      <c r="BD488" s="11"/>
      <c r="BE488" s="11"/>
      <c r="BF488" s="11"/>
      <c r="BR488" s="24"/>
      <c r="BV488" s="14"/>
      <c r="BW488" s="14"/>
    </row>
    <row r="489" spans="1:75">
      <c r="A489" s="42"/>
      <c r="B489" s="41"/>
      <c r="C489" s="10"/>
      <c r="D489" s="10"/>
      <c r="E489" s="10"/>
      <c r="F489" s="10"/>
      <c r="G489" s="10"/>
      <c r="H489" s="10"/>
      <c r="I489" s="10"/>
      <c r="J489" s="10"/>
      <c r="K489" s="15"/>
      <c r="L489" s="41"/>
      <c r="M489" s="10"/>
      <c r="N489" s="10"/>
      <c r="O489" s="10"/>
      <c r="P489" s="10"/>
      <c r="Q489" s="10"/>
      <c r="R489" s="15"/>
      <c r="S489" s="41"/>
      <c r="T489" s="10"/>
      <c r="U489" s="10"/>
      <c r="V489" s="10"/>
      <c r="W489" s="10"/>
      <c r="X489" s="10"/>
      <c r="Y489" s="15"/>
      <c r="Z489" s="41"/>
      <c r="AA489" s="10"/>
      <c r="AB489" s="10"/>
      <c r="AC489" s="10"/>
      <c r="AD489" s="10"/>
      <c r="AE489" s="10"/>
      <c r="AF489" s="10"/>
      <c r="AG489" s="41"/>
      <c r="AH489" s="10"/>
      <c r="AI489" s="10"/>
      <c r="AJ489" s="10"/>
      <c r="AK489" s="10"/>
      <c r="AL489" s="10"/>
      <c r="AM489" s="15"/>
      <c r="AN489" s="41"/>
      <c r="AO489" s="10"/>
      <c r="AP489" s="10"/>
      <c r="AQ489" s="10"/>
      <c r="AR489" s="10"/>
      <c r="AS489" s="10"/>
      <c r="AT489" s="15"/>
      <c r="AU489" s="10"/>
      <c r="AV489" s="10"/>
      <c r="AW489" s="10"/>
      <c r="AX489" s="10"/>
      <c r="AY489" s="10"/>
      <c r="AZ489" s="10"/>
      <c r="BA489" s="10"/>
      <c r="BB489" s="41"/>
      <c r="BC489" s="60"/>
      <c r="BD489" s="10"/>
      <c r="BE489" s="32"/>
      <c r="BF489" s="32"/>
      <c r="BG489" s="10"/>
      <c r="BH489" s="10"/>
      <c r="BI489" s="10"/>
      <c r="BJ489" s="10"/>
      <c r="BK489" s="10"/>
      <c r="BL489" s="10"/>
      <c r="BM489" s="10"/>
      <c r="BN489" s="10"/>
      <c r="BO489" s="10"/>
      <c r="BP489" s="10"/>
      <c r="BQ489" s="10"/>
      <c r="BR489" s="41"/>
      <c r="BS489" s="10"/>
      <c r="BT489" s="10"/>
      <c r="BU489" s="10"/>
      <c r="BV489" s="15"/>
      <c r="BW489" s="42"/>
    </row>
    <row r="490" spans="1:75" s="11" customFormat="1">
      <c r="A490" s="25"/>
      <c r="B490" s="26" t="s">
        <v>789</v>
      </c>
      <c r="C490" s="31"/>
      <c r="D490" s="31"/>
      <c r="E490" s="31"/>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30"/>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13"/>
    </row>
    <row r="491" spans="1:75" s="11" customFormat="1">
      <c r="A491" s="25"/>
      <c r="B491" s="24"/>
      <c r="C491" s="8"/>
      <c r="D491" s="8"/>
      <c r="E491" s="8"/>
      <c r="F491" s="8"/>
      <c r="G491" s="8"/>
      <c r="H491" s="8"/>
      <c r="I491" s="8"/>
      <c r="J491" s="8"/>
      <c r="K491" s="14"/>
      <c r="L491" s="24"/>
      <c r="M491" s="8"/>
      <c r="N491" s="8"/>
      <c r="O491" s="8"/>
      <c r="P491" s="8"/>
      <c r="Q491" s="8"/>
      <c r="R491" s="14"/>
      <c r="S491" s="24"/>
      <c r="T491" s="8"/>
      <c r="U491" s="8"/>
      <c r="V491" s="8"/>
      <c r="W491" s="8"/>
      <c r="X491" s="8"/>
      <c r="Y491" s="14"/>
      <c r="Z491" s="24"/>
      <c r="AA491" s="8"/>
      <c r="AB491" s="8"/>
      <c r="AC491" s="8"/>
      <c r="AD491" s="8"/>
      <c r="AE491" s="8"/>
      <c r="AF491" s="8"/>
      <c r="AG491" s="24"/>
      <c r="AH491" s="8"/>
      <c r="AI491" s="8"/>
      <c r="AJ491" s="8"/>
      <c r="AK491" s="8"/>
      <c r="AL491" s="8"/>
      <c r="AM491" s="14"/>
      <c r="AN491" s="24"/>
      <c r="AO491" s="8"/>
      <c r="AP491" s="8"/>
      <c r="AQ491" s="8"/>
      <c r="AR491" s="8"/>
      <c r="AS491" s="8"/>
      <c r="AT491" s="14"/>
      <c r="AU491" s="8"/>
      <c r="AV491" s="8"/>
      <c r="AW491" s="8"/>
      <c r="AX491" s="8"/>
      <c r="AY491" s="8"/>
      <c r="AZ491" s="8"/>
      <c r="BA491" s="8"/>
      <c r="BB491" s="24"/>
      <c r="BC491" s="8"/>
      <c r="BD491" s="8"/>
      <c r="BE491" s="8"/>
      <c r="BF491" s="8"/>
      <c r="BG491" s="8"/>
      <c r="BH491" s="8"/>
      <c r="BI491" s="8"/>
      <c r="BJ491" s="8"/>
      <c r="BK491" s="8"/>
      <c r="BL491" s="8"/>
      <c r="BM491" s="8"/>
      <c r="BN491" s="8"/>
      <c r="BO491" s="8"/>
      <c r="BP491" s="8"/>
      <c r="BQ491" s="8"/>
      <c r="BR491" s="24"/>
      <c r="BS491" s="8"/>
      <c r="BT491" s="8"/>
      <c r="BU491" s="8"/>
      <c r="BV491" s="14"/>
      <c r="BW491" s="13"/>
    </row>
    <row r="492" spans="1:75">
      <c r="A492" s="24"/>
      <c r="B492" s="24"/>
      <c r="K492" s="14"/>
      <c r="L492" s="24"/>
      <c r="R492" s="14"/>
      <c r="S492" s="24"/>
      <c r="Y492" s="14"/>
      <c r="Z492" s="24"/>
      <c r="AG492" s="24"/>
      <c r="AM492" s="14"/>
      <c r="AN492" s="24"/>
      <c r="AT492" s="14"/>
      <c r="BB492" s="24"/>
      <c r="BR492" s="24"/>
      <c r="BV492" s="14"/>
      <c r="BW492" s="14"/>
    </row>
    <row r="493" spans="1:75">
      <c r="A493" s="24"/>
      <c r="B493" s="24"/>
      <c r="K493" s="14"/>
      <c r="L493" s="24"/>
      <c r="R493" s="14"/>
      <c r="S493" s="24"/>
      <c r="Y493" s="14"/>
      <c r="Z493" s="24"/>
      <c r="AG493" s="24"/>
      <c r="AM493" s="14"/>
      <c r="AN493" s="24"/>
      <c r="AT493" s="14"/>
      <c r="BB493" s="24"/>
      <c r="BR493" s="24"/>
      <c r="BV493" s="14"/>
      <c r="BW493" s="14"/>
    </row>
    <row r="494" spans="1:75">
      <c r="A494" s="24"/>
      <c r="B494" s="24"/>
      <c r="K494" s="14"/>
      <c r="L494" s="24"/>
      <c r="R494" s="14"/>
      <c r="S494" s="24"/>
      <c r="Y494" s="14"/>
      <c r="Z494" s="24"/>
      <c r="AG494" s="24"/>
      <c r="AM494" s="14"/>
      <c r="AN494" s="24"/>
      <c r="AT494" s="14"/>
      <c r="BB494" s="24"/>
      <c r="BR494" s="24"/>
      <c r="BV494" s="14"/>
      <c r="BW494" s="14"/>
    </row>
    <row r="495" spans="1:75">
      <c r="A495" s="24"/>
      <c r="B495" s="24"/>
      <c r="K495" s="14"/>
      <c r="L495" s="24"/>
      <c r="R495" s="14"/>
      <c r="S495" s="24"/>
      <c r="Y495" s="14"/>
      <c r="Z495" s="24"/>
      <c r="AG495" s="24"/>
      <c r="AM495" s="14"/>
      <c r="AN495" s="24"/>
      <c r="AT495" s="14"/>
      <c r="BB495" s="24"/>
      <c r="BR495" s="24"/>
      <c r="BV495" s="14"/>
      <c r="BW495" s="14"/>
    </row>
    <row r="496" spans="1:75">
      <c r="A496" s="24"/>
      <c r="B496" s="24"/>
      <c r="K496" s="14"/>
      <c r="L496" s="24"/>
      <c r="R496" s="14"/>
      <c r="S496" s="24"/>
      <c r="Y496" s="14"/>
      <c r="Z496" s="24"/>
      <c r="AG496" s="24"/>
      <c r="AM496" s="14"/>
      <c r="AN496" s="24"/>
      <c r="AT496" s="14"/>
      <c r="BB496" s="24"/>
      <c r="BF496" s="11"/>
      <c r="BR496" s="24"/>
      <c r="BV496" s="14"/>
      <c r="BW496" s="14"/>
    </row>
    <row r="497" spans="1:75">
      <c r="A497" s="24"/>
      <c r="B497" s="24"/>
      <c r="K497" s="14"/>
      <c r="L497" s="24"/>
      <c r="R497" s="14"/>
      <c r="S497" s="24"/>
      <c r="Y497" s="14"/>
      <c r="Z497" s="24"/>
      <c r="AG497" s="24"/>
      <c r="AM497" s="14"/>
      <c r="AN497" s="24"/>
      <c r="AT497" s="14"/>
      <c r="BB497" s="24"/>
      <c r="BC497" s="16" t="s">
        <v>790</v>
      </c>
      <c r="BR497" s="24"/>
      <c r="BV497" s="14"/>
      <c r="BW497" s="14"/>
    </row>
    <row r="498" spans="1:75">
      <c r="A498" s="24"/>
      <c r="B498" s="24"/>
      <c r="K498" s="14"/>
      <c r="L498" s="24"/>
      <c r="R498" s="14"/>
      <c r="S498" s="24"/>
      <c r="Y498" s="14"/>
      <c r="Z498" s="24"/>
      <c r="AG498" s="24"/>
      <c r="AM498" s="14"/>
      <c r="AN498" s="24"/>
      <c r="AT498" s="14"/>
      <c r="BB498" s="24"/>
      <c r="BD498" s="8" t="s">
        <v>791</v>
      </c>
      <c r="BR498" s="24"/>
      <c r="BV498" s="14"/>
      <c r="BW498" s="14"/>
    </row>
    <row r="499" spans="1:75">
      <c r="A499" s="24"/>
      <c r="B499" s="24"/>
      <c r="K499" s="14"/>
      <c r="L499" s="24"/>
      <c r="R499" s="14"/>
      <c r="S499" s="24"/>
      <c r="Y499" s="14"/>
      <c r="Z499" s="24"/>
      <c r="AG499" s="24"/>
      <c r="AM499" s="14"/>
      <c r="AN499" s="24"/>
      <c r="AT499" s="14"/>
      <c r="BB499" s="24"/>
      <c r="BF499" s="11"/>
      <c r="BR499" s="24"/>
      <c r="BV499" s="14"/>
      <c r="BW499" s="14"/>
    </row>
    <row r="500" spans="1:75">
      <c r="A500" s="24"/>
      <c r="B500" s="24"/>
      <c r="K500" s="14"/>
      <c r="L500" s="24"/>
      <c r="R500" s="14"/>
      <c r="S500" s="24"/>
      <c r="Y500" s="14"/>
      <c r="Z500" s="24"/>
      <c r="AG500" s="24"/>
      <c r="AM500" s="14"/>
      <c r="AN500" s="24"/>
      <c r="AT500" s="14"/>
      <c r="BB500" s="24"/>
      <c r="BC500" s="11"/>
      <c r="BD500" s="11"/>
      <c r="BE500" s="11"/>
      <c r="BF500" s="11"/>
      <c r="BR500" s="24"/>
      <c r="BV500" s="14"/>
      <c r="BW500" s="14"/>
    </row>
    <row r="501" spans="1:75">
      <c r="A501" s="24"/>
      <c r="B501" s="24"/>
      <c r="K501" s="14"/>
      <c r="L501" s="24"/>
      <c r="R501" s="14"/>
      <c r="S501" s="24"/>
      <c r="Y501" s="14"/>
      <c r="Z501" s="24"/>
      <c r="AG501" s="24"/>
      <c r="AM501" s="14"/>
      <c r="AN501" s="24"/>
      <c r="AT501" s="14"/>
      <c r="BB501" s="24"/>
      <c r="BC501" s="11"/>
      <c r="BD501" s="11"/>
      <c r="BE501" s="11"/>
      <c r="BF501" s="11"/>
      <c r="BR501" s="24"/>
      <c r="BV501" s="14"/>
      <c r="BW501" s="14"/>
    </row>
    <row r="502" spans="1:75">
      <c r="A502" s="24"/>
      <c r="B502" s="24"/>
      <c r="K502" s="14"/>
      <c r="L502" s="24"/>
      <c r="R502" s="14"/>
      <c r="S502" s="24"/>
      <c r="Y502" s="14"/>
      <c r="Z502" s="24"/>
      <c r="AG502" s="24"/>
      <c r="AM502" s="14"/>
      <c r="AN502" s="24"/>
      <c r="AT502" s="14"/>
      <c r="BB502" s="24"/>
      <c r="BR502" s="24"/>
      <c r="BV502" s="14"/>
      <c r="BW502" s="14"/>
    </row>
    <row r="503" spans="1:75">
      <c r="A503" s="24"/>
      <c r="B503" s="24"/>
      <c r="K503" s="14"/>
      <c r="L503" s="24"/>
      <c r="R503" s="14"/>
      <c r="S503" s="24"/>
      <c r="Y503" s="14"/>
      <c r="Z503" s="24"/>
      <c r="AG503" s="24"/>
      <c r="AM503" s="14"/>
      <c r="AN503" s="24"/>
      <c r="AT503" s="14"/>
      <c r="BB503" s="24"/>
      <c r="BC503" s="22" t="s">
        <v>792</v>
      </c>
      <c r="BD503" s="11"/>
      <c r="BE503" s="11"/>
      <c r="BF503" s="11"/>
      <c r="BR503" s="24"/>
      <c r="BV503" s="14"/>
      <c r="BW503" s="14"/>
    </row>
    <row r="504" spans="1:75">
      <c r="A504" s="24"/>
      <c r="B504" s="24"/>
      <c r="K504" s="14"/>
      <c r="L504" s="24"/>
      <c r="R504" s="14"/>
      <c r="S504" s="24"/>
      <c r="Y504" s="14"/>
      <c r="Z504" s="24"/>
      <c r="AG504" s="24"/>
      <c r="AM504" s="14"/>
      <c r="AN504" s="24"/>
      <c r="AT504" s="14"/>
      <c r="BB504" s="24"/>
      <c r="BC504" s="11"/>
      <c r="BD504" s="8" t="s">
        <v>793</v>
      </c>
      <c r="BE504" s="11"/>
      <c r="BF504" s="11"/>
      <c r="BR504" s="24"/>
      <c r="BV504" s="14"/>
      <c r="BW504" s="14"/>
    </row>
    <row r="505" spans="1:75">
      <c r="A505" s="24"/>
      <c r="B505" s="24"/>
      <c r="K505" s="14"/>
      <c r="L505" s="24"/>
      <c r="R505" s="14"/>
      <c r="S505" s="24"/>
      <c r="Y505" s="14"/>
      <c r="Z505" s="24"/>
      <c r="AG505" s="24"/>
      <c r="AM505" s="14"/>
      <c r="AN505" s="24"/>
      <c r="AT505" s="14"/>
      <c r="BB505" s="24"/>
      <c r="BC505" s="11"/>
      <c r="BD505" s="8" t="s">
        <v>794</v>
      </c>
      <c r="BE505" s="11"/>
      <c r="BF505" s="11"/>
      <c r="BR505" s="24"/>
      <c r="BV505" s="14"/>
      <c r="BW505" s="14"/>
    </row>
    <row r="506" spans="1:75">
      <c r="A506" s="24"/>
      <c r="B506" s="24"/>
      <c r="K506" s="14"/>
      <c r="L506" s="24"/>
      <c r="R506" s="14"/>
      <c r="S506" s="24"/>
      <c r="Y506" s="14"/>
      <c r="Z506" s="24"/>
      <c r="AG506" s="24"/>
      <c r="AM506" s="14"/>
      <c r="AN506" s="24"/>
      <c r="AT506" s="14"/>
      <c r="BB506" s="24"/>
      <c r="BC506" s="50"/>
      <c r="BE506" s="11"/>
      <c r="BF506" s="11"/>
      <c r="BR506" s="24"/>
      <c r="BV506" s="14"/>
      <c r="BW506" s="14"/>
    </row>
    <row r="507" spans="1:75">
      <c r="A507" s="24"/>
      <c r="B507" s="24"/>
      <c r="K507" s="14"/>
      <c r="L507" s="24"/>
      <c r="R507" s="14"/>
      <c r="S507" s="24"/>
      <c r="Y507" s="14"/>
      <c r="Z507" s="24"/>
      <c r="AG507" s="24"/>
      <c r="AM507" s="14"/>
      <c r="AN507" s="24"/>
      <c r="AT507" s="14"/>
      <c r="BB507" s="24"/>
      <c r="BC507" s="50"/>
      <c r="BE507" s="11"/>
      <c r="BF507" s="11"/>
      <c r="BR507" s="24"/>
      <c r="BV507" s="14"/>
      <c r="BW507" s="14"/>
    </row>
    <row r="508" spans="1:75">
      <c r="A508" s="24"/>
      <c r="B508" s="24"/>
      <c r="K508" s="14"/>
      <c r="L508" s="24"/>
      <c r="R508" s="14"/>
      <c r="S508" s="24"/>
      <c r="Y508" s="14"/>
      <c r="Z508" s="24"/>
      <c r="AG508" s="24"/>
      <c r="AM508" s="14"/>
      <c r="AN508" s="24"/>
      <c r="AT508" s="14"/>
      <c r="BB508" s="24"/>
      <c r="BC508" s="50"/>
      <c r="BE508" s="11"/>
      <c r="BF508" s="11"/>
      <c r="BR508" s="24"/>
      <c r="BV508" s="14"/>
      <c r="BW508" s="14"/>
    </row>
    <row r="509" spans="1:75">
      <c r="A509" s="24"/>
      <c r="B509" s="24"/>
      <c r="K509" s="14"/>
      <c r="L509" s="24"/>
      <c r="R509" s="14"/>
      <c r="S509" s="24"/>
      <c r="Y509" s="14"/>
      <c r="Z509" s="24"/>
      <c r="AG509" s="24"/>
      <c r="AM509" s="14"/>
      <c r="AN509" s="24"/>
      <c r="AT509" s="14"/>
      <c r="BB509" s="24"/>
      <c r="BC509" s="50"/>
      <c r="BE509" s="11"/>
      <c r="BF509" s="11"/>
      <c r="BR509" s="24"/>
      <c r="BV509" s="14"/>
      <c r="BW509" s="14"/>
    </row>
    <row r="510" spans="1:75">
      <c r="A510" s="24"/>
      <c r="B510" s="24"/>
      <c r="K510" s="14"/>
      <c r="L510" s="24"/>
      <c r="R510" s="14"/>
      <c r="S510" s="24"/>
      <c r="Y510" s="14"/>
      <c r="Z510" s="24"/>
      <c r="AG510" s="24"/>
      <c r="AM510" s="14"/>
      <c r="AN510" s="24"/>
      <c r="AT510" s="14"/>
      <c r="BB510" s="24"/>
      <c r="BC510" s="22" t="s">
        <v>795</v>
      </c>
      <c r="BD510" s="11"/>
      <c r="BE510" s="11"/>
      <c r="BF510" s="11"/>
      <c r="BR510" s="24"/>
      <c r="BV510" s="14"/>
      <c r="BW510" s="14"/>
    </row>
    <row r="511" spans="1:75">
      <c r="A511" s="24"/>
      <c r="B511" s="24"/>
      <c r="K511" s="14"/>
      <c r="L511" s="24"/>
      <c r="R511" s="14"/>
      <c r="S511" s="24"/>
      <c r="Y511" s="14"/>
      <c r="Z511" s="24"/>
      <c r="AG511" s="24"/>
      <c r="AM511" s="14"/>
      <c r="AN511" s="24"/>
      <c r="AT511" s="14"/>
      <c r="BB511" s="24"/>
      <c r="BC511" s="11"/>
      <c r="BD511" s="8" t="s">
        <v>734</v>
      </c>
      <c r="BE511" s="11"/>
      <c r="BF511" s="11"/>
      <c r="BR511" s="24"/>
      <c r="BV511" s="14"/>
      <c r="BW511" s="14"/>
    </row>
    <row r="512" spans="1:75">
      <c r="A512" s="24"/>
      <c r="B512" s="24"/>
      <c r="K512" s="14"/>
      <c r="L512" s="24"/>
      <c r="R512" s="14"/>
      <c r="S512" s="24"/>
      <c r="Y512" s="14"/>
      <c r="Z512" s="24"/>
      <c r="AG512" s="24"/>
      <c r="AM512" s="14"/>
      <c r="AN512" s="24"/>
      <c r="AT512" s="14"/>
      <c r="BB512" s="24"/>
      <c r="BC512" s="11"/>
      <c r="BD512" s="8" t="s">
        <v>751</v>
      </c>
      <c r="BE512" s="11"/>
      <c r="BF512" s="11"/>
      <c r="BR512" s="24"/>
      <c r="BV512" s="14"/>
      <c r="BW512" s="14"/>
    </row>
    <row r="513" spans="1:75">
      <c r="A513" s="24"/>
      <c r="B513" s="24"/>
      <c r="K513" s="14"/>
      <c r="L513" s="24"/>
      <c r="R513" s="14"/>
      <c r="S513" s="24"/>
      <c r="Y513" s="14"/>
      <c r="Z513" s="24"/>
      <c r="AG513" s="24"/>
      <c r="AM513" s="14"/>
      <c r="AN513" s="24"/>
      <c r="AT513" s="14"/>
      <c r="BB513" s="24"/>
      <c r="BC513" s="50"/>
      <c r="BD513" s="86" t="s">
        <v>637</v>
      </c>
      <c r="BE513" s="87"/>
      <c r="BF513" s="87"/>
      <c r="BG513" s="87"/>
      <c r="BH513" s="87"/>
      <c r="BI513" s="87"/>
      <c r="BJ513" s="87"/>
      <c r="BK513" s="87"/>
      <c r="BL513" s="87"/>
      <c r="BM513" s="87"/>
      <c r="BN513" s="88"/>
      <c r="BR513" s="24"/>
      <c r="BV513" s="14"/>
      <c r="BW513" s="14"/>
    </row>
    <row r="514" spans="1:75">
      <c r="A514" s="24"/>
      <c r="B514" s="24"/>
      <c r="K514" s="14"/>
      <c r="L514" s="24"/>
      <c r="R514" s="14"/>
      <c r="S514" s="24"/>
      <c r="Y514" s="14"/>
      <c r="Z514" s="24"/>
      <c r="AG514" s="24"/>
      <c r="AM514" s="14"/>
      <c r="AN514" s="24"/>
      <c r="AT514" s="14"/>
      <c r="BB514" s="24"/>
      <c r="BC514" s="50"/>
      <c r="BD514" s="89" t="s">
        <v>674</v>
      </c>
      <c r="BE514" s="63"/>
      <c r="BF514" s="63"/>
      <c r="BG514" s="63"/>
      <c r="BH514" s="63"/>
      <c r="BI514" s="65" t="s">
        <v>638</v>
      </c>
      <c r="BJ514" s="63"/>
      <c r="BK514" s="63"/>
      <c r="BL514" s="63"/>
      <c r="BM514" s="63"/>
      <c r="BN514" s="64"/>
      <c r="BR514" s="24"/>
      <c r="BV514" s="14"/>
      <c r="BW514" s="14"/>
    </row>
    <row r="515" spans="1:75">
      <c r="A515" s="24"/>
      <c r="B515" s="24"/>
      <c r="K515" s="14"/>
      <c r="L515" s="24"/>
      <c r="R515" s="14"/>
      <c r="S515" s="24"/>
      <c r="Y515" s="14"/>
      <c r="Z515" s="24"/>
      <c r="AG515" s="24"/>
      <c r="AM515" s="14"/>
      <c r="AN515" s="24"/>
      <c r="AT515" s="14"/>
      <c r="BB515" s="24"/>
      <c r="BC515" s="50"/>
      <c r="BD515" s="89" t="s">
        <v>796</v>
      </c>
      <c r="BE515" s="119"/>
      <c r="BF515" s="119"/>
      <c r="BG515" s="90"/>
      <c r="BH515" s="90"/>
      <c r="BI515" s="41"/>
      <c r="BJ515" s="10"/>
      <c r="BK515" s="10"/>
      <c r="BL515" s="10"/>
      <c r="BM515" s="10"/>
      <c r="BN515" s="15"/>
      <c r="BR515" s="24"/>
      <c r="BV515" s="14"/>
      <c r="BW515" s="14"/>
    </row>
    <row r="516" spans="1:75">
      <c r="A516" s="24"/>
      <c r="B516" s="24"/>
      <c r="K516" s="14"/>
      <c r="L516" s="24"/>
      <c r="R516" s="14"/>
      <c r="S516" s="24"/>
      <c r="Y516" s="14"/>
      <c r="Z516" s="24"/>
      <c r="AG516" s="24"/>
      <c r="AM516" s="14"/>
      <c r="AN516" s="24"/>
      <c r="AT516" s="14"/>
      <c r="BB516" s="24"/>
      <c r="BC516" s="22"/>
      <c r="BD516" s="123" t="s">
        <v>118</v>
      </c>
      <c r="BE516" s="125" t="s">
        <v>736</v>
      </c>
      <c r="BR516" s="24"/>
      <c r="BV516" s="14"/>
      <c r="BW516" s="14"/>
    </row>
    <row r="517" spans="1:75">
      <c r="A517" s="24"/>
      <c r="B517" s="24"/>
      <c r="K517" s="14"/>
      <c r="L517" s="24"/>
      <c r="R517" s="14"/>
      <c r="S517" s="24"/>
      <c r="Y517" s="14"/>
      <c r="Z517" s="24"/>
      <c r="AG517" s="24"/>
      <c r="AM517" s="14"/>
      <c r="AN517" s="24"/>
      <c r="AT517" s="14"/>
      <c r="BB517" s="24"/>
      <c r="BC517" s="50"/>
      <c r="BE517" s="125" t="s">
        <v>737</v>
      </c>
      <c r="BF517" s="11"/>
      <c r="BG517" s="11"/>
      <c r="BH517" s="50"/>
      <c r="BI517" s="50"/>
      <c r="BJ517" s="50"/>
      <c r="BK517" s="50"/>
      <c r="BL517" s="50"/>
      <c r="BM517" s="50"/>
      <c r="BN517" s="50"/>
      <c r="BO517" s="50"/>
      <c r="BR517" s="24"/>
      <c r="BV517" s="14"/>
      <c r="BW517" s="14"/>
    </row>
    <row r="518" spans="1:75">
      <c r="A518" s="24"/>
      <c r="B518" s="24"/>
      <c r="K518" s="14"/>
      <c r="L518" s="24"/>
      <c r="R518" s="14"/>
      <c r="S518" s="24"/>
      <c r="Y518" s="14"/>
      <c r="Z518" s="24"/>
      <c r="AG518" s="24"/>
      <c r="AM518" s="14"/>
      <c r="AN518" s="24"/>
      <c r="AT518" s="14"/>
      <c r="BB518" s="24"/>
      <c r="BC518" s="50"/>
      <c r="BD518" s="123" t="s">
        <v>118</v>
      </c>
      <c r="BE518" s="125" t="s">
        <v>738</v>
      </c>
      <c r="BH518" s="50"/>
      <c r="BI518" s="50"/>
      <c r="BJ518" s="50"/>
      <c r="BK518" s="50"/>
      <c r="BL518" s="50"/>
      <c r="BM518" s="50"/>
      <c r="BN518" s="50"/>
      <c r="BO518" s="50"/>
      <c r="BR518" s="24"/>
      <c r="BV518" s="14"/>
      <c r="BW518" s="14"/>
    </row>
    <row r="519" spans="1:75">
      <c r="A519" s="24"/>
      <c r="B519" s="24"/>
      <c r="K519" s="14"/>
      <c r="L519" s="24"/>
      <c r="R519" s="14"/>
      <c r="S519" s="24"/>
      <c r="Y519" s="14"/>
      <c r="Z519" s="24"/>
      <c r="AG519" s="24"/>
      <c r="AM519" s="14"/>
      <c r="AN519" s="24"/>
      <c r="AT519" s="14"/>
      <c r="BB519" s="24"/>
      <c r="BC519" s="50"/>
      <c r="BE519" s="125" t="s">
        <v>739</v>
      </c>
      <c r="BH519" s="50"/>
      <c r="BI519" s="50"/>
      <c r="BJ519" s="50"/>
      <c r="BK519" s="50"/>
      <c r="BL519" s="50"/>
      <c r="BM519" s="50"/>
      <c r="BN519" s="50"/>
      <c r="BO519" s="50"/>
      <c r="BR519" s="24"/>
      <c r="BV519" s="14"/>
      <c r="BW519" s="14"/>
    </row>
    <row r="520" spans="1:75">
      <c r="A520" s="24"/>
      <c r="B520" s="24"/>
      <c r="K520" s="14"/>
      <c r="L520" s="24"/>
      <c r="R520" s="14"/>
      <c r="S520" s="24"/>
      <c r="Y520" s="14"/>
      <c r="Z520" s="24"/>
      <c r="AG520" s="24"/>
      <c r="AM520" s="14"/>
      <c r="AN520" s="24"/>
      <c r="AT520" s="14"/>
      <c r="BB520" s="24"/>
      <c r="BC520" s="50"/>
      <c r="BE520" s="125" t="s">
        <v>740</v>
      </c>
      <c r="BH520" s="50"/>
      <c r="BI520" s="50"/>
      <c r="BJ520" s="50"/>
      <c r="BK520" s="50"/>
      <c r="BL520" s="50"/>
      <c r="BM520" s="50"/>
      <c r="BN520" s="50"/>
      <c r="BO520" s="50"/>
      <c r="BR520" s="24"/>
      <c r="BV520" s="14"/>
      <c r="BW520" s="14"/>
    </row>
    <row r="521" spans="1:75">
      <c r="A521" s="24"/>
      <c r="B521" s="24"/>
      <c r="K521" s="14"/>
      <c r="L521" s="24"/>
      <c r="R521" s="14"/>
      <c r="S521" s="24"/>
      <c r="Y521" s="14"/>
      <c r="Z521" s="24"/>
      <c r="AG521" s="24"/>
      <c r="AM521" s="14"/>
      <c r="AN521" s="24"/>
      <c r="AT521" s="14"/>
      <c r="BB521" s="24"/>
      <c r="BC521" s="50"/>
      <c r="BD521" s="50"/>
      <c r="BE521" s="50"/>
      <c r="BF521" s="50"/>
      <c r="BG521" s="50"/>
      <c r="BH521" s="50"/>
      <c r="BI521" s="50"/>
      <c r="BJ521" s="50"/>
      <c r="BK521" s="50"/>
      <c r="BL521" s="50"/>
      <c r="BM521" s="50"/>
      <c r="BN521" s="50"/>
      <c r="BO521" s="50"/>
      <c r="BR521" s="24"/>
      <c r="BV521" s="14"/>
      <c r="BW521" s="14"/>
    </row>
    <row r="522" spans="1:75">
      <c r="A522" s="24"/>
      <c r="B522" s="24"/>
      <c r="K522" s="14"/>
      <c r="L522" s="24"/>
      <c r="R522" s="14"/>
      <c r="S522" s="24"/>
      <c r="Y522" s="14"/>
      <c r="Z522" s="24"/>
      <c r="AG522" s="24"/>
      <c r="AM522" s="14"/>
      <c r="AN522" s="24"/>
      <c r="AT522" s="14"/>
      <c r="BB522" s="24"/>
      <c r="BC522" s="50"/>
      <c r="BD522" s="50"/>
      <c r="BE522" s="50"/>
      <c r="BF522" s="50"/>
      <c r="BG522" s="50"/>
      <c r="BH522" s="50"/>
      <c r="BI522" s="50"/>
      <c r="BJ522" s="50"/>
      <c r="BK522" s="50"/>
      <c r="BL522" s="50"/>
      <c r="BM522" s="50"/>
      <c r="BN522" s="50"/>
      <c r="BO522" s="50"/>
      <c r="BR522" s="24"/>
      <c r="BV522" s="14"/>
      <c r="BW522" s="14"/>
    </row>
    <row r="523" spans="1:75">
      <c r="A523" s="24"/>
      <c r="B523" s="24"/>
      <c r="K523" s="14"/>
      <c r="L523" s="24"/>
      <c r="R523" s="14"/>
      <c r="S523" s="24"/>
      <c r="Y523" s="14"/>
      <c r="Z523" s="24"/>
      <c r="AG523" s="24"/>
      <c r="AM523" s="14"/>
      <c r="AN523" s="24"/>
      <c r="AT523" s="14"/>
      <c r="BB523" s="24"/>
      <c r="BC523" s="50"/>
      <c r="BD523" s="50"/>
      <c r="BE523" s="50"/>
      <c r="BF523" s="50"/>
      <c r="BG523" s="50"/>
      <c r="BH523" s="50"/>
      <c r="BI523" s="50"/>
      <c r="BJ523" s="50"/>
      <c r="BK523" s="50"/>
      <c r="BL523" s="50"/>
      <c r="BM523" s="50"/>
      <c r="BN523" s="50"/>
      <c r="BO523" s="50"/>
      <c r="BR523" s="24"/>
      <c r="BV523" s="14"/>
      <c r="BW523" s="14"/>
    </row>
    <row r="524" spans="1:75">
      <c r="A524" s="24"/>
      <c r="B524" s="24"/>
      <c r="K524" s="14"/>
      <c r="L524" s="24"/>
      <c r="R524" s="14"/>
      <c r="S524" s="24"/>
      <c r="Y524" s="14"/>
      <c r="Z524" s="24"/>
      <c r="AG524" s="24"/>
      <c r="AM524" s="14"/>
      <c r="AN524" s="24"/>
      <c r="AT524" s="14"/>
      <c r="BB524" s="24"/>
      <c r="BC524" s="11"/>
      <c r="BE524" s="11"/>
      <c r="BF524" s="11"/>
      <c r="BR524" s="24"/>
      <c r="BV524" s="14"/>
      <c r="BW524" s="14"/>
    </row>
    <row r="525" spans="1:75">
      <c r="A525" s="42"/>
      <c r="B525" s="41"/>
      <c r="C525" s="10"/>
      <c r="D525" s="10"/>
      <c r="E525" s="10"/>
      <c r="F525" s="10"/>
      <c r="G525" s="10"/>
      <c r="H525" s="10"/>
      <c r="I525" s="10"/>
      <c r="J525" s="10"/>
      <c r="K525" s="15"/>
      <c r="L525" s="41"/>
      <c r="M525" s="10"/>
      <c r="N525" s="10"/>
      <c r="O525" s="10"/>
      <c r="P525" s="10"/>
      <c r="Q525" s="10"/>
      <c r="R525" s="15"/>
      <c r="S525" s="41"/>
      <c r="T525" s="10"/>
      <c r="U525" s="10"/>
      <c r="V525" s="10"/>
      <c r="W525" s="10"/>
      <c r="X525" s="10"/>
      <c r="Y525" s="15"/>
      <c r="Z525" s="41"/>
      <c r="AA525" s="10"/>
      <c r="AB525" s="10"/>
      <c r="AC525" s="10"/>
      <c r="AD525" s="10"/>
      <c r="AE525" s="10"/>
      <c r="AF525" s="10"/>
      <c r="AG525" s="41"/>
      <c r="AH525" s="10"/>
      <c r="AI525" s="10"/>
      <c r="AJ525" s="10"/>
      <c r="AK525" s="10"/>
      <c r="AL525" s="10"/>
      <c r="AM525" s="15"/>
      <c r="AN525" s="41"/>
      <c r="AO525" s="10"/>
      <c r="AP525" s="10"/>
      <c r="AQ525" s="10"/>
      <c r="AR525" s="10"/>
      <c r="AS525" s="10"/>
      <c r="AT525" s="15"/>
      <c r="AU525" s="10"/>
      <c r="AV525" s="10"/>
      <c r="AW525" s="10"/>
      <c r="AX525" s="10"/>
      <c r="AY525" s="10"/>
      <c r="AZ525" s="10"/>
      <c r="BA525" s="10"/>
      <c r="BB525" s="41"/>
      <c r="BC525" s="60"/>
      <c r="BD525" s="10"/>
      <c r="BE525" s="32"/>
      <c r="BF525" s="32"/>
      <c r="BG525" s="10"/>
      <c r="BH525" s="10"/>
      <c r="BI525" s="10"/>
      <c r="BJ525" s="10"/>
      <c r="BK525" s="10"/>
      <c r="BL525" s="10"/>
      <c r="BM525" s="10"/>
      <c r="BN525" s="10"/>
      <c r="BO525" s="10"/>
      <c r="BP525" s="10"/>
      <c r="BQ525" s="10"/>
      <c r="BR525" s="41"/>
      <c r="BS525" s="10"/>
      <c r="BT525" s="10"/>
      <c r="BU525" s="10"/>
      <c r="BV525" s="15"/>
      <c r="BW525" s="42"/>
    </row>
    <row r="526" spans="1:75">
      <c r="A526" s="24"/>
      <c r="BC526" s="11"/>
      <c r="BE526" s="11"/>
      <c r="BF526" s="11"/>
      <c r="BW526" s="14"/>
    </row>
    <row r="527" spans="1:75">
      <c r="A527" s="41"/>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5"/>
    </row>
  </sheetData>
  <mergeCells count="27">
    <mergeCell ref="AU8:BA8"/>
    <mergeCell ref="BB8:BQ9"/>
    <mergeCell ref="AN8:AT9"/>
    <mergeCell ref="F2:U3"/>
    <mergeCell ref="V2:AI3"/>
    <mergeCell ref="AJ2:AK2"/>
    <mergeCell ref="AL2:AP2"/>
    <mergeCell ref="AQ2:AV2"/>
    <mergeCell ref="AJ3:AK3"/>
    <mergeCell ref="AL3:AP3"/>
    <mergeCell ref="AQ3:AV3"/>
    <mergeCell ref="AQ1:AV1"/>
    <mergeCell ref="A2:E3"/>
    <mergeCell ref="BR8:BV9"/>
    <mergeCell ref="L9:R9"/>
    <mergeCell ref="S9:Y9"/>
    <mergeCell ref="Z9:AF9"/>
    <mergeCell ref="AG9:AM9"/>
    <mergeCell ref="AU9:BA9"/>
    <mergeCell ref="A4:AB4"/>
    <mergeCell ref="A1:E1"/>
    <mergeCell ref="F1:U1"/>
    <mergeCell ref="V1:AI1"/>
    <mergeCell ref="AJ1:AP1"/>
    <mergeCell ref="B8:K9"/>
    <mergeCell ref="L8:Y8"/>
    <mergeCell ref="Z8:AM8"/>
  </mergeCells>
  <phoneticPr fontId="3"/>
  <pageMargins left="0.7" right="0.7" top="0.75" bottom="0.75" header="0.3" footer="0.3"/>
  <pageSetup paperSize="9" scale="69" fitToHeight="0" orientation="portrait"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B889-FA8A-4CC2-8423-F6D375ADF0CB}">
  <sheetPr codeName="Sheet7">
    <tabColor theme="0" tint="-0.499984740745262"/>
  </sheetPr>
  <dimension ref="A1:BS317"/>
  <sheetViews>
    <sheetView showGridLines="0" zoomScale="70" zoomScaleNormal="100" workbookViewId="0">
      <pane ySplit="9" topLeftCell="A10" activePane="bottomLeft" state="frozen"/>
      <selection pane="bottomLeft" activeCell="AE17" sqref="AE17"/>
      <selection activeCell="X112" sqref="X112"/>
    </sheetView>
  </sheetViews>
  <sheetFormatPr defaultColWidth="2.375" defaultRowHeight="13.5"/>
  <cols>
    <col min="1" max="8" width="2.375" style="8"/>
    <col min="9" max="13" width="2.375" style="8" customWidth="1"/>
    <col min="14" max="18" width="2.375" style="8" bestFit="1" customWidth="1"/>
    <col min="19" max="20" width="2.375" style="8" customWidth="1"/>
    <col min="21" max="60" width="2.375" style="8"/>
    <col min="61" max="61" width="2.375" style="8" customWidth="1"/>
    <col min="62" max="16384" width="2.375" style="8"/>
  </cols>
  <sheetData>
    <row r="1" spans="1:69" ht="14.1" customHeight="1" thickBot="1">
      <c r="A1" s="128" t="s">
        <v>9</v>
      </c>
      <c r="B1" s="129"/>
      <c r="C1" s="129"/>
      <c r="D1" s="129"/>
      <c r="E1" s="130"/>
      <c r="F1" s="142" t="str">
        <f>変更履歴!F1</f>
        <v>会計システム刷新プロジェクト（LIBRA）</v>
      </c>
      <c r="G1" s="223"/>
      <c r="H1" s="223"/>
      <c r="I1" s="223"/>
      <c r="J1" s="223"/>
      <c r="K1" s="223"/>
      <c r="L1" s="223"/>
      <c r="M1" s="223"/>
      <c r="N1" s="223"/>
      <c r="O1" s="223"/>
      <c r="P1" s="223"/>
      <c r="Q1" s="223"/>
      <c r="R1" s="223"/>
      <c r="S1" s="223"/>
      <c r="T1" s="223"/>
      <c r="U1" s="223"/>
      <c r="V1" s="223"/>
      <c r="W1" s="223"/>
      <c r="X1" s="223"/>
      <c r="Y1" s="223"/>
      <c r="Z1" s="223"/>
      <c r="AA1" s="223"/>
      <c r="AB1" s="224"/>
      <c r="AC1" s="128" t="s">
        <v>64</v>
      </c>
      <c r="AD1" s="129"/>
      <c r="AE1" s="129"/>
      <c r="AF1" s="129"/>
      <c r="AG1" s="129"/>
      <c r="AH1" s="129"/>
      <c r="AI1" s="129"/>
      <c r="AJ1" s="129"/>
      <c r="AK1" s="129"/>
      <c r="AL1" s="129"/>
      <c r="AM1" s="129"/>
      <c r="AN1" s="129"/>
      <c r="AO1" s="129"/>
      <c r="AP1" s="130"/>
      <c r="AQ1" s="128" t="s">
        <v>11</v>
      </c>
      <c r="AR1" s="129"/>
      <c r="AS1" s="129"/>
      <c r="AT1" s="129"/>
      <c r="AU1" s="129"/>
      <c r="AV1" s="129"/>
      <c r="AW1" s="130"/>
      <c r="AX1" s="128" t="s">
        <v>12</v>
      </c>
      <c r="AY1" s="129"/>
      <c r="AZ1" s="129"/>
      <c r="BA1" s="129"/>
      <c r="BB1" s="129"/>
      <c r="BC1" s="130"/>
    </row>
    <row r="2" spans="1:69" ht="14.1" customHeight="1">
      <c r="A2" s="131" t="s">
        <v>13</v>
      </c>
      <c r="B2" s="253"/>
      <c r="C2" s="253"/>
      <c r="D2" s="253"/>
      <c r="E2" s="254"/>
      <c r="F2" s="150" t="str">
        <f>変更履歴!F2</f>
        <v>ToBe業務フロー（5.固定資産_リース）</v>
      </c>
      <c r="G2" s="231"/>
      <c r="H2" s="231"/>
      <c r="I2" s="231"/>
      <c r="J2" s="231"/>
      <c r="K2" s="231"/>
      <c r="L2" s="231"/>
      <c r="M2" s="231"/>
      <c r="N2" s="231"/>
      <c r="O2" s="231"/>
      <c r="P2" s="231"/>
      <c r="Q2" s="231"/>
      <c r="R2" s="231"/>
      <c r="S2" s="231"/>
      <c r="T2" s="231"/>
      <c r="U2" s="231"/>
      <c r="V2" s="231"/>
      <c r="W2" s="231"/>
      <c r="X2" s="231"/>
      <c r="Y2" s="231"/>
      <c r="Z2" s="231"/>
      <c r="AA2" s="231"/>
      <c r="AB2" s="232"/>
      <c r="AC2" s="150" t="e">
        <f ca="1">MID(CELL("filename",$A$1),FIND("]",CELL("filename",$A$1))+1,31)</f>
        <v>#VALUE!</v>
      </c>
      <c r="AD2" s="231"/>
      <c r="AE2" s="231"/>
      <c r="AF2" s="231"/>
      <c r="AG2" s="231"/>
      <c r="AH2" s="231"/>
      <c r="AI2" s="231"/>
      <c r="AJ2" s="231"/>
      <c r="AK2" s="231"/>
      <c r="AL2" s="231"/>
      <c r="AM2" s="231"/>
      <c r="AN2" s="231"/>
      <c r="AO2" s="231"/>
      <c r="AP2" s="232"/>
      <c r="AQ2" s="153" t="s">
        <v>14</v>
      </c>
      <c r="AR2" s="154"/>
      <c r="AS2" s="155">
        <f>変更履歴!AT2</f>
        <v>45362</v>
      </c>
      <c r="AT2" s="156"/>
      <c r="AU2" s="156"/>
      <c r="AV2" s="156"/>
      <c r="AW2" s="157"/>
      <c r="AX2" s="158" t="str">
        <f>変更履歴!BA2</f>
        <v>JBS大河原</v>
      </c>
      <c r="AY2" s="159"/>
      <c r="AZ2" s="159"/>
      <c r="BA2" s="159"/>
      <c r="BB2" s="159"/>
      <c r="BC2" s="160"/>
    </row>
    <row r="3" spans="1:69" ht="14.1" customHeight="1" thickBot="1">
      <c r="A3" s="255"/>
      <c r="B3" s="256"/>
      <c r="C3" s="256"/>
      <c r="D3" s="256"/>
      <c r="E3" s="257"/>
      <c r="F3" s="233"/>
      <c r="G3" s="234"/>
      <c r="H3" s="234"/>
      <c r="I3" s="234"/>
      <c r="J3" s="234"/>
      <c r="K3" s="234"/>
      <c r="L3" s="234"/>
      <c r="M3" s="234"/>
      <c r="N3" s="234"/>
      <c r="O3" s="234"/>
      <c r="P3" s="234"/>
      <c r="Q3" s="234"/>
      <c r="R3" s="234"/>
      <c r="S3" s="234"/>
      <c r="T3" s="234"/>
      <c r="U3" s="234"/>
      <c r="V3" s="234"/>
      <c r="W3" s="234"/>
      <c r="X3" s="234"/>
      <c r="Y3" s="234"/>
      <c r="Z3" s="234"/>
      <c r="AA3" s="234"/>
      <c r="AB3" s="235"/>
      <c r="AC3" s="233"/>
      <c r="AD3" s="234"/>
      <c r="AE3" s="234"/>
      <c r="AF3" s="234"/>
      <c r="AG3" s="234"/>
      <c r="AH3" s="234"/>
      <c r="AI3" s="234"/>
      <c r="AJ3" s="234"/>
      <c r="AK3" s="234"/>
      <c r="AL3" s="234"/>
      <c r="AM3" s="234"/>
      <c r="AN3" s="234"/>
      <c r="AO3" s="234"/>
      <c r="AP3" s="235"/>
      <c r="AQ3" s="161" t="s">
        <v>15</v>
      </c>
      <c r="AR3" s="162"/>
      <c r="AS3" s="163">
        <f ca="1">変更履歴!AT3</f>
        <v>45939</v>
      </c>
      <c r="AT3" s="164"/>
      <c r="AU3" s="164"/>
      <c r="AV3" s="164"/>
      <c r="AW3" s="165"/>
      <c r="AX3" s="166" t="str">
        <f ca="1">変更履歴!BA3</f>
        <v>JBS中村</v>
      </c>
      <c r="AY3" s="167"/>
      <c r="AZ3" s="167"/>
      <c r="BA3" s="167"/>
      <c r="BB3" s="167"/>
      <c r="BC3" s="168"/>
    </row>
    <row r="4" spans="1:69" ht="14.45">
      <c r="A4" s="259"/>
      <c r="B4" s="292"/>
      <c r="C4" s="292"/>
      <c r="D4" s="292"/>
      <c r="E4" s="292"/>
      <c r="F4" s="292"/>
      <c r="G4" s="292"/>
      <c r="H4" s="292"/>
      <c r="I4" s="292"/>
      <c r="J4" s="292"/>
      <c r="K4" s="292"/>
      <c r="L4" s="292"/>
      <c r="M4" s="292"/>
      <c r="N4" s="292"/>
      <c r="O4" s="292"/>
      <c r="P4" s="292"/>
      <c r="Q4" s="292"/>
      <c r="R4" s="292"/>
      <c r="S4" s="292"/>
      <c r="T4" s="292"/>
      <c r="U4" s="292"/>
      <c r="V4" s="292"/>
      <c r="W4" s="292"/>
      <c r="X4" s="292"/>
      <c r="Y4" s="292"/>
      <c r="Z4" s="292"/>
      <c r="AA4" s="292"/>
      <c r="AB4" s="292"/>
    </row>
    <row r="5" spans="1:69" ht="14.45">
      <c r="A5" s="41"/>
      <c r="B5" s="10"/>
      <c r="C5" s="10"/>
      <c r="D5" s="10"/>
      <c r="E5" s="10"/>
      <c r="F5" s="10"/>
      <c r="G5" s="10"/>
      <c r="H5" s="10"/>
      <c r="I5" s="10"/>
      <c r="J5" s="10"/>
      <c r="K5" s="10"/>
      <c r="L5" s="67"/>
      <c r="M5" s="67"/>
      <c r="N5" s="67"/>
      <c r="O5" s="67"/>
      <c r="P5" s="67"/>
      <c r="Q5" s="67"/>
      <c r="R5" s="67"/>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row>
    <row r="6" spans="1:69" s="11" customFormat="1" ht="14.45">
      <c r="A6" s="35" t="e">
        <f ca="1">RIGHT(CELL("filename",A1),LEN(CELL("filename",A1))-FIND("]",CELL("filename",A1)))</f>
        <v>#VALUE!</v>
      </c>
      <c r="B6" s="43"/>
      <c r="C6" s="43"/>
      <c r="D6" s="43"/>
      <c r="E6" s="43"/>
      <c r="F6" s="43"/>
      <c r="G6" s="43"/>
      <c r="H6" s="43"/>
      <c r="I6" s="43"/>
      <c r="J6" s="43"/>
      <c r="K6" s="43"/>
      <c r="L6" s="68"/>
      <c r="M6" s="68"/>
      <c r="N6" s="68"/>
      <c r="O6" s="68"/>
      <c r="P6" s="68"/>
      <c r="Q6" s="68"/>
      <c r="R6" s="68"/>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36"/>
    </row>
    <row r="7" spans="1:69" s="11" customFormat="1">
      <c r="A7" s="25"/>
      <c r="B7" s="12"/>
      <c r="C7" s="12"/>
      <c r="D7" s="12"/>
      <c r="E7" s="12"/>
      <c r="F7" s="12"/>
      <c r="G7" s="12"/>
      <c r="H7" s="12"/>
      <c r="I7" s="12"/>
      <c r="J7" s="12"/>
      <c r="K7" s="12"/>
      <c r="L7" s="70"/>
      <c r="M7" s="70"/>
      <c r="N7" s="70"/>
      <c r="O7" s="70"/>
      <c r="P7" s="70"/>
      <c r="Q7" s="70"/>
      <c r="R7" s="70"/>
      <c r="BP7" s="13"/>
      <c r="BQ7" s="11" t="s">
        <v>548</v>
      </c>
    </row>
    <row r="8" spans="1:69" s="11" customFormat="1" ht="18" customHeight="1">
      <c r="A8" s="25"/>
      <c r="B8" s="143" t="s">
        <v>550</v>
      </c>
      <c r="C8" s="143"/>
      <c r="D8" s="143"/>
      <c r="E8" s="143"/>
      <c r="F8" s="143"/>
      <c r="G8" s="143"/>
      <c r="H8" s="143"/>
      <c r="I8" s="143"/>
      <c r="J8" s="143"/>
      <c r="K8" s="143"/>
      <c r="L8" s="144" t="s">
        <v>614</v>
      </c>
      <c r="M8" s="145"/>
      <c r="N8" s="145"/>
      <c r="O8" s="145"/>
      <c r="P8" s="145"/>
      <c r="Q8" s="145"/>
      <c r="R8" s="145"/>
      <c r="S8" s="145"/>
      <c r="T8" s="145"/>
      <c r="U8" s="145"/>
      <c r="V8" s="145"/>
      <c r="W8" s="145"/>
      <c r="X8" s="145"/>
      <c r="Y8" s="146"/>
      <c r="Z8" s="144" t="s">
        <v>615</v>
      </c>
      <c r="AA8" s="145"/>
      <c r="AB8" s="145"/>
      <c r="AC8" s="145"/>
      <c r="AD8" s="145"/>
      <c r="AE8" s="145"/>
      <c r="AF8" s="145"/>
      <c r="AG8" s="145"/>
      <c r="AH8" s="145"/>
      <c r="AI8" s="145"/>
      <c r="AJ8" s="145"/>
      <c r="AK8" s="145"/>
      <c r="AL8" s="145"/>
      <c r="AM8" s="146"/>
      <c r="AN8" s="137" t="s">
        <v>76</v>
      </c>
      <c r="AO8" s="138"/>
      <c r="AP8" s="138"/>
      <c r="AQ8" s="138"/>
      <c r="AR8" s="138"/>
      <c r="AS8" s="138"/>
      <c r="AT8" s="139"/>
      <c r="AU8" s="133" t="s">
        <v>94</v>
      </c>
      <c r="AV8" s="133"/>
      <c r="AW8" s="133"/>
      <c r="AX8" s="133"/>
      <c r="AY8" s="133"/>
      <c r="AZ8" s="133"/>
      <c r="BA8" s="133"/>
      <c r="BB8" s="133"/>
      <c r="BC8" s="133"/>
      <c r="BD8" s="133"/>
      <c r="BE8" s="133"/>
      <c r="BF8" s="133"/>
      <c r="BG8" s="133"/>
      <c r="BH8" s="133"/>
      <c r="BI8" s="133"/>
      <c r="BJ8" s="133"/>
      <c r="BK8" s="132" t="s">
        <v>96</v>
      </c>
      <c r="BL8" s="133"/>
      <c r="BM8" s="133"/>
      <c r="BN8" s="133"/>
      <c r="BO8" s="133"/>
      <c r="BP8" s="13"/>
      <c r="BQ8" s="11" t="s">
        <v>549</v>
      </c>
    </row>
    <row r="9" spans="1:69" s="11" customFormat="1" ht="13.5" customHeight="1">
      <c r="A9" s="25"/>
      <c r="B9" s="143"/>
      <c r="C9" s="143"/>
      <c r="D9" s="143"/>
      <c r="E9" s="143"/>
      <c r="F9" s="143"/>
      <c r="G9" s="143"/>
      <c r="H9" s="143"/>
      <c r="I9" s="143"/>
      <c r="J9" s="143"/>
      <c r="K9" s="143"/>
      <c r="L9" s="134" t="s">
        <v>82</v>
      </c>
      <c r="M9" s="135"/>
      <c r="N9" s="135"/>
      <c r="O9" s="135"/>
      <c r="P9" s="135"/>
      <c r="Q9" s="135"/>
      <c r="R9" s="135"/>
      <c r="S9" s="134" t="s">
        <v>553</v>
      </c>
      <c r="T9" s="135"/>
      <c r="U9" s="135"/>
      <c r="V9" s="135"/>
      <c r="W9" s="135"/>
      <c r="X9" s="135"/>
      <c r="Y9" s="136"/>
      <c r="Z9" s="134" t="s">
        <v>82</v>
      </c>
      <c r="AA9" s="135"/>
      <c r="AB9" s="135"/>
      <c r="AC9" s="135"/>
      <c r="AD9" s="135"/>
      <c r="AE9" s="135"/>
      <c r="AF9" s="135"/>
      <c r="AG9" s="134" t="s">
        <v>553</v>
      </c>
      <c r="AH9" s="135"/>
      <c r="AI9" s="135"/>
      <c r="AJ9" s="135"/>
      <c r="AK9" s="135"/>
      <c r="AL9" s="135"/>
      <c r="AM9" s="136"/>
      <c r="AN9" s="137" t="s">
        <v>91</v>
      </c>
      <c r="AO9" s="138"/>
      <c r="AP9" s="138"/>
      <c r="AQ9" s="138"/>
      <c r="AR9" s="138"/>
      <c r="AS9" s="138"/>
      <c r="AT9" s="139"/>
      <c r="AU9" s="133"/>
      <c r="AV9" s="133"/>
      <c r="AW9" s="133"/>
      <c r="AX9" s="133"/>
      <c r="AY9" s="133"/>
      <c r="AZ9" s="133"/>
      <c r="BA9" s="133"/>
      <c r="BB9" s="133"/>
      <c r="BC9" s="133"/>
      <c r="BD9" s="133"/>
      <c r="BE9" s="133"/>
      <c r="BF9" s="133"/>
      <c r="BG9" s="133"/>
      <c r="BH9" s="133"/>
      <c r="BI9" s="133"/>
      <c r="BJ9" s="133"/>
      <c r="BK9" s="133"/>
      <c r="BL9" s="133"/>
      <c r="BM9" s="133"/>
      <c r="BN9" s="133"/>
      <c r="BO9" s="133"/>
      <c r="BP9" s="13"/>
      <c r="BQ9" s="45" t="s">
        <v>797</v>
      </c>
    </row>
    <row r="10" spans="1:69" s="11" customFormat="1">
      <c r="A10" s="25"/>
      <c r="B10" s="26" t="s">
        <v>554</v>
      </c>
      <c r="C10" s="31"/>
      <c r="D10" s="31"/>
      <c r="E10" s="31"/>
      <c r="F10" s="23"/>
      <c r="G10" s="23"/>
      <c r="H10" s="23"/>
      <c r="I10" s="23"/>
      <c r="J10" s="23"/>
      <c r="K10" s="23"/>
      <c r="L10" s="44"/>
      <c r="M10" s="44"/>
      <c r="N10" s="44"/>
      <c r="O10" s="44"/>
      <c r="P10" s="44"/>
      <c r="Q10" s="44"/>
      <c r="R10" s="44"/>
      <c r="S10" s="44"/>
      <c r="T10" s="44"/>
      <c r="U10" s="44"/>
      <c r="V10" s="44"/>
      <c r="W10" s="44"/>
      <c r="X10" s="44"/>
      <c r="Y10" s="44"/>
      <c r="Z10" s="23"/>
      <c r="AA10" s="23"/>
      <c r="AB10" s="23"/>
      <c r="AC10" s="23"/>
      <c r="AD10" s="23"/>
      <c r="AE10" s="23"/>
      <c r="AF10" s="23"/>
      <c r="AG10" s="30"/>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13"/>
    </row>
    <row r="11" spans="1:69" s="11" customFormat="1">
      <c r="A11" s="25"/>
      <c r="B11" s="27"/>
      <c r="C11" s="21"/>
      <c r="D11" s="21"/>
      <c r="E11" s="21"/>
      <c r="F11" s="21"/>
      <c r="G11" s="21"/>
      <c r="H11" s="21"/>
      <c r="I11" s="21"/>
      <c r="J11" s="21"/>
      <c r="K11" s="20"/>
      <c r="L11" s="40"/>
      <c r="M11" s="38"/>
      <c r="N11" s="38"/>
      <c r="O11" s="38"/>
      <c r="P11" s="38"/>
      <c r="Q11" s="38"/>
      <c r="R11" s="39"/>
      <c r="S11" s="40"/>
      <c r="T11" s="38"/>
      <c r="U11" s="38"/>
      <c r="V11" s="38"/>
      <c r="W11" s="38"/>
      <c r="X11" s="38"/>
      <c r="Y11" s="39"/>
      <c r="Z11" s="27"/>
      <c r="AA11" s="21"/>
      <c r="AB11" s="21"/>
      <c r="AC11" s="21"/>
      <c r="AD11" s="21"/>
      <c r="AE11" s="21"/>
      <c r="AF11" s="21"/>
      <c r="AG11" s="27"/>
      <c r="AH11" s="21"/>
      <c r="AI11" s="21"/>
      <c r="AJ11" s="21"/>
      <c r="AK11" s="21"/>
      <c r="AL11" s="21"/>
      <c r="AM11" s="20"/>
      <c r="AN11" s="21"/>
      <c r="AO11" s="21"/>
      <c r="AP11" s="21"/>
      <c r="AQ11" s="21"/>
      <c r="AR11" s="21"/>
      <c r="AS11" s="21"/>
      <c r="AT11" s="21"/>
      <c r="AU11" s="27"/>
      <c r="AV11" s="21"/>
      <c r="AW11" s="21"/>
      <c r="AX11" s="21"/>
      <c r="AY11" s="21"/>
      <c r="AZ11" s="21"/>
      <c r="BA11" s="21"/>
      <c r="BB11" s="21"/>
      <c r="BC11" s="21"/>
      <c r="BD11" s="21"/>
      <c r="BE11" s="21"/>
      <c r="BF11" s="21"/>
      <c r="BG11" s="21"/>
      <c r="BH11" s="21"/>
      <c r="BI11" s="21"/>
      <c r="BJ11" s="21"/>
      <c r="BK11" s="27"/>
      <c r="BL11" s="21"/>
      <c r="BM11" s="21"/>
      <c r="BN11" s="21"/>
      <c r="BO11" s="20"/>
      <c r="BP11" s="13"/>
      <c r="BQ11" s="11" t="s">
        <v>555</v>
      </c>
    </row>
    <row r="12" spans="1:69" s="11" customFormat="1">
      <c r="A12" s="25"/>
      <c r="B12" s="27"/>
      <c r="C12" s="21"/>
      <c r="D12" s="21"/>
      <c r="E12" s="21"/>
      <c r="F12" s="21"/>
      <c r="G12" s="21"/>
      <c r="H12" s="21"/>
      <c r="I12" s="21"/>
      <c r="J12" s="21"/>
      <c r="K12" s="20"/>
      <c r="L12" s="27"/>
      <c r="M12" s="21"/>
      <c r="N12" s="21"/>
      <c r="O12" s="21"/>
      <c r="P12" s="21"/>
      <c r="Q12" s="21"/>
      <c r="R12" s="20"/>
      <c r="S12" s="27"/>
      <c r="T12" s="21"/>
      <c r="U12" s="21"/>
      <c r="V12" s="21"/>
      <c r="W12" s="21"/>
      <c r="X12" s="21"/>
      <c r="Y12" s="20"/>
      <c r="Z12" s="27"/>
      <c r="AA12" s="21"/>
      <c r="AB12" s="21"/>
      <c r="AC12" s="21"/>
      <c r="AD12" s="21"/>
      <c r="AE12" s="21"/>
      <c r="AF12" s="21"/>
      <c r="AG12" s="27"/>
      <c r="AH12" s="21"/>
      <c r="AI12" s="21"/>
      <c r="AJ12" s="21"/>
      <c r="AK12" s="21"/>
      <c r="AL12" s="21"/>
      <c r="AM12" s="20"/>
      <c r="AN12" s="21"/>
      <c r="AO12" s="21"/>
      <c r="AP12" s="21"/>
      <c r="AQ12" s="21"/>
      <c r="AR12" s="21"/>
      <c r="AS12" s="21"/>
      <c r="AT12" s="21"/>
      <c r="AU12" s="27"/>
      <c r="AV12" s="51" t="s">
        <v>556</v>
      </c>
      <c r="AW12" s="21"/>
      <c r="AX12" s="21"/>
      <c r="AY12" s="21"/>
      <c r="AZ12" s="21"/>
      <c r="BA12" s="21"/>
      <c r="BB12" s="21"/>
      <c r="BC12" s="21"/>
      <c r="BD12" s="21"/>
      <c r="BE12" s="21"/>
      <c r="BF12" s="21"/>
      <c r="BG12" s="21"/>
      <c r="BH12" s="21"/>
      <c r="BI12" s="21"/>
      <c r="BJ12" s="21"/>
      <c r="BK12" s="27"/>
      <c r="BL12" s="21"/>
      <c r="BM12" s="21"/>
      <c r="BN12" s="21"/>
      <c r="BO12" s="20"/>
      <c r="BP12" s="13"/>
      <c r="BQ12" s="11" t="s">
        <v>557</v>
      </c>
    </row>
    <row r="13" spans="1:69" s="11" customFormat="1">
      <c r="A13" s="25"/>
      <c r="B13" s="27"/>
      <c r="C13" s="21"/>
      <c r="D13" s="21"/>
      <c r="E13" s="21"/>
      <c r="F13" s="21"/>
      <c r="G13" s="21"/>
      <c r="H13" s="21"/>
      <c r="I13" s="21"/>
      <c r="J13" s="21"/>
      <c r="K13" s="20"/>
      <c r="L13" s="27"/>
      <c r="M13" s="21"/>
      <c r="N13" s="21"/>
      <c r="O13" s="21"/>
      <c r="P13" s="21"/>
      <c r="Q13" s="21"/>
      <c r="R13" s="20"/>
      <c r="S13" s="27"/>
      <c r="T13" s="21"/>
      <c r="U13" s="21"/>
      <c r="V13" s="21"/>
      <c r="W13" s="21"/>
      <c r="X13" s="21"/>
      <c r="Y13" s="20"/>
      <c r="Z13" s="27"/>
      <c r="AA13" s="21"/>
      <c r="AB13" s="21"/>
      <c r="AC13" s="21"/>
      <c r="AD13" s="21"/>
      <c r="AE13" s="21"/>
      <c r="AF13" s="21"/>
      <c r="AG13" s="27"/>
      <c r="AH13" s="21"/>
      <c r="AI13" s="21"/>
      <c r="AJ13" s="21"/>
      <c r="AK13" s="21"/>
      <c r="AL13" s="21"/>
      <c r="AM13" s="20"/>
      <c r="AN13" s="21"/>
      <c r="AO13" s="21"/>
      <c r="AP13" s="21"/>
      <c r="AQ13" s="21"/>
      <c r="AR13" s="21"/>
      <c r="AS13" s="21"/>
      <c r="AT13" s="21"/>
      <c r="AU13" s="27"/>
      <c r="AV13" s="21"/>
      <c r="AW13" s="21"/>
      <c r="AX13" s="21"/>
      <c r="AY13" s="21"/>
      <c r="AZ13" s="21"/>
      <c r="BA13" s="21"/>
      <c r="BB13" s="21"/>
      <c r="BC13" s="21"/>
      <c r="BD13" s="21"/>
      <c r="BE13" s="21"/>
      <c r="BF13" s="21"/>
      <c r="BG13" s="21"/>
      <c r="BH13" s="21"/>
      <c r="BI13" s="21"/>
      <c r="BJ13" s="21"/>
      <c r="BK13" s="27"/>
      <c r="BL13" s="21"/>
      <c r="BM13" s="21"/>
      <c r="BN13" s="21"/>
      <c r="BO13" s="20"/>
      <c r="BP13" s="13"/>
      <c r="BQ13" s="11" t="s">
        <v>558</v>
      </c>
    </row>
    <row r="14" spans="1:69" ht="14.45">
      <c r="A14" s="24"/>
      <c r="B14" s="24"/>
      <c r="K14" s="14"/>
      <c r="L14" s="71"/>
      <c r="M14" s="66"/>
      <c r="N14" s="66"/>
      <c r="O14" s="66"/>
      <c r="P14" s="66"/>
      <c r="Q14" s="66"/>
      <c r="R14" s="72"/>
      <c r="S14" s="24"/>
      <c r="Y14" s="14"/>
      <c r="Z14" s="24"/>
      <c r="AG14" s="24"/>
      <c r="AM14" s="14"/>
      <c r="AU14" s="24"/>
      <c r="BK14" s="24"/>
      <c r="BO14" s="14"/>
      <c r="BP14" s="14"/>
    </row>
    <row r="15" spans="1:69" ht="14.45">
      <c r="A15" s="24"/>
      <c r="B15" s="24"/>
      <c r="K15" s="14"/>
      <c r="L15" s="71"/>
      <c r="M15" s="66"/>
      <c r="N15" s="66"/>
      <c r="O15" s="66"/>
      <c r="P15" s="66"/>
      <c r="Q15" s="66"/>
      <c r="R15" s="72"/>
      <c r="S15" s="24"/>
      <c r="Y15" s="14"/>
      <c r="Z15" s="24"/>
      <c r="AG15" s="24"/>
      <c r="AM15" s="14"/>
      <c r="AU15" s="24"/>
      <c r="BK15" s="24"/>
      <c r="BO15" s="14"/>
      <c r="BP15" s="14"/>
    </row>
    <row r="16" spans="1:69">
      <c r="A16" s="24"/>
      <c r="B16" s="24"/>
      <c r="K16" s="14"/>
      <c r="L16" s="71"/>
      <c r="M16" s="66"/>
      <c r="N16" s="66"/>
      <c r="O16" s="66"/>
      <c r="P16" s="66"/>
      <c r="Q16" s="66"/>
      <c r="R16" s="72"/>
      <c r="S16" s="24"/>
      <c r="Y16" s="14"/>
      <c r="Z16" s="24"/>
      <c r="AG16" s="24"/>
      <c r="AM16" s="14"/>
      <c r="AU16" s="24"/>
      <c r="AV16" s="16" t="s">
        <v>559</v>
      </c>
      <c r="BK16" s="24"/>
      <c r="BO16" s="14"/>
      <c r="BP16" s="14"/>
    </row>
    <row r="17" spans="1:71">
      <c r="A17" s="24"/>
      <c r="B17" s="24"/>
      <c r="K17" s="14"/>
      <c r="L17" s="71"/>
      <c r="M17" s="66"/>
      <c r="N17" s="66"/>
      <c r="O17" s="66"/>
      <c r="P17" s="66"/>
      <c r="Q17" s="66"/>
      <c r="R17" s="72"/>
      <c r="S17" s="24"/>
      <c r="Y17" s="14"/>
      <c r="Z17" s="24"/>
      <c r="AG17" s="24"/>
      <c r="AM17" s="14"/>
      <c r="AU17" s="24"/>
      <c r="AW17" s="8" t="s">
        <v>560</v>
      </c>
      <c r="BK17" s="24"/>
      <c r="BO17" s="14"/>
      <c r="BP17" s="14"/>
    </row>
    <row r="18" spans="1:71" ht="14.45">
      <c r="A18" s="24"/>
      <c r="B18" s="24"/>
      <c r="K18" s="14"/>
      <c r="L18" s="71"/>
      <c r="M18" s="66"/>
      <c r="N18" s="66"/>
      <c r="O18" s="66"/>
      <c r="P18" s="66"/>
      <c r="Q18" s="66"/>
      <c r="R18" s="72"/>
      <c r="S18" s="24"/>
      <c r="Y18" s="14"/>
      <c r="Z18" s="24"/>
      <c r="AG18" s="24"/>
      <c r="AM18" s="14"/>
      <c r="AU18" s="24"/>
      <c r="AV18" s="48"/>
      <c r="BK18" s="46"/>
      <c r="BO18" s="14"/>
      <c r="BP18" s="14"/>
    </row>
    <row r="19" spans="1:71" ht="14.45">
      <c r="A19" s="24"/>
      <c r="B19" s="24"/>
      <c r="K19" s="14"/>
      <c r="L19" s="71"/>
      <c r="M19" s="66"/>
      <c r="N19" s="66"/>
      <c r="O19" s="66"/>
      <c r="P19" s="66"/>
      <c r="Q19" s="66"/>
      <c r="R19" s="72"/>
      <c r="S19" s="24"/>
      <c r="Y19" s="14"/>
      <c r="Z19" s="24"/>
      <c r="AG19" s="24"/>
      <c r="AM19" s="14"/>
      <c r="AU19" s="24"/>
      <c r="AW19" s="47"/>
      <c r="BK19" s="24"/>
      <c r="BO19" s="14"/>
      <c r="BP19" s="14"/>
    </row>
    <row r="20" spans="1:71" ht="14.45">
      <c r="A20" s="24"/>
      <c r="B20" s="24"/>
      <c r="K20" s="14"/>
      <c r="L20" s="71"/>
      <c r="M20" s="66"/>
      <c r="N20" s="66"/>
      <c r="O20" s="66"/>
      <c r="P20" s="66"/>
      <c r="Q20" s="66"/>
      <c r="R20" s="72"/>
      <c r="S20" s="24"/>
      <c r="Y20" s="14"/>
      <c r="Z20" s="24"/>
      <c r="AG20" s="24"/>
      <c r="AM20" s="14"/>
      <c r="AU20" s="24"/>
      <c r="BK20" s="24"/>
      <c r="BO20" s="14"/>
      <c r="BP20" s="14"/>
    </row>
    <row r="21" spans="1:71">
      <c r="A21" s="24"/>
      <c r="B21" s="24"/>
      <c r="K21" s="14"/>
      <c r="L21" s="71"/>
      <c r="M21" s="66"/>
      <c r="N21" s="66"/>
      <c r="O21" s="66"/>
      <c r="P21" s="66"/>
      <c r="Q21" s="66"/>
      <c r="R21" s="72"/>
      <c r="S21" s="24"/>
      <c r="Y21" s="14"/>
      <c r="Z21" s="24"/>
      <c r="AG21" s="24"/>
      <c r="AM21" s="14"/>
      <c r="AU21" s="24"/>
      <c r="AV21" s="16" t="s">
        <v>561</v>
      </c>
      <c r="BK21" s="24"/>
      <c r="BO21" s="14"/>
      <c r="BP21" s="14"/>
    </row>
    <row r="22" spans="1:71">
      <c r="A22" s="24"/>
      <c r="B22" s="24"/>
      <c r="K22" s="14"/>
      <c r="L22" s="71"/>
      <c r="M22" s="66"/>
      <c r="N22" s="66"/>
      <c r="O22" s="66"/>
      <c r="P22" s="66"/>
      <c r="Q22" s="66"/>
      <c r="R22" s="72"/>
      <c r="S22" s="24"/>
      <c r="Y22" s="14"/>
      <c r="Z22" s="24"/>
      <c r="AG22" s="24"/>
      <c r="AM22" s="14"/>
      <c r="AU22" s="24"/>
      <c r="AW22" s="8" t="s">
        <v>562</v>
      </c>
      <c r="BK22" s="24"/>
      <c r="BO22" s="14"/>
      <c r="BP22" s="14"/>
    </row>
    <row r="23" spans="1:71" ht="14.45">
      <c r="A23" s="24"/>
      <c r="B23" s="24"/>
      <c r="K23" s="14"/>
      <c r="L23" s="71"/>
      <c r="M23" s="66"/>
      <c r="N23" s="66"/>
      <c r="O23" s="66"/>
      <c r="P23" s="66"/>
      <c r="Q23" s="66"/>
      <c r="R23" s="72"/>
      <c r="S23" s="24"/>
      <c r="Y23" s="14"/>
      <c r="Z23" s="24"/>
      <c r="AG23" s="24"/>
      <c r="AM23" s="14"/>
      <c r="AU23" s="24"/>
      <c r="AW23" s="47"/>
      <c r="BK23" s="24"/>
      <c r="BO23" s="14"/>
      <c r="BP23" s="14"/>
    </row>
    <row r="24" spans="1:71" ht="14.45">
      <c r="A24" s="24"/>
      <c r="B24" s="24"/>
      <c r="K24" s="14"/>
      <c r="L24" s="71"/>
      <c r="M24" s="66"/>
      <c r="N24" s="66"/>
      <c r="O24" s="66"/>
      <c r="P24" s="66"/>
      <c r="Q24" s="66"/>
      <c r="R24" s="72"/>
      <c r="S24" s="24"/>
      <c r="Y24" s="14"/>
      <c r="Z24" s="24"/>
      <c r="AG24" s="24"/>
      <c r="AM24" s="14"/>
      <c r="AU24" s="24"/>
      <c r="AW24" s="47"/>
      <c r="BK24" s="24"/>
      <c r="BO24" s="14"/>
      <c r="BP24" s="14"/>
    </row>
    <row r="25" spans="1:71" ht="14.45">
      <c r="A25" s="24"/>
      <c r="B25" s="24"/>
      <c r="K25" s="14"/>
      <c r="L25" s="71"/>
      <c r="M25" s="66"/>
      <c r="N25" s="66"/>
      <c r="O25" s="66"/>
      <c r="P25" s="66"/>
      <c r="Q25" s="66"/>
      <c r="R25" s="72"/>
      <c r="S25" s="24"/>
      <c r="Y25" s="14"/>
      <c r="Z25" s="24"/>
      <c r="AG25" s="24"/>
      <c r="AM25" s="14"/>
      <c r="AU25" s="24"/>
      <c r="AW25" s="47"/>
      <c r="BK25" s="24"/>
      <c r="BO25" s="14"/>
      <c r="BP25" s="14"/>
    </row>
    <row r="26" spans="1:71" ht="14.45">
      <c r="A26" s="24"/>
      <c r="B26" s="24"/>
      <c r="K26" s="14"/>
      <c r="L26" s="71"/>
      <c r="M26" s="66"/>
      <c r="N26" s="66"/>
      <c r="O26" s="66"/>
      <c r="P26" s="66"/>
      <c r="Q26" s="66"/>
      <c r="R26" s="72"/>
      <c r="S26" s="24"/>
      <c r="Y26" s="14"/>
      <c r="AG26" s="24"/>
      <c r="AM26" s="14"/>
      <c r="AU26" s="24"/>
      <c r="BK26" s="24"/>
      <c r="BO26" s="14"/>
      <c r="BP26" s="14"/>
    </row>
    <row r="27" spans="1:71" ht="14.45">
      <c r="A27" s="24"/>
      <c r="B27" s="24"/>
      <c r="K27" s="14"/>
      <c r="L27" s="71"/>
      <c r="M27" s="66"/>
      <c r="N27" s="66"/>
      <c r="O27" s="66"/>
      <c r="P27" s="66"/>
      <c r="Q27" s="66"/>
      <c r="R27" s="72"/>
      <c r="S27" s="24"/>
      <c r="Y27" s="14"/>
      <c r="AG27" s="24"/>
      <c r="AM27" s="14"/>
      <c r="AU27" s="24"/>
      <c r="BK27" s="24"/>
      <c r="BO27" s="14"/>
      <c r="BP27" s="14"/>
    </row>
    <row r="28" spans="1:71">
      <c r="A28" s="24"/>
      <c r="B28" s="24"/>
      <c r="K28" s="14"/>
      <c r="L28" s="71"/>
      <c r="M28" s="66"/>
      <c r="N28" s="66"/>
      <c r="O28" s="66"/>
      <c r="P28" s="66"/>
      <c r="Q28" s="66"/>
      <c r="R28" s="72"/>
      <c r="S28" s="24"/>
      <c r="Y28" s="14"/>
      <c r="AG28" s="24"/>
      <c r="AM28" s="14"/>
      <c r="AU28" s="24"/>
      <c r="AV28" s="16" t="s">
        <v>563</v>
      </c>
      <c r="BK28" s="24"/>
      <c r="BO28" s="14"/>
      <c r="BP28" s="14"/>
    </row>
    <row r="29" spans="1:71">
      <c r="A29" s="24"/>
      <c r="B29" s="24"/>
      <c r="K29" s="14"/>
      <c r="L29" s="71"/>
      <c r="M29" s="66"/>
      <c r="N29" s="66"/>
      <c r="O29" s="66"/>
      <c r="P29" s="66"/>
      <c r="Q29" s="66"/>
      <c r="R29" s="72"/>
      <c r="S29" s="24"/>
      <c r="Y29" s="14"/>
      <c r="AG29" s="24"/>
      <c r="AM29" s="14"/>
      <c r="AU29" s="24"/>
      <c r="AW29" s="17" t="s">
        <v>564</v>
      </c>
      <c r="BK29" s="24"/>
      <c r="BO29" s="14"/>
      <c r="BP29" s="14"/>
    </row>
    <row r="30" spans="1:71" ht="14.45">
      <c r="A30" s="24"/>
      <c r="B30" s="24"/>
      <c r="K30" s="14"/>
      <c r="L30" s="71"/>
      <c r="M30" s="66"/>
      <c r="N30" s="66"/>
      <c r="O30" s="66"/>
      <c r="P30" s="66"/>
      <c r="Q30" s="66"/>
      <c r="R30" s="72"/>
      <c r="S30" s="24"/>
      <c r="Y30" s="14"/>
      <c r="AG30" s="24"/>
      <c r="AM30" s="14"/>
      <c r="AU30" s="24"/>
      <c r="AW30" s="49"/>
      <c r="BF30" s="45"/>
      <c r="BK30" s="24"/>
      <c r="BO30" s="14"/>
      <c r="BP30" s="14"/>
      <c r="BS30" s="49"/>
    </row>
    <row r="31" spans="1:71" ht="14.45">
      <c r="A31" s="24"/>
      <c r="B31" s="24"/>
      <c r="K31" s="14"/>
      <c r="L31" s="71"/>
      <c r="M31" s="66"/>
      <c r="N31" s="66"/>
      <c r="O31" s="66"/>
      <c r="P31" s="66"/>
      <c r="Q31" s="66"/>
      <c r="R31" s="72"/>
      <c r="S31" s="24"/>
      <c r="Y31" s="14"/>
      <c r="Z31" s="24"/>
      <c r="AG31" s="24"/>
      <c r="AM31" s="14"/>
      <c r="AU31" s="24"/>
      <c r="AW31" s="49"/>
      <c r="AX31" s="49"/>
      <c r="BK31" s="24"/>
      <c r="BO31" s="14"/>
      <c r="BP31" s="14"/>
    </row>
    <row r="32" spans="1:71" ht="14.45">
      <c r="A32" s="24"/>
      <c r="B32" s="24"/>
      <c r="K32" s="14"/>
      <c r="L32" s="71"/>
      <c r="M32" s="66"/>
      <c r="N32" s="66"/>
      <c r="O32" s="66"/>
      <c r="P32" s="66"/>
      <c r="Q32" s="66"/>
      <c r="R32" s="72"/>
      <c r="S32" s="24"/>
      <c r="Y32" s="14"/>
      <c r="AG32" s="24"/>
      <c r="AM32" s="14"/>
      <c r="AU32" s="24"/>
      <c r="AX32" s="49"/>
      <c r="BK32" s="46"/>
      <c r="BO32" s="14"/>
      <c r="BP32" s="14"/>
    </row>
    <row r="33" spans="1:69" ht="14.45">
      <c r="A33" s="24"/>
      <c r="B33" s="24"/>
      <c r="L33" s="71"/>
      <c r="M33" s="66"/>
      <c r="N33" s="66"/>
      <c r="O33" s="66"/>
      <c r="P33" s="66"/>
      <c r="Q33" s="66"/>
      <c r="R33" s="72"/>
      <c r="S33" s="24"/>
      <c r="Y33" s="14"/>
      <c r="Z33" s="24"/>
      <c r="AG33" s="24"/>
      <c r="AN33" s="24"/>
      <c r="AU33" s="24"/>
      <c r="BK33" s="24"/>
      <c r="BO33" s="14"/>
      <c r="BP33" s="14"/>
    </row>
    <row r="34" spans="1:69">
      <c r="A34" s="24"/>
      <c r="B34" s="24"/>
      <c r="L34" s="71"/>
      <c r="M34" s="66"/>
      <c r="N34" s="66"/>
      <c r="O34" s="66"/>
      <c r="P34" s="66"/>
      <c r="Q34" s="66"/>
      <c r="R34" s="72"/>
      <c r="S34" s="24"/>
      <c r="Y34" s="14"/>
      <c r="Z34" s="24"/>
      <c r="AG34" s="24"/>
      <c r="AN34" s="24"/>
      <c r="AU34" s="24"/>
      <c r="AV34" s="16" t="s">
        <v>616</v>
      </c>
      <c r="BK34" s="24"/>
      <c r="BO34" s="14"/>
      <c r="BP34" s="14"/>
    </row>
    <row r="35" spans="1:69">
      <c r="A35" s="24"/>
      <c r="B35" s="24"/>
      <c r="L35" s="71"/>
      <c r="M35" s="66"/>
      <c r="N35" s="66"/>
      <c r="O35" s="66"/>
      <c r="P35" s="66"/>
      <c r="Q35" s="66"/>
      <c r="R35" s="72"/>
      <c r="S35" s="24"/>
      <c r="Y35" s="14"/>
      <c r="Z35" s="24"/>
      <c r="AG35" s="24"/>
      <c r="AN35" s="24"/>
      <c r="AU35" s="24"/>
      <c r="AW35" s="8" t="s">
        <v>617</v>
      </c>
      <c r="BK35" s="24"/>
      <c r="BO35" s="14"/>
      <c r="BP35" s="14"/>
    </row>
    <row r="36" spans="1:69" ht="14.45">
      <c r="A36" s="24"/>
      <c r="B36" s="24"/>
      <c r="L36" s="71"/>
      <c r="M36" s="66"/>
      <c r="N36" s="66"/>
      <c r="O36" s="66"/>
      <c r="P36" s="66"/>
      <c r="Q36" s="66"/>
      <c r="R36" s="72"/>
      <c r="S36" s="24"/>
      <c r="Y36" s="14"/>
      <c r="Z36" s="24"/>
      <c r="AG36" s="24"/>
      <c r="AN36" s="24"/>
      <c r="AU36" s="24"/>
      <c r="BK36" s="24"/>
      <c r="BO36" s="14"/>
      <c r="BP36" s="14"/>
    </row>
    <row r="37" spans="1:69" ht="14.45">
      <c r="A37" s="24"/>
      <c r="B37" s="24"/>
      <c r="L37" s="71"/>
      <c r="M37" s="66"/>
      <c r="N37" s="66"/>
      <c r="O37" s="66"/>
      <c r="P37" s="66"/>
      <c r="Q37" s="66"/>
      <c r="R37" s="72"/>
      <c r="S37" s="24"/>
      <c r="Y37" s="14"/>
      <c r="Z37" s="24"/>
      <c r="AG37" s="24"/>
      <c r="AN37" s="24"/>
      <c r="AU37" s="24"/>
      <c r="BK37" s="24"/>
      <c r="BO37" s="14"/>
      <c r="BP37" s="14"/>
    </row>
    <row r="38" spans="1:69" ht="14.45">
      <c r="A38" s="24"/>
      <c r="B38" s="24"/>
      <c r="L38" s="71"/>
      <c r="M38" s="66"/>
      <c r="N38" s="66"/>
      <c r="O38" s="66"/>
      <c r="P38" s="66"/>
      <c r="Q38" s="66"/>
      <c r="R38" s="72"/>
      <c r="S38" s="24"/>
      <c r="Y38" s="14"/>
      <c r="Z38" s="24"/>
      <c r="AG38" s="24"/>
      <c r="AN38" s="24"/>
      <c r="AU38" s="24"/>
      <c r="BK38" s="24"/>
      <c r="BO38" s="14"/>
      <c r="BP38" s="14"/>
    </row>
    <row r="39" spans="1:69">
      <c r="A39" s="24"/>
      <c r="B39" s="24"/>
      <c r="L39" s="71"/>
      <c r="M39" s="66"/>
      <c r="N39" s="66"/>
      <c r="O39" s="66"/>
      <c r="P39" s="66"/>
      <c r="Q39" s="66"/>
      <c r="R39" s="72"/>
      <c r="S39" s="24"/>
      <c r="Y39" s="14"/>
      <c r="Z39" s="24"/>
      <c r="AG39" s="24"/>
      <c r="AN39" s="24"/>
      <c r="AU39" s="24"/>
      <c r="BK39" s="24"/>
      <c r="BO39" s="14"/>
      <c r="BP39" s="14"/>
      <c r="BQ39" s="8" t="s">
        <v>618</v>
      </c>
    </row>
    <row r="40" spans="1:69" ht="14.45">
      <c r="A40" s="24"/>
      <c r="B40" s="24"/>
      <c r="L40" s="71"/>
      <c r="M40" s="66"/>
      <c r="N40" s="66"/>
      <c r="O40" s="66"/>
      <c r="P40" s="66"/>
      <c r="Q40" s="66"/>
      <c r="R40" s="72"/>
      <c r="S40" s="24"/>
      <c r="Y40" s="14"/>
      <c r="Z40" s="24"/>
      <c r="AG40" s="24"/>
      <c r="AN40" s="24"/>
      <c r="AU40" s="24"/>
      <c r="BK40" s="24"/>
      <c r="BO40" s="14"/>
      <c r="BP40" s="14"/>
    </row>
    <row r="41" spans="1:69">
      <c r="A41" s="24"/>
      <c r="B41" s="24"/>
      <c r="L41" s="71"/>
      <c r="M41" s="66"/>
      <c r="N41" s="66"/>
      <c r="O41" s="66"/>
      <c r="P41" s="66"/>
      <c r="Q41" s="66"/>
      <c r="R41" s="72"/>
      <c r="S41" s="24"/>
      <c r="Y41" s="14"/>
      <c r="Z41" s="24"/>
      <c r="AG41" s="24"/>
      <c r="AN41" s="24"/>
      <c r="AU41" s="24"/>
      <c r="BK41" s="24"/>
      <c r="BO41" s="14"/>
      <c r="BP41" s="14"/>
      <c r="BQ41" s="8" t="s">
        <v>798</v>
      </c>
    </row>
    <row r="42" spans="1:69">
      <c r="A42" s="24"/>
      <c r="B42" s="24"/>
      <c r="L42" s="71"/>
      <c r="M42" s="66"/>
      <c r="N42" s="66"/>
      <c r="O42" s="66"/>
      <c r="P42" s="66"/>
      <c r="Q42" s="66"/>
      <c r="R42" s="72"/>
      <c r="S42" s="24"/>
      <c r="Y42" s="14"/>
      <c r="Z42" s="24"/>
      <c r="AG42" s="24"/>
      <c r="AN42" s="24"/>
      <c r="AU42" s="24"/>
      <c r="BK42" s="24"/>
      <c r="BO42" s="14"/>
      <c r="BP42" s="14"/>
      <c r="BQ42" s="8" t="s">
        <v>799</v>
      </c>
    </row>
    <row r="43" spans="1:69" ht="14.45">
      <c r="A43" s="24"/>
      <c r="B43" s="24"/>
      <c r="L43" s="71"/>
      <c r="M43" s="66"/>
      <c r="N43" s="66"/>
      <c r="O43" s="66"/>
      <c r="P43" s="66"/>
      <c r="Q43" s="66"/>
      <c r="R43" s="72"/>
      <c r="S43" s="24"/>
      <c r="Y43" s="14"/>
      <c r="Z43" s="24"/>
      <c r="AG43" s="24"/>
      <c r="AN43" s="24"/>
      <c r="AU43" s="24"/>
      <c r="BK43" s="24"/>
      <c r="BO43" s="14"/>
      <c r="BP43" s="14"/>
    </row>
    <row r="44" spans="1:69" ht="14.45">
      <c r="A44" s="24"/>
      <c r="B44" s="24"/>
      <c r="L44" s="71"/>
      <c r="M44" s="66"/>
      <c r="N44" s="66"/>
      <c r="O44" s="66"/>
      <c r="P44" s="66"/>
      <c r="Q44" s="66"/>
      <c r="R44" s="72"/>
      <c r="S44" s="24"/>
      <c r="Y44" s="14"/>
      <c r="Z44" s="24"/>
      <c r="AG44" s="24"/>
      <c r="AN44" s="24"/>
      <c r="AU44" s="24"/>
      <c r="BK44" s="24"/>
      <c r="BO44" s="14"/>
      <c r="BP44" s="14"/>
    </row>
    <row r="45" spans="1:69" ht="14.45">
      <c r="A45" s="24"/>
      <c r="B45" s="24"/>
      <c r="L45" s="71"/>
      <c r="M45" s="66"/>
      <c r="N45" s="66"/>
      <c r="O45" s="66"/>
      <c r="P45" s="66"/>
      <c r="Q45" s="66"/>
      <c r="R45" s="72"/>
      <c r="S45" s="24"/>
      <c r="Y45" s="14"/>
      <c r="Z45" s="24"/>
      <c r="AG45" s="24"/>
      <c r="AN45" s="24"/>
      <c r="AU45" s="24"/>
      <c r="BK45" s="24"/>
      <c r="BO45" s="14"/>
      <c r="BP45" s="14"/>
    </row>
    <row r="46" spans="1:69" ht="14.45">
      <c r="A46" s="24"/>
      <c r="B46" s="24"/>
      <c r="L46" s="71"/>
      <c r="M46" s="66"/>
      <c r="N46" s="66"/>
      <c r="O46" s="66"/>
      <c r="P46" s="66"/>
      <c r="Q46" s="66"/>
      <c r="R46" s="72"/>
      <c r="S46" s="24"/>
      <c r="Y46" s="14"/>
      <c r="Z46" s="24"/>
      <c r="AG46" s="24"/>
      <c r="AN46" s="24"/>
      <c r="AU46" s="24"/>
      <c r="BK46" s="24"/>
      <c r="BO46" s="14"/>
      <c r="BP46" s="14"/>
    </row>
    <row r="47" spans="1:69">
      <c r="A47" s="24"/>
      <c r="B47" s="24"/>
      <c r="L47" s="71"/>
      <c r="M47" s="66"/>
      <c r="N47" s="66"/>
      <c r="O47" s="66"/>
      <c r="P47" s="66"/>
      <c r="Q47" s="66"/>
      <c r="R47" s="72"/>
      <c r="S47" s="24"/>
      <c r="Y47" s="14"/>
      <c r="Z47" s="24"/>
      <c r="AG47" s="24"/>
      <c r="AN47" s="24"/>
      <c r="AU47" s="24"/>
      <c r="AV47" s="16" t="s">
        <v>620</v>
      </c>
      <c r="BK47" s="24"/>
      <c r="BO47" s="14"/>
      <c r="BP47" s="14"/>
    </row>
    <row r="48" spans="1:69">
      <c r="A48" s="24"/>
      <c r="B48" s="24"/>
      <c r="L48" s="71"/>
      <c r="M48" s="66"/>
      <c r="N48" s="66"/>
      <c r="O48" s="66"/>
      <c r="P48" s="66"/>
      <c r="Q48" s="66"/>
      <c r="R48" s="72"/>
      <c r="S48" s="24"/>
      <c r="Y48" s="14"/>
      <c r="Z48" s="24"/>
      <c r="AG48" s="24"/>
      <c r="AN48" s="24"/>
      <c r="AU48" s="24"/>
      <c r="AW48" s="8" t="s">
        <v>621</v>
      </c>
      <c r="BK48" s="24"/>
      <c r="BO48" s="14"/>
      <c r="BP48" s="14"/>
      <c r="BQ48" s="8" t="s">
        <v>800</v>
      </c>
    </row>
    <row r="49" spans="1:68">
      <c r="A49" s="24"/>
      <c r="B49" s="24"/>
      <c r="L49" s="71"/>
      <c r="M49" s="66"/>
      <c r="N49" s="66"/>
      <c r="O49" s="66"/>
      <c r="P49" s="66"/>
      <c r="Q49" s="66"/>
      <c r="R49" s="72"/>
      <c r="S49" s="24"/>
      <c r="Y49" s="14"/>
      <c r="Z49" s="24"/>
      <c r="AG49" s="24"/>
      <c r="AN49" s="24"/>
      <c r="AU49" s="24"/>
      <c r="AW49" s="8" t="s">
        <v>622</v>
      </c>
      <c r="BK49" s="24"/>
      <c r="BO49" s="14"/>
      <c r="BP49" s="14"/>
    </row>
    <row r="50" spans="1:68" ht="14.45">
      <c r="A50" s="24"/>
      <c r="B50" s="24"/>
      <c r="L50" s="71"/>
      <c r="M50" s="66"/>
      <c r="N50" s="66"/>
      <c r="O50" s="66"/>
      <c r="P50" s="66"/>
      <c r="Q50" s="66"/>
      <c r="R50" s="72"/>
      <c r="S50" s="24"/>
      <c r="Y50" s="14"/>
      <c r="Z50" s="24"/>
      <c r="AG50" s="24"/>
      <c r="AN50" s="24"/>
      <c r="AU50" s="24"/>
      <c r="BK50" s="24"/>
      <c r="BO50" s="14"/>
      <c r="BP50" s="14"/>
    </row>
    <row r="51" spans="1:68" ht="14.45">
      <c r="A51" s="24"/>
      <c r="B51" s="24"/>
      <c r="L51" s="71"/>
      <c r="M51" s="66"/>
      <c r="N51" s="66"/>
      <c r="O51" s="66"/>
      <c r="P51" s="66"/>
      <c r="Q51" s="66"/>
      <c r="R51" s="72"/>
      <c r="S51" s="24"/>
      <c r="Y51" s="14"/>
      <c r="Z51" s="24"/>
      <c r="AG51" s="24"/>
      <c r="AN51" s="24"/>
      <c r="AU51" s="24"/>
      <c r="BK51" s="24"/>
      <c r="BO51" s="14"/>
      <c r="BP51" s="14"/>
    </row>
    <row r="52" spans="1:68" ht="14.45">
      <c r="A52" s="24"/>
      <c r="B52" s="24"/>
      <c r="L52" s="71"/>
      <c r="M52" s="66"/>
      <c r="N52" s="66"/>
      <c r="O52" s="66"/>
      <c r="P52" s="66"/>
      <c r="Q52" s="66"/>
      <c r="R52" s="72"/>
      <c r="S52" s="24"/>
      <c r="Y52" s="14"/>
      <c r="Z52" s="24"/>
      <c r="AG52" s="24"/>
      <c r="AN52" s="24"/>
      <c r="AU52" s="24"/>
      <c r="BK52" s="24"/>
      <c r="BO52" s="14"/>
      <c r="BP52" s="14"/>
    </row>
    <row r="53" spans="1:68" ht="14.45">
      <c r="A53" s="24"/>
      <c r="B53" s="24"/>
      <c r="L53" s="71"/>
      <c r="M53" s="66"/>
      <c r="N53" s="66"/>
      <c r="O53" s="66"/>
      <c r="P53" s="66"/>
      <c r="Q53" s="66"/>
      <c r="R53" s="72"/>
      <c r="S53" s="24"/>
      <c r="Y53" s="14"/>
      <c r="Z53" s="24"/>
      <c r="AG53" s="24"/>
      <c r="AM53" s="14"/>
      <c r="AU53" s="24"/>
      <c r="BK53" s="24"/>
      <c r="BO53" s="14"/>
      <c r="BP53" s="14"/>
    </row>
    <row r="54" spans="1:68" ht="14.45">
      <c r="A54" s="24"/>
      <c r="B54" s="24"/>
      <c r="L54" s="71"/>
      <c r="M54" s="66"/>
      <c r="N54" s="66"/>
      <c r="O54" s="66"/>
      <c r="P54" s="66"/>
      <c r="Q54" s="66"/>
      <c r="R54" s="72"/>
      <c r="S54" s="24"/>
      <c r="Y54" s="14"/>
      <c r="Z54" s="24"/>
      <c r="AG54" s="24"/>
      <c r="AM54" s="14"/>
      <c r="AU54" s="24"/>
      <c r="BK54" s="24"/>
      <c r="BO54" s="14"/>
      <c r="BP54" s="14"/>
    </row>
    <row r="55" spans="1:68" ht="14.45">
      <c r="A55" s="24"/>
      <c r="B55" s="24"/>
      <c r="L55" s="71"/>
      <c r="M55" s="66"/>
      <c r="N55" s="66"/>
      <c r="O55" s="66"/>
      <c r="P55" s="66"/>
      <c r="Q55" s="66"/>
      <c r="R55" s="72"/>
      <c r="S55" s="24"/>
      <c r="Y55" s="14"/>
      <c r="Z55" s="24"/>
      <c r="AG55" s="24"/>
      <c r="AM55" s="14"/>
      <c r="AU55" s="24"/>
      <c r="BK55" s="24"/>
      <c r="BO55" s="14"/>
      <c r="BP55" s="14"/>
    </row>
    <row r="56" spans="1:68">
      <c r="A56" s="24"/>
      <c r="B56" s="24"/>
      <c r="L56" s="71"/>
      <c r="M56" s="66"/>
      <c r="N56" s="66"/>
      <c r="O56" s="66"/>
      <c r="P56" s="66"/>
      <c r="Q56" s="66"/>
      <c r="R56" s="72"/>
      <c r="S56" s="24"/>
      <c r="Y56" s="14"/>
      <c r="Z56" s="24"/>
      <c r="AG56" s="24"/>
      <c r="AM56" s="14"/>
      <c r="AU56" s="24"/>
      <c r="AV56" s="16" t="s">
        <v>623</v>
      </c>
      <c r="BK56" s="24"/>
      <c r="BO56" s="14"/>
      <c r="BP56" s="14"/>
    </row>
    <row r="57" spans="1:68">
      <c r="A57" s="24"/>
      <c r="B57" s="24"/>
      <c r="L57" s="71"/>
      <c r="M57" s="66"/>
      <c r="N57" s="66"/>
      <c r="O57" s="66"/>
      <c r="P57" s="66"/>
      <c r="Q57" s="66"/>
      <c r="R57" s="72"/>
      <c r="S57" s="24"/>
      <c r="Y57" s="14"/>
      <c r="Z57" s="24"/>
      <c r="AG57" s="24"/>
      <c r="AM57" s="14"/>
      <c r="AU57" s="24"/>
      <c r="AW57" s="8" t="s">
        <v>624</v>
      </c>
      <c r="BK57" s="24"/>
      <c r="BO57" s="14"/>
      <c r="BP57" s="14"/>
    </row>
    <row r="58" spans="1:68">
      <c r="A58" s="24"/>
      <c r="B58" s="24"/>
      <c r="L58" s="71"/>
      <c r="M58" s="66"/>
      <c r="N58" s="66"/>
      <c r="O58" s="66"/>
      <c r="P58" s="66"/>
      <c r="Q58" s="66"/>
      <c r="R58" s="72"/>
      <c r="S58" s="24"/>
      <c r="Y58" s="14"/>
      <c r="Z58" s="24"/>
      <c r="AG58" s="24"/>
      <c r="AM58" s="14"/>
      <c r="AU58" s="24"/>
      <c r="AW58" s="8" t="s">
        <v>625</v>
      </c>
      <c r="BK58" s="24"/>
      <c r="BO58" s="14"/>
      <c r="BP58" s="14"/>
    </row>
    <row r="59" spans="1:68">
      <c r="A59" s="24"/>
      <c r="B59" s="24"/>
      <c r="L59" s="71"/>
      <c r="M59" s="66"/>
      <c r="N59" s="66"/>
      <c r="O59" s="66"/>
      <c r="P59" s="66"/>
      <c r="Q59" s="66"/>
      <c r="R59" s="72"/>
      <c r="S59" s="24"/>
      <c r="Y59" s="14"/>
      <c r="Z59" s="24"/>
      <c r="AG59" s="24"/>
      <c r="AM59" s="14"/>
      <c r="AU59" s="24"/>
      <c r="BK59" s="24"/>
      <c r="BO59" s="14"/>
      <c r="BP59" s="14"/>
    </row>
    <row r="60" spans="1:68">
      <c r="A60" s="24"/>
      <c r="B60" s="24"/>
      <c r="L60" s="71"/>
      <c r="M60" s="66"/>
      <c r="N60" s="66"/>
      <c r="O60" s="66"/>
      <c r="P60" s="66"/>
      <c r="Q60" s="66"/>
      <c r="R60" s="72"/>
      <c r="S60" s="24"/>
      <c r="Y60" s="14"/>
      <c r="Z60" s="24"/>
      <c r="AG60" s="24"/>
      <c r="AM60" s="14"/>
      <c r="AU60" s="24"/>
      <c r="BK60" s="24"/>
      <c r="BO60" s="14"/>
      <c r="BP60" s="14"/>
    </row>
    <row r="61" spans="1:68">
      <c r="A61" s="24"/>
      <c r="B61" s="24"/>
      <c r="L61" s="71"/>
      <c r="M61" s="66"/>
      <c r="N61" s="66"/>
      <c r="O61" s="66"/>
      <c r="P61" s="66"/>
      <c r="Q61" s="66"/>
      <c r="R61" s="72"/>
      <c r="S61" s="24"/>
      <c r="Y61" s="14"/>
      <c r="Z61" s="24"/>
      <c r="AG61" s="24"/>
      <c r="AM61" s="14"/>
      <c r="AU61" s="24"/>
      <c r="BK61" s="24"/>
      <c r="BO61" s="14"/>
      <c r="BP61" s="14"/>
    </row>
    <row r="62" spans="1:68">
      <c r="A62" s="24"/>
      <c r="B62" s="24"/>
      <c r="L62" s="71"/>
      <c r="M62" s="66"/>
      <c r="N62" s="66"/>
      <c r="O62" s="66"/>
      <c r="P62" s="66"/>
      <c r="Q62" s="66"/>
      <c r="R62" s="72"/>
      <c r="S62" s="24"/>
      <c r="Y62" s="14"/>
      <c r="Z62" s="24"/>
      <c r="AG62" s="24"/>
      <c r="AM62" s="14"/>
      <c r="AU62" s="24"/>
      <c r="BK62" s="24"/>
      <c r="BO62" s="14"/>
      <c r="BP62" s="14"/>
    </row>
    <row r="63" spans="1:68">
      <c r="A63" s="24"/>
      <c r="B63" s="24"/>
      <c r="L63" s="71"/>
      <c r="M63" s="66"/>
      <c r="N63" s="66"/>
      <c r="O63" s="66"/>
      <c r="P63" s="66"/>
      <c r="Q63" s="66"/>
      <c r="R63" s="72"/>
      <c r="S63" s="24"/>
      <c r="Y63" s="14"/>
      <c r="Z63" s="24"/>
      <c r="AG63" s="24"/>
      <c r="AM63" s="14"/>
      <c r="AU63" s="24"/>
      <c r="AV63" s="16" t="s">
        <v>626</v>
      </c>
      <c r="BK63" s="24"/>
      <c r="BO63" s="14"/>
      <c r="BP63" s="14"/>
    </row>
    <row r="64" spans="1:68">
      <c r="A64" s="24"/>
      <c r="B64" s="24"/>
      <c r="L64" s="71"/>
      <c r="M64" s="66"/>
      <c r="N64" s="66"/>
      <c r="O64" s="66"/>
      <c r="P64" s="66"/>
      <c r="Q64" s="66"/>
      <c r="R64" s="72"/>
      <c r="S64" s="24"/>
      <c r="Y64" s="14"/>
      <c r="Z64" s="24"/>
      <c r="AG64" s="24"/>
      <c r="AM64" s="14"/>
      <c r="AU64" s="24"/>
      <c r="AW64" s="8" t="s">
        <v>627</v>
      </c>
      <c r="BK64" s="24"/>
      <c r="BO64" s="14"/>
      <c r="BP64" s="14"/>
    </row>
    <row r="65" spans="1:69">
      <c r="A65" s="24"/>
      <c r="B65" s="24"/>
      <c r="L65" s="71"/>
      <c r="M65" s="66"/>
      <c r="N65" s="66"/>
      <c r="O65" s="66"/>
      <c r="P65" s="66"/>
      <c r="Q65" s="66"/>
      <c r="R65" s="72"/>
      <c r="S65" s="24"/>
      <c r="Y65" s="14"/>
      <c r="Z65" s="24"/>
      <c r="AG65" s="24"/>
      <c r="AM65" s="14"/>
      <c r="AU65" s="24"/>
      <c r="AW65" s="8" t="s">
        <v>118</v>
      </c>
      <c r="AX65" s="8" t="s">
        <v>628</v>
      </c>
      <c r="BK65" s="24"/>
      <c r="BO65" s="14"/>
      <c r="BP65" s="14"/>
    </row>
    <row r="66" spans="1:69">
      <c r="A66" s="24"/>
      <c r="B66" s="24"/>
      <c r="L66" s="71"/>
      <c r="M66" s="66"/>
      <c r="N66" s="66"/>
      <c r="O66" s="66"/>
      <c r="P66" s="66"/>
      <c r="Q66" s="66"/>
      <c r="R66" s="72"/>
      <c r="S66" s="24"/>
      <c r="Y66" s="14"/>
      <c r="Z66" s="24"/>
      <c r="AG66" s="24"/>
      <c r="AM66" s="14"/>
      <c r="AU66" s="24"/>
      <c r="AW66" s="8" t="s">
        <v>118</v>
      </c>
      <c r="AX66" s="8" t="s">
        <v>629</v>
      </c>
      <c r="BK66" s="24"/>
      <c r="BO66" s="14"/>
      <c r="BP66" s="14"/>
    </row>
    <row r="67" spans="1:69">
      <c r="A67" s="24"/>
      <c r="B67" s="24"/>
      <c r="L67" s="71"/>
      <c r="M67" s="66"/>
      <c r="N67" s="66"/>
      <c r="O67" s="66"/>
      <c r="P67" s="66"/>
      <c r="Q67" s="66"/>
      <c r="R67" s="72"/>
      <c r="S67" s="24"/>
      <c r="Y67" s="14"/>
      <c r="Z67" s="24"/>
      <c r="AG67" s="24"/>
      <c r="AM67" s="14"/>
      <c r="AU67" s="24"/>
      <c r="BK67" s="24"/>
      <c r="BO67" s="14"/>
      <c r="BP67" s="14"/>
    </row>
    <row r="68" spans="1:69">
      <c r="A68" s="24"/>
      <c r="B68" s="24"/>
      <c r="L68" s="71"/>
      <c r="M68" s="66"/>
      <c r="N68" s="66"/>
      <c r="O68" s="66"/>
      <c r="P68" s="66"/>
      <c r="Q68" s="66"/>
      <c r="R68" s="72"/>
      <c r="S68" s="24"/>
      <c r="Y68" s="14"/>
      <c r="Z68" s="24"/>
      <c r="AG68" s="24"/>
      <c r="AM68" s="14"/>
      <c r="AU68" s="24"/>
      <c r="BK68" s="24"/>
      <c r="BO68" s="14"/>
      <c r="BP68" s="14"/>
    </row>
    <row r="69" spans="1:69">
      <c r="A69" s="24"/>
      <c r="B69" s="24"/>
      <c r="L69" s="71"/>
      <c r="M69" s="66"/>
      <c r="N69" s="66"/>
      <c r="O69" s="66"/>
      <c r="P69" s="66"/>
      <c r="Q69" s="66"/>
      <c r="R69" s="72"/>
      <c r="S69" s="24"/>
      <c r="Y69" s="14"/>
      <c r="Z69" s="24"/>
      <c r="AG69" s="24"/>
      <c r="AM69" s="14"/>
      <c r="AU69" s="24"/>
      <c r="BK69" s="24"/>
      <c r="BO69" s="14"/>
      <c r="BP69" s="14"/>
    </row>
    <row r="70" spans="1:69">
      <c r="A70" s="24"/>
      <c r="B70" s="24"/>
      <c r="L70" s="71"/>
      <c r="M70" s="66"/>
      <c r="N70" s="66"/>
      <c r="O70" s="66"/>
      <c r="P70" s="66"/>
      <c r="Q70" s="66"/>
      <c r="R70" s="72"/>
      <c r="S70" s="24"/>
      <c r="Y70" s="14"/>
      <c r="Z70" s="24"/>
      <c r="AG70" s="24"/>
      <c r="AM70" s="14"/>
      <c r="AU70" s="24"/>
      <c r="AV70" s="16" t="s">
        <v>630</v>
      </c>
      <c r="BK70" s="24"/>
      <c r="BO70" s="14"/>
      <c r="BP70" s="14"/>
    </row>
    <row r="71" spans="1:69">
      <c r="A71" s="24"/>
      <c r="B71" s="24"/>
      <c r="L71" s="71"/>
      <c r="M71" s="66"/>
      <c r="N71" s="66"/>
      <c r="O71" s="66"/>
      <c r="P71" s="66"/>
      <c r="Q71" s="66"/>
      <c r="R71" s="72"/>
      <c r="S71" s="24"/>
      <c r="Y71" s="14"/>
      <c r="Z71" s="24"/>
      <c r="AG71" s="24"/>
      <c r="AM71" s="14"/>
      <c r="AU71" s="24"/>
      <c r="AW71" s="8" t="s">
        <v>631</v>
      </c>
      <c r="BK71" s="24"/>
      <c r="BO71" s="14"/>
      <c r="BP71" s="14"/>
    </row>
    <row r="72" spans="1:69">
      <c r="A72" s="24"/>
      <c r="B72" s="24"/>
      <c r="L72" s="71"/>
      <c r="M72" s="66"/>
      <c r="N72" s="66"/>
      <c r="O72" s="66"/>
      <c r="P72" s="66"/>
      <c r="Q72" s="66"/>
      <c r="R72" s="72"/>
      <c r="S72" s="24"/>
      <c r="Y72" s="14"/>
      <c r="Z72" s="24"/>
      <c r="AG72" s="24"/>
      <c r="AM72" s="14"/>
      <c r="AU72" s="24"/>
      <c r="AW72" s="8" t="s">
        <v>118</v>
      </c>
      <c r="AX72" s="8" t="s">
        <v>632</v>
      </c>
      <c r="BK72" s="24"/>
      <c r="BO72" s="14"/>
      <c r="BP72" s="14"/>
    </row>
    <row r="73" spans="1:69">
      <c r="A73" s="24"/>
      <c r="B73" s="24"/>
      <c r="L73" s="71"/>
      <c r="M73" s="66"/>
      <c r="N73" s="66"/>
      <c r="O73" s="66"/>
      <c r="P73" s="66"/>
      <c r="Q73" s="66"/>
      <c r="R73" s="72"/>
      <c r="S73" s="24"/>
      <c r="Y73" s="14"/>
      <c r="Z73" s="24"/>
      <c r="AG73" s="24"/>
      <c r="AM73" s="14"/>
      <c r="AU73" s="24"/>
      <c r="BK73" s="24"/>
      <c r="BO73" s="14"/>
      <c r="BP73" s="14"/>
    </row>
    <row r="74" spans="1:69">
      <c r="A74" s="24"/>
      <c r="B74" s="24"/>
      <c r="L74" s="71"/>
      <c r="M74" s="66"/>
      <c r="N74" s="66"/>
      <c r="O74" s="66"/>
      <c r="P74" s="66"/>
      <c r="Q74" s="66"/>
      <c r="R74" s="72"/>
      <c r="S74" s="24"/>
      <c r="Y74" s="14"/>
      <c r="Z74" s="24"/>
      <c r="AG74" s="24"/>
      <c r="AM74" s="14"/>
      <c r="AU74" s="24"/>
      <c r="BK74" s="24"/>
      <c r="BO74" s="14"/>
      <c r="BP74" s="14"/>
    </row>
    <row r="75" spans="1:69">
      <c r="A75" s="24"/>
      <c r="B75" s="24"/>
      <c r="L75" s="71"/>
      <c r="M75" s="66"/>
      <c r="N75" s="66"/>
      <c r="O75" s="66"/>
      <c r="P75" s="66"/>
      <c r="Q75" s="66"/>
      <c r="R75" s="72"/>
      <c r="S75" s="24"/>
      <c r="Y75" s="14"/>
      <c r="Z75" s="24"/>
      <c r="AG75" s="24"/>
      <c r="AM75" s="14"/>
      <c r="AU75" s="24"/>
      <c r="BK75" s="24"/>
      <c r="BO75" s="14"/>
      <c r="BP75" s="14"/>
    </row>
    <row r="76" spans="1:69">
      <c r="A76" s="24"/>
      <c r="B76" s="24"/>
      <c r="L76" s="71"/>
      <c r="M76" s="66"/>
      <c r="N76" s="66"/>
      <c r="O76" s="66"/>
      <c r="P76" s="66"/>
      <c r="Q76" s="66"/>
      <c r="R76" s="72"/>
      <c r="S76" s="24"/>
      <c r="Y76" s="14"/>
      <c r="Z76" s="24"/>
      <c r="AG76" s="24"/>
      <c r="AM76" s="14"/>
      <c r="AU76" s="24"/>
      <c r="BK76" s="24"/>
      <c r="BO76" s="14"/>
      <c r="BP76" s="14"/>
    </row>
    <row r="77" spans="1:69">
      <c r="A77" s="24"/>
      <c r="B77" s="24"/>
      <c r="L77" s="71"/>
      <c r="M77" s="66"/>
      <c r="N77" s="66"/>
      <c r="O77" s="66"/>
      <c r="P77" s="66"/>
      <c r="Q77" s="66"/>
      <c r="R77" s="72"/>
      <c r="S77" s="24"/>
      <c r="Y77" s="14"/>
      <c r="Z77" s="24"/>
      <c r="AG77" s="24"/>
      <c r="AM77" s="14"/>
      <c r="AU77" s="24"/>
      <c r="BK77" s="24"/>
      <c r="BO77" s="14"/>
      <c r="BP77" s="14"/>
    </row>
    <row r="78" spans="1:69">
      <c r="A78" s="24"/>
      <c r="B78" s="24"/>
      <c r="L78" s="71"/>
      <c r="M78" s="66"/>
      <c r="N78" s="66"/>
      <c r="O78" s="66"/>
      <c r="P78" s="66"/>
      <c r="Q78" s="66"/>
      <c r="R78" s="72"/>
      <c r="S78" s="24"/>
      <c r="Y78" s="14"/>
      <c r="Z78" s="24"/>
      <c r="AG78" s="24"/>
      <c r="AM78" s="14"/>
      <c r="AU78" s="24"/>
      <c r="BK78" s="24"/>
      <c r="BO78" s="14"/>
      <c r="BP78" s="14"/>
    </row>
    <row r="79" spans="1:69">
      <c r="A79" s="24"/>
      <c r="B79" s="24"/>
      <c r="L79" s="71"/>
      <c r="M79" s="66"/>
      <c r="N79" s="66"/>
      <c r="O79" s="66"/>
      <c r="P79" s="66"/>
      <c r="Q79" s="66"/>
      <c r="R79" s="72"/>
      <c r="S79" s="24"/>
      <c r="Y79" s="14"/>
      <c r="Z79" s="24"/>
      <c r="AG79" s="24"/>
      <c r="AM79" s="14"/>
      <c r="AU79" s="24"/>
      <c r="AV79" s="16" t="s">
        <v>633</v>
      </c>
      <c r="BK79" s="24"/>
      <c r="BO79" s="14"/>
      <c r="BP79" s="14"/>
      <c r="BQ79" s="8" t="s">
        <v>588</v>
      </c>
    </row>
    <row r="80" spans="1:69">
      <c r="A80" s="24"/>
      <c r="B80" s="24"/>
      <c r="L80" s="71"/>
      <c r="M80" s="66"/>
      <c r="N80" s="66"/>
      <c r="O80" s="66"/>
      <c r="P80" s="66"/>
      <c r="Q80" s="66"/>
      <c r="R80" s="72"/>
      <c r="S80" s="24"/>
      <c r="Y80" s="14"/>
      <c r="Z80" s="24"/>
      <c r="AG80" s="24"/>
      <c r="AM80" s="14"/>
      <c r="AU80" s="24"/>
      <c r="AW80" s="8" t="s">
        <v>801</v>
      </c>
      <c r="BK80" s="24"/>
      <c r="BO80" s="14"/>
      <c r="BP80" s="14"/>
      <c r="BQ80" s="8" t="s">
        <v>802</v>
      </c>
    </row>
    <row r="81" spans="1:68">
      <c r="A81" s="24"/>
      <c r="B81" s="24"/>
      <c r="L81" s="71"/>
      <c r="M81" s="66"/>
      <c r="N81" s="66"/>
      <c r="O81" s="66"/>
      <c r="P81" s="66"/>
      <c r="Q81" s="66"/>
      <c r="R81" s="72"/>
      <c r="S81" s="24"/>
      <c r="Y81" s="14"/>
      <c r="Z81" s="24"/>
      <c r="AG81" s="24"/>
      <c r="AM81" s="14"/>
      <c r="AU81" s="24"/>
      <c r="AW81" s="8" t="s">
        <v>118</v>
      </c>
      <c r="AX81" s="8" t="s">
        <v>636</v>
      </c>
      <c r="BK81" s="24"/>
      <c r="BO81" s="14"/>
      <c r="BP81" s="14"/>
    </row>
    <row r="82" spans="1:68">
      <c r="A82" s="24"/>
      <c r="B82" s="24"/>
      <c r="L82" s="71"/>
      <c r="M82" s="66"/>
      <c r="N82" s="66"/>
      <c r="O82" s="66"/>
      <c r="P82" s="66"/>
      <c r="Q82" s="66"/>
      <c r="R82" s="72"/>
      <c r="S82" s="24"/>
      <c r="Y82" s="14"/>
      <c r="Z82" s="24"/>
      <c r="AG82" s="24"/>
      <c r="AM82" s="14"/>
      <c r="AU82" s="24"/>
      <c r="AW82" s="86" t="s">
        <v>637</v>
      </c>
      <c r="AX82" s="87"/>
      <c r="AY82" s="87"/>
      <c r="AZ82" s="87"/>
      <c r="BA82" s="87"/>
      <c r="BB82" s="87"/>
      <c r="BC82" s="87"/>
      <c r="BD82" s="87"/>
      <c r="BE82" s="87"/>
      <c r="BF82" s="88"/>
      <c r="BK82" s="24"/>
      <c r="BO82" s="14"/>
      <c r="BP82" s="14"/>
    </row>
    <row r="83" spans="1:68">
      <c r="A83" s="24"/>
      <c r="B83" s="24"/>
      <c r="L83" s="71"/>
      <c r="M83" s="66"/>
      <c r="N83" s="66"/>
      <c r="O83" s="66"/>
      <c r="P83" s="66"/>
      <c r="Q83" s="66"/>
      <c r="R83" s="72"/>
      <c r="S83" s="24"/>
      <c r="Y83" s="14"/>
      <c r="Z83" s="24"/>
      <c r="AG83" s="24"/>
      <c r="AM83" s="14"/>
      <c r="AU83" s="24"/>
      <c r="AW83" s="89" t="s">
        <v>638</v>
      </c>
      <c r="AX83" s="90"/>
      <c r="AY83" s="90"/>
      <c r="AZ83" s="91"/>
      <c r="BA83" s="89" t="s">
        <v>639</v>
      </c>
      <c r="BB83" s="90"/>
      <c r="BC83" s="90"/>
      <c r="BD83" s="90"/>
      <c r="BE83" s="90"/>
      <c r="BF83" s="91"/>
      <c r="BK83" s="24"/>
      <c r="BO83" s="14"/>
      <c r="BP83" s="14"/>
    </row>
    <row r="84" spans="1:68">
      <c r="A84" s="24"/>
      <c r="B84" s="24"/>
      <c r="L84" s="71"/>
      <c r="M84" s="66"/>
      <c r="N84" s="66"/>
      <c r="O84" s="66"/>
      <c r="P84" s="66"/>
      <c r="Q84" s="66"/>
      <c r="R84" s="72"/>
      <c r="S84" s="24"/>
      <c r="Y84" s="14"/>
      <c r="Z84" s="24"/>
      <c r="AG84" s="24"/>
      <c r="AM84" s="14"/>
      <c r="AU84" s="24"/>
      <c r="AW84" s="45" t="s">
        <v>118</v>
      </c>
      <c r="AX84" s="45" t="s">
        <v>640</v>
      </c>
      <c r="BK84" s="24"/>
      <c r="BO84" s="14"/>
      <c r="BP84" s="14"/>
    </row>
    <row r="85" spans="1:68">
      <c r="A85" s="24"/>
      <c r="B85" s="24"/>
      <c r="L85" s="71"/>
      <c r="M85" s="66"/>
      <c r="N85" s="66"/>
      <c r="O85" s="66"/>
      <c r="P85" s="66"/>
      <c r="Q85" s="66"/>
      <c r="R85" s="72"/>
      <c r="S85" s="24"/>
      <c r="Y85" s="14"/>
      <c r="Z85" s="24"/>
      <c r="AG85" s="24"/>
      <c r="AM85" s="14"/>
      <c r="AU85" s="24"/>
      <c r="BK85" s="24"/>
      <c r="BO85" s="14"/>
      <c r="BP85" s="14"/>
    </row>
    <row r="86" spans="1:68">
      <c r="A86" s="24"/>
      <c r="B86" s="24"/>
      <c r="L86" s="71"/>
      <c r="M86" s="66"/>
      <c r="N86" s="66"/>
      <c r="O86" s="66"/>
      <c r="P86" s="66"/>
      <c r="Q86" s="66"/>
      <c r="R86" s="72"/>
      <c r="S86" s="24"/>
      <c r="Y86" s="14"/>
      <c r="Z86" s="24"/>
      <c r="AG86" s="24"/>
      <c r="AM86" s="14"/>
      <c r="AU86" s="24"/>
      <c r="BK86" s="24"/>
      <c r="BO86" s="14"/>
      <c r="BP86" s="14"/>
    </row>
    <row r="87" spans="1:68">
      <c r="A87" s="24"/>
      <c r="B87" s="24"/>
      <c r="L87" s="71"/>
      <c r="M87" s="66"/>
      <c r="N87" s="66"/>
      <c r="O87" s="66"/>
      <c r="P87" s="66"/>
      <c r="Q87" s="66"/>
      <c r="R87" s="72"/>
      <c r="S87" s="24"/>
      <c r="Y87" s="14"/>
      <c r="Z87" s="24"/>
      <c r="AG87" s="24"/>
      <c r="AM87" s="14"/>
      <c r="AU87" s="24"/>
      <c r="BK87" s="24"/>
      <c r="BO87" s="14"/>
      <c r="BP87" s="14"/>
    </row>
    <row r="88" spans="1:68">
      <c r="A88" s="24"/>
      <c r="B88" s="24"/>
      <c r="L88" s="71"/>
      <c r="M88" s="66"/>
      <c r="N88" s="66"/>
      <c r="O88" s="66"/>
      <c r="P88" s="66"/>
      <c r="Q88" s="66"/>
      <c r="R88" s="72"/>
      <c r="S88" s="24"/>
      <c r="Y88" s="14"/>
      <c r="Z88" s="24"/>
      <c r="AG88" s="24"/>
      <c r="AM88" s="14"/>
      <c r="AU88" s="24"/>
      <c r="BK88" s="24"/>
      <c r="BO88" s="14"/>
      <c r="BP88" s="14"/>
    </row>
    <row r="89" spans="1:68">
      <c r="A89" s="24"/>
      <c r="B89" s="24"/>
      <c r="L89" s="71"/>
      <c r="M89" s="66"/>
      <c r="N89" s="66"/>
      <c r="O89" s="66"/>
      <c r="P89" s="66"/>
      <c r="Q89" s="66"/>
      <c r="R89" s="72"/>
      <c r="S89" s="24"/>
      <c r="Y89" s="14"/>
      <c r="Z89" s="24"/>
      <c r="AG89" s="24"/>
      <c r="AM89" s="14"/>
      <c r="AU89" s="24"/>
      <c r="BK89" s="24"/>
      <c r="BO89" s="14"/>
      <c r="BP89" s="14"/>
    </row>
    <row r="90" spans="1:68">
      <c r="A90" s="24"/>
      <c r="B90" s="24"/>
      <c r="L90" s="71"/>
      <c r="M90" s="66"/>
      <c r="N90" s="66"/>
      <c r="O90" s="66"/>
      <c r="P90" s="66"/>
      <c r="Q90" s="66"/>
      <c r="R90" s="72"/>
      <c r="S90" s="24"/>
      <c r="Y90" s="14"/>
      <c r="Z90" s="24"/>
      <c r="AG90" s="24"/>
      <c r="AM90" s="14"/>
      <c r="AU90" s="24"/>
      <c r="BK90" s="24"/>
      <c r="BO90" s="14"/>
      <c r="BP90" s="14"/>
    </row>
    <row r="91" spans="1:68">
      <c r="A91" s="24"/>
      <c r="B91" s="24"/>
      <c r="L91" s="71"/>
      <c r="M91" s="66"/>
      <c r="N91" s="66"/>
      <c r="O91" s="66"/>
      <c r="P91" s="66"/>
      <c r="Q91" s="66"/>
      <c r="R91" s="72"/>
      <c r="S91" s="24"/>
      <c r="Y91" s="14"/>
      <c r="Z91" s="24"/>
      <c r="AG91" s="24"/>
      <c r="AM91" s="14"/>
      <c r="AU91" s="24"/>
      <c r="BK91" s="24"/>
      <c r="BO91" s="14"/>
      <c r="BP91" s="14"/>
    </row>
    <row r="92" spans="1:68">
      <c r="A92" s="24"/>
      <c r="B92" s="24"/>
      <c r="K92" s="14"/>
      <c r="L92" s="71"/>
      <c r="M92" s="66"/>
      <c r="N92" s="66"/>
      <c r="O92" s="66"/>
      <c r="P92" s="66"/>
      <c r="Q92" s="66"/>
      <c r="R92" s="72"/>
      <c r="S92" s="24"/>
      <c r="Y92" s="14"/>
      <c r="Z92" s="24"/>
      <c r="AG92" s="24"/>
      <c r="AM92" s="14"/>
      <c r="AU92" s="24"/>
      <c r="AV92" s="11"/>
      <c r="AW92" s="49"/>
      <c r="AX92" s="11"/>
      <c r="AY92" s="11"/>
      <c r="BK92" s="24"/>
      <c r="BO92" s="14"/>
      <c r="BP92" s="14"/>
    </row>
    <row r="93" spans="1:68">
      <c r="A93" s="24"/>
      <c r="B93" s="24"/>
      <c r="K93" s="14"/>
      <c r="L93" s="71"/>
      <c r="M93" s="66"/>
      <c r="N93" s="66"/>
      <c r="O93" s="66"/>
      <c r="P93" s="66"/>
      <c r="Q93" s="66"/>
      <c r="R93" s="72"/>
      <c r="S93" s="24"/>
      <c r="Y93" s="14"/>
      <c r="Z93" s="24"/>
      <c r="AG93" s="24"/>
      <c r="AM93" s="14"/>
      <c r="AU93" s="24"/>
      <c r="AV93" s="11"/>
      <c r="AW93" s="49"/>
      <c r="AY93" s="11"/>
      <c r="BK93" s="24"/>
      <c r="BO93" s="14"/>
      <c r="BP93" s="14"/>
    </row>
    <row r="94" spans="1:68">
      <c r="A94" s="24"/>
      <c r="B94" s="24"/>
      <c r="L94" s="71"/>
      <c r="M94" s="66"/>
      <c r="N94" s="66"/>
      <c r="O94" s="66"/>
      <c r="P94" s="66"/>
      <c r="Q94" s="66"/>
      <c r="R94" s="72"/>
      <c r="S94" s="24"/>
      <c r="Y94" s="14"/>
      <c r="Z94" s="24"/>
      <c r="AG94" s="24"/>
      <c r="AM94" s="14"/>
      <c r="AU94" s="24"/>
      <c r="AW94" s="49"/>
      <c r="BK94" s="24"/>
      <c r="BO94" s="14"/>
      <c r="BP94" s="14"/>
    </row>
    <row r="95" spans="1:68">
      <c r="A95" s="24"/>
      <c r="B95" s="24"/>
      <c r="K95" s="14"/>
      <c r="L95" s="71"/>
      <c r="M95" s="66"/>
      <c r="N95" s="66"/>
      <c r="O95" s="66"/>
      <c r="P95" s="66"/>
      <c r="Q95" s="66"/>
      <c r="R95" s="72"/>
      <c r="S95" s="24"/>
      <c r="Y95" s="14"/>
      <c r="Z95" s="24"/>
      <c r="AG95" s="24"/>
      <c r="AM95" s="14"/>
      <c r="AU95" s="24"/>
      <c r="BK95" s="24"/>
      <c r="BO95" s="14"/>
      <c r="BP95" s="14"/>
    </row>
    <row r="96" spans="1:68">
      <c r="A96" s="24"/>
      <c r="B96" s="24"/>
      <c r="K96" s="14"/>
      <c r="L96" s="71"/>
      <c r="M96" s="66"/>
      <c r="N96" s="66"/>
      <c r="O96" s="66"/>
      <c r="P96" s="66"/>
      <c r="Q96" s="66"/>
      <c r="R96" s="72"/>
      <c r="S96" s="24"/>
      <c r="Y96" s="14"/>
      <c r="Z96" s="24"/>
      <c r="AG96" s="24"/>
      <c r="AM96" s="14"/>
      <c r="AU96" s="24"/>
      <c r="BK96" s="24"/>
      <c r="BO96" s="14"/>
      <c r="BP96" s="14"/>
    </row>
    <row r="97" spans="1:69" s="11" customFormat="1">
      <c r="A97" s="25"/>
      <c r="B97" s="26" t="s">
        <v>591</v>
      </c>
      <c r="C97" s="31"/>
      <c r="D97" s="31"/>
      <c r="E97" s="31"/>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30"/>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13"/>
    </row>
    <row r="98" spans="1:69" s="11" customFormat="1">
      <c r="A98" s="25"/>
      <c r="B98" s="24"/>
      <c r="C98" s="8"/>
      <c r="D98" s="8"/>
      <c r="E98" s="8"/>
      <c r="F98" s="8"/>
      <c r="G98" s="8"/>
      <c r="H98" s="8"/>
      <c r="I98" s="8"/>
      <c r="J98" s="8"/>
      <c r="K98" s="14"/>
      <c r="L98" s="71"/>
      <c r="M98" s="66"/>
      <c r="N98" s="66"/>
      <c r="O98" s="66"/>
      <c r="P98" s="66"/>
      <c r="Q98" s="66"/>
      <c r="R98" s="66"/>
      <c r="S98" s="24"/>
      <c r="T98" s="8"/>
      <c r="U98" s="8"/>
      <c r="V98" s="8"/>
      <c r="W98" s="8"/>
      <c r="X98" s="8"/>
      <c r="Y98" s="8"/>
      <c r="Z98" s="24"/>
      <c r="AA98" s="8"/>
      <c r="AB98" s="8"/>
      <c r="AC98" s="8"/>
      <c r="AD98" s="8"/>
      <c r="AE98" s="8"/>
      <c r="AF98" s="8"/>
      <c r="AG98" s="24"/>
      <c r="AH98" s="8"/>
      <c r="AI98" s="8"/>
      <c r="AJ98" s="8"/>
      <c r="AK98" s="8"/>
      <c r="AL98" s="8"/>
      <c r="AM98" s="14"/>
      <c r="AN98" s="8"/>
      <c r="AO98" s="8"/>
      <c r="AP98" s="8"/>
      <c r="AQ98" s="8"/>
      <c r="AR98" s="8"/>
      <c r="AS98" s="8"/>
      <c r="AT98" s="8"/>
      <c r="AU98" s="24"/>
      <c r="AV98" s="8"/>
      <c r="AW98" s="8"/>
      <c r="AX98" s="8"/>
      <c r="AY98" s="8"/>
      <c r="AZ98" s="8"/>
      <c r="BA98" s="8"/>
      <c r="BB98" s="8"/>
      <c r="BC98" s="8"/>
      <c r="BD98" s="8"/>
      <c r="BE98" s="8"/>
      <c r="BF98" s="8"/>
      <c r="BG98" s="8"/>
      <c r="BH98" s="8"/>
      <c r="BI98" s="8"/>
      <c r="BJ98" s="8"/>
      <c r="BK98" s="24"/>
      <c r="BL98" s="8"/>
      <c r="BM98" s="8"/>
      <c r="BN98" s="8"/>
      <c r="BO98" s="14"/>
      <c r="BP98" s="13"/>
    </row>
    <row r="99" spans="1:69">
      <c r="A99" s="24"/>
      <c r="B99" s="24"/>
      <c r="K99" s="14"/>
      <c r="L99" s="71"/>
      <c r="M99" s="66"/>
      <c r="N99" s="66"/>
      <c r="O99" s="66"/>
      <c r="P99" s="66"/>
      <c r="Q99" s="66"/>
      <c r="R99" s="66"/>
      <c r="S99" s="24"/>
      <c r="Z99" s="24"/>
      <c r="AG99" s="24"/>
      <c r="AM99" s="14"/>
      <c r="AU99" s="24"/>
      <c r="BK99" s="24"/>
      <c r="BO99" s="14"/>
      <c r="BP99" s="14"/>
    </row>
    <row r="100" spans="1:69">
      <c r="A100" s="24"/>
      <c r="B100" s="24"/>
      <c r="K100" s="14"/>
      <c r="L100" s="71"/>
      <c r="M100" s="66"/>
      <c r="N100" s="66"/>
      <c r="O100" s="66"/>
      <c r="P100" s="66"/>
      <c r="Q100" s="66"/>
      <c r="R100" s="66"/>
      <c r="S100" s="24"/>
      <c r="Z100" s="24"/>
      <c r="AG100" s="24"/>
      <c r="AM100" s="14"/>
      <c r="AU100" s="24"/>
      <c r="BK100" s="24"/>
      <c r="BO100" s="14"/>
      <c r="BP100" s="14"/>
    </row>
    <row r="101" spans="1:69">
      <c r="A101" s="24"/>
      <c r="B101" s="24"/>
      <c r="K101" s="14"/>
      <c r="L101" s="71"/>
      <c r="M101" s="66"/>
      <c r="N101" s="66"/>
      <c r="O101" s="66"/>
      <c r="P101" s="66"/>
      <c r="Q101" s="66"/>
      <c r="R101" s="72"/>
      <c r="S101" s="24"/>
      <c r="Y101" s="14"/>
      <c r="Z101" s="24"/>
      <c r="AG101" s="24"/>
      <c r="AM101" s="14"/>
      <c r="AU101" s="24"/>
      <c r="BK101" s="24"/>
      <c r="BO101" s="14"/>
      <c r="BP101" s="14"/>
    </row>
    <row r="102" spans="1:69">
      <c r="A102" s="24"/>
      <c r="B102" s="24"/>
      <c r="K102" s="14"/>
      <c r="L102" s="71"/>
      <c r="M102" s="66"/>
      <c r="N102" s="66"/>
      <c r="O102" s="66"/>
      <c r="P102" s="66"/>
      <c r="Q102" s="66"/>
      <c r="R102" s="72"/>
      <c r="S102" s="24"/>
      <c r="Y102" s="14"/>
      <c r="Z102" s="24"/>
      <c r="AG102" s="24"/>
      <c r="AM102" s="14"/>
      <c r="AU102" s="24"/>
      <c r="BK102" s="24"/>
      <c r="BO102" s="14"/>
      <c r="BP102" s="14"/>
    </row>
    <row r="103" spans="1:69">
      <c r="A103" s="24"/>
      <c r="B103" s="24"/>
      <c r="K103" s="14"/>
      <c r="L103" s="71"/>
      <c r="M103" s="66"/>
      <c r="N103" s="66"/>
      <c r="O103" s="66"/>
      <c r="P103" s="66"/>
      <c r="Q103" s="66"/>
      <c r="R103" s="72"/>
      <c r="S103" s="24"/>
      <c r="Y103" s="14"/>
      <c r="Z103" s="24"/>
      <c r="AG103" s="24"/>
      <c r="AM103" s="14"/>
      <c r="AU103" s="24"/>
      <c r="BK103" s="24"/>
      <c r="BO103" s="14"/>
      <c r="BP103" s="14"/>
    </row>
    <row r="104" spans="1:69">
      <c r="A104" s="24"/>
      <c r="B104" s="24"/>
      <c r="K104" s="14"/>
      <c r="L104" s="71"/>
      <c r="M104" s="66"/>
      <c r="N104" s="66"/>
      <c r="O104" s="66"/>
      <c r="P104" s="66"/>
      <c r="Q104" s="66"/>
      <c r="R104" s="72"/>
      <c r="S104" s="24"/>
      <c r="Y104" s="14"/>
      <c r="Z104" s="24"/>
      <c r="AG104" s="24"/>
      <c r="AM104" s="14"/>
      <c r="AU104" s="24"/>
      <c r="BK104" s="24"/>
      <c r="BO104" s="14"/>
      <c r="BP104" s="14"/>
    </row>
    <row r="105" spans="1:69">
      <c r="A105" s="24"/>
      <c r="B105" s="24"/>
      <c r="K105" s="14"/>
      <c r="L105" s="71"/>
      <c r="M105" s="66"/>
      <c r="N105" s="66"/>
      <c r="O105" s="66"/>
      <c r="P105" s="66"/>
      <c r="Q105" s="66"/>
      <c r="R105" s="72"/>
      <c r="S105" s="24"/>
      <c r="Y105" s="14"/>
      <c r="Z105" s="24"/>
      <c r="AG105" s="24"/>
      <c r="AM105" s="14"/>
      <c r="AU105" s="24"/>
      <c r="AV105" s="16" t="s">
        <v>644</v>
      </c>
      <c r="BK105" s="24"/>
      <c r="BO105" s="14"/>
      <c r="BP105" s="14"/>
    </row>
    <row r="106" spans="1:69">
      <c r="A106" s="24"/>
      <c r="B106" s="24"/>
      <c r="K106" s="14"/>
      <c r="L106" s="71"/>
      <c r="M106" s="66"/>
      <c r="N106" s="66"/>
      <c r="O106" s="66"/>
      <c r="P106" s="66"/>
      <c r="Q106" s="66"/>
      <c r="R106" s="72"/>
      <c r="S106" s="24"/>
      <c r="Y106" s="14"/>
      <c r="Z106" s="24"/>
      <c r="AG106" s="24"/>
      <c r="AM106" s="14"/>
      <c r="AU106" s="24"/>
      <c r="AW106" s="8" t="s">
        <v>645</v>
      </c>
      <c r="BK106" s="24"/>
      <c r="BO106" s="14"/>
      <c r="BP106" s="14"/>
      <c r="BQ106" s="8" t="s">
        <v>803</v>
      </c>
    </row>
    <row r="107" spans="1:69">
      <c r="A107" s="24"/>
      <c r="B107" s="24"/>
      <c r="K107" s="14"/>
      <c r="L107" s="71"/>
      <c r="M107" s="66"/>
      <c r="N107" s="66"/>
      <c r="O107" s="66"/>
      <c r="P107" s="66"/>
      <c r="Q107" s="66"/>
      <c r="R107" s="72"/>
      <c r="S107" s="24"/>
      <c r="Y107" s="14"/>
      <c r="Z107" s="24"/>
      <c r="AG107" s="24"/>
      <c r="AM107" s="14"/>
      <c r="AU107" s="24"/>
      <c r="AW107" s="8" t="s">
        <v>646</v>
      </c>
      <c r="BK107" s="24"/>
      <c r="BO107" s="14"/>
      <c r="BP107" s="14"/>
      <c r="BQ107" s="45" t="s">
        <v>804</v>
      </c>
    </row>
    <row r="108" spans="1:69">
      <c r="A108" s="24"/>
      <c r="B108" s="24"/>
      <c r="K108" s="14"/>
      <c r="L108" s="71"/>
      <c r="M108" s="66"/>
      <c r="N108" s="66"/>
      <c r="O108" s="66"/>
      <c r="P108" s="66"/>
      <c r="Q108" s="66"/>
      <c r="R108" s="72"/>
      <c r="S108" s="24"/>
      <c r="Y108" s="14"/>
      <c r="Z108" s="24"/>
      <c r="AG108" s="24"/>
      <c r="AM108" s="14"/>
      <c r="AU108" s="24"/>
      <c r="AW108" s="8" t="s">
        <v>118</v>
      </c>
      <c r="AX108" s="8" t="s">
        <v>647</v>
      </c>
      <c r="BK108" s="24"/>
      <c r="BO108" s="14"/>
      <c r="BP108" s="14"/>
      <c r="BQ108" s="8" t="s">
        <v>805</v>
      </c>
    </row>
    <row r="109" spans="1:69">
      <c r="A109" s="24"/>
      <c r="B109" s="24"/>
      <c r="K109" s="14"/>
      <c r="L109" s="71"/>
      <c r="M109" s="66"/>
      <c r="N109" s="66"/>
      <c r="O109" s="66"/>
      <c r="P109" s="66"/>
      <c r="Q109" s="66"/>
      <c r="R109" s="72"/>
      <c r="S109" s="24"/>
      <c r="Y109" s="14"/>
      <c r="Z109" s="24"/>
      <c r="AG109" s="24"/>
      <c r="AM109" s="14"/>
      <c r="AU109" s="24"/>
      <c r="AW109" s="8" t="s">
        <v>118</v>
      </c>
      <c r="AX109" s="8" t="s">
        <v>648</v>
      </c>
      <c r="BK109" s="24"/>
      <c r="BO109" s="14"/>
      <c r="BP109" s="14"/>
      <c r="BQ109" s="8" t="s">
        <v>806</v>
      </c>
    </row>
    <row r="110" spans="1:69">
      <c r="A110" s="24"/>
      <c r="B110" s="24"/>
      <c r="K110" s="14"/>
      <c r="L110" s="71"/>
      <c r="M110" s="66"/>
      <c r="N110" s="66"/>
      <c r="O110" s="66"/>
      <c r="P110" s="66"/>
      <c r="Q110" s="66"/>
      <c r="R110" s="72"/>
      <c r="S110" s="24"/>
      <c r="Y110" s="14"/>
      <c r="Z110" s="24"/>
      <c r="AG110" s="24"/>
      <c r="AM110" s="14"/>
      <c r="AU110" s="24"/>
      <c r="AW110" s="86" t="s">
        <v>637</v>
      </c>
      <c r="AX110" s="87"/>
      <c r="AY110" s="87"/>
      <c r="AZ110" s="87"/>
      <c r="BA110" s="87"/>
      <c r="BB110" s="87"/>
      <c r="BC110" s="87"/>
      <c r="BD110" s="87"/>
      <c r="BE110" s="87"/>
      <c r="BF110" s="87"/>
      <c r="BG110" s="88"/>
      <c r="BK110" s="24"/>
      <c r="BO110" s="14"/>
      <c r="BP110" s="14"/>
      <c r="BQ110" s="8" t="s">
        <v>807</v>
      </c>
    </row>
    <row r="111" spans="1:69">
      <c r="A111" s="24"/>
      <c r="B111" s="24"/>
      <c r="K111" s="14"/>
      <c r="L111" s="71"/>
      <c r="M111" s="66"/>
      <c r="N111" s="66"/>
      <c r="O111" s="66"/>
      <c r="P111" s="66"/>
      <c r="Q111" s="66"/>
      <c r="R111" s="72"/>
      <c r="S111" s="24"/>
      <c r="Y111" s="14"/>
      <c r="Z111" s="24"/>
      <c r="AG111" s="24"/>
      <c r="AM111" s="14"/>
      <c r="AU111" s="24"/>
      <c r="AV111" s="11"/>
      <c r="AW111" s="89" t="s">
        <v>639</v>
      </c>
      <c r="AX111" s="90"/>
      <c r="AY111" s="90"/>
      <c r="AZ111" s="90"/>
      <c r="BA111" s="91"/>
      <c r="BB111" s="89" t="s">
        <v>649</v>
      </c>
      <c r="BC111" s="90"/>
      <c r="BD111" s="90"/>
      <c r="BE111" s="90"/>
      <c r="BF111" s="90"/>
      <c r="BG111" s="91"/>
      <c r="BK111" s="24"/>
      <c r="BO111" s="14"/>
      <c r="BP111" s="14"/>
      <c r="BQ111" s="45" t="s">
        <v>808</v>
      </c>
    </row>
    <row r="112" spans="1:69">
      <c r="A112" s="24"/>
      <c r="B112" s="24"/>
      <c r="K112" s="14"/>
      <c r="L112" s="71"/>
      <c r="M112" s="66"/>
      <c r="N112" s="66"/>
      <c r="O112" s="66"/>
      <c r="P112" s="66"/>
      <c r="Q112" s="66"/>
      <c r="R112" s="72"/>
      <c r="S112" s="24"/>
      <c r="Y112" s="14"/>
      <c r="Z112" s="24"/>
      <c r="AG112" s="24"/>
      <c r="AM112" s="14"/>
      <c r="AU112" s="24"/>
      <c r="AV112" s="11"/>
      <c r="AX112" s="11"/>
      <c r="AY112" s="11"/>
      <c r="BK112" s="24"/>
      <c r="BO112" s="14"/>
      <c r="BP112" s="14"/>
      <c r="BQ112" s="45" t="s">
        <v>809</v>
      </c>
    </row>
    <row r="113" spans="1:69">
      <c r="A113" s="24"/>
      <c r="B113" s="24"/>
      <c r="K113" s="14"/>
      <c r="L113" s="71"/>
      <c r="M113" s="66"/>
      <c r="N113" s="66"/>
      <c r="O113" s="66"/>
      <c r="P113" s="66"/>
      <c r="Q113" s="66"/>
      <c r="R113" s="72"/>
      <c r="S113" s="24"/>
      <c r="Y113" s="14"/>
      <c r="Z113" s="24"/>
      <c r="AG113" s="24"/>
      <c r="AM113" s="14"/>
      <c r="AU113" s="24"/>
      <c r="AV113" s="11"/>
      <c r="AW113" s="8" t="s">
        <v>118</v>
      </c>
      <c r="AX113" s="11" t="s">
        <v>650</v>
      </c>
      <c r="AY113" s="11"/>
      <c r="BK113" s="24"/>
      <c r="BO113" s="14"/>
      <c r="BP113" s="14"/>
      <c r="BQ113" s="45" t="s">
        <v>810</v>
      </c>
    </row>
    <row r="114" spans="1:69">
      <c r="A114" s="24"/>
      <c r="B114" s="24"/>
      <c r="K114" s="14"/>
      <c r="L114" s="71"/>
      <c r="M114" s="66"/>
      <c r="N114" s="66"/>
      <c r="O114" s="66"/>
      <c r="P114" s="66"/>
      <c r="Q114" s="66"/>
      <c r="R114" s="72"/>
      <c r="S114" s="24"/>
      <c r="Y114" s="14"/>
      <c r="Z114" s="24"/>
      <c r="AG114" s="24"/>
      <c r="AM114" s="14"/>
      <c r="AU114" s="24"/>
      <c r="AV114" s="11"/>
      <c r="AX114" s="11" t="s">
        <v>651</v>
      </c>
      <c r="AY114" s="11"/>
      <c r="BK114" s="24"/>
      <c r="BO114" s="14"/>
      <c r="BP114" s="14"/>
    </row>
    <row r="115" spans="1:69">
      <c r="A115" s="24"/>
      <c r="B115" s="24"/>
      <c r="K115" s="14"/>
      <c r="L115" s="71"/>
      <c r="M115" s="66"/>
      <c r="N115" s="66"/>
      <c r="O115" s="66"/>
      <c r="P115" s="66"/>
      <c r="Q115" s="66"/>
      <c r="R115" s="72"/>
      <c r="S115" s="24"/>
      <c r="Y115" s="14"/>
      <c r="Z115" s="24"/>
      <c r="AG115" s="24"/>
      <c r="AM115" s="14"/>
      <c r="AU115" s="24"/>
      <c r="AV115" s="11"/>
      <c r="AX115" s="11" t="s">
        <v>652</v>
      </c>
      <c r="AY115" s="11"/>
      <c r="BK115" s="24"/>
      <c r="BO115" s="14"/>
      <c r="BP115" s="14"/>
    </row>
    <row r="116" spans="1:69">
      <c r="A116" s="24"/>
      <c r="B116" s="24"/>
      <c r="K116" s="14"/>
      <c r="L116" s="71"/>
      <c r="M116" s="66"/>
      <c r="N116" s="66"/>
      <c r="O116" s="66"/>
      <c r="P116" s="66"/>
      <c r="Q116" s="66"/>
      <c r="R116" s="72"/>
      <c r="S116" s="24"/>
      <c r="Y116" s="14"/>
      <c r="Z116" s="24"/>
      <c r="AG116" s="24"/>
      <c r="AM116" s="14"/>
      <c r="AU116" s="24"/>
      <c r="AV116" s="11"/>
      <c r="AX116" s="11" t="s">
        <v>653</v>
      </c>
      <c r="AY116" s="11"/>
      <c r="BK116" s="24"/>
      <c r="BO116" s="14"/>
      <c r="BP116" s="14"/>
    </row>
    <row r="117" spans="1:69">
      <c r="A117" s="24"/>
      <c r="B117" s="24"/>
      <c r="K117" s="14"/>
      <c r="L117" s="71"/>
      <c r="M117" s="66"/>
      <c r="N117" s="66"/>
      <c r="O117" s="66"/>
      <c r="P117" s="66"/>
      <c r="Q117" s="66"/>
      <c r="R117" s="72"/>
      <c r="S117" s="24"/>
      <c r="Y117" s="14"/>
      <c r="Z117" s="24"/>
      <c r="AG117" s="24"/>
      <c r="AM117" s="14"/>
      <c r="AU117" s="24"/>
      <c r="AV117" s="11"/>
      <c r="AX117" s="11" t="s">
        <v>654</v>
      </c>
      <c r="AY117" s="11"/>
      <c r="BK117" s="24"/>
      <c r="BO117" s="14"/>
      <c r="BP117" s="14"/>
    </row>
    <row r="118" spans="1:69">
      <c r="A118" s="24"/>
      <c r="B118" s="24"/>
      <c r="K118" s="14"/>
      <c r="L118" s="71"/>
      <c r="M118" s="66"/>
      <c r="N118" s="66"/>
      <c r="O118" s="66"/>
      <c r="P118" s="66"/>
      <c r="Q118" s="66"/>
      <c r="R118" s="72"/>
      <c r="S118" s="24"/>
      <c r="Y118" s="14"/>
      <c r="Z118" s="24"/>
      <c r="AG118" s="24"/>
      <c r="AM118" s="14"/>
      <c r="AU118" s="24"/>
      <c r="AV118" s="11"/>
      <c r="AX118" s="11" t="s">
        <v>655</v>
      </c>
      <c r="AY118" s="11"/>
      <c r="BK118" s="24"/>
      <c r="BO118" s="14"/>
      <c r="BP118" s="14"/>
    </row>
    <row r="119" spans="1:69">
      <c r="A119" s="24"/>
      <c r="B119" s="24"/>
      <c r="K119" s="14"/>
      <c r="L119" s="71"/>
      <c r="M119" s="66"/>
      <c r="N119" s="66"/>
      <c r="O119" s="66"/>
      <c r="P119" s="66"/>
      <c r="Q119" s="66"/>
      <c r="R119" s="72"/>
      <c r="S119" s="24"/>
      <c r="Y119" s="14"/>
      <c r="Z119" s="24"/>
      <c r="AG119" s="24"/>
      <c r="AM119" s="14"/>
      <c r="AU119" s="24"/>
      <c r="AV119" s="11"/>
      <c r="AX119" s="11"/>
      <c r="AY119" s="11"/>
      <c r="BK119" s="24"/>
      <c r="BO119" s="14"/>
      <c r="BP119" s="14"/>
    </row>
    <row r="120" spans="1:69" s="11" customFormat="1">
      <c r="A120" s="25"/>
      <c r="B120" s="26" t="s">
        <v>599</v>
      </c>
      <c r="C120" s="31"/>
      <c r="D120" s="31"/>
      <c r="E120" s="31"/>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30"/>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13"/>
    </row>
    <row r="121" spans="1:69" s="11" customFormat="1">
      <c r="A121" s="25"/>
      <c r="B121" s="24"/>
      <c r="C121" s="8"/>
      <c r="D121" s="8"/>
      <c r="E121" s="8"/>
      <c r="F121" s="8"/>
      <c r="G121" s="8"/>
      <c r="H121" s="8"/>
      <c r="I121" s="8"/>
      <c r="J121" s="8"/>
      <c r="K121" s="14"/>
      <c r="L121" s="71"/>
      <c r="M121" s="66"/>
      <c r="N121" s="66"/>
      <c r="O121" s="66"/>
      <c r="P121" s="66"/>
      <c r="Q121" s="66"/>
      <c r="R121" s="72"/>
      <c r="S121" s="24"/>
      <c r="T121" s="8"/>
      <c r="U121" s="8"/>
      <c r="V121" s="8"/>
      <c r="W121" s="8"/>
      <c r="X121" s="8"/>
      <c r="Y121" s="14"/>
      <c r="Z121" s="24"/>
      <c r="AA121" s="8"/>
      <c r="AB121" s="8"/>
      <c r="AC121" s="8"/>
      <c r="AD121" s="8"/>
      <c r="AE121" s="8"/>
      <c r="AF121" s="8"/>
      <c r="AG121" s="24"/>
      <c r="AH121" s="8"/>
      <c r="AI121" s="8"/>
      <c r="AJ121" s="8"/>
      <c r="AK121" s="8"/>
      <c r="AL121" s="8"/>
      <c r="AM121" s="14"/>
      <c r="AN121" s="8"/>
      <c r="AO121" s="8"/>
      <c r="AP121" s="8"/>
      <c r="AQ121" s="8"/>
      <c r="AR121" s="8"/>
      <c r="AS121" s="8"/>
      <c r="AT121" s="8"/>
      <c r="AU121" s="24"/>
      <c r="AV121" s="8"/>
      <c r="AW121" s="8"/>
      <c r="AX121" s="8"/>
      <c r="AY121" s="8"/>
      <c r="AZ121" s="8"/>
      <c r="BA121" s="8"/>
      <c r="BB121" s="8"/>
      <c r="BC121" s="8"/>
      <c r="BD121" s="8"/>
      <c r="BE121" s="8"/>
      <c r="BF121" s="8"/>
      <c r="BG121" s="8"/>
      <c r="BH121" s="8"/>
      <c r="BI121" s="8"/>
      <c r="BJ121" s="8"/>
      <c r="BK121" s="24"/>
      <c r="BL121" s="8"/>
      <c r="BM121" s="8"/>
      <c r="BN121" s="8"/>
      <c r="BO121" s="14"/>
      <c r="BP121" s="13"/>
    </row>
    <row r="122" spans="1:69">
      <c r="A122" s="24"/>
      <c r="B122" s="24"/>
      <c r="K122" s="14"/>
      <c r="L122" s="71"/>
      <c r="M122" s="66"/>
      <c r="N122" s="66"/>
      <c r="O122" s="66"/>
      <c r="P122" s="66"/>
      <c r="Q122" s="66"/>
      <c r="R122" s="72"/>
      <c r="S122" s="24"/>
      <c r="Y122" s="14"/>
      <c r="Z122" s="24"/>
      <c r="AG122" s="24"/>
      <c r="AM122" s="14"/>
      <c r="AU122" s="24"/>
      <c r="BK122" s="24"/>
      <c r="BO122" s="14"/>
      <c r="BP122" s="14"/>
    </row>
    <row r="123" spans="1:69">
      <c r="A123" s="24"/>
      <c r="B123" s="24"/>
      <c r="K123" s="14"/>
      <c r="L123" s="71"/>
      <c r="M123" s="66"/>
      <c r="N123" s="66"/>
      <c r="O123" s="66"/>
      <c r="P123" s="66"/>
      <c r="Q123" s="66"/>
      <c r="R123" s="72"/>
      <c r="S123" s="24"/>
      <c r="Y123" s="14"/>
      <c r="Z123" s="24"/>
      <c r="AG123" s="24"/>
      <c r="AM123" s="14"/>
      <c r="AU123" s="24"/>
      <c r="BK123" s="24"/>
      <c r="BO123" s="14"/>
      <c r="BP123" s="14"/>
    </row>
    <row r="124" spans="1:69">
      <c r="A124" s="24"/>
      <c r="B124" s="24"/>
      <c r="K124" s="14"/>
      <c r="L124" s="71"/>
      <c r="M124" s="66"/>
      <c r="N124" s="66"/>
      <c r="O124" s="66"/>
      <c r="P124" s="66"/>
      <c r="Q124" s="66"/>
      <c r="R124" s="72"/>
      <c r="S124" s="24"/>
      <c r="Y124" s="14"/>
      <c r="Z124" s="24"/>
      <c r="AG124" s="24"/>
      <c r="AM124" s="14"/>
      <c r="AU124" s="24"/>
      <c r="BK124" s="24"/>
      <c r="BO124" s="14"/>
      <c r="BP124" s="14"/>
      <c r="BQ124" s="8" t="s">
        <v>811</v>
      </c>
    </row>
    <row r="125" spans="1:69">
      <c r="A125" s="24"/>
      <c r="B125" s="24"/>
      <c r="K125" s="14"/>
      <c r="L125" s="71"/>
      <c r="M125" s="66"/>
      <c r="N125" s="66"/>
      <c r="O125" s="66"/>
      <c r="P125" s="66"/>
      <c r="Q125" s="66"/>
      <c r="R125" s="72"/>
      <c r="S125" s="24"/>
      <c r="Y125" s="14"/>
      <c r="Z125" s="24"/>
      <c r="AG125" s="24"/>
      <c r="AM125" s="14"/>
      <c r="AU125" s="24"/>
      <c r="BK125" s="24"/>
      <c r="BO125" s="14"/>
      <c r="BP125" s="14"/>
      <c r="BQ125" s="45" t="s">
        <v>804</v>
      </c>
    </row>
    <row r="126" spans="1:69">
      <c r="A126" s="24"/>
      <c r="B126" s="24"/>
      <c r="K126" s="14"/>
      <c r="L126" s="71"/>
      <c r="M126" s="66"/>
      <c r="N126" s="66"/>
      <c r="O126" s="66"/>
      <c r="P126" s="66"/>
      <c r="Q126" s="66"/>
      <c r="R126" s="72"/>
      <c r="S126" s="24"/>
      <c r="Y126" s="14"/>
      <c r="Z126" s="24"/>
      <c r="AG126" s="24"/>
      <c r="AM126" s="14"/>
      <c r="AU126" s="24"/>
      <c r="AY126" s="11"/>
      <c r="BK126" s="24"/>
      <c r="BO126" s="14"/>
      <c r="BP126" s="14"/>
      <c r="BQ126" s="8" t="s">
        <v>812</v>
      </c>
    </row>
    <row r="127" spans="1:69">
      <c r="A127" s="24"/>
      <c r="B127" s="24"/>
      <c r="K127" s="14"/>
      <c r="L127" s="71"/>
      <c r="M127" s="66"/>
      <c r="N127" s="66"/>
      <c r="O127" s="66"/>
      <c r="P127" s="66"/>
      <c r="Q127" s="66"/>
      <c r="R127" s="72"/>
      <c r="S127" s="24"/>
      <c r="Y127" s="14"/>
      <c r="Z127" s="24"/>
      <c r="AG127" s="24"/>
      <c r="AM127" s="14"/>
      <c r="AU127" s="24"/>
      <c r="AV127" s="16" t="s">
        <v>656</v>
      </c>
      <c r="BK127" s="24"/>
      <c r="BO127" s="14"/>
      <c r="BP127" s="14"/>
    </row>
    <row r="128" spans="1:69">
      <c r="A128" s="24"/>
      <c r="B128" s="24"/>
      <c r="K128" s="14"/>
      <c r="L128" s="71"/>
      <c r="M128" s="66"/>
      <c r="N128" s="66"/>
      <c r="O128" s="66"/>
      <c r="P128" s="66"/>
      <c r="Q128" s="66"/>
      <c r="R128" s="72"/>
      <c r="S128" s="24"/>
      <c r="Y128" s="14"/>
      <c r="Z128" s="24"/>
      <c r="AG128" s="24"/>
      <c r="AM128" s="14"/>
      <c r="AU128" s="24"/>
      <c r="AW128" s="8" t="s">
        <v>657</v>
      </c>
      <c r="BK128" s="24"/>
      <c r="BO128" s="14"/>
      <c r="BP128" s="14"/>
    </row>
    <row r="129" spans="1:68">
      <c r="A129" s="24"/>
      <c r="B129" s="24"/>
      <c r="K129" s="14"/>
      <c r="L129" s="71"/>
      <c r="M129" s="66"/>
      <c r="N129" s="66"/>
      <c r="O129" s="66"/>
      <c r="P129" s="66"/>
      <c r="Q129" s="66"/>
      <c r="R129" s="72"/>
      <c r="S129" s="24"/>
      <c r="Y129" s="14"/>
      <c r="Z129" s="24"/>
      <c r="AG129" s="24"/>
      <c r="AM129" s="14"/>
      <c r="AU129" s="24"/>
      <c r="AW129" s="8" t="s">
        <v>658</v>
      </c>
      <c r="BK129" s="24"/>
      <c r="BO129" s="14"/>
      <c r="BP129" s="14"/>
    </row>
    <row r="130" spans="1:68">
      <c r="A130" s="24"/>
      <c r="B130" s="24"/>
      <c r="K130" s="14"/>
      <c r="L130" s="71"/>
      <c r="M130" s="66"/>
      <c r="N130" s="66"/>
      <c r="O130" s="66"/>
      <c r="P130" s="66"/>
      <c r="Q130" s="66"/>
      <c r="R130" s="72"/>
      <c r="S130" s="24"/>
      <c r="Y130" s="14"/>
      <c r="Z130" s="24"/>
      <c r="AG130" s="24"/>
      <c r="AM130" s="14"/>
      <c r="AU130" s="24"/>
      <c r="AW130" s="8" t="s">
        <v>118</v>
      </c>
      <c r="AX130" s="8" t="s">
        <v>659</v>
      </c>
      <c r="BK130" s="24"/>
      <c r="BO130" s="14"/>
      <c r="BP130" s="14"/>
    </row>
    <row r="131" spans="1:68">
      <c r="A131" s="24"/>
      <c r="B131" s="24"/>
      <c r="K131" s="14"/>
      <c r="L131" s="71"/>
      <c r="M131" s="66"/>
      <c r="N131" s="66"/>
      <c r="O131" s="66"/>
      <c r="P131" s="66"/>
      <c r="Q131" s="66"/>
      <c r="R131" s="72"/>
      <c r="S131" s="24"/>
      <c r="Y131" s="14"/>
      <c r="Z131" s="24"/>
      <c r="AG131" s="24"/>
      <c r="AM131" s="14"/>
      <c r="AU131" s="24"/>
      <c r="AW131" s="8" t="s">
        <v>118</v>
      </c>
      <c r="AX131" s="8" t="s">
        <v>648</v>
      </c>
      <c r="BK131" s="24"/>
      <c r="BO131" s="14"/>
      <c r="BP131" s="14"/>
    </row>
    <row r="132" spans="1:68">
      <c r="A132" s="24"/>
      <c r="B132" s="24"/>
      <c r="K132" s="14"/>
      <c r="L132" s="71"/>
      <c r="M132" s="66"/>
      <c r="N132" s="66"/>
      <c r="O132" s="66"/>
      <c r="P132" s="66"/>
      <c r="Q132" s="66"/>
      <c r="R132" s="72"/>
      <c r="S132" s="24"/>
      <c r="Y132" s="14"/>
      <c r="Z132" s="24"/>
      <c r="AG132" s="24"/>
      <c r="AM132" s="14"/>
      <c r="AU132" s="24"/>
      <c r="AV132" s="11"/>
      <c r="AW132" s="86" t="s">
        <v>637</v>
      </c>
      <c r="AX132" s="87"/>
      <c r="AY132" s="87"/>
      <c r="AZ132" s="87"/>
      <c r="BA132" s="87"/>
      <c r="BB132" s="87"/>
      <c r="BC132" s="87"/>
      <c r="BD132" s="87"/>
      <c r="BE132" s="87"/>
      <c r="BF132" s="87"/>
      <c r="BG132" s="87"/>
      <c r="BH132" s="88"/>
      <c r="BK132" s="24"/>
      <c r="BO132" s="14"/>
      <c r="BP132" s="14"/>
    </row>
    <row r="133" spans="1:68">
      <c r="A133" s="24"/>
      <c r="B133" s="24"/>
      <c r="K133" s="14"/>
      <c r="L133" s="71"/>
      <c r="M133" s="66"/>
      <c r="N133" s="66"/>
      <c r="O133" s="66"/>
      <c r="P133" s="66"/>
      <c r="Q133" s="66"/>
      <c r="R133" s="72"/>
      <c r="S133" s="24"/>
      <c r="Y133" s="14"/>
      <c r="Z133" s="24"/>
      <c r="AG133" s="24"/>
      <c r="AM133" s="14"/>
      <c r="AU133" s="24"/>
      <c r="AV133" s="11"/>
      <c r="AW133" s="89" t="s">
        <v>813</v>
      </c>
      <c r="AX133" s="90"/>
      <c r="AY133" s="90"/>
      <c r="AZ133" s="90"/>
      <c r="BA133" s="91"/>
      <c r="BB133" s="91"/>
      <c r="BC133" s="89" t="s">
        <v>639</v>
      </c>
      <c r="BD133" s="90"/>
      <c r="BE133" s="90"/>
      <c r="BF133" s="90"/>
      <c r="BG133" s="90"/>
      <c r="BH133" s="91"/>
      <c r="BK133" s="24"/>
      <c r="BO133" s="14"/>
      <c r="BP133" s="14"/>
    </row>
    <row r="134" spans="1:68">
      <c r="A134" s="24"/>
      <c r="B134" s="24"/>
      <c r="K134" s="14"/>
      <c r="L134" s="71"/>
      <c r="M134" s="66"/>
      <c r="N134" s="66"/>
      <c r="O134" s="66"/>
      <c r="P134" s="66"/>
      <c r="Q134" s="66"/>
      <c r="R134" s="72"/>
      <c r="S134" s="24"/>
      <c r="Y134" s="14"/>
      <c r="Z134" s="24"/>
      <c r="AG134" s="24"/>
      <c r="AM134" s="14"/>
      <c r="AU134" s="24"/>
      <c r="AV134" s="11"/>
      <c r="AX134" s="11"/>
      <c r="AY134" s="11"/>
      <c r="BK134" s="24"/>
      <c r="BO134" s="14"/>
      <c r="BP134" s="14"/>
    </row>
    <row r="135" spans="1:68">
      <c r="A135" s="24"/>
      <c r="B135" s="24"/>
      <c r="K135" s="14"/>
      <c r="L135" s="71"/>
      <c r="M135" s="66"/>
      <c r="N135" s="66"/>
      <c r="O135" s="66"/>
      <c r="P135" s="66"/>
      <c r="Q135" s="66"/>
      <c r="R135" s="72"/>
      <c r="S135" s="24"/>
      <c r="Y135" s="14"/>
      <c r="Z135" s="24"/>
      <c r="AG135" s="24"/>
      <c r="AM135" s="14"/>
      <c r="AU135" s="24"/>
      <c r="AX135" s="11"/>
      <c r="AY135" s="11"/>
      <c r="BK135" s="24"/>
      <c r="BO135" s="14"/>
      <c r="BP135" s="14"/>
    </row>
    <row r="136" spans="1:68">
      <c r="A136" s="24"/>
      <c r="B136" s="24"/>
      <c r="K136" s="14"/>
      <c r="L136" s="71"/>
      <c r="M136" s="66"/>
      <c r="N136" s="66"/>
      <c r="O136" s="66"/>
      <c r="P136" s="66"/>
      <c r="Q136" s="66"/>
      <c r="R136" s="72"/>
      <c r="S136" s="24"/>
      <c r="Y136" s="14"/>
      <c r="Z136" s="24"/>
      <c r="AG136" s="24"/>
      <c r="AM136" s="14"/>
      <c r="AU136" s="24"/>
      <c r="AV136" s="11"/>
      <c r="AX136" s="11"/>
      <c r="AY136" s="11"/>
      <c r="BK136" s="24"/>
      <c r="BO136" s="14"/>
      <c r="BP136" s="14"/>
    </row>
    <row r="137" spans="1:68">
      <c r="A137" s="24"/>
      <c r="B137" s="24"/>
      <c r="K137" s="14"/>
      <c r="L137" s="71"/>
      <c r="M137" s="66"/>
      <c r="N137" s="66"/>
      <c r="O137" s="66"/>
      <c r="P137" s="66"/>
      <c r="Q137" s="66"/>
      <c r="R137" s="72"/>
      <c r="S137" s="24"/>
      <c r="Y137" s="14"/>
      <c r="Z137" s="24"/>
      <c r="AG137" s="24"/>
      <c r="AM137" s="14"/>
      <c r="AU137" s="24"/>
      <c r="AV137" s="11"/>
      <c r="AX137" s="11"/>
      <c r="AY137" s="11"/>
      <c r="BK137" s="24"/>
      <c r="BO137" s="14"/>
      <c r="BP137" s="14"/>
    </row>
    <row r="138" spans="1:68">
      <c r="A138" s="24"/>
      <c r="B138" s="24"/>
      <c r="K138" s="14"/>
      <c r="L138" s="71"/>
      <c r="M138" s="66"/>
      <c r="N138" s="66"/>
      <c r="O138" s="66"/>
      <c r="P138" s="66"/>
      <c r="Q138" s="66"/>
      <c r="R138" s="72"/>
      <c r="S138" s="24"/>
      <c r="Y138" s="14"/>
      <c r="Z138" s="24"/>
      <c r="AG138" s="24"/>
      <c r="AM138" s="14"/>
      <c r="AU138" s="24"/>
      <c r="AV138" s="11"/>
      <c r="AX138" s="11"/>
      <c r="AY138" s="11"/>
      <c r="BK138" s="24"/>
      <c r="BO138" s="14"/>
      <c r="BP138" s="14"/>
    </row>
    <row r="139" spans="1:68">
      <c r="A139" s="24"/>
      <c r="B139" s="24"/>
      <c r="K139" s="14"/>
      <c r="L139" s="71"/>
      <c r="M139" s="66"/>
      <c r="N139" s="66"/>
      <c r="O139" s="66"/>
      <c r="P139" s="66"/>
      <c r="Q139" s="66"/>
      <c r="R139" s="72"/>
      <c r="S139" s="24"/>
      <c r="Y139" s="14"/>
      <c r="Z139" s="24"/>
      <c r="AG139" s="24"/>
      <c r="AM139" s="14"/>
      <c r="AU139" s="24"/>
      <c r="AV139" s="11"/>
      <c r="AX139" s="11"/>
      <c r="AY139" s="11"/>
      <c r="BK139" s="24"/>
      <c r="BO139" s="14"/>
      <c r="BP139" s="14"/>
    </row>
    <row r="140" spans="1:68" s="11" customFormat="1">
      <c r="A140" s="25"/>
      <c r="B140" s="26" t="s">
        <v>661</v>
      </c>
      <c r="C140" s="31"/>
      <c r="D140" s="31"/>
      <c r="E140" s="31"/>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30"/>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13"/>
    </row>
    <row r="141" spans="1:68" s="11" customFormat="1">
      <c r="A141" s="25"/>
      <c r="B141" s="29"/>
      <c r="K141" s="13"/>
      <c r="L141" s="84"/>
      <c r="M141" s="70"/>
      <c r="N141" s="70"/>
      <c r="O141" s="70"/>
      <c r="P141" s="70"/>
      <c r="Q141" s="70"/>
      <c r="R141" s="107"/>
      <c r="S141" s="29"/>
      <c r="Y141" s="13"/>
      <c r="Z141" s="29"/>
      <c r="AG141" s="29"/>
      <c r="AM141" s="13"/>
      <c r="AU141" s="29"/>
      <c r="BK141" s="29"/>
      <c r="BO141" s="13"/>
      <c r="BP141" s="13"/>
    </row>
    <row r="142" spans="1:68" s="11" customFormat="1">
      <c r="A142" s="25"/>
      <c r="B142" s="29"/>
      <c r="K142" s="13"/>
      <c r="L142" s="84"/>
      <c r="M142" s="70"/>
      <c r="N142" s="70"/>
      <c r="O142" s="70"/>
      <c r="P142" s="70"/>
      <c r="Q142" s="70"/>
      <c r="R142" s="107"/>
      <c r="S142" s="29"/>
      <c r="Y142" s="13"/>
      <c r="Z142" s="29"/>
      <c r="AG142" s="29"/>
      <c r="AM142" s="13"/>
      <c r="AU142" s="29"/>
      <c r="BK142" s="29"/>
      <c r="BO142" s="13"/>
      <c r="BP142" s="13"/>
    </row>
    <row r="143" spans="1:68" s="11" customFormat="1">
      <c r="A143" s="25"/>
      <c r="B143" s="29"/>
      <c r="K143" s="13"/>
      <c r="L143" s="84"/>
      <c r="M143" s="70"/>
      <c r="N143" s="70"/>
      <c r="O143" s="70"/>
      <c r="P143" s="70"/>
      <c r="Q143" s="70"/>
      <c r="R143" s="107"/>
      <c r="S143" s="29"/>
      <c r="Y143" s="13"/>
      <c r="Z143" s="29"/>
      <c r="AG143" s="29"/>
      <c r="AM143" s="13"/>
      <c r="AU143" s="29"/>
      <c r="BK143" s="29"/>
      <c r="BO143" s="13"/>
      <c r="BP143" s="13"/>
    </row>
    <row r="144" spans="1:68" s="11" customFormat="1">
      <c r="A144" s="25"/>
      <c r="B144" s="29"/>
      <c r="K144" s="13"/>
      <c r="L144" s="84"/>
      <c r="M144" s="70"/>
      <c r="N144" s="70"/>
      <c r="O144" s="70"/>
      <c r="P144" s="70"/>
      <c r="Q144" s="70"/>
      <c r="R144" s="107"/>
      <c r="S144" s="29"/>
      <c r="Y144" s="13"/>
      <c r="Z144" s="29"/>
      <c r="AG144" s="29"/>
      <c r="AM144" s="13"/>
      <c r="AU144" s="29"/>
      <c r="BK144" s="29"/>
      <c r="BO144" s="13"/>
      <c r="BP144" s="13"/>
    </row>
    <row r="145" spans="1:70" s="11" customFormat="1">
      <c r="A145" s="25"/>
      <c r="B145" s="29"/>
      <c r="K145" s="13"/>
      <c r="L145" s="84"/>
      <c r="M145" s="70"/>
      <c r="N145" s="70"/>
      <c r="O145" s="70"/>
      <c r="P145" s="70"/>
      <c r="Q145" s="70"/>
      <c r="R145" s="107"/>
      <c r="S145" s="29"/>
      <c r="Y145" s="13"/>
      <c r="Z145" s="29"/>
      <c r="AG145" s="29"/>
      <c r="AM145" s="13"/>
      <c r="AU145" s="29"/>
      <c r="BK145" s="29"/>
      <c r="BO145" s="13"/>
      <c r="BP145" s="13"/>
    </row>
    <row r="146" spans="1:70" s="11" customFormat="1">
      <c r="A146" s="25"/>
      <c r="B146" s="29"/>
      <c r="K146" s="13"/>
      <c r="L146" s="84"/>
      <c r="M146" s="70"/>
      <c r="N146" s="70"/>
      <c r="O146" s="70"/>
      <c r="P146" s="70"/>
      <c r="Q146" s="70"/>
      <c r="R146" s="107"/>
      <c r="S146" s="29"/>
      <c r="Y146" s="13"/>
      <c r="Z146" s="29"/>
      <c r="AG146" s="29"/>
      <c r="AM146" s="13"/>
      <c r="AU146" s="29"/>
      <c r="BK146" s="29"/>
      <c r="BO146" s="13"/>
      <c r="BP146" s="13"/>
    </row>
    <row r="147" spans="1:70" s="11" customFormat="1">
      <c r="A147" s="25"/>
      <c r="B147" s="29"/>
      <c r="K147" s="13"/>
      <c r="L147" s="84"/>
      <c r="M147" s="70"/>
      <c r="N147" s="70"/>
      <c r="O147" s="70"/>
      <c r="P147" s="70"/>
      <c r="Q147" s="70"/>
      <c r="R147" s="107"/>
      <c r="S147" s="29"/>
      <c r="Y147" s="13"/>
      <c r="Z147" s="29"/>
      <c r="AG147" s="29"/>
      <c r="AM147" s="13"/>
      <c r="AU147" s="29"/>
      <c r="AV147" s="16" t="s">
        <v>662</v>
      </c>
      <c r="AW147" s="8"/>
      <c r="AX147" s="8"/>
      <c r="AY147" s="8"/>
      <c r="AZ147" s="8"/>
      <c r="BA147" s="8"/>
      <c r="BB147" s="8"/>
      <c r="BC147" s="8"/>
      <c r="BD147" s="8"/>
      <c r="BE147" s="8"/>
      <c r="BF147" s="8"/>
      <c r="BG147" s="8"/>
      <c r="BH147" s="8"/>
      <c r="BK147" s="29"/>
      <c r="BO147" s="13"/>
      <c r="BP147" s="13"/>
      <c r="BQ147" s="66" t="s">
        <v>811</v>
      </c>
    </row>
    <row r="148" spans="1:70" s="11" customFormat="1">
      <c r="A148" s="25"/>
      <c r="B148" s="29"/>
      <c r="K148" s="13"/>
      <c r="L148" s="84"/>
      <c r="M148" s="70"/>
      <c r="N148" s="70"/>
      <c r="O148" s="70"/>
      <c r="P148" s="70"/>
      <c r="Q148" s="70"/>
      <c r="R148" s="107"/>
      <c r="S148" s="29"/>
      <c r="Y148" s="13"/>
      <c r="Z148" s="29"/>
      <c r="AG148" s="29"/>
      <c r="AM148" s="13"/>
      <c r="AU148" s="29"/>
      <c r="AV148" s="8"/>
      <c r="AW148" s="8" t="s">
        <v>663</v>
      </c>
      <c r="AX148" s="8"/>
      <c r="AY148" s="8"/>
      <c r="AZ148" s="8"/>
      <c r="BA148" s="8"/>
      <c r="BB148" s="8"/>
      <c r="BC148" s="8"/>
      <c r="BD148" s="8"/>
      <c r="BE148" s="8"/>
      <c r="BF148" s="8"/>
      <c r="BG148" s="8"/>
      <c r="BH148" s="8"/>
      <c r="BK148" s="29"/>
      <c r="BO148" s="13"/>
      <c r="BP148" s="13"/>
      <c r="BQ148" s="45" t="s">
        <v>804</v>
      </c>
    </row>
    <row r="149" spans="1:70" s="11" customFormat="1">
      <c r="A149" s="25"/>
      <c r="B149" s="29"/>
      <c r="K149" s="13"/>
      <c r="L149" s="84"/>
      <c r="M149" s="70"/>
      <c r="N149" s="70"/>
      <c r="O149" s="70"/>
      <c r="P149" s="70"/>
      <c r="Q149" s="70"/>
      <c r="R149" s="107"/>
      <c r="S149" s="29"/>
      <c r="Y149" s="13"/>
      <c r="Z149" s="29"/>
      <c r="AG149" s="29"/>
      <c r="AM149" s="13"/>
      <c r="AU149" s="29"/>
      <c r="AV149" s="8"/>
      <c r="AW149" s="11" t="s">
        <v>664</v>
      </c>
      <c r="BK149" s="29"/>
      <c r="BO149" s="13"/>
      <c r="BP149" s="13"/>
      <c r="BQ149" s="8" t="s">
        <v>812</v>
      </c>
    </row>
    <row r="150" spans="1:70" s="11" customFormat="1">
      <c r="A150" s="25"/>
      <c r="B150" s="29"/>
      <c r="K150" s="13"/>
      <c r="L150" s="84"/>
      <c r="M150" s="70"/>
      <c r="N150" s="70"/>
      <c r="O150" s="70"/>
      <c r="P150" s="70"/>
      <c r="Q150" s="70"/>
      <c r="R150" s="107"/>
      <c r="S150" s="29"/>
      <c r="Y150" s="13"/>
      <c r="Z150" s="29"/>
      <c r="AG150" s="29"/>
      <c r="AM150" s="13"/>
      <c r="AU150" s="29"/>
      <c r="AV150" s="8"/>
      <c r="AW150" s="11" t="s">
        <v>665</v>
      </c>
      <c r="BK150" s="29"/>
      <c r="BO150" s="13"/>
      <c r="BP150" s="13"/>
    </row>
    <row r="151" spans="1:70" s="11" customFormat="1">
      <c r="A151" s="25"/>
      <c r="B151" s="29"/>
      <c r="K151" s="13"/>
      <c r="L151" s="84"/>
      <c r="M151" s="70"/>
      <c r="N151" s="70"/>
      <c r="O151" s="70"/>
      <c r="P151" s="70"/>
      <c r="Q151" s="70"/>
      <c r="R151" s="107"/>
      <c r="S151" s="29"/>
      <c r="Y151" s="13"/>
      <c r="Z151" s="29"/>
      <c r="AG151" s="29"/>
      <c r="AM151" s="13"/>
      <c r="AU151" s="29"/>
      <c r="AV151" s="8"/>
      <c r="AW151" s="11" t="s">
        <v>653</v>
      </c>
      <c r="BK151" s="29"/>
      <c r="BO151" s="13"/>
      <c r="BP151" s="13"/>
    </row>
    <row r="152" spans="1:70" s="11" customFormat="1">
      <c r="A152" s="25"/>
      <c r="B152" s="29"/>
      <c r="K152" s="13"/>
      <c r="L152" s="84"/>
      <c r="M152" s="70"/>
      <c r="N152" s="70"/>
      <c r="O152" s="70"/>
      <c r="P152" s="70"/>
      <c r="Q152" s="70"/>
      <c r="R152" s="107"/>
      <c r="S152" s="29"/>
      <c r="Y152" s="13"/>
      <c r="Z152" s="29"/>
      <c r="AG152" s="29"/>
      <c r="AM152" s="13"/>
      <c r="AU152" s="29"/>
      <c r="AW152" s="11" t="s">
        <v>654</v>
      </c>
      <c r="BK152" s="29"/>
      <c r="BO152" s="13"/>
      <c r="BP152" s="13"/>
    </row>
    <row r="153" spans="1:70" s="11" customFormat="1">
      <c r="A153" s="25"/>
      <c r="B153" s="29"/>
      <c r="K153" s="13"/>
      <c r="L153" s="84"/>
      <c r="M153" s="70"/>
      <c r="N153" s="70"/>
      <c r="O153" s="70"/>
      <c r="P153" s="70"/>
      <c r="Q153" s="70"/>
      <c r="R153" s="107"/>
      <c r="S153" s="29"/>
      <c r="Y153" s="13"/>
      <c r="Z153" s="29"/>
      <c r="AG153" s="29"/>
      <c r="AM153" s="13"/>
      <c r="AU153" s="29"/>
      <c r="AW153" s="11" t="s">
        <v>655</v>
      </c>
      <c r="BK153" s="29"/>
      <c r="BO153" s="13"/>
      <c r="BP153" s="13"/>
    </row>
    <row r="154" spans="1:70" s="11" customFormat="1">
      <c r="A154" s="25"/>
      <c r="B154" s="29"/>
      <c r="K154" s="13"/>
      <c r="L154" s="84"/>
      <c r="M154" s="70"/>
      <c r="N154" s="70"/>
      <c r="O154" s="70"/>
      <c r="P154" s="70"/>
      <c r="Q154" s="70"/>
      <c r="R154" s="107"/>
      <c r="S154" s="29"/>
      <c r="Y154" s="13"/>
      <c r="Z154" s="29"/>
      <c r="AG154" s="29"/>
      <c r="AM154" s="13"/>
      <c r="AU154" s="29"/>
      <c r="AW154" s="8" t="s">
        <v>118</v>
      </c>
      <c r="AX154" s="8" t="s">
        <v>666</v>
      </c>
      <c r="AY154" s="8"/>
      <c r="AZ154" s="8"/>
      <c r="BA154" s="8"/>
      <c r="BB154" s="8"/>
      <c r="BC154" s="8"/>
      <c r="BD154" s="8"/>
      <c r="BE154" s="8"/>
      <c r="BF154" s="8"/>
      <c r="BG154" s="8"/>
      <c r="BH154" s="8"/>
      <c r="BK154" s="29"/>
      <c r="BO154" s="13"/>
      <c r="BP154" s="13"/>
    </row>
    <row r="155" spans="1:70" s="11" customFormat="1">
      <c r="A155" s="25"/>
      <c r="B155" s="29"/>
      <c r="K155" s="13"/>
      <c r="L155" s="84"/>
      <c r="M155" s="70"/>
      <c r="N155" s="70"/>
      <c r="O155" s="70"/>
      <c r="P155" s="70"/>
      <c r="Q155" s="70"/>
      <c r="R155" s="107"/>
      <c r="S155" s="29"/>
      <c r="Y155" s="13"/>
      <c r="Z155" s="29"/>
      <c r="AG155" s="29"/>
      <c r="AM155" s="13"/>
      <c r="AU155" s="29"/>
      <c r="AW155" s="11" t="s">
        <v>118</v>
      </c>
      <c r="AX155" s="11" t="s">
        <v>667</v>
      </c>
      <c r="BH155" s="8"/>
      <c r="BK155" s="29"/>
      <c r="BO155" s="13"/>
      <c r="BP155" s="13"/>
    </row>
    <row r="156" spans="1:70" s="11" customFormat="1">
      <c r="A156" s="25"/>
      <c r="B156" s="29"/>
      <c r="K156" s="13"/>
      <c r="L156" s="84"/>
      <c r="M156" s="70"/>
      <c r="N156" s="70"/>
      <c r="O156" s="70"/>
      <c r="P156" s="70"/>
      <c r="Q156" s="70"/>
      <c r="R156" s="107"/>
      <c r="S156" s="29"/>
      <c r="Y156" s="13"/>
      <c r="Z156" s="29"/>
      <c r="AG156" s="29"/>
      <c r="AM156" s="13"/>
      <c r="AU156" s="29"/>
      <c r="AW156" s="8" t="s">
        <v>118</v>
      </c>
      <c r="AX156" s="8" t="s">
        <v>648</v>
      </c>
      <c r="AY156" s="8"/>
      <c r="AZ156" s="8"/>
      <c r="BA156" s="8"/>
      <c r="BB156" s="8"/>
      <c r="BC156" s="8"/>
      <c r="BD156" s="8"/>
      <c r="BE156" s="8"/>
      <c r="BF156" s="8"/>
      <c r="BG156" s="8"/>
      <c r="BH156" s="8"/>
      <c r="BK156" s="29"/>
      <c r="BO156" s="13"/>
      <c r="BP156" s="13"/>
    </row>
    <row r="157" spans="1:70" s="11" customFormat="1">
      <c r="A157" s="25"/>
      <c r="B157" s="29"/>
      <c r="K157" s="13"/>
      <c r="L157" s="84"/>
      <c r="M157" s="70"/>
      <c r="N157" s="70"/>
      <c r="O157" s="70"/>
      <c r="P157" s="70"/>
      <c r="Q157" s="70"/>
      <c r="R157" s="107"/>
      <c r="S157" s="29"/>
      <c r="Y157" s="13"/>
      <c r="Z157" s="29"/>
      <c r="AG157" s="29"/>
      <c r="AM157" s="13"/>
      <c r="AU157" s="29"/>
      <c r="AW157" s="86" t="s">
        <v>637</v>
      </c>
      <c r="AX157" s="87"/>
      <c r="AY157" s="87"/>
      <c r="AZ157" s="87"/>
      <c r="BA157" s="87"/>
      <c r="BB157" s="87"/>
      <c r="BC157" s="87"/>
      <c r="BD157" s="87"/>
      <c r="BE157" s="87"/>
      <c r="BF157" s="87"/>
      <c r="BG157" s="88"/>
      <c r="BH157" s="8"/>
      <c r="BK157" s="29"/>
      <c r="BO157" s="13"/>
      <c r="BP157" s="13"/>
      <c r="BQ157" s="66" t="s">
        <v>814</v>
      </c>
    </row>
    <row r="158" spans="1:70" s="11" customFormat="1">
      <c r="A158" s="25"/>
      <c r="B158" s="29"/>
      <c r="K158" s="13"/>
      <c r="L158" s="84"/>
      <c r="M158" s="70"/>
      <c r="N158" s="70"/>
      <c r="O158" s="70"/>
      <c r="P158" s="70"/>
      <c r="Q158" s="70"/>
      <c r="R158" s="107"/>
      <c r="S158" s="29"/>
      <c r="Y158" s="13"/>
      <c r="Z158" s="29"/>
      <c r="AG158" s="29"/>
      <c r="AM158" s="13"/>
      <c r="AU158" s="29"/>
      <c r="AW158" s="89" t="s">
        <v>649</v>
      </c>
      <c r="AX158" s="90"/>
      <c r="AY158" s="90"/>
      <c r="AZ158" s="90"/>
      <c r="BA158" s="91"/>
      <c r="BB158" s="89" t="s">
        <v>668</v>
      </c>
      <c r="BC158" s="90"/>
      <c r="BD158" s="90"/>
      <c r="BE158" s="90"/>
      <c r="BF158" s="90"/>
      <c r="BG158" s="91"/>
      <c r="BK158" s="29"/>
      <c r="BO158" s="13"/>
      <c r="BP158" s="13"/>
      <c r="BQ158" s="66" t="s">
        <v>815</v>
      </c>
    </row>
    <row r="159" spans="1:70" s="11" customFormat="1">
      <c r="A159" s="25"/>
      <c r="B159" s="29"/>
      <c r="K159" s="13"/>
      <c r="L159" s="84"/>
      <c r="M159" s="70"/>
      <c r="N159" s="70"/>
      <c r="O159" s="70"/>
      <c r="P159" s="70"/>
      <c r="Q159" s="70"/>
      <c r="R159" s="107"/>
      <c r="S159" s="29"/>
      <c r="Y159" s="13"/>
      <c r="Z159" s="29"/>
      <c r="AG159" s="29"/>
      <c r="AM159" s="13"/>
      <c r="AU159" s="29"/>
      <c r="BK159" s="29"/>
      <c r="BO159" s="13"/>
      <c r="BP159" s="13"/>
      <c r="BQ159" s="45" t="s">
        <v>816</v>
      </c>
    </row>
    <row r="160" spans="1:70" s="11" customFormat="1">
      <c r="A160" s="25"/>
      <c r="B160" s="29"/>
      <c r="K160" s="13"/>
      <c r="L160" s="84"/>
      <c r="M160" s="70"/>
      <c r="N160" s="70"/>
      <c r="O160" s="70"/>
      <c r="P160" s="70"/>
      <c r="Q160" s="70"/>
      <c r="R160" s="107"/>
      <c r="S160" s="29"/>
      <c r="Y160" s="13"/>
      <c r="Z160" s="29"/>
      <c r="AG160" s="29"/>
      <c r="AM160" s="13"/>
      <c r="AU160" s="29"/>
      <c r="BK160" s="29"/>
      <c r="BO160" s="13"/>
      <c r="BP160" s="13"/>
      <c r="BR160" s="45" t="s">
        <v>817</v>
      </c>
    </row>
    <row r="161" spans="1:70" s="11" customFormat="1">
      <c r="A161" s="25"/>
      <c r="B161" s="29"/>
      <c r="K161" s="13"/>
      <c r="L161" s="84"/>
      <c r="M161" s="70"/>
      <c r="N161" s="70"/>
      <c r="O161" s="70"/>
      <c r="P161" s="70"/>
      <c r="Q161" s="70"/>
      <c r="R161" s="107"/>
      <c r="S161" s="29"/>
      <c r="Y161" s="13"/>
      <c r="Z161" s="29"/>
      <c r="AG161" s="29"/>
      <c r="AM161" s="13"/>
      <c r="AU161" s="29"/>
      <c r="BK161" s="29"/>
      <c r="BO161" s="13"/>
      <c r="BP161" s="13"/>
      <c r="BR161" s="45" t="s">
        <v>818</v>
      </c>
    </row>
    <row r="162" spans="1:70">
      <c r="A162" s="24"/>
      <c r="B162" s="29"/>
      <c r="C162" s="11"/>
      <c r="D162" s="11"/>
      <c r="E162" s="11"/>
      <c r="F162" s="11"/>
      <c r="G162" s="11"/>
      <c r="H162" s="11"/>
      <c r="I162" s="11"/>
      <c r="J162" s="11"/>
      <c r="K162" s="13"/>
      <c r="L162" s="84"/>
      <c r="M162" s="70"/>
      <c r="N162" s="70"/>
      <c r="O162" s="70"/>
      <c r="P162" s="70"/>
      <c r="Q162" s="70"/>
      <c r="R162" s="107"/>
      <c r="S162" s="29"/>
      <c r="T162" s="11"/>
      <c r="U162" s="11"/>
      <c r="V162" s="11"/>
      <c r="W162" s="11"/>
      <c r="X162" s="11"/>
      <c r="Y162" s="13"/>
      <c r="Z162" s="29"/>
      <c r="AA162" s="11"/>
      <c r="AB162" s="11"/>
      <c r="AC162" s="11"/>
      <c r="AD162" s="11"/>
      <c r="AE162" s="11"/>
      <c r="AF162" s="11"/>
      <c r="AG162" s="29"/>
      <c r="AH162" s="11"/>
      <c r="AI162" s="11"/>
      <c r="AJ162" s="11"/>
      <c r="AK162" s="11"/>
      <c r="AL162" s="11"/>
      <c r="AM162" s="13"/>
      <c r="AN162" s="11"/>
      <c r="AO162" s="11"/>
      <c r="AP162" s="11"/>
      <c r="AQ162" s="11"/>
      <c r="AR162" s="11"/>
      <c r="AS162" s="11"/>
      <c r="AT162" s="11"/>
      <c r="AU162" s="29"/>
      <c r="AV162" s="11"/>
      <c r="AW162" s="11"/>
      <c r="AX162" s="11"/>
      <c r="AY162" s="11"/>
      <c r="AZ162" s="11"/>
      <c r="BA162" s="11"/>
      <c r="BB162" s="11"/>
      <c r="BC162" s="11"/>
      <c r="BD162" s="11"/>
      <c r="BE162" s="11"/>
      <c r="BF162" s="11"/>
      <c r="BG162" s="11"/>
      <c r="BH162" s="11"/>
      <c r="BI162" s="11"/>
      <c r="BJ162" s="11"/>
      <c r="BK162" s="29"/>
      <c r="BL162" s="11"/>
      <c r="BM162" s="11"/>
      <c r="BN162" s="11"/>
      <c r="BO162" s="13"/>
      <c r="BP162" s="14"/>
      <c r="BQ162" s="8" t="s">
        <v>819</v>
      </c>
    </row>
    <row r="163" spans="1:70" s="11" customFormat="1">
      <c r="A163" s="25"/>
      <c r="B163" s="26" t="s">
        <v>603</v>
      </c>
      <c r="C163" s="31"/>
      <c r="D163" s="31"/>
      <c r="E163" s="31"/>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30"/>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13"/>
      <c r="BQ163" s="11" t="s">
        <v>820</v>
      </c>
    </row>
    <row r="164" spans="1:70" s="11" customFormat="1">
      <c r="A164" s="25"/>
      <c r="B164" s="24"/>
      <c r="C164" s="8"/>
      <c r="D164" s="8"/>
      <c r="E164" s="8"/>
      <c r="F164" s="8"/>
      <c r="G164" s="8"/>
      <c r="H164" s="8"/>
      <c r="I164" s="8"/>
      <c r="J164" s="8"/>
      <c r="K164" s="14"/>
      <c r="L164" s="71"/>
      <c r="M164" s="66"/>
      <c r="N164" s="66"/>
      <c r="O164" s="66"/>
      <c r="P164" s="66"/>
      <c r="Q164" s="66"/>
      <c r="R164" s="72"/>
      <c r="S164" s="24"/>
      <c r="T164" s="8"/>
      <c r="U164" s="8"/>
      <c r="V164" s="8"/>
      <c r="W164" s="8"/>
      <c r="X164" s="8"/>
      <c r="Y164" s="14"/>
      <c r="Z164" s="24"/>
      <c r="AA164" s="8"/>
      <c r="AB164" s="8"/>
      <c r="AC164" s="8"/>
      <c r="AD164" s="8"/>
      <c r="AE164" s="8"/>
      <c r="AF164" s="8"/>
      <c r="AG164" s="24"/>
      <c r="AH164" s="8"/>
      <c r="AI164" s="8"/>
      <c r="AJ164" s="8"/>
      <c r="AK164" s="8"/>
      <c r="AL164" s="8"/>
      <c r="AM164" s="14"/>
      <c r="AN164" s="8"/>
      <c r="AO164" s="8"/>
      <c r="AP164" s="8"/>
      <c r="AQ164" s="8"/>
      <c r="AR164" s="8"/>
      <c r="AS164" s="8"/>
      <c r="AT164" s="8"/>
      <c r="AU164" s="24"/>
      <c r="AV164" s="8"/>
      <c r="AW164" s="8"/>
      <c r="AX164" s="8"/>
      <c r="AY164" s="8"/>
      <c r="AZ164" s="8"/>
      <c r="BA164" s="8"/>
      <c r="BB164" s="8"/>
      <c r="BC164" s="8"/>
      <c r="BD164" s="8"/>
      <c r="BE164" s="8"/>
      <c r="BF164" s="8"/>
      <c r="BG164" s="8"/>
      <c r="BH164" s="8"/>
      <c r="BI164" s="8"/>
      <c r="BJ164" s="8"/>
      <c r="BK164" s="24"/>
      <c r="BL164" s="8"/>
      <c r="BM164" s="8"/>
      <c r="BN164" s="8"/>
      <c r="BO164" s="14"/>
      <c r="BP164" s="13"/>
      <c r="BQ164" s="11" t="s">
        <v>821</v>
      </c>
    </row>
    <row r="165" spans="1:70">
      <c r="A165" s="24"/>
      <c r="B165" s="24"/>
      <c r="K165" s="14"/>
      <c r="L165" s="71"/>
      <c r="M165" s="66"/>
      <c r="N165" s="66"/>
      <c r="O165" s="66"/>
      <c r="P165" s="66"/>
      <c r="Q165" s="66"/>
      <c r="R165" s="72"/>
      <c r="S165" s="24"/>
      <c r="Y165" s="14"/>
      <c r="Z165" s="24"/>
      <c r="AG165" s="24"/>
      <c r="AM165" s="14"/>
      <c r="AU165" s="24"/>
      <c r="BK165" s="24"/>
      <c r="BO165" s="14"/>
      <c r="BP165" s="14"/>
      <c r="BQ165" s="8" t="s">
        <v>822</v>
      </c>
    </row>
    <row r="166" spans="1:70">
      <c r="A166" s="24"/>
      <c r="B166" s="24"/>
      <c r="K166" s="14"/>
      <c r="L166" s="71"/>
      <c r="M166" s="66"/>
      <c r="N166" s="66"/>
      <c r="O166" s="66"/>
      <c r="P166" s="66"/>
      <c r="Q166" s="66"/>
      <c r="R166" s="72"/>
      <c r="S166" s="24"/>
      <c r="Y166" s="14"/>
      <c r="Z166" s="24"/>
      <c r="AG166" s="24"/>
      <c r="AM166" s="14"/>
      <c r="AU166" s="24"/>
      <c r="BK166" s="24"/>
      <c r="BO166" s="14"/>
      <c r="BP166" s="14"/>
      <c r="BQ166" s="8" t="s">
        <v>823</v>
      </c>
    </row>
    <row r="167" spans="1:70">
      <c r="A167" s="24"/>
      <c r="B167" s="24"/>
      <c r="K167" s="14"/>
      <c r="L167" s="71"/>
      <c r="M167" s="66"/>
      <c r="N167" s="66"/>
      <c r="O167" s="66"/>
      <c r="P167" s="66"/>
      <c r="Q167" s="66"/>
      <c r="R167" s="72"/>
      <c r="S167" s="24"/>
      <c r="Y167" s="14"/>
      <c r="Z167" s="24"/>
      <c r="AG167" s="24"/>
      <c r="AM167" s="14"/>
      <c r="AU167" s="24"/>
      <c r="BK167" s="24"/>
      <c r="BO167" s="14"/>
      <c r="BP167" s="14"/>
      <c r="BQ167" s="45" t="s">
        <v>824</v>
      </c>
    </row>
    <row r="168" spans="1:70">
      <c r="A168" s="24"/>
      <c r="B168" s="24"/>
      <c r="K168" s="14"/>
      <c r="L168" s="71"/>
      <c r="M168" s="66"/>
      <c r="N168" s="66"/>
      <c r="O168" s="66"/>
      <c r="P168" s="66"/>
      <c r="Q168" s="66"/>
      <c r="R168" s="72"/>
      <c r="S168" s="24"/>
      <c r="Y168" s="14"/>
      <c r="Z168" s="24"/>
      <c r="AG168" s="24"/>
      <c r="AM168" s="14"/>
      <c r="AU168" s="24"/>
      <c r="BK168" s="24"/>
      <c r="BO168" s="14"/>
      <c r="BP168" s="14"/>
    </row>
    <row r="169" spans="1:70">
      <c r="A169" s="24"/>
      <c r="B169" s="24"/>
      <c r="K169" s="14"/>
      <c r="L169" s="71"/>
      <c r="M169" s="66"/>
      <c r="N169" s="66"/>
      <c r="O169" s="66"/>
      <c r="P169" s="66"/>
      <c r="Q169" s="66"/>
      <c r="R169" s="72"/>
      <c r="S169" s="24"/>
      <c r="Y169" s="14"/>
      <c r="Z169" s="24"/>
      <c r="AG169" s="24"/>
      <c r="AM169" s="14"/>
      <c r="AU169" s="24"/>
      <c r="BK169" s="24"/>
      <c r="BO169" s="14"/>
      <c r="BP169" s="14"/>
    </row>
    <row r="170" spans="1:70">
      <c r="A170" s="24"/>
      <c r="B170" s="24"/>
      <c r="K170" s="14"/>
      <c r="L170" s="71"/>
      <c r="M170" s="66"/>
      <c r="N170" s="66"/>
      <c r="O170" s="66"/>
      <c r="P170" s="66"/>
      <c r="Q170" s="66"/>
      <c r="R170" s="72"/>
      <c r="S170" s="24"/>
      <c r="Y170" s="14"/>
      <c r="Z170" s="24"/>
      <c r="AG170" s="24"/>
      <c r="AM170" s="14"/>
      <c r="AU170" s="24"/>
      <c r="AY170" s="11"/>
      <c r="BK170" s="24"/>
      <c r="BO170" s="14"/>
      <c r="BP170" s="14"/>
    </row>
    <row r="171" spans="1:70">
      <c r="A171" s="24"/>
      <c r="B171" s="24"/>
      <c r="K171" s="14"/>
      <c r="L171" s="71"/>
      <c r="M171" s="66"/>
      <c r="N171" s="66"/>
      <c r="O171" s="66"/>
      <c r="P171" s="66"/>
      <c r="Q171" s="66"/>
      <c r="R171" s="72"/>
      <c r="S171" s="24"/>
      <c r="Y171" s="14"/>
      <c r="Z171" s="24"/>
      <c r="AG171" s="24"/>
      <c r="AM171" s="14"/>
      <c r="AU171" s="24"/>
      <c r="AV171" s="16" t="s">
        <v>669</v>
      </c>
      <c r="BK171" s="24"/>
      <c r="BO171" s="14"/>
      <c r="BP171" s="14"/>
      <c r="BQ171" s="8" t="s">
        <v>811</v>
      </c>
    </row>
    <row r="172" spans="1:70">
      <c r="A172" s="24"/>
      <c r="B172" s="24"/>
      <c r="K172" s="14"/>
      <c r="L172" s="71"/>
      <c r="M172" s="66"/>
      <c r="N172" s="66"/>
      <c r="O172" s="66"/>
      <c r="P172" s="66"/>
      <c r="Q172" s="66"/>
      <c r="R172" s="72"/>
      <c r="S172" s="24"/>
      <c r="Y172" s="14"/>
      <c r="Z172" s="24"/>
      <c r="AG172" s="24"/>
      <c r="AM172" s="14"/>
      <c r="AU172" s="24"/>
      <c r="AW172" s="8" t="s">
        <v>670</v>
      </c>
      <c r="BK172" s="24"/>
      <c r="BO172" s="14"/>
      <c r="BP172" s="14"/>
      <c r="BQ172" s="45" t="s">
        <v>804</v>
      </c>
    </row>
    <row r="173" spans="1:70">
      <c r="A173" s="24"/>
      <c r="B173" s="24"/>
      <c r="K173" s="14"/>
      <c r="L173" s="71"/>
      <c r="M173" s="66"/>
      <c r="N173" s="66"/>
      <c r="O173" s="66"/>
      <c r="P173" s="66"/>
      <c r="Q173" s="66"/>
      <c r="R173" s="72"/>
      <c r="S173" s="24"/>
      <c r="Y173" s="14"/>
      <c r="Z173" s="24"/>
      <c r="AG173" s="24"/>
      <c r="AM173" s="14"/>
      <c r="AU173" s="24"/>
      <c r="AW173" s="8" t="s">
        <v>671</v>
      </c>
      <c r="BK173" s="24"/>
      <c r="BO173" s="14"/>
      <c r="BP173" s="14"/>
      <c r="BQ173" s="8" t="s">
        <v>812</v>
      </c>
    </row>
    <row r="174" spans="1:70">
      <c r="A174" s="24"/>
      <c r="B174" s="24"/>
      <c r="K174" s="14"/>
      <c r="L174" s="71"/>
      <c r="M174" s="66"/>
      <c r="N174" s="66"/>
      <c r="O174" s="66"/>
      <c r="P174" s="66"/>
      <c r="Q174" s="66"/>
      <c r="R174" s="72"/>
      <c r="S174" s="24"/>
      <c r="Y174" s="14"/>
      <c r="Z174" s="24"/>
      <c r="AG174" s="24"/>
      <c r="AM174" s="14"/>
      <c r="AU174" s="24"/>
      <c r="AW174" s="8" t="s">
        <v>118</v>
      </c>
      <c r="AX174" s="8" t="s">
        <v>672</v>
      </c>
      <c r="BK174" s="24"/>
      <c r="BO174" s="14"/>
      <c r="BP174" s="14"/>
    </row>
    <row r="175" spans="1:70">
      <c r="A175" s="24"/>
      <c r="B175" s="24"/>
      <c r="K175" s="14"/>
      <c r="L175" s="71"/>
      <c r="M175" s="66"/>
      <c r="N175" s="66"/>
      <c r="O175" s="66"/>
      <c r="P175" s="66"/>
      <c r="Q175" s="66"/>
      <c r="R175" s="72"/>
      <c r="S175" s="24"/>
      <c r="Y175" s="14"/>
      <c r="Z175" s="24"/>
      <c r="AG175" s="24"/>
      <c r="AM175" s="14"/>
      <c r="AU175" s="24"/>
      <c r="AW175" s="8" t="s">
        <v>118</v>
      </c>
      <c r="AX175" s="8" t="s">
        <v>648</v>
      </c>
      <c r="BK175" s="24"/>
      <c r="BO175" s="14"/>
      <c r="BP175" s="14"/>
    </row>
    <row r="176" spans="1:70">
      <c r="A176" s="24"/>
      <c r="B176" s="24"/>
      <c r="K176" s="14"/>
      <c r="L176" s="71"/>
      <c r="M176" s="66"/>
      <c r="N176" s="66"/>
      <c r="O176" s="66"/>
      <c r="P176" s="66"/>
      <c r="Q176" s="66"/>
      <c r="R176" s="72"/>
      <c r="S176" s="24"/>
      <c r="Y176" s="14"/>
      <c r="Z176" s="24"/>
      <c r="AG176" s="24"/>
      <c r="AM176" s="14"/>
      <c r="AU176" s="24"/>
      <c r="AV176" s="11"/>
      <c r="AW176" s="86" t="s">
        <v>637</v>
      </c>
      <c r="AX176" s="87"/>
      <c r="AY176" s="87"/>
      <c r="AZ176" s="87"/>
      <c r="BA176" s="87"/>
      <c r="BB176" s="87"/>
      <c r="BC176" s="87"/>
      <c r="BD176" s="87"/>
      <c r="BE176" s="87"/>
      <c r="BF176" s="87"/>
      <c r="BG176" s="88"/>
      <c r="BK176" s="24"/>
      <c r="BO176" s="14"/>
      <c r="BP176" s="14"/>
    </row>
    <row r="177" spans="1:69">
      <c r="A177" s="24"/>
      <c r="B177" s="24"/>
      <c r="K177" s="14"/>
      <c r="L177" s="71"/>
      <c r="M177" s="66"/>
      <c r="N177" s="66"/>
      <c r="O177" s="66"/>
      <c r="P177" s="66"/>
      <c r="Q177" s="66"/>
      <c r="R177" s="72"/>
      <c r="S177" s="24"/>
      <c r="Y177" s="14"/>
      <c r="Z177" s="24"/>
      <c r="AG177" s="24"/>
      <c r="AM177" s="14"/>
      <c r="AU177" s="24"/>
      <c r="AV177" s="11"/>
      <c r="AW177" s="89" t="s">
        <v>673</v>
      </c>
      <c r="AX177" s="90"/>
      <c r="AY177" s="90"/>
      <c r="AZ177" s="90"/>
      <c r="BA177" s="91"/>
      <c r="BB177" s="89" t="s">
        <v>674</v>
      </c>
      <c r="BC177" s="90"/>
      <c r="BD177" s="90"/>
      <c r="BE177" s="90"/>
      <c r="BF177" s="90"/>
      <c r="BG177" s="91"/>
      <c r="BK177" s="24"/>
      <c r="BO177" s="14"/>
      <c r="BP177" s="14"/>
    </row>
    <row r="178" spans="1:69">
      <c r="A178" s="24"/>
      <c r="B178" s="24"/>
      <c r="K178" s="14"/>
      <c r="L178" s="71"/>
      <c r="M178" s="66"/>
      <c r="N178" s="66"/>
      <c r="O178" s="66"/>
      <c r="P178" s="66"/>
      <c r="Q178" s="66"/>
      <c r="R178" s="72"/>
      <c r="S178" s="24"/>
      <c r="Y178" s="14"/>
      <c r="Z178" s="24"/>
      <c r="AG178" s="24"/>
      <c r="AM178" s="14"/>
      <c r="AU178" s="24"/>
      <c r="AV178" s="11"/>
      <c r="AX178" s="11"/>
      <c r="AY178" s="11"/>
      <c r="BK178" s="24"/>
      <c r="BO178" s="14"/>
      <c r="BP178" s="14"/>
    </row>
    <row r="179" spans="1:69">
      <c r="A179" s="24"/>
      <c r="B179" s="24"/>
      <c r="K179" s="14"/>
      <c r="L179" s="71"/>
      <c r="M179" s="66"/>
      <c r="N179" s="66"/>
      <c r="O179" s="66"/>
      <c r="P179" s="66"/>
      <c r="Q179" s="66"/>
      <c r="R179" s="72"/>
      <c r="S179" s="24"/>
      <c r="Y179" s="14"/>
      <c r="Z179" s="24"/>
      <c r="AG179" s="24"/>
      <c r="AM179" s="14"/>
      <c r="AU179" s="24"/>
      <c r="AY179" s="11"/>
      <c r="BK179" s="24"/>
      <c r="BO179" s="14"/>
      <c r="BP179" s="14"/>
    </row>
    <row r="180" spans="1:69">
      <c r="A180" s="24"/>
      <c r="B180" s="24"/>
      <c r="K180" s="14"/>
      <c r="L180" s="71"/>
      <c r="M180" s="66"/>
      <c r="N180" s="66"/>
      <c r="O180" s="66"/>
      <c r="P180" s="66"/>
      <c r="Q180" s="66"/>
      <c r="R180" s="72"/>
      <c r="S180" s="24"/>
      <c r="Y180" s="14"/>
      <c r="Z180" s="24"/>
      <c r="AG180" s="24"/>
      <c r="AM180" s="14"/>
      <c r="AU180" s="24"/>
      <c r="AV180" s="16"/>
      <c r="BK180" s="24"/>
      <c r="BO180" s="14"/>
      <c r="BP180" s="14"/>
    </row>
    <row r="181" spans="1:69">
      <c r="A181" s="24"/>
      <c r="B181" s="24"/>
      <c r="K181" s="14"/>
      <c r="L181" s="71"/>
      <c r="M181" s="66"/>
      <c r="N181" s="66"/>
      <c r="O181" s="66"/>
      <c r="P181" s="66"/>
      <c r="Q181" s="66"/>
      <c r="R181" s="72"/>
      <c r="S181" s="24"/>
      <c r="Y181" s="14"/>
      <c r="Z181" s="24"/>
      <c r="AG181" s="24"/>
      <c r="AM181" s="14"/>
      <c r="AU181" s="24"/>
      <c r="BK181" s="24"/>
      <c r="BO181" s="14"/>
      <c r="BP181" s="14"/>
    </row>
    <row r="182" spans="1:69">
      <c r="A182" s="24"/>
      <c r="B182" s="24"/>
      <c r="K182" s="14"/>
      <c r="L182" s="71"/>
      <c r="M182" s="66"/>
      <c r="N182" s="66"/>
      <c r="O182" s="66"/>
      <c r="P182" s="66"/>
      <c r="Q182" s="66"/>
      <c r="R182" s="72"/>
      <c r="S182" s="24"/>
      <c r="Y182" s="14"/>
      <c r="Z182" s="24"/>
      <c r="AG182" s="24"/>
      <c r="AM182" s="14"/>
      <c r="AU182" s="24"/>
      <c r="AY182" s="11"/>
      <c r="BK182" s="24"/>
      <c r="BO182" s="14"/>
      <c r="BP182" s="14"/>
    </row>
    <row r="183" spans="1:69">
      <c r="A183" s="24"/>
      <c r="B183" s="24"/>
      <c r="K183" s="14"/>
      <c r="L183" s="71"/>
      <c r="M183" s="66"/>
      <c r="N183" s="66"/>
      <c r="O183" s="66"/>
      <c r="P183" s="66"/>
      <c r="Q183" s="66"/>
      <c r="R183" s="72"/>
      <c r="S183" s="24"/>
      <c r="Y183" s="14"/>
      <c r="Z183" s="24"/>
      <c r="AG183" s="24"/>
      <c r="AM183" s="14"/>
      <c r="AU183" s="24"/>
      <c r="AV183" s="11"/>
      <c r="AX183" s="11"/>
      <c r="AY183" s="11"/>
      <c r="BK183" s="24"/>
      <c r="BO183" s="14"/>
      <c r="BP183" s="14"/>
    </row>
    <row r="184" spans="1:69">
      <c r="A184" s="24"/>
      <c r="B184" s="24"/>
      <c r="K184" s="14"/>
      <c r="L184" s="71"/>
      <c r="M184" s="66"/>
      <c r="N184" s="66"/>
      <c r="O184" s="66"/>
      <c r="P184" s="66"/>
      <c r="Q184" s="66"/>
      <c r="R184" s="72"/>
      <c r="S184" s="24"/>
      <c r="Y184" s="14"/>
      <c r="Z184" s="24"/>
      <c r="AG184" s="24"/>
      <c r="AM184" s="14"/>
      <c r="AU184" s="24"/>
      <c r="AV184" s="11"/>
      <c r="AX184" s="11"/>
      <c r="AY184" s="11"/>
      <c r="BK184" s="24"/>
      <c r="BO184" s="14"/>
      <c r="BP184" s="14"/>
    </row>
    <row r="185" spans="1:69" s="11" customFormat="1">
      <c r="A185" s="25"/>
      <c r="B185" s="26" t="s">
        <v>675</v>
      </c>
      <c r="C185" s="31"/>
      <c r="D185" s="31"/>
      <c r="E185" s="31"/>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30"/>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13"/>
    </row>
    <row r="186" spans="1:69" s="11" customFormat="1">
      <c r="A186" s="25"/>
      <c r="B186" s="24"/>
      <c r="C186" s="8"/>
      <c r="D186" s="8"/>
      <c r="E186" s="8"/>
      <c r="F186" s="8"/>
      <c r="G186" s="8"/>
      <c r="H186" s="8"/>
      <c r="I186" s="8"/>
      <c r="J186" s="8"/>
      <c r="K186" s="14"/>
      <c r="L186" s="71"/>
      <c r="M186" s="66"/>
      <c r="N186" s="66"/>
      <c r="O186" s="66"/>
      <c r="P186" s="66"/>
      <c r="Q186" s="66"/>
      <c r="R186" s="72"/>
      <c r="S186" s="24"/>
      <c r="T186" s="8"/>
      <c r="U186" s="8"/>
      <c r="V186" s="8"/>
      <c r="W186" s="8"/>
      <c r="X186" s="8"/>
      <c r="Y186" s="14"/>
      <c r="Z186" s="24"/>
      <c r="AA186" s="8"/>
      <c r="AB186" s="8"/>
      <c r="AC186" s="8"/>
      <c r="AD186" s="8"/>
      <c r="AE186" s="8"/>
      <c r="AF186" s="8"/>
      <c r="AG186" s="24"/>
      <c r="AH186" s="8"/>
      <c r="AI186" s="8"/>
      <c r="AJ186" s="8"/>
      <c r="AK186" s="8"/>
      <c r="AL186" s="8"/>
      <c r="AM186" s="14"/>
      <c r="AN186" s="8"/>
      <c r="AO186" s="8"/>
      <c r="AP186" s="8"/>
      <c r="AQ186" s="8"/>
      <c r="AR186" s="8"/>
      <c r="AS186" s="8"/>
      <c r="AT186" s="8"/>
      <c r="AU186" s="24"/>
      <c r="AV186" s="8"/>
      <c r="AW186" s="8"/>
      <c r="AX186" s="8"/>
      <c r="AY186" s="8"/>
      <c r="AZ186" s="8"/>
      <c r="BA186" s="8"/>
      <c r="BB186" s="8"/>
      <c r="BC186" s="8"/>
      <c r="BD186" s="8"/>
      <c r="BE186" s="8"/>
      <c r="BF186" s="8"/>
      <c r="BG186" s="8"/>
      <c r="BH186" s="8"/>
      <c r="BI186" s="8"/>
      <c r="BJ186" s="8"/>
      <c r="BK186" s="24"/>
      <c r="BL186" s="8"/>
      <c r="BM186" s="8"/>
      <c r="BN186" s="8"/>
      <c r="BO186" s="14"/>
      <c r="BP186" s="13"/>
    </row>
    <row r="187" spans="1:69" s="11" customFormat="1">
      <c r="A187" s="25"/>
      <c r="B187" s="24"/>
      <c r="C187" s="8"/>
      <c r="D187" s="8"/>
      <c r="E187" s="8"/>
      <c r="F187" s="8"/>
      <c r="G187" s="8"/>
      <c r="H187" s="8"/>
      <c r="I187" s="8"/>
      <c r="J187" s="8"/>
      <c r="K187" s="14"/>
      <c r="L187" s="71"/>
      <c r="M187" s="66"/>
      <c r="N187" s="66"/>
      <c r="O187" s="66"/>
      <c r="P187" s="66"/>
      <c r="Q187" s="66"/>
      <c r="R187" s="72"/>
      <c r="S187" s="24"/>
      <c r="T187" s="8"/>
      <c r="U187" s="8"/>
      <c r="V187" s="8"/>
      <c r="W187" s="8"/>
      <c r="X187" s="8"/>
      <c r="Y187" s="14"/>
      <c r="Z187" s="24"/>
      <c r="AA187" s="8"/>
      <c r="AB187" s="8"/>
      <c r="AC187" s="8"/>
      <c r="AD187" s="8"/>
      <c r="AE187" s="8"/>
      <c r="AF187" s="8"/>
      <c r="AG187" s="24"/>
      <c r="AH187" s="8"/>
      <c r="AI187" s="8"/>
      <c r="AJ187" s="8"/>
      <c r="AK187" s="8"/>
      <c r="AL187" s="8"/>
      <c r="AM187" s="14"/>
      <c r="AN187" s="8"/>
      <c r="AO187" s="8"/>
      <c r="AP187" s="8"/>
      <c r="AQ187" s="8"/>
      <c r="AR187" s="8"/>
      <c r="AS187" s="8"/>
      <c r="AT187" s="8"/>
      <c r="AU187" s="24"/>
      <c r="AV187" s="8"/>
      <c r="AW187" s="8"/>
      <c r="AX187" s="8"/>
      <c r="AY187" s="8"/>
      <c r="AZ187" s="8"/>
      <c r="BA187" s="8"/>
      <c r="BB187" s="8"/>
      <c r="BC187" s="8"/>
      <c r="BD187" s="8"/>
      <c r="BE187" s="8"/>
      <c r="BF187" s="8"/>
      <c r="BG187" s="8"/>
      <c r="BH187" s="8"/>
      <c r="BI187" s="8"/>
      <c r="BJ187" s="8"/>
      <c r="BK187" s="24"/>
      <c r="BL187" s="8"/>
      <c r="BM187" s="8"/>
      <c r="BN187" s="8"/>
      <c r="BO187" s="14"/>
      <c r="BP187" s="13"/>
    </row>
    <row r="188" spans="1:69" s="11" customFormat="1">
      <c r="A188" s="25"/>
      <c r="B188" s="24"/>
      <c r="C188" s="8"/>
      <c r="D188" s="8"/>
      <c r="E188" s="8"/>
      <c r="F188" s="8"/>
      <c r="G188" s="8"/>
      <c r="H188" s="8"/>
      <c r="I188" s="8"/>
      <c r="J188" s="8"/>
      <c r="K188" s="14"/>
      <c r="L188" s="71"/>
      <c r="M188" s="66"/>
      <c r="N188" s="66"/>
      <c r="O188" s="66"/>
      <c r="P188" s="66"/>
      <c r="Q188" s="66"/>
      <c r="R188" s="72"/>
      <c r="S188" s="24"/>
      <c r="T188" s="8"/>
      <c r="U188" s="8"/>
      <c r="V188" s="8"/>
      <c r="W188" s="8"/>
      <c r="X188" s="8"/>
      <c r="Y188" s="14"/>
      <c r="Z188" s="24"/>
      <c r="AA188" s="8"/>
      <c r="AB188" s="8"/>
      <c r="AC188" s="8"/>
      <c r="AD188" s="8"/>
      <c r="AE188" s="8"/>
      <c r="AF188" s="8"/>
      <c r="AG188" s="24"/>
      <c r="AH188" s="8"/>
      <c r="AI188" s="8"/>
      <c r="AJ188" s="8"/>
      <c r="AK188" s="8"/>
      <c r="AL188" s="8"/>
      <c r="AM188" s="14"/>
      <c r="AN188" s="8"/>
      <c r="AO188" s="8"/>
      <c r="AP188" s="8"/>
      <c r="AQ188" s="8"/>
      <c r="AR188" s="8"/>
      <c r="AS188" s="8"/>
      <c r="AT188" s="8"/>
      <c r="AU188" s="24"/>
      <c r="AV188" s="8"/>
      <c r="AW188" s="8"/>
      <c r="AX188" s="8"/>
      <c r="AY188" s="8"/>
      <c r="AZ188" s="8"/>
      <c r="BA188" s="8"/>
      <c r="BB188" s="8"/>
      <c r="BC188" s="8"/>
      <c r="BD188" s="8"/>
      <c r="BE188" s="8"/>
      <c r="BF188" s="8"/>
      <c r="BG188" s="8"/>
      <c r="BH188" s="8"/>
      <c r="BI188" s="8"/>
      <c r="BJ188" s="8"/>
      <c r="BK188" s="24"/>
      <c r="BL188" s="8"/>
      <c r="BM188" s="8"/>
      <c r="BN188" s="8"/>
      <c r="BO188" s="14"/>
      <c r="BP188" s="13"/>
    </row>
    <row r="189" spans="1:69" s="11" customFormat="1">
      <c r="A189" s="25"/>
      <c r="B189" s="24"/>
      <c r="C189" s="8"/>
      <c r="D189" s="8"/>
      <c r="E189" s="8"/>
      <c r="F189" s="8"/>
      <c r="G189" s="8"/>
      <c r="H189" s="8"/>
      <c r="I189" s="8"/>
      <c r="J189" s="8"/>
      <c r="K189" s="14"/>
      <c r="L189" s="71"/>
      <c r="M189" s="66"/>
      <c r="N189" s="66"/>
      <c r="O189" s="66"/>
      <c r="P189" s="66"/>
      <c r="Q189" s="66"/>
      <c r="R189" s="72"/>
      <c r="S189" s="24"/>
      <c r="T189" s="8"/>
      <c r="U189" s="8"/>
      <c r="V189" s="8"/>
      <c r="W189" s="8"/>
      <c r="X189" s="8"/>
      <c r="Y189" s="14"/>
      <c r="Z189" s="24"/>
      <c r="AA189" s="8"/>
      <c r="AB189" s="8"/>
      <c r="AC189" s="8"/>
      <c r="AD189" s="8"/>
      <c r="AE189" s="8"/>
      <c r="AF189" s="8"/>
      <c r="AG189" s="24"/>
      <c r="AH189" s="8"/>
      <c r="AI189" s="8"/>
      <c r="AJ189" s="8"/>
      <c r="AK189" s="8"/>
      <c r="AL189" s="8"/>
      <c r="AM189" s="14"/>
      <c r="AN189" s="8"/>
      <c r="AO189" s="8"/>
      <c r="AP189" s="8"/>
      <c r="AQ189" s="8"/>
      <c r="AR189" s="8"/>
      <c r="AS189" s="8"/>
      <c r="AT189" s="8"/>
      <c r="AU189" s="24"/>
      <c r="AV189" s="8"/>
      <c r="AW189" s="8"/>
      <c r="AX189" s="8"/>
      <c r="AY189" s="8"/>
      <c r="AZ189" s="8"/>
      <c r="BA189" s="8"/>
      <c r="BB189" s="8"/>
      <c r="BC189" s="8"/>
      <c r="BD189" s="8"/>
      <c r="BE189" s="8"/>
      <c r="BF189" s="8"/>
      <c r="BG189" s="8"/>
      <c r="BH189" s="8"/>
      <c r="BI189" s="8"/>
      <c r="BJ189" s="8"/>
      <c r="BK189" s="24"/>
      <c r="BL189" s="8"/>
      <c r="BM189" s="8"/>
      <c r="BN189" s="8"/>
      <c r="BO189" s="14"/>
      <c r="BP189" s="13"/>
    </row>
    <row r="190" spans="1:69" s="11" customFormat="1">
      <c r="A190" s="25"/>
      <c r="B190" s="24"/>
      <c r="C190" s="8"/>
      <c r="D190" s="8"/>
      <c r="E190" s="8"/>
      <c r="F190" s="8"/>
      <c r="G190" s="8"/>
      <c r="H190" s="8"/>
      <c r="I190" s="8"/>
      <c r="J190" s="8"/>
      <c r="K190" s="14"/>
      <c r="L190" s="71"/>
      <c r="M190" s="66"/>
      <c r="N190" s="66"/>
      <c r="O190" s="66"/>
      <c r="P190" s="66"/>
      <c r="Q190" s="66"/>
      <c r="R190" s="72"/>
      <c r="S190" s="24"/>
      <c r="T190" s="8"/>
      <c r="U190" s="8"/>
      <c r="V190" s="8"/>
      <c r="W190" s="8"/>
      <c r="X190" s="8"/>
      <c r="Y190" s="14"/>
      <c r="Z190" s="24"/>
      <c r="AA190" s="8"/>
      <c r="AB190" s="8"/>
      <c r="AC190" s="8"/>
      <c r="AD190" s="8"/>
      <c r="AE190" s="8"/>
      <c r="AF190" s="8"/>
      <c r="AG190" s="24"/>
      <c r="AH190" s="8"/>
      <c r="AI190" s="8"/>
      <c r="AJ190" s="8"/>
      <c r="AK190" s="8"/>
      <c r="AL190" s="8"/>
      <c r="AM190" s="14"/>
      <c r="AN190" s="8"/>
      <c r="AO190" s="8"/>
      <c r="AP190" s="8"/>
      <c r="AQ190" s="8"/>
      <c r="AR190" s="8"/>
      <c r="AS190" s="8"/>
      <c r="AT190" s="8"/>
      <c r="AU190" s="24"/>
      <c r="AV190" s="8"/>
      <c r="AW190" s="8"/>
      <c r="AX190" s="8"/>
      <c r="AY190" s="8"/>
      <c r="AZ190" s="8"/>
      <c r="BA190" s="8"/>
      <c r="BB190" s="8"/>
      <c r="BC190" s="8"/>
      <c r="BD190" s="8"/>
      <c r="BE190" s="8"/>
      <c r="BF190" s="8"/>
      <c r="BG190" s="8"/>
      <c r="BH190" s="8"/>
      <c r="BI190" s="8"/>
      <c r="BJ190" s="8"/>
      <c r="BK190" s="24"/>
      <c r="BL190" s="8"/>
      <c r="BM190" s="8"/>
      <c r="BN190" s="8"/>
      <c r="BO190" s="14"/>
      <c r="BP190" s="13"/>
    </row>
    <row r="191" spans="1:69" s="11" customFormat="1">
      <c r="A191" s="25"/>
      <c r="B191" s="24"/>
      <c r="C191" s="8"/>
      <c r="D191" s="8"/>
      <c r="E191" s="8"/>
      <c r="F191" s="8"/>
      <c r="G191" s="8"/>
      <c r="H191" s="8"/>
      <c r="I191" s="8"/>
      <c r="J191" s="8"/>
      <c r="K191" s="14"/>
      <c r="L191" s="71"/>
      <c r="M191" s="66"/>
      <c r="N191" s="66"/>
      <c r="O191" s="66"/>
      <c r="P191" s="66"/>
      <c r="Q191" s="66"/>
      <c r="R191" s="72"/>
      <c r="S191" s="24"/>
      <c r="T191" s="8"/>
      <c r="U191" s="8"/>
      <c r="V191" s="8"/>
      <c r="W191" s="8"/>
      <c r="X191" s="8"/>
      <c r="Y191" s="14"/>
      <c r="Z191" s="24"/>
      <c r="AA191" s="8"/>
      <c r="AB191" s="8"/>
      <c r="AC191" s="8"/>
      <c r="AD191" s="8"/>
      <c r="AE191" s="8"/>
      <c r="AF191" s="8"/>
      <c r="AG191" s="24"/>
      <c r="AH191" s="8"/>
      <c r="AI191" s="8"/>
      <c r="AJ191" s="8"/>
      <c r="AK191" s="8"/>
      <c r="AL191" s="8"/>
      <c r="AM191" s="14"/>
      <c r="AN191" s="8"/>
      <c r="AO191" s="8"/>
      <c r="AP191" s="8"/>
      <c r="AQ191" s="8"/>
      <c r="AR191" s="8"/>
      <c r="AS191" s="8"/>
      <c r="AT191" s="8"/>
      <c r="AU191" s="24"/>
      <c r="AV191" s="8"/>
      <c r="AW191" s="8"/>
      <c r="AX191" s="8"/>
      <c r="AY191" s="8"/>
      <c r="AZ191" s="8"/>
      <c r="BA191" s="8"/>
      <c r="BB191" s="8"/>
      <c r="BC191" s="8"/>
      <c r="BD191" s="8"/>
      <c r="BE191" s="8"/>
      <c r="BF191" s="8"/>
      <c r="BG191" s="8"/>
      <c r="BH191" s="8"/>
      <c r="BI191" s="8"/>
      <c r="BJ191" s="8"/>
      <c r="BK191" s="24"/>
      <c r="BL191" s="8"/>
      <c r="BM191" s="8"/>
      <c r="BN191" s="8"/>
      <c r="BO191" s="14"/>
      <c r="BP191" s="13"/>
      <c r="BQ191" s="45" t="s">
        <v>804</v>
      </c>
    </row>
    <row r="192" spans="1:69" s="11" customFormat="1">
      <c r="A192" s="25"/>
      <c r="B192" s="24"/>
      <c r="C192" s="8"/>
      <c r="D192" s="8"/>
      <c r="E192" s="8"/>
      <c r="F192" s="8"/>
      <c r="G192" s="8"/>
      <c r="H192" s="8"/>
      <c r="I192" s="8"/>
      <c r="J192" s="8"/>
      <c r="K192" s="14"/>
      <c r="L192" s="71"/>
      <c r="M192" s="66"/>
      <c r="N192" s="66"/>
      <c r="O192" s="66"/>
      <c r="P192" s="66"/>
      <c r="Q192" s="66"/>
      <c r="R192" s="72"/>
      <c r="S192" s="24"/>
      <c r="T192" s="8"/>
      <c r="U192" s="8"/>
      <c r="V192" s="8"/>
      <c r="W192" s="8"/>
      <c r="X192" s="8"/>
      <c r="Y192" s="14"/>
      <c r="Z192" s="24"/>
      <c r="AA192" s="8"/>
      <c r="AB192" s="8"/>
      <c r="AC192" s="8"/>
      <c r="AD192" s="8"/>
      <c r="AE192" s="8"/>
      <c r="AF192" s="8"/>
      <c r="AG192" s="24"/>
      <c r="AH192" s="8"/>
      <c r="AI192" s="8"/>
      <c r="AJ192" s="8"/>
      <c r="AK192" s="8"/>
      <c r="AL192" s="8"/>
      <c r="AM192" s="14"/>
      <c r="AN192" s="8"/>
      <c r="AO192" s="8"/>
      <c r="AP192" s="8"/>
      <c r="AQ192" s="8"/>
      <c r="AR192" s="8"/>
      <c r="AS192" s="8"/>
      <c r="AT192" s="8"/>
      <c r="AU192" s="24"/>
      <c r="AV192" s="16" t="s">
        <v>676</v>
      </c>
      <c r="AW192" s="8"/>
      <c r="AX192" s="8"/>
      <c r="AY192" s="8"/>
      <c r="AZ192" s="8"/>
      <c r="BA192" s="8"/>
      <c r="BB192" s="8"/>
      <c r="BC192" s="8"/>
      <c r="BD192" s="8"/>
      <c r="BE192" s="8"/>
      <c r="BF192" s="8"/>
      <c r="BG192" s="8"/>
      <c r="BH192" s="8"/>
      <c r="BI192" s="8"/>
      <c r="BJ192" s="8"/>
      <c r="BK192" s="24"/>
      <c r="BL192" s="8"/>
      <c r="BM192" s="8"/>
      <c r="BN192" s="8"/>
      <c r="BO192" s="14"/>
      <c r="BP192" s="13"/>
      <c r="BQ192" s="8" t="s">
        <v>812</v>
      </c>
    </row>
    <row r="193" spans="1:68" s="11" customFormat="1">
      <c r="A193" s="25"/>
      <c r="B193" s="24"/>
      <c r="C193" s="8"/>
      <c r="D193" s="8"/>
      <c r="E193" s="8"/>
      <c r="F193" s="8"/>
      <c r="G193" s="8"/>
      <c r="H193" s="8"/>
      <c r="I193" s="8"/>
      <c r="J193" s="8"/>
      <c r="K193" s="14"/>
      <c r="L193" s="71"/>
      <c r="M193" s="66"/>
      <c r="N193" s="66"/>
      <c r="O193" s="66"/>
      <c r="P193" s="66"/>
      <c r="Q193" s="66"/>
      <c r="R193" s="72"/>
      <c r="S193" s="24"/>
      <c r="T193" s="8"/>
      <c r="U193" s="8"/>
      <c r="V193" s="8"/>
      <c r="W193" s="8"/>
      <c r="X193" s="8"/>
      <c r="Y193" s="14"/>
      <c r="Z193" s="24"/>
      <c r="AA193" s="8"/>
      <c r="AB193" s="8"/>
      <c r="AC193" s="8"/>
      <c r="AD193" s="8"/>
      <c r="AE193" s="8"/>
      <c r="AF193" s="8"/>
      <c r="AG193" s="24"/>
      <c r="AH193" s="8"/>
      <c r="AI193" s="8"/>
      <c r="AJ193" s="8"/>
      <c r="AK193" s="8"/>
      <c r="AL193" s="8"/>
      <c r="AM193" s="14"/>
      <c r="AN193" s="8"/>
      <c r="AO193" s="8"/>
      <c r="AP193" s="8"/>
      <c r="AQ193" s="8"/>
      <c r="AR193" s="8"/>
      <c r="AS193" s="8"/>
      <c r="AT193" s="8"/>
      <c r="AU193" s="24"/>
      <c r="AV193" s="8"/>
      <c r="AW193" s="8" t="s">
        <v>677</v>
      </c>
      <c r="AX193" s="8"/>
      <c r="AY193" s="8"/>
      <c r="AZ193" s="8"/>
      <c r="BA193" s="8"/>
      <c r="BB193" s="8"/>
      <c r="BC193" s="8"/>
      <c r="BD193" s="8"/>
      <c r="BE193" s="8"/>
      <c r="BF193" s="8"/>
      <c r="BG193" s="8"/>
      <c r="BH193" s="8"/>
      <c r="BI193" s="8"/>
      <c r="BJ193" s="8"/>
      <c r="BK193" s="24"/>
      <c r="BL193" s="8"/>
      <c r="BM193" s="8"/>
      <c r="BN193" s="8"/>
      <c r="BO193" s="14"/>
      <c r="BP193" s="13"/>
    </row>
    <row r="194" spans="1:68" s="11" customFormat="1">
      <c r="A194" s="25"/>
      <c r="B194" s="24"/>
      <c r="C194" s="8"/>
      <c r="D194" s="8"/>
      <c r="E194" s="8"/>
      <c r="F194" s="8"/>
      <c r="G194" s="8"/>
      <c r="H194" s="8"/>
      <c r="I194" s="8"/>
      <c r="J194" s="8"/>
      <c r="K194" s="14"/>
      <c r="L194" s="71"/>
      <c r="M194" s="66"/>
      <c r="N194" s="66"/>
      <c r="O194" s="66"/>
      <c r="P194" s="66"/>
      <c r="Q194" s="66"/>
      <c r="R194" s="72"/>
      <c r="S194" s="24"/>
      <c r="T194" s="8"/>
      <c r="U194" s="8"/>
      <c r="V194" s="8"/>
      <c r="W194" s="8"/>
      <c r="X194" s="8"/>
      <c r="Y194" s="14"/>
      <c r="Z194" s="24"/>
      <c r="AA194" s="8"/>
      <c r="AB194" s="8"/>
      <c r="AC194" s="8"/>
      <c r="AD194" s="8"/>
      <c r="AE194" s="8"/>
      <c r="AF194" s="8"/>
      <c r="AG194" s="24"/>
      <c r="AH194" s="8"/>
      <c r="AI194" s="8"/>
      <c r="AJ194" s="8"/>
      <c r="AK194" s="8"/>
      <c r="AL194" s="8"/>
      <c r="AM194" s="14"/>
      <c r="AN194" s="8"/>
      <c r="AO194" s="8"/>
      <c r="AP194" s="8"/>
      <c r="AQ194" s="8"/>
      <c r="AR194" s="8"/>
      <c r="AS194" s="8"/>
      <c r="AT194" s="8"/>
      <c r="AU194" s="24"/>
      <c r="AV194" s="8"/>
      <c r="AW194" s="8" t="s">
        <v>678</v>
      </c>
      <c r="AX194" s="8"/>
      <c r="AY194" s="8"/>
      <c r="AZ194" s="8"/>
      <c r="BA194" s="8"/>
      <c r="BB194" s="8"/>
      <c r="BC194" s="8"/>
      <c r="BD194" s="8"/>
      <c r="BE194" s="8"/>
      <c r="BF194" s="8"/>
      <c r="BG194" s="8"/>
      <c r="BH194" s="8"/>
      <c r="BI194" s="8"/>
      <c r="BJ194" s="8"/>
      <c r="BK194" s="24"/>
      <c r="BL194" s="8"/>
      <c r="BM194" s="8"/>
      <c r="BN194" s="8"/>
      <c r="BO194" s="14"/>
      <c r="BP194" s="13"/>
    </row>
    <row r="195" spans="1:68" s="11" customFormat="1">
      <c r="A195" s="25"/>
      <c r="B195" s="24"/>
      <c r="C195" s="8"/>
      <c r="D195" s="8"/>
      <c r="E195" s="8"/>
      <c r="F195" s="8"/>
      <c r="G195" s="8"/>
      <c r="H195" s="8"/>
      <c r="I195" s="8"/>
      <c r="J195" s="8"/>
      <c r="K195" s="14"/>
      <c r="L195" s="71"/>
      <c r="M195" s="66"/>
      <c r="N195" s="66"/>
      <c r="O195" s="66"/>
      <c r="P195" s="66"/>
      <c r="Q195" s="66"/>
      <c r="R195" s="72"/>
      <c r="S195" s="24"/>
      <c r="T195" s="8"/>
      <c r="U195" s="8"/>
      <c r="V195" s="8"/>
      <c r="W195" s="8"/>
      <c r="X195" s="8"/>
      <c r="Y195" s="14"/>
      <c r="Z195" s="24"/>
      <c r="AA195" s="8"/>
      <c r="AB195" s="8"/>
      <c r="AC195" s="8"/>
      <c r="AD195" s="8"/>
      <c r="AE195" s="8"/>
      <c r="AF195" s="8"/>
      <c r="AG195" s="24"/>
      <c r="AH195" s="8"/>
      <c r="AI195" s="8"/>
      <c r="AJ195" s="8"/>
      <c r="AK195" s="8"/>
      <c r="AL195" s="8"/>
      <c r="AM195" s="14"/>
      <c r="AN195" s="8"/>
      <c r="AO195" s="8"/>
      <c r="AP195" s="8"/>
      <c r="AQ195" s="8"/>
      <c r="AR195" s="8"/>
      <c r="AS195" s="8"/>
      <c r="AT195" s="8"/>
      <c r="AU195" s="24"/>
      <c r="AV195" s="8"/>
      <c r="AW195" s="8" t="s">
        <v>118</v>
      </c>
      <c r="AX195" s="8" t="s">
        <v>714</v>
      </c>
      <c r="AY195" s="8"/>
      <c r="AZ195" s="8"/>
      <c r="BA195" s="8"/>
      <c r="BB195" s="8"/>
      <c r="BC195" s="8"/>
      <c r="BD195" s="8"/>
      <c r="BE195" s="8"/>
      <c r="BF195" s="8"/>
      <c r="BG195" s="8"/>
      <c r="BH195" s="8"/>
      <c r="BI195" s="8"/>
      <c r="BJ195" s="8"/>
      <c r="BK195" s="24"/>
      <c r="BL195" s="8"/>
      <c r="BM195" s="8"/>
      <c r="BN195" s="8"/>
      <c r="BO195" s="14"/>
      <c r="BP195" s="13"/>
    </row>
    <row r="196" spans="1:68" s="11" customFormat="1">
      <c r="A196" s="25"/>
      <c r="B196" s="24"/>
      <c r="C196" s="8"/>
      <c r="D196" s="8"/>
      <c r="E196" s="8"/>
      <c r="F196" s="8"/>
      <c r="G196" s="8"/>
      <c r="H196" s="8"/>
      <c r="I196" s="8"/>
      <c r="J196" s="8"/>
      <c r="K196" s="14"/>
      <c r="L196" s="71"/>
      <c r="M196" s="66"/>
      <c r="N196" s="66"/>
      <c r="O196" s="66"/>
      <c r="P196" s="66"/>
      <c r="Q196" s="66"/>
      <c r="R196" s="72"/>
      <c r="S196" s="24"/>
      <c r="T196" s="8"/>
      <c r="U196" s="8"/>
      <c r="V196" s="8"/>
      <c r="W196" s="8"/>
      <c r="X196" s="8"/>
      <c r="Y196" s="14"/>
      <c r="Z196" s="24"/>
      <c r="AA196" s="8"/>
      <c r="AB196" s="8"/>
      <c r="AC196" s="8"/>
      <c r="AD196" s="8"/>
      <c r="AE196" s="8"/>
      <c r="AF196" s="8"/>
      <c r="AG196" s="24"/>
      <c r="AH196" s="8"/>
      <c r="AI196" s="8"/>
      <c r="AJ196" s="8"/>
      <c r="AK196" s="8"/>
      <c r="AL196" s="8"/>
      <c r="AM196" s="14"/>
      <c r="AN196" s="8"/>
      <c r="AO196" s="8"/>
      <c r="AP196" s="8"/>
      <c r="AQ196" s="8"/>
      <c r="AR196" s="8"/>
      <c r="AS196" s="8"/>
      <c r="AT196" s="8"/>
      <c r="AU196" s="24"/>
      <c r="AV196" s="8"/>
      <c r="AW196" s="8"/>
      <c r="AX196" s="8"/>
      <c r="AY196" s="8"/>
      <c r="AZ196" s="8"/>
      <c r="BA196" s="8"/>
      <c r="BB196" s="8"/>
      <c r="BC196" s="8"/>
      <c r="BD196" s="8"/>
      <c r="BE196" s="8"/>
      <c r="BF196" s="8"/>
      <c r="BG196" s="8"/>
      <c r="BH196" s="8"/>
      <c r="BI196" s="8"/>
      <c r="BJ196" s="8"/>
      <c r="BK196" s="24"/>
      <c r="BL196" s="8"/>
      <c r="BM196" s="8"/>
      <c r="BN196" s="8"/>
      <c r="BO196" s="14"/>
      <c r="BP196" s="13"/>
    </row>
    <row r="197" spans="1:68" s="11" customFormat="1">
      <c r="A197" s="25"/>
      <c r="B197" s="24"/>
      <c r="C197" s="8"/>
      <c r="D197" s="8"/>
      <c r="E197" s="8"/>
      <c r="F197" s="8"/>
      <c r="G197" s="8"/>
      <c r="H197" s="8"/>
      <c r="I197" s="8"/>
      <c r="J197" s="8"/>
      <c r="K197" s="14"/>
      <c r="L197" s="71"/>
      <c r="M197" s="66"/>
      <c r="N197" s="66"/>
      <c r="O197" s="66"/>
      <c r="P197" s="66"/>
      <c r="Q197" s="66"/>
      <c r="R197" s="72"/>
      <c r="S197" s="24"/>
      <c r="T197" s="8"/>
      <c r="U197" s="8"/>
      <c r="V197" s="8"/>
      <c r="W197" s="8"/>
      <c r="X197" s="8"/>
      <c r="Y197" s="14"/>
      <c r="Z197" s="24"/>
      <c r="AA197" s="8"/>
      <c r="AB197" s="8"/>
      <c r="AC197" s="8"/>
      <c r="AD197" s="8"/>
      <c r="AE197" s="8"/>
      <c r="AF197" s="8"/>
      <c r="AG197" s="24"/>
      <c r="AH197" s="8"/>
      <c r="AI197" s="8"/>
      <c r="AJ197" s="8"/>
      <c r="AK197" s="8"/>
      <c r="AL197" s="8"/>
      <c r="AM197" s="14"/>
      <c r="AN197" s="8"/>
      <c r="AO197" s="8"/>
      <c r="AP197" s="8"/>
      <c r="AQ197" s="8"/>
      <c r="AR197" s="8"/>
      <c r="AS197" s="8"/>
      <c r="AT197" s="8"/>
      <c r="AU197" s="24"/>
      <c r="AV197" s="8"/>
      <c r="AW197" s="8"/>
      <c r="AX197" s="8"/>
      <c r="AY197" s="8"/>
      <c r="AZ197" s="8"/>
      <c r="BA197" s="8"/>
      <c r="BB197" s="8"/>
      <c r="BC197" s="8"/>
      <c r="BD197" s="8"/>
      <c r="BE197" s="8"/>
      <c r="BF197" s="8"/>
      <c r="BG197" s="8"/>
      <c r="BH197" s="8"/>
      <c r="BI197" s="8"/>
      <c r="BJ197" s="8"/>
      <c r="BK197" s="24"/>
      <c r="BL197" s="8"/>
      <c r="BM197" s="8"/>
      <c r="BN197" s="8"/>
      <c r="BO197" s="14"/>
      <c r="BP197" s="13"/>
    </row>
    <row r="198" spans="1:68" s="11" customFormat="1">
      <c r="A198" s="25"/>
      <c r="B198" s="24"/>
      <c r="C198" s="8"/>
      <c r="D198" s="8"/>
      <c r="E198" s="8"/>
      <c r="F198" s="8"/>
      <c r="G198" s="8"/>
      <c r="H198" s="8"/>
      <c r="I198" s="8"/>
      <c r="J198" s="8"/>
      <c r="K198" s="14"/>
      <c r="L198" s="71"/>
      <c r="M198" s="66"/>
      <c r="N198" s="66"/>
      <c r="O198" s="66"/>
      <c r="P198" s="66"/>
      <c r="Q198" s="66"/>
      <c r="R198" s="72"/>
      <c r="S198" s="24"/>
      <c r="T198" s="8"/>
      <c r="U198" s="8"/>
      <c r="V198" s="8"/>
      <c r="W198" s="8"/>
      <c r="X198" s="8"/>
      <c r="Y198" s="14"/>
      <c r="Z198" s="24"/>
      <c r="AA198" s="8"/>
      <c r="AB198" s="8"/>
      <c r="AC198" s="8"/>
      <c r="AD198" s="8"/>
      <c r="AE198" s="8"/>
      <c r="AF198" s="8"/>
      <c r="AG198" s="24"/>
      <c r="AH198" s="8"/>
      <c r="AI198" s="8"/>
      <c r="AJ198" s="8"/>
      <c r="AK198" s="8"/>
      <c r="AL198" s="8"/>
      <c r="AM198" s="14"/>
      <c r="AN198" s="8"/>
      <c r="AO198" s="8"/>
      <c r="AP198" s="8"/>
      <c r="AQ198" s="8"/>
      <c r="AR198" s="8"/>
      <c r="AS198" s="8"/>
      <c r="AT198" s="8"/>
      <c r="AU198" s="24"/>
      <c r="AV198" s="16" t="s">
        <v>681</v>
      </c>
      <c r="AW198" s="8"/>
      <c r="AX198" s="8"/>
      <c r="AY198" s="8"/>
      <c r="AZ198" s="8"/>
      <c r="BA198" s="8"/>
      <c r="BB198" s="8"/>
      <c r="BC198" s="8"/>
      <c r="BD198" s="8"/>
      <c r="BE198" s="8"/>
      <c r="BF198" s="8"/>
      <c r="BG198" s="8"/>
      <c r="BH198" s="8"/>
      <c r="BI198" s="8"/>
      <c r="BJ198" s="8"/>
      <c r="BK198" s="24"/>
      <c r="BL198" s="8"/>
      <c r="BM198" s="8"/>
      <c r="BN198" s="8"/>
      <c r="BO198" s="14"/>
      <c r="BP198" s="13"/>
    </row>
    <row r="199" spans="1:68" s="11" customFormat="1">
      <c r="A199" s="25"/>
      <c r="B199" s="24"/>
      <c r="C199" s="8"/>
      <c r="D199" s="8"/>
      <c r="E199" s="8"/>
      <c r="F199" s="8"/>
      <c r="G199" s="8"/>
      <c r="H199" s="8"/>
      <c r="I199" s="8"/>
      <c r="J199" s="8"/>
      <c r="K199" s="14"/>
      <c r="L199" s="71"/>
      <c r="M199" s="66"/>
      <c r="N199" s="66"/>
      <c r="O199" s="66"/>
      <c r="P199" s="66"/>
      <c r="Q199" s="66"/>
      <c r="R199" s="72"/>
      <c r="S199" s="24"/>
      <c r="T199" s="8"/>
      <c r="U199" s="8"/>
      <c r="V199" s="8"/>
      <c r="W199" s="8"/>
      <c r="X199" s="8"/>
      <c r="Y199" s="14"/>
      <c r="Z199" s="24"/>
      <c r="AA199" s="8"/>
      <c r="AB199" s="8"/>
      <c r="AC199" s="8"/>
      <c r="AD199" s="8"/>
      <c r="AE199" s="8"/>
      <c r="AF199" s="8"/>
      <c r="AG199" s="24"/>
      <c r="AH199" s="8"/>
      <c r="AI199" s="8"/>
      <c r="AJ199" s="8"/>
      <c r="AK199" s="8"/>
      <c r="AL199" s="8"/>
      <c r="AM199" s="14"/>
      <c r="AN199" s="8"/>
      <c r="AO199" s="8"/>
      <c r="AP199" s="8"/>
      <c r="AQ199" s="8"/>
      <c r="AR199" s="8"/>
      <c r="AS199" s="8"/>
      <c r="AT199" s="8"/>
      <c r="AU199" s="24"/>
      <c r="AV199" s="8"/>
      <c r="AW199" s="8" t="s">
        <v>682</v>
      </c>
      <c r="AX199" s="8"/>
      <c r="AY199" s="8"/>
      <c r="AZ199" s="8"/>
      <c r="BA199" s="8"/>
      <c r="BB199" s="8"/>
      <c r="BC199" s="8"/>
      <c r="BD199" s="8"/>
      <c r="BE199" s="8"/>
      <c r="BF199" s="8"/>
      <c r="BG199" s="8"/>
      <c r="BH199" s="8"/>
      <c r="BI199" s="8"/>
      <c r="BJ199" s="8"/>
      <c r="BK199" s="24"/>
      <c r="BL199" s="8"/>
      <c r="BM199" s="8"/>
      <c r="BN199" s="8"/>
      <c r="BO199" s="14"/>
      <c r="BP199" s="13"/>
    </row>
    <row r="200" spans="1:68" s="11" customFormat="1">
      <c r="A200" s="25"/>
      <c r="B200" s="24"/>
      <c r="C200" s="8"/>
      <c r="D200" s="8"/>
      <c r="E200" s="8"/>
      <c r="F200" s="8"/>
      <c r="G200" s="8"/>
      <c r="H200" s="8"/>
      <c r="I200" s="8"/>
      <c r="J200" s="8"/>
      <c r="K200" s="14"/>
      <c r="L200" s="71"/>
      <c r="M200" s="66"/>
      <c r="N200" s="66"/>
      <c r="O200" s="66"/>
      <c r="P200" s="66"/>
      <c r="Q200" s="66"/>
      <c r="R200" s="72"/>
      <c r="S200" s="24"/>
      <c r="T200" s="8"/>
      <c r="U200" s="8"/>
      <c r="V200" s="8"/>
      <c r="W200" s="8"/>
      <c r="X200" s="8"/>
      <c r="Y200" s="14"/>
      <c r="Z200" s="24"/>
      <c r="AA200" s="8"/>
      <c r="AB200" s="8"/>
      <c r="AC200" s="8"/>
      <c r="AD200" s="8"/>
      <c r="AE200" s="8"/>
      <c r="AF200" s="8"/>
      <c r="AG200" s="24"/>
      <c r="AH200" s="8"/>
      <c r="AI200" s="8"/>
      <c r="AJ200" s="8"/>
      <c r="AK200" s="8"/>
      <c r="AL200" s="8"/>
      <c r="AM200" s="14"/>
      <c r="AN200" s="8"/>
      <c r="AO200" s="8"/>
      <c r="AP200" s="8"/>
      <c r="AQ200" s="8"/>
      <c r="AR200" s="8"/>
      <c r="AS200" s="8"/>
      <c r="AT200" s="8"/>
      <c r="AU200" s="24"/>
      <c r="AV200" s="8"/>
      <c r="AW200" s="8" t="s">
        <v>118</v>
      </c>
      <c r="AX200" s="8" t="s">
        <v>714</v>
      </c>
      <c r="AY200" s="8"/>
      <c r="AZ200" s="8"/>
      <c r="BA200" s="8"/>
      <c r="BB200" s="8"/>
      <c r="BC200" s="8"/>
      <c r="BD200" s="8"/>
      <c r="BE200" s="8"/>
      <c r="BF200" s="8"/>
      <c r="BG200" s="8"/>
      <c r="BH200" s="8"/>
      <c r="BI200" s="8"/>
      <c r="BJ200" s="8"/>
      <c r="BK200" s="24"/>
      <c r="BL200" s="8"/>
      <c r="BM200" s="8"/>
      <c r="BN200" s="8"/>
      <c r="BO200" s="14"/>
      <c r="BP200" s="13"/>
    </row>
    <row r="201" spans="1:68" s="11" customFormat="1">
      <c r="A201" s="25"/>
      <c r="B201" s="24"/>
      <c r="C201" s="8"/>
      <c r="D201" s="8"/>
      <c r="E201" s="8"/>
      <c r="F201" s="8"/>
      <c r="G201" s="8"/>
      <c r="H201" s="8"/>
      <c r="I201" s="8"/>
      <c r="J201" s="8"/>
      <c r="K201" s="14"/>
      <c r="L201" s="71"/>
      <c r="M201" s="66"/>
      <c r="N201" s="66"/>
      <c r="O201" s="66"/>
      <c r="P201" s="66"/>
      <c r="Q201" s="66"/>
      <c r="R201" s="72"/>
      <c r="S201" s="24"/>
      <c r="T201" s="8"/>
      <c r="U201" s="8"/>
      <c r="V201" s="8"/>
      <c r="W201" s="8"/>
      <c r="X201" s="8"/>
      <c r="Y201" s="14"/>
      <c r="Z201" s="24"/>
      <c r="AA201" s="8"/>
      <c r="AB201" s="8"/>
      <c r="AC201" s="8"/>
      <c r="AD201" s="8"/>
      <c r="AE201" s="8"/>
      <c r="AF201" s="8"/>
      <c r="AG201" s="24"/>
      <c r="AH201" s="8"/>
      <c r="AI201" s="8"/>
      <c r="AJ201" s="8"/>
      <c r="AK201" s="8"/>
      <c r="AL201" s="8"/>
      <c r="AM201" s="14"/>
      <c r="AN201" s="8"/>
      <c r="AO201" s="8"/>
      <c r="AP201" s="8"/>
      <c r="AQ201" s="8"/>
      <c r="AR201" s="8"/>
      <c r="AS201" s="8"/>
      <c r="AT201" s="8"/>
      <c r="AU201" s="24"/>
      <c r="AV201" s="8"/>
      <c r="AW201" s="8"/>
      <c r="AX201" s="8"/>
      <c r="AY201" s="8"/>
      <c r="AZ201" s="8"/>
      <c r="BA201" s="8"/>
      <c r="BB201" s="8"/>
      <c r="BC201" s="8"/>
      <c r="BD201" s="8"/>
      <c r="BE201" s="8"/>
      <c r="BF201" s="8"/>
      <c r="BG201" s="8"/>
      <c r="BH201" s="8"/>
      <c r="BI201" s="8"/>
      <c r="BJ201" s="8"/>
      <c r="BK201" s="24"/>
      <c r="BL201" s="8"/>
      <c r="BM201" s="8"/>
      <c r="BN201" s="8"/>
      <c r="BO201" s="14"/>
      <c r="BP201" s="13"/>
    </row>
    <row r="202" spans="1:68" s="11" customFormat="1">
      <c r="A202" s="25"/>
      <c r="B202" s="24"/>
      <c r="C202" s="8"/>
      <c r="D202" s="8"/>
      <c r="E202" s="8"/>
      <c r="F202" s="8"/>
      <c r="G202" s="8"/>
      <c r="H202" s="8"/>
      <c r="I202" s="8"/>
      <c r="J202" s="8"/>
      <c r="K202" s="14"/>
      <c r="L202" s="71"/>
      <c r="M202" s="66"/>
      <c r="N202" s="66"/>
      <c r="O202" s="66"/>
      <c r="P202" s="66"/>
      <c r="Q202" s="66"/>
      <c r="R202" s="72"/>
      <c r="S202" s="24"/>
      <c r="T202" s="8"/>
      <c r="U202" s="8"/>
      <c r="V202" s="8"/>
      <c r="W202" s="8"/>
      <c r="X202" s="8"/>
      <c r="Y202" s="14"/>
      <c r="Z202" s="24"/>
      <c r="AA202" s="8"/>
      <c r="AB202" s="8"/>
      <c r="AC202" s="8"/>
      <c r="AD202" s="8"/>
      <c r="AE202" s="8"/>
      <c r="AF202" s="8"/>
      <c r="AG202" s="24"/>
      <c r="AH202" s="8"/>
      <c r="AI202" s="8"/>
      <c r="AJ202" s="8"/>
      <c r="AK202" s="8"/>
      <c r="AL202" s="8"/>
      <c r="AM202" s="14"/>
      <c r="AN202" s="8"/>
      <c r="AO202" s="8"/>
      <c r="AP202" s="8"/>
      <c r="AQ202" s="8"/>
      <c r="AR202" s="8"/>
      <c r="AS202" s="8"/>
      <c r="AT202" s="8"/>
      <c r="AU202" s="24"/>
      <c r="AV202" s="8"/>
      <c r="AW202" s="8"/>
      <c r="AX202" s="8"/>
      <c r="AY202" s="8"/>
      <c r="AZ202" s="8"/>
      <c r="BA202" s="8"/>
      <c r="BB202" s="8"/>
      <c r="BC202" s="8"/>
      <c r="BD202" s="8"/>
      <c r="BE202" s="8"/>
      <c r="BF202" s="8"/>
      <c r="BG202" s="8"/>
      <c r="BH202" s="8"/>
      <c r="BI202" s="8"/>
      <c r="BJ202" s="8"/>
      <c r="BK202" s="24"/>
      <c r="BL202" s="8"/>
      <c r="BM202" s="8"/>
      <c r="BN202" s="8"/>
      <c r="BO202" s="14"/>
      <c r="BP202" s="13"/>
    </row>
    <row r="203" spans="1:68" s="11" customFormat="1">
      <c r="A203" s="25"/>
      <c r="B203" s="24"/>
      <c r="C203" s="8"/>
      <c r="D203" s="8"/>
      <c r="E203" s="8"/>
      <c r="F203" s="8"/>
      <c r="G203" s="8"/>
      <c r="H203" s="8"/>
      <c r="I203" s="8"/>
      <c r="J203" s="8"/>
      <c r="K203" s="14"/>
      <c r="L203" s="71"/>
      <c r="M203" s="66"/>
      <c r="N203" s="66"/>
      <c r="O203" s="66"/>
      <c r="P203" s="66"/>
      <c r="Q203" s="66"/>
      <c r="R203" s="72"/>
      <c r="S203" s="24"/>
      <c r="T203" s="8"/>
      <c r="U203" s="8"/>
      <c r="V203" s="8"/>
      <c r="W203" s="8"/>
      <c r="X203" s="8"/>
      <c r="Y203" s="14"/>
      <c r="Z203" s="24"/>
      <c r="AA203" s="8"/>
      <c r="AB203" s="8"/>
      <c r="AC203" s="8"/>
      <c r="AD203" s="8"/>
      <c r="AE203" s="8"/>
      <c r="AF203" s="8"/>
      <c r="AG203" s="24"/>
      <c r="AH203" s="8"/>
      <c r="AI203" s="8"/>
      <c r="AJ203" s="8"/>
      <c r="AK203" s="8"/>
      <c r="AL203" s="8"/>
      <c r="AM203" s="14"/>
      <c r="AN203" s="8"/>
      <c r="AO203" s="8"/>
      <c r="AP203" s="8"/>
      <c r="AQ203" s="8"/>
      <c r="AR203" s="8"/>
      <c r="AS203" s="8"/>
      <c r="AT203" s="8"/>
      <c r="AU203" s="24"/>
      <c r="AV203" s="8"/>
      <c r="AW203" s="8"/>
      <c r="AX203" s="8"/>
      <c r="AY203" s="8"/>
      <c r="AZ203" s="8"/>
      <c r="BA203" s="8"/>
      <c r="BB203" s="8"/>
      <c r="BC203" s="8"/>
      <c r="BD203" s="8"/>
      <c r="BE203" s="8"/>
      <c r="BF203" s="8"/>
      <c r="BG203" s="8"/>
      <c r="BH203" s="8"/>
      <c r="BI203" s="8"/>
      <c r="BJ203" s="8"/>
      <c r="BK203" s="24"/>
      <c r="BL203" s="8"/>
      <c r="BM203" s="8"/>
      <c r="BN203" s="8"/>
      <c r="BO203" s="14"/>
      <c r="BP203" s="13"/>
    </row>
    <row r="204" spans="1:68" s="11" customFormat="1">
      <c r="A204" s="25"/>
      <c r="B204" s="24"/>
      <c r="C204" s="8"/>
      <c r="D204" s="8"/>
      <c r="E204" s="8"/>
      <c r="F204" s="8"/>
      <c r="G204" s="8"/>
      <c r="H204" s="8"/>
      <c r="I204" s="8"/>
      <c r="J204" s="8"/>
      <c r="K204" s="14"/>
      <c r="L204" s="71"/>
      <c r="M204" s="66"/>
      <c r="N204" s="66"/>
      <c r="O204" s="66"/>
      <c r="P204" s="66"/>
      <c r="Q204" s="66"/>
      <c r="R204" s="72"/>
      <c r="S204" s="24"/>
      <c r="T204" s="8"/>
      <c r="U204" s="8"/>
      <c r="V204" s="8"/>
      <c r="W204" s="8"/>
      <c r="X204" s="8"/>
      <c r="Y204" s="14"/>
      <c r="Z204" s="24"/>
      <c r="AA204" s="8"/>
      <c r="AB204" s="8"/>
      <c r="AC204" s="8"/>
      <c r="AD204" s="8"/>
      <c r="AE204" s="8"/>
      <c r="AF204" s="8"/>
      <c r="AG204" s="24"/>
      <c r="AH204" s="8"/>
      <c r="AI204" s="8"/>
      <c r="AJ204" s="8"/>
      <c r="AK204" s="8"/>
      <c r="AL204" s="8"/>
      <c r="AM204" s="14"/>
      <c r="AN204" s="8"/>
      <c r="AO204" s="8"/>
      <c r="AP204" s="8"/>
      <c r="AQ204" s="8"/>
      <c r="AR204" s="8"/>
      <c r="AS204" s="8"/>
      <c r="AT204" s="8"/>
      <c r="AU204" s="24"/>
      <c r="AV204" s="8"/>
      <c r="AW204" s="8"/>
      <c r="AX204" s="8"/>
      <c r="AY204" s="8"/>
      <c r="AZ204" s="8"/>
      <c r="BA204" s="8"/>
      <c r="BB204" s="8"/>
      <c r="BC204" s="8"/>
      <c r="BD204" s="8"/>
      <c r="BE204" s="8"/>
      <c r="BF204" s="8"/>
      <c r="BG204" s="8"/>
      <c r="BH204" s="8"/>
      <c r="BI204" s="8"/>
      <c r="BJ204" s="8"/>
      <c r="BK204" s="24"/>
      <c r="BL204" s="8"/>
      <c r="BM204" s="8"/>
      <c r="BN204" s="8"/>
      <c r="BO204" s="14"/>
      <c r="BP204" s="13"/>
    </row>
    <row r="205" spans="1:68" s="11" customFormat="1">
      <c r="A205" s="25"/>
      <c r="B205" s="24"/>
      <c r="C205" s="8"/>
      <c r="D205" s="8"/>
      <c r="E205" s="8"/>
      <c r="F205" s="8"/>
      <c r="G205" s="8"/>
      <c r="H205" s="8"/>
      <c r="I205" s="8"/>
      <c r="J205" s="8"/>
      <c r="K205" s="14"/>
      <c r="L205" s="71"/>
      <c r="M205" s="66"/>
      <c r="N205" s="66"/>
      <c r="O205" s="66"/>
      <c r="P205" s="66"/>
      <c r="Q205" s="66"/>
      <c r="R205" s="72"/>
      <c r="S205" s="24"/>
      <c r="T205" s="8"/>
      <c r="U205" s="8"/>
      <c r="V205" s="8"/>
      <c r="W205" s="8"/>
      <c r="X205" s="8"/>
      <c r="Y205" s="14"/>
      <c r="Z205" s="24"/>
      <c r="AA205" s="8"/>
      <c r="AB205" s="8"/>
      <c r="AC205" s="8"/>
      <c r="AD205" s="8"/>
      <c r="AE205" s="8"/>
      <c r="AF205" s="8"/>
      <c r="AG205" s="24"/>
      <c r="AH205" s="8"/>
      <c r="AI205" s="8"/>
      <c r="AJ205" s="8"/>
      <c r="AK205" s="8"/>
      <c r="AL205" s="8"/>
      <c r="AM205" s="14"/>
      <c r="AN205" s="8"/>
      <c r="AO205" s="8"/>
      <c r="AP205" s="8"/>
      <c r="AQ205" s="8"/>
      <c r="AR205" s="8"/>
      <c r="AS205" s="8"/>
      <c r="AT205" s="8"/>
      <c r="AU205" s="24"/>
      <c r="AV205" s="16" t="s">
        <v>683</v>
      </c>
      <c r="AW205" s="8"/>
      <c r="AX205" s="8"/>
      <c r="AY205" s="8"/>
      <c r="AZ205" s="8"/>
      <c r="BA205" s="8"/>
      <c r="BB205" s="8"/>
      <c r="BC205" s="8"/>
      <c r="BD205" s="8"/>
      <c r="BE205" s="8"/>
      <c r="BF205" s="8"/>
      <c r="BG205" s="8"/>
      <c r="BH205" s="8"/>
      <c r="BI205" s="8"/>
      <c r="BJ205" s="8"/>
      <c r="BK205" s="24"/>
      <c r="BL205" s="8"/>
      <c r="BM205" s="8"/>
      <c r="BN205" s="8"/>
      <c r="BO205" s="14"/>
      <c r="BP205" s="13"/>
    </row>
    <row r="206" spans="1:68" s="11" customFormat="1">
      <c r="A206" s="25"/>
      <c r="B206" s="24"/>
      <c r="C206" s="8"/>
      <c r="D206" s="8"/>
      <c r="E206" s="8"/>
      <c r="F206" s="8"/>
      <c r="G206" s="8"/>
      <c r="H206" s="8"/>
      <c r="I206" s="8"/>
      <c r="J206" s="8"/>
      <c r="K206" s="14"/>
      <c r="L206" s="71"/>
      <c r="M206" s="66"/>
      <c r="N206" s="66"/>
      <c r="O206" s="66"/>
      <c r="P206" s="66"/>
      <c r="Q206" s="66"/>
      <c r="R206" s="72"/>
      <c r="S206" s="24"/>
      <c r="T206" s="8"/>
      <c r="U206" s="8"/>
      <c r="V206" s="8"/>
      <c r="W206" s="8"/>
      <c r="X206" s="8"/>
      <c r="Y206" s="14"/>
      <c r="Z206" s="24"/>
      <c r="AA206" s="8"/>
      <c r="AB206" s="8"/>
      <c r="AC206" s="8"/>
      <c r="AD206" s="8"/>
      <c r="AE206" s="8"/>
      <c r="AF206" s="8"/>
      <c r="AG206" s="24"/>
      <c r="AH206" s="8"/>
      <c r="AI206" s="8"/>
      <c r="AJ206" s="8"/>
      <c r="AK206" s="8"/>
      <c r="AL206" s="8"/>
      <c r="AM206" s="14"/>
      <c r="AN206" s="8"/>
      <c r="AO206" s="8"/>
      <c r="AP206" s="8"/>
      <c r="AQ206" s="8"/>
      <c r="AR206" s="8"/>
      <c r="AS206" s="8"/>
      <c r="AT206" s="8"/>
      <c r="AU206" s="24"/>
      <c r="AV206" s="8"/>
      <c r="AW206" s="8" t="s">
        <v>684</v>
      </c>
      <c r="AX206" s="8"/>
      <c r="AY206" s="8"/>
      <c r="AZ206" s="8"/>
      <c r="BA206" s="8"/>
      <c r="BB206" s="8"/>
      <c r="BC206" s="8"/>
      <c r="BD206" s="8"/>
      <c r="BE206" s="8"/>
      <c r="BF206" s="8"/>
      <c r="BG206" s="8"/>
      <c r="BH206" s="8"/>
      <c r="BI206" s="8"/>
      <c r="BJ206" s="8"/>
      <c r="BK206" s="24"/>
      <c r="BL206" s="8"/>
      <c r="BM206" s="8"/>
      <c r="BN206" s="8"/>
      <c r="BO206" s="14"/>
      <c r="BP206" s="13"/>
    </row>
    <row r="207" spans="1:68" s="11" customFormat="1">
      <c r="A207" s="25"/>
      <c r="B207" s="24"/>
      <c r="C207" s="8"/>
      <c r="D207" s="8"/>
      <c r="E207" s="8"/>
      <c r="F207" s="8"/>
      <c r="G207" s="8"/>
      <c r="H207" s="8"/>
      <c r="I207" s="8"/>
      <c r="J207" s="8"/>
      <c r="K207" s="14"/>
      <c r="L207" s="71"/>
      <c r="M207" s="66"/>
      <c r="N207" s="66"/>
      <c r="O207" s="66"/>
      <c r="P207" s="66"/>
      <c r="Q207" s="66"/>
      <c r="R207" s="72"/>
      <c r="S207" s="24"/>
      <c r="T207" s="8"/>
      <c r="U207" s="8"/>
      <c r="V207" s="8"/>
      <c r="W207" s="8"/>
      <c r="X207" s="8"/>
      <c r="Y207" s="14"/>
      <c r="Z207" s="24"/>
      <c r="AA207" s="8"/>
      <c r="AB207" s="8"/>
      <c r="AC207" s="8"/>
      <c r="AD207" s="8"/>
      <c r="AE207" s="8"/>
      <c r="AF207" s="8"/>
      <c r="AG207" s="24"/>
      <c r="AH207" s="8"/>
      <c r="AI207" s="8"/>
      <c r="AJ207" s="8"/>
      <c r="AK207" s="8"/>
      <c r="AL207" s="8"/>
      <c r="AM207" s="14"/>
      <c r="AN207" s="8"/>
      <c r="AO207" s="8"/>
      <c r="AP207" s="8"/>
      <c r="AQ207" s="8"/>
      <c r="AR207" s="8"/>
      <c r="AS207" s="8"/>
      <c r="AT207" s="8"/>
      <c r="AU207" s="24"/>
      <c r="AV207" s="8"/>
      <c r="AW207" s="8" t="s">
        <v>118</v>
      </c>
      <c r="AX207" s="8" t="s">
        <v>714</v>
      </c>
      <c r="AZ207" s="8"/>
      <c r="BA207" s="8"/>
      <c r="BB207" s="8"/>
      <c r="BC207" s="8"/>
      <c r="BD207" s="8"/>
      <c r="BE207" s="8"/>
      <c r="BF207" s="8"/>
      <c r="BG207" s="8"/>
      <c r="BH207" s="8"/>
      <c r="BI207" s="8"/>
      <c r="BJ207" s="8"/>
      <c r="BK207" s="24"/>
      <c r="BL207" s="8"/>
      <c r="BM207" s="8"/>
      <c r="BN207" s="8"/>
      <c r="BO207" s="14"/>
      <c r="BP207" s="13"/>
    </row>
    <row r="208" spans="1:68" s="11" customFormat="1">
      <c r="A208" s="25"/>
      <c r="B208" s="24"/>
      <c r="C208" s="8"/>
      <c r="D208" s="8"/>
      <c r="E208" s="8"/>
      <c r="F208" s="8"/>
      <c r="G208" s="8"/>
      <c r="H208" s="8"/>
      <c r="I208" s="8"/>
      <c r="J208" s="8"/>
      <c r="K208" s="14"/>
      <c r="L208" s="71"/>
      <c r="M208" s="66"/>
      <c r="N208" s="66"/>
      <c r="O208" s="66"/>
      <c r="P208" s="66"/>
      <c r="Q208" s="66"/>
      <c r="R208" s="72"/>
      <c r="S208" s="24"/>
      <c r="T208" s="8"/>
      <c r="U208" s="8"/>
      <c r="V208" s="8"/>
      <c r="W208" s="8"/>
      <c r="X208" s="8"/>
      <c r="Y208" s="14"/>
      <c r="Z208" s="24"/>
      <c r="AA208" s="8"/>
      <c r="AB208" s="8"/>
      <c r="AC208" s="8"/>
      <c r="AD208" s="8"/>
      <c r="AE208" s="8"/>
      <c r="AF208" s="8"/>
      <c r="AG208" s="24"/>
      <c r="AH208" s="8"/>
      <c r="AI208" s="8"/>
      <c r="AJ208" s="8"/>
      <c r="AK208" s="8"/>
      <c r="AL208" s="8"/>
      <c r="AM208" s="14"/>
      <c r="AN208" s="8"/>
      <c r="AO208" s="8"/>
      <c r="AP208" s="8"/>
      <c r="AQ208" s="8"/>
      <c r="AR208" s="8"/>
      <c r="AS208" s="8"/>
      <c r="AT208" s="8"/>
      <c r="AU208" s="24"/>
      <c r="AV208" s="8"/>
      <c r="AW208" s="86" t="s">
        <v>637</v>
      </c>
      <c r="AX208" s="87"/>
      <c r="AY208" s="87"/>
      <c r="AZ208" s="87"/>
      <c r="BA208" s="87"/>
      <c r="BB208" s="87"/>
      <c r="BC208" s="87"/>
      <c r="BD208" s="87"/>
      <c r="BE208" s="87"/>
      <c r="BF208" s="87"/>
      <c r="BG208" s="88"/>
      <c r="BH208" s="8"/>
      <c r="BI208" s="8"/>
      <c r="BJ208" s="8"/>
      <c r="BK208" s="24"/>
      <c r="BL208" s="8"/>
      <c r="BM208" s="8"/>
      <c r="BN208" s="8"/>
      <c r="BO208" s="14"/>
      <c r="BP208" s="13"/>
    </row>
    <row r="209" spans="1:68" s="11" customFormat="1">
      <c r="A209" s="25"/>
      <c r="B209" s="24"/>
      <c r="C209" s="8"/>
      <c r="D209" s="8"/>
      <c r="E209" s="8"/>
      <c r="F209" s="8"/>
      <c r="G209" s="8"/>
      <c r="H209" s="8"/>
      <c r="I209" s="8"/>
      <c r="J209" s="8"/>
      <c r="K209" s="14"/>
      <c r="L209" s="71"/>
      <c r="M209" s="66"/>
      <c r="N209" s="66"/>
      <c r="O209" s="66"/>
      <c r="P209" s="66"/>
      <c r="Q209" s="66"/>
      <c r="R209" s="72"/>
      <c r="S209" s="24"/>
      <c r="T209" s="8"/>
      <c r="U209" s="8"/>
      <c r="V209" s="8"/>
      <c r="W209" s="8"/>
      <c r="X209" s="8"/>
      <c r="Y209" s="14"/>
      <c r="Z209" s="24"/>
      <c r="AA209" s="8"/>
      <c r="AB209" s="8"/>
      <c r="AC209" s="8"/>
      <c r="AD209" s="8"/>
      <c r="AE209" s="8"/>
      <c r="AF209" s="8"/>
      <c r="AG209" s="24"/>
      <c r="AH209" s="8"/>
      <c r="AI209" s="8"/>
      <c r="AJ209" s="8"/>
      <c r="AK209" s="8"/>
      <c r="AL209" s="8"/>
      <c r="AM209" s="14"/>
      <c r="AN209" s="8"/>
      <c r="AO209" s="8"/>
      <c r="AP209" s="8"/>
      <c r="AQ209" s="8"/>
      <c r="AR209" s="8"/>
      <c r="AS209" s="8"/>
      <c r="AT209" s="8"/>
      <c r="AU209" s="24"/>
      <c r="AV209" s="8"/>
      <c r="AW209" s="89" t="s">
        <v>639</v>
      </c>
      <c r="AX209" s="90"/>
      <c r="AY209" s="90"/>
      <c r="AZ209" s="90"/>
      <c r="BA209" s="90"/>
      <c r="BB209" s="89" t="s">
        <v>685</v>
      </c>
      <c r="BC209" s="90"/>
      <c r="BD209" s="90"/>
      <c r="BE209" s="90"/>
      <c r="BF209" s="90"/>
      <c r="BG209" s="91"/>
      <c r="BH209" s="8"/>
      <c r="BI209" s="8"/>
      <c r="BJ209" s="8"/>
      <c r="BK209" s="24"/>
      <c r="BL209" s="8"/>
      <c r="BM209" s="8"/>
      <c r="BN209" s="8"/>
      <c r="BO209" s="14"/>
      <c r="BP209" s="13"/>
    </row>
    <row r="210" spans="1:68" s="11" customFormat="1">
      <c r="A210" s="25"/>
      <c r="B210" s="24"/>
      <c r="C210" s="8"/>
      <c r="D210" s="8"/>
      <c r="E210" s="8"/>
      <c r="F210" s="8"/>
      <c r="G210" s="8"/>
      <c r="H210" s="8"/>
      <c r="I210" s="8"/>
      <c r="J210" s="8"/>
      <c r="K210" s="14"/>
      <c r="L210" s="71"/>
      <c r="M210" s="66"/>
      <c r="N210" s="66"/>
      <c r="O210" s="66"/>
      <c r="P210" s="66"/>
      <c r="Q210" s="66"/>
      <c r="R210" s="72"/>
      <c r="S210" s="24"/>
      <c r="T210" s="8"/>
      <c r="U210" s="8"/>
      <c r="V210" s="8"/>
      <c r="W210" s="8"/>
      <c r="X210" s="8"/>
      <c r="Y210" s="14"/>
      <c r="Z210" s="24"/>
      <c r="AA210" s="8"/>
      <c r="AB210" s="8"/>
      <c r="AC210" s="8"/>
      <c r="AD210" s="8"/>
      <c r="AE210" s="8"/>
      <c r="AF210" s="8"/>
      <c r="AG210" s="24"/>
      <c r="AH210" s="8"/>
      <c r="AI210" s="8"/>
      <c r="AJ210" s="8"/>
      <c r="AK210" s="8"/>
      <c r="AL210" s="8"/>
      <c r="AM210" s="14"/>
      <c r="AN210" s="8"/>
      <c r="AO210" s="8"/>
      <c r="AP210" s="8"/>
      <c r="AQ210" s="8"/>
      <c r="AR210" s="8"/>
      <c r="AS210" s="8"/>
      <c r="AT210" s="8"/>
      <c r="AU210" s="24"/>
      <c r="AV210" s="8"/>
      <c r="AW210" s="45" t="s">
        <v>118</v>
      </c>
      <c r="AX210" s="45" t="s">
        <v>640</v>
      </c>
      <c r="AY210" s="8"/>
      <c r="AZ210" s="8"/>
      <c r="BA210" s="8"/>
      <c r="BB210" s="8"/>
      <c r="BC210" s="8"/>
      <c r="BD210" s="8"/>
      <c r="BE210" s="8"/>
      <c r="BF210" s="8"/>
      <c r="BG210" s="8"/>
      <c r="BH210" s="8"/>
      <c r="BI210" s="8"/>
      <c r="BJ210" s="8"/>
      <c r="BK210" s="24"/>
      <c r="BL210" s="8"/>
      <c r="BM210" s="8"/>
      <c r="BN210" s="8"/>
      <c r="BO210" s="14"/>
      <c r="BP210" s="13"/>
    </row>
    <row r="211" spans="1:68" s="11" customFormat="1">
      <c r="A211" s="25"/>
      <c r="B211" s="24"/>
      <c r="C211" s="8"/>
      <c r="D211" s="8"/>
      <c r="E211" s="8"/>
      <c r="F211" s="8"/>
      <c r="G211" s="8"/>
      <c r="H211" s="8"/>
      <c r="I211" s="8"/>
      <c r="J211" s="8"/>
      <c r="K211" s="14"/>
      <c r="L211" s="71"/>
      <c r="M211" s="66"/>
      <c r="N211" s="66"/>
      <c r="O211" s="66"/>
      <c r="P211" s="66"/>
      <c r="Q211" s="66"/>
      <c r="R211" s="72"/>
      <c r="S211" s="24"/>
      <c r="T211" s="8"/>
      <c r="U211" s="8"/>
      <c r="V211" s="8"/>
      <c r="W211" s="8"/>
      <c r="X211" s="8"/>
      <c r="Y211" s="14"/>
      <c r="Z211" s="24"/>
      <c r="AA211" s="8"/>
      <c r="AB211" s="8"/>
      <c r="AC211" s="8"/>
      <c r="AD211" s="8"/>
      <c r="AE211" s="8"/>
      <c r="AF211" s="8"/>
      <c r="AG211" s="24"/>
      <c r="AH211" s="8"/>
      <c r="AI211" s="8"/>
      <c r="AJ211" s="8"/>
      <c r="AK211" s="8"/>
      <c r="AL211" s="8"/>
      <c r="AM211" s="14"/>
      <c r="AN211" s="8"/>
      <c r="AO211" s="8"/>
      <c r="AP211" s="8"/>
      <c r="AQ211" s="8"/>
      <c r="AR211" s="8"/>
      <c r="AS211" s="8"/>
      <c r="AT211" s="8"/>
      <c r="AU211" s="24"/>
      <c r="AV211" s="8"/>
      <c r="AW211" s="45"/>
      <c r="AX211" s="45"/>
      <c r="AY211" s="8"/>
      <c r="AZ211" s="8"/>
      <c r="BA211" s="8"/>
      <c r="BB211" s="8"/>
      <c r="BC211" s="8"/>
      <c r="BD211" s="8"/>
      <c r="BE211" s="8"/>
      <c r="BF211" s="8"/>
      <c r="BG211" s="8"/>
      <c r="BH211" s="8"/>
      <c r="BI211" s="8"/>
      <c r="BJ211" s="8"/>
      <c r="BK211" s="24"/>
      <c r="BL211" s="8"/>
      <c r="BM211" s="8"/>
      <c r="BN211" s="8"/>
      <c r="BO211" s="14"/>
      <c r="BP211" s="13"/>
    </row>
    <row r="212" spans="1:68" s="11" customFormat="1">
      <c r="A212" s="25"/>
      <c r="B212" s="24"/>
      <c r="C212" s="8"/>
      <c r="D212" s="8"/>
      <c r="E212" s="8"/>
      <c r="F212" s="8"/>
      <c r="G212" s="8"/>
      <c r="H212" s="8"/>
      <c r="I212" s="8"/>
      <c r="J212" s="8"/>
      <c r="K212" s="14"/>
      <c r="L212" s="71"/>
      <c r="M212" s="66"/>
      <c r="N212" s="66"/>
      <c r="O212" s="66"/>
      <c r="P212" s="66"/>
      <c r="Q212" s="66"/>
      <c r="R212" s="72"/>
      <c r="S212" s="24"/>
      <c r="T212" s="8"/>
      <c r="U212" s="8"/>
      <c r="V212" s="8"/>
      <c r="W212" s="8"/>
      <c r="X212" s="8"/>
      <c r="Y212" s="14"/>
      <c r="Z212" s="24"/>
      <c r="AA212" s="8"/>
      <c r="AB212" s="8"/>
      <c r="AC212" s="8"/>
      <c r="AD212" s="8"/>
      <c r="AE212" s="8"/>
      <c r="AF212" s="8"/>
      <c r="AG212" s="24"/>
      <c r="AH212" s="8"/>
      <c r="AI212" s="8"/>
      <c r="AJ212" s="8"/>
      <c r="AK212" s="8"/>
      <c r="AL212" s="8"/>
      <c r="AM212" s="14"/>
      <c r="AN212" s="8"/>
      <c r="AO212" s="8"/>
      <c r="AP212" s="8"/>
      <c r="AQ212" s="8"/>
      <c r="AR212" s="8"/>
      <c r="AS212" s="8"/>
      <c r="AT212" s="8"/>
      <c r="AU212" s="24"/>
      <c r="AV212" s="8"/>
      <c r="AW212" s="45"/>
      <c r="AX212" s="45"/>
      <c r="AY212" s="8"/>
      <c r="AZ212" s="8"/>
      <c r="BA212" s="8"/>
      <c r="BB212" s="8"/>
      <c r="BC212" s="8"/>
      <c r="BD212" s="8"/>
      <c r="BE212" s="8"/>
      <c r="BF212" s="8"/>
      <c r="BG212" s="8"/>
      <c r="BH212" s="8"/>
      <c r="BI212" s="8"/>
      <c r="BJ212" s="8"/>
      <c r="BK212" s="24"/>
      <c r="BL212" s="8"/>
      <c r="BM212" s="8"/>
      <c r="BN212" s="8"/>
      <c r="BO212" s="14"/>
      <c r="BP212" s="13"/>
    </row>
    <row r="213" spans="1:68" s="11" customFormat="1">
      <c r="A213" s="25"/>
      <c r="B213" s="24"/>
      <c r="C213" s="8"/>
      <c r="D213" s="8"/>
      <c r="E213" s="8"/>
      <c r="F213" s="8"/>
      <c r="G213" s="8"/>
      <c r="H213" s="8"/>
      <c r="I213" s="8"/>
      <c r="J213" s="8"/>
      <c r="K213" s="14"/>
      <c r="L213" s="71"/>
      <c r="M213" s="66"/>
      <c r="N213" s="66"/>
      <c r="O213" s="66"/>
      <c r="P213" s="66"/>
      <c r="Q213" s="66"/>
      <c r="R213" s="72"/>
      <c r="S213" s="24"/>
      <c r="T213" s="8"/>
      <c r="U213" s="8"/>
      <c r="V213" s="8"/>
      <c r="W213" s="8"/>
      <c r="X213" s="8"/>
      <c r="Y213" s="14"/>
      <c r="Z213" s="24"/>
      <c r="AA213" s="8"/>
      <c r="AB213" s="8"/>
      <c r="AC213" s="8"/>
      <c r="AD213" s="8"/>
      <c r="AE213" s="8"/>
      <c r="AF213" s="8"/>
      <c r="AG213" s="24"/>
      <c r="AH213" s="8"/>
      <c r="AI213" s="8"/>
      <c r="AJ213" s="8"/>
      <c r="AK213" s="8"/>
      <c r="AL213" s="8"/>
      <c r="AM213" s="14"/>
      <c r="AN213" s="8"/>
      <c r="AO213" s="8"/>
      <c r="AP213" s="8"/>
      <c r="AQ213" s="8"/>
      <c r="AR213" s="8"/>
      <c r="AS213" s="8"/>
      <c r="AT213" s="8"/>
      <c r="AU213" s="24"/>
      <c r="AV213" s="50" t="s">
        <v>118</v>
      </c>
      <c r="AW213" s="50" t="s">
        <v>686</v>
      </c>
      <c r="AX213" s="45"/>
      <c r="AY213" s="8"/>
      <c r="AZ213" s="8"/>
      <c r="BA213" s="8"/>
      <c r="BB213" s="8"/>
      <c r="BC213" s="8"/>
      <c r="BD213" s="8"/>
      <c r="BE213" s="8"/>
      <c r="BF213" s="8"/>
      <c r="BG213" s="8"/>
      <c r="BH213" s="8"/>
      <c r="BI213" s="8"/>
      <c r="BJ213" s="8"/>
      <c r="BK213" s="24"/>
      <c r="BL213" s="8"/>
      <c r="BM213" s="8"/>
      <c r="BN213" s="8"/>
      <c r="BO213" s="14"/>
      <c r="BP213" s="13"/>
    </row>
    <row r="214" spans="1:68" s="11" customFormat="1">
      <c r="A214" s="25"/>
      <c r="B214" s="24"/>
      <c r="C214" s="8"/>
      <c r="D214" s="8"/>
      <c r="E214" s="8"/>
      <c r="F214" s="8"/>
      <c r="G214" s="8"/>
      <c r="H214" s="8"/>
      <c r="I214" s="8"/>
      <c r="J214" s="8"/>
      <c r="K214" s="14"/>
      <c r="L214" s="71"/>
      <c r="M214" s="66"/>
      <c r="N214" s="66"/>
      <c r="O214" s="66"/>
      <c r="P214" s="66"/>
      <c r="Q214" s="66"/>
      <c r="R214" s="72"/>
      <c r="S214" s="24"/>
      <c r="T214" s="8"/>
      <c r="U214" s="8"/>
      <c r="V214" s="8"/>
      <c r="W214" s="8"/>
      <c r="X214" s="8"/>
      <c r="Y214" s="14"/>
      <c r="Z214" s="24"/>
      <c r="AA214" s="8"/>
      <c r="AB214" s="8"/>
      <c r="AC214" s="8"/>
      <c r="AD214" s="8"/>
      <c r="AE214" s="8"/>
      <c r="AF214" s="8"/>
      <c r="AG214" s="24"/>
      <c r="AH214" s="8"/>
      <c r="AI214" s="8"/>
      <c r="AJ214" s="8"/>
      <c r="AK214" s="8"/>
      <c r="AL214" s="8"/>
      <c r="AM214" s="14"/>
      <c r="AN214" s="8"/>
      <c r="AO214" s="8"/>
      <c r="AP214" s="8"/>
      <c r="AQ214" s="8"/>
      <c r="AR214" s="8"/>
      <c r="AS214" s="8"/>
      <c r="AT214" s="8"/>
      <c r="AU214" s="24"/>
      <c r="AV214" s="8"/>
      <c r="AW214" s="45"/>
      <c r="AX214" s="45"/>
      <c r="AY214" s="8"/>
      <c r="AZ214" s="8"/>
      <c r="BA214" s="8"/>
      <c r="BB214" s="8"/>
      <c r="BC214" s="8"/>
      <c r="BD214" s="8"/>
      <c r="BE214" s="8"/>
      <c r="BF214" s="8"/>
      <c r="BG214" s="8"/>
      <c r="BH214" s="8"/>
      <c r="BI214" s="8"/>
      <c r="BJ214" s="8"/>
      <c r="BK214" s="24"/>
      <c r="BL214" s="8"/>
      <c r="BM214" s="8"/>
      <c r="BN214" s="8"/>
      <c r="BO214" s="14"/>
      <c r="BP214" s="13"/>
    </row>
    <row r="215" spans="1:68" s="11" customFormat="1">
      <c r="A215" s="25"/>
      <c r="B215" s="24"/>
      <c r="C215" s="8"/>
      <c r="D215" s="8"/>
      <c r="E215" s="8"/>
      <c r="F215" s="8"/>
      <c r="G215" s="8"/>
      <c r="H215" s="8"/>
      <c r="I215" s="8"/>
      <c r="J215" s="8"/>
      <c r="K215" s="14"/>
      <c r="L215" s="71"/>
      <c r="M215" s="66"/>
      <c r="N215" s="66"/>
      <c r="O215" s="66"/>
      <c r="P215" s="66"/>
      <c r="Q215" s="66"/>
      <c r="R215" s="72"/>
      <c r="S215" s="24"/>
      <c r="T215" s="8"/>
      <c r="U215" s="8"/>
      <c r="V215" s="8"/>
      <c r="W215" s="8"/>
      <c r="X215" s="8"/>
      <c r="Y215" s="14"/>
      <c r="Z215" s="24"/>
      <c r="AA215" s="8"/>
      <c r="AB215" s="8"/>
      <c r="AC215" s="8"/>
      <c r="AD215" s="8"/>
      <c r="AE215" s="8"/>
      <c r="AF215" s="8"/>
      <c r="AG215" s="24"/>
      <c r="AH215" s="8"/>
      <c r="AI215" s="8"/>
      <c r="AJ215" s="8"/>
      <c r="AK215" s="8"/>
      <c r="AL215" s="8"/>
      <c r="AM215" s="14"/>
      <c r="AN215" s="8"/>
      <c r="AO215" s="8"/>
      <c r="AP215" s="8"/>
      <c r="AQ215" s="8"/>
      <c r="AR215" s="8"/>
      <c r="AS215" s="8"/>
      <c r="AT215" s="8"/>
      <c r="AU215" s="24"/>
      <c r="AV215" s="8"/>
      <c r="AW215" s="8"/>
      <c r="AX215" s="8"/>
      <c r="AY215" s="8"/>
      <c r="AZ215" s="8"/>
      <c r="BA215" s="8"/>
      <c r="BB215" s="8"/>
      <c r="BC215" s="8"/>
      <c r="BD215" s="8"/>
      <c r="BE215" s="8"/>
      <c r="BF215" s="8"/>
      <c r="BG215" s="8"/>
      <c r="BH215" s="8"/>
      <c r="BI215" s="8"/>
      <c r="BJ215" s="8"/>
      <c r="BK215" s="24"/>
      <c r="BL215" s="8"/>
      <c r="BM215" s="8"/>
      <c r="BN215" s="8"/>
      <c r="BO215" s="14"/>
      <c r="BP215" s="13"/>
    </row>
    <row r="216" spans="1:68">
      <c r="A216" s="24"/>
      <c r="B216" s="24"/>
      <c r="K216" s="14"/>
      <c r="L216" s="71"/>
      <c r="M216" s="66"/>
      <c r="N216" s="66"/>
      <c r="O216" s="66"/>
      <c r="P216" s="66"/>
      <c r="Q216" s="66"/>
      <c r="R216" s="72"/>
      <c r="S216" s="24"/>
      <c r="Y216" s="14"/>
      <c r="Z216" s="24"/>
      <c r="AG216" s="24"/>
      <c r="AM216" s="14"/>
      <c r="AU216" s="24"/>
      <c r="AV216" s="11"/>
      <c r="AY216" s="11"/>
      <c r="BK216" s="24"/>
      <c r="BO216" s="14"/>
      <c r="BP216" s="14"/>
    </row>
    <row r="217" spans="1:68">
      <c r="A217" s="24"/>
      <c r="B217" s="24"/>
      <c r="K217" s="14"/>
      <c r="L217" s="71"/>
      <c r="M217" s="66"/>
      <c r="N217" s="66"/>
      <c r="O217" s="66"/>
      <c r="P217" s="66"/>
      <c r="Q217" s="66"/>
      <c r="R217" s="72"/>
      <c r="S217" s="24"/>
      <c r="Y217" s="14"/>
      <c r="Z217" s="24"/>
      <c r="AG217" s="24"/>
      <c r="AM217" s="14"/>
      <c r="AU217" s="24"/>
      <c r="AV217" s="50"/>
      <c r="AY217" s="11"/>
      <c r="BP217" s="14"/>
    </row>
    <row r="218" spans="1:68" s="11" customFormat="1">
      <c r="A218" s="25"/>
      <c r="B218" s="26" t="s">
        <v>687</v>
      </c>
      <c r="C218" s="31"/>
      <c r="D218" s="31"/>
      <c r="E218" s="31"/>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30"/>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13"/>
    </row>
    <row r="219" spans="1:68" s="11" customFormat="1">
      <c r="A219" s="25"/>
      <c r="B219" s="24"/>
      <c r="C219" s="8"/>
      <c r="D219" s="8"/>
      <c r="E219" s="8"/>
      <c r="F219" s="8"/>
      <c r="G219" s="8"/>
      <c r="H219" s="8"/>
      <c r="I219" s="8"/>
      <c r="J219" s="8"/>
      <c r="K219" s="14"/>
      <c r="L219" s="71"/>
      <c r="M219" s="66"/>
      <c r="N219" s="66"/>
      <c r="O219" s="66"/>
      <c r="P219" s="66"/>
      <c r="Q219" s="66"/>
      <c r="R219" s="72"/>
      <c r="S219" s="24"/>
      <c r="T219" s="8"/>
      <c r="U219" s="8"/>
      <c r="V219" s="8"/>
      <c r="W219" s="8"/>
      <c r="X219" s="8"/>
      <c r="Y219" s="14"/>
      <c r="Z219" s="24"/>
      <c r="AA219" s="8"/>
      <c r="AB219" s="8"/>
      <c r="AC219" s="8"/>
      <c r="AD219" s="8"/>
      <c r="AE219" s="8"/>
      <c r="AF219" s="8"/>
      <c r="AG219" s="24"/>
      <c r="AH219" s="8"/>
      <c r="AI219" s="8"/>
      <c r="AJ219" s="8"/>
      <c r="AK219" s="8"/>
      <c r="AL219" s="8"/>
      <c r="AM219" s="14"/>
      <c r="AN219" s="8"/>
      <c r="AO219" s="8"/>
      <c r="AP219" s="8"/>
      <c r="AQ219" s="8"/>
      <c r="AR219" s="8"/>
      <c r="AS219" s="8"/>
      <c r="AT219" s="8"/>
      <c r="AU219" s="24"/>
      <c r="AV219" s="8"/>
      <c r="AW219" s="8"/>
      <c r="AX219" s="8"/>
      <c r="AY219" s="8"/>
      <c r="AZ219" s="8"/>
      <c r="BA219" s="8"/>
      <c r="BB219" s="8"/>
      <c r="BC219" s="8"/>
      <c r="BD219" s="8"/>
      <c r="BE219" s="8"/>
      <c r="BF219" s="8"/>
      <c r="BG219" s="8"/>
      <c r="BH219" s="8"/>
      <c r="BI219" s="8"/>
      <c r="BJ219" s="8"/>
      <c r="BK219" s="24"/>
      <c r="BL219" s="8"/>
      <c r="BM219" s="8"/>
      <c r="BN219" s="8"/>
      <c r="BO219" s="14"/>
      <c r="BP219" s="13"/>
    </row>
    <row r="220" spans="1:68">
      <c r="A220" s="24"/>
      <c r="B220" s="24"/>
      <c r="K220" s="14"/>
      <c r="L220" s="71"/>
      <c r="M220" s="66"/>
      <c r="N220" s="66"/>
      <c r="O220" s="66"/>
      <c r="P220" s="66"/>
      <c r="Q220" s="66"/>
      <c r="R220" s="72"/>
      <c r="S220" s="24"/>
      <c r="Y220" s="14"/>
      <c r="Z220" s="24"/>
      <c r="AG220" s="24"/>
      <c r="AM220" s="14"/>
      <c r="AU220" s="24"/>
      <c r="BK220" s="24"/>
      <c r="BO220" s="14"/>
      <c r="BP220" s="14"/>
    </row>
    <row r="221" spans="1:68">
      <c r="A221" s="24"/>
      <c r="B221" s="24"/>
      <c r="K221" s="14"/>
      <c r="L221" s="71"/>
      <c r="M221" s="66"/>
      <c r="N221" s="66"/>
      <c r="O221" s="66"/>
      <c r="P221" s="66"/>
      <c r="Q221" s="66"/>
      <c r="R221" s="72"/>
      <c r="S221" s="24"/>
      <c r="Y221" s="14"/>
      <c r="Z221" s="24"/>
      <c r="AG221" s="24"/>
      <c r="AM221" s="14"/>
      <c r="AU221" s="24"/>
      <c r="BK221" s="24"/>
      <c r="BO221" s="14"/>
      <c r="BP221" s="14"/>
    </row>
    <row r="222" spans="1:68">
      <c r="A222" s="24"/>
      <c r="B222" s="24"/>
      <c r="K222" s="14"/>
      <c r="L222" s="71"/>
      <c r="M222" s="66"/>
      <c r="N222" s="66"/>
      <c r="O222" s="66"/>
      <c r="P222" s="66"/>
      <c r="Q222" s="66"/>
      <c r="R222" s="72"/>
      <c r="S222" s="24"/>
      <c r="Y222" s="14"/>
      <c r="Z222" s="24"/>
      <c r="AG222" s="24"/>
      <c r="AM222" s="14"/>
      <c r="AU222" s="24"/>
      <c r="BK222" s="24"/>
      <c r="BO222" s="14"/>
      <c r="BP222" s="14"/>
    </row>
    <row r="223" spans="1:68">
      <c r="A223" s="24"/>
      <c r="B223" s="24"/>
      <c r="K223" s="14"/>
      <c r="L223" s="71"/>
      <c r="M223" s="66"/>
      <c r="N223" s="66"/>
      <c r="O223" s="66"/>
      <c r="P223" s="66"/>
      <c r="Q223" s="66"/>
      <c r="R223" s="72"/>
      <c r="S223" s="24"/>
      <c r="Y223" s="14"/>
      <c r="Z223" s="24"/>
      <c r="AG223" s="24"/>
      <c r="AM223" s="14"/>
      <c r="AU223" s="24"/>
      <c r="BK223" s="24"/>
      <c r="BO223" s="14"/>
      <c r="BP223" s="14"/>
    </row>
    <row r="224" spans="1:68">
      <c r="A224" s="24"/>
      <c r="B224" s="24"/>
      <c r="K224" s="14"/>
      <c r="L224" s="71"/>
      <c r="M224" s="66"/>
      <c r="N224" s="66"/>
      <c r="O224" s="66"/>
      <c r="P224" s="66"/>
      <c r="Q224" s="66"/>
      <c r="R224" s="72"/>
      <c r="S224" s="24"/>
      <c r="Y224" s="14"/>
      <c r="Z224" s="24"/>
      <c r="AG224" s="24"/>
      <c r="AM224" s="14"/>
      <c r="AU224" s="24"/>
      <c r="AY224" s="11"/>
      <c r="BK224" s="24"/>
      <c r="BO224" s="14"/>
      <c r="BP224" s="14"/>
    </row>
    <row r="225" spans="1:68">
      <c r="A225" s="24"/>
      <c r="B225" s="24"/>
      <c r="K225" s="14"/>
      <c r="L225" s="71"/>
      <c r="M225" s="66"/>
      <c r="N225" s="66"/>
      <c r="O225" s="66"/>
      <c r="P225" s="66"/>
      <c r="Q225" s="66"/>
      <c r="R225" s="72"/>
      <c r="S225" s="24"/>
      <c r="Y225" s="14"/>
      <c r="Z225" s="24"/>
      <c r="AG225" s="24"/>
      <c r="AM225" s="14"/>
      <c r="AU225" s="24"/>
      <c r="AV225" s="16" t="s">
        <v>610</v>
      </c>
      <c r="BK225" s="24"/>
      <c r="BO225" s="14"/>
      <c r="BP225" s="14"/>
    </row>
    <row r="226" spans="1:68">
      <c r="A226" s="24"/>
      <c r="B226" s="24"/>
      <c r="K226" s="14"/>
      <c r="L226" s="71"/>
      <c r="M226" s="66"/>
      <c r="N226" s="66"/>
      <c r="O226" s="66"/>
      <c r="P226" s="66"/>
      <c r="Q226" s="66"/>
      <c r="R226" s="72"/>
      <c r="S226" s="24"/>
      <c r="Y226" s="14"/>
      <c r="Z226" s="24"/>
      <c r="AG226" s="24"/>
      <c r="AM226" s="14"/>
      <c r="AU226" s="24"/>
      <c r="AW226" s="8" t="s">
        <v>611</v>
      </c>
      <c r="BK226" s="24"/>
      <c r="BO226" s="14"/>
      <c r="BP226" s="14"/>
    </row>
    <row r="227" spans="1:68">
      <c r="A227" s="24"/>
      <c r="B227" s="24"/>
      <c r="K227" s="14"/>
      <c r="L227" s="71"/>
      <c r="M227" s="66"/>
      <c r="N227" s="66"/>
      <c r="O227" s="66"/>
      <c r="P227" s="66"/>
      <c r="Q227" s="66"/>
      <c r="R227" s="72"/>
      <c r="S227" s="24"/>
      <c r="Y227" s="14"/>
      <c r="Z227" s="24"/>
      <c r="AG227" s="24"/>
      <c r="AM227" s="14"/>
      <c r="AU227" s="24"/>
      <c r="AY227" s="11"/>
      <c r="BK227" s="24"/>
      <c r="BO227" s="14"/>
      <c r="BP227" s="14"/>
    </row>
    <row r="228" spans="1:68">
      <c r="A228" s="24"/>
      <c r="B228" s="24"/>
      <c r="K228" s="14"/>
      <c r="L228" s="71"/>
      <c r="M228" s="66"/>
      <c r="N228" s="66"/>
      <c r="O228" s="66"/>
      <c r="P228" s="66"/>
      <c r="Q228" s="66"/>
      <c r="R228" s="72"/>
      <c r="S228" s="24"/>
      <c r="Y228" s="14"/>
      <c r="Z228" s="24"/>
      <c r="AG228" s="24"/>
      <c r="AM228" s="14"/>
      <c r="AU228" s="24"/>
      <c r="AV228" s="11"/>
      <c r="AW228" s="11"/>
      <c r="AX228" s="11"/>
      <c r="AY228" s="11"/>
      <c r="BK228" s="24"/>
      <c r="BO228" s="14"/>
      <c r="BP228" s="14"/>
    </row>
    <row r="229" spans="1:68">
      <c r="A229" s="24"/>
      <c r="B229" s="24"/>
      <c r="K229" s="14"/>
      <c r="L229" s="71"/>
      <c r="M229" s="66"/>
      <c r="N229" s="66"/>
      <c r="O229" s="66"/>
      <c r="P229" s="66"/>
      <c r="Q229" s="66"/>
      <c r="R229" s="72"/>
      <c r="S229" s="24"/>
      <c r="Y229" s="14"/>
      <c r="Z229" s="24"/>
      <c r="AG229" s="24"/>
      <c r="AM229" s="14"/>
      <c r="AU229" s="24"/>
      <c r="AV229" s="11"/>
      <c r="AW229" s="11"/>
      <c r="AX229" s="11"/>
      <c r="AY229" s="11"/>
      <c r="BK229" s="24"/>
      <c r="BO229" s="14"/>
      <c r="BP229" s="14"/>
    </row>
    <row r="230" spans="1:68">
      <c r="A230" s="24"/>
      <c r="B230" s="24"/>
      <c r="K230" s="14"/>
      <c r="L230" s="71"/>
      <c r="M230" s="66"/>
      <c r="N230" s="66"/>
      <c r="O230" s="66"/>
      <c r="P230" s="66"/>
      <c r="Q230" s="66"/>
      <c r="R230" s="72"/>
      <c r="S230" s="24"/>
      <c r="Y230" s="14"/>
      <c r="Z230" s="24"/>
      <c r="AG230" s="24"/>
      <c r="AM230" s="14"/>
      <c r="AU230" s="24"/>
      <c r="BK230" s="24"/>
      <c r="BO230" s="14"/>
      <c r="BP230" s="14"/>
    </row>
    <row r="231" spans="1:68">
      <c r="A231" s="24"/>
      <c r="B231" s="24"/>
      <c r="K231" s="14"/>
      <c r="L231" s="71"/>
      <c r="M231" s="66"/>
      <c r="N231" s="66"/>
      <c r="O231" s="66"/>
      <c r="P231" s="66"/>
      <c r="Q231" s="66"/>
      <c r="R231" s="72"/>
      <c r="S231" s="24"/>
      <c r="Y231" s="14"/>
      <c r="Z231" s="24"/>
      <c r="AG231" s="24"/>
      <c r="AM231" s="14"/>
      <c r="AU231" s="24"/>
      <c r="AV231" s="22" t="s">
        <v>688</v>
      </c>
      <c r="AW231" s="11"/>
      <c r="AX231" s="11"/>
      <c r="AY231" s="11"/>
      <c r="BK231" s="24"/>
      <c r="BO231" s="14"/>
      <c r="BP231" s="14"/>
    </row>
    <row r="232" spans="1:68">
      <c r="A232" s="24"/>
      <c r="B232" s="24"/>
      <c r="K232" s="14"/>
      <c r="L232" s="71"/>
      <c r="M232" s="66"/>
      <c r="N232" s="66"/>
      <c r="O232" s="66"/>
      <c r="P232" s="66"/>
      <c r="Q232" s="66"/>
      <c r="R232" s="72"/>
      <c r="S232" s="24"/>
      <c r="Y232" s="14"/>
      <c r="Z232" s="24"/>
      <c r="AG232" s="24"/>
      <c r="AM232" s="14"/>
      <c r="AU232" s="24"/>
      <c r="AV232" s="11"/>
      <c r="AW232" s="8" t="s">
        <v>689</v>
      </c>
      <c r="AX232" s="11"/>
      <c r="AY232" s="11"/>
      <c r="BK232" s="24"/>
      <c r="BO232" s="14"/>
      <c r="BP232" s="14"/>
    </row>
    <row r="233" spans="1:68">
      <c r="A233" s="24"/>
      <c r="B233" s="24"/>
      <c r="K233" s="14"/>
      <c r="L233" s="71"/>
      <c r="M233" s="66"/>
      <c r="N233" s="66"/>
      <c r="O233" s="66"/>
      <c r="P233" s="66"/>
      <c r="Q233" s="66"/>
      <c r="R233" s="72"/>
      <c r="S233" s="24"/>
      <c r="Y233" s="14"/>
      <c r="Z233" s="24"/>
      <c r="AG233" s="24"/>
      <c r="AM233" s="14"/>
      <c r="AU233" s="24"/>
      <c r="AV233" s="11"/>
      <c r="AW233" s="8" t="s">
        <v>690</v>
      </c>
      <c r="AX233" s="11"/>
      <c r="AY233" s="11"/>
      <c r="BK233" s="24"/>
      <c r="BO233" s="14"/>
      <c r="BP233" s="14"/>
    </row>
    <row r="234" spans="1:68">
      <c r="A234" s="24"/>
      <c r="B234" s="24"/>
      <c r="K234" s="14"/>
      <c r="L234" s="71"/>
      <c r="M234" s="66"/>
      <c r="N234" s="66"/>
      <c r="O234" s="66"/>
      <c r="P234" s="66"/>
      <c r="Q234" s="66"/>
      <c r="R234" s="72"/>
      <c r="S234" s="24"/>
      <c r="Y234" s="14"/>
      <c r="Z234" s="24"/>
      <c r="AG234" s="24"/>
      <c r="AM234" s="14"/>
      <c r="AU234" s="24"/>
      <c r="AV234" s="50"/>
      <c r="AX234" s="11"/>
      <c r="AY234" s="11"/>
      <c r="BK234" s="24"/>
      <c r="BO234" s="14"/>
      <c r="BP234" s="14"/>
    </row>
    <row r="235" spans="1:68">
      <c r="A235" s="24"/>
      <c r="B235" s="24"/>
      <c r="K235" s="14"/>
      <c r="L235" s="71"/>
      <c r="M235" s="66"/>
      <c r="N235" s="66"/>
      <c r="O235" s="66"/>
      <c r="P235" s="66"/>
      <c r="Q235" s="66"/>
      <c r="R235" s="72"/>
      <c r="S235" s="24"/>
      <c r="Y235" s="14"/>
      <c r="Z235" s="24"/>
      <c r="AG235" s="24"/>
      <c r="AM235" s="14"/>
      <c r="AU235" s="24"/>
      <c r="AV235" s="50"/>
      <c r="AX235" s="11"/>
      <c r="AY235" s="11"/>
      <c r="BK235" s="24"/>
      <c r="BO235" s="14"/>
      <c r="BP235" s="14"/>
    </row>
    <row r="236" spans="1:68">
      <c r="A236" s="24"/>
      <c r="B236" s="24"/>
      <c r="K236" s="14"/>
      <c r="L236" s="71"/>
      <c r="M236" s="66"/>
      <c r="N236" s="66"/>
      <c r="O236" s="66"/>
      <c r="P236" s="66"/>
      <c r="Q236" s="66"/>
      <c r="R236" s="72"/>
      <c r="S236" s="24"/>
      <c r="Y236" s="14"/>
      <c r="Z236" s="24"/>
      <c r="AG236" s="24"/>
      <c r="AM236" s="14"/>
      <c r="AU236" s="24"/>
      <c r="AV236" s="50"/>
      <c r="AX236" s="11"/>
      <c r="AY236" s="11"/>
      <c r="BK236" s="24"/>
      <c r="BO236" s="14"/>
      <c r="BP236" s="14"/>
    </row>
    <row r="237" spans="1:68">
      <c r="A237" s="24"/>
      <c r="B237" s="24"/>
      <c r="K237" s="14"/>
      <c r="L237" s="71"/>
      <c r="M237" s="66"/>
      <c r="N237" s="66"/>
      <c r="O237" s="66"/>
      <c r="P237" s="66"/>
      <c r="Q237" s="66"/>
      <c r="R237" s="72"/>
      <c r="S237" s="24"/>
      <c r="Y237" s="14"/>
      <c r="Z237" s="24"/>
      <c r="AG237" s="24"/>
      <c r="AM237" s="14"/>
      <c r="AU237" s="24"/>
      <c r="AV237" s="50"/>
      <c r="AX237" s="11"/>
      <c r="AY237" s="11"/>
      <c r="BK237" s="24"/>
      <c r="BO237" s="14"/>
      <c r="BP237" s="14"/>
    </row>
    <row r="238" spans="1:68">
      <c r="A238" s="24"/>
      <c r="B238" s="24"/>
      <c r="K238" s="14"/>
      <c r="L238" s="71"/>
      <c r="M238" s="66"/>
      <c r="N238" s="66"/>
      <c r="O238" s="66"/>
      <c r="P238" s="66"/>
      <c r="Q238" s="66"/>
      <c r="R238" s="72"/>
      <c r="S238" s="24"/>
      <c r="Y238" s="14"/>
      <c r="Z238" s="24"/>
      <c r="AG238" s="24"/>
      <c r="AM238" s="14"/>
      <c r="AU238" s="24"/>
      <c r="AV238" s="22" t="s">
        <v>691</v>
      </c>
      <c r="AW238" s="11"/>
      <c r="AX238" s="11"/>
      <c r="AY238" s="11"/>
      <c r="BK238" s="24"/>
      <c r="BO238" s="14"/>
      <c r="BP238" s="14"/>
    </row>
    <row r="239" spans="1:68">
      <c r="A239" s="24"/>
      <c r="B239" s="24"/>
      <c r="K239" s="14"/>
      <c r="L239" s="71"/>
      <c r="M239" s="66"/>
      <c r="N239" s="66"/>
      <c r="O239" s="66"/>
      <c r="P239" s="66"/>
      <c r="Q239" s="66"/>
      <c r="R239" s="72"/>
      <c r="S239" s="24"/>
      <c r="Y239" s="14"/>
      <c r="Z239" s="24"/>
      <c r="AG239" s="24"/>
      <c r="AM239" s="14"/>
      <c r="AU239" s="24"/>
      <c r="AV239" s="11"/>
      <c r="AW239" s="8" t="s">
        <v>689</v>
      </c>
      <c r="AX239" s="11"/>
      <c r="AY239" s="11"/>
      <c r="BK239" s="24"/>
      <c r="BO239" s="14"/>
      <c r="BP239" s="14"/>
    </row>
    <row r="240" spans="1:68">
      <c r="A240" s="24"/>
      <c r="B240" s="24"/>
      <c r="K240" s="14"/>
      <c r="L240" s="71"/>
      <c r="M240" s="66"/>
      <c r="N240" s="66"/>
      <c r="O240" s="66"/>
      <c r="P240" s="66"/>
      <c r="Q240" s="66"/>
      <c r="R240" s="72"/>
      <c r="S240" s="24"/>
      <c r="Y240" s="14"/>
      <c r="Z240" s="24"/>
      <c r="AG240" s="24"/>
      <c r="AM240" s="14"/>
      <c r="AU240" s="24"/>
      <c r="AV240" s="11"/>
      <c r="AW240" s="8" t="s">
        <v>692</v>
      </c>
      <c r="AX240" s="11"/>
      <c r="AY240" s="11"/>
      <c r="BK240" s="24"/>
      <c r="BO240" s="14"/>
      <c r="BP240" s="14"/>
    </row>
    <row r="241" spans="1:70">
      <c r="A241" s="24"/>
      <c r="B241" s="24"/>
      <c r="K241" s="14"/>
      <c r="L241" s="71"/>
      <c r="M241" s="66"/>
      <c r="N241" s="66"/>
      <c r="O241" s="66"/>
      <c r="P241" s="66"/>
      <c r="Q241" s="66"/>
      <c r="R241" s="72"/>
      <c r="S241" s="24"/>
      <c r="Y241" s="14"/>
      <c r="Z241" s="24"/>
      <c r="AG241" s="24"/>
      <c r="AM241" s="14"/>
      <c r="AU241" s="24"/>
      <c r="AV241" s="50"/>
      <c r="AX241" s="11"/>
      <c r="AY241" s="11"/>
      <c r="BK241" s="24"/>
      <c r="BO241" s="14"/>
      <c r="BP241" s="14"/>
    </row>
    <row r="242" spans="1:70">
      <c r="A242" s="24"/>
      <c r="B242" s="24"/>
      <c r="K242" s="14"/>
      <c r="L242" s="71"/>
      <c r="M242" s="66"/>
      <c r="N242" s="66"/>
      <c r="O242" s="66"/>
      <c r="P242" s="66"/>
      <c r="Q242" s="66"/>
      <c r="R242" s="72"/>
      <c r="S242" s="24"/>
      <c r="Y242" s="14"/>
      <c r="Z242" s="24"/>
      <c r="AG242" s="24"/>
      <c r="AM242" s="14"/>
      <c r="AU242" s="24"/>
      <c r="AV242" s="50"/>
      <c r="AX242" s="11"/>
      <c r="AY242" s="11"/>
      <c r="BK242" s="24"/>
      <c r="BO242" s="14"/>
      <c r="BP242" s="14"/>
    </row>
    <row r="243" spans="1:70">
      <c r="A243" s="24"/>
      <c r="B243" s="24"/>
      <c r="K243" s="14"/>
      <c r="L243" s="71"/>
      <c r="M243" s="66"/>
      <c r="N243" s="66"/>
      <c r="O243" s="66"/>
      <c r="P243" s="66"/>
      <c r="Q243" s="66"/>
      <c r="R243" s="72"/>
      <c r="S243" s="24"/>
      <c r="Y243" s="14"/>
      <c r="Z243" s="24"/>
      <c r="AG243" s="24"/>
      <c r="AM243" s="14"/>
      <c r="AU243" s="24"/>
      <c r="AV243" s="50"/>
      <c r="AX243" s="11"/>
      <c r="AY243" s="11"/>
      <c r="BK243" s="24"/>
      <c r="BO243" s="14"/>
      <c r="BP243" s="14"/>
    </row>
    <row r="244" spans="1:70">
      <c r="A244" s="24"/>
      <c r="B244" s="24"/>
      <c r="K244" s="14"/>
      <c r="L244" s="71"/>
      <c r="M244" s="66"/>
      <c r="N244" s="66"/>
      <c r="O244" s="66"/>
      <c r="P244" s="66"/>
      <c r="Q244" s="66"/>
      <c r="R244" s="72"/>
      <c r="S244" s="24"/>
      <c r="Y244" s="14"/>
      <c r="Z244" s="24"/>
      <c r="AG244" s="24"/>
      <c r="AM244" s="14"/>
      <c r="AU244" s="24"/>
      <c r="AV244" s="22" t="s">
        <v>693</v>
      </c>
      <c r="AX244" s="11"/>
      <c r="AY244" s="11"/>
      <c r="BK244" s="24"/>
      <c r="BO244" s="14"/>
      <c r="BP244" s="14"/>
    </row>
    <row r="245" spans="1:70">
      <c r="A245" s="24"/>
      <c r="B245" s="24"/>
      <c r="K245" s="14"/>
      <c r="L245" s="71"/>
      <c r="M245" s="66"/>
      <c r="N245" s="66"/>
      <c r="O245" s="66"/>
      <c r="P245" s="66"/>
      <c r="Q245" s="66"/>
      <c r="R245" s="72"/>
      <c r="S245" s="24"/>
      <c r="Y245" s="14"/>
      <c r="Z245" s="24"/>
      <c r="AG245" s="24"/>
      <c r="AM245" s="14"/>
      <c r="AU245" s="24"/>
      <c r="AV245" s="50"/>
      <c r="AW245" s="8" t="s">
        <v>694</v>
      </c>
      <c r="AX245" s="11"/>
      <c r="AY245" s="11"/>
      <c r="BK245" s="24"/>
      <c r="BO245" s="14"/>
      <c r="BP245" s="14"/>
    </row>
    <row r="246" spans="1:70">
      <c r="A246" s="24"/>
      <c r="B246" s="24"/>
      <c r="K246" s="14"/>
      <c r="L246" s="71"/>
      <c r="M246" s="66"/>
      <c r="N246" s="66"/>
      <c r="O246" s="66"/>
      <c r="P246" s="66"/>
      <c r="Q246" s="66"/>
      <c r="R246" s="72"/>
      <c r="S246" s="24"/>
      <c r="Y246" s="14"/>
      <c r="Z246" s="24"/>
      <c r="AG246" s="24"/>
      <c r="AM246" s="14"/>
      <c r="AU246" s="24"/>
      <c r="AV246" s="50"/>
      <c r="AW246" s="8" t="s">
        <v>695</v>
      </c>
      <c r="AX246" s="11"/>
      <c r="AY246" s="11"/>
      <c r="BK246" s="24"/>
      <c r="BO246" s="14"/>
      <c r="BP246" s="14"/>
    </row>
    <row r="247" spans="1:70">
      <c r="A247" s="24"/>
      <c r="B247" s="24"/>
      <c r="K247" s="14"/>
      <c r="L247" s="71"/>
      <c r="M247" s="66"/>
      <c r="N247" s="66"/>
      <c r="O247" s="66"/>
      <c r="P247" s="66"/>
      <c r="Q247" s="66"/>
      <c r="R247" s="72"/>
      <c r="S247" s="24"/>
      <c r="Y247" s="14"/>
      <c r="Z247" s="24"/>
      <c r="AG247" s="24"/>
      <c r="AM247" s="14"/>
      <c r="AU247" s="24"/>
      <c r="AV247" s="50"/>
      <c r="AW247" s="86" t="s">
        <v>637</v>
      </c>
      <c r="AX247" s="87"/>
      <c r="AY247" s="87"/>
      <c r="AZ247" s="87"/>
      <c r="BA247" s="87"/>
      <c r="BB247" s="87"/>
      <c r="BC247" s="87"/>
      <c r="BD247" s="87"/>
      <c r="BE247" s="87"/>
      <c r="BF247" s="87"/>
      <c r="BG247" s="88"/>
      <c r="BK247" s="24"/>
      <c r="BO247" s="14"/>
      <c r="BP247" s="14"/>
    </row>
    <row r="248" spans="1:70">
      <c r="A248" s="24"/>
      <c r="B248" s="24"/>
      <c r="K248" s="14"/>
      <c r="L248" s="71"/>
      <c r="M248" s="66"/>
      <c r="N248" s="66"/>
      <c r="O248" s="66"/>
      <c r="P248" s="66"/>
      <c r="Q248" s="66"/>
      <c r="R248" s="72"/>
      <c r="S248" s="24"/>
      <c r="Y248" s="14"/>
      <c r="Z248" s="24"/>
      <c r="AG248" s="24"/>
      <c r="AM248" s="14"/>
      <c r="AU248" s="24"/>
      <c r="AV248" s="50"/>
      <c r="AW248" s="65" t="s">
        <v>696</v>
      </c>
      <c r="AX248" s="63"/>
      <c r="AY248" s="63"/>
      <c r="AZ248" s="63"/>
      <c r="BA248" s="63"/>
      <c r="BB248" s="65" t="s">
        <v>638</v>
      </c>
      <c r="BC248" s="63"/>
      <c r="BD248" s="63"/>
      <c r="BE248" s="63"/>
      <c r="BF248" s="63"/>
      <c r="BG248" s="64"/>
      <c r="BK248" s="24"/>
      <c r="BO248" s="14"/>
      <c r="BP248" s="14"/>
      <c r="BQ248" s="8" t="s">
        <v>825</v>
      </c>
    </row>
    <row r="249" spans="1:70">
      <c r="A249" s="24"/>
      <c r="B249" s="24"/>
      <c r="K249" s="14"/>
      <c r="L249" s="71"/>
      <c r="M249" s="66"/>
      <c r="N249" s="66"/>
      <c r="O249" s="66"/>
      <c r="P249" s="66"/>
      <c r="Q249" s="66"/>
      <c r="R249" s="72"/>
      <c r="S249" s="24"/>
      <c r="Y249" s="14"/>
      <c r="Z249" s="24"/>
      <c r="AG249" s="24"/>
      <c r="AM249" s="14"/>
      <c r="AU249" s="24"/>
      <c r="AV249" s="50"/>
      <c r="AW249" s="106" t="s">
        <v>639</v>
      </c>
      <c r="AX249" s="105"/>
      <c r="AY249" s="105"/>
      <c r="AZ249" s="104"/>
      <c r="BA249" s="104"/>
      <c r="BB249" s="106" t="s">
        <v>697</v>
      </c>
      <c r="BC249" s="104"/>
      <c r="BD249" s="104"/>
      <c r="BE249" s="104"/>
      <c r="BF249" s="104"/>
      <c r="BG249" s="103"/>
      <c r="BK249" s="24"/>
      <c r="BO249" s="14"/>
      <c r="BP249" s="14"/>
      <c r="BQ249" s="45" t="s">
        <v>826</v>
      </c>
    </row>
    <row r="250" spans="1:70">
      <c r="A250" s="24"/>
      <c r="B250" s="24"/>
      <c r="K250" s="14"/>
      <c r="L250" s="71"/>
      <c r="M250" s="66"/>
      <c r="N250" s="66"/>
      <c r="O250" s="66"/>
      <c r="P250" s="66"/>
      <c r="Q250" s="66"/>
      <c r="R250" s="72"/>
      <c r="S250" s="24"/>
      <c r="Y250" s="14"/>
      <c r="Z250" s="24"/>
      <c r="AG250" s="24"/>
      <c r="AM250" s="14"/>
      <c r="AU250" s="24"/>
      <c r="AX250" s="11"/>
      <c r="AY250" s="11"/>
      <c r="BK250" s="24"/>
      <c r="BO250" s="14"/>
      <c r="BP250" s="14"/>
      <c r="BR250" s="45" t="s">
        <v>827</v>
      </c>
    </row>
    <row r="251" spans="1:70">
      <c r="A251" s="24"/>
      <c r="B251" s="24"/>
      <c r="K251" s="14"/>
      <c r="L251" s="71"/>
      <c r="M251" s="66"/>
      <c r="N251" s="66"/>
      <c r="O251" s="66"/>
      <c r="P251" s="66"/>
      <c r="Q251" s="66"/>
      <c r="R251" s="72"/>
      <c r="S251" s="24"/>
      <c r="Y251" s="14"/>
      <c r="Z251" s="24"/>
      <c r="AG251" s="24"/>
      <c r="AM251" s="14"/>
      <c r="AU251" s="24"/>
      <c r="AV251" s="11"/>
      <c r="BK251" s="24"/>
      <c r="BO251" s="14"/>
      <c r="BP251" s="14"/>
    </row>
    <row r="252" spans="1:70">
      <c r="A252" s="24"/>
      <c r="B252" s="24"/>
      <c r="K252" s="14"/>
      <c r="L252" s="71"/>
      <c r="M252" s="66"/>
      <c r="N252" s="66"/>
      <c r="O252" s="66"/>
      <c r="P252" s="66"/>
      <c r="Q252" s="66"/>
      <c r="R252" s="72"/>
      <c r="S252" s="24"/>
      <c r="Y252" s="14"/>
      <c r="Z252" s="24"/>
      <c r="AG252" s="24"/>
      <c r="AM252" s="14"/>
      <c r="AU252" s="24"/>
      <c r="AV252" s="11"/>
      <c r="AX252" s="11"/>
      <c r="AY252" s="11"/>
      <c r="BK252" s="24"/>
      <c r="BO252" s="14"/>
      <c r="BP252" s="14"/>
    </row>
    <row r="253" spans="1:70">
      <c r="A253" s="42"/>
      <c r="B253" s="41"/>
      <c r="C253" s="10"/>
      <c r="D253" s="10"/>
      <c r="E253" s="10"/>
      <c r="F253" s="10"/>
      <c r="G253" s="10"/>
      <c r="H253" s="10"/>
      <c r="I253" s="10"/>
      <c r="J253" s="10"/>
      <c r="K253" s="15"/>
      <c r="L253" s="81"/>
      <c r="M253" s="67"/>
      <c r="N253" s="67"/>
      <c r="O253" s="67"/>
      <c r="P253" s="67"/>
      <c r="Q253" s="67"/>
      <c r="R253" s="108"/>
      <c r="S253" s="41"/>
      <c r="T253" s="10"/>
      <c r="U253" s="10"/>
      <c r="V253" s="10"/>
      <c r="W253" s="10"/>
      <c r="X253" s="10"/>
      <c r="Y253" s="15"/>
      <c r="Z253" s="41"/>
      <c r="AA253" s="10"/>
      <c r="AB253" s="10"/>
      <c r="AC253" s="10"/>
      <c r="AD253" s="10"/>
      <c r="AE253" s="10"/>
      <c r="AF253" s="10"/>
      <c r="AG253" s="41"/>
      <c r="AH253" s="10"/>
      <c r="AI253" s="10"/>
      <c r="AJ253" s="10"/>
      <c r="AK253" s="10"/>
      <c r="AL253" s="10"/>
      <c r="AM253" s="15"/>
      <c r="AN253" s="10"/>
      <c r="AO253" s="10"/>
      <c r="AP253" s="10"/>
      <c r="AQ253" s="10"/>
      <c r="AR253" s="10"/>
      <c r="AS253" s="10"/>
      <c r="AT253" s="10"/>
      <c r="AU253" s="41"/>
      <c r="AV253" s="60"/>
      <c r="AW253" s="10"/>
      <c r="AX253" s="32"/>
      <c r="AY253" s="32"/>
      <c r="AZ253" s="10"/>
      <c r="BA253" s="10"/>
      <c r="BB253" s="10"/>
      <c r="BC253" s="10"/>
      <c r="BD253" s="10"/>
      <c r="BE253" s="10"/>
      <c r="BF253" s="10"/>
      <c r="BG253" s="10"/>
      <c r="BH253" s="10"/>
      <c r="BI253" s="10"/>
      <c r="BJ253" s="10"/>
      <c r="BK253" s="41"/>
      <c r="BL253" s="10"/>
      <c r="BM253" s="10"/>
      <c r="BN253" s="10"/>
      <c r="BO253" s="15"/>
      <c r="BP253" s="42"/>
    </row>
    <row r="254" spans="1:70" s="11" customFormat="1">
      <c r="A254" s="25"/>
      <c r="B254" s="26" t="s">
        <v>698</v>
      </c>
      <c r="C254" s="31"/>
      <c r="D254" s="31"/>
      <c r="E254" s="31"/>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30"/>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13"/>
    </row>
    <row r="255" spans="1:70" s="11" customFormat="1">
      <c r="A255" s="25"/>
      <c r="B255" s="24"/>
      <c r="C255" s="8"/>
      <c r="D255" s="8"/>
      <c r="E255" s="8"/>
      <c r="F255" s="8"/>
      <c r="G255" s="8"/>
      <c r="H255" s="8"/>
      <c r="I255" s="8"/>
      <c r="J255" s="8"/>
      <c r="K255" s="14"/>
      <c r="L255" s="71"/>
      <c r="M255" s="66"/>
      <c r="N255" s="66"/>
      <c r="O255" s="66"/>
      <c r="P255" s="66"/>
      <c r="Q255" s="66"/>
      <c r="R255" s="72"/>
      <c r="S255" s="24"/>
      <c r="T255" s="8"/>
      <c r="U255" s="8"/>
      <c r="V255" s="8"/>
      <c r="W255" s="8"/>
      <c r="X255" s="8"/>
      <c r="Y255" s="14"/>
      <c r="Z255" s="24"/>
      <c r="AA255" s="8"/>
      <c r="AB255" s="8"/>
      <c r="AC255" s="8"/>
      <c r="AD255" s="8"/>
      <c r="AE255" s="8"/>
      <c r="AF255" s="8"/>
      <c r="AG255" s="24"/>
      <c r="AH255" s="8"/>
      <c r="AI255" s="8"/>
      <c r="AJ255" s="8"/>
      <c r="AK255" s="8"/>
      <c r="AL255" s="8"/>
      <c r="AM255" s="14"/>
      <c r="AN255" s="8"/>
      <c r="AO255" s="8"/>
      <c r="AP255" s="8"/>
      <c r="AQ255" s="8"/>
      <c r="AR255" s="8"/>
      <c r="AS255" s="8"/>
      <c r="AT255" s="8"/>
      <c r="AU255" s="24"/>
      <c r="AV255" s="8"/>
      <c r="AW255" s="8"/>
      <c r="AX255" s="8"/>
      <c r="AY255" s="8"/>
      <c r="AZ255" s="8"/>
      <c r="BA255" s="8"/>
      <c r="BB255" s="8"/>
      <c r="BC255" s="8"/>
      <c r="BD255" s="8"/>
      <c r="BE255" s="8"/>
      <c r="BF255" s="8"/>
      <c r="BG255" s="8"/>
      <c r="BH255" s="8"/>
      <c r="BI255" s="8"/>
      <c r="BJ255" s="8"/>
      <c r="BK255" s="24"/>
      <c r="BL255" s="8"/>
      <c r="BM255" s="8"/>
      <c r="BN255" s="8"/>
      <c r="BO255" s="14"/>
      <c r="BP255" s="13"/>
    </row>
    <row r="256" spans="1:70">
      <c r="A256" s="24"/>
      <c r="B256" s="24"/>
      <c r="K256" s="14"/>
      <c r="L256" s="71"/>
      <c r="M256" s="66"/>
      <c r="N256" s="66"/>
      <c r="O256" s="66"/>
      <c r="P256" s="66"/>
      <c r="Q256" s="66"/>
      <c r="R256" s="72"/>
      <c r="S256" s="24"/>
      <c r="Y256" s="14"/>
      <c r="Z256" s="24"/>
      <c r="AG256" s="24"/>
      <c r="AM256" s="14"/>
      <c r="AU256" s="24"/>
      <c r="BK256" s="24"/>
      <c r="BO256" s="14"/>
      <c r="BP256" s="14"/>
    </row>
    <row r="257" spans="1:69">
      <c r="A257" s="24"/>
      <c r="B257" s="24"/>
      <c r="K257" s="14"/>
      <c r="L257" s="71"/>
      <c r="M257" s="66"/>
      <c r="N257" s="66"/>
      <c r="O257" s="66"/>
      <c r="P257" s="66"/>
      <c r="Q257" s="66"/>
      <c r="R257" s="72"/>
      <c r="S257" s="24"/>
      <c r="Y257" s="14"/>
      <c r="Z257" s="24"/>
      <c r="AG257" s="24"/>
      <c r="AM257" s="14"/>
      <c r="AU257" s="24"/>
      <c r="BK257" s="24"/>
      <c r="BO257" s="14"/>
      <c r="BP257" s="14"/>
    </row>
    <row r="258" spans="1:69">
      <c r="A258" s="24"/>
      <c r="B258" s="24"/>
      <c r="K258" s="14"/>
      <c r="L258" s="71"/>
      <c r="M258" s="66"/>
      <c r="N258" s="66"/>
      <c r="O258" s="66"/>
      <c r="P258" s="66"/>
      <c r="Q258" s="66"/>
      <c r="R258" s="72"/>
      <c r="S258" s="24"/>
      <c r="Y258" s="14"/>
      <c r="Z258" s="24"/>
      <c r="AG258" s="24"/>
      <c r="AM258" s="14"/>
      <c r="AU258" s="24"/>
      <c r="BK258" s="24"/>
      <c r="BO258" s="14"/>
      <c r="BP258" s="14"/>
    </row>
    <row r="259" spans="1:69">
      <c r="A259" s="24"/>
      <c r="B259" s="24"/>
      <c r="K259" s="14"/>
      <c r="L259" s="71"/>
      <c r="M259" s="66"/>
      <c r="N259" s="66"/>
      <c r="O259" s="66"/>
      <c r="P259" s="66"/>
      <c r="Q259" s="66"/>
      <c r="R259" s="72"/>
      <c r="S259" s="24"/>
      <c r="Y259" s="14"/>
      <c r="Z259" s="24"/>
      <c r="AG259" s="24"/>
      <c r="AM259" s="14"/>
      <c r="AU259" s="24"/>
      <c r="BK259" s="24"/>
      <c r="BO259" s="14"/>
      <c r="BP259" s="14"/>
      <c r="BQ259" s="8" t="s">
        <v>828</v>
      </c>
    </row>
    <row r="260" spans="1:69">
      <c r="A260" s="24"/>
      <c r="B260" s="24"/>
      <c r="K260" s="14"/>
      <c r="L260" s="71"/>
      <c r="M260" s="66"/>
      <c r="N260" s="66"/>
      <c r="O260" s="66"/>
      <c r="P260" s="66"/>
      <c r="Q260" s="66"/>
      <c r="R260" s="72"/>
      <c r="S260" s="24"/>
      <c r="Y260" s="14"/>
      <c r="Z260" s="24"/>
      <c r="AG260" s="24"/>
      <c r="AM260" s="14"/>
      <c r="AU260" s="24"/>
      <c r="AY260" s="11"/>
      <c r="BK260" s="24"/>
      <c r="BO260" s="14"/>
      <c r="BP260" s="14"/>
      <c r="BQ260" s="8" t="s">
        <v>829</v>
      </c>
    </row>
    <row r="261" spans="1:69">
      <c r="A261" s="24"/>
      <c r="B261" s="24"/>
      <c r="K261" s="14"/>
      <c r="L261" s="71"/>
      <c r="M261" s="66"/>
      <c r="N261" s="66"/>
      <c r="O261" s="66"/>
      <c r="P261" s="66"/>
      <c r="Q261" s="66"/>
      <c r="R261" s="72"/>
      <c r="S261" s="24"/>
      <c r="Y261" s="14"/>
      <c r="Z261" s="24"/>
      <c r="AG261" s="24"/>
      <c r="AM261" s="14"/>
      <c r="AU261" s="24"/>
      <c r="AV261" s="16" t="s">
        <v>699</v>
      </c>
      <c r="BK261" s="24"/>
      <c r="BO261" s="14"/>
      <c r="BP261" s="14"/>
    </row>
    <row r="262" spans="1:69">
      <c r="A262" s="24"/>
      <c r="B262" s="24"/>
      <c r="K262" s="14"/>
      <c r="L262" s="71"/>
      <c r="M262" s="66"/>
      <c r="N262" s="66"/>
      <c r="O262" s="66"/>
      <c r="P262" s="66"/>
      <c r="Q262" s="66"/>
      <c r="R262" s="72"/>
      <c r="S262" s="24"/>
      <c r="Y262" s="14"/>
      <c r="Z262" s="24"/>
      <c r="AG262" s="24"/>
      <c r="AM262" s="14"/>
      <c r="AU262" s="24"/>
      <c r="AW262" s="8" t="s">
        <v>700</v>
      </c>
      <c r="BK262" s="24"/>
      <c r="BO262" s="14"/>
      <c r="BP262" s="14"/>
    </row>
    <row r="263" spans="1:69">
      <c r="A263" s="24"/>
      <c r="B263" s="24"/>
      <c r="K263" s="14"/>
      <c r="L263" s="71"/>
      <c r="M263" s="66"/>
      <c r="N263" s="66"/>
      <c r="O263" s="66"/>
      <c r="P263" s="66"/>
      <c r="Q263" s="66"/>
      <c r="R263" s="72"/>
      <c r="S263" s="24"/>
      <c r="Y263" s="14"/>
      <c r="Z263" s="24"/>
      <c r="AG263" s="24"/>
      <c r="AM263" s="14"/>
      <c r="AU263" s="24"/>
      <c r="AW263" s="8" t="s">
        <v>701</v>
      </c>
      <c r="AY263" s="11"/>
      <c r="BK263" s="24"/>
      <c r="BO263" s="14"/>
      <c r="BP263" s="14"/>
      <c r="BQ263" s="8" t="s">
        <v>830</v>
      </c>
    </row>
    <row r="264" spans="1:69">
      <c r="A264" s="24"/>
      <c r="B264" s="24"/>
      <c r="K264" s="14"/>
      <c r="L264" s="71"/>
      <c r="M264" s="66"/>
      <c r="N264" s="66"/>
      <c r="O264" s="66"/>
      <c r="P264" s="66"/>
      <c r="Q264" s="66"/>
      <c r="R264" s="72"/>
      <c r="S264" s="24"/>
      <c r="Y264" s="14"/>
      <c r="Z264" s="24"/>
      <c r="AG264" s="24"/>
      <c r="AM264" s="14"/>
      <c r="AU264" s="24"/>
      <c r="AV264" s="11"/>
      <c r="AW264" s="11"/>
      <c r="AX264" s="11"/>
      <c r="AY264" s="11"/>
      <c r="BK264" s="24"/>
      <c r="BO264" s="14"/>
      <c r="BP264" s="14"/>
      <c r="BQ264" s="45" t="s">
        <v>831</v>
      </c>
    </row>
    <row r="265" spans="1:69">
      <c r="A265" s="24"/>
      <c r="B265" s="24"/>
      <c r="K265" s="14"/>
      <c r="L265" s="71"/>
      <c r="M265" s="66"/>
      <c r="N265" s="66"/>
      <c r="O265" s="66"/>
      <c r="P265" s="66"/>
      <c r="Q265" s="66"/>
      <c r="R265" s="72"/>
      <c r="S265" s="24"/>
      <c r="Y265" s="14"/>
      <c r="Z265" s="24"/>
      <c r="AG265" s="24"/>
      <c r="AM265" s="14"/>
      <c r="AU265" s="24"/>
      <c r="AV265" s="11"/>
      <c r="AX265" s="11"/>
      <c r="AY265" s="11"/>
      <c r="BK265" s="24"/>
      <c r="BO265" s="14"/>
      <c r="BP265" s="14"/>
      <c r="BQ265" s="45" t="s">
        <v>832</v>
      </c>
    </row>
    <row r="266" spans="1:69">
      <c r="A266" s="24"/>
      <c r="B266" s="24"/>
      <c r="K266" s="14"/>
      <c r="L266" s="71"/>
      <c r="M266" s="66"/>
      <c r="N266" s="66"/>
      <c r="O266" s="66"/>
      <c r="P266" s="66"/>
      <c r="Q266" s="66"/>
      <c r="R266" s="72"/>
      <c r="S266" s="24"/>
      <c r="Y266" s="14"/>
      <c r="Z266" s="24"/>
      <c r="AG266" s="24"/>
      <c r="AM266" s="14"/>
      <c r="AU266" s="24"/>
      <c r="AV266" s="11"/>
      <c r="AW266" s="11"/>
      <c r="AX266" s="11"/>
      <c r="AY266" s="11"/>
      <c r="BK266" s="24"/>
      <c r="BO266" s="14"/>
      <c r="BP266" s="14"/>
      <c r="BQ266" s="8" t="s">
        <v>833</v>
      </c>
    </row>
    <row r="267" spans="1:69">
      <c r="A267" s="24"/>
      <c r="B267" s="24"/>
      <c r="K267" s="14"/>
      <c r="L267" s="71"/>
      <c r="M267" s="66"/>
      <c r="N267" s="66"/>
      <c r="O267" s="66"/>
      <c r="P267" s="66"/>
      <c r="Q267" s="66"/>
      <c r="R267" s="72"/>
      <c r="S267" s="24"/>
      <c r="Y267" s="14"/>
      <c r="Z267" s="24"/>
      <c r="AG267" s="24"/>
      <c r="AM267" s="14"/>
      <c r="AU267" s="24"/>
      <c r="AV267" s="11"/>
      <c r="AW267" s="11"/>
      <c r="AX267" s="11"/>
      <c r="AY267" s="11"/>
      <c r="BK267" s="24"/>
      <c r="BO267" s="14"/>
      <c r="BP267" s="14"/>
    </row>
    <row r="268" spans="1:69">
      <c r="A268" s="24"/>
      <c r="B268" s="24"/>
      <c r="K268" s="14"/>
      <c r="L268" s="71"/>
      <c r="M268" s="66"/>
      <c r="N268" s="66"/>
      <c r="O268" s="66"/>
      <c r="P268" s="66"/>
      <c r="Q268" s="66"/>
      <c r="R268" s="72"/>
      <c r="S268" s="24"/>
      <c r="Y268" s="14"/>
      <c r="Z268" s="24"/>
      <c r="AG268" s="24"/>
      <c r="AM268" s="14"/>
      <c r="AU268" s="24"/>
      <c r="AV268" s="11"/>
      <c r="AW268" s="11"/>
      <c r="BK268" s="24"/>
      <c r="BO268" s="14"/>
      <c r="BP268" s="14"/>
    </row>
    <row r="269" spans="1:69">
      <c r="A269" s="24"/>
      <c r="B269" s="24"/>
      <c r="K269" s="14"/>
      <c r="L269" s="71"/>
      <c r="M269" s="66"/>
      <c r="N269" s="66"/>
      <c r="O269" s="66"/>
      <c r="P269" s="66"/>
      <c r="Q269" s="66"/>
      <c r="R269" s="72"/>
      <c r="S269" s="24"/>
      <c r="Y269" s="14"/>
      <c r="Z269" s="24"/>
      <c r="AG269" s="24"/>
      <c r="AM269" s="14"/>
      <c r="AU269" s="24"/>
      <c r="AV269" s="11"/>
      <c r="AW269" s="11"/>
      <c r="BK269" s="24"/>
      <c r="BO269" s="14"/>
      <c r="BP269" s="14"/>
    </row>
    <row r="270" spans="1:69">
      <c r="A270" s="24"/>
      <c r="B270" s="24"/>
      <c r="K270" s="14"/>
      <c r="L270" s="71"/>
      <c r="M270" s="66"/>
      <c r="N270" s="66"/>
      <c r="O270" s="66"/>
      <c r="P270" s="66"/>
      <c r="Q270" s="66"/>
      <c r="R270" s="72"/>
      <c r="S270" s="24"/>
      <c r="Y270" s="14"/>
      <c r="Z270" s="24"/>
      <c r="AG270" s="24"/>
      <c r="AM270" s="14"/>
      <c r="AU270" s="24"/>
      <c r="AV270" s="11"/>
      <c r="AW270" s="11"/>
      <c r="AY270" s="11"/>
      <c r="BK270" s="24"/>
      <c r="BO270" s="14"/>
      <c r="BP270" s="14"/>
    </row>
    <row r="271" spans="1:69">
      <c r="A271" s="24"/>
      <c r="B271" s="24"/>
      <c r="K271" s="14"/>
      <c r="L271" s="71"/>
      <c r="M271" s="66"/>
      <c r="N271" s="66"/>
      <c r="O271" s="66"/>
      <c r="P271" s="66"/>
      <c r="Q271" s="66"/>
      <c r="R271" s="72"/>
      <c r="S271" s="24"/>
      <c r="Y271" s="14"/>
      <c r="Z271" s="24"/>
      <c r="AG271" s="24"/>
      <c r="AM271" s="14"/>
      <c r="AU271" s="24"/>
      <c r="AV271" s="11"/>
      <c r="AW271" s="11"/>
      <c r="AX271" s="11"/>
      <c r="AY271" s="11"/>
      <c r="BK271" s="24"/>
      <c r="BO271" s="14"/>
      <c r="BP271" s="14"/>
    </row>
    <row r="272" spans="1:69">
      <c r="A272" s="42"/>
      <c r="B272" s="41"/>
      <c r="C272" s="10"/>
      <c r="D272" s="10"/>
      <c r="E272" s="10"/>
      <c r="F272" s="10"/>
      <c r="G272" s="10"/>
      <c r="H272" s="10"/>
      <c r="I272" s="10"/>
      <c r="J272" s="10"/>
      <c r="K272" s="15"/>
      <c r="L272" s="81"/>
      <c r="M272" s="67"/>
      <c r="N272" s="67"/>
      <c r="O272" s="67"/>
      <c r="P272" s="67"/>
      <c r="Q272" s="67"/>
      <c r="R272" s="108"/>
      <c r="S272" s="41"/>
      <c r="T272" s="10"/>
      <c r="U272" s="10"/>
      <c r="V272" s="10"/>
      <c r="W272" s="10"/>
      <c r="X272" s="10"/>
      <c r="Y272" s="15"/>
      <c r="Z272" s="41"/>
      <c r="AA272" s="10"/>
      <c r="AB272" s="10"/>
      <c r="AC272" s="10"/>
      <c r="AD272" s="10"/>
      <c r="AE272" s="10"/>
      <c r="AF272" s="10"/>
      <c r="AG272" s="41"/>
      <c r="AH272" s="10"/>
      <c r="AI272" s="10"/>
      <c r="AJ272" s="10"/>
      <c r="AK272" s="10"/>
      <c r="AL272" s="10"/>
      <c r="AM272" s="15"/>
      <c r="AN272" s="10"/>
      <c r="AO272" s="10"/>
      <c r="AP272" s="10"/>
      <c r="AQ272" s="10"/>
      <c r="AR272" s="10"/>
      <c r="AS272" s="10"/>
      <c r="AT272" s="10"/>
      <c r="AU272" s="41"/>
      <c r="AV272" s="60"/>
      <c r="AW272" s="10"/>
      <c r="AX272" s="32"/>
      <c r="AY272" s="32"/>
      <c r="AZ272" s="10"/>
      <c r="BA272" s="10"/>
      <c r="BB272" s="10"/>
      <c r="BC272" s="10"/>
      <c r="BD272" s="10"/>
      <c r="BE272" s="10"/>
      <c r="BF272" s="10"/>
      <c r="BG272" s="10"/>
      <c r="BH272" s="10"/>
      <c r="BI272" s="10"/>
      <c r="BJ272" s="10"/>
      <c r="BK272" s="41"/>
      <c r="BL272" s="10"/>
      <c r="BM272" s="10"/>
      <c r="BN272" s="10"/>
      <c r="BO272" s="15"/>
      <c r="BP272" s="42"/>
    </row>
    <row r="273" spans="1:69" s="11" customFormat="1">
      <c r="A273" s="25"/>
      <c r="B273" s="26" t="s">
        <v>705</v>
      </c>
      <c r="C273" s="31"/>
      <c r="D273" s="31"/>
      <c r="E273" s="31"/>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30"/>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13"/>
    </row>
    <row r="274" spans="1:69" s="11" customFormat="1">
      <c r="A274" s="25"/>
      <c r="B274" s="24"/>
      <c r="C274" s="8"/>
      <c r="D274" s="8"/>
      <c r="E274" s="8"/>
      <c r="F274" s="8"/>
      <c r="G274" s="8"/>
      <c r="H274" s="8"/>
      <c r="I274" s="8"/>
      <c r="J274" s="8"/>
      <c r="K274" s="14"/>
      <c r="L274" s="71"/>
      <c r="M274" s="66"/>
      <c r="N274" s="66"/>
      <c r="O274" s="66"/>
      <c r="P274" s="66"/>
      <c r="Q274" s="66"/>
      <c r="R274" s="72"/>
      <c r="S274" s="24"/>
      <c r="T274" s="8"/>
      <c r="U274" s="8"/>
      <c r="V274" s="8"/>
      <c r="W274" s="8"/>
      <c r="X274" s="8"/>
      <c r="Y274" s="14"/>
      <c r="Z274" s="24"/>
      <c r="AA274" s="8"/>
      <c r="AB274" s="8"/>
      <c r="AC274" s="8"/>
      <c r="AD274" s="8"/>
      <c r="AE274" s="8"/>
      <c r="AF274" s="8"/>
      <c r="AG274" s="24"/>
      <c r="AH274" s="8"/>
      <c r="AI274" s="8"/>
      <c r="AJ274" s="8"/>
      <c r="AK274" s="8"/>
      <c r="AL274" s="8"/>
      <c r="AM274" s="14"/>
      <c r="AN274" s="8"/>
      <c r="AO274" s="8"/>
      <c r="AP274" s="8"/>
      <c r="AQ274" s="8"/>
      <c r="AR274" s="8"/>
      <c r="AS274" s="8"/>
      <c r="AT274" s="8"/>
      <c r="AU274" s="24"/>
      <c r="AV274" s="8"/>
      <c r="AW274" s="8"/>
      <c r="AX274" s="8"/>
      <c r="AY274" s="8"/>
      <c r="AZ274" s="8"/>
      <c r="BA274" s="8"/>
      <c r="BB274" s="8"/>
      <c r="BC274" s="8"/>
      <c r="BD274" s="8"/>
      <c r="BE274" s="8"/>
      <c r="BF274" s="8"/>
      <c r="BG274" s="8"/>
      <c r="BH274" s="8"/>
      <c r="BI274" s="8"/>
      <c r="BJ274" s="8"/>
      <c r="BK274" s="24"/>
      <c r="BL274" s="8"/>
      <c r="BM274" s="8"/>
      <c r="BN274" s="8"/>
      <c r="BO274" s="14"/>
      <c r="BP274" s="13"/>
    </row>
    <row r="275" spans="1:69">
      <c r="A275" s="24"/>
      <c r="B275" s="24"/>
      <c r="K275" s="14"/>
      <c r="L275" s="71"/>
      <c r="M275" s="66"/>
      <c r="N275" s="66"/>
      <c r="O275" s="66"/>
      <c r="P275" s="66"/>
      <c r="Q275" s="66"/>
      <c r="R275" s="72"/>
      <c r="S275" s="24"/>
      <c r="Y275" s="14"/>
      <c r="Z275" s="24"/>
      <c r="AG275" s="24"/>
      <c r="AM275" s="14"/>
      <c r="AU275" s="24"/>
      <c r="BK275" s="24"/>
      <c r="BO275" s="14"/>
      <c r="BP275" s="14"/>
    </row>
    <row r="276" spans="1:69">
      <c r="A276" s="24"/>
      <c r="B276" s="24"/>
      <c r="K276" s="14"/>
      <c r="L276" s="71"/>
      <c r="M276" s="66"/>
      <c r="N276" s="66"/>
      <c r="O276" s="66"/>
      <c r="P276" s="66"/>
      <c r="Q276" s="66"/>
      <c r="R276" s="72"/>
      <c r="S276" s="24"/>
      <c r="Y276" s="14"/>
      <c r="Z276" s="24"/>
      <c r="AG276" s="24"/>
      <c r="AM276" s="14"/>
      <c r="AU276" s="24"/>
      <c r="BK276" s="24"/>
      <c r="BO276" s="14"/>
      <c r="BP276" s="14"/>
    </row>
    <row r="277" spans="1:69">
      <c r="A277" s="24"/>
      <c r="B277" s="24"/>
      <c r="K277" s="14"/>
      <c r="L277" s="71"/>
      <c r="M277" s="66"/>
      <c r="N277" s="66"/>
      <c r="O277" s="66"/>
      <c r="P277" s="66"/>
      <c r="Q277" s="66"/>
      <c r="R277" s="72"/>
      <c r="S277" s="24"/>
      <c r="Y277" s="14"/>
      <c r="Z277" s="24"/>
      <c r="AG277" s="24"/>
      <c r="AM277" s="14"/>
      <c r="AU277" s="24"/>
      <c r="BK277" s="24"/>
      <c r="BO277" s="14"/>
      <c r="BP277" s="14"/>
    </row>
    <row r="278" spans="1:69">
      <c r="A278" s="24"/>
      <c r="B278" s="24"/>
      <c r="K278" s="14"/>
      <c r="L278" s="71"/>
      <c r="M278" s="66"/>
      <c r="N278" s="66"/>
      <c r="O278" s="66"/>
      <c r="P278" s="66"/>
      <c r="Q278" s="66"/>
      <c r="R278" s="72"/>
      <c r="S278" s="24"/>
      <c r="Y278" s="14"/>
      <c r="Z278" s="24"/>
      <c r="AG278" s="24"/>
      <c r="AM278" s="14"/>
      <c r="AU278" s="24"/>
      <c r="BK278" s="24"/>
      <c r="BO278" s="14"/>
      <c r="BP278" s="14"/>
    </row>
    <row r="279" spans="1:69">
      <c r="A279" s="24"/>
      <c r="B279" s="24"/>
      <c r="K279" s="14"/>
      <c r="L279" s="71"/>
      <c r="M279" s="66"/>
      <c r="N279" s="66"/>
      <c r="O279" s="66"/>
      <c r="P279" s="66"/>
      <c r="Q279" s="66"/>
      <c r="R279" s="72"/>
      <c r="S279" s="24"/>
      <c r="Y279" s="14"/>
      <c r="Z279" s="24"/>
      <c r="AG279" s="24"/>
      <c r="AM279" s="14"/>
      <c r="AU279" s="24"/>
      <c r="AY279" s="11"/>
      <c r="BK279" s="24"/>
      <c r="BO279" s="14"/>
      <c r="BP279" s="14"/>
    </row>
    <row r="280" spans="1:69">
      <c r="A280" s="24"/>
      <c r="B280" s="24"/>
      <c r="K280" s="14"/>
      <c r="L280" s="71"/>
      <c r="M280" s="66"/>
      <c r="N280" s="66"/>
      <c r="O280" s="66"/>
      <c r="P280" s="66"/>
      <c r="Q280" s="66"/>
      <c r="R280" s="72"/>
      <c r="S280" s="24"/>
      <c r="Y280" s="14"/>
      <c r="Z280" s="24"/>
      <c r="AG280" s="24"/>
      <c r="AM280" s="14"/>
      <c r="AU280" s="24"/>
      <c r="AV280" s="16" t="s">
        <v>707</v>
      </c>
      <c r="BK280" s="24"/>
      <c r="BO280" s="14"/>
      <c r="BP280" s="14"/>
    </row>
    <row r="281" spans="1:69">
      <c r="A281" s="24"/>
      <c r="B281" s="24"/>
      <c r="K281" s="14"/>
      <c r="L281" s="71"/>
      <c r="M281" s="66"/>
      <c r="N281" s="66"/>
      <c r="O281" s="66"/>
      <c r="P281" s="66"/>
      <c r="Q281" s="66"/>
      <c r="R281" s="72"/>
      <c r="S281" s="24"/>
      <c r="Y281" s="14"/>
      <c r="Z281" s="24"/>
      <c r="AG281" s="24"/>
      <c r="AM281" s="14"/>
      <c r="AU281" s="24"/>
      <c r="AW281" s="8" t="s">
        <v>708</v>
      </c>
      <c r="BK281" s="24"/>
      <c r="BO281" s="14"/>
      <c r="BP281" s="14"/>
      <c r="BQ281" s="45" t="s">
        <v>804</v>
      </c>
    </row>
    <row r="282" spans="1:69">
      <c r="A282" s="24"/>
      <c r="B282" s="24"/>
      <c r="K282" s="14"/>
      <c r="L282" s="71"/>
      <c r="M282" s="66"/>
      <c r="N282" s="66"/>
      <c r="O282" s="66"/>
      <c r="P282" s="66"/>
      <c r="Q282" s="66"/>
      <c r="R282" s="72"/>
      <c r="S282" s="24"/>
      <c r="Y282" s="14"/>
      <c r="Z282" s="24"/>
      <c r="AG282" s="24"/>
      <c r="AM282" s="14"/>
      <c r="AU282" s="24"/>
      <c r="AW282" s="8" t="s">
        <v>834</v>
      </c>
      <c r="AY282" s="11"/>
      <c r="BK282" s="24"/>
      <c r="BO282" s="14"/>
      <c r="BP282" s="14"/>
      <c r="BQ282" s="8" t="s">
        <v>812</v>
      </c>
    </row>
    <row r="283" spans="1:69">
      <c r="A283" s="24"/>
      <c r="B283" s="24"/>
      <c r="K283" s="14"/>
      <c r="L283" s="71"/>
      <c r="M283" s="66"/>
      <c r="N283" s="66"/>
      <c r="O283" s="66"/>
      <c r="P283" s="66"/>
      <c r="Q283" s="66"/>
      <c r="R283" s="72"/>
      <c r="S283" s="24"/>
      <c r="Y283" s="14"/>
      <c r="Z283" s="24"/>
      <c r="AG283" s="24"/>
      <c r="AM283" s="14"/>
      <c r="AU283" s="24"/>
      <c r="AV283" s="11"/>
      <c r="AW283" s="86" t="s">
        <v>637</v>
      </c>
      <c r="AX283" s="87"/>
      <c r="AY283" s="87"/>
      <c r="AZ283" s="87"/>
      <c r="BA283" s="87"/>
      <c r="BB283" s="87"/>
      <c r="BC283" s="87"/>
      <c r="BD283" s="87"/>
      <c r="BE283" s="87"/>
      <c r="BF283" s="87"/>
      <c r="BG283" s="87"/>
      <c r="BH283" s="87"/>
      <c r="BI283" s="88"/>
      <c r="BK283" s="24"/>
      <c r="BO283" s="14"/>
      <c r="BP283" s="14"/>
    </row>
    <row r="284" spans="1:69">
      <c r="A284" s="24"/>
      <c r="B284" s="24"/>
      <c r="K284" s="14"/>
      <c r="L284" s="71"/>
      <c r="M284" s="66"/>
      <c r="N284" s="66"/>
      <c r="O284" s="66"/>
      <c r="P284" s="66"/>
      <c r="Q284" s="66"/>
      <c r="R284" s="72"/>
      <c r="S284" s="24"/>
      <c r="Y284" s="14"/>
      <c r="Z284" s="24"/>
      <c r="AG284" s="24"/>
      <c r="AM284" s="14"/>
      <c r="AU284" s="24"/>
      <c r="AV284" s="11"/>
      <c r="AW284" s="89" t="s">
        <v>697</v>
      </c>
      <c r="AX284" s="90"/>
      <c r="AY284" s="90"/>
      <c r="AZ284" s="90"/>
      <c r="BA284" s="90"/>
      <c r="BB284" s="90"/>
      <c r="BC284" s="90"/>
      <c r="BD284" s="89" t="s">
        <v>638</v>
      </c>
      <c r="BE284" s="90"/>
      <c r="BF284" s="90"/>
      <c r="BG284" s="90"/>
      <c r="BH284" s="90"/>
      <c r="BI284" s="91"/>
      <c r="BK284" s="24"/>
      <c r="BO284" s="14"/>
      <c r="BP284" s="14"/>
    </row>
    <row r="285" spans="1:69">
      <c r="A285" s="24"/>
      <c r="B285" s="24"/>
      <c r="K285" s="14"/>
      <c r="L285" s="71"/>
      <c r="M285" s="66"/>
      <c r="N285" s="66"/>
      <c r="O285" s="66"/>
      <c r="P285" s="66"/>
      <c r="Q285" s="66"/>
      <c r="R285" s="72"/>
      <c r="S285" s="24"/>
      <c r="Y285" s="14"/>
      <c r="Z285" s="24"/>
      <c r="AG285" s="24"/>
      <c r="AM285" s="14"/>
      <c r="AU285" s="24"/>
      <c r="AV285" s="11"/>
      <c r="AW285" s="11" t="s">
        <v>711</v>
      </c>
      <c r="AX285" s="11"/>
      <c r="AY285" s="11"/>
      <c r="BK285" s="24"/>
      <c r="BO285" s="14"/>
      <c r="BP285" s="14"/>
    </row>
    <row r="286" spans="1:69">
      <c r="A286" s="24"/>
      <c r="B286" s="24"/>
      <c r="K286" s="14"/>
      <c r="L286" s="71"/>
      <c r="M286" s="66"/>
      <c r="N286" s="66"/>
      <c r="O286" s="66"/>
      <c r="P286" s="66"/>
      <c r="Q286" s="66"/>
      <c r="R286" s="72"/>
      <c r="S286" s="24"/>
      <c r="Y286" s="14"/>
      <c r="Z286" s="24"/>
      <c r="AG286" s="24"/>
      <c r="AM286" s="14"/>
      <c r="AU286" s="24"/>
      <c r="AV286" s="11"/>
      <c r="AW286" s="11"/>
      <c r="AX286" s="11"/>
      <c r="AY286" s="11"/>
      <c r="BK286" s="24"/>
      <c r="BO286" s="14"/>
      <c r="BP286" s="14"/>
    </row>
    <row r="287" spans="1:69">
      <c r="A287" s="24"/>
      <c r="B287" s="24"/>
      <c r="K287" s="14"/>
      <c r="L287" s="71"/>
      <c r="M287" s="66"/>
      <c r="N287" s="66"/>
      <c r="O287" s="66"/>
      <c r="P287" s="66"/>
      <c r="Q287" s="66"/>
      <c r="R287" s="72"/>
      <c r="S287" s="24"/>
      <c r="Y287" s="14"/>
      <c r="Z287" s="24"/>
      <c r="AG287" s="24"/>
      <c r="AM287" s="14"/>
      <c r="AU287" s="24"/>
      <c r="AV287" s="11"/>
      <c r="AW287" s="11"/>
      <c r="AX287" s="11"/>
      <c r="AY287" s="11"/>
      <c r="BK287" s="24"/>
      <c r="BO287" s="14"/>
      <c r="BP287" s="14"/>
    </row>
    <row r="288" spans="1:69">
      <c r="A288" s="24"/>
      <c r="B288" s="24"/>
      <c r="K288" s="14"/>
      <c r="L288" s="71"/>
      <c r="M288" s="66"/>
      <c r="N288" s="66"/>
      <c r="O288" s="66"/>
      <c r="P288" s="66"/>
      <c r="Q288" s="66"/>
      <c r="R288" s="72"/>
      <c r="S288" s="24"/>
      <c r="Y288" s="14"/>
      <c r="Z288" s="24"/>
      <c r="AG288" s="24"/>
      <c r="AM288" s="14"/>
      <c r="AU288" s="24"/>
      <c r="AV288" s="11"/>
      <c r="AW288" s="11"/>
      <c r="AX288" s="11"/>
      <c r="AY288" s="11"/>
      <c r="BK288" s="24"/>
      <c r="BO288" s="14"/>
      <c r="BP288" s="14"/>
    </row>
    <row r="289" spans="1:68">
      <c r="A289" s="24"/>
      <c r="B289" s="24"/>
      <c r="K289" s="14"/>
      <c r="L289" s="71"/>
      <c r="M289" s="66"/>
      <c r="N289" s="66"/>
      <c r="O289" s="66"/>
      <c r="P289" s="66"/>
      <c r="Q289" s="66"/>
      <c r="R289" s="72"/>
      <c r="S289" s="24"/>
      <c r="Y289" s="14"/>
      <c r="Z289" s="24"/>
      <c r="AG289" s="24"/>
      <c r="AM289" s="14"/>
      <c r="AU289" s="24"/>
      <c r="AV289" s="16" t="s">
        <v>712</v>
      </c>
      <c r="BK289" s="24"/>
      <c r="BO289" s="14"/>
      <c r="BP289" s="14"/>
    </row>
    <row r="290" spans="1:68">
      <c r="A290" s="24"/>
      <c r="B290" s="24"/>
      <c r="K290" s="14"/>
      <c r="L290" s="71"/>
      <c r="M290" s="66"/>
      <c r="N290" s="66"/>
      <c r="O290" s="66"/>
      <c r="P290" s="66"/>
      <c r="Q290" s="66"/>
      <c r="R290" s="72"/>
      <c r="S290" s="24"/>
      <c r="Y290" s="14"/>
      <c r="Z290" s="24"/>
      <c r="AG290" s="24"/>
      <c r="AM290" s="14"/>
      <c r="AU290" s="24"/>
      <c r="AW290" s="8" t="s">
        <v>713</v>
      </c>
      <c r="BK290" s="24"/>
      <c r="BO290" s="14"/>
      <c r="BP290" s="14"/>
    </row>
    <row r="291" spans="1:68">
      <c r="A291" s="24"/>
      <c r="B291" s="24"/>
      <c r="K291" s="14"/>
      <c r="L291" s="71"/>
      <c r="M291" s="66"/>
      <c r="N291" s="66"/>
      <c r="O291" s="66"/>
      <c r="P291" s="66"/>
      <c r="Q291" s="66"/>
      <c r="R291" s="72"/>
      <c r="S291" s="24"/>
      <c r="Y291" s="14"/>
      <c r="Z291" s="24"/>
      <c r="AG291" s="24"/>
      <c r="AM291" s="14"/>
      <c r="AU291" s="24"/>
      <c r="AW291" s="8" t="s">
        <v>118</v>
      </c>
      <c r="AX291" s="8" t="s">
        <v>714</v>
      </c>
      <c r="BK291" s="24"/>
      <c r="BO291" s="14"/>
      <c r="BP291" s="14"/>
    </row>
    <row r="292" spans="1:68">
      <c r="A292" s="24"/>
      <c r="B292" s="24"/>
      <c r="K292" s="14"/>
      <c r="L292" s="71"/>
      <c r="M292" s="66"/>
      <c r="N292" s="66"/>
      <c r="O292" s="66"/>
      <c r="P292" s="66"/>
      <c r="Q292" s="66"/>
      <c r="R292" s="72"/>
      <c r="S292" s="24"/>
      <c r="Y292" s="14"/>
      <c r="Z292" s="24"/>
      <c r="AG292" s="24"/>
      <c r="AM292" s="14"/>
      <c r="AU292" s="24"/>
      <c r="BK292" s="24"/>
      <c r="BO292" s="14"/>
      <c r="BP292" s="14"/>
    </row>
    <row r="293" spans="1:68">
      <c r="A293" s="24"/>
      <c r="B293" s="24"/>
      <c r="K293" s="14"/>
      <c r="L293" s="71"/>
      <c r="M293" s="66"/>
      <c r="N293" s="66"/>
      <c r="O293" s="66"/>
      <c r="P293" s="66"/>
      <c r="Q293" s="66"/>
      <c r="R293" s="72"/>
      <c r="S293" s="24"/>
      <c r="Y293" s="14"/>
      <c r="Z293" s="24"/>
      <c r="AG293" s="24"/>
      <c r="AM293" s="14"/>
      <c r="AU293" s="24"/>
      <c r="BK293" s="24"/>
      <c r="BO293" s="14"/>
      <c r="BP293" s="14"/>
    </row>
    <row r="294" spans="1:68">
      <c r="A294" s="24"/>
      <c r="B294" s="24"/>
      <c r="K294" s="14"/>
      <c r="L294" s="71"/>
      <c r="M294" s="66"/>
      <c r="N294" s="66"/>
      <c r="O294" s="66"/>
      <c r="P294" s="66"/>
      <c r="Q294" s="66"/>
      <c r="R294" s="72"/>
      <c r="S294" s="24"/>
      <c r="Y294" s="14"/>
      <c r="Z294" s="24"/>
      <c r="AG294" s="24"/>
      <c r="AM294" s="14"/>
      <c r="AU294" s="24"/>
      <c r="BK294" s="24"/>
      <c r="BO294" s="14"/>
      <c r="BP294" s="14"/>
    </row>
    <row r="295" spans="1:68">
      <c r="A295" s="24"/>
      <c r="B295" s="24"/>
      <c r="K295" s="14"/>
      <c r="L295" s="71"/>
      <c r="M295" s="66"/>
      <c r="N295" s="66"/>
      <c r="O295" s="66"/>
      <c r="P295" s="66"/>
      <c r="Q295" s="66"/>
      <c r="R295" s="72"/>
      <c r="S295" s="24"/>
      <c r="Y295" s="14"/>
      <c r="Z295" s="24"/>
      <c r="AG295" s="24"/>
      <c r="AM295" s="14"/>
      <c r="AU295" s="24"/>
      <c r="AV295" s="16" t="s">
        <v>715</v>
      </c>
      <c r="BK295" s="24"/>
      <c r="BO295" s="14"/>
      <c r="BP295" s="14"/>
    </row>
    <row r="296" spans="1:68">
      <c r="A296" s="24"/>
      <c r="B296" s="24"/>
      <c r="K296" s="14"/>
      <c r="L296" s="71"/>
      <c r="M296" s="66"/>
      <c r="N296" s="66"/>
      <c r="O296" s="66"/>
      <c r="P296" s="66"/>
      <c r="Q296" s="66"/>
      <c r="R296" s="72"/>
      <c r="S296" s="24"/>
      <c r="Y296" s="14"/>
      <c r="Z296" s="24"/>
      <c r="AG296" s="24"/>
      <c r="AM296" s="14"/>
      <c r="AU296" s="24"/>
      <c r="AW296" s="8" t="s">
        <v>682</v>
      </c>
      <c r="BK296" s="24"/>
      <c r="BO296" s="14"/>
      <c r="BP296" s="14"/>
    </row>
    <row r="297" spans="1:68">
      <c r="A297" s="24"/>
      <c r="B297" s="24"/>
      <c r="K297" s="14"/>
      <c r="L297" s="71"/>
      <c r="M297" s="66"/>
      <c r="N297" s="66"/>
      <c r="O297" s="66"/>
      <c r="P297" s="66"/>
      <c r="Q297" s="66"/>
      <c r="R297" s="72"/>
      <c r="S297" s="24"/>
      <c r="Y297" s="14"/>
      <c r="Z297" s="24"/>
      <c r="AG297" s="24"/>
      <c r="AM297" s="14"/>
      <c r="AU297" s="24"/>
      <c r="AW297" s="8" t="s">
        <v>118</v>
      </c>
      <c r="AX297" s="8" t="s">
        <v>714</v>
      </c>
      <c r="BK297" s="24"/>
      <c r="BO297" s="14"/>
      <c r="BP297" s="14"/>
    </row>
    <row r="298" spans="1:68">
      <c r="A298" s="24"/>
      <c r="B298" s="24"/>
      <c r="K298" s="14"/>
      <c r="L298" s="71"/>
      <c r="M298" s="66"/>
      <c r="N298" s="66"/>
      <c r="O298" s="66"/>
      <c r="P298" s="66"/>
      <c r="Q298" s="66"/>
      <c r="R298" s="72"/>
      <c r="S298" s="24"/>
      <c r="Y298" s="14"/>
      <c r="Z298" s="24"/>
      <c r="AG298" s="24"/>
      <c r="AM298" s="14"/>
      <c r="AU298" s="24"/>
      <c r="BK298" s="24"/>
      <c r="BO298" s="14"/>
      <c r="BP298" s="14"/>
    </row>
    <row r="299" spans="1:68">
      <c r="A299" s="24"/>
      <c r="B299" s="24"/>
      <c r="K299" s="14"/>
      <c r="L299" s="71"/>
      <c r="M299" s="66"/>
      <c r="N299" s="66"/>
      <c r="O299" s="66"/>
      <c r="P299" s="66"/>
      <c r="Q299" s="66"/>
      <c r="R299" s="72"/>
      <c r="S299" s="24"/>
      <c r="Y299" s="14"/>
      <c r="Z299" s="24"/>
      <c r="AG299" s="24"/>
      <c r="AM299" s="14"/>
      <c r="AU299" s="24"/>
      <c r="AV299" s="11"/>
      <c r="AW299" s="11"/>
      <c r="AX299" s="11"/>
      <c r="AY299" s="11"/>
      <c r="BK299" s="24"/>
      <c r="BO299" s="14"/>
      <c r="BP299" s="14"/>
    </row>
    <row r="300" spans="1:68">
      <c r="A300" s="24"/>
      <c r="B300" s="24"/>
      <c r="K300" s="14"/>
      <c r="L300" s="71"/>
      <c r="M300" s="66"/>
      <c r="N300" s="66"/>
      <c r="O300" s="66"/>
      <c r="P300" s="66"/>
      <c r="Q300" s="66"/>
      <c r="R300" s="72"/>
      <c r="S300" s="24"/>
      <c r="Y300" s="14"/>
      <c r="Z300" s="24"/>
      <c r="AG300" s="24"/>
      <c r="AM300" s="14"/>
      <c r="AU300" s="24"/>
      <c r="AV300" s="11"/>
      <c r="AW300" s="11"/>
      <c r="AX300" s="11"/>
      <c r="AY300" s="11"/>
      <c r="BK300" s="24"/>
      <c r="BO300" s="14"/>
      <c r="BP300" s="14"/>
    </row>
    <row r="301" spans="1:68">
      <c r="A301" s="24"/>
      <c r="B301" s="24"/>
      <c r="K301" s="14"/>
      <c r="L301" s="71"/>
      <c r="M301" s="66"/>
      <c r="N301" s="66"/>
      <c r="O301" s="66"/>
      <c r="P301" s="66"/>
      <c r="Q301" s="66"/>
      <c r="R301" s="72"/>
      <c r="S301" s="24"/>
      <c r="Y301" s="14"/>
      <c r="Z301" s="24"/>
      <c r="AG301" s="24"/>
      <c r="AM301" s="14"/>
      <c r="AU301" s="24"/>
      <c r="AV301" s="11"/>
      <c r="AW301" s="11"/>
      <c r="AX301" s="11"/>
      <c r="AY301" s="11"/>
      <c r="BK301" s="24"/>
      <c r="BO301" s="14"/>
      <c r="BP301" s="14"/>
    </row>
    <row r="302" spans="1:68">
      <c r="A302" s="24"/>
      <c r="B302" s="24"/>
      <c r="K302" s="14"/>
      <c r="L302" s="71"/>
      <c r="M302" s="66"/>
      <c r="N302" s="66"/>
      <c r="O302" s="66"/>
      <c r="P302" s="66"/>
      <c r="Q302" s="66"/>
      <c r="R302" s="72"/>
      <c r="S302" s="24"/>
      <c r="Y302" s="14"/>
      <c r="Z302" s="24"/>
      <c r="AG302" s="24"/>
      <c r="AM302" s="14"/>
      <c r="AU302" s="24"/>
      <c r="AV302" s="11"/>
      <c r="AW302" s="11"/>
      <c r="AX302" s="11"/>
      <c r="AY302" s="11"/>
      <c r="BK302" s="24"/>
      <c r="BO302" s="14"/>
      <c r="BP302" s="14"/>
    </row>
    <row r="303" spans="1:68">
      <c r="A303" s="24"/>
      <c r="B303" s="24"/>
      <c r="K303" s="14"/>
      <c r="L303" s="71"/>
      <c r="M303" s="66"/>
      <c r="N303" s="66"/>
      <c r="O303" s="66"/>
      <c r="P303" s="66"/>
      <c r="Q303" s="66"/>
      <c r="R303" s="72"/>
      <c r="S303" s="24"/>
      <c r="Y303" s="14"/>
      <c r="Z303" s="24"/>
      <c r="AG303" s="24"/>
      <c r="AM303" s="14"/>
      <c r="AU303" s="24"/>
      <c r="AV303" s="16" t="s">
        <v>716</v>
      </c>
      <c r="BK303" s="24"/>
      <c r="BO303" s="14"/>
      <c r="BP303" s="14"/>
    </row>
    <row r="304" spans="1:68">
      <c r="A304" s="24"/>
      <c r="B304" s="24"/>
      <c r="K304" s="14"/>
      <c r="L304" s="71"/>
      <c r="M304" s="66"/>
      <c r="N304" s="66"/>
      <c r="O304" s="66"/>
      <c r="P304" s="66"/>
      <c r="Q304" s="66"/>
      <c r="R304" s="72"/>
      <c r="S304" s="24"/>
      <c r="Y304" s="14"/>
      <c r="Z304" s="24"/>
      <c r="AG304" s="24"/>
      <c r="AM304" s="14"/>
      <c r="AU304" s="24"/>
      <c r="AW304" s="8" t="s">
        <v>717</v>
      </c>
      <c r="BK304" s="24"/>
      <c r="BO304" s="14"/>
      <c r="BP304" s="14"/>
    </row>
    <row r="305" spans="1:68">
      <c r="A305" s="24"/>
      <c r="B305" s="24"/>
      <c r="K305" s="14"/>
      <c r="L305" s="71"/>
      <c r="M305" s="66"/>
      <c r="N305" s="66"/>
      <c r="O305" s="66"/>
      <c r="P305" s="66"/>
      <c r="Q305" s="66"/>
      <c r="R305" s="72"/>
      <c r="S305" s="24"/>
      <c r="Y305" s="14"/>
      <c r="Z305" s="24"/>
      <c r="AG305" s="24"/>
      <c r="AM305" s="14"/>
      <c r="AU305" s="24"/>
      <c r="AW305" s="8" t="s">
        <v>118</v>
      </c>
      <c r="AX305" s="8" t="s">
        <v>714</v>
      </c>
      <c r="AY305" s="11"/>
      <c r="BK305" s="24"/>
      <c r="BO305" s="14"/>
      <c r="BP305" s="14"/>
    </row>
    <row r="306" spans="1:68">
      <c r="A306" s="24"/>
      <c r="B306" s="24"/>
      <c r="K306" s="14"/>
      <c r="L306" s="71"/>
      <c r="M306" s="66"/>
      <c r="N306" s="66"/>
      <c r="O306" s="66"/>
      <c r="P306" s="66"/>
      <c r="Q306" s="66"/>
      <c r="R306" s="72"/>
      <c r="S306" s="24"/>
      <c r="Y306" s="14"/>
      <c r="Z306" s="24"/>
      <c r="AG306" s="24"/>
      <c r="AM306" s="14"/>
      <c r="AU306" s="24"/>
      <c r="AW306" s="86" t="s">
        <v>637</v>
      </c>
      <c r="AX306" s="87"/>
      <c r="AY306" s="87"/>
      <c r="AZ306" s="87"/>
      <c r="BA306" s="87"/>
      <c r="BB306" s="87"/>
      <c r="BC306" s="87"/>
      <c r="BD306" s="87"/>
      <c r="BE306" s="87"/>
      <c r="BF306" s="87"/>
      <c r="BG306" s="88"/>
      <c r="BK306" s="24"/>
      <c r="BO306" s="14"/>
      <c r="BP306" s="14"/>
    </row>
    <row r="307" spans="1:68">
      <c r="A307" s="24"/>
      <c r="B307" s="24"/>
      <c r="K307" s="14"/>
      <c r="L307" s="71"/>
      <c r="M307" s="66"/>
      <c r="N307" s="66"/>
      <c r="O307" s="66"/>
      <c r="P307" s="66"/>
      <c r="Q307" s="66"/>
      <c r="R307" s="72"/>
      <c r="S307" s="24"/>
      <c r="Y307" s="14"/>
      <c r="Z307" s="24"/>
      <c r="AG307" s="24"/>
      <c r="AM307" s="14"/>
      <c r="AU307" s="24"/>
      <c r="AW307" s="89" t="s">
        <v>638</v>
      </c>
      <c r="AX307" s="90"/>
      <c r="AY307" s="90"/>
      <c r="AZ307" s="90"/>
      <c r="BA307" s="90"/>
      <c r="BB307" s="65" t="s">
        <v>696</v>
      </c>
      <c r="BC307" s="90"/>
      <c r="BD307" s="90"/>
      <c r="BE307" s="90"/>
      <c r="BF307" s="90"/>
      <c r="BG307" s="91"/>
      <c r="BK307" s="24"/>
      <c r="BO307" s="14"/>
      <c r="BP307" s="14"/>
    </row>
    <row r="308" spans="1:68">
      <c r="A308" s="24"/>
      <c r="B308" s="24"/>
      <c r="K308" s="14"/>
      <c r="L308" s="71"/>
      <c r="M308" s="66"/>
      <c r="N308" s="66"/>
      <c r="O308" s="66"/>
      <c r="P308" s="66"/>
      <c r="Q308" s="66"/>
      <c r="R308" s="72"/>
      <c r="S308" s="24"/>
      <c r="Y308" s="14"/>
      <c r="Z308" s="24"/>
      <c r="AG308" s="24"/>
      <c r="AM308" s="14"/>
      <c r="AU308" s="24"/>
      <c r="AW308" s="45" t="s">
        <v>118</v>
      </c>
      <c r="AX308" s="45" t="s">
        <v>640</v>
      </c>
      <c r="BK308" s="24"/>
      <c r="BO308" s="14"/>
      <c r="BP308" s="14"/>
    </row>
    <row r="309" spans="1:68">
      <c r="A309" s="24"/>
      <c r="B309" s="24"/>
      <c r="K309" s="14"/>
      <c r="L309" s="71"/>
      <c r="M309" s="66"/>
      <c r="N309" s="66"/>
      <c r="O309" s="66"/>
      <c r="P309" s="66"/>
      <c r="Q309" s="66"/>
      <c r="R309" s="72"/>
      <c r="S309" s="24"/>
      <c r="Y309" s="14"/>
      <c r="Z309" s="24"/>
      <c r="AG309" s="24"/>
      <c r="AM309" s="14"/>
      <c r="AU309" s="24"/>
      <c r="AW309" s="45"/>
      <c r="AX309" s="45"/>
      <c r="BK309" s="24"/>
      <c r="BO309" s="14"/>
      <c r="BP309" s="14"/>
    </row>
    <row r="310" spans="1:68">
      <c r="A310" s="24"/>
      <c r="B310" s="24"/>
      <c r="K310" s="14"/>
      <c r="L310" s="71"/>
      <c r="M310" s="66"/>
      <c r="N310" s="66"/>
      <c r="O310" s="66"/>
      <c r="P310" s="66"/>
      <c r="Q310" s="66"/>
      <c r="R310" s="72"/>
      <c r="S310" s="24"/>
      <c r="Y310" s="14"/>
      <c r="Z310" s="24"/>
      <c r="AG310" s="24"/>
      <c r="AM310" s="14"/>
      <c r="AU310" s="24"/>
      <c r="AV310" s="11"/>
      <c r="AW310" s="11"/>
      <c r="AX310" s="11"/>
      <c r="AY310" s="11"/>
      <c r="BK310" s="24"/>
      <c r="BO310" s="14"/>
      <c r="BP310" s="14"/>
    </row>
    <row r="311" spans="1:68">
      <c r="A311" s="24"/>
      <c r="B311" s="24"/>
      <c r="K311" s="14"/>
      <c r="L311" s="71"/>
      <c r="M311" s="66"/>
      <c r="N311" s="66"/>
      <c r="O311" s="66"/>
      <c r="P311" s="66"/>
      <c r="Q311" s="66"/>
      <c r="R311" s="72"/>
      <c r="S311" s="24"/>
      <c r="Y311" s="14"/>
      <c r="Z311" s="24"/>
      <c r="AG311" s="24"/>
      <c r="AM311" s="14"/>
      <c r="AU311" s="24"/>
      <c r="AV311" s="11"/>
      <c r="AW311" s="11"/>
      <c r="BK311" s="24"/>
      <c r="BO311" s="14"/>
      <c r="BP311" s="14"/>
    </row>
    <row r="312" spans="1:68">
      <c r="A312" s="24"/>
      <c r="B312" s="24"/>
      <c r="K312" s="14"/>
      <c r="L312" s="71"/>
      <c r="M312" s="66"/>
      <c r="N312" s="66"/>
      <c r="O312" s="66"/>
      <c r="P312" s="66"/>
      <c r="Q312" s="66"/>
      <c r="R312" s="72"/>
      <c r="S312" s="24"/>
      <c r="Y312" s="14"/>
      <c r="Z312" s="24"/>
      <c r="AG312" s="24"/>
      <c r="AM312" s="14"/>
      <c r="AU312" s="24"/>
      <c r="AV312" s="11"/>
      <c r="AW312" s="11"/>
      <c r="BK312" s="24"/>
      <c r="BO312" s="14"/>
      <c r="BP312" s="14"/>
    </row>
    <row r="313" spans="1:68">
      <c r="A313" s="24"/>
      <c r="B313" s="24"/>
      <c r="K313" s="14"/>
      <c r="L313" s="71"/>
      <c r="M313" s="66"/>
      <c r="N313" s="66"/>
      <c r="O313" s="66"/>
      <c r="P313" s="66"/>
      <c r="Q313" s="66"/>
      <c r="R313" s="72"/>
      <c r="S313" s="24"/>
      <c r="Y313" s="14"/>
      <c r="Z313" s="24"/>
      <c r="AG313" s="24"/>
      <c r="AM313" s="14"/>
      <c r="AU313" s="24"/>
      <c r="AV313" s="11"/>
      <c r="AW313" s="11"/>
      <c r="AY313" s="11"/>
      <c r="BK313" s="24"/>
      <c r="BO313" s="14"/>
      <c r="BP313" s="14"/>
    </row>
    <row r="314" spans="1:68">
      <c r="A314" s="24"/>
      <c r="B314" s="24"/>
      <c r="K314" s="14"/>
      <c r="L314" s="71"/>
      <c r="M314" s="66"/>
      <c r="N314" s="66"/>
      <c r="O314" s="66"/>
      <c r="P314" s="66"/>
      <c r="Q314" s="66"/>
      <c r="R314" s="72"/>
      <c r="S314" s="24"/>
      <c r="Y314" s="14"/>
      <c r="Z314" s="24"/>
      <c r="AG314" s="24"/>
      <c r="AM314" s="14"/>
      <c r="AU314" s="24"/>
      <c r="AV314" s="11"/>
      <c r="AW314" s="11"/>
      <c r="AX314" s="11"/>
      <c r="AY314" s="11"/>
      <c r="BK314" s="24"/>
      <c r="BO314" s="14"/>
      <c r="BP314" s="14"/>
    </row>
    <row r="315" spans="1:68">
      <c r="A315" s="42"/>
      <c r="B315" s="41"/>
      <c r="C315" s="10"/>
      <c r="D315" s="10"/>
      <c r="E315" s="10"/>
      <c r="F315" s="10"/>
      <c r="G315" s="10"/>
      <c r="H315" s="10"/>
      <c r="I315" s="10"/>
      <c r="J315" s="10"/>
      <c r="K315" s="15"/>
      <c r="L315" s="81"/>
      <c r="M315" s="67"/>
      <c r="N315" s="67"/>
      <c r="O315" s="67"/>
      <c r="P315" s="67"/>
      <c r="Q315" s="67"/>
      <c r="R315" s="108"/>
      <c r="S315" s="41"/>
      <c r="T315" s="10"/>
      <c r="U315" s="10"/>
      <c r="V315" s="10"/>
      <c r="W315" s="10"/>
      <c r="X315" s="10"/>
      <c r="Y315" s="15"/>
      <c r="Z315" s="41"/>
      <c r="AA315" s="10"/>
      <c r="AB315" s="10"/>
      <c r="AC315" s="10"/>
      <c r="AD315" s="10"/>
      <c r="AE315" s="10"/>
      <c r="AF315" s="10"/>
      <c r="AG315" s="41"/>
      <c r="AH315" s="10"/>
      <c r="AI315" s="10"/>
      <c r="AJ315" s="10"/>
      <c r="AK315" s="10"/>
      <c r="AL315" s="10"/>
      <c r="AM315" s="15"/>
      <c r="AN315" s="10"/>
      <c r="AO315" s="10"/>
      <c r="AP315" s="10"/>
      <c r="AQ315" s="10"/>
      <c r="AR315" s="10"/>
      <c r="AS315" s="10"/>
      <c r="AT315" s="10"/>
      <c r="AU315" s="41"/>
      <c r="AV315" s="60"/>
      <c r="AW315" s="10"/>
      <c r="AX315" s="32"/>
      <c r="AY315" s="32"/>
      <c r="AZ315" s="10"/>
      <c r="BA315" s="10"/>
      <c r="BB315" s="10"/>
      <c r="BC315" s="10"/>
      <c r="BD315" s="10"/>
      <c r="BE315" s="10"/>
      <c r="BF315" s="10"/>
      <c r="BG315" s="10"/>
      <c r="BH315" s="10"/>
      <c r="BI315" s="10"/>
      <c r="BJ315" s="10"/>
      <c r="BK315" s="41"/>
      <c r="BL315" s="10"/>
      <c r="BM315" s="10"/>
      <c r="BN315" s="10"/>
      <c r="BO315" s="15"/>
      <c r="BP315" s="42"/>
    </row>
    <row r="316" spans="1:68">
      <c r="A316" s="24"/>
      <c r="L316" s="66"/>
      <c r="M316" s="66"/>
      <c r="N316" s="66"/>
      <c r="O316" s="66"/>
      <c r="P316" s="66"/>
      <c r="Q316" s="66"/>
      <c r="R316" s="66"/>
      <c r="AV316" s="11"/>
      <c r="AX316" s="11"/>
      <c r="AY316" s="11"/>
      <c r="BP316" s="14"/>
    </row>
    <row r="317" spans="1:68">
      <c r="A317" s="41"/>
      <c r="B317" s="10"/>
      <c r="C317" s="10"/>
      <c r="D317" s="10"/>
      <c r="E317" s="10"/>
      <c r="F317" s="10"/>
      <c r="G317" s="10"/>
      <c r="H317" s="10"/>
      <c r="I317" s="10"/>
      <c r="J317" s="10"/>
      <c r="K317" s="10"/>
      <c r="L317" s="67"/>
      <c r="M317" s="67"/>
      <c r="N317" s="67"/>
      <c r="O317" s="67"/>
      <c r="P317" s="67"/>
      <c r="Q317" s="67"/>
      <c r="R317" s="67"/>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5"/>
    </row>
  </sheetData>
  <mergeCells count="26">
    <mergeCell ref="AX1:BC1"/>
    <mergeCell ref="BK8:BO9"/>
    <mergeCell ref="Z9:AF9"/>
    <mergeCell ref="AG9:AM9"/>
    <mergeCell ref="AN9:AT9"/>
    <mergeCell ref="AX2:BC2"/>
    <mergeCell ref="AQ3:AR3"/>
    <mergeCell ref="AS3:AW3"/>
    <mergeCell ref="AX3:BC3"/>
    <mergeCell ref="A4:AB4"/>
    <mergeCell ref="B8:K9"/>
    <mergeCell ref="Z8:AM8"/>
    <mergeCell ref="AN8:AT8"/>
    <mergeCell ref="AU8:BJ9"/>
    <mergeCell ref="A2:E3"/>
    <mergeCell ref="AS2:AW2"/>
    <mergeCell ref="A1:E1"/>
    <mergeCell ref="F1:AB1"/>
    <mergeCell ref="AC1:AP1"/>
    <mergeCell ref="AQ1:AW1"/>
    <mergeCell ref="F2:AB3"/>
    <mergeCell ref="L8:Y8"/>
    <mergeCell ref="L9:R9"/>
    <mergeCell ref="S9:Y9"/>
    <mergeCell ref="AC2:AP3"/>
    <mergeCell ref="AQ2:AR2"/>
  </mergeCells>
  <phoneticPr fontId="3"/>
  <pageMargins left="0.7" right="0.7" top="0.75" bottom="0.75" header="0.3" footer="0.3"/>
  <pageSetup paperSize="9" scale="69" fitToHeight="0" orientation="portrait"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E5C748-0E82-465F-AAE2-69FF9B02017C}"/>
</file>

<file path=customXml/itemProps2.xml><?xml version="1.0" encoding="utf-8"?>
<ds:datastoreItem xmlns:ds="http://schemas.openxmlformats.org/officeDocument/2006/customXml" ds:itemID="{948F63B8-687F-4A71-9AB3-2F58A894E098}"/>
</file>

<file path=customXml/itemProps3.xml><?xml version="1.0" encoding="utf-8"?>
<ds:datastoreItem xmlns:ds="http://schemas.openxmlformats.org/officeDocument/2006/customXml" ds:itemID="{CFA8C942-3B47-4776-8BDA-17699C526566}"/>
</file>

<file path=docMetadata/LabelInfo.xml><?xml version="1.0" encoding="utf-8"?>
<clbl:labelList xmlns:clbl="http://schemas.microsoft.com/office/2020/mipLabelMetadata">
  <clbl:label id="{c19c5025-2d5a-4151-b81a-f8ad855b3a14}" enabled="0" method="" siteId="{c19c5025-2d5a-4151-b81a-f8ad855b3a1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Ida, Mizuho</cp:lastModifiedBy>
  <cp:revision/>
  <dcterms:created xsi:type="dcterms:W3CDTF">2018-11-08T07:18:29Z</dcterms:created>
  <dcterms:modified xsi:type="dcterms:W3CDTF">2026-06-25T01:38:25Z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