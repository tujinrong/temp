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9_移行・非機能/02_非機能要件/"/>
    </mc:Choice>
  </mc:AlternateContent>
  <xr:revisionPtr revIDLastSave="164" documentId="13_ncr:1_{2253113C-C319-418A-A953-1CB647FC2160}" xr6:coauthVersionLast="47" xr6:coauthVersionMax="47" xr10:uidLastSave="{913D49F4-8976-4CE3-9870-FCD775BBE27F}"/>
  <bookViews>
    <workbookView xWindow="28680" yWindow="-120" windowWidth="29040" windowHeight="15720" activeTab="2" xr2:uid="{1B2EF8B0-33B7-483C-BAA5-327DC2C56A29}"/>
  </bookViews>
  <sheets>
    <sheet name="表紙" sheetId="4" r:id="rId1"/>
    <sheet name="変更履歴" sheetId="13" r:id="rId2"/>
    <sheet name="認証・セキュリティ" sheetId="10" r:id="rId3"/>
    <sheet name="障害発生時の対応" sheetId="1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A1">[1]承認票!$J$2</definedName>
    <definedName name="__f05">#REF!</definedName>
    <definedName name="_1印">[2]社員リスト!#REF!</definedName>
    <definedName name="_A1">[1]承認票!$J$2</definedName>
    <definedName name="_DAT1">[3]基本数量単位!#REF!</definedName>
    <definedName name="_DAT2">[3]基本数量単位!#REF!</definedName>
    <definedName name="_DAT4">[3]基本数量単位!#REF!</definedName>
    <definedName name="_DAT5">[3]基本数量単位!#REF!</definedName>
    <definedName name="_f05">#REF!</definedName>
    <definedName name="_Fill" localSheetId="1" hidden="1">#REF!</definedName>
    <definedName name="_Fill" hidden="1">#REF!</definedName>
    <definedName name="_Order1" hidden="1">255</definedName>
    <definedName name="_Order2" hidden="1">255</definedName>
    <definedName name="_Regression_X" hidden="1">#REF!</definedName>
    <definedName name="A">#REF!</definedName>
    <definedName name="aaa">#REF!</definedName>
    <definedName name="aaaaaaaaaaaaaaaaaaaaa">'[4]#REF'!$B$33:$CM$33</definedName>
    <definedName name="aaaaaaaaaaaaaaaaaaaaaaa">'[4]#REF'!$B$34:$CM$34</definedName>
    <definedName name="aaaaaaaaaaaaaaaaaaaaaaaaaaaaaaaa">'[4]#REF'!$B$28:$CM$28</definedName>
    <definedName name="Accounts_for_automatic_transac">#REF!</definedName>
    <definedName name="Address_books">#REF!</definedName>
    <definedName name="adf" hidden="1">#REF!</definedName>
    <definedName name="AS2DocOpenMode" hidden="1">"AS2DocumentEdit"</definedName>
    <definedName name="AX" hidden="1">#REF!</definedName>
    <definedName name="AZ" hidden="1">#REF!</definedName>
    <definedName name="B">#REF!</definedName>
    <definedName name="Balance_control_accounts">#REF!</definedName>
    <definedName name="BASE">#REF!</definedName>
    <definedName name="BASE2">#REF!</definedName>
    <definedName name="BaselineName">'[4]#REF'!$A$31</definedName>
    <definedName name="bbb" hidden="1">#REF!</definedName>
    <definedName name="BPR_POINT">#REF!</definedName>
    <definedName name="Calendar">#REF!</definedName>
    <definedName name="CName">'[4]#REF'!$A$63</definedName>
    <definedName name="Consolidation_groups_and_accou">#REF!</definedName>
    <definedName name="Counties">#REF!</definedName>
    <definedName name="Default_descriptions">#REF!</definedName>
    <definedName name="Dimension_parameters">#REF!</definedName>
    <definedName name="Districts_V2">#REF!</definedName>
    <definedName name="DS_KEYS">#REF!</definedName>
    <definedName name="DS_NM">#REF!</definedName>
    <definedName name="E">#REF!</definedName>
    <definedName name="EUPName">'[4]#REF'!$A$124</definedName>
    <definedName name="f">#REF!</definedName>
    <definedName name="f_01">'[4]#REF'!$B$9:$CM$9</definedName>
    <definedName name="f_02">'[4]#REF'!$B$10:$CM$10</definedName>
    <definedName name="f_03">'[4]#REF'!$B$11:$CM$11</definedName>
    <definedName name="f_04">'[4]#REF'!$B$12:$CM$12</definedName>
    <definedName name="f_05">'[4]#REF'!$B$13:$CM$13</definedName>
    <definedName name="f_06">'[4]#REF'!$B$14:$CM$14</definedName>
    <definedName name="f_07">'[4]#REF'!$B$15:$CM$15</definedName>
    <definedName name="f_08">'[4]#REF'!$B$16:$CM$16</definedName>
    <definedName name="f_09">'[4]#REF'!$B$17:$CM$17</definedName>
    <definedName name="f_10">'[4]#REF'!$B$18:$CM$18</definedName>
    <definedName name="f_11">'[4]#REF'!$B$19:$CM$19</definedName>
    <definedName name="f_12">'[4]#REF'!$B$20:$CM$20</definedName>
    <definedName name="f_13">'[4]#REF'!$B$21:$CM$21</definedName>
    <definedName name="f_14">'[4]#REF'!$B$22:$CM$22</definedName>
    <definedName name="f_15">'[4]#REF'!$B$23:$CM$23</definedName>
    <definedName name="f_16">'[4]#REF'!$B$24:$CM$24</definedName>
    <definedName name="f_17">'[4]#REF'!$B$25:$CM$25</definedName>
    <definedName name="f_18">'[4]#REF'!$B$26:$CM$26</definedName>
    <definedName name="f_19">'[4]#REF'!$B$27:$CM$27</definedName>
    <definedName name="f_20">'[4]#REF'!$B$28:$CM$28</definedName>
    <definedName name="f_21">'[4]#REF'!$B$29:$CM$29</definedName>
    <definedName name="f_22">'[4]#REF'!$B$30:$CM$30</definedName>
    <definedName name="f_23">'[4]#REF'!$B$31:$CM$31</definedName>
    <definedName name="f_24">'[4]#REF'!$B$32:$CM$32</definedName>
    <definedName name="f_25">'[4]#REF'!$B$33:$CM$33</definedName>
    <definedName name="f_26">'[4]#REF'!$B$34:$CM$34</definedName>
    <definedName name="f_27">'[4]#REF'!$B$35:$CM$35</definedName>
    <definedName name="f_28">'[4]#REF'!$B$36:$CM$36</definedName>
    <definedName name="f_29">'[4]#REF'!$B$37:$CM$37</definedName>
    <definedName name="f_30">'[4]#REF'!$B$38:$CM$38</definedName>
    <definedName name="f_31">'[4]#REF'!$B$39:$CM$39</definedName>
    <definedName name="f_32">'[4]#REF'!$B$40:$CM$40</definedName>
    <definedName name="f_33">'[4]#REF'!$B$41:$CM$41</definedName>
    <definedName name="f_34">'[4]#REF'!$B$42:$CM$42</definedName>
    <definedName name="f_35">'[4]#REF'!$B$43:$CM$43</definedName>
    <definedName name="f_36">'[4]#REF'!$B$44:$CM$44</definedName>
    <definedName name="f_37">'[4]#REF'!$B$45:$CM$45</definedName>
    <definedName name="f_38">'[4]#REF'!$B$46:$CM$46</definedName>
    <definedName name="f_39">'[4]#REF'!$B$47:$CM$47</definedName>
    <definedName name="f_40">'[4]#REF'!$B$48:$CM$48</definedName>
    <definedName name="f_bucode">'[4]#REF'!$K$5:$R$5</definedName>
    <definedName name="f_buname">'[4]#REF'!$T$5:$BG$5</definedName>
    <definedName name="f_date">'[4]#REF'!#REF!</definedName>
    <definedName name="f_formid">'[4]#REF'!$M$4:$X$4</definedName>
    <definedName name="f_formname">'[4]#REF'!$AX$4:$CM$4</definedName>
    <definedName name="f_page">'[4]#REF'!#REF!</definedName>
    <definedName name="Financial_dimension_sets">#REF!</definedName>
    <definedName name="Financial_dimension_value_lega">#REF!</definedName>
    <definedName name="Financial_dimension_value_tran">#REF!</definedName>
    <definedName name="Financial_dimension_values">[5]財務分析コード!#REF!</definedName>
    <definedName name="Financial_reasons">#REF!</definedName>
    <definedName name="g">#REF!</definedName>
    <definedName name="Global_address_book_V2">#REF!</definedName>
    <definedName name="ＧＷメッセージ一覧" hidden="1">#REF!</definedName>
    <definedName name="h">[6]処理機能記述!#REF!</definedName>
    <definedName name="HTML_CodePage" hidden="1">932</definedName>
    <definedName name="HTML_Control" localSheetId="1" hidden="1">{"'分担ﾙｰﾙ'!$A$1:$M$72","'分担ﾙｰﾙ'!$A$19:$M$71"}</definedName>
    <definedName name="HTML_Control" hidden="1">{"'分担ﾙｰﾙ'!$A$1:$M$72","'分担ﾙｰﾙ'!$A$19:$M$71"}</definedName>
    <definedName name="HTML_Control_copy" hidden="1">{"'Sheet1'!$B$5:$H$34"}</definedName>
    <definedName name="HTML_Control_Copy2" hidden="1">{"'Sheet1'!$B$5:$H$34"}</definedName>
    <definedName name="HTML_Control1" localSheetId="1" hidden="1">{"'分担ﾙｰﾙ'!$A$1:$M$72","'分担ﾙｰﾙ'!$A$19:$M$71"}</definedName>
    <definedName name="HTML_Control1" hidden="1">{"'分担ﾙｰﾙ'!$A$1:$M$72","'分担ﾙｰﾙ'!$A$19:$M$71"}</definedName>
    <definedName name="HTML_Control2" hidden="1">{"'Sheet1'!$B$5:$H$34"}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">#REF!</definedName>
    <definedName name="IName">'[4]#REF'!$A$94</definedName>
    <definedName name="io">[7]マスタ!$A$3:$A$5</definedName>
    <definedName name="Job1Name">'[4]#REF'!$A$146</definedName>
    <definedName name="Job2Name">'[4]#REF'!$A$161</definedName>
    <definedName name="Journal_descriptions">#REF!</definedName>
    <definedName name="ｋ" hidden="1">#REF!</definedName>
    <definedName name="KEYS">#REF!</definedName>
    <definedName name="L">#REF!</definedName>
    <definedName name="Ledger_account_alias">#REF!</definedName>
    <definedName name="Ledger_allocation_basis">#REF!</definedName>
    <definedName name="Ledger_allocation_basis_source">#REF!</definedName>
    <definedName name="Ledger_allocation_rule">#REF!</definedName>
    <definedName name="Ledger_allocation_rule_destina">#REF!</definedName>
    <definedName name="Ledger_allocation_rule_source">#REF!</definedName>
    <definedName name="Legal_entities">#REF!</definedName>
    <definedName name="Main_account">#REF!</definedName>
    <definedName name="Main_account_legal_entity_over">#REF!</definedName>
    <definedName name="Man_No">"エディット 16"</definedName>
    <definedName name="MasterListName">'[4]#REF'!$A$2</definedName>
    <definedName name="NAMES">#REF!</definedName>
    <definedName name="NEC_KEYS">#REF!</definedName>
    <definedName name="Operating_unit">#REF!</definedName>
    <definedName name="Organization_email_template">#REF!</definedName>
    <definedName name="Organization_email_template_me">#REF!</definedName>
    <definedName name="Organization_hierarchy_purpose">#REF!</definedName>
    <definedName name="Organization_hierarchy_type">#REF!</definedName>
    <definedName name="Organization_hierarchy_V2___pu">#REF!</definedName>
    <definedName name="ｐ" hidden="1">#REF!</definedName>
    <definedName name="Party_contacts">#REF!</definedName>
    <definedName name="Party_postal_address_V2">#REF!</definedName>
    <definedName name="Party_relationships">#REF!</definedName>
    <definedName name="Password">"エディット 19"</definedName>
    <definedName name="RANK1">#REF!</definedName>
    <definedName name="RANK2">#REF!</definedName>
    <definedName name="RANK3">#REF!</definedName>
    <definedName name="RANK4">#REF!</definedName>
    <definedName name="_xlnm.Recorder">'[4]#REF'!$A$1:$A$65536</definedName>
    <definedName name="Relationship_types">#REF!</definedName>
    <definedName name="s" hidden="1">{"'Sheet1'!$B$5:$H$34"}</definedName>
    <definedName name="SAPToolbarName">'[4]#REF'!$A$211</definedName>
    <definedName name="Security_user_role_association">#REF!</definedName>
    <definedName name="sheetprint">[8]!sheetprint</definedName>
    <definedName name="ｓｓｓｓ">[9]承認票!$J$2</definedName>
    <definedName name="STNMTBL">#REF!</definedName>
    <definedName name="ＳＴＳ">[4]ﾘｽﾄ!$A$1:$A$3</definedName>
    <definedName name="SYMBOL">#REF!</definedName>
    <definedName name="t" hidden="1">{"'Sheet1'!$B$5:$H$34"}</definedName>
    <definedName name="tbl">'[4]#REF'!$A$2:$A$38</definedName>
    <definedName name="TBL_KEYS">#REF!</definedName>
    <definedName name="TBL_KEYS2">#REF!</definedName>
    <definedName name="Team_types">#REF!</definedName>
    <definedName name="Teams_V2">#REF!</definedName>
    <definedName name="test">'[4]#REF'!$B$10:$CM$10</definedName>
    <definedName name="test1">'[4]#REF'!$B$7</definedName>
    <definedName name="test2">'[4]#REF'!$B$11:$CM$11</definedName>
    <definedName name="User_groups">#REF!</definedName>
    <definedName name="User_information">#REF!</definedName>
    <definedName name="User_to_person_relationship">#REF!</definedName>
    <definedName name="VV" hidden="1">#REF!</definedName>
    <definedName name="ｗ" hidden="1">{"'Sheet1'!$B$5:$H$34"}</definedName>
    <definedName name="work" hidden="1">#REF!</definedName>
    <definedName name="Workflow_organization_paramete">#REF!</definedName>
    <definedName name="Working_times">#REF!</definedName>
    <definedName name="ＷＷＷ">[10]承認票!$J$2</definedName>
    <definedName name="xxxx">'[4]#REF'!$B$20:$CM$20</definedName>
    <definedName name="Z_5FB70CD0_6C58_413B_B7A8_B2222A9FFAB3_.wvu.FilterData" hidden="1">#REF!</definedName>
    <definedName name="Z_85CF1BE9_3199_4F5A_9707_53025D8196D4_.wvu.FilterData" hidden="1">#REF!</definedName>
    <definedName name="Z_A42E5BFB_D110_4A4D_A35F_734243F40A17_.wvu.FilterData" hidden="1">#REF!</definedName>
    <definedName name="Z_CF1E67FB_0D25_4F96_A0AC_373637B05BD1_.wvu.FilterData" hidden="1">#REF!</definedName>
    <definedName name="Z_CF1E67FB_0D25_4F96_A0AC_373637B05BD1_.wvu.PrintArea" hidden="1">#REF!</definedName>
    <definedName name="あ">'[4]#REF'!$B$11:$CM$11</definedName>
    <definedName name="あ４２０">[4]処理機能記述!#REF!</definedName>
    <definedName name="あ４５０">[4]処理機能記述!#REF!</definedName>
    <definedName name="あ５００">#REF!</definedName>
    <definedName name="あああ" localSheetId="1" hidden="1">#REF!</definedName>
    <definedName name="あああ" hidden="1">#REF!</definedName>
    <definedName name="ああああああ">[2]社員リスト!#REF!</definedName>
    <definedName name="アカウントコード">[11]マスタ!$AD$5:$AD$7</definedName>
    <definedName name="い">#REF!</definedName>
    <definedName name="いいい">'[4]#REF'!$B$9:$CM$9</definedName>
    <definedName name="う" hidden="1">#REF!</definedName>
    <definedName name="ええ" hidden="1">{"'Sheet1'!$B$5:$H$34"}</definedName>
    <definedName name="えええ" localSheetId="1" hidden="1">{"'9.項目'!$B$5:$AW$60"}</definedName>
    <definedName name="えええ" hidden="1">{"'9.項目'!$B$5:$AW$60"}</definedName>
    <definedName name="お" hidden="1">{"'Sheet1'!$B$5:$H$34"}</definedName>
    <definedName name="オブジェクト一覧">[7]マスタ!$H$3:$H$20</definedName>
    <definedName name="カテゴリ階層タイプ">[12]マスタ!$AT$213:$AT$223</definedName>
    <definedName name="カレンダータイプ">[11]マスタ!$I$27:$I$29</definedName>
    <definedName name="クラス属性">[13]マスタ!$I$3:$I$6</definedName>
    <definedName name="グループ">#REF!</definedName>
    <definedName name="サンプル" hidden="1">#REF!</definedName>
    <definedName name="システム">[14]マスタ!$B$2:$B$3</definedName>
    <definedName name="シリアル番号のキャプチャ">[11]マスタ!$AC$27:$AC$29</definedName>
    <definedName name="スコープ">[11]マスタ!$H$99:$H$105</definedName>
    <definedName name="ステータス">#REF!</definedName>
    <definedName name="タスクドキュメント１" hidden="1">#REF!</definedName>
    <definedName name="ダッシュボードの会社の画像タイプ">[11]マスタ!$G$6:$G$9</definedName>
    <definedName name="チーム名">#REF!</definedName>
    <definedName name="チェックボックス">[15]マスタ!$B$10:$B$11</definedName>
    <definedName name="データクラス">[16]リストBOX定義!$B$21:$B$23</definedName>
    <definedName name="テーブル種別">[7]マスタ!$G$3:$G$4</definedName>
    <definedName name="はいいいえ">[11]マスタ!$B$5:$B$6</definedName>
    <definedName name="パターン">[17]!パターン</definedName>
    <definedName name="フェーズ">#REF!</definedName>
    <definedName name="フォント">[17]!フォント</definedName>
    <definedName name="リピートボタン_Click">[8]!リピートボタン_Click</definedName>
    <definedName name="レポートタイプ">[18]マスタ!$K$6:$K$8</definedName>
    <definedName name="レポートのレイアウト">[11]マスタ!$B$189:$B$201</definedName>
    <definedName name="ロール名">#REF!</definedName>
    <definedName name="安藤" hidden="1">#REF!</definedName>
    <definedName name="為替換算タイプ">[11]マスタ!$U$5:$U$8</definedName>
    <definedName name="印刷">[11]マスタ!$G$189:$G$190</definedName>
    <definedName name="印刷1">#REF!</definedName>
    <definedName name="印刷2">[11]マスタ!$P$189:$P$191</definedName>
    <definedName name="印刷タイトル">#REF!</definedName>
    <definedName name="印刷用">[19]レポートレイアウト!#REF!</definedName>
    <definedName name="印刷領域">#REF!</definedName>
    <definedName name="引当とマーキングの削除">[11]マスタ!$BA$27:$BA$29</definedName>
    <definedName name="演算子">[18]マスタ!$R$5:$R$14</definedName>
    <definedName name="横位置">[7]マスタ!$C$3:$C$6</definedName>
    <definedName name="課題タイプ">#REF!</definedName>
    <definedName name="画面名表示">[8]!画面名表示</definedName>
    <definedName name="開始・終了">[18]マスタ!$C$237:$C$238</definedName>
    <definedName name="外部サブルーチン作成日">"1999/6/17"</definedName>
    <definedName name="勘定タイプ">[11]マスタ!$E$27:$E$32</definedName>
    <definedName name="勘定科目">#REF!</definedName>
    <definedName name="監視カテゴリ">[20]マスタ!$B$393:$B$405</definedName>
    <definedName name="間隔の単位">[11]マスタ!$E$189:$E$191</definedName>
    <definedName name="関連" hidden="1">#REF!</definedName>
    <definedName name="関連表" hidden="1">#REF!</definedName>
    <definedName name="丸めのフォーム">[11]マスタ!$B$204:$B$207</definedName>
    <definedName name="丸め方法">[11]マスタ!$Y$5:$Y$7</definedName>
    <definedName name="基準金額">[11]マスタ!$J$189:$J$194</definedName>
    <definedName name="既定の説明">[18]マスタ!$H$237:$H$351</definedName>
    <definedName name="期間">[11]マスタ!$AN$223:$AN$226</definedName>
    <definedName name="期間タイプ">[18]マスタ!$B$237:$B$244</definedName>
    <definedName name="期日の更新">[11]マスタ!$AG$5:$AG$7</definedName>
    <definedName name="緊急度">#REF!</definedName>
    <definedName name="銀行トランザクションタイプ">[11]マスタ!$Z$99:$Z$101</definedName>
    <definedName name="銀行口座のステータス">[11]マスタ!$AA$99:$AA$101</definedName>
    <definedName name="銀行支店コードタイプ">[11]マスタ!$X$99:$X$106</definedName>
    <definedName name="罫線">[17]!罫線</definedName>
    <definedName name="計算方法">[11]マスタ!$L$189:$L$190</definedName>
    <definedName name="月②">#REF!</definedName>
    <definedName name="検証">[11]マスタ!$O$6:$O$9</definedName>
    <definedName name="原材料ピッキング後の払出ステータス">[11]マスタ!$AY$27:$AY$28</definedName>
    <definedName name="高さ">[17]!高さ</definedName>
    <definedName name="国・地域のタイプ">[11]マスタ!$G$196:$G$199</definedName>
    <definedName name="再表示_行">[17]!再表示_行</definedName>
    <definedName name="再表示_列">[17]!再表示_列</definedName>
    <definedName name="在庫モデル">[11]マスタ!$AL$27:$AL$33</definedName>
    <definedName name="作成日">DATE(2000,3,21)</definedName>
    <definedName name="仕訳帳タイプ">[11]マスタ!$B$27:$B$72</definedName>
    <definedName name="仕様書" hidden="1">#REF!</definedName>
    <definedName name="支払ステータス">[11]マスタ!$AO$223:$AO$227</definedName>
    <definedName name="支払タイプ">[11]マスタ!$AP$223:$AP$227</definedName>
    <definedName name="支払方法">[11]マスタ!$AF$5:$AF$11</definedName>
    <definedName name="支払方法_勘定タイプ">[11]マスタ!$AQ$223:$AQ$228</definedName>
    <definedName name="自動">[17]!自動</definedName>
    <definedName name="借方貸方">[18]マスタ!$L$6:$L$7</definedName>
    <definedName name="主勘定タイプ">[11]マスタ!$J$6:$J$15</definedName>
    <definedName name="主勘定タイプ2">[18]マスタ!$AB$5:$AB$11</definedName>
    <definedName name="手形のタイプ">[11]マスタ!$AR$223:$AR$227</definedName>
    <definedName name="週">[20]マスタ!$C$393:$C$398</definedName>
    <definedName name="週月">[11]マスタ!$AI$5:$AI$6</definedName>
    <definedName name="縦位置">[7]マスタ!$D$3:$D$6</definedName>
    <definedName name="重要度">#REF!</definedName>
    <definedName name="出力先">[11]マスタ!$H$6:$H$7</definedName>
    <definedName name="書式">[7]マスタ!$B$3:$B$5</definedName>
    <definedName name="商品一覧">[21]商品一覧!$A$1:$C$10</definedName>
    <definedName name="承認済仕入先チェックメソッド">[11]マスタ!$AN$27:$AN$29</definedName>
    <definedName name="消費税の検証">[15]マスタ!$K$42:$K$45</definedName>
    <definedName name="消費税丸めルール">[11]マスタ!$N$189:$N$190</definedName>
    <definedName name="消費税提示方法">[15]マスタ!$J$42:$J$44</definedName>
    <definedName name="場所">[18]マスタ!$S$5</definedName>
    <definedName name="新しい伝票">[11]マスタ!$D$27:$D$29</definedName>
    <definedName name="制御情報更新">[8]!制御情報更新</definedName>
    <definedName name="性別">#REF!</definedName>
    <definedName name="性別1">[11]マスタ!$Z$5:$Z$6</definedName>
    <definedName name="精算表に残高を転送するフィールド">[18]マスタ!$M$6:$M$8</definedName>
    <definedName name="税タイプ">[11]マスタ!$V$210:$V$212</definedName>
    <definedName name="折り返して全体を表示する">[7]マスタ!$E$3:$E$4</definedName>
    <definedName name="選択">#REF!</definedName>
    <definedName name="選択・販売注文">#REF!</definedName>
    <definedName name="選択可能値">[11]マスタ!$C$37:$C$43</definedName>
    <definedName name="選択範囲">[17]!選択範囲</definedName>
    <definedName name="組織タイプ">#REF!</definedName>
    <definedName name="倉庫タイプ">[11]マスタ!$AX$27:$AX$29</definedName>
    <definedName name="倉庫目的">[11]マスタ!$AZ$27:$AZ$44</definedName>
    <definedName name="束原" hidden="1">#REF!</definedName>
    <definedName name="単位">[11]マスタ!$W$5:$W$7</definedName>
    <definedName name="調整単位">[18]マスタ!$D$237:$D$240</definedName>
    <definedName name="定期的なアイテムのパターン">[20]マスタ!$D$393:$D$399</definedName>
    <definedName name="店舗DF_KEYS">#REF!</definedName>
    <definedName name="転記タイプ">[18]マスタ!$F$237:$F$389</definedName>
    <definedName name="都道府県">[11]マスタ!$P$210:$P$305</definedName>
    <definedName name="導入時期う" hidden="1">#REF!</definedName>
    <definedName name="廃棄コード・アクション">#REF!</definedName>
    <definedName name="配置">[17]!配置</definedName>
    <definedName name="発生元">[11]マスタ!$H$189:$H$193</definedName>
    <definedName name="番号">[22]型TB!#REF!</definedName>
    <definedName name="番号順序参照">[11]マスタ!$H$134</definedName>
    <definedName name="非表示_行">[17]!非表示_行</definedName>
    <definedName name="非表示_列">[17]!非表示_列</definedName>
    <definedName name="標準幅">[17]!標準幅</definedName>
    <definedName name="表示形式">[17]!表示形式</definedName>
    <definedName name="品質管理用のレポート">#REF!</definedName>
    <definedName name="品質管理用レポートの制限">#REF!</definedName>
    <definedName name="品目コード">[11]マスタ!$AM$5:$AM$8</definedName>
    <definedName name="品目関係">[11]マスタ!$K$78:$K$80</definedName>
    <definedName name="品目消費税レポートタイプ">[11]マスタ!$S$189:$S$192</definedName>
    <definedName name="品目販売引当">[11]マスタ!$AM$27:$AM$30</definedName>
    <definedName name="普通休日日数">IF('[4]#REF'!#REF!="日勤（Ａ）",52,45)</definedName>
    <definedName name="幅">[17]!幅</definedName>
    <definedName name="物流DF_KEYS">#REF!</definedName>
    <definedName name="分析コード形式タイプ">[18]マスタ!$BA$5:$BA$8</definedName>
    <definedName name="分析コード形式タイプ2">[23]マスタ!$BA$5:$BA$8</definedName>
    <definedName name="変更">IF([4]勤務体系!#REF!="日勤（Ａ）",52,45)</definedName>
    <definedName name="変更分">IF([4]勤務体系!#REF!="日勤（Ａ）",52,45)</definedName>
    <definedName name="目的">[11]マスタ!$D$6:$D$23</definedName>
    <definedName name="曜日">[11]マスタ!$AJ$5:$AJ$11</definedName>
    <definedName name="領域">[11]マスタ!$F$99:$F$164:'[11]マスタ'!$F$120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13" l="1"/>
  <c r="AV2" i="13"/>
  <c r="G3" i="12"/>
  <c r="G2" i="12"/>
  <c r="G3" i="10"/>
  <c r="G2" i="10"/>
  <c r="BB3" i="13" a="1"/>
  <c r="AV3" i="13" a="1"/>
  <c r="AV3" i="13" l="1"/>
  <c r="BB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<sst xmlns="http://schemas.openxmlformats.org/spreadsheetml/2006/main" count="351" uniqueCount="99">
  <si>
    <t>サンスター株式会社　御中</t>
    <rPh sb="5" eb="9">
      <t>カブシキカイシャ</t>
    </rPh>
    <rPh sb="10" eb="12">
      <t>オンチュウ</t>
    </rPh>
    <phoneticPr fontId="5"/>
  </si>
  <si>
    <t>会計システム刷新プロジェクト</t>
    <phoneticPr fontId="4"/>
  </si>
  <si>
    <t>非機能要件定義書_システム連携</t>
    <rPh sb="0" eb="8">
      <t>ヒキノウヨウケンテイギショ</t>
    </rPh>
    <rPh sb="13" eb="15">
      <t>レンケイ</t>
    </rPh>
    <phoneticPr fontId="5"/>
  </si>
  <si>
    <t>第1.0版</t>
    <rPh sb="0" eb="1">
      <t>ダイ</t>
    </rPh>
    <rPh sb="4" eb="5">
      <t>ハン</t>
    </rPh>
    <phoneticPr fontId="4"/>
  </si>
  <si>
    <t>日本ビジネスシステムズ株式会社</t>
    <rPh sb="0" eb="2">
      <t>ニホン</t>
    </rPh>
    <phoneticPr fontId="4"/>
  </si>
  <si>
    <t>設計書</t>
    <rPh sb="0" eb="3">
      <t>セッケイショ</t>
    </rPh>
    <phoneticPr fontId="4"/>
  </si>
  <si>
    <t>システム名</t>
    <rPh sb="4" eb="5">
      <t>メイ</t>
    </rPh>
    <phoneticPr fontId="18"/>
  </si>
  <si>
    <t>機能分類</t>
    <rPh sb="0" eb="2">
      <t>キノウ</t>
    </rPh>
    <rPh sb="2" eb="4">
      <t>ブンルイ</t>
    </rPh>
    <phoneticPr fontId="4"/>
  </si>
  <si>
    <t>説明</t>
    <rPh sb="0" eb="2">
      <t>セツメイ</t>
    </rPh>
    <phoneticPr fontId="4"/>
  </si>
  <si>
    <t>日付</t>
    <rPh sb="0" eb="2">
      <t>ヒヅケ</t>
    </rPh>
    <phoneticPr fontId="5"/>
  </si>
  <si>
    <t>更新者</t>
    <rPh sb="0" eb="2">
      <t>コウシン</t>
    </rPh>
    <rPh sb="2" eb="3">
      <t>シャ</t>
    </rPh>
    <phoneticPr fontId="4"/>
  </si>
  <si>
    <t>Dynamics365 for Finance and Operations</t>
  </si>
  <si>
    <t>非機能</t>
    <rPh sb="0" eb="3">
      <t>ヒキノウ</t>
    </rPh>
    <phoneticPr fontId="18"/>
  </si>
  <si>
    <t>システム運用</t>
    <rPh sb="3" eb="5">
      <t>ウンヨウ</t>
    </rPh>
    <phoneticPr fontId="1"/>
  </si>
  <si>
    <t>作成</t>
    <rPh sb="0" eb="2">
      <t>サクセイ</t>
    </rPh>
    <phoneticPr fontId="4"/>
  </si>
  <si>
    <t>更新</t>
    <rPh sb="0" eb="2">
      <t>コウシン</t>
    </rPh>
    <phoneticPr fontId="4"/>
  </si>
  <si>
    <t>（表紙同様値）</t>
  </si>
  <si>
    <t>変更年月日</t>
    <rPh sb="0" eb="2">
      <t>ヘンコウ</t>
    </rPh>
    <rPh sb="2" eb="5">
      <t>ネンガッピ</t>
    </rPh>
    <phoneticPr fontId="23"/>
  </si>
  <si>
    <t>変更箇所</t>
    <rPh sb="0" eb="2">
      <t>ヘンコウ</t>
    </rPh>
    <rPh sb="2" eb="4">
      <t>カショ</t>
    </rPh>
    <phoneticPr fontId="23"/>
  </si>
  <si>
    <t>変更内容</t>
    <rPh sb="0" eb="2">
      <t>ヘンコウ</t>
    </rPh>
    <rPh sb="2" eb="4">
      <t>ナイヨウ</t>
    </rPh>
    <phoneticPr fontId="23"/>
  </si>
  <si>
    <t>変更者</t>
    <rPh sb="0" eb="2">
      <t>ヘンコウ</t>
    </rPh>
    <rPh sb="2" eb="3">
      <t>シャ</t>
    </rPh>
    <phoneticPr fontId="23"/>
  </si>
  <si>
    <t>版数</t>
    <rPh sb="0" eb="1">
      <t>ハン</t>
    </rPh>
    <rPh sb="1" eb="2">
      <t>スウ</t>
    </rPh>
    <phoneticPr fontId="23"/>
  </si>
  <si>
    <t>新規作成</t>
    <rPh sb="0" eb="2">
      <t>シンキ</t>
    </rPh>
    <rPh sb="2" eb="4">
      <t>サクセイ</t>
    </rPh>
    <phoneticPr fontId="18"/>
  </si>
  <si>
    <t>新規作成</t>
    <rPh sb="0" eb="4">
      <t>シンキサクセイ</t>
    </rPh>
    <phoneticPr fontId="5"/>
  </si>
  <si>
    <t>JBS加藤</t>
    <rPh sb="3" eb="5">
      <t>カトウ</t>
    </rPh>
    <phoneticPr fontId="18"/>
  </si>
  <si>
    <t>1.0</t>
    <phoneticPr fontId="18"/>
  </si>
  <si>
    <t>システム名</t>
    <rPh sb="4" eb="5">
      <t>メイ</t>
    </rPh>
    <phoneticPr fontId="4"/>
  </si>
  <si>
    <t>章</t>
  </si>
  <si>
    <t>文書名</t>
    <rPh sb="0" eb="2">
      <t>ブンショ</t>
    </rPh>
    <rPh sb="2" eb="3">
      <t>メイ</t>
    </rPh>
    <phoneticPr fontId="4"/>
  </si>
  <si>
    <t>システム連携</t>
    <rPh sb="4" eb="6">
      <t>レンケイ</t>
    </rPh>
    <phoneticPr fontId="5"/>
  </si>
  <si>
    <t>JBS加藤</t>
    <rPh sb="3" eb="5">
      <t>カトウ</t>
    </rPh>
    <phoneticPr fontId="1"/>
  </si>
  <si>
    <t>■</t>
    <phoneticPr fontId="1"/>
  </si>
  <si>
    <t>認証</t>
    <rPh sb="0" eb="2">
      <t>ニンショウ</t>
    </rPh>
    <phoneticPr fontId="1"/>
  </si>
  <si>
    <t>1）連携方式</t>
  </si>
  <si>
    <t>IF先</t>
    <rPh sb="2" eb="3">
      <t>サキ</t>
    </rPh>
    <phoneticPr fontId="1"/>
  </si>
  <si>
    <t>送信</t>
    <rPh sb="0" eb="2">
      <t>ソウシン</t>
    </rPh>
    <phoneticPr fontId="1"/>
  </si>
  <si>
    <t>受信</t>
    <rPh sb="0" eb="2">
      <t>ジュシン</t>
    </rPh>
    <phoneticPr fontId="1"/>
  </si>
  <si>
    <t>連携方式</t>
    <rPh sb="0" eb="2">
      <t>レンケイ</t>
    </rPh>
    <rPh sb="2" eb="4">
      <t>ホウシキ</t>
    </rPh>
    <phoneticPr fontId="1"/>
  </si>
  <si>
    <t>外部システム</t>
    <rPh sb="0" eb="2">
      <t>ガイブ</t>
    </rPh>
    <phoneticPr fontId="1"/>
  </si>
  <si>
    <t>D365FO</t>
    <phoneticPr fontId="1"/>
  </si>
  <si>
    <t>DataSpider(ファイルアダプタ）</t>
    <phoneticPr fontId="1"/>
  </si>
  <si>
    <t>2）認証方式</t>
  </si>
  <si>
    <t>認証元</t>
    <rPh sb="0" eb="3">
      <t>ニンショウモト</t>
    </rPh>
    <phoneticPr fontId="1"/>
  </si>
  <si>
    <t>認証先</t>
    <rPh sb="0" eb="3">
      <t>ニンショウサキ</t>
    </rPh>
    <phoneticPr fontId="1"/>
  </si>
  <si>
    <t>認証方式</t>
    <rPh sb="0" eb="4">
      <t>ニンショウホウシキ</t>
    </rPh>
    <phoneticPr fontId="1"/>
  </si>
  <si>
    <t>外部サーバー</t>
    <rPh sb="0" eb="2">
      <t>ガイブ</t>
    </rPh>
    <phoneticPr fontId="1"/>
  </si>
  <si>
    <t>DataSpiderの認証方式による</t>
    <rPh sb="11" eb="15">
      <t>ニンショウホウシキ</t>
    </rPh>
    <phoneticPr fontId="1"/>
  </si>
  <si>
    <t>補足説明</t>
    <rPh sb="0" eb="4">
      <t>ホソクセツメイ</t>
    </rPh>
    <phoneticPr fontId="1"/>
  </si>
  <si>
    <t>連携イメージは下記の通りで、Azure FilesへのアクセスはMicrosoft社のEntra IDを使用する。</t>
    <rPh sb="0" eb="2">
      <t>レンケイ</t>
    </rPh>
    <rPh sb="7" eb="9">
      <t>カキ</t>
    </rPh>
    <rPh sb="10" eb="11">
      <t>トオ</t>
    </rPh>
    <rPh sb="41" eb="42">
      <t>シャ</t>
    </rPh>
    <rPh sb="52" eb="54">
      <t>シヨウ</t>
    </rPh>
    <phoneticPr fontId="1"/>
  </si>
  <si>
    <t>IP・FQDN制限</t>
    <rPh sb="7" eb="9">
      <t>セイゲン</t>
    </rPh>
    <phoneticPr fontId="1"/>
  </si>
  <si>
    <t>1）中間サーバーへのアクセス</t>
    <rPh sb="2" eb="4">
      <t>チュウカン</t>
    </rPh>
    <phoneticPr fontId="1"/>
  </si>
  <si>
    <t>DataSpiderからAzure Filesへのアクセス制限は、サンスター方針によるものとし、本書では記述しない。</t>
    <rPh sb="29" eb="31">
      <t>セイゲン</t>
    </rPh>
    <rPh sb="38" eb="40">
      <t>ホウシン</t>
    </rPh>
    <rPh sb="48" eb="50">
      <t>ホンショ</t>
    </rPh>
    <rPh sb="52" eb="54">
      <t>キジュツ</t>
    </rPh>
    <phoneticPr fontId="1"/>
  </si>
  <si>
    <t>暗号化</t>
    <rPh sb="0" eb="3">
      <t>アンゴウカ</t>
    </rPh>
    <phoneticPr fontId="1"/>
  </si>
  <si>
    <t>1）本システムの暗号化</t>
    <rPh sb="2" eb="3">
      <t>ホン</t>
    </rPh>
    <rPh sb="8" eb="11">
      <t>アンゴウカ</t>
    </rPh>
    <phoneticPr fontId="1"/>
  </si>
  <si>
    <t>ETLツールである「DataSpider」に関する暗号化方式については、「DataSpider」の仕様に伴うものとし、本書では記述しない。</t>
    <rPh sb="22" eb="23">
      <t>カン</t>
    </rPh>
    <rPh sb="25" eb="28">
      <t>アンゴウカ</t>
    </rPh>
    <rPh sb="28" eb="30">
      <t>ホウシキ</t>
    </rPh>
    <rPh sb="49" eb="51">
      <t>シヨウ</t>
    </rPh>
    <rPh sb="52" eb="53">
      <t>トモナ</t>
    </rPh>
    <rPh sb="59" eb="61">
      <t>ホンショ</t>
    </rPh>
    <rPh sb="63" eb="65">
      <t>キジュツ</t>
    </rPh>
    <phoneticPr fontId="1"/>
  </si>
  <si>
    <t>JBS 山口</t>
    <rPh sb="4" eb="6">
      <t>ヤマグチ</t>
    </rPh>
    <phoneticPr fontId="1"/>
  </si>
  <si>
    <t>障害発生時の対応</t>
    <rPh sb="0" eb="5">
      <t>ショウガイハッセイジ</t>
    </rPh>
    <rPh sb="6" eb="8">
      <t>タイオウ</t>
    </rPh>
    <phoneticPr fontId="1"/>
  </si>
  <si>
    <t>各システムでの障害発生時の対応は下記の通り</t>
    <rPh sb="0" eb="1">
      <t>カク</t>
    </rPh>
    <rPh sb="7" eb="12">
      <t>ショウガイハッセイジ</t>
    </rPh>
    <rPh sb="13" eb="15">
      <t>タイオウ</t>
    </rPh>
    <rPh sb="16" eb="18">
      <t>カキ</t>
    </rPh>
    <rPh sb="19" eb="20">
      <t>トオ</t>
    </rPh>
    <phoneticPr fontId="1"/>
  </si>
  <si>
    <t>※監視担当については保守契約の内容により決定する</t>
    <rPh sb="1" eb="5">
      <t>カンシタントウ</t>
    </rPh>
    <rPh sb="10" eb="14">
      <t>ホシュケイヤク</t>
    </rPh>
    <rPh sb="15" eb="17">
      <t>ナイヨウ</t>
    </rPh>
    <rPh sb="20" eb="22">
      <t>ケッテイ</t>
    </rPh>
    <phoneticPr fontId="1"/>
  </si>
  <si>
    <t>方向</t>
    <rPh sb="0" eb="2">
      <t>ホウコウ</t>
    </rPh>
    <phoneticPr fontId="1"/>
  </si>
  <si>
    <t>障害ポイント</t>
    <rPh sb="0" eb="2">
      <t>ショウガイ</t>
    </rPh>
    <phoneticPr fontId="1"/>
  </si>
  <si>
    <t>監視方法</t>
    <rPh sb="0" eb="4">
      <t>カンシホウホウ</t>
    </rPh>
    <phoneticPr fontId="1"/>
  </si>
  <si>
    <t>監視担当</t>
    <rPh sb="0" eb="2">
      <t>カンシ</t>
    </rPh>
    <rPh sb="2" eb="4">
      <t>タントウ</t>
    </rPh>
    <phoneticPr fontId="1"/>
  </si>
  <si>
    <t>IntrameriT</t>
    <phoneticPr fontId="1"/>
  </si>
  <si>
    <t>D365CE</t>
    <phoneticPr fontId="1"/>
  </si>
  <si>
    <t>Microsoft365管理センター</t>
    <rPh sb="12" eb="14">
      <t>カンリ</t>
    </rPh>
    <phoneticPr fontId="1"/>
  </si>
  <si>
    <t>都築電気</t>
    <rPh sb="0" eb="4">
      <t>ツヅキデンキ</t>
    </rPh>
    <phoneticPr fontId="1"/>
  </si>
  <si>
    <t>Microsoftの対応を待つ</t>
    <rPh sb="10" eb="12">
      <t>タイオウ</t>
    </rPh>
    <rPh sb="13" eb="14">
      <t>マ</t>
    </rPh>
    <phoneticPr fontId="1"/>
  </si>
  <si>
    <t>Power Automate</t>
    <phoneticPr fontId="1"/>
  </si>
  <si>
    <t>オンプレミスデータゲートウェイ</t>
    <phoneticPr fontId="1"/>
  </si>
  <si>
    <t>中間サーバー(API)</t>
    <rPh sb="0" eb="2">
      <t>チュウカン</t>
    </rPh>
    <phoneticPr fontId="1"/>
  </si>
  <si>
    <t>Azure Monitor</t>
    <phoneticPr fontId="1"/>
  </si>
  <si>
    <t>JBS</t>
  </si>
  <si>
    <t>ログ確認・個別対応</t>
    <rPh sb="2" eb="4">
      <t>カクニン</t>
    </rPh>
    <rPh sb="5" eb="9">
      <t>コベツタイオウ</t>
    </rPh>
    <phoneticPr fontId="1"/>
  </si>
  <si>
    <t>中間サーバー(OS)</t>
    <rPh sb="0" eb="2">
      <t>チュウカン</t>
    </rPh>
    <phoneticPr fontId="1"/>
  </si>
  <si>
    <t>JBS</t>
    <phoneticPr fontId="1"/>
  </si>
  <si>
    <t>Microsoft管理センター</t>
    <rPh sb="0" eb="11">
      <t>マイクロソフトカンリ</t>
    </rPh>
    <phoneticPr fontId="1"/>
  </si>
  <si>
    <t>EDI(富士通)</t>
    <rPh sb="4" eb="7">
      <t>フジツウ</t>
    </rPh>
    <phoneticPr fontId="1"/>
  </si>
  <si>
    <t>FTPサーバー(バッチ)</t>
    <phoneticPr fontId="1"/>
  </si>
  <si>
    <t>FTPサーバー(OS)</t>
    <phoneticPr fontId="1"/>
  </si>
  <si>
    <t>EDI(一般仕入先)</t>
    <rPh sb="4" eb="9">
      <t>イッパンシイレサキ</t>
    </rPh>
    <phoneticPr fontId="1"/>
  </si>
  <si>
    <t>SFTPサーバー(バッチ)</t>
    <phoneticPr fontId="1"/>
  </si>
  <si>
    <t>SFTPサーバー(OS)</t>
    <phoneticPr fontId="1"/>
  </si>
  <si>
    <t>共通マスタ</t>
    <rPh sb="0" eb="2">
      <t>キョウツウ</t>
    </rPh>
    <phoneticPr fontId="1"/>
  </si>
  <si>
    <t>中間サーバー(バッチ)</t>
    <rPh sb="0" eb="2">
      <t>チュウカン</t>
    </rPh>
    <phoneticPr fontId="1"/>
  </si>
  <si>
    <t>FORCAS</t>
    <phoneticPr fontId="1"/>
  </si>
  <si>
    <t>CE画面上・システムジョブ</t>
    <rPh sb="2" eb="5">
      <t>ガメンジョウ</t>
    </rPh>
    <phoneticPr fontId="1"/>
  </si>
  <si>
    <t>ユーザベースへ問い合わせ</t>
    <rPh sb="7" eb="8">
      <t>ト</t>
    </rPh>
    <rPh sb="9" eb="10">
      <t>ア</t>
    </rPh>
    <phoneticPr fontId="1"/>
  </si>
  <si>
    <t>帝国データバンク</t>
    <rPh sb="0" eb="2">
      <t>テイコク</t>
    </rPh>
    <phoneticPr fontId="1"/>
  </si>
  <si>
    <t>CE画面上・プラグイントレースログ</t>
    <rPh sb="2" eb="5">
      <t>ガメンジョウ</t>
    </rPh>
    <phoneticPr fontId="1"/>
  </si>
  <si>
    <t>帝国データバンクへ問い合わせ</t>
    <rPh sb="0" eb="2">
      <t>テイコク</t>
    </rPh>
    <rPh sb="9" eb="10">
      <t>ト</t>
    </rPh>
    <rPh sb="11" eb="12">
      <t>ア</t>
    </rPh>
    <phoneticPr fontId="1"/>
  </si>
  <si>
    <t>魔法陣</t>
    <rPh sb="0" eb="3">
      <t>マホウジン</t>
    </rPh>
    <phoneticPr fontId="1"/>
  </si>
  <si>
    <t>Glovia</t>
    <phoneticPr fontId="1"/>
  </si>
  <si>
    <t>Webcon</t>
    <phoneticPr fontId="1"/>
  </si>
  <si>
    <t>Concur</t>
    <phoneticPr fontId="1"/>
  </si>
  <si>
    <t>Councur</t>
    <phoneticPr fontId="1"/>
  </si>
  <si>
    <t>BillingOne</t>
    <phoneticPr fontId="1"/>
  </si>
  <si>
    <t>TimeProVG</t>
    <phoneticPr fontId="1"/>
  </si>
  <si>
    <t>※障害復旧後の対応については各機能単位で設計することとする</t>
    <rPh sb="1" eb="3">
      <t>ショウガイ</t>
    </rPh>
    <rPh sb="3" eb="5">
      <t>フッキュウ</t>
    </rPh>
    <rPh sb="5" eb="6">
      <t>ゴ</t>
    </rPh>
    <rPh sb="7" eb="9">
      <t>タイオウ</t>
    </rPh>
    <rPh sb="14" eb="17">
      <t>カクキノウ</t>
    </rPh>
    <rPh sb="17" eb="19">
      <t>タンイ</t>
    </rPh>
    <rPh sb="20" eb="22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</si>
</sst>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2"/>
      <charset val="128"/>
    </font>
    <font>
      <sz val="6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name val="Meiryo UI"/>
      <family val="3"/>
      <charset val="128"/>
    </font>
    <font>
      <b/>
      <sz val="20"/>
      <name val="Meiryo UI"/>
      <family val="3"/>
      <charset val="128"/>
    </font>
    <font>
      <b/>
      <sz val="18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0"/>
      <color theme="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ゴシック"/>
      <family val="3"/>
      <charset val="128"/>
    </font>
    <font>
      <b/>
      <sz val="10"/>
      <color theme="1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7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</cellStyleXfs>
  <cellXfs count="209">
    <xf numFmtId="0" fontId="0" fillId="0" borderId="0" xfId="0">
      <alignment vertical="center"/>
    </xf>
    <xf numFmtId="0" fontId="6" fillId="4" borderId="0" xfId="2" applyFont="1" applyFill="1">
      <alignment vertical="center"/>
    </xf>
    <xf numFmtId="0" fontId="7" fillId="4" borderId="0" xfId="1" applyFont="1" applyFill="1">
      <alignment vertical="center"/>
    </xf>
    <xf numFmtId="0" fontId="8" fillId="4" borderId="11" xfId="1" applyFont="1" applyFill="1" applyBorder="1">
      <alignment vertical="center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8" fillId="4" borderId="14" xfId="1" applyFont="1" applyFill="1" applyBorder="1">
      <alignment vertical="center"/>
    </xf>
    <xf numFmtId="0" fontId="8" fillId="4" borderId="0" xfId="1" applyFont="1" applyFill="1">
      <alignment vertical="center"/>
    </xf>
    <xf numFmtId="0" fontId="9" fillId="4" borderId="0" xfId="1" applyFont="1" applyFill="1">
      <alignment vertical="center"/>
    </xf>
    <xf numFmtId="0" fontId="8" fillId="4" borderId="15" xfId="1" applyFont="1" applyFill="1" applyBorder="1">
      <alignment vertical="center"/>
    </xf>
    <xf numFmtId="0" fontId="11" fillId="4" borderId="0" xfId="1" applyFont="1" applyFill="1">
      <alignment vertical="center"/>
    </xf>
    <xf numFmtId="0" fontId="13" fillId="4" borderId="0" xfId="1" applyFont="1" applyFill="1" applyAlignment="1"/>
    <xf numFmtId="0" fontId="13" fillId="4" borderId="14" xfId="1" applyFont="1" applyFill="1" applyBorder="1" applyAlignment="1"/>
    <xf numFmtId="0" fontId="8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 wrapText="1"/>
    </xf>
    <xf numFmtId="0" fontId="8" fillId="4" borderId="16" xfId="1" applyFont="1" applyFill="1" applyBorder="1">
      <alignment vertical="center"/>
    </xf>
    <xf numFmtId="0" fontId="8" fillId="4" borderId="17" xfId="1" applyFont="1" applyFill="1" applyBorder="1">
      <alignment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vertical="center" wrapText="1"/>
    </xf>
    <xf numFmtId="0" fontId="13" fillId="4" borderId="17" xfId="1" applyFont="1" applyFill="1" applyBorder="1">
      <alignment vertical="center"/>
    </xf>
    <xf numFmtId="0" fontId="8" fillId="4" borderId="18" xfId="1" applyFont="1" applyFill="1" applyBorder="1">
      <alignment vertical="center"/>
    </xf>
    <xf numFmtId="0" fontId="6" fillId="0" borderId="0" xfId="0" applyFont="1">
      <alignment vertical="center"/>
    </xf>
    <xf numFmtId="0" fontId="6" fillId="0" borderId="19" xfId="0" applyFont="1" applyBorder="1">
      <alignment vertical="center"/>
    </xf>
    <xf numFmtId="0" fontId="6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20" fillId="0" borderId="12" xfId="3" applyFont="1" applyBorder="1" applyAlignment="1">
      <alignment vertical="center"/>
    </xf>
    <xf numFmtId="0" fontId="21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24" fillId="0" borderId="0" xfId="3" applyFont="1" applyAlignment="1">
      <alignment vertical="center"/>
    </xf>
    <xf numFmtId="0" fontId="12" fillId="4" borderId="14" xfId="1" applyFont="1" applyFill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31" fontId="12" fillId="4" borderId="14" xfId="1" applyNumberFormat="1" applyFont="1" applyFill="1" applyBorder="1" applyAlignment="1">
      <alignment horizontal="center" vertical="center"/>
    </xf>
    <xf numFmtId="176" fontId="8" fillId="4" borderId="53" xfId="1" applyNumberFormat="1" applyFont="1" applyFill="1" applyBorder="1" applyAlignment="1">
      <alignment horizontal="center" vertical="center"/>
    </xf>
    <xf numFmtId="176" fontId="8" fillId="4" borderId="54" xfId="1" applyNumberFormat="1" applyFont="1" applyFill="1" applyBorder="1" applyAlignment="1">
      <alignment horizontal="center" vertical="center"/>
    </xf>
    <xf numFmtId="0" fontId="8" fillId="4" borderId="55" xfId="1" applyFont="1" applyFill="1" applyBorder="1" applyAlignment="1">
      <alignment horizontal="center" vertical="center"/>
    </xf>
    <xf numFmtId="0" fontId="8" fillId="4" borderId="56" xfId="1" applyFont="1" applyFill="1" applyBorder="1" applyAlignment="1">
      <alignment horizontal="center" vertical="center"/>
    </xf>
    <xf numFmtId="0" fontId="8" fillId="4" borderId="57" xfId="1" applyFont="1" applyFill="1" applyBorder="1" applyAlignment="1">
      <alignment horizontal="center" vertical="center"/>
    </xf>
    <xf numFmtId="0" fontId="8" fillId="4" borderId="58" xfId="1" applyFont="1" applyFill="1" applyBorder="1" applyAlignment="1">
      <alignment horizontal="center" vertical="center"/>
    </xf>
    <xf numFmtId="0" fontId="19" fillId="4" borderId="59" xfId="1" applyFont="1" applyFill="1" applyBorder="1" applyAlignment="1">
      <alignment horizontal="center" vertical="center"/>
    </xf>
    <xf numFmtId="0" fontId="19" fillId="4" borderId="60" xfId="1" applyFont="1" applyFill="1" applyBorder="1" applyAlignment="1">
      <alignment horizontal="center" vertical="center"/>
    </xf>
    <xf numFmtId="176" fontId="8" fillId="4" borderId="60" xfId="1" applyNumberFormat="1" applyFont="1" applyFill="1" applyBorder="1" applyAlignment="1">
      <alignment horizontal="center" vertical="center"/>
    </xf>
    <xf numFmtId="176" fontId="8" fillId="4" borderId="61" xfId="1" applyNumberFormat="1" applyFont="1" applyFill="1" applyBorder="1" applyAlignment="1">
      <alignment horizontal="center" vertical="center"/>
    </xf>
    <xf numFmtId="0" fontId="8" fillId="4" borderId="62" xfId="1" applyFont="1" applyFill="1" applyBorder="1" applyAlignment="1">
      <alignment horizontal="center" vertical="center"/>
    </xf>
    <xf numFmtId="0" fontId="8" fillId="4" borderId="63" xfId="1" applyFont="1" applyFill="1" applyBorder="1" applyAlignment="1">
      <alignment horizontal="center" vertical="center"/>
    </xf>
    <xf numFmtId="0" fontId="8" fillId="4" borderId="64" xfId="1" applyFont="1" applyFill="1" applyBorder="1" applyAlignment="1">
      <alignment horizontal="center" vertical="center"/>
    </xf>
    <xf numFmtId="0" fontId="8" fillId="4" borderId="65" xfId="1" applyFont="1" applyFill="1" applyBorder="1" applyAlignment="1">
      <alignment horizontal="center" vertical="center"/>
    </xf>
    <xf numFmtId="0" fontId="22" fillId="7" borderId="48" xfId="1" applyFont="1" applyFill="1" applyBorder="1" applyAlignment="1">
      <alignment horizontal="center" vertical="center"/>
    </xf>
    <xf numFmtId="0" fontId="22" fillId="7" borderId="50" xfId="1" applyFont="1" applyFill="1" applyBorder="1" applyAlignment="1">
      <alignment horizontal="center" vertical="center"/>
    </xf>
    <xf numFmtId="0" fontId="22" fillId="7" borderId="66" xfId="1" applyFont="1" applyFill="1" applyBorder="1" applyAlignment="1">
      <alignment horizontal="center" vertical="center"/>
    </xf>
    <xf numFmtId="0" fontId="22" fillId="7" borderId="42" xfId="1" applyFont="1" applyFill="1" applyBorder="1" applyAlignment="1">
      <alignment horizontal="center" vertical="center"/>
    </xf>
    <xf numFmtId="0" fontId="22" fillId="7" borderId="43" xfId="1" applyFont="1" applyFill="1" applyBorder="1" applyAlignment="1">
      <alignment horizontal="center" vertical="center"/>
    </xf>
    <xf numFmtId="0" fontId="22" fillId="7" borderId="44" xfId="1" applyFont="1" applyFill="1" applyBorder="1" applyAlignment="1">
      <alignment horizontal="center" vertical="center"/>
    </xf>
    <xf numFmtId="0" fontId="22" fillId="7" borderId="51" xfId="1" applyFont="1" applyFill="1" applyBorder="1" applyAlignment="1">
      <alignment horizontal="center" vertical="center"/>
    </xf>
    <xf numFmtId="0" fontId="22" fillId="7" borderId="49" xfId="1" applyFont="1" applyFill="1" applyBorder="1" applyAlignment="1">
      <alignment horizontal="center" vertical="center"/>
    </xf>
    <xf numFmtId="0" fontId="17" fillId="7" borderId="11" xfId="3" applyFont="1" applyFill="1" applyBorder="1" applyAlignment="1">
      <alignment horizontal="center" vertical="center" wrapText="1"/>
    </xf>
    <xf numFmtId="0" fontId="17" fillId="7" borderId="12" xfId="3" applyFont="1" applyFill="1" applyBorder="1" applyAlignment="1">
      <alignment horizontal="center" vertical="center" wrapText="1"/>
    </xf>
    <xf numFmtId="0" fontId="17" fillId="7" borderId="13" xfId="3" applyFont="1" applyFill="1" applyBorder="1" applyAlignment="1">
      <alignment horizontal="center" vertical="center" wrapText="1"/>
    </xf>
    <xf numFmtId="0" fontId="17" fillId="7" borderId="14" xfId="3" applyFont="1" applyFill="1" applyBorder="1" applyAlignment="1">
      <alignment horizontal="center" vertical="center" wrapText="1"/>
    </xf>
    <xf numFmtId="0" fontId="17" fillId="7" borderId="0" xfId="3" applyFont="1" applyFill="1" applyAlignment="1">
      <alignment horizontal="center" vertical="center" wrapText="1"/>
    </xf>
    <xf numFmtId="0" fontId="17" fillId="7" borderId="15" xfId="3" applyFont="1" applyFill="1" applyBorder="1" applyAlignment="1">
      <alignment horizontal="center" vertical="center" wrapText="1"/>
    </xf>
    <xf numFmtId="0" fontId="17" fillId="7" borderId="16" xfId="3" applyFont="1" applyFill="1" applyBorder="1" applyAlignment="1">
      <alignment horizontal="center" vertical="center" wrapText="1"/>
    </xf>
    <xf numFmtId="0" fontId="17" fillId="7" borderId="17" xfId="3" applyFont="1" applyFill="1" applyBorder="1" applyAlignment="1">
      <alignment horizontal="center" vertical="center" wrapText="1"/>
    </xf>
    <xf numFmtId="0" fontId="17" fillId="7" borderId="18" xfId="3" applyFont="1" applyFill="1" applyBorder="1" applyAlignment="1">
      <alignment horizontal="center" vertical="center" wrapText="1"/>
    </xf>
    <xf numFmtId="0" fontId="17" fillId="7" borderId="42" xfId="3" applyFont="1" applyFill="1" applyBorder="1" applyAlignment="1">
      <alignment horizontal="center" vertical="center"/>
    </xf>
    <xf numFmtId="0" fontId="17" fillId="7" borderId="43" xfId="3" applyFont="1" applyFill="1" applyBorder="1" applyAlignment="1">
      <alignment horizontal="center" vertical="center"/>
    </xf>
    <xf numFmtId="0" fontId="17" fillId="7" borderId="44" xfId="3" applyFont="1" applyFill="1" applyBorder="1" applyAlignment="1">
      <alignment horizontal="center" vertical="center"/>
    </xf>
    <xf numFmtId="0" fontId="17" fillId="7" borderId="11" xfId="3" applyFont="1" applyFill="1" applyBorder="1" applyAlignment="1">
      <alignment horizontal="center" vertical="center"/>
    </xf>
    <xf numFmtId="0" fontId="17" fillId="7" borderId="12" xfId="3" applyFont="1" applyFill="1" applyBorder="1" applyAlignment="1">
      <alignment horizontal="center" vertical="center"/>
    </xf>
    <xf numFmtId="0" fontId="17" fillId="7" borderId="13" xfId="3" applyFont="1" applyFill="1" applyBorder="1" applyAlignment="1">
      <alignment horizontal="center" vertical="center"/>
    </xf>
    <xf numFmtId="0" fontId="17" fillId="7" borderId="45" xfId="1" applyFont="1" applyFill="1" applyBorder="1" applyAlignment="1">
      <alignment horizontal="center" vertical="center"/>
    </xf>
    <xf numFmtId="0" fontId="17" fillId="7" borderId="46" xfId="1" applyFont="1" applyFill="1" applyBorder="1" applyAlignment="1">
      <alignment horizontal="center" vertical="center"/>
    </xf>
    <xf numFmtId="0" fontId="17" fillId="7" borderId="47" xfId="1" applyFont="1" applyFill="1" applyBorder="1" applyAlignment="1">
      <alignment horizontal="center" vertical="center"/>
    </xf>
    <xf numFmtId="0" fontId="17" fillId="7" borderId="48" xfId="1" applyFont="1" applyFill="1" applyBorder="1" applyAlignment="1">
      <alignment horizontal="center" vertical="center"/>
    </xf>
    <xf numFmtId="0" fontId="17" fillId="7" borderId="49" xfId="1" applyFont="1" applyFill="1" applyBorder="1" applyAlignment="1">
      <alignment horizontal="center" vertical="center"/>
    </xf>
    <xf numFmtId="0" fontId="17" fillId="7" borderId="50" xfId="1" applyFont="1" applyFill="1" applyBorder="1" applyAlignment="1">
      <alignment horizontal="center" vertical="center"/>
    </xf>
    <xf numFmtId="0" fontId="17" fillId="7" borderId="51" xfId="1" applyFont="1" applyFill="1" applyBorder="1" applyAlignment="1">
      <alignment horizontal="center" vertical="center"/>
    </xf>
    <xf numFmtId="0" fontId="8" fillId="0" borderId="11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8" fillId="0" borderId="13" xfId="3" applyFont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8" xfId="3" applyFont="1" applyBorder="1" applyAlignment="1">
      <alignment horizontal="center" vertical="center" wrapText="1"/>
    </xf>
    <xf numFmtId="0" fontId="8" fillId="0" borderId="11" xfId="3" quotePrefix="1" applyFont="1" applyBorder="1" applyAlignment="1">
      <alignment horizontal="center" vertical="center" wrapText="1"/>
    </xf>
    <xf numFmtId="0" fontId="8" fillId="0" borderId="12" xfId="3" quotePrefix="1" applyFont="1" applyBorder="1" applyAlignment="1">
      <alignment horizontal="center" vertical="center" wrapText="1"/>
    </xf>
    <xf numFmtId="0" fontId="8" fillId="0" borderId="13" xfId="3" quotePrefix="1" applyFont="1" applyBorder="1" applyAlignment="1">
      <alignment horizontal="center" vertical="center" wrapText="1"/>
    </xf>
    <xf numFmtId="0" fontId="8" fillId="0" borderId="16" xfId="3" quotePrefix="1" applyFont="1" applyBorder="1" applyAlignment="1">
      <alignment horizontal="center" vertical="center" wrapText="1"/>
    </xf>
    <xf numFmtId="0" fontId="8" fillId="0" borderId="17" xfId="3" quotePrefix="1" applyFont="1" applyBorder="1" applyAlignment="1">
      <alignment horizontal="center" vertical="center" wrapText="1"/>
    </xf>
    <xf numFmtId="0" fontId="8" fillId="0" borderId="18" xfId="3" quotePrefix="1" applyFont="1" applyBorder="1" applyAlignment="1">
      <alignment horizontal="center" vertical="center" wrapText="1"/>
    </xf>
    <xf numFmtId="0" fontId="19" fillId="4" borderId="52" xfId="1" applyFont="1" applyFill="1" applyBorder="1" applyAlignment="1">
      <alignment horizontal="center" vertical="center"/>
    </xf>
    <xf numFmtId="0" fontId="19" fillId="4" borderId="53" xfId="1" applyFont="1" applyFill="1" applyBorder="1" applyAlignment="1">
      <alignment horizontal="center" vertical="center"/>
    </xf>
    <xf numFmtId="14" fontId="25" fillId="4" borderId="67" xfId="1" applyNumberFormat="1" applyFont="1" applyFill="1" applyBorder="1" applyAlignment="1">
      <alignment horizontal="left" vertical="center"/>
    </xf>
    <xf numFmtId="14" fontId="25" fillId="4" borderId="68" xfId="1" applyNumberFormat="1" applyFont="1" applyFill="1" applyBorder="1" applyAlignment="1">
      <alignment horizontal="left" vertical="center"/>
    </xf>
    <xf numFmtId="14" fontId="25" fillId="4" borderId="8" xfId="1" applyNumberFormat="1" applyFont="1" applyFill="1" applyBorder="1" applyAlignment="1">
      <alignment horizontal="left" vertical="center"/>
    </xf>
    <xf numFmtId="0" fontId="25" fillId="4" borderId="67" xfId="1" applyFont="1" applyFill="1" applyBorder="1" applyAlignment="1">
      <alignment horizontal="left" vertical="center"/>
    </xf>
    <xf numFmtId="0" fontId="25" fillId="4" borderId="9" xfId="1" applyFont="1" applyFill="1" applyBorder="1" applyAlignment="1">
      <alignment horizontal="left" vertical="center"/>
    </xf>
    <xf numFmtId="0" fontId="25" fillId="4" borderId="69" xfId="1" applyFont="1" applyFill="1" applyBorder="1" applyAlignment="1">
      <alignment horizontal="left" vertical="center"/>
    </xf>
    <xf numFmtId="0" fontId="25" fillId="4" borderId="9" xfId="1" applyFont="1" applyFill="1" applyBorder="1">
      <alignment vertical="center"/>
    </xf>
    <xf numFmtId="0" fontId="25" fillId="4" borderId="67" xfId="1" applyFont="1" applyFill="1" applyBorder="1" applyAlignment="1">
      <alignment horizontal="center" vertical="center" wrapText="1"/>
    </xf>
    <xf numFmtId="0" fontId="25" fillId="4" borderId="68" xfId="1" applyFont="1" applyFill="1" applyBorder="1" applyAlignment="1">
      <alignment horizontal="center" vertical="center" wrapText="1"/>
    </xf>
    <xf numFmtId="0" fontId="25" fillId="4" borderId="70" xfId="1" applyFont="1" applyFill="1" applyBorder="1" applyAlignment="1">
      <alignment horizontal="center" vertical="center" wrapText="1"/>
    </xf>
    <xf numFmtId="49" fontId="25" fillId="4" borderId="10" xfId="1" applyNumberFormat="1" applyFont="1" applyFill="1" applyBorder="1" applyAlignment="1">
      <alignment horizontal="center" vertical="center"/>
    </xf>
    <xf numFmtId="49" fontId="25" fillId="4" borderId="68" xfId="1" applyNumberFormat="1" applyFont="1" applyFill="1" applyBorder="1" applyAlignment="1">
      <alignment horizontal="center" vertical="center"/>
    </xf>
    <xf numFmtId="49" fontId="25" fillId="4" borderId="70" xfId="1" applyNumberFormat="1" applyFont="1" applyFill="1" applyBorder="1" applyAlignment="1">
      <alignment horizontal="center" vertical="center"/>
    </xf>
    <xf numFmtId="14" fontId="25" fillId="4" borderId="71" xfId="1" applyNumberFormat="1" applyFont="1" applyFill="1" applyBorder="1" applyAlignment="1">
      <alignment horizontal="left" vertical="center"/>
    </xf>
    <xf numFmtId="14" fontId="25" fillId="4" borderId="1" xfId="1" applyNumberFormat="1" applyFont="1" applyFill="1" applyBorder="1" applyAlignment="1">
      <alignment horizontal="left" vertical="center"/>
    </xf>
    <xf numFmtId="14" fontId="25" fillId="4" borderId="2" xfId="1" applyNumberFormat="1" applyFont="1" applyFill="1" applyBorder="1" applyAlignment="1">
      <alignment horizontal="left" vertical="center"/>
    </xf>
    <xf numFmtId="0" fontId="25" fillId="4" borderId="71" xfId="1" applyFont="1" applyFill="1" applyBorder="1" applyAlignment="1">
      <alignment horizontal="left" vertical="center" wrapText="1"/>
    </xf>
    <xf numFmtId="0" fontId="25" fillId="4" borderId="1" xfId="1" applyFont="1" applyFill="1" applyBorder="1" applyAlignment="1">
      <alignment horizontal="left" vertical="center"/>
    </xf>
    <xf numFmtId="0" fontId="25" fillId="4" borderId="72" xfId="1" applyFont="1" applyFill="1" applyBorder="1" applyAlignment="1">
      <alignment horizontal="left" vertical="center"/>
    </xf>
    <xf numFmtId="0" fontId="26" fillId="4" borderId="3" xfId="1" applyFont="1" applyFill="1" applyBorder="1" applyAlignment="1">
      <alignment vertical="center" wrapText="1"/>
    </xf>
    <xf numFmtId="0" fontId="26" fillId="4" borderId="3" xfId="1" applyFont="1" applyFill="1" applyBorder="1">
      <alignment vertical="center"/>
    </xf>
    <xf numFmtId="0" fontId="25" fillId="4" borderId="71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center" vertical="center" wrapText="1"/>
    </xf>
    <xf numFmtId="0" fontId="25" fillId="4" borderId="72" xfId="1" applyFont="1" applyFill="1" applyBorder="1" applyAlignment="1">
      <alignment horizontal="center" vertical="center" wrapText="1"/>
    </xf>
    <xf numFmtId="49" fontId="25" fillId="4" borderId="4" xfId="1" applyNumberFormat="1" applyFont="1" applyFill="1" applyBorder="1" applyAlignment="1">
      <alignment horizontal="center" vertical="center"/>
    </xf>
    <xf numFmtId="49" fontId="25" fillId="4" borderId="1" xfId="1" applyNumberFormat="1" applyFont="1" applyFill="1" applyBorder="1" applyAlignment="1">
      <alignment horizontal="center" vertical="center"/>
    </xf>
    <xf numFmtId="49" fontId="25" fillId="4" borderId="72" xfId="1" applyNumberFormat="1" applyFont="1" applyFill="1" applyBorder="1" applyAlignment="1">
      <alignment horizontal="center" vertical="center"/>
    </xf>
    <xf numFmtId="0" fontId="25" fillId="4" borderId="71" xfId="1" applyFont="1" applyFill="1" applyBorder="1" applyAlignment="1">
      <alignment horizontal="left" vertical="center"/>
    </xf>
    <xf numFmtId="0" fontId="25" fillId="4" borderId="3" xfId="1" applyFont="1" applyFill="1" applyBorder="1" applyAlignment="1">
      <alignment vertical="center" wrapText="1"/>
    </xf>
    <xf numFmtId="0" fontId="25" fillId="4" borderId="3" xfId="1" applyFont="1" applyFill="1" applyBorder="1">
      <alignment vertical="center"/>
    </xf>
    <xf numFmtId="14" fontId="25" fillId="4" borderId="59" xfId="1" applyNumberFormat="1" applyFont="1" applyFill="1" applyBorder="1" applyAlignment="1">
      <alignment horizontal="left" vertical="center"/>
    </xf>
    <xf numFmtId="14" fontId="25" fillId="4" borderId="60" xfId="1" applyNumberFormat="1" applyFont="1" applyFill="1" applyBorder="1" applyAlignment="1">
      <alignment horizontal="left" vertical="center"/>
    </xf>
    <xf numFmtId="14" fontId="25" fillId="4" borderId="73" xfId="1" applyNumberFormat="1" applyFont="1" applyFill="1" applyBorder="1" applyAlignment="1">
      <alignment horizontal="left" vertical="center"/>
    </xf>
    <xf numFmtId="0" fontId="25" fillId="4" borderId="59" xfId="1" applyFont="1" applyFill="1" applyBorder="1" applyAlignment="1">
      <alignment horizontal="left" vertical="center"/>
    </xf>
    <xf numFmtId="0" fontId="25" fillId="4" borderId="60" xfId="1" applyFont="1" applyFill="1" applyBorder="1" applyAlignment="1">
      <alignment horizontal="left" vertical="center"/>
    </xf>
    <xf numFmtId="0" fontId="25" fillId="4" borderId="61" xfId="1" applyFont="1" applyFill="1" applyBorder="1" applyAlignment="1">
      <alignment horizontal="left" vertical="center"/>
    </xf>
    <xf numFmtId="0" fontId="25" fillId="4" borderId="74" xfId="1" applyFont="1" applyFill="1" applyBorder="1">
      <alignment vertical="center"/>
    </xf>
    <xf numFmtId="0" fontId="25" fillId="4" borderId="59" xfId="1" applyFont="1" applyFill="1" applyBorder="1" applyAlignment="1">
      <alignment horizontal="center" vertical="center" wrapText="1"/>
    </xf>
    <xf numFmtId="0" fontId="25" fillId="4" borderId="60" xfId="1" applyFont="1" applyFill="1" applyBorder="1" applyAlignment="1">
      <alignment horizontal="center" vertical="center" wrapText="1"/>
    </xf>
    <xf numFmtId="0" fontId="25" fillId="4" borderId="61" xfId="1" applyFont="1" applyFill="1" applyBorder="1" applyAlignment="1">
      <alignment horizontal="center" vertical="center" wrapText="1"/>
    </xf>
    <xf numFmtId="49" fontId="25" fillId="4" borderId="75" xfId="1" applyNumberFormat="1" applyFont="1" applyFill="1" applyBorder="1" applyAlignment="1">
      <alignment horizontal="center" vertical="center"/>
    </xf>
    <xf numFmtId="49" fontId="25" fillId="4" borderId="60" xfId="1" applyNumberFormat="1" applyFont="1" applyFill="1" applyBorder="1" applyAlignment="1">
      <alignment horizontal="center" vertical="center"/>
    </xf>
    <xf numFmtId="49" fontId="25" fillId="4" borderId="61" xfId="1" applyNumberFormat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176" fontId="13" fillId="4" borderId="1" xfId="1" applyNumberFormat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 wrapText="1"/>
    </xf>
    <xf numFmtId="0" fontId="15" fillId="5" borderId="27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6" borderId="27" xfId="0" applyFont="1" applyFill="1" applyBorder="1" applyAlignment="1">
      <alignment horizontal="left" vertical="center"/>
    </xf>
    <xf numFmtId="0" fontId="6" fillId="6" borderId="28" xfId="0" applyFont="1" applyFill="1" applyBorder="1" applyAlignment="1">
      <alignment horizontal="left" vertical="center"/>
    </xf>
    <xf numFmtId="0" fontId="6" fillId="6" borderId="29" xfId="0" applyFont="1" applyFill="1" applyBorder="1" applyAlignment="1">
      <alignment horizontal="left" vertical="center"/>
    </xf>
    <xf numFmtId="0" fontId="6" fillId="0" borderId="3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</cellXfs>
  <cellStyles count="4">
    <cellStyle name="標準" xfId="0" builtinId="0"/>
    <cellStyle name="標準 2" xfId="1" xr:uid="{F29E9F88-122F-43CC-B810-1C5395248D63}"/>
    <cellStyle name="標準 3" xfId="2" xr:uid="{AD6AB97D-814B-4704-B324-70FD0E76C8C9}"/>
    <cellStyle name="標準 4" xfId="3" xr:uid="{13F74BD0-3B48-4FBD-8D09-B1A8900449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customXml" Target="../customXml/item2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168901</xdr:colOff>
      <xdr:row>25</xdr:row>
      <xdr:rowOff>56291</xdr:rowOff>
    </xdr:from>
    <xdr:to>
      <xdr:col>19</xdr:col>
      <xdr:colOff>16741</xdr:colOff>
      <xdr:row>27</xdr:row>
      <xdr:rowOff>125858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AE8EA38-F83A-4CC7-9ABE-119844EB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9201" y="4818791"/>
          <a:ext cx="1248015" cy="450567"/>
        </a:xfrm>
        <a:prstGeom prst="rect">
          <a:avLst/>
        </a:prstGeom>
      </xdr:spPr>
    </xdr:pic>
    <xdr:clientData/>
  </xdr:twoCellAnchor>
  <xdr:twoCellAnchor>
    <xdr:from>
      <xdr:col>48</xdr:col>
      <xdr:colOff>172044</xdr:colOff>
      <xdr:row>22</xdr:row>
      <xdr:rowOff>0</xdr:rowOff>
    </xdr:from>
    <xdr:to>
      <xdr:col>58</xdr:col>
      <xdr:colOff>7851</xdr:colOff>
      <xdr:row>31</xdr:row>
      <xdr:rowOff>68716</xdr:rowOff>
    </xdr:to>
    <xdr:sp macro="" textlink="">
      <xdr:nvSpPr>
        <xdr:cNvPr id="5" name="Rectangle 70">
          <a:extLst>
            <a:ext uri="{FF2B5EF4-FFF2-40B4-BE49-F238E27FC236}">
              <a16:creationId xmlns:a16="http://schemas.microsoft.com/office/drawing/2014/main" id="{4BCCEBD6-C3CF-D307-B2EE-43C93A9F0A3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 bwMode="auto">
        <a:xfrm>
          <a:off x="9773244" y="4191000"/>
          <a:ext cx="1836057" cy="1783216"/>
        </a:xfrm>
        <a:prstGeom prst="rect">
          <a:avLst/>
        </a:prstGeom>
        <a:solidFill>
          <a:srgbClr val="E6E6E6">
            <a:alpha val="45000"/>
          </a:srgb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/>
      </xdr:spPr>
      <xdr:txBody>
        <a:bodyPr rot="0" spcFirstLastPara="0" vert="horz" wrap="square" lIns="182788" tIns="146231" rIns="182788" bIns="146231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32014" fontAlgn="base">
            <a:spcBef>
              <a:spcPct val="0"/>
            </a:spcBef>
            <a:spcAft>
              <a:spcPct val="0"/>
            </a:spcAft>
            <a:defRPr/>
          </a:pPr>
          <a:r>
            <a:rPr lang="en-US" sz="2400" kern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Segoe UI" pitchFamily="34" charset="0"/>
            </a:rPr>
            <a:t> </a:t>
          </a:r>
        </a:p>
      </xdr:txBody>
    </xdr:sp>
    <xdr:clientData/>
  </xdr:twoCellAnchor>
  <xdr:twoCellAnchor>
    <xdr:from>
      <xdr:col>4</xdr:col>
      <xdr:colOff>0</xdr:colOff>
      <xdr:row>22</xdr:row>
      <xdr:rowOff>36215</xdr:rowOff>
    </xdr:from>
    <xdr:to>
      <xdr:col>13</xdr:col>
      <xdr:colOff>17526</xdr:colOff>
      <xdr:row>31</xdr:row>
      <xdr:rowOff>16816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78CC192-8978-FD81-F9C0-5F96FF357729}"/>
            </a:ext>
          </a:extLst>
        </xdr:cNvPr>
        <xdr:cNvSpPr/>
      </xdr:nvSpPr>
      <xdr:spPr>
        <a:xfrm>
          <a:off x="800100" y="4227215"/>
          <a:ext cx="1817751" cy="1695101"/>
        </a:xfrm>
        <a:prstGeom prst="rect">
          <a:avLst/>
        </a:prstGeom>
        <a:solidFill>
          <a:srgbClr val="92D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1800"/>
        </a:p>
      </xdr:txBody>
    </xdr:sp>
    <xdr:clientData/>
  </xdr:twoCellAnchor>
  <xdr:twoCellAnchor>
    <xdr:from>
      <xdr:col>31</xdr:col>
      <xdr:colOff>14156</xdr:colOff>
      <xdr:row>22</xdr:row>
      <xdr:rowOff>18283</xdr:rowOff>
    </xdr:from>
    <xdr:to>
      <xdr:col>40</xdr:col>
      <xdr:colOff>31682</xdr:colOff>
      <xdr:row>31</xdr:row>
      <xdr:rowOff>90174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06B6A2-45F4-E5C7-29AA-C3E34EA2954F}"/>
            </a:ext>
          </a:extLst>
        </xdr:cNvPr>
        <xdr:cNvSpPr/>
      </xdr:nvSpPr>
      <xdr:spPr>
        <a:xfrm>
          <a:off x="6214931" y="4209283"/>
          <a:ext cx="1817751" cy="17863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1800"/>
        </a:p>
      </xdr:txBody>
    </xdr:sp>
    <xdr:clientData/>
  </xdr:twoCellAnchor>
  <xdr:twoCellAnchor>
    <xdr:from>
      <xdr:col>48</xdr:col>
      <xdr:colOff>122167</xdr:colOff>
      <xdr:row>28</xdr:row>
      <xdr:rowOff>75820</xdr:rowOff>
    </xdr:from>
    <xdr:to>
      <xdr:col>58</xdr:col>
      <xdr:colOff>7852</xdr:colOff>
      <xdr:row>30</xdr:row>
      <xdr:rowOff>2486</xdr:rowOff>
    </xdr:to>
    <xdr:sp macro="" textlink="">
      <xdr:nvSpPr>
        <xdr:cNvPr id="8" name="テキスト ボックス 13">
          <a:extLst>
            <a:ext uri="{FF2B5EF4-FFF2-40B4-BE49-F238E27FC236}">
              <a16:creationId xmlns:a16="http://schemas.microsoft.com/office/drawing/2014/main" id="{B812D28C-A297-7439-A39F-9F83BAD82C6A}"/>
            </a:ext>
          </a:extLst>
        </xdr:cNvPr>
        <xdr:cNvSpPr txBox="1"/>
      </xdr:nvSpPr>
      <xdr:spPr>
        <a:xfrm>
          <a:off x="9723367" y="5409820"/>
          <a:ext cx="1885935" cy="3076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895774">
            <a:defRPr/>
          </a:pP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D365FO</a:t>
          </a:r>
        </a:p>
      </xdr:txBody>
    </xdr:sp>
    <xdr:clientData/>
  </xdr:twoCellAnchor>
  <xdr:twoCellAnchor editAs="oneCell">
    <xdr:from>
      <xdr:col>51</xdr:col>
      <xdr:colOff>56931</xdr:colOff>
      <xdr:row>24</xdr:row>
      <xdr:rowOff>69780</xdr:rowOff>
    </xdr:from>
    <xdr:to>
      <xdr:col>54</xdr:col>
      <xdr:colOff>171258</xdr:colOff>
      <xdr:row>28</xdr:row>
      <xdr:rowOff>132831</xdr:rowOff>
    </xdr:to>
    <xdr:pic>
      <xdr:nvPicPr>
        <xdr:cNvPr id="9" name="図 8" descr="アイコン&#10;&#10;自動的に生成された説明">
          <a:extLst>
            <a:ext uri="{FF2B5EF4-FFF2-40B4-BE49-F238E27FC236}">
              <a16:creationId xmlns:a16="http://schemas.microsoft.com/office/drawing/2014/main" id="{1E451293-AD4A-EA73-CB4A-A99F8CDE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206" y="4641780"/>
          <a:ext cx="714402" cy="825051"/>
        </a:xfrm>
        <a:prstGeom prst="rect">
          <a:avLst/>
        </a:prstGeom>
      </xdr:spPr>
    </xdr:pic>
    <xdr:clientData/>
  </xdr:twoCellAnchor>
  <xdr:twoCellAnchor editAs="oneCell">
    <xdr:from>
      <xdr:col>34</xdr:col>
      <xdr:colOff>189262</xdr:colOff>
      <xdr:row>23</xdr:row>
      <xdr:rowOff>174328</xdr:rowOff>
    </xdr:from>
    <xdr:to>
      <xdr:col>36</xdr:col>
      <xdr:colOff>178718</xdr:colOff>
      <xdr:row>25</xdr:row>
      <xdr:rowOff>189184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7A6A253-B1EC-A9FB-2B8B-FB8ADE3D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0112" y="4555828"/>
          <a:ext cx="395856" cy="395856"/>
        </a:xfrm>
        <a:prstGeom prst="rect">
          <a:avLst/>
        </a:prstGeom>
      </xdr:spPr>
    </xdr:pic>
    <xdr:clientData/>
  </xdr:twoCellAnchor>
  <xdr:twoCellAnchor>
    <xdr:from>
      <xdr:col>32</xdr:col>
      <xdr:colOff>113408</xdr:colOff>
      <xdr:row>22</xdr:row>
      <xdr:rowOff>70851</xdr:rowOff>
    </xdr:from>
    <xdr:to>
      <xdr:col>39</xdr:col>
      <xdr:colOff>121591</xdr:colOff>
      <xdr:row>23</xdr:row>
      <xdr:rowOff>188017</xdr:rowOff>
    </xdr:to>
    <xdr:sp macro="" textlink="">
      <xdr:nvSpPr>
        <xdr:cNvPr id="11" name="テキスト ボックス 17">
          <a:extLst>
            <a:ext uri="{FF2B5EF4-FFF2-40B4-BE49-F238E27FC236}">
              <a16:creationId xmlns:a16="http://schemas.microsoft.com/office/drawing/2014/main" id="{1B1C445F-7A03-9769-4310-AD16FB6C083B}"/>
            </a:ext>
          </a:extLst>
        </xdr:cNvPr>
        <xdr:cNvSpPr txBox="1"/>
      </xdr:nvSpPr>
      <xdr:spPr>
        <a:xfrm>
          <a:off x="6514208" y="4261851"/>
          <a:ext cx="1408358" cy="3076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400">
              <a:solidFill>
                <a:srgbClr val="0078D7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lang="ja-JP" altLang="en-US" sz="1400">
              <a:solidFill>
                <a:srgbClr val="0078D7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用ストレージ</a:t>
          </a:r>
          <a:endParaRPr lang="en-US" altLang="ja-JP" sz="1400">
            <a:solidFill>
              <a:srgbClr val="0078D7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58881</xdr:colOff>
      <xdr:row>25</xdr:row>
      <xdr:rowOff>104877</xdr:rowOff>
    </xdr:from>
    <xdr:to>
      <xdr:col>38</xdr:col>
      <xdr:colOff>111868</xdr:colOff>
      <xdr:row>26</xdr:row>
      <xdr:rowOff>175892</xdr:rowOff>
    </xdr:to>
    <xdr:sp macro="" textlink="">
      <xdr:nvSpPr>
        <xdr:cNvPr id="12" name="テキスト ボックス 18">
          <a:extLst>
            <a:ext uri="{FF2B5EF4-FFF2-40B4-BE49-F238E27FC236}">
              <a16:creationId xmlns:a16="http://schemas.microsoft.com/office/drawing/2014/main" id="{D38E8640-E4BE-86BF-60F0-447EA016BDE1}"/>
            </a:ext>
          </a:extLst>
        </xdr:cNvPr>
        <xdr:cNvSpPr txBox="1"/>
      </xdr:nvSpPr>
      <xdr:spPr>
        <a:xfrm>
          <a:off x="6659706" y="4867377"/>
          <a:ext cx="1053112" cy="2615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Azure Files</a:t>
          </a:r>
          <a:endParaRPr lang="en-US" altLang="ja-JP" sz="1100" b="1">
            <a:latin typeface="+mn-ea"/>
          </a:endParaRPr>
        </a:p>
      </xdr:txBody>
    </xdr:sp>
    <xdr:clientData/>
  </xdr:twoCellAnchor>
  <xdr:twoCellAnchor>
    <xdr:from>
      <xdr:col>32</xdr:col>
      <xdr:colOff>68097</xdr:colOff>
      <xdr:row>27</xdr:row>
      <xdr:rowOff>156550</xdr:rowOff>
    </xdr:from>
    <xdr:to>
      <xdr:col>34</xdr:col>
      <xdr:colOff>104796</xdr:colOff>
      <xdr:row>29</xdr:row>
      <xdr:rowOff>37186</xdr:rowOff>
    </xdr:to>
    <xdr:sp macro="" textlink="">
      <xdr:nvSpPr>
        <xdr:cNvPr id="13" name="フローチャート: 書類 12">
          <a:extLst>
            <a:ext uri="{FF2B5EF4-FFF2-40B4-BE49-F238E27FC236}">
              <a16:creationId xmlns:a16="http://schemas.microsoft.com/office/drawing/2014/main" id="{8D6AE95C-2E98-B1FB-1C89-51EBC1DDB1B5}"/>
            </a:ext>
          </a:extLst>
        </xdr:cNvPr>
        <xdr:cNvSpPr/>
      </xdr:nvSpPr>
      <xdr:spPr>
        <a:xfrm>
          <a:off x="6468897" y="5300050"/>
          <a:ext cx="436749" cy="261636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>
              <a:solidFill>
                <a:schemeClr val="tx1"/>
              </a:solidFill>
            </a:rPr>
            <a:t>file</a:t>
          </a:r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158841</xdr:colOff>
      <xdr:row>24</xdr:row>
      <xdr:rowOff>128190</xdr:rowOff>
    </xdr:from>
    <xdr:to>
      <xdr:col>10</xdr:col>
      <xdr:colOff>176546</xdr:colOff>
      <xdr:row>29</xdr:row>
      <xdr:rowOff>179355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39762BFD-79F5-3837-163A-1BFEFD0718D4}"/>
            </a:ext>
          </a:extLst>
        </xdr:cNvPr>
        <xdr:cNvGrpSpPr/>
      </xdr:nvGrpSpPr>
      <xdr:grpSpPr>
        <a:xfrm>
          <a:off x="1172777" y="4704000"/>
          <a:ext cx="1024022" cy="997950"/>
          <a:chOff x="1492476" y="4666904"/>
          <a:chExt cx="1015021" cy="1000853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D65920F2-E01A-1AC0-0577-137FAB91EF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1104" y="4666904"/>
            <a:ext cx="753411" cy="753411"/>
          </a:xfrm>
          <a:prstGeom prst="rect">
            <a:avLst/>
          </a:prstGeom>
        </xdr:spPr>
      </xdr:pic>
      <xdr:sp macro="" textlink="">
        <xdr:nvSpPr>
          <xdr:cNvPr id="25" name="テキスト ボックス 23">
            <a:extLst>
              <a:ext uri="{FF2B5EF4-FFF2-40B4-BE49-F238E27FC236}">
                <a16:creationId xmlns:a16="http://schemas.microsoft.com/office/drawing/2014/main" id="{79D52188-047E-C4E4-804A-02214BAC9DEA}"/>
              </a:ext>
            </a:extLst>
          </xdr:cNvPr>
          <xdr:cNvSpPr txBox="1"/>
        </xdr:nvSpPr>
        <xdr:spPr>
          <a:xfrm>
            <a:off x="1492476" y="5390758"/>
            <a:ext cx="101502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09585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219170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828754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438339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047924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3657509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267093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4876678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200" b="1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周辺システム</a:t>
            </a:r>
          </a:p>
        </xdr:txBody>
      </xdr:sp>
    </xdr:grpSp>
    <xdr:clientData/>
  </xdr:twoCellAnchor>
  <xdr:twoCellAnchor editAs="oneCell">
    <xdr:from>
      <xdr:col>54</xdr:col>
      <xdr:colOff>171259</xdr:colOff>
      <xdr:row>27</xdr:row>
      <xdr:rowOff>161</xdr:rowOff>
    </xdr:from>
    <xdr:to>
      <xdr:col>56</xdr:col>
      <xdr:colOff>144419</xdr:colOff>
      <xdr:row>28</xdr:row>
      <xdr:rowOff>182871</xdr:rowOff>
    </xdr:to>
    <xdr:pic>
      <xdr:nvPicPr>
        <xdr:cNvPr id="15" name="Picture 2" descr="「icon プログラム」の画像検索結果">
          <a:extLst>
            <a:ext uri="{FF2B5EF4-FFF2-40B4-BE49-F238E27FC236}">
              <a16:creationId xmlns:a16="http://schemas.microsoft.com/office/drawing/2014/main" id="{1FF401CF-C7C4-1A70-433C-D92ACB0E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609" y="5143661"/>
          <a:ext cx="373210" cy="37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26291</xdr:colOff>
      <xdr:row>24</xdr:row>
      <xdr:rowOff>57150</xdr:rowOff>
    </xdr:from>
    <xdr:to>
      <xdr:col>48</xdr:col>
      <xdr:colOff>171450</xdr:colOff>
      <xdr:row>24</xdr:row>
      <xdr:rowOff>78015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236602C-49ED-A461-5604-4429CA5FD332}"/>
            </a:ext>
          </a:extLst>
        </xdr:cNvPr>
        <xdr:cNvCxnSpPr>
          <a:cxnSpLocks/>
        </xdr:cNvCxnSpPr>
      </xdr:nvCxnSpPr>
      <xdr:spPr>
        <a:xfrm flipV="1">
          <a:off x="8027291" y="4629150"/>
          <a:ext cx="1745359" cy="20865"/>
        </a:xfrm>
        <a:prstGeom prst="straightConnector1">
          <a:avLst/>
        </a:prstGeom>
        <a:ln w="22225" cap="rnd">
          <a:solidFill>
            <a:schemeClr val="tx1"/>
          </a:solidFill>
          <a:round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38371</xdr:colOff>
      <xdr:row>24</xdr:row>
      <xdr:rowOff>93112</xdr:rowOff>
    </xdr:from>
    <xdr:to>
      <xdr:col>48</xdr:col>
      <xdr:colOff>130431</xdr:colOff>
      <xdr:row>27</xdr:row>
      <xdr:rowOff>48007</xdr:rowOff>
    </xdr:to>
    <xdr:sp macro="" textlink="">
      <xdr:nvSpPr>
        <xdr:cNvPr id="17" name="テキスト ボックス 35">
          <a:extLst>
            <a:ext uri="{FF2B5EF4-FFF2-40B4-BE49-F238E27FC236}">
              <a16:creationId xmlns:a16="http://schemas.microsoft.com/office/drawing/2014/main" id="{0087489B-CAD5-0FD4-C40B-B2942F09459A}"/>
            </a:ext>
          </a:extLst>
        </xdr:cNvPr>
        <xdr:cNvSpPr txBox="1"/>
      </xdr:nvSpPr>
      <xdr:spPr>
        <a:xfrm>
          <a:off x="7839346" y="4665112"/>
          <a:ext cx="1892285" cy="5263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895774">
            <a:defRPr/>
          </a:pP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ファイル出力</a:t>
          </a: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取込</a:t>
          </a:r>
          <a:endParaRPr lang="en-US" altLang="ja-JP" sz="1400">
            <a:solidFill>
              <a:srgbClr val="292929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 defTabSz="895774">
            <a:defRPr/>
          </a:pP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アドオン</a:t>
          </a: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or DIXF</a:t>
          </a:r>
        </a:p>
      </xdr:txBody>
    </xdr:sp>
    <xdr:clientData/>
  </xdr:twoCellAnchor>
  <xdr:twoCellAnchor>
    <xdr:from>
      <xdr:col>40</xdr:col>
      <xdr:colOff>36407</xdr:colOff>
      <xdr:row>28</xdr:row>
      <xdr:rowOff>95250</xdr:rowOff>
    </xdr:from>
    <xdr:to>
      <xdr:col>48</xdr:col>
      <xdr:colOff>139700</xdr:colOff>
      <xdr:row>28</xdr:row>
      <xdr:rowOff>115875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FCF159E-21E8-3056-F7FE-E2725E254E1E}"/>
            </a:ext>
          </a:extLst>
        </xdr:cNvPr>
        <xdr:cNvCxnSpPr>
          <a:cxnSpLocks/>
        </xdr:cNvCxnSpPr>
      </xdr:nvCxnSpPr>
      <xdr:spPr>
        <a:xfrm flipH="1">
          <a:off x="8037407" y="5429250"/>
          <a:ext cx="1703493" cy="20625"/>
        </a:xfrm>
        <a:prstGeom prst="straightConnector1">
          <a:avLst/>
        </a:prstGeom>
        <a:ln w="22225" cap="rnd">
          <a:solidFill>
            <a:schemeClr val="tx1"/>
          </a:solidFill>
          <a:round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145740</xdr:colOff>
      <xdr:row>26</xdr:row>
      <xdr:rowOff>65598</xdr:rowOff>
    </xdr:from>
    <xdr:to>
      <xdr:col>6</xdr:col>
      <xdr:colOff>115725</xdr:colOff>
      <xdr:row>28</xdr:row>
      <xdr:rowOff>54633</xdr:rowOff>
    </xdr:to>
    <xdr:pic>
      <xdr:nvPicPr>
        <xdr:cNvPr id="19" name="Picture 2" descr="「icon プログラム」の画像検索結果">
          <a:extLst>
            <a:ext uri="{FF2B5EF4-FFF2-40B4-BE49-F238E27FC236}">
              <a16:creationId xmlns:a16="http://schemas.microsoft.com/office/drawing/2014/main" id="{C24A0C7F-1E22-8374-A73C-C686B2AD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40" y="5018598"/>
          <a:ext cx="370035" cy="37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118645</xdr:colOff>
      <xdr:row>22</xdr:row>
      <xdr:rowOff>176990</xdr:rowOff>
    </xdr:from>
    <xdr:to>
      <xdr:col>24</xdr:col>
      <xdr:colOff>74254</xdr:colOff>
      <xdr:row>29</xdr:row>
      <xdr:rowOff>145307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8E399F5-573C-4204-5D05-53A936FA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19095" y="4367990"/>
          <a:ext cx="1155759" cy="1301817"/>
        </a:xfrm>
        <a:prstGeom prst="rect">
          <a:avLst/>
        </a:prstGeom>
      </xdr:spPr>
    </xdr:pic>
    <xdr:clientData/>
  </xdr:twoCellAnchor>
  <xdr:twoCellAnchor>
    <xdr:from>
      <xdr:col>23</xdr:col>
      <xdr:colOff>190380</xdr:colOff>
      <xdr:row>25</xdr:row>
      <xdr:rowOff>102344</xdr:rowOff>
    </xdr:from>
    <xdr:to>
      <xdr:col>31</xdr:col>
      <xdr:colOff>14155</xdr:colOff>
      <xdr:row>27</xdr:row>
      <xdr:rowOff>28851</xdr:rowOff>
    </xdr:to>
    <xdr:sp macro="" textlink="">
      <xdr:nvSpPr>
        <xdr:cNvPr id="21" name="矢印: 左右 20">
          <a:extLst>
            <a:ext uri="{FF2B5EF4-FFF2-40B4-BE49-F238E27FC236}">
              <a16:creationId xmlns:a16="http://schemas.microsoft.com/office/drawing/2014/main" id="{C492839D-D3BB-CCCF-A501-393E14B1025F}"/>
            </a:ext>
          </a:extLst>
        </xdr:cNvPr>
        <xdr:cNvSpPr/>
      </xdr:nvSpPr>
      <xdr:spPr>
        <a:xfrm>
          <a:off x="4790955" y="4864844"/>
          <a:ext cx="1423975" cy="307507"/>
        </a:xfrm>
        <a:prstGeom prst="leftRightArrow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73268</xdr:colOff>
      <xdr:row>25</xdr:row>
      <xdr:rowOff>24712</xdr:rowOff>
    </xdr:from>
    <xdr:to>
      <xdr:col>28</xdr:col>
      <xdr:colOff>165613</xdr:colOff>
      <xdr:row>27</xdr:row>
      <xdr:rowOff>106482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33BDE848-BEC6-FAEC-C77B-1E10913DF61F}"/>
            </a:ext>
          </a:extLst>
        </xdr:cNvPr>
        <xdr:cNvSpPr/>
      </xdr:nvSpPr>
      <xdr:spPr>
        <a:xfrm>
          <a:off x="5273918" y="4787212"/>
          <a:ext cx="492395" cy="46277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67427</xdr:colOff>
      <xdr:row>25</xdr:row>
      <xdr:rowOff>73176</xdr:rowOff>
    </xdr:from>
    <xdr:to>
      <xdr:col>31</xdr:col>
      <xdr:colOff>169878</xdr:colOff>
      <xdr:row>28</xdr:row>
      <xdr:rowOff>73362</xdr:rowOff>
    </xdr:to>
    <xdr:sp macro="" textlink="">
      <xdr:nvSpPr>
        <xdr:cNvPr id="23" name="テキスト ボックス 4">
          <a:extLst>
            <a:ext uri="{FF2B5EF4-FFF2-40B4-BE49-F238E27FC236}">
              <a16:creationId xmlns:a16="http://schemas.microsoft.com/office/drawing/2014/main" id="{0E7039E5-7729-272F-059F-BB69D3D4436A}"/>
            </a:ext>
          </a:extLst>
        </xdr:cNvPr>
        <xdr:cNvSpPr txBox="1"/>
      </xdr:nvSpPr>
      <xdr:spPr>
        <a:xfrm>
          <a:off x="5268077" y="4835676"/>
          <a:ext cx="1102576" cy="571686"/>
        </a:xfrm>
        <a:prstGeom prst="rect">
          <a:avLst/>
        </a:prstGeom>
        <a:ln>
          <a:noFill/>
        </a:ln>
      </xdr:spPr>
      <xdr:txBody>
        <a:bodyPr vert="horz" wrap="square" lIns="91440" tIns="45720" rIns="91440" bIns="45720" rtlCol="0">
          <a:no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kumimoji="1"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アダプタ</a:t>
          </a:r>
          <a:endParaRPr kumimoji="1" lang="ja-JP" altLang="en-US" sz="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1\public\Documents%20and%20Settings\46167\&#12487;&#12473;&#12463;&#12488;&#12483;&#12503;\&#20241;&#26085;&#23550;&#24540;\RD_FI_2008(&#27161;&#28310;&#12452;&#12531;&#12479;&#12540;&#12501;&#12455;&#12540;&#12473;)\&#12501;&#12449;&#12452;&#12523;&#12524;&#12452;&#12450;&#12454;&#12488;(&#27161;&#28310;&#12452;&#12531;&#12479;&#12540;&#12501;&#12455;&#12540;&#12473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nt01\public\Documents%20and%20Settings\h-kagawa\&#12487;&#12473;&#12463;&#12488;&#12483;&#12503;\&#12469;&#12531;&#12473;&#12479;&#12540;\&#26481;&#26144;&#12398;&#12469;&#12531;&#12503;&#12523;\&#65297;-&#9312;%20&#22770;&#19978;&#12539;&#22770;&#25499;&#37329;&#35336;&#19978;&#12398;&#21462;&#36796;&#12415;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steams_358ee9/Shared%20Documents/General/04_&#35201;&#20214;&#23450;&#32681;/02_&#12467;&#12531;&#12475;&#12503;&#12488;&#12488;&#12524;&#12540;&#12491;&#12531;&#12464;/01_&#29872;&#22659;&#27083;&#31689;/01.JBS&#29872;&#22659;/&#12304;&#12469;&#12531;&#12473;&#12479;&#12540;&#27096;&#12305;&#20107;&#21069;&#12498;&#12450;&#12522;&#12531;&#12464;&#12471;&#12540;&#12488;.xlsx" TargetMode="External"/><Relationship Id="rId1" Type="http://schemas.openxmlformats.org/officeDocument/2006/relationships/externalLinkPath" Target="/sites/msteams_358ee9/Shared%20Documents/General/04_&#35201;&#20214;&#23450;&#32681;/02_&#12467;&#12531;&#12475;&#12503;&#12488;&#12488;&#12524;&#12540;&#12491;&#12531;&#12464;/01_&#29872;&#22659;&#27083;&#31689;/01.JBS&#29872;&#22659;/&#12304;&#12469;&#12531;&#12473;&#12479;&#12540;&#27096;&#12305;&#20107;&#21069;&#12498;&#12450;&#12522;&#12531;&#12464;&#12471;&#12540;&#1248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Relationship Id="rId2" Type="http://schemas.openxmlformats.org/officeDocument/2006/relationships/externalLinkPath" Target="https://jbsbpos1.sharepoint.com/sites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Relationship Id="rId1" Type="http://schemas.openxmlformats.org/officeDocument/2006/relationships/externalLinkPath" Target="/sites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nt01\Public\Documents%20and%20Settings\sfujita\&#12487;&#12473;&#12463;&#12488;&#12483;&#12503;\Book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My%20Documents\GYB&#36039;&#26009;\IF&#35201;&#20214;&#23450;&#32681;\&#35201;&#20214;&#23450;&#32681;&#26360;\M-001R0_1(&#12510;&#12523;&#12481;&#22312;&#24235;&#36578;&#36865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1\public\Documents%20and%20Settings\y-mino\&#12487;&#12473;&#12463;&#12488;&#12483;&#12503;\GS%20YUASA\&#12503;&#12525;&#12472;&#12455;&#12463;&#12488;&#36039;&#26009;\50&#38283;&#30330;\03_IMM-0040_&#30330;&#27880;&#20837;&#24235;&#12539;&#33258;&#21205;&#22770;&#19978;&#20966;&#29702;\10&#35201;&#20214;&#23450;&#32681;&#26360;\sample\M-001R0_1(&#12510;&#12523;&#12481;&#22312;&#24235;&#36578;&#36865;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27231;&#33021;&#26908;&#35388;&#12469;&#12540;&#12499;&#12473;&#21270;/&#12497;&#12521;&#12513;&#12540;&#12479;&#12471;&#12540;&#12488;/&#21442;&#32771;/&#12304;&#12469;&#12531;&#12503;&#12523;&#12305;FO&#12467;&#12531;&#12501;&#12451;&#12464;&#23450;&#32681;&#26360;_00_&#27861;&#20154;&#20316;&#25104;.xlsx" TargetMode="External"/><Relationship Id="rId1" Type="http://schemas.openxmlformats.org/officeDocument/2006/relationships/externalLinkPath" Target="/sites/CRMG852/Shared%20Documents/ERP%20Solution%20Groups/20.&#26045;&#31574;&#38306;&#36899;/FO&#27231;&#33021;&#26908;&#35388;&#12469;&#12540;&#12499;&#12473;&#21270;/&#12497;&#12521;&#12513;&#12540;&#12479;&#12471;&#12540;&#12488;/&#21442;&#32771;/&#12304;&#12469;&#12531;&#12503;&#12523;&#12305;FO&#12467;&#12531;&#12501;&#12451;&#12464;&#23450;&#32681;&#26360;_00_&#27861;&#20154;&#20316;&#25104;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11.&#35069;&#21697;&#24773;&#22577;&#31649;&#29702;.xlsx" TargetMode="External"/><Relationship Id="rId1" Type="http://schemas.openxmlformats.org/officeDocument/2006/relationships/externalLinkPath" Target="/sites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11.&#35069;&#21697;&#24773;&#22577;&#31649;&#29702;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moiwa/Downloads/&#12304;&#30011;&#38754;&#12501;&#12457;&#12540;&#12510;&#12483;&#12488;&#12305;XX-X-XX_&#35373;&#35336;&#26360;_&#65308;&#27231;&#33021;&#21517;&#31216;&#65310;%20(4).xlsx" TargetMode="External"/><Relationship Id="rId1" Type="http://schemas.openxmlformats.org/officeDocument/2006/relationships/externalLinkPath" Target="/Users/moiwa/Downloads/&#12304;&#30011;&#38754;&#12501;&#12457;&#12540;&#12510;&#12483;&#12488;&#12305;XX-X-XX_&#35373;&#35336;&#26360;_&#65308;&#27231;&#33021;&#21517;&#31216;&#65310;%20(4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steams_81539d/Shared%20Documents/01-CRM&#12539;&#26032;ERP&#23566;&#20837;PJ/98.&#29872;&#22659;&#31649;&#29702;/01.&#29872;&#22659;&#24773;&#22577;/&#12304;&#37117;&#31689;&#38651;&#27671;&#27096;&#12305;&#29872;&#22659;&#24773;&#22577;&#19968;&#35239;_JBS&#20869;&#37096;&#29992;.xlsx" TargetMode="External"/><Relationship Id="rId1" Type="http://schemas.openxmlformats.org/officeDocument/2006/relationships/externalLinkPath" Target="/sites/msteams_81539d/Shared%20Documents/01-CRM&#12539;&#26032;ERP&#23566;&#20837;PJ/98.&#29872;&#22659;&#31649;&#29702;/01.&#29872;&#22659;&#24773;&#22577;/&#12304;&#37117;&#31689;&#38651;&#27671;&#27096;&#12305;&#29872;&#22659;&#24773;&#22577;&#19968;&#35239;_JBS&#20869;&#37096;&#29992;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03.&#19968;&#33324;&#20250;&#35336;.xlsx" TargetMode="External"/><Relationship Id="rId1" Type="http://schemas.openxmlformats.org/officeDocument/2006/relationships/externalLinkPath" Target="/sites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03.&#19968;&#33324;&#20250;&#35336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8\share\Documents%20and%20Settings\User\&#12487;&#12473;&#12463;&#12488;&#12483;&#12503;\&#20316;&#26989;&#20013;&#35373;&#35336;&#26360;\&#12486;&#12540;&#12502;&#12523;&#23450;&#32681;&#26360;\ZKMETMT0012_&#12486;&#12540;&#12502;&#12523;&#12539;&#27083;&#36896;&#20849;&#29992;&#23450;&#32681;&#26360;&#65288;&#12481;&#12515;&#12540;&#12472;&#12501;&#12449;&#12452;&#12523;&#6528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-sv2\7d2\PROJECT\UTL\OLD\Y_MAINX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ifukuda_jbs_com/Documents/&#12487;&#12473;&#12463;&#12488;&#12483;&#12503;/FO&#27231;&#33021;&#26908;&#35388;&#12469;&#12540;&#12499;&#12473;&#21270;/&#12497;&#12521;&#12513;&#12540;&#12479;&#12471;&#12540;&#12488;/SATO_&#12497;&#12521;&#12513;&#12540;&#12479;&#23450;&#32681;&#26360;/BR100_ERP&#35373;&#23450;&#38917;&#30446;&#19968;&#35239;_&#36001;&#21209;&#32076;&#29702;&#65288;&#19968;&#33324;&#20250;&#35336;&#65289;_v4.0.xlsx" TargetMode="External"/><Relationship Id="rId1" Type="http://schemas.openxmlformats.org/officeDocument/2006/relationships/externalLinkPath" Target="/personal/mifukuda_jbs_com/Documents/&#12487;&#12473;&#12463;&#12488;&#12483;&#12503;/FO&#27231;&#33021;&#26908;&#35388;&#12469;&#12540;&#12499;&#12473;&#21270;/&#12497;&#12521;&#12513;&#12540;&#12479;&#12471;&#12540;&#12488;/SATO_&#12497;&#12521;&#12513;&#12540;&#12479;&#23450;&#32681;&#26360;/BR100_ERP&#35373;&#23450;&#38917;&#30446;&#19968;&#35239;_&#36001;&#21209;&#32076;&#29702;&#65288;&#19968;&#33324;&#20250;&#35336;&#65289;_v4.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27231;&#33021;&#26908;&#35388;&#12469;&#12540;&#12499;&#12473;&#21270;/&#12497;&#12521;&#12513;&#12540;&#12479;&#12471;&#12540;&#12488;/&#21442;&#32771;/&#12304;PSTC&#12305;FO&#12467;&#12531;&#12501;&#12451;&#12464;&#23450;&#32681;&#26360;_2.&#12471;&#12473;&#12486;&#12512;&#31649;&#29702;.xlsx" TargetMode="External"/><Relationship Id="rId1" Type="http://schemas.openxmlformats.org/officeDocument/2006/relationships/externalLinkPath" Target="/sites/CRMG852/Shared%20Documents/ERP%20Solution%20Groups/20.&#26045;&#31574;&#38306;&#36899;/FO&#27231;&#33021;&#26908;&#35388;&#12469;&#12540;&#12499;&#12473;&#21270;/&#12497;&#12521;&#12513;&#12540;&#12479;&#12471;&#12540;&#12488;/&#21442;&#32771;/&#12304;PSTC&#12305;FO&#12467;&#12531;&#12501;&#12451;&#12464;&#23450;&#32681;&#26360;_2.&#12471;&#12473;&#12486;&#12512;&#31649;&#29702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sui117\AERP\120.&#12481;&#12540;&#12512;\120-01.&#20849;&#36890;\&#26032;&#27770;&#31639;&#12503;&#12525;&#12475;&#12473;&#38306;&#36899;\&#25972;&#29702;&#29992;&#65420;&#65387;&#65433;&#65408;&#65438;\&#65404;&#65405;&#65411;&#65425;\&#65418;&#65439;&#65407;&#65402;&#65437;&#30740;&#20462;\Excel&#23455;&#36341;\(&#23436;&#25104;)&#35211;&#31309;&#26360;.xl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jal25f\tmp\@temp\3-1&amp;2&amp;3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yamadah/OneDrive/&#26085;&#26412;&#12499;&#12472;&#12493;&#12473;&#12471;&#12473;&#12486;&#12512;&#12474;&#26666;&#24335;&#20250;&#31038;/Guest-NXPJ%20-%20General/10.&#35201;&#20214;&#23450;&#32681;&#12501;&#12455;&#12540;&#12474;/12.&#12497;&#12521;&#12513;&#12540;&#12479;&#35373;&#23450;/&#12467;&#12531;&#12501;&#12451;&#12464;&#23450;&#32681;&#26360;/NEX/&#12304;&#32173;&#26032;Project&#12305;FO&#12467;&#12531;&#12501;&#12451;&#12464;&#23450;&#32681;&#26360;-NEX_1.&#19968;&#33324;&#20250;&#35336;.xlsx" TargetMode="External"/><Relationship Id="rId1" Type="http://schemas.openxmlformats.org/officeDocument/2006/relationships/externalLinkPath" Target="/Users/yamadah/OneDrive/&#26085;&#26412;&#12499;&#12472;&#12493;&#12473;&#12471;&#12473;&#12486;&#12512;&#12474;&#26666;&#24335;&#20250;&#31038;/Guest-NXPJ%20-%20General/10.&#35201;&#20214;&#23450;&#32681;&#12501;&#12455;&#12540;&#12474;/12.&#12497;&#12521;&#12513;&#12540;&#12479;&#35373;&#23450;/&#12467;&#12531;&#12501;&#12451;&#12464;&#23450;&#32681;&#26360;/NEX/&#12304;&#32173;&#26032;Project&#12305;FO&#12467;&#12531;&#12501;&#12451;&#12464;&#23450;&#32681;&#26360;-NEX_1.&#19968;&#33324;&#20250;&#353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TAB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１．InfoCube (YKCH0010) 案２"/>
      <sheetName val="１．InfoCube (YKCH0010)案１"/>
      <sheetName val="工数Worksheet"/>
      <sheetName val="Program List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緪集 (一覧出力CSV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  <sheetName val="n?f?o?"/>
      <sheetName val="+表紙!$AA$20社員リスト"/>
      <sheetName val="Employee_Info"/>
      <sheetName val="Product_and_Service_Catalog"/>
      <sheetName val="別紙用_(2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１．InfoCube_(YKCH0010)_案２"/>
      <sheetName val="１．InfoCube_(YKCH0010)案１"/>
      <sheetName val="Program_List"/>
      <sheetName val="1_選択条件画面レイアウト"/>
      <sheetName val="2-1_入力チェック(通常項目)"/>
      <sheetName val="3-1_データ抽出(前提条件無)"/>
      <sheetName val="3-2_データチェック（必須チェック）"/>
      <sheetName val="3-3-1_データチェック(存在チェック)"/>
      <sheetName val="3-3-1_データチェック(存在チェック2)"/>
      <sheetName val="3-3-1_データチェック(存在チェック3)"/>
      <sheetName val="3-3-1_データチェック(その他)"/>
      <sheetName val="3-3-1_データチェック(演算)"/>
      <sheetName val="3-3-2_更新処理-出力処理"/>
      <sheetName val="6_出力ファイルレイアウト"/>
      <sheetName val="7_更新結果(YMAK0390)"/>
      <sheetName val="7_更新結果(YMAK0450)"/>
      <sheetName val="7_更新結果(バッチインプット)"/>
      <sheetName val="10_終了処理"/>
      <sheetName val="2_入力チェック"/>
      <sheetName val="3-1_データ抽出(前提条件無)20050203追加"/>
      <sheetName val="3-2_データ抽出(前提条件有)"/>
      <sheetName val="4_データ集約・集計"/>
      <sheetName val="5_その他出力項目の抽出"/>
      <sheetName val="6_データ更新"/>
      <sheetName val="7_標準原価の少数点以下5桁対応"/>
      <sheetName val="テスト結果添付_2004_12_9"/>
      <sheetName val="テスト結果添付_2004_12_14"/>
      <sheetName val="テスト結果添付1_2005_02_03"/>
      <sheetName val="出力結果添付2_2005_02_03"/>
      <sheetName val="機能概要_"/>
      <sheetName val="処理機能記述書_(2)"/>
      <sheetName val="画面レイアウト_(１)"/>
      <sheetName val="画面項目定義書_(１)"/>
      <sheetName val="画面レイアウト_(2)"/>
      <sheetName val="画面項目定義書_(2)"/>
      <sheetName val="入力定義書_(BBKPF)"/>
      <sheetName val="入力定義書_(ZBSEG)"/>
      <sheetName val="入力定義書_(BBTAX)"/>
      <sheetName val="単体テスト仕様書_"/>
      <sheetName val="表紙_"/>
      <sheetName val="問い合わせ票_(中文)"/>
      <sheetName val="Employee_Info1"/>
      <sheetName val="Product_and_Service_Catalog1"/>
      <sheetName val="別紙用_(2)1"/>
      <sheetName val="UT_(指定条件検索)1"/>
      <sheetName val="UT_(発注人略称)1"/>
      <sheetName val="UT_(ｱｲﾃﾑNo)1"/>
      <sheetName val="UT_(ｱｲﾃﾑｵｰﾀﾞ)1"/>
      <sheetName val="UT_(相手先ｵｰﾀﾞ)1"/>
      <sheetName val="UT_(納入船積表示)1"/>
      <sheetName val="ﾌﾛｰ_1"/>
      <sheetName val="入力ﾁｪｯｸ_(指定条件検索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BIBL01"/>
      <sheetName val="転記キー"/>
      <sheetName val="税コード"/>
      <sheetName val="ﾜﾝﾀｲﾑ"/>
      <sheetName val="JGR"/>
      <sheetName val="支払方法"/>
      <sheetName val="基本数量単位"/>
      <sheetName val="ｻﾝﾌﾟﾙ伝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処理機能記述"/>
      <sheetName val="#REF"/>
      <sheetName val="レポートレイアウト"/>
      <sheetName val="社員リスト"/>
      <sheetName val="ﾘｽﾄ"/>
      <sheetName val="勤務体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記入票"/>
      <sheetName val="部門"/>
      <sheetName val="原価センター"/>
      <sheetName val="勘定科目表 "/>
      <sheetName val="財務分析コード"/>
      <sheetName val="銀行口座"/>
      <sheetName val="顧客"/>
      <sheetName val="仕入先"/>
      <sheetName val="消費税"/>
      <sheetName val="固定資産"/>
      <sheetName val="プロジェクト"/>
      <sheetName val="支払条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  <sheetName val="Q草稿"/>
      <sheetName val="メモ"/>
      <sheetName val="HR_0001AP"/>
      <sheetName val="HR_0002Dragle"/>
      <sheetName val="HR_0003EDI"/>
      <sheetName val="IFID_R3-Outbound"/>
      <sheetName val="HR_0004社員原簿"/>
      <sheetName val="HR_0005源泉"/>
      <sheetName val="HR_0005源泉(高木氏改修分)"/>
      <sheetName val="源泉の修正レイアウト"/>
      <sheetName val="HR_0006昇給"/>
      <sheetName val="HR_0006 040709"/>
      <sheetName val="HR_0006昇給画面レイアウト図"/>
      <sheetName val="承認票"/>
      <sheetName val="社員リスト"/>
      <sheetName val="勤務体系"/>
      <sheetName val="TABLE"/>
      <sheetName val="基本情報"/>
      <sheetName val="function"/>
      <sheetName val="JOBINFOD"/>
      <sheetName val="JOBINFOR"/>
      <sheetName val="SD_FUNCTION"/>
      <sheetName val="SD_TAB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表紙"/>
      <sheetName val="変更履歴"/>
      <sheetName val="処理概要"/>
      <sheetName val="テーブル一覧"/>
      <sheetName val="DFD"/>
      <sheetName val="イベント説明"/>
      <sheetName val="画面レイアウト "/>
      <sheetName val="画面項目説明"/>
      <sheetName val="帳票レイアウト"/>
      <sheetName val="帳票出力仕様"/>
      <sheetName val="ファイルレイアウト"/>
      <sheetName val="テーブル出力仕様(会計伝票情報取込ログ)"/>
      <sheetName val="補足説明（機能関連図）"/>
      <sheetName val="補足説明（データ区分一覧）"/>
      <sheetName val="補足説明（消費税計算）"/>
      <sheetName val="レビュー指摘事項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処理機能記述"/>
      <sheetName val="#REF"/>
      <sheetName val="レポートレイアウト"/>
      <sheetName val="社員リスト"/>
      <sheetName val="ﾘｽﾄ"/>
      <sheetName val="勤務体系"/>
      <sheetName val="確認書"/>
      <sheetName val="変更履歴"/>
      <sheetName val="処理機能概要"/>
      <sheetName val="画面遷移図"/>
      <sheetName val="画面レイアウト"/>
      <sheetName val="画面機能定義"/>
      <sheetName val="画面項目定義"/>
      <sheetName val="帳票レイアウト"/>
      <sheetName val="帳票項目定義"/>
      <sheetName val="テーブル項目編集定義"/>
      <sheetName val="ファイル項目定義"/>
      <sheetName val="ＢＩ要領定義"/>
      <sheetName val="BAPI編集要領"/>
      <sheetName val="メッセージ一覧"/>
      <sheetName val="補足説明"/>
      <sheetName val="TABLE"/>
      <sheetName val="障害検出率"/>
      <sheetName val="型TB"/>
      <sheetName val="Sheet1"/>
      <sheetName val="Sheet2"/>
      <sheetName val="Sheet3"/>
    </sheetNames>
    <definedNames>
      <definedName name="sheetprint"/>
      <definedName name="リピートボタン_Click"/>
      <definedName name="画面名表示"/>
      <definedName name="制御情報更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M-001R0_1(マルチ在庫転送)"/>
      <sheetName val="Sheet3"/>
      <sheetName val="処理機能記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処理機能記述"/>
      <sheetName val="ﾘｽﾄ"/>
      <sheetName val="調査シート"/>
      <sheetName val="データ"/>
      <sheetName val="MstI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システムパラメータ"/>
      <sheetName val="法人"/>
      <sheetName val="法人-設定値"/>
      <sheetName val="法人-番号順序 "/>
      <sheetName val="会計カレンダー"/>
      <sheetName val="会計カレンダー-設定値"/>
      <sheetName val="元帳カレンダー"/>
      <sheetName val="元帳カレンダー-設定値"/>
      <sheetName val="勘定科目表"/>
      <sheetName val="通貨-設定値"/>
      <sheetName val="勘定科目表-設定値"/>
      <sheetName val="通貨"/>
      <sheetName val="元帳"/>
      <sheetName val="元帳-勘定構造"/>
      <sheetName val="財務分析コード"/>
      <sheetName val="財務分析コード-設定値"/>
      <sheetName val="財務分析コード値"/>
      <sheetName val="財務分析コード値-設定値"/>
      <sheetName val="財務分析コードセット"/>
      <sheetName val="財務分析コードセット-設定値"/>
      <sheetName val="勘定構造のコンフィギュレーション"/>
      <sheetName val="勘定構造のコンフィギュレーション-設定値"/>
      <sheetName val="元帳転記グループ"/>
      <sheetName val="元帳転記グループ-設定値"/>
      <sheetName val="消費税所轄官庁"/>
      <sheetName val="消費税所轄官庁-設定値"/>
      <sheetName val="消費税決済期間"/>
      <sheetName val="消費税決済期間-設定値"/>
      <sheetName val="消費税決済期間_間隔-設定値"/>
      <sheetName val="消費税コード"/>
      <sheetName val="消費税コード-設定値"/>
      <sheetName val="消費税コードの値-設定値 "/>
      <sheetName val="消費税グループ"/>
      <sheetName val="消費税グループ-設定値"/>
      <sheetName val="消費税グループ_設定-設定値"/>
      <sheetName val="品目消費税グループ"/>
      <sheetName val="品目消費税グループ-設定値"/>
      <sheetName val="主勘定"/>
      <sheetName val="主勘定-設定値"/>
      <sheetName val="主勘定（法人の上書き）-設定値"/>
      <sheetName val="主勘定（既定の財務分析コード）-設定値"/>
      <sheetName val="主勘定（消費税）-設定値"/>
      <sheetName val="番号順序"/>
      <sheetName val="番号順序-設定値"/>
      <sheetName val="仕訳帳名"/>
      <sheetName val="仕訳帳名-設定値"/>
      <sheetName val="銀行口座"/>
      <sheetName val=" 銀行口座-設定値"/>
      <sheetName val="銀行グループ"/>
      <sheetName val="銀行グループ-設定値"/>
      <sheetName val="顧客グループ"/>
      <sheetName val="顧客グループ-設定値"/>
      <sheetName val="顧客転記プロファイル"/>
      <sheetName val="顧客転記プロファイル-設定値"/>
      <sheetName val="顧客転記プロファイル_設定-設定値"/>
      <sheetName val="支払方法_売掛"/>
      <sheetName val="支払方法_売掛-設定値"/>
      <sheetName val="支払期日"/>
      <sheetName val="支払期日-設定値"/>
      <sheetName val="支払条件"/>
      <sheetName val="支払条件-設定値"/>
      <sheetName val="仕入先グループ"/>
      <sheetName val="仕入先グループ-設定値"/>
      <sheetName val="仕入先転記プロファイル"/>
      <sheetName val="仕入先転記プロファイル-設定値"/>
      <sheetName val="仕入先転記プロファイル_設定-設定値"/>
      <sheetName val="支払方法_買掛"/>
      <sheetName val="支払方法_買掛-設定値"/>
      <sheetName val="住所の設定"/>
      <sheetName val="住所の形式-設定値"/>
      <sheetName val="都道府県-設定値"/>
      <sheetName val="サイト"/>
      <sheetName val="サイト-設定値"/>
      <sheetName val="倉庫"/>
      <sheetName val="倉庫-設定値"/>
      <sheetName val="品目グループ"/>
      <sheetName val="品目グループ-設定値"/>
      <sheetName val="品目グループの転記"/>
      <sheetName val="品目グループの転記-設定値"/>
      <sheetName val="品目モデルグループ"/>
      <sheetName val="品目モデルグループ-設定値"/>
      <sheetName val="保管分析コードグループ"/>
      <sheetName val="保管分析コードグループ-設定値"/>
      <sheetName val="保管分析コードグループ-保管分析コード"/>
      <sheetName val="追跡用分析コードグループ"/>
      <sheetName val="追跡用分析コードグループ-設定値"/>
      <sheetName val="追跡用分析コードグループ-追跡用分析コード"/>
      <sheetName val="追跡番号グループ"/>
      <sheetName val="追跡番号グループ-設定値"/>
      <sheetName val="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製品情報管理パラメータ―"/>
      <sheetName val="製品情報管理パラメータ―-番号順序"/>
      <sheetName val="保管分析コードグループ"/>
      <sheetName val="保管分析コードグループ-設定値"/>
      <sheetName val="保管分析コードグループ-保管分析コード"/>
      <sheetName val="追跡用分析コードグループ"/>
      <sheetName val="追跡用分析コードグループ-設定値"/>
      <sheetName val="追跡用分析コードグループ-追跡用分析コード"/>
      <sheetName val="カテゴリ階層 "/>
      <sheetName val="カテゴリ階層 -設定値"/>
      <sheetName val="カテゴリ階層ロールのアソシエーション "/>
      <sheetName val="カテゴリ階層ロールのアソシエーション  -設定値"/>
      <sheetName val="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処理概要"/>
      <sheetName val="テーブル一覧"/>
      <sheetName val="DFD"/>
      <sheetName val="イベント説明"/>
      <sheetName val="画面レイアウト"/>
      <sheetName val="画面項目説明"/>
      <sheetName val="テーブル出力項目"/>
      <sheetName val="補足説明"/>
      <sheetName val="オブジェクト一覧"/>
      <sheetName val="プログラムフロー図"/>
      <sheetName val="マスタ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&lt;テナント名&gt;"/>
      <sheetName val="ライフサイクル"/>
      <sheetName val="ライフサイクル_FO側追記_DW"/>
      <sheetName val="ライフサイクル_FO側追記_バックアップ&amp;リストア"/>
      <sheetName val="ライフサイクル_FO側追記_バックアップ&amp;リストア_old"/>
      <sheetName val="ライフサイクル_FO側追記_DW (応当日対応)_230508"/>
      <sheetName val="環境一覧"/>
      <sheetName val="ライフサイクル_FO側追記_DW (応当日対応)bk"/>
      <sheetName val="ライフサイクル_FO側追記_DW（応当日対応）"/>
      <sheetName val="環境一覧_費用計算_230508"/>
      <sheetName val="ライフサイクル_FO側追記_バックアップリストア（応当日）"/>
      <sheetName val="MA・FO各環境費用計算"/>
      <sheetName val="CHE見積ツール"/>
      <sheetName val="CHE見積ツール_20230816以前"/>
      <sheetName val="月額課金環境"/>
      <sheetName val="Master"/>
      <sheetName val="マスタ"/>
      <sheetName val="連携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一般会計パラメータ"/>
      <sheetName val="一般会計パラメータ-設定値"/>
      <sheetName val="一般会計パラメータ-番号順序"/>
      <sheetName val="会計カレンダー"/>
      <sheetName val="会計カレンダー-設定値"/>
      <sheetName val="元帳カレンダー"/>
      <sheetName val="元帳カレンダー-設定値"/>
      <sheetName val="勘定科目表"/>
      <sheetName val="勘定科目表-設定値"/>
      <sheetName val="通貨"/>
      <sheetName val="通貨-設定値"/>
      <sheetName val="元帳"/>
      <sheetName val="元帳-勘定構造"/>
      <sheetName val="主勘定"/>
      <sheetName val="主勘定-設定値"/>
      <sheetName val="主勘定（法人の上書き）-設定値"/>
      <sheetName val="主勘定（既定の財務分析コード）-設定値"/>
      <sheetName val="主勘定（消費税）-設定値"/>
      <sheetName val="財務分析コード"/>
      <sheetName val="財務分析コード-設定値"/>
      <sheetName val="勘定構造のコンフィギュレーション"/>
      <sheetName val="勘定構造のコンフィギュレーション-設定値"/>
      <sheetName val="仕訳帳名"/>
      <sheetName val="仕訳帳名-設定値"/>
      <sheetName val="財務分析コードセット"/>
      <sheetName val="財務分析コードセット-設定値"/>
      <sheetName val="既定の説明"/>
      <sheetName val="既定の説明-設定値"/>
      <sheetName val="アプリケーション統合用の財務分析コードの構成"/>
      <sheetName val="アプリケーション統合用の財務分析コード-設定値"/>
      <sheetName val="仕訳帳の説明"/>
      <sheetName val="仕訳帳の説明-設定値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マット"/>
      <sheetName val="リストBOX定義"/>
      <sheetName val="商品一覧"/>
      <sheetName val="T"/>
      <sheetName val="承認票"/>
      <sheetName val="【Header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_MAINX"/>
      <sheetName val="リストBOX定義"/>
      <sheetName val="承認票"/>
      <sheetName val="TABLE"/>
      <sheetName val="障害管理票"/>
      <sheetName val="#REF"/>
      <sheetName val="型TB"/>
    </sheetNames>
    <definedNames>
      <definedName name="パターン"/>
      <definedName name="フォント"/>
      <definedName name="罫線"/>
      <definedName name="高さ"/>
      <definedName name="再表示_行"/>
      <definedName name="再表示_列"/>
      <definedName name="自動"/>
      <definedName name="選択範囲"/>
      <definedName name="配置"/>
      <definedName name="非表示_行"/>
      <definedName name="非表示_列"/>
      <definedName name="標準幅"/>
      <definedName name="表示形式"/>
      <definedName name="幅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改版履歴"/>
      <sheetName val="ERP設定項目一覧"/>
      <sheetName val="1.1　法人-番号順序（NEX）"/>
      <sheetName val="一般会計パラメータ"/>
      <sheetName val="一般会計パラメータ-番号順序"/>
      <sheetName val="元帳"/>
      <sheetName val="元帳-勘定構造"/>
      <sheetName val="会計カレンダー"/>
      <sheetName val="会計カレンダー-設定値"/>
      <sheetName val="通貨"/>
      <sheetName val="通貨-設定値"/>
      <sheetName val="勘定科目表"/>
      <sheetName val="勘定科目表-設定値"/>
      <sheetName val="勘定構造のコンフィギュレーション"/>
      <sheetName val="勘定構造のコンフィギュレーション-設定値"/>
      <sheetName val="主勘定カテゴリ"/>
      <sheetName val="主勘定カテゴリ-設定値"/>
      <sheetName val="財務分析コード"/>
      <sheetName val="財務分析コード-設定値"/>
      <sheetName val="財務分析コード値"/>
      <sheetName val="財務分析コード値-設定値"/>
      <sheetName val="財務分析コード（翻訳）"/>
      <sheetName val="財務分析コード（翻訳）-設定値"/>
      <sheetName val="元帳カレンダー"/>
      <sheetName val="元帳カレンダー-設定値"/>
      <sheetName val="仕訳帳名"/>
      <sheetName val="仕訳帳名-設定値"/>
      <sheetName val="通貨の再評価勘定"/>
      <sheetName val="通貨の再評価勘定-設定値"/>
      <sheetName val="通貨の為替レート"/>
      <sheetName val="通貨の為替レート-設定値"/>
      <sheetName val="為替レートタイプ "/>
      <sheetName val="為替レートタイプ-設定値"/>
      <sheetName val="日付範囲"/>
      <sheetName val="日付範囲-設定値"/>
      <sheetName val="財務分析コードセット"/>
      <sheetName val="財務分析コードセット-設定値"/>
      <sheetName val="自動トランザクションの勘定"/>
      <sheetName val="自動トランザクションの勘定-設定値"/>
      <sheetName val="既定の説明"/>
      <sheetName val="既定の説明-設定値"/>
      <sheetName val="アプリケーション統合用の財務分析コードの構成"/>
      <sheetName val="アプリケーション統合用の財務分析コード-設定値"/>
      <sheetName val="主勘定"/>
      <sheetName val="主勘定-設定値"/>
      <sheetName val="主勘定（法人の上書き）-設定値"/>
      <sheetName val="一般会計ワークフロー"/>
      <sheetName val="一般会計ワークフロー-設定値"/>
      <sheetName val="マスタ"/>
      <sheetName val="年度末決算テンプレートの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表紙  "/>
      <sheetName val="承認票"/>
      <sheetName val="単体ﾃｽﾄ定義書"/>
      <sheetName val="ヘッダー"/>
      <sheetName val="TìÆvæ"/>
      <sheetName val="|[gCAEg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3_ステージング機能定義書（処理概要）"/>
      <sheetName val="4_ステージング機能定義書（処理フロー）"/>
      <sheetName val="6_ステージング機能定義書（項目対比表）"/>
      <sheetName val="cdhdr.einkbeleg.2005.12.12.aa"/>
      <sheetName val="CDPOS.1"/>
      <sheetName val="Sheet4"/>
      <sheetName val="ekpo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社員リスト"/>
      <sheetName val="|_gCAEg"/>
      <sheetName val="ƒŒƒ|_ƒgƒŒƒCƒAƒEƒg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貨物保険料対象条件マスタ"/>
      <sheetName val="リスト値"/>
      <sheetName val="調査シート"/>
      <sheetName val=""/>
      <sheetName val="処理機能記述"/>
      <sheetName val="マスタ"/>
      <sheetName val="テーブル"/>
      <sheetName val="ﾏｽﾀｰ(Z82)"/>
      <sheetName val="型TB"/>
      <sheetName val="T"/>
      <sheetName val="勤務体系"/>
      <sheetName val="リストBOX定義"/>
      <sheetName val="リスト"/>
      <sheetName val="【参考】パラメータ設定値"/>
      <sheetName val="1.2.list"/>
      <sheetName val="コード定義"/>
      <sheetName val="見積テーブル"/>
      <sheetName val="帳票レイアウト（鑑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表紙v1"/>
      <sheetName val="コンフィグ設定一覧"/>
      <sheetName val="1.1　法人-番号順序（NEX）"/>
      <sheetName val="システムパラメータ"/>
      <sheetName val="ユーザーグループ"/>
      <sheetName val="ユーザーグループ-設定値"/>
      <sheetName val="電子メールパラメーター"/>
      <sheetName val="電子メールパラメーター-設定値"/>
      <sheetName val="システムの電子メールテンプレート"/>
      <sheetName val="システムの電子メールテンプレート-設定値"/>
      <sheetName val="電子メールディストリビュータバッチ"/>
      <sheetName val="電子メールディストリビュータバッチ-設定値"/>
      <sheetName val="AADアプリケーション"/>
      <sheetName val="AADアプリケーション-設定値"/>
      <sheetName val="機能管理"/>
      <sheetName val="ワークフロー IF コンフィグ"/>
      <sheetName val="B2B 招待状のコンフィギュレーション"/>
      <sheetName val="外部ロール"/>
      <sheetName val="外部ロール-設定値 "/>
      <sheetName val="ユーザーワークフロー"/>
      <sheetName val="ユーザーワークフロー-設定値 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書"/>
      <sheetName val="商品一覧"/>
      <sheetName val="承認票"/>
      <sheetName val="(完成)見積書"/>
      <sheetName val="自動・手動総メッセージ_20001124修正版"/>
      <sheetName val="銀行補助と使用管理単位の紐つけ(fabs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改訂履歴"/>
      <sheetName val="コンフィグ設定一覧"/>
      <sheetName val="1.1　法人"/>
      <sheetName val="1.1 法人-変更履歴"/>
      <sheetName val="1.1　法人-設定値"/>
      <sheetName val="1.1　法人-番号順序（MEDC）"/>
      <sheetName val="1.1　法人-設定値NEX"/>
      <sheetName val="1.1　法人-住所"/>
      <sheetName val="1.1　法人-連絡先情報"/>
      <sheetName val="1.1　法人-番号順序（NEX）"/>
      <sheetName val="1.2　一般会計パラメータ"/>
      <sheetName val="1.2 一般会計パラメータ変更履歴 "/>
      <sheetName val="1.2　一般会計パラメータ-番号順序"/>
      <sheetName val="1.3　元帳"/>
      <sheetName val="1.3　元帳‐変更履歴"/>
      <sheetName val="1.3　元帳-勘定構造"/>
      <sheetName val="1.4　会計カレンダー"/>
      <sheetName val="1.4　会計カレンダー‐変更履歴 "/>
      <sheetName val="1.4　会計カレンダー-設定値"/>
      <sheetName val="1.5　通貨"/>
      <sheetName val="1.5　通貨‐変更履歴  "/>
      <sheetName val="1.5　通貨-設定値"/>
      <sheetName val="1.6　勘定科目表"/>
      <sheetName val="1.6　勘定科目表‐変更履歴  "/>
      <sheetName val="1.6　勘定科目表-設定値"/>
      <sheetName val="1.7　勘定構造のコンフィギュレーション"/>
      <sheetName val="1.7　勘定構造のコンフィギュレーション-変更履歴  "/>
      <sheetName val="1.7　勘定構造のコンフィギュレーション-設定値"/>
      <sheetName val="1.8　主勘定カテゴリ"/>
      <sheetName val="1.8　主勘定カテゴリ-変更履歴  "/>
      <sheetName val="1.8　主勘定カテゴリ-設定値"/>
      <sheetName val="1.9 財務分析コード"/>
      <sheetName val="1.9 財務分析コード-変更履歴  "/>
      <sheetName val="1.9 財務分析コード-設定値"/>
      <sheetName val="1.10 財務分析コード値"/>
      <sheetName val="1.10 財務分析コード値-変更履歴   "/>
      <sheetName val="1.10 財務分析コード値-設定値"/>
      <sheetName val="1.10 財務分析コード値（法人の上書き）-設定値"/>
      <sheetName val="1.11 財務分析コード（主勘定）"/>
      <sheetName val="1.11 財務分析コード（主勘定）-変更履歴    "/>
      <sheetName val="1.11 財務分析コード（主勘定）-設定値"/>
      <sheetName val="1.12 元帳カレンダー"/>
      <sheetName val="1.12 元帳カレンダー-変更履歴 "/>
      <sheetName val="1.12 元帳カレンダー-設定値"/>
      <sheetName val="1.13 仕訳帳名"/>
      <sheetName val="1.13 仕訳帳名-変更履歴  "/>
      <sheetName val="1.13 仕訳帳名-設定値"/>
      <sheetName val="1.14 通貨の再評価勘定"/>
      <sheetName val="1.14 通貨の再評価勘定-設定値-変更履歴  "/>
      <sheetName val="1.14 通貨の再評価勘定-設定値"/>
      <sheetName val="1.15 通貨の為替レート"/>
      <sheetName val="1.15 通貨の為替レート-変更履歴 "/>
      <sheetName val="1.15 通貨の為替レート-設定値"/>
      <sheetName val="1.16 為替レートタイプ "/>
      <sheetName val="1.16 為替レートタイプ -変更履歴 "/>
      <sheetName val="1.16 為替レートタイプ-設定値"/>
      <sheetName val="1.17 外貨再評価"/>
      <sheetName val="1.17 外貨再評価 -変更履歴 "/>
      <sheetName val="1.18 日付範囲"/>
      <sheetName val="1.18 日付範囲 -変更履歴"/>
      <sheetName val="1.18 日付範囲-設定値"/>
      <sheetName val="1.19 財務分析コードセット"/>
      <sheetName val="1.19 財務分析コードセット-変更履歴  "/>
      <sheetName val="1.19 財務分析コードセット-設定値"/>
      <sheetName val="1.20 自動トランザクションの勘定"/>
      <sheetName val="1.20 自動トランザクションの勘定-変更履歴"/>
      <sheetName val="1.20 自動トランザクションの勘定-設定値"/>
      <sheetName val="1.21 既定の説明"/>
      <sheetName val="1.21 既定の説明-変更履歴   "/>
      <sheetName val="1.21 既定の説明-設定値"/>
      <sheetName val="1.22 アプリケーション統合用の財務分析コードの構成"/>
      <sheetName val="1.22 アプリケーション統合用の財務-変更履歴   "/>
      <sheetName val="1.22 アプリケーション統合用の財務分析コード-設定値"/>
      <sheetName val="1.23　主勘定"/>
      <sheetName val="1.23　主勘定-変更履歴"/>
      <sheetName val="1.23　主勘定-設定値"/>
      <sheetName val="1.23　主勘定（法人の上書き）-設定値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41C-74F9-4834-A618-9933C7EE4F0C}">
  <dimension ref="B1:CC36"/>
  <sheetViews>
    <sheetView zoomScale="70" zoomScaleNormal="70" workbookViewId="0"/>
  </sheetViews>
  <sheetFormatPr defaultColWidth="2.09765625" defaultRowHeight="15" customHeight="1" x14ac:dyDescent="0.45"/>
  <cols>
    <col min="1" max="16384" width="2.09765625" style="2"/>
  </cols>
  <sheetData>
    <row r="1" spans="2:81" ht="15" customHeight="1" thickBot="1" x14ac:dyDescent="0.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2:81" ht="15" customHeight="1" x14ac:dyDescent="0.4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5"/>
    </row>
    <row r="3" spans="2:81" ht="15" customHeight="1" x14ac:dyDescent="0.45">
      <c r="B3" s="6"/>
      <c r="C3" s="7"/>
      <c r="D3" s="8" t="s">
        <v>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9"/>
    </row>
    <row r="4" spans="2:81" ht="15" customHeight="1" x14ac:dyDescent="0.4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9"/>
    </row>
    <row r="5" spans="2:81" ht="15" customHeight="1" thickBot="1" x14ac:dyDescent="0.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9"/>
    </row>
    <row r="6" spans="2:81" ht="15" customHeight="1" x14ac:dyDescent="0.4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32" t="s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4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9"/>
    </row>
    <row r="7" spans="2:81" ht="15" customHeight="1" x14ac:dyDescent="0.4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35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9"/>
    </row>
    <row r="8" spans="2:81" ht="15" customHeight="1" x14ac:dyDescent="0.4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35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9"/>
    </row>
    <row r="9" spans="2:81" ht="15" customHeight="1" x14ac:dyDescent="0.4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35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9"/>
    </row>
    <row r="10" spans="2:81" ht="15" customHeight="1" x14ac:dyDescent="0.4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38" t="s">
        <v>2</v>
      </c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40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9"/>
    </row>
    <row r="11" spans="2:81" ht="15" customHeight="1" x14ac:dyDescent="0.4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38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40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9"/>
    </row>
    <row r="12" spans="2:81" ht="15" customHeight="1" thickBot="1" x14ac:dyDescent="0.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41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3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9"/>
    </row>
    <row r="13" spans="2:81" ht="15" customHeight="1" x14ac:dyDescent="0.4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9"/>
    </row>
    <row r="14" spans="2:81" ht="15" customHeight="1" x14ac:dyDescent="0.4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9"/>
    </row>
    <row r="15" spans="2:81" ht="15" customHeight="1" x14ac:dyDescent="0.4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9"/>
    </row>
    <row r="16" spans="2:81" ht="15" customHeight="1" x14ac:dyDescent="0.4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9"/>
    </row>
    <row r="17" spans="2:81" ht="15" customHeight="1" x14ac:dyDescent="0.45">
      <c r="B17" s="29" t="s">
        <v>3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1"/>
    </row>
    <row r="18" spans="2:81" ht="15" customHeight="1" x14ac:dyDescent="0.3">
      <c r="B18" s="6"/>
      <c r="C18" s="7"/>
      <c r="D18" s="7"/>
      <c r="E18" s="7"/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9"/>
    </row>
    <row r="19" spans="2:81" ht="15" customHeight="1" x14ac:dyDescent="0.45">
      <c r="B19" s="44">
        <v>45435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1"/>
    </row>
    <row r="20" spans="2:81" ht="15" customHeight="1" x14ac:dyDescent="0.3">
      <c r="B20" s="6"/>
      <c r="C20" s="7"/>
      <c r="D20" s="7"/>
      <c r="E20" s="7"/>
      <c r="F20" s="11"/>
      <c r="G20" s="11"/>
      <c r="H20" s="11"/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9"/>
    </row>
    <row r="21" spans="2:81" ht="15" customHeight="1" x14ac:dyDescent="0.45">
      <c r="B21" s="29" t="s">
        <v>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1"/>
    </row>
    <row r="22" spans="2:81" ht="15" customHeight="1" x14ac:dyDescent="0.3">
      <c r="B22" s="6"/>
      <c r="C22" s="7"/>
      <c r="D22" s="7"/>
      <c r="E22" s="7"/>
      <c r="F22" s="11"/>
      <c r="G22" s="11"/>
      <c r="H22" s="11"/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9"/>
    </row>
    <row r="23" spans="2:81" ht="15" customHeight="1" x14ac:dyDescent="0.45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1"/>
    </row>
    <row r="24" spans="2:81" ht="15" customHeight="1" x14ac:dyDescent="0.3">
      <c r="B24" s="6"/>
      <c r="C24" s="7"/>
      <c r="D24" s="7"/>
      <c r="E24" s="7"/>
      <c r="F24" s="11"/>
      <c r="G24" s="11"/>
      <c r="H24" s="11"/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9"/>
    </row>
    <row r="25" spans="2:81" ht="15" customHeight="1" x14ac:dyDescent="0.3"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9"/>
    </row>
    <row r="26" spans="2:81" ht="15" customHeight="1" x14ac:dyDescent="0.3"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9"/>
    </row>
    <row r="27" spans="2:81" ht="15" customHeight="1" x14ac:dyDescent="0.3"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9"/>
    </row>
    <row r="28" spans="2:81" ht="15" customHeight="1" x14ac:dyDescent="0.3"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9"/>
    </row>
    <row r="29" spans="2:81" ht="15" customHeight="1" x14ac:dyDescent="0.3"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9"/>
    </row>
    <row r="30" spans="2:81" ht="15" customHeight="1" x14ac:dyDescent="0.3"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9"/>
    </row>
    <row r="31" spans="2:81" ht="15" customHeight="1" x14ac:dyDescent="0.3"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9"/>
    </row>
    <row r="32" spans="2:81" ht="15" customHeight="1" x14ac:dyDescent="0.3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9"/>
    </row>
    <row r="33" spans="2:81" ht="15" customHeight="1" x14ac:dyDescent="0.3"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9"/>
    </row>
    <row r="34" spans="2:81" ht="15" customHeight="1" x14ac:dyDescent="0.3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9"/>
    </row>
    <row r="35" spans="2:81" ht="15" customHeight="1" x14ac:dyDescent="0.45">
      <c r="B35" s="6"/>
      <c r="C35" s="7"/>
      <c r="D35" s="7"/>
      <c r="E35" s="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9"/>
    </row>
    <row r="36" spans="2:81" ht="15" customHeight="1" thickBot="1" x14ac:dyDescent="0.5">
      <c r="B36" s="15"/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0"/>
    </row>
  </sheetData>
  <mergeCells count="6">
    <mergeCell ref="B23:CC23"/>
    <mergeCell ref="V6:BK9"/>
    <mergeCell ref="V10:BK12"/>
    <mergeCell ref="B17:CC17"/>
    <mergeCell ref="B19:CC19"/>
    <mergeCell ref="B21:CC2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1974-D207-45B1-AA77-668A2D89DD12}">
  <dimension ref="A1:BP40"/>
  <sheetViews>
    <sheetView showGridLines="0" zoomScale="80" zoomScaleNormal="80" workbookViewId="0">
      <pane ySplit="5" topLeftCell="A6" activePane="bottomLeft" state="frozen"/>
      <selection pane="bottomLeft" activeCell="A6" sqref="A6:E6"/>
    </sheetView>
  </sheetViews>
  <sheetFormatPr defaultColWidth="2.3984375" defaultRowHeight="15" customHeight="1" x14ac:dyDescent="0.45"/>
  <cols>
    <col min="1" max="47" width="2.3984375" style="27"/>
    <col min="48" max="48" width="2.3984375" style="27" customWidth="1"/>
    <col min="49" max="16384" width="2.3984375" style="27"/>
  </cols>
  <sheetData>
    <row r="1" spans="1:68" s="24" customFormat="1" ht="15" customHeight="1" thickBot="1" x14ac:dyDescent="0.5">
      <c r="A1" s="67" t="s">
        <v>5</v>
      </c>
      <c r="B1" s="68"/>
      <c r="C1" s="68"/>
      <c r="D1" s="68"/>
      <c r="E1" s="69"/>
      <c r="F1" s="76" t="s">
        <v>6</v>
      </c>
      <c r="G1" s="77"/>
      <c r="H1" s="77"/>
      <c r="I1" s="77"/>
      <c r="J1" s="77"/>
      <c r="K1" s="77"/>
      <c r="L1" s="77"/>
      <c r="M1" s="77"/>
      <c r="N1" s="77"/>
      <c r="O1" s="77"/>
      <c r="P1" s="78"/>
      <c r="Q1" s="79" t="s">
        <v>7</v>
      </c>
      <c r="R1" s="80"/>
      <c r="S1" s="80"/>
      <c r="T1" s="80"/>
      <c r="U1" s="80"/>
      <c r="V1" s="81"/>
      <c r="W1" s="76" t="s">
        <v>8</v>
      </c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8"/>
      <c r="AT1" s="82" t="s">
        <v>9</v>
      </c>
      <c r="AU1" s="83"/>
      <c r="AV1" s="83"/>
      <c r="AW1" s="83"/>
      <c r="AX1" s="83"/>
      <c r="AY1" s="83"/>
      <c r="AZ1" s="83"/>
      <c r="BA1" s="84"/>
      <c r="BB1" s="85" t="s">
        <v>10</v>
      </c>
      <c r="BC1" s="86"/>
      <c r="BD1" s="87"/>
      <c r="BE1" s="87"/>
      <c r="BF1" s="87"/>
      <c r="BG1" s="87"/>
      <c r="BH1" s="87"/>
      <c r="BI1" s="88"/>
      <c r="BJ1" s="23"/>
      <c r="BK1" s="23"/>
      <c r="BL1" s="23"/>
      <c r="BM1" s="23"/>
      <c r="BN1" s="23"/>
      <c r="BO1" s="23"/>
      <c r="BP1" s="23"/>
    </row>
    <row r="2" spans="1:68" s="24" customFormat="1" ht="15" customHeight="1" x14ac:dyDescent="0.45">
      <c r="A2" s="70"/>
      <c r="B2" s="71"/>
      <c r="C2" s="71"/>
      <c r="D2" s="71"/>
      <c r="E2" s="72"/>
      <c r="F2" s="89" t="s">
        <v>11</v>
      </c>
      <c r="G2" s="90"/>
      <c r="H2" s="90"/>
      <c r="I2" s="90"/>
      <c r="J2" s="90"/>
      <c r="K2" s="90"/>
      <c r="L2" s="90"/>
      <c r="M2" s="90"/>
      <c r="N2" s="90"/>
      <c r="O2" s="90"/>
      <c r="P2" s="91"/>
      <c r="Q2" s="89" t="s">
        <v>12</v>
      </c>
      <c r="R2" s="90"/>
      <c r="S2" s="90"/>
      <c r="T2" s="90"/>
      <c r="U2" s="90"/>
      <c r="V2" s="91"/>
      <c r="W2" s="95" t="s">
        <v>13</v>
      </c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7"/>
      <c r="AT2" s="101" t="s">
        <v>14</v>
      </c>
      <c r="AU2" s="102"/>
      <c r="AV2" s="45">
        <f>A6</f>
        <v>45435</v>
      </c>
      <c r="AW2" s="45"/>
      <c r="AX2" s="45"/>
      <c r="AY2" s="45"/>
      <c r="AZ2" s="45"/>
      <c r="BA2" s="46"/>
      <c r="BB2" s="47" t="str">
        <f>AZ6</f>
        <v>JBS加藤</v>
      </c>
      <c r="BC2" s="48"/>
      <c r="BD2" s="49"/>
      <c r="BE2" s="49"/>
      <c r="BF2" s="49"/>
      <c r="BG2" s="49"/>
      <c r="BH2" s="49"/>
      <c r="BI2" s="50"/>
      <c r="BJ2" s="23"/>
      <c r="BK2" s="23"/>
      <c r="BL2" s="23"/>
      <c r="BM2" s="23"/>
      <c r="BN2" s="23"/>
      <c r="BO2" s="23"/>
      <c r="BP2" s="23"/>
    </row>
    <row r="3" spans="1:68" s="24" customFormat="1" ht="15" customHeight="1" thickBot="1" x14ac:dyDescent="0.5">
      <c r="A3" s="73"/>
      <c r="B3" s="74"/>
      <c r="C3" s="74"/>
      <c r="D3" s="74"/>
      <c r="E3" s="75"/>
      <c r="F3" s="92"/>
      <c r="G3" s="93"/>
      <c r="H3" s="93"/>
      <c r="I3" s="93"/>
      <c r="J3" s="93"/>
      <c r="K3" s="93"/>
      <c r="L3" s="93"/>
      <c r="M3" s="93"/>
      <c r="N3" s="93"/>
      <c r="O3" s="93"/>
      <c r="P3" s="94"/>
      <c r="Q3" s="92"/>
      <c r="R3" s="93"/>
      <c r="S3" s="93"/>
      <c r="T3" s="93"/>
      <c r="U3" s="93"/>
      <c r="V3" s="94"/>
      <c r="W3" s="98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51" t="s">
        <v>15</v>
      </c>
      <c r="AU3" s="52"/>
      <c r="AV3" s="53" cm="1">
        <f t="array" aca="1" ref="AV3" ca="1">IF(OR(COUNTA(A:E)=2),"",INDIRECT("A"&amp;COUNTA(A:E)+3))</f>
        <v>45435</v>
      </c>
      <c r="AW3" s="53"/>
      <c r="AX3" s="53"/>
      <c r="AY3" s="53"/>
      <c r="AZ3" s="53"/>
      <c r="BA3" s="54"/>
      <c r="BB3" s="55" t="str" cm="1">
        <f t="array" aca="1" ref="BB3" ca="1">IF(COUNTA(AZ5:BE100018)=1,"",INDIRECT("AZ"&amp;COUNTA(AZ5:BE100018)+4))</f>
        <v>JBS加藤</v>
      </c>
      <c r="BC3" s="56"/>
      <c r="BD3" s="57"/>
      <c r="BE3" s="57"/>
      <c r="BF3" s="57"/>
      <c r="BG3" s="57"/>
      <c r="BH3" s="57"/>
      <c r="BI3" s="58"/>
      <c r="BJ3" s="23"/>
      <c r="BK3" s="23"/>
      <c r="BL3" s="23"/>
      <c r="BM3" s="23"/>
      <c r="BN3" s="23"/>
      <c r="BO3" s="23"/>
      <c r="BP3" s="23"/>
    </row>
    <row r="4" spans="1:68" ht="15" customHeight="1" thickBot="1" x14ac:dyDescent="0.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6" t="s">
        <v>16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</row>
    <row r="5" spans="1:68" s="28" customFormat="1" ht="15" customHeight="1" thickBot="1" x14ac:dyDescent="0.5">
      <c r="A5" s="59" t="s">
        <v>17</v>
      </c>
      <c r="B5" s="60"/>
      <c r="C5" s="60"/>
      <c r="D5" s="60"/>
      <c r="E5" s="61"/>
      <c r="F5" s="62" t="s">
        <v>18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4"/>
      <c r="T5" s="63" t="s">
        <v>19</v>
      </c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59" t="s">
        <v>20</v>
      </c>
      <c r="BA5" s="60"/>
      <c r="BB5" s="60"/>
      <c r="BC5" s="60"/>
      <c r="BD5" s="60"/>
      <c r="BE5" s="65"/>
      <c r="BF5" s="66" t="s">
        <v>21</v>
      </c>
      <c r="BG5" s="66"/>
      <c r="BH5" s="60"/>
      <c r="BI5" s="65"/>
    </row>
    <row r="6" spans="1:68" ht="15" customHeight="1" x14ac:dyDescent="0.45">
      <c r="A6" s="103">
        <v>45435</v>
      </c>
      <c r="B6" s="104"/>
      <c r="C6" s="104"/>
      <c r="D6" s="104"/>
      <c r="E6" s="105"/>
      <c r="F6" s="106" t="s">
        <v>22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8"/>
      <c r="T6" s="109" t="s">
        <v>23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10" t="s">
        <v>24</v>
      </c>
      <c r="BA6" s="111"/>
      <c r="BB6" s="111"/>
      <c r="BC6" s="111"/>
      <c r="BD6" s="111"/>
      <c r="BE6" s="112"/>
      <c r="BF6" s="113" t="s">
        <v>25</v>
      </c>
      <c r="BG6" s="113"/>
      <c r="BH6" s="114"/>
      <c r="BI6" s="115"/>
    </row>
    <row r="7" spans="1:68" ht="14.4" x14ac:dyDescent="0.45">
      <c r="A7" s="116"/>
      <c r="B7" s="117"/>
      <c r="C7" s="117"/>
      <c r="D7" s="117"/>
      <c r="E7" s="118"/>
      <c r="F7" s="119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1"/>
      <c r="T7" s="122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4"/>
      <c r="BA7" s="125"/>
      <c r="BB7" s="125"/>
      <c r="BC7" s="125"/>
      <c r="BD7" s="125"/>
      <c r="BE7" s="126"/>
      <c r="BF7" s="127"/>
      <c r="BG7" s="127"/>
      <c r="BH7" s="128"/>
      <c r="BI7" s="129"/>
    </row>
    <row r="8" spans="1:68" ht="14.4" x14ac:dyDescent="0.45">
      <c r="A8" s="116"/>
      <c r="B8" s="117"/>
      <c r="C8" s="117"/>
      <c r="D8" s="117"/>
      <c r="E8" s="118"/>
      <c r="F8" s="13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/>
      <c r="T8" s="122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4"/>
      <c r="BA8" s="125"/>
      <c r="BB8" s="125"/>
      <c r="BC8" s="125"/>
      <c r="BD8" s="125"/>
      <c r="BE8" s="126"/>
      <c r="BF8" s="127"/>
      <c r="BG8" s="127"/>
      <c r="BH8" s="128"/>
      <c r="BI8" s="129"/>
    </row>
    <row r="9" spans="1:68" ht="14.4" x14ac:dyDescent="0.45">
      <c r="A9" s="116"/>
      <c r="B9" s="117"/>
      <c r="C9" s="117"/>
      <c r="D9" s="117"/>
      <c r="E9" s="118"/>
      <c r="F9" s="13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1"/>
      <c r="T9" s="131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24"/>
      <c r="BA9" s="125"/>
      <c r="BB9" s="125"/>
      <c r="BC9" s="125"/>
      <c r="BD9" s="125"/>
      <c r="BE9" s="126"/>
      <c r="BF9" s="127"/>
      <c r="BG9" s="127"/>
      <c r="BH9" s="128"/>
      <c r="BI9" s="129"/>
    </row>
    <row r="10" spans="1:68" ht="14.4" x14ac:dyDescent="0.45">
      <c r="A10" s="116"/>
      <c r="B10" s="117"/>
      <c r="C10" s="117"/>
      <c r="D10" s="117"/>
      <c r="E10" s="118"/>
      <c r="F10" s="13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1"/>
      <c r="T10" s="131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24"/>
      <c r="BA10" s="125"/>
      <c r="BB10" s="125"/>
      <c r="BC10" s="125"/>
      <c r="BD10" s="125"/>
      <c r="BE10" s="126"/>
      <c r="BF10" s="127"/>
      <c r="BG10" s="127"/>
      <c r="BH10" s="128"/>
      <c r="BI10" s="129"/>
    </row>
    <row r="11" spans="1:68" ht="14.4" x14ac:dyDescent="0.45">
      <c r="A11" s="116"/>
      <c r="B11" s="117"/>
      <c r="C11" s="117"/>
      <c r="D11" s="117"/>
      <c r="E11" s="118"/>
      <c r="F11" s="13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1"/>
      <c r="T11" s="131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24"/>
      <c r="BA11" s="125"/>
      <c r="BB11" s="125"/>
      <c r="BC11" s="125"/>
      <c r="BD11" s="125"/>
      <c r="BE11" s="126"/>
      <c r="BF11" s="127"/>
      <c r="BG11" s="127"/>
      <c r="BH11" s="128"/>
      <c r="BI11" s="129"/>
    </row>
    <row r="12" spans="1:68" ht="15" customHeight="1" x14ac:dyDescent="0.45">
      <c r="A12" s="116"/>
      <c r="B12" s="117"/>
      <c r="C12" s="117"/>
      <c r="D12" s="117"/>
      <c r="E12" s="118"/>
      <c r="F12" s="13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24"/>
      <c r="BA12" s="125"/>
      <c r="BB12" s="125"/>
      <c r="BC12" s="125"/>
      <c r="BD12" s="125"/>
      <c r="BE12" s="126"/>
      <c r="BF12" s="127"/>
      <c r="BG12" s="127"/>
      <c r="BH12" s="128"/>
      <c r="BI12" s="129"/>
    </row>
    <row r="13" spans="1:68" ht="14.4" x14ac:dyDescent="0.45">
      <c r="A13" s="116"/>
      <c r="B13" s="117"/>
      <c r="C13" s="117"/>
      <c r="D13" s="117"/>
      <c r="E13" s="118"/>
      <c r="F13" s="13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1"/>
      <c r="T13" s="131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24"/>
      <c r="BA13" s="125"/>
      <c r="BB13" s="125"/>
      <c r="BC13" s="125"/>
      <c r="BD13" s="125"/>
      <c r="BE13" s="126"/>
      <c r="BF13" s="127"/>
      <c r="BG13" s="127"/>
      <c r="BH13" s="128"/>
      <c r="BI13" s="129"/>
    </row>
    <row r="14" spans="1:68" ht="14.4" x14ac:dyDescent="0.45">
      <c r="A14" s="116"/>
      <c r="B14" s="117"/>
      <c r="C14" s="117"/>
      <c r="D14" s="117"/>
      <c r="E14" s="118"/>
      <c r="F14" s="13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1"/>
      <c r="T14" s="131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24"/>
      <c r="BA14" s="125"/>
      <c r="BB14" s="125"/>
      <c r="BC14" s="125"/>
      <c r="BD14" s="125"/>
      <c r="BE14" s="126"/>
      <c r="BF14" s="127"/>
      <c r="BG14" s="127"/>
      <c r="BH14" s="128"/>
      <c r="BI14" s="129"/>
    </row>
    <row r="15" spans="1:68" ht="14.4" x14ac:dyDescent="0.45">
      <c r="A15" s="116"/>
      <c r="B15" s="117"/>
      <c r="C15" s="117"/>
      <c r="D15" s="117"/>
      <c r="E15" s="118"/>
      <c r="F15" s="13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131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24"/>
      <c r="BA15" s="125"/>
      <c r="BB15" s="125"/>
      <c r="BC15" s="125"/>
      <c r="BD15" s="125"/>
      <c r="BE15" s="126"/>
      <c r="BF15" s="127"/>
      <c r="BG15" s="127"/>
      <c r="BH15" s="128"/>
      <c r="BI15" s="129"/>
    </row>
    <row r="16" spans="1:68" ht="14.4" x14ac:dyDescent="0.45">
      <c r="A16" s="116"/>
      <c r="B16" s="117"/>
      <c r="C16" s="117"/>
      <c r="D16" s="117"/>
      <c r="E16" s="118"/>
      <c r="F16" s="13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1"/>
      <c r="T16" s="131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24"/>
      <c r="BA16" s="125"/>
      <c r="BB16" s="125"/>
      <c r="BC16" s="125"/>
      <c r="BD16" s="125"/>
      <c r="BE16" s="126"/>
      <c r="BF16" s="127"/>
      <c r="BG16" s="127"/>
      <c r="BH16" s="128"/>
      <c r="BI16" s="129"/>
    </row>
    <row r="17" spans="1:61" ht="14.4" x14ac:dyDescent="0.45">
      <c r="A17" s="116"/>
      <c r="B17" s="117"/>
      <c r="C17" s="117"/>
      <c r="D17" s="117"/>
      <c r="E17" s="118"/>
      <c r="F17" s="13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1"/>
      <c r="T17" s="131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24"/>
      <c r="BA17" s="125"/>
      <c r="BB17" s="125"/>
      <c r="BC17" s="125"/>
      <c r="BD17" s="125"/>
      <c r="BE17" s="126"/>
      <c r="BF17" s="127"/>
      <c r="BG17" s="127"/>
      <c r="BH17" s="128"/>
      <c r="BI17" s="129"/>
    </row>
    <row r="18" spans="1:61" ht="14.4" x14ac:dyDescent="0.45">
      <c r="A18" s="116"/>
      <c r="B18" s="117"/>
      <c r="C18" s="117"/>
      <c r="D18" s="117"/>
      <c r="E18" s="118"/>
      <c r="F18" s="13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1"/>
      <c r="T18" s="131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24"/>
      <c r="BA18" s="125"/>
      <c r="BB18" s="125"/>
      <c r="BC18" s="125"/>
      <c r="BD18" s="125"/>
      <c r="BE18" s="126"/>
      <c r="BF18" s="127"/>
      <c r="BG18" s="127"/>
      <c r="BH18" s="128"/>
      <c r="BI18" s="129"/>
    </row>
    <row r="19" spans="1:61" ht="14.4" x14ac:dyDescent="0.45">
      <c r="A19" s="116"/>
      <c r="B19" s="117"/>
      <c r="C19" s="117"/>
      <c r="D19" s="117"/>
      <c r="E19" s="118"/>
      <c r="F19" s="13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1"/>
      <c r="T19" s="131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24"/>
      <c r="BA19" s="125"/>
      <c r="BB19" s="125"/>
      <c r="BC19" s="125"/>
      <c r="BD19" s="125"/>
      <c r="BE19" s="126"/>
      <c r="BF19" s="127"/>
      <c r="BG19" s="127"/>
      <c r="BH19" s="128"/>
      <c r="BI19" s="129"/>
    </row>
    <row r="20" spans="1:61" ht="14.4" x14ac:dyDescent="0.45">
      <c r="A20" s="116"/>
      <c r="B20" s="117"/>
      <c r="C20" s="117"/>
      <c r="D20" s="117"/>
      <c r="E20" s="118"/>
      <c r="F20" s="13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1"/>
      <c r="T20" s="131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24"/>
      <c r="BA20" s="125"/>
      <c r="BB20" s="125"/>
      <c r="BC20" s="125"/>
      <c r="BD20" s="125"/>
      <c r="BE20" s="126"/>
      <c r="BF20" s="127"/>
      <c r="BG20" s="127"/>
      <c r="BH20" s="128"/>
      <c r="BI20" s="129"/>
    </row>
    <row r="21" spans="1:61" ht="14.4" x14ac:dyDescent="0.45">
      <c r="A21" s="116"/>
      <c r="B21" s="117"/>
      <c r="C21" s="117"/>
      <c r="D21" s="117"/>
      <c r="E21" s="118"/>
      <c r="F21" s="13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1"/>
      <c r="T21" s="131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24"/>
      <c r="BA21" s="125"/>
      <c r="BB21" s="125"/>
      <c r="BC21" s="125"/>
      <c r="BD21" s="125"/>
      <c r="BE21" s="126"/>
      <c r="BF21" s="127"/>
      <c r="BG21" s="127"/>
      <c r="BH21" s="128"/>
      <c r="BI21" s="129"/>
    </row>
    <row r="22" spans="1:61" ht="14.4" x14ac:dyDescent="0.45">
      <c r="A22" s="116"/>
      <c r="B22" s="117"/>
      <c r="C22" s="117"/>
      <c r="D22" s="117"/>
      <c r="E22" s="118"/>
      <c r="F22" s="13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1"/>
      <c r="T22" s="131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24"/>
      <c r="BA22" s="125"/>
      <c r="BB22" s="125"/>
      <c r="BC22" s="125"/>
      <c r="BD22" s="125"/>
      <c r="BE22" s="126"/>
      <c r="BF22" s="127"/>
      <c r="BG22" s="127"/>
      <c r="BH22" s="128"/>
      <c r="BI22" s="129"/>
    </row>
    <row r="23" spans="1:61" ht="14.4" x14ac:dyDescent="0.45">
      <c r="A23" s="116"/>
      <c r="B23" s="117"/>
      <c r="C23" s="117"/>
      <c r="D23" s="117"/>
      <c r="E23" s="118"/>
      <c r="F23" s="13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1"/>
      <c r="T23" s="131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24"/>
      <c r="BA23" s="125"/>
      <c r="BB23" s="125"/>
      <c r="BC23" s="125"/>
      <c r="BD23" s="125"/>
      <c r="BE23" s="126"/>
      <c r="BF23" s="127"/>
      <c r="BG23" s="127"/>
      <c r="BH23" s="128"/>
      <c r="BI23" s="129"/>
    </row>
    <row r="24" spans="1:61" ht="14.4" x14ac:dyDescent="0.45">
      <c r="A24" s="116"/>
      <c r="B24" s="117"/>
      <c r="C24" s="117"/>
      <c r="D24" s="117"/>
      <c r="E24" s="118"/>
      <c r="F24" s="13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1"/>
      <c r="T24" s="131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24"/>
      <c r="BA24" s="125"/>
      <c r="BB24" s="125"/>
      <c r="BC24" s="125"/>
      <c r="BD24" s="125"/>
      <c r="BE24" s="126"/>
      <c r="BF24" s="127"/>
      <c r="BG24" s="127"/>
      <c r="BH24" s="128"/>
      <c r="BI24" s="129"/>
    </row>
    <row r="25" spans="1:61" ht="14.4" x14ac:dyDescent="0.45">
      <c r="A25" s="116"/>
      <c r="B25" s="117"/>
      <c r="C25" s="117"/>
      <c r="D25" s="117"/>
      <c r="E25" s="118"/>
      <c r="F25" s="13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1"/>
      <c r="T25" s="131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24"/>
      <c r="BA25" s="125"/>
      <c r="BB25" s="125"/>
      <c r="BC25" s="125"/>
      <c r="BD25" s="125"/>
      <c r="BE25" s="126"/>
      <c r="BF25" s="127"/>
      <c r="BG25" s="127"/>
      <c r="BH25" s="128"/>
      <c r="BI25" s="129"/>
    </row>
    <row r="26" spans="1:61" ht="14.4" x14ac:dyDescent="0.45">
      <c r="A26" s="116"/>
      <c r="B26" s="117"/>
      <c r="C26" s="117"/>
      <c r="D26" s="117"/>
      <c r="E26" s="118"/>
      <c r="F26" s="13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1"/>
      <c r="T26" s="131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24"/>
      <c r="BA26" s="125"/>
      <c r="BB26" s="125"/>
      <c r="BC26" s="125"/>
      <c r="BD26" s="125"/>
      <c r="BE26" s="126"/>
      <c r="BF26" s="127"/>
      <c r="BG26" s="127"/>
      <c r="BH26" s="128"/>
      <c r="BI26" s="129"/>
    </row>
    <row r="27" spans="1:61" ht="14.4" x14ac:dyDescent="0.45">
      <c r="A27" s="116"/>
      <c r="B27" s="117"/>
      <c r="C27" s="117"/>
      <c r="D27" s="117"/>
      <c r="E27" s="118"/>
      <c r="F27" s="13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1"/>
      <c r="T27" s="131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24"/>
      <c r="BA27" s="125"/>
      <c r="BB27" s="125"/>
      <c r="BC27" s="125"/>
      <c r="BD27" s="125"/>
      <c r="BE27" s="126"/>
      <c r="BF27" s="127"/>
      <c r="BG27" s="127"/>
      <c r="BH27" s="128"/>
      <c r="BI27" s="129"/>
    </row>
    <row r="28" spans="1:61" ht="14.4" x14ac:dyDescent="0.45">
      <c r="A28" s="116"/>
      <c r="B28" s="117"/>
      <c r="C28" s="117"/>
      <c r="D28" s="117"/>
      <c r="E28" s="118"/>
      <c r="F28" s="13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1"/>
      <c r="T28" s="131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24"/>
      <c r="BA28" s="125"/>
      <c r="BB28" s="125"/>
      <c r="BC28" s="125"/>
      <c r="BD28" s="125"/>
      <c r="BE28" s="126"/>
      <c r="BF28" s="127"/>
      <c r="BG28" s="127"/>
      <c r="BH28" s="128"/>
      <c r="BI28" s="129"/>
    </row>
    <row r="29" spans="1:61" ht="14.4" x14ac:dyDescent="0.45">
      <c r="A29" s="116"/>
      <c r="B29" s="117"/>
      <c r="C29" s="117"/>
      <c r="D29" s="117"/>
      <c r="E29" s="118"/>
      <c r="F29" s="13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1"/>
      <c r="T29" s="131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24"/>
      <c r="BA29" s="125"/>
      <c r="BB29" s="125"/>
      <c r="BC29" s="125"/>
      <c r="BD29" s="125"/>
      <c r="BE29" s="126"/>
      <c r="BF29" s="127"/>
      <c r="BG29" s="127"/>
      <c r="BH29" s="128"/>
      <c r="BI29" s="129"/>
    </row>
    <row r="30" spans="1:61" ht="14.4" x14ac:dyDescent="0.45">
      <c r="A30" s="116"/>
      <c r="B30" s="117"/>
      <c r="C30" s="117"/>
      <c r="D30" s="117"/>
      <c r="E30" s="118"/>
      <c r="F30" s="13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1"/>
      <c r="T30" s="131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24"/>
      <c r="BA30" s="125"/>
      <c r="BB30" s="125"/>
      <c r="BC30" s="125"/>
      <c r="BD30" s="125"/>
      <c r="BE30" s="126"/>
      <c r="BF30" s="127"/>
      <c r="BG30" s="127"/>
      <c r="BH30" s="128"/>
      <c r="BI30" s="129"/>
    </row>
    <row r="31" spans="1:61" ht="14.4" x14ac:dyDescent="0.45">
      <c r="A31" s="116"/>
      <c r="B31" s="117"/>
      <c r="C31" s="117"/>
      <c r="D31" s="117"/>
      <c r="E31" s="118"/>
      <c r="F31" s="13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1"/>
      <c r="T31" s="131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24"/>
      <c r="BA31" s="125"/>
      <c r="BB31" s="125"/>
      <c r="BC31" s="125"/>
      <c r="BD31" s="125"/>
      <c r="BE31" s="126"/>
      <c r="BF31" s="127"/>
      <c r="BG31" s="127"/>
      <c r="BH31" s="128"/>
      <c r="BI31" s="129"/>
    </row>
    <row r="32" spans="1:61" ht="14.4" x14ac:dyDescent="0.45">
      <c r="A32" s="116"/>
      <c r="B32" s="117"/>
      <c r="C32" s="117"/>
      <c r="D32" s="117"/>
      <c r="E32" s="118"/>
      <c r="F32" s="13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1"/>
      <c r="T32" s="131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24"/>
      <c r="BA32" s="125"/>
      <c r="BB32" s="125"/>
      <c r="BC32" s="125"/>
      <c r="BD32" s="125"/>
      <c r="BE32" s="126"/>
      <c r="BF32" s="127"/>
      <c r="BG32" s="127"/>
      <c r="BH32" s="128"/>
      <c r="BI32" s="129"/>
    </row>
    <row r="33" spans="1:61" ht="14.4" x14ac:dyDescent="0.45">
      <c r="A33" s="116"/>
      <c r="B33" s="117"/>
      <c r="C33" s="117"/>
      <c r="D33" s="117"/>
      <c r="E33" s="118"/>
      <c r="F33" s="13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1"/>
      <c r="T33" s="131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24"/>
      <c r="BA33" s="125"/>
      <c r="BB33" s="125"/>
      <c r="BC33" s="125"/>
      <c r="BD33" s="125"/>
      <c r="BE33" s="126"/>
      <c r="BF33" s="127"/>
      <c r="BG33" s="127"/>
      <c r="BH33" s="128"/>
      <c r="BI33" s="129"/>
    </row>
    <row r="34" spans="1:61" ht="14.4" x14ac:dyDescent="0.45">
      <c r="A34" s="116"/>
      <c r="B34" s="117"/>
      <c r="C34" s="117"/>
      <c r="D34" s="117"/>
      <c r="E34" s="118"/>
      <c r="F34" s="13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1"/>
      <c r="T34" s="131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24"/>
      <c r="BA34" s="125"/>
      <c r="BB34" s="125"/>
      <c r="BC34" s="125"/>
      <c r="BD34" s="125"/>
      <c r="BE34" s="126"/>
      <c r="BF34" s="127"/>
      <c r="BG34" s="127"/>
      <c r="BH34" s="128"/>
      <c r="BI34" s="129"/>
    </row>
    <row r="35" spans="1:61" ht="14.4" x14ac:dyDescent="0.45">
      <c r="A35" s="116"/>
      <c r="B35" s="117"/>
      <c r="C35" s="117"/>
      <c r="D35" s="117"/>
      <c r="E35" s="118"/>
      <c r="F35" s="13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1"/>
      <c r="T35" s="131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24"/>
      <c r="BA35" s="125"/>
      <c r="BB35" s="125"/>
      <c r="BC35" s="125"/>
      <c r="BD35" s="125"/>
      <c r="BE35" s="126"/>
      <c r="BF35" s="127"/>
      <c r="BG35" s="127"/>
      <c r="BH35" s="128"/>
      <c r="BI35" s="129"/>
    </row>
    <row r="36" spans="1:61" ht="14.4" x14ac:dyDescent="0.45">
      <c r="A36" s="116"/>
      <c r="B36" s="117"/>
      <c r="C36" s="117"/>
      <c r="D36" s="117"/>
      <c r="E36" s="118"/>
      <c r="F36" s="13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  <c r="T36" s="131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24"/>
      <c r="BA36" s="125"/>
      <c r="BB36" s="125"/>
      <c r="BC36" s="125"/>
      <c r="BD36" s="125"/>
      <c r="BE36" s="126"/>
      <c r="BF36" s="127"/>
      <c r="BG36" s="127"/>
      <c r="BH36" s="128"/>
      <c r="BI36" s="129"/>
    </row>
    <row r="37" spans="1:61" ht="14.4" x14ac:dyDescent="0.45">
      <c r="A37" s="116"/>
      <c r="B37" s="117"/>
      <c r="C37" s="117"/>
      <c r="D37" s="117"/>
      <c r="E37" s="118"/>
      <c r="F37" s="13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1"/>
      <c r="T37" s="131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24"/>
      <c r="BA37" s="125"/>
      <c r="BB37" s="125"/>
      <c r="BC37" s="125"/>
      <c r="BD37" s="125"/>
      <c r="BE37" s="126"/>
      <c r="BF37" s="127"/>
      <c r="BG37" s="127"/>
      <c r="BH37" s="128"/>
      <c r="BI37" s="129"/>
    </row>
    <row r="38" spans="1:61" ht="14.4" x14ac:dyDescent="0.45">
      <c r="A38" s="116"/>
      <c r="B38" s="117"/>
      <c r="C38" s="117"/>
      <c r="D38" s="117"/>
      <c r="E38" s="118"/>
      <c r="F38" s="13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1"/>
      <c r="T38" s="131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24"/>
      <c r="BA38" s="125"/>
      <c r="BB38" s="125"/>
      <c r="BC38" s="125"/>
      <c r="BD38" s="125"/>
      <c r="BE38" s="126"/>
      <c r="BF38" s="127"/>
      <c r="BG38" s="127"/>
      <c r="BH38" s="128"/>
      <c r="BI38" s="129"/>
    </row>
    <row r="39" spans="1:61" ht="15" customHeight="1" x14ac:dyDescent="0.45">
      <c r="A39" s="116"/>
      <c r="B39" s="117"/>
      <c r="C39" s="117"/>
      <c r="D39" s="117"/>
      <c r="E39" s="118"/>
      <c r="F39" s="13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1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24"/>
      <c r="BA39" s="125"/>
      <c r="BB39" s="125"/>
      <c r="BC39" s="125"/>
      <c r="BD39" s="125"/>
      <c r="BE39" s="126"/>
      <c r="BF39" s="127"/>
      <c r="BG39" s="127"/>
      <c r="BH39" s="128"/>
      <c r="BI39" s="129"/>
    </row>
    <row r="40" spans="1:61" ht="15" customHeight="1" thickBot="1" x14ac:dyDescent="0.5">
      <c r="A40" s="133"/>
      <c r="B40" s="134"/>
      <c r="C40" s="134"/>
      <c r="D40" s="134"/>
      <c r="E40" s="135"/>
      <c r="F40" s="136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8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40"/>
      <c r="BA40" s="141"/>
      <c r="BB40" s="141"/>
      <c r="BC40" s="141"/>
      <c r="BD40" s="141"/>
      <c r="BE40" s="142"/>
      <c r="BF40" s="143"/>
      <c r="BG40" s="143"/>
      <c r="BH40" s="144"/>
      <c r="BI40" s="145"/>
    </row>
  </sheetData>
  <mergeCells count="195">
    <mergeCell ref="A40:E40"/>
    <mergeCell ref="F40:S40"/>
    <mergeCell ref="T40:AY40"/>
    <mergeCell ref="AZ40:BE40"/>
    <mergeCell ref="BF40:BI40"/>
    <mergeCell ref="A38:E38"/>
    <mergeCell ref="F38:S38"/>
    <mergeCell ref="T38:AY38"/>
    <mergeCell ref="AZ38:BE38"/>
    <mergeCell ref="BF38:BI38"/>
    <mergeCell ref="A39:E39"/>
    <mergeCell ref="F39:S39"/>
    <mergeCell ref="T39:AY39"/>
    <mergeCell ref="AZ39:BE39"/>
    <mergeCell ref="BF39:BI39"/>
    <mergeCell ref="A36:E36"/>
    <mergeCell ref="F36:S36"/>
    <mergeCell ref="T36:AY36"/>
    <mergeCell ref="AZ36:BE36"/>
    <mergeCell ref="BF36:BI36"/>
    <mergeCell ref="A37:E37"/>
    <mergeCell ref="F37:S37"/>
    <mergeCell ref="T37:AY37"/>
    <mergeCell ref="AZ37:BE37"/>
    <mergeCell ref="BF37:BI37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  <mergeCell ref="BF33:BI33"/>
    <mergeCell ref="A30:E30"/>
    <mergeCell ref="F30:S30"/>
    <mergeCell ref="T30:AY30"/>
    <mergeCell ref="AZ30:BE30"/>
    <mergeCell ref="BF30:BI30"/>
    <mergeCell ref="A31:E31"/>
    <mergeCell ref="F31:S31"/>
    <mergeCell ref="T31:AY31"/>
    <mergeCell ref="AZ31:BE31"/>
    <mergeCell ref="BF31:BI31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AV2:BA2"/>
    <mergeCell ref="BB2:BI2"/>
    <mergeCell ref="AT3:AU3"/>
    <mergeCell ref="AV3:BA3"/>
    <mergeCell ref="BB3:BI3"/>
    <mergeCell ref="A5:E5"/>
    <mergeCell ref="F5:S5"/>
    <mergeCell ref="T5:AY5"/>
    <mergeCell ref="AZ5:BE5"/>
    <mergeCell ref="BF5:BI5"/>
    <mergeCell ref="A1:E3"/>
    <mergeCell ref="F1:P1"/>
    <mergeCell ref="Q1:V1"/>
    <mergeCell ref="W1:AS1"/>
    <mergeCell ref="AT1:BA1"/>
    <mergeCell ref="BB1:BI1"/>
    <mergeCell ref="F2:P3"/>
    <mergeCell ref="Q2:V3"/>
    <mergeCell ref="W2:AS3"/>
    <mergeCell ref="AT2:AU2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CDDE-11F5-4D68-8F90-1C2EEF090EC3}">
  <dimension ref="B2:BG45"/>
  <sheetViews>
    <sheetView showGridLines="0" tabSelected="1" zoomScale="80" zoomScaleNormal="80" workbookViewId="0"/>
  </sheetViews>
  <sheetFormatPr defaultColWidth="2.59765625" defaultRowHeight="15" customHeight="1" x14ac:dyDescent="0.45"/>
  <cols>
    <col min="1" max="16384" width="2.59765625" style="21"/>
  </cols>
  <sheetData>
    <row r="2" spans="2:59" ht="15" customHeight="1" x14ac:dyDescent="0.45">
      <c r="B2" s="154" t="s">
        <v>26</v>
      </c>
      <c r="C2" s="154"/>
      <c r="D2" s="154"/>
      <c r="E2" s="154"/>
      <c r="F2" s="154"/>
      <c r="G2" s="155" t="str">
        <f>表紙!V6</f>
        <v>会計システム刷新プロジェクト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6" t="s">
        <v>27</v>
      </c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8"/>
      <c r="AS2" s="146" t="s">
        <v>9</v>
      </c>
      <c r="AT2" s="146"/>
      <c r="AU2" s="146"/>
      <c r="AV2" s="146"/>
      <c r="AW2" s="146"/>
      <c r="AX2" s="146"/>
      <c r="AY2" s="146"/>
      <c r="AZ2" s="146"/>
      <c r="BA2" s="146" t="s">
        <v>10</v>
      </c>
      <c r="BB2" s="146"/>
      <c r="BC2" s="146"/>
      <c r="BD2" s="146"/>
      <c r="BE2" s="146"/>
      <c r="BF2" s="146"/>
      <c r="BG2" s="146"/>
    </row>
    <row r="3" spans="2:59" ht="15" customHeight="1" x14ac:dyDescent="0.45">
      <c r="B3" s="154" t="s">
        <v>28</v>
      </c>
      <c r="C3" s="154"/>
      <c r="D3" s="154"/>
      <c r="E3" s="154"/>
      <c r="F3" s="154"/>
      <c r="G3" s="155" t="str">
        <f>表紙!V10</f>
        <v>非機能要件定義書_システム連携</v>
      </c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63" t="s">
        <v>29</v>
      </c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5"/>
      <c r="AS3" s="154" t="s">
        <v>14</v>
      </c>
      <c r="AT3" s="154"/>
      <c r="AU3" s="153">
        <v>45435</v>
      </c>
      <c r="AV3" s="153"/>
      <c r="AW3" s="153"/>
      <c r="AX3" s="153"/>
      <c r="AY3" s="153"/>
      <c r="AZ3" s="153"/>
      <c r="BA3" s="169" t="s">
        <v>30</v>
      </c>
      <c r="BB3" s="169"/>
      <c r="BC3" s="169"/>
      <c r="BD3" s="169"/>
      <c r="BE3" s="169"/>
      <c r="BF3" s="169"/>
      <c r="BG3" s="169"/>
    </row>
    <row r="4" spans="2:59" ht="15" customHeight="1" x14ac:dyDescent="0.45">
      <c r="B4" s="154"/>
      <c r="C4" s="154"/>
      <c r="D4" s="154"/>
      <c r="E4" s="154"/>
      <c r="F4" s="154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6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  <c r="AS4" s="154" t="s">
        <v>15</v>
      </c>
      <c r="AT4" s="154"/>
      <c r="AU4" s="153"/>
      <c r="AV4" s="153"/>
      <c r="AW4" s="153"/>
      <c r="AX4" s="153"/>
      <c r="AY4" s="153"/>
      <c r="AZ4" s="153"/>
      <c r="BA4" s="169"/>
      <c r="BB4" s="169"/>
      <c r="BC4" s="169"/>
      <c r="BD4" s="169"/>
      <c r="BE4" s="169"/>
      <c r="BF4" s="169"/>
      <c r="BG4" s="169"/>
    </row>
    <row r="6" spans="2:59" ht="15" customHeight="1" x14ac:dyDescent="0.45">
      <c r="B6" s="21" t="s">
        <v>31</v>
      </c>
      <c r="C6" s="21" t="s">
        <v>32</v>
      </c>
    </row>
    <row r="7" spans="2:59" ht="15" customHeight="1" x14ac:dyDescent="0.45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 spans="2:59" ht="15" customHeight="1" x14ac:dyDescent="0.45">
      <c r="C8" s="21" t="s">
        <v>33</v>
      </c>
    </row>
    <row r="9" spans="2:59" x14ac:dyDescent="0.45">
      <c r="C9" s="159" t="s">
        <v>34</v>
      </c>
      <c r="D9" s="159"/>
      <c r="E9" s="159"/>
      <c r="F9" s="159"/>
      <c r="G9" s="159"/>
      <c r="H9" s="159"/>
      <c r="I9" s="159"/>
      <c r="J9" s="159"/>
      <c r="K9" s="159" t="s">
        <v>35</v>
      </c>
      <c r="L9" s="159"/>
      <c r="M9" s="159"/>
      <c r="N9" s="159"/>
      <c r="O9" s="159"/>
      <c r="P9" s="159"/>
      <c r="Q9" s="159"/>
      <c r="R9" s="159"/>
      <c r="S9" s="159" t="s">
        <v>36</v>
      </c>
      <c r="T9" s="159"/>
      <c r="U9" s="159"/>
      <c r="V9" s="159"/>
      <c r="W9" s="159"/>
      <c r="X9" s="159"/>
      <c r="Y9" s="159"/>
      <c r="Z9" s="159"/>
      <c r="AA9" s="160" t="s">
        <v>37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</row>
    <row r="10" spans="2:59" ht="15" customHeight="1" x14ac:dyDescent="0.45">
      <c r="C10" s="161" t="s">
        <v>38</v>
      </c>
      <c r="D10" s="161"/>
      <c r="E10" s="161"/>
      <c r="F10" s="161"/>
      <c r="G10" s="161"/>
      <c r="H10" s="161"/>
      <c r="I10" s="161"/>
      <c r="J10" s="161"/>
      <c r="K10" s="161" t="s">
        <v>39</v>
      </c>
      <c r="L10" s="161"/>
      <c r="M10" s="161"/>
      <c r="N10" s="161"/>
      <c r="O10" s="161"/>
      <c r="P10" s="161"/>
      <c r="Q10" s="161"/>
      <c r="R10" s="161"/>
      <c r="S10" s="161" t="s">
        <v>38</v>
      </c>
      <c r="T10" s="161"/>
      <c r="U10" s="161"/>
      <c r="V10" s="161"/>
      <c r="W10" s="161"/>
      <c r="X10" s="161"/>
      <c r="Y10" s="161"/>
      <c r="Z10" s="161"/>
      <c r="AA10" s="170" t="s">
        <v>40</v>
      </c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</row>
    <row r="11" spans="2:59" ht="15" customHeight="1" x14ac:dyDescent="0.45">
      <c r="C11" s="161" t="s">
        <v>38</v>
      </c>
      <c r="D11" s="161"/>
      <c r="E11" s="161"/>
      <c r="F11" s="161"/>
      <c r="G11" s="161"/>
      <c r="H11" s="161"/>
      <c r="I11" s="161"/>
      <c r="J11" s="161"/>
      <c r="K11" s="161" t="s">
        <v>38</v>
      </c>
      <c r="L11" s="161"/>
      <c r="M11" s="161"/>
      <c r="N11" s="161"/>
      <c r="O11" s="161"/>
      <c r="P11" s="161"/>
      <c r="Q11" s="161"/>
      <c r="R11" s="161"/>
      <c r="S11" s="161" t="s">
        <v>39</v>
      </c>
      <c r="T11" s="161"/>
      <c r="U11" s="161"/>
      <c r="V11" s="161"/>
      <c r="W11" s="161"/>
      <c r="X11" s="161"/>
      <c r="Y11" s="161"/>
      <c r="Z11" s="161"/>
      <c r="AA11" s="170" t="s">
        <v>40</v>
      </c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</row>
    <row r="14" spans="2:59" ht="15" customHeight="1" x14ac:dyDescent="0.45">
      <c r="C14" s="21" t="s">
        <v>41</v>
      </c>
    </row>
    <row r="15" spans="2:59" ht="15" customHeight="1" x14ac:dyDescent="0.45">
      <c r="C15" s="159" t="s">
        <v>42</v>
      </c>
      <c r="D15" s="159"/>
      <c r="E15" s="159"/>
      <c r="F15" s="159"/>
      <c r="G15" s="159"/>
      <c r="H15" s="159"/>
      <c r="I15" s="159"/>
      <c r="J15" s="159"/>
      <c r="K15" s="159" t="s">
        <v>43</v>
      </c>
      <c r="L15" s="159"/>
      <c r="M15" s="159"/>
      <c r="N15" s="159"/>
      <c r="O15" s="159"/>
      <c r="P15" s="159"/>
      <c r="Q15" s="159"/>
      <c r="R15" s="159"/>
      <c r="S15" s="171" t="s">
        <v>44</v>
      </c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3"/>
    </row>
    <row r="16" spans="2:59" ht="15" customHeight="1" x14ac:dyDescent="0.45">
      <c r="C16" s="161" t="s">
        <v>39</v>
      </c>
      <c r="D16" s="161"/>
      <c r="E16" s="161"/>
      <c r="F16" s="161"/>
      <c r="G16" s="161"/>
      <c r="H16" s="161"/>
      <c r="I16" s="161"/>
      <c r="J16" s="161"/>
      <c r="K16" s="161" t="s">
        <v>45</v>
      </c>
      <c r="L16" s="161"/>
      <c r="M16" s="161"/>
      <c r="N16" s="161"/>
      <c r="O16" s="161"/>
      <c r="P16" s="161"/>
      <c r="Q16" s="161"/>
      <c r="R16" s="161"/>
      <c r="S16" s="147" t="s">
        <v>46</v>
      </c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9"/>
    </row>
    <row r="17" spans="3:30" ht="15" customHeight="1" x14ac:dyDescent="0.45">
      <c r="C17" s="161" t="s">
        <v>45</v>
      </c>
      <c r="D17" s="161"/>
      <c r="E17" s="161"/>
      <c r="F17" s="161"/>
      <c r="G17" s="161"/>
      <c r="H17" s="161"/>
      <c r="I17" s="161"/>
      <c r="J17" s="161"/>
      <c r="K17" s="161" t="s">
        <v>39</v>
      </c>
      <c r="L17" s="161"/>
      <c r="M17" s="161"/>
      <c r="N17" s="161"/>
      <c r="O17" s="161"/>
      <c r="P17" s="161"/>
      <c r="Q17" s="161"/>
      <c r="R17" s="161"/>
      <c r="S17" s="150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2"/>
    </row>
    <row r="20" spans="3:30" ht="15" customHeight="1" x14ac:dyDescent="0.45">
      <c r="C20" s="21" t="s">
        <v>47</v>
      </c>
    </row>
    <row r="21" spans="3:30" ht="15" customHeight="1" x14ac:dyDescent="0.45">
      <c r="D21" s="21" t="s">
        <v>48</v>
      </c>
    </row>
    <row r="34" spans="2:59" ht="15" customHeight="1" x14ac:dyDescent="0.45">
      <c r="B34" s="21" t="s">
        <v>31</v>
      </c>
      <c r="C34" s="21" t="s">
        <v>49</v>
      </c>
    </row>
    <row r="35" spans="2:59" ht="15" customHeight="1" x14ac:dyDescent="0.4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</row>
    <row r="36" spans="2:59" ht="15" customHeight="1" x14ac:dyDescent="0.45">
      <c r="C36" s="21" t="s">
        <v>50</v>
      </c>
    </row>
    <row r="38" spans="2:59" ht="15" customHeight="1" x14ac:dyDescent="0.45">
      <c r="D38" s="21" t="s">
        <v>51</v>
      </c>
    </row>
    <row r="41" spans="2:59" ht="15" customHeight="1" x14ac:dyDescent="0.45">
      <c r="B41" s="21" t="s">
        <v>31</v>
      </c>
      <c r="C41" s="21" t="s">
        <v>52</v>
      </c>
    </row>
    <row r="42" spans="2:59" ht="15" customHeight="1" x14ac:dyDescent="0.4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</row>
    <row r="43" spans="2:59" ht="15" customHeight="1" x14ac:dyDescent="0.45">
      <c r="C43" s="21" t="s">
        <v>53</v>
      </c>
    </row>
    <row r="45" spans="2:59" ht="15" customHeight="1" x14ac:dyDescent="0.45">
      <c r="D45" s="21" t="s">
        <v>54</v>
      </c>
    </row>
  </sheetData>
  <mergeCells count="34">
    <mergeCell ref="C17:J17"/>
    <mergeCell ref="K17:R17"/>
    <mergeCell ref="S15:AD15"/>
    <mergeCell ref="C16:J16"/>
    <mergeCell ref="K16:R16"/>
    <mergeCell ref="C15:J15"/>
    <mergeCell ref="K15:R15"/>
    <mergeCell ref="AS4:AT4"/>
    <mergeCell ref="AU4:AZ4"/>
    <mergeCell ref="BA4:BG4"/>
    <mergeCell ref="C11:J11"/>
    <mergeCell ref="K11:R11"/>
    <mergeCell ref="AA11:AT11"/>
    <mergeCell ref="C10:J10"/>
    <mergeCell ref="K10:R10"/>
    <mergeCell ref="S10:Z10"/>
    <mergeCell ref="AA10:AT10"/>
    <mergeCell ref="C9:J9"/>
    <mergeCell ref="BA2:BG2"/>
    <mergeCell ref="S16:AD17"/>
    <mergeCell ref="AU3:AZ3"/>
    <mergeCell ref="B2:F2"/>
    <mergeCell ref="G2:T2"/>
    <mergeCell ref="U2:AR2"/>
    <mergeCell ref="AS2:AZ2"/>
    <mergeCell ref="K9:R9"/>
    <mergeCell ref="S9:Z9"/>
    <mergeCell ref="AA9:AT9"/>
    <mergeCell ref="S11:Z11"/>
    <mergeCell ref="B3:F4"/>
    <mergeCell ref="G3:T4"/>
    <mergeCell ref="U3:AR4"/>
    <mergeCell ref="AS3:AT3"/>
    <mergeCell ref="BA3:BG3"/>
  </mergeCells>
  <phoneticPr fontId="1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79F4-B271-4E2A-9FB1-04E6C9CE392B}">
  <dimension ref="B2:BG80"/>
  <sheetViews>
    <sheetView showGridLines="0" zoomScaleNormal="100" workbookViewId="0">
      <selection activeCell="A7" sqref="A7:XFD82"/>
    </sheetView>
  </sheetViews>
  <sheetFormatPr defaultColWidth="2.59765625" defaultRowHeight="15" customHeight="1" x14ac:dyDescent="0.45"/>
  <cols>
    <col min="1" max="16384" width="2.59765625" style="21"/>
  </cols>
  <sheetData>
    <row r="2" spans="2:59" ht="15" customHeight="1" x14ac:dyDescent="0.45">
      <c r="B2" s="154" t="s">
        <v>26</v>
      </c>
      <c r="C2" s="154"/>
      <c r="D2" s="154"/>
      <c r="E2" s="154"/>
      <c r="F2" s="154"/>
      <c r="G2" s="155" t="str">
        <f>表紙!V6</f>
        <v>会計システム刷新プロジェクト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6" t="s">
        <v>27</v>
      </c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8"/>
      <c r="AS2" s="146" t="s">
        <v>9</v>
      </c>
      <c r="AT2" s="146"/>
      <c r="AU2" s="146"/>
      <c r="AV2" s="146"/>
      <c r="AW2" s="146"/>
      <c r="AX2" s="146"/>
      <c r="AY2" s="146"/>
      <c r="AZ2" s="146"/>
      <c r="BA2" s="146" t="s">
        <v>10</v>
      </c>
      <c r="BB2" s="146"/>
      <c r="BC2" s="146"/>
      <c r="BD2" s="146"/>
      <c r="BE2" s="146"/>
      <c r="BF2" s="146"/>
      <c r="BG2" s="146"/>
    </row>
    <row r="3" spans="2:59" ht="15" customHeight="1" x14ac:dyDescent="0.45">
      <c r="B3" s="154" t="s">
        <v>28</v>
      </c>
      <c r="C3" s="154"/>
      <c r="D3" s="154"/>
      <c r="E3" s="154"/>
      <c r="F3" s="154"/>
      <c r="G3" s="155" t="str">
        <f>表紙!V10</f>
        <v>非機能要件定義書_システム連携</v>
      </c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63" t="s">
        <v>29</v>
      </c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5"/>
      <c r="AS3" s="154" t="s">
        <v>14</v>
      </c>
      <c r="AT3" s="154"/>
      <c r="AU3" s="153">
        <v>45314</v>
      </c>
      <c r="AV3" s="153"/>
      <c r="AW3" s="153"/>
      <c r="AX3" s="153"/>
      <c r="AY3" s="153"/>
      <c r="AZ3" s="153"/>
      <c r="BA3" s="169" t="s">
        <v>55</v>
      </c>
      <c r="BB3" s="169"/>
      <c r="BC3" s="169"/>
      <c r="BD3" s="169"/>
      <c r="BE3" s="169"/>
      <c r="BF3" s="169"/>
      <c r="BG3" s="169"/>
    </row>
    <row r="4" spans="2:59" ht="15" customHeight="1" x14ac:dyDescent="0.45">
      <c r="B4" s="154"/>
      <c r="C4" s="154"/>
      <c r="D4" s="154"/>
      <c r="E4" s="154"/>
      <c r="F4" s="154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6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  <c r="AS4" s="154" t="s">
        <v>15</v>
      </c>
      <c r="AT4" s="154"/>
      <c r="AU4" s="153">
        <v>45314</v>
      </c>
      <c r="AV4" s="153"/>
      <c r="AW4" s="153"/>
      <c r="AX4" s="153"/>
      <c r="AY4" s="153"/>
      <c r="AZ4" s="153"/>
      <c r="BA4" s="169" t="s">
        <v>55</v>
      </c>
      <c r="BB4" s="169"/>
      <c r="BC4" s="169"/>
      <c r="BD4" s="169"/>
      <c r="BE4" s="169"/>
      <c r="BF4" s="169"/>
      <c r="BG4" s="169"/>
    </row>
    <row r="6" spans="2:59" ht="15" customHeight="1" x14ac:dyDescent="0.45">
      <c r="B6" s="21" t="s">
        <v>31</v>
      </c>
      <c r="C6" s="21" t="s">
        <v>56</v>
      </c>
    </row>
    <row r="7" spans="2:59" ht="15" customHeight="1" x14ac:dyDescent="0.45">
      <c r="B7" s="22"/>
      <c r="C7" s="22" t="s">
        <v>57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 spans="2:59" ht="15" customHeight="1" x14ac:dyDescent="0.45">
      <c r="AO8" s="21" t="s">
        <v>58</v>
      </c>
    </row>
    <row r="9" spans="2:59" ht="15" customHeight="1" x14ac:dyDescent="0.45">
      <c r="C9" s="159" t="s">
        <v>34</v>
      </c>
      <c r="D9" s="159"/>
      <c r="E9" s="159"/>
      <c r="F9" s="159"/>
      <c r="G9" s="159"/>
      <c r="H9" s="159"/>
      <c r="I9" s="159"/>
      <c r="J9" s="159"/>
      <c r="K9" s="174" t="s">
        <v>59</v>
      </c>
      <c r="L9" s="175"/>
      <c r="M9" s="175"/>
      <c r="N9" s="175"/>
      <c r="O9" s="175"/>
      <c r="P9" s="175"/>
      <c r="Q9" s="171" t="s">
        <v>60</v>
      </c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3"/>
      <c r="AC9" s="171" t="s">
        <v>61</v>
      </c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3"/>
      <c r="AO9" s="171" t="s">
        <v>62</v>
      </c>
      <c r="AP9" s="172"/>
      <c r="AQ9" s="172"/>
      <c r="AR9" s="172"/>
      <c r="AS9" s="172"/>
      <c r="AT9" s="172"/>
      <c r="AU9" s="172"/>
      <c r="AV9" s="171" t="s">
        <v>56</v>
      </c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3"/>
    </row>
    <row r="10" spans="2:59" ht="15" customHeight="1" x14ac:dyDescent="0.45">
      <c r="C10" s="176" t="s">
        <v>63</v>
      </c>
      <c r="D10" s="177"/>
      <c r="E10" s="177"/>
      <c r="F10" s="177"/>
      <c r="G10" s="177"/>
      <c r="H10" s="177"/>
      <c r="I10" s="177"/>
      <c r="J10" s="178"/>
      <c r="K10" s="182" t="s">
        <v>35</v>
      </c>
      <c r="L10" s="183"/>
      <c r="M10" s="183"/>
      <c r="N10" s="183"/>
      <c r="O10" s="183"/>
      <c r="P10" s="184"/>
      <c r="Q10" s="188" t="s">
        <v>64</v>
      </c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90"/>
      <c r="AC10" s="188" t="s">
        <v>65</v>
      </c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90"/>
      <c r="AO10" s="197" t="s">
        <v>66</v>
      </c>
      <c r="AP10" s="198"/>
      <c r="AQ10" s="198"/>
      <c r="AR10" s="198"/>
      <c r="AS10" s="198"/>
      <c r="AT10" s="198"/>
      <c r="AU10" s="198"/>
      <c r="AV10" s="188" t="s">
        <v>67</v>
      </c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90"/>
    </row>
    <row r="11" spans="2:59" ht="15" customHeight="1" x14ac:dyDescent="0.45">
      <c r="C11" s="179"/>
      <c r="D11" s="180"/>
      <c r="E11" s="180"/>
      <c r="F11" s="180"/>
      <c r="G11" s="180"/>
      <c r="H11" s="180"/>
      <c r="I11" s="180"/>
      <c r="J11" s="181"/>
      <c r="K11" s="182"/>
      <c r="L11" s="183"/>
      <c r="M11" s="183"/>
      <c r="N11" s="183"/>
      <c r="O11" s="183"/>
      <c r="P11" s="184"/>
      <c r="Q11" s="188" t="s">
        <v>39</v>
      </c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90"/>
      <c r="AC11" s="188" t="s">
        <v>65</v>
      </c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90"/>
      <c r="AO11" s="197" t="s">
        <v>66</v>
      </c>
      <c r="AP11" s="198"/>
      <c r="AQ11" s="198"/>
      <c r="AR11" s="198"/>
      <c r="AS11" s="198"/>
      <c r="AT11" s="198"/>
      <c r="AU11" s="198"/>
      <c r="AV11" s="188" t="s">
        <v>67</v>
      </c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90"/>
    </row>
    <row r="12" spans="2:59" ht="15" customHeight="1" x14ac:dyDescent="0.45">
      <c r="C12" s="179"/>
      <c r="D12" s="180"/>
      <c r="E12" s="180"/>
      <c r="F12" s="180"/>
      <c r="G12" s="180"/>
      <c r="H12" s="180"/>
      <c r="I12" s="180"/>
      <c r="J12" s="181"/>
      <c r="K12" s="182"/>
      <c r="L12" s="183"/>
      <c r="M12" s="183"/>
      <c r="N12" s="183"/>
      <c r="O12" s="183"/>
      <c r="P12" s="184"/>
      <c r="Q12" s="188" t="s">
        <v>68</v>
      </c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90"/>
      <c r="AC12" s="188" t="s">
        <v>65</v>
      </c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90"/>
      <c r="AO12" s="197" t="s">
        <v>66</v>
      </c>
      <c r="AP12" s="198"/>
      <c r="AQ12" s="198"/>
      <c r="AR12" s="198"/>
      <c r="AS12" s="198"/>
      <c r="AT12" s="198"/>
      <c r="AU12" s="198"/>
      <c r="AV12" s="188" t="s">
        <v>67</v>
      </c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90"/>
    </row>
    <row r="13" spans="2:59" ht="15" customHeight="1" x14ac:dyDescent="0.45">
      <c r="C13" s="179"/>
      <c r="D13" s="180"/>
      <c r="E13" s="180"/>
      <c r="F13" s="180"/>
      <c r="G13" s="180"/>
      <c r="H13" s="180"/>
      <c r="I13" s="180"/>
      <c r="J13" s="181"/>
      <c r="K13" s="182"/>
      <c r="L13" s="183"/>
      <c r="M13" s="183"/>
      <c r="N13" s="183"/>
      <c r="O13" s="183"/>
      <c r="P13" s="184"/>
      <c r="Q13" s="188" t="s">
        <v>69</v>
      </c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90"/>
      <c r="AC13" s="188" t="s">
        <v>65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90"/>
      <c r="AO13" s="197" t="s">
        <v>66</v>
      </c>
      <c r="AP13" s="198"/>
      <c r="AQ13" s="198"/>
      <c r="AR13" s="198"/>
      <c r="AS13" s="198"/>
      <c r="AT13" s="198"/>
      <c r="AU13" s="198"/>
      <c r="AV13" s="188" t="s">
        <v>67</v>
      </c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90"/>
    </row>
    <row r="14" spans="2:59" ht="15" customHeight="1" x14ac:dyDescent="0.45">
      <c r="C14" s="179"/>
      <c r="D14" s="180"/>
      <c r="E14" s="180"/>
      <c r="F14" s="180"/>
      <c r="G14" s="180"/>
      <c r="H14" s="180"/>
      <c r="I14" s="180"/>
      <c r="J14" s="181"/>
      <c r="K14" s="182"/>
      <c r="L14" s="183"/>
      <c r="M14" s="183"/>
      <c r="N14" s="183"/>
      <c r="O14" s="183"/>
      <c r="P14" s="184"/>
      <c r="Q14" s="188" t="s">
        <v>70</v>
      </c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90"/>
      <c r="AC14" s="188" t="s">
        <v>71</v>
      </c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90"/>
      <c r="AO14" s="197" t="s">
        <v>72</v>
      </c>
      <c r="AP14" s="198"/>
      <c r="AQ14" s="198"/>
      <c r="AR14" s="198"/>
      <c r="AS14" s="198"/>
      <c r="AT14" s="198"/>
      <c r="AU14" s="198"/>
      <c r="AV14" s="188" t="s">
        <v>73</v>
      </c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90"/>
    </row>
    <row r="15" spans="2:59" ht="15" customHeight="1" x14ac:dyDescent="0.45">
      <c r="C15" s="179"/>
      <c r="D15" s="180"/>
      <c r="E15" s="180"/>
      <c r="F15" s="180"/>
      <c r="G15" s="180"/>
      <c r="H15" s="180"/>
      <c r="I15" s="180"/>
      <c r="J15" s="181"/>
      <c r="K15" s="182"/>
      <c r="L15" s="183"/>
      <c r="M15" s="183"/>
      <c r="N15" s="183"/>
      <c r="O15" s="183"/>
      <c r="P15" s="184"/>
      <c r="Q15" s="188" t="s">
        <v>74</v>
      </c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90"/>
      <c r="AC15" s="188" t="s">
        <v>71</v>
      </c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90"/>
      <c r="AO15" s="197" t="s">
        <v>66</v>
      </c>
      <c r="AP15" s="198"/>
      <c r="AQ15" s="198"/>
      <c r="AR15" s="198"/>
      <c r="AS15" s="198"/>
      <c r="AT15" s="198"/>
      <c r="AU15" s="198"/>
      <c r="AV15" s="188" t="s">
        <v>73</v>
      </c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90"/>
    </row>
    <row r="16" spans="2:59" ht="15" customHeight="1" x14ac:dyDescent="0.45">
      <c r="C16" s="179"/>
      <c r="D16" s="180"/>
      <c r="E16" s="180"/>
      <c r="F16" s="180"/>
      <c r="G16" s="180"/>
      <c r="H16" s="180"/>
      <c r="I16" s="180"/>
      <c r="J16" s="181"/>
      <c r="K16" s="185"/>
      <c r="L16" s="186"/>
      <c r="M16" s="186"/>
      <c r="N16" s="186"/>
      <c r="O16" s="186"/>
      <c r="P16" s="187"/>
      <c r="Q16" s="191" t="s">
        <v>63</v>
      </c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3"/>
      <c r="AC16" s="191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3"/>
      <c r="AO16" s="197" t="s">
        <v>66</v>
      </c>
      <c r="AP16" s="198"/>
      <c r="AQ16" s="198"/>
      <c r="AR16" s="198"/>
      <c r="AS16" s="198"/>
      <c r="AT16" s="198"/>
      <c r="AU16" s="198"/>
      <c r="AV16" s="191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3"/>
    </row>
    <row r="17" spans="3:59" x14ac:dyDescent="0.45">
      <c r="C17" s="179"/>
      <c r="D17" s="180"/>
      <c r="E17" s="180"/>
      <c r="F17" s="180"/>
      <c r="G17" s="180"/>
      <c r="H17" s="180"/>
      <c r="I17" s="180"/>
      <c r="J17" s="181"/>
      <c r="K17" s="194" t="s">
        <v>36</v>
      </c>
      <c r="L17" s="195"/>
      <c r="M17" s="195"/>
      <c r="N17" s="195"/>
      <c r="O17" s="195"/>
      <c r="P17" s="196"/>
      <c r="Q17" s="191" t="s">
        <v>63</v>
      </c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3"/>
      <c r="AC17" s="191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3"/>
      <c r="AO17" s="197" t="s">
        <v>66</v>
      </c>
      <c r="AP17" s="198"/>
      <c r="AQ17" s="198"/>
      <c r="AR17" s="198"/>
      <c r="AS17" s="198"/>
      <c r="AT17" s="198"/>
      <c r="AU17" s="198"/>
      <c r="AV17" s="191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3"/>
    </row>
    <row r="18" spans="3:59" ht="15" customHeight="1" x14ac:dyDescent="0.45">
      <c r="C18" s="179"/>
      <c r="D18" s="180"/>
      <c r="E18" s="180"/>
      <c r="F18" s="180"/>
      <c r="G18" s="180"/>
      <c r="H18" s="180"/>
      <c r="I18" s="180"/>
      <c r="J18" s="181"/>
      <c r="K18" s="182"/>
      <c r="L18" s="183"/>
      <c r="M18" s="183"/>
      <c r="N18" s="183"/>
      <c r="O18" s="183"/>
      <c r="P18" s="184"/>
      <c r="Q18" s="188" t="s">
        <v>70</v>
      </c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90"/>
      <c r="AC18" s="188" t="s">
        <v>71</v>
      </c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90"/>
      <c r="AO18" s="197" t="s">
        <v>75</v>
      </c>
      <c r="AP18" s="198"/>
      <c r="AQ18" s="198"/>
      <c r="AR18" s="198"/>
      <c r="AS18" s="198"/>
      <c r="AT18" s="198"/>
      <c r="AU18" s="198"/>
      <c r="AV18" s="188" t="s">
        <v>73</v>
      </c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90"/>
    </row>
    <row r="19" spans="3:59" ht="15" customHeight="1" x14ac:dyDescent="0.45">
      <c r="C19" s="179"/>
      <c r="D19" s="180"/>
      <c r="E19" s="180"/>
      <c r="F19" s="180"/>
      <c r="G19" s="180"/>
      <c r="H19" s="180"/>
      <c r="I19" s="180"/>
      <c r="J19" s="181"/>
      <c r="K19" s="182"/>
      <c r="L19" s="183"/>
      <c r="M19" s="183"/>
      <c r="N19" s="183"/>
      <c r="O19" s="183"/>
      <c r="P19" s="184"/>
      <c r="Q19" s="188" t="s">
        <v>74</v>
      </c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90"/>
      <c r="AC19" s="188" t="s">
        <v>71</v>
      </c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90"/>
      <c r="AO19" s="197" t="s">
        <v>66</v>
      </c>
      <c r="AP19" s="198"/>
      <c r="AQ19" s="198"/>
      <c r="AR19" s="198"/>
      <c r="AS19" s="198"/>
      <c r="AT19" s="198"/>
      <c r="AU19" s="198"/>
      <c r="AV19" s="188" t="s">
        <v>73</v>
      </c>
      <c r="AW19" s="189"/>
      <c r="AX19" s="189"/>
      <c r="AY19" s="189"/>
      <c r="AZ19" s="189"/>
      <c r="BA19" s="189"/>
      <c r="BB19" s="189"/>
      <c r="BC19" s="189"/>
      <c r="BD19" s="189"/>
      <c r="BE19" s="189"/>
      <c r="BF19" s="189"/>
      <c r="BG19" s="190"/>
    </row>
    <row r="20" spans="3:59" ht="15" customHeight="1" x14ac:dyDescent="0.45">
      <c r="C20" s="179"/>
      <c r="D20" s="180"/>
      <c r="E20" s="180"/>
      <c r="F20" s="180"/>
      <c r="G20" s="180"/>
      <c r="H20" s="180"/>
      <c r="I20" s="180"/>
      <c r="J20" s="181"/>
      <c r="K20" s="182"/>
      <c r="L20" s="183"/>
      <c r="M20" s="183"/>
      <c r="N20" s="183"/>
      <c r="O20" s="183"/>
      <c r="P20" s="184"/>
      <c r="Q20" s="188" t="s">
        <v>64</v>
      </c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90"/>
      <c r="AC20" s="188" t="s">
        <v>76</v>
      </c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90"/>
      <c r="AO20" s="197" t="s">
        <v>66</v>
      </c>
      <c r="AP20" s="198"/>
      <c r="AQ20" s="198"/>
      <c r="AR20" s="198"/>
      <c r="AS20" s="198"/>
      <c r="AT20" s="198"/>
      <c r="AU20" s="198"/>
      <c r="AV20" s="188" t="s">
        <v>67</v>
      </c>
      <c r="AW20" s="189"/>
      <c r="AX20" s="189"/>
      <c r="AY20" s="189"/>
      <c r="AZ20" s="189"/>
      <c r="BA20" s="189"/>
      <c r="BB20" s="189"/>
      <c r="BC20" s="189"/>
      <c r="BD20" s="189"/>
      <c r="BE20" s="189"/>
      <c r="BF20" s="189"/>
      <c r="BG20" s="190"/>
    </row>
    <row r="21" spans="3:59" ht="15" customHeight="1" x14ac:dyDescent="0.45">
      <c r="C21" s="179"/>
      <c r="D21" s="180"/>
      <c r="E21" s="180"/>
      <c r="F21" s="180"/>
      <c r="G21" s="180"/>
      <c r="H21" s="180"/>
      <c r="I21" s="180"/>
      <c r="J21" s="181"/>
      <c r="K21" s="185"/>
      <c r="L21" s="186"/>
      <c r="M21" s="186"/>
      <c r="N21" s="186"/>
      <c r="O21" s="186"/>
      <c r="P21" s="187"/>
      <c r="Q21" s="188" t="s">
        <v>39</v>
      </c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90"/>
      <c r="AC21" s="188" t="s">
        <v>76</v>
      </c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90"/>
      <c r="AO21" s="197" t="s">
        <v>66</v>
      </c>
      <c r="AP21" s="198"/>
      <c r="AQ21" s="198"/>
      <c r="AR21" s="198"/>
      <c r="AS21" s="198"/>
      <c r="AT21" s="198"/>
      <c r="AU21" s="198"/>
      <c r="AV21" s="188" t="s">
        <v>67</v>
      </c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90"/>
    </row>
    <row r="22" spans="3:59" ht="15" customHeight="1" x14ac:dyDescent="0.45">
      <c r="C22" s="176" t="s">
        <v>77</v>
      </c>
      <c r="D22" s="177"/>
      <c r="E22" s="177"/>
      <c r="F22" s="177"/>
      <c r="G22" s="177"/>
      <c r="H22" s="177"/>
      <c r="I22" s="177"/>
      <c r="J22" s="178"/>
      <c r="K22" s="194" t="s">
        <v>35</v>
      </c>
      <c r="L22" s="195"/>
      <c r="M22" s="195"/>
      <c r="N22" s="195"/>
      <c r="O22" s="195"/>
      <c r="P22" s="196"/>
      <c r="Q22" s="188" t="s">
        <v>39</v>
      </c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90"/>
      <c r="AC22" s="188" t="s">
        <v>65</v>
      </c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90"/>
      <c r="AO22" s="197" t="s">
        <v>66</v>
      </c>
      <c r="AP22" s="198"/>
      <c r="AQ22" s="198"/>
      <c r="AR22" s="198"/>
      <c r="AS22" s="198"/>
      <c r="AT22" s="198"/>
      <c r="AU22" s="198"/>
      <c r="AV22" s="188" t="s">
        <v>67</v>
      </c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90"/>
    </row>
    <row r="23" spans="3:59" ht="15" customHeight="1" x14ac:dyDescent="0.45">
      <c r="C23" s="179"/>
      <c r="D23" s="180"/>
      <c r="E23" s="180"/>
      <c r="F23" s="180"/>
      <c r="G23" s="180"/>
      <c r="H23" s="180"/>
      <c r="I23" s="180"/>
      <c r="J23" s="181"/>
      <c r="K23" s="182"/>
      <c r="L23" s="183"/>
      <c r="M23" s="183"/>
      <c r="N23" s="183"/>
      <c r="O23" s="183"/>
      <c r="P23" s="184"/>
      <c r="Q23" s="188" t="s">
        <v>78</v>
      </c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90"/>
      <c r="AC23" s="188" t="s">
        <v>71</v>
      </c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90"/>
      <c r="AO23" s="197" t="s">
        <v>75</v>
      </c>
      <c r="AP23" s="198"/>
      <c r="AQ23" s="198"/>
      <c r="AR23" s="198"/>
      <c r="AS23" s="198"/>
      <c r="AT23" s="198"/>
      <c r="AU23" s="198"/>
      <c r="AV23" s="188" t="s">
        <v>73</v>
      </c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90"/>
    </row>
    <row r="24" spans="3:59" ht="15" customHeight="1" x14ac:dyDescent="0.45">
      <c r="C24" s="179"/>
      <c r="D24" s="180"/>
      <c r="E24" s="180"/>
      <c r="F24" s="180"/>
      <c r="G24" s="180"/>
      <c r="H24" s="180"/>
      <c r="I24" s="180"/>
      <c r="J24" s="181"/>
      <c r="K24" s="182"/>
      <c r="L24" s="183"/>
      <c r="M24" s="183"/>
      <c r="N24" s="183"/>
      <c r="O24" s="183"/>
      <c r="P24" s="184"/>
      <c r="Q24" s="188" t="s">
        <v>79</v>
      </c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90"/>
      <c r="AC24" s="188" t="s">
        <v>71</v>
      </c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90"/>
      <c r="AO24" s="197" t="s">
        <v>66</v>
      </c>
      <c r="AP24" s="198"/>
      <c r="AQ24" s="198"/>
      <c r="AR24" s="198"/>
      <c r="AS24" s="198"/>
      <c r="AT24" s="198"/>
      <c r="AU24" s="198"/>
      <c r="AV24" s="188" t="s">
        <v>73</v>
      </c>
      <c r="AW24" s="189"/>
      <c r="AX24" s="189"/>
      <c r="AY24" s="189"/>
      <c r="AZ24" s="189"/>
      <c r="BA24" s="189"/>
      <c r="BB24" s="189"/>
      <c r="BC24" s="189"/>
      <c r="BD24" s="189"/>
      <c r="BE24" s="189"/>
      <c r="BF24" s="189"/>
      <c r="BG24" s="190"/>
    </row>
    <row r="25" spans="3:59" ht="15" customHeight="1" x14ac:dyDescent="0.45">
      <c r="C25" s="179"/>
      <c r="D25" s="180"/>
      <c r="E25" s="180"/>
      <c r="F25" s="180"/>
      <c r="G25" s="180"/>
      <c r="H25" s="180"/>
      <c r="I25" s="180"/>
      <c r="J25" s="181"/>
      <c r="K25" s="185"/>
      <c r="L25" s="186"/>
      <c r="M25" s="186"/>
      <c r="N25" s="186"/>
      <c r="O25" s="186"/>
      <c r="P25" s="187"/>
      <c r="Q25" s="191" t="s">
        <v>77</v>
      </c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3"/>
      <c r="AC25" s="191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3"/>
      <c r="AO25" s="207"/>
      <c r="AP25" s="208"/>
      <c r="AQ25" s="208"/>
      <c r="AR25" s="208"/>
      <c r="AS25" s="208"/>
      <c r="AT25" s="208"/>
      <c r="AU25" s="208"/>
      <c r="AV25" s="191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3"/>
    </row>
    <row r="26" spans="3:59" ht="15" customHeight="1" x14ac:dyDescent="0.45">
      <c r="C26" s="179"/>
      <c r="D26" s="180"/>
      <c r="E26" s="180"/>
      <c r="F26" s="180"/>
      <c r="G26" s="180"/>
      <c r="H26" s="180"/>
      <c r="I26" s="180"/>
      <c r="J26" s="181"/>
      <c r="K26" s="194" t="s">
        <v>36</v>
      </c>
      <c r="L26" s="195"/>
      <c r="M26" s="195"/>
      <c r="N26" s="195"/>
      <c r="O26" s="195"/>
      <c r="P26" s="196"/>
      <c r="Q26" s="191" t="s">
        <v>77</v>
      </c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3"/>
      <c r="AC26" s="191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3"/>
      <c r="AO26" s="207"/>
      <c r="AP26" s="208"/>
      <c r="AQ26" s="208"/>
      <c r="AR26" s="208"/>
      <c r="AS26" s="208"/>
      <c r="AT26" s="208"/>
      <c r="AU26" s="208"/>
      <c r="AV26" s="191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3"/>
    </row>
    <row r="27" spans="3:59" ht="15" customHeight="1" x14ac:dyDescent="0.45">
      <c r="C27" s="179"/>
      <c r="D27" s="180"/>
      <c r="E27" s="180"/>
      <c r="F27" s="180"/>
      <c r="G27" s="180"/>
      <c r="H27" s="180"/>
      <c r="I27" s="180"/>
      <c r="J27" s="181"/>
      <c r="K27" s="182"/>
      <c r="L27" s="183"/>
      <c r="M27" s="183"/>
      <c r="N27" s="183"/>
      <c r="O27" s="183"/>
      <c r="P27" s="184"/>
      <c r="Q27" s="188" t="s">
        <v>78</v>
      </c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90"/>
      <c r="AC27" s="188" t="s">
        <v>71</v>
      </c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90"/>
      <c r="AO27" s="197" t="s">
        <v>75</v>
      </c>
      <c r="AP27" s="198"/>
      <c r="AQ27" s="198"/>
      <c r="AR27" s="198"/>
      <c r="AS27" s="198"/>
      <c r="AT27" s="198"/>
      <c r="AU27" s="198"/>
      <c r="AV27" s="188" t="s">
        <v>73</v>
      </c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90"/>
    </row>
    <row r="28" spans="3:59" ht="15" customHeight="1" x14ac:dyDescent="0.45">
      <c r="C28" s="179"/>
      <c r="D28" s="180"/>
      <c r="E28" s="180"/>
      <c r="F28" s="180"/>
      <c r="G28" s="180"/>
      <c r="H28" s="180"/>
      <c r="I28" s="180"/>
      <c r="J28" s="181"/>
      <c r="K28" s="182"/>
      <c r="L28" s="183"/>
      <c r="M28" s="183"/>
      <c r="N28" s="183"/>
      <c r="O28" s="183"/>
      <c r="P28" s="184"/>
      <c r="Q28" s="188" t="s">
        <v>79</v>
      </c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90"/>
      <c r="AC28" s="188" t="s">
        <v>71</v>
      </c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90"/>
      <c r="AO28" s="197" t="s">
        <v>66</v>
      </c>
      <c r="AP28" s="198"/>
      <c r="AQ28" s="198"/>
      <c r="AR28" s="198"/>
      <c r="AS28" s="198"/>
      <c r="AT28" s="198"/>
      <c r="AU28" s="198"/>
      <c r="AV28" s="188" t="s">
        <v>73</v>
      </c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90"/>
    </row>
    <row r="29" spans="3:59" ht="15" customHeight="1" x14ac:dyDescent="0.45">
      <c r="C29" s="199"/>
      <c r="D29" s="200"/>
      <c r="E29" s="200"/>
      <c r="F29" s="200"/>
      <c r="G29" s="200"/>
      <c r="H29" s="200"/>
      <c r="I29" s="200"/>
      <c r="J29" s="201"/>
      <c r="K29" s="185"/>
      <c r="L29" s="186"/>
      <c r="M29" s="186"/>
      <c r="N29" s="186"/>
      <c r="O29" s="186"/>
      <c r="P29" s="187"/>
      <c r="Q29" s="188" t="s">
        <v>39</v>
      </c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90"/>
      <c r="AC29" s="188" t="s">
        <v>65</v>
      </c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90"/>
      <c r="AO29" s="197" t="s">
        <v>66</v>
      </c>
      <c r="AP29" s="198"/>
      <c r="AQ29" s="198"/>
      <c r="AR29" s="198"/>
      <c r="AS29" s="198"/>
      <c r="AT29" s="198"/>
      <c r="AU29" s="198"/>
      <c r="AV29" s="188" t="s">
        <v>67</v>
      </c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90"/>
    </row>
    <row r="30" spans="3:59" ht="15" customHeight="1" x14ac:dyDescent="0.45">
      <c r="C30" s="176" t="s">
        <v>80</v>
      </c>
      <c r="D30" s="177"/>
      <c r="E30" s="177"/>
      <c r="F30" s="177"/>
      <c r="G30" s="177"/>
      <c r="H30" s="177"/>
      <c r="I30" s="177"/>
      <c r="J30" s="178"/>
      <c r="K30" s="194" t="s">
        <v>35</v>
      </c>
      <c r="L30" s="195"/>
      <c r="M30" s="195"/>
      <c r="N30" s="195"/>
      <c r="O30" s="195"/>
      <c r="P30" s="196"/>
      <c r="Q30" s="188" t="s">
        <v>39</v>
      </c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90"/>
      <c r="AC30" s="188" t="s">
        <v>65</v>
      </c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90"/>
      <c r="AO30" s="197" t="s">
        <v>66</v>
      </c>
      <c r="AP30" s="198"/>
      <c r="AQ30" s="198"/>
      <c r="AR30" s="198"/>
      <c r="AS30" s="198"/>
      <c r="AT30" s="198"/>
      <c r="AU30" s="198"/>
      <c r="AV30" s="188" t="s">
        <v>67</v>
      </c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90"/>
    </row>
    <row r="31" spans="3:59" ht="15" customHeight="1" x14ac:dyDescent="0.45">
      <c r="C31" s="179"/>
      <c r="D31" s="180"/>
      <c r="E31" s="180"/>
      <c r="F31" s="180"/>
      <c r="G31" s="180"/>
      <c r="H31" s="180"/>
      <c r="I31" s="180"/>
      <c r="J31" s="181"/>
      <c r="K31" s="182"/>
      <c r="L31" s="183"/>
      <c r="M31" s="183"/>
      <c r="N31" s="183"/>
      <c r="O31" s="183"/>
      <c r="P31" s="184"/>
      <c r="Q31" s="188" t="s">
        <v>81</v>
      </c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90"/>
      <c r="AC31" s="188" t="s">
        <v>71</v>
      </c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90"/>
      <c r="AO31" s="197" t="s">
        <v>75</v>
      </c>
      <c r="AP31" s="198"/>
      <c r="AQ31" s="198"/>
      <c r="AR31" s="198"/>
      <c r="AS31" s="198"/>
      <c r="AT31" s="198"/>
      <c r="AU31" s="198"/>
      <c r="AV31" s="188" t="s">
        <v>73</v>
      </c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90"/>
    </row>
    <row r="32" spans="3:59" ht="15" customHeight="1" x14ac:dyDescent="0.45">
      <c r="C32" s="179"/>
      <c r="D32" s="180"/>
      <c r="E32" s="180"/>
      <c r="F32" s="180"/>
      <c r="G32" s="180"/>
      <c r="H32" s="180"/>
      <c r="I32" s="180"/>
      <c r="J32" s="181"/>
      <c r="K32" s="182"/>
      <c r="L32" s="183"/>
      <c r="M32" s="183"/>
      <c r="N32" s="183"/>
      <c r="O32" s="183"/>
      <c r="P32" s="184"/>
      <c r="Q32" s="188" t="s">
        <v>82</v>
      </c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90"/>
      <c r="AC32" s="188" t="s">
        <v>71</v>
      </c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90"/>
      <c r="AO32" s="197" t="s">
        <v>66</v>
      </c>
      <c r="AP32" s="198"/>
      <c r="AQ32" s="198"/>
      <c r="AR32" s="198"/>
      <c r="AS32" s="198"/>
      <c r="AT32" s="198"/>
      <c r="AU32" s="198"/>
      <c r="AV32" s="188" t="s">
        <v>73</v>
      </c>
      <c r="AW32" s="189"/>
      <c r="AX32" s="189"/>
      <c r="AY32" s="189"/>
      <c r="AZ32" s="189"/>
      <c r="BA32" s="189"/>
      <c r="BB32" s="189"/>
      <c r="BC32" s="189"/>
      <c r="BD32" s="189"/>
      <c r="BE32" s="189"/>
      <c r="BF32" s="189"/>
      <c r="BG32" s="190"/>
    </row>
    <row r="33" spans="3:59" x14ac:dyDescent="0.45">
      <c r="C33" s="179"/>
      <c r="D33" s="180"/>
      <c r="E33" s="180"/>
      <c r="F33" s="180"/>
      <c r="G33" s="180"/>
      <c r="H33" s="180"/>
      <c r="I33" s="180"/>
      <c r="J33" s="181"/>
      <c r="K33" s="182"/>
      <c r="L33" s="183"/>
      <c r="M33" s="183"/>
      <c r="N33" s="183"/>
      <c r="O33" s="183"/>
      <c r="P33" s="184"/>
      <c r="Q33" s="191" t="s">
        <v>80</v>
      </c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3"/>
      <c r="AC33" s="191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3"/>
      <c r="AO33" s="207"/>
      <c r="AP33" s="208"/>
      <c r="AQ33" s="208"/>
      <c r="AR33" s="208"/>
      <c r="AS33" s="208"/>
      <c r="AT33" s="208"/>
      <c r="AU33" s="208"/>
      <c r="AV33" s="191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3"/>
    </row>
    <row r="34" spans="3:59" ht="15" customHeight="1" x14ac:dyDescent="0.45">
      <c r="C34" s="179"/>
      <c r="D34" s="180"/>
      <c r="E34" s="180"/>
      <c r="F34" s="180"/>
      <c r="G34" s="180"/>
      <c r="H34" s="180"/>
      <c r="I34" s="180"/>
      <c r="J34" s="181"/>
      <c r="K34" s="194" t="s">
        <v>36</v>
      </c>
      <c r="L34" s="195"/>
      <c r="M34" s="195"/>
      <c r="N34" s="195"/>
      <c r="O34" s="195"/>
      <c r="P34" s="196"/>
      <c r="Q34" s="191" t="s">
        <v>80</v>
      </c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3"/>
      <c r="AC34" s="191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3"/>
      <c r="AO34" s="207"/>
      <c r="AP34" s="208"/>
      <c r="AQ34" s="208"/>
      <c r="AR34" s="208"/>
      <c r="AS34" s="208"/>
      <c r="AT34" s="208"/>
      <c r="AU34" s="208"/>
      <c r="AV34" s="191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3"/>
    </row>
    <row r="35" spans="3:59" ht="15" customHeight="1" x14ac:dyDescent="0.45">
      <c r="C35" s="179"/>
      <c r="D35" s="180"/>
      <c r="E35" s="180"/>
      <c r="F35" s="180"/>
      <c r="G35" s="180"/>
      <c r="H35" s="180"/>
      <c r="I35" s="180"/>
      <c r="J35" s="181"/>
      <c r="K35" s="182"/>
      <c r="L35" s="183"/>
      <c r="M35" s="183"/>
      <c r="N35" s="183"/>
      <c r="O35" s="183"/>
      <c r="P35" s="184"/>
      <c r="Q35" s="188" t="s">
        <v>81</v>
      </c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90"/>
      <c r="AC35" s="188" t="s">
        <v>71</v>
      </c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90"/>
      <c r="AO35" s="197" t="s">
        <v>75</v>
      </c>
      <c r="AP35" s="198"/>
      <c r="AQ35" s="198"/>
      <c r="AR35" s="198"/>
      <c r="AS35" s="198"/>
      <c r="AT35" s="198"/>
      <c r="AU35" s="198"/>
      <c r="AV35" s="188" t="s">
        <v>73</v>
      </c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90"/>
    </row>
    <row r="36" spans="3:59" ht="15" customHeight="1" x14ac:dyDescent="0.45">
      <c r="C36" s="179"/>
      <c r="D36" s="180"/>
      <c r="E36" s="180"/>
      <c r="F36" s="180"/>
      <c r="G36" s="180"/>
      <c r="H36" s="180"/>
      <c r="I36" s="180"/>
      <c r="J36" s="181"/>
      <c r="K36" s="182"/>
      <c r="L36" s="183"/>
      <c r="M36" s="183"/>
      <c r="N36" s="183"/>
      <c r="O36" s="183"/>
      <c r="P36" s="184"/>
      <c r="Q36" s="188" t="s">
        <v>82</v>
      </c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90"/>
      <c r="AC36" s="188" t="s">
        <v>71</v>
      </c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90"/>
      <c r="AO36" s="197" t="s">
        <v>66</v>
      </c>
      <c r="AP36" s="198"/>
      <c r="AQ36" s="198"/>
      <c r="AR36" s="198"/>
      <c r="AS36" s="198"/>
      <c r="AT36" s="198"/>
      <c r="AU36" s="198"/>
      <c r="AV36" s="188" t="s">
        <v>73</v>
      </c>
      <c r="AW36" s="189"/>
      <c r="AX36" s="189"/>
      <c r="AY36" s="189"/>
      <c r="AZ36" s="189"/>
      <c r="BA36" s="189"/>
      <c r="BB36" s="189"/>
      <c r="BC36" s="189"/>
      <c r="BD36" s="189"/>
      <c r="BE36" s="189"/>
      <c r="BF36" s="189"/>
      <c r="BG36" s="190"/>
    </row>
    <row r="37" spans="3:59" x14ac:dyDescent="0.45">
      <c r="C37" s="199"/>
      <c r="D37" s="200"/>
      <c r="E37" s="200"/>
      <c r="F37" s="200"/>
      <c r="G37" s="200"/>
      <c r="H37" s="200"/>
      <c r="I37" s="200"/>
      <c r="J37" s="201"/>
      <c r="K37" s="185"/>
      <c r="L37" s="186"/>
      <c r="M37" s="186"/>
      <c r="N37" s="186"/>
      <c r="O37" s="186"/>
      <c r="P37" s="187"/>
      <c r="Q37" s="188" t="s">
        <v>39</v>
      </c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90"/>
      <c r="AC37" s="188" t="s">
        <v>65</v>
      </c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90"/>
      <c r="AO37" s="197" t="s">
        <v>66</v>
      </c>
      <c r="AP37" s="198"/>
      <c r="AQ37" s="198"/>
      <c r="AR37" s="198"/>
      <c r="AS37" s="198"/>
      <c r="AT37" s="198"/>
      <c r="AU37" s="198"/>
      <c r="AV37" s="188" t="s">
        <v>67</v>
      </c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90"/>
    </row>
    <row r="38" spans="3:59" ht="15" customHeight="1" x14ac:dyDescent="0.45">
      <c r="C38" s="176" t="s">
        <v>83</v>
      </c>
      <c r="D38" s="177"/>
      <c r="E38" s="177"/>
      <c r="F38" s="177"/>
      <c r="G38" s="177"/>
      <c r="H38" s="177"/>
      <c r="I38" s="177"/>
      <c r="J38" s="178"/>
      <c r="K38" s="194" t="s">
        <v>36</v>
      </c>
      <c r="L38" s="195"/>
      <c r="M38" s="195"/>
      <c r="N38" s="195"/>
      <c r="O38" s="195"/>
      <c r="P38" s="196"/>
      <c r="Q38" s="188" t="s">
        <v>64</v>
      </c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90"/>
      <c r="AC38" s="188" t="s">
        <v>65</v>
      </c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90"/>
      <c r="AO38" s="197" t="s">
        <v>66</v>
      </c>
      <c r="AP38" s="198"/>
      <c r="AQ38" s="198"/>
      <c r="AR38" s="198"/>
      <c r="AS38" s="198"/>
      <c r="AT38" s="198"/>
      <c r="AU38" s="198"/>
      <c r="AV38" s="188" t="s">
        <v>67</v>
      </c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90"/>
    </row>
    <row r="39" spans="3:59" ht="15" customHeight="1" x14ac:dyDescent="0.45">
      <c r="C39" s="179"/>
      <c r="D39" s="180"/>
      <c r="E39" s="180"/>
      <c r="F39" s="180"/>
      <c r="G39" s="180"/>
      <c r="H39" s="180"/>
      <c r="I39" s="180"/>
      <c r="J39" s="181"/>
      <c r="K39" s="182"/>
      <c r="L39" s="183"/>
      <c r="M39" s="183"/>
      <c r="N39" s="183"/>
      <c r="O39" s="183"/>
      <c r="P39" s="184"/>
      <c r="Q39" s="188" t="s">
        <v>39</v>
      </c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90"/>
      <c r="AC39" s="188" t="s">
        <v>65</v>
      </c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90"/>
      <c r="AO39" s="197" t="s">
        <v>66</v>
      </c>
      <c r="AP39" s="198"/>
      <c r="AQ39" s="198"/>
      <c r="AR39" s="198"/>
      <c r="AS39" s="198"/>
      <c r="AT39" s="198"/>
      <c r="AU39" s="198"/>
      <c r="AV39" s="188" t="s">
        <v>67</v>
      </c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90"/>
    </row>
    <row r="40" spans="3:59" ht="15" customHeight="1" x14ac:dyDescent="0.45">
      <c r="C40" s="179"/>
      <c r="D40" s="180"/>
      <c r="E40" s="180"/>
      <c r="F40" s="180"/>
      <c r="G40" s="180"/>
      <c r="H40" s="180"/>
      <c r="I40" s="180"/>
      <c r="J40" s="181"/>
      <c r="K40" s="182"/>
      <c r="L40" s="183"/>
      <c r="M40" s="183"/>
      <c r="N40" s="183"/>
      <c r="O40" s="183"/>
      <c r="P40" s="184"/>
      <c r="Q40" s="188" t="s">
        <v>84</v>
      </c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90"/>
      <c r="AC40" s="188" t="s">
        <v>65</v>
      </c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90"/>
      <c r="AO40" s="197" t="s">
        <v>75</v>
      </c>
      <c r="AP40" s="198"/>
      <c r="AQ40" s="198"/>
      <c r="AR40" s="198"/>
      <c r="AS40" s="198"/>
      <c r="AT40" s="198"/>
      <c r="AU40" s="198"/>
      <c r="AV40" s="188" t="s">
        <v>67</v>
      </c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90"/>
    </row>
    <row r="41" spans="3:59" ht="15" customHeight="1" x14ac:dyDescent="0.45">
      <c r="C41" s="179"/>
      <c r="D41" s="180"/>
      <c r="E41" s="180"/>
      <c r="F41" s="180"/>
      <c r="G41" s="180"/>
      <c r="H41" s="180"/>
      <c r="I41" s="180"/>
      <c r="J41" s="181"/>
      <c r="K41" s="182"/>
      <c r="L41" s="183"/>
      <c r="M41" s="183"/>
      <c r="N41" s="183"/>
      <c r="O41" s="183"/>
      <c r="P41" s="184"/>
      <c r="Q41" s="188" t="s">
        <v>74</v>
      </c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90"/>
      <c r="AC41" s="188" t="s">
        <v>65</v>
      </c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90"/>
      <c r="AO41" s="197" t="s">
        <v>66</v>
      </c>
      <c r="AP41" s="198"/>
      <c r="AQ41" s="198"/>
      <c r="AR41" s="198"/>
      <c r="AS41" s="198"/>
      <c r="AT41" s="198"/>
      <c r="AU41" s="198"/>
      <c r="AV41" s="188" t="s">
        <v>67</v>
      </c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90"/>
    </row>
    <row r="42" spans="3:59" ht="15" customHeight="1" x14ac:dyDescent="0.45">
      <c r="C42" s="199"/>
      <c r="D42" s="200"/>
      <c r="E42" s="200"/>
      <c r="F42" s="200"/>
      <c r="G42" s="200"/>
      <c r="H42" s="200"/>
      <c r="I42" s="200"/>
      <c r="J42" s="201"/>
      <c r="K42" s="185"/>
      <c r="L42" s="186"/>
      <c r="M42" s="186"/>
      <c r="N42" s="186"/>
      <c r="O42" s="186"/>
      <c r="P42" s="187"/>
      <c r="Q42" s="191" t="s">
        <v>83</v>
      </c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3"/>
      <c r="AC42" s="191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3"/>
      <c r="AO42" s="197" t="s">
        <v>66</v>
      </c>
      <c r="AP42" s="198"/>
      <c r="AQ42" s="198"/>
      <c r="AR42" s="198"/>
      <c r="AS42" s="198"/>
      <c r="AT42" s="198"/>
      <c r="AU42" s="198"/>
      <c r="AV42" s="191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3"/>
    </row>
    <row r="43" spans="3:59" ht="15" customHeight="1" x14ac:dyDescent="0.45">
      <c r="C43" s="176" t="s">
        <v>85</v>
      </c>
      <c r="D43" s="177"/>
      <c r="E43" s="177"/>
      <c r="F43" s="177"/>
      <c r="G43" s="177"/>
      <c r="H43" s="177"/>
      <c r="I43" s="177"/>
      <c r="J43" s="177"/>
      <c r="K43" s="202" t="s">
        <v>36</v>
      </c>
      <c r="L43" s="195"/>
      <c r="M43" s="195"/>
      <c r="N43" s="195"/>
      <c r="O43" s="195"/>
      <c r="P43" s="196"/>
      <c r="Q43" s="188" t="s">
        <v>64</v>
      </c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90"/>
      <c r="AC43" s="188" t="s">
        <v>65</v>
      </c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90"/>
      <c r="AO43" s="197" t="s">
        <v>66</v>
      </c>
      <c r="AP43" s="198"/>
      <c r="AQ43" s="198"/>
      <c r="AR43" s="198"/>
      <c r="AS43" s="198"/>
      <c r="AT43" s="198"/>
      <c r="AU43" s="198"/>
      <c r="AV43" s="188" t="s">
        <v>67</v>
      </c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90"/>
    </row>
    <row r="44" spans="3:59" ht="15" customHeight="1" x14ac:dyDescent="0.45">
      <c r="C44" s="199"/>
      <c r="D44" s="200"/>
      <c r="E44" s="200"/>
      <c r="F44" s="200"/>
      <c r="G44" s="200"/>
      <c r="H44" s="200"/>
      <c r="I44" s="200"/>
      <c r="J44" s="200"/>
      <c r="K44" s="203"/>
      <c r="L44" s="186"/>
      <c r="M44" s="186"/>
      <c r="N44" s="186"/>
      <c r="O44" s="186"/>
      <c r="P44" s="187"/>
      <c r="Q44" s="188" t="s">
        <v>85</v>
      </c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90"/>
      <c r="AC44" s="188" t="s">
        <v>86</v>
      </c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90"/>
      <c r="AO44" s="197" t="s">
        <v>66</v>
      </c>
      <c r="AP44" s="198"/>
      <c r="AQ44" s="198"/>
      <c r="AR44" s="198"/>
      <c r="AS44" s="198"/>
      <c r="AT44" s="198"/>
      <c r="AU44" s="198"/>
      <c r="AV44" s="188" t="s">
        <v>87</v>
      </c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90"/>
    </row>
    <row r="45" spans="3:59" ht="28.5" customHeight="1" x14ac:dyDescent="0.45">
      <c r="C45" s="176" t="s">
        <v>88</v>
      </c>
      <c r="D45" s="177"/>
      <c r="E45" s="177"/>
      <c r="F45" s="177"/>
      <c r="G45" s="177"/>
      <c r="H45" s="177"/>
      <c r="I45" s="177"/>
      <c r="J45" s="177"/>
      <c r="K45" s="202" t="s">
        <v>36</v>
      </c>
      <c r="L45" s="195"/>
      <c r="M45" s="195"/>
      <c r="N45" s="195"/>
      <c r="O45" s="195"/>
      <c r="P45" s="196"/>
      <c r="Q45" s="188" t="s">
        <v>64</v>
      </c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90"/>
      <c r="AC45" s="188" t="s">
        <v>65</v>
      </c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90"/>
      <c r="AO45" s="197" t="s">
        <v>66</v>
      </c>
      <c r="AP45" s="198"/>
      <c r="AQ45" s="198"/>
      <c r="AR45" s="198"/>
      <c r="AS45" s="198"/>
      <c r="AT45" s="198"/>
      <c r="AU45" s="198"/>
      <c r="AV45" s="188" t="s">
        <v>67</v>
      </c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90"/>
    </row>
    <row r="46" spans="3:59" ht="28.5" customHeight="1" x14ac:dyDescent="0.45">
      <c r="C46" s="179"/>
      <c r="D46" s="180"/>
      <c r="E46" s="180"/>
      <c r="F46" s="180"/>
      <c r="G46" s="180"/>
      <c r="H46" s="180"/>
      <c r="I46" s="180"/>
      <c r="J46" s="180"/>
      <c r="K46" s="206"/>
      <c r="L46" s="183"/>
      <c r="M46" s="183"/>
      <c r="N46" s="183"/>
      <c r="O46" s="183"/>
      <c r="P46" s="184"/>
      <c r="Q46" s="188" t="s">
        <v>84</v>
      </c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90"/>
      <c r="AC46" s="188" t="s">
        <v>71</v>
      </c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90"/>
      <c r="AO46" s="197" t="s">
        <v>75</v>
      </c>
      <c r="AP46" s="198"/>
      <c r="AQ46" s="198"/>
      <c r="AR46" s="198"/>
      <c r="AS46" s="198"/>
      <c r="AT46" s="198"/>
      <c r="AU46" s="198"/>
      <c r="AV46" s="188" t="s">
        <v>73</v>
      </c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90"/>
    </row>
    <row r="47" spans="3:59" ht="28.5" customHeight="1" x14ac:dyDescent="0.45">
      <c r="C47" s="179"/>
      <c r="D47" s="180"/>
      <c r="E47" s="180"/>
      <c r="F47" s="180"/>
      <c r="G47" s="180"/>
      <c r="H47" s="180"/>
      <c r="I47" s="180"/>
      <c r="J47" s="180"/>
      <c r="K47" s="206"/>
      <c r="L47" s="183"/>
      <c r="M47" s="183"/>
      <c r="N47" s="183"/>
      <c r="O47" s="183"/>
      <c r="P47" s="184"/>
      <c r="Q47" s="188" t="s">
        <v>74</v>
      </c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90"/>
      <c r="AC47" s="188" t="s">
        <v>71</v>
      </c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90"/>
      <c r="AO47" s="197" t="s">
        <v>66</v>
      </c>
      <c r="AP47" s="198"/>
      <c r="AQ47" s="198"/>
      <c r="AR47" s="198"/>
      <c r="AS47" s="198"/>
      <c r="AT47" s="198"/>
      <c r="AU47" s="198"/>
      <c r="AV47" s="188" t="s">
        <v>73</v>
      </c>
      <c r="AW47" s="189"/>
      <c r="AX47" s="189"/>
      <c r="AY47" s="189"/>
      <c r="AZ47" s="189"/>
      <c r="BA47" s="189"/>
      <c r="BB47" s="189"/>
      <c r="BC47" s="189"/>
      <c r="BD47" s="189"/>
      <c r="BE47" s="189"/>
      <c r="BF47" s="189"/>
      <c r="BG47" s="190"/>
    </row>
    <row r="48" spans="3:59" ht="28.5" customHeight="1" x14ac:dyDescent="0.45">
      <c r="C48" s="199"/>
      <c r="D48" s="200"/>
      <c r="E48" s="200"/>
      <c r="F48" s="200"/>
      <c r="G48" s="200"/>
      <c r="H48" s="200"/>
      <c r="I48" s="200"/>
      <c r="J48" s="200"/>
      <c r="K48" s="203"/>
      <c r="L48" s="186"/>
      <c r="M48" s="186"/>
      <c r="N48" s="186"/>
      <c r="O48" s="186"/>
      <c r="P48" s="187"/>
      <c r="Q48" s="188" t="s">
        <v>88</v>
      </c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90"/>
      <c r="AC48" s="188" t="s">
        <v>89</v>
      </c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90"/>
      <c r="AO48" s="197" t="s">
        <v>66</v>
      </c>
      <c r="AP48" s="198"/>
      <c r="AQ48" s="198"/>
      <c r="AR48" s="198"/>
      <c r="AS48" s="198"/>
      <c r="AT48" s="198"/>
      <c r="AU48" s="198"/>
      <c r="AV48" s="188" t="s">
        <v>90</v>
      </c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90"/>
    </row>
    <row r="49" spans="3:59" ht="15" customHeight="1" x14ac:dyDescent="0.45">
      <c r="C49" s="176" t="s">
        <v>91</v>
      </c>
      <c r="D49" s="177"/>
      <c r="E49" s="177"/>
      <c r="F49" s="177"/>
      <c r="G49" s="177"/>
      <c r="H49" s="177"/>
      <c r="I49" s="177"/>
      <c r="J49" s="204"/>
      <c r="K49" s="202" t="s">
        <v>36</v>
      </c>
      <c r="L49" s="195"/>
      <c r="M49" s="195"/>
      <c r="N49" s="195"/>
      <c r="O49" s="195"/>
      <c r="P49" s="196"/>
      <c r="Q49" s="188" t="s">
        <v>39</v>
      </c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90"/>
      <c r="AC49" s="188" t="s">
        <v>65</v>
      </c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90"/>
      <c r="AO49" s="197" t="s">
        <v>66</v>
      </c>
      <c r="AP49" s="198"/>
      <c r="AQ49" s="198"/>
      <c r="AR49" s="198"/>
      <c r="AS49" s="198"/>
      <c r="AT49" s="198"/>
      <c r="AU49" s="198"/>
      <c r="AV49" s="188" t="s">
        <v>67</v>
      </c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90"/>
    </row>
    <row r="50" spans="3:59" ht="15" customHeight="1" x14ac:dyDescent="0.45">
      <c r="C50" s="199"/>
      <c r="D50" s="200"/>
      <c r="E50" s="200"/>
      <c r="F50" s="200"/>
      <c r="G50" s="200"/>
      <c r="H50" s="200"/>
      <c r="I50" s="200"/>
      <c r="J50" s="205"/>
      <c r="K50" s="203"/>
      <c r="L50" s="186"/>
      <c r="M50" s="186"/>
      <c r="N50" s="186"/>
      <c r="O50" s="186"/>
      <c r="P50" s="187"/>
      <c r="Q50" s="191" t="s">
        <v>91</v>
      </c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3"/>
      <c r="AC50" s="191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3"/>
      <c r="AO50" s="207"/>
      <c r="AP50" s="208"/>
      <c r="AQ50" s="208"/>
      <c r="AR50" s="208"/>
      <c r="AS50" s="208"/>
      <c r="AT50" s="208"/>
      <c r="AU50" s="208"/>
      <c r="AV50" s="191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3"/>
    </row>
    <row r="51" spans="3:59" ht="15" customHeight="1" x14ac:dyDescent="0.45">
      <c r="C51" s="176" t="s">
        <v>92</v>
      </c>
      <c r="D51" s="177"/>
      <c r="E51" s="177"/>
      <c r="F51" s="177"/>
      <c r="G51" s="177"/>
      <c r="H51" s="177"/>
      <c r="I51" s="177"/>
      <c r="J51" s="204"/>
      <c r="K51" s="202" t="s">
        <v>36</v>
      </c>
      <c r="L51" s="195"/>
      <c r="M51" s="195"/>
      <c r="N51" s="195"/>
      <c r="O51" s="195"/>
      <c r="P51" s="196"/>
      <c r="Q51" s="188" t="s">
        <v>39</v>
      </c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90"/>
      <c r="AC51" s="188" t="s">
        <v>65</v>
      </c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90"/>
      <c r="AO51" s="197" t="s">
        <v>66</v>
      </c>
      <c r="AP51" s="198"/>
      <c r="AQ51" s="198"/>
      <c r="AR51" s="198"/>
      <c r="AS51" s="198"/>
      <c r="AT51" s="198"/>
      <c r="AU51" s="198"/>
      <c r="AV51" s="188" t="s">
        <v>67</v>
      </c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90"/>
    </row>
    <row r="52" spans="3:59" ht="15" customHeight="1" x14ac:dyDescent="0.45">
      <c r="C52" s="199"/>
      <c r="D52" s="200"/>
      <c r="E52" s="200"/>
      <c r="F52" s="200"/>
      <c r="G52" s="200"/>
      <c r="H52" s="200"/>
      <c r="I52" s="200"/>
      <c r="J52" s="205"/>
      <c r="K52" s="203"/>
      <c r="L52" s="186"/>
      <c r="M52" s="186"/>
      <c r="N52" s="186"/>
      <c r="O52" s="186"/>
      <c r="P52" s="187"/>
      <c r="Q52" s="191" t="s">
        <v>92</v>
      </c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3"/>
      <c r="AC52" s="191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3"/>
      <c r="AO52" s="207"/>
      <c r="AP52" s="208"/>
      <c r="AQ52" s="208"/>
      <c r="AR52" s="208"/>
      <c r="AS52" s="208"/>
      <c r="AT52" s="208"/>
      <c r="AU52" s="208"/>
      <c r="AV52" s="191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3"/>
    </row>
    <row r="53" spans="3:59" ht="15" customHeight="1" x14ac:dyDescent="0.45">
      <c r="C53" s="176" t="s">
        <v>93</v>
      </c>
      <c r="D53" s="177"/>
      <c r="E53" s="177"/>
      <c r="F53" s="177"/>
      <c r="G53" s="177"/>
      <c r="H53" s="177"/>
      <c r="I53" s="177"/>
      <c r="J53" s="178"/>
      <c r="K53" s="194" t="s">
        <v>35</v>
      </c>
      <c r="L53" s="195"/>
      <c r="M53" s="195"/>
      <c r="N53" s="195"/>
      <c r="O53" s="195"/>
      <c r="P53" s="196"/>
      <c r="Q53" s="188" t="s">
        <v>39</v>
      </c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90"/>
      <c r="AC53" s="188" t="s">
        <v>65</v>
      </c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90"/>
      <c r="AO53" s="197" t="s">
        <v>66</v>
      </c>
      <c r="AP53" s="198"/>
      <c r="AQ53" s="198"/>
      <c r="AR53" s="198"/>
      <c r="AS53" s="198"/>
      <c r="AT53" s="198"/>
      <c r="AU53" s="198"/>
      <c r="AV53" s="188" t="s">
        <v>67</v>
      </c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90"/>
    </row>
    <row r="54" spans="3:59" ht="15" customHeight="1" x14ac:dyDescent="0.45">
      <c r="C54" s="179"/>
      <c r="D54" s="180"/>
      <c r="E54" s="180"/>
      <c r="F54" s="180"/>
      <c r="G54" s="180"/>
      <c r="H54" s="180"/>
      <c r="I54" s="180"/>
      <c r="J54" s="181"/>
      <c r="K54" s="182"/>
      <c r="L54" s="183"/>
      <c r="M54" s="183"/>
      <c r="N54" s="183"/>
      <c r="O54" s="183"/>
      <c r="P54" s="184"/>
      <c r="Q54" s="188" t="s">
        <v>78</v>
      </c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90"/>
      <c r="AC54" s="188" t="s">
        <v>71</v>
      </c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90"/>
      <c r="AO54" s="197" t="s">
        <v>75</v>
      </c>
      <c r="AP54" s="198"/>
      <c r="AQ54" s="198"/>
      <c r="AR54" s="198"/>
      <c r="AS54" s="198"/>
      <c r="AT54" s="198"/>
      <c r="AU54" s="198"/>
      <c r="AV54" s="188" t="s">
        <v>73</v>
      </c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90"/>
    </row>
    <row r="55" spans="3:59" ht="15" customHeight="1" x14ac:dyDescent="0.45">
      <c r="C55" s="179"/>
      <c r="D55" s="180"/>
      <c r="E55" s="180"/>
      <c r="F55" s="180"/>
      <c r="G55" s="180"/>
      <c r="H55" s="180"/>
      <c r="I55" s="180"/>
      <c r="J55" s="181"/>
      <c r="K55" s="182"/>
      <c r="L55" s="183"/>
      <c r="M55" s="183"/>
      <c r="N55" s="183"/>
      <c r="O55" s="183"/>
      <c r="P55" s="184"/>
      <c r="Q55" s="188" t="s">
        <v>79</v>
      </c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90"/>
      <c r="AC55" s="188" t="s">
        <v>71</v>
      </c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90"/>
      <c r="AO55" s="197" t="s">
        <v>66</v>
      </c>
      <c r="AP55" s="198"/>
      <c r="AQ55" s="198"/>
      <c r="AR55" s="198"/>
      <c r="AS55" s="198"/>
      <c r="AT55" s="198"/>
      <c r="AU55" s="198"/>
      <c r="AV55" s="188" t="s">
        <v>73</v>
      </c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90"/>
    </row>
    <row r="56" spans="3:59" ht="15" customHeight="1" x14ac:dyDescent="0.45">
      <c r="C56" s="179"/>
      <c r="D56" s="180"/>
      <c r="E56" s="180"/>
      <c r="F56" s="180"/>
      <c r="G56" s="180"/>
      <c r="H56" s="180"/>
      <c r="I56" s="180"/>
      <c r="J56" s="181"/>
      <c r="K56" s="185"/>
      <c r="L56" s="186"/>
      <c r="M56" s="186"/>
      <c r="N56" s="186"/>
      <c r="O56" s="186"/>
      <c r="P56" s="187"/>
      <c r="Q56" s="191" t="s">
        <v>93</v>
      </c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3"/>
      <c r="AC56" s="191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3"/>
      <c r="AO56" s="207"/>
      <c r="AP56" s="208"/>
      <c r="AQ56" s="208"/>
      <c r="AR56" s="208"/>
      <c r="AS56" s="208"/>
      <c r="AT56" s="208"/>
      <c r="AU56" s="208"/>
      <c r="AV56" s="191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3"/>
    </row>
    <row r="57" spans="3:59" ht="15" customHeight="1" x14ac:dyDescent="0.45">
      <c r="C57" s="179"/>
      <c r="D57" s="180"/>
      <c r="E57" s="180"/>
      <c r="F57" s="180"/>
      <c r="G57" s="180"/>
      <c r="H57" s="180"/>
      <c r="I57" s="180"/>
      <c r="J57" s="181"/>
      <c r="K57" s="194" t="s">
        <v>36</v>
      </c>
      <c r="L57" s="195"/>
      <c r="M57" s="195"/>
      <c r="N57" s="195"/>
      <c r="O57" s="195"/>
      <c r="P57" s="196"/>
      <c r="Q57" s="191" t="s">
        <v>93</v>
      </c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3"/>
      <c r="AC57" s="191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3"/>
      <c r="AO57" s="207"/>
      <c r="AP57" s="208"/>
      <c r="AQ57" s="208"/>
      <c r="AR57" s="208"/>
      <c r="AS57" s="208"/>
      <c r="AT57" s="208"/>
      <c r="AU57" s="208"/>
      <c r="AV57" s="191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3"/>
    </row>
    <row r="58" spans="3:59" ht="15" customHeight="1" x14ac:dyDescent="0.45">
      <c r="C58" s="179"/>
      <c r="D58" s="180"/>
      <c r="E58" s="180"/>
      <c r="F58" s="180"/>
      <c r="G58" s="180"/>
      <c r="H58" s="180"/>
      <c r="I58" s="180"/>
      <c r="J58" s="181"/>
      <c r="K58" s="182"/>
      <c r="L58" s="183"/>
      <c r="M58" s="183"/>
      <c r="N58" s="183"/>
      <c r="O58" s="183"/>
      <c r="P58" s="184"/>
      <c r="Q58" s="188" t="s">
        <v>78</v>
      </c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90"/>
      <c r="AC58" s="188" t="s">
        <v>71</v>
      </c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90"/>
      <c r="AO58" s="197" t="s">
        <v>75</v>
      </c>
      <c r="AP58" s="198"/>
      <c r="AQ58" s="198"/>
      <c r="AR58" s="198"/>
      <c r="AS58" s="198"/>
      <c r="AT58" s="198"/>
      <c r="AU58" s="198"/>
      <c r="AV58" s="188" t="s">
        <v>73</v>
      </c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90"/>
    </row>
    <row r="59" spans="3:59" ht="15" customHeight="1" x14ac:dyDescent="0.45">
      <c r="C59" s="179"/>
      <c r="D59" s="180"/>
      <c r="E59" s="180"/>
      <c r="F59" s="180"/>
      <c r="G59" s="180"/>
      <c r="H59" s="180"/>
      <c r="I59" s="180"/>
      <c r="J59" s="181"/>
      <c r="K59" s="182"/>
      <c r="L59" s="183"/>
      <c r="M59" s="183"/>
      <c r="N59" s="183"/>
      <c r="O59" s="183"/>
      <c r="P59" s="184"/>
      <c r="Q59" s="188" t="s">
        <v>79</v>
      </c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90"/>
      <c r="AC59" s="188" t="s">
        <v>71</v>
      </c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90"/>
      <c r="AO59" s="197" t="s">
        <v>66</v>
      </c>
      <c r="AP59" s="198"/>
      <c r="AQ59" s="198"/>
      <c r="AR59" s="198"/>
      <c r="AS59" s="198"/>
      <c r="AT59" s="198"/>
      <c r="AU59" s="198"/>
      <c r="AV59" s="188" t="s">
        <v>73</v>
      </c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90"/>
    </row>
    <row r="60" spans="3:59" ht="15" customHeight="1" x14ac:dyDescent="0.45">
      <c r="C60" s="199"/>
      <c r="D60" s="200"/>
      <c r="E60" s="200"/>
      <c r="F60" s="200"/>
      <c r="G60" s="200"/>
      <c r="H60" s="200"/>
      <c r="I60" s="200"/>
      <c r="J60" s="201"/>
      <c r="K60" s="185"/>
      <c r="L60" s="186"/>
      <c r="M60" s="186"/>
      <c r="N60" s="186"/>
      <c r="O60" s="186"/>
      <c r="P60" s="187"/>
      <c r="Q60" s="188" t="s">
        <v>39</v>
      </c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90"/>
      <c r="AC60" s="188" t="s">
        <v>65</v>
      </c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90"/>
      <c r="AO60" s="197" t="s">
        <v>66</v>
      </c>
      <c r="AP60" s="198"/>
      <c r="AQ60" s="198"/>
      <c r="AR60" s="198"/>
      <c r="AS60" s="198"/>
      <c r="AT60" s="198"/>
      <c r="AU60" s="198"/>
      <c r="AV60" s="188" t="s">
        <v>67</v>
      </c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90"/>
    </row>
    <row r="61" spans="3:59" ht="15" customHeight="1" x14ac:dyDescent="0.45">
      <c r="C61" s="176" t="s">
        <v>94</v>
      </c>
      <c r="D61" s="177"/>
      <c r="E61" s="177"/>
      <c r="F61" s="177"/>
      <c r="G61" s="177"/>
      <c r="H61" s="177"/>
      <c r="I61" s="177"/>
      <c r="J61" s="178"/>
      <c r="K61" s="194" t="s">
        <v>35</v>
      </c>
      <c r="L61" s="195"/>
      <c r="M61" s="195"/>
      <c r="N61" s="195"/>
      <c r="O61" s="195"/>
      <c r="P61" s="196"/>
      <c r="Q61" s="188" t="s">
        <v>39</v>
      </c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90"/>
      <c r="AC61" s="188" t="s">
        <v>65</v>
      </c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90"/>
      <c r="AO61" s="197" t="s">
        <v>66</v>
      </c>
      <c r="AP61" s="198"/>
      <c r="AQ61" s="198"/>
      <c r="AR61" s="198"/>
      <c r="AS61" s="198"/>
      <c r="AT61" s="198"/>
      <c r="AU61" s="198"/>
      <c r="AV61" s="188" t="s">
        <v>67</v>
      </c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90"/>
    </row>
    <row r="62" spans="3:59" ht="15" customHeight="1" x14ac:dyDescent="0.45">
      <c r="C62" s="179"/>
      <c r="D62" s="180"/>
      <c r="E62" s="180"/>
      <c r="F62" s="180"/>
      <c r="G62" s="180"/>
      <c r="H62" s="180"/>
      <c r="I62" s="180"/>
      <c r="J62" s="181"/>
      <c r="K62" s="182"/>
      <c r="L62" s="183"/>
      <c r="M62" s="183"/>
      <c r="N62" s="183"/>
      <c r="O62" s="183"/>
      <c r="P62" s="184"/>
      <c r="Q62" s="188" t="s">
        <v>78</v>
      </c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90"/>
      <c r="AC62" s="188" t="s">
        <v>71</v>
      </c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90"/>
      <c r="AO62" s="197" t="s">
        <v>75</v>
      </c>
      <c r="AP62" s="198"/>
      <c r="AQ62" s="198"/>
      <c r="AR62" s="198"/>
      <c r="AS62" s="198"/>
      <c r="AT62" s="198"/>
      <c r="AU62" s="198"/>
      <c r="AV62" s="188" t="s">
        <v>73</v>
      </c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90"/>
    </row>
    <row r="63" spans="3:59" ht="15" customHeight="1" x14ac:dyDescent="0.45">
      <c r="C63" s="179"/>
      <c r="D63" s="180"/>
      <c r="E63" s="180"/>
      <c r="F63" s="180"/>
      <c r="G63" s="180"/>
      <c r="H63" s="180"/>
      <c r="I63" s="180"/>
      <c r="J63" s="181"/>
      <c r="K63" s="182"/>
      <c r="L63" s="183"/>
      <c r="M63" s="183"/>
      <c r="N63" s="183"/>
      <c r="O63" s="183"/>
      <c r="P63" s="184"/>
      <c r="Q63" s="188" t="s">
        <v>79</v>
      </c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90"/>
      <c r="AC63" s="188" t="s">
        <v>71</v>
      </c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90"/>
      <c r="AO63" s="197" t="s">
        <v>66</v>
      </c>
      <c r="AP63" s="198"/>
      <c r="AQ63" s="198"/>
      <c r="AR63" s="198"/>
      <c r="AS63" s="198"/>
      <c r="AT63" s="198"/>
      <c r="AU63" s="198"/>
      <c r="AV63" s="188" t="s">
        <v>73</v>
      </c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90"/>
    </row>
    <row r="64" spans="3:59" ht="15" customHeight="1" x14ac:dyDescent="0.45">
      <c r="C64" s="179"/>
      <c r="D64" s="180"/>
      <c r="E64" s="180"/>
      <c r="F64" s="180"/>
      <c r="G64" s="180"/>
      <c r="H64" s="180"/>
      <c r="I64" s="180"/>
      <c r="J64" s="181"/>
      <c r="K64" s="185"/>
      <c r="L64" s="186"/>
      <c r="M64" s="186"/>
      <c r="N64" s="186"/>
      <c r="O64" s="186"/>
      <c r="P64" s="187"/>
      <c r="Q64" s="191" t="s">
        <v>95</v>
      </c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3"/>
      <c r="AC64" s="191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3"/>
      <c r="AO64" s="207"/>
      <c r="AP64" s="208"/>
      <c r="AQ64" s="208"/>
      <c r="AR64" s="208"/>
      <c r="AS64" s="208"/>
      <c r="AT64" s="208"/>
      <c r="AU64" s="208"/>
      <c r="AV64" s="191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3"/>
    </row>
    <row r="65" spans="3:59" ht="15" customHeight="1" x14ac:dyDescent="0.45">
      <c r="C65" s="179"/>
      <c r="D65" s="180"/>
      <c r="E65" s="180"/>
      <c r="F65" s="180"/>
      <c r="G65" s="180"/>
      <c r="H65" s="180"/>
      <c r="I65" s="180"/>
      <c r="J65" s="181"/>
      <c r="K65" s="194" t="s">
        <v>36</v>
      </c>
      <c r="L65" s="195"/>
      <c r="M65" s="195"/>
      <c r="N65" s="195"/>
      <c r="O65" s="195"/>
      <c r="P65" s="196"/>
      <c r="Q65" s="191" t="s">
        <v>95</v>
      </c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3"/>
      <c r="AC65" s="191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3"/>
      <c r="AO65" s="207"/>
      <c r="AP65" s="208"/>
      <c r="AQ65" s="208"/>
      <c r="AR65" s="208"/>
      <c r="AS65" s="208"/>
      <c r="AT65" s="208"/>
      <c r="AU65" s="208"/>
      <c r="AV65" s="191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3"/>
    </row>
    <row r="66" spans="3:59" ht="15" customHeight="1" x14ac:dyDescent="0.45">
      <c r="C66" s="179"/>
      <c r="D66" s="180"/>
      <c r="E66" s="180"/>
      <c r="F66" s="180"/>
      <c r="G66" s="180"/>
      <c r="H66" s="180"/>
      <c r="I66" s="180"/>
      <c r="J66" s="181"/>
      <c r="K66" s="182"/>
      <c r="L66" s="183"/>
      <c r="M66" s="183"/>
      <c r="N66" s="183"/>
      <c r="O66" s="183"/>
      <c r="P66" s="184"/>
      <c r="Q66" s="188" t="s">
        <v>78</v>
      </c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90"/>
      <c r="AC66" s="188" t="s">
        <v>71</v>
      </c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90"/>
      <c r="AO66" s="197" t="s">
        <v>75</v>
      </c>
      <c r="AP66" s="198"/>
      <c r="AQ66" s="198"/>
      <c r="AR66" s="198"/>
      <c r="AS66" s="198"/>
      <c r="AT66" s="198"/>
      <c r="AU66" s="198"/>
      <c r="AV66" s="188" t="s">
        <v>73</v>
      </c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90"/>
    </row>
    <row r="67" spans="3:59" ht="15" customHeight="1" x14ac:dyDescent="0.45">
      <c r="C67" s="179"/>
      <c r="D67" s="180"/>
      <c r="E67" s="180"/>
      <c r="F67" s="180"/>
      <c r="G67" s="180"/>
      <c r="H67" s="180"/>
      <c r="I67" s="180"/>
      <c r="J67" s="181"/>
      <c r="K67" s="182"/>
      <c r="L67" s="183"/>
      <c r="M67" s="183"/>
      <c r="N67" s="183"/>
      <c r="O67" s="183"/>
      <c r="P67" s="184"/>
      <c r="Q67" s="188" t="s">
        <v>79</v>
      </c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90"/>
      <c r="AC67" s="188" t="s">
        <v>71</v>
      </c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90"/>
      <c r="AO67" s="197" t="s">
        <v>66</v>
      </c>
      <c r="AP67" s="198"/>
      <c r="AQ67" s="198"/>
      <c r="AR67" s="198"/>
      <c r="AS67" s="198"/>
      <c r="AT67" s="198"/>
      <c r="AU67" s="198"/>
      <c r="AV67" s="188" t="s">
        <v>73</v>
      </c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90"/>
    </row>
    <row r="68" spans="3:59" ht="15" customHeight="1" x14ac:dyDescent="0.45">
      <c r="C68" s="179"/>
      <c r="D68" s="180"/>
      <c r="E68" s="180"/>
      <c r="F68" s="180"/>
      <c r="G68" s="180"/>
      <c r="H68" s="180"/>
      <c r="I68" s="180"/>
      <c r="J68" s="181"/>
      <c r="K68" s="185"/>
      <c r="L68" s="186"/>
      <c r="M68" s="186"/>
      <c r="N68" s="186"/>
      <c r="O68" s="186"/>
      <c r="P68" s="187"/>
      <c r="Q68" s="188" t="s">
        <v>39</v>
      </c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90"/>
      <c r="AC68" s="188" t="s">
        <v>65</v>
      </c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90"/>
      <c r="AO68" s="197" t="s">
        <v>66</v>
      </c>
      <c r="AP68" s="198"/>
      <c r="AQ68" s="198"/>
      <c r="AR68" s="198"/>
      <c r="AS68" s="198"/>
      <c r="AT68" s="198"/>
      <c r="AU68" s="198"/>
      <c r="AV68" s="188" t="s">
        <v>67</v>
      </c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90"/>
    </row>
    <row r="69" spans="3:59" ht="15" customHeight="1" x14ac:dyDescent="0.45">
      <c r="C69" s="176" t="s">
        <v>96</v>
      </c>
      <c r="D69" s="177"/>
      <c r="E69" s="177"/>
      <c r="F69" s="177"/>
      <c r="G69" s="177"/>
      <c r="H69" s="177"/>
      <c r="I69" s="177"/>
      <c r="J69" s="177"/>
      <c r="K69" s="202" t="s">
        <v>36</v>
      </c>
      <c r="L69" s="195"/>
      <c r="M69" s="195"/>
      <c r="N69" s="195"/>
      <c r="O69" s="195"/>
      <c r="P69" s="196"/>
      <c r="Q69" s="188" t="s">
        <v>64</v>
      </c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90"/>
      <c r="AC69" s="188" t="s">
        <v>65</v>
      </c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90"/>
      <c r="AO69" s="197" t="s">
        <v>66</v>
      </c>
      <c r="AP69" s="198"/>
      <c r="AQ69" s="198"/>
      <c r="AR69" s="198"/>
      <c r="AS69" s="198"/>
      <c r="AT69" s="198"/>
      <c r="AU69" s="198"/>
      <c r="AV69" s="188" t="s">
        <v>67</v>
      </c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90"/>
    </row>
    <row r="70" spans="3:59" ht="15" customHeight="1" x14ac:dyDescent="0.45">
      <c r="C70" s="199"/>
      <c r="D70" s="200"/>
      <c r="E70" s="200"/>
      <c r="F70" s="200"/>
      <c r="G70" s="200"/>
      <c r="H70" s="200"/>
      <c r="I70" s="200"/>
      <c r="J70" s="200"/>
      <c r="K70" s="203"/>
      <c r="L70" s="186"/>
      <c r="M70" s="186"/>
      <c r="N70" s="186"/>
      <c r="O70" s="186"/>
      <c r="P70" s="187"/>
      <c r="Q70" s="191" t="s">
        <v>96</v>
      </c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3"/>
      <c r="AC70" s="191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3"/>
      <c r="AO70" s="207"/>
      <c r="AP70" s="208"/>
      <c r="AQ70" s="208"/>
      <c r="AR70" s="208"/>
      <c r="AS70" s="208"/>
      <c r="AT70" s="208"/>
      <c r="AU70" s="208"/>
      <c r="AV70" s="191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3"/>
    </row>
    <row r="71" spans="3:59" ht="15" customHeight="1" x14ac:dyDescent="0.45">
      <c r="C71" s="176" t="s">
        <v>97</v>
      </c>
      <c r="D71" s="177"/>
      <c r="E71" s="177"/>
      <c r="F71" s="177"/>
      <c r="G71" s="177"/>
      <c r="H71" s="177"/>
      <c r="I71" s="177"/>
      <c r="J71" s="178"/>
      <c r="K71" s="194" t="s">
        <v>36</v>
      </c>
      <c r="L71" s="195"/>
      <c r="M71" s="195"/>
      <c r="N71" s="195"/>
      <c r="O71" s="195"/>
      <c r="P71" s="196"/>
      <c r="Q71" s="188" t="s">
        <v>64</v>
      </c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90"/>
      <c r="AC71" s="188" t="s">
        <v>65</v>
      </c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90"/>
      <c r="AO71" s="197" t="s">
        <v>66</v>
      </c>
      <c r="AP71" s="198"/>
      <c r="AQ71" s="198"/>
      <c r="AR71" s="198"/>
      <c r="AS71" s="198"/>
      <c r="AT71" s="198"/>
      <c r="AU71" s="198"/>
      <c r="AV71" s="188" t="s">
        <v>67</v>
      </c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90"/>
    </row>
    <row r="72" spans="3:59" ht="15" customHeight="1" x14ac:dyDescent="0.45">
      <c r="C72" s="179"/>
      <c r="D72" s="180"/>
      <c r="E72" s="180"/>
      <c r="F72" s="180"/>
      <c r="G72" s="180"/>
      <c r="H72" s="180"/>
      <c r="I72" s="180"/>
      <c r="J72" s="181"/>
      <c r="K72" s="182"/>
      <c r="L72" s="183"/>
      <c r="M72" s="183"/>
      <c r="N72" s="183"/>
      <c r="O72" s="183"/>
      <c r="P72" s="184"/>
      <c r="Q72" s="188" t="s">
        <v>78</v>
      </c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90"/>
      <c r="AC72" s="188" t="s">
        <v>71</v>
      </c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90"/>
      <c r="AO72" s="197" t="s">
        <v>75</v>
      </c>
      <c r="AP72" s="198"/>
      <c r="AQ72" s="198"/>
      <c r="AR72" s="198"/>
      <c r="AS72" s="198"/>
      <c r="AT72" s="198"/>
      <c r="AU72" s="198"/>
      <c r="AV72" s="188" t="s">
        <v>73</v>
      </c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90"/>
    </row>
    <row r="73" spans="3:59" ht="15" customHeight="1" x14ac:dyDescent="0.45">
      <c r="C73" s="179"/>
      <c r="D73" s="180"/>
      <c r="E73" s="180"/>
      <c r="F73" s="180"/>
      <c r="G73" s="180"/>
      <c r="H73" s="180"/>
      <c r="I73" s="180"/>
      <c r="J73" s="181"/>
      <c r="K73" s="182"/>
      <c r="L73" s="183"/>
      <c r="M73" s="183"/>
      <c r="N73" s="183"/>
      <c r="O73" s="183"/>
      <c r="P73" s="184"/>
      <c r="Q73" s="188" t="s">
        <v>79</v>
      </c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90"/>
      <c r="AC73" s="188" t="s">
        <v>71</v>
      </c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90"/>
      <c r="AO73" s="197" t="s">
        <v>66</v>
      </c>
      <c r="AP73" s="198"/>
      <c r="AQ73" s="198"/>
      <c r="AR73" s="198"/>
      <c r="AS73" s="198"/>
      <c r="AT73" s="198"/>
      <c r="AU73" s="198"/>
      <c r="AV73" s="188" t="s">
        <v>73</v>
      </c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90"/>
    </row>
    <row r="74" spans="3:59" ht="15" customHeight="1" x14ac:dyDescent="0.45">
      <c r="C74" s="179"/>
      <c r="D74" s="180"/>
      <c r="E74" s="180"/>
      <c r="F74" s="180"/>
      <c r="G74" s="180"/>
      <c r="H74" s="180"/>
      <c r="I74" s="180"/>
      <c r="J74" s="181"/>
      <c r="K74" s="182"/>
      <c r="L74" s="183"/>
      <c r="M74" s="183"/>
      <c r="N74" s="183"/>
      <c r="O74" s="183"/>
      <c r="P74" s="184"/>
      <c r="Q74" s="191" t="s">
        <v>97</v>
      </c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3"/>
      <c r="AC74" s="191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3"/>
      <c r="AO74" s="207"/>
      <c r="AP74" s="208"/>
      <c r="AQ74" s="208"/>
      <c r="AR74" s="208"/>
      <c r="AS74" s="208"/>
      <c r="AT74" s="208"/>
      <c r="AU74" s="208"/>
      <c r="AV74" s="191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3"/>
    </row>
    <row r="75" spans="3:59" ht="15" customHeight="1" x14ac:dyDescent="0.45">
      <c r="C75" s="179"/>
      <c r="D75" s="180"/>
      <c r="E75" s="180"/>
      <c r="F75" s="180"/>
      <c r="G75" s="180"/>
      <c r="H75" s="180"/>
      <c r="I75" s="180"/>
      <c r="J75" s="181"/>
      <c r="K75" s="194" t="s">
        <v>35</v>
      </c>
      <c r="L75" s="195"/>
      <c r="M75" s="195"/>
      <c r="N75" s="195"/>
      <c r="O75" s="195"/>
      <c r="P75" s="196"/>
      <c r="Q75" s="191" t="s">
        <v>97</v>
      </c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3"/>
      <c r="AC75" s="191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3"/>
      <c r="AO75" s="207"/>
      <c r="AP75" s="208"/>
      <c r="AQ75" s="208"/>
      <c r="AR75" s="208"/>
      <c r="AS75" s="208"/>
      <c r="AT75" s="208"/>
      <c r="AU75" s="208"/>
      <c r="AV75" s="191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3"/>
    </row>
    <row r="76" spans="3:59" ht="15" customHeight="1" x14ac:dyDescent="0.45">
      <c r="C76" s="179"/>
      <c r="D76" s="180"/>
      <c r="E76" s="180"/>
      <c r="F76" s="180"/>
      <c r="G76" s="180"/>
      <c r="H76" s="180"/>
      <c r="I76" s="180"/>
      <c r="J76" s="181"/>
      <c r="K76" s="182"/>
      <c r="L76" s="183"/>
      <c r="M76" s="183"/>
      <c r="N76" s="183"/>
      <c r="O76" s="183"/>
      <c r="P76" s="184"/>
      <c r="Q76" s="188" t="s">
        <v>78</v>
      </c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90"/>
      <c r="AC76" s="188" t="s">
        <v>71</v>
      </c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90"/>
      <c r="AO76" s="197" t="s">
        <v>75</v>
      </c>
      <c r="AP76" s="198"/>
      <c r="AQ76" s="198"/>
      <c r="AR76" s="198"/>
      <c r="AS76" s="198"/>
      <c r="AT76" s="198"/>
      <c r="AU76" s="198"/>
      <c r="AV76" s="188" t="s">
        <v>73</v>
      </c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90"/>
    </row>
    <row r="77" spans="3:59" ht="15" customHeight="1" x14ac:dyDescent="0.45">
      <c r="C77" s="179"/>
      <c r="D77" s="180"/>
      <c r="E77" s="180"/>
      <c r="F77" s="180"/>
      <c r="G77" s="180"/>
      <c r="H77" s="180"/>
      <c r="I77" s="180"/>
      <c r="J77" s="181"/>
      <c r="K77" s="182"/>
      <c r="L77" s="183"/>
      <c r="M77" s="183"/>
      <c r="N77" s="183"/>
      <c r="O77" s="183"/>
      <c r="P77" s="184"/>
      <c r="Q77" s="188" t="s">
        <v>79</v>
      </c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90"/>
      <c r="AC77" s="188" t="s">
        <v>71</v>
      </c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90"/>
      <c r="AO77" s="197" t="s">
        <v>66</v>
      </c>
      <c r="AP77" s="198"/>
      <c r="AQ77" s="198"/>
      <c r="AR77" s="198"/>
      <c r="AS77" s="198"/>
      <c r="AT77" s="198"/>
      <c r="AU77" s="198"/>
      <c r="AV77" s="188" t="s">
        <v>73</v>
      </c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90"/>
    </row>
    <row r="78" spans="3:59" ht="15" customHeight="1" x14ac:dyDescent="0.45">
      <c r="C78" s="199"/>
      <c r="D78" s="200"/>
      <c r="E78" s="200"/>
      <c r="F78" s="200"/>
      <c r="G78" s="200"/>
      <c r="H78" s="200"/>
      <c r="I78" s="200"/>
      <c r="J78" s="201"/>
      <c r="K78" s="185"/>
      <c r="L78" s="186"/>
      <c r="M78" s="186"/>
      <c r="N78" s="186"/>
      <c r="O78" s="186"/>
      <c r="P78" s="187"/>
      <c r="Q78" s="188" t="s">
        <v>64</v>
      </c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90"/>
      <c r="AC78" s="188" t="s">
        <v>65</v>
      </c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90"/>
      <c r="AO78" s="197" t="s">
        <v>66</v>
      </c>
      <c r="AP78" s="198"/>
      <c r="AQ78" s="198"/>
      <c r="AR78" s="198"/>
      <c r="AS78" s="198"/>
      <c r="AT78" s="198"/>
      <c r="AU78" s="198"/>
      <c r="AV78" s="188" t="s">
        <v>67</v>
      </c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90"/>
    </row>
    <row r="80" spans="3:59" ht="15" customHeight="1" x14ac:dyDescent="0.45">
      <c r="C80" s="21" t="s">
        <v>98</v>
      </c>
    </row>
  </sheetData>
  <mergeCells count="326">
    <mergeCell ref="AO75:AU75"/>
    <mergeCell ref="AO76:AU76"/>
    <mergeCell ref="AO57:AU57"/>
    <mergeCell ref="AO58:AU58"/>
    <mergeCell ref="AO68:AU68"/>
    <mergeCell ref="AO69:AU69"/>
    <mergeCell ref="AO70:AU70"/>
    <mergeCell ref="AO71:AU71"/>
    <mergeCell ref="AO72:AU72"/>
    <mergeCell ref="AO73:AU73"/>
    <mergeCell ref="AO74:AU74"/>
    <mergeCell ref="AO48:AU48"/>
    <mergeCell ref="AO49:AU49"/>
    <mergeCell ref="AO50:AU50"/>
    <mergeCell ref="AO51:AU51"/>
    <mergeCell ref="AO52:AU52"/>
    <mergeCell ref="AO53:AU53"/>
    <mergeCell ref="AO54:AU54"/>
    <mergeCell ref="AO55:AU55"/>
    <mergeCell ref="AO56:AU56"/>
    <mergeCell ref="AO37:AU37"/>
    <mergeCell ref="AO38:AU38"/>
    <mergeCell ref="AO41:AU41"/>
    <mergeCell ref="AO42:AU42"/>
    <mergeCell ref="AO43:AU43"/>
    <mergeCell ref="AO44:AU44"/>
    <mergeCell ref="AO45:AU45"/>
    <mergeCell ref="AO46:AU46"/>
    <mergeCell ref="AO47:AU47"/>
    <mergeCell ref="AO28:AU28"/>
    <mergeCell ref="AO29:AU29"/>
    <mergeCell ref="AO30:AU30"/>
    <mergeCell ref="AO31:AU31"/>
    <mergeCell ref="AO32:AU32"/>
    <mergeCell ref="AO33:AU33"/>
    <mergeCell ref="AO34:AU34"/>
    <mergeCell ref="AO35:AU35"/>
    <mergeCell ref="AO36:AU36"/>
    <mergeCell ref="AV78:BG78"/>
    <mergeCell ref="AC76:AN76"/>
    <mergeCell ref="AV76:BG76"/>
    <mergeCell ref="Q77:AB77"/>
    <mergeCell ref="AC77:AN77"/>
    <mergeCell ref="AV77:BG77"/>
    <mergeCell ref="AO77:AU77"/>
    <mergeCell ref="AO78:AU78"/>
    <mergeCell ref="AO9:AU9"/>
    <mergeCell ref="AO10:AU10"/>
    <mergeCell ref="AO11:AU11"/>
    <mergeCell ref="AO12:AU12"/>
    <mergeCell ref="AO13:AU13"/>
    <mergeCell ref="AO14:AU14"/>
    <mergeCell ref="AO15:AU15"/>
    <mergeCell ref="AO16:AU16"/>
    <mergeCell ref="AO17:AU17"/>
    <mergeCell ref="AO21:AU21"/>
    <mergeCell ref="AO22:AU22"/>
    <mergeCell ref="AO23:AU23"/>
    <mergeCell ref="AO24:AU24"/>
    <mergeCell ref="AO25:AU25"/>
    <mergeCell ref="AO26:AU26"/>
    <mergeCell ref="AO27:AU27"/>
    <mergeCell ref="AC73:AN73"/>
    <mergeCell ref="AV73:BG73"/>
    <mergeCell ref="Q70:AB70"/>
    <mergeCell ref="AC70:AN70"/>
    <mergeCell ref="AV70:BG70"/>
    <mergeCell ref="Q74:AB74"/>
    <mergeCell ref="AC74:AN74"/>
    <mergeCell ref="AV74:BG74"/>
    <mergeCell ref="C71:J78"/>
    <mergeCell ref="K71:P74"/>
    <mergeCell ref="Q71:AB71"/>
    <mergeCell ref="AC71:AN71"/>
    <mergeCell ref="AV71:BG71"/>
    <mergeCell ref="Q72:AB72"/>
    <mergeCell ref="AC72:AN72"/>
    <mergeCell ref="AV72:BG72"/>
    <mergeCell ref="Q73:AB73"/>
    <mergeCell ref="K75:P78"/>
    <mergeCell ref="Q75:AB75"/>
    <mergeCell ref="AC75:AN75"/>
    <mergeCell ref="AV75:BG75"/>
    <mergeCell ref="Q76:AB76"/>
    <mergeCell ref="Q78:AB78"/>
    <mergeCell ref="AC78:AN78"/>
    <mergeCell ref="Q68:AB68"/>
    <mergeCell ref="AC68:AN68"/>
    <mergeCell ref="AV68:BG68"/>
    <mergeCell ref="C69:J70"/>
    <mergeCell ref="K69:P70"/>
    <mergeCell ref="Q69:AB69"/>
    <mergeCell ref="AC69:AN69"/>
    <mergeCell ref="AV69:BG69"/>
    <mergeCell ref="K65:P68"/>
    <mergeCell ref="C61:J68"/>
    <mergeCell ref="K61:P64"/>
    <mergeCell ref="AC66:AN66"/>
    <mergeCell ref="AV66:BG66"/>
    <mergeCell ref="Q67:AB67"/>
    <mergeCell ref="AC67:AN67"/>
    <mergeCell ref="AV67:BG67"/>
    <mergeCell ref="Q64:AB64"/>
    <mergeCell ref="AC64:AN64"/>
    <mergeCell ref="AV64:BG64"/>
    <mergeCell ref="Q65:AB65"/>
    <mergeCell ref="AC65:AN65"/>
    <mergeCell ref="AV65:BG65"/>
    <mergeCell ref="Q66:AB66"/>
    <mergeCell ref="AO64:AU64"/>
    <mergeCell ref="Q62:AB62"/>
    <mergeCell ref="AC62:AN62"/>
    <mergeCell ref="AV62:BG62"/>
    <mergeCell ref="AO59:AU59"/>
    <mergeCell ref="AO65:AU65"/>
    <mergeCell ref="AO66:AU66"/>
    <mergeCell ref="AO67:AU67"/>
    <mergeCell ref="Q63:AB63"/>
    <mergeCell ref="AC63:AN63"/>
    <mergeCell ref="AV63:BG63"/>
    <mergeCell ref="Q60:AB60"/>
    <mergeCell ref="AC60:AN60"/>
    <mergeCell ref="AV60:BG60"/>
    <mergeCell ref="Q61:AB61"/>
    <mergeCell ref="AC61:AN61"/>
    <mergeCell ref="AV61:BG61"/>
    <mergeCell ref="AO60:AU60"/>
    <mergeCell ref="AO61:AU61"/>
    <mergeCell ref="AO62:AU62"/>
    <mergeCell ref="AO63:AU63"/>
    <mergeCell ref="C53:J60"/>
    <mergeCell ref="K53:P56"/>
    <mergeCell ref="Q53:AB53"/>
    <mergeCell ref="AC53:AN53"/>
    <mergeCell ref="AV53:BG53"/>
    <mergeCell ref="K57:P60"/>
    <mergeCell ref="Q57:AB57"/>
    <mergeCell ref="AC57:AN57"/>
    <mergeCell ref="AV57:BG57"/>
    <mergeCell ref="Q58:AB58"/>
    <mergeCell ref="Q54:AB54"/>
    <mergeCell ref="AC54:AN54"/>
    <mergeCell ref="AV54:BG54"/>
    <mergeCell ref="Q55:AB55"/>
    <mergeCell ref="AC55:AN55"/>
    <mergeCell ref="AV55:BG55"/>
    <mergeCell ref="AC58:AN58"/>
    <mergeCell ref="AV58:BG58"/>
    <mergeCell ref="Q59:AB59"/>
    <mergeCell ref="AC59:AN59"/>
    <mergeCell ref="AV59:BG59"/>
    <mergeCell ref="Q56:AB56"/>
    <mergeCell ref="AC56:AN56"/>
    <mergeCell ref="AV56:BG56"/>
    <mergeCell ref="C51:J52"/>
    <mergeCell ref="K51:P52"/>
    <mergeCell ref="Q51:AB51"/>
    <mergeCell ref="AC51:AN51"/>
    <mergeCell ref="AV51:BG51"/>
    <mergeCell ref="Q52:AB52"/>
    <mergeCell ref="AC52:AN52"/>
    <mergeCell ref="AV52:BG52"/>
    <mergeCell ref="Q48:AB48"/>
    <mergeCell ref="AC48:AN48"/>
    <mergeCell ref="AV48:BG48"/>
    <mergeCell ref="C49:J50"/>
    <mergeCell ref="K49:P50"/>
    <mergeCell ref="Q49:AB49"/>
    <mergeCell ref="AC49:AN49"/>
    <mergeCell ref="AV49:BG49"/>
    <mergeCell ref="C45:J48"/>
    <mergeCell ref="K45:P48"/>
    <mergeCell ref="Q50:AB50"/>
    <mergeCell ref="AC50:AN50"/>
    <mergeCell ref="AV50:BG50"/>
    <mergeCell ref="Q47:AB47"/>
    <mergeCell ref="AC47:AN47"/>
    <mergeCell ref="AV47:BG47"/>
    <mergeCell ref="AV39:BG39"/>
    <mergeCell ref="Q42:AB42"/>
    <mergeCell ref="AC42:AN42"/>
    <mergeCell ref="AV42:BG42"/>
    <mergeCell ref="AO39:AU39"/>
    <mergeCell ref="AO40:AU40"/>
    <mergeCell ref="Q46:AB46"/>
    <mergeCell ref="AC46:AN46"/>
    <mergeCell ref="AV46:BG46"/>
    <mergeCell ref="Q44:AB44"/>
    <mergeCell ref="AC44:AN44"/>
    <mergeCell ref="AV44:BG44"/>
    <mergeCell ref="Q45:AB45"/>
    <mergeCell ref="AC45:AN45"/>
    <mergeCell ref="AV45:BG45"/>
    <mergeCell ref="Q32:AB32"/>
    <mergeCell ref="AC32:AN32"/>
    <mergeCell ref="AV32:BG32"/>
    <mergeCell ref="Q33:AB33"/>
    <mergeCell ref="AC33:AN33"/>
    <mergeCell ref="AV33:BG33"/>
    <mergeCell ref="C43:J44"/>
    <mergeCell ref="K43:P44"/>
    <mergeCell ref="Q43:AB43"/>
    <mergeCell ref="AC43:AN43"/>
    <mergeCell ref="AV43:BG43"/>
    <mergeCell ref="Q40:AB40"/>
    <mergeCell ref="AC40:AN40"/>
    <mergeCell ref="AV40:BG40"/>
    <mergeCell ref="Q41:AB41"/>
    <mergeCell ref="AC41:AN41"/>
    <mergeCell ref="AV41:BG41"/>
    <mergeCell ref="C38:J42"/>
    <mergeCell ref="K38:P42"/>
    <mergeCell ref="Q38:AB38"/>
    <mergeCell ref="AC38:AN38"/>
    <mergeCell ref="AV38:BG38"/>
    <mergeCell ref="Q39:AB39"/>
    <mergeCell ref="AC39:AN39"/>
    <mergeCell ref="Q25:AB25"/>
    <mergeCell ref="AC25:AN25"/>
    <mergeCell ref="AV25:BG25"/>
    <mergeCell ref="C30:J37"/>
    <mergeCell ref="K30:P33"/>
    <mergeCell ref="Q30:AB30"/>
    <mergeCell ref="AC30:AN30"/>
    <mergeCell ref="AV30:BG30"/>
    <mergeCell ref="Q31:AB31"/>
    <mergeCell ref="AC31:AN31"/>
    <mergeCell ref="AV31:BG31"/>
    <mergeCell ref="AC36:AN36"/>
    <mergeCell ref="AV36:BG36"/>
    <mergeCell ref="Q37:AB37"/>
    <mergeCell ref="AC37:AN37"/>
    <mergeCell ref="AV37:BG37"/>
    <mergeCell ref="K34:P37"/>
    <mergeCell ref="Q34:AB34"/>
    <mergeCell ref="AC34:AN34"/>
    <mergeCell ref="AV34:BG34"/>
    <mergeCell ref="Q35:AB35"/>
    <mergeCell ref="AC35:AN35"/>
    <mergeCell ref="AV35:BG35"/>
    <mergeCell ref="Q36:AB36"/>
    <mergeCell ref="C22:J29"/>
    <mergeCell ref="K22:P25"/>
    <mergeCell ref="Q22:AB22"/>
    <mergeCell ref="AC22:AN22"/>
    <mergeCell ref="AV22:BG22"/>
    <mergeCell ref="Q23:AB23"/>
    <mergeCell ref="AC23:AN23"/>
    <mergeCell ref="AV23:BG23"/>
    <mergeCell ref="AC28:AN28"/>
    <mergeCell ref="AV28:BG28"/>
    <mergeCell ref="Q29:AB29"/>
    <mergeCell ref="AC29:AN29"/>
    <mergeCell ref="AV29:BG29"/>
    <mergeCell ref="K26:P29"/>
    <mergeCell ref="Q26:AB26"/>
    <mergeCell ref="AC26:AN26"/>
    <mergeCell ref="AV26:BG26"/>
    <mergeCell ref="Q27:AB27"/>
    <mergeCell ref="AC27:AN27"/>
    <mergeCell ref="AV27:BG27"/>
    <mergeCell ref="Q28:AB28"/>
    <mergeCell ref="Q24:AB24"/>
    <mergeCell ref="AC24:AN24"/>
    <mergeCell ref="AV24:BG24"/>
    <mergeCell ref="AV13:BG13"/>
    <mergeCell ref="Q16:AB16"/>
    <mergeCell ref="AC16:AN16"/>
    <mergeCell ref="AV16:BG16"/>
    <mergeCell ref="K17:P21"/>
    <mergeCell ref="Q17:AB17"/>
    <mergeCell ref="AC17:AN17"/>
    <mergeCell ref="AV17:BG17"/>
    <mergeCell ref="Q18:AB18"/>
    <mergeCell ref="Q20:AB20"/>
    <mergeCell ref="AC20:AN20"/>
    <mergeCell ref="AV20:BG20"/>
    <mergeCell ref="Q21:AB21"/>
    <mergeCell ref="AC21:AN21"/>
    <mergeCell ref="AV21:BG21"/>
    <mergeCell ref="AC18:AN18"/>
    <mergeCell ref="AV18:BG18"/>
    <mergeCell ref="Q19:AB19"/>
    <mergeCell ref="AC19:AN19"/>
    <mergeCell ref="AV19:BG19"/>
    <mergeCell ref="AO18:AU18"/>
    <mergeCell ref="AO19:AU19"/>
    <mergeCell ref="AO20:AU20"/>
    <mergeCell ref="C9:J9"/>
    <mergeCell ref="K9:P9"/>
    <mergeCell ref="Q9:AB9"/>
    <mergeCell ref="AC9:AN9"/>
    <mergeCell ref="AV9:BG9"/>
    <mergeCell ref="C10:J21"/>
    <mergeCell ref="K10:P16"/>
    <mergeCell ref="Q10:AB10"/>
    <mergeCell ref="AC10:AN10"/>
    <mergeCell ref="AV10:BG10"/>
    <mergeCell ref="Q11:AB11"/>
    <mergeCell ref="AC11:AN11"/>
    <mergeCell ref="AV11:BG11"/>
    <mergeCell ref="Q14:AB14"/>
    <mergeCell ref="AC14:AN14"/>
    <mergeCell ref="AV14:BG14"/>
    <mergeCell ref="Q15:AB15"/>
    <mergeCell ref="AC15:AN15"/>
    <mergeCell ref="AV15:BG15"/>
    <mergeCell ref="Q12:AB12"/>
    <mergeCell ref="AC12:AN12"/>
    <mergeCell ref="AV12:BG12"/>
    <mergeCell ref="Q13:AB13"/>
    <mergeCell ref="AC13:AN13"/>
    <mergeCell ref="B2:F2"/>
    <mergeCell ref="G2:T2"/>
    <mergeCell ref="U2:AR2"/>
    <mergeCell ref="AS2:AZ2"/>
    <mergeCell ref="BA2:BG2"/>
    <mergeCell ref="B3:F4"/>
    <mergeCell ref="G3:T4"/>
    <mergeCell ref="U3:AR4"/>
    <mergeCell ref="AS3:AT3"/>
    <mergeCell ref="AU3:AZ3"/>
    <mergeCell ref="BA3:BG3"/>
    <mergeCell ref="AS4:AT4"/>
    <mergeCell ref="AU4:AZ4"/>
    <mergeCell ref="BA4:BG4"/>
  </mergeCells>
  <phoneticPr fontId="1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A6C07-35D6-4CE2-97AA-C4E103F51E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EC2A80-993C-41AB-AE77-57D27EBCF74F}"/>
</file>

<file path=customXml/itemProps3.xml><?xml version="1.0" encoding="utf-8"?>
<ds:datastoreItem xmlns:ds="http://schemas.openxmlformats.org/officeDocument/2006/customXml" ds:itemID="{C8F3E4D2-1124-4929-9250-5FABBE06476F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5bd2875c-1d77-4e59-90f4-883ca6a86c01"/>
    <ds:schemaRef ds:uri="0e104af9-8863-48b3-a0f9-b99702920d19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変更履歴</vt:lpstr>
      <vt:lpstr>認証・セキュリティ</vt:lpstr>
      <vt:lpstr>障害発生時の対応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Yamaguchi, Takuya</dc:creator>
  <cp:keywords/>
  <dc:description/>
  <cp:lastModifiedBy>Ida, Mizuho</cp:lastModifiedBy>
  <cp:revision/>
  <dcterms:created xsi:type="dcterms:W3CDTF">2023-08-15T05:52:02Z</dcterms:created>
  <dcterms:modified xsi:type="dcterms:W3CDTF">2026-05-11T01:15:27Z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