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bsbpos1-my.sharepoint.com/personal/yamadah_jbs_com/Documents/Microsoft Teams Chat Files/"/>
    </mc:Choice>
  </mc:AlternateContent>
  <xr:revisionPtr revIDLastSave="10" documentId="11_FC8B53781DF7C76EAA80283BD9AF56BB80773568" xr6:coauthVersionLast="47" xr6:coauthVersionMax="47" xr10:uidLastSave="{C4BD5D4B-8A6B-4B3C-B22D-AC15EC443A98}"/>
  <bookViews>
    <workbookView xWindow="28680" yWindow="-120" windowWidth="29040" windowHeight="15720" tabRatio="500" activeTab="1" xr2:uid="{00000000-000D-0000-FFFF-FFFF00000000}"/>
  </bookViews>
  <sheets>
    <sheet name="変更履歴" sheetId="1" r:id="rId1"/>
    <sheet name="テーブル定義" sheetId="2" r:id="rId2"/>
    <sheet name="その他定義" sheetId="3" r:id="rId3"/>
    <sheet name="マスタ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[0]!aaaaaa</definedName>
    <definedName name="aaaaaa" localSheetId="1">その他定義!aaaaaa</definedName>
    <definedName name="aaaaaa" localSheetId="3">その他定義!aaaaaa</definedName>
    <definedName name="aaaaaa" localSheetId="0">その他定義!aaaaaa</definedName>
    <definedName name="aaaaaa">その他定義!aaaaaa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TRUE()</definedName>
    <definedName name="HTML_LineBefore" hidden="1">TRUE()</definedName>
    <definedName name="HTML_Name" hidden="1">"東京ガス株式会社"</definedName>
    <definedName name="HTML_OBDlg2" hidden="1">TRUE()</definedName>
    <definedName name="HTML_OBDlg4" hidden="1">TRUE()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テーブル定義!$A$1:$M$12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'[4]Q3 Financial'!$AD$52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[0]!SubButtonEnable</definedName>
    <definedName name="SubButtonEnable" localSheetId="1">その他定義!SubButtonEnable</definedName>
    <definedName name="SubButtonEnable" localSheetId="3">その他定義!SubButtonEnable</definedName>
    <definedName name="SubButtonEnable" localSheetId="0">その他定義!SubButtonEnable</definedName>
    <definedName name="SubButtonEnable">その他定義!SubButtonEnable</definedName>
    <definedName name="SubGetTogether" localSheetId="2">[0]!SubGetTogether</definedName>
    <definedName name="SubGetTogether" localSheetId="1">その他定義!SubGetTogether</definedName>
    <definedName name="SubGetTogether" localSheetId="3">その他定義!SubGetTogether</definedName>
    <definedName name="SubGetTogether" localSheetId="0">その他定義!SubGetTogether</definedName>
    <definedName name="SubGetTogether">その他定義!SubGetTogether</definedName>
    <definedName name="SubMakeSQL" localSheetId="2">[0]!SubMakeSQL</definedName>
    <definedName name="SubMakeSQL" localSheetId="1">その他定義!SubMakeSQL</definedName>
    <definedName name="SubMakeSQL" localSheetId="3">その他定義!SubMakeSQL</definedName>
    <definedName name="SubMakeSQL" localSheetId="0">その他定義!SubMakeSQL</definedName>
    <definedName name="SubMakeSQL">その他定義!SubMakeSQL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[0]!ｚｚｚｚ</definedName>
    <definedName name="ｚｚｚｚ" localSheetId="1">その他定義!ｚｚｚｚ</definedName>
    <definedName name="ｚｚｚｚ" localSheetId="3">その他定義!ｚｚｚｚ</definedName>
    <definedName name="ｚｚｚｚ" localSheetId="0">その他定義!ｚｚｚｚ</definedName>
    <definedName name="ｚｚｚｚ">その他定義!ｚｚｚｚ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H2" i="2"/>
  <c r="BA2" i="1"/>
  <c r="H3" i="2" s="1"/>
  <c r="AT2" i="1"/>
  <c r="F2" i="1" a="1"/>
  <c r="F2" i="1" s="1"/>
  <c r="AT3" i="1" a="1"/>
  <c r="BA3" i="1" a="1"/>
  <c r="BA3" i="1" l="1"/>
  <c r="M3" i="2" s="1"/>
  <c r="AT3" i="1"/>
  <c r="M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sz val="10"/>
            <rFont val="DejaVu Sans"/>
            <family val="2"/>
          </rPr>
          <t>・顧客名、システム名などを入力</t>
        </r>
      </text>
    </comment>
    <comment ref="B4" authorId="0" shapeId="0" xr:uid="{00000000-0006-0000-0100-000002000000}">
      <text>
        <r>
          <rPr>
            <sz val="10"/>
            <rFont val="DejaVu Sans"/>
            <family val="2"/>
          </rPr>
          <t>・テーブルの日本語名を設定
・シート名と揃える</t>
        </r>
      </text>
    </comment>
    <comment ref="D4" authorId="0" shapeId="0" xr:uid="{00000000-0006-0000-0100-000004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4" authorId="0" shapeId="0" xr:uid="{00000000-0006-0000-0100-000006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 xml:space="preserve">プロパティ
</t>
        </r>
      </text>
    </comment>
    <comment ref="C7" authorId="0" shapeId="0" xr:uid="{00000000-0006-0000-0100-000003000000}">
      <text>
        <r>
          <rPr>
            <sz val="10"/>
            <rFont val="DejaVu Sans"/>
            <family val="2"/>
          </rPr>
          <t>・列の日本語名を入力
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プロパティは拡張データ型で設定する</t>
        </r>
      </text>
    </comment>
    <comment ref="D7" authorId="0" shapeId="0" xr:uid="{00000000-0006-0000-0100-000005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7" authorId="0" shapeId="0" xr:uid="{00000000-0006-0000-0100-000007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>プロパティ</t>
        </r>
      </text>
    </comment>
    <comment ref="F7" authorId="0" shapeId="0" xr:uid="{00000000-0006-0000-0100-000008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Type</t>
        </r>
        <r>
          <rPr>
            <sz val="10"/>
            <rFont val="DejaVu Sans"/>
            <family val="2"/>
          </rPr>
          <t>プロパティ</t>
        </r>
      </text>
    </comment>
    <comment ref="G7" authorId="0" shapeId="0" xr:uid="{00000000-0006-0000-0100-000009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H7" authorId="0" shapeId="0" xr:uid="{00000000-0006-0000-0100-00000A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I7" authorId="0" shapeId="0" xr:uid="{00000000-0006-0000-0100-00000B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1</t>
        </r>
        <r>
          <rPr>
            <sz val="10"/>
            <rFont val="DejaVu Sans"/>
            <family val="2"/>
          </rPr>
          <t>からの連番を入力
・</t>
        </r>
        <r>
          <rPr>
            <sz val="10"/>
            <rFont val="Arial"/>
            <family val="2"/>
          </rPr>
          <t>PrimaryIndex</t>
        </r>
        <r>
          <rPr>
            <sz val="10"/>
            <rFont val="DejaVu Sans"/>
            <family val="2"/>
          </rPr>
          <t>に設定するインデックスを定義
・命名規則：</t>
        </r>
        <r>
          <rPr>
            <sz val="10"/>
            <rFont val="Arial"/>
            <family val="2"/>
          </rPr>
          <t>[</t>
        </r>
        <r>
          <rPr>
            <sz val="10"/>
            <rFont val="DejaVu Sans"/>
            <family val="2"/>
          </rPr>
          <t>ﾃｰﾌﾞﾙ名</t>
        </r>
        <r>
          <rPr>
            <sz val="10"/>
            <rFont val="Arial"/>
            <family val="2"/>
          </rPr>
          <t>(</t>
        </r>
        <r>
          <rPr>
            <sz val="10"/>
            <rFont val="DejaVu Sans"/>
            <family val="2"/>
          </rPr>
          <t>物理</t>
        </r>
        <r>
          <rPr>
            <sz val="10"/>
            <rFont val="Arial"/>
            <family val="2"/>
          </rPr>
          <t>)]</t>
        </r>
        <r>
          <rPr>
            <sz val="10"/>
            <rFont val="DejaVu Sans"/>
            <family val="2"/>
          </rPr>
          <t>　＋　</t>
        </r>
        <r>
          <rPr>
            <sz val="10"/>
            <rFont val="Arial"/>
            <family val="2"/>
          </rPr>
          <t xml:space="preserve">"_PK"
</t>
        </r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AllowDuplicates</t>
        </r>
        <r>
          <rPr>
            <sz val="10"/>
            <rFont val="DejaVu Sans"/>
            <family val="2"/>
          </rPr>
          <t>プロパティは</t>
        </r>
        <r>
          <rPr>
            <sz val="10"/>
            <rFont val="Arial"/>
            <family val="2"/>
          </rPr>
          <t>No</t>
        </r>
        <r>
          <rPr>
            <sz val="10"/>
            <rFont val="DejaVu Sans"/>
            <family val="2"/>
          </rPr>
          <t>に設定する</t>
        </r>
      </text>
    </comment>
    <comment ref="J7" authorId="0" shapeId="0" xr:uid="{00000000-0006-0000-0100-00000C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Mandatory</t>
        </r>
        <r>
          <rPr>
            <sz val="10"/>
            <rFont val="DejaVu Sans"/>
            <family val="2"/>
          </rPr>
          <t>プロパティ</t>
        </r>
      </text>
    </comment>
  </commentList>
</comments>
</file>

<file path=xl/sharedStrings.xml><?xml version="1.0" encoding="utf-8"?>
<sst xmlns="http://schemas.openxmlformats.org/spreadsheetml/2006/main" count="153" uniqueCount="119">
  <si>
    <t>システム名</t>
  </si>
  <si>
    <t>Dynamics365 for Finance and Operations</t>
  </si>
  <si>
    <t>タイトル</t>
  </si>
  <si>
    <t>日付</t>
  </si>
  <si>
    <t>更新者</t>
  </si>
  <si>
    <t>文書名</t>
  </si>
  <si>
    <t>変更履歴</t>
  </si>
  <si>
    <t>作成</t>
  </si>
  <si>
    <t>更新</t>
  </si>
  <si>
    <t>変更年月日</t>
  </si>
  <si>
    <t>変更箇所</t>
  </si>
  <si>
    <t>変更内容</t>
  </si>
  <si>
    <t>変更者</t>
  </si>
  <si>
    <t>版数</t>
  </si>
  <si>
    <t>新規作成</t>
  </si>
  <si>
    <t>1.0</t>
  </si>
  <si>
    <t>プロジェクト名</t>
  </si>
  <si>
    <t>区分</t>
  </si>
  <si>
    <t>作成日時</t>
  </si>
  <si>
    <t>変更日時</t>
  </si>
  <si>
    <t>テーブル定義書</t>
  </si>
  <si>
    <t>作成者</t>
  </si>
  <si>
    <t>テーブルタイプ</t>
  </si>
  <si>
    <t>テーブル種別</t>
  </si>
  <si>
    <t>開発区分</t>
  </si>
  <si>
    <t>Save Data Per Company</t>
  </si>
  <si>
    <t>会計伝票情報登録マルチスレッド用グループ</t>
  </si>
  <si>
    <t>SJ_AccountingDataCreateGroupStaging</t>
  </si>
  <si>
    <t>Regular</t>
  </si>
  <si>
    <t>Miscellaneous</t>
  </si>
  <si>
    <t>アドオン</t>
  </si>
  <si>
    <t>No</t>
  </si>
  <si>
    <t>#</t>
  </si>
  <si>
    <t>型</t>
  </si>
  <si>
    <t>桁数</t>
  </si>
  <si>
    <t>PK</t>
  </si>
  <si>
    <t>必須</t>
  </si>
  <si>
    <t>-</t>
  </si>
  <si>
    <t>GroupNumber</t>
  </si>
  <si>
    <t>Integer</t>
  </si>
  <si>
    <t>NO</t>
  </si>
  <si>
    <t>FileName</t>
  </si>
  <si>
    <t>String</t>
  </si>
  <si>
    <t>データ区分</t>
  </si>
  <si>
    <t>SJ00387</t>
  </si>
  <si>
    <t>DataClass</t>
  </si>
  <si>
    <t>SJ_DataClass</t>
  </si>
  <si>
    <t>3</t>
  </si>
  <si>
    <t>YES</t>
  </si>
  <si>
    <t>会社</t>
  </si>
  <si>
    <t>SJ00029</t>
  </si>
  <si>
    <t>CompanyId</t>
  </si>
  <si>
    <t>SJ_CompanyId</t>
  </si>
  <si>
    <t>4</t>
  </si>
  <si>
    <t>伝票キー</t>
  </si>
  <si>
    <t>SJ00386</t>
  </si>
  <si>
    <t>VoucherKey</t>
  </si>
  <si>
    <t>SJ_VoucherKey</t>
  </si>
  <si>
    <t>16</t>
  </si>
  <si>
    <t>【フィールドグループ】</t>
  </si>
  <si>
    <t>グループ名</t>
  </si>
  <si>
    <t>ラベル</t>
  </si>
  <si>
    <t>フィールド</t>
  </si>
  <si>
    <t>その他プロパティ</t>
  </si>
  <si>
    <t>【インデックス】</t>
  </si>
  <si>
    <t>インデックス名</t>
  </si>
  <si>
    <t>重複許可</t>
  </si>
  <si>
    <t>【リレーション】</t>
  </si>
  <si>
    <t>リレーションタイプ</t>
  </si>
  <si>
    <t>基数</t>
  </si>
  <si>
    <t>関連テーブル基数</t>
  </si>
  <si>
    <t>リレーション内容</t>
  </si>
  <si>
    <t>テーブル</t>
  </si>
  <si>
    <t>デリートアクション</t>
  </si>
  <si>
    <t>リレーション名</t>
  </si>
  <si>
    <t>【メソッド】</t>
  </si>
  <si>
    <t>メソッド名</t>
  </si>
  <si>
    <t>処理概要</t>
  </si>
  <si>
    <t>shouldThrowExceptionOnZeroDelete</t>
  </si>
  <si>
    <t>boolean</t>
  </si>
  <si>
    <t>Determines if concurrent deletes should throw exception.</t>
  </si>
  <si>
    <r>
      <rPr>
        <sz val="11"/>
        <color theme="1"/>
        <rFont val="DejaVu Sans"/>
        <family val="2"/>
      </rPr>
      <t>標準</t>
    </r>
    <r>
      <rPr>
        <sz val="11"/>
        <color theme="1"/>
        <rFont val="Yu Gothic"/>
        <family val="2"/>
        <charset val="1"/>
      </rPr>
      <t>(Extension)</t>
    </r>
  </si>
  <si>
    <t>ビュー定義書</t>
  </si>
  <si>
    <t>InMemory</t>
  </si>
  <si>
    <t>Parameter</t>
  </si>
  <si>
    <t>TempDB</t>
  </si>
  <si>
    <t>Group</t>
  </si>
  <si>
    <t>Real</t>
  </si>
  <si>
    <t>Main</t>
  </si>
  <si>
    <t>Date</t>
  </si>
  <si>
    <t>Transaction</t>
  </si>
  <si>
    <t>Time</t>
  </si>
  <si>
    <t>WorksheetHeader</t>
  </si>
  <si>
    <t>UtcDateTime</t>
  </si>
  <si>
    <t>WorksheetLine</t>
  </si>
  <si>
    <t>Enum</t>
  </si>
  <si>
    <t>Framework</t>
  </si>
  <si>
    <t>Container</t>
  </si>
  <si>
    <t>Reference</t>
  </si>
  <si>
    <t>Guid</t>
  </si>
  <si>
    <t>Worksheet</t>
  </si>
  <si>
    <t>Int64</t>
  </si>
  <si>
    <t>TransactionHeader</t>
  </si>
  <si>
    <t>TransactionLine</t>
  </si>
  <si>
    <t>JBS山田</t>
    <rPh sb="3" eb="5">
      <t>ヤマダ</t>
    </rPh>
    <phoneticPr fontId="18"/>
  </si>
  <si>
    <t>SYS16423</t>
    <phoneticPr fontId="18"/>
  </si>
  <si>
    <t>ファイル名</t>
    <phoneticPr fontId="18"/>
  </si>
  <si>
    <t>リレーション名(テーブル名)</t>
  </si>
  <si>
    <t>【Deleteアクション】</t>
  </si>
  <si>
    <t>戻り値(型)</t>
  </si>
  <si>
    <t>引数(型)</t>
  </si>
  <si>
    <t>会計システム刷新プロジェクト（LIBRA）</t>
  </si>
  <si>
    <t>ﾃｰﾌﾞﾙ名(論理)</t>
  </si>
  <si>
    <t>ラベルID</t>
  </si>
  <si>
    <t>ﾃｰﾌﾞﾙ名(物理)</t>
  </si>
  <si>
    <t>列名(論理)</t>
  </si>
  <si>
    <t>列名(物理)</t>
  </si>
  <si>
    <t>拡張ﾃﾞｰﾀ型/列挙型</t>
  </si>
  <si>
    <t>Microsoft標準EDT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</si>
</sst>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m/d/yyyy"/>
    <numFmt numFmtId="178" formatCode="yyyy/mm/dd;@"/>
  </numFmts>
  <fonts count="21">
    <font>
      <sz val="11"/>
      <color theme="1"/>
      <name val="Yu Gothic"/>
      <family val="2"/>
      <charset val="1"/>
    </font>
    <font>
      <sz val="10"/>
      <name val="Arial"/>
      <family val="2"/>
    </font>
    <font>
      <sz val="11"/>
      <color theme="1"/>
      <name val="Yu Gothic"/>
      <family val="3"/>
      <charset val="128"/>
    </font>
    <font>
      <sz val="11"/>
      <color theme="1"/>
      <name val="Yu Gothic"/>
      <family val="2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9"/>
      <name val="Meiryo UI"/>
      <family val="3"/>
      <charset val="128"/>
    </font>
    <font>
      <sz val="10"/>
      <name val="DejaVu Sans"/>
      <family val="2"/>
    </font>
    <font>
      <b/>
      <sz val="9"/>
      <color theme="0"/>
      <name val="Meiryo UI"/>
      <family val="3"/>
      <charset val="128"/>
    </font>
    <font>
      <b/>
      <sz val="11"/>
      <color theme="0"/>
      <name val="DejaVu Sans"/>
      <family val="2"/>
    </font>
    <font>
      <sz val="11"/>
      <color theme="1"/>
      <name val="DejaVu Sans"/>
      <family val="2"/>
    </font>
    <font>
      <sz val="11"/>
      <color theme="1"/>
      <name val="Yu Gothic"/>
      <family val="2"/>
      <charset val="1"/>
    </font>
    <font>
      <sz val="6"/>
      <name val="HGGothicE"/>
      <family val="3"/>
      <charset val="128"/>
    </font>
    <font>
      <sz val="9"/>
      <color theme="0"/>
      <name val="Meiryo UI"/>
      <family val="3"/>
      <charset val="128"/>
    </font>
    <font>
      <sz val="10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E75B6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F75B5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17" fillId="0" borderId="0"/>
    <xf numFmtId="0" fontId="3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</cellStyleXfs>
  <cellXfs count="84">
    <xf numFmtId="0" fontId="0" fillId="0" borderId="0" xfId="0"/>
    <xf numFmtId="0" fontId="6" fillId="0" borderId="0" xfId="4" applyFont="1">
      <alignment vertical="center"/>
    </xf>
    <xf numFmtId="0" fontId="7" fillId="0" borderId="0" xfId="4" applyFont="1">
      <alignment vertical="center"/>
    </xf>
    <xf numFmtId="0" fontId="6" fillId="0" borderId="9" xfId="4" applyFont="1" applyBorder="1">
      <alignment vertical="center"/>
    </xf>
    <xf numFmtId="0" fontId="9" fillId="0" borderId="0" xfId="4" applyFont="1">
      <alignment vertical="center"/>
    </xf>
    <xf numFmtId="0" fontId="10" fillId="0" borderId="0" xfId="1" applyFont="1">
      <alignment vertical="center"/>
    </xf>
    <xf numFmtId="178" fontId="10" fillId="0" borderId="12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1" fillId="4" borderId="14" xfId="1" applyFont="1" applyFill="1" applyBorder="1">
      <alignment vertical="center"/>
    </xf>
    <xf numFmtId="49" fontId="10" fillId="0" borderId="12" xfId="1" applyNumberFormat="1" applyFont="1" applyBorder="1" applyAlignment="1">
      <alignment horizontal="left" vertical="center"/>
    </xf>
    <xf numFmtId="0" fontId="12" fillId="0" borderId="12" xfId="1" applyFont="1" applyBorder="1">
      <alignment vertical="center"/>
    </xf>
    <xf numFmtId="0" fontId="12" fillId="0" borderId="14" xfId="1" applyFont="1" applyBorder="1">
      <alignment vertical="center"/>
    </xf>
    <xf numFmtId="0" fontId="11" fillId="4" borderId="12" xfId="1" applyFont="1" applyFill="1" applyBorder="1" applyAlignment="1">
      <alignment horizontal="center" vertical="center"/>
    </xf>
    <xf numFmtId="49" fontId="10" fillId="0" borderId="12" xfId="1" applyNumberFormat="1" applyFont="1" applyBorder="1">
      <alignment vertical="center"/>
    </xf>
    <xf numFmtId="49" fontId="8" fillId="0" borderId="12" xfId="1" applyNumberFormat="1" applyFont="1" applyBorder="1">
      <alignment vertical="center"/>
    </xf>
    <xf numFmtId="0" fontId="10" fillId="0" borderId="12" xfId="1" applyFont="1" applyBorder="1" applyAlignment="1">
      <alignment horizontal="right" vertical="center"/>
    </xf>
    <xf numFmtId="49" fontId="10" fillId="0" borderId="12" xfId="1" applyNumberFormat="1" applyFont="1" applyBorder="1" applyAlignment="1">
      <alignment horizontal="right" vertical="center"/>
    </xf>
    <xf numFmtId="0" fontId="8" fillId="0" borderId="0" xfId="5" applyFont="1" applyAlignment="1">
      <alignment vertical="center"/>
    </xf>
    <xf numFmtId="0" fontId="7" fillId="0" borderId="13" xfId="1" applyFont="1" applyBorder="1">
      <alignment vertical="center"/>
    </xf>
    <xf numFmtId="0" fontId="7" fillId="0" borderId="15" xfId="1" applyFont="1" applyBorder="1">
      <alignment vertical="center"/>
    </xf>
    <xf numFmtId="0" fontId="7" fillId="0" borderId="14" xfId="1" applyFont="1" applyBorder="1">
      <alignment vertical="center"/>
    </xf>
    <xf numFmtId="0" fontId="15" fillId="4" borderId="2" xfId="0" applyFont="1" applyFill="1" applyBorder="1"/>
    <xf numFmtId="0" fontId="15" fillId="4" borderId="16" xfId="0" applyFont="1" applyFill="1" applyBorder="1"/>
    <xf numFmtId="0" fontId="15" fillId="4" borderId="17" xfId="0" applyFont="1" applyFill="1" applyBorder="1"/>
    <xf numFmtId="0" fontId="15" fillId="4" borderId="18" xfId="0" applyFont="1" applyFill="1" applyBorder="1"/>
    <xf numFmtId="0" fontId="16" fillId="0" borderId="19" xfId="0" applyFont="1" applyBorder="1"/>
    <xf numFmtId="0" fontId="0" fillId="0" borderId="19" xfId="0" applyBorder="1"/>
    <xf numFmtId="0" fontId="0" fillId="0" borderId="20" xfId="0" applyBorder="1"/>
    <xf numFmtId="0" fontId="16" fillId="0" borderId="20" xfId="0" applyFont="1" applyBorder="1"/>
    <xf numFmtId="0" fontId="16" fillId="0" borderId="21" xfId="0" applyFont="1" applyBorder="1"/>
    <xf numFmtId="0" fontId="16" fillId="0" borderId="22" xfId="0" applyFont="1" applyBorder="1"/>
    <xf numFmtId="0" fontId="0" fillId="0" borderId="21" xfId="0" applyBorder="1"/>
    <xf numFmtId="177" fontId="10" fillId="3" borderId="11" xfId="2" applyNumberFormat="1" applyFont="1" applyFill="1" applyBorder="1" applyAlignment="1">
      <alignment horizontal="left" vertical="center"/>
    </xf>
    <xf numFmtId="0" fontId="10" fillId="3" borderId="11" xfId="2" applyFont="1" applyFill="1" applyBorder="1" applyAlignment="1">
      <alignment horizontal="left" vertical="center"/>
    </xf>
    <xf numFmtId="0" fontId="10" fillId="3" borderId="11" xfId="2" applyFont="1" applyFill="1" applyBorder="1" applyAlignment="1">
      <alignment vertical="center"/>
    </xf>
    <xf numFmtId="0" fontId="10" fillId="3" borderId="11" xfId="2" applyFont="1" applyFill="1" applyBorder="1" applyAlignment="1">
      <alignment horizontal="center" vertical="center" wrapText="1"/>
    </xf>
    <xf numFmtId="49" fontId="10" fillId="3" borderId="11" xfId="2" applyNumberFormat="1" applyFont="1" applyFill="1" applyBorder="1" applyAlignment="1">
      <alignment horizontal="center" vertical="center"/>
    </xf>
    <xf numFmtId="177" fontId="10" fillId="3" borderId="8" xfId="2" applyNumberFormat="1" applyFont="1" applyFill="1" applyBorder="1" applyAlignment="1">
      <alignment horizontal="left" vertical="center"/>
    </xf>
    <xf numFmtId="0" fontId="10" fillId="3" borderId="8" xfId="2" applyFont="1" applyFill="1" applyBorder="1" applyAlignment="1">
      <alignment horizontal="left" vertical="center"/>
    </xf>
    <xf numFmtId="0" fontId="10" fillId="3" borderId="8" xfId="2" applyFont="1" applyFill="1" applyBorder="1" applyAlignment="1">
      <alignment vertical="center"/>
    </xf>
    <xf numFmtId="0" fontId="10" fillId="3" borderId="8" xfId="2" applyFont="1" applyFill="1" applyBorder="1" applyAlignment="1">
      <alignment horizontal="center" vertical="center" wrapText="1"/>
    </xf>
    <xf numFmtId="49" fontId="10" fillId="3" borderId="8" xfId="2" applyNumberFormat="1" applyFont="1" applyFill="1" applyBorder="1" applyAlignment="1">
      <alignment horizontal="center" vertical="center"/>
    </xf>
    <xf numFmtId="0" fontId="10" fillId="3" borderId="11" xfId="2" applyFont="1" applyFill="1" applyBorder="1" applyAlignment="1">
      <alignment horizontal="left" vertical="center" wrapText="1"/>
    </xf>
    <xf numFmtId="0" fontId="10" fillId="3" borderId="11" xfId="2" applyFont="1" applyFill="1" applyBorder="1" applyAlignment="1">
      <alignment vertical="center" wrapText="1"/>
    </xf>
    <xf numFmtId="178" fontId="10" fillId="3" borderId="1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 wrapText="1"/>
    </xf>
    <xf numFmtId="49" fontId="10" fillId="3" borderId="10" xfId="2" applyNumberFormat="1" applyFont="1" applyFill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178" fontId="8" fillId="0" borderId="12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>
      <alignment vertical="center"/>
    </xf>
    <xf numFmtId="0" fontId="11" fillId="4" borderId="12" xfId="1" applyFont="1" applyFill="1" applyBorder="1" applyAlignment="1">
      <alignment horizontal="center" vertical="center" wrapText="1"/>
    </xf>
    <xf numFmtId="0" fontId="8" fillId="0" borderId="12" xfId="5" applyFont="1" applyBorder="1" applyAlignment="1">
      <alignment horizontal="center" vertical="center"/>
    </xf>
    <xf numFmtId="0" fontId="8" fillId="0" borderId="12" xfId="5" applyFont="1" applyBorder="1" applyAlignment="1">
      <alignment vertical="center"/>
    </xf>
    <xf numFmtId="0" fontId="14" fillId="4" borderId="12" xfId="5" applyFont="1" applyFill="1" applyBorder="1" applyAlignment="1">
      <alignment horizontal="center" vertical="center"/>
    </xf>
    <xf numFmtId="0" fontId="8" fillId="0" borderId="12" xfId="5" applyFont="1" applyBorder="1" applyAlignment="1">
      <alignment vertical="center" wrapText="1"/>
    </xf>
    <xf numFmtId="49" fontId="8" fillId="0" borderId="12" xfId="5" applyNumberFormat="1" applyFont="1" applyBorder="1" applyAlignment="1">
      <alignment horizontal="center" vertical="center"/>
    </xf>
    <xf numFmtId="0" fontId="19" fillId="2" borderId="1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left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left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176" fontId="8" fillId="3" borderId="4" xfId="2" applyNumberFormat="1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176" fontId="8" fillId="3" borderId="7" xfId="2" applyNumberFormat="1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left" vertical="center"/>
    </xf>
    <xf numFmtId="0" fontId="10" fillId="3" borderId="10" xfId="2" applyFont="1" applyFill="1" applyBorder="1" applyAlignment="1">
      <alignment vertical="center"/>
    </xf>
    <xf numFmtId="0" fontId="14" fillId="4" borderId="12" xfId="5" applyFont="1" applyFill="1" applyBorder="1" applyAlignment="1">
      <alignment vertical="center"/>
    </xf>
    <xf numFmtId="0" fontId="14" fillId="4" borderId="13" xfId="5" applyFont="1" applyFill="1" applyBorder="1" applyAlignment="1">
      <alignment vertical="center"/>
    </xf>
    <xf numFmtId="0" fontId="11" fillId="4" borderId="12" xfId="1" applyFont="1" applyFill="1" applyBorder="1" applyAlignment="1">
      <alignment horizontal="left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left" vertical="center"/>
    </xf>
    <xf numFmtId="0" fontId="11" fillId="4" borderId="12" xfId="1" applyFont="1" applyFill="1" applyBorder="1">
      <alignment vertical="center"/>
    </xf>
    <xf numFmtId="0" fontId="11" fillId="4" borderId="13" xfId="1" applyFont="1" applyFill="1" applyBorder="1">
      <alignment vertical="center"/>
    </xf>
    <xf numFmtId="0" fontId="11" fillId="4" borderId="12" xfId="1" applyFont="1" applyFill="1" applyBorder="1" applyAlignment="1">
      <alignment horizontal="left" vertical="center"/>
    </xf>
    <xf numFmtId="0" fontId="11" fillId="4" borderId="12" xfId="1" applyFont="1" applyFill="1" applyBorder="1">
      <alignment vertical="center"/>
    </xf>
  </cellXfs>
  <cellStyles count="7">
    <cellStyle name="標準" xfId="0" builtinId="0"/>
    <cellStyle name="標準 2" xfId="1" xr:uid="{00000000-0005-0000-0000-000006000000}"/>
    <cellStyle name="標準 2 2" xfId="2" xr:uid="{00000000-0005-0000-0000-000007000000}"/>
    <cellStyle name="標準 21" xfId="3" xr:uid="{00000000-0005-0000-0000-000008000000}"/>
    <cellStyle name="標準 3" xfId="4" xr:uid="{00000000-0005-0000-0000-000009000000}"/>
    <cellStyle name="標準 4" xfId="5" xr:uid="{00000000-0005-0000-0000-00000A000000}"/>
    <cellStyle name="標準 6" xfId="6" xr:uid="{00000000-0005-0000-0000-00000B000000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  <sheetName val="テーブル仕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  <sheetName val="テスト仕様テンプレート"/>
    </sheetNames>
    <sheetDataSet>
      <sheetData sheetId="0"/>
      <sheetData sheetId="1"/>
      <sheetData sheetId="2"/>
      <sheetData sheetId="3">
        <row r="5">
          <cell r="B5" t="str">
            <v>V001</v>
          </cell>
        </row>
      </sheetData>
      <sheetData sheetId="4">
        <row r="5">
          <cell r="B5" t="str">
            <v>E-SV-001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  <sheetName val="Q3 Financi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AS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zoomScaleNormal="100" workbookViewId="0">
      <selection sqref="A1:XFD1048576"/>
    </sheetView>
  </sheetViews>
  <sheetFormatPr defaultColWidth="2.5" defaultRowHeight="15" customHeight="1"/>
  <cols>
    <col min="1" max="16384" width="2.5" style="1"/>
  </cols>
  <sheetData>
    <row r="1" spans="1:68" s="2" customFormat="1" ht="15" customHeight="1">
      <c r="A1" s="60" t="s">
        <v>0</v>
      </c>
      <c r="B1" s="60"/>
      <c r="C1" s="60"/>
      <c r="D1" s="60"/>
      <c r="E1" s="60"/>
      <c r="F1" s="61" t="s">
        <v>1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2" t="s">
        <v>2</v>
      </c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 t="s">
        <v>3</v>
      </c>
      <c r="AS1" s="62"/>
      <c r="AT1" s="62"/>
      <c r="AU1" s="62"/>
      <c r="AV1" s="62"/>
      <c r="AW1" s="62"/>
      <c r="AX1" s="62"/>
      <c r="AY1" s="62"/>
      <c r="AZ1" s="62"/>
      <c r="BA1" s="62" t="s">
        <v>4</v>
      </c>
      <c r="BB1" s="62"/>
      <c r="BC1" s="62"/>
      <c r="BD1" s="62"/>
      <c r="BE1" s="62"/>
      <c r="BF1" s="62"/>
      <c r="BG1" s="62"/>
      <c r="BH1" s="62"/>
      <c r="BI1" s="62"/>
      <c r="BJ1" s="1"/>
      <c r="BK1" s="1"/>
      <c r="BL1" s="1"/>
      <c r="BM1" s="1"/>
      <c r="BN1" s="1"/>
      <c r="BO1" s="1"/>
      <c r="BP1" s="1"/>
    </row>
    <row r="2" spans="1:68" s="2" customFormat="1" ht="15" customHeight="1">
      <c r="A2" s="63" t="s">
        <v>5</v>
      </c>
      <c r="B2" s="63"/>
      <c r="C2" s="63"/>
      <c r="D2" s="63"/>
      <c r="E2" s="63"/>
      <c r="F2" s="64" t="str">
        <f t="array" aca="1" ref="F2" ca="1">SUBSTITUTE(MID(CELL("filename"),FIND("[",CELL("filename"))+1,FIND("]",CELL("filename"))-FIND("[",CELL("filename"))-1),".xlsx","")</f>
        <v>【テーブル定義書】SJ_AccountingDataCreateGroupStaging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5" t="s">
        <v>6</v>
      </c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6" t="s">
        <v>7</v>
      </c>
      <c r="AS2" s="66"/>
      <c r="AT2" s="67">
        <f>A6</f>
        <v>46192</v>
      </c>
      <c r="AU2" s="67"/>
      <c r="AV2" s="67"/>
      <c r="AW2" s="67"/>
      <c r="AX2" s="67"/>
      <c r="AY2" s="67"/>
      <c r="AZ2" s="67"/>
      <c r="BA2" s="68" t="str">
        <f>AZ6</f>
        <v>JBS山田</v>
      </c>
      <c r="BB2" s="68"/>
      <c r="BC2" s="68"/>
      <c r="BD2" s="68"/>
      <c r="BE2" s="68"/>
      <c r="BF2" s="68"/>
      <c r="BG2" s="68"/>
      <c r="BH2" s="68"/>
      <c r="BI2" s="68"/>
      <c r="BJ2" s="1"/>
      <c r="BK2" s="1"/>
      <c r="BL2" s="1"/>
      <c r="BM2" s="1"/>
      <c r="BN2" s="1"/>
      <c r="BO2" s="1"/>
      <c r="BP2" s="1"/>
    </row>
    <row r="3" spans="1:68" s="2" customFormat="1" ht="15" customHeight="1">
      <c r="A3" s="63"/>
      <c r="B3" s="63"/>
      <c r="C3" s="63"/>
      <c r="D3" s="63"/>
      <c r="E3" s="63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9" t="s">
        <v>8</v>
      </c>
      <c r="AS3" s="69"/>
      <c r="AT3" s="70">
        <f t="array" aca="1" ref="AT3" ca="1">IF(OR(COUNTA(A:E)=3),"",INDIRECT("A"&amp;COUNTA(A:E)+2))</f>
        <v>46192</v>
      </c>
      <c r="AU3" s="70"/>
      <c r="AV3" s="70"/>
      <c r="AW3" s="70"/>
      <c r="AX3" s="70"/>
      <c r="AY3" s="70"/>
      <c r="AZ3" s="70"/>
      <c r="BA3" s="71" t="str">
        <f t="array" aca="1" ref="BA3" ca="1">IF(COUNTA(AZ5:BD100000)=1,"",INDIRECT("変更履歴!AZ"&amp;COUNTA(AZ5:BD100000)+4))</f>
        <v>JBS山田</v>
      </c>
      <c r="BB3" s="71"/>
      <c r="BC3" s="71"/>
      <c r="BD3" s="71"/>
      <c r="BE3" s="71"/>
      <c r="BF3" s="71"/>
      <c r="BG3" s="71"/>
      <c r="BH3" s="71"/>
      <c r="BI3" s="71"/>
      <c r="BJ3" s="1"/>
      <c r="BK3" s="1"/>
      <c r="BL3" s="1"/>
      <c r="BM3" s="1"/>
      <c r="BN3" s="1"/>
      <c r="BO3" s="1"/>
      <c r="BP3" s="1"/>
    </row>
    <row r="4" spans="1:68" ht="1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4" customFormat="1" ht="15" customHeight="1">
      <c r="A5" s="72" t="s">
        <v>9</v>
      </c>
      <c r="B5" s="72"/>
      <c r="C5" s="72"/>
      <c r="D5" s="72"/>
      <c r="E5" s="72"/>
      <c r="F5" s="72" t="s">
        <v>10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 t="s">
        <v>11</v>
      </c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 t="s">
        <v>12</v>
      </c>
      <c r="BA5" s="72"/>
      <c r="BB5" s="72"/>
      <c r="BC5" s="72"/>
      <c r="BD5" s="72"/>
      <c r="BE5" s="72" t="s">
        <v>13</v>
      </c>
      <c r="BF5" s="72"/>
      <c r="BG5" s="72"/>
      <c r="BH5" s="72"/>
      <c r="BI5" s="72"/>
    </row>
    <row r="6" spans="1:68" ht="13.5" customHeight="1">
      <c r="A6" s="44">
        <v>46192</v>
      </c>
      <c r="B6" s="44"/>
      <c r="C6" s="44"/>
      <c r="D6" s="44"/>
      <c r="E6" s="44"/>
      <c r="F6" s="73" t="s">
        <v>14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4" t="s">
        <v>14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45" t="s">
        <v>104</v>
      </c>
      <c r="BA6" s="45"/>
      <c r="BB6" s="45"/>
      <c r="BC6" s="45"/>
      <c r="BD6" s="45"/>
      <c r="BE6" s="46" t="s">
        <v>15</v>
      </c>
      <c r="BF6" s="46"/>
      <c r="BG6" s="46"/>
      <c r="BH6" s="46"/>
      <c r="BI6" s="46"/>
    </row>
    <row r="7" spans="1:68" ht="14.25" customHeight="1">
      <c r="A7" s="32"/>
      <c r="B7" s="32"/>
      <c r="C7" s="32"/>
      <c r="D7" s="32"/>
      <c r="E7" s="32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35"/>
      <c r="BA7" s="35"/>
      <c r="BB7" s="35"/>
      <c r="BC7" s="35"/>
      <c r="BD7" s="35"/>
      <c r="BE7" s="36"/>
      <c r="BF7" s="36"/>
      <c r="BG7" s="36"/>
      <c r="BH7" s="36"/>
      <c r="BI7" s="36"/>
    </row>
    <row r="8" spans="1:68" ht="14.25" customHeight="1">
      <c r="A8" s="32"/>
      <c r="B8" s="32"/>
      <c r="C8" s="32"/>
      <c r="D8" s="32"/>
      <c r="E8" s="3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5"/>
      <c r="BA8" s="35"/>
      <c r="BB8" s="35"/>
      <c r="BC8" s="35"/>
      <c r="BD8" s="35"/>
      <c r="BE8" s="36"/>
      <c r="BF8" s="36"/>
      <c r="BG8" s="36"/>
      <c r="BH8" s="36"/>
      <c r="BI8" s="36"/>
    </row>
    <row r="9" spans="1:68" ht="14.25" customHeight="1">
      <c r="A9" s="32"/>
      <c r="B9" s="32"/>
      <c r="C9" s="32"/>
      <c r="D9" s="32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35"/>
      <c r="BA9" s="35"/>
      <c r="BB9" s="35"/>
      <c r="BC9" s="35"/>
      <c r="BD9" s="35"/>
      <c r="BE9" s="36"/>
      <c r="BF9" s="36"/>
      <c r="BG9" s="36"/>
      <c r="BH9" s="36"/>
      <c r="BI9" s="36"/>
    </row>
    <row r="10" spans="1:68" ht="15" customHeight="1">
      <c r="A10" s="32"/>
      <c r="B10" s="32"/>
      <c r="C10" s="32"/>
      <c r="D10" s="32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5"/>
      <c r="BA10" s="35"/>
      <c r="BB10" s="35"/>
      <c r="BC10" s="35"/>
      <c r="BD10" s="35"/>
      <c r="BE10" s="36"/>
      <c r="BF10" s="36"/>
      <c r="BG10" s="36"/>
      <c r="BH10" s="36"/>
      <c r="BI10" s="36"/>
    </row>
    <row r="11" spans="1:68" ht="15" customHeight="1">
      <c r="A11" s="32"/>
      <c r="B11" s="32"/>
      <c r="C11" s="32"/>
      <c r="D11" s="32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5"/>
      <c r="BA11" s="35"/>
      <c r="BB11" s="35"/>
      <c r="BC11" s="35"/>
      <c r="BD11" s="35"/>
      <c r="BE11" s="36"/>
      <c r="BF11" s="36"/>
      <c r="BG11" s="36"/>
      <c r="BH11" s="36"/>
      <c r="BI11" s="36"/>
    </row>
    <row r="12" spans="1:68" ht="15" customHeight="1">
      <c r="A12" s="32"/>
      <c r="B12" s="32"/>
      <c r="C12" s="32"/>
      <c r="D12" s="32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5"/>
      <c r="BA12" s="35"/>
      <c r="BB12" s="35"/>
      <c r="BC12" s="35"/>
      <c r="BD12" s="35"/>
      <c r="BE12" s="36"/>
      <c r="BF12" s="36"/>
      <c r="BG12" s="36"/>
      <c r="BH12" s="36"/>
      <c r="BI12" s="36"/>
    </row>
    <row r="13" spans="1:68" ht="15" customHeight="1">
      <c r="A13" s="32"/>
      <c r="B13" s="32"/>
      <c r="C13" s="32"/>
      <c r="D13" s="32"/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5"/>
      <c r="BA13" s="35"/>
      <c r="BB13" s="35"/>
      <c r="BC13" s="35"/>
      <c r="BD13" s="35"/>
      <c r="BE13" s="36"/>
      <c r="BF13" s="36"/>
      <c r="BG13" s="36"/>
      <c r="BH13" s="36"/>
      <c r="BI13" s="36"/>
    </row>
    <row r="14" spans="1:68" ht="15" customHeight="1">
      <c r="A14" s="32"/>
      <c r="B14" s="32"/>
      <c r="C14" s="32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5"/>
      <c r="BA14" s="35"/>
      <c r="BB14" s="35"/>
      <c r="BC14" s="35"/>
      <c r="BD14" s="35"/>
      <c r="BE14" s="36"/>
      <c r="BF14" s="36"/>
      <c r="BG14" s="36"/>
      <c r="BH14" s="36"/>
      <c r="BI14" s="36"/>
    </row>
    <row r="15" spans="1:68" ht="15" customHeight="1">
      <c r="A15" s="32"/>
      <c r="B15" s="32"/>
      <c r="C15" s="32"/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5"/>
      <c r="BA15" s="35"/>
      <c r="BB15" s="35"/>
      <c r="BC15" s="35"/>
      <c r="BD15" s="35"/>
      <c r="BE15" s="36"/>
      <c r="BF15" s="36"/>
      <c r="BG15" s="36"/>
      <c r="BH15" s="36"/>
      <c r="BI15" s="36"/>
    </row>
    <row r="16" spans="1:68" ht="15" customHeight="1">
      <c r="A16" s="32"/>
      <c r="B16" s="32"/>
      <c r="C16" s="32"/>
      <c r="D16" s="32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5"/>
      <c r="BA16" s="35"/>
      <c r="BB16" s="35"/>
      <c r="BC16" s="35"/>
      <c r="BD16" s="35"/>
      <c r="BE16" s="36"/>
      <c r="BF16" s="36"/>
      <c r="BG16" s="36"/>
      <c r="BH16" s="36"/>
      <c r="BI16" s="36"/>
    </row>
    <row r="17" spans="1:61" ht="15" customHeight="1">
      <c r="A17" s="32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5"/>
      <c r="BA17" s="35"/>
      <c r="BB17" s="35"/>
      <c r="BC17" s="35"/>
      <c r="BD17" s="35"/>
      <c r="BE17" s="36"/>
      <c r="BF17" s="36"/>
      <c r="BG17" s="36"/>
      <c r="BH17" s="36"/>
      <c r="BI17" s="36"/>
    </row>
    <row r="18" spans="1:61" ht="15" customHeight="1">
      <c r="A18" s="32"/>
      <c r="B18" s="32"/>
      <c r="C18" s="32"/>
      <c r="D18" s="32"/>
      <c r="E18" s="3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5"/>
      <c r="BA18" s="35"/>
      <c r="BB18" s="35"/>
      <c r="BC18" s="35"/>
      <c r="BD18" s="35"/>
      <c r="BE18" s="36"/>
      <c r="BF18" s="36"/>
      <c r="BG18" s="36"/>
      <c r="BH18" s="36"/>
      <c r="BI18" s="36"/>
    </row>
    <row r="19" spans="1:61" ht="15" customHeight="1">
      <c r="A19" s="32"/>
      <c r="B19" s="32"/>
      <c r="C19" s="32"/>
      <c r="D19" s="32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5"/>
      <c r="BA19" s="35"/>
      <c r="BB19" s="35"/>
      <c r="BC19" s="35"/>
      <c r="BD19" s="35"/>
      <c r="BE19" s="36"/>
      <c r="BF19" s="36"/>
      <c r="BG19" s="36"/>
      <c r="BH19" s="36"/>
      <c r="BI19" s="36"/>
    </row>
    <row r="20" spans="1:61" ht="15" customHeight="1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5"/>
      <c r="BA20" s="35"/>
      <c r="BB20" s="35"/>
      <c r="BC20" s="35"/>
      <c r="BD20" s="35"/>
      <c r="BE20" s="36"/>
      <c r="BF20" s="36"/>
      <c r="BG20" s="36"/>
      <c r="BH20" s="36"/>
      <c r="BI20" s="36"/>
    </row>
    <row r="21" spans="1:61" ht="15" customHeight="1">
      <c r="A21" s="32"/>
      <c r="B21" s="32"/>
      <c r="C21" s="32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5"/>
      <c r="BA21" s="35"/>
      <c r="BB21" s="35"/>
      <c r="BC21" s="35"/>
      <c r="BD21" s="35"/>
      <c r="BE21" s="36"/>
      <c r="BF21" s="36"/>
      <c r="BG21" s="36"/>
      <c r="BH21" s="36"/>
      <c r="BI21" s="36"/>
    </row>
    <row r="22" spans="1:61" ht="15" customHeight="1">
      <c r="A22" s="37"/>
      <c r="B22" s="37"/>
      <c r="C22" s="37"/>
      <c r="D22" s="37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40"/>
      <c r="BA22" s="40"/>
      <c r="BB22" s="40"/>
      <c r="BC22" s="40"/>
      <c r="BD22" s="40"/>
      <c r="BE22" s="41"/>
      <c r="BF22" s="41"/>
      <c r="BG22" s="41"/>
      <c r="BH22" s="41"/>
      <c r="BI22" s="41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22:E22"/>
    <mergeCell ref="F22:S22"/>
    <mergeCell ref="T22:AY22"/>
    <mergeCell ref="AZ22:BD22"/>
    <mergeCell ref="BE22:BI22"/>
  </mergeCells>
  <phoneticPr fontId="18"/>
  <printOptions horizontalCentered="1"/>
  <pageMargins left="0.23611111111111099" right="0.23611111111111099" top="0.74791666666666701" bottom="0.74791666666666701" header="0.511811023622047" footer="0.511811023622047"/>
  <pageSetup paperSize="9" scale="8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12"/>
  <sheetViews>
    <sheetView showGridLines="0" tabSelected="1" zoomScaleNormal="100" zoomScalePageLayoutView="89" workbookViewId="0">
      <selection activeCell="E29" sqref="E29"/>
    </sheetView>
  </sheetViews>
  <sheetFormatPr defaultColWidth="9" defaultRowHeight="12.6"/>
  <cols>
    <col min="1" max="1" width="0.796875" style="5" customWidth="1"/>
    <col min="2" max="2" width="3.69921875" style="5" customWidth="1"/>
    <col min="3" max="3" width="18.59765625" style="5" customWidth="1"/>
    <col min="4" max="4" width="14.09765625" style="5" customWidth="1"/>
    <col min="5" max="5" width="28.19921875" style="5" customWidth="1"/>
    <col min="6" max="6" width="9.69921875" style="5" customWidth="1"/>
    <col min="7" max="7" width="22.296875" style="5" customWidth="1"/>
    <col min="8" max="8" width="8.69921875" style="5" customWidth="1"/>
    <col min="9" max="10" width="5.5" style="5" customWidth="1"/>
    <col min="11" max="11" width="2.59765625" style="5" customWidth="1"/>
    <col min="12" max="12" width="17" style="5" customWidth="1"/>
    <col min="13" max="13" width="23.19921875" style="5" customWidth="1"/>
    <col min="14" max="14" width="0.796875" style="5" customWidth="1"/>
    <col min="15" max="16384" width="9" style="5"/>
  </cols>
  <sheetData>
    <row r="1" spans="2:13" ht="4.5" customHeight="1"/>
    <row r="2" spans="2:13">
      <c r="B2" s="79" t="s">
        <v>16</v>
      </c>
      <c r="C2" s="79"/>
      <c r="D2" s="79"/>
      <c r="E2" s="79" t="s">
        <v>17</v>
      </c>
      <c r="F2" s="79"/>
      <c r="G2" s="80" t="s">
        <v>18</v>
      </c>
      <c r="H2" s="50">
        <f>変更履歴!AT2</f>
        <v>46192</v>
      </c>
      <c r="I2" s="50"/>
      <c r="J2" s="50"/>
      <c r="K2" s="50"/>
      <c r="L2" s="81" t="s">
        <v>19</v>
      </c>
      <c r="M2" s="6">
        <f ca="1">変更履歴!AT3</f>
        <v>46192</v>
      </c>
    </row>
    <row r="3" spans="2:13">
      <c r="B3" s="48" t="s">
        <v>111</v>
      </c>
      <c r="C3" s="48"/>
      <c r="D3" s="48"/>
      <c r="E3" s="48" t="s">
        <v>20</v>
      </c>
      <c r="F3" s="48"/>
      <c r="G3" s="80" t="s">
        <v>21</v>
      </c>
      <c r="H3" s="51" t="str">
        <f>変更履歴!BA2</f>
        <v>JBS山田</v>
      </c>
      <c r="I3" s="51"/>
      <c r="J3" s="51"/>
      <c r="K3" s="51"/>
      <c r="L3" s="81" t="s">
        <v>12</v>
      </c>
      <c r="M3" s="7" t="str">
        <f ca="1">変更履歴!BA3</f>
        <v>JBS山田</v>
      </c>
    </row>
    <row r="4" spans="2:13">
      <c r="B4" s="79" t="s">
        <v>112</v>
      </c>
      <c r="C4" s="79"/>
      <c r="D4" s="82" t="s">
        <v>113</v>
      </c>
      <c r="E4" s="79" t="s">
        <v>114</v>
      </c>
      <c r="F4" s="79"/>
      <c r="G4" s="80" t="s">
        <v>22</v>
      </c>
      <c r="H4" s="83" t="s">
        <v>23</v>
      </c>
      <c r="I4" s="83"/>
      <c r="J4" s="83"/>
      <c r="K4" s="83"/>
      <c r="L4" s="80" t="s">
        <v>24</v>
      </c>
      <c r="M4" s="8" t="s">
        <v>25</v>
      </c>
    </row>
    <row r="5" spans="2:13">
      <c r="B5" s="48" t="s">
        <v>26</v>
      </c>
      <c r="C5" s="48"/>
      <c r="D5" s="9"/>
      <c r="E5" s="48" t="s">
        <v>27</v>
      </c>
      <c r="F5" s="48"/>
      <c r="G5" s="10" t="s">
        <v>28</v>
      </c>
      <c r="H5" s="49" t="s">
        <v>29</v>
      </c>
      <c r="I5" s="49"/>
      <c r="J5" s="49"/>
      <c r="K5" s="49"/>
      <c r="L5" s="10" t="s">
        <v>30</v>
      </c>
      <c r="M5" s="11" t="s">
        <v>31</v>
      </c>
    </row>
    <row r="6" spans="2:13" ht="4.5" customHeight="1"/>
    <row r="7" spans="2:13">
      <c r="B7" s="12" t="s">
        <v>32</v>
      </c>
      <c r="C7" s="12" t="s">
        <v>115</v>
      </c>
      <c r="D7" s="12" t="s">
        <v>113</v>
      </c>
      <c r="E7" s="12" t="s">
        <v>116</v>
      </c>
      <c r="F7" s="12" t="s">
        <v>33</v>
      </c>
      <c r="G7" s="12" t="s">
        <v>117</v>
      </c>
      <c r="H7" s="12" t="s">
        <v>34</v>
      </c>
      <c r="I7" s="12" t="s">
        <v>35</v>
      </c>
      <c r="J7" s="12" t="s">
        <v>36</v>
      </c>
      <c r="K7" s="47"/>
      <c r="L7" s="47"/>
      <c r="M7" s="47"/>
    </row>
    <row r="8" spans="2:13">
      <c r="B8" s="7">
        <f>ROW()-7</f>
        <v>1</v>
      </c>
      <c r="C8" s="9"/>
      <c r="D8" s="9" t="s">
        <v>37</v>
      </c>
      <c r="E8" s="13" t="s">
        <v>38</v>
      </c>
      <c r="F8" s="14" t="s">
        <v>39</v>
      </c>
      <c r="G8" s="13"/>
      <c r="H8" s="15"/>
      <c r="I8" s="7" t="s">
        <v>40</v>
      </c>
      <c r="J8" s="7" t="s">
        <v>40</v>
      </c>
      <c r="K8" s="48"/>
      <c r="L8" s="48"/>
      <c r="M8" s="48"/>
    </row>
    <row r="9" spans="2:13">
      <c r="B9" s="7">
        <f>ROW()-7</f>
        <v>2</v>
      </c>
      <c r="C9" s="9" t="s">
        <v>106</v>
      </c>
      <c r="D9" s="9" t="s">
        <v>105</v>
      </c>
      <c r="E9" s="13" t="s">
        <v>41</v>
      </c>
      <c r="F9" s="14" t="s">
        <v>42</v>
      </c>
      <c r="G9" s="13" t="s">
        <v>41</v>
      </c>
      <c r="H9" s="16"/>
      <c r="I9" s="7" t="s">
        <v>40</v>
      </c>
      <c r="J9" s="7" t="s">
        <v>40</v>
      </c>
      <c r="K9" s="48" t="s">
        <v>118</v>
      </c>
      <c r="L9" s="48"/>
      <c r="M9" s="48"/>
    </row>
    <row r="10" spans="2:13">
      <c r="B10" s="7">
        <f>ROW()-7</f>
        <v>3</v>
      </c>
      <c r="C10" s="9" t="s">
        <v>43</v>
      </c>
      <c r="D10" s="9" t="s">
        <v>44</v>
      </c>
      <c r="E10" s="13" t="s">
        <v>45</v>
      </c>
      <c r="F10" s="14" t="s">
        <v>42</v>
      </c>
      <c r="G10" s="13" t="s">
        <v>46</v>
      </c>
      <c r="H10" s="16" t="s">
        <v>47</v>
      </c>
      <c r="I10" s="7" t="s">
        <v>40</v>
      </c>
      <c r="J10" s="7" t="s">
        <v>48</v>
      </c>
      <c r="K10" s="48"/>
      <c r="L10" s="48"/>
      <c r="M10" s="48"/>
    </row>
    <row r="11" spans="2:13">
      <c r="B11" s="7">
        <f>ROW()-7</f>
        <v>4</v>
      </c>
      <c r="C11" s="9" t="s">
        <v>49</v>
      </c>
      <c r="D11" s="9" t="s">
        <v>50</v>
      </c>
      <c r="E11" s="13" t="s">
        <v>51</v>
      </c>
      <c r="F11" s="14" t="s">
        <v>42</v>
      </c>
      <c r="G11" s="13" t="s">
        <v>52</v>
      </c>
      <c r="H11" s="16" t="s">
        <v>53</v>
      </c>
      <c r="I11" s="7" t="s">
        <v>40</v>
      </c>
      <c r="J11" s="7" t="s">
        <v>48</v>
      </c>
      <c r="K11" s="48"/>
      <c r="L11" s="48"/>
      <c r="M11" s="48"/>
    </row>
    <row r="12" spans="2:13">
      <c r="B12" s="7">
        <f>ROW()-7</f>
        <v>5</v>
      </c>
      <c r="C12" s="9" t="s">
        <v>54</v>
      </c>
      <c r="D12" s="9" t="s">
        <v>55</v>
      </c>
      <c r="E12" s="13" t="s">
        <v>56</v>
      </c>
      <c r="F12" s="14" t="s">
        <v>42</v>
      </c>
      <c r="G12" s="13" t="s">
        <v>57</v>
      </c>
      <c r="H12" s="16" t="s">
        <v>58</v>
      </c>
      <c r="I12" s="7" t="s">
        <v>40</v>
      </c>
      <c r="J12" s="7" t="s">
        <v>48</v>
      </c>
      <c r="K12" s="48"/>
      <c r="L12" s="48"/>
      <c r="M12" s="48"/>
    </row>
  </sheetData>
  <mergeCells count="18">
    <mergeCell ref="B2:D2"/>
    <mergeCell ref="E2:F2"/>
    <mergeCell ref="H2:K2"/>
    <mergeCell ref="B3:D3"/>
    <mergeCell ref="E3:F3"/>
    <mergeCell ref="H3:K3"/>
    <mergeCell ref="B4:C4"/>
    <mergeCell ref="E4:F4"/>
    <mergeCell ref="H4:K4"/>
    <mergeCell ref="B5:C5"/>
    <mergeCell ref="E5:F5"/>
    <mergeCell ref="H5:K5"/>
    <mergeCell ref="K12:M12"/>
    <mergeCell ref="K7:M7"/>
    <mergeCell ref="K8:M8"/>
    <mergeCell ref="K9:M9"/>
    <mergeCell ref="K10:M10"/>
    <mergeCell ref="K11:M11"/>
  </mergeCells>
  <phoneticPr fontId="18"/>
  <conditionalFormatting sqref="H8:H12">
    <cfRule type="expression" dxfId="0" priority="2">
      <formula>$F8&lt;&gt;"String"</formula>
    </cfRule>
  </conditionalFormatting>
  <dataValidations count="1">
    <dataValidation type="list" allowBlank="1" showInputMessage="1" showErrorMessage="1" sqref="I8:J12" xr:uid="{00000000-0002-0000-0100-000000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Normal="100" workbookViewId="0">
      <selection activeCell="R41" sqref="R41"/>
    </sheetView>
  </sheetViews>
  <sheetFormatPr defaultColWidth="2.59765625" defaultRowHeight="16.5" customHeight="1"/>
  <cols>
    <col min="1" max="12" width="2.59765625" style="17"/>
    <col min="13" max="17" width="3.296875" style="17" customWidth="1"/>
    <col min="18" max="22" width="2.59765625" style="17"/>
    <col min="23" max="27" width="3.59765625" style="17" customWidth="1"/>
    <col min="28" max="16384" width="2.59765625" style="17"/>
  </cols>
  <sheetData>
    <row r="1" spans="1:59" ht="11.25" customHeight="1">
      <c r="A1" s="75" t="s">
        <v>59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</row>
    <row r="2" spans="1:59" ht="11.25" customHeight="1">
      <c r="A2" s="57" t="s">
        <v>32</v>
      </c>
      <c r="B2" s="57"/>
      <c r="C2" s="57" t="s">
        <v>60</v>
      </c>
      <c r="D2" s="57"/>
      <c r="E2" s="57"/>
      <c r="F2" s="57"/>
      <c r="G2" s="57"/>
      <c r="H2" s="57"/>
      <c r="I2" s="57"/>
      <c r="J2" s="57"/>
      <c r="K2" s="57"/>
      <c r="L2" s="57"/>
      <c r="M2" s="57" t="s">
        <v>61</v>
      </c>
      <c r="N2" s="57"/>
      <c r="O2" s="57"/>
      <c r="P2" s="57"/>
      <c r="Q2" s="57" t="s">
        <v>62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 t="s">
        <v>63</v>
      </c>
      <c r="BC2" s="57"/>
      <c r="BD2" s="57"/>
      <c r="BE2" s="57"/>
      <c r="BF2" s="57"/>
      <c r="BG2" s="57"/>
    </row>
    <row r="3" spans="1:59" ht="11.25" customHeight="1">
      <c r="A3" s="55">
        <v>1</v>
      </c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9"/>
      <c r="N3" s="59"/>
      <c r="O3" s="59"/>
      <c r="P3" s="59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</row>
    <row r="4" spans="1:59" ht="11.25" customHeight="1">
      <c r="A4" s="55">
        <v>2</v>
      </c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59"/>
      <c r="N4" s="59"/>
      <c r="O4" s="59"/>
      <c r="P4" s="59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</row>
    <row r="5" spans="1:59" ht="11.25" customHeight="1">
      <c r="A5" s="55">
        <v>3</v>
      </c>
      <c r="B5" s="55"/>
      <c r="C5" s="56"/>
      <c r="D5" s="56"/>
      <c r="E5" s="56"/>
      <c r="F5" s="56"/>
      <c r="G5" s="56"/>
      <c r="H5" s="56"/>
      <c r="I5" s="56"/>
      <c r="J5" s="56"/>
      <c r="K5" s="56"/>
      <c r="L5" s="56"/>
      <c r="M5" s="59"/>
      <c r="N5" s="59"/>
      <c r="O5" s="59"/>
      <c r="P5" s="59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</row>
    <row r="6" spans="1:59" ht="11.25" customHeight="1">
      <c r="A6" s="55">
        <v>4</v>
      </c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9"/>
      <c r="N6" s="59"/>
      <c r="O6" s="59"/>
      <c r="P6" s="59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</row>
    <row r="7" spans="1:59" ht="11.25" customHeight="1">
      <c r="A7" s="55">
        <v>5</v>
      </c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9"/>
      <c r="N7" s="59"/>
      <c r="O7" s="59"/>
      <c r="P7" s="59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</row>
    <row r="8" spans="1:59" ht="11.25" customHeight="1">
      <c r="A8" s="76" t="s">
        <v>64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</row>
    <row r="9" spans="1:59" ht="11.25" customHeight="1">
      <c r="A9" s="57" t="s">
        <v>32</v>
      </c>
      <c r="B9" s="57"/>
      <c r="C9" s="57" t="s">
        <v>65</v>
      </c>
      <c r="D9" s="57"/>
      <c r="E9" s="57"/>
      <c r="F9" s="57"/>
      <c r="G9" s="57"/>
      <c r="H9" s="57"/>
      <c r="I9" s="57"/>
      <c r="J9" s="57"/>
      <c r="K9" s="57"/>
      <c r="L9" s="57"/>
      <c r="M9" s="57" t="s">
        <v>66</v>
      </c>
      <c r="N9" s="57"/>
      <c r="O9" s="57"/>
      <c r="P9" s="57" t="s">
        <v>62</v>
      </c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 t="s">
        <v>63</v>
      </c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</row>
    <row r="10" spans="1:59" ht="11.25" customHeight="1">
      <c r="A10" s="55">
        <v>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5"/>
      <c r="N10" s="55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</row>
    <row r="11" spans="1:59" ht="11.25" customHeight="1">
      <c r="A11" s="55">
        <v>2</v>
      </c>
      <c r="B11" s="55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5"/>
      <c r="N11" s="55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</row>
    <row r="12" spans="1:59" ht="11.25" customHeight="1">
      <c r="A12" s="55">
        <v>3</v>
      </c>
      <c r="B12" s="55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5"/>
      <c r="N12" s="55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</row>
    <row r="13" spans="1:59" ht="11.25" customHeight="1">
      <c r="A13" s="55">
        <v>4</v>
      </c>
      <c r="B13" s="55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5"/>
      <c r="N13" s="55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</row>
    <row r="14" spans="1:59" ht="11.25" customHeight="1">
      <c r="A14" s="55">
        <v>5</v>
      </c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5"/>
      <c r="N14" s="55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</row>
    <row r="15" spans="1:59" ht="11.25" customHeight="1">
      <c r="A15" s="76" t="s">
        <v>67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</row>
    <row r="16" spans="1:59" ht="11.25" customHeight="1">
      <c r="A16" s="57" t="s">
        <v>32</v>
      </c>
      <c r="B16" s="57"/>
      <c r="C16" s="57" t="s">
        <v>107</v>
      </c>
      <c r="D16" s="57"/>
      <c r="E16" s="57"/>
      <c r="F16" s="57"/>
      <c r="G16" s="57"/>
      <c r="H16" s="57"/>
      <c r="I16" s="57"/>
      <c r="J16" s="57"/>
      <c r="K16" s="57"/>
      <c r="L16" s="57"/>
      <c r="M16" s="57" t="s">
        <v>68</v>
      </c>
      <c r="N16" s="57"/>
      <c r="O16" s="57"/>
      <c r="P16" s="57"/>
      <c r="Q16" s="57"/>
      <c r="R16" s="57" t="s">
        <v>69</v>
      </c>
      <c r="S16" s="57"/>
      <c r="T16" s="57"/>
      <c r="U16" s="57"/>
      <c r="V16" s="57"/>
      <c r="W16" s="57" t="s">
        <v>70</v>
      </c>
      <c r="X16" s="57"/>
      <c r="Y16" s="57"/>
      <c r="Z16" s="57"/>
      <c r="AA16" s="57"/>
      <c r="AB16" s="57" t="s">
        <v>71</v>
      </c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</row>
    <row r="17" spans="1:59" ht="11.25" customHeight="1">
      <c r="A17" s="55">
        <v>1</v>
      </c>
      <c r="B17" s="55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</row>
    <row r="18" spans="1:59" ht="11.25" customHeight="1">
      <c r="A18" s="55">
        <v>2</v>
      </c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</row>
    <row r="19" spans="1:59" ht="11.25" customHeight="1">
      <c r="A19" s="55">
        <v>3</v>
      </c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</row>
    <row r="20" spans="1:59" ht="11.25" customHeight="1">
      <c r="A20" s="76" t="s">
        <v>108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</row>
    <row r="21" spans="1:59" ht="11.25" customHeight="1">
      <c r="A21" s="57" t="s">
        <v>32</v>
      </c>
      <c r="B21" s="57"/>
      <c r="C21" s="57" t="s">
        <v>72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 t="s">
        <v>73</v>
      </c>
      <c r="S21" s="57"/>
      <c r="T21" s="57"/>
      <c r="U21" s="57"/>
      <c r="V21" s="57"/>
      <c r="W21" s="57"/>
      <c r="X21" s="57"/>
      <c r="Y21" s="57"/>
      <c r="Z21" s="57"/>
      <c r="AA21" s="57"/>
      <c r="AB21" s="57" t="s">
        <v>74</v>
      </c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 t="s">
        <v>63</v>
      </c>
      <c r="BC21" s="57"/>
      <c r="BD21" s="57"/>
      <c r="BE21" s="57"/>
      <c r="BF21" s="57"/>
      <c r="BG21" s="57"/>
    </row>
    <row r="22" spans="1:59" ht="11.25" customHeight="1">
      <c r="A22" s="55">
        <v>1</v>
      </c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</row>
    <row r="23" spans="1:59" ht="11.25" customHeight="1">
      <c r="A23" s="55">
        <v>2</v>
      </c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</row>
    <row r="24" spans="1:59" ht="11.25" customHeight="1">
      <c r="A24" s="55">
        <v>3</v>
      </c>
      <c r="B24" s="55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</row>
    <row r="25" spans="1:59" ht="11.25" customHeight="1">
      <c r="A25" s="77" t="s">
        <v>75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</row>
    <row r="26" spans="1:59" ht="11.25" customHeight="1">
      <c r="A26" s="54" t="s">
        <v>31</v>
      </c>
      <c r="B26" s="54"/>
      <c r="C26" s="54" t="s">
        <v>76</v>
      </c>
      <c r="D26" s="54"/>
      <c r="E26" s="54"/>
      <c r="F26" s="54"/>
      <c r="G26" s="54"/>
      <c r="H26" s="54"/>
      <c r="I26" s="54"/>
      <c r="J26" s="54"/>
      <c r="K26" s="54"/>
      <c r="L26" s="54"/>
      <c r="M26" s="54" t="s">
        <v>109</v>
      </c>
      <c r="N26" s="54"/>
      <c r="O26" s="54"/>
      <c r="P26" s="54"/>
      <c r="Q26" s="54"/>
      <c r="R26" s="54"/>
      <c r="S26" s="54"/>
      <c r="T26" s="54"/>
      <c r="U26" s="54" t="s">
        <v>110</v>
      </c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78" t="s">
        <v>77</v>
      </c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</row>
    <row r="27" spans="1:59" ht="11.25" customHeight="1">
      <c r="A27" s="52">
        <v>1</v>
      </c>
      <c r="B27" s="52"/>
      <c r="C27" s="53" t="s">
        <v>78</v>
      </c>
      <c r="D27" s="53"/>
      <c r="E27" s="53"/>
      <c r="F27" s="53"/>
      <c r="G27" s="53"/>
      <c r="H27" s="53"/>
      <c r="I27" s="53"/>
      <c r="J27" s="53"/>
      <c r="K27" s="53"/>
      <c r="L27" s="53"/>
      <c r="M27" s="53" t="s">
        <v>79</v>
      </c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18" t="s">
        <v>80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</row>
    <row r="28" spans="1:59" ht="11.25" customHeight="1">
      <c r="A28" s="52">
        <v>2</v>
      </c>
      <c r="B28" s="5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18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</row>
    <row r="29" spans="1:59" ht="11.25" customHeight="1">
      <c r="A29" s="52">
        <v>3</v>
      </c>
      <c r="B29" s="52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18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7:B7"/>
    <mergeCell ref="C7:L7"/>
    <mergeCell ref="M7:P7"/>
    <mergeCell ref="Q7:BA7"/>
    <mergeCell ref="BB7:BG7"/>
    <mergeCell ref="A8:BG8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5:BG15"/>
    <mergeCell ref="A16:B16"/>
    <mergeCell ref="C16:L16"/>
    <mergeCell ref="M16:Q16"/>
    <mergeCell ref="R16:V16"/>
    <mergeCell ref="W16:AA16"/>
    <mergeCell ref="AB16:BG16"/>
    <mergeCell ref="A17:B17"/>
    <mergeCell ref="C17:L17"/>
    <mergeCell ref="M17:Q17"/>
    <mergeCell ref="R17:V17"/>
    <mergeCell ref="W17:AA17"/>
    <mergeCell ref="AB17:BG17"/>
    <mergeCell ref="A18:B18"/>
    <mergeCell ref="C18:L18"/>
    <mergeCell ref="M18:Q18"/>
    <mergeCell ref="R18:V18"/>
    <mergeCell ref="W18:AA18"/>
    <mergeCell ref="AB18:BG18"/>
    <mergeCell ref="A19:B19"/>
    <mergeCell ref="C19:L19"/>
    <mergeCell ref="M19:Q19"/>
    <mergeCell ref="R19:V19"/>
    <mergeCell ref="W19:AA19"/>
    <mergeCell ref="AB19:BG19"/>
    <mergeCell ref="A20:BG20"/>
    <mergeCell ref="A21:B21"/>
    <mergeCell ref="C21:Q21"/>
    <mergeCell ref="R21:AA21"/>
    <mergeCell ref="AB21:BA21"/>
    <mergeCell ref="BB21:BG21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4:B24"/>
    <mergeCell ref="C24:Q24"/>
    <mergeCell ref="R24:AA24"/>
    <mergeCell ref="AB24:BA24"/>
    <mergeCell ref="BB24:BG24"/>
    <mergeCell ref="A28:B28"/>
    <mergeCell ref="C28:L28"/>
    <mergeCell ref="M28:T28"/>
    <mergeCell ref="U28:AJ28"/>
    <mergeCell ref="A29:B29"/>
    <mergeCell ref="C29:L29"/>
    <mergeCell ref="M29:T29"/>
    <mergeCell ref="U29:AJ29"/>
    <mergeCell ref="A25:BG25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</mergeCells>
  <phoneticPr fontId="18"/>
  <dataValidations count="5">
    <dataValidation type="list" showInputMessage="1" showErrorMessage="1" sqref="R22:AA24" xr:uid="{00000000-0002-0000-0200-000000000000}">
      <formula1>"Cascade,Restricted,Cascade + Restricted"</formula1>
      <formula2>0</formula2>
    </dataValidation>
    <dataValidation type="list" allowBlank="1" showInputMessage="1" showErrorMessage="1" sqref="W17:AA19" xr:uid="{00000000-0002-0000-0200-000001000000}">
      <formula1>"ZeroOne,ExactlyOne,NotSpecified"</formula1>
      <formula2>0</formula2>
    </dataValidation>
    <dataValidation type="list" allowBlank="1" showInputMessage="1" showErrorMessage="1" sqref="R17:V19" xr:uid="{00000000-0002-0000-0200-000002000000}">
      <formula1>"ZeroMore,OneMore,ZeroOne,ExactlyOne,NotSpecified"</formula1>
      <formula2>0</formula2>
    </dataValidation>
    <dataValidation type="list" showInputMessage="1" showErrorMessage="1" sqref="M17:Q19" xr:uid="{00000000-0002-0000-0200-000003000000}">
      <formula1>"Association,Aggregation,Composition,Specialization,NotSpecified"</formula1>
      <formula2>0</formula2>
    </dataValidation>
    <dataValidation type="list" showInputMessage="1" showErrorMessage="1" sqref="M10:O14" xr:uid="{00000000-0002-0000-0200-000004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>
      <selection activeCell="B9" sqref="B9"/>
    </sheetView>
  </sheetViews>
  <sheetFormatPr defaultColWidth="8.5" defaultRowHeight="18"/>
  <cols>
    <col min="1" max="2" width="15.09765625" customWidth="1"/>
    <col min="3" max="3" width="18.59765625" customWidth="1"/>
    <col min="4" max="4" width="15.59765625" customWidth="1"/>
    <col min="5" max="5" width="13" customWidth="1"/>
  </cols>
  <sheetData>
    <row r="1" spans="1:5" ht="18" customHeight="1">
      <c r="A1" s="21" t="s">
        <v>17</v>
      </c>
      <c r="B1" s="21" t="s">
        <v>22</v>
      </c>
      <c r="C1" s="22" t="s">
        <v>23</v>
      </c>
      <c r="D1" s="23" t="s">
        <v>24</v>
      </c>
      <c r="E1" s="24" t="s">
        <v>33</v>
      </c>
    </row>
    <row r="2" spans="1:5">
      <c r="A2" s="25" t="s">
        <v>20</v>
      </c>
      <c r="B2" s="26" t="s">
        <v>28</v>
      </c>
      <c r="C2" s="27" t="s">
        <v>29</v>
      </c>
      <c r="D2" s="28" t="s">
        <v>81</v>
      </c>
      <c r="E2" s="26" t="s">
        <v>42</v>
      </c>
    </row>
    <row r="3" spans="1:5" ht="18" customHeight="1">
      <c r="A3" s="29" t="s">
        <v>82</v>
      </c>
      <c r="B3" s="26" t="s">
        <v>83</v>
      </c>
      <c r="C3" s="27" t="s">
        <v>84</v>
      </c>
      <c r="D3" s="30" t="s">
        <v>30</v>
      </c>
      <c r="E3" s="26" t="s">
        <v>39</v>
      </c>
    </row>
    <row r="4" spans="1:5" ht="18" customHeight="1">
      <c r="B4" s="31" t="s">
        <v>85</v>
      </c>
      <c r="C4" s="27" t="s">
        <v>86</v>
      </c>
      <c r="E4" s="26" t="s">
        <v>87</v>
      </c>
    </row>
    <row r="5" spans="1:5">
      <c r="C5" s="26" t="s">
        <v>88</v>
      </c>
      <c r="E5" s="26" t="s">
        <v>89</v>
      </c>
    </row>
    <row r="6" spans="1:5">
      <c r="C6" s="26" t="s">
        <v>90</v>
      </c>
      <c r="E6" s="26" t="s">
        <v>91</v>
      </c>
    </row>
    <row r="7" spans="1:5">
      <c r="C7" s="26" t="s">
        <v>92</v>
      </c>
      <c r="E7" s="26" t="s">
        <v>93</v>
      </c>
    </row>
    <row r="8" spans="1:5">
      <c r="C8" s="26" t="s">
        <v>94</v>
      </c>
      <c r="E8" s="26" t="s">
        <v>95</v>
      </c>
    </row>
    <row r="9" spans="1:5">
      <c r="C9" s="26" t="s">
        <v>96</v>
      </c>
      <c r="E9" s="26" t="s">
        <v>97</v>
      </c>
    </row>
    <row r="10" spans="1:5">
      <c r="C10" s="26" t="s">
        <v>98</v>
      </c>
      <c r="E10" s="26" t="s">
        <v>99</v>
      </c>
    </row>
    <row r="11" spans="1:5" ht="18" customHeight="1">
      <c r="C11" s="26" t="s">
        <v>100</v>
      </c>
      <c r="E11" s="31" t="s">
        <v>101</v>
      </c>
    </row>
    <row r="12" spans="1:5">
      <c r="C12" s="26" t="s">
        <v>102</v>
      </c>
    </row>
    <row r="13" spans="1:5" ht="18" customHeight="1">
      <c r="C13" s="31" t="s">
        <v>103</v>
      </c>
    </row>
  </sheetData>
  <phoneticPr fontId="18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ADD7D-E124-49E2-9755-9621F1025A06}"/>
</file>

<file path=customXml/itemProps2.xml><?xml version="1.0" encoding="utf-8"?>
<ds:datastoreItem xmlns:ds="http://schemas.openxmlformats.org/officeDocument/2006/customXml" ds:itemID="{FBD43C02-A727-46E5-AAE6-152DD3232489}"/>
</file>

<file path=customXml/itemProps3.xml><?xml version="1.0" encoding="utf-8"?>
<ds:datastoreItem xmlns:ds="http://schemas.openxmlformats.org/officeDocument/2006/customXml" ds:itemID="{F7624233-B216-4B28-BA48-69EB603C815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dc:description/>
  <cp:lastModifiedBy>Ida, Mizuho</cp:lastModifiedBy>
  <cp:revision>0</cp:revision>
  <cp:lastPrinted>2022-03-28T03:24:05Z</cp:lastPrinted>
  <dcterms:created xsi:type="dcterms:W3CDTF">2015-06-05T18:19:34Z</dcterms:created>
  <dcterms:modified xsi:type="dcterms:W3CDTF">2026-06-22T01:57:12Z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0x0101002927D8DE12D48B47B0D44EEF0BC44240</vt:lpwstr>
  </property>
  <property fmtid="{D5CDD505-2E9C-101B-9397-08002B2CF9AE}" pid="4" name="MediaServiceImageTags">
    <vt:lpwstr/>
  </property>
  <property fmtid="{D5CDD505-2E9C-101B-9397-08002B2CF9AE}" pid="5" name="Order">
    <vt:r8>44387800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