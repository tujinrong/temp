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00_要件定義まとめ/"/>
    </mc:Choice>
  </mc:AlternateContent>
  <xr:revisionPtr revIDLastSave="164" documentId="13_ncr:1_{465C9F8D-95E9-4815-9A85-62BA41CDFC1A}" xr6:coauthVersionLast="47" xr6:coauthVersionMax="47" xr10:uidLastSave="{9E685D00-237D-4908-B856-3C7B87C1601A}"/>
  <bookViews>
    <workbookView xWindow="-110" yWindow="-110" windowWidth="22780" windowHeight="14540" tabRatio="724" activeTab="1" xr2:uid="{00000000-000D-0000-FFFF-FFFF00000000}"/>
  </bookViews>
  <sheets>
    <sheet name="要求事項" sheetId="7" r:id="rId1"/>
    <sheet name="Sheet1" sheetId="9" r:id="rId2"/>
    <sheet name="マスタ" sheetId="8" r:id="rId3"/>
  </sheets>
  <definedNames>
    <definedName name="_xlnm._FilterDatabase" localSheetId="0" hidden="1">要求事項!$D$4:$U$452</definedName>
    <definedName name="Page">#REF!</definedName>
    <definedName name="スコープ">マスタ!$B$18:$B$19</definedName>
    <definedName name="開発">マスタ!$B$14:$B$15</definedName>
    <definedName name="確認結果">マスタ!#REF!</definedName>
    <definedName name="対象システム">マスタ!$B$8:$B$11</definedName>
    <definedName name="優先度">マスタ!$B$2:$B$5</definedName>
    <definedName name="要件区分">マスタ!#REF!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7" l="1"/>
  <c r="Y5" i="7" s="1"/>
  <c r="AC5" i="7" s="1"/>
  <c r="X6" i="7"/>
  <c r="Y6" i="7" s="1"/>
  <c r="AC6" i="7" s="1"/>
  <c r="X7" i="7"/>
  <c r="Y7" i="7" s="1"/>
  <c r="AC7" i="7" s="1"/>
  <c r="X8" i="7"/>
  <c r="Y8" i="7" s="1"/>
  <c r="AC8" i="7" s="1"/>
  <c r="X9" i="7"/>
  <c r="Y9" i="7" s="1"/>
  <c r="AC9" i="7" s="1"/>
  <c r="X10" i="7"/>
  <c r="Y10" i="7" s="1"/>
  <c r="AC10" i="7" s="1"/>
  <c r="X11" i="7"/>
  <c r="Y11" i="7" s="1"/>
  <c r="AC11" i="7" s="1"/>
  <c r="X12" i="7"/>
  <c r="Y12" i="7" s="1"/>
  <c r="AC12" i="7" s="1"/>
  <c r="X13" i="7"/>
  <c r="Y13" i="7" s="1"/>
  <c r="AC13" i="7" s="1"/>
  <c r="X14" i="7"/>
  <c r="Y14" i="7" s="1"/>
  <c r="AC14" i="7" s="1"/>
  <c r="X15" i="7"/>
  <c r="Y15" i="7" s="1"/>
  <c r="AC15" i="7" s="1"/>
  <c r="X16" i="7"/>
  <c r="Y16" i="7" s="1"/>
  <c r="AC16" i="7" s="1"/>
  <c r="X17" i="7"/>
  <c r="Y17" i="7" s="1"/>
  <c r="AC17" i="7" s="1"/>
  <c r="X18" i="7"/>
  <c r="Y18" i="7" s="1"/>
  <c r="AC18" i="7" s="1"/>
  <c r="X19" i="7"/>
  <c r="Y19" i="7" s="1"/>
  <c r="AC19" i="7" s="1"/>
  <c r="X20" i="7"/>
  <c r="Y20" i="7" s="1"/>
  <c r="AC20" i="7" s="1"/>
  <c r="X21" i="7"/>
  <c r="Y21" i="7" s="1"/>
  <c r="AC21" i="7" s="1"/>
  <c r="X22" i="7"/>
  <c r="Y22" i="7" s="1"/>
  <c r="AC22" i="7" s="1"/>
  <c r="X23" i="7"/>
  <c r="Y23" i="7" s="1"/>
  <c r="AC23" i="7" s="1"/>
  <c r="X24" i="7"/>
  <c r="Y24" i="7" s="1"/>
  <c r="AC24" i="7" s="1"/>
  <c r="X25" i="7"/>
  <c r="Y25" i="7" s="1"/>
  <c r="AC25" i="7" s="1"/>
  <c r="X26" i="7"/>
  <c r="Y26" i="7" s="1"/>
  <c r="AC26" i="7" s="1"/>
  <c r="X27" i="7"/>
  <c r="Y27" i="7" s="1"/>
  <c r="AC27" i="7" s="1"/>
  <c r="X28" i="7"/>
  <c r="Y28" i="7" s="1"/>
  <c r="AC28" i="7" s="1"/>
  <c r="X29" i="7"/>
  <c r="Y29" i="7" s="1"/>
  <c r="AC29" i="7" s="1"/>
  <c r="X30" i="7"/>
  <c r="Y30" i="7" s="1"/>
  <c r="AC30" i="7" s="1"/>
  <c r="X31" i="7"/>
  <c r="Y31" i="7" s="1"/>
  <c r="AC31" i="7" s="1"/>
  <c r="X32" i="7"/>
  <c r="Y32" i="7" s="1"/>
  <c r="AC32" i="7" s="1"/>
  <c r="X33" i="7"/>
  <c r="Y33" i="7" s="1"/>
  <c r="AC33" i="7" s="1"/>
  <c r="X34" i="7"/>
  <c r="Y34" i="7" s="1"/>
  <c r="AC34" i="7" s="1"/>
  <c r="X35" i="7"/>
  <c r="Y35" i="7" s="1"/>
  <c r="AC35" i="7" s="1"/>
  <c r="X36" i="7"/>
  <c r="Y36" i="7" s="1"/>
  <c r="AC36" i="7" s="1"/>
  <c r="X37" i="7"/>
  <c r="Y37" i="7" s="1"/>
  <c r="AC37" i="7" s="1"/>
  <c r="X38" i="7"/>
  <c r="Y38" i="7" s="1"/>
  <c r="AC38" i="7" s="1"/>
  <c r="X39" i="7"/>
  <c r="Y39" i="7" s="1"/>
  <c r="AC39" i="7" s="1"/>
  <c r="X40" i="7"/>
  <c r="Y40" i="7" s="1"/>
  <c r="AC40" i="7" s="1"/>
  <c r="X41" i="7"/>
  <c r="Y41" i="7" s="1"/>
  <c r="AC41" i="7" s="1"/>
  <c r="X42" i="7"/>
  <c r="Y42" i="7" s="1"/>
  <c r="AC42" i="7" s="1"/>
  <c r="X43" i="7"/>
  <c r="Y43" i="7" s="1"/>
  <c r="AC43" i="7" s="1"/>
  <c r="X44" i="7"/>
  <c r="Y44" i="7" s="1"/>
  <c r="AC44" i="7" s="1"/>
  <c r="X45" i="7"/>
  <c r="Y45" i="7" s="1"/>
  <c r="AC45" i="7" s="1"/>
  <c r="X46" i="7"/>
  <c r="Y46" i="7" s="1"/>
  <c r="AC46" i="7" s="1"/>
  <c r="X47" i="7"/>
  <c r="Y47" i="7" s="1"/>
  <c r="AC47" i="7" s="1"/>
  <c r="X48" i="7"/>
  <c r="Y48" i="7" s="1"/>
  <c r="AC48" i="7" s="1"/>
  <c r="X49" i="7"/>
  <c r="Y49" i="7" s="1"/>
  <c r="AC49" i="7" s="1"/>
  <c r="X50" i="7"/>
  <c r="Y50" i="7" s="1"/>
  <c r="AC50" i="7" s="1"/>
  <c r="X51" i="7"/>
  <c r="Y51" i="7" s="1"/>
  <c r="AC51" i="7" s="1"/>
  <c r="X52" i="7"/>
  <c r="Y52" i="7" s="1"/>
  <c r="AC52" i="7" s="1"/>
  <c r="X53" i="7"/>
  <c r="Y53" i="7" s="1"/>
  <c r="AC53" i="7" s="1"/>
  <c r="X54" i="7"/>
  <c r="Y54" i="7" s="1"/>
  <c r="AC54" i="7" s="1"/>
  <c r="X55" i="7"/>
  <c r="Y55" i="7" s="1"/>
  <c r="AC55" i="7" s="1"/>
  <c r="X56" i="7"/>
  <c r="Y56" i="7" s="1"/>
  <c r="AC56" i="7" s="1"/>
  <c r="X57" i="7"/>
  <c r="Y57" i="7" s="1"/>
  <c r="AC57" i="7" s="1"/>
  <c r="X58" i="7"/>
  <c r="Y58" i="7" s="1"/>
  <c r="AC58" i="7" s="1"/>
  <c r="X59" i="7"/>
  <c r="Y59" i="7" s="1"/>
  <c r="AC59" i="7" s="1"/>
  <c r="X60" i="7"/>
  <c r="Y60" i="7" s="1"/>
  <c r="AC60" i="7" s="1"/>
  <c r="X61" i="7"/>
  <c r="Y61" i="7" s="1"/>
  <c r="AC61" i="7" s="1"/>
  <c r="X62" i="7"/>
  <c r="Y62" i="7" s="1"/>
  <c r="AC62" i="7" s="1"/>
  <c r="X63" i="7"/>
  <c r="Y63" i="7" s="1"/>
  <c r="AC63" i="7" s="1"/>
  <c r="X64" i="7"/>
  <c r="Y64" i="7" s="1"/>
  <c r="AC64" i="7" s="1"/>
  <c r="X65" i="7"/>
  <c r="Y65" i="7" s="1"/>
  <c r="AC65" i="7" s="1"/>
  <c r="X66" i="7"/>
  <c r="Y66" i="7" s="1"/>
  <c r="AC66" i="7" s="1"/>
  <c r="X67" i="7"/>
  <c r="Y67" i="7" s="1"/>
  <c r="AC67" i="7" s="1"/>
  <c r="X68" i="7"/>
  <c r="Y68" i="7" s="1"/>
  <c r="AC68" i="7" s="1"/>
  <c r="X69" i="7"/>
  <c r="Y69" i="7" s="1"/>
  <c r="AC69" i="7" s="1"/>
  <c r="X70" i="7"/>
  <c r="Y70" i="7" s="1"/>
  <c r="AC70" i="7" s="1"/>
  <c r="X71" i="7"/>
  <c r="Y71" i="7" s="1"/>
  <c r="AC71" i="7" s="1"/>
  <c r="X72" i="7"/>
  <c r="Y72" i="7" s="1"/>
  <c r="AC72" i="7" s="1"/>
  <c r="X73" i="7"/>
  <c r="Y73" i="7" s="1"/>
  <c r="AC73" i="7" s="1"/>
  <c r="X74" i="7"/>
  <c r="Y74" i="7" s="1"/>
  <c r="AC74" i="7" s="1"/>
  <c r="X75" i="7"/>
  <c r="Y75" i="7" s="1"/>
  <c r="AC75" i="7" s="1"/>
  <c r="X76" i="7"/>
  <c r="Y76" i="7" s="1"/>
  <c r="AC76" i="7" s="1"/>
  <c r="X77" i="7"/>
  <c r="Y77" i="7" s="1"/>
  <c r="AC77" i="7" s="1"/>
  <c r="X78" i="7"/>
  <c r="Y78" i="7" s="1"/>
  <c r="AC78" i="7" s="1"/>
  <c r="X79" i="7"/>
  <c r="Y79" i="7" s="1"/>
  <c r="AC79" i="7" s="1"/>
  <c r="X80" i="7"/>
  <c r="Y80" i="7" s="1"/>
  <c r="AC80" i="7" s="1"/>
  <c r="X81" i="7"/>
  <c r="Y81" i="7" s="1"/>
  <c r="AC81" i="7" s="1"/>
  <c r="X82" i="7"/>
  <c r="Y82" i="7" s="1"/>
  <c r="AC82" i="7" s="1"/>
  <c r="X83" i="7"/>
  <c r="Y83" i="7" s="1"/>
  <c r="AC83" i="7" s="1"/>
  <c r="X84" i="7"/>
  <c r="Y84" i="7" s="1"/>
  <c r="AC84" i="7" s="1"/>
  <c r="X85" i="7"/>
  <c r="Y85" i="7" s="1"/>
  <c r="AC85" i="7" s="1"/>
  <c r="X86" i="7"/>
  <c r="Y86" i="7" s="1"/>
  <c r="AC86" i="7" s="1"/>
  <c r="X87" i="7"/>
  <c r="Y87" i="7" s="1"/>
  <c r="AC87" i="7" s="1"/>
  <c r="X88" i="7"/>
  <c r="Y88" i="7" s="1"/>
  <c r="AC88" i="7" s="1"/>
  <c r="X89" i="7"/>
  <c r="Y89" i="7" s="1"/>
  <c r="AC89" i="7" s="1"/>
  <c r="X90" i="7"/>
  <c r="Y90" i="7" s="1"/>
  <c r="AC90" i="7" s="1"/>
  <c r="X91" i="7"/>
  <c r="Y91" i="7" s="1"/>
  <c r="AC91" i="7" s="1"/>
  <c r="X92" i="7"/>
  <c r="Y92" i="7" s="1"/>
  <c r="AC92" i="7" s="1"/>
  <c r="X93" i="7"/>
  <c r="Y93" i="7" s="1"/>
  <c r="AC93" i="7" s="1"/>
  <c r="X94" i="7"/>
  <c r="Y94" i="7" s="1"/>
  <c r="AC94" i="7" s="1"/>
  <c r="X95" i="7"/>
  <c r="Y95" i="7" s="1"/>
  <c r="AC95" i="7" s="1"/>
  <c r="X96" i="7"/>
  <c r="Y96" i="7" s="1"/>
  <c r="AC96" i="7" s="1"/>
  <c r="X97" i="7"/>
  <c r="Y97" i="7" s="1"/>
  <c r="AC97" i="7" s="1"/>
  <c r="X98" i="7"/>
  <c r="Y98" i="7" s="1"/>
  <c r="AC98" i="7" s="1"/>
  <c r="X99" i="7"/>
  <c r="Y99" i="7" s="1"/>
  <c r="AC99" i="7" s="1"/>
  <c r="X100" i="7"/>
  <c r="Y100" i="7" s="1"/>
  <c r="AC100" i="7" s="1"/>
  <c r="X101" i="7"/>
  <c r="Y101" i="7" s="1"/>
  <c r="AC101" i="7" s="1"/>
  <c r="X102" i="7"/>
  <c r="Y102" i="7" s="1"/>
  <c r="AC102" i="7" s="1"/>
  <c r="X103" i="7"/>
  <c r="Y103" i="7" s="1"/>
  <c r="AC103" i="7" s="1"/>
  <c r="X104" i="7"/>
  <c r="Y104" i="7" s="1"/>
  <c r="AC104" i="7" s="1"/>
  <c r="X105" i="7"/>
  <c r="Y105" i="7" s="1"/>
  <c r="AC105" i="7" s="1"/>
  <c r="X106" i="7"/>
  <c r="Y106" i="7" s="1"/>
  <c r="AC106" i="7" s="1"/>
  <c r="X107" i="7"/>
  <c r="Y107" i="7" s="1"/>
  <c r="AC107" i="7" s="1"/>
  <c r="X108" i="7"/>
  <c r="Y108" i="7" s="1"/>
  <c r="AC108" i="7" s="1"/>
  <c r="X109" i="7"/>
  <c r="Y109" i="7" s="1"/>
  <c r="AC109" i="7" s="1"/>
  <c r="X110" i="7"/>
  <c r="Y110" i="7" s="1"/>
  <c r="AC110" i="7" s="1"/>
  <c r="X111" i="7"/>
  <c r="Y111" i="7" s="1"/>
  <c r="AC111" i="7" s="1"/>
  <c r="X112" i="7"/>
  <c r="Y112" i="7" s="1"/>
  <c r="AC112" i="7" s="1"/>
  <c r="X113" i="7"/>
  <c r="Y113" i="7" s="1"/>
  <c r="AC113" i="7" s="1"/>
  <c r="X114" i="7"/>
  <c r="Y114" i="7" s="1"/>
  <c r="AC114" i="7" s="1"/>
  <c r="X115" i="7"/>
  <c r="Y115" i="7" s="1"/>
  <c r="AC115" i="7" s="1"/>
  <c r="X116" i="7"/>
  <c r="Y116" i="7" s="1"/>
  <c r="AC116" i="7" s="1"/>
  <c r="X117" i="7"/>
  <c r="Y117" i="7" s="1"/>
  <c r="AC117" i="7" s="1"/>
  <c r="X118" i="7"/>
  <c r="Y118" i="7" s="1"/>
  <c r="AC118" i="7" s="1"/>
  <c r="X119" i="7"/>
  <c r="Y119" i="7" s="1"/>
  <c r="AC119" i="7" s="1"/>
  <c r="X120" i="7"/>
  <c r="Y120" i="7" s="1"/>
  <c r="AC120" i="7" s="1"/>
  <c r="X121" i="7"/>
  <c r="Y121" i="7" s="1"/>
  <c r="AC121" i="7" s="1"/>
  <c r="X122" i="7"/>
  <c r="Y122" i="7" s="1"/>
  <c r="AC122" i="7" s="1"/>
  <c r="X123" i="7"/>
  <c r="Y123" i="7" s="1"/>
  <c r="AC123" i="7" s="1"/>
  <c r="X124" i="7"/>
  <c r="Y124" i="7" s="1"/>
  <c r="AC124" i="7" s="1"/>
  <c r="X125" i="7"/>
  <c r="Y125" i="7" s="1"/>
  <c r="AC125" i="7" s="1"/>
  <c r="X126" i="7"/>
  <c r="Y126" i="7" s="1"/>
  <c r="AC126" i="7" s="1"/>
  <c r="X127" i="7"/>
  <c r="Y127" i="7" s="1"/>
  <c r="AC127" i="7" s="1"/>
  <c r="X128" i="7"/>
  <c r="Y128" i="7" s="1"/>
  <c r="AC128" i="7" s="1"/>
  <c r="X129" i="7"/>
  <c r="Y129" i="7" s="1"/>
  <c r="AC129" i="7" s="1"/>
  <c r="X130" i="7"/>
  <c r="Y130" i="7" s="1"/>
  <c r="AC130" i="7" s="1"/>
  <c r="X131" i="7"/>
  <c r="Y131" i="7" s="1"/>
  <c r="AC131" i="7" s="1"/>
  <c r="X132" i="7"/>
  <c r="Y132" i="7" s="1"/>
  <c r="AC132" i="7" s="1"/>
  <c r="X133" i="7"/>
  <c r="Y133" i="7" s="1"/>
  <c r="AC133" i="7" s="1"/>
  <c r="X134" i="7"/>
  <c r="Y134" i="7" s="1"/>
  <c r="AC134" i="7" s="1"/>
  <c r="X135" i="7"/>
  <c r="Y135" i="7" s="1"/>
  <c r="AC135" i="7" s="1"/>
  <c r="X136" i="7"/>
  <c r="Y136" i="7" s="1"/>
  <c r="AC136" i="7" s="1"/>
  <c r="X137" i="7"/>
  <c r="Y137" i="7" s="1"/>
  <c r="AC137" i="7" s="1"/>
  <c r="X138" i="7"/>
  <c r="Y138" i="7" s="1"/>
  <c r="AC138" i="7" s="1"/>
  <c r="X139" i="7"/>
  <c r="Y139" i="7" s="1"/>
  <c r="AC139" i="7" s="1"/>
  <c r="X140" i="7"/>
  <c r="Y140" i="7" s="1"/>
  <c r="AC140" i="7" s="1"/>
  <c r="X141" i="7"/>
  <c r="Y141" i="7" s="1"/>
  <c r="AC141" i="7" s="1"/>
  <c r="X142" i="7"/>
  <c r="Y142" i="7" s="1"/>
  <c r="AC142" i="7" s="1"/>
  <c r="X143" i="7"/>
  <c r="Y143" i="7" s="1"/>
  <c r="AC143" i="7" s="1"/>
  <c r="X144" i="7"/>
  <c r="Y144" i="7" s="1"/>
  <c r="AC144" i="7" s="1"/>
  <c r="X145" i="7"/>
  <c r="Y145" i="7" s="1"/>
  <c r="AC145" i="7" s="1"/>
  <c r="X146" i="7"/>
  <c r="Y146" i="7" s="1"/>
  <c r="AC146" i="7" s="1"/>
  <c r="X147" i="7"/>
  <c r="Y147" i="7" s="1"/>
  <c r="AC147" i="7" s="1"/>
  <c r="X148" i="7"/>
  <c r="Y148" i="7" s="1"/>
  <c r="AC148" i="7" s="1"/>
  <c r="X149" i="7"/>
  <c r="Y149" i="7" s="1"/>
  <c r="AC149" i="7" s="1"/>
  <c r="X150" i="7"/>
  <c r="Y150" i="7" s="1"/>
  <c r="AC150" i="7" s="1"/>
  <c r="X151" i="7"/>
  <c r="Y151" i="7" s="1"/>
  <c r="AC151" i="7" s="1"/>
  <c r="X152" i="7"/>
  <c r="Y152" i="7" s="1"/>
  <c r="AC152" i="7" s="1"/>
  <c r="X153" i="7"/>
  <c r="Y153" i="7" s="1"/>
  <c r="AC153" i="7" s="1"/>
  <c r="X154" i="7"/>
  <c r="Y154" i="7" s="1"/>
  <c r="AC154" i="7" s="1"/>
  <c r="X155" i="7"/>
  <c r="Y155" i="7" s="1"/>
  <c r="AC155" i="7" s="1"/>
  <c r="X156" i="7"/>
  <c r="Y156" i="7" s="1"/>
  <c r="AC156" i="7" s="1"/>
  <c r="X157" i="7"/>
  <c r="Y157" i="7" s="1"/>
  <c r="AC157" i="7" s="1"/>
  <c r="X158" i="7"/>
  <c r="Y158" i="7" s="1"/>
  <c r="AC158" i="7" s="1"/>
  <c r="X159" i="7"/>
  <c r="Y159" i="7" s="1"/>
  <c r="AC159" i="7" s="1"/>
  <c r="X160" i="7"/>
  <c r="Y160" i="7" s="1"/>
  <c r="AC160" i="7" s="1"/>
  <c r="X161" i="7"/>
  <c r="Y161" i="7" s="1"/>
  <c r="AC161" i="7" s="1"/>
  <c r="X162" i="7"/>
  <c r="Y162" i="7" s="1"/>
  <c r="AC162" i="7" s="1"/>
  <c r="X163" i="7"/>
  <c r="Y163" i="7" s="1"/>
  <c r="AC163" i="7" s="1"/>
  <c r="X164" i="7"/>
  <c r="Y164" i="7" s="1"/>
  <c r="AC164" i="7" s="1"/>
  <c r="X165" i="7"/>
  <c r="Y165" i="7" s="1"/>
  <c r="AC165" i="7" s="1"/>
  <c r="X166" i="7"/>
  <c r="Y166" i="7" s="1"/>
  <c r="AC166" i="7" s="1"/>
  <c r="X167" i="7"/>
  <c r="Y167" i="7" s="1"/>
  <c r="AC167" i="7" s="1"/>
  <c r="X168" i="7"/>
  <c r="Y168" i="7" s="1"/>
  <c r="AC168" i="7" s="1"/>
  <c r="X169" i="7"/>
  <c r="Y169" i="7" s="1"/>
  <c r="AC169" i="7" s="1"/>
  <c r="X170" i="7"/>
  <c r="Y170" i="7" s="1"/>
  <c r="AC170" i="7" s="1"/>
  <c r="X171" i="7"/>
  <c r="Y171" i="7" s="1"/>
  <c r="AC171" i="7" s="1"/>
  <c r="X172" i="7"/>
  <c r="Y172" i="7" s="1"/>
  <c r="AC172" i="7" s="1"/>
  <c r="X173" i="7"/>
  <c r="Y173" i="7" s="1"/>
  <c r="AC173" i="7" s="1"/>
  <c r="X174" i="7"/>
  <c r="Y174" i="7" s="1"/>
  <c r="AC174" i="7" s="1"/>
  <c r="X175" i="7"/>
  <c r="Y175" i="7" s="1"/>
  <c r="AC175" i="7" s="1"/>
  <c r="X176" i="7"/>
  <c r="Y176" i="7" s="1"/>
  <c r="AC176" i="7" s="1"/>
  <c r="X177" i="7"/>
  <c r="Y177" i="7" s="1"/>
  <c r="AC177" i="7" s="1"/>
  <c r="X178" i="7"/>
  <c r="Y178" i="7" s="1"/>
  <c r="AC178" i="7" s="1"/>
  <c r="X179" i="7"/>
  <c r="Y179" i="7" s="1"/>
  <c r="AC179" i="7" s="1"/>
  <c r="X180" i="7"/>
  <c r="Y180" i="7" s="1"/>
  <c r="AC180" i="7" s="1"/>
  <c r="X181" i="7"/>
  <c r="Y181" i="7" s="1"/>
  <c r="AC181" i="7" s="1"/>
  <c r="X182" i="7"/>
  <c r="Y182" i="7" s="1"/>
  <c r="AC182" i="7" s="1"/>
  <c r="X183" i="7"/>
  <c r="Y183" i="7" s="1"/>
  <c r="AC183" i="7" s="1"/>
  <c r="X184" i="7"/>
  <c r="Y184" i="7" s="1"/>
  <c r="AC184" i="7" s="1"/>
  <c r="X185" i="7"/>
  <c r="Y185" i="7" s="1"/>
  <c r="AC185" i="7" s="1"/>
  <c r="X186" i="7"/>
  <c r="Y186" i="7" s="1"/>
  <c r="AC186" i="7" s="1"/>
  <c r="X187" i="7"/>
  <c r="Y187" i="7" s="1"/>
  <c r="AC187" i="7" s="1"/>
  <c r="X188" i="7"/>
  <c r="Y188" i="7" s="1"/>
  <c r="AC188" i="7" s="1"/>
  <c r="X189" i="7"/>
  <c r="Y189" i="7" s="1"/>
  <c r="AC189" i="7" s="1"/>
  <c r="X190" i="7"/>
  <c r="Y190" i="7" s="1"/>
  <c r="AC190" i="7" s="1"/>
  <c r="X191" i="7"/>
  <c r="Y191" i="7" s="1"/>
  <c r="AC191" i="7" s="1"/>
  <c r="X192" i="7"/>
  <c r="Y192" i="7" s="1"/>
  <c r="AC192" i="7" s="1"/>
  <c r="X193" i="7"/>
  <c r="Y193" i="7" s="1"/>
  <c r="AC193" i="7" s="1"/>
  <c r="X194" i="7"/>
  <c r="Y194" i="7" s="1"/>
  <c r="AC194" i="7" s="1"/>
  <c r="X195" i="7"/>
  <c r="Y195" i="7" s="1"/>
  <c r="AC195" i="7" s="1"/>
  <c r="X196" i="7"/>
  <c r="Y196" i="7" s="1"/>
  <c r="AC196" i="7" s="1"/>
  <c r="X197" i="7"/>
  <c r="Y197" i="7" s="1"/>
  <c r="AC197" i="7" s="1"/>
  <c r="X198" i="7"/>
  <c r="Y198" i="7" s="1"/>
  <c r="AC198" i="7" s="1"/>
  <c r="X199" i="7"/>
  <c r="Y199" i="7" s="1"/>
  <c r="AC199" i="7" s="1"/>
  <c r="X200" i="7"/>
  <c r="Y200" i="7" s="1"/>
  <c r="AC200" i="7" s="1"/>
  <c r="X201" i="7"/>
  <c r="Y201" i="7" s="1"/>
  <c r="AC201" i="7" s="1"/>
  <c r="X202" i="7"/>
  <c r="Y202" i="7" s="1"/>
  <c r="AC202" i="7" s="1"/>
  <c r="X203" i="7"/>
  <c r="Y203" i="7" s="1"/>
  <c r="AC203" i="7" s="1"/>
  <c r="X204" i="7"/>
  <c r="Y204" i="7" s="1"/>
  <c r="AC204" i="7" s="1"/>
  <c r="X205" i="7"/>
  <c r="Y205" i="7" s="1"/>
  <c r="AC205" i="7" s="1"/>
  <c r="X206" i="7"/>
  <c r="Y206" i="7" s="1"/>
  <c r="AC206" i="7" s="1"/>
  <c r="X207" i="7"/>
  <c r="Y207" i="7" s="1"/>
  <c r="AC207" i="7" s="1"/>
  <c r="X208" i="7"/>
  <c r="Y208" i="7" s="1"/>
  <c r="AC208" i="7" s="1"/>
  <c r="X209" i="7"/>
  <c r="Y209" i="7" s="1"/>
  <c r="AC209" i="7" s="1"/>
  <c r="X210" i="7"/>
  <c r="Y210" i="7" s="1"/>
  <c r="AC210" i="7" s="1"/>
  <c r="X211" i="7"/>
  <c r="Y211" i="7" s="1"/>
  <c r="AC211" i="7" s="1"/>
  <c r="X212" i="7"/>
  <c r="Y212" i="7" s="1"/>
  <c r="AC212" i="7" s="1"/>
  <c r="X213" i="7"/>
  <c r="Y213" i="7" s="1"/>
  <c r="AC213" i="7" s="1"/>
  <c r="X214" i="7"/>
  <c r="Y214" i="7" s="1"/>
  <c r="AC214" i="7" s="1"/>
  <c r="X215" i="7"/>
  <c r="Y215" i="7" s="1"/>
  <c r="AC215" i="7" s="1"/>
  <c r="X216" i="7"/>
  <c r="Y216" i="7" s="1"/>
  <c r="AC216" i="7" s="1"/>
  <c r="X217" i="7"/>
  <c r="Y217" i="7" s="1"/>
  <c r="AC217" i="7" s="1"/>
  <c r="X218" i="7"/>
  <c r="Y218" i="7" s="1"/>
  <c r="AC218" i="7" s="1"/>
  <c r="X219" i="7"/>
  <c r="Y219" i="7" s="1"/>
  <c r="AC219" i="7" s="1"/>
  <c r="X220" i="7"/>
  <c r="Y220" i="7" s="1"/>
  <c r="AC220" i="7" s="1"/>
  <c r="X221" i="7"/>
  <c r="Y221" i="7" s="1"/>
  <c r="AC221" i="7" s="1"/>
  <c r="X222" i="7"/>
  <c r="Y222" i="7" s="1"/>
  <c r="AC222" i="7" s="1"/>
  <c r="X223" i="7"/>
  <c r="Y223" i="7" s="1"/>
  <c r="AC223" i="7" s="1"/>
  <c r="X224" i="7"/>
  <c r="Y224" i="7" s="1"/>
  <c r="AC224" i="7" s="1"/>
  <c r="X225" i="7"/>
  <c r="Y225" i="7" s="1"/>
  <c r="AC225" i="7" s="1"/>
  <c r="X226" i="7"/>
  <c r="Y226" i="7" s="1"/>
  <c r="AC226" i="7" s="1"/>
  <c r="X227" i="7"/>
  <c r="Y227" i="7" s="1"/>
  <c r="AC227" i="7" s="1"/>
  <c r="X228" i="7"/>
  <c r="Y228" i="7" s="1"/>
  <c r="AC228" i="7" s="1"/>
  <c r="X229" i="7"/>
  <c r="Y229" i="7" s="1"/>
  <c r="AC229" i="7" s="1"/>
  <c r="X230" i="7"/>
  <c r="Y230" i="7" s="1"/>
  <c r="AC230" i="7" s="1"/>
  <c r="X231" i="7"/>
  <c r="Y231" i="7" s="1"/>
  <c r="AC231" i="7" s="1"/>
  <c r="X232" i="7"/>
  <c r="Y232" i="7" s="1"/>
  <c r="AC232" i="7" s="1"/>
  <c r="X233" i="7"/>
  <c r="Y233" i="7" s="1"/>
  <c r="AC233" i="7" s="1"/>
  <c r="X234" i="7"/>
  <c r="Y234" i="7" s="1"/>
  <c r="AC234" i="7" s="1"/>
  <c r="X235" i="7"/>
  <c r="Y235" i="7" s="1"/>
  <c r="AC235" i="7" s="1"/>
  <c r="X236" i="7"/>
  <c r="Y236" i="7" s="1"/>
  <c r="AC236" i="7" s="1"/>
  <c r="X237" i="7"/>
  <c r="Y237" i="7" s="1"/>
  <c r="AC237" i="7" s="1"/>
  <c r="X238" i="7"/>
  <c r="Y238" i="7" s="1"/>
  <c r="AC238" i="7" s="1"/>
  <c r="X239" i="7"/>
  <c r="Y239" i="7" s="1"/>
  <c r="AC239" i="7" s="1"/>
  <c r="X240" i="7"/>
  <c r="Y240" i="7" s="1"/>
  <c r="AC240" i="7" s="1"/>
  <c r="X241" i="7"/>
  <c r="Y241" i="7" s="1"/>
  <c r="AC241" i="7" s="1"/>
  <c r="X242" i="7"/>
  <c r="Y242" i="7" s="1"/>
  <c r="AC242" i="7" s="1"/>
  <c r="X243" i="7"/>
  <c r="Y243" i="7" s="1"/>
  <c r="AC243" i="7" s="1"/>
  <c r="X244" i="7"/>
  <c r="Y244" i="7" s="1"/>
  <c r="AC244" i="7" s="1"/>
  <c r="X245" i="7"/>
  <c r="Y245" i="7" s="1"/>
  <c r="AC245" i="7" s="1"/>
  <c r="X246" i="7"/>
  <c r="Y246" i="7" s="1"/>
  <c r="AC246" i="7" s="1"/>
  <c r="X247" i="7"/>
  <c r="Y247" i="7" s="1"/>
  <c r="AC247" i="7" s="1"/>
  <c r="X248" i="7"/>
  <c r="Y248" i="7" s="1"/>
  <c r="AC248" i="7" s="1"/>
  <c r="X249" i="7"/>
  <c r="Y249" i="7" s="1"/>
  <c r="AC249" i="7" s="1"/>
  <c r="X250" i="7"/>
  <c r="Y250" i="7" s="1"/>
  <c r="AC250" i="7" s="1"/>
  <c r="X251" i="7"/>
  <c r="Y251" i="7" s="1"/>
  <c r="AC251" i="7" s="1"/>
  <c r="X252" i="7"/>
  <c r="Y252" i="7" s="1"/>
  <c r="AC252" i="7" s="1"/>
  <c r="X253" i="7"/>
  <c r="Y253" i="7" s="1"/>
  <c r="AC253" i="7" s="1"/>
  <c r="X254" i="7"/>
  <c r="Y254" i="7" s="1"/>
  <c r="AC254" i="7" s="1"/>
  <c r="X255" i="7"/>
  <c r="Y255" i="7" s="1"/>
  <c r="AC255" i="7" s="1"/>
  <c r="X256" i="7"/>
  <c r="Y256" i="7" s="1"/>
  <c r="AC256" i="7" s="1"/>
  <c r="X257" i="7"/>
  <c r="Y257" i="7" s="1"/>
  <c r="AC257" i="7" s="1"/>
  <c r="X258" i="7"/>
  <c r="Y258" i="7" s="1"/>
  <c r="AC258" i="7" s="1"/>
  <c r="X259" i="7"/>
  <c r="Y259" i="7" s="1"/>
  <c r="AC259" i="7" s="1"/>
  <c r="X260" i="7"/>
  <c r="Y260" i="7" s="1"/>
  <c r="AC260" i="7" s="1"/>
  <c r="X261" i="7"/>
  <c r="Y261" i="7" s="1"/>
  <c r="AC261" i="7" s="1"/>
  <c r="X262" i="7"/>
  <c r="Y262" i="7" s="1"/>
  <c r="AC262" i="7" s="1"/>
  <c r="X263" i="7"/>
  <c r="Y263" i="7" s="1"/>
  <c r="AC263" i="7" s="1"/>
  <c r="X264" i="7"/>
  <c r="Y264" i="7" s="1"/>
  <c r="AC264" i="7" s="1"/>
  <c r="X265" i="7"/>
  <c r="Y265" i="7" s="1"/>
  <c r="AC265" i="7" s="1"/>
  <c r="X266" i="7"/>
  <c r="Y266" i="7" s="1"/>
  <c r="AC266" i="7" s="1"/>
  <c r="X267" i="7"/>
  <c r="Y267" i="7" s="1"/>
  <c r="AC267" i="7" s="1"/>
  <c r="X268" i="7"/>
  <c r="Y268" i="7" s="1"/>
  <c r="AC268" i="7" s="1"/>
  <c r="X269" i="7"/>
  <c r="Y269" i="7" s="1"/>
  <c r="AC269" i="7" s="1"/>
  <c r="X270" i="7"/>
  <c r="Y270" i="7" s="1"/>
  <c r="AC270" i="7" s="1"/>
  <c r="X271" i="7"/>
  <c r="Y271" i="7" s="1"/>
  <c r="AC271" i="7" s="1"/>
  <c r="X272" i="7"/>
  <c r="Y272" i="7" s="1"/>
  <c r="AC272" i="7" s="1"/>
  <c r="X273" i="7"/>
  <c r="Y273" i="7" s="1"/>
  <c r="AC273" i="7" s="1"/>
  <c r="X274" i="7"/>
  <c r="Y274" i="7" s="1"/>
  <c r="AC274" i="7" s="1"/>
  <c r="X275" i="7"/>
  <c r="Y275" i="7" s="1"/>
  <c r="AC275" i="7" s="1"/>
  <c r="X276" i="7"/>
  <c r="Y276" i="7" s="1"/>
  <c r="AC276" i="7" s="1"/>
  <c r="X277" i="7"/>
  <c r="Y277" i="7" s="1"/>
  <c r="AC277" i="7" s="1"/>
  <c r="X278" i="7"/>
  <c r="Y278" i="7" s="1"/>
  <c r="AC278" i="7" s="1"/>
  <c r="X279" i="7"/>
  <c r="Y279" i="7" s="1"/>
  <c r="AC279" i="7" s="1"/>
  <c r="X280" i="7"/>
  <c r="Y280" i="7" s="1"/>
  <c r="AC280" i="7" s="1"/>
  <c r="X281" i="7"/>
  <c r="Y281" i="7" s="1"/>
  <c r="AC281" i="7" s="1"/>
  <c r="X282" i="7"/>
  <c r="Y282" i="7" s="1"/>
  <c r="AC282" i="7" s="1"/>
  <c r="X283" i="7"/>
  <c r="Y283" i="7" s="1"/>
  <c r="AC283" i="7" s="1"/>
  <c r="X284" i="7"/>
  <c r="Y284" i="7" s="1"/>
  <c r="AC284" i="7" s="1"/>
  <c r="X285" i="7"/>
  <c r="Y285" i="7" s="1"/>
  <c r="AC285" i="7" s="1"/>
  <c r="X286" i="7"/>
  <c r="Y286" i="7" s="1"/>
  <c r="AC286" i="7" s="1"/>
  <c r="X287" i="7"/>
  <c r="Y287" i="7" s="1"/>
  <c r="AC287" i="7" s="1"/>
  <c r="X288" i="7"/>
  <c r="Y288" i="7" s="1"/>
  <c r="AC288" i="7" s="1"/>
  <c r="X289" i="7"/>
  <c r="Y289" i="7" s="1"/>
  <c r="AC289" i="7" s="1"/>
  <c r="X290" i="7"/>
  <c r="Y290" i="7" s="1"/>
  <c r="AC290" i="7" s="1"/>
  <c r="X291" i="7"/>
  <c r="Y291" i="7" s="1"/>
  <c r="AC291" i="7" s="1"/>
  <c r="X292" i="7"/>
  <c r="Y292" i="7" s="1"/>
  <c r="AC292" i="7" s="1"/>
  <c r="X293" i="7"/>
  <c r="Y293" i="7" s="1"/>
  <c r="AC293" i="7" s="1"/>
  <c r="X294" i="7"/>
  <c r="Y294" i="7" s="1"/>
  <c r="AC294" i="7" s="1"/>
  <c r="X295" i="7"/>
  <c r="Y295" i="7" s="1"/>
  <c r="AC295" i="7" s="1"/>
  <c r="X296" i="7"/>
  <c r="Y296" i="7" s="1"/>
  <c r="AC296" i="7" s="1"/>
  <c r="X297" i="7"/>
  <c r="Y297" i="7" s="1"/>
  <c r="AC297" i="7" s="1"/>
  <c r="X298" i="7"/>
  <c r="Y298" i="7" s="1"/>
  <c r="AC298" i="7" s="1"/>
  <c r="X299" i="7"/>
  <c r="Y299" i="7" s="1"/>
  <c r="AC299" i="7" s="1"/>
  <c r="X300" i="7"/>
  <c r="Y300" i="7" s="1"/>
  <c r="AC300" i="7" s="1"/>
  <c r="X301" i="7"/>
  <c r="Y301" i="7" s="1"/>
  <c r="AC301" i="7" s="1"/>
  <c r="X302" i="7"/>
  <c r="Y302" i="7" s="1"/>
  <c r="AC302" i="7" s="1"/>
  <c r="X303" i="7"/>
  <c r="Y303" i="7" s="1"/>
  <c r="AC303" i="7" s="1"/>
  <c r="X304" i="7"/>
  <c r="Y304" i="7" s="1"/>
  <c r="AC304" i="7" s="1"/>
  <c r="X305" i="7"/>
  <c r="Y305" i="7" s="1"/>
  <c r="AC305" i="7" s="1"/>
  <c r="X306" i="7"/>
  <c r="Y306" i="7" s="1"/>
  <c r="AC306" i="7" s="1"/>
  <c r="X307" i="7"/>
  <c r="Y307" i="7" s="1"/>
  <c r="AC307" i="7" s="1"/>
  <c r="X308" i="7"/>
  <c r="Y308" i="7" s="1"/>
  <c r="AC308" i="7" s="1"/>
  <c r="X309" i="7"/>
  <c r="Y309" i="7" s="1"/>
  <c r="AC309" i="7" s="1"/>
  <c r="X310" i="7"/>
  <c r="Y310" i="7" s="1"/>
  <c r="AC310" i="7" s="1"/>
  <c r="X311" i="7"/>
  <c r="Y311" i="7" s="1"/>
  <c r="AC311" i="7" s="1"/>
  <c r="X312" i="7"/>
  <c r="Y312" i="7" s="1"/>
  <c r="AC312" i="7" s="1"/>
  <c r="X313" i="7"/>
  <c r="Y313" i="7" s="1"/>
  <c r="AC313" i="7" s="1"/>
  <c r="X314" i="7"/>
  <c r="Y314" i="7" s="1"/>
  <c r="AC314" i="7" s="1"/>
  <c r="X315" i="7"/>
  <c r="Y315" i="7" s="1"/>
  <c r="AC315" i="7" s="1"/>
  <c r="X316" i="7"/>
  <c r="Y316" i="7" s="1"/>
  <c r="AC316" i="7" s="1"/>
  <c r="X317" i="7"/>
  <c r="Y317" i="7" s="1"/>
  <c r="AC317" i="7" s="1"/>
  <c r="X318" i="7"/>
  <c r="Y318" i="7" s="1"/>
  <c r="AC318" i="7" s="1"/>
  <c r="X319" i="7"/>
  <c r="Y319" i="7" s="1"/>
  <c r="AC319" i="7" s="1"/>
  <c r="X320" i="7"/>
  <c r="Y320" i="7" s="1"/>
  <c r="AC320" i="7" s="1"/>
  <c r="X321" i="7"/>
  <c r="Y321" i="7" s="1"/>
  <c r="AC321" i="7" s="1"/>
  <c r="X322" i="7"/>
  <c r="Y322" i="7" s="1"/>
  <c r="AC322" i="7" s="1"/>
  <c r="X323" i="7"/>
  <c r="Y323" i="7" s="1"/>
  <c r="AC323" i="7" s="1"/>
  <c r="X324" i="7"/>
  <c r="Y324" i="7" s="1"/>
  <c r="AC324" i="7" s="1"/>
  <c r="X325" i="7"/>
  <c r="Y325" i="7" s="1"/>
  <c r="AC325" i="7" s="1"/>
  <c r="X326" i="7"/>
  <c r="Y326" i="7" s="1"/>
  <c r="AC326" i="7" s="1"/>
  <c r="X327" i="7"/>
  <c r="Y327" i="7" s="1"/>
  <c r="AC327" i="7" s="1"/>
  <c r="X328" i="7"/>
  <c r="Y328" i="7" s="1"/>
  <c r="AC328" i="7" s="1"/>
  <c r="X329" i="7"/>
  <c r="Y329" i="7" s="1"/>
  <c r="AC329" i="7" s="1"/>
  <c r="X330" i="7"/>
  <c r="Y330" i="7" s="1"/>
  <c r="AC330" i="7" s="1"/>
  <c r="X331" i="7"/>
  <c r="Y331" i="7" s="1"/>
  <c r="AC331" i="7" s="1"/>
  <c r="X332" i="7"/>
  <c r="Y332" i="7" s="1"/>
  <c r="AC332" i="7" s="1"/>
  <c r="X333" i="7"/>
  <c r="Y333" i="7" s="1"/>
  <c r="AC333" i="7" s="1"/>
  <c r="X334" i="7"/>
  <c r="Y334" i="7" s="1"/>
  <c r="AC334" i="7" s="1"/>
  <c r="X335" i="7"/>
  <c r="Y335" i="7" s="1"/>
  <c r="AC335" i="7" s="1"/>
  <c r="X336" i="7"/>
  <c r="Y336" i="7" s="1"/>
  <c r="AC336" i="7" s="1"/>
  <c r="X337" i="7"/>
  <c r="Y337" i="7" s="1"/>
  <c r="AC337" i="7" s="1"/>
  <c r="X338" i="7"/>
  <c r="Y338" i="7" s="1"/>
  <c r="AC338" i="7" s="1"/>
  <c r="X339" i="7"/>
  <c r="Y339" i="7" s="1"/>
  <c r="AC339" i="7" s="1"/>
  <c r="X340" i="7"/>
  <c r="Y340" i="7" s="1"/>
  <c r="AC340" i="7" s="1"/>
  <c r="X341" i="7"/>
  <c r="Y341" i="7" s="1"/>
  <c r="AC341" i="7" s="1"/>
  <c r="X342" i="7"/>
  <c r="Y342" i="7" s="1"/>
  <c r="AC342" i="7" s="1"/>
  <c r="X343" i="7"/>
  <c r="Y343" i="7" s="1"/>
  <c r="AC343" i="7" s="1"/>
  <c r="X344" i="7"/>
  <c r="Y344" i="7" s="1"/>
  <c r="AC344" i="7" s="1"/>
  <c r="X345" i="7"/>
  <c r="Y345" i="7" s="1"/>
  <c r="AC345" i="7" s="1"/>
  <c r="X346" i="7"/>
  <c r="Y346" i="7" s="1"/>
  <c r="AC346" i="7" s="1"/>
  <c r="X347" i="7"/>
  <c r="Y347" i="7" s="1"/>
  <c r="AC347" i="7" s="1"/>
  <c r="X348" i="7"/>
  <c r="Y348" i="7" s="1"/>
  <c r="AC348" i="7" s="1"/>
  <c r="X349" i="7"/>
  <c r="Y349" i="7" s="1"/>
  <c r="AC349" i="7" s="1"/>
  <c r="X350" i="7"/>
  <c r="Y350" i="7" s="1"/>
  <c r="AC350" i="7" s="1"/>
  <c r="X351" i="7"/>
  <c r="Y351" i="7" s="1"/>
  <c r="AC351" i="7" s="1"/>
  <c r="X352" i="7"/>
  <c r="Y352" i="7" s="1"/>
  <c r="AC352" i="7" s="1"/>
  <c r="X353" i="7"/>
  <c r="Y353" i="7" s="1"/>
  <c r="AC353" i="7" s="1"/>
  <c r="X354" i="7"/>
  <c r="Y354" i="7" s="1"/>
  <c r="AC354" i="7" s="1"/>
  <c r="X355" i="7"/>
  <c r="Y355" i="7" s="1"/>
  <c r="AC355" i="7" s="1"/>
  <c r="X356" i="7"/>
  <c r="Y356" i="7" s="1"/>
  <c r="AC356" i="7" s="1"/>
  <c r="X357" i="7"/>
  <c r="Y357" i="7" s="1"/>
  <c r="AC357" i="7" s="1"/>
  <c r="X358" i="7"/>
  <c r="Y358" i="7" s="1"/>
  <c r="AC358" i="7" s="1"/>
  <c r="X359" i="7"/>
  <c r="Y359" i="7" s="1"/>
  <c r="AC359" i="7" s="1"/>
  <c r="X360" i="7"/>
  <c r="Y360" i="7" s="1"/>
  <c r="AC360" i="7" s="1"/>
  <c r="X361" i="7"/>
  <c r="Y361" i="7" s="1"/>
  <c r="AC361" i="7" s="1"/>
  <c r="X362" i="7"/>
  <c r="Y362" i="7" s="1"/>
  <c r="AC362" i="7" s="1"/>
  <c r="X363" i="7"/>
  <c r="Y363" i="7" s="1"/>
  <c r="AC363" i="7" s="1"/>
  <c r="X364" i="7"/>
  <c r="Y364" i="7" s="1"/>
  <c r="AC364" i="7" s="1"/>
  <c r="X365" i="7"/>
  <c r="Y365" i="7" s="1"/>
  <c r="AC365" i="7" s="1"/>
  <c r="X366" i="7"/>
  <c r="Y366" i="7" s="1"/>
  <c r="AC366" i="7" s="1"/>
  <c r="X367" i="7"/>
  <c r="Y367" i="7" s="1"/>
  <c r="AC367" i="7" s="1"/>
  <c r="X368" i="7"/>
  <c r="Y368" i="7" s="1"/>
  <c r="AC368" i="7" s="1"/>
  <c r="X369" i="7"/>
  <c r="Y369" i="7" s="1"/>
  <c r="AC369" i="7" s="1"/>
  <c r="X370" i="7"/>
  <c r="Y370" i="7" s="1"/>
  <c r="AC370" i="7" s="1"/>
  <c r="X371" i="7"/>
  <c r="Y371" i="7" s="1"/>
  <c r="AC371" i="7" s="1"/>
  <c r="X372" i="7"/>
  <c r="Y372" i="7" s="1"/>
  <c r="AC372" i="7" s="1"/>
  <c r="X373" i="7"/>
  <c r="Y373" i="7" s="1"/>
  <c r="AC373" i="7" s="1"/>
  <c r="X374" i="7"/>
  <c r="Y374" i="7" s="1"/>
  <c r="AC374" i="7" s="1"/>
  <c r="X375" i="7"/>
  <c r="Y375" i="7" s="1"/>
  <c r="AC375" i="7" s="1"/>
  <c r="X376" i="7"/>
  <c r="Y376" i="7" s="1"/>
  <c r="AC376" i="7" s="1"/>
  <c r="X377" i="7"/>
  <c r="Y377" i="7" s="1"/>
  <c r="AC377" i="7" s="1"/>
  <c r="X378" i="7"/>
  <c r="Y378" i="7" s="1"/>
  <c r="AC378" i="7" s="1"/>
  <c r="X379" i="7"/>
  <c r="Y379" i="7" s="1"/>
  <c r="AC379" i="7" s="1"/>
  <c r="X380" i="7"/>
  <c r="Y380" i="7" s="1"/>
  <c r="AC380" i="7" s="1"/>
  <c r="X381" i="7"/>
  <c r="Y381" i="7" s="1"/>
  <c r="AC381" i="7" s="1"/>
  <c r="X382" i="7"/>
  <c r="Y382" i="7" s="1"/>
  <c r="AC382" i="7" s="1"/>
  <c r="X383" i="7"/>
  <c r="Y383" i="7" s="1"/>
  <c r="AC383" i="7" s="1"/>
  <c r="X384" i="7"/>
  <c r="Y384" i="7" s="1"/>
  <c r="AC384" i="7" s="1"/>
  <c r="X385" i="7"/>
  <c r="Y385" i="7" s="1"/>
  <c r="AC385" i="7" s="1"/>
  <c r="X386" i="7"/>
  <c r="Y386" i="7" s="1"/>
  <c r="AC386" i="7" s="1"/>
  <c r="X387" i="7"/>
  <c r="Y387" i="7" s="1"/>
  <c r="AC387" i="7" s="1"/>
  <c r="X388" i="7"/>
  <c r="Y388" i="7" s="1"/>
  <c r="AC388" i="7" s="1"/>
  <c r="X389" i="7"/>
  <c r="Y389" i="7" s="1"/>
  <c r="AC389" i="7" s="1"/>
  <c r="X390" i="7"/>
  <c r="Y390" i="7" s="1"/>
  <c r="AC390" i="7" s="1"/>
  <c r="X391" i="7"/>
  <c r="Y391" i="7" s="1"/>
  <c r="AC391" i="7" s="1"/>
  <c r="X392" i="7"/>
  <c r="Y392" i="7" s="1"/>
  <c r="AC392" i="7" s="1"/>
  <c r="X393" i="7"/>
  <c r="Y393" i="7" s="1"/>
  <c r="AC393" i="7" s="1"/>
  <c r="X394" i="7"/>
  <c r="Y394" i="7" s="1"/>
  <c r="AC394" i="7" s="1"/>
  <c r="X395" i="7"/>
  <c r="Y395" i="7" s="1"/>
  <c r="AC395" i="7" s="1"/>
  <c r="X396" i="7"/>
  <c r="Y396" i="7" s="1"/>
  <c r="AC396" i="7" s="1"/>
  <c r="X397" i="7"/>
  <c r="Y397" i="7" s="1"/>
  <c r="AC397" i="7" s="1"/>
  <c r="X398" i="7"/>
  <c r="Y398" i="7" s="1"/>
  <c r="AC398" i="7" s="1"/>
  <c r="X399" i="7"/>
  <c r="Y399" i="7" s="1"/>
  <c r="AC399" i="7" s="1"/>
  <c r="X400" i="7"/>
  <c r="Y400" i="7" s="1"/>
  <c r="AC400" i="7" s="1"/>
  <c r="X401" i="7"/>
  <c r="Y401" i="7" s="1"/>
  <c r="AC401" i="7" s="1"/>
  <c r="X402" i="7"/>
  <c r="Y402" i="7" s="1"/>
  <c r="AC402" i="7" s="1"/>
  <c r="X403" i="7"/>
  <c r="Y403" i="7" s="1"/>
  <c r="AC403" i="7" s="1"/>
  <c r="X404" i="7"/>
  <c r="Y404" i="7" s="1"/>
  <c r="AC404" i="7" s="1"/>
  <c r="X405" i="7"/>
  <c r="Y405" i="7" s="1"/>
  <c r="AC405" i="7" s="1"/>
  <c r="X406" i="7"/>
  <c r="Y406" i="7" s="1"/>
  <c r="AC406" i="7" s="1"/>
  <c r="X407" i="7"/>
  <c r="Y407" i="7" s="1"/>
  <c r="AC407" i="7" s="1"/>
  <c r="X408" i="7"/>
  <c r="Y408" i="7" s="1"/>
  <c r="AC408" i="7" s="1"/>
  <c r="X409" i="7"/>
  <c r="Y409" i="7" s="1"/>
  <c r="AC409" i="7" s="1"/>
  <c r="X410" i="7"/>
  <c r="Y410" i="7" s="1"/>
  <c r="AC410" i="7" s="1"/>
  <c r="X411" i="7"/>
  <c r="Y411" i="7" s="1"/>
  <c r="AC411" i="7" s="1"/>
  <c r="X412" i="7"/>
  <c r="Y412" i="7" s="1"/>
  <c r="AC412" i="7" s="1"/>
  <c r="X413" i="7"/>
  <c r="Y413" i="7" s="1"/>
  <c r="AC413" i="7" s="1"/>
  <c r="X414" i="7"/>
  <c r="Y414" i="7" s="1"/>
  <c r="AC414" i="7" s="1"/>
  <c r="X415" i="7"/>
  <c r="Y415" i="7" s="1"/>
  <c r="AC415" i="7" s="1"/>
  <c r="X416" i="7"/>
  <c r="Y416" i="7" s="1"/>
  <c r="AC416" i="7" s="1"/>
  <c r="X417" i="7"/>
  <c r="Y417" i="7" s="1"/>
  <c r="AC417" i="7" s="1"/>
  <c r="X418" i="7"/>
  <c r="Y418" i="7" s="1"/>
  <c r="AC418" i="7" s="1"/>
  <c r="X419" i="7"/>
  <c r="Y419" i="7" s="1"/>
  <c r="AC419" i="7" s="1"/>
  <c r="X420" i="7"/>
  <c r="Y420" i="7" s="1"/>
  <c r="AC420" i="7" s="1"/>
  <c r="X421" i="7"/>
  <c r="Y421" i="7" s="1"/>
  <c r="AC421" i="7" s="1"/>
  <c r="X422" i="7"/>
  <c r="Y422" i="7" s="1"/>
  <c r="AC422" i="7" s="1"/>
  <c r="X423" i="7"/>
  <c r="Y423" i="7" s="1"/>
  <c r="AC423" i="7" s="1"/>
  <c r="X424" i="7"/>
  <c r="Y424" i="7" s="1"/>
  <c r="AC424" i="7" s="1"/>
  <c r="X425" i="7"/>
  <c r="Y425" i="7" s="1"/>
  <c r="AC425" i="7" s="1"/>
  <c r="X426" i="7"/>
  <c r="Y426" i="7" s="1"/>
  <c r="AC426" i="7" s="1"/>
  <c r="X427" i="7"/>
  <c r="Y427" i="7" s="1"/>
  <c r="AC427" i="7" s="1"/>
  <c r="X428" i="7"/>
  <c r="Y428" i="7" s="1"/>
  <c r="AC428" i="7" s="1"/>
  <c r="X429" i="7"/>
  <c r="Y429" i="7" s="1"/>
  <c r="AC429" i="7" s="1"/>
  <c r="X430" i="7"/>
  <c r="Y430" i="7" s="1"/>
  <c r="AC430" i="7" s="1"/>
  <c r="X431" i="7"/>
  <c r="Y431" i="7" s="1"/>
  <c r="AC431" i="7" s="1"/>
  <c r="X432" i="7"/>
  <c r="Y432" i="7" s="1"/>
  <c r="AC432" i="7" s="1"/>
  <c r="X433" i="7"/>
  <c r="Y433" i="7" s="1"/>
  <c r="AC433" i="7" s="1"/>
  <c r="X434" i="7"/>
  <c r="Y434" i="7" s="1"/>
  <c r="AC434" i="7" s="1"/>
  <c r="X435" i="7"/>
  <c r="Y435" i="7" s="1"/>
  <c r="AC435" i="7" s="1"/>
  <c r="X436" i="7"/>
  <c r="Y436" i="7" s="1"/>
  <c r="AC436" i="7" s="1"/>
  <c r="X437" i="7"/>
  <c r="Y437" i="7" s="1"/>
  <c r="AC437" i="7" s="1"/>
  <c r="X438" i="7"/>
  <c r="Y438" i="7" s="1"/>
  <c r="AC438" i="7" s="1"/>
  <c r="X439" i="7"/>
  <c r="Y439" i="7" s="1"/>
  <c r="AC439" i="7" s="1"/>
  <c r="X440" i="7"/>
  <c r="Y440" i="7" s="1"/>
  <c r="AC440" i="7" s="1"/>
  <c r="X441" i="7"/>
  <c r="Y441" i="7" s="1"/>
  <c r="AC441" i="7" s="1"/>
  <c r="X442" i="7"/>
  <c r="Y442" i="7" s="1"/>
  <c r="AC442" i="7" s="1"/>
  <c r="X443" i="7"/>
  <c r="Y443" i="7" s="1"/>
  <c r="AC443" i="7" s="1"/>
  <c r="X444" i="7"/>
  <c r="Y444" i="7" s="1"/>
  <c r="AC444" i="7" s="1"/>
  <c r="X445" i="7"/>
  <c r="Y445" i="7" s="1"/>
  <c r="AC445" i="7" s="1"/>
  <c r="X446" i="7"/>
  <c r="Y446" i="7" s="1"/>
  <c r="AC446" i="7" s="1"/>
  <c r="X447" i="7"/>
  <c r="Y447" i="7" s="1"/>
  <c r="AC447" i="7" s="1"/>
  <c r="X448" i="7"/>
  <c r="Y448" i="7" s="1"/>
  <c r="AC448" i="7" s="1"/>
  <c r="X449" i="7"/>
  <c r="Y449" i="7" s="1"/>
  <c r="AC449" i="7" s="1"/>
  <c r="X450" i="7"/>
  <c r="Y450" i="7" s="1"/>
  <c r="AC450" i="7" s="1"/>
  <c r="X451" i="7"/>
  <c r="Y451" i="7" s="1"/>
  <c r="AC451" i="7" s="1"/>
  <c r="X452" i="7"/>
  <c r="Y452" i="7" s="1"/>
  <c r="AC452" i="7" s="1"/>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03" i="7"/>
  <c r="Z304" i="7"/>
  <c r="Z305" i="7"/>
  <c r="Z306" i="7"/>
  <c r="Z307" i="7"/>
  <c r="Z308" i="7"/>
  <c r="Z309" i="7"/>
  <c r="Z310" i="7"/>
  <c r="Z311" i="7"/>
  <c r="Z312" i="7"/>
  <c r="Z313" i="7"/>
  <c r="Z314" i="7"/>
  <c r="Z315" i="7"/>
  <c r="Z316" i="7"/>
  <c r="Z317" i="7"/>
  <c r="Z318" i="7"/>
  <c r="Z319" i="7"/>
  <c r="Z320" i="7"/>
  <c r="Z321" i="7"/>
  <c r="Z322" i="7"/>
  <c r="Z323" i="7"/>
  <c r="Z324" i="7"/>
  <c r="Z325" i="7"/>
  <c r="Z326" i="7"/>
  <c r="Z327" i="7"/>
  <c r="Z328" i="7"/>
  <c r="Z329" i="7"/>
  <c r="Z330" i="7"/>
  <c r="Z331" i="7"/>
  <c r="Z332" i="7"/>
  <c r="Z333" i="7"/>
  <c r="Z334" i="7"/>
  <c r="Z335" i="7"/>
  <c r="Z336" i="7"/>
  <c r="Z337" i="7"/>
  <c r="Z338" i="7"/>
  <c r="Z339" i="7"/>
  <c r="Z340" i="7"/>
  <c r="Z341" i="7"/>
  <c r="Z342" i="7"/>
  <c r="Z343" i="7"/>
  <c r="Z344" i="7"/>
  <c r="Z345" i="7"/>
  <c r="Z346" i="7"/>
  <c r="Z347" i="7"/>
  <c r="Z348" i="7"/>
  <c r="Z349" i="7"/>
  <c r="Z350" i="7"/>
  <c r="Z351" i="7"/>
  <c r="Z352" i="7"/>
  <c r="Z353" i="7"/>
  <c r="Z354" i="7"/>
  <c r="Z355" i="7"/>
  <c r="Z356" i="7"/>
  <c r="Z357" i="7"/>
  <c r="Z358" i="7"/>
  <c r="Z359" i="7"/>
  <c r="Z360" i="7"/>
  <c r="Z361" i="7"/>
  <c r="Z362" i="7"/>
  <c r="Z363" i="7"/>
  <c r="Z364" i="7"/>
  <c r="Z365" i="7"/>
  <c r="Z366" i="7"/>
  <c r="Z367" i="7"/>
  <c r="Z368" i="7"/>
  <c r="Z369" i="7"/>
  <c r="Z370" i="7"/>
  <c r="Z371" i="7"/>
  <c r="Z372" i="7"/>
  <c r="Z373" i="7"/>
  <c r="Z374" i="7"/>
  <c r="Z375" i="7"/>
  <c r="Z376" i="7"/>
  <c r="Z377" i="7"/>
  <c r="Z378" i="7"/>
  <c r="Z379" i="7"/>
  <c r="Z380" i="7"/>
  <c r="Z381" i="7"/>
  <c r="Z382" i="7"/>
  <c r="Z383" i="7"/>
  <c r="Z384" i="7"/>
  <c r="Z385" i="7"/>
  <c r="Z386" i="7"/>
  <c r="Z387" i="7"/>
  <c r="Z388" i="7"/>
  <c r="Z389" i="7"/>
  <c r="Z390" i="7"/>
  <c r="Z391" i="7"/>
  <c r="Z392" i="7"/>
  <c r="Z393" i="7"/>
  <c r="Z394" i="7"/>
  <c r="Z395" i="7"/>
  <c r="Z396" i="7"/>
  <c r="Z397" i="7"/>
  <c r="Z398" i="7"/>
  <c r="Z399" i="7"/>
  <c r="Z400" i="7"/>
  <c r="Z401" i="7"/>
  <c r="Z402" i="7"/>
  <c r="Z403" i="7"/>
  <c r="Z404" i="7"/>
  <c r="Z405" i="7"/>
  <c r="Z406" i="7"/>
  <c r="Z407" i="7"/>
  <c r="Z408" i="7"/>
  <c r="Z409" i="7"/>
  <c r="Z410" i="7"/>
  <c r="Z411" i="7"/>
  <c r="Z412" i="7"/>
  <c r="Z413" i="7"/>
  <c r="Z414" i="7"/>
  <c r="Z415" i="7"/>
  <c r="Z416" i="7"/>
  <c r="Z417" i="7"/>
  <c r="Z418" i="7"/>
  <c r="Z419" i="7"/>
  <c r="Z420" i="7"/>
  <c r="Z421" i="7"/>
  <c r="Z422" i="7"/>
  <c r="Z423" i="7"/>
  <c r="Z424" i="7"/>
  <c r="Z425" i="7"/>
  <c r="Z426" i="7"/>
  <c r="Z427" i="7"/>
  <c r="Z428" i="7"/>
  <c r="Z429" i="7"/>
  <c r="Z430" i="7"/>
  <c r="Z431" i="7"/>
  <c r="Z432" i="7"/>
  <c r="Z433" i="7"/>
  <c r="Z434" i="7"/>
  <c r="Z435" i="7"/>
  <c r="Z436" i="7"/>
  <c r="Z437" i="7"/>
  <c r="Z438" i="7"/>
  <c r="Z439" i="7"/>
  <c r="Z440" i="7"/>
  <c r="Z441" i="7"/>
  <c r="Z442" i="7"/>
  <c r="Z443" i="7"/>
  <c r="Z444" i="7"/>
  <c r="Z445" i="7"/>
  <c r="Z446" i="7"/>
  <c r="Z447" i="7"/>
  <c r="Z448" i="7"/>
  <c r="Z449" i="7"/>
  <c r="Z450" i="7"/>
  <c r="Z451" i="7"/>
  <c r="Z452"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75"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3" i="9"/>
</calcChain>
</file>

<file path=xl/sharedStrings.xml><?xml version="1.0" encoding="utf-8"?>
<sst xmlns="http://schemas.openxmlformats.org/spreadsheetml/2006/main" count="8506" uniqueCount="3207">
  <si>
    <t>要求事項一覧</t>
    <rPh sb="0" eb="2">
      <t>ヨウキュウ</t>
    </rPh>
    <rPh sb="2" eb="4">
      <t>ジコウ</t>
    </rPh>
    <rPh sb="4" eb="6">
      <t>イチラン</t>
    </rPh>
    <phoneticPr fontId="6"/>
  </si>
  <si>
    <t>※１行には１要件としてください。複数要件がある場合は行を分けて記載お願いいたします。</t>
    <rPh sb="2" eb="3">
      <t>ギョウ</t>
    </rPh>
    <rPh sb="6" eb="8">
      <t>ヨウケン</t>
    </rPh>
    <rPh sb="16" eb="18">
      <t>フクスウ</t>
    </rPh>
    <rPh sb="18" eb="20">
      <t>ヨウケン</t>
    </rPh>
    <rPh sb="23" eb="25">
      <t>バアイ</t>
    </rPh>
    <rPh sb="26" eb="27">
      <t>ギョウ</t>
    </rPh>
    <rPh sb="28" eb="29">
      <t>ワ</t>
    </rPh>
    <rPh sb="31" eb="33">
      <t>キサイ</t>
    </rPh>
    <rPh sb="34" eb="35">
      <t>ネガ</t>
    </rPh>
    <phoneticPr fontId="6"/>
  </si>
  <si>
    <t>※追加</t>
    <rPh sb="1" eb="3">
      <t>ツイカ</t>
    </rPh>
    <phoneticPr fontId="6"/>
  </si>
  <si>
    <t>要求事項入力欄</t>
    <rPh sb="0" eb="2">
      <t>ヨウキュウ</t>
    </rPh>
    <rPh sb="2" eb="4">
      <t>ジコウ</t>
    </rPh>
    <rPh sb="4" eb="6">
      <t>ニュウリョク</t>
    </rPh>
    <rPh sb="6" eb="7">
      <t>ラン</t>
    </rPh>
    <phoneticPr fontId="6"/>
  </si>
  <si>
    <t>要求事項詳細内容確認</t>
    <rPh sb="0" eb="4">
      <t>ヨウキュウジコウ</t>
    </rPh>
    <rPh sb="4" eb="6">
      <t>ショウサイ</t>
    </rPh>
    <rPh sb="6" eb="8">
      <t>ナイヨウ</t>
    </rPh>
    <rPh sb="8" eb="10">
      <t>カクニン</t>
    </rPh>
    <phoneticPr fontId="6"/>
  </si>
  <si>
    <t>要求事項内容整理</t>
    <phoneticPr fontId="6"/>
  </si>
  <si>
    <t>確認欄</t>
    <rPh sb="0" eb="2">
      <t>カクニン</t>
    </rPh>
    <rPh sb="2" eb="3">
      <t>ラン</t>
    </rPh>
    <phoneticPr fontId="6"/>
  </si>
  <si>
    <t>PMO記入欄</t>
    <rPh sb="3" eb="6">
      <t>キニュウラン</t>
    </rPh>
    <phoneticPr fontId="6"/>
  </si>
  <si>
    <t>No.</t>
  </si>
  <si>
    <t>要求事項</t>
    <rPh sb="0" eb="2">
      <t>ヨウキュウジコウ000</t>
    </rPh>
    <phoneticPr fontId="6"/>
  </si>
  <si>
    <t>現行業務</t>
    <rPh sb="0" eb="2">
      <t>ゲンコウギョウム000</t>
    </rPh>
    <phoneticPr fontId="6"/>
  </si>
  <si>
    <t>業務要件回答表からの事前回答案_v1.0.xlsxより</t>
    <rPh sb="0" eb="6">
      <t>ギョウムヨウケンカイトウヒョウ000</t>
    </rPh>
    <phoneticPr fontId="6"/>
  </si>
  <si>
    <t>要求者</t>
    <rPh sb="0" eb="2">
      <t>ヨウキュウシャ000</t>
    </rPh>
    <phoneticPr fontId="6"/>
  </si>
  <si>
    <t>優先度</t>
    <rPh sb="0" eb="3">
      <t>ユウセンド000</t>
    </rPh>
    <phoneticPr fontId="6"/>
  </si>
  <si>
    <t>対象部門</t>
    <rPh sb="0" eb="2">
      <t>タイショウブモン000</t>
    </rPh>
    <phoneticPr fontId="6"/>
  </si>
  <si>
    <t>確認先</t>
    <rPh sb="0" eb="3">
      <t>カクニンサキ000</t>
    </rPh>
    <phoneticPr fontId="6"/>
  </si>
  <si>
    <t>確認事項</t>
    <rPh sb="0" eb="2">
      <t>カクニンジコウ000</t>
    </rPh>
    <phoneticPr fontId="6"/>
  </si>
  <si>
    <t>回答</t>
    <rPh sb="0" eb="2">
      <t>カイトウ000</t>
    </rPh>
    <phoneticPr fontId="6"/>
  </si>
  <si>
    <t>関連Req</t>
    <rPh sb="0" eb="2">
      <t>カンレン000</t>
    </rPh>
    <phoneticPr fontId="6"/>
  </si>
  <si>
    <t>対象システム</t>
    <rPh sb="0" eb="2">
      <t>タイショウ000</t>
    </rPh>
    <phoneticPr fontId="6"/>
  </si>
  <si>
    <t>ファイル名</t>
    <rPh sb="0" eb="5">
      <t>メイ000</t>
    </rPh>
    <phoneticPr fontId="6"/>
  </si>
  <si>
    <t>対象業務フロー</t>
  </si>
  <si>
    <t>開発</t>
    <rPh sb="0" eb="2">
      <t>カイハツ000</t>
    </rPh>
    <phoneticPr fontId="6"/>
  </si>
  <si>
    <t>実現案</t>
    <rPh sb="0" eb="2">
      <t>ジツゲンアン000</t>
    </rPh>
    <phoneticPr fontId="6"/>
  </si>
  <si>
    <t>スコープ</t>
  </si>
  <si>
    <t>備考</t>
    <rPh sb="0" eb="2">
      <t>ビコウ000</t>
    </rPh>
    <phoneticPr fontId="6"/>
  </si>
  <si>
    <t>審査対象</t>
    <rPh sb="0" eb="4">
      <t>シンサタイショウ00</t>
    </rPh>
    <phoneticPr fontId="6"/>
  </si>
  <si>
    <t>コメント</t>
  </si>
  <si>
    <t>Req001</t>
  </si>
  <si>
    <r>
      <t xml:space="preserve">画面入力で仕訳伝票を登録できること
(勘定科目を変更せず、仕訳の入力項目の修正のための振替伝票も起票可能であること)
</t>
    </r>
    <r>
      <rPr>
        <sz val="11"/>
        <color rgb="FFFF0000"/>
        <rFont val="Meiryo UI"/>
        <family val="3"/>
        <charset val="128"/>
      </rPr>
      <t>⇒()内の記述は、登録ミスした仕訳伝票の訂正伝票の登録方法に関する記述</t>
    </r>
    <rPh sb="50" eb="52">
      <t>カノウ</t>
    </rPh>
    <phoneticPr fontId="3"/>
  </si>
  <si>
    <t>仕訳伝票の登録機能</t>
  </si>
  <si>
    <t>1.1</t>
  </si>
  <si>
    <t>サンスター</t>
    <phoneticPr fontId="6"/>
  </si>
  <si>
    <t>一般会計全般・決算</t>
    <rPh sb="0" eb="4">
      <t>イッパンカイケイ</t>
    </rPh>
    <rPh sb="4" eb="6">
      <t>ゼンパン</t>
    </rPh>
    <rPh sb="7" eb="9">
      <t>ケッサン</t>
    </rPh>
    <phoneticPr fontId="6"/>
  </si>
  <si>
    <t>決算G</t>
    <rPh sb="0" eb="2">
      <t>ケッサン</t>
    </rPh>
    <phoneticPr fontId="6"/>
  </si>
  <si>
    <t>FO</t>
  </si>
  <si>
    <t>日次振伝処理</t>
    <phoneticPr fontId="6"/>
  </si>
  <si>
    <t>不要</t>
    <rPh sb="0" eb="2">
      <t>フヨウ</t>
    </rPh>
    <phoneticPr fontId="6"/>
  </si>
  <si>
    <t>一般仕訳帳入力で仕訳伝票の登録が可能
伝票テンプレート機能や定期伝票仕訳帳の機能あり。
登録ミスした伝票を「取消」ボタンで逆仕訳を作成する機能や、登録済伝票を呼び出して新規伝票として編集転記する機能などあり。</t>
    <phoneticPr fontId="6"/>
  </si>
  <si>
    <t>IN</t>
  </si>
  <si>
    <t>Req002</t>
  </si>
  <si>
    <t>多通貨で仕訳伝票が登録でき、入力通貨金額が報告通貨金額（邦貨）に換算した額も登録できること</t>
  </si>
  <si>
    <t>多通貨の仕訳伝票の登録機能</t>
    <rPh sb="0" eb="1">
      <t>オオ</t>
    </rPh>
    <rPh sb="1" eb="3">
      <t>ツウカ</t>
    </rPh>
    <rPh sb="4" eb="6">
      <t>シワケ</t>
    </rPh>
    <rPh sb="6" eb="8">
      <t>デンピョウ</t>
    </rPh>
    <rPh sb="9" eb="11">
      <t>トウロク</t>
    </rPh>
    <rPh sb="11" eb="13">
      <t>キノウ</t>
    </rPh>
    <phoneticPr fontId="3"/>
  </si>
  <si>
    <t>1.2</t>
  </si>
  <si>
    <t>共通</t>
    <rPh sb="0" eb="2">
      <t>キョウツウ</t>
    </rPh>
    <phoneticPr fontId="6"/>
  </si>
  <si>
    <t>他通貨での伝票登録可能。仕訳トランザクションでは、入力通貨金額と報告通貨金額（邦貨）に換算した額を保持している。</t>
    <phoneticPr fontId="6"/>
  </si>
  <si>
    <t>◎</t>
  </si>
  <si>
    <t>Req003</t>
  </si>
  <si>
    <t>Excelフォーマット（取引先、取引内容、部門、消費税区分、金額、伝票日付、相手科目等）のアップロード機能で仕訳作成できること
※機能通貨への換算、消費税明細計上(内税/外税)、為替差損益明細計上への対応、および相互通貨バランスチェック、最新データの取得が可能であること</t>
  </si>
  <si>
    <t>仕訳アップロード機能で仕訳を作成する機能</t>
  </si>
  <si>
    <t>1.3</t>
  </si>
  <si>
    <t>事務管理G</t>
    <rPh sb="0" eb="4">
      <t>ジムカンリ</t>
    </rPh>
    <phoneticPr fontId="6"/>
  </si>
  <si>
    <t>現在、SAPのEXCELバッチインプット機能は使用していますか？</t>
    <rPh sb="0" eb="2">
      <t>ゲンザイ</t>
    </rPh>
    <rPh sb="20" eb="22">
      <t>キノウ</t>
    </rPh>
    <rPh sb="23" eb="25">
      <t>シヨウ</t>
    </rPh>
    <phoneticPr fontId="6"/>
  </si>
  <si>
    <t>現状SAPのEXCELバッチ取込は使用していないため、新システムのやり方に合わせられるのではないか？
大量の仕訳データの改善・検討については事務管理Gが検討（武市）</t>
    <rPh sb="52" eb="54">
      <t>タイリョウ</t>
    </rPh>
    <rPh sb="55" eb="57">
      <t>シワケ</t>
    </rPh>
    <rPh sb="61" eb="63">
      <t>カイゼン</t>
    </rPh>
    <rPh sb="64" eb="66">
      <t>ケントウ</t>
    </rPh>
    <rPh sb="71" eb="75">
      <t>ジムカンリ</t>
    </rPh>
    <rPh sb="77" eb="79">
      <t>ケントウ</t>
    </rPh>
    <rPh sb="80" eb="82">
      <t>タケイチ</t>
    </rPh>
    <phoneticPr fontId="6"/>
  </si>
  <si>
    <t>必要</t>
    <rPh sb="0" eb="2">
      <t>ヒツヨウ</t>
    </rPh>
    <phoneticPr fontId="6"/>
  </si>
  <si>
    <t>ExcelアドインでExcelフォーマットでの伝票登録機能があるが、毎回仕訳帳画面からExcelフォーマットをダウンロードしてフォーマットにデータ貼り付けをして取り込むイメージのため、あらかじめ作成しておいたExcelをそのまま取り込むイメージとは少し異なる。財務分析コードの入力欄が個別にはなく、科目欄に科目コードとハイフン(-)つなぎで入力する方式のため注意が必要
※会社間立替金で使用する想定。会社間も考慮する必要あり</t>
    <rPh sb="130" eb="134">
      <t>ザイムブンセキ</t>
    </rPh>
    <rPh sb="138" eb="141">
      <t>ニュウリョクラン</t>
    </rPh>
    <rPh sb="142" eb="144">
      <t>コベツ</t>
    </rPh>
    <rPh sb="149" eb="151">
      <t>カモク</t>
    </rPh>
    <rPh sb="151" eb="152">
      <t>ラン</t>
    </rPh>
    <rPh sb="153" eb="155">
      <t>カモク</t>
    </rPh>
    <rPh sb="170" eb="172">
      <t>ニュウリョク</t>
    </rPh>
    <rPh sb="174" eb="176">
      <t>ホウシキ</t>
    </rPh>
    <rPh sb="179" eb="181">
      <t>チュウイ</t>
    </rPh>
    <rPh sb="182" eb="184">
      <t>ヒツヨウ</t>
    </rPh>
    <rPh sb="187" eb="190">
      <t>カイシャカン</t>
    </rPh>
    <rPh sb="190" eb="193">
      <t>タテカエキン</t>
    </rPh>
    <rPh sb="194" eb="196">
      <t>シヨウ</t>
    </rPh>
    <rPh sb="198" eb="200">
      <t>ソウテイ</t>
    </rPh>
    <rPh sb="201" eb="204">
      <t>カイシャカン</t>
    </rPh>
    <rPh sb="205" eb="207">
      <t>コウリョ</t>
    </rPh>
    <rPh sb="209" eb="211">
      <t>ヒツヨウ</t>
    </rPh>
    <phoneticPr fontId="6"/>
  </si>
  <si>
    <t>〇</t>
    <phoneticPr fontId="6"/>
  </si>
  <si>
    <t>標準のExcelアドインでのオペレーションでどれだけ不便があるか、実務でのシチュエーションと照らし合わせて要確認。</t>
    <rPh sb="0" eb="2">
      <t>ヒョウジュン</t>
    </rPh>
    <rPh sb="26" eb="28">
      <t>フベン</t>
    </rPh>
    <rPh sb="33" eb="35">
      <t>ジツム</t>
    </rPh>
    <rPh sb="46" eb="47">
      <t>テ</t>
    </rPh>
    <rPh sb="49" eb="50">
      <t>ア</t>
    </rPh>
    <rPh sb="53" eb="56">
      <t>ヨウカクニン</t>
    </rPh>
    <phoneticPr fontId="6"/>
  </si>
  <si>
    <t>Req004</t>
  </si>
  <si>
    <t>勘定科目別に入力条件が設定でき、条件外の場合はエラーアラートが表示できること
⇒例えば経費科目であれば経費発生部門(原価センタ)の入力が必須になるなど、勘定科目の種類に応じて入力の必須・任意(入力フィールドの表示・非表示)をコントロールする機能のイメージです。(SAPでは項目ステータスと呼ばれる機能に該当します。)</t>
  </si>
  <si>
    <t>勘定科目別に入力条件を指定する機能</t>
    <rPh sb="4" eb="5">
      <t>ベツ</t>
    </rPh>
    <rPh sb="6" eb="8">
      <t>ニュウリョク</t>
    </rPh>
    <rPh sb="8" eb="10">
      <t>ジョウケン</t>
    </rPh>
    <rPh sb="11" eb="13">
      <t>シテイ</t>
    </rPh>
    <rPh sb="15" eb="17">
      <t>キノウ</t>
    </rPh>
    <phoneticPr fontId="3"/>
  </si>
  <si>
    <t>1.4</t>
  </si>
  <si>
    <t>勘定構造のコンフィグレーションという機能で、勘定科目別に入力させる財務分析コードを制御することが可能。</t>
    <phoneticPr fontId="6"/>
  </si>
  <si>
    <t>Req005</t>
  </si>
  <si>
    <t>複数の仕訳をまとめて仕訳アップロード機能で作成することができること</t>
  </si>
  <si>
    <t>複数仕訳を同時で起票できる機能</t>
    <rPh sb="0" eb="2">
      <t>フクスウ</t>
    </rPh>
    <rPh sb="2" eb="4">
      <t>シワケ</t>
    </rPh>
    <rPh sb="5" eb="7">
      <t>ドウジ</t>
    </rPh>
    <rPh sb="8" eb="10">
      <t>キヒョウ</t>
    </rPh>
    <rPh sb="13" eb="15">
      <t>キノウ</t>
    </rPh>
    <phoneticPr fontId="3"/>
  </si>
  <si>
    <t>1.5</t>
  </si>
  <si>
    <t>決算G/事務管理G</t>
    <rPh sb="0" eb="2">
      <t>ケッサン</t>
    </rPh>
    <rPh sb="4" eb="8">
      <t>ジムカンリ</t>
    </rPh>
    <phoneticPr fontId="6"/>
  </si>
  <si>
    <t>大量の仕訳データの改善・検討については事務管理Gが検討（武市）</t>
    <phoneticPr fontId="6"/>
  </si>
  <si>
    <t>Excelアドインで１仕訳内に複数伝票を登録可能。</t>
    <phoneticPr fontId="6"/>
  </si>
  <si>
    <t>Req006</t>
  </si>
  <si>
    <t>転記済みの仕訳をコピーして登録できること</t>
    <rPh sb="0" eb="2">
      <t>テンキ</t>
    </rPh>
    <rPh sb="2" eb="3">
      <t>ズ</t>
    </rPh>
    <rPh sb="5" eb="7">
      <t>シワケ</t>
    </rPh>
    <rPh sb="13" eb="15">
      <t>トウロク</t>
    </rPh>
    <phoneticPr fontId="3"/>
  </si>
  <si>
    <t>転記済みの仕訳をコピーして一部内容を修正することで新たな仕訳として登録できる機能</t>
    <rPh sb="0" eb="2">
      <t>テンキ</t>
    </rPh>
    <rPh sb="2" eb="3">
      <t>ズ</t>
    </rPh>
    <rPh sb="5" eb="7">
      <t>シワケ</t>
    </rPh>
    <rPh sb="13" eb="15">
      <t>イチブ</t>
    </rPh>
    <rPh sb="15" eb="17">
      <t>ナイヨウ</t>
    </rPh>
    <rPh sb="18" eb="20">
      <t>シュウセイ</t>
    </rPh>
    <rPh sb="25" eb="26">
      <t>アラ</t>
    </rPh>
    <rPh sb="28" eb="30">
      <t>シワケ</t>
    </rPh>
    <rPh sb="33" eb="35">
      <t>トウロク</t>
    </rPh>
    <rPh sb="38" eb="40">
      <t>キノウ</t>
    </rPh>
    <phoneticPr fontId="3"/>
  </si>
  <si>
    <t>1.6</t>
  </si>
  <si>
    <t>「元帳トランザクションの呼び出し」があるが、元帳タイプどうしの仕訳パターン以外のケースが対応していない。</t>
    <rPh sb="1" eb="3">
      <t>モトチョウ</t>
    </rPh>
    <rPh sb="12" eb="13">
      <t>ヨ</t>
    </rPh>
    <rPh sb="14" eb="15">
      <t>ダ</t>
    </rPh>
    <rPh sb="22" eb="24">
      <t>モトチョウ</t>
    </rPh>
    <rPh sb="31" eb="33">
      <t>シワケ</t>
    </rPh>
    <rPh sb="37" eb="39">
      <t>イガイ</t>
    </rPh>
    <rPh sb="44" eb="46">
      <t>タイオウ</t>
    </rPh>
    <phoneticPr fontId="6"/>
  </si>
  <si>
    <t>20240326　保留
コピー不可パターンを確認して判断</t>
    <rPh sb="9" eb="11">
      <t>ホリュウ</t>
    </rPh>
    <rPh sb="15" eb="17">
      <t>フカ</t>
    </rPh>
    <rPh sb="22" eb="24">
      <t>カクニン</t>
    </rPh>
    <rPh sb="26" eb="28">
      <t>ハンダン</t>
    </rPh>
    <phoneticPr fontId="6"/>
  </si>
  <si>
    <r>
      <t xml:space="preserve">「元帳トランザクションの呼び出し」という機能で転記済伝票を呼び出し修正して新規仕訳として登録する機能があるが、「勘定タイプ＝元帳」のみの伝票しか対象とならない。「勘定タイプ＝銀行/顧客/仕入先/固定資産」などの伝票は対応不可。
</t>
    </r>
    <r>
      <rPr>
        <sz val="9"/>
        <color rgb="FFFF0000"/>
        <rFont val="メイリオ"/>
        <family val="3"/>
        <charset val="128"/>
      </rPr>
      <t>⇒実務上は標準機能利用で対応可</t>
    </r>
    <rPh sb="56" eb="58">
      <t>カンジョウ</t>
    </rPh>
    <rPh sb="62" eb="64">
      <t>モトチョウ</t>
    </rPh>
    <rPh sb="68" eb="70">
      <t>デンピョウ</t>
    </rPh>
    <rPh sb="72" eb="74">
      <t>タイショウ</t>
    </rPh>
    <rPh sb="81" eb="83">
      <t>カンジョウ</t>
    </rPh>
    <rPh sb="87" eb="89">
      <t>ギンコウ</t>
    </rPh>
    <rPh sb="90" eb="92">
      <t>コキャク</t>
    </rPh>
    <rPh sb="93" eb="96">
      <t>シイレサキ</t>
    </rPh>
    <rPh sb="97" eb="101">
      <t>コテイシサン</t>
    </rPh>
    <rPh sb="105" eb="107">
      <t>デンピョウ</t>
    </rPh>
    <rPh sb="108" eb="110">
      <t>タイオウ</t>
    </rPh>
    <rPh sb="110" eb="112">
      <t>フカ</t>
    </rPh>
    <rPh sb="115" eb="118">
      <t>ジツムジョウ</t>
    </rPh>
    <rPh sb="119" eb="121">
      <t>ヒョウジュン</t>
    </rPh>
    <rPh sb="121" eb="123">
      <t>キノウ</t>
    </rPh>
    <rPh sb="123" eb="125">
      <t>リヨウ</t>
    </rPh>
    <rPh sb="126" eb="129">
      <t>タイオウカ</t>
    </rPh>
    <phoneticPr fontId="6"/>
  </si>
  <si>
    <t>Req007</t>
  </si>
  <si>
    <t>転記前に、転記後の残高を事前にシミュレーション表示できること</t>
    <rPh sb="0" eb="2">
      <t>テンキ</t>
    </rPh>
    <rPh sb="2" eb="3">
      <t>マエ</t>
    </rPh>
    <rPh sb="5" eb="7">
      <t>テンキ</t>
    </rPh>
    <rPh sb="7" eb="8">
      <t>ゴ</t>
    </rPh>
    <rPh sb="9" eb="11">
      <t>ザンダカ</t>
    </rPh>
    <rPh sb="12" eb="14">
      <t>ジゼン</t>
    </rPh>
    <rPh sb="23" eb="25">
      <t>ヒョウジ</t>
    </rPh>
    <phoneticPr fontId="3"/>
  </si>
  <si>
    <t>登録は済んでいるが、まだ転記されていない仕訳について、転記後の残高を事前に確認できるように、シミュレーション表示できる機能</t>
    <rPh sb="0" eb="2">
      <t>トウロク</t>
    </rPh>
    <rPh sb="3" eb="4">
      <t>ス</t>
    </rPh>
    <rPh sb="12" eb="14">
      <t>テンキ</t>
    </rPh>
    <rPh sb="20" eb="22">
      <t>シワケ</t>
    </rPh>
    <rPh sb="27" eb="30">
      <t>テンキゴ</t>
    </rPh>
    <rPh sb="31" eb="33">
      <t>ザンダカ</t>
    </rPh>
    <rPh sb="34" eb="36">
      <t>ジゼン</t>
    </rPh>
    <rPh sb="37" eb="39">
      <t>カクニン</t>
    </rPh>
    <rPh sb="54" eb="56">
      <t>ヒョウジ</t>
    </rPh>
    <rPh sb="59" eb="61">
      <t>キノウ</t>
    </rPh>
    <phoneticPr fontId="3"/>
  </si>
  <si>
    <t>1.7</t>
  </si>
  <si>
    <t>※事前に残高シミュレーションしたいのは、特定の科目でしょうか？それとも全科目で転記前の確認対象でしょうか？</t>
    <phoneticPr fontId="6"/>
  </si>
  <si>
    <t>現状の業務としては、入力後確認して間違えていたら逆仕訳をして訂正している。
今の運用イメージはなく、今後利用していきたい機能である。
対象の科目として、特定の科目があるわけではない。</t>
    <phoneticPr fontId="6"/>
  </si>
  <si>
    <t>銀行口座勘定については、統制残高勘定機能により転記後の残高を確認することが可能。
その他の勘定については、仕訳帳画面の残高レポート機能で転記前に、転記後の残高を確認することが可能。</t>
    <phoneticPr fontId="6"/>
  </si>
  <si>
    <t>Req008</t>
  </si>
  <si>
    <t>定型の仕訳伝票に関して、配賦用のテンプレートを定義、繰り返し使用できること
※テンプレート項目例：配賦元部門/勘定科目/金額、配賦先部門/勘定科目金額、配賦基準(金額比、割合比等)</t>
    <rPh sb="26" eb="27">
      <t>ク</t>
    </rPh>
    <rPh sb="28" eb="29">
      <t>カエ</t>
    </rPh>
    <rPh sb="30" eb="32">
      <t>シヨウ</t>
    </rPh>
    <rPh sb="45" eb="47">
      <t>コウモク</t>
    </rPh>
    <rPh sb="47" eb="48">
      <t>レイ</t>
    </rPh>
    <rPh sb="52" eb="54">
      <t>ブモン</t>
    </rPh>
    <rPh sb="55" eb="57">
      <t>カンジョウ</t>
    </rPh>
    <rPh sb="57" eb="59">
      <t>カモク</t>
    </rPh>
    <rPh sb="60" eb="62">
      <t>キンガク</t>
    </rPh>
    <rPh sb="63" eb="65">
      <t>ハイフ</t>
    </rPh>
    <rPh sb="65" eb="66">
      <t>サキ</t>
    </rPh>
    <rPh sb="66" eb="68">
      <t>ブモン</t>
    </rPh>
    <rPh sb="73" eb="75">
      <t>キンガク</t>
    </rPh>
    <rPh sb="78" eb="80">
      <t>キジュン</t>
    </rPh>
    <rPh sb="81" eb="83">
      <t>キンガク</t>
    </rPh>
    <rPh sb="83" eb="84">
      <t>ヒ</t>
    </rPh>
    <rPh sb="85" eb="87">
      <t>ワリアイ</t>
    </rPh>
    <rPh sb="87" eb="88">
      <t>ヒ</t>
    </rPh>
    <rPh sb="88" eb="89">
      <t>ナド</t>
    </rPh>
    <phoneticPr fontId="3"/>
  </si>
  <si>
    <t>配賦のために定型の仕訳伝票を入力テンプレートとして定義する機能</t>
    <rPh sb="0" eb="2">
      <t>ハイフ</t>
    </rPh>
    <rPh sb="6" eb="8">
      <t>テイケイ</t>
    </rPh>
    <phoneticPr fontId="3"/>
  </si>
  <si>
    <t>1.8</t>
  </si>
  <si>
    <t>伝票テンプレート機能や科目残高にたいして配賦処理を実行する機能はあるが、伝票毎に配賦条件を設定して配賦計算を行う機能はない。</t>
    <rPh sb="0" eb="2">
      <t>デンピョウ</t>
    </rPh>
    <rPh sb="11" eb="13">
      <t>カモク</t>
    </rPh>
    <rPh sb="13" eb="15">
      <t>ザンダカ</t>
    </rPh>
    <rPh sb="20" eb="24">
      <t>ハイフショリ</t>
    </rPh>
    <rPh sb="25" eb="27">
      <t>ジッコウ</t>
    </rPh>
    <rPh sb="29" eb="31">
      <t>キノウ</t>
    </rPh>
    <phoneticPr fontId="6"/>
  </si>
  <si>
    <t>決算チームとしては、この要件はない。
経営計画グループに、配賦の要件があるが、定型の仕訳に対してではなく科目残高に対する配賦の要件と思われる。
→2/7事務管理チームにも確認したが、伝票テンプレート機能があればよく、定型の仕訳伝票に関して、配賦用のテンプレートを定義する要件はなかった。</t>
    <phoneticPr fontId="6"/>
  </si>
  <si>
    <t>定期処理仕訳帳で定型の仕訳パターンは登録可能。配賦処理の計算については、配賦ルールを登録してバッチ処理にて計算処理実行が可能(均等/割合/売上高比などの配賦方法が可能)</t>
    <rPh sb="0" eb="4">
      <t>テイキショリ</t>
    </rPh>
    <rPh sb="4" eb="7">
      <t>シワケチョウ</t>
    </rPh>
    <rPh sb="8" eb="10">
      <t>テイケイ</t>
    </rPh>
    <rPh sb="11" eb="13">
      <t>シワケ</t>
    </rPh>
    <rPh sb="18" eb="20">
      <t>トウロク</t>
    </rPh>
    <rPh sb="20" eb="22">
      <t>カノウ</t>
    </rPh>
    <rPh sb="23" eb="27">
      <t>ハイフショリ</t>
    </rPh>
    <rPh sb="28" eb="30">
      <t>ケイサン</t>
    </rPh>
    <rPh sb="36" eb="38">
      <t>ハイフ</t>
    </rPh>
    <rPh sb="42" eb="44">
      <t>トウロク</t>
    </rPh>
    <rPh sb="49" eb="51">
      <t>ショリ</t>
    </rPh>
    <rPh sb="53" eb="55">
      <t>ケイサン</t>
    </rPh>
    <rPh sb="55" eb="57">
      <t>ショリ</t>
    </rPh>
    <rPh sb="57" eb="59">
      <t>ジッコウ</t>
    </rPh>
    <rPh sb="60" eb="62">
      <t>カノウ</t>
    </rPh>
    <rPh sb="63" eb="65">
      <t>キントウ</t>
    </rPh>
    <rPh sb="66" eb="68">
      <t>ワリアイ</t>
    </rPh>
    <rPh sb="69" eb="71">
      <t>ウリアゲ</t>
    </rPh>
    <rPh sb="71" eb="72">
      <t>ダカ</t>
    </rPh>
    <rPh sb="72" eb="73">
      <t>ヒ</t>
    </rPh>
    <rPh sb="76" eb="78">
      <t>ハイフ</t>
    </rPh>
    <rPh sb="78" eb="80">
      <t>ホウホウ</t>
    </rPh>
    <rPh sb="81" eb="83">
      <t>カノウ</t>
    </rPh>
    <phoneticPr fontId="6"/>
  </si>
  <si>
    <t>OUT</t>
  </si>
  <si>
    <t>Req009</t>
  </si>
  <si>
    <t>定型の仕訳伝票に関して、伝票登録時の入力テンプレートを定義し、繰り返し使用できること</t>
    <rPh sb="31" eb="32">
      <t>ク</t>
    </rPh>
    <rPh sb="33" eb="34">
      <t>カエ</t>
    </rPh>
    <rPh sb="35" eb="37">
      <t>シヨウ</t>
    </rPh>
    <phoneticPr fontId="3"/>
  </si>
  <si>
    <t>各会計期間で繰り返される定型の仕訳を処理するため、定型の仕訳伝票を入力テンプレートとして定義する機能</t>
  </si>
  <si>
    <t>1.9</t>
  </si>
  <si>
    <t>定期処理仕訳帳という機能で定期的に作成される定型の伝票を登録することが可能。</t>
    <phoneticPr fontId="6"/>
  </si>
  <si>
    <t>Req010</t>
  </si>
  <si>
    <t>未転記の場合、登録した仕訳伝票を登録者の方から修正することができること</t>
    <rPh sb="16" eb="19">
      <t>トウロクシャ</t>
    </rPh>
    <rPh sb="20" eb="21">
      <t>ホウ</t>
    </rPh>
    <rPh sb="23" eb="25">
      <t>シュウセイ</t>
    </rPh>
    <phoneticPr fontId="3"/>
  </si>
  <si>
    <t>仕訳明細情報を訂正する機能</t>
  </si>
  <si>
    <t>未転記の伝票は登録者が修正可能。
（ワークフロー申請済未承認の場合、「申請取消」をして伝票修正可能）</t>
    <phoneticPr fontId="6"/>
  </si>
  <si>
    <t>Req011</t>
  </si>
  <si>
    <t>未転記の場合、登録した仕訳伝票を登録者の方から削除することができること</t>
  </si>
  <si>
    <t>仕訳明細情報を削除する機能</t>
  </si>
  <si>
    <t>未転記の伝票は登録者が削除可能。
（ワークフロー申請済未承認の場合、「申請取消」をして伝票削除可能）</t>
    <phoneticPr fontId="6"/>
  </si>
  <si>
    <t>Req012</t>
  </si>
  <si>
    <t>登録した仕訳伝票を符号の変更（登録された仕訳伝票の金額をプラスからマイナスに変更）できること</t>
  </si>
  <si>
    <t>逆仕訳を生成する機能</t>
  </si>
  <si>
    <t>「トランザクションの取消」という機能で符号を反転した逆仕訳を作成する機能あり。</t>
    <phoneticPr fontId="6"/>
  </si>
  <si>
    <t>Req013</t>
  </si>
  <si>
    <t>承認者による承認のもと、仕訳伝票を転記できること</t>
  </si>
  <si>
    <t>仕訳を転記する機能</t>
  </si>
  <si>
    <t>簡易的な1段階承認が可能な機能と、多段階承認や条件分岐を追加できるようなワークフロー機能あり。</t>
    <phoneticPr fontId="6"/>
  </si>
  <si>
    <t>Req014</t>
  </si>
  <si>
    <t>自動で転記処理を行うために、転記承認を経ずに転記できること</t>
  </si>
  <si>
    <t>自動で転記処理を行う機能</t>
  </si>
  <si>
    <t>定期バッチ処理で未転記伝票を転記する機能あり。承認不要な伝票は、承認設定なしの仕訳帳を設定して運用することにより承認なしで転記可能。
※自動で転記処理を行うのはどのような種類の伝票でしょうか？</t>
    <phoneticPr fontId="6"/>
  </si>
  <si>
    <t>各種自動転記機能全般のことを指しており
通常の伝票入力のなかで自動転記させる機能のことではない。
　支払い処理、消費税の処理（年度末）、減価償却費、リース料など</t>
    <phoneticPr fontId="6"/>
  </si>
  <si>
    <t>各モジュールの仕訳が必要なプロセス処理では自動仕訳が作成される仕様となっている</t>
    <rPh sb="0" eb="1">
      <t>カク</t>
    </rPh>
    <rPh sb="7" eb="9">
      <t>シワケ</t>
    </rPh>
    <rPh sb="10" eb="12">
      <t>ヒツヨウ</t>
    </rPh>
    <rPh sb="17" eb="19">
      <t>ショリ</t>
    </rPh>
    <rPh sb="21" eb="23">
      <t>ジドウ</t>
    </rPh>
    <rPh sb="23" eb="25">
      <t>シワケ</t>
    </rPh>
    <rPh sb="26" eb="28">
      <t>サクセイ</t>
    </rPh>
    <rPh sb="31" eb="33">
      <t>シヨウ</t>
    </rPh>
    <phoneticPr fontId="6"/>
  </si>
  <si>
    <t>Req015</t>
  </si>
  <si>
    <t>仕訳作成者が、設定された仕訳の承認要求ができること</t>
  </si>
  <si>
    <t>仕訳の承認依頼を行う機能</t>
  </si>
  <si>
    <t>承認設定した仕訳帳で入力した場合、仕訳承認要求が可能。ワークフロー機能を使用した場合、メール通知も可能。</t>
    <phoneticPr fontId="6"/>
  </si>
  <si>
    <t>Req016</t>
  </si>
  <si>
    <t>仕訳作成者が、設定された仕訳バッチ一覧から任意の単位で仕訳を一括に承認要求ができること</t>
  </si>
  <si>
    <t>一括で仕訳の承認依頼を行う機能</t>
  </si>
  <si>
    <t>一括承認依頼の機能は無い。承認待ちリストから個別に選択して承認依頼する</t>
    <phoneticPr fontId="6"/>
  </si>
  <si>
    <t>現在SAPで入力したものについて一括承認はしていおらず、1件1件承認申請をしている。
楽楽精算の場合は件数が多いので一括承認機能を利用しているが、SAPは件数が少ないのでこの機能はなくてもよい。
20240326　楽々精算の振伝入力をFOで実施する場合、一括提出は不要だが一括承認が必要となる見込み
R/3に代わるDynamicsでは、1件1件の伝票承認で対応可能との認識をした。</t>
  </si>
  <si>
    <t>Req017</t>
  </si>
  <si>
    <t>仕訳一括承認依頼受領時に、任意の仕訳単位に対して一括で承認、否決処理ができること</t>
  </si>
  <si>
    <t>一括で仕訳の承認を行う機能</t>
  </si>
  <si>
    <t>一括承認の機能は無い。承認待ちリストから個別に選択して承認する</t>
    <phoneticPr fontId="6"/>
  </si>
  <si>
    <t>現在SAPで入力したものについて一括承認はしていおらず、1件1件承認申請をしている。
楽楽精算の場合は件数が多いので一括承認機能を利用しているが、SAPは件数が少ないのでこの機能はなくてもよい。
R/3に代わるDynamicsでは、1件1件の伝票承認で対応可能との認識をした。
20240326　楽々精算の振伝入力をFOで実施する場合、一括提出は不要だが一括承認が必要となる見込み
R/3に代わるDynamicsでは、1件1件の伝票承認で対応可能との認識をした。</t>
    <phoneticPr fontId="6"/>
  </si>
  <si>
    <t>一括承認の機能は無い。承認待ちリストから個別に選択して承認する
20240404
楽々精算からFOで代替するケースを想定して一旦開発扱いとする。</t>
    <rPh sb="41" eb="45">
      <t>ラクラクセイサン</t>
    </rPh>
    <rPh sb="50" eb="52">
      <t>ダイタイ</t>
    </rPh>
    <rPh sb="58" eb="60">
      <t>ソウテイ</t>
    </rPh>
    <rPh sb="62" eb="64">
      <t>イッタン</t>
    </rPh>
    <rPh sb="64" eb="66">
      <t>カイハツ</t>
    </rPh>
    <rPh sb="66" eb="67">
      <t>アツカ</t>
    </rPh>
    <phoneticPr fontId="6"/>
  </si>
  <si>
    <t>楽々精算の振伝をFOでやるかどうかにより要不要が決まる。</t>
    <rPh sb="0" eb="4">
      <t>ラクラクセイサン</t>
    </rPh>
    <rPh sb="5" eb="7">
      <t>フリデン</t>
    </rPh>
    <rPh sb="20" eb="21">
      <t>ヨウ</t>
    </rPh>
    <rPh sb="21" eb="23">
      <t>フヨウ</t>
    </rPh>
    <rPh sb="24" eb="25">
      <t>キ</t>
    </rPh>
    <phoneticPr fontId="6"/>
  </si>
  <si>
    <t>振替伝票など、承認対象の伝票が多くなるケースにおいて、本アドオンでどれだけの効果が出るかを検証要</t>
    <rPh sb="0" eb="2">
      <t>フリカエ</t>
    </rPh>
    <rPh sb="2" eb="4">
      <t>デンピョウ</t>
    </rPh>
    <rPh sb="7" eb="9">
      <t>ショウニン</t>
    </rPh>
    <rPh sb="9" eb="11">
      <t>タイショウ</t>
    </rPh>
    <rPh sb="12" eb="14">
      <t>デンピョウ</t>
    </rPh>
    <rPh sb="15" eb="16">
      <t>オオ</t>
    </rPh>
    <rPh sb="27" eb="28">
      <t>ホン</t>
    </rPh>
    <rPh sb="38" eb="40">
      <t>コウカ</t>
    </rPh>
    <rPh sb="41" eb="42">
      <t>デ</t>
    </rPh>
    <rPh sb="45" eb="47">
      <t>ケンショウ</t>
    </rPh>
    <rPh sb="47" eb="48">
      <t>ヨウ</t>
    </rPh>
    <phoneticPr fontId="6"/>
  </si>
  <si>
    <t>Req018</t>
  </si>
  <si>
    <t>仕訳入力者を区分として、仕訳のステータスが未承認または承認依頼未済である仕訳の仕訳明細情報を一覧で、画面照会および帳票出力できること</t>
  </si>
  <si>
    <t>承認依頼時に、依頼者別の未承認または承認依頼未済の仕訳明細情報を一覧で出力する機能</t>
  </si>
  <si>
    <t>一般仕訳帳画面で未転記状態の仕訳帳を一覧表示可能、ワークフローの承認状態も表示可能だが、ヘッダ情報のみ。
帳票では、「未転記の一般仕訳入力」が未転記の仕訳明細を確認できるが承認状態が確認できない。</t>
    <phoneticPr fontId="6"/>
  </si>
  <si>
    <t>上長が承認したのか、未転記か転記済みかだけがわかればよいので提示いただいている機能だけでもよいと考えている。</t>
    <phoneticPr fontId="6"/>
  </si>
  <si>
    <t>一般仕訳帳画面で未転記状態の仕訳帳を一覧表示可能、</t>
    <phoneticPr fontId="6"/>
  </si>
  <si>
    <t>Req019</t>
  </si>
  <si>
    <t>承認依頼が必要な未承認の仕訳を勘定科目別に集計した一覧で、画面照会および帳票出力できること</t>
  </si>
  <si>
    <t>承認依頼が必要な仕訳を勘定科目別に集計した一覧を出力する機能</t>
  </si>
  <si>
    <t>仕訳帳明細を未承認のものに絞って出力することはできるが、科目別に集計されていない。CSV出力後に集計を行う必要あり。</t>
    <rPh sb="0" eb="3">
      <t>シワケチョウ</t>
    </rPh>
    <rPh sb="3" eb="5">
      <t>メイサイ</t>
    </rPh>
    <rPh sb="6" eb="9">
      <t>ミショウニン</t>
    </rPh>
    <rPh sb="13" eb="14">
      <t>シボ</t>
    </rPh>
    <rPh sb="16" eb="18">
      <t>シュツリョク</t>
    </rPh>
    <rPh sb="28" eb="31">
      <t>カモクベツ</t>
    </rPh>
    <rPh sb="32" eb="34">
      <t>シュウケイ</t>
    </rPh>
    <rPh sb="44" eb="46">
      <t>シュツリョク</t>
    </rPh>
    <rPh sb="46" eb="47">
      <t>ゴ</t>
    </rPh>
    <rPh sb="48" eb="50">
      <t>シュウケイ</t>
    </rPh>
    <rPh sb="51" eb="52">
      <t>オコナ</t>
    </rPh>
    <rPh sb="53" eb="55">
      <t>ヒツヨウ</t>
    </rPh>
    <phoneticPr fontId="3"/>
  </si>
  <si>
    <t>転記後の金額がわかればよいので機能としては不要である。</t>
  </si>
  <si>
    <t>仕訳帳明細を未承認のものに絞って出力することはできるが、科目別に集計されていない。CSV出力後に集計を行う必要あり。</t>
    <phoneticPr fontId="6"/>
  </si>
  <si>
    <t>Req020</t>
  </si>
  <si>
    <t>前日、前月末までの借方貸方の累計と残高を集計し、画面照会および帳票出力ができること</t>
  </si>
  <si>
    <t>指定時点での科目別残高一覧を出力する機能</t>
  </si>
  <si>
    <t>試算表で日付指定して科目残高確認可能。</t>
    <phoneticPr fontId="6"/>
  </si>
  <si>
    <t>Req021</t>
  </si>
  <si>
    <t>指定された会計期間において発生した任意の勘定科目の残高明細情報を、画面照会および帳票出力できること</t>
    <rPh sb="13" eb="15">
      <t>ハッセイ</t>
    </rPh>
    <rPh sb="17" eb="19">
      <t>ニンイ</t>
    </rPh>
    <phoneticPr fontId="3"/>
  </si>
  <si>
    <t>科目別残高明細一覧を出力する機能</t>
  </si>
  <si>
    <t>試算表で日付指定して科目残高確認可能。
分析コード明細書で日付指定および合計指定することで帳票出力可能。</t>
    <rPh sb="0" eb="3">
      <t>シサンヒョウ</t>
    </rPh>
    <rPh sb="4" eb="6">
      <t>ヒヅケ</t>
    </rPh>
    <rPh sb="6" eb="8">
      <t>シテイ</t>
    </rPh>
    <rPh sb="10" eb="12">
      <t>カモク</t>
    </rPh>
    <rPh sb="12" eb="14">
      <t>ザンダカ</t>
    </rPh>
    <rPh sb="14" eb="16">
      <t>カクニン</t>
    </rPh>
    <rPh sb="16" eb="18">
      <t>カノウ</t>
    </rPh>
    <rPh sb="20" eb="22">
      <t>ブンセキ</t>
    </rPh>
    <rPh sb="25" eb="28">
      <t>メイサイショ</t>
    </rPh>
    <rPh sb="29" eb="31">
      <t>ヒヅケ</t>
    </rPh>
    <rPh sb="31" eb="33">
      <t>シテイ</t>
    </rPh>
    <rPh sb="36" eb="38">
      <t>ゴウケイ</t>
    </rPh>
    <rPh sb="38" eb="40">
      <t>シテイ</t>
    </rPh>
    <rPh sb="45" eb="47">
      <t>チョウヒョウ</t>
    </rPh>
    <rPh sb="47" eb="49">
      <t>シュツリョク</t>
    </rPh>
    <rPh sb="49" eb="51">
      <t>カノウ</t>
    </rPh>
    <phoneticPr fontId="3"/>
  </si>
  <si>
    <t>Req022</t>
  </si>
  <si>
    <t>前期末の残高明細情報と比較できること</t>
  </si>
  <si>
    <t>前年同期比で残高の比較照合ができる機能</t>
    <rPh sb="0" eb="5">
      <t>ゼンネンドウキヒ</t>
    </rPh>
    <rPh sb="6" eb="8">
      <t>ザンダカ</t>
    </rPh>
    <rPh sb="9" eb="11">
      <t>ヒカク</t>
    </rPh>
    <rPh sb="11" eb="13">
      <t>ショウゴウ</t>
    </rPh>
    <rPh sb="17" eb="19">
      <t>キノウ</t>
    </rPh>
    <phoneticPr fontId="3"/>
  </si>
  <si>
    <t>月次決算処理</t>
  </si>
  <si>
    <t>標準の帳票作成ツールManagementReporterを使って、前年同期比帳票を作成すれば参照可能。</t>
    <rPh sb="0" eb="2">
      <t>ヒョウジュン</t>
    </rPh>
    <rPh sb="3" eb="5">
      <t>チョウヒョウ</t>
    </rPh>
    <rPh sb="5" eb="7">
      <t>サクセイ</t>
    </rPh>
    <rPh sb="29" eb="30">
      <t>ツカ</t>
    </rPh>
    <rPh sb="33" eb="38">
      <t>ゼンネンドウキヒ</t>
    </rPh>
    <rPh sb="38" eb="40">
      <t>チョウヒョウ</t>
    </rPh>
    <rPh sb="41" eb="43">
      <t>サクセイ</t>
    </rPh>
    <rPh sb="46" eb="48">
      <t>サンショウ</t>
    </rPh>
    <rPh sb="48" eb="50">
      <t>カノウ</t>
    </rPh>
    <phoneticPr fontId="3"/>
  </si>
  <si>
    <t>×</t>
    <phoneticPr fontId="6"/>
  </si>
  <si>
    <t>MRでできるのであれば審査対象外</t>
    <rPh sb="11" eb="13">
      <t>シンサ</t>
    </rPh>
    <rPh sb="13" eb="16">
      <t>タイショウガイ</t>
    </rPh>
    <phoneticPr fontId="6"/>
  </si>
  <si>
    <t>Req023</t>
    <phoneticPr fontId="6"/>
  </si>
  <si>
    <t>特定の会計期間において勘定科目別、貨幣別等で各残高を集計して、画面照会および帳票出力ができること</t>
    <rPh sb="0" eb="2">
      <t>トクテイ</t>
    </rPh>
    <rPh sb="20" eb="21">
      <t>トウ</t>
    </rPh>
    <rPh sb="22" eb="23">
      <t>カク</t>
    </rPh>
    <rPh sb="23" eb="25">
      <t>ザンダカ</t>
    </rPh>
    <phoneticPr fontId="3"/>
  </si>
  <si>
    <t>特定の会計期間において勘定科目別の残高を指定した一定の条件別に一覧化して集計する機能</t>
    <rPh sb="20" eb="22">
      <t>シテイ</t>
    </rPh>
    <rPh sb="24" eb="26">
      <t>イッテイ</t>
    </rPh>
    <rPh sb="27" eb="29">
      <t>ジョウケン</t>
    </rPh>
    <rPh sb="29" eb="30">
      <t>ベツ</t>
    </rPh>
    <phoneticPr fontId="3"/>
  </si>
  <si>
    <r>
      <t xml:space="preserve">外貨建ての入力と通貨別残高参照画面はある。ただし一覧形式での参照機能がほしい場合、アドオンが必要。
標準の帳票作成ツールManagementReporterを使って、ある程度の条件別の帳票が作成可能であるが、制限あり。
</t>
    </r>
    <r>
      <rPr>
        <sz val="9"/>
        <color rgb="FFFF0000"/>
        <rFont val="Meiryo UI"/>
        <family val="3"/>
        <charset val="128"/>
      </rPr>
      <t>※MRの場合、貨幣別は明細での出力は可能だが残高集計すると邦貨で集計される制限あり
※試算表画面の邦貨での一覧表示から、貨幣別算高画面へ遷移して確認できるが、
科目を個別指定して表示する方式のため該当科目を一覧表示で貨幣別に表示する機能がない。</t>
    </r>
    <rPh sb="50" eb="52">
      <t>ヒョウジュン</t>
    </rPh>
    <rPh sb="53" eb="55">
      <t>チョウヒョウ</t>
    </rPh>
    <rPh sb="55" eb="57">
      <t>サクセイ</t>
    </rPh>
    <rPh sb="79" eb="80">
      <t>ツカ</t>
    </rPh>
    <rPh sb="85" eb="87">
      <t>テイド</t>
    </rPh>
    <rPh sb="88" eb="90">
      <t>ジョウケン</t>
    </rPh>
    <rPh sb="90" eb="91">
      <t>ベツ</t>
    </rPh>
    <rPh sb="92" eb="94">
      <t>チョウヒョウ</t>
    </rPh>
    <rPh sb="95" eb="97">
      <t>サクセイ</t>
    </rPh>
    <rPh sb="97" eb="99">
      <t>カノウ</t>
    </rPh>
    <rPh sb="104" eb="106">
      <t>セイゲン</t>
    </rPh>
    <rPh sb="114" eb="116">
      <t>バアイ</t>
    </rPh>
    <rPh sb="153" eb="156">
      <t>シサンヒョウ</t>
    </rPh>
    <rPh sb="156" eb="158">
      <t>ガメン</t>
    </rPh>
    <rPh sb="159" eb="161">
      <t>ホウカ</t>
    </rPh>
    <rPh sb="163" eb="165">
      <t>イチラン</t>
    </rPh>
    <rPh sb="165" eb="167">
      <t>ヒョウジ</t>
    </rPh>
    <rPh sb="170" eb="173">
      <t>カヘイベツ</t>
    </rPh>
    <rPh sb="173" eb="175">
      <t>ザンダカ</t>
    </rPh>
    <rPh sb="175" eb="177">
      <t>ガメン</t>
    </rPh>
    <rPh sb="178" eb="180">
      <t>センイ</t>
    </rPh>
    <rPh sb="182" eb="184">
      <t>カクニン</t>
    </rPh>
    <rPh sb="190" eb="192">
      <t>カモク</t>
    </rPh>
    <rPh sb="193" eb="195">
      <t>コベツ</t>
    </rPh>
    <rPh sb="195" eb="197">
      <t>シテイ</t>
    </rPh>
    <rPh sb="199" eb="201">
      <t>ヒョウジ</t>
    </rPh>
    <rPh sb="203" eb="205">
      <t>ホウシキ</t>
    </rPh>
    <rPh sb="208" eb="210">
      <t>ガイトウ</t>
    </rPh>
    <rPh sb="210" eb="212">
      <t>カモク</t>
    </rPh>
    <rPh sb="213" eb="215">
      <t>イチラン</t>
    </rPh>
    <rPh sb="215" eb="217">
      <t>ヒョウジ</t>
    </rPh>
    <rPh sb="218" eb="221">
      <t>カヘイベツ</t>
    </rPh>
    <rPh sb="222" eb="224">
      <t>ヒョウジ</t>
    </rPh>
    <rPh sb="226" eb="228">
      <t>キノウ</t>
    </rPh>
    <phoneticPr fontId="3"/>
  </si>
  <si>
    <t>決算では外貨建てで管理しているものはない。外貨は円換算して決算しているので決算チームとしては不要である。
今後は、外貨建て運用する方針。
2024/04/11
試算表の通貨別画面で個別科目ごとに確認することは可能であるが、一覧性がないため帳票を開発するか議論したが、試算表の通貨別画面で個別に確認する運用対応とし開発対象外となった。</t>
    <phoneticPr fontId="6"/>
  </si>
  <si>
    <t>外貨建ての入力と通貨別残高参照画面はある。ただし一覧形式での参照機能がほしい場合、アドオンが必要。</t>
    <phoneticPr fontId="6"/>
  </si>
  <si>
    <t>2024/04/11
試算表の通貨別画面で個別科目ごとに確認することは可能であるが、一覧性がないため帳票を開発するか議論したが、試算表の通貨別画面で個別に確認する運用対応とし開発対象外となった。</t>
    <rPh sb="15" eb="17">
      <t>ツウカ</t>
    </rPh>
    <rPh sb="53" eb="55">
      <t>カイハツ</t>
    </rPh>
    <phoneticPr fontId="6"/>
  </si>
  <si>
    <t>Req024</t>
  </si>
  <si>
    <t>各勘定科目の残高を確認し、残高がマイナスである科目がある場合、該当科目別の残高を通貨・会社毎にリストとして、画面照会および帳票出力ができること</t>
  </si>
  <si>
    <t>残高がマイナスである科目を一覧で出力する機能</t>
  </si>
  <si>
    <t>試算表(科目残高参照機能)で「-1以下」の条件でフィルタすることができるが、
試算表画面では、規定の表示方法として貸方勘定の残高がーで表示されるため、要件を満たせない。
ManagementReporterで貸方科目もプラス残で表示する残高リストを作成して、出力した残高リストでマイナス残の科目を抽出する。</t>
    <rPh sb="4" eb="6">
      <t>カモク</t>
    </rPh>
    <rPh sb="6" eb="8">
      <t>ザンダカ</t>
    </rPh>
    <rPh sb="8" eb="10">
      <t>サンショウ</t>
    </rPh>
    <rPh sb="10" eb="12">
      <t>キノウ</t>
    </rPh>
    <rPh sb="39" eb="42">
      <t>シサンヒョウ</t>
    </rPh>
    <rPh sb="42" eb="44">
      <t>ガメン</t>
    </rPh>
    <rPh sb="57" eb="59">
      <t>カシカタ</t>
    </rPh>
    <rPh sb="59" eb="61">
      <t>カンジョウ</t>
    </rPh>
    <rPh sb="62" eb="64">
      <t>ザンダカ</t>
    </rPh>
    <rPh sb="67" eb="69">
      <t>ヒョウジ</t>
    </rPh>
    <rPh sb="75" eb="77">
      <t>ヨウケン</t>
    </rPh>
    <rPh sb="78" eb="79">
      <t>ミ</t>
    </rPh>
    <rPh sb="104" eb="108">
      <t>カシカタカモク</t>
    </rPh>
    <rPh sb="112" eb="113">
      <t>ザン</t>
    </rPh>
    <rPh sb="114" eb="116">
      <t>ヒョウジ</t>
    </rPh>
    <rPh sb="118" eb="120">
      <t>ザンダカ</t>
    </rPh>
    <rPh sb="124" eb="126">
      <t>サクセイ</t>
    </rPh>
    <rPh sb="129" eb="131">
      <t>シュツリョク</t>
    </rPh>
    <rPh sb="133" eb="135">
      <t>ザンダカ</t>
    </rPh>
    <rPh sb="143" eb="144">
      <t>ザン</t>
    </rPh>
    <rPh sb="145" eb="147">
      <t>カモク</t>
    </rPh>
    <rPh sb="148" eb="150">
      <t>チュウシュツ</t>
    </rPh>
    <phoneticPr fontId="3"/>
  </si>
  <si>
    <t>現状SAPから出てくる試算表で確認できているので、マイナス分のみの一覧表は不要である。</t>
    <rPh sb="29" eb="30">
      <t>ブン</t>
    </rPh>
    <phoneticPr fontId="3"/>
  </si>
  <si>
    <t>通常の試算表で確認</t>
    <rPh sb="0" eb="2">
      <t>ツウジョウ</t>
    </rPh>
    <rPh sb="3" eb="6">
      <t>シサンヒョウ</t>
    </rPh>
    <rPh sb="7" eb="9">
      <t>カクニン</t>
    </rPh>
    <phoneticPr fontId="6"/>
  </si>
  <si>
    <t>Req025</t>
  </si>
  <si>
    <t>決算時の通過勘定科目の残高を確認し、残高が0円以外の科目がある場合、該当科目別の残高を通貨・会社毎にリストとして、画面照会および帳票出力ができること</t>
    <rPh sb="4" eb="6">
      <t>ツウカ</t>
    </rPh>
    <phoneticPr fontId="4"/>
  </si>
  <si>
    <t>決算時において0円である必要がある勘定科目(通過勘定科目)に対し未整理の残高が存在する場合、対象の残高情報を一覧で出力する機能</t>
    <rPh sb="0" eb="3">
      <t>ケッサンジ</t>
    </rPh>
    <rPh sb="8" eb="9">
      <t>エン</t>
    </rPh>
    <rPh sb="12" eb="14">
      <t>ヒツヨウ</t>
    </rPh>
    <rPh sb="17" eb="21">
      <t>カンジョウカモク</t>
    </rPh>
    <rPh sb="22" eb="28">
      <t>ツウカカンジョウカモク</t>
    </rPh>
    <rPh sb="30" eb="31">
      <t>タイ</t>
    </rPh>
    <rPh sb="32" eb="35">
      <t>ミセイリ</t>
    </rPh>
    <rPh sb="36" eb="38">
      <t>ザンダカ</t>
    </rPh>
    <rPh sb="39" eb="41">
      <t>ソンザイ</t>
    </rPh>
    <rPh sb="43" eb="45">
      <t>バアイ</t>
    </rPh>
    <rPh sb="46" eb="48">
      <t>タイショウ</t>
    </rPh>
    <rPh sb="49" eb="51">
      <t>ザンダカ</t>
    </rPh>
    <rPh sb="51" eb="53">
      <t>ジョウホウ</t>
    </rPh>
    <rPh sb="54" eb="56">
      <t>イチラン</t>
    </rPh>
    <rPh sb="57" eb="59">
      <t>シュツリョク</t>
    </rPh>
    <rPh sb="61" eb="63">
      <t>キノウ</t>
    </rPh>
    <phoneticPr fontId="3"/>
  </si>
  <si>
    <t>現状SAPから出てくる試算表で確認できているので、特定科目分のみの一覧表は不要である。
会社ごとにしか確認していないので、特別な機能は必要ない。</t>
    <rPh sb="25" eb="27">
      <t>トクテイ</t>
    </rPh>
    <rPh sb="27" eb="29">
      <t>カモク</t>
    </rPh>
    <phoneticPr fontId="3"/>
  </si>
  <si>
    <t>Req026</t>
  </si>
  <si>
    <t>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t>
  </si>
  <si>
    <t>財務諸表をを全社/各社別に作成・出力する機能(BS/PLについては開示用科目(親科目)と集計元科目(子科目)単位でそれぞれ閲覧できること)</t>
    <rPh sb="0" eb="4">
      <t>ザイムショヒョウ</t>
    </rPh>
    <rPh sb="6" eb="8">
      <t>ゼンシャ</t>
    </rPh>
    <rPh sb="9" eb="11">
      <t>カクシャ</t>
    </rPh>
    <rPh sb="11" eb="12">
      <t>ベツ</t>
    </rPh>
    <rPh sb="13" eb="15">
      <t>サクセイ</t>
    </rPh>
    <phoneticPr fontId="3"/>
  </si>
  <si>
    <r>
      <t xml:space="preserve">標準の帳票作成ツールManagementReportを使って、全社、部門別に帳票作成可能。
</t>
    </r>
    <r>
      <rPr>
        <sz val="9"/>
        <color rgb="FFFF0000"/>
        <rFont val="Meiryo UI"/>
        <family val="3"/>
        <charset val="128"/>
      </rPr>
      <t>※・注記表
・キャッシュフロー計算書(CF)は、ロジックしだいでアドオンが必要。</t>
    </r>
    <r>
      <rPr>
        <sz val="9"/>
        <rFont val="Meiryo UI"/>
        <family val="3"/>
      </rPr>
      <t xml:space="preserve">
</t>
    </r>
    <rPh sb="31" eb="33">
      <t>ゼンシャ</t>
    </rPh>
    <rPh sb="34" eb="37">
      <t>ブモンベツ</t>
    </rPh>
    <rPh sb="38" eb="40">
      <t>チョウヒョウ</t>
    </rPh>
    <rPh sb="40" eb="42">
      <t>サクセイ</t>
    </rPh>
    <rPh sb="42" eb="44">
      <t>カノウ</t>
    </rPh>
    <rPh sb="83" eb="85">
      <t>ヒツヨウ</t>
    </rPh>
    <phoneticPr fontId="3"/>
  </si>
  <si>
    <t>製造原価報告書が直接出力されているわけではない。
労務費及び生産費明細表は、SAPから経費実績表の合計数字をExcelに転記している。元データ出力ができればよいと考えている。
SEJはR/3からホストで出てきた製造原価が出てこない。
決算調整の数字はホストに反映されない問題がある。SAPでは製造原価が出せていないため、手作業で数字の調整をしないといけない。
株主資本等変動計算書、注記表、キャッシュフロー計算書は手作業が必要になる想定。
どこまでコストをかけて必要なのか検討が必要。</t>
    <phoneticPr fontId="6"/>
  </si>
  <si>
    <t>標準の帳票作成ツールManagementReportを使って出力可能な帳票は作成。
株主資本等変動計算書、注記表、キャッシュフロー計算書は手作業が必要。</t>
    <rPh sb="30" eb="32">
      <t>シュツリョク</t>
    </rPh>
    <rPh sb="32" eb="34">
      <t>カノウ</t>
    </rPh>
    <rPh sb="35" eb="37">
      <t>チョウヒョウ</t>
    </rPh>
    <rPh sb="38" eb="40">
      <t>サクセイ</t>
    </rPh>
    <phoneticPr fontId="6"/>
  </si>
  <si>
    <t>MRでできるのであれば審査対象外
株主資本等変動計算書、注記表、キャッシュフロー計算書はシステム化対象外</t>
    <rPh sb="11" eb="13">
      <t>シンサ</t>
    </rPh>
    <rPh sb="13" eb="16">
      <t>タイショウガイ</t>
    </rPh>
    <rPh sb="48" eb="49">
      <t>カ</t>
    </rPh>
    <rPh sb="49" eb="52">
      <t>タイショウガイ</t>
    </rPh>
    <phoneticPr fontId="6"/>
  </si>
  <si>
    <t>Req027</t>
  </si>
  <si>
    <t>各財務諸表類の前年度比較ができること</t>
    <rPh sb="0" eb="1">
      <t>カク</t>
    </rPh>
    <rPh sb="1" eb="5">
      <t>ザイムショヒョウ</t>
    </rPh>
    <rPh sb="5" eb="6">
      <t>ルイ</t>
    </rPh>
    <rPh sb="7" eb="10">
      <t>ゼンネンド</t>
    </rPh>
    <phoneticPr fontId="3"/>
  </si>
  <si>
    <t>前年同期比で各財務諸表類の比較照合ができる機能</t>
    <rPh sb="0" eb="5">
      <t>ゼンネンドウキヒ</t>
    </rPh>
    <rPh sb="6" eb="7">
      <t>カク</t>
    </rPh>
    <rPh sb="7" eb="11">
      <t>ザイムショヒョウ</t>
    </rPh>
    <rPh sb="11" eb="12">
      <t>ルイ</t>
    </rPh>
    <rPh sb="13" eb="15">
      <t>ヒカク</t>
    </rPh>
    <rPh sb="15" eb="17">
      <t>ショウゴウ</t>
    </rPh>
    <rPh sb="21" eb="23">
      <t>キノウ</t>
    </rPh>
    <phoneticPr fontId="3"/>
  </si>
  <si>
    <t>単年度があればよい、前年度の比較は不要。</t>
  </si>
  <si>
    <t>Req028</t>
  </si>
  <si>
    <t>年次毎に下記の決算開示書類を作成すること
・計算書類
・附属明細書
・決算短信
・事業報告書
・勘定明細</t>
    <rPh sb="7" eb="13">
      <t>ケッサンカイジショルイ</t>
    </rPh>
    <rPh sb="14" eb="16">
      <t>サクセイ</t>
    </rPh>
    <rPh sb="48" eb="52">
      <t>カンジョウメイサイ</t>
    </rPh>
    <phoneticPr fontId="3"/>
  </si>
  <si>
    <t>決算開示書類を作成・出力する機能</t>
    <rPh sb="0" eb="6">
      <t>ケッサンカイジショルイ</t>
    </rPh>
    <rPh sb="7" eb="9">
      <t>サクセイ</t>
    </rPh>
    <rPh sb="10" eb="12">
      <t>シュツリョク</t>
    </rPh>
    <rPh sb="14" eb="16">
      <t>キノウ</t>
    </rPh>
    <phoneticPr fontId="3"/>
  </si>
  <si>
    <t>決算開示書類向けのローデータを出力することは可能であるが、各表毎の仕訳トランザクションから取得できない情報については、別途追加編集が必要。</t>
    <rPh sb="6" eb="7">
      <t>ム</t>
    </rPh>
    <rPh sb="15" eb="17">
      <t>シュツリョク</t>
    </rPh>
    <rPh sb="22" eb="24">
      <t>カノウ</t>
    </rPh>
    <rPh sb="29" eb="31">
      <t>カクヒョウ</t>
    </rPh>
    <rPh sb="31" eb="32">
      <t>ゴト</t>
    </rPh>
    <rPh sb="33" eb="35">
      <t>シワケ</t>
    </rPh>
    <rPh sb="45" eb="47">
      <t>シュトク</t>
    </rPh>
    <rPh sb="51" eb="53">
      <t>ジョウホウ</t>
    </rPh>
    <rPh sb="59" eb="61">
      <t>ベット</t>
    </rPh>
    <rPh sb="61" eb="63">
      <t>ツイカ</t>
    </rPh>
    <rPh sb="63" eb="65">
      <t>ヘンシュウ</t>
    </rPh>
    <rPh sb="66" eb="68">
      <t>ヒツヨウ</t>
    </rPh>
    <phoneticPr fontId="3"/>
  </si>
  <si>
    <t>仕訳トランザクションから取得できない情報については別途検討が必要。</t>
  </si>
  <si>
    <t>決算開示書類向けのローデータを出力して、各表毎の仕訳トランザクションから取得できない情報については、別途追加編集を行う。</t>
    <rPh sb="57" eb="58">
      <t>オコナ</t>
    </rPh>
    <phoneticPr fontId="6"/>
  </si>
  <si>
    <t>Req029</t>
  </si>
  <si>
    <t>決算開示書類の計算書類や付属明細書、勘定明細書の前年度比較ができること</t>
    <rPh sb="0" eb="4">
      <t>ケッサンカイジ</t>
    </rPh>
    <rPh sb="4" eb="6">
      <t>ショルイ</t>
    </rPh>
    <rPh sb="7" eb="11">
      <t>ケイサンショルイ</t>
    </rPh>
    <rPh sb="12" eb="17">
      <t>フゾクメイサイショ</t>
    </rPh>
    <rPh sb="18" eb="23">
      <t>カンジョウメイサイショ</t>
    </rPh>
    <rPh sb="24" eb="27">
      <t>ゼンネンド</t>
    </rPh>
    <phoneticPr fontId="3"/>
  </si>
  <si>
    <t>前年同期比で各決算開示書類の比較照合ができる機能</t>
    <rPh sb="0" eb="5">
      <t>ゼンネンドウキヒ</t>
    </rPh>
    <rPh sb="6" eb="7">
      <t>カク</t>
    </rPh>
    <rPh sb="7" eb="13">
      <t>ケッサンカイジショルイ</t>
    </rPh>
    <rPh sb="14" eb="16">
      <t>ヒカク</t>
    </rPh>
    <rPh sb="16" eb="18">
      <t>ショウゴウ</t>
    </rPh>
    <rPh sb="22" eb="24">
      <t>キノウ</t>
    </rPh>
    <phoneticPr fontId="3"/>
  </si>
  <si>
    <t>BSに関しては出力可能、PLは出力ができていない状況。BSはSAPの中で比較することはなく、Excelで各社2期比較のBS/PLを作成している。
決算開示書類も現状、Excelで作成している。
計算書類、出力明細、勘定明細の前年度比較ができることとなっているが、帳票としてはそれぞれの単年度の数字だけでいい。
BS、PLの前年比較ができれば決算開示書類の前年比較はできなくても差し支えないと考えている。</t>
  </si>
  <si>
    <t>決算開示書類向けのローデータを出力し、各表毎の仕訳トランザクションから取得できない情報については、別途追加編集を行う</t>
    <rPh sb="56" eb="57">
      <t>オコナ</t>
    </rPh>
    <phoneticPr fontId="6"/>
  </si>
  <si>
    <t>Req030</t>
  </si>
  <si>
    <r>
      <t xml:space="preserve">指定された会計期間時点での以下の帳簿類を、全社、部門別で、画面照会および出力できること。また、これらの帳簿を指定した日にシステムから指定したデータを自動で保存できること。
</t>
    </r>
    <r>
      <rPr>
        <b/>
        <sz val="11"/>
        <color rgb="FFFF0000"/>
        <rFont val="Meiryo UI"/>
        <family val="3"/>
        <charset val="128"/>
      </rPr>
      <t>定期的に静止データとして帳票等に自動保存させたい</t>
    </r>
    <r>
      <rPr>
        <sz val="11"/>
        <rFont val="Meiryo UI"/>
        <family val="3"/>
        <charset val="128"/>
      </rPr>
      <t xml:space="preserve">
・仕訳帳
（仕訳のステータス(未承認、転記済み、エラー)を区分として、仕訳帳が画面照会および帳票出力でき、仕訳一覧から、ドリルダウンして明細情報が確認できること）
・総勘定元帳
（指定された会計期間(月次/年度等)における、仕訳明細情報(借方、貸方、残高)が、勘定科目別、伝票日付別、転記処理日別、仕訳ソース別、仕訳カテゴリー別等に集計された一覧）
（指定された会計期間(月次/年度等)における、仕訳明細情報(借方、貸方、残高)が、勘定科目別、伝票日付別、転記処理日別、仕訳ソース別、仕訳カテゴリー別等に集計された一覧）
・補助簿（固定資産台帳を含む）
（指定された会計期間(月次/年度等)における、仕訳の明細情報の勘定科目別、伝票日付別、取引先別等の一覧）
・勘定残高表
（指定された会計期間(月次/年度等)における、指定された勘定科目の残高(前期末残高、借方、貸方)が集計された一覧）
・消費税台帳
（指定された会計期間(月次/年度等)における、売上高・仕入高と消費税額がで集計された一覧）</t>
    </r>
    <rPh sb="16" eb="18">
      <t>チョウボ</t>
    </rPh>
    <rPh sb="18" eb="19">
      <t>ルイ</t>
    </rPh>
    <rPh sb="51" eb="53">
      <t>チョウボ</t>
    </rPh>
    <rPh sb="58" eb="59">
      <t>ヒ</t>
    </rPh>
    <rPh sb="112" eb="115">
      <t>シワケチョウ</t>
    </rPh>
    <rPh sb="194" eb="199">
      <t>ソウカンジョウモトチョウ</t>
    </rPh>
    <rPh sb="211" eb="213">
      <t>ゲツジ</t>
    </rPh>
    <rPh sb="214" eb="216">
      <t>ネンド</t>
    </rPh>
    <rPh sb="216" eb="217">
      <t>トウ</t>
    </rPh>
    <rPh sb="275" eb="276">
      <t>トウ</t>
    </rPh>
    <rPh sb="377" eb="381">
      <t>コテイシサン</t>
    </rPh>
    <rPh sb="381" eb="383">
      <t>ダイチョウ</t>
    </rPh>
    <rPh sb="384" eb="385">
      <t>フク</t>
    </rPh>
    <rPh sb="399" eb="401">
      <t>ゲツジ</t>
    </rPh>
    <rPh sb="402" eb="404">
      <t>ネンド</t>
    </rPh>
    <rPh sb="404" eb="405">
      <t>ナド</t>
    </rPh>
    <rPh sb="431" eb="434">
      <t>トリヒキサキ</t>
    </rPh>
    <rPh sb="434" eb="435">
      <t>ベツ</t>
    </rPh>
    <rPh sb="435" eb="436">
      <t>トウ</t>
    </rPh>
    <rPh sb="442" eb="444">
      <t>カンジョウ</t>
    </rPh>
    <rPh sb="444" eb="446">
      <t>ザンダカ</t>
    </rPh>
    <rPh sb="446" eb="447">
      <t>ヒョウ</t>
    </rPh>
    <rPh sb="459" eb="461">
      <t>ゲツジ</t>
    </rPh>
    <rPh sb="462" eb="464">
      <t>ネンド</t>
    </rPh>
    <rPh sb="464" eb="465">
      <t>トウ</t>
    </rPh>
    <rPh sb="507" eb="510">
      <t>ショウヒゼイ</t>
    </rPh>
    <rPh sb="510" eb="512">
      <t>ダイチョウ</t>
    </rPh>
    <rPh sb="524" eb="526">
      <t>ゲツジ</t>
    </rPh>
    <rPh sb="527" eb="530">
      <t>ネンドトウ</t>
    </rPh>
    <phoneticPr fontId="3"/>
  </si>
  <si>
    <t>仕訳帳、総勘定元帳、補助記入帳、補助元帳、勘定残高表、消費税台帳等を出力、また、指定日に応じて自動保存する機能</t>
    <rPh sb="0" eb="3">
      <t>シワケチョウ</t>
    </rPh>
    <rPh sb="4" eb="7">
      <t>ソウカンジョウ</t>
    </rPh>
    <rPh sb="10" eb="15">
      <t>ホジョキニュウチョウ</t>
    </rPh>
    <rPh sb="16" eb="20">
      <t>ホジョモトチョウ</t>
    </rPh>
    <rPh sb="21" eb="23">
      <t>カンジョウ</t>
    </rPh>
    <rPh sb="23" eb="25">
      <t>ザンダカ</t>
    </rPh>
    <rPh sb="25" eb="26">
      <t>ヒョウ</t>
    </rPh>
    <rPh sb="27" eb="30">
      <t>ショウヒゼイ</t>
    </rPh>
    <rPh sb="30" eb="32">
      <t>ダイチョウ</t>
    </rPh>
    <rPh sb="32" eb="33">
      <t>トウ</t>
    </rPh>
    <rPh sb="40" eb="43">
      <t>シテイビ</t>
    </rPh>
    <rPh sb="44" eb="45">
      <t>オウ</t>
    </rPh>
    <rPh sb="47" eb="49">
      <t>ジドウ</t>
    </rPh>
    <rPh sb="49" eb="51">
      <t>ホゾン</t>
    </rPh>
    <phoneticPr fontId="3"/>
  </si>
  <si>
    <t xml:space="preserve">標準の帳票作成ツールManagementReporterを使って、スケジュールバッチ出力ができるが、MRでは、出力指示や表示内容に制限があるので、各帳票ごとに検討が必要。
固定資産台帳や消費税台帳は、ManagementReportでの出力は不可。
</t>
    <rPh sb="82" eb="84">
      <t>ヒツヨウ</t>
    </rPh>
    <rPh sb="86" eb="90">
      <t>コテイシサン</t>
    </rPh>
    <rPh sb="90" eb="92">
      <t>ダイチョウ</t>
    </rPh>
    <rPh sb="93" eb="96">
      <t>ショウヒゼイ</t>
    </rPh>
    <rPh sb="96" eb="98">
      <t>ダイチョウ</t>
    </rPh>
    <rPh sb="118" eb="120">
      <t>シュツリョク</t>
    </rPh>
    <rPh sb="121" eb="123">
      <t>フカ</t>
    </rPh>
    <phoneticPr fontId="3"/>
  </si>
  <si>
    <t>決算チームでは、通常の帳票出力機能で問題ない定期的な自動保存などの要件はない。
2/7　事務管理チーム確認
月次で3社のBSとPLを期間指定して手動で保存し、各社の勘定照合を行っている。よって、画面で必要な期間指定にて照会できれば、
自動保存は不要。最低レベルで、手動で出力したものを保管できれば良い。自動でできればなお良い。
過去のデータを使用するなど、自動でマクロを読んで貼り付けすることなども行っているのでExcelに出力できれば良い。</t>
    <phoneticPr fontId="6"/>
  </si>
  <si>
    <t>ManagementReporterで、バッチスケジュール可能なものは自動スケジュール出力。
それ以外の帳票は、手動で出力したものを保管する。</t>
    <rPh sb="29" eb="31">
      <t>カノウ</t>
    </rPh>
    <rPh sb="35" eb="37">
      <t>ジドウ</t>
    </rPh>
    <rPh sb="43" eb="45">
      <t>シュツリョク</t>
    </rPh>
    <rPh sb="49" eb="51">
      <t>イガイ</t>
    </rPh>
    <rPh sb="52" eb="54">
      <t>チョウヒョウ</t>
    </rPh>
    <phoneticPr fontId="6"/>
  </si>
  <si>
    <t>Req031</t>
  </si>
  <si>
    <t>当日を含め指定した特定の日付に転記された伝票明細表が画面照会および帳票出力できること
※伝票の仕訳情報の一覧</t>
    <rPh sb="0" eb="2">
      <t>トウジツ</t>
    </rPh>
    <rPh sb="3" eb="4">
      <t>フク</t>
    </rPh>
    <rPh sb="5" eb="7">
      <t>シテイ</t>
    </rPh>
    <rPh sb="9" eb="11">
      <t>トクテイ</t>
    </rPh>
    <rPh sb="12" eb="14">
      <t>ヒヅケ</t>
    </rPh>
    <rPh sb="15" eb="17">
      <t>テンキ</t>
    </rPh>
    <phoneticPr fontId="3"/>
  </si>
  <si>
    <t>当日を含め指定した特定の日付に転記された伝票の明細表を出力する機能</t>
  </si>
  <si>
    <t>伝票トランザクション(伝票明細確認画面)にてフィルタ指定で伝票の検索および明細出力が可能</t>
    <rPh sb="11" eb="13">
      <t>デンピョウ</t>
    </rPh>
    <rPh sb="13" eb="15">
      <t>メイサイ</t>
    </rPh>
    <rPh sb="15" eb="17">
      <t>カクニン</t>
    </rPh>
    <rPh sb="17" eb="19">
      <t>ガメン</t>
    </rPh>
    <rPh sb="26" eb="28">
      <t>シテイ</t>
    </rPh>
    <rPh sb="29" eb="31">
      <t>デンピョウ</t>
    </rPh>
    <rPh sb="32" eb="34">
      <t>ケンサク</t>
    </rPh>
    <rPh sb="37" eb="39">
      <t>メイサイ</t>
    </rPh>
    <rPh sb="39" eb="41">
      <t>シュツリョク</t>
    </rPh>
    <rPh sb="42" eb="44">
      <t>カノウ</t>
    </rPh>
    <phoneticPr fontId="3"/>
  </si>
  <si>
    <t>Req032</t>
  </si>
  <si>
    <t>当日を含め指定した特定の日付に転記された伝票集計表が画面照会および帳票出力できること
※伝票の仕訳情報が勘定科目等別に集計された一覧</t>
    <rPh sb="56" eb="57">
      <t>トウ</t>
    </rPh>
    <phoneticPr fontId="3"/>
  </si>
  <si>
    <t>当日を含め指定した特定の日付に転記された伝票の集計表を出力する機能</t>
  </si>
  <si>
    <t>伝票トランザクション(伝票明細確認画面)のフィルタし結果をExcel出力して科目集計。
または、分析コード明細書で「合計」モードで科目残高を出力</t>
    <rPh sb="11" eb="13">
      <t>デンピョウ</t>
    </rPh>
    <rPh sb="13" eb="15">
      <t>メイサイ</t>
    </rPh>
    <rPh sb="15" eb="17">
      <t>カクニン</t>
    </rPh>
    <rPh sb="17" eb="19">
      <t>ガメン</t>
    </rPh>
    <rPh sb="26" eb="28">
      <t>ケッカ</t>
    </rPh>
    <rPh sb="38" eb="40">
      <t>カモク</t>
    </rPh>
    <rPh sb="40" eb="42">
      <t>シュウケイ</t>
    </rPh>
    <rPh sb="48" eb="50">
      <t>ブンセキ</t>
    </rPh>
    <rPh sb="53" eb="56">
      <t>メイサイショ</t>
    </rPh>
    <rPh sb="58" eb="60">
      <t>ゴウケイ</t>
    </rPh>
    <rPh sb="65" eb="67">
      <t>カモク</t>
    </rPh>
    <rPh sb="67" eb="69">
      <t>ザンダカ</t>
    </rPh>
    <rPh sb="70" eb="72">
      <t>シュツリョク</t>
    </rPh>
    <phoneticPr fontId="3"/>
  </si>
  <si>
    <t>Req033</t>
  </si>
  <si>
    <t>売上高明細表・仕入高明細表が画面照会および帳票出力できること
※指定された会計期間における、売上仕入対象勘定科目の仕訳明細情報の一覧</t>
  </si>
  <si>
    <t>売上仕入対象勘定の実績から売上高明細表・仕入高明細表を出力する機能</t>
  </si>
  <si>
    <t>伝票トランザクション(伝票明細確認画面)にてフィルタ指定で売上高明細、仕入高明細の確認が可能。</t>
    <rPh sb="11" eb="13">
      <t>デンピョウ</t>
    </rPh>
    <rPh sb="13" eb="15">
      <t>メイサイ</t>
    </rPh>
    <rPh sb="15" eb="17">
      <t>カクニン</t>
    </rPh>
    <rPh sb="17" eb="19">
      <t>ガメン</t>
    </rPh>
    <rPh sb="26" eb="28">
      <t>シテイ</t>
    </rPh>
    <rPh sb="29" eb="31">
      <t>ウリアゲ</t>
    </rPh>
    <rPh sb="31" eb="32">
      <t>ダカ</t>
    </rPh>
    <rPh sb="32" eb="34">
      <t>メイサイ</t>
    </rPh>
    <rPh sb="35" eb="37">
      <t>シイレ</t>
    </rPh>
    <rPh sb="37" eb="38">
      <t>ダカ</t>
    </rPh>
    <rPh sb="38" eb="40">
      <t>メイサイ</t>
    </rPh>
    <rPh sb="41" eb="43">
      <t>カクニン</t>
    </rPh>
    <rPh sb="44" eb="46">
      <t>カノウ</t>
    </rPh>
    <phoneticPr fontId="3"/>
  </si>
  <si>
    <t>Req034</t>
  </si>
  <si>
    <t>売上高集計表、仕入高集計表が画面照会および帳票出力できること
※指定された会計期間における、売上対象勘定科目・仕入対象勘定科目の実績が集計された一覧</t>
  </si>
  <si>
    <t>売上仕入対象勘定の実績から売上高集計表・仕入高集計表を出力する機能</t>
    <rPh sb="16" eb="18">
      <t>シュウケイ</t>
    </rPh>
    <rPh sb="23" eb="25">
      <t>シュウケイ</t>
    </rPh>
    <phoneticPr fontId="3"/>
  </si>
  <si>
    <t>試算表で対象科目をフィルタすることで、売上高集計表・仕入高集計表を出力可能
または、ManagementReportで残高表を作成</t>
    <rPh sb="0" eb="3">
      <t>シサンヒョウ</t>
    </rPh>
    <rPh sb="4" eb="6">
      <t>タイショウ</t>
    </rPh>
    <rPh sb="6" eb="8">
      <t>カモク</t>
    </rPh>
    <rPh sb="35" eb="37">
      <t>カノウ</t>
    </rPh>
    <rPh sb="59" eb="62">
      <t>ザンダカヒョウ</t>
    </rPh>
    <rPh sb="63" eb="65">
      <t>サクセイ</t>
    </rPh>
    <phoneticPr fontId="3"/>
  </si>
  <si>
    <t>Req035</t>
  </si>
  <si>
    <t>接待交際費集計表が画面照会および帳票出力できること
※指定された会計期間(月次/年度等)における接待交際費の仕訳明細情報が、勘定科目、細目、月別等に集計された一覧</t>
  </si>
  <si>
    <t>接待交際費集計表を出力する機能</t>
  </si>
  <si>
    <t>楽楽精算で帳票出力しているが、財務分析コードに交際費分類を設定も可か。楽楽精算から補助科目でIF？（武市）</t>
    <rPh sb="0" eb="4">
      <t>ラクラクセイサン</t>
    </rPh>
    <rPh sb="5" eb="9">
      <t>チョウヒョウシュツリョク</t>
    </rPh>
    <rPh sb="15" eb="19">
      <t>ザイムブンセキ</t>
    </rPh>
    <rPh sb="23" eb="28">
      <t>コウサイヒブンルイ</t>
    </rPh>
    <rPh sb="29" eb="31">
      <t>セッテイ</t>
    </rPh>
    <rPh sb="32" eb="33">
      <t>カ</t>
    </rPh>
    <rPh sb="35" eb="39">
      <t>ラクラクセイサン</t>
    </rPh>
    <rPh sb="41" eb="45">
      <t>ホジョカモク</t>
    </rPh>
    <rPh sb="50" eb="52">
      <t>タケイチ</t>
    </rPh>
    <phoneticPr fontId="6"/>
  </si>
  <si>
    <t>税務</t>
    <rPh sb="0" eb="2">
      <t>ゼイム</t>
    </rPh>
    <phoneticPr fontId="6"/>
  </si>
  <si>
    <t>試算表で対象科目をフィルタすることで、科目集計表を出力可能
または、ManagementReportで残高表を作成</t>
    <rPh sb="0" eb="3">
      <t>シサンヒョウ</t>
    </rPh>
    <rPh sb="4" eb="6">
      <t>タイショウ</t>
    </rPh>
    <rPh sb="6" eb="8">
      <t>カモク</t>
    </rPh>
    <rPh sb="19" eb="21">
      <t>カモク</t>
    </rPh>
    <rPh sb="27" eb="29">
      <t>カノウ</t>
    </rPh>
    <rPh sb="51" eb="54">
      <t>ザンダカヒョウ</t>
    </rPh>
    <rPh sb="55" eb="57">
      <t>サクセイ</t>
    </rPh>
    <phoneticPr fontId="3"/>
  </si>
  <si>
    <t>Req036</t>
  </si>
  <si>
    <t>消費税申告書と申告書作成に必要なデータが作成・出力できること</t>
    <rPh sb="0" eb="3">
      <t>ショウヒゼイ</t>
    </rPh>
    <rPh sb="3" eb="6">
      <t>シンコクショ</t>
    </rPh>
    <rPh sb="7" eb="10">
      <t>シンコクショ</t>
    </rPh>
    <rPh sb="10" eb="12">
      <t>サクセイ</t>
    </rPh>
    <rPh sb="13" eb="15">
      <t>ヒツヨウ</t>
    </rPh>
    <rPh sb="20" eb="22">
      <t>サクセイ</t>
    </rPh>
    <rPh sb="23" eb="25">
      <t>シュツリョク</t>
    </rPh>
    <phoneticPr fontId="3"/>
  </si>
  <si>
    <t>消費税申告書を作成・出力する機能</t>
    <rPh sb="0" eb="3">
      <t>ショウヒゼイ</t>
    </rPh>
    <rPh sb="3" eb="6">
      <t>シンコクショ</t>
    </rPh>
    <rPh sb="7" eb="9">
      <t>サクセイ</t>
    </rPh>
    <rPh sb="10" eb="12">
      <t>シュツリョク</t>
    </rPh>
    <rPh sb="14" eb="16">
      <t>キノウ</t>
    </rPh>
    <phoneticPr fontId="3"/>
  </si>
  <si>
    <t>現状、税務会計ソフト側で申告書を作成しているので
その元データが出力できればよい。</t>
    <rPh sb="0" eb="2">
      <t>ゲンジョウ</t>
    </rPh>
    <rPh sb="10" eb="11">
      <t>ガワ</t>
    </rPh>
    <rPh sb="27" eb="28">
      <t>モト</t>
    </rPh>
    <rPh sb="32" eb="34">
      <t>シュツリョク</t>
    </rPh>
    <phoneticPr fontId="3"/>
  </si>
  <si>
    <t>Req037</t>
    <phoneticPr fontId="6"/>
  </si>
  <si>
    <t>消費税の申告を行うこと</t>
    <rPh sb="0" eb="3">
      <t>ショウヒゼイ</t>
    </rPh>
    <rPh sb="4" eb="6">
      <t>シンコク</t>
    </rPh>
    <rPh sb="7" eb="8">
      <t>オコナ</t>
    </rPh>
    <phoneticPr fontId="3"/>
  </si>
  <si>
    <t>税務会計ソフトに消費税申告書作成に必要なデータを連携する機能</t>
    <rPh sb="8" eb="11">
      <t>ショウヒゼイ</t>
    </rPh>
    <rPh sb="11" eb="14">
      <t>シンコクショ</t>
    </rPh>
    <rPh sb="14" eb="16">
      <t>サクセイ</t>
    </rPh>
    <rPh sb="17" eb="19">
      <t>ヒツヨウ</t>
    </rPh>
    <rPh sb="24" eb="26">
      <t>レンケイ</t>
    </rPh>
    <rPh sb="28" eb="30">
      <t>キノウ</t>
    </rPh>
    <phoneticPr fontId="3"/>
  </si>
  <si>
    <t>標準の消費税トランザクションレポートをEXCEL出力して税務会計ソフトの取込フォーマットに変換して連携することが考えられるが、集計作業をEXCELで行う必要があり、データ量がおおいので、データ出力機能をアドオンすることを推奨
サンプル受領「SEJ2023年12月度_消費税申告書.xlsx」</t>
    <rPh sb="0" eb="2">
      <t>ヒョウジュン</t>
    </rPh>
    <rPh sb="56" eb="57">
      <t>カンガ</t>
    </rPh>
    <phoneticPr fontId="3"/>
  </si>
  <si>
    <t>SAPから出力したものをそのまま使用しているわけではなく、Excelで加工を行っているので
この作業がシステムでカバーできるのであれば入力は複雑ではないので、データの連携はできなくてもよい。
算出に時間がかかっているので現状のレポートを確認して検討する。</t>
  </si>
  <si>
    <t>FOの消費税レコード情報を税務会計ソフトの取込フォーマットに変換して出力するようなアドオン機能が必要</t>
    <rPh sb="3" eb="6">
      <t>ショウヒゼイ</t>
    </rPh>
    <rPh sb="10" eb="12">
      <t>ジョウホウ</t>
    </rPh>
    <rPh sb="34" eb="36">
      <t>シュツリョク</t>
    </rPh>
    <rPh sb="45" eb="47">
      <t>キノウ</t>
    </rPh>
    <rPh sb="48" eb="50">
      <t>ヒツヨウ</t>
    </rPh>
    <phoneticPr fontId="6"/>
  </si>
  <si>
    <t>SEJ2023年12月度_消費税申告書.xlsxの申告書フォームを想定した帳票出力</t>
    <rPh sb="25" eb="28">
      <t>シンコクショ</t>
    </rPh>
    <rPh sb="33" eb="35">
      <t>ソウテイ</t>
    </rPh>
    <rPh sb="37" eb="39">
      <t>チョウヒョウ</t>
    </rPh>
    <rPh sb="39" eb="41">
      <t>シュツリョク</t>
    </rPh>
    <phoneticPr fontId="6"/>
  </si>
  <si>
    <t>標準機能で出せる元情報では難しいのか、要確認</t>
    <rPh sb="0" eb="2">
      <t>ヒョウジュン</t>
    </rPh>
    <rPh sb="2" eb="4">
      <t>キノウ</t>
    </rPh>
    <rPh sb="5" eb="6">
      <t>ダ</t>
    </rPh>
    <rPh sb="8" eb="11">
      <t>モトジョウホウ</t>
    </rPh>
    <rPh sb="13" eb="14">
      <t>ムズカ</t>
    </rPh>
    <rPh sb="19" eb="22">
      <t>ヨウカクニン</t>
    </rPh>
    <phoneticPr fontId="6"/>
  </si>
  <si>
    <t>Req038</t>
  </si>
  <si>
    <t>法人税申告書と申告書作成に必要なデータが作成・出力できること</t>
    <rPh sb="0" eb="3">
      <t>ホウジンゼイ</t>
    </rPh>
    <rPh sb="3" eb="6">
      <t>シンコクショ</t>
    </rPh>
    <rPh sb="7" eb="10">
      <t>シンコクショ</t>
    </rPh>
    <rPh sb="10" eb="12">
      <t>サクセイ</t>
    </rPh>
    <rPh sb="13" eb="15">
      <t>ヒツヨウ</t>
    </rPh>
    <rPh sb="20" eb="22">
      <t>サクセイ</t>
    </rPh>
    <rPh sb="23" eb="25">
      <t>シュツリョク</t>
    </rPh>
    <phoneticPr fontId="3"/>
  </si>
  <si>
    <t>法人税申告書を作成・出力する機能</t>
    <rPh sb="0" eb="3">
      <t>ホウジンゼイ</t>
    </rPh>
    <rPh sb="3" eb="6">
      <t>シンコクショ</t>
    </rPh>
    <rPh sb="7" eb="9">
      <t>サクセイ</t>
    </rPh>
    <rPh sb="10" eb="12">
      <t>シュツリョク</t>
    </rPh>
    <rPh sb="14" eb="16">
      <t>キノウ</t>
    </rPh>
    <phoneticPr fontId="3"/>
  </si>
  <si>
    <t>Req039</t>
  </si>
  <si>
    <t>法人税の申告を行うこと</t>
    <rPh sb="0" eb="3">
      <t>ホウジンゼイ</t>
    </rPh>
    <rPh sb="4" eb="6">
      <t>シンコク</t>
    </rPh>
    <rPh sb="7" eb="8">
      <t>オコナ</t>
    </rPh>
    <phoneticPr fontId="3"/>
  </si>
  <si>
    <t>税務会計ソフトに法人税申告書作成に必要なデータを連携する機能</t>
    <rPh sb="8" eb="11">
      <t>ホウジンゼイ</t>
    </rPh>
    <rPh sb="11" eb="14">
      <t>シンコクショ</t>
    </rPh>
    <rPh sb="14" eb="16">
      <t>サクセイ</t>
    </rPh>
    <rPh sb="17" eb="19">
      <t>ヒツヨウ</t>
    </rPh>
    <rPh sb="24" eb="26">
      <t>レンケイ</t>
    </rPh>
    <rPh sb="28" eb="30">
      <t>キノウ</t>
    </rPh>
    <phoneticPr fontId="3"/>
  </si>
  <si>
    <t>サンプル受領「202312_SEJ_税金計算ファイル(会計Final)」
へのインプットデータは、試算表データのイメージでよいか？</t>
    <rPh sb="4" eb="6">
      <t>ジュリョウ</t>
    </rPh>
    <phoneticPr fontId="6"/>
  </si>
  <si>
    <t>サンプル受領「202312_SEJ_税金計算ファイル(会計Final)」
会社によって出力が違うので、会計ソフトで連動が難しいと考えている。現在、手作業で加工しているものが一部ある。
Excel加工後のものが出力できるとよい。
2024/03/26
EXCEL上での加工作業が細かいので、Excel各シート加工後のものの出力までは不要。
各種対象科目の残高と明細を出力する機能があればよい。</t>
    <phoneticPr fontId="6"/>
  </si>
  <si>
    <t>現在、手作業でEXCEL加工しているデータを作成するアドオンを検討
試算表データイメージの出力でよいか？</t>
    <rPh sb="22" eb="24">
      <t>サクセイ</t>
    </rPh>
    <rPh sb="31" eb="33">
      <t>ケントウ</t>
    </rPh>
    <rPh sb="34" eb="37">
      <t>シサンヒョウ</t>
    </rPh>
    <rPh sb="45" eb="47">
      <t>シュツリョク</t>
    </rPh>
    <phoneticPr fontId="6"/>
  </si>
  <si>
    <t>各種対象科目の残高と明細を出力するMR設定を検討
MRでは集計表からドリルダウンして明細を表示する機能はあるが最初から明細表を出力する機能がないのでアドオン検討</t>
    <rPh sb="0" eb="2">
      <t>カクシュ</t>
    </rPh>
    <rPh sb="2" eb="6">
      <t>タイショウカモク</t>
    </rPh>
    <rPh sb="7" eb="9">
      <t>ザンダカ</t>
    </rPh>
    <rPh sb="10" eb="12">
      <t>メイサイ</t>
    </rPh>
    <rPh sb="13" eb="15">
      <t>シュツリョク</t>
    </rPh>
    <rPh sb="19" eb="21">
      <t>セッテイ</t>
    </rPh>
    <rPh sb="22" eb="24">
      <t>ケントウ</t>
    </rPh>
    <rPh sb="29" eb="32">
      <t>シュウケイヒョウ</t>
    </rPh>
    <rPh sb="42" eb="44">
      <t>メイサイ</t>
    </rPh>
    <rPh sb="45" eb="47">
      <t>ヒョウジ</t>
    </rPh>
    <rPh sb="49" eb="51">
      <t>キノウ</t>
    </rPh>
    <rPh sb="55" eb="57">
      <t>サイショ</t>
    </rPh>
    <rPh sb="59" eb="61">
      <t>メイサイ</t>
    </rPh>
    <rPh sb="61" eb="62">
      <t>ヒョウ</t>
    </rPh>
    <rPh sb="63" eb="65">
      <t>シュツリョク</t>
    </rPh>
    <rPh sb="67" eb="69">
      <t>キノウ</t>
    </rPh>
    <rPh sb="78" eb="80">
      <t>ケントウ</t>
    </rPh>
    <phoneticPr fontId="6"/>
  </si>
  <si>
    <t>Req040</t>
  </si>
  <si>
    <t>事業税申告書と申告書作成に必要なデータが作成・出力できること</t>
    <rPh sb="0" eb="3">
      <t>ジギョウゼイ</t>
    </rPh>
    <rPh sb="3" eb="6">
      <t>シンコクショ</t>
    </rPh>
    <rPh sb="7" eb="10">
      <t>シンコクショ</t>
    </rPh>
    <rPh sb="10" eb="12">
      <t>サクセイ</t>
    </rPh>
    <rPh sb="13" eb="15">
      <t>ヒツヨウ</t>
    </rPh>
    <rPh sb="20" eb="22">
      <t>サクセイ</t>
    </rPh>
    <rPh sb="23" eb="25">
      <t>シュツリョク</t>
    </rPh>
    <phoneticPr fontId="3"/>
  </si>
  <si>
    <t>事業税申告書を作成・出力する機能</t>
    <rPh sb="0" eb="3">
      <t>ジギョウゼイ</t>
    </rPh>
    <rPh sb="3" eb="6">
      <t>シンコクショ</t>
    </rPh>
    <rPh sb="7" eb="9">
      <t>サクセイ</t>
    </rPh>
    <rPh sb="10" eb="12">
      <t>シュツリョク</t>
    </rPh>
    <rPh sb="14" eb="16">
      <t>キノウ</t>
    </rPh>
    <phoneticPr fontId="3"/>
  </si>
  <si>
    <t>Req041</t>
    <phoneticPr fontId="6"/>
  </si>
  <si>
    <t>事業税の申告を行うこと</t>
    <rPh sb="0" eb="3">
      <t>ジギョウゼイ</t>
    </rPh>
    <rPh sb="4" eb="6">
      <t>シンコク</t>
    </rPh>
    <rPh sb="7" eb="8">
      <t>オコナ</t>
    </rPh>
    <phoneticPr fontId="3"/>
  </si>
  <si>
    <t>税務会計ソフトに事業税申告書作成に必要なデータを連携する機能</t>
    <rPh sb="8" eb="11">
      <t>ジギョウゼイ</t>
    </rPh>
    <rPh sb="11" eb="14">
      <t>シンコクショ</t>
    </rPh>
    <rPh sb="14" eb="16">
      <t>サクセイ</t>
    </rPh>
    <rPh sb="17" eb="19">
      <t>ヒツヨウ</t>
    </rPh>
    <rPh sb="24" eb="26">
      <t>レンケイ</t>
    </rPh>
    <rPh sb="28" eb="30">
      <t>キノウ</t>
    </rPh>
    <phoneticPr fontId="3"/>
  </si>
  <si>
    <t>サンプル受領「202312 外形標準資料」
対象勘定明細出力（相手勘定あり）
業務委託料や支払賃料</t>
    <rPh sb="4" eb="6">
      <t>ジュリョウ</t>
    </rPh>
    <phoneticPr fontId="6"/>
  </si>
  <si>
    <t xml:space="preserve">会社によって出力が違うので、会計ソフトで連動が難しいと考えている。現在、手作業で加工しているものが一部ある。
Excel加工後のものが出力できるとよい。
</t>
    <phoneticPr fontId="6"/>
  </si>
  <si>
    <t>現在、手作業でEXCEL加工しているデータを作成するアドオンを検討
対象勘定明細出力（相手勘定あり）
業務委託料や支払賃料</t>
    <rPh sb="22" eb="24">
      <t>サクセイ</t>
    </rPh>
    <rPh sb="31" eb="33">
      <t>ケントウ</t>
    </rPh>
    <phoneticPr fontId="6"/>
  </si>
  <si>
    <t>原価要素と相手先の明細出力から
集計のキーとなる項目を追加してピポット集計を行っている。
業務受託料 派遣者員　相手先別に集計
支払賃料　事業所別に集計（相手勘定名称から事業所を判断）
シート「資料　受取賃料」
シート「資料  業務委託　派遣社員」
シート「資料　支払賃料」
を作成するイメージ
※事業所コードの判定用テーブルの検討、相手先(仕入先マスタ)財務分析コードに設定するか？部門コードの集計構造で事業所が判断できるか？</t>
    <rPh sb="0" eb="4">
      <t>ゲンカヨウソ</t>
    </rPh>
    <rPh sb="5" eb="8">
      <t>アイテサキ</t>
    </rPh>
    <rPh sb="9" eb="11">
      <t>メイサイ</t>
    </rPh>
    <rPh sb="11" eb="13">
      <t>シュツリョク</t>
    </rPh>
    <rPh sb="38" eb="39">
      <t>オコナ</t>
    </rPh>
    <rPh sb="139" eb="141">
      <t>サクセイ</t>
    </rPh>
    <rPh sb="149" eb="152">
      <t>ジギョウショ</t>
    </rPh>
    <rPh sb="156" eb="158">
      <t>ハンテイ</t>
    </rPh>
    <rPh sb="158" eb="159">
      <t>ヨウ</t>
    </rPh>
    <rPh sb="164" eb="166">
      <t>ケントウ</t>
    </rPh>
    <rPh sb="167" eb="170">
      <t>アイテサキ</t>
    </rPh>
    <rPh sb="171" eb="174">
      <t>シイレサキ</t>
    </rPh>
    <rPh sb="178" eb="180">
      <t>ザイム</t>
    </rPh>
    <rPh sb="180" eb="182">
      <t>ブンセキ</t>
    </rPh>
    <rPh sb="186" eb="188">
      <t>セッテイ</t>
    </rPh>
    <rPh sb="192" eb="194">
      <t>ブモン</t>
    </rPh>
    <rPh sb="198" eb="200">
      <t>シュウケイ</t>
    </rPh>
    <rPh sb="200" eb="202">
      <t>コウゾウ</t>
    </rPh>
    <rPh sb="203" eb="206">
      <t>ジギョウショ</t>
    </rPh>
    <rPh sb="207" eb="209">
      <t>ハンダン</t>
    </rPh>
    <phoneticPr fontId="6"/>
  </si>
  <si>
    <t>Req042</t>
  </si>
  <si>
    <t>監査用に必要な資料を出力できること</t>
    <rPh sb="0" eb="3">
      <t>カンサヨウ</t>
    </rPh>
    <rPh sb="4" eb="6">
      <t>ヒツヨウ</t>
    </rPh>
    <rPh sb="7" eb="9">
      <t>シリョウ</t>
    </rPh>
    <rPh sb="10" eb="12">
      <t>シュツリョク</t>
    </rPh>
    <phoneticPr fontId="3"/>
  </si>
  <si>
    <t>監査用に必要な資料を出力する機能</t>
    <rPh sb="0" eb="3">
      <t>カンサヨウ</t>
    </rPh>
    <rPh sb="4" eb="6">
      <t>ヒツヨウ</t>
    </rPh>
    <rPh sb="7" eb="9">
      <t>シリョウ</t>
    </rPh>
    <rPh sb="10" eb="12">
      <t>シュツリョク</t>
    </rPh>
    <rPh sb="14" eb="16">
      <t>キノウ</t>
    </rPh>
    <phoneticPr fontId="3"/>
  </si>
  <si>
    <t>監査用の帳票があるわけではない。
監査法人に求められた資料を提出できればよいので、データが出力できれば良い。</t>
  </si>
  <si>
    <t>試算表、伝票トランザクション、財務諸表等の機能を監査担当が参照可能となるロール設定を行う</t>
    <rPh sb="4" eb="6">
      <t>デンピョウ</t>
    </rPh>
    <rPh sb="15" eb="19">
      <t>ザイムショヒョウ</t>
    </rPh>
    <rPh sb="19" eb="20">
      <t>トウ</t>
    </rPh>
    <rPh sb="21" eb="23">
      <t>キノウ</t>
    </rPh>
    <rPh sb="24" eb="26">
      <t>カンサ</t>
    </rPh>
    <rPh sb="26" eb="28">
      <t>タントウ</t>
    </rPh>
    <rPh sb="29" eb="31">
      <t>サンショウ</t>
    </rPh>
    <rPh sb="31" eb="33">
      <t>カノウ</t>
    </rPh>
    <rPh sb="39" eb="41">
      <t>セッテイ</t>
    </rPh>
    <rPh sb="42" eb="43">
      <t>オコナ</t>
    </rPh>
    <phoneticPr fontId="6"/>
  </si>
  <si>
    <t>Req043</t>
  </si>
  <si>
    <t>監査用に必要な増減調査用の資料を出力できること</t>
    <rPh sb="0" eb="3">
      <t>カンサヨウ</t>
    </rPh>
    <rPh sb="4" eb="6">
      <t>ヒツヨウ</t>
    </rPh>
    <rPh sb="7" eb="9">
      <t>ゾウゲン</t>
    </rPh>
    <rPh sb="9" eb="11">
      <t>チョウサ</t>
    </rPh>
    <rPh sb="11" eb="12">
      <t>ヨウ</t>
    </rPh>
    <rPh sb="13" eb="15">
      <t>シリョウ</t>
    </rPh>
    <rPh sb="16" eb="18">
      <t>シュツリョク</t>
    </rPh>
    <phoneticPr fontId="3"/>
  </si>
  <si>
    <t>監査用に必要な増減調査用の資料を出力できる機能</t>
    <rPh sb="0" eb="3">
      <t>カンサヨウ</t>
    </rPh>
    <rPh sb="4" eb="6">
      <t>ヒツヨウ</t>
    </rPh>
    <rPh sb="7" eb="9">
      <t>ゾウゲン</t>
    </rPh>
    <rPh sb="9" eb="11">
      <t>チョウサ</t>
    </rPh>
    <rPh sb="11" eb="12">
      <t>ヨウ</t>
    </rPh>
    <rPh sb="13" eb="15">
      <t>シリョウ</t>
    </rPh>
    <rPh sb="16" eb="18">
      <t>シュツリョク</t>
    </rPh>
    <rPh sb="21" eb="23">
      <t>キノウ</t>
    </rPh>
    <phoneticPr fontId="3"/>
  </si>
  <si>
    <t>Req044</t>
  </si>
  <si>
    <t>月末・期末レートが定義できること</t>
    <rPh sb="0" eb="1">
      <t>ツキ</t>
    </rPh>
    <rPh sb="3" eb="5">
      <t>キマツ</t>
    </rPh>
    <phoneticPr fontId="3"/>
  </si>
  <si>
    <t>月末・期末レートを定義する機能</t>
    <rPh sb="0" eb="1">
      <t>ツキ</t>
    </rPh>
    <rPh sb="3" eb="5">
      <t>キマツ</t>
    </rPh>
    <phoneticPr fontId="3"/>
  </si>
  <si>
    <r>
      <t xml:space="preserve">通貨別入力とするため、レート定義が必要（武市）
</t>
    </r>
    <r>
      <rPr>
        <sz val="9"/>
        <color rgb="FFFF0000"/>
        <rFont val="メイリオ"/>
        <family val="3"/>
        <charset val="128"/>
      </rPr>
      <t>日本3社については、外貨口座はUSドルのみであるため、USドルは外貨建てで入力する。
※技研はホストにUSドルとユーロの換算レートを登録している→受注登録時の変換用
通常月は月末レートを翌月に適用するが、決算月は決算用と翌月用の2つで運用している。→適用レートを日付でコントロールできれば問題なし</t>
    </r>
    <rPh sb="0" eb="5">
      <t>ツウカベツニュウリョク</t>
    </rPh>
    <rPh sb="14" eb="16">
      <t>テイギ</t>
    </rPh>
    <rPh sb="17" eb="19">
      <t>ヒツヨウ</t>
    </rPh>
    <rPh sb="20" eb="22">
      <t>タケイチ</t>
    </rPh>
    <rPh sb="24" eb="26">
      <t>ニホン</t>
    </rPh>
    <rPh sb="27" eb="28">
      <t>シャ</t>
    </rPh>
    <rPh sb="34" eb="36">
      <t>ガイカ</t>
    </rPh>
    <rPh sb="36" eb="38">
      <t>コウザ</t>
    </rPh>
    <rPh sb="56" eb="58">
      <t>ガイカ</t>
    </rPh>
    <rPh sb="58" eb="59">
      <t>ダ</t>
    </rPh>
    <rPh sb="61" eb="63">
      <t>ニュウリョク</t>
    </rPh>
    <rPh sb="68" eb="70">
      <t>ギケン</t>
    </rPh>
    <rPh sb="84" eb="86">
      <t>カンサン</t>
    </rPh>
    <rPh sb="90" eb="92">
      <t>トウロク</t>
    </rPh>
    <rPh sb="97" eb="102">
      <t>ジュチュウトウロクジ</t>
    </rPh>
    <rPh sb="103" eb="106">
      <t>ヘンカンヨウ</t>
    </rPh>
    <rPh sb="107" eb="110">
      <t>ツウジョウツキ</t>
    </rPh>
    <rPh sb="111" eb="113">
      <t>ゲツマツ</t>
    </rPh>
    <rPh sb="117" eb="119">
      <t>ヨクゲツ</t>
    </rPh>
    <rPh sb="120" eb="122">
      <t>テキヨウ</t>
    </rPh>
    <rPh sb="126" eb="128">
      <t>ケッサン</t>
    </rPh>
    <rPh sb="128" eb="129">
      <t>ツキ</t>
    </rPh>
    <rPh sb="130" eb="133">
      <t>ケッサンヨウ</t>
    </rPh>
    <rPh sb="134" eb="136">
      <t>ヨクゲツ</t>
    </rPh>
    <rPh sb="136" eb="137">
      <t>ヨウ</t>
    </rPh>
    <rPh sb="141" eb="143">
      <t>ウンヨウ</t>
    </rPh>
    <rPh sb="149" eb="151">
      <t>テキヨウ</t>
    </rPh>
    <rPh sb="155" eb="157">
      <t>ヒヅケ</t>
    </rPh>
    <rPh sb="168" eb="170">
      <t>モンダイ</t>
    </rPh>
    <phoneticPr fontId="6"/>
  </si>
  <si>
    <t>外貨再評価</t>
    <phoneticPr fontId="6"/>
  </si>
  <si>
    <t>通貨の為替レート画面で登録。</t>
    <rPh sb="0" eb="2">
      <t>ツウカ</t>
    </rPh>
    <rPh sb="3" eb="5">
      <t>カワセ</t>
    </rPh>
    <rPh sb="8" eb="10">
      <t>ガメン</t>
    </rPh>
    <rPh sb="11" eb="13">
      <t>トウロク</t>
    </rPh>
    <phoneticPr fontId="3"/>
  </si>
  <si>
    <t>Req045</t>
  </si>
  <si>
    <t>通貨毎に月末・期末レートを自動設定できること</t>
    <rPh sb="2" eb="3">
      <t>ゴト</t>
    </rPh>
    <rPh sb="4" eb="6">
      <t>ゲツマツ</t>
    </rPh>
    <rPh sb="7" eb="9">
      <t>キマツ</t>
    </rPh>
    <rPh sb="13" eb="15">
      <t>ジドウ</t>
    </rPh>
    <rPh sb="15" eb="17">
      <t>セッテイ</t>
    </rPh>
    <phoneticPr fontId="3"/>
  </si>
  <si>
    <t>指定された通貨の期末レートを自動設定する機能</t>
  </si>
  <si>
    <r>
      <t xml:space="preserve">自動設定機能はない。
</t>
    </r>
    <r>
      <rPr>
        <sz val="9"/>
        <rFont val="Meiryo UI"/>
        <family val="3"/>
        <charset val="128"/>
      </rPr>
      <t>※銀行WEBからのダウンロードデータのインポート機能を想定か？
ヨーロッパ中央銀行、ロシア中央銀行、OANDA Ratesの為替レートデータのインポート機能はあり。</t>
    </r>
    <rPh sb="0" eb="2">
      <t>ジドウ</t>
    </rPh>
    <rPh sb="2" eb="4">
      <t>セッテイ</t>
    </rPh>
    <rPh sb="4" eb="6">
      <t>キノウ</t>
    </rPh>
    <rPh sb="12" eb="14">
      <t>ギンコウ</t>
    </rPh>
    <rPh sb="35" eb="37">
      <t>キノウ</t>
    </rPh>
    <rPh sb="38" eb="40">
      <t>ソウテイ</t>
    </rPh>
    <rPh sb="87" eb="89">
      <t>キノウ</t>
    </rPh>
    <phoneticPr fontId="3"/>
  </si>
  <si>
    <t>R/3では日本円のみを扱っているため、決算チームでは為替レートの登録作業はない。
Dynamicsでは外貨を入れていきたいと考えている。
財務の方針としては外貨建てが必要、自動登録機能については今後検討予定。
会計システムの、為替レートの管理部署、登録部署も含めて確認する。
（12/30付レートをどう取得するかは別途検討）</t>
    <rPh sb="144" eb="145">
      <t>ツ</t>
    </rPh>
    <rPh sb="151" eb="153">
      <t>シュトク</t>
    </rPh>
    <rPh sb="157" eb="159">
      <t>ベット</t>
    </rPh>
    <rPh sb="159" eb="161">
      <t>ケントウ</t>
    </rPh>
    <phoneticPr fontId="6"/>
  </si>
  <si>
    <t>通貨の為替レート画面にEXCELアドインで登録。</t>
    <rPh sb="0" eb="2">
      <t>ツウカ</t>
    </rPh>
    <rPh sb="3" eb="5">
      <t>カワセ</t>
    </rPh>
    <rPh sb="8" eb="10">
      <t>ガメン</t>
    </rPh>
    <rPh sb="21" eb="23">
      <t>トウロク</t>
    </rPh>
    <phoneticPr fontId="3"/>
  </si>
  <si>
    <t>Req046</t>
  </si>
  <si>
    <t>会計スケジュールをもとに、会計カレンダーが設定できること</t>
  </si>
  <si>
    <t>会計スケジュールをもとに、会計カレンダーが設定する機能</t>
  </si>
  <si>
    <t>会計カレンダー/元帳カレンダー機能あり。</t>
    <rPh sb="0" eb="2">
      <t>カイケイ</t>
    </rPh>
    <rPh sb="8" eb="10">
      <t>モトチョウ</t>
    </rPh>
    <rPh sb="15" eb="17">
      <t>キノウ</t>
    </rPh>
    <phoneticPr fontId="3"/>
  </si>
  <si>
    <t>Req047</t>
  </si>
  <si>
    <t>会計スケジュールをもとに、会計処理をオープン・クローズできること</t>
  </si>
  <si>
    <t>会計スケジュールをもとに、会計処理をオープン・クローズする機能</t>
  </si>
  <si>
    <t>元帳カレンダー画面で各会計月のオープン・クローズ処理が可能。</t>
    <rPh sb="0" eb="2">
      <t>モトチョウ</t>
    </rPh>
    <rPh sb="7" eb="9">
      <t>ガメン</t>
    </rPh>
    <rPh sb="10" eb="11">
      <t>カク</t>
    </rPh>
    <rPh sb="11" eb="13">
      <t>カイケイ</t>
    </rPh>
    <rPh sb="13" eb="14">
      <t>ツキ</t>
    </rPh>
    <rPh sb="24" eb="26">
      <t>ショリ</t>
    </rPh>
    <rPh sb="27" eb="29">
      <t>カノウ</t>
    </rPh>
    <phoneticPr fontId="3"/>
  </si>
  <si>
    <t>Req048</t>
  </si>
  <si>
    <t>機能(帳票閲覧権限等）をユーザ別に制限できること</t>
  </si>
  <si>
    <t>機能をユーザ別に制限する機能</t>
  </si>
  <si>
    <t>ロールセキュリティ機能とManagementReport上での設定により権限設定が可能。</t>
    <rPh sb="9" eb="11">
      <t>キノウ</t>
    </rPh>
    <rPh sb="28" eb="29">
      <t>ウエ</t>
    </rPh>
    <rPh sb="31" eb="33">
      <t>セッテイ</t>
    </rPh>
    <rPh sb="36" eb="38">
      <t>ケンゲン</t>
    </rPh>
    <rPh sb="38" eb="40">
      <t>セッテイ</t>
    </rPh>
    <rPh sb="41" eb="43">
      <t>カノウ</t>
    </rPh>
    <phoneticPr fontId="3"/>
  </si>
  <si>
    <t>Req049</t>
  </si>
  <si>
    <t>承認依頼受領時に、アラートで通知できること</t>
  </si>
  <si>
    <t>承認依頼受領時に、アラートで通知する機能</t>
  </si>
  <si>
    <t>FOの画面上での通知とメールでの通知が可能。</t>
    <rPh sb="3" eb="5">
      <t>ガメン</t>
    </rPh>
    <rPh sb="5" eb="6">
      <t>ウエ</t>
    </rPh>
    <rPh sb="8" eb="10">
      <t>ツウチ</t>
    </rPh>
    <rPh sb="16" eb="18">
      <t>ツウチ</t>
    </rPh>
    <rPh sb="19" eb="21">
      <t>カノウ</t>
    </rPh>
    <phoneticPr fontId="3"/>
  </si>
  <si>
    <t>Req050</t>
  </si>
  <si>
    <t>仕訳承認時に組織階層、レポートラインに沿った承認ルート設定ができ、自動で承認を流すことができること</t>
  </si>
  <si>
    <t>仕訳承認時の組織階層、レポートラインに沿った承認ルートを設定する機能</t>
  </si>
  <si>
    <t>仕訳帳毎に承認ルートを設定可能。</t>
    <rPh sb="0" eb="3">
      <t>シワケチョウ</t>
    </rPh>
    <rPh sb="3" eb="4">
      <t>ゴト</t>
    </rPh>
    <rPh sb="5" eb="7">
      <t>ショウニン</t>
    </rPh>
    <rPh sb="11" eb="13">
      <t>セッテイ</t>
    </rPh>
    <rPh sb="13" eb="15">
      <t>カノウ</t>
    </rPh>
    <phoneticPr fontId="3"/>
  </si>
  <si>
    <t>Req051</t>
  </si>
  <si>
    <t>承認者が代理承認者を任意で設定でき、レポートラインが代理の場合設定できること</t>
  </si>
  <si>
    <t>代理承認者を指定できる機能</t>
    <rPh sb="0" eb="5">
      <t>ダイリショウニンシャ</t>
    </rPh>
    <rPh sb="6" eb="8">
      <t>シテイ</t>
    </rPh>
    <rPh sb="11" eb="13">
      <t>キノウ</t>
    </rPh>
    <phoneticPr fontId="3"/>
  </si>
  <si>
    <t>仕訳帳毎に承認ルートを設定可能。代理承認の設定も可能。</t>
    <rPh sb="0" eb="3">
      <t>シワケチョウ</t>
    </rPh>
    <rPh sb="3" eb="4">
      <t>ゴト</t>
    </rPh>
    <rPh sb="5" eb="7">
      <t>ショウニン</t>
    </rPh>
    <rPh sb="11" eb="13">
      <t>セッテイ</t>
    </rPh>
    <rPh sb="13" eb="15">
      <t>カノウ</t>
    </rPh>
    <rPh sb="16" eb="20">
      <t>ダイリショウニン</t>
    </rPh>
    <rPh sb="21" eb="23">
      <t>セッテイ</t>
    </rPh>
    <rPh sb="24" eb="26">
      <t>カノウ</t>
    </rPh>
    <phoneticPr fontId="3"/>
  </si>
  <si>
    <t>Req052</t>
  </si>
  <si>
    <t>勘定科目を定義できること</t>
  </si>
  <si>
    <t>勘定科目を定義する機能</t>
  </si>
  <si>
    <t>勘定科目表　主勘定マスタ　で定義可能。</t>
    <rPh sb="0" eb="2">
      <t>カンジョウ</t>
    </rPh>
    <rPh sb="2" eb="5">
      <t>カモクヒョウ</t>
    </rPh>
    <rPh sb="6" eb="9">
      <t>シュカンジョウ</t>
    </rPh>
    <rPh sb="14" eb="16">
      <t>テイギ</t>
    </rPh>
    <rPh sb="16" eb="18">
      <t>カノウ</t>
    </rPh>
    <phoneticPr fontId="3"/>
  </si>
  <si>
    <t>Req053</t>
  </si>
  <si>
    <t>勘定科目に対して紐づく部門、取引先、取引内容等を設定できること</t>
  </si>
  <si>
    <t>勘定科目によって入力項目を制限できる機能</t>
    <rPh sb="8" eb="10">
      <t>ニュウリョク</t>
    </rPh>
    <rPh sb="10" eb="12">
      <t>コウモク</t>
    </rPh>
    <rPh sb="13" eb="15">
      <t>セイゲン</t>
    </rPh>
    <phoneticPr fontId="3"/>
  </si>
  <si>
    <t>勘定構造のコンフィグレーションで入力制御が可能。</t>
    <rPh sb="16" eb="18">
      <t>ニュウリョク</t>
    </rPh>
    <rPh sb="18" eb="20">
      <t>セイギョ</t>
    </rPh>
    <rPh sb="21" eb="23">
      <t>カノウ</t>
    </rPh>
    <phoneticPr fontId="3"/>
  </si>
  <si>
    <t>Req054</t>
  </si>
  <si>
    <t>月次毎に下記の仕訳を登録できること
・消費税、印紙税納付
・監査報酬月次計上
・持株会拠出、購入</t>
    <rPh sb="0" eb="2">
      <t>ゲツジ</t>
    </rPh>
    <rPh sb="2" eb="3">
      <t>ゴト</t>
    </rPh>
    <rPh sb="4" eb="6">
      <t>カキ</t>
    </rPh>
    <rPh sb="7" eb="9">
      <t>シワケ</t>
    </rPh>
    <rPh sb="10" eb="12">
      <t>トウロク</t>
    </rPh>
    <rPh sb="40" eb="41">
      <t>モ</t>
    </rPh>
    <rPh sb="41" eb="43">
      <t>カブカイ</t>
    </rPh>
    <rPh sb="43" eb="45">
      <t>キョシュツ</t>
    </rPh>
    <rPh sb="46" eb="48">
      <t>コウニュウ</t>
    </rPh>
    <phoneticPr fontId="3"/>
  </si>
  <si>
    <t>月次毎に決算仕訳が登録できる機能</t>
    <rPh sb="0" eb="2">
      <t>ゲツジ</t>
    </rPh>
    <rPh sb="2" eb="3">
      <t>ゴト</t>
    </rPh>
    <rPh sb="4" eb="6">
      <t>ケッサン</t>
    </rPh>
    <rPh sb="6" eb="8">
      <t>シワケ</t>
    </rPh>
    <rPh sb="9" eb="11">
      <t>トウロク</t>
    </rPh>
    <rPh sb="14" eb="16">
      <t>キノウ</t>
    </rPh>
    <phoneticPr fontId="3"/>
  </si>
  <si>
    <t>一般仕訳帳で登録可能。</t>
    <phoneticPr fontId="6"/>
  </si>
  <si>
    <t>Req055</t>
  </si>
  <si>
    <t>半期毎に以下の仕訳を登録できること
・資産除去債務・償却費計上
・投資有価証券時価洗替
・ECサイト売上計上
・減損計上
・ゴルフ会員権評価損の貸倒引当
・在庫評価減・原価差額振替</t>
    <rPh sb="0" eb="2">
      <t>ハンキ</t>
    </rPh>
    <rPh sb="2" eb="3">
      <t>ゴト</t>
    </rPh>
    <rPh sb="4" eb="6">
      <t>イカ</t>
    </rPh>
    <rPh sb="7" eb="9">
      <t>シワケ</t>
    </rPh>
    <rPh sb="10" eb="12">
      <t>トウロク</t>
    </rPh>
    <phoneticPr fontId="3"/>
  </si>
  <si>
    <t>半期毎に決算仕訳が登録できる機能</t>
    <rPh sb="0" eb="2">
      <t>ハンキ</t>
    </rPh>
    <rPh sb="2" eb="3">
      <t>ゴト</t>
    </rPh>
    <rPh sb="4" eb="6">
      <t>ケッサン</t>
    </rPh>
    <rPh sb="6" eb="8">
      <t>シワケ</t>
    </rPh>
    <rPh sb="9" eb="11">
      <t>トウロク</t>
    </rPh>
    <rPh sb="14" eb="16">
      <t>キノウ</t>
    </rPh>
    <phoneticPr fontId="3"/>
  </si>
  <si>
    <r>
      <t xml:space="preserve">一般仕訳帳で登録可能。
</t>
    </r>
    <r>
      <rPr>
        <sz val="9"/>
        <rFont val="Meiryo UI"/>
        <family val="3"/>
        <charset val="128"/>
      </rPr>
      <t>※月次決算伝票登録前試算表と登録後試算表の出力を切り替えたいなどの要件があるか</t>
    </r>
    <rPh sb="0" eb="2">
      <t>イッパン</t>
    </rPh>
    <rPh sb="2" eb="5">
      <t>シワケチョウ</t>
    </rPh>
    <rPh sb="6" eb="8">
      <t>トウロク</t>
    </rPh>
    <rPh sb="8" eb="10">
      <t>カノウ</t>
    </rPh>
    <phoneticPr fontId="3"/>
  </si>
  <si>
    <t>12.1,12.2に記載してある伝票については基本、楽楽精算に入れている。Dynamicsに入れる想定はない。
減損の計上、在庫の評価減・原価差額振替についてはSAPで処理をしている。
減損については固定資産台帳で処理をするとSAPに反映されるようになっている。
在庫の評価減・原価差額振替についてはSSJは一部SAPで行っているので、その部分の登録ができればよい。
楽楽精算の振替伝票をこの機会になくそうと検討している。
※決算伝票登録前試算表と登録後試算表の出力を切り替えたいなどの要件はない。</t>
  </si>
  <si>
    <t>半期決算処理</t>
    <rPh sb="0" eb="2">
      <t>ハンキ</t>
    </rPh>
    <phoneticPr fontId="6"/>
  </si>
  <si>
    <t>Req056</t>
  </si>
  <si>
    <t>半期毎に以下の税金計算に関わる仕訳を登録できること
・未払消費税照合・計上
・法人税等計算
・税効果計算
・税金伝票入力</t>
    <rPh sb="0" eb="3">
      <t>ハンキゴト</t>
    </rPh>
    <rPh sb="4" eb="6">
      <t>イカ</t>
    </rPh>
    <rPh sb="7" eb="11">
      <t>ゼイキンケイサン</t>
    </rPh>
    <rPh sb="12" eb="13">
      <t>カカ</t>
    </rPh>
    <rPh sb="15" eb="17">
      <t>シワケ</t>
    </rPh>
    <rPh sb="18" eb="20">
      <t>トウロク</t>
    </rPh>
    <rPh sb="39" eb="42">
      <t>ホウジンゼイ</t>
    </rPh>
    <rPh sb="42" eb="43">
      <t>トウ</t>
    </rPh>
    <rPh sb="43" eb="45">
      <t>ケイサン</t>
    </rPh>
    <rPh sb="47" eb="50">
      <t>ゼイコウカ</t>
    </rPh>
    <rPh sb="50" eb="52">
      <t>ケイサン</t>
    </rPh>
    <rPh sb="54" eb="56">
      <t>ゼイキン</t>
    </rPh>
    <rPh sb="56" eb="58">
      <t>デンピョウ</t>
    </rPh>
    <rPh sb="58" eb="60">
      <t>ニュウリョク</t>
    </rPh>
    <phoneticPr fontId="3"/>
  </si>
  <si>
    <t>半期毎に税金計算に関わる仕訳が登録できる機能</t>
    <rPh sb="0" eb="2">
      <t>ハンキ</t>
    </rPh>
    <rPh sb="2" eb="3">
      <t>ゴト</t>
    </rPh>
    <rPh sb="4" eb="6">
      <t>ゼイキン</t>
    </rPh>
    <rPh sb="6" eb="8">
      <t>ケイサン</t>
    </rPh>
    <rPh sb="9" eb="10">
      <t>カカ</t>
    </rPh>
    <rPh sb="12" eb="14">
      <t>シワケ</t>
    </rPh>
    <rPh sb="15" eb="17">
      <t>トウロク</t>
    </rPh>
    <rPh sb="20" eb="22">
      <t>キノウ</t>
    </rPh>
    <phoneticPr fontId="3"/>
  </si>
  <si>
    <r>
      <t xml:space="preserve">一般仕訳帳で登録可能。
</t>
    </r>
    <r>
      <rPr>
        <sz val="9"/>
        <rFont val="Meiryo UI"/>
        <family val="3"/>
        <charset val="128"/>
      </rPr>
      <t>※半期決算伝票登録前試算表と登録後試算表の出力を切り替えたいなどの要件があるか</t>
    </r>
    <rPh sb="0" eb="2">
      <t>イッパン</t>
    </rPh>
    <rPh sb="2" eb="5">
      <t>シワケチョウ</t>
    </rPh>
    <rPh sb="6" eb="8">
      <t>トウロク</t>
    </rPh>
    <rPh sb="8" eb="10">
      <t>カノウ</t>
    </rPh>
    <rPh sb="13" eb="15">
      <t>ハンキ</t>
    </rPh>
    <phoneticPr fontId="3"/>
  </si>
  <si>
    <t>同上
※決算伝票登録前試算表と登録後試算表の出力を切り替えたいなどの要件はない。</t>
    <rPh sb="0" eb="2">
      <t>ドウジョウ</t>
    </rPh>
    <phoneticPr fontId="3"/>
  </si>
  <si>
    <t>Req057</t>
  </si>
  <si>
    <t>外貨建てのB/S科目を、期末レートで未実現為替差損益を再計算できること</t>
  </si>
  <si>
    <t>未実現為替差損益を算定するために、外貨建てのB/S科目を期末レートで再計算する機能</t>
  </si>
  <si>
    <t>外貨再評価機能あり。</t>
    <rPh sb="0" eb="2">
      <t>ガイカ</t>
    </rPh>
    <rPh sb="2" eb="5">
      <t>サイヒョウカ</t>
    </rPh>
    <rPh sb="5" eb="7">
      <t>キノウ</t>
    </rPh>
    <phoneticPr fontId="3"/>
  </si>
  <si>
    <t>Req058</t>
    <phoneticPr fontId="6"/>
  </si>
  <si>
    <t>外貨建て取引残高を勘定科目別に画面照会および帳票出力できること</t>
  </si>
  <si>
    <t>期末評価替え後の通貨別残高を把握するために、勘定科目別に外貨建て取引の残高を出力する機能</t>
  </si>
  <si>
    <t>Req159</t>
    <phoneticPr fontId="6"/>
  </si>
  <si>
    <r>
      <t xml:space="preserve">試算表照会画面で通貨別残高の確認が可能。
</t>
    </r>
    <r>
      <rPr>
        <sz val="9"/>
        <color rgb="FFFF0000"/>
        <rFont val="メイリオ"/>
        <family val="3"/>
        <charset val="128"/>
      </rPr>
      <t>B/S科目だけでなく、PL科目についても外貨建てで登録する必要があるか確認要</t>
    </r>
    <r>
      <rPr>
        <sz val="9"/>
        <rFont val="メイリオ"/>
        <family val="3"/>
        <charset val="128"/>
      </rPr>
      <t xml:space="preserve">
20240411
決算・資金・事務管理G確認
標準機能で対応する方針となった</t>
    </r>
    <rPh sb="0" eb="3">
      <t>シサンヒョウ</t>
    </rPh>
    <rPh sb="3" eb="5">
      <t>ショウカイ</t>
    </rPh>
    <rPh sb="5" eb="7">
      <t>ガメン</t>
    </rPh>
    <rPh sb="8" eb="11">
      <t>ツウカベツ</t>
    </rPh>
    <rPh sb="11" eb="13">
      <t>ザンダカ</t>
    </rPh>
    <rPh sb="14" eb="16">
      <t>カクニン</t>
    </rPh>
    <rPh sb="17" eb="19">
      <t>カノウ</t>
    </rPh>
    <rPh sb="24" eb="26">
      <t>カモク</t>
    </rPh>
    <rPh sb="34" eb="36">
      <t>カモク</t>
    </rPh>
    <rPh sb="41" eb="43">
      <t>ガイカ</t>
    </rPh>
    <rPh sb="43" eb="44">
      <t>ダ</t>
    </rPh>
    <rPh sb="46" eb="48">
      <t>トウロク</t>
    </rPh>
    <rPh sb="50" eb="52">
      <t>ヒツヨウ</t>
    </rPh>
    <rPh sb="56" eb="58">
      <t>カクニン</t>
    </rPh>
    <rPh sb="58" eb="59">
      <t>ヨウ</t>
    </rPh>
    <rPh sb="69" eb="71">
      <t>ケッサン</t>
    </rPh>
    <rPh sb="72" eb="74">
      <t>シキン</t>
    </rPh>
    <rPh sb="75" eb="80">
      <t>ジムカンリg</t>
    </rPh>
    <rPh sb="80" eb="82">
      <t>カクニン</t>
    </rPh>
    <rPh sb="83" eb="85">
      <t>ヒョウジュン</t>
    </rPh>
    <rPh sb="85" eb="87">
      <t>キノウ</t>
    </rPh>
    <rPh sb="88" eb="90">
      <t>タイオウ</t>
    </rPh>
    <rPh sb="92" eb="94">
      <t>ホウシン</t>
    </rPh>
    <phoneticPr fontId="3"/>
  </si>
  <si>
    <t>Req059</t>
  </si>
  <si>
    <t>会計システム内で月次の試算表/PL/BSと各種勘定残高明細を参照し、月次締め処理ができること</t>
    <rPh sb="0" eb="2">
      <t>カイケイ</t>
    </rPh>
    <rPh sb="21" eb="23">
      <t>カクシュ</t>
    </rPh>
    <rPh sb="25" eb="27">
      <t>ザンダカ</t>
    </rPh>
    <rPh sb="30" eb="32">
      <t>サンショウ</t>
    </rPh>
    <rPh sb="34" eb="36">
      <t>ゲツジ</t>
    </rPh>
    <rPh sb="36" eb="37">
      <t>シ</t>
    </rPh>
    <phoneticPr fontId="3"/>
  </si>
  <si>
    <t>月次の締め処理を行う機能</t>
    <rPh sb="0" eb="2">
      <t>ゲツジ</t>
    </rPh>
    <rPh sb="3" eb="4">
      <t>シ</t>
    </rPh>
    <rPh sb="5" eb="7">
      <t>ショリ</t>
    </rPh>
    <rPh sb="8" eb="9">
      <t>オコナ</t>
    </rPh>
    <rPh sb="10" eb="12">
      <t>キノウ</t>
    </rPh>
    <phoneticPr fontId="3"/>
  </si>
  <si>
    <t>試算表で残高および明細確認可能。
元帳カレンダーで月次締め処理が可能。</t>
    <rPh sb="13" eb="15">
      <t>カノウ</t>
    </rPh>
    <phoneticPr fontId="3"/>
  </si>
  <si>
    <t>Req060</t>
  </si>
  <si>
    <t>会計システム内で年次の試算表/PL/BSと各種勘定残高明細を参照し、年次締め処理ができること</t>
    <rPh sb="0" eb="2">
      <t>カイケイ</t>
    </rPh>
    <rPh sb="8" eb="10">
      <t>ネンジ</t>
    </rPh>
    <rPh sb="21" eb="23">
      <t>カクシュ</t>
    </rPh>
    <rPh sb="25" eb="27">
      <t>ザンダカ</t>
    </rPh>
    <rPh sb="30" eb="32">
      <t>サンショウ</t>
    </rPh>
    <rPh sb="34" eb="36">
      <t>ネンジ</t>
    </rPh>
    <rPh sb="36" eb="37">
      <t>シ</t>
    </rPh>
    <phoneticPr fontId="3"/>
  </si>
  <si>
    <t>会計年度の締め処理を行う機能</t>
    <rPh sb="0" eb="2">
      <t>カイケイ</t>
    </rPh>
    <rPh sb="2" eb="4">
      <t>ネンド</t>
    </rPh>
    <rPh sb="5" eb="6">
      <t>シ</t>
    </rPh>
    <rPh sb="7" eb="9">
      <t>ショリ</t>
    </rPh>
    <rPh sb="10" eb="11">
      <t>オコナ</t>
    </rPh>
    <rPh sb="12" eb="14">
      <t>キノウ</t>
    </rPh>
    <phoneticPr fontId="3"/>
  </si>
  <si>
    <t>年次決算処理</t>
    <phoneticPr fontId="6"/>
  </si>
  <si>
    <t>試算表で残高および明細確認可能。
年度末決算で年次締め処理が可能。</t>
    <rPh sb="13" eb="15">
      <t>カノウ</t>
    </rPh>
    <phoneticPr fontId="3"/>
  </si>
  <si>
    <t>Req061</t>
  </si>
  <si>
    <r>
      <t xml:space="preserve">前年度末の残高を翌年度の期首残高として自動で行うことができること
</t>
    </r>
    <r>
      <rPr>
        <sz val="11"/>
        <color rgb="FFFF0000"/>
        <rFont val="Meiryo UI"/>
        <family val="3"/>
        <charset val="128"/>
      </rPr>
      <t>クローズする年度の処理(残高繰越、年度クローズ)と、オープンする年度の処理(開始残高設定、年度オープン)をそれぞれの視点で記載しております。</t>
    </r>
    <rPh sb="3" eb="4">
      <t>マツ</t>
    </rPh>
    <rPh sb="19" eb="21">
      <t>ジドウ</t>
    </rPh>
    <rPh sb="22" eb="23">
      <t>オコナ</t>
    </rPh>
    <phoneticPr fontId="3"/>
  </si>
  <si>
    <t>会計年度の切替において期首残高を自動で繰越する機能</t>
    <rPh sb="0" eb="4">
      <t>カイケイネンド</t>
    </rPh>
    <rPh sb="5" eb="7">
      <t>キリカエ</t>
    </rPh>
    <rPh sb="11" eb="15">
      <t>キシュザンダカ</t>
    </rPh>
    <rPh sb="16" eb="18">
      <t>ジドウ</t>
    </rPh>
    <rPh sb="19" eb="21">
      <t>クリコシ</t>
    </rPh>
    <rPh sb="23" eb="25">
      <t>キノウ</t>
    </rPh>
    <phoneticPr fontId="3"/>
  </si>
  <si>
    <t xml:space="preserve">年度末決算機能で繰越残高は自動設定される。
</t>
    <rPh sb="5" eb="7">
      <t>キノウ</t>
    </rPh>
    <rPh sb="8" eb="12">
      <t>クリコシザンダカ</t>
    </rPh>
    <rPh sb="13" eb="15">
      <t>ジドウ</t>
    </rPh>
    <rPh sb="15" eb="17">
      <t>セッテイ</t>
    </rPh>
    <phoneticPr fontId="3"/>
  </si>
  <si>
    <t>Req062</t>
  </si>
  <si>
    <t>当会計年度で会計処理を開始できるように期首残高を自動で設定することができること</t>
    <rPh sb="0" eb="1">
      <t>トウ</t>
    </rPh>
    <rPh sb="1" eb="3">
      <t>カイケイ</t>
    </rPh>
    <rPh sb="3" eb="5">
      <t>ネンド</t>
    </rPh>
    <rPh sb="6" eb="8">
      <t>カイケイ</t>
    </rPh>
    <rPh sb="8" eb="10">
      <t>ショリ</t>
    </rPh>
    <rPh sb="11" eb="13">
      <t>カイシ</t>
    </rPh>
    <rPh sb="24" eb="26">
      <t>ジドウ</t>
    </rPh>
    <rPh sb="27" eb="29">
      <t>セッテイ</t>
    </rPh>
    <phoneticPr fontId="3"/>
  </si>
  <si>
    <t>会計年度の開始できるように期首残高を自動で設定する機能</t>
    <rPh sb="0" eb="2">
      <t>カイケイ</t>
    </rPh>
    <rPh sb="2" eb="4">
      <t>ネンド</t>
    </rPh>
    <rPh sb="5" eb="7">
      <t>カイシ</t>
    </rPh>
    <rPh sb="13" eb="17">
      <t>キシュザンダカ</t>
    </rPh>
    <rPh sb="18" eb="20">
      <t>ジドウ</t>
    </rPh>
    <rPh sb="21" eb="23">
      <t>セッテイ</t>
    </rPh>
    <rPh sb="25" eb="27">
      <t>キノウ</t>
    </rPh>
    <phoneticPr fontId="3"/>
  </si>
  <si>
    <t>年度末決算機能で繰越残高は自動設定される。</t>
    <rPh sb="5" eb="7">
      <t>キノウ</t>
    </rPh>
    <rPh sb="8" eb="12">
      <t>クリコシザンダカ</t>
    </rPh>
    <rPh sb="13" eb="15">
      <t>ジドウ</t>
    </rPh>
    <rPh sb="15" eb="17">
      <t>セッテイ</t>
    </rPh>
    <phoneticPr fontId="3"/>
  </si>
  <si>
    <t>Req063</t>
  </si>
  <si>
    <r>
      <t xml:space="preserve">半期毎に倉庫一覧データと在庫データを用いて在庫の棚卸を実施し、棚卸差損益を計上できること
</t>
    </r>
    <r>
      <rPr>
        <sz val="11"/>
        <color rgb="FFFF0000"/>
        <rFont val="Meiryo UI"/>
        <family val="3"/>
        <charset val="128"/>
      </rPr>
      <t>会計システムでは在庫管理を実施しないため、棚卸結果を仕訳データとして反映するというご理解で合っています。</t>
    </r>
    <rPh sb="2" eb="3">
      <t>ゴト</t>
    </rPh>
    <rPh sb="4" eb="6">
      <t>ソウコ</t>
    </rPh>
    <rPh sb="6" eb="8">
      <t>イチラン</t>
    </rPh>
    <rPh sb="12" eb="14">
      <t>ザイコ</t>
    </rPh>
    <rPh sb="18" eb="19">
      <t>モチ</t>
    </rPh>
    <rPh sb="21" eb="23">
      <t>ザイコ</t>
    </rPh>
    <rPh sb="24" eb="26">
      <t>タナオロシ</t>
    </rPh>
    <rPh sb="27" eb="29">
      <t>ジッシ</t>
    </rPh>
    <rPh sb="31" eb="36">
      <t>タナオロシサソンエキ</t>
    </rPh>
    <rPh sb="37" eb="39">
      <t>ケイジョウ</t>
    </rPh>
    <phoneticPr fontId="3"/>
  </si>
  <si>
    <t>半期末時点における棚卸差損益を登録できる機能</t>
    <rPh sb="0" eb="3">
      <t>ハンキマツ</t>
    </rPh>
    <rPh sb="3" eb="5">
      <t>ジテン</t>
    </rPh>
    <rPh sb="9" eb="14">
      <t>タナオロシサソンエキ</t>
    </rPh>
    <rPh sb="15" eb="17">
      <t>トウロク</t>
    </rPh>
    <rPh sb="20" eb="22">
      <t>キノウ</t>
    </rPh>
    <phoneticPr fontId="3"/>
  </si>
  <si>
    <t>一般仕訳帳で登録可能。</t>
    <rPh sb="0" eb="2">
      <t>イッパン</t>
    </rPh>
    <rPh sb="2" eb="5">
      <t>シワケチョウ</t>
    </rPh>
    <rPh sb="6" eb="8">
      <t>トウロク</t>
    </rPh>
    <rPh sb="8" eb="10">
      <t>カノウ</t>
    </rPh>
    <phoneticPr fontId="3"/>
  </si>
  <si>
    <t>Req064</t>
  </si>
  <si>
    <t>配当金支払の仕訳を登録できること</t>
    <rPh sb="0" eb="3">
      <t>ハイトウキン</t>
    </rPh>
    <rPh sb="3" eb="5">
      <t>シハライ</t>
    </rPh>
    <rPh sb="6" eb="8">
      <t>シワケ</t>
    </rPh>
    <rPh sb="9" eb="11">
      <t>トウロク</t>
    </rPh>
    <phoneticPr fontId="3"/>
  </si>
  <si>
    <t>配当金支払の仕訳を登録できる機能</t>
    <rPh sb="0" eb="3">
      <t>ハイトウキン</t>
    </rPh>
    <rPh sb="3" eb="5">
      <t>シハライ</t>
    </rPh>
    <rPh sb="6" eb="8">
      <t>シワケ</t>
    </rPh>
    <rPh sb="9" eb="11">
      <t>トウロク</t>
    </rPh>
    <rPh sb="14" eb="16">
      <t>キノウ</t>
    </rPh>
    <phoneticPr fontId="3"/>
  </si>
  <si>
    <t>Req065</t>
  </si>
  <si>
    <t>受取配当金の計上仕訳を登録できること</t>
    <rPh sb="0" eb="2">
      <t>ウケトリ</t>
    </rPh>
    <rPh sb="2" eb="5">
      <t>ハイトウキン</t>
    </rPh>
    <rPh sb="6" eb="8">
      <t>ケイジョウ</t>
    </rPh>
    <rPh sb="8" eb="10">
      <t>シワケ</t>
    </rPh>
    <rPh sb="11" eb="13">
      <t>トウロク</t>
    </rPh>
    <phoneticPr fontId="3"/>
  </si>
  <si>
    <t>受取配当金の計上仕訳を登録できる機能</t>
    <rPh sb="0" eb="2">
      <t>ウケトリ</t>
    </rPh>
    <rPh sb="2" eb="5">
      <t>ハイトウキン</t>
    </rPh>
    <rPh sb="6" eb="8">
      <t>ケイジョウ</t>
    </rPh>
    <rPh sb="8" eb="10">
      <t>シワケ</t>
    </rPh>
    <rPh sb="11" eb="13">
      <t>トウロク</t>
    </rPh>
    <rPh sb="16" eb="18">
      <t>キノウ</t>
    </rPh>
    <phoneticPr fontId="3"/>
  </si>
  <si>
    <t>Req066</t>
  </si>
  <si>
    <t>日本基準/IFRS/税務でそれぞれ異なる基準で帳簿作成・保存できること
(Ex.日本基準とIFRSで固定資産台帳を別々で作成できること等)</t>
    <rPh sb="23" eb="25">
      <t>チョウボ</t>
    </rPh>
    <rPh sb="25" eb="27">
      <t>サクセイ</t>
    </rPh>
    <rPh sb="67" eb="68">
      <t>ナド</t>
    </rPh>
    <phoneticPr fontId="3"/>
  </si>
  <si>
    <t>日本基準/IFRS/税務用の帳簿が作成できること</t>
    <rPh sb="0" eb="4">
      <t>ニホンキジュン</t>
    </rPh>
    <rPh sb="10" eb="12">
      <t>ゼイム</t>
    </rPh>
    <rPh sb="12" eb="13">
      <t>ヨウ</t>
    </rPh>
    <rPh sb="14" eb="16">
      <t>チョウボ</t>
    </rPh>
    <rPh sb="17" eb="19">
      <t>サクセイ</t>
    </rPh>
    <phoneticPr fontId="3"/>
  </si>
  <si>
    <t>IFRS伝票処理</t>
    <rPh sb="4" eb="6">
      <t>デンピョウ</t>
    </rPh>
    <rPh sb="6" eb="8">
      <t>ショリ</t>
    </rPh>
    <phoneticPr fontId="6"/>
  </si>
  <si>
    <t>転記階層機能を使用することで、日本基準用のトランザクションとは別にIFRSまたは税務用の仕訳伝票の登録が可能。
試算表照会画面やManagementReport帳票で日本基準伝票とIFRS調整伝票とを合計して出力表示可能。</t>
    <rPh sb="0" eb="4">
      <t>テンキカイソウ</t>
    </rPh>
    <rPh sb="4" eb="6">
      <t>キノウ</t>
    </rPh>
    <rPh sb="7" eb="9">
      <t>シヨウ</t>
    </rPh>
    <rPh sb="19" eb="20">
      <t>ヨウ</t>
    </rPh>
    <rPh sb="31" eb="32">
      <t>ベツ</t>
    </rPh>
    <rPh sb="40" eb="43">
      <t>ゼイムヨウ</t>
    </rPh>
    <rPh sb="44" eb="46">
      <t>シワケ</t>
    </rPh>
    <rPh sb="46" eb="48">
      <t>デンピョウ</t>
    </rPh>
    <rPh sb="49" eb="51">
      <t>トウロク</t>
    </rPh>
    <rPh sb="52" eb="54">
      <t>カノウ</t>
    </rPh>
    <rPh sb="56" eb="59">
      <t>シサンヒョウ</t>
    </rPh>
    <rPh sb="59" eb="61">
      <t>ショウカイ</t>
    </rPh>
    <rPh sb="61" eb="63">
      <t>ガメン</t>
    </rPh>
    <rPh sb="80" eb="82">
      <t>チョウヒョウ</t>
    </rPh>
    <rPh sb="83" eb="85">
      <t>ニホン</t>
    </rPh>
    <rPh sb="85" eb="87">
      <t>キジュン</t>
    </rPh>
    <rPh sb="87" eb="89">
      <t>デンピョウ</t>
    </rPh>
    <rPh sb="94" eb="96">
      <t>チョウセイ</t>
    </rPh>
    <rPh sb="96" eb="98">
      <t>デンピョウ</t>
    </rPh>
    <rPh sb="100" eb="102">
      <t>ゴウケイ</t>
    </rPh>
    <rPh sb="104" eb="108">
      <t>シュツリョクヒョウジ</t>
    </rPh>
    <rPh sb="108" eb="110">
      <t>カノウ</t>
    </rPh>
    <phoneticPr fontId="3"/>
  </si>
  <si>
    <t>Req067</t>
    <phoneticPr fontId="6"/>
  </si>
  <si>
    <t>連結決算用のIFRSベースのTBを作成できること</t>
    <rPh sb="0" eb="2">
      <t>レンケツ</t>
    </rPh>
    <rPh sb="2" eb="4">
      <t>ケッサン</t>
    </rPh>
    <rPh sb="4" eb="5">
      <t>ヨウ</t>
    </rPh>
    <rPh sb="17" eb="19">
      <t>サクセイ</t>
    </rPh>
    <phoneticPr fontId="3"/>
  </si>
  <si>
    <t>IFRSベースのTBの作成機能(IFRS開示用科目(親科目)とIFRS集計元科目(子科目)単位でそれぞれ閲覧できること)</t>
    <rPh sb="11" eb="13">
      <t>サクセイ</t>
    </rPh>
    <rPh sb="13" eb="15">
      <t>キノウ</t>
    </rPh>
    <rPh sb="20" eb="23">
      <t>カイジヨウ</t>
    </rPh>
    <phoneticPr fontId="3"/>
  </si>
  <si>
    <t>ManagementReportでIFRSベースの帳票を作成</t>
  </si>
  <si>
    <t>Req068</t>
  </si>
  <si>
    <t>年次毎に以下のIFRS調整仕訳を登録できること
・貯蔵品（販促物）
・有給休暇引当金
・総平均→FIFO（SEJのみ）
・在庫評価減（SSJのみ）
・有価証券売却益振替
・減損総額表示</t>
    <rPh sb="0" eb="2">
      <t>ネンジ</t>
    </rPh>
    <rPh sb="2" eb="3">
      <t>ゴト</t>
    </rPh>
    <rPh sb="4" eb="6">
      <t>イカ</t>
    </rPh>
    <rPh sb="11" eb="13">
      <t>チョウセイ</t>
    </rPh>
    <rPh sb="13" eb="15">
      <t>シワケ</t>
    </rPh>
    <rPh sb="16" eb="18">
      <t>トウロク</t>
    </rPh>
    <rPh sb="25" eb="28">
      <t>チョゾウヒン</t>
    </rPh>
    <rPh sb="29" eb="32">
      <t>ハンソクブツ</t>
    </rPh>
    <rPh sb="44" eb="47">
      <t>ソウヘイキン</t>
    </rPh>
    <rPh sb="61" eb="66">
      <t>ザイコヒョウカゲン</t>
    </rPh>
    <rPh sb="75" eb="83">
      <t>ユウカショウケンバイキャクエキフ</t>
    </rPh>
    <rPh sb="83" eb="84">
      <t>カ</t>
    </rPh>
    <rPh sb="86" eb="92">
      <t>ゲンソンソウガクヒョウジ</t>
    </rPh>
    <phoneticPr fontId="3"/>
  </si>
  <si>
    <t>IFRSの調整仕訳を登録できる機能</t>
    <rPh sb="5" eb="7">
      <t>チョウセイ</t>
    </rPh>
    <rPh sb="7" eb="9">
      <t>シワケ</t>
    </rPh>
    <rPh sb="10" eb="12">
      <t>トウロク</t>
    </rPh>
    <rPh sb="15" eb="17">
      <t>キノウ</t>
    </rPh>
    <phoneticPr fontId="3"/>
  </si>
  <si>
    <t>転記階層機能を使用することで、日本基準用のトランザクションとは別にIFRSまたは税務用の仕訳伝票の登録が可能。</t>
  </si>
  <si>
    <t>Req069</t>
  </si>
  <si>
    <t>連結会計システムへデータのアップロードができること</t>
    <rPh sb="0" eb="4">
      <t>レンケツカイケイ</t>
    </rPh>
    <phoneticPr fontId="3"/>
  </si>
  <si>
    <t>連結会計システムへデータ連携できる機能</t>
    <rPh sb="0" eb="4">
      <t>レンケツカイケイ</t>
    </rPh>
    <rPh sb="12" eb="14">
      <t>レンケイ</t>
    </rPh>
    <rPh sb="17" eb="19">
      <t>キノウ</t>
    </rPh>
    <phoneticPr fontId="3"/>
  </si>
  <si>
    <r>
      <t xml:space="preserve">ManagementReporterで連結会計システム向けのデータ出力レイアウト帳票を作成することを想定。
</t>
    </r>
    <r>
      <rPr>
        <sz val="9"/>
        <rFont val="Meiryo UI"/>
        <family val="3"/>
        <charset val="128"/>
      </rPr>
      <t>取り込みフォーマットまで加工したものが欲しい場合、アドオンが必要。</t>
    </r>
    <r>
      <rPr>
        <sz val="9"/>
        <rFont val="メイリオ"/>
        <family val="3"/>
        <charset val="128"/>
      </rPr>
      <t xml:space="preserve">
Req067のIFRS用TBをマクロで加工して連結取込をするので、REQ069としての開発は不要。</t>
    </r>
    <rPh sb="27" eb="28">
      <t>ム</t>
    </rPh>
    <rPh sb="33" eb="35">
      <t>シュツリョク</t>
    </rPh>
    <rPh sb="40" eb="42">
      <t>チョウヒョウ</t>
    </rPh>
    <rPh sb="43" eb="45">
      <t>サクセイ</t>
    </rPh>
    <rPh sb="50" eb="52">
      <t>ソウテイ</t>
    </rPh>
    <rPh sb="99" eb="100">
      <t>ヨウ</t>
    </rPh>
    <rPh sb="107" eb="109">
      <t>カコウ</t>
    </rPh>
    <rPh sb="111" eb="113">
      <t>レンケツ</t>
    </rPh>
    <rPh sb="113" eb="115">
      <t>トリコミ</t>
    </rPh>
    <rPh sb="131" eb="133">
      <t>カイハツ</t>
    </rPh>
    <rPh sb="134" eb="136">
      <t>フヨウ</t>
    </rPh>
    <phoneticPr fontId="3"/>
  </si>
  <si>
    <t>Req070</t>
  </si>
  <si>
    <t>連結会計システムへデータを連携した後、エラーを確認し、必要に応じて修正できること</t>
    <rPh sb="13" eb="15">
      <t>レンケイ</t>
    </rPh>
    <rPh sb="17" eb="18">
      <t>アト</t>
    </rPh>
    <rPh sb="23" eb="25">
      <t>カクニン</t>
    </rPh>
    <rPh sb="27" eb="29">
      <t>ヒツヨウ</t>
    </rPh>
    <rPh sb="30" eb="31">
      <t>オウ</t>
    </rPh>
    <rPh sb="33" eb="35">
      <t>シュウセイ</t>
    </rPh>
    <phoneticPr fontId="3"/>
  </si>
  <si>
    <t>連結会計システムへデータ連携後、修正できる機能</t>
    <rPh sb="12" eb="14">
      <t>レンケイ</t>
    </rPh>
    <rPh sb="14" eb="15">
      <t>ゴ</t>
    </rPh>
    <rPh sb="16" eb="18">
      <t>シュウセイ</t>
    </rPh>
    <rPh sb="21" eb="23">
      <t>キノウ</t>
    </rPh>
    <phoneticPr fontId="3"/>
  </si>
  <si>
    <t>一般仕訳帳で修正伝票を登録後、データ再出力を想定。</t>
    <rPh sb="0" eb="5">
      <t>イッパンシワケチョウ</t>
    </rPh>
    <rPh sb="6" eb="8">
      <t>シュウセイ</t>
    </rPh>
    <rPh sb="8" eb="10">
      <t>デンピョウ</t>
    </rPh>
    <rPh sb="11" eb="13">
      <t>トウロク</t>
    </rPh>
    <rPh sb="13" eb="14">
      <t>ゴ</t>
    </rPh>
    <rPh sb="18" eb="19">
      <t>サイ</t>
    </rPh>
    <rPh sb="19" eb="21">
      <t>シュツリョク</t>
    </rPh>
    <rPh sb="22" eb="24">
      <t>ソウテイ</t>
    </rPh>
    <phoneticPr fontId="3"/>
  </si>
  <si>
    <t>Req071</t>
  </si>
  <si>
    <t>連結会計システムへデータを連携した後、CFを確認し、必要に応じて修正できること</t>
    <rPh sb="13" eb="15">
      <t>レンケイ</t>
    </rPh>
    <rPh sb="17" eb="18">
      <t>アト</t>
    </rPh>
    <rPh sb="22" eb="24">
      <t>カクニン</t>
    </rPh>
    <rPh sb="26" eb="28">
      <t>ヒツヨウ</t>
    </rPh>
    <rPh sb="29" eb="30">
      <t>オウ</t>
    </rPh>
    <rPh sb="32" eb="34">
      <t>シュウセイ</t>
    </rPh>
    <phoneticPr fontId="3"/>
  </si>
  <si>
    <t>連結会計システムへデータ連携後、CFを修正できる機能</t>
    <rPh sb="12" eb="14">
      <t>レンケイ</t>
    </rPh>
    <rPh sb="14" eb="15">
      <t>ゴ</t>
    </rPh>
    <rPh sb="19" eb="21">
      <t>シュウセイ</t>
    </rPh>
    <rPh sb="24" eb="26">
      <t>キノウ</t>
    </rPh>
    <phoneticPr fontId="3"/>
  </si>
  <si>
    <t>Req072</t>
  </si>
  <si>
    <t>年次毎に例えば以下のIFRS明細を作成できること
(日本基準/IFRSで複数明細が保持できること)
・IFRS固定資産明細(圧縮記帳含む)
・IFRS減損資料
・IFRS税効果会計資料
・IFRS有価証券明細
・IFRS金融負債明細</t>
    <rPh sb="4" eb="5">
      <t>タト</t>
    </rPh>
    <rPh sb="14" eb="16">
      <t>メイサイ</t>
    </rPh>
    <rPh sb="17" eb="19">
      <t>サクセイ</t>
    </rPh>
    <rPh sb="26" eb="28">
      <t>ニホン</t>
    </rPh>
    <rPh sb="28" eb="30">
      <t>キジュン</t>
    </rPh>
    <rPh sb="36" eb="38">
      <t>フクスウ</t>
    </rPh>
    <rPh sb="38" eb="40">
      <t>メイサイ</t>
    </rPh>
    <rPh sb="41" eb="43">
      <t>ホジ</t>
    </rPh>
    <rPh sb="55" eb="59">
      <t>コテイシサン</t>
    </rPh>
    <rPh sb="59" eb="61">
      <t>メイサイ</t>
    </rPh>
    <rPh sb="62" eb="66">
      <t>アッシュクキチョウ</t>
    </rPh>
    <rPh sb="66" eb="67">
      <t>フク</t>
    </rPh>
    <rPh sb="85" eb="92">
      <t>ゼイコウカカイケイシリョウ</t>
    </rPh>
    <rPh sb="98" eb="104">
      <t>ユウカショウケンメイサイ</t>
    </rPh>
    <rPh sb="110" eb="114">
      <t>キンユウフサイ</t>
    </rPh>
    <rPh sb="114" eb="116">
      <t>メイサイ</t>
    </rPh>
    <phoneticPr fontId="3"/>
  </si>
  <si>
    <t>IFRSベースの各明細を作成・出力できる機能</t>
    <rPh sb="8" eb="11">
      <t>カクメイサイ</t>
    </rPh>
    <rPh sb="12" eb="14">
      <t>サクセイ</t>
    </rPh>
    <rPh sb="15" eb="17">
      <t>シュツリョク</t>
    </rPh>
    <rPh sb="20" eb="22">
      <t>キノウ</t>
    </rPh>
    <phoneticPr fontId="3"/>
  </si>
  <si>
    <t xml:space="preserve">ManagementReportでIFRS伝票を出力する帳票を作成することを想定。
</t>
    <rPh sb="21" eb="23">
      <t>デンピョウ</t>
    </rPh>
    <rPh sb="24" eb="26">
      <t>シュツリョク</t>
    </rPh>
    <rPh sb="28" eb="30">
      <t>チョウヒョウ</t>
    </rPh>
    <rPh sb="31" eb="33">
      <t>サクセイ</t>
    </rPh>
    <rPh sb="38" eb="40">
      <t>ソウテイ</t>
    </rPh>
    <phoneticPr fontId="3"/>
  </si>
  <si>
    <t>固定資産明細のなかで、増減累計がわかればよい。
サンプル受領予定</t>
  </si>
  <si>
    <t>固定資産モジュールでIFRS用に設定した帳簿の仕訳の作成先をカスタムレイヤ1に設定することで、日本基準用(現行)とIFRS用(カスタムレイヤ1)とで別別に確認可能</t>
    <rPh sb="0" eb="4">
      <t>コテイシサン</t>
    </rPh>
    <rPh sb="14" eb="15">
      <t>ヨウ</t>
    </rPh>
    <rPh sb="16" eb="18">
      <t>セッテイ</t>
    </rPh>
    <rPh sb="20" eb="22">
      <t>チョウボ</t>
    </rPh>
    <rPh sb="23" eb="25">
      <t>シワケ</t>
    </rPh>
    <rPh sb="26" eb="28">
      <t>サクセイ</t>
    </rPh>
    <rPh sb="28" eb="29">
      <t>サキ</t>
    </rPh>
    <rPh sb="39" eb="41">
      <t>セッテイ</t>
    </rPh>
    <rPh sb="47" eb="52">
      <t>ニホンキジュンヨウ</t>
    </rPh>
    <rPh sb="53" eb="55">
      <t>ゲンコウ</t>
    </rPh>
    <rPh sb="61" eb="62">
      <t>ヨウ</t>
    </rPh>
    <rPh sb="74" eb="75">
      <t>ベツ</t>
    </rPh>
    <rPh sb="75" eb="76">
      <t>ベツ</t>
    </rPh>
    <rPh sb="77" eb="79">
      <t>カクニン</t>
    </rPh>
    <rPh sb="79" eb="81">
      <t>カノウ</t>
    </rPh>
    <phoneticPr fontId="6"/>
  </si>
  <si>
    <t>Req073</t>
  </si>
  <si>
    <t>取引の発生によって各上流システムで計上した売掛金データを連携できること</t>
    <rPh sb="0" eb="2">
      <t>トリヒキ</t>
    </rPh>
    <rPh sb="3" eb="5">
      <t>ハッセイ</t>
    </rPh>
    <rPh sb="9" eb="10">
      <t>カク</t>
    </rPh>
    <rPh sb="10" eb="12">
      <t>ジョウリュウ</t>
    </rPh>
    <rPh sb="17" eb="19">
      <t>ケイジョウ</t>
    </rPh>
    <rPh sb="21" eb="24">
      <t>ウリカケキン</t>
    </rPh>
    <rPh sb="28" eb="30">
      <t>レンケイ</t>
    </rPh>
    <phoneticPr fontId="3"/>
  </si>
  <si>
    <t>上流から計上された売掛金データを連携して受け取る機能</t>
    <rPh sb="0" eb="2">
      <t>ジョウリュウ</t>
    </rPh>
    <rPh sb="4" eb="6">
      <t>ケイジョウ</t>
    </rPh>
    <rPh sb="9" eb="12">
      <t>ウリカケキン</t>
    </rPh>
    <rPh sb="16" eb="18">
      <t>レンケイ</t>
    </rPh>
    <rPh sb="20" eb="21">
      <t>ウ</t>
    </rPh>
    <rPh sb="22" eb="23">
      <t>ト</t>
    </rPh>
    <rPh sb="24" eb="26">
      <t>キノウ</t>
    </rPh>
    <phoneticPr fontId="3"/>
  </si>
  <si>
    <t>債権管理</t>
    <rPh sb="0" eb="4">
      <t>サイケンカンリ</t>
    </rPh>
    <phoneticPr fontId="6"/>
  </si>
  <si>
    <t>IT</t>
    <phoneticPr fontId="6"/>
  </si>
  <si>
    <t>IF機能</t>
    <rPh sb="2" eb="4">
      <t>キノウ</t>
    </rPh>
    <phoneticPr fontId="6"/>
  </si>
  <si>
    <t>債権</t>
    <rPh sb="0" eb="2">
      <t>サイケン</t>
    </rPh>
    <phoneticPr fontId="6"/>
  </si>
  <si>
    <t>1.SSJ・SEJ売上計上・請求処理 (売掛金)
2.SLJ売上計上・請求処理 (売掛金)</t>
    <phoneticPr fontId="6"/>
  </si>
  <si>
    <t>外部システム（mcframe、SEJホスト）で計上された伝票情報をIF取込する</t>
    <rPh sb="0" eb="2">
      <t>ガイブ</t>
    </rPh>
    <rPh sb="23" eb="25">
      <t>ケイジョウ</t>
    </rPh>
    <rPh sb="28" eb="30">
      <t>デンピョウ</t>
    </rPh>
    <rPh sb="30" eb="32">
      <t>ジョウホウ</t>
    </rPh>
    <rPh sb="35" eb="37">
      <t>トリコミ</t>
    </rPh>
    <phoneticPr fontId="6"/>
  </si>
  <si>
    <t>Req074</t>
  </si>
  <si>
    <t>通販ダイレクトの預り金の発生履歴と処理方法を管理する台帳を作成できること</t>
    <rPh sb="0" eb="2">
      <t>ツウハン</t>
    </rPh>
    <rPh sb="8" eb="9">
      <t>アズカ</t>
    </rPh>
    <rPh sb="10" eb="11">
      <t>キン</t>
    </rPh>
    <rPh sb="22" eb="24">
      <t>カンリ</t>
    </rPh>
    <rPh sb="28" eb="30">
      <t>ダイチョウ</t>
    </rPh>
    <phoneticPr fontId="3"/>
  </si>
  <si>
    <t>預り金の発生履歴と処理方法を台帳に作成する機能</t>
    <rPh sb="14" eb="16">
      <t>ダイチョウ</t>
    </rPh>
    <rPh sb="17" eb="19">
      <t>サクセイ</t>
    </rPh>
    <phoneticPr fontId="3"/>
  </si>
  <si>
    <t>2/1セッションにて
通販ダイレクト昨年9月25日より、システムが変更しており、内容が大きく変更になっている。
後払いという支払方法があり、入金が重複して過入金、預り売掛で処理をしていた。
システム変更に伴い、債権譲渡になり、後払いの機能がなくなった。
2.1のような問題の発生頻度は減ったが、0ではない。
台帳に関しては、Excelで管理台帳を作成して管理するで問題ないと思っているため、アドオンは不要の認識。
処理についてもアドオンは不要と考える。</t>
  </si>
  <si>
    <t>7.その他取引計上
・2. 預り金処理　台帳作成</t>
    <phoneticPr fontId="6"/>
  </si>
  <si>
    <r>
      <t xml:space="preserve">「試算表」「伝票トランザクション」を使用し、預り金情報を抽出する。
抽出した情報を基に台帳を作成する。
※顧客毎に処理方法（返金、翌月支払いへの振替）を記載する
</t>
    </r>
    <r>
      <rPr>
        <b/>
        <sz val="9"/>
        <rFont val="メイリオ"/>
        <family val="3"/>
        <charset val="128"/>
      </rPr>
      <t>※預り金仕訳登録時に、財務分析コード「顧客」に対象顧客をセットする前提</t>
    </r>
    <rPh sb="1" eb="4">
      <t>シサンヒョウ</t>
    </rPh>
    <rPh sb="6" eb="8">
      <t>デンピョウ</t>
    </rPh>
    <rPh sb="18" eb="20">
      <t>シヨウ</t>
    </rPh>
    <rPh sb="22" eb="23">
      <t>アズカ</t>
    </rPh>
    <rPh sb="24" eb="25">
      <t>キン</t>
    </rPh>
    <rPh sb="25" eb="27">
      <t>ジョウホウ</t>
    </rPh>
    <rPh sb="28" eb="30">
      <t>チュウシュツ</t>
    </rPh>
    <rPh sb="34" eb="36">
      <t>チュウシュツ</t>
    </rPh>
    <rPh sb="38" eb="40">
      <t>ジョウホウ</t>
    </rPh>
    <rPh sb="41" eb="42">
      <t>モト</t>
    </rPh>
    <rPh sb="43" eb="45">
      <t>ダイチョウ</t>
    </rPh>
    <rPh sb="46" eb="48">
      <t>サクセイ</t>
    </rPh>
    <rPh sb="83" eb="84">
      <t>アズカ</t>
    </rPh>
    <rPh sb="85" eb="86">
      <t>キン</t>
    </rPh>
    <rPh sb="86" eb="88">
      <t>シワケ</t>
    </rPh>
    <rPh sb="88" eb="90">
      <t>トウロク</t>
    </rPh>
    <rPh sb="90" eb="91">
      <t>ジ</t>
    </rPh>
    <rPh sb="93" eb="97">
      <t>ザイムブンセキ</t>
    </rPh>
    <rPh sb="101" eb="103">
      <t>コキャク</t>
    </rPh>
    <rPh sb="105" eb="107">
      <t>タイショウ</t>
    </rPh>
    <rPh sb="107" eb="109">
      <t>コキャク</t>
    </rPh>
    <rPh sb="115" eb="117">
      <t>ゼンテイ</t>
    </rPh>
    <phoneticPr fontId="6"/>
  </si>
  <si>
    <t>Req075</t>
  </si>
  <si>
    <t>預り金の発生した顧客毎に処理方法（返金、翌月支払いへの振替）を確認できること</t>
    <rPh sb="0" eb="1">
      <t>アズカ</t>
    </rPh>
    <rPh sb="2" eb="3">
      <t>キン</t>
    </rPh>
    <rPh sb="4" eb="6">
      <t>ハッセイ</t>
    </rPh>
    <rPh sb="8" eb="10">
      <t>コキャク</t>
    </rPh>
    <rPh sb="10" eb="11">
      <t>ゴト</t>
    </rPh>
    <rPh sb="12" eb="16">
      <t>ショリホウホウ</t>
    </rPh>
    <rPh sb="31" eb="33">
      <t>カクニン</t>
    </rPh>
    <phoneticPr fontId="3"/>
  </si>
  <si>
    <t>預り金の発生顧客毎に処理方法を確認する機能</t>
    <rPh sb="0" eb="1">
      <t>アズカ</t>
    </rPh>
    <rPh sb="4" eb="6">
      <t>ハッセイ</t>
    </rPh>
    <rPh sb="6" eb="8">
      <t>コキャク</t>
    </rPh>
    <rPh sb="8" eb="9">
      <t>ゴト</t>
    </rPh>
    <rPh sb="10" eb="14">
      <t>ショリホウホウ</t>
    </rPh>
    <rPh sb="15" eb="17">
      <t>カクニン</t>
    </rPh>
    <rPh sb="19" eb="21">
      <t>キノウ</t>
    </rPh>
    <phoneticPr fontId="3"/>
  </si>
  <si>
    <t>Req074で作成した台帳を確認する。</t>
    <rPh sb="7" eb="9">
      <t>サクセイ</t>
    </rPh>
    <rPh sb="11" eb="13">
      <t>ダイチョウ</t>
    </rPh>
    <rPh sb="14" eb="16">
      <t>カクニン</t>
    </rPh>
    <phoneticPr fontId="6"/>
  </si>
  <si>
    <t>Req076</t>
  </si>
  <si>
    <t>預り金の返金処理をする場合、返金し預り金の消込できること</t>
    <rPh sb="0" eb="1">
      <t>アズカ</t>
    </rPh>
    <rPh sb="2" eb="3">
      <t>キン</t>
    </rPh>
    <rPh sb="4" eb="8">
      <t>ヘンキンショリ</t>
    </rPh>
    <rPh sb="11" eb="13">
      <t>バアイ</t>
    </rPh>
    <rPh sb="14" eb="16">
      <t>ヘンキン</t>
    </rPh>
    <rPh sb="17" eb="18">
      <t>アズカ</t>
    </rPh>
    <rPh sb="19" eb="20">
      <t>キン</t>
    </rPh>
    <rPh sb="21" eb="23">
      <t>ケシコミ</t>
    </rPh>
    <phoneticPr fontId="3"/>
  </si>
  <si>
    <t>預り金の消込仕訳が作成する機能</t>
    <rPh sb="0" eb="1">
      <t>アズカ</t>
    </rPh>
    <rPh sb="2" eb="3">
      <t>キン</t>
    </rPh>
    <rPh sb="4" eb="6">
      <t>ケシコミ</t>
    </rPh>
    <rPh sb="6" eb="8">
      <t>シワケ</t>
    </rPh>
    <rPh sb="9" eb="11">
      <t>サクセイ</t>
    </rPh>
    <rPh sb="13" eb="15">
      <t>キノウ</t>
    </rPh>
    <phoneticPr fontId="3"/>
  </si>
  <si>
    <t>7.その他取引計上</t>
    <phoneticPr fontId="6"/>
  </si>
  <si>
    <r>
      <t xml:space="preserve">「仕入先支払仕訳帳」を使用し、返金・消込仕訳の登録を行う。
</t>
    </r>
    <r>
      <rPr>
        <b/>
        <sz val="9"/>
        <rFont val="メイリオ"/>
        <family val="3"/>
        <charset val="128"/>
      </rPr>
      <t>※預り金仕訳登録時に、財務分析コード「顧客」に対象顧客をセットする前提</t>
    </r>
    <rPh sb="1" eb="4">
      <t>シイレサキ</t>
    </rPh>
    <rPh sb="4" eb="6">
      <t>シハラ</t>
    </rPh>
    <rPh sb="6" eb="9">
      <t>シワケチョウ</t>
    </rPh>
    <rPh sb="11" eb="13">
      <t>シヨウ</t>
    </rPh>
    <rPh sb="15" eb="17">
      <t>ヘンキン</t>
    </rPh>
    <rPh sb="18" eb="20">
      <t>ケシコミ</t>
    </rPh>
    <rPh sb="20" eb="22">
      <t>シワケ</t>
    </rPh>
    <rPh sb="23" eb="25">
      <t>トウロク</t>
    </rPh>
    <rPh sb="26" eb="27">
      <t>オコナ</t>
    </rPh>
    <phoneticPr fontId="6"/>
  </si>
  <si>
    <t>Req077</t>
  </si>
  <si>
    <t>預り金を翌月以降の支払に充てる場合、預り金を売掛金に振替できること</t>
    <rPh sb="0" eb="1">
      <t>アズカ</t>
    </rPh>
    <rPh sb="2" eb="3">
      <t>キン</t>
    </rPh>
    <rPh sb="4" eb="6">
      <t>ヨクゲツ</t>
    </rPh>
    <rPh sb="6" eb="8">
      <t>イコウ</t>
    </rPh>
    <rPh sb="9" eb="11">
      <t>シハラ</t>
    </rPh>
    <rPh sb="12" eb="13">
      <t>ア</t>
    </rPh>
    <rPh sb="15" eb="17">
      <t>バアイ</t>
    </rPh>
    <rPh sb="18" eb="19">
      <t>アズカ</t>
    </rPh>
    <rPh sb="20" eb="21">
      <t>キン</t>
    </rPh>
    <rPh sb="22" eb="25">
      <t>ウリカケキン</t>
    </rPh>
    <rPh sb="26" eb="27">
      <t>フ</t>
    </rPh>
    <rPh sb="27" eb="28">
      <t>カ</t>
    </rPh>
    <phoneticPr fontId="3"/>
  </si>
  <si>
    <t>預り金を売掛金に振り替えができる機能</t>
    <rPh sb="0" eb="1">
      <t>アズカ</t>
    </rPh>
    <rPh sb="2" eb="3">
      <t>キン</t>
    </rPh>
    <rPh sb="4" eb="7">
      <t>ウリカケキン</t>
    </rPh>
    <rPh sb="8" eb="9">
      <t>フ</t>
    </rPh>
    <rPh sb="10" eb="11">
      <t>カ</t>
    </rPh>
    <rPh sb="16" eb="18">
      <t>キノウ</t>
    </rPh>
    <phoneticPr fontId="3"/>
  </si>
  <si>
    <t>「一般仕訳帳」を使用し、振替仕訳を登録する。</t>
    <rPh sb="1" eb="6">
      <t>イッパンシワケチョウ</t>
    </rPh>
    <rPh sb="8" eb="10">
      <t>シヨウ</t>
    </rPh>
    <rPh sb="12" eb="14">
      <t>フリカエ</t>
    </rPh>
    <rPh sb="14" eb="16">
      <t>シワケ</t>
    </rPh>
    <rPh sb="17" eb="19">
      <t>トウロク</t>
    </rPh>
    <phoneticPr fontId="6"/>
  </si>
  <si>
    <t>Req078</t>
  </si>
  <si>
    <t>SSJの費用のうち、SEJの業務委託費に該当する費用を出力できること</t>
    <rPh sb="4" eb="6">
      <t>ヒヨウ</t>
    </rPh>
    <rPh sb="14" eb="16">
      <t>ギョウム</t>
    </rPh>
    <rPh sb="16" eb="18">
      <t>イタク</t>
    </rPh>
    <rPh sb="18" eb="19">
      <t>ヒ</t>
    </rPh>
    <rPh sb="20" eb="22">
      <t>ガイトウ</t>
    </rPh>
    <rPh sb="24" eb="26">
      <t>ヒヨウ</t>
    </rPh>
    <rPh sb="27" eb="29">
      <t>シュツリョク</t>
    </rPh>
    <phoneticPr fontId="3"/>
  </si>
  <si>
    <t>SSJで発生している費用を画面で確認する機能</t>
    <rPh sb="4" eb="6">
      <t>ハッセイ</t>
    </rPh>
    <rPh sb="10" eb="12">
      <t>ヒヨウ</t>
    </rPh>
    <rPh sb="13" eb="15">
      <t>ガメン</t>
    </rPh>
    <rPh sb="16" eb="18">
      <t>カクニン</t>
    </rPh>
    <rPh sb="20" eb="22">
      <t>キノウ</t>
    </rPh>
    <phoneticPr fontId="3"/>
  </si>
  <si>
    <t>受注管理G</t>
    <rPh sb="0" eb="4">
      <t>ジュチュウカンリ</t>
    </rPh>
    <phoneticPr fontId="6"/>
  </si>
  <si>
    <t>試算表、伝票トランザクション</t>
    <rPh sb="0" eb="3">
      <t>シサンヒョウ</t>
    </rPh>
    <rPh sb="4" eb="6">
      <t>デンピョウ</t>
    </rPh>
    <phoneticPr fontId="6"/>
  </si>
  <si>
    <t>受注や債権に特化した機能ではなく、計上した費用と摘要の確認をしていますので標準機能でOK。（武市）</t>
    <rPh sb="0" eb="2">
      <t>ジュチュウ</t>
    </rPh>
    <rPh sb="3" eb="5">
      <t>サイケン</t>
    </rPh>
    <rPh sb="6" eb="8">
      <t>トッカ</t>
    </rPh>
    <rPh sb="10" eb="12">
      <t>キノウ</t>
    </rPh>
    <rPh sb="17" eb="19">
      <t>ケイジョウ</t>
    </rPh>
    <rPh sb="21" eb="23">
      <t>ヒヨウ</t>
    </rPh>
    <rPh sb="24" eb="26">
      <t>テキヨウ</t>
    </rPh>
    <rPh sb="27" eb="29">
      <t>カクニン</t>
    </rPh>
    <rPh sb="37" eb="41">
      <t>ヒョウジュンキノウ</t>
    </rPh>
    <rPh sb="46" eb="48">
      <t>タケイチ</t>
    </rPh>
    <phoneticPr fontId="6"/>
  </si>
  <si>
    <t>Req079</t>
  </si>
  <si>
    <t>SEJの業務委託費用をSSJからSEJの人件費に振替できること</t>
    <rPh sb="4" eb="6">
      <t>ギョウム</t>
    </rPh>
    <rPh sb="6" eb="10">
      <t>イタクヒヨウ</t>
    </rPh>
    <rPh sb="20" eb="23">
      <t>ジンケンヒ</t>
    </rPh>
    <rPh sb="24" eb="25">
      <t>フ</t>
    </rPh>
    <rPh sb="25" eb="26">
      <t>カ</t>
    </rPh>
    <phoneticPr fontId="3"/>
  </si>
  <si>
    <t>会社間を跨いで費用の振り替えができる機能</t>
    <rPh sb="0" eb="2">
      <t>カイシャ</t>
    </rPh>
    <rPh sb="2" eb="3">
      <t>アイダ</t>
    </rPh>
    <rPh sb="4" eb="5">
      <t>マタ</t>
    </rPh>
    <rPh sb="7" eb="9">
      <t>ヒヨウ</t>
    </rPh>
    <rPh sb="10" eb="11">
      <t>フ</t>
    </rPh>
    <rPh sb="12" eb="13">
      <t>カ</t>
    </rPh>
    <rPh sb="18" eb="20">
      <t>キノウ</t>
    </rPh>
    <phoneticPr fontId="3"/>
  </si>
  <si>
    <t>会社間振替処理機能が利用できるのであれば、活用したい（武市）</t>
    <rPh sb="0" eb="3">
      <t>カイシャカン</t>
    </rPh>
    <rPh sb="3" eb="7">
      <t>フリカエショリ</t>
    </rPh>
    <rPh sb="7" eb="9">
      <t>キノウ</t>
    </rPh>
    <rPh sb="10" eb="12">
      <t>リヨウ</t>
    </rPh>
    <rPh sb="21" eb="23">
      <t>カツヨウ</t>
    </rPh>
    <rPh sb="27" eb="29">
      <t>タケイチ</t>
    </rPh>
    <phoneticPr fontId="6"/>
  </si>
  <si>
    <t>「一般仕訳帳」を使用し、振替仕訳を登録する。
※会社間会計機能を使用</t>
    <rPh sb="1" eb="6">
      <t>イッパンシワケチョウ</t>
    </rPh>
    <rPh sb="8" eb="10">
      <t>シヨウ</t>
    </rPh>
    <rPh sb="12" eb="14">
      <t>フリカエ</t>
    </rPh>
    <rPh sb="14" eb="16">
      <t>シワケ</t>
    </rPh>
    <rPh sb="17" eb="19">
      <t>トウロク</t>
    </rPh>
    <rPh sb="24" eb="26">
      <t>カイシャ</t>
    </rPh>
    <rPh sb="26" eb="27">
      <t>カン</t>
    </rPh>
    <rPh sb="27" eb="29">
      <t>カイケイ</t>
    </rPh>
    <rPh sb="29" eb="31">
      <t>キノウ</t>
    </rPh>
    <rPh sb="32" eb="34">
      <t>シヨウ</t>
    </rPh>
    <phoneticPr fontId="6"/>
  </si>
  <si>
    <t xml:space="preserve">①立替金 / 消込費用
②費用 / 未払金
③当座 / 立替金
</t>
    <rPh sb="1" eb="4">
      <t>タテカエキン</t>
    </rPh>
    <rPh sb="7" eb="9">
      <t>ケシコミ</t>
    </rPh>
    <rPh sb="9" eb="11">
      <t>ヒヨウ</t>
    </rPh>
    <rPh sb="13" eb="15">
      <t>ヒヨウ</t>
    </rPh>
    <rPh sb="18" eb="20">
      <t>ミハラ</t>
    </rPh>
    <rPh sb="20" eb="21">
      <t>キン</t>
    </rPh>
    <rPh sb="23" eb="25">
      <t>トウザ</t>
    </rPh>
    <rPh sb="28" eb="31">
      <t>タテカエキン</t>
    </rPh>
    <phoneticPr fontId="6"/>
  </si>
  <si>
    <t>Req080</t>
    <phoneticPr fontId="6"/>
  </si>
  <si>
    <t>取引の発生によって各上流システムでその他の債権等を計上できること</t>
    <rPh sb="0" eb="2">
      <t>トリヒキ</t>
    </rPh>
    <rPh sb="3" eb="5">
      <t>ハッセイ</t>
    </rPh>
    <rPh sb="9" eb="10">
      <t>カク</t>
    </rPh>
    <rPh sb="10" eb="12">
      <t>ジョウリュウ</t>
    </rPh>
    <rPh sb="19" eb="20">
      <t>タ</t>
    </rPh>
    <rPh sb="21" eb="23">
      <t>サイケン</t>
    </rPh>
    <rPh sb="23" eb="24">
      <t>トウ</t>
    </rPh>
    <rPh sb="25" eb="27">
      <t>ケイジョウ</t>
    </rPh>
    <phoneticPr fontId="3"/>
  </si>
  <si>
    <t>上流から計上されたその他債権データを連携して受け取る機能</t>
    <rPh sb="11" eb="12">
      <t>タ</t>
    </rPh>
    <rPh sb="12" eb="14">
      <t>サイケン</t>
    </rPh>
    <phoneticPr fontId="3"/>
  </si>
  <si>
    <t>その他の債権＝未収入金であれば、楽楽精算入力時に取引先コード入力必須となっているので、IF時に留意</t>
    <rPh sb="2" eb="3">
      <t>タ</t>
    </rPh>
    <rPh sb="4" eb="6">
      <t>サイケン</t>
    </rPh>
    <rPh sb="7" eb="11">
      <t>ミシュウニュウキン</t>
    </rPh>
    <rPh sb="16" eb="20">
      <t>ラクラクセイサン</t>
    </rPh>
    <rPh sb="20" eb="23">
      <t>ニュウリョクジ</t>
    </rPh>
    <rPh sb="24" eb="27">
      <t>トリヒキサキ</t>
    </rPh>
    <rPh sb="30" eb="34">
      <t>ニュウリョクヒッス</t>
    </rPh>
    <rPh sb="45" eb="46">
      <t>ジ</t>
    </rPh>
    <rPh sb="47" eb="49">
      <t>リュウイ</t>
    </rPh>
    <phoneticPr fontId="6"/>
  </si>
  <si>
    <t>楽楽精算で計上された伝票情報をIF取込する</t>
    <rPh sb="0" eb="2">
      <t>ラクラク</t>
    </rPh>
    <rPh sb="2" eb="4">
      <t>セイサン</t>
    </rPh>
    <rPh sb="5" eb="7">
      <t>ケイジョウ</t>
    </rPh>
    <rPh sb="10" eb="12">
      <t>デンピョウ</t>
    </rPh>
    <rPh sb="12" eb="14">
      <t>ジョウホウ</t>
    </rPh>
    <rPh sb="17" eb="19">
      <t>トリコミ</t>
    </rPh>
    <phoneticPr fontId="6"/>
  </si>
  <si>
    <t>Req081</t>
  </si>
  <si>
    <r>
      <t xml:space="preserve">請求回収支援システムから請求データを受領、連携できること
</t>
    </r>
    <r>
      <rPr>
        <sz val="11"/>
        <color rgb="FFFF0000"/>
        <rFont val="Meiryo UI"/>
        <family val="3"/>
        <charset val="128"/>
      </rPr>
      <t>すみません、こちらの要件は会計システム要件ではないため無視してください。</t>
    </r>
    <rPh sb="12" eb="14">
      <t>セイキュウ</t>
    </rPh>
    <rPh sb="18" eb="20">
      <t>ジュリョウ</t>
    </rPh>
    <rPh sb="21" eb="23">
      <t>レンケイ</t>
    </rPh>
    <phoneticPr fontId="3"/>
  </si>
  <si>
    <t>請求回収支援システムから請求情報をAPI連携する機能</t>
    <rPh sb="4" eb="6">
      <t>シエン</t>
    </rPh>
    <phoneticPr fontId="3"/>
  </si>
  <si>
    <t>会計システム要件外のためスコープアウト</t>
    <rPh sb="0" eb="2">
      <t>カイケイ</t>
    </rPh>
    <rPh sb="6" eb="8">
      <t>ヨウケン</t>
    </rPh>
    <rPh sb="8" eb="9">
      <t>ガイ</t>
    </rPh>
    <phoneticPr fontId="6"/>
  </si>
  <si>
    <t>要件対象外（武市）</t>
    <rPh sb="0" eb="5">
      <t>ヨウケンタイショウガイ</t>
    </rPh>
    <rPh sb="6" eb="8">
      <t>タケイチ</t>
    </rPh>
    <phoneticPr fontId="6"/>
  </si>
  <si>
    <t>-</t>
    <phoneticPr fontId="6"/>
  </si>
  <si>
    <t>Req082</t>
  </si>
  <si>
    <r>
      <t xml:space="preserve">支払明細書を基に、当月の入金予定金額をW1毎に請求回収システムに登録できること
</t>
    </r>
    <r>
      <rPr>
        <sz val="9"/>
        <color rgb="FFFF0000"/>
        <rFont val="メイリオ"/>
        <family val="3"/>
        <charset val="128"/>
      </rPr>
      <t>すみません、こちらの要件は会計システム要件ではないため無視してください。</t>
    </r>
    <phoneticPr fontId="6"/>
  </si>
  <si>
    <t>入金予定金額を登録できる機能</t>
    <rPh sb="0" eb="6">
      <t>ニュウキンヨテイキンガク</t>
    </rPh>
    <rPh sb="7" eb="9">
      <t>トウロク</t>
    </rPh>
    <rPh sb="12" eb="14">
      <t>キノウ</t>
    </rPh>
    <phoneticPr fontId="3"/>
  </si>
  <si>
    <t>Req083</t>
  </si>
  <si>
    <r>
      <t xml:space="preserve">通販以外の取引における小切手・手形分の入金を入力できること
（AsIsでは販売管理システムに入力）
</t>
    </r>
    <r>
      <rPr>
        <sz val="11"/>
        <color rgb="FFFF0000"/>
        <rFont val="Meiryo UI"/>
        <family val="3"/>
        <charset val="128"/>
      </rPr>
      <t>現在、三菱UFJに限らず入金消込は会計システムでは実施していませんが、今後入金消込を会計システムで実施する前提であるという内容と理解してください。(「三菱UFJ以外」といった記載は現在入金消込をしている別システムでの内容なので、ここでは気にしないでください)</t>
    </r>
    <rPh sb="0" eb="2">
      <t>ツウハン</t>
    </rPh>
    <rPh sb="2" eb="4">
      <t>イガイ</t>
    </rPh>
    <rPh sb="5" eb="7">
      <t>トリヒキ</t>
    </rPh>
    <rPh sb="11" eb="14">
      <t>コギッテ</t>
    </rPh>
    <rPh sb="15" eb="17">
      <t>テガタ</t>
    </rPh>
    <rPh sb="17" eb="18">
      <t>ブン</t>
    </rPh>
    <rPh sb="19" eb="21">
      <t>ニュウキン</t>
    </rPh>
    <rPh sb="22" eb="24">
      <t>ニュウリョク</t>
    </rPh>
    <rPh sb="37" eb="39">
      <t>ハンバイ</t>
    </rPh>
    <rPh sb="39" eb="41">
      <t>カンリ</t>
    </rPh>
    <rPh sb="46" eb="48">
      <t>ニュウリョク</t>
    </rPh>
    <phoneticPr fontId="3"/>
  </si>
  <si>
    <t>小切手・手形分の入金を入力できる機能</t>
    <rPh sb="11" eb="13">
      <t>ニュウリョク</t>
    </rPh>
    <rPh sb="16" eb="18">
      <t>キノウ</t>
    </rPh>
    <phoneticPr fontId="3"/>
  </si>
  <si>
    <t>14.手形管理</t>
    <phoneticPr fontId="6"/>
  </si>
  <si>
    <r>
      <t xml:space="preserve">一般仕訳帳
</t>
    </r>
    <r>
      <rPr>
        <b/>
        <sz val="9"/>
        <rFont val="メイリオ"/>
        <family val="3"/>
        <charset val="128"/>
      </rPr>
      <t xml:space="preserve">
※FO側はAR管理しない想定のため、FO標準の手形機能は使用せずに、一般仕訳帳で登録となる。</t>
    </r>
    <rPh sb="0" eb="5">
      <t>イッパンシワケチョウ</t>
    </rPh>
    <rPh sb="10" eb="11">
      <t>ガワ</t>
    </rPh>
    <rPh sb="14" eb="16">
      <t>カンリ</t>
    </rPh>
    <rPh sb="19" eb="21">
      <t>ソウテイ</t>
    </rPh>
    <rPh sb="27" eb="29">
      <t>ヒョウジュン</t>
    </rPh>
    <rPh sb="30" eb="32">
      <t>テガタ</t>
    </rPh>
    <rPh sb="32" eb="34">
      <t>キノウ</t>
    </rPh>
    <rPh sb="35" eb="37">
      <t>シヨウ</t>
    </rPh>
    <rPh sb="41" eb="43">
      <t>イッパン</t>
    </rPh>
    <rPh sb="43" eb="46">
      <t>シワケチョウ</t>
    </rPh>
    <rPh sb="47" eb="49">
      <t>トウロク</t>
    </rPh>
    <phoneticPr fontId="6"/>
  </si>
  <si>
    <t>Req084</t>
  </si>
  <si>
    <t>通販以外の取引における売掛金に対する三菱UFJ以外の入金を入力できること
（AsIsではSSJの場合は販売管理システム、SEJの場合は請求回収支援システムに入力）</t>
    <rPh sb="0" eb="2">
      <t>ツウハン</t>
    </rPh>
    <rPh sb="2" eb="4">
      <t>イガイ</t>
    </rPh>
    <rPh sb="5" eb="7">
      <t>トリヒキ</t>
    </rPh>
    <rPh sb="11" eb="14">
      <t>ウリカケキン</t>
    </rPh>
    <rPh sb="15" eb="16">
      <t>タイ</t>
    </rPh>
    <rPh sb="18" eb="20">
      <t>ミツビシ</t>
    </rPh>
    <rPh sb="23" eb="25">
      <t>イガイ</t>
    </rPh>
    <rPh sb="26" eb="28">
      <t>ニュウキン</t>
    </rPh>
    <rPh sb="29" eb="31">
      <t>ニュウリョク</t>
    </rPh>
    <phoneticPr fontId="3"/>
  </si>
  <si>
    <t>預金口座へ入金を入力できる機能</t>
    <rPh sb="0" eb="4">
      <t>ヨキンコウザ</t>
    </rPh>
    <rPh sb="8" eb="10">
      <t>ニュウリョク</t>
    </rPh>
    <rPh sb="13" eb="15">
      <t>キノウ</t>
    </rPh>
    <phoneticPr fontId="3"/>
  </si>
  <si>
    <t>売掛金の入金は外部システムで実施するためスコープアウト（FO以外での対応）</t>
    <rPh sb="0" eb="3">
      <t>ウリカケキン</t>
    </rPh>
    <rPh sb="4" eb="6">
      <t>ニュウキン</t>
    </rPh>
    <rPh sb="7" eb="9">
      <t>ガイブ</t>
    </rPh>
    <rPh sb="14" eb="16">
      <t>ジッシ</t>
    </rPh>
    <rPh sb="30" eb="32">
      <t>イガイ</t>
    </rPh>
    <rPh sb="34" eb="36">
      <t>タイオウ</t>
    </rPh>
    <phoneticPr fontId="6"/>
  </si>
  <si>
    <t>Req085</t>
  </si>
  <si>
    <t>クレジット会社からの入金を振替処理できること</t>
    <rPh sb="5" eb="7">
      <t>カイシャ</t>
    </rPh>
    <rPh sb="10" eb="12">
      <t>ニュウキン</t>
    </rPh>
    <phoneticPr fontId="3"/>
  </si>
  <si>
    <t>クレジット会社からの入金と売掛金を振替処理できる機能</t>
    <rPh sb="5" eb="7">
      <t>カイシャ</t>
    </rPh>
    <rPh sb="10" eb="12">
      <t>ニュウキン</t>
    </rPh>
    <rPh sb="13" eb="16">
      <t>ウリカケキン</t>
    </rPh>
    <rPh sb="17" eb="18">
      <t>フ</t>
    </rPh>
    <rPh sb="18" eb="19">
      <t>カ</t>
    </rPh>
    <rPh sb="19" eb="21">
      <t>ショリ</t>
    </rPh>
    <rPh sb="24" eb="26">
      <t>キノウ</t>
    </rPh>
    <phoneticPr fontId="3"/>
  </si>
  <si>
    <t>Req086</t>
  </si>
  <si>
    <t>リクルートポイント利用分によるリクルートからの入金を振替処理できること</t>
    <rPh sb="9" eb="11">
      <t>リヨウ</t>
    </rPh>
    <rPh sb="11" eb="12">
      <t>ブン</t>
    </rPh>
    <rPh sb="23" eb="25">
      <t>ニュウキン</t>
    </rPh>
    <rPh sb="26" eb="28">
      <t>フリカエ</t>
    </rPh>
    <rPh sb="28" eb="30">
      <t>ショリ</t>
    </rPh>
    <phoneticPr fontId="3"/>
  </si>
  <si>
    <t>他社からの入金と売掛金を振替処理できる機能</t>
    <rPh sb="0" eb="2">
      <t>タシャ</t>
    </rPh>
    <rPh sb="8" eb="11">
      <t>ウリカケキン</t>
    </rPh>
    <rPh sb="19" eb="21">
      <t>キノウ</t>
    </rPh>
    <phoneticPr fontId="3"/>
  </si>
  <si>
    <t>Req087</t>
  </si>
  <si>
    <t>直営店の売上報告(基本形)、ヤマトHPよりダウンロードした精算明細書(代引)を基に入金処理できること
（AsIsでは販売管理システムに入力）</t>
    <rPh sb="9" eb="12">
      <t>キホンケイ</t>
    </rPh>
    <rPh sb="35" eb="37">
      <t>ダイビ</t>
    </rPh>
    <phoneticPr fontId="3"/>
  </si>
  <si>
    <t>Req088</t>
  </si>
  <si>
    <t>自動入金エラーリストの入金について入金処理できること
（AsIsでは販売管理システムに入力）</t>
    <rPh sb="19" eb="21">
      <t>ショリ</t>
    </rPh>
    <phoneticPr fontId="3"/>
  </si>
  <si>
    <t>自動入金処理がエラーとなっていた入金について手動で入金入力できる機能</t>
    <rPh sb="0" eb="2">
      <t>ジドウ</t>
    </rPh>
    <rPh sb="2" eb="4">
      <t>ニュウキン</t>
    </rPh>
    <rPh sb="4" eb="6">
      <t>ショリ</t>
    </rPh>
    <rPh sb="16" eb="18">
      <t>ニュウキン</t>
    </rPh>
    <rPh sb="22" eb="24">
      <t>シュドウ</t>
    </rPh>
    <rPh sb="25" eb="27">
      <t>ニュウキン</t>
    </rPh>
    <rPh sb="27" eb="29">
      <t>ニュウリョク</t>
    </rPh>
    <rPh sb="32" eb="34">
      <t>キノウ</t>
    </rPh>
    <phoneticPr fontId="3"/>
  </si>
  <si>
    <t>Req089</t>
  </si>
  <si>
    <t>郵便振込、代引き、CVS、銀行振込、クレジット分、入金明細をもとに入金処理できること</t>
  </si>
  <si>
    <t>郵便振込、代引き、CVS、銀行振込、クレジット支払いの入金明細を出力できる機能</t>
    <rPh sb="37" eb="39">
      <t>キノウ</t>
    </rPh>
    <phoneticPr fontId="3"/>
  </si>
  <si>
    <t xml:space="preserve">2/1セッションにて
入金処理する際に、郵便振込は勘定科目が当座預金の銀行コードをゆうちょにしており、
代引き、CVS、銀行振込は、備考欄に記載に記載しているため、特別アドオンは必要ないと考えている。
SAPで確認はしていない。備考欄に入金方法に情報が持てればよい。
</t>
    <phoneticPr fontId="6"/>
  </si>
  <si>
    <t>Req090</t>
  </si>
  <si>
    <r>
      <t xml:space="preserve">委託販売先からの入金を受けて、売上計上できること
</t>
    </r>
    <r>
      <rPr>
        <sz val="11"/>
        <color rgb="FFFF0000"/>
        <rFont val="Meiryo UI"/>
        <family val="3"/>
        <charset val="128"/>
      </rPr>
      <t>Amazonや楽天などの通販業者に販売を委託するケースで、販売管理システムを通して会計システムに売上が計上されます。請求書発行等の考慮は不要です。</t>
    </r>
    <rPh sb="0" eb="4">
      <t>イタクハンバイ</t>
    </rPh>
    <rPh sb="4" eb="5">
      <t>サキ</t>
    </rPh>
    <rPh sb="8" eb="10">
      <t>ニュウキン</t>
    </rPh>
    <rPh sb="11" eb="12">
      <t>ウ</t>
    </rPh>
    <rPh sb="15" eb="17">
      <t>ウリアゲ</t>
    </rPh>
    <rPh sb="17" eb="19">
      <t>ケイジョウ</t>
    </rPh>
    <phoneticPr fontId="3"/>
  </si>
  <si>
    <t>委託販売先からの入金を受けて、売上計上できる機能</t>
    <rPh sb="0" eb="4">
      <t>イタクハンバイ</t>
    </rPh>
    <rPh sb="4" eb="5">
      <t>サキ</t>
    </rPh>
    <rPh sb="8" eb="10">
      <t>ニュウキン</t>
    </rPh>
    <rPh sb="11" eb="12">
      <t>ウ</t>
    </rPh>
    <rPh sb="15" eb="17">
      <t>ウリアゲ</t>
    </rPh>
    <rPh sb="17" eb="19">
      <t>ケイジョウ</t>
    </rPh>
    <rPh sb="22" eb="24">
      <t>キノウ</t>
    </rPh>
    <phoneticPr fontId="3"/>
  </si>
  <si>
    <t>Req091</t>
  </si>
  <si>
    <t>得意先より期日払いの支払明細が届いたら入金入力できること</t>
  </si>
  <si>
    <t>期日払いの支払明細を受けて入金入力できる機能</t>
    <rPh sb="10" eb="11">
      <t>ウ</t>
    </rPh>
    <rPh sb="20" eb="22">
      <t>キノウ</t>
    </rPh>
    <phoneticPr fontId="3"/>
  </si>
  <si>
    <t>Req092</t>
  </si>
  <si>
    <t>ファクタリングの支払明細がFAXで届いたら入金入力できること</t>
  </si>
  <si>
    <t>ファクタリングの入金入力できる機能</t>
    <rPh sb="15" eb="17">
      <t>キノウ</t>
    </rPh>
    <phoneticPr fontId="3"/>
  </si>
  <si>
    <t>Req093</t>
  </si>
  <si>
    <t>電子ファクタリングの支払明細がFAXで届いたら入金入力後、科目振替できること</t>
  </si>
  <si>
    <t>電子ファクタリングの入金入力できる機能</t>
    <rPh sb="0" eb="2">
      <t>デンシ</t>
    </rPh>
    <rPh sb="17" eb="19">
      <t>キノウ</t>
    </rPh>
    <phoneticPr fontId="3"/>
  </si>
  <si>
    <t>Req094</t>
  </si>
  <si>
    <r>
      <t xml:space="preserve">入金処理を基に会計システムで入金消込の仕訳を起票できること
</t>
    </r>
    <r>
      <rPr>
        <sz val="11"/>
        <color rgb="FFFF0000"/>
        <rFont val="Meiryo UI"/>
        <family val="3"/>
        <charset val="128"/>
      </rPr>
      <t>消込管理と仕訳計上を行う想定です。</t>
    </r>
    <rPh sb="0" eb="2">
      <t>ニュウキン</t>
    </rPh>
    <rPh sb="2" eb="4">
      <t>ショリ</t>
    </rPh>
    <rPh sb="5" eb="6">
      <t>モト</t>
    </rPh>
    <rPh sb="7" eb="9">
      <t>カイケイ</t>
    </rPh>
    <rPh sb="14" eb="16">
      <t>ニュウキン</t>
    </rPh>
    <rPh sb="16" eb="18">
      <t>ケシコミ</t>
    </rPh>
    <rPh sb="19" eb="21">
      <t>シワケ</t>
    </rPh>
    <rPh sb="22" eb="24">
      <t>キヒョウ</t>
    </rPh>
    <phoneticPr fontId="3"/>
  </si>
  <si>
    <t>会計システムへ入金情報を入力できる機能</t>
    <rPh sb="0" eb="2">
      <t>カイケイ</t>
    </rPh>
    <rPh sb="7" eb="11">
      <t>ニュウキンジョウホウ</t>
    </rPh>
    <rPh sb="12" eb="14">
      <t>ニュウリョク</t>
    </rPh>
    <rPh sb="17" eb="19">
      <t>キノウ</t>
    </rPh>
    <phoneticPr fontId="3"/>
  </si>
  <si>
    <t>Req095</t>
  </si>
  <si>
    <t>すぐに通販顧客と断定できない入金があった際に、通販管理プラットフォームで確認できること
不明な入金があった場合に売掛金と照合するための機能(先進的な機能を含む)がもしあればご提案いただければと思います。</t>
  </si>
  <si>
    <t>不明入金の調査ができる機能</t>
    <rPh sb="0" eb="4">
      <t>フメイニュウキン</t>
    </rPh>
    <rPh sb="5" eb="7">
      <t>チョウサ</t>
    </rPh>
    <rPh sb="11" eb="13">
      <t>キノウ</t>
    </rPh>
    <phoneticPr fontId="3"/>
  </si>
  <si>
    <t>Req096</t>
  </si>
  <si>
    <t>直営店の入金処理管理表を作成できること
店舗別に入金明細が確認できれば良い</t>
  </si>
  <si>
    <t>入金処理管理表を作成できる機能</t>
    <rPh sb="13" eb="15">
      <t>キノウ</t>
    </rPh>
    <phoneticPr fontId="3"/>
  </si>
  <si>
    <t>Req097</t>
    <phoneticPr fontId="6"/>
  </si>
  <si>
    <t>郵便振込、ヤマト、SMBCファイナンス、カード会社から届く振込案内を債権管理台帳へ入力できること
債権台帳とは、入金元からの振込情報を債権として取り込み、入金があれば消し込むという意味合いです。</t>
  </si>
  <si>
    <t>債権管理台帳が作成できる機能</t>
    <rPh sb="7" eb="9">
      <t>サクセイ</t>
    </rPh>
    <rPh sb="12" eb="14">
      <t>キノウ</t>
    </rPh>
    <phoneticPr fontId="3"/>
  </si>
  <si>
    <t>2/1セッションにて
実際の債権との消込ではなく、入金予定との消込の意味か。</t>
    <phoneticPr fontId="6"/>
  </si>
  <si>
    <r>
      <t xml:space="preserve">通販より入金予定のデータを抽出し、実際にあった入金の照会をExcelで管理を行っている。
通販ダイレクトのシステムも変わってきているため、書かれている内容と変わっている。
台帳は今後もExcelなどで管理していく。処理の誤りが管理できるものになっている。
</t>
    </r>
    <r>
      <rPr>
        <b/>
        <sz val="9"/>
        <rFont val="メイリオ"/>
        <family val="3"/>
        <charset val="128"/>
      </rPr>
      <t>→入金登録した結果が抽出できれば問題なし</t>
    </r>
    <phoneticPr fontId="6"/>
  </si>
  <si>
    <t>10. 債権残高管理</t>
    <phoneticPr fontId="6"/>
  </si>
  <si>
    <t>伝票トランザクション</t>
    <rPh sb="0" eb="2">
      <t>デンピョウ</t>
    </rPh>
    <phoneticPr fontId="6"/>
  </si>
  <si>
    <t>Req098</t>
  </si>
  <si>
    <r>
      <t xml:space="preserve">通販管理プラットフォームから出力される入金確定エラーリストの明細を入力できること
</t>
    </r>
    <r>
      <rPr>
        <sz val="11"/>
        <color rgb="FFFF0000"/>
        <rFont val="Meiryo UI"/>
        <family val="3"/>
        <charset val="128"/>
      </rPr>
      <t>「入金確定エラーリスト」は過入金や貸し倒れなどを管理するもの。</t>
    </r>
    <rPh sb="0" eb="4">
      <t>ツウハンカンリ</t>
    </rPh>
    <phoneticPr fontId="3"/>
  </si>
  <si>
    <t>入金確定エラーリストの明細が作成できる機能</t>
    <rPh sb="14" eb="16">
      <t>サクセイ</t>
    </rPh>
    <rPh sb="19" eb="21">
      <t>キノウ</t>
    </rPh>
    <phoneticPr fontId="3"/>
  </si>
  <si>
    <t>2/1セッションにて右記回答受領。
当該要件はスコープアウトとする。</t>
    <rPh sb="10" eb="12">
      <t>ウキ</t>
    </rPh>
    <phoneticPr fontId="6"/>
  </si>
  <si>
    <t>入金確定エラーリストはシステム変更でなくなった。要件から除外して問題ない。</t>
    <phoneticPr fontId="6"/>
  </si>
  <si>
    <t>Req099</t>
    <phoneticPr fontId="6"/>
  </si>
  <si>
    <r>
      <t xml:space="preserve">通販管理プラットフォームと販売管理システムの入金金額差異を照合できること
</t>
    </r>
    <r>
      <rPr>
        <sz val="11"/>
        <color rgb="FFFF0000"/>
        <rFont val="Meiryo UI"/>
        <family val="3"/>
        <charset val="128"/>
      </rPr>
      <t>会計システムで保持している入金額情報が他システムで保持している情報と合っているかを確認するため、会計システムから入金額のデータを出力するための機能ととらえていただいて結構です。</t>
    </r>
    <rPh sb="13" eb="17">
      <t>ハンバイカンリ</t>
    </rPh>
    <phoneticPr fontId="3"/>
  </si>
  <si>
    <r>
      <t>システム間の入金金額差異を照合できる機能</t>
    </r>
    <r>
      <rPr>
        <sz val="11"/>
        <color rgb="FFFF0000"/>
        <rFont val="Meiryo UI"/>
        <family val="3"/>
        <charset val="128"/>
      </rPr>
      <t xml:space="preserve">
⇒入金データがエクスポートできれば良いとのこと</t>
    </r>
    <rPh sb="4" eb="5">
      <t>カン</t>
    </rPh>
    <rPh sb="18" eb="20">
      <t>キノウ</t>
    </rPh>
    <rPh sb="22" eb="24">
      <t>ニュウキン</t>
    </rPh>
    <rPh sb="38" eb="39">
      <t>ヨ</t>
    </rPh>
    <phoneticPr fontId="3"/>
  </si>
  <si>
    <t>Req097（伝票トランザクション）で抽出した情報と、通販管理プラットフォームから抽出した情報を照合する（システム外）</t>
    <rPh sb="7" eb="9">
      <t>デンピョウ</t>
    </rPh>
    <rPh sb="19" eb="21">
      <t>チュウシュツ</t>
    </rPh>
    <rPh sb="23" eb="25">
      <t>ジョウホウ</t>
    </rPh>
    <rPh sb="27" eb="29">
      <t>ツウハン</t>
    </rPh>
    <rPh sb="29" eb="31">
      <t>カンリ</t>
    </rPh>
    <rPh sb="41" eb="43">
      <t>チュウシュツ</t>
    </rPh>
    <rPh sb="45" eb="47">
      <t>ジョウホウ</t>
    </rPh>
    <rPh sb="48" eb="50">
      <t>ショウゴウ</t>
    </rPh>
    <rPh sb="57" eb="58">
      <t>ガイ</t>
    </rPh>
    <phoneticPr fontId="6"/>
  </si>
  <si>
    <t>Req100</t>
  </si>
  <si>
    <t>販売管理システムで入金処理を行った内容がExcelの債権管理表に正しく記載されているか確認できること</t>
  </si>
  <si>
    <r>
      <t xml:space="preserve">入金処理額の検証ができる機能
</t>
    </r>
    <r>
      <rPr>
        <sz val="11"/>
        <color rgb="FFFF0000"/>
        <rFont val="Meiryo UI"/>
        <family val="3"/>
        <charset val="128"/>
      </rPr>
      <t>⇒入金データがエクスポートできれば良いとのこと</t>
    </r>
    <rPh sb="4" eb="5">
      <t>ガク</t>
    </rPh>
    <rPh sb="6" eb="8">
      <t>ケンショウ</t>
    </rPh>
    <rPh sb="12" eb="14">
      <t>キノウ</t>
    </rPh>
    <phoneticPr fontId="3"/>
  </si>
  <si>
    <t>Req099の結果を基に台帳を更新する（システム外）</t>
    <rPh sb="7" eb="9">
      <t>ケッカ</t>
    </rPh>
    <rPh sb="10" eb="11">
      <t>モト</t>
    </rPh>
    <rPh sb="12" eb="14">
      <t>ダイチョウ</t>
    </rPh>
    <rPh sb="15" eb="17">
      <t>コウシン</t>
    </rPh>
    <rPh sb="24" eb="25">
      <t>ガイ</t>
    </rPh>
    <phoneticPr fontId="6"/>
  </si>
  <si>
    <t>Req101</t>
  </si>
  <si>
    <r>
      <t xml:space="preserve">入金照合リスト、クレジット売上表、クレジット経理仕訳伝票等、必要な帳票が出力できること
</t>
    </r>
    <r>
      <rPr>
        <sz val="11"/>
        <color rgb="FFFF0000"/>
        <rFont val="Meiryo UI"/>
        <family val="3"/>
        <charset val="128"/>
      </rPr>
      <t>⇒クレジット売上表は仕訳伝票に付随する属性でフィルタリングして一覧を出力する、という内容でご理解いただいて結構です。
クレジット経理仕訳伝票は、クレジットカードの振込金額との照合に使用されています。</t>
    </r>
    <rPh sb="0" eb="4">
      <t>ニュウキンショウゴウ</t>
    </rPh>
    <rPh sb="13" eb="16">
      <t>ウリアゲヒョウ</t>
    </rPh>
    <rPh sb="22" eb="24">
      <t>ケイリ</t>
    </rPh>
    <rPh sb="24" eb="26">
      <t>シワケ</t>
    </rPh>
    <rPh sb="26" eb="28">
      <t>デンピョウ</t>
    </rPh>
    <rPh sb="28" eb="29">
      <t>ナド</t>
    </rPh>
    <rPh sb="30" eb="32">
      <t>ヒツヨウ</t>
    </rPh>
    <rPh sb="33" eb="35">
      <t>チョウヒョウ</t>
    </rPh>
    <rPh sb="36" eb="38">
      <t>シュツリョク</t>
    </rPh>
    <phoneticPr fontId="3"/>
  </si>
  <si>
    <t>必要帳票が出力できる機能</t>
    <rPh sb="10" eb="12">
      <t>キノウ</t>
    </rPh>
    <phoneticPr fontId="3"/>
  </si>
  <si>
    <t>通販ダイレクトのシステムから出しているので、FOでは関係ないものになる。</t>
    <phoneticPr fontId="6"/>
  </si>
  <si>
    <t>Req102</t>
  </si>
  <si>
    <r>
      <t xml:space="preserve">JCB、VISAのクレジットデータと利用明細を基に金額の照合できること
</t>
    </r>
    <r>
      <rPr>
        <sz val="11"/>
        <color rgb="FFFF0000"/>
        <rFont val="Meiryo UI"/>
        <family val="3"/>
        <charset val="128"/>
      </rPr>
      <t>会計システムで保持している入金額情報がExcelで保持している情報と合っているかを確認するため、会計システムから入金額のデータを出力するための機能ととらえていただいて結構です。</t>
    </r>
    <rPh sb="18" eb="20">
      <t>リヨウ</t>
    </rPh>
    <rPh sb="20" eb="22">
      <t>メイサイ</t>
    </rPh>
    <rPh sb="23" eb="24">
      <t>モト</t>
    </rPh>
    <rPh sb="25" eb="27">
      <t>キンガク</t>
    </rPh>
    <rPh sb="28" eb="30">
      <t>ショウゴウ</t>
    </rPh>
    <phoneticPr fontId="3"/>
  </si>
  <si>
    <t>クレジット精算金額明細確認できる機能</t>
    <rPh sb="16" eb="18">
      <t>キノウ</t>
    </rPh>
    <phoneticPr fontId="3"/>
  </si>
  <si>
    <t>Req103</t>
  </si>
  <si>
    <r>
      <t xml:space="preserve">請求書に表紙とともにクレジット明細書を添付できること
</t>
    </r>
    <r>
      <rPr>
        <sz val="11"/>
        <color rgb="FFFF0000"/>
        <rFont val="Meiryo UI"/>
        <family val="3"/>
        <charset val="128"/>
      </rPr>
      <t>顧客向け請求書の発行は現状会計システムでは想定しておりません。</t>
    </r>
    <rPh sb="19" eb="21">
      <t>テンプ</t>
    </rPh>
    <phoneticPr fontId="3"/>
  </si>
  <si>
    <t>クレジット明細とその表紙が作成できる機能</t>
    <rPh sb="5" eb="7">
      <t>メイサイ</t>
    </rPh>
    <rPh sb="10" eb="12">
      <t>ヒョウシ</t>
    </rPh>
    <rPh sb="13" eb="15">
      <t>ヒョウサクセイ</t>
    </rPh>
    <rPh sb="18" eb="20">
      <t>キノウ</t>
    </rPh>
    <phoneticPr fontId="3"/>
  </si>
  <si>
    <t>顧客向け請求書の発行は現状会計システムでは想定していないため、スコープアウトとする</t>
    <phoneticPr fontId="6"/>
  </si>
  <si>
    <t>Req104</t>
  </si>
  <si>
    <t>月末時点での預り金の発生状況を預り金台帳に記載できること</t>
    <rPh sb="0" eb="4">
      <t>ゲツマツジテン</t>
    </rPh>
    <rPh sb="6" eb="7">
      <t>アズカ</t>
    </rPh>
    <rPh sb="8" eb="9">
      <t>キン</t>
    </rPh>
    <rPh sb="10" eb="14">
      <t>ハッセイジョウキョウ</t>
    </rPh>
    <rPh sb="15" eb="16">
      <t>アズカ</t>
    </rPh>
    <rPh sb="17" eb="18">
      <t>キン</t>
    </rPh>
    <rPh sb="18" eb="20">
      <t>ダイチョウ</t>
    </rPh>
    <rPh sb="21" eb="23">
      <t>キサイ</t>
    </rPh>
    <phoneticPr fontId="3"/>
  </si>
  <si>
    <t>返金処理・売掛金振替がされていない預り金の情報を出力する機能</t>
    <rPh sb="0" eb="4">
      <t>ヘンキンショリ</t>
    </rPh>
    <rPh sb="5" eb="8">
      <t>ウリカケキン</t>
    </rPh>
    <rPh sb="8" eb="10">
      <t>フリカエ</t>
    </rPh>
    <rPh sb="17" eb="18">
      <t>アズカ</t>
    </rPh>
    <rPh sb="19" eb="20">
      <t>キン</t>
    </rPh>
    <rPh sb="21" eb="23">
      <t>ジョウホウ</t>
    </rPh>
    <rPh sb="24" eb="26">
      <t>シュツリョク</t>
    </rPh>
    <rPh sb="28" eb="30">
      <t>キノウ</t>
    </rPh>
    <phoneticPr fontId="3"/>
  </si>
  <si>
    <t>預かり売掛勘定に振替以降は事務管理Gが対応</t>
    <rPh sb="0" eb="1">
      <t>アズ</t>
    </rPh>
    <rPh sb="3" eb="7">
      <t>ウリカケカンジョウ</t>
    </rPh>
    <rPh sb="8" eb="12">
      <t>フリカエイコウ</t>
    </rPh>
    <rPh sb="13" eb="17">
      <t>ジムカンリ</t>
    </rPh>
    <rPh sb="19" eb="21">
      <t>タイオウ</t>
    </rPh>
    <phoneticPr fontId="6"/>
  </si>
  <si>
    <r>
      <t xml:space="preserve">「試算表」「伝票トランザクション」を使用し、預り金情報を抽出する。
抽出した情報を基に台帳を作成する。
</t>
    </r>
    <r>
      <rPr>
        <b/>
        <sz val="9"/>
        <rFont val="メイリオ"/>
        <family val="3"/>
        <charset val="128"/>
      </rPr>
      <t xml:space="preserve">
※預り金仕訳登録時に、財務分析コード「顧客」に対象顧客をセットする前提</t>
    </r>
    <rPh sb="1" eb="4">
      <t>シサンヒョウ</t>
    </rPh>
    <rPh sb="6" eb="8">
      <t>デンピョウ</t>
    </rPh>
    <phoneticPr fontId="6"/>
  </si>
  <si>
    <t>Req105</t>
  </si>
  <si>
    <t>消込・未消込情報を出力し、販売管理システムと差異がないか確認できること</t>
    <rPh sb="0" eb="2">
      <t>ケシコミ</t>
    </rPh>
    <rPh sb="3" eb="4">
      <t>ミ</t>
    </rPh>
    <rPh sb="4" eb="6">
      <t>ケシコミ</t>
    </rPh>
    <rPh sb="6" eb="8">
      <t>ジョウホウ</t>
    </rPh>
    <rPh sb="9" eb="11">
      <t>シュツリョク</t>
    </rPh>
    <rPh sb="22" eb="24">
      <t>サイ</t>
    </rPh>
    <rPh sb="28" eb="30">
      <t>カクニン</t>
    </rPh>
    <phoneticPr fontId="3"/>
  </si>
  <si>
    <t>消込済・未消込の請求情報を出力する機能</t>
    <rPh sb="0" eb="2">
      <t>ケシコミ</t>
    </rPh>
    <rPh sb="2" eb="3">
      <t>ス</t>
    </rPh>
    <rPh sb="4" eb="5">
      <t>ミ</t>
    </rPh>
    <rPh sb="5" eb="7">
      <t>ケシコミ</t>
    </rPh>
    <rPh sb="8" eb="10">
      <t>セイキュウ</t>
    </rPh>
    <rPh sb="10" eb="12">
      <t>ジョウホウ</t>
    </rPh>
    <rPh sb="13" eb="15">
      <t>シュツリョク</t>
    </rPh>
    <rPh sb="17" eb="19">
      <t>キノウ</t>
    </rPh>
    <phoneticPr fontId="3"/>
  </si>
  <si>
    <t>QA一覧_債権.xlsx No1より右記回答受領。
当該要件はスコープアウトとする。</t>
    <rPh sb="2" eb="4">
      <t>イチラン</t>
    </rPh>
    <rPh sb="5" eb="7">
      <t>サイケン</t>
    </rPh>
    <rPh sb="18" eb="20">
      <t>ウキ</t>
    </rPh>
    <rPh sb="20" eb="22">
      <t>カイトウ</t>
    </rPh>
    <rPh sb="22" eb="24">
      <t>ジュリョウ</t>
    </rPh>
    <rPh sb="26" eb="28">
      <t>トウガイ</t>
    </rPh>
    <rPh sb="28" eb="30">
      <t>ヨウケン</t>
    </rPh>
    <phoneticPr fontId="6"/>
  </si>
  <si>
    <t>来年からはmcframeでの対応予定</t>
    <phoneticPr fontId="6"/>
  </si>
  <si>
    <t>Req106</t>
  </si>
  <si>
    <t>未回収・過入金を出力できること</t>
    <rPh sb="0" eb="3">
      <t>ミカイシュウ</t>
    </rPh>
    <rPh sb="4" eb="7">
      <t>カニュウキン</t>
    </rPh>
    <rPh sb="8" eb="10">
      <t>シュツリョク</t>
    </rPh>
    <phoneticPr fontId="3"/>
  </si>
  <si>
    <t>未回収・過入金の明細情報を出力する機能</t>
    <rPh sb="0" eb="3">
      <t>ミカイシュウ</t>
    </rPh>
    <rPh sb="4" eb="7">
      <t>カニュウキン</t>
    </rPh>
    <rPh sb="8" eb="10">
      <t>メイサイ</t>
    </rPh>
    <rPh sb="10" eb="12">
      <t>ジョウホウ</t>
    </rPh>
    <rPh sb="13" eb="15">
      <t>シュツリョク</t>
    </rPh>
    <rPh sb="17" eb="19">
      <t>キノウ</t>
    </rPh>
    <phoneticPr fontId="3"/>
  </si>
  <si>
    <t>Req107</t>
  </si>
  <si>
    <t>入金消込結果の反映を確認できること</t>
    <rPh sb="0" eb="2">
      <t>ニュウキン</t>
    </rPh>
    <rPh sb="2" eb="4">
      <t>ケシコミ</t>
    </rPh>
    <rPh sb="4" eb="6">
      <t>ケッカ</t>
    </rPh>
    <rPh sb="7" eb="9">
      <t>ハンエイ</t>
    </rPh>
    <rPh sb="10" eb="12">
      <t>カクニン</t>
    </rPh>
    <phoneticPr fontId="3"/>
  </si>
  <si>
    <t>残高明細の情報を出力する機能</t>
    <rPh sb="0" eb="2">
      <t>ザンダカ</t>
    </rPh>
    <rPh sb="2" eb="4">
      <t>メイサイ</t>
    </rPh>
    <rPh sb="5" eb="7">
      <t>ジョウホウ</t>
    </rPh>
    <rPh sb="8" eb="10">
      <t>シュツリョク</t>
    </rPh>
    <rPh sb="12" eb="14">
      <t>キノウ</t>
    </rPh>
    <phoneticPr fontId="3"/>
  </si>
  <si>
    <t>Req108</t>
  </si>
  <si>
    <t>月次内でのSEJ事業での債権回収状況の報告書を作成できること</t>
    <rPh sb="0" eb="3">
      <t>ゲツジナイ</t>
    </rPh>
    <rPh sb="8" eb="10">
      <t>ジギョウ</t>
    </rPh>
    <rPh sb="12" eb="14">
      <t>サイケン</t>
    </rPh>
    <rPh sb="14" eb="16">
      <t>カイシュウ</t>
    </rPh>
    <rPh sb="16" eb="18">
      <t>ジョウキョウ</t>
    </rPh>
    <rPh sb="19" eb="22">
      <t>ホウコクショ</t>
    </rPh>
    <rPh sb="23" eb="25">
      <t>サクセイ</t>
    </rPh>
    <phoneticPr fontId="3"/>
  </si>
  <si>
    <t>月単位での債権回収明細を出力する機能</t>
    <rPh sb="0" eb="3">
      <t>ツキタンイ</t>
    </rPh>
    <rPh sb="5" eb="7">
      <t>サイケン</t>
    </rPh>
    <rPh sb="7" eb="9">
      <t>カイシュウ</t>
    </rPh>
    <rPh sb="9" eb="11">
      <t>メイサイ</t>
    </rPh>
    <rPh sb="12" eb="14">
      <t>シュツリョク</t>
    </rPh>
    <rPh sb="16" eb="18">
      <t>キノウ</t>
    </rPh>
    <phoneticPr fontId="3"/>
  </si>
  <si>
    <t>Req109</t>
  </si>
  <si>
    <t>月次内でのSSJ事業での債権回収状況の報告書を作成できること</t>
  </si>
  <si>
    <t>Req110</t>
  </si>
  <si>
    <t>回収明細リストを作成できること</t>
    <rPh sb="0" eb="4">
      <t>カイシュウメイサイ</t>
    </rPh>
    <rPh sb="8" eb="10">
      <t>サクセイ</t>
    </rPh>
    <phoneticPr fontId="3"/>
  </si>
  <si>
    <t>Req111</t>
  </si>
  <si>
    <t>月初第2から5営業日に会計システムとホストから出力される売掛金合計表の売掛金額、基本手数料、売掛金赤算、前受金、預り売掛金の金額を抽出し、Excelの報告書に入力できること</t>
    <rPh sb="11" eb="13">
      <t>カイケイ</t>
    </rPh>
    <phoneticPr fontId="3"/>
  </si>
  <si>
    <t>売掛金額、基本手数料、赤算、前受け金、預り売掛金の情報を出力する機能</t>
    <rPh sb="0" eb="2">
      <t>ウリカケ</t>
    </rPh>
    <rPh sb="2" eb="4">
      <t>キンガク</t>
    </rPh>
    <rPh sb="5" eb="7">
      <t>キホン</t>
    </rPh>
    <rPh sb="7" eb="10">
      <t>テスウリョウ</t>
    </rPh>
    <rPh sb="11" eb="12">
      <t>アカ</t>
    </rPh>
    <rPh sb="12" eb="13">
      <t>ザン</t>
    </rPh>
    <rPh sb="14" eb="16">
      <t>マエウ</t>
    </rPh>
    <rPh sb="17" eb="18">
      <t>キン</t>
    </rPh>
    <rPh sb="19" eb="20">
      <t>アズカ</t>
    </rPh>
    <rPh sb="21" eb="23">
      <t>ウリカケ</t>
    </rPh>
    <rPh sb="23" eb="24">
      <t>キン</t>
    </rPh>
    <rPh sb="25" eb="27">
      <t>ジョウホウ</t>
    </rPh>
    <rPh sb="28" eb="30">
      <t>シュツリョク</t>
    </rPh>
    <rPh sb="32" eb="34">
      <t>キノウ</t>
    </rPh>
    <phoneticPr fontId="3"/>
  </si>
  <si>
    <t>Req112</t>
  </si>
  <si>
    <t>受注入力担当者から債権限度額の解除依頼を受けて債権限度超過連絡書を事業部部長へFAXしており、事業部部長より債権限度超過連絡書に押印されたものがFAXで返信されたものは解除できること</t>
    <rPh sb="20" eb="21">
      <t>ウ</t>
    </rPh>
    <phoneticPr fontId="3"/>
  </si>
  <si>
    <t>取引先別の債権限度額が確認できること
承認申請ワークフロー機能</t>
    <rPh sb="0" eb="3">
      <t>トリヒキサキ</t>
    </rPh>
    <rPh sb="3" eb="4">
      <t>ベツ</t>
    </rPh>
    <rPh sb="5" eb="10">
      <t>サイケンゲンドガク</t>
    </rPh>
    <rPh sb="11" eb="13">
      <t>カクニン</t>
    </rPh>
    <rPh sb="19" eb="21">
      <t>ショウニン</t>
    </rPh>
    <rPh sb="21" eb="23">
      <t>シンセイ</t>
    </rPh>
    <rPh sb="29" eb="31">
      <t>キノウ</t>
    </rPh>
    <phoneticPr fontId="3"/>
  </si>
  <si>
    <t>3/7のToBe業務フローセッションにて、限度額はMDMで管理するとのことでしたので、当該要件はスコープアウトとする。</t>
    <rPh sb="8" eb="10">
      <t>ギョウム</t>
    </rPh>
    <rPh sb="21" eb="24">
      <t>ゲンドガク</t>
    </rPh>
    <rPh sb="29" eb="31">
      <t>カンリ</t>
    </rPh>
    <rPh sb="43" eb="45">
      <t>トウガイ</t>
    </rPh>
    <rPh sb="45" eb="47">
      <t>ヨウケン</t>
    </rPh>
    <phoneticPr fontId="6"/>
  </si>
  <si>
    <t>限度額はMDMで管理する想定</t>
    <rPh sb="0" eb="3">
      <t>ゲンドガク</t>
    </rPh>
    <rPh sb="8" eb="10">
      <t>カンリ</t>
    </rPh>
    <rPh sb="12" eb="14">
      <t>ソウテイ</t>
    </rPh>
    <phoneticPr fontId="6"/>
  </si>
  <si>
    <t>11.SSJ与信管理
12.SEJ与信管理</t>
    <phoneticPr fontId="6"/>
  </si>
  <si>
    <t>Req113</t>
  </si>
  <si>
    <t>仮払現金、切手･収入印紙の棚卸しし、期末時の残高を所定の書式に記入し、財務部へ報告できること</t>
  </si>
  <si>
    <t>仮払現金残高が確認できる</t>
    <rPh sb="0" eb="2">
      <t>カリバラ</t>
    </rPh>
    <rPh sb="2" eb="4">
      <t>ゲンキン</t>
    </rPh>
    <rPh sb="4" eb="6">
      <t>ザンダカ</t>
    </rPh>
    <rPh sb="7" eb="9">
      <t>カクニン</t>
    </rPh>
    <phoneticPr fontId="3"/>
  </si>
  <si>
    <t>13.決算処理</t>
    <phoneticPr fontId="6"/>
  </si>
  <si>
    <t>「伝票トランザクション」を使用し、仮払現金残高を確認する。</t>
    <rPh sb="1" eb="3">
      <t>デンピョウ</t>
    </rPh>
    <rPh sb="13" eb="15">
      <t>シヨウ</t>
    </rPh>
    <rPh sb="17" eb="19">
      <t>カリバラ</t>
    </rPh>
    <rPh sb="19" eb="21">
      <t>ゲンキン</t>
    </rPh>
    <rPh sb="21" eb="23">
      <t>ザンダカ</t>
    </rPh>
    <rPh sb="24" eb="26">
      <t>カクニン</t>
    </rPh>
    <phoneticPr fontId="6"/>
  </si>
  <si>
    <t>Req114</t>
  </si>
  <si>
    <t>外貨建債権債務（売掛金）リスト作成し、外貨建売掛金を期末為替洗替できること</t>
  </si>
  <si>
    <t>外貨別売掛金明細が確認・出力できる機能</t>
    <rPh sb="2" eb="3">
      <t>ベツ</t>
    </rPh>
    <rPh sb="9" eb="11">
      <t>カクニン</t>
    </rPh>
    <rPh sb="12" eb="14">
      <t>シュツリョク</t>
    </rPh>
    <rPh sb="17" eb="19">
      <t>キノウ</t>
    </rPh>
    <phoneticPr fontId="3"/>
  </si>
  <si>
    <t>外貨再評価</t>
    <rPh sb="0" eb="2">
      <t>ガイカ</t>
    </rPh>
    <rPh sb="2" eb="5">
      <t>サイヒョウカ</t>
    </rPh>
    <phoneticPr fontId="3"/>
  </si>
  <si>
    <t>Req115</t>
  </si>
  <si>
    <t>入金を売掛金に振替し、その売掛金に振替えた振込を未収入金に振替できること</t>
    <rPh sb="29" eb="31">
      <t>フリカエ</t>
    </rPh>
    <phoneticPr fontId="3"/>
  </si>
  <si>
    <t>売掛金を未収入金に振替できる機能</t>
    <rPh sb="14" eb="16">
      <t>キノウ</t>
    </rPh>
    <phoneticPr fontId="3"/>
  </si>
  <si>
    <t>一般仕訳帳、もしくは顧客支払仕訳帳</t>
    <rPh sb="0" eb="5">
      <t>イッパンシワケチョウ</t>
    </rPh>
    <rPh sb="10" eb="12">
      <t>コキャク</t>
    </rPh>
    <rPh sb="12" eb="14">
      <t>シハラ</t>
    </rPh>
    <rPh sb="14" eb="17">
      <t>シワケチョウ</t>
    </rPh>
    <phoneticPr fontId="6"/>
  </si>
  <si>
    <t>Req116</t>
  </si>
  <si>
    <t>大阪・四国・広島・九州の販売手数料の未払費用の得意先に資料、名古屋営業所のMBPとSMB建材の月末の請求金額表を作成できること</t>
    <rPh sb="27" eb="29">
      <t>シリョウ</t>
    </rPh>
    <rPh sb="54" eb="55">
      <t>ヒョウ</t>
    </rPh>
    <rPh sb="56" eb="58">
      <t>サクセイ</t>
    </rPh>
    <phoneticPr fontId="3"/>
  </si>
  <si>
    <t>得意先別の販売手数料の未払費用一覧が確認できる機能</t>
    <rPh sb="0" eb="4">
      <t>トクイサキベツ</t>
    </rPh>
    <rPh sb="5" eb="10">
      <t>ハンバイテスウリョウ</t>
    </rPh>
    <rPh sb="11" eb="13">
      <t>ミバライ</t>
    </rPh>
    <rPh sb="13" eb="15">
      <t>ヒヨウ</t>
    </rPh>
    <rPh sb="15" eb="17">
      <t>イチラン</t>
    </rPh>
    <rPh sb="18" eb="20">
      <t>カクニン</t>
    </rPh>
    <rPh sb="23" eb="25">
      <t>キノウ</t>
    </rPh>
    <phoneticPr fontId="3"/>
  </si>
  <si>
    <t>Req117</t>
    <phoneticPr fontId="6"/>
  </si>
  <si>
    <t>請求書に記載されている情報を債務伝票のデータ項目として登録できること
外部システム(購買管理、楽楽精算、BtoBプラットフォーム請求書)からのインターフェースデータを買掛金/未払金データとして保存する行為です。
会計システムにて債務と支払を突き合わせて消込を行っております。</t>
    <phoneticPr fontId="6"/>
  </si>
  <si>
    <t>請求書に記載されている情報を債務伝票のデータ項目として登録する機能</t>
    <rPh sb="31" eb="33">
      <t>キノウ</t>
    </rPh>
    <phoneticPr fontId="3"/>
  </si>
  <si>
    <t>債務管理</t>
    <rPh sb="0" eb="4">
      <t>サイムカンリ</t>
    </rPh>
    <phoneticPr fontId="6"/>
  </si>
  <si>
    <t>債務</t>
    <rPh sb="0" eb="2">
      <t>サイム</t>
    </rPh>
    <phoneticPr fontId="6"/>
  </si>
  <si>
    <t>１．仕入計上・請求処理</t>
    <rPh sb="2" eb="6">
      <t>シイレケイジョウ</t>
    </rPh>
    <rPh sb="7" eb="9">
      <t>セイキュウ</t>
    </rPh>
    <rPh sb="9" eb="11">
      <t>ショリ</t>
    </rPh>
    <phoneticPr fontId="6"/>
  </si>
  <si>
    <t>外部システム：購買管理（mcframe,SEJホスト）、楽楽精算、BtoBプラットフォーム請求書、広告費システム、EDIL、SLJ販売管理、Company　のIF機能のアドオン開発</t>
    <rPh sb="65" eb="69">
      <t>ハンバイカンリ</t>
    </rPh>
    <rPh sb="81" eb="83">
      <t>キノウ</t>
    </rPh>
    <rPh sb="88" eb="90">
      <t>カイハツ</t>
    </rPh>
    <phoneticPr fontId="6"/>
  </si>
  <si>
    <t>Req118</t>
  </si>
  <si>
    <t>請求書のPDFを保存できること</t>
    <rPh sb="0" eb="2">
      <t>セイキュウ</t>
    </rPh>
    <rPh sb="2" eb="3">
      <t>ショ</t>
    </rPh>
    <rPh sb="8" eb="10">
      <t>ホゾン</t>
    </rPh>
    <phoneticPr fontId="3"/>
  </si>
  <si>
    <t>請求書のPDFファイルをアップロードし、保存する機能</t>
    <rPh sb="0" eb="3">
      <t>セイキュウショ</t>
    </rPh>
    <rPh sb="20" eb="22">
      <t>ホゾン</t>
    </rPh>
    <rPh sb="24" eb="26">
      <t>キノウ</t>
    </rPh>
    <phoneticPr fontId="3"/>
  </si>
  <si>
    <t>（2024/2/1の債務セッションにて、請求書保存は楽楽精算で行うため、不要と判断。）</t>
    <rPh sb="10" eb="12">
      <t>サイム</t>
    </rPh>
    <rPh sb="20" eb="25">
      <t>セイキュウショホゾン</t>
    </rPh>
    <rPh sb="26" eb="30">
      <t>ラクラクセイサン</t>
    </rPh>
    <rPh sb="31" eb="32">
      <t>オコナ</t>
    </rPh>
    <rPh sb="36" eb="38">
      <t>フヨウ</t>
    </rPh>
    <rPh sb="39" eb="41">
      <t>ハンダン</t>
    </rPh>
    <phoneticPr fontId="6"/>
  </si>
  <si>
    <t>Req119</t>
  </si>
  <si>
    <t>支払仕訳を生成できること（請求日付・勘定科目・計上部門・取引内容等の入力）</t>
    <rPh sb="0" eb="2">
      <t>シハライ</t>
    </rPh>
    <rPh sb="2" eb="4">
      <t>シワケ</t>
    </rPh>
    <rPh sb="5" eb="7">
      <t>セイセイ</t>
    </rPh>
    <rPh sb="13" eb="15">
      <t>セイキュウ</t>
    </rPh>
    <rPh sb="15" eb="17">
      <t>ヒヅケ</t>
    </rPh>
    <rPh sb="18" eb="20">
      <t>カンジョウ</t>
    </rPh>
    <rPh sb="20" eb="22">
      <t>カモク</t>
    </rPh>
    <rPh sb="23" eb="25">
      <t>ケイジョウ</t>
    </rPh>
    <rPh sb="25" eb="27">
      <t>ブモン</t>
    </rPh>
    <rPh sb="28" eb="32">
      <t>トリヒキナイヨウ</t>
    </rPh>
    <rPh sb="32" eb="33">
      <t>トウ</t>
    </rPh>
    <rPh sb="34" eb="36">
      <t>ニュウリョク</t>
    </rPh>
    <phoneticPr fontId="3"/>
  </si>
  <si>
    <t>支払の対象となる取引の勘定科目を含めた仕訳生成に必要なデータを入力・選択する機能</t>
    <rPh sb="0" eb="2">
      <t>シハライ</t>
    </rPh>
    <rPh sb="3" eb="5">
      <t>タイショウ</t>
    </rPh>
    <rPh sb="8" eb="10">
      <t>トリヒキ</t>
    </rPh>
    <rPh sb="11" eb="15">
      <t>カンジョウカモク</t>
    </rPh>
    <rPh sb="16" eb="17">
      <t>フク</t>
    </rPh>
    <rPh sb="19" eb="21">
      <t>シワケ</t>
    </rPh>
    <rPh sb="21" eb="23">
      <t>セイセイ</t>
    </rPh>
    <rPh sb="24" eb="26">
      <t>ヒツヨウ</t>
    </rPh>
    <rPh sb="31" eb="33">
      <t>ニュウリョク</t>
    </rPh>
    <rPh sb="34" eb="36">
      <t>センタク</t>
    </rPh>
    <rPh sb="38" eb="40">
      <t>キノウ</t>
    </rPh>
    <phoneticPr fontId="9"/>
  </si>
  <si>
    <t>６．支払（銀行振込・海外送金・小切手）</t>
    <rPh sb="2" eb="4">
      <t>シハライ</t>
    </rPh>
    <rPh sb="5" eb="7">
      <t>ギンコウ</t>
    </rPh>
    <rPh sb="7" eb="9">
      <t>フリコミ</t>
    </rPh>
    <rPh sb="10" eb="12">
      <t>カイガイ</t>
    </rPh>
    <rPh sb="12" eb="14">
      <t>ソウキン</t>
    </rPh>
    <rPh sb="15" eb="18">
      <t>コギッテ</t>
    </rPh>
    <phoneticPr fontId="6"/>
  </si>
  <si>
    <t>仕入先支払仕訳帳で、支払仕訳を作成する。</t>
    <rPh sb="0" eb="8">
      <t>シイレサキシハライシワケチョウ</t>
    </rPh>
    <rPh sb="10" eb="14">
      <t>シハライシワケ</t>
    </rPh>
    <rPh sb="15" eb="17">
      <t>サクセイ</t>
    </rPh>
    <phoneticPr fontId="6"/>
  </si>
  <si>
    <t>Req120</t>
    <phoneticPr fontId="6"/>
  </si>
  <si>
    <r>
      <rPr>
        <sz val="9"/>
        <color rgb="FF000000"/>
        <rFont val="メイリオ"/>
        <family val="3"/>
        <charset val="128"/>
      </rPr>
      <t xml:space="preserve">請求情報を修正できること
</t>
    </r>
    <r>
      <rPr>
        <sz val="9"/>
        <color rgb="FFFF0000"/>
        <rFont val="メイリオ"/>
        <family val="3"/>
        <charset val="128"/>
      </rPr>
      <t xml:space="preserve">（複数伝票の一括修正ができること）
</t>
    </r>
  </si>
  <si>
    <t>未払請求情報（支払予定情報）の修正機能</t>
    <rPh sb="0" eb="2">
      <t>ミバラ</t>
    </rPh>
    <rPh sb="7" eb="9">
      <t>シハライ</t>
    </rPh>
    <rPh sb="9" eb="11">
      <t>ヨテイ</t>
    </rPh>
    <rPh sb="11" eb="13">
      <t>ジョウホウ</t>
    </rPh>
    <rPh sb="15" eb="17">
      <t>シュウセイ</t>
    </rPh>
    <rPh sb="17" eb="19">
      <t>キノウ</t>
    </rPh>
    <phoneticPr fontId="3"/>
  </si>
  <si>
    <t>請求情報の修正は、楽楽精算など他システムで行う。
支払基準日（FO項目名：期日）の変更は、ヘッダー単位で可能。
FOは、債務データを明細単位で管理していない。</t>
    <rPh sb="0" eb="4">
      <t>セイキュウジョウホウ</t>
    </rPh>
    <rPh sb="5" eb="7">
      <t>シュウセイ</t>
    </rPh>
    <rPh sb="9" eb="13">
      <t>ラクラクセイサン</t>
    </rPh>
    <rPh sb="15" eb="16">
      <t>ホカ</t>
    </rPh>
    <rPh sb="21" eb="22">
      <t>オコナ</t>
    </rPh>
    <rPh sb="41" eb="43">
      <t>ヘンコウ</t>
    </rPh>
    <rPh sb="49" eb="51">
      <t>タンイ</t>
    </rPh>
    <rPh sb="52" eb="54">
      <t>カノウ</t>
    </rPh>
    <phoneticPr fontId="6"/>
  </si>
  <si>
    <t>（2024/3/14　サンスター）
伝票単位で修正できれば良い。
SAPが複数伝票、楽楽精算は1伝票、複数明細で連携されてくる。</t>
    <phoneticPr fontId="6"/>
  </si>
  <si>
    <t>４．支払予定修正・保留</t>
    <rPh sb="2" eb="4">
      <t>シハライ</t>
    </rPh>
    <rPh sb="4" eb="6">
      <t>ヨテイ</t>
    </rPh>
    <rPh sb="6" eb="8">
      <t>シュウセイ</t>
    </rPh>
    <rPh sb="9" eb="11">
      <t>ホリュウ</t>
    </rPh>
    <phoneticPr fontId="6"/>
  </si>
  <si>
    <t>伝票単位で修正でき、一括更新できる画面をアドオン開発する。</t>
    <rPh sb="0" eb="4">
      <t>デンピョウタンイ</t>
    </rPh>
    <rPh sb="5" eb="7">
      <t>シュウセイ</t>
    </rPh>
    <rPh sb="10" eb="12">
      <t>イッカツ</t>
    </rPh>
    <rPh sb="12" eb="14">
      <t>コウシン</t>
    </rPh>
    <rPh sb="17" eb="19">
      <t>ガメン</t>
    </rPh>
    <rPh sb="24" eb="26">
      <t>カイハツ</t>
    </rPh>
    <phoneticPr fontId="6"/>
  </si>
  <si>
    <t>これがない場合の作業工数を明確にする。</t>
    <rPh sb="5" eb="7">
      <t>バアイ</t>
    </rPh>
    <rPh sb="8" eb="10">
      <t>サギョウ</t>
    </rPh>
    <rPh sb="10" eb="12">
      <t>コウスウ</t>
    </rPh>
    <rPh sb="13" eb="15">
      <t>メイカク</t>
    </rPh>
    <phoneticPr fontId="6"/>
  </si>
  <si>
    <t>Req121</t>
    <phoneticPr fontId="6"/>
  </si>
  <si>
    <r>
      <t xml:space="preserve">請求情報を保留できること
</t>
    </r>
    <r>
      <rPr>
        <sz val="9"/>
        <color rgb="FFFF0000"/>
        <rFont val="メイリオ"/>
        <family val="3"/>
        <charset val="128"/>
      </rPr>
      <t>（複数伝票の一括保留ができること）</t>
    </r>
    <rPh sb="2" eb="4">
      <t>ジョウホウ</t>
    </rPh>
    <rPh sb="5" eb="7">
      <t>ホリュウ</t>
    </rPh>
    <rPh sb="21" eb="23">
      <t>ホリュウ</t>
    </rPh>
    <phoneticPr fontId="3"/>
  </si>
  <si>
    <t>未払請求情報（支払予定情報）を支払できないように保留する削除機能</t>
    <rPh sb="0" eb="2">
      <t>ミバラ</t>
    </rPh>
    <rPh sb="2" eb="4">
      <t>セイキュウ</t>
    </rPh>
    <rPh sb="4" eb="6">
      <t>ジョウホウ</t>
    </rPh>
    <rPh sb="15" eb="17">
      <t>シハライ</t>
    </rPh>
    <rPh sb="24" eb="26">
      <t>ホリュウ</t>
    </rPh>
    <rPh sb="30" eb="32">
      <t>キノウ</t>
    </rPh>
    <phoneticPr fontId="9"/>
  </si>
  <si>
    <t>保留は、ヘッダー単位で可能。
FO項目名：請求書のリリース日　で日付を設定しその日付まで支払対象から除外することが可能。
FOは、債務データを明細単位で管理していない。</t>
    <rPh sb="0" eb="2">
      <t>ホリュウ</t>
    </rPh>
    <rPh sb="17" eb="20">
      <t>コウモクメイ</t>
    </rPh>
    <rPh sb="21" eb="24">
      <t>セイキュウショ</t>
    </rPh>
    <rPh sb="29" eb="30">
      <t>ビ</t>
    </rPh>
    <rPh sb="32" eb="34">
      <t>ヒヅケ</t>
    </rPh>
    <rPh sb="35" eb="37">
      <t>セッテイ</t>
    </rPh>
    <rPh sb="40" eb="42">
      <t>ヒヅケ</t>
    </rPh>
    <rPh sb="44" eb="48">
      <t>シハライタイショウ</t>
    </rPh>
    <rPh sb="50" eb="52">
      <t>ジョガイ</t>
    </rPh>
    <rPh sb="57" eb="59">
      <t>カノウ</t>
    </rPh>
    <phoneticPr fontId="6"/>
  </si>
  <si>
    <t>伝票単位で保留でき、一括更新できる画面をアドオン開発する。</t>
    <rPh sb="0" eb="4">
      <t>デンピョウタンイ</t>
    </rPh>
    <rPh sb="5" eb="7">
      <t>ホリュウ</t>
    </rPh>
    <rPh sb="10" eb="12">
      <t>イッカツ</t>
    </rPh>
    <rPh sb="12" eb="14">
      <t>コウシン</t>
    </rPh>
    <rPh sb="17" eb="19">
      <t>ガメン</t>
    </rPh>
    <rPh sb="24" eb="26">
      <t>カイハツ</t>
    </rPh>
    <phoneticPr fontId="6"/>
  </si>
  <si>
    <t>Req122</t>
  </si>
  <si>
    <t>請求情報を削除できること</t>
    <rPh sb="2" eb="4">
      <t>ジョウホウ</t>
    </rPh>
    <rPh sb="5" eb="7">
      <t>サクジョ</t>
    </rPh>
    <phoneticPr fontId="3"/>
  </si>
  <si>
    <t>未払請求情報（支払予定情報）の削除機能</t>
    <rPh sb="15" eb="17">
      <t>サクジョ</t>
    </rPh>
    <rPh sb="17" eb="19">
      <t>キノウ</t>
    </rPh>
    <phoneticPr fontId="9"/>
  </si>
  <si>
    <t>（2024/2/1の債務セッションにて、FOでの削除する想定はないと回答いただいたため、不要と判断。）</t>
    <rPh sb="10" eb="12">
      <t>サイム</t>
    </rPh>
    <rPh sb="24" eb="26">
      <t>サクジョ</t>
    </rPh>
    <rPh sb="28" eb="30">
      <t>ソウテイ</t>
    </rPh>
    <rPh sb="34" eb="36">
      <t>カイトウ</t>
    </rPh>
    <rPh sb="44" eb="46">
      <t>フヨウ</t>
    </rPh>
    <rPh sb="47" eb="49">
      <t>ハンダン</t>
    </rPh>
    <phoneticPr fontId="6"/>
  </si>
  <si>
    <t>Req123</t>
  </si>
  <si>
    <t>毎月固定で買掛金・売掛金が両方存在するケースがあり、売掛金から預り売掛金へ一度相殺対象の残高を振り替えた後、その後買掛金と相殺できること（売掛金と買掛金の相殺処理が可能であること）</t>
    <rPh sb="7" eb="8">
      <t>キン</t>
    </rPh>
    <rPh sb="11" eb="12">
      <t>キン</t>
    </rPh>
    <rPh sb="69" eb="72">
      <t>ウリカケキン</t>
    </rPh>
    <rPh sb="73" eb="76">
      <t>カイカケキン</t>
    </rPh>
    <rPh sb="77" eb="81">
      <t>ソウサイショリ</t>
    </rPh>
    <rPh sb="82" eb="84">
      <t>カノウ</t>
    </rPh>
    <phoneticPr fontId="3"/>
  </si>
  <si>
    <t>同一の取引先に対して預り売掛金と買掛金が両方存在する場合、どちらか残高が少ない科目を残高の多い科目と相殺した上で、支払または入金処理する機能</t>
    <rPh sb="68" eb="70">
      <t>キノウ</t>
    </rPh>
    <phoneticPr fontId="9"/>
  </si>
  <si>
    <t>５．支払前</t>
    <rPh sb="2" eb="5">
      <t>シハライマエ</t>
    </rPh>
    <phoneticPr fontId="6"/>
  </si>
  <si>
    <t>・SEJの売掛金との相殺は、仕入先支払仕訳帳で実施（相手勘定：預かり売掛金）
・SSJ,SEJの未収入金の相殺は、顧客と仕入先の残高の決済で実施</t>
    <rPh sb="5" eb="8">
      <t>ウリカケキン</t>
    </rPh>
    <rPh sb="10" eb="12">
      <t>ソウサイ</t>
    </rPh>
    <rPh sb="14" eb="17">
      <t>シイレサキ</t>
    </rPh>
    <rPh sb="17" eb="22">
      <t>シハライシワケチョウ</t>
    </rPh>
    <rPh sb="23" eb="25">
      <t>ジッシ</t>
    </rPh>
    <rPh sb="26" eb="30">
      <t>アイテカンジョウ</t>
    </rPh>
    <rPh sb="31" eb="32">
      <t>アズ</t>
    </rPh>
    <rPh sb="34" eb="37">
      <t>ウリカケキン</t>
    </rPh>
    <rPh sb="48" eb="52">
      <t>ミシュウニュウキン</t>
    </rPh>
    <rPh sb="53" eb="55">
      <t>ソウサイ</t>
    </rPh>
    <rPh sb="57" eb="59">
      <t>コキャク</t>
    </rPh>
    <rPh sb="60" eb="63">
      <t>シイレサキ</t>
    </rPh>
    <rPh sb="64" eb="66">
      <t>ザンダカ</t>
    </rPh>
    <rPh sb="67" eb="69">
      <t>ケッサイ</t>
    </rPh>
    <rPh sb="70" eb="72">
      <t>ジッシ</t>
    </rPh>
    <phoneticPr fontId="6"/>
  </si>
  <si>
    <t>Req124</t>
    <phoneticPr fontId="6"/>
  </si>
  <si>
    <t>請求書の承認ができること</t>
  </si>
  <si>
    <t>請求書情報の承認機能</t>
    <rPh sb="8" eb="10">
      <t>キノウ</t>
    </rPh>
    <phoneticPr fontId="3"/>
  </si>
  <si>
    <t>請求書の承認ではなく、支払？</t>
    <rPh sb="0" eb="3">
      <t>セイキュウショ</t>
    </rPh>
    <rPh sb="4" eb="6">
      <t>ショウニン</t>
    </rPh>
    <rPh sb="11" eb="13">
      <t>シハラ</t>
    </rPh>
    <phoneticPr fontId="6"/>
  </si>
  <si>
    <t>（2024/3/14　サンスター）
請求書に対する、承認機能は不要。</t>
    <rPh sb="18" eb="21">
      <t>セイキュウショ</t>
    </rPh>
    <rPh sb="22" eb="23">
      <t>タイ</t>
    </rPh>
    <rPh sb="26" eb="30">
      <t>ショウニンキノウ</t>
    </rPh>
    <rPh sb="31" eb="33">
      <t>フヨウ</t>
    </rPh>
    <phoneticPr fontId="6"/>
  </si>
  <si>
    <t>Req125</t>
    <phoneticPr fontId="6"/>
  </si>
  <si>
    <t>請求情報のステータス管理ができること</t>
    <rPh sb="0" eb="2">
      <t>セイキュウ</t>
    </rPh>
    <rPh sb="2" eb="4">
      <t>ジョウホウ</t>
    </rPh>
    <rPh sb="10" eb="12">
      <t>カンリ</t>
    </rPh>
    <phoneticPr fontId="3"/>
  </si>
  <si>
    <t>承認待ち→承認済み(=支払待ち)→支払済み等、請求書のステータスを閲覧・管理する機能</t>
    <rPh sb="0" eb="3">
      <t>ショウニンマ</t>
    </rPh>
    <rPh sb="5" eb="8">
      <t>ショウニンズ</t>
    </rPh>
    <rPh sb="11" eb="14">
      <t>シハライマ</t>
    </rPh>
    <rPh sb="17" eb="20">
      <t>シハライズ</t>
    </rPh>
    <rPh sb="21" eb="22">
      <t>ナド</t>
    </rPh>
    <rPh sb="23" eb="26">
      <t>セイキュウショ</t>
    </rPh>
    <rPh sb="33" eb="35">
      <t>エツラン</t>
    </rPh>
    <rPh sb="36" eb="38">
      <t>カンリ</t>
    </rPh>
    <phoneticPr fontId="3"/>
  </si>
  <si>
    <t>※帳票</t>
  </si>
  <si>
    <r>
      <t xml:space="preserve">2024/4/18　確認いただく。　
</t>
    </r>
    <r>
      <rPr>
        <sz val="9"/>
        <color rgb="FFFF0000"/>
        <rFont val="メイリオ"/>
        <family val="3"/>
        <charset val="128"/>
      </rPr>
      <t>→Req356と同じ要件です</t>
    </r>
    <phoneticPr fontId="6"/>
  </si>
  <si>
    <t>Req356</t>
  </si>
  <si>
    <t>５．支払前</t>
  </si>
  <si>
    <t>IFで必要項目を精査・実装する。確認方法は2つ。
①開発予定機能：全仕入先の仕入先トランザクション機能（Req327）等に規定で項目表示させることも可能。
②標準機能：個別の仕入先トランザクションは、ユーザーで項目追加表示し対応可能。</t>
    <phoneticPr fontId="6"/>
  </si>
  <si>
    <t>Req126</t>
    <phoneticPr fontId="6"/>
  </si>
  <si>
    <t>請求情報の照会ができること</t>
    <rPh sb="2" eb="4">
      <t>ジョウホウ</t>
    </rPh>
    <phoneticPr fontId="3"/>
  </si>
  <si>
    <t>請求書情報の照会する機能</t>
  </si>
  <si>
    <r>
      <rPr>
        <b/>
        <sz val="9"/>
        <color rgb="FFFF0000"/>
        <rFont val="メイリオ"/>
        <family val="3"/>
        <charset val="128"/>
      </rPr>
      <t>※帳票
※要分解（合計表と明細表が要件の認識）</t>
    </r>
    <r>
      <rPr>
        <sz val="9"/>
        <rFont val="メイリオ"/>
        <family val="3"/>
        <charset val="128"/>
      </rPr>
      <t xml:space="preserve">
（2024/2/1の債務セッション議事録より）
請求書情報は楽楽精算で確認できる。現状は伝票ごとの明細はあるが合計の項目が欲しい。支払先別に支払合計一覧が欲しい。支払先、支払方法別、支払予定日、金額、買掛金／未払金の別の合計表。明細も欲しい。楽楽精算にも品名情報等はないため品名等は不要。明細には適用と金額が表示されていれば良い。</t>
    </r>
    <rPh sb="1" eb="3">
      <t>チョウヒョウ</t>
    </rPh>
    <rPh sb="5" eb="8">
      <t>ヨウブンカイ</t>
    </rPh>
    <rPh sb="9" eb="12">
      <t>ゴウケイヒョウ</t>
    </rPh>
    <rPh sb="13" eb="16">
      <t>メイサイヒョウ</t>
    </rPh>
    <rPh sb="17" eb="19">
      <t>ヨウケン</t>
    </rPh>
    <rPh sb="20" eb="22">
      <t>ニンシキ</t>
    </rPh>
    <rPh sb="34" eb="36">
      <t>サイム</t>
    </rPh>
    <rPh sb="41" eb="44">
      <t>ギジロク</t>
    </rPh>
    <phoneticPr fontId="6"/>
  </si>
  <si>
    <t>（2024/3/14　サンスター）
合計表と明細表が必要。
⇒新しくReq344、345を起票。
　本要件はスコープOUTにする。</t>
    <rPh sb="18" eb="20">
      <t>ゴウケイ</t>
    </rPh>
    <rPh sb="20" eb="21">
      <t>ヒョウ</t>
    </rPh>
    <rPh sb="22" eb="25">
      <t>メイサイヒョウ</t>
    </rPh>
    <rPh sb="26" eb="28">
      <t>ヒツヨウ</t>
    </rPh>
    <rPh sb="31" eb="32">
      <t>アタラ</t>
    </rPh>
    <rPh sb="45" eb="47">
      <t>キヒョウ</t>
    </rPh>
    <rPh sb="50" eb="53">
      <t>ホンヨウケン</t>
    </rPh>
    <phoneticPr fontId="6"/>
  </si>
  <si>
    <t>Req127</t>
  </si>
  <si>
    <t>証憑・請求書の参照ができること</t>
    <rPh sb="0" eb="2">
      <t>ショウヒョウ</t>
    </rPh>
    <rPh sb="3" eb="5">
      <t>セイキュウ</t>
    </rPh>
    <rPh sb="5" eb="6">
      <t>ショ</t>
    </rPh>
    <rPh sb="7" eb="9">
      <t>サンショウ</t>
    </rPh>
    <phoneticPr fontId="3"/>
  </si>
  <si>
    <t>登録されている証憑・請求書を参照する機能</t>
    <rPh sb="0" eb="2">
      <t>トウロク</t>
    </rPh>
    <rPh sb="7" eb="9">
      <t>ショウヒョウ</t>
    </rPh>
    <rPh sb="10" eb="13">
      <t>セイキュウショ</t>
    </rPh>
    <rPh sb="14" eb="16">
      <t>サンショウ</t>
    </rPh>
    <rPh sb="18" eb="20">
      <t>キノウ</t>
    </rPh>
    <phoneticPr fontId="9"/>
  </si>
  <si>
    <t>Req128</t>
  </si>
  <si>
    <t>請求情報の出力ができること</t>
    <rPh sb="2" eb="4">
      <t>ジョウホウ</t>
    </rPh>
    <rPh sb="5" eb="7">
      <t>シュツリョク</t>
    </rPh>
    <phoneticPr fontId="3"/>
  </si>
  <si>
    <t>請求書情報を出力する機能</t>
    <rPh sb="0" eb="3">
      <t>セイキュウショ</t>
    </rPh>
    <rPh sb="3" eb="5">
      <t>ジョウホウ</t>
    </rPh>
    <rPh sb="6" eb="8">
      <t>シュツリョク</t>
    </rPh>
    <rPh sb="10" eb="12">
      <t>キノウ</t>
    </rPh>
    <phoneticPr fontId="9"/>
  </si>
  <si>
    <t>（2024/2/1の債務セッションにて、Req126と同じ要求事項という回答をいただいた。）</t>
    <rPh sb="10" eb="12">
      <t>サイム</t>
    </rPh>
    <rPh sb="27" eb="28">
      <t>オナ</t>
    </rPh>
    <rPh sb="29" eb="31">
      <t>ヨウキュウ</t>
    </rPh>
    <rPh sb="31" eb="33">
      <t>ジコウ</t>
    </rPh>
    <rPh sb="36" eb="38">
      <t>カイトウ</t>
    </rPh>
    <phoneticPr fontId="6"/>
  </si>
  <si>
    <t>Req129</t>
  </si>
  <si>
    <t>支払依頼情報の出力ができること</t>
    <rPh sb="0" eb="2">
      <t>シハライ</t>
    </rPh>
    <rPh sb="2" eb="4">
      <t>イライ</t>
    </rPh>
    <rPh sb="4" eb="6">
      <t>ジョウホウ</t>
    </rPh>
    <rPh sb="7" eb="9">
      <t>シュツリョク</t>
    </rPh>
    <phoneticPr fontId="3"/>
  </si>
  <si>
    <t>各支払（企業、従業員）への支払依頼情報を出力する機能</t>
    <rPh sb="0" eb="1">
      <t>カク</t>
    </rPh>
    <rPh sb="1" eb="3">
      <t>シハライ</t>
    </rPh>
    <rPh sb="7" eb="10">
      <t>ジュウギョウイン</t>
    </rPh>
    <rPh sb="13" eb="15">
      <t>シハライ</t>
    </rPh>
    <rPh sb="17" eb="19">
      <t>ジョウホウ</t>
    </rPh>
    <rPh sb="20" eb="22">
      <t>シュツリョク</t>
    </rPh>
    <rPh sb="24" eb="26">
      <t>キノウ</t>
    </rPh>
    <phoneticPr fontId="9"/>
  </si>
  <si>
    <r>
      <rPr>
        <b/>
        <sz val="9"/>
        <color rgb="FFFF0000"/>
        <rFont val="メイリオ"/>
        <family val="3"/>
        <charset val="128"/>
      </rPr>
      <t>※帳票</t>
    </r>
    <r>
      <rPr>
        <sz val="9"/>
        <rFont val="メイリオ"/>
        <family val="3"/>
        <charset val="128"/>
      </rPr>
      <t xml:space="preserve">
サンプルは、Backlog（LIBRA-65）でいただいた、債務管理（サンプル）（銀行システム）.xlsxのシート：４・４請求情報　であっているか。
⇒仕入先未処理トランザクションレポートの使用を検討。</t>
    </r>
    <rPh sb="1" eb="3">
      <t>チョウヒョウ</t>
    </rPh>
    <rPh sb="80" eb="83">
      <t>シイレサキ</t>
    </rPh>
    <rPh sb="83" eb="86">
      <t>ミショリ</t>
    </rPh>
    <rPh sb="99" eb="101">
      <t>シヨウ</t>
    </rPh>
    <rPh sb="102" eb="104">
      <t>ケントウ</t>
    </rPh>
    <phoneticPr fontId="6"/>
  </si>
  <si>
    <t>仕入先未処理トランザクションレポートで対応</t>
    <rPh sb="0" eb="3">
      <t>シイレサキ</t>
    </rPh>
    <rPh sb="3" eb="6">
      <t>ミショリ</t>
    </rPh>
    <rPh sb="19" eb="21">
      <t>タイオウ</t>
    </rPh>
    <phoneticPr fontId="6"/>
  </si>
  <si>
    <t>Req130</t>
  </si>
  <si>
    <t>ステータス情報の出力ができること</t>
    <rPh sb="5" eb="7">
      <t>ジョウホウ</t>
    </rPh>
    <rPh sb="8" eb="10">
      <t>シュツリョク</t>
    </rPh>
    <phoneticPr fontId="3"/>
  </si>
  <si>
    <t>請求書のステータス情報を出力する機能</t>
    <rPh sb="0" eb="3">
      <t>セイキュウショ</t>
    </rPh>
    <rPh sb="9" eb="11">
      <t>ジョウホウ</t>
    </rPh>
    <rPh sb="12" eb="14">
      <t>シュツリョク</t>
    </rPh>
    <rPh sb="16" eb="18">
      <t>キノウ</t>
    </rPh>
    <phoneticPr fontId="9"/>
  </si>
  <si>
    <r>
      <t xml:space="preserve">Req125と同じ要求事項？
</t>
    </r>
    <r>
      <rPr>
        <b/>
        <sz val="9"/>
        <color rgb="FFFF0000"/>
        <rFont val="メイリオ"/>
        <family val="3"/>
        <charset val="128"/>
      </rPr>
      <t xml:space="preserve">
⇒必要項目がIFされればよいという理解。
「伝票トランザクション」「仕入先トランザクション」で対応する。</t>
    </r>
    <rPh sb="7" eb="8">
      <t>オナ</t>
    </rPh>
    <rPh sb="9" eb="11">
      <t>ヨウキュウ</t>
    </rPh>
    <rPh sb="11" eb="13">
      <t>ジコウ</t>
    </rPh>
    <phoneticPr fontId="6"/>
  </si>
  <si>
    <t>IFで必要項目を精査・実装する。
確認は、「伝票トランザクション」「仕入先トランザクション」で行う。</t>
    <rPh sb="17" eb="19">
      <t>カクニン</t>
    </rPh>
    <rPh sb="22" eb="24">
      <t>デンピョウ</t>
    </rPh>
    <rPh sb="34" eb="37">
      <t>シイレサキ</t>
    </rPh>
    <rPh sb="47" eb="48">
      <t>オコナ</t>
    </rPh>
    <phoneticPr fontId="6"/>
  </si>
  <si>
    <t>2024/3/14
楽楽精算から連携している項目をいただく。</t>
    <rPh sb="10" eb="14">
      <t>ラクラクセイサン</t>
    </rPh>
    <rPh sb="16" eb="18">
      <t>レンケイ</t>
    </rPh>
    <rPh sb="22" eb="24">
      <t>コウモク</t>
    </rPh>
    <phoneticPr fontId="6"/>
  </si>
  <si>
    <t>Req131</t>
  </si>
  <si>
    <t>検収明細データのダウンロードができること</t>
  </si>
  <si>
    <t>検収明細データをダウンロードする機能</t>
    <rPh sb="16" eb="18">
      <t>キノウ</t>
    </rPh>
    <phoneticPr fontId="10"/>
  </si>
  <si>
    <t>Backlog（LIBRA-69、期限：3/29）の結果を受けて、検討が必要。</t>
    <rPh sb="17" eb="19">
      <t>キゲン</t>
    </rPh>
    <rPh sb="26" eb="28">
      <t>ケッカ</t>
    </rPh>
    <rPh sb="29" eb="30">
      <t>ウ</t>
    </rPh>
    <rPh sb="33" eb="35">
      <t>ケントウ</t>
    </rPh>
    <rPh sb="36" eb="38">
      <t>ヒツヨウ</t>
    </rPh>
    <phoneticPr fontId="6"/>
  </si>
  <si>
    <t>検収明細は、ホスト・McFrameで出力するため、スコープOUT</t>
    <rPh sb="0" eb="4">
      <t>ケンシュウメイサイ</t>
    </rPh>
    <phoneticPr fontId="6"/>
  </si>
  <si>
    <t>Req132</t>
  </si>
  <si>
    <t>外部システムから支払情報取り込みできること</t>
    <rPh sb="0" eb="2">
      <t>ガイブ</t>
    </rPh>
    <phoneticPr fontId="3"/>
  </si>
  <si>
    <t>外部システムから連携された支払情報を取り込む機能</t>
    <rPh sb="0" eb="2">
      <t>ガイブ</t>
    </rPh>
    <rPh sb="8" eb="10">
      <t>レンケイ</t>
    </rPh>
    <rPh sb="13" eb="15">
      <t>シハライ</t>
    </rPh>
    <rPh sb="15" eb="17">
      <t>ジョウホウ</t>
    </rPh>
    <rPh sb="18" eb="19">
      <t>ト</t>
    </rPh>
    <rPh sb="20" eb="21">
      <t>コ</t>
    </rPh>
    <rPh sb="22" eb="24">
      <t>キノウ</t>
    </rPh>
    <phoneticPr fontId="3"/>
  </si>
  <si>
    <t>（2024/2/1の債務セッションのTODO（LIBRA-70）にて、債務データが連携されるシステムを回答いただいた。Req117で管理する。）</t>
    <rPh sb="10" eb="12">
      <t>サイム</t>
    </rPh>
    <rPh sb="35" eb="37">
      <t>サイム</t>
    </rPh>
    <rPh sb="41" eb="43">
      <t>レンケイ</t>
    </rPh>
    <rPh sb="51" eb="53">
      <t>カイトウ</t>
    </rPh>
    <rPh sb="66" eb="68">
      <t>カンリ</t>
    </rPh>
    <phoneticPr fontId="6"/>
  </si>
  <si>
    <t>Req133</t>
  </si>
  <si>
    <t>承認済みの支払データを赤伝処理により取消でき、元伝票を呼び出して再計上できること</t>
    <rPh sb="32" eb="35">
      <t>サイケイジョウ</t>
    </rPh>
    <phoneticPr fontId="3"/>
  </si>
  <si>
    <t>承認済みの支払データを赤伝処理により取消し、再計上するときには元伝票を呼び出して再登録する機能</t>
    <rPh sb="0" eb="2">
      <t>ショウニン</t>
    </rPh>
    <rPh sb="2" eb="3">
      <t>ズ</t>
    </rPh>
    <rPh sb="5" eb="7">
      <t>シハライ</t>
    </rPh>
    <rPh sb="11" eb="13">
      <t>アカデン</t>
    </rPh>
    <rPh sb="13" eb="15">
      <t>ショリ</t>
    </rPh>
    <rPh sb="18" eb="20">
      <t>トリケシ</t>
    </rPh>
    <rPh sb="22" eb="23">
      <t>サイ</t>
    </rPh>
    <rPh sb="23" eb="25">
      <t>ケイジョウ</t>
    </rPh>
    <rPh sb="31" eb="32">
      <t>モト</t>
    </rPh>
    <rPh sb="32" eb="34">
      <t>デンピョウ</t>
    </rPh>
    <rPh sb="35" eb="36">
      <t>ヨ</t>
    </rPh>
    <rPh sb="37" eb="38">
      <t>ダ</t>
    </rPh>
    <rPh sb="40" eb="41">
      <t>サイ</t>
    </rPh>
    <rPh sb="41" eb="43">
      <t>トウロク</t>
    </rPh>
    <rPh sb="45" eb="47">
      <t>キノウ</t>
    </rPh>
    <phoneticPr fontId="9"/>
  </si>
  <si>
    <t>外部システムで登録された赤黒伝票を連携するIFをアドオン開発</t>
    <rPh sb="17" eb="19">
      <t>レンケイ</t>
    </rPh>
    <rPh sb="28" eb="30">
      <t>カイハツ</t>
    </rPh>
    <phoneticPr fontId="6"/>
  </si>
  <si>
    <t>赤黒伝票専用のIFではなく、通常の仕訳伝票IFと同じであるという理解
⇒2024/4/24　秋信
本要件も通常のIF機能で実現する想定です。</t>
    <rPh sb="0" eb="2">
      <t>アカクロ</t>
    </rPh>
    <rPh sb="2" eb="4">
      <t>デンピョウ</t>
    </rPh>
    <rPh sb="4" eb="6">
      <t>センヨウ</t>
    </rPh>
    <rPh sb="14" eb="16">
      <t>ツウジョウ</t>
    </rPh>
    <rPh sb="17" eb="21">
      <t>シワケデンピョウ</t>
    </rPh>
    <rPh sb="24" eb="25">
      <t>オナ</t>
    </rPh>
    <rPh sb="32" eb="34">
      <t>リカイ</t>
    </rPh>
    <rPh sb="46" eb="48">
      <t>アキノブ</t>
    </rPh>
    <rPh sb="49" eb="52">
      <t>ホンヨウケン</t>
    </rPh>
    <rPh sb="53" eb="55">
      <t>ツウジョウ</t>
    </rPh>
    <rPh sb="58" eb="60">
      <t>キノウ</t>
    </rPh>
    <rPh sb="61" eb="63">
      <t>ジツゲン</t>
    </rPh>
    <rPh sb="65" eb="67">
      <t>ソウテイ</t>
    </rPh>
    <phoneticPr fontId="6"/>
  </si>
  <si>
    <t>Req134</t>
    <phoneticPr fontId="6"/>
  </si>
  <si>
    <t>支払日に合わせて支払方法別・支払先別に、国内送金/海外送金のための送金データを自動作成できること</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3"/>
  </si>
  <si>
    <t>支払日毎に、支払方法別(ファクタリング・手形・電債・期日振込・全額振込)・支払先別に支払予定金額が集計されたうえで自動で国内送金/海外送金用の送金データを作成する機能</t>
    <rPh sb="0" eb="3">
      <t>シハライビ</t>
    </rPh>
    <rPh sb="3" eb="4">
      <t>ゴト</t>
    </rPh>
    <rPh sb="37" eb="41">
      <t>シハライサキベツ</t>
    </rPh>
    <rPh sb="57" eb="59">
      <t>ジドウ</t>
    </rPh>
    <rPh sb="60" eb="62">
      <t>コクナイ</t>
    </rPh>
    <rPh sb="62" eb="64">
      <t>ソウキン</t>
    </rPh>
    <rPh sb="65" eb="67">
      <t>カイガイ</t>
    </rPh>
    <rPh sb="67" eb="69">
      <t>ソウキン</t>
    </rPh>
    <rPh sb="69" eb="70">
      <t>ヨウ</t>
    </rPh>
    <rPh sb="71" eb="73">
      <t>ソウキン</t>
    </rPh>
    <rPh sb="77" eb="79">
      <t>サクセイ</t>
    </rPh>
    <rPh sb="81" eb="83">
      <t>キノウ</t>
    </rPh>
    <phoneticPr fontId="3"/>
  </si>
  <si>
    <r>
      <rPr>
        <b/>
        <sz val="9"/>
        <color rgb="FFFF0000"/>
        <rFont val="メイリオ"/>
        <family val="3"/>
        <charset val="128"/>
      </rPr>
      <t>※要分解</t>
    </r>
    <r>
      <rPr>
        <sz val="9"/>
        <rFont val="メイリオ"/>
        <family val="3"/>
        <charset val="128"/>
      </rPr>
      <t xml:space="preserve">
送金データ作成のパターン
・ファクタリング（⇒不要）
・手形（⇒不要）
・電子記録債務（電債）
・電子記録債務（でんさい）
・銀行振込
　⇒期日振込、全額振込の違いはなし。
・海外送金（三菱）
・海外送金（みずほ）
・海外送金（三井住友）</t>
    </r>
    <rPh sb="1" eb="4">
      <t>ヨウブンカイ</t>
    </rPh>
    <rPh sb="5" eb="7">
      <t>ソウキン</t>
    </rPh>
    <rPh sb="10" eb="12">
      <t>サクセイ</t>
    </rPh>
    <rPh sb="33" eb="35">
      <t>テガタ</t>
    </rPh>
    <rPh sb="42" eb="48">
      <t>デンシキロクサイム</t>
    </rPh>
    <rPh sb="49" eb="50">
      <t>デン</t>
    </rPh>
    <rPh sb="50" eb="51">
      <t>サイ</t>
    </rPh>
    <rPh sb="54" eb="59">
      <t>デンシキロクサイ</t>
    </rPh>
    <rPh sb="59" eb="60">
      <t>ム</t>
    </rPh>
    <rPh sb="68" eb="72">
      <t>ギンコウフリコミ</t>
    </rPh>
    <rPh sb="75" eb="79">
      <t>キジツフリコミ</t>
    </rPh>
    <rPh sb="80" eb="84">
      <t>ゼンガクフリコミ</t>
    </rPh>
    <rPh sb="85" eb="86">
      <t>チガ</t>
    </rPh>
    <rPh sb="93" eb="95">
      <t>カイガイ</t>
    </rPh>
    <rPh sb="95" eb="97">
      <t>ソウキン</t>
    </rPh>
    <rPh sb="98" eb="100">
      <t>ミツビシ</t>
    </rPh>
    <rPh sb="119" eb="123">
      <t>ミツイスミトモ</t>
    </rPh>
    <phoneticPr fontId="6"/>
  </si>
  <si>
    <t>（2024/3/14　サンスター）
支払処理は、会社ごとに行っている。
⇒新しくReq346~351を起票。
　本要件はスコープOUTにする。</t>
    <rPh sb="18" eb="20">
      <t>シハライ</t>
    </rPh>
    <rPh sb="20" eb="22">
      <t>ショリ</t>
    </rPh>
    <rPh sb="24" eb="26">
      <t>カイシャ</t>
    </rPh>
    <rPh sb="29" eb="30">
      <t>オコナ</t>
    </rPh>
    <rPh sb="38" eb="39">
      <t>アタラ</t>
    </rPh>
    <rPh sb="52" eb="54">
      <t>キヒョウ</t>
    </rPh>
    <rPh sb="57" eb="60">
      <t>ホンヨウケン</t>
    </rPh>
    <phoneticPr fontId="6"/>
  </si>
  <si>
    <t>Req135</t>
  </si>
  <si>
    <t>支払処理を行うことで、銀行システムへの送信データが作成・出力されると同時に、支払仕訳(買掛金/現預金)が同時に転記されること</t>
    <rPh sb="0" eb="2">
      <t>シハライ</t>
    </rPh>
    <rPh sb="2" eb="4">
      <t>ショリ</t>
    </rPh>
    <rPh sb="5" eb="6">
      <t>オコナ</t>
    </rPh>
    <rPh sb="11" eb="13">
      <t>ギンコウ</t>
    </rPh>
    <rPh sb="19" eb="21">
      <t>ソウシン</t>
    </rPh>
    <rPh sb="25" eb="27">
      <t>サクセイ</t>
    </rPh>
    <rPh sb="28" eb="30">
      <t>シュツリョク</t>
    </rPh>
    <rPh sb="34" eb="36">
      <t>ドウジ</t>
    </rPh>
    <rPh sb="38" eb="40">
      <t>シハライ</t>
    </rPh>
    <rPh sb="40" eb="42">
      <t>シワケ</t>
    </rPh>
    <rPh sb="43" eb="46">
      <t>カイカケキン</t>
    </rPh>
    <rPh sb="47" eb="50">
      <t>ゲンヨキン</t>
    </rPh>
    <rPh sb="52" eb="54">
      <t>ドウジ</t>
    </rPh>
    <rPh sb="55" eb="57">
      <t>テンキ</t>
    </rPh>
    <phoneticPr fontId="3"/>
  </si>
  <si>
    <t>支払処理をすることで送金データの作成と支払仕訳を転記する機能</t>
    <rPh sb="0" eb="2">
      <t>シハライ</t>
    </rPh>
    <rPh sb="2" eb="4">
      <t>ショリ</t>
    </rPh>
    <rPh sb="10" eb="12">
      <t>ソウキン</t>
    </rPh>
    <rPh sb="16" eb="18">
      <t>サクセイ</t>
    </rPh>
    <rPh sb="19" eb="21">
      <t>シハライ</t>
    </rPh>
    <rPh sb="21" eb="23">
      <t>シワケ</t>
    </rPh>
    <rPh sb="24" eb="26">
      <t>テンキ</t>
    </rPh>
    <rPh sb="28" eb="30">
      <t>キノウ</t>
    </rPh>
    <phoneticPr fontId="3"/>
  </si>
  <si>
    <t>６．支払（銀行振込・海外送金・小切手）
７．電子記録債務計上・決済</t>
    <rPh sb="2" eb="4">
      <t>シハライ</t>
    </rPh>
    <rPh sb="5" eb="7">
      <t>ギンコウ</t>
    </rPh>
    <rPh sb="7" eb="9">
      <t>フリコミ</t>
    </rPh>
    <rPh sb="10" eb="12">
      <t>カイガイ</t>
    </rPh>
    <rPh sb="12" eb="14">
      <t>ソウキン</t>
    </rPh>
    <rPh sb="15" eb="18">
      <t>コギッテ</t>
    </rPh>
    <rPh sb="22" eb="28">
      <t>デンシキロクサイム</t>
    </rPh>
    <rPh sb="28" eb="30">
      <t>ケイジョウ</t>
    </rPh>
    <rPh sb="31" eb="33">
      <t>ケッサイ</t>
    </rPh>
    <phoneticPr fontId="6"/>
  </si>
  <si>
    <t>データ出力時と同時に転記処理を行う機能をアドオン開発</t>
    <rPh sb="3" eb="6">
      <t>シュツリョクジ</t>
    </rPh>
    <rPh sb="7" eb="9">
      <t>ドウジ</t>
    </rPh>
    <rPh sb="10" eb="14">
      <t>テンキショリ</t>
    </rPh>
    <rPh sb="15" eb="16">
      <t>オコナ</t>
    </rPh>
    <rPh sb="17" eb="19">
      <t>キノウ</t>
    </rPh>
    <rPh sb="24" eb="26">
      <t>カイハツ</t>
    </rPh>
    <phoneticPr fontId="6"/>
  </si>
  <si>
    <t>送信データ出力と同時に仕訳は作成されるが、自動転記までは標準ではできないと理解している。これがない場合のインパクト(転記は手動とする場合)を明確にする。</t>
    <rPh sb="0" eb="2">
      <t>ソウシン</t>
    </rPh>
    <rPh sb="5" eb="7">
      <t>シュツリョク</t>
    </rPh>
    <rPh sb="8" eb="10">
      <t>ドウジ</t>
    </rPh>
    <rPh sb="11" eb="13">
      <t>シワケ</t>
    </rPh>
    <rPh sb="14" eb="16">
      <t>サクセイ</t>
    </rPh>
    <rPh sb="21" eb="25">
      <t>ジドウテンキ</t>
    </rPh>
    <rPh sb="28" eb="30">
      <t>ヒョウジュン</t>
    </rPh>
    <rPh sb="37" eb="39">
      <t>リカイ</t>
    </rPh>
    <rPh sb="49" eb="51">
      <t>バアイ</t>
    </rPh>
    <rPh sb="58" eb="60">
      <t>テンキ</t>
    </rPh>
    <rPh sb="61" eb="63">
      <t>シュドウ</t>
    </rPh>
    <rPh sb="66" eb="68">
      <t>バアイ</t>
    </rPh>
    <rPh sb="70" eb="72">
      <t>メイカク</t>
    </rPh>
    <phoneticPr fontId="6"/>
  </si>
  <si>
    <t>Req136</t>
  </si>
  <si>
    <r>
      <rPr>
        <strike/>
        <sz val="9"/>
        <rFont val="メイリオ"/>
        <family val="3"/>
        <charset val="128"/>
      </rPr>
      <t xml:space="preserve">口座引落システムに登録されている情報を会計システムに自動連携できること
</t>
    </r>
    <r>
      <rPr>
        <i/>
        <strike/>
        <sz val="11"/>
        <rFont val="Meiryo UI"/>
        <family val="3"/>
        <charset val="128"/>
      </rPr>
      <t xml:space="preserve">支払予定情報が「口座引落システム」に入っている
</t>
    </r>
    <r>
      <rPr>
        <i/>
        <sz val="11"/>
        <color rgb="FFFF0000"/>
        <rFont val="Meiryo UI"/>
        <family val="3"/>
        <charset val="128"/>
      </rPr>
      <t>口座引落の契約内容（Excel台帳）をシステムに登録できること</t>
    </r>
    <rPh sb="0" eb="4">
      <t>コウザヒキオトシ</t>
    </rPh>
    <rPh sb="9" eb="11">
      <t>トウロク</t>
    </rPh>
    <rPh sb="16" eb="18">
      <t>ジョウホウ</t>
    </rPh>
    <rPh sb="19" eb="21">
      <t>カイケイ</t>
    </rPh>
    <rPh sb="26" eb="28">
      <t>ジドウ</t>
    </rPh>
    <rPh sb="28" eb="30">
      <t>レンケイ</t>
    </rPh>
    <rPh sb="60" eb="64">
      <t>コウザヒキオトシ</t>
    </rPh>
    <rPh sb="65" eb="69">
      <t>ケイヤクナイヨウ</t>
    </rPh>
    <rPh sb="75" eb="77">
      <t>ダイチョウ</t>
    </rPh>
    <rPh sb="84" eb="86">
      <t>トウロク</t>
    </rPh>
    <phoneticPr fontId="3"/>
  </si>
  <si>
    <t>口座引落システムとの連携機能</t>
    <rPh sb="0" eb="4">
      <t>コウザヒキオトシ</t>
    </rPh>
    <rPh sb="10" eb="12">
      <t>レンケイ</t>
    </rPh>
    <rPh sb="12" eb="14">
      <t>キノウ</t>
    </rPh>
    <phoneticPr fontId="3"/>
  </si>
  <si>
    <t>現行どうなっているのか。
ファイルサーバーに口座引落システムのデータが格納されいているものを連携する理解。</t>
    <rPh sb="0" eb="2">
      <t>ゲンコウ</t>
    </rPh>
    <rPh sb="35" eb="37">
      <t>カクノウ</t>
    </rPh>
    <rPh sb="46" eb="48">
      <t>レンケイ</t>
    </rPh>
    <rPh sb="50" eb="52">
      <t>リカイ</t>
    </rPh>
    <phoneticPr fontId="6"/>
  </si>
  <si>
    <t>Excel台帳と銀行からの入出金データのマッチングを行っている。</t>
    <rPh sb="5" eb="7">
      <t>ダイチョウ</t>
    </rPh>
    <rPh sb="8" eb="10">
      <t>ギンコウ</t>
    </rPh>
    <rPh sb="13" eb="16">
      <t>ニュウシュッキン</t>
    </rPh>
    <rPh sb="26" eb="27">
      <t>オコナ</t>
    </rPh>
    <phoneticPr fontId="6"/>
  </si>
  <si>
    <t>８．口座引落</t>
    <rPh sb="2" eb="6">
      <t>コウザヒキオトシ</t>
    </rPh>
    <phoneticPr fontId="6"/>
  </si>
  <si>
    <t>口座引落の契約内容を管理しているExcel台帳をFOにインポート登録できる画面をアドオン開発する。</t>
    <rPh sb="0" eb="4">
      <t>コウザヒキオトシ</t>
    </rPh>
    <rPh sb="5" eb="9">
      <t>ケイヤクナイヨウ</t>
    </rPh>
    <rPh sb="10" eb="12">
      <t>カンリ</t>
    </rPh>
    <rPh sb="21" eb="23">
      <t>ダイチョウ</t>
    </rPh>
    <rPh sb="32" eb="34">
      <t>トウロク</t>
    </rPh>
    <rPh sb="37" eb="39">
      <t>ガメン</t>
    </rPh>
    <rPh sb="44" eb="46">
      <t>カイハツ</t>
    </rPh>
    <phoneticPr fontId="6"/>
  </si>
  <si>
    <t>本機能をFOで実装するのが適切なのか要審査</t>
    <rPh sb="0" eb="1">
      <t>ホン</t>
    </rPh>
    <rPh sb="1" eb="3">
      <t>キノウ</t>
    </rPh>
    <rPh sb="7" eb="9">
      <t>ジッソウ</t>
    </rPh>
    <rPh sb="13" eb="15">
      <t>テキセツ</t>
    </rPh>
    <rPh sb="18" eb="21">
      <t>ヨウシンサ</t>
    </rPh>
    <phoneticPr fontId="6"/>
  </si>
  <si>
    <t>Req137</t>
  </si>
  <si>
    <t>引落(支払)データを銀行システムから会計システムに自動取込できること</t>
    <rPh sb="0" eb="2">
      <t>ヒキオトシ</t>
    </rPh>
    <rPh sb="3" eb="5">
      <t>シハライ</t>
    </rPh>
    <rPh sb="10" eb="12">
      <t>ギンコウ</t>
    </rPh>
    <rPh sb="18" eb="20">
      <t>カイケイ</t>
    </rPh>
    <rPh sb="25" eb="27">
      <t>ジドウ</t>
    </rPh>
    <rPh sb="27" eb="29">
      <t>トリコミ</t>
    </rPh>
    <phoneticPr fontId="3"/>
  </si>
  <si>
    <t>銀行システムからの引落データ連携機能</t>
    <rPh sb="0" eb="2">
      <t>ギンコウ</t>
    </rPh>
    <rPh sb="9" eb="11">
      <t>ヒキオトシ</t>
    </rPh>
    <rPh sb="14" eb="16">
      <t>レンケイ</t>
    </rPh>
    <rPh sb="16" eb="18">
      <t>キノウ</t>
    </rPh>
    <phoneticPr fontId="3"/>
  </si>
  <si>
    <t>現行どうなっているのか。
ファイルサーバーに銀行システムのデータが格納されいているものを連携する理解。</t>
    <rPh sb="22" eb="24">
      <t>ギンコウ</t>
    </rPh>
    <rPh sb="33" eb="35">
      <t>カクノウ</t>
    </rPh>
    <rPh sb="44" eb="46">
      <t>レンケイ</t>
    </rPh>
    <rPh sb="48" eb="50">
      <t>リカイ</t>
    </rPh>
    <phoneticPr fontId="6"/>
  </si>
  <si>
    <t>現状、ホスト経由で銀行システムからの入出金データを連携している。</t>
    <rPh sb="0" eb="2">
      <t>ゲンジョウ</t>
    </rPh>
    <rPh sb="6" eb="8">
      <t>ケイユ</t>
    </rPh>
    <rPh sb="9" eb="11">
      <t>ギンコウ</t>
    </rPh>
    <rPh sb="18" eb="21">
      <t>ニュウシュッキン</t>
    </rPh>
    <rPh sb="25" eb="27">
      <t>レンケイ</t>
    </rPh>
    <phoneticPr fontId="6"/>
  </si>
  <si>
    <t>銀行システムの入出金データの取込機能をアドオン開発する。</t>
    <rPh sb="0" eb="2">
      <t>ギンコウ</t>
    </rPh>
    <rPh sb="7" eb="10">
      <t>ニュウシュッキン</t>
    </rPh>
    <rPh sb="14" eb="18">
      <t>トリコミキノウ</t>
    </rPh>
    <rPh sb="23" eb="25">
      <t>カイハツ</t>
    </rPh>
    <phoneticPr fontId="6"/>
  </si>
  <si>
    <t>Req138</t>
  </si>
  <si>
    <r>
      <t xml:space="preserve">口座引落システムから連携された情報と銀行システムから取り込まれた引落(支払)データをマッチングさせ仕訳転記できること
</t>
    </r>
    <r>
      <rPr>
        <i/>
        <strike/>
        <sz val="11"/>
        <rFont val="Meiryo UI"/>
        <family val="3"/>
        <charset val="128"/>
      </rPr>
      <t>支払予定情報が「口座引落システム」に入っていて、銀行からの情報と突き合わせ、マッチしたら、仕訳を自動で生成・転記する</t>
    </r>
    <r>
      <rPr>
        <i/>
        <strike/>
        <sz val="11"/>
        <color rgb="FFFF0000"/>
        <rFont val="Meiryo UI"/>
        <family val="3"/>
        <charset val="128"/>
      </rPr>
      <t xml:space="preserve">
</t>
    </r>
    <r>
      <rPr>
        <i/>
        <sz val="9"/>
        <color rgb="FFFF0000"/>
        <rFont val="メイリオ"/>
        <family val="3"/>
        <charset val="128"/>
      </rPr>
      <t xml:space="preserve">口座引落の契約内容（Excel台帳）と銀行の入出金データをマッチングさせて仕訳転記できること
2024/4/22　追加
</t>
    </r>
    <r>
      <rPr>
        <sz val="9"/>
        <color rgb="FFFF0000"/>
        <rFont val="メイリオ"/>
        <family val="3"/>
        <charset val="128"/>
      </rPr>
      <t>「自動引落専用口座」以外の銀行口座から引き落としされた出金データの仕訳転記できること</t>
    </r>
    <rPh sb="0" eb="4">
      <t>コウザヒキオトシ</t>
    </rPh>
    <rPh sb="10" eb="12">
      <t>レンケイ</t>
    </rPh>
    <rPh sb="15" eb="17">
      <t>ジョウホウ</t>
    </rPh>
    <rPh sb="18" eb="20">
      <t>ギンコウ</t>
    </rPh>
    <rPh sb="26" eb="27">
      <t>ト</t>
    </rPh>
    <rPh sb="28" eb="29">
      <t>コ</t>
    </rPh>
    <rPh sb="32" eb="34">
      <t>ヒキオトシ</t>
    </rPh>
    <rPh sb="35" eb="37">
      <t>シハライ</t>
    </rPh>
    <rPh sb="49" eb="51">
      <t>シワケ</t>
    </rPh>
    <rPh sb="51" eb="53">
      <t>テンキ</t>
    </rPh>
    <rPh sb="118" eb="122">
      <t>コウザヒキオトシ</t>
    </rPh>
    <rPh sb="123" eb="127">
      <t>ケイヤクナイヨウ</t>
    </rPh>
    <rPh sb="133" eb="135">
      <t>ダイチョウ</t>
    </rPh>
    <rPh sb="137" eb="139">
      <t>ギンコウ</t>
    </rPh>
    <rPh sb="140" eb="143">
      <t>ニュウシュッキン</t>
    </rPh>
    <rPh sb="155" eb="159">
      <t>シワケテンキ</t>
    </rPh>
    <rPh sb="176" eb="178">
      <t>ツイカ</t>
    </rPh>
    <rPh sb="212" eb="216">
      <t>シワケテンキ</t>
    </rPh>
    <phoneticPr fontId="3"/>
  </si>
  <si>
    <t>引落情報から仕訳を転記する機能</t>
    <rPh sb="0" eb="2">
      <t>ヒキオトシ</t>
    </rPh>
    <rPh sb="2" eb="4">
      <t>ジョウホウ</t>
    </rPh>
    <rPh sb="6" eb="8">
      <t>シワケ</t>
    </rPh>
    <rPh sb="9" eb="11">
      <t>テンキ</t>
    </rPh>
    <rPh sb="13" eb="15">
      <t>キノウ</t>
    </rPh>
    <phoneticPr fontId="3"/>
  </si>
  <si>
    <t>現行どうなっているのか。
上記、Req136とReq137のデータを突合、マッチしたものを仕訳転記させる理解。</t>
    <rPh sb="13" eb="15">
      <t>ジョウキ</t>
    </rPh>
    <rPh sb="34" eb="36">
      <t>トツゴウ</t>
    </rPh>
    <rPh sb="45" eb="47">
      <t>シワケ</t>
    </rPh>
    <rPh sb="47" eb="49">
      <t>テンキ</t>
    </rPh>
    <rPh sb="52" eb="54">
      <t>リカイ</t>
    </rPh>
    <phoneticPr fontId="6"/>
  </si>
  <si>
    <t>Req136のデータをReq137の入出金データの突合・自動仕訳転記のアドオン開発を行う。</t>
    <rPh sb="18" eb="21">
      <t>ニュウシュッキン</t>
    </rPh>
    <rPh sb="25" eb="27">
      <t>トツゴウ</t>
    </rPh>
    <rPh sb="28" eb="30">
      <t>ジドウ</t>
    </rPh>
    <rPh sb="30" eb="32">
      <t>シワケ</t>
    </rPh>
    <rPh sb="32" eb="34">
      <t>テンキ</t>
    </rPh>
    <rPh sb="39" eb="41">
      <t>カイハツ</t>
    </rPh>
    <rPh sb="42" eb="43">
      <t>オコナ</t>
    </rPh>
    <phoneticPr fontId="6"/>
  </si>
  <si>
    <t>突合結果を出力する。（画面のイメージ？）
⇒Req368　起票</t>
    <rPh sb="0" eb="2">
      <t>トツゴウ</t>
    </rPh>
    <rPh sb="2" eb="4">
      <t>ケッカ</t>
    </rPh>
    <rPh sb="5" eb="7">
      <t>シュツリョク</t>
    </rPh>
    <rPh sb="11" eb="13">
      <t>ガメン</t>
    </rPh>
    <rPh sb="29" eb="31">
      <t>キヒョウ</t>
    </rPh>
    <phoneticPr fontId="6"/>
  </si>
  <si>
    <t>Req139</t>
  </si>
  <si>
    <t>支払情報の照会ができること</t>
    <rPh sb="2" eb="4">
      <t>ジョウホウ</t>
    </rPh>
    <phoneticPr fontId="3"/>
  </si>
  <si>
    <t>支払先別・支払方法別に支払情報(品種・数量・金額・伝票内容等、債務計上時に登録した情報全般)を照会する機能</t>
    <rPh sb="5" eb="9">
      <t>シハライホウホウ</t>
    </rPh>
    <rPh sb="9" eb="10">
      <t>ベツ</t>
    </rPh>
    <phoneticPr fontId="10"/>
  </si>
  <si>
    <r>
      <rPr>
        <b/>
        <sz val="9"/>
        <color rgb="FFFF0000"/>
        <rFont val="メイリオ"/>
        <family val="3"/>
        <charset val="128"/>
      </rPr>
      <t>※帳票</t>
    </r>
    <r>
      <rPr>
        <sz val="9"/>
        <rFont val="メイリオ"/>
        <family val="3"/>
        <charset val="128"/>
      </rPr>
      <t xml:space="preserve">
Req126と同じ要件か。</t>
    </r>
    <rPh sb="1" eb="3">
      <t>チョウヒョウ</t>
    </rPh>
    <rPh sb="11" eb="12">
      <t>オナ</t>
    </rPh>
    <rPh sb="13" eb="15">
      <t>ヨウケン</t>
    </rPh>
    <phoneticPr fontId="6"/>
  </si>
  <si>
    <t>（2024/3/14　サンスター）
Req126と同じ。</t>
    <rPh sb="25" eb="26">
      <t>オナ</t>
    </rPh>
    <phoneticPr fontId="6"/>
  </si>
  <si>
    <t>Req140</t>
  </si>
  <si>
    <t>支払方法別(ファクタリング・手形・電債・期日振込・全額振込)に支払情報が出力できること</t>
    <rPh sb="0" eb="2">
      <t>シハライ</t>
    </rPh>
    <rPh sb="2" eb="4">
      <t>ホウホウ</t>
    </rPh>
    <rPh sb="4" eb="5">
      <t>ベツ</t>
    </rPh>
    <rPh sb="31" eb="33">
      <t>シハライ</t>
    </rPh>
    <rPh sb="33" eb="35">
      <t>ジョウホウ</t>
    </rPh>
    <rPh sb="36" eb="38">
      <t>シュツリョク</t>
    </rPh>
    <phoneticPr fontId="3"/>
  </si>
  <si>
    <t>支払先別・支払方法別に支払情報(品種・数量・金額・伝票内容等、債務計上時に登録した情報全般)を出力する機能</t>
    <rPh sb="47" eb="49">
      <t>シュツリョク</t>
    </rPh>
    <rPh sb="51" eb="53">
      <t>キノウ</t>
    </rPh>
    <phoneticPr fontId="9"/>
  </si>
  <si>
    <t>Req141</t>
    <phoneticPr fontId="6"/>
  </si>
  <si>
    <r>
      <t xml:space="preserve">請求書情報の修正内容が出力できること
</t>
    </r>
    <r>
      <rPr>
        <i/>
        <sz val="11"/>
        <color rgb="FFFF0000"/>
        <rFont val="Meiryo UI"/>
        <family val="3"/>
        <charset val="128"/>
      </rPr>
      <t>支払い済の請求情報に修正が発生した場合に、何らかの方法で修正前、修正後の請求情報を紐づけて確認できるか、という内容。
変更項目のログ（○○項目　変更前の値xx、変更後の値 zz等)のようなイメージとのこと</t>
    </r>
    <rPh sb="0" eb="3">
      <t>セイキュウショ</t>
    </rPh>
    <rPh sb="3" eb="5">
      <t>ジョウホウ</t>
    </rPh>
    <rPh sb="6" eb="8">
      <t>シュウセイ</t>
    </rPh>
    <rPh sb="8" eb="10">
      <t>ナイヨウ</t>
    </rPh>
    <rPh sb="11" eb="13">
      <t>シュツリョク</t>
    </rPh>
    <phoneticPr fontId="3"/>
  </si>
  <si>
    <t>請求書情報の修正前後の金額を含めたデータを出力する機能</t>
    <rPh sb="0" eb="3">
      <t>セイキュウショ</t>
    </rPh>
    <rPh sb="3" eb="5">
      <t>ジョウホウ</t>
    </rPh>
    <rPh sb="6" eb="8">
      <t>シュウセイ</t>
    </rPh>
    <rPh sb="8" eb="10">
      <t>ゼンゴ</t>
    </rPh>
    <rPh sb="11" eb="13">
      <t>キンガク</t>
    </rPh>
    <rPh sb="14" eb="15">
      <t>フク</t>
    </rPh>
    <rPh sb="21" eb="23">
      <t>シュツリョク</t>
    </rPh>
    <rPh sb="25" eb="27">
      <t>キノウ</t>
    </rPh>
    <phoneticPr fontId="9"/>
  </si>
  <si>
    <r>
      <rPr>
        <b/>
        <sz val="9"/>
        <color rgb="FFFF0000"/>
        <rFont val="メイリオ"/>
        <family val="3"/>
        <charset val="128"/>
      </rPr>
      <t>※要分解</t>
    </r>
    <r>
      <rPr>
        <sz val="9"/>
        <rFont val="メイリオ"/>
        <family val="3"/>
        <charset val="128"/>
      </rPr>
      <t xml:space="preserve">
2024/2/1の債務セッションにて、以下要件が上がっている認識です。
・金額による、支払方法が変更できること。
・支払基準日が管理できること。
　</t>
    </r>
    <r>
      <rPr>
        <sz val="9"/>
        <color rgb="FFFF0000"/>
        <rFont val="メイリオ"/>
        <family val="3"/>
        <charset val="128"/>
      </rPr>
      <t>⇒Req323で管理する。</t>
    </r>
    <r>
      <rPr>
        <sz val="9"/>
        <rFont val="メイリオ"/>
        <family val="3"/>
        <charset val="128"/>
      </rPr>
      <t xml:space="preserve">
・規定の支払方法に加え、楽楽精算で「全額振込」を指定することができる。（明細か？）
　</t>
    </r>
    <r>
      <rPr>
        <sz val="9"/>
        <color rgb="FFFF0000"/>
        <rFont val="メイリオ"/>
        <family val="3"/>
        <charset val="128"/>
      </rPr>
      <t>⇒Req317で管理する。
⇒本要件自体は、スコープOUTにする。</t>
    </r>
    <r>
      <rPr>
        <sz val="9"/>
        <rFont val="メイリオ"/>
        <family val="3"/>
        <charset val="128"/>
      </rPr>
      <t xml:space="preserve">
※</t>
    </r>
    <r>
      <rPr>
        <u/>
        <sz val="9"/>
        <rFont val="メイリオ"/>
        <family val="3"/>
        <charset val="128"/>
      </rPr>
      <t xml:space="preserve">
</t>
    </r>
    <r>
      <rPr>
        <sz val="9"/>
        <rFont val="メイリオ"/>
        <family val="3"/>
        <charset val="128"/>
      </rPr>
      <t>FOではサイトで支払方法は分けないことを想定しております。
期日振込60は、FOでは支払方法：振込、支払条件：末締翌々々月20日払い　になることを想定しております。</t>
    </r>
    <rPh sb="1" eb="2">
      <t>ヨウ</t>
    </rPh>
    <rPh sb="2" eb="4">
      <t>ブンカイ</t>
    </rPh>
    <rPh sb="14" eb="16">
      <t>サイム</t>
    </rPh>
    <rPh sb="24" eb="26">
      <t>イカ</t>
    </rPh>
    <rPh sb="26" eb="28">
      <t>ヨウケン</t>
    </rPh>
    <rPh sb="29" eb="30">
      <t>ア</t>
    </rPh>
    <rPh sb="35" eb="37">
      <t>ニンシキ</t>
    </rPh>
    <rPh sb="42" eb="44">
      <t>キンガク</t>
    </rPh>
    <rPh sb="48" eb="52">
      <t>シハライホウホウ</t>
    </rPh>
    <rPh sb="53" eb="55">
      <t>ヘンコウ</t>
    </rPh>
    <rPh sb="87" eb="89">
      <t>カンリ</t>
    </rPh>
    <rPh sb="98" eb="102">
      <t>シハライホウホウ</t>
    </rPh>
    <rPh sb="103" eb="104">
      <t>クワ</t>
    </rPh>
    <rPh sb="106" eb="110">
      <t>ラクラクセイサン</t>
    </rPh>
    <rPh sb="112" eb="116">
      <t>ゼンガクフリコミ</t>
    </rPh>
    <rPh sb="118" eb="120">
      <t>シテイ</t>
    </rPh>
    <rPh sb="130" eb="132">
      <t>メイサイ</t>
    </rPh>
    <rPh sb="144" eb="146">
      <t>カンリ</t>
    </rPh>
    <rPh sb="151" eb="156">
      <t>ホンヨウケンジタイ</t>
    </rPh>
    <rPh sb="182" eb="186">
      <t>シハライホウホウ</t>
    </rPh>
    <rPh sb="187" eb="188">
      <t>ワ</t>
    </rPh>
    <rPh sb="194" eb="196">
      <t>ソウテイ</t>
    </rPh>
    <rPh sb="204" eb="208">
      <t>キジツフリコミ</t>
    </rPh>
    <rPh sb="216" eb="220">
      <t>シハライホウホウ</t>
    </rPh>
    <rPh sb="221" eb="223">
      <t>フリコミ</t>
    </rPh>
    <rPh sb="224" eb="228">
      <t>シハライジョウケン</t>
    </rPh>
    <rPh sb="229" eb="231">
      <t>マツジ</t>
    </rPh>
    <rPh sb="237" eb="238">
      <t>ニチ</t>
    </rPh>
    <rPh sb="238" eb="239">
      <t>バラ</t>
    </rPh>
    <rPh sb="247" eb="249">
      <t>ソウテイ</t>
    </rPh>
    <phoneticPr fontId="6"/>
  </si>
  <si>
    <t>期日振込60は、翌月20日を起算日として60日後の振込になります。
例）２月末締め・3/21払の期日振込60の場合
振込日は５月20日になります。
期日振込は三井住友銀行、ただし50万未満の振込の場合は翌月20日に三菱UFJからの振込になります。
金額による支払方法、振込元銀行の変更ができることが必要です。</t>
  </si>
  <si>
    <t>Req142</t>
  </si>
  <si>
    <t>通知用の支払情報が出力できること</t>
    <rPh sb="0" eb="2">
      <t>ツウチ</t>
    </rPh>
    <rPh sb="2" eb="3">
      <t>ヨウ</t>
    </rPh>
    <rPh sb="4" eb="6">
      <t>シハライ</t>
    </rPh>
    <rPh sb="6" eb="8">
      <t>ジョウホウ</t>
    </rPh>
    <rPh sb="9" eb="11">
      <t>シュツリョク</t>
    </rPh>
    <phoneticPr fontId="3"/>
  </si>
  <si>
    <t>取引先に支払日と支払合計額を通知するための情報を出力する機能</t>
    <rPh sb="0" eb="3">
      <t>トリヒキサキ</t>
    </rPh>
    <rPh sb="4" eb="7">
      <t>シハライビ</t>
    </rPh>
    <rPh sb="8" eb="10">
      <t>シハライ</t>
    </rPh>
    <rPh sb="10" eb="13">
      <t>ゴウケイガク</t>
    </rPh>
    <rPh sb="14" eb="16">
      <t>ツウチ</t>
    </rPh>
    <rPh sb="21" eb="23">
      <t>ジョウホウ</t>
    </rPh>
    <rPh sb="24" eb="26">
      <t>シュツリョク</t>
    </rPh>
    <rPh sb="28" eb="30">
      <t>キノウ</t>
    </rPh>
    <phoneticPr fontId="3"/>
  </si>
  <si>
    <t>※帳票</t>
    <rPh sb="1" eb="3">
      <t>チョウヒョウ</t>
    </rPh>
    <phoneticPr fontId="6"/>
  </si>
  <si>
    <t>帳票（支払案内書）を開発する。</t>
    <rPh sb="0" eb="2">
      <t>チョウヒョウ</t>
    </rPh>
    <rPh sb="10" eb="12">
      <t>カイハツ</t>
    </rPh>
    <phoneticPr fontId="6"/>
  </si>
  <si>
    <t>支払案内書の件数が少ないため、FOで実装する費用対効果が課題
→支払金額を取引先別に集計すればよいため、FOのテーブルを参照してPowerAppsで実装するなど、FO外での実装を検討したい</t>
    <rPh sb="0" eb="2">
      <t>シハライ</t>
    </rPh>
    <rPh sb="2" eb="5">
      <t>アンナイショ</t>
    </rPh>
    <rPh sb="6" eb="8">
      <t>ケンスウ</t>
    </rPh>
    <rPh sb="9" eb="10">
      <t>スク</t>
    </rPh>
    <rPh sb="18" eb="20">
      <t>ジッソウ</t>
    </rPh>
    <rPh sb="22" eb="27">
      <t>ヒヨウタイコウカ</t>
    </rPh>
    <rPh sb="28" eb="30">
      <t>カダイ</t>
    </rPh>
    <rPh sb="32" eb="36">
      <t>シハライキンガク</t>
    </rPh>
    <rPh sb="37" eb="40">
      <t>トリヒキサキ</t>
    </rPh>
    <rPh sb="40" eb="41">
      <t>ベツ</t>
    </rPh>
    <rPh sb="42" eb="44">
      <t>シュウケイ</t>
    </rPh>
    <rPh sb="60" eb="62">
      <t>サンショウ</t>
    </rPh>
    <rPh sb="74" eb="76">
      <t>ジッソウ</t>
    </rPh>
    <rPh sb="83" eb="84">
      <t>ガイ</t>
    </rPh>
    <rPh sb="86" eb="88">
      <t>ジッソウ</t>
    </rPh>
    <rPh sb="89" eb="91">
      <t>ケントウ</t>
    </rPh>
    <phoneticPr fontId="6"/>
  </si>
  <si>
    <t>Req143</t>
    <phoneticPr fontId="6"/>
  </si>
  <si>
    <t>債務残高明細表が出力できること</t>
    <rPh sb="0" eb="2">
      <t>サイムザンダカメイサイヒョウシュツリョク</t>
    </rPh>
    <phoneticPr fontId="3"/>
  </si>
  <si>
    <t>債務残高明細の情報を出力する機能</t>
    <rPh sb="0" eb="2">
      <t>サイム</t>
    </rPh>
    <rPh sb="2" eb="4">
      <t>ザンダカ</t>
    </rPh>
    <rPh sb="4" eb="6">
      <t>メイサイ</t>
    </rPh>
    <rPh sb="7" eb="9">
      <t>ジョウホウ</t>
    </rPh>
    <rPh sb="10" eb="12">
      <t>シュツリョク</t>
    </rPh>
    <rPh sb="14" eb="16">
      <t>キノウ</t>
    </rPh>
    <phoneticPr fontId="9"/>
  </si>
  <si>
    <r>
      <rPr>
        <b/>
        <sz val="9"/>
        <color rgb="FFFF0000"/>
        <rFont val="メイリオ"/>
        <family val="3"/>
        <charset val="128"/>
      </rPr>
      <t>※帳票</t>
    </r>
    <r>
      <rPr>
        <sz val="9"/>
        <rFont val="メイリオ"/>
        <family val="3"/>
        <charset val="128"/>
      </rPr>
      <t xml:space="preserve">
Backlog（LIBRA-65）でいただいた、</t>
    </r>
    <r>
      <rPr>
        <b/>
        <sz val="9"/>
        <rFont val="メイリオ"/>
        <family val="3"/>
        <charset val="128"/>
      </rPr>
      <t>9.1_R3データ　2023年12月末　口座別残高.xlsx</t>
    </r>
    <r>
      <rPr>
        <sz val="9"/>
        <rFont val="メイリオ"/>
        <family val="3"/>
        <charset val="128"/>
      </rPr>
      <t xml:space="preserve">
と帳票一覧Req081：</t>
    </r>
    <r>
      <rPr>
        <b/>
        <sz val="9"/>
        <rFont val="メイリオ"/>
        <family val="3"/>
        <charset val="128"/>
      </rPr>
      <t>仕入先残高検索（決済明細）</t>
    </r>
    <r>
      <rPr>
        <sz val="9"/>
        <rFont val="メイリオ"/>
        <family val="3"/>
        <charset val="128"/>
      </rPr>
      <t xml:space="preserve">
と同じか。
科目別の決済済みの債務データを確認できる標準帳票がない。</t>
    </r>
    <rPh sb="1" eb="3">
      <t>チョウヒョウ</t>
    </rPh>
    <rPh sb="60" eb="62">
      <t>チョウヒョウ</t>
    </rPh>
    <rPh sb="62" eb="64">
      <t>イチラン</t>
    </rPh>
    <rPh sb="86" eb="87">
      <t>オナ</t>
    </rPh>
    <rPh sb="92" eb="95">
      <t>カモクベツ</t>
    </rPh>
    <rPh sb="96" eb="99">
      <t>ケッサイズ</t>
    </rPh>
    <rPh sb="101" eb="103">
      <t>サイム</t>
    </rPh>
    <rPh sb="107" eb="109">
      <t>カクニン</t>
    </rPh>
    <rPh sb="112" eb="116">
      <t>ヒョウジュンチョウヒョウ</t>
    </rPh>
    <phoneticPr fontId="6"/>
  </si>
  <si>
    <t>帳票一覧の81と82のデータを合わせて、口座別残高を作成しています。決算明細用　６月末（１２月末）時点での仕入先別の支払残高を作成しております。
QA40に追記しております。</t>
    <rPh sb="0" eb="2">
      <t>チョウヒョウ</t>
    </rPh>
    <rPh sb="2" eb="4">
      <t>イチラン</t>
    </rPh>
    <rPh sb="15" eb="16">
      <t>ア</t>
    </rPh>
    <rPh sb="20" eb="22">
      <t>コウザ</t>
    </rPh>
    <rPh sb="22" eb="23">
      <t>ベツ</t>
    </rPh>
    <rPh sb="23" eb="25">
      <t>ザンダカ</t>
    </rPh>
    <rPh sb="26" eb="28">
      <t>サクセイ</t>
    </rPh>
    <rPh sb="34" eb="36">
      <t>ケッサン</t>
    </rPh>
    <rPh sb="36" eb="38">
      <t>メイサイ</t>
    </rPh>
    <rPh sb="38" eb="39">
      <t>ヨウ</t>
    </rPh>
    <rPh sb="41" eb="42">
      <t>ガツ</t>
    </rPh>
    <rPh sb="42" eb="43">
      <t>マツ</t>
    </rPh>
    <rPh sb="46" eb="47">
      <t>ガツ</t>
    </rPh>
    <rPh sb="47" eb="48">
      <t>マツ</t>
    </rPh>
    <rPh sb="49" eb="51">
      <t>ジテン</t>
    </rPh>
    <rPh sb="53" eb="56">
      <t>シイレサキ</t>
    </rPh>
    <rPh sb="56" eb="57">
      <t>ベツ</t>
    </rPh>
    <rPh sb="58" eb="60">
      <t>シハライ</t>
    </rPh>
    <rPh sb="60" eb="62">
      <t>ザンダカ</t>
    </rPh>
    <rPh sb="63" eb="65">
      <t>サクセイ</t>
    </rPh>
    <rPh sb="78" eb="80">
      <t>ツイキ</t>
    </rPh>
    <phoneticPr fontId="6"/>
  </si>
  <si>
    <t>帳票をアドオン開発する。</t>
    <rPh sb="0" eb="2">
      <t>チョウヒョウ</t>
    </rPh>
    <rPh sb="7" eb="9">
      <t>カイハツ</t>
    </rPh>
    <phoneticPr fontId="6"/>
  </si>
  <si>
    <t>FOの標準では出せない情報を要確認</t>
    <rPh sb="3" eb="5">
      <t>ヒョウジュン</t>
    </rPh>
    <rPh sb="7" eb="8">
      <t>ダ</t>
    </rPh>
    <rPh sb="11" eb="13">
      <t>ジョウホウ</t>
    </rPh>
    <rPh sb="14" eb="17">
      <t>ヨウカクニン</t>
    </rPh>
    <phoneticPr fontId="6"/>
  </si>
  <si>
    <t>Req144</t>
  </si>
  <si>
    <t>債務残高差額情報が出力できること</t>
    <rPh sb="2" eb="4">
      <t>ザンダカ</t>
    </rPh>
    <rPh sb="4" eb="6">
      <t>サガク</t>
    </rPh>
    <rPh sb="6" eb="8">
      <t>ジョウホウ</t>
    </rPh>
    <rPh sb="9" eb="11">
      <t>シュツリョク</t>
    </rPh>
    <phoneticPr fontId="3"/>
  </si>
  <si>
    <t>他システム間の債務残高差額情報を出力する機能</t>
    <rPh sb="0" eb="1">
      <t>タ</t>
    </rPh>
    <rPh sb="5" eb="6">
      <t>カン</t>
    </rPh>
    <rPh sb="7" eb="9">
      <t>サイム</t>
    </rPh>
    <rPh sb="9" eb="11">
      <t>ザンダカ</t>
    </rPh>
    <rPh sb="11" eb="13">
      <t>サガク</t>
    </rPh>
    <rPh sb="13" eb="15">
      <t>ジョウホウ</t>
    </rPh>
    <rPh sb="16" eb="18">
      <t>シュツリョク</t>
    </rPh>
    <rPh sb="20" eb="22">
      <t>キノウ</t>
    </rPh>
    <phoneticPr fontId="3"/>
  </si>
  <si>
    <t>（2024/2/1の債務セッションにて、本要件の他システムが不明確なため保留。）</t>
    <rPh sb="10" eb="12">
      <t>サイム</t>
    </rPh>
    <rPh sb="20" eb="23">
      <t>ホンヨウケン</t>
    </rPh>
    <rPh sb="24" eb="25">
      <t>ホカ</t>
    </rPh>
    <rPh sb="30" eb="33">
      <t>フメイカク</t>
    </rPh>
    <rPh sb="36" eb="38">
      <t>ホリュウ</t>
    </rPh>
    <phoneticPr fontId="6"/>
  </si>
  <si>
    <t>Req145</t>
    <phoneticPr fontId="6"/>
  </si>
  <si>
    <t>従業員別債務残高が出力できること</t>
    <rPh sb="0" eb="3">
      <t>ジュウギョウイン</t>
    </rPh>
    <rPh sb="3" eb="4">
      <t>ベツ</t>
    </rPh>
    <rPh sb="4" eb="6">
      <t>サイム</t>
    </rPh>
    <rPh sb="6" eb="8">
      <t>ザンダカ</t>
    </rPh>
    <rPh sb="9" eb="11">
      <t>シュツリョク</t>
    </rPh>
    <phoneticPr fontId="3"/>
  </si>
  <si>
    <t>従業員別債務残高データを出力する機能</t>
    <rPh sb="4" eb="6">
      <t>サイム</t>
    </rPh>
    <rPh sb="6" eb="8">
      <t>ザンダカ</t>
    </rPh>
    <phoneticPr fontId="3"/>
  </si>
  <si>
    <t>３．経費精算</t>
    <rPh sb="2" eb="6">
      <t>ケイヒセイサン</t>
    </rPh>
    <phoneticPr fontId="6"/>
  </si>
  <si>
    <t>試算表で財務分析コードを仕入先を指定して出力。</t>
    <rPh sb="0" eb="3">
      <t>シサンヒョウ</t>
    </rPh>
    <rPh sb="4" eb="8">
      <t>ザイムブンセキ</t>
    </rPh>
    <rPh sb="12" eb="15">
      <t>シイレサキ</t>
    </rPh>
    <rPh sb="16" eb="18">
      <t>シテイ</t>
    </rPh>
    <rPh sb="20" eb="22">
      <t>シュツリョク</t>
    </rPh>
    <phoneticPr fontId="6"/>
  </si>
  <si>
    <t>Req146</t>
  </si>
  <si>
    <t>預り保証金の残高証明書が出力でき、利息計算及び計算書が出力できること</t>
    <rPh sb="0" eb="1">
      <t>アズ</t>
    </rPh>
    <rPh sb="2" eb="5">
      <t>ホショウキン</t>
    </rPh>
    <rPh sb="6" eb="8">
      <t>ザンダカ</t>
    </rPh>
    <rPh sb="8" eb="10">
      <t>ショウメイ</t>
    </rPh>
    <rPh sb="10" eb="11">
      <t>ショ</t>
    </rPh>
    <rPh sb="12" eb="14">
      <t>シュツリョク</t>
    </rPh>
    <rPh sb="17" eb="21">
      <t>リソクケイサン</t>
    </rPh>
    <rPh sb="21" eb="22">
      <t>オヨ</t>
    </rPh>
    <rPh sb="23" eb="26">
      <t>ケイサンショ</t>
    </rPh>
    <rPh sb="27" eb="29">
      <t>シュツリョク</t>
    </rPh>
    <phoneticPr fontId="3"/>
  </si>
  <si>
    <t>預かり保証金の残高証明、利息計算及び計算書を出力する機能</t>
    <rPh sb="26" eb="28">
      <t>キノウ</t>
    </rPh>
    <phoneticPr fontId="3"/>
  </si>
  <si>
    <r>
      <t xml:space="preserve">※要分解
※帳票
</t>
    </r>
    <r>
      <rPr>
        <sz val="9"/>
        <rFont val="メイリオ"/>
        <family val="3"/>
        <charset val="128"/>
      </rPr>
      <t xml:space="preserve">
</t>
    </r>
    <r>
      <rPr>
        <b/>
        <sz val="9"/>
        <rFont val="メイリオ"/>
        <family val="3"/>
        <charset val="128"/>
      </rPr>
      <t>FO標準でできること</t>
    </r>
    <r>
      <rPr>
        <sz val="9"/>
        <rFont val="メイリオ"/>
        <family val="3"/>
        <charset val="128"/>
      </rPr>
      <t xml:space="preserve">
預かり保証金に対して、財務分析コード（顧客）を設定することで、預かり保証金で顧客ごとの残高を試算表で確認可能。試算表は、Excelエクスポート可能。</t>
    </r>
    <rPh sb="1" eb="2">
      <t>ヨウ</t>
    </rPh>
    <rPh sb="2" eb="4">
      <t>ブンカイ</t>
    </rPh>
    <rPh sb="6" eb="8">
      <t>チョウヒョウ</t>
    </rPh>
    <rPh sb="12" eb="14">
      <t>ヒョウジュン</t>
    </rPh>
    <rPh sb="21" eb="22">
      <t>アズ</t>
    </rPh>
    <rPh sb="24" eb="27">
      <t>ホショウキン</t>
    </rPh>
    <rPh sb="28" eb="29">
      <t>タイ</t>
    </rPh>
    <rPh sb="32" eb="36">
      <t>ザイムブンセキ</t>
    </rPh>
    <rPh sb="40" eb="42">
      <t>コキャク</t>
    </rPh>
    <rPh sb="44" eb="46">
      <t>セッテイ</t>
    </rPh>
    <rPh sb="52" eb="53">
      <t>アズ</t>
    </rPh>
    <rPh sb="55" eb="58">
      <t>ホショウキン</t>
    </rPh>
    <rPh sb="59" eb="61">
      <t>コキャク</t>
    </rPh>
    <rPh sb="64" eb="66">
      <t>ザンダカ</t>
    </rPh>
    <rPh sb="67" eb="70">
      <t>シサンヒョウ</t>
    </rPh>
    <rPh sb="71" eb="73">
      <t>カクニン</t>
    </rPh>
    <rPh sb="73" eb="75">
      <t>カノウ</t>
    </rPh>
    <rPh sb="76" eb="79">
      <t>シサンヒョウ</t>
    </rPh>
    <rPh sb="92" eb="94">
      <t>カノウ</t>
    </rPh>
    <phoneticPr fontId="6"/>
  </si>
  <si>
    <t>（2024/3/27　藤田様）
担当者に確認しましたところ、利息計算と請求書出力を行いたいとのことでしたが、Excelを活用して改善する方向で進めることになりましたので要件は取り下げいたします。</t>
    <rPh sb="11" eb="14">
      <t>フジタサマ</t>
    </rPh>
    <phoneticPr fontId="6"/>
  </si>
  <si>
    <t>2024/3/14
サンスター様持ち帰り。</t>
    <rPh sb="15" eb="16">
      <t>サマ</t>
    </rPh>
    <rPh sb="16" eb="17">
      <t>モ</t>
    </rPh>
    <rPh sb="18" eb="19">
      <t>カエ</t>
    </rPh>
    <phoneticPr fontId="6"/>
  </si>
  <si>
    <t>Req147</t>
  </si>
  <si>
    <t>請求書処理のワークフローが管理できること</t>
    <rPh sb="0" eb="3">
      <t>セイキュウショ</t>
    </rPh>
    <rPh sb="3" eb="5">
      <t>ショリ</t>
    </rPh>
    <rPh sb="13" eb="15">
      <t>カンリ</t>
    </rPh>
    <phoneticPr fontId="3"/>
  </si>
  <si>
    <t>支払に関するワークフロー管理機能</t>
  </si>
  <si>
    <t>以下機能に承認WFを作成する。
・仕入先支払仕訳帳
・支払手形仕訳帳の振出
・仕入先支払仕訳帳の決済</t>
    <rPh sb="0" eb="4">
      <t>イカキノウ</t>
    </rPh>
    <rPh sb="5" eb="7">
      <t>ショウニン</t>
    </rPh>
    <rPh sb="10" eb="12">
      <t>サクセイ</t>
    </rPh>
    <rPh sb="17" eb="22">
      <t>シイレサキシハライ</t>
    </rPh>
    <rPh sb="22" eb="25">
      <t>シワケチョウ</t>
    </rPh>
    <rPh sb="27" eb="34">
      <t>シハライテガタシワケチョウ</t>
    </rPh>
    <rPh sb="35" eb="37">
      <t>フリダシ</t>
    </rPh>
    <rPh sb="39" eb="44">
      <t>シイレサキシハライ</t>
    </rPh>
    <rPh sb="44" eb="47">
      <t>シワケチョウ</t>
    </rPh>
    <rPh sb="48" eb="50">
      <t>ケッサイ</t>
    </rPh>
    <phoneticPr fontId="6"/>
  </si>
  <si>
    <t>標準のWFで対応可能なのか要確認
⇒2024/4/24　秋信
標準WFで対応可能です。承認ルートなどの設定の詳細を今後検討させていただきます。</t>
    <rPh sb="0" eb="2">
      <t>ヒョウジュン</t>
    </rPh>
    <rPh sb="6" eb="8">
      <t>タイオウ</t>
    </rPh>
    <rPh sb="8" eb="10">
      <t>カノウ</t>
    </rPh>
    <rPh sb="13" eb="16">
      <t>ヨウカクニン</t>
    </rPh>
    <rPh sb="28" eb="30">
      <t>アキノブ</t>
    </rPh>
    <rPh sb="31" eb="33">
      <t>ヒョウジュン</t>
    </rPh>
    <rPh sb="36" eb="40">
      <t>タイオウカノウ</t>
    </rPh>
    <rPh sb="43" eb="45">
      <t>ショウニン</t>
    </rPh>
    <rPh sb="51" eb="53">
      <t>セッテイ</t>
    </rPh>
    <rPh sb="54" eb="56">
      <t>ショウサイ</t>
    </rPh>
    <rPh sb="57" eb="59">
      <t>コンゴ</t>
    </rPh>
    <rPh sb="59" eb="61">
      <t>ケントウ</t>
    </rPh>
    <phoneticPr fontId="6"/>
  </si>
  <si>
    <t>Req148</t>
  </si>
  <si>
    <t>発注・検収から支払までの情報が閲覧できること</t>
    <rPh sb="0" eb="2">
      <t>ハッチュウ</t>
    </rPh>
    <rPh sb="3" eb="5">
      <t>ケンシュウ</t>
    </rPh>
    <rPh sb="7" eb="9">
      <t>シハライ</t>
    </rPh>
    <rPh sb="12" eb="14">
      <t>ジョウホウ</t>
    </rPh>
    <rPh sb="15" eb="17">
      <t>エツラン</t>
    </rPh>
    <phoneticPr fontId="3"/>
  </si>
  <si>
    <t>上流の購買システムで発注検収時に入力されたデータを閲覧できること</t>
    <rPh sb="0" eb="2">
      <t>ジョウリュウ</t>
    </rPh>
    <phoneticPr fontId="10"/>
  </si>
  <si>
    <t>SCMの機能、Financeのみで対応不可。</t>
    <rPh sb="4" eb="6">
      <t>キノウ</t>
    </rPh>
    <rPh sb="17" eb="21">
      <t>タイオウフカ</t>
    </rPh>
    <phoneticPr fontId="6"/>
  </si>
  <si>
    <t>Req149</t>
  </si>
  <si>
    <t>債務管理に必要なマスタを管理・更新できること</t>
    <rPh sb="0" eb="2">
      <t>サイム</t>
    </rPh>
    <rPh sb="2" eb="4">
      <t>カンリ</t>
    </rPh>
    <rPh sb="5" eb="7">
      <t>ヒツヨウ</t>
    </rPh>
    <rPh sb="12" eb="14">
      <t>カンリ</t>
    </rPh>
    <phoneticPr fontId="3"/>
  </si>
  <si>
    <t>画面からマスタ更新を行う機能</t>
    <rPh sb="0" eb="2">
      <t>ガメン</t>
    </rPh>
    <rPh sb="7" eb="9">
      <t>コウシン</t>
    </rPh>
    <rPh sb="10" eb="11">
      <t>オコナ</t>
    </rPh>
    <rPh sb="12" eb="14">
      <t>キノウ</t>
    </rPh>
    <phoneticPr fontId="3"/>
  </si>
  <si>
    <t>マスタはMDMで管理する。</t>
    <rPh sb="8" eb="10">
      <t>カンリ</t>
    </rPh>
    <phoneticPr fontId="6"/>
  </si>
  <si>
    <t>Req150</t>
  </si>
  <si>
    <t>国内/海外送金に必要な情報(支払サイト、支払口座情報、SWIFTコード等)を保持できること</t>
    <rPh sb="0" eb="2">
      <t>コクナイ</t>
    </rPh>
    <rPh sb="3" eb="5">
      <t>カイガイ</t>
    </rPh>
    <rPh sb="5" eb="7">
      <t>ソウキン</t>
    </rPh>
    <rPh sb="8" eb="10">
      <t>ヒツヨウ</t>
    </rPh>
    <rPh sb="11" eb="13">
      <t>ジョウホウ</t>
    </rPh>
    <rPh sb="14" eb="16">
      <t>シハライ</t>
    </rPh>
    <rPh sb="20" eb="22">
      <t>シハライ</t>
    </rPh>
    <rPh sb="22" eb="26">
      <t>コウザジョウホウ</t>
    </rPh>
    <rPh sb="35" eb="36">
      <t>ナド</t>
    </rPh>
    <rPh sb="38" eb="40">
      <t>ホジ</t>
    </rPh>
    <phoneticPr fontId="3"/>
  </si>
  <si>
    <t>国内/海外の送金データの作成に必要なマスタを保持する機能</t>
    <rPh sb="0" eb="2">
      <t>コクナイ</t>
    </rPh>
    <rPh sb="3" eb="5">
      <t>カイガイ</t>
    </rPh>
    <rPh sb="6" eb="8">
      <t>ソウキン</t>
    </rPh>
    <rPh sb="12" eb="14">
      <t>サクセイ</t>
    </rPh>
    <rPh sb="15" eb="17">
      <t>ヒツヨウ</t>
    </rPh>
    <rPh sb="22" eb="24">
      <t>ホジ</t>
    </rPh>
    <rPh sb="26" eb="28">
      <t>キノウ</t>
    </rPh>
    <phoneticPr fontId="3"/>
  </si>
  <si>
    <t>Req151</t>
  </si>
  <si>
    <t>対象期間の現金入出金伝票をもとに現金集計表(入出金の履歴が分かる資料)を作成できること</t>
    <rPh sb="16" eb="21">
      <t>ゲンキンシュウケイヒョウ</t>
    </rPh>
    <rPh sb="22" eb="25">
      <t>ニュウシュッキン</t>
    </rPh>
    <rPh sb="26" eb="28">
      <t>リレキ</t>
    </rPh>
    <rPh sb="29" eb="30">
      <t>ワ</t>
    </rPh>
    <rPh sb="32" eb="34">
      <t>シリョウ</t>
    </rPh>
    <rPh sb="36" eb="38">
      <t>サクセイ</t>
    </rPh>
    <phoneticPr fontId="3"/>
  </si>
  <si>
    <t>現金の入出金履歴を集計表として作成・管理する機能</t>
    <rPh sb="0" eb="2">
      <t>ゲンキン</t>
    </rPh>
    <rPh sb="3" eb="6">
      <t>ニュウシュッキン</t>
    </rPh>
    <rPh sb="6" eb="8">
      <t>リレキ</t>
    </rPh>
    <rPh sb="9" eb="12">
      <t>シュウケイヒョウ</t>
    </rPh>
    <rPh sb="15" eb="17">
      <t>サクセイ</t>
    </rPh>
    <rPh sb="18" eb="20">
      <t>カンリ</t>
    </rPh>
    <rPh sb="22" eb="24">
      <t>キノウ</t>
    </rPh>
    <phoneticPr fontId="3"/>
  </si>
  <si>
    <t>現預金管理</t>
    <rPh sb="0" eb="5">
      <t>ゲンヨキンカンリ</t>
    </rPh>
    <phoneticPr fontId="6"/>
  </si>
  <si>
    <t>現預金</t>
  </si>
  <si>
    <t>試算表、伝票トランザクション、分析コード明細書で確認</t>
    <rPh sb="0" eb="3">
      <t>シサンヒョウ</t>
    </rPh>
    <rPh sb="4" eb="6">
      <t>デンピョウ</t>
    </rPh>
    <rPh sb="15" eb="17">
      <t>ブンセキ</t>
    </rPh>
    <rPh sb="20" eb="23">
      <t>メイサイショ</t>
    </rPh>
    <rPh sb="24" eb="26">
      <t>カクニン</t>
    </rPh>
    <phoneticPr fontId="3"/>
  </si>
  <si>
    <t>Req152</t>
  </si>
  <si>
    <t>対象期間の現金入出金伝票をもとに現金出納帳(入出金集計後の現金残高が分かる資料)を作成できること</t>
    <rPh sb="16" eb="18">
      <t>ゲンキン</t>
    </rPh>
    <rPh sb="18" eb="21">
      <t>スイトウチョウ</t>
    </rPh>
    <rPh sb="22" eb="25">
      <t>ニュウシュッキン</t>
    </rPh>
    <rPh sb="25" eb="27">
      <t>シュウケイ</t>
    </rPh>
    <rPh sb="27" eb="28">
      <t>ゴ</t>
    </rPh>
    <rPh sb="29" eb="33">
      <t>ゲンキンザンダカ</t>
    </rPh>
    <rPh sb="34" eb="35">
      <t>ワ</t>
    </rPh>
    <rPh sb="37" eb="39">
      <t>シリョウ</t>
    </rPh>
    <rPh sb="41" eb="43">
      <t>サクセイ</t>
    </rPh>
    <phoneticPr fontId="3"/>
  </si>
  <si>
    <t>現金の入出金履歴を出納帳として作成・管理する機能</t>
    <rPh sb="0" eb="2">
      <t>ゲンキン</t>
    </rPh>
    <rPh sb="3" eb="6">
      <t>ニュウシュッキン</t>
    </rPh>
    <rPh sb="6" eb="8">
      <t>リレキ</t>
    </rPh>
    <rPh sb="9" eb="12">
      <t>スイトウチョウ</t>
    </rPh>
    <rPh sb="15" eb="17">
      <t>サクセイ</t>
    </rPh>
    <rPh sb="18" eb="20">
      <t>カンリ</t>
    </rPh>
    <rPh sb="22" eb="24">
      <t>キノウ</t>
    </rPh>
    <phoneticPr fontId="3"/>
  </si>
  <si>
    <t>Req153</t>
  </si>
  <si>
    <t>経費管理システムで処理した現金の入出金伝票データを現金残高情報として連携できること</t>
    <rPh sb="0" eb="4">
      <t>ケイヒカンリ</t>
    </rPh>
    <rPh sb="9" eb="11">
      <t>ショリ</t>
    </rPh>
    <rPh sb="13" eb="15">
      <t>ゲンキン</t>
    </rPh>
    <rPh sb="16" eb="19">
      <t>ニュウシュッキン</t>
    </rPh>
    <rPh sb="19" eb="21">
      <t>デンピョウ</t>
    </rPh>
    <rPh sb="25" eb="27">
      <t>ゲンキン</t>
    </rPh>
    <rPh sb="27" eb="29">
      <t>ザンダカ</t>
    </rPh>
    <rPh sb="29" eb="31">
      <t>ジョウホウ</t>
    </rPh>
    <rPh sb="34" eb="36">
      <t>レンケイ</t>
    </rPh>
    <phoneticPr fontId="3"/>
  </si>
  <si>
    <t>経費管理システムから承認された現金の入出金伝票を連携する機能</t>
    <rPh sb="0" eb="4">
      <t>ケイヒカンリ</t>
    </rPh>
    <rPh sb="10" eb="12">
      <t>ショウニン</t>
    </rPh>
    <rPh sb="15" eb="17">
      <t>ゲンキン</t>
    </rPh>
    <rPh sb="18" eb="23">
      <t>ニュウシュッキンデンピョウ</t>
    </rPh>
    <rPh sb="24" eb="26">
      <t>レンケイ</t>
    </rPh>
    <rPh sb="28" eb="30">
      <t>キノウ</t>
    </rPh>
    <phoneticPr fontId="3"/>
  </si>
  <si>
    <t>経費管理システムからのデータを仕訳伝票として取り込むI/Fを開発</t>
    <rPh sb="0" eb="4">
      <t>ケイヒカンリ</t>
    </rPh>
    <rPh sb="15" eb="19">
      <t>シワケデンピョウ</t>
    </rPh>
    <rPh sb="22" eb="23">
      <t>ト</t>
    </rPh>
    <rPh sb="24" eb="25">
      <t>コ</t>
    </rPh>
    <rPh sb="30" eb="32">
      <t>カイハツ</t>
    </rPh>
    <phoneticPr fontId="3"/>
  </si>
  <si>
    <t>楽楽精算からの通常の仕訳インターフェースに含む</t>
    <rPh sb="0" eb="2">
      <t>ラクラク</t>
    </rPh>
    <rPh sb="2" eb="4">
      <t>セイサン</t>
    </rPh>
    <rPh sb="7" eb="9">
      <t>ツウジョウ</t>
    </rPh>
    <rPh sb="10" eb="12">
      <t>シワケ</t>
    </rPh>
    <rPh sb="21" eb="22">
      <t>フク</t>
    </rPh>
    <phoneticPr fontId="6"/>
  </si>
  <si>
    <t>Req154</t>
  </si>
  <si>
    <t>資金集中管理システムから出力される銀行引落手数料の仕訳を転記できること（資金集中管理システムから銀行引落手数料の情報をCSVで出力し加工後会計システムにアップロードする）</t>
    <rPh sb="0" eb="2">
      <t>シキン</t>
    </rPh>
    <rPh sb="2" eb="4">
      <t>シュウチュウ</t>
    </rPh>
    <rPh sb="4" eb="6">
      <t>カンリ</t>
    </rPh>
    <rPh sb="12" eb="14">
      <t>シュツリョク</t>
    </rPh>
    <rPh sb="17" eb="19">
      <t>ギンコウ</t>
    </rPh>
    <rPh sb="19" eb="21">
      <t>ヒキオトシ</t>
    </rPh>
    <rPh sb="21" eb="24">
      <t>テスウリョウ</t>
    </rPh>
    <rPh sb="25" eb="27">
      <t>シワケ</t>
    </rPh>
    <rPh sb="28" eb="30">
      <t>テンキ</t>
    </rPh>
    <rPh sb="36" eb="40">
      <t>シキンシュウチュウ</t>
    </rPh>
    <rPh sb="40" eb="42">
      <t>カンリ</t>
    </rPh>
    <rPh sb="66" eb="68">
      <t>カコウ</t>
    </rPh>
    <rPh sb="68" eb="69">
      <t>ゴ</t>
    </rPh>
    <rPh sb="74" eb="76">
      <t>シュツリョク</t>
    </rPh>
    <rPh sb="81" eb="83">
      <t>カイケイ</t>
    </rPh>
    <phoneticPr fontId="3"/>
  </si>
  <si>
    <t>明細出力機能
CSVアップロード機能</t>
    <rPh sb="0" eb="6">
      <t>メイサイシュツリョクキノウ</t>
    </rPh>
    <rPh sb="16" eb="18">
      <t>キノウ</t>
    </rPh>
    <phoneticPr fontId="3"/>
  </si>
  <si>
    <t>伝票入力作業等は事務管理グループでの作業</t>
    <rPh sb="0" eb="2">
      <t>デンピョウ</t>
    </rPh>
    <rPh sb="2" eb="4">
      <t>ニュウリョク</t>
    </rPh>
    <rPh sb="4" eb="6">
      <t>サギョウ</t>
    </rPh>
    <rPh sb="6" eb="7">
      <t>トウ</t>
    </rPh>
    <rPh sb="8" eb="12">
      <t>ジムカンリ</t>
    </rPh>
    <rPh sb="18" eb="20">
      <t>サギョウ</t>
    </rPh>
    <phoneticPr fontId="6"/>
  </si>
  <si>
    <t>「仕訳アップロード」という機能は無いが、Excelアドインという機能にて一般仕訳帳(いわゆる仕訳伝票）に未転記状態で登録することは可能。</t>
    <rPh sb="1" eb="3">
      <t>シワケ</t>
    </rPh>
    <rPh sb="13" eb="15">
      <t>キノウ</t>
    </rPh>
    <rPh sb="16" eb="17">
      <t>ナ</t>
    </rPh>
    <rPh sb="32" eb="34">
      <t>キノウ</t>
    </rPh>
    <rPh sb="36" eb="38">
      <t>イッパン</t>
    </rPh>
    <rPh sb="38" eb="41">
      <t>シワケチョウ</t>
    </rPh>
    <rPh sb="46" eb="48">
      <t>シワケ</t>
    </rPh>
    <rPh sb="48" eb="50">
      <t>デンピョウ</t>
    </rPh>
    <rPh sb="52" eb="53">
      <t>ミ</t>
    </rPh>
    <rPh sb="53" eb="55">
      <t>テンキ</t>
    </rPh>
    <rPh sb="55" eb="57">
      <t>ジョウタイ</t>
    </rPh>
    <phoneticPr fontId="3"/>
  </si>
  <si>
    <t>Req155</t>
  </si>
  <si>
    <t>資金集中管理システムから出力される預金決算利息の仕訳を転記できること（資金集中管理システムから銀行引落手数料の情報をCSVで出力し加工後会計システムにアップロードする）</t>
    <rPh sb="0" eb="2">
      <t>シキン</t>
    </rPh>
    <rPh sb="2" eb="4">
      <t>シュウチュウ</t>
    </rPh>
    <rPh sb="4" eb="6">
      <t>カンリ</t>
    </rPh>
    <rPh sb="12" eb="14">
      <t>シュツリョク</t>
    </rPh>
    <rPh sb="17" eb="19">
      <t>ヨキン</t>
    </rPh>
    <rPh sb="19" eb="21">
      <t>ケッサン</t>
    </rPh>
    <rPh sb="21" eb="23">
      <t>リソク</t>
    </rPh>
    <rPh sb="24" eb="26">
      <t>シワケ</t>
    </rPh>
    <rPh sb="27" eb="29">
      <t>テンキ</t>
    </rPh>
    <rPh sb="35" eb="39">
      <t>シキンシュウチュウ</t>
    </rPh>
    <rPh sb="39" eb="41">
      <t>カンリ</t>
    </rPh>
    <rPh sb="65" eb="67">
      <t>カコウ</t>
    </rPh>
    <rPh sb="67" eb="68">
      <t>ゴ</t>
    </rPh>
    <rPh sb="73" eb="75">
      <t>シュツリョク</t>
    </rPh>
    <rPh sb="80" eb="82">
      <t>カイケイ</t>
    </rPh>
    <phoneticPr fontId="3"/>
  </si>
  <si>
    <t>Req156</t>
  </si>
  <si>
    <t>入出金データをもとに預金残高情報が確認できること</t>
    <rPh sb="0" eb="3">
      <t>ニュウシュッキン</t>
    </rPh>
    <rPh sb="10" eb="14">
      <t>ヨキンザンダカ</t>
    </rPh>
    <rPh sb="14" eb="16">
      <t>ジョウホウ</t>
    </rPh>
    <rPh sb="17" eb="19">
      <t>カクニン</t>
    </rPh>
    <phoneticPr fontId="3"/>
  </si>
  <si>
    <t>預金残高情報の出力機能</t>
    <rPh sb="0" eb="2">
      <t>ヨキン</t>
    </rPh>
    <rPh sb="2" eb="4">
      <t>ザンダカ</t>
    </rPh>
    <rPh sb="4" eb="6">
      <t>ジョウホウ</t>
    </rPh>
    <rPh sb="7" eb="9">
      <t>シュツリョク</t>
    </rPh>
    <rPh sb="9" eb="11">
      <t>キノウ</t>
    </rPh>
    <phoneticPr fontId="3"/>
  </si>
  <si>
    <t>Req157</t>
  </si>
  <si>
    <t>会計システムから伝票セレクト（資金管理）レポートを出力できること</t>
    <rPh sb="0" eb="2">
      <t>カイケイ</t>
    </rPh>
    <rPh sb="8" eb="10">
      <t>デンピョウ</t>
    </rPh>
    <rPh sb="15" eb="19">
      <t>シキンカンリ</t>
    </rPh>
    <rPh sb="25" eb="27">
      <t>シュツリョク</t>
    </rPh>
    <phoneticPr fontId="3"/>
  </si>
  <si>
    <t>銀行口座別入出金明細の出力機能</t>
    <rPh sb="0" eb="2">
      <t>ギンコウ</t>
    </rPh>
    <rPh sb="2" eb="4">
      <t>コウザ</t>
    </rPh>
    <rPh sb="4" eb="5">
      <t>ベツ</t>
    </rPh>
    <rPh sb="5" eb="8">
      <t>ニュウシュッキン</t>
    </rPh>
    <rPh sb="8" eb="10">
      <t>メイサイ</t>
    </rPh>
    <rPh sb="11" eb="13">
      <t>シュツリョク</t>
    </rPh>
    <rPh sb="13" eb="15">
      <t>キノウ</t>
    </rPh>
    <phoneticPr fontId="3"/>
  </si>
  <si>
    <t>事務管理Gに確認
事務管理G資金実績集計担当者が利用。支払、入金の取引別の仕訳がわかればいい。（武市）</t>
    <rPh sb="0" eb="4">
      <t>ジムカンリ</t>
    </rPh>
    <rPh sb="6" eb="8">
      <t>カクニン</t>
    </rPh>
    <rPh sb="9" eb="13">
      <t>ジムカンリ</t>
    </rPh>
    <rPh sb="14" eb="16">
      <t>シキン</t>
    </rPh>
    <rPh sb="16" eb="23">
      <t>ジッセキシュウケイタントウシャ</t>
    </rPh>
    <rPh sb="24" eb="26">
      <t>リヨウ</t>
    </rPh>
    <rPh sb="27" eb="29">
      <t>シハライ</t>
    </rPh>
    <rPh sb="30" eb="32">
      <t>ニュウキン</t>
    </rPh>
    <rPh sb="33" eb="36">
      <t>トリヒキベツ</t>
    </rPh>
    <rPh sb="37" eb="39">
      <t>シワケ</t>
    </rPh>
    <rPh sb="48" eb="50">
      <t>タケイチ</t>
    </rPh>
    <phoneticPr fontId="6"/>
  </si>
  <si>
    <t>Req158</t>
  </si>
  <si>
    <t>G/Lの預金勘定残高を出力できること</t>
    <rPh sb="4" eb="6">
      <t>ヨキン</t>
    </rPh>
    <rPh sb="6" eb="10">
      <t>カンジョウザンダカ</t>
    </rPh>
    <rPh sb="11" eb="13">
      <t>シュツリョク</t>
    </rPh>
    <phoneticPr fontId="3"/>
  </si>
  <si>
    <t>G/L残高情報の出力機能</t>
    <rPh sb="3" eb="5">
      <t>ザンダカ</t>
    </rPh>
    <rPh sb="5" eb="7">
      <t>ジョウホウ</t>
    </rPh>
    <rPh sb="8" eb="12">
      <t>シュツリョクキノウ</t>
    </rPh>
    <phoneticPr fontId="3"/>
  </si>
  <si>
    <t>月末の金融機関別・通貨別預金残高の実績が収集・確認できること</t>
    <rPh sb="17" eb="19">
      <t>ジッセキ</t>
    </rPh>
    <phoneticPr fontId="3"/>
  </si>
  <si>
    <t>月末の金融機関別・通貨別預金残高の実績が集計・表示される機能</t>
    <rPh sb="17" eb="19">
      <t>ジッセキ</t>
    </rPh>
    <rPh sb="20" eb="22">
      <t>シュウケイ</t>
    </rPh>
    <rPh sb="23" eb="25">
      <t>ヒョウジ</t>
    </rPh>
    <rPh sb="28" eb="30">
      <t>キノウ</t>
    </rPh>
    <phoneticPr fontId="3"/>
  </si>
  <si>
    <t>試算表画面で１科目ごとに通貨毎に金額表示が可能であるが科目別通貨別の一覧形式ではない。</t>
    <phoneticPr fontId="6"/>
  </si>
  <si>
    <t>現状は、1科目に1通貨USDが存在するのみ。
事務管理Gにも確認
2024/04/08
バックログ：LIBRA-177
事務管理Gにも確認の上、科目別通貨別の一覧形式は不要。
入出金情報のみ確認できれば問題無し。</t>
    <rPh sb="0" eb="2">
      <t>ゲンジョウ</t>
    </rPh>
    <rPh sb="5" eb="7">
      <t>カモク</t>
    </rPh>
    <rPh sb="9" eb="11">
      <t>ツウカ</t>
    </rPh>
    <rPh sb="15" eb="17">
      <t>ソンザイ</t>
    </rPh>
    <rPh sb="23" eb="27">
      <t>ジムカンリ</t>
    </rPh>
    <rPh sb="30" eb="32">
      <t>カクニン</t>
    </rPh>
    <phoneticPr fontId="6"/>
  </si>
  <si>
    <t>通貨別は1科目で1通貨の場合、MRで帳票作成可能であるが、1科目複数通貨(USD/EUR/CNYなど)での混在入力がある場合、MRでは混在表示される制限あり、試算表画面で１科目ごとに通貨毎に金額表示が可能であるが科目別通貨別の一覧形式ではない。
20240411
決算・資金・事務管理G確認
標準機能で対応する方針となった</t>
    <rPh sb="0" eb="3">
      <t>ツウカベツ</t>
    </rPh>
    <rPh sb="5" eb="7">
      <t>カモク</t>
    </rPh>
    <rPh sb="9" eb="11">
      <t>ツウカ</t>
    </rPh>
    <rPh sb="12" eb="14">
      <t>バアイ</t>
    </rPh>
    <rPh sb="18" eb="20">
      <t>チョウヒョウ</t>
    </rPh>
    <rPh sb="20" eb="22">
      <t>サクセイ</t>
    </rPh>
    <rPh sb="22" eb="24">
      <t>カノウ</t>
    </rPh>
    <rPh sb="30" eb="32">
      <t>カモク</t>
    </rPh>
    <rPh sb="32" eb="34">
      <t>フクスウ</t>
    </rPh>
    <rPh sb="34" eb="36">
      <t>ツウカ</t>
    </rPh>
    <rPh sb="53" eb="55">
      <t>コンザイ</t>
    </rPh>
    <rPh sb="55" eb="57">
      <t>ニュウリョク</t>
    </rPh>
    <rPh sb="60" eb="62">
      <t>バアイ</t>
    </rPh>
    <rPh sb="67" eb="69">
      <t>コンザイ</t>
    </rPh>
    <rPh sb="69" eb="71">
      <t>ヒョウジ</t>
    </rPh>
    <rPh sb="74" eb="76">
      <t>セイゲン</t>
    </rPh>
    <rPh sb="79" eb="82">
      <t>シサンヒョウ</t>
    </rPh>
    <rPh sb="82" eb="84">
      <t>ガメン</t>
    </rPh>
    <rPh sb="86" eb="88">
      <t>カモク</t>
    </rPh>
    <rPh sb="91" eb="93">
      <t>ツウカ</t>
    </rPh>
    <rPh sb="93" eb="94">
      <t>ゴト</t>
    </rPh>
    <rPh sb="95" eb="97">
      <t>キンガク</t>
    </rPh>
    <rPh sb="97" eb="99">
      <t>ヒョウジ</t>
    </rPh>
    <rPh sb="100" eb="102">
      <t>カノウ</t>
    </rPh>
    <rPh sb="106" eb="109">
      <t>カモクベツ</t>
    </rPh>
    <rPh sb="109" eb="112">
      <t>ツウカベツ</t>
    </rPh>
    <rPh sb="113" eb="115">
      <t>イチラン</t>
    </rPh>
    <rPh sb="115" eb="117">
      <t>ケイシキ</t>
    </rPh>
    <phoneticPr fontId="6"/>
  </si>
  <si>
    <t>Req160</t>
  </si>
  <si>
    <t>月末の金融機関別・口座別預金残高の実績が収集・確認できること、Excelファイルに出力できること</t>
  </si>
  <si>
    <t>月末の金融機関別・口座別預金残高の実績が集計・表示される機能</t>
    <rPh sb="9" eb="11">
      <t>コウザ</t>
    </rPh>
    <rPh sb="17" eb="19">
      <t>ジッセキ</t>
    </rPh>
    <rPh sb="20" eb="22">
      <t>シュウケイ</t>
    </rPh>
    <rPh sb="23" eb="25">
      <t>ヒョウジ</t>
    </rPh>
    <rPh sb="28" eb="30">
      <t>キノウ</t>
    </rPh>
    <phoneticPr fontId="3"/>
  </si>
  <si>
    <t>Req161</t>
  </si>
  <si>
    <t>日別資金繰管理対象口座だけの現預金残高を確認できること</t>
    <rPh sb="0" eb="5">
      <t>ニチベツシキング</t>
    </rPh>
    <rPh sb="5" eb="7">
      <t>カンリ</t>
    </rPh>
    <rPh sb="7" eb="9">
      <t>タイショウ</t>
    </rPh>
    <rPh sb="9" eb="11">
      <t>コウザ</t>
    </rPh>
    <rPh sb="14" eb="17">
      <t>ゲンヨキン</t>
    </rPh>
    <rPh sb="17" eb="19">
      <t>ザンダカ</t>
    </rPh>
    <rPh sb="20" eb="22">
      <t>カクニン</t>
    </rPh>
    <phoneticPr fontId="3"/>
  </si>
  <si>
    <t>口座ごとに残高を表示する機能</t>
    <rPh sb="0" eb="2">
      <t>コウザ</t>
    </rPh>
    <rPh sb="5" eb="7">
      <t>ザンダカ</t>
    </rPh>
    <rPh sb="8" eb="10">
      <t>ヒョウジ</t>
    </rPh>
    <rPh sb="12" eb="14">
      <t>キノウ</t>
    </rPh>
    <phoneticPr fontId="3"/>
  </si>
  <si>
    <t>Req162</t>
  </si>
  <si>
    <t>得意先別回収見込額一覧を出力できること
（事務管理Gではこの業務を扱っておりません）</t>
  </si>
  <si>
    <t>得意先別回収見込額一覧の出力機能</t>
    <rPh sb="14" eb="16">
      <t>キノウ</t>
    </rPh>
    <phoneticPr fontId="3"/>
  </si>
  <si>
    <t>詳細な期日リストのレイアウトで対応可能か？
→売掛金は不可
(売掛金はMcframe/未収入金はFO)</t>
    <rPh sb="15" eb="17">
      <t>タイオウ</t>
    </rPh>
    <rPh sb="17" eb="19">
      <t>カノウ</t>
    </rPh>
    <rPh sb="23" eb="25">
      <t>ウリカケ</t>
    </rPh>
    <rPh sb="25" eb="26">
      <t>キン</t>
    </rPh>
    <rPh sb="27" eb="29">
      <t>フカ</t>
    </rPh>
    <phoneticPr fontId="6"/>
  </si>
  <si>
    <t>FO側で入金期日情報を保持しないため、Mcframe側で出力する必要あり。
カスタマーサービスが得意先から情報をもらい事務管理で作成している
（4/2）得意先回収見込出力はスコープ対象外。</t>
    <rPh sb="2" eb="3">
      <t>ガワ</t>
    </rPh>
    <rPh sb="4" eb="6">
      <t>ニュウキン</t>
    </rPh>
    <rPh sb="6" eb="8">
      <t>キジツ</t>
    </rPh>
    <rPh sb="8" eb="10">
      <t>ジョウホウ</t>
    </rPh>
    <rPh sb="11" eb="13">
      <t>ホジ</t>
    </rPh>
    <rPh sb="26" eb="27">
      <t>ガワ</t>
    </rPh>
    <rPh sb="28" eb="30">
      <t>シュツリョク</t>
    </rPh>
    <rPh sb="32" eb="34">
      <t>ヒツヨウ</t>
    </rPh>
    <rPh sb="48" eb="51">
      <t>トクイサキ</t>
    </rPh>
    <rPh sb="53" eb="55">
      <t>ジョウホウ</t>
    </rPh>
    <rPh sb="59" eb="61">
      <t>ジム</t>
    </rPh>
    <rPh sb="61" eb="63">
      <t>カンリ</t>
    </rPh>
    <rPh sb="64" eb="66">
      <t>サクセイ</t>
    </rPh>
    <rPh sb="76" eb="81">
      <t>トクイサキカイシュウ</t>
    </rPh>
    <rPh sb="81" eb="83">
      <t>ミコミ</t>
    </rPh>
    <rPh sb="83" eb="85">
      <t>シュツリョク</t>
    </rPh>
    <rPh sb="90" eb="93">
      <t>タイショウガイ</t>
    </rPh>
    <phoneticPr fontId="6"/>
  </si>
  <si>
    <t>詳細な期日リストで対応。但し、期日情報はあるが、入金方法を表示するレポートがない
→売掛金は不可
(売掛金はMcframe/未収入金はFO)</t>
    <phoneticPr fontId="6"/>
  </si>
  <si>
    <t>Mcframe側で実装依頼</t>
    <rPh sb="7" eb="8">
      <t>ガワ</t>
    </rPh>
    <rPh sb="9" eb="11">
      <t>ジッソウ</t>
    </rPh>
    <rPh sb="11" eb="13">
      <t>イライ</t>
    </rPh>
    <phoneticPr fontId="6"/>
  </si>
  <si>
    <t>Req163</t>
    <phoneticPr fontId="6"/>
  </si>
  <si>
    <t>期日支払一覧を出力できること
（使用目的確認）</t>
  </si>
  <si>
    <t>期日支払一覧の出力機能</t>
    <rPh sb="9" eb="11">
      <t>キノウ</t>
    </rPh>
    <phoneticPr fontId="3"/>
  </si>
  <si>
    <t>仕入先未処理トランザクションレポート
仕入先請求書トランザクションレポート</t>
    <phoneticPr fontId="6"/>
  </si>
  <si>
    <t>Req325</t>
    <phoneticPr fontId="6"/>
  </si>
  <si>
    <r>
      <t xml:space="preserve">仕入先未処理トランザクションレポート、仕入先請求書トランザクションレポートで対応不可。アドオン検討中
債務側要件整理中
</t>
    </r>
    <r>
      <rPr>
        <sz val="9"/>
        <color rgb="FFFF0000"/>
        <rFont val="メイリオ"/>
        <family val="3"/>
        <charset val="128"/>
      </rPr>
      <t>Req325で要件集約中</t>
    </r>
    <rPh sb="40" eb="42">
      <t>フカ</t>
    </rPh>
    <rPh sb="47" eb="49">
      <t>ケントウ</t>
    </rPh>
    <rPh sb="49" eb="50">
      <t>ナカ</t>
    </rPh>
    <rPh sb="51" eb="54">
      <t>サイムガワ</t>
    </rPh>
    <rPh sb="54" eb="56">
      <t>ヨウケン</t>
    </rPh>
    <rPh sb="56" eb="58">
      <t>セイリ</t>
    </rPh>
    <rPh sb="58" eb="59">
      <t>ナカ</t>
    </rPh>
    <rPh sb="67" eb="69">
      <t>ヨウケン</t>
    </rPh>
    <rPh sb="69" eb="72">
      <t>シュウヤクナカ</t>
    </rPh>
    <phoneticPr fontId="6"/>
  </si>
  <si>
    <t>Req164</t>
  </si>
  <si>
    <t>画面入力で仕訳伝票を登録できること
（使用目的確認）</t>
  </si>
  <si>
    <t>資金G</t>
    <rPh sb="0" eb="2">
      <t>シキン</t>
    </rPh>
    <phoneticPr fontId="6"/>
  </si>
  <si>
    <t>一般仕訳帳で仕訳伝票登録</t>
    <rPh sb="0" eb="5">
      <t>イッパンシワケチョウ</t>
    </rPh>
    <rPh sb="6" eb="10">
      <t>シワケデンピョウ</t>
    </rPh>
    <rPh sb="10" eb="12">
      <t>トウロク</t>
    </rPh>
    <phoneticPr fontId="3"/>
  </si>
  <si>
    <t>Req165</t>
  </si>
  <si>
    <t>仕訳伝票登録後の預金残高を確認・出力できること</t>
    <rPh sb="0" eb="2">
      <t>シワケ</t>
    </rPh>
    <rPh sb="2" eb="4">
      <t>デンピョウ</t>
    </rPh>
    <rPh sb="4" eb="7">
      <t>トウロクゴ</t>
    </rPh>
    <rPh sb="8" eb="12">
      <t>ヨキンザンダカ</t>
    </rPh>
    <rPh sb="13" eb="15">
      <t>カクニン</t>
    </rPh>
    <rPh sb="16" eb="18">
      <t>シュツリョク</t>
    </rPh>
    <phoneticPr fontId="3"/>
  </si>
  <si>
    <t>預金残高を出力する機能</t>
    <rPh sb="0" eb="4">
      <t>ヨキンザンダカ</t>
    </rPh>
    <rPh sb="5" eb="7">
      <t>シュツリョク</t>
    </rPh>
    <rPh sb="9" eb="11">
      <t>キノウ</t>
    </rPh>
    <phoneticPr fontId="3"/>
  </si>
  <si>
    <t>Req166</t>
    <phoneticPr fontId="6"/>
  </si>
  <si>
    <t>銀行システムと連携し、預金の実残高を会計システム上で確認し、帳簿上の残高と比較できること</t>
  </si>
  <si>
    <t>預金の実残高を表示し、帳簿残高と比較する機能
現行業務：銀行入金データとSAP出力した伝票データを目視で確認し、処理漏れがないか確認をしている</t>
  </si>
  <si>
    <r>
      <rPr>
        <sz val="9"/>
        <color rgb="FF000000"/>
        <rFont val="メイリオ"/>
        <family val="3"/>
        <charset val="128"/>
      </rPr>
      <t xml:space="preserve">「口座取引明細書」をインポートし、「口座調整」機能を使用することで、FO内の銀行取引明細と突合せすることは可能。
</t>
    </r>
    <r>
      <rPr>
        <sz val="9"/>
        <color rgb="FFFF0000"/>
        <rFont val="メイリオ"/>
        <family val="3"/>
        <charset val="128"/>
      </rPr>
      <t>ISO20022、BAI2、MT940　のいずれかの口座取引明細書の形式(XML形式)が取込可能です。
その他のフォーマットの場合、変換取込のPG開発が必要です。</t>
    </r>
    <r>
      <rPr>
        <sz val="9"/>
        <rFont val="メイリオ"/>
        <family val="3"/>
        <charset val="128"/>
      </rPr>
      <t xml:space="preserve">
⇒対象は三菱UFJのみ
統一フォーマット(ISO20022など)であれば標準機能対応とし、統一フォーマット以外であればアドオンはせず、銀行からのCSVファイルとFOから出力できるレポートをシステム外で突合する
（統一フォーマットの全容が2024年秋に判明する予定なので、その時点で取り込めるようであればFO機能で実施する）</t>
    </r>
    <rPh sb="140" eb="142">
      <t>タイショウ</t>
    </rPh>
    <rPh sb="143" eb="145">
      <t>ミツビシ</t>
    </rPh>
    <rPh sb="206" eb="208">
      <t>ギンコウ</t>
    </rPh>
    <rPh sb="223" eb="225">
      <t>シュツリョク</t>
    </rPh>
    <rPh sb="237" eb="238">
      <t>ソト</t>
    </rPh>
    <rPh sb="239" eb="241">
      <t>トツゴウ</t>
    </rPh>
    <rPh sb="279" eb="280">
      <t>ト</t>
    </rPh>
    <rPh sb="281" eb="282">
      <t>コ</t>
    </rPh>
    <rPh sb="292" eb="294">
      <t>キノウ</t>
    </rPh>
    <rPh sb="295" eb="297">
      <t>ジッシ</t>
    </rPh>
    <phoneticPr fontId="6"/>
  </si>
  <si>
    <t>Req167</t>
  </si>
  <si>
    <t>直接法及び間接法で月次のCFの年間計画を登録できること</t>
    <rPh sb="0" eb="3">
      <t>チョクセツホウ</t>
    </rPh>
    <rPh sb="3" eb="4">
      <t>オヨ</t>
    </rPh>
    <rPh sb="5" eb="7">
      <t>カンセツ</t>
    </rPh>
    <rPh sb="7" eb="8">
      <t>ホウ</t>
    </rPh>
    <rPh sb="9" eb="11">
      <t>ゲツジ</t>
    </rPh>
    <rPh sb="15" eb="17">
      <t>ネンカン</t>
    </rPh>
    <rPh sb="17" eb="19">
      <t>ケイカク</t>
    </rPh>
    <rPh sb="20" eb="22">
      <t>トウロク</t>
    </rPh>
    <phoneticPr fontId="3"/>
  </si>
  <si>
    <t>直接法及び間接法の両方で月次CFを作成する機能</t>
    <rPh sb="0" eb="3">
      <t>チョクセツホウ</t>
    </rPh>
    <rPh sb="3" eb="4">
      <t>オヨ</t>
    </rPh>
    <rPh sb="5" eb="8">
      <t>カンセツホウ</t>
    </rPh>
    <rPh sb="9" eb="11">
      <t>リョウホウ</t>
    </rPh>
    <rPh sb="12" eb="14">
      <t>ゲツジ</t>
    </rPh>
    <rPh sb="17" eb="19">
      <t>サクセイ</t>
    </rPh>
    <rPh sb="21" eb="23">
      <t>キノウ</t>
    </rPh>
    <phoneticPr fontId="3"/>
  </si>
  <si>
    <t>財務管理</t>
    <rPh sb="0" eb="4">
      <t>ザイムカンリ</t>
    </rPh>
    <phoneticPr fontId="6"/>
  </si>
  <si>
    <t>現行のCF資料「①SSJ_2023年度_資金繰計画.xlsx」はFO内機能では作成不可</t>
    <rPh sb="0" eb="2">
      <t>ゲンコウ</t>
    </rPh>
    <rPh sb="5" eb="7">
      <t>シリョウ</t>
    </rPh>
    <rPh sb="34" eb="35">
      <t>ナイ</t>
    </rPh>
    <rPh sb="35" eb="37">
      <t>キノウ</t>
    </rPh>
    <rPh sb="39" eb="41">
      <t>サクセイ</t>
    </rPh>
    <rPh sb="41" eb="43">
      <t>フカ</t>
    </rPh>
    <phoneticPr fontId="6"/>
  </si>
  <si>
    <t>「①SSJ_2023年度_資金繰計画.xlsx」</t>
    <phoneticPr fontId="6"/>
  </si>
  <si>
    <t>資金予測</t>
  </si>
  <si>
    <t>資金繰CFについては標準機能で対応不可。現行EXCELでの対応
※実装イメージがまだ未確定のため、現時点ではFO標準機能で実現できるもので対応とする。開発までは不要。</t>
    <rPh sb="0" eb="3">
      <t>シキング</t>
    </rPh>
    <rPh sb="10" eb="14">
      <t>ヒョウジュンキノウ</t>
    </rPh>
    <rPh sb="15" eb="17">
      <t>タイオウ</t>
    </rPh>
    <rPh sb="17" eb="19">
      <t>フカ</t>
    </rPh>
    <rPh sb="20" eb="22">
      <t>ゲンコウ</t>
    </rPh>
    <rPh sb="29" eb="31">
      <t>タイオウ</t>
    </rPh>
    <rPh sb="33" eb="35">
      <t>ジッソウ</t>
    </rPh>
    <rPh sb="42" eb="45">
      <t>ミカクテイ</t>
    </rPh>
    <rPh sb="49" eb="52">
      <t>ゲンジテン</t>
    </rPh>
    <rPh sb="56" eb="58">
      <t>ヒョウジュン</t>
    </rPh>
    <rPh sb="58" eb="60">
      <t>キノウ</t>
    </rPh>
    <rPh sb="61" eb="63">
      <t>ジツゲン</t>
    </rPh>
    <rPh sb="69" eb="71">
      <t>タイオウ</t>
    </rPh>
    <rPh sb="75" eb="77">
      <t>カイハツ</t>
    </rPh>
    <rPh sb="80" eb="82">
      <t>フヨウ</t>
    </rPh>
    <phoneticPr fontId="6"/>
  </si>
  <si>
    <t>・D365では難しいと想定しており、EPMで、計画、見込、実績管理の検討をさせて頂きたい。</t>
    <rPh sb="7" eb="8">
      <t>ムズカ</t>
    </rPh>
    <rPh sb="11" eb="13">
      <t>ソウテイ</t>
    </rPh>
    <rPh sb="23" eb="25">
      <t>ケイカク</t>
    </rPh>
    <rPh sb="26" eb="28">
      <t>ミコ</t>
    </rPh>
    <rPh sb="29" eb="31">
      <t>ジッセキ</t>
    </rPh>
    <rPh sb="31" eb="33">
      <t>カンリ</t>
    </rPh>
    <rPh sb="34" eb="36">
      <t>ケントウ</t>
    </rPh>
    <rPh sb="40" eb="41">
      <t>イタダ</t>
    </rPh>
    <phoneticPr fontId="6"/>
  </si>
  <si>
    <t>Req168</t>
  </si>
  <si>
    <t>直接法CFと間接法CFの一致が確認できること</t>
    <rPh sb="0" eb="3">
      <t>チョクセツホウ</t>
    </rPh>
    <rPh sb="6" eb="9">
      <t>カンセツホウ</t>
    </rPh>
    <rPh sb="12" eb="14">
      <t>イッチ</t>
    </rPh>
    <rPh sb="15" eb="17">
      <t>カクニン</t>
    </rPh>
    <phoneticPr fontId="3"/>
  </si>
  <si>
    <t>直接法CFと間接法CFの一致が確認する機能</t>
    <rPh sb="0" eb="3">
      <t>チョクセツホウ</t>
    </rPh>
    <rPh sb="6" eb="9">
      <t>カンセツホウ</t>
    </rPh>
    <rPh sb="12" eb="14">
      <t>イッチ</t>
    </rPh>
    <rPh sb="15" eb="17">
      <t>カクニン</t>
    </rPh>
    <rPh sb="19" eb="21">
      <t>キノウ</t>
    </rPh>
    <phoneticPr fontId="3"/>
  </si>
  <si>
    <t>資金予測</t>
    <phoneticPr fontId="6"/>
  </si>
  <si>
    <t>資金繰CFについては標準機能で対応不可。現行EXCELでの対応
※実装イメージがまだ未確定のため、現時点ではFO標準機能で実現できるもので対応とする。開発までは不要。</t>
    <rPh sb="0" eb="3">
      <t>シキング</t>
    </rPh>
    <rPh sb="10" eb="14">
      <t>ヒョウジュンキノウ</t>
    </rPh>
    <rPh sb="15" eb="17">
      <t>タイオウ</t>
    </rPh>
    <rPh sb="17" eb="19">
      <t>フカ</t>
    </rPh>
    <rPh sb="20" eb="22">
      <t>ゲンコウ</t>
    </rPh>
    <rPh sb="29" eb="31">
      <t>タイオウ</t>
    </rPh>
    <phoneticPr fontId="6"/>
  </si>
  <si>
    <t>Req169</t>
  </si>
  <si>
    <t>営業活動キャッシュフローについて、海外向け債権/債務(及び未収入金/未払金)と、国内向け債権/債務(及び未収入金/未払金)に分けて表示・登録できること</t>
    <rPh sb="0" eb="4">
      <t>エイギョウカツドウ</t>
    </rPh>
    <rPh sb="17" eb="19">
      <t>カイガイ</t>
    </rPh>
    <rPh sb="19" eb="20">
      <t>ム</t>
    </rPh>
    <rPh sb="21" eb="23">
      <t>サイケン</t>
    </rPh>
    <rPh sb="24" eb="26">
      <t>サイム</t>
    </rPh>
    <rPh sb="27" eb="28">
      <t>オヨ</t>
    </rPh>
    <rPh sb="29" eb="33">
      <t>ミシュウニュウキン</t>
    </rPh>
    <rPh sb="40" eb="42">
      <t>コクナイ</t>
    </rPh>
    <rPh sb="41" eb="44">
      <t>コクナイム</t>
    </rPh>
    <rPh sb="44" eb="46">
      <t>サイケン</t>
    </rPh>
    <rPh sb="47" eb="49">
      <t>サイム</t>
    </rPh>
    <rPh sb="50" eb="51">
      <t>オヨ</t>
    </rPh>
    <rPh sb="52" eb="54">
      <t>ミシュウ</t>
    </rPh>
    <rPh sb="54" eb="56">
      <t>ニュウキン</t>
    </rPh>
    <rPh sb="57" eb="60">
      <t>ミハライキン</t>
    </rPh>
    <rPh sb="62" eb="63">
      <t>ワ</t>
    </rPh>
    <rPh sb="63" eb="64">
      <t>ワ</t>
    </rPh>
    <rPh sb="66" eb="68">
      <t>ヒョウジ</t>
    </rPh>
    <rPh sb="69" eb="71">
      <t>トウロク</t>
    </rPh>
    <phoneticPr fontId="3"/>
  </si>
  <si>
    <t>国内・海外の債権/債務を分けて登録する機能</t>
    <rPh sb="0" eb="2">
      <t>コクナイ</t>
    </rPh>
    <rPh sb="3" eb="5">
      <t>カイガイ</t>
    </rPh>
    <rPh sb="6" eb="8">
      <t>サイケン</t>
    </rPh>
    <rPh sb="9" eb="11">
      <t>サイム</t>
    </rPh>
    <rPh sb="12" eb="13">
      <t>ワ</t>
    </rPh>
    <rPh sb="15" eb="17">
      <t>トウロク</t>
    </rPh>
    <rPh sb="19" eb="21">
      <t>キノウ</t>
    </rPh>
    <phoneticPr fontId="3"/>
  </si>
  <si>
    <t>科目or財務分析項目を用いて「海外向け債権/債務(及び未収入金/未払金)と、国内向け債権/債務(及び未収入金/未払金)」に分けて表示・登録することは可能。
※債権債務の発生時に海外向け、国内向けと識別でき科目or財務分析コード設定できるか課題あり
　　顧客/仕入先マスタの登録で海外向けと国内向けでコードを分けて登録可能するなどを検討</t>
    <rPh sb="0" eb="2">
      <t>カモク</t>
    </rPh>
    <rPh sb="102" eb="104">
      <t>カモク</t>
    </rPh>
    <rPh sb="165" eb="167">
      <t>ケントウ</t>
    </rPh>
    <phoneticPr fontId="6"/>
  </si>
  <si>
    <t>・資金繰り≒直接法CF、間接法CFにて、債券の中身が何かを分析できればいいので、D365ではなく、EPMの中で見れるようなことが検討したい。</t>
    <rPh sb="1" eb="4">
      <t>シキング</t>
    </rPh>
    <rPh sb="12" eb="14">
      <t>カンセツ</t>
    </rPh>
    <rPh sb="14" eb="15">
      <t>ホウ</t>
    </rPh>
    <rPh sb="20" eb="22">
      <t>サイケン</t>
    </rPh>
    <rPh sb="23" eb="25">
      <t>ナカミ</t>
    </rPh>
    <rPh sb="26" eb="27">
      <t>ナニ</t>
    </rPh>
    <rPh sb="29" eb="31">
      <t>ブンセキ</t>
    </rPh>
    <rPh sb="53" eb="54">
      <t>ナカ</t>
    </rPh>
    <rPh sb="55" eb="56">
      <t>ミ</t>
    </rPh>
    <rPh sb="64" eb="66">
      <t>ケントウ</t>
    </rPh>
    <phoneticPr fontId="6"/>
  </si>
  <si>
    <t>Req170</t>
  </si>
  <si>
    <t>営業活動キャッシュフローについて、債権/債務(及び未収入金/未払金)が決済方法別(ex:振り込み、手形、ファクタリング、現金等)に分けて表示・登録できること</t>
    <rPh sb="0" eb="4">
      <t>エイギョウカツドウ</t>
    </rPh>
    <rPh sb="35" eb="40">
      <t>ケッサイホウホウベツ</t>
    </rPh>
    <rPh sb="44" eb="45">
      <t>フ</t>
    </rPh>
    <rPh sb="46" eb="47">
      <t>コ</t>
    </rPh>
    <rPh sb="49" eb="51">
      <t>テガタ</t>
    </rPh>
    <rPh sb="60" eb="62">
      <t>ゲンキン</t>
    </rPh>
    <rPh sb="62" eb="63">
      <t>ナド</t>
    </rPh>
    <rPh sb="65" eb="66">
      <t>ワ</t>
    </rPh>
    <rPh sb="68" eb="70">
      <t>ヒョウジ</t>
    </rPh>
    <rPh sb="71" eb="73">
      <t>トウロク</t>
    </rPh>
    <phoneticPr fontId="3"/>
  </si>
  <si>
    <t>決済方法に分けて債権/債務を登録する機能</t>
    <rPh sb="0" eb="2">
      <t>ケッサイ</t>
    </rPh>
    <rPh sb="2" eb="4">
      <t>ホウホウ</t>
    </rPh>
    <rPh sb="5" eb="6">
      <t>ワ</t>
    </rPh>
    <phoneticPr fontId="3"/>
  </si>
  <si>
    <r>
      <t xml:space="preserve">科目or財務分析項目を用いて「債権/債務(及び未収入金/未払金)が決済方法別(ex:振り込み、手形、ファクタリング、現金等)」に分けて表示・登録することが考えられるが、
</t>
    </r>
    <r>
      <rPr>
        <sz val="9"/>
        <rFont val="Meiryo UI"/>
        <family val="3"/>
        <charset val="128"/>
      </rPr>
      <t>※債権債務の発生時点から決済方法が変更になった場合に債権債務の財務分析コードが変更できないため課題あり</t>
    </r>
    <rPh sb="0" eb="2">
      <t>カモク</t>
    </rPh>
    <phoneticPr fontId="3"/>
  </si>
  <si>
    <t>※債権債務の発生時点から決済方法が変更になった場合に債権債務の財務分析コードが変更できないため課題あり→想定していない。</t>
    <phoneticPr fontId="6"/>
  </si>
  <si>
    <t>Req171</t>
  </si>
  <si>
    <t>営業活動キャッシュフローについて、債権/債務(及び未収入金/未払金)がチャネル別(ex:リテール、ダイレクト、プロケア、等)にに分けて表示・登録できること</t>
    <rPh sb="0" eb="4">
      <t>エイギョウカツドウ</t>
    </rPh>
    <rPh sb="39" eb="40">
      <t>ベツ</t>
    </rPh>
    <rPh sb="60" eb="61">
      <t>トウ</t>
    </rPh>
    <rPh sb="64" eb="65">
      <t>ワ</t>
    </rPh>
    <rPh sb="67" eb="69">
      <t>ヒョウジ</t>
    </rPh>
    <rPh sb="70" eb="72">
      <t>トウロク</t>
    </rPh>
    <phoneticPr fontId="3"/>
  </si>
  <si>
    <t>チャネルに分けて登録する機能</t>
    <rPh sb="5" eb="6">
      <t>ワ</t>
    </rPh>
    <rPh sb="8" eb="10">
      <t>トウロク</t>
    </rPh>
    <rPh sb="12" eb="14">
      <t>キノウ</t>
    </rPh>
    <phoneticPr fontId="3"/>
  </si>
  <si>
    <t>科目or財務分析項目を用いて「債権/債務(及び未収入金/未払金)がチャネル別(ex:リテール、ダイレクト、プロケア、等)」に分けて表示・登録することは可能であるが債権債務発生時にチャネルコードの設定が正しくできるようなマスタやIF設計が必要。</t>
    <rPh sb="0" eb="2">
      <t>カモク</t>
    </rPh>
    <rPh sb="81" eb="83">
      <t>サイケン</t>
    </rPh>
    <rPh sb="83" eb="85">
      <t>サイム</t>
    </rPh>
    <rPh sb="85" eb="88">
      <t>ハッセイジ</t>
    </rPh>
    <rPh sb="97" eb="99">
      <t>セッテイ</t>
    </rPh>
    <rPh sb="100" eb="101">
      <t>タダ</t>
    </rPh>
    <rPh sb="115" eb="117">
      <t>セッケイ</t>
    </rPh>
    <rPh sb="118" eb="120">
      <t>ヒツヨウ</t>
    </rPh>
    <phoneticPr fontId="6"/>
  </si>
  <si>
    <t>発生時点での実現可能性を整理する必要あり</t>
    <rPh sb="0" eb="2">
      <t>ハッセイ</t>
    </rPh>
    <rPh sb="2" eb="4">
      <t>ジテン</t>
    </rPh>
    <rPh sb="6" eb="8">
      <t>ジツゲン</t>
    </rPh>
    <rPh sb="8" eb="11">
      <t>カノウセイ</t>
    </rPh>
    <rPh sb="12" eb="14">
      <t>セイリ</t>
    </rPh>
    <rPh sb="16" eb="18">
      <t>ヒツヨウ</t>
    </rPh>
    <phoneticPr fontId="6"/>
  </si>
  <si>
    <t>Req172</t>
  </si>
  <si>
    <t>債権/債務以外の科目についても、ブレイクダウンして表示できること(ex:経費⇒広告費･リベート･設備など)</t>
    <rPh sb="0" eb="2">
      <t>サイケン</t>
    </rPh>
    <rPh sb="3" eb="5">
      <t>サイム</t>
    </rPh>
    <rPh sb="5" eb="7">
      <t>イガイ</t>
    </rPh>
    <rPh sb="8" eb="10">
      <t>カモク</t>
    </rPh>
    <rPh sb="25" eb="27">
      <t>ヒョウジ</t>
    </rPh>
    <phoneticPr fontId="3"/>
  </si>
  <si>
    <t>債権/債務以外の科目についても、ブレイクダウンして表示する機能(ex:経費⇒広告費･リベート･設備など)</t>
    <rPh sb="0" eb="2">
      <t>サイケン</t>
    </rPh>
    <rPh sb="3" eb="5">
      <t>サイム</t>
    </rPh>
    <rPh sb="5" eb="7">
      <t>イガイ</t>
    </rPh>
    <rPh sb="8" eb="10">
      <t>カモク</t>
    </rPh>
    <rPh sb="25" eb="27">
      <t>ヒョウジ</t>
    </rPh>
    <rPh sb="29" eb="31">
      <t>キノウ</t>
    </rPh>
    <phoneticPr fontId="3"/>
  </si>
  <si>
    <t>MRで作成する場合、広告費等の明細を「経費」等でグルーピングして合計を表示することは可能。但し、BIツールではないため、「選択してブレイクダウン」という様な機能は無い。（レポートとして表示されるのみだが、表示結果をダウンロードし、Excelで利用する等は可能j）</t>
    <phoneticPr fontId="6"/>
  </si>
  <si>
    <t>Req173</t>
  </si>
  <si>
    <t>過去5年分の年間計画が月別で確認できること</t>
    <rPh sb="0" eb="2">
      <t>カコ</t>
    </rPh>
    <rPh sb="3" eb="4">
      <t>ネン</t>
    </rPh>
    <rPh sb="4" eb="5">
      <t>ブン</t>
    </rPh>
    <rPh sb="6" eb="10">
      <t>ネンカンケイカク</t>
    </rPh>
    <rPh sb="11" eb="13">
      <t>ツキベツ</t>
    </rPh>
    <rPh sb="14" eb="16">
      <t>カクニン</t>
    </rPh>
    <phoneticPr fontId="3"/>
  </si>
  <si>
    <t>過去5年分の年間計画を保存・表示する機能</t>
    <rPh sb="0" eb="2">
      <t>カコ</t>
    </rPh>
    <rPh sb="3" eb="4">
      <t>ネン</t>
    </rPh>
    <rPh sb="4" eb="5">
      <t>ブン</t>
    </rPh>
    <rPh sb="6" eb="8">
      <t>ネンカン</t>
    </rPh>
    <rPh sb="8" eb="10">
      <t>ケイカク</t>
    </rPh>
    <rPh sb="11" eb="13">
      <t>ホゾン</t>
    </rPh>
    <rPh sb="14" eb="16">
      <t>ヒョウジ</t>
    </rPh>
    <rPh sb="18" eb="20">
      <t>キノウ</t>
    </rPh>
    <phoneticPr fontId="3"/>
  </si>
  <si>
    <t>・D365ではなく、EPMの中で見れるようなことが検討したい。</t>
    <rPh sb="14" eb="15">
      <t>ナカ</t>
    </rPh>
    <rPh sb="16" eb="17">
      <t>ミ</t>
    </rPh>
    <rPh sb="25" eb="27">
      <t>ケントウ</t>
    </rPh>
    <phoneticPr fontId="6"/>
  </si>
  <si>
    <t>Req174</t>
    <phoneticPr fontId="6"/>
  </si>
  <si>
    <t>過去5年分の年間実績が月別で確認できること</t>
    <rPh sb="0" eb="2">
      <t>カコ</t>
    </rPh>
    <rPh sb="3" eb="4">
      <t>ネン</t>
    </rPh>
    <rPh sb="4" eb="5">
      <t>ブン</t>
    </rPh>
    <rPh sb="6" eb="8">
      <t>ネンカン</t>
    </rPh>
    <rPh sb="8" eb="10">
      <t>ジッセキ</t>
    </rPh>
    <rPh sb="11" eb="13">
      <t>ツキベツ</t>
    </rPh>
    <rPh sb="14" eb="16">
      <t>カクニン</t>
    </rPh>
    <phoneticPr fontId="3"/>
  </si>
  <si>
    <t>過去5年分の年間実績を保存・表示する機能</t>
    <rPh sb="0" eb="2">
      <t>カコ</t>
    </rPh>
    <rPh sb="3" eb="4">
      <t>ネン</t>
    </rPh>
    <rPh sb="4" eb="5">
      <t>ブン</t>
    </rPh>
    <rPh sb="6" eb="8">
      <t>ネンカン</t>
    </rPh>
    <rPh sb="8" eb="10">
      <t>ジッセキ</t>
    </rPh>
    <rPh sb="11" eb="13">
      <t>ホゾン</t>
    </rPh>
    <rPh sb="14" eb="16">
      <t>ヒョウジ</t>
    </rPh>
    <rPh sb="18" eb="20">
      <t>キノウ</t>
    </rPh>
    <phoneticPr fontId="3"/>
  </si>
  <si>
    <t>資金繰CFについては標準機能で対応不可。現行EXCELでの対応
元データとなる帳票はMR等で作成
※実装イメージがまだ未確定のため、現時点ではFO標準機能で実現できるもので対応とする。開発までは不要。</t>
    <rPh sb="0" eb="3">
      <t>シキング</t>
    </rPh>
    <rPh sb="10" eb="14">
      <t>ヒョウジュンキノウ</t>
    </rPh>
    <rPh sb="15" eb="17">
      <t>タイオウ</t>
    </rPh>
    <rPh sb="17" eb="19">
      <t>フカ</t>
    </rPh>
    <rPh sb="20" eb="22">
      <t>ゲンコウ</t>
    </rPh>
    <rPh sb="29" eb="31">
      <t>タイオウ</t>
    </rPh>
    <rPh sb="32" eb="33">
      <t>モト</t>
    </rPh>
    <rPh sb="39" eb="41">
      <t>チョウヒョウ</t>
    </rPh>
    <rPh sb="44" eb="45">
      <t>トウ</t>
    </rPh>
    <rPh sb="46" eb="48">
      <t>サクセイ</t>
    </rPh>
    <phoneticPr fontId="6"/>
  </si>
  <si>
    <t>Req175</t>
  </si>
  <si>
    <t>月別の年間実績は、会計システムに登録されている仕訳情報から自動で作成できること</t>
    <rPh sb="0" eb="2">
      <t>ツキベツ</t>
    </rPh>
    <rPh sb="3" eb="7">
      <t>ネンカンジッセキ</t>
    </rPh>
    <rPh sb="9" eb="11">
      <t>カイケイ</t>
    </rPh>
    <rPh sb="16" eb="18">
      <t>トウロク</t>
    </rPh>
    <rPh sb="23" eb="27">
      <t>シワケジョウホウ</t>
    </rPh>
    <rPh sb="29" eb="31">
      <t>ジドウ</t>
    </rPh>
    <rPh sb="32" eb="34">
      <t>サクセイ</t>
    </rPh>
    <phoneticPr fontId="3"/>
  </si>
  <si>
    <t>計上された情報から月次CFの実績を作成し、表示する機能</t>
    <rPh sb="0" eb="2">
      <t>ケイジョウ</t>
    </rPh>
    <rPh sb="5" eb="7">
      <t>ジョウホウ</t>
    </rPh>
    <rPh sb="9" eb="11">
      <t>ゲツジ</t>
    </rPh>
    <rPh sb="14" eb="16">
      <t>ジッセキ</t>
    </rPh>
    <rPh sb="17" eb="19">
      <t>サクセイ</t>
    </rPh>
    <rPh sb="21" eb="23">
      <t>ヒョウジ</t>
    </rPh>
    <rPh sb="25" eb="27">
      <t>キノウ</t>
    </rPh>
    <phoneticPr fontId="3"/>
  </si>
  <si>
    <t>Req176</t>
  </si>
  <si>
    <t>月別の年間実績が自動で作成される際、表示する項目のグルーピングを自由に定義できること。(ex:売掛金と未収入金の入金を”売掛金の入金”とグルーピングし表示できること。)</t>
    <rPh sb="0" eb="2">
      <t>ツキベツ</t>
    </rPh>
    <rPh sb="3" eb="7">
      <t>ネンカンジッセキ</t>
    </rPh>
    <rPh sb="8" eb="10">
      <t>ジドウ</t>
    </rPh>
    <rPh sb="18" eb="20">
      <t>ヒョウジ</t>
    </rPh>
    <rPh sb="22" eb="24">
      <t>コウモク</t>
    </rPh>
    <rPh sb="32" eb="34">
      <t>ジユウ</t>
    </rPh>
    <rPh sb="35" eb="37">
      <t>テイギ</t>
    </rPh>
    <rPh sb="47" eb="50">
      <t>ウリカケキン</t>
    </rPh>
    <rPh sb="51" eb="55">
      <t>ミシュウニュウキン</t>
    </rPh>
    <rPh sb="56" eb="58">
      <t>ニュウキン</t>
    </rPh>
    <rPh sb="60" eb="63">
      <t>ウリカケキン</t>
    </rPh>
    <rPh sb="64" eb="66">
      <t>ニュウキン</t>
    </rPh>
    <rPh sb="75" eb="77">
      <t>ヒョウジ</t>
    </rPh>
    <phoneticPr fontId="3"/>
  </si>
  <si>
    <t>表示項目に内包出来るよう、勘定科目などをグルーピングする機能</t>
    <rPh sb="0" eb="2">
      <t>ヒョウジ</t>
    </rPh>
    <rPh sb="2" eb="4">
      <t>コウモク</t>
    </rPh>
    <rPh sb="5" eb="7">
      <t>ナイホウ</t>
    </rPh>
    <rPh sb="7" eb="9">
      <t>デキ</t>
    </rPh>
    <rPh sb="13" eb="17">
      <t>カンジョウカモク</t>
    </rPh>
    <rPh sb="28" eb="30">
      <t>キノウ</t>
    </rPh>
    <phoneticPr fontId="3"/>
  </si>
  <si>
    <t>1.10</t>
  </si>
  <si>
    <t>資金繰CFについては標準機能で対応不可。現行EXCELでの対応
元データとなる帳票はMR等で作成(集計科目の設定可能)</t>
    <rPh sb="0" eb="3">
      <t>シキング</t>
    </rPh>
    <rPh sb="10" eb="14">
      <t>ヒョウジュンキノウ</t>
    </rPh>
    <rPh sb="15" eb="17">
      <t>タイオウ</t>
    </rPh>
    <rPh sb="17" eb="19">
      <t>フカ</t>
    </rPh>
    <rPh sb="20" eb="22">
      <t>ゲンコウ</t>
    </rPh>
    <rPh sb="29" eb="31">
      <t>タイオウ</t>
    </rPh>
    <rPh sb="32" eb="33">
      <t>モト</t>
    </rPh>
    <rPh sb="39" eb="41">
      <t>チョウヒョウ</t>
    </rPh>
    <rPh sb="44" eb="45">
      <t>トウ</t>
    </rPh>
    <rPh sb="46" eb="48">
      <t>サクセイ</t>
    </rPh>
    <rPh sb="49" eb="51">
      <t>シュウケイ</t>
    </rPh>
    <rPh sb="51" eb="53">
      <t>カモク</t>
    </rPh>
    <rPh sb="54" eb="56">
      <t>セッテイ</t>
    </rPh>
    <rPh sb="56" eb="58">
      <t>カノウ</t>
    </rPh>
    <phoneticPr fontId="6"/>
  </si>
  <si>
    <t>Req177</t>
  </si>
  <si>
    <t>月別の入金方法/支払方法別の債権/債務(及び未収入金/未払金)のCF実績が表示・出力できること</t>
    <rPh sb="0" eb="2">
      <t>ツキベツ</t>
    </rPh>
    <rPh sb="3" eb="5">
      <t>ニュウキン</t>
    </rPh>
    <rPh sb="5" eb="7">
      <t>ホウホウ</t>
    </rPh>
    <rPh sb="8" eb="10">
      <t>シハラ</t>
    </rPh>
    <rPh sb="10" eb="12">
      <t>ホウホウ</t>
    </rPh>
    <rPh sb="12" eb="13">
      <t>ベツ</t>
    </rPh>
    <rPh sb="34" eb="36">
      <t>ジッセキ</t>
    </rPh>
    <rPh sb="37" eb="39">
      <t>ヒョウジ</t>
    </rPh>
    <rPh sb="40" eb="42">
      <t>シュツリョク</t>
    </rPh>
    <phoneticPr fontId="3"/>
  </si>
  <si>
    <t>決済方法別の債権債務CF実績の表示・出力機能</t>
    <rPh sb="0" eb="4">
      <t>ケッサイホウホウ</t>
    </rPh>
    <rPh sb="4" eb="5">
      <t>ベツ</t>
    </rPh>
    <rPh sb="6" eb="8">
      <t>サイケン</t>
    </rPh>
    <rPh sb="8" eb="10">
      <t>サイム</t>
    </rPh>
    <rPh sb="12" eb="14">
      <t>ジッセキ</t>
    </rPh>
    <rPh sb="15" eb="17">
      <t>ヒョウジ</t>
    </rPh>
    <rPh sb="18" eb="20">
      <t>シュツリョク</t>
    </rPh>
    <rPh sb="20" eb="22">
      <t>キノウ</t>
    </rPh>
    <phoneticPr fontId="3"/>
  </si>
  <si>
    <t>Req178</t>
  </si>
  <si>
    <t>登録した月別のPL/BSの計画情報から、月別CFの年間計画を作成出来ること</t>
    <rPh sb="0" eb="2">
      <t>トウロク</t>
    </rPh>
    <rPh sb="4" eb="6">
      <t>ツキベツ</t>
    </rPh>
    <rPh sb="13" eb="15">
      <t>ケイカク</t>
    </rPh>
    <rPh sb="15" eb="17">
      <t>ジョウホウ</t>
    </rPh>
    <rPh sb="20" eb="22">
      <t>ツキベツ</t>
    </rPh>
    <rPh sb="25" eb="29">
      <t>ネンカンケイカク</t>
    </rPh>
    <rPh sb="30" eb="32">
      <t>サクセイ</t>
    </rPh>
    <rPh sb="32" eb="34">
      <t>デキ</t>
    </rPh>
    <phoneticPr fontId="3"/>
  </si>
  <si>
    <t>PL/BSから直接法CFを作成する機能（＝月別の年間の財務三表の計画を作る機能）</t>
    <rPh sb="7" eb="10">
      <t>チョクセツホウ</t>
    </rPh>
    <rPh sb="13" eb="15">
      <t>サクセイ</t>
    </rPh>
    <rPh sb="17" eb="19">
      <t>キノウ</t>
    </rPh>
    <rPh sb="21" eb="23">
      <t>ツキベツ</t>
    </rPh>
    <rPh sb="24" eb="26">
      <t>ネンカン</t>
    </rPh>
    <rPh sb="27" eb="29">
      <t>ザイム</t>
    </rPh>
    <rPh sb="29" eb="30">
      <t>サン</t>
    </rPh>
    <rPh sb="30" eb="31">
      <t>ヒョウ</t>
    </rPh>
    <rPh sb="32" eb="34">
      <t>ケイカク</t>
    </rPh>
    <rPh sb="35" eb="36">
      <t>ツク</t>
    </rPh>
    <rPh sb="37" eb="39">
      <t>キノウ</t>
    </rPh>
    <phoneticPr fontId="3"/>
  </si>
  <si>
    <t>Req179</t>
  </si>
  <si>
    <t>登録した月別のPL/BSの計画情報から月別CFの年間計画を作成するにあたり、債権/債務(及び未収入金/未払金)は、科目別に入出金のサイトを設定することで、回収・支払のタイミングを定義できること</t>
    <rPh sb="0" eb="2">
      <t>トウロク</t>
    </rPh>
    <rPh sb="4" eb="6">
      <t>ツキベツ</t>
    </rPh>
    <rPh sb="13" eb="15">
      <t>ケイカク</t>
    </rPh>
    <rPh sb="15" eb="17">
      <t>ジョウホウ</t>
    </rPh>
    <rPh sb="19" eb="21">
      <t>ツキベツ</t>
    </rPh>
    <rPh sb="24" eb="28">
      <t>ネンカンケイカク</t>
    </rPh>
    <rPh sb="29" eb="31">
      <t>サクセイ</t>
    </rPh>
    <rPh sb="57" eb="60">
      <t>カモクベツ</t>
    </rPh>
    <rPh sb="61" eb="64">
      <t>ニュウシュッキン</t>
    </rPh>
    <rPh sb="69" eb="71">
      <t>セッテイ</t>
    </rPh>
    <rPh sb="77" eb="79">
      <t>カイシュウ</t>
    </rPh>
    <rPh sb="80" eb="82">
      <t>シハラ</t>
    </rPh>
    <rPh sb="89" eb="91">
      <t>テイギ</t>
    </rPh>
    <phoneticPr fontId="3"/>
  </si>
  <si>
    <t>債権/債務の入出金タイミングを科目別に設定する機能</t>
    <rPh sb="0" eb="2">
      <t>サイケン</t>
    </rPh>
    <rPh sb="3" eb="5">
      <t>サイム</t>
    </rPh>
    <rPh sb="6" eb="9">
      <t>ニュウシュッキン</t>
    </rPh>
    <rPh sb="15" eb="18">
      <t>カモクベツ</t>
    </rPh>
    <rPh sb="19" eb="21">
      <t>セッテイ</t>
    </rPh>
    <rPh sb="23" eb="25">
      <t>キノウ</t>
    </rPh>
    <phoneticPr fontId="3"/>
  </si>
  <si>
    <t>・D365ではなく、EPMにデータを流し、EPMで自動に作成できるよう検討したい。</t>
    <rPh sb="18" eb="19">
      <t>ナガ</t>
    </rPh>
    <rPh sb="25" eb="27">
      <t>ジドウ</t>
    </rPh>
    <rPh sb="28" eb="30">
      <t>サクセイ</t>
    </rPh>
    <rPh sb="35" eb="37">
      <t>ケントウ</t>
    </rPh>
    <phoneticPr fontId="6"/>
  </si>
  <si>
    <t>Req180</t>
  </si>
  <si>
    <t>登録した月別のPL/BSの計画情報から月別CFの年間計画を作成するにあたり、債権/債務(及び未収入金/未払金)は、チャネル別に入出金のサイトを設定することで、回収・支払のタイミングを定義できること</t>
    <rPh sb="0" eb="2">
      <t>トウロク</t>
    </rPh>
    <rPh sb="4" eb="6">
      <t>ツキベツ</t>
    </rPh>
    <rPh sb="13" eb="15">
      <t>ケイカク</t>
    </rPh>
    <rPh sb="15" eb="17">
      <t>ジョウホウ</t>
    </rPh>
    <rPh sb="19" eb="21">
      <t>ツキベツ</t>
    </rPh>
    <rPh sb="24" eb="28">
      <t>ネンカンケイカク</t>
    </rPh>
    <rPh sb="29" eb="31">
      <t>サクセイ</t>
    </rPh>
    <rPh sb="61" eb="62">
      <t>ベツ</t>
    </rPh>
    <rPh sb="63" eb="66">
      <t>ニュウシュッキン</t>
    </rPh>
    <rPh sb="71" eb="73">
      <t>セッテイ</t>
    </rPh>
    <rPh sb="79" eb="81">
      <t>カイシュウ</t>
    </rPh>
    <rPh sb="82" eb="84">
      <t>シハラ</t>
    </rPh>
    <rPh sb="91" eb="93">
      <t>テイギ</t>
    </rPh>
    <phoneticPr fontId="3"/>
  </si>
  <si>
    <t>債権/債務の入出金タイミングをチャネル別に設定する機能</t>
    <rPh sb="0" eb="2">
      <t>サイケン</t>
    </rPh>
    <rPh sb="3" eb="5">
      <t>サイム</t>
    </rPh>
    <rPh sb="6" eb="9">
      <t>ニュウシュッキン</t>
    </rPh>
    <rPh sb="19" eb="20">
      <t>ベツ</t>
    </rPh>
    <rPh sb="21" eb="23">
      <t>セッテイ</t>
    </rPh>
    <rPh sb="25" eb="27">
      <t>キノウ</t>
    </rPh>
    <phoneticPr fontId="3"/>
  </si>
  <si>
    <t>Req181</t>
  </si>
  <si>
    <t>必要に応じて、昨年実績を容易に今年度計画に転記できること(ex:前年度の6月に発生した配当金支払実績を、今年度の6月の計画に転記できること)</t>
    <rPh sb="0" eb="2">
      <t>ヒツヨウ</t>
    </rPh>
    <rPh sb="3" eb="4">
      <t>オウ</t>
    </rPh>
    <rPh sb="7" eb="9">
      <t>サクネン</t>
    </rPh>
    <rPh sb="9" eb="11">
      <t>ジッセキ</t>
    </rPh>
    <rPh sb="15" eb="18">
      <t>コンネンド</t>
    </rPh>
    <rPh sb="18" eb="20">
      <t>ケイカク</t>
    </rPh>
    <rPh sb="21" eb="23">
      <t>テンキ</t>
    </rPh>
    <rPh sb="32" eb="35">
      <t>ゼンネンド</t>
    </rPh>
    <rPh sb="37" eb="38">
      <t>ガツ</t>
    </rPh>
    <rPh sb="39" eb="41">
      <t>ハッセイ</t>
    </rPh>
    <rPh sb="43" eb="46">
      <t>ハイトウキン</t>
    </rPh>
    <rPh sb="46" eb="48">
      <t>シハライ</t>
    </rPh>
    <rPh sb="48" eb="50">
      <t>ジッセキ</t>
    </rPh>
    <rPh sb="52" eb="55">
      <t>コンネンド</t>
    </rPh>
    <rPh sb="57" eb="58">
      <t>ガツ</t>
    </rPh>
    <rPh sb="59" eb="61">
      <t>ケイカク</t>
    </rPh>
    <rPh sb="62" eb="64">
      <t>テンキ</t>
    </rPh>
    <phoneticPr fontId="3"/>
  </si>
  <si>
    <t>年間資金計画の実績を、今年度計画に転記する機能</t>
    <rPh sb="0" eb="2">
      <t>ネンカン</t>
    </rPh>
    <rPh sb="2" eb="6">
      <t>シキンケイカク</t>
    </rPh>
    <rPh sb="7" eb="9">
      <t>ジッセキ</t>
    </rPh>
    <rPh sb="11" eb="14">
      <t>コンネンド</t>
    </rPh>
    <rPh sb="14" eb="16">
      <t>ケイカク</t>
    </rPh>
    <rPh sb="17" eb="19">
      <t>テンキ</t>
    </rPh>
    <rPh sb="21" eb="23">
      <t>キノウ</t>
    </rPh>
    <phoneticPr fontId="3"/>
  </si>
  <si>
    <t xml:space="preserve">資金繰CFについては標準機能で対応不可。現行EXCELでの対応
</t>
    <rPh sb="0" eb="3">
      <t>シキング</t>
    </rPh>
    <rPh sb="10" eb="14">
      <t>ヒョウジュンキノウ</t>
    </rPh>
    <rPh sb="15" eb="17">
      <t>タイオウ</t>
    </rPh>
    <rPh sb="17" eb="19">
      <t>フカ</t>
    </rPh>
    <rPh sb="20" eb="22">
      <t>ゲンコウ</t>
    </rPh>
    <rPh sb="29" eb="31">
      <t>タイオウ</t>
    </rPh>
    <phoneticPr fontId="6"/>
  </si>
  <si>
    <t>Req182</t>
  </si>
  <si>
    <t>別途登録した借入・貸付の情報を用いて、借入金・貸付金の返済計画が自動で年間計画に反映できること</t>
    <rPh sb="0" eb="2">
      <t>ベット</t>
    </rPh>
    <rPh sb="2" eb="4">
      <t>トウロク</t>
    </rPh>
    <rPh sb="6" eb="8">
      <t>カリイレ</t>
    </rPh>
    <rPh sb="9" eb="11">
      <t>カシツケ</t>
    </rPh>
    <rPh sb="12" eb="14">
      <t>ジョウホウ</t>
    </rPh>
    <rPh sb="15" eb="16">
      <t>モチ</t>
    </rPh>
    <rPh sb="19" eb="22">
      <t>カリイレキン</t>
    </rPh>
    <rPh sb="23" eb="26">
      <t>カシツケキン</t>
    </rPh>
    <rPh sb="27" eb="31">
      <t>ヘンサイケイカク</t>
    </rPh>
    <rPh sb="32" eb="34">
      <t>ジドウ</t>
    </rPh>
    <rPh sb="35" eb="37">
      <t>ネンカン</t>
    </rPh>
    <rPh sb="37" eb="39">
      <t>ケイカク</t>
    </rPh>
    <rPh sb="40" eb="42">
      <t>ハンエイ</t>
    </rPh>
    <phoneticPr fontId="3"/>
  </si>
  <si>
    <t>登録済みの借入金・貸付金の情報を年間資金計画に連係する機能</t>
    <rPh sb="0" eb="3">
      <t>トウロクズ</t>
    </rPh>
    <rPh sb="5" eb="8">
      <t>カリイレキン</t>
    </rPh>
    <rPh sb="9" eb="12">
      <t>カシツケキン</t>
    </rPh>
    <rPh sb="13" eb="15">
      <t>ジョウホウ</t>
    </rPh>
    <rPh sb="16" eb="18">
      <t>ネンカン</t>
    </rPh>
    <rPh sb="18" eb="22">
      <t>シキンケイカク</t>
    </rPh>
    <rPh sb="23" eb="25">
      <t>レンケイ</t>
    </rPh>
    <rPh sb="27" eb="29">
      <t>キノウ</t>
    </rPh>
    <phoneticPr fontId="3"/>
  </si>
  <si>
    <t xml:space="preserve">資金繰CFについては標準機能で対応不可。現行EXCELでの対応※実装イメージがまだ未確定のため、現時点ではFO標準機能で実現できるもので対応とする。開発までは不要。
</t>
    <rPh sb="0" eb="3">
      <t>シキング</t>
    </rPh>
    <rPh sb="10" eb="14">
      <t>ヒョウジュンキノウ</t>
    </rPh>
    <rPh sb="15" eb="17">
      <t>タイオウ</t>
    </rPh>
    <rPh sb="17" eb="19">
      <t>フカ</t>
    </rPh>
    <rPh sb="20" eb="22">
      <t>ゲンコウ</t>
    </rPh>
    <rPh sb="29" eb="31">
      <t>タイオウ</t>
    </rPh>
    <phoneticPr fontId="6"/>
  </si>
  <si>
    <t>Req183</t>
  </si>
  <si>
    <t>画面入力で仕訳伝票を登録できること</t>
  </si>
  <si>
    <t>一般仕訳帳で伝票登録</t>
    <rPh sb="0" eb="5">
      <t>イッパンシワケチョウ</t>
    </rPh>
    <rPh sb="6" eb="8">
      <t>デンピョウ</t>
    </rPh>
    <rPh sb="8" eb="10">
      <t>トウロク</t>
    </rPh>
    <phoneticPr fontId="6"/>
  </si>
  <si>
    <t>Req184</t>
  </si>
  <si>
    <t>現預金</t>
    <phoneticPr fontId="6"/>
  </si>
  <si>
    <t>試算表画面で残高確認</t>
    <rPh sb="0" eb="3">
      <t>シサンヒョウ</t>
    </rPh>
    <rPh sb="3" eb="5">
      <t>ガメン</t>
    </rPh>
    <rPh sb="6" eb="8">
      <t>ザンダカ</t>
    </rPh>
    <rPh sb="8" eb="10">
      <t>カクニン</t>
    </rPh>
    <phoneticPr fontId="6"/>
  </si>
  <si>
    <t>Req185</t>
  </si>
  <si>
    <t>銀行システムと連携し、預金の実残高を会計システム上で確認し、帳簿上の残高と比較できること</t>
    <rPh sb="0" eb="2">
      <t>ギンコウ</t>
    </rPh>
    <rPh sb="7" eb="9">
      <t>レンケイ</t>
    </rPh>
    <rPh sb="11" eb="13">
      <t>ヨキン</t>
    </rPh>
    <rPh sb="14" eb="15">
      <t>ジツ</t>
    </rPh>
    <rPh sb="15" eb="17">
      <t>ザンダカ</t>
    </rPh>
    <rPh sb="18" eb="20">
      <t>カイケイ</t>
    </rPh>
    <rPh sb="24" eb="25">
      <t>ジョウ</t>
    </rPh>
    <rPh sb="26" eb="28">
      <t>カクニン</t>
    </rPh>
    <rPh sb="30" eb="33">
      <t>チョウボジョウ</t>
    </rPh>
    <rPh sb="34" eb="36">
      <t>ザンダカ</t>
    </rPh>
    <rPh sb="37" eb="39">
      <t>ヒカク</t>
    </rPh>
    <phoneticPr fontId="3"/>
  </si>
  <si>
    <t>預金の実残高を表示し、帳簿残高と比較する機能</t>
    <rPh sb="0" eb="2">
      <t>ヨキン</t>
    </rPh>
    <rPh sb="3" eb="4">
      <t>ジツ</t>
    </rPh>
    <rPh sb="4" eb="6">
      <t>ザンダカ</t>
    </rPh>
    <rPh sb="7" eb="9">
      <t>ヒョウジ</t>
    </rPh>
    <rPh sb="11" eb="13">
      <t>チョウボ</t>
    </rPh>
    <rPh sb="13" eb="15">
      <t>ザンダカ</t>
    </rPh>
    <rPh sb="16" eb="18">
      <t>ヒカク</t>
    </rPh>
    <rPh sb="20" eb="22">
      <t>キノウ</t>
    </rPh>
    <phoneticPr fontId="3"/>
  </si>
  <si>
    <t>口座調整機能で対応</t>
    <rPh sb="0" eb="4">
      <t>コウザチョウセイ</t>
    </rPh>
    <rPh sb="4" eb="6">
      <t>キノウ</t>
    </rPh>
    <rPh sb="7" eb="9">
      <t>タイオウ</t>
    </rPh>
    <phoneticPr fontId="6"/>
  </si>
  <si>
    <t>Req186</t>
  </si>
  <si>
    <t>計上された伝票情報から将来の月次資金予測を計算・表示できること</t>
    <rPh sb="0" eb="2">
      <t>ケイジョウ</t>
    </rPh>
    <rPh sb="5" eb="9">
      <t>デンピョウジョウホウ</t>
    </rPh>
    <rPh sb="11" eb="13">
      <t>ショウライ</t>
    </rPh>
    <rPh sb="14" eb="18">
      <t>ゲツジシキン</t>
    </rPh>
    <rPh sb="18" eb="20">
      <t>ヨソク</t>
    </rPh>
    <rPh sb="21" eb="23">
      <t>ケイサン</t>
    </rPh>
    <rPh sb="24" eb="26">
      <t>ヒョウジ</t>
    </rPh>
    <phoneticPr fontId="3"/>
  </si>
  <si>
    <t>計上された伝票情報から将来の月次資金予測を計算・表示する機能</t>
    <rPh sb="0" eb="2">
      <t>ケイジョウ</t>
    </rPh>
    <rPh sb="5" eb="9">
      <t>デンピョウジョウホウ</t>
    </rPh>
    <rPh sb="11" eb="13">
      <t>ショウライ</t>
    </rPh>
    <rPh sb="14" eb="18">
      <t>ゲツジシキン</t>
    </rPh>
    <rPh sb="18" eb="20">
      <t>ヨソク</t>
    </rPh>
    <rPh sb="21" eb="23">
      <t>ケイサン</t>
    </rPh>
    <rPh sb="24" eb="26">
      <t>ヒョウジ</t>
    </rPh>
    <rPh sb="28" eb="30">
      <t>キノウ</t>
    </rPh>
    <phoneticPr fontId="3"/>
  </si>
  <si>
    <t>標準機能では、キャッシュフロー予測で計算。
現行の資金繰CFについては標準機能で対応不可。現行EXCELでの対応
※実装イメージがまだ未確定のため、現時点ではFO標準機能で実現できるもので対応とする。開発までは不要。</t>
    <rPh sb="0" eb="2">
      <t>ヒョウジュン</t>
    </rPh>
    <rPh sb="2" eb="4">
      <t>キノウ</t>
    </rPh>
    <rPh sb="15" eb="17">
      <t>ヨソク</t>
    </rPh>
    <rPh sb="18" eb="20">
      <t>ケイサン</t>
    </rPh>
    <rPh sb="22" eb="24">
      <t>ゲンコウ</t>
    </rPh>
    <rPh sb="25" eb="27">
      <t>シキン</t>
    </rPh>
    <rPh sb="27" eb="28">
      <t>クリ</t>
    </rPh>
    <rPh sb="35" eb="37">
      <t>ヒョウジュン</t>
    </rPh>
    <rPh sb="37" eb="39">
      <t>キノウ</t>
    </rPh>
    <rPh sb="40" eb="42">
      <t>タイオウ</t>
    </rPh>
    <rPh sb="42" eb="44">
      <t>フカ</t>
    </rPh>
    <rPh sb="45" eb="47">
      <t>ゲンコウ</t>
    </rPh>
    <rPh sb="54" eb="56">
      <t>タイオウ</t>
    </rPh>
    <phoneticPr fontId="6"/>
  </si>
  <si>
    <t>Req187</t>
  </si>
  <si>
    <t>上記月次資金予測が、年間資金計画で作成した月次予測と同じフォーマット(＝直接法、同じ表示項目、等）で作成・表示出来ること</t>
    <rPh sb="0" eb="2">
      <t>ジョウキ</t>
    </rPh>
    <rPh sb="2" eb="6">
      <t>ゲツジシキン</t>
    </rPh>
    <rPh sb="6" eb="8">
      <t>ヨソク</t>
    </rPh>
    <rPh sb="10" eb="12">
      <t>ネンカン</t>
    </rPh>
    <rPh sb="12" eb="16">
      <t>シキンケイカク</t>
    </rPh>
    <rPh sb="17" eb="19">
      <t>サクセイ</t>
    </rPh>
    <rPh sb="21" eb="23">
      <t>ゲツジ</t>
    </rPh>
    <rPh sb="23" eb="25">
      <t>ヨソク</t>
    </rPh>
    <rPh sb="26" eb="27">
      <t>オナ</t>
    </rPh>
    <rPh sb="36" eb="39">
      <t>チョクセツホウ</t>
    </rPh>
    <rPh sb="40" eb="41">
      <t>オナ</t>
    </rPh>
    <rPh sb="42" eb="44">
      <t>ヒョウジ</t>
    </rPh>
    <rPh sb="44" eb="46">
      <t>コウモク</t>
    </rPh>
    <rPh sb="47" eb="48">
      <t>ナド</t>
    </rPh>
    <rPh sb="50" eb="52">
      <t>サクセイ</t>
    </rPh>
    <rPh sb="53" eb="55">
      <t>ヒョウジ</t>
    </rPh>
    <rPh sb="55" eb="57">
      <t>デキ</t>
    </rPh>
    <phoneticPr fontId="3"/>
  </si>
  <si>
    <t>月次資金予測が年間資金計画と同じフォーマットで作成・表示される機能</t>
    <rPh sb="0" eb="2">
      <t>ゲツジ</t>
    </rPh>
    <rPh sb="2" eb="4">
      <t>シキン</t>
    </rPh>
    <rPh sb="4" eb="6">
      <t>ヨソク</t>
    </rPh>
    <rPh sb="7" eb="9">
      <t>ネンカン</t>
    </rPh>
    <rPh sb="9" eb="13">
      <t>シキンケイカク</t>
    </rPh>
    <rPh sb="14" eb="15">
      <t>オナ</t>
    </rPh>
    <rPh sb="23" eb="25">
      <t>サクセイ</t>
    </rPh>
    <rPh sb="26" eb="28">
      <t>ヒョウジ</t>
    </rPh>
    <rPh sb="31" eb="33">
      <t>キノウ</t>
    </rPh>
    <phoneticPr fontId="3"/>
  </si>
  <si>
    <t>Req188</t>
  </si>
  <si>
    <t>必要に応じて、ある項目の数値を手入力で上書きできること(ex:社内稟議情報の収集を通じ、未計上だが将来計上されると判明している入出金の情報を、手入力で反映させるケース)</t>
    <rPh sb="0" eb="2">
      <t>ヒツヨウ</t>
    </rPh>
    <rPh sb="3" eb="4">
      <t>オウ</t>
    </rPh>
    <rPh sb="9" eb="11">
      <t>コウモク</t>
    </rPh>
    <rPh sb="12" eb="14">
      <t>スウチ</t>
    </rPh>
    <rPh sb="15" eb="16">
      <t>テ</t>
    </rPh>
    <rPh sb="16" eb="18">
      <t>ニュウリョク</t>
    </rPh>
    <rPh sb="19" eb="21">
      <t>ウワガ</t>
    </rPh>
    <rPh sb="31" eb="33">
      <t>シャナイ</t>
    </rPh>
    <rPh sb="33" eb="37">
      <t>リンギジョウホウ</t>
    </rPh>
    <rPh sb="38" eb="40">
      <t>シュウシュウ</t>
    </rPh>
    <rPh sb="41" eb="42">
      <t>ツウ</t>
    </rPh>
    <rPh sb="44" eb="47">
      <t>ミケイジョウ</t>
    </rPh>
    <rPh sb="49" eb="51">
      <t>ショウライ</t>
    </rPh>
    <rPh sb="51" eb="53">
      <t>ケイジョウ</t>
    </rPh>
    <rPh sb="57" eb="59">
      <t>ハンメイ</t>
    </rPh>
    <rPh sb="63" eb="66">
      <t>ニュウシュッキン</t>
    </rPh>
    <rPh sb="67" eb="69">
      <t>ジョウホウ</t>
    </rPh>
    <rPh sb="71" eb="74">
      <t>テニュウリョク</t>
    </rPh>
    <rPh sb="75" eb="77">
      <t>ハンエイ</t>
    </rPh>
    <phoneticPr fontId="3"/>
  </si>
  <si>
    <t>資金繰りの予測を上書き保存する機能</t>
    <rPh sb="0" eb="3">
      <t>シキング</t>
    </rPh>
    <rPh sb="5" eb="7">
      <t>ヨソク</t>
    </rPh>
    <rPh sb="8" eb="10">
      <t>ウワガ</t>
    </rPh>
    <rPh sb="11" eb="13">
      <t>ホゾン</t>
    </rPh>
    <rPh sb="15" eb="17">
      <t>キノウ</t>
    </rPh>
    <phoneticPr fontId="3"/>
  </si>
  <si>
    <t>Req189</t>
  </si>
  <si>
    <t>任意の頻度で資金予測を自動更新できること</t>
    <rPh sb="0" eb="2">
      <t>ニンイ</t>
    </rPh>
    <rPh sb="3" eb="5">
      <t>ヒンド</t>
    </rPh>
    <rPh sb="6" eb="10">
      <t>シキンヨソク</t>
    </rPh>
    <rPh sb="11" eb="13">
      <t>ジドウ</t>
    </rPh>
    <rPh sb="13" eb="15">
      <t>コウシン</t>
    </rPh>
    <phoneticPr fontId="3"/>
  </si>
  <si>
    <t>資金予測を更新する機能</t>
    <rPh sb="0" eb="4">
      <t>シキンヨソク</t>
    </rPh>
    <rPh sb="5" eb="7">
      <t>コウシン</t>
    </rPh>
    <rPh sb="9" eb="11">
      <t>キノウ</t>
    </rPh>
    <phoneticPr fontId="3"/>
  </si>
  <si>
    <t>Req190</t>
  </si>
  <si>
    <t>任意の頻度で資金予測更新時に、手入力の情報は上書きしないよう設定できること</t>
    <rPh sb="0" eb="2">
      <t>ニンイ</t>
    </rPh>
    <rPh sb="3" eb="5">
      <t>ヒンド</t>
    </rPh>
    <rPh sb="6" eb="10">
      <t>シキンヨソク</t>
    </rPh>
    <rPh sb="10" eb="13">
      <t>コウシンジ</t>
    </rPh>
    <rPh sb="15" eb="18">
      <t>テニュウリョク</t>
    </rPh>
    <rPh sb="19" eb="21">
      <t>ジョウホウ</t>
    </rPh>
    <rPh sb="22" eb="24">
      <t>ウワガ</t>
    </rPh>
    <rPh sb="30" eb="32">
      <t>セッテイ</t>
    </rPh>
    <phoneticPr fontId="3"/>
  </si>
  <si>
    <t>上書きした資金予測の項目が、資金予測の自動更新時も、そのまま残る機能</t>
    <rPh sb="0" eb="2">
      <t>ウワガ</t>
    </rPh>
    <rPh sb="5" eb="9">
      <t>シキンヨソク</t>
    </rPh>
    <rPh sb="10" eb="12">
      <t>コウモク</t>
    </rPh>
    <rPh sb="14" eb="18">
      <t>シキンヨソク</t>
    </rPh>
    <rPh sb="19" eb="24">
      <t>ジドウコウシンジ</t>
    </rPh>
    <rPh sb="30" eb="31">
      <t>ノコ</t>
    </rPh>
    <rPh sb="32" eb="34">
      <t>キノウ</t>
    </rPh>
    <phoneticPr fontId="3"/>
  </si>
  <si>
    <t>Req191</t>
  </si>
  <si>
    <t>ファクタリング・電子記録債権債務を期日前に資金化する際、元の期日ではなく、資金化の期日で月次資金繰り表に反映されること</t>
    <rPh sb="8" eb="14">
      <t>デンシキロクサイケン</t>
    </rPh>
    <rPh sb="14" eb="16">
      <t>サイム</t>
    </rPh>
    <rPh sb="17" eb="20">
      <t>キジツマエ</t>
    </rPh>
    <rPh sb="21" eb="24">
      <t>シキンカ</t>
    </rPh>
    <rPh sb="26" eb="27">
      <t>サイ</t>
    </rPh>
    <rPh sb="28" eb="29">
      <t>モト</t>
    </rPh>
    <rPh sb="30" eb="32">
      <t>キジツ</t>
    </rPh>
    <rPh sb="37" eb="40">
      <t>シキンカ</t>
    </rPh>
    <rPh sb="41" eb="43">
      <t>キジツ</t>
    </rPh>
    <rPh sb="44" eb="46">
      <t>ゲツジ</t>
    </rPh>
    <rPh sb="46" eb="49">
      <t>シキング</t>
    </rPh>
    <rPh sb="50" eb="51">
      <t>ヒョウ</t>
    </rPh>
    <rPh sb="52" eb="54">
      <t>ハンエイ</t>
    </rPh>
    <phoneticPr fontId="3"/>
  </si>
  <si>
    <t>ファクタリング・電子記録債権債務を期日前に資金化する際、元の期日ではなく、資金化の期日で月次資金繰り表に反映される機能</t>
    <rPh sb="8" eb="14">
      <t>デンシキロクサイケン</t>
    </rPh>
    <rPh sb="14" eb="16">
      <t>サイム</t>
    </rPh>
    <rPh sb="17" eb="20">
      <t>キジツマエ</t>
    </rPh>
    <rPh sb="21" eb="24">
      <t>シキンカ</t>
    </rPh>
    <rPh sb="26" eb="27">
      <t>サイ</t>
    </rPh>
    <rPh sb="28" eb="29">
      <t>モト</t>
    </rPh>
    <rPh sb="30" eb="32">
      <t>キジツ</t>
    </rPh>
    <rPh sb="37" eb="40">
      <t>シキンカ</t>
    </rPh>
    <rPh sb="41" eb="43">
      <t>キジツ</t>
    </rPh>
    <rPh sb="44" eb="46">
      <t>ゲツジ</t>
    </rPh>
    <rPh sb="46" eb="49">
      <t>シキング</t>
    </rPh>
    <rPh sb="50" eb="51">
      <t>ヒョウ</t>
    </rPh>
    <rPh sb="52" eb="54">
      <t>ハンエイ</t>
    </rPh>
    <rPh sb="57" eb="59">
      <t>キノウ</t>
    </rPh>
    <phoneticPr fontId="3"/>
  </si>
  <si>
    <t>Req192</t>
  </si>
  <si>
    <t>ファクタリング・電子記録債権債務の期日別・取引先別の割引情報の一覧が確認できること</t>
    <rPh sb="8" eb="14">
      <t>デンシキロクサイケン</t>
    </rPh>
    <rPh sb="14" eb="16">
      <t>サイム</t>
    </rPh>
    <rPh sb="17" eb="20">
      <t>キジツベツ</t>
    </rPh>
    <rPh sb="21" eb="23">
      <t>トリヒキ</t>
    </rPh>
    <rPh sb="23" eb="25">
      <t>サキベツ</t>
    </rPh>
    <rPh sb="26" eb="28">
      <t>ワリビキ</t>
    </rPh>
    <rPh sb="28" eb="30">
      <t>ジョウホウ</t>
    </rPh>
    <rPh sb="31" eb="33">
      <t>イチラン</t>
    </rPh>
    <rPh sb="34" eb="36">
      <t>カクニン</t>
    </rPh>
    <phoneticPr fontId="3"/>
  </si>
  <si>
    <t>ファクタリング・電子記録債権債務の期日別・取引先別の割引情報の一覧を表示・出力する機能</t>
    <rPh sb="8" eb="14">
      <t>デンシキロクサイケン</t>
    </rPh>
    <rPh sb="14" eb="16">
      <t>サイム</t>
    </rPh>
    <rPh sb="17" eb="20">
      <t>キジツベツ</t>
    </rPh>
    <rPh sb="21" eb="23">
      <t>トリヒキ</t>
    </rPh>
    <rPh sb="23" eb="25">
      <t>サキベツ</t>
    </rPh>
    <rPh sb="26" eb="28">
      <t>ワリビキ</t>
    </rPh>
    <rPh sb="28" eb="30">
      <t>ジョウホウ</t>
    </rPh>
    <rPh sb="31" eb="33">
      <t>イチラン</t>
    </rPh>
    <rPh sb="34" eb="36">
      <t>ヒョウジ</t>
    </rPh>
    <rPh sb="37" eb="39">
      <t>シュツリョク</t>
    </rPh>
    <rPh sb="41" eb="43">
      <t>キノウ</t>
    </rPh>
    <phoneticPr fontId="3"/>
  </si>
  <si>
    <t>予定ベースでの割引情報を表示する機能がないため、アドオン開発が必要。</t>
    <rPh sb="0" eb="2">
      <t>ヨテイ</t>
    </rPh>
    <rPh sb="7" eb="9">
      <t>ワリビキ</t>
    </rPh>
    <rPh sb="9" eb="11">
      <t>ジョウホウ</t>
    </rPh>
    <rPh sb="12" eb="14">
      <t>ヒョウジ</t>
    </rPh>
    <rPh sb="16" eb="18">
      <t>キノウ</t>
    </rPh>
    <rPh sb="28" eb="30">
      <t>カイハツ</t>
    </rPh>
    <rPh sb="31" eb="33">
      <t>ヒツヨウ</t>
    </rPh>
    <phoneticPr fontId="6"/>
  </si>
  <si>
    <t>Req193</t>
  </si>
  <si>
    <t>計上された債権・債務の将来残高が、月別に表示できること</t>
    <rPh sb="0" eb="2">
      <t>ケイジョウ</t>
    </rPh>
    <rPh sb="5" eb="7">
      <t>サイケン</t>
    </rPh>
    <rPh sb="8" eb="10">
      <t>サイム</t>
    </rPh>
    <rPh sb="11" eb="15">
      <t>ショウライザンダカ</t>
    </rPh>
    <rPh sb="17" eb="19">
      <t>ツキベツ</t>
    </rPh>
    <rPh sb="20" eb="22">
      <t>ヒョウジ</t>
    </rPh>
    <phoneticPr fontId="3"/>
  </si>
  <si>
    <t>計上された債権・債務の将来残高を、月別に表示する機能</t>
    <rPh sb="0" eb="2">
      <t>ケイジョウ</t>
    </rPh>
    <rPh sb="5" eb="7">
      <t>サイケン</t>
    </rPh>
    <rPh sb="8" eb="10">
      <t>サイム</t>
    </rPh>
    <rPh sb="11" eb="15">
      <t>ショウライザンダカ</t>
    </rPh>
    <rPh sb="17" eb="19">
      <t>ツキベツ</t>
    </rPh>
    <rPh sb="20" eb="22">
      <t>ヒョウジ</t>
    </rPh>
    <rPh sb="24" eb="26">
      <t>キノウ</t>
    </rPh>
    <phoneticPr fontId="3"/>
  </si>
  <si>
    <t>標準機能なし。売掛金／買掛金の入金予定明細を出力し、Exceで編集加工。またはデータ出力アドオン。</t>
    <rPh sb="15" eb="17">
      <t>ニュウキン</t>
    </rPh>
    <rPh sb="17" eb="19">
      <t>ヨテイ</t>
    </rPh>
    <rPh sb="19" eb="21">
      <t>メイサイ</t>
    </rPh>
    <rPh sb="22" eb="24">
      <t>シュツリョク</t>
    </rPh>
    <rPh sb="42" eb="44">
      <t>シュツリョク</t>
    </rPh>
    <phoneticPr fontId="6"/>
  </si>
  <si>
    <t>Req194</t>
  </si>
  <si>
    <t>年間資金計画で作成した月次予測と同じフォーマット(＝直接法、同じ表示項目、等）で月末の資金繰り実績を作成・表示出来ること</t>
    <rPh sb="0" eb="2">
      <t>ネンカン</t>
    </rPh>
    <rPh sb="2" eb="6">
      <t>シキンケイカク</t>
    </rPh>
    <rPh sb="7" eb="9">
      <t>サクセイ</t>
    </rPh>
    <rPh sb="11" eb="13">
      <t>ゲツジ</t>
    </rPh>
    <rPh sb="13" eb="15">
      <t>ヨソク</t>
    </rPh>
    <rPh sb="16" eb="17">
      <t>オナ</t>
    </rPh>
    <rPh sb="26" eb="29">
      <t>チョクセツホウ</t>
    </rPh>
    <rPh sb="30" eb="31">
      <t>オナ</t>
    </rPh>
    <rPh sb="32" eb="34">
      <t>ヒョウジ</t>
    </rPh>
    <rPh sb="34" eb="36">
      <t>コウモク</t>
    </rPh>
    <rPh sb="37" eb="38">
      <t>ナド</t>
    </rPh>
    <rPh sb="40" eb="42">
      <t>ゲツマツ</t>
    </rPh>
    <rPh sb="43" eb="46">
      <t>シキング</t>
    </rPh>
    <rPh sb="47" eb="49">
      <t>ジッセキ</t>
    </rPh>
    <rPh sb="50" eb="52">
      <t>サクセイ</t>
    </rPh>
    <rPh sb="53" eb="55">
      <t>ヒョウジ</t>
    </rPh>
    <rPh sb="55" eb="57">
      <t>デキ</t>
    </rPh>
    <phoneticPr fontId="3"/>
  </si>
  <si>
    <t>月次資金実績が年間資金計画と同じフォーマットで作成・表示される機能</t>
    <rPh sb="0" eb="2">
      <t>ゲツジ</t>
    </rPh>
    <rPh sb="2" eb="4">
      <t>シキン</t>
    </rPh>
    <rPh sb="4" eb="6">
      <t>ジッセキ</t>
    </rPh>
    <rPh sb="7" eb="9">
      <t>ネンカン</t>
    </rPh>
    <rPh sb="9" eb="13">
      <t>シキンケイカク</t>
    </rPh>
    <rPh sb="14" eb="15">
      <t>オナ</t>
    </rPh>
    <rPh sb="23" eb="25">
      <t>サクセイ</t>
    </rPh>
    <rPh sb="26" eb="28">
      <t>ヒョウジ</t>
    </rPh>
    <rPh sb="31" eb="33">
      <t>キノウ</t>
    </rPh>
    <phoneticPr fontId="3"/>
  </si>
  <si>
    <t>Req195</t>
  </si>
  <si>
    <r>
      <t>必要に応じて、ある項目の数値を手入力で上書きできること(ex:特定の取引について、CF上で集計される科目を入れ替え、数値を変更させるケース。</t>
    </r>
    <r>
      <rPr>
        <strike/>
        <sz val="11"/>
        <rFont val="Meiryo UI"/>
        <family val="3"/>
        <charset val="128"/>
      </rPr>
      <t>社内稟議情報の収集を通じ、未計上だが将来計上されると判明している入出金の情報を、手入力で反映させるケース</t>
    </r>
    <r>
      <rPr>
        <sz val="11"/>
        <rFont val="Meiryo UI"/>
        <family val="3"/>
        <charset val="128"/>
      </rPr>
      <t>)</t>
    </r>
    <rPh sb="0" eb="2">
      <t>ヒツヨウ</t>
    </rPh>
    <rPh sb="3" eb="4">
      <t>オウ</t>
    </rPh>
    <rPh sb="9" eb="11">
      <t>コウモク</t>
    </rPh>
    <rPh sb="12" eb="14">
      <t>スウチ</t>
    </rPh>
    <rPh sb="15" eb="16">
      <t>テ</t>
    </rPh>
    <rPh sb="16" eb="18">
      <t>ニュウリョク</t>
    </rPh>
    <rPh sb="19" eb="21">
      <t>ウワガ</t>
    </rPh>
    <rPh sb="31" eb="33">
      <t>トクテイ</t>
    </rPh>
    <rPh sb="34" eb="36">
      <t>トリヒキ</t>
    </rPh>
    <rPh sb="45" eb="47">
      <t>シュウケイ</t>
    </rPh>
    <rPh sb="50" eb="52">
      <t>カモク</t>
    </rPh>
    <rPh sb="53" eb="54">
      <t>イ</t>
    </rPh>
    <rPh sb="55" eb="56">
      <t>カ</t>
    </rPh>
    <rPh sb="58" eb="60">
      <t>スウチ</t>
    </rPh>
    <rPh sb="61" eb="63">
      <t>ヘンコウ</t>
    </rPh>
    <phoneticPr fontId="3"/>
  </si>
  <si>
    <t>資金繰りの実績を上書き保存する機能</t>
    <rPh sb="0" eb="3">
      <t>シキング</t>
    </rPh>
    <rPh sb="5" eb="7">
      <t>ジッセキ</t>
    </rPh>
    <rPh sb="8" eb="10">
      <t>ウワガ</t>
    </rPh>
    <rPh sb="11" eb="13">
      <t>ホゾン</t>
    </rPh>
    <rPh sb="15" eb="17">
      <t>キノウ</t>
    </rPh>
    <phoneticPr fontId="3"/>
  </si>
  <si>
    <t>3.10</t>
  </si>
  <si>
    <t>Req196</t>
  </si>
  <si>
    <t>JPY建ての資金繰りとは別で、USD建ての資金繰りも作成・表示出来ること</t>
    <rPh sb="3" eb="4">
      <t>ダ</t>
    </rPh>
    <rPh sb="6" eb="9">
      <t>シキング</t>
    </rPh>
    <rPh sb="12" eb="13">
      <t>ベツ</t>
    </rPh>
    <rPh sb="18" eb="19">
      <t>ダ</t>
    </rPh>
    <rPh sb="21" eb="24">
      <t>シキング</t>
    </rPh>
    <rPh sb="26" eb="28">
      <t>サクセイ</t>
    </rPh>
    <rPh sb="29" eb="31">
      <t>ヒョウジ</t>
    </rPh>
    <rPh sb="31" eb="33">
      <t>デキ</t>
    </rPh>
    <phoneticPr fontId="3"/>
  </si>
  <si>
    <t>・全通貨をまとめてJPY建てで資金繰りを作成できる機能
・USD建てで計上されている債権・債務などの入出金を確認する、所謂”USD資金繰り表”が作成できる機能</t>
    <rPh sb="1" eb="4">
      <t>ゼンツウカ</t>
    </rPh>
    <rPh sb="12" eb="13">
      <t>ダ</t>
    </rPh>
    <rPh sb="15" eb="18">
      <t>シキング</t>
    </rPh>
    <rPh sb="20" eb="22">
      <t>サクセイ</t>
    </rPh>
    <rPh sb="25" eb="27">
      <t>キノウ</t>
    </rPh>
    <rPh sb="32" eb="33">
      <t>ダ</t>
    </rPh>
    <rPh sb="35" eb="37">
      <t>ケイジョウ</t>
    </rPh>
    <rPh sb="42" eb="44">
      <t>サイケン</t>
    </rPh>
    <rPh sb="45" eb="47">
      <t>サイム</t>
    </rPh>
    <rPh sb="50" eb="53">
      <t>ニュウシュッキン</t>
    </rPh>
    <rPh sb="54" eb="56">
      <t>カクニン</t>
    </rPh>
    <rPh sb="59" eb="61">
      <t>イワユル</t>
    </rPh>
    <rPh sb="65" eb="68">
      <t>シキング</t>
    </rPh>
    <rPh sb="69" eb="70">
      <t>ヒョウ</t>
    </rPh>
    <rPh sb="72" eb="74">
      <t>サクセイ</t>
    </rPh>
    <rPh sb="77" eb="79">
      <t>キノウ</t>
    </rPh>
    <phoneticPr fontId="3"/>
  </si>
  <si>
    <t>Req197</t>
  </si>
  <si>
    <t>資金計画で作成した月次資金予測と月末資金実績とを横並びで比較し、項目ごとの差異が計算・表示されること</t>
    <rPh sb="0" eb="4">
      <t>シキンケイカク</t>
    </rPh>
    <rPh sb="5" eb="7">
      <t>サクセイ</t>
    </rPh>
    <rPh sb="9" eb="11">
      <t>ゲツジ</t>
    </rPh>
    <rPh sb="11" eb="13">
      <t>シキン</t>
    </rPh>
    <rPh sb="13" eb="15">
      <t>ヨソク</t>
    </rPh>
    <rPh sb="16" eb="18">
      <t>ゲツマツ</t>
    </rPh>
    <rPh sb="18" eb="20">
      <t>シキン</t>
    </rPh>
    <rPh sb="20" eb="22">
      <t>ジッセキ</t>
    </rPh>
    <rPh sb="24" eb="26">
      <t>ヨコナラ</t>
    </rPh>
    <rPh sb="28" eb="30">
      <t>ヒカク</t>
    </rPh>
    <rPh sb="32" eb="34">
      <t>コウモク</t>
    </rPh>
    <rPh sb="37" eb="39">
      <t>サイ</t>
    </rPh>
    <rPh sb="40" eb="42">
      <t>ケイサン</t>
    </rPh>
    <rPh sb="43" eb="45">
      <t>ヒョウジ</t>
    </rPh>
    <phoneticPr fontId="3"/>
  </si>
  <si>
    <t>年間計画で作成した予測と実績を比較して表示し、差異を計算する機能</t>
    <rPh sb="0" eb="2">
      <t>ネンカン</t>
    </rPh>
    <rPh sb="2" eb="4">
      <t>ケイカク</t>
    </rPh>
    <rPh sb="5" eb="7">
      <t>サクセイ</t>
    </rPh>
    <rPh sb="9" eb="11">
      <t>ヨソク</t>
    </rPh>
    <rPh sb="12" eb="14">
      <t>ジッセキ</t>
    </rPh>
    <rPh sb="15" eb="17">
      <t>ヒカク</t>
    </rPh>
    <rPh sb="19" eb="21">
      <t>ヒョウジ</t>
    </rPh>
    <rPh sb="23" eb="25">
      <t>サイ</t>
    </rPh>
    <rPh sb="26" eb="28">
      <t>ケイサン</t>
    </rPh>
    <rPh sb="30" eb="32">
      <t>キノウ</t>
    </rPh>
    <phoneticPr fontId="3"/>
  </si>
  <si>
    <t>Req198</t>
  </si>
  <si>
    <t>あるタイミングにおける月末資金予測と月末資金実績とを横並びで比較し、項目ごとの差異が計算・表示されること
(ex:月末に資金調達をするにあたり、月末の1週間前次点の月末資金予測を確認した際に、その予測と月末資金実績とを横並びで比較出来ること)</t>
    <rPh sb="11" eb="13">
      <t>ゲツマツ</t>
    </rPh>
    <rPh sb="13" eb="15">
      <t>シキン</t>
    </rPh>
    <rPh sb="15" eb="17">
      <t>ヨソク</t>
    </rPh>
    <rPh sb="18" eb="20">
      <t>ゲツマツ</t>
    </rPh>
    <rPh sb="20" eb="22">
      <t>シキン</t>
    </rPh>
    <rPh sb="22" eb="24">
      <t>ジッセキ</t>
    </rPh>
    <rPh sb="26" eb="28">
      <t>ヨコナラ</t>
    </rPh>
    <rPh sb="30" eb="32">
      <t>ヒカク</t>
    </rPh>
    <rPh sb="34" eb="36">
      <t>コウモク</t>
    </rPh>
    <rPh sb="39" eb="41">
      <t>サイ</t>
    </rPh>
    <rPh sb="42" eb="44">
      <t>ケイサン</t>
    </rPh>
    <rPh sb="45" eb="47">
      <t>ヒョウジ</t>
    </rPh>
    <rPh sb="57" eb="59">
      <t>ゲツマツ</t>
    </rPh>
    <rPh sb="60" eb="64">
      <t>シキンチョウタツ</t>
    </rPh>
    <rPh sb="89" eb="91">
      <t>カクニン</t>
    </rPh>
    <rPh sb="93" eb="94">
      <t>サイ</t>
    </rPh>
    <rPh sb="98" eb="100">
      <t>ヨソク</t>
    </rPh>
    <rPh sb="101" eb="103">
      <t>ゲツマツ</t>
    </rPh>
    <rPh sb="103" eb="107">
      <t>シキンジッセキ</t>
    </rPh>
    <rPh sb="109" eb="111">
      <t>ヨコナラ</t>
    </rPh>
    <rPh sb="113" eb="115">
      <t>ヒカク</t>
    </rPh>
    <rPh sb="115" eb="117">
      <t>デキ</t>
    </rPh>
    <phoneticPr fontId="3"/>
  </si>
  <si>
    <t>月中に更新された資金予測と実績を比較して表示し、差異を計算する機能</t>
    <rPh sb="0" eb="2">
      <t>ゲッチュウ</t>
    </rPh>
    <rPh sb="3" eb="5">
      <t>コウシン</t>
    </rPh>
    <rPh sb="8" eb="10">
      <t>シキン</t>
    </rPh>
    <rPh sb="10" eb="12">
      <t>ヨソク</t>
    </rPh>
    <rPh sb="13" eb="15">
      <t>ジッセキ</t>
    </rPh>
    <rPh sb="16" eb="18">
      <t>ヒカク</t>
    </rPh>
    <rPh sb="20" eb="22">
      <t>ヒョウジ</t>
    </rPh>
    <rPh sb="24" eb="26">
      <t>サイ</t>
    </rPh>
    <rPh sb="27" eb="29">
      <t>ケイサン</t>
    </rPh>
    <rPh sb="31" eb="33">
      <t>キノウ</t>
    </rPh>
    <phoneticPr fontId="3"/>
  </si>
  <si>
    <t>・D365ではなく、EPMにデータを流し、EPMで自動に作成できるよう検討したい。
・EPM上ではできなくてもよく、データをダウンロードして比較できるような形でもいい。</t>
    <rPh sb="18" eb="19">
      <t>ナガ</t>
    </rPh>
    <rPh sb="25" eb="27">
      <t>ジドウ</t>
    </rPh>
    <rPh sb="28" eb="30">
      <t>サクセイ</t>
    </rPh>
    <rPh sb="35" eb="37">
      <t>ケントウ</t>
    </rPh>
    <rPh sb="46" eb="47">
      <t>ジョウ</t>
    </rPh>
    <rPh sb="70" eb="72">
      <t>ヒカク</t>
    </rPh>
    <rPh sb="78" eb="79">
      <t>カタチ</t>
    </rPh>
    <phoneticPr fontId="6"/>
  </si>
  <si>
    <t>Req199</t>
  </si>
  <si>
    <t>借入発生時、金額・通貨・金利・金利条件・利息発生タイミング・借入期間・返済タイミング・借入先などの情報を入力し、借入金を会計システム内で管理出来ること</t>
    <rPh sb="0" eb="5">
      <t>カリイレハッセイジ</t>
    </rPh>
    <rPh sb="6" eb="8">
      <t>キンガク</t>
    </rPh>
    <rPh sb="9" eb="11">
      <t>ツウカ</t>
    </rPh>
    <rPh sb="12" eb="14">
      <t>キンリ</t>
    </rPh>
    <rPh sb="15" eb="19">
      <t>キンリジョウケン</t>
    </rPh>
    <rPh sb="20" eb="22">
      <t>リソク</t>
    </rPh>
    <rPh sb="22" eb="24">
      <t>ハッセイ</t>
    </rPh>
    <rPh sb="30" eb="32">
      <t>カリイレ</t>
    </rPh>
    <rPh sb="32" eb="34">
      <t>キカン</t>
    </rPh>
    <rPh sb="35" eb="37">
      <t>ヘンサイ</t>
    </rPh>
    <rPh sb="43" eb="46">
      <t>カリイレサキ</t>
    </rPh>
    <rPh sb="49" eb="51">
      <t>ジョウホウ</t>
    </rPh>
    <rPh sb="52" eb="54">
      <t>ニュウリョク</t>
    </rPh>
    <rPh sb="56" eb="59">
      <t>カリイレキン</t>
    </rPh>
    <rPh sb="60" eb="62">
      <t>カイケイ</t>
    </rPh>
    <rPh sb="66" eb="67">
      <t>ナイ</t>
    </rPh>
    <rPh sb="68" eb="70">
      <t>カンリ</t>
    </rPh>
    <rPh sb="70" eb="72">
      <t>デキ</t>
    </rPh>
    <phoneticPr fontId="3"/>
  </si>
  <si>
    <t>借入金を登録・管理する機能</t>
    <rPh sb="0" eb="3">
      <t>カリイレキン</t>
    </rPh>
    <rPh sb="4" eb="6">
      <t>トウロク</t>
    </rPh>
    <rPh sb="7" eb="9">
      <t>カンリ</t>
    </rPh>
    <rPh sb="11" eb="13">
      <t>キノウ</t>
    </rPh>
    <phoneticPr fontId="3"/>
  </si>
  <si>
    <t>調達・運用・通貨交換</t>
    <phoneticPr fontId="6"/>
  </si>
  <si>
    <t>標準機能に、借入金管理(金利条件・利息発生タイミング・借入期間・返済タイミング)機能なし。EXCELで管理またはアドオン開発が必要。
20240404
現状のEXCEL運用</t>
    <rPh sb="0" eb="4">
      <t>ヒョウジュンキノウ</t>
    </rPh>
    <rPh sb="6" eb="9">
      <t>カリイレキン</t>
    </rPh>
    <rPh sb="9" eb="11">
      <t>カンリ</t>
    </rPh>
    <rPh sb="40" eb="42">
      <t>キノウ</t>
    </rPh>
    <rPh sb="51" eb="53">
      <t>カンリ</t>
    </rPh>
    <rPh sb="60" eb="62">
      <t>カイハツ</t>
    </rPh>
    <rPh sb="63" eb="65">
      <t>ヒツヨウ</t>
    </rPh>
    <rPh sb="76" eb="78">
      <t>ゲンジョウ</t>
    </rPh>
    <rPh sb="84" eb="86">
      <t>ウンヨウ</t>
    </rPh>
    <phoneticPr fontId="6"/>
  </si>
  <si>
    <t>・D365ではなく、EPMにデータを流し、EPMで自動に作成できるよう検討したい。
・グローバルの借入現預金を管理したい。
・エリアからはExcelでローデータを収集するので、会計システム内で管理する必要はなく、EPMまでもいらず、BIツール等でまとめれればありがたい。</t>
    <rPh sb="49" eb="51">
      <t>カリイレ</t>
    </rPh>
    <rPh sb="51" eb="54">
      <t>ゲンヨキン</t>
    </rPh>
    <rPh sb="55" eb="57">
      <t>カンリ</t>
    </rPh>
    <rPh sb="81" eb="83">
      <t>シュウシュウ</t>
    </rPh>
    <rPh sb="88" eb="90">
      <t>カイケイ</t>
    </rPh>
    <rPh sb="94" eb="95">
      <t>ナイ</t>
    </rPh>
    <rPh sb="96" eb="98">
      <t>カンリ</t>
    </rPh>
    <rPh sb="100" eb="102">
      <t>ヒツヨウ</t>
    </rPh>
    <rPh sb="121" eb="122">
      <t>トウ</t>
    </rPh>
    <phoneticPr fontId="6"/>
  </si>
  <si>
    <t>Req200</t>
  </si>
  <si>
    <t>登録した借入金に、契約書のPDFを添付できること、または計上し借入金の仕訳に契約書のPDFを添付できること</t>
    <rPh sb="0" eb="2">
      <t>トウロク</t>
    </rPh>
    <rPh sb="4" eb="6">
      <t>カリイレ</t>
    </rPh>
    <rPh sb="6" eb="7">
      <t>キン</t>
    </rPh>
    <rPh sb="8" eb="11">
      <t>ケイヤクショ</t>
    </rPh>
    <rPh sb="16" eb="18">
      <t>テンプ</t>
    </rPh>
    <rPh sb="27" eb="29">
      <t>ケイジョウ</t>
    </rPh>
    <rPh sb="31" eb="33">
      <t>カリイレ</t>
    </rPh>
    <rPh sb="33" eb="34">
      <t>キン</t>
    </rPh>
    <rPh sb="34" eb="36">
      <t>シワケ</t>
    </rPh>
    <rPh sb="37" eb="40">
      <t>ケイヤクショ</t>
    </rPh>
    <rPh sb="45" eb="47">
      <t>テンプ</t>
    </rPh>
    <phoneticPr fontId="3"/>
  </si>
  <si>
    <t>借入金に契約書を添付する機能</t>
    <rPh sb="8" eb="10">
      <t>テンプ</t>
    </rPh>
    <phoneticPr fontId="3"/>
  </si>
  <si>
    <t>伝票に文書を添付する機能あり、検索性が優れているとは言えないので、Shrepoint等での保管を推奨。</t>
    <rPh sb="0" eb="2">
      <t>デンピョウ</t>
    </rPh>
    <rPh sb="3" eb="5">
      <t>ブンショ</t>
    </rPh>
    <rPh sb="6" eb="8">
      <t>テンプ</t>
    </rPh>
    <rPh sb="10" eb="12">
      <t>キノウ</t>
    </rPh>
    <rPh sb="15" eb="18">
      <t>ケンサクセイ</t>
    </rPh>
    <rPh sb="19" eb="20">
      <t>スグ</t>
    </rPh>
    <rPh sb="26" eb="27">
      <t>イ</t>
    </rPh>
    <rPh sb="42" eb="43">
      <t>トウ</t>
    </rPh>
    <rPh sb="45" eb="47">
      <t>ホカン</t>
    </rPh>
    <rPh sb="48" eb="50">
      <t>スイショウ</t>
    </rPh>
    <phoneticPr fontId="3"/>
  </si>
  <si>
    <t>Req201</t>
  </si>
  <si>
    <t>金融機関別で同日に発生した複数の借入金を、簡便的に一括登録できること</t>
    <rPh sb="0" eb="5">
      <t>キンユウキカンベツ</t>
    </rPh>
    <rPh sb="6" eb="8">
      <t>ドウジツ</t>
    </rPh>
    <rPh sb="9" eb="11">
      <t>ハッセイ</t>
    </rPh>
    <rPh sb="13" eb="15">
      <t>フクスウ</t>
    </rPh>
    <rPh sb="16" eb="19">
      <t>カリイレキン</t>
    </rPh>
    <rPh sb="21" eb="24">
      <t>カンベンテキ</t>
    </rPh>
    <rPh sb="25" eb="29">
      <t>イッカツトウロク</t>
    </rPh>
    <phoneticPr fontId="3"/>
  </si>
  <si>
    <t>借入金の仕訳を一括登録する機能</t>
    <rPh sb="0" eb="3">
      <t>カリイレキン</t>
    </rPh>
    <rPh sb="4" eb="6">
      <t>シワケ</t>
    </rPh>
    <rPh sb="7" eb="11">
      <t>イッカツトウロク</t>
    </rPh>
    <rPh sb="13" eb="15">
      <t>キノウ</t>
    </rPh>
    <phoneticPr fontId="3"/>
  </si>
  <si>
    <t>一般仕訳帳にExcelアドインで登録</t>
    <rPh sb="16" eb="18">
      <t>トウロク</t>
    </rPh>
    <phoneticPr fontId="6"/>
  </si>
  <si>
    <t>Req202</t>
  </si>
  <si>
    <t>登録済みの情報を用いて、支払利息の金額を自動計算できること</t>
    <rPh sb="0" eb="3">
      <t>トウロクズ</t>
    </rPh>
    <rPh sb="5" eb="7">
      <t>ジョウホウ</t>
    </rPh>
    <rPh sb="8" eb="9">
      <t>モチ</t>
    </rPh>
    <rPh sb="12" eb="14">
      <t>シハラ</t>
    </rPh>
    <rPh sb="14" eb="16">
      <t>リソク</t>
    </rPh>
    <rPh sb="17" eb="19">
      <t>キンガク</t>
    </rPh>
    <rPh sb="20" eb="24">
      <t>ジドウケイサン</t>
    </rPh>
    <phoneticPr fontId="3"/>
  </si>
  <si>
    <t>任意の期間の支払利息を自動計算する機能</t>
    <rPh sb="0" eb="2">
      <t>ニンイ</t>
    </rPh>
    <rPh sb="3" eb="5">
      <t>キカン</t>
    </rPh>
    <rPh sb="6" eb="8">
      <t>シハラ</t>
    </rPh>
    <rPh sb="8" eb="10">
      <t>リソク</t>
    </rPh>
    <rPh sb="11" eb="15">
      <t>ジドウケイサン</t>
    </rPh>
    <rPh sb="17" eb="19">
      <t>キノウ</t>
    </rPh>
    <phoneticPr fontId="3"/>
  </si>
  <si>
    <t>借入金利息を自動計算する機能なし。EXCELで管理またはアドオン開発が必要。</t>
    <rPh sb="0" eb="3">
      <t>カリイレキン</t>
    </rPh>
    <rPh sb="3" eb="5">
      <t>リソク</t>
    </rPh>
    <rPh sb="6" eb="8">
      <t>ジドウ</t>
    </rPh>
    <rPh sb="8" eb="10">
      <t>ケイサン</t>
    </rPh>
    <rPh sb="12" eb="14">
      <t>キノウ</t>
    </rPh>
    <phoneticPr fontId="6"/>
  </si>
  <si>
    <t>Req203</t>
  </si>
  <si>
    <t>登録済みの情報を用いて、支払利息の仕訳が自動計上できること</t>
    <rPh sb="0" eb="3">
      <t>トウロクズ</t>
    </rPh>
    <rPh sb="5" eb="7">
      <t>ジョウホウ</t>
    </rPh>
    <rPh sb="8" eb="9">
      <t>モチ</t>
    </rPh>
    <rPh sb="12" eb="16">
      <t>シハライリソク</t>
    </rPh>
    <rPh sb="17" eb="19">
      <t>シワケ</t>
    </rPh>
    <rPh sb="20" eb="24">
      <t>ジドウケイジョウ</t>
    </rPh>
    <phoneticPr fontId="3"/>
  </si>
  <si>
    <t>支払利息の仕訳を自動計上する機能</t>
    <rPh sb="0" eb="2">
      <t>シハラ</t>
    </rPh>
    <rPh sb="2" eb="4">
      <t>リソク</t>
    </rPh>
    <rPh sb="5" eb="7">
      <t>シワケ</t>
    </rPh>
    <rPh sb="8" eb="10">
      <t>ジドウ</t>
    </rPh>
    <rPh sb="10" eb="12">
      <t>ケイジョウ</t>
    </rPh>
    <rPh sb="14" eb="16">
      <t>キノウ</t>
    </rPh>
    <phoneticPr fontId="3"/>
  </si>
  <si>
    <t>借入金利息を自動計上する機能なし。一般仕訳帳に手動入力。</t>
    <rPh sb="0" eb="3">
      <t>カリイレキン</t>
    </rPh>
    <rPh sb="3" eb="5">
      <t>リソク</t>
    </rPh>
    <rPh sb="6" eb="8">
      <t>ジドウ</t>
    </rPh>
    <rPh sb="8" eb="10">
      <t>ケイジョウ</t>
    </rPh>
    <rPh sb="12" eb="14">
      <t>キノウ</t>
    </rPh>
    <rPh sb="17" eb="19">
      <t>イッパン</t>
    </rPh>
    <rPh sb="19" eb="22">
      <t>シワケチョウ</t>
    </rPh>
    <rPh sb="23" eb="25">
      <t>シュドウ</t>
    </rPh>
    <rPh sb="25" eb="27">
      <t>ニュウリョク</t>
    </rPh>
    <phoneticPr fontId="6"/>
  </si>
  <si>
    <t>Req204</t>
  </si>
  <si>
    <t>1年超の借入について、返済期間が1年未満となった際に、自動で長短振替ができること、または簡便的な方法で仕訳を計上できること(ex:借入期の登録画面から、ボタン一つで長短振替を行える)</t>
    <rPh sb="1" eb="3">
      <t>ネンチョウ</t>
    </rPh>
    <rPh sb="4" eb="6">
      <t>カリイレ</t>
    </rPh>
    <rPh sb="11" eb="15">
      <t>ヘンサイキカン</t>
    </rPh>
    <rPh sb="17" eb="20">
      <t>ネンミマン</t>
    </rPh>
    <rPh sb="24" eb="25">
      <t>サイ</t>
    </rPh>
    <rPh sb="27" eb="29">
      <t>ジドウ</t>
    </rPh>
    <rPh sb="30" eb="32">
      <t>チョウタン</t>
    </rPh>
    <rPh sb="32" eb="34">
      <t>フリカエ</t>
    </rPh>
    <rPh sb="44" eb="47">
      <t>カンベンテキ</t>
    </rPh>
    <rPh sb="48" eb="50">
      <t>ホウホウ</t>
    </rPh>
    <rPh sb="51" eb="53">
      <t>シワケ</t>
    </rPh>
    <rPh sb="54" eb="56">
      <t>ケイジョウ</t>
    </rPh>
    <rPh sb="65" eb="68">
      <t>カリイレキ</t>
    </rPh>
    <rPh sb="69" eb="73">
      <t>トウロクガメン</t>
    </rPh>
    <rPh sb="79" eb="80">
      <t>ヒト</t>
    </rPh>
    <rPh sb="82" eb="86">
      <t>チョウタンフリカエ</t>
    </rPh>
    <rPh sb="87" eb="88">
      <t>オコナ</t>
    </rPh>
    <phoneticPr fontId="3"/>
  </si>
  <si>
    <t>長期借入金を短期借入金に自動振替する機能</t>
    <rPh sb="0" eb="5">
      <t>チョウキカリイレキン</t>
    </rPh>
    <rPh sb="6" eb="11">
      <t>タンキカリイレキン</t>
    </rPh>
    <rPh sb="12" eb="14">
      <t>ジドウ</t>
    </rPh>
    <rPh sb="14" eb="16">
      <t>フリカエ</t>
    </rPh>
    <rPh sb="18" eb="20">
      <t>キノウ</t>
    </rPh>
    <phoneticPr fontId="3"/>
  </si>
  <si>
    <t>借入金利息を自動計算する機能なし。EXCEL計算結果を手動伝票入力するか、アドオン開発が必要。</t>
    <rPh sb="0" eb="3">
      <t>カリイレキン</t>
    </rPh>
    <rPh sb="3" eb="5">
      <t>リソク</t>
    </rPh>
    <rPh sb="6" eb="8">
      <t>ジドウ</t>
    </rPh>
    <rPh sb="8" eb="10">
      <t>ケイサン</t>
    </rPh>
    <rPh sb="12" eb="14">
      <t>キノウ</t>
    </rPh>
    <rPh sb="22" eb="24">
      <t>ケイサン</t>
    </rPh>
    <rPh sb="24" eb="26">
      <t>ケッカ</t>
    </rPh>
    <rPh sb="27" eb="29">
      <t>シュドウ</t>
    </rPh>
    <rPh sb="29" eb="31">
      <t>デンピョウ</t>
    </rPh>
    <rPh sb="31" eb="33">
      <t>ニュウリョク</t>
    </rPh>
    <phoneticPr fontId="6"/>
  </si>
  <si>
    <t>Req205</t>
  </si>
  <si>
    <t>事前に登録された借入金の情報から、自動で返済の仕訳が計上できること、または、登録画面から簡便的な方法で返済の仕訳が計上できること</t>
    <rPh sb="0" eb="2">
      <t>ジゼン</t>
    </rPh>
    <rPh sb="3" eb="5">
      <t>トウロク</t>
    </rPh>
    <rPh sb="8" eb="10">
      <t>カリイレ</t>
    </rPh>
    <rPh sb="10" eb="11">
      <t>キン</t>
    </rPh>
    <rPh sb="12" eb="14">
      <t>ジョウホウ</t>
    </rPh>
    <rPh sb="17" eb="19">
      <t>ジドウ</t>
    </rPh>
    <rPh sb="20" eb="22">
      <t>ヘンサイ</t>
    </rPh>
    <rPh sb="23" eb="25">
      <t>シワケ</t>
    </rPh>
    <rPh sb="26" eb="28">
      <t>ケイジョウ</t>
    </rPh>
    <rPh sb="38" eb="40">
      <t>トウロク</t>
    </rPh>
    <rPh sb="40" eb="42">
      <t>ガメン</t>
    </rPh>
    <rPh sb="44" eb="46">
      <t>カンベン</t>
    </rPh>
    <rPh sb="46" eb="47">
      <t>テキ</t>
    </rPh>
    <rPh sb="48" eb="50">
      <t>ホウホウ</t>
    </rPh>
    <rPh sb="51" eb="53">
      <t>ヘンサイ</t>
    </rPh>
    <rPh sb="54" eb="56">
      <t>シワケ</t>
    </rPh>
    <rPh sb="57" eb="59">
      <t>ケイジョウ</t>
    </rPh>
    <phoneticPr fontId="3"/>
  </si>
  <si>
    <t>借入金の返済仕訳を自動計上する機能</t>
    <rPh sb="0" eb="3">
      <t>カリイレキン</t>
    </rPh>
    <rPh sb="4" eb="8">
      <t>ヘンサイシワケ</t>
    </rPh>
    <rPh sb="9" eb="13">
      <t>ジドウケイジョウ</t>
    </rPh>
    <rPh sb="15" eb="17">
      <t>キノウ</t>
    </rPh>
    <phoneticPr fontId="3"/>
  </si>
  <si>
    <t>自動計上する機能なし。一般仕訳帳に手動入力。</t>
    <rPh sb="0" eb="2">
      <t>ジドウ</t>
    </rPh>
    <rPh sb="2" eb="4">
      <t>ケイジョウ</t>
    </rPh>
    <rPh sb="6" eb="8">
      <t>キノウ</t>
    </rPh>
    <rPh sb="11" eb="13">
      <t>イッパン</t>
    </rPh>
    <rPh sb="13" eb="16">
      <t>シワケチョウ</t>
    </rPh>
    <rPh sb="17" eb="19">
      <t>シュドウ</t>
    </rPh>
    <rPh sb="19" eb="21">
      <t>ニュウリョク</t>
    </rPh>
    <phoneticPr fontId="6"/>
  </si>
  <si>
    <t>Req206</t>
  </si>
  <si>
    <t>契約ごとに明細を分け、借入金の一覧が表示できること</t>
    <rPh sb="0" eb="2">
      <t>ケイヤク</t>
    </rPh>
    <rPh sb="5" eb="7">
      <t>メイサイ</t>
    </rPh>
    <rPh sb="8" eb="9">
      <t>ワ</t>
    </rPh>
    <rPh sb="11" eb="14">
      <t>カリイレキン</t>
    </rPh>
    <rPh sb="15" eb="17">
      <t>イチラン</t>
    </rPh>
    <rPh sb="18" eb="20">
      <t>ヒョウジ</t>
    </rPh>
    <phoneticPr fontId="3"/>
  </si>
  <si>
    <t>月末時点の借入金の残高一覧を表示する機能</t>
    <rPh sb="0" eb="4">
      <t>ゲツマツジテン</t>
    </rPh>
    <rPh sb="5" eb="8">
      <t>カリイレキン</t>
    </rPh>
    <rPh sb="9" eb="13">
      <t>ザンダカイチラン</t>
    </rPh>
    <rPh sb="14" eb="16">
      <t>ヒョウジ</t>
    </rPh>
    <rPh sb="18" eb="20">
      <t>キノウ</t>
    </rPh>
    <phoneticPr fontId="3"/>
  </si>
  <si>
    <t>財務分析コードで相手先コードや契約番号を管理し、勘定科目残高として表示することは可能。</t>
    <rPh sb="0" eb="4">
      <t>ザイムブンセキ</t>
    </rPh>
    <rPh sb="8" eb="10">
      <t>アイテ</t>
    </rPh>
    <rPh sb="10" eb="11">
      <t>サキ</t>
    </rPh>
    <rPh sb="15" eb="17">
      <t>ケイヤク</t>
    </rPh>
    <rPh sb="17" eb="19">
      <t>バンゴウ</t>
    </rPh>
    <rPh sb="20" eb="22">
      <t>カンリ</t>
    </rPh>
    <rPh sb="24" eb="26">
      <t>カンジョウ</t>
    </rPh>
    <rPh sb="26" eb="28">
      <t>カモク</t>
    </rPh>
    <rPh sb="28" eb="30">
      <t>ザンダカ</t>
    </rPh>
    <rPh sb="33" eb="35">
      <t>ヒョウジ</t>
    </rPh>
    <rPh sb="40" eb="42">
      <t>カノウ</t>
    </rPh>
    <phoneticPr fontId="3"/>
  </si>
  <si>
    <t>Req207</t>
  </si>
  <si>
    <t>金融機関別・通貨別の借入残高の一覧が計算・表示できること</t>
    <rPh sb="0" eb="5">
      <t>キンユウキカンベツ</t>
    </rPh>
    <rPh sb="6" eb="9">
      <t>ツウカベツ</t>
    </rPh>
    <rPh sb="10" eb="12">
      <t>カリイレ</t>
    </rPh>
    <rPh sb="12" eb="14">
      <t>ザンダカ</t>
    </rPh>
    <rPh sb="15" eb="17">
      <t>イチラン</t>
    </rPh>
    <rPh sb="18" eb="20">
      <t>ケイサン</t>
    </rPh>
    <rPh sb="21" eb="23">
      <t>ヒョウジ</t>
    </rPh>
    <phoneticPr fontId="3"/>
  </si>
  <si>
    <t>月末時点の金融機関別・通貨別の借入残高の一覧を計算・表示する機能</t>
    <rPh sb="0" eb="4">
      <t>ゲツマツジテン</t>
    </rPh>
    <rPh sb="5" eb="10">
      <t>キンユウキカンベツ</t>
    </rPh>
    <rPh sb="11" eb="14">
      <t>ツウカベツ</t>
    </rPh>
    <rPh sb="15" eb="17">
      <t>カリイレ</t>
    </rPh>
    <rPh sb="17" eb="19">
      <t>ザンダカ</t>
    </rPh>
    <rPh sb="20" eb="22">
      <t>イチラン</t>
    </rPh>
    <rPh sb="23" eb="25">
      <t>ケイサン</t>
    </rPh>
    <rPh sb="26" eb="28">
      <t>ヒョウジ</t>
    </rPh>
    <rPh sb="30" eb="32">
      <t>キノウ</t>
    </rPh>
    <phoneticPr fontId="3"/>
  </si>
  <si>
    <t>財務分析コードを金融機関別に管理して入力すれば借入金の金融機関別通貨別の表示は可能。
一覧表示させたい場合、アドオン開発が必要。
国内ｈ科目が金融機関別になっているし円建てのみのため標準のFO試算表で対応可能</t>
    <rPh sb="0" eb="4">
      <t>ザイムブンセキ</t>
    </rPh>
    <rPh sb="8" eb="12">
      <t>キンユウキカン</t>
    </rPh>
    <rPh sb="12" eb="13">
      <t>ベツ</t>
    </rPh>
    <rPh sb="14" eb="16">
      <t>カンリ</t>
    </rPh>
    <rPh sb="18" eb="20">
      <t>ニュウリョク</t>
    </rPh>
    <rPh sb="23" eb="26">
      <t>カリイレキン</t>
    </rPh>
    <rPh sb="27" eb="31">
      <t>キンユウキカン</t>
    </rPh>
    <rPh sb="31" eb="32">
      <t>ベツ</t>
    </rPh>
    <rPh sb="32" eb="35">
      <t>ツウカベツ</t>
    </rPh>
    <rPh sb="36" eb="38">
      <t>ヒョウジ</t>
    </rPh>
    <rPh sb="39" eb="41">
      <t>カノウ</t>
    </rPh>
    <rPh sb="43" eb="45">
      <t>イチラン</t>
    </rPh>
    <rPh sb="45" eb="47">
      <t>ヒョウジ</t>
    </rPh>
    <rPh sb="51" eb="53">
      <t>バアイ</t>
    </rPh>
    <rPh sb="58" eb="60">
      <t>カイハツ</t>
    </rPh>
    <rPh sb="61" eb="63">
      <t>ヒツヨウ</t>
    </rPh>
    <rPh sb="65" eb="67">
      <t>コクナイ</t>
    </rPh>
    <rPh sb="68" eb="70">
      <t>カモク</t>
    </rPh>
    <rPh sb="71" eb="76">
      <t>キンユウキカンベツ</t>
    </rPh>
    <rPh sb="83" eb="85">
      <t>エンダ</t>
    </rPh>
    <rPh sb="91" eb="93">
      <t>ヒョウジュン</t>
    </rPh>
    <rPh sb="96" eb="99">
      <t>シサンヒョウ</t>
    </rPh>
    <rPh sb="100" eb="102">
      <t>タイオウ</t>
    </rPh>
    <rPh sb="102" eb="104">
      <t>カノウ</t>
    </rPh>
    <phoneticPr fontId="3"/>
  </si>
  <si>
    <t>・グローバルの借入現預金を管理したい。
・エリアからはExcelでローデータを収集するので、会計システム内で管理する必要はなく、EPMまでもいらず、BIツール等でまとめれればありがたい。</t>
    <rPh sb="7" eb="9">
      <t>カリイレ</t>
    </rPh>
    <rPh sb="9" eb="12">
      <t>ゲンヨキン</t>
    </rPh>
    <rPh sb="13" eb="15">
      <t>カンリ</t>
    </rPh>
    <rPh sb="39" eb="41">
      <t>シュウシュウ</t>
    </rPh>
    <rPh sb="46" eb="48">
      <t>カイケイ</t>
    </rPh>
    <rPh sb="52" eb="53">
      <t>ナイ</t>
    </rPh>
    <rPh sb="54" eb="56">
      <t>カンリ</t>
    </rPh>
    <rPh sb="58" eb="60">
      <t>ヒツヨウ</t>
    </rPh>
    <rPh sb="79" eb="80">
      <t>トウ</t>
    </rPh>
    <phoneticPr fontId="6"/>
  </si>
  <si>
    <t>Req208</t>
  </si>
  <si>
    <t>過去に借り入れた時の利率確認等を行うために、過去5年分の借入の履歴を保持・表示できること</t>
    <rPh sb="0" eb="2">
      <t>カコ</t>
    </rPh>
    <rPh sb="3" eb="4">
      <t>カ</t>
    </rPh>
    <rPh sb="5" eb="6">
      <t>イ</t>
    </rPh>
    <rPh sb="8" eb="9">
      <t>トキ</t>
    </rPh>
    <rPh sb="10" eb="12">
      <t>リリツ</t>
    </rPh>
    <rPh sb="12" eb="14">
      <t>カクニン</t>
    </rPh>
    <rPh sb="14" eb="15">
      <t>トウ</t>
    </rPh>
    <rPh sb="16" eb="17">
      <t>オコナ</t>
    </rPh>
    <rPh sb="22" eb="24">
      <t>カコ</t>
    </rPh>
    <rPh sb="25" eb="27">
      <t>ネンブン</t>
    </rPh>
    <rPh sb="28" eb="30">
      <t>カリイレ</t>
    </rPh>
    <rPh sb="31" eb="33">
      <t>リレキ</t>
    </rPh>
    <rPh sb="34" eb="36">
      <t>ホジ</t>
    </rPh>
    <rPh sb="37" eb="39">
      <t>ヒョウジ</t>
    </rPh>
    <phoneticPr fontId="3"/>
  </si>
  <si>
    <t>過去に発生した5年分の借入金のデータを保存する機能</t>
    <rPh sb="0" eb="2">
      <t>カコ</t>
    </rPh>
    <rPh sb="3" eb="5">
      <t>ハッセイ</t>
    </rPh>
    <rPh sb="8" eb="10">
      <t>ネンブン</t>
    </rPh>
    <rPh sb="11" eb="13">
      <t>カリイレ</t>
    </rPh>
    <rPh sb="13" eb="14">
      <t>キン</t>
    </rPh>
    <rPh sb="19" eb="21">
      <t>ホゾン</t>
    </rPh>
    <rPh sb="23" eb="25">
      <t>キノウ</t>
    </rPh>
    <phoneticPr fontId="3"/>
  </si>
  <si>
    <t>4.10</t>
  </si>
  <si>
    <t>借入時の利率は摘要等に記載し、伝票トランザクションの一覧で確認可能。データは削除しなければ5年以上の保存可能、</t>
    <rPh sb="0" eb="3">
      <t>カリイレジ</t>
    </rPh>
    <rPh sb="4" eb="6">
      <t>リリツ</t>
    </rPh>
    <rPh sb="7" eb="9">
      <t>テキヨウ</t>
    </rPh>
    <rPh sb="9" eb="10">
      <t>トウ</t>
    </rPh>
    <rPh sb="11" eb="13">
      <t>キサイ</t>
    </rPh>
    <rPh sb="15" eb="17">
      <t>デンピョウ</t>
    </rPh>
    <rPh sb="26" eb="28">
      <t>イチラン</t>
    </rPh>
    <rPh sb="29" eb="31">
      <t>カクニン</t>
    </rPh>
    <rPh sb="31" eb="33">
      <t>カノウ</t>
    </rPh>
    <rPh sb="38" eb="40">
      <t>サクジョ</t>
    </rPh>
    <rPh sb="46" eb="47">
      <t>ネン</t>
    </rPh>
    <rPh sb="47" eb="49">
      <t>イジョウ</t>
    </rPh>
    <rPh sb="50" eb="52">
      <t>ホゾン</t>
    </rPh>
    <rPh sb="52" eb="54">
      <t>カノウ</t>
    </rPh>
    <phoneticPr fontId="6"/>
  </si>
  <si>
    <t>Req209</t>
  </si>
  <si>
    <t>・将来の残高/返済額/利息額が年別で表示されること
・明細毎にブレイクダウン出来ること</t>
    <rPh sb="7" eb="10">
      <t>ヘンサイガク</t>
    </rPh>
    <rPh sb="11" eb="14">
      <t>リソクガク</t>
    </rPh>
    <rPh sb="15" eb="17">
      <t>ネンベツ</t>
    </rPh>
    <rPh sb="18" eb="20">
      <t>ヒョウジ</t>
    </rPh>
    <rPh sb="27" eb="30">
      <t>メイサイゴト</t>
    </rPh>
    <rPh sb="38" eb="40">
      <t>デキ</t>
    </rPh>
    <phoneticPr fontId="3"/>
  </si>
  <si>
    <t>・将来の残高/返済額/利息額が年別で表示される機能
・明細毎にブレイクダウンする機能</t>
    <rPh sb="1" eb="3">
      <t>ショウライ</t>
    </rPh>
    <rPh sb="4" eb="6">
      <t>ザンダカ</t>
    </rPh>
    <rPh sb="7" eb="10">
      <t>ヘンサイガク</t>
    </rPh>
    <rPh sb="11" eb="14">
      <t>リソクガク</t>
    </rPh>
    <rPh sb="15" eb="17">
      <t>ネンベツ</t>
    </rPh>
    <rPh sb="18" eb="20">
      <t>ヒョウジ</t>
    </rPh>
    <rPh sb="23" eb="25">
      <t>キノウ</t>
    </rPh>
    <rPh sb="27" eb="30">
      <t>メイサイゴト</t>
    </rPh>
    <rPh sb="40" eb="42">
      <t>キノウ</t>
    </rPh>
    <phoneticPr fontId="3"/>
  </si>
  <si>
    <t>借入金や貸付金の将来の残高/返済額/利息額を計算する機能なし。アドオン開発が必要。</t>
    <rPh sb="0" eb="3">
      <t>カリイレキン</t>
    </rPh>
    <rPh sb="4" eb="7">
      <t>カシツケキン</t>
    </rPh>
    <rPh sb="8" eb="10">
      <t>ショウライ</t>
    </rPh>
    <rPh sb="11" eb="13">
      <t>ザンダカ</t>
    </rPh>
    <rPh sb="14" eb="16">
      <t>ヘンサイ</t>
    </rPh>
    <rPh sb="16" eb="17">
      <t>ガク</t>
    </rPh>
    <rPh sb="18" eb="20">
      <t>リソク</t>
    </rPh>
    <rPh sb="20" eb="21">
      <t>ガク</t>
    </rPh>
    <rPh sb="22" eb="24">
      <t>ケイサン</t>
    </rPh>
    <rPh sb="26" eb="28">
      <t>キノウ</t>
    </rPh>
    <rPh sb="35" eb="37">
      <t>カイハツ</t>
    </rPh>
    <rPh sb="38" eb="40">
      <t>ヒツヨウ</t>
    </rPh>
    <phoneticPr fontId="3"/>
  </si>
  <si>
    <t>Req210</t>
  </si>
  <si>
    <t>円貨口座から外貨を払う場合や、外貨を円貨口座へ入金する場合に、通貨交換に伴い金融機関に支払う費用を会計システム内で計算・管理できること
(ex:例えばUSDを円口座に入金する際、1USDあたり1円のマージンが発生する時、その入金で発生するマージンの合計金額が自動で計算されること)</t>
    <rPh sb="0" eb="2">
      <t>エンカ</t>
    </rPh>
    <rPh sb="2" eb="4">
      <t>コウザ</t>
    </rPh>
    <rPh sb="6" eb="8">
      <t>ガイカ</t>
    </rPh>
    <rPh sb="9" eb="10">
      <t>ハラ</t>
    </rPh>
    <rPh sb="11" eb="13">
      <t>バアイ</t>
    </rPh>
    <rPh sb="15" eb="17">
      <t>ガイカ</t>
    </rPh>
    <rPh sb="18" eb="20">
      <t>エンカ</t>
    </rPh>
    <rPh sb="20" eb="22">
      <t>コウザ</t>
    </rPh>
    <rPh sb="23" eb="25">
      <t>ニュウキン</t>
    </rPh>
    <rPh sb="27" eb="29">
      <t>バアイ</t>
    </rPh>
    <rPh sb="31" eb="35">
      <t>ツウカコウカン</t>
    </rPh>
    <rPh sb="36" eb="37">
      <t>トモナ</t>
    </rPh>
    <rPh sb="38" eb="42">
      <t>キンユウキカン</t>
    </rPh>
    <rPh sb="43" eb="45">
      <t>シハラ</t>
    </rPh>
    <rPh sb="46" eb="48">
      <t>ヒヨウ</t>
    </rPh>
    <rPh sb="49" eb="51">
      <t>カイケイ</t>
    </rPh>
    <rPh sb="55" eb="56">
      <t>ナイ</t>
    </rPh>
    <rPh sb="57" eb="59">
      <t>ケイサン</t>
    </rPh>
    <rPh sb="60" eb="62">
      <t>カンリ</t>
    </rPh>
    <rPh sb="72" eb="73">
      <t>タト</t>
    </rPh>
    <rPh sb="79" eb="82">
      <t>エンコウザ</t>
    </rPh>
    <rPh sb="83" eb="85">
      <t>ニュウキン</t>
    </rPh>
    <rPh sb="87" eb="88">
      <t>サイ</t>
    </rPh>
    <rPh sb="97" eb="98">
      <t>エン</t>
    </rPh>
    <rPh sb="104" eb="106">
      <t>ハッセイ</t>
    </rPh>
    <rPh sb="108" eb="109">
      <t>トキ</t>
    </rPh>
    <rPh sb="112" eb="114">
      <t>ニュウキン</t>
    </rPh>
    <rPh sb="115" eb="117">
      <t>ハッセイ</t>
    </rPh>
    <rPh sb="124" eb="128">
      <t>ゴウケイキンガク</t>
    </rPh>
    <rPh sb="129" eb="131">
      <t>ジドウ</t>
    </rPh>
    <rPh sb="132" eb="134">
      <t>ケイサン</t>
    </rPh>
    <phoneticPr fontId="3"/>
  </si>
  <si>
    <t>通貨交換して入出金する際に、銀行に支払うマージンを計算・記録する機能</t>
    <rPh sb="0" eb="4">
      <t>ツウカコウカン</t>
    </rPh>
    <rPh sb="6" eb="9">
      <t>ニュウシュッキン</t>
    </rPh>
    <rPh sb="11" eb="12">
      <t>サイ</t>
    </rPh>
    <rPh sb="14" eb="16">
      <t>ギンコウ</t>
    </rPh>
    <rPh sb="17" eb="19">
      <t>シハラ</t>
    </rPh>
    <rPh sb="25" eb="27">
      <t>ケイサン</t>
    </rPh>
    <rPh sb="28" eb="30">
      <t>キロク</t>
    </rPh>
    <rPh sb="32" eb="34">
      <t>キノウ</t>
    </rPh>
    <phoneticPr fontId="3"/>
  </si>
  <si>
    <t>通貨交換手数料を自動計算する機能なし。</t>
    <rPh sb="0" eb="4">
      <t>ツウカコウカン</t>
    </rPh>
    <rPh sb="4" eb="7">
      <t>テスウリョウ</t>
    </rPh>
    <rPh sb="8" eb="10">
      <t>ジドウ</t>
    </rPh>
    <rPh sb="10" eb="12">
      <t>ケイサン</t>
    </rPh>
    <rPh sb="14" eb="16">
      <t>キノウ</t>
    </rPh>
    <phoneticPr fontId="3"/>
  </si>
  <si>
    <t>Req211</t>
  </si>
  <si>
    <t>金融機関に支払っている費用が、金融機関別・科目別に管理できること</t>
    <rPh sb="0" eb="4">
      <t>キンユウキカン</t>
    </rPh>
    <rPh sb="5" eb="7">
      <t>シハラ</t>
    </rPh>
    <rPh sb="11" eb="13">
      <t>ヒヨウ</t>
    </rPh>
    <rPh sb="15" eb="20">
      <t>キンユウキカンベツ</t>
    </rPh>
    <rPh sb="21" eb="24">
      <t>カモクベツ</t>
    </rPh>
    <rPh sb="25" eb="27">
      <t>カンリ</t>
    </rPh>
    <phoneticPr fontId="3"/>
  </si>
  <si>
    <t>銀行に支払っている手数料・利息等を、科目別に一覧化する機能</t>
    <rPh sb="0" eb="2">
      <t>ギンコウ</t>
    </rPh>
    <rPh sb="3" eb="5">
      <t>シハラ</t>
    </rPh>
    <rPh sb="9" eb="12">
      <t>テスウリョウ</t>
    </rPh>
    <rPh sb="13" eb="15">
      <t>リソク</t>
    </rPh>
    <rPh sb="15" eb="16">
      <t>トウ</t>
    </rPh>
    <rPh sb="18" eb="21">
      <t>カモクベツ</t>
    </rPh>
    <rPh sb="22" eb="25">
      <t>イチランカ</t>
    </rPh>
    <rPh sb="27" eb="29">
      <t>キノウ</t>
    </rPh>
    <phoneticPr fontId="3"/>
  </si>
  <si>
    <t>仕訳登録時に財務分析コードや財務タグ（フィルタ機能のみで分析機能はない)を付与することで、一覧画面でフィルタして表示</t>
    <rPh sb="0" eb="2">
      <t>シワケ</t>
    </rPh>
    <rPh sb="2" eb="5">
      <t>トウロクジ</t>
    </rPh>
    <rPh sb="6" eb="8">
      <t>ザイム</t>
    </rPh>
    <rPh sb="8" eb="10">
      <t>ブンセキ</t>
    </rPh>
    <rPh sb="14" eb="16">
      <t>ザイム</t>
    </rPh>
    <rPh sb="23" eb="25">
      <t>キノウ</t>
    </rPh>
    <rPh sb="28" eb="30">
      <t>ブンセキ</t>
    </rPh>
    <rPh sb="30" eb="32">
      <t>キノウ</t>
    </rPh>
    <rPh sb="37" eb="39">
      <t>フヨ</t>
    </rPh>
    <rPh sb="45" eb="47">
      <t>イチラン</t>
    </rPh>
    <rPh sb="47" eb="49">
      <t>ガメン</t>
    </rPh>
    <rPh sb="56" eb="58">
      <t>ヒョウジ</t>
    </rPh>
    <phoneticPr fontId="3"/>
  </si>
  <si>
    <t>Req212</t>
  </si>
  <si>
    <t>運用開始時、運用方法・金額・通貨・金利などの情報を入力し、運用状況を会計システム内で管理出来ること</t>
    <rPh sb="0" eb="2">
      <t>ウンヨウ</t>
    </rPh>
    <rPh sb="2" eb="4">
      <t>カイシ</t>
    </rPh>
    <rPh sb="4" eb="5">
      <t>ジ</t>
    </rPh>
    <rPh sb="6" eb="10">
      <t>ウンヨウホウホウ</t>
    </rPh>
    <rPh sb="11" eb="13">
      <t>キンガク</t>
    </rPh>
    <rPh sb="14" eb="16">
      <t>ツウカ</t>
    </rPh>
    <rPh sb="17" eb="19">
      <t>キンリ</t>
    </rPh>
    <rPh sb="22" eb="24">
      <t>ジョウホウ</t>
    </rPh>
    <rPh sb="25" eb="27">
      <t>ニュウリョク</t>
    </rPh>
    <rPh sb="29" eb="31">
      <t>ウンヨウ</t>
    </rPh>
    <rPh sb="31" eb="33">
      <t>ジョウキョウ</t>
    </rPh>
    <rPh sb="34" eb="36">
      <t>カイケイ</t>
    </rPh>
    <rPh sb="40" eb="41">
      <t>ナイ</t>
    </rPh>
    <rPh sb="42" eb="44">
      <t>カンリ</t>
    </rPh>
    <rPh sb="44" eb="46">
      <t>デキ</t>
    </rPh>
    <phoneticPr fontId="3"/>
  </si>
  <si>
    <t>運用を登録・管理する機能</t>
    <rPh sb="0" eb="2">
      <t>ウンヨウ</t>
    </rPh>
    <rPh sb="3" eb="5">
      <t>トウロク</t>
    </rPh>
    <rPh sb="6" eb="8">
      <t>カンリ</t>
    </rPh>
    <rPh sb="10" eb="12">
      <t>キノウ</t>
    </rPh>
    <phoneticPr fontId="3"/>
  </si>
  <si>
    <t>資金運用を登録・管理する機能なし。</t>
    <rPh sb="0" eb="2">
      <t>シキン</t>
    </rPh>
    <rPh sb="2" eb="4">
      <t>ウンヨウ</t>
    </rPh>
    <rPh sb="5" eb="7">
      <t>トウロク</t>
    </rPh>
    <rPh sb="8" eb="10">
      <t>カンリ</t>
    </rPh>
    <rPh sb="12" eb="14">
      <t>キノウ</t>
    </rPh>
    <phoneticPr fontId="3"/>
  </si>
  <si>
    <t>Req213</t>
  </si>
  <si>
    <t>登録した運用のデータに、契約書のPDFを添付できること、または計上した運用の仕訳に契約書のPDFを添付できること</t>
    <rPh sb="0" eb="2">
      <t>トウロク</t>
    </rPh>
    <rPh sb="4" eb="6">
      <t>ウンヨウ</t>
    </rPh>
    <rPh sb="10" eb="11">
      <t>シャッキン</t>
    </rPh>
    <rPh sb="11" eb="14">
      <t>ケイヤクショ</t>
    </rPh>
    <rPh sb="19" eb="21">
      <t>テンプ</t>
    </rPh>
    <rPh sb="30" eb="32">
      <t>ケイジョウ</t>
    </rPh>
    <rPh sb="35" eb="37">
      <t>ウンヨウ</t>
    </rPh>
    <rPh sb="37" eb="39">
      <t>シワケ</t>
    </rPh>
    <rPh sb="40" eb="43">
      <t>ケイヤクショ</t>
    </rPh>
    <rPh sb="48" eb="50">
      <t>テンプ</t>
    </rPh>
    <phoneticPr fontId="3"/>
  </si>
  <si>
    <t>運用に契約書を紐づける機能</t>
    <rPh sb="0" eb="2">
      <t>ウンヨウ</t>
    </rPh>
    <rPh sb="3" eb="6">
      <t>ケイヤクショ</t>
    </rPh>
    <rPh sb="7" eb="8">
      <t>ヒモ</t>
    </rPh>
    <rPh sb="11" eb="13">
      <t>キノウ</t>
    </rPh>
    <phoneticPr fontId="3"/>
  </si>
  <si>
    <t>Req214</t>
  </si>
  <si>
    <t>運用結果の運用収益を計上できること</t>
    <rPh sb="0" eb="2">
      <t>ウンヨウ</t>
    </rPh>
    <rPh sb="2" eb="4">
      <t>ケッカ</t>
    </rPh>
    <rPh sb="5" eb="9">
      <t>ウンヨウシュウエキ</t>
    </rPh>
    <rPh sb="10" eb="12">
      <t>ケイジョウ</t>
    </rPh>
    <phoneticPr fontId="3"/>
  </si>
  <si>
    <t>運用収益の仕訳を計上する機能</t>
    <rPh sb="0" eb="2">
      <t>ウンヨウ</t>
    </rPh>
    <rPh sb="2" eb="4">
      <t>シュウエキ</t>
    </rPh>
    <rPh sb="5" eb="7">
      <t>シワケ</t>
    </rPh>
    <rPh sb="8" eb="10">
      <t>ケイジョウ</t>
    </rPh>
    <rPh sb="12" eb="14">
      <t>キノウ</t>
    </rPh>
    <phoneticPr fontId="3"/>
  </si>
  <si>
    <t>資金運用を登録・管理する機能なし。手動で伝票入力で対応。またはアドオン開発が必要。</t>
    <rPh sb="17" eb="19">
      <t>シュドウ</t>
    </rPh>
    <rPh sb="20" eb="22">
      <t>デンピョウ</t>
    </rPh>
    <rPh sb="22" eb="24">
      <t>ニュウリョク</t>
    </rPh>
    <rPh sb="25" eb="27">
      <t>タイオウ</t>
    </rPh>
    <rPh sb="35" eb="37">
      <t>カイハツ</t>
    </rPh>
    <rPh sb="38" eb="40">
      <t>ヒツヨウ</t>
    </rPh>
    <phoneticPr fontId="6"/>
  </si>
  <si>
    <t>Req215</t>
  </si>
  <si>
    <t>運用の登録画面から簡便的な方法で返済の仕訳が計上できること</t>
    <rPh sb="0" eb="2">
      <t>ウンヨウ</t>
    </rPh>
    <rPh sb="3" eb="5">
      <t>トウロク</t>
    </rPh>
    <rPh sb="5" eb="7">
      <t>ガメン</t>
    </rPh>
    <rPh sb="9" eb="11">
      <t>カンベン</t>
    </rPh>
    <rPh sb="11" eb="12">
      <t>テキ</t>
    </rPh>
    <rPh sb="13" eb="15">
      <t>ホウホウ</t>
    </rPh>
    <rPh sb="16" eb="18">
      <t>ヘンサイ</t>
    </rPh>
    <rPh sb="19" eb="21">
      <t>シワケ</t>
    </rPh>
    <rPh sb="22" eb="24">
      <t>ケイジョウ</t>
    </rPh>
    <phoneticPr fontId="3"/>
  </si>
  <si>
    <t>運用の仕訳を簡便的に計上する機能</t>
    <rPh sb="0" eb="2">
      <t>ウンヨウ</t>
    </rPh>
    <rPh sb="3" eb="5">
      <t>シワケ</t>
    </rPh>
    <rPh sb="6" eb="9">
      <t>カンベンテキ</t>
    </rPh>
    <rPh sb="10" eb="12">
      <t>ケイジョウ</t>
    </rPh>
    <rPh sb="14" eb="16">
      <t>キノウ</t>
    </rPh>
    <phoneticPr fontId="3"/>
  </si>
  <si>
    <t>Req216</t>
  </si>
  <si>
    <t>契約ごとに明細を分け、運用の一覧が表示できること</t>
    <rPh sb="0" eb="2">
      <t>ケイヤク</t>
    </rPh>
    <rPh sb="5" eb="7">
      <t>メイサイ</t>
    </rPh>
    <rPh sb="8" eb="9">
      <t>ワ</t>
    </rPh>
    <rPh sb="11" eb="13">
      <t>ウンヨウ</t>
    </rPh>
    <rPh sb="14" eb="16">
      <t>イチラン</t>
    </rPh>
    <rPh sb="17" eb="19">
      <t>ヒョウジ</t>
    </rPh>
    <phoneticPr fontId="3"/>
  </si>
  <si>
    <t>運用の一覧を表示する機能</t>
    <rPh sb="0" eb="2">
      <t>ウンヨウ</t>
    </rPh>
    <rPh sb="3" eb="5">
      <t>イチラン</t>
    </rPh>
    <rPh sb="6" eb="8">
      <t>ヒョウジ</t>
    </rPh>
    <rPh sb="10" eb="12">
      <t>キノウ</t>
    </rPh>
    <phoneticPr fontId="3"/>
  </si>
  <si>
    <t>Req217</t>
  </si>
  <si>
    <t>各社から入手したEXCELフォーマットをアップロードすることで、その会社の月末の運用残高を登録できること</t>
    <rPh sb="0" eb="2">
      <t>カクシャ</t>
    </rPh>
    <rPh sb="4" eb="6">
      <t>ニュウシュ</t>
    </rPh>
    <rPh sb="34" eb="36">
      <t>カイシャ</t>
    </rPh>
    <rPh sb="37" eb="39">
      <t>ゲツマツ</t>
    </rPh>
    <rPh sb="40" eb="42">
      <t>ウンヨウ</t>
    </rPh>
    <rPh sb="42" eb="44">
      <t>ザンダカ</t>
    </rPh>
    <rPh sb="45" eb="47">
      <t>トウロク</t>
    </rPh>
    <phoneticPr fontId="3"/>
  </si>
  <si>
    <t>相手会社別・通貨別に運用の残高の一覧を計算・表示する機能</t>
    <rPh sb="0" eb="4">
      <t>アイテカイシャ</t>
    </rPh>
    <rPh sb="4" eb="5">
      <t>ベツ</t>
    </rPh>
    <rPh sb="6" eb="9">
      <t>ツウカベツ</t>
    </rPh>
    <rPh sb="10" eb="12">
      <t>ウンヨウ</t>
    </rPh>
    <rPh sb="13" eb="15">
      <t>ザンダカ</t>
    </rPh>
    <rPh sb="16" eb="18">
      <t>イチラン</t>
    </rPh>
    <rPh sb="19" eb="21">
      <t>ケイサン</t>
    </rPh>
    <rPh sb="22" eb="24">
      <t>ヒョウジ</t>
    </rPh>
    <rPh sb="26" eb="28">
      <t>キノウ</t>
    </rPh>
    <phoneticPr fontId="3"/>
  </si>
  <si>
    <t>Excelアドインで一般仕訳帳に登録。
試算表で相手会社別通貨別の残高確認。
※実装イメージがまだ未確定のため、現時点ではFO標準機能で実現できるもので対応とする。開発までは不要。</t>
    <rPh sb="16" eb="18">
      <t>トウロク</t>
    </rPh>
    <rPh sb="20" eb="23">
      <t>シサンヒョウ</t>
    </rPh>
    <rPh sb="24" eb="29">
      <t>アイテカイシャベツ</t>
    </rPh>
    <rPh sb="29" eb="32">
      <t>ツウカベツ</t>
    </rPh>
    <rPh sb="33" eb="35">
      <t>ザンダカ</t>
    </rPh>
    <rPh sb="35" eb="37">
      <t>カクニン</t>
    </rPh>
    <phoneticPr fontId="6"/>
  </si>
  <si>
    <t>Req218</t>
  </si>
  <si>
    <t>会社別に運用商品・金融機関別の月末運用の金額を管理できること</t>
    <rPh sb="0" eb="3">
      <t>カイシャベツ</t>
    </rPh>
    <rPh sb="4" eb="8">
      <t>ウンヨウショウヒン</t>
    </rPh>
    <rPh sb="9" eb="14">
      <t>キンユウキカンベツ</t>
    </rPh>
    <rPh sb="15" eb="17">
      <t>ゲツマツ</t>
    </rPh>
    <rPh sb="17" eb="19">
      <t>ウンヨウ</t>
    </rPh>
    <rPh sb="20" eb="22">
      <t>キンガク</t>
    </rPh>
    <rPh sb="23" eb="25">
      <t>カンリ</t>
    </rPh>
    <phoneticPr fontId="3"/>
  </si>
  <si>
    <t>会社別に運用商品・金融機関別の月末運用の金額を管理する機能</t>
    <rPh sb="0" eb="3">
      <t>カイシャベツ</t>
    </rPh>
    <rPh sb="4" eb="8">
      <t>ウンヨウショウヒン</t>
    </rPh>
    <rPh sb="9" eb="14">
      <t>キンユウキカンベツ</t>
    </rPh>
    <rPh sb="15" eb="17">
      <t>ゲツマツ</t>
    </rPh>
    <rPh sb="17" eb="19">
      <t>ウンヨウ</t>
    </rPh>
    <rPh sb="20" eb="22">
      <t>キンガク</t>
    </rPh>
    <rPh sb="23" eb="25">
      <t>カンリ</t>
    </rPh>
    <rPh sb="27" eb="29">
      <t>キノウ</t>
    </rPh>
    <phoneticPr fontId="3"/>
  </si>
  <si>
    <t>Req219</t>
  </si>
  <si>
    <t>会社を地域等の切り口でグルーピングし、見たい切り口での月末運用残高を計算・表示出来ること</t>
    <rPh sb="0" eb="2">
      <t>カイシャ</t>
    </rPh>
    <rPh sb="3" eb="6">
      <t>チイキトウ</t>
    </rPh>
    <rPh sb="7" eb="8">
      <t>キ</t>
    </rPh>
    <rPh sb="9" eb="10">
      <t>クチ</t>
    </rPh>
    <rPh sb="19" eb="20">
      <t>ミ</t>
    </rPh>
    <rPh sb="22" eb="23">
      <t>キ</t>
    </rPh>
    <rPh sb="24" eb="25">
      <t>クチ</t>
    </rPh>
    <rPh sb="27" eb="29">
      <t>ゲツマツ</t>
    </rPh>
    <rPh sb="29" eb="31">
      <t>ウンヨウ</t>
    </rPh>
    <rPh sb="31" eb="33">
      <t>ザンダカ</t>
    </rPh>
    <rPh sb="34" eb="36">
      <t>ケイサン</t>
    </rPh>
    <rPh sb="37" eb="39">
      <t>ヒョウジ</t>
    </rPh>
    <rPh sb="39" eb="41">
      <t>デキ</t>
    </rPh>
    <phoneticPr fontId="3"/>
  </si>
  <si>
    <t>会社を地域等の切り口でグルーピングし、見たい切り口での月末運用残高を計算・表示する機能</t>
    <rPh sb="0" eb="2">
      <t>カイシャ</t>
    </rPh>
    <rPh sb="3" eb="6">
      <t>チイキトウ</t>
    </rPh>
    <rPh sb="7" eb="8">
      <t>キ</t>
    </rPh>
    <rPh sb="9" eb="10">
      <t>クチ</t>
    </rPh>
    <rPh sb="19" eb="20">
      <t>ミ</t>
    </rPh>
    <rPh sb="22" eb="23">
      <t>キ</t>
    </rPh>
    <rPh sb="24" eb="25">
      <t>クチ</t>
    </rPh>
    <rPh sb="27" eb="29">
      <t>ゲツマツ</t>
    </rPh>
    <rPh sb="29" eb="31">
      <t>ウンヨウ</t>
    </rPh>
    <rPh sb="31" eb="33">
      <t>ザンダカ</t>
    </rPh>
    <rPh sb="34" eb="36">
      <t>ケイサン</t>
    </rPh>
    <rPh sb="37" eb="39">
      <t>ヒョウジ</t>
    </rPh>
    <rPh sb="41" eb="43">
      <t>キノウ</t>
    </rPh>
    <phoneticPr fontId="3"/>
  </si>
  <si>
    <t>Req220</t>
  </si>
  <si>
    <t>通貨交換を実施した際に、その仕訳が計上できること</t>
    <rPh sb="0" eb="4">
      <t>ツウカコウカン</t>
    </rPh>
    <rPh sb="5" eb="7">
      <t>ジッシ</t>
    </rPh>
    <rPh sb="9" eb="10">
      <t>サイ</t>
    </rPh>
    <rPh sb="14" eb="16">
      <t>シワケ</t>
    </rPh>
    <rPh sb="17" eb="19">
      <t>ケイジョウ</t>
    </rPh>
    <phoneticPr fontId="3"/>
  </si>
  <si>
    <t>通貨交換の仕訳が計上できる機能</t>
    <rPh sb="0" eb="4">
      <t>ツウカコウカン</t>
    </rPh>
    <rPh sb="5" eb="7">
      <t>シワケ</t>
    </rPh>
    <rPh sb="8" eb="10">
      <t>ケイジョウ</t>
    </rPh>
    <rPh sb="13" eb="15">
      <t>キノウ</t>
    </rPh>
    <phoneticPr fontId="3"/>
  </si>
  <si>
    <t>一般仕訳帳で伝票登録</t>
    <rPh sb="0" eb="2">
      <t>イッパン</t>
    </rPh>
    <rPh sb="2" eb="5">
      <t>シワケチョウ</t>
    </rPh>
    <rPh sb="6" eb="8">
      <t>デンピョウ</t>
    </rPh>
    <rPh sb="8" eb="10">
      <t>トウロク</t>
    </rPh>
    <phoneticPr fontId="6"/>
  </si>
  <si>
    <t>Req221</t>
  </si>
  <si>
    <t>”銀行借入”の要件が、借入先がグループ会社でも満たせること</t>
    <rPh sb="1" eb="4">
      <t>ギンコウカ</t>
    </rPh>
    <rPh sb="4" eb="5">
      <t>イ</t>
    </rPh>
    <rPh sb="7" eb="9">
      <t>ヨウケン</t>
    </rPh>
    <rPh sb="11" eb="15">
      <t>カリイレ</t>
    </rPh>
    <rPh sb="19" eb="21">
      <t>カイシャ</t>
    </rPh>
    <rPh sb="23" eb="24">
      <t>ミ</t>
    </rPh>
    <phoneticPr fontId="3"/>
  </si>
  <si>
    <r>
      <rPr>
        <strike/>
        <sz val="11"/>
        <rFont val="Meiryo UI"/>
        <family val="3"/>
        <charset val="128"/>
      </rPr>
      <t>15.1~23.2</t>
    </r>
    <r>
      <rPr>
        <b/>
        <sz val="11"/>
        <color rgb="FFFF0000"/>
        <rFont val="Meiryo UI"/>
        <family val="3"/>
        <charset val="128"/>
      </rPr>
      <t>4.1～4.13</t>
    </r>
    <r>
      <rPr>
        <sz val="11"/>
        <rFont val="Meiryo UI"/>
        <family val="3"/>
        <charset val="128"/>
      </rPr>
      <t>において、借入の相手先にグループ会社を選択できる機能</t>
    </r>
    <rPh sb="22" eb="24">
      <t>カリイレ</t>
    </rPh>
    <rPh sb="25" eb="28">
      <t>アイテサキ</t>
    </rPh>
    <rPh sb="33" eb="35">
      <t>カイシャ</t>
    </rPh>
    <rPh sb="36" eb="38">
      <t>センタク</t>
    </rPh>
    <rPh sb="41" eb="43">
      <t>キノウ</t>
    </rPh>
    <phoneticPr fontId="3"/>
  </si>
  <si>
    <t>グループファイナンス(内部借入・貸付)</t>
    <phoneticPr fontId="6"/>
  </si>
  <si>
    <t>借入金や貸付金の諸条件を登録・管理する機能なし。借入先のコード管理については、財務分析コードに借入先等の名称で管理項目を設け、銀行や相手先を入力できるようにする。</t>
    <rPh sb="8" eb="11">
      <t>ショジョウケン</t>
    </rPh>
    <phoneticPr fontId="6"/>
  </si>
  <si>
    <t>Req222</t>
  </si>
  <si>
    <t>貸付発生時、金額・通貨・金利・金利条件・利息発生タイミング・貸付期間・返済タイミング・貸付先などの情報を入力し、貸付金を会計システム内で管理出来ること</t>
    <rPh sb="0" eb="2">
      <t>カシツケ</t>
    </rPh>
    <rPh sb="2" eb="4">
      <t>ハッセイ</t>
    </rPh>
    <rPh sb="4" eb="5">
      <t>ジ</t>
    </rPh>
    <rPh sb="6" eb="8">
      <t>キンガク</t>
    </rPh>
    <rPh sb="9" eb="11">
      <t>ツウカ</t>
    </rPh>
    <rPh sb="12" eb="14">
      <t>キンリ</t>
    </rPh>
    <rPh sb="15" eb="19">
      <t>キンリジョウケン</t>
    </rPh>
    <rPh sb="20" eb="22">
      <t>リソク</t>
    </rPh>
    <rPh sb="22" eb="24">
      <t>ハッセイ</t>
    </rPh>
    <rPh sb="30" eb="32">
      <t>カシツケ</t>
    </rPh>
    <rPh sb="32" eb="34">
      <t>キカン</t>
    </rPh>
    <rPh sb="35" eb="37">
      <t>ヘンサイ</t>
    </rPh>
    <rPh sb="43" eb="45">
      <t>カシツケ</t>
    </rPh>
    <rPh sb="45" eb="46">
      <t>サキ</t>
    </rPh>
    <rPh sb="49" eb="51">
      <t>ジョウホウ</t>
    </rPh>
    <rPh sb="52" eb="54">
      <t>ニュウリョク</t>
    </rPh>
    <rPh sb="56" eb="59">
      <t>カシツケキン</t>
    </rPh>
    <rPh sb="60" eb="62">
      <t>カイケイ</t>
    </rPh>
    <rPh sb="66" eb="67">
      <t>ナイ</t>
    </rPh>
    <rPh sb="68" eb="70">
      <t>カンリ</t>
    </rPh>
    <rPh sb="70" eb="72">
      <t>デキ</t>
    </rPh>
    <phoneticPr fontId="3"/>
  </si>
  <si>
    <t>貸付金を登録・管理する機能</t>
    <rPh sb="0" eb="2">
      <t>カシツケ</t>
    </rPh>
    <rPh sb="2" eb="3">
      <t>キン</t>
    </rPh>
    <rPh sb="4" eb="6">
      <t>トウロク</t>
    </rPh>
    <rPh sb="7" eb="9">
      <t>カンリ</t>
    </rPh>
    <rPh sb="11" eb="13">
      <t>キノウ</t>
    </rPh>
    <phoneticPr fontId="3"/>
  </si>
  <si>
    <t>標準機能に、貸付金管理(金利条件・利息発生タイミング・貸付期間・返済タイミング)機能なし。EXCELで管理またはアドオン開発が必要。</t>
    <rPh sb="0" eb="4">
      <t>ヒョウジュンキノウ</t>
    </rPh>
    <rPh sb="6" eb="8">
      <t>カシツケ</t>
    </rPh>
    <rPh sb="8" eb="9">
      <t>キン</t>
    </rPh>
    <rPh sb="9" eb="11">
      <t>カンリ</t>
    </rPh>
    <rPh sb="27" eb="29">
      <t>カシツケ</t>
    </rPh>
    <rPh sb="29" eb="31">
      <t>キカン</t>
    </rPh>
    <rPh sb="40" eb="42">
      <t>キノウ</t>
    </rPh>
    <rPh sb="51" eb="53">
      <t>カンリ</t>
    </rPh>
    <rPh sb="60" eb="62">
      <t>カイハツ</t>
    </rPh>
    <rPh sb="63" eb="65">
      <t>ヒツヨウ</t>
    </rPh>
    <phoneticPr fontId="6"/>
  </si>
  <si>
    <t>Req223</t>
  </si>
  <si>
    <t>登録した貸付金に、契約書のPDFを添付できること、または計上し貸付金の仕訳に契約書のPDFを添付できること</t>
    <rPh sb="0" eb="2">
      <t>トウロク</t>
    </rPh>
    <rPh sb="4" eb="6">
      <t>カシツケ</t>
    </rPh>
    <rPh sb="6" eb="7">
      <t>キン</t>
    </rPh>
    <rPh sb="7" eb="8">
      <t>シャッキン</t>
    </rPh>
    <rPh sb="8" eb="11">
      <t>ケイヤクショ</t>
    </rPh>
    <rPh sb="16" eb="18">
      <t>テンプ</t>
    </rPh>
    <rPh sb="27" eb="29">
      <t>ケイジョウ</t>
    </rPh>
    <rPh sb="31" eb="33">
      <t>カシツケ</t>
    </rPh>
    <rPh sb="33" eb="34">
      <t>キン</t>
    </rPh>
    <rPh sb="34" eb="36">
      <t>シワケ</t>
    </rPh>
    <rPh sb="37" eb="40">
      <t>ケイヤクショ</t>
    </rPh>
    <rPh sb="45" eb="47">
      <t>テンプ</t>
    </rPh>
    <phoneticPr fontId="3"/>
  </si>
  <si>
    <t>貸付金に契約書を紐づける機能</t>
    <rPh sb="0" eb="2">
      <t>カシツケ</t>
    </rPh>
    <rPh sb="2" eb="3">
      <t>キン</t>
    </rPh>
    <rPh sb="4" eb="7">
      <t>ケイヤクショ</t>
    </rPh>
    <rPh sb="8" eb="9">
      <t>ヒモ</t>
    </rPh>
    <rPh sb="12" eb="14">
      <t>キノウ</t>
    </rPh>
    <phoneticPr fontId="3"/>
  </si>
  <si>
    <t>Req224</t>
  </si>
  <si>
    <t>登録済みの情報を用いて、受取利息の金額を自動計算できること</t>
    <rPh sb="0" eb="3">
      <t>トウロクズ</t>
    </rPh>
    <rPh sb="5" eb="7">
      <t>ジョウホウ</t>
    </rPh>
    <rPh sb="8" eb="9">
      <t>モチ</t>
    </rPh>
    <rPh sb="12" eb="14">
      <t>ウケトリ</t>
    </rPh>
    <rPh sb="14" eb="16">
      <t>リソク</t>
    </rPh>
    <rPh sb="17" eb="19">
      <t>キンガク</t>
    </rPh>
    <rPh sb="20" eb="24">
      <t>ジドウケイサン</t>
    </rPh>
    <phoneticPr fontId="3"/>
  </si>
  <si>
    <t>受取利息を自動計算する機能</t>
    <rPh sb="0" eb="1">
      <t>ウ</t>
    </rPh>
    <rPh sb="1" eb="2">
      <t>ト</t>
    </rPh>
    <rPh sb="2" eb="4">
      <t>リソク</t>
    </rPh>
    <rPh sb="5" eb="9">
      <t>ジドウケイサン</t>
    </rPh>
    <rPh sb="11" eb="13">
      <t>キノウ</t>
    </rPh>
    <phoneticPr fontId="3"/>
  </si>
  <si>
    <t>貸付金利息を自動計算する機能なし。EXCELで管理またはアドオン開発が必要。</t>
    <rPh sb="0" eb="2">
      <t>カシツケ</t>
    </rPh>
    <rPh sb="2" eb="3">
      <t>キン</t>
    </rPh>
    <rPh sb="3" eb="5">
      <t>リソク</t>
    </rPh>
    <rPh sb="6" eb="8">
      <t>ジドウ</t>
    </rPh>
    <rPh sb="8" eb="10">
      <t>ケイサン</t>
    </rPh>
    <rPh sb="12" eb="14">
      <t>キノウ</t>
    </rPh>
    <phoneticPr fontId="6"/>
  </si>
  <si>
    <t>Req225</t>
  </si>
  <si>
    <t>登録済みの情報を用いて、受取利息の仕訳が自動計上できること</t>
    <rPh sb="0" eb="3">
      <t>トウロクズ</t>
    </rPh>
    <rPh sb="5" eb="7">
      <t>ジョウホウ</t>
    </rPh>
    <rPh sb="8" eb="9">
      <t>モチ</t>
    </rPh>
    <rPh sb="12" eb="14">
      <t>ウケトリ</t>
    </rPh>
    <rPh sb="14" eb="16">
      <t>リソク</t>
    </rPh>
    <rPh sb="17" eb="19">
      <t>シワケ</t>
    </rPh>
    <rPh sb="20" eb="24">
      <t>ジドウケイジョウ</t>
    </rPh>
    <phoneticPr fontId="3"/>
  </si>
  <si>
    <t>受取利息の伝票を自動計上する機能</t>
    <rPh sb="0" eb="1">
      <t>ウ</t>
    </rPh>
    <rPh sb="1" eb="2">
      <t>ト</t>
    </rPh>
    <rPh sb="2" eb="4">
      <t>リソク</t>
    </rPh>
    <rPh sb="5" eb="7">
      <t>デンピョウ</t>
    </rPh>
    <rPh sb="8" eb="12">
      <t>ジドウケイジョウ</t>
    </rPh>
    <rPh sb="14" eb="16">
      <t>キノウ</t>
    </rPh>
    <phoneticPr fontId="3"/>
  </si>
  <si>
    <t>貸付金利息仕訳を自動計上する機能なし。一般仕訳帳に手動入力。</t>
    <rPh sb="0" eb="2">
      <t>カシツケ</t>
    </rPh>
    <rPh sb="2" eb="3">
      <t>キン</t>
    </rPh>
    <rPh sb="3" eb="5">
      <t>リソク</t>
    </rPh>
    <rPh sb="5" eb="7">
      <t>シワケ</t>
    </rPh>
    <rPh sb="8" eb="10">
      <t>ジドウ</t>
    </rPh>
    <rPh sb="10" eb="12">
      <t>ケイジョウ</t>
    </rPh>
    <rPh sb="14" eb="16">
      <t>キノウ</t>
    </rPh>
    <rPh sb="19" eb="21">
      <t>イッパン</t>
    </rPh>
    <rPh sb="21" eb="24">
      <t>シワケチョウ</t>
    </rPh>
    <rPh sb="25" eb="27">
      <t>シュドウ</t>
    </rPh>
    <rPh sb="27" eb="29">
      <t>ニュウリョク</t>
    </rPh>
    <phoneticPr fontId="6"/>
  </si>
  <si>
    <t>Req226</t>
  </si>
  <si>
    <t>受取利息の請求書を作成・出力できること</t>
    <rPh sb="0" eb="1">
      <t>ウ</t>
    </rPh>
    <rPh sb="1" eb="2">
      <t>ト</t>
    </rPh>
    <rPh sb="2" eb="4">
      <t>リソク</t>
    </rPh>
    <rPh sb="5" eb="8">
      <t>セイキュウショ</t>
    </rPh>
    <rPh sb="9" eb="11">
      <t>サクセイ</t>
    </rPh>
    <rPh sb="12" eb="14">
      <t>シュツリョク</t>
    </rPh>
    <phoneticPr fontId="3"/>
  </si>
  <si>
    <t>受取利息の請求書を作成・出力する機能</t>
    <rPh sb="0" eb="1">
      <t>ウ</t>
    </rPh>
    <rPh sb="1" eb="2">
      <t>ト</t>
    </rPh>
    <rPh sb="2" eb="4">
      <t>リソク</t>
    </rPh>
    <rPh sb="5" eb="8">
      <t>セイキュウショ</t>
    </rPh>
    <rPh sb="9" eb="11">
      <t>サクセイ</t>
    </rPh>
    <rPh sb="12" eb="14">
      <t>シュツリョク</t>
    </rPh>
    <rPh sb="16" eb="18">
      <t>キノウ</t>
    </rPh>
    <phoneticPr fontId="3"/>
  </si>
  <si>
    <t>「売掛金管理」の機能を使用し「自由書式の請求書」という画面から顧客、勘定科目、金額等を登録することで顧客請求書を作成することは可能。但し、レイアウトの変更等は不可。作成頻度が低いのであれば、Excel等で作成することを推奨。</t>
    <rPh sb="79" eb="81">
      <t>フカ</t>
    </rPh>
    <phoneticPr fontId="6"/>
  </si>
  <si>
    <t>Req227</t>
  </si>
  <si>
    <t>事前に登録された貸付金の情報から、自動で返済の仕訳が計上できること、または、登録画面から簡便的な方法で返済の仕訳が計上できること</t>
    <rPh sb="0" eb="2">
      <t>ジゼン</t>
    </rPh>
    <rPh sb="3" eb="5">
      <t>トウロク</t>
    </rPh>
    <rPh sb="8" eb="10">
      <t>カシツケ</t>
    </rPh>
    <rPh sb="10" eb="11">
      <t>キン</t>
    </rPh>
    <rPh sb="11" eb="12">
      <t>シャッキン</t>
    </rPh>
    <rPh sb="12" eb="14">
      <t>ジョウホウ</t>
    </rPh>
    <rPh sb="17" eb="19">
      <t>ジドウ</t>
    </rPh>
    <rPh sb="20" eb="22">
      <t>ヘンサイ</t>
    </rPh>
    <rPh sb="23" eb="25">
      <t>シワケ</t>
    </rPh>
    <rPh sb="26" eb="28">
      <t>ケイジョウ</t>
    </rPh>
    <rPh sb="38" eb="40">
      <t>トウロク</t>
    </rPh>
    <rPh sb="40" eb="42">
      <t>ガメン</t>
    </rPh>
    <rPh sb="44" eb="46">
      <t>カンベン</t>
    </rPh>
    <rPh sb="46" eb="47">
      <t>テキ</t>
    </rPh>
    <rPh sb="48" eb="50">
      <t>ホウホウ</t>
    </rPh>
    <rPh sb="51" eb="53">
      <t>ヘンサイ</t>
    </rPh>
    <rPh sb="54" eb="56">
      <t>シワケ</t>
    </rPh>
    <rPh sb="57" eb="59">
      <t>ケイジョウ</t>
    </rPh>
    <phoneticPr fontId="3"/>
  </si>
  <si>
    <t>貸付金の返済の仕訳を自動計上する機能</t>
    <rPh sb="0" eb="3">
      <t>カシツケキン</t>
    </rPh>
    <rPh sb="4" eb="6">
      <t>ヘンサイ</t>
    </rPh>
    <rPh sb="7" eb="9">
      <t>シワケ</t>
    </rPh>
    <rPh sb="10" eb="14">
      <t>ジドウケイジョウ</t>
    </rPh>
    <rPh sb="16" eb="18">
      <t>キノウ</t>
    </rPh>
    <phoneticPr fontId="3"/>
  </si>
  <si>
    <t>Req228</t>
  </si>
  <si>
    <t>契約ごとに明細を分け、貸付金の一覧が表示できること</t>
    <rPh sb="0" eb="2">
      <t>ケイヤク</t>
    </rPh>
    <rPh sb="5" eb="7">
      <t>メイサイ</t>
    </rPh>
    <rPh sb="8" eb="9">
      <t>ワ</t>
    </rPh>
    <rPh sb="11" eb="13">
      <t>カシツケ</t>
    </rPh>
    <rPh sb="13" eb="14">
      <t>キン</t>
    </rPh>
    <rPh sb="15" eb="17">
      <t>イチラン</t>
    </rPh>
    <rPh sb="18" eb="20">
      <t>ヒョウジ</t>
    </rPh>
    <phoneticPr fontId="3"/>
  </si>
  <si>
    <t>貸付金の一覧を表示する機能</t>
    <rPh sb="0" eb="3">
      <t>カシツケキン</t>
    </rPh>
    <rPh sb="4" eb="6">
      <t>イチラン</t>
    </rPh>
    <rPh sb="7" eb="9">
      <t>ヒョウジ</t>
    </rPh>
    <rPh sb="11" eb="13">
      <t>キノウ</t>
    </rPh>
    <phoneticPr fontId="3"/>
  </si>
  <si>
    <t>財務分析コードで契約番号を管理し、試算表および伝票トランザクションで一覧表示可能。</t>
    <rPh sb="0" eb="4">
      <t>ザイムブンセキ</t>
    </rPh>
    <rPh sb="8" eb="10">
      <t>ケイヤク</t>
    </rPh>
    <rPh sb="10" eb="12">
      <t>バンゴウ</t>
    </rPh>
    <rPh sb="13" eb="15">
      <t>カンリ</t>
    </rPh>
    <rPh sb="17" eb="20">
      <t>シサンヒョウ</t>
    </rPh>
    <rPh sb="23" eb="25">
      <t>デンピョウ</t>
    </rPh>
    <rPh sb="34" eb="36">
      <t>イチラン</t>
    </rPh>
    <rPh sb="36" eb="38">
      <t>ヒョウジ</t>
    </rPh>
    <rPh sb="38" eb="40">
      <t>カノウ</t>
    </rPh>
    <phoneticPr fontId="3"/>
  </si>
  <si>
    <t>Req229</t>
  </si>
  <si>
    <t>会社別・通貨別の貸付残高の一覧が計算・表示できること</t>
    <rPh sb="0" eb="2">
      <t>カイシャ</t>
    </rPh>
    <rPh sb="2" eb="3">
      <t>ベツ</t>
    </rPh>
    <rPh sb="4" eb="7">
      <t>ツウカベツ</t>
    </rPh>
    <rPh sb="8" eb="10">
      <t>カシツケ</t>
    </rPh>
    <rPh sb="10" eb="12">
      <t>ザンダカ</t>
    </rPh>
    <rPh sb="13" eb="15">
      <t>イチラン</t>
    </rPh>
    <rPh sb="16" eb="18">
      <t>ケイサン</t>
    </rPh>
    <rPh sb="19" eb="21">
      <t>ヒョウジ</t>
    </rPh>
    <phoneticPr fontId="3"/>
  </si>
  <si>
    <t>相手会社別・通貨別に貸付金の残高の一覧を計算・表示できる機能</t>
    <rPh sb="0" eb="4">
      <t>アイテカイシャ</t>
    </rPh>
    <rPh sb="4" eb="5">
      <t>ベツ</t>
    </rPh>
    <rPh sb="6" eb="9">
      <t>ツウカベツ</t>
    </rPh>
    <rPh sb="10" eb="12">
      <t>カシツケ</t>
    </rPh>
    <rPh sb="12" eb="13">
      <t>キン</t>
    </rPh>
    <rPh sb="14" eb="16">
      <t>ザンダカ</t>
    </rPh>
    <rPh sb="17" eb="19">
      <t>イチラン</t>
    </rPh>
    <rPh sb="20" eb="22">
      <t>ケイサン</t>
    </rPh>
    <rPh sb="23" eb="25">
      <t>ヒョウジ</t>
    </rPh>
    <rPh sb="28" eb="30">
      <t>キノウ</t>
    </rPh>
    <phoneticPr fontId="3"/>
  </si>
  <si>
    <t>財務分析コードを相手先別に管理して入力すれば試算表で借入金の相手先別通貨別の個別表示は可能。
一覧表示させたい場合、アドオン開発が必要。</t>
    <rPh sb="0" eb="4">
      <t>ザイムブンセキ</t>
    </rPh>
    <rPh sb="8" eb="11">
      <t>アイテサキ</t>
    </rPh>
    <rPh sb="11" eb="12">
      <t>ベツ</t>
    </rPh>
    <rPh sb="13" eb="15">
      <t>カンリ</t>
    </rPh>
    <rPh sb="17" eb="19">
      <t>ニュウリョク</t>
    </rPh>
    <rPh sb="22" eb="25">
      <t>シサンヒョウ</t>
    </rPh>
    <rPh sb="26" eb="29">
      <t>カリイレキン</t>
    </rPh>
    <rPh sb="30" eb="33">
      <t>アイテサキ</t>
    </rPh>
    <rPh sb="33" eb="34">
      <t>ベツ</t>
    </rPh>
    <rPh sb="34" eb="37">
      <t>ツウカベツ</t>
    </rPh>
    <rPh sb="38" eb="40">
      <t>コベツ</t>
    </rPh>
    <rPh sb="40" eb="42">
      <t>ヒョウジ</t>
    </rPh>
    <rPh sb="43" eb="45">
      <t>カノウ</t>
    </rPh>
    <rPh sb="47" eb="49">
      <t>イチラン</t>
    </rPh>
    <rPh sb="49" eb="51">
      <t>ヒョウジ</t>
    </rPh>
    <rPh sb="55" eb="57">
      <t>バアイ</t>
    </rPh>
    <rPh sb="62" eb="64">
      <t>カイハツ</t>
    </rPh>
    <rPh sb="65" eb="67">
      <t>ヒツヨウ</t>
    </rPh>
    <phoneticPr fontId="3"/>
  </si>
  <si>
    <t>Req230</t>
  </si>
  <si>
    <t>過去に貸し付けた時の利率確認等を行うために、過去5年分の貸付の履歴を保持・表示できること</t>
    <rPh sb="0" eb="2">
      <t>カコ</t>
    </rPh>
    <rPh sb="3" eb="4">
      <t>カ</t>
    </rPh>
    <rPh sb="5" eb="6">
      <t>ツ</t>
    </rPh>
    <rPh sb="8" eb="9">
      <t>トキ</t>
    </rPh>
    <rPh sb="10" eb="12">
      <t>リリツ</t>
    </rPh>
    <rPh sb="12" eb="14">
      <t>カクニン</t>
    </rPh>
    <rPh sb="14" eb="15">
      <t>トウ</t>
    </rPh>
    <rPh sb="16" eb="17">
      <t>オコナ</t>
    </rPh>
    <rPh sb="22" eb="24">
      <t>カコ</t>
    </rPh>
    <rPh sb="25" eb="27">
      <t>ネンブン</t>
    </rPh>
    <rPh sb="28" eb="30">
      <t>カシツケ</t>
    </rPh>
    <rPh sb="31" eb="33">
      <t>リレキ</t>
    </rPh>
    <rPh sb="34" eb="36">
      <t>ホジ</t>
    </rPh>
    <rPh sb="37" eb="39">
      <t>ヒョウジ</t>
    </rPh>
    <phoneticPr fontId="3"/>
  </si>
  <si>
    <t>過去に発生した5年分の貸付金のデータを保存する機能</t>
    <rPh sb="0" eb="2">
      <t>カコ</t>
    </rPh>
    <rPh sb="3" eb="5">
      <t>ハッセイ</t>
    </rPh>
    <rPh sb="8" eb="10">
      <t>ネンブン</t>
    </rPh>
    <rPh sb="11" eb="14">
      <t>カシツケキン</t>
    </rPh>
    <rPh sb="19" eb="21">
      <t>ホゾン</t>
    </rPh>
    <rPh sb="23" eb="25">
      <t>キノウ</t>
    </rPh>
    <phoneticPr fontId="3"/>
  </si>
  <si>
    <t>貸付時の利率は摘要等に記載し、伝票トランザクションの一覧で確認可能。データは削除しなければ5年以上の保存可能、</t>
    <rPh sb="0" eb="2">
      <t>カシツケ</t>
    </rPh>
    <rPh sb="2" eb="3">
      <t>ジ</t>
    </rPh>
    <rPh sb="4" eb="6">
      <t>リリツ</t>
    </rPh>
    <rPh sb="7" eb="9">
      <t>テキヨウ</t>
    </rPh>
    <rPh sb="9" eb="10">
      <t>トウ</t>
    </rPh>
    <rPh sb="11" eb="13">
      <t>キサイ</t>
    </rPh>
    <rPh sb="15" eb="17">
      <t>デンピョウ</t>
    </rPh>
    <rPh sb="26" eb="28">
      <t>イチラン</t>
    </rPh>
    <rPh sb="29" eb="31">
      <t>カクニン</t>
    </rPh>
    <rPh sb="31" eb="33">
      <t>カノウ</t>
    </rPh>
    <rPh sb="38" eb="40">
      <t>サクジョ</t>
    </rPh>
    <rPh sb="46" eb="47">
      <t>ネン</t>
    </rPh>
    <rPh sb="47" eb="49">
      <t>イジョウ</t>
    </rPh>
    <rPh sb="50" eb="52">
      <t>ホゾン</t>
    </rPh>
    <rPh sb="52" eb="54">
      <t>カノウ</t>
    </rPh>
    <phoneticPr fontId="6"/>
  </si>
  <si>
    <t>Req231</t>
  </si>
  <si>
    <t>配当金等グループ間での請求があった際に、その取引の伝票を計上できること</t>
    <rPh sb="0" eb="4">
      <t>ハイトウキントウ</t>
    </rPh>
    <rPh sb="8" eb="9">
      <t>カン</t>
    </rPh>
    <rPh sb="11" eb="13">
      <t>セイキュウ</t>
    </rPh>
    <rPh sb="17" eb="18">
      <t>サイ</t>
    </rPh>
    <rPh sb="22" eb="24">
      <t>トリヒキ</t>
    </rPh>
    <rPh sb="25" eb="27">
      <t>デンピョウ</t>
    </rPh>
    <rPh sb="28" eb="30">
      <t>ケイジョウ</t>
    </rPh>
    <phoneticPr fontId="3"/>
  </si>
  <si>
    <t>配当金の伝票を計上できる機能</t>
    <rPh sb="0" eb="3">
      <t>ハイトウキン</t>
    </rPh>
    <rPh sb="4" eb="6">
      <t>デンピョウ</t>
    </rPh>
    <rPh sb="7" eb="9">
      <t>ケイジョウ</t>
    </rPh>
    <rPh sb="12" eb="14">
      <t>キノウ</t>
    </rPh>
    <phoneticPr fontId="3"/>
  </si>
  <si>
    <t>Req232</t>
  </si>
  <si>
    <t>グローバルコミットメントラインの枠の管理が会計システム内で出来ること</t>
    <rPh sb="16" eb="17">
      <t>ワク</t>
    </rPh>
    <rPh sb="18" eb="20">
      <t>カンリ</t>
    </rPh>
    <rPh sb="21" eb="23">
      <t>カイケイ</t>
    </rPh>
    <rPh sb="27" eb="28">
      <t>ナイ</t>
    </rPh>
    <rPh sb="29" eb="31">
      <t>デキ</t>
    </rPh>
    <phoneticPr fontId="3"/>
  </si>
  <si>
    <t>グローバルコミットメントラインの枠を管理・登録する機能</t>
  </si>
  <si>
    <t>月次グループ管理(借入預金)</t>
    <phoneticPr fontId="6"/>
  </si>
  <si>
    <t>各社各銀行口座毎の
グローバルコミットメント枠の金額を
予算登録エントリに登録する</t>
    <phoneticPr fontId="6"/>
  </si>
  <si>
    <t>Req233</t>
  </si>
  <si>
    <t>グローバルコミットメントラインの枠の利用状況が会計システム内で出来ること</t>
    <rPh sb="16" eb="17">
      <t>ワク</t>
    </rPh>
    <rPh sb="18" eb="22">
      <t>リヨウジョウキョウ</t>
    </rPh>
    <rPh sb="23" eb="25">
      <t>カイケイ</t>
    </rPh>
    <rPh sb="29" eb="30">
      <t>ナイ</t>
    </rPh>
    <rPh sb="31" eb="33">
      <t>デキ</t>
    </rPh>
    <phoneticPr fontId="3"/>
  </si>
  <si>
    <t>グローバルコミットメントラインの枠の利用状況を管理する機能</t>
    <rPh sb="16" eb="17">
      <t>ワク</t>
    </rPh>
    <rPh sb="18" eb="22">
      <t>リヨウジョウキョウ</t>
    </rPh>
    <rPh sb="23" eb="25">
      <t>カンリ</t>
    </rPh>
    <rPh sb="27" eb="29">
      <t>キノウ</t>
    </rPh>
    <phoneticPr fontId="3"/>
  </si>
  <si>
    <t>MRで予実帳票を作って借入消費枠の利用状況を確認する</t>
    <rPh sb="17" eb="19">
      <t>リヨウ</t>
    </rPh>
    <phoneticPr fontId="6"/>
  </si>
  <si>
    <t>Req234</t>
  </si>
  <si>
    <t>グローバルコミットメントラインの枠で利用する借入の利息額が自動計上出来ること</t>
    <rPh sb="16" eb="17">
      <t>ワク</t>
    </rPh>
    <rPh sb="18" eb="20">
      <t>リヨウ</t>
    </rPh>
    <rPh sb="22" eb="24">
      <t>カリイレ</t>
    </rPh>
    <rPh sb="25" eb="28">
      <t>リソクガク</t>
    </rPh>
    <rPh sb="29" eb="33">
      <t>ジドウケイジョウ</t>
    </rPh>
    <rPh sb="33" eb="35">
      <t>デキ</t>
    </rPh>
    <phoneticPr fontId="3"/>
  </si>
  <si>
    <t>グローバルコミットメントラインの枠で利用する借入の利息額を計算・自動計上する機能</t>
    <rPh sb="16" eb="17">
      <t>ワク</t>
    </rPh>
    <rPh sb="18" eb="20">
      <t>リヨウ</t>
    </rPh>
    <rPh sb="22" eb="24">
      <t>カリイレ</t>
    </rPh>
    <rPh sb="25" eb="28">
      <t>リソクガク</t>
    </rPh>
    <rPh sb="29" eb="31">
      <t>ケイサン</t>
    </rPh>
    <rPh sb="32" eb="36">
      <t>ジドウケイジョウ</t>
    </rPh>
    <rPh sb="38" eb="40">
      <t>キノウ</t>
    </rPh>
    <phoneticPr fontId="3"/>
  </si>
  <si>
    <t>利息の自動計算機能なし
一般仕訳帳で伝票登録。</t>
    <rPh sb="12" eb="17">
      <t>イッパンシワケチョウ</t>
    </rPh>
    <rPh sb="18" eb="20">
      <t>デンピョウ</t>
    </rPh>
    <rPh sb="20" eb="22">
      <t>トウロク</t>
    </rPh>
    <phoneticPr fontId="6"/>
  </si>
  <si>
    <t>Req235</t>
  </si>
  <si>
    <t>グローバルコミットメントラインの空き枠に対して発生する利息額を自動計算し、仕訳の自動計上が出来ること</t>
    <rPh sb="16" eb="17">
      <t>ア</t>
    </rPh>
    <rPh sb="18" eb="19">
      <t>ワク</t>
    </rPh>
    <rPh sb="20" eb="21">
      <t>タイ</t>
    </rPh>
    <rPh sb="23" eb="25">
      <t>ハッセイ</t>
    </rPh>
    <rPh sb="27" eb="30">
      <t>リソクガク</t>
    </rPh>
    <rPh sb="31" eb="35">
      <t>ジドウケイサン</t>
    </rPh>
    <rPh sb="37" eb="39">
      <t>シワケ</t>
    </rPh>
    <rPh sb="40" eb="44">
      <t>ジドウケイジョウ</t>
    </rPh>
    <rPh sb="45" eb="47">
      <t>デキ</t>
    </rPh>
    <phoneticPr fontId="3"/>
  </si>
  <si>
    <t>グローバルコミットメントラインの空き枠に対して発生する利息額を自動計算し、仕訳を自動計上する機能</t>
    <rPh sb="16" eb="17">
      <t>ア</t>
    </rPh>
    <rPh sb="18" eb="19">
      <t>ワク</t>
    </rPh>
    <rPh sb="20" eb="21">
      <t>タイ</t>
    </rPh>
    <rPh sb="23" eb="25">
      <t>ハッセイ</t>
    </rPh>
    <rPh sb="27" eb="30">
      <t>リソクガク</t>
    </rPh>
    <rPh sb="31" eb="35">
      <t>ジドウケイサン</t>
    </rPh>
    <rPh sb="37" eb="39">
      <t>シワケ</t>
    </rPh>
    <rPh sb="40" eb="44">
      <t>ジドウケイジョウ</t>
    </rPh>
    <rPh sb="46" eb="48">
      <t>キノウ</t>
    </rPh>
    <phoneticPr fontId="3"/>
  </si>
  <si>
    <t>利息の自動計算機能は無い。仕訳登録という観点ではExcelアドインという機能にて一般仕訳帳(いわゆる仕訳伝票）に未転記状態で登録することは可能。但し、自動転記(計上)する機能は無い。
※空き枠に発生する利息とは、銀行へ支払う利息？日本法人が利息計上するのか？海外拠点それぞれが負担する？</t>
    <phoneticPr fontId="6"/>
  </si>
  <si>
    <t>→利息の支払いはスイス負担となるため、日本法人で利息経常等は発生致しません。あくまでも契約の空き枠管理等ができる機能があれば良いと考えております。</t>
    <rPh sb="1" eb="3">
      <t>リソク</t>
    </rPh>
    <rPh sb="4" eb="6">
      <t>シハラ</t>
    </rPh>
    <rPh sb="11" eb="13">
      <t>フタン</t>
    </rPh>
    <rPh sb="19" eb="23">
      <t>ニホンホウジン</t>
    </rPh>
    <rPh sb="24" eb="26">
      <t>リソク</t>
    </rPh>
    <rPh sb="26" eb="29">
      <t>ケイジョウトウ</t>
    </rPh>
    <rPh sb="30" eb="32">
      <t>ハッセイ</t>
    </rPh>
    <rPh sb="32" eb="33">
      <t>イタ</t>
    </rPh>
    <rPh sb="43" eb="45">
      <t>ケイヤク</t>
    </rPh>
    <rPh sb="46" eb="47">
      <t>ア</t>
    </rPh>
    <rPh sb="56" eb="58">
      <t>キノウ</t>
    </rPh>
    <rPh sb="62" eb="63">
      <t>ヨ</t>
    </rPh>
    <rPh sb="65" eb="66">
      <t>カンガ</t>
    </rPh>
    <phoneticPr fontId="3"/>
  </si>
  <si>
    <t>Req236</t>
  </si>
  <si>
    <t>グローバル各社の担当者に対して、事前に登録した文面のメールを毎月自動送信できること</t>
    <rPh sb="5" eb="7">
      <t>カクシャ</t>
    </rPh>
    <rPh sb="8" eb="11">
      <t>タントウシャ</t>
    </rPh>
    <rPh sb="12" eb="13">
      <t>タイ</t>
    </rPh>
    <rPh sb="16" eb="18">
      <t>ジゼン</t>
    </rPh>
    <rPh sb="19" eb="21">
      <t>トウロク</t>
    </rPh>
    <rPh sb="23" eb="25">
      <t>ブンメン</t>
    </rPh>
    <rPh sb="30" eb="36">
      <t>マイツキジドウソウシン</t>
    </rPh>
    <phoneticPr fontId="3"/>
  </si>
  <si>
    <t>グローバル各社の担当者に対して、事前に登録した文面のメールを毎月自動送信する機能</t>
    <rPh sb="5" eb="7">
      <t>カクシャ</t>
    </rPh>
    <rPh sb="8" eb="11">
      <t>タントウシャ</t>
    </rPh>
    <rPh sb="12" eb="13">
      <t>タイ</t>
    </rPh>
    <rPh sb="15" eb="17">
      <t>ジゼン</t>
    </rPh>
    <rPh sb="18" eb="20">
      <t>トウロク</t>
    </rPh>
    <rPh sb="22" eb="24">
      <t>ブンメン</t>
    </rPh>
    <rPh sb="29" eb="35">
      <t>マイツキジドウソウシン</t>
    </rPh>
    <rPh sb="38" eb="40">
      <t>キノウ</t>
    </rPh>
    <phoneticPr fontId="3"/>
  </si>
  <si>
    <t>事前に登録した文面のメールを毎月自動送信する機能なし</t>
    <phoneticPr fontId="6"/>
  </si>
  <si>
    <t>Req237</t>
  </si>
  <si>
    <t>各社から入手したEXCELフォーマットをアップロードすることで、その会社の月末の借入金残高を登録できること</t>
    <rPh sb="0" eb="2">
      <t>カクシャ</t>
    </rPh>
    <rPh sb="4" eb="6">
      <t>ニュウシュ</t>
    </rPh>
    <rPh sb="34" eb="36">
      <t>カイシャ</t>
    </rPh>
    <rPh sb="37" eb="39">
      <t>ゲツマツ</t>
    </rPh>
    <rPh sb="40" eb="45">
      <t>カリイレキンザンダカ</t>
    </rPh>
    <rPh sb="46" eb="48">
      <t>トウロク</t>
    </rPh>
    <phoneticPr fontId="3"/>
  </si>
  <si>
    <t>EXCELフォーマットをアップロードすることによって、月末の借入金残高を登録/計上する機能</t>
    <rPh sb="27" eb="29">
      <t>ゲツマツ</t>
    </rPh>
    <rPh sb="30" eb="35">
      <t>カリイレキンザンダカ</t>
    </rPh>
    <rPh sb="36" eb="38">
      <t>トウロク</t>
    </rPh>
    <rPh sb="39" eb="41">
      <t>ケイジョウ</t>
    </rPh>
    <rPh sb="43" eb="45">
      <t>キノウ</t>
    </rPh>
    <phoneticPr fontId="3"/>
  </si>
  <si>
    <t>月末残高を仕訳伝票形式で一般仕訳帳に伝票登録</t>
    <rPh sb="0" eb="2">
      <t>ゲツマツ</t>
    </rPh>
    <rPh sb="2" eb="4">
      <t>ザンダカ</t>
    </rPh>
    <rPh sb="5" eb="7">
      <t>シワケ</t>
    </rPh>
    <rPh sb="7" eb="9">
      <t>デンピョウ</t>
    </rPh>
    <rPh sb="9" eb="11">
      <t>ケイシキ</t>
    </rPh>
    <rPh sb="12" eb="14">
      <t>イッパン</t>
    </rPh>
    <rPh sb="14" eb="17">
      <t>シワケチョウ</t>
    </rPh>
    <rPh sb="18" eb="20">
      <t>デンピョウ</t>
    </rPh>
    <rPh sb="20" eb="22">
      <t>トウロク</t>
    </rPh>
    <phoneticPr fontId="6"/>
  </si>
  <si>
    <t>Req238</t>
  </si>
  <si>
    <t>会社別に金融機関別・通貨別の月末借入の金額を管理できること</t>
    <rPh sb="0" eb="3">
      <t>カイシャベツ</t>
    </rPh>
    <rPh sb="4" eb="9">
      <t>キンユウキカンベツ</t>
    </rPh>
    <rPh sb="10" eb="13">
      <t>ツウカベツ</t>
    </rPh>
    <rPh sb="14" eb="16">
      <t>ゲツマツ</t>
    </rPh>
    <rPh sb="16" eb="18">
      <t>カリイレ</t>
    </rPh>
    <rPh sb="19" eb="21">
      <t>キンガク</t>
    </rPh>
    <rPh sb="22" eb="24">
      <t>カンリ</t>
    </rPh>
    <phoneticPr fontId="3"/>
  </si>
  <si>
    <t>会社別の金融機関別・通貨別の月末借入の金額を管理・計算・表示する機能</t>
    <rPh sb="0" eb="3">
      <t>カイシャベツ</t>
    </rPh>
    <rPh sb="4" eb="9">
      <t>キンユウキカンベツ</t>
    </rPh>
    <rPh sb="10" eb="13">
      <t>ツウカベツ</t>
    </rPh>
    <rPh sb="14" eb="16">
      <t>ゲツマツ</t>
    </rPh>
    <rPh sb="16" eb="18">
      <t>カリイレ</t>
    </rPh>
    <rPh sb="19" eb="21">
      <t>キンガク</t>
    </rPh>
    <rPh sb="22" eb="24">
      <t>カンリ</t>
    </rPh>
    <rPh sb="25" eb="27">
      <t>ケイサン</t>
    </rPh>
    <rPh sb="28" eb="30">
      <t>ヒョウジ</t>
    </rPh>
    <rPh sb="32" eb="34">
      <t>キノウ</t>
    </rPh>
    <phoneticPr fontId="3"/>
  </si>
  <si>
    <t>仕訳登録時に財務分析コードや財務タグ（フィルタ機能のみで分析機能はない)を付与することで、一覧画面でフィルタして表示することは可能
※参考としてサンプルをいただきたい。</t>
    <phoneticPr fontId="6"/>
  </si>
  <si>
    <t>→グローバルに関し仕訳計上は発生致しません。あくまでもグローバル集計機能として表示できればと考えております。PDF「Gr金融機関現況202312」をご参照ください。</t>
    <rPh sb="7" eb="8">
      <t>カン</t>
    </rPh>
    <rPh sb="9" eb="11">
      <t>シワケ</t>
    </rPh>
    <rPh sb="11" eb="13">
      <t>ケイジョウ</t>
    </rPh>
    <rPh sb="14" eb="16">
      <t>ハッセイ</t>
    </rPh>
    <rPh sb="16" eb="17">
      <t>イタ</t>
    </rPh>
    <rPh sb="32" eb="34">
      <t>シュウケイ</t>
    </rPh>
    <rPh sb="34" eb="36">
      <t>キノウ</t>
    </rPh>
    <rPh sb="39" eb="41">
      <t>ヒョウジ</t>
    </rPh>
    <rPh sb="46" eb="47">
      <t>カンガ</t>
    </rPh>
    <rPh sb="60" eb="64">
      <t>キンユウキカン</t>
    </rPh>
    <rPh sb="64" eb="66">
      <t>ゲンキョウ</t>
    </rPh>
    <rPh sb="75" eb="77">
      <t>サンショウ</t>
    </rPh>
    <phoneticPr fontId="3"/>
  </si>
  <si>
    <t>財務分析コードで会社別金融機関別の残高表示が可能。通貨別は1科目で1通貨の場合、MRで帳票作成可能であるが、1科目複数通貨(USD/EUR/CNYなど)での混在入力がある場合、MRでは混在表示される制限あり、試算表画面で１科目ごとに通貨毎に金額表示が可能であるが科目別通貨別の一覧形式ではない。</t>
    <rPh sb="0" eb="2">
      <t>ザイム</t>
    </rPh>
    <rPh sb="2" eb="4">
      <t>ブンセキ</t>
    </rPh>
    <rPh sb="8" eb="11">
      <t>カイシャベツ</t>
    </rPh>
    <rPh sb="11" eb="16">
      <t>キンユウキカンベツ</t>
    </rPh>
    <rPh sb="17" eb="21">
      <t>ザンダカヒョウジ</t>
    </rPh>
    <rPh sb="22" eb="24">
      <t>カノウ</t>
    </rPh>
    <rPh sb="25" eb="28">
      <t>ツウカベツ</t>
    </rPh>
    <rPh sb="30" eb="32">
      <t>カモク</t>
    </rPh>
    <rPh sb="34" eb="36">
      <t>ツウカ</t>
    </rPh>
    <rPh sb="37" eb="39">
      <t>バアイ</t>
    </rPh>
    <rPh sb="43" eb="45">
      <t>チョウヒョウ</t>
    </rPh>
    <rPh sb="45" eb="47">
      <t>サクセイ</t>
    </rPh>
    <rPh sb="47" eb="49">
      <t>カノウ</t>
    </rPh>
    <rPh sb="55" eb="57">
      <t>カモク</t>
    </rPh>
    <rPh sb="57" eb="59">
      <t>フクスウ</t>
    </rPh>
    <rPh sb="59" eb="61">
      <t>ツウカ</t>
    </rPh>
    <rPh sb="78" eb="80">
      <t>コンザイ</t>
    </rPh>
    <rPh sb="80" eb="82">
      <t>ニュウリョク</t>
    </rPh>
    <rPh sb="85" eb="87">
      <t>バアイ</t>
    </rPh>
    <rPh sb="92" eb="94">
      <t>コンザイ</t>
    </rPh>
    <rPh sb="94" eb="96">
      <t>ヒョウジ</t>
    </rPh>
    <rPh sb="99" eb="101">
      <t>セイゲン</t>
    </rPh>
    <rPh sb="104" eb="107">
      <t>シサンヒョウ</t>
    </rPh>
    <rPh sb="107" eb="109">
      <t>ガメン</t>
    </rPh>
    <rPh sb="111" eb="113">
      <t>カモク</t>
    </rPh>
    <rPh sb="116" eb="118">
      <t>ツウカ</t>
    </rPh>
    <rPh sb="118" eb="119">
      <t>ゴト</t>
    </rPh>
    <rPh sb="120" eb="122">
      <t>キンガク</t>
    </rPh>
    <rPh sb="122" eb="124">
      <t>ヒョウジ</t>
    </rPh>
    <rPh sb="125" eb="127">
      <t>カノウ</t>
    </rPh>
    <rPh sb="131" eb="134">
      <t>カモクベツ</t>
    </rPh>
    <rPh sb="134" eb="137">
      <t>ツウカベツ</t>
    </rPh>
    <rPh sb="138" eb="140">
      <t>イチラン</t>
    </rPh>
    <rPh sb="140" eb="142">
      <t>ケイシキ</t>
    </rPh>
    <phoneticPr fontId="6"/>
  </si>
  <si>
    <t>Req239</t>
  </si>
  <si>
    <t>会社を地域等の切り口でグルーピングし、見たい切り口での月末借入金残高を計算・表示出来ること</t>
    <rPh sb="0" eb="2">
      <t>カイシャ</t>
    </rPh>
    <rPh sb="3" eb="6">
      <t>チイキトウ</t>
    </rPh>
    <rPh sb="7" eb="8">
      <t>キ</t>
    </rPh>
    <rPh sb="9" eb="10">
      <t>クチ</t>
    </rPh>
    <rPh sb="19" eb="20">
      <t>ミ</t>
    </rPh>
    <rPh sb="22" eb="23">
      <t>キ</t>
    </rPh>
    <rPh sb="24" eb="25">
      <t>クチ</t>
    </rPh>
    <rPh sb="27" eb="29">
      <t>ゲツマツ</t>
    </rPh>
    <rPh sb="29" eb="31">
      <t>カリイレ</t>
    </rPh>
    <rPh sb="31" eb="32">
      <t>キン</t>
    </rPh>
    <rPh sb="32" eb="34">
      <t>ザンダカ</t>
    </rPh>
    <rPh sb="35" eb="37">
      <t>ケイサン</t>
    </rPh>
    <rPh sb="38" eb="40">
      <t>ヒョウジ</t>
    </rPh>
    <rPh sb="40" eb="42">
      <t>デキ</t>
    </rPh>
    <phoneticPr fontId="3"/>
  </si>
  <si>
    <t>借入金残高のグルーピングをする機能</t>
    <rPh sb="0" eb="5">
      <t>カリイレキンザンダカ</t>
    </rPh>
    <rPh sb="15" eb="17">
      <t>キノウ</t>
    </rPh>
    <phoneticPr fontId="3"/>
  </si>
  <si>
    <t>仕訳登録時に財務分析コードや財務タグ（フィルタ機能のみで分析機能はない)を付与することで、試算表で集計表示可能</t>
    <rPh sb="0" eb="2">
      <t>シワケ</t>
    </rPh>
    <rPh sb="2" eb="5">
      <t>トウロクジ</t>
    </rPh>
    <rPh sb="6" eb="8">
      <t>ザイム</t>
    </rPh>
    <rPh sb="8" eb="10">
      <t>ブンセキ</t>
    </rPh>
    <rPh sb="14" eb="16">
      <t>ザイム</t>
    </rPh>
    <rPh sb="23" eb="25">
      <t>キノウ</t>
    </rPh>
    <rPh sb="28" eb="30">
      <t>ブンセキ</t>
    </rPh>
    <rPh sb="30" eb="32">
      <t>キノウ</t>
    </rPh>
    <rPh sb="37" eb="39">
      <t>フヨ</t>
    </rPh>
    <rPh sb="45" eb="48">
      <t>シサンヒョウ</t>
    </rPh>
    <rPh sb="49" eb="51">
      <t>シュウケイ</t>
    </rPh>
    <rPh sb="51" eb="53">
      <t>ヒョウジ</t>
    </rPh>
    <rPh sb="53" eb="55">
      <t>カノウ</t>
    </rPh>
    <phoneticPr fontId="3"/>
  </si>
  <si>
    <t>Req240</t>
  </si>
  <si>
    <t>各社から入手したEXCELフォーマットをアップロードすることで、その会社の月末の預金残高を登録できること</t>
    <rPh sb="0" eb="2">
      <t>カクシャ</t>
    </rPh>
    <rPh sb="4" eb="6">
      <t>ニュウシュ</t>
    </rPh>
    <rPh sb="34" eb="36">
      <t>カイシャ</t>
    </rPh>
    <rPh sb="40" eb="42">
      <t>ヨキン</t>
    </rPh>
    <rPh sb="42" eb="44">
      <t>ザンダカ</t>
    </rPh>
    <rPh sb="43" eb="45">
      <t>トウロク</t>
    </rPh>
    <phoneticPr fontId="3"/>
  </si>
  <si>
    <t>EXCELフォーマットをアップロードすることによって、月末の預金残高を登録/計上する機能</t>
    <rPh sb="27" eb="29">
      <t>ゲツマツ</t>
    </rPh>
    <rPh sb="30" eb="32">
      <t>ヨキン</t>
    </rPh>
    <rPh sb="32" eb="34">
      <t>ザンダカ</t>
    </rPh>
    <rPh sb="35" eb="37">
      <t>トウロク</t>
    </rPh>
    <rPh sb="38" eb="40">
      <t>ケイジョウ</t>
    </rPh>
    <rPh sb="42" eb="44">
      <t>キノウ</t>
    </rPh>
    <phoneticPr fontId="3"/>
  </si>
  <si>
    <t>月末残高を仕訳伝票形式のEXCELアドインで一般仕訳帳に伝票登録。</t>
    <rPh sb="0" eb="2">
      <t>ゲツマツ</t>
    </rPh>
    <rPh sb="2" eb="4">
      <t>ザンダカ</t>
    </rPh>
    <rPh sb="5" eb="7">
      <t>シワケ</t>
    </rPh>
    <rPh sb="7" eb="9">
      <t>デンピョウ</t>
    </rPh>
    <rPh sb="9" eb="11">
      <t>ケイシキ</t>
    </rPh>
    <rPh sb="22" eb="24">
      <t>イッパン</t>
    </rPh>
    <rPh sb="24" eb="27">
      <t>シワケチョウ</t>
    </rPh>
    <rPh sb="28" eb="30">
      <t>デンピョウ</t>
    </rPh>
    <rPh sb="30" eb="32">
      <t>トウロク</t>
    </rPh>
    <phoneticPr fontId="6"/>
  </si>
  <si>
    <t>Req241</t>
  </si>
  <si>
    <t>会社別に金融機関別・通貨別の月末預金額を管理できること</t>
    <rPh sb="0" eb="3">
      <t>カイシャベツ</t>
    </rPh>
    <rPh sb="4" eb="9">
      <t>キンユウキカンベツ</t>
    </rPh>
    <rPh sb="10" eb="12">
      <t>ツウカ</t>
    </rPh>
    <rPh sb="12" eb="13">
      <t>ベツ</t>
    </rPh>
    <rPh sb="14" eb="16">
      <t>ゲツマツ</t>
    </rPh>
    <rPh sb="16" eb="18">
      <t>ヨキン</t>
    </rPh>
    <rPh sb="18" eb="19">
      <t>ガク</t>
    </rPh>
    <rPh sb="19" eb="20">
      <t>キンガク</t>
    </rPh>
    <rPh sb="20" eb="22">
      <t>カンリ</t>
    </rPh>
    <phoneticPr fontId="3"/>
  </si>
  <si>
    <t>会社別の金融機関別・通貨別の月末預金額を管理・計算・表示する機能</t>
    <rPh sb="0" eb="3">
      <t>カイシャベツ</t>
    </rPh>
    <rPh sb="4" eb="9">
      <t>キンユウキカンベツ</t>
    </rPh>
    <rPh sb="10" eb="12">
      <t>ツウカ</t>
    </rPh>
    <rPh sb="12" eb="13">
      <t>ベツ</t>
    </rPh>
    <rPh sb="14" eb="16">
      <t>ゲツマツ</t>
    </rPh>
    <rPh sb="16" eb="18">
      <t>ヨキン</t>
    </rPh>
    <rPh sb="18" eb="19">
      <t>ガク</t>
    </rPh>
    <rPh sb="19" eb="20">
      <t>キンガク</t>
    </rPh>
    <rPh sb="20" eb="22">
      <t>カンリ</t>
    </rPh>
    <rPh sb="23" eb="25">
      <t>ケイサン</t>
    </rPh>
    <rPh sb="26" eb="28">
      <t>ヒョウジ</t>
    </rPh>
    <rPh sb="30" eb="32">
      <t>キノウ</t>
    </rPh>
    <phoneticPr fontId="3"/>
  </si>
  <si>
    <t>仕訳登録時に財務分析コードや財務タグ（フィルタ機能のみで分析機能はない)を付与することで、一覧画面でフィルタして表示することは可能
※グループ管理のイメージは、日本法人の財務会計トランザクションとは別のデータ管理(グループ管理用法人を作成)をしてグローバル各社の借入残高を一元管理する？</t>
    <phoneticPr fontId="6"/>
  </si>
  <si>
    <t>→グローバルに関し仕訳計上は発生致しません。あくまでもグローバル集計機能として表示できればと考えております。PDF「Gr金融機関現況202312」をご参照ください。</t>
    <phoneticPr fontId="6"/>
  </si>
  <si>
    <t>Req242</t>
  </si>
  <si>
    <t>会社別に金融機関別・口座別の月末預金額を管理できること</t>
    <rPh sb="0" eb="3">
      <t>カイシャベツ</t>
    </rPh>
    <rPh sb="4" eb="9">
      <t>キンユウキカンベツ</t>
    </rPh>
    <rPh sb="10" eb="12">
      <t>コウザ</t>
    </rPh>
    <rPh sb="12" eb="13">
      <t>ベツ</t>
    </rPh>
    <rPh sb="14" eb="16">
      <t>ゲツマツ</t>
    </rPh>
    <rPh sb="16" eb="18">
      <t>ヨキン</t>
    </rPh>
    <rPh sb="18" eb="19">
      <t>ガク</t>
    </rPh>
    <rPh sb="19" eb="20">
      <t>キンガク</t>
    </rPh>
    <rPh sb="20" eb="22">
      <t>カンリ</t>
    </rPh>
    <phoneticPr fontId="3"/>
  </si>
  <si>
    <t>会社別の金融機関別・口座別の月末預金額を管理・計算・表示する機能</t>
    <rPh sb="0" eb="3">
      <t>カイシャベツ</t>
    </rPh>
    <rPh sb="4" eb="9">
      <t>キンユウキカンベツ</t>
    </rPh>
    <rPh sb="10" eb="12">
      <t>コウザ</t>
    </rPh>
    <rPh sb="12" eb="13">
      <t>ベツ</t>
    </rPh>
    <rPh sb="14" eb="16">
      <t>ゲツマツ</t>
    </rPh>
    <rPh sb="16" eb="18">
      <t>ヨキン</t>
    </rPh>
    <rPh sb="18" eb="19">
      <t>ガク</t>
    </rPh>
    <rPh sb="19" eb="20">
      <t>キンガク</t>
    </rPh>
    <rPh sb="20" eb="22">
      <t>カンリ</t>
    </rPh>
    <rPh sb="23" eb="25">
      <t>ケイサン</t>
    </rPh>
    <rPh sb="26" eb="28">
      <t>ヒョウジ</t>
    </rPh>
    <rPh sb="30" eb="32">
      <t>キノウ</t>
    </rPh>
    <phoneticPr fontId="3"/>
  </si>
  <si>
    <t>財務分析コードで会社別金融機関別の残高表示が可能。</t>
    <phoneticPr fontId="6"/>
  </si>
  <si>
    <t>Req243</t>
  </si>
  <si>
    <t>・グループ全体の借入の将来の残高/返済額/利息額が年別で表示されること
・及び会社別・明細別でプレイクダウン出来ること</t>
  </si>
  <si>
    <t>・グループ全体の借入の将来の残高/返済額/利息額が年別で表示する機能
・及び会社別・明細別でプレイクダウンする機能</t>
    <rPh sb="5" eb="7">
      <t>ゼンタイ</t>
    </rPh>
    <rPh sb="8" eb="10">
      <t>カリイレ</t>
    </rPh>
    <rPh sb="17" eb="20">
      <t>ヘンサイガク</t>
    </rPh>
    <rPh sb="21" eb="24">
      <t>リソクガク</t>
    </rPh>
    <rPh sb="25" eb="27">
      <t>ネンベツ</t>
    </rPh>
    <rPh sb="28" eb="30">
      <t>ヒョウジ</t>
    </rPh>
    <rPh sb="32" eb="34">
      <t>キノウ</t>
    </rPh>
    <rPh sb="36" eb="37">
      <t>オヨ</t>
    </rPh>
    <rPh sb="38" eb="41">
      <t>カイシャベツ</t>
    </rPh>
    <rPh sb="42" eb="44">
      <t>メイサイ</t>
    </rPh>
    <rPh sb="44" eb="45">
      <t>ベツ</t>
    </rPh>
    <rPh sb="55" eb="57">
      <t>キノウ</t>
    </rPh>
    <phoneticPr fontId="3"/>
  </si>
  <si>
    <t>借入の将来の残高/返済額/利息額を計算する機能なし。</t>
    <rPh sb="17" eb="19">
      <t>ケイサン</t>
    </rPh>
    <rPh sb="21" eb="23">
      <t>キノウ</t>
    </rPh>
    <phoneticPr fontId="6"/>
  </si>
  <si>
    <t>Req244</t>
  </si>
  <si>
    <t>会社を地域等の切り口でグルーピングし、見たい切り口での月末預金残高を計算・表示出来ること</t>
    <rPh sb="0" eb="2">
      <t>カイシャ</t>
    </rPh>
    <rPh sb="3" eb="6">
      <t>チイキトウ</t>
    </rPh>
    <rPh sb="7" eb="8">
      <t>キ</t>
    </rPh>
    <rPh sb="9" eb="10">
      <t>クチ</t>
    </rPh>
    <rPh sb="19" eb="20">
      <t>ミ</t>
    </rPh>
    <rPh sb="22" eb="23">
      <t>キ</t>
    </rPh>
    <rPh sb="24" eb="25">
      <t>クチ</t>
    </rPh>
    <rPh sb="27" eb="29">
      <t>ガツマツ</t>
    </rPh>
    <rPh sb="29" eb="31">
      <t>ヨキン</t>
    </rPh>
    <rPh sb="31" eb="33">
      <t>ザンダカ</t>
    </rPh>
    <rPh sb="34" eb="36">
      <t>ケイサン</t>
    </rPh>
    <rPh sb="37" eb="39">
      <t>ヒョウジ</t>
    </rPh>
    <rPh sb="39" eb="41">
      <t>デキ</t>
    </rPh>
    <phoneticPr fontId="3"/>
  </si>
  <si>
    <t>預金残高のグルーピングをする機能</t>
    <rPh sb="0" eb="2">
      <t>ヨキン</t>
    </rPh>
    <rPh sb="2" eb="4">
      <t>ザンダカ</t>
    </rPh>
    <rPh sb="14" eb="16">
      <t>キノウ</t>
    </rPh>
    <phoneticPr fontId="3"/>
  </si>
  <si>
    <t>Req245</t>
  </si>
  <si>
    <t>上記管理したい切り口毎に、前月と報告月の残高が横並びで比較でき、また増減が計算出来ること</t>
    <rPh sb="0" eb="2">
      <t>ジョウキ</t>
    </rPh>
    <rPh sb="2" eb="4">
      <t>カンリ</t>
    </rPh>
    <rPh sb="7" eb="8">
      <t>キ</t>
    </rPh>
    <rPh sb="9" eb="11">
      <t>クチゴト</t>
    </rPh>
    <rPh sb="13" eb="15">
      <t>ゼンゲツ</t>
    </rPh>
    <rPh sb="16" eb="18">
      <t>ホウコク</t>
    </rPh>
    <rPh sb="18" eb="19">
      <t>ツキ</t>
    </rPh>
    <rPh sb="20" eb="22">
      <t>ザンダカ</t>
    </rPh>
    <rPh sb="23" eb="25">
      <t>ヨコナラ</t>
    </rPh>
    <rPh sb="27" eb="29">
      <t>ヒカク</t>
    </rPh>
    <rPh sb="34" eb="36">
      <t>ゾウゲン</t>
    </rPh>
    <rPh sb="37" eb="39">
      <t>ケイサン</t>
    </rPh>
    <rPh sb="39" eb="41">
      <t>デキ</t>
    </rPh>
    <phoneticPr fontId="3"/>
  </si>
  <si>
    <r>
      <rPr>
        <strike/>
        <sz val="11"/>
        <rFont val="Meiryo UI"/>
        <family val="3"/>
        <charset val="128"/>
      </rPr>
      <t>44.1~44.7</t>
    </r>
    <r>
      <rPr>
        <b/>
        <sz val="11"/>
        <color rgb="FFFF0000"/>
        <rFont val="Meiryo UI"/>
        <family val="3"/>
        <charset val="128"/>
      </rPr>
      <t>11.1～11.9</t>
    </r>
    <r>
      <rPr>
        <sz val="11"/>
        <rFont val="Meiryo UI"/>
        <family val="3"/>
        <charset val="128"/>
      </rPr>
      <t>を満たしながら前月と当月の数字を比較して表示する機能、及び差額を計算する機能</t>
    </r>
    <rPh sb="19" eb="20">
      <t>ミ</t>
    </rPh>
    <rPh sb="25" eb="27">
      <t>ゼンゲツ</t>
    </rPh>
    <rPh sb="28" eb="30">
      <t>トウゲツ</t>
    </rPh>
    <rPh sb="31" eb="33">
      <t>スウジ</t>
    </rPh>
    <rPh sb="34" eb="36">
      <t>ヒカク</t>
    </rPh>
    <rPh sb="38" eb="40">
      <t>ヒョウジ</t>
    </rPh>
    <rPh sb="42" eb="44">
      <t>キノウ</t>
    </rPh>
    <rPh sb="45" eb="46">
      <t>オヨ</t>
    </rPh>
    <rPh sb="47" eb="49">
      <t>サガク</t>
    </rPh>
    <rPh sb="50" eb="52">
      <t>ケイサン</t>
    </rPh>
    <rPh sb="54" eb="56">
      <t>キノウ</t>
    </rPh>
    <phoneticPr fontId="3"/>
  </si>
  <si>
    <t>11.10</t>
  </si>
  <si>
    <t>MRで前月比較帳票を作成して確認する</t>
    <rPh sb="3" eb="5">
      <t>ゼンゲツ</t>
    </rPh>
    <rPh sb="5" eb="7">
      <t>ヒカク</t>
    </rPh>
    <rPh sb="10" eb="12">
      <t>サクセイ</t>
    </rPh>
    <phoneticPr fontId="6"/>
  </si>
  <si>
    <t>Req246</t>
  </si>
  <si>
    <t>各社から入手したEXCELフォーマットをアップロードすることで、その会社の月次の売上を登録できること</t>
    <rPh sb="0" eb="2">
      <t>カクシャ</t>
    </rPh>
    <rPh sb="4" eb="6">
      <t>ニュウシュ</t>
    </rPh>
    <rPh sb="34" eb="36">
      <t>カイシャ</t>
    </rPh>
    <rPh sb="37" eb="39">
      <t>ゲツジ</t>
    </rPh>
    <rPh sb="40" eb="42">
      <t>ウリアゲ</t>
    </rPh>
    <rPh sb="43" eb="45">
      <t>トウロク</t>
    </rPh>
    <phoneticPr fontId="3"/>
  </si>
  <si>
    <t>EXCELフォーマットをアップロードすることによって、月次の売上を登録/計上する機能</t>
    <rPh sb="27" eb="29">
      <t>ゲツジ</t>
    </rPh>
    <rPh sb="30" eb="32">
      <t>ウリアゲ</t>
    </rPh>
    <rPh sb="33" eb="35">
      <t>トウロク</t>
    </rPh>
    <rPh sb="36" eb="38">
      <t>ケイジョウ</t>
    </rPh>
    <rPh sb="40" eb="42">
      <t>キノウ</t>
    </rPh>
    <phoneticPr fontId="3"/>
  </si>
  <si>
    <t>月次売上を仕訳伝票形式のEXCELアドインで一般仕訳帳に伝票登録。</t>
    <rPh sb="0" eb="2">
      <t>ゲツジ</t>
    </rPh>
    <rPh sb="2" eb="4">
      <t>ウリアゲ</t>
    </rPh>
    <rPh sb="5" eb="7">
      <t>シワケ</t>
    </rPh>
    <rPh sb="7" eb="9">
      <t>デンピョウ</t>
    </rPh>
    <rPh sb="9" eb="11">
      <t>ケイシキ</t>
    </rPh>
    <rPh sb="22" eb="24">
      <t>イッパン</t>
    </rPh>
    <rPh sb="24" eb="27">
      <t>シワケチョウ</t>
    </rPh>
    <rPh sb="28" eb="30">
      <t>デンピョウ</t>
    </rPh>
    <rPh sb="30" eb="32">
      <t>トウロク</t>
    </rPh>
    <phoneticPr fontId="6"/>
  </si>
  <si>
    <t>Req247</t>
  </si>
  <si>
    <t>会社別かつ登録済みの情報別（エリア、販売チャネル、製品カテゴリ、製品ブランド等）に月次売上額を管理できること</t>
  </si>
  <si>
    <t>会社別かつ登録済みの情報別（エリア、販売チャネル、製品カテゴリ、製品ブランド等）に月次売上額を計算・管理・表示する機能</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1" eb="43">
      <t>ゲツジ</t>
    </rPh>
    <rPh sb="43" eb="45">
      <t>ウリアゲ</t>
    </rPh>
    <rPh sb="45" eb="46">
      <t>ガク</t>
    </rPh>
    <rPh sb="47" eb="49">
      <t>ケイサン</t>
    </rPh>
    <rPh sb="50" eb="52">
      <t>カンリ</t>
    </rPh>
    <rPh sb="53" eb="55">
      <t>ヒョウジ</t>
    </rPh>
    <rPh sb="57" eb="59">
      <t>キノウ</t>
    </rPh>
    <phoneticPr fontId="3"/>
  </si>
  <si>
    <t>Req248</t>
  </si>
  <si>
    <t>各社から入手したEXCELフォーマットをアップロードすることで、その会社の月末の債権/債務/在庫残高を登録できること</t>
    <rPh sb="0" eb="2">
      <t>カクシャ</t>
    </rPh>
    <rPh sb="4" eb="6">
      <t>ニュウシュ</t>
    </rPh>
    <rPh sb="34" eb="36">
      <t>カイシャ</t>
    </rPh>
    <rPh sb="37" eb="39">
      <t>ゲツマツ</t>
    </rPh>
    <rPh sb="46" eb="48">
      <t>ザイコ</t>
    </rPh>
    <rPh sb="48" eb="50">
      <t>ザンダカ</t>
    </rPh>
    <rPh sb="51" eb="53">
      <t>トウロク</t>
    </rPh>
    <phoneticPr fontId="3"/>
  </si>
  <si>
    <t>EXCELフォーマットをアップロードすることによって、月末の債権/債務/在庫残高を登録/計上する機能</t>
    <rPh sb="27" eb="29">
      <t>ゲツマツ</t>
    </rPh>
    <rPh sb="36" eb="38">
      <t>ザイコ</t>
    </rPh>
    <rPh sb="38" eb="40">
      <t>ザンダカ</t>
    </rPh>
    <rPh sb="41" eb="43">
      <t>トウロク</t>
    </rPh>
    <rPh sb="44" eb="46">
      <t>ケイジョウ</t>
    </rPh>
    <rPh sb="48" eb="50">
      <t>キノウ</t>
    </rPh>
    <phoneticPr fontId="3"/>
  </si>
  <si>
    <t>Req249</t>
  </si>
  <si>
    <t>会社別かつ登録済みの情報別（エリア、販売チャネル、製品カテゴリ、製品ブランド等）にの月末債権/債務/在庫額を管理できること</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2" eb="44">
      <t>ゲツマツ</t>
    </rPh>
    <rPh sb="44" eb="46">
      <t>サイケン</t>
    </rPh>
    <rPh sb="47" eb="49">
      <t>サイム</t>
    </rPh>
    <rPh sb="50" eb="52">
      <t>ザイコ</t>
    </rPh>
    <rPh sb="52" eb="53">
      <t>ガク</t>
    </rPh>
    <rPh sb="54" eb="56">
      <t>カンリ</t>
    </rPh>
    <phoneticPr fontId="3"/>
  </si>
  <si>
    <t>会社別かつ登録済みの情報別（エリア、販売チャネル、製品カテゴリ、製品ブランド等）にの月末債権/債務/在庫額を計算・管理・表示する機能</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2" eb="44">
      <t>ゲツマツ</t>
    </rPh>
    <rPh sb="44" eb="46">
      <t>サイケン</t>
    </rPh>
    <rPh sb="47" eb="49">
      <t>サイム</t>
    </rPh>
    <rPh sb="50" eb="52">
      <t>ザイコ</t>
    </rPh>
    <rPh sb="52" eb="53">
      <t>ガク</t>
    </rPh>
    <rPh sb="54" eb="56">
      <t>ケイサン</t>
    </rPh>
    <rPh sb="57" eb="59">
      <t>カンリ</t>
    </rPh>
    <rPh sb="60" eb="62">
      <t>ヒョウジ</t>
    </rPh>
    <rPh sb="64" eb="66">
      <t>キノウ</t>
    </rPh>
    <phoneticPr fontId="3"/>
  </si>
  <si>
    <t>Req250</t>
  </si>
  <si>
    <t>各社から入手したEXCELフォーマットをアップロードすることで、その会社の月末のグループ間借入・貸付残高を登録できること</t>
    <rPh sb="0" eb="2">
      <t>カクシャ</t>
    </rPh>
    <rPh sb="4" eb="6">
      <t>ニュウシュ</t>
    </rPh>
    <rPh sb="34" eb="36">
      <t>カイシャ</t>
    </rPh>
    <rPh sb="37" eb="39">
      <t>ゲツマツ</t>
    </rPh>
    <rPh sb="44" eb="45">
      <t>カン</t>
    </rPh>
    <rPh sb="45" eb="47">
      <t>カリイレ</t>
    </rPh>
    <rPh sb="48" eb="50">
      <t>カシツケ</t>
    </rPh>
    <rPh sb="50" eb="52">
      <t>ザンダカ</t>
    </rPh>
    <rPh sb="53" eb="55">
      <t>トウロク</t>
    </rPh>
    <phoneticPr fontId="3"/>
  </si>
  <si>
    <t>EXCELフォーマットをアップロードすることによって、月末ののグループ間借入・貸付残高を登録/計上する機能</t>
    <rPh sb="27" eb="29">
      <t>ゲツマツ</t>
    </rPh>
    <rPh sb="35" eb="36">
      <t>カン</t>
    </rPh>
    <rPh sb="36" eb="38">
      <t>カリイレ</t>
    </rPh>
    <rPh sb="39" eb="41">
      <t>カシツケ</t>
    </rPh>
    <rPh sb="41" eb="43">
      <t>ザンダカ</t>
    </rPh>
    <rPh sb="44" eb="46">
      <t>トウロク</t>
    </rPh>
    <rPh sb="47" eb="49">
      <t>ケイジョウ</t>
    </rPh>
    <rPh sb="51" eb="53">
      <t>キノウ</t>
    </rPh>
    <phoneticPr fontId="3"/>
  </si>
  <si>
    <t>月末グループ間借入貸付残高を仕訳伝票形式のEXCELアドインで一般仕訳帳に伝票登録。</t>
    <rPh sb="0" eb="2">
      <t>ゲツマツ</t>
    </rPh>
    <rPh sb="6" eb="7">
      <t>カン</t>
    </rPh>
    <rPh sb="7" eb="9">
      <t>カリイレ</t>
    </rPh>
    <rPh sb="9" eb="11">
      <t>カシツケ</t>
    </rPh>
    <rPh sb="11" eb="13">
      <t>ザンダカ</t>
    </rPh>
    <rPh sb="14" eb="16">
      <t>シワケ</t>
    </rPh>
    <rPh sb="16" eb="18">
      <t>デンピョウ</t>
    </rPh>
    <rPh sb="18" eb="20">
      <t>ケイシキ</t>
    </rPh>
    <rPh sb="31" eb="33">
      <t>イッパン</t>
    </rPh>
    <rPh sb="33" eb="36">
      <t>シワケチョウ</t>
    </rPh>
    <rPh sb="37" eb="39">
      <t>デンピョウ</t>
    </rPh>
    <rPh sb="39" eb="41">
      <t>トウロク</t>
    </rPh>
    <phoneticPr fontId="6"/>
  </si>
  <si>
    <t>Req251</t>
  </si>
  <si>
    <t>会社別に月末のグループ間借入・貸付残高を一覧化できること</t>
    <rPh sb="0" eb="2">
      <t>カイシャ</t>
    </rPh>
    <rPh sb="2" eb="3">
      <t>ベツ</t>
    </rPh>
    <rPh sb="4" eb="6">
      <t>ガツマツ</t>
    </rPh>
    <rPh sb="11" eb="12">
      <t>カン</t>
    </rPh>
    <rPh sb="12" eb="14">
      <t>カリイレ</t>
    </rPh>
    <rPh sb="15" eb="17">
      <t>カシツケ</t>
    </rPh>
    <rPh sb="17" eb="19">
      <t>ザンダカ</t>
    </rPh>
    <rPh sb="20" eb="22">
      <t>イチラン</t>
    </rPh>
    <rPh sb="22" eb="23">
      <t>カ</t>
    </rPh>
    <phoneticPr fontId="3"/>
  </si>
  <si>
    <t>会社別に月末のグループ間借入・貸付残高を一覧化し表示する機能</t>
    <rPh sb="0" eb="2">
      <t>カイシャ</t>
    </rPh>
    <rPh sb="2" eb="3">
      <t>ベツ</t>
    </rPh>
    <rPh sb="4" eb="6">
      <t>ガツマツ</t>
    </rPh>
    <rPh sb="11" eb="12">
      <t>カン</t>
    </rPh>
    <rPh sb="12" eb="14">
      <t>カリイレ</t>
    </rPh>
    <rPh sb="15" eb="17">
      <t>カシツケ</t>
    </rPh>
    <rPh sb="17" eb="19">
      <t>ザンダカ</t>
    </rPh>
    <rPh sb="20" eb="22">
      <t>イチラン</t>
    </rPh>
    <rPh sb="22" eb="23">
      <t>カ</t>
    </rPh>
    <rPh sb="24" eb="26">
      <t>ヒョウジ</t>
    </rPh>
    <rPh sb="28" eb="30">
      <t>キノウ</t>
    </rPh>
    <phoneticPr fontId="3"/>
  </si>
  <si>
    <t>仕訳登録時に財務分析コードや財務タグ（フィルタ機能のみで分析機能はない)を付与することで、一覧画面でフィルタして表示することは可能
※グループ管理のイメージは？日本法人の財務会計トランザクションとは別のデータ管理(グループ管理用法人を作成)をしてグローバル各社の借入残高を一元管理する？</t>
    <phoneticPr fontId="6"/>
  </si>
  <si>
    <t>MRで会社別残高帳票を作成して確認する</t>
    <rPh sb="3" eb="6">
      <t>カイシャベツ</t>
    </rPh>
    <rPh sb="6" eb="8">
      <t>ザンダカ</t>
    </rPh>
    <rPh sb="8" eb="10">
      <t>チョウヒョウ</t>
    </rPh>
    <rPh sb="11" eb="13">
      <t>サクセイ</t>
    </rPh>
    <phoneticPr fontId="6"/>
  </si>
  <si>
    <t>Req252</t>
  </si>
  <si>
    <t>会社別に、前月と当月の月末のグループ間借入・貸付残高を横並びで比較し、増減が計算させること</t>
    <rPh sb="0" eb="2">
      <t>カイシャ</t>
    </rPh>
    <rPh sb="2" eb="3">
      <t>ベツ</t>
    </rPh>
    <rPh sb="5" eb="7">
      <t>ゼンゲツ</t>
    </rPh>
    <rPh sb="8" eb="10">
      <t>トウゲツ</t>
    </rPh>
    <rPh sb="11" eb="13">
      <t>ガツマツ</t>
    </rPh>
    <rPh sb="18" eb="19">
      <t>カン</t>
    </rPh>
    <rPh sb="19" eb="21">
      <t>カリイレ</t>
    </rPh>
    <rPh sb="22" eb="24">
      <t>カシツケ</t>
    </rPh>
    <rPh sb="24" eb="26">
      <t>ザンダカ</t>
    </rPh>
    <rPh sb="27" eb="29">
      <t>ヨコナラ</t>
    </rPh>
    <rPh sb="31" eb="33">
      <t>ヒカク</t>
    </rPh>
    <rPh sb="35" eb="37">
      <t>ゾウゲン</t>
    </rPh>
    <rPh sb="38" eb="40">
      <t>ケイサン</t>
    </rPh>
    <phoneticPr fontId="3"/>
  </si>
  <si>
    <t>会社別に、前月と当月の月末のグループ間借入・貸付残高を横並びで比較し表示する機能、及び増減を計算する機能</t>
    <rPh sb="0" eb="2">
      <t>カイシャ</t>
    </rPh>
    <rPh sb="2" eb="3">
      <t>ベツ</t>
    </rPh>
    <rPh sb="5" eb="7">
      <t>ゼンゲツ</t>
    </rPh>
    <rPh sb="8" eb="10">
      <t>トウゲツ</t>
    </rPh>
    <rPh sb="11" eb="13">
      <t>ガツマツ</t>
    </rPh>
    <rPh sb="18" eb="19">
      <t>カン</t>
    </rPh>
    <rPh sb="19" eb="21">
      <t>カリイレ</t>
    </rPh>
    <rPh sb="22" eb="24">
      <t>カシツケ</t>
    </rPh>
    <rPh sb="24" eb="26">
      <t>ザンダカ</t>
    </rPh>
    <rPh sb="27" eb="29">
      <t>ヨコナラ</t>
    </rPh>
    <rPh sb="31" eb="33">
      <t>ヒカク</t>
    </rPh>
    <rPh sb="34" eb="36">
      <t>ヒョウジ</t>
    </rPh>
    <rPh sb="38" eb="40">
      <t>キノウ</t>
    </rPh>
    <rPh sb="41" eb="42">
      <t>オヨ</t>
    </rPh>
    <rPh sb="43" eb="45">
      <t>ゾウゲン</t>
    </rPh>
    <rPh sb="46" eb="48">
      <t>ケイサン</t>
    </rPh>
    <rPh sb="50" eb="52">
      <t>キノウ</t>
    </rPh>
    <phoneticPr fontId="3"/>
  </si>
  <si>
    <t>※会社別とは、国内法人？海外グループ各社？</t>
    <phoneticPr fontId="6"/>
  </si>
  <si>
    <t>→海外グループ各社も含めて会社別に表示できればと考えております。</t>
    <rPh sb="1" eb="3">
      <t>カイガイ</t>
    </rPh>
    <rPh sb="7" eb="9">
      <t>カクシャ</t>
    </rPh>
    <rPh sb="10" eb="11">
      <t>フク</t>
    </rPh>
    <rPh sb="13" eb="16">
      <t>カイシャベツ</t>
    </rPh>
    <rPh sb="17" eb="19">
      <t>ヒョウジ</t>
    </rPh>
    <rPh sb="24" eb="25">
      <t>カンガ</t>
    </rPh>
    <phoneticPr fontId="3"/>
  </si>
  <si>
    <t>MRで会社別前月比較帳票を作成して確認する</t>
    <rPh sb="3" eb="6">
      <t>カイシャベツ</t>
    </rPh>
    <rPh sb="6" eb="8">
      <t>ゼンゲツ</t>
    </rPh>
    <rPh sb="8" eb="10">
      <t>ヒカク</t>
    </rPh>
    <rPh sb="13" eb="15">
      <t>サクセイ</t>
    </rPh>
    <phoneticPr fontId="6"/>
  </si>
  <si>
    <t>Req253</t>
  </si>
  <si>
    <t>半期ごとの財務三表の実績が表示・出力できること</t>
    <rPh sb="0" eb="2">
      <t>ハンキ</t>
    </rPh>
    <rPh sb="5" eb="7">
      <t>ザイム</t>
    </rPh>
    <rPh sb="7" eb="8">
      <t>サン</t>
    </rPh>
    <rPh sb="8" eb="9">
      <t>ヒョウ</t>
    </rPh>
    <rPh sb="10" eb="12">
      <t>ジッセキ</t>
    </rPh>
    <rPh sb="13" eb="15">
      <t>ヒョウジ</t>
    </rPh>
    <rPh sb="16" eb="18">
      <t>シュツリョク</t>
    </rPh>
    <phoneticPr fontId="3"/>
  </si>
  <si>
    <t>半期ごとの財務三表の実績を表示・出力する機能</t>
    <rPh sb="0" eb="2">
      <t>ハンキ</t>
    </rPh>
    <rPh sb="5" eb="7">
      <t>ザイム</t>
    </rPh>
    <rPh sb="7" eb="8">
      <t>サン</t>
    </rPh>
    <rPh sb="8" eb="9">
      <t>ヒョウ</t>
    </rPh>
    <rPh sb="10" eb="12">
      <t>ジッセキ</t>
    </rPh>
    <rPh sb="13" eb="15">
      <t>ヒョウジ</t>
    </rPh>
    <rPh sb="16" eb="18">
      <t>シュツリョク</t>
    </rPh>
    <rPh sb="20" eb="22">
      <t>キノウ</t>
    </rPh>
    <phoneticPr fontId="3"/>
  </si>
  <si>
    <t>CF計算書については標準では作成不可。システム外部のEXCELで作成する方針でよいか？</t>
    <rPh sb="23" eb="25">
      <t>ガイブ</t>
    </rPh>
    <rPh sb="32" eb="34">
      <t>サクセイ</t>
    </rPh>
    <rPh sb="36" eb="38">
      <t>ホウシン</t>
    </rPh>
    <phoneticPr fontId="6"/>
  </si>
  <si>
    <t>半期処理</t>
    <rPh sb="0" eb="4">
      <t>ハンキショリ</t>
    </rPh>
    <phoneticPr fontId="6"/>
  </si>
  <si>
    <t>MRでBS/PL作成。CF計算書については標準では作成不可のためFOからベースデータを出力してEXCELで編集</t>
    <rPh sb="8" eb="10">
      <t>サクセイ</t>
    </rPh>
    <rPh sb="13" eb="16">
      <t>ケイサンショ</t>
    </rPh>
    <rPh sb="21" eb="23">
      <t>ヒョウジュン</t>
    </rPh>
    <rPh sb="25" eb="27">
      <t>サクセイ</t>
    </rPh>
    <rPh sb="27" eb="29">
      <t>フカ</t>
    </rPh>
    <rPh sb="43" eb="45">
      <t>シュツリョク</t>
    </rPh>
    <rPh sb="53" eb="55">
      <t>ヘンシュウ</t>
    </rPh>
    <phoneticPr fontId="6"/>
  </si>
  <si>
    <t>Req254</t>
  </si>
  <si>
    <t>資金Gでかかる費用の年間予算を登録できること</t>
    <rPh sb="7" eb="9">
      <t>ヒヨウ</t>
    </rPh>
    <rPh sb="10" eb="12">
      <t>ネンカン</t>
    </rPh>
    <rPh sb="15" eb="17">
      <t>トウロク</t>
    </rPh>
    <phoneticPr fontId="3"/>
  </si>
  <si>
    <t>年間で発生する費用を項目別に登録する機能</t>
    <rPh sb="0" eb="2">
      <t>ネンカン</t>
    </rPh>
    <rPh sb="3" eb="5">
      <t>ハッセイ</t>
    </rPh>
    <rPh sb="7" eb="9">
      <t>ヒヨウ</t>
    </rPh>
    <rPh sb="10" eb="13">
      <t>コウモクベツ</t>
    </rPh>
    <rPh sb="14" eb="16">
      <t>トウロク</t>
    </rPh>
    <rPh sb="18" eb="20">
      <t>キノウ</t>
    </rPh>
    <phoneticPr fontId="3"/>
  </si>
  <si>
    <t>未作成？資金予測や経営計画Gの予算とは別？</t>
    <rPh sb="0" eb="3">
      <t>ミサクセイ</t>
    </rPh>
    <rPh sb="4" eb="6">
      <t>シキン</t>
    </rPh>
    <rPh sb="6" eb="8">
      <t>ヨソク</t>
    </rPh>
    <rPh sb="9" eb="11">
      <t>ケイエイ</t>
    </rPh>
    <rPh sb="11" eb="13">
      <t>ケイカク</t>
    </rPh>
    <rPh sb="15" eb="17">
      <t>ヨサン</t>
    </rPh>
    <rPh sb="19" eb="20">
      <t>ベツ</t>
    </rPh>
    <phoneticPr fontId="6"/>
  </si>
  <si>
    <t>予算登録エントリで予算額を登録</t>
    <rPh sb="0" eb="4">
      <t>ヨサントウロク</t>
    </rPh>
    <rPh sb="9" eb="12">
      <t>ヨサンガク</t>
    </rPh>
    <rPh sb="13" eb="15">
      <t>トウロク</t>
    </rPh>
    <phoneticPr fontId="6"/>
  </si>
  <si>
    <t>Req255</t>
  </si>
  <si>
    <t>財務部の他組織で入力した年間予算を確認できること</t>
    <rPh sb="0" eb="3">
      <t>ザイムブ</t>
    </rPh>
    <rPh sb="4" eb="7">
      <t>タソシキ</t>
    </rPh>
    <rPh sb="8" eb="10">
      <t>ニュウリョク</t>
    </rPh>
    <rPh sb="12" eb="14">
      <t>ネンカン</t>
    </rPh>
    <rPh sb="14" eb="16">
      <t>ヨサン</t>
    </rPh>
    <rPh sb="17" eb="19">
      <t>カクニン</t>
    </rPh>
    <phoneticPr fontId="3"/>
  </si>
  <si>
    <t>組織別に登録された”年間で発生する費用”のについて、組織別・項目別に金額の一覧を表示する機能</t>
    <rPh sb="0" eb="3">
      <t>ソシキベツ</t>
    </rPh>
    <rPh sb="4" eb="6">
      <t>トウロク</t>
    </rPh>
    <rPh sb="10" eb="12">
      <t>ネンカン</t>
    </rPh>
    <rPh sb="13" eb="15">
      <t>ハッセイ</t>
    </rPh>
    <rPh sb="17" eb="19">
      <t>ヒヨウ</t>
    </rPh>
    <rPh sb="26" eb="29">
      <t>ソシキベツ</t>
    </rPh>
    <rPh sb="30" eb="33">
      <t>コウモクベツ</t>
    </rPh>
    <rPh sb="34" eb="36">
      <t>キンガク</t>
    </rPh>
    <rPh sb="37" eb="39">
      <t>イチラン</t>
    </rPh>
    <rPh sb="40" eb="42">
      <t>ヒョウジ</t>
    </rPh>
    <rPh sb="44" eb="46">
      <t>キノウ</t>
    </rPh>
    <phoneticPr fontId="3"/>
  </si>
  <si>
    <t>分析コードセット別予算登録エントリで組織別の予算登録額を確認</t>
    <rPh sb="18" eb="21">
      <t>ソシキベツ</t>
    </rPh>
    <rPh sb="22" eb="24">
      <t>ヨサン</t>
    </rPh>
    <rPh sb="24" eb="26">
      <t>トウロク</t>
    </rPh>
    <rPh sb="26" eb="27">
      <t>ガク</t>
    </rPh>
    <rPh sb="28" eb="30">
      <t>カクニン</t>
    </rPh>
    <phoneticPr fontId="6"/>
  </si>
  <si>
    <t>Req256</t>
  </si>
  <si>
    <t>財務部の”年間で発生する費用”の項目ごとの合計が確認できること</t>
    <rPh sb="0" eb="3">
      <t>ザイムブ</t>
    </rPh>
    <rPh sb="5" eb="7">
      <t>ネンカン</t>
    </rPh>
    <rPh sb="8" eb="10">
      <t>ハッセイ</t>
    </rPh>
    <rPh sb="12" eb="14">
      <t>ヒヨウ</t>
    </rPh>
    <rPh sb="16" eb="18">
      <t>コウモク</t>
    </rPh>
    <rPh sb="21" eb="23">
      <t>ゴウケイ</t>
    </rPh>
    <rPh sb="24" eb="26">
      <t>カクニン</t>
    </rPh>
    <phoneticPr fontId="3"/>
  </si>
  <si>
    <t>組織別に登録された”年間で発生する費用”について、項目別の財務部合計金額を計算・表示する機能</t>
    <rPh sb="0" eb="3">
      <t>ソシキベツ</t>
    </rPh>
    <rPh sb="4" eb="6">
      <t>トウロク</t>
    </rPh>
    <rPh sb="10" eb="12">
      <t>ネンカン</t>
    </rPh>
    <rPh sb="13" eb="15">
      <t>ハッセイ</t>
    </rPh>
    <rPh sb="17" eb="19">
      <t>ヒヨウ</t>
    </rPh>
    <rPh sb="25" eb="28">
      <t>コウモクベツ</t>
    </rPh>
    <rPh sb="29" eb="32">
      <t>ザイムブ</t>
    </rPh>
    <rPh sb="32" eb="34">
      <t>ゴウケイ</t>
    </rPh>
    <rPh sb="34" eb="36">
      <t>キンガク</t>
    </rPh>
    <rPh sb="37" eb="39">
      <t>ケイサン</t>
    </rPh>
    <rPh sb="40" eb="42">
      <t>ヒョウジ</t>
    </rPh>
    <rPh sb="44" eb="46">
      <t>キノウ</t>
    </rPh>
    <phoneticPr fontId="3"/>
  </si>
  <si>
    <t>分析コードセット別予算登録エントリで財務部の予算登録額を確認</t>
    <rPh sb="18" eb="21">
      <t>ザイムブ</t>
    </rPh>
    <rPh sb="22" eb="24">
      <t>ヨサン</t>
    </rPh>
    <rPh sb="24" eb="26">
      <t>トウロク</t>
    </rPh>
    <rPh sb="26" eb="27">
      <t>ガク</t>
    </rPh>
    <rPh sb="28" eb="30">
      <t>カクニン</t>
    </rPh>
    <phoneticPr fontId="6"/>
  </si>
  <si>
    <t>Req257</t>
  </si>
  <si>
    <t>締め日ごとにBS/PLのスナップショットが取れること</t>
    <rPh sb="0" eb="1">
      <t>シ</t>
    </rPh>
    <rPh sb="2" eb="3">
      <t>ビ</t>
    </rPh>
    <rPh sb="21" eb="22">
      <t>ト</t>
    </rPh>
    <phoneticPr fontId="3"/>
  </si>
  <si>
    <t>締め日ごとにBS/PLのスナップショットをとる機能</t>
    <rPh sb="0" eb="1">
      <t>シ</t>
    </rPh>
    <rPh sb="2" eb="3">
      <t>ビ</t>
    </rPh>
    <rPh sb="23" eb="25">
      <t>キノウ</t>
    </rPh>
    <phoneticPr fontId="3"/>
  </si>
  <si>
    <t>自動実行保存等の要件があるか？</t>
    <rPh sb="0" eb="2">
      <t>ジドウ</t>
    </rPh>
    <rPh sb="2" eb="4">
      <t>ジッコウ</t>
    </rPh>
    <rPh sb="4" eb="6">
      <t>ホゾン</t>
    </rPh>
    <rPh sb="6" eb="7">
      <t>トウ</t>
    </rPh>
    <rPh sb="8" eb="10">
      <t>ヨウケン</t>
    </rPh>
    <phoneticPr fontId="6"/>
  </si>
  <si>
    <t>帳票出力ができてPDF保存できればよい</t>
    <rPh sb="0" eb="2">
      <t>チョウヒョウ</t>
    </rPh>
    <rPh sb="2" eb="4">
      <t>シュツリョク</t>
    </rPh>
    <rPh sb="11" eb="13">
      <t>ホゾン</t>
    </rPh>
    <phoneticPr fontId="6"/>
  </si>
  <si>
    <t>締め後にMRで帳票出力後にPDF保存</t>
    <rPh sb="0" eb="1">
      <t>シ</t>
    </rPh>
    <rPh sb="2" eb="3">
      <t>ゴ</t>
    </rPh>
    <rPh sb="7" eb="9">
      <t>チョウヒョウ</t>
    </rPh>
    <rPh sb="9" eb="11">
      <t>シュツリョク</t>
    </rPh>
    <rPh sb="11" eb="12">
      <t>ゴ</t>
    </rPh>
    <rPh sb="16" eb="18">
      <t>ホゾン</t>
    </rPh>
    <phoneticPr fontId="6"/>
  </si>
  <si>
    <t>Req258</t>
  </si>
  <si>
    <t>過去5年分のスナップショットを保存・確認できること</t>
    <rPh sb="0" eb="2">
      <t>カコ</t>
    </rPh>
    <rPh sb="3" eb="4">
      <t>ネン</t>
    </rPh>
    <rPh sb="4" eb="5">
      <t>ブン</t>
    </rPh>
    <rPh sb="15" eb="17">
      <t>ホゾン</t>
    </rPh>
    <rPh sb="18" eb="20">
      <t>カクニン</t>
    </rPh>
    <phoneticPr fontId="3"/>
  </si>
  <si>
    <t>過去5年分のスナップショットを保存・確認する機能</t>
    <rPh sb="0" eb="2">
      <t>カコ</t>
    </rPh>
    <rPh sb="15" eb="17">
      <t>ホゾン</t>
    </rPh>
    <rPh sb="18" eb="20">
      <t>カクニン</t>
    </rPh>
    <rPh sb="22" eb="24">
      <t>キノウ</t>
    </rPh>
    <phoneticPr fontId="3"/>
  </si>
  <si>
    <t>自動実行保存等の要件があるか？
データは削除しなければ5年以上保存可能。</t>
    <rPh sb="0" eb="2">
      <t>ジドウ</t>
    </rPh>
    <rPh sb="2" eb="4">
      <t>ジッコウ</t>
    </rPh>
    <rPh sb="4" eb="6">
      <t>ホゾン</t>
    </rPh>
    <rPh sb="6" eb="7">
      <t>トウ</t>
    </rPh>
    <rPh sb="8" eb="10">
      <t>ヨウケン</t>
    </rPh>
    <rPh sb="20" eb="22">
      <t>サクジョ</t>
    </rPh>
    <rPh sb="28" eb="31">
      <t>ネンイジョウ</t>
    </rPh>
    <rPh sb="31" eb="33">
      <t>ホゾン</t>
    </rPh>
    <rPh sb="33" eb="35">
      <t>カノウ</t>
    </rPh>
    <phoneticPr fontId="6"/>
  </si>
  <si>
    <t>年次処理</t>
    <rPh sb="0" eb="4">
      <t>ネンジショリ</t>
    </rPh>
    <phoneticPr fontId="6"/>
  </si>
  <si>
    <t>MRで出力したPDFファイルを保存</t>
    <rPh sb="3" eb="5">
      <t>シュツリョク</t>
    </rPh>
    <rPh sb="15" eb="17">
      <t>ホゾン</t>
    </rPh>
    <phoneticPr fontId="6"/>
  </si>
  <si>
    <t>Req259</t>
  </si>
  <si>
    <t>各社から収集し、会計システムに登録した借入金について、登録された借入期間・返済期間の情報に基づき、会社別・月別の借入残高が、先1年分一覧化されること</t>
    <rPh sb="0" eb="2">
      <t>カクシャ</t>
    </rPh>
    <rPh sb="4" eb="6">
      <t>シュウシュウ</t>
    </rPh>
    <rPh sb="8" eb="10">
      <t>カイケイ</t>
    </rPh>
    <rPh sb="15" eb="17">
      <t>トウロク</t>
    </rPh>
    <rPh sb="19" eb="22">
      <t>カリイレキン</t>
    </rPh>
    <rPh sb="27" eb="29">
      <t>トウロク</t>
    </rPh>
    <rPh sb="32" eb="36">
      <t>カリイレキカン</t>
    </rPh>
    <rPh sb="37" eb="41">
      <t>ヘンサイキカン</t>
    </rPh>
    <rPh sb="42" eb="44">
      <t>ジョウホウ</t>
    </rPh>
    <rPh sb="45" eb="46">
      <t>モト</t>
    </rPh>
    <rPh sb="49" eb="51">
      <t>カイシャ</t>
    </rPh>
    <rPh sb="51" eb="52">
      <t>ベツ</t>
    </rPh>
    <rPh sb="53" eb="55">
      <t>ツキベツ</t>
    </rPh>
    <rPh sb="56" eb="60">
      <t>カリイレザンダカ</t>
    </rPh>
    <rPh sb="62" eb="63">
      <t>サキ</t>
    </rPh>
    <rPh sb="64" eb="66">
      <t>ネンブン</t>
    </rPh>
    <rPh sb="66" eb="69">
      <t>イチランカ</t>
    </rPh>
    <phoneticPr fontId="3"/>
  </si>
  <si>
    <t>会社別・月別に、向こう1年間の借入金の残高を計算・表示する機能</t>
    <rPh sb="0" eb="3">
      <t>カイシャベツ</t>
    </rPh>
    <rPh sb="4" eb="6">
      <t>ツキベツ</t>
    </rPh>
    <rPh sb="8" eb="9">
      <t>ム</t>
    </rPh>
    <rPh sb="12" eb="14">
      <t>ネンカン</t>
    </rPh>
    <rPh sb="15" eb="18">
      <t>カリイレキン</t>
    </rPh>
    <rPh sb="19" eb="21">
      <t>ザンダカ</t>
    </rPh>
    <rPh sb="22" eb="24">
      <t>ケイサン</t>
    </rPh>
    <rPh sb="25" eb="27">
      <t>ヒョウジ</t>
    </rPh>
    <rPh sb="29" eb="31">
      <t>キノウ</t>
    </rPh>
    <phoneticPr fontId="3"/>
  </si>
  <si>
    <t>借入金や貸付金の諸条件を登録・管理する機能なし。返済計画からの向こう1年間の残高予測機能なし。EXCELで管理。またはアドオンを検討</t>
    <rPh sb="8" eb="11">
      <t>ショジョウケン</t>
    </rPh>
    <rPh sb="24" eb="26">
      <t>ヘンサイ</t>
    </rPh>
    <rPh sb="26" eb="28">
      <t>ケイカク</t>
    </rPh>
    <rPh sb="31" eb="32">
      <t>ム</t>
    </rPh>
    <rPh sb="35" eb="37">
      <t>ネンカン</t>
    </rPh>
    <rPh sb="38" eb="40">
      <t>ザンダカ</t>
    </rPh>
    <rPh sb="40" eb="42">
      <t>ヨソク</t>
    </rPh>
    <rPh sb="42" eb="44">
      <t>キノウ</t>
    </rPh>
    <rPh sb="53" eb="55">
      <t>カンリ</t>
    </rPh>
    <rPh sb="64" eb="66">
      <t>ケントウ</t>
    </rPh>
    <phoneticPr fontId="6"/>
  </si>
  <si>
    <t>Req260</t>
  </si>
  <si>
    <t>グループ会社が口座を開設・閉設した際、所定のEXCELフォーマットをアップロードすることで、当該口座の情報が会計システムに登録（または削除）出来ること</t>
    <rPh sb="4" eb="6">
      <t>ガイシャ</t>
    </rPh>
    <rPh sb="7" eb="9">
      <t>コウザ</t>
    </rPh>
    <rPh sb="10" eb="12">
      <t>カイセツ</t>
    </rPh>
    <rPh sb="13" eb="15">
      <t>ヘイセツ</t>
    </rPh>
    <rPh sb="17" eb="18">
      <t>サイ</t>
    </rPh>
    <rPh sb="19" eb="21">
      <t>ショテイ</t>
    </rPh>
    <rPh sb="46" eb="50">
      <t>トウガイコウザ</t>
    </rPh>
    <rPh sb="51" eb="53">
      <t>ジョウホウ</t>
    </rPh>
    <rPh sb="54" eb="56">
      <t>カイケイ</t>
    </rPh>
    <rPh sb="61" eb="63">
      <t>トウロク</t>
    </rPh>
    <rPh sb="67" eb="69">
      <t>サクジョ</t>
    </rPh>
    <rPh sb="70" eb="72">
      <t>デキ</t>
    </rPh>
    <phoneticPr fontId="3"/>
  </si>
  <si>
    <t>EXCELフォーマットをアップロードすることによって、口座の開設・閉設登録が行えること</t>
    <rPh sb="27" eb="29">
      <t>コウザ</t>
    </rPh>
    <rPh sb="30" eb="32">
      <t>カイセツ</t>
    </rPh>
    <rPh sb="33" eb="35">
      <t>ヘイセツ</t>
    </rPh>
    <rPh sb="35" eb="37">
      <t>トウロク</t>
    </rPh>
    <rPh sb="38" eb="39">
      <t>オコナ</t>
    </rPh>
    <phoneticPr fontId="3"/>
  </si>
  <si>
    <t>新設の口座がある場合、マスタ登録が必要。主勘定マスタ、銀行口座管理マスタ、財務分析コードマスタ等。マスタ登録要のツールあり(DIXF)</t>
    <rPh sb="0" eb="2">
      <t>シンセツ</t>
    </rPh>
    <rPh sb="3" eb="5">
      <t>コウザ</t>
    </rPh>
    <rPh sb="8" eb="10">
      <t>バアイ</t>
    </rPh>
    <rPh sb="14" eb="16">
      <t>トウロク</t>
    </rPh>
    <rPh sb="17" eb="19">
      <t>ヒツヨウ</t>
    </rPh>
    <rPh sb="20" eb="23">
      <t>シュカンジョウ</t>
    </rPh>
    <rPh sb="27" eb="29">
      <t>ギンコウ</t>
    </rPh>
    <rPh sb="29" eb="31">
      <t>コウザ</t>
    </rPh>
    <rPh sb="31" eb="33">
      <t>カンリ</t>
    </rPh>
    <rPh sb="37" eb="41">
      <t>ザイムブンセキ</t>
    </rPh>
    <rPh sb="47" eb="48">
      <t>トウ</t>
    </rPh>
    <rPh sb="52" eb="54">
      <t>トウロク</t>
    </rPh>
    <rPh sb="54" eb="55">
      <t>ヨウ</t>
    </rPh>
    <phoneticPr fontId="6"/>
  </si>
  <si>
    <t>Req261</t>
  </si>
  <si>
    <t>会社別・金融機関別に、各社が保有する口座の一覧が表示されること</t>
    <rPh sb="0" eb="3">
      <t>カイシャベツ</t>
    </rPh>
    <rPh sb="4" eb="9">
      <t>キンユウキカンベツ</t>
    </rPh>
    <rPh sb="11" eb="13">
      <t>カクシャ</t>
    </rPh>
    <rPh sb="14" eb="16">
      <t>ホユウ</t>
    </rPh>
    <rPh sb="18" eb="20">
      <t>コウザ</t>
    </rPh>
    <rPh sb="21" eb="23">
      <t>イチラン</t>
    </rPh>
    <rPh sb="24" eb="26">
      <t>ヒョウジ</t>
    </rPh>
    <phoneticPr fontId="3"/>
  </si>
  <si>
    <t>会社別・金融機関別に、各社が保有する口座の一覧を表示する機能</t>
    <rPh sb="0" eb="3">
      <t>カイシャベツ</t>
    </rPh>
    <rPh sb="4" eb="9">
      <t>キンユウキカンベツ</t>
    </rPh>
    <rPh sb="11" eb="13">
      <t>カクシャ</t>
    </rPh>
    <rPh sb="14" eb="16">
      <t>ホユウ</t>
    </rPh>
    <rPh sb="18" eb="20">
      <t>コウザ</t>
    </rPh>
    <rPh sb="21" eb="23">
      <t>イチラン</t>
    </rPh>
    <rPh sb="24" eb="26">
      <t>ヒョウジ</t>
    </rPh>
    <rPh sb="28" eb="30">
      <t>キノウ</t>
    </rPh>
    <phoneticPr fontId="3"/>
  </si>
  <si>
    <t>一覧機能は無いが、会社ごとに銀行口座画面でEXCELをエクスポートすることは可能。
※グループ管理のイメージは？日本法人の財務会計トランザクションとは別のデータ管理(グループ管理用法人を作成)をしてグローバル各社の口座残高を一元管理する？</t>
    <phoneticPr fontId="6"/>
  </si>
  <si>
    <t>→ご認識の通り、別管理方法でグローバル各社の口座一覧を表示できればと考えております。</t>
    <rPh sb="2" eb="4">
      <t>ニンシキ</t>
    </rPh>
    <rPh sb="5" eb="6">
      <t>トオ</t>
    </rPh>
    <rPh sb="8" eb="11">
      <t>ベツカンリ</t>
    </rPh>
    <rPh sb="11" eb="13">
      <t>ホウホウ</t>
    </rPh>
    <rPh sb="19" eb="21">
      <t>カクシャ</t>
    </rPh>
    <rPh sb="22" eb="24">
      <t>コウザ</t>
    </rPh>
    <rPh sb="24" eb="26">
      <t>イチラン</t>
    </rPh>
    <rPh sb="27" eb="29">
      <t>ヒョウジ</t>
    </rPh>
    <rPh sb="34" eb="35">
      <t>カンガ</t>
    </rPh>
    <phoneticPr fontId="3"/>
  </si>
  <si>
    <t>グローバル管理法人で財務分析コードに会社、銀行口座を管理することにより、試算表で会社別・金融機関別の口座残高一覧が可能。
(金額は、邦貨換算金額での表示となる)
通貨別で一覧したい場合、アドオンが必要。</t>
    <rPh sb="5" eb="7">
      <t>カンリ</t>
    </rPh>
    <rPh sb="7" eb="9">
      <t>ホウジン</t>
    </rPh>
    <rPh sb="10" eb="14">
      <t>ザイムブンセキ</t>
    </rPh>
    <rPh sb="18" eb="20">
      <t>カイシャ</t>
    </rPh>
    <rPh sb="21" eb="23">
      <t>ギンコウ</t>
    </rPh>
    <rPh sb="23" eb="25">
      <t>コウザ</t>
    </rPh>
    <rPh sb="26" eb="28">
      <t>カンリ</t>
    </rPh>
    <rPh sb="36" eb="39">
      <t>シサンヒョウ</t>
    </rPh>
    <rPh sb="50" eb="52">
      <t>コウザ</t>
    </rPh>
    <rPh sb="52" eb="54">
      <t>ザンダカ</t>
    </rPh>
    <rPh sb="54" eb="56">
      <t>イチラン</t>
    </rPh>
    <rPh sb="57" eb="59">
      <t>カノウ</t>
    </rPh>
    <rPh sb="62" eb="64">
      <t>キンガク</t>
    </rPh>
    <rPh sb="66" eb="68">
      <t>ホウカ</t>
    </rPh>
    <rPh sb="68" eb="70">
      <t>カンザン</t>
    </rPh>
    <rPh sb="70" eb="72">
      <t>キンガク</t>
    </rPh>
    <rPh sb="74" eb="76">
      <t>ヒョウジ</t>
    </rPh>
    <rPh sb="81" eb="83">
      <t>ツウカ</t>
    </rPh>
    <rPh sb="83" eb="84">
      <t>ベツ</t>
    </rPh>
    <rPh sb="85" eb="87">
      <t>イチラン</t>
    </rPh>
    <rPh sb="90" eb="92">
      <t>バアイ</t>
    </rPh>
    <rPh sb="98" eb="100">
      <t>ヒツヨウ</t>
    </rPh>
    <phoneticPr fontId="6"/>
  </si>
  <si>
    <t>Req262</t>
  </si>
  <si>
    <t>固定資産取得(本勘定振替)に必要な情報を入力したうえ、登録処理できること</t>
    <rPh sb="0" eb="2">
      <t>コテイ</t>
    </rPh>
    <rPh sb="2" eb="4">
      <t>シサン</t>
    </rPh>
    <rPh sb="4" eb="6">
      <t>シュトク</t>
    </rPh>
    <rPh sb="7" eb="10">
      <t>ホンカンジョウ</t>
    </rPh>
    <rPh sb="10" eb="12">
      <t>フリカエ</t>
    </rPh>
    <rPh sb="14" eb="16">
      <t>ヒツヨウ</t>
    </rPh>
    <rPh sb="17" eb="19">
      <t>ジョウホウ</t>
    </rPh>
    <rPh sb="20" eb="22">
      <t>ニュウリョク</t>
    </rPh>
    <rPh sb="27" eb="29">
      <t>トウロク</t>
    </rPh>
    <rPh sb="29" eb="31">
      <t>ショリ</t>
    </rPh>
    <phoneticPr fontId="3"/>
  </si>
  <si>
    <t>固定資産の取得に必要な情報を入力・登録する機能</t>
    <rPh sb="0" eb="4">
      <t>コテイシサン</t>
    </rPh>
    <rPh sb="8" eb="10">
      <t>ヒツヨウ</t>
    </rPh>
    <rPh sb="11" eb="13">
      <t>ジョウホウ</t>
    </rPh>
    <rPh sb="14" eb="16">
      <t>ニュウリョク</t>
    </rPh>
    <phoneticPr fontId="3"/>
  </si>
  <si>
    <t>固定資産管理</t>
    <rPh sb="0" eb="4">
      <t>コテイシサン</t>
    </rPh>
    <rPh sb="4" eb="6">
      <t>カンリ</t>
    </rPh>
    <phoneticPr fontId="6"/>
  </si>
  <si>
    <t>10. 固定資産管理</t>
    <phoneticPr fontId="6"/>
  </si>
  <si>
    <t>標準機能：固定資産＞固定資産＞固定資産
⇒固定資産登録機能を使用</t>
    <phoneticPr fontId="6"/>
  </si>
  <si>
    <t>Req263</t>
  </si>
  <si>
    <t>固定資産取得伝票が確認・出力できること</t>
    <rPh sb="4" eb="6">
      <t>シュトク</t>
    </rPh>
    <rPh sb="6" eb="8">
      <t>デンピョウ</t>
    </rPh>
    <rPh sb="9" eb="11">
      <t>カクニン</t>
    </rPh>
    <rPh sb="12" eb="14">
      <t>シュツリョク</t>
    </rPh>
    <phoneticPr fontId="3"/>
  </si>
  <si>
    <t>固定資産の取得時の伝票を出力する機能</t>
  </si>
  <si>
    <t>標準機能：固定資産＞照会及びレポート＞固定資産トランザクション
⇒固定資産トランザクション機能を使用
⇒固定資産トランザクションをフィルタリング後、Excel出力する</t>
    <phoneticPr fontId="6"/>
  </si>
  <si>
    <t>Req264</t>
  </si>
  <si>
    <t>固定資産取得(本勘定振替)処理に伴う仕訳が生成できること</t>
    <rPh sb="0" eb="4">
      <t>コテイシサン</t>
    </rPh>
    <rPh sb="7" eb="10">
      <t>ホンカンジョウ</t>
    </rPh>
    <rPh sb="10" eb="12">
      <t>フリカエ</t>
    </rPh>
    <rPh sb="13" eb="15">
      <t>ショリ</t>
    </rPh>
    <phoneticPr fontId="3"/>
  </si>
  <si>
    <t>固定資産の取得処理に伴う仕訳を生成する機能</t>
    <rPh sb="0" eb="4">
      <t>コテイシサン</t>
    </rPh>
    <rPh sb="7" eb="9">
      <t>ショリ</t>
    </rPh>
    <rPh sb="15" eb="17">
      <t>セイセイ</t>
    </rPh>
    <rPh sb="19" eb="21">
      <t>キノウ</t>
    </rPh>
    <phoneticPr fontId="3"/>
  </si>
  <si>
    <t>標準機能：固定資産＞仕訳入力＞固定資産仕訳帳
⇒固定資産仕訳帳登録機能を使用
⇒印刷機能あり(作成レポートのExport機能)
　⇒残高表、仕訳帳、仕訳帳別転記済トランザクション表</t>
    <phoneticPr fontId="6"/>
  </si>
  <si>
    <t>Req265</t>
    <phoneticPr fontId="6"/>
  </si>
  <si>
    <t>建設仮勘定の消費税を別の仮勘定へ振替できること</t>
    <rPh sb="0" eb="5">
      <t>ケンセツカリカンジョウ</t>
    </rPh>
    <rPh sb="6" eb="9">
      <t>ショウヒゼイ</t>
    </rPh>
    <rPh sb="10" eb="11">
      <t>ベツ</t>
    </rPh>
    <rPh sb="12" eb="15">
      <t>カリカンジョウ</t>
    </rPh>
    <rPh sb="16" eb="18">
      <t>フリカエ</t>
    </rPh>
    <phoneticPr fontId="3"/>
  </si>
  <si>
    <t>建設仮勘定の本体価額とそれに付随する仮払消費税額を識別できる機能</t>
    <rPh sb="0" eb="5">
      <t>ケンセツカリカンジョウ</t>
    </rPh>
    <rPh sb="6" eb="8">
      <t>ホンタイ</t>
    </rPh>
    <rPh sb="8" eb="10">
      <t>カガク</t>
    </rPh>
    <rPh sb="14" eb="16">
      <t>フズイ</t>
    </rPh>
    <rPh sb="18" eb="23">
      <t>カリバライショウヒゼイ</t>
    </rPh>
    <rPh sb="23" eb="24">
      <t>ガク</t>
    </rPh>
    <rPh sb="25" eb="27">
      <t>シキベツ</t>
    </rPh>
    <rPh sb="30" eb="32">
      <t>キノウ</t>
    </rPh>
    <phoneticPr fontId="3"/>
  </si>
  <si>
    <t>POの導入は行いますか</t>
    <rPh sb="3" eb="5">
      <t>ドウニュウ</t>
    </rPh>
    <rPh sb="6" eb="7">
      <t>オコナ</t>
    </rPh>
    <phoneticPr fontId="6"/>
  </si>
  <si>
    <t>POの導入は行いません
⇒BACKLOGより</t>
    <rPh sb="3" eb="5">
      <t>ドウニュウ</t>
    </rPh>
    <rPh sb="6" eb="7">
      <t>オコナ</t>
    </rPh>
    <phoneticPr fontId="6"/>
  </si>
  <si>
    <r>
      <rPr>
        <b/>
        <sz val="9"/>
        <rFont val="メイリオ"/>
        <family val="3"/>
        <charset val="128"/>
      </rPr>
      <t>Req352</t>
    </r>
    <r>
      <rPr>
        <sz val="9"/>
        <rFont val="メイリオ"/>
        <family val="3"/>
        <charset val="128"/>
      </rPr>
      <t>に建設仮勘定の要求事項関連を集約して記載します</t>
    </r>
    <rPh sb="7" eb="12">
      <t>ケンセツカリカンジョウ</t>
    </rPh>
    <rPh sb="13" eb="15">
      <t>ヨウキュウ</t>
    </rPh>
    <rPh sb="15" eb="17">
      <t>ジコウ</t>
    </rPh>
    <rPh sb="17" eb="19">
      <t>カンレン</t>
    </rPh>
    <rPh sb="20" eb="22">
      <t>シュウヤク</t>
    </rPh>
    <rPh sb="24" eb="26">
      <t>キサイ</t>
    </rPh>
    <phoneticPr fontId="6"/>
  </si>
  <si>
    <t>Req266</t>
  </si>
  <si>
    <t>資産情報の変更ができること</t>
  </si>
  <si>
    <t>資産分類、耐用年数、償却方法等を変更する機能</t>
  </si>
  <si>
    <t>標準機能：固定資産＞固定資産＞固定資産&gt;帳簿＞機能
⇒減価償却プロファイルの変更機能を使用</t>
    <rPh sb="20" eb="22">
      <t>チョウボ</t>
    </rPh>
    <rPh sb="23" eb="25">
      <t>キノウ</t>
    </rPh>
    <phoneticPr fontId="6"/>
  </si>
  <si>
    <t>Req267</t>
  </si>
  <si>
    <t>取得資産増減処理の同年度内で過去遡及ができること</t>
    <rPh sb="9" eb="12">
      <t>ドウネンド</t>
    </rPh>
    <rPh sb="12" eb="13">
      <t>ナイ</t>
    </rPh>
    <phoneticPr fontId="3"/>
  </si>
  <si>
    <t>取得資産の増減処理を同年度内過去に遡って実施する機能</t>
    <rPh sb="10" eb="13">
      <t>ドウネンド</t>
    </rPh>
    <rPh sb="13" eb="14">
      <t>ナイ</t>
    </rPh>
    <phoneticPr fontId="3"/>
  </si>
  <si>
    <t>年度またぎを含め過去遡及はできません
⇒遡及の頻度、発生理由をお聞かせください
⇒サンスター様TODO</t>
    <rPh sb="0" eb="2">
      <t>ネンド</t>
    </rPh>
    <rPh sb="6" eb="7">
      <t>フク</t>
    </rPh>
    <rPh sb="8" eb="10">
      <t>カコ</t>
    </rPh>
    <rPh sb="10" eb="12">
      <t>ソキュウ</t>
    </rPh>
    <rPh sb="20" eb="22">
      <t>ソキュウ</t>
    </rPh>
    <rPh sb="23" eb="25">
      <t>ヒンド</t>
    </rPh>
    <rPh sb="26" eb="28">
      <t>ハッセイ</t>
    </rPh>
    <rPh sb="28" eb="30">
      <t>リユウ</t>
    </rPh>
    <rPh sb="32" eb="33">
      <t>キ</t>
    </rPh>
    <rPh sb="46" eb="47">
      <t>サマ</t>
    </rPh>
    <phoneticPr fontId="6"/>
  </si>
  <si>
    <t>スコープアウトとします⇒2024/3/14</t>
    <phoneticPr fontId="6"/>
  </si>
  <si>
    <t>Req268</t>
  </si>
  <si>
    <t>資産情報の登録内容を確認できること</t>
    <rPh sb="5" eb="7">
      <t>トウロク</t>
    </rPh>
    <rPh sb="7" eb="9">
      <t>ナイヨウ</t>
    </rPh>
    <rPh sb="10" eb="12">
      <t>カクニン</t>
    </rPh>
    <phoneticPr fontId="3"/>
  </si>
  <si>
    <t>部課コードの設定状況等、修正したい各情報の登録状況を確認する機能</t>
    <rPh sb="0" eb="2">
      <t>ブカ</t>
    </rPh>
    <rPh sb="6" eb="8">
      <t>セッテイ</t>
    </rPh>
    <rPh sb="8" eb="10">
      <t>ジョウキョウ</t>
    </rPh>
    <rPh sb="10" eb="11">
      <t>ナド</t>
    </rPh>
    <rPh sb="12" eb="14">
      <t>シュウセイ</t>
    </rPh>
    <rPh sb="17" eb="18">
      <t>カク</t>
    </rPh>
    <rPh sb="18" eb="20">
      <t>ジョウホウ</t>
    </rPh>
    <rPh sb="21" eb="23">
      <t>トウロク</t>
    </rPh>
    <rPh sb="23" eb="25">
      <t>ジョウキョウ</t>
    </rPh>
    <rPh sb="26" eb="28">
      <t>カクニン</t>
    </rPh>
    <rPh sb="30" eb="32">
      <t>キノウ</t>
    </rPh>
    <phoneticPr fontId="3"/>
  </si>
  <si>
    <t>標準機能に準拠します</t>
    <phoneticPr fontId="6"/>
  </si>
  <si>
    <t>標準機能：固定資産＞固定資産＞固定資産
⇒固定資産カスタマイズビューを使用</t>
    <phoneticPr fontId="6"/>
  </si>
  <si>
    <t>Req269</t>
  </si>
  <si>
    <t>資産除去債務の登録ができ、利息計算ができること</t>
    <rPh sb="0" eb="6">
      <t>シサンジョキョサイム</t>
    </rPh>
    <rPh sb="7" eb="9">
      <t>トウロク</t>
    </rPh>
    <rPh sb="13" eb="15">
      <t>リソク</t>
    </rPh>
    <rPh sb="15" eb="17">
      <t>ケイサン</t>
    </rPh>
    <phoneticPr fontId="3"/>
  </si>
  <si>
    <t>資産除去債務の登録と利息計算をする機能</t>
    <rPh sb="0" eb="4">
      <t>シサンジョキョ</t>
    </rPh>
    <rPh sb="4" eb="6">
      <t>サイム</t>
    </rPh>
    <rPh sb="7" eb="9">
      <t>トウロク</t>
    </rPh>
    <rPh sb="10" eb="12">
      <t>リソク</t>
    </rPh>
    <rPh sb="12" eb="14">
      <t>ケイサン</t>
    </rPh>
    <rPh sb="17" eb="19">
      <t>キノウ</t>
    </rPh>
    <phoneticPr fontId="3"/>
  </si>
  <si>
    <t>利息計算は実施できない。別途、利息(手数料)を入力する必要があります</t>
    <phoneticPr fontId="6"/>
  </si>
  <si>
    <t>標準機能に準拠します⇒2024/3/14
件数が少なく、決算GではExcelでの対応も可としているが、標準機能で対応できるのであれば、標準利用をする。（武市）</t>
    <rPh sb="0" eb="4">
      <t>ヒョウジュンキノウ</t>
    </rPh>
    <rPh sb="5" eb="7">
      <t>ジュンキョ</t>
    </rPh>
    <rPh sb="21" eb="23">
      <t>ケンスウ</t>
    </rPh>
    <rPh sb="24" eb="25">
      <t>スク</t>
    </rPh>
    <rPh sb="28" eb="30">
      <t>ケッサン</t>
    </rPh>
    <rPh sb="40" eb="42">
      <t>タイオウ</t>
    </rPh>
    <rPh sb="43" eb="44">
      <t>カ</t>
    </rPh>
    <rPh sb="51" eb="55">
      <t>ヒョウジュンキノウ</t>
    </rPh>
    <rPh sb="56" eb="58">
      <t>タイオウ</t>
    </rPh>
    <rPh sb="67" eb="71">
      <t>ヒョウジュンリヨウ</t>
    </rPh>
    <rPh sb="76" eb="78">
      <t>タケイチ</t>
    </rPh>
    <phoneticPr fontId="6"/>
  </si>
  <si>
    <r>
      <t>標準機能：固定資産＞仕訳入力＞固定資産仕訳帳
⇒資産除去債務トランザクションの作成は可能だが自動では</t>
    </r>
    <r>
      <rPr>
        <b/>
        <u/>
        <sz val="9"/>
        <rFont val="メイリオ"/>
        <family val="3"/>
        <charset val="128"/>
      </rPr>
      <t xml:space="preserve">利息計算は実施できない。別途、利息(手数料)を入力する必要がある
</t>
    </r>
    <rPh sb="39" eb="41">
      <t>サクセイ</t>
    </rPh>
    <rPh sb="42" eb="44">
      <t>カノウ</t>
    </rPh>
    <rPh sb="46" eb="48">
      <t>ジドウ</t>
    </rPh>
    <rPh sb="50" eb="54">
      <t>リソクケイサン</t>
    </rPh>
    <rPh sb="55" eb="57">
      <t>ジッシ</t>
    </rPh>
    <rPh sb="62" eb="64">
      <t>ベット</t>
    </rPh>
    <rPh sb="65" eb="67">
      <t>リソク</t>
    </rPh>
    <rPh sb="68" eb="71">
      <t>テスウリョウ</t>
    </rPh>
    <rPh sb="73" eb="75">
      <t>ニュウリョク</t>
    </rPh>
    <rPh sb="77" eb="79">
      <t>ヒツヨウ</t>
    </rPh>
    <phoneticPr fontId="24"/>
  </si>
  <si>
    <t>Req270</t>
  </si>
  <si>
    <t>圧縮記帳ができること</t>
  </si>
  <si>
    <t>圧縮記帳を行う機能</t>
  </si>
  <si>
    <t>標準機能：固定資産＞定期処理のタスク＞圧縮記帳＞圧縮記帳の文書
⇒圧縮記帳の文書を作成し、固定資産マスタ(帳簿)に登録する
⇒取得価額を減額する
⇒直接減額方式</t>
    <phoneticPr fontId="6"/>
  </si>
  <si>
    <t>Req271</t>
  </si>
  <si>
    <t>資産の減価償却・除却処理内容を更新できること</t>
    <rPh sb="3" eb="5">
      <t>ゲンカ</t>
    </rPh>
    <rPh sb="5" eb="7">
      <t>ショウキャク</t>
    </rPh>
    <rPh sb="8" eb="12">
      <t>ジョキャクショリ</t>
    </rPh>
    <rPh sb="12" eb="14">
      <t>ナイヨウ</t>
    </rPh>
    <rPh sb="15" eb="17">
      <t>コウシン</t>
    </rPh>
    <phoneticPr fontId="3"/>
  </si>
  <si>
    <t>償却方法、耐用年数、組織、遊休設定、増加償却率等の資産に紐付く情報を変更する機能</t>
    <rPh sb="34" eb="36">
      <t>ヘンコウ</t>
    </rPh>
    <rPh sb="38" eb="40">
      <t>キノウ</t>
    </rPh>
    <phoneticPr fontId="3"/>
  </si>
  <si>
    <t xml:space="preserve">固定資産モジュールの基準情報(減価償却プロファイル、固定資産の償却率、固定資産転記プロファイル、固定資産グループ)を更新することが可能
</t>
    <rPh sb="48" eb="52">
      <t>コテイシサン</t>
    </rPh>
    <rPh sb="58" eb="60">
      <t>コウシン</t>
    </rPh>
    <rPh sb="65" eb="67">
      <t>カノウ</t>
    </rPh>
    <phoneticPr fontId="24"/>
  </si>
  <si>
    <t>Req272</t>
  </si>
  <si>
    <t>償却額を自動計算できること</t>
    <rPh sb="4" eb="6">
      <t>ジドウ</t>
    </rPh>
    <phoneticPr fontId="3"/>
  </si>
  <si>
    <t>定率法・定額法・月割償却・定額切替・均等償却・即時償却・非償却・リース期間定額法・任意償却といった一般的な償却計算方法で償却計算を行う機能</t>
  </si>
  <si>
    <t>固定資産モジュールの標準機能で対応が可能</t>
    <rPh sb="10" eb="14">
      <t>ヒョウジュンキノウ</t>
    </rPh>
    <rPh sb="18" eb="20">
      <t>カノウ</t>
    </rPh>
    <phoneticPr fontId="6"/>
  </si>
  <si>
    <t>Req273</t>
  </si>
  <si>
    <r>
      <t>償却額を</t>
    </r>
    <r>
      <rPr>
        <b/>
        <sz val="11"/>
        <rFont val="Meiryo UI"/>
        <family val="3"/>
        <charset val="128"/>
      </rPr>
      <t>自動再計算</t>
    </r>
    <r>
      <rPr>
        <sz val="11"/>
        <rFont val="Meiryo UI"/>
        <family val="3"/>
        <charset val="128"/>
      </rPr>
      <t>できること</t>
    </r>
    <rPh sb="4" eb="6">
      <t>ジドウ</t>
    </rPh>
    <phoneticPr fontId="3"/>
  </si>
  <si>
    <t>取得価額が増減した場合に、償却額を再計算する機能</t>
  </si>
  <si>
    <t>減価償却トランザクションを取り消して、再計算させる</t>
    <phoneticPr fontId="6"/>
  </si>
  <si>
    <t>Req274</t>
  </si>
  <si>
    <t>増加償却できること</t>
  </si>
  <si>
    <t>増加償却を行う機能</t>
  </si>
  <si>
    <t>加速償却の設定を行う。</t>
    <rPh sb="0" eb="4">
      <t>カソクショウキャク</t>
    </rPh>
    <rPh sb="5" eb="7">
      <t>セッテイ</t>
    </rPh>
    <rPh sb="8" eb="9">
      <t>オコナ</t>
    </rPh>
    <phoneticPr fontId="24"/>
  </si>
  <si>
    <t>Req275</t>
  </si>
  <si>
    <t>特別償却、割増償却できること</t>
  </si>
  <si>
    <t>特別償却、割増償却を行う機能</t>
  </si>
  <si>
    <t>FO標準機能をコンセプトトレーニング資料にて記載
⇒現行運用では特別償却、割増償却を現行では使用していない</t>
    <phoneticPr fontId="6"/>
  </si>
  <si>
    <t>Req276</t>
  </si>
  <si>
    <t>遊休設定(償却停止)できること</t>
    <rPh sb="5" eb="9">
      <t>ショウキャクテイシ</t>
    </rPh>
    <phoneticPr fontId="3"/>
  </si>
  <si>
    <t>各資産毎に遊休設定し、償却費を発生させない機能</t>
    <rPh sb="1" eb="3">
      <t>シサン</t>
    </rPh>
    <rPh sb="11" eb="14">
      <t>ショウキャクヒ</t>
    </rPh>
    <rPh sb="15" eb="17">
      <t>ハッセイ</t>
    </rPh>
    <phoneticPr fontId="3"/>
  </si>
  <si>
    <t>固定資産帳簿のステータスを「中断」にする
⇒帳簿の「減価償却の計算」を「いいえ」にする対応で対応する
⇒用意されているステータスは下記の通り
”未取得”、”開始”、”中断”、”クローズ”、”売却済”、”仕損済”</t>
    <phoneticPr fontId="6"/>
  </si>
  <si>
    <t>Req277</t>
  </si>
  <si>
    <t>償却費を複数部門に配賦できること</t>
    <rPh sb="4" eb="6">
      <t>フクスウ</t>
    </rPh>
    <rPh sb="6" eb="8">
      <t>ブモン</t>
    </rPh>
    <phoneticPr fontId="3"/>
  </si>
  <si>
    <t>償却費を複数部門に配賦する機能</t>
  </si>
  <si>
    <t>配賦ルールを教えてほしい</t>
    <rPh sb="0" eb="2">
      <t>ハイフ</t>
    </rPh>
    <rPh sb="6" eb="7">
      <t>オシ</t>
    </rPh>
    <phoneticPr fontId="6"/>
  </si>
  <si>
    <t>固定資産＞設定＞減価償却配布ルール
減価償却金額を割合で複数の財務分析コードに割り当てる配賦ルールを設定できます。</t>
    <rPh sb="0" eb="2">
      <t>コテイ</t>
    </rPh>
    <rPh sb="2" eb="4">
      <t>シサン</t>
    </rPh>
    <rPh sb="5" eb="7">
      <t>セッテイ</t>
    </rPh>
    <rPh sb="8" eb="10">
      <t>ゲンカ</t>
    </rPh>
    <rPh sb="10" eb="12">
      <t>ショウキャク</t>
    </rPh>
    <rPh sb="12" eb="14">
      <t>ハイフ</t>
    </rPh>
    <rPh sb="18" eb="20">
      <t>ゲンカ</t>
    </rPh>
    <rPh sb="20" eb="22">
      <t>ショウキャク</t>
    </rPh>
    <rPh sb="22" eb="24">
      <t>キンガク</t>
    </rPh>
    <rPh sb="25" eb="27">
      <t>ワリアイ</t>
    </rPh>
    <rPh sb="28" eb="30">
      <t>フクスウ</t>
    </rPh>
    <rPh sb="31" eb="33">
      <t>ザイム</t>
    </rPh>
    <rPh sb="33" eb="35">
      <t>ブンセキ</t>
    </rPh>
    <rPh sb="39" eb="40">
      <t>ワ</t>
    </rPh>
    <rPh sb="41" eb="42">
      <t>ア</t>
    </rPh>
    <rPh sb="44" eb="46">
      <t>ハイフ</t>
    </rPh>
    <rPh sb="50" eb="52">
      <t>セッテイ</t>
    </rPh>
    <phoneticPr fontId="24"/>
  </si>
  <si>
    <t>使用しない⇒2024/3/21</t>
    <rPh sb="0" eb="2">
      <t>シヨウ</t>
    </rPh>
    <phoneticPr fontId="6"/>
  </si>
  <si>
    <t>Req278</t>
  </si>
  <si>
    <t>複数期間の償却費を出力できること</t>
  </si>
  <si>
    <t>既存資産の月毎、四半期毎、半期毎、年毎の償却費を出力する機能</t>
  </si>
  <si>
    <t>固定資産＞仕訳入力＞償却提案を作成しますを実行。この時、出力したい期間を指定することでその期間の償却予定を出力することができる。</t>
    <rPh sb="5" eb="9">
      <t>シワケニュウリョク</t>
    </rPh>
    <rPh sb="10" eb="12">
      <t>ショウキャク</t>
    </rPh>
    <rPh sb="12" eb="14">
      <t>テイアン</t>
    </rPh>
    <rPh sb="15" eb="17">
      <t>サクセイ</t>
    </rPh>
    <rPh sb="21" eb="23">
      <t>ジッコウ</t>
    </rPh>
    <rPh sb="26" eb="27">
      <t>トキ</t>
    </rPh>
    <rPh sb="28" eb="30">
      <t>シュツリョク</t>
    </rPh>
    <rPh sb="33" eb="35">
      <t>キカン</t>
    </rPh>
    <rPh sb="36" eb="38">
      <t>シテイ</t>
    </rPh>
    <rPh sb="45" eb="47">
      <t>キカン</t>
    </rPh>
    <rPh sb="48" eb="50">
      <t>ショウキャク</t>
    </rPh>
    <rPh sb="50" eb="52">
      <t>ヨテイ</t>
    </rPh>
    <rPh sb="53" eb="55">
      <t>シュツリョク</t>
    </rPh>
    <phoneticPr fontId="6"/>
  </si>
  <si>
    <t>Req279</t>
  </si>
  <si>
    <t>取得予定、除却予定、減損予定、移動予定を加味して既存資産・新規資産の減価償却費のシミュレーションができること</t>
    <rPh sb="24" eb="26">
      <t>キゾン</t>
    </rPh>
    <rPh sb="26" eb="28">
      <t>シサン</t>
    </rPh>
    <rPh sb="29" eb="33">
      <t>シンキシサン</t>
    </rPh>
    <rPh sb="34" eb="39">
      <t>ゲンカショウキャクヒ</t>
    </rPh>
    <phoneticPr fontId="3"/>
  </si>
  <si>
    <t>取得予定、除却予定、減損予定、移動予定を加味した償却シミュレーションする機能</t>
  </si>
  <si>
    <t>取得予定、除却予定、減損予定、移動予定等複数の要素を加味した償却シミュレーションする機能はありません</t>
    <rPh sb="19" eb="20">
      <t>トウ</t>
    </rPh>
    <rPh sb="20" eb="22">
      <t>フクスウ</t>
    </rPh>
    <rPh sb="23" eb="25">
      <t>ヨウソ</t>
    </rPh>
    <phoneticPr fontId="6"/>
  </si>
  <si>
    <r>
      <t xml:space="preserve">通常機能でOK
予算グループへの確認で最終回答とする
</t>
    </r>
    <r>
      <rPr>
        <b/>
        <sz val="9"/>
        <color rgb="FFFF0000"/>
        <rFont val="メイリオ"/>
        <family val="3"/>
        <charset val="128"/>
      </rPr>
      <t>⇒不要</t>
    </r>
    <rPh sb="0" eb="2">
      <t>ツウジョウ</t>
    </rPh>
    <rPh sb="2" eb="4">
      <t>キノウ</t>
    </rPh>
    <rPh sb="8" eb="10">
      <t>ヨサン</t>
    </rPh>
    <rPh sb="16" eb="18">
      <t>カクニン</t>
    </rPh>
    <rPh sb="19" eb="23">
      <t>サイシュウカイトウ</t>
    </rPh>
    <rPh sb="28" eb="30">
      <t>フヨウ</t>
    </rPh>
    <phoneticPr fontId="6"/>
  </si>
  <si>
    <t>Req280</t>
  </si>
  <si>
    <t>減損処理できること</t>
  </si>
  <si>
    <t>減損処理を行う機能</t>
  </si>
  <si>
    <t xml:space="preserve">圧縮記帳の手順にて対応ができるか調査中
</t>
    <rPh sb="16" eb="19">
      <t>チョウサチュウ</t>
    </rPh>
    <phoneticPr fontId="6"/>
  </si>
  <si>
    <t xml:space="preserve">調査結果：減損処理については圧縮記帳の機能では対応できないため標準機能の個別の減損処理機能を使用し対応する。
</t>
    <rPh sb="0" eb="2">
      <t>チョウサ</t>
    </rPh>
    <rPh sb="2" eb="4">
      <t>ケッカ</t>
    </rPh>
    <rPh sb="5" eb="9">
      <t>ゲンソンショリ</t>
    </rPh>
    <rPh sb="14" eb="16">
      <t>アッシュク</t>
    </rPh>
    <rPh sb="16" eb="18">
      <t>キチョウ</t>
    </rPh>
    <rPh sb="19" eb="21">
      <t>キノウ</t>
    </rPh>
    <rPh sb="23" eb="25">
      <t>タイオウ</t>
    </rPh>
    <rPh sb="31" eb="33">
      <t>ヒョウジュン</t>
    </rPh>
    <rPh sb="33" eb="35">
      <t>キノウ</t>
    </rPh>
    <rPh sb="36" eb="38">
      <t>コベツ</t>
    </rPh>
    <rPh sb="39" eb="43">
      <t>ゲンソンショリ</t>
    </rPh>
    <rPh sb="43" eb="45">
      <t>キノウ</t>
    </rPh>
    <rPh sb="46" eb="48">
      <t>シヨウ</t>
    </rPh>
    <rPh sb="49" eb="51">
      <t>タイオウ</t>
    </rPh>
    <phoneticPr fontId="6"/>
  </si>
  <si>
    <t>①固定資産＞個別資産の減損＞減損確認テスト
②固定資産＞仕訳入力＞固定資産仕訳帳に減損提案を実施後、転記する。</t>
    <rPh sb="1" eb="5">
      <t>コテイシサン</t>
    </rPh>
    <rPh sb="6" eb="8">
      <t>コベツ</t>
    </rPh>
    <rPh sb="8" eb="10">
      <t>シサン</t>
    </rPh>
    <rPh sb="11" eb="13">
      <t>ゲンソン</t>
    </rPh>
    <rPh sb="14" eb="18">
      <t>ゲンソンカクニン</t>
    </rPh>
    <rPh sb="23" eb="27">
      <t>コテイシサン</t>
    </rPh>
    <rPh sb="28" eb="32">
      <t>シワケニュウリョク</t>
    </rPh>
    <rPh sb="33" eb="37">
      <t>コテイシサン</t>
    </rPh>
    <rPh sb="37" eb="40">
      <t>シワケチョウ</t>
    </rPh>
    <rPh sb="41" eb="43">
      <t>ゲンソン</t>
    </rPh>
    <rPh sb="43" eb="45">
      <t>テイアン</t>
    </rPh>
    <rPh sb="46" eb="48">
      <t>ジッシ</t>
    </rPh>
    <rPh sb="48" eb="49">
      <t>ゴ</t>
    </rPh>
    <rPh sb="50" eb="52">
      <t>テンキ</t>
    </rPh>
    <phoneticPr fontId="24"/>
  </si>
  <si>
    <r>
      <rPr>
        <b/>
        <u/>
        <sz val="9"/>
        <rFont val="メイリオ"/>
        <family val="3"/>
        <charset val="128"/>
      </rPr>
      <t>資産リース</t>
    </r>
    <r>
      <rPr>
        <sz val="9"/>
        <rFont val="メイリオ"/>
        <family val="3"/>
        <charset val="128"/>
      </rPr>
      <t>では減損機能あり
資産リース＞リースの概要＞帳簿＞減損</t>
    </r>
    <rPh sb="14" eb="16">
      <t>シサン</t>
    </rPh>
    <rPh sb="24" eb="26">
      <t>ガイヨウ</t>
    </rPh>
    <rPh sb="27" eb="29">
      <t>チョウボ</t>
    </rPh>
    <rPh sb="30" eb="32">
      <t>ゲンソン</t>
    </rPh>
    <phoneticPr fontId="6"/>
  </si>
  <si>
    <t>Req281</t>
  </si>
  <si>
    <t>減損損失額の資産別配分できること</t>
  </si>
  <si>
    <t>減損損失額を資産別に配分する機能</t>
  </si>
  <si>
    <t>現行では配布の処理は行っていない
⇒個別に減損処理ができればより</t>
    <rPh sb="0" eb="2">
      <t>ゲンコウ</t>
    </rPh>
    <rPh sb="4" eb="6">
      <t>ハイフ</t>
    </rPh>
    <rPh sb="7" eb="9">
      <t>ショリ</t>
    </rPh>
    <rPh sb="10" eb="11">
      <t>オコナ</t>
    </rPh>
    <rPh sb="18" eb="20">
      <t>コベツ</t>
    </rPh>
    <rPh sb="21" eb="23">
      <t>ゲンソン</t>
    </rPh>
    <rPh sb="23" eb="25">
      <t>ショリ</t>
    </rPh>
    <phoneticPr fontId="6"/>
  </si>
  <si>
    <t>回答待ち：2024/ 3/14</t>
    <rPh sb="0" eb="2">
      <t>カイトウ</t>
    </rPh>
    <rPh sb="2" eb="3">
      <t>マ</t>
    </rPh>
    <phoneticPr fontId="6"/>
  </si>
  <si>
    <t>Req282</t>
  </si>
  <si>
    <t>資産の移動登録ができること</t>
  </si>
  <si>
    <t>資産の移動を登録する機能</t>
  </si>
  <si>
    <t xml:space="preserve">標準機能：固定資産＞固定資産＞固定資産(固定資産の移動)
⇒固定資産の移動機能を使用する
</t>
    <phoneticPr fontId="6"/>
  </si>
  <si>
    <t>Req283</t>
  </si>
  <si>
    <t>複数資産の一括移動処理ができること</t>
  </si>
  <si>
    <t>複数資産を一括で移動処理する機能</t>
  </si>
  <si>
    <r>
      <t>標準機能：固定資産＞固定資産＞固定資産(固定資産の移動)
⇒(固定資産の移動)機能を使用する⇒複数選択による</t>
    </r>
    <r>
      <rPr>
        <b/>
        <u/>
        <sz val="9"/>
        <rFont val="メイリオ"/>
        <family val="3"/>
        <charset val="128"/>
      </rPr>
      <t>一括処理可能</t>
    </r>
    <r>
      <rPr>
        <sz val="9"/>
        <rFont val="メイリオ"/>
        <family val="3"/>
        <charset val="128"/>
      </rPr>
      <t xml:space="preserve">
</t>
    </r>
    <rPh sb="0" eb="2">
      <t>ヒョウジュン</t>
    </rPh>
    <rPh sb="2" eb="4">
      <t>キノウ</t>
    </rPh>
    <rPh sb="5" eb="7">
      <t>コテイ</t>
    </rPh>
    <rPh sb="7" eb="9">
      <t>シサン</t>
    </rPh>
    <rPh sb="10" eb="12">
      <t>コテイ</t>
    </rPh>
    <rPh sb="12" eb="14">
      <t>シサン</t>
    </rPh>
    <rPh sb="15" eb="17">
      <t>コテイ</t>
    </rPh>
    <rPh sb="17" eb="19">
      <t>シサン</t>
    </rPh>
    <rPh sb="20" eb="22">
      <t>コテイ</t>
    </rPh>
    <rPh sb="22" eb="24">
      <t>シサン</t>
    </rPh>
    <rPh sb="25" eb="27">
      <t>イドウ</t>
    </rPh>
    <rPh sb="39" eb="41">
      <t>キノウ</t>
    </rPh>
    <rPh sb="42" eb="44">
      <t>シヨウ</t>
    </rPh>
    <rPh sb="47" eb="49">
      <t>フクスウ</t>
    </rPh>
    <rPh sb="49" eb="51">
      <t>センタク</t>
    </rPh>
    <rPh sb="54" eb="56">
      <t>イッカツ</t>
    </rPh>
    <rPh sb="56" eb="58">
      <t>ショリ</t>
    </rPh>
    <rPh sb="58" eb="60">
      <t>カノウ</t>
    </rPh>
    <phoneticPr fontId="24"/>
  </si>
  <si>
    <t>Req284</t>
  </si>
  <si>
    <t>資産の分割処理できること</t>
  </si>
  <si>
    <t>資産を分割し登録する機能</t>
  </si>
  <si>
    <t xml:space="preserve">標準機能：固定資産＞固定資産＞固定資産(帳簿＞固定資産の分割)
⇒(固定資産の移動)機能を使用する
分割処理は割合（％）を指定する方式です。事前に分割先の固定資産を登録しておく必要があります。
</t>
    <rPh sb="20" eb="22">
      <t>チョウボ</t>
    </rPh>
    <rPh sb="23" eb="27">
      <t>コテイシサン</t>
    </rPh>
    <rPh sb="28" eb="30">
      <t>ブンカツ</t>
    </rPh>
    <rPh sb="50" eb="52">
      <t>ブンカツ</t>
    </rPh>
    <rPh sb="52" eb="54">
      <t>ショリ</t>
    </rPh>
    <rPh sb="55" eb="57">
      <t>ワリアイ</t>
    </rPh>
    <rPh sb="61" eb="63">
      <t>シテイ</t>
    </rPh>
    <rPh sb="65" eb="67">
      <t>ホウシキ</t>
    </rPh>
    <rPh sb="70" eb="72">
      <t>ジゼン</t>
    </rPh>
    <rPh sb="73" eb="75">
      <t>ブンカツ</t>
    </rPh>
    <rPh sb="75" eb="76">
      <t>サキ</t>
    </rPh>
    <rPh sb="77" eb="79">
      <t>コテイ</t>
    </rPh>
    <rPh sb="79" eb="81">
      <t>シサン</t>
    </rPh>
    <rPh sb="82" eb="84">
      <t>トウロク</t>
    </rPh>
    <rPh sb="88" eb="90">
      <t>ヒツヨウ</t>
    </rPh>
    <phoneticPr fontId="24"/>
  </si>
  <si>
    <t>Req285</t>
  </si>
  <si>
    <t>資産の除売却登録ができること</t>
  </si>
  <si>
    <t>資産の除売却を登録する機能</t>
  </si>
  <si>
    <t xml:space="preserve">除却処理⇒標準機能：固定資産＞仕訳入力＞固定資産仕訳帳(明細行＞提案)
「処分ー仕損」で対応します
売却処理⇒標準機能：売掛金管理＞請求書＞すべての自由書式の請求書(明細行の詳細)
自由書式の請求書では、売却先の顧客、売却額および売却する固定資産番号を指定します。
</t>
    <rPh sb="0" eb="2">
      <t>ジョキャク</t>
    </rPh>
    <rPh sb="2" eb="4">
      <t>ショリ</t>
    </rPh>
    <rPh sb="15" eb="17">
      <t>シワケ</t>
    </rPh>
    <rPh sb="17" eb="19">
      <t>ニュウリョク</t>
    </rPh>
    <rPh sb="20" eb="24">
      <t>コテイシサン</t>
    </rPh>
    <rPh sb="24" eb="27">
      <t>シワケチョウ</t>
    </rPh>
    <rPh sb="28" eb="31">
      <t>メイサイギョウ</t>
    </rPh>
    <rPh sb="32" eb="34">
      <t>テイアン</t>
    </rPh>
    <rPh sb="37" eb="39">
      <t>ショブン</t>
    </rPh>
    <rPh sb="40" eb="41">
      <t>シ</t>
    </rPh>
    <rPh sb="41" eb="42">
      <t>ソン</t>
    </rPh>
    <rPh sb="44" eb="46">
      <t>タイオウ</t>
    </rPh>
    <rPh sb="50" eb="52">
      <t>バイキャク</t>
    </rPh>
    <rPh sb="52" eb="54">
      <t>ショリ</t>
    </rPh>
    <rPh sb="60" eb="63">
      <t>ウリカケキン</t>
    </rPh>
    <rPh sb="63" eb="65">
      <t>カンリ</t>
    </rPh>
    <rPh sb="66" eb="69">
      <t>セイキュウショ</t>
    </rPh>
    <rPh sb="74" eb="76">
      <t>ジユウ</t>
    </rPh>
    <rPh sb="76" eb="78">
      <t>ショシキ</t>
    </rPh>
    <rPh sb="79" eb="82">
      <t>セイキュウショ</t>
    </rPh>
    <rPh sb="87" eb="89">
      <t>ショウサイ</t>
    </rPh>
    <phoneticPr fontId="24"/>
  </si>
  <si>
    <t>Req286</t>
  </si>
  <si>
    <t>除売却に伴う仕訳を自動生成できること</t>
    <rPh sb="9" eb="11">
      <t>ジドウ</t>
    </rPh>
    <phoneticPr fontId="3"/>
  </si>
  <si>
    <t>除売却に伴う仕訳を自動生成する機能</t>
    <rPh sb="9" eb="11">
      <t>ジドウ</t>
    </rPh>
    <rPh sb="11" eb="13">
      <t>セイセイ</t>
    </rPh>
    <phoneticPr fontId="3"/>
  </si>
  <si>
    <t>同上(8.1)</t>
    <phoneticPr fontId="6"/>
  </si>
  <si>
    <t>Req287</t>
  </si>
  <si>
    <t>償却資産申告用帳簿管理できること</t>
  </si>
  <si>
    <t>財務帳簿、税務帳簿とは別に償却資産申告用に耐用年数、資産の種類、取得価額を保持し、その値を変更する機能</t>
  </si>
  <si>
    <t>償却資産申告用に必要なデータは保持していますが、償却資産申告用に別途値を保持する必要があればアドオン要件となります
⇒財務帳簿、税務帳簿とは別に非同期のデータを管理、運用したい場合</t>
    <rPh sb="88" eb="90">
      <t>バアイ</t>
    </rPh>
    <phoneticPr fontId="6"/>
  </si>
  <si>
    <t>帳簿を会計用、税務用で管理できればいい</t>
    <rPh sb="0" eb="2">
      <t>チョウボ</t>
    </rPh>
    <rPh sb="3" eb="6">
      <t>カイケイヨウ</t>
    </rPh>
    <rPh sb="7" eb="10">
      <t>ゼイムヨウ</t>
    </rPh>
    <rPh sb="11" eb="13">
      <t>カンリ</t>
    </rPh>
    <phoneticPr fontId="6"/>
  </si>
  <si>
    <t>Req288</t>
  </si>
  <si>
    <t>償却資産申告書出力できること</t>
  </si>
  <si>
    <t>償却資産申告書（課税台帳）を出力する機能</t>
  </si>
  <si>
    <t>償却資産申告書（課税台帳）を出力する機能はありません</t>
    <phoneticPr fontId="6"/>
  </si>
  <si>
    <t>各種参照用のレポート出力があるので時に作成は不要</t>
    <rPh sb="0" eb="2">
      <t>カクシュ</t>
    </rPh>
    <rPh sb="2" eb="5">
      <t>サンショウヨウ</t>
    </rPh>
    <rPh sb="10" eb="12">
      <t>シュツリョク</t>
    </rPh>
    <rPh sb="17" eb="18">
      <t>トキ</t>
    </rPh>
    <rPh sb="19" eb="21">
      <t>サクセイ</t>
    </rPh>
    <rPh sb="22" eb="24">
      <t>フヨウ</t>
    </rPh>
    <phoneticPr fontId="6"/>
  </si>
  <si>
    <t>Req289</t>
  </si>
  <si>
    <t>種類別明細書出力できること</t>
  </si>
  <si>
    <t>種類別明細書(全資産用・増加資産用・減少資産用)を出力する機能</t>
  </si>
  <si>
    <t xml:space="preserve">標準機能：固定資産＞照会及びレポート＞固定資産トランザクション
⇒固定資産トランザクション機能を使用
⇒固定資産トランザクションをフィルタリング後、Excel出力する
⇒Fit&amp;Gapフェーズで標準項目の過不足を確認する
</t>
    <phoneticPr fontId="6"/>
  </si>
  <si>
    <t>Req290</t>
  </si>
  <si>
    <t>過年度分の償却資産申告書、種類別明細書出力できること</t>
  </si>
  <si>
    <t>償却資産申告書、種類別明細書を過年度分も出力する機能</t>
  </si>
  <si>
    <t>償却資産申告書、種類別明細書を過年度分も出力する機能はありません</t>
    <phoneticPr fontId="6"/>
  </si>
  <si>
    <t>Req291</t>
  </si>
  <si>
    <t>税額計算用の償却計算できること</t>
  </si>
  <si>
    <t>会計期間とは別に1月-12月のサイクルで償却計算を行い、自治体別の償却資産税額を計算する機能</t>
  </si>
  <si>
    <t xml:space="preserve">
</t>
    <phoneticPr fontId="24"/>
  </si>
  <si>
    <r>
      <t>会計期間（1月-12月）のサイクルで償却計算を行い、自治体別の償却資産税額を計算する機能を開発。</t>
    </r>
    <r>
      <rPr>
        <b/>
        <u/>
        <sz val="9"/>
        <rFont val="メイリオ"/>
        <family val="3"/>
        <charset val="128"/>
      </rPr>
      <t xml:space="preserve">
</t>
    </r>
    <r>
      <rPr>
        <b/>
        <sz val="9"/>
        <rFont val="メイリオ"/>
        <family val="3"/>
        <charset val="128"/>
      </rPr>
      <t>⇒3/21　標準機能で対応</t>
    </r>
    <rPh sb="55" eb="59">
      <t>ヒョウジュンキノウ</t>
    </rPh>
    <rPh sb="60" eb="62">
      <t>タイオウ</t>
    </rPh>
    <phoneticPr fontId="6"/>
  </si>
  <si>
    <t>Req292</t>
  </si>
  <si>
    <t>固定資産台帳を出力・管理できること</t>
    <rPh sb="7" eb="9">
      <t>シュツリョク</t>
    </rPh>
    <rPh sb="10" eb="12">
      <t>カンリ</t>
    </rPh>
    <phoneticPr fontId="3"/>
  </si>
  <si>
    <t>固定資産台帳を出力・管理する機能</t>
    <rPh sb="7" eb="9">
      <t>シュツリョク</t>
    </rPh>
    <phoneticPr fontId="3"/>
  </si>
  <si>
    <t>標準機能：固定資産＞固定資産＞固定資産(帳簿)
⇒固定資産機能を使用
⇒固定資産画面よりExcel出力する(カスタマイズビューを使用し出力項目を調整することも可能)</t>
    <phoneticPr fontId="6"/>
  </si>
  <si>
    <t>Req293</t>
  </si>
  <si>
    <t>固定資産の詳細情報をそのまま、または、複数条件で集計して出力できること</t>
    <rPh sb="5" eb="7">
      <t>ショウサイ</t>
    </rPh>
    <rPh sb="7" eb="9">
      <t>ジョウホウ</t>
    </rPh>
    <rPh sb="24" eb="26">
      <t>シュウケイ</t>
    </rPh>
    <phoneticPr fontId="3"/>
  </si>
  <si>
    <t>部門、種類、構造用途、分類、設置場所、資産番号等の項目を集計キーとして集計し出力する機能</t>
    <rPh sb="0" eb="2">
      <t>ブモン</t>
    </rPh>
    <phoneticPr fontId="3"/>
  </si>
  <si>
    <t>標準機能：固定資産＞固定資産＞固定資産(帳簿)
⇒固定資産機能を使用
⇒一旦、固定資産画面よりExcel出力しその後、出力されたExcelにて編集(カスタマイズビューを使用し出力項目を調整することも可能</t>
    <phoneticPr fontId="6"/>
  </si>
  <si>
    <t>Req294</t>
  </si>
  <si>
    <t>固定資産の処理区分(移動、分割、除却等)毎に明細を出力できること</t>
    <rPh sb="5" eb="9">
      <t>ショリクブン</t>
    </rPh>
    <rPh sb="10" eb="12">
      <t>イドウ</t>
    </rPh>
    <rPh sb="13" eb="15">
      <t>ブンカツ</t>
    </rPh>
    <rPh sb="16" eb="18">
      <t>ジョキャク</t>
    </rPh>
    <rPh sb="18" eb="19">
      <t>ナド</t>
    </rPh>
    <rPh sb="20" eb="21">
      <t>ゴト</t>
    </rPh>
    <rPh sb="22" eb="24">
      <t>メイサイ</t>
    </rPh>
    <phoneticPr fontId="3"/>
  </si>
  <si>
    <t>固定資産の処理区分(移動、分割、除却等)毎に明細を出力する機能</t>
    <rPh sb="5" eb="9">
      <t>ショリクブン</t>
    </rPh>
    <rPh sb="10" eb="12">
      <t>イドウ</t>
    </rPh>
    <rPh sb="13" eb="15">
      <t>ブンカツ</t>
    </rPh>
    <rPh sb="16" eb="18">
      <t>ジョキャク</t>
    </rPh>
    <rPh sb="18" eb="19">
      <t>ナド</t>
    </rPh>
    <rPh sb="20" eb="21">
      <t>ゴト</t>
    </rPh>
    <rPh sb="22" eb="24">
      <t>メイサイ</t>
    </rPh>
    <rPh sb="29" eb="31">
      <t>キノウ</t>
    </rPh>
    <phoneticPr fontId="3"/>
  </si>
  <si>
    <t>Req295</t>
  </si>
  <si>
    <t>建設仮勘定計上に必要な情報を入力したうえ、登録処理できること、または、他システムで登録された建設仮勘定のデータを連携して計上できること</t>
  </si>
  <si>
    <t>建設仮勘定を勘定科目とした仕訳について、建設仮勘定として必要な情報を入力・計上する機能</t>
  </si>
  <si>
    <t>他システムからの連携はI/F開発が必要になります。
他システムからの連携は楽楽精算になりますか？
現状の建設仮勘定の運用方法について教えてください。</t>
    <rPh sb="0" eb="1">
      <t>タ</t>
    </rPh>
    <rPh sb="8" eb="10">
      <t>レンケイ</t>
    </rPh>
    <rPh sb="14" eb="16">
      <t>カイハツ</t>
    </rPh>
    <rPh sb="17" eb="19">
      <t>ヒツヨウ</t>
    </rPh>
    <rPh sb="27" eb="28">
      <t>タ</t>
    </rPh>
    <rPh sb="35" eb="37">
      <t>レンケイ</t>
    </rPh>
    <rPh sb="38" eb="42">
      <t>ラクラクセイサン</t>
    </rPh>
    <rPh sb="50" eb="52">
      <t>ゲンジョウ</t>
    </rPh>
    <rPh sb="53" eb="58">
      <t>ケンセツカリカンジョウ</t>
    </rPh>
    <rPh sb="59" eb="61">
      <t>ウンヨウ</t>
    </rPh>
    <rPh sb="61" eb="63">
      <t>ホウホウ</t>
    </rPh>
    <rPh sb="67" eb="68">
      <t>オシ</t>
    </rPh>
    <phoneticPr fontId="6"/>
  </si>
  <si>
    <t>固定資産仕訳帳でマニュアルで振替える</t>
    <phoneticPr fontId="6"/>
  </si>
  <si>
    <t>Req296</t>
  </si>
  <si>
    <t>複数の建設仮勘定から、一つの資産または費用への振替できること</t>
  </si>
  <si>
    <t>複数の建設仮勘定から、一つの資産または費用にまとめて振替える機能</t>
  </si>
  <si>
    <t>固定資産仕訳帳でマニュアルでまとめて振替える</t>
    <phoneticPr fontId="6"/>
  </si>
  <si>
    <t>Req297</t>
  </si>
  <si>
    <t>複数の建設仮勘定から、複数の資産または費用への振替できること</t>
  </si>
  <si>
    <t>複数の建設仮勘定から、複数の資産または費用への振替える機能</t>
  </si>
  <si>
    <t xml:space="preserve">固定資産仕訳帳でマニュアルで振替える
</t>
    <phoneticPr fontId="24"/>
  </si>
  <si>
    <t>Req298</t>
  </si>
  <si>
    <t>一つの建設仮勘定から、複数建設仮勘定への分割できること</t>
    <rPh sb="0" eb="1">
      <t>ヒト</t>
    </rPh>
    <rPh sb="3" eb="8">
      <t>ケンセツカリカンジョウ</t>
    </rPh>
    <phoneticPr fontId="3"/>
  </si>
  <si>
    <t>一つの建設仮勘定を複数の建設仮勘定に分割する機能</t>
    <rPh sb="0" eb="1">
      <t>ヒト</t>
    </rPh>
    <phoneticPr fontId="3"/>
  </si>
  <si>
    <t>Req299</t>
    <phoneticPr fontId="6"/>
  </si>
  <si>
    <t>建設仮勘定の詳細情報をそのまま、または、複数条件で集計して出力できること</t>
    <rPh sb="0" eb="5">
      <t>ケンセツカリカンジョウ</t>
    </rPh>
    <phoneticPr fontId="3"/>
  </si>
  <si>
    <t>建設仮勘定の残高を、取得日、稼働予定日、部門などの条件で抽出し、建設仮勘定明細を出力する機能</t>
    <rPh sb="6" eb="8">
      <t>ザンダカ</t>
    </rPh>
    <rPh sb="14" eb="16">
      <t>カドウ</t>
    </rPh>
    <rPh sb="16" eb="18">
      <t>ヨテイ</t>
    </rPh>
    <rPh sb="18" eb="19">
      <t>ビ</t>
    </rPh>
    <rPh sb="37" eb="39">
      <t>メイサイ</t>
    </rPh>
    <phoneticPr fontId="3"/>
  </si>
  <si>
    <t>Req300</t>
  </si>
  <si>
    <t>建設仮勘定の関連情報の管理ができること</t>
    <phoneticPr fontId="6"/>
  </si>
  <si>
    <t>建設仮勘定に関する基本項目（部門・計上額・科目）、任意項目、申告項目、減損項目、仕訳情報を管理する機能</t>
    <rPh sb="14" eb="16">
      <t>ブモン</t>
    </rPh>
    <phoneticPr fontId="3"/>
  </si>
  <si>
    <t>Req301</t>
  </si>
  <si>
    <t>長期滞留している建設仮勘定残高の情報を抽出し、本勘定振替等の後続処理が必要か否か判断できること</t>
    <rPh sb="8" eb="10">
      <t>ケンセツ</t>
    </rPh>
    <rPh sb="13" eb="15">
      <t>ザンダカ</t>
    </rPh>
    <rPh sb="16" eb="18">
      <t>ジョウホウ</t>
    </rPh>
    <rPh sb="19" eb="21">
      <t>チュウシュツ</t>
    </rPh>
    <rPh sb="23" eb="26">
      <t>ホンカンジョウ</t>
    </rPh>
    <rPh sb="26" eb="28">
      <t>フリカエ</t>
    </rPh>
    <rPh sb="28" eb="29">
      <t>トウ</t>
    </rPh>
    <rPh sb="30" eb="32">
      <t>コウゾク</t>
    </rPh>
    <rPh sb="32" eb="34">
      <t>ショリ</t>
    </rPh>
    <rPh sb="35" eb="37">
      <t>ヒツヨウ</t>
    </rPh>
    <rPh sb="38" eb="39">
      <t>イナ</t>
    </rPh>
    <rPh sb="40" eb="42">
      <t>ハンダン</t>
    </rPh>
    <phoneticPr fontId="3"/>
  </si>
  <si>
    <t>長期滞留の建設仮勘定残高の情報を表示・出力する機能</t>
    <rPh sb="0" eb="4">
      <t>チョウキタイリュウ</t>
    </rPh>
    <rPh sb="5" eb="12">
      <t>ケンセツカリカンジョウザンダカ</t>
    </rPh>
    <rPh sb="13" eb="15">
      <t>ジョウホウ</t>
    </rPh>
    <rPh sb="16" eb="18">
      <t>ヒョウジ</t>
    </rPh>
    <rPh sb="19" eb="21">
      <t>シュツリョク</t>
    </rPh>
    <rPh sb="23" eb="25">
      <t>キノウ</t>
    </rPh>
    <phoneticPr fontId="3"/>
  </si>
  <si>
    <t>11. 資産リース管理</t>
    <rPh sb="4" eb="6">
      <t>シサン</t>
    </rPh>
    <phoneticPr fontId="6"/>
  </si>
  <si>
    <t>標準機能：一般会計＞照会及びレポート＞試算表</t>
  </si>
  <si>
    <t>Req302</t>
  </si>
  <si>
    <t>リース資産の新規登録ができること（固定資産番号の取得、固定資産台帳への登録、リース資産登録時に必要な仕訳計上をすべて一本で行う）</t>
    <rPh sb="3" eb="5">
      <t>シサン</t>
    </rPh>
    <rPh sb="6" eb="8">
      <t>シンキ</t>
    </rPh>
    <rPh sb="8" eb="10">
      <t>トウロク</t>
    </rPh>
    <rPh sb="17" eb="19">
      <t>コテイ</t>
    </rPh>
    <rPh sb="19" eb="21">
      <t>シサン</t>
    </rPh>
    <rPh sb="21" eb="23">
      <t>バンゴウ</t>
    </rPh>
    <rPh sb="24" eb="26">
      <t>シュトク</t>
    </rPh>
    <rPh sb="27" eb="29">
      <t>コテイ</t>
    </rPh>
    <rPh sb="29" eb="31">
      <t>シサン</t>
    </rPh>
    <rPh sb="31" eb="33">
      <t>ダイチョウ</t>
    </rPh>
    <rPh sb="35" eb="37">
      <t>トウロク</t>
    </rPh>
    <rPh sb="41" eb="43">
      <t>シサン</t>
    </rPh>
    <rPh sb="43" eb="45">
      <t>トウロク</t>
    </rPh>
    <rPh sb="45" eb="46">
      <t>ジ</t>
    </rPh>
    <rPh sb="47" eb="49">
      <t>ヒツヨウ</t>
    </rPh>
    <rPh sb="50" eb="52">
      <t>シワケ</t>
    </rPh>
    <rPh sb="52" eb="54">
      <t>ケイジョウ</t>
    </rPh>
    <rPh sb="58" eb="60">
      <t>イッポン</t>
    </rPh>
    <rPh sb="61" eb="62">
      <t>オコナ</t>
    </rPh>
    <phoneticPr fontId="3"/>
  </si>
  <si>
    <t>リース資産の新規登録により、固定資産番号の取得、固定資産台帳への登録、リース資産登録時に必要な仕訳計上がすべて同時に行われる機能</t>
    <rPh sb="8" eb="10">
      <t>トウロク</t>
    </rPh>
    <rPh sb="14" eb="16">
      <t>コテイ</t>
    </rPh>
    <rPh sb="21" eb="23">
      <t>シュトク</t>
    </rPh>
    <rPh sb="55" eb="57">
      <t>ドウジ</t>
    </rPh>
    <rPh sb="58" eb="59">
      <t>オコナ</t>
    </rPh>
    <rPh sb="62" eb="64">
      <t>キノウ</t>
    </rPh>
    <phoneticPr fontId="3"/>
  </si>
  <si>
    <t>リース資産を全て固定資産と紐付けて管理しますか</t>
    <rPh sb="3" eb="5">
      <t>シサン</t>
    </rPh>
    <rPh sb="6" eb="7">
      <t>スベ</t>
    </rPh>
    <rPh sb="8" eb="12">
      <t>コテイシサン</t>
    </rPh>
    <rPh sb="13" eb="15">
      <t>ヒモツ</t>
    </rPh>
    <rPh sb="17" eb="19">
      <t>カンリ</t>
    </rPh>
    <phoneticPr fontId="6"/>
  </si>
  <si>
    <r>
      <t xml:space="preserve">
</t>
    </r>
    <r>
      <rPr>
        <b/>
        <sz val="9"/>
        <rFont val="メイリオ"/>
        <family val="3"/>
        <charset val="128"/>
      </rPr>
      <t>50万以上⇒300万以上</t>
    </r>
    <r>
      <rPr>
        <sz val="9"/>
        <rFont val="メイリオ"/>
        <family val="3"/>
        <charset val="128"/>
      </rPr>
      <t>はリースを固定資産登録する
同じ仕訳が発生するのであれば紐付ける必要はない</t>
    </r>
    <rPh sb="10" eb="11">
      <t>マン</t>
    </rPh>
    <rPh sb="11" eb="13">
      <t>イジョウ</t>
    </rPh>
    <phoneticPr fontId="6"/>
  </si>
  <si>
    <t>同時に登録することはできず、初めに固定資産登録を行い、次にリース資産登録を実施。その後、固定資産にリース資産IDを紐づける(固定資産番号の取得)手順となる。</t>
    <phoneticPr fontId="6"/>
  </si>
  <si>
    <t>Req303</t>
  </si>
  <si>
    <t>リースの重要性判定の基準額をシステム上指定し、登録時に入力したリース料総額にから重要性判定できること（1契約に複数台リースの場合は1台あたりで判定。1台当たりのリース料総額が50万円未満は登録対象外）</t>
    <rPh sb="4" eb="7">
      <t>ジュウヨウセイ</t>
    </rPh>
    <rPh sb="7" eb="9">
      <t>ハンテイ</t>
    </rPh>
    <rPh sb="18" eb="19">
      <t>ジョウ</t>
    </rPh>
    <rPh sb="23" eb="25">
      <t>トウロク</t>
    </rPh>
    <rPh sb="25" eb="26">
      <t>ジ</t>
    </rPh>
    <rPh sb="27" eb="29">
      <t>ニュウリョク</t>
    </rPh>
    <rPh sb="34" eb="35">
      <t>リョウ</t>
    </rPh>
    <rPh sb="35" eb="37">
      <t>ソウガク</t>
    </rPh>
    <rPh sb="40" eb="43">
      <t>ジュウヨウセイ</t>
    </rPh>
    <rPh sb="43" eb="45">
      <t>ハンテイ</t>
    </rPh>
    <rPh sb="52" eb="54">
      <t>ケイヤク</t>
    </rPh>
    <rPh sb="55" eb="57">
      <t>フクスウ</t>
    </rPh>
    <rPh sb="57" eb="58">
      <t>ダイ</t>
    </rPh>
    <rPh sb="62" eb="64">
      <t>バアイ</t>
    </rPh>
    <rPh sb="66" eb="67">
      <t>ダイ</t>
    </rPh>
    <rPh sb="71" eb="73">
      <t>ハンテイ</t>
    </rPh>
    <rPh sb="75" eb="76">
      <t>ダイ</t>
    </rPh>
    <rPh sb="76" eb="77">
      <t>ア</t>
    </rPh>
    <phoneticPr fontId="3"/>
  </si>
  <si>
    <t>重要性判定に使用するリース料総額の基準額と判定単位(1契約に複数台リースの場合は1台あたりで判定)をユーザ側で指定する機能</t>
    <rPh sb="21" eb="23">
      <t>ハンテイ</t>
    </rPh>
    <rPh sb="23" eb="25">
      <t>タンイ</t>
    </rPh>
    <phoneticPr fontId="3"/>
  </si>
  <si>
    <t>重要性判定に使用する判定条件とは何ですか</t>
    <rPh sb="16" eb="17">
      <t>ナン</t>
    </rPh>
    <phoneticPr fontId="6"/>
  </si>
  <si>
    <t>一時的にしきい値を引き上げて登録することで資産計上されない少額リースでの登録が可能です。
⇒資産計上されないリース情報が登録可能</t>
    <rPh sb="0" eb="3">
      <t>イチジテキ</t>
    </rPh>
    <rPh sb="7" eb="8">
      <t>チ</t>
    </rPh>
    <rPh sb="9" eb="10">
      <t>ヒ</t>
    </rPh>
    <rPh sb="11" eb="12">
      <t>ア</t>
    </rPh>
    <rPh sb="14" eb="16">
      <t>トウロク</t>
    </rPh>
    <rPh sb="21" eb="25">
      <t>シサンケイジョウ</t>
    </rPh>
    <rPh sb="29" eb="31">
      <t>ショウガク</t>
    </rPh>
    <rPh sb="36" eb="38">
      <t>トウロク</t>
    </rPh>
    <rPh sb="39" eb="41">
      <t>カノウ</t>
    </rPh>
    <rPh sb="57" eb="59">
      <t>ジョウホウ</t>
    </rPh>
    <rPh sb="60" eb="64">
      <t>トウロクカノウ</t>
    </rPh>
    <phoneticPr fontId="6"/>
  </si>
  <si>
    <t>Req304</t>
  </si>
  <si>
    <r>
      <rPr>
        <strike/>
        <sz val="9"/>
        <rFont val="メイリオ"/>
        <family val="3"/>
        <charset val="128"/>
      </rPr>
      <t xml:space="preserve">月々のリース料を前払リース料分も自動調整したうえで登録できること
</t>
    </r>
    <r>
      <rPr>
        <sz val="9"/>
        <rFont val="メイリオ"/>
        <family val="3"/>
        <charset val="128"/>
      </rPr>
      <t>リース総額と利率がわかっており割引後の取得価格が不明な場合に自動計算されること</t>
    </r>
    <rPh sb="8" eb="10">
      <t>マエバラ</t>
    </rPh>
    <rPh sb="13" eb="14">
      <t>リョウ</t>
    </rPh>
    <rPh sb="14" eb="15">
      <t>ブン</t>
    </rPh>
    <rPh sb="16" eb="18">
      <t>ジドウ</t>
    </rPh>
    <rPh sb="18" eb="20">
      <t>チョウセイ</t>
    </rPh>
    <rPh sb="25" eb="27">
      <t>トウロク</t>
    </rPh>
    <rPh sb="36" eb="38">
      <t>ソウガク</t>
    </rPh>
    <rPh sb="39" eb="41">
      <t>リリツ</t>
    </rPh>
    <rPh sb="48" eb="51">
      <t>ワリビキゴ</t>
    </rPh>
    <rPh sb="52" eb="56">
      <t>シュトクカカク</t>
    </rPh>
    <rPh sb="57" eb="59">
      <t>フメイ</t>
    </rPh>
    <rPh sb="60" eb="62">
      <t>バアイ</t>
    </rPh>
    <rPh sb="63" eb="65">
      <t>ジドウ</t>
    </rPh>
    <rPh sb="65" eb="67">
      <t>ケイサン</t>
    </rPh>
    <phoneticPr fontId="3"/>
  </si>
  <si>
    <t>前払リース料を自動調整して月々のリース料を登録する機能</t>
    <rPh sb="7" eb="11">
      <t>ジドウチョウセイ</t>
    </rPh>
    <phoneticPr fontId="3"/>
  </si>
  <si>
    <t>FO</t>
    <phoneticPr fontId="6"/>
  </si>
  <si>
    <t>資産リース＞リース＞リースの概要＞帳簿＞負債償却スケジュールで確認できる
⇒リスト出力も可能</t>
    <rPh sb="0" eb="2">
      <t>シサン</t>
    </rPh>
    <rPh sb="14" eb="16">
      <t>ガイヨウ</t>
    </rPh>
    <rPh sb="17" eb="19">
      <t>チョウボ</t>
    </rPh>
    <rPh sb="20" eb="22">
      <t>フサイ</t>
    </rPh>
    <rPh sb="22" eb="24">
      <t>ショウキャク</t>
    </rPh>
    <rPh sb="31" eb="33">
      <t>カクニン</t>
    </rPh>
    <rPh sb="41" eb="43">
      <t>シュツリョク</t>
    </rPh>
    <rPh sb="44" eb="46">
      <t>カノウ</t>
    </rPh>
    <phoneticPr fontId="6"/>
  </si>
  <si>
    <t>Req305</t>
  </si>
  <si>
    <t>初回リース期間満了後再リースする場合、帳簿から除却処理せず再リース登録できること</t>
    <rPh sb="10" eb="11">
      <t>サイ</t>
    </rPh>
    <rPh sb="16" eb="18">
      <t>バアイ</t>
    </rPh>
    <rPh sb="19" eb="21">
      <t>チョウボ</t>
    </rPh>
    <rPh sb="23" eb="25">
      <t>ジョキャク</t>
    </rPh>
    <rPh sb="25" eb="27">
      <t>ショリ</t>
    </rPh>
    <rPh sb="33" eb="35">
      <t>トウロク</t>
    </rPh>
    <phoneticPr fontId="3"/>
  </si>
  <si>
    <t>既存リース契約を再リース登録する機能</t>
    <rPh sb="0" eb="2">
      <t>キゾン</t>
    </rPh>
    <rPh sb="5" eb="7">
      <t>ケイヤク</t>
    </rPh>
    <phoneticPr fontId="3"/>
  </si>
  <si>
    <t xml:space="preserve">再リースの定義とはリース期間を延長することですか。それとも新規リース契約として登録し、全契約と関連付けることで対応可能ですか
</t>
    <rPh sb="0" eb="1">
      <t>サイ</t>
    </rPh>
    <rPh sb="5" eb="7">
      <t>テイギ</t>
    </rPh>
    <rPh sb="12" eb="14">
      <t>キカン</t>
    </rPh>
    <rPh sb="15" eb="17">
      <t>エンチョウ</t>
    </rPh>
    <rPh sb="29" eb="31">
      <t>シンキ</t>
    </rPh>
    <rPh sb="34" eb="36">
      <t>ケイヤク</t>
    </rPh>
    <rPh sb="39" eb="41">
      <t>トウロク</t>
    </rPh>
    <rPh sb="43" eb="46">
      <t>ゼンケイヤク</t>
    </rPh>
    <rPh sb="47" eb="50">
      <t>カンレンヅ</t>
    </rPh>
    <rPh sb="55" eb="57">
      <t>タイオウ</t>
    </rPh>
    <rPh sb="57" eb="59">
      <t>カノウ</t>
    </rPh>
    <phoneticPr fontId="6"/>
  </si>
  <si>
    <t>再リースの場合、新たにリースとして登録する。
⇒再リース前のリース情報との紐付けは必要ない</t>
    <rPh sb="0" eb="2">
      <t>ヒツヨウ</t>
    </rPh>
    <phoneticPr fontId="6"/>
  </si>
  <si>
    <t>Req306</t>
  </si>
  <si>
    <t>ファイナンスリース、オペレーティングリースを自動判定できること</t>
  </si>
  <si>
    <t>登録したリース契約がファイナンスリース、オペレーティングリースの自動で判定する機能</t>
  </si>
  <si>
    <t xml:space="preserve">標準機能：資産リース＞設定＞リース帳簿
帳簿機能内のリースタイプを「自動」と設定することでファイナンスリース、オペレーティングリースを自動で識別することが可能
</t>
    <phoneticPr fontId="6"/>
  </si>
  <si>
    <t>Req307</t>
  </si>
  <si>
    <t>利息計算、リース債務取崩額が自動計算できること</t>
    <rPh sb="14" eb="16">
      <t>ジドウ</t>
    </rPh>
    <phoneticPr fontId="3"/>
  </si>
  <si>
    <t>リース契約毎の利息計算、リース債務取崩額を自動計算する機能</t>
    <rPh sb="21" eb="23">
      <t>ジドウ</t>
    </rPh>
    <phoneticPr fontId="3"/>
  </si>
  <si>
    <t>標準機能：資産リース＞リース＞リース概要(帳簿＞職務＞支払スケジュール)
⇒支払スケジュール機能を使用
⇒固定資産画面よりExcel出力する(カスタマイズビューを使用し出力項目を調整することも可能)</t>
    <phoneticPr fontId="6"/>
  </si>
  <si>
    <t>Req308</t>
  </si>
  <si>
    <t>リース料総額、リース料現在価値、計算利子率が自動計算できること</t>
  </si>
  <si>
    <t>リース契約毎の、リース料総額、リース料現在価値、計算利子率を自動計算する機能</t>
  </si>
  <si>
    <t xml:space="preserve">標準機能：資産リース＞リース＞リース概要(帳簿＞職務＞支払スケジュール)
⇒支払スケジュール機能を使用
⇒固定資産画面よりExcel出力する(カスタマイズビューを使用し出力項目を調整することも可能)
</t>
    <rPh sb="18" eb="20">
      <t>ガイヨウ</t>
    </rPh>
    <rPh sb="21" eb="23">
      <t>チョウボ</t>
    </rPh>
    <rPh sb="24" eb="26">
      <t>ショクム</t>
    </rPh>
    <rPh sb="27" eb="29">
      <t>シハライ</t>
    </rPh>
    <rPh sb="38" eb="40">
      <t>シハライ</t>
    </rPh>
    <rPh sb="46" eb="48">
      <t>キノウ</t>
    </rPh>
    <rPh sb="49" eb="51">
      <t>シヨウ</t>
    </rPh>
    <rPh sb="81" eb="83">
      <t>シヨウ</t>
    </rPh>
    <rPh sb="84" eb="86">
      <t>シュツリョク</t>
    </rPh>
    <rPh sb="86" eb="88">
      <t>コウモク</t>
    </rPh>
    <rPh sb="89" eb="91">
      <t>チョウセイ</t>
    </rPh>
    <rPh sb="96" eb="98">
      <t>カノウ</t>
    </rPh>
    <phoneticPr fontId="24"/>
  </si>
  <si>
    <t>Req309</t>
  </si>
  <si>
    <t>未払リース消費税が計算・振替できること</t>
    <rPh sb="0" eb="2">
      <t>ミバライ</t>
    </rPh>
    <rPh sb="5" eb="8">
      <t>ショウヒゼイ</t>
    </rPh>
    <rPh sb="9" eb="11">
      <t>ケイサン</t>
    </rPh>
    <rPh sb="12" eb="14">
      <t>フリカエ</t>
    </rPh>
    <phoneticPr fontId="3"/>
  </si>
  <si>
    <t>リース契約ごとの未払消費税振替ができる機能</t>
    <rPh sb="13" eb="15">
      <t>フリカエ</t>
    </rPh>
    <phoneticPr fontId="3"/>
  </si>
  <si>
    <t xml:space="preserve">標準機能：一般会計＞仕訳入力＞一般仕訳帳
一般仕訳帳機能にてマニュアル処理で振替える
</t>
    <rPh sb="5" eb="9">
      <t>イッパンカイケイ</t>
    </rPh>
    <rPh sb="10" eb="12">
      <t>シワケ</t>
    </rPh>
    <rPh sb="12" eb="14">
      <t>ニュウリョク</t>
    </rPh>
    <rPh sb="21" eb="23">
      <t>イッパン</t>
    </rPh>
    <rPh sb="23" eb="26">
      <t>シワケチョウ</t>
    </rPh>
    <rPh sb="26" eb="28">
      <t>キノウ</t>
    </rPh>
    <rPh sb="35" eb="37">
      <t>ショリ</t>
    </rPh>
    <rPh sb="38" eb="39">
      <t>フ</t>
    </rPh>
    <rPh sb="39" eb="40">
      <t>カ</t>
    </rPh>
    <phoneticPr fontId="24"/>
  </si>
  <si>
    <t>Req310</t>
  </si>
  <si>
    <t>リースの中途解約処理ができること</t>
    <rPh sb="8" eb="10">
      <t>ショリ</t>
    </rPh>
    <phoneticPr fontId="3"/>
  </si>
  <si>
    <t>リースの中途解約時に、固定資産台帳からの除却とリース債務残高の取崩を行う機能</t>
    <rPh sb="8" eb="9">
      <t>ジ</t>
    </rPh>
    <rPh sb="11" eb="15">
      <t>コテイシサン</t>
    </rPh>
    <rPh sb="15" eb="17">
      <t>ダイチョウ</t>
    </rPh>
    <rPh sb="20" eb="22">
      <t>ジョキャク</t>
    </rPh>
    <rPh sb="26" eb="28">
      <t>サイム</t>
    </rPh>
    <rPh sb="28" eb="30">
      <t>ザンダカ</t>
    </rPh>
    <rPh sb="31" eb="33">
      <t>トリクズシ</t>
    </rPh>
    <rPh sb="34" eb="35">
      <t>オコナ</t>
    </rPh>
    <phoneticPr fontId="3"/>
  </si>
  <si>
    <t xml:space="preserve">標準機能：資産リース＞リース＞リース概要(リース＞終了提案)
⇒終了提案機能を実施することで対応する
</t>
    <rPh sb="0" eb="2">
      <t>ヒョウジュン</t>
    </rPh>
    <rPh sb="2" eb="4">
      <t>キノウ</t>
    </rPh>
    <rPh sb="5" eb="7">
      <t>シサン</t>
    </rPh>
    <rPh sb="18" eb="20">
      <t>ガイヨウ</t>
    </rPh>
    <rPh sb="25" eb="27">
      <t>シュウリョウ</t>
    </rPh>
    <rPh sb="27" eb="29">
      <t>テイアン</t>
    </rPh>
    <rPh sb="32" eb="34">
      <t>シュウリョウ</t>
    </rPh>
    <rPh sb="34" eb="36">
      <t>テイアン</t>
    </rPh>
    <rPh sb="36" eb="38">
      <t>キノウ</t>
    </rPh>
    <rPh sb="39" eb="41">
      <t>ジッシ</t>
    </rPh>
    <rPh sb="46" eb="48">
      <t>タイオウ</t>
    </rPh>
    <phoneticPr fontId="24"/>
  </si>
  <si>
    <t>Req311</t>
  </si>
  <si>
    <t>日本基準/IFRSの両方のリース契約台帳が出力できること</t>
    <rPh sb="16" eb="18">
      <t>ケイヤク</t>
    </rPh>
    <rPh sb="18" eb="20">
      <t>ダイチョウ</t>
    </rPh>
    <rPh sb="21" eb="23">
      <t>シュツリョク</t>
    </rPh>
    <phoneticPr fontId="3"/>
  </si>
  <si>
    <t>日本基準/IFRSのリース契約台帳を作成・出力する機能</t>
    <rPh sb="0" eb="4">
      <t>ニホンキジュン</t>
    </rPh>
    <rPh sb="21" eb="23">
      <t>シュツリョク</t>
    </rPh>
    <phoneticPr fontId="3"/>
  </si>
  <si>
    <t>台帳の定義をご提示ください
どのような内容の台帳が必要ですか
⇒固定資産一覧との違いはどのような点ですか</t>
    <rPh sb="0" eb="2">
      <t>ダイチョウ</t>
    </rPh>
    <rPh sb="3" eb="5">
      <t>テイギ</t>
    </rPh>
    <rPh sb="7" eb="9">
      <t>テイジ</t>
    </rPh>
    <rPh sb="19" eb="21">
      <t>ナイヨウ</t>
    </rPh>
    <rPh sb="22" eb="24">
      <t>ダイチョウ</t>
    </rPh>
    <rPh sb="25" eb="27">
      <t>ヒツヨウ</t>
    </rPh>
    <rPh sb="32" eb="36">
      <t>コテイシサン</t>
    </rPh>
    <rPh sb="36" eb="38">
      <t>イチラン</t>
    </rPh>
    <rPh sb="40" eb="41">
      <t>チガ</t>
    </rPh>
    <rPh sb="48" eb="49">
      <t>テン</t>
    </rPh>
    <phoneticPr fontId="6"/>
  </si>
  <si>
    <t>違いはない</t>
    <rPh sb="0" eb="1">
      <t>チガ</t>
    </rPh>
    <phoneticPr fontId="6"/>
  </si>
  <si>
    <t>固定資産＞照会およびレポート＞固定資産の一覧レポートより一覧レポートをEXCEL出力し加工することで対応が可能。なお要求項目が不足している場合、別のレポートをEXCEL出力し、結合し整える。</t>
    <rPh sb="0" eb="4">
      <t>コテイシサン</t>
    </rPh>
    <rPh sb="5" eb="7">
      <t>ショウカイ</t>
    </rPh>
    <rPh sb="15" eb="19">
      <t>コテイシサン</t>
    </rPh>
    <rPh sb="20" eb="22">
      <t>イチラン</t>
    </rPh>
    <rPh sb="28" eb="30">
      <t>イチラン</t>
    </rPh>
    <rPh sb="40" eb="42">
      <t>シュツリョク</t>
    </rPh>
    <rPh sb="43" eb="45">
      <t>カコウ</t>
    </rPh>
    <rPh sb="50" eb="52">
      <t>タイオウ</t>
    </rPh>
    <rPh sb="53" eb="55">
      <t>カノウ</t>
    </rPh>
    <rPh sb="58" eb="60">
      <t>ヨウキュウ</t>
    </rPh>
    <rPh sb="60" eb="62">
      <t>コウモク</t>
    </rPh>
    <rPh sb="63" eb="65">
      <t>フソク</t>
    </rPh>
    <rPh sb="69" eb="71">
      <t>バアイ</t>
    </rPh>
    <rPh sb="72" eb="73">
      <t>ベツ</t>
    </rPh>
    <rPh sb="84" eb="86">
      <t>シュツリョク</t>
    </rPh>
    <rPh sb="88" eb="90">
      <t>ケツゴウ</t>
    </rPh>
    <rPh sb="91" eb="92">
      <t>トトノ</t>
    </rPh>
    <phoneticPr fontId="6"/>
  </si>
  <si>
    <t>Req312</t>
  </si>
  <si>
    <t>リース債務に関する1年以内（短期）と1年以上（長期）の残高出力と長短組替ができること</t>
    <rPh sb="32" eb="34">
      <t>チョウタン</t>
    </rPh>
    <rPh sb="34" eb="36">
      <t>クミカエ</t>
    </rPh>
    <phoneticPr fontId="3"/>
  </si>
  <si>
    <t>リース債務について、1年以内（短期）と1年以上（長期）の残高が把握でき、長期から短期への振替を自動で行う機能</t>
    <rPh sb="36" eb="38">
      <t>チョウキ</t>
    </rPh>
    <rPh sb="40" eb="42">
      <t>タンキ</t>
    </rPh>
    <rPh sb="44" eb="46">
      <t>フリカエ</t>
    </rPh>
    <rPh sb="47" eb="49">
      <t>ジドウ</t>
    </rPh>
    <rPh sb="50" eb="51">
      <t>オコナ</t>
    </rPh>
    <rPh sb="52" eb="54">
      <t>キノウ</t>
    </rPh>
    <phoneticPr fontId="3"/>
  </si>
  <si>
    <r>
      <rPr>
        <strike/>
        <sz val="9"/>
        <rFont val="メイリオ"/>
        <family val="3"/>
        <charset val="128"/>
      </rPr>
      <t>債務期間(残)を判定条件とした長期から短期への振替を自動で行う機能はありません</t>
    </r>
    <r>
      <rPr>
        <sz val="9"/>
        <rFont val="メイリオ"/>
        <family val="3"/>
        <charset val="128"/>
      </rPr>
      <t xml:space="preserve">
</t>
    </r>
    <phoneticPr fontId="6"/>
  </si>
  <si>
    <r>
      <t xml:space="preserve">固定資産⇒流動資産への振替
</t>
    </r>
    <r>
      <rPr>
        <b/>
        <sz val="9"/>
        <rFont val="メイリオ"/>
        <family val="3"/>
        <charset val="128"/>
      </rPr>
      <t>調査結果：</t>
    </r>
    <r>
      <rPr>
        <sz val="9"/>
        <rFont val="メイリオ"/>
        <family val="3"/>
        <charset val="128"/>
      </rPr>
      <t>標準機能として</t>
    </r>
    <r>
      <rPr>
        <b/>
        <u/>
        <sz val="9"/>
        <rFont val="メイリオ"/>
        <family val="3"/>
        <charset val="128"/>
      </rPr>
      <t>終了１年前</t>
    </r>
    <r>
      <rPr>
        <sz val="9"/>
        <rFont val="メイリオ"/>
        <family val="3"/>
        <charset val="128"/>
      </rPr>
      <t>から長期⇒短期に組み替えられた状態でスケジュールされております。
⇒組み替えた状態でのレポート出力も可能です</t>
    </r>
    <rPh sb="5" eb="9">
      <t>リュウドウシサン</t>
    </rPh>
    <rPh sb="11" eb="13">
      <t>フリカエ</t>
    </rPh>
    <rPh sb="14" eb="16">
      <t>チョウサ</t>
    </rPh>
    <rPh sb="16" eb="18">
      <t>ケッカ</t>
    </rPh>
    <rPh sb="65" eb="66">
      <t>ク</t>
    </rPh>
    <rPh sb="67" eb="68">
      <t>カ</t>
    </rPh>
    <rPh sb="70" eb="72">
      <t>ジョウタイ</t>
    </rPh>
    <rPh sb="78" eb="80">
      <t>シュツリョク</t>
    </rPh>
    <rPh sb="81" eb="83">
      <t>カノウ</t>
    </rPh>
    <phoneticPr fontId="6"/>
  </si>
  <si>
    <t>11. 資産リース管理</t>
    <phoneticPr fontId="6"/>
  </si>
  <si>
    <r>
      <rPr>
        <b/>
        <sz val="9"/>
        <rFont val="メイリオ"/>
        <family val="3"/>
        <charset val="128"/>
      </rPr>
      <t>【ADD‐ON】</t>
    </r>
    <r>
      <rPr>
        <sz val="9"/>
        <rFont val="メイリオ"/>
        <family val="3"/>
        <charset val="128"/>
      </rPr>
      <t xml:space="preserve">
長短期リースの組替はできるものの現仕様では長期⇒短期への組替となっており日本の会計基準では短期⇒長期の組替が通常となる。</t>
    </r>
    <r>
      <rPr>
        <b/>
        <u/>
        <sz val="9"/>
        <rFont val="メイリオ"/>
        <family val="3"/>
        <charset val="128"/>
      </rPr>
      <t>改修はMAST
現在、MSに仕様の確認中</t>
    </r>
    <rPh sb="9" eb="10">
      <t>チョウ</t>
    </rPh>
    <rPh sb="10" eb="12">
      <t>タンキ</t>
    </rPh>
    <rPh sb="16" eb="18">
      <t>クミカエ</t>
    </rPh>
    <rPh sb="25" eb="26">
      <t>ゲン</t>
    </rPh>
    <rPh sb="26" eb="28">
      <t>シヨウ</t>
    </rPh>
    <rPh sb="30" eb="32">
      <t>チョウキ</t>
    </rPh>
    <rPh sb="33" eb="35">
      <t>タンキ</t>
    </rPh>
    <rPh sb="37" eb="39">
      <t>クミカエ</t>
    </rPh>
    <rPh sb="45" eb="47">
      <t>ニホン</t>
    </rPh>
    <rPh sb="48" eb="50">
      <t>カイケイ</t>
    </rPh>
    <rPh sb="50" eb="52">
      <t>キジュン</t>
    </rPh>
    <rPh sb="54" eb="56">
      <t>タンキ</t>
    </rPh>
    <rPh sb="57" eb="59">
      <t>チョウキ</t>
    </rPh>
    <rPh sb="60" eb="62">
      <t>クミカエ</t>
    </rPh>
    <rPh sb="63" eb="65">
      <t>ツウジョウ</t>
    </rPh>
    <rPh sb="69" eb="71">
      <t>カイシュウ</t>
    </rPh>
    <rPh sb="77" eb="79">
      <t>ゲンザイ</t>
    </rPh>
    <rPh sb="83" eb="85">
      <t>シヨウ</t>
    </rPh>
    <rPh sb="86" eb="88">
      <t>カクニン</t>
    </rPh>
    <rPh sb="88" eb="89">
      <t>チュウ</t>
    </rPh>
    <phoneticPr fontId="6"/>
  </si>
  <si>
    <t>要確認</t>
    <rPh sb="0" eb="3">
      <t>ヨウカクニン</t>
    </rPh>
    <phoneticPr fontId="6"/>
  </si>
  <si>
    <t>MSの見解次第</t>
    <rPh sb="3" eb="5">
      <t>ケンカイ</t>
    </rPh>
    <rPh sb="5" eb="7">
      <t>シダイ</t>
    </rPh>
    <phoneticPr fontId="6"/>
  </si>
  <si>
    <t>Req313</t>
  </si>
  <si>
    <t>リース会社別の債務残高出力ができること</t>
    <rPh sb="3" eb="5">
      <t>カイシャ</t>
    </rPh>
    <rPh sb="5" eb="6">
      <t>ベツ</t>
    </rPh>
    <rPh sb="7" eb="9">
      <t>サイム</t>
    </rPh>
    <rPh sb="9" eb="11">
      <t>ザンダカ</t>
    </rPh>
    <rPh sb="11" eb="13">
      <t>シュツリョク</t>
    </rPh>
    <phoneticPr fontId="3"/>
  </si>
  <si>
    <t>リース会社別の債務残高表を作成・出力する機能</t>
  </si>
  <si>
    <t xml:space="preserve">標準機能：一般会計＞照会及びレポート＞試算表
財務分析コードを定義の上、試算表を発行することで、仕入先別勘定残高(仕入先＝リース会社)としての情報が抽出される
</t>
    <phoneticPr fontId="24"/>
  </si>
  <si>
    <t>Req314</t>
  </si>
  <si>
    <t>振込手数料相殺について、総合振込・期日振込・当座支払で、仕入先マスタが「手数料相手負担」の場合、手数料を差し引いて振込を行うことができること。</t>
    <rPh sb="60" eb="61">
      <t>オコナ</t>
    </rPh>
    <phoneticPr fontId="24"/>
  </si>
  <si>
    <t>QA一覧_債務.xlsx No9より
FOでの支払手数料を使用した際の仕訳は以下になります。
買掛金　500 /預金　500
現金　　210 /支払手数料　200
  　　　　　   仮払消費税　10</t>
    <rPh sb="2" eb="4">
      <t>イチラン</t>
    </rPh>
    <rPh sb="5" eb="7">
      <t>サイム</t>
    </rPh>
    <rPh sb="24" eb="29">
      <t>シハライテスウリョウ</t>
    </rPh>
    <rPh sb="30" eb="32">
      <t>シヨウ</t>
    </rPh>
    <rPh sb="34" eb="35">
      <t>サイ</t>
    </rPh>
    <rPh sb="36" eb="38">
      <t>シワケ</t>
    </rPh>
    <rPh sb="39" eb="41">
      <t>イカ</t>
    </rPh>
    <phoneticPr fontId="6"/>
  </si>
  <si>
    <t>支払手数料マスタの設定し、使用する。</t>
    <rPh sb="0" eb="5">
      <t>シハライテスウリョウ</t>
    </rPh>
    <rPh sb="9" eb="11">
      <t>セッテイ</t>
    </rPh>
    <rPh sb="13" eb="15">
      <t>シヨウ</t>
    </rPh>
    <phoneticPr fontId="6"/>
  </si>
  <si>
    <t>2024/3/26　ここから</t>
    <phoneticPr fontId="6"/>
  </si>
  <si>
    <t>Req315</t>
  </si>
  <si>
    <t>振込手数料金額を、ＳＳＪ・ＳＥＪ・ＳＬＪ　それぞれ会社別、金額別に設定できること。</t>
  </si>
  <si>
    <t>QA一覧_債務.xlsx No9より</t>
    <rPh sb="2" eb="4">
      <t>イチラン</t>
    </rPh>
    <rPh sb="5" eb="7">
      <t>サイム</t>
    </rPh>
    <phoneticPr fontId="6"/>
  </si>
  <si>
    <t>支払手数料マスタの設定し、使用する。
各社で設定する。</t>
    <rPh sb="0" eb="5">
      <t>シハライテスウリョウ</t>
    </rPh>
    <rPh sb="9" eb="11">
      <t>セッテイ</t>
    </rPh>
    <rPh sb="13" eb="15">
      <t>シヨウ</t>
    </rPh>
    <rPh sb="19" eb="21">
      <t>カクシャ</t>
    </rPh>
    <rPh sb="22" eb="24">
      <t>セッテイ</t>
    </rPh>
    <phoneticPr fontId="6"/>
  </si>
  <si>
    <t>Req316</t>
  </si>
  <si>
    <t>仕入先ｺｰﾄﾞを登録せず、楽楽精算「支払」伝票に直接、支払先・振込先銀行を入力するケースについて（支払方法は、全額振込）、振込支払処理時に含めて支払伝送データを作成できること。
Ｒ／３へ連携すると、仕入先ｺｰﾄﾞ「9999906」　ワンタイム（未払金）にて計上する仕組みになっております。</t>
    <phoneticPr fontId="24"/>
  </si>
  <si>
    <t>QA一覧_債務.xlsx No10より
FOに一時仕入先の機能はありますが、発注書で使用する機能になります。請求処理スタートで使用する場合、アドオンが必要になります。</t>
    <rPh sb="2" eb="4">
      <t>イチラン</t>
    </rPh>
    <rPh sb="5" eb="7">
      <t>サイム</t>
    </rPh>
    <phoneticPr fontId="6"/>
  </si>
  <si>
    <t>楽楽精算で一時仕入先として連携されたものに対しては、以下処理を行う。
①一時仕入先として、仕入先マスタを登録
②仕入先銀行口座、銀行グループを仕入先マスタ＞銀行口座に登録する。
③　①で登録した仕入先を使用し、債務データを登録する。
⇒標準機能で対応する。FOの場合、仕入先を登録する必要がある。</t>
    <rPh sb="0" eb="4">
      <t>ラクラクセイサン</t>
    </rPh>
    <rPh sb="5" eb="10">
      <t>イチジシイレサキ</t>
    </rPh>
    <rPh sb="13" eb="15">
      <t>レンケイ</t>
    </rPh>
    <rPh sb="21" eb="22">
      <t>タイ</t>
    </rPh>
    <rPh sb="26" eb="30">
      <t>イカショリ</t>
    </rPh>
    <rPh sb="31" eb="32">
      <t>オコナ</t>
    </rPh>
    <rPh sb="45" eb="48">
      <t>シイレサキ</t>
    </rPh>
    <rPh sb="52" eb="54">
      <t>トウロク</t>
    </rPh>
    <rPh sb="56" eb="61">
      <t>シイレサキギンコウ</t>
    </rPh>
    <rPh sb="61" eb="63">
      <t>コウザ</t>
    </rPh>
    <rPh sb="64" eb="66">
      <t>ギンコウ</t>
    </rPh>
    <rPh sb="71" eb="74">
      <t>シイレサキ</t>
    </rPh>
    <rPh sb="78" eb="82">
      <t>ギンコウコウザ</t>
    </rPh>
    <rPh sb="83" eb="85">
      <t>トウロク</t>
    </rPh>
    <rPh sb="118" eb="122">
      <t>ヒョウジュンキノウ</t>
    </rPh>
    <rPh sb="123" eb="125">
      <t>タイオウ</t>
    </rPh>
    <rPh sb="131" eb="133">
      <t>バアイ</t>
    </rPh>
    <rPh sb="134" eb="137">
      <t>シイレサキ</t>
    </rPh>
    <rPh sb="138" eb="140">
      <t>トウロク</t>
    </rPh>
    <rPh sb="142" eb="144">
      <t>ヒツヨウ</t>
    </rPh>
    <phoneticPr fontId="3"/>
  </si>
  <si>
    <t xml:space="preserve">ワンタイム支払のケースはほぼ退職金支払と、SEJの自動車奨励金
→FOで直接入れる場合に発注書を通すのは非現実的、ワンタイムであっても仕入先を登録する運用とするか？
</t>
    <rPh sb="5" eb="7">
      <t>シハライ</t>
    </rPh>
    <rPh sb="14" eb="17">
      <t>タイショクキン</t>
    </rPh>
    <rPh sb="17" eb="19">
      <t>シハラ</t>
    </rPh>
    <rPh sb="25" eb="28">
      <t>ジドウシャ</t>
    </rPh>
    <rPh sb="28" eb="31">
      <t>ショウレイキン</t>
    </rPh>
    <rPh sb="36" eb="38">
      <t>チョクセツ</t>
    </rPh>
    <rPh sb="38" eb="39">
      <t>イ</t>
    </rPh>
    <rPh sb="41" eb="43">
      <t>バアイ</t>
    </rPh>
    <rPh sb="44" eb="47">
      <t>ハッチュウショ</t>
    </rPh>
    <rPh sb="48" eb="49">
      <t>トオ</t>
    </rPh>
    <rPh sb="52" eb="56">
      <t>ヒゲンジツテキ</t>
    </rPh>
    <rPh sb="67" eb="70">
      <t>シイレサキ</t>
    </rPh>
    <rPh sb="71" eb="73">
      <t>トウロク</t>
    </rPh>
    <rPh sb="75" eb="77">
      <t>ウンヨウ</t>
    </rPh>
    <phoneticPr fontId="6"/>
  </si>
  <si>
    <t>Req317</t>
  </si>
  <si>
    <r>
      <t>電債支払先で、1請求書だけ翌月２０日に振込する場合、楽楽精算支払伝票にて、支払方法を「</t>
    </r>
    <r>
      <rPr>
        <b/>
        <sz val="9"/>
        <color theme="1"/>
        <rFont val="メイリオ"/>
        <family val="3"/>
        <charset val="128"/>
      </rPr>
      <t>全額振込</t>
    </r>
    <r>
      <rPr>
        <sz val="9"/>
        <color theme="1"/>
        <rFont val="メイリオ"/>
        <family val="3"/>
        <charset val="128"/>
      </rPr>
      <t>」に変更したデータを支払できること。</t>
    </r>
    <rPh sb="57" eb="59">
      <t>シハライ</t>
    </rPh>
    <phoneticPr fontId="24"/>
  </si>
  <si>
    <t>QA一覧_債務.xlsx No11より</t>
    <rPh sb="2" eb="4">
      <t>イチラン</t>
    </rPh>
    <rPh sb="5" eb="7">
      <t>サイム</t>
    </rPh>
    <phoneticPr fontId="6"/>
  </si>
  <si>
    <t>外部システムで登録された票を連携するIFをアドオン開発に、支払方法の連携を考慮する。</t>
    <rPh sb="14" eb="16">
      <t>レンケイ</t>
    </rPh>
    <rPh sb="25" eb="27">
      <t>カイハツ</t>
    </rPh>
    <rPh sb="29" eb="33">
      <t>シハライホウホウ</t>
    </rPh>
    <rPh sb="34" eb="36">
      <t>レンケイ</t>
    </rPh>
    <rPh sb="37" eb="39">
      <t>コウリョ</t>
    </rPh>
    <phoneticPr fontId="6"/>
  </si>
  <si>
    <t>IFの仕様上、連携される支払方法を優先させる、という理解で合っていれば、アドオン審査不要
⇒2024/4/24　秋信
債務データIFで、支払方法の連携方法を詳細化する際に、考慮しないする内容を認識しております。</t>
    <rPh sb="3" eb="5">
      <t>シヨウ</t>
    </rPh>
    <rPh sb="5" eb="6">
      <t>ジョウ</t>
    </rPh>
    <rPh sb="7" eb="9">
      <t>レンケイ</t>
    </rPh>
    <rPh sb="12" eb="14">
      <t>シハライ</t>
    </rPh>
    <rPh sb="14" eb="16">
      <t>ホウホウ</t>
    </rPh>
    <rPh sb="17" eb="19">
      <t>ユウセン</t>
    </rPh>
    <rPh sb="26" eb="28">
      <t>リカイ</t>
    </rPh>
    <rPh sb="29" eb="30">
      <t>ア</t>
    </rPh>
    <rPh sb="40" eb="42">
      <t>シンサ</t>
    </rPh>
    <rPh sb="42" eb="44">
      <t>フヨウ</t>
    </rPh>
    <rPh sb="56" eb="58">
      <t>アキノブ</t>
    </rPh>
    <rPh sb="59" eb="61">
      <t>サイム</t>
    </rPh>
    <rPh sb="68" eb="72">
      <t>シハライホウホウ</t>
    </rPh>
    <rPh sb="73" eb="75">
      <t>レンケイ</t>
    </rPh>
    <rPh sb="75" eb="77">
      <t>ホウホウ</t>
    </rPh>
    <rPh sb="78" eb="81">
      <t>ショウサイカ</t>
    </rPh>
    <rPh sb="83" eb="84">
      <t>サイ</t>
    </rPh>
    <rPh sb="86" eb="88">
      <t>コウリョ</t>
    </rPh>
    <rPh sb="93" eb="95">
      <t>ナイヨウ</t>
    </rPh>
    <rPh sb="96" eb="98">
      <t>ニンシキ</t>
    </rPh>
    <phoneticPr fontId="6"/>
  </si>
  <si>
    <t>Req318</t>
  </si>
  <si>
    <t>規定支払総合振込では、振込対象「SSJ50万円未満振込、全額振込」を集計し合算で支払処理を実行できること。</t>
    <phoneticPr fontId="6"/>
  </si>
  <si>
    <t>QA一覧_債務.xlsx No14より</t>
    <rPh sb="2" eb="4">
      <t>イチラン</t>
    </rPh>
    <rPh sb="5" eb="7">
      <t>サイム</t>
    </rPh>
    <phoneticPr fontId="6"/>
  </si>
  <si>
    <t>支払提案機能で、フィルター条件で複数の支払方法を選択可能。</t>
    <rPh sb="0" eb="6">
      <t>シハライテイアンキノウ</t>
    </rPh>
    <rPh sb="13" eb="15">
      <t>ジョウケン</t>
    </rPh>
    <rPh sb="16" eb="18">
      <t>フクスウ</t>
    </rPh>
    <rPh sb="19" eb="23">
      <t>シハライホウホウ</t>
    </rPh>
    <rPh sb="24" eb="28">
      <t>センタクカノウ</t>
    </rPh>
    <phoneticPr fontId="6"/>
  </si>
  <si>
    <t>Req319</t>
  </si>
  <si>
    <t>滋賀営業で　売掛金から買掛金を相殺して回収するケースについて、買掛金は、振替伝票で仕訳「買掛金/預り売掛金」を入力し、「仕入/買掛金」とを照合し、買掛金を手動で消込できること。</t>
  </si>
  <si>
    <t>QA一覧_債務.xlsx No17より</t>
    <rPh sb="2" eb="4">
      <t>イチラン</t>
    </rPh>
    <rPh sb="5" eb="7">
      <t>サイム</t>
    </rPh>
    <phoneticPr fontId="6"/>
  </si>
  <si>
    <t>SEJで預かり売掛金に振替処理を連携し、FOでは仕入先支払仕訳帳で相手勘定を預かり売掛金にし仕訳登録・消込を行う。</t>
    <rPh sb="4" eb="5">
      <t>アズ</t>
    </rPh>
    <rPh sb="7" eb="10">
      <t>ウリカケキン</t>
    </rPh>
    <rPh sb="11" eb="13">
      <t>フリカエ</t>
    </rPh>
    <rPh sb="13" eb="15">
      <t>ショリ</t>
    </rPh>
    <rPh sb="16" eb="18">
      <t>レンケイ</t>
    </rPh>
    <rPh sb="24" eb="32">
      <t>シイレサキシハライシワケチョウ</t>
    </rPh>
    <rPh sb="33" eb="35">
      <t>アイテ</t>
    </rPh>
    <rPh sb="35" eb="37">
      <t>カンジョウ</t>
    </rPh>
    <rPh sb="38" eb="39">
      <t>アズ</t>
    </rPh>
    <rPh sb="41" eb="44">
      <t>ウリカケキン</t>
    </rPh>
    <rPh sb="46" eb="48">
      <t>シワケ</t>
    </rPh>
    <rPh sb="48" eb="50">
      <t>トウロク</t>
    </rPh>
    <rPh sb="51" eb="53">
      <t>ケシコミ</t>
    </rPh>
    <rPh sb="54" eb="55">
      <t>オコナ</t>
    </rPh>
    <phoneticPr fontId="6"/>
  </si>
  <si>
    <t>2024/4/17　ここから</t>
    <phoneticPr fontId="6"/>
  </si>
  <si>
    <t>Req320</t>
  </si>
  <si>
    <t>規定支払　2月末3/20支払の未決済金額を集計し、支払予定額を確認できること。</t>
    <phoneticPr fontId="6"/>
  </si>
  <si>
    <r>
      <t xml:space="preserve">QA一覧_債務.xlsx No18より
</t>
    </r>
    <r>
      <rPr>
        <b/>
        <sz val="9"/>
        <color rgb="FFFF0000"/>
        <rFont val="メイリオ"/>
        <family val="3"/>
        <charset val="128"/>
      </rPr>
      <t xml:space="preserve">※帳票
</t>
    </r>
    <r>
      <rPr>
        <sz val="9"/>
        <rFont val="メイリオ"/>
        <family val="3"/>
        <charset val="128"/>
      </rPr>
      <t>Req126(支払合計表・明細表)と同じか。</t>
    </r>
    <rPh sb="2" eb="4">
      <t>イチラン</t>
    </rPh>
    <rPh sb="5" eb="7">
      <t>サイム</t>
    </rPh>
    <rPh sb="32" eb="37">
      <t>シハライゴウケイヒョウ</t>
    </rPh>
    <rPh sb="38" eb="41">
      <t>メイサイヒョウ</t>
    </rPh>
    <rPh sb="43" eb="44">
      <t>オナ</t>
    </rPh>
    <phoneticPr fontId="6"/>
  </si>
  <si>
    <r>
      <t xml:space="preserve">同じです
</t>
    </r>
    <r>
      <rPr>
        <b/>
        <sz val="9"/>
        <color rgb="FFFF0000"/>
        <rFont val="メイリオ"/>
        <family val="3"/>
        <charset val="128"/>
      </rPr>
      <t>⇒スコープアウトといたします。</t>
    </r>
    <rPh sb="0" eb="1">
      <t>オナ</t>
    </rPh>
    <phoneticPr fontId="6"/>
  </si>
  <si>
    <t>Req321</t>
  </si>
  <si>
    <t>支払提案の照合（期日振込・でんさい電債）　
支払提案で抽出したデータが正しいか確認のために、支払方法ごとに未決済金額を照合しています。支払処理前に、支払方法ごとの未決済金額を確認するできること。</t>
  </si>
  <si>
    <r>
      <t xml:space="preserve">QA一覧_債務.xlsx No19より
</t>
    </r>
    <r>
      <rPr>
        <b/>
        <sz val="9"/>
        <color rgb="FFFF0000"/>
        <rFont val="メイリオ"/>
        <family val="3"/>
        <charset val="128"/>
      </rPr>
      <t xml:space="preserve">※帳票
</t>
    </r>
    <r>
      <rPr>
        <sz val="9"/>
        <rFont val="メイリオ"/>
        <family val="3"/>
        <charset val="128"/>
      </rPr>
      <t>Req126(支払合計表・明細表)と同じか。</t>
    </r>
    <rPh sb="2" eb="4">
      <t>イチラン</t>
    </rPh>
    <rPh sb="5" eb="7">
      <t>サイム</t>
    </rPh>
    <phoneticPr fontId="6"/>
  </si>
  <si>
    <t>Req322</t>
  </si>
  <si>
    <t>振込元銀行の設定　
ＳＬＪの同一支払方法（全額振込）で、基本は三菱UFJ銀行ですが、１仕入先だけ振込元銀行を静岡銀行から振込みしています。
現在はパラメータで仕入先を選択していますが、支払提案時に仕入先を除外できること。</t>
  </si>
  <si>
    <t>QA一覧_債務.xlsx No20より</t>
    <rPh sb="2" eb="4">
      <t>イチラン</t>
    </rPh>
    <rPh sb="5" eb="7">
      <t>サイム</t>
    </rPh>
    <phoneticPr fontId="6"/>
  </si>
  <si>
    <t>‐</t>
    <phoneticPr fontId="6"/>
  </si>
  <si>
    <t xml:space="preserve">仕入先マスタに設定する支払方法（支払銀行：静岡銀行）でコントロールする想定。
</t>
    <rPh sb="0" eb="3">
      <t>シイレサキ</t>
    </rPh>
    <rPh sb="7" eb="9">
      <t>セッテイ</t>
    </rPh>
    <rPh sb="11" eb="15">
      <t>シハライホウホウ</t>
    </rPh>
    <rPh sb="16" eb="20">
      <t>シハライギンコウ</t>
    </rPh>
    <rPh sb="21" eb="25">
      <t>シズオカギンコウ</t>
    </rPh>
    <rPh sb="35" eb="37">
      <t>ソウテイ</t>
    </rPh>
    <phoneticPr fontId="6"/>
  </si>
  <si>
    <t>Req323</t>
  </si>
  <si>
    <r>
      <t xml:space="preserve">支払前に金額により、支払銀行を設定できること。
SSJ50万円未満、SEJ10万円未満の振込、支払方法が「全額振込」の支払は、三菱UFJ銀行当座預金から出金。
期日振込で50万円以上の振込は、三井住友銀行から出金
</t>
    </r>
    <r>
      <rPr>
        <sz val="9"/>
        <color rgb="FFFF0000"/>
        <rFont val="メイリオ"/>
        <family val="3"/>
        <charset val="128"/>
      </rPr>
      <t>支払基準日が管理できること。</t>
    </r>
    <rPh sb="3" eb="5">
      <t>キンガク</t>
    </rPh>
    <rPh sb="9" eb="13">
      <t>シハライギンコウ</t>
    </rPh>
    <rPh sb="14" eb="16">
      <t>セッテイ</t>
    </rPh>
    <phoneticPr fontId="2"/>
  </si>
  <si>
    <t>業務フローのコメントより</t>
    <rPh sb="0" eb="2">
      <t>ギョウム</t>
    </rPh>
    <phoneticPr fontId="6"/>
  </si>
  <si>
    <t>期日振込60は、翌月20日を起算日として60日後の振込になります。
例）２月末締め・3/21払の期日振込60の場合
振込日は５月20日になります。
期日振込は三井住友銀行、ただし50万未満の振込の場合は翌月20日に三菱UFJからの振込になります。
金額による支払方法、振込元銀行の変更ができることが必要です。</t>
    <phoneticPr fontId="6"/>
  </si>
  <si>
    <t xml:space="preserve">以下機能の作成を行う。
・支払合計額に応じて、支払方法を更新する。
・更新後の結果を出力する機能。
・債務トランザクションに支払基準日（現行と同じ）と新しく”支払日”の項目を追加・自動計算機能。
・サイト情報を管理するマスタを作成。
</t>
    <rPh sb="0" eb="4">
      <t>イカキノウ</t>
    </rPh>
    <rPh sb="5" eb="7">
      <t>サクセイ</t>
    </rPh>
    <rPh sb="8" eb="9">
      <t>オコナ</t>
    </rPh>
    <rPh sb="13" eb="18">
      <t>シハライゴウケイガク</t>
    </rPh>
    <rPh sb="19" eb="20">
      <t>オウ</t>
    </rPh>
    <rPh sb="23" eb="25">
      <t>シハライ</t>
    </rPh>
    <rPh sb="25" eb="27">
      <t>ホウホウ</t>
    </rPh>
    <rPh sb="28" eb="30">
      <t>コウシン</t>
    </rPh>
    <rPh sb="35" eb="38">
      <t>コウシンゴ</t>
    </rPh>
    <rPh sb="39" eb="41">
      <t>ケッカ</t>
    </rPh>
    <rPh sb="42" eb="44">
      <t>シュツリョク</t>
    </rPh>
    <rPh sb="46" eb="48">
      <t>キノウ</t>
    </rPh>
    <rPh sb="51" eb="53">
      <t>サイム</t>
    </rPh>
    <rPh sb="62" eb="67">
      <t>シハライキジュンビ</t>
    </rPh>
    <rPh sb="68" eb="70">
      <t>ゲンコウ</t>
    </rPh>
    <rPh sb="71" eb="72">
      <t>オナ</t>
    </rPh>
    <rPh sb="75" eb="76">
      <t>アタラ</t>
    </rPh>
    <rPh sb="79" eb="82">
      <t>シハライビ</t>
    </rPh>
    <rPh sb="84" eb="86">
      <t>コウモク</t>
    </rPh>
    <rPh sb="87" eb="89">
      <t>ツイカ</t>
    </rPh>
    <rPh sb="90" eb="94">
      <t>ジドウケイサン</t>
    </rPh>
    <rPh sb="94" eb="96">
      <t>キノウ</t>
    </rPh>
    <rPh sb="102" eb="104">
      <t>ジョウホウ</t>
    </rPh>
    <rPh sb="105" eb="107">
      <t>カンリ</t>
    </rPh>
    <rPh sb="113" eb="115">
      <t>サクセイ</t>
    </rPh>
    <phoneticPr fontId="6"/>
  </si>
  <si>
    <t>参考資料
フォルダ名：
一般＞02_要件定義フェーズ＞05_Fit&amp;Gap資料＞20240326セッション補足資料
ファイル名：
支払条件・支払方法マスタ検討.xlsx</t>
    <rPh sb="0" eb="4">
      <t>サンコウシリョウ</t>
    </rPh>
    <rPh sb="9" eb="10">
      <t>メイ</t>
    </rPh>
    <rPh sb="62" eb="63">
      <t>メイ</t>
    </rPh>
    <phoneticPr fontId="6"/>
  </si>
  <si>
    <t>サンスター仕様であるが、ルールを変えない限り業務上必須。</t>
    <rPh sb="5" eb="7">
      <t>シヨウ</t>
    </rPh>
    <rPh sb="16" eb="17">
      <t>カ</t>
    </rPh>
    <rPh sb="20" eb="21">
      <t>カギ</t>
    </rPh>
    <rPh sb="22" eb="25">
      <t>ギョウムジョウ</t>
    </rPh>
    <rPh sb="25" eb="27">
      <t>ヒッス</t>
    </rPh>
    <phoneticPr fontId="6"/>
  </si>
  <si>
    <t>Req324</t>
    <phoneticPr fontId="6"/>
  </si>
  <si>
    <t>SAPでは支払処理前に支払金額を確認できかなかった場合、下記を確認できること
・マイナス残高の確認
・振替伝票で支払の仕訳が入っていないか</t>
  </si>
  <si>
    <r>
      <t xml:space="preserve">業務フローのコメントより
</t>
    </r>
    <r>
      <rPr>
        <b/>
        <sz val="9"/>
        <color rgb="FFFF0000"/>
        <rFont val="メイリオ"/>
        <family val="3"/>
        <charset val="128"/>
      </rPr>
      <t xml:space="preserve">※帳票
</t>
    </r>
    <r>
      <rPr>
        <sz val="9"/>
        <color rgb="FFFF0000"/>
        <rFont val="メイリオ"/>
        <family val="3"/>
        <charset val="128"/>
      </rPr>
      <t>振替伝票の支払伝票とは、楽楽精算等で支払の仕訳を作成することがあるのでしょうか</t>
    </r>
    <r>
      <rPr>
        <sz val="9"/>
        <rFont val="メイリオ"/>
        <family val="3"/>
        <charset val="128"/>
      </rPr>
      <t>。</t>
    </r>
    <rPh sb="0" eb="2">
      <t>ギョウム</t>
    </rPh>
    <rPh sb="15" eb="17">
      <t>チョウヒョウ</t>
    </rPh>
    <rPh sb="19" eb="23">
      <t>フリカエデンピョウ</t>
    </rPh>
    <rPh sb="24" eb="28">
      <t>シハライデンピョウ</t>
    </rPh>
    <rPh sb="31" eb="35">
      <t>ラクラクセイサン</t>
    </rPh>
    <rPh sb="35" eb="36">
      <t>トウ</t>
    </rPh>
    <rPh sb="37" eb="39">
      <t>シハライ</t>
    </rPh>
    <rPh sb="40" eb="42">
      <t>シワケ</t>
    </rPh>
    <rPh sb="43" eb="45">
      <t>サクセイ</t>
    </rPh>
    <phoneticPr fontId="6"/>
  </si>
  <si>
    <r>
      <rPr>
        <sz val="9"/>
        <color rgb="FF000000"/>
        <rFont val="メイリオ"/>
        <family val="3"/>
        <charset val="128"/>
      </rPr>
      <t>振替伝票で支払は発生しませんが、例えば返品のため買掛金の入金が発生した時に、ホストで返品処理し（買掛金/仕入）、振替伝票で「未収入金/買掛金」の仕訳を作成します。仕入先ｺｰﾄﾞで買掛金を計上すると、Ｒ/3では、支払対象となってしまい、</t>
    </r>
    <r>
      <rPr>
        <sz val="9"/>
        <color rgb="FFFF0000"/>
        <rFont val="メイリオ"/>
        <family val="3"/>
        <charset val="128"/>
      </rPr>
      <t>支払誤り防止の目的で、振替伝票で買掛金や未払金の仕訳がないか確認しておりました。</t>
    </r>
    <r>
      <rPr>
        <sz val="9"/>
        <color rgb="FF000000"/>
        <rFont val="メイリオ"/>
        <family val="3"/>
        <charset val="128"/>
      </rPr>
      <t>また、その買掛金を決済処理しております。</t>
    </r>
  </si>
  <si>
    <t>・支払方法別の仕入先残高を確認できること。（決算明細で提出する為、Excelでの出力が望ましい）</t>
    <phoneticPr fontId="6"/>
  </si>
  <si>
    <r>
      <rPr>
        <sz val="9"/>
        <color rgb="FF000000"/>
        <rFont val="メイリオ"/>
        <family val="3"/>
        <charset val="128"/>
      </rPr>
      <t xml:space="preserve">業務フローのコメント
</t>
    </r>
    <r>
      <rPr>
        <b/>
        <sz val="9"/>
        <color rgb="FFFF0000"/>
        <rFont val="メイリオ"/>
        <family val="3"/>
        <charset val="128"/>
      </rPr>
      <t xml:space="preserve">※帳票
</t>
    </r>
    <r>
      <rPr>
        <sz val="9"/>
        <color rgb="FF000000"/>
        <rFont val="メイリオ"/>
        <family val="3"/>
        <charset val="128"/>
      </rPr>
      <t xml:space="preserve">①Req126(支払合計表・明細表)と同じか。
②でんさいに特化した帳票にするか。
　（帳票一覧81（Req143、アドオン予定）と流用できる？）
③支払方法洗替処理の結果（更新後の支払期日はわかる帳票）と同じイメージ？
</t>
    </r>
    <r>
      <rPr>
        <sz val="9"/>
        <color rgb="FFFF0000"/>
        <rFont val="メイリオ"/>
        <family val="3"/>
        <charset val="128"/>
      </rPr>
      <t xml:space="preserve">
↓
支払方法別、仕入先別に以下情報がわかる帳票要件の理解であっていますでしょうか。
</t>
    </r>
    <r>
      <rPr>
        <b/>
        <sz val="9"/>
        <color rgb="FFFF0000"/>
        <rFont val="メイリオ"/>
        <family val="3"/>
        <charset val="128"/>
      </rPr>
      <t xml:space="preserve">振込の場合
</t>
    </r>
    <r>
      <rPr>
        <sz val="9"/>
        <color rgb="FFFF0000"/>
        <rFont val="メイリオ"/>
        <family val="3"/>
        <charset val="128"/>
      </rPr>
      <t xml:space="preserve">未来の支払分のデータ（XXサイト別）の金額がわかる
</t>
    </r>
    <r>
      <rPr>
        <b/>
        <sz val="9"/>
        <color rgb="FFFF0000"/>
        <rFont val="メイリオ"/>
        <family val="3"/>
        <charset val="128"/>
      </rPr>
      <t xml:space="preserve">電子記録債務
</t>
    </r>
    <r>
      <rPr>
        <sz val="9"/>
        <color rgb="FFFF0000"/>
        <rFont val="メイリオ"/>
        <family val="3"/>
        <charset val="128"/>
      </rPr>
      <t xml:space="preserve">振出済みの未来の決済分のデータ（XXサイト別）の金額がわかる
</t>
    </r>
  </si>
  <si>
    <r>
      <rPr>
        <sz val="9"/>
        <color rgb="FF000000"/>
        <rFont val="メイリオ"/>
        <family val="3"/>
        <charset val="128"/>
      </rPr>
      <t>Req126(支払合計表・明細表)と別です。
例）でんさい支払12月末残の仕入先別残高→1月以降に期日が到来するデータが対象となります。
　　10月支払→1/25期日
　　11月支払→1/20期日、2/25期日、
　　12月支払→2/20期日、3/25期日
③　はい、支払先別の支払額を、未決済日付を12/31とした時に、期日未到来の期日分の合計金額を算出
→</t>
    </r>
    <r>
      <rPr>
        <sz val="9"/>
        <color rgb="FFFF0000"/>
        <rFont val="メイリオ"/>
        <family val="3"/>
        <charset val="128"/>
      </rPr>
      <t xml:space="preserve">下記のご認識のとおりです
</t>
    </r>
    <r>
      <rPr>
        <sz val="9"/>
        <color rgb="FF000000"/>
        <rFont val="メイリオ"/>
        <family val="3"/>
        <charset val="128"/>
      </rPr>
      <t>振込の場合
未来の支払分のデータ（XXサイト別）の金額がわかる
電子記録債務
振出済みの未来の決済分のデータ（XXサイト別）の金額がわかる</t>
    </r>
  </si>
  <si>
    <t>Req323の洗替バッチ処理の結果出力機能と合わせて整理する。
支払方法別、仕入先別の支払基準日、支払日が確認できる帳票を開発する。</t>
    <phoneticPr fontId="6"/>
  </si>
  <si>
    <t>標準では、支払基準日、支払日の2つの項目を管理できないため、管理できるようにアドオンを検討する。
それに伴い、2つの日付を出力できる帳票を作成する必要がある。</t>
    <rPh sb="0" eb="2">
      <t>ヒョウジュン</t>
    </rPh>
    <rPh sb="5" eb="10">
      <t>シハライキジュンビ</t>
    </rPh>
    <rPh sb="11" eb="14">
      <t>シハライビ</t>
    </rPh>
    <rPh sb="18" eb="20">
      <t>コウモク</t>
    </rPh>
    <rPh sb="21" eb="23">
      <t>カンリ</t>
    </rPh>
    <rPh sb="30" eb="32">
      <t>カンリ</t>
    </rPh>
    <rPh sb="43" eb="45">
      <t>ケントウ</t>
    </rPh>
    <rPh sb="52" eb="53">
      <t>トモナ</t>
    </rPh>
    <rPh sb="58" eb="60">
      <t>ヒヅケ</t>
    </rPh>
    <rPh sb="61" eb="63">
      <t>シュツリョク</t>
    </rPh>
    <rPh sb="66" eb="68">
      <t>チョウヒョウ</t>
    </rPh>
    <rPh sb="69" eb="71">
      <t>サクセイ</t>
    </rPh>
    <rPh sb="73" eb="75">
      <t>ヒツヨウ</t>
    </rPh>
    <phoneticPr fontId="6"/>
  </si>
  <si>
    <t>Req326</t>
  </si>
  <si>
    <t>・支払後に手数料差し引き前、差し引き後の支払金額の一覧を作成しています。支払処理時に自動出力することは可能ですること。</t>
  </si>
  <si>
    <r>
      <t xml:space="preserve">業務フローのコメントより
</t>
    </r>
    <r>
      <rPr>
        <b/>
        <sz val="9"/>
        <color rgb="FFFF0000"/>
        <rFont val="メイリオ"/>
        <family val="3"/>
        <charset val="128"/>
      </rPr>
      <t xml:space="preserve">※帳票
</t>
    </r>
    <r>
      <rPr>
        <sz val="9"/>
        <rFont val="メイリオ"/>
        <family val="3"/>
        <charset val="128"/>
      </rPr>
      <t>差し引き前に関しては、仕入先請求書トランザクションレポートおよびアドオン対象の帳票で確認できると考えております。
差し引き後に関しては、FOでは仕訳に特徴があり、預金勘定に関して、債務の支払＋手数料の戻り　で2つ仕訳を作成するため、確認できる帳票がないです。
アドオンが必要になります。</t>
    </r>
    <r>
      <rPr>
        <b/>
        <sz val="9"/>
        <color rgb="FFFF0000"/>
        <rFont val="メイリオ"/>
        <family val="3"/>
        <charset val="128"/>
      </rPr>
      <t>（帳票一覧Rep161：集計一覧表　をアドオン作成すること検討）</t>
    </r>
    <rPh sb="0" eb="2">
      <t>ギョウム</t>
    </rPh>
    <rPh sb="15" eb="17">
      <t>チョウヒョウ</t>
    </rPh>
    <rPh sb="18" eb="19">
      <t>サ</t>
    </rPh>
    <rPh sb="20" eb="21">
      <t>ヒ</t>
    </rPh>
    <rPh sb="22" eb="23">
      <t>マエ</t>
    </rPh>
    <rPh sb="24" eb="25">
      <t>カン</t>
    </rPh>
    <rPh sb="29" eb="32">
      <t>シイレサキ</t>
    </rPh>
    <rPh sb="32" eb="35">
      <t>セイキュウショ</t>
    </rPh>
    <rPh sb="54" eb="56">
      <t>タイショウ</t>
    </rPh>
    <rPh sb="57" eb="59">
      <t>チョウヒョウ</t>
    </rPh>
    <rPh sb="60" eb="62">
      <t>カクニン</t>
    </rPh>
    <rPh sb="66" eb="67">
      <t>カンガ</t>
    </rPh>
    <rPh sb="76" eb="77">
      <t>サ</t>
    </rPh>
    <rPh sb="78" eb="79">
      <t>ヒ</t>
    </rPh>
    <rPh sb="80" eb="81">
      <t>ゴ</t>
    </rPh>
    <rPh sb="82" eb="83">
      <t>カン</t>
    </rPh>
    <rPh sb="91" eb="93">
      <t>シワケ</t>
    </rPh>
    <rPh sb="94" eb="96">
      <t>トクチョウ</t>
    </rPh>
    <rPh sb="100" eb="104">
      <t>ヨキンカンジョウ</t>
    </rPh>
    <rPh sb="105" eb="106">
      <t>カン</t>
    </rPh>
    <rPh sb="109" eb="111">
      <t>サイム</t>
    </rPh>
    <rPh sb="112" eb="114">
      <t>シハラ</t>
    </rPh>
    <rPh sb="115" eb="118">
      <t>テスウリョウ</t>
    </rPh>
    <rPh sb="119" eb="120">
      <t>モド</t>
    </rPh>
    <rPh sb="125" eb="127">
      <t>シワケ</t>
    </rPh>
    <rPh sb="128" eb="130">
      <t>サクセイ</t>
    </rPh>
    <rPh sb="135" eb="137">
      <t>カクニン</t>
    </rPh>
    <rPh sb="140" eb="142">
      <t>チョウヒョウ</t>
    </rPh>
    <rPh sb="154" eb="156">
      <t>ヒツヨウ</t>
    </rPh>
    <rPh sb="163" eb="167">
      <t>チョウヒョウイチラン</t>
    </rPh>
    <rPh sb="174" eb="179">
      <t>シュウケイイチランヒョウ</t>
    </rPh>
    <rPh sb="185" eb="187">
      <t>サクセイ</t>
    </rPh>
    <rPh sb="191" eb="193">
      <t>ケントウ</t>
    </rPh>
    <phoneticPr fontId="6"/>
  </si>
  <si>
    <t>６．支払（銀行振込・海外送金・小切手）
７．電子記録債務計上・決済</t>
    <phoneticPr fontId="6"/>
  </si>
  <si>
    <t>Req327</t>
    <phoneticPr fontId="6"/>
  </si>
  <si>
    <t>仕入先別（ＳＳＪ・ＳＥＪ・ＳＬＪ）、会社別、期間指定、貸方勘定科目（統制勘定）で抽出した一覧が画面で確認できること。</t>
    <phoneticPr fontId="6"/>
  </si>
  <si>
    <r>
      <rPr>
        <sz val="9"/>
        <color rgb="FF000000"/>
        <rFont val="メイリオ"/>
        <family val="3"/>
        <charset val="128"/>
      </rPr>
      <t xml:space="preserve">業務フローのコメント
</t>
    </r>
    <r>
      <rPr>
        <b/>
        <sz val="9"/>
        <color rgb="FFFF0000"/>
        <rFont val="メイリオ"/>
        <family val="3"/>
        <charset val="128"/>
      </rPr>
      <t xml:space="preserve">※帳票
</t>
    </r>
    <r>
      <rPr>
        <sz val="9"/>
        <color rgb="FF000000"/>
        <rFont val="メイリオ"/>
        <family val="3"/>
        <charset val="128"/>
      </rPr>
      <t xml:space="preserve">Req126(支払合計表・明細表)と同じか。
Req325の③と同じイメージ？
</t>
    </r>
    <r>
      <rPr>
        <sz val="9"/>
        <color rgb="FFFF0000"/>
        <rFont val="メイリオ"/>
        <family val="3"/>
        <charset val="128"/>
      </rPr>
      <t xml:space="preserve">
QA.No49より
要求一覧№327　につきまして　 
画面上で確認できること、そのデータをExcelに出力できるものを希望します（SAPでは、ＦＢＬ１Ｎ　画面が該当します。）シート21.４９ご参照ください
</t>
    </r>
    <r>
      <rPr>
        <b/>
        <sz val="9"/>
        <color rgb="FFFF0000"/>
        <rFont val="メイリオ"/>
        <family val="3"/>
        <charset val="128"/>
      </rPr>
      <t>⇒全仕入先を表示する仕入先トランザクション画面　を検討。</t>
    </r>
    <phoneticPr fontId="6"/>
  </si>
  <si>
    <t>別の要件です。仕入先からの残高確認照会の回答のため、ある指定した日付の未決済残を照会したい。
仕入先ｺｰﾄﾞ・12/31・買掛金（未払金）→期日振込の場合　10月支払→1/25期日、11月支払→2/25期日、12月支払→3/25期日、12月仕入計上→1月支払のデータが抽出される
③Req325とは異なります。仕入先ごとの買掛金・未払金別に確認したいです</t>
  </si>
  <si>
    <t>全仕入先を表示する仕入先トランザクション画面を作成する。
必要項目：法人別、科目別、仕入先別の支払基準日、支払日</t>
    <rPh sb="0" eb="1">
      <t>ゼン</t>
    </rPh>
    <rPh sb="1" eb="4">
      <t>シイレサキ</t>
    </rPh>
    <rPh sb="5" eb="7">
      <t>ヒョウジ</t>
    </rPh>
    <rPh sb="9" eb="12">
      <t>シイレサキ</t>
    </rPh>
    <rPh sb="20" eb="22">
      <t>ガメン</t>
    </rPh>
    <rPh sb="23" eb="25">
      <t>サクセイ</t>
    </rPh>
    <rPh sb="29" eb="31">
      <t>ヒツヨウ</t>
    </rPh>
    <rPh sb="31" eb="33">
      <t>コウモク</t>
    </rPh>
    <rPh sb="34" eb="36">
      <t>ホウジン</t>
    </rPh>
    <rPh sb="36" eb="37">
      <t>ベツ</t>
    </rPh>
    <rPh sb="38" eb="40">
      <t>カモク</t>
    </rPh>
    <rPh sb="40" eb="41">
      <t>ベツ</t>
    </rPh>
    <rPh sb="42" eb="45">
      <t>シイレサキ</t>
    </rPh>
    <rPh sb="45" eb="46">
      <t>ベツ</t>
    </rPh>
    <rPh sb="47" eb="49">
      <t>シハライ</t>
    </rPh>
    <rPh sb="49" eb="52">
      <t>キジュンビ</t>
    </rPh>
    <rPh sb="53" eb="56">
      <t>シハライビ</t>
    </rPh>
    <phoneticPr fontId="3"/>
  </si>
  <si>
    <t>Rep065 仕入先明細の情報では対応できないか</t>
    <rPh sb="7" eb="10">
      <t>シイレサキ</t>
    </rPh>
    <rPh sb="10" eb="12">
      <t>メイサイ</t>
    </rPh>
    <rPh sb="13" eb="15">
      <t>ジョウホウ</t>
    </rPh>
    <rPh sb="17" eb="19">
      <t>タイオウ</t>
    </rPh>
    <phoneticPr fontId="6"/>
  </si>
  <si>
    <t>Req328</t>
  </si>
  <si>
    <t>各部課の費用をどの部門へどの割合で配賦させるかを登録できること</t>
    <phoneticPr fontId="6"/>
  </si>
  <si>
    <t>予算（費用）の配賦割合を登録できる機能</t>
    <rPh sb="0" eb="2">
      <t>ヨサン</t>
    </rPh>
    <rPh sb="3" eb="5">
      <t>ヒヨウ</t>
    </rPh>
    <rPh sb="9" eb="11">
      <t>ワリアイ</t>
    </rPh>
    <rPh sb="12" eb="14">
      <t>トウロク</t>
    </rPh>
    <rPh sb="17" eb="19">
      <t>キノウ</t>
    </rPh>
    <phoneticPr fontId="3"/>
  </si>
  <si>
    <t>予算</t>
    <rPh sb="0" eb="2">
      <t>ヨサン</t>
    </rPh>
    <phoneticPr fontId="6"/>
  </si>
  <si>
    <t>経営計画G</t>
    <rPh sb="0" eb="4">
      <t>ケイエイケイカク</t>
    </rPh>
    <phoneticPr fontId="6"/>
  </si>
  <si>
    <t>SEJ予算作成</t>
    <rPh sb="3" eb="5">
      <t>ヨサン</t>
    </rPh>
    <rPh sb="5" eb="7">
      <t>サクセイ</t>
    </rPh>
    <phoneticPr fontId="6"/>
  </si>
  <si>
    <t>予算計画に対しての配賦機能あり。標準の配賦機能で現行の要件を対応できるか要検討。</t>
    <rPh sb="0" eb="2">
      <t>ヨサン</t>
    </rPh>
    <rPh sb="2" eb="4">
      <t>ケイカク</t>
    </rPh>
    <rPh sb="5" eb="6">
      <t>タイ</t>
    </rPh>
    <rPh sb="9" eb="11">
      <t>ハイフ</t>
    </rPh>
    <rPh sb="11" eb="13">
      <t>キノウ</t>
    </rPh>
    <rPh sb="21" eb="23">
      <t>キノウ</t>
    </rPh>
    <rPh sb="37" eb="39">
      <t>ケントウ</t>
    </rPh>
    <phoneticPr fontId="6"/>
  </si>
  <si>
    <t>Req329</t>
  </si>
  <si>
    <t>担当者に配布するための販売／人件費／経費それぞれの入力フォーマットが必要</t>
  </si>
  <si>
    <t>販売／人件費／経費それぞれの入力フォーマットを各予算担当者に配布できること。</t>
  </si>
  <si>
    <t>SEJ事業計画部</t>
    <rPh sb="3" eb="7">
      <t>ジギョウケイカク</t>
    </rPh>
    <rPh sb="7" eb="8">
      <t>ブ</t>
    </rPh>
    <phoneticPr fontId="6"/>
  </si>
  <si>
    <t xml:space="preserve">担当者に配賦するフォーマットの種類の整理
</t>
    <rPh sb="0" eb="3">
      <t>タントウシャ</t>
    </rPh>
    <rPh sb="4" eb="6">
      <t>ハイフ</t>
    </rPh>
    <rPh sb="15" eb="17">
      <t>シュルイ</t>
    </rPh>
    <rPh sb="18" eb="20">
      <t>セイリ</t>
    </rPh>
    <phoneticPr fontId="6"/>
  </si>
  <si>
    <t>20240321　SEJは参考資料で提出したシート「SEJ一般経費・営業外」と「SEJ人件費」のフォーマット
SSJはチャネルごとに「SSJPL」部課ごとに「SSJ経費」を12か月レイアウトで収集</t>
    <rPh sb="13" eb="17">
      <t>サンコウシリョウ</t>
    </rPh>
    <rPh sb="18" eb="20">
      <t>テイシュツ</t>
    </rPh>
    <phoneticPr fontId="6"/>
  </si>
  <si>
    <t>予算計画毎に登録レイアウトの設定が可能</t>
    <rPh sb="0" eb="2">
      <t>ヨサン</t>
    </rPh>
    <rPh sb="2" eb="4">
      <t>ケイカク</t>
    </rPh>
    <rPh sb="4" eb="5">
      <t>ゴト</t>
    </rPh>
    <rPh sb="6" eb="8">
      <t>トウロク</t>
    </rPh>
    <rPh sb="14" eb="16">
      <t>セッテイ</t>
    </rPh>
    <rPh sb="17" eb="19">
      <t>カノウ</t>
    </rPh>
    <phoneticPr fontId="6"/>
  </si>
  <si>
    <t>Req330</t>
    <phoneticPr fontId="6"/>
  </si>
  <si>
    <t>AS/400に直接登録された全部門の予算を取り込めること</t>
    <phoneticPr fontId="6"/>
  </si>
  <si>
    <t>AS/400に登録された予算データを取り込めること</t>
    <rPh sb="7" eb="9">
      <t>トウロク</t>
    </rPh>
    <rPh sb="12" eb="14">
      <t>ヨサン</t>
    </rPh>
    <rPh sb="18" eb="19">
      <t>ト</t>
    </rPh>
    <rPh sb="20" eb="21">
      <t>コ</t>
    </rPh>
    <phoneticPr fontId="3"/>
  </si>
  <si>
    <t>AS400経由不要となる経費関連科目の整理</t>
    <rPh sb="5" eb="7">
      <t>ケイユ</t>
    </rPh>
    <rPh sb="7" eb="9">
      <t>フヨウ</t>
    </rPh>
    <rPh sb="12" eb="14">
      <t>ケイヒ</t>
    </rPh>
    <rPh sb="14" eb="16">
      <t>カンレン</t>
    </rPh>
    <rPh sb="16" eb="18">
      <t>カモク</t>
    </rPh>
    <rPh sb="19" eb="21">
      <t>セイリ</t>
    </rPh>
    <phoneticPr fontId="6"/>
  </si>
  <si>
    <t>20240321　SEJ　人件費はAS400経由ではなく、FO予算計画に直接登録でもよさそう</t>
    <rPh sb="13" eb="16">
      <t>ジンケンヒ</t>
    </rPh>
    <rPh sb="22" eb="24">
      <t>ケイユ</t>
    </rPh>
    <rPh sb="31" eb="35">
      <t>ヨサンケイカク</t>
    </rPh>
    <rPh sb="36" eb="38">
      <t>チョクセツ</t>
    </rPh>
    <rPh sb="38" eb="40">
      <t>トウロク</t>
    </rPh>
    <phoneticPr fontId="6"/>
  </si>
  <si>
    <t>予算計画へのEXCELアドインでのアップロード機能はあるが、大量データの取込用には別途アドオンを推奨</t>
  </si>
  <si>
    <t>AS400での予算登録は販売計画・生産計画を想定、取込形式は各1ファイルずつであり、アップロードを想定
※「大量データ」とは、取込ファイル数が大量という意味と理解している</t>
    <rPh sb="7" eb="9">
      <t>ヨサン</t>
    </rPh>
    <rPh sb="9" eb="11">
      <t>トウロク</t>
    </rPh>
    <rPh sb="12" eb="14">
      <t>ハンバイ</t>
    </rPh>
    <rPh sb="14" eb="16">
      <t>ケイカク</t>
    </rPh>
    <rPh sb="17" eb="19">
      <t>セイサン</t>
    </rPh>
    <rPh sb="19" eb="21">
      <t>ケイカク</t>
    </rPh>
    <rPh sb="22" eb="24">
      <t>ソウテイ</t>
    </rPh>
    <rPh sb="25" eb="27">
      <t>トリコミ</t>
    </rPh>
    <rPh sb="27" eb="29">
      <t>ケイシキ</t>
    </rPh>
    <rPh sb="30" eb="31">
      <t>カク</t>
    </rPh>
    <rPh sb="49" eb="51">
      <t>ソウテイ</t>
    </rPh>
    <rPh sb="54" eb="56">
      <t>タイリョウ</t>
    </rPh>
    <rPh sb="63" eb="65">
      <t>トリコミ</t>
    </rPh>
    <rPh sb="69" eb="70">
      <t>スウ</t>
    </rPh>
    <rPh sb="71" eb="73">
      <t>タイリョウ</t>
    </rPh>
    <rPh sb="76" eb="78">
      <t>イミ</t>
    </rPh>
    <rPh sb="79" eb="81">
      <t>リカイ</t>
    </rPh>
    <phoneticPr fontId="6"/>
  </si>
  <si>
    <t>Req331</t>
  </si>
  <si>
    <t>予算に対応する実績を配賦する。</t>
    <rPh sb="0" eb="2">
      <t>ヨサン</t>
    </rPh>
    <rPh sb="3" eb="5">
      <t>タイオウ</t>
    </rPh>
    <rPh sb="7" eb="9">
      <t>ジッセキ</t>
    </rPh>
    <phoneticPr fontId="3"/>
  </si>
  <si>
    <t>予算に対応する実績を配賦する機能。</t>
    <rPh sb="0" eb="2">
      <t>ヨサン</t>
    </rPh>
    <rPh sb="3" eb="5">
      <t>タイオウ</t>
    </rPh>
    <rPh sb="7" eb="9">
      <t>ジッセキ</t>
    </rPh>
    <rPh sb="14" eb="16">
      <t>キノウ</t>
    </rPh>
    <phoneticPr fontId="3"/>
  </si>
  <si>
    <t>配賦要件整理、売上高比、固定費配賦のほかにある？</t>
    <rPh sb="0" eb="4">
      <t>ハイフヨウケン</t>
    </rPh>
    <rPh sb="4" eb="6">
      <t>セイリ</t>
    </rPh>
    <rPh sb="7" eb="9">
      <t>ウリアゲ</t>
    </rPh>
    <rPh sb="9" eb="10">
      <t>ダカ</t>
    </rPh>
    <rPh sb="10" eb="11">
      <t>ヒ</t>
    </rPh>
    <rPh sb="12" eb="15">
      <t>コテイヒ</t>
    </rPh>
    <rPh sb="15" eb="17">
      <t>ハイフ</t>
    </rPh>
    <phoneticPr fontId="6"/>
  </si>
  <si>
    <t>20240321　売上高比と固定比率での配賦のみ</t>
    <rPh sb="9" eb="12">
      <t>ウリアゲタカ</t>
    </rPh>
    <rPh sb="12" eb="13">
      <t>ヒ</t>
    </rPh>
    <rPh sb="14" eb="18">
      <t>コテイヒリツ</t>
    </rPh>
    <rPh sb="20" eb="22">
      <t>ハイフ</t>
    </rPh>
    <phoneticPr fontId="6"/>
  </si>
  <si>
    <t>一般会計モジュールの配賦処理の実行で実績配賦可能。標準の配賦機能で現行の要件を対応できるか要検討。</t>
    <rPh sb="0" eb="4">
      <t>イッパンカイケイ</t>
    </rPh>
    <rPh sb="10" eb="12">
      <t>ハイフ</t>
    </rPh>
    <rPh sb="12" eb="14">
      <t>ショリ</t>
    </rPh>
    <rPh sb="15" eb="17">
      <t>ジッコウ</t>
    </rPh>
    <rPh sb="18" eb="20">
      <t>ジッセキ</t>
    </rPh>
    <rPh sb="20" eb="22">
      <t>ハイフ</t>
    </rPh>
    <rPh sb="22" eb="24">
      <t>カノウ</t>
    </rPh>
    <rPh sb="25" eb="27">
      <t>ヒョウジュン</t>
    </rPh>
    <rPh sb="28" eb="30">
      <t>ハイフ</t>
    </rPh>
    <rPh sb="30" eb="32">
      <t>キノウ</t>
    </rPh>
    <rPh sb="33" eb="35">
      <t>ゲンコウ</t>
    </rPh>
    <rPh sb="36" eb="38">
      <t>ヨウケン</t>
    </rPh>
    <rPh sb="39" eb="41">
      <t>タイオウ</t>
    </rPh>
    <rPh sb="45" eb="46">
      <t>ヨウ</t>
    </rPh>
    <rPh sb="46" eb="48">
      <t>ケントウ</t>
    </rPh>
    <phoneticPr fontId="6"/>
  </si>
  <si>
    <t>Req332</t>
    <phoneticPr fontId="6"/>
  </si>
  <si>
    <t>2.2で登録されたされた予算と対応する実績が比較できること</t>
  </si>
  <si>
    <t>予実対比表</t>
    <rPh sb="0" eb="2">
      <t>ヨジツ</t>
    </rPh>
    <rPh sb="2" eb="5">
      <t>タイヒヒョウ</t>
    </rPh>
    <phoneticPr fontId="3"/>
  </si>
  <si>
    <t>MRで予実対比表作成</t>
    <rPh sb="3" eb="5">
      <t>ヨジツ</t>
    </rPh>
    <rPh sb="5" eb="8">
      <t>タイヒヒョウ</t>
    </rPh>
    <rPh sb="8" eb="10">
      <t>サクセイ</t>
    </rPh>
    <phoneticPr fontId="6"/>
  </si>
  <si>
    <t>Req333</t>
  </si>
  <si>
    <t>2.2で登録されたされた予算と対応する前年度実績と今年度実績が比較できること（年度・月度単位、部課・G勘定別）</t>
    <phoneticPr fontId="6"/>
  </si>
  <si>
    <t>(前年度実績の表示を含めた）予実対比表</t>
    <rPh sb="1" eb="4">
      <t>ゼンネンド</t>
    </rPh>
    <rPh sb="4" eb="6">
      <t>ジッセキ</t>
    </rPh>
    <rPh sb="7" eb="9">
      <t>ヒョウジ</t>
    </rPh>
    <rPh sb="10" eb="11">
      <t>フク</t>
    </rPh>
    <rPh sb="14" eb="16">
      <t>ヨジツ</t>
    </rPh>
    <rPh sb="16" eb="19">
      <t>タイヒヒョウ</t>
    </rPh>
    <phoneticPr fontId="3"/>
  </si>
  <si>
    <t>MRで前年比較の予実対比表作成</t>
    <rPh sb="3" eb="5">
      <t>ゼンネン</t>
    </rPh>
    <rPh sb="5" eb="7">
      <t>ヒカク</t>
    </rPh>
    <rPh sb="8" eb="10">
      <t>ヨジツ</t>
    </rPh>
    <rPh sb="10" eb="13">
      <t>タイヒヒョウ</t>
    </rPh>
    <rPh sb="13" eb="15">
      <t>サクセイ</t>
    </rPh>
    <phoneticPr fontId="6"/>
  </si>
  <si>
    <t>Req334</t>
  </si>
  <si>
    <t>新会計システムに登録された予算をAS/400に戻せること
※生産部門に要確認</t>
  </si>
  <si>
    <r>
      <rPr>
        <strike/>
        <sz val="11"/>
        <color rgb="FFFF0000"/>
        <rFont val="Meiryo UI"/>
        <family val="3"/>
        <charset val="128"/>
      </rPr>
      <t>新会計システムに登録された予算データをAS/400に取り込めること</t>
    </r>
    <r>
      <rPr>
        <sz val="11"/>
        <rFont val="Meiryo UI"/>
        <family val="3"/>
      </rPr>
      <t>→一元管理のためD365で予実を確認</t>
    </r>
    <rPh sb="0" eb="1">
      <t>シン</t>
    </rPh>
    <rPh sb="1" eb="3">
      <t>カイケイ</t>
    </rPh>
    <rPh sb="8" eb="10">
      <t>トウロク</t>
    </rPh>
    <rPh sb="13" eb="15">
      <t>ヨサン</t>
    </rPh>
    <rPh sb="26" eb="27">
      <t>ト</t>
    </rPh>
    <rPh sb="28" eb="29">
      <t>コ</t>
    </rPh>
    <rPh sb="34" eb="38">
      <t>イチゲンカンリ</t>
    </rPh>
    <rPh sb="46" eb="48">
      <t>ヨジツ</t>
    </rPh>
    <rPh sb="49" eb="51">
      <t>カクニン</t>
    </rPh>
    <phoneticPr fontId="3"/>
  </si>
  <si>
    <t>AS400への戻しは不要？</t>
    <phoneticPr fontId="6"/>
  </si>
  <si>
    <t>20240321継続確認
→D365で一般管理費の予実を確認するため、AS400への戻しは不要。AS400側の一般経費参照は使用不可とする。（4/3 武市）</t>
    <rPh sb="8" eb="10">
      <t>ケイゾク</t>
    </rPh>
    <rPh sb="10" eb="12">
      <t>カクニン</t>
    </rPh>
    <rPh sb="19" eb="24">
      <t>イッパンカンリヒ</t>
    </rPh>
    <rPh sb="25" eb="27">
      <t>ヨジツ</t>
    </rPh>
    <rPh sb="28" eb="30">
      <t>カクニン</t>
    </rPh>
    <rPh sb="42" eb="43">
      <t>モド</t>
    </rPh>
    <rPh sb="45" eb="47">
      <t>フヨウ</t>
    </rPh>
    <rPh sb="53" eb="54">
      <t>ガワ</t>
    </rPh>
    <rPh sb="55" eb="61">
      <t>イッパンケイヒサンショウ</t>
    </rPh>
    <rPh sb="62" eb="66">
      <t>シヨウフカ</t>
    </rPh>
    <rPh sb="75" eb="77">
      <t>タケイチ</t>
    </rPh>
    <phoneticPr fontId="6"/>
  </si>
  <si>
    <t>AS400への戻しは不要？
必要な場合、MR帳票でEXCEL出力した予算データを編集してAS400へ取込。
またはアドイン開発</t>
    <rPh sb="14" eb="16">
      <t>ヒツヨウ</t>
    </rPh>
    <rPh sb="17" eb="19">
      <t>バアイ</t>
    </rPh>
    <rPh sb="22" eb="24">
      <t>チョウヒョウ</t>
    </rPh>
    <rPh sb="30" eb="32">
      <t>シュツリョク</t>
    </rPh>
    <rPh sb="34" eb="36">
      <t>ヨサン</t>
    </rPh>
    <rPh sb="40" eb="42">
      <t>ヘンシュウ</t>
    </rPh>
    <rPh sb="50" eb="52">
      <t>トリコミ</t>
    </rPh>
    <rPh sb="61" eb="63">
      <t>カイハツ</t>
    </rPh>
    <phoneticPr fontId="6"/>
  </si>
  <si>
    <t>判断不可能（SE事業計画部）
4/3 スコープをOUT（武市）</t>
    <rPh sb="28" eb="30">
      <t>タケイチ</t>
    </rPh>
    <phoneticPr fontId="6"/>
  </si>
  <si>
    <t>Req335</t>
  </si>
  <si>
    <t>予算は「チャネル／ブランド／カテゴリー」の３軸を別々で登録可能なこと。また、３軸のそれぞれの合計は一致する事。</t>
    <rPh sb="0" eb="2">
      <t>ヨサン</t>
    </rPh>
    <rPh sb="22" eb="23">
      <t>ジク</t>
    </rPh>
    <rPh sb="24" eb="26">
      <t>ベツベツ</t>
    </rPh>
    <rPh sb="27" eb="31">
      <t>トウロクカノウ</t>
    </rPh>
    <rPh sb="39" eb="40">
      <t>ジク</t>
    </rPh>
    <rPh sb="46" eb="48">
      <t>ゴウケイ</t>
    </rPh>
    <rPh sb="49" eb="51">
      <t>イッチ</t>
    </rPh>
    <rPh sb="53" eb="54">
      <t>コト</t>
    </rPh>
    <phoneticPr fontId="3"/>
  </si>
  <si>
    <t>同一勘定科目に対する複数の予算の登録機能。</t>
    <rPh sb="0" eb="2">
      <t>ドウイツ</t>
    </rPh>
    <rPh sb="2" eb="6">
      <t>カンジョウカモク</t>
    </rPh>
    <rPh sb="7" eb="8">
      <t>タイ</t>
    </rPh>
    <rPh sb="10" eb="12">
      <t>フクスウ</t>
    </rPh>
    <rPh sb="13" eb="15">
      <t>ヨサン</t>
    </rPh>
    <rPh sb="16" eb="20">
      <t>トウロクキノウ</t>
    </rPh>
    <phoneticPr fontId="3"/>
  </si>
  <si>
    <t>SSJ事業計画部</t>
    <rPh sb="3" eb="7">
      <t>ジギョウケイカク</t>
    </rPh>
    <rPh sb="7" eb="8">
      <t>ブ</t>
    </rPh>
    <phoneticPr fontId="6"/>
  </si>
  <si>
    <t>予算登録のフォーマットは科目/チャネル/ブランド/カテゴリで想定しているがイメージとあっているか？</t>
    <rPh sb="0" eb="2">
      <t>ヨサン</t>
    </rPh>
    <rPh sb="2" eb="4">
      <t>トウロク</t>
    </rPh>
    <rPh sb="12" eb="14">
      <t>カモク</t>
    </rPh>
    <rPh sb="30" eb="32">
      <t>ソウテイ</t>
    </rPh>
    <phoneticPr fontId="6"/>
  </si>
  <si>
    <t>20240321 今後はそうなる想定
現在実績でチャネルの情報がないが新システムでは仕訳トランザクションの財務分析コードにチャネル情報を設定するよう各種IFやエントリを整理していく必要あり</t>
    <rPh sb="9" eb="11">
      <t>コンゴ</t>
    </rPh>
    <rPh sb="16" eb="18">
      <t>ソウテイ</t>
    </rPh>
    <rPh sb="19" eb="21">
      <t>ゲンザイ</t>
    </rPh>
    <rPh sb="21" eb="23">
      <t>ジッセキ</t>
    </rPh>
    <rPh sb="29" eb="31">
      <t>ジョウホウ</t>
    </rPh>
    <rPh sb="35" eb="36">
      <t>シン</t>
    </rPh>
    <rPh sb="42" eb="44">
      <t>シワケ</t>
    </rPh>
    <rPh sb="53" eb="55">
      <t>ザイム</t>
    </rPh>
    <rPh sb="55" eb="57">
      <t>ブンセキ</t>
    </rPh>
    <rPh sb="65" eb="67">
      <t>ジョウホウ</t>
    </rPh>
    <rPh sb="68" eb="70">
      <t>セッテイ</t>
    </rPh>
    <rPh sb="74" eb="76">
      <t>カクシュ</t>
    </rPh>
    <rPh sb="84" eb="86">
      <t>セイリ</t>
    </rPh>
    <rPh sb="90" eb="92">
      <t>ヒツヨウ</t>
    </rPh>
    <phoneticPr fontId="6"/>
  </si>
  <si>
    <t>SSJ予算作成</t>
    <rPh sb="3" eb="5">
      <t>ヨサン</t>
    </rPh>
    <rPh sb="5" eb="7">
      <t>サクセイ</t>
    </rPh>
    <phoneticPr fontId="6"/>
  </si>
  <si>
    <t>予算は別々で登録管理可能であるが、3軸の関連から配賦処理等を行っていたり科目の合計を一致させる場合、3軸別々ではなく、科目/チャネル/ブランド/カテゴリで予算レコードを管理する必要あり。</t>
    <rPh sb="0" eb="2">
      <t>ヨサン</t>
    </rPh>
    <rPh sb="3" eb="5">
      <t>ベツベツ</t>
    </rPh>
    <rPh sb="6" eb="8">
      <t>トウロク</t>
    </rPh>
    <rPh sb="8" eb="10">
      <t>カンリ</t>
    </rPh>
    <rPh sb="10" eb="12">
      <t>カノウ</t>
    </rPh>
    <rPh sb="18" eb="19">
      <t>ジク</t>
    </rPh>
    <rPh sb="20" eb="22">
      <t>カンレン</t>
    </rPh>
    <rPh sb="24" eb="28">
      <t>ハイフショリ</t>
    </rPh>
    <rPh sb="28" eb="29">
      <t>トウ</t>
    </rPh>
    <rPh sb="30" eb="31">
      <t>オコナ</t>
    </rPh>
    <rPh sb="36" eb="38">
      <t>カモク</t>
    </rPh>
    <rPh sb="39" eb="41">
      <t>ゴウケイ</t>
    </rPh>
    <rPh sb="42" eb="44">
      <t>イッチ</t>
    </rPh>
    <rPh sb="47" eb="49">
      <t>バアイ</t>
    </rPh>
    <rPh sb="51" eb="52">
      <t>ジク</t>
    </rPh>
    <rPh sb="52" eb="54">
      <t>ベツベツ</t>
    </rPh>
    <rPh sb="59" eb="61">
      <t>カモク</t>
    </rPh>
    <rPh sb="77" eb="79">
      <t>ヨサン</t>
    </rPh>
    <rPh sb="84" eb="86">
      <t>カンリ</t>
    </rPh>
    <rPh sb="88" eb="90">
      <t>ヒツヨウ</t>
    </rPh>
    <phoneticPr fontId="6"/>
  </si>
  <si>
    <t>Req336</t>
    <phoneticPr fontId="6"/>
  </si>
  <si>
    <t>mcframeに直接登録された生産部門の予算を取り込めること</t>
    <phoneticPr fontId="6"/>
  </si>
  <si>
    <t>mcframeに登録された予算データを取り込めること</t>
  </si>
  <si>
    <t>Mcframeでの予算登録は販売計画・生産計画を想定、取込形式は各1ファイルずつであり、アップロードを想定
※「大量データ」とは、取込ファイル数が大量という意味と理解している</t>
    <rPh sb="9" eb="11">
      <t>ヨサン</t>
    </rPh>
    <rPh sb="11" eb="13">
      <t>トウロク</t>
    </rPh>
    <rPh sb="14" eb="16">
      <t>ハンバイ</t>
    </rPh>
    <rPh sb="16" eb="18">
      <t>ケイカク</t>
    </rPh>
    <rPh sb="19" eb="21">
      <t>セイサン</t>
    </rPh>
    <rPh sb="21" eb="23">
      <t>ケイカク</t>
    </rPh>
    <rPh sb="24" eb="26">
      <t>ソウテイ</t>
    </rPh>
    <rPh sb="27" eb="29">
      <t>トリコミ</t>
    </rPh>
    <rPh sb="29" eb="31">
      <t>ケイシキ</t>
    </rPh>
    <rPh sb="32" eb="33">
      <t>カク</t>
    </rPh>
    <rPh sb="51" eb="53">
      <t>ソウテイ</t>
    </rPh>
    <rPh sb="56" eb="58">
      <t>タイリョウ</t>
    </rPh>
    <rPh sb="65" eb="67">
      <t>トリコミ</t>
    </rPh>
    <rPh sb="71" eb="72">
      <t>スウ</t>
    </rPh>
    <rPh sb="73" eb="75">
      <t>タイリョウ</t>
    </rPh>
    <rPh sb="78" eb="80">
      <t>イミ</t>
    </rPh>
    <rPh sb="81" eb="83">
      <t>リカイ</t>
    </rPh>
    <phoneticPr fontId="6"/>
  </si>
  <si>
    <t>Req337</t>
  </si>
  <si>
    <t>Req338</t>
  </si>
  <si>
    <t>1.1で登録されたされた予算と対応する実績が比較できること</t>
    <rPh sb="4" eb="6">
      <t>トウロク</t>
    </rPh>
    <rPh sb="12" eb="14">
      <t>ヨサン</t>
    </rPh>
    <rPh sb="15" eb="17">
      <t>タイオウ</t>
    </rPh>
    <rPh sb="19" eb="21">
      <t>ジッセキ</t>
    </rPh>
    <rPh sb="22" eb="24">
      <t>ヒカク</t>
    </rPh>
    <phoneticPr fontId="3"/>
  </si>
  <si>
    <t>Req339</t>
  </si>
  <si>
    <t>計画に対する対策が提案できること。(過去のデータを含めてＡＩ等を使って未来予測、競合他社情報にて提案があれば望ましい。)</t>
  </si>
  <si>
    <t>計画に対する対策の提案機能</t>
    <rPh sb="9" eb="13">
      <t>テイアンキノウ</t>
    </rPh>
    <phoneticPr fontId="3"/>
  </si>
  <si>
    <t>MS社では、Dynamics 365 Copilot(AI)を今後リリース予定であるが、適用機能や使用方法の情報はこれからのため、本プロジェクトでは、当該機能の実装は見送り、FOの新機能情報をウォッチするにとどめる。</t>
    <rPh sb="44" eb="46">
      <t>テキヨウ</t>
    </rPh>
    <rPh sb="46" eb="48">
      <t>キノウ</t>
    </rPh>
    <rPh sb="49" eb="51">
      <t>シヨウ</t>
    </rPh>
    <rPh sb="51" eb="53">
      <t>ホウホウ</t>
    </rPh>
    <phoneticPr fontId="6"/>
  </si>
  <si>
    <t>Req340</t>
  </si>
  <si>
    <t>ＤＭのリターンやＰＡＹＰＡＹの効果等の効果を測定できること。</t>
    <rPh sb="17" eb="18">
      <t>トウ</t>
    </rPh>
    <rPh sb="19" eb="21">
      <t>コウカ</t>
    </rPh>
    <rPh sb="22" eb="24">
      <t>ソクテイ</t>
    </rPh>
    <phoneticPr fontId="3"/>
  </si>
  <si>
    <t>ＤＭのリターンやＰＡＹＰＡＹの効果等の効果を測定する機能</t>
    <rPh sb="17" eb="18">
      <t>トウ</t>
    </rPh>
    <rPh sb="19" eb="21">
      <t>コウカ</t>
    </rPh>
    <rPh sb="22" eb="24">
      <t>ソクテイ</t>
    </rPh>
    <rPh sb="26" eb="28">
      <t>キノウ</t>
    </rPh>
    <phoneticPr fontId="3"/>
  </si>
  <si>
    <t>当該機能は「会計」の範疇を外れるため、本プロジェクトとは別のプロジェクトにて検討を進める。</t>
    <phoneticPr fontId="6"/>
  </si>
  <si>
    <t>Req341</t>
  </si>
  <si>
    <t>SSJ、SEJ、SLJ以外の法人の予算／実績／見込情報を登録できること</t>
    <rPh sb="11" eb="13">
      <t>イガイ</t>
    </rPh>
    <rPh sb="14" eb="16">
      <t>ホウジン</t>
    </rPh>
    <rPh sb="17" eb="19">
      <t>ヨサン</t>
    </rPh>
    <rPh sb="20" eb="22">
      <t>ジッセキ</t>
    </rPh>
    <rPh sb="23" eb="25">
      <t>ミコ</t>
    </rPh>
    <rPh sb="25" eb="27">
      <t>ジョウホウ</t>
    </rPh>
    <rPh sb="28" eb="30">
      <t>トウロク</t>
    </rPh>
    <phoneticPr fontId="3"/>
  </si>
  <si>
    <t>SSJ、SEJ、SLJ以外の法人の予算／実績／見込情報を登録できる機能</t>
    <rPh sb="11" eb="13">
      <t>イガイ</t>
    </rPh>
    <rPh sb="14" eb="16">
      <t>ホウジン</t>
    </rPh>
    <rPh sb="17" eb="19">
      <t>ヨサン</t>
    </rPh>
    <rPh sb="20" eb="22">
      <t>ジッセキ</t>
    </rPh>
    <rPh sb="23" eb="25">
      <t>ミコ</t>
    </rPh>
    <rPh sb="25" eb="27">
      <t>ジョウホウ</t>
    </rPh>
    <rPh sb="28" eb="30">
      <t>トウロク</t>
    </rPh>
    <rPh sb="33" eb="35">
      <t>キノウ</t>
    </rPh>
    <phoneticPr fontId="3"/>
  </si>
  <si>
    <t>グローバル損益管理</t>
    <rPh sb="5" eb="7">
      <t>ソンエキ</t>
    </rPh>
    <rPh sb="7" eb="9">
      <t>カンリ</t>
    </rPh>
    <phoneticPr fontId="6"/>
  </si>
  <si>
    <r>
      <t>案１：その他法人対応として１つ法人を登録し、当該法人に予算や実績を登録できるようにする。
　　　（同法人内では、財務分析コードを使用して法人を判別する）
　　　　長所：法人別に予実管理ができる。短所：環境構築費用及びメンテナンスコストが増える。
　　</t>
    </r>
    <r>
      <rPr>
        <sz val="9"/>
        <rFont val="Meiryo UI"/>
        <family val="3"/>
        <charset val="128"/>
      </rPr>
      <t>※「見込み」を表示するためにはアドオン開発が必要</t>
    </r>
    <r>
      <rPr>
        <sz val="9"/>
        <rFont val="Meiryo UI"/>
        <family val="3"/>
      </rPr>
      <t xml:space="preserve">
案２：FO外で管理する。
　　　　長所：本プロジェクトに対するコストインパクトはない。短所：現状と同じく別システムになる</t>
    </r>
    <rPh sb="0" eb="1">
      <t>アン</t>
    </rPh>
    <rPh sb="5" eb="6">
      <t>タ</t>
    </rPh>
    <rPh sb="6" eb="8">
      <t>ホウジン</t>
    </rPh>
    <rPh sb="8" eb="10">
      <t>タイオウ</t>
    </rPh>
    <rPh sb="15" eb="17">
      <t>ホウジン</t>
    </rPh>
    <rPh sb="18" eb="20">
      <t>トウロク</t>
    </rPh>
    <rPh sb="22" eb="24">
      <t>トウガイ</t>
    </rPh>
    <rPh sb="24" eb="26">
      <t>ホウジン</t>
    </rPh>
    <rPh sb="27" eb="29">
      <t>ヨサン</t>
    </rPh>
    <rPh sb="30" eb="32">
      <t>ジッセキ</t>
    </rPh>
    <rPh sb="33" eb="35">
      <t>トウロク</t>
    </rPh>
    <rPh sb="49" eb="50">
      <t>ドウ</t>
    </rPh>
    <rPh sb="50" eb="53">
      <t>ホウジンナイ</t>
    </rPh>
    <rPh sb="56" eb="58">
      <t>ザイム</t>
    </rPh>
    <rPh sb="58" eb="60">
      <t>ブンセキ</t>
    </rPh>
    <rPh sb="64" eb="66">
      <t>シヨウ</t>
    </rPh>
    <rPh sb="68" eb="70">
      <t>ホウジン</t>
    </rPh>
    <rPh sb="71" eb="73">
      <t>ハンベツ</t>
    </rPh>
    <rPh sb="81" eb="83">
      <t>チョウショ</t>
    </rPh>
    <rPh sb="84" eb="87">
      <t>ホウジンベツ</t>
    </rPh>
    <rPh sb="88" eb="90">
      <t>ヨジツ</t>
    </rPh>
    <rPh sb="90" eb="92">
      <t>カンリ</t>
    </rPh>
    <rPh sb="97" eb="99">
      <t>タンショ</t>
    </rPh>
    <rPh sb="100" eb="106">
      <t>カンキョウコウチクヒヨウ</t>
    </rPh>
    <rPh sb="106" eb="107">
      <t>オヨ</t>
    </rPh>
    <rPh sb="167" eb="169">
      <t>チョウショ</t>
    </rPh>
    <rPh sb="170" eb="171">
      <t>ホン</t>
    </rPh>
    <rPh sb="178" eb="179">
      <t>タイ</t>
    </rPh>
    <rPh sb="193" eb="195">
      <t>タンショ</t>
    </rPh>
    <rPh sb="196" eb="198">
      <t>ゲンジョウ</t>
    </rPh>
    <rPh sb="199" eb="200">
      <t>オナ</t>
    </rPh>
    <rPh sb="202" eb="203">
      <t>ベツ</t>
    </rPh>
    <phoneticPr fontId="3"/>
  </si>
  <si>
    <t>Req342</t>
  </si>
  <si>
    <t>予実ともに利益センターに紐づかないJGRへ配賦処理が行えること。</t>
    <rPh sb="0" eb="2">
      <t>ヨジツ</t>
    </rPh>
    <rPh sb="5" eb="7">
      <t>リエキ</t>
    </rPh>
    <rPh sb="21" eb="23">
      <t>ハイフ</t>
    </rPh>
    <rPh sb="23" eb="25">
      <t>ショリ</t>
    </rPh>
    <rPh sb="26" eb="27">
      <t>オコナ</t>
    </rPh>
    <phoneticPr fontId="3"/>
  </si>
  <si>
    <t>利益センターに紐づかないJGRへ予実を配賦する機能。</t>
    <rPh sb="0" eb="2">
      <t>リエキ</t>
    </rPh>
    <rPh sb="23" eb="25">
      <t>キノウ</t>
    </rPh>
    <phoneticPr fontId="3"/>
  </si>
  <si>
    <t>JGR廃止にともない要件消失？</t>
    <rPh sb="3" eb="5">
      <t>ハイシ</t>
    </rPh>
    <rPh sb="10" eb="12">
      <t>ヨウケン</t>
    </rPh>
    <rPh sb="12" eb="14">
      <t>ショウシツ</t>
    </rPh>
    <phoneticPr fontId="6"/>
  </si>
  <si>
    <r>
      <t>20240321　JGRはチャネル</t>
    </r>
    <r>
      <rPr>
        <sz val="9"/>
        <color rgb="FFFF0000"/>
        <rFont val="メイリオ"/>
        <family val="3"/>
        <charset val="128"/>
      </rPr>
      <t>・中位ブランド</t>
    </r>
    <r>
      <rPr>
        <sz val="9"/>
        <rFont val="メイリオ"/>
        <family val="3"/>
        <charset val="128"/>
      </rPr>
      <t>に変更となる
懸念点としてチャネルはJGRよりメッシュが荒いので、現状のJGRをもとにしたカテゴリ配賦等を残すかについては今後調整が必要。</t>
    </r>
    <rPh sb="18" eb="20">
      <t>チュウイ</t>
    </rPh>
    <rPh sb="25" eb="27">
      <t>ヘンコウ</t>
    </rPh>
    <rPh sb="31" eb="34">
      <t>ケネンテン</t>
    </rPh>
    <rPh sb="52" eb="53">
      <t>アラ</t>
    </rPh>
    <rPh sb="57" eb="59">
      <t>ゲンジョウ</t>
    </rPh>
    <rPh sb="73" eb="75">
      <t>ハイフ</t>
    </rPh>
    <rPh sb="75" eb="76">
      <t>トウ</t>
    </rPh>
    <rPh sb="77" eb="78">
      <t>ノコ</t>
    </rPh>
    <rPh sb="85" eb="87">
      <t>コンゴ</t>
    </rPh>
    <rPh sb="87" eb="89">
      <t>チョウセイ</t>
    </rPh>
    <rPh sb="90" eb="92">
      <t>ヒツヨウ</t>
    </rPh>
    <phoneticPr fontId="6"/>
  </si>
  <si>
    <r>
      <t>予算計画に対しての配賦機能あり。一般会計モジュールの配賦処理の実行で実績配賦可能。標準の配賦機能で現行の要件を対応できるか</t>
    </r>
    <r>
      <rPr>
        <sz val="9"/>
        <color rgb="FFFF0000"/>
        <rFont val="メイリオ"/>
        <family val="3"/>
        <charset val="128"/>
      </rPr>
      <t>要検討。←要検討？？（武市）</t>
    </r>
    <rPh sb="0" eb="2">
      <t>ヨサン</t>
    </rPh>
    <rPh sb="2" eb="4">
      <t>ケイカク</t>
    </rPh>
    <rPh sb="5" eb="6">
      <t>タイ</t>
    </rPh>
    <rPh sb="9" eb="11">
      <t>ハイフ</t>
    </rPh>
    <rPh sb="11" eb="13">
      <t>キノウ</t>
    </rPh>
    <rPh sb="66" eb="69">
      <t>ヨウケントウ</t>
    </rPh>
    <rPh sb="72" eb="74">
      <t>タケイチ</t>
    </rPh>
    <phoneticPr fontId="6"/>
  </si>
  <si>
    <t>Req343</t>
  </si>
  <si>
    <t>配賦マスターのメンテナンスが簡易に行えること</t>
    <rPh sb="14" eb="16">
      <t>カンイ</t>
    </rPh>
    <rPh sb="17" eb="18">
      <t>オコナ</t>
    </rPh>
    <phoneticPr fontId="3"/>
  </si>
  <si>
    <t>配賦マスターのメンテナンスする機能</t>
    <rPh sb="15" eb="17">
      <t>キノウ</t>
    </rPh>
    <phoneticPr fontId="3"/>
  </si>
  <si>
    <t>Excelアドインを使用し「元帳配賦ルール」をメンテナンスする。</t>
    <phoneticPr fontId="6"/>
  </si>
  <si>
    <t>Req344</t>
  </si>
  <si>
    <t>請求情報の照会ができること（合計表）</t>
    <rPh sb="2" eb="4">
      <t>ジョウホウ</t>
    </rPh>
    <rPh sb="14" eb="17">
      <t>ゴウケイヒョウ</t>
    </rPh>
    <phoneticPr fontId="3"/>
  </si>
  <si>
    <r>
      <rPr>
        <b/>
        <sz val="9"/>
        <color rgb="FFFF0000"/>
        <rFont val="メイリオ"/>
        <family val="3"/>
        <charset val="128"/>
      </rPr>
      <t>※帳票</t>
    </r>
    <r>
      <rPr>
        <sz val="9"/>
        <rFont val="メイリオ"/>
        <family val="3"/>
        <charset val="128"/>
      </rPr>
      <t xml:space="preserve">
（2024/2/1の債務セッション議事録より）
請求書情報は楽楽精算で確認できる。現状は伝票ごとの明細はあるが合計の項目が欲しい。支払先別に支払合計一覧が欲しい。支払先、支払方法別、支払予定日、金額、買掛金／未払金の別の合計表。明細も欲しい。楽楽精算にも品名情報等はないため品名等は不要。明細には適用と金額が表示されていれば良い。</t>
    </r>
    <rPh sb="1" eb="3">
      <t>チョウヒョウ</t>
    </rPh>
    <rPh sb="14" eb="16">
      <t>サイム</t>
    </rPh>
    <rPh sb="21" eb="24">
      <t>ギジロク</t>
    </rPh>
    <phoneticPr fontId="6"/>
  </si>
  <si>
    <t>規定支払　月末締め翌月20日支払の未決済金額を集計し、支払予定額を確認。支払先別・科目別合計</t>
    <rPh sb="7" eb="8">
      <t>シ</t>
    </rPh>
    <rPh sb="9" eb="11">
      <t>ヨクゲツ</t>
    </rPh>
    <rPh sb="13" eb="14">
      <t>ニチ</t>
    </rPh>
    <rPh sb="36" eb="38">
      <t>シハライ</t>
    </rPh>
    <rPh sb="38" eb="40">
      <t>サキベツ</t>
    </rPh>
    <rPh sb="41" eb="43">
      <t>カモク</t>
    </rPh>
    <rPh sb="43" eb="44">
      <t>ベツ</t>
    </rPh>
    <rPh sb="44" eb="46">
      <t>ゴウケイ</t>
    </rPh>
    <phoneticPr fontId="6"/>
  </si>
  <si>
    <t>Req345</t>
    <phoneticPr fontId="6"/>
  </si>
  <si>
    <t>請求情報の照会ができること（明細表）</t>
    <rPh sb="2" eb="4">
      <t>ジョウホウ</t>
    </rPh>
    <rPh sb="14" eb="16">
      <t>メイサイ</t>
    </rPh>
    <rPh sb="16" eb="17">
      <t>ヒョウ</t>
    </rPh>
    <phoneticPr fontId="3"/>
  </si>
  <si>
    <t>規定支払　月末締め翌月20日支払の未決済金額を集計し、支払予定額を確認。支払方法別</t>
    <rPh sb="7" eb="8">
      <t>シ</t>
    </rPh>
    <rPh sb="9" eb="11">
      <t>ヨクゲツ</t>
    </rPh>
    <rPh sb="13" eb="14">
      <t>ニチ</t>
    </rPh>
    <rPh sb="36" eb="38">
      <t>シハライ</t>
    </rPh>
    <rPh sb="38" eb="40">
      <t>ホウホウ</t>
    </rPh>
    <rPh sb="40" eb="41">
      <t>ベツ</t>
    </rPh>
    <phoneticPr fontId="6"/>
  </si>
  <si>
    <t>Req346</t>
    <phoneticPr fontId="6"/>
  </si>
  <si>
    <t xml:space="preserve">支払日に合わせて支払方法別・支払先別に、国内送金/海外送金のための送金データを自動作成できること
・電子記録債務（電債）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3"/>
  </si>
  <si>
    <t>７．電子記録債務計上・決済</t>
    <rPh sb="2" eb="8">
      <t>デンシキロクサイム</t>
    </rPh>
    <rPh sb="8" eb="10">
      <t>ケイジョウ</t>
    </rPh>
    <rPh sb="11" eb="13">
      <t>ケッサイ</t>
    </rPh>
    <phoneticPr fontId="6"/>
  </si>
  <si>
    <t>連携先（三菱東京UFJ銀行）の電子記録債務データ出力機能をアドオン開発する。</t>
    <rPh sb="0" eb="3">
      <t>レンケイサキ</t>
    </rPh>
    <rPh sb="4" eb="6">
      <t>ミツビシ</t>
    </rPh>
    <rPh sb="6" eb="8">
      <t>トウキョウ</t>
    </rPh>
    <rPh sb="11" eb="13">
      <t>ギンコウ</t>
    </rPh>
    <rPh sb="15" eb="21">
      <t>デンシキロクサイム</t>
    </rPh>
    <rPh sb="24" eb="26">
      <t>シュツリョク</t>
    </rPh>
    <rPh sb="26" eb="28">
      <t>キノウ</t>
    </rPh>
    <rPh sb="33" eb="35">
      <t>カイハツ</t>
    </rPh>
    <phoneticPr fontId="6"/>
  </si>
  <si>
    <t>Dynamics標準で対応しない限り必要</t>
    <rPh sb="8" eb="10">
      <t>ヒョウジュン</t>
    </rPh>
    <rPh sb="11" eb="13">
      <t>タイオウ</t>
    </rPh>
    <rPh sb="16" eb="17">
      <t>カギ</t>
    </rPh>
    <rPh sb="18" eb="20">
      <t>ヒツヨウ</t>
    </rPh>
    <phoneticPr fontId="6"/>
  </si>
  <si>
    <t>Req347</t>
  </si>
  <si>
    <t xml:space="preserve">支払日に合わせて支払方法別・支払先別に、国内送金/海外送金のための送金データを自動作成できること
・電子記録債務（でんさい）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3"/>
  </si>
  <si>
    <t>連携先（三井住友銀行）の電子記録債務データ出力機能をアドオン開発する。</t>
    <rPh sb="0" eb="3">
      <t>レンケイサキ</t>
    </rPh>
    <rPh sb="4" eb="8">
      <t>ミツイスミトモ</t>
    </rPh>
    <rPh sb="8" eb="10">
      <t>ギンコウ</t>
    </rPh>
    <rPh sb="12" eb="18">
      <t>デンシキロクサイム</t>
    </rPh>
    <rPh sb="21" eb="23">
      <t>シュツリョク</t>
    </rPh>
    <rPh sb="23" eb="25">
      <t>キノウ</t>
    </rPh>
    <rPh sb="30" eb="32">
      <t>カイハツ</t>
    </rPh>
    <phoneticPr fontId="6"/>
  </si>
  <si>
    <t>Req348</t>
  </si>
  <si>
    <t>※ISO20022で対応へ方針変更</t>
    <rPh sb="10" eb="12">
      <t>タイオウ</t>
    </rPh>
    <rPh sb="13" eb="17">
      <t>ホウシンヘンコウ</t>
    </rPh>
    <phoneticPr fontId="6"/>
  </si>
  <si>
    <t>標準の全銀協フォーマット、ISO20022フォーマット出力機能を使用する。</t>
    <rPh sb="0" eb="2">
      <t>ヒョウジュン</t>
    </rPh>
    <rPh sb="3" eb="6">
      <t>ゼンギンキョウ</t>
    </rPh>
    <rPh sb="27" eb="31">
      <t>シュツリョクキノウ</t>
    </rPh>
    <rPh sb="32" eb="34">
      <t>シヨウ</t>
    </rPh>
    <phoneticPr fontId="6"/>
  </si>
  <si>
    <t>Req349</t>
  </si>
  <si>
    <t xml:space="preserve">支払日に合わせて支払方法別・支払先別に、国内送金/海外送金のための送金データを自動作成できること
・海外送金（三菱東京UFJ銀行）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rPh sb="50" eb="54">
      <t>カイガイソウキン</t>
    </rPh>
    <rPh sb="55" eb="57">
      <t>ミツビシ</t>
    </rPh>
    <rPh sb="57" eb="59">
      <t>トウキョウ</t>
    </rPh>
    <rPh sb="62" eb="64">
      <t>ギンコウ</t>
    </rPh>
    <phoneticPr fontId="3"/>
  </si>
  <si>
    <t>※ISO20022で対応へ方針変更⇒スコープアウトへ</t>
    <rPh sb="10" eb="12">
      <t>タイオウ</t>
    </rPh>
    <rPh sb="13" eb="17">
      <t>ホウシンヘンコウ</t>
    </rPh>
    <phoneticPr fontId="6"/>
  </si>
  <si>
    <t>連携先（三菱東京UFJ銀行）の海外送金データ出力機能をアドオン開発する。
※ISO20022で対応へ方針変更⇒スコープアウトへ</t>
    <rPh sb="0" eb="3">
      <t>レンケイサキ</t>
    </rPh>
    <rPh sb="4" eb="6">
      <t>ミツビシ</t>
    </rPh>
    <rPh sb="6" eb="8">
      <t>トウキョウ</t>
    </rPh>
    <rPh sb="11" eb="13">
      <t>ギンコウ</t>
    </rPh>
    <rPh sb="15" eb="17">
      <t>カイガイ</t>
    </rPh>
    <rPh sb="17" eb="19">
      <t>ソウキン</t>
    </rPh>
    <rPh sb="22" eb="24">
      <t>シュツリョク</t>
    </rPh>
    <rPh sb="24" eb="26">
      <t>キノウ</t>
    </rPh>
    <rPh sb="31" eb="33">
      <t>カイハツ</t>
    </rPh>
    <phoneticPr fontId="6"/>
  </si>
  <si>
    <t>Req350</t>
  </si>
  <si>
    <t xml:space="preserve">支払日に合わせて支払方法別・支払先別に、国内送金/海外送金のための送金データを自動作成できること
・海外送金（みずほ銀行）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rPh sb="50" eb="54">
      <t>カイガイソウキン</t>
    </rPh>
    <rPh sb="58" eb="60">
      <t>ギンコウ</t>
    </rPh>
    <phoneticPr fontId="3"/>
  </si>
  <si>
    <t>連携先（みずほ銀行）の海外送金データ出力機能をアドオン開発する。
※ISO20022で対応へ方針変更⇒スコープアウトへ</t>
    <rPh sb="0" eb="3">
      <t>レンケイサキ</t>
    </rPh>
    <rPh sb="7" eb="9">
      <t>ギンコウ</t>
    </rPh>
    <rPh sb="11" eb="13">
      <t>カイガイ</t>
    </rPh>
    <rPh sb="13" eb="15">
      <t>ソウキン</t>
    </rPh>
    <rPh sb="18" eb="20">
      <t>シュツリョク</t>
    </rPh>
    <rPh sb="20" eb="22">
      <t>キノウ</t>
    </rPh>
    <rPh sb="27" eb="29">
      <t>カイハツ</t>
    </rPh>
    <phoneticPr fontId="6"/>
  </si>
  <si>
    <t>Req351</t>
  </si>
  <si>
    <t xml:space="preserve">支払日に合わせて支払方法別・支払先別に、国内送金/海外送金のための送金データを自動作成できること
・海外送金（三井住友銀行）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rPh sb="50" eb="54">
      <t>カイガイソウキン</t>
    </rPh>
    <rPh sb="55" eb="59">
      <t>ミツイスミトモ</t>
    </rPh>
    <rPh sb="59" eb="61">
      <t>ギンコウ</t>
    </rPh>
    <phoneticPr fontId="3"/>
  </si>
  <si>
    <t>連携先（三井住友銀行）の海外送金データ出力機能をアドオン開発する。
※ISO20022で対応へ方針変更⇒スコープアウトへ</t>
    <rPh sb="0" eb="3">
      <t>レンケイサキ</t>
    </rPh>
    <rPh sb="4" eb="8">
      <t>ミツイスミトモ</t>
    </rPh>
    <rPh sb="8" eb="10">
      <t>ギンコウ</t>
    </rPh>
    <rPh sb="12" eb="14">
      <t>カイガイ</t>
    </rPh>
    <rPh sb="14" eb="16">
      <t>ソウキン</t>
    </rPh>
    <rPh sb="19" eb="21">
      <t>シュツリョク</t>
    </rPh>
    <rPh sb="21" eb="23">
      <t>キノウ</t>
    </rPh>
    <rPh sb="28" eb="30">
      <t>カイハツ</t>
    </rPh>
    <phoneticPr fontId="6"/>
  </si>
  <si>
    <t>Req352</t>
    <phoneticPr fontId="6"/>
  </si>
  <si>
    <r>
      <rPr>
        <b/>
        <sz val="9"/>
        <rFont val="メイリオ"/>
        <family val="3"/>
        <charset val="128"/>
      </rPr>
      <t>Req265：</t>
    </r>
    <r>
      <rPr>
        <sz val="9"/>
        <rFont val="メイリオ"/>
        <family val="3"/>
        <charset val="128"/>
      </rPr>
      <t xml:space="preserve">建設仮勘定の消費税を別の仮勘定へ振替できること
</t>
    </r>
    <r>
      <rPr>
        <b/>
        <sz val="9"/>
        <rFont val="メイリオ"/>
        <family val="3"/>
        <charset val="128"/>
      </rPr>
      <t>Req299：</t>
    </r>
    <r>
      <rPr>
        <sz val="9"/>
        <rFont val="メイリオ"/>
        <family val="3"/>
        <charset val="128"/>
      </rPr>
      <t xml:space="preserve">建設仮勘定の詳細情報をそのまま、または、複数条件で集計して出力できること
</t>
    </r>
    <r>
      <rPr>
        <b/>
        <sz val="9"/>
        <rFont val="メイリオ"/>
        <family val="3"/>
        <charset val="128"/>
      </rPr>
      <t>Req300：</t>
    </r>
    <r>
      <rPr>
        <sz val="9"/>
        <rFont val="メイリオ"/>
        <family val="3"/>
        <charset val="128"/>
      </rPr>
      <t>建設仮勘定の関連情報の管理ができること</t>
    </r>
    <phoneticPr fontId="6"/>
  </si>
  <si>
    <r>
      <rPr>
        <b/>
        <sz val="9"/>
        <rFont val="メイリオ"/>
        <family val="3"/>
        <charset val="128"/>
      </rPr>
      <t>Req265：</t>
    </r>
    <r>
      <rPr>
        <sz val="9"/>
        <rFont val="メイリオ"/>
        <family val="3"/>
        <charset val="128"/>
      </rPr>
      <t xml:space="preserve">建設仮勘定の本体価額とそれに付随する仮払消費税額を識別できる機能
</t>
    </r>
    <r>
      <rPr>
        <b/>
        <sz val="9"/>
        <rFont val="メイリオ"/>
        <family val="3"/>
        <charset val="128"/>
      </rPr>
      <t>Req299：</t>
    </r>
    <r>
      <rPr>
        <sz val="9"/>
        <rFont val="メイリオ"/>
        <family val="3"/>
        <charset val="128"/>
      </rPr>
      <t xml:space="preserve">建設仮勘定の残高を、取得日、稼働予定日、部門などの条件で抽出し、建設仮勘定明細を出力する機能
</t>
    </r>
    <r>
      <rPr>
        <b/>
        <sz val="9"/>
        <rFont val="メイリオ"/>
        <family val="3"/>
        <charset val="128"/>
      </rPr>
      <t>Req300：</t>
    </r>
    <r>
      <rPr>
        <sz val="9"/>
        <rFont val="メイリオ"/>
        <family val="3"/>
        <charset val="128"/>
      </rPr>
      <t>建設仮勘定に関する基本項目（部門・計上額・科目）、任意項目、申告項目、減損項目、仕訳情報を管理する機能</t>
    </r>
    <phoneticPr fontId="6"/>
  </si>
  <si>
    <t>Req265
Req299
Req300</t>
    <phoneticPr fontId="6"/>
  </si>
  <si>
    <r>
      <t xml:space="preserve">【標準機能】
建設仮勘定（消費税を含む）仕訳入力機能を使用し計上します。プロジェクト完了後、固定資産の勘定科目に転記を行います。
</t>
    </r>
    <r>
      <rPr>
        <b/>
        <sz val="9"/>
        <rFont val="メイリオ"/>
        <family val="3"/>
        <charset val="128"/>
      </rPr>
      <t>⇒財務分析コードの定義（検討）が必要となります</t>
    </r>
    <r>
      <rPr>
        <sz val="9"/>
        <rFont val="メイリオ"/>
        <family val="3"/>
        <charset val="128"/>
      </rPr>
      <t xml:space="preserve">
</t>
    </r>
    <rPh sb="17" eb="18">
      <t>フク</t>
    </rPh>
    <rPh sb="20" eb="22">
      <t>シワケ</t>
    </rPh>
    <rPh sb="22" eb="26">
      <t>ニュウリョクキノウ</t>
    </rPh>
    <rPh sb="27" eb="29">
      <t>シヨウ</t>
    </rPh>
    <rPh sb="30" eb="32">
      <t>ケイジョウ</t>
    </rPh>
    <rPh sb="42" eb="45">
      <t>カンリョウゴ</t>
    </rPh>
    <rPh sb="46" eb="50">
      <t>コテイシサン</t>
    </rPh>
    <rPh sb="51" eb="55">
      <t>カンジョウカモク</t>
    </rPh>
    <rPh sb="56" eb="58">
      <t>テンキ</t>
    </rPh>
    <rPh sb="59" eb="60">
      <t>オコナ</t>
    </rPh>
    <rPh sb="66" eb="70">
      <t>ザイムブンセキ</t>
    </rPh>
    <rPh sb="74" eb="76">
      <t>テイギ</t>
    </rPh>
    <rPh sb="77" eb="79">
      <t>ケントウ</t>
    </rPh>
    <rPh sb="81" eb="83">
      <t>ヒツヨウ</t>
    </rPh>
    <phoneticPr fontId="6"/>
  </si>
  <si>
    <t>Req353</t>
  </si>
  <si>
    <t>仕訳を転記する事前に承認ができる事</t>
  </si>
  <si>
    <t>システム上で承認フローが設定できないので、転記後の仕訳と証憑を以て承認をもらっていた</t>
  </si>
  <si>
    <t>機能によっては設定できない個所もあるので調査要
⇒承認方式、承認ルールをプロジェクト全体で取りまとめる必要がある</t>
    <rPh sb="0" eb="2">
      <t>キノウ</t>
    </rPh>
    <rPh sb="7" eb="9">
      <t>セッテイ</t>
    </rPh>
    <rPh sb="13" eb="15">
      <t>カショ</t>
    </rPh>
    <rPh sb="20" eb="22">
      <t>チョウサ</t>
    </rPh>
    <rPh sb="22" eb="23">
      <t>ヨウ</t>
    </rPh>
    <rPh sb="25" eb="27">
      <t>ショウニン</t>
    </rPh>
    <rPh sb="27" eb="29">
      <t>ホウシキ</t>
    </rPh>
    <rPh sb="30" eb="32">
      <t>ショウニン</t>
    </rPh>
    <rPh sb="42" eb="44">
      <t>ゼンタイ</t>
    </rPh>
    <rPh sb="45" eb="46">
      <t>ト</t>
    </rPh>
    <rPh sb="51" eb="53">
      <t>ヒツヨウ</t>
    </rPh>
    <phoneticPr fontId="6"/>
  </si>
  <si>
    <t>【標準機能】
仕訳伝票転記時に承認処理は実装可能</t>
    <rPh sb="7" eb="9">
      <t>シワケ</t>
    </rPh>
    <rPh sb="9" eb="11">
      <t>デンピョウ</t>
    </rPh>
    <rPh sb="11" eb="14">
      <t>テンキジ</t>
    </rPh>
    <rPh sb="15" eb="17">
      <t>ショウニン</t>
    </rPh>
    <rPh sb="17" eb="19">
      <t>ショリ</t>
    </rPh>
    <rPh sb="20" eb="22">
      <t>ジッソウ</t>
    </rPh>
    <rPh sb="22" eb="24">
      <t>カノウ</t>
    </rPh>
    <phoneticPr fontId="6"/>
  </si>
  <si>
    <t>Req354</t>
  </si>
  <si>
    <t>EBデータ出力先について
・毎回決まったフォルダに自動保存することは可能ですか？</t>
  </si>
  <si>
    <t>Windows標準のファイル保存ダイアログを使用する。</t>
    <rPh sb="22" eb="24">
      <t>シヨウ</t>
    </rPh>
    <phoneticPr fontId="6"/>
  </si>
  <si>
    <t>QA一覧_債務.xlsx No35より
保存場所として、AzureFilesを検討される。</t>
    <rPh sb="21" eb="25">
      <t>ホゾンバショ</t>
    </rPh>
    <rPh sb="40" eb="42">
      <t>ケントウ</t>
    </rPh>
    <phoneticPr fontId="6"/>
  </si>
  <si>
    <t>Req355</t>
  </si>
  <si>
    <r>
      <t xml:space="preserve">QA一覧_債務.xlsx No36より
</t>
    </r>
    <r>
      <rPr>
        <b/>
        <sz val="9"/>
        <color rgb="FFFF0000"/>
        <rFont val="メイリオ"/>
        <family val="3"/>
        <charset val="128"/>
      </rPr>
      <t>※帳票</t>
    </r>
    <r>
      <rPr>
        <sz val="9"/>
        <rFont val="メイリオ"/>
        <family val="3"/>
        <charset val="128"/>
      </rPr>
      <t xml:space="preserve">
仕入先転記支払仕訳帳レポートで対応可能かご確認をお願いいたします。
（メニューパス：買掛金管理＞照会およびレポート＞支払＞仕入先転記支払仕訳帳レポート）
懸念点：
・画面上、Excel出力してもわかりづらい
・CSV出力でフォーマットはきれいになるが、項目名が使えない。合計値は、ピポットで対応する必要がある。
また確認する仕入先支払仕訳帳が1つであれば、仕入先支払仕訳帳の明細行画面で確認することも可能かと思います。
</t>
    </r>
    <r>
      <rPr>
        <b/>
        <sz val="9"/>
        <color rgb="FFFF0000"/>
        <rFont val="メイリオ"/>
        <family val="3"/>
        <charset val="128"/>
      </rPr>
      <t>⇒Req326、Rep161（支払集計表）で対応できるか。</t>
    </r>
    <rPh sb="22" eb="24">
      <t>チョウヒョウ</t>
    </rPh>
    <phoneticPr fontId="6"/>
  </si>
  <si>
    <t>仕入先明細照会について
・シートNo.37に貼り付けしている仕入先ごとの明細照会画面が必要です。
No.31の帳票に全ての項目を表示することは可能ですか？
支払処理済、支払処理前、全ての伝票データが確認できることが必要です。</t>
  </si>
  <si>
    <r>
      <t xml:space="preserve">QA一覧_債務.xlsx No37より
仕入先トランザクションで対応可能かご確認をお願いいたします。
表示で「すべて」を選択することで、仕入先のすべてのトランザクションを表示することが可能です。
「すべて」：すべてのトランザクションを表示
「未処理」：未消込のトランザクションを表示
→支払前（未消込）の債務トランザクション、支払（未消込）のトランザクション
「終了」：消込済のトランザクションを表示
→支払後（消込済）の債務トランザクション、支払（消込済）のトランザクション
</t>
    </r>
    <r>
      <rPr>
        <b/>
        <sz val="9"/>
        <color rgb="FFFF0000"/>
        <rFont val="メイリオ"/>
        <family val="3"/>
        <charset val="128"/>
      </rPr>
      <t>⇒IFで詳細化。
開発予定機能：全仕入先の仕入先トランザクション機能（Req327）等に規定で項目表示させることも可能。
標準機能：個別の仕入先トランザクションは、ユーザーで項目追加表示し対応可能。</t>
    </r>
    <rPh sb="245" eb="248">
      <t>ショウサイカ</t>
    </rPh>
    <rPh sb="250" eb="252">
      <t>カイハツ</t>
    </rPh>
    <rPh sb="252" eb="254">
      <t>ヨテイ</t>
    </rPh>
    <rPh sb="254" eb="256">
      <t>キノウ</t>
    </rPh>
    <rPh sb="257" eb="258">
      <t>ゼン</t>
    </rPh>
    <rPh sb="258" eb="261">
      <t>シイレサキ</t>
    </rPh>
    <rPh sb="262" eb="265">
      <t>シイレサキ</t>
    </rPh>
    <rPh sb="273" eb="275">
      <t>キノウ</t>
    </rPh>
    <rPh sb="283" eb="284">
      <t>トウ</t>
    </rPh>
    <rPh sb="285" eb="287">
      <t>キテイ</t>
    </rPh>
    <rPh sb="288" eb="290">
      <t>コウモク</t>
    </rPh>
    <rPh sb="290" eb="292">
      <t>ヒョウジ</t>
    </rPh>
    <rPh sb="298" eb="300">
      <t>カノウ</t>
    </rPh>
    <rPh sb="302" eb="306">
      <t>ヒョウジュンキノウ</t>
    </rPh>
    <rPh sb="307" eb="309">
      <t>コベツ</t>
    </rPh>
    <rPh sb="310" eb="313">
      <t>シイレサキ</t>
    </rPh>
    <rPh sb="328" eb="330">
      <t>コウモク</t>
    </rPh>
    <rPh sb="330" eb="332">
      <t>ツイカ</t>
    </rPh>
    <rPh sb="332" eb="334">
      <t>ヒョウジ</t>
    </rPh>
    <rPh sb="335" eb="337">
      <t>タイオウ</t>
    </rPh>
    <rPh sb="337" eb="339">
      <t>カノウ</t>
    </rPh>
    <phoneticPr fontId="6"/>
  </si>
  <si>
    <r>
      <rPr>
        <sz val="9"/>
        <color rgb="FF000000"/>
        <rFont val="メイリオ"/>
        <family val="3"/>
        <charset val="128"/>
      </rPr>
      <t xml:space="preserve">下記の項目の追加を希望します
・楽楽精算やＢｔｏＢの伝票番号
</t>
    </r>
    <r>
      <rPr>
        <sz val="9"/>
        <color rgb="FFFF0000"/>
        <rFont val="メイリオ"/>
        <family val="3"/>
        <charset val="128"/>
      </rPr>
      <t xml:space="preserve">⇒楽楽精算、BtoBから連携された伝票番号については、仕入先トランザクション画面でも確認できる必要があると認識しました。IFの設計にて詳細化予定です。
</t>
    </r>
    <r>
      <rPr>
        <sz val="9"/>
        <color rgb="FF000000"/>
        <rFont val="メイリオ"/>
        <family val="3"/>
        <charset val="128"/>
      </rPr>
      <t xml:space="preserve">・伝票区分（Ｒ/3では　MCF・ホスト＝３５　一般支払＝５９　販促費支払＝53　など）
</t>
    </r>
    <r>
      <rPr>
        <sz val="9"/>
        <color rgb="FFFF0000"/>
        <rFont val="メイリオ"/>
        <family val="3"/>
        <charset val="128"/>
      </rPr>
      <t xml:space="preserve">⇒伝票番号で判断できるように、採番することを想定。
</t>
    </r>
    <r>
      <rPr>
        <sz val="9"/>
        <color rgb="FF000000"/>
        <rFont val="メイリオ"/>
        <family val="3"/>
        <charset val="128"/>
      </rPr>
      <t xml:space="preserve">・買掛金・未払金の区別（Ｒ/3では　空欄＝買掛金、Ｌ＝未払金設備　、Ｊ＝未払金）
</t>
    </r>
    <r>
      <rPr>
        <sz val="9"/>
        <color rgb="FFFF0000"/>
        <rFont val="メイリオ"/>
        <family val="3"/>
        <charset val="128"/>
      </rPr>
      <t xml:space="preserve">⇒「転記プロファイル」で対応
</t>
    </r>
    <r>
      <rPr>
        <sz val="9"/>
        <color rgb="FF000000"/>
        <rFont val="メイリオ"/>
        <family val="3"/>
        <charset val="128"/>
      </rPr>
      <t xml:space="preserve">・D365への伝票取込日付
</t>
    </r>
    <r>
      <rPr>
        <sz val="9"/>
        <color rgb="FFFF0000"/>
        <rFont val="メイリオ"/>
        <family val="3"/>
        <charset val="128"/>
      </rPr>
      <t xml:space="preserve">⇒取込日は、「作成日時」になる想定
</t>
    </r>
    <r>
      <rPr>
        <sz val="9"/>
        <color rgb="FF000000"/>
        <rFont val="メイリオ"/>
        <family val="3"/>
        <charset val="128"/>
      </rPr>
      <t xml:space="preserve">・支払方法フラグ（支払決済伝票に支払区分があり。全額振込＝2　50万円未満振込＝Ｔ、手形＝Ｊなど）
</t>
    </r>
    <r>
      <rPr>
        <sz val="9"/>
        <color rgb="FFFF0000"/>
        <rFont val="メイリオ"/>
        <family val="3"/>
        <charset val="128"/>
      </rPr>
      <t xml:space="preserve">⇒「支払方法」で対応できる想定。別途、支払方法洗替処理対象は、フラグを付ける等の検討も考えられる。
</t>
    </r>
    <phoneticPr fontId="6"/>
  </si>
  <si>
    <t>Req125</t>
  </si>
  <si>
    <t>IFで必要項目を精査・実装する。確認方法は2つ。
①開発予定機能：全仕入先の仕入先トランザクション機能（Req327）等に規定で項目表示させることも可能。
②標準機能：個別の仕入先トランザクションは、ユーザーで項目追加表示し対応可能。</t>
    <rPh sb="3" eb="7">
      <t>ヒツヨウコウモク</t>
    </rPh>
    <rPh sb="8" eb="10">
      <t>セイサ</t>
    </rPh>
    <rPh sb="11" eb="13">
      <t>ジッソウ</t>
    </rPh>
    <rPh sb="16" eb="20">
      <t>カクニンホウホウ</t>
    </rPh>
    <rPh sb="26" eb="28">
      <t>カイハツ</t>
    </rPh>
    <rPh sb="28" eb="30">
      <t>ヨテイ</t>
    </rPh>
    <rPh sb="30" eb="32">
      <t>キノウ</t>
    </rPh>
    <rPh sb="33" eb="34">
      <t>ゼン</t>
    </rPh>
    <rPh sb="34" eb="37">
      <t>シイレサキ</t>
    </rPh>
    <rPh sb="38" eb="41">
      <t>シイレサキ</t>
    </rPh>
    <rPh sb="49" eb="51">
      <t>キノウ</t>
    </rPh>
    <rPh sb="59" eb="60">
      <t>トウ</t>
    </rPh>
    <rPh sb="61" eb="63">
      <t>キテイ</t>
    </rPh>
    <rPh sb="64" eb="66">
      <t>コウモク</t>
    </rPh>
    <rPh sb="66" eb="68">
      <t>ヒョウジ</t>
    </rPh>
    <rPh sb="74" eb="76">
      <t>カノウ</t>
    </rPh>
    <rPh sb="79" eb="81">
      <t>ヒョウジュン</t>
    </rPh>
    <rPh sb="81" eb="83">
      <t>キノウ</t>
    </rPh>
    <rPh sb="84" eb="86">
      <t>コベツ</t>
    </rPh>
    <rPh sb="87" eb="90">
      <t>シイレサキ</t>
    </rPh>
    <rPh sb="105" eb="107">
      <t>コウモク</t>
    </rPh>
    <rPh sb="107" eb="109">
      <t>ツイカ</t>
    </rPh>
    <rPh sb="109" eb="111">
      <t>ヒョウジ</t>
    </rPh>
    <rPh sb="112" eb="114">
      <t>タイオウ</t>
    </rPh>
    <rPh sb="114" eb="116">
      <t>カノウ</t>
    </rPh>
    <phoneticPr fontId="6"/>
  </si>
  <si>
    <t>Req357</t>
    <phoneticPr fontId="6"/>
  </si>
  <si>
    <t>仕入先明細照会　伝票画面について
・シートNo.38に貼り付けしているデータ内容が楽楽精算やBtoBで計上した伝票（明細）ごとに確認できる画面が必要です。</t>
    <phoneticPr fontId="6"/>
  </si>
  <si>
    <r>
      <t xml:space="preserve">QA一覧_債務.xlsx No38より
伝票トランザクションまたは仕入先トランザクションで対応を検討しております。
伝票の体系をBtoBで連携されたもの、楽楽精算で連携されたものを区別できるように、IF設定で詳細化予定です。
</t>
    </r>
    <r>
      <rPr>
        <b/>
        <sz val="9"/>
        <color rgb="FFFF0000"/>
        <rFont val="メイリオ"/>
        <family val="3"/>
        <charset val="128"/>
      </rPr>
      <t>⇒Req327と合わせて検討する。</t>
    </r>
    <rPh sb="34" eb="37">
      <t>シイレサキ</t>
    </rPh>
    <rPh sb="46" eb="48">
      <t>タイオウ</t>
    </rPh>
    <rPh sb="49" eb="51">
      <t>ケントウ</t>
    </rPh>
    <rPh sb="103" eb="105">
      <t>セッテイ</t>
    </rPh>
    <rPh sb="124" eb="125">
      <t>ア</t>
    </rPh>
    <rPh sb="128" eb="130">
      <t>ケントウ</t>
    </rPh>
    <phoneticPr fontId="6"/>
  </si>
  <si>
    <t>327と同じ要件です</t>
  </si>
  <si>
    <t>全仕入先を表示する仕入先トランザクション画面を作成する。</t>
    <rPh sb="0" eb="1">
      <t>ゼン</t>
    </rPh>
    <rPh sb="1" eb="4">
      <t>シイレサキ</t>
    </rPh>
    <rPh sb="5" eb="7">
      <t>ヒョウジ</t>
    </rPh>
    <rPh sb="9" eb="12">
      <t>シイレサキ</t>
    </rPh>
    <rPh sb="20" eb="22">
      <t>ガメン</t>
    </rPh>
    <rPh sb="23" eb="25">
      <t>サクセイ</t>
    </rPh>
    <phoneticPr fontId="3"/>
  </si>
  <si>
    <t>Req327を参照
※ただし、連携元システムが分かる区分は持たせる必要あり</t>
    <rPh sb="7" eb="9">
      <t>サンショウ</t>
    </rPh>
    <rPh sb="15" eb="17">
      <t>レンケイ</t>
    </rPh>
    <rPh sb="17" eb="18">
      <t>モト</t>
    </rPh>
    <rPh sb="23" eb="24">
      <t>ワ</t>
    </rPh>
    <rPh sb="26" eb="28">
      <t>クブン</t>
    </rPh>
    <rPh sb="29" eb="30">
      <t>モ</t>
    </rPh>
    <rPh sb="33" eb="35">
      <t>ヒツヨウ</t>
    </rPh>
    <phoneticPr fontId="6"/>
  </si>
  <si>
    <t>Req358</t>
    <phoneticPr fontId="6"/>
  </si>
  <si>
    <t>でんさい（電債）支払の期日別合計を集計できること（決算明細作成用）</t>
    <phoneticPr fontId="6"/>
  </si>
  <si>
    <t>帳票レポート　Rep075</t>
  </si>
  <si>
    <r>
      <rPr>
        <b/>
        <sz val="9"/>
        <color rgb="FFFF0000"/>
        <rFont val="メイリオ"/>
        <family val="3"/>
        <charset val="128"/>
      </rPr>
      <t>※帳票</t>
    </r>
    <r>
      <rPr>
        <sz val="9"/>
        <rFont val="メイリオ"/>
        <family val="3"/>
        <charset val="128"/>
      </rPr>
      <t xml:space="preserve">
帳票レポート　Rep075は、支払手形仕訳帳レポート　または支払手形仕訳帳　画面　での対応を検討。
</t>
    </r>
    <r>
      <rPr>
        <b/>
        <sz val="9"/>
        <color rgb="FFFF0000"/>
        <rFont val="メイリオ"/>
        <family val="3"/>
        <charset val="128"/>
      </rPr>
      <t>⇒Rep075対応。スコープアウト。</t>
    </r>
    <rPh sb="1" eb="3">
      <t>チョウヒョウ</t>
    </rPh>
    <rPh sb="4" eb="6">
      <t>チョウヒョウ</t>
    </rPh>
    <rPh sb="19" eb="23">
      <t>シハライテガタ</t>
    </rPh>
    <rPh sb="23" eb="26">
      <t>シワケチョウ</t>
    </rPh>
    <rPh sb="34" eb="38">
      <t>シハライテガタ</t>
    </rPh>
    <rPh sb="38" eb="41">
      <t>シワケチョウ</t>
    </rPh>
    <rPh sb="42" eb="44">
      <t>ガメン</t>
    </rPh>
    <rPh sb="47" eb="49">
      <t>タイオウ</t>
    </rPh>
    <rPh sb="50" eb="52">
      <t>ケントウ</t>
    </rPh>
    <rPh sb="62" eb="64">
      <t>タイオウ</t>
    </rPh>
    <phoneticPr fontId="6"/>
  </si>
  <si>
    <t>帳票一覧　075と同じです</t>
  </si>
  <si>
    <t>Req359</t>
  </si>
  <si>
    <t>新規登録画面の「場所」タブで設置場所、事業所の場所のコードを入力出来ること</t>
    <phoneticPr fontId="6"/>
  </si>
  <si>
    <t>有形固定資産については、場所を特定するコードがあり３つのマスタで管理している(設置場所、市区町村(事業所の所在地)、償却費資産税申告先市区)</t>
  </si>
  <si>
    <t>【標準機能】
財務分析コードに事業所ー設置場所コードを設定し運用することで対応する</t>
    <rPh sb="15" eb="18">
      <t>ジギョウショ</t>
    </rPh>
    <rPh sb="19" eb="21">
      <t>セッチ</t>
    </rPh>
    <rPh sb="21" eb="23">
      <t>バショ</t>
    </rPh>
    <rPh sb="27" eb="29">
      <t>セッテイ</t>
    </rPh>
    <rPh sb="30" eb="32">
      <t>ウンヨウ</t>
    </rPh>
    <rPh sb="37" eb="39">
      <t>タイオウ</t>
    </rPh>
    <phoneticPr fontId="6"/>
  </si>
  <si>
    <t>税務(償却資産税)上・ガバナンス上(現物確認)必要なため、審査不要</t>
    <rPh sb="0" eb="2">
      <t>ゼイム</t>
    </rPh>
    <rPh sb="3" eb="5">
      <t>ショウキャク</t>
    </rPh>
    <rPh sb="5" eb="8">
      <t>シサンゼイ</t>
    </rPh>
    <rPh sb="9" eb="10">
      <t>ウエ</t>
    </rPh>
    <rPh sb="16" eb="17">
      <t>ジョウ</t>
    </rPh>
    <rPh sb="18" eb="22">
      <t>ゲンブツカクニン</t>
    </rPh>
    <rPh sb="23" eb="25">
      <t>ヒツヨウ</t>
    </rPh>
    <rPh sb="29" eb="33">
      <t>シンサフヨウ</t>
    </rPh>
    <phoneticPr fontId="6"/>
  </si>
  <si>
    <t>Req360</t>
  </si>
  <si>
    <t>取引先ごとに未収入金残高を一覧で確認する画面</t>
  </si>
  <si>
    <t>得意先（仕入先）コード毎に転記日付、金額（楽楽精算から計上される明細単位の金額）、適用、消込有無を確認する機能</t>
  </si>
  <si>
    <t>・QA No.9より
こちらは以下の帳票レポート一覧のレポートになりますか？
Rep067	得意先明細照会　　　→こっちでしょうか？
Rep076	国内通貨得意先残高　</t>
    <rPh sb="15" eb="17">
      <t>イカ</t>
    </rPh>
    <rPh sb="18" eb="20">
      <t>チョウヒョウ</t>
    </rPh>
    <rPh sb="24" eb="26">
      <t>イチラン</t>
    </rPh>
    <phoneticPr fontId="6"/>
  </si>
  <si>
    <t>未収入金の顧客毎の残高のみであれば、「顧客残高リストレポート」で対応可能。
詳細の確認については、すべての顧客＞顧客トランザクションで確認想定。</t>
    <rPh sb="0" eb="4">
      <t>ミシュウニュウキン</t>
    </rPh>
    <rPh sb="5" eb="7">
      <t>コキャク</t>
    </rPh>
    <rPh sb="7" eb="8">
      <t>ゴト</t>
    </rPh>
    <rPh sb="9" eb="11">
      <t>ザンダカ</t>
    </rPh>
    <rPh sb="19" eb="21">
      <t>コキャク</t>
    </rPh>
    <rPh sb="21" eb="23">
      <t>ザンダカ</t>
    </rPh>
    <rPh sb="32" eb="34">
      <t>タイオウ</t>
    </rPh>
    <rPh sb="34" eb="36">
      <t>カノウ</t>
    </rPh>
    <rPh sb="38" eb="40">
      <t>ショウサイ</t>
    </rPh>
    <rPh sb="41" eb="43">
      <t>カクニン</t>
    </rPh>
    <rPh sb="53" eb="55">
      <t>コキャク</t>
    </rPh>
    <rPh sb="56" eb="58">
      <t>コキャク</t>
    </rPh>
    <rPh sb="67" eb="69">
      <t>カクニン</t>
    </rPh>
    <rPh sb="69" eb="71">
      <t>ソウテイ</t>
    </rPh>
    <phoneticPr fontId="6"/>
  </si>
  <si>
    <t>Req361</t>
    <phoneticPr fontId="6"/>
  </si>
  <si>
    <t>適格請求書の要件に対応した請求書が発行できること</t>
  </si>
  <si>
    <t>別システム（BtoBプラットフォーム）で発行・保存</t>
  </si>
  <si>
    <t>・QA No.12,13,14より
現行は別システムから発行・保存しているとのことですが、ToBeはFOで実施する想定でしょうか？</t>
    <rPh sb="18" eb="20">
      <t>ゲンコウ</t>
    </rPh>
    <rPh sb="21" eb="22">
      <t>ベツ</t>
    </rPh>
    <rPh sb="28" eb="30">
      <t>ハッコウ</t>
    </rPh>
    <rPh sb="31" eb="33">
      <t>ホゾン</t>
    </rPh>
    <rPh sb="53" eb="55">
      <t>ジッシ</t>
    </rPh>
    <rPh sb="57" eb="59">
      <t>ソウテイ</t>
    </rPh>
    <phoneticPr fontId="6"/>
  </si>
  <si>
    <t>請求書の発行はしない。他システムで対応（武市）
事務管理では未収入金の請求書発行を行っている。
FOでの請求書発行を想定しています。（安東）</t>
  </si>
  <si>
    <t>自由書式の請求書で適格請求書の請求書を出力することは可能。</t>
    <phoneticPr fontId="6"/>
  </si>
  <si>
    <t>FOが適格請求書に対応できていないため、外部システムで対応する</t>
    <rPh sb="3" eb="8">
      <t>テキカクセイキュウショ</t>
    </rPh>
    <rPh sb="9" eb="11">
      <t>タイオウ</t>
    </rPh>
    <rPh sb="20" eb="22">
      <t>ガイブ</t>
    </rPh>
    <rPh sb="27" eb="29">
      <t>タイオウ</t>
    </rPh>
    <phoneticPr fontId="6"/>
  </si>
  <si>
    <t>Req362</t>
    <phoneticPr fontId="6"/>
  </si>
  <si>
    <t>電子帳簿保存法の保存・検索要件に対応した請求書が保存できること</t>
    <phoneticPr fontId="6"/>
  </si>
  <si>
    <t>・QA No.15より
現行は別システムから発行・保存しているとのことですが、ToBeはFOで実施する想定でしょうか？
https://sunstar-it.backlog.com/view/LIBRA-198</t>
    <phoneticPr fontId="6"/>
  </si>
  <si>
    <t xml:space="preserve">請求書の発行はしない。他システムで対応（武市）
事務管理では未収入金の請求書発行を行っている。
FOでの請求書発行を想定しています。（安東）
</t>
    <phoneticPr fontId="6"/>
  </si>
  <si>
    <t>Req363</t>
    <phoneticPr fontId="6"/>
  </si>
  <si>
    <t>当座預金／売掛金（一括ファクタリング）の入金伝票が期日別に起票できること</t>
    <phoneticPr fontId="6"/>
  </si>
  <si>
    <t>別システム（楽楽精算）で起票・承認・SAPに連携</t>
  </si>
  <si>
    <t>・QA No.17より</t>
    <phoneticPr fontId="6"/>
  </si>
  <si>
    <t>楽楽精算からデータ連携（武市）→振替についてはFO入力を検討</t>
    <rPh sb="0" eb="4">
      <t>ラクラクセイサン</t>
    </rPh>
    <rPh sb="9" eb="11">
      <t>レンケイ</t>
    </rPh>
    <rPh sb="12" eb="14">
      <t>タケイチ</t>
    </rPh>
    <rPh sb="16" eb="18">
      <t>フリカエ</t>
    </rPh>
    <rPh sb="25" eb="27">
      <t>ニュウリョク</t>
    </rPh>
    <rPh sb="28" eb="30">
      <t>ケントウ</t>
    </rPh>
    <phoneticPr fontId="6"/>
  </si>
  <si>
    <t>8.入金 (未収入金・その他)</t>
    <phoneticPr fontId="6"/>
  </si>
  <si>
    <t>一般仕訳帳に登録する。
・承認も必要</t>
    <rPh sb="0" eb="5">
      <t>イッパンシワケチョウ</t>
    </rPh>
    <rPh sb="6" eb="8">
      <t>トウロク</t>
    </rPh>
    <rPh sb="13" eb="15">
      <t>ショウニン</t>
    </rPh>
    <rPh sb="16" eb="18">
      <t>ヒツヨウ</t>
    </rPh>
    <phoneticPr fontId="6"/>
  </si>
  <si>
    <t>Req364</t>
  </si>
  <si>
    <t>当座預金／電子記録債権の入金伝票が期日別に起票できること</t>
    <phoneticPr fontId="6"/>
  </si>
  <si>
    <t>・QA No.18より</t>
    <phoneticPr fontId="6"/>
  </si>
  <si>
    <t>Req365</t>
  </si>
  <si>
    <t>当座預金／売掛金（期日）の入金伝票が期日別に起票できること</t>
    <phoneticPr fontId="6"/>
  </si>
  <si>
    <t>・QA No.19より</t>
    <phoneticPr fontId="6"/>
  </si>
  <si>
    <t>Req366</t>
  </si>
  <si>
    <t>未収入金／任意の費用科目　の伝票を起票する際、貸方側に任意の費用負担部課コードを設定できること</t>
  </si>
  <si>
    <t>・QA No.23より</t>
    <phoneticPr fontId="6"/>
  </si>
  <si>
    <t>楽楽精算からデータ連携。費用勘定は部課コード必須。（武市）
請求書の発行と併せてFOでの入力を想定しています。（安東）</t>
  </si>
  <si>
    <t>自由書式の請求書で登録する。
財務分析コードに費用負担部課コードを入力する</t>
    <rPh sb="9" eb="11">
      <t>トウロク</t>
    </rPh>
    <rPh sb="15" eb="19">
      <t>ザイムブンセキ</t>
    </rPh>
    <rPh sb="23" eb="27">
      <t>ヒヨウフタン</t>
    </rPh>
    <rPh sb="27" eb="29">
      <t>ブカ</t>
    </rPh>
    <rPh sb="33" eb="35">
      <t>ニュウリョク</t>
    </rPh>
    <phoneticPr fontId="6"/>
  </si>
  <si>
    <t>Req367</t>
  </si>
  <si>
    <t>支払提案・入金登録で処理担当者の上長が承認できる機能</t>
  </si>
  <si>
    <t>・QA No.20より</t>
    <phoneticPr fontId="6"/>
  </si>
  <si>
    <t>支払提案時の承認はありませんが、入金登録をした際の承認設定は可能。
一般仕訳帳、顧客支払仕訳帳の両方で設定可能</t>
    <rPh sb="0" eb="2">
      <t>シハライ</t>
    </rPh>
    <rPh sb="2" eb="4">
      <t>テイアン</t>
    </rPh>
    <rPh sb="4" eb="5">
      <t>ジ</t>
    </rPh>
    <rPh sb="6" eb="8">
      <t>ショウニン</t>
    </rPh>
    <rPh sb="16" eb="18">
      <t>ニュウキン</t>
    </rPh>
    <rPh sb="18" eb="20">
      <t>トウロク</t>
    </rPh>
    <rPh sb="23" eb="24">
      <t>サイ</t>
    </rPh>
    <rPh sb="25" eb="27">
      <t>ショウニン</t>
    </rPh>
    <rPh sb="27" eb="29">
      <t>セッテイ</t>
    </rPh>
    <rPh sb="30" eb="32">
      <t>カノウ</t>
    </rPh>
    <rPh sb="34" eb="36">
      <t>イッパン</t>
    </rPh>
    <rPh sb="36" eb="39">
      <t>シワケチョウ</t>
    </rPh>
    <rPh sb="40" eb="42">
      <t>コキャク</t>
    </rPh>
    <rPh sb="42" eb="44">
      <t>シハライ</t>
    </rPh>
    <rPh sb="44" eb="47">
      <t>シワケチョウ</t>
    </rPh>
    <rPh sb="48" eb="50">
      <t>リョウホウ</t>
    </rPh>
    <rPh sb="51" eb="53">
      <t>セッテイ</t>
    </rPh>
    <rPh sb="53" eb="55">
      <t>カノウ</t>
    </rPh>
    <phoneticPr fontId="6"/>
  </si>
  <si>
    <t>Req368</t>
  </si>
  <si>
    <t>口座引落システムから連携された情報と銀行システムから取り込まれた引落(支払)データをマッチングさせ仕訳転記の結果を確認できること</t>
    <rPh sb="0" eb="2">
      <t>コウザ</t>
    </rPh>
    <rPh sb="2" eb="4">
      <t>ヒキオトシ</t>
    </rPh>
    <rPh sb="10" eb="12">
      <t>レンケイ</t>
    </rPh>
    <rPh sb="15" eb="17">
      <t>ジョウホウ</t>
    </rPh>
    <rPh sb="18" eb="20">
      <t>ギンコウ</t>
    </rPh>
    <rPh sb="26" eb="27">
      <t>ト</t>
    </rPh>
    <rPh sb="28" eb="29">
      <t>コ</t>
    </rPh>
    <rPh sb="32" eb="34">
      <t>ヒキオトシ</t>
    </rPh>
    <rPh sb="35" eb="37">
      <t>シハライ</t>
    </rPh>
    <rPh sb="49" eb="51">
      <t>シワケ</t>
    </rPh>
    <rPh sb="51" eb="53">
      <t>テンキ</t>
    </rPh>
    <rPh sb="54" eb="56">
      <t>ケッカ</t>
    </rPh>
    <rPh sb="57" eb="59">
      <t>カクニン</t>
    </rPh>
    <phoneticPr fontId="3"/>
  </si>
  <si>
    <t>統合結果を確認できること</t>
    <rPh sb="0" eb="4">
      <t>トウゴウケッカ</t>
    </rPh>
    <rPh sb="5" eb="7">
      <t>カクニン</t>
    </rPh>
    <phoneticPr fontId="6"/>
  </si>
  <si>
    <t>Req138の突合結果を確認できる画面をアドオン開発する。</t>
    <rPh sb="7" eb="9">
      <t>トツゴウ</t>
    </rPh>
    <rPh sb="9" eb="11">
      <t>ケッカ</t>
    </rPh>
    <rPh sb="12" eb="14">
      <t>カクニン</t>
    </rPh>
    <rPh sb="17" eb="19">
      <t>ガメン</t>
    </rPh>
    <rPh sb="24" eb="26">
      <t>カイハツ</t>
    </rPh>
    <phoneticPr fontId="6"/>
  </si>
  <si>
    <t>Req369</t>
  </si>
  <si>
    <t>リース資産のマスタ入力について、リース料総額と割引後の取得価格だけがわかっていて割引率が不明な場合、割引率を自動算出できる仕組みがほしい</t>
  </si>
  <si>
    <t>エクセルの数式を使用して手動計算</t>
  </si>
  <si>
    <t>固定資産管理</t>
  </si>
  <si>
    <t>Req370</t>
  </si>
  <si>
    <t>予算計画の段階(予算確定前)でPL形式での確認をしたい。</t>
    <phoneticPr fontId="6"/>
  </si>
  <si>
    <t>予算登録調整中にPL形式で数字の確認を行いたい。</t>
    <phoneticPr fontId="6"/>
  </si>
  <si>
    <t>予算</t>
  </si>
  <si>
    <t>ManagementReportのPLフォームで予算計画の数値が使用可能かどうか確認中。
2024/04/08
MRで予算計画の数値を出力指定することが可能。
MRで予算計画でのPL帳票を作成する方針。</t>
    <rPh sb="59" eb="61">
      <t>ヨサン</t>
    </rPh>
    <rPh sb="61" eb="63">
      <t>ケイカク</t>
    </rPh>
    <rPh sb="64" eb="66">
      <t>スウチ</t>
    </rPh>
    <rPh sb="67" eb="69">
      <t>シュツリョク</t>
    </rPh>
    <rPh sb="69" eb="71">
      <t>シテイ</t>
    </rPh>
    <rPh sb="76" eb="78">
      <t>カノウ</t>
    </rPh>
    <rPh sb="83" eb="85">
      <t>ヨサン</t>
    </rPh>
    <rPh sb="85" eb="87">
      <t>ケイカク</t>
    </rPh>
    <rPh sb="91" eb="93">
      <t>チョウヒョウ</t>
    </rPh>
    <rPh sb="94" eb="96">
      <t>サクセイ</t>
    </rPh>
    <rPh sb="98" eb="100">
      <t>ホウシン</t>
    </rPh>
    <phoneticPr fontId="6"/>
  </si>
  <si>
    <t>Req371</t>
    <phoneticPr fontId="6"/>
  </si>
  <si>
    <t>支払提案時の条件を一覧の「説明」欄等に「期日」「でんさい」等の支払方法が表示されること。</t>
    <rPh sb="0" eb="5">
      <t>シハライテイアンジ</t>
    </rPh>
    <rPh sb="6" eb="8">
      <t>ジョウケン</t>
    </rPh>
    <phoneticPr fontId="6"/>
  </si>
  <si>
    <r>
      <t xml:space="preserve">QA一覧_債務.xlsx No57より
</t>
    </r>
    <r>
      <rPr>
        <sz val="9"/>
        <color rgb="FFFF0000"/>
        <rFont val="メイリオ"/>
        <family val="3"/>
        <charset val="128"/>
      </rPr>
      <t xml:space="preserve">
支払の伝票の説明欄に「(期日)-(支払方法)」のように設定するイメージであっていますでしょうか？</t>
    </r>
    <rPh sb="21" eb="23">
      <t>シハライ</t>
    </rPh>
    <rPh sb="24" eb="26">
      <t>デンピョウ</t>
    </rPh>
    <rPh sb="27" eb="30">
      <t>セツメイラン</t>
    </rPh>
    <rPh sb="33" eb="35">
      <t>キジツ</t>
    </rPh>
    <rPh sb="38" eb="42">
      <t>シハライホウホウ</t>
    </rPh>
    <rPh sb="48" eb="50">
      <t>セッテイ</t>
    </rPh>
    <phoneticPr fontId="6"/>
  </si>
  <si>
    <t>以下標準画面で支払提案実施時の条件（支払方法）を標準画面（仕入先支払提案）で支払の生成後、作成される明細行の説明に設定する。
・仕入先支払仕訳帳
・仕入先手形仕訳帳の振出
・仕入先手形仕訳帳の決済</t>
    <phoneticPr fontId="6"/>
  </si>
  <si>
    <t>開発ではなく手入力で説明を入れるということか？</t>
    <rPh sb="0" eb="2">
      <t>カイハツ</t>
    </rPh>
    <rPh sb="6" eb="7">
      <t>テ</t>
    </rPh>
    <rPh sb="7" eb="9">
      <t>ニュウリョク</t>
    </rPh>
    <rPh sb="10" eb="12">
      <t>セツメイ</t>
    </rPh>
    <rPh sb="13" eb="14">
      <t>イ</t>
    </rPh>
    <phoneticPr fontId="6"/>
  </si>
  <si>
    <t>Req372</t>
  </si>
  <si>
    <t>支払提案について
毎月同じ設定で、支払基準日のみ変更して支払提案を行う想定です。設定をテンプレート化して、毎月テンプレートを呼び出し、支払基準日のみ変更して支払提案を実施する機能が必要です</t>
    <phoneticPr fontId="6"/>
  </si>
  <si>
    <r>
      <t xml:space="preserve">QA一覧_債務.xlsx No62より
</t>
    </r>
    <r>
      <rPr>
        <sz val="9"/>
        <color rgb="FFFF0000"/>
        <rFont val="メイリオ"/>
        <family val="3"/>
        <charset val="128"/>
      </rPr>
      <t xml:space="preserve">
共通で使用できるテンプレートが必要という理解で良いでしょうか？
（ユーザーごとにテンプレート化して、条件を保存する機能はあり。）</t>
    </r>
    <rPh sb="21" eb="23">
      <t>キョウツウ</t>
    </rPh>
    <rPh sb="24" eb="26">
      <t>シヨウ</t>
    </rPh>
    <rPh sb="36" eb="38">
      <t>ヒツヨウ</t>
    </rPh>
    <rPh sb="41" eb="43">
      <t>リカイ</t>
    </rPh>
    <rPh sb="44" eb="45">
      <t>ヨ</t>
    </rPh>
    <rPh sb="67" eb="68">
      <t>カ</t>
    </rPh>
    <rPh sb="71" eb="73">
      <t>ジョウケン</t>
    </rPh>
    <rPh sb="74" eb="76">
      <t>ホゾン</t>
    </rPh>
    <rPh sb="78" eb="80">
      <t>キノウ</t>
    </rPh>
    <phoneticPr fontId="6"/>
  </si>
  <si>
    <t>Req373</t>
  </si>
  <si>
    <t>支払手形仕訳帳について
仕入先コードの隣に仕入先名称を表示することはできますか？</t>
    <phoneticPr fontId="6"/>
  </si>
  <si>
    <t>QA一覧_債務.xlsx No63より</t>
    <phoneticPr fontId="6"/>
  </si>
  <si>
    <t>７．電子記録債務計上・決済</t>
    <phoneticPr fontId="6"/>
  </si>
  <si>
    <t>Rep075（拡張手形一覧）およびRep083（電子記録債務管理帳票）ともに、仕入先名称を表示するように、画面・帳票を作成する。</t>
    <rPh sb="7" eb="9">
      <t>カクチョウ</t>
    </rPh>
    <rPh sb="9" eb="11">
      <t>テガタ</t>
    </rPh>
    <rPh sb="11" eb="13">
      <t>イチラン</t>
    </rPh>
    <rPh sb="24" eb="30">
      <t>デンシキロクサイム</t>
    </rPh>
    <rPh sb="30" eb="34">
      <t>カンリチョウヒョウ</t>
    </rPh>
    <rPh sb="39" eb="44">
      <t>シイレサキメイショウ</t>
    </rPh>
    <rPh sb="45" eb="47">
      <t>ヒョウジ</t>
    </rPh>
    <rPh sb="53" eb="55">
      <t>ガメン</t>
    </rPh>
    <rPh sb="56" eb="58">
      <t>チョウヒョウ</t>
    </rPh>
    <rPh sb="59" eb="61">
      <t>サクセイ</t>
    </rPh>
    <phoneticPr fontId="6"/>
  </si>
  <si>
    <t>名称がないと実務上支障があるため必要</t>
    <rPh sb="0" eb="2">
      <t>メイショウ</t>
    </rPh>
    <rPh sb="6" eb="9">
      <t>ジツムジョウ</t>
    </rPh>
    <rPh sb="9" eb="11">
      <t>シショウ</t>
    </rPh>
    <rPh sb="16" eb="18">
      <t>ヒツヨウ</t>
    </rPh>
    <phoneticPr fontId="6"/>
  </si>
  <si>
    <t>Req374</t>
  </si>
  <si>
    <t>自由書式の請求書にサンスターの振込先口座をサンスター株式会社」「サンスター技研株式会社」「STARLECS株式会社」の設定を選択して指定できること</t>
  </si>
  <si>
    <t>BtoBプラットフォーム（SSJ)、PDFもしくは紙請求書を発行(SEJ、SLJ)</t>
  </si>
  <si>
    <t>固定テキストであれば、フッターに情報を持たせることが可能（法人毎に指定可能）</t>
    <rPh sb="29" eb="31">
      <t>ホウジン</t>
    </rPh>
    <rPh sb="31" eb="32">
      <t>ゴト</t>
    </rPh>
    <rPh sb="33" eb="35">
      <t>シテイ</t>
    </rPh>
    <rPh sb="35" eb="37">
      <t>カノウ</t>
    </rPh>
    <phoneticPr fontId="6"/>
  </si>
  <si>
    <t>・フッターに振込先情報を表示する</t>
    <rPh sb="6" eb="9">
      <t>フリコミサキ</t>
    </rPh>
    <rPh sb="9" eb="11">
      <t>ジョウホウ</t>
    </rPh>
    <rPh sb="12" eb="14">
      <t>ヒョウジ</t>
    </rPh>
    <phoneticPr fontId="6"/>
  </si>
  <si>
    <t>Req375</t>
  </si>
  <si>
    <t>自由書式の請求書の発行元会社を「サンスター株式会社」「サンスター技研株式会社」「STARLECS株式会社」の３社から選択できること</t>
  </si>
  <si>
    <t>法人を切り替えることで、発行元の法人が切り替わります</t>
    <rPh sb="0" eb="2">
      <t>ホウジン</t>
    </rPh>
    <rPh sb="3" eb="4">
      <t>キ</t>
    </rPh>
    <rPh sb="5" eb="6">
      <t>カ</t>
    </rPh>
    <rPh sb="12" eb="15">
      <t>ハッコウモト</t>
    </rPh>
    <rPh sb="16" eb="18">
      <t>ホウジン</t>
    </rPh>
    <rPh sb="19" eb="20">
      <t>キ</t>
    </rPh>
    <rPh sb="21" eb="22">
      <t>カ</t>
    </rPh>
    <phoneticPr fontId="6"/>
  </si>
  <si>
    <t>法人を切り替えてから、請求書発行を行う</t>
    <rPh sb="0" eb="2">
      <t>ホウジン</t>
    </rPh>
    <rPh sb="3" eb="4">
      <t>キ</t>
    </rPh>
    <rPh sb="5" eb="6">
      <t>カ</t>
    </rPh>
    <rPh sb="11" eb="14">
      <t>セイキュウショ</t>
    </rPh>
    <rPh sb="14" eb="16">
      <t>ハッコウ</t>
    </rPh>
    <rPh sb="17" eb="18">
      <t>オコナ</t>
    </rPh>
    <phoneticPr fontId="6"/>
  </si>
  <si>
    <t>Req376</t>
  </si>
  <si>
    <t>期日振込や電債支払先で、1請求書だけ翌月２０日に振込する場合、楽楽精算支払伝票にて、支払方法を「全額振込」に変更しています。Ｒ/3には、そのデータに支払方法「２」（全額振込）をつけて連携。支払処理は20日振込の総合振込支払パラメータで支払方法「２」を設定すると、他の全額振込対象データと一緒に支払提案に含まれる仕組みとなっています。同様の支払ができること。</t>
    <phoneticPr fontId="6"/>
  </si>
  <si>
    <t>債務管理</t>
    <rPh sb="0" eb="2">
      <t>サイム</t>
    </rPh>
    <rPh sb="2" eb="4">
      <t>カンリ</t>
    </rPh>
    <phoneticPr fontId="6"/>
  </si>
  <si>
    <t>QA一覧_債務.xlsx No11より</t>
    <phoneticPr fontId="6"/>
  </si>
  <si>
    <t>楽楽精算入力時は、仕入先ﾏｽﾀの支払方法が設定されますが、必要な場合、支払方法を振込に変更します。
楽楽精算で入力した支払日を連携しています。</t>
  </si>
  <si>
    <t>楽楽精算で計上された伝票情報をIF取込する。
※入力された支払方法を設定するようにする
※支払基準日の考慮</t>
    <rPh sb="24" eb="26">
      <t>ニュウリョク</t>
    </rPh>
    <rPh sb="29" eb="31">
      <t>シハラ</t>
    </rPh>
    <rPh sb="31" eb="33">
      <t>ホウホウ</t>
    </rPh>
    <rPh sb="34" eb="36">
      <t>セッテイ</t>
    </rPh>
    <rPh sb="45" eb="47">
      <t>シハラ</t>
    </rPh>
    <rPh sb="47" eb="50">
      <t>キジュンビ</t>
    </rPh>
    <rPh sb="51" eb="53">
      <t>コウリョ</t>
    </rPh>
    <phoneticPr fontId="6"/>
  </si>
  <si>
    <t>IFの仕様上、連携される支払方法を優先させる、という理解で合っていれば、アドオン審査不要
⇒2024/4/24　秋信
債務データIFで、支払方法の連携方法を詳細化する際に、考慮しないする内容を認識しております。</t>
    <rPh sb="3" eb="5">
      <t>シヨウ</t>
    </rPh>
    <rPh sb="5" eb="6">
      <t>ジョウ</t>
    </rPh>
    <rPh sb="7" eb="9">
      <t>レンケイ</t>
    </rPh>
    <rPh sb="12" eb="14">
      <t>シハライ</t>
    </rPh>
    <rPh sb="14" eb="16">
      <t>ホウホウ</t>
    </rPh>
    <rPh sb="17" eb="19">
      <t>ユウセン</t>
    </rPh>
    <rPh sb="26" eb="28">
      <t>リカイ</t>
    </rPh>
    <rPh sb="29" eb="30">
      <t>ア</t>
    </rPh>
    <rPh sb="40" eb="42">
      <t>シンサ</t>
    </rPh>
    <rPh sb="42" eb="44">
      <t>フヨウ</t>
    </rPh>
    <phoneticPr fontId="6"/>
  </si>
  <si>
    <t>Req377</t>
  </si>
  <si>
    <t>楽楽精算の振伝入力の移管に伴い、承認後の自動転記をアドオンに追加頂きたい。
FO標準機能では、WF承認の後に転記のステップを実行する必要があるが、
承認時に自動転記するようにしたい。</t>
    <rPh sb="76" eb="77">
      <t>ジ</t>
    </rPh>
    <phoneticPr fontId="6"/>
  </si>
  <si>
    <t>一般会計・決算</t>
    <phoneticPr fontId="6"/>
  </si>
  <si>
    <t>日次振伝処理(決算G)
日次振伝処理(事務管理G)</t>
    <phoneticPr fontId="6"/>
  </si>
  <si>
    <t>承認ボタンクリック時に転記処理も実行されるようにアドオンする。</t>
    <rPh sb="9" eb="10">
      <t>ジ</t>
    </rPh>
    <rPh sb="11" eb="15">
      <t>テンキショリ</t>
    </rPh>
    <rPh sb="16" eb="18">
      <t>ジッコウ</t>
    </rPh>
    <phoneticPr fontId="6"/>
  </si>
  <si>
    <t>2024/4/22
楽々精算の振伝入力の移管のご説明を受けて
要件追加</t>
    <rPh sb="10" eb="14">
      <t>ラクラクセイサン</t>
    </rPh>
    <rPh sb="24" eb="26">
      <t>セツメイ</t>
    </rPh>
    <rPh sb="27" eb="28">
      <t>ウ</t>
    </rPh>
    <rPh sb="31" eb="33">
      <t>ヨウケン</t>
    </rPh>
    <rPh sb="33" eb="35">
      <t>ツイカ</t>
    </rPh>
    <phoneticPr fontId="6"/>
  </si>
  <si>
    <t>承認後の転記漏れを防ぐために必要な旨説明</t>
    <rPh sb="0" eb="3">
      <t>ショウニンゴ</t>
    </rPh>
    <rPh sb="4" eb="7">
      <t>テンキモ</t>
    </rPh>
    <rPh sb="9" eb="10">
      <t>フセ</t>
    </rPh>
    <rPh sb="14" eb="16">
      <t>ヒツヨウ</t>
    </rPh>
    <rPh sb="17" eb="18">
      <t>ムネ</t>
    </rPh>
    <rPh sb="18" eb="20">
      <t>セツメイ</t>
    </rPh>
    <phoneticPr fontId="6"/>
  </si>
  <si>
    <t>Req378</t>
  </si>
  <si>
    <t>承認依頼受領時に、電子メールもしくはTeamsチャットで承認者に通知が入ること</t>
  </si>
  <si>
    <t>楽楽精算から承認者に電子メールで通知が入る</t>
  </si>
  <si>
    <t>一般会計・決算</t>
  </si>
  <si>
    <t>事務管理G</t>
  </si>
  <si>
    <t>Req379</t>
  </si>
  <si>
    <t>固定資産の現物管理をデータで管理できるようにしたい</t>
  </si>
  <si>
    <t>固定資産台帳からデータをエクセル出力し、各担当部門に送付→担当部門ではそのデータを紙で出力し、現物とリストを確認し有無のチェックマークを付与→そのデータをとりまとめ経理部門に送付</t>
  </si>
  <si>
    <r>
      <rPr>
        <b/>
        <sz val="9"/>
        <rFont val="メイリオ"/>
        <family val="3"/>
        <charset val="128"/>
      </rPr>
      <t>【ADD‐ON】</t>
    </r>
    <r>
      <rPr>
        <sz val="9"/>
        <rFont val="メイリオ"/>
        <family val="3"/>
        <charset val="128"/>
      </rPr>
      <t xml:space="preserve">
固定資産一覧に現物有無フラグ（チェックボックス）を追加する。
必要に応じ出力レポートに現物有無フラグを追加する</t>
    </r>
    <rPh sb="9" eb="13">
      <t>コテイシサン</t>
    </rPh>
    <rPh sb="13" eb="15">
      <t>イチラン</t>
    </rPh>
    <rPh sb="16" eb="18">
      <t>ゲンブツ</t>
    </rPh>
    <rPh sb="18" eb="20">
      <t>ウム</t>
    </rPh>
    <rPh sb="34" eb="36">
      <t>ツイカ</t>
    </rPh>
    <rPh sb="40" eb="42">
      <t>ヒツヨウ</t>
    </rPh>
    <rPh sb="43" eb="44">
      <t>オウ</t>
    </rPh>
    <rPh sb="45" eb="47">
      <t>シュツリョク</t>
    </rPh>
    <rPh sb="60" eb="62">
      <t>ツイカ</t>
    </rPh>
    <phoneticPr fontId="6"/>
  </si>
  <si>
    <t>2024/4/25
固定資産の物品管理対応に対する追加要望</t>
    <rPh sb="10" eb="14">
      <t>コテイシサン</t>
    </rPh>
    <rPh sb="15" eb="19">
      <t>ブッピンカンリ</t>
    </rPh>
    <rPh sb="19" eb="21">
      <t>タイオウ</t>
    </rPh>
    <rPh sb="22" eb="23">
      <t>タイ</t>
    </rPh>
    <rPh sb="25" eb="29">
      <t>ツイカヨウボウ</t>
    </rPh>
    <phoneticPr fontId="6"/>
  </si>
  <si>
    <t>Req381</t>
  </si>
  <si>
    <t>Req382</t>
  </si>
  <si>
    <t>Req383</t>
  </si>
  <si>
    <t>Req384</t>
  </si>
  <si>
    <t>Req385</t>
  </si>
  <si>
    <t>Req386</t>
  </si>
  <si>
    <t>Req387</t>
  </si>
  <si>
    <t>Req388</t>
  </si>
  <si>
    <t>Req389</t>
  </si>
  <si>
    <t>Req390</t>
  </si>
  <si>
    <t>Req391</t>
  </si>
  <si>
    <t>Req392</t>
  </si>
  <si>
    <t>Req393</t>
  </si>
  <si>
    <t>Req394</t>
  </si>
  <si>
    <t>Req395</t>
  </si>
  <si>
    <t>Req396</t>
  </si>
  <si>
    <t>Req397</t>
  </si>
  <si>
    <t>Req398</t>
  </si>
  <si>
    <t>Req399</t>
  </si>
  <si>
    <t>Req400</t>
  </si>
  <si>
    <t>Req401</t>
  </si>
  <si>
    <t>Req402</t>
  </si>
  <si>
    <t>Req403</t>
  </si>
  <si>
    <t>Req404</t>
  </si>
  <si>
    <t>Req405</t>
  </si>
  <si>
    <t>Req406</t>
  </si>
  <si>
    <t>Req407</t>
  </si>
  <si>
    <t>Req408</t>
  </si>
  <si>
    <t>Req409</t>
  </si>
  <si>
    <t>Req410</t>
  </si>
  <si>
    <t>Req411</t>
  </si>
  <si>
    <t>Req412</t>
  </si>
  <si>
    <t>Req413</t>
  </si>
  <si>
    <t>Req414</t>
  </si>
  <si>
    <t>Req415</t>
  </si>
  <si>
    <t>Req416</t>
  </si>
  <si>
    <t>Req417</t>
  </si>
  <si>
    <t>Req418</t>
  </si>
  <si>
    <t>Req419</t>
  </si>
  <si>
    <t>Req420</t>
  </si>
  <si>
    <t>Req421</t>
  </si>
  <si>
    <t>Req422</t>
  </si>
  <si>
    <t>Req423</t>
  </si>
  <si>
    <t>Req424</t>
  </si>
  <si>
    <t>Req425</t>
  </si>
  <si>
    <t>Req426</t>
  </si>
  <si>
    <t>Req427</t>
  </si>
  <si>
    <t>Req428</t>
  </si>
  <si>
    <t>Req429</t>
  </si>
  <si>
    <t>Req430</t>
  </si>
  <si>
    <t>Req431</t>
  </si>
  <si>
    <t>Req432</t>
  </si>
  <si>
    <t>Req433</t>
  </si>
  <si>
    <t>Req434</t>
  </si>
  <si>
    <t>Req435</t>
  </si>
  <si>
    <t>Req436</t>
  </si>
  <si>
    <t>Req437</t>
  </si>
  <si>
    <t>Req438</t>
  </si>
  <si>
    <t>Req439</t>
  </si>
  <si>
    <t>Req440</t>
  </si>
  <si>
    <t>Req441</t>
  </si>
  <si>
    <t>Req442</t>
  </si>
  <si>
    <t>Req443</t>
  </si>
  <si>
    <t>Req444</t>
  </si>
  <si>
    <t>Req445</t>
  </si>
  <si>
    <t>Req446</t>
  </si>
  <si>
    <t>Req447</t>
  </si>
  <si>
    <t>Req448</t>
  </si>
  <si>
    <t>優先度</t>
    <rPh sb="0" eb="3">
      <t>ユウセンド</t>
    </rPh>
    <phoneticPr fontId="6"/>
  </si>
  <si>
    <t>S</t>
    <phoneticPr fontId="6"/>
  </si>
  <si>
    <t>業務が停止してしまうので必須</t>
    <rPh sb="0" eb="2">
      <t>ギョウム</t>
    </rPh>
    <rPh sb="3" eb="5">
      <t>テイシ</t>
    </rPh>
    <rPh sb="12" eb="14">
      <t>ヒッス</t>
    </rPh>
    <phoneticPr fontId="6"/>
  </si>
  <si>
    <t>A</t>
    <phoneticPr fontId="6"/>
  </si>
  <si>
    <t>運用回避が可能だが、業務負荷が大きいもの</t>
    <rPh sb="0" eb="2">
      <t>ウンヨウ</t>
    </rPh>
    <rPh sb="2" eb="4">
      <t>カイヒ</t>
    </rPh>
    <rPh sb="5" eb="7">
      <t>カノウ</t>
    </rPh>
    <rPh sb="10" eb="12">
      <t>ギョウム</t>
    </rPh>
    <rPh sb="12" eb="14">
      <t>フカ</t>
    </rPh>
    <rPh sb="15" eb="16">
      <t>オオ</t>
    </rPh>
    <phoneticPr fontId="6"/>
  </si>
  <si>
    <t>B</t>
    <phoneticPr fontId="6"/>
  </si>
  <si>
    <t>運用回避が可能で、業務負荷がそれほど大きくないもの</t>
    <rPh sb="0" eb="2">
      <t>ウンヨウ</t>
    </rPh>
    <rPh sb="2" eb="4">
      <t>カイヒ</t>
    </rPh>
    <rPh sb="5" eb="7">
      <t>カノウ</t>
    </rPh>
    <rPh sb="9" eb="11">
      <t>ギョウム</t>
    </rPh>
    <rPh sb="11" eb="13">
      <t>フカ</t>
    </rPh>
    <rPh sb="18" eb="19">
      <t>オオ</t>
    </rPh>
    <phoneticPr fontId="6"/>
  </si>
  <si>
    <t>C</t>
    <phoneticPr fontId="6"/>
  </si>
  <si>
    <t>便利機能としての要求事項</t>
    <rPh sb="0" eb="2">
      <t>ベンリ</t>
    </rPh>
    <rPh sb="2" eb="4">
      <t>キノウ</t>
    </rPh>
    <rPh sb="8" eb="10">
      <t>ヨウキュウ</t>
    </rPh>
    <rPh sb="10" eb="12">
      <t>ジコウ</t>
    </rPh>
    <phoneticPr fontId="6"/>
  </si>
  <si>
    <t>対象システム</t>
    <phoneticPr fontId="6"/>
  </si>
  <si>
    <t>CRM</t>
    <phoneticPr fontId="6"/>
  </si>
  <si>
    <t>その他</t>
    <rPh sb="2" eb="3">
      <t>タ</t>
    </rPh>
    <phoneticPr fontId="6"/>
  </si>
  <si>
    <t>開発</t>
    <rPh sb="0" eb="2">
      <t>カイハツ</t>
    </rPh>
    <phoneticPr fontId="6"/>
  </si>
  <si>
    <t>スコープ</t>
    <phoneticPr fontId="6"/>
  </si>
  <si>
    <t>IN</t>
    <phoneticPr fontId="6"/>
  </si>
  <si>
    <t>OUT</t>
    <phoneticPr fontId="6"/>
  </si>
  <si>
    <t>2024/3/14
伝票単位で修正できるか、確認する。
⇒FOでは請求書ID=伝票ID（1対1の関係）になる。　
2024/5/1 追記
ホストからの債務計上分の修正で発生
支払修正で支払基準日の変更が発生します。R3では画面上で支払基準日を変更しておりました。</t>
    <rPh sb="10" eb="12">
      <t>デンピョウ</t>
    </rPh>
    <rPh sb="12" eb="14">
      <t>タンイ</t>
    </rPh>
    <rPh sb="15" eb="17">
      <t>シュウセイ</t>
    </rPh>
    <rPh sb="22" eb="24">
      <t>カクニン</t>
    </rPh>
    <rPh sb="33" eb="36">
      <t>セイキュウショ</t>
    </rPh>
    <rPh sb="39" eb="41">
      <t>デンピョウ</t>
    </rPh>
    <rPh sb="45" eb="46">
      <t>タイ</t>
    </rPh>
    <rPh sb="48" eb="50">
      <t>カンケイ</t>
    </rPh>
    <rPh sb="67" eb="69">
      <t>ツイキ</t>
    </rPh>
    <rPh sb="85" eb="87">
      <t>ハッセイ</t>
    </rPh>
    <phoneticPr fontId="6"/>
  </si>
  <si>
    <t>仕入先残高リストでマイナス残高（合計が＋（借方）になっているもの、貸方はーで表示される。）で確認する。
楽楽精算から連携された仕訳（未収入金/買掛金）の確認としては、取引明細書　で相手勘定：未収入金　となっている仕訳を確認する。
※IFをどうするのか、振替伝票の移管の検討が必要。</t>
    <rPh sb="0" eb="5">
      <t>シイレサキザンダカ</t>
    </rPh>
    <rPh sb="13" eb="15">
      <t>ザンダカ</t>
    </rPh>
    <rPh sb="16" eb="18">
      <t>ゴウケイ</t>
    </rPh>
    <rPh sb="21" eb="23">
      <t>カリカタ</t>
    </rPh>
    <rPh sb="33" eb="35">
      <t>カシカタ</t>
    </rPh>
    <rPh sb="38" eb="40">
      <t>ヒョウジ</t>
    </rPh>
    <rPh sb="46" eb="48">
      <t>カクニン</t>
    </rPh>
    <rPh sb="53" eb="57">
      <t>ラクラクセイサン</t>
    </rPh>
    <rPh sb="59" eb="61">
      <t>レンケイ</t>
    </rPh>
    <rPh sb="64" eb="66">
      <t>シワケ</t>
    </rPh>
    <rPh sb="67" eb="71">
      <t>ミシュウニュウキン</t>
    </rPh>
    <rPh sb="72" eb="75">
      <t>カイカケキン</t>
    </rPh>
    <rPh sb="77" eb="79">
      <t>カクニン</t>
    </rPh>
    <rPh sb="84" eb="89">
      <t>トリヒキメイサイショ</t>
    </rPh>
    <rPh sb="91" eb="95">
      <t>アイテカンジョウ</t>
    </rPh>
    <rPh sb="96" eb="100">
      <t>ミシュウニュウキン</t>
    </rPh>
    <rPh sb="107" eb="109">
      <t>シワケ</t>
    </rPh>
    <rPh sb="110" eb="112">
      <t>カクニン</t>
    </rPh>
    <rPh sb="127" eb="129">
      <t>フリカエ</t>
    </rPh>
    <rPh sb="129" eb="131">
      <t>デンピョウ</t>
    </rPh>
    <rPh sb="132" eb="134">
      <t>イカン</t>
    </rPh>
    <rPh sb="135" eb="137">
      <t>ケントウ</t>
    </rPh>
    <rPh sb="138" eb="140">
      <t>ヒツヨウ</t>
    </rPh>
    <phoneticPr fontId="6"/>
  </si>
  <si>
    <t>支払後の実際の支払額（支払手数料考慮後）が確認できる帳票を開発する。
Rep161：支払一覧表とあわせて検討する。</t>
    <rPh sb="29" eb="31">
      <t>カイハツ</t>
    </rPh>
    <rPh sb="53" eb="55">
      <t>ケントウ</t>
    </rPh>
    <phoneticPr fontId="6"/>
  </si>
  <si>
    <t xml:space="preserve">支払日に合わせて支払方法別・支払先別に、国内送金/海外送金のための送金データを自動作成できること
・国内振込（全銀協フォーマット）
・海外送金（ISO20022）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rPh sb="50" eb="54">
      <t>コクナイフリコミ</t>
    </rPh>
    <rPh sb="55" eb="58">
      <t>ゼンギンキョウ</t>
    </rPh>
    <rPh sb="67" eb="71">
      <t>カイガイソウキン</t>
    </rPh>
    <phoneticPr fontId="3"/>
  </si>
  <si>
    <t>Windows標準のファイル保存ダイアログを使用する。</t>
    <phoneticPr fontId="6"/>
  </si>
  <si>
    <t>新規帳票開発を行う。
Req326、Rep161（支払集計表）と合わせて検討する。</t>
    <rPh sb="0" eb="6">
      <t>シンキチョウヒョウカイハツ</t>
    </rPh>
    <rPh sb="7" eb="8">
      <t>オコナ</t>
    </rPh>
    <rPh sb="32" eb="33">
      <t>ア</t>
    </rPh>
    <rPh sb="36" eb="38">
      <t>ケントウ</t>
    </rPh>
    <phoneticPr fontId="6"/>
  </si>
  <si>
    <t>仕入先支払仕訳帳について
・支払処理後、取引先に支払った金額（振込金額）を確認したいのですが、「振込日」「仕入先コード」「合計金額」で確認することはできますか？</t>
    <phoneticPr fontId="6"/>
  </si>
  <si>
    <t>ユーザーごとに標準機能のテンプレート機能を使用して、条件をテンプレート化し保存・使用する。</t>
    <rPh sb="7" eb="11">
      <t>ヒョウジュンキノウ</t>
    </rPh>
    <rPh sb="18" eb="20">
      <t>キノウ</t>
    </rPh>
    <rPh sb="21" eb="23">
      <t>シヨウ</t>
    </rPh>
    <rPh sb="35" eb="36">
      <t>カ</t>
    </rPh>
    <rPh sb="40" eb="42">
      <t>シヨウ</t>
    </rPh>
    <phoneticPr fontId="6"/>
  </si>
  <si>
    <t>現場部門で作成された予算計画EXCELファイルを一括取込更新可能にする</t>
    <phoneticPr fontId="6"/>
  </si>
  <si>
    <t>現場部門で作成された予算計登録用EXCELファイルを取込更新している</t>
    <rPh sb="13" eb="15">
      <t>トウロク</t>
    </rPh>
    <rPh sb="15" eb="16">
      <t>ヨウ</t>
    </rPh>
    <rPh sb="26" eb="28">
      <t>トリコ</t>
    </rPh>
    <rPh sb="28" eb="30">
      <t>コウシン</t>
    </rPh>
    <phoneticPr fontId="6"/>
  </si>
  <si>
    <t>SSJ事業計画部
SEJ事業計画部</t>
    <rPh sb="3" eb="7">
      <t>ジギョウケイカク</t>
    </rPh>
    <rPh sb="7" eb="8">
      <t>ブ</t>
    </rPh>
    <rPh sb="12" eb="16">
      <t>ジギョウケイカク</t>
    </rPh>
    <rPh sb="16" eb="17">
      <t>ブ</t>
    </rPh>
    <phoneticPr fontId="6"/>
  </si>
  <si>
    <t>アドオン候補にするか</t>
    <rPh sb="4" eb="6">
      <t>コウホ</t>
    </rPh>
    <phoneticPr fontId="6"/>
  </si>
  <si>
    <t>2024/4/25
アドオン候補に入れる</t>
    <rPh sb="14" eb="16">
      <t>コウホ</t>
    </rPh>
    <rPh sb="17" eb="18">
      <t>イ</t>
    </rPh>
    <phoneticPr fontId="6"/>
  </si>
  <si>
    <t>新規画面作成
取込用の起動画面を作成
※複数ファイルをアップロードできること
※スケジュールバッチも可能とする。
アップロードされたファイルで、予算計画の登録更新を行う。
※スケジュールバッチも可能とする。</t>
    <phoneticPr fontId="6"/>
  </si>
  <si>
    <t>Req380</t>
    <phoneticPr fontId="6"/>
  </si>
  <si>
    <t>2024/4/25
特定の機能または帳票の名称を指定できるか？</t>
    <phoneticPr fontId="6"/>
  </si>
  <si>
    <t>2024/4/25
特定の帳票というより
帳票・レポート一覧に記載の複数の帳票で充足すると認識している。
要求事項の詳細が、帳票一覧になる。
要求事項で開発の判断をするのではなく、帳票一覧のほうで判断することになると考えている。</t>
    <phoneticPr fontId="6"/>
  </si>
  <si>
    <t>業務内容</t>
    <rPh sb="0" eb="2">
      <t>ギョウム</t>
    </rPh>
    <rPh sb="2" eb="4">
      <t>ナイヨウ</t>
    </rPh>
    <phoneticPr fontId="24"/>
  </si>
  <si>
    <t>RFP回答</t>
    <rPh sb="3" eb="5">
      <t>カイトウ</t>
    </rPh>
    <phoneticPr fontId="24"/>
  </si>
  <si>
    <t>Lv1</t>
  </si>
  <si>
    <t>Lv2</t>
  </si>
  <si>
    <t>Lv3</t>
  </si>
  <si>
    <t>Lv4</t>
  </si>
  <si>
    <t>No</t>
  </si>
  <si>
    <t>業務概要</t>
    <rPh sb="0" eb="2">
      <t>ギョウム</t>
    </rPh>
    <rPh sb="2" eb="4">
      <t>ガイヨウ</t>
    </rPh>
    <phoneticPr fontId="24"/>
  </si>
  <si>
    <t>対応機能</t>
    <rPh sb="0" eb="4">
      <t>タイオウキノウ</t>
    </rPh>
    <phoneticPr fontId="24"/>
  </si>
  <si>
    <t>システム対応可否</t>
    <rPh sb="4" eb="8">
      <t>タイオウカヒ</t>
    </rPh>
    <phoneticPr fontId="24"/>
  </si>
  <si>
    <t>会計システム標準機能以外の場合、実現方法詳細</t>
    <rPh sb="0" eb="2">
      <t>カイケイ</t>
    </rPh>
    <rPh sb="6" eb="8">
      <t>ヒョウジュン</t>
    </rPh>
    <rPh sb="8" eb="10">
      <t>キノウ</t>
    </rPh>
    <rPh sb="10" eb="12">
      <t>イガイ</t>
    </rPh>
    <rPh sb="13" eb="15">
      <t>バアイ</t>
    </rPh>
    <rPh sb="16" eb="20">
      <t>ジツゲンホウホウ</t>
    </rPh>
    <rPh sb="20" eb="22">
      <t>ショウサイ</t>
    </rPh>
    <phoneticPr fontId="24"/>
  </si>
  <si>
    <t>一般会計全般</t>
    <rPh sb="0" eb="4">
      <t>イッパンカイケイ</t>
    </rPh>
    <rPh sb="4" eb="6">
      <t>ゼンパン</t>
    </rPh>
    <phoneticPr fontId="24"/>
  </si>
  <si>
    <t>仕訳処理</t>
  </si>
  <si>
    <t>仕訳データ入力</t>
  </si>
  <si>
    <t>仕訳入力</t>
  </si>
  <si>
    <r>
      <t xml:space="preserve">画面入力で仕訳伝票を登録できること
(勘定科目を変更せず、仕訳の入力項目の修正のための振替伝票も起票可能であること)
</t>
    </r>
    <r>
      <rPr>
        <sz val="11"/>
        <color rgb="FFFF0000"/>
        <rFont val="Meiryo UI"/>
        <family val="3"/>
        <charset val="128"/>
      </rPr>
      <t>⇒()内の記述は、登録ミスした仕訳伝票の訂正伝票の登録方法に関する記述</t>
    </r>
    <rPh sb="50" eb="52">
      <t>カノウ</t>
    </rPh>
    <phoneticPr fontId="24"/>
  </si>
  <si>
    <t>会計システム標準機能</t>
  </si>
  <si>
    <t>多通貨の仕訳伝票の登録機能</t>
    <rPh sb="0" eb="1">
      <t>オオ</t>
    </rPh>
    <rPh sb="1" eb="3">
      <t>ツウカ</t>
    </rPh>
    <rPh sb="4" eb="6">
      <t>シワケ</t>
    </rPh>
    <rPh sb="6" eb="8">
      <t>デンピョウ</t>
    </rPh>
    <rPh sb="9" eb="11">
      <t>トウロク</t>
    </rPh>
    <rPh sb="11" eb="13">
      <t>キノウ</t>
    </rPh>
    <phoneticPr fontId="24"/>
  </si>
  <si>
    <t>Excelフォーマット（取引先、取引内容、部門、消費税区分、金額、伝票日付、相手科目等）のアップロード機能で仕訳作成できること
※機能通貨への換算、消費税明細計上(内税/外税)、為替差損益明細計上への対応、および相互通貨バランスチェック、最新データの取得が可能であること</t>
    <phoneticPr fontId="24"/>
  </si>
  <si>
    <r>
      <t xml:space="preserve">勘定科目別に入力条件が設定でき、条件外の場合はエラーアラートが表示できること
</t>
    </r>
    <r>
      <rPr>
        <sz val="11"/>
        <color rgb="FFFF0000"/>
        <rFont val="Meiryo UI"/>
        <family val="3"/>
        <charset val="128"/>
      </rPr>
      <t>⇒例えば経費科目であれば経費発生部門(原価センタ)の入力が必須になるなど、勘定科目の種類に応じて入力の必須・任意(入力フィールドの表示・非表示)をコントロールする機能のイメージです。(SAPでは項目ステータスと呼ばれる機能に該当します。)</t>
    </r>
    <phoneticPr fontId="24"/>
  </si>
  <si>
    <t>勘定科目別に入力条件を指定する機能</t>
    <rPh sb="4" eb="5">
      <t>ベツ</t>
    </rPh>
    <rPh sb="6" eb="8">
      <t>ニュウリョク</t>
    </rPh>
    <rPh sb="8" eb="10">
      <t>ジョウケン</t>
    </rPh>
    <rPh sb="11" eb="13">
      <t>シテイ</t>
    </rPh>
    <rPh sb="15" eb="17">
      <t>キノウ</t>
    </rPh>
    <phoneticPr fontId="24"/>
  </si>
  <si>
    <t>複数仕訳を同時で起票できる機能</t>
    <rPh sb="0" eb="2">
      <t>フクスウ</t>
    </rPh>
    <rPh sb="2" eb="4">
      <t>シワケ</t>
    </rPh>
    <rPh sb="5" eb="7">
      <t>ドウジ</t>
    </rPh>
    <rPh sb="8" eb="10">
      <t>キヒョウ</t>
    </rPh>
    <rPh sb="13" eb="15">
      <t>キノウ</t>
    </rPh>
    <phoneticPr fontId="24"/>
  </si>
  <si>
    <t>転記済みの仕訳をコピーして登録できること</t>
    <rPh sb="0" eb="2">
      <t>テンキ</t>
    </rPh>
    <rPh sb="2" eb="3">
      <t>ズ</t>
    </rPh>
    <rPh sb="5" eb="7">
      <t>シワケ</t>
    </rPh>
    <rPh sb="13" eb="15">
      <t>トウロク</t>
    </rPh>
    <phoneticPr fontId="24"/>
  </si>
  <si>
    <t>転記済みの仕訳をコピーして一部内容を修正することで新たな仕訳として登録できる機能</t>
    <rPh sb="0" eb="2">
      <t>テンキ</t>
    </rPh>
    <rPh sb="2" eb="3">
      <t>ズ</t>
    </rPh>
    <rPh sb="5" eb="7">
      <t>シワケ</t>
    </rPh>
    <rPh sb="13" eb="15">
      <t>イチブ</t>
    </rPh>
    <rPh sb="15" eb="17">
      <t>ナイヨウ</t>
    </rPh>
    <rPh sb="18" eb="20">
      <t>シュウセイ</t>
    </rPh>
    <rPh sb="25" eb="26">
      <t>アラ</t>
    </rPh>
    <rPh sb="28" eb="30">
      <t>シワケ</t>
    </rPh>
    <rPh sb="33" eb="35">
      <t>トウロク</t>
    </rPh>
    <rPh sb="38" eb="40">
      <t>キノウ</t>
    </rPh>
    <phoneticPr fontId="24"/>
  </si>
  <si>
    <t>仕訳帳のテンプレート登録にて対応</t>
    <rPh sb="0" eb="3">
      <t>シワケチョウ</t>
    </rPh>
    <rPh sb="10" eb="12">
      <t>トウロク</t>
    </rPh>
    <rPh sb="14" eb="16">
      <t>タイオウ</t>
    </rPh>
    <phoneticPr fontId="24"/>
  </si>
  <si>
    <t>転記前に、転記後の残高を事前にシミュレーション表示できること</t>
    <rPh sb="0" eb="2">
      <t>テンキ</t>
    </rPh>
    <rPh sb="2" eb="3">
      <t>マエ</t>
    </rPh>
    <rPh sb="5" eb="7">
      <t>テンキ</t>
    </rPh>
    <rPh sb="7" eb="8">
      <t>ゴ</t>
    </rPh>
    <rPh sb="9" eb="11">
      <t>ザンダカ</t>
    </rPh>
    <rPh sb="12" eb="14">
      <t>ジゼン</t>
    </rPh>
    <rPh sb="23" eb="25">
      <t>ヒョウジ</t>
    </rPh>
    <phoneticPr fontId="24"/>
  </si>
  <si>
    <t>登録は済んでいるが、まだ転記されていない仕訳について、転記後の残高を事前に確認できるように、シミュレーション表示できる機能</t>
    <rPh sb="0" eb="2">
      <t>トウロク</t>
    </rPh>
    <rPh sb="3" eb="4">
      <t>ス</t>
    </rPh>
    <rPh sb="12" eb="14">
      <t>テンキ</t>
    </rPh>
    <rPh sb="20" eb="22">
      <t>シワケ</t>
    </rPh>
    <rPh sb="27" eb="30">
      <t>テンキゴ</t>
    </rPh>
    <rPh sb="31" eb="33">
      <t>ザンダカ</t>
    </rPh>
    <rPh sb="34" eb="36">
      <t>ジゼン</t>
    </rPh>
    <rPh sb="37" eb="39">
      <t>カクニン</t>
    </rPh>
    <rPh sb="54" eb="56">
      <t>ヒョウジ</t>
    </rPh>
    <rPh sb="59" eb="61">
      <t>キノウ</t>
    </rPh>
    <phoneticPr fontId="24"/>
  </si>
  <si>
    <t>会計システムアドオン</t>
  </si>
  <si>
    <t>未転記の仕訳を選択後、ボタン押下後に転記後の残高を確認できるポップアップ画面を表示する機能を追加する</t>
    <rPh sb="0" eb="1">
      <t>ミ</t>
    </rPh>
    <rPh sb="3" eb="5">
      <t>シンキ</t>
    </rPh>
    <rPh sb="11" eb="13">
      <t>ガメン</t>
    </rPh>
    <rPh sb="14" eb="16">
      <t>ヒョウジ</t>
    </rPh>
    <rPh sb="19" eb="20">
      <t>ミ</t>
    </rPh>
    <rPh sb="20" eb="22">
      <t>テンキ</t>
    </rPh>
    <rPh sb="23" eb="25">
      <t>シワケ</t>
    </rPh>
    <rPh sb="26" eb="28">
      <t>センタク</t>
    </rPh>
    <rPh sb="28" eb="29">
      <t>ゴ</t>
    </rPh>
    <rPh sb="33" eb="35">
      <t>オウカ</t>
    </rPh>
    <rPh sb="35" eb="36">
      <t>ゴ</t>
    </rPh>
    <rPh sb="37" eb="39">
      <t>テンキ</t>
    </rPh>
    <rPh sb="39" eb="40">
      <t>ゴ</t>
    </rPh>
    <rPh sb="41" eb="43">
      <t>ザンダカ</t>
    </rPh>
    <rPh sb="43" eb="45">
      <t>キノウ</t>
    </rPh>
    <rPh sb="46" eb="48">
      <t>ツイカカクニンガメンヒョウジ</t>
    </rPh>
    <phoneticPr fontId="24"/>
  </si>
  <si>
    <t>定型仕訳</t>
  </si>
  <si>
    <t>定型の仕訳伝票に関して、配賦用のテンプレートを定義、繰り返し使用できること
※テンプレート項目例：配賦元部門/勘定科目/金額、配賦先部門/勘定科目金額、配賦基準(金額比、割合比等)</t>
    <rPh sb="26" eb="27">
      <t>ク</t>
    </rPh>
    <rPh sb="28" eb="29">
      <t>カエ</t>
    </rPh>
    <rPh sb="30" eb="32">
      <t>シヨウ</t>
    </rPh>
    <rPh sb="45" eb="47">
      <t>コウモク</t>
    </rPh>
    <rPh sb="47" eb="48">
      <t>レイ</t>
    </rPh>
    <rPh sb="52" eb="54">
      <t>ブモン</t>
    </rPh>
    <rPh sb="55" eb="57">
      <t>カンジョウ</t>
    </rPh>
    <rPh sb="57" eb="59">
      <t>カモク</t>
    </rPh>
    <rPh sb="60" eb="62">
      <t>キンガク</t>
    </rPh>
    <rPh sb="63" eb="65">
      <t>ハイフ</t>
    </rPh>
    <rPh sb="65" eb="66">
      <t>サキ</t>
    </rPh>
    <rPh sb="66" eb="68">
      <t>ブモン</t>
    </rPh>
    <rPh sb="73" eb="75">
      <t>キンガク</t>
    </rPh>
    <rPh sb="78" eb="80">
      <t>キジュン</t>
    </rPh>
    <rPh sb="81" eb="83">
      <t>キンガク</t>
    </rPh>
    <rPh sb="83" eb="84">
      <t>ヒ</t>
    </rPh>
    <rPh sb="85" eb="87">
      <t>ワリアイ</t>
    </rPh>
    <rPh sb="87" eb="88">
      <t>ヒ</t>
    </rPh>
    <rPh sb="88" eb="89">
      <t>ナド</t>
    </rPh>
    <phoneticPr fontId="24"/>
  </si>
  <si>
    <t>配賦のために定型の仕訳伝票を入力テンプレートとして定義する機能</t>
    <rPh sb="0" eb="2">
      <t>ハイフ</t>
    </rPh>
    <rPh sb="6" eb="8">
      <t>テイケイ</t>
    </rPh>
    <phoneticPr fontId="24"/>
  </si>
  <si>
    <t>一般仕訳帳のテンプレ機能があります。（配賦のためというわけではない）</t>
    <phoneticPr fontId="24"/>
  </si>
  <si>
    <t>定型仕訳</t>
    <phoneticPr fontId="6"/>
  </si>
  <si>
    <t>定型の仕訳伝票に関して、伝票登録時の入力テンプレートを定義し、繰り返し使用できること</t>
    <rPh sb="31" eb="32">
      <t>ク</t>
    </rPh>
    <rPh sb="33" eb="34">
      <t>カエ</t>
    </rPh>
    <rPh sb="35" eb="37">
      <t>シヨウ</t>
    </rPh>
    <phoneticPr fontId="24"/>
  </si>
  <si>
    <t>仕訳データ修正</t>
  </si>
  <si>
    <t>修正仕訳</t>
  </si>
  <si>
    <t>未転記の場合、登録した仕訳伝票を登録者の方から修正することができること</t>
    <rPh sb="16" eb="19">
      <t>トウロクシャ</t>
    </rPh>
    <rPh sb="20" eb="21">
      <t>ホウ</t>
    </rPh>
    <rPh sb="23" eb="25">
      <t>シュウセイ</t>
    </rPh>
    <phoneticPr fontId="24"/>
  </si>
  <si>
    <t>仕訳明細情報を訂正する機能</t>
    <phoneticPr fontId="24"/>
  </si>
  <si>
    <t>仕訳データ修正</t>
    <phoneticPr fontId="6"/>
  </si>
  <si>
    <t>修正仕訳</t>
    <phoneticPr fontId="6"/>
  </si>
  <si>
    <t>未転記の場合、登録した仕訳伝票を登録者の方から削除することができること</t>
    <phoneticPr fontId="24"/>
  </si>
  <si>
    <t>逆仕訳</t>
  </si>
  <si>
    <t>転記済み仕訳を指定し「仕訳全体の取り消し」</t>
    <phoneticPr fontId="24"/>
  </si>
  <si>
    <t>仕訳の転記</t>
  </si>
  <si>
    <t>仕訳の転記</t>
    <phoneticPr fontId="6"/>
  </si>
  <si>
    <t>特定金額以下であれば、承認不要（転記可能）等は設定できる。</t>
    <rPh sb="0" eb="2">
      <t>トクテイ</t>
    </rPh>
    <rPh sb="2" eb="4">
      <t>キンガク</t>
    </rPh>
    <rPh sb="4" eb="6">
      <t>イカ</t>
    </rPh>
    <rPh sb="11" eb="13">
      <t>ショウニン</t>
    </rPh>
    <rPh sb="13" eb="15">
      <t>フヨウ</t>
    </rPh>
    <rPh sb="16" eb="20">
      <t>テンキカノウ</t>
    </rPh>
    <rPh sb="21" eb="22">
      <t>トウ</t>
    </rPh>
    <rPh sb="23" eb="25">
      <t>セッテイ</t>
    </rPh>
    <phoneticPr fontId="24"/>
  </si>
  <si>
    <t>仕訳の承認</t>
  </si>
  <si>
    <t>一括で承認依頼/承認を行う機能を追加する</t>
    <rPh sb="0" eb="2">
      <t>イッカツ</t>
    </rPh>
    <rPh sb="3" eb="7">
      <t>ショウニンイライ</t>
    </rPh>
    <rPh sb="8" eb="10">
      <t>ショウニン</t>
    </rPh>
    <rPh sb="11" eb="12">
      <t>オコナ</t>
    </rPh>
    <rPh sb="13" eb="15">
      <t>キノウ</t>
    </rPh>
    <rPh sb="16" eb="18">
      <t>ツイカ</t>
    </rPh>
    <phoneticPr fontId="24"/>
  </si>
  <si>
    <t>仕訳の承認</t>
    <phoneticPr fontId="6"/>
  </si>
  <si>
    <t>仕訳一括承認依頼受領時に、任意の仕訳単位に対して一括で承認、否決処理ができること</t>
    <phoneticPr fontId="24"/>
  </si>
  <si>
    <t>4.3の範囲にて対応。</t>
    <rPh sb="4" eb="6">
      <t>ハンイ</t>
    </rPh>
    <rPh sb="8" eb="10">
      <t>タイオウ</t>
    </rPh>
    <phoneticPr fontId="24"/>
  </si>
  <si>
    <t>未転記の仕訳管理</t>
    <rPh sb="0" eb="3">
      <t>ミテンキ</t>
    </rPh>
    <rPh sb="4" eb="6">
      <t>シワケ</t>
    </rPh>
    <rPh sb="6" eb="8">
      <t>カンリ</t>
    </rPh>
    <phoneticPr fontId="24"/>
  </si>
  <si>
    <t>承認依頼が必要な未承認の仕訳を勘定科目別に集計した一覧で、画面照会および帳票出力できること</t>
    <phoneticPr fontId="24"/>
  </si>
  <si>
    <t>承認依頼が必要な仕訳を勘定科目別に集計した一覧を出力する機能</t>
    <phoneticPr fontId="24"/>
  </si>
  <si>
    <t>新規画面として、承認依頼が必要な仕訳を勘定科目別に集計した一覧を出力する画面を作成。帳票に関しては、現時点では標準機能のExcelファイルエクスポート機能を使用予定。要件次第で開発とする。</t>
    <rPh sb="0" eb="2">
      <t>シンキ</t>
    </rPh>
    <rPh sb="2" eb="4">
      <t>ガメン</t>
    </rPh>
    <rPh sb="8" eb="10">
      <t>ショウニン</t>
    </rPh>
    <rPh sb="10" eb="12">
      <t>イライ</t>
    </rPh>
    <rPh sb="13" eb="15">
      <t>ヒツヨウ</t>
    </rPh>
    <rPh sb="16" eb="18">
      <t>シワケ</t>
    </rPh>
    <rPh sb="19" eb="21">
      <t>カンジョウ</t>
    </rPh>
    <rPh sb="21" eb="23">
      <t>カモク</t>
    </rPh>
    <rPh sb="23" eb="24">
      <t>ベツ</t>
    </rPh>
    <rPh sb="25" eb="27">
      <t>シュウケイ</t>
    </rPh>
    <rPh sb="29" eb="31">
      <t>イチラン</t>
    </rPh>
    <rPh sb="32" eb="34">
      <t>シュツリョク</t>
    </rPh>
    <rPh sb="36" eb="38">
      <t>ガメン</t>
    </rPh>
    <rPh sb="39" eb="41">
      <t>サクセイ</t>
    </rPh>
    <rPh sb="42" eb="44">
      <t>チョウヒョウ</t>
    </rPh>
    <rPh sb="45" eb="46">
      <t>カン</t>
    </rPh>
    <rPh sb="50" eb="53">
      <t>ゲンジテン</t>
    </rPh>
    <rPh sb="55" eb="59">
      <t>ヒョウジュンキノウ</t>
    </rPh>
    <rPh sb="75" eb="77">
      <t>キノウ</t>
    </rPh>
    <rPh sb="78" eb="80">
      <t>シヨウ</t>
    </rPh>
    <rPh sb="80" eb="82">
      <t>ヨテイ</t>
    </rPh>
    <rPh sb="83" eb="85">
      <t>ヨウケン</t>
    </rPh>
    <rPh sb="85" eb="87">
      <t>シダイ</t>
    </rPh>
    <rPh sb="88" eb="90">
      <t>カイハツ</t>
    </rPh>
    <phoneticPr fontId="24"/>
  </si>
  <si>
    <t>残高確認</t>
    <rPh sb="2" eb="4">
      <t>カクニン</t>
    </rPh>
    <phoneticPr fontId="24"/>
  </si>
  <si>
    <t>残高照会</t>
  </si>
  <si>
    <t>帳票・明細出力</t>
    <rPh sb="0" eb="2">
      <t>チョウヒョウ</t>
    </rPh>
    <rPh sb="3" eb="5">
      <t>メイサイ</t>
    </rPh>
    <rPh sb="5" eb="7">
      <t>シュツリョク</t>
    </rPh>
    <phoneticPr fontId="24"/>
  </si>
  <si>
    <t>指定された会計期間において発生した任意の勘定科目の残高明細情報を、画面照会および帳票出力できること</t>
    <rPh sb="13" eb="15">
      <t>ハッセイ</t>
    </rPh>
    <rPh sb="17" eb="19">
      <t>ニンイ</t>
    </rPh>
    <phoneticPr fontId="24"/>
  </si>
  <si>
    <t>前年同期比で残高の比較照合ができる機能</t>
    <rPh sb="0" eb="5">
      <t>ゼンネンドウキヒ</t>
    </rPh>
    <rPh sb="6" eb="8">
      <t>ザンダカ</t>
    </rPh>
    <rPh sb="9" eb="11">
      <t>ヒカク</t>
    </rPh>
    <rPh sb="11" eb="13">
      <t>ショウゴウ</t>
    </rPh>
    <rPh sb="17" eb="19">
      <t>キノウ</t>
    </rPh>
    <phoneticPr fontId="24"/>
  </si>
  <si>
    <t>MRで対応</t>
    <phoneticPr fontId="24"/>
  </si>
  <si>
    <t>特定の会計期間において勘定科目別、貨幣別等で各残高を集計して、画面照会および帳票出力ができること</t>
    <rPh sb="0" eb="2">
      <t>トクテイ</t>
    </rPh>
    <rPh sb="20" eb="21">
      <t>トウ</t>
    </rPh>
    <rPh sb="22" eb="23">
      <t>カク</t>
    </rPh>
    <rPh sb="23" eb="25">
      <t>ザンダカ</t>
    </rPh>
    <phoneticPr fontId="24"/>
  </si>
  <si>
    <t>特定の会計期間において勘定科目別の残高を指定した一定の条件別に一覧化して集計する機能</t>
    <rPh sb="20" eb="22">
      <t>シテイ</t>
    </rPh>
    <rPh sb="24" eb="26">
      <t>イッテイ</t>
    </rPh>
    <rPh sb="27" eb="29">
      <t>ジョウケン</t>
    </rPh>
    <rPh sb="29" eb="30">
      <t>ベツ</t>
    </rPh>
    <phoneticPr fontId="24"/>
  </si>
  <si>
    <t>赤残チェック</t>
  </si>
  <si>
    <t>勘定科目一覧画面で、金額欄にマイナス金額のフィルタを使用</t>
    <rPh sb="0" eb="6">
      <t>カンジョウカモクイチラン</t>
    </rPh>
    <rPh sb="6" eb="8">
      <t>ガメン</t>
    </rPh>
    <rPh sb="10" eb="12">
      <t>キンガク</t>
    </rPh>
    <rPh sb="12" eb="13">
      <t>ラン</t>
    </rPh>
    <rPh sb="18" eb="20">
      <t>キンガク</t>
    </rPh>
    <rPh sb="26" eb="28">
      <t>シヨウ</t>
    </rPh>
    <phoneticPr fontId="24"/>
  </si>
  <si>
    <t>決算時の通過勘定科目の残高を確認し、残高が0円以外の科目がある場合、該当科目別の残高を通貨・会社毎にリストとして、画面照会および帳票出力ができること</t>
    <rPh sb="4" eb="6">
      <t>ツウカ</t>
    </rPh>
    <phoneticPr fontId="6"/>
  </si>
  <si>
    <t>決算時において0円である必要がある勘定科目(通過勘定科目)に対し未整理の残高が存在する場合、対象の残高情報を一覧で出力する機能</t>
    <rPh sb="0" eb="3">
      <t>ケッサンジ</t>
    </rPh>
    <rPh sb="8" eb="9">
      <t>エン</t>
    </rPh>
    <rPh sb="12" eb="14">
      <t>ヒツヨウ</t>
    </rPh>
    <rPh sb="17" eb="21">
      <t>カンジョウカモク</t>
    </rPh>
    <rPh sb="22" eb="28">
      <t>ツウカカンジョウカモク</t>
    </rPh>
    <rPh sb="30" eb="31">
      <t>タイ</t>
    </rPh>
    <rPh sb="32" eb="35">
      <t>ミセイリ</t>
    </rPh>
    <rPh sb="36" eb="38">
      <t>ザンダカ</t>
    </rPh>
    <rPh sb="39" eb="41">
      <t>ソンザイ</t>
    </rPh>
    <rPh sb="43" eb="45">
      <t>バアイ</t>
    </rPh>
    <rPh sb="46" eb="48">
      <t>タイショウ</t>
    </rPh>
    <rPh sb="49" eb="51">
      <t>ザンダカ</t>
    </rPh>
    <rPh sb="51" eb="53">
      <t>ジョウホウ</t>
    </rPh>
    <rPh sb="54" eb="56">
      <t>イチラン</t>
    </rPh>
    <rPh sb="57" eb="59">
      <t>シュツリョク</t>
    </rPh>
    <rPh sb="61" eb="63">
      <t>キノウ</t>
    </rPh>
    <phoneticPr fontId="24"/>
  </si>
  <si>
    <t>伝票トランザクションにてフィルタしてExcel出力での対応</t>
    <phoneticPr fontId="24"/>
  </si>
  <si>
    <t>レポート・伝票</t>
    <rPh sb="5" eb="7">
      <t>デンピョウ</t>
    </rPh>
    <phoneticPr fontId="24"/>
  </si>
  <si>
    <t>会計・単体決算用</t>
    <rPh sb="0" eb="2">
      <t>カイケイ</t>
    </rPh>
    <rPh sb="3" eb="5">
      <t>タンタイ</t>
    </rPh>
    <rPh sb="5" eb="7">
      <t>ケッサン</t>
    </rPh>
    <rPh sb="7" eb="8">
      <t>ヨウ</t>
    </rPh>
    <phoneticPr fontId="24"/>
  </si>
  <si>
    <t>財務諸表</t>
  </si>
  <si>
    <t>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t>
    <rPh sb="13" eb="15">
      <t>イカ</t>
    </rPh>
    <rPh sb="16" eb="20">
      <t>ザイムショヒョウ</t>
    </rPh>
    <phoneticPr fontId="24"/>
  </si>
  <si>
    <t>財務諸表をを全社/各社別に作成・出力する機能(BS/PLについては開示用科目(親科目)と集計元科目(子科目)単位でそれぞれ閲覧できること)</t>
    <rPh sb="0" eb="4">
      <t>ザイムショヒョウ</t>
    </rPh>
    <rPh sb="6" eb="8">
      <t>ゼンシャ</t>
    </rPh>
    <rPh sb="9" eb="11">
      <t>カクシャ</t>
    </rPh>
    <rPh sb="11" eb="12">
      <t>ベツ</t>
    </rPh>
    <rPh sb="13" eb="15">
      <t>サクセイ</t>
    </rPh>
    <phoneticPr fontId="24"/>
  </si>
  <si>
    <t>「注記表」以外につきましては、FO標準機能の財務諸表で対応可能と考えております。ただ、「注記表」については、標準機能のWordテンプレートを使用して、帳票出力を検討しております。ただし、要件次第では、開発が必要となる場合もございます。</t>
    <rPh sb="1" eb="4">
      <t>チュウキヒョウ</t>
    </rPh>
    <rPh sb="5" eb="7">
      <t>イガイ</t>
    </rPh>
    <rPh sb="17" eb="21">
      <t>ヒョウジュンキノウ</t>
    </rPh>
    <rPh sb="22" eb="26">
      <t>ザイムショヒョウ</t>
    </rPh>
    <rPh sb="27" eb="29">
      <t>タイオウ</t>
    </rPh>
    <rPh sb="29" eb="31">
      <t>カノウ</t>
    </rPh>
    <rPh sb="32" eb="33">
      <t>カンガ</t>
    </rPh>
    <rPh sb="44" eb="46">
      <t>チュウキ</t>
    </rPh>
    <rPh sb="46" eb="47">
      <t>ヒョウ</t>
    </rPh>
    <rPh sb="54" eb="58">
      <t>ヒョウジュンキノウ</t>
    </rPh>
    <rPh sb="70" eb="72">
      <t>シヨウ</t>
    </rPh>
    <rPh sb="75" eb="77">
      <t>チョウヒョウ</t>
    </rPh>
    <rPh sb="77" eb="79">
      <t>シュツリョク</t>
    </rPh>
    <rPh sb="80" eb="82">
      <t>ケントウ</t>
    </rPh>
    <rPh sb="93" eb="95">
      <t>ヨウケン</t>
    </rPh>
    <rPh sb="95" eb="97">
      <t>シダイ</t>
    </rPh>
    <rPh sb="100" eb="102">
      <t>カイハツ</t>
    </rPh>
    <rPh sb="103" eb="105">
      <t>ヒツヨウ</t>
    </rPh>
    <rPh sb="108" eb="110">
      <t>バアイ</t>
    </rPh>
    <phoneticPr fontId="24"/>
  </si>
  <si>
    <t>財務諸表作成</t>
    <phoneticPr fontId="6"/>
  </si>
  <si>
    <t>各財務諸表類の前年度比較ができること</t>
    <rPh sb="0" eb="1">
      <t>カク</t>
    </rPh>
    <rPh sb="1" eb="5">
      <t>ザイムショヒョウ</t>
    </rPh>
    <rPh sb="5" eb="6">
      <t>ルイ</t>
    </rPh>
    <rPh sb="7" eb="10">
      <t>ゼンネンド</t>
    </rPh>
    <phoneticPr fontId="24"/>
  </si>
  <si>
    <t>前年同期比で各財務諸表類の比較照合ができる機能</t>
    <rPh sb="0" eb="5">
      <t>ゼンネンドウキヒ</t>
    </rPh>
    <rPh sb="6" eb="7">
      <t>カク</t>
    </rPh>
    <rPh sb="7" eb="11">
      <t>ザイムショヒョウ</t>
    </rPh>
    <rPh sb="11" eb="12">
      <t>ルイ</t>
    </rPh>
    <rPh sb="13" eb="15">
      <t>ヒカク</t>
    </rPh>
    <rPh sb="15" eb="17">
      <t>ショウゴウ</t>
    </rPh>
    <rPh sb="21" eb="23">
      <t>キノウ</t>
    </rPh>
    <phoneticPr fontId="24"/>
  </si>
  <si>
    <t>決算開示書類</t>
  </si>
  <si>
    <t>年次毎に下記の決算開示書類を作成すること
・計算書類
・附属明細書
・決算短信
・事業報告書
・勘定明細</t>
    <rPh sb="7" eb="13">
      <t>ケッサンカイジショルイ</t>
    </rPh>
    <rPh sb="14" eb="16">
      <t>サクセイ</t>
    </rPh>
    <rPh sb="48" eb="52">
      <t>カンジョウメイサイ</t>
    </rPh>
    <phoneticPr fontId="24"/>
  </si>
  <si>
    <t>決算開示書類を作成・出力する機能</t>
    <rPh sb="0" eb="6">
      <t>ケッサンカイジショルイ</t>
    </rPh>
    <rPh sb="7" eb="9">
      <t>サクセイ</t>
    </rPh>
    <rPh sb="10" eb="12">
      <t>シュツリョク</t>
    </rPh>
    <rPh sb="14" eb="16">
      <t>キノウ</t>
    </rPh>
    <phoneticPr fontId="24"/>
  </si>
  <si>
    <t>下記帳票類の作成
・計算書類
・附属明細書
・決算短信
・事業報告書
・勘定明細</t>
    <rPh sb="0" eb="2">
      <t>カキ</t>
    </rPh>
    <rPh sb="2" eb="4">
      <t>チョウヒョウ</t>
    </rPh>
    <rPh sb="4" eb="5">
      <t>ルイ</t>
    </rPh>
    <rPh sb="6" eb="8">
      <t>サクセイ</t>
    </rPh>
    <phoneticPr fontId="24"/>
  </si>
  <si>
    <t>決算開示書類の計算書類や付属明細書、勘定明細書の前年度比較ができること</t>
    <rPh sb="0" eb="4">
      <t>ケッサンカイジ</t>
    </rPh>
    <rPh sb="4" eb="6">
      <t>ショルイ</t>
    </rPh>
    <rPh sb="7" eb="11">
      <t>ケイサンショルイ</t>
    </rPh>
    <rPh sb="12" eb="17">
      <t>フゾクメイサイショ</t>
    </rPh>
    <rPh sb="18" eb="23">
      <t>カンジョウメイサイショ</t>
    </rPh>
    <rPh sb="24" eb="27">
      <t>ゼンネンド</t>
    </rPh>
    <phoneticPr fontId="24"/>
  </si>
  <si>
    <t>前年同期比で各決算開示書類の比較照合ができる機能</t>
    <rPh sb="0" eb="5">
      <t>ゼンネンドウキヒ</t>
    </rPh>
    <rPh sb="6" eb="7">
      <t>カク</t>
    </rPh>
    <rPh sb="7" eb="13">
      <t>ケッサンカイジショルイ</t>
    </rPh>
    <rPh sb="14" eb="16">
      <t>ヒカク</t>
    </rPh>
    <rPh sb="16" eb="18">
      <t>ショウゴウ</t>
    </rPh>
    <rPh sb="22" eb="24">
      <t>キノウ</t>
    </rPh>
    <phoneticPr fontId="24"/>
  </si>
  <si>
    <t>下記帳票類の履歴管理機能
・計算書類
・附属明細書
・決算短信
・事業報告書
・勘定明細</t>
    <rPh sb="0" eb="2">
      <t>カキ</t>
    </rPh>
    <rPh sb="2" eb="5">
      <t>チョウヒョウルイ</t>
    </rPh>
    <rPh sb="6" eb="8">
      <t>リレキ</t>
    </rPh>
    <rPh sb="8" eb="10">
      <t>カンリ</t>
    </rPh>
    <rPh sb="10" eb="12">
      <t>キノウ</t>
    </rPh>
    <phoneticPr fontId="24"/>
  </si>
  <si>
    <t>帳簿</t>
  </si>
  <si>
    <t>指定された会計期間時点での以下の帳簿類を、全社、部門別で、画面照会および出力できること。また、これらの帳簿を指定した日にシステムから指定したデータを自動で保存できること。
・仕訳帳
（仕訳のステータス(未承認、転記済み、エラー)を区分として、仕訳帳が画面照会および帳票出力でき、仕訳一覧から、ドリルダウンして明細情報が確認できること）
・総勘定元帳
（指定された会計期間(月次/年度等)における、仕訳明細情報(借方、貸方、残高)が、勘定科目別、伝票日付別、転記処理日別、仕訳ソース別、仕訳カテゴリー別等に集計された一覧）
（指定された会計期間(月次/年度等)における、仕訳明細情報(借方、貸方、残高)が、勘定科目別、伝票日付別、転記処理日別、仕訳ソース別、仕訳カテゴリー別等に集計された一覧）
・補助簿（固定資産台帳を含む）
（指定された会計期間(月次/年度等)における、仕訳の明細情報の勘定科目別、伝票日付別、取引先別等の一覧）
・勘定残高表
（指定された会計期間(月次/年度等)における、指定された勘定科目の残高(前期末残高、借方、貸方)が集計された一覧）
・消費税台帳
（指定された会計期間(月次/年度等)における、売上高・仕入高と消費税額がで集計された一覧）</t>
    <rPh sb="16" eb="18">
      <t>チョウボ</t>
    </rPh>
    <rPh sb="18" eb="19">
      <t>ルイ</t>
    </rPh>
    <rPh sb="51" eb="53">
      <t>チョウボ</t>
    </rPh>
    <rPh sb="58" eb="59">
      <t>ヒ</t>
    </rPh>
    <rPh sb="87" eb="90">
      <t>シワケチョウ</t>
    </rPh>
    <rPh sb="169" eb="174">
      <t>ソウカンジョウモトチョウ</t>
    </rPh>
    <rPh sb="186" eb="188">
      <t>ゲツジ</t>
    </rPh>
    <rPh sb="189" eb="191">
      <t>ネンド</t>
    </rPh>
    <rPh sb="191" eb="192">
      <t>トウ</t>
    </rPh>
    <rPh sb="250" eb="251">
      <t>トウ</t>
    </rPh>
    <rPh sb="352" eb="356">
      <t>コテイシサン</t>
    </rPh>
    <rPh sb="356" eb="358">
      <t>ダイチョウ</t>
    </rPh>
    <rPh sb="359" eb="360">
      <t>フク</t>
    </rPh>
    <rPh sb="374" eb="376">
      <t>ゲツジ</t>
    </rPh>
    <rPh sb="377" eb="379">
      <t>ネンド</t>
    </rPh>
    <rPh sb="379" eb="380">
      <t>ナド</t>
    </rPh>
    <rPh sb="406" eb="409">
      <t>トリヒキサキ</t>
    </rPh>
    <rPh sb="409" eb="410">
      <t>ベツ</t>
    </rPh>
    <rPh sb="410" eb="411">
      <t>トウ</t>
    </rPh>
    <rPh sb="417" eb="419">
      <t>カンジョウ</t>
    </rPh>
    <rPh sb="419" eb="421">
      <t>ザンダカ</t>
    </rPh>
    <rPh sb="421" eb="422">
      <t>ヒョウ</t>
    </rPh>
    <rPh sb="434" eb="436">
      <t>ゲツジ</t>
    </rPh>
    <rPh sb="437" eb="439">
      <t>ネンド</t>
    </rPh>
    <rPh sb="439" eb="440">
      <t>トウ</t>
    </rPh>
    <rPh sb="482" eb="485">
      <t>ショウヒゼイ</t>
    </rPh>
    <rPh sb="485" eb="487">
      <t>ダイチョウ</t>
    </rPh>
    <rPh sb="499" eb="501">
      <t>ゲツジ</t>
    </rPh>
    <rPh sb="502" eb="505">
      <t>ネンドトウ</t>
    </rPh>
    <phoneticPr fontId="24"/>
  </si>
  <si>
    <t>仕訳帳、総勘定元帳、補助記入帳、補助元帳、勘定残高表、消費税台帳等を出力、また、指定日に応じて自動保存する機能</t>
    <rPh sb="0" eb="3">
      <t>シワケチョウ</t>
    </rPh>
    <rPh sb="4" eb="7">
      <t>ソウカンジョウ</t>
    </rPh>
    <rPh sb="10" eb="15">
      <t>ホジョキニュウチョウ</t>
    </rPh>
    <rPh sb="16" eb="20">
      <t>ホジョモトチョウ</t>
    </rPh>
    <rPh sb="21" eb="23">
      <t>カンジョウ</t>
    </rPh>
    <rPh sb="23" eb="25">
      <t>ザンダカ</t>
    </rPh>
    <rPh sb="25" eb="26">
      <t>ヒョウ</t>
    </rPh>
    <rPh sb="27" eb="30">
      <t>ショウヒゼイ</t>
    </rPh>
    <rPh sb="30" eb="32">
      <t>ダイチョウ</t>
    </rPh>
    <rPh sb="32" eb="33">
      <t>トウ</t>
    </rPh>
    <rPh sb="40" eb="43">
      <t>シテイビ</t>
    </rPh>
    <rPh sb="44" eb="45">
      <t>オウ</t>
    </rPh>
    <rPh sb="47" eb="49">
      <t>ジドウ</t>
    </rPh>
    <rPh sb="49" eb="51">
      <t>ホゾン</t>
    </rPh>
    <phoneticPr fontId="24"/>
  </si>
  <si>
    <t>伝票</t>
    <rPh sb="0" eb="2">
      <t>デンピョウ</t>
    </rPh>
    <phoneticPr fontId="24"/>
  </si>
  <si>
    <t>当日を含め指定した特定の日付に転記された伝票明細表が画面照会および帳票出力できること
※伝票の仕訳情報の一覧</t>
    <rPh sb="0" eb="2">
      <t>トウジツ</t>
    </rPh>
    <rPh sb="3" eb="4">
      <t>フク</t>
    </rPh>
    <rPh sb="5" eb="7">
      <t>シテイ</t>
    </rPh>
    <rPh sb="9" eb="11">
      <t>トクテイ</t>
    </rPh>
    <rPh sb="12" eb="14">
      <t>ヒヅケ</t>
    </rPh>
    <rPh sb="15" eb="17">
      <t>テンキ</t>
    </rPh>
    <phoneticPr fontId="24"/>
  </si>
  <si>
    <t>当日を含め指定した特定の日付に転記された伝票の明細表を出力する機能</t>
    <phoneticPr fontId="24"/>
  </si>
  <si>
    <t>当日を含め指定した特定の日付に転記された伝票集計表が画面照会および帳票出力できること
※伝票の仕訳情報が勘定科目等別に集計された一覧</t>
    <rPh sb="56" eb="57">
      <t>トウ</t>
    </rPh>
    <phoneticPr fontId="24"/>
  </si>
  <si>
    <t>当日を含め指定した特定の日付に転記された伝票の集計表を出力する機能</t>
    <phoneticPr fontId="24"/>
  </si>
  <si>
    <t>売上高/仕入高の明細・集計</t>
    <rPh sb="0" eb="3">
      <t>ウリアゲダカ</t>
    </rPh>
    <rPh sb="4" eb="7">
      <t>シイレダカ</t>
    </rPh>
    <rPh sb="11" eb="13">
      <t>シュウケイ</t>
    </rPh>
    <phoneticPr fontId="24"/>
  </si>
  <si>
    <t>売上仕入対象勘定の実績から売上高明細表・仕入高明細表を出力する機能</t>
    <phoneticPr fontId="24"/>
  </si>
  <si>
    <t>売上仕入対象勘定の実績から売上高集計表・仕入高集計表を出力する機能</t>
    <rPh sb="16" eb="18">
      <t>シュウケイ</t>
    </rPh>
    <rPh sb="23" eb="25">
      <t>シュウケイ</t>
    </rPh>
    <phoneticPr fontId="24"/>
  </si>
  <si>
    <t>税務用</t>
    <phoneticPr fontId="24"/>
  </si>
  <si>
    <t>接待交際費</t>
    <rPh sb="0" eb="2">
      <t>セッタイ</t>
    </rPh>
    <rPh sb="2" eb="5">
      <t>コウサイヒ</t>
    </rPh>
    <phoneticPr fontId="24"/>
  </si>
  <si>
    <t>接待交際費集計表が画面照会および帳票出力できること
※指定された会計期間(月次/年度等)における接待交際費の仕訳明細情報が、勘定科目、細目、月別等に集計された一覧</t>
    <rPh sb="72" eb="73">
      <t>トウ</t>
    </rPh>
    <phoneticPr fontId="24"/>
  </si>
  <si>
    <t>接待交際費集計表を出力する機能</t>
    <phoneticPr fontId="24"/>
  </si>
  <si>
    <t>税務用</t>
  </si>
  <si>
    <t>消費税申告書作成</t>
    <rPh sb="0" eb="3">
      <t>ショウヒゼイ</t>
    </rPh>
    <rPh sb="3" eb="6">
      <t>シンコクショ</t>
    </rPh>
    <rPh sb="6" eb="8">
      <t>サクセイ</t>
    </rPh>
    <phoneticPr fontId="24"/>
  </si>
  <si>
    <t>消費税申告書と申告書作成に必要なデータが作成・出力できること</t>
    <rPh sb="0" eb="3">
      <t>ショウヒゼイ</t>
    </rPh>
    <rPh sb="3" eb="6">
      <t>シンコクショ</t>
    </rPh>
    <rPh sb="7" eb="10">
      <t>シンコクショ</t>
    </rPh>
    <rPh sb="10" eb="12">
      <t>サクセイ</t>
    </rPh>
    <rPh sb="13" eb="15">
      <t>ヒツヨウ</t>
    </rPh>
    <rPh sb="20" eb="22">
      <t>サクセイ</t>
    </rPh>
    <rPh sb="23" eb="25">
      <t>シュツリョク</t>
    </rPh>
    <phoneticPr fontId="24"/>
  </si>
  <si>
    <t>消費税申告書を作成・出力する機能</t>
    <rPh sb="0" eb="3">
      <t>ショウヒゼイ</t>
    </rPh>
    <rPh sb="3" eb="6">
      <t>シンコクショ</t>
    </rPh>
    <rPh sb="7" eb="9">
      <t>サクセイ</t>
    </rPh>
    <rPh sb="10" eb="12">
      <t>シュツリョク</t>
    </rPh>
    <rPh sb="14" eb="16">
      <t>キノウ</t>
    </rPh>
    <phoneticPr fontId="24"/>
  </si>
  <si>
    <t>消費税申告</t>
    <rPh sb="0" eb="3">
      <t>ショウヒゼイ</t>
    </rPh>
    <rPh sb="3" eb="5">
      <t>シンコク</t>
    </rPh>
    <phoneticPr fontId="24"/>
  </si>
  <si>
    <t>消費税の申告を行うこと</t>
    <rPh sb="0" eb="3">
      <t>ショウヒゼイ</t>
    </rPh>
    <rPh sb="4" eb="6">
      <t>シンコク</t>
    </rPh>
    <rPh sb="7" eb="8">
      <t>オコナ</t>
    </rPh>
    <phoneticPr fontId="24"/>
  </si>
  <si>
    <t>税務会計ソフトに消費税申告書作成に必要なデータを連携する機能</t>
    <rPh sb="8" eb="11">
      <t>ショウヒゼイ</t>
    </rPh>
    <rPh sb="11" eb="14">
      <t>シンコクショ</t>
    </rPh>
    <rPh sb="14" eb="16">
      <t>サクセイ</t>
    </rPh>
    <rPh sb="17" eb="19">
      <t>ヒツヨウ</t>
    </rPh>
    <rPh sb="24" eb="26">
      <t>レンケイ</t>
    </rPh>
    <rPh sb="28" eb="30">
      <t>キノウ</t>
    </rPh>
    <phoneticPr fontId="24"/>
  </si>
  <si>
    <t>法人税申告書作成</t>
    <rPh sb="0" eb="3">
      <t>ホウジンゼイ</t>
    </rPh>
    <rPh sb="2" eb="3">
      <t>ゼイ</t>
    </rPh>
    <rPh sb="3" eb="6">
      <t>シンコクショ</t>
    </rPh>
    <rPh sb="6" eb="8">
      <t>サクセイ</t>
    </rPh>
    <phoneticPr fontId="24"/>
  </si>
  <si>
    <t>法人税申告書と申告書作成に必要なデータが作成・出力できること</t>
    <rPh sb="0" eb="3">
      <t>ホウジンゼイ</t>
    </rPh>
    <rPh sb="3" eb="6">
      <t>シンコクショ</t>
    </rPh>
    <rPh sb="7" eb="10">
      <t>シンコクショ</t>
    </rPh>
    <rPh sb="10" eb="12">
      <t>サクセイ</t>
    </rPh>
    <rPh sb="13" eb="15">
      <t>ヒツヨウ</t>
    </rPh>
    <rPh sb="20" eb="22">
      <t>サクセイ</t>
    </rPh>
    <rPh sb="23" eb="25">
      <t>シュツリョク</t>
    </rPh>
    <phoneticPr fontId="24"/>
  </si>
  <si>
    <t>法人税申告書を作成・出力する機能</t>
    <rPh sb="0" eb="3">
      <t>ホウジンゼイ</t>
    </rPh>
    <rPh sb="3" eb="6">
      <t>シンコクショ</t>
    </rPh>
    <rPh sb="7" eb="9">
      <t>サクセイ</t>
    </rPh>
    <rPh sb="10" eb="12">
      <t>シュツリョク</t>
    </rPh>
    <rPh sb="14" eb="16">
      <t>キノウ</t>
    </rPh>
    <phoneticPr fontId="24"/>
  </si>
  <si>
    <t>法人税申告</t>
    <rPh sb="0" eb="3">
      <t>ホウジンゼイ</t>
    </rPh>
    <rPh sb="2" eb="3">
      <t>ゼイ</t>
    </rPh>
    <rPh sb="3" eb="5">
      <t>シンコク</t>
    </rPh>
    <phoneticPr fontId="24"/>
  </si>
  <si>
    <t>法人税の申告を行うこと</t>
    <rPh sb="0" eb="3">
      <t>ホウジンゼイ</t>
    </rPh>
    <rPh sb="4" eb="6">
      <t>シンコク</t>
    </rPh>
    <rPh sb="7" eb="8">
      <t>オコナ</t>
    </rPh>
    <phoneticPr fontId="24"/>
  </si>
  <si>
    <t>税務会計ソフトに法人税申告書作成に必要なデータを連携する機能</t>
    <rPh sb="8" eb="11">
      <t>ホウジンゼイ</t>
    </rPh>
    <rPh sb="11" eb="14">
      <t>シンコクショ</t>
    </rPh>
    <rPh sb="14" eb="16">
      <t>サクセイ</t>
    </rPh>
    <rPh sb="17" eb="19">
      <t>ヒツヨウ</t>
    </rPh>
    <rPh sb="24" eb="26">
      <t>レンケイ</t>
    </rPh>
    <rPh sb="28" eb="30">
      <t>キノウ</t>
    </rPh>
    <phoneticPr fontId="24"/>
  </si>
  <si>
    <t>事業税申告書作成</t>
    <rPh sb="0" eb="3">
      <t>ジギョウゼイ</t>
    </rPh>
    <rPh sb="3" eb="6">
      <t>シンコクショ</t>
    </rPh>
    <rPh sb="6" eb="8">
      <t>サクセイ</t>
    </rPh>
    <phoneticPr fontId="24"/>
  </si>
  <si>
    <t>事業税申告書と申告書作成に必要なデータが作成・出力できること</t>
    <rPh sb="0" eb="3">
      <t>ジギョウゼイ</t>
    </rPh>
    <rPh sb="3" eb="6">
      <t>シンコクショ</t>
    </rPh>
    <rPh sb="7" eb="10">
      <t>シンコクショ</t>
    </rPh>
    <rPh sb="10" eb="12">
      <t>サクセイ</t>
    </rPh>
    <rPh sb="13" eb="15">
      <t>ヒツヨウ</t>
    </rPh>
    <rPh sb="20" eb="22">
      <t>サクセイ</t>
    </rPh>
    <rPh sb="23" eb="25">
      <t>シュツリョク</t>
    </rPh>
    <phoneticPr fontId="24"/>
  </si>
  <si>
    <t>事業税申告書を作成・出力する機能</t>
    <rPh sb="0" eb="3">
      <t>ジギョウゼイ</t>
    </rPh>
    <rPh sb="3" eb="6">
      <t>シンコクショ</t>
    </rPh>
    <rPh sb="7" eb="9">
      <t>サクセイ</t>
    </rPh>
    <rPh sb="10" eb="12">
      <t>シュツリョク</t>
    </rPh>
    <rPh sb="14" eb="16">
      <t>キノウ</t>
    </rPh>
    <phoneticPr fontId="24"/>
  </si>
  <si>
    <t>事業税申告</t>
    <rPh sb="0" eb="3">
      <t>ジギョウゼイ</t>
    </rPh>
    <rPh sb="3" eb="5">
      <t>シンコク</t>
    </rPh>
    <phoneticPr fontId="24"/>
  </si>
  <si>
    <t>事業税の申告を行うこと</t>
    <rPh sb="0" eb="3">
      <t>ジギョウゼイ</t>
    </rPh>
    <rPh sb="4" eb="6">
      <t>シンコク</t>
    </rPh>
    <rPh sb="7" eb="8">
      <t>オコナ</t>
    </rPh>
    <phoneticPr fontId="24"/>
  </si>
  <si>
    <t>税務会計ソフトに事業税申告書作成に必要なデータを連携する機能</t>
    <rPh sb="8" eb="11">
      <t>ジギョウゼイ</t>
    </rPh>
    <rPh sb="11" eb="14">
      <t>シンコクショ</t>
    </rPh>
    <rPh sb="14" eb="16">
      <t>サクセイ</t>
    </rPh>
    <rPh sb="17" eb="19">
      <t>ヒツヨウ</t>
    </rPh>
    <rPh sb="24" eb="26">
      <t>レンケイ</t>
    </rPh>
    <rPh sb="28" eb="30">
      <t>キノウ</t>
    </rPh>
    <phoneticPr fontId="24"/>
  </si>
  <si>
    <t>監査用</t>
    <rPh sb="0" eb="2">
      <t>カンサ</t>
    </rPh>
    <rPh sb="2" eb="3">
      <t>ヨウ</t>
    </rPh>
    <phoneticPr fontId="24"/>
  </si>
  <si>
    <t>監査用資料準備＆送付</t>
    <rPh sb="0" eb="3">
      <t>カンサヨウ</t>
    </rPh>
    <rPh sb="3" eb="5">
      <t>シリョウ</t>
    </rPh>
    <rPh sb="5" eb="7">
      <t>ジュンビ</t>
    </rPh>
    <rPh sb="8" eb="10">
      <t>ソウフ</t>
    </rPh>
    <phoneticPr fontId="24"/>
  </si>
  <si>
    <t>監査用に必要な資料を出力できること</t>
    <rPh sb="0" eb="3">
      <t>カンサヨウ</t>
    </rPh>
    <rPh sb="4" eb="6">
      <t>ヒツヨウ</t>
    </rPh>
    <rPh sb="7" eb="9">
      <t>シリョウ</t>
    </rPh>
    <rPh sb="10" eb="12">
      <t>シュツリョク</t>
    </rPh>
    <phoneticPr fontId="24"/>
  </si>
  <si>
    <t>監査用に必要な資料を出力する機能</t>
    <rPh sb="0" eb="3">
      <t>カンサヨウ</t>
    </rPh>
    <rPh sb="4" eb="6">
      <t>ヒツヨウ</t>
    </rPh>
    <rPh sb="7" eb="9">
      <t>シリョウ</t>
    </rPh>
    <rPh sb="10" eb="12">
      <t>シュツリョク</t>
    </rPh>
    <rPh sb="14" eb="16">
      <t>キノウ</t>
    </rPh>
    <phoneticPr fontId="24"/>
  </si>
  <si>
    <t>増減調査＆資料作成</t>
    <rPh sb="0" eb="4">
      <t>ゾウゲンチョウサ</t>
    </rPh>
    <rPh sb="5" eb="7">
      <t>シリョウ</t>
    </rPh>
    <rPh sb="7" eb="9">
      <t>サクセイ</t>
    </rPh>
    <phoneticPr fontId="24"/>
  </si>
  <si>
    <t>監査用に必要な増減調査用の資料を出力できること</t>
    <rPh sb="0" eb="3">
      <t>カンサヨウ</t>
    </rPh>
    <rPh sb="4" eb="6">
      <t>ヒツヨウ</t>
    </rPh>
    <rPh sb="7" eb="9">
      <t>ゾウゲン</t>
    </rPh>
    <rPh sb="9" eb="11">
      <t>チョウサ</t>
    </rPh>
    <rPh sb="11" eb="12">
      <t>ヨウ</t>
    </rPh>
    <rPh sb="13" eb="15">
      <t>シリョウ</t>
    </rPh>
    <rPh sb="16" eb="18">
      <t>シュツリョク</t>
    </rPh>
    <phoneticPr fontId="24"/>
  </si>
  <si>
    <t>監査用に必要な増減調査用の資料を出力できる機能</t>
    <rPh sb="0" eb="3">
      <t>カンサヨウ</t>
    </rPh>
    <rPh sb="4" eb="6">
      <t>ヒツヨウ</t>
    </rPh>
    <rPh sb="7" eb="9">
      <t>ゾウゲン</t>
    </rPh>
    <rPh sb="9" eb="11">
      <t>チョウサ</t>
    </rPh>
    <rPh sb="11" eb="12">
      <t>ヨウ</t>
    </rPh>
    <rPh sb="13" eb="15">
      <t>シリョウ</t>
    </rPh>
    <rPh sb="16" eb="18">
      <t>シュツリョク</t>
    </rPh>
    <rPh sb="21" eb="23">
      <t>キノウ</t>
    </rPh>
    <phoneticPr fontId="24"/>
  </si>
  <si>
    <t>新規帳票を開発。</t>
    <rPh sb="0" eb="2">
      <t>シンキ</t>
    </rPh>
    <rPh sb="2" eb="4">
      <t>チョウヒョウ</t>
    </rPh>
    <rPh sb="5" eb="7">
      <t>カイハツ</t>
    </rPh>
    <phoneticPr fontId="24"/>
  </si>
  <si>
    <t>その他</t>
  </si>
  <si>
    <t>レート</t>
  </si>
  <si>
    <t>レート設定</t>
  </si>
  <si>
    <t>月末・期末レートが定義できること</t>
    <rPh sb="0" eb="1">
      <t>ツキ</t>
    </rPh>
    <rPh sb="3" eb="5">
      <t>キマツ</t>
    </rPh>
    <phoneticPr fontId="24"/>
  </si>
  <si>
    <t>月末・期末レートを定義する機能</t>
    <rPh sb="0" eb="1">
      <t>ツキ</t>
    </rPh>
    <rPh sb="3" eb="5">
      <t>キマツ</t>
    </rPh>
    <phoneticPr fontId="24"/>
  </si>
  <si>
    <t>通貨毎に月末・期末レートを自動設定できること</t>
    <rPh sb="2" eb="3">
      <t>ゴト</t>
    </rPh>
    <rPh sb="4" eb="6">
      <t>ゲツマツ</t>
    </rPh>
    <rPh sb="7" eb="9">
      <t>キマツ</t>
    </rPh>
    <rPh sb="13" eb="15">
      <t>ジドウ</t>
    </rPh>
    <rPh sb="15" eb="17">
      <t>セッテイ</t>
    </rPh>
    <phoneticPr fontId="24"/>
  </si>
  <si>
    <t>指定された通貨の期末レートを自動設定する機能</t>
    <phoneticPr fontId="24"/>
  </si>
  <si>
    <t>セットアップ</t>
  </si>
  <si>
    <t>会計カレンダ設定</t>
  </si>
  <si>
    <t>アクセス制限</t>
  </si>
  <si>
    <t>標準レポートは制限可能。MR機能で作成した追加帳票は制限不可</t>
    <rPh sb="0" eb="2">
      <t>ヒョウジュン</t>
    </rPh>
    <rPh sb="7" eb="9">
      <t>セイゲン</t>
    </rPh>
    <rPh sb="9" eb="11">
      <t>カノウ</t>
    </rPh>
    <rPh sb="14" eb="16">
      <t>キノウ</t>
    </rPh>
    <rPh sb="17" eb="19">
      <t>サクセイ</t>
    </rPh>
    <rPh sb="21" eb="23">
      <t>ツイカ</t>
    </rPh>
    <rPh sb="23" eb="25">
      <t>チョウヒョウ</t>
    </rPh>
    <rPh sb="26" eb="28">
      <t>セイゲン</t>
    </rPh>
    <rPh sb="28" eb="30">
      <t>フカ</t>
    </rPh>
    <phoneticPr fontId="24"/>
  </si>
  <si>
    <t>ワークフロー関連</t>
  </si>
  <si>
    <t>承認依頼ボタンの押下は必要</t>
    <rPh sb="0" eb="2">
      <t>ショウニン</t>
    </rPh>
    <rPh sb="2" eb="4">
      <t>イライ</t>
    </rPh>
    <rPh sb="8" eb="10">
      <t>オウカ</t>
    </rPh>
    <rPh sb="11" eb="13">
      <t>ヒツヨウ</t>
    </rPh>
    <phoneticPr fontId="24"/>
  </si>
  <si>
    <t>代理承認者を指定できる機能</t>
    <rPh sb="0" eb="5">
      <t>ダイリショウニンシャ</t>
    </rPh>
    <rPh sb="6" eb="8">
      <t>シテイ</t>
    </rPh>
    <rPh sb="11" eb="13">
      <t>キノウ</t>
    </rPh>
    <phoneticPr fontId="24"/>
  </si>
  <si>
    <t>承認者変更の機能はある</t>
    <rPh sb="0" eb="3">
      <t>ショウニンシャ</t>
    </rPh>
    <rPh sb="3" eb="5">
      <t>ヘンコウ</t>
    </rPh>
    <rPh sb="6" eb="8">
      <t>キノウ</t>
    </rPh>
    <phoneticPr fontId="24"/>
  </si>
  <si>
    <t>勘定科目</t>
  </si>
  <si>
    <t>勘定科目を定義できること</t>
    <phoneticPr fontId="24"/>
  </si>
  <si>
    <t>勘定科目に対して紐づく部門、取引先、取引内容等を設定できること</t>
    <phoneticPr fontId="24"/>
  </si>
  <si>
    <t>勘定科目によって入力項目を制限できる機能</t>
    <rPh sb="8" eb="10">
      <t>ニュウリョク</t>
    </rPh>
    <rPh sb="10" eb="12">
      <t>コウモク</t>
    </rPh>
    <rPh sb="13" eb="15">
      <t>セイゲン</t>
    </rPh>
    <phoneticPr fontId="24"/>
  </si>
  <si>
    <t>財務分析コードを使用して対応可能</t>
    <rPh sb="0" eb="2">
      <t>ザイム</t>
    </rPh>
    <rPh sb="2" eb="4">
      <t>ブンセキ</t>
    </rPh>
    <rPh sb="8" eb="10">
      <t>シヨウ</t>
    </rPh>
    <rPh sb="12" eb="14">
      <t>タイオウ</t>
    </rPh>
    <rPh sb="14" eb="16">
      <t>カノウ</t>
    </rPh>
    <phoneticPr fontId="24"/>
  </si>
  <si>
    <t>決算業務</t>
    <rPh sb="0" eb="4">
      <t>ケッサンギョウム</t>
    </rPh>
    <phoneticPr fontId="24"/>
  </si>
  <si>
    <t>単体決算</t>
    <rPh sb="0" eb="2">
      <t>タンタイ</t>
    </rPh>
    <rPh sb="2" eb="4">
      <t>ケッサン</t>
    </rPh>
    <phoneticPr fontId="24"/>
  </si>
  <si>
    <t>決算仕訳</t>
    <rPh sb="0" eb="2">
      <t>ケッサン</t>
    </rPh>
    <rPh sb="2" eb="4">
      <t>シワケ</t>
    </rPh>
    <phoneticPr fontId="24"/>
  </si>
  <si>
    <t>月次決算仕訳</t>
    <rPh sb="2" eb="4">
      <t>ケッサン</t>
    </rPh>
    <rPh sb="4" eb="6">
      <t>シワケ</t>
    </rPh>
    <phoneticPr fontId="24"/>
  </si>
  <si>
    <t>月次毎に下記の仕訳を登録できること
・消費税、印紙税納付
・監査報酬月次計上
・持株会拠出、購入</t>
    <rPh sb="0" eb="2">
      <t>ゲツジ</t>
    </rPh>
    <rPh sb="2" eb="3">
      <t>ゴト</t>
    </rPh>
    <rPh sb="4" eb="6">
      <t>カキ</t>
    </rPh>
    <rPh sb="7" eb="9">
      <t>シワケ</t>
    </rPh>
    <rPh sb="10" eb="12">
      <t>トウロク</t>
    </rPh>
    <rPh sb="40" eb="41">
      <t>モ</t>
    </rPh>
    <rPh sb="41" eb="43">
      <t>カブカイ</t>
    </rPh>
    <rPh sb="43" eb="45">
      <t>キョシュツ</t>
    </rPh>
    <rPh sb="46" eb="48">
      <t>コウニュウ</t>
    </rPh>
    <phoneticPr fontId="24"/>
  </si>
  <si>
    <t>月次毎に決算仕訳が登録できる機能</t>
    <rPh sb="0" eb="2">
      <t>ゲツジ</t>
    </rPh>
    <rPh sb="2" eb="3">
      <t>ゴト</t>
    </rPh>
    <rPh sb="4" eb="6">
      <t>ケッサン</t>
    </rPh>
    <rPh sb="6" eb="8">
      <t>シワケ</t>
    </rPh>
    <rPh sb="9" eb="11">
      <t>トウロク</t>
    </rPh>
    <rPh sb="14" eb="16">
      <t>キノウ</t>
    </rPh>
    <phoneticPr fontId="24"/>
  </si>
  <si>
    <t>一般的な仕訳等の登録用と異なるレイヤー(仕訳帳)に仕訳登録し、レポート側でどのレイヤーを出力するかの定義で対応可能</t>
    <rPh sb="0" eb="3">
      <t>イッパンテキ</t>
    </rPh>
    <rPh sb="4" eb="6">
      <t>シワケ</t>
    </rPh>
    <rPh sb="6" eb="7">
      <t>トウ</t>
    </rPh>
    <rPh sb="8" eb="10">
      <t>トウロク</t>
    </rPh>
    <rPh sb="10" eb="11">
      <t>ヨウ</t>
    </rPh>
    <rPh sb="12" eb="13">
      <t>コト</t>
    </rPh>
    <rPh sb="20" eb="23">
      <t>シワケチョウ</t>
    </rPh>
    <rPh sb="25" eb="27">
      <t>シワケ</t>
    </rPh>
    <rPh sb="27" eb="29">
      <t>トウロク</t>
    </rPh>
    <rPh sb="35" eb="36">
      <t>ガワ</t>
    </rPh>
    <rPh sb="44" eb="46">
      <t>シュツリョク</t>
    </rPh>
    <rPh sb="50" eb="52">
      <t>テイギ</t>
    </rPh>
    <rPh sb="53" eb="55">
      <t>タイオウ</t>
    </rPh>
    <rPh sb="55" eb="57">
      <t>カノウ</t>
    </rPh>
    <phoneticPr fontId="24"/>
  </si>
  <si>
    <t>半期決算仕訳</t>
    <rPh sb="0" eb="2">
      <t>ハンキ</t>
    </rPh>
    <rPh sb="2" eb="4">
      <t>ケッサン</t>
    </rPh>
    <rPh sb="4" eb="6">
      <t>シワケ</t>
    </rPh>
    <phoneticPr fontId="24"/>
  </si>
  <si>
    <t>半期毎に以下の仕訳を登録できること
・資産除去債務・償却費計上
・投資有価証券時価洗替
・ECサイト売上計上
・減損計上
・ゴルフ会員権評価損の貸倒引当
・在庫評価減・原価差額振替</t>
    <rPh sb="0" eb="2">
      <t>ハンキ</t>
    </rPh>
    <rPh sb="2" eb="3">
      <t>ゴト</t>
    </rPh>
    <rPh sb="4" eb="6">
      <t>イカ</t>
    </rPh>
    <rPh sb="7" eb="9">
      <t>シワケ</t>
    </rPh>
    <rPh sb="10" eb="12">
      <t>トウロク</t>
    </rPh>
    <phoneticPr fontId="24"/>
  </si>
  <si>
    <t>半期毎に決算仕訳が登録できる機能</t>
    <rPh sb="0" eb="2">
      <t>ハンキ</t>
    </rPh>
    <rPh sb="2" eb="3">
      <t>ゴト</t>
    </rPh>
    <rPh sb="4" eb="6">
      <t>ケッサン</t>
    </rPh>
    <rPh sb="6" eb="8">
      <t>シワケ</t>
    </rPh>
    <rPh sb="9" eb="11">
      <t>トウロク</t>
    </rPh>
    <rPh sb="14" eb="16">
      <t>キノウ</t>
    </rPh>
    <phoneticPr fontId="24"/>
  </si>
  <si>
    <t>税金計算仕訳</t>
    <rPh sb="0" eb="2">
      <t>ゼイキン</t>
    </rPh>
    <rPh sb="2" eb="4">
      <t>ケイサン</t>
    </rPh>
    <rPh sb="4" eb="6">
      <t>シワケ</t>
    </rPh>
    <phoneticPr fontId="24"/>
  </si>
  <si>
    <t>半期毎に以下の税金計算に関わる仕訳を登録できること
・未払消費税照合・計上
・法人税等計算
・税効果計算
・税金伝票入力</t>
    <rPh sb="0" eb="3">
      <t>ハンキゴト</t>
    </rPh>
    <rPh sb="4" eb="6">
      <t>イカ</t>
    </rPh>
    <rPh sb="7" eb="11">
      <t>ゼイキンケイサン</t>
    </rPh>
    <rPh sb="12" eb="13">
      <t>カカ</t>
    </rPh>
    <rPh sb="15" eb="17">
      <t>シワケ</t>
    </rPh>
    <rPh sb="18" eb="20">
      <t>トウロク</t>
    </rPh>
    <rPh sb="39" eb="42">
      <t>ホウジンゼイ</t>
    </rPh>
    <rPh sb="42" eb="43">
      <t>トウ</t>
    </rPh>
    <rPh sb="43" eb="45">
      <t>ケイサン</t>
    </rPh>
    <rPh sb="47" eb="50">
      <t>ゼイコウカ</t>
    </rPh>
    <rPh sb="50" eb="52">
      <t>ケイサン</t>
    </rPh>
    <rPh sb="54" eb="56">
      <t>ゼイキン</t>
    </rPh>
    <rPh sb="56" eb="58">
      <t>デンピョウ</t>
    </rPh>
    <rPh sb="58" eb="60">
      <t>ニュウリョク</t>
    </rPh>
    <phoneticPr fontId="24"/>
  </si>
  <si>
    <t>半期毎に税金計算に関わる仕訳が登録できる機能</t>
    <rPh sb="0" eb="2">
      <t>ハンキ</t>
    </rPh>
    <rPh sb="2" eb="3">
      <t>ゴト</t>
    </rPh>
    <rPh sb="4" eb="6">
      <t>ゼイキン</t>
    </rPh>
    <rPh sb="6" eb="8">
      <t>ケイサン</t>
    </rPh>
    <rPh sb="9" eb="10">
      <t>カカ</t>
    </rPh>
    <rPh sb="12" eb="14">
      <t>シワケ</t>
    </rPh>
    <rPh sb="15" eb="17">
      <t>トウロク</t>
    </rPh>
    <rPh sb="20" eb="22">
      <t>キノウ</t>
    </rPh>
    <phoneticPr fontId="24"/>
  </si>
  <si>
    <t>為替評価</t>
    <rPh sb="2" eb="4">
      <t>ヒョウカ</t>
    </rPh>
    <phoneticPr fontId="24"/>
  </si>
  <si>
    <t>期末残高再評価</t>
  </si>
  <si>
    <t>外貨建て取引残高を勘定科目別に画面照会および帳票出力できること</t>
    <phoneticPr fontId="24"/>
  </si>
  <si>
    <t>決算締め</t>
    <rPh sb="0" eb="2">
      <t>ケッサン</t>
    </rPh>
    <rPh sb="2" eb="3">
      <t>シ</t>
    </rPh>
    <phoneticPr fontId="24"/>
  </si>
  <si>
    <t>月次締め処理</t>
    <rPh sb="2" eb="3">
      <t>シ</t>
    </rPh>
    <rPh sb="4" eb="6">
      <t>ショリ</t>
    </rPh>
    <phoneticPr fontId="24"/>
  </si>
  <si>
    <t>会計システム内で月次の試算表/PL/BSと各種勘定残高明細を参照し、月次締め処理ができること</t>
    <rPh sb="0" eb="2">
      <t>カイケイ</t>
    </rPh>
    <rPh sb="21" eb="23">
      <t>カクシュ</t>
    </rPh>
    <rPh sb="25" eb="27">
      <t>ザンダカ</t>
    </rPh>
    <rPh sb="30" eb="32">
      <t>サンショウ</t>
    </rPh>
    <rPh sb="34" eb="36">
      <t>ゲツジ</t>
    </rPh>
    <rPh sb="36" eb="37">
      <t>シ</t>
    </rPh>
    <phoneticPr fontId="24"/>
  </si>
  <si>
    <t>月次の締め処理を行う機能</t>
    <rPh sb="0" eb="2">
      <t>ゲツジ</t>
    </rPh>
    <rPh sb="3" eb="4">
      <t>シ</t>
    </rPh>
    <rPh sb="5" eb="7">
      <t>ショリ</t>
    </rPh>
    <rPh sb="8" eb="9">
      <t>オコナ</t>
    </rPh>
    <rPh sb="10" eb="12">
      <t>キノウ</t>
    </rPh>
    <phoneticPr fontId="24"/>
  </si>
  <si>
    <t>年次締め処理</t>
    <rPh sb="0" eb="2">
      <t>ネンジ</t>
    </rPh>
    <rPh sb="2" eb="3">
      <t>シ</t>
    </rPh>
    <rPh sb="4" eb="6">
      <t>ショリ</t>
    </rPh>
    <phoneticPr fontId="24"/>
  </si>
  <si>
    <t>会計システム内で年次の試算表/PL/BSと各種勘定残高明細を参照し、年次締め処理ができること</t>
    <rPh sb="0" eb="2">
      <t>カイケイ</t>
    </rPh>
    <rPh sb="8" eb="10">
      <t>ネンジ</t>
    </rPh>
    <rPh sb="21" eb="23">
      <t>カクシュ</t>
    </rPh>
    <rPh sb="25" eb="27">
      <t>ザンダカ</t>
    </rPh>
    <rPh sb="30" eb="32">
      <t>サンショウ</t>
    </rPh>
    <rPh sb="34" eb="36">
      <t>ネンジ</t>
    </rPh>
    <rPh sb="36" eb="37">
      <t>シ</t>
    </rPh>
    <phoneticPr fontId="24"/>
  </si>
  <si>
    <t>会計年度の締め処理を行う機能</t>
    <rPh sb="0" eb="2">
      <t>カイケイ</t>
    </rPh>
    <rPh sb="2" eb="4">
      <t>ネンド</t>
    </rPh>
    <rPh sb="5" eb="6">
      <t>シ</t>
    </rPh>
    <rPh sb="7" eb="9">
      <t>ショリ</t>
    </rPh>
    <rPh sb="10" eb="11">
      <t>オコナ</t>
    </rPh>
    <rPh sb="12" eb="14">
      <t>キノウ</t>
    </rPh>
    <phoneticPr fontId="24"/>
  </si>
  <si>
    <t>次年度繰越</t>
    <rPh sb="0" eb="3">
      <t>ジネンド</t>
    </rPh>
    <rPh sb="3" eb="5">
      <t>クリコシ</t>
    </rPh>
    <phoneticPr fontId="24"/>
  </si>
  <si>
    <t>前年度末の残高を翌年度の期首残高として自動で行うことができること</t>
    <rPh sb="3" eb="4">
      <t>マツ</t>
    </rPh>
    <rPh sb="19" eb="21">
      <t>ジドウ</t>
    </rPh>
    <rPh sb="22" eb="23">
      <t>オコナ</t>
    </rPh>
    <phoneticPr fontId="24"/>
  </si>
  <si>
    <t>会計年度の切替において期首残高を自動で繰越する機能</t>
    <rPh sb="0" eb="4">
      <t>カイケイネンド</t>
    </rPh>
    <rPh sb="5" eb="7">
      <t>キリカエ</t>
    </rPh>
    <rPh sb="11" eb="15">
      <t>キシュザンダカ</t>
    </rPh>
    <rPh sb="16" eb="18">
      <t>ジドウ</t>
    </rPh>
    <rPh sb="19" eb="21">
      <t>クリコシ</t>
    </rPh>
    <rPh sb="23" eb="25">
      <t>キノウ</t>
    </rPh>
    <phoneticPr fontId="24"/>
  </si>
  <si>
    <t>期首残設定</t>
    <rPh sb="3" eb="5">
      <t>セッテイ</t>
    </rPh>
    <phoneticPr fontId="24"/>
  </si>
  <si>
    <t>当会計年度で会計処理を開始できるように期首残高を自動で設定することができること</t>
    <rPh sb="0" eb="1">
      <t>トウ</t>
    </rPh>
    <rPh sb="1" eb="3">
      <t>カイケイ</t>
    </rPh>
    <rPh sb="3" eb="5">
      <t>ネンド</t>
    </rPh>
    <rPh sb="6" eb="8">
      <t>カイケイ</t>
    </rPh>
    <rPh sb="8" eb="10">
      <t>ショリ</t>
    </rPh>
    <rPh sb="11" eb="13">
      <t>カイシ</t>
    </rPh>
    <rPh sb="24" eb="26">
      <t>ジドウ</t>
    </rPh>
    <rPh sb="27" eb="29">
      <t>セッテイ</t>
    </rPh>
    <phoneticPr fontId="24"/>
  </si>
  <si>
    <t>会計年度の開始できるように期首残高を自動で設定する機能</t>
    <rPh sb="0" eb="2">
      <t>カイケイ</t>
    </rPh>
    <rPh sb="2" eb="4">
      <t>ネンド</t>
    </rPh>
    <rPh sb="5" eb="7">
      <t>カイシ</t>
    </rPh>
    <rPh sb="13" eb="17">
      <t>キシュザンダカ</t>
    </rPh>
    <rPh sb="18" eb="20">
      <t>ジドウ</t>
    </rPh>
    <rPh sb="21" eb="23">
      <t>セッテイ</t>
    </rPh>
    <rPh sb="25" eb="27">
      <t>キノウ</t>
    </rPh>
    <phoneticPr fontId="24"/>
  </si>
  <si>
    <t>その他決算作業</t>
    <rPh sb="2" eb="3">
      <t>タ</t>
    </rPh>
    <rPh sb="3" eb="5">
      <t>ケッサン</t>
    </rPh>
    <rPh sb="5" eb="7">
      <t>サギョウ</t>
    </rPh>
    <phoneticPr fontId="24"/>
  </si>
  <si>
    <t>在庫棚卸</t>
    <rPh sb="0" eb="2">
      <t>ザイコ</t>
    </rPh>
    <rPh sb="2" eb="4">
      <t>タナオロシ</t>
    </rPh>
    <phoneticPr fontId="24"/>
  </si>
  <si>
    <t>半期毎に倉庫一覧データと在庫データを用いて在庫の棚卸を実施し、棚卸差損益を計上できること</t>
    <rPh sb="2" eb="3">
      <t>ゴト</t>
    </rPh>
    <rPh sb="4" eb="6">
      <t>ソウコ</t>
    </rPh>
    <rPh sb="6" eb="8">
      <t>イチラン</t>
    </rPh>
    <rPh sb="12" eb="14">
      <t>ザイコ</t>
    </rPh>
    <rPh sb="18" eb="19">
      <t>モチ</t>
    </rPh>
    <rPh sb="21" eb="23">
      <t>ザイコ</t>
    </rPh>
    <rPh sb="24" eb="26">
      <t>タナオロシ</t>
    </rPh>
    <rPh sb="27" eb="29">
      <t>ジッシ</t>
    </rPh>
    <rPh sb="31" eb="36">
      <t>タナオロシサソンエキ</t>
    </rPh>
    <rPh sb="37" eb="39">
      <t>ケイジョウ</t>
    </rPh>
    <phoneticPr fontId="24"/>
  </si>
  <si>
    <t>半期末時点における棚卸差損益を登録できる機能</t>
    <rPh sb="0" eb="3">
      <t>ハンキマツ</t>
    </rPh>
    <rPh sb="3" eb="5">
      <t>ジテン</t>
    </rPh>
    <rPh sb="9" eb="14">
      <t>タナオロシサソンエキ</t>
    </rPh>
    <rPh sb="15" eb="17">
      <t>トウロク</t>
    </rPh>
    <rPh sb="20" eb="22">
      <t>キノウ</t>
    </rPh>
    <phoneticPr fontId="24"/>
  </si>
  <si>
    <t>外部ツールでの作成された棚卸結果の金額のみ、仕訳伝票登録する</t>
    <rPh sb="0" eb="2">
      <t>ガイブ</t>
    </rPh>
    <rPh sb="7" eb="9">
      <t>サクセイ</t>
    </rPh>
    <rPh sb="12" eb="14">
      <t>タナオロシ</t>
    </rPh>
    <rPh sb="14" eb="16">
      <t>ケッカ</t>
    </rPh>
    <rPh sb="17" eb="19">
      <t>キンガク</t>
    </rPh>
    <rPh sb="22" eb="24">
      <t>シワケ</t>
    </rPh>
    <rPh sb="24" eb="26">
      <t>デンピョウ</t>
    </rPh>
    <rPh sb="26" eb="28">
      <t>トウロク</t>
    </rPh>
    <phoneticPr fontId="24"/>
  </si>
  <si>
    <t>配当金支払</t>
    <rPh sb="0" eb="3">
      <t>ハイトウキン</t>
    </rPh>
    <rPh sb="3" eb="5">
      <t>シハライ</t>
    </rPh>
    <phoneticPr fontId="24"/>
  </si>
  <si>
    <t>配当金支払の仕訳を登録できること</t>
    <rPh sb="0" eb="3">
      <t>ハイトウキン</t>
    </rPh>
    <rPh sb="3" eb="5">
      <t>シハライ</t>
    </rPh>
    <rPh sb="6" eb="8">
      <t>シワケ</t>
    </rPh>
    <rPh sb="9" eb="11">
      <t>トウロク</t>
    </rPh>
    <phoneticPr fontId="24"/>
  </si>
  <si>
    <t>配当金支払の仕訳を登録できる機能</t>
    <rPh sb="0" eb="3">
      <t>ハイトウキン</t>
    </rPh>
    <rPh sb="3" eb="5">
      <t>シハライ</t>
    </rPh>
    <rPh sb="6" eb="8">
      <t>シワケ</t>
    </rPh>
    <rPh sb="9" eb="11">
      <t>トウロク</t>
    </rPh>
    <rPh sb="14" eb="16">
      <t>キノウ</t>
    </rPh>
    <phoneticPr fontId="24"/>
  </si>
  <si>
    <t>繰越利益剰余金の仕訳処理等を含め、マニュアルで仕訳登録いただく前提</t>
    <rPh sb="0" eb="1">
      <t>ク</t>
    </rPh>
    <rPh sb="1" eb="2">
      <t>コ</t>
    </rPh>
    <rPh sb="2" eb="4">
      <t>リエキ</t>
    </rPh>
    <rPh sb="4" eb="7">
      <t>ジョウヨキン</t>
    </rPh>
    <rPh sb="8" eb="10">
      <t>シワケ</t>
    </rPh>
    <rPh sb="10" eb="12">
      <t>ショリ</t>
    </rPh>
    <rPh sb="12" eb="13">
      <t>トウ</t>
    </rPh>
    <rPh sb="14" eb="15">
      <t>フク</t>
    </rPh>
    <rPh sb="23" eb="25">
      <t>シワケ</t>
    </rPh>
    <rPh sb="25" eb="27">
      <t>トウロク</t>
    </rPh>
    <rPh sb="31" eb="33">
      <t>ゼンテイ</t>
    </rPh>
    <phoneticPr fontId="24"/>
  </si>
  <si>
    <t>受取配当金計上</t>
    <rPh sb="5" eb="7">
      <t>ケイジョウ</t>
    </rPh>
    <phoneticPr fontId="24"/>
  </si>
  <si>
    <t>受取配当金の計上仕訳を登録できること</t>
    <rPh sb="0" eb="2">
      <t>ウケトリ</t>
    </rPh>
    <rPh sb="2" eb="5">
      <t>ハイトウキン</t>
    </rPh>
    <rPh sb="6" eb="8">
      <t>ケイジョウ</t>
    </rPh>
    <rPh sb="8" eb="10">
      <t>シワケ</t>
    </rPh>
    <rPh sb="11" eb="13">
      <t>トウロク</t>
    </rPh>
    <phoneticPr fontId="24"/>
  </si>
  <si>
    <t>受取配当金の計上仕訳を登録できる機能</t>
    <rPh sb="0" eb="2">
      <t>ウケトリ</t>
    </rPh>
    <rPh sb="2" eb="5">
      <t>ハイトウキン</t>
    </rPh>
    <rPh sb="6" eb="8">
      <t>ケイジョウ</t>
    </rPh>
    <rPh sb="8" eb="10">
      <t>シワケ</t>
    </rPh>
    <rPh sb="11" eb="13">
      <t>トウロク</t>
    </rPh>
    <rPh sb="16" eb="18">
      <t>キノウ</t>
    </rPh>
    <phoneticPr fontId="24"/>
  </si>
  <si>
    <t>税金処理等を含め、マニュアルで仕訳登録いただく前提</t>
    <rPh sb="0" eb="2">
      <t>ゼイキン</t>
    </rPh>
    <rPh sb="2" eb="4">
      <t>ショリ</t>
    </rPh>
    <rPh sb="4" eb="5">
      <t>トウ</t>
    </rPh>
    <rPh sb="6" eb="7">
      <t>フク</t>
    </rPh>
    <rPh sb="15" eb="17">
      <t>シワケ</t>
    </rPh>
    <rPh sb="17" eb="19">
      <t>トウロク</t>
    </rPh>
    <rPh sb="23" eb="25">
      <t>ゼンテイ</t>
    </rPh>
    <phoneticPr fontId="24"/>
  </si>
  <si>
    <t>連結決算</t>
    <rPh sb="0" eb="2">
      <t>レンケツ</t>
    </rPh>
    <rPh sb="2" eb="4">
      <t>ケッサン</t>
    </rPh>
    <phoneticPr fontId="24"/>
  </si>
  <si>
    <t>IFRS</t>
  </si>
  <si>
    <t>複数帳簿</t>
    <rPh sb="0" eb="4">
      <t>フクスウチョウボ</t>
    </rPh>
    <phoneticPr fontId="24"/>
  </si>
  <si>
    <t>日本基準/IFRS/税務でそれぞれ異なる基準で帳簿作成・保存できること
(Ex.日本基準とIFRSで固定資産台帳を別々で作成できること等)</t>
    <rPh sb="23" eb="25">
      <t>チョウボ</t>
    </rPh>
    <rPh sb="25" eb="27">
      <t>サクセイ</t>
    </rPh>
    <rPh sb="67" eb="68">
      <t>ナド</t>
    </rPh>
    <phoneticPr fontId="24"/>
  </si>
  <si>
    <t>日本基準/IFRS/税務用の帳簿が作成できること</t>
    <rPh sb="0" eb="4">
      <t>ニホンキジュン</t>
    </rPh>
    <rPh sb="10" eb="12">
      <t>ゼイム</t>
    </rPh>
    <rPh sb="12" eb="13">
      <t>ヨウ</t>
    </rPh>
    <rPh sb="14" eb="16">
      <t>チョウボ</t>
    </rPh>
    <rPh sb="17" eb="19">
      <t>サクセイ</t>
    </rPh>
    <phoneticPr fontId="24"/>
  </si>
  <si>
    <t>TB作成</t>
    <rPh sb="2" eb="4">
      <t>サクセイ</t>
    </rPh>
    <phoneticPr fontId="24"/>
  </si>
  <si>
    <t>連結決算用のIFRSベースのTBを作成できること</t>
    <rPh sb="0" eb="2">
      <t>レンケツ</t>
    </rPh>
    <rPh sb="2" eb="4">
      <t>ケッサン</t>
    </rPh>
    <rPh sb="4" eb="5">
      <t>ヨウ</t>
    </rPh>
    <rPh sb="17" eb="19">
      <t>サクセイ</t>
    </rPh>
    <phoneticPr fontId="24"/>
  </si>
  <si>
    <t>IFRSベースのTBの作成機能(IFRS開示用科目(親科目)とIFRS集計元科目(子科目)単位でそれぞれ閲覧できること)</t>
    <rPh sb="11" eb="13">
      <t>サクセイ</t>
    </rPh>
    <rPh sb="13" eb="15">
      <t>キノウ</t>
    </rPh>
    <rPh sb="20" eb="23">
      <t>カイジヨウ</t>
    </rPh>
    <phoneticPr fontId="24"/>
  </si>
  <si>
    <t>TB(残高試算表）はMRで対応</t>
    <rPh sb="3" eb="8">
      <t>ザンダカシサンヒョウ</t>
    </rPh>
    <phoneticPr fontId="24"/>
  </si>
  <si>
    <t>調整仕訳登録</t>
    <rPh sb="2" eb="4">
      <t>シワケ</t>
    </rPh>
    <rPh sb="4" eb="6">
      <t>トウロク</t>
    </rPh>
    <phoneticPr fontId="24"/>
  </si>
  <si>
    <t>年次毎に以下のIFRS調整仕訳を登録できること
・貯蔵品（販促物）
・有給休暇引当金
・総平均→FIFO（SEJのみ）
・在庫評価減（SSJのみ）
・有価証券売却益振替
・減損総額表示</t>
    <rPh sb="0" eb="2">
      <t>ネンジ</t>
    </rPh>
    <rPh sb="2" eb="3">
      <t>ゴト</t>
    </rPh>
    <rPh sb="4" eb="6">
      <t>イカ</t>
    </rPh>
    <rPh sb="11" eb="13">
      <t>チョウセイ</t>
    </rPh>
    <rPh sb="13" eb="15">
      <t>シワケ</t>
    </rPh>
    <rPh sb="16" eb="18">
      <t>トウロク</t>
    </rPh>
    <rPh sb="25" eb="28">
      <t>チョゾウヒン</t>
    </rPh>
    <rPh sb="29" eb="32">
      <t>ハンソクブツ</t>
    </rPh>
    <rPh sb="44" eb="47">
      <t>ソウヘイキン</t>
    </rPh>
    <rPh sb="61" eb="66">
      <t>ザイコヒョウカゲン</t>
    </rPh>
    <rPh sb="75" eb="83">
      <t>ユウカショウケンバイキャクエキフ</t>
    </rPh>
    <rPh sb="83" eb="84">
      <t>カ</t>
    </rPh>
    <rPh sb="86" eb="92">
      <t>ゲンソンソウガクヒョウジ</t>
    </rPh>
    <phoneticPr fontId="24"/>
  </si>
  <si>
    <t>IFRSの調整仕訳を登録できる機能</t>
    <rPh sb="5" eb="7">
      <t>チョウセイ</t>
    </rPh>
    <rPh sb="7" eb="9">
      <t>シワケ</t>
    </rPh>
    <rPh sb="10" eb="12">
      <t>トウロク</t>
    </rPh>
    <rPh sb="15" eb="17">
      <t>キノウ</t>
    </rPh>
    <phoneticPr fontId="24"/>
  </si>
  <si>
    <t>連結会計システムへ連携</t>
    <rPh sb="0" eb="2">
      <t>レンケツ</t>
    </rPh>
    <rPh sb="2" eb="4">
      <t>カイケイ</t>
    </rPh>
    <rPh sb="9" eb="11">
      <t>レンケイ</t>
    </rPh>
    <phoneticPr fontId="24"/>
  </si>
  <si>
    <t>連結会計システムへアップロード</t>
    <rPh sb="0" eb="2">
      <t>レンケツ</t>
    </rPh>
    <rPh sb="2" eb="4">
      <t>カイケイ</t>
    </rPh>
    <phoneticPr fontId="24"/>
  </si>
  <si>
    <t>連結会計システムへデータのアップロードができること</t>
    <rPh sb="0" eb="4">
      <t>レンケツカイケイ</t>
    </rPh>
    <phoneticPr fontId="24"/>
  </si>
  <si>
    <t>連結会計システムへデータ連携できる機能</t>
    <rPh sb="0" eb="4">
      <t>レンケツカイケイ</t>
    </rPh>
    <rPh sb="12" eb="14">
      <t>レンケイ</t>
    </rPh>
    <rPh sb="17" eb="19">
      <t>キノウ</t>
    </rPh>
    <phoneticPr fontId="24"/>
  </si>
  <si>
    <t>連結会計システムエラー確認・修正</t>
    <rPh sb="0" eb="2">
      <t>レンケツ</t>
    </rPh>
    <rPh sb="2" eb="4">
      <t>カイケイ</t>
    </rPh>
    <rPh sb="11" eb="13">
      <t>カクニン</t>
    </rPh>
    <rPh sb="14" eb="16">
      <t>シュウセイ</t>
    </rPh>
    <phoneticPr fontId="24"/>
  </si>
  <si>
    <t>連結会計システムへデータを連携した後、エラーを確認し、必要に応じて修正できること</t>
    <rPh sb="13" eb="15">
      <t>レンケイ</t>
    </rPh>
    <rPh sb="17" eb="18">
      <t>アト</t>
    </rPh>
    <rPh sb="23" eb="25">
      <t>カクニン</t>
    </rPh>
    <rPh sb="27" eb="29">
      <t>ヒツヨウ</t>
    </rPh>
    <rPh sb="30" eb="31">
      <t>オウ</t>
    </rPh>
    <rPh sb="33" eb="35">
      <t>シュウセイ</t>
    </rPh>
    <phoneticPr fontId="24"/>
  </si>
  <si>
    <t>連結会計システムへデータ連携後、修正できる機能</t>
    <rPh sb="12" eb="14">
      <t>レンケイ</t>
    </rPh>
    <rPh sb="14" eb="15">
      <t>ゴ</t>
    </rPh>
    <rPh sb="16" eb="18">
      <t>シュウセイ</t>
    </rPh>
    <rPh sb="21" eb="23">
      <t>キノウ</t>
    </rPh>
    <phoneticPr fontId="24"/>
  </si>
  <si>
    <t>連結会計システムCF確認・修正</t>
    <rPh sb="0" eb="4">
      <t>レンケツカイケイ</t>
    </rPh>
    <phoneticPr fontId="24"/>
  </si>
  <si>
    <t>連結会計システムへデータを連携した後、CFを確認し、必要に応じて修正できること</t>
    <rPh sb="13" eb="15">
      <t>レンケイ</t>
    </rPh>
    <rPh sb="17" eb="18">
      <t>アト</t>
    </rPh>
    <rPh sb="22" eb="24">
      <t>カクニン</t>
    </rPh>
    <rPh sb="26" eb="28">
      <t>ヒツヨウ</t>
    </rPh>
    <rPh sb="29" eb="30">
      <t>オウ</t>
    </rPh>
    <rPh sb="32" eb="34">
      <t>シュウセイ</t>
    </rPh>
    <phoneticPr fontId="24"/>
  </si>
  <si>
    <t>連結会計システムへデータ連携後、CFを修正できる機能</t>
    <rPh sb="12" eb="14">
      <t>レンケイ</t>
    </rPh>
    <rPh sb="14" eb="15">
      <t>ゴ</t>
    </rPh>
    <rPh sb="19" eb="21">
      <t>シュウセイ</t>
    </rPh>
    <rPh sb="24" eb="26">
      <t>キノウ</t>
    </rPh>
    <phoneticPr fontId="24"/>
  </si>
  <si>
    <t>連結決算用レポート</t>
    <rPh sb="0" eb="2">
      <t>レンケツ</t>
    </rPh>
    <rPh sb="2" eb="4">
      <t>ケッサン</t>
    </rPh>
    <rPh sb="4" eb="5">
      <t>ヨウ</t>
    </rPh>
    <phoneticPr fontId="24"/>
  </si>
  <si>
    <t>明細作成</t>
    <rPh sb="0" eb="2">
      <t>メイサイ</t>
    </rPh>
    <rPh sb="2" eb="4">
      <t>サクセイ</t>
    </rPh>
    <phoneticPr fontId="24"/>
  </si>
  <si>
    <t>年次毎に例えば以下のIFRS明細を作成できること
(日本基準/IFRSで複数明細が保持できること)
・IFRS固定資産明細(圧縮記帳含む)
・IFRS減損資料
・IFRS税効果会計資料
・IFRS有価証券明細
・IFRS金融負債明細</t>
    <rPh sb="4" eb="5">
      <t>タト</t>
    </rPh>
    <rPh sb="14" eb="16">
      <t>メイサイ</t>
    </rPh>
    <rPh sb="17" eb="19">
      <t>サクセイ</t>
    </rPh>
    <rPh sb="26" eb="28">
      <t>ニホン</t>
    </rPh>
    <rPh sb="28" eb="30">
      <t>キジュン</t>
    </rPh>
    <rPh sb="36" eb="38">
      <t>フクスウ</t>
    </rPh>
    <rPh sb="38" eb="40">
      <t>メイサイ</t>
    </rPh>
    <rPh sb="41" eb="43">
      <t>ホジ</t>
    </rPh>
    <rPh sb="55" eb="59">
      <t>コテイシサン</t>
    </rPh>
    <rPh sb="59" eb="61">
      <t>メイサイ</t>
    </rPh>
    <rPh sb="62" eb="66">
      <t>アッシュクキチョウ</t>
    </rPh>
    <rPh sb="66" eb="67">
      <t>フク</t>
    </rPh>
    <rPh sb="85" eb="92">
      <t>ゼイコウカカイケイシリョウ</t>
    </rPh>
    <rPh sb="98" eb="104">
      <t>ユウカショウケンメイサイ</t>
    </rPh>
    <rPh sb="110" eb="114">
      <t>キンユウフサイ</t>
    </rPh>
    <rPh sb="114" eb="116">
      <t>メイサイ</t>
    </rPh>
    <phoneticPr fontId="24"/>
  </si>
  <si>
    <t>IFRSベースの各明細を作成・出力できる機能</t>
    <rPh sb="8" eb="11">
      <t>カクメイサイ</t>
    </rPh>
    <rPh sb="12" eb="14">
      <t>サクセイ</t>
    </rPh>
    <rPh sb="15" eb="17">
      <t>シュツリョク</t>
    </rPh>
    <rPh sb="20" eb="22">
      <t>キノウ</t>
    </rPh>
    <phoneticPr fontId="24"/>
  </si>
  <si>
    <t>IFRSに対応した仕訳登録は、FO標準機能「一般仕訳帳」にて転記階層を変更して登録することで通常の仕訳、残高に影響なく登録可能。ただし、下記帳票類については別途開発が必要となります。
・IFRS固定資産明細(圧縮記帳含む)
・IFRS減損資料
・IFRS税効果会計資料
・IFRS有価証券明細
・IFRS金融負債明細</t>
    <rPh sb="5" eb="7">
      <t>タイオウ</t>
    </rPh>
    <rPh sb="9" eb="11">
      <t>シワケ</t>
    </rPh>
    <rPh sb="11" eb="13">
      <t>トウロク</t>
    </rPh>
    <rPh sb="17" eb="21">
      <t>ヒョウジュンキノウ</t>
    </rPh>
    <rPh sb="22" eb="24">
      <t>イッパン</t>
    </rPh>
    <rPh sb="24" eb="27">
      <t>シワケチョウ</t>
    </rPh>
    <rPh sb="30" eb="32">
      <t>テンキ</t>
    </rPh>
    <rPh sb="32" eb="34">
      <t>カイソウ</t>
    </rPh>
    <rPh sb="35" eb="37">
      <t>ヘンコウ</t>
    </rPh>
    <rPh sb="39" eb="41">
      <t>トウロク</t>
    </rPh>
    <rPh sb="46" eb="48">
      <t>ツウジョウ</t>
    </rPh>
    <rPh sb="49" eb="51">
      <t>シワケ</t>
    </rPh>
    <rPh sb="52" eb="54">
      <t>ザンダカ</t>
    </rPh>
    <rPh sb="55" eb="57">
      <t>エイキョウ</t>
    </rPh>
    <rPh sb="59" eb="61">
      <t>トウロク</t>
    </rPh>
    <rPh sb="61" eb="63">
      <t>カノウ</t>
    </rPh>
    <rPh sb="68" eb="70">
      <t>カキ</t>
    </rPh>
    <rPh sb="70" eb="72">
      <t>チョウヒョウ</t>
    </rPh>
    <rPh sb="72" eb="73">
      <t>ルイ</t>
    </rPh>
    <rPh sb="78" eb="80">
      <t>ベット</t>
    </rPh>
    <rPh sb="80" eb="82">
      <t>カイハツ</t>
    </rPh>
    <rPh sb="83" eb="85">
      <t>ヒツヨウ</t>
    </rPh>
    <phoneticPr fontId="24"/>
  </si>
  <si>
    <t>固定資産管理</t>
    <phoneticPr fontId="24"/>
  </si>
  <si>
    <t>固定資産</t>
    <phoneticPr fontId="24"/>
  </si>
  <si>
    <t>取得</t>
  </si>
  <si>
    <t>取得登録</t>
  </si>
  <si>
    <t>固定資産取得(本勘定振替)に必要な情報を入力したうえ、登録処理できること</t>
    <rPh sb="0" eb="2">
      <t>コテイ</t>
    </rPh>
    <rPh sb="2" eb="4">
      <t>シサン</t>
    </rPh>
    <rPh sb="4" eb="6">
      <t>シュトク</t>
    </rPh>
    <rPh sb="7" eb="10">
      <t>ホンカンジョウ</t>
    </rPh>
    <rPh sb="10" eb="12">
      <t>フリカエ</t>
    </rPh>
    <rPh sb="14" eb="16">
      <t>ヒツヨウ</t>
    </rPh>
    <rPh sb="17" eb="19">
      <t>ジョウホウ</t>
    </rPh>
    <rPh sb="20" eb="22">
      <t>ニュウリョク</t>
    </rPh>
    <rPh sb="27" eb="29">
      <t>トウロク</t>
    </rPh>
    <rPh sb="29" eb="31">
      <t>ショリ</t>
    </rPh>
    <phoneticPr fontId="24"/>
  </si>
  <si>
    <t>固定資産の取得に必要な情報を入力・登録する機能</t>
    <rPh sb="0" eb="4">
      <t>コテイシサン</t>
    </rPh>
    <rPh sb="8" eb="10">
      <t>ヒツヨウ</t>
    </rPh>
    <rPh sb="11" eb="13">
      <t>ジョウホウ</t>
    </rPh>
    <rPh sb="14" eb="16">
      <t>ニュウリョク</t>
    </rPh>
    <phoneticPr fontId="24"/>
  </si>
  <si>
    <t>固定資産</t>
  </si>
  <si>
    <t>固定資産取得伝票が確認・出力できること</t>
    <rPh sb="4" eb="6">
      <t>シュトク</t>
    </rPh>
    <rPh sb="6" eb="8">
      <t>デンピョウ</t>
    </rPh>
    <rPh sb="9" eb="11">
      <t>カクニン</t>
    </rPh>
    <rPh sb="12" eb="14">
      <t>シュツリョク</t>
    </rPh>
    <phoneticPr fontId="24"/>
  </si>
  <si>
    <t>固定資産の取得時の伝票を出力する機能</t>
    <rPh sb="0" eb="4">
      <t>コテイシサン</t>
    </rPh>
    <rPh sb="5" eb="8">
      <t>シュトクジ</t>
    </rPh>
    <rPh sb="9" eb="11">
      <t>デンピョウ</t>
    </rPh>
    <rPh sb="12" eb="14">
      <t>シュツリョク</t>
    </rPh>
    <rPh sb="16" eb="18">
      <t>キノウ</t>
    </rPh>
    <phoneticPr fontId="24"/>
  </si>
  <si>
    <t>固定資産取得(本勘定振替)処理に伴う仕訳が生成できること</t>
    <rPh sb="0" eb="4">
      <t>コテイシサン</t>
    </rPh>
    <rPh sb="7" eb="10">
      <t>ホンカンジョウ</t>
    </rPh>
    <rPh sb="10" eb="12">
      <t>フリカエ</t>
    </rPh>
    <rPh sb="13" eb="15">
      <t>ショリ</t>
    </rPh>
    <phoneticPr fontId="24"/>
  </si>
  <si>
    <t>固定資産の取得処理に伴う仕訳を生成する機能</t>
    <rPh sb="0" eb="4">
      <t>コテイシサン</t>
    </rPh>
    <rPh sb="7" eb="9">
      <t>ショリ</t>
    </rPh>
    <rPh sb="15" eb="17">
      <t>セイセイ</t>
    </rPh>
    <rPh sb="19" eb="21">
      <t>キノウ</t>
    </rPh>
    <phoneticPr fontId="24"/>
  </si>
  <si>
    <t>建設仮勘定の消費税を別の仮勘定へ振替できること</t>
    <rPh sb="0" eb="5">
      <t>ケンセツカリカンジョウ</t>
    </rPh>
    <rPh sb="6" eb="9">
      <t>ショウヒゼイ</t>
    </rPh>
    <rPh sb="10" eb="11">
      <t>ベツ</t>
    </rPh>
    <rPh sb="12" eb="15">
      <t>カリカンジョウ</t>
    </rPh>
    <rPh sb="16" eb="18">
      <t>フリカエ</t>
    </rPh>
    <phoneticPr fontId="24"/>
  </si>
  <si>
    <t>建設仮勘定の本体価額とそれに付随する仮払消費税額を識別できる機能</t>
    <rPh sb="0" eb="5">
      <t>ケンセツカリカンジョウ</t>
    </rPh>
    <rPh sb="6" eb="8">
      <t>ホンタイ</t>
    </rPh>
    <rPh sb="8" eb="10">
      <t>カガク</t>
    </rPh>
    <rPh sb="14" eb="16">
      <t>フズイ</t>
    </rPh>
    <rPh sb="18" eb="23">
      <t>カリバライショウヒゼイ</t>
    </rPh>
    <rPh sb="23" eb="24">
      <t>ガク</t>
    </rPh>
    <rPh sb="25" eb="27">
      <t>シキベツ</t>
    </rPh>
    <rPh sb="30" eb="32">
      <t>キノウ</t>
    </rPh>
    <phoneticPr fontId="24"/>
  </si>
  <si>
    <t>一般仕訳帳で対応</t>
    <phoneticPr fontId="24"/>
  </si>
  <si>
    <t>取得情報修正</t>
  </si>
  <si>
    <t>資産情報の変更ができること</t>
    <phoneticPr fontId="24"/>
  </si>
  <si>
    <t>資産分類、耐用年数、償却方法等を変更する機能</t>
    <phoneticPr fontId="24"/>
  </si>
  <si>
    <t>取得資産増減処理の同年度内で過去遡及ができること</t>
    <rPh sb="9" eb="12">
      <t>ドウネンド</t>
    </rPh>
    <rPh sb="12" eb="13">
      <t>ナイ</t>
    </rPh>
    <phoneticPr fontId="24"/>
  </si>
  <si>
    <t>取得資産の増減処理を同年度内過去に遡って実施する機能</t>
    <rPh sb="10" eb="13">
      <t>ドウネンド</t>
    </rPh>
    <rPh sb="13" eb="14">
      <t>ナイ</t>
    </rPh>
    <phoneticPr fontId="24"/>
  </si>
  <si>
    <t>取得資産の増減処理を同年度内過去に遡って実施する機能を開発。</t>
    <rPh sb="27" eb="29">
      <t>カイハツ</t>
    </rPh>
    <phoneticPr fontId="24"/>
  </si>
  <si>
    <t>資産情報の登録内容を確認できること</t>
    <rPh sb="5" eb="7">
      <t>トウロク</t>
    </rPh>
    <rPh sb="7" eb="9">
      <t>ナイヨウ</t>
    </rPh>
    <rPh sb="10" eb="12">
      <t>カクニン</t>
    </rPh>
    <phoneticPr fontId="24"/>
  </si>
  <si>
    <t>部課コードの設定状況等、修正したい各情報の登録状況を確認する機能</t>
    <rPh sb="0" eb="2">
      <t>ブカ</t>
    </rPh>
    <rPh sb="6" eb="8">
      <t>セッテイ</t>
    </rPh>
    <rPh sb="8" eb="10">
      <t>ジョウキョウ</t>
    </rPh>
    <rPh sb="10" eb="11">
      <t>ナド</t>
    </rPh>
    <rPh sb="12" eb="14">
      <t>シュウセイ</t>
    </rPh>
    <rPh sb="17" eb="18">
      <t>カク</t>
    </rPh>
    <rPh sb="18" eb="20">
      <t>ジョウホウ</t>
    </rPh>
    <rPh sb="21" eb="23">
      <t>トウロク</t>
    </rPh>
    <rPh sb="23" eb="25">
      <t>ジョウキョウ</t>
    </rPh>
    <rPh sb="26" eb="28">
      <t>カクニン</t>
    </rPh>
    <rPh sb="30" eb="32">
      <t>キノウ</t>
    </rPh>
    <phoneticPr fontId="24"/>
  </si>
  <si>
    <t>資産除去債務</t>
    <rPh sb="0" eb="4">
      <t>シサンジョキョ</t>
    </rPh>
    <rPh sb="4" eb="6">
      <t>サイム</t>
    </rPh>
    <phoneticPr fontId="24"/>
  </si>
  <si>
    <t>資産除去債務の登録ができ、利息計算ができること</t>
    <rPh sb="0" eb="6">
      <t>シサンジョキョサイム</t>
    </rPh>
    <rPh sb="7" eb="9">
      <t>トウロク</t>
    </rPh>
    <rPh sb="13" eb="15">
      <t>リソク</t>
    </rPh>
    <rPh sb="15" eb="17">
      <t>ケイサン</t>
    </rPh>
    <phoneticPr fontId="24"/>
  </si>
  <si>
    <t>資産除去債務の登録と利息計算をする機能</t>
    <rPh sb="0" eb="4">
      <t>シサンジョキョ</t>
    </rPh>
    <rPh sb="4" eb="6">
      <t>サイム</t>
    </rPh>
    <rPh sb="7" eb="9">
      <t>トウロク</t>
    </rPh>
    <rPh sb="10" eb="12">
      <t>リソク</t>
    </rPh>
    <rPh sb="12" eb="14">
      <t>ケイサン</t>
    </rPh>
    <rPh sb="17" eb="19">
      <t>キノウ</t>
    </rPh>
    <phoneticPr fontId="24"/>
  </si>
  <si>
    <t>圧縮記帳</t>
  </si>
  <si>
    <t>圧縮記帳ができること</t>
    <phoneticPr fontId="24"/>
  </si>
  <si>
    <t>減価償却</t>
    <rPh sb="0" eb="4">
      <t>ゲンカショウキャク</t>
    </rPh>
    <phoneticPr fontId="24"/>
  </si>
  <si>
    <t>減価償却費計上</t>
    <rPh sb="4" eb="5">
      <t>ヒ</t>
    </rPh>
    <rPh sb="5" eb="7">
      <t>ケイジョウ</t>
    </rPh>
    <phoneticPr fontId="6"/>
  </si>
  <si>
    <t>資産の減価償却・除却処理内容を更新できること</t>
    <rPh sb="3" eb="5">
      <t>ゲンカ</t>
    </rPh>
    <rPh sb="5" eb="7">
      <t>ショウキャク</t>
    </rPh>
    <rPh sb="8" eb="12">
      <t>ジョキャクショリ</t>
    </rPh>
    <rPh sb="12" eb="14">
      <t>ナイヨウ</t>
    </rPh>
    <rPh sb="15" eb="17">
      <t>コウシン</t>
    </rPh>
    <phoneticPr fontId="24"/>
  </si>
  <si>
    <t>償却方法、耐用年数、組織、遊休設定、増加償却率等の資産に紐付く情報を変更する機能</t>
    <rPh sb="34" eb="36">
      <t>ヘンコウ</t>
    </rPh>
    <rPh sb="38" eb="40">
      <t>キノウ</t>
    </rPh>
    <phoneticPr fontId="24"/>
  </si>
  <si>
    <t>償却額を自動計算できること</t>
    <rPh sb="4" eb="6">
      <t>ジドウ</t>
    </rPh>
    <phoneticPr fontId="24"/>
  </si>
  <si>
    <t>定率法・定額法・月割償却・定額切替・均等償却・即時償却・非償却・リース期間定額法・任意償却といった一般的な償却計算方法で償却計算を行う機能</t>
    <phoneticPr fontId="24"/>
  </si>
  <si>
    <t>償却額を自動再計算できること</t>
    <rPh sb="4" eb="6">
      <t>ジドウ</t>
    </rPh>
    <phoneticPr fontId="24"/>
  </si>
  <si>
    <t>増加償却できること</t>
    <phoneticPr fontId="24"/>
  </si>
  <si>
    <t>特別償却、割増償却できること</t>
    <phoneticPr fontId="24"/>
  </si>
  <si>
    <t>遊休設定(償却停止)できること</t>
    <rPh sb="5" eb="9">
      <t>ショウキャクテイシ</t>
    </rPh>
    <phoneticPr fontId="24"/>
  </si>
  <si>
    <t>各資産毎に遊休設定し、償却費を発生させない機能</t>
    <rPh sb="1" eb="3">
      <t>シサン</t>
    </rPh>
    <rPh sb="11" eb="14">
      <t>ショウキャクヒ</t>
    </rPh>
    <rPh sb="15" eb="17">
      <t>ハッセイ</t>
    </rPh>
    <phoneticPr fontId="24"/>
  </si>
  <si>
    <t>ブロックする</t>
    <phoneticPr fontId="24"/>
  </si>
  <si>
    <t>償却費を複数部門に配賦できること</t>
    <rPh sb="4" eb="6">
      <t>フクスウ</t>
    </rPh>
    <rPh sb="6" eb="8">
      <t>ブモン</t>
    </rPh>
    <phoneticPr fontId="24"/>
  </si>
  <si>
    <t>紐づく財務分析コードを振り返る仕訳で対応可能</t>
    <rPh sb="0" eb="1">
      <t>ヒモ</t>
    </rPh>
    <rPh sb="3" eb="7">
      <t>ザイムブンセキ</t>
    </rPh>
    <rPh sb="11" eb="12">
      <t>フ</t>
    </rPh>
    <rPh sb="13" eb="14">
      <t>カエ</t>
    </rPh>
    <rPh sb="15" eb="17">
      <t>シワケ</t>
    </rPh>
    <rPh sb="18" eb="20">
      <t>タイオウ</t>
    </rPh>
    <rPh sb="20" eb="22">
      <t>カノウ</t>
    </rPh>
    <phoneticPr fontId="24"/>
  </si>
  <si>
    <t>複数期間の償却費を出力できること</t>
    <phoneticPr fontId="24"/>
  </si>
  <si>
    <t>会計システム標準機能</t>
    <phoneticPr fontId="24"/>
  </si>
  <si>
    <t>FO標準機能の財務諸表にて対応</t>
    <rPh sb="2" eb="6">
      <t>ヒョウジュンキノウ</t>
    </rPh>
    <rPh sb="7" eb="11">
      <t>ザイムショヒョウ</t>
    </rPh>
    <phoneticPr fontId="24"/>
  </si>
  <si>
    <t>償却シミュレーション</t>
  </si>
  <si>
    <t>取得予定、除却予定、減損予定、移動予定を加味して既存資産・新規資産の減価償却費のシミュレーションができること</t>
    <rPh sb="24" eb="26">
      <t>キゾン</t>
    </rPh>
    <rPh sb="26" eb="28">
      <t>シサン</t>
    </rPh>
    <rPh sb="29" eb="33">
      <t>シンキシサン</t>
    </rPh>
    <rPh sb="34" eb="39">
      <t>ゲンカショウキャクヒ</t>
    </rPh>
    <phoneticPr fontId="24"/>
  </si>
  <si>
    <t>取得予定、除却予定、減損予定、移動予定を加味した償却シミュレーションする機能</t>
    <phoneticPr fontId="24"/>
  </si>
  <si>
    <t>各予定をFO標準機能を利用して登録した後、償却シミュレーション機能については開発。</t>
    <rPh sb="0" eb="1">
      <t>カク</t>
    </rPh>
    <rPh sb="1" eb="3">
      <t>ヨテイ</t>
    </rPh>
    <rPh sb="6" eb="10">
      <t>ヒョウジュンキノウ</t>
    </rPh>
    <rPh sb="11" eb="13">
      <t>リヨウ</t>
    </rPh>
    <rPh sb="15" eb="17">
      <t>トウロク</t>
    </rPh>
    <rPh sb="19" eb="20">
      <t>ノチ</t>
    </rPh>
    <rPh sb="21" eb="23">
      <t>ショウキャク</t>
    </rPh>
    <rPh sb="31" eb="33">
      <t>キノウ</t>
    </rPh>
    <rPh sb="38" eb="40">
      <t>カイハツ</t>
    </rPh>
    <phoneticPr fontId="24"/>
  </si>
  <si>
    <t>減損</t>
  </si>
  <si>
    <t>減損処理</t>
    <rPh sb="2" eb="4">
      <t>ショリ</t>
    </rPh>
    <phoneticPr fontId="24"/>
  </si>
  <si>
    <t>減損処理できること</t>
    <phoneticPr fontId="24"/>
  </si>
  <si>
    <t>減損額の配分</t>
    <rPh sb="2" eb="3">
      <t>ガク</t>
    </rPh>
    <rPh sb="4" eb="6">
      <t>ハイブン</t>
    </rPh>
    <phoneticPr fontId="24"/>
  </si>
  <si>
    <t>減損損失額の資産別配分できること</t>
    <phoneticPr fontId="24"/>
  </si>
  <si>
    <t>固定資産ごとに財務分析コードを設定し、対応する</t>
    <rPh sb="0" eb="4">
      <t>コテイシサン</t>
    </rPh>
    <rPh sb="7" eb="11">
      <t>ザイムブンセキ</t>
    </rPh>
    <rPh sb="15" eb="17">
      <t>セッテイ</t>
    </rPh>
    <rPh sb="19" eb="21">
      <t>タイオウ</t>
    </rPh>
    <phoneticPr fontId="24"/>
  </si>
  <si>
    <t>移動</t>
    <phoneticPr fontId="6"/>
  </si>
  <si>
    <t>移動処理</t>
    <rPh sb="2" eb="4">
      <t>ショリ</t>
    </rPh>
    <phoneticPr fontId="24"/>
  </si>
  <si>
    <t>資産の移動登録ができること</t>
    <phoneticPr fontId="24"/>
  </si>
  <si>
    <t>移動</t>
  </si>
  <si>
    <t>一括移動</t>
    <rPh sb="0" eb="2">
      <t>イッカツ</t>
    </rPh>
    <rPh sb="2" eb="4">
      <t>イドウ</t>
    </rPh>
    <phoneticPr fontId="24"/>
  </si>
  <si>
    <t>複数資産の一括移動処理ができること</t>
    <phoneticPr fontId="24"/>
  </si>
  <si>
    <t>一括移動処理機能を開発。</t>
    <rPh sb="0" eb="2">
      <t>イッカツ</t>
    </rPh>
    <rPh sb="2" eb="4">
      <t>イドウ</t>
    </rPh>
    <rPh sb="4" eb="6">
      <t>ショリ</t>
    </rPh>
    <rPh sb="6" eb="8">
      <t>キノウ</t>
    </rPh>
    <rPh sb="9" eb="11">
      <t>カイハツ</t>
    </rPh>
    <phoneticPr fontId="24"/>
  </si>
  <si>
    <t>分割</t>
  </si>
  <si>
    <t>分割処理</t>
    <rPh sb="2" eb="4">
      <t>ショリ</t>
    </rPh>
    <phoneticPr fontId="24"/>
  </si>
  <si>
    <t>資産の分割処理できること</t>
    <phoneticPr fontId="24"/>
  </si>
  <si>
    <t>新規登録と変更のマニュアル処理</t>
    <phoneticPr fontId="24"/>
  </si>
  <si>
    <t>除売却</t>
  </si>
  <si>
    <t>除売却処理</t>
    <rPh sb="3" eb="5">
      <t>ショリ</t>
    </rPh>
    <phoneticPr fontId="24"/>
  </si>
  <si>
    <t>資産の除売却登録ができること</t>
    <phoneticPr fontId="24"/>
  </si>
  <si>
    <t>資産の除売却を登録する機能</t>
    <phoneticPr fontId="24"/>
  </si>
  <si>
    <t>除売却</t>
    <phoneticPr fontId="6"/>
  </si>
  <si>
    <t>除売却に伴う仕訳を自動生成できること</t>
    <rPh sb="9" eb="11">
      <t>ジドウ</t>
    </rPh>
    <phoneticPr fontId="24"/>
  </si>
  <si>
    <t>除売却に伴う仕訳を自動生成する機能</t>
    <rPh sb="9" eb="11">
      <t>ジドウ</t>
    </rPh>
    <rPh sb="11" eb="13">
      <t>セイセイ</t>
    </rPh>
    <phoneticPr fontId="24"/>
  </si>
  <si>
    <t>固定資産仕訳帳を登録する(自動ではない）</t>
    <rPh sb="0" eb="2">
      <t>コテイ</t>
    </rPh>
    <rPh sb="2" eb="4">
      <t>シサン</t>
    </rPh>
    <rPh sb="4" eb="7">
      <t>シワケチョウ</t>
    </rPh>
    <rPh sb="8" eb="10">
      <t>トウロク</t>
    </rPh>
    <rPh sb="13" eb="15">
      <t>ジドウ</t>
    </rPh>
    <phoneticPr fontId="24"/>
  </si>
  <si>
    <t>償却資産税申告</t>
    <rPh sb="4" eb="5">
      <t>ゼイ</t>
    </rPh>
    <phoneticPr fontId="24"/>
  </si>
  <si>
    <t>申告書作成</t>
    <phoneticPr fontId="24"/>
  </si>
  <si>
    <t>償却資産申告用帳簿管理できること</t>
    <phoneticPr fontId="24"/>
  </si>
  <si>
    <t>財務帳簿、税務帳簿とは別に償却資産申告用に耐用年数、資産の種類、取得価額を保持し、その値を変更する機能</t>
    <phoneticPr fontId="24"/>
  </si>
  <si>
    <t>償却資産申告用に耐用年数、資産の種類、取得価額を保持し、その値を変更する機能を開発。</t>
    <rPh sb="39" eb="41">
      <t>カイハツ</t>
    </rPh>
    <phoneticPr fontId="24"/>
  </si>
  <si>
    <t>申告書作成</t>
  </si>
  <si>
    <t>償却資産申告書出力できること</t>
    <phoneticPr fontId="24"/>
  </si>
  <si>
    <t>償却資産申告書（課税台帳）を出力する機能</t>
    <phoneticPr fontId="24"/>
  </si>
  <si>
    <t>償却資産申告書（課税台帳）の帳票機能を開発。</t>
    <phoneticPr fontId="24"/>
  </si>
  <si>
    <t>種類別明細書出力できること</t>
    <phoneticPr fontId="24"/>
  </si>
  <si>
    <t>種類別明細書(全資産用・増加資産用・減少資産用)を出力する機能</t>
    <phoneticPr fontId="24"/>
  </si>
  <si>
    <t>種類別明細書(全資産用・増加資産用・減少資産用)の帳票機能を開発。</t>
    <rPh sb="25" eb="29">
      <t>チョウヒョウキノウ</t>
    </rPh>
    <rPh sb="30" eb="32">
      <t>カイハツ</t>
    </rPh>
    <phoneticPr fontId="24"/>
  </si>
  <si>
    <t>過年度分の償却資産申告書、種類別明細書出力できること</t>
    <phoneticPr fontId="24"/>
  </si>
  <si>
    <t>償却資産申告書、種類別明細書を過年度分の帳票機能を開発。</t>
    <rPh sb="20" eb="24">
      <t>チョウヒョウキノウ</t>
    </rPh>
    <rPh sb="25" eb="27">
      <t>カイハツ</t>
    </rPh>
    <phoneticPr fontId="24"/>
  </si>
  <si>
    <t>税額計算</t>
  </si>
  <si>
    <t>税額計算用の償却計算できること</t>
    <phoneticPr fontId="24"/>
  </si>
  <si>
    <t>会計期間とは別に1月-12月のサイクルで償却計算を行い、自治体別の償却資産税額を計算する機能</t>
    <phoneticPr fontId="24"/>
  </si>
  <si>
    <t>会計期間とは別に1月-12月のサイクルで償却計算を行い、自治体別の償却資産税額を計算する機能を開発。</t>
    <rPh sb="47" eb="49">
      <t>カイハツ</t>
    </rPh>
    <phoneticPr fontId="24"/>
  </si>
  <si>
    <t>レポーティング</t>
    <phoneticPr fontId="24"/>
  </si>
  <si>
    <t>台帳</t>
    <phoneticPr fontId="24"/>
  </si>
  <si>
    <t>固定資産台帳を出力・管理できること</t>
    <rPh sb="7" eb="9">
      <t>シュツリョク</t>
    </rPh>
    <rPh sb="10" eb="12">
      <t>カンリ</t>
    </rPh>
    <phoneticPr fontId="24"/>
  </si>
  <si>
    <t>固定資産台帳を出力・管理する機能</t>
    <rPh sb="7" eb="9">
      <t>シュツリョク</t>
    </rPh>
    <phoneticPr fontId="24"/>
  </si>
  <si>
    <t>レポーティング</t>
  </si>
  <si>
    <t>明細</t>
    <rPh sb="0" eb="2">
      <t>メイサイ</t>
    </rPh>
    <phoneticPr fontId="6"/>
  </si>
  <si>
    <t>固定資産の詳細情報をそのまま、または、複数条件で集計して出力できること</t>
    <rPh sb="5" eb="7">
      <t>ショウサイ</t>
    </rPh>
    <rPh sb="7" eb="9">
      <t>ジョウホウ</t>
    </rPh>
    <rPh sb="24" eb="26">
      <t>シュウケイ</t>
    </rPh>
    <phoneticPr fontId="24"/>
  </si>
  <si>
    <t>部門、種類、構造用途、分類、設置場所、資産番号等の項目を集計キーとして集計し出力する機能</t>
    <rPh sb="0" eb="2">
      <t>ブモン</t>
    </rPh>
    <phoneticPr fontId="24"/>
  </si>
  <si>
    <t>増減明細</t>
    <rPh sb="0" eb="2">
      <t>ゾウゲン</t>
    </rPh>
    <rPh sb="2" eb="4">
      <t>メイサイ</t>
    </rPh>
    <phoneticPr fontId="6"/>
  </si>
  <si>
    <t>固定資産の処理区分(移動、分割、除却等)毎に明細を出力できること</t>
    <rPh sb="5" eb="9">
      <t>ショリクブン</t>
    </rPh>
    <rPh sb="10" eb="12">
      <t>イドウ</t>
    </rPh>
    <rPh sb="13" eb="15">
      <t>ブンカツ</t>
    </rPh>
    <rPh sb="16" eb="18">
      <t>ジョキャク</t>
    </rPh>
    <rPh sb="18" eb="19">
      <t>ナド</t>
    </rPh>
    <rPh sb="20" eb="21">
      <t>ゴト</t>
    </rPh>
    <rPh sb="22" eb="24">
      <t>メイサイ</t>
    </rPh>
    <phoneticPr fontId="24"/>
  </si>
  <si>
    <t>固定資産の処理区分(移動、分割、除却等)毎に明細を出力する機能</t>
    <rPh sb="5" eb="9">
      <t>ショリクブン</t>
    </rPh>
    <rPh sb="10" eb="12">
      <t>イドウ</t>
    </rPh>
    <rPh sb="13" eb="15">
      <t>ブンカツ</t>
    </rPh>
    <rPh sb="16" eb="18">
      <t>ジョキャク</t>
    </rPh>
    <rPh sb="18" eb="19">
      <t>ナド</t>
    </rPh>
    <rPh sb="20" eb="21">
      <t>ゴト</t>
    </rPh>
    <rPh sb="22" eb="24">
      <t>メイサイ</t>
    </rPh>
    <rPh sb="29" eb="31">
      <t>キノウ</t>
    </rPh>
    <phoneticPr fontId="24"/>
  </si>
  <si>
    <t>建設仮勘定</t>
  </si>
  <si>
    <t>計上</t>
  </si>
  <si>
    <t>計上登録</t>
    <rPh sb="2" eb="4">
      <t>トウロク</t>
    </rPh>
    <phoneticPr fontId="24"/>
  </si>
  <si>
    <t>建設仮勘定計上に必要な情報を入力したうえ、登録処理できること、または、他システムで登録された建設仮勘定のデータを連携して計上できること</t>
    <rPh sb="0" eb="2">
      <t>ケンセツ</t>
    </rPh>
    <rPh sb="2" eb="5">
      <t>カリカンジョウ</t>
    </rPh>
    <rPh sb="5" eb="7">
      <t>ケイジョウ</t>
    </rPh>
    <rPh sb="35" eb="36">
      <t>タ</t>
    </rPh>
    <rPh sb="41" eb="43">
      <t>トウロク</t>
    </rPh>
    <rPh sb="46" eb="51">
      <t>ケンセツカリカンジョウ</t>
    </rPh>
    <rPh sb="56" eb="58">
      <t>レンケイ</t>
    </rPh>
    <rPh sb="60" eb="62">
      <t>ケイジョウ</t>
    </rPh>
    <phoneticPr fontId="24"/>
  </si>
  <si>
    <t>建設仮勘定を勘定科目とした仕訳について、建設仮勘定として必要な情報を入力・計上する機能</t>
    <rPh sb="0" eb="2">
      <t>ケンセツ</t>
    </rPh>
    <rPh sb="2" eb="5">
      <t>カリカンジョウ</t>
    </rPh>
    <rPh sb="6" eb="8">
      <t>カンジョウ</t>
    </rPh>
    <rPh sb="8" eb="10">
      <t>カモク</t>
    </rPh>
    <rPh sb="13" eb="15">
      <t>シワケ</t>
    </rPh>
    <rPh sb="20" eb="25">
      <t>ケンセツカリカンジョウ</t>
    </rPh>
    <rPh sb="37" eb="39">
      <t>ケイジョウ</t>
    </rPh>
    <rPh sb="41" eb="43">
      <t>キノウ</t>
    </rPh>
    <phoneticPr fontId="24"/>
  </si>
  <si>
    <t>建設仮勘定</t>
    <phoneticPr fontId="6"/>
  </si>
  <si>
    <t>振替</t>
    <rPh sb="0" eb="2">
      <t>フリカエ</t>
    </rPh>
    <phoneticPr fontId="24"/>
  </si>
  <si>
    <t>一括振替</t>
    <rPh sb="0" eb="2">
      <t>イッカツ</t>
    </rPh>
    <rPh sb="2" eb="4">
      <t>フリカエ</t>
    </rPh>
    <phoneticPr fontId="24"/>
  </si>
  <si>
    <t>複数の建設仮勘定から、一つの資産または費用への振替できること</t>
    <phoneticPr fontId="24"/>
  </si>
  <si>
    <t>複数の建設仮勘定から、一つの資産または費用にまとめて振り替える機能</t>
    <phoneticPr fontId="24"/>
  </si>
  <si>
    <t>複数の建設仮勘定から、複数の資産または費用への振替できること</t>
    <phoneticPr fontId="24"/>
  </si>
  <si>
    <t>複数の建設仮勘定から、複数の資産または費用への振り替える機能</t>
    <phoneticPr fontId="24"/>
  </si>
  <si>
    <t>マニュアルで対応</t>
    <rPh sb="6" eb="8">
      <t>タイオウ</t>
    </rPh>
    <phoneticPr fontId="24"/>
  </si>
  <si>
    <t>一つの建設仮勘定から、複数建設仮勘定への分割できること</t>
    <rPh sb="0" eb="1">
      <t>ヒト</t>
    </rPh>
    <rPh sb="3" eb="8">
      <t>ケンセツカリカンジョウ</t>
    </rPh>
    <phoneticPr fontId="24"/>
  </si>
  <si>
    <t>一つの建設仮勘定を複数の建設仮勘定に分割する機能</t>
    <rPh sb="0" eb="1">
      <t>ヒト</t>
    </rPh>
    <phoneticPr fontId="24"/>
  </si>
  <si>
    <t>明細</t>
    <rPh sb="0" eb="2">
      <t>メイサイ</t>
    </rPh>
    <phoneticPr fontId="24"/>
  </si>
  <si>
    <t>建設仮勘定の詳細情報をそのまま、または、複数条件で集計して出力できること</t>
    <rPh sb="0" eb="5">
      <t>ケンセツカリカンジョウ</t>
    </rPh>
    <phoneticPr fontId="24"/>
  </si>
  <si>
    <t>建設仮勘定の残高を、取得日、稼働予定日、部門などの条件で抽出し、建設仮勘定明細を出力する機能</t>
    <rPh sb="6" eb="8">
      <t>ザンダカ</t>
    </rPh>
    <rPh sb="14" eb="16">
      <t>カドウ</t>
    </rPh>
    <rPh sb="16" eb="18">
      <t>ヨテイ</t>
    </rPh>
    <rPh sb="18" eb="19">
      <t>ビ</t>
    </rPh>
    <rPh sb="37" eb="39">
      <t>メイサイ</t>
    </rPh>
    <phoneticPr fontId="24"/>
  </si>
  <si>
    <t>建設仮勘定管理機能</t>
  </si>
  <si>
    <t>項目管理</t>
  </si>
  <si>
    <t>建設仮勘定の関連情報の管理ができること</t>
    <phoneticPr fontId="24"/>
  </si>
  <si>
    <t>建設仮勘定に関する基本項目（部門・計上額・科目）、任意項目、申告項目、減損項目、仕訳情報を管理する機能</t>
    <rPh sb="14" eb="16">
      <t>ブモン</t>
    </rPh>
    <phoneticPr fontId="24"/>
  </si>
  <si>
    <t>長期滞留モニタリング</t>
    <rPh sb="0" eb="4">
      <t>チョウキタイリュウ</t>
    </rPh>
    <phoneticPr fontId="24"/>
  </si>
  <si>
    <t>長期滞留している建設仮勘定残高の情報を抽出し、本勘定振替等の後続処理が必要か否か判断できること</t>
    <rPh sb="8" eb="10">
      <t>ケンセツ</t>
    </rPh>
    <rPh sb="13" eb="15">
      <t>ザンダカ</t>
    </rPh>
    <rPh sb="16" eb="18">
      <t>ジョウホウ</t>
    </rPh>
    <rPh sb="19" eb="21">
      <t>チュウシュツ</t>
    </rPh>
    <rPh sb="23" eb="26">
      <t>ホンカンジョウ</t>
    </rPh>
    <rPh sb="26" eb="28">
      <t>フリカエ</t>
    </rPh>
    <rPh sb="28" eb="29">
      <t>トウ</t>
    </rPh>
    <rPh sb="30" eb="32">
      <t>コウゾク</t>
    </rPh>
    <rPh sb="32" eb="34">
      <t>ショリ</t>
    </rPh>
    <rPh sb="35" eb="37">
      <t>ヒツヨウ</t>
    </rPh>
    <rPh sb="38" eb="39">
      <t>イナ</t>
    </rPh>
    <rPh sb="40" eb="42">
      <t>ハンダン</t>
    </rPh>
    <phoneticPr fontId="24"/>
  </si>
  <si>
    <t>長期滞留の建設仮勘定残高の情報を表示・出力する機能</t>
    <rPh sb="0" eb="4">
      <t>チョウキタイリュウ</t>
    </rPh>
    <rPh sb="5" eb="12">
      <t>ケンセツカリカンジョウザンダカ</t>
    </rPh>
    <rPh sb="13" eb="15">
      <t>ジョウホウ</t>
    </rPh>
    <rPh sb="16" eb="18">
      <t>ヒョウジ</t>
    </rPh>
    <rPh sb="19" eb="21">
      <t>シュツリョク</t>
    </rPh>
    <rPh sb="23" eb="25">
      <t>キノウ</t>
    </rPh>
    <phoneticPr fontId="24"/>
  </si>
  <si>
    <t>試算表から確認</t>
    <rPh sb="0" eb="2">
      <t>シサン</t>
    </rPh>
    <rPh sb="2" eb="3">
      <t>ヒョウ</t>
    </rPh>
    <rPh sb="5" eb="7">
      <t>カクニン</t>
    </rPh>
    <phoneticPr fontId="24"/>
  </si>
  <si>
    <t>リース管理</t>
  </si>
  <si>
    <t>登録</t>
    <phoneticPr fontId="24"/>
  </si>
  <si>
    <t>新規登録</t>
    <rPh sb="0" eb="2">
      <t>シンキ</t>
    </rPh>
    <phoneticPr fontId="24"/>
  </si>
  <si>
    <t>リース資産の新規登録ができること（固定資産番号の取得、固定資産台帳への登録、リース資産登録時に必要な仕訳計上をすべて一本で行う）</t>
    <rPh sb="3" eb="5">
      <t>シサン</t>
    </rPh>
    <rPh sb="6" eb="8">
      <t>シンキ</t>
    </rPh>
    <rPh sb="8" eb="10">
      <t>トウロク</t>
    </rPh>
    <rPh sb="17" eb="19">
      <t>コテイ</t>
    </rPh>
    <rPh sb="19" eb="21">
      <t>シサン</t>
    </rPh>
    <rPh sb="21" eb="23">
      <t>バンゴウ</t>
    </rPh>
    <rPh sb="24" eb="26">
      <t>シュトク</t>
    </rPh>
    <rPh sb="27" eb="29">
      <t>コテイ</t>
    </rPh>
    <rPh sb="29" eb="31">
      <t>シサン</t>
    </rPh>
    <rPh sb="31" eb="33">
      <t>ダイチョウ</t>
    </rPh>
    <rPh sb="35" eb="37">
      <t>トウロク</t>
    </rPh>
    <rPh sb="41" eb="43">
      <t>シサン</t>
    </rPh>
    <rPh sb="43" eb="45">
      <t>トウロク</t>
    </rPh>
    <rPh sb="45" eb="46">
      <t>ジ</t>
    </rPh>
    <rPh sb="47" eb="49">
      <t>ヒツヨウ</t>
    </rPh>
    <rPh sb="50" eb="52">
      <t>シワケ</t>
    </rPh>
    <rPh sb="52" eb="54">
      <t>ケイジョウ</t>
    </rPh>
    <rPh sb="58" eb="60">
      <t>イッポン</t>
    </rPh>
    <rPh sb="61" eb="62">
      <t>オコナ</t>
    </rPh>
    <phoneticPr fontId="24"/>
  </si>
  <si>
    <t>リース資産の新規登録により、固定資産番号の取得、固定資産台帳への登録、リース資産登録時に必要な仕訳計上がすべて同時に行われる機能</t>
    <rPh sb="8" eb="10">
      <t>トウロク</t>
    </rPh>
    <rPh sb="14" eb="16">
      <t>コテイ</t>
    </rPh>
    <rPh sb="21" eb="23">
      <t>シュトク</t>
    </rPh>
    <rPh sb="55" eb="57">
      <t>ドウジ</t>
    </rPh>
    <rPh sb="58" eb="59">
      <t>オコナ</t>
    </rPh>
    <rPh sb="62" eb="64">
      <t>キノウ</t>
    </rPh>
    <phoneticPr fontId="24"/>
  </si>
  <si>
    <t>要件次第では、開発が必要な場合もございます。</t>
    <rPh sb="0" eb="2">
      <t>ヨウケン</t>
    </rPh>
    <rPh sb="2" eb="4">
      <t>シダイ</t>
    </rPh>
    <rPh sb="7" eb="9">
      <t>カイハツ</t>
    </rPh>
    <rPh sb="10" eb="12">
      <t>ヒツヨウ</t>
    </rPh>
    <rPh sb="13" eb="15">
      <t>バアイ</t>
    </rPh>
    <phoneticPr fontId="24"/>
  </si>
  <si>
    <t>登録</t>
  </si>
  <si>
    <t>リースの重要性判定の基準額をシステム上指定し、登録時に入力したリース料総額にから重要性判定できること（1契約に複数台リースの場合は1台あたりで判定。1台当たりのリース料総額が50万円未満は登録対象外）</t>
    <rPh sb="4" eb="7">
      <t>ジュウヨウセイ</t>
    </rPh>
    <rPh sb="7" eb="9">
      <t>ハンテイ</t>
    </rPh>
    <rPh sb="18" eb="19">
      <t>ジョウ</t>
    </rPh>
    <rPh sb="23" eb="25">
      <t>トウロク</t>
    </rPh>
    <rPh sb="25" eb="26">
      <t>ジ</t>
    </rPh>
    <rPh sb="27" eb="29">
      <t>ニュウリョク</t>
    </rPh>
    <rPh sb="34" eb="35">
      <t>リョウ</t>
    </rPh>
    <rPh sb="35" eb="37">
      <t>ソウガク</t>
    </rPh>
    <rPh sb="40" eb="43">
      <t>ジュウヨウセイ</t>
    </rPh>
    <rPh sb="43" eb="45">
      <t>ハンテイ</t>
    </rPh>
    <rPh sb="52" eb="54">
      <t>ケイヤク</t>
    </rPh>
    <rPh sb="55" eb="57">
      <t>フクスウ</t>
    </rPh>
    <rPh sb="57" eb="58">
      <t>ダイ</t>
    </rPh>
    <rPh sb="62" eb="64">
      <t>バアイ</t>
    </rPh>
    <rPh sb="66" eb="67">
      <t>ダイ</t>
    </rPh>
    <rPh sb="71" eb="73">
      <t>ハンテイ</t>
    </rPh>
    <rPh sb="75" eb="76">
      <t>ダイ</t>
    </rPh>
    <rPh sb="76" eb="77">
      <t>ア</t>
    </rPh>
    <phoneticPr fontId="24"/>
  </si>
  <si>
    <t>重要性判定に使用するリース料総額の基準額と判定単位(1契約に複数台リースの場合は1台あたりで判定)をユーザ側で指定する機能</t>
    <rPh sb="21" eb="23">
      <t>ハンテイ</t>
    </rPh>
    <rPh sb="23" eb="25">
      <t>タンイ</t>
    </rPh>
    <phoneticPr fontId="24"/>
  </si>
  <si>
    <t>月々のリース料を前払リース料分も自動調整したうえで登録できること</t>
    <rPh sb="8" eb="10">
      <t>マエバラ</t>
    </rPh>
    <rPh sb="13" eb="14">
      <t>リョウ</t>
    </rPh>
    <rPh sb="14" eb="15">
      <t>ブン</t>
    </rPh>
    <rPh sb="16" eb="18">
      <t>ジドウ</t>
    </rPh>
    <rPh sb="18" eb="20">
      <t>チョウセイ</t>
    </rPh>
    <rPh sb="25" eb="27">
      <t>トウロク</t>
    </rPh>
    <phoneticPr fontId="24"/>
  </si>
  <si>
    <t>前払リース料を自動調整して月々のリース料を登録する機能</t>
    <rPh sb="7" eb="11">
      <t>ジドウチョウセイ</t>
    </rPh>
    <phoneticPr fontId="24"/>
  </si>
  <si>
    <t>リース管理</t>
    <phoneticPr fontId="6"/>
  </si>
  <si>
    <t>再リース</t>
  </si>
  <si>
    <t>初回リース期間満了後再リースする場合、帳簿から除却処理せず再リース登録できること</t>
    <rPh sb="10" eb="11">
      <t>サイ</t>
    </rPh>
    <rPh sb="16" eb="18">
      <t>バアイ</t>
    </rPh>
    <rPh sb="19" eb="21">
      <t>チョウボ</t>
    </rPh>
    <rPh sb="23" eb="25">
      <t>ジョキャク</t>
    </rPh>
    <rPh sb="25" eb="27">
      <t>ショリ</t>
    </rPh>
    <rPh sb="33" eb="35">
      <t>トウロク</t>
    </rPh>
    <phoneticPr fontId="24"/>
  </si>
  <si>
    <t>既存リース契約を再リース登録する機能</t>
    <rPh sb="0" eb="2">
      <t>キゾン</t>
    </rPh>
    <rPh sb="5" eb="7">
      <t>ケイヤク</t>
    </rPh>
    <phoneticPr fontId="24"/>
  </si>
  <si>
    <t>リース判定</t>
  </si>
  <si>
    <t>ファイナンスリース、オペレーティングリースを自動判定できること</t>
    <phoneticPr fontId="24"/>
  </si>
  <si>
    <t>計算</t>
    <phoneticPr fontId="24"/>
  </si>
  <si>
    <t>リース計算</t>
  </si>
  <si>
    <t>利息計算、リース債務取崩額が自動計算できること</t>
    <rPh sb="14" eb="16">
      <t>ジドウ</t>
    </rPh>
    <phoneticPr fontId="24"/>
  </si>
  <si>
    <t>リース契約毎の利息計算、リース債務取崩額を自動計算する機能</t>
    <rPh sb="21" eb="23">
      <t>ジドウ</t>
    </rPh>
    <phoneticPr fontId="24"/>
  </si>
  <si>
    <t>計算</t>
  </si>
  <si>
    <t>リース料総額、リース料現在価値、計算利子率が自動計算できること</t>
    <phoneticPr fontId="24"/>
  </si>
  <si>
    <t>リース契約毎の、リース料総額、リース料現在価値、計算利子率を自動計算する機能</t>
    <phoneticPr fontId="24"/>
  </si>
  <si>
    <t>未払リース消費税が計算・振替できること</t>
    <rPh sb="0" eb="2">
      <t>ミバライ</t>
    </rPh>
    <rPh sb="5" eb="8">
      <t>ショウヒゼイ</t>
    </rPh>
    <rPh sb="9" eb="11">
      <t>ケイサン</t>
    </rPh>
    <rPh sb="12" eb="14">
      <t>フリカエ</t>
    </rPh>
    <phoneticPr fontId="24"/>
  </si>
  <si>
    <t>リース契約ごとの未払消費税振替ができる機能</t>
    <rPh sb="13" eb="15">
      <t>フリカエ</t>
    </rPh>
    <phoneticPr fontId="24"/>
  </si>
  <si>
    <t>中途解約</t>
  </si>
  <si>
    <t>リースの中途解約処理ができること</t>
    <rPh sb="8" eb="10">
      <t>ショリ</t>
    </rPh>
    <phoneticPr fontId="24"/>
  </si>
  <si>
    <t>リースの中途解約時に、固定資産台帳からの除却とリース債務残高の取崩を行う機能</t>
    <rPh sb="8" eb="9">
      <t>ジ</t>
    </rPh>
    <rPh sb="11" eb="15">
      <t>コテイシサン</t>
    </rPh>
    <rPh sb="15" eb="17">
      <t>ダイチョウ</t>
    </rPh>
    <rPh sb="20" eb="22">
      <t>ジョキャク</t>
    </rPh>
    <rPh sb="26" eb="28">
      <t>サイム</t>
    </rPh>
    <rPh sb="28" eb="30">
      <t>ザンダカ</t>
    </rPh>
    <rPh sb="31" eb="33">
      <t>トリクズシ</t>
    </rPh>
    <rPh sb="34" eb="35">
      <t>オコナ</t>
    </rPh>
    <phoneticPr fontId="24"/>
  </si>
  <si>
    <t>リース帳票出力</t>
  </si>
  <si>
    <t>リース台帳</t>
    <phoneticPr fontId="24"/>
  </si>
  <si>
    <t>日本基準/IFRSの両方のリース契約台帳が出力できること</t>
    <rPh sb="16" eb="18">
      <t>ケイヤク</t>
    </rPh>
    <rPh sb="18" eb="20">
      <t>ダイチョウ</t>
    </rPh>
    <rPh sb="21" eb="23">
      <t>シュツリョク</t>
    </rPh>
    <phoneticPr fontId="24"/>
  </si>
  <si>
    <t>日本基準/IFRSのリース契約台帳を作成・出力する機能</t>
    <rPh sb="0" eb="4">
      <t>ニホンキジュン</t>
    </rPh>
    <rPh sb="21" eb="23">
      <t>シュツリョク</t>
    </rPh>
    <phoneticPr fontId="24"/>
  </si>
  <si>
    <t>リース残高長短管理</t>
    <rPh sb="3" eb="5">
      <t>ザンダカ</t>
    </rPh>
    <rPh sb="5" eb="7">
      <t>チョウタン</t>
    </rPh>
    <rPh sb="7" eb="9">
      <t>カンリ</t>
    </rPh>
    <phoneticPr fontId="24"/>
  </si>
  <si>
    <t>リース債務に関する1年以内（短期）と1年以上（長期）の残高出力と長短組替ができること</t>
    <rPh sb="32" eb="34">
      <t>チョウタン</t>
    </rPh>
    <rPh sb="34" eb="36">
      <t>クミカエ</t>
    </rPh>
    <phoneticPr fontId="24"/>
  </si>
  <si>
    <t>リース債務について、1年以内（短期）と1年以上（長期）の残高が把握でき、長期から短期への振替を自動で行う機能</t>
    <rPh sb="36" eb="38">
      <t>チョウキ</t>
    </rPh>
    <rPh sb="40" eb="42">
      <t>タンキ</t>
    </rPh>
    <rPh sb="44" eb="46">
      <t>フリカエ</t>
    </rPh>
    <rPh sb="47" eb="49">
      <t>ジドウ</t>
    </rPh>
    <rPh sb="50" eb="51">
      <t>オコナ</t>
    </rPh>
    <rPh sb="52" eb="54">
      <t>キノウ</t>
    </rPh>
    <phoneticPr fontId="24"/>
  </si>
  <si>
    <t>リース会社別残高管理</t>
    <rPh sb="3" eb="6">
      <t>カイシャベツ</t>
    </rPh>
    <rPh sb="8" eb="10">
      <t>カンリ</t>
    </rPh>
    <phoneticPr fontId="24"/>
  </si>
  <si>
    <t>リース会社別の債務残高出力ができること</t>
    <rPh sb="3" eb="5">
      <t>カイシャ</t>
    </rPh>
    <rPh sb="5" eb="6">
      <t>ベツ</t>
    </rPh>
    <rPh sb="7" eb="9">
      <t>サイム</t>
    </rPh>
    <rPh sb="9" eb="11">
      <t>ザンダカ</t>
    </rPh>
    <rPh sb="11" eb="13">
      <t>シュツリョク</t>
    </rPh>
    <phoneticPr fontId="24"/>
  </si>
  <si>
    <t>リース会社別の債務残高表を作成・出力する機能</t>
    <rPh sb="3" eb="5">
      <t>ガイシャ</t>
    </rPh>
    <rPh sb="5" eb="6">
      <t>ベツ</t>
    </rPh>
    <rPh sb="7" eb="11">
      <t>サイムザンダカ</t>
    </rPh>
    <rPh sb="11" eb="12">
      <t>ヒョウ</t>
    </rPh>
    <rPh sb="13" eb="15">
      <t>サクセイ</t>
    </rPh>
    <rPh sb="16" eb="18">
      <t>シュツリョク</t>
    </rPh>
    <rPh sb="20" eb="22">
      <t>キノウ</t>
    </rPh>
    <phoneticPr fontId="24"/>
  </si>
  <si>
    <t>請求情報登録</t>
    <rPh sb="0" eb="2">
      <t>セイキュウ</t>
    </rPh>
    <rPh sb="2" eb="4">
      <t>ジョウホウ</t>
    </rPh>
    <rPh sb="4" eb="6">
      <t>トウロク</t>
    </rPh>
    <phoneticPr fontId="24"/>
  </si>
  <si>
    <t>請求情報入力</t>
    <rPh sb="0" eb="2">
      <t>セイキュウ</t>
    </rPh>
    <rPh sb="2" eb="4">
      <t>ジョウホウ</t>
    </rPh>
    <rPh sb="4" eb="6">
      <t>ニュウリョク</t>
    </rPh>
    <phoneticPr fontId="24"/>
  </si>
  <si>
    <t>請求書に記載されている情報を債務伝票のデータ項目として登録できること</t>
    <phoneticPr fontId="24"/>
  </si>
  <si>
    <t>請求書に記載されている情報を債務伝票のデータ項目として登録する機能</t>
    <rPh sb="31" eb="33">
      <t>キノウ</t>
    </rPh>
    <phoneticPr fontId="24"/>
  </si>
  <si>
    <t>標準機能の項目として用意された、日付、金額等に関しては、債務データとして登録可能だが、項目次第では開発が必要となる。</t>
    <rPh sb="0" eb="4">
      <t>ヒョウジュンキノウ</t>
    </rPh>
    <rPh sb="5" eb="7">
      <t>コウモク</t>
    </rPh>
    <rPh sb="10" eb="12">
      <t>ヨウイ</t>
    </rPh>
    <rPh sb="16" eb="18">
      <t>ヒヅケ</t>
    </rPh>
    <rPh sb="19" eb="21">
      <t>キンガク</t>
    </rPh>
    <rPh sb="21" eb="22">
      <t>トウ</t>
    </rPh>
    <rPh sb="23" eb="24">
      <t>カン</t>
    </rPh>
    <rPh sb="28" eb="30">
      <t>サイム</t>
    </rPh>
    <rPh sb="36" eb="38">
      <t>トウロク</t>
    </rPh>
    <rPh sb="38" eb="40">
      <t>カノウ</t>
    </rPh>
    <rPh sb="43" eb="45">
      <t>コウモク</t>
    </rPh>
    <rPh sb="45" eb="47">
      <t>シダイ</t>
    </rPh>
    <rPh sb="49" eb="51">
      <t>カイハツ</t>
    </rPh>
    <rPh sb="52" eb="54">
      <t>ヒツヨウ</t>
    </rPh>
    <phoneticPr fontId="24"/>
  </si>
  <si>
    <t>請求書のPDFを保存できること</t>
    <rPh sb="0" eb="2">
      <t>セイキュウ</t>
    </rPh>
    <rPh sb="2" eb="3">
      <t>ショ</t>
    </rPh>
    <rPh sb="8" eb="10">
      <t>ホゾン</t>
    </rPh>
    <phoneticPr fontId="24"/>
  </si>
  <si>
    <t>請求書のPDFファイルをアップロードし、保存する機能</t>
    <rPh sb="0" eb="3">
      <t>セイキュウショ</t>
    </rPh>
    <rPh sb="20" eb="22">
      <t>ホゾン</t>
    </rPh>
    <rPh sb="24" eb="26">
      <t>キノウ</t>
    </rPh>
    <phoneticPr fontId="24"/>
  </si>
  <si>
    <t>支払仕訳を生成できること（請求日付・勘定科目・計上部門・取引内容等の入力）</t>
    <rPh sb="0" eb="2">
      <t>シハライ</t>
    </rPh>
    <rPh sb="2" eb="4">
      <t>シワケ</t>
    </rPh>
    <rPh sb="5" eb="7">
      <t>セイセイ</t>
    </rPh>
    <rPh sb="13" eb="15">
      <t>セイキュウ</t>
    </rPh>
    <rPh sb="15" eb="17">
      <t>ヒヅケ</t>
    </rPh>
    <rPh sb="18" eb="20">
      <t>カンジョウ</t>
    </rPh>
    <rPh sb="20" eb="22">
      <t>カモク</t>
    </rPh>
    <rPh sb="23" eb="25">
      <t>ケイジョウ</t>
    </rPh>
    <rPh sb="25" eb="27">
      <t>ブモン</t>
    </rPh>
    <rPh sb="28" eb="32">
      <t>トリヒキナイヨウ</t>
    </rPh>
    <rPh sb="32" eb="33">
      <t>トウ</t>
    </rPh>
    <rPh sb="34" eb="36">
      <t>ニュウリョク</t>
    </rPh>
    <phoneticPr fontId="24"/>
  </si>
  <si>
    <t>支払の対象となる取引の勘定科目を含めた仕訳生成に必要なデータを入力・選択する機能</t>
    <rPh sb="0" eb="2">
      <t>シハライ</t>
    </rPh>
    <rPh sb="3" eb="5">
      <t>タイショウ</t>
    </rPh>
    <rPh sb="8" eb="10">
      <t>トリヒキ</t>
    </rPh>
    <rPh sb="11" eb="15">
      <t>カンジョウカモク</t>
    </rPh>
    <rPh sb="16" eb="17">
      <t>フク</t>
    </rPh>
    <rPh sb="19" eb="21">
      <t>シワケ</t>
    </rPh>
    <rPh sb="21" eb="23">
      <t>セイセイ</t>
    </rPh>
    <rPh sb="24" eb="26">
      <t>ヒツヨウ</t>
    </rPh>
    <rPh sb="31" eb="33">
      <t>ニュウリョク</t>
    </rPh>
    <rPh sb="34" eb="36">
      <t>センタク</t>
    </rPh>
    <rPh sb="38" eb="40">
      <t>キノウ</t>
    </rPh>
    <phoneticPr fontId="44"/>
  </si>
  <si>
    <t>請求情報変更</t>
    <rPh sb="0" eb="2">
      <t>セイキュウ</t>
    </rPh>
    <rPh sb="2" eb="4">
      <t>ジョウホウ</t>
    </rPh>
    <rPh sb="4" eb="6">
      <t>ヘンコウ</t>
    </rPh>
    <phoneticPr fontId="24"/>
  </si>
  <si>
    <t>請求情報を修正できること</t>
    <rPh sb="2" eb="4">
      <t>ジョウホウ</t>
    </rPh>
    <rPh sb="5" eb="7">
      <t>シュウセイ</t>
    </rPh>
    <phoneticPr fontId="24"/>
  </si>
  <si>
    <t>未払請求情報（支払予定情報）の修正機能</t>
    <rPh sb="0" eb="2">
      <t>ミバラ</t>
    </rPh>
    <rPh sb="7" eb="9">
      <t>シハライ</t>
    </rPh>
    <rPh sb="9" eb="11">
      <t>ヨテイ</t>
    </rPh>
    <rPh sb="11" eb="13">
      <t>ジョウホウ</t>
    </rPh>
    <rPh sb="15" eb="17">
      <t>シュウセイ</t>
    </rPh>
    <rPh sb="17" eb="19">
      <t>キノウ</t>
    </rPh>
    <phoneticPr fontId="24"/>
  </si>
  <si>
    <t>請求情報保留</t>
    <rPh sb="0" eb="2">
      <t>セイキュウ</t>
    </rPh>
    <rPh sb="2" eb="4">
      <t>ジョウホウ</t>
    </rPh>
    <rPh sb="4" eb="6">
      <t>ホリュウ</t>
    </rPh>
    <phoneticPr fontId="24"/>
  </si>
  <si>
    <t>請求情報を保留できること</t>
    <rPh sb="2" eb="4">
      <t>ジョウホウ</t>
    </rPh>
    <rPh sb="5" eb="7">
      <t>ホリュウ</t>
    </rPh>
    <phoneticPr fontId="24"/>
  </si>
  <si>
    <t>未払請求情報（支払予定情報）を支払できないように保留する削除機能</t>
    <rPh sb="0" eb="2">
      <t>ミバラ</t>
    </rPh>
    <rPh sb="2" eb="4">
      <t>セイキュウ</t>
    </rPh>
    <rPh sb="4" eb="6">
      <t>ジョウホウ</t>
    </rPh>
    <rPh sb="15" eb="17">
      <t>シハライ</t>
    </rPh>
    <rPh sb="24" eb="26">
      <t>ホリュウ</t>
    </rPh>
    <rPh sb="30" eb="32">
      <t>キノウ</t>
    </rPh>
    <phoneticPr fontId="44"/>
  </si>
  <si>
    <t>標準機能のブロック機能を利用して、仕訳を保留状態にすることが可能である。</t>
    <rPh sb="0" eb="4">
      <t>ヒョウジュンキノウ</t>
    </rPh>
    <rPh sb="9" eb="11">
      <t>キノウ</t>
    </rPh>
    <rPh sb="12" eb="14">
      <t>リヨウ</t>
    </rPh>
    <rPh sb="17" eb="19">
      <t>シワケ</t>
    </rPh>
    <rPh sb="20" eb="22">
      <t>ホリュウ</t>
    </rPh>
    <rPh sb="22" eb="24">
      <t>ジョウタイ</t>
    </rPh>
    <rPh sb="30" eb="32">
      <t>カノウ</t>
    </rPh>
    <phoneticPr fontId="24"/>
  </si>
  <si>
    <t>請求情報削除</t>
    <phoneticPr fontId="24"/>
  </si>
  <si>
    <t>請求情報を削除できること</t>
    <rPh sb="2" eb="4">
      <t>ジョウホウ</t>
    </rPh>
    <rPh sb="5" eb="7">
      <t>サクジョ</t>
    </rPh>
    <phoneticPr fontId="24"/>
  </si>
  <si>
    <t>未払請求情報（支払予定情報）の削除機能</t>
    <rPh sb="15" eb="17">
      <t>サクジョ</t>
    </rPh>
    <rPh sb="17" eb="19">
      <t>キノウ</t>
    </rPh>
    <phoneticPr fontId="44"/>
  </si>
  <si>
    <t>削除はできない（赤黒処理のみ）</t>
    <rPh sb="0" eb="2">
      <t>サクジョ</t>
    </rPh>
    <rPh sb="8" eb="10">
      <t>アカクロ</t>
    </rPh>
    <rPh sb="10" eb="12">
      <t>ショリ</t>
    </rPh>
    <phoneticPr fontId="24"/>
  </si>
  <si>
    <t>預り売掛金と買掛金の相殺処理</t>
    <rPh sb="0" eb="1">
      <t>アズ</t>
    </rPh>
    <rPh sb="2" eb="5">
      <t>ウリカケキン</t>
    </rPh>
    <rPh sb="6" eb="9">
      <t>カイカケキン</t>
    </rPh>
    <rPh sb="10" eb="14">
      <t>ソウサイショリ</t>
    </rPh>
    <phoneticPr fontId="24"/>
  </si>
  <si>
    <t>毎月固定で買掛金・売掛金が両方存在するケースがあり、売掛金から預り売掛金へ一度相殺対象の残高を振り替えた後、その後買掛金と相殺できること（売掛金と買掛金の相殺処理が可能であること）</t>
    <rPh sb="7" eb="8">
      <t>キン</t>
    </rPh>
    <rPh sb="11" eb="12">
      <t>キン</t>
    </rPh>
    <rPh sb="69" eb="72">
      <t>ウリカケキン</t>
    </rPh>
    <rPh sb="73" eb="76">
      <t>カイカケキン</t>
    </rPh>
    <rPh sb="77" eb="81">
      <t>ソウサイショリ</t>
    </rPh>
    <rPh sb="82" eb="84">
      <t>カノウ</t>
    </rPh>
    <phoneticPr fontId="24"/>
  </si>
  <si>
    <t>同一の取引先に対して預り売掛金と買掛金が両方存在する場合、どちらか残高が少ない科目を残高の多い科目と相殺した上で、支払または入金処理する機能</t>
    <rPh sb="68" eb="70">
      <t>キノウ</t>
    </rPh>
    <phoneticPr fontId="44"/>
  </si>
  <si>
    <t>相殺不可のため、相殺仕訳入力して債権・債務それぞれで消込みを行う</t>
    <phoneticPr fontId="24"/>
  </si>
  <si>
    <t>請求情報承認</t>
    <rPh sb="0" eb="4">
      <t>セイキュウジョウホウ</t>
    </rPh>
    <rPh sb="4" eb="6">
      <t>ショウニン</t>
    </rPh>
    <phoneticPr fontId="6"/>
  </si>
  <si>
    <t>請求情報承認</t>
    <rPh sb="0" eb="2">
      <t>セイキュウ</t>
    </rPh>
    <rPh sb="2" eb="4">
      <t>ジョウホウ</t>
    </rPh>
    <rPh sb="4" eb="6">
      <t>ショウニン</t>
    </rPh>
    <phoneticPr fontId="24"/>
  </si>
  <si>
    <t>請求書の承認ができること</t>
    <phoneticPr fontId="24"/>
  </si>
  <si>
    <t>請求書情報の承認機能</t>
    <rPh sb="8" eb="10">
      <t>キノウ</t>
    </rPh>
    <phoneticPr fontId="24"/>
  </si>
  <si>
    <t>拡張プラットフォーム</t>
  </si>
  <si>
    <t>SCMモジュールの仕入先請求書にはワークフローある。</t>
    <phoneticPr fontId="24"/>
  </si>
  <si>
    <t>ステータス管理</t>
    <rPh sb="5" eb="7">
      <t>カンリ</t>
    </rPh>
    <phoneticPr fontId="6"/>
  </si>
  <si>
    <t>請求情報のステータス管理ができること</t>
    <rPh sb="0" eb="2">
      <t>セイキュウ</t>
    </rPh>
    <rPh sb="2" eb="4">
      <t>ジョウホウ</t>
    </rPh>
    <rPh sb="10" eb="12">
      <t>カンリ</t>
    </rPh>
    <phoneticPr fontId="24"/>
  </si>
  <si>
    <t>承認待ち→承認済み(=支払待ち)→支払済み等、請求書のステータスを閲覧・管理する機能</t>
    <rPh sb="0" eb="3">
      <t>ショウニンマ</t>
    </rPh>
    <rPh sb="5" eb="8">
      <t>ショウニンズ</t>
    </rPh>
    <rPh sb="11" eb="14">
      <t>シハライマ</t>
    </rPh>
    <rPh sb="17" eb="20">
      <t>シハライズ</t>
    </rPh>
    <rPh sb="21" eb="22">
      <t>ナド</t>
    </rPh>
    <rPh sb="23" eb="26">
      <t>セイキュウショ</t>
    </rPh>
    <rPh sb="33" eb="35">
      <t>エツラン</t>
    </rPh>
    <rPh sb="36" eb="38">
      <t>カンリ</t>
    </rPh>
    <phoneticPr fontId="24"/>
  </si>
  <si>
    <t>SCMモジュールの仕入先請求書にはワークフローある。（承認待ちというのが債務計上＝仕入先請求書に対するものであるという想定）ただし、支払済みかどうかは債務データ（仕入先トラン）側の話になるので、別画面の話になる。</t>
    <phoneticPr fontId="24"/>
  </si>
  <si>
    <t>請求情報参照</t>
    <rPh sb="0" eb="4">
      <t>セイキュウジョウホウ</t>
    </rPh>
    <rPh sb="4" eb="6">
      <t>サンショウ</t>
    </rPh>
    <phoneticPr fontId="6"/>
  </si>
  <si>
    <t>請求情報照会</t>
    <rPh sb="0" eb="2">
      <t>セイキュウ</t>
    </rPh>
    <rPh sb="2" eb="4">
      <t>ジョウホウ</t>
    </rPh>
    <rPh sb="4" eb="6">
      <t>ショウカイ</t>
    </rPh>
    <phoneticPr fontId="24"/>
  </si>
  <si>
    <t>請求情報の照会ができること</t>
    <rPh sb="2" eb="4">
      <t>ジョウホウ</t>
    </rPh>
    <phoneticPr fontId="24"/>
  </si>
  <si>
    <t>請求書情報の照会する機能</t>
    <phoneticPr fontId="24"/>
  </si>
  <si>
    <t>証憑・請求書の参照ができること</t>
    <rPh sb="0" eb="2">
      <t>ショウヒョウ</t>
    </rPh>
    <rPh sb="3" eb="5">
      <t>セイキュウ</t>
    </rPh>
    <rPh sb="5" eb="6">
      <t>ショ</t>
    </rPh>
    <rPh sb="7" eb="9">
      <t>サンショウ</t>
    </rPh>
    <phoneticPr fontId="24"/>
  </si>
  <si>
    <t>登録されている証憑・請求書を参照する機能</t>
    <rPh sb="0" eb="2">
      <t>トウロク</t>
    </rPh>
    <rPh sb="7" eb="9">
      <t>ショウヒョウ</t>
    </rPh>
    <rPh sb="10" eb="13">
      <t>セイキュウショ</t>
    </rPh>
    <rPh sb="14" eb="16">
      <t>サンショウ</t>
    </rPh>
    <rPh sb="18" eb="20">
      <t>キノウ</t>
    </rPh>
    <phoneticPr fontId="44"/>
  </si>
  <si>
    <t>SCMモジュールにて対応</t>
    <rPh sb="10" eb="12">
      <t>タイオウ</t>
    </rPh>
    <phoneticPr fontId="24"/>
  </si>
  <si>
    <t>請求情報出力</t>
    <rPh sb="4" eb="6">
      <t>シュツリョク</t>
    </rPh>
    <phoneticPr fontId="24"/>
  </si>
  <si>
    <t>請求情報の出力ができること</t>
    <rPh sb="2" eb="4">
      <t>ジョウホウ</t>
    </rPh>
    <rPh sb="5" eb="7">
      <t>シュツリョク</t>
    </rPh>
    <phoneticPr fontId="24"/>
  </si>
  <si>
    <t>請求書情報を出力する機能</t>
    <rPh sb="0" eb="3">
      <t>セイキュウショ</t>
    </rPh>
    <rPh sb="3" eb="5">
      <t>ジョウホウ</t>
    </rPh>
    <rPh sb="6" eb="8">
      <t>シュツリョク</t>
    </rPh>
    <rPh sb="10" eb="12">
      <t>キノウ</t>
    </rPh>
    <phoneticPr fontId="44"/>
  </si>
  <si>
    <t>支払依頼情報の出力ができること</t>
    <rPh sb="0" eb="2">
      <t>シハライ</t>
    </rPh>
    <rPh sb="2" eb="4">
      <t>イライ</t>
    </rPh>
    <rPh sb="4" eb="6">
      <t>ジョウホウ</t>
    </rPh>
    <rPh sb="7" eb="9">
      <t>シュツリョク</t>
    </rPh>
    <phoneticPr fontId="24"/>
  </si>
  <si>
    <t>各支払（企業、従業員）への支払依頼情報を出力する機能</t>
    <rPh sb="0" eb="1">
      <t>カク</t>
    </rPh>
    <rPh sb="1" eb="3">
      <t>シハライ</t>
    </rPh>
    <rPh sb="7" eb="10">
      <t>ジュウギョウイン</t>
    </rPh>
    <rPh sb="13" eb="15">
      <t>シハライ</t>
    </rPh>
    <rPh sb="17" eb="19">
      <t>ジョウホウ</t>
    </rPh>
    <rPh sb="20" eb="22">
      <t>シュツリョク</t>
    </rPh>
    <rPh sb="24" eb="26">
      <t>キノウ</t>
    </rPh>
    <phoneticPr fontId="44"/>
  </si>
  <si>
    <t>支払依頼情報の出力画面を開発。</t>
    <rPh sb="0" eb="2">
      <t>シハラ</t>
    </rPh>
    <rPh sb="2" eb="4">
      <t>イライ</t>
    </rPh>
    <rPh sb="4" eb="6">
      <t>ジョウホウ</t>
    </rPh>
    <rPh sb="7" eb="9">
      <t>シュツリョク</t>
    </rPh>
    <rPh sb="9" eb="11">
      <t>ガメン</t>
    </rPh>
    <rPh sb="12" eb="14">
      <t>カイハツ</t>
    </rPh>
    <phoneticPr fontId="24"/>
  </si>
  <si>
    <t>ステータス情報の出力ができること</t>
    <rPh sb="5" eb="7">
      <t>ジョウホウ</t>
    </rPh>
    <rPh sb="8" eb="10">
      <t>シュツリョク</t>
    </rPh>
    <phoneticPr fontId="24"/>
  </si>
  <si>
    <t>請求書のステータス情報を出力する機能</t>
    <rPh sb="0" eb="3">
      <t>セイキュウショ</t>
    </rPh>
    <rPh sb="9" eb="11">
      <t>ジョウホウ</t>
    </rPh>
    <rPh sb="12" eb="14">
      <t>シュツリョク</t>
    </rPh>
    <rPh sb="16" eb="18">
      <t>キノウ</t>
    </rPh>
    <phoneticPr fontId="44"/>
  </si>
  <si>
    <t>検収明細データのダウンロードができること</t>
    <phoneticPr fontId="24"/>
  </si>
  <si>
    <t>検収明細データをダウンロードする機能</t>
    <rPh sb="16" eb="18">
      <t>キノウ</t>
    </rPh>
    <phoneticPr fontId="45"/>
  </si>
  <si>
    <t>支払データ管理</t>
    <rPh sb="0" eb="2">
      <t>シハライ</t>
    </rPh>
    <rPh sb="5" eb="7">
      <t>カンリ</t>
    </rPh>
    <phoneticPr fontId="6"/>
  </si>
  <si>
    <t>支払情報取込</t>
    <rPh sb="0" eb="2">
      <t>シハライ</t>
    </rPh>
    <rPh sb="2" eb="4">
      <t>ジョウホウ</t>
    </rPh>
    <rPh sb="4" eb="5">
      <t>ト</t>
    </rPh>
    <rPh sb="5" eb="6">
      <t>コ</t>
    </rPh>
    <phoneticPr fontId="24"/>
  </si>
  <si>
    <t>外部システムから支払情報取り込みできること</t>
    <rPh sb="0" eb="2">
      <t>ガイブ</t>
    </rPh>
    <phoneticPr fontId="24"/>
  </si>
  <si>
    <t>外部システムから連携された支払情報を取り込む機能</t>
    <rPh sb="0" eb="2">
      <t>ガイブ</t>
    </rPh>
    <rPh sb="8" eb="10">
      <t>レンケイ</t>
    </rPh>
    <rPh sb="13" eb="15">
      <t>シハライ</t>
    </rPh>
    <rPh sb="15" eb="17">
      <t>ジョウホウ</t>
    </rPh>
    <rPh sb="18" eb="19">
      <t>ト</t>
    </rPh>
    <rPh sb="20" eb="21">
      <t>コ</t>
    </rPh>
    <rPh sb="22" eb="24">
      <t>キノウ</t>
    </rPh>
    <phoneticPr fontId="24"/>
  </si>
  <si>
    <t>外部システムから連携された支払情報の取込機能を開発。</t>
    <rPh sb="0" eb="2">
      <t>ガイブ</t>
    </rPh>
    <rPh sb="8" eb="10">
      <t>レンケイ</t>
    </rPh>
    <rPh sb="13" eb="15">
      <t>シハラ</t>
    </rPh>
    <rPh sb="15" eb="17">
      <t>ジョウホウ</t>
    </rPh>
    <rPh sb="18" eb="22">
      <t>トリコミキノウ</t>
    </rPh>
    <rPh sb="23" eb="25">
      <t>カイハツ</t>
    </rPh>
    <phoneticPr fontId="24"/>
  </si>
  <si>
    <t>支払仕訳取消</t>
    <rPh sb="0" eb="2">
      <t>シハライ</t>
    </rPh>
    <rPh sb="2" eb="4">
      <t>シワケ</t>
    </rPh>
    <rPh sb="4" eb="5">
      <t>ト</t>
    </rPh>
    <rPh sb="5" eb="6">
      <t>ケ</t>
    </rPh>
    <phoneticPr fontId="24"/>
  </si>
  <si>
    <t>承認済みの支払データを赤伝処理により取消でき、元伝票を呼び出して再計上できること</t>
    <rPh sb="32" eb="35">
      <t>サイケイジョウ</t>
    </rPh>
    <phoneticPr fontId="24"/>
  </si>
  <si>
    <t>承認済みの支払データを赤伝処理により取消し、再計上するときには元伝票を呼び出して再登録する機能</t>
    <rPh sb="0" eb="2">
      <t>ショウニン</t>
    </rPh>
    <rPh sb="2" eb="3">
      <t>ズ</t>
    </rPh>
    <rPh sb="5" eb="7">
      <t>シハライ</t>
    </rPh>
    <rPh sb="11" eb="13">
      <t>アカデン</t>
    </rPh>
    <rPh sb="13" eb="15">
      <t>ショリ</t>
    </rPh>
    <rPh sb="18" eb="20">
      <t>トリケシ</t>
    </rPh>
    <rPh sb="22" eb="23">
      <t>サイ</t>
    </rPh>
    <rPh sb="23" eb="25">
      <t>ケイジョウ</t>
    </rPh>
    <rPh sb="31" eb="32">
      <t>モト</t>
    </rPh>
    <rPh sb="32" eb="34">
      <t>デンピョウ</t>
    </rPh>
    <rPh sb="35" eb="36">
      <t>ヨ</t>
    </rPh>
    <rPh sb="37" eb="38">
      <t>ダ</t>
    </rPh>
    <rPh sb="40" eb="41">
      <t>サイ</t>
    </rPh>
    <rPh sb="41" eb="43">
      <t>トウロク</t>
    </rPh>
    <rPh sb="45" eb="47">
      <t>キノウ</t>
    </rPh>
    <phoneticPr fontId="44"/>
  </si>
  <si>
    <t>赤伝は別途紐づき無しで登録する必要がある。元の債務との紐づきは消込でのみ可。</t>
    <phoneticPr fontId="24"/>
  </si>
  <si>
    <t>国内・海外送金</t>
    <rPh sb="0" eb="2">
      <t>コクナイ</t>
    </rPh>
    <rPh sb="3" eb="5">
      <t>カイガイ</t>
    </rPh>
    <rPh sb="5" eb="7">
      <t>ソウキン</t>
    </rPh>
    <phoneticPr fontId="6"/>
  </si>
  <si>
    <t>送金データ作成</t>
    <rPh sb="0" eb="2">
      <t>ソウキン</t>
    </rPh>
    <rPh sb="5" eb="7">
      <t>サクセイ</t>
    </rPh>
    <phoneticPr fontId="24"/>
  </si>
  <si>
    <t>支払日に合わせて支払方法別・支払先別に、国内送金/海外送金のための送金データを自動作成できること</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24"/>
  </si>
  <si>
    <t>支払日毎に、支払方法別(ファクタリング・手形・電債・期日振込・全額振込)・支払先別に支払予定金額が集計されたうえで自動で国内送金/海外送金用の送金データを作成する機能</t>
    <rPh sb="0" eb="3">
      <t>シハライビ</t>
    </rPh>
    <rPh sb="3" eb="4">
      <t>ゴト</t>
    </rPh>
    <rPh sb="37" eb="41">
      <t>シハライサキベツ</t>
    </rPh>
    <rPh sb="57" eb="59">
      <t>ジドウ</t>
    </rPh>
    <rPh sb="60" eb="62">
      <t>コクナイ</t>
    </rPh>
    <rPh sb="62" eb="64">
      <t>ソウキン</t>
    </rPh>
    <rPh sb="65" eb="67">
      <t>カイガイ</t>
    </rPh>
    <rPh sb="67" eb="69">
      <t>ソウキン</t>
    </rPh>
    <rPh sb="69" eb="70">
      <t>ヨウ</t>
    </rPh>
    <rPh sb="71" eb="73">
      <t>ソウキン</t>
    </rPh>
    <rPh sb="77" eb="79">
      <t>サクセイ</t>
    </rPh>
    <rPh sb="81" eb="83">
      <t>キノウ</t>
    </rPh>
    <phoneticPr fontId="24"/>
  </si>
  <si>
    <t>FO標準画面「仕入先支払仕訳帳」(FO標準機能の支払機能)に支払日ごとに支払方法、支払先で金額が集計されたデータを登録。そこから送金データ(FB)を作成する機能は標準機能を使用する想定。</t>
    <rPh sb="2" eb="4">
      <t>ヒョウジュン</t>
    </rPh>
    <rPh sb="4" eb="6">
      <t>ガメン</t>
    </rPh>
    <rPh sb="7" eb="10">
      <t>シイレサキ</t>
    </rPh>
    <rPh sb="10" eb="14">
      <t>シハライシワケ</t>
    </rPh>
    <rPh sb="14" eb="15">
      <t>チョウ</t>
    </rPh>
    <rPh sb="19" eb="23">
      <t>ヒョウジュンキノウ</t>
    </rPh>
    <rPh sb="24" eb="26">
      <t>シハライ</t>
    </rPh>
    <rPh sb="26" eb="28">
      <t>キノウ</t>
    </rPh>
    <rPh sb="30" eb="32">
      <t>シハラ</t>
    </rPh>
    <rPh sb="32" eb="33">
      <t>ヒ</t>
    </rPh>
    <rPh sb="36" eb="38">
      <t>シハラ</t>
    </rPh>
    <rPh sb="38" eb="40">
      <t>ホウホウ</t>
    </rPh>
    <rPh sb="41" eb="43">
      <t>シハラ</t>
    </rPh>
    <rPh sb="43" eb="44">
      <t>サキ</t>
    </rPh>
    <rPh sb="45" eb="47">
      <t>キンガク</t>
    </rPh>
    <rPh sb="48" eb="50">
      <t>シュウケイ</t>
    </rPh>
    <rPh sb="57" eb="59">
      <t>トウロク</t>
    </rPh>
    <rPh sb="64" eb="66">
      <t>ソウキン</t>
    </rPh>
    <rPh sb="74" eb="76">
      <t>サクセイ</t>
    </rPh>
    <rPh sb="78" eb="80">
      <t>キノウ</t>
    </rPh>
    <rPh sb="81" eb="83">
      <t>ヒョウジュン</t>
    </rPh>
    <rPh sb="83" eb="85">
      <t>キノウ</t>
    </rPh>
    <rPh sb="86" eb="88">
      <t>シヨウ</t>
    </rPh>
    <rPh sb="90" eb="92">
      <t>ソウテイ</t>
    </rPh>
    <phoneticPr fontId="24"/>
  </si>
  <si>
    <t>支払仕訳転記</t>
    <rPh sb="2" eb="4">
      <t>シワケ</t>
    </rPh>
    <rPh sb="4" eb="6">
      <t>テンキ</t>
    </rPh>
    <phoneticPr fontId="24"/>
  </si>
  <si>
    <t>支払処理を行うことで、銀行システムへの送信データが作成・出力されると同時に、支払仕訳(買掛金/現預金)が同時に転記されること</t>
    <rPh sb="0" eb="2">
      <t>シハライ</t>
    </rPh>
    <rPh sb="2" eb="4">
      <t>ショリ</t>
    </rPh>
    <rPh sb="5" eb="6">
      <t>オコナ</t>
    </rPh>
    <rPh sb="11" eb="13">
      <t>ギンコウ</t>
    </rPh>
    <rPh sb="19" eb="21">
      <t>ソウシン</t>
    </rPh>
    <rPh sb="25" eb="27">
      <t>サクセイ</t>
    </rPh>
    <rPh sb="28" eb="30">
      <t>シュツリョク</t>
    </rPh>
    <rPh sb="34" eb="36">
      <t>ドウジ</t>
    </rPh>
    <rPh sb="38" eb="40">
      <t>シハライ</t>
    </rPh>
    <rPh sb="40" eb="42">
      <t>シワケ</t>
    </rPh>
    <rPh sb="43" eb="46">
      <t>カイカケキン</t>
    </rPh>
    <rPh sb="47" eb="50">
      <t>ゲンヨキン</t>
    </rPh>
    <rPh sb="52" eb="54">
      <t>ドウジ</t>
    </rPh>
    <rPh sb="55" eb="57">
      <t>テンキ</t>
    </rPh>
    <phoneticPr fontId="24"/>
  </si>
  <si>
    <t>支払処理をすることで送金データの作成と支払仕訳を転記する機能</t>
    <rPh sb="0" eb="2">
      <t>シハライ</t>
    </rPh>
    <rPh sb="2" eb="4">
      <t>ショリ</t>
    </rPh>
    <rPh sb="10" eb="12">
      <t>ソウキン</t>
    </rPh>
    <rPh sb="16" eb="18">
      <t>サクセイ</t>
    </rPh>
    <rPh sb="19" eb="21">
      <t>シハライ</t>
    </rPh>
    <rPh sb="21" eb="23">
      <t>シワケ</t>
    </rPh>
    <rPh sb="24" eb="26">
      <t>テンキ</t>
    </rPh>
    <rPh sb="28" eb="30">
      <t>キノウ</t>
    </rPh>
    <phoneticPr fontId="24"/>
  </si>
  <si>
    <t>口座引落</t>
    <rPh sb="0" eb="2">
      <t>コウザ</t>
    </rPh>
    <rPh sb="2" eb="4">
      <t>ヒキオトシ</t>
    </rPh>
    <phoneticPr fontId="6"/>
  </si>
  <si>
    <t>口座引落システムからの連携</t>
    <rPh sb="11" eb="13">
      <t>レンケイ</t>
    </rPh>
    <phoneticPr fontId="24"/>
  </si>
  <si>
    <t>口座引落システムに登録されている情報を会計システムに自動連携できること</t>
    <rPh sb="0" eb="4">
      <t>コウザヒキオトシ</t>
    </rPh>
    <rPh sb="9" eb="11">
      <t>トウロク</t>
    </rPh>
    <rPh sb="16" eb="18">
      <t>ジョウホウ</t>
    </rPh>
    <rPh sb="19" eb="21">
      <t>カイケイ</t>
    </rPh>
    <rPh sb="26" eb="28">
      <t>ジドウ</t>
    </rPh>
    <rPh sb="28" eb="30">
      <t>レンケイ</t>
    </rPh>
    <phoneticPr fontId="24"/>
  </si>
  <si>
    <t>口座引落システムとの連携機能</t>
    <rPh sb="0" eb="4">
      <t>コウザヒキオトシ</t>
    </rPh>
    <rPh sb="10" eb="12">
      <t>レンケイ</t>
    </rPh>
    <rPh sb="12" eb="14">
      <t>キノウ</t>
    </rPh>
    <phoneticPr fontId="24"/>
  </si>
  <si>
    <t>引落データの取込</t>
    <rPh sb="0" eb="2">
      <t>ヒキオトシ</t>
    </rPh>
    <rPh sb="6" eb="8">
      <t>トリコミ</t>
    </rPh>
    <phoneticPr fontId="24"/>
  </si>
  <si>
    <t>引落(支払)データを銀行システムから会計システムに自動取込できること</t>
    <rPh sb="0" eb="2">
      <t>ヒキオトシ</t>
    </rPh>
    <rPh sb="3" eb="5">
      <t>シハライ</t>
    </rPh>
    <rPh sb="10" eb="12">
      <t>ギンコウ</t>
    </rPh>
    <rPh sb="18" eb="20">
      <t>カイケイ</t>
    </rPh>
    <rPh sb="25" eb="27">
      <t>ジドウ</t>
    </rPh>
    <rPh sb="27" eb="29">
      <t>トリコミ</t>
    </rPh>
    <phoneticPr fontId="24"/>
  </si>
  <si>
    <t>銀行システムからの引落データ連携機能</t>
    <rPh sb="0" eb="2">
      <t>ギンコウ</t>
    </rPh>
    <rPh sb="9" eb="11">
      <t>ヒキオトシ</t>
    </rPh>
    <rPh sb="14" eb="16">
      <t>レンケイ</t>
    </rPh>
    <rPh sb="16" eb="18">
      <t>キノウ</t>
    </rPh>
    <phoneticPr fontId="24"/>
  </si>
  <si>
    <t>口座引落仕訳転記</t>
    <rPh sb="4" eb="6">
      <t>シワケ</t>
    </rPh>
    <rPh sb="6" eb="8">
      <t>テンキ</t>
    </rPh>
    <phoneticPr fontId="24"/>
  </si>
  <si>
    <t>口座引落システムから連携された情報と銀行システムから取り込まれた引落(支払)データをマッチングさせ仕訳転記できること</t>
    <rPh sb="0" eb="4">
      <t>コウザヒキオトシ</t>
    </rPh>
    <rPh sb="10" eb="12">
      <t>レンケイ</t>
    </rPh>
    <rPh sb="15" eb="17">
      <t>ジョウホウ</t>
    </rPh>
    <rPh sb="18" eb="20">
      <t>ギンコウ</t>
    </rPh>
    <rPh sb="26" eb="27">
      <t>ト</t>
    </rPh>
    <rPh sb="28" eb="29">
      <t>コ</t>
    </rPh>
    <rPh sb="32" eb="34">
      <t>ヒキオトシ</t>
    </rPh>
    <rPh sb="35" eb="37">
      <t>シハライ</t>
    </rPh>
    <rPh sb="49" eb="51">
      <t>シワケ</t>
    </rPh>
    <rPh sb="51" eb="53">
      <t>テンキ</t>
    </rPh>
    <phoneticPr fontId="24"/>
  </si>
  <si>
    <t>引落情報から仕訳を転記する機能</t>
    <rPh sb="0" eb="2">
      <t>ヒキオトシ</t>
    </rPh>
    <rPh sb="2" eb="4">
      <t>ジョウホウ</t>
    </rPh>
    <rPh sb="6" eb="8">
      <t>シワケ</t>
    </rPh>
    <rPh sb="9" eb="11">
      <t>テンキ</t>
    </rPh>
    <rPh sb="13" eb="15">
      <t>キノウ</t>
    </rPh>
    <phoneticPr fontId="24"/>
  </si>
  <si>
    <t>口座引落システムとの連携機能と仕訳自動作成機能、自動転記機能の開発。
連携方法に関しては、要件定義時に確認させていただきます。</t>
    <rPh sb="0" eb="2">
      <t>コウザ</t>
    </rPh>
    <rPh sb="2" eb="4">
      <t>ヒキオトシ</t>
    </rPh>
    <rPh sb="10" eb="12">
      <t>レンケイ</t>
    </rPh>
    <rPh sb="12" eb="14">
      <t>キノウ</t>
    </rPh>
    <rPh sb="15" eb="17">
      <t>シワケ</t>
    </rPh>
    <rPh sb="17" eb="19">
      <t>ジドウ</t>
    </rPh>
    <rPh sb="19" eb="21">
      <t>サクセイ</t>
    </rPh>
    <rPh sb="21" eb="23">
      <t>キノウ</t>
    </rPh>
    <rPh sb="24" eb="26">
      <t>ジドウ</t>
    </rPh>
    <rPh sb="26" eb="28">
      <t>テンキ</t>
    </rPh>
    <rPh sb="28" eb="30">
      <t>キノウ</t>
    </rPh>
    <rPh sb="31" eb="33">
      <t>カイハツ</t>
    </rPh>
    <rPh sb="35" eb="37">
      <t>レンケイ</t>
    </rPh>
    <rPh sb="37" eb="39">
      <t>ホウホウ</t>
    </rPh>
    <rPh sb="40" eb="41">
      <t>カン</t>
    </rPh>
    <rPh sb="45" eb="47">
      <t>ヨウケン</t>
    </rPh>
    <rPh sb="47" eb="49">
      <t>テイギ</t>
    </rPh>
    <rPh sb="49" eb="50">
      <t>ジ</t>
    </rPh>
    <rPh sb="51" eb="53">
      <t>カクニン</t>
    </rPh>
    <phoneticPr fontId="24"/>
  </si>
  <si>
    <t>支払情報参照</t>
    <rPh sb="0" eb="4">
      <t>シハライジョウホウ</t>
    </rPh>
    <rPh sb="4" eb="6">
      <t>サンショウ</t>
    </rPh>
    <phoneticPr fontId="6"/>
  </si>
  <si>
    <t>支払情報参照</t>
    <rPh sb="0" eb="2">
      <t>シハライ</t>
    </rPh>
    <rPh sb="2" eb="4">
      <t>ジョウホウ</t>
    </rPh>
    <rPh sb="4" eb="6">
      <t>サンショウ</t>
    </rPh>
    <phoneticPr fontId="24"/>
  </si>
  <si>
    <t>支払情報の照会ができること</t>
    <rPh sb="2" eb="4">
      <t>ジョウホウ</t>
    </rPh>
    <phoneticPr fontId="24"/>
  </si>
  <si>
    <t>支払先別・支払方法別に支払情報(品種・数量・金額・伝票内容等、債務計上時に登録した情報全般)を照会する機能</t>
    <rPh sb="5" eb="9">
      <t>シハライホウホウ</t>
    </rPh>
    <rPh sb="9" eb="10">
      <t>ベツ</t>
    </rPh>
    <phoneticPr fontId="45"/>
  </si>
  <si>
    <t>支払情報出力</t>
    <rPh sb="0" eb="2">
      <t>シハライ</t>
    </rPh>
    <rPh sb="2" eb="4">
      <t>ジョウホウ</t>
    </rPh>
    <rPh sb="4" eb="6">
      <t>シュツリョク</t>
    </rPh>
    <phoneticPr fontId="24"/>
  </si>
  <si>
    <t>支払方法別(ファクタリング・手形・電債・期日振込・全額振込)に支払情報が出力できること</t>
    <rPh sb="0" eb="2">
      <t>シハライ</t>
    </rPh>
    <rPh sb="2" eb="4">
      <t>ホウホウ</t>
    </rPh>
    <rPh sb="4" eb="5">
      <t>ベツ</t>
    </rPh>
    <rPh sb="31" eb="33">
      <t>シハライ</t>
    </rPh>
    <rPh sb="33" eb="35">
      <t>ジョウホウ</t>
    </rPh>
    <rPh sb="36" eb="38">
      <t>シュツリョク</t>
    </rPh>
    <phoneticPr fontId="24"/>
  </si>
  <si>
    <t>支払先別・支払方法別に支払情報(品種・数量・金額・伝票内容等、債務計上時に登録した情報全般)を出力する機能</t>
    <rPh sb="47" eb="49">
      <t>シュツリョク</t>
    </rPh>
    <rPh sb="51" eb="53">
      <t>キノウ</t>
    </rPh>
    <phoneticPr fontId="44"/>
  </si>
  <si>
    <t>請求書情報の修正内容が出力できること</t>
    <rPh sb="0" eb="3">
      <t>セイキュウショ</t>
    </rPh>
    <rPh sb="3" eb="5">
      <t>ジョウホウ</t>
    </rPh>
    <rPh sb="6" eb="8">
      <t>シュウセイ</t>
    </rPh>
    <rPh sb="8" eb="10">
      <t>ナイヨウ</t>
    </rPh>
    <rPh sb="11" eb="13">
      <t>シュツリョク</t>
    </rPh>
    <phoneticPr fontId="24"/>
  </si>
  <si>
    <t>請求書情報の修正前後の金額を含めたデータを出力する機能</t>
    <rPh sb="0" eb="3">
      <t>セイキュウショ</t>
    </rPh>
    <rPh sb="3" eb="5">
      <t>ジョウホウ</t>
    </rPh>
    <rPh sb="6" eb="8">
      <t>シュウセイ</t>
    </rPh>
    <rPh sb="8" eb="10">
      <t>ゼンゴ</t>
    </rPh>
    <rPh sb="11" eb="13">
      <t>キンガク</t>
    </rPh>
    <rPh sb="14" eb="15">
      <t>フク</t>
    </rPh>
    <rPh sb="21" eb="23">
      <t>シュツリョク</t>
    </rPh>
    <rPh sb="25" eb="27">
      <t>キノウ</t>
    </rPh>
    <phoneticPr fontId="44"/>
  </si>
  <si>
    <t>FO標準機能では、一度請求転記された仕訳自体の金額や日付を修正することはできず、赤伝処理が必要となります。
ただし、元黒、赤伝、新黒の伝票はデータ紐づきを持っているため、そこから修正前後のデータを確認することが可能です。帳票等でデータを出力する必要がある場合は、別途開発が必要となります。</t>
    <rPh sb="2" eb="6">
      <t>ヒョウジュンキノウ</t>
    </rPh>
    <rPh sb="9" eb="11">
      <t>イチド</t>
    </rPh>
    <rPh sb="11" eb="13">
      <t>セイキュウ</t>
    </rPh>
    <rPh sb="13" eb="15">
      <t>テンキ</t>
    </rPh>
    <rPh sb="18" eb="20">
      <t>シワケ</t>
    </rPh>
    <rPh sb="20" eb="22">
      <t>ジタイ</t>
    </rPh>
    <rPh sb="23" eb="25">
      <t>キンガク</t>
    </rPh>
    <rPh sb="26" eb="28">
      <t>ヒヅケ</t>
    </rPh>
    <rPh sb="29" eb="31">
      <t>シュウセイ</t>
    </rPh>
    <rPh sb="40" eb="42">
      <t>アカデン</t>
    </rPh>
    <rPh sb="42" eb="44">
      <t>ショリ</t>
    </rPh>
    <rPh sb="45" eb="47">
      <t>ヒツヨウ</t>
    </rPh>
    <rPh sb="58" eb="59">
      <t>モト</t>
    </rPh>
    <rPh sb="59" eb="60">
      <t>クロ</t>
    </rPh>
    <rPh sb="61" eb="63">
      <t>アカデン</t>
    </rPh>
    <rPh sb="64" eb="66">
      <t>シンクロ</t>
    </rPh>
    <rPh sb="67" eb="69">
      <t>デンピョウ</t>
    </rPh>
    <rPh sb="73" eb="74">
      <t>ヒモ</t>
    </rPh>
    <rPh sb="77" eb="78">
      <t>モ</t>
    </rPh>
    <rPh sb="89" eb="91">
      <t>シュウセイ</t>
    </rPh>
    <rPh sb="91" eb="93">
      <t>ゼンゴ</t>
    </rPh>
    <rPh sb="98" eb="100">
      <t>カクニン</t>
    </rPh>
    <rPh sb="105" eb="107">
      <t>カノウ</t>
    </rPh>
    <rPh sb="110" eb="112">
      <t>チョウヒョウ</t>
    </rPh>
    <rPh sb="112" eb="113">
      <t>トウ</t>
    </rPh>
    <rPh sb="118" eb="120">
      <t>シュツリョク</t>
    </rPh>
    <rPh sb="122" eb="124">
      <t>ヒツヨウ</t>
    </rPh>
    <rPh sb="127" eb="129">
      <t>バアイ</t>
    </rPh>
    <rPh sb="131" eb="133">
      <t>ベット</t>
    </rPh>
    <rPh sb="133" eb="135">
      <t>カイハツ</t>
    </rPh>
    <rPh sb="136" eb="138">
      <t>ヒツヨウ</t>
    </rPh>
    <phoneticPr fontId="24"/>
  </si>
  <si>
    <t>通知用の支払情報が出力できること</t>
    <rPh sb="0" eb="2">
      <t>ツウチ</t>
    </rPh>
    <rPh sb="2" eb="3">
      <t>ヨウ</t>
    </rPh>
    <rPh sb="4" eb="6">
      <t>シハライ</t>
    </rPh>
    <rPh sb="6" eb="8">
      <t>ジョウホウ</t>
    </rPh>
    <rPh sb="9" eb="11">
      <t>シュツリョク</t>
    </rPh>
    <phoneticPr fontId="24"/>
  </si>
  <si>
    <t>取引先に支払日と支払合計額を通知するための情報を出力する機能</t>
    <rPh sb="0" eb="3">
      <t>トリヒキサキ</t>
    </rPh>
    <rPh sb="4" eb="7">
      <t>シハライビ</t>
    </rPh>
    <rPh sb="8" eb="10">
      <t>シハライ</t>
    </rPh>
    <rPh sb="10" eb="13">
      <t>ゴウケイガク</t>
    </rPh>
    <rPh sb="14" eb="16">
      <t>ツウチ</t>
    </rPh>
    <rPh sb="21" eb="23">
      <t>ジョウホウ</t>
    </rPh>
    <rPh sb="24" eb="26">
      <t>シュツリョク</t>
    </rPh>
    <rPh sb="28" eb="30">
      <t>キノウ</t>
    </rPh>
    <phoneticPr fontId="24"/>
  </si>
  <si>
    <t>取引先ごとに支払日と支払合計額の一覧画面を開発。</t>
    <rPh sb="0" eb="2">
      <t>トリヒキ</t>
    </rPh>
    <rPh sb="2" eb="3">
      <t>サキ</t>
    </rPh>
    <rPh sb="6" eb="8">
      <t>シハライ</t>
    </rPh>
    <rPh sb="8" eb="9">
      <t>ヒ</t>
    </rPh>
    <rPh sb="10" eb="12">
      <t>シハラ</t>
    </rPh>
    <rPh sb="12" eb="14">
      <t>ゴウケイ</t>
    </rPh>
    <rPh sb="14" eb="15">
      <t>ガク</t>
    </rPh>
    <rPh sb="16" eb="18">
      <t>イチラン</t>
    </rPh>
    <rPh sb="18" eb="20">
      <t>ガメン</t>
    </rPh>
    <rPh sb="21" eb="23">
      <t>カイハツ</t>
    </rPh>
    <phoneticPr fontId="24"/>
  </si>
  <si>
    <t>残高明細表</t>
    <rPh sb="0" eb="2">
      <t>ザンダカ</t>
    </rPh>
    <rPh sb="2" eb="4">
      <t>メイサイ</t>
    </rPh>
    <rPh sb="4" eb="5">
      <t>ヒョウ</t>
    </rPh>
    <phoneticPr fontId="6"/>
  </si>
  <si>
    <t>残高明細表出力</t>
    <rPh sb="0" eb="2">
      <t>ザンダカ</t>
    </rPh>
    <rPh sb="2" eb="5">
      <t>メイサイヒョウ</t>
    </rPh>
    <rPh sb="5" eb="7">
      <t>シュツリョク</t>
    </rPh>
    <phoneticPr fontId="24"/>
  </si>
  <si>
    <t>債務残高明細表が出力できること</t>
    <rPh sb="0" eb="2">
      <t>サイムザンダカメイサイヒョウシュツリョク</t>
    </rPh>
    <phoneticPr fontId="24"/>
  </si>
  <si>
    <t>債務残高明細の情報を出力する機能</t>
    <rPh sb="0" eb="2">
      <t>サイム</t>
    </rPh>
    <rPh sb="2" eb="4">
      <t>ザンダカ</t>
    </rPh>
    <rPh sb="4" eb="6">
      <t>メイサイ</t>
    </rPh>
    <rPh sb="7" eb="9">
      <t>ジョウホウ</t>
    </rPh>
    <rPh sb="10" eb="12">
      <t>シュツリョク</t>
    </rPh>
    <rPh sb="14" eb="16">
      <t>キノウ</t>
    </rPh>
    <phoneticPr fontId="44"/>
  </si>
  <si>
    <t>伝票トランザクションにてフィルタして対応</t>
    <phoneticPr fontId="24"/>
  </si>
  <si>
    <t>残高明細表</t>
    <phoneticPr fontId="24"/>
  </si>
  <si>
    <t>残高差額情報出力</t>
    <rPh sb="2" eb="4">
      <t>サガク</t>
    </rPh>
    <rPh sb="4" eb="6">
      <t>ジョウホウ</t>
    </rPh>
    <phoneticPr fontId="24"/>
  </si>
  <si>
    <t>債務残高差額情報が出力できること</t>
    <rPh sb="2" eb="4">
      <t>ザンダカ</t>
    </rPh>
    <rPh sb="4" eb="6">
      <t>サガク</t>
    </rPh>
    <rPh sb="6" eb="8">
      <t>ジョウホウ</t>
    </rPh>
    <rPh sb="9" eb="11">
      <t>シュツリョク</t>
    </rPh>
    <phoneticPr fontId="24"/>
  </si>
  <si>
    <t>他システム間の債務残高差額情報を出力する機能</t>
    <rPh sb="0" eb="1">
      <t>タ</t>
    </rPh>
    <rPh sb="5" eb="6">
      <t>カン</t>
    </rPh>
    <rPh sb="7" eb="9">
      <t>サイム</t>
    </rPh>
    <rPh sb="9" eb="11">
      <t>ザンダカ</t>
    </rPh>
    <rPh sb="11" eb="13">
      <t>サガク</t>
    </rPh>
    <rPh sb="13" eb="15">
      <t>ジョウホウ</t>
    </rPh>
    <rPh sb="16" eb="18">
      <t>シュツリョク</t>
    </rPh>
    <rPh sb="20" eb="22">
      <t>キノウ</t>
    </rPh>
    <phoneticPr fontId="24"/>
  </si>
  <si>
    <t>他システムとの債務残高差額情報の出力機能を開発。
他システムとの連携方法に関しては、要件定義時に確認させていただきます。</t>
    <rPh sb="0" eb="1">
      <t>タ</t>
    </rPh>
    <rPh sb="7" eb="9">
      <t>サイム</t>
    </rPh>
    <rPh sb="9" eb="11">
      <t>ザンダカ</t>
    </rPh>
    <rPh sb="11" eb="13">
      <t>サガク</t>
    </rPh>
    <rPh sb="13" eb="15">
      <t>ジョウホウ</t>
    </rPh>
    <rPh sb="16" eb="18">
      <t>シュツリョク</t>
    </rPh>
    <rPh sb="18" eb="20">
      <t>キノウ</t>
    </rPh>
    <rPh sb="21" eb="23">
      <t>カイハツ</t>
    </rPh>
    <rPh sb="25" eb="26">
      <t>タ</t>
    </rPh>
    <rPh sb="32" eb="34">
      <t>レンケイ</t>
    </rPh>
    <rPh sb="34" eb="36">
      <t>ホウホウ</t>
    </rPh>
    <rPh sb="37" eb="38">
      <t>カン</t>
    </rPh>
    <rPh sb="42" eb="44">
      <t>ヨウケン</t>
    </rPh>
    <rPh sb="44" eb="46">
      <t>テイギ</t>
    </rPh>
    <rPh sb="46" eb="47">
      <t>ジ</t>
    </rPh>
    <rPh sb="48" eb="50">
      <t>カクニン</t>
    </rPh>
    <phoneticPr fontId="24"/>
  </si>
  <si>
    <t>従業員別債務残高出力</t>
    <rPh sb="0" eb="4">
      <t>ジュウギョウインベツ</t>
    </rPh>
    <rPh sb="4" eb="8">
      <t>サイムザンダカ</t>
    </rPh>
    <phoneticPr fontId="24"/>
  </si>
  <si>
    <t>従業員別債務残高が出力できること</t>
    <rPh sb="0" eb="3">
      <t>ジュウギョウイン</t>
    </rPh>
    <rPh sb="3" eb="4">
      <t>ベツ</t>
    </rPh>
    <rPh sb="4" eb="6">
      <t>サイム</t>
    </rPh>
    <rPh sb="6" eb="8">
      <t>ザンダカ</t>
    </rPh>
    <rPh sb="9" eb="11">
      <t>シュツリョク</t>
    </rPh>
    <phoneticPr fontId="24"/>
  </si>
  <si>
    <t>従業員別債務残高データを出力する機能</t>
    <rPh sb="4" eb="6">
      <t>サイム</t>
    </rPh>
    <rPh sb="6" eb="8">
      <t>ザンダカ</t>
    </rPh>
    <phoneticPr fontId="24"/>
  </si>
  <si>
    <t>預り保証金</t>
    <rPh sb="0" eb="1">
      <t>アズ</t>
    </rPh>
    <rPh sb="2" eb="5">
      <t>ホショウキン</t>
    </rPh>
    <phoneticPr fontId="24"/>
  </si>
  <si>
    <t>預り保証金の残高証明書が出力でき、利息計算及び計算書が出力できること</t>
    <rPh sb="0" eb="1">
      <t>アズ</t>
    </rPh>
    <rPh sb="2" eb="5">
      <t>ホショウキン</t>
    </rPh>
    <rPh sb="6" eb="8">
      <t>ザンダカ</t>
    </rPh>
    <rPh sb="8" eb="10">
      <t>ショウメイ</t>
    </rPh>
    <rPh sb="10" eb="11">
      <t>ショ</t>
    </rPh>
    <rPh sb="12" eb="14">
      <t>シュツリョク</t>
    </rPh>
    <rPh sb="17" eb="21">
      <t>リソクケイサン</t>
    </rPh>
    <rPh sb="21" eb="22">
      <t>オヨ</t>
    </rPh>
    <rPh sb="23" eb="26">
      <t>ケイサンショ</t>
    </rPh>
    <rPh sb="27" eb="29">
      <t>シュツリョク</t>
    </rPh>
    <phoneticPr fontId="24"/>
  </si>
  <si>
    <t>預かり保証金の残高証明、利息計算及び計算書を出力する機能</t>
    <rPh sb="26" eb="28">
      <t>キノウ</t>
    </rPh>
    <phoneticPr fontId="24"/>
  </si>
  <si>
    <t>会計システムアドオン</t>
    <phoneticPr fontId="24"/>
  </si>
  <si>
    <t>新規帳票として、「預かり保証金の残高証明」と「利息計算及び計算書」を開発。</t>
    <rPh sb="0" eb="2">
      <t>シンキ</t>
    </rPh>
    <rPh sb="2" eb="4">
      <t>チョウヒョウ</t>
    </rPh>
    <rPh sb="9" eb="10">
      <t>アズ</t>
    </rPh>
    <rPh sb="12" eb="15">
      <t>ホショウキン</t>
    </rPh>
    <rPh sb="16" eb="18">
      <t>ザンダカ</t>
    </rPh>
    <rPh sb="18" eb="20">
      <t>ショウメイ</t>
    </rPh>
    <rPh sb="23" eb="25">
      <t>リソク</t>
    </rPh>
    <rPh sb="25" eb="27">
      <t>ケイサン</t>
    </rPh>
    <rPh sb="27" eb="28">
      <t>オヨ</t>
    </rPh>
    <rPh sb="29" eb="32">
      <t>ケイサンショ</t>
    </rPh>
    <rPh sb="34" eb="36">
      <t>カイハツ</t>
    </rPh>
    <phoneticPr fontId="24"/>
  </si>
  <si>
    <t>ワークフロー</t>
    <phoneticPr fontId="24"/>
  </si>
  <si>
    <t>請求書処理ワークフロー</t>
    <rPh sb="0" eb="3">
      <t>セイキュウショ</t>
    </rPh>
    <rPh sb="3" eb="5">
      <t>ショリ</t>
    </rPh>
    <phoneticPr fontId="24"/>
  </si>
  <si>
    <t>請求書処理のワークフローが管理できること</t>
    <rPh sb="0" eb="3">
      <t>セイキュウショ</t>
    </rPh>
    <rPh sb="3" eb="5">
      <t>ショリ</t>
    </rPh>
    <rPh sb="13" eb="15">
      <t>カンリ</t>
    </rPh>
    <phoneticPr fontId="24"/>
  </si>
  <si>
    <t>支払に関するワークフロー管理機能</t>
    <phoneticPr fontId="24"/>
  </si>
  <si>
    <t>その他</t>
    <rPh sb="2" eb="3">
      <t>タ</t>
    </rPh>
    <phoneticPr fontId="24"/>
  </si>
  <si>
    <t>発注検収～支払機能</t>
    <rPh sb="0" eb="2">
      <t>ハッチュウ</t>
    </rPh>
    <rPh sb="2" eb="4">
      <t>ケンシュウ</t>
    </rPh>
    <rPh sb="5" eb="7">
      <t>シハライ</t>
    </rPh>
    <rPh sb="7" eb="9">
      <t>キノウ</t>
    </rPh>
    <phoneticPr fontId="24"/>
  </si>
  <si>
    <t>発注・検収から支払までの情報が閲覧できること</t>
    <rPh sb="0" eb="2">
      <t>ハッチュウ</t>
    </rPh>
    <rPh sb="3" eb="5">
      <t>ケンシュウ</t>
    </rPh>
    <rPh sb="7" eb="9">
      <t>シハライ</t>
    </rPh>
    <rPh sb="12" eb="14">
      <t>ジョウホウ</t>
    </rPh>
    <rPh sb="15" eb="17">
      <t>エツラン</t>
    </rPh>
    <phoneticPr fontId="24"/>
  </si>
  <si>
    <t>上流の購買システムで発注検収時に入力されたデータを閲覧できること</t>
    <rPh sb="0" eb="2">
      <t>ジョウリュウ</t>
    </rPh>
    <phoneticPr fontId="45"/>
  </si>
  <si>
    <t>マスタ管理</t>
    <rPh sb="3" eb="5">
      <t>カンリ</t>
    </rPh>
    <phoneticPr fontId="24"/>
  </si>
  <si>
    <t>マスタ管理・更新機能</t>
    <rPh sb="3" eb="5">
      <t>カンリ</t>
    </rPh>
    <rPh sb="6" eb="8">
      <t>コウシン</t>
    </rPh>
    <rPh sb="8" eb="10">
      <t>キノウ</t>
    </rPh>
    <phoneticPr fontId="24"/>
  </si>
  <si>
    <t>債務管理に必要なマスタを管理・更新できること</t>
    <rPh sb="0" eb="2">
      <t>サイム</t>
    </rPh>
    <rPh sb="2" eb="4">
      <t>カンリ</t>
    </rPh>
    <rPh sb="5" eb="7">
      <t>ヒツヨウ</t>
    </rPh>
    <rPh sb="12" eb="14">
      <t>カンリ</t>
    </rPh>
    <phoneticPr fontId="24"/>
  </si>
  <si>
    <t>画面からマスタ更新を行う機能</t>
    <rPh sb="0" eb="2">
      <t>ガメン</t>
    </rPh>
    <rPh sb="7" eb="9">
      <t>コウシン</t>
    </rPh>
    <rPh sb="10" eb="11">
      <t>オコナ</t>
    </rPh>
    <rPh sb="12" eb="14">
      <t>キノウ</t>
    </rPh>
    <phoneticPr fontId="24"/>
  </si>
  <si>
    <t>支払に必要な情報保持</t>
    <rPh sb="0" eb="2">
      <t>シハライ</t>
    </rPh>
    <rPh sb="3" eb="5">
      <t>ヒツヨウ</t>
    </rPh>
    <rPh sb="6" eb="8">
      <t>ジョウホウ</t>
    </rPh>
    <rPh sb="8" eb="10">
      <t>ホジ</t>
    </rPh>
    <phoneticPr fontId="24"/>
  </si>
  <si>
    <t>国内/海外送金に必要な情報(支払サイト、支払口座情報、SWIFTコード等)を保持できること</t>
    <rPh sb="0" eb="2">
      <t>コクナイ</t>
    </rPh>
    <rPh sb="3" eb="5">
      <t>カイガイ</t>
    </rPh>
    <rPh sb="5" eb="7">
      <t>ソウキン</t>
    </rPh>
    <rPh sb="8" eb="10">
      <t>ヒツヨウ</t>
    </rPh>
    <rPh sb="11" eb="13">
      <t>ジョウホウ</t>
    </rPh>
    <rPh sb="14" eb="16">
      <t>シハライ</t>
    </rPh>
    <rPh sb="20" eb="22">
      <t>シハライ</t>
    </rPh>
    <rPh sb="22" eb="26">
      <t>コウザジョウホウ</t>
    </rPh>
    <rPh sb="35" eb="36">
      <t>ナド</t>
    </rPh>
    <rPh sb="38" eb="40">
      <t>ホジ</t>
    </rPh>
    <phoneticPr fontId="24"/>
  </si>
  <si>
    <t>国内/海外の送金データの作成に必要なマスタを保持する機能</t>
    <rPh sb="0" eb="2">
      <t>コクナイ</t>
    </rPh>
    <rPh sb="3" eb="5">
      <t>カイガイ</t>
    </rPh>
    <rPh sb="6" eb="8">
      <t>ソウキン</t>
    </rPh>
    <rPh sb="12" eb="14">
      <t>サクセイ</t>
    </rPh>
    <rPh sb="15" eb="17">
      <t>ヒツヨウ</t>
    </rPh>
    <rPh sb="22" eb="24">
      <t>ホジ</t>
    </rPh>
    <rPh sb="26" eb="28">
      <t>キノウ</t>
    </rPh>
    <phoneticPr fontId="24"/>
  </si>
  <si>
    <t>FO標準の範囲で対応可能な限り</t>
    <rPh sb="5" eb="7">
      <t>ハンイ</t>
    </rPh>
    <rPh sb="8" eb="10">
      <t>タイオウ</t>
    </rPh>
    <rPh sb="10" eb="12">
      <t>カノウ</t>
    </rPh>
    <rPh sb="13" eb="14">
      <t>カギ</t>
    </rPh>
    <phoneticPr fontId="24"/>
  </si>
  <si>
    <t>現金入出金</t>
    <phoneticPr fontId="24"/>
  </si>
  <si>
    <t>現金集計表作成</t>
    <phoneticPr fontId="24"/>
  </si>
  <si>
    <t>対象期間の現金入出金伝票をもとに現金集計表(入出金の履歴が分かる資料)を作成できること</t>
    <rPh sb="16" eb="21">
      <t>ゲンキンシュウケイヒョウ</t>
    </rPh>
    <rPh sb="22" eb="25">
      <t>ニュウシュッキン</t>
    </rPh>
    <rPh sb="26" eb="28">
      <t>リレキ</t>
    </rPh>
    <rPh sb="29" eb="30">
      <t>ワ</t>
    </rPh>
    <rPh sb="32" eb="34">
      <t>シリョウ</t>
    </rPh>
    <rPh sb="36" eb="38">
      <t>サクセイ</t>
    </rPh>
    <phoneticPr fontId="24"/>
  </si>
  <si>
    <t>現金の入出金履歴を集計表として作成・管理する機能</t>
    <rPh sb="0" eb="2">
      <t>ゲンキン</t>
    </rPh>
    <rPh sb="3" eb="6">
      <t>ニュウシュッキン</t>
    </rPh>
    <rPh sb="6" eb="8">
      <t>リレキ</t>
    </rPh>
    <rPh sb="9" eb="12">
      <t>シュウケイヒョウ</t>
    </rPh>
    <rPh sb="15" eb="17">
      <t>サクセイ</t>
    </rPh>
    <rPh sb="18" eb="20">
      <t>カンリ</t>
    </rPh>
    <rPh sb="22" eb="24">
      <t>キノウ</t>
    </rPh>
    <phoneticPr fontId="24"/>
  </si>
  <si>
    <t>現金入出金</t>
  </si>
  <si>
    <t>現金出納帳作成</t>
    <rPh sb="0" eb="2">
      <t>ゲンキン</t>
    </rPh>
    <rPh sb="2" eb="5">
      <t>スイトウチョウ</t>
    </rPh>
    <rPh sb="5" eb="7">
      <t>サクセイ</t>
    </rPh>
    <phoneticPr fontId="24"/>
  </si>
  <si>
    <t>対象期間の現金入出金伝票をもとに現金出納帳(入出金集計後の現金残高が分かる資料)を作成できること</t>
    <rPh sb="16" eb="18">
      <t>ゲンキン</t>
    </rPh>
    <rPh sb="18" eb="21">
      <t>スイトウチョウ</t>
    </rPh>
    <rPh sb="22" eb="25">
      <t>ニュウシュッキン</t>
    </rPh>
    <rPh sb="25" eb="27">
      <t>シュウケイ</t>
    </rPh>
    <rPh sb="27" eb="28">
      <t>ゴ</t>
    </rPh>
    <rPh sb="29" eb="33">
      <t>ゲンキンザンダカ</t>
    </rPh>
    <rPh sb="34" eb="35">
      <t>ワ</t>
    </rPh>
    <rPh sb="37" eb="39">
      <t>シリョウ</t>
    </rPh>
    <rPh sb="41" eb="43">
      <t>サクセイ</t>
    </rPh>
    <phoneticPr fontId="24"/>
  </si>
  <si>
    <t>現金の入出金履歴を出納帳として作成・管理する機能</t>
    <rPh sb="0" eb="2">
      <t>ゲンキン</t>
    </rPh>
    <rPh sb="3" eb="6">
      <t>ニュウシュッキン</t>
    </rPh>
    <rPh sb="6" eb="8">
      <t>リレキ</t>
    </rPh>
    <rPh sb="9" eb="12">
      <t>スイトウチョウ</t>
    </rPh>
    <rPh sb="15" eb="17">
      <t>サクセイ</t>
    </rPh>
    <rPh sb="18" eb="20">
      <t>カンリ</t>
    </rPh>
    <rPh sb="22" eb="24">
      <t>キノウ</t>
    </rPh>
    <phoneticPr fontId="24"/>
  </si>
  <si>
    <t>預金入出金</t>
    <rPh sb="0" eb="2">
      <t>ヨキン</t>
    </rPh>
    <rPh sb="2" eb="5">
      <t>ニュウシュッキン</t>
    </rPh>
    <phoneticPr fontId="24"/>
  </si>
  <si>
    <t>現金入出金伝票データの連携</t>
    <rPh sb="0" eb="2">
      <t>ゲンキン</t>
    </rPh>
    <rPh sb="2" eb="5">
      <t>ニュウシュッキン</t>
    </rPh>
    <rPh sb="5" eb="7">
      <t>デンピョウ</t>
    </rPh>
    <rPh sb="11" eb="13">
      <t>レンケイ</t>
    </rPh>
    <phoneticPr fontId="24"/>
  </si>
  <si>
    <t>経費管理システムで処理した現金の入出金伝票データを現金残高情報として連携できること</t>
    <rPh sb="0" eb="4">
      <t>ケイヒカンリ</t>
    </rPh>
    <rPh sb="9" eb="11">
      <t>ショリ</t>
    </rPh>
    <rPh sb="13" eb="15">
      <t>ゲンキン</t>
    </rPh>
    <rPh sb="16" eb="19">
      <t>ニュウシュッキン</t>
    </rPh>
    <rPh sb="19" eb="21">
      <t>デンピョウ</t>
    </rPh>
    <rPh sb="25" eb="27">
      <t>ゲンキン</t>
    </rPh>
    <rPh sb="27" eb="29">
      <t>ザンダカ</t>
    </rPh>
    <rPh sb="29" eb="31">
      <t>ジョウホウ</t>
    </rPh>
    <rPh sb="34" eb="36">
      <t>レンケイ</t>
    </rPh>
    <phoneticPr fontId="24"/>
  </si>
  <si>
    <t>経費管理システムから承認された現金の入出金伝票を連携する機能</t>
    <rPh sb="0" eb="4">
      <t>ケイヒカンリ</t>
    </rPh>
    <rPh sb="10" eb="12">
      <t>ショウニン</t>
    </rPh>
    <rPh sb="15" eb="17">
      <t>ゲンキン</t>
    </rPh>
    <rPh sb="18" eb="23">
      <t>ニュウシュッキンデンピョウ</t>
    </rPh>
    <rPh sb="24" eb="26">
      <t>レンケイ</t>
    </rPh>
    <rPh sb="28" eb="30">
      <t>キノウ</t>
    </rPh>
    <phoneticPr fontId="24"/>
  </si>
  <si>
    <t>FO標準機能のExcelアドイン機能を利用して、経費精算システムからの現金の入出金伝票をExcelに貼り付けることで、会計仕訳を登録し、手動で計上することで標準機能にて対応可能。自動連携、計上の場合は開発が必要となる。</t>
    <phoneticPr fontId="24"/>
  </si>
  <si>
    <t>銀行引落手数料計上</t>
    <rPh sb="0" eb="2">
      <t>ギンコウ</t>
    </rPh>
    <rPh sb="2" eb="4">
      <t>ヒキオトシ</t>
    </rPh>
    <rPh sb="4" eb="7">
      <t>テスウリョウ</t>
    </rPh>
    <rPh sb="7" eb="9">
      <t>ケイジョウ</t>
    </rPh>
    <phoneticPr fontId="24"/>
  </si>
  <si>
    <t>資金集中管理システムから出力される銀行引落手数料の仕訳を転記できること（資金集中管理システムから銀行引落手数料の情報をCSVで出力し加工後会計システムにアップロードする）</t>
    <rPh sb="0" eb="2">
      <t>シキン</t>
    </rPh>
    <rPh sb="2" eb="4">
      <t>シュウチュウ</t>
    </rPh>
    <rPh sb="4" eb="6">
      <t>カンリ</t>
    </rPh>
    <rPh sb="12" eb="14">
      <t>シュツリョク</t>
    </rPh>
    <rPh sb="17" eb="19">
      <t>ギンコウ</t>
    </rPh>
    <rPh sb="19" eb="21">
      <t>ヒキオトシ</t>
    </rPh>
    <rPh sb="21" eb="24">
      <t>テスウリョウ</t>
    </rPh>
    <rPh sb="25" eb="27">
      <t>シワケ</t>
    </rPh>
    <rPh sb="28" eb="30">
      <t>テンキ</t>
    </rPh>
    <rPh sb="36" eb="40">
      <t>シキンシュウチュウ</t>
    </rPh>
    <rPh sb="40" eb="42">
      <t>カンリ</t>
    </rPh>
    <rPh sb="66" eb="68">
      <t>カコウ</t>
    </rPh>
    <rPh sb="68" eb="69">
      <t>ゴ</t>
    </rPh>
    <rPh sb="74" eb="76">
      <t>シュツリョク</t>
    </rPh>
    <rPh sb="81" eb="83">
      <t>カイケイ</t>
    </rPh>
    <phoneticPr fontId="24"/>
  </si>
  <si>
    <t>明細出力機能
CSVアップロード機能</t>
    <rPh sb="0" eb="6">
      <t>メイサイシュツリョクキノウ</t>
    </rPh>
    <rPh sb="16" eb="18">
      <t>キノウ</t>
    </rPh>
    <phoneticPr fontId="24"/>
  </si>
  <si>
    <t>FO標準機能のExcelアドイン機能を利用して、資金集中管理システムから銀行引落手数料の情報をExcelに貼り付けることで、会計仕訳を登録し、手動で計上することで標準機能にて対応可能。自動連携、計上の場合は開発が必要となる。</t>
    <phoneticPr fontId="24"/>
  </si>
  <si>
    <t>預金決算利息計上</t>
    <phoneticPr fontId="24"/>
  </si>
  <si>
    <t>資金集中管理システムから出力される預金決算利息の仕訳を転記できること（資金集中管理システムから銀行引落手数料の情報をCSVで出力し加工後会計システムにアップロードする）</t>
    <rPh sb="0" eb="2">
      <t>シキン</t>
    </rPh>
    <rPh sb="2" eb="4">
      <t>シュウチュウ</t>
    </rPh>
    <rPh sb="4" eb="6">
      <t>カンリ</t>
    </rPh>
    <rPh sb="12" eb="14">
      <t>シュツリョク</t>
    </rPh>
    <rPh sb="17" eb="19">
      <t>ヨキン</t>
    </rPh>
    <rPh sb="19" eb="21">
      <t>ケッサン</t>
    </rPh>
    <rPh sb="21" eb="23">
      <t>リソク</t>
    </rPh>
    <rPh sb="24" eb="26">
      <t>シワケ</t>
    </rPh>
    <rPh sb="27" eb="29">
      <t>テンキ</t>
    </rPh>
    <rPh sb="35" eb="39">
      <t>シキンシュウチュウ</t>
    </rPh>
    <rPh sb="39" eb="41">
      <t>カンリ</t>
    </rPh>
    <rPh sb="65" eb="67">
      <t>カコウ</t>
    </rPh>
    <rPh sb="67" eb="68">
      <t>ゴ</t>
    </rPh>
    <rPh sb="73" eb="75">
      <t>シュツリョク</t>
    </rPh>
    <rPh sb="80" eb="82">
      <t>カイケイ</t>
    </rPh>
    <phoneticPr fontId="24"/>
  </si>
  <si>
    <t>預金残高照合</t>
    <rPh sb="0" eb="4">
      <t>ヨキンザンダカ</t>
    </rPh>
    <rPh sb="4" eb="6">
      <t>ショウゴウ</t>
    </rPh>
    <phoneticPr fontId="24"/>
  </si>
  <si>
    <t>照合</t>
    <rPh sb="0" eb="2">
      <t>ショウゴウ</t>
    </rPh>
    <phoneticPr fontId="24"/>
  </si>
  <si>
    <t>入出金データをもとに預金残高情報が確認できること</t>
    <rPh sb="0" eb="3">
      <t>ニュウシュッキン</t>
    </rPh>
    <rPh sb="10" eb="14">
      <t>ヨキンザンダカ</t>
    </rPh>
    <rPh sb="14" eb="16">
      <t>ジョウホウ</t>
    </rPh>
    <rPh sb="17" eb="19">
      <t>カクニン</t>
    </rPh>
    <phoneticPr fontId="24"/>
  </si>
  <si>
    <t>預金残高情報の出力機能</t>
    <rPh sb="0" eb="2">
      <t>ヨキン</t>
    </rPh>
    <rPh sb="2" eb="4">
      <t>ザンダカ</t>
    </rPh>
    <rPh sb="4" eb="6">
      <t>ジョウホウ</t>
    </rPh>
    <rPh sb="7" eb="9">
      <t>シュツリョク</t>
    </rPh>
    <rPh sb="9" eb="11">
      <t>キノウ</t>
    </rPh>
    <phoneticPr fontId="24"/>
  </si>
  <si>
    <t>勘定科目一覧画面を使用</t>
    <rPh sb="0" eb="6">
      <t>カンジョウカモクイチラン</t>
    </rPh>
    <rPh sb="6" eb="8">
      <t>ガメン</t>
    </rPh>
    <rPh sb="9" eb="11">
      <t>シヨウ</t>
    </rPh>
    <phoneticPr fontId="24"/>
  </si>
  <si>
    <t>会計システムから伝票セレクト（資金管理）レポートを出力できること</t>
    <rPh sb="0" eb="2">
      <t>カイケイ</t>
    </rPh>
    <rPh sb="8" eb="10">
      <t>デンピョウ</t>
    </rPh>
    <rPh sb="15" eb="19">
      <t>シキンカンリ</t>
    </rPh>
    <rPh sb="25" eb="27">
      <t>シュツリョク</t>
    </rPh>
    <phoneticPr fontId="24"/>
  </si>
  <si>
    <t>銀行口座別入出金明細の出力機能</t>
    <rPh sb="0" eb="2">
      <t>ギンコウ</t>
    </rPh>
    <rPh sb="2" eb="4">
      <t>コウザ</t>
    </rPh>
    <rPh sb="4" eb="5">
      <t>ベツ</t>
    </rPh>
    <rPh sb="5" eb="8">
      <t>ニュウシュッキン</t>
    </rPh>
    <rPh sb="8" eb="10">
      <t>メイサイ</t>
    </rPh>
    <rPh sb="11" eb="13">
      <t>シュツリョク</t>
    </rPh>
    <rPh sb="13" eb="15">
      <t>キノウ</t>
    </rPh>
    <phoneticPr fontId="24"/>
  </si>
  <si>
    <t>銀行トランザクションにてフィルタしてExcel出力での対応</t>
    <rPh sb="0" eb="2">
      <t>ギンコウ</t>
    </rPh>
    <phoneticPr fontId="24"/>
  </si>
  <si>
    <t>G/Lの預金勘定残高を出力できること</t>
    <rPh sb="4" eb="6">
      <t>ヨキン</t>
    </rPh>
    <rPh sb="6" eb="10">
      <t>カンジョウザンダカ</t>
    </rPh>
    <rPh sb="11" eb="13">
      <t>シュツリョク</t>
    </rPh>
    <phoneticPr fontId="24"/>
  </si>
  <si>
    <t>G/L残高情報の出力機能</t>
    <rPh sb="3" eb="5">
      <t>ザンダカ</t>
    </rPh>
    <rPh sb="5" eb="7">
      <t>ジョウホウ</t>
    </rPh>
    <rPh sb="8" eb="12">
      <t>シュツリョクキノウ</t>
    </rPh>
    <phoneticPr fontId="24"/>
  </si>
  <si>
    <t>預金残高確認</t>
    <rPh sb="0" eb="4">
      <t>ヨキンザンダカ</t>
    </rPh>
    <rPh sb="4" eb="6">
      <t>カクニン</t>
    </rPh>
    <phoneticPr fontId="24"/>
  </si>
  <si>
    <t>金融機関別・通貨別</t>
    <rPh sb="0" eb="5">
      <t>キンユウキカンベツ</t>
    </rPh>
    <rPh sb="6" eb="9">
      <t>ツウカベツ</t>
    </rPh>
    <phoneticPr fontId="24"/>
  </si>
  <si>
    <t>月末の金融機関別・通貨別預金残高の実績が収集・確認できること</t>
    <rPh sb="17" eb="19">
      <t>ジッセキ</t>
    </rPh>
    <phoneticPr fontId="24"/>
  </si>
  <si>
    <t>月末の金融機関別・通貨別預金残高の実績が集計・表示される機能</t>
    <rPh sb="17" eb="19">
      <t>ジッセキ</t>
    </rPh>
    <rPh sb="20" eb="22">
      <t>シュウケイ</t>
    </rPh>
    <rPh sb="23" eb="25">
      <t>ヒョウジ</t>
    </rPh>
    <rPh sb="28" eb="30">
      <t>キノウ</t>
    </rPh>
    <phoneticPr fontId="24"/>
  </si>
  <si>
    <t>金融機関別・口座別</t>
    <rPh sb="0" eb="5">
      <t>キンユウキカンベツ</t>
    </rPh>
    <rPh sb="6" eb="8">
      <t>コウザ</t>
    </rPh>
    <rPh sb="8" eb="9">
      <t>ベツ</t>
    </rPh>
    <phoneticPr fontId="24"/>
  </si>
  <si>
    <t>月末の金融機関別・口座別預金残高の実績が収集・確認できること</t>
    <rPh sb="9" eb="11">
      <t>コウザ</t>
    </rPh>
    <rPh sb="17" eb="19">
      <t>ジッセキ</t>
    </rPh>
    <phoneticPr fontId="24"/>
  </si>
  <si>
    <t>月末の金融機関別・口座別預金残高の実績が集計・表示される機能</t>
    <rPh sb="9" eb="11">
      <t>コウザ</t>
    </rPh>
    <rPh sb="17" eb="19">
      <t>ジッセキ</t>
    </rPh>
    <rPh sb="20" eb="22">
      <t>シュウケイ</t>
    </rPh>
    <rPh sb="23" eb="25">
      <t>ヒョウジ</t>
    </rPh>
    <rPh sb="28" eb="30">
      <t>キノウ</t>
    </rPh>
    <phoneticPr fontId="24"/>
  </si>
  <si>
    <t>日別資金繰</t>
    <rPh sb="0" eb="1">
      <t>ヒ</t>
    </rPh>
    <rPh sb="1" eb="2">
      <t>ベツ</t>
    </rPh>
    <phoneticPr fontId="24"/>
  </si>
  <si>
    <t>情報収集</t>
    <rPh sb="0" eb="2">
      <t>ジョウホウ</t>
    </rPh>
    <rPh sb="2" eb="4">
      <t>シュウシュウ</t>
    </rPh>
    <phoneticPr fontId="24"/>
  </si>
  <si>
    <t>日別資金繰管理対象口座だけの現預金残高を確認できること</t>
    <rPh sb="0" eb="5">
      <t>ニチベツシキング</t>
    </rPh>
    <rPh sb="5" eb="7">
      <t>カンリ</t>
    </rPh>
    <rPh sb="7" eb="9">
      <t>タイショウ</t>
    </rPh>
    <rPh sb="9" eb="11">
      <t>コウザ</t>
    </rPh>
    <rPh sb="14" eb="17">
      <t>ゲンヨキン</t>
    </rPh>
    <rPh sb="17" eb="19">
      <t>ザンダカ</t>
    </rPh>
    <rPh sb="20" eb="22">
      <t>カクニン</t>
    </rPh>
    <phoneticPr fontId="24"/>
  </si>
  <si>
    <t>口座ごとに残高を表示する機能</t>
    <rPh sb="0" eb="2">
      <t>コウザ</t>
    </rPh>
    <rPh sb="5" eb="7">
      <t>ザンダカ</t>
    </rPh>
    <rPh sb="8" eb="10">
      <t>ヒョウジ</t>
    </rPh>
    <rPh sb="12" eb="14">
      <t>キノウ</t>
    </rPh>
    <phoneticPr fontId="24"/>
  </si>
  <si>
    <t>得意先別回収見込額一覧を出力できること</t>
    <rPh sb="0" eb="4">
      <t>トクイサキベツ</t>
    </rPh>
    <rPh sb="4" eb="6">
      <t>カイシュウ</t>
    </rPh>
    <rPh sb="6" eb="8">
      <t>ミコ</t>
    </rPh>
    <rPh sb="8" eb="9">
      <t>ガク</t>
    </rPh>
    <rPh sb="9" eb="11">
      <t>イチラン</t>
    </rPh>
    <rPh sb="12" eb="14">
      <t>シュツリョク</t>
    </rPh>
    <phoneticPr fontId="24"/>
  </si>
  <si>
    <t>得意先別回収見込額一覧の出力機能</t>
    <rPh sb="14" eb="16">
      <t>キノウ</t>
    </rPh>
    <phoneticPr fontId="24"/>
  </si>
  <si>
    <t>期日支払一覧を出力できること</t>
    <rPh sb="0" eb="2">
      <t>キジツ</t>
    </rPh>
    <rPh sb="2" eb="4">
      <t>シハライ</t>
    </rPh>
    <rPh sb="4" eb="6">
      <t>イチラン</t>
    </rPh>
    <rPh sb="7" eb="9">
      <t>シュツリョク</t>
    </rPh>
    <phoneticPr fontId="24"/>
  </si>
  <si>
    <t>期日支払一覧の出力機能</t>
    <rPh sb="9" eb="11">
      <t>キノウ</t>
    </rPh>
    <phoneticPr fontId="24"/>
  </si>
  <si>
    <t>資金移動</t>
    <rPh sb="0" eb="4">
      <t>シキンイドウ</t>
    </rPh>
    <phoneticPr fontId="24"/>
  </si>
  <si>
    <t>仕訳伝票登録後の預金残高を確認・出力できること</t>
    <rPh sb="0" eb="2">
      <t>シワケ</t>
    </rPh>
    <rPh sb="2" eb="4">
      <t>デンピョウ</t>
    </rPh>
    <rPh sb="4" eb="7">
      <t>トウロクゴ</t>
    </rPh>
    <rPh sb="8" eb="12">
      <t>ヨキンザンダカ</t>
    </rPh>
    <rPh sb="13" eb="15">
      <t>カクニン</t>
    </rPh>
    <rPh sb="16" eb="18">
      <t>シュツリョク</t>
    </rPh>
    <phoneticPr fontId="24"/>
  </si>
  <si>
    <t>預金残高を出力する機能</t>
    <rPh sb="0" eb="4">
      <t>ヨキンザンダカ</t>
    </rPh>
    <rPh sb="5" eb="7">
      <t>シュツリョク</t>
    </rPh>
    <rPh sb="9" eb="11">
      <t>キノウ</t>
    </rPh>
    <phoneticPr fontId="24"/>
  </si>
  <si>
    <t>銀行システムと連携し、預金の実残高を会計システム上で確認し、帳簿上の残高と比較できること</t>
    <rPh sb="0" eb="2">
      <t>ギンコウ</t>
    </rPh>
    <rPh sb="7" eb="9">
      <t>レンケイ</t>
    </rPh>
    <rPh sb="11" eb="13">
      <t>ヨキン</t>
    </rPh>
    <rPh sb="14" eb="15">
      <t>ジツ</t>
    </rPh>
    <rPh sb="15" eb="17">
      <t>ザンダカ</t>
    </rPh>
    <rPh sb="18" eb="20">
      <t>カイケイ</t>
    </rPh>
    <rPh sb="24" eb="25">
      <t>ジョウ</t>
    </rPh>
    <rPh sb="26" eb="28">
      <t>カクニン</t>
    </rPh>
    <rPh sb="30" eb="33">
      <t>チョウボジョウ</t>
    </rPh>
    <rPh sb="34" eb="36">
      <t>ザンダカ</t>
    </rPh>
    <rPh sb="37" eb="39">
      <t>ヒカク</t>
    </rPh>
    <phoneticPr fontId="24"/>
  </si>
  <si>
    <t>預金の実残高を表示し、帳簿残高と比較する機能</t>
    <rPh sb="0" eb="2">
      <t>ヨキン</t>
    </rPh>
    <rPh sb="3" eb="4">
      <t>ジツ</t>
    </rPh>
    <rPh sb="4" eb="6">
      <t>ザンダカ</t>
    </rPh>
    <rPh sb="7" eb="9">
      <t>ヒョウジ</t>
    </rPh>
    <rPh sb="11" eb="13">
      <t>チョウボ</t>
    </rPh>
    <rPh sb="13" eb="15">
      <t>ザンダカ</t>
    </rPh>
    <rPh sb="16" eb="18">
      <t>ヒカク</t>
    </rPh>
    <rPh sb="20" eb="22">
      <t>キノウ</t>
    </rPh>
    <phoneticPr fontId="24"/>
  </si>
  <si>
    <t>債権管理</t>
    <rPh sb="2" eb="4">
      <t>カンリ</t>
    </rPh>
    <phoneticPr fontId="24"/>
  </si>
  <si>
    <t>取引計上</t>
    <rPh sb="0" eb="4">
      <t>トリヒキケイジョウ</t>
    </rPh>
    <phoneticPr fontId="24"/>
  </si>
  <si>
    <t>債権</t>
    <rPh sb="0" eb="2">
      <t>サイケン</t>
    </rPh>
    <phoneticPr fontId="24"/>
  </si>
  <si>
    <t>債権計上</t>
    <rPh sb="0" eb="2">
      <t>サイケン</t>
    </rPh>
    <rPh sb="2" eb="4">
      <t>ケイジョウ</t>
    </rPh>
    <phoneticPr fontId="24"/>
  </si>
  <si>
    <t>取引の発生によって各上流システムで計上した売掛金データを連携できること</t>
    <rPh sb="0" eb="2">
      <t>トリヒキ</t>
    </rPh>
    <rPh sb="3" eb="5">
      <t>ハッセイ</t>
    </rPh>
    <rPh sb="9" eb="10">
      <t>カク</t>
    </rPh>
    <rPh sb="10" eb="12">
      <t>ジョウリュウ</t>
    </rPh>
    <rPh sb="17" eb="19">
      <t>ケイジョウ</t>
    </rPh>
    <rPh sb="21" eb="24">
      <t>ウリカケキン</t>
    </rPh>
    <rPh sb="28" eb="30">
      <t>レンケイ</t>
    </rPh>
    <phoneticPr fontId="24"/>
  </si>
  <si>
    <t>上流から計上された売掛金データを連携して受け取る機能</t>
    <rPh sb="0" eb="2">
      <t>ジョウリュウ</t>
    </rPh>
    <rPh sb="4" eb="6">
      <t>ケイジョウ</t>
    </rPh>
    <rPh sb="9" eb="12">
      <t>ウリカケキン</t>
    </rPh>
    <rPh sb="16" eb="18">
      <t>レンケイ</t>
    </rPh>
    <rPh sb="20" eb="21">
      <t>ウ</t>
    </rPh>
    <rPh sb="22" eb="23">
      <t>ト</t>
    </rPh>
    <rPh sb="24" eb="26">
      <t>キノウ</t>
    </rPh>
    <phoneticPr fontId="24"/>
  </si>
  <si>
    <t>上流システムより債権データをExcelエクスポート。DIXFまたはExcelアドインにてインポート</t>
    <rPh sb="0" eb="2">
      <t>ジョウリュウ</t>
    </rPh>
    <rPh sb="8" eb="10">
      <t>サイケン</t>
    </rPh>
    <phoneticPr fontId="24"/>
  </si>
  <si>
    <t>預り金処理</t>
    <rPh sb="0" eb="1">
      <t>アズカ</t>
    </rPh>
    <rPh sb="2" eb="3">
      <t>キン</t>
    </rPh>
    <rPh sb="3" eb="5">
      <t>ショリ</t>
    </rPh>
    <phoneticPr fontId="24"/>
  </si>
  <si>
    <t>台帳作成</t>
    <rPh sb="0" eb="2">
      <t>ダイチョウ</t>
    </rPh>
    <rPh sb="2" eb="4">
      <t>サクセイ</t>
    </rPh>
    <phoneticPr fontId="24"/>
  </si>
  <si>
    <t>通販ダイレクトの預り金の発生履歴と処理方法を管理する台帳を作成できること</t>
    <rPh sb="0" eb="2">
      <t>ツウハン</t>
    </rPh>
    <rPh sb="8" eb="9">
      <t>アズカ</t>
    </rPh>
    <rPh sb="10" eb="11">
      <t>キン</t>
    </rPh>
    <rPh sb="22" eb="24">
      <t>カンリ</t>
    </rPh>
    <rPh sb="28" eb="30">
      <t>ダイチョウ</t>
    </rPh>
    <phoneticPr fontId="24"/>
  </si>
  <si>
    <t>預り金の発生履歴と処理方法を台帳に作成する機能</t>
    <rPh sb="14" eb="16">
      <t>ダイチョウ</t>
    </rPh>
    <rPh sb="17" eb="19">
      <t>サクセイ</t>
    </rPh>
    <phoneticPr fontId="24"/>
  </si>
  <si>
    <t>処理方法確認</t>
    <rPh sb="0" eb="4">
      <t>ショリホウホウ</t>
    </rPh>
    <rPh sb="4" eb="6">
      <t>カクニン</t>
    </rPh>
    <phoneticPr fontId="24"/>
  </si>
  <si>
    <t>預り金の発生した顧客毎に処理方法（返金、翌月支払いへの振替）を確認できること</t>
    <rPh sb="0" eb="1">
      <t>アズカ</t>
    </rPh>
    <rPh sb="2" eb="3">
      <t>キン</t>
    </rPh>
    <rPh sb="4" eb="6">
      <t>ハッセイ</t>
    </rPh>
    <rPh sb="8" eb="10">
      <t>コキャク</t>
    </rPh>
    <rPh sb="10" eb="11">
      <t>ゴト</t>
    </rPh>
    <rPh sb="12" eb="16">
      <t>ショリホウホウ</t>
    </rPh>
    <rPh sb="31" eb="33">
      <t>カクニン</t>
    </rPh>
    <phoneticPr fontId="24"/>
  </si>
  <si>
    <t>預り金の発生顧客毎に処理方法を確認する機能</t>
    <rPh sb="0" eb="1">
      <t>アズカ</t>
    </rPh>
    <rPh sb="4" eb="6">
      <t>ハッセイ</t>
    </rPh>
    <rPh sb="6" eb="8">
      <t>コキャク</t>
    </rPh>
    <rPh sb="8" eb="9">
      <t>ゴト</t>
    </rPh>
    <rPh sb="10" eb="14">
      <t>ショリホウホウ</t>
    </rPh>
    <rPh sb="15" eb="17">
      <t>カクニン</t>
    </rPh>
    <rPh sb="19" eb="21">
      <t>キノウ</t>
    </rPh>
    <phoneticPr fontId="24"/>
  </si>
  <si>
    <t>処理方法の情報が連携される仕訳データに付与される前提</t>
    <rPh sb="0" eb="2">
      <t>ショリ</t>
    </rPh>
    <rPh sb="2" eb="4">
      <t>ホウホウ</t>
    </rPh>
    <rPh sb="5" eb="7">
      <t>ジョウホウ</t>
    </rPh>
    <rPh sb="8" eb="10">
      <t>レンケイ</t>
    </rPh>
    <rPh sb="13" eb="15">
      <t>シワケ</t>
    </rPh>
    <rPh sb="19" eb="21">
      <t>フヨ</t>
    </rPh>
    <rPh sb="24" eb="26">
      <t>ゼンテイ</t>
    </rPh>
    <phoneticPr fontId="24"/>
  </si>
  <si>
    <t>返金処理</t>
    <rPh sb="0" eb="4">
      <t>ヘンキンショリ</t>
    </rPh>
    <phoneticPr fontId="24"/>
  </si>
  <si>
    <t>預り金の返金処理をする場合、返金し預り金の消込できること</t>
    <rPh sb="0" eb="1">
      <t>アズカ</t>
    </rPh>
    <rPh sb="2" eb="3">
      <t>キン</t>
    </rPh>
    <rPh sb="4" eb="8">
      <t>ヘンキンショリ</t>
    </rPh>
    <rPh sb="11" eb="13">
      <t>バアイ</t>
    </rPh>
    <rPh sb="14" eb="16">
      <t>ヘンキン</t>
    </rPh>
    <rPh sb="17" eb="18">
      <t>アズカ</t>
    </rPh>
    <rPh sb="19" eb="20">
      <t>キン</t>
    </rPh>
    <rPh sb="21" eb="23">
      <t>ケシコミ</t>
    </rPh>
    <phoneticPr fontId="24"/>
  </si>
  <si>
    <t>預り金の消込仕訳が作成する機能</t>
    <rPh sb="0" eb="1">
      <t>アズカ</t>
    </rPh>
    <rPh sb="2" eb="3">
      <t>キン</t>
    </rPh>
    <rPh sb="4" eb="6">
      <t>ケシコミ</t>
    </rPh>
    <rPh sb="6" eb="8">
      <t>シワケ</t>
    </rPh>
    <rPh sb="9" eb="11">
      <t>サクセイ</t>
    </rPh>
    <rPh sb="13" eb="15">
      <t>キノウ</t>
    </rPh>
    <phoneticPr fontId="24"/>
  </si>
  <si>
    <t>預かり金は消し込みしない。</t>
    <rPh sb="0" eb="1">
      <t>アズ</t>
    </rPh>
    <rPh sb="3" eb="4">
      <t>キン</t>
    </rPh>
    <rPh sb="5" eb="6">
      <t>ケ</t>
    </rPh>
    <rPh sb="7" eb="8">
      <t>コ</t>
    </rPh>
    <phoneticPr fontId="24"/>
  </si>
  <si>
    <t>振替処理</t>
    <rPh sb="0" eb="2">
      <t>フリカエ</t>
    </rPh>
    <rPh sb="2" eb="4">
      <t>ショリ</t>
    </rPh>
    <phoneticPr fontId="24"/>
  </si>
  <si>
    <t>預り金を翌月以降の支払に充てる場合、預り金を売掛金に振替できること</t>
    <rPh sb="0" eb="1">
      <t>アズカ</t>
    </rPh>
    <rPh sb="2" eb="3">
      <t>キン</t>
    </rPh>
    <rPh sb="4" eb="6">
      <t>ヨクゲツ</t>
    </rPh>
    <rPh sb="6" eb="8">
      <t>イコウ</t>
    </rPh>
    <rPh sb="9" eb="11">
      <t>シハラ</t>
    </rPh>
    <rPh sb="12" eb="13">
      <t>ア</t>
    </rPh>
    <rPh sb="15" eb="17">
      <t>バアイ</t>
    </rPh>
    <rPh sb="18" eb="19">
      <t>アズカ</t>
    </rPh>
    <rPh sb="20" eb="21">
      <t>キン</t>
    </rPh>
    <rPh sb="22" eb="25">
      <t>ウリカケキン</t>
    </rPh>
    <rPh sb="26" eb="27">
      <t>フ</t>
    </rPh>
    <rPh sb="27" eb="28">
      <t>カ</t>
    </rPh>
    <phoneticPr fontId="24"/>
  </si>
  <si>
    <t>預り金を売掛金に振り替えができる機能</t>
    <rPh sb="0" eb="1">
      <t>アズカ</t>
    </rPh>
    <rPh sb="2" eb="3">
      <t>キン</t>
    </rPh>
    <rPh sb="4" eb="7">
      <t>ウリカケキン</t>
    </rPh>
    <rPh sb="8" eb="9">
      <t>フ</t>
    </rPh>
    <rPh sb="10" eb="11">
      <t>カ</t>
    </rPh>
    <rPh sb="16" eb="18">
      <t>キノウ</t>
    </rPh>
    <phoneticPr fontId="24"/>
  </si>
  <si>
    <t>マニュアルで仕訳を登録</t>
    <rPh sb="6" eb="8">
      <t>シワケ</t>
    </rPh>
    <rPh sb="9" eb="11">
      <t>トウロク</t>
    </rPh>
    <phoneticPr fontId="24"/>
  </si>
  <si>
    <t>委託費</t>
    <rPh sb="0" eb="3">
      <t>イタクヒ</t>
    </rPh>
    <phoneticPr fontId="24"/>
  </si>
  <si>
    <t>SSJの費用のうち、SEJの業務委託費に該当する費用を出力できること</t>
    <rPh sb="4" eb="6">
      <t>ヒヨウ</t>
    </rPh>
    <rPh sb="14" eb="16">
      <t>ギョウム</t>
    </rPh>
    <rPh sb="16" eb="18">
      <t>イタク</t>
    </rPh>
    <rPh sb="18" eb="19">
      <t>ヒ</t>
    </rPh>
    <rPh sb="20" eb="22">
      <t>ガイトウ</t>
    </rPh>
    <rPh sb="24" eb="26">
      <t>ヒヨウ</t>
    </rPh>
    <rPh sb="27" eb="29">
      <t>シュツリョク</t>
    </rPh>
    <phoneticPr fontId="24"/>
  </si>
  <si>
    <t>SSJで発生している費用を画面で確認する機能</t>
    <rPh sb="4" eb="6">
      <t>ハッセイ</t>
    </rPh>
    <rPh sb="10" eb="12">
      <t>ヒヨウ</t>
    </rPh>
    <rPh sb="13" eb="15">
      <t>ガメン</t>
    </rPh>
    <rPh sb="16" eb="18">
      <t>カクニン</t>
    </rPh>
    <rPh sb="20" eb="22">
      <t>キノウ</t>
    </rPh>
    <phoneticPr fontId="24"/>
  </si>
  <si>
    <t>特定権限の人は他法人の画面を表示可能にする</t>
    <rPh sb="0" eb="2">
      <t>トクテイ</t>
    </rPh>
    <rPh sb="2" eb="4">
      <t>ケンゲン</t>
    </rPh>
    <rPh sb="5" eb="6">
      <t>ヒト</t>
    </rPh>
    <rPh sb="7" eb="8">
      <t>タ</t>
    </rPh>
    <rPh sb="8" eb="10">
      <t>ホウジン</t>
    </rPh>
    <rPh sb="11" eb="13">
      <t>ガメン</t>
    </rPh>
    <rPh sb="14" eb="16">
      <t>ヒョウジ</t>
    </rPh>
    <rPh sb="16" eb="18">
      <t>カノウ</t>
    </rPh>
    <phoneticPr fontId="24"/>
  </si>
  <si>
    <t>SEJの業務委託費用をSSJからSEJの人件費に振替できること</t>
    <rPh sb="4" eb="6">
      <t>ギョウム</t>
    </rPh>
    <rPh sb="6" eb="10">
      <t>イタクヒヨウ</t>
    </rPh>
    <rPh sb="20" eb="23">
      <t>ジンケンヒ</t>
    </rPh>
    <rPh sb="24" eb="25">
      <t>フ</t>
    </rPh>
    <rPh sb="25" eb="26">
      <t>カ</t>
    </rPh>
    <phoneticPr fontId="24"/>
  </si>
  <si>
    <t>会社間を跨いで費用の振り替えができる機能</t>
    <rPh sb="0" eb="2">
      <t>カイシャ</t>
    </rPh>
    <rPh sb="2" eb="3">
      <t>アイダ</t>
    </rPh>
    <rPh sb="4" eb="5">
      <t>マタ</t>
    </rPh>
    <rPh sb="7" eb="9">
      <t>ヒヨウ</t>
    </rPh>
    <rPh sb="10" eb="11">
      <t>フ</t>
    </rPh>
    <rPh sb="12" eb="13">
      <t>カ</t>
    </rPh>
    <rPh sb="18" eb="20">
      <t>キノウ</t>
    </rPh>
    <phoneticPr fontId="24"/>
  </si>
  <si>
    <t>会社間会計で対応可能</t>
    <rPh sb="0" eb="5">
      <t>カイシャカンカイケイ</t>
    </rPh>
    <rPh sb="6" eb="10">
      <t>タイオウカノウ</t>
    </rPh>
    <phoneticPr fontId="24"/>
  </si>
  <si>
    <t>その他取引計上</t>
    <rPh sb="2" eb="3">
      <t>タ</t>
    </rPh>
    <rPh sb="3" eb="5">
      <t>トリヒキ</t>
    </rPh>
    <rPh sb="5" eb="7">
      <t>ケイジョウ</t>
    </rPh>
    <phoneticPr fontId="24"/>
  </si>
  <si>
    <t>取引の発生によって各上流システムでその他の債権等を計上できること</t>
    <rPh sb="0" eb="2">
      <t>トリヒキ</t>
    </rPh>
    <rPh sb="3" eb="5">
      <t>ハッセイ</t>
    </rPh>
    <rPh sb="9" eb="10">
      <t>カク</t>
    </rPh>
    <rPh sb="10" eb="12">
      <t>ジョウリュウ</t>
    </rPh>
    <rPh sb="19" eb="20">
      <t>タ</t>
    </rPh>
    <rPh sb="21" eb="23">
      <t>サイケン</t>
    </rPh>
    <rPh sb="23" eb="24">
      <t>トウ</t>
    </rPh>
    <rPh sb="25" eb="27">
      <t>ケイジョウ</t>
    </rPh>
    <phoneticPr fontId="24"/>
  </si>
  <si>
    <t>上流から計上されたその他債権データを連携して受け取る機能</t>
    <rPh sb="11" eb="12">
      <t>タ</t>
    </rPh>
    <rPh sb="12" eb="14">
      <t>サイケン</t>
    </rPh>
    <phoneticPr fontId="24"/>
  </si>
  <si>
    <t>請求業務</t>
    <rPh sb="0" eb="4">
      <t>セイキュウギョウム</t>
    </rPh>
    <phoneticPr fontId="24"/>
  </si>
  <si>
    <t>請求情報管理</t>
    <rPh sb="0" eb="4">
      <t>セイキュウジョウホウ</t>
    </rPh>
    <rPh sb="4" eb="6">
      <t>カンリ</t>
    </rPh>
    <phoneticPr fontId="24"/>
  </si>
  <si>
    <t>請求情報送受信
【SEJ】</t>
    <rPh sb="0" eb="2">
      <t>セイキュウ</t>
    </rPh>
    <rPh sb="2" eb="4">
      <t>ジョウホウ</t>
    </rPh>
    <rPh sb="4" eb="7">
      <t>ソウジュシン</t>
    </rPh>
    <phoneticPr fontId="24"/>
  </si>
  <si>
    <t>請求回収支援システムから請求データを受領、連携できること</t>
    <rPh sb="12" eb="14">
      <t>セイキュウ</t>
    </rPh>
    <rPh sb="18" eb="20">
      <t>ジュリョウ</t>
    </rPh>
    <rPh sb="21" eb="23">
      <t>レンケイ</t>
    </rPh>
    <phoneticPr fontId="24"/>
  </si>
  <si>
    <t>請求回収支援システムから請求情報をAPI連携する機能</t>
    <rPh sb="4" eb="6">
      <t>シエン</t>
    </rPh>
    <phoneticPr fontId="24"/>
  </si>
  <si>
    <t>入金管理</t>
    <rPh sb="0" eb="2">
      <t>ニュウキン</t>
    </rPh>
    <rPh sb="2" eb="4">
      <t>カンリ</t>
    </rPh>
    <phoneticPr fontId="24"/>
  </si>
  <si>
    <t>入金予定登録
【SEJ】</t>
    <rPh sb="0" eb="2">
      <t>ニュウキン</t>
    </rPh>
    <rPh sb="2" eb="4">
      <t>ヨテイ</t>
    </rPh>
    <rPh sb="4" eb="6">
      <t>トウロク</t>
    </rPh>
    <phoneticPr fontId="24"/>
  </si>
  <si>
    <t>入金照合・入金予定登録</t>
    <phoneticPr fontId="24"/>
  </si>
  <si>
    <t>支払明細書を基に、当月の入金予定金額をW1毎に請求回収システムに登録できること</t>
    <phoneticPr fontId="24"/>
  </si>
  <si>
    <t>入金予定金額を登録できる機能</t>
    <rPh sb="0" eb="6">
      <t>ニュウキンヨテイキンガク</t>
    </rPh>
    <rPh sb="7" eb="9">
      <t>トウロク</t>
    </rPh>
    <rPh sb="12" eb="14">
      <t>キノウ</t>
    </rPh>
    <phoneticPr fontId="24"/>
  </si>
  <si>
    <t>入金処理</t>
    <rPh sb="0" eb="4">
      <t>ニュウキンショリ</t>
    </rPh>
    <phoneticPr fontId="24"/>
  </si>
  <si>
    <t>通販以外の入金処理</t>
    <rPh sb="0" eb="2">
      <t>ツウハン</t>
    </rPh>
    <rPh sb="2" eb="4">
      <t>イガイ</t>
    </rPh>
    <rPh sb="5" eb="7">
      <t>ニュウキン</t>
    </rPh>
    <rPh sb="7" eb="9">
      <t>ショリ</t>
    </rPh>
    <phoneticPr fontId="24"/>
  </si>
  <si>
    <t>通販以外の取引における小切手・手形分の入金を入力できること
（AsIsでは販売管理システムに入力）</t>
    <rPh sb="0" eb="2">
      <t>ツウハン</t>
    </rPh>
    <rPh sb="2" eb="4">
      <t>イガイ</t>
    </rPh>
    <rPh sb="5" eb="7">
      <t>トリヒキ</t>
    </rPh>
    <rPh sb="11" eb="14">
      <t>コギッテ</t>
    </rPh>
    <rPh sb="15" eb="17">
      <t>テガタ</t>
    </rPh>
    <rPh sb="17" eb="18">
      <t>ブン</t>
    </rPh>
    <rPh sb="19" eb="21">
      <t>ニュウキン</t>
    </rPh>
    <rPh sb="22" eb="24">
      <t>ニュウリョク</t>
    </rPh>
    <rPh sb="37" eb="39">
      <t>ハンバイ</t>
    </rPh>
    <rPh sb="39" eb="41">
      <t>カンリ</t>
    </rPh>
    <rPh sb="46" eb="48">
      <t>ニュウリョク</t>
    </rPh>
    <phoneticPr fontId="24"/>
  </si>
  <si>
    <t>小切手・手形分の入金を入力できる機能</t>
    <rPh sb="11" eb="13">
      <t>ニュウリョク</t>
    </rPh>
    <rPh sb="16" eb="18">
      <t>キノウ</t>
    </rPh>
    <phoneticPr fontId="24"/>
  </si>
  <si>
    <t>転記プロファイルを使用してマニュアルで仕訳を登録</t>
    <rPh sb="0" eb="2">
      <t>テンキ</t>
    </rPh>
    <rPh sb="9" eb="11">
      <t>シヨウ</t>
    </rPh>
    <rPh sb="19" eb="21">
      <t>シワケ</t>
    </rPh>
    <rPh sb="22" eb="24">
      <t>トウロク</t>
    </rPh>
    <phoneticPr fontId="24"/>
  </si>
  <si>
    <t>通販以外の取引における売掛金に対する三菱UFJ以外の入金を入力できること
（AsIsではSSJの場合は販売管理システム、SEJの場合は請求回収支援システムに入力）</t>
    <rPh sb="0" eb="2">
      <t>ツウハン</t>
    </rPh>
    <rPh sb="2" eb="4">
      <t>イガイ</t>
    </rPh>
    <rPh sb="5" eb="7">
      <t>トリヒキ</t>
    </rPh>
    <rPh sb="11" eb="14">
      <t>ウリカケキン</t>
    </rPh>
    <rPh sb="15" eb="16">
      <t>タイ</t>
    </rPh>
    <rPh sb="18" eb="20">
      <t>ミツビシ</t>
    </rPh>
    <rPh sb="23" eb="25">
      <t>イガイ</t>
    </rPh>
    <rPh sb="26" eb="28">
      <t>ニュウキン</t>
    </rPh>
    <rPh sb="29" eb="31">
      <t>ニュウリョク</t>
    </rPh>
    <phoneticPr fontId="24"/>
  </si>
  <si>
    <t>預金口座へ入金を入力できる機能</t>
    <rPh sb="0" eb="4">
      <t>ヨキンコウザ</t>
    </rPh>
    <rPh sb="8" eb="10">
      <t>ニュウリョク</t>
    </rPh>
    <rPh sb="13" eb="15">
      <t>キノウ</t>
    </rPh>
    <phoneticPr fontId="24"/>
  </si>
  <si>
    <t>入金処理
【SSJ】</t>
    <rPh sb="0" eb="4">
      <t>ニュウキンショリ</t>
    </rPh>
    <phoneticPr fontId="24"/>
  </si>
  <si>
    <t>入金内容の振替処理</t>
    <rPh sb="2" eb="4">
      <t>ナイヨウ</t>
    </rPh>
    <rPh sb="5" eb="7">
      <t>フリカエ</t>
    </rPh>
    <rPh sb="7" eb="9">
      <t>ショリ</t>
    </rPh>
    <phoneticPr fontId="24"/>
  </si>
  <si>
    <t>クレジット会社からの入金を振替処理できること</t>
    <rPh sb="5" eb="7">
      <t>カイシャ</t>
    </rPh>
    <rPh sb="10" eb="12">
      <t>ニュウキン</t>
    </rPh>
    <phoneticPr fontId="24"/>
  </si>
  <si>
    <t>クレジット会社からの入金と売掛金を振替処理できる機能</t>
    <rPh sb="5" eb="7">
      <t>カイシャ</t>
    </rPh>
    <rPh sb="10" eb="12">
      <t>ニュウキン</t>
    </rPh>
    <rPh sb="13" eb="16">
      <t>ウリカケキン</t>
    </rPh>
    <rPh sb="17" eb="18">
      <t>フ</t>
    </rPh>
    <rPh sb="18" eb="19">
      <t>カ</t>
    </rPh>
    <rPh sb="19" eb="21">
      <t>ショリ</t>
    </rPh>
    <rPh sb="24" eb="26">
      <t>キノウ</t>
    </rPh>
    <phoneticPr fontId="24"/>
  </si>
  <si>
    <t>リクルートポイント利用分によるリクルートからの入金を振替処理できること</t>
    <rPh sb="9" eb="11">
      <t>リヨウ</t>
    </rPh>
    <rPh sb="11" eb="12">
      <t>ブン</t>
    </rPh>
    <rPh sb="23" eb="25">
      <t>ニュウキン</t>
    </rPh>
    <rPh sb="26" eb="28">
      <t>フリカエ</t>
    </rPh>
    <rPh sb="28" eb="30">
      <t>ショリ</t>
    </rPh>
    <phoneticPr fontId="24"/>
  </si>
  <si>
    <t>他社からの入金と売掛金を振替処理できる機能</t>
    <rPh sb="0" eb="2">
      <t>タシャ</t>
    </rPh>
    <rPh sb="8" eb="11">
      <t>ウリカケキン</t>
    </rPh>
    <rPh sb="19" eb="21">
      <t>キノウ</t>
    </rPh>
    <phoneticPr fontId="24"/>
  </si>
  <si>
    <t>直営店入金処理</t>
    <rPh sb="0" eb="3">
      <t>チョクエイテン</t>
    </rPh>
    <rPh sb="3" eb="5">
      <t>ニュウキン</t>
    </rPh>
    <rPh sb="5" eb="7">
      <t>ショリ</t>
    </rPh>
    <phoneticPr fontId="24"/>
  </si>
  <si>
    <t>直営店の売上報告(基本形)、ヤマトHPよりダウンロードした精算明細書(代引)を基に入金処理できること
（AsIsでは販売管理システムに入力）</t>
    <rPh sb="9" eb="12">
      <t>キホンケイ</t>
    </rPh>
    <rPh sb="35" eb="37">
      <t>ダイビ</t>
    </rPh>
    <phoneticPr fontId="24"/>
  </si>
  <si>
    <t>雑販入金処理</t>
    <rPh sb="0" eb="1">
      <t>ザツ</t>
    </rPh>
    <rPh sb="1" eb="2">
      <t>ハン</t>
    </rPh>
    <rPh sb="2" eb="4">
      <t>ニュウキン</t>
    </rPh>
    <rPh sb="4" eb="6">
      <t>ショリ</t>
    </rPh>
    <phoneticPr fontId="24"/>
  </si>
  <si>
    <t>自動入金エラーリストの入金について入金処理できること
（AsIsでは販売管理システムに入力）</t>
    <rPh sb="19" eb="21">
      <t>ショリ</t>
    </rPh>
    <phoneticPr fontId="24"/>
  </si>
  <si>
    <t>自動入金処理がエラーとなっていた入金について手動で入金入力できる機能</t>
    <rPh sb="0" eb="2">
      <t>ジドウ</t>
    </rPh>
    <rPh sb="2" eb="4">
      <t>ニュウキン</t>
    </rPh>
    <rPh sb="4" eb="6">
      <t>ショリ</t>
    </rPh>
    <rPh sb="16" eb="18">
      <t>ニュウキン</t>
    </rPh>
    <rPh sb="22" eb="24">
      <t>シュドウ</t>
    </rPh>
    <rPh sb="25" eb="27">
      <t>ニュウキン</t>
    </rPh>
    <rPh sb="27" eb="29">
      <t>ニュウリョク</t>
    </rPh>
    <rPh sb="32" eb="34">
      <t>キノウ</t>
    </rPh>
    <phoneticPr fontId="24"/>
  </si>
  <si>
    <t>ダイレクト入金処理</t>
    <rPh sb="5" eb="7">
      <t>ニュウキン</t>
    </rPh>
    <rPh sb="7" eb="9">
      <t>ショリ</t>
    </rPh>
    <phoneticPr fontId="24"/>
  </si>
  <si>
    <t>郵便振込、代引き、CVS、銀行振込、クレジット分、入金明細をもとに入金処理できること</t>
    <phoneticPr fontId="24"/>
  </si>
  <si>
    <t>郵便振込、代引き、CVS、銀行振込、クレジット支払いの入金明細を出力できる機能</t>
    <rPh sb="37" eb="39">
      <t>キノウ</t>
    </rPh>
    <phoneticPr fontId="24"/>
  </si>
  <si>
    <t>委託販売先からの入金を受けて、売上計上できること</t>
    <rPh sb="0" eb="4">
      <t>イタクハンバイ</t>
    </rPh>
    <rPh sb="4" eb="5">
      <t>サキ</t>
    </rPh>
    <rPh sb="8" eb="10">
      <t>ニュウキン</t>
    </rPh>
    <rPh sb="11" eb="12">
      <t>ウ</t>
    </rPh>
    <rPh sb="15" eb="17">
      <t>ウリアゲ</t>
    </rPh>
    <rPh sb="17" eb="19">
      <t>ケイジョウ</t>
    </rPh>
    <phoneticPr fontId="24"/>
  </si>
  <si>
    <t>委託販売先からの入金を受けて、売上計上できる機能</t>
    <rPh sb="0" eb="4">
      <t>イタクハンバイ</t>
    </rPh>
    <rPh sb="4" eb="5">
      <t>サキ</t>
    </rPh>
    <rPh sb="8" eb="10">
      <t>ニュウキン</t>
    </rPh>
    <rPh sb="11" eb="12">
      <t>ウ</t>
    </rPh>
    <rPh sb="15" eb="17">
      <t>ウリアゲ</t>
    </rPh>
    <rPh sb="17" eb="19">
      <t>ケイジョウ</t>
    </rPh>
    <rPh sb="22" eb="24">
      <t>キノウ</t>
    </rPh>
    <phoneticPr fontId="24"/>
  </si>
  <si>
    <t>仕訳帳IF共通のアドオン</t>
    <rPh sb="0" eb="3">
      <t>シワケチョウ</t>
    </rPh>
    <rPh sb="5" eb="7">
      <t>キョウツウ</t>
    </rPh>
    <phoneticPr fontId="24"/>
  </si>
  <si>
    <t>入金処理
【SEJ】</t>
    <rPh sb="0" eb="4">
      <t>ニュウキンショリ</t>
    </rPh>
    <phoneticPr fontId="24"/>
  </si>
  <si>
    <t>得意先より期日払いの支払明細が届いたら入金入力できること</t>
    <phoneticPr fontId="24"/>
  </si>
  <si>
    <t>期日払いの支払明細を受けて入金入力できる機能</t>
    <rPh sb="10" eb="11">
      <t>ウ</t>
    </rPh>
    <rPh sb="20" eb="22">
      <t>キノウ</t>
    </rPh>
    <phoneticPr fontId="24"/>
  </si>
  <si>
    <t>ファクタリングの支払明細がFAXで届いたら入金入力できること</t>
    <phoneticPr fontId="24"/>
  </si>
  <si>
    <t>ファクタリングの入金入力できる機能</t>
    <rPh sb="15" eb="17">
      <t>キノウ</t>
    </rPh>
    <phoneticPr fontId="24"/>
  </si>
  <si>
    <t>電子ファクタリングの支払明細がFAXで届いたら入金入力後、科目振替できること</t>
    <phoneticPr fontId="24"/>
  </si>
  <si>
    <t>電子ファクタリングの入金入力できる機能</t>
    <rPh sb="0" eb="2">
      <t>デンシ</t>
    </rPh>
    <rPh sb="17" eb="19">
      <t>キノウ</t>
    </rPh>
    <phoneticPr fontId="24"/>
  </si>
  <si>
    <t>入金消込</t>
    <rPh sb="0" eb="2">
      <t>ニュウキン</t>
    </rPh>
    <rPh sb="2" eb="4">
      <t>ケシコミ</t>
    </rPh>
    <phoneticPr fontId="24"/>
  </si>
  <si>
    <t>入金処理を基に会計システムで入金消込の仕訳を起票できること</t>
    <rPh sb="0" eb="2">
      <t>ニュウキン</t>
    </rPh>
    <rPh sb="2" eb="4">
      <t>ショリ</t>
    </rPh>
    <rPh sb="5" eb="6">
      <t>モト</t>
    </rPh>
    <rPh sb="7" eb="9">
      <t>カイケイ</t>
    </rPh>
    <rPh sb="14" eb="16">
      <t>ニュウキン</t>
    </rPh>
    <rPh sb="16" eb="18">
      <t>ケシコミ</t>
    </rPh>
    <rPh sb="19" eb="21">
      <t>シワケ</t>
    </rPh>
    <rPh sb="22" eb="24">
      <t>キヒョウ</t>
    </rPh>
    <phoneticPr fontId="24"/>
  </si>
  <si>
    <t>会計システムへ入金情報を入力できる機能</t>
    <rPh sb="0" eb="2">
      <t>カイケイ</t>
    </rPh>
    <rPh sb="7" eb="11">
      <t>ニュウキンジョウホウ</t>
    </rPh>
    <rPh sb="12" eb="14">
      <t>ニュウリョク</t>
    </rPh>
    <rPh sb="17" eb="19">
      <t>キノウ</t>
    </rPh>
    <phoneticPr fontId="24"/>
  </si>
  <si>
    <t>入金調査
【SSJ】</t>
    <rPh sb="0" eb="2">
      <t>ニュウキン</t>
    </rPh>
    <rPh sb="2" eb="4">
      <t>チョウサ</t>
    </rPh>
    <phoneticPr fontId="24"/>
  </si>
  <si>
    <t>不明入金調査</t>
    <rPh sb="0" eb="2">
      <t>フメイ</t>
    </rPh>
    <rPh sb="2" eb="4">
      <t>ニュウキン</t>
    </rPh>
    <rPh sb="4" eb="6">
      <t>チョウサ</t>
    </rPh>
    <phoneticPr fontId="24"/>
  </si>
  <si>
    <t>すぐに通販顧客と断定できない入金があった際に、通販管理プラットフォームで確認できること</t>
    <phoneticPr fontId="24"/>
  </si>
  <si>
    <t>不明入金の調査ができる機能</t>
    <rPh sb="0" eb="4">
      <t>フメイニュウキン</t>
    </rPh>
    <rPh sb="5" eb="7">
      <t>チョウサ</t>
    </rPh>
    <rPh sb="11" eb="13">
      <t>キノウ</t>
    </rPh>
    <phoneticPr fontId="24"/>
  </si>
  <si>
    <t>入金管理表作成</t>
    <phoneticPr fontId="24"/>
  </si>
  <si>
    <t>直営店の入金処理管理表を作成できること</t>
    <phoneticPr fontId="24"/>
  </si>
  <si>
    <t>入金処理管理表を作成できる機能</t>
    <rPh sb="13" eb="15">
      <t>キノウ</t>
    </rPh>
    <phoneticPr fontId="24"/>
  </si>
  <si>
    <t>債権残高管理</t>
    <phoneticPr fontId="24"/>
  </si>
  <si>
    <t>売掛金管理</t>
    <rPh sb="0" eb="3">
      <t>ウリカケキン</t>
    </rPh>
    <rPh sb="3" eb="5">
      <t>カンリ</t>
    </rPh>
    <phoneticPr fontId="24"/>
  </si>
  <si>
    <t>債権管理台帳作成</t>
    <rPh sb="0" eb="2">
      <t>サイケン</t>
    </rPh>
    <rPh sb="2" eb="4">
      <t>カンリ</t>
    </rPh>
    <rPh sb="4" eb="6">
      <t>ダイチョウ</t>
    </rPh>
    <rPh sb="6" eb="8">
      <t>サクセイ</t>
    </rPh>
    <phoneticPr fontId="24"/>
  </si>
  <si>
    <t>郵便振込、ヤマト、SMBCファイナンス、カード会社から届く振込案内を債権管理台帳へ入力できること</t>
    <phoneticPr fontId="24"/>
  </si>
  <si>
    <t>債権管理台帳が作成できる機能</t>
    <rPh sb="7" eb="9">
      <t>サクセイ</t>
    </rPh>
    <rPh sb="12" eb="14">
      <t>キノウ</t>
    </rPh>
    <phoneticPr fontId="24"/>
  </si>
  <si>
    <t>入金確定エラーリスト作成</t>
    <rPh sb="10" eb="12">
      <t>サクセイ</t>
    </rPh>
    <phoneticPr fontId="24"/>
  </si>
  <si>
    <t>通販管理プラットフォームから出力される入金確定エラーリストの明細を入力できること</t>
    <rPh sb="0" eb="4">
      <t>ツウハンカンリ</t>
    </rPh>
    <phoneticPr fontId="24"/>
  </si>
  <si>
    <t>入金確定エラーリストの明細が作成できる機能</t>
    <rPh sb="14" eb="16">
      <t>サクセイ</t>
    </rPh>
    <rPh sb="19" eb="21">
      <t>キノウ</t>
    </rPh>
    <phoneticPr fontId="24"/>
  </si>
  <si>
    <t>SCMモジュールにて対応
（売掛金年齢表で対応）</t>
    <rPh sb="10" eb="12">
      <t>タイオウ</t>
    </rPh>
    <rPh sb="14" eb="17">
      <t>ウリカケキン</t>
    </rPh>
    <rPh sb="17" eb="20">
      <t>ネンレイヒョウ</t>
    </rPh>
    <rPh sb="21" eb="23">
      <t>タイオウ</t>
    </rPh>
    <phoneticPr fontId="24"/>
  </si>
  <si>
    <t>金額差異照合</t>
    <rPh sb="0" eb="4">
      <t>キンガクサイ</t>
    </rPh>
    <rPh sb="4" eb="6">
      <t>ショウゴウ</t>
    </rPh>
    <phoneticPr fontId="24"/>
  </si>
  <si>
    <t>通販管理プラットフォームと販売管理システムの入金金額差異を照合できること</t>
    <rPh sb="13" eb="17">
      <t>ハンバイカンリ</t>
    </rPh>
    <phoneticPr fontId="24"/>
  </si>
  <si>
    <r>
      <t>システム間の入金金額差異を照合できる機能</t>
    </r>
    <r>
      <rPr>
        <sz val="11"/>
        <color rgb="FFFF0000"/>
        <rFont val="Meiryo UI"/>
        <family val="3"/>
        <charset val="128"/>
      </rPr>
      <t xml:space="preserve">
⇒入金データがエクスポートできれば良いとのこと</t>
    </r>
    <rPh sb="4" eb="5">
      <t>カン</t>
    </rPh>
    <rPh sb="18" eb="20">
      <t>キノウ</t>
    </rPh>
    <rPh sb="22" eb="24">
      <t>ニュウキン</t>
    </rPh>
    <rPh sb="38" eb="39">
      <t>ヨ</t>
    </rPh>
    <phoneticPr fontId="24"/>
  </si>
  <si>
    <t>入金処理金額検証</t>
    <phoneticPr fontId="24"/>
  </si>
  <si>
    <t>販売管理システムで入金処理を行った内容がExcelの債権管理表に正しく記載されているか確認できること</t>
    <phoneticPr fontId="24"/>
  </si>
  <si>
    <r>
      <t xml:space="preserve">入金処理額の検証ができる機能
</t>
    </r>
    <r>
      <rPr>
        <sz val="11"/>
        <color rgb="FFFF0000"/>
        <rFont val="Meiryo UI"/>
        <family val="3"/>
        <charset val="128"/>
      </rPr>
      <t>⇒入金データがエクスポートできれば良いとのこと</t>
    </r>
    <rPh sb="4" eb="5">
      <t>ガク</t>
    </rPh>
    <rPh sb="6" eb="8">
      <t>ケンショウ</t>
    </rPh>
    <rPh sb="12" eb="14">
      <t>キノウ</t>
    </rPh>
    <phoneticPr fontId="24"/>
  </si>
  <si>
    <t>帳票出力</t>
    <rPh sb="0" eb="2">
      <t>チョウヒョウ</t>
    </rPh>
    <rPh sb="2" eb="4">
      <t>シュツリョク</t>
    </rPh>
    <phoneticPr fontId="24"/>
  </si>
  <si>
    <r>
      <t xml:space="preserve">入金照合リスト、クレジット売上表、クレジット経理仕訳伝票等、必要な帳票が出力できること
</t>
    </r>
    <r>
      <rPr>
        <sz val="11"/>
        <color rgb="FFFF0000"/>
        <rFont val="Meiryo UI"/>
        <family val="3"/>
        <charset val="128"/>
      </rPr>
      <t>⇒クレジット売上表は仕訳伝票に付随する属性でフィルタリングして一覧を出力する、という内容でご理解いただいて結構です。
クレジット経理仕訳伝票は、クレジットカードの振込金額との照合に使用されています。</t>
    </r>
    <rPh sb="0" eb="4">
      <t>ニュウキンショウゴウ</t>
    </rPh>
    <rPh sb="13" eb="16">
      <t>ウリアゲヒョウ</t>
    </rPh>
    <rPh sb="22" eb="24">
      <t>ケイリ</t>
    </rPh>
    <rPh sb="24" eb="26">
      <t>シワケ</t>
    </rPh>
    <rPh sb="26" eb="28">
      <t>デンピョウ</t>
    </rPh>
    <rPh sb="28" eb="29">
      <t>ナド</t>
    </rPh>
    <rPh sb="30" eb="32">
      <t>ヒツヨウ</t>
    </rPh>
    <rPh sb="33" eb="35">
      <t>チョウヒョウ</t>
    </rPh>
    <rPh sb="36" eb="38">
      <t>シュツリョク</t>
    </rPh>
    <phoneticPr fontId="24"/>
  </si>
  <si>
    <t>必要帳票が出力できる機能</t>
    <rPh sb="10" eb="12">
      <t>キノウ</t>
    </rPh>
    <phoneticPr fontId="24"/>
  </si>
  <si>
    <t>未収入金管理</t>
    <rPh sb="0" eb="4">
      <t>ミシュウニュウキン</t>
    </rPh>
    <rPh sb="4" eb="6">
      <t>カンリ</t>
    </rPh>
    <phoneticPr fontId="24"/>
  </si>
  <si>
    <t>クレジット精算金額明細確認</t>
    <rPh sb="5" eb="9">
      <t>セイサンキンガク</t>
    </rPh>
    <rPh sb="9" eb="11">
      <t>メイサイ</t>
    </rPh>
    <rPh sb="11" eb="13">
      <t>カクニン</t>
    </rPh>
    <phoneticPr fontId="24"/>
  </si>
  <si>
    <t>JCB、VISAのクレジットデータと利用明細を基に金額の照合できること</t>
    <rPh sb="18" eb="20">
      <t>リヨウ</t>
    </rPh>
    <rPh sb="20" eb="22">
      <t>メイサイ</t>
    </rPh>
    <rPh sb="23" eb="24">
      <t>モト</t>
    </rPh>
    <rPh sb="25" eb="27">
      <t>キンガク</t>
    </rPh>
    <rPh sb="28" eb="30">
      <t>ショウゴウ</t>
    </rPh>
    <phoneticPr fontId="24"/>
  </si>
  <si>
    <t>クレジット精算金額明細確認できる機能</t>
    <rPh sb="16" eb="18">
      <t>キノウ</t>
    </rPh>
    <phoneticPr fontId="24"/>
  </si>
  <si>
    <t>クレジット明細作成</t>
    <rPh sb="5" eb="7">
      <t>メイサイ</t>
    </rPh>
    <rPh sb="7" eb="9">
      <t>サクセイ</t>
    </rPh>
    <phoneticPr fontId="24"/>
  </si>
  <si>
    <t>請求書に表紙とともにクレジット明細書を添付できること</t>
    <rPh sb="19" eb="21">
      <t>テンプ</t>
    </rPh>
    <phoneticPr fontId="24"/>
  </si>
  <si>
    <r>
      <t>クレジット明細とその表紙が作成できる機能</t>
    </r>
    <r>
      <rPr>
        <sz val="11"/>
        <color rgb="FFFF0000"/>
        <rFont val="Meiryo UI"/>
        <family val="3"/>
        <charset val="128"/>
      </rPr>
      <t xml:space="preserve">
⇒顧客向け請求書の発行は現状会計システムでは想定しておりません。</t>
    </r>
    <rPh sb="5" eb="7">
      <t>メイサイ</t>
    </rPh>
    <rPh sb="10" eb="12">
      <t>ヒョウシ</t>
    </rPh>
    <rPh sb="13" eb="15">
      <t>ヒョウサクセイ</t>
    </rPh>
    <rPh sb="18" eb="20">
      <t>キノウ</t>
    </rPh>
    <phoneticPr fontId="24"/>
  </si>
  <si>
    <t>本要件は対応しない</t>
    <rPh sb="0" eb="3">
      <t>ホンヨウケン</t>
    </rPh>
    <rPh sb="4" eb="6">
      <t>タイオウ</t>
    </rPh>
    <phoneticPr fontId="24"/>
  </si>
  <si>
    <t>回収予実</t>
    <rPh sb="0" eb="4">
      <t>カイシュウヨジツ</t>
    </rPh>
    <phoneticPr fontId="24"/>
  </si>
  <si>
    <t>債権管理</t>
    <rPh sb="0" eb="2">
      <t>サイケン</t>
    </rPh>
    <rPh sb="2" eb="4">
      <t>カンリ</t>
    </rPh>
    <phoneticPr fontId="24"/>
  </si>
  <si>
    <t>月末時点での預り金の発生状況を預り金台帳に記載できること</t>
    <rPh sb="0" eb="4">
      <t>ゲツマツジテン</t>
    </rPh>
    <rPh sb="6" eb="7">
      <t>アズカ</t>
    </rPh>
    <rPh sb="8" eb="9">
      <t>キン</t>
    </rPh>
    <rPh sb="10" eb="14">
      <t>ハッセイジョウキョウ</t>
    </rPh>
    <rPh sb="15" eb="16">
      <t>アズカ</t>
    </rPh>
    <rPh sb="17" eb="18">
      <t>キン</t>
    </rPh>
    <rPh sb="18" eb="20">
      <t>ダイチョウ</t>
    </rPh>
    <rPh sb="21" eb="23">
      <t>キサイ</t>
    </rPh>
    <phoneticPr fontId="24"/>
  </si>
  <si>
    <t>返金処理・売掛金振替がされていない預り金の情報を出力する機能</t>
    <rPh sb="0" eb="4">
      <t>ヘンキンショリ</t>
    </rPh>
    <rPh sb="5" eb="8">
      <t>ウリカケキン</t>
    </rPh>
    <rPh sb="8" eb="10">
      <t>フリカエ</t>
    </rPh>
    <rPh sb="17" eb="18">
      <t>アズカ</t>
    </rPh>
    <rPh sb="19" eb="20">
      <t>キン</t>
    </rPh>
    <rPh sb="21" eb="23">
      <t>ジョウホウ</t>
    </rPh>
    <rPh sb="24" eb="26">
      <t>シュツリョク</t>
    </rPh>
    <rPh sb="28" eb="30">
      <t>キノウ</t>
    </rPh>
    <phoneticPr fontId="24"/>
  </si>
  <si>
    <t>出力</t>
    <rPh sb="0" eb="2">
      <t>シュツリョク</t>
    </rPh>
    <phoneticPr fontId="24"/>
  </si>
  <si>
    <t>消込・未消込情報を出力し、販売管理システムと差異がないか確認できること</t>
    <rPh sb="0" eb="2">
      <t>ケシコミ</t>
    </rPh>
    <rPh sb="3" eb="4">
      <t>ミ</t>
    </rPh>
    <rPh sb="4" eb="6">
      <t>ケシコミ</t>
    </rPh>
    <rPh sb="6" eb="8">
      <t>ジョウホウ</t>
    </rPh>
    <rPh sb="9" eb="11">
      <t>シュツリョク</t>
    </rPh>
    <rPh sb="22" eb="24">
      <t>サイ</t>
    </rPh>
    <rPh sb="28" eb="30">
      <t>カクニン</t>
    </rPh>
    <phoneticPr fontId="24"/>
  </si>
  <si>
    <t>消込済・未消込の請求情報を出力する機能</t>
    <rPh sb="0" eb="2">
      <t>ケシコミ</t>
    </rPh>
    <rPh sb="2" eb="3">
      <t>ス</t>
    </rPh>
    <rPh sb="4" eb="5">
      <t>ミ</t>
    </rPh>
    <rPh sb="5" eb="7">
      <t>ケシコミ</t>
    </rPh>
    <rPh sb="8" eb="10">
      <t>セイキュウ</t>
    </rPh>
    <rPh sb="10" eb="12">
      <t>ジョウホウ</t>
    </rPh>
    <rPh sb="13" eb="15">
      <t>シュツリョク</t>
    </rPh>
    <rPh sb="17" eb="19">
      <t>キノウ</t>
    </rPh>
    <phoneticPr fontId="24"/>
  </si>
  <si>
    <t>未処理トランザクションレポートで対応</t>
    <rPh sb="16" eb="18">
      <t>タイオウ</t>
    </rPh>
    <phoneticPr fontId="24"/>
  </si>
  <si>
    <t>未回収・過入金を出力できること</t>
    <rPh sb="0" eb="3">
      <t>ミカイシュウ</t>
    </rPh>
    <rPh sb="4" eb="7">
      <t>カニュウキン</t>
    </rPh>
    <rPh sb="8" eb="10">
      <t>シュツリョク</t>
    </rPh>
    <phoneticPr fontId="24"/>
  </si>
  <si>
    <t>未回収・過入金の明細情報を出力する機能</t>
    <rPh sb="0" eb="3">
      <t>ミカイシュウ</t>
    </rPh>
    <rPh sb="4" eb="7">
      <t>カニュウキン</t>
    </rPh>
    <rPh sb="8" eb="10">
      <t>メイサイ</t>
    </rPh>
    <rPh sb="10" eb="12">
      <t>ジョウホウ</t>
    </rPh>
    <rPh sb="13" eb="15">
      <t>シュツリョク</t>
    </rPh>
    <rPh sb="17" eb="19">
      <t>キノウ</t>
    </rPh>
    <phoneticPr fontId="24"/>
  </si>
  <si>
    <t>参照</t>
    <rPh sb="0" eb="2">
      <t>サンショウ</t>
    </rPh>
    <phoneticPr fontId="24"/>
  </si>
  <si>
    <t>入金消込結果の反映を確認できること</t>
    <rPh sb="0" eb="2">
      <t>ニュウキン</t>
    </rPh>
    <rPh sb="2" eb="4">
      <t>ケシコミ</t>
    </rPh>
    <rPh sb="4" eb="6">
      <t>ケッカ</t>
    </rPh>
    <rPh sb="7" eb="9">
      <t>ハンエイ</t>
    </rPh>
    <rPh sb="10" eb="12">
      <t>カクニン</t>
    </rPh>
    <phoneticPr fontId="24"/>
  </si>
  <si>
    <t>残高明細の情報を出力する機能</t>
    <rPh sb="0" eb="2">
      <t>ザンダカ</t>
    </rPh>
    <rPh sb="2" eb="4">
      <t>メイサイ</t>
    </rPh>
    <rPh sb="5" eb="7">
      <t>ジョウホウ</t>
    </rPh>
    <rPh sb="8" eb="10">
      <t>シュツリョク</t>
    </rPh>
    <rPh sb="12" eb="14">
      <t>キノウ</t>
    </rPh>
    <phoneticPr fontId="24"/>
  </si>
  <si>
    <t>作成</t>
    <rPh sb="0" eb="2">
      <t>サクセイ</t>
    </rPh>
    <phoneticPr fontId="24"/>
  </si>
  <si>
    <t>月次内でのSEJ事業での債権回収状況の報告書を作成できること</t>
    <rPh sb="0" eb="3">
      <t>ゲツジナイ</t>
    </rPh>
    <rPh sb="8" eb="10">
      <t>ジギョウ</t>
    </rPh>
    <rPh sb="12" eb="14">
      <t>サイケン</t>
    </rPh>
    <rPh sb="14" eb="16">
      <t>カイシュウ</t>
    </rPh>
    <rPh sb="16" eb="18">
      <t>ジョウキョウ</t>
    </rPh>
    <rPh sb="19" eb="22">
      <t>ホウコクショ</t>
    </rPh>
    <rPh sb="23" eb="25">
      <t>サクセイ</t>
    </rPh>
    <phoneticPr fontId="24"/>
  </si>
  <si>
    <t>月単位での債権回収明細を出力する機能</t>
    <rPh sb="0" eb="3">
      <t>ツキタンイ</t>
    </rPh>
    <rPh sb="5" eb="7">
      <t>サイケン</t>
    </rPh>
    <rPh sb="7" eb="9">
      <t>カイシュウ</t>
    </rPh>
    <rPh sb="9" eb="11">
      <t>メイサイ</t>
    </rPh>
    <rPh sb="12" eb="14">
      <t>シュツリョク</t>
    </rPh>
    <rPh sb="16" eb="18">
      <t>キノウ</t>
    </rPh>
    <phoneticPr fontId="24"/>
  </si>
  <si>
    <t>"指定の期間に達している残高"、"顧客転記支払仕訳帳レポート"、"顧客勘定明細書(内部)"で対応</t>
    <rPh sb="1" eb="3">
      <t>シテイ</t>
    </rPh>
    <rPh sb="4" eb="6">
      <t>キカン</t>
    </rPh>
    <rPh sb="7" eb="8">
      <t>タッ</t>
    </rPh>
    <rPh sb="12" eb="14">
      <t>ザンダカ</t>
    </rPh>
    <rPh sb="17" eb="26">
      <t>コキャクテンキシハライシワケチョウ</t>
    </rPh>
    <rPh sb="33" eb="35">
      <t>コキャク</t>
    </rPh>
    <rPh sb="35" eb="40">
      <t>カンジョウメイサイショ</t>
    </rPh>
    <rPh sb="41" eb="43">
      <t>ナイブ</t>
    </rPh>
    <rPh sb="46" eb="48">
      <t>タイオウ</t>
    </rPh>
    <phoneticPr fontId="24"/>
  </si>
  <si>
    <t>月次内でのSSJ事業での債権回収状況の報告書を作成できること</t>
    <phoneticPr fontId="24"/>
  </si>
  <si>
    <t>回収明細リストを作成できること</t>
    <rPh sb="0" eb="4">
      <t>カイシュウメイサイ</t>
    </rPh>
    <rPh sb="8" eb="10">
      <t>サクセイ</t>
    </rPh>
    <phoneticPr fontId="24"/>
  </si>
  <si>
    <t>月初第2から5営業日に会計システムとホストから出力される売掛金合計表の売掛金額、基本手数料、売掛金赤算、前受金、預り売掛金の金額を抽出し、Excelの報告書に入力できること</t>
    <rPh sb="11" eb="13">
      <t>カイケイ</t>
    </rPh>
    <phoneticPr fontId="24"/>
  </si>
  <si>
    <t>売掛金額、基本手数料、赤算、前受け金、預り売掛金の情報を出力する機能</t>
    <rPh sb="0" eb="2">
      <t>ウリカケ</t>
    </rPh>
    <rPh sb="2" eb="4">
      <t>キンガク</t>
    </rPh>
    <rPh sb="5" eb="7">
      <t>キホン</t>
    </rPh>
    <rPh sb="7" eb="10">
      <t>テスウリョウ</t>
    </rPh>
    <rPh sb="11" eb="12">
      <t>アカ</t>
    </rPh>
    <rPh sb="12" eb="13">
      <t>ザン</t>
    </rPh>
    <rPh sb="14" eb="16">
      <t>マエウ</t>
    </rPh>
    <rPh sb="17" eb="18">
      <t>キン</t>
    </rPh>
    <rPh sb="19" eb="20">
      <t>アズカ</t>
    </rPh>
    <rPh sb="21" eb="23">
      <t>ウリカケ</t>
    </rPh>
    <rPh sb="23" eb="24">
      <t>キン</t>
    </rPh>
    <rPh sb="25" eb="27">
      <t>ジョウホウ</t>
    </rPh>
    <rPh sb="28" eb="30">
      <t>シュツリョク</t>
    </rPh>
    <rPh sb="32" eb="34">
      <t>キノウ</t>
    </rPh>
    <phoneticPr fontId="24"/>
  </si>
  <si>
    <t>与信管理</t>
    <rPh sb="0" eb="4">
      <t>ヨシンカンリ</t>
    </rPh>
    <phoneticPr fontId="24"/>
  </si>
  <si>
    <t>債権限度額解除
【SSJ】</t>
    <rPh sb="0" eb="5">
      <t>サイケンゲンドガク</t>
    </rPh>
    <rPh sb="5" eb="7">
      <t>カイジョ</t>
    </rPh>
    <phoneticPr fontId="24"/>
  </si>
  <si>
    <t>解除</t>
    <rPh sb="0" eb="2">
      <t>カイジョ</t>
    </rPh>
    <phoneticPr fontId="24"/>
  </si>
  <si>
    <t>受注入力担当者から債権限度額の解除依頼を受けて債権限度超過連絡書を事業部部長へFAXしており、事業部部長より債権限度超過連絡書に押印されたものがFAXで返信されたものは解除できること</t>
    <rPh sb="20" eb="21">
      <t>ウ</t>
    </rPh>
    <phoneticPr fontId="24"/>
  </si>
  <si>
    <t>取引先別の債権限度額が確認できること
承認申請ワークフロー機能</t>
    <rPh sb="0" eb="3">
      <t>トリヒキサキ</t>
    </rPh>
    <rPh sb="3" eb="4">
      <t>ベツ</t>
    </rPh>
    <rPh sb="5" eb="10">
      <t>サイケンゲンドガク</t>
    </rPh>
    <rPh sb="11" eb="13">
      <t>カクニン</t>
    </rPh>
    <rPh sb="19" eb="21">
      <t>ショウニン</t>
    </rPh>
    <rPh sb="21" eb="23">
      <t>シンセイ</t>
    </rPh>
    <rPh sb="29" eb="31">
      <t>キノウ</t>
    </rPh>
    <phoneticPr fontId="24"/>
  </si>
  <si>
    <t>各種仕訳帳で与信ルールを加味したチェック処理を追加
要件次第でワークフローも開発
(仕訳帳名レベルであれば、標準でワークフロー有)</t>
    <rPh sb="0" eb="2">
      <t>カクシュ</t>
    </rPh>
    <rPh sb="2" eb="5">
      <t>シワケチョウ</t>
    </rPh>
    <rPh sb="6" eb="8">
      <t>ヨシン</t>
    </rPh>
    <rPh sb="12" eb="14">
      <t>カミ</t>
    </rPh>
    <rPh sb="20" eb="22">
      <t>ショリ</t>
    </rPh>
    <rPh sb="23" eb="25">
      <t>ツイカ</t>
    </rPh>
    <rPh sb="26" eb="30">
      <t>ヨウケンシダイ</t>
    </rPh>
    <rPh sb="38" eb="40">
      <t>カイハツ</t>
    </rPh>
    <rPh sb="42" eb="46">
      <t>シワケチョウメイ</t>
    </rPh>
    <rPh sb="54" eb="56">
      <t>ヒョウジュン</t>
    </rPh>
    <rPh sb="63" eb="64">
      <t>アリ</t>
    </rPh>
    <phoneticPr fontId="24"/>
  </si>
  <si>
    <t>決算処理</t>
    <rPh sb="0" eb="4">
      <t>ケッサンショリ</t>
    </rPh>
    <phoneticPr fontId="24"/>
  </si>
  <si>
    <t>現物管理</t>
    <rPh sb="0" eb="2">
      <t>ゲンブツ</t>
    </rPh>
    <rPh sb="2" eb="4">
      <t>カンリ</t>
    </rPh>
    <phoneticPr fontId="24"/>
  </si>
  <si>
    <t>仮払現金、切手･収入印紙の棚卸しし、期末時の残高を所定の書式に記入し、財務部へ報告できること</t>
    <phoneticPr fontId="24"/>
  </si>
  <si>
    <t>仮払現金残高が確認できる</t>
    <rPh sb="0" eb="2">
      <t>カリバラ</t>
    </rPh>
    <rPh sb="2" eb="4">
      <t>ゲンキン</t>
    </rPh>
    <rPh sb="4" eb="6">
      <t>ザンダカ</t>
    </rPh>
    <rPh sb="7" eb="9">
      <t>カクニン</t>
    </rPh>
    <phoneticPr fontId="24"/>
  </si>
  <si>
    <t>外貨取引管理</t>
    <rPh sb="0" eb="2">
      <t>ガイカ</t>
    </rPh>
    <rPh sb="2" eb="4">
      <t>トリヒキ</t>
    </rPh>
    <rPh sb="4" eb="6">
      <t>カンリ</t>
    </rPh>
    <phoneticPr fontId="24"/>
  </si>
  <si>
    <t>外貨建債権債務（売掛金）リスト作成し、外貨建売掛金を期末為替洗替できること</t>
    <phoneticPr fontId="24"/>
  </si>
  <si>
    <t>外貨別売掛金明細が確認・出力できる機能</t>
    <rPh sb="2" eb="3">
      <t>ベツ</t>
    </rPh>
    <rPh sb="9" eb="11">
      <t>カクニン</t>
    </rPh>
    <rPh sb="12" eb="14">
      <t>シュツリョク</t>
    </rPh>
    <rPh sb="17" eb="19">
      <t>キノウ</t>
    </rPh>
    <phoneticPr fontId="24"/>
  </si>
  <si>
    <t>売掛金振替　【SSJ】</t>
    <rPh sb="0" eb="2">
      <t>ウリカケ</t>
    </rPh>
    <rPh sb="2" eb="3">
      <t>キン</t>
    </rPh>
    <rPh sb="3" eb="5">
      <t>フリカエ</t>
    </rPh>
    <phoneticPr fontId="24"/>
  </si>
  <si>
    <t>入金を売掛金に振替し、その売掛金に振替えた振込を未収入金に振替できること</t>
    <rPh sb="29" eb="31">
      <t>フリカエ</t>
    </rPh>
    <phoneticPr fontId="24"/>
  </si>
  <si>
    <t>売掛金を未収入金に振替できる機能</t>
    <rPh sb="14" eb="16">
      <t>キノウ</t>
    </rPh>
    <phoneticPr fontId="24"/>
  </si>
  <si>
    <t>未払費用計上【SEJ】</t>
    <rPh sb="0" eb="4">
      <t>ミバライヒヨウ</t>
    </rPh>
    <rPh sb="4" eb="6">
      <t>ケイジョウ</t>
    </rPh>
    <phoneticPr fontId="24"/>
  </si>
  <si>
    <t>大阪・四国・広島・九州の販売手数料の未払費用の得意先に資料、名古屋営業所のMBPとSMB建材の月末の請求金額表を作成できること</t>
    <rPh sb="27" eb="29">
      <t>シリョウ</t>
    </rPh>
    <rPh sb="54" eb="55">
      <t>ヒョウ</t>
    </rPh>
    <rPh sb="56" eb="58">
      <t>サクセイ</t>
    </rPh>
    <phoneticPr fontId="24"/>
  </si>
  <si>
    <t>得意先別の販売手数料の未払費用一覧が確認できる機能</t>
    <rPh sb="0" eb="4">
      <t>トクイサキベツ</t>
    </rPh>
    <rPh sb="5" eb="10">
      <t>ハンバイテスウリョウ</t>
    </rPh>
    <rPh sb="11" eb="13">
      <t>ミバライ</t>
    </rPh>
    <rPh sb="13" eb="15">
      <t>ヒヨウ</t>
    </rPh>
    <rPh sb="15" eb="17">
      <t>イチラン</t>
    </rPh>
    <rPh sb="18" eb="20">
      <t>カクニン</t>
    </rPh>
    <rPh sb="23" eb="25">
      <t>キノウ</t>
    </rPh>
    <phoneticPr fontId="24"/>
  </si>
  <si>
    <t>販売手数料に対して顧客という分析コードを使えるようにしておいて、試算表で確認するという対応</t>
    <phoneticPr fontId="24"/>
  </si>
  <si>
    <t>財務管理</t>
    <rPh sb="0" eb="4">
      <t>ザイムカンリ</t>
    </rPh>
    <phoneticPr fontId="24"/>
  </si>
  <si>
    <t>資金予測</t>
    <rPh sb="0" eb="2">
      <t>シキン</t>
    </rPh>
    <rPh sb="2" eb="4">
      <t>ヨソク</t>
    </rPh>
    <phoneticPr fontId="6"/>
  </si>
  <si>
    <t>年間計画</t>
    <rPh sb="0" eb="2">
      <t>ネンカン</t>
    </rPh>
    <rPh sb="2" eb="4">
      <t>ケイカク</t>
    </rPh>
    <phoneticPr fontId="24"/>
  </si>
  <si>
    <t>年間計画の登録</t>
    <rPh sb="0" eb="2">
      <t>ネンカン</t>
    </rPh>
    <rPh sb="2" eb="4">
      <t>ケイカク</t>
    </rPh>
    <rPh sb="5" eb="7">
      <t>トウロク</t>
    </rPh>
    <phoneticPr fontId="24"/>
  </si>
  <si>
    <t>直接法及び間接法で月次のCFの年間計画を登録できること</t>
    <rPh sb="0" eb="3">
      <t>チョクセツホウ</t>
    </rPh>
    <rPh sb="3" eb="4">
      <t>オヨ</t>
    </rPh>
    <rPh sb="5" eb="7">
      <t>カンセツ</t>
    </rPh>
    <rPh sb="7" eb="8">
      <t>ホウ</t>
    </rPh>
    <rPh sb="9" eb="11">
      <t>ゲツジ</t>
    </rPh>
    <rPh sb="15" eb="17">
      <t>ネンカン</t>
    </rPh>
    <rPh sb="17" eb="19">
      <t>ケイカク</t>
    </rPh>
    <rPh sb="20" eb="22">
      <t>トウロク</t>
    </rPh>
    <phoneticPr fontId="24"/>
  </si>
  <si>
    <t>直接法及び間接法の両方で月次CFを作成する機能</t>
    <rPh sb="0" eb="3">
      <t>チョクセツホウ</t>
    </rPh>
    <rPh sb="3" eb="4">
      <t>オヨ</t>
    </rPh>
    <rPh sb="5" eb="8">
      <t>カンセツホウ</t>
    </rPh>
    <rPh sb="9" eb="11">
      <t>リョウホウ</t>
    </rPh>
    <rPh sb="12" eb="14">
      <t>ゲツジ</t>
    </rPh>
    <rPh sb="17" eb="19">
      <t>サクセイ</t>
    </rPh>
    <rPh sb="21" eb="23">
      <t>キノウ</t>
    </rPh>
    <phoneticPr fontId="24"/>
  </si>
  <si>
    <t>予算モジュールでデータ登録後、MRで出力
（Fiｎライセンスで予算モジュールで使用可能かＭＳ確認）</t>
    <phoneticPr fontId="24"/>
  </si>
  <si>
    <t>直接法CFと間接法CFの一致が確認できること</t>
    <rPh sb="0" eb="3">
      <t>チョクセツホウ</t>
    </rPh>
    <rPh sb="6" eb="9">
      <t>カンセツホウ</t>
    </rPh>
    <rPh sb="12" eb="14">
      <t>イッチ</t>
    </rPh>
    <rPh sb="15" eb="17">
      <t>カクニン</t>
    </rPh>
    <phoneticPr fontId="24"/>
  </si>
  <si>
    <t>直接法CFと間接法CFの一致が確認する機能</t>
    <rPh sb="0" eb="3">
      <t>チョクセツホウ</t>
    </rPh>
    <rPh sb="6" eb="9">
      <t>カンセツホウ</t>
    </rPh>
    <rPh sb="12" eb="14">
      <t>イッチ</t>
    </rPh>
    <rPh sb="15" eb="17">
      <t>カクニン</t>
    </rPh>
    <rPh sb="19" eb="21">
      <t>キノウ</t>
    </rPh>
    <phoneticPr fontId="24"/>
  </si>
  <si>
    <t>目検で確認（一致するはず）</t>
    <rPh sb="0" eb="2">
      <t>メケン</t>
    </rPh>
    <rPh sb="3" eb="5">
      <t>カクニン</t>
    </rPh>
    <rPh sb="6" eb="8">
      <t>イッチ</t>
    </rPh>
    <phoneticPr fontId="24"/>
  </si>
  <si>
    <t>営業活動キャッシュフローについて、海外向け債権/債務(及び未収入金/未払金)と、国内向け債権/債務(及び未収入金/未払金)に分けて表示・登録できること</t>
    <rPh sb="0" eb="4">
      <t>エイギョウカツドウ</t>
    </rPh>
    <rPh sb="17" eb="19">
      <t>カイガイ</t>
    </rPh>
    <rPh sb="19" eb="20">
      <t>ム</t>
    </rPh>
    <rPh sb="21" eb="23">
      <t>サイケン</t>
    </rPh>
    <rPh sb="24" eb="26">
      <t>サイム</t>
    </rPh>
    <rPh sb="27" eb="28">
      <t>オヨ</t>
    </rPh>
    <rPh sb="29" eb="33">
      <t>ミシュウニュウキン</t>
    </rPh>
    <rPh sb="40" eb="42">
      <t>コクナイ</t>
    </rPh>
    <rPh sb="41" eb="44">
      <t>コクナイム</t>
    </rPh>
    <rPh sb="44" eb="46">
      <t>サイケン</t>
    </rPh>
    <rPh sb="47" eb="49">
      <t>サイム</t>
    </rPh>
    <rPh sb="50" eb="51">
      <t>オヨ</t>
    </rPh>
    <rPh sb="52" eb="54">
      <t>ミシュウ</t>
    </rPh>
    <rPh sb="54" eb="56">
      <t>ニュウキン</t>
    </rPh>
    <rPh sb="57" eb="60">
      <t>ミハライキン</t>
    </rPh>
    <rPh sb="62" eb="63">
      <t>ワ</t>
    </rPh>
    <rPh sb="63" eb="64">
      <t>ワ</t>
    </rPh>
    <rPh sb="66" eb="68">
      <t>ヒョウジ</t>
    </rPh>
    <rPh sb="69" eb="71">
      <t>トウロク</t>
    </rPh>
    <phoneticPr fontId="24"/>
  </si>
  <si>
    <t>国内・海外の債権/債務を分けて登録する機能</t>
    <rPh sb="0" eb="2">
      <t>コクナイ</t>
    </rPh>
    <rPh sb="3" eb="5">
      <t>カイガイ</t>
    </rPh>
    <rPh sb="6" eb="8">
      <t>サイケン</t>
    </rPh>
    <rPh sb="9" eb="11">
      <t>サイム</t>
    </rPh>
    <rPh sb="12" eb="13">
      <t>ワ</t>
    </rPh>
    <rPh sb="15" eb="17">
      <t>トウロク</t>
    </rPh>
    <rPh sb="19" eb="21">
      <t>キノウ</t>
    </rPh>
    <phoneticPr fontId="24"/>
  </si>
  <si>
    <t>財務分析コードで対応</t>
    <rPh sb="0" eb="2">
      <t>ザイム</t>
    </rPh>
    <rPh sb="2" eb="4">
      <t>ブンセキ</t>
    </rPh>
    <rPh sb="8" eb="10">
      <t>タイオウ</t>
    </rPh>
    <phoneticPr fontId="24"/>
  </si>
  <si>
    <t>営業活動キャッシュフローについて、債権/債務(及び未収入金/未払金)が決済方法別(ex:振り込み、手形、ファクタリング、現金等)に分けて表示・登録できること</t>
    <rPh sb="0" eb="4">
      <t>エイギョウカツドウ</t>
    </rPh>
    <rPh sb="35" eb="40">
      <t>ケッサイホウホウベツ</t>
    </rPh>
    <rPh sb="44" eb="45">
      <t>フ</t>
    </rPh>
    <rPh sb="46" eb="47">
      <t>コ</t>
    </rPh>
    <rPh sb="49" eb="51">
      <t>テガタ</t>
    </rPh>
    <rPh sb="60" eb="62">
      <t>ゲンキン</t>
    </rPh>
    <rPh sb="62" eb="63">
      <t>ナド</t>
    </rPh>
    <rPh sb="65" eb="66">
      <t>ワ</t>
    </rPh>
    <rPh sb="68" eb="70">
      <t>ヒョウジ</t>
    </rPh>
    <rPh sb="71" eb="73">
      <t>トウロク</t>
    </rPh>
    <phoneticPr fontId="24"/>
  </si>
  <si>
    <t>決済方法に分けて債権/債務を登録する機能</t>
    <rPh sb="0" eb="2">
      <t>ケッサイ</t>
    </rPh>
    <rPh sb="2" eb="4">
      <t>ホウホウ</t>
    </rPh>
    <rPh sb="5" eb="6">
      <t>ワ</t>
    </rPh>
    <phoneticPr fontId="24"/>
  </si>
  <si>
    <t>営業活動キャッシュフローについて、債権/債務(及び未収入金/未払金)がチャネル別(ex:リテール、ダイレクト、プロケア、等)にに分けて表示・登録できること</t>
    <rPh sb="0" eb="4">
      <t>エイギョウカツドウ</t>
    </rPh>
    <rPh sb="39" eb="40">
      <t>ベツ</t>
    </rPh>
    <rPh sb="60" eb="61">
      <t>トウ</t>
    </rPh>
    <rPh sb="64" eb="65">
      <t>ワ</t>
    </rPh>
    <rPh sb="67" eb="69">
      <t>ヒョウジ</t>
    </rPh>
    <rPh sb="70" eb="72">
      <t>トウロク</t>
    </rPh>
    <phoneticPr fontId="24"/>
  </si>
  <si>
    <t>チャネルに分けて登録する機能</t>
    <rPh sb="5" eb="6">
      <t>ワ</t>
    </rPh>
    <rPh sb="8" eb="10">
      <t>トウロク</t>
    </rPh>
    <rPh sb="12" eb="14">
      <t>キノウ</t>
    </rPh>
    <phoneticPr fontId="24"/>
  </si>
  <si>
    <t>債権/債務以外の科目についても、ブレイクダウンして表示できること(ex:経費⇒広告費･リベート･設備など)</t>
    <rPh sb="0" eb="2">
      <t>サイケン</t>
    </rPh>
    <rPh sb="3" eb="5">
      <t>サイム</t>
    </rPh>
    <rPh sb="5" eb="7">
      <t>イガイ</t>
    </rPh>
    <rPh sb="8" eb="10">
      <t>カモク</t>
    </rPh>
    <rPh sb="25" eb="27">
      <t>ヒョウジ</t>
    </rPh>
    <phoneticPr fontId="24"/>
  </si>
  <si>
    <t>債権/債務以外の科目についても、ブレイクダウンして表示する機能(ex:経費⇒広告費･リベート･設備など)</t>
    <rPh sb="0" eb="2">
      <t>サイケン</t>
    </rPh>
    <rPh sb="3" eb="5">
      <t>サイム</t>
    </rPh>
    <rPh sb="5" eb="7">
      <t>イガイ</t>
    </rPh>
    <rPh sb="8" eb="10">
      <t>カモク</t>
    </rPh>
    <rPh sb="25" eb="27">
      <t>ヒョウジ</t>
    </rPh>
    <rPh sb="29" eb="31">
      <t>キノウ</t>
    </rPh>
    <phoneticPr fontId="24"/>
  </si>
  <si>
    <t>財務分析コードの組み合わせで対応</t>
    <rPh sb="0" eb="2">
      <t>ザイム</t>
    </rPh>
    <rPh sb="2" eb="4">
      <t>ブンセキ</t>
    </rPh>
    <rPh sb="8" eb="9">
      <t>ク</t>
    </rPh>
    <rPh sb="10" eb="11">
      <t>ア</t>
    </rPh>
    <rPh sb="14" eb="16">
      <t>タイオウ</t>
    </rPh>
    <phoneticPr fontId="24"/>
  </si>
  <si>
    <t>過去の年間計画・実績の確認</t>
    <rPh sb="0" eb="2">
      <t>カコ</t>
    </rPh>
    <rPh sb="3" eb="5">
      <t>ネンカン</t>
    </rPh>
    <rPh sb="5" eb="7">
      <t>ケイカク</t>
    </rPh>
    <rPh sb="8" eb="10">
      <t>ジッセキ</t>
    </rPh>
    <rPh sb="11" eb="13">
      <t>カクニン</t>
    </rPh>
    <phoneticPr fontId="24"/>
  </si>
  <si>
    <t>過去5年分の年間計画が月別で確認できること</t>
    <rPh sb="0" eb="2">
      <t>カコ</t>
    </rPh>
    <rPh sb="3" eb="4">
      <t>ネン</t>
    </rPh>
    <rPh sb="4" eb="5">
      <t>ブン</t>
    </rPh>
    <rPh sb="6" eb="10">
      <t>ネンカンケイカク</t>
    </rPh>
    <rPh sb="11" eb="13">
      <t>ツキベツ</t>
    </rPh>
    <rPh sb="14" eb="16">
      <t>カクニン</t>
    </rPh>
    <phoneticPr fontId="24"/>
  </si>
  <si>
    <t>過去5年分の年間計画を保存・表示する機能</t>
    <rPh sb="0" eb="2">
      <t>カコ</t>
    </rPh>
    <rPh sb="3" eb="4">
      <t>ネン</t>
    </rPh>
    <rPh sb="4" eb="5">
      <t>ブン</t>
    </rPh>
    <rPh sb="6" eb="8">
      <t>ネンカン</t>
    </rPh>
    <rPh sb="8" eb="10">
      <t>ケイカク</t>
    </rPh>
    <rPh sb="11" eb="13">
      <t>ホゾン</t>
    </rPh>
    <rPh sb="14" eb="16">
      <t>ヒョウジ</t>
    </rPh>
    <rPh sb="18" eb="20">
      <t>キノウ</t>
    </rPh>
    <phoneticPr fontId="24"/>
  </si>
  <si>
    <t>過去5年分の年間実績が月別で確認できること</t>
    <rPh sb="0" eb="2">
      <t>カコ</t>
    </rPh>
    <rPh sb="3" eb="4">
      <t>ネン</t>
    </rPh>
    <rPh sb="4" eb="5">
      <t>ブン</t>
    </rPh>
    <rPh sb="6" eb="8">
      <t>ネンカン</t>
    </rPh>
    <rPh sb="8" eb="10">
      <t>ジッセキ</t>
    </rPh>
    <rPh sb="11" eb="13">
      <t>ツキベツ</t>
    </rPh>
    <rPh sb="14" eb="16">
      <t>カクニン</t>
    </rPh>
    <phoneticPr fontId="24"/>
  </si>
  <si>
    <t>過去5年分の年間実績を保存・表示する機能</t>
    <rPh sb="0" eb="2">
      <t>カコ</t>
    </rPh>
    <rPh sb="3" eb="4">
      <t>ネン</t>
    </rPh>
    <rPh sb="4" eb="5">
      <t>ブン</t>
    </rPh>
    <rPh sb="6" eb="8">
      <t>ネンカン</t>
    </rPh>
    <rPh sb="8" eb="10">
      <t>ジッセキ</t>
    </rPh>
    <rPh sb="11" eb="13">
      <t>ホゾン</t>
    </rPh>
    <rPh sb="14" eb="16">
      <t>ヒョウジ</t>
    </rPh>
    <rPh sb="18" eb="20">
      <t>キノウ</t>
    </rPh>
    <phoneticPr fontId="24"/>
  </si>
  <si>
    <t>月別の年間実績は、会計システムに登録されている仕訳情報から自動で作成できること</t>
    <rPh sb="0" eb="2">
      <t>ツキベツ</t>
    </rPh>
    <rPh sb="3" eb="7">
      <t>ネンカンジッセキ</t>
    </rPh>
    <rPh sb="9" eb="11">
      <t>カイケイ</t>
    </rPh>
    <rPh sb="16" eb="18">
      <t>トウロク</t>
    </rPh>
    <rPh sb="23" eb="27">
      <t>シワケジョウホウ</t>
    </rPh>
    <rPh sb="29" eb="31">
      <t>ジドウ</t>
    </rPh>
    <rPh sb="32" eb="34">
      <t>サクセイ</t>
    </rPh>
    <phoneticPr fontId="24"/>
  </si>
  <si>
    <t>計上された情報から月次CFの実績を作成し、表示する機能</t>
    <rPh sb="0" eb="2">
      <t>ケイジョウ</t>
    </rPh>
    <rPh sb="5" eb="7">
      <t>ジョウホウ</t>
    </rPh>
    <rPh sb="9" eb="11">
      <t>ゲツジ</t>
    </rPh>
    <rPh sb="14" eb="16">
      <t>ジッセキ</t>
    </rPh>
    <rPh sb="17" eb="19">
      <t>サクセイ</t>
    </rPh>
    <rPh sb="21" eb="23">
      <t>ヒョウジ</t>
    </rPh>
    <rPh sb="25" eb="27">
      <t>キノウ</t>
    </rPh>
    <phoneticPr fontId="24"/>
  </si>
  <si>
    <t>1.10</t>
    <phoneticPr fontId="24"/>
  </si>
  <si>
    <t>月別の年間実績が自動で作成される際、表示する項目のグルーピングを自由に定義できること。(ex:売掛金と未収入金の入金を”売掛金の入金”とグルーピングし表示できること。)</t>
    <rPh sb="0" eb="2">
      <t>ツキベツ</t>
    </rPh>
    <rPh sb="3" eb="7">
      <t>ネンカンジッセキ</t>
    </rPh>
    <rPh sb="8" eb="10">
      <t>ジドウ</t>
    </rPh>
    <rPh sb="18" eb="20">
      <t>ヒョウジ</t>
    </rPh>
    <rPh sb="22" eb="24">
      <t>コウモク</t>
    </rPh>
    <rPh sb="32" eb="34">
      <t>ジユウ</t>
    </rPh>
    <rPh sb="35" eb="37">
      <t>テイギ</t>
    </rPh>
    <rPh sb="47" eb="50">
      <t>ウリカケキン</t>
    </rPh>
    <rPh sb="51" eb="55">
      <t>ミシュウニュウキン</t>
    </rPh>
    <rPh sb="56" eb="58">
      <t>ニュウキン</t>
    </rPh>
    <rPh sb="60" eb="63">
      <t>ウリカケキン</t>
    </rPh>
    <rPh sb="64" eb="66">
      <t>ニュウキン</t>
    </rPh>
    <rPh sb="75" eb="77">
      <t>ヒョウジ</t>
    </rPh>
    <phoneticPr fontId="24"/>
  </si>
  <si>
    <t>表示項目に内包出来るよう、勘定科目などをグルーピングする機能</t>
    <rPh sb="0" eb="2">
      <t>ヒョウジ</t>
    </rPh>
    <rPh sb="2" eb="4">
      <t>コウモク</t>
    </rPh>
    <rPh sb="5" eb="7">
      <t>ナイホウ</t>
    </rPh>
    <rPh sb="7" eb="9">
      <t>デキ</t>
    </rPh>
    <rPh sb="13" eb="17">
      <t>カンジョウカモク</t>
    </rPh>
    <rPh sb="28" eb="30">
      <t>キノウ</t>
    </rPh>
    <phoneticPr fontId="24"/>
  </si>
  <si>
    <t>月別の入金方法/支払方法別の債権/債務(及び未収入金/未払金)のCF実績が表示・出力できること</t>
    <rPh sb="0" eb="2">
      <t>ツキベツ</t>
    </rPh>
    <rPh sb="3" eb="5">
      <t>ニュウキン</t>
    </rPh>
    <rPh sb="5" eb="7">
      <t>ホウホウ</t>
    </rPh>
    <rPh sb="8" eb="10">
      <t>シハラ</t>
    </rPh>
    <rPh sb="10" eb="12">
      <t>ホウホウ</t>
    </rPh>
    <rPh sb="12" eb="13">
      <t>ベツ</t>
    </rPh>
    <rPh sb="34" eb="36">
      <t>ジッセキ</t>
    </rPh>
    <rPh sb="37" eb="39">
      <t>ヒョウジ</t>
    </rPh>
    <rPh sb="40" eb="42">
      <t>シュツリョク</t>
    </rPh>
    <phoneticPr fontId="24"/>
  </si>
  <si>
    <t>決済方法別の債権債務CF実績の表示・出力機能</t>
    <rPh sb="0" eb="4">
      <t>ケッサイホウホウ</t>
    </rPh>
    <rPh sb="4" eb="5">
      <t>ベツ</t>
    </rPh>
    <rPh sb="6" eb="8">
      <t>サイケン</t>
    </rPh>
    <rPh sb="8" eb="10">
      <t>サイム</t>
    </rPh>
    <rPh sb="12" eb="14">
      <t>ジッセキ</t>
    </rPh>
    <rPh sb="15" eb="17">
      <t>ヒョウジ</t>
    </rPh>
    <rPh sb="18" eb="20">
      <t>シュツリョク</t>
    </rPh>
    <rPh sb="20" eb="22">
      <t>キノウ</t>
    </rPh>
    <phoneticPr fontId="24"/>
  </si>
  <si>
    <t>当年度計画</t>
    <rPh sb="0" eb="3">
      <t>トウネンド</t>
    </rPh>
    <rPh sb="3" eb="5">
      <t>ケイカク</t>
    </rPh>
    <phoneticPr fontId="24"/>
  </si>
  <si>
    <t>登録した月別のPL/BSの計画情報から、月別CFの年間計画を作成出来ること</t>
    <rPh sb="0" eb="2">
      <t>トウロク</t>
    </rPh>
    <rPh sb="4" eb="6">
      <t>ツキベツ</t>
    </rPh>
    <rPh sb="13" eb="15">
      <t>ケイカク</t>
    </rPh>
    <rPh sb="15" eb="17">
      <t>ジョウホウ</t>
    </rPh>
    <rPh sb="20" eb="22">
      <t>ツキベツ</t>
    </rPh>
    <rPh sb="25" eb="29">
      <t>ネンカンケイカク</t>
    </rPh>
    <rPh sb="30" eb="32">
      <t>サクセイ</t>
    </rPh>
    <rPh sb="32" eb="34">
      <t>デキ</t>
    </rPh>
    <phoneticPr fontId="24"/>
  </si>
  <si>
    <t>PL/BSから直接法CFを作成する機能（＝月別の年間の財務三表の計画を作る機能）</t>
    <rPh sb="7" eb="10">
      <t>チョクセツホウ</t>
    </rPh>
    <rPh sb="13" eb="15">
      <t>サクセイ</t>
    </rPh>
    <rPh sb="17" eb="19">
      <t>キノウ</t>
    </rPh>
    <rPh sb="21" eb="23">
      <t>ツキベツ</t>
    </rPh>
    <rPh sb="24" eb="26">
      <t>ネンカン</t>
    </rPh>
    <rPh sb="27" eb="29">
      <t>ザイム</t>
    </rPh>
    <rPh sb="29" eb="30">
      <t>サン</t>
    </rPh>
    <rPh sb="30" eb="31">
      <t>ヒョウ</t>
    </rPh>
    <rPh sb="32" eb="34">
      <t>ケイカク</t>
    </rPh>
    <rPh sb="35" eb="36">
      <t>ツク</t>
    </rPh>
    <rPh sb="37" eb="39">
      <t>キノウ</t>
    </rPh>
    <phoneticPr fontId="24"/>
  </si>
  <si>
    <t>登録した月別のPL/BSの計画情報から月別CFの年間計画を作成するにあたり、債権/債務(及び未収入金/未払金)は、科目別に入出金のサイトを設定することで、回収・支払のタイミングを定義できること</t>
    <rPh sb="0" eb="2">
      <t>トウロク</t>
    </rPh>
    <rPh sb="4" eb="6">
      <t>ツキベツ</t>
    </rPh>
    <rPh sb="13" eb="15">
      <t>ケイカク</t>
    </rPh>
    <rPh sb="15" eb="17">
      <t>ジョウホウ</t>
    </rPh>
    <rPh sb="19" eb="21">
      <t>ツキベツ</t>
    </rPh>
    <rPh sb="24" eb="28">
      <t>ネンカンケイカク</t>
    </rPh>
    <rPh sb="29" eb="31">
      <t>サクセイ</t>
    </rPh>
    <rPh sb="57" eb="60">
      <t>カモクベツ</t>
    </rPh>
    <rPh sb="61" eb="64">
      <t>ニュウシュッキン</t>
    </rPh>
    <rPh sb="69" eb="71">
      <t>セッテイ</t>
    </rPh>
    <rPh sb="77" eb="79">
      <t>カイシュウ</t>
    </rPh>
    <rPh sb="80" eb="82">
      <t>シハラ</t>
    </rPh>
    <rPh sb="89" eb="91">
      <t>テイギ</t>
    </rPh>
    <phoneticPr fontId="24"/>
  </si>
  <si>
    <t>債権/債務の入出金タイミングを科目別に設定する機能</t>
    <rPh sb="0" eb="2">
      <t>サイケン</t>
    </rPh>
    <rPh sb="3" eb="5">
      <t>サイム</t>
    </rPh>
    <rPh sb="6" eb="9">
      <t>ニュウシュッキン</t>
    </rPh>
    <rPh sb="15" eb="18">
      <t>カモクベツ</t>
    </rPh>
    <rPh sb="19" eb="21">
      <t>セッテイ</t>
    </rPh>
    <rPh sb="23" eb="25">
      <t>キノウ</t>
    </rPh>
    <phoneticPr fontId="24"/>
  </si>
  <si>
    <t>債権/債務に紐づく支払条件・期日で対応する</t>
    <rPh sb="0" eb="2">
      <t>サイケン</t>
    </rPh>
    <rPh sb="3" eb="5">
      <t>サイム</t>
    </rPh>
    <rPh sb="6" eb="7">
      <t>ヒモ</t>
    </rPh>
    <rPh sb="9" eb="13">
      <t>シハライジョウケン</t>
    </rPh>
    <rPh sb="14" eb="16">
      <t>キジツ</t>
    </rPh>
    <rPh sb="17" eb="19">
      <t>タイオウ</t>
    </rPh>
    <phoneticPr fontId="24"/>
  </si>
  <si>
    <t>登録した月別のPL/BSの計画情報から月別CFの年間計画を作成するにあたり、債権/債務(及び未収入金/未払金)は、チャネル別に入出金のサイトを設定することで、回収・支払のタイミングを定義できること</t>
    <rPh sb="0" eb="2">
      <t>トウロク</t>
    </rPh>
    <rPh sb="4" eb="6">
      <t>ツキベツ</t>
    </rPh>
    <rPh sb="13" eb="15">
      <t>ケイカク</t>
    </rPh>
    <rPh sb="15" eb="17">
      <t>ジョウホウ</t>
    </rPh>
    <rPh sb="19" eb="21">
      <t>ツキベツ</t>
    </rPh>
    <rPh sb="24" eb="28">
      <t>ネンカンケイカク</t>
    </rPh>
    <rPh sb="29" eb="31">
      <t>サクセイ</t>
    </rPh>
    <rPh sb="61" eb="62">
      <t>ベツ</t>
    </rPh>
    <rPh sb="63" eb="66">
      <t>ニュウシュッキン</t>
    </rPh>
    <rPh sb="71" eb="73">
      <t>セッテイ</t>
    </rPh>
    <rPh sb="79" eb="81">
      <t>カイシュウ</t>
    </rPh>
    <rPh sb="82" eb="84">
      <t>シハラ</t>
    </rPh>
    <rPh sb="91" eb="93">
      <t>テイギ</t>
    </rPh>
    <phoneticPr fontId="24"/>
  </si>
  <si>
    <t>債権/債務の入出金タイミングをチャネル別に設定する機能</t>
    <rPh sb="0" eb="2">
      <t>サイケン</t>
    </rPh>
    <rPh sb="3" eb="5">
      <t>サイム</t>
    </rPh>
    <rPh sb="6" eb="9">
      <t>ニュウシュッキン</t>
    </rPh>
    <rPh sb="19" eb="20">
      <t>ベツ</t>
    </rPh>
    <rPh sb="21" eb="23">
      <t>セッテイ</t>
    </rPh>
    <rPh sb="25" eb="27">
      <t>キノウ</t>
    </rPh>
    <phoneticPr fontId="24"/>
  </si>
  <si>
    <t>必要に応じて、昨年実績を容易に今年度計画に転記できること(ex:前年度の6月に発生した配当金支払実績を、今年度の6月の計画に転記できること)</t>
    <rPh sb="0" eb="2">
      <t>ヒツヨウ</t>
    </rPh>
    <rPh sb="3" eb="4">
      <t>オウ</t>
    </rPh>
    <rPh sb="7" eb="9">
      <t>サクネン</t>
    </rPh>
    <rPh sb="9" eb="11">
      <t>ジッセキ</t>
    </rPh>
    <rPh sb="15" eb="18">
      <t>コンネンド</t>
    </rPh>
    <rPh sb="18" eb="20">
      <t>ケイカク</t>
    </rPh>
    <rPh sb="21" eb="23">
      <t>テンキ</t>
    </rPh>
    <rPh sb="32" eb="35">
      <t>ゼンネンド</t>
    </rPh>
    <rPh sb="37" eb="38">
      <t>ガツ</t>
    </rPh>
    <rPh sb="39" eb="41">
      <t>ハッセイ</t>
    </rPh>
    <rPh sb="43" eb="46">
      <t>ハイトウキン</t>
    </rPh>
    <rPh sb="46" eb="48">
      <t>シハライ</t>
    </rPh>
    <rPh sb="48" eb="50">
      <t>ジッセキ</t>
    </rPh>
    <rPh sb="52" eb="55">
      <t>コンネンド</t>
    </rPh>
    <rPh sb="57" eb="58">
      <t>ガツ</t>
    </rPh>
    <rPh sb="59" eb="61">
      <t>ケイカク</t>
    </rPh>
    <rPh sb="62" eb="64">
      <t>テンキ</t>
    </rPh>
    <phoneticPr fontId="24"/>
  </si>
  <si>
    <t>年間資金計画の実績を、今年度計画に転記する機能</t>
    <rPh sb="0" eb="2">
      <t>ネンカン</t>
    </rPh>
    <rPh sb="2" eb="6">
      <t>シキンケイカク</t>
    </rPh>
    <rPh sb="7" eb="9">
      <t>ジッセキ</t>
    </rPh>
    <rPh sb="11" eb="14">
      <t>コンネンド</t>
    </rPh>
    <rPh sb="14" eb="16">
      <t>ケイカク</t>
    </rPh>
    <rPh sb="17" eb="19">
      <t>テンキ</t>
    </rPh>
    <rPh sb="21" eb="23">
      <t>キノウ</t>
    </rPh>
    <phoneticPr fontId="24"/>
  </si>
  <si>
    <t>別途登録した借入・貸付の情報を用いて、借入金・貸付金の返済計画が自動で年間計画に反映できること</t>
    <rPh sb="0" eb="2">
      <t>ベット</t>
    </rPh>
    <rPh sb="2" eb="4">
      <t>トウロク</t>
    </rPh>
    <rPh sb="6" eb="8">
      <t>カリイレ</t>
    </rPh>
    <rPh sb="9" eb="11">
      <t>カシツケ</t>
    </rPh>
    <rPh sb="12" eb="14">
      <t>ジョウホウ</t>
    </rPh>
    <rPh sb="15" eb="16">
      <t>モチ</t>
    </rPh>
    <rPh sb="19" eb="22">
      <t>カリイレキン</t>
    </rPh>
    <rPh sb="23" eb="26">
      <t>カシツケキン</t>
    </rPh>
    <rPh sb="27" eb="31">
      <t>ヘンサイケイカク</t>
    </rPh>
    <rPh sb="32" eb="34">
      <t>ジドウ</t>
    </rPh>
    <rPh sb="35" eb="37">
      <t>ネンカン</t>
    </rPh>
    <rPh sb="37" eb="39">
      <t>ケイカク</t>
    </rPh>
    <rPh sb="40" eb="42">
      <t>ハンエイ</t>
    </rPh>
    <phoneticPr fontId="24"/>
  </si>
  <si>
    <t>登録済みの借入金・貸付金の情報を年間資金計画に連係する機能</t>
    <rPh sb="0" eb="3">
      <t>トウロクズ</t>
    </rPh>
    <rPh sb="5" eb="8">
      <t>カリイレキン</t>
    </rPh>
    <rPh sb="9" eb="12">
      <t>カシツケキン</t>
    </rPh>
    <rPh sb="13" eb="15">
      <t>ジョウホウ</t>
    </rPh>
    <rPh sb="16" eb="18">
      <t>ネンカン</t>
    </rPh>
    <rPh sb="18" eb="22">
      <t>シキンケイカク</t>
    </rPh>
    <rPh sb="23" eb="25">
      <t>レンケイ</t>
    </rPh>
    <rPh sb="27" eb="29">
      <t>キノウ</t>
    </rPh>
    <phoneticPr fontId="24"/>
  </si>
  <si>
    <t>資金移動</t>
    <rPh sb="0" eb="2">
      <t>シキン</t>
    </rPh>
    <rPh sb="2" eb="4">
      <t>イドウ</t>
    </rPh>
    <phoneticPr fontId="24"/>
  </si>
  <si>
    <t>仕訳入力</t>
    <rPh sb="0" eb="4">
      <t>シワケニュウリョク</t>
    </rPh>
    <phoneticPr fontId="24"/>
  </si>
  <si>
    <t>画面入力で仕訳伝票を登録できること</t>
    <phoneticPr fontId="24"/>
  </si>
  <si>
    <t>仕訳伝票の登録機能</t>
    <phoneticPr fontId="24"/>
  </si>
  <si>
    <t>残高確認</t>
    <rPh sb="0" eb="4">
      <t>ザンダカカクニン</t>
    </rPh>
    <phoneticPr fontId="24"/>
  </si>
  <si>
    <t>残高照合</t>
    <rPh sb="0" eb="4">
      <t>ザンダカショウゴウ</t>
    </rPh>
    <phoneticPr fontId="24"/>
  </si>
  <si>
    <t>預金の実残高を連携させるために開発が必要
各銀行ごとに項目を追加し、FOにてデータを受け入れる</t>
    <rPh sb="0" eb="2">
      <t>ヨキン</t>
    </rPh>
    <rPh sb="3" eb="6">
      <t>ジツザンダカ</t>
    </rPh>
    <rPh sb="7" eb="9">
      <t>レンケイ</t>
    </rPh>
    <rPh sb="15" eb="17">
      <t>カイハツ</t>
    </rPh>
    <rPh sb="18" eb="20">
      <t>ヒツヨウ</t>
    </rPh>
    <rPh sb="21" eb="22">
      <t>カク</t>
    </rPh>
    <rPh sb="22" eb="24">
      <t>ギンコウ</t>
    </rPh>
    <rPh sb="27" eb="29">
      <t>コウモク</t>
    </rPh>
    <rPh sb="30" eb="32">
      <t>ツイカ</t>
    </rPh>
    <rPh sb="42" eb="43">
      <t>ウ</t>
    </rPh>
    <rPh sb="44" eb="45">
      <t>イ</t>
    </rPh>
    <phoneticPr fontId="24"/>
  </si>
  <si>
    <t>月次資金繰り</t>
    <rPh sb="0" eb="2">
      <t>ゲツジ</t>
    </rPh>
    <rPh sb="2" eb="5">
      <t>シキング</t>
    </rPh>
    <phoneticPr fontId="24"/>
  </si>
  <si>
    <t>月次資金繰り予測の更新</t>
    <rPh sb="0" eb="2">
      <t>ゲツジ</t>
    </rPh>
    <rPh sb="2" eb="4">
      <t>シキン</t>
    </rPh>
    <rPh sb="4" eb="5">
      <t>グ</t>
    </rPh>
    <rPh sb="6" eb="8">
      <t>ヨソク</t>
    </rPh>
    <rPh sb="9" eb="11">
      <t>コウシン</t>
    </rPh>
    <phoneticPr fontId="24"/>
  </si>
  <si>
    <t>計上された伝票情報から将来の月次資金予測を計算・表示できること</t>
    <rPh sb="0" eb="2">
      <t>ケイジョウ</t>
    </rPh>
    <rPh sb="5" eb="9">
      <t>デンピョウジョウホウ</t>
    </rPh>
    <rPh sb="11" eb="13">
      <t>ショウライ</t>
    </rPh>
    <rPh sb="14" eb="18">
      <t>ゲツジシキン</t>
    </rPh>
    <rPh sb="18" eb="20">
      <t>ヨソク</t>
    </rPh>
    <rPh sb="21" eb="23">
      <t>ケイサン</t>
    </rPh>
    <rPh sb="24" eb="26">
      <t>ヒョウジ</t>
    </rPh>
    <phoneticPr fontId="24"/>
  </si>
  <si>
    <t>計上された伝票情報から将来の月次資金予測を計算・表示する機能</t>
    <rPh sb="0" eb="2">
      <t>ケイジョウ</t>
    </rPh>
    <rPh sb="5" eb="9">
      <t>デンピョウジョウホウ</t>
    </rPh>
    <rPh sb="11" eb="13">
      <t>ショウライ</t>
    </rPh>
    <rPh sb="14" eb="18">
      <t>ゲツジシキン</t>
    </rPh>
    <rPh sb="18" eb="20">
      <t>ヨソク</t>
    </rPh>
    <rPh sb="21" eb="23">
      <t>ケイサン</t>
    </rPh>
    <rPh sb="24" eb="26">
      <t>ヒョウジ</t>
    </rPh>
    <rPh sb="28" eb="30">
      <t>キノウ</t>
    </rPh>
    <phoneticPr fontId="24"/>
  </si>
  <si>
    <t>予算への転送残高を使用して対応</t>
    <rPh sb="0" eb="2">
      <t>ヨサン</t>
    </rPh>
    <rPh sb="4" eb="8">
      <t>テンソウザンダカ</t>
    </rPh>
    <rPh sb="9" eb="11">
      <t>シヨウ</t>
    </rPh>
    <rPh sb="13" eb="15">
      <t>タイオウ</t>
    </rPh>
    <phoneticPr fontId="24"/>
  </si>
  <si>
    <t>上記月次資金予測が、年間資金計画で作成した月次予測と同じフォーマット(＝直接法、同じ表示項目、等）で作成・表示出来ること</t>
    <rPh sb="0" eb="2">
      <t>ジョウキ</t>
    </rPh>
    <rPh sb="2" eb="6">
      <t>ゲツジシキン</t>
    </rPh>
    <rPh sb="6" eb="8">
      <t>ヨソク</t>
    </rPh>
    <rPh sb="10" eb="12">
      <t>ネンカン</t>
    </rPh>
    <rPh sb="12" eb="16">
      <t>シキンケイカク</t>
    </rPh>
    <rPh sb="17" eb="19">
      <t>サクセイ</t>
    </rPh>
    <rPh sb="21" eb="23">
      <t>ゲツジ</t>
    </rPh>
    <rPh sb="23" eb="25">
      <t>ヨソク</t>
    </rPh>
    <rPh sb="26" eb="27">
      <t>オナ</t>
    </rPh>
    <rPh sb="36" eb="39">
      <t>チョクセツホウ</t>
    </rPh>
    <rPh sb="40" eb="41">
      <t>オナ</t>
    </rPh>
    <rPh sb="42" eb="44">
      <t>ヒョウジ</t>
    </rPh>
    <rPh sb="44" eb="46">
      <t>コウモク</t>
    </rPh>
    <rPh sb="47" eb="48">
      <t>ナド</t>
    </rPh>
    <rPh sb="50" eb="52">
      <t>サクセイ</t>
    </rPh>
    <rPh sb="53" eb="55">
      <t>ヒョウジ</t>
    </rPh>
    <rPh sb="55" eb="57">
      <t>デキ</t>
    </rPh>
    <phoneticPr fontId="24"/>
  </si>
  <si>
    <t>月次資金予測が年間資金計画と同じフォーマットで作成・表示される機能</t>
    <rPh sb="0" eb="2">
      <t>ゲツジ</t>
    </rPh>
    <rPh sb="2" eb="4">
      <t>シキン</t>
    </rPh>
    <rPh sb="4" eb="6">
      <t>ヨソク</t>
    </rPh>
    <rPh sb="7" eb="9">
      <t>ネンカン</t>
    </rPh>
    <rPh sb="9" eb="13">
      <t>シキンケイカク</t>
    </rPh>
    <rPh sb="14" eb="15">
      <t>オナ</t>
    </rPh>
    <rPh sb="23" eb="25">
      <t>サクセイ</t>
    </rPh>
    <rPh sb="26" eb="28">
      <t>ヒョウジ</t>
    </rPh>
    <rPh sb="31" eb="33">
      <t>キノウ</t>
    </rPh>
    <phoneticPr fontId="24"/>
  </si>
  <si>
    <t>必要に応じて、ある項目の数値を手入力で上書きできること(ex:社内稟議情報の収集を通じ、未計上だが将来計上されると判明している入出金の情報を、手入力で反映させるケース)</t>
    <rPh sb="0" eb="2">
      <t>ヒツヨウ</t>
    </rPh>
    <rPh sb="3" eb="4">
      <t>オウ</t>
    </rPh>
    <rPh sb="9" eb="11">
      <t>コウモク</t>
    </rPh>
    <rPh sb="12" eb="14">
      <t>スウチ</t>
    </rPh>
    <rPh sb="15" eb="16">
      <t>テ</t>
    </rPh>
    <rPh sb="16" eb="18">
      <t>ニュウリョク</t>
    </rPh>
    <rPh sb="19" eb="21">
      <t>ウワガ</t>
    </rPh>
    <rPh sb="31" eb="33">
      <t>シャナイ</t>
    </rPh>
    <rPh sb="33" eb="37">
      <t>リンギジョウホウ</t>
    </rPh>
    <rPh sb="38" eb="40">
      <t>シュウシュウ</t>
    </rPh>
    <rPh sb="41" eb="42">
      <t>ツウ</t>
    </rPh>
    <rPh sb="44" eb="47">
      <t>ミケイジョウ</t>
    </rPh>
    <rPh sb="49" eb="51">
      <t>ショウライ</t>
    </rPh>
    <rPh sb="51" eb="53">
      <t>ケイジョウ</t>
    </rPh>
    <rPh sb="57" eb="59">
      <t>ハンメイ</t>
    </rPh>
    <rPh sb="63" eb="66">
      <t>ニュウシュッキン</t>
    </rPh>
    <rPh sb="67" eb="69">
      <t>ジョウホウ</t>
    </rPh>
    <rPh sb="71" eb="74">
      <t>テニュウリョク</t>
    </rPh>
    <rPh sb="75" eb="77">
      <t>ハンエイ</t>
    </rPh>
    <phoneticPr fontId="24"/>
  </si>
  <si>
    <t>資金繰りの予測を上書き保存する機能</t>
    <rPh sb="0" eb="3">
      <t>シキング</t>
    </rPh>
    <rPh sb="5" eb="7">
      <t>ヨソク</t>
    </rPh>
    <rPh sb="8" eb="10">
      <t>ウワガ</t>
    </rPh>
    <rPh sb="11" eb="13">
      <t>ホゾン</t>
    </rPh>
    <rPh sb="15" eb="17">
      <t>キノウ</t>
    </rPh>
    <phoneticPr fontId="24"/>
  </si>
  <si>
    <t>任意の頻度で資金予測を自動更新できること</t>
    <rPh sb="0" eb="2">
      <t>ニンイ</t>
    </rPh>
    <rPh sb="3" eb="5">
      <t>ヒンド</t>
    </rPh>
    <rPh sb="6" eb="10">
      <t>シキンヨソク</t>
    </rPh>
    <rPh sb="11" eb="13">
      <t>ジドウ</t>
    </rPh>
    <rPh sb="13" eb="15">
      <t>コウシン</t>
    </rPh>
    <phoneticPr fontId="24"/>
  </si>
  <si>
    <t>資金予測を更新する機能</t>
    <rPh sb="0" eb="4">
      <t>シキンヨソク</t>
    </rPh>
    <rPh sb="5" eb="7">
      <t>コウシン</t>
    </rPh>
    <rPh sb="9" eb="11">
      <t>キノウ</t>
    </rPh>
    <phoneticPr fontId="24"/>
  </si>
  <si>
    <t>任意の頻度で資金予測更新時に、手入力の情報は上書きしないよう設定できること</t>
    <rPh sb="0" eb="2">
      <t>ニンイ</t>
    </rPh>
    <rPh sb="3" eb="5">
      <t>ヒンド</t>
    </rPh>
    <rPh sb="6" eb="10">
      <t>シキンヨソク</t>
    </rPh>
    <rPh sb="10" eb="13">
      <t>コウシンジ</t>
    </rPh>
    <rPh sb="15" eb="18">
      <t>テニュウリョク</t>
    </rPh>
    <rPh sb="19" eb="21">
      <t>ジョウホウ</t>
    </rPh>
    <rPh sb="22" eb="24">
      <t>ウワガ</t>
    </rPh>
    <rPh sb="30" eb="32">
      <t>セッテイ</t>
    </rPh>
    <phoneticPr fontId="24"/>
  </si>
  <si>
    <t>上書きした資金予測の項目が、資金予測の自動更新時も、そのまま残る機能</t>
    <rPh sb="0" eb="2">
      <t>ウワガ</t>
    </rPh>
    <rPh sb="5" eb="9">
      <t>シキンヨソク</t>
    </rPh>
    <rPh sb="10" eb="12">
      <t>コウモク</t>
    </rPh>
    <rPh sb="14" eb="18">
      <t>シキンヨソク</t>
    </rPh>
    <rPh sb="19" eb="24">
      <t>ジドウコウシンジ</t>
    </rPh>
    <rPh sb="30" eb="31">
      <t>ノコ</t>
    </rPh>
    <rPh sb="32" eb="34">
      <t>キノウ</t>
    </rPh>
    <phoneticPr fontId="24"/>
  </si>
  <si>
    <t>手入力にて、資金予測を変更した情報は修正できないように機能を修正</t>
    <rPh sb="0" eb="3">
      <t>テニュウリョク</t>
    </rPh>
    <rPh sb="6" eb="10">
      <t>シキンヨソク</t>
    </rPh>
    <rPh sb="11" eb="13">
      <t>ヘンコウ</t>
    </rPh>
    <rPh sb="15" eb="17">
      <t>ジョウホウ</t>
    </rPh>
    <rPh sb="18" eb="20">
      <t>シュウセイ</t>
    </rPh>
    <rPh sb="27" eb="29">
      <t>キノウ</t>
    </rPh>
    <rPh sb="30" eb="32">
      <t>シュウセイ</t>
    </rPh>
    <phoneticPr fontId="24"/>
  </si>
  <si>
    <t>ファクタリング・電子記録債権債務を期日前に資金化する際、元の期日ではなく、資金化の期日で月次資金繰り表に反映されること</t>
    <rPh sb="8" eb="14">
      <t>デンシキロクサイケン</t>
    </rPh>
    <rPh sb="14" eb="16">
      <t>サイム</t>
    </rPh>
    <rPh sb="17" eb="20">
      <t>キジツマエ</t>
    </rPh>
    <rPh sb="21" eb="24">
      <t>シキンカ</t>
    </rPh>
    <rPh sb="26" eb="27">
      <t>サイ</t>
    </rPh>
    <rPh sb="28" eb="29">
      <t>モト</t>
    </rPh>
    <rPh sb="30" eb="32">
      <t>キジツ</t>
    </rPh>
    <rPh sb="37" eb="40">
      <t>シキンカ</t>
    </rPh>
    <rPh sb="41" eb="43">
      <t>キジツ</t>
    </rPh>
    <rPh sb="44" eb="46">
      <t>ゲツジ</t>
    </rPh>
    <rPh sb="46" eb="49">
      <t>シキング</t>
    </rPh>
    <rPh sb="50" eb="51">
      <t>ヒョウ</t>
    </rPh>
    <rPh sb="52" eb="54">
      <t>ハンエイ</t>
    </rPh>
    <phoneticPr fontId="24"/>
  </si>
  <si>
    <t>ファクタリング・電子記録債権債務を期日前に資金化する際、元の期日ではなく、資金化の期日で月次資金繰り表に反映される機能</t>
    <rPh sb="8" eb="14">
      <t>デンシキロクサイケン</t>
    </rPh>
    <rPh sb="14" eb="16">
      <t>サイム</t>
    </rPh>
    <rPh sb="17" eb="20">
      <t>キジツマエ</t>
    </rPh>
    <rPh sb="21" eb="24">
      <t>シキンカ</t>
    </rPh>
    <rPh sb="26" eb="27">
      <t>サイ</t>
    </rPh>
    <rPh sb="28" eb="29">
      <t>モト</t>
    </rPh>
    <rPh sb="30" eb="32">
      <t>キジツ</t>
    </rPh>
    <rPh sb="37" eb="40">
      <t>シキンカ</t>
    </rPh>
    <rPh sb="41" eb="43">
      <t>キジツ</t>
    </rPh>
    <rPh sb="44" eb="46">
      <t>ゲツジ</t>
    </rPh>
    <rPh sb="46" eb="49">
      <t>シキング</t>
    </rPh>
    <rPh sb="50" eb="51">
      <t>ヒョウ</t>
    </rPh>
    <rPh sb="52" eb="54">
      <t>ハンエイ</t>
    </rPh>
    <rPh sb="57" eb="59">
      <t>キノウ</t>
    </rPh>
    <phoneticPr fontId="24"/>
  </si>
  <si>
    <t>標準で対応可能
各種仕訳帳でマニュアルで振替したものを反映</t>
    <rPh sb="0" eb="2">
      <t>ヒョウジュン</t>
    </rPh>
    <rPh sb="3" eb="5">
      <t>タイオウ</t>
    </rPh>
    <rPh sb="5" eb="7">
      <t>カノウ</t>
    </rPh>
    <rPh sb="8" eb="13">
      <t>カクシュシワケチョウ</t>
    </rPh>
    <rPh sb="20" eb="22">
      <t>フリカエ</t>
    </rPh>
    <rPh sb="27" eb="29">
      <t>ハンエイ</t>
    </rPh>
    <phoneticPr fontId="24"/>
  </si>
  <si>
    <t>ファクタリング・電子記録債権債務の期日別・取引先別の割引情報の一覧が確認できること</t>
    <rPh sb="8" eb="14">
      <t>デンシキロクサイケン</t>
    </rPh>
    <rPh sb="14" eb="16">
      <t>サイム</t>
    </rPh>
    <rPh sb="17" eb="20">
      <t>キジツベツ</t>
    </rPh>
    <rPh sb="21" eb="23">
      <t>トリヒキ</t>
    </rPh>
    <rPh sb="23" eb="25">
      <t>サキベツ</t>
    </rPh>
    <rPh sb="26" eb="28">
      <t>ワリビキ</t>
    </rPh>
    <rPh sb="28" eb="30">
      <t>ジョウホウ</t>
    </rPh>
    <rPh sb="31" eb="33">
      <t>イチラン</t>
    </rPh>
    <rPh sb="34" eb="36">
      <t>カクニン</t>
    </rPh>
    <phoneticPr fontId="24"/>
  </si>
  <si>
    <t>ファクタリング・電子記録債権債務の期日別・取引先別の割引情報の一覧を表示・出力する機能</t>
    <rPh sb="8" eb="14">
      <t>デンシキロクサイケン</t>
    </rPh>
    <rPh sb="14" eb="16">
      <t>サイム</t>
    </rPh>
    <rPh sb="17" eb="20">
      <t>キジツベツ</t>
    </rPh>
    <rPh sb="21" eb="23">
      <t>トリヒキ</t>
    </rPh>
    <rPh sb="23" eb="25">
      <t>サキベツ</t>
    </rPh>
    <rPh sb="26" eb="28">
      <t>ワリビキ</t>
    </rPh>
    <rPh sb="28" eb="30">
      <t>ジョウホウ</t>
    </rPh>
    <rPh sb="31" eb="33">
      <t>イチラン</t>
    </rPh>
    <rPh sb="34" eb="36">
      <t>ヒョウジ</t>
    </rPh>
    <rPh sb="37" eb="39">
      <t>シュツリョク</t>
    </rPh>
    <rPh sb="41" eb="43">
      <t>キノウ</t>
    </rPh>
    <phoneticPr fontId="24"/>
  </si>
  <si>
    <t>伝票トランザクションにてフィルタしてExcel出力での対応</t>
    <rPh sb="0" eb="2">
      <t>デンピョウ</t>
    </rPh>
    <rPh sb="23" eb="25">
      <t>シュツリョク</t>
    </rPh>
    <rPh sb="27" eb="29">
      <t>タイオウ</t>
    </rPh>
    <phoneticPr fontId="24"/>
  </si>
  <si>
    <t>計上された債権・債務の将来残高が、月別に表示できること</t>
    <rPh sb="0" eb="2">
      <t>ケイジョウ</t>
    </rPh>
    <rPh sb="5" eb="7">
      <t>サイケン</t>
    </rPh>
    <rPh sb="8" eb="10">
      <t>サイム</t>
    </rPh>
    <rPh sb="11" eb="15">
      <t>ショウライザンダカ</t>
    </rPh>
    <rPh sb="17" eb="19">
      <t>ツキベツ</t>
    </rPh>
    <rPh sb="20" eb="22">
      <t>ヒョウジ</t>
    </rPh>
    <phoneticPr fontId="24"/>
  </si>
  <si>
    <t>計上された債権・債務の将来残高を、月別に表示する機能</t>
    <rPh sb="0" eb="2">
      <t>ケイジョウ</t>
    </rPh>
    <rPh sb="5" eb="7">
      <t>サイケン</t>
    </rPh>
    <rPh sb="8" eb="10">
      <t>サイム</t>
    </rPh>
    <rPh sb="11" eb="15">
      <t>ショウライザンダカ</t>
    </rPh>
    <rPh sb="17" eb="19">
      <t>ツキベツ</t>
    </rPh>
    <rPh sb="20" eb="22">
      <t>ヒョウジ</t>
    </rPh>
    <rPh sb="24" eb="26">
      <t>キノウ</t>
    </rPh>
    <phoneticPr fontId="24"/>
  </si>
  <si>
    <t>仕入先残高リストおよび顧客残高リストにて対応</t>
    <rPh sb="0" eb="5">
      <t>シイレサキザンダカ</t>
    </rPh>
    <rPh sb="11" eb="15">
      <t>コキャクザンダカ</t>
    </rPh>
    <rPh sb="20" eb="22">
      <t>タイオウ</t>
    </rPh>
    <phoneticPr fontId="24"/>
  </si>
  <si>
    <t>月次資金繰り実績作成</t>
    <rPh sb="0" eb="5">
      <t>ゲツジシキング</t>
    </rPh>
    <rPh sb="6" eb="8">
      <t>ジッセキ</t>
    </rPh>
    <rPh sb="8" eb="10">
      <t>サクセイ</t>
    </rPh>
    <phoneticPr fontId="24"/>
  </si>
  <si>
    <t>年間資金計画で作成した月次予測と同じフォーマット(＝直接法、同じ表示項目、等）で月末の資金繰り実績を作成・表示出来ること</t>
    <rPh sb="0" eb="2">
      <t>ネンカン</t>
    </rPh>
    <rPh sb="2" eb="6">
      <t>シキンケイカク</t>
    </rPh>
    <rPh sb="7" eb="9">
      <t>サクセイ</t>
    </rPh>
    <rPh sb="11" eb="13">
      <t>ゲツジ</t>
    </rPh>
    <rPh sb="13" eb="15">
      <t>ヨソク</t>
    </rPh>
    <rPh sb="16" eb="17">
      <t>オナ</t>
    </rPh>
    <rPh sb="26" eb="29">
      <t>チョクセツホウ</t>
    </rPh>
    <rPh sb="30" eb="31">
      <t>オナ</t>
    </rPh>
    <rPh sb="32" eb="34">
      <t>ヒョウジ</t>
    </rPh>
    <rPh sb="34" eb="36">
      <t>コウモク</t>
    </rPh>
    <rPh sb="37" eb="38">
      <t>ナド</t>
    </rPh>
    <rPh sb="40" eb="42">
      <t>ゲツマツ</t>
    </rPh>
    <rPh sb="43" eb="46">
      <t>シキング</t>
    </rPh>
    <rPh sb="47" eb="49">
      <t>ジッセキ</t>
    </rPh>
    <rPh sb="50" eb="52">
      <t>サクセイ</t>
    </rPh>
    <rPh sb="53" eb="55">
      <t>ヒョウジ</t>
    </rPh>
    <rPh sb="55" eb="57">
      <t>デキ</t>
    </rPh>
    <phoneticPr fontId="24"/>
  </si>
  <si>
    <t>月次資金実績が年間資金計画と同じフォーマットで作成・表示される機能</t>
    <rPh sb="0" eb="2">
      <t>ゲツジ</t>
    </rPh>
    <rPh sb="2" eb="4">
      <t>シキン</t>
    </rPh>
    <rPh sb="4" eb="6">
      <t>ジッセキ</t>
    </rPh>
    <rPh sb="7" eb="9">
      <t>ネンカン</t>
    </rPh>
    <rPh sb="9" eb="13">
      <t>シキンケイカク</t>
    </rPh>
    <rPh sb="14" eb="15">
      <t>オナ</t>
    </rPh>
    <rPh sb="23" eb="25">
      <t>サクセイ</t>
    </rPh>
    <rPh sb="26" eb="28">
      <t>ヒョウジ</t>
    </rPh>
    <rPh sb="31" eb="33">
      <t>キノウ</t>
    </rPh>
    <phoneticPr fontId="24"/>
  </si>
  <si>
    <t>標準で対応可能</t>
    <rPh sb="0" eb="2">
      <t>ヒョウジュン</t>
    </rPh>
    <rPh sb="3" eb="7">
      <t>タイオウカノウ</t>
    </rPh>
    <phoneticPr fontId="24"/>
  </si>
  <si>
    <t>3.10</t>
    <phoneticPr fontId="24"/>
  </si>
  <si>
    <r>
      <t>必要に応じて、ある項目の数値を手入力で上書きできること(ex:特定の取引について、CF上で集計される科目を入れ替え、数値を変更させるケース。</t>
    </r>
    <r>
      <rPr>
        <strike/>
        <sz val="11"/>
        <rFont val="Meiryo UI"/>
        <family val="3"/>
        <charset val="128"/>
      </rPr>
      <t>社内稟議情報の収集を通じ、未計上だが将来計上されると判明している入出金の情報を、手入力で反映させるケース</t>
    </r>
    <r>
      <rPr>
        <sz val="11"/>
        <rFont val="Meiryo UI"/>
        <family val="3"/>
        <charset val="128"/>
      </rPr>
      <t>)</t>
    </r>
    <rPh sb="0" eb="2">
      <t>ヒツヨウ</t>
    </rPh>
    <rPh sb="3" eb="4">
      <t>オウ</t>
    </rPh>
    <rPh sb="9" eb="11">
      <t>コウモク</t>
    </rPh>
    <rPh sb="12" eb="14">
      <t>スウチ</t>
    </rPh>
    <rPh sb="15" eb="16">
      <t>テ</t>
    </rPh>
    <rPh sb="16" eb="18">
      <t>ニュウリョク</t>
    </rPh>
    <rPh sb="19" eb="21">
      <t>ウワガ</t>
    </rPh>
    <rPh sb="31" eb="33">
      <t>トクテイ</t>
    </rPh>
    <rPh sb="34" eb="36">
      <t>トリヒキ</t>
    </rPh>
    <rPh sb="45" eb="47">
      <t>シュウケイ</t>
    </rPh>
    <rPh sb="50" eb="52">
      <t>カモク</t>
    </rPh>
    <rPh sb="53" eb="54">
      <t>イ</t>
    </rPh>
    <rPh sb="55" eb="56">
      <t>カ</t>
    </rPh>
    <rPh sb="58" eb="60">
      <t>スウチ</t>
    </rPh>
    <rPh sb="61" eb="63">
      <t>ヘンコウ</t>
    </rPh>
    <phoneticPr fontId="24"/>
  </si>
  <si>
    <t>資金繰りの実績を上書き保存する機能</t>
    <rPh sb="0" eb="3">
      <t>シキング</t>
    </rPh>
    <rPh sb="5" eb="7">
      <t>ジッセキ</t>
    </rPh>
    <rPh sb="8" eb="10">
      <t>ウワガ</t>
    </rPh>
    <rPh sb="11" eb="13">
      <t>ホゾン</t>
    </rPh>
    <rPh sb="15" eb="17">
      <t>キノウ</t>
    </rPh>
    <phoneticPr fontId="24"/>
  </si>
  <si>
    <t>標準で対応可能
各種仕訳帳でマニュアルで振替したものを反映</t>
    <rPh sb="0" eb="2">
      <t>ヒョウジュン</t>
    </rPh>
    <rPh sb="3" eb="7">
      <t>タイオウカノウ</t>
    </rPh>
    <rPh sb="8" eb="13">
      <t>カクシュシワケチョウ</t>
    </rPh>
    <rPh sb="20" eb="22">
      <t>フリカエ</t>
    </rPh>
    <rPh sb="27" eb="29">
      <t>ハンエイ</t>
    </rPh>
    <phoneticPr fontId="24"/>
  </si>
  <si>
    <t>JPY建ての資金繰りとは別で、USD建ての資金繰りも作成・表示出来ること</t>
    <rPh sb="3" eb="4">
      <t>ダ</t>
    </rPh>
    <rPh sb="6" eb="9">
      <t>シキング</t>
    </rPh>
    <rPh sb="12" eb="13">
      <t>ベツ</t>
    </rPh>
    <rPh sb="18" eb="19">
      <t>ダ</t>
    </rPh>
    <rPh sb="21" eb="24">
      <t>シキング</t>
    </rPh>
    <rPh sb="26" eb="28">
      <t>サクセイ</t>
    </rPh>
    <rPh sb="29" eb="31">
      <t>ヒョウジ</t>
    </rPh>
    <rPh sb="31" eb="33">
      <t>デキ</t>
    </rPh>
    <phoneticPr fontId="24"/>
  </si>
  <si>
    <t>・全通貨をまとめてJPY建てで資金繰りを作成できる機能
・USD建てで計上されている債権・債務などの入出金を確認する、所謂”USD資金繰り表”が作成できる機能</t>
    <rPh sb="1" eb="4">
      <t>ゼンツウカ</t>
    </rPh>
    <rPh sb="12" eb="13">
      <t>ダ</t>
    </rPh>
    <rPh sb="15" eb="18">
      <t>シキング</t>
    </rPh>
    <rPh sb="20" eb="22">
      <t>サクセイ</t>
    </rPh>
    <rPh sb="25" eb="27">
      <t>キノウ</t>
    </rPh>
    <rPh sb="32" eb="33">
      <t>ダ</t>
    </rPh>
    <rPh sb="35" eb="37">
      <t>ケイジョウ</t>
    </rPh>
    <rPh sb="42" eb="44">
      <t>サイケン</t>
    </rPh>
    <rPh sb="45" eb="47">
      <t>サイム</t>
    </rPh>
    <rPh sb="50" eb="53">
      <t>ニュウシュッキン</t>
    </rPh>
    <rPh sb="54" eb="56">
      <t>カクニン</t>
    </rPh>
    <rPh sb="59" eb="61">
      <t>イワユル</t>
    </rPh>
    <rPh sb="65" eb="68">
      <t>シキング</t>
    </rPh>
    <rPh sb="69" eb="70">
      <t>ヒョウ</t>
    </rPh>
    <rPh sb="72" eb="74">
      <t>サクセイ</t>
    </rPh>
    <rPh sb="77" eb="79">
      <t>キノウ</t>
    </rPh>
    <phoneticPr fontId="24"/>
  </si>
  <si>
    <t>予測・実績の比較・分析</t>
    <rPh sb="0" eb="2">
      <t>ヨソク</t>
    </rPh>
    <rPh sb="3" eb="5">
      <t>ジッセキ</t>
    </rPh>
    <rPh sb="6" eb="8">
      <t>ヒカク</t>
    </rPh>
    <rPh sb="9" eb="11">
      <t>ブンセキ</t>
    </rPh>
    <phoneticPr fontId="24"/>
  </si>
  <si>
    <t>資金計画で作成した月次資金予測と月末資金実績とを横並びで比較し、項目ごとの差異が計算・表示されること</t>
    <rPh sb="0" eb="4">
      <t>シキンケイカク</t>
    </rPh>
    <rPh sb="5" eb="7">
      <t>サクセイ</t>
    </rPh>
    <rPh sb="9" eb="11">
      <t>ゲツジ</t>
    </rPh>
    <rPh sb="11" eb="13">
      <t>シキン</t>
    </rPh>
    <rPh sb="13" eb="15">
      <t>ヨソク</t>
    </rPh>
    <rPh sb="16" eb="18">
      <t>ゲツマツ</t>
    </rPh>
    <rPh sb="18" eb="20">
      <t>シキン</t>
    </rPh>
    <rPh sb="20" eb="22">
      <t>ジッセキ</t>
    </rPh>
    <rPh sb="24" eb="26">
      <t>ヨコナラ</t>
    </rPh>
    <rPh sb="28" eb="30">
      <t>ヒカク</t>
    </rPh>
    <rPh sb="32" eb="34">
      <t>コウモク</t>
    </rPh>
    <rPh sb="37" eb="39">
      <t>サイ</t>
    </rPh>
    <rPh sb="40" eb="42">
      <t>ケイサン</t>
    </rPh>
    <rPh sb="43" eb="45">
      <t>ヒョウジ</t>
    </rPh>
    <phoneticPr fontId="24"/>
  </si>
  <si>
    <t>年間計画で作成した予測と実績を比較して表示し、差異を計算する機能</t>
    <rPh sb="0" eb="2">
      <t>ネンカン</t>
    </rPh>
    <rPh sb="2" eb="4">
      <t>ケイカク</t>
    </rPh>
    <rPh sb="5" eb="7">
      <t>サクセイ</t>
    </rPh>
    <rPh sb="9" eb="11">
      <t>ヨソク</t>
    </rPh>
    <rPh sb="12" eb="14">
      <t>ジッセキ</t>
    </rPh>
    <rPh sb="15" eb="17">
      <t>ヒカク</t>
    </rPh>
    <rPh sb="19" eb="21">
      <t>ヒョウジ</t>
    </rPh>
    <rPh sb="23" eb="25">
      <t>サイ</t>
    </rPh>
    <rPh sb="26" eb="28">
      <t>ケイサン</t>
    </rPh>
    <rPh sb="30" eb="32">
      <t>キノウ</t>
    </rPh>
    <phoneticPr fontId="24"/>
  </si>
  <si>
    <t>あるタイミングにおける月末資金予測と月末資金実績とを横並びで比較し、項目ごとの差異が計算・表示されること
(ex:月末に資金調達をするにあたり、月末の1週間前次点の月末資金予測を確認した際に、その予測と月末資金実績とを横並びで比較出来ること)</t>
    <rPh sb="11" eb="13">
      <t>ゲツマツ</t>
    </rPh>
    <rPh sb="13" eb="15">
      <t>シキン</t>
    </rPh>
    <rPh sb="15" eb="17">
      <t>ヨソク</t>
    </rPh>
    <rPh sb="18" eb="20">
      <t>ゲツマツ</t>
    </rPh>
    <rPh sb="20" eb="22">
      <t>シキン</t>
    </rPh>
    <rPh sb="22" eb="24">
      <t>ジッセキ</t>
    </rPh>
    <rPh sb="26" eb="28">
      <t>ヨコナラ</t>
    </rPh>
    <rPh sb="30" eb="32">
      <t>ヒカク</t>
    </rPh>
    <rPh sb="34" eb="36">
      <t>コウモク</t>
    </rPh>
    <rPh sb="39" eb="41">
      <t>サイ</t>
    </rPh>
    <rPh sb="42" eb="44">
      <t>ケイサン</t>
    </rPh>
    <rPh sb="45" eb="47">
      <t>ヒョウジ</t>
    </rPh>
    <rPh sb="57" eb="59">
      <t>ゲツマツ</t>
    </rPh>
    <rPh sb="60" eb="64">
      <t>シキンチョウタツ</t>
    </rPh>
    <rPh sb="89" eb="91">
      <t>カクニン</t>
    </rPh>
    <rPh sb="93" eb="94">
      <t>サイ</t>
    </rPh>
    <rPh sb="98" eb="100">
      <t>ヨソク</t>
    </rPh>
    <rPh sb="101" eb="103">
      <t>ゲツマツ</t>
    </rPh>
    <rPh sb="103" eb="107">
      <t>シキンジッセキ</t>
    </rPh>
    <rPh sb="109" eb="111">
      <t>ヨコナラ</t>
    </rPh>
    <rPh sb="113" eb="115">
      <t>ヒカク</t>
    </rPh>
    <rPh sb="115" eb="117">
      <t>デキ</t>
    </rPh>
    <phoneticPr fontId="24"/>
  </si>
  <si>
    <t>月中に更新された資金予測と実績を比較して表示し、差異を計算する機能</t>
    <rPh sb="0" eb="2">
      <t>ゲッチュウ</t>
    </rPh>
    <rPh sb="3" eb="5">
      <t>コウシン</t>
    </rPh>
    <rPh sb="8" eb="10">
      <t>シキン</t>
    </rPh>
    <rPh sb="10" eb="12">
      <t>ヨソク</t>
    </rPh>
    <rPh sb="13" eb="15">
      <t>ジッセキ</t>
    </rPh>
    <rPh sb="16" eb="18">
      <t>ヒカク</t>
    </rPh>
    <rPh sb="20" eb="22">
      <t>ヒョウジ</t>
    </rPh>
    <rPh sb="24" eb="26">
      <t>サイ</t>
    </rPh>
    <rPh sb="27" eb="29">
      <t>ケイサン</t>
    </rPh>
    <rPh sb="31" eb="33">
      <t>キノウ</t>
    </rPh>
    <phoneticPr fontId="24"/>
  </si>
  <si>
    <t>債権/債務に紐づく支払条件・期日で対応する
要件次第で、要開発</t>
    <rPh sb="0" eb="2">
      <t>サイケン</t>
    </rPh>
    <rPh sb="3" eb="5">
      <t>サイム</t>
    </rPh>
    <rPh sb="6" eb="7">
      <t>ヒモ</t>
    </rPh>
    <rPh sb="9" eb="13">
      <t>シハライジョウケン</t>
    </rPh>
    <rPh sb="14" eb="16">
      <t>キジツ</t>
    </rPh>
    <rPh sb="17" eb="19">
      <t>タイオウ</t>
    </rPh>
    <rPh sb="22" eb="26">
      <t>ヨウケンシダイ</t>
    </rPh>
    <rPh sb="28" eb="29">
      <t>ヨウ</t>
    </rPh>
    <rPh sb="29" eb="31">
      <t>カイハツ</t>
    </rPh>
    <phoneticPr fontId="24"/>
  </si>
  <si>
    <t>調達・運用・通貨交換</t>
    <rPh sb="0" eb="2">
      <t>チョウタツ</t>
    </rPh>
    <rPh sb="3" eb="5">
      <t>ウンヨウ</t>
    </rPh>
    <rPh sb="6" eb="10">
      <t>ツウカコウカン</t>
    </rPh>
    <phoneticPr fontId="6"/>
  </si>
  <si>
    <t>銀行借入</t>
    <rPh sb="0" eb="2">
      <t>ギンコウ</t>
    </rPh>
    <rPh sb="2" eb="3">
      <t>カ</t>
    </rPh>
    <rPh sb="3" eb="4">
      <t>イ</t>
    </rPh>
    <phoneticPr fontId="24"/>
  </si>
  <si>
    <t>登録・管理</t>
    <rPh sb="0" eb="2">
      <t>トウロク</t>
    </rPh>
    <rPh sb="3" eb="5">
      <t>カンリ</t>
    </rPh>
    <phoneticPr fontId="24"/>
  </si>
  <si>
    <t>借入発生時、金額・通貨・金利・金利条件・利息発生タイミング・借入期間・返済タイミング・借入先などの情報を入力し、借入金を会計システム内で管理出来ること</t>
    <rPh sb="0" eb="5">
      <t>カリイレハッセイジ</t>
    </rPh>
    <rPh sb="6" eb="8">
      <t>キンガク</t>
    </rPh>
    <rPh sb="9" eb="11">
      <t>ツウカ</t>
    </rPh>
    <rPh sb="12" eb="14">
      <t>キンリ</t>
    </rPh>
    <rPh sb="15" eb="19">
      <t>キンリジョウケン</t>
    </rPh>
    <rPh sb="20" eb="22">
      <t>リソク</t>
    </rPh>
    <rPh sb="22" eb="24">
      <t>ハッセイ</t>
    </rPh>
    <rPh sb="30" eb="32">
      <t>カリイレ</t>
    </rPh>
    <rPh sb="32" eb="34">
      <t>キカン</t>
    </rPh>
    <rPh sb="35" eb="37">
      <t>ヘンサイ</t>
    </rPh>
    <rPh sb="43" eb="46">
      <t>カリイレサキ</t>
    </rPh>
    <rPh sb="49" eb="51">
      <t>ジョウホウ</t>
    </rPh>
    <rPh sb="52" eb="54">
      <t>ニュウリョク</t>
    </rPh>
    <rPh sb="56" eb="59">
      <t>カリイレキン</t>
    </rPh>
    <rPh sb="60" eb="62">
      <t>カイケイ</t>
    </rPh>
    <rPh sb="66" eb="67">
      <t>ナイ</t>
    </rPh>
    <rPh sb="68" eb="70">
      <t>カンリ</t>
    </rPh>
    <rPh sb="70" eb="72">
      <t>デキ</t>
    </rPh>
    <phoneticPr fontId="24"/>
  </si>
  <si>
    <t>借入金を登録・管理する機能</t>
    <rPh sb="0" eb="3">
      <t>カリイレキン</t>
    </rPh>
    <rPh sb="4" eb="6">
      <t>トウロク</t>
    </rPh>
    <rPh sb="7" eb="9">
      <t>カンリ</t>
    </rPh>
    <rPh sb="11" eb="13">
      <t>キノウ</t>
    </rPh>
    <phoneticPr fontId="24"/>
  </si>
  <si>
    <t>金額・通貨・金利・金利条件・利息発生タイミング・借入期間・返済タイミング・借入先などを各種仕訳帳および仕入先トランザクションで登録・管理できるようにする</t>
    <rPh sb="43" eb="48">
      <t>カクシュシワケチョウ</t>
    </rPh>
    <rPh sb="51" eb="54">
      <t>シイレサキ</t>
    </rPh>
    <rPh sb="63" eb="65">
      <t>トウロク</t>
    </rPh>
    <rPh sb="66" eb="68">
      <t>カンリ</t>
    </rPh>
    <phoneticPr fontId="24"/>
  </si>
  <si>
    <t>登録した借入金に、契約書のPDFを添付できること、または計上し借入金の仕訳に契約書のPDFを添付できること</t>
    <rPh sb="0" eb="2">
      <t>トウロク</t>
    </rPh>
    <rPh sb="4" eb="6">
      <t>カリイレ</t>
    </rPh>
    <rPh sb="6" eb="7">
      <t>キン</t>
    </rPh>
    <rPh sb="8" eb="11">
      <t>ケイヤクショ</t>
    </rPh>
    <rPh sb="16" eb="18">
      <t>テンプ</t>
    </rPh>
    <rPh sb="27" eb="29">
      <t>ケイジョウ</t>
    </rPh>
    <rPh sb="31" eb="33">
      <t>カリイレ</t>
    </rPh>
    <rPh sb="33" eb="34">
      <t>キン</t>
    </rPh>
    <rPh sb="34" eb="36">
      <t>シワケ</t>
    </rPh>
    <rPh sb="37" eb="40">
      <t>ケイヤクショ</t>
    </rPh>
    <rPh sb="45" eb="47">
      <t>テンプ</t>
    </rPh>
    <phoneticPr fontId="24"/>
  </si>
  <si>
    <t>借入金に契約書を添付する機能</t>
    <rPh sb="8" eb="10">
      <t>テンプ</t>
    </rPh>
    <phoneticPr fontId="24"/>
  </si>
  <si>
    <t>保存先はAzure BlobかSPO</t>
    <rPh sb="0" eb="3">
      <t>ホゾンサキ</t>
    </rPh>
    <phoneticPr fontId="24"/>
  </si>
  <si>
    <t>金融機関別で同日に発生した複数の借入金を、簡便的に一括登録できること</t>
    <rPh sb="0" eb="5">
      <t>キンユウキカンベツ</t>
    </rPh>
    <rPh sb="6" eb="8">
      <t>ドウジツ</t>
    </rPh>
    <rPh sb="9" eb="11">
      <t>ハッセイ</t>
    </rPh>
    <rPh sb="13" eb="15">
      <t>フクスウ</t>
    </rPh>
    <rPh sb="16" eb="19">
      <t>カリイレキン</t>
    </rPh>
    <rPh sb="21" eb="24">
      <t>カンベンテキ</t>
    </rPh>
    <rPh sb="25" eb="29">
      <t>イッカツトウロク</t>
    </rPh>
    <phoneticPr fontId="24"/>
  </si>
  <si>
    <t>借入金の仕訳を一括登録する機能</t>
    <rPh sb="0" eb="3">
      <t>カリイレキン</t>
    </rPh>
    <rPh sb="4" eb="6">
      <t>シワケ</t>
    </rPh>
    <rPh sb="7" eb="11">
      <t>イッカツトウロク</t>
    </rPh>
    <rPh sb="13" eb="15">
      <t>キノウ</t>
    </rPh>
    <phoneticPr fontId="24"/>
  </si>
  <si>
    <t>FBデータのインポート</t>
    <phoneticPr fontId="24"/>
  </si>
  <si>
    <t>利息額の計算</t>
    <rPh sb="0" eb="3">
      <t>リソクガク</t>
    </rPh>
    <rPh sb="4" eb="6">
      <t>ケイサン</t>
    </rPh>
    <phoneticPr fontId="24"/>
  </si>
  <si>
    <t>登録済みの情報を用いて、支払利息の金額を自動計算できること</t>
    <rPh sb="0" eb="3">
      <t>トウロクズ</t>
    </rPh>
    <rPh sb="5" eb="7">
      <t>ジョウホウ</t>
    </rPh>
    <rPh sb="8" eb="9">
      <t>モチ</t>
    </rPh>
    <rPh sb="12" eb="14">
      <t>シハラ</t>
    </rPh>
    <rPh sb="14" eb="16">
      <t>リソク</t>
    </rPh>
    <rPh sb="17" eb="19">
      <t>キンガク</t>
    </rPh>
    <rPh sb="20" eb="24">
      <t>ジドウケイサン</t>
    </rPh>
    <phoneticPr fontId="24"/>
  </si>
  <si>
    <t>任意の期間の支払利息を自動計算する機能</t>
    <rPh sb="0" eb="2">
      <t>ニンイ</t>
    </rPh>
    <rPh sb="3" eb="5">
      <t>キカン</t>
    </rPh>
    <rPh sb="6" eb="8">
      <t>シハラ</t>
    </rPh>
    <rPh sb="8" eb="10">
      <t>リソク</t>
    </rPh>
    <rPh sb="11" eb="15">
      <t>ジドウケイサン</t>
    </rPh>
    <rPh sb="17" eb="19">
      <t>キノウ</t>
    </rPh>
    <phoneticPr fontId="24"/>
  </si>
  <si>
    <t>4.1 にて登録された情報をもとに、未決済の仕入先トランザクションより利息を計算する機能を各種仕訳帳に登録する</t>
    <rPh sb="6" eb="8">
      <t>トウロク</t>
    </rPh>
    <rPh sb="11" eb="13">
      <t>ジョウホウ</t>
    </rPh>
    <rPh sb="18" eb="21">
      <t>ミケッサイ</t>
    </rPh>
    <rPh sb="22" eb="25">
      <t>シイレサキ</t>
    </rPh>
    <rPh sb="35" eb="37">
      <t>リソク</t>
    </rPh>
    <rPh sb="38" eb="40">
      <t>ケイサン</t>
    </rPh>
    <rPh sb="42" eb="44">
      <t>キノウ</t>
    </rPh>
    <rPh sb="45" eb="50">
      <t>カクシュシワケチョウ</t>
    </rPh>
    <rPh sb="51" eb="53">
      <t>トウロク</t>
    </rPh>
    <phoneticPr fontId="24"/>
  </si>
  <si>
    <t>利息の仕訳計上</t>
    <rPh sb="0" eb="2">
      <t>リソク</t>
    </rPh>
    <rPh sb="3" eb="7">
      <t>シワケケイジョウ</t>
    </rPh>
    <phoneticPr fontId="24"/>
  </si>
  <si>
    <t>登録済みの情報を用いて、支払利息の仕訳が自動計上できること</t>
    <rPh sb="0" eb="3">
      <t>トウロクズ</t>
    </rPh>
    <rPh sb="5" eb="7">
      <t>ジョウホウ</t>
    </rPh>
    <rPh sb="8" eb="9">
      <t>モチ</t>
    </rPh>
    <rPh sb="12" eb="16">
      <t>シハライリソク</t>
    </rPh>
    <rPh sb="17" eb="19">
      <t>シワケ</t>
    </rPh>
    <rPh sb="20" eb="24">
      <t>ジドウケイジョウ</t>
    </rPh>
    <phoneticPr fontId="24"/>
  </si>
  <si>
    <t>支払利息の仕訳を自動計上する機能</t>
    <rPh sb="0" eb="2">
      <t>シハラ</t>
    </rPh>
    <rPh sb="2" eb="4">
      <t>リソク</t>
    </rPh>
    <rPh sb="5" eb="7">
      <t>シワケ</t>
    </rPh>
    <rPh sb="8" eb="10">
      <t>ジドウ</t>
    </rPh>
    <rPh sb="10" eb="12">
      <t>ケイジョウ</t>
    </rPh>
    <rPh sb="14" eb="16">
      <t>キノウ</t>
    </rPh>
    <phoneticPr fontId="24"/>
  </si>
  <si>
    <t>4.4 にて計算された情報を各種仕訳帳に起票する処理を追加する(転記まではしない(転記は手動))</t>
    <rPh sb="6" eb="8">
      <t>ケイサン</t>
    </rPh>
    <rPh sb="11" eb="13">
      <t>ジョウホウ</t>
    </rPh>
    <rPh sb="14" eb="19">
      <t>カクシュシワケチョウ</t>
    </rPh>
    <rPh sb="20" eb="22">
      <t>キヒョウ</t>
    </rPh>
    <rPh sb="24" eb="26">
      <t>ショリ</t>
    </rPh>
    <rPh sb="27" eb="29">
      <t>ツイカ</t>
    </rPh>
    <rPh sb="32" eb="34">
      <t>テンキ</t>
    </rPh>
    <rPh sb="41" eb="43">
      <t>テンキ</t>
    </rPh>
    <rPh sb="44" eb="46">
      <t>シュドウ</t>
    </rPh>
    <phoneticPr fontId="24"/>
  </si>
  <si>
    <t>長短振替</t>
    <rPh sb="0" eb="2">
      <t>チョウタン</t>
    </rPh>
    <rPh sb="2" eb="4">
      <t>フリカエ</t>
    </rPh>
    <phoneticPr fontId="24"/>
  </si>
  <si>
    <t>1年超の借入について、返済期間が1年未満となった際に、自動で長短振替ができること、または簡便的な方法で仕訳を計上できること(ex:借入期の登録画面から、ボタン一つで長短振替を行える)</t>
    <rPh sb="1" eb="3">
      <t>ネンチョウ</t>
    </rPh>
    <rPh sb="4" eb="6">
      <t>カリイレ</t>
    </rPh>
    <rPh sb="11" eb="15">
      <t>ヘンサイキカン</t>
    </rPh>
    <rPh sb="17" eb="20">
      <t>ネンミマン</t>
    </rPh>
    <rPh sb="24" eb="25">
      <t>サイ</t>
    </rPh>
    <rPh sb="27" eb="29">
      <t>ジドウ</t>
    </rPh>
    <rPh sb="30" eb="32">
      <t>チョウタン</t>
    </rPh>
    <rPh sb="32" eb="34">
      <t>フリカエ</t>
    </rPh>
    <rPh sb="44" eb="47">
      <t>カンベンテキ</t>
    </rPh>
    <rPh sb="48" eb="50">
      <t>ホウホウ</t>
    </rPh>
    <rPh sb="51" eb="53">
      <t>シワケ</t>
    </rPh>
    <rPh sb="54" eb="56">
      <t>ケイジョウ</t>
    </rPh>
    <rPh sb="65" eb="68">
      <t>カリイレキ</t>
    </rPh>
    <rPh sb="69" eb="73">
      <t>トウロクガメン</t>
    </rPh>
    <rPh sb="79" eb="80">
      <t>ヒト</t>
    </rPh>
    <rPh sb="82" eb="86">
      <t>チョウタンフリカエ</t>
    </rPh>
    <rPh sb="87" eb="88">
      <t>オコナ</t>
    </rPh>
    <phoneticPr fontId="24"/>
  </si>
  <si>
    <t>長期借入金を短期借入金に自動振替する機能</t>
    <rPh sb="0" eb="5">
      <t>チョウキカリイレキン</t>
    </rPh>
    <rPh sb="6" eb="11">
      <t>タンキカリイレキン</t>
    </rPh>
    <rPh sb="12" eb="14">
      <t>ジドウ</t>
    </rPh>
    <rPh sb="14" eb="16">
      <t>フリカエ</t>
    </rPh>
    <rPh sb="18" eb="20">
      <t>キノウ</t>
    </rPh>
    <phoneticPr fontId="24"/>
  </si>
  <si>
    <t>4.1 にて登録された情報をもとに、長期借入金を短期借入金に自動振替する機能を各種仕訳帳に追加する
(転記まではしない(転記は手動))</t>
    <rPh sb="6" eb="8">
      <t>トウロク</t>
    </rPh>
    <rPh sb="11" eb="13">
      <t>ジョウホウ</t>
    </rPh>
    <rPh sb="18" eb="23">
      <t>チョウキカリイレキン</t>
    </rPh>
    <rPh sb="24" eb="26">
      <t>タンキ</t>
    </rPh>
    <rPh sb="26" eb="29">
      <t>カリイレキン</t>
    </rPh>
    <rPh sb="30" eb="34">
      <t>ジドウフリカエ</t>
    </rPh>
    <rPh sb="36" eb="38">
      <t>キノウ</t>
    </rPh>
    <rPh sb="39" eb="44">
      <t>カクシュシワケチョウ</t>
    </rPh>
    <rPh sb="45" eb="47">
      <t>ツイカ</t>
    </rPh>
    <phoneticPr fontId="24"/>
  </si>
  <si>
    <t>返済</t>
    <rPh sb="0" eb="2">
      <t>ヘンサイ</t>
    </rPh>
    <phoneticPr fontId="24"/>
  </si>
  <si>
    <t>事前に登録された借入金の情報から、自動で返済の仕訳が計上できること、または、登録画面から簡便的な方法で返済の仕訳が計上できること</t>
    <rPh sb="0" eb="2">
      <t>ジゼン</t>
    </rPh>
    <rPh sb="3" eb="5">
      <t>トウロク</t>
    </rPh>
    <rPh sb="8" eb="10">
      <t>カリイレ</t>
    </rPh>
    <rPh sb="10" eb="11">
      <t>キン</t>
    </rPh>
    <rPh sb="12" eb="14">
      <t>ジョウホウ</t>
    </rPh>
    <rPh sb="17" eb="19">
      <t>ジドウ</t>
    </rPh>
    <rPh sb="20" eb="22">
      <t>ヘンサイ</t>
    </rPh>
    <rPh sb="23" eb="25">
      <t>シワケ</t>
    </rPh>
    <rPh sb="26" eb="28">
      <t>ケイジョウ</t>
    </rPh>
    <rPh sb="38" eb="40">
      <t>トウロク</t>
    </rPh>
    <rPh sb="40" eb="42">
      <t>ガメン</t>
    </rPh>
    <rPh sb="44" eb="46">
      <t>カンベン</t>
    </rPh>
    <rPh sb="46" eb="47">
      <t>テキ</t>
    </rPh>
    <rPh sb="48" eb="50">
      <t>ホウホウ</t>
    </rPh>
    <rPh sb="51" eb="53">
      <t>ヘンサイ</t>
    </rPh>
    <rPh sb="54" eb="56">
      <t>シワケ</t>
    </rPh>
    <rPh sb="57" eb="59">
      <t>ケイジョウ</t>
    </rPh>
    <phoneticPr fontId="24"/>
  </si>
  <si>
    <t>借入金の返済仕訳を自動計上する機能</t>
    <rPh sb="0" eb="3">
      <t>カリイレキン</t>
    </rPh>
    <rPh sb="4" eb="8">
      <t>ヘンサイシワケ</t>
    </rPh>
    <rPh sb="9" eb="13">
      <t>ジドウケイジョウ</t>
    </rPh>
    <rPh sb="15" eb="17">
      <t>キノウ</t>
    </rPh>
    <phoneticPr fontId="24"/>
  </si>
  <si>
    <t>4.1 にて登録された情報をもとに、借入金の返済仕訳を起票する処理を各種仕訳帳に追加する(転記まではしない)</t>
    <rPh sb="6" eb="8">
      <t>トウロク</t>
    </rPh>
    <rPh sb="11" eb="13">
      <t>ジョウホウ</t>
    </rPh>
    <rPh sb="18" eb="21">
      <t>カリイレキン</t>
    </rPh>
    <rPh sb="22" eb="24">
      <t>ヘンサイ</t>
    </rPh>
    <rPh sb="24" eb="26">
      <t>シワケ</t>
    </rPh>
    <rPh sb="27" eb="29">
      <t>キヒョウ</t>
    </rPh>
    <rPh sb="31" eb="33">
      <t>ショリ</t>
    </rPh>
    <rPh sb="34" eb="36">
      <t>カクシュ</t>
    </rPh>
    <rPh sb="36" eb="39">
      <t>シワケチョウ</t>
    </rPh>
    <rPh sb="40" eb="42">
      <t>ツイカ</t>
    </rPh>
    <rPh sb="45" eb="47">
      <t>テンキ</t>
    </rPh>
    <phoneticPr fontId="24"/>
  </si>
  <si>
    <t>残高管理</t>
    <rPh sb="0" eb="4">
      <t>ザンダカカンリ</t>
    </rPh>
    <phoneticPr fontId="24"/>
  </si>
  <si>
    <t>契約ごとに明細を分け、借入金の一覧が表示できること</t>
    <rPh sb="0" eb="2">
      <t>ケイヤク</t>
    </rPh>
    <rPh sb="5" eb="7">
      <t>メイサイ</t>
    </rPh>
    <rPh sb="8" eb="9">
      <t>ワ</t>
    </rPh>
    <rPh sb="11" eb="14">
      <t>カリイレキン</t>
    </rPh>
    <rPh sb="15" eb="17">
      <t>イチラン</t>
    </rPh>
    <rPh sb="18" eb="20">
      <t>ヒョウジ</t>
    </rPh>
    <phoneticPr fontId="24"/>
  </si>
  <si>
    <t>月末時点の借入金の残高一覧を表示する機能</t>
    <rPh sb="0" eb="4">
      <t>ゲツマツジテン</t>
    </rPh>
    <rPh sb="5" eb="8">
      <t>カリイレキン</t>
    </rPh>
    <rPh sb="9" eb="13">
      <t>ザンダカイチラン</t>
    </rPh>
    <rPh sb="14" eb="16">
      <t>ヒョウジ</t>
    </rPh>
    <rPh sb="18" eb="20">
      <t>キノウ</t>
    </rPh>
    <phoneticPr fontId="24"/>
  </si>
  <si>
    <t>残高一覧は仕入先残高リストにて対応可能</t>
    <rPh sb="0" eb="4">
      <t>ザンダカイチラン</t>
    </rPh>
    <rPh sb="5" eb="10">
      <t>シイレサキザンダカ</t>
    </rPh>
    <rPh sb="15" eb="19">
      <t>タイオウカノウ</t>
    </rPh>
    <phoneticPr fontId="24"/>
  </si>
  <si>
    <t>金融機関別・通貨別の借入残高の一覧が計算・表示できること</t>
    <rPh sb="0" eb="5">
      <t>キンユウキカンベツ</t>
    </rPh>
    <rPh sb="6" eb="9">
      <t>ツウカベツ</t>
    </rPh>
    <rPh sb="10" eb="12">
      <t>カリイレ</t>
    </rPh>
    <rPh sb="12" eb="14">
      <t>ザンダカ</t>
    </rPh>
    <rPh sb="15" eb="17">
      <t>イチラン</t>
    </rPh>
    <rPh sb="18" eb="20">
      <t>ケイサン</t>
    </rPh>
    <rPh sb="21" eb="23">
      <t>ヒョウジ</t>
    </rPh>
    <phoneticPr fontId="24"/>
  </si>
  <si>
    <t>月末時点の金融機関別・通貨別の借入残高の一覧を計算・表示する機能</t>
    <rPh sb="0" eb="4">
      <t>ゲツマツジテン</t>
    </rPh>
    <rPh sb="5" eb="10">
      <t>キンユウキカンベツ</t>
    </rPh>
    <rPh sb="11" eb="14">
      <t>ツウカベツ</t>
    </rPh>
    <rPh sb="15" eb="17">
      <t>カリイレ</t>
    </rPh>
    <rPh sb="17" eb="19">
      <t>ザンダカ</t>
    </rPh>
    <rPh sb="20" eb="22">
      <t>イチラン</t>
    </rPh>
    <rPh sb="23" eb="25">
      <t>ケイサン</t>
    </rPh>
    <rPh sb="26" eb="28">
      <t>ヒョウジ</t>
    </rPh>
    <rPh sb="30" eb="32">
      <t>キノウ</t>
    </rPh>
    <phoneticPr fontId="24"/>
  </si>
  <si>
    <t>4.10</t>
    <phoneticPr fontId="24"/>
  </si>
  <si>
    <t>過去に借り入れた時の利率確認等を行うために、過去5年分の借入の履歴を保持・表示できること</t>
    <rPh sb="0" eb="2">
      <t>カコ</t>
    </rPh>
    <rPh sb="3" eb="4">
      <t>カ</t>
    </rPh>
    <rPh sb="5" eb="6">
      <t>イ</t>
    </rPh>
    <rPh sb="8" eb="9">
      <t>トキ</t>
    </rPh>
    <rPh sb="10" eb="12">
      <t>リリツ</t>
    </rPh>
    <rPh sb="12" eb="14">
      <t>カクニン</t>
    </rPh>
    <rPh sb="14" eb="15">
      <t>トウ</t>
    </rPh>
    <rPh sb="16" eb="17">
      <t>オコナ</t>
    </rPh>
    <rPh sb="22" eb="24">
      <t>カコ</t>
    </rPh>
    <rPh sb="25" eb="27">
      <t>ネンブン</t>
    </rPh>
    <rPh sb="28" eb="30">
      <t>カリイレ</t>
    </rPh>
    <rPh sb="31" eb="33">
      <t>リレキ</t>
    </rPh>
    <rPh sb="34" eb="36">
      <t>ホジ</t>
    </rPh>
    <rPh sb="37" eb="39">
      <t>ヒョウジ</t>
    </rPh>
    <phoneticPr fontId="24"/>
  </si>
  <si>
    <t>過去に発生した5年分の借入金のデータを保存する機能</t>
    <rPh sb="0" eb="2">
      <t>カコ</t>
    </rPh>
    <rPh sb="3" eb="5">
      <t>ハッセイ</t>
    </rPh>
    <rPh sb="8" eb="10">
      <t>ネンブン</t>
    </rPh>
    <rPh sb="11" eb="13">
      <t>カリイレ</t>
    </rPh>
    <rPh sb="13" eb="14">
      <t>キン</t>
    </rPh>
    <rPh sb="19" eb="21">
      <t>ホゾン</t>
    </rPh>
    <rPh sb="23" eb="25">
      <t>キノウ</t>
    </rPh>
    <phoneticPr fontId="24"/>
  </si>
  <si>
    <t>・将来の残高/返済額/利息額が年別で表示されること
・明細毎にブレイクダウン出来ること</t>
    <rPh sb="7" eb="10">
      <t>ヘンサイガク</t>
    </rPh>
    <rPh sb="11" eb="14">
      <t>リソクガク</t>
    </rPh>
    <rPh sb="15" eb="17">
      <t>ネンベツ</t>
    </rPh>
    <rPh sb="18" eb="20">
      <t>ヒョウジ</t>
    </rPh>
    <rPh sb="27" eb="30">
      <t>メイサイゴト</t>
    </rPh>
    <rPh sb="38" eb="40">
      <t>デキ</t>
    </rPh>
    <phoneticPr fontId="24"/>
  </si>
  <si>
    <t>・将来の残高/返済額/利息額が年別で表示される機能
・明細毎にブレイクダウンする機能</t>
    <rPh sb="1" eb="3">
      <t>ショウライ</t>
    </rPh>
    <rPh sb="4" eb="6">
      <t>ザンダカ</t>
    </rPh>
    <rPh sb="7" eb="10">
      <t>ヘンサイガク</t>
    </rPh>
    <rPh sb="11" eb="14">
      <t>リソクガク</t>
    </rPh>
    <rPh sb="15" eb="17">
      <t>ネンベツ</t>
    </rPh>
    <rPh sb="18" eb="20">
      <t>ヒョウジ</t>
    </rPh>
    <rPh sb="23" eb="25">
      <t>キノウ</t>
    </rPh>
    <rPh sb="27" eb="30">
      <t>メイサイゴト</t>
    </rPh>
    <rPh sb="40" eb="42">
      <t>キノウ</t>
    </rPh>
    <phoneticPr fontId="24"/>
  </si>
  <si>
    <t>下記の2階層の画面を開発
1階層目：将来の残高/返済額/利息額が年別で表示される機能
2階層目：明細毎にブレイクダウンする機能
1階層目の項目1つ(借入先など)を押下することで、2階層目へ遷移</t>
    <rPh sb="0" eb="2">
      <t>カキ</t>
    </rPh>
    <rPh sb="4" eb="6">
      <t>カイソウ</t>
    </rPh>
    <rPh sb="7" eb="9">
      <t>ガメン</t>
    </rPh>
    <rPh sb="10" eb="12">
      <t>カイハツ</t>
    </rPh>
    <rPh sb="14" eb="17">
      <t>カイソウメ</t>
    </rPh>
    <rPh sb="44" eb="47">
      <t>カイソウメ</t>
    </rPh>
    <rPh sb="65" eb="68">
      <t>カイソウメ</t>
    </rPh>
    <rPh sb="69" eb="71">
      <t>コウモク</t>
    </rPh>
    <rPh sb="74" eb="77">
      <t>カリイレサキ</t>
    </rPh>
    <rPh sb="81" eb="83">
      <t>オウカ</t>
    </rPh>
    <rPh sb="90" eb="93">
      <t>カイソウメ</t>
    </rPh>
    <rPh sb="94" eb="96">
      <t>センイ</t>
    </rPh>
    <phoneticPr fontId="24"/>
  </si>
  <si>
    <t>支払手数料の確認</t>
    <rPh sb="0" eb="2">
      <t>シハラ</t>
    </rPh>
    <rPh sb="2" eb="5">
      <t>テスウリョウ</t>
    </rPh>
    <rPh sb="6" eb="8">
      <t>カクニン</t>
    </rPh>
    <phoneticPr fontId="24"/>
  </si>
  <si>
    <t>円貨口座から外貨を払う場合や、外貨を円貨口座へ入金する場合に、通貨交換に伴い金融機関に支払う費用を会計システム内で計算・管理できること
(ex:例えばUSDを円口座に入金する際、1USDあたり1円のマージンが発生する時、その入金で発生するマージンの合計金額が自動で計算されること)</t>
    <rPh sb="0" eb="2">
      <t>エンカ</t>
    </rPh>
    <rPh sb="2" eb="4">
      <t>コウザ</t>
    </rPh>
    <rPh sb="6" eb="8">
      <t>ガイカ</t>
    </rPh>
    <rPh sb="9" eb="10">
      <t>ハラ</t>
    </rPh>
    <rPh sb="11" eb="13">
      <t>バアイ</t>
    </rPh>
    <rPh sb="15" eb="17">
      <t>ガイカ</t>
    </rPh>
    <rPh sb="18" eb="20">
      <t>エンカ</t>
    </rPh>
    <rPh sb="20" eb="22">
      <t>コウザ</t>
    </rPh>
    <rPh sb="23" eb="25">
      <t>ニュウキン</t>
    </rPh>
    <rPh sb="27" eb="29">
      <t>バアイ</t>
    </rPh>
    <rPh sb="31" eb="35">
      <t>ツウカコウカン</t>
    </rPh>
    <rPh sb="36" eb="37">
      <t>トモナ</t>
    </rPh>
    <rPh sb="38" eb="42">
      <t>キンユウキカン</t>
    </rPh>
    <rPh sb="43" eb="45">
      <t>シハラ</t>
    </rPh>
    <rPh sb="46" eb="48">
      <t>ヒヨウ</t>
    </rPh>
    <rPh sb="49" eb="51">
      <t>カイケイ</t>
    </rPh>
    <rPh sb="55" eb="56">
      <t>ナイ</t>
    </rPh>
    <rPh sb="57" eb="59">
      <t>ケイサン</t>
    </rPh>
    <rPh sb="60" eb="62">
      <t>カンリ</t>
    </rPh>
    <rPh sb="72" eb="73">
      <t>タト</t>
    </rPh>
    <rPh sb="79" eb="82">
      <t>エンコウザ</t>
    </rPh>
    <rPh sb="83" eb="85">
      <t>ニュウキン</t>
    </rPh>
    <rPh sb="87" eb="88">
      <t>サイ</t>
    </rPh>
    <rPh sb="97" eb="98">
      <t>エン</t>
    </rPh>
    <rPh sb="104" eb="106">
      <t>ハッセイ</t>
    </rPh>
    <rPh sb="108" eb="109">
      <t>トキ</t>
    </rPh>
    <rPh sb="112" eb="114">
      <t>ニュウキン</t>
    </rPh>
    <rPh sb="115" eb="117">
      <t>ハッセイ</t>
    </rPh>
    <rPh sb="124" eb="128">
      <t>ゴウケイキンガク</t>
    </rPh>
    <rPh sb="129" eb="131">
      <t>ジドウ</t>
    </rPh>
    <rPh sb="132" eb="134">
      <t>ケイサン</t>
    </rPh>
    <phoneticPr fontId="24"/>
  </si>
  <si>
    <t>通貨交換して入出金する際に、銀行に支払うマージンを計算・記録する機能</t>
    <rPh sb="0" eb="4">
      <t>ツウカコウカン</t>
    </rPh>
    <rPh sb="6" eb="9">
      <t>ニュウシュッキン</t>
    </rPh>
    <rPh sb="11" eb="12">
      <t>サイ</t>
    </rPh>
    <rPh sb="14" eb="16">
      <t>ギンコウ</t>
    </rPh>
    <rPh sb="17" eb="19">
      <t>シハラ</t>
    </rPh>
    <rPh sb="25" eb="27">
      <t>ケイサン</t>
    </rPh>
    <rPh sb="28" eb="30">
      <t>キロク</t>
    </rPh>
    <rPh sb="32" eb="34">
      <t>キノウ</t>
    </rPh>
    <phoneticPr fontId="24"/>
  </si>
  <si>
    <t>各種仕訳帳にマージンを計算・記録する機能を追加し、金融機関別にマージンを登録する画面を作成する</t>
    <rPh sb="0" eb="5">
      <t>カクシュシワケチョウ</t>
    </rPh>
    <rPh sb="11" eb="13">
      <t>ケイサン</t>
    </rPh>
    <rPh sb="14" eb="16">
      <t>キロク</t>
    </rPh>
    <rPh sb="18" eb="20">
      <t>キノウ</t>
    </rPh>
    <rPh sb="21" eb="23">
      <t>ツイカ</t>
    </rPh>
    <rPh sb="25" eb="30">
      <t>キンユウキカンベツ</t>
    </rPh>
    <rPh sb="36" eb="38">
      <t>トウロク</t>
    </rPh>
    <rPh sb="40" eb="42">
      <t>ガメン</t>
    </rPh>
    <rPh sb="43" eb="45">
      <t>サクセイ</t>
    </rPh>
    <phoneticPr fontId="24"/>
  </si>
  <si>
    <t>金融機関に支払っている費用が、金融機関別・科目別に管理できること</t>
    <rPh sb="0" eb="4">
      <t>キンユウキカン</t>
    </rPh>
    <rPh sb="5" eb="7">
      <t>シハラ</t>
    </rPh>
    <rPh sb="11" eb="13">
      <t>ヒヨウ</t>
    </rPh>
    <rPh sb="15" eb="20">
      <t>キンユウキカンベツ</t>
    </rPh>
    <rPh sb="21" eb="24">
      <t>カモクベツ</t>
    </rPh>
    <rPh sb="25" eb="27">
      <t>カンリ</t>
    </rPh>
    <phoneticPr fontId="24"/>
  </si>
  <si>
    <t>銀行に支払っている手数料・利息等を、科目別に一覧化する機能</t>
    <rPh sb="0" eb="2">
      <t>ギンコウ</t>
    </rPh>
    <rPh sb="3" eb="5">
      <t>シハラ</t>
    </rPh>
    <rPh sb="9" eb="12">
      <t>テスウリョウ</t>
    </rPh>
    <rPh sb="13" eb="15">
      <t>リソク</t>
    </rPh>
    <rPh sb="15" eb="16">
      <t>トウ</t>
    </rPh>
    <rPh sb="18" eb="21">
      <t>カモクベツ</t>
    </rPh>
    <rPh sb="22" eb="25">
      <t>イチランカ</t>
    </rPh>
    <rPh sb="27" eb="29">
      <t>キノウ</t>
    </rPh>
    <phoneticPr fontId="24"/>
  </si>
  <si>
    <t>運用</t>
    <rPh sb="0" eb="2">
      <t>ウンヨウ</t>
    </rPh>
    <phoneticPr fontId="24"/>
  </si>
  <si>
    <t>運用開始時、運用方法・金額・通貨・金利などの情報を入力し、運用状況を会計システム内で管理出来ること</t>
    <rPh sb="0" eb="2">
      <t>ウンヨウ</t>
    </rPh>
    <rPh sb="2" eb="4">
      <t>カイシ</t>
    </rPh>
    <rPh sb="4" eb="5">
      <t>ジ</t>
    </rPh>
    <rPh sb="6" eb="10">
      <t>ウンヨウホウホウ</t>
    </rPh>
    <rPh sb="11" eb="13">
      <t>キンガク</t>
    </rPh>
    <rPh sb="14" eb="16">
      <t>ツウカ</t>
    </rPh>
    <rPh sb="17" eb="19">
      <t>キンリ</t>
    </rPh>
    <rPh sb="22" eb="24">
      <t>ジョウホウ</t>
    </rPh>
    <rPh sb="25" eb="27">
      <t>ニュウリョク</t>
    </rPh>
    <rPh sb="29" eb="31">
      <t>ウンヨウ</t>
    </rPh>
    <rPh sb="31" eb="33">
      <t>ジョウキョウ</t>
    </rPh>
    <rPh sb="34" eb="36">
      <t>カイケイ</t>
    </rPh>
    <rPh sb="40" eb="41">
      <t>ナイ</t>
    </rPh>
    <rPh sb="42" eb="44">
      <t>カンリ</t>
    </rPh>
    <rPh sb="44" eb="46">
      <t>デキ</t>
    </rPh>
    <phoneticPr fontId="24"/>
  </si>
  <si>
    <t>運用を登録・管理する機能</t>
    <rPh sb="0" eb="2">
      <t>ウンヨウ</t>
    </rPh>
    <rPh sb="3" eb="5">
      <t>トウロク</t>
    </rPh>
    <rPh sb="6" eb="8">
      <t>カンリ</t>
    </rPh>
    <rPh sb="10" eb="12">
      <t>キノウ</t>
    </rPh>
    <phoneticPr fontId="24"/>
  </si>
  <si>
    <t>運用方法・金額・通貨・金利などの情報を入力し、運用状況を各種仕訳帳および伝票トランザクションで登録・管理できるようにする</t>
    <rPh sb="28" eb="33">
      <t>カクシュシワケチョウ</t>
    </rPh>
    <rPh sb="36" eb="38">
      <t>デンピョウ</t>
    </rPh>
    <rPh sb="47" eb="49">
      <t>トウロク</t>
    </rPh>
    <rPh sb="50" eb="52">
      <t>カンリ</t>
    </rPh>
    <phoneticPr fontId="24"/>
  </si>
  <si>
    <t>登録した運用のデータに、契約書のPDFを添付できること、または計上した運用の仕訳に契約書のPDFを添付できること</t>
    <rPh sb="0" eb="2">
      <t>トウロク</t>
    </rPh>
    <rPh sb="4" eb="6">
      <t>ウンヨウ</t>
    </rPh>
    <rPh sb="10" eb="11">
      <t>シャッキン</t>
    </rPh>
    <rPh sb="11" eb="14">
      <t>ケイヤクショ</t>
    </rPh>
    <rPh sb="19" eb="21">
      <t>テンプ</t>
    </rPh>
    <rPh sb="30" eb="32">
      <t>ケイジョウ</t>
    </rPh>
    <rPh sb="35" eb="37">
      <t>ウンヨウ</t>
    </rPh>
    <rPh sb="37" eb="39">
      <t>シワケ</t>
    </rPh>
    <rPh sb="40" eb="43">
      <t>ケイヤクショ</t>
    </rPh>
    <rPh sb="48" eb="50">
      <t>テンプ</t>
    </rPh>
    <phoneticPr fontId="24"/>
  </si>
  <si>
    <t>運用に契約書を紐づける機能</t>
    <rPh sb="0" eb="2">
      <t>ウンヨウ</t>
    </rPh>
    <rPh sb="3" eb="6">
      <t>ケイヤクショ</t>
    </rPh>
    <rPh sb="7" eb="8">
      <t>ヒモ</t>
    </rPh>
    <rPh sb="11" eb="13">
      <t>キノウ</t>
    </rPh>
    <phoneticPr fontId="24"/>
  </si>
  <si>
    <t>運用収益</t>
    <rPh sb="0" eb="2">
      <t>ウンヨウ</t>
    </rPh>
    <rPh sb="2" eb="4">
      <t>シュウエキ</t>
    </rPh>
    <phoneticPr fontId="24"/>
  </si>
  <si>
    <t>運用結果の運用収益を計上できること</t>
    <rPh sb="0" eb="2">
      <t>ウンヨウ</t>
    </rPh>
    <rPh sb="2" eb="4">
      <t>ケッカ</t>
    </rPh>
    <rPh sb="5" eb="9">
      <t>ウンヨウシュウエキ</t>
    </rPh>
    <rPh sb="10" eb="12">
      <t>ケイジョウ</t>
    </rPh>
    <phoneticPr fontId="24"/>
  </si>
  <si>
    <t>運用収益の仕訳を計上する機能</t>
    <rPh sb="0" eb="2">
      <t>ウンヨウ</t>
    </rPh>
    <rPh sb="2" eb="4">
      <t>シュウエキ</t>
    </rPh>
    <rPh sb="5" eb="7">
      <t>シワケ</t>
    </rPh>
    <rPh sb="8" eb="10">
      <t>ケイジョウ</t>
    </rPh>
    <rPh sb="12" eb="14">
      <t>キノウ</t>
    </rPh>
    <phoneticPr fontId="24"/>
  </si>
  <si>
    <t>各種仕訳帳にマニュアルで登録する</t>
    <rPh sb="0" eb="5">
      <t>カクシュシワケチョウ</t>
    </rPh>
    <rPh sb="12" eb="14">
      <t>トウロク</t>
    </rPh>
    <phoneticPr fontId="24"/>
  </si>
  <si>
    <t>運用の登録画面から簡便的な方法で返済の仕訳が計上できること</t>
    <rPh sb="0" eb="2">
      <t>ウンヨウ</t>
    </rPh>
    <rPh sb="3" eb="5">
      <t>トウロク</t>
    </rPh>
    <rPh sb="5" eb="7">
      <t>ガメン</t>
    </rPh>
    <rPh sb="9" eb="11">
      <t>カンベン</t>
    </rPh>
    <rPh sb="11" eb="12">
      <t>テキ</t>
    </rPh>
    <rPh sb="13" eb="15">
      <t>ホウホウ</t>
    </rPh>
    <rPh sb="16" eb="18">
      <t>ヘンサイ</t>
    </rPh>
    <rPh sb="19" eb="21">
      <t>シワケ</t>
    </rPh>
    <rPh sb="22" eb="24">
      <t>ケイジョウ</t>
    </rPh>
    <phoneticPr fontId="24"/>
  </si>
  <si>
    <t>運用の仕訳を簡便的に計上する機能</t>
    <rPh sb="0" eb="2">
      <t>ウンヨウ</t>
    </rPh>
    <rPh sb="3" eb="5">
      <t>シワケ</t>
    </rPh>
    <rPh sb="6" eb="9">
      <t>カンベンテキ</t>
    </rPh>
    <rPh sb="10" eb="12">
      <t>ケイジョウ</t>
    </rPh>
    <rPh sb="14" eb="16">
      <t>キノウ</t>
    </rPh>
    <phoneticPr fontId="24"/>
  </si>
  <si>
    <t>5.1 にて登録された情報をもとに、運用の仕訳を簡便的に計上する機能を各種仕訳帳に登録する
(転記まではしない)</t>
    <rPh sb="6" eb="8">
      <t>トウロク</t>
    </rPh>
    <rPh sb="11" eb="13">
      <t>ジョウホウ</t>
    </rPh>
    <rPh sb="35" eb="40">
      <t>カクシュシワケチョウ</t>
    </rPh>
    <rPh sb="41" eb="43">
      <t>トウロク</t>
    </rPh>
    <rPh sb="47" eb="49">
      <t>テンキ</t>
    </rPh>
    <phoneticPr fontId="24"/>
  </si>
  <si>
    <t>契約ごとに明細を分け、運用の一覧が表示できること</t>
    <rPh sb="0" eb="2">
      <t>ケイヤク</t>
    </rPh>
    <rPh sb="5" eb="7">
      <t>メイサイ</t>
    </rPh>
    <rPh sb="8" eb="9">
      <t>ワ</t>
    </rPh>
    <rPh sb="11" eb="13">
      <t>ウンヨウ</t>
    </rPh>
    <rPh sb="14" eb="16">
      <t>イチラン</t>
    </rPh>
    <rPh sb="17" eb="19">
      <t>ヒョウジ</t>
    </rPh>
    <phoneticPr fontId="24"/>
  </si>
  <si>
    <t>運用の一覧を表示する機能</t>
    <rPh sb="0" eb="2">
      <t>ウンヨウ</t>
    </rPh>
    <rPh sb="3" eb="5">
      <t>イチラン</t>
    </rPh>
    <rPh sb="6" eb="8">
      <t>ヒョウジ</t>
    </rPh>
    <rPh sb="10" eb="12">
      <t>キノウ</t>
    </rPh>
    <phoneticPr fontId="24"/>
  </si>
  <si>
    <t>4.11 の範囲で対応</t>
    <rPh sb="6" eb="8">
      <t>ハンイ</t>
    </rPh>
    <rPh sb="9" eb="11">
      <t>タイオウ</t>
    </rPh>
    <phoneticPr fontId="24"/>
  </si>
  <si>
    <t>各社から入手したEXCELフォーマットをアップロードすることで、その会社の月末の運用残高を登録できること</t>
    <rPh sb="0" eb="2">
      <t>カクシャ</t>
    </rPh>
    <rPh sb="4" eb="6">
      <t>ニュウシュ</t>
    </rPh>
    <rPh sb="34" eb="36">
      <t>カイシャ</t>
    </rPh>
    <rPh sb="37" eb="39">
      <t>ゲツマツ</t>
    </rPh>
    <rPh sb="40" eb="42">
      <t>ウンヨウ</t>
    </rPh>
    <rPh sb="42" eb="44">
      <t>ザンダカ</t>
    </rPh>
    <rPh sb="45" eb="47">
      <t>トウロク</t>
    </rPh>
    <phoneticPr fontId="24"/>
  </si>
  <si>
    <t>相手会社別・通貨別に運用の残高の一覧を計算・表示する機能</t>
    <rPh sb="0" eb="4">
      <t>アイテカイシャ</t>
    </rPh>
    <rPh sb="4" eb="5">
      <t>ベツ</t>
    </rPh>
    <rPh sb="6" eb="9">
      <t>ツウカベツ</t>
    </rPh>
    <rPh sb="10" eb="12">
      <t>ウンヨウ</t>
    </rPh>
    <rPh sb="13" eb="15">
      <t>ザンダカ</t>
    </rPh>
    <rPh sb="16" eb="18">
      <t>イチラン</t>
    </rPh>
    <rPh sb="19" eb="21">
      <t>ケイサン</t>
    </rPh>
    <rPh sb="22" eb="24">
      <t>ヒョウジ</t>
    </rPh>
    <rPh sb="26" eb="28">
      <t>キノウ</t>
    </rPh>
    <phoneticPr fontId="24"/>
  </si>
  <si>
    <t>会社別に運用商品・金融機関別の月末運用の金額を管理できること</t>
    <rPh sb="0" eb="3">
      <t>カイシャベツ</t>
    </rPh>
    <rPh sb="4" eb="8">
      <t>ウンヨウショウヒン</t>
    </rPh>
    <rPh sb="9" eb="14">
      <t>キンユウキカンベツ</t>
    </rPh>
    <rPh sb="15" eb="17">
      <t>ゲツマツ</t>
    </rPh>
    <rPh sb="17" eb="19">
      <t>ウンヨウ</t>
    </rPh>
    <rPh sb="20" eb="22">
      <t>キンガク</t>
    </rPh>
    <rPh sb="23" eb="25">
      <t>カンリ</t>
    </rPh>
    <phoneticPr fontId="24"/>
  </si>
  <si>
    <t>会社別に運用商品・金融機関別の月末運用の金額を管理する機能</t>
    <rPh sb="0" eb="3">
      <t>カイシャベツ</t>
    </rPh>
    <rPh sb="4" eb="8">
      <t>ウンヨウショウヒン</t>
    </rPh>
    <rPh sb="9" eb="14">
      <t>キンユウキカンベツ</t>
    </rPh>
    <rPh sb="15" eb="17">
      <t>ゲツマツ</t>
    </rPh>
    <rPh sb="17" eb="19">
      <t>ウンヨウ</t>
    </rPh>
    <rPh sb="20" eb="22">
      <t>キンガク</t>
    </rPh>
    <rPh sb="23" eb="25">
      <t>カンリ</t>
    </rPh>
    <rPh sb="27" eb="29">
      <t>キノウ</t>
    </rPh>
    <phoneticPr fontId="24"/>
  </si>
  <si>
    <t>会社別に運用商品・金融機関別の月末運用の金額を管理できる新規帳票を開発</t>
    <rPh sb="28" eb="30">
      <t>シンキ</t>
    </rPh>
    <rPh sb="30" eb="32">
      <t>チョウヒョウ</t>
    </rPh>
    <rPh sb="33" eb="35">
      <t>カイハツ</t>
    </rPh>
    <phoneticPr fontId="24"/>
  </si>
  <si>
    <t>会社を地域等の切り口でグルーピングし、見たい切り口での月末運用残高を計算・表示出来ること</t>
    <rPh sb="0" eb="2">
      <t>カイシャ</t>
    </rPh>
    <rPh sb="3" eb="6">
      <t>チイキトウ</t>
    </rPh>
    <rPh sb="7" eb="8">
      <t>キ</t>
    </rPh>
    <rPh sb="9" eb="10">
      <t>クチ</t>
    </rPh>
    <rPh sb="19" eb="20">
      <t>ミ</t>
    </rPh>
    <rPh sb="22" eb="23">
      <t>キ</t>
    </rPh>
    <rPh sb="24" eb="25">
      <t>クチ</t>
    </rPh>
    <rPh sb="27" eb="29">
      <t>ゲツマツ</t>
    </rPh>
    <rPh sb="29" eb="31">
      <t>ウンヨウ</t>
    </rPh>
    <rPh sb="31" eb="33">
      <t>ザンダカ</t>
    </rPh>
    <rPh sb="34" eb="36">
      <t>ケイサン</t>
    </rPh>
    <rPh sb="37" eb="39">
      <t>ヒョウジ</t>
    </rPh>
    <rPh sb="39" eb="41">
      <t>デキ</t>
    </rPh>
    <phoneticPr fontId="24"/>
  </si>
  <si>
    <t>会社を地域等の切り口でグルーピングし、見たい切り口での月末運用残高を計算・表示する機能</t>
    <rPh sb="0" eb="2">
      <t>カイシャ</t>
    </rPh>
    <rPh sb="3" eb="6">
      <t>チイキトウ</t>
    </rPh>
    <rPh sb="7" eb="8">
      <t>キ</t>
    </rPh>
    <rPh sb="9" eb="10">
      <t>クチ</t>
    </rPh>
    <rPh sb="19" eb="20">
      <t>ミ</t>
    </rPh>
    <rPh sb="22" eb="23">
      <t>キ</t>
    </rPh>
    <rPh sb="24" eb="25">
      <t>クチ</t>
    </rPh>
    <rPh sb="27" eb="29">
      <t>ゲツマツ</t>
    </rPh>
    <rPh sb="29" eb="31">
      <t>ウンヨウ</t>
    </rPh>
    <rPh sb="31" eb="33">
      <t>ザンダカ</t>
    </rPh>
    <rPh sb="34" eb="36">
      <t>ケイサン</t>
    </rPh>
    <rPh sb="37" eb="39">
      <t>ヒョウジ</t>
    </rPh>
    <rPh sb="41" eb="43">
      <t>キノウ</t>
    </rPh>
    <phoneticPr fontId="24"/>
  </si>
  <si>
    <t>5.7 の範囲で対応</t>
    <rPh sb="5" eb="7">
      <t>ハンイ</t>
    </rPh>
    <rPh sb="8" eb="10">
      <t>タイオウ</t>
    </rPh>
    <phoneticPr fontId="24"/>
  </si>
  <si>
    <t>通貨交換</t>
    <rPh sb="0" eb="4">
      <t>ツウカコウカン</t>
    </rPh>
    <phoneticPr fontId="24"/>
  </si>
  <si>
    <t>登録</t>
    <rPh sb="0" eb="2">
      <t>トウロク</t>
    </rPh>
    <phoneticPr fontId="24"/>
  </si>
  <si>
    <t>通貨交換を実施した際に、その仕訳が計上できること</t>
    <rPh sb="0" eb="4">
      <t>ツウカコウカン</t>
    </rPh>
    <rPh sb="5" eb="7">
      <t>ジッシ</t>
    </rPh>
    <rPh sb="9" eb="10">
      <t>サイ</t>
    </rPh>
    <rPh sb="14" eb="16">
      <t>シワケ</t>
    </rPh>
    <rPh sb="17" eb="19">
      <t>ケイジョウ</t>
    </rPh>
    <phoneticPr fontId="24"/>
  </si>
  <si>
    <t>通貨交換の仕訳が計上できる機能</t>
    <rPh sb="0" eb="4">
      <t>ツウカコウカン</t>
    </rPh>
    <rPh sb="5" eb="7">
      <t>シワケ</t>
    </rPh>
    <rPh sb="8" eb="10">
      <t>ケイジョウ</t>
    </rPh>
    <rPh sb="13" eb="15">
      <t>キノウ</t>
    </rPh>
    <phoneticPr fontId="24"/>
  </si>
  <si>
    <t>グループファイナンス（内部借入・貸付）</t>
    <rPh sb="11" eb="13">
      <t>ナイブ</t>
    </rPh>
    <rPh sb="13" eb="15">
      <t>カリイレ</t>
    </rPh>
    <rPh sb="16" eb="18">
      <t>カシツケ</t>
    </rPh>
    <phoneticPr fontId="6"/>
  </si>
  <si>
    <t>内部借入</t>
    <rPh sb="0" eb="2">
      <t>ナイブ</t>
    </rPh>
    <rPh sb="2" eb="4">
      <t>カリイレ</t>
    </rPh>
    <phoneticPr fontId="24"/>
  </si>
  <si>
    <t>”銀行借入”の要件が、借入先がグループ会社でも満たせること</t>
    <rPh sb="1" eb="4">
      <t>ギンコウカ</t>
    </rPh>
    <rPh sb="4" eb="5">
      <t>イ</t>
    </rPh>
    <rPh sb="7" eb="9">
      <t>ヨウケン</t>
    </rPh>
    <rPh sb="11" eb="15">
      <t>カリイレ</t>
    </rPh>
    <rPh sb="19" eb="21">
      <t>カイシャ</t>
    </rPh>
    <rPh sb="23" eb="24">
      <t>ミ</t>
    </rPh>
    <phoneticPr fontId="24"/>
  </si>
  <si>
    <r>
      <rPr>
        <strike/>
        <sz val="11"/>
        <rFont val="Meiryo UI"/>
        <family val="3"/>
        <charset val="128"/>
      </rPr>
      <t>15.1~23.2</t>
    </r>
    <r>
      <rPr>
        <b/>
        <sz val="11"/>
        <color rgb="FFFF0000"/>
        <rFont val="Meiryo UI"/>
        <family val="3"/>
        <charset val="128"/>
      </rPr>
      <t>4.1～4.13</t>
    </r>
    <r>
      <rPr>
        <sz val="11"/>
        <rFont val="Meiryo UI"/>
        <family val="3"/>
        <charset val="128"/>
      </rPr>
      <t>において、借入の相手先にグループ会社を選択できる機能</t>
    </r>
    <rPh sb="22" eb="24">
      <t>カリイレ</t>
    </rPh>
    <rPh sb="25" eb="28">
      <t>アイテサキ</t>
    </rPh>
    <rPh sb="33" eb="35">
      <t>カイシャ</t>
    </rPh>
    <rPh sb="36" eb="38">
      <t>センタク</t>
    </rPh>
    <rPh sb="41" eb="43">
      <t>キノウ</t>
    </rPh>
    <phoneticPr fontId="24"/>
  </si>
  <si>
    <t>4.1~4.13 の範囲で対応</t>
    <rPh sb="10" eb="12">
      <t>ハンイ</t>
    </rPh>
    <rPh sb="13" eb="15">
      <t>タイオウ</t>
    </rPh>
    <phoneticPr fontId="24"/>
  </si>
  <si>
    <t>内部貸付</t>
    <rPh sb="0" eb="2">
      <t>ナイブ</t>
    </rPh>
    <rPh sb="2" eb="4">
      <t>カシツケ</t>
    </rPh>
    <phoneticPr fontId="24"/>
  </si>
  <si>
    <t>貸付発生時、金額・通貨・金利・金利条件・利息発生タイミング・貸付期間・返済タイミング・貸付先などの情報を入力し、貸付金を会計システム内で管理出来ること</t>
    <rPh sb="0" eb="2">
      <t>カシツケ</t>
    </rPh>
    <rPh sb="2" eb="4">
      <t>ハッセイ</t>
    </rPh>
    <rPh sb="4" eb="5">
      <t>ジ</t>
    </rPh>
    <rPh sb="6" eb="8">
      <t>キンガク</t>
    </rPh>
    <rPh sb="9" eb="11">
      <t>ツウカ</t>
    </rPh>
    <rPh sb="12" eb="14">
      <t>キンリ</t>
    </rPh>
    <rPh sb="15" eb="19">
      <t>キンリジョウケン</t>
    </rPh>
    <rPh sb="20" eb="22">
      <t>リソク</t>
    </rPh>
    <rPh sb="22" eb="24">
      <t>ハッセイ</t>
    </rPh>
    <rPh sb="30" eb="32">
      <t>カシツケ</t>
    </rPh>
    <rPh sb="32" eb="34">
      <t>キカン</t>
    </rPh>
    <rPh sb="35" eb="37">
      <t>ヘンサイ</t>
    </rPh>
    <rPh sb="43" eb="45">
      <t>カシツケ</t>
    </rPh>
    <rPh sb="45" eb="46">
      <t>サキ</t>
    </rPh>
    <rPh sb="49" eb="51">
      <t>ジョウホウ</t>
    </rPh>
    <rPh sb="52" eb="54">
      <t>ニュウリョク</t>
    </rPh>
    <rPh sb="56" eb="59">
      <t>カシツケキン</t>
    </rPh>
    <rPh sb="60" eb="62">
      <t>カイケイ</t>
    </rPh>
    <rPh sb="66" eb="67">
      <t>ナイ</t>
    </rPh>
    <rPh sb="68" eb="70">
      <t>カンリ</t>
    </rPh>
    <rPh sb="70" eb="72">
      <t>デキ</t>
    </rPh>
    <phoneticPr fontId="24"/>
  </si>
  <si>
    <t>貸付金を登録・管理する機能</t>
    <rPh sb="0" eb="2">
      <t>カシツケ</t>
    </rPh>
    <rPh sb="2" eb="3">
      <t>キン</t>
    </rPh>
    <rPh sb="4" eb="6">
      <t>トウロク</t>
    </rPh>
    <rPh sb="7" eb="9">
      <t>カンリ</t>
    </rPh>
    <rPh sb="11" eb="13">
      <t>キノウ</t>
    </rPh>
    <phoneticPr fontId="24"/>
  </si>
  <si>
    <t>登録した貸付金に、契約書のPDFを添付できること、または計上し貸付金の仕訳に契約書のPDFを添付できること</t>
    <rPh sb="0" eb="2">
      <t>トウロク</t>
    </rPh>
    <rPh sb="4" eb="6">
      <t>カシツケ</t>
    </rPh>
    <rPh sb="6" eb="7">
      <t>キン</t>
    </rPh>
    <rPh sb="7" eb="8">
      <t>シャッキン</t>
    </rPh>
    <rPh sb="8" eb="11">
      <t>ケイヤクショ</t>
    </rPh>
    <rPh sb="16" eb="18">
      <t>テンプ</t>
    </rPh>
    <rPh sb="27" eb="29">
      <t>ケイジョウ</t>
    </rPh>
    <rPh sb="31" eb="33">
      <t>カシツケ</t>
    </rPh>
    <rPh sb="33" eb="34">
      <t>キン</t>
    </rPh>
    <rPh sb="34" eb="36">
      <t>シワケ</t>
    </rPh>
    <rPh sb="37" eb="40">
      <t>ケイヤクショ</t>
    </rPh>
    <rPh sb="45" eb="47">
      <t>テンプ</t>
    </rPh>
    <phoneticPr fontId="24"/>
  </si>
  <si>
    <t>貸付金に契約書を紐づける機能</t>
    <rPh sb="0" eb="2">
      <t>カシツケ</t>
    </rPh>
    <rPh sb="2" eb="3">
      <t>キン</t>
    </rPh>
    <rPh sb="4" eb="7">
      <t>ケイヤクショ</t>
    </rPh>
    <rPh sb="8" eb="9">
      <t>ヒモ</t>
    </rPh>
    <rPh sb="12" eb="14">
      <t>キノウ</t>
    </rPh>
    <phoneticPr fontId="24"/>
  </si>
  <si>
    <t>登録済みの情報を用いて、受取利息の金額を自動計算できること</t>
    <rPh sb="0" eb="3">
      <t>トウロクズ</t>
    </rPh>
    <rPh sb="5" eb="7">
      <t>ジョウホウ</t>
    </rPh>
    <rPh sb="8" eb="9">
      <t>モチ</t>
    </rPh>
    <rPh sb="12" eb="14">
      <t>ウケトリ</t>
    </rPh>
    <rPh sb="14" eb="16">
      <t>リソク</t>
    </rPh>
    <rPh sb="17" eb="19">
      <t>キンガク</t>
    </rPh>
    <rPh sb="20" eb="24">
      <t>ジドウケイサン</t>
    </rPh>
    <phoneticPr fontId="24"/>
  </si>
  <si>
    <t>受取利息を自動計算する機能</t>
    <rPh sb="0" eb="1">
      <t>ウ</t>
    </rPh>
    <rPh sb="1" eb="2">
      <t>ト</t>
    </rPh>
    <rPh sb="2" eb="4">
      <t>リソク</t>
    </rPh>
    <rPh sb="5" eb="9">
      <t>ジドウケイサン</t>
    </rPh>
    <rPh sb="11" eb="13">
      <t>キノウ</t>
    </rPh>
    <phoneticPr fontId="24"/>
  </si>
  <si>
    <t>8.1 にて登録された情報をもとに、未決済の顧客トランザクションより利息を計算する機能を各種仕訳帳に登録する</t>
    <rPh sb="6" eb="8">
      <t>トウロク</t>
    </rPh>
    <rPh sb="11" eb="13">
      <t>ジョウホウ</t>
    </rPh>
    <rPh sb="18" eb="21">
      <t>ミケッサイ</t>
    </rPh>
    <rPh sb="22" eb="24">
      <t>コキャク</t>
    </rPh>
    <rPh sb="34" eb="36">
      <t>リソク</t>
    </rPh>
    <rPh sb="37" eb="39">
      <t>ケイサン</t>
    </rPh>
    <rPh sb="41" eb="43">
      <t>キノウ</t>
    </rPh>
    <rPh sb="44" eb="49">
      <t>カクシュシワケチョウ</t>
    </rPh>
    <rPh sb="50" eb="52">
      <t>トウロク</t>
    </rPh>
    <phoneticPr fontId="24"/>
  </si>
  <si>
    <t>登録済みの情報を用いて、受取利息の仕訳が自動計上できること</t>
    <rPh sb="0" eb="3">
      <t>トウロクズ</t>
    </rPh>
    <rPh sb="5" eb="7">
      <t>ジョウホウ</t>
    </rPh>
    <rPh sb="8" eb="9">
      <t>モチ</t>
    </rPh>
    <rPh sb="12" eb="14">
      <t>ウケトリ</t>
    </rPh>
    <rPh sb="14" eb="16">
      <t>リソク</t>
    </rPh>
    <rPh sb="17" eb="19">
      <t>シワケ</t>
    </rPh>
    <rPh sb="20" eb="24">
      <t>ジドウケイジョウ</t>
    </rPh>
    <phoneticPr fontId="24"/>
  </si>
  <si>
    <t>受取利息の伝票を自動計上する機能</t>
    <rPh sb="0" eb="1">
      <t>ウ</t>
    </rPh>
    <rPh sb="1" eb="2">
      <t>ト</t>
    </rPh>
    <rPh sb="2" eb="4">
      <t>リソク</t>
    </rPh>
    <rPh sb="5" eb="7">
      <t>デンピョウ</t>
    </rPh>
    <rPh sb="8" eb="12">
      <t>ジドウケイジョウ</t>
    </rPh>
    <rPh sb="14" eb="16">
      <t>キノウ</t>
    </rPh>
    <phoneticPr fontId="24"/>
  </si>
  <si>
    <t>8.3 にて計算された情報を各種仕訳帳に起票する処理を追加する(転記まではしない(転記は手動))</t>
    <rPh sb="6" eb="8">
      <t>ケイサン</t>
    </rPh>
    <rPh sb="11" eb="13">
      <t>ジョウホウ</t>
    </rPh>
    <rPh sb="14" eb="19">
      <t>カクシュシワケチョウ</t>
    </rPh>
    <rPh sb="20" eb="22">
      <t>キヒョウ</t>
    </rPh>
    <rPh sb="24" eb="26">
      <t>ショリ</t>
    </rPh>
    <rPh sb="27" eb="29">
      <t>ツイカ</t>
    </rPh>
    <rPh sb="32" eb="34">
      <t>テンキ</t>
    </rPh>
    <rPh sb="41" eb="43">
      <t>テンキ</t>
    </rPh>
    <rPh sb="44" eb="46">
      <t>シュドウ</t>
    </rPh>
    <phoneticPr fontId="24"/>
  </si>
  <si>
    <t>利息の請求書発行</t>
    <rPh sb="0" eb="2">
      <t>リソク</t>
    </rPh>
    <rPh sb="3" eb="8">
      <t>セイキュウショハッコウ</t>
    </rPh>
    <phoneticPr fontId="24"/>
  </si>
  <si>
    <t>受取利息の請求書を作成・出力できること</t>
    <rPh sb="0" eb="1">
      <t>ウ</t>
    </rPh>
    <rPh sb="1" eb="2">
      <t>ト</t>
    </rPh>
    <rPh sb="2" eb="4">
      <t>リソク</t>
    </rPh>
    <rPh sb="5" eb="8">
      <t>セイキュウショ</t>
    </rPh>
    <rPh sb="9" eb="11">
      <t>サクセイ</t>
    </rPh>
    <rPh sb="12" eb="14">
      <t>シュツリョク</t>
    </rPh>
    <phoneticPr fontId="24"/>
  </si>
  <si>
    <t>受取利息の請求書を作成・出力する機能</t>
    <rPh sb="0" eb="1">
      <t>ウ</t>
    </rPh>
    <rPh sb="1" eb="2">
      <t>ト</t>
    </rPh>
    <rPh sb="2" eb="4">
      <t>リソク</t>
    </rPh>
    <rPh sb="5" eb="8">
      <t>セイキュウショ</t>
    </rPh>
    <rPh sb="9" eb="11">
      <t>サクセイ</t>
    </rPh>
    <rPh sb="12" eb="14">
      <t>シュツリョク</t>
    </rPh>
    <rPh sb="16" eb="18">
      <t>キノウ</t>
    </rPh>
    <phoneticPr fontId="24"/>
  </si>
  <si>
    <t>帳票開発</t>
    <rPh sb="0" eb="4">
      <t>チョウヒョウカイハツ</t>
    </rPh>
    <phoneticPr fontId="24"/>
  </si>
  <si>
    <t>事前に登録された貸付金の情報から、自動で返済の仕訳が計上できること、または、登録画面から簡便的な方法で返済の仕訳が計上できること</t>
    <rPh sb="0" eb="2">
      <t>ジゼン</t>
    </rPh>
    <rPh sb="3" eb="5">
      <t>トウロク</t>
    </rPh>
    <rPh sb="8" eb="10">
      <t>カシツケ</t>
    </rPh>
    <rPh sb="10" eb="11">
      <t>キン</t>
    </rPh>
    <rPh sb="11" eb="12">
      <t>シャッキン</t>
    </rPh>
    <rPh sb="12" eb="14">
      <t>ジョウホウ</t>
    </rPh>
    <rPh sb="17" eb="19">
      <t>ジドウ</t>
    </rPh>
    <rPh sb="20" eb="22">
      <t>ヘンサイ</t>
    </rPh>
    <rPh sb="23" eb="25">
      <t>シワケ</t>
    </rPh>
    <rPh sb="26" eb="28">
      <t>ケイジョウ</t>
    </rPh>
    <rPh sb="38" eb="40">
      <t>トウロク</t>
    </rPh>
    <rPh sb="40" eb="42">
      <t>ガメン</t>
    </rPh>
    <rPh sb="44" eb="46">
      <t>カンベン</t>
    </rPh>
    <rPh sb="46" eb="47">
      <t>テキ</t>
    </rPh>
    <rPh sb="48" eb="50">
      <t>ホウホウ</t>
    </rPh>
    <rPh sb="51" eb="53">
      <t>ヘンサイ</t>
    </rPh>
    <rPh sb="54" eb="56">
      <t>シワケ</t>
    </rPh>
    <rPh sb="57" eb="59">
      <t>ケイジョウ</t>
    </rPh>
    <phoneticPr fontId="24"/>
  </si>
  <si>
    <t>貸付金の返済の仕訳を自動計上する機能</t>
    <rPh sb="0" eb="3">
      <t>カシツケキン</t>
    </rPh>
    <rPh sb="4" eb="6">
      <t>ヘンサイ</t>
    </rPh>
    <rPh sb="7" eb="9">
      <t>シワケ</t>
    </rPh>
    <rPh sb="10" eb="14">
      <t>ジドウケイジョウ</t>
    </rPh>
    <rPh sb="16" eb="18">
      <t>キノウ</t>
    </rPh>
    <phoneticPr fontId="24"/>
  </si>
  <si>
    <t>契約ごとに明細を分け、貸付金の一覧が表示できること</t>
    <rPh sb="0" eb="2">
      <t>ケイヤク</t>
    </rPh>
    <rPh sb="5" eb="7">
      <t>メイサイ</t>
    </rPh>
    <rPh sb="8" eb="9">
      <t>ワ</t>
    </rPh>
    <rPh sb="11" eb="13">
      <t>カシツケ</t>
    </rPh>
    <rPh sb="13" eb="14">
      <t>キン</t>
    </rPh>
    <rPh sb="15" eb="17">
      <t>イチラン</t>
    </rPh>
    <rPh sb="18" eb="20">
      <t>ヒョウジ</t>
    </rPh>
    <phoneticPr fontId="24"/>
  </si>
  <si>
    <t>貸付金の一覧を表示する機能</t>
    <rPh sb="0" eb="3">
      <t>カシツケキン</t>
    </rPh>
    <rPh sb="4" eb="6">
      <t>イチラン</t>
    </rPh>
    <rPh sb="7" eb="9">
      <t>ヒョウジ</t>
    </rPh>
    <rPh sb="11" eb="13">
      <t>キノウ</t>
    </rPh>
    <phoneticPr fontId="24"/>
  </si>
  <si>
    <t>会社別・通貨別の貸付残高の一覧が計算・表示できること</t>
    <rPh sb="0" eb="2">
      <t>カイシャ</t>
    </rPh>
    <rPh sb="2" eb="3">
      <t>ベツ</t>
    </rPh>
    <rPh sb="4" eb="7">
      <t>ツウカベツ</t>
    </rPh>
    <rPh sb="8" eb="10">
      <t>カシツケ</t>
    </rPh>
    <rPh sb="10" eb="12">
      <t>ザンダカ</t>
    </rPh>
    <rPh sb="13" eb="15">
      <t>イチラン</t>
    </rPh>
    <rPh sb="16" eb="18">
      <t>ケイサン</t>
    </rPh>
    <rPh sb="19" eb="21">
      <t>ヒョウジ</t>
    </rPh>
    <phoneticPr fontId="24"/>
  </si>
  <si>
    <t>相手会社別・通貨別に貸付金の残高の一覧を計算・表示できる機能</t>
    <rPh sb="0" eb="4">
      <t>アイテカイシャ</t>
    </rPh>
    <rPh sb="4" eb="5">
      <t>ベツ</t>
    </rPh>
    <rPh sb="6" eb="9">
      <t>ツウカベツ</t>
    </rPh>
    <rPh sb="10" eb="12">
      <t>カシツケ</t>
    </rPh>
    <rPh sb="12" eb="13">
      <t>キン</t>
    </rPh>
    <rPh sb="14" eb="16">
      <t>ザンダカ</t>
    </rPh>
    <rPh sb="17" eb="19">
      <t>イチラン</t>
    </rPh>
    <rPh sb="20" eb="22">
      <t>ケイサン</t>
    </rPh>
    <rPh sb="23" eb="25">
      <t>ヒョウジ</t>
    </rPh>
    <rPh sb="28" eb="30">
      <t>キノウ</t>
    </rPh>
    <phoneticPr fontId="24"/>
  </si>
  <si>
    <t>過去に貸し付けた時の利率確認等を行うために、過去5年分の貸付の履歴を保持・表示できること</t>
    <rPh sb="0" eb="2">
      <t>カコ</t>
    </rPh>
    <rPh sb="3" eb="4">
      <t>カ</t>
    </rPh>
    <rPh sb="5" eb="6">
      <t>ツ</t>
    </rPh>
    <rPh sb="8" eb="9">
      <t>トキ</t>
    </rPh>
    <rPh sb="10" eb="12">
      <t>リリツ</t>
    </rPh>
    <rPh sb="12" eb="14">
      <t>カクニン</t>
    </rPh>
    <rPh sb="14" eb="15">
      <t>トウ</t>
    </rPh>
    <rPh sb="16" eb="17">
      <t>オコナ</t>
    </rPh>
    <rPh sb="22" eb="24">
      <t>カコ</t>
    </rPh>
    <rPh sb="25" eb="27">
      <t>ネンブン</t>
    </rPh>
    <rPh sb="28" eb="30">
      <t>カシツケ</t>
    </rPh>
    <rPh sb="31" eb="33">
      <t>リレキ</t>
    </rPh>
    <rPh sb="34" eb="36">
      <t>ホジ</t>
    </rPh>
    <rPh sb="37" eb="39">
      <t>ヒョウジ</t>
    </rPh>
    <phoneticPr fontId="24"/>
  </si>
  <si>
    <t>過去に発生した5年分の貸付金のデータを保存する機能</t>
    <rPh sb="0" eb="2">
      <t>カコ</t>
    </rPh>
    <rPh sb="3" eb="5">
      <t>ハッセイ</t>
    </rPh>
    <rPh sb="8" eb="10">
      <t>ネンブン</t>
    </rPh>
    <rPh sb="11" eb="14">
      <t>カシツケキン</t>
    </rPh>
    <rPh sb="19" eb="21">
      <t>ホゾン</t>
    </rPh>
    <rPh sb="23" eb="25">
      <t>キノウ</t>
    </rPh>
    <phoneticPr fontId="24"/>
  </si>
  <si>
    <t>決済</t>
    <rPh sb="0" eb="2">
      <t>ケッサイ</t>
    </rPh>
    <phoneticPr fontId="6"/>
  </si>
  <si>
    <t>入金処理</t>
    <rPh sb="0" eb="2">
      <t>ニュウキン</t>
    </rPh>
    <rPh sb="2" eb="4">
      <t>ショリ</t>
    </rPh>
    <phoneticPr fontId="24"/>
  </si>
  <si>
    <t>計上</t>
    <rPh sb="0" eb="2">
      <t>ケイジョウ</t>
    </rPh>
    <phoneticPr fontId="24"/>
  </si>
  <si>
    <t>配当金等グループ間での請求があった際に、その取引の伝票を計上できること</t>
    <rPh sb="0" eb="4">
      <t>ハイトウキントウ</t>
    </rPh>
    <rPh sb="8" eb="9">
      <t>カン</t>
    </rPh>
    <rPh sb="11" eb="13">
      <t>セイキュウ</t>
    </rPh>
    <rPh sb="17" eb="18">
      <t>サイ</t>
    </rPh>
    <rPh sb="22" eb="24">
      <t>トリヒキ</t>
    </rPh>
    <rPh sb="25" eb="27">
      <t>デンピョウ</t>
    </rPh>
    <rPh sb="28" eb="30">
      <t>ケイジョウ</t>
    </rPh>
    <phoneticPr fontId="24"/>
  </si>
  <si>
    <t>配当金の伝票を計上できる機能</t>
    <rPh sb="0" eb="3">
      <t>ハイトウキン</t>
    </rPh>
    <rPh sb="4" eb="6">
      <t>デンピョウ</t>
    </rPh>
    <rPh sb="7" eb="9">
      <t>ケイジョウ</t>
    </rPh>
    <rPh sb="12" eb="14">
      <t>キノウ</t>
    </rPh>
    <phoneticPr fontId="24"/>
  </si>
  <si>
    <t>仕訳帳にマニュアルで登録</t>
    <rPh sb="0" eb="3">
      <t>シワケチョウ</t>
    </rPh>
    <rPh sb="10" eb="12">
      <t>トウロク</t>
    </rPh>
    <phoneticPr fontId="24"/>
  </si>
  <si>
    <t>月次グループ管理業務</t>
    <rPh sb="0" eb="2">
      <t>ゲツジ</t>
    </rPh>
    <rPh sb="6" eb="8">
      <t>カンリ</t>
    </rPh>
    <rPh sb="8" eb="10">
      <t>ギョウム</t>
    </rPh>
    <phoneticPr fontId="6"/>
  </si>
  <si>
    <t>借入枠管理</t>
    <rPh sb="0" eb="3">
      <t>カリイレワク</t>
    </rPh>
    <rPh sb="3" eb="5">
      <t>カンリ</t>
    </rPh>
    <phoneticPr fontId="24"/>
  </si>
  <si>
    <t>グローバルコミットメントラインの枠の管理が会計システム内で出来ること</t>
    <rPh sb="16" eb="17">
      <t>ワク</t>
    </rPh>
    <rPh sb="18" eb="20">
      <t>カンリ</t>
    </rPh>
    <rPh sb="21" eb="23">
      <t>カイケイ</t>
    </rPh>
    <rPh sb="27" eb="28">
      <t>ナイ</t>
    </rPh>
    <rPh sb="29" eb="31">
      <t>デキ</t>
    </rPh>
    <phoneticPr fontId="24"/>
  </si>
  <si>
    <t>グローバルコミットメントラインの枠を管理・登録する機能</t>
    <rPh sb="16" eb="17">
      <t>ワク</t>
    </rPh>
    <rPh sb="18" eb="20">
      <t>カンリ</t>
    </rPh>
    <rPh sb="21" eb="23">
      <t>トウロク</t>
    </rPh>
    <rPh sb="25" eb="27">
      <t>キノウ</t>
    </rPh>
    <phoneticPr fontId="24"/>
  </si>
  <si>
    <t>仕入先の与信残高を使用</t>
    <rPh sb="0" eb="3">
      <t>シイレサキ</t>
    </rPh>
    <rPh sb="4" eb="8">
      <t>ヨシンザンダカ</t>
    </rPh>
    <rPh sb="9" eb="11">
      <t>シヨウ</t>
    </rPh>
    <phoneticPr fontId="24"/>
  </si>
  <si>
    <t>グローバルコミットメントラインの枠の利用状況が会計システム内で出来ること</t>
    <rPh sb="16" eb="17">
      <t>ワク</t>
    </rPh>
    <rPh sb="18" eb="22">
      <t>リヨウジョウキョウ</t>
    </rPh>
    <rPh sb="23" eb="25">
      <t>カイケイ</t>
    </rPh>
    <rPh sb="29" eb="30">
      <t>ナイ</t>
    </rPh>
    <rPh sb="31" eb="33">
      <t>デキ</t>
    </rPh>
    <phoneticPr fontId="24"/>
  </si>
  <si>
    <t>グローバルコミットメントラインの枠の利用状況を管理する機能</t>
    <rPh sb="16" eb="17">
      <t>ワク</t>
    </rPh>
    <rPh sb="18" eb="22">
      <t>リヨウジョウキョウ</t>
    </rPh>
    <rPh sb="23" eb="25">
      <t>カンリ</t>
    </rPh>
    <rPh sb="27" eb="29">
      <t>キノウ</t>
    </rPh>
    <phoneticPr fontId="24"/>
  </si>
  <si>
    <t>10.1の範囲で対応</t>
    <rPh sb="5" eb="7">
      <t>ハンイ</t>
    </rPh>
    <rPh sb="8" eb="10">
      <t>タイオウ</t>
    </rPh>
    <phoneticPr fontId="24"/>
  </si>
  <si>
    <t>グローバルコミットメントラインの枠で利用する借入の利息額が自動計上出来ること</t>
    <rPh sb="16" eb="17">
      <t>ワク</t>
    </rPh>
    <rPh sb="18" eb="20">
      <t>リヨウ</t>
    </rPh>
    <rPh sb="22" eb="24">
      <t>カリイレ</t>
    </rPh>
    <rPh sb="25" eb="28">
      <t>リソクガク</t>
    </rPh>
    <rPh sb="29" eb="33">
      <t>ジドウケイジョウ</t>
    </rPh>
    <rPh sb="33" eb="35">
      <t>デキ</t>
    </rPh>
    <phoneticPr fontId="24"/>
  </si>
  <si>
    <t>グローバルコミットメントラインの枠で利用する借入の利息額を計算・自動計上する機能</t>
    <rPh sb="16" eb="17">
      <t>ワク</t>
    </rPh>
    <rPh sb="18" eb="20">
      <t>リヨウ</t>
    </rPh>
    <rPh sb="22" eb="24">
      <t>カリイレ</t>
    </rPh>
    <rPh sb="25" eb="28">
      <t>リソクガク</t>
    </rPh>
    <rPh sb="29" eb="31">
      <t>ケイサン</t>
    </rPh>
    <rPh sb="32" eb="36">
      <t>ジドウケイジョウ</t>
    </rPh>
    <rPh sb="38" eb="40">
      <t>キノウ</t>
    </rPh>
    <phoneticPr fontId="24"/>
  </si>
  <si>
    <t>4.5の範囲で対応</t>
    <rPh sb="4" eb="6">
      <t>ハンイ</t>
    </rPh>
    <rPh sb="7" eb="9">
      <t>タイオウ</t>
    </rPh>
    <phoneticPr fontId="24"/>
  </si>
  <si>
    <t>グローバルコミットメントラインの空き枠に対して発生する利息額を自動計算し、仕訳の自動計上が出来ること</t>
    <rPh sb="16" eb="17">
      <t>ア</t>
    </rPh>
    <rPh sb="18" eb="19">
      <t>ワク</t>
    </rPh>
    <rPh sb="20" eb="21">
      <t>タイ</t>
    </rPh>
    <rPh sb="23" eb="25">
      <t>ハッセイ</t>
    </rPh>
    <rPh sb="27" eb="30">
      <t>リソクガク</t>
    </rPh>
    <rPh sb="31" eb="35">
      <t>ジドウケイサン</t>
    </rPh>
    <rPh sb="37" eb="39">
      <t>シワケ</t>
    </rPh>
    <rPh sb="40" eb="44">
      <t>ジドウケイジョウ</t>
    </rPh>
    <rPh sb="45" eb="47">
      <t>デキ</t>
    </rPh>
    <phoneticPr fontId="24"/>
  </si>
  <si>
    <t>グローバルコミットメントラインの空き枠に対して発生する利息額を自動計算し、仕訳を自動計上する機能</t>
    <rPh sb="16" eb="17">
      <t>ア</t>
    </rPh>
    <rPh sb="18" eb="19">
      <t>ワク</t>
    </rPh>
    <rPh sb="20" eb="21">
      <t>タイ</t>
    </rPh>
    <rPh sb="23" eb="25">
      <t>ハッセイ</t>
    </rPh>
    <rPh sb="27" eb="30">
      <t>リソクガク</t>
    </rPh>
    <rPh sb="31" eb="35">
      <t>ジドウケイサン</t>
    </rPh>
    <rPh sb="37" eb="39">
      <t>シワケ</t>
    </rPh>
    <rPh sb="40" eb="44">
      <t>ジドウケイジョウ</t>
    </rPh>
    <rPh sb="46" eb="48">
      <t>キノウ</t>
    </rPh>
    <phoneticPr fontId="24"/>
  </si>
  <si>
    <t>10.1 にて登録された情報をもとに、各種仕訳帳に起票する処理を追加する(転記まではしない(転記は手動))</t>
    <rPh sb="7" eb="9">
      <t>トウロク</t>
    </rPh>
    <rPh sb="12" eb="14">
      <t>ジョウホウ</t>
    </rPh>
    <rPh sb="19" eb="24">
      <t>カクシュシワケチョウ</t>
    </rPh>
    <rPh sb="25" eb="27">
      <t>キヒョウ</t>
    </rPh>
    <rPh sb="29" eb="31">
      <t>ショリ</t>
    </rPh>
    <rPh sb="32" eb="34">
      <t>ツイカ</t>
    </rPh>
    <rPh sb="37" eb="39">
      <t>テンキ</t>
    </rPh>
    <rPh sb="46" eb="48">
      <t>テンキ</t>
    </rPh>
    <rPh sb="49" eb="51">
      <t>シュドウ</t>
    </rPh>
    <phoneticPr fontId="24"/>
  </si>
  <si>
    <t>借入・預金管理</t>
    <rPh sb="0" eb="2">
      <t>カリイレ</t>
    </rPh>
    <rPh sb="3" eb="5">
      <t>ヨキン</t>
    </rPh>
    <rPh sb="5" eb="7">
      <t>カンリ</t>
    </rPh>
    <phoneticPr fontId="24"/>
  </si>
  <si>
    <t>データの収集</t>
    <rPh sb="4" eb="6">
      <t>シュウシュウ</t>
    </rPh>
    <phoneticPr fontId="24"/>
  </si>
  <si>
    <t>グローバル各社の担当者に対して、事前に登録した文面のメールを毎月自動送信できること</t>
    <rPh sb="5" eb="7">
      <t>カクシャ</t>
    </rPh>
    <rPh sb="8" eb="11">
      <t>タントウシャ</t>
    </rPh>
    <rPh sb="12" eb="13">
      <t>タイ</t>
    </rPh>
    <rPh sb="16" eb="18">
      <t>ジゼン</t>
    </rPh>
    <rPh sb="19" eb="21">
      <t>トウロク</t>
    </rPh>
    <rPh sb="23" eb="25">
      <t>ブンメン</t>
    </rPh>
    <rPh sb="30" eb="36">
      <t>マイツキジドウソウシン</t>
    </rPh>
    <phoneticPr fontId="24"/>
  </si>
  <si>
    <t>グローバル各社の担当者に対して、事前に登録した文面のメールを毎月自動送信する機能</t>
    <rPh sb="5" eb="7">
      <t>カクシャ</t>
    </rPh>
    <rPh sb="8" eb="11">
      <t>タントウシャ</t>
    </rPh>
    <rPh sb="12" eb="13">
      <t>タイ</t>
    </rPh>
    <rPh sb="15" eb="17">
      <t>ジゼン</t>
    </rPh>
    <rPh sb="18" eb="20">
      <t>トウロク</t>
    </rPh>
    <rPh sb="22" eb="24">
      <t>ブンメン</t>
    </rPh>
    <rPh sb="29" eb="35">
      <t>マイツキジドウソウシン</t>
    </rPh>
    <rPh sb="38" eb="40">
      <t>キノウ</t>
    </rPh>
    <phoneticPr fontId="24"/>
  </si>
  <si>
    <t>外付けツール・システム</t>
  </si>
  <si>
    <t>Power Automateにて対応
(スケジュール済フロー)
FO内の情報を吸い出す必要がある場合など、要件次第でCへ。</t>
    <rPh sb="16" eb="18">
      <t>タイオウ</t>
    </rPh>
    <rPh sb="26" eb="27">
      <t>ズミ</t>
    </rPh>
    <rPh sb="34" eb="35">
      <t>ナイ</t>
    </rPh>
    <rPh sb="36" eb="38">
      <t>ジョウホウ</t>
    </rPh>
    <rPh sb="39" eb="40">
      <t>ス</t>
    </rPh>
    <rPh sb="41" eb="42">
      <t>ダ</t>
    </rPh>
    <rPh sb="43" eb="45">
      <t>ヒツヨウ</t>
    </rPh>
    <rPh sb="48" eb="50">
      <t>バアイ</t>
    </rPh>
    <rPh sb="53" eb="57">
      <t>ヨウケンシダイ</t>
    </rPh>
    <phoneticPr fontId="24"/>
  </si>
  <si>
    <t>借入データの集計</t>
    <rPh sb="0" eb="2">
      <t>カリイレ</t>
    </rPh>
    <rPh sb="6" eb="8">
      <t>シュウケイ</t>
    </rPh>
    <phoneticPr fontId="24"/>
  </si>
  <si>
    <t>各社から入手したEXCELフォーマットをアップロードすることで、その会社の月末の借入金残高を登録できること</t>
    <rPh sb="0" eb="2">
      <t>カクシャ</t>
    </rPh>
    <rPh sb="4" eb="6">
      <t>ニュウシュ</t>
    </rPh>
    <rPh sb="34" eb="36">
      <t>カイシャ</t>
    </rPh>
    <rPh sb="37" eb="39">
      <t>ゲツマツ</t>
    </rPh>
    <rPh sb="40" eb="45">
      <t>カリイレキンザンダカ</t>
    </rPh>
    <rPh sb="46" eb="48">
      <t>トウロク</t>
    </rPh>
    <phoneticPr fontId="24"/>
  </si>
  <si>
    <t>EXCELフォーマットをアップロードすることによって、月末の借入金残高を登録/計上する機能</t>
    <rPh sb="27" eb="29">
      <t>ゲツマツ</t>
    </rPh>
    <rPh sb="30" eb="35">
      <t>カリイレキンザンダカ</t>
    </rPh>
    <rPh sb="36" eb="38">
      <t>トウロク</t>
    </rPh>
    <rPh sb="39" eb="41">
      <t>ケイジョウ</t>
    </rPh>
    <rPh sb="43" eb="45">
      <t>キノウ</t>
    </rPh>
    <phoneticPr fontId="24"/>
  </si>
  <si>
    <t>仕訳帳にExcelアドインで取り込み</t>
    <rPh sb="0" eb="3">
      <t>シワケチョウ</t>
    </rPh>
    <rPh sb="14" eb="15">
      <t>ト</t>
    </rPh>
    <rPh sb="16" eb="17">
      <t>コ</t>
    </rPh>
    <phoneticPr fontId="24"/>
  </si>
  <si>
    <t>会社別に金融機関別・通貨別の月末借入の金額を管理できること</t>
    <rPh sb="0" eb="3">
      <t>カイシャベツ</t>
    </rPh>
    <rPh sb="4" eb="9">
      <t>キンユウキカンベツ</t>
    </rPh>
    <rPh sb="10" eb="13">
      <t>ツウカベツ</t>
    </rPh>
    <rPh sb="14" eb="16">
      <t>ゲツマツ</t>
    </rPh>
    <rPh sb="16" eb="18">
      <t>カリイレ</t>
    </rPh>
    <rPh sb="19" eb="21">
      <t>キンガク</t>
    </rPh>
    <rPh sb="22" eb="24">
      <t>カンリ</t>
    </rPh>
    <phoneticPr fontId="24"/>
  </si>
  <si>
    <t>会社別の金融機関別・通貨別の月末借入の金額を管理・計算・表示する機能</t>
    <rPh sb="0" eb="3">
      <t>カイシャベツ</t>
    </rPh>
    <rPh sb="4" eb="9">
      <t>キンユウキカンベツ</t>
    </rPh>
    <rPh sb="10" eb="13">
      <t>ツウカベツ</t>
    </rPh>
    <rPh sb="14" eb="16">
      <t>ゲツマツ</t>
    </rPh>
    <rPh sb="16" eb="18">
      <t>カリイレ</t>
    </rPh>
    <rPh sb="19" eb="21">
      <t>キンガク</t>
    </rPh>
    <rPh sb="22" eb="24">
      <t>カンリ</t>
    </rPh>
    <rPh sb="25" eb="27">
      <t>ケイサン</t>
    </rPh>
    <rPh sb="28" eb="30">
      <t>ヒョウジ</t>
    </rPh>
    <rPh sb="32" eb="34">
      <t>キノウ</t>
    </rPh>
    <phoneticPr fontId="24"/>
  </si>
  <si>
    <t>仕入先残高リストにて対応</t>
    <rPh sb="0" eb="5">
      <t>シイレサキザンダカ</t>
    </rPh>
    <rPh sb="10" eb="12">
      <t>タイオウ</t>
    </rPh>
    <phoneticPr fontId="24"/>
  </si>
  <si>
    <t>会社を地域等の切り口でグルーピングし、見たい切り口での月末借入金残高を計算・表示出来ること</t>
    <rPh sb="0" eb="2">
      <t>カイシャ</t>
    </rPh>
    <rPh sb="3" eb="6">
      <t>チイキトウ</t>
    </rPh>
    <rPh sb="7" eb="8">
      <t>キ</t>
    </rPh>
    <rPh sb="9" eb="10">
      <t>クチ</t>
    </rPh>
    <rPh sb="19" eb="20">
      <t>ミ</t>
    </rPh>
    <rPh sb="22" eb="23">
      <t>キ</t>
    </rPh>
    <rPh sb="24" eb="25">
      <t>クチ</t>
    </rPh>
    <rPh sb="27" eb="29">
      <t>ゲツマツ</t>
    </rPh>
    <rPh sb="29" eb="31">
      <t>カリイレ</t>
    </rPh>
    <rPh sb="31" eb="32">
      <t>キン</t>
    </rPh>
    <rPh sb="32" eb="34">
      <t>ザンダカ</t>
    </rPh>
    <rPh sb="35" eb="37">
      <t>ケイサン</t>
    </rPh>
    <rPh sb="38" eb="40">
      <t>ヒョウジ</t>
    </rPh>
    <rPh sb="40" eb="42">
      <t>デキ</t>
    </rPh>
    <phoneticPr fontId="24"/>
  </si>
  <si>
    <t>借入金残高のグルーピングをする機能</t>
    <rPh sb="0" eb="5">
      <t>カリイレキンザンダカ</t>
    </rPh>
    <rPh sb="15" eb="17">
      <t>キノウ</t>
    </rPh>
    <phoneticPr fontId="24"/>
  </si>
  <si>
    <t>仕入先トランザクションにてフィルタしてExcel出力での対応</t>
    <rPh sb="0" eb="3">
      <t>シイレサキ</t>
    </rPh>
    <rPh sb="24" eb="26">
      <t>シュツリョク</t>
    </rPh>
    <rPh sb="28" eb="30">
      <t>タイオウ</t>
    </rPh>
    <phoneticPr fontId="24"/>
  </si>
  <si>
    <t>預金データの集計</t>
    <rPh sb="0" eb="2">
      <t>ヨキン</t>
    </rPh>
    <rPh sb="6" eb="8">
      <t>シュウケイ</t>
    </rPh>
    <phoneticPr fontId="24"/>
  </si>
  <si>
    <t>各社から入手したEXCELフォーマットをアップロードすることで、その会社の月末の預金残高を登録できること</t>
    <rPh sb="0" eb="2">
      <t>カクシャ</t>
    </rPh>
    <rPh sb="4" eb="6">
      <t>ニュウシュ</t>
    </rPh>
    <rPh sb="34" eb="36">
      <t>カイシャ</t>
    </rPh>
    <rPh sb="40" eb="42">
      <t>ヨキン</t>
    </rPh>
    <rPh sb="42" eb="44">
      <t>ザンダカ</t>
    </rPh>
    <rPh sb="43" eb="45">
      <t>トウロク</t>
    </rPh>
    <phoneticPr fontId="24"/>
  </si>
  <si>
    <t>EXCELフォーマットをアップロードすることによって、月末の預金残高を登録/計上する機能</t>
    <rPh sb="27" eb="29">
      <t>ゲツマツ</t>
    </rPh>
    <rPh sb="30" eb="32">
      <t>ヨキン</t>
    </rPh>
    <rPh sb="32" eb="34">
      <t>ザンダカ</t>
    </rPh>
    <rPh sb="35" eb="37">
      <t>トウロク</t>
    </rPh>
    <rPh sb="38" eb="40">
      <t>ケイジョウ</t>
    </rPh>
    <rPh sb="42" eb="44">
      <t>キノウ</t>
    </rPh>
    <phoneticPr fontId="24"/>
  </si>
  <si>
    <t>会社別に金融機関別・通貨別の月末預金額を管理できること</t>
    <rPh sb="0" eb="3">
      <t>カイシャベツ</t>
    </rPh>
    <rPh sb="4" eb="9">
      <t>キンユウキカンベツ</t>
    </rPh>
    <rPh sb="10" eb="12">
      <t>ツウカ</t>
    </rPh>
    <rPh sb="12" eb="13">
      <t>ベツ</t>
    </rPh>
    <rPh sb="14" eb="16">
      <t>ゲツマツ</t>
    </rPh>
    <rPh sb="16" eb="18">
      <t>ヨキン</t>
    </rPh>
    <rPh sb="18" eb="19">
      <t>ガク</t>
    </rPh>
    <rPh sb="19" eb="20">
      <t>キンガク</t>
    </rPh>
    <rPh sb="20" eb="22">
      <t>カンリ</t>
    </rPh>
    <phoneticPr fontId="24"/>
  </si>
  <si>
    <t>会社別の金融機関別・通貨別の月末預金額を管理・計算・表示する機能</t>
    <rPh sb="0" eb="3">
      <t>カイシャベツ</t>
    </rPh>
    <rPh sb="4" eb="9">
      <t>キンユウキカンベツ</t>
    </rPh>
    <rPh sb="10" eb="12">
      <t>ツウカ</t>
    </rPh>
    <rPh sb="12" eb="13">
      <t>ベツ</t>
    </rPh>
    <rPh sb="14" eb="16">
      <t>ゲツマツ</t>
    </rPh>
    <rPh sb="16" eb="18">
      <t>ヨキン</t>
    </rPh>
    <rPh sb="18" eb="19">
      <t>ガク</t>
    </rPh>
    <rPh sb="19" eb="20">
      <t>キンガク</t>
    </rPh>
    <rPh sb="20" eb="22">
      <t>カンリ</t>
    </rPh>
    <rPh sb="23" eb="25">
      <t>ケイサン</t>
    </rPh>
    <rPh sb="26" eb="28">
      <t>ヒョウジ</t>
    </rPh>
    <rPh sb="30" eb="32">
      <t>キノウ</t>
    </rPh>
    <phoneticPr fontId="24"/>
  </si>
  <si>
    <t>銀行トランザクションにてフィルタしてExcel出力での対応</t>
    <phoneticPr fontId="24"/>
  </si>
  <si>
    <t>会社別に金融機関別・口座別の月末預金額を管理できること</t>
    <rPh sb="0" eb="3">
      <t>カイシャベツ</t>
    </rPh>
    <rPh sb="4" eb="9">
      <t>キンユウキカンベツ</t>
    </rPh>
    <rPh sb="10" eb="12">
      <t>コウザ</t>
    </rPh>
    <rPh sb="12" eb="13">
      <t>ベツ</t>
    </rPh>
    <rPh sb="14" eb="16">
      <t>ゲツマツ</t>
    </rPh>
    <rPh sb="16" eb="18">
      <t>ヨキン</t>
    </rPh>
    <rPh sb="18" eb="19">
      <t>ガク</t>
    </rPh>
    <rPh sb="19" eb="20">
      <t>キンガク</t>
    </rPh>
    <rPh sb="20" eb="22">
      <t>カンリ</t>
    </rPh>
    <phoneticPr fontId="24"/>
  </si>
  <si>
    <t>会社別の金融機関別・口座別の月末預金額を管理・計算・表示する機能</t>
    <rPh sb="0" eb="3">
      <t>カイシャベツ</t>
    </rPh>
    <rPh sb="4" eb="9">
      <t>キンユウキカンベツ</t>
    </rPh>
    <rPh sb="10" eb="12">
      <t>コウザ</t>
    </rPh>
    <rPh sb="12" eb="13">
      <t>ベツ</t>
    </rPh>
    <rPh sb="14" eb="16">
      <t>ゲツマツ</t>
    </rPh>
    <rPh sb="16" eb="18">
      <t>ヨキン</t>
    </rPh>
    <rPh sb="18" eb="19">
      <t>ガク</t>
    </rPh>
    <rPh sb="19" eb="20">
      <t>キンガク</t>
    </rPh>
    <rPh sb="20" eb="22">
      <t>カンリ</t>
    </rPh>
    <rPh sb="23" eb="25">
      <t>ケイサン</t>
    </rPh>
    <rPh sb="26" eb="28">
      <t>ヒョウジ</t>
    </rPh>
    <rPh sb="30" eb="32">
      <t>キノウ</t>
    </rPh>
    <phoneticPr fontId="24"/>
  </si>
  <si>
    <t>・グループ全体の借入の将来の残高/返済額/利息額が年別で表示されること
・及び会社別・明細別でプレイクダウン出来ること</t>
    <phoneticPr fontId="24"/>
  </si>
  <si>
    <t>・グループ全体の借入の将来の残高/返済額/利息額が年別で表示する機能
・及び会社別・明細別でプレイクダウンする機能</t>
    <rPh sb="5" eb="7">
      <t>ゼンタイ</t>
    </rPh>
    <rPh sb="8" eb="10">
      <t>カリイレ</t>
    </rPh>
    <rPh sb="17" eb="20">
      <t>ヘンサイガク</t>
    </rPh>
    <rPh sb="21" eb="24">
      <t>リソクガク</t>
    </rPh>
    <rPh sb="25" eb="27">
      <t>ネンベツ</t>
    </rPh>
    <rPh sb="28" eb="30">
      <t>ヒョウジ</t>
    </rPh>
    <rPh sb="32" eb="34">
      <t>キノウ</t>
    </rPh>
    <rPh sb="36" eb="37">
      <t>オヨ</t>
    </rPh>
    <rPh sb="38" eb="41">
      <t>カイシャベツ</t>
    </rPh>
    <rPh sb="42" eb="44">
      <t>メイサイ</t>
    </rPh>
    <rPh sb="44" eb="45">
      <t>ベツ</t>
    </rPh>
    <rPh sb="55" eb="57">
      <t>キノウ</t>
    </rPh>
    <phoneticPr fontId="24"/>
  </si>
  <si>
    <t>会社を地域等の切り口でグルーピングし、見たい切り口での月末預金残高を計算・表示出来ること</t>
    <rPh sb="0" eb="2">
      <t>カイシャ</t>
    </rPh>
    <rPh sb="3" eb="6">
      <t>チイキトウ</t>
    </rPh>
    <rPh sb="7" eb="8">
      <t>キ</t>
    </rPh>
    <rPh sb="9" eb="10">
      <t>クチ</t>
    </rPh>
    <rPh sb="19" eb="20">
      <t>ミ</t>
    </rPh>
    <rPh sb="22" eb="23">
      <t>キ</t>
    </rPh>
    <rPh sb="24" eb="25">
      <t>クチ</t>
    </rPh>
    <rPh sb="27" eb="29">
      <t>ガツマツ</t>
    </rPh>
    <rPh sb="29" eb="31">
      <t>ヨキン</t>
    </rPh>
    <rPh sb="31" eb="33">
      <t>ザンダカ</t>
    </rPh>
    <rPh sb="34" eb="36">
      <t>ケイサン</t>
    </rPh>
    <rPh sb="37" eb="39">
      <t>ヒョウジ</t>
    </rPh>
    <rPh sb="39" eb="41">
      <t>デキ</t>
    </rPh>
    <phoneticPr fontId="24"/>
  </si>
  <si>
    <t>預金残高のグルーピングをする機能</t>
    <rPh sb="0" eb="2">
      <t>ヨキン</t>
    </rPh>
    <rPh sb="2" eb="4">
      <t>ザンダカ</t>
    </rPh>
    <rPh sb="14" eb="16">
      <t>キノウ</t>
    </rPh>
    <phoneticPr fontId="24"/>
  </si>
  <si>
    <t>データの比較</t>
    <rPh sb="4" eb="6">
      <t>ヒカク</t>
    </rPh>
    <phoneticPr fontId="24"/>
  </si>
  <si>
    <t>11.10</t>
    <phoneticPr fontId="24"/>
  </si>
  <si>
    <t>上記管理したい切り口毎に、前月と報告月の残高が横並びで比較でき、また増減が計算出来ること</t>
    <rPh sb="0" eb="2">
      <t>ジョウキ</t>
    </rPh>
    <rPh sb="2" eb="4">
      <t>カンリ</t>
    </rPh>
    <rPh sb="7" eb="8">
      <t>キ</t>
    </rPh>
    <rPh sb="9" eb="11">
      <t>クチゴト</t>
    </rPh>
    <rPh sb="13" eb="15">
      <t>ゼンゲツ</t>
    </rPh>
    <rPh sb="16" eb="18">
      <t>ホウコク</t>
    </rPh>
    <rPh sb="18" eb="19">
      <t>ツキ</t>
    </rPh>
    <rPh sb="20" eb="22">
      <t>ザンダカ</t>
    </rPh>
    <rPh sb="23" eb="25">
      <t>ヨコナラ</t>
    </rPh>
    <rPh sb="27" eb="29">
      <t>ヒカク</t>
    </rPh>
    <rPh sb="34" eb="36">
      <t>ゾウゲン</t>
    </rPh>
    <rPh sb="37" eb="39">
      <t>ケイサン</t>
    </rPh>
    <rPh sb="39" eb="41">
      <t>デキ</t>
    </rPh>
    <phoneticPr fontId="24"/>
  </si>
  <si>
    <r>
      <rPr>
        <strike/>
        <sz val="11"/>
        <rFont val="Meiryo UI"/>
        <family val="3"/>
        <charset val="128"/>
      </rPr>
      <t>44.1~44.7</t>
    </r>
    <r>
      <rPr>
        <b/>
        <sz val="11"/>
        <color rgb="FFFF0000"/>
        <rFont val="Meiryo UI"/>
        <family val="3"/>
        <charset val="128"/>
      </rPr>
      <t>11.1～11.9</t>
    </r>
    <r>
      <rPr>
        <sz val="11"/>
        <rFont val="Meiryo UI"/>
        <family val="3"/>
        <charset val="128"/>
      </rPr>
      <t>を満たしながら前月と当月の数字を比較して表示する機能、及び差額を計算する機能</t>
    </r>
    <rPh sb="19" eb="20">
      <t>ミ</t>
    </rPh>
    <rPh sb="25" eb="27">
      <t>ゼンゲツ</t>
    </rPh>
    <rPh sb="28" eb="30">
      <t>トウゲツ</t>
    </rPh>
    <rPh sb="31" eb="33">
      <t>スウジ</t>
    </rPh>
    <rPh sb="34" eb="36">
      <t>ヒカク</t>
    </rPh>
    <rPh sb="38" eb="40">
      <t>ヒョウジ</t>
    </rPh>
    <rPh sb="42" eb="44">
      <t>キノウ</t>
    </rPh>
    <rPh sb="45" eb="46">
      <t>オヨ</t>
    </rPh>
    <rPh sb="47" eb="49">
      <t>サガク</t>
    </rPh>
    <rPh sb="50" eb="52">
      <t>ケイサン</t>
    </rPh>
    <rPh sb="54" eb="56">
      <t>キノウ</t>
    </rPh>
    <phoneticPr fontId="24"/>
  </si>
  <si>
    <t>11.1 ~ 11.9 の作業を前月と当月分それぞれで行い、結果をExcelエクスポートし比較</t>
    <rPh sb="13" eb="15">
      <t>サギョウ</t>
    </rPh>
    <rPh sb="16" eb="18">
      <t>ゼンゲツ</t>
    </rPh>
    <rPh sb="19" eb="22">
      <t>トウゲツブン</t>
    </rPh>
    <rPh sb="27" eb="28">
      <t>オコナ</t>
    </rPh>
    <rPh sb="30" eb="32">
      <t>ケッカ</t>
    </rPh>
    <rPh sb="45" eb="47">
      <t>ヒカク</t>
    </rPh>
    <phoneticPr fontId="24"/>
  </si>
  <si>
    <t>売上・債権/債務/在庫管理</t>
    <rPh sb="0" eb="2">
      <t>ウリアゲ</t>
    </rPh>
    <rPh sb="3" eb="5">
      <t>サイケン</t>
    </rPh>
    <rPh sb="6" eb="8">
      <t>サイム</t>
    </rPh>
    <rPh sb="9" eb="13">
      <t>ザイコカンリ</t>
    </rPh>
    <phoneticPr fontId="24"/>
  </si>
  <si>
    <t>売上管理</t>
    <rPh sb="0" eb="2">
      <t>ウリアゲ</t>
    </rPh>
    <rPh sb="2" eb="4">
      <t>カンリ</t>
    </rPh>
    <phoneticPr fontId="24"/>
  </si>
  <si>
    <t>各社から入手したEXCELフォーマットをアップロードすることで、その会社の月次の売上を登録できること</t>
    <rPh sb="0" eb="2">
      <t>カクシャ</t>
    </rPh>
    <rPh sb="4" eb="6">
      <t>ニュウシュ</t>
    </rPh>
    <rPh sb="34" eb="36">
      <t>カイシャ</t>
    </rPh>
    <rPh sb="37" eb="39">
      <t>ゲツジ</t>
    </rPh>
    <rPh sb="40" eb="42">
      <t>ウリアゲ</t>
    </rPh>
    <rPh sb="43" eb="45">
      <t>トウロク</t>
    </rPh>
    <phoneticPr fontId="24"/>
  </si>
  <si>
    <t>EXCELフォーマットをアップロードすることによって、月次の売上を登録/計上する機能</t>
    <rPh sb="27" eb="29">
      <t>ゲツジ</t>
    </rPh>
    <rPh sb="30" eb="32">
      <t>ウリアゲ</t>
    </rPh>
    <rPh sb="33" eb="35">
      <t>トウロク</t>
    </rPh>
    <rPh sb="36" eb="38">
      <t>ケイジョウ</t>
    </rPh>
    <rPh sb="40" eb="42">
      <t>キノウ</t>
    </rPh>
    <phoneticPr fontId="24"/>
  </si>
  <si>
    <t>会社別かつ登録済みの情報別（エリア、販売チャネル、製品カテゴリ、製品ブランド等）に月次売上額を管理できること</t>
    <phoneticPr fontId="24"/>
  </si>
  <si>
    <t>会社別かつ登録済みの情報別（エリア、販売チャネル、製品カテゴリ、製品ブランド等）に月次売上額を計算・管理・表示する機能</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1" eb="43">
      <t>ゲツジ</t>
    </rPh>
    <rPh sb="43" eb="45">
      <t>ウリアゲ</t>
    </rPh>
    <rPh sb="45" eb="46">
      <t>ガク</t>
    </rPh>
    <rPh sb="47" eb="49">
      <t>ケイサン</t>
    </rPh>
    <rPh sb="50" eb="52">
      <t>カンリ</t>
    </rPh>
    <rPh sb="53" eb="55">
      <t>ヒョウジ</t>
    </rPh>
    <rPh sb="57" eb="59">
      <t>キノウ</t>
    </rPh>
    <phoneticPr fontId="24"/>
  </si>
  <si>
    <t>MRで対応</t>
    <rPh sb="3" eb="5">
      <t>タイオウ</t>
    </rPh>
    <phoneticPr fontId="24"/>
  </si>
  <si>
    <t>債権/債務/在庫管理</t>
    <rPh sb="0" eb="2">
      <t>サイケン</t>
    </rPh>
    <rPh sb="3" eb="5">
      <t>サイム</t>
    </rPh>
    <rPh sb="6" eb="10">
      <t>ザイコカンリ</t>
    </rPh>
    <phoneticPr fontId="24"/>
  </si>
  <si>
    <t>各社から入手したEXCELフォーマットをアップロードすることで、その会社の月末の債権/債務/在庫残高を登録できること</t>
    <rPh sb="0" eb="2">
      <t>カクシャ</t>
    </rPh>
    <rPh sb="4" eb="6">
      <t>ニュウシュ</t>
    </rPh>
    <rPh sb="34" eb="36">
      <t>カイシャ</t>
    </rPh>
    <rPh sb="37" eb="39">
      <t>ゲツマツ</t>
    </rPh>
    <rPh sb="46" eb="48">
      <t>ザイコ</t>
    </rPh>
    <rPh sb="48" eb="50">
      <t>ザンダカ</t>
    </rPh>
    <rPh sb="51" eb="53">
      <t>トウロク</t>
    </rPh>
    <phoneticPr fontId="24"/>
  </si>
  <si>
    <t>EXCELフォーマットをアップロードすることによって、月末の債権/債務/在庫残高を登録/計上する機能</t>
    <rPh sb="27" eb="29">
      <t>ゲツマツ</t>
    </rPh>
    <rPh sb="36" eb="38">
      <t>ザイコ</t>
    </rPh>
    <rPh sb="38" eb="40">
      <t>ザンダカ</t>
    </rPh>
    <rPh sb="41" eb="43">
      <t>トウロク</t>
    </rPh>
    <rPh sb="44" eb="46">
      <t>ケイジョウ</t>
    </rPh>
    <rPh sb="48" eb="50">
      <t>キノウ</t>
    </rPh>
    <phoneticPr fontId="24"/>
  </si>
  <si>
    <t>在庫管理</t>
    <rPh sb="0" eb="4">
      <t>ザイコカンリ</t>
    </rPh>
    <phoneticPr fontId="24"/>
  </si>
  <si>
    <t>会社別かつ登録済みの情報別（エリア、販売チャネル、製品カテゴリ、製品ブランド等）にの月末債権/債務/在庫額を管理できること</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2" eb="44">
      <t>ゲツマツ</t>
    </rPh>
    <rPh sb="44" eb="46">
      <t>サイケン</t>
    </rPh>
    <rPh sb="47" eb="49">
      <t>サイム</t>
    </rPh>
    <rPh sb="50" eb="52">
      <t>ザイコ</t>
    </rPh>
    <rPh sb="52" eb="53">
      <t>ガク</t>
    </rPh>
    <rPh sb="54" eb="56">
      <t>カンリ</t>
    </rPh>
    <phoneticPr fontId="24"/>
  </si>
  <si>
    <t>会社別かつ登録済みの情報別（エリア、販売チャネル、製品カテゴリ、製品ブランド等）にの月末債権/債務/在庫額を計算・管理・表示する機能</t>
    <rPh sb="0" eb="2">
      <t>カイシャ</t>
    </rPh>
    <rPh sb="2" eb="3">
      <t>ベツ</t>
    </rPh>
    <rPh sb="5" eb="7">
      <t>トウロク</t>
    </rPh>
    <rPh sb="7" eb="8">
      <t>ズ</t>
    </rPh>
    <rPh sb="10" eb="12">
      <t>ジョウホウ</t>
    </rPh>
    <rPh sb="12" eb="13">
      <t>ベツ</t>
    </rPh>
    <rPh sb="18" eb="20">
      <t>ハンバイ</t>
    </rPh>
    <rPh sb="25" eb="27">
      <t>セイヒン</t>
    </rPh>
    <rPh sb="32" eb="34">
      <t>セイヒン</t>
    </rPh>
    <rPh sb="38" eb="39">
      <t>トウ</t>
    </rPh>
    <rPh sb="42" eb="44">
      <t>ゲツマツ</t>
    </rPh>
    <rPh sb="44" eb="46">
      <t>サイケン</t>
    </rPh>
    <rPh sb="47" eb="49">
      <t>サイム</t>
    </rPh>
    <rPh sb="50" eb="52">
      <t>ザイコ</t>
    </rPh>
    <rPh sb="52" eb="53">
      <t>ガク</t>
    </rPh>
    <rPh sb="54" eb="56">
      <t>ケイサン</t>
    </rPh>
    <rPh sb="57" eb="59">
      <t>カンリ</t>
    </rPh>
    <rPh sb="60" eb="62">
      <t>ヒョウジ</t>
    </rPh>
    <rPh sb="64" eb="66">
      <t>キノウ</t>
    </rPh>
    <phoneticPr fontId="24"/>
  </si>
  <si>
    <t>四半期グループ管理業務</t>
    <rPh sb="0" eb="3">
      <t>シハンキ</t>
    </rPh>
    <rPh sb="7" eb="9">
      <t>カンリ</t>
    </rPh>
    <rPh sb="9" eb="11">
      <t>ギョウム</t>
    </rPh>
    <phoneticPr fontId="6"/>
  </si>
  <si>
    <t>グループ間借入・貸付管理</t>
    <rPh sb="4" eb="5">
      <t>カン</t>
    </rPh>
    <rPh sb="5" eb="7">
      <t>カリイレ</t>
    </rPh>
    <rPh sb="8" eb="10">
      <t>カシツケ</t>
    </rPh>
    <rPh sb="10" eb="12">
      <t>カンリ</t>
    </rPh>
    <phoneticPr fontId="24"/>
  </si>
  <si>
    <t>グループ間借入・貸付データの集計</t>
    <rPh sb="4" eb="5">
      <t>カン</t>
    </rPh>
    <rPh sb="5" eb="7">
      <t>カリイレ</t>
    </rPh>
    <rPh sb="8" eb="10">
      <t>カシツケ</t>
    </rPh>
    <rPh sb="14" eb="16">
      <t>シュウケイ</t>
    </rPh>
    <phoneticPr fontId="24"/>
  </si>
  <si>
    <t>各社から入手したEXCELフォーマットをアップロードすることで、その会社の月末のグループ間借入・貸付残高を登録できること</t>
    <rPh sb="0" eb="2">
      <t>カクシャ</t>
    </rPh>
    <rPh sb="4" eb="6">
      <t>ニュウシュ</t>
    </rPh>
    <rPh sb="34" eb="36">
      <t>カイシャ</t>
    </rPh>
    <rPh sb="37" eb="39">
      <t>ゲツマツ</t>
    </rPh>
    <rPh sb="44" eb="45">
      <t>カン</t>
    </rPh>
    <rPh sb="45" eb="47">
      <t>カリイレ</t>
    </rPh>
    <rPh sb="48" eb="50">
      <t>カシツケ</t>
    </rPh>
    <rPh sb="50" eb="52">
      <t>ザンダカ</t>
    </rPh>
    <rPh sb="53" eb="55">
      <t>トウロク</t>
    </rPh>
    <phoneticPr fontId="24"/>
  </si>
  <si>
    <t>EXCELフォーマットをアップロードすることによって、月末ののグループ間借入・貸付残高を登録/計上する機能</t>
    <rPh sb="27" eb="29">
      <t>ゲツマツ</t>
    </rPh>
    <rPh sb="35" eb="36">
      <t>カン</t>
    </rPh>
    <rPh sb="36" eb="38">
      <t>カリイレ</t>
    </rPh>
    <rPh sb="39" eb="41">
      <t>カシツケ</t>
    </rPh>
    <rPh sb="41" eb="43">
      <t>ザンダカ</t>
    </rPh>
    <rPh sb="44" eb="46">
      <t>トウロク</t>
    </rPh>
    <rPh sb="47" eb="49">
      <t>ケイジョウ</t>
    </rPh>
    <rPh sb="51" eb="53">
      <t>キノウ</t>
    </rPh>
    <phoneticPr fontId="24"/>
  </si>
  <si>
    <t>会社別に月末のグループ間借入・貸付残高を一覧化できること</t>
    <rPh sb="0" eb="2">
      <t>カイシャ</t>
    </rPh>
    <rPh sb="2" eb="3">
      <t>ベツ</t>
    </rPh>
    <rPh sb="4" eb="6">
      <t>ガツマツ</t>
    </rPh>
    <rPh sb="11" eb="12">
      <t>カン</t>
    </rPh>
    <rPh sb="12" eb="14">
      <t>カリイレ</t>
    </rPh>
    <rPh sb="15" eb="17">
      <t>カシツケ</t>
    </rPh>
    <rPh sb="17" eb="19">
      <t>ザンダカ</t>
    </rPh>
    <rPh sb="20" eb="22">
      <t>イチラン</t>
    </rPh>
    <rPh sb="22" eb="23">
      <t>カ</t>
    </rPh>
    <phoneticPr fontId="24"/>
  </si>
  <si>
    <t>会社別に月末のグループ間借入・貸付残高を一覧化し表示する機能</t>
    <rPh sb="0" eb="2">
      <t>カイシャ</t>
    </rPh>
    <rPh sb="2" eb="3">
      <t>ベツ</t>
    </rPh>
    <rPh sb="4" eb="6">
      <t>ガツマツ</t>
    </rPh>
    <rPh sb="11" eb="12">
      <t>カン</t>
    </rPh>
    <rPh sb="12" eb="14">
      <t>カリイレ</t>
    </rPh>
    <rPh sb="15" eb="17">
      <t>カシツケ</t>
    </rPh>
    <rPh sb="17" eb="19">
      <t>ザンダカ</t>
    </rPh>
    <rPh sb="20" eb="22">
      <t>イチラン</t>
    </rPh>
    <rPh sb="22" eb="23">
      <t>カ</t>
    </rPh>
    <rPh sb="24" eb="26">
      <t>ヒョウジ</t>
    </rPh>
    <rPh sb="28" eb="30">
      <t>キノウ</t>
    </rPh>
    <phoneticPr fontId="24"/>
  </si>
  <si>
    <t>会社別に、前月と当月の月末のグループ間借入・貸付残高を横並びで比較し、増減が計算させること</t>
    <rPh sb="0" eb="2">
      <t>カイシャ</t>
    </rPh>
    <rPh sb="2" eb="3">
      <t>ベツ</t>
    </rPh>
    <rPh sb="5" eb="7">
      <t>ゼンゲツ</t>
    </rPh>
    <rPh sb="8" eb="10">
      <t>トウゲツ</t>
    </rPh>
    <rPh sb="11" eb="13">
      <t>ガツマツ</t>
    </rPh>
    <rPh sb="18" eb="19">
      <t>カン</t>
    </rPh>
    <rPh sb="19" eb="21">
      <t>カリイレ</t>
    </rPh>
    <rPh sb="22" eb="24">
      <t>カシツケ</t>
    </rPh>
    <rPh sb="24" eb="26">
      <t>ザンダカ</t>
    </rPh>
    <rPh sb="27" eb="29">
      <t>ヨコナラ</t>
    </rPh>
    <rPh sb="31" eb="33">
      <t>ヒカク</t>
    </rPh>
    <rPh sb="35" eb="37">
      <t>ゾウゲン</t>
    </rPh>
    <rPh sb="38" eb="40">
      <t>ケイサン</t>
    </rPh>
    <phoneticPr fontId="24"/>
  </si>
  <si>
    <t>会社別に、前月と当月の月末のグループ間借入・貸付残高を横並びで比較し表示する機能、及び増減を計算する機能</t>
    <rPh sb="0" eb="2">
      <t>カイシャ</t>
    </rPh>
    <rPh sb="2" eb="3">
      <t>ベツ</t>
    </rPh>
    <rPh sb="5" eb="7">
      <t>ゼンゲツ</t>
    </rPh>
    <rPh sb="8" eb="10">
      <t>トウゲツ</t>
    </rPh>
    <rPh sb="11" eb="13">
      <t>ガツマツ</t>
    </rPh>
    <rPh sb="18" eb="19">
      <t>カン</t>
    </rPh>
    <rPh sb="19" eb="21">
      <t>カリイレ</t>
    </rPh>
    <rPh sb="22" eb="24">
      <t>カシツケ</t>
    </rPh>
    <rPh sb="24" eb="26">
      <t>ザンダカ</t>
    </rPh>
    <rPh sb="27" eb="29">
      <t>ヨコナラ</t>
    </rPh>
    <rPh sb="31" eb="33">
      <t>ヒカク</t>
    </rPh>
    <rPh sb="34" eb="36">
      <t>ヒョウジ</t>
    </rPh>
    <rPh sb="38" eb="40">
      <t>キノウ</t>
    </rPh>
    <rPh sb="41" eb="42">
      <t>オヨ</t>
    </rPh>
    <rPh sb="43" eb="45">
      <t>ゾウゲン</t>
    </rPh>
    <rPh sb="46" eb="48">
      <t>ケイサン</t>
    </rPh>
    <rPh sb="50" eb="52">
      <t>キノウ</t>
    </rPh>
    <phoneticPr fontId="24"/>
  </si>
  <si>
    <t>単体業務</t>
    <rPh sb="0" eb="4">
      <t>タンタイギョウム</t>
    </rPh>
    <phoneticPr fontId="24"/>
  </si>
  <si>
    <t>決算説明</t>
    <rPh sb="0" eb="2">
      <t>ケッサン</t>
    </rPh>
    <rPh sb="2" eb="4">
      <t>セツメイ</t>
    </rPh>
    <phoneticPr fontId="24"/>
  </si>
  <si>
    <t>半期ごとの財務三表の実績が表示・出力できること</t>
    <rPh sb="0" eb="2">
      <t>ハンキ</t>
    </rPh>
    <rPh sb="5" eb="7">
      <t>ザイム</t>
    </rPh>
    <rPh sb="7" eb="8">
      <t>サン</t>
    </rPh>
    <rPh sb="8" eb="9">
      <t>ヒョウ</t>
    </rPh>
    <rPh sb="10" eb="12">
      <t>ジッセキ</t>
    </rPh>
    <rPh sb="13" eb="15">
      <t>ヒョウジ</t>
    </rPh>
    <rPh sb="16" eb="18">
      <t>シュツリョク</t>
    </rPh>
    <phoneticPr fontId="24"/>
  </si>
  <si>
    <t>半期ごとの財務三表の実績を表示・出力する機能</t>
    <rPh sb="0" eb="2">
      <t>ハンキ</t>
    </rPh>
    <rPh sb="5" eb="7">
      <t>ザイム</t>
    </rPh>
    <rPh sb="7" eb="8">
      <t>サン</t>
    </rPh>
    <rPh sb="8" eb="9">
      <t>ヒョウ</t>
    </rPh>
    <rPh sb="10" eb="12">
      <t>ジッセキ</t>
    </rPh>
    <rPh sb="13" eb="15">
      <t>ヒョウジ</t>
    </rPh>
    <rPh sb="16" eb="18">
      <t>シュツリョク</t>
    </rPh>
    <rPh sb="20" eb="22">
      <t>キノウ</t>
    </rPh>
    <phoneticPr fontId="24"/>
  </si>
  <si>
    <t>財務部の予算策定</t>
    <rPh sb="0" eb="3">
      <t>ザイムブ</t>
    </rPh>
    <rPh sb="4" eb="6">
      <t>ヨサン</t>
    </rPh>
    <rPh sb="6" eb="8">
      <t>サクテイ</t>
    </rPh>
    <phoneticPr fontId="24"/>
  </si>
  <si>
    <t>資金Gでかかる費用の年間予算を登録できること</t>
    <rPh sb="7" eb="9">
      <t>ヒヨウ</t>
    </rPh>
    <rPh sb="10" eb="12">
      <t>ネンカン</t>
    </rPh>
    <rPh sb="15" eb="17">
      <t>トウロク</t>
    </rPh>
    <phoneticPr fontId="24"/>
  </si>
  <si>
    <t>年間で発生する費用を項目別に登録する機能</t>
    <rPh sb="0" eb="2">
      <t>ネンカン</t>
    </rPh>
    <rPh sb="3" eb="5">
      <t>ハッセイ</t>
    </rPh>
    <rPh sb="7" eb="9">
      <t>ヒヨウ</t>
    </rPh>
    <rPh sb="10" eb="13">
      <t>コウモクベツ</t>
    </rPh>
    <rPh sb="14" eb="16">
      <t>トウロク</t>
    </rPh>
    <rPh sb="18" eb="20">
      <t>キノウ</t>
    </rPh>
    <phoneticPr fontId="24"/>
  </si>
  <si>
    <t>予算モジュールで分析コード別に費用を登録して対応</t>
    <rPh sb="8" eb="10">
      <t>ブンセキ</t>
    </rPh>
    <rPh sb="13" eb="14">
      <t>ベツ</t>
    </rPh>
    <rPh sb="15" eb="17">
      <t>ヒヨウ</t>
    </rPh>
    <rPh sb="18" eb="20">
      <t>トウロク</t>
    </rPh>
    <rPh sb="22" eb="24">
      <t>タイオウ</t>
    </rPh>
    <phoneticPr fontId="24"/>
  </si>
  <si>
    <t>財務部の他組織で入力した年間予算を確認できること</t>
    <rPh sb="0" eb="3">
      <t>ザイムブ</t>
    </rPh>
    <rPh sb="4" eb="7">
      <t>タソシキ</t>
    </rPh>
    <rPh sb="8" eb="10">
      <t>ニュウリョク</t>
    </rPh>
    <rPh sb="12" eb="14">
      <t>ネンカン</t>
    </rPh>
    <rPh sb="14" eb="16">
      <t>ヨサン</t>
    </rPh>
    <rPh sb="17" eb="19">
      <t>カクニン</t>
    </rPh>
    <phoneticPr fontId="24"/>
  </si>
  <si>
    <t>組織別に登録された”年間で発生する費用”のについて、組織別・項目別に金額の一覧を表示する機能</t>
    <rPh sb="0" eb="3">
      <t>ソシキベツ</t>
    </rPh>
    <rPh sb="4" eb="6">
      <t>トウロク</t>
    </rPh>
    <rPh sb="10" eb="12">
      <t>ネンカン</t>
    </rPh>
    <rPh sb="13" eb="15">
      <t>ハッセイ</t>
    </rPh>
    <rPh sb="17" eb="19">
      <t>ヒヨウ</t>
    </rPh>
    <rPh sb="26" eb="29">
      <t>ソシキベツ</t>
    </rPh>
    <rPh sb="30" eb="33">
      <t>コウモクベツ</t>
    </rPh>
    <rPh sb="34" eb="36">
      <t>キンガク</t>
    </rPh>
    <rPh sb="37" eb="39">
      <t>イチラン</t>
    </rPh>
    <rPh sb="40" eb="42">
      <t>ヒョウジ</t>
    </rPh>
    <rPh sb="44" eb="46">
      <t>キノウ</t>
    </rPh>
    <phoneticPr fontId="24"/>
  </si>
  <si>
    <t>財務部の”年間で発生する費用”の項目ごとの合計が確認できること</t>
    <rPh sb="0" eb="3">
      <t>ザイムブ</t>
    </rPh>
    <rPh sb="5" eb="7">
      <t>ネンカン</t>
    </rPh>
    <rPh sb="8" eb="10">
      <t>ハッセイ</t>
    </rPh>
    <rPh sb="12" eb="14">
      <t>ヒヨウ</t>
    </rPh>
    <rPh sb="16" eb="18">
      <t>コウモク</t>
    </rPh>
    <rPh sb="21" eb="23">
      <t>ゴウケイ</t>
    </rPh>
    <rPh sb="24" eb="26">
      <t>カクニン</t>
    </rPh>
    <phoneticPr fontId="24"/>
  </si>
  <si>
    <t>組織別に登録された”年間で発生する費用”について、項目別の財務部合計金額を計算・表示する機能</t>
    <rPh sb="0" eb="3">
      <t>ソシキベツ</t>
    </rPh>
    <rPh sb="4" eb="6">
      <t>トウロク</t>
    </rPh>
    <rPh sb="10" eb="12">
      <t>ネンカン</t>
    </rPh>
    <rPh sb="13" eb="15">
      <t>ハッセイ</t>
    </rPh>
    <rPh sb="17" eb="19">
      <t>ヒヨウ</t>
    </rPh>
    <rPh sb="25" eb="28">
      <t>コウモクベツ</t>
    </rPh>
    <rPh sb="29" eb="32">
      <t>ザイムブ</t>
    </rPh>
    <rPh sb="32" eb="34">
      <t>ゴウケイ</t>
    </rPh>
    <rPh sb="34" eb="36">
      <t>キンガク</t>
    </rPh>
    <rPh sb="37" eb="39">
      <t>ケイサン</t>
    </rPh>
    <rPh sb="40" eb="42">
      <t>ヒョウジ</t>
    </rPh>
    <rPh sb="44" eb="46">
      <t>キノウ</t>
    </rPh>
    <phoneticPr fontId="24"/>
  </si>
  <si>
    <t>締め日ごとにBS/PLのスナップショットが取れること</t>
    <rPh sb="0" eb="1">
      <t>シ</t>
    </rPh>
    <rPh sb="2" eb="3">
      <t>ビ</t>
    </rPh>
    <rPh sb="21" eb="22">
      <t>ト</t>
    </rPh>
    <phoneticPr fontId="24"/>
  </si>
  <si>
    <t>締め日ごとにBS/PLのスナップショットをとる機能</t>
    <rPh sb="0" eb="1">
      <t>シ</t>
    </rPh>
    <rPh sb="2" eb="3">
      <t>ビ</t>
    </rPh>
    <rPh sb="23" eb="25">
      <t>キノウ</t>
    </rPh>
    <phoneticPr fontId="24"/>
  </si>
  <si>
    <t>過去5年分のスナップショットを保存・確認できること</t>
    <rPh sb="0" eb="2">
      <t>カコ</t>
    </rPh>
    <rPh sb="3" eb="4">
      <t>ネン</t>
    </rPh>
    <rPh sb="4" eb="5">
      <t>ブン</t>
    </rPh>
    <rPh sb="15" eb="17">
      <t>ホゾン</t>
    </rPh>
    <rPh sb="18" eb="20">
      <t>カクニン</t>
    </rPh>
    <phoneticPr fontId="24"/>
  </si>
  <si>
    <t>過去5年分のスナップショットを保存・確認する機能</t>
    <rPh sb="0" eb="2">
      <t>カコ</t>
    </rPh>
    <rPh sb="15" eb="17">
      <t>ホゾン</t>
    </rPh>
    <rPh sb="18" eb="20">
      <t>カクニン</t>
    </rPh>
    <rPh sb="22" eb="24">
      <t>キノウ</t>
    </rPh>
    <phoneticPr fontId="24"/>
  </si>
  <si>
    <t>グループ管理業務</t>
    <rPh sb="4" eb="8">
      <t>カンリギョウム</t>
    </rPh>
    <phoneticPr fontId="24"/>
  </si>
  <si>
    <t>各社から収集し、会計システムに登録した借入金について、登録された借入期間・返済期間の情報に基づき、会社別・月別の借入残高が、先1年分一覧化されること</t>
    <rPh sb="0" eb="2">
      <t>カクシャ</t>
    </rPh>
    <rPh sb="4" eb="6">
      <t>シュウシュウ</t>
    </rPh>
    <rPh sb="8" eb="10">
      <t>カイケイ</t>
    </rPh>
    <rPh sb="15" eb="17">
      <t>トウロク</t>
    </rPh>
    <rPh sb="19" eb="22">
      <t>カリイレキン</t>
    </rPh>
    <rPh sb="27" eb="29">
      <t>トウロク</t>
    </rPh>
    <rPh sb="32" eb="36">
      <t>カリイレキカン</t>
    </rPh>
    <rPh sb="37" eb="41">
      <t>ヘンサイキカン</t>
    </rPh>
    <rPh sb="42" eb="44">
      <t>ジョウホウ</t>
    </rPh>
    <rPh sb="45" eb="46">
      <t>モト</t>
    </rPh>
    <rPh sb="49" eb="51">
      <t>カイシャ</t>
    </rPh>
    <rPh sb="51" eb="52">
      <t>ベツ</t>
    </rPh>
    <rPh sb="53" eb="55">
      <t>ツキベツ</t>
    </rPh>
    <rPh sb="56" eb="60">
      <t>カリイレザンダカ</t>
    </rPh>
    <rPh sb="62" eb="63">
      <t>サキ</t>
    </rPh>
    <rPh sb="64" eb="66">
      <t>ネンブン</t>
    </rPh>
    <rPh sb="66" eb="69">
      <t>イチランカ</t>
    </rPh>
    <phoneticPr fontId="24"/>
  </si>
  <si>
    <t>会社別・月別に、向こう1年間の借入金の残高を計算・表示する機能</t>
    <rPh sb="0" eb="3">
      <t>カイシャベツ</t>
    </rPh>
    <rPh sb="4" eb="6">
      <t>ツキベツ</t>
    </rPh>
    <rPh sb="8" eb="9">
      <t>ム</t>
    </rPh>
    <rPh sb="12" eb="14">
      <t>ネンカン</t>
    </rPh>
    <rPh sb="15" eb="18">
      <t>カリイレキン</t>
    </rPh>
    <rPh sb="19" eb="21">
      <t>ザンダカ</t>
    </rPh>
    <rPh sb="22" eb="24">
      <t>ケイサン</t>
    </rPh>
    <rPh sb="25" eb="27">
      <t>ヒョウジ</t>
    </rPh>
    <rPh sb="29" eb="31">
      <t>キノウ</t>
    </rPh>
    <phoneticPr fontId="24"/>
  </si>
  <si>
    <t>会社別・月別に、向こう1年間の借入金の残高を計算・表示する機能を新規画面として開発</t>
    <rPh sb="32" eb="36">
      <t>シンキガメン</t>
    </rPh>
    <rPh sb="39" eb="41">
      <t>カイハツ</t>
    </rPh>
    <phoneticPr fontId="24"/>
  </si>
  <si>
    <t>口座管理</t>
    <rPh sb="0" eb="4">
      <t>コウザカンリ</t>
    </rPh>
    <phoneticPr fontId="24"/>
  </si>
  <si>
    <t>グループ会社が口座を開設・閉設した際、所定のEXCELフォーマットをアップロードすることで、当該口座の情報が会計システムに登録（または削除）出来ること</t>
    <rPh sb="4" eb="6">
      <t>ガイシャ</t>
    </rPh>
    <rPh sb="7" eb="9">
      <t>コウザ</t>
    </rPh>
    <rPh sb="10" eb="12">
      <t>カイセツ</t>
    </rPh>
    <rPh sb="13" eb="15">
      <t>ヘイセツ</t>
    </rPh>
    <rPh sb="17" eb="18">
      <t>サイ</t>
    </rPh>
    <rPh sb="19" eb="21">
      <t>ショテイ</t>
    </rPh>
    <rPh sb="46" eb="50">
      <t>トウガイコウザ</t>
    </rPh>
    <rPh sb="51" eb="53">
      <t>ジョウホウ</t>
    </rPh>
    <rPh sb="54" eb="56">
      <t>カイケイ</t>
    </rPh>
    <rPh sb="61" eb="63">
      <t>トウロク</t>
    </rPh>
    <rPh sb="67" eb="69">
      <t>サクジョ</t>
    </rPh>
    <rPh sb="70" eb="72">
      <t>デキ</t>
    </rPh>
    <phoneticPr fontId="24"/>
  </si>
  <si>
    <t>EXCELフォーマットをアップロードすることによって、口座の開設・閉設登録が行えること</t>
    <rPh sb="27" eb="29">
      <t>コウザ</t>
    </rPh>
    <rPh sb="30" eb="32">
      <t>カイセツ</t>
    </rPh>
    <rPh sb="33" eb="35">
      <t>ヘイセツ</t>
    </rPh>
    <rPh sb="35" eb="37">
      <t>トウロク</t>
    </rPh>
    <rPh sb="38" eb="39">
      <t>オコナ</t>
    </rPh>
    <phoneticPr fontId="24"/>
  </si>
  <si>
    <t>DIXFで対応</t>
    <rPh sb="5" eb="7">
      <t>タイオウ</t>
    </rPh>
    <phoneticPr fontId="24"/>
  </si>
  <si>
    <t>会社別・金融機関別に、各社が保有する口座の一覧が表示されること</t>
    <rPh sb="0" eb="3">
      <t>カイシャベツ</t>
    </rPh>
    <rPh sb="4" eb="9">
      <t>キンユウキカンベツ</t>
    </rPh>
    <rPh sb="11" eb="13">
      <t>カクシャ</t>
    </rPh>
    <rPh sb="14" eb="16">
      <t>ホユウ</t>
    </rPh>
    <rPh sb="18" eb="20">
      <t>コウザ</t>
    </rPh>
    <rPh sb="21" eb="23">
      <t>イチラン</t>
    </rPh>
    <rPh sb="24" eb="26">
      <t>ヒョウジ</t>
    </rPh>
    <phoneticPr fontId="24"/>
  </si>
  <si>
    <t>会社別・金融機関別に、各社が保有する口座の一覧を表示する機能</t>
    <rPh sb="0" eb="3">
      <t>カイシャベツ</t>
    </rPh>
    <rPh sb="4" eb="9">
      <t>キンユウキカンベツ</t>
    </rPh>
    <rPh sb="11" eb="13">
      <t>カクシャ</t>
    </rPh>
    <rPh sb="14" eb="16">
      <t>ホユウ</t>
    </rPh>
    <rPh sb="18" eb="20">
      <t>コウザ</t>
    </rPh>
    <rPh sb="21" eb="23">
      <t>イチラン</t>
    </rPh>
    <rPh sb="24" eb="26">
      <t>ヒョウジ</t>
    </rPh>
    <rPh sb="28" eb="30">
      <t>キノウ</t>
    </rPh>
    <phoneticPr fontId="24"/>
  </si>
  <si>
    <t>銀行トランザクションでの対応</t>
    <rPh sb="0" eb="2">
      <t>ギンコウ</t>
    </rPh>
    <phoneticPr fontId="24"/>
  </si>
  <si>
    <t>債務管理</t>
    <rPh sb="0" eb="4">
      <t>サイムカンリ</t>
    </rPh>
    <phoneticPr fontId="49"/>
  </si>
  <si>
    <t>請求書処理</t>
    <rPh sb="0" eb="3">
      <t>セイキュウショ</t>
    </rPh>
    <rPh sb="3" eb="5">
      <t>ショリ</t>
    </rPh>
    <phoneticPr fontId="6"/>
  </si>
  <si>
    <t>支払処理</t>
    <rPh sb="0" eb="2">
      <t>シハライ</t>
    </rPh>
    <rPh sb="2" eb="4">
      <t>ショリ</t>
    </rPh>
    <phoneticPr fontId="6"/>
  </si>
  <si>
    <t>債務残高管理</t>
    <rPh sb="0" eb="4">
      <t>サイムザンダカ</t>
    </rPh>
    <rPh sb="4" eb="6">
      <t>カンリ</t>
    </rPh>
    <phoneticPr fontId="24"/>
  </si>
  <si>
    <t>全般</t>
    <rPh sb="0" eb="2">
      <t>ゼンパン</t>
    </rPh>
    <phoneticPr fontId="24"/>
  </si>
  <si>
    <t>全般</t>
    <phoneticPr fontId="24"/>
  </si>
  <si>
    <t>現預金管理</t>
    <rPh sb="0" eb="5">
      <t>ゲンヨキンカンリ</t>
    </rPh>
    <phoneticPr fontId="24"/>
  </si>
  <si>
    <t>現金管理</t>
    <rPh sb="0" eb="2">
      <t>ゲンキン</t>
    </rPh>
    <rPh sb="2" eb="4">
      <t>カンリ</t>
    </rPh>
    <phoneticPr fontId="24"/>
  </si>
  <si>
    <t>預金管理</t>
    <rPh sb="0" eb="4">
      <t>ヨキンカンリ</t>
    </rPh>
    <phoneticPr fontId="24"/>
  </si>
  <si>
    <t>残高管理</t>
    <rPh sb="0" eb="2">
      <t>ザンダカ</t>
    </rPh>
    <rPh sb="2" eb="4">
      <t>カンリ</t>
    </rPh>
    <phoneticPr fontId="24"/>
  </si>
  <si>
    <t>一般会計全般・決算</t>
    <rPh sb="0" eb="2">
      <t>イッパン</t>
    </rPh>
    <rPh sb="2" eb="4">
      <t>カイケイ</t>
    </rPh>
    <rPh sb="4" eb="6">
      <t>ゼンパン</t>
    </rPh>
    <rPh sb="7" eb="9">
      <t>ケッサン</t>
    </rPh>
    <phoneticPr fontId="6"/>
  </si>
  <si>
    <t>債務管理</t>
  </si>
  <si>
    <t>現預金管理</t>
    <rPh sb="0" eb="3">
      <t>ゲンヨキン</t>
    </rPh>
    <rPh sb="3" eb="5">
      <t>カンリ</t>
    </rPh>
    <phoneticPr fontId="6"/>
  </si>
  <si>
    <t>債権管理</t>
    <rPh sb="0" eb="2">
      <t>サイケン</t>
    </rPh>
    <rPh sb="2" eb="4">
      <t>カンリ</t>
    </rPh>
    <phoneticPr fontId="6"/>
  </si>
  <si>
    <t>結合キー</t>
    <rPh sb="0" eb="2">
      <t>ケツゴウ</t>
    </rPh>
    <phoneticPr fontId="6"/>
  </si>
  <si>
    <t>一般会計全般・決算1.1</t>
  </si>
  <si>
    <t>一般会計全般・決算1.2</t>
  </si>
  <si>
    <t>一般会計全般・決算1.3</t>
  </si>
  <si>
    <t>一般会計全般・決算1.4</t>
  </si>
  <si>
    <t>一般会計全般・決算1.5</t>
  </si>
  <si>
    <t>一般会計全般・決算1.6</t>
  </si>
  <si>
    <t>一般会計全般・決算1.7</t>
  </si>
  <si>
    <t>一般会計全般・決算1.8</t>
  </si>
  <si>
    <t>一般会計全般・決算1.9</t>
  </si>
  <si>
    <t>一般会計全般・決算2.1</t>
  </si>
  <si>
    <t>一般会計全般・決算2.2</t>
  </si>
  <si>
    <t>一般会計全般・決算2.3</t>
  </si>
  <si>
    <t>一般会計全般・決算3.1</t>
  </si>
  <si>
    <t>一般会計全般・決算3.2</t>
  </si>
  <si>
    <t>一般会計全般・決算4.1</t>
  </si>
  <si>
    <t>一般会計全般・決算4.2</t>
  </si>
  <si>
    <t>一般会計全般・決算4.3</t>
  </si>
  <si>
    <t>一般会計全般・決算5.1</t>
  </si>
  <si>
    <t>一般会計全般・決算5.2</t>
  </si>
  <si>
    <t>一般会計全般・決算6.1</t>
  </si>
  <si>
    <t>一般会計全般・決算6.2</t>
  </si>
  <si>
    <t>一般会計全般・決算6.3</t>
  </si>
  <si>
    <t>一般会計全般・決算6.4</t>
  </si>
  <si>
    <t>一般会計全般・決算6.5</t>
  </si>
  <si>
    <t>一般会計全般・決算6.6</t>
  </si>
  <si>
    <t>一般会計全般・決算7.1</t>
  </si>
  <si>
    <t>一般会計全般・決算7.2</t>
  </si>
  <si>
    <t>一般会計全般・決算7.3</t>
  </si>
  <si>
    <t>一般会計全般・決算7.4</t>
  </si>
  <si>
    <t>一般会計全般・決算7.5</t>
  </si>
  <si>
    <t>一般会計全般・決算7.6</t>
  </si>
  <si>
    <t>一般会計全般・決算7.7</t>
  </si>
  <si>
    <t>一般会計全般・決算7.8</t>
  </si>
  <si>
    <t>一般会計全般・決算7.9</t>
  </si>
  <si>
    <t>一般会計全般・決算8.1</t>
  </si>
  <si>
    <t>一般会計全般・決算8.2</t>
  </si>
  <si>
    <t>一般会計全般・決算8.3</t>
  </si>
  <si>
    <t>一般会計全般・決算8.4</t>
  </si>
  <si>
    <t>一般会計全般・決算8.5</t>
  </si>
  <si>
    <t>一般会計全般・決算8.6</t>
  </si>
  <si>
    <t>一般会計全般・決算8.7</t>
  </si>
  <si>
    <t>一般会計全般・決算9.1</t>
  </si>
  <si>
    <t>一般会計全般・決算9.2</t>
  </si>
  <si>
    <t>一般会計全般・決算10.1</t>
  </si>
  <si>
    <t>一般会計全般・決算10.2</t>
  </si>
  <si>
    <t>一般会計全般・決算11.1</t>
  </si>
  <si>
    <t>一般会計全般・決算11.2</t>
  </si>
  <si>
    <t>一般会計全般・決算11.3</t>
  </si>
  <si>
    <t>一般会計全般・決算11.4</t>
  </si>
  <si>
    <t>一般会計全般・決算11.5</t>
  </si>
  <si>
    <t>一般会計全般・決算11.6</t>
  </si>
  <si>
    <t>一般会計全般・決算11.7</t>
  </si>
  <si>
    <t>一般会計全般・決算11.8</t>
  </si>
  <si>
    <t>一般会計全般・決算12.1</t>
  </si>
  <si>
    <t>一般会計全般・決算12.2</t>
  </si>
  <si>
    <t>一般会計全般・決算12.3</t>
  </si>
  <si>
    <t>一般会計全般・決算13.1</t>
  </si>
  <si>
    <t>一般会計全般・決算13.2</t>
  </si>
  <si>
    <t>一般会計全般・決算14.1</t>
  </si>
  <si>
    <t>一般会計全般・決算14.2</t>
  </si>
  <si>
    <t>一般会計全般・決算14.3</t>
  </si>
  <si>
    <t>一般会計全般・決算14.4</t>
  </si>
  <si>
    <t>一般会計全般・決算15.1</t>
  </si>
  <si>
    <t>一般会計全般・決算15.2</t>
  </si>
  <si>
    <t>一般会計全般・決算15.3</t>
  </si>
  <si>
    <t>一般会計全般・決算16.1</t>
  </si>
  <si>
    <t>一般会計全般・決算16.2</t>
  </si>
  <si>
    <t>一般会計全般・決算16.3</t>
  </si>
  <si>
    <t>一般会計全般・決算17.1</t>
  </si>
  <si>
    <t>一般会計全般・決算17.2</t>
  </si>
  <si>
    <t>一般会計全般・決算17.3</t>
  </si>
  <si>
    <t>一般会計全般・決算18.1</t>
  </si>
  <si>
    <t>固定資産管理1.1</t>
  </si>
  <si>
    <t>固定資産管理1.2</t>
  </si>
  <si>
    <t>固定資産管理1.3</t>
  </si>
  <si>
    <t>固定資産管理1.4</t>
  </si>
  <si>
    <t>固定資産管理1.5</t>
  </si>
  <si>
    <t>固定資産管理1.6</t>
  </si>
  <si>
    <t>固定資産管理1.7</t>
  </si>
  <si>
    <t>固定資産管理2.1</t>
  </si>
  <si>
    <t>固定資産管理3.1</t>
  </si>
  <si>
    <t>固定資産管理4.1</t>
  </si>
  <si>
    <t>固定資産管理4.2</t>
  </si>
  <si>
    <t>固定資産管理4.3</t>
  </si>
  <si>
    <t>固定資産管理4.4</t>
  </si>
  <si>
    <t>固定資産管理4.5</t>
  </si>
  <si>
    <t>固定資産管理4.6</t>
  </si>
  <si>
    <t>固定資産管理4.7</t>
  </si>
  <si>
    <t>固定資産管理4.8</t>
  </si>
  <si>
    <t>固定資産管理4.9</t>
  </si>
  <si>
    <t>固定資産管理5.1</t>
  </si>
  <si>
    <t>固定資産管理5.2</t>
  </si>
  <si>
    <t>固定資産管理6.1</t>
  </si>
  <si>
    <t>固定資産管理6.2</t>
  </si>
  <si>
    <t>固定資産管理7.1</t>
  </si>
  <si>
    <t>固定資産管理8.1</t>
  </si>
  <si>
    <t>固定資産管理8.2</t>
  </si>
  <si>
    <t>固定資産管理9.1</t>
  </si>
  <si>
    <t>固定資産管理9.2</t>
  </si>
  <si>
    <t>固定資産管理9.3</t>
  </si>
  <si>
    <t>固定資産管理9.4</t>
  </si>
  <si>
    <t>固定資産管理9.5</t>
  </si>
  <si>
    <t>固定資産管理10.1</t>
  </si>
  <si>
    <t>固定資産管理10.2</t>
  </si>
  <si>
    <t>固定資産管理10.3</t>
  </si>
  <si>
    <t>固定資産管理11.1</t>
  </si>
  <si>
    <t>固定資産管理12.1</t>
  </si>
  <si>
    <t>固定資産管理12.2</t>
  </si>
  <si>
    <t>固定資産管理13.1</t>
  </si>
  <si>
    <t>固定資産管理14.1</t>
  </si>
  <si>
    <t>固定資産管理15.1</t>
  </si>
  <si>
    <t>固定資産管理15.2</t>
  </si>
  <si>
    <t>固定資産管理16.1</t>
  </si>
  <si>
    <t>固定資産管理16.2</t>
  </si>
  <si>
    <t>固定資産管理16.3</t>
  </si>
  <si>
    <t>固定資産管理16.4</t>
  </si>
  <si>
    <t>固定資産管理16.5</t>
  </si>
  <si>
    <t>固定資産管理17.1</t>
  </si>
  <si>
    <t>固定資産管理17.2</t>
  </si>
  <si>
    <t>固定資産管理17.3</t>
  </si>
  <si>
    <t>固定資産管理18.1</t>
  </si>
  <si>
    <t>固定資産管理19.1</t>
  </si>
  <si>
    <t>固定資産管理19.2</t>
  </si>
  <si>
    <t>固定資産管理19.3</t>
  </si>
  <si>
    <t>債務管理1.1</t>
  </si>
  <si>
    <t>債務管理1.2</t>
  </si>
  <si>
    <t>債務管理1.3</t>
  </si>
  <si>
    <t>債務管理1.4</t>
  </si>
  <si>
    <t>債務管理1.5</t>
  </si>
  <si>
    <t>債務管理1.6</t>
  </si>
  <si>
    <t>債務管理1.7</t>
  </si>
  <si>
    <t>債務管理2.1</t>
  </si>
  <si>
    <t>債務管理3.1</t>
  </si>
  <si>
    <t>債務管理4.1</t>
  </si>
  <si>
    <t>債務管理4.2</t>
  </si>
  <si>
    <t>債務管理4.3</t>
  </si>
  <si>
    <t>債務管理4.4</t>
  </si>
  <si>
    <t>債務管理4.5</t>
  </si>
  <si>
    <t>債務管理4.6</t>
  </si>
  <si>
    <t>債務管理5.1</t>
  </si>
  <si>
    <t>債務管理5.2</t>
  </si>
  <si>
    <t>債務管理6.1</t>
  </si>
  <si>
    <t>債務管理6.2</t>
  </si>
  <si>
    <t>債務管理7.1</t>
  </si>
  <si>
    <t>債務管理7.2</t>
  </si>
  <si>
    <t>債務管理7.3</t>
  </si>
  <si>
    <t>債務管理8.1</t>
  </si>
  <si>
    <t>債務管理8.2</t>
  </si>
  <si>
    <t>債務管理8.3</t>
  </si>
  <si>
    <t>債務管理8.4</t>
  </si>
  <si>
    <t>債務管理9.1</t>
  </si>
  <si>
    <t>債務管理9.2</t>
  </si>
  <si>
    <t>債務管理9.3</t>
  </si>
  <si>
    <t>債務管理9.4</t>
  </si>
  <si>
    <t>債務管理10.1</t>
  </si>
  <si>
    <t>債務管理11.1</t>
  </si>
  <si>
    <t>債務管理12.1</t>
  </si>
  <si>
    <t>債務管理12.2</t>
  </si>
  <si>
    <t>現預金管理1.1</t>
  </si>
  <si>
    <t>現預金管理1.2</t>
  </si>
  <si>
    <t>現預金管理2.1</t>
  </si>
  <si>
    <t>現預金管理2.2</t>
  </si>
  <si>
    <t>現預金管理2.3</t>
  </si>
  <si>
    <t>現預金管理3.1</t>
  </si>
  <si>
    <t>現預金管理3.2</t>
  </si>
  <si>
    <t>現預金管理3.3</t>
  </si>
  <si>
    <t>現預金管理4.1</t>
  </si>
  <si>
    <t>現預金管理4.2</t>
  </si>
  <si>
    <t>現預金管理5.1</t>
  </si>
  <si>
    <t>現預金管理5.2</t>
  </si>
  <si>
    <t>現預金管理5.3</t>
  </si>
  <si>
    <t>現預金管理6.1</t>
  </si>
  <si>
    <t>現預金管理6.2</t>
  </si>
  <si>
    <t>現預金管理6.3</t>
  </si>
  <si>
    <t>債権管理1.1</t>
  </si>
  <si>
    <t>債権管理2.1</t>
  </si>
  <si>
    <t>債権管理2.2</t>
  </si>
  <si>
    <t>債権管理2.3</t>
  </si>
  <si>
    <t>債権管理2.4</t>
  </si>
  <si>
    <t>債権管理3.1</t>
  </si>
  <si>
    <t>債権管理3.2</t>
  </si>
  <si>
    <t>債権管理4.1</t>
  </si>
  <si>
    <t>債権管理5.1</t>
  </si>
  <si>
    <t>債権管理6.1</t>
  </si>
  <si>
    <t>債権管理7.1</t>
  </si>
  <si>
    <t>債権管理7.2</t>
  </si>
  <si>
    <t>債権管理8.1</t>
  </si>
  <si>
    <t>債権管理8.2</t>
  </si>
  <si>
    <t>債権管理8.3</t>
  </si>
  <si>
    <t>債権管理8.4</t>
  </si>
  <si>
    <t>債権管理8.5</t>
  </si>
  <si>
    <t>債権管理8.6</t>
  </si>
  <si>
    <t>債権管理9.1</t>
  </si>
  <si>
    <t>債権管理9.2</t>
  </si>
  <si>
    <t>債権管理9.3</t>
  </si>
  <si>
    <t>債権管理9.4</t>
  </si>
  <si>
    <t>債権管理10.1</t>
  </si>
  <si>
    <t>債権管理10.2</t>
  </si>
  <si>
    <t>債権管理11.1</t>
  </si>
  <si>
    <t>債権管理11.2</t>
  </si>
  <si>
    <t>債権管理11.3</t>
  </si>
  <si>
    <t>債権管理11.4</t>
  </si>
  <si>
    <t>債権管理11.5</t>
  </si>
  <si>
    <t>債権管理12.1</t>
  </si>
  <si>
    <t>債権管理12.2</t>
  </si>
  <si>
    <t>債権管理13.1</t>
  </si>
  <si>
    <t>債権管理13.2</t>
  </si>
  <si>
    <t>債権管理13.4</t>
  </si>
  <si>
    <t>債権管理13.5</t>
  </si>
  <si>
    <t>債権管理13.6</t>
  </si>
  <si>
    <t>債権管理13.7</t>
  </si>
  <si>
    <t>債権管理13.8</t>
  </si>
  <si>
    <t>債権管理13.9</t>
  </si>
  <si>
    <t>債権管理14.1</t>
  </si>
  <si>
    <t>債権管理15.1</t>
  </si>
  <si>
    <t>債権管理16.1</t>
  </si>
  <si>
    <t>債権管理17.7</t>
  </si>
  <si>
    <t>債権管理18.1</t>
  </si>
  <si>
    <t>財務管理1.1</t>
  </si>
  <si>
    <t>財務管理1.2</t>
  </si>
  <si>
    <t>財務管理1.3</t>
  </si>
  <si>
    <t>財務管理1.4</t>
  </si>
  <si>
    <t>財務管理1.5</t>
  </si>
  <si>
    <t>財務管理1.6</t>
  </si>
  <si>
    <t>財務管理1.7</t>
  </si>
  <si>
    <t>財務管理1.8</t>
  </si>
  <si>
    <t>財務管理1.9</t>
  </si>
  <si>
    <t>財務管理1.10</t>
  </si>
  <si>
    <t>財務管理1.11</t>
  </si>
  <si>
    <t>財務管理1.12</t>
  </si>
  <si>
    <t>財務管理1.13</t>
  </si>
  <si>
    <t>財務管理1.14</t>
  </si>
  <si>
    <t>財務管理1.15</t>
  </si>
  <si>
    <t>財務管理1.16</t>
  </si>
  <si>
    <t>財務管理2.1</t>
  </si>
  <si>
    <t>財務管理2.2</t>
  </si>
  <si>
    <t>財務管理2.3</t>
  </si>
  <si>
    <t>財務管理3.1</t>
  </si>
  <si>
    <t>財務管理3.2</t>
  </si>
  <si>
    <t>財務管理3.3</t>
  </si>
  <si>
    <t>財務管理3.4</t>
  </si>
  <si>
    <t>財務管理3.5</t>
  </si>
  <si>
    <t>財務管理3.6</t>
  </si>
  <si>
    <t>財務管理3.7</t>
  </si>
  <si>
    <t>財務管理3.8</t>
  </si>
  <si>
    <t>財務管理3.9</t>
  </si>
  <si>
    <t>財務管理3.10</t>
  </si>
  <si>
    <t>財務管理3.11</t>
  </si>
  <si>
    <t>財務管理3.12</t>
  </si>
  <si>
    <t>財務管理3.13</t>
  </si>
  <si>
    <t>財務管理4.1</t>
  </si>
  <si>
    <t>財務管理4.2</t>
  </si>
  <si>
    <t>財務管理4.3</t>
  </si>
  <si>
    <t>財務管理4.4</t>
  </si>
  <si>
    <t>財務管理4.5</t>
  </si>
  <si>
    <t>財務管理4.6</t>
  </si>
  <si>
    <t>財務管理4.7</t>
  </si>
  <si>
    <t>財務管理4.8</t>
  </si>
  <si>
    <t>財務管理4.9</t>
  </si>
  <si>
    <t>財務管理4.10</t>
  </si>
  <si>
    <t>財務管理4.11</t>
  </si>
  <si>
    <t>財務管理4.12</t>
  </si>
  <si>
    <t>財務管理4.13</t>
  </si>
  <si>
    <t>財務管理5.1</t>
  </si>
  <si>
    <t>財務管理5.2</t>
  </si>
  <si>
    <t>財務管理5.3</t>
  </si>
  <si>
    <t>財務管理5.4</t>
  </si>
  <si>
    <t>財務管理5.5</t>
  </si>
  <si>
    <t>財務管理5.6</t>
  </si>
  <si>
    <t>財務管理5.7</t>
  </si>
  <si>
    <t>財務管理5.8</t>
  </si>
  <si>
    <t>財務管理6.1</t>
  </si>
  <si>
    <t>財務管理7.1</t>
  </si>
  <si>
    <t>財務管理8.1</t>
  </si>
  <si>
    <t>財務管理8.2</t>
  </si>
  <si>
    <t>財務管理8.3</t>
  </si>
  <si>
    <t>財務管理8.4</t>
  </si>
  <si>
    <t>財務管理8.5</t>
  </si>
  <si>
    <t>財務管理8.6</t>
  </si>
  <si>
    <t>財務管理8.7</t>
  </si>
  <si>
    <t>財務管理8.8</t>
  </si>
  <si>
    <t>財務管理8.9</t>
  </si>
  <si>
    <t>財務管理9.1</t>
  </si>
  <si>
    <t>財務管理10.1</t>
  </si>
  <si>
    <t>財務管理10.2</t>
  </si>
  <si>
    <t>財務管理10.3</t>
  </si>
  <si>
    <t>財務管理10.4</t>
  </si>
  <si>
    <t>財務管理11.1</t>
  </si>
  <si>
    <t>財務管理11.2</t>
  </si>
  <si>
    <t>財務管理11.3</t>
  </si>
  <si>
    <t>財務管理11.4</t>
  </si>
  <si>
    <t>財務管理11.5</t>
  </si>
  <si>
    <t>財務管理11.6</t>
  </si>
  <si>
    <t>財務管理11.7</t>
  </si>
  <si>
    <t>財務管理11.8</t>
  </si>
  <si>
    <t>財務管理11.9</t>
  </si>
  <si>
    <t>財務管理11.10</t>
  </si>
  <si>
    <t>財務管理12.1</t>
  </si>
  <si>
    <t>財務管理12.2</t>
  </si>
  <si>
    <t>財務管理12.3</t>
  </si>
  <si>
    <t>財務管理12.4</t>
  </si>
  <si>
    <t>財務管理13.1</t>
  </si>
  <si>
    <t>財務管理13.2</t>
  </si>
  <si>
    <t>財務管理13.3</t>
  </si>
  <si>
    <t>財務管理14.1</t>
  </si>
  <si>
    <t>財務管理14.2</t>
  </si>
  <si>
    <t>財務管理14.3</t>
  </si>
  <si>
    <t>財務管理14.4</t>
  </si>
  <si>
    <t>財務管理14.5</t>
  </si>
  <si>
    <t>財務管理14.6</t>
  </si>
  <si>
    <t>財務管理15.1</t>
  </si>
  <si>
    <t>財務管理15.2</t>
  </si>
  <si>
    <t>財務管理15.3</t>
  </si>
  <si>
    <t>債務管理-</t>
  </si>
  <si>
    <t>予算1.1</t>
  </si>
  <si>
    <t>予算2.1</t>
  </si>
  <si>
    <t>予算2.2</t>
  </si>
  <si>
    <t>予算3.1</t>
  </si>
  <si>
    <t>予算4.1</t>
  </si>
  <si>
    <t>予算4.2</t>
  </si>
  <si>
    <t>予算4.3</t>
  </si>
  <si>
    <t>予算5.1</t>
  </si>
  <si>
    <t>予算5.2</t>
  </si>
  <si>
    <t>予算6.1</t>
  </si>
  <si>
    <t>予算7.1</t>
  </si>
  <si>
    <t>予算8.1</t>
  </si>
  <si>
    <t>予算9.1</t>
  </si>
  <si>
    <t>予算10.1</t>
  </si>
  <si>
    <t>予算11.1</t>
  </si>
  <si>
    <t>予算11.2</t>
  </si>
  <si>
    <t>債権管理-</t>
  </si>
  <si>
    <t>予算-</t>
  </si>
  <si>
    <t>一般会計・決算-</t>
  </si>
  <si>
    <t/>
  </si>
  <si>
    <t>提案時</t>
    <rPh sb="0" eb="2">
      <t>テイアン</t>
    </rPh>
    <rPh sb="2" eb="3">
      <t>ジ</t>
    </rPh>
    <phoneticPr fontId="6"/>
  </si>
  <si>
    <t>列1</t>
  </si>
  <si>
    <t>要求事項一覧
判定</t>
    <rPh sb="0" eb="2">
      <t>ヨウキュウ</t>
    </rPh>
    <rPh sb="2" eb="4">
      <t>ジコウ</t>
    </rPh>
    <rPh sb="4" eb="6">
      <t>イチラン</t>
    </rPh>
    <rPh sb="7" eb="9">
      <t>ハンテイ</t>
    </rPh>
    <phoneticPr fontId="6"/>
  </si>
  <si>
    <t>標準</t>
    <rPh sb="0" eb="2">
      <t>ヒョウジュン</t>
    </rPh>
    <phoneticPr fontId="6"/>
  </si>
  <si>
    <t>列2</t>
    <rPh sb="0" eb="2">
      <t>ヒョウジュン</t>
    </rPh>
    <phoneticPr fontId="6"/>
  </si>
  <si>
    <t>アドオン</t>
    <phoneticPr fontId="6"/>
  </si>
  <si>
    <t>列3</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</si>
</sst>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family val="2"/>
      <charset val="238"/>
    </font>
    <font>
      <sz val="11"/>
      <color theme="1"/>
      <name val="游ゴシック"/>
      <family val="2"/>
      <charset val="128"/>
      <scheme val="minor"/>
    </font>
    <font>
      <sz val="8"/>
      <name val="MetaPlusBoldCaps"/>
      <family val="1"/>
    </font>
    <font>
      <sz val="8"/>
      <name val="MetaPlusMediumRoman"/>
      <family val="2"/>
    </font>
    <font>
      <sz val="10"/>
      <name val="MetaPlusBoldRoman"/>
      <family val="2"/>
    </font>
    <font>
      <sz val="9"/>
      <name val="メイリオ"/>
      <family val="3"/>
      <charset val="128"/>
    </font>
    <font>
      <sz val="6"/>
      <name val="ＭＳ Ｐゴシック"/>
      <family val="3"/>
      <charset val="128"/>
    </font>
    <font>
      <sz val="10"/>
      <name val="メイリオ"/>
      <family val="3"/>
      <charset val="128"/>
    </font>
    <font>
      <sz val="11"/>
      <name val="メイリオ"/>
      <family val="3"/>
      <charset val="128"/>
    </font>
    <font>
      <b/>
      <sz val="11"/>
      <color theme="3"/>
      <name val="游ゴシック"/>
      <family val="2"/>
      <charset val="128"/>
      <scheme val="minor"/>
    </font>
    <font>
      <sz val="11"/>
      <color rgb="FF006100"/>
      <name val="游ゴシック"/>
      <family val="2"/>
      <charset val="128"/>
      <scheme val="minor"/>
    </font>
    <font>
      <sz val="11"/>
      <color rgb="FFFF0000"/>
      <name val="Meiryo UI"/>
      <family val="3"/>
      <charset val="128"/>
    </font>
    <font>
      <b/>
      <sz val="11"/>
      <color rgb="FFFF0000"/>
      <name val="Meiryo UI"/>
      <family val="3"/>
      <charset val="128"/>
    </font>
    <font>
      <sz val="11"/>
      <name val="Meiryo UI"/>
      <family val="3"/>
      <charset val="128"/>
    </font>
    <font>
      <i/>
      <sz val="11"/>
      <color rgb="FFFF0000"/>
      <name val="Meiryo UI"/>
      <family val="3"/>
      <charset val="128"/>
    </font>
    <font>
      <strike/>
      <sz val="11"/>
      <name val="Meiryo UI"/>
      <family val="3"/>
      <charset val="128"/>
    </font>
    <font>
      <b/>
      <sz val="11"/>
      <name val="Meiryo UI"/>
      <family val="3"/>
      <charset val="128"/>
    </font>
    <font>
      <sz val="9"/>
      <color rgb="FFFF0000"/>
      <name val="メイリオ"/>
      <family val="3"/>
      <charset val="128"/>
    </font>
    <font>
      <b/>
      <sz val="9"/>
      <name val="メイリオ"/>
      <family val="3"/>
      <charset val="128"/>
    </font>
    <font>
      <sz val="9"/>
      <color rgb="FFFF0000"/>
      <name val="Meiryo UI"/>
      <family val="3"/>
      <charset val="128"/>
    </font>
    <font>
      <sz val="11"/>
      <name val="Meiryo UI"/>
      <family val="3"/>
    </font>
    <font>
      <sz val="9"/>
      <name val="Meiryo UI"/>
      <family val="3"/>
    </font>
    <font>
      <sz val="9"/>
      <name val="Meiryo UI"/>
      <family val="3"/>
      <charset val="128"/>
    </font>
    <font>
      <b/>
      <sz val="9"/>
      <color rgb="FFFF0000"/>
      <name val="メイリオ"/>
      <family val="3"/>
      <charset val="128"/>
    </font>
    <font>
      <sz val="6"/>
      <name val="游ゴシック"/>
      <family val="2"/>
      <charset val="128"/>
      <scheme val="minor"/>
    </font>
    <font>
      <sz val="9"/>
      <color theme="1"/>
      <name val="メイリオ"/>
      <family val="3"/>
      <charset val="128"/>
    </font>
    <font>
      <strike/>
      <sz val="11"/>
      <color rgb="FFFF0000"/>
      <name val="Meiryo UI"/>
      <family val="3"/>
      <charset val="128"/>
    </font>
    <font>
      <u/>
      <sz val="9"/>
      <name val="メイリオ"/>
      <family val="3"/>
      <charset val="128"/>
    </font>
    <font>
      <sz val="9"/>
      <color rgb="FF000000"/>
      <name val="メイリオ"/>
      <family val="3"/>
      <charset val="128"/>
    </font>
    <font>
      <b/>
      <u/>
      <sz val="9"/>
      <name val="メイリオ"/>
      <family val="3"/>
      <charset val="128"/>
    </font>
    <font>
      <i/>
      <sz val="9"/>
      <name val="メイリオ"/>
      <family val="3"/>
      <charset val="128"/>
    </font>
    <font>
      <strike/>
      <sz val="9"/>
      <name val="メイリオ"/>
      <family val="3"/>
      <charset val="128"/>
    </font>
    <font>
      <b/>
      <sz val="9"/>
      <color theme="1"/>
      <name val="メイリオ"/>
      <family val="3"/>
      <charset val="128"/>
    </font>
    <font>
      <i/>
      <strike/>
      <sz val="11"/>
      <color rgb="FFFF0000"/>
      <name val="Meiryo UI"/>
      <family val="3"/>
      <charset val="128"/>
    </font>
    <font>
      <i/>
      <strike/>
      <sz val="11"/>
      <name val="Meiryo UI"/>
      <family val="3"/>
      <charset val="128"/>
    </font>
    <font>
      <i/>
      <sz val="9"/>
      <color rgb="FFFF0000"/>
      <name val="メイリオ"/>
      <family val="3"/>
      <charset val="128"/>
    </font>
    <font>
      <b/>
      <u/>
      <sz val="11"/>
      <color rgb="FF000000"/>
      <name val="Meiryo UI"/>
      <family val="3"/>
      <charset val="128"/>
    </font>
    <font>
      <b/>
      <u/>
      <sz val="11"/>
      <color theme="1"/>
      <name val="Meiryo UI"/>
      <family val="3"/>
      <charset val="128"/>
    </font>
    <font>
      <sz val="11"/>
      <color rgb="FFFFFFFF"/>
      <name val="Meiryo UI"/>
      <family val="3"/>
      <charset val="128"/>
    </font>
    <font>
      <sz val="11"/>
      <color theme="0"/>
      <name val="Meiryo UI"/>
      <family val="3"/>
      <charset val="128"/>
    </font>
    <font>
      <sz val="11"/>
      <color theme="1"/>
      <name val="Meiryo UI"/>
      <family val="3"/>
      <charset val="128"/>
    </font>
    <font>
      <sz val="11"/>
      <color indexed="9"/>
      <name val="Meiryo UI"/>
      <family val="3"/>
      <charset val="128"/>
    </font>
    <font>
      <sz val="11"/>
      <name val="ＭＳ Ｐゴシック"/>
      <family val="3"/>
      <charset val="128"/>
    </font>
    <font>
      <sz val="11"/>
      <color theme="1"/>
      <name val="Arial"/>
      <family val="2"/>
      <charset val="128"/>
    </font>
    <font>
      <sz val="6"/>
      <name val="游ゴシック"/>
      <family val="3"/>
      <charset val="128"/>
      <scheme val="minor"/>
    </font>
    <font>
      <b/>
      <sz val="12"/>
      <name val="游ゴシック"/>
      <family val="3"/>
      <charset val="128"/>
      <scheme val="minor"/>
    </font>
    <font>
      <sz val="11"/>
      <color theme="1"/>
      <name val="Meiryo UI"/>
      <family val="3"/>
    </font>
    <font>
      <sz val="11"/>
      <color rgb="FFFF0000"/>
      <name val="Meiryo UI"/>
      <family val="3"/>
    </font>
    <font>
      <b/>
      <sz val="11"/>
      <color theme="0"/>
      <name val="Meiryo UI"/>
      <family val="3"/>
      <charset val="128"/>
    </font>
    <font>
      <sz val="6"/>
      <name val="Arial"/>
      <family val="2"/>
      <charset val="128"/>
    </font>
    <font>
      <sz val="10"/>
      <name val="ＭＳ Ｐゴシック"/>
      <family val="2"/>
      <charset val="128"/>
    </font>
    <font>
      <b/>
      <sz val="10"/>
      <name val="ＭＳ Ｐゴシック"/>
      <family val="3"/>
      <charset val="128"/>
    </font>
  </fonts>
  <fills count="21">
    <fill>
      <patternFill patternType="none"/>
    </fill>
    <fill>
      <patternFill patternType="gray125"/>
    </fill>
    <fill>
      <patternFill patternType="solid">
        <fgColor theme="7"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333333"/>
        <bgColor rgb="FF333333"/>
      </patternFill>
    </fill>
    <fill>
      <patternFill patternType="solid">
        <fgColor rgb="FF003366"/>
        <bgColor rgb="FF003366"/>
      </patternFill>
    </fill>
    <fill>
      <patternFill patternType="solid">
        <fgColor rgb="FF003366"/>
        <bgColor indexed="64"/>
      </patternFill>
    </fill>
    <fill>
      <patternFill patternType="solid">
        <fgColor theme="8" tint="-0.249977111117893"/>
        <bgColor indexed="64"/>
      </patternFill>
    </fill>
    <fill>
      <patternFill patternType="solid">
        <fgColor theme="0"/>
        <bgColor indexed="64"/>
      </patternFill>
    </fill>
    <fill>
      <patternFill patternType="solid">
        <fgColor theme="0"/>
        <bgColor rgb="FFFFFFFF"/>
      </patternFill>
    </fill>
    <fill>
      <patternFill patternType="solid">
        <fgColor rgb="FFFFFFFF"/>
        <bgColor rgb="FFFFFFFF"/>
      </patternFill>
    </fill>
    <fill>
      <patternFill patternType="solid">
        <fgColor rgb="FF00B0F0"/>
        <bgColor indexed="64"/>
      </patternFill>
    </fill>
    <fill>
      <patternFill patternType="solid">
        <fgColor theme="9" tint="0.79998168889431442"/>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bottom/>
      <diagonal/>
    </border>
    <border>
      <left style="medium">
        <color theme="8"/>
      </left>
      <right/>
      <top style="medium">
        <color theme="8"/>
      </top>
      <bottom style="thin">
        <color indexed="64"/>
      </bottom>
      <diagonal/>
    </border>
    <border>
      <left/>
      <right style="medium">
        <color theme="8"/>
      </right>
      <top style="medium">
        <color theme="8"/>
      </top>
      <bottom style="thin">
        <color indexed="64"/>
      </bottom>
      <diagonal/>
    </border>
    <border>
      <left style="thin">
        <color indexed="64"/>
      </left>
      <right style="thin">
        <color rgb="FFFFFFFF"/>
      </right>
      <top/>
      <bottom/>
      <diagonal/>
    </border>
    <border>
      <left style="thin">
        <color rgb="FFFFFFFF"/>
      </left>
      <right style="thin">
        <color rgb="FFFFFFFF"/>
      </right>
      <top/>
      <bottom/>
      <diagonal/>
    </border>
    <border>
      <left style="thin">
        <color rgb="FFFFFFFF"/>
      </left>
      <right style="thin">
        <color rgb="FFFFFFFF"/>
      </right>
      <top style="thin">
        <color rgb="FFFFFFFF"/>
      </top>
      <bottom/>
      <diagonal/>
    </border>
    <border>
      <left/>
      <right style="thin">
        <color rgb="FFFFFFFF"/>
      </right>
      <top/>
      <bottom/>
      <diagonal/>
    </border>
    <border>
      <left style="thin">
        <color rgb="FFFFFFFF"/>
      </left>
      <right/>
      <top/>
      <bottom/>
      <diagonal/>
    </border>
    <border>
      <left style="medium">
        <color theme="8"/>
      </left>
      <right style="thin">
        <color indexed="64"/>
      </right>
      <top style="thin">
        <color indexed="64"/>
      </top>
      <bottom/>
      <diagonal/>
    </border>
    <border>
      <left style="thin">
        <color indexed="64"/>
      </left>
      <right style="medium">
        <color theme="8"/>
      </right>
      <top style="thin">
        <color indexed="64"/>
      </top>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diagonal/>
    </border>
    <border>
      <left style="medium">
        <color theme="8"/>
      </left>
      <right style="thin">
        <color indexed="64"/>
      </right>
      <top style="thin">
        <color indexed="64"/>
      </top>
      <bottom style="thin">
        <color indexed="64"/>
      </bottom>
      <diagonal/>
    </border>
    <border>
      <left style="thin">
        <color indexed="64"/>
      </left>
      <right style="medium">
        <color theme="8"/>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8"/>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8"/>
      </top>
      <bottom/>
      <diagonal/>
    </border>
    <border>
      <left style="thin">
        <color rgb="FF000000"/>
      </left>
      <right/>
      <top/>
      <bottom style="thin">
        <color rgb="FF000000"/>
      </bottom>
      <diagonal/>
    </border>
    <border>
      <left/>
      <right/>
      <top style="thin">
        <color indexed="8"/>
      </top>
      <bottom/>
      <diagonal/>
    </border>
    <border>
      <left style="thin">
        <color indexed="64"/>
      </left>
      <right style="thin">
        <color indexed="64"/>
      </right>
      <top/>
      <bottom style="thin">
        <color indexed="8"/>
      </bottom>
      <diagonal/>
    </border>
    <border>
      <left style="thin">
        <color indexed="64"/>
      </left>
      <right style="thin">
        <color indexed="64"/>
      </right>
      <top style="thin">
        <color indexed="8"/>
      </top>
      <bottom style="thin">
        <color indexed="8"/>
      </bottom>
      <diagonal/>
    </border>
    <border>
      <left style="thin">
        <color rgb="FF000000"/>
      </left>
      <right/>
      <top style="thin">
        <color rgb="FF000000"/>
      </top>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indexed="8"/>
      </left>
      <right style="thin">
        <color indexed="64"/>
      </right>
      <top style="thin">
        <color indexed="64"/>
      </top>
      <bottom/>
      <diagonal/>
    </border>
    <border>
      <left/>
      <right/>
      <top style="thin">
        <color indexed="8"/>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8"/>
      </left>
      <right style="thin">
        <color indexed="64"/>
      </right>
      <top/>
      <bottom style="thin">
        <color indexed="8"/>
      </bottom>
      <diagonal/>
    </border>
    <border>
      <left style="thin">
        <color indexed="64"/>
      </left>
      <right style="thin">
        <color indexed="64"/>
      </right>
      <top style="thin">
        <color indexed="8"/>
      </top>
      <bottom/>
      <diagonal/>
    </border>
    <border>
      <left style="thin">
        <color indexed="8"/>
      </left>
      <right style="thin">
        <color indexed="8"/>
      </right>
      <top style="thin">
        <color indexed="8"/>
      </top>
      <bottom/>
      <diagonal/>
    </border>
    <border>
      <left style="thin">
        <color auto="1"/>
      </left>
      <right style="thin">
        <color auto="1"/>
      </right>
      <top/>
      <bottom/>
      <diagonal/>
    </border>
    <border>
      <left style="thin">
        <color auto="1"/>
      </left>
      <right style="thin">
        <color auto="1"/>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8"/>
      </right>
      <top/>
      <bottom style="thin">
        <color indexed="64"/>
      </bottom>
      <diagonal/>
    </border>
    <border>
      <left style="thin">
        <color indexed="8"/>
      </left>
      <right style="thin">
        <color indexed="8"/>
      </right>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style="thin">
        <color auto="1"/>
      </right>
      <top/>
      <bottom/>
      <diagonal/>
    </border>
    <border>
      <left style="thin">
        <color auto="1"/>
      </left>
      <right style="thin">
        <color auto="1"/>
      </right>
      <top style="thin">
        <color indexed="64"/>
      </top>
      <bottom/>
      <diagonal/>
    </border>
    <border>
      <left style="medium">
        <color theme="8"/>
      </left>
      <right style="thin">
        <color indexed="64"/>
      </right>
      <top style="thin">
        <color indexed="64"/>
      </top>
      <bottom style="medium">
        <color theme="8"/>
      </bottom>
      <diagonal/>
    </border>
    <border>
      <left style="thin">
        <color indexed="64"/>
      </left>
      <right style="medium">
        <color theme="8"/>
      </right>
      <top style="thin">
        <color indexed="64"/>
      </top>
      <bottom style="medium">
        <color theme="8"/>
      </bottom>
      <diagonal/>
    </border>
    <border>
      <left/>
      <right style="thin">
        <color indexed="8"/>
      </right>
      <top style="thin">
        <color indexed="64"/>
      </top>
      <bottom/>
      <diagonal/>
    </border>
    <border>
      <left style="thin">
        <color indexed="8"/>
      </left>
      <right style="thin">
        <color indexed="8"/>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right style="medium">
        <color theme="8"/>
      </right>
      <top style="thin">
        <color indexed="64"/>
      </top>
      <bottom style="thin">
        <color indexed="64"/>
      </bottom>
      <diagonal/>
    </border>
    <border>
      <left/>
      <right style="thin">
        <color indexed="8"/>
      </right>
      <top/>
      <bottom/>
      <diagonal/>
    </border>
    <border>
      <left style="thin">
        <color indexed="8"/>
      </left>
      <right style="thin">
        <color rgb="FF000000"/>
      </right>
      <top style="thin">
        <color rgb="FF000000"/>
      </top>
      <bottom style="thin">
        <color indexed="64"/>
      </bottom>
      <diagonal/>
    </border>
    <border>
      <left style="thin">
        <color indexed="8"/>
      </left>
      <right/>
      <top/>
      <bottom/>
      <diagonal/>
    </border>
    <border>
      <left/>
      <right style="thin">
        <color rgb="FF000000"/>
      </right>
      <top/>
      <bottom style="thin">
        <color rgb="FF000000"/>
      </bottom>
      <diagonal/>
    </border>
    <border>
      <left style="thin">
        <color indexed="8"/>
      </left>
      <right style="thin">
        <color indexed="8"/>
      </right>
      <top style="thin">
        <color indexed="64"/>
      </top>
      <bottom style="thin">
        <color indexed="8"/>
      </bottom>
      <diagonal/>
    </border>
    <border>
      <left/>
      <right style="thin">
        <color rgb="FF000000"/>
      </right>
      <top style="thin">
        <color rgb="FF000000"/>
      </top>
      <bottom/>
      <diagonal/>
    </border>
    <border>
      <left/>
      <right style="medium">
        <color theme="8"/>
      </right>
      <top style="thin">
        <color rgb="FF000000"/>
      </top>
      <bottom style="thin">
        <color rgb="FF000000"/>
      </bottom>
      <diagonal/>
    </border>
    <border>
      <left style="thin">
        <color indexed="8"/>
      </left>
      <right style="thin">
        <color indexed="8"/>
      </right>
      <top style="thin">
        <color indexed="8"/>
      </top>
      <bottom style="thin">
        <color indexed="64"/>
      </bottom>
      <diagonal/>
    </border>
    <border>
      <left style="thin">
        <color auto="1"/>
      </left>
      <right style="thin">
        <color indexed="8"/>
      </right>
      <top/>
      <bottom style="thin">
        <color indexed="8"/>
      </bottom>
      <diagonal/>
    </border>
    <border>
      <left/>
      <right/>
      <top style="thin">
        <color rgb="FF000000"/>
      </top>
      <bottom style="thin">
        <color rgb="FF000000"/>
      </bottom>
      <diagonal/>
    </border>
    <border>
      <left/>
      <right style="thin">
        <color indexed="8"/>
      </right>
      <top style="thin">
        <color indexed="8"/>
      </top>
      <bottom/>
      <diagonal/>
    </border>
    <border>
      <left style="thin">
        <color indexed="64"/>
      </left>
      <right style="thin">
        <color indexed="8"/>
      </right>
      <top style="thin">
        <color indexed="8"/>
      </top>
      <bottom/>
      <diagonal/>
    </border>
    <border>
      <left style="thin">
        <color indexed="8"/>
      </left>
      <right style="thin">
        <color indexed="64"/>
      </right>
      <top style="thin">
        <color indexed="8"/>
      </top>
      <bottom/>
      <diagonal/>
    </border>
    <border>
      <left style="thin">
        <color indexed="8"/>
      </left>
      <right style="thin">
        <color auto="1"/>
      </right>
      <top/>
      <bottom/>
      <diagonal/>
    </border>
    <border>
      <left style="thin">
        <color indexed="64"/>
      </left>
      <right style="thin">
        <color indexed="8"/>
      </right>
      <top/>
      <bottom style="thin">
        <color indexed="8"/>
      </bottom>
      <diagonal/>
    </border>
    <border>
      <left/>
      <right style="medium">
        <color theme="8"/>
      </right>
      <top style="thin">
        <color indexed="64"/>
      </top>
      <bottom style="medium">
        <color theme="8"/>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s>
  <cellStyleXfs count="8">
    <xf numFmtId="0" fontId="0" fillId="0" borderId="0"/>
    <xf numFmtId="0" fontId="2" fillId="0" borderId="0" applyAlignment="0"/>
    <xf numFmtId="0" fontId="3" fillId="0" borderId="0">
      <alignment horizontal="left" indent="2"/>
    </xf>
    <xf numFmtId="0" fontId="4" fillId="0" borderId="0" applyAlignment="0">
      <alignment vertical="center"/>
    </xf>
    <xf numFmtId="0" fontId="1" fillId="0" borderId="0">
      <alignment vertical="center"/>
    </xf>
    <xf numFmtId="0" fontId="42" fillId="0" borderId="0">
      <alignment vertical="center"/>
    </xf>
    <xf numFmtId="0" fontId="43" fillId="0" borderId="0">
      <alignment vertical="center"/>
    </xf>
    <xf numFmtId="0" fontId="42" fillId="0" borderId="0"/>
  </cellStyleXfs>
  <cellXfs count="358">
    <xf numFmtId="0" fontId="0" fillId="0" borderId="0" xfId="0"/>
    <xf numFmtId="0" fontId="5" fillId="0" borderId="0" xfId="0" applyFont="1"/>
    <xf numFmtId="0" fontId="7" fillId="0" borderId="0" xfId="0" applyFont="1"/>
    <xf numFmtId="0" fontId="8" fillId="0" borderId="0" xfId="0" applyFont="1"/>
    <xf numFmtId="0" fontId="5" fillId="0" borderId="1" xfId="0" applyFont="1" applyBorder="1"/>
    <xf numFmtId="0" fontId="5" fillId="2" borderId="2" xfId="0" applyFont="1" applyFill="1" applyBorder="1"/>
    <xf numFmtId="0" fontId="5" fillId="5" borderId="5" xfId="0" applyFont="1" applyFill="1" applyBorder="1"/>
    <xf numFmtId="0" fontId="7" fillId="0" borderId="6" xfId="0" applyFont="1" applyBorder="1"/>
    <xf numFmtId="0" fontId="7" fillId="0" borderId="9" xfId="0" applyFont="1" applyBorder="1"/>
    <xf numFmtId="0" fontId="7" fillId="0" borderId="3" xfId="0" applyFont="1" applyBorder="1"/>
    <xf numFmtId="0" fontId="5" fillId="0" borderId="4" xfId="0" applyFont="1" applyBorder="1"/>
    <xf numFmtId="0" fontId="5" fillId="3" borderId="10" xfId="0" applyFont="1" applyFill="1" applyBorder="1"/>
    <xf numFmtId="0" fontId="5" fillId="2" borderId="3" xfId="0" applyFont="1" applyFill="1" applyBorder="1"/>
    <xf numFmtId="0" fontId="5" fillId="5" borderId="3" xfId="0" applyFont="1" applyFill="1" applyBorder="1"/>
    <xf numFmtId="0" fontId="5" fillId="2" borderId="3" xfId="0" applyFont="1" applyFill="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5" fillId="2" borderId="5" xfId="0" applyFont="1" applyFill="1" applyBorder="1" applyAlignment="1">
      <alignment horizontal="center"/>
    </xf>
    <xf numFmtId="0" fontId="5" fillId="2" borderId="3" xfId="0" applyFont="1" applyFill="1" applyBorder="1" applyAlignment="1">
      <alignment horizontal="left"/>
    </xf>
    <xf numFmtId="0" fontId="5" fillId="0" borderId="0" xfId="0" applyFont="1" applyAlignment="1">
      <alignment horizontal="left" vertical="top" wrapText="1"/>
    </xf>
    <xf numFmtId="0" fontId="5" fillId="2" borderId="5" xfId="0" applyFont="1" applyFill="1"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center" wrapText="1"/>
    </xf>
    <xf numFmtId="0" fontId="5" fillId="2" borderId="4" xfId="0" applyFont="1" applyFill="1" applyBorder="1" applyAlignment="1">
      <alignment horizontal="center" wrapText="1"/>
    </xf>
    <xf numFmtId="0" fontId="5" fillId="2" borderId="3" xfId="0" applyFont="1" applyFill="1" applyBorder="1" applyAlignment="1">
      <alignment horizontal="center" wrapText="1"/>
    </xf>
    <xf numFmtId="0" fontId="5" fillId="2" borderId="3" xfId="0" applyFont="1" applyFill="1" applyBorder="1" applyAlignment="1">
      <alignment horizontal="left" wrapText="1"/>
    </xf>
    <xf numFmtId="0" fontId="5" fillId="0" borderId="1" xfId="0" applyFont="1" applyBorder="1" applyAlignment="1">
      <alignment vertical="top" wrapText="1"/>
    </xf>
    <xf numFmtId="0" fontId="5" fillId="0" borderId="0" xfId="0" applyFont="1" applyAlignment="1">
      <alignment horizontal="left" wrapText="1"/>
    </xf>
    <xf numFmtId="0" fontId="5" fillId="2" borderId="5" xfId="0" applyFont="1" applyFill="1" applyBorder="1" applyAlignment="1">
      <alignment horizontal="left" wrapText="1"/>
    </xf>
    <xf numFmtId="0" fontId="17" fillId="0" borderId="0" xfId="0" applyFont="1" applyAlignment="1">
      <alignment horizontal="left" wrapText="1"/>
    </xf>
    <xf numFmtId="0" fontId="5" fillId="0" borderId="1" xfId="0" applyFont="1" applyBorder="1" applyAlignment="1">
      <alignment wrapText="1"/>
    </xf>
    <xf numFmtId="0" fontId="5" fillId="0" borderId="0" xfId="0" applyFont="1" applyAlignment="1">
      <alignment wrapText="1"/>
    </xf>
    <xf numFmtId="0" fontId="5" fillId="0" borderId="0" xfId="0" applyFont="1" applyAlignment="1">
      <alignment vertical="top" wrapText="1"/>
    </xf>
    <xf numFmtId="0" fontId="5" fillId="5" borderId="4" xfId="0" applyFont="1" applyFill="1" applyBorder="1" applyAlignment="1">
      <alignment vertical="top" wrapText="1"/>
    </xf>
    <xf numFmtId="0" fontId="5" fillId="5" borderId="3" xfId="0" applyFont="1" applyFill="1" applyBorder="1" applyAlignment="1">
      <alignment horizontal="left" wrapText="1"/>
    </xf>
    <xf numFmtId="0" fontId="5" fillId="4" borderId="7" xfId="0" applyFont="1" applyFill="1" applyBorder="1" applyAlignment="1">
      <alignment wrapText="1"/>
    </xf>
    <xf numFmtId="0" fontId="5" fillId="4" borderId="8" xfId="0" applyFont="1" applyFill="1" applyBorder="1" applyAlignment="1">
      <alignment wrapText="1"/>
    </xf>
    <xf numFmtId="0" fontId="5" fillId="4" borderId="3" xfId="0" applyFont="1" applyFill="1" applyBorder="1" applyAlignment="1">
      <alignment wrapText="1"/>
    </xf>
    <xf numFmtId="0" fontId="0" fillId="0" borderId="0" xfId="0" applyAlignment="1">
      <alignment wrapText="1"/>
    </xf>
    <xf numFmtId="0" fontId="5" fillId="7" borderId="1" xfId="0" applyFont="1" applyFill="1" applyBorder="1" applyAlignment="1">
      <alignment vertical="top" wrapText="1"/>
    </xf>
    <xf numFmtId="0" fontId="5" fillId="7" borderId="1" xfId="0" applyFont="1" applyFill="1" applyBorder="1" applyAlignment="1">
      <alignment wrapText="1"/>
    </xf>
    <xf numFmtId="0" fontId="5" fillId="0" borderId="0" xfId="0" applyFont="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0" borderId="1" xfId="0" applyFont="1" applyBorder="1" applyAlignment="1">
      <alignment horizontal="center" vertical="center"/>
    </xf>
    <xf numFmtId="0" fontId="5" fillId="5" borderId="1" xfId="0" applyFont="1" applyFill="1" applyBorder="1" applyAlignment="1">
      <alignment wrapText="1"/>
    </xf>
    <xf numFmtId="0" fontId="23" fillId="0" borderId="1" xfId="0" applyFont="1" applyBorder="1" applyAlignment="1">
      <alignment wrapText="1"/>
    </xf>
    <xf numFmtId="0" fontId="23" fillId="5" borderId="1" xfId="0" applyFont="1" applyFill="1" applyBorder="1" applyAlignment="1">
      <alignment wrapText="1"/>
    </xf>
    <xf numFmtId="0" fontId="5" fillId="0" borderId="1" xfId="0" applyFont="1" applyBorder="1" applyAlignment="1">
      <alignment vertical="center" wrapText="1"/>
    </xf>
    <xf numFmtId="0" fontId="18" fillId="0" borderId="1" xfId="0" applyFont="1" applyBorder="1" applyAlignment="1">
      <alignment wrapText="1"/>
    </xf>
    <xf numFmtId="0" fontId="18" fillId="0" borderId="1" xfId="0" applyFont="1" applyBorder="1" applyAlignment="1">
      <alignment vertical="top" wrapText="1"/>
    </xf>
    <xf numFmtId="0" fontId="18" fillId="0" borderId="1" xfId="0" applyFont="1" applyBorder="1" applyAlignment="1">
      <alignment horizontal="left" vertical="top" wrapText="1"/>
    </xf>
    <xf numFmtId="0" fontId="22" fillId="0" borderId="1" xfId="0" applyFont="1" applyBorder="1" applyAlignment="1">
      <alignment vertical="top" wrapText="1"/>
    </xf>
    <xf numFmtId="0" fontId="27" fillId="0" borderId="0" xfId="0" applyFont="1"/>
    <xf numFmtId="0" fontId="5" fillId="0" borderId="1" xfId="0" applyFont="1" applyBorder="1" applyAlignment="1">
      <alignment vertical="top"/>
    </xf>
    <xf numFmtId="0" fontId="28" fillId="0" borderId="1" xfId="0" applyFont="1" applyBorder="1" applyAlignment="1">
      <alignment vertical="top" wrapText="1"/>
    </xf>
    <xf numFmtId="0" fontId="23" fillId="0" borderId="1" xfId="0" applyFont="1" applyBorder="1" applyAlignment="1">
      <alignment vertical="top" wrapText="1"/>
    </xf>
    <xf numFmtId="0" fontId="5" fillId="0" borderId="6" xfId="0" applyFont="1" applyBorder="1" applyAlignment="1">
      <alignment vertical="top" wrapText="1"/>
    </xf>
    <xf numFmtId="0" fontId="5" fillId="0" borderId="3" xfId="0" applyFont="1" applyBorder="1" applyAlignment="1">
      <alignment vertical="top" wrapText="1"/>
    </xf>
    <xf numFmtId="0" fontId="5" fillId="0" borderId="3" xfId="0" applyFont="1" applyBorder="1"/>
    <xf numFmtId="0" fontId="5" fillId="0" borderId="3" xfId="0" applyFont="1" applyBorder="1" applyAlignment="1">
      <alignment horizontal="center" vertical="center"/>
    </xf>
    <xf numFmtId="0" fontId="30" fillId="0" borderId="1" xfId="0" applyFont="1" applyBorder="1" applyAlignment="1">
      <alignment wrapText="1"/>
    </xf>
    <xf numFmtId="0" fontId="5" fillId="8" borderId="4" xfId="0" applyFont="1" applyFill="1" applyBorder="1"/>
    <xf numFmtId="0" fontId="5" fillId="8" borderId="1" xfId="0" applyFont="1" applyFill="1" applyBorder="1" applyAlignment="1">
      <alignment vertical="top" wrapText="1"/>
    </xf>
    <xf numFmtId="0" fontId="5" fillId="8" borderId="1" xfId="0" applyFont="1" applyFill="1" applyBorder="1" applyAlignment="1">
      <alignment horizontal="left" vertical="top" wrapText="1"/>
    </xf>
    <xf numFmtId="0" fontId="5" fillId="8" borderId="1" xfId="0" applyFont="1" applyFill="1" applyBorder="1" applyAlignment="1">
      <alignment horizontal="center"/>
    </xf>
    <xf numFmtId="0" fontId="18" fillId="8" borderId="1" xfId="0" applyFont="1" applyFill="1" applyBorder="1" applyAlignment="1">
      <alignment vertical="top" wrapText="1"/>
    </xf>
    <xf numFmtId="0" fontId="5" fillId="8"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xf>
    <xf numFmtId="0" fontId="5" fillId="0" borderId="1" xfId="0" applyFont="1" applyBorder="1" applyAlignment="1">
      <alignment vertical="center"/>
    </xf>
    <xf numFmtId="0" fontId="5" fillId="0" borderId="3" xfId="0" applyFont="1" applyBorder="1" applyAlignment="1">
      <alignment horizontal="center" vertical="center" wrapText="1"/>
    </xf>
    <xf numFmtId="0" fontId="5" fillId="8"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25" fillId="0" borderId="1" xfId="0" applyFont="1" applyBorder="1" applyAlignment="1">
      <alignment vertical="top" wrapText="1"/>
    </xf>
    <xf numFmtId="0" fontId="5" fillId="7" borderId="1" xfId="0" applyFont="1" applyFill="1" applyBorder="1" applyAlignment="1">
      <alignment horizontal="center" vertical="center"/>
    </xf>
    <xf numFmtId="0" fontId="18" fillId="7" borderId="1" xfId="0" applyFont="1" applyFill="1" applyBorder="1" applyAlignment="1">
      <alignment horizontal="center" vertical="center"/>
    </xf>
    <xf numFmtId="0" fontId="28" fillId="9" borderId="0" xfId="0" applyFont="1" applyFill="1" applyAlignment="1">
      <alignment wrapText="1"/>
    </xf>
    <xf numFmtId="0" fontId="5" fillId="9" borderId="1" xfId="0" applyFont="1" applyFill="1" applyBorder="1" applyAlignment="1">
      <alignment wrapText="1"/>
    </xf>
    <xf numFmtId="0" fontId="5" fillId="4" borderId="1" xfId="0" applyFont="1" applyFill="1" applyBorder="1" applyAlignment="1">
      <alignment horizontal="center" vertical="center" wrapText="1"/>
    </xf>
    <xf numFmtId="3" fontId="5" fillId="0" borderId="1" xfId="0" applyNumberFormat="1" applyFont="1" applyBorder="1" applyAlignment="1">
      <alignment horizontal="center" vertical="center"/>
    </xf>
    <xf numFmtId="0" fontId="5" fillId="5" borderId="3" xfId="0" applyFont="1" applyFill="1" applyBorder="1" applyAlignment="1">
      <alignment horizontal="center"/>
    </xf>
    <xf numFmtId="0" fontId="5" fillId="2" borderId="7" xfId="0" applyFont="1" applyFill="1" applyBorder="1" applyAlignment="1">
      <alignment horizontal="center" wrapText="1"/>
    </xf>
    <xf numFmtId="0" fontId="5" fillId="0" borderId="6" xfId="0" applyFont="1" applyBorder="1" applyAlignment="1">
      <alignment horizontal="center" vertical="center" wrapText="1"/>
    </xf>
    <xf numFmtId="0" fontId="28" fillId="0" borderId="0" xfId="0" applyFont="1" applyAlignment="1">
      <alignment vertical="top"/>
    </xf>
    <xf numFmtId="0" fontId="5" fillId="0" borderId="0" xfId="0" applyFont="1" applyAlignment="1">
      <alignment vertical="top"/>
    </xf>
    <xf numFmtId="0" fontId="5" fillId="6" borderId="4" xfId="0" applyFont="1" applyFill="1" applyBorder="1" applyAlignment="1">
      <alignment vertical="top"/>
    </xf>
    <xf numFmtId="0" fontId="5" fillId="6" borderId="3" xfId="0" applyFont="1" applyFill="1" applyBorder="1" applyAlignment="1">
      <alignment vertical="center"/>
    </xf>
    <xf numFmtId="0" fontId="17" fillId="0" borderId="1" xfId="0" applyFont="1" applyBorder="1" applyAlignment="1">
      <alignment horizontal="center" vertical="center"/>
    </xf>
    <xf numFmtId="0" fontId="31" fillId="0" borderId="1" xfId="0" applyFont="1" applyBorder="1" applyAlignment="1">
      <alignment vertical="top" wrapText="1"/>
    </xf>
    <xf numFmtId="0" fontId="28" fillId="0" borderId="1" xfId="0" applyFont="1" applyBorder="1" applyAlignment="1">
      <alignment wrapText="1"/>
    </xf>
    <xf numFmtId="0" fontId="5" fillId="0" borderId="2" xfId="0" applyFont="1" applyBorder="1" applyAlignment="1">
      <alignment vertical="top"/>
    </xf>
    <xf numFmtId="0" fontId="5" fillId="7" borderId="2" xfId="0" applyFont="1" applyFill="1" applyBorder="1" applyAlignment="1">
      <alignment vertical="top"/>
    </xf>
    <xf numFmtId="0" fontId="5" fillId="0" borderId="2" xfId="0" applyFont="1" applyBorder="1" applyAlignment="1">
      <alignment vertical="top" wrapText="1"/>
    </xf>
    <xf numFmtId="0" fontId="5" fillId="0" borderId="11" xfId="0" applyFont="1" applyBorder="1"/>
    <xf numFmtId="0" fontId="5" fillId="0" borderId="11" xfId="0" applyFont="1" applyBorder="1" applyAlignment="1">
      <alignment horizontal="center" vertical="center"/>
    </xf>
    <xf numFmtId="0" fontId="5" fillId="0" borderId="12" xfId="0" applyFont="1" applyBorder="1" applyAlignment="1">
      <alignment vertical="top"/>
    </xf>
    <xf numFmtId="0" fontId="5" fillId="8" borderId="2" xfId="0" applyFont="1" applyFill="1" applyBorder="1" applyAlignment="1">
      <alignment vertical="top"/>
    </xf>
    <xf numFmtId="14" fontId="5" fillId="0" borderId="2" xfId="0" applyNumberFormat="1" applyFont="1" applyBorder="1" applyAlignment="1">
      <alignment vertical="top" wrapText="1"/>
    </xf>
    <xf numFmtId="14" fontId="18" fillId="0" borderId="2" xfId="0" applyNumberFormat="1" applyFont="1" applyBorder="1" applyAlignment="1">
      <alignment vertical="top" wrapText="1"/>
    </xf>
    <xf numFmtId="14" fontId="5" fillId="0" borderId="2" xfId="0" applyNumberFormat="1" applyFont="1" applyBorder="1" applyAlignment="1">
      <alignment vertical="top"/>
    </xf>
    <xf numFmtId="0" fontId="29" fillId="0" borderId="2" xfId="0" applyFont="1" applyBorder="1" applyAlignment="1">
      <alignment vertical="top"/>
    </xf>
    <xf numFmtId="0" fontId="18" fillId="0" borderId="2" xfId="0" applyFont="1" applyBorder="1" applyAlignment="1">
      <alignment vertical="top"/>
    </xf>
    <xf numFmtId="0" fontId="5" fillId="10" borderId="6" xfId="0" applyFont="1" applyFill="1" applyBorder="1"/>
    <xf numFmtId="0" fontId="5" fillId="5" borderId="4" xfId="0" applyFont="1" applyFill="1" applyBorder="1"/>
    <xf numFmtId="0" fontId="38" fillId="12" borderId="16" xfId="0" applyFont="1" applyFill="1" applyBorder="1" applyAlignment="1">
      <alignment horizontal="center" vertical="center" wrapText="1"/>
    </xf>
    <xf numFmtId="0" fontId="38" fillId="12" borderId="17" xfId="0" applyFont="1" applyFill="1" applyBorder="1" applyAlignment="1">
      <alignment horizontal="center" vertical="center" wrapText="1"/>
    </xf>
    <xf numFmtId="0" fontId="38" fillId="13" borderId="18" xfId="0" applyFont="1" applyFill="1" applyBorder="1" applyAlignment="1">
      <alignment horizontal="center" vertical="center"/>
    </xf>
    <xf numFmtId="0" fontId="39" fillId="13" borderId="19" xfId="0" applyFont="1" applyFill="1" applyBorder="1" applyAlignment="1">
      <alignment horizontal="center" vertical="center"/>
    </xf>
    <xf numFmtId="0" fontId="39" fillId="14" borderId="20" xfId="0" applyFont="1" applyFill="1" applyBorder="1" applyAlignment="1">
      <alignment horizontal="center" vertical="center"/>
    </xf>
    <xf numFmtId="0" fontId="39" fillId="15" borderId="21" xfId="0" applyFont="1" applyFill="1" applyBorder="1" applyAlignment="1">
      <alignment horizontal="center" vertical="center"/>
    </xf>
    <xf numFmtId="0" fontId="39" fillId="15" borderId="22" xfId="0" applyFont="1" applyFill="1" applyBorder="1" applyAlignment="1">
      <alignment horizontal="center" vertical="center"/>
    </xf>
    <xf numFmtId="0" fontId="13" fillId="0" borderId="6" xfId="0" applyFont="1" applyBorder="1" applyAlignment="1">
      <alignment vertical="top" wrapText="1"/>
    </xf>
    <xf numFmtId="0" fontId="20" fillId="0" borderId="23" xfId="0" applyFont="1" applyBorder="1" applyAlignment="1">
      <alignment horizontal="center" vertical="top" wrapText="1"/>
    </xf>
    <xf numFmtId="0" fontId="13" fillId="0" borderId="24" xfId="0" applyFont="1" applyBorder="1" applyAlignment="1">
      <alignment horizontal="left" vertical="top" wrapText="1"/>
    </xf>
    <xf numFmtId="0" fontId="13" fillId="0" borderId="25" xfId="0" applyFont="1" applyBorder="1" applyAlignment="1">
      <alignment vertical="top" wrapText="1"/>
    </xf>
    <xf numFmtId="0" fontId="40" fillId="0" borderId="26" xfId="0" applyFont="1" applyBorder="1" applyAlignment="1">
      <alignment horizontal="center" vertical="center" wrapText="1"/>
    </xf>
    <xf numFmtId="0" fontId="40" fillId="0" borderId="27" xfId="0" applyFont="1" applyBorder="1" applyAlignment="1">
      <alignment horizontal="left" vertical="top" wrapText="1"/>
    </xf>
    <xf numFmtId="0" fontId="41" fillId="16" borderId="9" xfId="0" applyFont="1" applyFill="1" applyBorder="1" applyAlignment="1">
      <alignment vertical="top" wrapText="1"/>
    </xf>
    <xf numFmtId="0" fontId="41" fillId="0" borderId="9" xfId="0" applyFont="1" applyBorder="1" applyAlignment="1">
      <alignment vertical="top" wrapText="1"/>
    </xf>
    <xf numFmtId="0" fontId="20" fillId="0" borderId="28" xfId="0" applyFont="1" applyBorder="1" applyAlignment="1">
      <alignment horizontal="center" vertical="top" wrapText="1"/>
    </xf>
    <xf numFmtId="0" fontId="13" fillId="0" borderId="29" xfId="0" applyFont="1" applyBorder="1" applyAlignment="1">
      <alignment horizontal="left" vertical="top" wrapText="1"/>
    </xf>
    <xf numFmtId="0" fontId="13" fillId="0" borderId="2" xfId="0" applyFont="1" applyBorder="1" applyAlignment="1">
      <alignment vertical="top" wrapText="1"/>
    </xf>
    <xf numFmtId="0" fontId="13" fillId="0" borderId="11" xfId="0" applyFont="1" applyBorder="1" applyAlignment="1">
      <alignment horizontal="left" vertical="top" wrapText="1"/>
    </xf>
    <xf numFmtId="0" fontId="13" fillId="0" borderId="30" xfId="0" applyFont="1" applyBorder="1" applyAlignment="1">
      <alignment vertical="top" wrapText="1"/>
    </xf>
    <xf numFmtId="0" fontId="39" fillId="0" borderId="31" xfId="0" applyFont="1" applyBorder="1" applyAlignment="1">
      <alignment vertical="top" wrapText="1"/>
    </xf>
    <xf numFmtId="0" fontId="41" fillId="0" borderId="32" xfId="0" applyFont="1" applyBorder="1" applyAlignment="1">
      <alignment vertical="top" wrapText="1"/>
    </xf>
    <xf numFmtId="0" fontId="11" fillId="0" borderId="27" xfId="0" applyFont="1" applyBorder="1" applyAlignment="1">
      <alignment horizontal="left" vertical="top" wrapText="1"/>
    </xf>
    <xf numFmtId="0" fontId="41" fillId="0" borderId="33" xfId="0" applyFont="1" applyBorder="1" applyAlignment="1">
      <alignment vertical="top" wrapText="1"/>
    </xf>
    <xf numFmtId="0" fontId="13" fillId="0" borderId="34" xfId="0" applyFont="1" applyBorder="1" applyAlignment="1">
      <alignment vertical="top" wrapText="1"/>
    </xf>
    <xf numFmtId="0" fontId="13" fillId="0" borderId="35" xfId="0" applyFont="1" applyBorder="1" applyAlignment="1">
      <alignment vertical="top" wrapText="1"/>
    </xf>
    <xf numFmtId="0" fontId="13" fillId="0" borderId="29" xfId="0" applyFont="1" applyBorder="1" applyAlignment="1">
      <alignment vertical="top" wrapText="1"/>
    </xf>
    <xf numFmtId="0" fontId="39" fillId="16" borderId="9" xfId="0" applyFont="1" applyFill="1" applyBorder="1" applyAlignment="1">
      <alignment vertical="top" wrapText="1"/>
    </xf>
    <xf numFmtId="0" fontId="39" fillId="0" borderId="9" xfId="0" applyFont="1" applyBorder="1" applyAlignment="1">
      <alignment vertical="top" wrapText="1"/>
    </xf>
    <xf numFmtId="0" fontId="13" fillId="0" borderId="36" xfId="0" applyFont="1" applyBorder="1" applyAlignment="1">
      <alignment horizontal="center" vertical="top" wrapText="1"/>
    </xf>
    <xf numFmtId="0" fontId="41" fillId="0" borderId="37" xfId="0" applyFont="1" applyBorder="1" applyAlignment="1">
      <alignment vertical="top" wrapText="1"/>
    </xf>
    <xf numFmtId="0" fontId="13" fillId="0" borderId="38" xfId="0" applyFont="1" applyBorder="1" applyAlignment="1">
      <alignment vertical="top" wrapText="1"/>
    </xf>
    <xf numFmtId="0" fontId="13" fillId="0" borderId="9" xfId="0" applyFont="1" applyBorder="1" applyAlignment="1">
      <alignment vertical="top" wrapText="1"/>
    </xf>
    <xf numFmtId="0" fontId="13" fillId="0" borderId="39" xfId="0" applyFont="1" applyBorder="1" applyAlignment="1">
      <alignment vertical="top" wrapText="1"/>
    </xf>
    <xf numFmtId="0" fontId="13" fillId="0" borderId="40" xfId="0" applyFont="1" applyBorder="1" applyAlignment="1">
      <alignment vertical="top" wrapText="1"/>
    </xf>
    <xf numFmtId="0" fontId="13" fillId="0" borderId="28" xfId="0" applyFont="1" applyBorder="1" applyAlignment="1">
      <alignment horizontal="center" vertical="top" wrapText="1"/>
    </xf>
    <xf numFmtId="0" fontId="13" fillId="0" borderId="11" xfId="0" applyFont="1" applyBorder="1" applyAlignment="1">
      <alignment vertical="top" wrapText="1"/>
    </xf>
    <xf numFmtId="0" fontId="41" fillId="17" borderId="9" xfId="0" applyFont="1" applyFill="1" applyBorder="1" applyAlignment="1">
      <alignment vertical="top" wrapText="1"/>
    </xf>
    <xf numFmtId="0" fontId="13" fillId="18" borderId="34" xfId="0" applyFont="1" applyFill="1" applyBorder="1" applyAlignment="1">
      <alignment vertical="top" wrapText="1"/>
    </xf>
    <xf numFmtId="0" fontId="41" fillId="18" borderId="9" xfId="0" applyFont="1" applyFill="1" applyBorder="1" applyAlignment="1">
      <alignment vertical="top" wrapText="1"/>
    </xf>
    <xf numFmtId="49" fontId="13" fillId="0" borderId="41" xfId="0" applyNumberFormat="1" applyFont="1" applyBorder="1" applyAlignment="1">
      <alignment vertical="top" wrapText="1"/>
    </xf>
    <xf numFmtId="0" fontId="13" fillId="0" borderId="41" xfId="0" applyFont="1" applyBorder="1" applyAlignment="1">
      <alignment vertical="top" wrapText="1"/>
    </xf>
    <xf numFmtId="0" fontId="41" fillId="18" borderId="37" xfId="0" applyFont="1" applyFill="1" applyBorder="1" applyAlignment="1">
      <alignment vertical="top" wrapText="1"/>
    </xf>
    <xf numFmtId="0" fontId="13" fillId="0" borderId="42" xfId="0" applyFont="1" applyBorder="1" applyAlignment="1">
      <alignment horizontal="left" vertical="top" wrapText="1"/>
    </xf>
    <xf numFmtId="0" fontId="39" fillId="16" borderId="9" xfId="0" applyFont="1" applyFill="1" applyBorder="1" applyAlignment="1">
      <alignment vertical="center" wrapText="1"/>
    </xf>
    <xf numFmtId="0" fontId="39" fillId="0" borderId="9" xfId="0" applyFont="1" applyBorder="1" applyAlignment="1">
      <alignment vertical="center"/>
    </xf>
    <xf numFmtId="0" fontId="39" fillId="0" borderId="13" xfId="0" applyFont="1" applyBorder="1" applyAlignment="1">
      <alignment vertical="center"/>
    </xf>
    <xf numFmtId="0" fontId="40" fillId="0" borderId="6" xfId="0" applyFont="1" applyBorder="1" applyAlignment="1">
      <alignment vertical="top"/>
    </xf>
    <xf numFmtId="0" fontId="41" fillId="18" borderId="13" xfId="0" applyFont="1" applyFill="1" applyBorder="1" applyAlignment="1">
      <alignment vertical="top" wrapText="1"/>
    </xf>
    <xf numFmtId="0" fontId="39" fillId="18" borderId="9" xfId="0" applyFont="1" applyFill="1" applyBorder="1" applyAlignment="1">
      <alignment vertical="top" wrapText="1"/>
    </xf>
    <xf numFmtId="0" fontId="41" fillId="17" borderId="13" xfId="0" applyFont="1" applyFill="1" applyBorder="1" applyAlignment="1">
      <alignment vertical="top" wrapText="1"/>
    </xf>
    <xf numFmtId="0" fontId="40" fillId="18" borderId="6" xfId="0" applyFont="1" applyFill="1" applyBorder="1" applyAlignment="1">
      <alignment vertical="top" wrapText="1"/>
    </xf>
    <xf numFmtId="0" fontId="13" fillId="18" borderId="6" xfId="0" applyFont="1" applyFill="1" applyBorder="1" applyAlignment="1">
      <alignment vertical="top" wrapText="1"/>
    </xf>
    <xf numFmtId="0" fontId="13" fillId="0" borderId="43" xfId="0" applyFont="1" applyBorder="1" applyAlignment="1">
      <alignment vertical="top" wrapText="1"/>
    </xf>
    <xf numFmtId="0" fontId="11" fillId="7" borderId="27" xfId="0" applyFont="1" applyFill="1" applyBorder="1" applyAlignment="1">
      <alignment horizontal="left" vertical="top" wrapText="1"/>
    </xf>
    <xf numFmtId="0" fontId="39" fillId="18" borderId="13" xfId="0" applyFont="1" applyFill="1" applyBorder="1" applyAlignment="1">
      <alignment vertical="top" wrapText="1"/>
    </xf>
    <xf numFmtId="0" fontId="39" fillId="18" borderId="31" xfId="0" applyFont="1" applyFill="1" applyBorder="1" applyAlignment="1">
      <alignment vertical="top" wrapText="1"/>
    </xf>
    <xf numFmtId="0" fontId="41" fillId="18" borderId="32" xfId="0" applyFont="1" applyFill="1" applyBorder="1" applyAlignment="1">
      <alignment vertical="top" wrapText="1"/>
    </xf>
    <xf numFmtId="0" fontId="13" fillId="0" borderId="44" xfId="0" applyFont="1" applyBorder="1" applyAlignment="1">
      <alignment vertical="top" wrapText="1"/>
    </xf>
    <xf numFmtId="0" fontId="13" fillId="0" borderId="45" xfId="0" applyFont="1" applyBorder="1" applyAlignment="1">
      <alignment horizontal="center"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0" borderId="27" xfId="0" applyFont="1" applyBorder="1" applyAlignment="1">
      <alignment horizontal="left" vertical="top" wrapText="1"/>
    </xf>
    <xf numFmtId="0" fontId="39" fillId="0" borderId="13" xfId="0" applyFont="1" applyBorder="1" applyAlignment="1">
      <alignment vertical="top" wrapText="1"/>
    </xf>
    <xf numFmtId="0" fontId="41" fillId="0" borderId="48" xfId="0" applyFont="1" applyBorder="1" applyAlignment="1">
      <alignment vertical="top" wrapText="1"/>
    </xf>
    <xf numFmtId="0" fontId="13" fillId="17" borderId="49" xfId="0" applyFont="1" applyFill="1" applyBorder="1" applyAlignment="1">
      <alignment vertical="top" wrapText="1"/>
    </xf>
    <xf numFmtId="0" fontId="13" fillId="16" borderId="46" xfId="0" applyFont="1" applyFill="1" applyBorder="1" applyAlignment="1">
      <alignment vertical="top" wrapText="1"/>
    </xf>
    <xf numFmtId="0" fontId="13" fillId="16" borderId="47" xfId="0" applyFont="1" applyFill="1" applyBorder="1" applyAlignment="1">
      <alignment vertical="top" wrapText="1"/>
    </xf>
    <xf numFmtId="0" fontId="41" fillId="17" borderId="37" xfId="0" applyFont="1" applyFill="1" applyBorder="1" applyAlignment="1">
      <alignment vertical="top" wrapText="1"/>
    </xf>
    <xf numFmtId="0" fontId="39" fillId="0" borderId="32" xfId="0" applyFont="1" applyBorder="1" applyAlignment="1">
      <alignment vertical="top" wrapText="1"/>
    </xf>
    <xf numFmtId="0" fontId="13" fillId="0" borderId="50" xfId="0" applyFont="1" applyBorder="1" applyAlignment="1">
      <alignment vertical="top" wrapText="1"/>
    </xf>
    <xf numFmtId="0" fontId="39" fillId="0" borderId="51" xfId="0" applyFont="1" applyBorder="1" applyAlignment="1">
      <alignment vertical="center" wrapText="1"/>
    </xf>
    <xf numFmtId="0" fontId="13" fillId="0" borderId="46" xfId="0" applyFont="1" applyBorder="1" applyAlignment="1">
      <alignment vertical="top" wrapText="1"/>
    </xf>
    <xf numFmtId="0" fontId="13" fillId="0" borderId="46" xfId="0" applyFont="1" applyBorder="1" applyAlignment="1">
      <alignment horizontal="center" vertical="top"/>
    </xf>
    <xf numFmtId="0" fontId="13" fillId="0" borderId="52" xfId="0" applyFont="1" applyBorder="1" applyAlignment="1">
      <alignment vertical="top" wrapText="1"/>
    </xf>
    <xf numFmtId="0" fontId="39" fillId="0" borderId="3" xfId="0" applyFont="1" applyBorder="1" applyAlignment="1">
      <alignment vertical="center" wrapText="1"/>
    </xf>
    <xf numFmtId="0" fontId="13" fillId="0" borderId="32" xfId="0" applyFont="1" applyBorder="1" applyAlignment="1">
      <alignment vertical="top" wrapText="1"/>
    </xf>
    <xf numFmtId="0" fontId="41" fillId="0" borderId="31" xfId="0" applyFont="1" applyBorder="1" applyAlignment="1">
      <alignment vertical="top" wrapText="1"/>
    </xf>
    <xf numFmtId="0" fontId="13" fillId="0" borderId="47" xfId="0" applyFont="1" applyBorder="1" applyAlignment="1">
      <alignment vertical="top" wrapText="1"/>
    </xf>
    <xf numFmtId="0" fontId="13" fillId="0" borderId="53" xfId="0" applyFont="1" applyBorder="1" applyAlignment="1">
      <alignment vertical="top" wrapText="1"/>
    </xf>
    <xf numFmtId="0" fontId="41" fillId="0" borderId="54" xfId="0" applyFont="1" applyBorder="1" applyAlignment="1">
      <alignment vertical="top" wrapText="1"/>
    </xf>
    <xf numFmtId="0" fontId="41" fillId="0" borderId="55" xfId="0" applyFont="1" applyBorder="1" applyAlignment="1">
      <alignment vertical="top" wrapText="1"/>
    </xf>
    <xf numFmtId="0" fontId="13" fillId="0" borderId="56" xfId="0" applyFont="1" applyBorder="1" applyAlignment="1">
      <alignment horizontal="center" vertical="top" wrapText="1"/>
    </xf>
    <xf numFmtId="0" fontId="13" fillId="0" borderId="57" xfId="0" applyFont="1" applyBorder="1" applyAlignment="1">
      <alignment horizontal="left" vertical="top" wrapText="1"/>
    </xf>
    <xf numFmtId="0" fontId="39" fillId="0" borderId="58" xfId="0" applyFont="1" applyBorder="1" applyAlignment="1">
      <alignment vertical="top" wrapText="1"/>
    </xf>
    <xf numFmtId="0" fontId="39" fillId="0" borderId="37" xfId="0" applyFont="1" applyBorder="1" applyAlignment="1">
      <alignment vertical="top" wrapText="1"/>
    </xf>
    <xf numFmtId="0" fontId="13" fillId="0" borderId="59" xfId="0" applyFont="1" applyBorder="1" applyAlignment="1">
      <alignment vertical="top" wrapText="1"/>
    </xf>
    <xf numFmtId="0" fontId="13" fillId="0" borderId="43" xfId="0" applyFont="1" applyBorder="1" applyAlignment="1">
      <alignment horizontal="center" vertical="top"/>
    </xf>
    <xf numFmtId="0" fontId="13" fillId="0" borderId="43" xfId="0" applyFont="1" applyBorder="1" applyAlignment="1">
      <alignment horizontal="left" vertical="top" wrapText="1"/>
    </xf>
    <xf numFmtId="0" fontId="13" fillId="0" borderId="41" xfId="0" applyFont="1" applyBorder="1" applyAlignment="1">
      <alignment horizontal="left" vertical="top" wrapText="1"/>
    </xf>
    <xf numFmtId="0" fontId="39" fillId="0" borderId="3" xfId="0" applyFont="1" applyBorder="1" applyAlignment="1">
      <alignment vertical="top" wrapText="1"/>
    </xf>
    <xf numFmtId="0" fontId="40" fillId="0" borderId="60" xfId="0" applyFont="1" applyBorder="1" applyAlignment="1">
      <alignment horizontal="center" vertical="center" wrapText="1"/>
    </xf>
    <xf numFmtId="0" fontId="40" fillId="0" borderId="61" xfId="0" applyFont="1" applyBorder="1" applyAlignment="1">
      <alignment horizontal="left" vertical="top" wrapText="1"/>
    </xf>
    <xf numFmtId="0" fontId="13" fillId="0" borderId="62" xfId="0" applyFont="1" applyBorder="1" applyAlignment="1">
      <alignment vertical="top" wrapText="1"/>
    </xf>
    <xf numFmtId="0" fontId="13" fillId="18" borderId="63" xfId="0" applyFont="1" applyFill="1" applyBorder="1" applyAlignment="1">
      <alignment vertical="top" wrapText="1"/>
    </xf>
    <xf numFmtId="0" fontId="13" fillId="0" borderId="63" xfId="0" applyFont="1" applyBorder="1" applyAlignment="1">
      <alignment horizontal="center" vertical="top" wrapText="1"/>
    </xf>
    <xf numFmtId="0" fontId="13" fillId="0" borderId="64" xfId="0" applyFont="1" applyBorder="1" applyAlignment="1">
      <alignment vertical="top" wrapText="1"/>
    </xf>
    <xf numFmtId="0" fontId="13" fillId="0" borderId="65" xfId="0" applyFont="1" applyBorder="1" applyAlignment="1">
      <alignment vertical="top" wrapText="1"/>
    </xf>
    <xf numFmtId="0" fontId="40" fillId="0" borderId="66" xfId="0" applyFont="1" applyBorder="1" applyAlignment="1">
      <alignment horizontal="left" vertical="top" wrapText="1"/>
    </xf>
    <xf numFmtId="0" fontId="39" fillId="18" borderId="58" xfId="0" applyFont="1" applyFill="1" applyBorder="1" applyAlignment="1">
      <alignment vertical="top" wrapText="1"/>
    </xf>
    <xf numFmtId="0" fontId="41" fillId="18" borderId="67" xfId="0" applyFont="1" applyFill="1" applyBorder="1" applyAlignment="1">
      <alignment vertical="top" wrapText="1"/>
    </xf>
    <xf numFmtId="0" fontId="13" fillId="0" borderId="68" xfId="0" applyFont="1" applyBorder="1" applyAlignment="1">
      <alignment vertical="top" wrapText="1"/>
    </xf>
    <xf numFmtId="0" fontId="13" fillId="0" borderId="57" xfId="0" applyFont="1" applyBorder="1" applyAlignment="1">
      <alignment vertical="top" wrapText="1"/>
    </xf>
    <xf numFmtId="0" fontId="41" fillId="18" borderId="69" xfId="0" applyFont="1" applyFill="1" applyBorder="1" applyAlignment="1">
      <alignment vertical="top" wrapText="1"/>
    </xf>
    <xf numFmtId="0" fontId="13" fillId="0" borderId="70" xfId="0" applyFont="1" applyBorder="1" applyAlignment="1">
      <alignment vertical="top" wrapText="1"/>
    </xf>
    <xf numFmtId="0" fontId="39" fillId="18" borderId="3" xfId="0" applyFont="1" applyFill="1" applyBorder="1" applyAlignment="1">
      <alignment vertical="top" wrapText="1"/>
    </xf>
    <xf numFmtId="0" fontId="11" fillId="0" borderId="66" xfId="0" applyFont="1" applyBorder="1" applyAlignment="1">
      <alignment horizontal="left" vertical="top" wrapText="1"/>
    </xf>
    <xf numFmtId="0" fontId="13" fillId="18" borderId="59" xfId="0" applyFont="1" applyFill="1" applyBorder="1" applyAlignment="1">
      <alignment vertical="top" wrapText="1"/>
    </xf>
    <xf numFmtId="0" fontId="13" fillId="0" borderId="28" xfId="0" applyFont="1" applyBorder="1" applyAlignment="1">
      <alignment vertical="top" wrapText="1"/>
    </xf>
    <xf numFmtId="0" fontId="41" fillId="18" borderId="58" xfId="0" applyFont="1" applyFill="1" applyBorder="1" applyAlignment="1">
      <alignment vertical="top" wrapText="1"/>
    </xf>
    <xf numFmtId="0" fontId="41" fillId="18" borderId="3" xfId="0" applyFont="1" applyFill="1" applyBorder="1" applyAlignment="1">
      <alignment vertical="top" wrapText="1"/>
    </xf>
    <xf numFmtId="0" fontId="13" fillId="18" borderId="71" xfId="0" applyFont="1" applyFill="1" applyBorder="1" applyAlignment="1">
      <alignment vertical="top" wrapText="1"/>
    </xf>
    <xf numFmtId="0" fontId="13" fillId="18" borderId="32" xfId="0" applyFont="1" applyFill="1" applyBorder="1" applyAlignment="1">
      <alignment vertical="top" wrapText="1"/>
    </xf>
    <xf numFmtId="0" fontId="13" fillId="0" borderId="72" xfId="0" applyFont="1" applyBorder="1" applyAlignment="1">
      <alignment vertical="top" wrapText="1"/>
    </xf>
    <xf numFmtId="0" fontId="13" fillId="18" borderId="53" xfId="0" applyFont="1" applyFill="1" applyBorder="1" applyAlignment="1">
      <alignment vertical="top" wrapText="1"/>
    </xf>
    <xf numFmtId="0" fontId="13" fillId="18" borderId="32" xfId="0" applyFont="1" applyFill="1" applyBorder="1" applyAlignment="1">
      <alignment horizontal="left" vertical="top" wrapText="1"/>
    </xf>
    <xf numFmtId="0" fontId="41" fillId="18" borderId="33" xfId="0" applyFont="1" applyFill="1" applyBorder="1" applyAlignment="1">
      <alignment vertical="top" wrapText="1"/>
    </xf>
    <xf numFmtId="0" fontId="13" fillId="18" borderId="3" xfId="0" applyFont="1" applyFill="1" applyBorder="1" applyAlignment="1">
      <alignment vertical="top" wrapText="1"/>
    </xf>
    <xf numFmtId="0" fontId="13" fillId="0" borderId="62" xfId="0" applyFont="1" applyBorder="1" applyAlignment="1">
      <alignment horizontal="center" vertical="top" wrapText="1"/>
    </xf>
    <xf numFmtId="0" fontId="13" fillId="18" borderId="50" xfId="0" applyFont="1" applyFill="1" applyBorder="1" applyAlignment="1">
      <alignment vertical="top" wrapText="1"/>
    </xf>
    <xf numFmtId="49" fontId="13" fillId="0" borderId="39" xfId="0" applyNumberFormat="1" applyFont="1" applyBorder="1" applyAlignment="1">
      <alignment vertical="top" wrapText="1"/>
    </xf>
    <xf numFmtId="0" fontId="39" fillId="0" borderId="33" xfId="0" applyFont="1" applyBorder="1" applyAlignment="1">
      <alignment vertical="top" wrapText="1"/>
    </xf>
    <xf numFmtId="0" fontId="13" fillId="0" borderId="73" xfId="0" applyFont="1" applyBorder="1" applyAlignment="1">
      <alignment vertical="top" wrapText="1"/>
    </xf>
    <xf numFmtId="0" fontId="41" fillId="18" borderId="31" xfId="0" applyFont="1" applyFill="1" applyBorder="1" applyAlignment="1">
      <alignment vertical="top" wrapText="1"/>
    </xf>
    <xf numFmtId="0" fontId="13" fillId="18" borderId="74" xfId="0" applyFont="1" applyFill="1" applyBorder="1" applyAlignment="1">
      <alignment vertical="top" wrapText="1"/>
    </xf>
    <xf numFmtId="0" fontId="13" fillId="0" borderId="56" xfId="0" applyFont="1" applyBorder="1" applyAlignment="1">
      <alignment vertical="top" wrapText="1"/>
    </xf>
    <xf numFmtId="0" fontId="39" fillId="18" borderId="32" xfId="0" applyFont="1" applyFill="1" applyBorder="1" applyAlignment="1">
      <alignment vertical="top" wrapText="1"/>
    </xf>
    <xf numFmtId="0" fontId="13" fillId="18" borderId="33" xfId="0" applyFont="1" applyFill="1" applyBorder="1" applyAlignment="1">
      <alignment vertical="top" wrapText="1"/>
    </xf>
    <xf numFmtId="0" fontId="41" fillId="18" borderId="75" xfId="0" applyFont="1" applyFill="1" applyBorder="1" applyAlignment="1">
      <alignment vertical="top" wrapText="1"/>
    </xf>
    <xf numFmtId="0" fontId="13" fillId="0" borderId="76" xfId="0" applyFont="1" applyBorder="1" applyAlignment="1">
      <alignment vertical="top" wrapText="1"/>
    </xf>
    <xf numFmtId="0" fontId="13" fillId="18" borderId="77" xfId="0" applyFont="1" applyFill="1" applyBorder="1" applyAlignment="1">
      <alignment vertical="top" wrapText="1"/>
    </xf>
    <xf numFmtId="0" fontId="13" fillId="0" borderId="53" xfId="0" applyFont="1" applyBorder="1" applyAlignment="1">
      <alignment horizontal="center" vertical="top" wrapText="1"/>
    </xf>
    <xf numFmtId="0" fontId="13" fillId="0" borderId="50" xfId="0" applyFont="1" applyBorder="1" applyAlignment="1">
      <alignment horizontal="center" vertical="top" wrapText="1"/>
    </xf>
    <xf numFmtId="0" fontId="39" fillId="18" borderId="33" xfId="0" applyFont="1" applyFill="1" applyBorder="1" applyAlignment="1">
      <alignment vertical="top" wrapText="1"/>
    </xf>
    <xf numFmtId="0" fontId="13" fillId="0" borderId="78" xfId="0" applyFont="1" applyBorder="1" applyAlignment="1">
      <alignment vertical="top" wrapText="1"/>
    </xf>
    <xf numFmtId="0" fontId="13" fillId="0" borderId="79" xfId="0" applyFont="1" applyBorder="1" applyAlignment="1">
      <alignment vertical="top" wrapText="1"/>
    </xf>
    <xf numFmtId="0" fontId="41" fillId="0" borderId="80" xfId="0" applyFont="1" applyBorder="1" applyAlignment="1">
      <alignment vertical="top" wrapText="1"/>
    </xf>
    <xf numFmtId="0" fontId="41" fillId="0" borderId="81" xfId="0" applyFont="1" applyBorder="1" applyAlignment="1">
      <alignment vertical="top" wrapText="1"/>
    </xf>
    <xf numFmtId="0" fontId="39" fillId="0" borderId="54" xfId="0" applyFont="1" applyBorder="1" applyAlignment="1">
      <alignment vertical="top" wrapText="1"/>
    </xf>
    <xf numFmtId="0" fontId="13" fillId="0" borderId="74" xfId="0" applyFont="1" applyBorder="1" applyAlignment="1">
      <alignment vertical="top" wrapText="1"/>
    </xf>
    <xf numFmtId="0" fontId="13" fillId="0" borderId="74" xfId="0" applyFont="1" applyBorder="1" applyAlignment="1">
      <alignment horizontal="center" vertical="top" wrapText="1"/>
    </xf>
    <xf numFmtId="0" fontId="11" fillId="0" borderId="82" xfId="0" applyFont="1" applyBorder="1" applyAlignment="1">
      <alignment horizontal="left" vertical="top" wrapText="1"/>
    </xf>
    <xf numFmtId="0" fontId="13" fillId="0" borderId="59" xfId="4" applyFont="1" applyBorder="1" applyAlignment="1">
      <alignment horizontal="left" vertical="top" wrapText="1"/>
    </xf>
    <xf numFmtId="0" fontId="13" fillId="0" borderId="59" xfId="5" applyFont="1" applyBorder="1" applyAlignment="1">
      <alignment vertical="top" wrapText="1"/>
    </xf>
    <xf numFmtId="0" fontId="13" fillId="0" borderId="43" xfId="6" applyFont="1" applyBorder="1" applyAlignment="1">
      <alignment horizontal="center" vertical="top" wrapText="1"/>
    </xf>
    <xf numFmtId="0" fontId="13" fillId="0" borderId="43" xfId="5" applyFont="1" applyBorder="1" applyAlignment="1">
      <alignment vertical="top" wrapText="1"/>
    </xf>
    <xf numFmtId="0" fontId="13" fillId="0" borderId="43" xfId="7" applyFont="1" applyBorder="1" applyAlignment="1">
      <alignment vertical="top" wrapText="1"/>
    </xf>
    <xf numFmtId="0" fontId="39" fillId="0" borderId="58" xfId="4" applyFont="1" applyBorder="1" applyAlignment="1">
      <alignment horizontal="left" vertical="top" wrapText="1"/>
    </xf>
    <xf numFmtId="0" fontId="39" fillId="0" borderId="58" xfId="5" applyFont="1" applyBorder="1" applyAlignment="1">
      <alignment vertical="top" wrapText="1"/>
    </xf>
    <xf numFmtId="0" fontId="13" fillId="0" borderId="3" xfId="5" applyFont="1" applyBorder="1" applyAlignment="1">
      <alignment vertical="top" wrapText="1"/>
    </xf>
    <xf numFmtId="0" fontId="39" fillId="0" borderId="3" xfId="5" applyFont="1" applyBorder="1" applyAlignment="1">
      <alignment vertical="top" wrapText="1"/>
    </xf>
    <xf numFmtId="0" fontId="13" fillId="0" borderId="58" xfId="5" applyFont="1" applyBorder="1" applyAlignment="1">
      <alignment vertical="top" wrapText="1"/>
    </xf>
    <xf numFmtId="0" fontId="39" fillId="0" borderId="3" xfId="4" applyFont="1" applyBorder="1" applyAlignment="1">
      <alignment horizontal="left" vertical="top" wrapText="1"/>
    </xf>
    <xf numFmtId="0" fontId="13" fillId="0" borderId="13" xfId="4" applyFont="1" applyBorder="1" applyAlignment="1">
      <alignment horizontal="left" vertical="top" wrapText="1"/>
    </xf>
    <xf numFmtId="0" fontId="13" fillId="0" borderId="58" xfId="4" applyFont="1" applyBorder="1" applyAlignment="1">
      <alignment horizontal="left" vertical="top" wrapText="1"/>
    </xf>
    <xf numFmtId="0" fontId="46" fillId="0" borderId="27" xfId="0" applyFont="1" applyBorder="1" applyAlignment="1">
      <alignment horizontal="left" vertical="top" wrapText="1"/>
    </xf>
    <xf numFmtId="0" fontId="13" fillId="0" borderId="83" xfId="0" applyFont="1" applyBorder="1" applyAlignment="1">
      <alignment vertical="top"/>
    </xf>
    <xf numFmtId="0" fontId="13" fillId="0" borderId="43" xfId="0" applyFont="1" applyBorder="1" applyAlignment="1">
      <alignment vertical="center" wrapText="1"/>
    </xf>
    <xf numFmtId="0" fontId="13" fillId="0" borderId="84" xfId="4" applyFont="1" applyBorder="1" applyAlignment="1">
      <alignment horizontal="left" vertical="top" wrapText="1"/>
    </xf>
    <xf numFmtId="0" fontId="13" fillId="0" borderId="59" xfId="7" applyFont="1" applyBorder="1" applyAlignment="1">
      <alignment vertical="top" wrapText="1"/>
    </xf>
    <xf numFmtId="0" fontId="13" fillId="0" borderId="84" xfId="0" applyFont="1" applyBorder="1" applyAlignment="1">
      <alignment vertical="top" wrapText="1"/>
    </xf>
    <xf numFmtId="0" fontId="13" fillId="0" borderId="43" xfId="0" applyFont="1" applyBorder="1" applyAlignment="1">
      <alignment vertical="top"/>
    </xf>
    <xf numFmtId="0" fontId="13" fillId="0" borderId="43" xfId="0" applyFont="1" applyBorder="1" applyAlignment="1">
      <alignment vertical="center"/>
    </xf>
    <xf numFmtId="0" fontId="11" fillId="7" borderId="61" xfId="0" applyFont="1" applyFill="1" applyBorder="1" applyAlignment="1">
      <alignment horizontal="left" vertical="top" wrapText="1"/>
    </xf>
    <xf numFmtId="0" fontId="40" fillId="0" borderId="85" xfId="0" applyFont="1" applyBorder="1" applyAlignment="1">
      <alignment vertical="top" wrapText="1"/>
    </xf>
    <xf numFmtId="0" fontId="13" fillId="0" borderId="83" xfId="0" applyFont="1" applyBorder="1" applyAlignment="1">
      <alignment vertical="top" wrapText="1"/>
    </xf>
    <xf numFmtId="0" fontId="39" fillId="16" borderId="58" xfId="0" applyFont="1" applyFill="1" applyBorder="1" applyAlignment="1">
      <alignment vertical="top" wrapText="1"/>
    </xf>
    <xf numFmtId="0" fontId="13" fillId="16" borderId="86" xfId="0" applyFont="1" applyFill="1" applyBorder="1" applyAlignment="1">
      <alignment vertical="top" wrapText="1"/>
    </xf>
    <xf numFmtId="0" fontId="39" fillId="16" borderId="3" xfId="0" applyFont="1" applyFill="1" applyBorder="1" applyAlignment="1">
      <alignment vertical="top" wrapText="1"/>
    </xf>
    <xf numFmtId="0" fontId="13" fillId="16" borderId="87" xfId="0" applyFont="1" applyFill="1" applyBorder="1" applyAlignment="1">
      <alignment vertical="top" wrapText="1"/>
    </xf>
    <xf numFmtId="0" fontId="13" fillId="0" borderId="85" xfId="0" applyFont="1" applyBorder="1" applyAlignment="1">
      <alignment vertical="top" wrapText="1"/>
    </xf>
    <xf numFmtId="0" fontId="40" fillId="0" borderId="13" xfId="0" applyFont="1" applyBorder="1" applyAlignment="1">
      <alignment vertical="top" wrapText="1"/>
    </xf>
    <xf numFmtId="0" fontId="46" fillId="0" borderId="26" xfId="0" applyFont="1" applyBorder="1" applyAlignment="1">
      <alignment horizontal="center" vertical="center" wrapText="1"/>
    </xf>
    <xf numFmtId="0" fontId="47" fillId="0" borderId="27" xfId="0" applyFont="1" applyBorder="1" applyAlignment="1">
      <alignment horizontal="left" vertical="top" wrapText="1"/>
    </xf>
    <xf numFmtId="0" fontId="13" fillId="0" borderId="43" xfId="0" applyFont="1" applyBorder="1" applyAlignment="1">
      <alignment horizontal="left" vertical="center" wrapText="1"/>
    </xf>
    <xf numFmtId="0" fontId="40" fillId="0" borderId="43" xfId="0" applyFont="1" applyBorder="1" applyAlignment="1">
      <alignment horizontal="center" vertical="center"/>
    </xf>
    <xf numFmtId="0" fontId="13" fillId="0" borderId="41" xfId="0" applyFont="1" applyBorder="1" applyAlignment="1">
      <alignment horizontal="left" vertical="center" wrapText="1"/>
    </xf>
    <xf numFmtId="0" fontId="40" fillId="0" borderId="59" xfId="0" applyFont="1" applyBorder="1" applyAlignment="1">
      <alignment vertical="top" wrapText="1"/>
    </xf>
    <xf numFmtId="0" fontId="13" fillId="0" borderId="86" xfId="0" applyFont="1" applyBorder="1" applyAlignment="1">
      <alignment vertical="top" wrapText="1"/>
    </xf>
    <xf numFmtId="0" fontId="13" fillId="0" borderId="0" xfId="0" applyFont="1" applyAlignment="1">
      <alignment vertical="top" wrapText="1"/>
    </xf>
    <xf numFmtId="0" fontId="39" fillId="0" borderId="0" xfId="0" applyFont="1" applyAlignment="1">
      <alignment vertical="top" wrapText="1"/>
    </xf>
    <xf numFmtId="0" fontId="39" fillId="0" borderId="88" xfId="0" applyFont="1" applyBorder="1" applyAlignment="1">
      <alignment vertical="top" wrapText="1"/>
    </xf>
    <xf numFmtId="0" fontId="11" fillId="0" borderId="61" xfId="0" applyFont="1" applyBorder="1" applyAlignment="1">
      <alignment horizontal="left" vertical="top" wrapText="1"/>
    </xf>
    <xf numFmtId="0" fontId="13" fillId="0" borderId="58" xfId="0" applyFont="1" applyBorder="1" applyAlignment="1">
      <alignment horizontal="left" vertical="top" wrapText="1"/>
    </xf>
    <xf numFmtId="0" fontId="40" fillId="0" borderId="59" xfId="4" applyFont="1" applyBorder="1" applyAlignment="1">
      <alignment horizontal="left" vertical="top" wrapText="1"/>
    </xf>
    <xf numFmtId="0" fontId="40" fillId="0" borderId="3" xfId="5" applyFont="1" applyBorder="1" applyAlignment="1">
      <alignment vertical="top" wrapText="1"/>
    </xf>
    <xf numFmtId="0" fontId="13" fillId="0" borderId="3" xfId="6" applyFont="1" applyBorder="1" applyAlignment="1">
      <alignment horizontal="center" vertical="top" wrapText="1"/>
    </xf>
    <xf numFmtId="0" fontId="13" fillId="0" borderId="12" xfId="7" applyFont="1" applyBorder="1" applyAlignment="1">
      <alignment vertical="top" wrapText="1"/>
    </xf>
    <xf numFmtId="0" fontId="39" fillId="0" borderId="58" xfId="0" applyFont="1" applyBorder="1" applyAlignment="1">
      <alignment horizontal="left" vertical="top" wrapText="1"/>
    </xf>
    <xf numFmtId="0" fontId="13" fillId="0" borderId="83" xfId="5" applyFont="1" applyBorder="1" applyAlignment="1">
      <alignment vertical="top" wrapText="1"/>
    </xf>
    <xf numFmtId="0" fontId="13" fillId="0" borderId="41" xfId="7" applyFont="1" applyBorder="1" applyAlignment="1">
      <alignment vertical="top" wrapText="1"/>
    </xf>
    <xf numFmtId="0" fontId="40" fillId="0" borderId="84" xfId="5" applyFont="1" applyBorder="1" applyAlignment="1">
      <alignment vertical="top" wrapText="1"/>
    </xf>
    <xf numFmtId="0" fontId="13" fillId="0" borderId="41" xfId="5" applyFont="1" applyBorder="1" applyAlignment="1">
      <alignment vertical="top" wrapText="1"/>
    </xf>
    <xf numFmtId="0" fontId="40" fillId="0" borderId="43" xfId="5" applyFont="1" applyBorder="1" applyAlignment="1">
      <alignment vertical="top" wrapText="1"/>
    </xf>
    <xf numFmtId="0" fontId="13" fillId="0" borderId="85" xfId="5" applyFont="1" applyBorder="1" applyAlignment="1">
      <alignment vertical="top" wrapText="1"/>
    </xf>
    <xf numFmtId="0" fontId="40" fillId="0" borderId="43" xfId="4" applyFont="1" applyBorder="1" applyAlignment="1">
      <alignment horizontal="left" vertical="top" wrapText="1"/>
    </xf>
    <xf numFmtId="0" fontId="40" fillId="0" borderId="83" xfId="5" applyFont="1" applyBorder="1" applyAlignment="1">
      <alignment vertical="top" wrapText="1"/>
    </xf>
    <xf numFmtId="0" fontId="13" fillId="0" borderId="84" xfId="5" applyFont="1" applyBorder="1" applyAlignment="1">
      <alignment vertical="top" wrapText="1"/>
    </xf>
    <xf numFmtId="0" fontId="48" fillId="0" borderId="3" xfId="4" applyFont="1" applyBorder="1" applyAlignment="1">
      <alignment horizontal="left" vertical="top" wrapText="1"/>
    </xf>
    <xf numFmtId="0" fontId="13" fillId="0" borderId="12" xfId="5" applyFont="1" applyBorder="1" applyAlignment="1">
      <alignment vertical="top" wrapText="1"/>
    </xf>
    <xf numFmtId="0" fontId="40" fillId="0" borderId="58" xfId="4" applyFont="1" applyBorder="1" applyAlignment="1">
      <alignment horizontal="left" vertical="top" wrapText="1"/>
    </xf>
    <xf numFmtId="0" fontId="13" fillId="0" borderId="89" xfId="5" applyFont="1" applyBorder="1" applyAlignment="1">
      <alignment vertical="top" wrapText="1"/>
    </xf>
    <xf numFmtId="0" fontId="39" fillId="0" borderId="13" xfId="4" applyFont="1" applyBorder="1" applyAlignment="1">
      <alignment horizontal="left" vertical="top" wrapText="1"/>
    </xf>
    <xf numFmtId="0" fontId="40" fillId="0" borderId="43" xfId="0" applyFont="1" applyBorder="1" applyAlignment="1">
      <alignment vertical="top"/>
    </xf>
    <xf numFmtId="0" fontId="40" fillId="0" borderId="43" xfId="0" applyFont="1" applyBorder="1" applyAlignment="1">
      <alignment vertical="top" wrapText="1"/>
    </xf>
    <xf numFmtId="0" fontId="39" fillId="0" borderId="58" xfId="0" applyFont="1" applyBorder="1" applyAlignment="1">
      <alignment vertical="top"/>
    </xf>
    <xf numFmtId="0" fontId="40" fillId="0" borderId="84" xfId="4" applyFont="1" applyBorder="1" applyAlignment="1">
      <alignment horizontal="left" vertical="top" wrapText="1"/>
    </xf>
    <xf numFmtId="0" fontId="13" fillId="0" borderId="41" xfId="0" applyFont="1" applyBorder="1" applyAlignment="1">
      <alignment vertical="top"/>
    </xf>
    <xf numFmtId="0" fontId="39" fillId="0" borderId="89" xfId="4" applyFont="1" applyBorder="1" applyAlignment="1">
      <alignment horizontal="left" vertical="top" wrapText="1"/>
    </xf>
    <xf numFmtId="0" fontId="39" fillId="0" borderId="3" xfId="0" applyFont="1" applyBorder="1" applyAlignment="1">
      <alignment vertical="top"/>
    </xf>
    <xf numFmtId="0" fontId="40" fillId="0" borderId="59" xfId="0" applyFont="1" applyBorder="1" applyAlignment="1">
      <alignment vertical="top"/>
    </xf>
    <xf numFmtId="0" fontId="13" fillId="0" borderId="59" xfId="0" applyFont="1" applyBorder="1" applyAlignment="1">
      <alignment horizontal="left" vertical="top" wrapText="1"/>
    </xf>
    <xf numFmtId="0" fontId="40" fillId="0" borderId="59" xfId="0" applyFont="1" applyBorder="1" applyAlignment="1">
      <alignment horizontal="left" vertical="top"/>
    </xf>
    <xf numFmtId="0" fontId="13" fillId="0" borderId="43" xfId="0" applyFont="1" applyBorder="1" applyAlignment="1">
      <alignment horizontal="center" vertical="center"/>
    </xf>
    <xf numFmtId="0" fontId="39" fillId="0" borderId="58" xfId="0" applyFont="1" applyBorder="1" applyAlignment="1">
      <alignment horizontal="left" vertical="top"/>
    </xf>
    <xf numFmtId="0" fontId="39" fillId="0" borderId="3" xfId="0" applyFont="1" applyBorder="1" applyAlignment="1">
      <alignment horizontal="left" vertical="top"/>
    </xf>
    <xf numFmtId="0" fontId="13" fillId="0" borderId="43" xfId="0" quotePrefix="1" applyFont="1" applyBorder="1" applyAlignment="1">
      <alignment horizontal="center" vertical="center"/>
    </xf>
    <xf numFmtId="0" fontId="39" fillId="0" borderId="3" xfId="0" applyFont="1" applyBorder="1" applyAlignment="1">
      <alignment horizontal="left" vertical="top" wrapText="1"/>
    </xf>
    <xf numFmtId="0" fontId="13" fillId="0" borderId="59" xfId="0" applyFont="1" applyBorder="1" applyAlignment="1">
      <alignment horizontal="left" vertical="top"/>
    </xf>
    <xf numFmtId="0" fontId="47" fillId="7" borderId="27" xfId="0" applyFont="1" applyFill="1" applyBorder="1" applyAlignment="1">
      <alignment horizontal="left" vertical="top" wrapText="1"/>
    </xf>
    <xf numFmtId="0" fontId="20" fillId="0" borderId="58" xfId="0" applyFont="1" applyBorder="1" applyAlignment="1">
      <alignment horizontal="left" vertical="top" wrapText="1"/>
    </xf>
    <xf numFmtId="0" fontId="40" fillId="0" borderId="86" xfId="0" applyFont="1" applyBorder="1" applyAlignment="1">
      <alignment vertical="top" wrapText="1"/>
    </xf>
    <xf numFmtId="0" fontId="13" fillId="16" borderId="59" xfId="0" applyFont="1" applyFill="1" applyBorder="1" applyAlignment="1">
      <alignment vertical="top" wrapText="1"/>
    </xf>
    <xf numFmtId="0" fontId="39" fillId="16" borderId="0" xfId="0" applyFont="1" applyFill="1" applyAlignment="1">
      <alignment vertical="top" wrapText="1"/>
    </xf>
    <xf numFmtId="0" fontId="39" fillId="16" borderId="89" xfId="0" applyFont="1" applyFill="1" applyBorder="1" applyAlignment="1">
      <alignment vertical="top" wrapText="1"/>
    </xf>
    <xf numFmtId="0" fontId="50" fillId="0" borderId="0" xfId="0" applyFont="1"/>
    <xf numFmtId="0" fontId="51" fillId="0" borderId="0" xfId="0" applyFont="1"/>
    <xf numFmtId="0" fontId="18" fillId="0" borderId="0" xfId="0" applyFont="1"/>
    <xf numFmtId="0" fontId="5" fillId="10" borderId="85" xfId="0" applyFont="1" applyFill="1" applyBorder="1"/>
    <xf numFmtId="0" fontId="5" fillId="0" borderId="29" xfId="0" applyFont="1" applyBorder="1"/>
    <xf numFmtId="0" fontId="5" fillId="0" borderId="29" xfId="0" applyFont="1" applyBorder="1" applyAlignment="1">
      <alignment horizontal="left" vertical="center" wrapText="1"/>
    </xf>
    <xf numFmtId="0" fontId="5" fillId="0" borderId="29" xfId="0" applyFont="1" applyBorder="1" applyAlignment="1">
      <alignment horizontal="center" vertical="center" wrapText="1"/>
    </xf>
    <xf numFmtId="0" fontId="5" fillId="0" borderId="29" xfId="0" applyFont="1" applyBorder="1" applyAlignment="1">
      <alignment wrapText="1"/>
    </xf>
    <xf numFmtId="0" fontId="5" fillId="19" borderId="43" xfId="0" applyFont="1" applyFill="1" applyBorder="1" applyAlignment="1">
      <alignment horizontal="center" vertical="center"/>
    </xf>
    <xf numFmtId="0" fontId="5" fillId="19" borderId="43" xfId="0" applyFont="1" applyFill="1" applyBorder="1" applyAlignment="1">
      <alignment horizontal="center" vertical="center" wrapText="1"/>
    </xf>
    <xf numFmtId="0" fontId="5" fillId="0" borderId="43" xfId="0" applyFont="1" applyBorder="1" applyAlignment="1">
      <alignment wrapText="1"/>
    </xf>
    <xf numFmtId="0" fontId="5" fillId="0" borderId="0" xfId="0" applyFont="1" applyAlignment="1">
      <alignment horizontal="center" vertical="center" wrapText="1"/>
    </xf>
    <xf numFmtId="0" fontId="0" fillId="10" borderId="0" xfId="0" applyFill="1" applyAlignment="1">
      <alignment horizontal="center" vertical="center"/>
    </xf>
    <xf numFmtId="0" fontId="5" fillId="10" borderId="85" xfId="0" applyFont="1" applyFill="1" applyBorder="1" applyAlignment="1">
      <alignment horizontal="center" vertical="center"/>
    </xf>
    <xf numFmtId="0" fontId="5" fillId="10" borderId="85" xfId="0" applyFont="1" applyFill="1" applyBorder="1" applyAlignment="1">
      <alignment horizontal="center" vertical="center" wrapText="1"/>
    </xf>
    <xf numFmtId="0" fontId="5" fillId="20" borderId="43" xfId="0" applyFont="1" applyFill="1" applyBorder="1" applyAlignment="1">
      <alignment horizontal="center" vertical="center"/>
    </xf>
    <xf numFmtId="0" fontId="5" fillId="4" borderId="43" xfId="0" applyFont="1" applyFill="1" applyBorder="1" applyAlignment="1">
      <alignment horizontal="center" vertical="center"/>
    </xf>
    <xf numFmtId="0" fontId="5" fillId="0" borderId="43" xfId="0" applyFont="1" applyBorder="1" applyAlignment="1">
      <alignment horizontal="center" vertical="center"/>
    </xf>
    <xf numFmtId="0" fontId="18" fillId="19" borderId="0" xfId="0" applyFont="1" applyFill="1" applyAlignment="1">
      <alignment horizontal="center" vertical="center"/>
    </xf>
    <xf numFmtId="0" fontId="5" fillId="19" borderId="0" xfId="0" applyFont="1" applyFill="1" applyAlignment="1">
      <alignment wrapText="1"/>
    </xf>
    <xf numFmtId="0" fontId="5" fillId="19" borderId="0" xfId="0" applyFont="1" applyFill="1" applyAlignment="1">
      <alignment horizontal="center" vertical="center"/>
    </xf>
    <xf numFmtId="0" fontId="5" fillId="2" borderId="43" xfId="0" applyFont="1" applyFill="1" applyBorder="1" applyAlignment="1">
      <alignment horizontal="center" vertical="center"/>
    </xf>
    <xf numFmtId="0" fontId="5" fillId="10" borderId="1" xfId="0" applyFont="1" applyFill="1" applyBorder="1" applyAlignment="1">
      <alignment horizontal="center"/>
    </xf>
    <xf numFmtId="0" fontId="0" fillId="10" borderId="1" xfId="0" applyFill="1" applyBorder="1" applyAlignment="1">
      <alignment horizontal="center"/>
    </xf>
    <xf numFmtId="0" fontId="36" fillId="11" borderId="2" xfId="0" applyFont="1" applyFill="1" applyBorder="1" applyAlignment="1">
      <alignment horizontal="center" vertical="center" wrapText="1"/>
    </xf>
    <xf numFmtId="0" fontId="36" fillId="11" borderId="5" xfId="0" applyFont="1" applyFill="1" applyBorder="1" applyAlignment="1">
      <alignment horizontal="center" vertical="center" wrapText="1"/>
    </xf>
    <xf numFmtId="0" fontId="37" fillId="6" borderId="14" xfId="0" applyFont="1" applyFill="1" applyBorder="1" applyAlignment="1">
      <alignment horizontal="center" vertical="center"/>
    </xf>
    <xf numFmtId="0" fontId="37" fillId="6" borderId="15" xfId="0" applyFont="1" applyFill="1" applyBorder="1" applyAlignment="1">
      <alignment horizontal="center" vertical="center"/>
    </xf>
  </cellXfs>
  <cellStyles count="8">
    <cellStyle name="Application" xfId="1" xr:uid="{00000000-0005-0000-0000-000000000000}"/>
    <cellStyle name="Application Area" xfId="2" xr:uid="{00000000-0005-0000-0000-000001000000}"/>
    <cellStyle name="Header1" xfId="3" xr:uid="{00000000-0005-0000-0000-000002000000}"/>
    <cellStyle name="標準" xfId="0" builtinId="0"/>
    <cellStyle name="標準 4" xfId="6" xr:uid="{12499139-3F33-44B4-97DC-41DEA2971C44}"/>
    <cellStyle name="標準 5" xfId="5" xr:uid="{F0983E4C-AE51-452B-AF7E-C2EC3B75B88F}"/>
    <cellStyle name="標準 7 3" xfId="4" xr:uid="{09A2BE43-EF04-4223-9D1E-B24AB72F5E6A}"/>
    <cellStyle name="標準_Bessi_1_final_2購買管理draft1" xfId="7" xr:uid="{69489EAD-FEE5-41DA-8C18-471C67038094}"/>
  </cellStyles>
  <dxfs count="34">
    <dxf>
      <fill>
        <patternFill>
          <bgColor theme="6"/>
        </patternFill>
      </fill>
    </dxf>
    <dxf>
      <fill>
        <patternFill>
          <bgColor theme="6"/>
        </patternFill>
      </fill>
    </dxf>
    <dxf>
      <fill>
        <patternFill>
          <bgColor theme="6"/>
        </patternFill>
      </fill>
    </dxf>
    <dxf>
      <font>
        <b val="0"/>
        <i val="0"/>
        <strike val="0"/>
        <condense val="0"/>
        <extend val="0"/>
        <outline val="0"/>
        <shadow val="0"/>
        <u val="none"/>
        <vertAlign val="baseline"/>
        <sz val="9"/>
        <color auto="1"/>
        <name val="メイリオ"/>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メイリオ"/>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メイリオ"/>
        <scheme val="none"/>
      </font>
      <numFmt numFmtId="0" formatCode="General"/>
      <alignment textRotation="0" wrapTex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メイリオ"/>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family val="3"/>
        <charset val="128"/>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auto="1"/>
        <name val="メイリオ"/>
        <family val="3"/>
        <charset val="128"/>
        <scheme val="none"/>
      </font>
      <numFmt numFmtId="0" formatCode="General"/>
      <alignment horizontal="center" vertical="center" textRotation="0" indent="0" justifyLastLine="0" shrinkToFit="0" readingOrder="0"/>
    </dxf>
    <dxf>
      <font>
        <b val="0"/>
        <i val="0"/>
        <strike val="0"/>
        <condense val="0"/>
        <extend val="0"/>
        <outline val="0"/>
        <shadow val="0"/>
        <u val="none"/>
        <vertAlign val="baseline"/>
        <sz val="9"/>
        <color auto="1"/>
        <name val="メイリオ"/>
        <scheme val="none"/>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auto="1"/>
        <name val="メイリオ"/>
        <scheme val="none"/>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auto="1"/>
        <name val="メイリオ"/>
        <scheme val="none"/>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メイリオ"/>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メイリオ"/>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メイリオ"/>
        <scheme val="none"/>
      </font>
    </dxf>
    <dxf>
      <border outline="0">
        <bottom style="thin">
          <color indexed="64"/>
        </bottom>
      </border>
    </dxf>
    <dxf>
      <font>
        <b val="0"/>
        <i val="0"/>
        <strike val="0"/>
        <condense val="0"/>
        <extend val="0"/>
        <outline val="0"/>
        <shadow val="0"/>
        <u val="none"/>
        <vertAlign val="baseline"/>
        <sz val="9"/>
        <color auto="1"/>
        <name val="メイリオ"/>
        <scheme val="none"/>
      </font>
      <fill>
        <patternFill patternType="solid">
          <fgColor indexed="64"/>
          <bgColor theme="7" tint="0.59999389629810485"/>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CCFF"/>
      <color rgb="FFFF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1" displayName="テーブル1" ref="D4:AC452" totalsRowShown="0" headerRowDxfId="33" dataDxfId="31" headerRowBorderDxfId="32" tableBorderDxfId="30" totalsRowBorderDxfId="29">
  <autoFilter ref="D4:AC452" xr:uid="{00000000-000C-0000-FFFF-FFFF00000000}"/>
  <tableColumns count="26">
    <tableColumn id="1" xr3:uid="{00000000-0010-0000-0000-000001000000}" name="No." dataDxfId="28"/>
    <tableColumn id="2" xr3:uid="{00000000-0010-0000-0000-000002000000}" name="要求事項" dataDxfId="27"/>
    <tableColumn id="3" xr3:uid="{00000000-0010-0000-0000-000003000000}" name="現行業務" dataDxfId="26"/>
    <tableColumn id="10" xr3:uid="{00000000-0010-0000-0000-00000A000000}" name="業務要件回答表からの事前回答案_v1.0.xlsxより" dataDxfId="25"/>
    <tableColumn id="6" xr3:uid="{00000000-0010-0000-0000-000006000000}" name="要求者" dataDxfId="24"/>
    <tableColumn id="4" xr3:uid="{00000000-0010-0000-0000-000004000000}" name="優先度" dataDxfId="23"/>
    <tableColumn id="5" xr3:uid="{00000000-0010-0000-0000-000005000000}" name="対象部門" dataDxfId="22"/>
    <tableColumn id="18" xr3:uid="{00000000-0010-0000-0000-000012000000}" name="確認先" dataDxfId="21"/>
    <tableColumn id="7" xr3:uid="{00000000-0010-0000-0000-000007000000}" name="確認事項" dataDxfId="20"/>
    <tableColumn id="8" xr3:uid="{00000000-0010-0000-0000-000008000000}" name="回答" dataDxfId="19"/>
    <tableColumn id="9" xr3:uid="{00000000-0010-0000-0000-000009000000}" name="関連Req" dataDxfId="18"/>
    <tableColumn id="11" xr3:uid="{00000000-0010-0000-0000-00000B000000}" name="対象システム" dataDxfId="17"/>
    <tableColumn id="17" xr3:uid="{00000000-0010-0000-0000-000011000000}" name="ファイル名" dataDxfId="16"/>
    <tableColumn id="12" xr3:uid="{00000000-0010-0000-0000-00000C000000}" name="対象業務フロー" dataDxfId="15"/>
    <tableColumn id="13" xr3:uid="{00000000-0010-0000-0000-00000D000000}" name="開発" dataDxfId="14"/>
    <tableColumn id="14" xr3:uid="{00000000-0010-0000-0000-00000E000000}" name="実現案" dataDxfId="13"/>
    <tableColumn id="15" xr3:uid="{00000000-0010-0000-0000-00000F000000}" name="スコープ" dataDxfId="12"/>
    <tableColumn id="16" xr3:uid="{00000000-0010-0000-0000-000010000000}" name="備考" dataDxfId="11"/>
    <tableColumn id="19" xr3:uid="{29B8019D-C6D8-42EC-9E6D-1B0AB3F16598}" name="審査対象" dataDxfId="10"/>
    <tableColumn id="20" xr3:uid="{3B3346BC-E88E-4EB3-A733-67C65ACA14A3}" name="コメント" dataDxfId="9"/>
    <tableColumn id="24" xr3:uid="{7770740A-1B04-486E-AE88-E7D8935084C4}" name="列1" dataDxfId="8">
      <calculatedColumnFormula>テーブル1[[#This Row],[開発]]&amp;テーブル1[[#This Row],[スコープ]]</calculatedColumnFormula>
    </tableColumn>
    <tableColumn id="25" xr3:uid="{D849A97B-F92B-49ED-974D-B9C81BB622EC}" name="要求事項一覧_x000a_判定" dataDxfId="7">
      <calculatedColumnFormula>IF(テーブル1[[#This Row],[列1]]="不要IN","標準",IF(テーブル1[[#This Row],[列1]]="不要OUT","スコープアウト",IF(テーブル1[[#This Row],[列1]]="必要IN","アドオン",IF(テーブル1[[#This Row],[列1]]="OUT","スコープアウト",""))))</calculatedColumnFormula>
    </tableColumn>
    <tableColumn id="21" xr3:uid="{5B0D5CFB-7B5F-45AD-922F-41AA643C6D18}" name="システム対応可否" dataDxfId="6">
      <calculatedColumnFormula>VLOOKUP($B5,Sheet1!$C$2:$L$315,9,)</calculatedColumnFormula>
    </tableColumn>
    <tableColumn id="22" xr3:uid="{E1F683DD-37E3-445E-8FB0-2D81196E0062}" name="会計システム標準機能以外の場合、実現方法詳細" dataDxfId="5">
      <calculatedColumnFormula>VLOOKUP($B5,Sheet1!$C$2:$L$315,10,)</calculatedColumnFormula>
    </tableColumn>
    <tableColumn id="26" xr3:uid="{2F1FC42C-03D6-4AE3-ABA2-529680786491}" name="列2" dataDxfId="4"/>
    <tableColumn id="27" xr3:uid="{D3DACAB9-F0D8-4AC0-B127-CF437F00E994}" name="列3" dataDxfId="3">
      <calculatedColumnFormula>テーブル1[[#This Row],[要求事項一覧
判定]]=テーブル1[[#This Row],[列2]]</calculatedColumnFormula>
    </tableColumn>
  </tableColumns>
  <tableStyleInfo showFirstColumn="0" showLastColumn="0"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452"/>
  <sheetViews>
    <sheetView showGridLines="0" topLeftCell="B1" zoomScale="80" zoomScaleNormal="80" workbookViewId="0">
      <pane xSplit="5" ySplit="4" topLeftCell="N112" activePane="bottomRight" state="frozen"/>
      <selection pane="topRight" activeCell="E1" sqref="E1"/>
      <selection pane="bottomLeft" activeCell="A6" sqref="A6"/>
      <selection pane="bottomRight" activeCell="S118" sqref="S118"/>
    </sheetView>
  </sheetViews>
  <sheetFormatPr defaultColWidth="9.1796875" defaultRowHeight="15"/>
  <cols>
    <col min="1" max="1" width="19.26953125" style="1" hidden="1" customWidth="1"/>
    <col min="2" max="2" width="19.26953125" style="1" customWidth="1"/>
    <col min="3" max="3" width="2.81640625" style="1" customWidth="1"/>
    <col min="4" max="4" width="9.1796875" style="1"/>
    <col min="5" max="5" width="42.1796875" style="1" customWidth="1"/>
    <col min="6" max="6" width="42.1796875" style="19" customWidth="1"/>
    <col min="7" max="7" width="11.81640625" style="27" customWidth="1"/>
    <col min="8" max="8" width="14.54296875" style="16" hidden="1" customWidth="1"/>
    <col min="9" max="9" width="10.81640625" style="16" hidden="1" customWidth="1"/>
    <col min="10" max="10" width="12.453125" style="22" bestFit="1" customWidth="1"/>
    <col min="11" max="11" width="12.453125" style="22" customWidth="1"/>
    <col min="12" max="12" width="41.26953125" style="38" customWidth="1"/>
    <col min="13" max="13" width="42.7265625" style="31" customWidth="1"/>
    <col min="14" max="14" width="9.81640625" style="1" bestFit="1" customWidth="1"/>
    <col min="15" max="15" width="13.453125" style="1" bestFit="1" customWidth="1"/>
    <col min="16" max="16" width="13.453125" style="1" customWidth="1"/>
    <col min="17" max="17" width="24.26953125" style="1" customWidth="1"/>
    <col min="18" max="18" width="6.81640625" style="1" bestFit="1" customWidth="1"/>
    <col min="19" max="19" width="42.453125" style="32" customWidth="1"/>
    <col min="20" max="20" width="10.1796875" style="41" bestFit="1" customWidth="1"/>
    <col min="21" max="21" width="39.1796875" style="85" customWidth="1"/>
    <col min="22" max="22" width="11.1796875" style="1" customWidth="1"/>
    <col min="23" max="23" width="32.1796875" style="1" customWidth="1"/>
    <col min="24" max="25" width="11.54296875" style="41" customWidth="1"/>
    <col min="26" max="26" width="22" style="41" customWidth="1"/>
    <col min="27" max="27" width="25.54296875" style="31" customWidth="1"/>
    <col min="28" max="29" width="9.1796875" style="41"/>
    <col min="30" max="16384" width="9.1796875" style="1"/>
  </cols>
  <sheetData>
    <row r="1" spans="1:29" ht="17.5">
      <c r="C1" s="3" t="s">
        <v>0</v>
      </c>
      <c r="L1" s="31"/>
      <c r="O1" s="53"/>
      <c r="P1" s="53"/>
    </row>
    <row r="2" spans="1:29" ht="17.5">
      <c r="C2" s="3"/>
      <c r="D2" s="1" t="s">
        <v>1</v>
      </c>
      <c r="G2" s="29" t="s">
        <v>2</v>
      </c>
      <c r="K2" s="29" t="s">
        <v>2</v>
      </c>
      <c r="L2" s="31"/>
      <c r="P2" s="29" t="s">
        <v>2</v>
      </c>
    </row>
    <row r="3" spans="1:29">
      <c r="E3" s="5" t="s">
        <v>3</v>
      </c>
      <c r="F3" s="20"/>
      <c r="G3" s="28"/>
      <c r="H3" s="17"/>
      <c r="I3" s="17"/>
      <c r="J3" s="23"/>
      <c r="K3" s="82"/>
      <c r="L3" s="35" t="s">
        <v>4</v>
      </c>
      <c r="M3" s="36"/>
      <c r="N3" s="6" t="s">
        <v>5</v>
      </c>
      <c r="O3" s="6"/>
      <c r="P3" s="6"/>
      <c r="Q3" s="6"/>
      <c r="R3" s="6"/>
      <c r="S3" s="33"/>
      <c r="T3" s="42" t="s">
        <v>6</v>
      </c>
      <c r="U3" s="86"/>
      <c r="V3" s="352" t="s">
        <v>7</v>
      </c>
      <c r="W3" s="353"/>
      <c r="X3" s="342"/>
      <c r="Y3" s="342"/>
      <c r="Z3" s="348" t="s">
        <v>3200</v>
      </c>
      <c r="AA3" s="349"/>
      <c r="AB3" s="350"/>
    </row>
    <row r="4" spans="1:29" ht="25" customHeight="1">
      <c r="B4" s="332" t="s">
        <v>2865</v>
      </c>
      <c r="D4" s="11" t="s">
        <v>8</v>
      </c>
      <c r="E4" s="12" t="s">
        <v>9</v>
      </c>
      <c r="F4" s="25" t="s">
        <v>10</v>
      </c>
      <c r="G4" s="18" t="s">
        <v>11</v>
      </c>
      <c r="H4" s="14" t="s">
        <v>12</v>
      </c>
      <c r="I4" s="14" t="s">
        <v>13</v>
      </c>
      <c r="J4" s="24" t="s">
        <v>14</v>
      </c>
      <c r="K4" s="24" t="s">
        <v>15</v>
      </c>
      <c r="L4" s="37" t="s">
        <v>16</v>
      </c>
      <c r="M4" s="37" t="s">
        <v>17</v>
      </c>
      <c r="N4" s="13" t="s">
        <v>18</v>
      </c>
      <c r="O4" s="13" t="s">
        <v>19</v>
      </c>
      <c r="P4" s="81" t="s">
        <v>20</v>
      </c>
      <c r="Q4" s="13" t="s">
        <v>21</v>
      </c>
      <c r="R4" s="13" t="s">
        <v>22</v>
      </c>
      <c r="S4" s="34" t="s">
        <v>23</v>
      </c>
      <c r="T4" s="43" t="s">
        <v>24</v>
      </c>
      <c r="U4" s="87" t="s">
        <v>25</v>
      </c>
      <c r="V4" s="103" t="s">
        <v>26</v>
      </c>
      <c r="W4" s="333" t="s">
        <v>27</v>
      </c>
      <c r="X4" s="343" t="s">
        <v>3201</v>
      </c>
      <c r="Y4" s="344" t="s">
        <v>3202</v>
      </c>
      <c r="Z4" s="338" t="s">
        <v>1857</v>
      </c>
      <c r="AA4" s="339" t="s">
        <v>1858</v>
      </c>
      <c r="AB4" s="338" t="s">
        <v>3204</v>
      </c>
      <c r="AC4" s="351" t="s">
        <v>3206</v>
      </c>
    </row>
    <row r="5" spans="1:29" ht="73.5">
      <c r="A5" s="1" t="str">
        <f>テーブル1[[#This Row],[対象部門]]&amp;テーブル1[[#This Row],[業務要件回答表からの事前回答案_v1.0.xlsxより]]</f>
        <v>一般会計全般・決算1.1</v>
      </c>
      <c r="B5" s="1" t="s">
        <v>2866</v>
      </c>
      <c r="D5" s="10" t="s">
        <v>28</v>
      </c>
      <c r="E5" s="26" t="s">
        <v>29</v>
      </c>
      <c r="F5" s="21" t="s">
        <v>30</v>
      </c>
      <c r="G5" s="68" t="s">
        <v>31</v>
      </c>
      <c r="H5" s="44" t="s">
        <v>32</v>
      </c>
      <c r="I5" s="15"/>
      <c r="J5" s="68" t="s">
        <v>33</v>
      </c>
      <c r="K5" s="68" t="s">
        <v>34</v>
      </c>
      <c r="L5" s="26"/>
      <c r="M5" s="26"/>
      <c r="N5" s="44"/>
      <c r="O5" s="44" t="s">
        <v>35</v>
      </c>
      <c r="P5" s="44"/>
      <c r="Q5" s="15" t="s">
        <v>36</v>
      </c>
      <c r="R5" s="15" t="s">
        <v>37</v>
      </c>
      <c r="S5" s="26" t="s">
        <v>38</v>
      </c>
      <c r="T5" s="15" t="s">
        <v>39</v>
      </c>
      <c r="U5" s="91"/>
      <c r="V5" s="94"/>
      <c r="W5" s="334"/>
      <c r="X5" s="41" t="str">
        <f>テーブル1[[#This Row],[開発]]&amp;テーブル1[[#This Row],[スコープ]]</f>
        <v>不要IN</v>
      </c>
      <c r="Y5" s="41" t="str">
        <f>IF(テーブル1[[#This Row],[列1]]="不要IN","標準",IF(テーブル1[[#This Row],[列1]]="不要OUT","スコープアウト",IF(テーブル1[[#This Row],[列1]]="必要IN","アドオン",IF(テーブル1[[#This Row],[列1]]="OUT","スコープアウト",""))))</f>
        <v>標準</v>
      </c>
      <c r="Z5" s="345" t="str">
        <f>VLOOKUP($B5,Sheet1!$C$2:$L$315,9,)</f>
        <v>会計システム標準機能</v>
      </c>
      <c r="AA5" s="340">
        <f>VLOOKUP($B5,Sheet1!$C$2:$L$315,10,)</f>
        <v>0</v>
      </c>
      <c r="AB5" s="347" t="s">
        <v>3203</v>
      </c>
      <c r="AC5" s="347" t="b">
        <f>テーブル1[[#This Row],[要求事項一覧
判定]]=テーブル1[[#This Row],[列2]]</f>
        <v>1</v>
      </c>
    </row>
    <row r="6" spans="1:29" ht="43.5">
      <c r="A6" s="1" t="str">
        <f>テーブル1[[#This Row],[対象部門]]&amp;テーブル1[[#This Row],[業務要件回答表からの事前回答案_v1.0.xlsxより]]</f>
        <v>一般会計全般・決算1.2</v>
      </c>
      <c r="B6" s="1" t="s">
        <v>2867</v>
      </c>
      <c r="D6" s="10" t="s">
        <v>40</v>
      </c>
      <c r="E6" s="26" t="s">
        <v>41</v>
      </c>
      <c r="F6" s="21" t="s">
        <v>42</v>
      </c>
      <c r="G6" s="68" t="s">
        <v>43</v>
      </c>
      <c r="H6" s="44" t="s">
        <v>32</v>
      </c>
      <c r="I6" s="15"/>
      <c r="J6" s="68" t="s">
        <v>33</v>
      </c>
      <c r="K6" s="68" t="s">
        <v>44</v>
      </c>
      <c r="L6" s="26"/>
      <c r="M6" s="26"/>
      <c r="N6" s="44"/>
      <c r="O6" s="44" t="s">
        <v>35</v>
      </c>
      <c r="P6" s="44"/>
      <c r="Q6" s="15" t="s">
        <v>36</v>
      </c>
      <c r="R6" s="15" t="s">
        <v>37</v>
      </c>
      <c r="S6" s="26" t="s">
        <v>45</v>
      </c>
      <c r="T6" s="15" t="s">
        <v>39</v>
      </c>
      <c r="U6" s="91"/>
      <c r="V6" s="94"/>
      <c r="W6" s="334"/>
      <c r="X6" s="41" t="str">
        <f>テーブル1[[#This Row],[開発]]&amp;テーブル1[[#This Row],[スコープ]]</f>
        <v>不要IN</v>
      </c>
      <c r="Y6" s="41" t="str">
        <f>IF(テーブル1[[#This Row],[列1]]="不要IN","標準",IF(テーブル1[[#This Row],[列1]]="不要OUT","スコープアウト",IF(テーブル1[[#This Row],[列1]]="必要IN","アドオン",IF(テーブル1[[#This Row],[列1]]="OUT","スコープアウト",""))))</f>
        <v>標準</v>
      </c>
      <c r="Z6" s="345" t="str">
        <f>VLOOKUP($B6,Sheet1!$C$2:$L$315,9,)</f>
        <v>会計システム標準機能</v>
      </c>
      <c r="AA6" s="340">
        <f>VLOOKUP($B6,Sheet1!$C$2:$L$315,10,)</f>
        <v>0</v>
      </c>
      <c r="AB6" s="347" t="s">
        <v>3203</v>
      </c>
      <c r="AC6" s="347" t="b">
        <f>テーブル1[[#This Row],[要求事項一覧
判定]]=テーブル1[[#This Row],[列2]]</f>
        <v>1</v>
      </c>
    </row>
    <row r="7" spans="1:29" ht="145">
      <c r="A7" s="1" t="str">
        <f>テーブル1[[#This Row],[対象部門]]&amp;テーブル1[[#This Row],[業務要件回答表からの事前回答案_v1.0.xlsxより]]</f>
        <v>一般会計全般・決算1.3</v>
      </c>
      <c r="B7" s="1" t="s">
        <v>2868</v>
      </c>
      <c r="C7" s="1" t="s">
        <v>46</v>
      </c>
      <c r="D7" s="10" t="s">
        <v>47</v>
      </c>
      <c r="E7" s="26" t="s">
        <v>48</v>
      </c>
      <c r="F7" s="21" t="s">
        <v>49</v>
      </c>
      <c r="G7" s="68" t="s">
        <v>50</v>
      </c>
      <c r="H7" s="44" t="s">
        <v>32</v>
      </c>
      <c r="I7" s="15"/>
      <c r="J7" s="68" t="s">
        <v>33</v>
      </c>
      <c r="K7" s="68" t="s">
        <v>51</v>
      </c>
      <c r="L7" s="26" t="s">
        <v>52</v>
      </c>
      <c r="M7" s="26" t="s">
        <v>53</v>
      </c>
      <c r="N7" s="44"/>
      <c r="O7" s="44" t="s">
        <v>35</v>
      </c>
      <c r="P7" s="44"/>
      <c r="Q7" s="15" t="s">
        <v>36</v>
      </c>
      <c r="R7" s="15" t="s">
        <v>54</v>
      </c>
      <c r="S7" s="26" t="s">
        <v>55</v>
      </c>
      <c r="T7" s="15" t="s">
        <v>39</v>
      </c>
      <c r="U7" s="91"/>
      <c r="V7" s="95" t="s">
        <v>56</v>
      </c>
      <c r="W7" s="335" t="s">
        <v>57</v>
      </c>
      <c r="X7" s="341" t="str">
        <f>テーブル1[[#This Row],[開発]]&amp;テーブル1[[#This Row],[スコープ]]</f>
        <v>必要IN</v>
      </c>
      <c r="Y7" s="41" t="str">
        <f>IF(テーブル1[[#This Row],[列1]]="不要IN","標準",IF(テーブル1[[#This Row],[列1]]="不要OUT","スコープアウト",IF(テーブル1[[#This Row],[列1]]="必要IN","アドオン",IF(テーブル1[[#This Row],[列1]]="OUT","スコープアウト",""))))</f>
        <v>アドオン</v>
      </c>
      <c r="Z7" s="345" t="str">
        <f>VLOOKUP($B7,Sheet1!$C$2:$L$315,9,)</f>
        <v>会計システム標準機能</v>
      </c>
      <c r="AA7" s="340">
        <f>VLOOKUP($B7,Sheet1!$C$2:$L$315,10,)</f>
        <v>0</v>
      </c>
      <c r="AB7" s="347" t="s">
        <v>3203</v>
      </c>
      <c r="AC7" s="347" t="b">
        <f>テーブル1[[#This Row],[要求事項一覧
判定]]=テーブル1[[#This Row],[列2]]</f>
        <v>0</v>
      </c>
    </row>
    <row r="8" spans="1:29" ht="101.5">
      <c r="A8" s="1" t="str">
        <f>テーブル1[[#This Row],[対象部門]]&amp;テーブル1[[#This Row],[業務要件回答表からの事前回答案_v1.0.xlsxより]]</f>
        <v>一般会計全般・決算1.4</v>
      </c>
      <c r="B8" s="1" t="s">
        <v>2869</v>
      </c>
      <c r="C8" s="1" t="s">
        <v>46</v>
      </c>
      <c r="D8" s="10" t="s">
        <v>58</v>
      </c>
      <c r="E8" s="26" t="s">
        <v>59</v>
      </c>
      <c r="F8" s="21" t="s">
        <v>60</v>
      </c>
      <c r="G8" s="68" t="s">
        <v>61</v>
      </c>
      <c r="H8" s="44" t="s">
        <v>32</v>
      </c>
      <c r="I8" s="15"/>
      <c r="J8" s="68" t="s">
        <v>33</v>
      </c>
      <c r="K8" s="68" t="s">
        <v>34</v>
      </c>
      <c r="L8" s="26"/>
      <c r="M8" s="26"/>
      <c r="N8" s="44"/>
      <c r="O8" s="44" t="s">
        <v>35</v>
      </c>
      <c r="P8" s="44"/>
      <c r="Q8" s="15" t="s">
        <v>36</v>
      </c>
      <c r="R8" s="15" t="s">
        <v>37</v>
      </c>
      <c r="S8" s="26" t="s">
        <v>62</v>
      </c>
      <c r="T8" s="15" t="s">
        <v>39</v>
      </c>
      <c r="U8" s="91"/>
      <c r="V8" s="94"/>
      <c r="W8" s="334"/>
      <c r="X8" s="41" t="str">
        <f>テーブル1[[#This Row],[開発]]&amp;テーブル1[[#This Row],[スコープ]]</f>
        <v>不要IN</v>
      </c>
      <c r="Y8" s="41" t="str">
        <f>IF(テーブル1[[#This Row],[列1]]="不要IN","標準",IF(テーブル1[[#This Row],[列1]]="不要OUT","スコープアウト",IF(テーブル1[[#This Row],[列1]]="必要IN","アドオン",IF(テーブル1[[#This Row],[列1]]="OUT","スコープアウト",""))))</f>
        <v>標準</v>
      </c>
      <c r="Z8" s="345" t="str">
        <f>VLOOKUP($B8,Sheet1!$C$2:$L$315,9,)</f>
        <v>会計システム標準機能</v>
      </c>
      <c r="AA8" s="340">
        <f>VLOOKUP($B8,Sheet1!$C$2:$L$315,10,)</f>
        <v>0</v>
      </c>
      <c r="AB8" s="347" t="s">
        <v>3203</v>
      </c>
      <c r="AC8" s="347" t="b">
        <f>テーブル1[[#This Row],[要求事項一覧
判定]]=テーブル1[[#This Row],[列2]]</f>
        <v>1</v>
      </c>
    </row>
    <row r="9" spans="1:29" ht="29">
      <c r="A9" s="1" t="str">
        <f>テーブル1[[#This Row],[対象部門]]&amp;テーブル1[[#This Row],[業務要件回答表からの事前回答案_v1.0.xlsxより]]</f>
        <v>一般会計全般・決算1.5</v>
      </c>
      <c r="B9" s="1" t="s">
        <v>2870</v>
      </c>
      <c r="C9" s="1" t="s">
        <v>46</v>
      </c>
      <c r="D9" s="10" t="s">
        <v>63</v>
      </c>
      <c r="E9" s="26" t="s">
        <v>64</v>
      </c>
      <c r="F9" s="21" t="s">
        <v>65</v>
      </c>
      <c r="G9" s="68" t="s">
        <v>66</v>
      </c>
      <c r="H9" s="44" t="s">
        <v>32</v>
      </c>
      <c r="I9" s="15"/>
      <c r="J9" s="68" t="s">
        <v>33</v>
      </c>
      <c r="K9" s="68" t="s">
        <v>67</v>
      </c>
      <c r="L9" s="26"/>
      <c r="M9" s="26" t="s">
        <v>68</v>
      </c>
      <c r="N9" s="44"/>
      <c r="O9" s="44" t="s">
        <v>35</v>
      </c>
      <c r="P9" s="44"/>
      <c r="Q9" s="15" t="s">
        <v>36</v>
      </c>
      <c r="R9" s="15" t="s">
        <v>37</v>
      </c>
      <c r="S9" s="26" t="s">
        <v>69</v>
      </c>
      <c r="T9" s="15" t="s">
        <v>39</v>
      </c>
      <c r="U9" s="91"/>
      <c r="V9" s="94"/>
      <c r="W9" s="334"/>
      <c r="X9" s="41" t="str">
        <f>テーブル1[[#This Row],[開発]]&amp;テーブル1[[#This Row],[スコープ]]</f>
        <v>不要IN</v>
      </c>
      <c r="Y9" s="41" t="str">
        <f>IF(テーブル1[[#This Row],[列1]]="不要IN","標準",IF(テーブル1[[#This Row],[列1]]="不要OUT","スコープアウト",IF(テーブル1[[#This Row],[列1]]="必要IN","アドオン",IF(テーブル1[[#This Row],[列1]]="OUT","スコープアウト",""))))</f>
        <v>標準</v>
      </c>
      <c r="Z9" s="345" t="str">
        <f>VLOOKUP($B9,Sheet1!$C$2:$L$315,9,)</f>
        <v>会計システム標準機能</v>
      </c>
      <c r="AA9" s="340">
        <f>VLOOKUP($B9,Sheet1!$C$2:$L$315,10,)</f>
        <v>0</v>
      </c>
      <c r="AB9" s="347" t="s">
        <v>3203</v>
      </c>
      <c r="AC9" s="347" t="b">
        <f>テーブル1[[#This Row],[要求事項一覧
判定]]=テーブル1[[#This Row],[列2]]</f>
        <v>1</v>
      </c>
    </row>
    <row r="10" spans="1:29" ht="87">
      <c r="A10" s="1" t="str">
        <f>テーブル1[[#This Row],[対象部門]]&amp;テーブル1[[#This Row],[業務要件回答表からの事前回答案_v1.0.xlsxより]]</f>
        <v>一般会計全般・決算1.6</v>
      </c>
      <c r="B10" s="1" t="s">
        <v>2871</v>
      </c>
      <c r="C10" s="1" t="s">
        <v>46</v>
      </c>
      <c r="D10" s="10" t="s">
        <v>70</v>
      </c>
      <c r="E10" s="26" t="s">
        <v>71</v>
      </c>
      <c r="F10" s="21" t="s">
        <v>72</v>
      </c>
      <c r="G10" s="68" t="s">
        <v>73</v>
      </c>
      <c r="H10" s="44" t="s">
        <v>32</v>
      </c>
      <c r="I10" s="15"/>
      <c r="J10" s="68" t="s">
        <v>33</v>
      </c>
      <c r="K10" s="68" t="s">
        <v>34</v>
      </c>
      <c r="L10" s="39" t="s">
        <v>74</v>
      </c>
      <c r="M10" s="26" t="s">
        <v>75</v>
      </c>
      <c r="N10" s="44"/>
      <c r="O10" s="44" t="s">
        <v>35</v>
      </c>
      <c r="P10" s="44"/>
      <c r="Q10" s="15" t="s">
        <v>36</v>
      </c>
      <c r="R10" s="15" t="s">
        <v>37</v>
      </c>
      <c r="S10" s="26" t="s">
        <v>76</v>
      </c>
      <c r="T10" s="15" t="s">
        <v>39</v>
      </c>
      <c r="U10" s="91"/>
      <c r="V10" s="95"/>
      <c r="W10" s="335"/>
      <c r="X10" s="341" t="str">
        <f>テーブル1[[#This Row],[開発]]&amp;テーブル1[[#This Row],[スコープ]]</f>
        <v>不要IN</v>
      </c>
      <c r="Y10" s="41" t="str">
        <f>IF(テーブル1[[#This Row],[列1]]="不要IN","標準",IF(テーブル1[[#This Row],[列1]]="不要OUT","スコープアウト",IF(テーブル1[[#This Row],[列1]]="必要IN","アドオン",IF(テーブル1[[#This Row],[列1]]="OUT","スコープアウト",""))))</f>
        <v>標準</v>
      </c>
      <c r="Z10" s="345" t="str">
        <f>VLOOKUP($B10,Sheet1!$C$2:$L$315,9,)</f>
        <v>会計システム標準機能</v>
      </c>
      <c r="AA10" s="340" t="str">
        <f>VLOOKUP($B10,Sheet1!$C$2:$L$315,10,)</f>
        <v>仕訳帳のテンプレート登録にて対応</v>
      </c>
      <c r="AB10" s="347" t="s">
        <v>3203</v>
      </c>
      <c r="AC10" s="347" t="b">
        <f>テーブル1[[#This Row],[要求事項一覧
判定]]=テーブル1[[#This Row],[列2]]</f>
        <v>1</v>
      </c>
    </row>
    <row r="11" spans="1:29" ht="72.5">
      <c r="A11" s="1" t="str">
        <f>テーブル1[[#This Row],[対象部門]]&amp;テーブル1[[#This Row],[業務要件回答表からの事前回答案_v1.0.xlsxより]]</f>
        <v>一般会計全般・決算1.7</v>
      </c>
      <c r="B11" s="1" t="s">
        <v>2872</v>
      </c>
      <c r="D11" s="10" t="s">
        <v>77</v>
      </c>
      <c r="E11" s="26" t="s">
        <v>78</v>
      </c>
      <c r="F11" s="21" t="s">
        <v>79</v>
      </c>
      <c r="G11" s="68" t="s">
        <v>80</v>
      </c>
      <c r="H11" s="44" t="s">
        <v>32</v>
      </c>
      <c r="I11" s="15"/>
      <c r="J11" s="68" t="s">
        <v>33</v>
      </c>
      <c r="K11" s="68" t="s">
        <v>34</v>
      </c>
      <c r="L11" s="26" t="s">
        <v>81</v>
      </c>
      <c r="M11" s="26" t="s">
        <v>82</v>
      </c>
      <c r="N11" s="44"/>
      <c r="O11" s="44" t="s">
        <v>35</v>
      </c>
      <c r="P11" s="44"/>
      <c r="Q11" s="15" t="s">
        <v>36</v>
      </c>
      <c r="R11" s="15" t="s">
        <v>37</v>
      </c>
      <c r="S11" s="26" t="s">
        <v>83</v>
      </c>
      <c r="T11" s="15" t="s">
        <v>39</v>
      </c>
      <c r="U11" s="91"/>
      <c r="V11" s="94"/>
      <c r="W11" s="334"/>
      <c r="X11" s="41" t="str">
        <f>テーブル1[[#This Row],[開発]]&amp;テーブル1[[#This Row],[スコープ]]</f>
        <v>不要IN</v>
      </c>
      <c r="Y11" s="41" t="str">
        <f>IF(テーブル1[[#This Row],[列1]]="不要IN","標準",IF(テーブル1[[#This Row],[列1]]="不要OUT","スコープアウト",IF(テーブル1[[#This Row],[列1]]="必要IN","アドオン",IF(テーブル1[[#This Row],[列1]]="OUT","スコープアウト",""))))</f>
        <v>標準</v>
      </c>
      <c r="Z11" s="346" t="str">
        <f>VLOOKUP($B11,Sheet1!$C$2:$L$315,9,)</f>
        <v>会計システムアドオン</v>
      </c>
      <c r="AA11" s="340" t="str">
        <f>VLOOKUP($B11,Sheet1!$C$2:$L$315,10,)</f>
        <v>未転記の仕訳を選択後、ボタン押下後に転記後の残高を確認できるポップアップ画面を表示する機能を追加する</v>
      </c>
      <c r="AB11" s="347" t="s">
        <v>3205</v>
      </c>
      <c r="AC11" s="347" t="b">
        <f>テーブル1[[#This Row],[要求事項一覧
判定]]=テーブル1[[#This Row],[列2]]</f>
        <v>0</v>
      </c>
    </row>
    <row r="12" spans="1:29" ht="165" customHeight="1">
      <c r="A12" s="1" t="str">
        <f>テーブル1[[#This Row],[対象部門]]&amp;テーブル1[[#This Row],[業務要件回答表からの事前回答案_v1.0.xlsxより]]</f>
        <v>一般会計全般・決算1.8</v>
      </c>
      <c r="B12" s="1" t="s">
        <v>2873</v>
      </c>
      <c r="D12" s="10" t="s">
        <v>84</v>
      </c>
      <c r="E12" s="26" t="s">
        <v>85</v>
      </c>
      <c r="F12" s="21" t="s">
        <v>86</v>
      </c>
      <c r="G12" s="79" t="s">
        <v>87</v>
      </c>
      <c r="H12" s="44" t="s">
        <v>32</v>
      </c>
      <c r="I12" s="15"/>
      <c r="J12" s="68" t="s">
        <v>33</v>
      </c>
      <c r="K12" s="68" t="s">
        <v>51</v>
      </c>
      <c r="L12" s="26" t="s">
        <v>88</v>
      </c>
      <c r="M12" s="26" t="s">
        <v>89</v>
      </c>
      <c r="N12" s="44"/>
      <c r="O12" s="44" t="s">
        <v>35</v>
      </c>
      <c r="P12" s="44"/>
      <c r="Q12" s="15" t="s">
        <v>36</v>
      </c>
      <c r="R12" s="15" t="s">
        <v>37</v>
      </c>
      <c r="S12" s="26" t="s">
        <v>90</v>
      </c>
      <c r="T12" s="15" t="s">
        <v>91</v>
      </c>
      <c r="U12" s="91"/>
      <c r="V12" s="94"/>
      <c r="W12" s="334"/>
      <c r="X12" s="41" t="str">
        <f>テーブル1[[#This Row],[開発]]&amp;テーブル1[[#This Row],[スコープ]]</f>
        <v>不要OUT</v>
      </c>
      <c r="Y12" s="41" t="str">
        <f>IF(テーブル1[[#This Row],[列1]]="不要IN","標準",IF(テーブル1[[#This Row],[列1]]="不要OUT","スコープアウト",IF(テーブル1[[#This Row],[列1]]="必要IN","アドオン",IF(テーブル1[[#This Row],[列1]]="OUT","スコープアウト",""))))</f>
        <v>スコープアウト</v>
      </c>
      <c r="Z12" s="345" t="str">
        <f>VLOOKUP($B12,Sheet1!$C$2:$L$315,9,)</f>
        <v>会計システム標準機能</v>
      </c>
      <c r="AA12" s="340" t="str">
        <f>VLOOKUP($B12,Sheet1!$C$2:$L$315,10,)</f>
        <v>一般仕訳帳のテンプレ機能があります。（配賦のためというわけではない）</v>
      </c>
      <c r="AB12" s="347" t="s">
        <v>3203</v>
      </c>
      <c r="AC12" s="347" t="b">
        <f>テーブル1[[#This Row],[要求事項一覧
判定]]=テーブル1[[#This Row],[列2]]</f>
        <v>0</v>
      </c>
    </row>
    <row r="13" spans="1:29" ht="29">
      <c r="A13" s="1" t="str">
        <f>テーブル1[[#This Row],[対象部門]]&amp;テーブル1[[#This Row],[業務要件回答表からの事前回答案_v1.0.xlsxより]]</f>
        <v>一般会計全般・決算1.9</v>
      </c>
      <c r="B13" s="1" t="s">
        <v>2874</v>
      </c>
      <c r="C13" s="1" t="s">
        <v>46</v>
      </c>
      <c r="D13" s="10" t="s">
        <v>92</v>
      </c>
      <c r="E13" s="26" t="s">
        <v>93</v>
      </c>
      <c r="F13" s="21" t="s">
        <v>94</v>
      </c>
      <c r="G13" s="68" t="s">
        <v>95</v>
      </c>
      <c r="H13" s="44" t="s">
        <v>32</v>
      </c>
      <c r="I13" s="15"/>
      <c r="J13" s="68" t="s">
        <v>33</v>
      </c>
      <c r="K13" s="68" t="s">
        <v>51</v>
      </c>
      <c r="L13" s="26"/>
      <c r="M13" s="26"/>
      <c r="N13" s="44"/>
      <c r="O13" s="44" t="s">
        <v>35</v>
      </c>
      <c r="P13" s="44"/>
      <c r="Q13" s="15" t="s">
        <v>36</v>
      </c>
      <c r="R13" s="15" t="s">
        <v>37</v>
      </c>
      <c r="S13" s="26" t="s">
        <v>96</v>
      </c>
      <c r="T13" s="15" t="s">
        <v>39</v>
      </c>
      <c r="U13" s="91"/>
      <c r="V13" s="94"/>
      <c r="W13" s="334"/>
      <c r="X13" s="41" t="str">
        <f>テーブル1[[#This Row],[開発]]&amp;テーブル1[[#This Row],[スコープ]]</f>
        <v>不要IN</v>
      </c>
      <c r="Y13" s="41" t="str">
        <f>IF(テーブル1[[#This Row],[列1]]="不要IN","標準",IF(テーブル1[[#This Row],[列1]]="不要OUT","スコープアウト",IF(テーブル1[[#This Row],[列1]]="必要IN","アドオン",IF(テーブル1[[#This Row],[列1]]="OUT","スコープアウト",""))))</f>
        <v>標準</v>
      </c>
      <c r="Z13" s="345" t="str">
        <f>VLOOKUP($B13,Sheet1!$C$2:$L$315,9,)</f>
        <v>会計システム標準機能</v>
      </c>
      <c r="AA13" s="340">
        <f>VLOOKUP($B13,Sheet1!$C$2:$L$315,10,)</f>
        <v>0</v>
      </c>
      <c r="AB13" s="347" t="s">
        <v>3203</v>
      </c>
      <c r="AC13" s="347" t="b">
        <f>テーブル1[[#This Row],[要求事項一覧
判定]]=テーブル1[[#This Row],[列2]]</f>
        <v>1</v>
      </c>
    </row>
    <row r="14" spans="1:29" ht="43.5">
      <c r="A14" s="1" t="str">
        <f>テーブル1[[#This Row],[対象部門]]&amp;テーブル1[[#This Row],[業務要件回答表からの事前回答案_v1.0.xlsxより]]</f>
        <v>一般会計全般・決算2.1</v>
      </c>
      <c r="B14" s="1" t="s">
        <v>2875</v>
      </c>
      <c r="C14" s="1" t="s">
        <v>46</v>
      </c>
      <c r="D14" s="10" t="s">
        <v>97</v>
      </c>
      <c r="E14" s="26" t="s">
        <v>98</v>
      </c>
      <c r="F14" s="21" t="s">
        <v>99</v>
      </c>
      <c r="G14" s="68">
        <v>2.1</v>
      </c>
      <c r="H14" s="44" t="s">
        <v>32</v>
      </c>
      <c r="I14" s="15"/>
      <c r="J14" s="68" t="s">
        <v>33</v>
      </c>
      <c r="K14" s="68" t="s">
        <v>34</v>
      </c>
      <c r="L14" s="26"/>
      <c r="M14" s="26"/>
      <c r="N14" s="44"/>
      <c r="O14" s="44" t="s">
        <v>35</v>
      </c>
      <c r="P14" s="44"/>
      <c r="Q14" s="15" t="s">
        <v>36</v>
      </c>
      <c r="R14" s="15" t="s">
        <v>37</v>
      </c>
      <c r="S14" s="26" t="s">
        <v>100</v>
      </c>
      <c r="T14" s="15" t="s">
        <v>39</v>
      </c>
      <c r="U14" s="91"/>
      <c r="V14" s="94"/>
      <c r="W14" s="334"/>
      <c r="X14" s="41" t="str">
        <f>テーブル1[[#This Row],[開発]]&amp;テーブル1[[#This Row],[スコープ]]</f>
        <v>不要IN</v>
      </c>
      <c r="Y14" s="41" t="str">
        <f>IF(テーブル1[[#This Row],[列1]]="不要IN","標準",IF(テーブル1[[#This Row],[列1]]="不要OUT","スコープアウト",IF(テーブル1[[#This Row],[列1]]="必要IN","アドオン",IF(テーブル1[[#This Row],[列1]]="OUT","スコープアウト",""))))</f>
        <v>標準</v>
      </c>
      <c r="Z14" s="345" t="str">
        <f>VLOOKUP($B14,Sheet1!$C$2:$L$315,9,)</f>
        <v>会計システム標準機能</v>
      </c>
      <c r="AA14" s="340">
        <f>VLOOKUP($B14,Sheet1!$C$2:$L$315,10,)</f>
        <v>0</v>
      </c>
      <c r="AB14" s="347" t="s">
        <v>3203</v>
      </c>
      <c r="AC14" s="347" t="b">
        <f>テーブル1[[#This Row],[要求事項一覧
判定]]=テーブル1[[#This Row],[列2]]</f>
        <v>1</v>
      </c>
    </row>
    <row r="15" spans="1:29" ht="43.5">
      <c r="A15" s="1" t="str">
        <f>テーブル1[[#This Row],[対象部門]]&amp;テーブル1[[#This Row],[業務要件回答表からの事前回答案_v1.0.xlsxより]]</f>
        <v>一般会計全般・決算2.2</v>
      </c>
      <c r="B15" s="1" t="s">
        <v>2876</v>
      </c>
      <c r="C15" s="1" t="s">
        <v>46</v>
      </c>
      <c r="D15" s="10" t="s">
        <v>101</v>
      </c>
      <c r="E15" s="26" t="s">
        <v>102</v>
      </c>
      <c r="F15" s="21" t="s">
        <v>103</v>
      </c>
      <c r="G15" s="68">
        <v>2.2000000000000002</v>
      </c>
      <c r="H15" s="44" t="s">
        <v>32</v>
      </c>
      <c r="I15" s="15"/>
      <c r="J15" s="68" t="s">
        <v>33</v>
      </c>
      <c r="K15" s="68" t="s">
        <v>34</v>
      </c>
      <c r="L15" s="26"/>
      <c r="M15" s="26"/>
      <c r="N15" s="44"/>
      <c r="O15" s="44" t="s">
        <v>35</v>
      </c>
      <c r="P15" s="44"/>
      <c r="Q15" s="15" t="s">
        <v>36</v>
      </c>
      <c r="R15" s="15" t="s">
        <v>37</v>
      </c>
      <c r="S15" s="26" t="s">
        <v>104</v>
      </c>
      <c r="T15" s="15" t="s">
        <v>39</v>
      </c>
      <c r="U15" s="91"/>
      <c r="V15" s="94"/>
      <c r="W15" s="334"/>
      <c r="X15" s="41" t="str">
        <f>テーブル1[[#This Row],[開発]]&amp;テーブル1[[#This Row],[スコープ]]</f>
        <v>不要IN</v>
      </c>
      <c r="Y15" s="41" t="str">
        <f>IF(テーブル1[[#This Row],[列1]]="不要IN","標準",IF(テーブル1[[#This Row],[列1]]="不要OUT","スコープアウト",IF(テーブル1[[#This Row],[列1]]="必要IN","アドオン",IF(テーブル1[[#This Row],[列1]]="OUT","スコープアウト",""))))</f>
        <v>標準</v>
      </c>
      <c r="Z15" s="345" t="str">
        <f>VLOOKUP($B15,Sheet1!$C$2:$L$315,9,)</f>
        <v>会計システム標準機能</v>
      </c>
      <c r="AA15" s="340">
        <f>VLOOKUP($B15,Sheet1!$C$2:$L$315,10,)</f>
        <v>0</v>
      </c>
      <c r="AB15" s="347" t="s">
        <v>3203</v>
      </c>
      <c r="AC15" s="347" t="b">
        <f>テーブル1[[#This Row],[要求事項一覧
判定]]=テーブル1[[#This Row],[列2]]</f>
        <v>1</v>
      </c>
    </row>
    <row r="16" spans="1:29" ht="29">
      <c r="A16" s="1" t="str">
        <f>テーブル1[[#This Row],[対象部門]]&amp;テーブル1[[#This Row],[業務要件回答表からの事前回答案_v1.0.xlsxより]]</f>
        <v>一般会計全般・決算2.3</v>
      </c>
      <c r="B16" s="1" t="s">
        <v>2877</v>
      </c>
      <c r="C16" s="1" t="s">
        <v>46</v>
      </c>
      <c r="D16" s="10" t="s">
        <v>105</v>
      </c>
      <c r="E16" s="26" t="s">
        <v>106</v>
      </c>
      <c r="F16" s="21" t="s">
        <v>107</v>
      </c>
      <c r="G16" s="68">
        <v>2.2999999999999998</v>
      </c>
      <c r="H16" s="44" t="s">
        <v>32</v>
      </c>
      <c r="I16" s="15"/>
      <c r="J16" s="68" t="s">
        <v>33</v>
      </c>
      <c r="K16" s="68" t="s">
        <v>34</v>
      </c>
      <c r="L16" s="26"/>
      <c r="M16" s="26"/>
      <c r="N16" s="44"/>
      <c r="O16" s="44" t="s">
        <v>35</v>
      </c>
      <c r="P16" s="44"/>
      <c r="Q16" s="15" t="s">
        <v>36</v>
      </c>
      <c r="R16" s="15" t="s">
        <v>37</v>
      </c>
      <c r="S16" s="26" t="s">
        <v>108</v>
      </c>
      <c r="T16" s="15" t="s">
        <v>39</v>
      </c>
      <c r="U16" s="91"/>
      <c r="V16" s="94"/>
      <c r="W16" s="334"/>
      <c r="X16" s="41" t="str">
        <f>テーブル1[[#This Row],[開発]]&amp;テーブル1[[#This Row],[スコープ]]</f>
        <v>不要IN</v>
      </c>
      <c r="Y16" s="41" t="str">
        <f>IF(テーブル1[[#This Row],[列1]]="不要IN","標準",IF(テーブル1[[#This Row],[列1]]="不要OUT","スコープアウト",IF(テーブル1[[#This Row],[列1]]="必要IN","アドオン",IF(テーブル1[[#This Row],[列1]]="OUT","スコープアウト",""))))</f>
        <v>標準</v>
      </c>
      <c r="Z16" s="345" t="str">
        <f>VLOOKUP($B16,Sheet1!$C$2:$L$315,9,)</f>
        <v>会計システム標準機能</v>
      </c>
      <c r="AA16" s="340" t="str">
        <f>VLOOKUP($B16,Sheet1!$C$2:$L$315,10,)</f>
        <v>転記済み仕訳を指定し「仕訳全体の取り消し」</v>
      </c>
      <c r="AB16" s="347" t="s">
        <v>3203</v>
      </c>
      <c r="AC16" s="347" t="b">
        <f>テーブル1[[#This Row],[要求事項一覧
判定]]=テーブル1[[#This Row],[列2]]</f>
        <v>1</v>
      </c>
    </row>
    <row r="17" spans="1:29" ht="29">
      <c r="A17" s="1" t="str">
        <f>テーブル1[[#This Row],[対象部門]]&amp;テーブル1[[#This Row],[業務要件回答表からの事前回答案_v1.0.xlsxより]]</f>
        <v>一般会計全般・決算3.1</v>
      </c>
      <c r="B17" s="1" t="s">
        <v>2878</v>
      </c>
      <c r="C17" s="1" t="s">
        <v>46</v>
      </c>
      <c r="D17" s="10" t="s">
        <v>109</v>
      </c>
      <c r="E17" s="26" t="s">
        <v>110</v>
      </c>
      <c r="F17" s="21" t="s">
        <v>111</v>
      </c>
      <c r="G17" s="68">
        <v>3.1</v>
      </c>
      <c r="H17" s="44" t="s">
        <v>32</v>
      </c>
      <c r="I17" s="15"/>
      <c r="J17" s="68" t="s">
        <v>33</v>
      </c>
      <c r="K17" s="68" t="s">
        <v>34</v>
      </c>
      <c r="L17" s="26"/>
      <c r="M17" s="26"/>
      <c r="N17" s="44"/>
      <c r="O17" s="44" t="s">
        <v>35</v>
      </c>
      <c r="P17" s="44"/>
      <c r="Q17" s="15" t="s">
        <v>36</v>
      </c>
      <c r="R17" s="15" t="s">
        <v>37</v>
      </c>
      <c r="S17" s="26" t="s">
        <v>112</v>
      </c>
      <c r="T17" s="15" t="s">
        <v>39</v>
      </c>
      <c r="U17" s="91"/>
      <c r="V17" s="94"/>
      <c r="W17" s="334"/>
      <c r="X17" s="41" t="str">
        <f>テーブル1[[#This Row],[開発]]&amp;テーブル1[[#This Row],[スコープ]]</f>
        <v>不要IN</v>
      </c>
      <c r="Y17" s="41" t="str">
        <f>IF(テーブル1[[#This Row],[列1]]="不要IN","標準",IF(テーブル1[[#This Row],[列1]]="不要OUT","スコープアウト",IF(テーブル1[[#This Row],[列1]]="必要IN","アドオン",IF(テーブル1[[#This Row],[列1]]="OUT","スコープアウト",""))))</f>
        <v>標準</v>
      </c>
      <c r="Z17" s="345" t="str">
        <f>VLOOKUP($B17,Sheet1!$C$2:$L$315,9,)</f>
        <v>会計システム標準機能</v>
      </c>
      <c r="AA17" s="340">
        <f>VLOOKUP($B17,Sheet1!$C$2:$L$315,10,)</f>
        <v>0</v>
      </c>
      <c r="AB17" s="347" t="s">
        <v>3203</v>
      </c>
      <c r="AC17" s="347" t="b">
        <f>テーブル1[[#This Row],[要求事項一覧
判定]]=テーブル1[[#This Row],[列2]]</f>
        <v>1</v>
      </c>
    </row>
    <row r="18" spans="1:29" ht="72.5">
      <c r="A18" s="1" t="str">
        <f>テーブル1[[#This Row],[対象部門]]&amp;テーブル1[[#This Row],[業務要件回答表からの事前回答案_v1.0.xlsxより]]</f>
        <v>一般会計全般・決算3.2</v>
      </c>
      <c r="B18" s="1" t="s">
        <v>2879</v>
      </c>
      <c r="D18" s="10" t="s">
        <v>113</v>
      </c>
      <c r="E18" s="26" t="s">
        <v>114</v>
      </c>
      <c r="F18" s="21" t="s">
        <v>115</v>
      </c>
      <c r="G18" s="68">
        <v>3.2</v>
      </c>
      <c r="H18" s="44" t="s">
        <v>32</v>
      </c>
      <c r="I18" s="15"/>
      <c r="J18" s="68" t="s">
        <v>33</v>
      </c>
      <c r="K18" s="68" t="s">
        <v>51</v>
      </c>
      <c r="L18" s="26" t="s">
        <v>116</v>
      </c>
      <c r="M18" s="26" t="s">
        <v>117</v>
      </c>
      <c r="N18" s="44"/>
      <c r="O18" s="44" t="s">
        <v>35</v>
      </c>
      <c r="P18" s="44"/>
      <c r="Q18" s="15" t="s">
        <v>36</v>
      </c>
      <c r="R18" s="15" t="s">
        <v>37</v>
      </c>
      <c r="S18" s="26" t="s">
        <v>118</v>
      </c>
      <c r="T18" s="15" t="s">
        <v>39</v>
      </c>
      <c r="U18" s="91"/>
      <c r="V18" s="94"/>
      <c r="W18" s="334"/>
      <c r="X18" s="41" t="str">
        <f>テーブル1[[#This Row],[開発]]&amp;テーブル1[[#This Row],[スコープ]]</f>
        <v>不要IN</v>
      </c>
      <c r="Y18" s="41" t="str">
        <f>IF(テーブル1[[#This Row],[列1]]="不要IN","標準",IF(テーブル1[[#This Row],[列1]]="不要OUT","スコープアウト",IF(テーブル1[[#This Row],[列1]]="必要IN","アドオン",IF(テーブル1[[#This Row],[列1]]="OUT","スコープアウト",""))))</f>
        <v>標準</v>
      </c>
      <c r="Z18" s="345" t="str">
        <f>VLOOKUP($B18,Sheet1!$C$2:$L$315,9,)</f>
        <v>会計システム標準機能</v>
      </c>
      <c r="AA18" s="340" t="str">
        <f>VLOOKUP($B18,Sheet1!$C$2:$L$315,10,)</f>
        <v>特定金額以下であれば、承認不要（転記可能）等は設定できる。</v>
      </c>
      <c r="AB18" s="347" t="s">
        <v>3203</v>
      </c>
      <c r="AC18" s="347" t="b">
        <f>テーブル1[[#This Row],[要求事項一覧
判定]]=テーブル1[[#This Row],[列2]]</f>
        <v>1</v>
      </c>
    </row>
    <row r="19" spans="1:29" ht="43.5">
      <c r="A19" s="1" t="str">
        <f>テーブル1[[#This Row],[対象部門]]&amp;テーブル1[[#This Row],[業務要件回答表からの事前回答案_v1.0.xlsxより]]</f>
        <v>一般会計全般・決算4.1</v>
      </c>
      <c r="B19" s="1" t="s">
        <v>2880</v>
      </c>
      <c r="C19" s="1" t="s">
        <v>46</v>
      </c>
      <c r="D19" s="10" t="s">
        <v>119</v>
      </c>
      <c r="E19" s="26" t="s">
        <v>120</v>
      </c>
      <c r="F19" s="21" t="s">
        <v>121</v>
      </c>
      <c r="G19" s="68">
        <v>4.0999999999999996</v>
      </c>
      <c r="H19" s="44" t="s">
        <v>32</v>
      </c>
      <c r="I19" s="15"/>
      <c r="J19" s="68" t="s">
        <v>33</v>
      </c>
      <c r="K19" s="68" t="s">
        <v>34</v>
      </c>
      <c r="L19" s="26"/>
      <c r="M19" s="26"/>
      <c r="N19" s="44"/>
      <c r="O19" s="44" t="s">
        <v>35</v>
      </c>
      <c r="P19" s="44"/>
      <c r="Q19" s="15" t="s">
        <v>36</v>
      </c>
      <c r="R19" s="15" t="s">
        <v>37</v>
      </c>
      <c r="S19" s="26" t="s">
        <v>122</v>
      </c>
      <c r="T19" s="15" t="s">
        <v>39</v>
      </c>
      <c r="U19" s="91"/>
      <c r="V19" s="94"/>
      <c r="W19" s="334"/>
      <c r="X19" s="41" t="str">
        <f>テーブル1[[#This Row],[開発]]&amp;テーブル1[[#This Row],[スコープ]]</f>
        <v>不要IN</v>
      </c>
      <c r="Y19" s="41" t="str">
        <f>IF(テーブル1[[#This Row],[列1]]="不要IN","標準",IF(テーブル1[[#This Row],[列1]]="不要OUT","スコープアウト",IF(テーブル1[[#This Row],[列1]]="必要IN","アドオン",IF(テーブル1[[#This Row],[列1]]="OUT","スコープアウト",""))))</f>
        <v>標準</v>
      </c>
      <c r="Z19" s="345" t="str">
        <f>VLOOKUP($B19,Sheet1!$C$2:$L$315,9,)</f>
        <v>会計システム標準機能</v>
      </c>
      <c r="AA19" s="340">
        <f>VLOOKUP($B19,Sheet1!$C$2:$L$315,10,)</f>
        <v>0</v>
      </c>
      <c r="AB19" s="347" t="s">
        <v>3203</v>
      </c>
      <c r="AC19" s="347" t="b">
        <f>テーブル1[[#This Row],[要求事項一覧
判定]]=テーブル1[[#This Row],[列2]]</f>
        <v>1</v>
      </c>
    </row>
    <row r="20" spans="1:29" ht="130.5">
      <c r="A20" s="1" t="str">
        <f>テーブル1[[#This Row],[対象部門]]&amp;テーブル1[[#This Row],[業務要件回答表からの事前回答案_v1.0.xlsxより]]</f>
        <v>一般会計全般・決算4.2</v>
      </c>
      <c r="B20" s="1" t="s">
        <v>2881</v>
      </c>
      <c r="C20" s="1" t="s">
        <v>46</v>
      </c>
      <c r="D20" s="10" t="s">
        <v>123</v>
      </c>
      <c r="E20" s="26" t="s">
        <v>124</v>
      </c>
      <c r="F20" s="21" t="s">
        <v>125</v>
      </c>
      <c r="G20" s="68">
        <v>4.2</v>
      </c>
      <c r="H20" s="44" t="s">
        <v>32</v>
      </c>
      <c r="I20" s="15"/>
      <c r="J20" s="68" t="s">
        <v>33</v>
      </c>
      <c r="K20" s="68" t="s">
        <v>34</v>
      </c>
      <c r="L20" s="26" t="s">
        <v>126</v>
      </c>
      <c r="M20" s="26" t="s">
        <v>127</v>
      </c>
      <c r="N20" s="44"/>
      <c r="O20" s="44" t="s">
        <v>35</v>
      </c>
      <c r="P20" s="44"/>
      <c r="Q20" s="15" t="s">
        <v>36</v>
      </c>
      <c r="R20" s="15" t="s">
        <v>37</v>
      </c>
      <c r="S20" s="26" t="s">
        <v>126</v>
      </c>
      <c r="T20" s="15" t="s">
        <v>91</v>
      </c>
      <c r="U20" s="91"/>
      <c r="V20" s="94"/>
      <c r="W20" s="334"/>
      <c r="X20" s="41" t="str">
        <f>テーブル1[[#This Row],[開発]]&amp;テーブル1[[#This Row],[スコープ]]</f>
        <v>不要OUT</v>
      </c>
      <c r="Y20" s="41" t="str">
        <f>IF(テーブル1[[#This Row],[列1]]="不要IN","標準",IF(テーブル1[[#This Row],[列1]]="不要OUT","スコープアウト",IF(テーブル1[[#This Row],[列1]]="必要IN","アドオン",IF(テーブル1[[#This Row],[列1]]="OUT","スコープアウト",""))))</f>
        <v>スコープアウト</v>
      </c>
      <c r="Z20" s="346" t="str">
        <f>VLOOKUP($B20,Sheet1!$C$2:$L$315,9,)</f>
        <v>会計システムアドオン</v>
      </c>
      <c r="AA20" s="340" t="str">
        <f>VLOOKUP($B20,Sheet1!$C$2:$L$315,10,)</f>
        <v>一括で承認依頼/承認を行う機能を追加する</v>
      </c>
      <c r="AB20" s="347" t="s">
        <v>3205</v>
      </c>
      <c r="AC20" s="347" t="b">
        <f>テーブル1[[#This Row],[要求事項一覧
判定]]=テーブル1[[#This Row],[列2]]</f>
        <v>0</v>
      </c>
    </row>
    <row r="21" spans="1:29" ht="159.5">
      <c r="A21" s="1" t="str">
        <f>テーブル1[[#This Row],[対象部門]]&amp;テーブル1[[#This Row],[業務要件回答表からの事前回答案_v1.0.xlsxより]]</f>
        <v>一般会計全般・決算4.3</v>
      </c>
      <c r="B21" s="1" t="s">
        <v>2882</v>
      </c>
      <c r="C21" s="1" t="s">
        <v>46</v>
      </c>
      <c r="D21" s="10" t="s">
        <v>128</v>
      </c>
      <c r="E21" s="26" t="s">
        <v>129</v>
      </c>
      <c r="F21" s="21" t="s">
        <v>130</v>
      </c>
      <c r="G21" s="68">
        <v>4.3</v>
      </c>
      <c r="H21" s="44" t="s">
        <v>32</v>
      </c>
      <c r="I21" s="15"/>
      <c r="J21" s="68" t="s">
        <v>33</v>
      </c>
      <c r="K21" s="68" t="s">
        <v>51</v>
      </c>
      <c r="L21" s="26" t="s">
        <v>131</v>
      </c>
      <c r="M21" s="26" t="s">
        <v>132</v>
      </c>
      <c r="N21" s="44"/>
      <c r="O21" s="44" t="s">
        <v>35</v>
      </c>
      <c r="P21" s="44"/>
      <c r="Q21" s="15" t="s">
        <v>36</v>
      </c>
      <c r="R21" s="15" t="s">
        <v>54</v>
      </c>
      <c r="S21" s="26" t="s">
        <v>133</v>
      </c>
      <c r="T21" s="15" t="s">
        <v>39</v>
      </c>
      <c r="U21" s="92" t="s">
        <v>134</v>
      </c>
      <c r="V21" s="95" t="s">
        <v>56</v>
      </c>
      <c r="W21" s="335" t="s">
        <v>135</v>
      </c>
      <c r="X21" s="341" t="str">
        <f>テーブル1[[#This Row],[開発]]&amp;テーブル1[[#This Row],[スコープ]]</f>
        <v>必要IN</v>
      </c>
      <c r="Y21" s="41" t="str">
        <f>IF(テーブル1[[#This Row],[列1]]="不要IN","標準",IF(テーブル1[[#This Row],[列1]]="不要OUT","スコープアウト",IF(テーブル1[[#This Row],[列1]]="必要IN","アドオン",IF(テーブル1[[#This Row],[列1]]="OUT","スコープアウト",""))))</f>
        <v>アドオン</v>
      </c>
      <c r="Z21" s="346" t="str">
        <f>VLOOKUP($B21,Sheet1!$C$2:$L$315,9,)</f>
        <v>会計システムアドオン</v>
      </c>
      <c r="AA21" s="340" t="str">
        <f>VLOOKUP($B21,Sheet1!$C$2:$L$315,10,)</f>
        <v>4.3の範囲にて対応。</v>
      </c>
      <c r="AB21" s="347" t="s">
        <v>3205</v>
      </c>
      <c r="AC21" s="347" t="b">
        <f>テーブル1[[#This Row],[要求事項一覧
判定]]=テーブル1[[#This Row],[列2]]</f>
        <v>1</v>
      </c>
    </row>
    <row r="22" spans="1:29" ht="72.5">
      <c r="A22" s="1" t="str">
        <f>テーブル1[[#This Row],[対象部門]]&amp;テーブル1[[#This Row],[業務要件回答表からの事前回答案_v1.0.xlsxより]]</f>
        <v>一般会計全般・決算5.1</v>
      </c>
      <c r="B22" s="1" t="s">
        <v>2883</v>
      </c>
      <c r="C22" s="1" t="s">
        <v>46</v>
      </c>
      <c r="D22" s="10" t="s">
        <v>136</v>
      </c>
      <c r="E22" s="26" t="s">
        <v>137</v>
      </c>
      <c r="F22" s="21" t="s">
        <v>138</v>
      </c>
      <c r="G22" s="68">
        <v>5.0999999999999996</v>
      </c>
      <c r="H22" s="44" t="s">
        <v>32</v>
      </c>
      <c r="I22" s="15"/>
      <c r="J22" s="68" t="s">
        <v>33</v>
      </c>
      <c r="K22" s="68" t="s">
        <v>34</v>
      </c>
      <c r="L22" s="26" t="s">
        <v>139</v>
      </c>
      <c r="M22" s="26" t="s">
        <v>140</v>
      </c>
      <c r="N22" s="44"/>
      <c r="O22" s="44" t="s">
        <v>35</v>
      </c>
      <c r="P22" s="44"/>
      <c r="Q22" s="15" t="s">
        <v>36</v>
      </c>
      <c r="R22" s="15" t="s">
        <v>37</v>
      </c>
      <c r="S22" s="26" t="s">
        <v>141</v>
      </c>
      <c r="T22" s="15" t="s">
        <v>39</v>
      </c>
      <c r="U22" s="91"/>
      <c r="V22" s="94"/>
      <c r="W22" s="334"/>
      <c r="X22" s="41" t="str">
        <f>テーブル1[[#This Row],[開発]]&amp;テーブル1[[#This Row],[スコープ]]</f>
        <v>不要IN</v>
      </c>
      <c r="Y22" s="41" t="str">
        <f>IF(テーブル1[[#This Row],[列1]]="不要IN","標準",IF(テーブル1[[#This Row],[列1]]="不要OUT","スコープアウト",IF(テーブル1[[#This Row],[列1]]="必要IN","アドオン",IF(テーブル1[[#This Row],[列1]]="OUT","スコープアウト",""))))</f>
        <v>標準</v>
      </c>
      <c r="Z22" s="345" t="str">
        <f>VLOOKUP($B22,Sheet1!$C$2:$L$315,9,)</f>
        <v>会計システム標準機能</v>
      </c>
      <c r="AA22" s="340">
        <f>VLOOKUP($B22,Sheet1!$C$2:$L$315,10,)</f>
        <v>0</v>
      </c>
      <c r="AB22" s="347" t="s">
        <v>3203</v>
      </c>
      <c r="AC22" s="347" t="b">
        <f>テーブル1[[#This Row],[要求事項一覧
判定]]=テーブル1[[#This Row],[列2]]</f>
        <v>1</v>
      </c>
    </row>
    <row r="23" spans="1:29" ht="101.5">
      <c r="A23" s="1" t="str">
        <f>テーブル1[[#This Row],[対象部門]]&amp;テーブル1[[#This Row],[業務要件回答表からの事前回答案_v1.0.xlsxより]]</f>
        <v>一般会計全般・決算5.2</v>
      </c>
      <c r="B23" s="1" t="s">
        <v>2884</v>
      </c>
      <c r="C23" s="1" t="s">
        <v>46</v>
      </c>
      <c r="D23" s="10" t="s">
        <v>142</v>
      </c>
      <c r="E23" s="26" t="s">
        <v>143</v>
      </c>
      <c r="F23" s="21" t="s">
        <v>144</v>
      </c>
      <c r="G23" s="68">
        <v>5.2</v>
      </c>
      <c r="H23" s="44" t="s">
        <v>32</v>
      </c>
      <c r="I23" s="15"/>
      <c r="J23" s="68" t="s">
        <v>33</v>
      </c>
      <c r="K23" s="68" t="s">
        <v>34</v>
      </c>
      <c r="L23" s="26" t="s">
        <v>145</v>
      </c>
      <c r="M23" s="26" t="s">
        <v>146</v>
      </c>
      <c r="N23" s="44"/>
      <c r="O23" s="44" t="s">
        <v>35</v>
      </c>
      <c r="P23" s="44"/>
      <c r="Q23" s="15" t="s">
        <v>36</v>
      </c>
      <c r="R23" s="15" t="s">
        <v>37</v>
      </c>
      <c r="S23" s="26" t="s">
        <v>147</v>
      </c>
      <c r="T23" s="15" t="s">
        <v>91</v>
      </c>
      <c r="U23" s="91"/>
      <c r="V23" s="94"/>
      <c r="W23" s="334"/>
      <c r="X23" s="41" t="str">
        <f>テーブル1[[#This Row],[開発]]&amp;テーブル1[[#This Row],[スコープ]]</f>
        <v>不要OUT</v>
      </c>
      <c r="Y23" s="41" t="str">
        <f>IF(テーブル1[[#This Row],[列1]]="不要IN","標準",IF(テーブル1[[#This Row],[列1]]="不要OUT","スコープアウト",IF(テーブル1[[#This Row],[列1]]="必要IN","アドオン",IF(テーブル1[[#This Row],[列1]]="OUT","スコープアウト",""))))</f>
        <v>スコープアウト</v>
      </c>
      <c r="Z23" s="346" t="str">
        <f>VLOOKUP($B23,Sheet1!$C$2:$L$315,9,)</f>
        <v>会計システムアドオン</v>
      </c>
      <c r="AA23" s="340" t="str">
        <f>VLOOKUP($B23,Sheet1!$C$2:$L$315,10,)</f>
        <v>新規画面として、承認依頼が必要な仕訳を勘定科目別に集計した一覧を出力する画面を作成。帳票に関しては、現時点では標準機能のExcelファイルエクスポート機能を使用予定。要件次第で開発とする。</v>
      </c>
      <c r="AB23" s="347" t="s">
        <v>3205</v>
      </c>
      <c r="AC23" s="347" t="b">
        <f>テーブル1[[#This Row],[要求事項一覧
判定]]=テーブル1[[#This Row],[列2]]</f>
        <v>0</v>
      </c>
    </row>
    <row r="24" spans="1:29" ht="29">
      <c r="A24" s="1" t="str">
        <f>テーブル1[[#This Row],[対象部門]]&amp;テーブル1[[#This Row],[業務要件回答表からの事前回答案_v1.0.xlsxより]]</f>
        <v>一般会計全般・決算6.1</v>
      </c>
      <c r="B24" s="1" t="s">
        <v>2885</v>
      </c>
      <c r="D24" s="10" t="s">
        <v>148</v>
      </c>
      <c r="E24" s="26" t="s">
        <v>149</v>
      </c>
      <c r="F24" s="21" t="s">
        <v>150</v>
      </c>
      <c r="G24" s="68">
        <v>6.1</v>
      </c>
      <c r="H24" s="44" t="s">
        <v>32</v>
      </c>
      <c r="I24" s="15"/>
      <c r="J24" s="68" t="s">
        <v>33</v>
      </c>
      <c r="K24" s="68" t="s">
        <v>34</v>
      </c>
      <c r="L24" s="26"/>
      <c r="M24" s="26"/>
      <c r="N24" s="44"/>
      <c r="O24" s="44" t="s">
        <v>35</v>
      </c>
      <c r="P24" s="44"/>
      <c r="Q24" s="15" t="s">
        <v>36</v>
      </c>
      <c r="R24" s="15" t="s">
        <v>37</v>
      </c>
      <c r="S24" s="26" t="s">
        <v>151</v>
      </c>
      <c r="T24" s="15" t="s">
        <v>39</v>
      </c>
      <c r="U24" s="91"/>
      <c r="V24" s="94"/>
      <c r="W24" s="334"/>
      <c r="X24" s="41" t="str">
        <f>テーブル1[[#This Row],[開発]]&amp;テーブル1[[#This Row],[スコープ]]</f>
        <v>不要IN</v>
      </c>
      <c r="Y24" s="41" t="str">
        <f>IF(テーブル1[[#This Row],[列1]]="不要IN","標準",IF(テーブル1[[#This Row],[列1]]="不要OUT","スコープアウト",IF(テーブル1[[#This Row],[列1]]="必要IN","アドオン",IF(テーブル1[[#This Row],[列1]]="OUT","スコープアウト",""))))</f>
        <v>標準</v>
      </c>
      <c r="Z24" s="345" t="str">
        <f>VLOOKUP($B24,Sheet1!$C$2:$L$315,9,)</f>
        <v>会計システム標準機能</v>
      </c>
      <c r="AA24" s="340">
        <f>VLOOKUP($B24,Sheet1!$C$2:$L$315,10,)</f>
        <v>0</v>
      </c>
      <c r="AB24" s="347" t="s">
        <v>3203</v>
      </c>
      <c r="AC24" s="347" t="b">
        <f>テーブル1[[#This Row],[要求事項一覧
判定]]=テーブル1[[#This Row],[列2]]</f>
        <v>1</v>
      </c>
    </row>
    <row r="25" spans="1:29" ht="43.5">
      <c r="A25" s="1" t="str">
        <f>テーブル1[[#This Row],[対象部門]]&amp;テーブル1[[#This Row],[業務要件回答表からの事前回答案_v1.0.xlsxより]]</f>
        <v>一般会計全般・決算6.2</v>
      </c>
      <c r="B25" s="1" t="s">
        <v>2886</v>
      </c>
      <c r="D25" s="10" t="s">
        <v>152</v>
      </c>
      <c r="E25" s="26" t="s">
        <v>153</v>
      </c>
      <c r="F25" s="21" t="s">
        <v>154</v>
      </c>
      <c r="G25" s="68">
        <v>6.2</v>
      </c>
      <c r="H25" s="44" t="s">
        <v>32</v>
      </c>
      <c r="I25" s="15"/>
      <c r="J25" s="68" t="s">
        <v>33</v>
      </c>
      <c r="K25" s="68" t="s">
        <v>34</v>
      </c>
      <c r="L25" s="26"/>
      <c r="M25" s="26"/>
      <c r="N25" s="44"/>
      <c r="O25" s="44" t="s">
        <v>35</v>
      </c>
      <c r="P25" s="44"/>
      <c r="Q25" s="15" t="s">
        <v>36</v>
      </c>
      <c r="R25" s="15" t="s">
        <v>37</v>
      </c>
      <c r="S25" s="26" t="s">
        <v>155</v>
      </c>
      <c r="T25" s="15" t="s">
        <v>39</v>
      </c>
      <c r="U25" s="91"/>
      <c r="V25" s="94"/>
      <c r="W25" s="334"/>
      <c r="X25" s="41" t="str">
        <f>テーブル1[[#This Row],[開発]]&amp;テーブル1[[#This Row],[スコープ]]</f>
        <v>不要IN</v>
      </c>
      <c r="Y25" s="41" t="str">
        <f>IF(テーブル1[[#This Row],[列1]]="不要IN","標準",IF(テーブル1[[#This Row],[列1]]="不要OUT","スコープアウト",IF(テーブル1[[#This Row],[列1]]="必要IN","アドオン",IF(テーブル1[[#This Row],[列1]]="OUT","スコープアウト",""))))</f>
        <v>標準</v>
      </c>
      <c r="Z25" s="345" t="str">
        <f>VLOOKUP($B25,Sheet1!$C$2:$L$315,9,)</f>
        <v>会計システム標準機能</v>
      </c>
      <c r="AA25" s="340">
        <f>VLOOKUP($B25,Sheet1!$C$2:$L$315,10,)</f>
        <v>0</v>
      </c>
      <c r="AB25" s="347" t="s">
        <v>3203</v>
      </c>
      <c r="AC25" s="347" t="b">
        <f>テーブル1[[#This Row],[要求事項一覧
判定]]=テーブル1[[#This Row],[列2]]</f>
        <v>1</v>
      </c>
    </row>
    <row r="26" spans="1:29" ht="29">
      <c r="A26" s="1" t="str">
        <f>テーブル1[[#This Row],[対象部門]]&amp;テーブル1[[#This Row],[業務要件回答表からの事前回答案_v1.0.xlsxより]]</f>
        <v>一般会計全般・決算6.3</v>
      </c>
      <c r="B26" s="1" t="s">
        <v>2887</v>
      </c>
      <c r="D26" s="10" t="s">
        <v>156</v>
      </c>
      <c r="E26" s="26" t="s">
        <v>157</v>
      </c>
      <c r="F26" s="21" t="s">
        <v>158</v>
      </c>
      <c r="G26" s="68">
        <v>6.3</v>
      </c>
      <c r="H26" s="44" t="s">
        <v>32</v>
      </c>
      <c r="I26" s="15"/>
      <c r="J26" s="68" t="s">
        <v>33</v>
      </c>
      <c r="K26" s="68" t="s">
        <v>34</v>
      </c>
      <c r="L26" s="26"/>
      <c r="M26" s="26"/>
      <c r="N26" s="44"/>
      <c r="O26" s="44" t="s">
        <v>35</v>
      </c>
      <c r="P26" s="44"/>
      <c r="Q26" s="15" t="s">
        <v>159</v>
      </c>
      <c r="R26" s="15" t="s">
        <v>54</v>
      </c>
      <c r="S26" s="26" t="s">
        <v>160</v>
      </c>
      <c r="T26" s="15" t="s">
        <v>39</v>
      </c>
      <c r="U26" s="91"/>
      <c r="V26" s="95" t="s">
        <v>161</v>
      </c>
      <c r="W26" s="336" t="s">
        <v>162</v>
      </c>
      <c r="X26" s="341" t="str">
        <f>テーブル1[[#This Row],[開発]]&amp;テーブル1[[#This Row],[スコープ]]</f>
        <v>必要IN</v>
      </c>
      <c r="Y26" s="41" t="str">
        <f>IF(テーブル1[[#This Row],[列1]]="不要IN","標準",IF(テーブル1[[#This Row],[列1]]="不要OUT","スコープアウト",IF(テーブル1[[#This Row],[列1]]="必要IN","アドオン",IF(テーブル1[[#This Row],[列1]]="OUT","スコープアウト",""))))</f>
        <v>アドオン</v>
      </c>
      <c r="Z26" s="345" t="str">
        <f>VLOOKUP($B26,Sheet1!$C$2:$L$315,9,)</f>
        <v>会計システム標準機能</v>
      </c>
      <c r="AA26" s="340" t="str">
        <f>VLOOKUP($B26,Sheet1!$C$2:$L$315,10,)</f>
        <v>MRで対応</v>
      </c>
      <c r="AB26" s="347" t="s">
        <v>3203</v>
      </c>
      <c r="AC26" s="347" t="b">
        <f>テーブル1[[#This Row],[要求事項一覧
判定]]=テーブル1[[#This Row],[列2]]</f>
        <v>0</v>
      </c>
    </row>
    <row r="27" spans="1:29" ht="162">
      <c r="A27" s="1" t="str">
        <f>テーブル1[[#This Row],[対象部門]]&amp;テーブル1[[#This Row],[業務要件回答表からの事前回答案_v1.0.xlsxより]]</f>
        <v>一般会計全般・決算6.4</v>
      </c>
      <c r="B27" s="1" t="s">
        <v>2888</v>
      </c>
      <c r="D27" s="10" t="s">
        <v>163</v>
      </c>
      <c r="E27" s="26" t="s">
        <v>164</v>
      </c>
      <c r="F27" s="21" t="s">
        <v>165</v>
      </c>
      <c r="G27" s="68">
        <v>6.4</v>
      </c>
      <c r="H27" s="44" t="s">
        <v>32</v>
      </c>
      <c r="I27" s="15"/>
      <c r="J27" s="68" t="s">
        <v>33</v>
      </c>
      <c r="K27" s="68" t="s">
        <v>34</v>
      </c>
      <c r="L27" s="26" t="s">
        <v>166</v>
      </c>
      <c r="M27" s="26" t="s">
        <v>167</v>
      </c>
      <c r="N27" s="44"/>
      <c r="O27" s="44" t="s">
        <v>35</v>
      </c>
      <c r="P27" s="44"/>
      <c r="Q27" s="15" t="s">
        <v>159</v>
      </c>
      <c r="R27" s="15" t="s">
        <v>37</v>
      </c>
      <c r="S27" s="26" t="s">
        <v>168</v>
      </c>
      <c r="T27" s="15" t="s">
        <v>39</v>
      </c>
      <c r="U27" s="93" t="s">
        <v>169</v>
      </c>
      <c r="V27" s="94"/>
      <c r="W27" s="334"/>
      <c r="X27" s="41" t="str">
        <f>テーブル1[[#This Row],[開発]]&amp;テーブル1[[#This Row],[スコープ]]</f>
        <v>不要IN</v>
      </c>
      <c r="Y27" s="41" t="str">
        <f>IF(テーブル1[[#This Row],[列1]]="不要IN","標準",IF(テーブル1[[#This Row],[列1]]="不要OUT","スコープアウト",IF(テーブル1[[#This Row],[列1]]="必要IN","アドオン",IF(テーブル1[[#This Row],[列1]]="OUT","スコープアウト",""))))</f>
        <v>標準</v>
      </c>
      <c r="Z27" s="345" t="str">
        <f>VLOOKUP($B27,Sheet1!$C$2:$L$315,9,)</f>
        <v>会計システム標準機能</v>
      </c>
      <c r="AA27" s="340">
        <f>VLOOKUP($B27,Sheet1!$C$2:$L$315,10,)</f>
        <v>0</v>
      </c>
      <c r="AB27" s="347" t="s">
        <v>3203</v>
      </c>
      <c r="AC27" s="347" t="b">
        <f>テーブル1[[#This Row],[要求事項一覧
判定]]=テーブル1[[#This Row],[列2]]</f>
        <v>1</v>
      </c>
    </row>
    <row r="28" spans="1:29" ht="101.5">
      <c r="A28" s="1" t="str">
        <f>テーブル1[[#This Row],[対象部門]]&amp;テーブル1[[#This Row],[業務要件回答表からの事前回答案_v1.0.xlsxより]]</f>
        <v>一般会計全般・決算6.5</v>
      </c>
      <c r="B28" s="1" t="s">
        <v>2889</v>
      </c>
      <c r="D28" s="10" t="s">
        <v>170</v>
      </c>
      <c r="E28" s="26" t="s">
        <v>171</v>
      </c>
      <c r="F28" s="21" t="s">
        <v>172</v>
      </c>
      <c r="G28" s="68">
        <v>6.5</v>
      </c>
      <c r="H28" s="44" t="s">
        <v>32</v>
      </c>
      <c r="I28" s="15"/>
      <c r="J28" s="68" t="s">
        <v>33</v>
      </c>
      <c r="K28" s="68" t="s">
        <v>34</v>
      </c>
      <c r="L28" s="26" t="s">
        <v>173</v>
      </c>
      <c r="M28" s="26" t="s">
        <v>174</v>
      </c>
      <c r="N28" s="44"/>
      <c r="O28" s="44" t="s">
        <v>35</v>
      </c>
      <c r="P28" s="44"/>
      <c r="Q28" s="15" t="s">
        <v>159</v>
      </c>
      <c r="R28" s="15" t="s">
        <v>37</v>
      </c>
      <c r="S28" s="26" t="s">
        <v>175</v>
      </c>
      <c r="T28" s="15" t="s">
        <v>91</v>
      </c>
      <c r="U28" s="91"/>
      <c r="V28" s="94"/>
      <c r="W28" s="334"/>
      <c r="X28" s="41" t="str">
        <f>テーブル1[[#This Row],[開発]]&amp;テーブル1[[#This Row],[スコープ]]</f>
        <v>不要OUT</v>
      </c>
      <c r="Y28" s="41" t="str">
        <f>IF(テーブル1[[#This Row],[列1]]="不要IN","標準",IF(テーブル1[[#This Row],[列1]]="不要OUT","スコープアウト",IF(テーブル1[[#This Row],[列1]]="必要IN","アドオン",IF(テーブル1[[#This Row],[列1]]="OUT","スコープアウト",""))))</f>
        <v>スコープアウト</v>
      </c>
      <c r="Z28" s="345" t="str">
        <f>VLOOKUP($B28,Sheet1!$C$2:$L$315,9,)</f>
        <v>会計システム標準機能</v>
      </c>
      <c r="AA28" s="340" t="str">
        <f>VLOOKUP($B28,Sheet1!$C$2:$L$315,10,)</f>
        <v>勘定科目一覧画面で、金額欄にマイナス金額のフィルタを使用</v>
      </c>
      <c r="AB28" s="347" t="s">
        <v>3203</v>
      </c>
      <c r="AC28" s="347" t="b">
        <f>テーブル1[[#This Row],[要求事項一覧
判定]]=テーブル1[[#This Row],[列2]]</f>
        <v>0</v>
      </c>
    </row>
    <row r="29" spans="1:29" ht="58">
      <c r="A29" s="1" t="str">
        <f>テーブル1[[#This Row],[対象部門]]&amp;テーブル1[[#This Row],[業務要件回答表からの事前回答案_v1.0.xlsxより]]</f>
        <v>一般会計全般・決算6.6</v>
      </c>
      <c r="B29" s="1" t="s">
        <v>2890</v>
      </c>
      <c r="D29" s="10" t="s">
        <v>176</v>
      </c>
      <c r="E29" s="26" t="s">
        <v>177</v>
      </c>
      <c r="F29" s="21" t="s">
        <v>178</v>
      </c>
      <c r="G29" s="68">
        <v>6.6</v>
      </c>
      <c r="H29" s="44" t="s">
        <v>32</v>
      </c>
      <c r="I29" s="15"/>
      <c r="J29" s="68" t="s">
        <v>33</v>
      </c>
      <c r="K29" s="68" t="s">
        <v>34</v>
      </c>
      <c r="L29" s="26"/>
      <c r="M29" s="26" t="s">
        <v>179</v>
      </c>
      <c r="N29" s="44"/>
      <c r="O29" s="44" t="s">
        <v>35</v>
      </c>
      <c r="P29" s="44"/>
      <c r="Q29" s="15" t="s">
        <v>159</v>
      </c>
      <c r="R29" s="15" t="s">
        <v>37</v>
      </c>
      <c r="S29" s="26" t="s">
        <v>175</v>
      </c>
      <c r="T29" s="15" t="s">
        <v>91</v>
      </c>
      <c r="U29" s="91"/>
      <c r="V29" s="94"/>
      <c r="W29" s="334"/>
      <c r="X29" s="41" t="str">
        <f>テーブル1[[#This Row],[開発]]&amp;テーブル1[[#This Row],[スコープ]]</f>
        <v>不要OUT</v>
      </c>
      <c r="Y29" s="41" t="str">
        <f>IF(テーブル1[[#This Row],[列1]]="不要IN","標準",IF(テーブル1[[#This Row],[列1]]="不要OUT","スコープアウト",IF(テーブル1[[#This Row],[列1]]="必要IN","アドオン",IF(テーブル1[[#This Row],[列1]]="OUT","スコープアウト",""))))</f>
        <v>スコープアウト</v>
      </c>
      <c r="Z29" s="345" t="str">
        <f>VLOOKUP($B29,Sheet1!$C$2:$L$315,9,)</f>
        <v>会計システム標準機能</v>
      </c>
      <c r="AA29" s="340" t="str">
        <f>VLOOKUP($B29,Sheet1!$C$2:$L$315,10,)</f>
        <v>伝票トランザクションにてフィルタしてExcel出力での対応</v>
      </c>
      <c r="AB29" s="347" t="s">
        <v>3203</v>
      </c>
      <c r="AC29" s="347" t="b">
        <f>テーブル1[[#This Row],[要求事項一覧
判定]]=テーブル1[[#This Row],[列2]]</f>
        <v>0</v>
      </c>
    </row>
    <row r="30" spans="1:29" ht="159.5">
      <c r="A30" s="1" t="str">
        <f>テーブル1[[#This Row],[対象部門]]&amp;テーブル1[[#This Row],[業務要件回答表からの事前回答案_v1.0.xlsxより]]</f>
        <v>一般会計全般・決算7.1</v>
      </c>
      <c r="B30" s="1" t="s">
        <v>2891</v>
      </c>
      <c r="D30" s="10" t="s">
        <v>180</v>
      </c>
      <c r="E30" s="26" t="s">
        <v>181</v>
      </c>
      <c r="F30" s="21" t="s">
        <v>182</v>
      </c>
      <c r="G30" s="79">
        <v>7.1</v>
      </c>
      <c r="H30" s="44" t="s">
        <v>32</v>
      </c>
      <c r="I30" s="15"/>
      <c r="J30" s="68" t="s">
        <v>33</v>
      </c>
      <c r="K30" s="68" t="s">
        <v>34</v>
      </c>
      <c r="L30" s="26" t="s">
        <v>183</v>
      </c>
      <c r="M30" s="26" t="s">
        <v>184</v>
      </c>
      <c r="N30" s="44"/>
      <c r="O30" s="44" t="s">
        <v>35</v>
      </c>
      <c r="P30" s="44"/>
      <c r="Q30" s="15" t="s">
        <v>159</v>
      </c>
      <c r="R30" s="15" t="s">
        <v>54</v>
      </c>
      <c r="S30" s="26" t="s">
        <v>185</v>
      </c>
      <c r="T30" s="15" t="s">
        <v>39</v>
      </c>
      <c r="U30" s="91"/>
      <c r="V30" s="95" t="s">
        <v>161</v>
      </c>
      <c r="W30" s="336" t="s">
        <v>186</v>
      </c>
      <c r="X30" s="341" t="str">
        <f>テーブル1[[#This Row],[開発]]&amp;テーブル1[[#This Row],[スコープ]]</f>
        <v>必要IN</v>
      </c>
      <c r="Y30" s="41" t="str">
        <f>IF(テーブル1[[#This Row],[列1]]="不要IN","標準",IF(テーブル1[[#This Row],[列1]]="不要OUT","スコープアウト",IF(テーブル1[[#This Row],[列1]]="必要IN","アドオン",IF(テーブル1[[#This Row],[列1]]="OUT","スコープアウト",""))))</f>
        <v>アドオン</v>
      </c>
      <c r="Z30" s="345" t="str">
        <f>VLOOKUP($B30,Sheet1!$C$2:$L$315,9,)</f>
        <v>会計システム標準機能</v>
      </c>
      <c r="AA30" s="340" t="str">
        <f>VLOOKUP($B30,Sheet1!$C$2:$L$315,10,)</f>
        <v>「注記表」以外につきましては、FO標準機能の財務諸表で対応可能と考えております。ただ、「注記表」については、標準機能のWordテンプレートを使用して、帳票出力を検討しております。ただし、要件次第では、開発が必要となる場合もございます。</v>
      </c>
      <c r="AB30" s="347" t="s">
        <v>3203</v>
      </c>
      <c r="AC30" s="347" t="b">
        <f>テーブル1[[#This Row],[要求事項一覧
判定]]=テーブル1[[#This Row],[列2]]</f>
        <v>0</v>
      </c>
    </row>
    <row r="31" spans="1:29" ht="29">
      <c r="A31" s="1" t="str">
        <f>テーブル1[[#This Row],[対象部門]]&amp;テーブル1[[#This Row],[業務要件回答表からの事前回答案_v1.0.xlsxより]]</f>
        <v>一般会計全般・決算7.2</v>
      </c>
      <c r="B31" s="1" t="s">
        <v>2892</v>
      </c>
      <c r="D31" s="10" t="s">
        <v>187</v>
      </c>
      <c r="E31" s="26" t="s">
        <v>188</v>
      </c>
      <c r="F31" s="21" t="s">
        <v>189</v>
      </c>
      <c r="G31" s="68">
        <v>7.2</v>
      </c>
      <c r="H31" s="44" t="s">
        <v>32</v>
      </c>
      <c r="I31" s="15"/>
      <c r="J31" s="68" t="s">
        <v>33</v>
      </c>
      <c r="K31" s="68" t="s">
        <v>34</v>
      </c>
      <c r="L31" s="26"/>
      <c r="M31" s="26" t="s">
        <v>190</v>
      </c>
      <c r="N31" s="44"/>
      <c r="O31" s="44" t="s">
        <v>35</v>
      </c>
      <c r="P31" s="44"/>
      <c r="Q31" s="15" t="s">
        <v>159</v>
      </c>
      <c r="R31" s="15" t="s">
        <v>37</v>
      </c>
      <c r="S31" s="26"/>
      <c r="T31" s="15" t="s">
        <v>91</v>
      </c>
      <c r="U31" s="91"/>
      <c r="V31" s="94"/>
      <c r="W31" s="334"/>
      <c r="X31" s="41" t="str">
        <f>テーブル1[[#This Row],[開発]]&amp;テーブル1[[#This Row],[スコープ]]</f>
        <v>不要OUT</v>
      </c>
      <c r="Y31" s="41" t="str">
        <f>IF(テーブル1[[#This Row],[列1]]="不要IN","標準",IF(テーブル1[[#This Row],[列1]]="不要OUT","スコープアウト",IF(テーブル1[[#This Row],[列1]]="必要IN","アドオン",IF(テーブル1[[#This Row],[列1]]="OUT","スコープアウト",""))))</f>
        <v>スコープアウト</v>
      </c>
      <c r="Z31" s="345" t="str">
        <f>VLOOKUP($B31,Sheet1!$C$2:$L$315,9,)</f>
        <v>会計システム標準機能</v>
      </c>
      <c r="AA31" s="340" t="str">
        <f>VLOOKUP($B31,Sheet1!$C$2:$L$315,10,)</f>
        <v>MRで対応</v>
      </c>
      <c r="AB31" s="347" t="s">
        <v>3203</v>
      </c>
      <c r="AC31" s="347" t="b">
        <f>テーブル1[[#This Row],[要求事項一覧
判定]]=テーブル1[[#This Row],[列2]]</f>
        <v>0</v>
      </c>
    </row>
    <row r="32" spans="1:29" ht="87">
      <c r="A32" s="1" t="str">
        <f>テーブル1[[#This Row],[対象部門]]&amp;テーブル1[[#This Row],[業務要件回答表からの事前回答案_v1.0.xlsxより]]</f>
        <v>一般会計全般・決算7.3</v>
      </c>
      <c r="B32" s="1" t="s">
        <v>2893</v>
      </c>
      <c r="D32" s="10" t="s">
        <v>191</v>
      </c>
      <c r="E32" s="26" t="s">
        <v>192</v>
      </c>
      <c r="F32" s="21" t="s">
        <v>193</v>
      </c>
      <c r="G32" s="68">
        <v>7.3</v>
      </c>
      <c r="H32" s="44" t="s">
        <v>32</v>
      </c>
      <c r="I32" s="15"/>
      <c r="J32" s="68" t="s">
        <v>33</v>
      </c>
      <c r="K32" s="68" t="s">
        <v>34</v>
      </c>
      <c r="L32" s="26" t="s">
        <v>194</v>
      </c>
      <c r="M32" s="26" t="s">
        <v>195</v>
      </c>
      <c r="N32" s="44"/>
      <c r="O32" s="44" t="s">
        <v>35</v>
      </c>
      <c r="P32" s="44"/>
      <c r="Q32" s="15" t="s">
        <v>159</v>
      </c>
      <c r="R32" s="15" t="s">
        <v>37</v>
      </c>
      <c r="S32" s="26" t="s">
        <v>196</v>
      </c>
      <c r="T32" s="15" t="s">
        <v>39</v>
      </c>
      <c r="U32" s="91"/>
      <c r="V32" s="94"/>
      <c r="W32" s="334"/>
      <c r="X32" s="41" t="str">
        <f>テーブル1[[#This Row],[開発]]&amp;テーブル1[[#This Row],[スコープ]]</f>
        <v>不要IN</v>
      </c>
      <c r="Y32" s="41" t="str">
        <f>IF(テーブル1[[#This Row],[列1]]="不要IN","標準",IF(テーブル1[[#This Row],[列1]]="不要OUT","スコープアウト",IF(テーブル1[[#This Row],[列1]]="必要IN","アドオン",IF(テーブル1[[#This Row],[列1]]="OUT","スコープアウト",""))))</f>
        <v>標準</v>
      </c>
      <c r="Z32" s="346" t="str">
        <f>VLOOKUP($B32,Sheet1!$C$2:$L$315,9,)</f>
        <v>会計システムアドオン</v>
      </c>
      <c r="AA32" s="340" t="str">
        <f>VLOOKUP($B32,Sheet1!$C$2:$L$315,10,)</f>
        <v>下記帳票類の作成
・計算書類
・附属明細書
・決算短信
・事業報告書
・勘定明細</v>
      </c>
      <c r="AB32" s="347" t="s">
        <v>3205</v>
      </c>
      <c r="AC32" s="347" t="b">
        <f>テーブル1[[#This Row],[要求事項一覧
判定]]=テーブル1[[#This Row],[列2]]</f>
        <v>0</v>
      </c>
    </row>
    <row r="33" spans="1:29" ht="130.5">
      <c r="A33" s="1" t="str">
        <f>テーブル1[[#This Row],[対象部門]]&amp;テーブル1[[#This Row],[業務要件回答表からの事前回答案_v1.0.xlsxより]]</f>
        <v>一般会計全般・決算7.4</v>
      </c>
      <c r="B33" s="1" t="s">
        <v>2894</v>
      </c>
      <c r="D33" s="10" t="s">
        <v>197</v>
      </c>
      <c r="E33" s="26" t="s">
        <v>198</v>
      </c>
      <c r="F33" s="21" t="s">
        <v>199</v>
      </c>
      <c r="G33" s="68">
        <v>7.4</v>
      </c>
      <c r="H33" s="44" t="s">
        <v>32</v>
      </c>
      <c r="I33" s="15"/>
      <c r="J33" s="68" t="s">
        <v>33</v>
      </c>
      <c r="K33" s="68" t="s">
        <v>34</v>
      </c>
      <c r="L33" s="26" t="s">
        <v>194</v>
      </c>
      <c r="M33" s="26" t="s">
        <v>200</v>
      </c>
      <c r="N33" s="44"/>
      <c r="O33" s="44" t="s">
        <v>35</v>
      </c>
      <c r="P33" s="44"/>
      <c r="Q33" s="15" t="s">
        <v>159</v>
      </c>
      <c r="R33" s="15" t="s">
        <v>37</v>
      </c>
      <c r="S33" s="26" t="s">
        <v>201</v>
      </c>
      <c r="T33" s="15" t="s">
        <v>39</v>
      </c>
      <c r="U33" s="91"/>
      <c r="V33" s="94"/>
      <c r="W33" s="334"/>
      <c r="X33" s="41" t="str">
        <f>テーブル1[[#This Row],[開発]]&amp;テーブル1[[#This Row],[スコープ]]</f>
        <v>不要IN</v>
      </c>
      <c r="Y33" s="41" t="str">
        <f>IF(テーブル1[[#This Row],[列1]]="不要IN","標準",IF(テーブル1[[#This Row],[列1]]="不要OUT","スコープアウト",IF(テーブル1[[#This Row],[列1]]="必要IN","アドオン",IF(テーブル1[[#This Row],[列1]]="OUT","スコープアウト",""))))</f>
        <v>標準</v>
      </c>
      <c r="Z33" s="346" t="str">
        <f>VLOOKUP($B33,Sheet1!$C$2:$L$315,9,)</f>
        <v>会計システムアドオン</v>
      </c>
      <c r="AA33" s="340" t="str">
        <f>VLOOKUP($B33,Sheet1!$C$2:$L$315,10,)</f>
        <v>下記帳票類の履歴管理機能
・計算書類
・附属明細書
・決算短信
・事業報告書
・勘定明細</v>
      </c>
      <c r="AB33" s="347" t="s">
        <v>3205</v>
      </c>
      <c r="AC33" s="347" t="b">
        <f>テーブル1[[#This Row],[要求事項一覧
判定]]=テーブル1[[#This Row],[列2]]</f>
        <v>0</v>
      </c>
    </row>
    <row r="34" spans="1:29" ht="409.5">
      <c r="A34" s="1" t="str">
        <f>テーブル1[[#This Row],[対象部門]]&amp;テーブル1[[#This Row],[業務要件回答表からの事前回答案_v1.0.xlsxより]]</f>
        <v>一般会計全般・決算7.5</v>
      </c>
      <c r="B34" s="1" t="s">
        <v>2895</v>
      </c>
      <c r="D34" s="10" t="s">
        <v>202</v>
      </c>
      <c r="E34" s="26" t="s">
        <v>203</v>
      </c>
      <c r="F34" s="21" t="s">
        <v>204</v>
      </c>
      <c r="G34" s="79">
        <v>7.5</v>
      </c>
      <c r="H34" s="44" t="s">
        <v>32</v>
      </c>
      <c r="I34" s="15"/>
      <c r="J34" s="68" t="s">
        <v>33</v>
      </c>
      <c r="K34" s="68" t="s">
        <v>34</v>
      </c>
      <c r="L34" s="26" t="s">
        <v>205</v>
      </c>
      <c r="M34" s="26" t="s">
        <v>206</v>
      </c>
      <c r="N34" s="44"/>
      <c r="O34" s="44" t="s">
        <v>35</v>
      </c>
      <c r="P34" s="44"/>
      <c r="Q34" s="15" t="s">
        <v>159</v>
      </c>
      <c r="R34" s="15" t="s">
        <v>37</v>
      </c>
      <c r="S34" s="26" t="s">
        <v>207</v>
      </c>
      <c r="T34" s="15" t="s">
        <v>39</v>
      </c>
      <c r="U34" s="91"/>
      <c r="V34" s="94"/>
      <c r="W34" s="334"/>
      <c r="X34" s="41" t="str">
        <f>テーブル1[[#This Row],[開発]]&amp;テーブル1[[#This Row],[スコープ]]</f>
        <v>不要IN</v>
      </c>
      <c r="Y34" s="41" t="str">
        <f>IF(テーブル1[[#This Row],[列1]]="不要IN","標準",IF(テーブル1[[#This Row],[列1]]="不要OUT","スコープアウト",IF(テーブル1[[#This Row],[列1]]="必要IN","アドオン",IF(テーブル1[[#This Row],[列1]]="OUT","スコープアウト",""))))</f>
        <v>標準</v>
      </c>
      <c r="Z34" s="345" t="str">
        <f>VLOOKUP($B34,Sheet1!$C$2:$L$315,9,)</f>
        <v>会計システム標準機能</v>
      </c>
      <c r="AA34" s="340" t="str">
        <f>VLOOKUP($B34,Sheet1!$C$2:$L$315,10,)</f>
        <v>伝票トランザクションにてフィルタしてExcel出力での対応</v>
      </c>
      <c r="AB34" s="347" t="s">
        <v>3203</v>
      </c>
      <c r="AC34" s="347" t="b">
        <f>テーブル1[[#This Row],[要求事項一覧
判定]]=テーブル1[[#This Row],[列2]]</f>
        <v>1</v>
      </c>
    </row>
    <row r="35" spans="1:29" ht="43.5">
      <c r="A35" s="1" t="str">
        <f>テーブル1[[#This Row],[対象部門]]&amp;テーブル1[[#This Row],[業務要件回答表からの事前回答案_v1.0.xlsxより]]</f>
        <v>一般会計全般・決算7.6</v>
      </c>
      <c r="B35" s="1" t="s">
        <v>2896</v>
      </c>
      <c r="D35" s="10" t="s">
        <v>208</v>
      </c>
      <c r="E35" s="26" t="s">
        <v>209</v>
      </c>
      <c r="F35" s="21" t="s">
        <v>210</v>
      </c>
      <c r="G35" s="68">
        <v>7.6</v>
      </c>
      <c r="H35" s="44" t="s">
        <v>32</v>
      </c>
      <c r="I35" s="15"/>
      <c r="J35" s="68" t="s">
        <v>33</v>
      </c>
      <c r="K35" s="68" t="s">
        <v>34</v>
      </c>
      <c r="L35" s="26"/>
      <c r="M35" s="26"/>
      <c r="N35" s="44"/>
      <c r="O35" s="44" t="s">
        <v>35</v>
      </c>
      <c r="P35" s="44"/>
      <c r="Q35" s="15" t="s">
        <v>159</v>
      </c>
      <c r="R35" s="15" t="s">
        <v>37</v>
      </c>
      <c r="S35" s="26" t="s">
        <v>211</v>
      </c>
      <c r="T35" s="15" t="s">
        <v>39</v>
      </c>
      <c r="U35" s="91"/>
      <c r="V35" s="94"/>
      <c r="W35" s="334"/>
      <c r="X35" s="41" t="str">
        <f>テーブル1[[#This Row],[開発]]&amp;テーブル1[[#This Row],[スコープ]]</f>
        <v>不要IN</v>
      </c>
      <c r="Y35" s="41" t="str">
        <f>IF(テーブル1[[#This Row],[列1]]="不要IN","標準",IF(テーブル1[[#This Row],[列1]]="不要OUT","スコープアウト",IF(テーブル1[[#This Row],[列1]]="必要IN","アドオン",IF(テーブル1[[#This Row],[列1]]="OUT","スコープアウト",""))))</f>
        <v>標準</v>
      </c>
      <c r="Z35" s="345" t="str">
        <f>VLOOKUP($B35,Sheet1!$C$2:$L$315,9,)</f>
        <v>会計システム標準機能</v>
      </c>
      <c r="AA35" s="340" t="str">
        <f>VLOOKUP($B35,Sheet1!$C$2:$L$315,10,)</f>
        <v>伝票トランザクションにてフィルタしてExcel出力での対応</v>
      </c>
      <c r="AB35" s="347" t="s">
        <v>3203</v>
      </c>
      <c r="AC35" s="347" t="b">
        <f>テーブル1[[#This Row],[要求事項一覧
判定]]=テーブル1[[#This Row],[列2]]</f>
        <v>1</v>
      </c>
    </row>
    <row r="36" spans="1:29" ht="58">
      <c r="A36" s="1" t="str">
        <f>テーブル1[[#This Row],[対象部門]]&amp;テーブル1[[#This Row],[業務要件回答表からの事前回答案_v1.0.xlsxより]]</f>
        <v>一般会計全般・決算7.7</v>
      </c>
      <c r="B36" s="1" t="s">
        <v>2897</v>
      </c>
      <c r="D36" s="10" t="s">
        <v>212</v>
      </c>
      <c r="E36" s="26" t="s">
        <v>213</v>
      </c>
      <c r="F36" s="21" t="s">
        <v>214</v>
      </c>
      <c r="G36" s="68">
        <v>7.7</v>
      </c>
      <c r="H36" s="44" t="s">
        <v>32</v>
      </c>
      <c r="I36" s="15"/>
      <c r="J36" s="68" t="s">
        <v>33</v>
      </c>
      <c r="K36" s="68" t="s">
        <v>34</v>
      </c>
      <c r="L36" s="26"/>
      <c r="M36" s="26"/>
      <c r="N36" s="44"/>
      <c r="O36" s="44" t="s">
        <v>35</v>
      </c>
      <c r="P36" s="44"/>
      <c r="Q36" s="15" t="s">
        <v>159</v>
      </c>
      <c r="R36" s="15" t="s">
        <v>37</v>
      </c>
      <c r="S36" s="26" t="s">
        <v>215</v>
      </c>
      <c r="T36" s="15" t="s">
        <v>39</v>
      </c>
      <c r="U36" s="91"/>
      <c r="V36" s="94"/>
      <c r="W36" s="334"/>
      <c r="X36" s="41" t="str">
        <f>テーブル1[[#This Row],[開発]]&amp;テーブル1[[#This Row],[スコープ]]</f>
        <v>不要IN</v>
      </c>
      <c r="Y36" s="41" t="str">
        <f>IF(テーブル1[[#This Row],[列1]]="不要IN","標準",IF(テーブル1[[#This Row],[列1]]="不要OUT","スコープアウト",IF(テーブル1[[#This Row],[列1]]="必要IN","アドオン",IF(テーブル1[[#This Row],[列1]]="OUT","スコープアウト",""))))</f>
        <v>標準</v>
      </c>
      <c r="Z36" s="345" t="str">
        <f>VLOOKUP($B36,Sheet1!$C$2:$L$315,9,)</f>
        <v>会計システム標準機能</v>
      </c>
      <c r="AA36" s="340" t="str">
        <f>VLOOKUP($B36,Sheet1!$C$2:$L$315,10,)</f>
        <v>伝票トランザクションにてフィルタしてExcel出力での対応</v>
      </c>
      <c r="AB36" s="347" t="s">
        <v>3203</v>
      </c>
      <c r="AC36" s="347" t="b">
        <f>テーブル1[[#This Row],[要求事項一覧
判定]]=テーブル1[[#This Row],[列2]]</f>
        <v>1</v>
      </c>
    </row>
    <row r="37" spans="1:29" ht="58">
      <c r="A37" s="1" t="str">
        <f>テーブル1[[#This Row],[対象部門]]&amp;テーブル1[[#This Row],[業務要件回答表からの事前回答案_v1.0.xlsxより]]</f>
        <v>一般会計全般・決算7.8</v>
      </c>
      <c r="B37" s="1" t="s">
        <v>2898</v>
      </c>
      <c r="D37" s="10" t="s">
        <v>216</v>
      </c>
      <c r="E37" s="26" t="s">
        <v>217</v>
      </c>
      <c r="F37" s="21" t="s">
        <v>218</v>
      </c>
      <c r="G37" s="68">
        <v>7.8</v>
      </c>
      <c r="H37" s="44" t="s">
        <v>32</v>
      </c>
      <c r="I37" s="15"/>
      <c r="J37" s="68" t="s">
        <v>33</v>
      </c>
      <c r="K37" s="68" t="s">
        <v>34</v>
      </c>
      <c r="L37" s="26"/>
      <c r="M37" s="26"/>
      <c r="N37" s="44"/>
      <c r="O37" s="44" t="s">
        <v>35</v>
      </c>
      <c r="P37" s="44"/>
      <c r="Q37" s="15" t="s">
        <v>159</v>
      </c>
      <c r="R37" s="15" t="s">
        <v>37</v>
      </c>
      <c r="S37" s="26" t="s">
        <v>219</v>
      </c>
      <c r="T37" s="15" t="s">
        <v>39</v>
      </c>
      <c r="U37" s="91"/>
      <c r="V37" s="94"/>
      <c r="W37" s="334"/>
      <c r="X37" s="41" t="str">
        <f>テーブル1[[#This Row],[開発]]&amp;テーブル1[[#This Row],[スコープ]]</f>
        <v>不要IN</v>
      </c>
      <c r="Y37" s="41" t="str">
        <f>IF(テーブル1[[#This Row],[列1]]="不要IN","標準",IF(テーブル1[[#This Row],[列1]]="不要OUT","スコープアウト",IF(テーブル1[[#This Row],[列1]]="必要IN","アドオン",IF(テーブル1[[#This Row],[列1]]="OUT","スコープアウト",""))))</f>
        <v>標準</v>
      </c>
      <c r="Z37" s="345" t="str">
        <f>VLOOKUP($B37,Sheet1!$C$2:$L$315,9,)</f>
        <v>会計システム標準機能</v>
      </c>
      <c r="AA37" s="340" t="str">
        <f>VLOOKUP($B37,Sheet1!$C$2:$L$315,10,)</f>
        <v>伝票トランザクションにてフィルタしてExcel出力での対応</v>
      </c>
      <c r="AB37" s="347" t="s">
        <v>3203</v>
      </c>
      <c r="AC37" s="347" t="b">
        <f>テーブル1[[#This Row],[要求事項一覧
判定]]=テーブル1[[#This Row],[列2]]</f>
        <v>1</v>
      </c>
    </row>
    <row r="38" spans="1:29" ht="58">
      <c r="A38" s="1" t="str">
        <f>テーブル1[[#This Row],[対象部門]]&amp;テーブル1[[#This Row],[業務要件回答表からの事前回答案_v1.0.xlsxより]]</f>
        <v>一般会計全般・決算7.9</v>
      </c>
      <c r="B38" s="1" t="s">
        <v>2899</v>
      </c>
      <c r="D38" s="10" t="s">
        <v>220</v>
      </c>
      <c r="E38" s="26" t="s">
        <v>221</v>
      </c>
      <c r="F38" s="21" t="s">
        <v>222</v>
      </c>
      <c r="G38" s="68">
        <v>7.9</v>
      </c>
      <c r="H38" s="44" t="s">
        <v>32</v>
      </c>
      <c r="I38" s="15"/>
      <c r="J38" s="68" t="s">
        <v>33</v>
      </c>
      <c r="K38" s="68" t="s">
        <v>34</v>
      </c>
      <c r="L38" s="26"/>
      <c r="M38" s="26"/>
      <c r="N38" s="44"/>
      <c r="O38" s="44" t="s">
        <v>35</v>
      </c>
      <c r="P38" s="44"/>
      <c r="Q38" s="15" t="s">
        <v>159</v>
      </c>
      <c r="R38" s="15" t="s">
        <v>37</v>
      </c>
      <c r="S38" s="26" t="s">
        <v>223</v>
      </c>
      <c r="T38" s="15" t="s">
        <v>39</v>
      </c>
      <c r="U38" s="91"/>
      <c r="V38" s="94"/>
      <c r="W38" s="334"/>
      <c r="X38" s="41" t="str">
        <f>テーブル1[[#This Row],[開発]]&amp;テーブル1[[#This Row],[スコープ]]</f>
        <v>不要IN</v>
      </c>
      <c r="Y38" s="41" t="str">
        <f>IF(テーブル1[[#This Row],[列1]]="不要IN","標準",IF(テーブル1[[#This Row],[列1]]="不要OUT","スコープアウト",IF(テーブル1[[#This Row],[列1]]="必要IN","アドオン",IF(テーブル1[[#This Row],[列1]]="OUT","スコープアウト",""))))</f>
        <v>標準</v>
      </c>
      <c r="Z38" s="345" t="str">
        <f>VLOOKUP($B38,Sheet1!$C$2:$L$315,9,)</f>
        <v>会計システム標準機能</v>
      </c>
      <c r="AA38" s="340" t="str">
        <f>VLOOKUP($B38,Sheet1!$C$2:$L$315,10,)</f>
        <v>伝票トランザクションにてフィルタしてExcel出力での対応</v>
      </c>
      <c r="AB38" s="347" t="s">
        <v>3203</v>
      </c>
      <c r="AC38" s="347" t="b">
        <f>テーブル1[[#This Row],[要求事項一覧
判定]]=テーブル1[[#This Row],[列2]]</f>
        <v>1</v>
      </c>
    </row>
    <row r="39" spans="1:29" ht="58">
      <c r="A39" s="1" t="str">
        <f>テーブル1[[#This Row],[対象部門]]&amp;テーブル1[[#This Row],[業務要件回答表からの事前回答案_v1.0.xlsxより]]</f>
        <v>一般会計全般・決算8.1</v>
      </c>
      <c r="B39" s="1" t="s">
        <v>2900</v>
      </c>
      <c r="D39" s="10" t="s">
        <v>224</v>
      </c>
      <c r="E39" s="26" t="s">
        <v>225</v>
      </c>
      <c r="F39" s="21" t="s">
        <v>226</v>
      </c>
      <c r="G39" s="68">
        <v>8.1</v>
      </c>
      <c r="H39" s="44" t="s">
        <v>32</v>
      </c>
      <c r="I39" s="15"/>
      <c r="J39" s="68" t="s">
        <v>33</v>
      </c>
      <c r="K39" s="68" t="s">
        <v>34</v>
      </c>
      <c r="L39" s="26"/>
      <c r="M39" s="26" t="s">
        <v>227</v>
      </c>
      <c r="N39" s="44"/>
      <c r="O39" s="44" t="s">
        <v>35</v>
      </c>
      <c r="P39" s="44"/>
      <c r="Q39" s="15" t="s">
        <v>228</v>
      </c>
      <c r="R39" s="15" t="s">
        <v>37</v>
      </c>
      <c r="S39" s="26" t="s">
        <v>229</v>
      </c>
      <c r="T39" s="15" t="s">
        <v>39</v>
      </c>
      <c r="U39" s="91"/>
      <c r="V39" s="94"/>
      <c r="W39" s="334"/>
      <c r="X39" s="41" t="str">
        <f>テーブル1[[#This Row],[開発]]&amp;テーブル1[[#This Row],[スコープ]]</f>
        <v>不要IN</v>
      </c>
      <c r="Y39" s="41" t="str">
        <f>IF(テーブル1[[#This Row],[列1]]="不要IN","標準",IF(テーブル1[[#This Row],[列1]]="不要OUT","スコープアウト",IF(テーブル1[[#This Row],[列1]]="必要IN","アドオン",IF(テーブル1[[#This Row],[列1]]="OUT","スコープアウト",""))))</f>
        <v>標準</v>
      </c>
      <c r="Z39" s="345" t="str">
        <f>VLOOKUP($B39,Sheet1!$C$2:$L$315,9,)</f>
        <v>会計システム標準機能</v>
      </c>
      <c r="AA39" s="340" t="str">
        <f>VLOOKUP($B39,Sheet1!$C$2:$L$315,10,)</f>
        <v>伝票トランザクションにてフィルタしてExcel出力での対応</v>
      </c>
      <c r="AB39" s="347" t="s">
        <v>3203</v>
      </c>
      <c r="AC39" s="347" t="b">
        <f>テーブル1[[#This Row],[要求事項一覧
判定]]=テーブル1[[#This Row],[列2]]</f>
        <v>1</v>
      </c>
    </row>
    <row r="40" spans="1:29" ht="29">
      <c r="A40" s="1" t="str">
        <f>テーブル1[[#This Row],[対象部門]]&amp;テーブル1[[#This Row],[業務要件回答表からの事前回答案_v1.0.xlsxより]]</f>
        <v>一般会計全般・決算8.2</v>
      </c>
      <c r="B40" s="1" t="s">
        <v>2901</v>
      </c>
      <c r="D40" s="10" t="s">
        <v>230</v>
      </c>
      <c r="E40" s="26" t="s">
        <v>231</v>
      </c>
      <c r="F40" s="21" t="s">
        <v>232</v>
      </c>
      <c r="G40" s="68">
        <v>8.1999999999999993</v>
      </c>
      <c r="H40" s="44" t="s">
        <v>32</v>
      </c>
      <c r="I40" s="15"/>
      <c r="J40" s="68" t="s">
        <v>33</v>
      </c>
      <c r="K40" s="68" t="s">
        <v>34</v>
      </c>
      <c r="L40" s="26"/>
      <c r="M40" s="26" t="s">
        <v>233</v>
      </c>
      <c r="N40" s="44"/>
      <c r="O40" s="44" t="s">
        <v>35</v>
      </c>
      <c r="P40" s="44"/>
      <c r="Q40" s="15" t="s">
        <v>228</v>
      </c>
      <c r="R40" s="15" t="s">
        <v>37</v>
      </c>
      <c r="S40" s="26"/>
      <c r="T40" s="15" t="s">
        <v>91</v>
      </c>
      <c r="U40" s="91"/>
      <c r="V40" s="94"/>
      <c r="W40" s="334"/>
      <c r="X40" s="41" t="str">
        <f>テーブル1[[#This Row],[開発]]&amp;テーブル1[[#This Row],[スコープ]]</f>
        <v>不要OUT</v>
      </c>
      <c r="Y40" s="41" t="str">
        <f>IF(テーブル1[[#This Row],[列1]]="不要IN","標準",IF(テーブル1[[#This Row],[列1]]="不要OUT","スコープアウト",IF(テーブル1[[#This Row],[列1]]="必要IN","アドオン",IF(テーブル1[[#This Row],[列1]]="OUT","スコープアウト",""))))</f>
        <v>スコープアウト</v>
      </c>
      <c r="Z40" s="345" t="str">
        <f>VLOOKUP($B40,Sheet1!$C$2:$L$315,9,)</f>
        <v>会計システム標準機能</v>
      </c>
      <c r="AA40" s="340" t="str">
        <f>VLOOKUP($B40,Sheet1!$C$2:$L$315,10,)</f>
        <v>MRで対応</v>
      </c>
      <c r="AB40" s="347" t="s">
        <v>3203</v>
      </c>
      <c r="AC40" s="347" t="b">
        <f>テーブル1[[#This Row],[要求事項一覧
判定]]=テーブル1[[#This Row],[列2]]</f>
        <v>0</v>
      </c>
    </row>
    <row r="41" spans="1:29" ht="101.5">
      <c r="A41" s="1" t="str">
        <f>テーブル1[[#This Row],[対象部門]]&amp;テーブル1[[#This Row],[業務要件回答表からの事前回答案_v1.0.xlsxより]]</f>
        <v>一般会計全般・決算8.3</v>
      </c>
      <c r="B41" s="1" t="s">
        <v>2902</v>
      </c>
      <c r="D41" s="10" t="s">
        <v>234</v>
      </c>
      <c r="E41" s="26" t="s">
        <v>235</v>
      </c>
      <c r="F41" s="21" t="s">
        <v>236</v>
      </c>
      <c r="G41" s="68">
        <v>8.3000000000000007</v>
      </c>
      <c r="H41" s="44" t="s">
        <v>32</v>
      </c>
      <c r="I41" s="15"/>
      <c r="J41" s="68" t="s">
        <v>33</v>
      </c>
      <c r="K41" s="68" t="s">
        <v>34</v>
      </c>
      <c r="L41" s="26" t="s">
        <v>237</v>
      </c>
      <c r="M41" s="26" t="s">
        <v>238</v>
      </c>
      <c r="N41" s="44"/>
      <c r="O41" s="44" t="s">
        <v>35</v>
      </c>
      <c r="P41" s="44"/>
      <c r="Q41" s="15" t="s">
        <v>228</v>
      </c>
      <c r="R41" s="15" t="s">
        <v>54</v>
      </c>
      <c r="S41" s="26" t="s">
        <v>239</v>
      </c>
      <c r="T41" s="15" t="s">
        <v>39</v>
      </c>
      <c r="U41" s="93" t="s">
        <v>240</v>
      </c>
      <c r="V41" s="95" t="s">
        <v>56</v>
      </c>
      <c r="W41" s="336" t="s">
        <v>241</v>
      </c>
      <c r="X41" s="341" t="str">
        <f>テーブル1[[#This Row],[開発]]&amp;テーブル1[[#This Row],[スコープ]]</f>
        <v>必要IN</v>
      </c>
      <c r="Y41" s="41" t="str">
        <f>IF(テーブル1[[#This Row],[列1]]="不要IN","標準",IF(テーブル1[[#This Row],[列1]]="不要OUT","スコープアウト",IF(テーブル1[[#This Row],[列1]]="必要IN","アドオン",IF(テーブル1[[#This Row],[列1]]="OUT","スコープアウト",""))))</f>
        <v>アドオン</v>
      </c>
      <c r="Z41" s="345" t="str">
        <f>VLOOKUP($B41,Sheet1!$C$2:$L$315,9,)</f>
        <v>会計システム標準機能</v>
      </c>
      <c r="AA41" s="340" t="str">
        <f>VLOOKUP($B41,Sheet1!$C$2:$L$315,10,)</f>
        <v>伝票トランザクションにてフィルタしてExcel出力での対応</v>
      </c>
      <c r="AB41" s="347" t="s">
        <v>3203</v>
      </c>
      <c r="AC41" s="347" t="b">
        <f>テーブル1[[#This Row],[要求事項一覧
判定]]=テーブル1[[#This Row],[列2]]</f>
        <v>0</v>
      </c>
    </row>
    <row r="42" spans="1:29" ht="29">
      <c r="A42" s="1" t="str">
        <f>テーブル1[[#This Row],[対象部門]]&amp;テーブル1[[#This Row],[業務要件回答表からの事前回答案_v1.0.xlsxより]]</f>
        <v>一般会計全般・決算8.4</v>
      </c>
      <c r="B42" s="1" t="s">
        <v>2903</v>
      </c>
      <c r="D42" s="10" t="s">
        <v>242</v>
      </c>
      <c r="E42" s="26" t="s">
        <v>243</v>
      </c>
      <c r="F42" s="21" t="s">
        <v>244</v>
      </c>
      <c r="G42" s="68">
        <v>8.4</v>
      </c>
      <c r="H42" s="44" t="s">
        <v>32</v>
      </c>
      <c r="I42" s="15"/>
      <c r="J42" s="68" t="s">
        <v>33</v>
      </c>
      <c r="K42" s="68" t="s">
        <v>34</v>
      </c>
      <c r="L42" s="26"/>
      <c r="M42" s="26" t="s">
        <v>233</v>
      </c>
      <c r="N42" s="44"/>
      <c r="O42" s="44" t="s">
        <v>35</v>
      </c>
      <c r="P42" s="44"/>
      <c r="Q42" s="15" t="s">
        <v>228</v>
      </c>
      <c r="R42" s="15" t="s">
        <v>37</v>
      </c>
      <c r="S42" s="26"/>
      <c r="T42" s="15" t="s">
        <v>91</v>
      </c>
      <c r="U42" s="91"/>
      <c r="V42" s="94"/>
      <c r="W42" s="334"/>
      <c r="X42" s="41" t="str">
        <f>テーブル1[[#This Row],[開発]]&amp;テーブル1[[#This Row],[スコープ]]</f>
        <v>不要OUT</v>
      </c>
      <c r="Y42" s="41" t="str">
        <f>IF(テーブル1[[#This Row],[列1]]="不要IN","標準",IF(テーブル1[[#This Row],[列1]]="不要OUT","スコープアウト",IF(テーブル1[[#This Row],[列1]]="必要IN","アドオン",IF(テーブル1[[#This Row],[列1]]="OUT","スコープアウト",""))))</f>
        <v>スコープアウト</v>
      </c>
      <c r="Z42" s="345" t="str">
        <f>VLOOKUP($B42,Sheet1!$C$2:$L$315,9,)</f>
        <v>会計システム標準機能</v>
      </c>
      <c r="AA42" s="340" t="str">
        <f>VLOOKUP($B42,Sheet1!$C$2:$L$315,10,)</f>
        <v>MRで対応</v>
      </c>
      <c r="AB42" s="347" t="s">
        <v>3203</v>
      </c>
      <c r="AC42" s="347" t="b">
        <f>テーブル1[[#This Row],[要求事項一覧
判定]]=テーブル1[[#This Row],[列2]]</f>
        <v>0</v>
      </c>
    </row>
    <row r="43" spans="1:29" ht="159.5">
      <c r="A43" s="1" t="str">
        <f>テーブル1[[#This Row],[対象部門]]&amp;テーブル1[[#This Row],[業務要件回答表からの事前回答案_v1.0.xlsxより]]</f>
        <v>一般会計全般・決算8.5</v>
      </c>
      <c r="B43" s="1" t="s">
        <v>2904</v>
      </c>
      <c r="D43" s="10" t="s">
        <v>245</v>
      </c>
      <c r="E43" s="26" t="s">
        <v>246</v>
      </c>
      <c r="F43" s="21" t="s">
        <v>247</v>
      </c>
      <c r="G43" s="68">
        <v>8.5</v>
      </c>
      <c r="H43" s="44" t="s">
        <v>32</v>
      </c>
      <c r="I43" s="15"/>
      <c r="J43" s="68" t="s">
        <v>33</v>
      </c>
      <c r="K43" s="68" t="s">
        <v>34</v>
      </c>
      <c r="L43" s="26" t="s">
        <v>248</v>
      </c>
      <c r="M43" s="26" t="s">
        <v>249</v>
      </c>
      <c r="N43" s="44"/>
      <c r="O43" s="44" t="s">
        <v>35</v>
      </c>
      <c r="P43" s="44"/>
      <c r="Q43" s="15" t="s">
        <v>228</v>
      </c>
      <c r="R43" s="15" t="s">
        <v>54</v>
      </c>
      <c r="S43" s="26" t="s">
        <v>250</v>
      </c>
      <c r="T43" s="15" t="s">
        <v>39</v>
      </c>
      <c r="U43" s="93" t="s">
        <v>251</v>
      </c>
      <c r="V43" s="95" t="s">
        <v>56</v>
      </c>
      <c r="W43" s="336" t="s">
        <v>241</v>
      </c>
      <c r="X43" s="341" t="str">
        <f>テーブル1[[#This Row],[開発]]&amp;テーブル1[[#This Row],[スコープ]]</f>
        <v>必要IN</v>
      </c>
      <c r="Y43" s="41" t="str">
        <f>IF(テーブル1[[#This Row],[列1]]="不要IN","標準",IF(テーブル1[[#This Row],[列1]]="不要OUT","スコープアウト",IF(テーブル1[[#This Row],[列1]]="必要IN","アドオン",IF(テーブル1[[#This Row],[列1]]="OUT","スコープアウト",""))))</f>
        <v>アドオン</v>
      </c>
      <c r="Z43" s="345" t="str">
        <f>VLOOKUP($B43,Sheet1!$C$2:$L$315,9,)</f>
        <v>会計システム標準機能</v>
      </c>
      <c r="AA43" s="340" t="str">
        <f>VLOOKUP($B43,Sheet1!$C$2:$L$315,10,)</f>
        <v>伝票トランザクションにてフィルタしてExcel出力での対応</v>
      </c>
      <c r="AB43" s="347" t="s">
        <v>3203</v>
      </c>
      <c r="AC43" s="347" t="b">
        <f>テーブル1[[#This Row],[要求事項一覧
判定]]=テーブル1[[#This Row],[列2]]</f>
        <v>0</v>
      </c>
    </row>
    <row r="44" spans="1:29" ht="29">
      <c r="A44" s="1" t="str">
        <f>テーブル1[[#This Row],[対象部門]]&amp;テーブル1[[#This Row],[業務要件回答表からの事前回答案_v1.0.xlsxより]]</f>
        <v>一般会計全般・決算8.6</v>
      </c>
      <c r="B44" s="1" t="s">
        <v>2905</v>
      </c>
      <c r="D44" s="10" t="s">
        <v>252</v>
      </c>
      <c r="E44" s="26" t="s">
        <v>253</v>
      </c>
      <c r="F44" s="21" t="s">
        <v>254</v>
      </c>
      <c r="G44" s="68">
        <v>8.6</v>
      </c>
      <c r="H44" s="44" t="s">
        <v>32</v>
      </c>
      <c r="I44" s="15"/>
      <c r="J44" s="68" t="s">
        <v>33</v>
      </c>
      <c r="K44" s="68" t="s">
        <v>34</v>
      </c>
      <c r="L44" s="26"/>
      <c r="M44" s="26" t="s">
        <v>233</v>
      </c>
      <c r="N44" s="44"/>
      <c r="O44" s="44" t="s">
        <v>35</v>
      </c>
      <c r="P44" s="44"/>
      <c r="Q44" s="15" t="s">
        <v>228</v>
      </c>
      <c r="R44" s="15" t="s">
        <v>37</v>
      </c>
      <c r="S44" s="26"/>
      <c r="T44" s="15" t="s">
        <v>91</v>
      </c>
      <c r="U44" s="91"/>
      <c r="V44" s="94"/>
      <c r="W44" s="334"/>
      <c r="X44" s="41" t="str">
        <f>テーブル1[[#This Row],[開発]]&amp;テーブル1[[#This Row],[スコープ]]</f>
        <v>不要OUT</v>
      </c>
      <c r="Y44" s="41" t="str">
        <f>IF(テーブル1[[#This Row],[列1]]="不要IN","標準",IF(テーブル1[[#This Row],[列1]]="不要OUT","スコープアウト",IF(テーブル1[[#This Row],[列1]]="必要IN","アドオン",IF(テーブル1[[#This Row],[列1]]="OUT","スコープアウト",""))))</f>
        <v>スコープアウト</v>
      </c>
      <c r="Z44" s="345" t="str">
        <f>VLOOKUP($B44,Sheet1!$C$2:$L$315,9,)</f>
        <v>会計システム標準機能</v>
      </c>
      <c r="AA44" s="340" t="str">
        <f>VLOOKUP($B44,Sheet1!$C$2:$L$315,10,)</f>
        <v>MRで対応</v>
      </c>
      <c r="AB44" s="347" t="s">
        <v>3203</v>
      </c>
      <c r="AC44" s="347" t="b">
        <f>テーブル1[[#This Row],[要求事項一覧
判定]]=テーブル1[[#This Row],[列2]]</f>
        <v>0</v>
      </c>
    </row>
    <row r="45" spans="1:29" ht="219.75" customHeight="1">
      <c r="A45" s="1" t="str">
        <f>テーブル1[[#This Row],[対象部門]]&amp;テーブル1[[#This Row],[業務要件回答表からの事前回答案_v1.0.xlsxより]]</f>
        <v>一般会計全般・決算8.7</v>
      </c>
      <c r="B45" s="1" t="s">
        <v>2906</v>
      </c>
      <c r="D45" s="10" t="s">
        <v>255</v>
      </c>
      <c r="E45" s="26" t="s">
        <v>256</v>
      </c>
      <c r="F45" s="21" t="s">
        <v>257</v>
      </c>
      <c r="G45" s="68">
        <v>8.6999999999999993</v>
      </c>
      <c r="H45" s="44" t="s">
        <v>32</v>
      </c>
      <c r="I45" s="15"/>
      <c r="J45" s="68" t="s">
        <v>33</v>
      </c>
      <c r="K45" s="68" t="s">
        <v>34</v>
      </c>
      <c r="L45" s="26" t="s">
        <v>258</v>
      </c>
      <c r="M45" s="26" t="s">
        <v>259</v>
      </c>
      <c r="N45" s="44"/>
      <c r="O45" s="44" t="s">
        <v>35</v>
      </c>
      <c r="P45" s="44"/>
      <c r="Q45" s="15" t="s">
        <v>228</v>
      </c>
      <c r="R45" s="15" t="s">
        <v>54</v>
      </c>
      <c r="S45" s="26" t="s">
        <v>260</v>
      </c>
      <c r="T45" s="15" t="s">
        <v>39</v>
      </c>
      <c r="U45" s="93" t="s">
        <v>261</v>
      </c>
      <c r="V45" s="95" t="s">
        <v>56</v>
      </c>
      <c r="W45" s="336" t="s">
        <v>241</v>
      </c>
      <c r="X45" s="341" t="str">
        <f>テーブル1[[#This Row],[開発]]&amp;テーブル1[[#This Row],[スコープ]]</f>
        <v>必要IN</v>
      </c>
      <c r="Y45" s="41" t="str">
        <f>IF(テーブル1[[#This Row],[列1]]="不要IN","標準",IF(テーブル1[[#This Row],[列1]]="不要OUT","スコープアウト",IF(テーブル1[[#This Row],[列1]]="必要IN","アドオン",IF(テーブル1[[#This Row],[列1]]="OUT","スコープアウト",""))))</f>
        <v>アドオン</v>
      </c>
      <c r="Z45" s="345" t="str">
        <f>VLOOKUP($B45,Sheet1!$C$2:$L$315,9,)</f>
        <v>会計システム標準機能</v>
      </c>
      <c r="AA45" s="340" t="str">
        <f>VLOOKUP($B45,Sheet1!$C$2:$L$315,10,)</f>
        <v>伝票トランザクションにてフィルタしてExcel出力での対応</v>
      </c>
      <c r="AB45" s="347" t="s">
        <v>3203</v>
      </c>
      <c r="AC45" s="347" t="b">
        <f>テーブル1[[#This Row],[要求事項一覧
判定]]=テーブル1[[#This Row],[列2]]</f>
        <v>0</v>
      </c>
    </row>
    <row r="46" spans="1:29" ht="43.5">
      <c r="A46" s="1" t="str">
        <f>テーブル1[[#This Row],[対象部門]]&amp;テーブル1[[#This Row],[業務要件回答表からの事前回答案_v1.0.xlsxより]]</f>
        <v>一般会計全般・決算9.1</v>
      </c>
      <c r="B46" s="1" t="s">
        <v>2907</v>
      </c>
      <c r="D46" s="10" t="s">
        <v>262</v>
      </c>
      <c r="E46" s="26" t="s">
        <v>263</v>
      </c>
      <c r="F46" s="21" t="s">
        <v>264</v>
      </c>
      <c r="G46" s="68">
        <v>9.1</v>
      </c>
      <c r="H46" s="44" t="s">
        <v>32</v>
      </c>
      <c r="I46" s="15"/>
      <c r="J46" s="68" t="s">
        <v>33</v>
      </c>
      <c r="K46" s="68" t="s">
        <v>34</v>
      </c>
      <c r="L46" s="26"/>
      <c r="M46" s="26" t="s">
        <v>265</v>
      </c>
      <c r="N46" s="44"/>
      <c r="O46" s="44" t="s">
        <v>35</v>
      </c>
      <c r="P46" s="44"/>
      <c r="Q46" s="15" t="s">
        <v>228</v>
      </c>
      <c r="R46" s="15" t="s">
        <v>37</v>
      </c>
      <c r="S46" s="26" t="s">
        <v>266</v>
      </c>
      <c r="T46" s="15" t="s">
        <v>39</v>
      </c>
      <c r="U46" s="91"/>
      <c r="V46" s="94"/>
      <c r="W46" s="334"/>
      <c r="X46" s="41" t="str">
        <f>テーブル1[[#This Row],[開発]]&amp;テーブル1[[#This Row],[スコープ]]</f>
        <v>不要IN</v>
      </c>
      <c r="Y46" s="41" t="str">
        <f>IF(テーブル1[[#This Row],[列1]]="不要IN","標準",IF(テーブル1[[#This Row],[列1]]="不要OUT","スコープアウト",IF(テーブル1[[#This Row],[列1]]="必要IN","アドオン",IF(テーブル1[[#This Row],[列1]]="OUT","スコープアウト",""))))</f>
        <v>標準</v>
      </c>
      <c r="Z46" s="345" t="str">
        <f>VLOOKUP($B46,Sheet1!$C$2:$L$315,9,)</f>
        <v>会計システム標準機能</v>
      </c>
      <c r="AA46" s="340" t="str">
        <f>VLOOKUP($B46,Sheet1!$C$2:$L$315,10,)</f>
        <v>MRで対応</v>
      </c>
      <c r="AB46" s="347" t="s">
        <v>3203</v>
      </c>
      <c r="AC46" s="347" t="b">
        <f>テーブル1[[#This Row],[要求事項一覧
判定]]=テーブル1[[#This Row],[列2]]</f>
        <v>1</v>
      </c>
    </row>
    <row r="47" spans="1:29" ht="43.5">
      <c r="A47" s="1" t="str">
        <f>テーブル1[[#This Row],[対象部門]]&amp;テーブル1[[#This Row],[業務要件回答表からの事前回答案_v1.0.xlsxより]]</f>
        <v>一般会計全般・決算9.2</v>
      </c>
      <c r="B47" s="1" t="s">
        <v>2908</v>
      </c>
      <c r="D47" s="10" t="s">
        <v>267</v>
      </c>
      <c r="E47" s="26" t="s">
        <v>268</v>
      </c>
      <c r="F47" s="21" t="s">
        <v>269</v>
      </c>
      <c r="G47" s="68">
        <v>9.1999999999999993</v>
      </c>
      <c r="H47" s="44" t="s">
        <v>32</v>
      </c>
      <c r="I47" s="15"/>
      <c r="J47" s="68" t="s">
        <v>33</v>
      </c>
      <c r="K47" s="68" t="s">
        <v>34</v>
      </c>
      <c r="L47" s="26"/>
      <c r="M47" s="26" t="s">
        <v>265</v>
      </c>
      <c r="N47" s="44"/>
      <c r="O47" s="44" t="s">
        <v>35</v>
      </c>
      <c r="P47" s="44"/>
      <c r="Q47" s="15" t="s">
        <v>228</v>
      </c>
      <c r="R47" s="15" t="s">
        <v>37</v>
      </c>
      <c r="S47" s="26" t="s">
        <v>266</v>
      </c>
      <c r="T47" s="15" t="s">
        <v>39</v>
      </c>
      <c r="U47" s="91"/>
      <c r="V47" s="94"/>
      <c r="W47" s="334"/>
      <c r="X47" s="41" t="str">
        <f>テーブル1[[#This Row],[開発]]&amp;テーブル1[[#This Row],[スコープ]]</f>
        <v>不要IN</v>
      </c>
      <c r="Y47" s="41" t="str">
        <f>IF(テーブル1[[#This Row],[列1]]="不要IN","標準",IF(テーブル1[[#This Row],[列1]]="不要OUT","スコープアウト",IF(テーブル1[[#This Row],[列1]]="必要IN","アドオン",IF(テーブル1[[#This Row],[列1]]="OUT","スコープアウト",""))))</f>
        <v>標準</v>
      </c>
      <c r="Z47" s="346" t="str">
        <f>VLOOKUP($B47,Sheet1!$C$2:$L$315,9,)</f>
        <v>会計システムアドオン</v>
      </c>
      <c r="AA47" s="340" t="str">
        <f>VLOOKUP($B47,Sheet1!$C$2:$L$315,10,)</f>
        <v>新規帳票を開発。</v>
      </c>
      <c r="AB47" s="347" t="s">
        <v>3205</v>
      </c>
      <c r="AC47" s="347" t="b">
        <f>テーブル1[[#This Row],[要求事項一覧
判定]]=テーブル1[[#This Row],[列2]]</f>
        <v>0</v>
      </c>
    </row>
    <row r="48" spans="1:29" ht="116">
      <c r="A48" s="1" t="str">
        <f>テーブル1[[#This Row],[対象部門]]&amp;テーブル1[[#This Row],[業務要件回答表からの事前回答案_v1.0.xlsxより]]</f>
        <v>一般会計全般・決算10.1</v>
      </c>
      <c r="B48" s="1" t="s">
        <v>2909</v>
      </c>
      <c r="D48" s="10" t="s">
        <v>270</v>
      </c>
      <c r="E48" s="26" t="s">
        <v>271</v>
      </c>
      <c r="F48" s="21" t="s">
        <v>272</v>
      </c>
      <c r="G48" s="68">
        <v>10.1</v>
      </c>
      <c r="H48" s="44" t="s">
        <v>32</v>
      </c>
      <c r="I48" s="15"/>
      <c r="J48" s="68" t="s">
        <v>33</v>
      </c>
      <c r="K48" s="68" t="s">
        <v>51</v>
      </c>
      <c r="L48" s="26"/>
      <c r="M48" s="26" t="s">
        <v>273</v>
      </c>
      <c r="N48" s="44"/>
      <c r="O48" s="44" t="s">
        <v>35</v>
      </c>
      <c r="P48" s="44"/>
      <c r="Q48" s="15" t="s">
        <v>274</v>
      </c>
      <c r="R48" s="15" t="s">
        <v>37</v>
      </c>
      <c r="S48" s="26" t="s">
        <v>275</v>
      </c>
      <c r="T48" s="15" t="s">
        <v>39</v>
      </c>
      <c r="U48" s="91"/>
      <c r="V48" s="94"/>
      <c r="W48" s="334"/>
      <c r="X48" s="41" t="str">
        <f>テーブル1[[#This Row],[開発]]&amp;テーブル1[[#This Row],[スコープ]]</f>
        <v>不要IN</v>
      </c>
      <c r="Y48" s="41" t="str">
        <f>IF(テーブル1[[#This Row],[列1]]="不要IN","標準",IF(テーブル1[[#This Row],[列1]]="不要OUT","スコープアウト",IF(テーブル1[[#This Row],[列1]]="必要IN","アドオン",IF(テーブル1[[#This Row],[列1]]="OUT","スコープアウト",""))))</f>
        <v>標準</v>
      </c>
      <c r="Z48" s="345" t="str">
        <f>VLOOKUP($B48,Sheet1!$C$2:$L$315,9,)</f>
        <v>会計システム標準機能</v>
      </c>
      <c r="AA48" s="340">
        <f>VLOOKUP($B48,Sheet1!$C$2:$L$315,10,)</f>
        <v>0</v>
      </c>
      <c r="AB48" s="347" t="s">
        <v>3203</v>
      </c>
      <c r="AC48" s="347" t="b">
        <f>テーブル1[[#This Row],[要求事項一覧
判定]]=テーブル1[[#This Row],[列2]]</f>
        <v>1</v>
      </c>
    </row>
    <row r="49" spans="1:29" ht="116">
      <c r="A49" s="1" t="str">
        <f>テーブル1[[#This Row],[対象部門]]&amp;テーブル1[[#This Row],[業務要件回答表からの事前回答案_v1.0.xlsxより]]</f>
        <v>一般会計全般・決算10.2</v>
      </c>
      <c r="B49" s="1" t="s">
        <v>2910</v>
      </c>
      <c r="D49" s="10" t="s">
        <v>276</v>
      </c>
      <c r="E49" s="26" t="s">
        <v>277</v>
      </c>
      <c r="F49" s="21" t="s">
        <v>278</v>
      </c>
      <c r="G49" s="68">
        <v>10.199999999999999</v>
      </c>
      <c r="H49" s="44" t="s">
        <v>32</v>
      </c>
      <c r="I49" s="15"/>
      <c r="J49" s="68" t="s">
        <v>33</v>
      </c>
      <c r="K49" s="68" t="s">
        <v>51</v>
      </c>
      <c r="L49" s="26" t="s">
        <v>279</v>
      </c>
      <c r="M49" s="26" t="s">
        <v>280</v>
      </c>
      <c r="N49" s="44"/>
      <c r="O49" s="44" t="s">
        <v>35</v>
      </c>
      <c r="P49" s="44"/>
      <c r="Q49" s="15" t="s">
        <v>274</v>
      </c>
      <c r="R49" s="15" t="s">
        <v>37</v>
      </c>
      <c r="S49" s="26" t="s">
        <v>281</v>
      </c>
      <c r="T49" s="15" t="s">
        <v>39</v>
      </c>
      <c r="U49" s="91"/>
      <c r="V49" s="94"/>
      <c r="W49" s="334"/>
      <c r="X49" s="41" t="str">
        <f>テーブル1[[#This Row],[開発]]&amp;テーブル1[[#This Row],[スコープ]]</f>
        <v>不要IN</v>
      </c>
      <c r="Y49" s="41" t="str">
        <f>IF(テーブル1[[#This Row],[列1]]="不要IN","標準",IF(テーブル1[[#This Row],[列1]]="不要OUT","スコープアウト",IF(テーブル1[[#This Row],[列1]]="必要IN","アドオン",IF(テーブル1[[#This Row],[列1]]="OUT","スコープアウト",""))))</f>
        <v>標準</v>
      </c>
      <c r="Z49" s="345" t="str">
        <f>VLOOKUP($B49,Sheet1!$C$2:$L$315,9,)</f>
        <v>会計システム標準機能</v>
      </c>
      <c r="AA49" s="340">
        <f>VLOOKUP($B49,Sheet1!$C$2:$L$315,10,)</f>
        <v>0</v>
      </c>
      <c r="AB49" s="347" t="s">
        <v>3203</v>
      </c>
      <c r="AC49" s="347" t="b">
        <f>テーブル1[[#This Row],[要求事項一覧
判定]]=テーブル1[[#This Row],[列2]]</f>
        <v>1</v>
      </c>
    </row>
    <row r="50" spans="1:29" ht="29">
      <c r="A50" s="1" t="str">
        <f>テーブル1[[#This Row],[対象部門]]&amp;テーブル1[[#This Row],[業務要件回答表からの事前回答案_v1.0.xlsxより]]</f>
        <v>一般会計全般・決算11.1</v>
      </c>
      <c r="B50" s="1" t="s">
        <v>2911</v>
      </c>
      <c r="D50" s="10" t="s">
        <v>282</v>
      </c>
      <c r="E50" s="26" t="s">
        <v>283</v>
      </c>
      <c r="F50" s="21" t="s">
        <v>284</v>
      </c>
      <c r="G50" s="68">
        <v>11.1</v>
      </c>
      <c r="H50" s="44" t="s">
        <v>32</v>
      </c>
      <c r="I50" s="15"/>
      <c r="J50" s="68" t="s">
        <v>33</v>
      </c>
      <c r="K50" s="68" t="s">
        <v>34</v>
      </c>
      <c r="L50" s="26"/>
      <c r="M50" s="26"/>
      <c r="N50" s="44"/>
      <c r="O50" s="44" t="s">
        <v>35</v>
      </c>
      <c r="P50" s="44"/>
      <c r="Q50" s="15" t="s">
        <v>159</v>
      </c>
      <c r="R50" s="15" t="s">
        <v>37</v>
      </c>
      <c r="S50" s="26" t="s">
        <v>285</v>
      </c>
      <c r="T50" s="15" t="s">
        <v>39</v>
      </c>
      <c r="U50" s="91"/>
      <c r="V50" s="94"/>
      <c r="W50" s="334"/>
      <c r="X50" s="41" t="str">
        <f>テーブル1[[#This Row],[開発]]&amp;テーブル1[[#This Row],[スコープ]]</f>
        <v>不要IN</v>
      </c>
      <c r="Y50" s="41" t="str">
        <f>IF(テーブル1[[#This Row],[列1]]="不要IN","標準",IF(テーブル1[[#This Row],[列1]]="不要OUT","スコープアウト",IF(テーブル1[[#This Row],[列1]]="必要IN","アドオン",IF(テーブル1[[#This Row],[列1]]="OUT","スコープアウト",""))))</f>
        <v>標準</v>
      </c>
      <c r="Z50" s="345" t="str">
        <f>VLOOKUP($B50,Sheet1!$C$2:$L$315,9,)</f>
        <v>会計システム標準機能</v>
      </c>
      <c r="AA50" s="340">
        <f>VLOOKUP($B50,Sheet1!$C$2:$L$315,10,)</f>
        <v>0</v>
      </c>
      <c r="AB50" s="347" t="s">
        <v>3203</v>
      </c>
      <c r="AC50" s="347" t="b">
        <f>テーブル1[[#This Row],[要求事項一覧
判定]]=テーブル1[[#This Row],[列2]]</f>
        <v>1</v>
      </c>
    </row>
    <row r="51" spans="1:29" ht="29">
      <c r="A51" s="1" t="str">
        <f>テーブル1[[#This Row],[対象部門]]&amp;テーブル1[[#This Row],[業務要件回答表からの事前回答案_v1.0.xlsxより]]</f>
        <v>一般会計全般・決算11.2</v>
      </c>
      <c r="B51" s="1" t="s">
        <v>2912</v>
      </c>
      <c r="D51" s="10" t="s">
        <v>286</v>
      </c>
      <c r="E51" s="26" t="s">
        <v>287</v>
      </c>
      <c r="F51" s="21" t="s">
        <v>288</v>
      </c>
      <c r="G51" s="68">
        <v>11.2</v>
      </c>
      <c r="H51" s="44" t="s">
        <v>32</v>
      </c>
      <c r="I51" s="15"/>
      <c r="J51" s="68" t="s">
        <v>33</v>
      </c>
      <c r="K51" s="68" t="s">
        <v>34</v>
      </c>
      <c r="L51" s="26"/>
      <c r="M51" s="26"/>
      <c r="N51" s="44"/>
      <c r="O51" s="44" t="s">
        <v>35</v>
      </c>
      <c r="P51" s="44"/>
      <c r="Q51" s="15" t="s">
        <v>159</v>
      </c>
      <c r="R51" s="15" t="s">
        <v>37</v>
      </c>
      <c r="S51" s="26" t="s">
        <v>289</v>
      </c>
      <c r="T51" s="15" t="s">
        <v>39</v>
      </c>
      <c r="U51" s="91"/>
      <c r="V51" s="94"/>
      <c r="W51" s="334"/>
      <c r="X51" s="41" t="str">
        <f>テーブル1[[#This Row],[開発]]&amp;テーブル1[[#This Row],[スコープ]]</f>
        <v>不要IN</v>
      </c>
      <c r="Y51" s="41" t="str">
        <f>IF(テーブル1[[#This Row],[列1]]="不要IN","標準",IF(テーブル1[[#This Row],[列1]]="不要OUT","スコープアウト",IF(テーブル1[[#This Row],[列1]]="必要IN","アドオン",IF(テーブル1[[#This Row],[列1]]="OUT","スコープアウト",""))))</f>
        <v>標準</v>
      </c>
      <c r="Z51" s="345" t="str">
        <f>VLOOKUP($B51,Sheet1!$C$2:$L$315,9,)</f>
        <v>会計システム標準機能</v>
      </c>
      <c r="AA51" s="340">
        <f>VLOOKUP($B51,Sheet1!$C$2:$L$315,10,)</f>
        <v>0</v>
      </c>
      <c r="AB51" s="347" t="s">
        <v>3203</v>
      </c>
      <c r="AC51" s="347" t="b">
        <f>テーブル1[[#This Row],[要求事項一覧
判定]]=テーブル1[[#This Row],[列2]]</f>
        <v>1</v>
      </c>
    </row>
    <row r="52" spans="1:29" ht="29">
      <c r="A52" s="1" t="str">
        <f>テーブル1[[#This Row],[対象部門]]&amp;テーブル1[[#This Row],[業務要件回答表からの事前回答案_v1.0.xlsxより]]</f>
        <v>一般会計全般・決算11.3</v>
      </c>
      <c r="B52" s="1" t="s">
        <v>2913</v>
      </c>
      <c r="D52" s="10" t="s">
        <v>290</v>
      </c>
      <c r="E52" s="26" t="s">
        <v>291</v>
      </c>
      <c r="F52" s="21" t="s">
        <v>292</v>
      </c>
      <c r="G52" s="68">
        <v>11.3</v>
      </c>
      <c r="H52" s="44" t="s">
        <v>32</v>
      </c>
      <c r="I52" s="15"/>
      <c r="J52" s="68" t="s">
        <v>33</v>
      </c>
      <c r="K52" s="68" t="s">
        <v>34</v>
      </c>
      <c r="L52" s="26"/>
      <c r="M52" s="26"/>
      <c r="N52" s="44"/>
      <c r="O52" s="44" t="s">
        <v>35</v>
      </c>
      <c r="P52" s="44"/>
      <c r="Q52" s="15" t="s">
        <v>159</v>
      </c>
      <c r="R52" s="15" t="s">
        <v>37</v>
      </c>
      <c r="S52" s="26" t="s">
        <v>293</v>
      </c>
      <c r="T52" s="15" t="s">
        <v>39</v>
      </c>
      <c r="U52" s="91"/>
      <c r="V52" s="94"/>
      <c r="W52" s="334"/>
      <c r="X52" s="41" t="str">
        <f>テーブル1[[#This Row],[開発]]&amp;テーブル1[[#This Row],[スコープ]]</f>
        <v>不要IN</v>
      </c>
      <c r="Y52" s="41" t="str">
        <f>IF(テーブル1[[#This Row],[列1]]="不要IN","標準",IF(テーブル1[[#This Row],[列1]]="不要OUT","スコープアウト",IF(テーブル1[[#This Row],[列1]]="必要IN","アドオン",IF(テーブル1[[#This Row],[列1]]="OUT","スコープアウト",""))))</f>
        <v>標準</v>
      </c>
      <c r="Z52" s="345" t="str">
        <f>VLOOKUP($B52,Sheet1!$C$2:$L$315,9,)</f>
        <v>会計システム標準機能</v>
      </c>
      <c r="AA52" s="340" t="str">
        <f>VLOOKUP($B52,Sheet1!$C$2:$L$315,10,)</f>
        <v>標準レポートは制限可能。MR機能で作成した追加帳票は制限不可</v>
      </c>
      <c r="AB52" s="347" t="s">
        <v>3203</v>
      </c>
      <c r="AC52" s="347" t="b">
        <f>テーブル1[[#This Row],[要求事項一覧
判定]]=テーブル1[[#This Row],[列2]]</f>
        <v>1</v>
      </c>
    </row>
    <row r="53" spans="1:29" ht="29">
      <c r="A53" s="1" t="str">
        <f>テーブル1[[#This Row],[対象部門]]&amp;テーブル1[[#This Row],[業務要件回答表からの事前回答案_v1.0.xlsxより]]</f>
        <v>一般会計全般・決算11.4</v>
      </c>
      <c r="B53" s="1" t="s">
        <v>2914</v>
      </c>
      <c r="D53" s="10" t="s">
        <v>294</v>
      </c>
      <c r="E53" s="26" t="s">
        <v>295</v>
      </c>
      <c r="F53" s="21" t="s">
        <v>296</v>
      </c>
      <c r="G53" s="68">
        <v>11.4</v>
      </c>
      <c r="H53" s="44" t="s">
        <v>32</v>
      </c>
      <c r="I53" s="15"/>
      <c r="J53" s="68" t="s">
        <v>33</v>
      </c>
      <c r="K53" s="68" t="s">
        <v>34</v>
      </c>
      <c r="L53" s="26"/>
      <c r="M53" s="26"/>
      <c r="N53" s="44"/>
      <c r="O53" s="44" t="s">
        <v>35</v>
      </c>
      <c r="P53" s="44"/>
      <c r="Q53" s="15" t="s">
        <v>36</v>
      </c>
      <c r="R53" s="15" t="s">
        <v>37</v>
      </c>
      <c r="S53" s="26" t="s">
        <v>297</v>
      </c>
      <c r="T53" s="15" t="s">
        <v>39</v>
      </c>
      <c r="U53" s="91"/>
      <c r="V53" s="94"/>
      <c r="W53" s="334"/>
      <c r="X53" s="41" t="str">
        <f>テーブル1[[#This Row],[開発]]&amp;テーブル1[[#This Row],[スコープ]]</f>
        <v>不要IN</v>
      </c>
      <c r="Y53" s="41" t="str">
        <f>IF(テーブル1[[#This Row],[列1]]="不要IN","標準",IF(テーブル1[[#This Row],[列1]]="不要OUT","スコープアウト",IF(テーブル1[[#This Row],[列1]]="必要IN","アドオン",IF(テーブル1[[#This Row],[列1]]="OUT","スコープアウト",""))))</f>
        <v>標準</v>
      </c>
      <c r="Z53" s="345" t="str">
        <f>VLOOKUP($B53,Sheet1!$C$2:$L$315,9,)</f>
        <v>会計システム標準機能</v>
      </c>
      <c r="AA53" s="340">
        <f>VLOOKUP($B53,Sheet1!$C$2:$L$315,10,)</f>
        <v>0</v>
      </c>
      <c r="AB53" s="347" t="s">
        <v>3203</v>
      </c>
      <c r="AC53" s="347" t="b">
        <f>テーブル1[[#This Row],[要求事項一覧
判定]]=テーブル1[[#This Row],[列2]]</f>
        <v>1</v>
      </c>
    </row>
    <row r="54" spans="1:29" ht="29">
      <c r="A54" s="1" t="str">
        <f>テーブル1[[#This Row],[対象部門]]&amp;テーブル1[[#This Row],[業務要件回答表からの事前回答案_v1.0.xlsxより]]</f>
        <v>一般会計全般・決算11.5</v>
      </c>
      <c r="B54" s="1" t="s">
        <v>2915</v>
      </c>
      <c r="D54" s="10" t="s">
        <v>298</v>
      </c>
      <c r="E54" s="26" t="s">
        <v>299</v>
      </c>
      <c r="F54" s="21" t="s">
        <v>300</v>
      </c>
      <c r="G54" s="68">
        <v>11.5</v>
      </c>
      <c r="H54" s="44" t="s">
        <v>32</v>
      </c>
      <c r="I54" s="15"/>
      <c r="J54" s="68" t="s">
        <v>33</v>
      </c>
      <c r="K54" s="68" t="s">
        <v>34</v>
      </c>
      <c r="L54" s="26"/>
      <c r="M54" s="26"/>
      <c r="N54" s="44"/>
      <c r="O54" s="44" t="s">
        <v>35</v>
      </c>
      <c r="P54" s="44"/>
      <c r="Q54" s="15" t="s">
        <v>36</v>
      </c>
      <c r="R54" s="15" t="s">
        <v>37</v>
      </c>
      <c r="S54" s="26" t="s">
        <v>301</v>
      </c>
      <c r="T54" s="15" t="s">
        <v>39</v>
      </c>
      <c r="U54" s="91"/>
      <c r="V54" s="94"/>
      <c r="W54" s="334"/>
      <c r="X54" s="41" t="str">
        <f>テーブル1[[#This Row],[開発]]&amp;テーブル1[[#This Row],[スコープ]]</f>
        <v>不要IN</v>
      </c>
      <c r="Y54" s="41" t="str">
        <f>IF(テーブル1[[#This Row],[列1]]="不要IN","標準",IF(テーブル1[[#This Row],[列1]]="不要OUT","スコープアウト",IF(テーブル1[[#This Row],[列1]]="必要IN","アドオン",IF(テーブル1[[#This Row],[列1]]="OUT","スコープアウト",""))))</f>
        <v>標準</v>
      </c>
      <c r="Z54" s="345" t="str">
        <f>VLOOKUP($B54,Sheet1!$C$2:$L$315,9,)</f>
        <v>会計システム標準機能</v>
      </c>
      <c r="AA54" s="340" t="str">
        <f>VLOOKUP($B54,Sheet1!$C$2:$L$315,10,)</f>
        <v>承認依頼ボタンの押下は必要</v>
      </c>
      <c r="AB54" s="347" t="s">
        <v>3203</v>
      </c>
      <c r="AC54" s="347" t="b">
        <f>テーブル1[[#This Row],[要求事項一覧
判定]]=テーブル1[[#This Row],[列2]]</f>
        <v>1</v>
      </c>
    </row>
    <row r="55" spans="1:29" ht="29">
      <c r="A55" s="1" t="str">
        <f>テーブル1[[#This Row],[対象部門]]&amp;テーブル1[[#This Row],[業務要件回答表からの事前回答案_v1.0.xlsxより]]</f>
        <v>一般会計全般・決算11.6</v>
      </c>
      <c r="B55" s="1" t="s">
        <v>2916</v>
      </c>
      <c r="D55" s="10" t="s">
        <v>302</v>
      </c>
      <c r="E55" s="26" t="s">
        <v>303</v>
      </c>
      <c r="F55" s="21" t="s">
        <v>304</v>
      </c>
      <c r="G55" s="68">
        <v>11.6</v>
      </c>
      <c r="H55" s="44" t="s">
        <v>32</v>
      </c>
      <c r="I55" s="15"/>
      <c r="J55" s="68" t="s">
        <v>33</v>
      </c>
      <c r="K55" s="68" t="s">
        <v>34</v>
      </c>
      <c r="L55" s="26"/>
      <c r="M55" s="26"/>
      <c r="N55" s="44"/>
      <c r="O55" s="44" t="s">
        <v>35</v>
      </c>
      <c r="P55" s="44"/>
      <c r="Q55" s="15" t="s">
        <v>36</v>
      </c>
      <c r="R55" s="15" t="s">
        <v>37</v>
      </c>
      <c r="S55" s="26" t="s">
        <v>305</v>
      </c>
      <c r="T55" s="15" t="s">
        <v>39</v>
      </c>
      <c r="U55" s="91"/>
      <c r="V55" s="94"/>
      <c r="W55" s="334"/>
      <c r="X55" s="41" t="str">
        <f>テーブル1[[#This Row],[開発]]&amp;テーブル1[[#This Row],[スコープ]]</f>
        <v>不要IN</v>
      </c>
      <c r="Y55" s="41" t="str">
        <f>IF(テーブル1[[#This Row],[列1]]="不要IN","標準",IF(テーブル1[[#This Row],[列1]]="不要OUT","スコープアウト",IF(テーブル1[[#This Row],[列1]]="必要IN","アドオン",IF(テーブル1[[#This Row],[列1]]="OUT","スコープアウト",""))))</f>
        <v>標準</v>
      </c>
      <c r="Z55" s="345" t="str">
        <f>VLOOKUP($B55,Sheet1!$C$2:$L$315,9,)</f>
        <v>会計システム標準機能</v>
      </c>
      <c r="AA55" s="340" t="str">
        <f>VLOOKUP($B55,Sheet1!$C$2:$L$315,10,)</f>
        <v>承認者変更の機能はある</v>
      </c>
      <c r="AB55" s="347" t="s">
        <v>3203</v>
      </c>
      <c r="AC55" s="347" t="b">
        <f>テーブル1[[#This Row],[要求事項一覧
判定]]=テーブル1[[#This Row],[列2]]</f>
        <v>1</v>
      </c>
    </row>
    <row r="56" spans="1:29" ht="29">
      <c r="A56" s="1" t="str">
        <f>テーブル1[[#This Row],[対象部門]]&amp;テーブル1[[#This Row],[業務要件回答表からの事前回答案_v1.0.xlsxより]]</f>
        <v>一般会計全般・決算11.7</v>
      </c>
      <c r="B56" s="1" t="s">
        <v>2917</v>
      </c>
      <c r="D56" s="10" t="s">
        <v>306</v>
      </c>
      <c r="E56" s="26" t="s">
        <v>307</v>
      </c>
      <c r="F56" s="21" t="s">
        <v>308</v>
      </c>
      <c r="G56" s="68">
        <v>11.7</v>
      </c>
      <c r="H56" s="44" t="s">
        <v>32</v>
      </c>
      <c r="I56" s="15"/>
      <c r="J56" s="68" t="s">
        <v>33</v>
      </c>
      <c r="K56" s="68" t="s">
        <v>34</v>
      </c>
      <c r="L56" s="26"/>
      <c r="M56" s="26"/>
      <c r="N56" s="44"/>
      <c r="O56" s="44" t="s">
        <v>35</v>
      </c>
      <c r="P56" s="44"/>
      <c r="Q56" s="15" t="s">
        <v>36</v>
      </c>
      <c r="R56" s="15" t="s">
        <v>37</v>
      </c>
      <c r="S56" s="26" t="s">
        <v>309</v>
      </c>
      <c r="T56" s="15" t="s">
        <v>39</v>
      </c>
      <c r="U56" s="91"/>
      <c r="V56" s="94"/>
      <c r="W56" s="334"/>
      <c r="X56" s="41" t="str">
        <f>テーブル1[[#This Row],[開発]]&amp;テーブル1[[#This Row],[スコープ]]</f>
        <v>不要IN</v>
      </c>
      <c r="Y56" s="41" t="str">
        <f>IF(テーブル1[[#This Row],[列1]]="不要IN","標準",IF(テーブル1[[#This Row],[列1]]="不要OUT","スコープアウト",IF(テーブル1[[#This Row],[列1]]="必要IN","アドオン",IF(テーブル1[[#This Row],[列1]]="OUT","スコープアウト",""))))</f>
        <v>標準</v>
      </c>
      <c r="Z56" s="345" t="str">
        <f>VLOOKUP($B56,Sheet1!$C$2:$L$315,9,)</f>
        <v>会計システム標準機能</v>
      </c>
      <c r="AA56" s="340">
        <f>VLOOKUP($B56,Sheet1!$C$2:$L$315,10,)</f>
        <v>0</v>
      </c>
      <c r="AB56" s="347" t="s">
        <v>3203</v>
      </c>
      <c r="AC56" s="347" t="b">
        <f>テーブル1[[#This Row],[要求事項一覧
判定]]=テーブル1[[#This Row],[列2]]</f>
        <v>1</v>
      </c>
    </row>
    <row r="57" spans="1:29" ht="29">
      <c r="A57" s="1" t="str">
        <f>テーブル1[[#This Row],[対象部門]]&amp;テーブル1[[#This Row],[業務要件回答表からの事前回答案_v1.0.xlsxより]]</f>
        <v>一般会計全般・決算11.8</v>
      </c>
      <c r="B57" s="1" t="s">
        <v>2918</v>
      </c>
      <c r="D57" s="10" t="s">
        <v>310</v>
      </c>
      <c r="E57" s="26" t="s">
        <v>311</v>
      </c>
      <c r="F57" s="21" t="s">
        <v>312</v>
      </c>
      <c r="G57" s="68">
        <v>11.8</v>
      </c>
      <c r="H57" s="44" t="s">
        <v>32</v>
      </c>
      <c r="I57" s="15"/>
      <c r="J57" s="68" t="s">
        <v>33</v>
      </c>
      <c r="K57" s="68" t="s">
        <v>34</v>
      </c>
      <c r="L57" s="26"/>
      <c r="M57" s="26"/>
      <c r="N57" s="44"/>
      <c r="O57" s="44" t="s">
        <v>35</v>
      </c>
      <c r="P57" s="44"/>
      <c r="Q57" s="44" t="s">
        <v>36</v>
      </c>
      <c r="R57" s="44" t="s">
        <v>37</v>
      </c>
      <c r="S57" s="26" t="s">
        <v>313</v>
      </c>
      <c r="T57" s="44" t="s">
        <v>39</v>
      </c>
      <c r="U57" s="91"/>
      <c r="V57" s="94"/>
      <c r="W57" s="334"/>
      <c r="X57" s="41" t="str">
        <f>テーブル1[[#This Row],[開発]]&amp;テーブル1[[#This Row],[スコープ]]</f>
        <v>不要IN</v>
      </c>
      <c r="Y57" s="41" t="str">
        <f>IF(テーブル1[[#This Row],[列1]]="不要IN","標準",IF(テーブル1[[#This Row],[列1]]="不要OUT","スコープアウト",IF(テーブル1[[#This Row],[列1]]="必要IN","アドオン",IF(テーブル1[[#This Row],[列1]]="OUT","スコープアウト",""))))</f>
        <v>標準</v>
      </c>
      <c r="Z57" s="345" t="str">
        <f>VLOOKUP($B57,Sheet1!$C$2:$L$315,9,)</f>
        <v>会計システム標準機能</v>
      </c>
      <c r="AA57" s="340" t="str">
        <f>VLOOKUP($B57,Sheet1!$C$2:$L$315,10,)</f>
        <v>財務分析コードを使用して対応可能</v>
      </c>
      <c r="AB57" s="347" t="s">
        <v>3203</v>
      </c>
      <c r="AC57" s="347" t="b">
        <f>テーブル1[[#This Row],[要求事項一覧
判定]]=テーブル1[[#This Row],[列2]]</f>
        <v>1</v>
      </c>
    </row>
    <row r="58" spans="1:29" ht="58">
      <c r="A58" s="1" t="str">
        <f>テーブル1[[#This Row],[対象部門]]&amp;テーブル1[[#This Row],[業務要件回答表からの事前回答案_v1.0.xlsxより]]</f>
        <v>一般会計全般・決算12.1</v>
      </c>
      <c r="B58" s="1" t="s">
        <v>2919</v>
      </c>
      <c r="D58" s="10" t="s">
        <v>314</v>
      </c>
      <c r="E58" s="26" t="s">
        <v>315</v>
      </c>
      <c r="F58" s="21" t="s">
        <v>316</v>
      </c>
      <c r="G58" s="68">
        <v>12.1</v>
      </c>
      <c r="H58" s="44" t="s">
        <v>32</v>
      </c>
      <c r="I58" s="15"/>
      <c r="J58" s="68" t="s">
        <v>33</v>
      </c>
      <c r="K58" s="68" t="s">
        <v>34</v>
      </c>
      <c r="L58" s="26"/>
      <c r="M58" s="26"/>
      <c r="N58" s="44"/>
      <c r="O58" s="44" t="s">
        <v>35</v>
      </c>
      <c r="P58" s="44"/>
      <c r="Q58" s="44" t="s">
        <v>159</v>
      </c>
      <c r="R58" s="44" t="s">
        <v>37</v>
      </c>
      <c r="S58" s="26" t="s">
        <v>317</v>
      </c>
      <c r="T58" s="44" t="s">
        <v>39</v>
      </c>
      <c r="U58" s="91"/>
      <c r="V58" s="94"/>
      <c r="W58" s="334"/>
      <c r="X58" s="41" t="str">
        <f>テーブル1[[#This Row],[開発]]&amp;テーブル1[[#This Row],[スコープ]]</f>
        <v>不要IN</v>
      </c>
      <c r="Y58" s="41" t="str">
        <f>IF(テーブル1[[#This Row],[列1]]="不要IN","標準",IF(テーブル1[[#This Row],[列1]]="不要OUT","スコープアウト",IF(テーブル1[[#This Row],[列1]]="必要IN","アドオン",IF(テーブル1[[#This Row],[列1]]="OUT","スコープアウト",""))))</f>
        <v>標準</v>
      </c>
      <c r="Z58" s="345" t="str">
        <f>VLOOKUP($B58,Sheet1!$C$2:$L$315,9,)</f>
        <v>会計システム標準機能</v>
      </c>
      <c r="AA58" s="340" t="str">
        <f>VLOOKUP($B58,Sheet1!$C$2:$L$315,10,)</f>
        <v>一般的な仕訳等の登録用と異なるレイヤー(仕訳帳)に仕訳登録し、レポート側でどのレイヤーを出力するかの定義で対応可能</v>
      </c>
      <c r="AB58" s="347" t="s">
        <v>3203</v>
      </c>
      <c r="AC58" s="347" t="b">
        <f>テーブル1[[#This Row],[要求事項一覧
判定]]=テーブル1[[#This Row],[列2]]</f>
        <v>1</v>
      </c>
    </row>
    <row r="59" spans="1:29" ht="174">
      <c r="A59" s="1" t="str">
        <f>テーブル1[[#This Row],[対象部門]]&amp;テーブル1[[#This Row],[業務要件回答表からの事前回答案_v1.0.xlsxより]]</f>
        <v>一般会計全般・決算12.2</v>
      </c>
      <c r="B59" s="1" t="s">
        <v>2920</v>
      </c>
      <c r="D59" s="10" t="s">
        <v>318</v>
      </c>
      <c r="E59" s="26" t="s">
        <v>319</v>
      </c>
      <c r="F59" s="21" t="s">
        <v>320</v>
      </c>
      <c r="G59" s="79">
        <v>12.2</v>
      </c>
      <c r="H59" s="44" t="s">
        <v>32</v>
      </c>
      <c r="I59" s="15"/>
      <c r="J59" s="68" t="s">
        <v>33</v>
      </c>
      <c r="K59" s="68" t="s">
        <v>34</v>
      </c>
      <c r="L59" s="26" t="s">
        <v>321</v>
      </c>
      <c r="M59" s="26" t="s">
        <v>322</v>
      </c>
      <c r="N59" s="44"/>
      <c r="O59" s="44" t="s">
        <v>35</v>
      </c>
      <c r="P59" s="44"/>
      <c r="Q59" s="44" t="s">
        <v>323</v>
      </c>
      <c r="R59" s="44" t="s">
        <v>37</v>
      </c>
      <c r="S59" s="26" t="s">
        <v>317</v>
      </c>
      <c r="T59" s="44" t="s">
        <v>39</v>
      </c>
      <c r="U59" s="91"/>
      <c r="V59" s="94"/>
      <c r="W59" s="334"/>
      <c r="X59" s="41" t="str">
        <f>テーブル1[[#This Row],[開発]]&amp;テーブル1[[#This Row],[スコープ]]</f>
        <v>不要IN</v>
      </c>
      <c r="Y59" s="41" t="str">
        <f>IF(テーブル1[[#This Row],[列1]]="不要IN","標準",IF(テーブル1[[#This Row],[列1]]="不要OUT","スコープアウト",IF(テーブル1[[#This Row],[列1]]="必要IN","アドオン",IF(テーブル1[[#This Row],[列1]]="OUT","スコープアウト",""))))</f>
        <v>標準</v>
      </c>
      <c r="Z59" s="345" t="str">
        <f>VLOOKUP($B59,Sheet1!$C$2:$L$315,9,)</f>
        <v>会計システム標準機能</v>
      </c>
      <c r="AA59" s="340" t="str">
        <f>VLOOKUP($B59,Sheet1!$C$2:$L$315,10,)</f>
        <v>一般的な仕訳等の登録用と異なるレイヤー(仕訳帳)に仕訳登録し、レポート側でどのレイヤーを出力するかの定義で対応可能</v>
      </c>
      <c r="AB59" s="347" t="s">
        <v>3203</v>
      </c>
      <c r="AC59" s="347" t="b">
        <f>テーブル1[[#This Row],[要求事項一覧
判定]]=テーブル1[[#This Row],[列2]]</f>
        <v>1</v>
      </c>
    </row>
    <row r="60" spans="1:29" ht="72.5">
      <c r="A60" s="1" t="str">
        <f>テーブル1[[#This Row],[対象部門]]&amp;テーブル1[[#This Row],[業務要件回答表からの事前回答案_v1.0.xlsxより]]</f>
        <v>一般会計全般・決算12.3</v>
      </c>
      <c r="B60" s="1" t="s">
        <v>2921</v>
      </c>
      <c r="D60" s="10" t="s">
        <v>324</v>
      </c>
      <c r="E60" s="26" t="s">
        <v>325</v>
      </c>
      <c r="F60" s="21" t="s">
        <v>326</v>
      </c>
      <c r="G60" s="68">
        <v>12.3</v>
      </c>
      <c r="H60" s="44" t="s">
        <v>32</v>
      </c>
      <c r="I60" s="15"/>
      <c r="J60" s="68" t="s">
        <v>33</v>
      </c>
      <c r="K60" s="68" t="s">
        <v>34</v>
      </c>
      <c r="L60" s="26" t="s">
        <v>327</v>
      </c>
      <c r="M60" s="26" t="s">
        <v>328</v>
      </c>
      <c r="N60" s="44"/>
      <c r="O60" s="44" t="s">
        <v>35</v>
      </c>
      <c r="P60" s="44"/>
      <c r="Q60" s="44" t="s">
        <v>323</v>
      </c>
      <c r="R60" s="44" t="s">
        <v>37</v>
      </c>
      <c r="S60" s="26" t="s">
        <v>317</v>
      </c>
      <c r="T60" s="44" t="s">
        <v>39</v>
      </c>
      <c r="U60" s="91"/>
      <c r="V60" s="94"/>
      <c r="W60" s="334"/>
      <c r="X60" s="41" t="str">
        <f>テーブル1[[#This Row],[開発]]&amp;テーブル1[[#This Row],[スコープ]]</f>
        <v>不要IN</v>
      </c>
      <c r="Y60" s="41" t="str">
        <f>IF(テーブル1[[#This Row],[列1]]="不要IN","標準",IF(テーブル1[[#This Row],[列1]]="不要OUT","スコープアウト",IF(テーブル1[[#This Row],[列1]]="必要IN","アドオン",IF(テーブル1[[#This Row],[列1]]="OUT","スコープアウト",""))))</f>
        <v>標準</v>
      </c>
      <c r="Z60" s="345" t="str">
        <f>VLOOKUP($B60,Sheet1!$C$2:$L$315,9,)</f>
        <v>会計システム標準機能</v>
      </c>
      <c r="AA60" s="340" t="str">
        <f>VLOOKUP($B60,Sheet1!$C$2:$L$315,10,)</f>
        <v>一般的な仕訳等の登録用と異なるレイヤー(仕訳帳)に仕訳登録し、レポート側でどのレイヤーを出力するかの定義で対応可能</v>
      </c>
      <c r="AB60" s="347" t="s">
        <v>3203</v>
      </c>
      <c r="AC60" s="347" t="b">
        <f>テーブル1[[#This Row],[要求事項一覧
判定]]=テーブル1[[#This Row],[列2]]</f>
        <v>1</v>
      </c>
    </row>
    <row r="61" spans="1:29" ht="29">
      <c r="A61" s="1" t="str">
        <f>テーブル1[[#This Row],[対象部門]]&amp;テーブル1[[#This Row],[業務要件回答表からの事前回答案_v1.0.xlsxより]]</f>
        <v>一般会計全般・決算13.1</v>
      </c>
      <c r="B61" s="1" t="s">
        <v>2922</v>
      </c>
      <c r="D61" s="10" t="s">
        <v>329</v>
      </c>
      <c r="E61" s="26" t="s">
        <v>330</v>
      </c>
      <c r="F61" s="21" t="s">
        <v>331</v>
      </c>
      <c r="G61" s="68">
        <v>13.1</v>
      </c>
      <c r="H61" s="44" t="s">
        <v>32</v>
      </c>
      <c r="I61" s="15"/>
      <c r="J61" s="68" t="s">
        <v>33</v>
      </c>
      <c r="K61" s="68" t="s">
        <v>34</v>
      </c>
      <c r="L61" s="26"/>
      <c r="M61" s="26"/>
      <c r="N61" s="44"/>
      <c r="O61" s="44" t="s">
        <v>35</v>
      </c>
      <c r="P61" s="44"/>
      <c r="Q61" s="44" t="s">
        <v>274</v>
      </c>
      <c r="R61" s="44" t="s">
        <v>37</v>
      </c>
      <c r="S61" s="26" t="s">
        <v>332</v>
      </c>
      <c r="T61" s="44" t="s">
        <v>39</v>
      </c>
      <c r="U61" s="91"/>
      <c r="V61" s="94"/>
      <c r="W61" s="334"/>
      <c r="X61" s="41" t="str">
        <f>テーブル1[[#This Row],[開発]]&amp;テーブル1[[#This Row],[スコープ]]</f>
        <v>不要IN</v>
      </c>
      <c r="Y61" s="41" t="str">
        <f>IF(テーブル1[[#This Row],[列1]]="不要IN","標準",IF(テーブル1[[#This Row],[列1]]="不要OUT","スコープアウト",IF(テーブル1[[#This Row],[列1]]="必要IN","アドオン",IF(テーブル1[[#This Row],[列1]]="OUT","スコープアウト",""))))</f>
        <v>標準</v>
      </c>
      <c r="Z61" s="345" t="str">
        <f>VLOOKUP($B61,Sheet1!$C$2:$L$315,9,)</f>
        <v>会計システム標準機能</v>
      </c>
      <c r="AA61" s="340">
        <f>VLOOKUP($B61,Sheet1!$C$2:$L$315,10,)</f>
        <v>0</v>
      </c>
      <c r="AB61" s="347" t="s">
        <v>3203</v>
      </c>
      <c r="AC61" s="347" t="b">
        <f>テーブル1[[#This Row],[要求事項一覧
判定]]=テーブル1[[#This Row],[列2]]</f>
        <v>1</v>
      </c>
    </row>
    <row r="62" spans="1:29" ht="87">
      <c r="A62" s="1" t="str">
        <f>テーブル1[[#This Row],[対象部門]]&amp;テーブル1[[#This Row],[業務要件回答表からの事前回答案_v1.0.xlsxより]]</f>
        <v>一般会計全般・決算13.2</v>
      </c>
      <c r="B62" s="1" t="s">
        <v>2923</v>
      </c>
      <c r="D62" s="10" t="s">
        <v>333</v>
      </c>
      <c r="E62" s="26" t="s">
        <v>334</v>
      </c>
      <c r="F62" s="21" t="s">
        <v>335</v>
      </c>
      <c r="G62" s="68">
        <v>13.2</v>
      </c>
      <c r="H62" s="44" t="s">
        <v>32</v>
      </c>
      <c r="I62" s="15"/>
      <c r="J62" s="68" t="s">
        <v>33</v>
      </c>
      <c r="K62" s="68" t="s">
        <v>34</v>
      </c>
      <c r="L62" s="26"/>
      <c r="M62" s="26"/>
      <c r="N62" s="44" t="s">
        <v>336</v>
      </c>
      <c r="O62" s="44" t="s">
        <v>35</v>
      </c>
      <c r="P62" s="44"/>
      <c r="Q62" s="44" t="s">
        <v>274</v>
      </c>
      <c r="R62" s="44" t="s">
        <v>37</v>
      </c>
      <c r="S62" s="26" t="s">
        <v>337</v>
      </c>
      <c r="T62" s="44" t="s">
        <v>39</v>
      </c>
      <c r="U62" s="91"/>
      <c r="V62" s="94"/>
      <c r="W62" s="334"/>
      <c r="X62" s="41" t="str">
        <f>テーブル1[[#This Row],[開発]]&amp;テーブル1[[#This Row],[スコープ]]</f>
        <v>不要IN</v>
      </c>
      <c r="Y62" s="41" t="str">
        <f>IF(テーブル1[[#This Row],[列1]]="不要IN","標準",IF(テーブル1[[#This Row],[列1]]="不要OUT","スコープアウト",IF(テーブル1[[#This Row],[列1]]="必要IN","アドオン",IF(テーブル1[[#This Row],[列1]]="OUT","スコープアウト",""))))</f>
        <v>標準</v>
      </c>
      <c r="Z62" s="345" t="str">
        <f>VLOOKUP($B62,Sheet1!$C$2:$L$315,9,)</f>
        <v>会計システム標準機能</v>
      </c>
      <c r="AA62" s="340">
        <f>VLOOKUP($B62,Sheet1!$C$2:$L$315,10,)</f>
        <v>0</v>
      </c>
      <c r="AB62" s="347" t="s">
        <v>3203</v>
      </c>
      <c r="AC62" s="347" t="b">
        <f>テーブル1[[#This Row],[要求事項一覧
判定]]=テーブル1[[#This Row],[列2]]</f>
        <v>1</v>
      </c>
    </row>
    <row r="63" spans="1:29" ht="29">
      <c r="A63" s="1" t="str">
        <f>テーブル1[[#This Row],[対象部門]]&amp;テーブル1[[#This Row],[業務要件回答表からの事前回答案_v1.0.xlsxより]]</f>
        <v>一般会計全般・決算14.1</v>
      </c>
      <c r="B63" s="1" t="s">
        <v>2924</v>
      </c>
      <c r="D63" s="10" t="s">
        <v>338</v>
      </c>
      <c r="E63" s="26" t="s">
        <v>339</v>
      </c>
      <c r="F63" s="21" t="s">
        <v>340</v>
      </c>
      <c r="G63" s="68">
        <v>14.1</v>
      </c>
      <c r="H63" s="44" t="s">
        <v>32</v>
      </c>
      <c r="I63" s="15"/>
      <c r="J63" s="68" t="s">
        <v>33</v>
      </c>
      <c r="K63" s="68" t="s">
        <v>34</v>
      </c>
      <c r="L63" s="26"/>
      <c r="M63" s="26"/>
      <c r="N63" s="44"/>
      <c r="O63" s="44" t="s">
        <v>35</v>
      </c>
      <c r="P63" s="44"/>
      <c r="Q63" s="44" t="s">
        <v>159</v>
      </c>
      <c r="R63" s="44" t="s">
        <v>37</v>
      </c>
      <c r="S63" s="26" t="s">
        <v>341</v>
      </c>
      <c r="T63" s="44" t="s">
        <v>39</v>
      </c>
      <c r="U63" s="91"/>
      <c r="V63" s="94"/>
      <c r="W63" s="334"/>
      <c r="X63" s="41" t="str">
        <f>テーブル1[[#This Row],[開発]]&amp;テーブル1[[#This Row],[スコープ]]</f>
        <v>不要IN</v>
      </c>
      <c r="Y63" s="41" t="str">
        <f>IF(テーブル1[[#This Row],[列1]]="不要IN","標準",IF(テーブル1[[#This Row],[列1]]="不要OUT","スコープアウト",IF(テーブル1[[#This Row],[列1]]="必要IN","アドオン",IF(テーブル1[[#This Row],[列1]]="OUT","スコープアウト",""))))</f>
        <v>標準</v>
      </c>
      <c r="Z63" s="345" t="str">
        <f>VLOOKUP($B63,Sheet1!$C$2:$L$315,9,)</f>
        <v>会計システム標準機能</v>
      </c>
      <c r="AA63" s="340">
        <f>VLOOKUP($B63,Sheet1!$C$2:$L$315,10,)</f>
        <v>0</v>
      </c>
      <c r="AB63" s="347" t="s">
        <v>3203</v>
      </c>
      <c r="AC63" s="347" t="b">
        <f>テーブル1[[#This Row],[要求事項一覧
判定]]=テーブル1[[#This Row],[列2]]</f>
        <v>1</v>
      </c>
    </row>
    <row r="64" spans="1:29" ht="29">
      <c r="A64" s="1" t="str">
        <f>テーブル1[[#This Row],[対象部門]]&amp;テーブル1[[#This Row],[業務要件回答表からの事前回答案_v1.0.xlsxより]]</f>
        <v>一般会計全般・決算14.2</v>
      </c>
      <c r="B64" s="1" t="s">
        <v>2925</v>
      </c>
      <c r="D64" s="10" t="s">
        <v>342</v>
      </c>
      <c r="E64" s="26" t="s">
        <v>343</v>
      </c>
      <c r="F64" s="21" t="s">
        <v>344</v>
      </c>
      <c r="G64" s="68">
        <v>14.2</v>
      </c>
      <c r="H64" s="44" t="s">
        <v>32</v>
      </c>
      <c r="I64" s="15"/>
      <c r="J64" s="68" t="s">
        <v>33</v>
      </c>
      <c r="K64" s="68" t="s">
        <v>34</v>
      </c>
      <c r="L64" s="26"/>
      <c r="M64" s="26"/>
      <c r="N64" s="44"/>
      <c r="O64" s="44" t="s">
        <v>35</v>
      </c>
      <c r="P64" s="44"/>
      <c r="Q64" s="44" t="s">
        <v>345</v>
      </c>
      <c r="R64" s="44" t="s">
        <v>37</v>
      </c>
      <c r="S64" s="26" t="s">
        <v>346</v>
      </c>
      <c r="T64" s="44" t="s">
        <v>39</v>
      </c>
      <c r="U64" s="91"/>
      <c r="V64" s="94"/>
      <c r="W64" s="334"/>
      <c r="X64" s="41" t="str">
        <f>テーブル1[[#This Row],[開発]]&amp;テーブル1[[#This Row],[スコープ]]</f>
        <v>不要IN</v>
      </c>
      <c r="Y64" s="41" t="str">
        <f>IF(テーブル1[[#This Row],[列1]]="不要IN","標準",IF(テーブル1[[#This Row],[列1]]="不要OUT","スコープアウト",IF(テーブル1[[#This Row],[列1]]="必要IN","アドオン",IF(テーブル1[[#This Row],[列1]]="OUT","スコープアウト",""))))</f>
        <v>標準</v>
      </c>
      <c r="Z64" s="345" t="str">
        <f>VLOOKUP($B64,Sheet1!$C$2:$L$315,9,)</f>
        <v>会計システム標準機能</v>
      </c>
      <c r="AA64" s="340">
        <f>VLOOKUP($B64,Sheet1!$C$2:$L$315,10,)</f>
        <v>0</v>
      </c>
      <c r="AB64" s="347" t="s">
        <v>3203</v>
      </c>
      <c r="AC64" s="347" t="b">
        <f>テーブル1[[#This Row],[要求事項一覧
判定]]=テーブル1[[#This Row],[列2]]</f>
        <v>1</v>
      </c>
    </row>
    <row r="65" spans="1:29" ht="74">
      <c r="A65" s="1" t="str">
        <f>テーブル1[[#This Row],[対象部門]]&amp;テーブル1[[#This Row],[業務要件回答表からの事前回答案_v1.0.xlsxより]]</f>
        <v>一般会計全般・決算14.3</v>
      </c>
      <c r="B65" s="1" t="s">
        <v>2926</v>
      </c>
      <c r="D65" s="10" t="s">
        <v>347</v>
      </c>
      <c r="E65" s="26" t="s">
        <v>348</v>
      </c>
      <c r="F65" s="21" t="s">
        <v>349</v>
      </c>
      <c r="G65" s="68">
        <v>14.3</v>
      </c>
      <c r="H65" s="44" t="s">
        <v>32</v>
      </c>
      <c r="I65" s="15"/>
      <c r="J65" s="68" t="s">
        <v>33</v>
      </c>
      <c r="K65" s="68" t="s">
        <v>34</v>
      </c>
      <c r="L65" s="26"/>
      <c r="M65" s="26"/>
      <c r="N65" s="44"/>
      <c r="O65" s="44" t="s">
        <v>35</v>
      </c>
      <c r="P65" s="44"/>
      <c r="Q65" s="44" t="s">
        <v>345</v>
      </c>
      <c r="R65" s="44" t="s">
        <v>37</v>
      </c>
      <c r="S65" s="26" t="s">
        <v>350</v>
      </c>
      <c r="T65" s="44" t="s">
        <v>39</v>
      </c>
      <c r="U65" s="91"/>
      <c r="V65" s="94"/>
      <c r="W65" s="334"/>
      <c r="X65" s="41" t="str">
        <f>テーブル1[[#This Row],[開発]]&amp;テーブル1[[#This Row],[スコープ]]</f>
        <v>不要IN</v>
      </c>
      <c r="Y65" s="41" t="str">
        <f>IF(テーブル1[[#This Row],[列1]]="不要IN","標準",IF(テーブル1[[#This Row],[列1]]="不要OUT","スコープアウト",IF(テーブル1[[#This Row],[列1]]="必要IN","アドオン",IF(テーブル1[[#This Row],[列1]]="OUT","スコープアウト",""))))</f>
        <v>標準</v>
      </c>
      <c r="Z65" s="345" t="str">
        <f>VLOOKUP($B65,Sheet1!$C$2:$L$315,9,)</f>
        <v>会計システム標準機能</v>
      </c>
      <c r="AA65" s="340">
        <f>VLOOKUP($B65,Sheet1!$C$2:$L$315,10,)</f>
        <v>0</v>
      </c>
      <c r="AB65" s="347" t="s">
        <v>3203</v>
      </c>
      <c r="AC65" s="347" t="b">
        <f>テーブル1[[#This Row],[要求事項一覧
判定]]=テーブル1[[#This Row],[列2]]</f>
        <v>1</v>
      </c>
    </row>
    <row r="66" spans="1:29" ht="29">
      <c r="A66" s="1" t="str">
        <f>テーブル1[[#This Row],[対象部門]]&amp;テーブル1[[#This Row],[業務要件回答表からの事前回答案_v1.0.xlsxより]]</f>
        <v>一般会計全般・決算14.4</v>
      </c>
      <c r="B66" s="1" t="s">
        <v>2927</v>
      </c>
      <c r="D66" s="10" t="s">
        <v>351</v>
      </c>
      <c r="E66" s="26" t="s">
        <v>352</v>
      </c>
      <c r="F66" s="21" t="s">
        <v>353</v>
      </c>
      <c r="G66" s="68">
        <v>14.4</v>
      </c>
      <c r="H66" s="44" t="s">
        <v>32</v>
      </c>
      <c r="I66" s="15"/>
      <c r="J66" s="68" t="s">
        <v>33</v>
      </c>
      <c r="K66" s="68" t="s">
        <v>34</v>
      </c>
      <c r="L66" s="26"/>
      <c r="M66" s="26"/>
      <c r="N66" s="44"/>
      <c r="O66" s="44" t="s">
        <v>35</v>
      </c>
      <c r="P66" s="44"/>
      <c r="Q66" s="44" t="s">
        <v>345</v>
      </c>
      <c r="R66" s="44" t="s">
        <v>37</v>
      </c>
      <c r="S66" s="26" t="s">
        <v>354</v>
      </c>
      <c r="T66" s="44" t="s">
        <v>39</v>
      </c>
      <c r="U66" s="91"/>
      <c r="V66" s="94"/>
      <c r="W66" s="334"/>
      <c r="X66" s="41" t="str">
        <f>テーブル1[[#This Row],[開発]]&amp;テーブル1[[#This Row],[スコープ]]</f>
        <v>不要IN</v>
      </c>
      <c r="Y66" s="41" t="str">
        <f>IF(テーブル1[[#This Row],[列1]]="不要IN","標準",IF(テーブル1[[#This Row],[列1]]="不要OUT","スコープアウト",IF(テーブル1[[#This Row],[列1]]="必要IN","アドオン",IF(テーブル1[[#This Row],[列1]]="OUT","スコープアウト",""))))</f>
        <v>標準</v>
      </c>
      <c r="Z66" s="345" t="str">
        <f>VLOOKUP($B66,Sheet1!$C$2:$L$315,9,)</f>
        <v>会計システム標準機能</v>
      </c>
      <c r="AA66" s="340">
        <f>VLOOKUP($B66,Sheet1!$C$2:$L$315,10,)</f>
        <v>0</v>
      </c>
      <c r="AB66" s="347" t="s">
        <v>3203</v>
      </c>
      <c r="AC66" s="347" t="b">
        <f>テーブル1[[#This Row],[要求事項一覧
判定]]=テーブル1[[#This Row],[列2]]</f>
        <v>1</v>
      </c>
    </row>
    <row r="67" spans="1:29" ht="74">
      <c r="A67" s="1" t="str">
        <f>テーブル1[[#This Row],[対象部門]]&amp;テーブル1[[#This Row],[業務要件回答表からの事前回答案_v1.0.xlsxより]]</f>
        <v>一般会計全般・決算15.1</v>
      </c>
      <c r="B67" s="1" t="s">
        <v>2928</v>
      </c>
      <c r="D67" s="10" t="s">
        <v>355</v>
      </c>
      <c r="E67" s="26" t="s">
        <v>356</v>
      </c>
      <c r="F67" s="21" t="s">
        <v>357</v>
      </c>
      <c r="G67" s="68">
        <v>15.1</v>
      </c>
      <c r="H67" s="44" t="s">
        <v>32</v>
      </c>
      <c r="I67" s="15"/>
      <c r="J67" s="68" t="s">
        <v>33</v>
      </c>
      <c r="K67" s="68" t="s">
        <v>34</v>
      </c>
      <c r="L67" s="26"/>
      <c r="M67" s="26"/>
      <c r="N67" s="44"/>
      <c r="O67" s="44" t="s">
        <v>35</v>
      </c>
      <c r="P67" s="44"/>
      <c r="Q67" s="44" t="s">
        <v>323</v>
      </c>
      <c r="R67" s="44" t="s">
        <v>37</v>
      </c>
      <c r="S67" s="26" t="s">
        <v>358</v>
      </c>
      <c r="T67" s="44" t="s">
        <v>39</v>
      </c>
      <c r="U67" s="91"/>
      <c r="V67" s="94"/>
      <c r="W67" s="334"/>
      <c r="X67" s="41" t="str">
        <f>テーブル1[[#This Row],[開発]]&amp;テーブル1[[#This Row],[スコープ]]</f>
        <v>不要IN</v>
      </c>
      <c r="Y67" s="41" t="str">
        <f>IF(テーブル1[[#This Row],[列1]]="不要IN","標準",IF(テーブル1[[#This Row],[列1]]="不要OUT","スコープアウト",IF(テーブル1[[#This Row],[列1]]="必要IN","アドオン",IF(テーブル1[[#This Row],[列1]]="OUT","スコープアウト",""))))</f>
        <v>標準</v>
      </c>
      <c r="Z67" s="345" t="str">
        <f>VLOOKUP($B67,Sheet1!$C$2:$L$315,9,)</f>
        <v>会計システム標準機能</v>
      </c>
      <c r="AA67" s="340" t="str">
        <f>VLOOKUP($B67,Sheet1!$C$2:$L$315,10,)</f>
        <v>外部ツールでの作成された棚卸結果の金額のみ、仕訳伝票登録する</v>
      </c>
      <c r="AB67" s="347" t="s">
        <v>3203</v>
      </c>
      <c r="AC67" s="347" t="b">
        <f>テーブル1[[#This Row],[要求事項一覧
判定]]=テーブル1[[#This Row],[列2]]</f>
        <v>1</v>
      </c>
    </row>
    <row r="68" spans="1:29" ht="43.5">
      <c r="A68" s="1" t="str">
        <f>テーブル1[[#This Row],[対象部門]]&amp;テーブル1[[#This Row],[業務要件回答表からの事前回答案_v1.0.xlsxより]]</f>
        <v>一般会計全般・決算15.2</v>
      </c>
      <c r="B68" s="1" t="s">
        <v>2929</v>
      </c>
      <c r="D68" s="10" t="s">
        <v>359</v>
      </c>
      <c r="E68" s="26" t="s">
        <v>360</v>
      </c>
      <c r="F68" s="21" t="s">
        <v>361</v>
      </c>
      <c r="G68" s="68">
        <v>15.2</v>
      </c>
      <c r="H68" s="44" t="s">
        <v>32</v>
      </c>
      <c r="I68" s="15"/>
      <c r="J68" s="68" t="s">
        <v>33</v>
      </c>
      <c r="K68" s="68" t="s">
        <v>34</v>
      </c>
      <c r="L68" s="26"/>
      <c r="M68" s="26"/>
      <c r="N68" s="44"/>
      <c r="O68" s="44" t="s">
        <v>35</v>
      </c>
      <c r="P68" s="44"/>
      <c r="Q68" s="44" t="s">
        <v>323</v>
      </c>
      <c r="R68" s="44" t="s">
        <v>37</v>
      </c>
      <c r="S68" s="26" t="s">
        <v>358</v>
      </c>
      <c r="T68" s="44" t="s">
        <v>39</v>
      </c>
      <c r="U68" s="91"/>
      <c r="V68" s="94"/>
      <c r="W68" s="334"/>
      <c r="X68" s="41" t="str">
        <f>テーブル1[[#This Row],[開発]]&amp;テーブル1[[#This Row],[スコープ]]</f>
        <v>不要IN</v>
      </c>
      <c r="Y68" s="41" t="str">
        <f>IF(テーブル1[[#This Row],[列1]]="不要IN","標準",IF(テーブル1[[#This Row],[列1]]="不要OUT","スコープアウト",IF(テーブル1[[#This Row],[列1]]="必要IN","アドオン",IF(テーブル1[[#This Row],[列1]]="OUT","スコープアウト",""))))</f>
        <v>標準</v>
      </c>
      <c r="Z68" s="345" t="str">
        <f>VLOOKUP($B68,Sheet1!$C$2:$L$315,9,)</f>
        <v>会計システム標準機能</v>
      </c>
      <c r="AA68" s="340" t="str">
        <f>VLOOKUP($B68,Sheet1!$C$2:$L$315,10,)</f>
        <v>繰越利益剰余金の仕訳処理等を含め、マニュアルで仕訳登録いただく前提</v>
      </c>
      <c r="AB68" s="347" t="s">
        <v>3203</v>
      </c>
      <c r="AC68" s="347" t="b">
        <f>テーブル1[[#This Row],[要求事項一覧
判定]]=テーブル1[[#This Row],[列2]]</f>
        <v>1</v>
      </c>
    </row>
    <row r="69" spans="1:29" ht="29">
      <c r="A69" s="1" t="str">
        <f>テーブル1[[#This Row],[対象部門]]&amp;テーブル1[[#This Row],[業務要件回答表からの事前回答案_v1.0.xlsxより]]</f>
        <v>一般会計全般・決算15.3</v>
      </c>
      <c r="B69" s="1" t="s">
        <v>2930</v>
      </c>
      <c r="D69" s="10" t="s">
        <v>362</v>
      </c>
      <c r="E69" s="26" t="s">
        <v>363</v>
      </c>
      <c r="F69" s="21" t="s">
        <v>364</v>
      </c>
      <c r="G69" s="68">
        <v>15.3</v>
      </c>
      <c r="H69" s="44" t="s">
        <v>32</v>
      </c>
      <c r="I69" s="15"/>
      <c r="J69" s="68" t="s">
        <v>33</v>
      </c>
      <c r="K69" s="68" t="s">
        <v>34</v>
      </c>
      <c r="L69" s="26"/>
      <c r="M69" s="26"/>
      <c r="N69" s="44"/>
      <c r="O69" s="44" t="s">
        <v>35</v>
      </c>
      <c r="P69" s="44"/>
      <c r="Q69" s="44" t="s">
        <v>323</v>
      </c>
      <c r="R69" s="44" t="s">
        <v>37</v>
      </c>
      <c r="S69" s="26" t="s">
        <v>358</v>
      </c>
      <c r="T69" s="44" t="s">
        <v>39</v>
      </c>
      <c r="U69" s="91"/>
      <c r="V69" s="94"/>
      <c r="W69" s="334"/>
      <c r="X69" s="41" t="str">
        <f>テーブル1[[#This Row],[開発]]&amp;テーブル1[[#This Row],[スコープ]]</f>
        <v>不要IN</v>
      </c>
      <c r="Y69" s="41" t="str">
        <f>IF(テーブル1[[#This Row],[列1]]="不要IN","標準",IF(テーブル1[[#This Row],[列1]]="不要OUT","スコープアウト",IF(テーブル1[[#This Row],[列1]]="必要IN","アドオン",IF(テーブル1[[#This Row],[列1]]="OUT","スコープアウト",""))))</f>
        <v>標準</v>
      </c>
      <c r="Z69" s="345" t="str">
        <f>VLOOKUP($B69,Sheet1!$C$2:$L$315,9,)</f>
        <v>会計システム標準機能</v>
      </c>
      <c r="AA69" s="340" t="str">
        <f>VLOOKUP($B69,Sheet1!$C$2:$L$315,10,)</f>
        <v>税金処理等を含め、マニュアルで仕訳登録いただく前提</v>
      </c>
      <c r="AB69" s="347" t="s">
        <v>3203</v>
      </c>
      <c r="AC69" s="347" t="b">
        <f>テーブル1[[#This Row],[要求事項一覧
判定]]=テーブル1[[#This Row],[列2]]</f>
        <v>1</v>
      </c>
    </row>
    <row r="70" spans="1:29" ht="108" customHeight="1">
      <c r="A70" s="1" t="str">
        <f>テーブル1[[#This Row],[対象部門]]&amp;テーブル1[[#This Row],[業務要件回答表からの事前回答案_v1.0.xlsxより]]</f>
        <v>一般会計全般・決算16.1</v>
      </c>
      <c r="B70" s="1" t="s">
        <v>2931</v>
      </c>
      <c r="D70" s="10" t="s">
        <v>365</v>
      </c>
      <c r="E70" s="26" t="s">
        <v>366</v>
      </c>
      <c r="F70" s="21" t="s">
        <v>367</v>
      </c>
      <c r="G70" s="68">
        <v>16.100000000000001</v>
      </c>
      <c r="H70" s="44" t="s">
        <v>32</v>
      </c>
      <c r="I70" s="15"/>
      <c r="J70" s="68" t="s">
        <v>33</v>
      </c>
      <c r="K70" s="68" t="s">
        <v>34</v>
      </c>
      <c r="L70" s="26"/>
      <c r="M70" s="26"/>
      <c r="N70" s="44"/>
      <c r="O70" s="44" t="s">
        <v>35</v>
      </c>
      <c r="P70" s="44"/>
      <c r="Q70" s="44" t="s">
        <v>368</v>
      </c>
      <c r="R70" s="44" t="s">
        <v>54</v>
      </c>
      <c r="S70" s="26" t="s">
        <v>369</v>
      </c>
      <c r="T70" s="44" t="s">
        <v>39</v>
      </c>
      <c r="U70" s="91"/>
      <c r="V70" s="95" t="s">
        <v>161</v>
      </c>
      <c r="W70" s="336" t="s">
        <v>162</v>
      </c>
      <c r="X70" s="341" t="str">
        <f>テーブル1[[#This Row],[開発]]&amp;テーブル1[[#This Row],[スコープ]]</f>
        <v>必要IN</v>
      </c>
      <c r="Y70" s="41" t="str">
        <f>IF(テーブル1[[#This Row],[列1]]="不要IN","標準",IF(テーブル1[[#This Row],[列1]]="不要OUT","スコープアウト",IF(テーブル1[[#This Row],[列1]]="必要IN","アドオン",IF(テーブル1[[#This Row],[列1]]="OUT","スコープアウト",""))))</f>
        <v>アドオン</v>
      </c>
      <c r="Z70" s="345" t="str">
        <f>VLOOKUP($B70,Sheet1!$C$2:$L$315,9,)</f>
        <v>会計システム標準機能</v>
      </c>
      <c r="AA70" s="340" t="str">
        <f>VLOOKUP($B70,Sheet1!$C$2:$L$315,10,)</f>
        <v>一般的な仕訳等の登録用と異なるレイヤー(仕訳帳)に仕訳登録し、レポート側でどのレイヤーを出力するかの定義で対応可能</v>
      </c>
      <c r="AB70" s="347" t="s">
        <v>3203</v>
      </c>
      <c r="AC70" s="347" t="b">
        <f>テーブル1[[#This Row],[要求事項一覧
判定]]=テーブル1[[#This Row],[列2]]</f>
        <v>0</v>
      </c>
    </row>
    <row r="71" spans="1:29" ht="43.5">
      <c r="A71" s="1" t="str">
        <f>テーブル1[[#This Row],[対象部門]]&amp;テーブル1[[#This Row],[業務要件回答表からの事前回答案_v1.0.xlsxより]]</f>
        <v>一般会計全般・決算16.2</v>
      </c>
      <c r="B71" s="1" t="s">
        <v>2932</v>
      </c>
      <c r="D71" s="10" t="s">
        <v>370</v>
      </c>
      <c r="E71" s="26" t="s">
        <v>371</v>
      </c>
      <c r="F71" s="21" t="s">
        <v>372</v>
      </c>
      <c r="G71" s="79">
        <v>16.2</v>
      </c>
      <c r="H71" s="44" t="s">
        <v>32</v>
      </c>
      <c r="I71" s="15"/>
      <c r="J71" s="68" t="s">
        <v>33</v>
      </c>
      <c r="K71" s="68" t="s">
        <v>34</v>
      </c>
      <c r="L71" s="26"/>
      <c r="M71" s="26"/>
      <c r="N71" s="44"/>
      <c r="O71" s="44" t="s">
        <v>35</v>
      </c>
      <c r="P71" s="44"/>
      <c r="Q71" s="44" t="s">
        <v>368</v>
      </c>
      <c r="R71" s="44" t="s">
        <v>54</v>
      </c>
      <c r="S71" s="26" t="s">
        <v>373</v>
      </c>
      <c r="T71" s="44" t="s">
        <v>39</v>
      </c>
      <c r="U71" s="91"/>
      <c r="V71" s="95" t="s">
        <v>161</v>
      </c>
      <c r="W71" s="336" t="s">
        <v>162</v>
      </c>
      <c r="X71" s="341" t="str">
        <f>テーブル1[[#This Row],[開発]]&amp;テーブル1[[#This Row],[スコープ]]</f>
        <v>必要IN</v>
      </c>
      <c r="Y71" s="41" t="str">
        <f>IF(テーブル1[[#This Row],[列1]]="不要IN","標準",IF(テーブル1[[#This Row],[列1]]="不要OUT","スコープアウト",IF(テーブル1[[#This Row],[列1]]="必要IN","アドオン",IF(テーブル1[[#This Row],[列1]]="OUT","スコープアウト",""))))</f>
        <v>アドオン</v>
      </c>
      <c r="Z71" s="345" t="str">
        <f>VLOOKUP($B71,Sheet1!$C$2:$L$315,9,)</f>
        <v>会計システム標準機能</v>
      </c>
      <c r="AA71" s="340" t="str">
        <f>VLOOKUP($B71,Sheet1!$C$2:$L$315,10,)</f>
        <v>TB(残高試算表）はMRで対応</v>
      </c>
      <c r="AB71" s="347" t="s">
        <v>3203</v>
      </c>
      <c r="AC71" s="347" t="b">
        <f>テーブル1[[#This Row],[要求事項一覧
判定]]=テーブル1[[#This Row],[列2]]</f>
        <v>0</v>
      </c>
    </row>
    <row r="72" spans="1:29" ht="101.5">
      <c r="A72" s="1" t="str">
        <f>テーブル1[[#This Row],[対象部門]]&amp;テーブル1[[#This Row],[業務要件回答表からの事前回答案_v1.0.xlsxより]]</f>
        <v>一般会計全般・決算16.3</v>
      </c>
      <c r="B72" s="1" t="s">
        <v>2933</v>
      </c>
      <c r="D72" s="10" t="s">
        <v>374</v>
      </c>
      <c r="E72" s="26" t="s">
        <v>375</v>
      </c>
      <c r="F72" s="21" t="s">
        <v>376</v>
      </c>
      <c r="G72" s="68">
        <v>16.3</v>
      </c>
      <c r="H72" s="44" t="s">
        <v>32</v>
      </c>
      <c r="I72" s="15"/>
      <c r="J72" s="68" t="s">
        <v>33</v>
      </c>
      <c r="K72" s="68" t="s">
        <v>34</v>
      </c>
      <c r="L72" s="26"/>
      <c r="M72" s="26"/>
      <c r="N72" s="44"/>
      <c r="O72" s="44" t="s">
        <v>35</v>
      </c>
      <c r="P72" s="44"/>
      <c r="Q72" s="44" t="s">
        <v>368</v>
      </c>
      <c r="R72" s="44" t="s">
        <v>37</v>
      </c>
      <c r="S72" s="26" t="s">
        <v>377</v>
      </c>
      <c r="T72" s="44" t="s">
        <v>39</v>
      </c>
      <c r="U72" s="91"/>
      <c r="V72" s="94"/>
      <c r="W72" s="334"/>
      <c r="X72" s="41" t="str">
        <f>テーブル1[[#This Row],[開発]]&amp;テーブル1[[#This Row],[スコープ]]</f>
        <v>不要IN</v>
      </c>
      <c r="Y72" s="41" t="str">
        <f>IF(テーブル1[[#This Row],[列1]]="不要IN","標準",IF(テーブル1[[#This Row],[列1]]="不要OUT","スコープアウト",IF(テーブル1[[#This Row],[列1]]="必要IN","アドオン",IF(テーブル1[[#This Row],[列1]]="OUT","スコープアウト",""))))</f>
        <v>標準</v>
      </c>
      <c r="Z72" s="345" t="str">
        <f>VLOOKUP($B72,Sheet1!$C$2:$L$315,9,)</f>
        <v>会計システム標準機能</v>
      </c>
      <c r="AA72" s="340" t="str">
        <f>VLOOKUP($B72,Sheet1!$C$2:$L$315,10,)</f>
        <v>一般的な仕訳等の登録用と異なるレイヤー(仕訳帳)に仕訳登録し、レポート側でどのレイヤーを出力するかの定義で対応可能</v>
      </c>
      <c r="AB72" s="347" t="s">
        <v>3203</v>
      </c>
      <c r="AC72" s="347" t="b">
        <f>テーブル1[[#This Row],[要求事項一覧
判定]]=テーブル1[[#This Row],[列2]]</f>
        <v>1</v>
      </c>
    </row>
    <row r="73" spans="1:29" ht="85">
      <c r="A73" s="1" t="str">
        <f>テーブル1[[#This Row],[対象部門]]&amp;テーブル1[[#This Row],[業務要件回答表からの事前回答案_v1.0.xlsxより]]</f>
        <v>一般会計全般・決算17.1</v>
      </c>
      <c r="B73" s="1" t="s">
        <v>2934</v>
      </c>
      <c r="D73" s="10" t="s">
        <v>378</v>
      </c>
      <c r="E73" s="26" t="s">
        <v>379</v>
      </c>
      <c r="F73" s="21" t="s">
        <v>380</v>
      </c>
      <c r="G73" s="68">
        <v>17.100000000000001</v>
      </c>
      <c r="H73" s="44" t="s">
        <v>32</v>
      </c>
      <c r="I73" s="15"/>
      <c r="J73" s="68" t="s">
        <v>33</v>
      </c>
      <c r="K73" s="68" t="s">
        <v>34</v>
      </c>
      <c r="L73" s="26"/>
      <c r="M73" s="26"/>
      <c r="N73" s="44"/>
      <c r="O73" s="44" t="s">
        <v>35</v>
      </c>
      <c r="P73" s="44"/>
      <c r="Q73" s="44" t="s">
        <v>368</v>
      </c>
      <c r="R73" s="44" t="s">
        <v>37</v>
      </c>
      <c r="S73" s="26" t="s">
        <v>381</v>
      </c>
      <c r="T73" s="44" t="s">
        <v>39</v>
      </c>
      <c r="U73" s="91"/>
      <c r="V73" s="94"/>
      <c r="W73" s="334"/>
      <c r="X73" s="41" t="str">
        <f>テーブル1[[#This Row],[開発]]&amp;テーブル1[[#This Row],[スコープ]]</f>
        <v>不要IN</v>
      </c>
      <c r="Y73" s="41" t="str">
        <f>IF(テーブル1[[#This Row],[列1]]="不要IN","標準",IF(テーブル1[[#This Row],[列1]]="不要OUT","スコープアウト",IF(テーブル1[[#This Row],[列1]]="必要IN","アドオン",IF(テーブル1[[#This Row],[列1]]="OUT","スコープアウト",""))))</f>
        <v>標準</v>
      </c>
      <c r="Z73" s="345" t="str">
        <f>VLOOKUP($B73,Sheet1!$C$2:$L$315,9,)</f>
        <v>会計システム標準機能</v>
      </c>
      <c r="AA73" s="340">
        <f>VLOOKUP($B73,Sheet1!$C$2:$L$315,10,)</f>
        <v>0</v>
      </c>
      <c r="AB73" s="347" t="s">
        <v>3203</v>
      </c>
      <c r="AC73" s="347" t="b">
        <f>テーブル1[[#This Row],[要求事項一覧
判定]]=テーブル1[[#This Row],[列2]]</f>
        <v>1</v>
      </c>
    </row>
    <row r="74" spans="1:29" ht="29">
      <c r="A74" s="1" t="str">
        <f>テーブル1[[#This Row],[対象部門]]&amp;テーブル1[[#This Row],[業務要件回答表からの事前回答案_v1.0.xlsxより]]</f>
        <v>一般会計全般・決算17.2</v>
      </c>
      <c r="B74" s="1" t="s">
        <v>2935</v>
      </c>
      <c r="D74" s="10" t="s">
        <v>382</v>
      </c>
      <c r="E74" s="26" t="s">
        <v>383</v>
      </c>
      <c r="F74" s="21" t="s">
        <v>384</v>
      </c>
      <c r="G74" s="68">
        <v>17.2</v>
      </c>
      <c r="H74" s="44" t="s">
        <v>32</v>
      </c>
      <c r="I74" s="15"/>
      <c r="J74" s="68" t="s">
        <v>33</v>
      </c>
      <c r="K74" s="68" t="s">
        <v>34</v>
      </c>
      <c r="L74" s="26"/>
      <c r="M74" s="26"/>
      <c r="N74" s="44"/>
      <c r="O74" s="44" t="s">
        <v>35</v>
      </c>
      <c r="P74" s="44"/>
      <c r="Q74" s="44" t="s">
        <v>368</v>
      </c>
      <c r="R74" s="44" t="s">
        <v>37</v>
      </c>
      <c r="S74" s="26" t="s">
        <v>385</v>
      </c>
      <c r="T74" s="44" t="s">
        <v>39</v>
      </c>
      <c r="U74" s="91"/>
      <c r="V74" s="94"/>
      <c r="W74" s="334"/>
      <c r="X74" s="41" t="str">
        <f>テーブル1[[#This Row],[開発]]&amp;テーブル1[[#This Row],[スコープ]]</f>
        <v>不要IN</v>
      </c>
      <c r="Y74" s="41" t="str">
        <f>IF(テーブル1[[#This Row],[列1]]="不要IN","標準",IF(テーブル1[[#This Row],[列1]]="不要OUT","スコープアウト",IF(テーブル1[[#This Row],[列1]]="必要IN","アドオン",IF(テーブル1[[#This Row],[列1]]="OUT","スコープアウト",""))))</f>
        <v>標準</v>
      </c>
      <c r="Z74" s="345" t="str">
        <f>VLOOKUP($B74,Sheet1!$C$2:$L$315,9,)</f>
        <v>会計システム標準機能</v>
      </c>
      <c r="AA74" s="340">
        <f>VLOOKUP($B74,Sheet1!$C$2:$L$315,10,)</f>
        <v>0</v>
      </c>
      <c r="AB74" s="347" t="s">
        <v>3203</v>
      </c>
      <c r="AC74" s="347" t="b">
        <f>テーブル1[[#This Row],[要求事項一覧
判定]]=テーブル1[[#This Row],[列2]]</f>
        <v>1</v>
      </c>
    </row>
    <row r="75" spans="1:29" ht="29">
      <c r="A75" s="1" t="str">
        <f>テーブル1[[#This Row],[対象部門]]&amp;テーブル1[[#This Row],[業務要件回答表からの事前回答案_v1.0.xlsxより]]</f>
        <v>一般会計全般・決算17.3</v>
      </c>
      <c r="B75" s="1" t="s">
        <v>2936</v>
      </c>
      <c r="D75" s="10" t="s">
        <v>386</v>
      </c>
      <c r="E75" s="26" t="s">
        <v>387</v>
      </c>
      <c r="F75" s="21" t="s">
        <v>388</v>
      </c>
      <c r="G75" s="68">
        <v>17.3</v>
      </c>
      <c r="H75" s="44" t="s">
        <v>32</v>
      </c>
      <c r="I75" s="15"/>
      <c r="J75" s="68" t="s">
        <v>33</v>
      </c>
      <c r="K75" s="68" t="s">
        <v>34</v>
      </c>
      <c r="L75" s="26"/>
      <c r="M75" s="26"/>
      <c r="N75" s="44"/>
      <c r="O75" s="44" t="s">
        <v>35</v>
      </c>
      <c r="P75" s="44"/>
      <c r="Q75" s="44" t="s">
        <v>368</v>
      </c>
      <c r="R75" s="44" t="s">
        <v>37</v>
      </c>
      <c r="S75" s="26" t="s">
        <v>385</v>
      </c>
      <c r="T75" s="44" t="s">
        <v>39</v>
      </c>
      <c r="U75" s="91"/>
      <c r="V75" s="94"/>
      <c r="W75" s="334"/>
      <c r="X75" s="41" t="str">
        <f>テーブル1[[#This Row],[開発]]&amp;テーブル1[[#This Row],[スコープ]]</f>
        <v>不要IN</v>
      </c>
      <c r="Y75" s="41" t="str">
        <f>IF(テーブル1[[#This Row],[列1]]="不要IN","標準",IF(テーブル1[[#This Row],[列1]]="不要OUT","スコープアウト",IF(テーブル1[[#This Row],[列1]]="必要IN","アドオン",IF(テーブル1[[#This Row],[列1]]="OUT","スコープアウト",""))))</f>
        <v>標準</v>
      </c>
      <c r="Z75" s="345" t="str">
        <f>VLOOKUP($B75,Sheet1!$C$2:$L$315,9,)</f>
        <v>会計システム標準機能</v>
      </c>
      <c r="AA75" s="340">
        <f>VLOOKUP($B75,Sheet1!$C$2:$L$315,10,)</f>
        <v>0</v>
      </c>
      <c r="AB75" s="347" t="s">
        <v>3203</v>
      </c>
      <c r="AC75" s="347" t="b">
        <f>テーブル1[[#This Row],[要求事項一覧
判定]]=テーブル1[[#This Row],[列2]]</f>
        <v>1</v>
      </c>
    </row>
    <row r="76" spans="1:29" ht="174">
      <c r="A76" s="1" t="str">
        <f>テーブル1[[#This Row],[対象部門]]&amp;テーブル1[[#This Row],[業務要件回答表からの事前回答案_v1.0.xlsxより]]</f>
        <v>一般会計全般・決算18.1</v>
      </c>
      <c r="B76" s="1" t="s">
        <v>2937</v>
      </c>
      <c r="D76" s="10" t="s">
        <v>389</v>
      </c>
      <c r="E76" s="26" t="s">
        <v>390</v>
      </c>
      <c r="F76" s="21" t="s">
        <v>391</v>
      </c>
      <c r="G76" s="68">
        <v>18.100000000000001</v>
      </c>
      <c r="H76" s="44" t="s">
        <v>32</v>
      </c>
      <c r="I76" s="15"/>
      <c r="J76" s="68" t="s">
        <v>33</v>
      </c>
      <c r="K76" s="68" t="s">
        <v>34</v>
      </c>
      <c r="L76" s="26" t="s">
        <v>392</v>
      </c>
      <c r="M76" s="26" t="s">
        <v>393</v>
      </c>
      <c r="N76" s="44"/>
      <c r="O76" s="44" t="s">
        <v>35</v>
      </c>
      <c r="P76" s="44"/>
      <c r="Q76" s="44" t="s">
        <v>368</v>
      </c>
      <c r="R76" s="44" t="s">
        <v>37</v>
      </c>
      <c r="S76" s="26" t="s">
        <v>394</v>
      </c>
      <c r="T76" s="44" t="s">
        <v>39</v>
      </c>
      <c r="U76" s="91"/>
      <c r="V76" s="94"/>
      <c r="W76" s="334"/>
      <c r="X76" s="41" t="str">
        <f>テーブル1[[#This Row],[開発]]&amp;テーブル1[[#This Row],[スコープ]]</f>
        <v>不要IN</v>
      </c>
      <c r="Y76" s="41" t="str">
        <f>IF(テーブル1[[#This Row],[列1]]="不要IN","標準",IF(テーブル1[[#This Row],[列1]]="不要OUT","スコープアウト",IF(テーブル1[[#This Row],[列1]]="必要IN","アドオン",IF(テーブル1[[#This Row],[列1]]="OUT","スコープアウト",""))))</f>
        <v>標準</v>
      </c>
      <c r="Z76" s="346" t="str">
        <f>VLOOKUP($B76,Sheet1!$C$2:$L$315,9,)</f>
        <v>会計システムアドオン</v>
      </c>
      <c r="AA76" s="340" t="str">
        <f>VLOOKUP($B76,Sheet1!$C$2:$L$315,10,)</f>
        <v>IFRSに対応した仕訳登録は、FO標準機能「一般仕訳帳」にて転記階層を変更して登録することで通常の仕訳、残高に影響なく登録可能。ただし、下記帳票類については別途開発が必要となります。
・IFRS固定資産明細(圧縮記帳含む)
・IFRS減損資料
・IFRS税効果会計資料
・IFRS有価証券明細
・IFRS金融負債明細</v>
      </c>
      <c r="AB76" s="347" t="s">
        <v>3205</v>
      </c>
      <c r="AC76" s="347" t="b">
        <f>テーブル1[[#This Row],[要求事項一覧
判定]]=テーブル1[[#This Row],[列2]]</f>
        <v>0</v>
      </c>
    </row>
    <row r="77" spans="1:29" ht="58">
      <c r="A77" s="1" t="str">
        <f>テーブル1[[#This Row],[対象部門]]&amp;テーブル1[[#This Row],[業務要件回答表からの事前回答案_v1.0.xlsxより]]</f>
        <v>債権管理1.1</v>
      </c>
      <c r="B77" s="1" t="s">
        <v>3040</v>
      </c>
      <c r="D77" s="10" t="s">
        <v>395</v>
      </c>
      <c r="E77" s="26" t="s">
        <v>396</v>
      </c>
      <c r="F77" s="21" t="s">
        <v>397</v>
      </c>
      <c r="G77" s="68">
        <v>1.1000000000000001</v>
      </c>
      <c r="H77" s="44" t="s">
        <v>32</v>
      </c>
      <c r="I77" s="15"/>
      <c r="J77" s="68" t="s">
        <v>398</v>
      </c>
      <c r="K77" s="68" t="s">
        <v>399</v>
      </c>
      <c r="L77" s="49" t="s">
        <v>400</v>
      </c>
      <c r="M77" s="30"/>
      <c r="N77" s="44"/>
      <c r="O77" s="44" t="s">
        <v>35</v>
      </c>
      <c r="P77" s="44" t="s">
        <v>401</v>
      </c>
      <c r="Q77" s="68" t="s">
        <v>402</v>
      </c>
      <c r="R77" s="44" t="s">
        <v>54</v>
      </c>
      <c r="S77" s="26" t="s">
        <v>403</v>
      </c>
      <c r="T77" s="44" t="s">
        <v>39</v>
      </c>
      <c r="U77" s="91"/>
      <c r="V77" s="95" t="s">
        <v>161</v>
      </c>
      <c r="W77" s="336" t="s">
        <v>54</v>
      </c>
      <c r="X77" s="341" t="str">
        <f>テーブル1[[#This Row],[開発]]&amp;テーブル1[[#This Row],[スコープ]]</f>
        <v>必要IN</v>
      </c>
      <c r="Y77" s="41" t="str">
        <f>IF(テーブル1[[#This Row],[列1]]="不要IN","標準",IF(テーブル1[[#This Row],[列1]]="不要OUT","スコープアウト",IF(テーブル1[[#This Row],[列1]]="必要IN","アドオン",IF(テーブル1[[#This Row],[列1]]="OUT","スコープアウト",""))))</f>
        <v>アドオン</v>
      </c>
      <c r="Z77" s="345" t="str">
        <f>VLOOKUP($B77,Sheet1!$C$2:$L$315,9,)</f>
        <v>会計システム標準機能</v>
      </c>
      <c r="AA77" s="340" t="str">
        <f>VLOOKUP($B77,Sheet1!$C$2:$L$315,10,)</f>
        <v>上流システムより債権データをExcelエクスポート。DIXFまたはExcelアドインにてインポート</v>
      </c>
      <c r="AB77" s="347" t="s">
        <v>3203</v>
      </c>
      <c r="AC77" s="347" t="b">
        <f>テーブル1[[#This Row],[要求事項一覧
判定]]=テーブル1[[#This Row],[列2]]</f>
        <v>0</v>
      </c>
    </row>
    <row r="78" spans="1:29" ht="159.5">
      <c r="A78" s="1" t="str">
        <f>テーブル1[[#This Row],[対象部門]]&amp;テーブル1[[#This Row],[業務要件回答表からの事前回答案_v1.0.xlsxより]]</f>
        <v>債権管理2.1</v>
      </c>
      <c r="B78" s="1" t="s">
        <v>3041</v>
      </c>
      <c r="D78" s="10" t="s">
        <v>404</v>
      </c>
      <c r="E78" s="26" t="s">
        <v>405</v>
      </c>
      <c r="F78" s="21" t="s">
        <v>406</v>
      </c>
      <c r="G78" s="68">
        <v>2.1</v>
      </c>
      <c r="H78" s="44" t="s">
        <v>32</v>
      </c>
      <c r="I78" s="15"/>
      <c r="J78" s="68" t="s">
        <v>398</v>
      </c>
      <c r="K78" s="68" t="s">
        <v>51</v>
      </c>
      <c r="L78" s="30"/>
      <c r="M78" s="30" t="s">
        <v>407</v>
      </c>
      <c r="N78" s="44"/>
      <c r="O78" s="44" t="s">
        <v>35</v>
      </c>
      <c r="P78" s="44" t="s">
        <v>401</v>
      </c>
      <c r="Q78" s="68" t="s">
        <v>408</v>
      </c>
      <c r="R78" s="44" t="s">
        <v>37</v>
      </c>
      <c r="S78" s="26" t="s">
        <v>409</v>
      </c>
      <c r="T78" s="44" t="s">
        <v>39</v>
      </c>
      <c r="U78" s="91"/>
      <c r="V78" s="94"/>
      <c r="W78" s="334"/>
      <c r="X78" s="41" t="str">
        <f>テーブル1[[#This Row],[開発]]&amp;テーブル1[[#This Row],[スコープ]]</f>
        <v>不要IN</v>
      </c>
      <c r="Y78" s="41" t="str">
        <f>IF(テーブル1[[#This Row],[列1]]="不要IN","標準",IF(テーブル1[[#This Row],[列1]]="不要OUT","スコープアウト",IF(テーブル1[[#This Row],[列1]]="必要IN","アドオン",IF(テーブル1[[#This Row],[列1]]="OUT","スコープアウト",""))))</f>
        <v>標準</v>
      </c>
      <c r="Z78" s="345" t="str">
        <f>VLOOKUP($B78,Sheet1!$C$2:$L$315,9,)</f>
        <v>会計システム標準機能</v>
      </c>
      <c r="AA78" s="340" t="str">
        <f>VLOOKUP($B78,Sheet1!$C$2:$L$315,10,)</f>
        <v>伝票トランザクションにてフィルタしてExcel出力での対応</v>
      </c>
      <c r="AB78" s="347" t="s">
        <v>3203</v>
      </c>
      <c r="AC78" s="347" t="b">
        <f>テーブル1[[#This Row],[要求事項一覧
判定]]=テーブル1[[#This Row],[列2]]</f>
        <v>1</v>
      </c>
    </row>
    <row r="79" spans="1:29" ht="47.15" customHeight="1">
      <c r="A79" s="1" t="str">
        <f>テーブル1[[#This Row],[対象部門]]&amp;テーブル1[[#This Row],[業務要件回答表からの事前回答案_v1.0.xlsxより]]</f>
        <v>債権管理2.2</v>
      </c>
      <c r="B79" s="1" t="s">
        <v>3042</v>
      </c>
      <c r="D79" s="10" t="s">
        <v>410</v>
      </c>
      <c r="E79" s="26" t="s">
        <v>411</v>
      </c>
      <c r="F79" s="21" t="s">
        <v>412</v>
      </c>
      <c r="G79" s="68">
        <v>2.2000000000000002</v>
      </c>
      <c r="H79" s="44" t="s">
        <v>32</v>
      </c>
      <c r="I79" s="15"/>
      <c r="J79" s="68" t="s">
        <v>398</v>
      </c>
      <c r="K79" s="68" t="s">
        <v>51</v>
      </c>
      <c r="L79" s="30"/>
      <c r="M79" s="30"/>
      <c r="N79" s="44"/>
      <c r="O79" s="44" t="s">
        <v>35</v>
      </c>
      <c r="P79" s="44" t="s">
        <v>401</v>
      </c>
      <c r="Q79" s="68" t="s">
        <v>408</v>
      </c>
      <c r="R79" s="44" t="s">
        <v>37</v>
      </c>
      <c r="S79" s="26" t="s">
        <v>413</v>
      </c>
      <c r="T79" s="44" t="s">
        <v>39</v>
      </c>
      <c r="U79" s="91"/>
      <c r="V79" s="94"/>
      <c r="W79" s="334"/>
      <c r="X79" s="41" t="str">
        <f>テーブル1[[#This Row],[開発]]&amp;テーブル1[[#This Row],[スコープ]]</f>
        <v>不要IN</v>
      </c>
      <c r="Y79" s="41" t="str">
        <f>IF(テーブル1[[#This Row],[列1]]="不要IN","標準",IF(テーブル1[[#This Row],[列1]]="不要OUT","スコープアウト",IF(テーブル1[[#This Row],[列1]]="必要IN","アドオン",IF(テーブル1[[#This Row],[列1]]="OUT","スコープアウト",""))))</f>
        <v>標準</v>
      </c>
      <c r="Z79" s="345" t="str">
        <f>VLOOKUP($B79,Sheet1!$C$2:$L$315,9,)</f>
        <v>会計システム標準機能</v>
      </c>
      <c r="AA79" s="340" t="str">
        <f>VLOOKUP($B79,Sheet1!$C$2:$L$315,10,)</f>
        <v>処理方法の情報が連携される仕訳データに付与される前提</v>
      </c>
      <c r="AB79" s="347" t="s">
        <v>3203</v>
      </c>
      <c r="AC79" s="347" t="b">
        <f>テーブル1[[#This Row],[要求事項一覧
判定]]=テーブル1[[#This Row],[列2]]</f>
        <v>1</v>
      </c>
    </row>
    <row r="80" spans="1:29" ht="72.5">
      <c r="A80" s="1" t="str">
        <f>テーブル1[[#This Row],[対象部門]]&amp;テーブル1[[#This Row],[業務要件回答表からの事前回答案_v1.0.xlsxより]]</f>
        <v>債権管理2.3</v>
      </c>
      <c r="B80" s="1" t="s">
        <v>3043</v>
      </c>
      <c r="D80" s="10" t="s">
        <v>414</v>
      </c>
      <c r="E80" s="26" t="s">
        <v>415</v>
      </c>
      <c r="F80" s="21" t="s">
        <v>416</v>
      </c>
      <c r="G80" s="68">
        <v>2.2999999999999998</v>
      </c>
      <c r="H80" s="44" t="s">
        <v>32</v>
      </c>
      <c r="I80" s="15"/>
      <c r="J80" s="68" t="s">
        <v>398</v>
      </c>
      <c r="K80" s="68" t="s">
        <v>51</v>
      </c>
      <c r="L80" s="30"/>
      <c r="M80" s="30"/>
      <c r="N80" s="44"/>
      <c r="O80" s="44" t="s">
        <v>35</v>
      </c>
      <c r="P80" s="44" t="s">
        <v>401</v>
      </c>
      <c r="Q80" s="68" t="s">
        <v>417</v>
      </c>
      <c r="R80" s="44" t="s">
        <v>37</v>
      </c>
      <c r="S80" s="26" t="s">
        <v>418</v>
      </c>
      <c r="T80" s="44" t="s">
        <v>39</v>
      </c>
      <c r="U80" s="91"/>
      <c r="V80" s="94"/>
      <c r="W80" s="334"/>
      <c r="X80" s="41" t="str">
        <f>テーブル1[[#This Row],[開発]]&amp;テーブル1[[#This Row],[スコープ]]</f>
        <v>不要IN</v>
      </c>
      <c r="Y80" s="41" t="str">
        <f>IF(テーブル1[[#This Row],[列1]]="不要IN","標準",IF(テーブル1[[#This Row],[列1]]="不要OUT","スコープアウト",IF(テーブル1[[#This Row],[列1]]="必要IN","アドオン",IF(テーブル1[[#This Row],[列1]]="OUT","スコープアウト",""))))</f>
        <v>標準</v>
      </c>
      <c r="Z80" s="345" t="str">
        <f>VLOOKUP($B80,Sheet1!$C$2:$L$315,9,)</f>
        <v>会計システム標準機能</v>
      </c>
      <c r="AA80" s="340" t="str">
        <f>VLOOKUP($B80,Sheet1!$C$2:$L$315,10,)</f>
        <v>預かり金は消し込みしない。</v>
      </c>
      <c r="AB80" s="347" t="s">
        <v>3203</v>
      </c>
      <c r="AC80" s="347" t="b">
        <f>テーブル1[[#This Row],[要求事項一覧
判定]]=テーブル1[[#This Row],[列2]]</f>
        <v>1</v>
      </c>
    </row>
    <row r="81" spans="1:29" ht="29">
      <c r="A81" s="1" t="str">
        <f>テーブル1[[#This Row],[対象部門]]&amp;テーブル1[[#This Row],[業務要件回答表からの事前回答案_v1.0.xlsxより]]</f>
        <v>債権管理2.4</v>
      </c>
      <c r="B81" s="1" t="s">
        <v>3044</v>
      </c>
      <c r="D81" s="10" t="s">
        <v>419</v>
      </c>
      <c r="E81" s="26" t="s">
        <v>420</v>
      </c>
      <c r="F81" s="21" t="s">
        <v>421</v>
      </c>
      <c r="G81" s="68">
        <v>2.4</v>
      </c>
      <c r="H81" s="44" t="s">
        <v>32</v>
      </c>
      <c r="I81" s="15"/>
      <c r="J81" s="68" t="s">
        <v>398</v>
      </c>
      <c r="K81" s="68" t="s">
        <v>51</v>
      </c>
      <c r="L81" s="30"/>
      <c r="M81" s="30"/>
      <c r="N81" s="44"/>
      <c r="O81" s="44" t="s">
        <v>35</v>
      </c>
      <c r="P81" s="44" t="s">
        <v>401</v>
      </c>
      <c r="Q81" s="68" t="s">
        <v>417</v>
      </c>
      <c r="R81" s="44" t="s">
        <v>37</v>
      </c>
      <c r="S81" s="26" t="s">
        <v>422</v>
      </c>
      <c r="T81" s="44" t="s">
        <v>39</v>
      </c>
      <c r="U81" s="91"/>
      <c r="V81" s="94"/>
      <c r="W81" s="334"/>
      <c r="X81" s="41" t="str">
        <f>テーブル1[[#This Row],[開発]]&amp;テーブル1[[#This Row],[スコープ]]</f>
        <v>不要IN</v>
      </c>
      <c r="Y81" s="41" t="str">
        <f>IF(テーブル1[[#This Row],[列1]]="不要IN","標準",IF(テーブル1[[#This Row],[列1]]="不要OUT","スコープアウト",IF(テーブル1[[#This Row],[列1]]="必要IN","アドオン",IF(テーブル1[[#This Row],[列1]]="OUT","スコープアウト",""))))</f>
        <v>標準</v>
      </c>
      <c r="Z81" s="345" t="str">
        <f>VLOOKUP($B81,Sheet1!$C$2:$L$315,9,)</f>
        <v>会計システム標準機能</v>
      </c>
      <c r="AA81" s="340" t="str">
        <f>VLOOKUP($B81,Sheet1!$C$2:$L$315,10,)</f>
        <v>マニュアルで仕訳を登録</v>
      </c>
      <c r="AB81" s="347" t="s">
        <v>3203</v>
      </c>
      <c r="AC81" s="347" t="b">
        <f>テーブル1[[#This Row],[要求事項一覧
判定]]=テーブル1[[#This Row],[列2]]</f>
        <v>1</v>
      </c>
    </row>
    <row r="82" spans="1:29" ht="29">
      <c r="A82" s="1" t="str">
        <f>テーブル1[[#This Row],[対象部門]]&amp;テーブル1[[#This Row],[業務要件回答表からの事前回答案_v1.0.xlsxより]]</f>
        <v>債権管理3.1</v>
      </c>
      <c r="B82" s="1" t="s">
        <v>3045</v>
      </c>
      <c r="D82" s="10" t="s">
        <v>423</v>
      </c>
      <c r="E82" s="26" t="s">
        <v>424</v>
      </c>
      <c r="F82" s="21" t="s">
        <v>425</v>
      </c>
      <c r="G82" s="68">
        <v>3.1</v>
      </c>
      <c r="H82" s="44" t="s">
        <v>32</v>
      </c>
      <c r="I82" s="15"/>
      <c r="J82" s="68" t="s">
        <v>398</v>
      </c>
      <c r="K82" s="68" t="s">
        <v>426</v>
      </c>
      <c r="L82" s="30"/>
      <c r="M82" s="30"/>
      <c r="N82" s="44"/>
      <c r="O82" s="44" t="s">
        <v>35</v>
      </c>
      <c r="P82" s="44" t="s">
        <v>401</v>
      </c>
      <c r="Q82" s="68" t="s">
        <v>417</v>
      </c>
      <c r="R82" s="44" t="s">
        <v>37</v>
      </c>
      <c r="S82" s="26" t="s">
        <v>427</v>
      </c>
      <c r="T82" s="44" t="s">
        <v>39</v>
      </c>
      <c r="U82" s="91" t="s">
        <v>428</v>
      </c>
      <c r="V82" s="94"/>
      <c r="W82" s="334"/>
      <c r="X82" s="41" t="str">
        <f>テーブル1[[#This Row],[開発]]&amp;テーブル1[[#This Row],[スコープ]]</f>
        <v>不要IN</v>
      </c>
      <c r="Y82" s="41" t="str">
        <f>IF(テーブル1[[#This Row],[列1]]="不要IN","標準",IF(テーブル1[[#This Row],[列1]]="不要OUT","スコープアウト",IF(テーブル1[[#This Row],[列1]]="必要IN","アドオン",IF(テーブル1[[#This Row],[列1]]="OUT","スコープアウト",""))))</f>
        <v>標準</v>
      </c>
      <c r="Z82" s="345" t="str">
        <f>VLOOKUP($B82,Sheet1!$C$2:$L$315,9,)</f>
        <v>会計システム標準機能</v>
      </c>
      <c r="AA82" s="340" t="str">
        <f>VLOOKUP($B82,Sheet1!$C$2:$L$315,10,)</f>
        <v>特定権限の人は他法人の画面を表示可能にする</v>
      </c>
      <c r="AB82" s="347" t="s">
        <v>3203</v>
      </c>
      <c r="AC82" s="347" t="b">
        <f>テーブル1[[#This Row],[要求事項一覧
判定]]=テーブル1[[#This Row],[列2]]</f>
        <v>1</v>
      </c>
    </row>
    <row r="83" spans="1:29" ht="58">
      <c r="A83" s="1" t="str">
        <f>テーブル1[[#This Row],[対象部門]]&amp;テーブル1[[#This Row],[業務要件回答表からの事前回答案_v1.0.xlsxより]]</f>
        <v>債権管理3.2</v>
      </c>
      <c r="B83" s="1" t="s">
        <v>3046</v>
      </c>
      <c r="D83" s="10" t="s">
        <v>429</v>
      </c>
      <c r="E83" s="26" t="s">
        <v>430</v>
      </c>
      <c r="F83" s="21" t="s">
        <v>431</v>
      </c>
      <c r="G83" s="68">
        <v>3.2</v>
      </c>
      <c r="H83" s="44" t="s">
        <v>32</v>
      </c>
      <c r="I83" s="15"/>
      <c r="J83" s="68" t="s">
        <v>398</v>
      </c>
      <c r="K83" s="68" t="s">
        <v>51</v>
      </c>
      <c r="L83" s="30"/>
      <c r="M83" s="26" t="s">
        <v>432</v>
      </c>
      <c r="N83" s="44"/>
      <c r="O83" s="44" t="s">
        <v>35</v>
      </c>
      <c r="P83" s="44" t="s">
        <v>401</v>
      </c>
      <c r="Q83" s="68" t="s">
        <v>417</v>
      </c>
      <c r="R83" s="44" t="s">
        <v>37</v>
      </c>
      <c r="S83" s="26" t="s">
        <v>433</v>
      </c>
      <c r="T83" s="44" t="s">
        <v>39</v>
      </c>
      <c r="U83" s="93" t="s">
        <v>434</v>
      </c>
      <c r="V83" s="94"/>
      <c r="W83" s="334"/>
      <c r="X83" s="41" t="str">
        <f>テーブル1[[#This Row],[開発]]&amp;テーブル1[[#This Row],[スコープ]]</f>
        <v>不要IN</v>
      </c>
      <c r="Y83" s="41" t="str">
        <f>IF(テーブル1[[#This Row],[列1]]="不要IN","標準",IF(テーブル1[[#This Row],[列1]]="不要OUT","スコープアウト",IF(テーブル1[[#This Row],[列1]]="必要IN","アドオン",IF(テーブル1[[#This Row],[列1]]="OUT","スコープアウト",""))))</f>
        <v>標準</v>
      </c>
      <c r="Z83" s="345" t="str">
        <f>VLOOKUP($B83,Sheet1!$C$2:$L$315,9,)</f>
        <v>会計システム標準機能</v>
      </c>
      <c r="AA83" s="340" t="str">
        <f>VLOOKUP($B83,Sheet1!$C$2:$L$315,10,)</f>
        <v>会社間会計で対応可能</v>
      </c>
      <c r="AB83" s="347" t="s">
        <v>3203</v>
      </c>
      <c r="AC83" s="347" t="b">
        <f>テーブル1[[#This Row],[要求事項一覧
判定]]=テーブル1[[#This Row],[列2]]</f>
        <v>1</v>
      </c>
    </row>
    <row r="84" spans="1:29" ht="43.5">
      <c r="A84" s="1" t="str">
        <f>テーブル1[[#This Row],[対象部門]]&amp;テーブル1[[#This Row],[業務要件回答表からの事前回答案_v1.0.xlsxより]]</f>
        <v>債権管理4.1</v>
      </c>
      <c r="B84" s="1" t="s">
        <v>3047</v>
      </c>
      <c r="D84" s="10" t="s">
        <v>435</v>
      </c>
      <c r="E84" s="26" t="s">
        <v>436</v>
      </c>
      <c r="F84" s="21" t="s">
        <v>437</v>
      </c>
      <c r="G84" s="68">
        <v>4.0999999999999996</v>
      </c>
      <c r="H84" s="44" t="s">
        <v>32</v>
      </c>
      <c r="I84" s="15"/>
      <c r="J84" s="68" t="s">
        <v>398</v>
      </c>
      <c r="K84" s="68" t="s">
        <v>399</v>
      </c>
      <c r="L84" s="49" t="s">
        <v>400</v>
      </c>
      <c r="M84" s="21" t="s">
        <v>438</v>
      </c>
      <c r="N84" s="44"/>
      <c r="O84" s="44" t="s">
        <v>35</v>
      </c>
      <c r="P84" s="44" t="s">
        <v>401</v>
      </c>
      <c r="Q84" s="68" t="s">
        <v>417</v>
      </c>
      <c r="R84" s="44" t="s">
        <v>54</v>
      </c>
      <c r="S84" s="26" t="s">
        <v>439</v>
      </c>
      <c r="T84" s="44" t="s">
        <v>39</v>
      </c>
      <c r="U84" s="91"/>
      <c r="V84" s="95" t="s">
        <v>161</v>
      </c>
      <c r="W84" s="336" t="s">
        <v>54</v>
      </c>
      <c r="X84" s="341" t="str">
        <f>テーブル1[[#This Row],[開発]]&amp;テーブル1[[#This Row],[スコープ]]</f>
        <v>必要IN</v>
      </c>
      <c r="Y84" s="41" t="str">
        <f>IF(テーブル1[[#This Row],[列1]]="不要IN","標準",IF(テーブル1[[#This Row],[列1]]="不要OUT","スコープアウト",IF(テーブル1[[#This Row],[列1]]="必要IN","アドオン",IF(テーブル1[[#This Row],[列1]]="OUT","スコープアウト",""))))</f>
        <v>アドオン</v>
      </c>
      <c r="Z84" s="345" t="str">
        <f>VLOOKUP($B84,Sheet1!$C$2:$L$315,9,)</f>
        <v>会計システム標準機能</v>
      </c>
      <c r="AA84" s="340" t="str">
        <f>VLOOKUP($B84,Sheet1!$C$2:$L$315,10,)</f>
        <v>上流システムより債権データをExcelエクスポート。DIXFまたはExcelアドインにてインポート</v>
      </c>
      <c r="AB84" s="347" t="s">
        <v>3203</v>
      </c>
      <c r="AC84" s="347" t="b">
        <f>テーブル1[[#This Row],[要求事項一覧
判定]]=テーブル1[[#This Row],[列2]]</f>
        <v>0</v>
      </c>
    </row>
    <row r="85" spans="1:29" ht="59">
      <c r="A85" s="1" t="str">
        <f>テーブル1[[#This Row],[対象部門]]&amp;テーブル1[[#This Row],[業務要件回答表からの事前回答案_v1.0.xlsxより]]</f>
        <v>債権管理5.1</v>
      </c>
      <c r="B85" s="1" t="s">
        <v>3048</v>
      </c>
      <c r="D85" s="10" t="s">
        <v>440</v>
      </c>
      <c r="E85" s="26" t="s">
        <v>441</v>
      </c>
      <c r="F85" s="21" t="s">
        <v>442</v>
      </c>
      <c r="G85" s="68">
        <v>5.0999999999999996</v>
      </c>
      <c r="H85" s="44" t="s">
        <v>32</v>
      </c>
      <c r="I85" s="15"/>
      <c r="J85" s="68" t="s">
        <v>398</v>
      </c>
      <c r="K85" s="68" t="s">
        <v>426</v>
      </c>
      <c r="L85" s="51" t="s">
        <v>443</v>
      </c>
      <c r="M85" s="26" t="s">
        <v>444</v>
      </c>
      <c r="N85" s="44"/>
      <c r="O85" s="44"/>
      <c r="P85" s="44" t="s">
        <v>401</v>
      </c>
      <c r="Q85" s="44" t="s">
        <v>445</v>
      </c>
      <c r="R85" s="44" t="s">
        <v>37</v>
      </c>
      <c r="S85" s="26"/>
      <c r="T85" s="44" t="s">
        <v>91</v>
      </c>
      <c r="U85" s="91"/>
      <c r="V85" s="94"/>
      <c r="W85" s="334"/>
      <c r="X85" s="41" t="str">
        <f>テーブル1[[#This Row],[開発]]&amp;テーブル1[[#This Row],[スコープ]]</f>
        <v>不要OUT</v>
      </c>
      <c r="Y85" s="41" t="str">
        <f>IF(テーブル1[[#This Row],[列1]]="不要IN","標準",IF(テーブル1[[#This Row],[列1]]="不要OUT","スコープアウト",IF(テーブル1[[#This Row],[列1]]="必要IN","アドオン",IF(テーブル1[[#This Row],[列1]]="OUT","スコープアウト",""))))</f>
        <v>スコープアウト</v>
      </c>
      <c r="Z85" s="345" t="str">
        <f>VLOOKUP($B85,Sheet1!$C$2:$L$315,9,)</f>
        <v>会計システム標準機能</v>
      </c>
      <c r="AA85" s="340">
        <f>VLOOKUP($B85,Sheet1!$C$2:$L$315,10,)</f>
        <v>0</v>
      </c>
      <c r="AB85" s="347" t="s">
        <v>3203</v>
      </c>
      <c r="AC85" s="347" t="b">
        <f>テーブル1[[#This Row],[要求事項一覧
判定]]=テーブル1[[#This Row],[列2]]</f>
        <v>0</v>
      </c>
    </row>
    <row r="86" spans="1:29" ht="58">
      <c r="A86" s="1" t="str">
        <f>テーブル1[[#This Row],[対象部門]]&amp;テーブル1[[#This Row],[業務要件回答表からの事前回答案_v1.0.xlsxより]]</f>
        <v>債権管理6.1</v>
      </c>
      <c r="B86" s="1" t="s">
        <v>3049</v>
      </c>
      <c r="D86" s="10" t="s">
        <v>446</v>
      </c>
      <c r="E86" s="26" t="s">
        <v>447</v>
      </c>
      <c r="F86" s="21" t="s">
        <v>448</v>
      </c>
      <c r="G86" s="68">
        <v>6.1</v>
      </c>
      <c r="H86" s="44" t="s">
        <v>32</v>
      </c>
      <c r="I86" s="15"/>
      <c r="J86" s="68" t="s">
        <v>398</v>
      </c>
      <c r="K86" s="68" t="s">
        <v>426</v>
      </c>
      <c r="L86" s="51" t="s">
        <v>443</v>
      </c>
      <c r="M86" s="26" t="s">
        <v>444</v>
      </c>
      <c r="N86" s="44"/>
      <c r="O86" s="44"/>
      <c r="P86" s="44" t="s">
        <v>401</v>
      </c>
      <c r="Q86" s="44" t="s">
        <v>445</v>
      </c>
      <c r="R86" s="44" t="s">
        <v>37</v>
      </c>
      <c r="S86" s="26"/>
      <c r="T86" s="44" t="s">
        <v>91</v>
      </c>
      <c r="U86" s="91"/>
      <c r="V86" s="94"/>
      <c r="W86" s="334"/>
      <c r="X86" s="41" t="str">
        <f>テーブル1[[#This Row],[開発]]&amp;テーブル1[[#This Row],[スコープ]]</f>
        <v>不要OUT</v>
      </c>
      <c r="Y86" s="41" t="str">
        <f>IF(テーブル1[[#This Row],[列1]]="不要IN","標準",IF(テーブル1[[#This Row],[列1]]="不要OUT","スコープアウト",IF(テーブル1[[#This Row],[列1]]="必要IN","アドオン",IF(テーブル1[[#This Row],[列1]]="OUT","スコープアウト",""))))</f>
        <v>スコープアウト</v>
      </c>
      <c r="Z86" s="345" t="str">
        <f>VLOOKUP($B86,Sheet1!$C$2:$L$315,9,)</f>
        <v>会計システム標準機能</v>
      </c>
      <c r="AA86" s="340">
        <f>VLOOKUP($B86,Sheet1!$C$2:$L$315,10,)</f>
        <v>0</v>
      </c>
      <c r="AB86" s="347" t="s">
        <v>3203</v>
      </c>
      <c r="AC86" s="347" t="b">
        <f>テーブル1[[#This Row],[要求事項一覧
判定]]=テーブル1[[#This Row],[列2]]</f>
        <v>0</v>
      </c>
    </row>
    <row r="87" spans="1:29" ht="133.5">
      <c r="A87" s="1" t="str">
        <f>テーブル1[[#This Row],[対象部門]]&amp;テーブル1[[#This Row],[業務要件回答表からの事前回答案_v1.0.xlsxより]]</f>
        <v>債権管理7.1</v>
      </c>
      <c r="B87" s="1" t="s">
        <v>3050</v>
      </c>
      <c r="D87" s="10" t="s">
        <v>449</v>
      </c>
      <c r="E87" s="26" t="s">
        <v>450</v>
      </c>
      <c r="F87" s="21" t="s">
        <v>451</v>
      </c>
      <c r="G87" s="68">
        <v>7.1</v>
      </c>
      <c r="H87" s="44" t="s">
        <v>32</v>
      </c>
      <c r="I87" s="15"/>
      <c r="J87" s="68" t="s">
        <v>398</v>
      </c>
      <c r="K87" s="68" t="s">
        <v>426</v>
      </c>
      <c r="L87" s="30"/>
      <c r="M87" s="26" t="s">
        <v>444</v>
      </c>
      <c r="N87" s="44"/>
      <c r="O87" s="44" t="s">
        <v>35</v>
      </c>
      <c r="P87" s="44" t="s">
        <v>401</v>
      </c>
      <c r="Q87" s="68" t="s">
        <v>452</v>
      </c>
      <c r="R87" s="44" t="s">
        <v>37</v>
      </c>
      <c r="S87" s="26" t="s">
        <v>453</v>
      </c>
      <c r="T87" s="44" t="s">
        <v>39</v>
      </c>
      <c r="U87" s="91"/>
      <c r="V87" s="94"/>
      <c r="W87" s="334"/>
      <c r="X87" s="41" t="str">
        <f>テーブル1[[#This Row],[開発]]&amp;テーブル1[[#This Row],[スコープ]]</f>
        <v>不要IN</v>
      </c>
      <c r="Y87" s="41" t="str">
        <f>IF(テーブル1[[#This Row],[列1]]="不要IN","標準",IF(テーブル1[[#This Row],[列1]]="不要OUT","スコープアウト",IF(テーブル1[[#This Row],[列1]]="必要IN","アドオン",IF(テーブル1[[#This Row],[列1]]="OUT","スコープアウト",""))))</f>
        <v>標準</v>
      </c>
      <c r="Z87" s="345" t="str">
        <f>VLOOKUP($B87,Sheet1!$C$2:$L$315,9,)</f>
        <v>会計システム標準機能</v>
      </c>
      <c r="AA87" s="340" t="str">
        <f>VLOOKUP($B87,Sheet1!$C$2:$L$315,10,)</f>
        <v>転記プロファイルを使用してマニュアルで仕訳を登録</v>
      </c>
      <c r="AB87" s="347" t="s">
        <v>3203</v>
      </c>
      <c r="AC87" s="347" t="b">
        <f>テーブル1[[#This Row],[要求事項一覧
判定]]=テーブル1[[#This Row],[列2]]</f>
        <v>1</v>
      </c>
    </row>
    <row r="88" spans="1:29" ht="58">
      <c r="A88" s="1" t="str">
        <f>テーブル1[[#This Row],[対象部門]]&amp;テーブル1[[#This Row],[業務要件回答表からの事前回答案_v1.0.xlsxより]]</f>
        <v>債権管理7.2</v>
      </c>
      <c r="B88" s="1" t="s">
        <v>3051</v>
      </c>
      <c r="D88" s="10" t="s">
        <v>454</v>
      </c>
      <c r="E88" s="26" t="s">
        <v>455</v>
      </c>
      <c r="F88" s="21" t="s">
        <v>456</v>
      </c>
      <c r="G88" s="68">
        <v>7.2</v>
      </c>
      <c r="H88" s="44" t="s">
        <v>32</v>
      </c>
      <c r="I88" s="15"/>
      <c r="J88" s="68" t="s">
        <v>398</v>
      </c>
      <c r="K88" s="68" t="s">
        <v>426</v>
      </c>
      <c r="L88" s="50" t="s">
        <v>457</v>
      </c>
      <c r="M88" s="26" t="s">
        <v>444</v>
      </c>
      <c r="N88" s="44"/>
      <c r="O88" s="44"/>
      <c r="P88" s="44" t="s">
        <v>401</v>
      </c>
      <c r="Q88" s="44"/>
      <c r="R88" s="44" t="s">
        <v>37</v>
      </c>
      <c r="S88" s="26"/>
      <c r="T88" s="44" t="s">
        <v>91</v>
      </c>
      <c r="U88" s="91"/>
      <c r="V88" s="94"/>
      <c r="W88" s="334"/>
      <c r="X88" s="41" t="str">
        <f>テーブル1[[#This Row],[開発]]&amp;テーブル1[[#This Row],[スコープ]]</f>
        <v>不要OUT</v>
      </c>
      <c r="Y88" s="41" t="str">
        <f>IF(テーブル1[[#This Row],[列1]]="不要IN","標準",IF(テーブル1[[#This Row],[列1]]="不要OUT","スコープアウト",IF(テーブル1[[#This Row],[列1]]="必要IN","アドオン",IF(テーブル1[[#This Row],[列1]]="OUT","スコープアウト",""))))</f>
        <v>スコープアウト</v>
      </c>
      <c r="Z88" s="345" t="str">
        <f>VLOOKUP($B88,Sheet1!$C$2:$L$315,9,)</f>
        <v>会計システム標準機能</v>
      </c>
      <c r="AA88" s="340">
        <f>VLOOKUP($B88,Sheet1!$C$2:$L$315,10,)</f>
        <v>0</v>
      </c>
      <c r="AB88" s="347" t="s">
        <v>3203</v>
      </c>
      <c r="AC88" s="347" t="b">
        <f>テーブル1[[#This Row],[要求事項一覧
判定]]=テーブル1[[#This Row],[列2]]</f>
        <v>0</v>
      </c>
    </row>
    <row r="89" spans="1:29" ht="29">
      <c r="A89" s="1" t="str">
        <f>テーブル1[[#This Row],[対象部門]]&amp;テーブル1[[#This Row],[業務要件回答表からの事前回答案_v1.0.xlsxより]]</f>
        <v>債権管理8.1</v>
      </c>
      <c r="B89" s="1" t="s">
        <v>3052</v>
      </c>
      <c r="D89" s="10" t="s">
        <v>458</v>
      </c>
      <c r="E89" s="26" t="s">
        <v>459</v>
      </c>
      <c r="F89" s="21" t="s">
        <v>460</v>
      </c>
      <c r="G89" s="68">
        <v>8.1</v>
      </c>
      <c r="H89" s="44" t="s">
        <v>32</v>
      </c>
      <c r="I89" s="15"/>
      <c r="J89" s="68" t="s">
        <v>398</v>
      </c>
      <c r="K89" s="68" t="s">
        <v>426</v>
      </c>
      <c r="L89" s="50" t="s">
        <v>457</v>
      </c>
      <c r="M89" s="26" t="s">
        <v>444</v>
      </c>
      <c r="N89" s="44"/>
      <c r="O89" s="44"/>
      <c r="P89" s="44" t="s">
        <v>401</v>
      </c>
      <c r="Q89" s="44"/>
      <c r="R89" s="44" t="s">
        <v>37</v>
      </c>
      <c r="S89" s="26"/>
      <c r="T89" s="44" t="s">
        <v>91</v>
      </c>
      <c r="U89" s="91"/>
      <c r="V89" s="94"/>
      <c r="W89" s="334"/>
      <c r="X89" s="41" t="str">
        <f>テーブル1[[#This Row],[開発]]&amp;テーブル1[[#This Row],[スコープ]]</f>
        <v>不要OUT</v>
      </c>
      <c r="Y89" s="41" t="str">
        <f>IF(テーブル1[[#This Row],[列1]]="不要IN","標準",IF(テーブル1[[#This Row],[列1]]="不要OUT","スコープアウト",IF(テーブル1[[#This Row],[列1]]="必要IN","アドオン",IF(テーブル1[[#This Row],[列1]]="OUT","スコープアウト",""))))</f>
        <v>スコープアウト</v>
      </c>
      <c r="Z89" s="345" t="str">
        <f>VLOOKUP($B89,Sheet1!$C$2:$L$315,9,)</f>
        <v>会計システム標準機能</v>
      </c>
      <c r="AA89" s="340" t="str">
        <f>VLOOKUP($B89,Sheet1!$C$2:$L$315,10,)</f>
        <v>マニュアルで仕訳を登録</v>
      </c>
      <c r="AB89" s="347" t="s">
        <v>3203</v>
      </c>
      <c r="AC89" s="347" t="b">
        <f>テーブル1[[#This Row],[要求事項一覧
判定]]=テーブル1[[#This Row],[列2]]</f>
        <v>0</v>
      </c>
    </row>
    <row r="90" spans="1:29" ht="29">
      <c r="A90" s="1" t="str">
        <f>テーブル1[[#This Row],[対象部門]]&amp;テーブル1[[#This Row],[業務要件回答表からの事前回答案_v1.0.xlsxより]]</f>
        <v>債権管理8.2</v>
      </c>
      <c r="B90" s="1" t="s">
        <v>3053</v>
      </c>
      <c r="D90" s="10" t="s">
        <v>461</v>
      </c>
      <c r="E90" s="26" t="s">
        <v>462</v>
      </c>
      <c r="F90" s="21" t="s">
        <v>463</v>
      </c>
      <c r="G90" s="68">
        <v>8.1999999999999993</v>
      </c>
      <c r="H90" s="44" t="s">
        <v>32</v>
      </c>
      <c r="I90" s="15"/>
      <c r="J90" s="68" t="s">
        <v>398</v>
      </c>
      <c r="K90" s="68" t="s">
        <v>426</v>
      </c>
      <c r="L90" s="50" t="s">
        <v>457</v>
      </c>
      <c r="M90" s="26" t="s">
        <v>444</v>
      </c>
      <c r="N90" s="44"/>
      <c r="O90" s="44"/>
      <c r="P90" s="44" t="s">
        <v>401</v>
      </c>
      <c r="Q90" s="44"/>
      <c r="R90" s="44" t="s">
        <v>37</v>
      </c>
      <c r="S90" s="26"/>
      <c r="T90" s="44" t="s">
        <v>91</v>
      </c>
      <c r="U90" s="91"/>
      <c r="V90" s="94"/>
      <c r="W90" s="334"/>
      <c r="X90" s="41" t="str">
        <f>テーブル1[[#This Row],[開発]]&amp;テーブル1[[#This Row],[スコープ]]</f>
        <v>不要OUT</v>
      </c>
      <c r="Y90" s="41" t="str">
        <f>IF(テーブル1[[#This Row],[列1]]="不要IN","標準",IF(テーブル1[[#This Row],[列1]]="不要OUT","スコープアウト",IF(テーブル1[[#This Row],[列1]]="必要IN","アドオン",IF(テーブル1[[#This Row],[列1]]="OUT","スコープアウト",""))))</f>
        <v>スコープアウト</v>
      </c>
      <c r="Z90" s="345" t="str">
        <f>VLOOKUP($B90,Sheet1!$C$2:$L$315,9,)</f>
        <v>会計システム標準機能</v>
      </c>
      <c r="AA90" s="340" t="str">
        <f>VLOOKUP($B90,Sheet1!$C$2:$L$315,10,)</f>
        <v>マニュアルで仕訳を登録</v>
      </c>
      <c r="AB90" s="347" t="s">
        <v>3203</v>
      </c>
      <c r="AC90" s="347" t="b">
        <f>テーブル1[[#This Row],[要求事項一覧
判定]]=テーブル1[[#This Row],[列2]]</f>
        <v>0</v>
      </c>
    </row>
    <row r="91" spans="1:29" ht="43.5">
      <c r="A91" s="1" t="str">
        <f>テーブル1[[#This Row],[対象部門]]&amp;テーブル1[[#This Row],[業務要件回答表からの事前回答案_v1.0.xlsxより]]</f>
        <v>債権管理8.3</v>
      </c>
      <c r="B91" s="1" t="s">
        <v>3054</v>
      </c>
      <c r="D91" s="10" t="s">
        <v>464</v>
      </c>
      <c r="E91" s="26" t="s">
        <v>465</v>
      </c>
      <c r="F91" s="21" t="s">
        <v>463</v>
      </c>
      <c r="G91" s="68">
        <v>8.3000000000000007</v>
      </c>
      <c r="H91" s="44" t="s">
        <v>32</v>
      </c>
      <c r="I91" s="15"/>
      <c r="J91" s="68" t="s">
        <v>398</v>
      </c>
      <c r="K91" s="68" t="s">
        <v>426</v>
      </c>
      <c r="L91" s="50" t="s">
        <v>457</v>
      </c>
      <c r="M91" s="26" t="s">
        <v>444</v>
      </c>
      <c r="N91" s="44"/>
      <c r="O91" s="44"/>
      <c r="P91" s="44" t="s">
        <v>401</v>
      </c>
      <c r="Q91" s="44"/>
      <c r="R91" s="44" t="s">
        <v>37</v>
      </c>
      <c r="S91" s="26"/>
      <c r="T91" s="44" t="s">
        <v>91</v>
      </c>
      <c r="U91" s="91"/>
      <c r="V91" s="94"/>
      <c r="W91" s="334"/>
      <c r="X91" s="41" t="str">
        <f>テーブル1[[#This Row],[開発]]&amp;テーブル1[[#This Row],[スコープ]]</f>
        <v>不要OUT</v>
      </c>
      <c r="Y91" s="41" t="str">
        <f>IF(テーブル1[[#This Row],[列1]]="不要IN","標準",IF(テーブル1[[#This Row],[列1]]="不要OUT","スコープアウト",IF(テーブル1[[#This Row],[列1]]="必要IN","アドオン",IF(テーブル1[[#This Row],[列1]]="OUT","スコープアウト",""))))</f>
        <v>スコープアウト</v>
      </c>
      <c r="Z91" s="345" t="str">
        <f>VLOOKUP($B91,Sheet1!$C$2:$L$315,9,)</f>
        <v>会計システム標準機能</v>
      </c>
      <c r="AA91" s="340" t="str">
        <f>VLOOKUP($B91,Sheet1!$C$2:$L$315,10,)</f>
        <v>マニュアルで仕訳を登録</v>
      </c>
      <c r="AB91" s="347" t="s">
        <v>3203</v>
      </c>
      <c r="AC91" s="347" t="b">
        <f>テーブル1[[#This Row],[要求事項一覧
判定]]=テーブル1[[#This Row],[列2]]</f>
        <v>0</v>
      </c>
    </row>
    <row r="92" spans="1:29" ht="43.5">
      <c r="A92" s="1" t="str">
        <f>テーブル1[[#This Row],[対象部門]]&amp;テーブル1[[#This Row],[業務要件回答表からの事前回答案_v1.0.xlsxより]]</f>
        <v>債権管理8.4</v>
      </c>
      <c r="B92" s="1" t="s">
        <v>3055</v>
      </c>
      <c r="D92" s="10" t="s">
        <v>466</v>
      </c>
      <c r="E92" s="26" t="s">
        <v>467</v>
      </c>
      <c r="F92" s="21" t="s">
        <v>468</v>
      </c>
      <c r="G92" s="68">
        <v>8.4</v>
      </c>
      <c r="H92" s="44" t="s">
        <v>32</v>
      </c>
      <c r="I92" s="15"/>
      <c r="J92" s="68" t="s">
        <v>398</v>
      </c>
      <c r="K92" s="68" t="s">
        <v>426</v>
      </c>
      <c r="L92" s="50" t="s">
        <v>457</v>
      </c>
      <c r="M92" s="26" t="s">
        <v>444</v>
      </c>
      <c r="N92" s="44"/>
      <c r="O92" s="44"/>
      <c r="P92" s="44" t="s">
        <v>401</v>
      </c>
      <c r="Q92" s="44"/>
      <c r="R92" s="44" t="s">
        <v>37</v>
      </c>
      <c r="S92" s="26"/>
      <c r="T92" s="44" t="s">
        <v>91</v>
      </c>
      <c r="U92" s="91"/>
      <c r="V92" s="94"/>
      <c r="W92" s="334"/>
      <c r="X92" s="41" t="str">
        <f>テーブル1[[#This Row],[開発]]&amp;テーブル1[[#This Row],[スコープ]]</f>
        <v>不要OUT</v>
      </c>
      <c r="Y92" s="41" t="str">
        <f>IF(テーブル1[[#This Row],[列1]]="不要IN","標準",IF(テーブル1[[#This Row],[列1]]="不要OUT","スコープアウト",IF(テーブル1[[#This Row],[列1]]="必要IN","アドオン",IF(テーブル1[[#This Row],[列1]]="OUT","スコープアウト",""))))</f>
        <v>スコープアウト</v>
      </c>
      <c r="Z92" s="345" t="str">
        <f>VLOOKUP($B92,Sheet1!$C$2:$L$315,9,)</f>
        <v>会計システム標準機能</v>
      </c>
      <c r="AA92" s="340" t="str">
        <f>VLOOKUP($B92,Sheet1!$C$2:$L$315,10,)</f>
        <v>マニュアルで仕訳を登録</v>
      </c>
      <c r="AB92" s="347" t="s">
        <v>3203</v>
      </c>
      <c r="AC92" s="347" t="b">
        <f>テーブル1[[#This Row],[要求事項一覧
判定]]=テーブル1[[#This Row],[列2]]</f>
        <v>0</v>
      </c>
    </row>
    <row r="93" spans="1:29" ht="116">
      <c r="A93" s="1" t="str">
        <f>テーブル1[[#This Row],[対象部門]]&amp;テーブル1[[#This Row],[業務要件回答表からの事前回答案_v1.0.xlsxより]]</f>
        <v>債権管理8.5</v>
      </c>
      <c r="B93" s="1" t="s">
        <v>3056</v>
      </c>
      <c r="D93" s="10" t="s">
        <v>469</v>
      </c>
      <c r="E93" s="26" t="s">
        <v>470</v>
      </c>
      <c r="F93" s="21" t="s">
        <v>471</v>
      </c>
      <c r="G93" s="68">
        <v>8.5</v>
      </c>
      <c r="H93" s="44" t="s">
        <v>32</v>
      </c>
      <c r="I93" s="15"/>
      <c r="J93" s="68" t="s">
        <v>398</v>
      </c>
      <c r="K93" s="68" t="s">
        <v>426</v>
      </c>
      <c r="L93" s="50" t="s">
        <v>457</v>
      </c>
      <c r="M93" s="30" t="s">
        <v>472</v>
      </c>
      <c r="N93" s="44"/>
      <c r="O93" s="44"/>
      <c r="P93" s="44" t="s">
        <v>401</v>
      </c>
      <c r="Q93" s="44"/>
      <c r="R93" s="44" t="s">
        <v>37</v>
      </c>
      <c r="S93" s="26"/>
      <c r="T93" s="44" t="s">
        <v>91</v>
      </c>
      <c r="U93" s="91"/>
      <c r="V93" s="94"/>
      <c r="W93" s="334"/>
      <c r="X93" s="41" t="str">
        <f>テーブル1[[#This Row],[開発]]&amp;テーブル1[[#This Row],[スコープ]]</f>
        <v>不要OUT</v>
      </c>
      <c r="Y93" s="41" t="str">
        <f>IF(テーブル1[[#This Row],[列1]]="不要IN","標準",IF(テーブル1[[#This Row],[列1]]="不要OUT","スコープアウト",IF(テーブル1[[#This Row],[列1]]="必要IN","アドオン",IF(テーブル1[[#This Row],[列1]]="OUT","スコープアウト",""))))</f>
        <v>スコープアウト</v>
      </c>
      <c r="Z93" s="345" t="str">
        <f>VLOOKUP($B93,Sheet1!$C$2:$L$315,9,)</f>
        <v>会計システム標準機能</v>
      </c>
      <c r="AA93" s="340" t="str">
        <f>VLOOKUP($B93,Sheet1!$C$2:$L$315,10,)</f>
        <v>マニュアルで仕訳を登録</v>
      </c>
      <c r="AB93" s="347" t="s">
        <v>3203</v>
      </c>
      <c r="AC93" s="347" t="b">
        <f>テーブル1[[#This Row],[要求事項一覧
判定]]=テーブル1[[#This Row],[列2]]</f>
        <v>0</v>
      </c>
    </row>
    <row r="94" spans="1:29" ht="74.5">
      <c r="A94" s="1" t="str">
        <f>テーブル1[[#This Row],[対象部門]]&amp;テーブル1[[#This Row],[業務要件回答表からの事前回答案_v1.0.xlsxより]]</f>
        <v>債権管理8.6</v>
      </c>
      <c r="B94" s="1" t="s">
        <v>3057</v>
      </c>
      <c r="D94" s="10" t="s">
        <v>473</v>
      </c>
      <c r="E94" s="26" t="s">
        <v>474</v>
      </c>
      <c r="F94" s="21" t="s">
        <v>475</v>
      </c>
      <c r="G94" s="68">
        <v>8.6</v>
      </c>
      <c r="H94" s="44" t="s">
        <v>32</v>
      </c>
      <c r="I94" s="15"/>
      <c r="J94" s="68" t="s">
        <v>398</v>
      </c>
      <c r="K94" s="68" t="s">
        <v>426</v>
      </c>
      <c r="L94" s="50" t="s">
        <v>457</v>
      </c>
      <c r="M94" s="30"/>
      <c r="N94" s="44"/>
      <c r="O94" s="44"/>
      <c r="P94" s="44" t="s">
        <v>401</v>
      </c>
      <c r="Q94" s="44"/>
      <c r="R94" s="44" t="s">
        <v>37</v>
      </c>
      <c r="S94" s="26"/>
      <c r="T94" s="44" t="s">
        <v>91</v>
      </c>
      <c r="U94" s="91"/>
      <c r="V94" s="94"/>
      <c r="W94" s="334"/>
      <c r="X94" s="41" t="str">
        <f>テーブル1[[#This Row],[開発]]&amp;テーブル1[[#This Row],[スコープ]]</f>
        <v>不要OUT</v>
      </c>
      <c r="Y94" s="41" t="str">
        <f>IF(テーブル1[[#This Row],[列1]]="不要IN","標準",IF(テーブル1[[#This Row],[列1]]="不要OUT","スコープアウト",IF(テーブル1[[#This Row],[列1]]="必要IN","アドオン",IF(テーブル1[[#This Row],[列1]]="OUT","スコープアウト",""))))</f>
        <v>スコープアウト</v>
      </c>
      <c r="Z94" s="346" t="str">
        <f>VLOOKUP($B94,Sheet1!$C$2:$L$315,9,)</f>
        <v>会計システムアドオン</v>
      </c>
      <c r="AA94" s="340" t="str">
        <f>VLOOKUP($B94,Sheet1!$C$2:$L$315,10,)</f>
        <v>仕訳帳IF共通のアドオン</v>
      </c>
      <c r="AB94" s="347" t="s">
        <v>3205</v>
      </c>
      <c r="AC94" s="347" t="b">
        <f>テーブル1[[#This Row],[要求事項一覧
判定]]=テーブル1[[#This Row],[列2]]</f>
        <v>0</v>
      </c>
    </row>
    <row r="95" spans="1:29" ht="29">
      <c r="A95" s="1" t="str">
        <f>テーブル1[[#This Row],[対象部門]]&amp;テーブル1[[#This Row],[業務要件回答表からの事前回答案_v1.0.xlsxより]]</f>
        <v>債権管理9.1</v>
      </c>
      <c r="B95" s="1" t="s">
        <v>3058</v>
      </c>
      <c r="D95" s="10" t="s">
        <v>476</v>
      </c>
      <c r="E95" s="26" t="s">
        <v>477</v>
      </c>
      <c r="F95" s="21" t="s">
        <v>478</v>
      </c>
      <c r="G95" s="68">
        <v>9.1</v>
      </c>
      <c r="H95" s="44" t="s">
        <v>32</v>
      </c>
      <c r="I95" s="15"/>
      <c r="J95" s="68" t="s">
        <v>398</v>
      </c>
      <c r="K95" s="68" t="s">
        <v>426</v>
      </c>
      <c r="L95" s="50" t="s">
        <v>457</v>
      </c>
      <c r="M95" s="30"/>
      <c r="N95" s="44"/>
      <c r="O95" s="44"/>
      <c r="P95" s="44" t="s">
        <v>401</v>
      </c>
      <c r="Q95" s="44"/>
      <c r="R95" s="44" t="s">
        <v>37</v>
      </c>
      <c r="S95" s="26"/>
      <c r="T95" s="44" t="s">
        <v>91</v>
      </c>
      <c r="U95" s="91"/>
      <c r="V95" s="94"/>
      <c r="W95" s="334"/>
      <c r="X95" s="41" t="str">
        <f>テーブル1[[#This Row],[開発]]&amp;テーブル1[[#This Row],[スコープ]]</f>
        <v>不要OUT</v>
      </c>
      <c r="Y95" s="41" t="str">
        <f>IF(テーブル1[[#This Row],[列1]]="不要IN","標準",IF(テーブル1[[#This Row],[列1]]="不要OUT","スコープアウト",IF(テーブル1[[#This Row],[列1]]="必要IN","アドオン",IF(テーブル1[[#This Row],[列1]]="OUT","スコープアウト",""))))</f>
        <v>スコープアウト</v>
      </c>
      <c r="Z95" s="345" t="str">
        <f>VLOOKUP($B95,Sheet1!$C$2:$L$315,9,)</f>
        <v>会計システム標準機能</v>
      </c>
      <c r="AA95" s="340" t="str">
        <f>VLOOKUP($B95,Sheet1!$C$2:$L$315,10,)</f>
        <v>マニュアルで仕訳を登録</v>
      </c>
      <c r="AB95" s="347" t="s">
        <v>3203</v>
      </c>
      <c r="AC95" s="347" t="b">
        <f>テーブル1[[#This Row],[要求事項一覧
判定]]=テーブル1[[#This Row],[列2]]</f>
        <v>0</v>
      </c>
    </row>
    <row r="96" spans="1:29" ht="29">
      <c r="A96" s="1" t="str">
        <f>テーブル1[[#This Row],[対象部門]]&amp;テーブル1[[#This Row],[業務要件回答表からの事前回答案_v1.0.xlsxより]]</f>
        <v>債権管理9.2</v>
      </c>
      <c r="B96" s="1" t="s">
        <v>3059</v>
      </c>
      <c r="D96" s="10" t="s">
        <v>479</v>
      </c>
      <c r="E96" s="26" t="s">
        <v>480</v>
      </c>
      <c r="F96" s="21" t="s">
        <v>481</v>
      </c>
      <c r="G96" s="68">
        <v>9.1999999999999993</v>
      </c>
      <c r="H96" s="44" t="s">
        <v>32</v>
      </c>
      <c r="I96" s="15"/>
      <c r="J96" s="68" t="s">
        <v>398</v>
      </c>
      <c r="K96" s="68" t="s">
        <v>426</v>
      </c>
      <c r="L96" s="50" t="s">
        <v>457</v>
      </c>
      <c r="M96" s="30"/>
      <c r="N96" s="44"/>
      <c r="O96" s="44"/>
      <c r="P96" s="44" t="s">
        <v>401</v>
      </c>
      <c r="Q96" s="44"/>
      <c r="R96" s="44" t="s">
        <v>37</v>
      </c>
      <c r="S96" s="26"/>
      <c r="T96" s="44" t="s">
        <v>91</v>
      </c>
      <c r="U96" s="91"/>
      <c r="V96" s="94"/>
      <c r="W96" s="334"/>
      <c r="X96" s="41" t="str">
        <f>テーブル1[[#This Row],[開発]]&amp;テーブル1[[#This Row],[スコープ]]</f>
        <v>不要OUT</v>
      </c>
      <c r="Y96" s="41" t="str">
        <f>IF(テーブル1[[#This Row],[列1]]="不要IN","標準",IF(テーブル1[[#This Row],[列1]]="不要OUT","スコープアウト",IF(テーブル1[[#This Row],[列1]]="必要IN","アドオン",IF(テーブル1[[#This Row],[列1]]="OUT","スコープアウト",""))))</f>
        <v>スコープアウト</v>
      </c>
      <c r="Z96" s="345" t="str">
        <f>VLOOKUP($B96,Sheet1!$C$2:$L$315,9,)</f>
        <v>会計システム標準機能</v>
      </c>
      <c r="AA96" s="340" t="str">
        <f>VLOOKUP($B96,Sheet1!$C$2:$L$315,10,)</f>
        <v>マニュアルで仕訳を登録</v>
      </c>
      <c r="AB96" s="347" t="s">
        <v>3203</v>
      </c>
      <c r="AC96" s="347" t="b">
        <f>テーブル1[[#This Row],[要求事項一覧
判定]]=テーブル1[[#This Row],[列2]]</f>
        <v>0</v>
      </c>
    </row>
    <row r="97" spans="1:29" ht="29">
      <c r="A97" s="1" t="str">
        <f>テーブル1[[#This Row],[対象部門]]&amp;テーブル1[[#This Row],[業務要件回答表からの事前回答案_v1.0.xlsxより]]</f>
        <v>債権管理9.3</v>
      </c>
      <c r="B97" s="1" t="s">
        <v>3060</v>
      </c>
      <c r="D97" s="10" t="s">
        <v>482</v>
      </c>
      <c r="E97" s="26" t="s">
        <v>483</v>
      </c>
      <c r="F97" s="21" t="s">
        <v>484</v>
      </c>
      <c r="G97" s="68">
        <v>9.3000000000000007</v>
      </c>
      <c r="H97" s="44" t="s">
        <v>32</v>
      </c>
      <c r="I97" s="15"/>
      <c r="J97" s="68" t="s">
        <v>398</v>
      </c>
      <c r="K97" s="68" t="s">
        <v>426</v>
      </c>
      <c r="L97" s="50" t="s">
        <v>457</v>
      </c>
      <c r="M97" s="30"/>
      <c r="N97" s="44"/>
      <c r="O97" s="44"/>
      <c r="P97" s="44" t="s">
        <v>401</v>
      </c>
      <c r="Q97" s="44"/>
      <c r="R97" s="44" t="s">
        <v>37</v>
      </c>
      <c r="S97" s="26"/>
      <c r="T97" s="44" t="s">
        <v>91</v>
      </c>
      <c r="U97" s="91"/>
      <c r="V97" s="94"/>
      <c r="W97" s="334"/>
      <c r="X97" s="41" t="str">
        <f>テーブル1[[#This Row],[開発]]&amp;テーブル1[[#This Row],[スコープ]]</f>
        <v>不要OUT</v>
      </c>
      <c r="Y97" s="41" t="str">
        <f>IF(テーブル1[[#This Row],[列1]]="不要IN","標準",IF(テーブル1[[#This Row],[列1]]="不要OUT","スコープアウト",IF(テーブル1[[#This Row],[列1]]="必要IN","アドオン",IF(テーブル1[[#This Row],[列1]]="OUT","スコープアウト",""))))</f>
        <v>スコープアウト</v>
      </c>
      <c r="Z97" s="345" t="str">
        <f>VLOOKUP($B97,Sheet1!$C$2:$L$315,9,)</f>
        <v>会計システム標準機能</v>
      </c>
      <c r="AA97" s="340" t="str">
        <f>VLOOKUP($B97,Sheet1!$C$2:$L$315,10,)</f>
        <v>マニュアルで仕訳を登録</v>
      </c>
      <c r="AB97" s="347" t="s">
        <v>3203</v>
      </c>
      <c r="AC97" s="347" t="b">
        <f>テーブル1[[#This Row],[要求事項一覧
判定]]=テーブル1[[#This Row],[列2]]</f>
        <v>0</v>
      </c>
    </row>
    <row r="98" spans="1:29" ht="44">
      <c r="A98" s="1" t="str">
        <f>テーブル1[[#This Row],[対象部門]]&amp;テーブル1[[#This Row],[業務要件回答表からの事前回答案_v1.0.xlsxより]]</f>
        <v>債権管理9.4</v>
      </c>
      <c r="B98" s="1" t="s">
        <v>3061</v>
      </c>
      <c r="D98" s="10" t="s">
        <v>485</v>
      </c>
      <c r="E98" s="26" t="s">
        <v>486</v>
      </c>
      <c r="F98" s="21" t="s">
        <v>487</v>
      </c>
      <c r="G98" s="68">
        <v>9.4</v>
      </c>
      <c r="H98" s="44" t="s">
        <v>32</v>
      </c>
      <c r="I98" s="15"/>
      <c r="J98" s="68" t="s">
        <v>398</v>
      </c>
      <c r="K98" s="68" t="s">
        <v>426</v>
      </c>
      <c r="L98" s="50" t="s">
        <v>457</v>
      </c>
      <c r="M98" s="30"/>
      <c r="N98" s="44"/>
      <c r="O98" s="44"/>
      <c r="P98" s="44" t="s">
        <v>401</v>
      </c>
      <c r="Q98" s="44"/>
      <c r="R98" s="44" t="s">
        <v>37</v>
      </c>
      <c r="S98" s="26"/>
      <c r="T98" s="44" t="s">
        <v>91</v>
      </c>
      <c r="U98" s="91"/>
      <c r="V98" s="94"/>
      <c r="W98" s="334"/>
      <c r="X98" s="41" t="str">
        <f>テーブル1[[#This Row],[開発]]&amp;テーブル1[[#This Row],[スコープ]]</f>
        <v>不要OUT</v>
      </c>
      <c r="Y98" s="41" t="str">
        <f>IF(テーブル1[[#This Row],[列1]]="不要IN","標準",IF(テーブル1[[#This Row],[列1]]="不要OUT","スコープアウト",IF(テーブル1[[#This Row],[列1]]="必要IN","アドオン",IF(テーブル1[[#This Row],[列1]]="OUT","スコープアウト",""))))</f>
        <v>スコープアウト</v>
      </c>
      <c r="Z98" s="345" t="str">
        <f>VLOOKUP($B98,Sheet1!$C$2:$L$315,9,)</f>
        <v>会計システム標準機能</v>
      </c>
      <c r="AA98" s="340">
        <f>VLOOKUP($B98,Sheet1!$C$2:$L$315,10,)</f>
        <v>0</v>
      </c>
      <c r="AB98" s="347" t="s">
        <v>3203</v>
      </c>
      <c r="AC98" s="347" t="b">
        <f>テーブル1[[#This Row],[要求事項一覧
判定]]=テーブル1[[#This Row],[列2]]</f>
        <v>0</v>
      </c>
    </row>
    <row r="99" spans="1:29" ht="72.5">
      <c r="A99" s="1" t="str">
        <f>テーブル1[[#This Row],[対象部門]]&amp;テーブル1[[#This Row],[業務要件回答表からの事前回答案_v1.0.xlsxより]]</f>
        <v>債権管理10.1</v>
      </c>
      <c r="B99" s="1" t="s">
        <v>3062</v>
      </c>
      <c r="D99" s="10" t="s">
        <v>488</v>
      </c>
      <c r="E99" s="26" t="s">
        <v>489</v>
      </c>
      <c r="F99" s="21" t="s">
        <v>490</v>
      </c>
      <c r="G99" s="68">
        <v>10.1</v>
      </c>
      <c r="H99" s="44" t="s">
        <v>32</v>
      </c>
      <c r="I99" s="15"/>
      <c r="J99" s="68" t="s">
        <v>398</v>
      </c>
      <c r="K99" s="68" t="s">
        <v>426</v>
      </c>
      <c r="L99" s="50" t="s">
        <v>457</v>
      </c>
      <c r="M99" s="30"/>
      <c r="N99" s="44"/>
      <c r="O99" s="44"/>
      <c r="P99" s="44" t="s">
        <v>401</v>
      </c>
      <c r="Q99" s="44"/>
      <c r="R99" s="44" t="s">
        <v>37</v>
      </c>
      <c r="S99" s="26"/>
      <c r="T99" s="44" t="s">
        <v>91</v>
      </c>
      <c r="U99" s="91"/>
      <c r="V99" s="94"/>
      <c r="W99" s="334"/>
      <c r="X99" s="41" t="str">
        <f>テーブル1[[#This Row],[開発]]&amp;テーブル1[[#This Row],[スコープ]]</f>
        <v>不要OUT</v>
      </c>
      <c r="Y99" s="41" t="str">
        <f>IF(テーブル1[[#This Row],[列1]]="不要IN","標準",IF(テーブル1[[#This Row],[列1]]="不要OUT","スコープアウト",IF(テーブル1[[#This Row],[列1]]="必要IN","アドオン",IF(テーブル1[[#This Row],[列1]]="OUT","スコープアウト",""))))</f>
        <v>スコープアウト</v>
      </c>
      <c r="Z99" s="345" t="str">
        <f>VLOOKUP($B99,Sheet1!$C$2:$L$315,9,)</f>
        <v>会計システム標準機能</v>
      </c>
      <c r="AA99" s="340">
        <f>VLOOKUP($B99,Sheet1!$C$2:$L$315,10,)</f>
        <v>0</v>
      </c>
      <c r="AB99" s="347" t="s">
        <v>3203</v>
      </c>
      <c r="AC99" s="347" t="b">
        <f>テーブル1[[#This Row],[要求事項一覧
判定]]=テーブル1[[#This Row],[列2]]</f>
        <v>0</v>
      </c>
    </row>
    <row r="100" spans="1:29" ht="29">
      <c r="A100" s="1" t="str">
        <f>テーブル1[[#This Row],[対象部門]]&amp;テーブル1[[#This Row],[業務要件回答表からの事前回答案_v1.0.xlsxより]]</f>
        <v>債権管理10.2</v>
      </c>
      <c r="B100" s="1" t="s">
        <v>3063</v>
      </c>
      <c r="D100" s="10" t="s">
        <v>491</v>
      </c>
      <c r="E100" s="26" t="s">
        <v>492</v>
      </c>
      <c r="F100" s="21" t="s">
        <v>493</v>
      </c>
      <c r="G100" s="68">
        <v>10.199999999999999</v>
      </c>
      <c r="H100" s="44" t="s">
        <v>32</v>
      </c>
      <c r="I100" s="15"/>
      <c r="J100" s="68" t="s">
        <v>398</v>
      </c>
      <c r="K100" s="68" t="s">
        <v>426</v>
      </c>
      <c r="L100" s="50" t="s">
        <v>457</v>
      </c>
      <c r="M100" s="30"/>
      <c r="N100" s="44"/>
      <c r="O100" s="44"/>
      <c r="P100" s="44" t="s">
        <v>401</v>
      </c>
      <c r="Q100" s="44"/>
      <c r="R100" s="44" t="s">
        <v>37</v>
      </c>
      <c r="S100" s="26"/>
      <c r="T100" s="44" t="s">
        <v>91</v>
      </c>
      <c r="U100" s="91"/>
      <c r="V100" s="94"/>
      <c r="W100" s="334"/>
      <c r="X100" s="41" t="str">
        <f>テーブル1[[#This Row],[開発]]&amp;テーブル1[[#This Row],[スコープ]]</f>
        <v>不要OUT</v>
      </c>
      <c r="Y100" s="41" t="str">
        <f>IF(テーブル1[[#This Row],[列1]]="不要IN","標準",IF(テーブル1[[#This Row],[列1]]="不要OUT","スコープアウト",IF(テーブル1[[#This Row],[列1]]="必要IN","アドオン",IF(テーブル1[[#This Row],[列1]]="OUT","スコープアウト",""))))</f>
        <v>スコープアウト</v>
      </c>
      <c r="Z100" s="345" t="str">
        <f>VLOOKUP($B100,Sheet1!$C$2:$L$315,9,)</f>
        <v>会計システム標準機能</v>
      </c>
      <c r="AA100" s="340">
        <f>VLOOKUP($B100,Sheet1!$C$2:$L$315,10,)</f>
        <v>0</v>
      </c>
      <c r="AB100" s="347" t="s">
        <v>3203</v>
      </c>
      <c r="AC100" s="347" t="b">
        <f>テーブル1[[#This Row],[要求事項一覧
判定]]=テーブル1[[#This Row],[列2]]</f>
        <v>0</v>
      </c>
    </row>
    <row r="101" spans="1:29" ht="148.5" customHeight="1">
      <c r="A101" s="1" t="str">
        <f>テーブル1[[#This Row],[対象部門]]&amp;テーブル1[[#This Row],[業務要件回答表からの事前回答案_v1.0.xlsxより]]</f>
        <v>債権管理11.1</v>
      </c>
      <c r="B101" s="1" t="s">
        <v>3064</v>
      </c>
      <c r="D101" s="10" t="s">
        <v>494</v>
      </c>
      <c r="E101" s="26" t="s">
        <v>495</v>
      </c>
      <c r="F101" s="21" t="s">
        <v>496</v>
      </c>
      <c r="G101" s="68">
        <v>11.1</v>
      </c>
      <c r="H101" s="44" t="s">
        <v>32</v>
      </c>
      <c r="I101" s="15"/>
      <c r="J101" s="68" t="s">
        <v>398</v>
      </c>
      <c r="K101" s="68" t="s">
        <v>426</v>
      </c>
      <c r="L101" s="26" t="s">
        <v>497</v>
      </c>
      <c r="M101" s="26" t="s">
        <v>498</v>
      </c>
      <c r="N101" s="44"/>
      <c r="O101" s="44" t="s">
        <v>35</v>
      </c>
      <c r="P101" s="44" t="s">
        <v>401</v>
      </c>
      <c r="Q101" s="68" t="s">
        <v>499</v>
      </c>
      <c r="R101" s="44" t="s">
        <v>37</v>
      </c>
      <c r="S101" s="26" t="s">
        <v>500</v>
      </c>
      <c r="T101" s="44" t="s">
        <v>39</v>
      </c>
      <c r="U101" s="91"/>
      <c r="V101" s="94"/>
      <c r="W101" s="334"/>
      <c r="X101" s="41" t="str">
        <f>テーブル1[[#This Row],[開発]]&amp;テーブル1[[#This Row],[スコープ]]</f>
        <v>不要IN</v>
      </c>
      <c r="Y101" s="41" t="str">
        <f>IF(テーブル1[[#This Row],[列1]]="不要IN","標準",IF(テーブル1[[#This Row],[列1]]="不要OUT","スコープアウト",IF(テーブル1[[#This Row],[列1]]="必要IN","アドオン",IF(テーブル1[[#This Row],[列1]]="OUT","スコープアウト",""))))</f>
        <v>標準</v>
      </c>
      <c r="Z101" s="345" t="str">
        <f>VLOOKUP($B101,Sheet1!$C$2:$L$315,9,)</f>
        <v>会計システム標準機能</v>
      </c>
      <c r="AA101" s="340">
        <f>VLOOKUP($B101,Sheet1!$C$2:$L$315,10,)</f>
        <v>0</v>
      </c>
      <c r="AB101" s="347" t="s">
        <v>3203</v>
      </c>
      <c r="AC101" s="347" t="b">
        <f>テーブル1[[#This Row],[要求事項一覧
判定]]=テーブル1[[#This Row],[列2]]</f>
        <v>1</v>
      </c>
    </row>
    <row r="102" spans="1:29" ht="59">
      <c r="A102" s="1" t="str">
        <f>テーブル1[[#This Row],[対象部門]]&amp;テーブル1[[#This Row],[業務要件回答表からの事前回答案_v1.0.xlsxより]]</f>
        <v>債権管理11.2</v>
      </c>
      <c r="B102" s="1" t="s">
        <v>3065</v>
      </c>
      <c r="D102" s="10" t="s">
        <v>501</v>
      </c>
      <c r="E102" s="26" t="s">
        <v>502</v>
      </c>
      <c r="F102" s="21" t="s">
        <v>503</v>
      </c>
      <c r="G102" s="68">
        <v>11.2</v>
      </c>
      <c r="H102" s="44" t="s">
        <v>32</v>
      </c>
      <c r="I102" s="15"/>
      <c r="J102" s="68" t="s">
        <v>398</v>
      </c>
      <c r="K102" s="68" t="s">
        <v>426</v>
      </c>
      <c r="L102" s="26" t="s">
        <v>504</v>
      </c>
      <c r="M102" s="26" t="s">
        <v>505</v>
      </c>
      <c r="N102" s="44"/>
      <c r="O102" s="44"/>
      <c r="P102" s="44" t="s">
        <v>401</v>
      </c>
      <c r="Q102" s="44"/>
      <c r="R102" s="44" t="s">
        <v>37</v>
      </c>
      <c r="S102" s="26"/>
      <c r="T102" s="44" t="s">
        <v>91</v>
      </c>
      <c r="U102" s="91"/>
      <c r="V102" s="94"/>
      <c r="W102" s="334"/>
      <c r="X102" s="41" t="str">
        <f>テーブル1[[#This Row],[開発]]&amp;テーブル1[[#This Row],[スコープ]]</f>
        <v>不要OUT</v>
      </c>
      <c r="Y102" s="41" t="str">
        <f>IF(テーブル1[[#This Row],[列1]]="不要IN","標準",IF(テーブル1[[#This Row],[列1]]="不要OUT","スコープアウト",IF(テーブル1[[#This Row],[列1]]="必要IN","アドオン",IF(テーブル1[[#This Row],[列1]]="OUT","スコープアウト",""))))</f>
        <v>スコープアウト</v>
      </c>
      <c r="Z102" s="347" t="str">
        <f>VLOOKUP($B102,Sheet1!$C$2:$L$315,9,)</f>
        <v>拡張プラットフォーム</v>
      </c>
      <c r="AA102" s="340" t="str">
        <f>VLOOKUP($B102,Sheet1!$C$2:$L$315,10,)</f>
        <v>SCMモジュールにて対応
（売掛金年齢表で対応）</v>
      </c>
      <c r="AB102" s="347"/>
      <c r="AC102" s="347" t="b">
        <f>テーブル1[[#This Row],[要求事項一覧
判定]]=テーブル1[[#This Row],[列2]]</f>
        <v>0</v>
      </c>
    </row>
    <row r="103" spans="1:29" ht="89">
      <c r="A103" s="1" t="str">
        <f>テーブル1[[#This Row],[対象部門]]&amp;テーブル1[[#This Row],[業務要件回答表からの事前回答案_v1.0.xlsxより]]</f>
        <v>債権管理11.3</v>
      </c>
      <c r="B103" s="1" t="s">
        <v>3066</v>
      </c>
      <c r="D103" s="10" t="s">
        <v>506</v>
      </c>
      <c r="E103" s="26" t="s">
        <v>507</v>
      </c>
      <c r="F103" s="21" t="s">
        <v>508</v>
      </c>
      <c r="G103" s="68">
        <v>11.3</v>
      </c>
      <c r="H103" s="44" t="s">
        <v>32</v>
      </c>
      <c r="I103" s="15"/>
      <c r="J103" s="68" t="s">
        <v>398</v>
      </c>
      <c r="K103" s="68" t="s">
        <v>426</v>
      </c>
      <c r="L103" s="26"/>
      <c r="M103" s="26" t="s">
        <v>444</v>
      </c>
      <c r="N103" s="44"/>
      <c r="O103" s="44" t="s">
        <v>35</v>
      </c>
      <c r="P103" s="44" t="s">
        <v>401</v>
      </c>
      <c r="Q103" s="68" t="s">
        <v>499</v>
      </c>
      <c r="R103" s="44" t="s">
        <v>37</v>
      </c>
      <c r="S103" s="26" t="s">
        <v>509</v>
      </c>
      <c r="T103" s="44" t="s">
        <v>39</v>
      </c>
      <c r="U103" s="91"/>
      <c r="V103" s="94"/>
      <c r="W103" s="334"/>
      <c r="X103" s="41" t="str">
        <f>テーブル1[[#This Row],[開発]]&amp;テーブル1[[#This Row],[スコープ]]</f>
        <v>不要IN</v>
      </c>
      <c r="Y103" s="41" t="str">
        <f>IF(テーブル1[[#This Row],[列1]]="不要IN","標準",IF(テーブル1[[#This Row],[列1]]="不要OUT","スコープアウト",IF(テーブル1[[#This Row],[列1]]="必要IN","アドオン",IF(テーブル1[[#This Row],[列1]]="OUT","スコープアウト",""))))</f>
        <v>標準</v>
      </c>
      <c r="Z103" s="345" t="str">
        <f>VLOOKUP($B103,Sheet1!$C$2:$L$315,9,)</f>
        <v>会計システム標準機能</v>
      </c>
      <c r="AA103" s="340">
        <f>VLOOKUP($B103,Sheet1!$C$2:$L$315,10,)</f>
        <v>0</v>
      </c>
      <c r="AB103" s="347" t="s">
        <v>3203</v>
      </c>
      <c r="AC103" s="347" t="b">
        <f>テーブル1[[#This Row],[要求事項一覧
判定]]=テーブル1[[#This Row],[列2]]</f>
        <v>1</v>
      </c>
    </row>
    <row r="104" spans="1:29" ht="59.15" customHeight="1">
      <c r="A104" s="1" t="str">
        <f>テーブル1[[#This Row],[対象部門]]&amp;テーブル1[[#This Row],[業務要件回答表からの事前回答案_v1.0.xlsxより]]</f>
        <v>債権管理11.4</v>
      </c>
      <c r="B104" s="1" t="s">
        <v>3067</v>
      </c>
      <c r="D104" s="10" t="s">
        <v>510</v>
      </c>
      <c r="E104" s="26" t="s">
        <v>511</v>
      </c>
      <c r="F104" s="21" t="s">
        <v>512</v>
      </c>
      <c r="G104" s="68">
        <v>11.4</v>
      </c>
      <c r="H104" s="44" t="s">
        <v>32</v>
      </c>
      <c r="I104" s="15"/>
      <c r="J104" s="68" t="s">
        <v>398</v>
      </c>
      <c r="K104" s="68" t="s">
        <v>426</v>
      </c>
      <c r="L104" s="26"/>
      <c r="M104" s="26" t="s">
        <v>444</v>
      </c>
      <c r="N104" s="44"/>
      <c r="O104" s="44" t="s">
        <v>35</v>
      </c>
      <c r="P104" s="44" t="s">
        <v>401</v>
      </c>
      <c r="Q104" s="68" t="s">
        <v>499</v>
      </c>
      <c r="R104" s="44" t="s">
        <v>37</v>
      </c>
      <c r="S104" s="26" t="s">
        <v>513</v>
      </c>
      <c r="T104" s="44" t="s">
        <v>39</v>
      </c>
      <c r="U104" s="91"/>
      <c r="V104" s="94"/>
      <c r="W104" s="334"/>
      <c r="X104" s="41" t="str">
        <f>テーブル1[[#This Row],[開発]]&amp;テーブル1[[#This Row],[スコープ]]</f>
        <v>不要IN</v>
      </c>
      <c r="Y104" s="41" t="str">
        <f>IF(テーブル1[[#This Row],[列1]]="不要IN","標準",IF(テーブル1[[#This Row],[列1]]="不要OUT","スコープアウト",IF(テーブル1[[#This Row],[列1]]="必要IN","アドオン",IF(テーブル1[[#This Row],[列1]]="OUT","スコープアウト",""))))</f>
        <v>標準</v>
      </c>
      <c r="Z104" s="345" t="str">
        <f>VLOOKUP($B104,Sheet1!$C$2:$L$315,9,)</f>
        <v>会計システム標準機能</v>
      </c>
      <c r="AA104" s="340">
        <f>VLOOKUP($B104,Sheet1!$C$2:$L$315,10,)</f>
        <v>0</v>
      </c>
      <c r="AB104" s="347" t="s">
        <v>3203</v>
      </c>
      <c r="AC104" s="347" t="b">
        <f>テーブル1[[#This Row],[要求事項一覧
判定]]=テーブル1[[#This Row],[列2]]</f>
        <v>1</v>
      </c>
    </row>
    <row r="105" spans="1:29" ht="104">
      <c r="A105" s="1" t="str">
        <f>テーブル1[[#This Row],[対象部門]]&amp;テーブル1[[#This Row],[業務要件回答表からの事前回答案_v1.0.xlsxより]]</f>
        <v>債権管理11.5</v>
      </c>
      <c r="B105" s="1" t="s">
        <v>3068</v>
      </c>
      <c r="D105" s="10" t="s">
        <v>514</v>
      </c>
      <c r="E105" s="26" t="s">
        <v>515</v>
      </c>
      <c r="F105" s="21" t="s">
        <v>516</v>
      </c>
      <c r="G105" s="68">
        <v>11.5</v>
      </c>
      <c r="H105" s="44" t="s">
        <v>32</v>
      </c>
      <c r="I105" s="15"/>
      <c r="J105" s="68" t="s">
        <v>398</v>
      </c>
      <c r="K105" s="68" t="s">
        <v>426</v>
      </c>
      <c r="L105" s="26" t="s">
        <v>504</v>
      </c>
      <c r="M105" s="26" t="s">
        <v>517</v>
      </c>
      <c r="N105" s="44"/>
      <c r="O105" s="44"/>
      <c r="P105" s="44" t="s">
        <v>401</v>
      </c>
      <c r="Q105" s="44"/>
      <c r="R105" s="44" t="s">
        <v>37</v>
      </c>
      <c r="S105" s="26"/>
      <c r="T105" s="44" t="s">
        <v>91</v>
      </c>
      <c r="U105" s="91"/>
      <c r="V105" s="94"/>
      <c r="W105" s="334"/>
      <c r="X105" s="41" t="str">
        <f>テーブル1[[#This Row],[開発]]&amp;テーブル1[[#This Row],[スコープ]]</f>
        <v>不要OUT</v>
      </c>
      <c r="Y105" s="41" t="str">
        <f>IF(テーブル1[[#This Row],[列1]]="不要IN","標準",IF(テーブル1[[#This Row],[列1]]="不要OUT","スコープアウト",IF(テーブル1[[#This Row],[列1]]="必要IN","アドオン",IF(テーブル1[[#This Row],[列1]]="OUT","スコープアウト",""))))</f>
        <v>スコープアウト</v>
      </c>
      <c r="Z105" s="345" t="str">
        <f>VLOOKUP($B105,Sheet1!$C$2:$L$315,9,)</f>
        <v>会計システム標準機能</v>
      </c>
      <c r="AA105" s="340">
        <f>VLOOKUP($B105,Sheet1!$C$2:$L$315,10,)</f>
        <v>0</v>
      </c>
      <c r="AB105" s="347" t="s">
        <v>3203</v>
      </c>
      <c r="AC105" s="347" t="b">
        <f>テーブル1[[#This Row],[要求事項一覧
判定]]=テーブル1[[#This Row],[列2]]</f>
        <v>0</v>
      </c>
    </row>
    <row r="106" spans="1:29" ht="89">
      <c r="A106" s="1" t="str">
        <f>テーブル1[[#This Row],[対象部門]]&amp;テーブル1[[#This Row],[業務要件回答表からの事前回答案_v1.0.xlsxより]]</f>
        <v>債権管理12.1</v>
      </c>
      <c r="B106" s="1" t="s">
        <v>3069</v>
      </c>
      <c r="D106" s="10" t="s">
        <v>518</v>
      </c>
      <c r="E106" s="26" t="s">
        <v>519</v>
      </c>
      <c r="F106" s="21" t="s">
        <v>520</v>
      </c>
      <c r="G106" s="68">
        <v>12.1</v>
      </c>
      <c r="H106" s="44" t="s">
        <v>32</v>
      </c>
      <c r="I106" s="15"/>
      <c r="J106" s="68" t="s">
        <v>398</v>
      </c>
      <c r="K106" s="68" t="s">
        <v>426</v>
      </c>
      <c r="L106" s="30"/>
      <c r="M106" s="30"/>
      <c r="N106" s="44"/>
      <c r="O106" s="44" t="s">
        <v>35</v>
      </c>
      <c r="P106" s="44" t="s">
        <v>401</v>
      </c>
      <c r="Q106" s="68" t="s">
        <v>499</v>
      </c>
      <c r="R106" s="44" t="s">
        <v>37</v>
      </c>
      <c r="S106" s="26" t="s">
        <v>500</v>
      </c>
      <c r="T106" s="44" t="s">
        <v>39</v>
      </c>
      <c r="U106" s="91"/>
      <c r="V106" s="94"/>
      <c r="W106" s="334"/>
      <c r="X106" s="41" t="str">
        <f>テーブル1[[#This Row],[開発]]&amp;テーブル1[[#This Row],[スコープ]]</f>
        <v>不要IN</v>
      </c>
      <c r="Y106" s="41" t="str">
        <f>IF(テーブル1[[#This Row],[列1]]="不要IN","標準",IF(テーブル1[[#This Row],[列1]]="不要OUT","スコープアウト",IF(テーブル1[[#This Row],[列1]]="必要IN","アドオン",IF(テーブル1[[#This Row],[列1]]="OUT","スコープアウト",""))))</f>
        <v>標準</v>
      </c>
      <c r="Z106" s="345" t="str">
        <f>VLOOKUP($B106,Sheet1!$C$2:$L$315,9,)</f>
        <v>会計システム標準機能</v>
      </c>
      <c r="AA106" s="340">
        <f>VLOOKUP($B106,Sheet1!$C$2:$L$315,10,)</f>
        <v>0</v>
      </c>
      <c r="AB106" s="347" t="s">
        <v>3203</v>
      </c>
      <c r="AC106" s="347" t="b">
        <f>テーブル1[[#This Row],[要求事項一覧
判定]]=テーブル1[[#This Row],[列2]]</f>
        <v>1</v>
      </c>
    </row>
    <row r="107" spans="1:29" ht="59">
      <c r="A107" s="1" t="str">
        <f>テーブル1[[#This Row],[対象部門]]&amp;テーブル1[[#This Row],[業務要件回答表からの事前回答案_v1.0.xlsxより]]</f>
        <v>債権管理12.2</v>
      </c>
      <c r="B107" s="1" t="s">
        <v>3070</v>
      </c>
      <c r="D107" s="10" t="s">
        <v>521</v>
      </c>
      <c r="E107" s="26" t="s">
        <v>522</v>
      </c>
      <c r="F107" s="21" t="s">
        <v>523</v>
      </c>
      <c r="G107" s="68">
        <v>12.2</v>
      </c>
      <c r="H107" s="44" t="s">
        <v>32</v>
      </c>
      <c r="I107" s="15"/>
      <c r="J107" s="68" t="s">
        <v>398</v>
      </c>
      <c r="K107" s="68" t="s">
        <v>426</v>
      </c>
      <c r="L107" s="30" t="s">
        <v>524</v>
      </c>
      <c r="M107" s="30"/>
      <c r="N107" s="44"/>
      <c r="O107" s="44"/>
      <c r="P107" s="44" t="s">
        <v>401</v>
      </c>
      <c r="Q107" s="44"/>
      <c r="R107" s="44" t="s">
        <v>37</v>
      </c>
      <c r="S107" s="26"/>
      <c r="T107" s="44" t="s">
        <v>91</v>
      </c>
      <c r="U107" s="91"/>
      <c r="V107" s="94"/>
      <c r="W107" s="334"/>
      <c r="X107" s="41" t="str">
        <f>テーブル1[[#This Row],[開発]]&amp;テーブル1[[#This Row],[スコープ]]</f>
        <v>不要OUT</v>
      </c>
      <c r="Y107" s="41" t="str">
        <f>IF(テーブル1[[#This Row],[列1]]="不要IN","標準",IF(テーブル1[[#This Row],[列1]]="不要OUT","スコープアウト",IF(テーブル1[[#This Row],[列1]]="必要IN","アドオン",IF(テーブル1[[#This Row],[列1]]="OUT","スコープアウト",""))))</f>
        <v>スコープアウト</v>
      </c>
      <c r="Z107" s="345" t="str">
        <f>VLOOKUP($B107,Sheet1!$C$2:$L$315,9,)</f>
        <v>会計システム標準機能</v>
      </c>
      <c r="AA107" s="340" t="str">
        <f>VLOOKUP($B107,Sheet1!$C$2:$L$315,10,)</f>
        <v>本要件は対応しない</v>
      </c>
      <c r="AB107" s="347" t="s">
        <v>3203</v>
      </c>
      <c r="AC107" s="347" t="b">
        <f>テーブル1[[#This Row],[要求事項一覧
判定]]=テーブル1[[#This Row],[列2]]</f>
        <v>0</v>
      </c>
    </row>
    <row r="108" spans="1:29" ht="87">
      <c r="A108" s="1" t="str">
        <f>テーブル1[[#This Row],[対象部門]]&amp;テーブル1[[#This Row],[業務要件回答表からの事前回答案_v1.0.xlsxより]]</f>
        <v>債権管理13.1</v>
      </c>
      <c r="B108" s="1" t="s">
        <v>3071</v>
      </c>
      <c r="D108" s="10" t="s">
        <v>525</v>
      </c>
      <c r="E108" s="26" t="s">
        <v>526</v>
      </c>
      <c r="F108" s="21" t="s">
        <v>527</v>
      </c>
      <c r="G108" s="68">
        <v>13.1</v>
      </c>
      <c r="H108" s="44" t="s">
        <v>32</v>
      </c>
      <c r="I108" s="15"/>
      <c r="J108" s="68" t="s">
        <v>398</v>
      </c>
      <c r="K108" s="68" t="s">
        <v>51</v>
      </c>
      <c r="L108" s="30"/>
      <c r="M108" s="26" t="s">
        <v>528</v>
      </c>
      <c r="N108" s="44"/>
      <c r="O108" s="44" t="s">
        <v>35</v>
      </c>
      <c r="P108" s="44" t="s">
        <v>401</v>
      </c>
      <c r="Q108" s="68" t="s">
        <v>499</v>
      </c>
      <c r="R108" s="44" t="s">
        <v>37</v>
      </c>
      <c r="S108" s="26" t="s">
        <v>529</v>
      </c>
      <c r="T108" s="44" t="s">
        <v>39</v>
      </c>
      <c r="U108" s="91"/>
      <c r="V108" s="94"/>
      <c r="W108" s="334"/>
      <c r="X108" s="41" t="str">
        <f>テーブル1[[#This Row],[開発]]&amp;テーブル1[[#This Row],[スコープ]]</f>
        <v>不要IN</v>
      </c>
      <c r="Y108" s="41" t="str">
        <f>IF(テーブル1[[#This Row],[列1]]="不要IN","標準",IF(テーブル1[[#This Row],[列1]]="不要OUT","スコープアウト",IF(テーブル1[[#This Row],[列1]]="必要IN","アドオン",IF(テーブル1[[#This Row],[列1]]="OUT","スコープアウト",""))))</f>
        <v>標準</v>
      </c>
      <c r="Z108" s="345" t="str">
        <f>VLOOKUP($B108,Sheet1!$C$2:$L$315,9,)</f>
        <v>会計システム標準機能</v>
      </c>
      <c r="AA108" s="340" t="str">
        <f>VLOOKUP($B108,Sheet1!$C$2:$L$315,10,)</f>
        <v>伝票トランザクションにてフィルタしてExcel出力での対応</v>
      </c>
      <c r="AB108" s="347" t="s">
        <v>3203</v>
      </c>
      <c r="AC108" s="347" t="b">
        <f>テーブル1[[#This Row],[要求事項一覧
判定]]=テーブル1[[#This Row],[列2]]</f>
        <v>1</v>
      </c>
    </row>
    <row r="109" spans="1:29" ht="29">
      <c r="A109" s="1" t="str">
        <f>テーブル1[[#This Row],[対象部門]]&amp;テーブル1[[#This Row],[業務要件回答表からの事前回答案_v1.0.xlsxより]]</f>
        <v>債権管理13.2</v>
      </c>
      <c r="B109" s="1" t="s">
        <v>3072</v>
      </c>
      <c r="D109" s="10" t="s">
        <v>530</v>
      </c>
      <c r="E109" s="26" t="s">
        <v>531</v>
      </c>
      <c r="F109" s="21" t="s">
        <v>532</v>
      </c>
      <c r="G109" s="68">
        <v>13.2</v>
      </c>
      <c r="H109" s="44" t="s">
        <v>32</v>
      </c>
      <c r="I109" s="15"/>
      <c r="J109" s="68" t="s">
        <v>398</v>
      </c>
      <c r="K109" s="68" t="s">
        <v>426</v>
      </c>
      <c r="L109" s="30" t="s">
        <v>533</v>
      </c>
      <c r="M109" s="30" t="s">
        <v>534</v>
      </c>
      <c r="N109" s="44"/>
      <c r="O109" s="44"/>
      <c r="P109" s="44" t="s">
        <v>401</v>
      </c>
      <c r="Q109" s="44"/>
      <c r="R109" s="44" t="s">
        <v>37</v>
      </c>
      <c r="S109" s="26"/>
      <c r="T109" s="44" t="s">
        <v>91</v>
      </c>
      <c r="U109" s="91"/>
      <c r="V109" s="94"/>
      <c r="W109" s="334"/>
      <c r="X109" s="41" t="str">
        <f>テーブル1[[#This Row],[開発]]&amp;テーブル1[[#This Row],[スコープ]]</f>
        <v>不要OUT</v>
      </c>
      <c r="Y109" s="41" t="str">
        <f>IF(テーブル1[[#This Row],[列1]]="不要IN","標準",IF(テーブル1[[#This Row],[列1]]="不要OUT","スコープアウト",IF(テーブル1[[#This Row],[列1]]="必要IN","アドオン",IF(テーブル1[[#This Row],[列1]]="OUT","スコープアウト",""))))</f>
        <v>スコープアウト</v>
      </c>
      <c r="Z109" s="345" t="str">
        <f>VLOOKUP($B109,Sheet1!$C$2:$L$315,9,)</f>
        <v>会計システム標準機能</v>
      </c>
      <c r="AA109" s="340" t="str">
        <f>VLOOKUP($B109,Sheet1!$C$2:$L$315,10,)</f>
        <v>未処理トランザクションレポートで対応</v>
      </c>
      <c r="AB109" s="347" t="s">
        <v>3203</v>
      </c>
      <c r="AC109" s="347" t="b">
        <f>テーブル1[[#This Row],[要求事項一覧
判定]]=テーブル1[[#This Row],[列2]]</f>
        <v>0</v>
      </c>
    </row>
    <row r="110" spans="1:29" ht="29">
      <c r="A110" s="1" t="str">
        <f>テーブル1[[#This Row],[対象部門]]&amp;テーブル1[[#This Row],[業務要件回答表からの事前回答案_v1.0.xlsxより]]</f>
        <v>債権管理13.4</v>
      </c>
      <c r="B110" s="1" t="s">
        <v>3073</v>
      </c>
      <c r="D110" s="10" t="s">
        <v>535</v>
      </c>
      <c r="E110" s="26" t="s">
        <v>536</v>
      </c>
      <c r="F110" s="21" t="s">
        <v>537</v>
      </c>
      <c r="G110" s="68">
        <v>13.4</v>
      </c>
      <c r="H110" s="44" t="s">
        <v>32</v>
      </c>
      <c r="I110" s="15"/>
      <c r="J110" s="68" t="s">
        <v>398</v>
      </c>
      <c r="K110" s="68" t="s">
        <v>426</v>
      </c>
      <c r="L110" s="30" t="s">
        <v>533</v>
      </c>
      <c r="M110" s="30" t="s">
        <v>534</v>
      </c>
      <c r="N110" s="44"/>
      <c r="O110" s="44"/>
      <c r="P110" s="44" t="s">
        <v>401</v>
      </c>
      <c r="Q110" s="44"/>
      <c r="R110" s="44" t="s">
        <v>37</v>
      </c>
      <c r="S110" s="26"/>
      <c r="T110" s="44" t="s">
        <v>91</v>
      </c>
      <c r="U110" s="91"/>
      <c r="V110" s="94"/>
      <c r="W110" s="334"/>
      <c r="X110" s="41" t="str">
        <f>テーブル1[[#This Row],[開発]]&amp;テーブル1[[#This Row],[スコープ]]</f>
        <v>不要OUT</v>
      </c>
      <c r="Y110" s="41" t="str">
        <f>IF(テーブル1[[#This Row],[列1]]="不要IN","標準",IF(テーブル1[[#This Row],[列1]]="不要OUT","スコープアウト",IF(テーブル1[[#This Row],[列1]]="必要IN","アドオン",IF(テーブル1[[#This Row],[列1]]="OUT","スコープアウト",""))))</f>
        <v>スコープアウト</v>
      </c>
      <c r="Z110" s="347" t="str">
        <f>VLOOKUP($B110,Sheet1!$C$2:$L$315,9,)</f>
        <v>拡張プラットフォーム</v>
      </c>
      <c r="AA110" s="340" t="str">
        <f>VLOOKUP($B110,Sheet1!$C$2:$L$315,10,)</f>
        <v>SCMモジュールにて対応
（売掛金年齢表で対応）</v>
      </c>
      <c r="AB110" s="347"/>
      <c r="AC110" s="347" t="b">
        <f>テーブル1[[#This Row],[要求事項一覧
判定]]=テーブル1[[#This Row],[列2]]</f>
        <v>0</v>
      </c>
    </row>
    <row r="111" spans="1:29" ht="29">
      <c r="A111" s="1" t="str">
        <f>テーブル1[[#This Row],[対象部門]]&amp;テーブル1[[#This Row],[業務要件回答表からの事前回答案_v1.0.xlsxより]]</f>
        <v>債権管理13.5</v>
      </c>
      <c r="B111" s="1" t="s">
        <v>3074</v>
      </c>
      <c r="D111" s="10" t="s">
        <v>538</v>
      </c>
      <c r="E111" s="26" t="s">
        <v>539</v>
      </c>
      <c r="F111" s="21" t="s">
        <v>540</v>
      </c>
      <c r="G111" s="68">
        <v>13.5</v>
      </c>
      <c r="H111" s="44" t="s">
        <v>32</v>
      </c>
      <c r="I111" s="15"/>
      <c r="J111" s="68" t="s">
        <v>398</v>
      </c>
      <c r="K111" s="68" t="s">
        <v>426</v>
      </c>
      <c r="L111" s="30" t="s">
        <v>533</v>
      </c>
      <c r="M111" s="30" t="s">
        <v>534</v>
      </c>
      <c r="N111" s="44"/>
      <c r="O111" s="44"/>
      <c r="P111" s="44" t="s">
        <v>401</v>
      </c>
      <c r="Q111" s="44"/>
      <c r="R111" s="44" t="s">
        <v>37</v>
      </c>
      <c r="S111" s="26"/>
      <c r="T111" s="44" t="s">
        <v>91</v>
      </c>
      <c r="U111" s="91"/>
      <c r="V111" s="94"/>
      <c r="W111" s="334"/>
      <c r="X111" s="41" t="str">
        <f>テーブル1[[#This Row],[開発]]&amp;テーブル1[[#This Row],[スコープ]]</f>
        <v>不要OUT</v>
      </c>
      <c r="Y111" s="41" t="str">
        <f>IF(テーブル1[[#This Row],[列1]]="不要IN","標準",IF(テーブル1[[#This Row],[列1]]="不要OUT","スコープアウト",IF(テーブル1[[#This Row],[列1]]="必要IN","アドオン",IF(テーブル1[[#This Row],[列1]]="OUT","スコープアウト",""))))</f>
        <v>スコープアウト</v>
      </c>
      <c r="Z111" s="345" t="str">
        <f>VLOOKUP($B111,Sheet1!$C$2:$L$315,9,)</f>
        <v>会計システム標準機能</v>
      </c>
      <c r="AA111" s="340" t="str">
        <f>VLOOKUP($B111,Sheet1!$C$2:$L$315,10,)</f>
        <v>未処理トランザクションレポートで対応</v>
      </c>
      <c r="AB111" s="347" t="s">
        <v>3203</v>
      </c>
      <c r="AC111" s="347" t="b">
        <f>テーブル1[[#This Row],[要求事項一覧
判定]]=テーブル1[[#This Row],[列2]]</f>
        <v>0</v>
      </c>
    </row>
    <row r="112" spans="1:29" ht="43.5">
      <c r="A112" s="1" t="str">
        <f>テーブル1[[#This Row],[対象部門]]&amp;テーブル1[[#This Row],[業務要件回答表からの事前回答案_v1.0.xlsxより]]</f>
        <v>債権管理13.6</v>
      </c>
      <c r="B112" s="1" t="s">
        <v>3075</v>
      </c>
      <c r="D112" s="10" t="s">
        <v>541</v>
      </c>
      <c r="E112" s="26" t="s">
        <v>542</v>
      </c>
      <c r="F112" s="21" t="s">
        <v>543</v>
      </c>
      <c r="G112" s="68">
        <v>13.6</v>
      </c>
      <c r="H112" s="44" t="s">
        <v>32</v>
      </c>
      <c r="I112" s="15"/>
      <c r="J112" s="68" t="s">
        <v>398</v>
      </c>
      <c r="K112" s="68" t="s">
        <v>426</v>
      </c>
      <c r="L112" s="30" t="s">
        <v>533</v>
      </c>
      <c r="M112" s="30" t="s">
        <v>534</v>
      </c>
      <c r="N112" s="44"/>
      <c r="O112" s="44"/>
      <c r="P112" s="44" t="s">
        <v>401</v>
      </c>
      <c r="Q112" s="44"/>
      <c r="R112" s="44" t="s">
        <v>37</v>
      </c>
      <c r="S112" s="26"/>
      <c r="T112" s="44" t="s">
        <v>91</v>
      </c>
      <c r="U112" s="91"/>
      <c r="V112" s="94"/>
      <c r="W112" s="334"/>
      <c r="X112" s="41" t="str">
        <f>テーブル1[[#This Row],[開発]]&amp;テーブル1[[#This Row],[スコープ]]</f>
        <v>不要OUT</v>
      </c>
      <c r="Y112" s="41" t="str">
        <f>IF(テーブル1[[#This Row],[列1]]="不要IN","標準",IF(テーブル1[[#This Row],[列1]]="不要OUT","スコープアウト",IF(テーブル1[[#This Row],[列1]]="必要IN","アドオン",IF(テーブル1[[#This Row],[列1]]="OUT","スコープアウト",""))))</f>
        <v>スコープアウト</v>
      </c>
      <c r="Z112" s="345" t="str">
        <f>VLOOKUP($B112,Sheet1!$C$2:$L$315,9,)</f>
        <v>会計システム標準機能</v>
      </c>
      <c r="AA112" s="340" t="str">
        <f>VLOOKUP($B112,Sheet1!$C$2:$L$315,10,)</f>
        <v>"指定の期間に達している残高"、"顧客転記支払仕訳帳レポート"、"顧客勘定明細書(内部)"で対応</v>
      </c>
      <c r="AB112" s="347" t="s">
        <v>3203</v>
      </c>
      <c r="AC112" s="347" t="b">
        <f>テーブル1[[#This Row],[要求事項一覧
判定]]=テーブル1[[#This Row],[列2]]</f>
        <v>0</v>
      </c>
    </row>
    <row r="113" spans="1:29" ht="43.5">
      <c r="A113" s="1" t="str">
        <f>テーブル1[[#This Row],[対象部門]]&amp;テーブル1[[#This Row],[業務要件回答表からの事前回答案_v1.0.xlsxより]]</f>
        <v>債権管理13.7</v>
      </c>
      <c r="B113" s="1" t="s">
        <v>3076</v>
      </c>
      <c r="D113" s="10" t="s">
        <v>544</v>
      </c>
      <c r="E113" s="26" t="s">
        <v>545</v>
      </c>
      <c r="F113" s="21" t="s">
        <v>543</v>
      </c>
      <c r="G113" s="68">
        <v>13.7</v>
      </c>
      <c r="H113" s="44" t="s">
        <v>32</v>
      </c>
      <c r="I113" s="15"/>
      <c r="J113" s="68" t="s">
        <v>398</v>
      </c>
      <c r="K113" s="68" t="s">
        <v>426</v>
      </c>
      <c r="L113" s="30" t="s">
        <v>533</v>
      </c>
      <c r="M113" s="30" t="s">
        <v>534</v>
      </c>
      <c r="N113" s="44"/>
      <c r="O113" s="44"/>
      <c r="P113" s="44" t="s">
        <v>401</v>
      </c>
      <c r="Q113" s="44"/>
      <c r="R113" s="44" t="s">
        <v>37</v>
      </c>
      <c r="S113" s="26"/>
      <c r="T113" s="44" t="s">
        <v>91</v>
      </c>
      <c r="U113" s="91"/>
      <c r="V113" s="94"/>
      <c r="W113" s="334"/>
      <c r="X113" s="41" t="str">
        <f>テーブル1[[#This Row],[開発]]&amp;テーブル1[[#This Row],[スコープ]]</f>
        <v>不要OUT</v>
      </c>
      <c r="Y113" s="41" t="str">
        <f>IF(テーブル1[[#This Row],[列1]]="不要IN","標準",IF(テーブル1[[#This Row],[列1]]="不要OUT","スコープアウト",IF(テーブル1[[#This Row],[列1]]="必要IN","アドオン",IF(テーブル1[[#This Row],[列1]]="OUT","スコープアウト",""))))</f>
        <v>スコープアウト</v>
      </c>
      <c r="Z113" s="345" t="str">
        <f>VLOOKUP($B113,Sheet1!$C$2:$L$315,9,)</f>
        <v>会計システム標準機能</v>
      </c>
      <c r="AA113" s="340" t="str">
        <f>VLOOKUP($B113,Sheet1!$C$2:$L$315,10,)</f>
        <v>"指定の期間に達している残高"、"顧客転記支払仕訳帳レポート"、"顧客勘定明細書(内部)"で対応</v>
      </c>
      <c r="AB113" s="347" t="s">
        <v>3203</v>
      </c>
      <c r="AC113" s="347" t="b">
        <f>テーブル1[[#This Row],[要求事項一覧
判定]]=テーブル1[[#This Row],[列2]]</f>
        <v>0</v>
      </c>
    </row>
    <row r="114" spans="1:29" ht="43.5">
      <c r="A114" s="1" t="str">
        <f>テーブル1[[#This Row],[対象部門]]&amp;テーブル1[[#This Row],[業務要件回答表からの事前回答案_v1.0.xlsxより]]</f>
        <v>債権管理13.8</v>
      </c>
      <c r="B114" s="1" t="s">
        <v>3077</v>
      </c>
      <c r="D114" s="10" t="s">
        <v>546</v>
      </c>
      <c r="E114" s="26" t="s">
        <v>547</v>
      </c>
      <c r="F114" s="21" t="s">
        <v>543</v>
      </c>
      <c r="G114" s="68">
        <v>13.8</v>
      </c>
      <c r="H114" s="44" t="s">
        <v>32</v>
      </c>
      <c r="I114" s="15"/>
      <c r="J114" s="68" t="s">
        <v>398</v>
      </c>
      <c r="K114" s="68" t="s">
        <v>426</v>
      </c>
      <c r="L114" s="30" t="s">
        <v>533</v>
      </c>
      <c r="M114" s="30" t="s">
        <v>534</v>
      </c>
      <c r="N114" s="44"/>
      <c r="O114" s="44"/>
      <c r="P114" s="44" t="s">
        <v>401</v>
      </c>
      <c r="Q114" s="44"/>
      <c r="R114" s="44" t="s">
        <v>37</v>
      </c>
      <c r="S114" s="26"/>
      <c r="T114" s="44" t="s">
        <v>91</v>
      </c>
      <c r="U114" s="91"/>
      <c r="V114" s="94"/>
      <c r="W114" s="334"/>
      <c r="X114" s="41" t="str">
        <f>テーブル1[[#This Row],[開発]]&amp;テーブル1[[#This Row],[スコープ]]</f>
        <v>不要OUT</v>
      </c>
      <c r="Y114" s="41" t="str">
        <f>IF(テーブル1[[#This Row],[列1]]="不要IN","標準",IF(テーブル1[[#This Row],[列1]]="不要OUT","スコープアウト",IF(テーブル1[[#This Row],[列1]]="必要IN","アドオン",IF(テーブル1[[#This Row],[列1]]="OUT","スコープアウト",""))))</f>
        <v>スコープアウト</v>
      </c>
      <c r="Z114" s="345" t="str">
        <f>VLOOKUP($B114,Sheet1!$C$2:$L$315,9,)</f>
        <v>会計システム標準機能</v>
      </c>
      <c r="AA114" s="340" t="str">
        <f>VLOOKUP($B114,Sheet1!$C$2:$L$315,10,)</f>
        <v>"指定の期間に達している残高"、"顧客転記支払仕訳帳レポート"、"顧客勘定明細書(内部)"で対応</v>
      </c>
      <c r="AB114" s="347" t="s">
        <v>3203</v>
      </c>
      <c r="AC114" s="347" t="b">
        <f>テーブル1[[#This Row],[要求事項一覧
判定]]=テーブル1[[#This Row],[列2]]</f>
        <v>0</v>
      </c>
    </row>
    <row r="115" spans="1:29" ht="58">
      <c r="A115" s="1" t="str">
        <f>テーブル1[[#This Row],[対象部門]]&amp;テーブル1[[#This Row],[業務要件回答表からの事前回答案_v1.0.xlsxより]]</f>
        <v>債権管理13.9</v>
      </c>
      <c r="B115" s="1" t="s">
        <v>3078</v>
      </c>
      <c r="D115" s="10" t="s">
        <v>548</v>
      </c>
      <c r="E115" s="26" t="s">
        <v>549</v>
      </c>
      <c r="F115" s="21" t="s">
        <v>550</v>
      </c>
      <c r="G115" s="68">
        <v>13.9</v>
      </c>
      <c r="H115" s="44" t="s">
        <v>32</v>
      </c>
      <c r="I115" s="15"/>
      <c r="J115" s="68" t="s">
        <v>398</v>
      </c>
      <c r="K115" s="68" t="s">
        <v>426</v>
      </c>
      <c r="L115" s="30"/>
      <c r="M115" s="30"/>
      <c r="N115" s="44"/>
      <c r="O115" s="44" t="s">
        <v>35</v>
      </c>
      <c r="P115" s="44" t="s">
        <v>401</v>
      </c>
      <c r="Q115" s="68" t="s">
        <v>499</v>
      </c>
      <c r="R115" s="44" t="s">
        <v>37</v>
      </c>
      <c r="S115" s="26" t="s">
        <v>427</v>
      </c>
      <c r="T115" s="44" t="s">
        <v>39</v>
      </c>
      <c r="U115" s="91"/>
      <c r="V115" s="94"/>
      <c r="W115" s="334"/>
      <c r="X115" s="41" t="str">
        <f>テーブル1[[#This Row],[開発]]&amp;テーブル1[[#This Row],[スコープ]]</f>
        <v>不要IN</v>
      </c>
      <c r="Y115" s="41" t="str">
        <f>IF(テーブル1[[#This Row],[列1]]="不要IN","標準",IF(テーブル1[[#This Row],[列1]]="不要OUT","スコープアウト",IF(テーブル1[[#This Row],[列1]]="必要IN","アドオン",IF(テーブル1[[#This Row],[列1]]="OUT","スコープアウト",""))))</f>
        <v>標準</v>
      </c>
      <c r="Z115" s="345" t="str">
        <f>VLOOKUP($B115,Sheet1!$C$2:$L$315,9,)</f>
        <v>会計システム標準機能</v>
      </c>
      <c r="AA115" s="340" t="str">
        <f>VLOOKUP($B115,Sheet1!$C$2:$L$315,10,)</f>
        <v>伝票トランザクションにてフィルタしてExcel出力での対応</v>
      </c>
      <c r="AB115" s="347" t="s">
        <v>3203</v>
      </c>
      <c r="AC115" s="347" t="b">
        <f>テーブル1[[#This Row],[要求事項一覧
判定]]=テーブル1[[#This Row],[列2]]</f>
        <v>1</v>
      </c>
    </row>
    <row r="116" spans="1:29" ht="72.5">
      <c r="A116" s="1" t="str">
        <f>テーブル1[[#This Row],[対象部門]]&amp;テーブル1[[#This Row],[業務要件回答表からの事前回答案_v1.0.xlsxより]]</f>
        <v>債権管理14.1</v>
      </c>
      <c r="B116" s="1" t="s">
        <v>3079</v>
      </c>
      <c r="D116" s="10" t="s">
        <v>551</v>
      </c>
      <c r="E116" s="26" t="s">
        <v>552</v>
      </c>
      <c r="F116" s="21" t="s">
        <v>553</v>
      </c>
      <c r="G116" s="68">
        <v>14.1</v>
      </c>
      <c r="H116" s="44" t="s">
        <v>32</v>
      </c>
      <c r="I116" s="15"/>
      <c r="J116" s="68" t="s">
        <v>398</v>
      </c>
      <c r="K116" s="68" t="s">
        <v>426</v>
      </c>
      <c r="L116" s="30" t="s">
        <v>554</v>
      </c>
      <c r="M116" s="26" t="s">
        <v>555</v>
      </c>
      <c r="N116" s="44"/>
      <c r="O116" s="44"/>
      <c r="P116" s="44" t="s">
        <v>401</v>
      </c>
      <c r="Q116" s="68" t="s">
        <v>556</v>
      </c>
      <c r="R116" s="44" t="s">
        <v>37</v>
      </c>
      <c r="S116" s="26"/>
      <c r="T116" s="44" t="s">
        <v>91</v>
      </c>
      <c r="U116" s="91"/>
      <c r="V116" s="94"/>
      <c r="W116" s="334"/>
      <c r="X116" s="41" t="str">
        <f>テーブル1[[#This Row],[開発]]&amp;テーブル1[[#This Row],[スコープ]]</f>
        <v>不要OUT</v>
      </c>
      <c r="Y116" s="41" t="str">
        <f>IF(テーブル1[[#This Row],[列1]]="不要IN","標準",IF(テーブル1[[#This Row],[列1]]="不要OUT","スコープアウト",IF(テーブル1[[#This Row],[列1]]="必要IN","アドオン",IF(テーブル1[[#This Row],[列1]]="OUT","スコープアウト",""))))</f>
        <v>スコープアウト</v>
      </c>
      <c r="Z116" s="346" t="str">
        <f>VLOOKUP($B116,Sheet1!$C$2:$L$315,9,)</f>
        <v>会計システムアドオン</v>
      </c>
      <c r="AA116" s="340" t="str">
        <f>VLOOKUP($B116,Sheet1!$C$2:$L$315,10,)</f>
        <v>各種仕訳帳で与信ルールを加味したチェック処理を追加
要件次第でワークフローも開発
(仕訳帳名レベルであれば、標準でワークフロー有)</v>
      </c>
      <c r="AB116" s="347" t="s">
        <v>3205</v>
      </c>
      <c r="AC116" s="347" t="b">
        <f>テーブル1[[#This Row],[要求事項一覧
判定]]=テーブル1[[#This Row],[列2]]</f>
        <v>0</v>
      </c>
    </row>
    <row r="117" spans="1:29" ht="29">
      <c r="A117" s="1" t="str">
        <f>テーブル1[[#This Row],[対象部門]]&amp;テーブル1[[#This Row],[業務要件回答表からの事前回答案_v1.0.xlsxより]]</f>
        <v>債権管理15.1</v>
      </c>
      <c r="B117" s="1" t="s">
        <v>3080</v>
      </c>
      <c r="D117" s="10" t="s">
        <v>557</v>
      </c>
      <c r="E117" s="26" t="s">
        <v>558</v>
      </c>
      <c r="F117" s="21" t="s">
        <v>559</v>
      </c>
      <c r="G117" s="68">
        <v>15.1</v>
      </c>
      <c r="H117" s="44" t="s">
        <v>32</v>
      </c>
      <c r="I117" s="15"/>
      <c r="J117" s="68" t="s">
        <v>398</v>
      </c>
      <c r="K117" s="68" t="s">
        <v>51</v>
      </c>
      <c r="L117" s="30"/>
      <c r="M117" s="30"/>
      <c r="N117" s="44"/>
      <c r="O117" s="44" t="s">
        <v>35</v>
      </c>
      <c r="P117" s="44" t="s">
        <v>401</v>
      </c>
      <c r="Q117" s="68" t="s">
        <v>560</v>
      </c>
      <c r="R117" s="44" t="s">
        <v>37</v>
      </c>
      <c r="S117" s="26" t="s">
        <v>561</v>
      </c>
      <c r="T117" s="44" t="s">
        <v>39</v>
      </c>
      <c r="U117" s="91"/>
      <c r="V117" s="94"/>
      <c r="W117" s="334"/>
      <c r="X117" s="41" t="str">
        <f>テーブル1[[#This Row],[開発]]&amp;テーブル1[[#This Row],[スコープ]]</f>
        <v>不要IN</v>
      </c>
      <c r="Y117" s="41" t="str">
        <f>IF(テーブル1[[#This Row],[列1]]="不要IN","標準",IF(テーブル1[[#This Row],[列1]]="不要OUT","スコープアウト",IF(テーブル1[[#This Row],[列1]]="必要IN","アドオン",IF(テーブル1[[#This Row],[列1]]="OUT","スコープアウト",""))))</f>
        <v>標準</v>
      </c>
      <c r="Z117" s="345" t="str">
        <f>VLOOKUP($B117,Sheet1!$C$2:$L$315,9,)</f>
        <v>会計システム標準機能</v>
      </c>
      <c r="AA117" s="340" t="str">
        <f>VLOOKUP($B117,Sheet1!$C$2:$L$315,10,)</f>
        <v>伝票トランザクションにてフィルタしてExcel出力での対応</v>
      </c>
      <c r="AB117" s="347" t="s">
        <v>3203</v>
      </c>
      <c r="AC117" s="347" t="b">
        <f>テーブル1[[#This Row],[要求事項一覧
判定]]=テーブル1[[#This Row],[列2]]</f>
        <v>1</v>
      </c>
    </row>
    <row r="118" spans="1:29" ht="29">
      <c r="A118" s="1" t="str">
        <f>テーブル1[[#This Row],[対象部門]]&amp;テーブル1[[#This Row],[業務要件回答表からの事前回答案_v1.0.xlsxより]]</f>
        <v>債権管理16.1</v>
      </c>
      <c r="B118" s="1" t="s">
        <v>3081</v>
      </c>
      <c r="D118" s="10" t="s">
        <v>562</v>
      </c>
      <c r="E118" s="26" t="s">
        <v>563</v>
      </c>
      <c r="F118" s="21" t="s">
        <v>564</v>
      </c>
      <c r="G118" s="68">
        <v>16.100000000000001</v>
      </c>
      <c r="H118" s="44" t="s">
        <v>32</v>
      </c>
      <c r="I118" s="15"/>
      <c r="J118" s="68" t="s">
        <v>398</v>
      </c>
      <c r="K118" s="68" t="s">
        <v>426</v>
      </c>
      <c r="L118" s="30"/>
      <c r="M118" s="30"/>
      <c r="N118" s="44"/>
      <c r="O118" s="44" t="s">
        <v>35</v>
      </c>
      <c r="P118" s="44" t="s">
        <v>401</v>
      </c>
      <c r="Q118" s="68" t="s">
        <v>560</v>
      </c>
      <c r="R118" s="44" t="s">
        <v>37</v>
      </c>
      <c r="S118" s="26" t="s">
        <v>565</v>
      </c>
      <c r="T118" s="44" t="s">
        <v>39</v>
      </c>
      <c r="U118" s="91"/>
      <c r="V118" s="94"/>
      <c r="W118" s="334"/>
      <c r="X118" s="41" t="str">
        <f>テーブル1[[#This Row],[開発]]&amp;テーブル1[[#This Row],[スコープ]]</f>
        <v>不要IN</v>
      </c>
      <c r="Y118" s="41" t="str">
        <f>IF(テーブル1[[#This Row],[列1]]="不要IN","標準",IF(テーブル1[[#This Row],[列1]]="不要OUT","スコープアウト",IF(テーブル1[[#This Row],[列1]]="必要IN","アドオン",IF(テーブル1[[#This Row],[列1]]="OUT","スコープアウト",""))))</f>
        <v>標準</v>
      </c>
      <c r="Z118" s="345" t="str">
        <f>VLOOKUP($B118,Sheet1!$C$2:$L$315,9,)</f>
        <v>会計システム標準機能</v>
      </c>
      <c r="AA118" s="340" t="str">
        <f>VLOOKUP($B118,Sheet1!$C$2:$L$315,10,)</f>
        <v>伝票トランザクションにてフィルタしてExcel出力での対応</v>
      </c>
      <c r="AB118" s="347" t="s">
        <v>3203</v>
      </c>
      <c r="AC118" s="347" t="b">
        <f>テーブル1[[#This Row],[要求事項一覧
判定]]=テーブル1[[#This Row],[列2]]</f>
        <v>1</v>
      </c>
    </row>
    <row r="119" spans="1:29" ht="29">
      <c r="A119" s="1" t="str">
        <f>テーブル1[[#This Row],[対象部門]]&amp;テーブル1[[#This Row],[業務要件回答表からの事前回答案_v1.0.xlsxより]]</f>
        <v>債権管理17.7</v>
      </c>
      <c r="B119" s="1" t="s">
        <v>3082</v>
      </c>
      <c r="D119" s="10" t="s">
        <v>566</v>
      </c>
      <c r="E119" s="26" t="s">
        <v>567</v>
      </c>
      <c r="F119" s="21" t="s">
        <v>568</v>
      </c>
      <c r="G119" s="68">
        <v>17.7</v>
      </c>
      <c r="H119" s="44" t="s">
        <v>32</v>
      </c>
      <c r="I119" s="15"/>
      <c r="J119" s="68" t="s">
        <v>398</v>
      </c>
      <c r="K119" s="68" t="s">
        <v>426</v>
      </c>
      <c r="L119" s="30"/>
      <c r="M119" s="30"/>
      <c r="N119" s="44"/>
      <c r="O119" s="44" t="s">
        <v>35</v>
      </c>
      <c r="P119" s="44" t="s">
        <v>401</v>
      </c>
      <c r="Q119" s="68" t="s">
        <v>560</v>
      </c>
      <c r="R119" s="44" t="s">
        <v>37</v>
      </c>
      <c r="S119" s="26" t="s">
        <v>569</v>
      </c>
      <c r="T119" s="44" t="s">
        <v>39</v>
      </c>
      <c r="U119" s="91"/>
      <c r="V119" s="94"/>
      <c r="W119" s="334"/>
      <c r="X119" s="41" t="str">
        <f>テーブル1[[#This Row],[開発]]&amp;テーブル1[[#This Row],[スコープ]]</f>
        <v>不要IN</v>
      </c>
      <c r="Y119" s="41" t="str">
        <f>IF(テーブル1[[#This Row],[列1]]="不要IN","標準",IF(テーブル1[[#This Row],[列1]]="不要OUT","スコープアウト",IF(テーブル1[[#This Row],[列1]]="必要IN","アドオン",IF(テーブル1[[#This Row],[列1]]="OUT","スコープアウト",""))))</f>
        <v>標準</v>
      </c>
      <c r="Z119" s="345" t="str">
        <f>VLOOKUP($B119,Sheet1!$C$2:$L$315,9,)</f>
        <v>会計システム標準機能</v>
      </c>
      <c r="AA119" s="340">
        <f>VLOOKUP($B119,Sheet1!$C$2:$L$315,10,)</f>
        <v>0</v>
      </c>
      <c r="AB119" s="347" t="s">
        <v>3203</v>
      </c>
      <c r="AC119" s="347" t="b">
        <f>テーブル1[[#This Row],[要求事項一覧
判定]]=テーブル1[[#This Row],[列2]]</f>
        <v>1</v>
      </c>
    </row>
    <row r="120" spans="1:29" ht="43.5">
      <c r="A120" s="1" t="str">
        <f>テーブル1[[#This Row],[対象部門]]&amp;テーブル1[[#This Row],[業務要件回答表からの事前回答案_v1.0.xlsxより]]</f>
        <v>債権管理18.1</v>
      </c>
      <c r="B120" s="1" t="s">
        <v>3083</v>
      </c>
      <c r="D120" s="10" t="s">
        <v>570</v>
      </c>
      <c r="E120" s="26" t="s">
        <v>571</v>
      </c>
      <c r="F120" s="21" t="s">
        <v>572</v>
      </c>
      <c r="G120" s="68">
        <v>18.100000000000001</v>
      </c>
      <c r="H120" s="44" t="s">
        <v>32</v>
      </c>
      <c r="I120" s="15"/>
      <c r="J120" s="68" t="s">
        <v>398</v>
      </c>
      <c r="K120" s="68" t="s">
        <v>426</v>
      </c>
      <c r="L120" s="30"/>
      <c r="M120" s="30"/>
      <c r="N120" s="44"/>
      <c r="O120" s="44" t="s">
        <v>35</v>
      </c>
      <c r="P120" s="44" t="s">
        <v>401</v>
      </c>
      <c r="Q120" s="68" t="s">
        <v>560</v>
      </c>
      <c r="R120" s="44" t="s">
        <v>37</v>
      </c>
      <c r="S120" s="26" t="s">
        <v>500</v>
      </c>
      <c r="T120" s="44" t="s">
        <v>39</v>
      </c>
      <c r="U120" s="91"/>
      <c r="V120" s="94"/>
      <c r="W120" s="334"/>
      <c r="X120" s="41" t="str">
        <f>テーブル1[[#This Row],[開発]]&amp;テーブル1[[#This Row],[スコープ]]</f>
        <v>不要IN</v>
      </c>
      <c r="Y120" s="41" t="str">
        <f>IF(テーブル1[[#This Row],[列1]]="不要IN","標準",IF(テーブル1[[#This Row],[列1]]="不要OUT","スコープアウト",IF(テーブル1[[#This Row],[列1]]="必要IN","アドオン",IF(テーブル1[[#This Row],[列1]]="OUT","スコープアウト",""))))</f>
        <v>標準</v>
      </c>
      <c r="Z120" s="345" t="str">
        <f>VLOOKUP($B120,Sheet1!$C$2:$L$315,9,)</f>
        <v>会計システム標準機能</v>
      </c>
      <c r="AA120" s="340" t="str">
        <f>VLOOKUP($B120,Sheet1!$C$2:$L$315,10,)</f>
        <v>販売手数料に対して顧客という分析コードを使えるようにしておいて、試算表で確認するという対応</v>
      </c>
      <c r="AB120" s="347" t="s">
        <v>3203</v>
      </c>
      <c r="AC120" s="347" t="b">
        <f>テーブル1[[#This Row],[要求事項一覧
判定]]=テーブル1[[#This Row],[列2]]</f>
        <v>1</v>
      </c>
    </row>
    <row r="121" spans="1:29" ht="101.5">
      <c r="A121" s="1" t="str">
        <f>テーブル1[[#This Row],[対象部門]]&amp;テーブル1[[#This Row],[業務要件回答表からの事前回答案_v1.0.xlsxより]]</f>
        <v>債務管理1.1</v>
      </c>
      <c r="B121" s="1" t="s">
        <v>2990</v>
      </c>
      <c r="D121" s="10" t="s">
        <v>573</v>
      </c>
      <c r="E121" s="26" t="s">
        <v>574</v>
      </c>
      <c r="F121" s="21" t="s">
        <v>575</v>
      </c>
      <c r="G121" s="68">
        <v>1.1000000000000001</v>
      </c>
      <c r="H121" s="44" t="s">
        <v>32</v>
      </c>
      <c r="I121" s="15"/>
      <c r="J121" s="68" t="s">
        <v>576</v>
      </c>
      <c r="K121" s="68" t="s">
        <v>51</v>
      </c>
      <c r="L121" s="30"/>
      <c r="M121" s="30"/>
      <c r="N121" s="44" t="s">
        <v>445</v>
      </c>
      <c r="O121" s="44" t="s">
        <v>35</v>
      </c>
      <c r="P121" s="44" t="s">
        <v>577</v>
      </c>
      <c r="Q121" s="68" t="s">
        <v>578</v>
      </c>
      <c r="R121" s="44" t="s">
        <v>54</v>
      </c>
      <c r="S121" s="26" t="s">
        <v>579</v>
      </c>
      <c r="T121" s="44" t="s">
        <v>39</v>
      </c>
      <c r="U121" s="91"/>
      <c r="V121" s="95" t="s">
        <v>161</v>
      </c>
      <c r="W121" s="336" t="s">
        <v>54</v>
      </c>
      <c r="X121" s="341" t="str">
        <f>テーブル1[[#This Row],[開発]]&amp;テーブル1[[#This Row],[スコープ]]</f>
        <v>必要IN</v>
      </c>
      <c r="Y121" s="41" t="str">
        <f>IF(テーブル1[[#This Row],[列1]]="不要IN","標準",IF(テーブル1[[#This Row],[列1]]="不要OUT","スコープアウト",IF(テーブル1[[#This Row],[列1]]="必要IN","アドオン",IF(テーブル1[[#This Row],[列1]]="OUT","スコープアウト",""))))</f>
        <v>アドオン</v>
      </c>
      <c r="Z121" s="345" t="str">
        <f>VLOOKUP($B121,Sheet1!$C$2:$L$315,9,)</f>
        <v>会計システム標準機能</v>
      </c>
      <c r="AA121" s="340" t="str">
        <f>VLOOKUP($B121,Sheet1!$C$2:$L$315,10,)</f>
        <v>標準機能の項目として用意された、日付、金額等に関しては、債務データとして登録可能だが、項目次第では開発が必要となる。</v>
      </c>
      <c r="AB121" s="347" t="s">
        <v>3203</v>
      </c>
      <c r="AC121" s="347" t="b">
        <f>テーブル1[[#This Row],[要求事項一覧
判定]]=テーブル1[[#This Row],[列2]]</f>
        <v>0</v>
      </c>
    </row>
    <row r="122" spans="1:29" ht="29">
      <c r="A122" s="1" t="str">
        <f>テーブル1[[#This Row],[対象部門]]&amp;テーブル1[[#This Row],[業務要件回答表からの事前回答案_v1.0.xlsxより]]</f>
        <v>債務管理1.2</v>
      </c>
      <c r="B122" s="1" t="s">
        <v>2991</v>
      </c>
      <c r="D122" s="10" t="s">
        <v>580</v>
      </c>
      <c r="E122" s="26" t="s">
        <v>581</v>
      </c>
      <c r="F122" s="21" t="s">
        <v>582</v>
      </c>
      <c r="G122" s="68">
        <v>1.2</v>
      </c>
      <c r="H122" s="44" t="s">
        <v>32</v>
      </c>
      <c r="I122" s="15"/>
      <c r="J122" s="68" t="s">
        <v>576</v>
      </c>
      <c r="K122" s="68" t="s">
        <v>51</v>
      </c>
      <c r="L122" s="30" t="s">
        <v>583</v>
      </c>
      <c r="M122" s="30"/>
      <c r="N122" s="44"/>
      <c r="O122" s="44"/>
      <c r="P122" s="44" t="s">
        <v>577</v>
      </c>
      <c r="Q122" s="44"/>
      <c r="R122" s="44"/>
      <c r="S122" s="26"/>
      <c r="T122" s="44" t="s">
        <v>91</v>
      </c>
      <c r="U122" s="91"/>
      <c r="V122" s="94"/>
      <c r="W122" s="334"/>
      <c r="X122" s="41" t="str">
        <f>テーブル1[[#This Row],[開発]]&amp;テーブル1[[#This Row],[スコープ]]</f>
        <v>OUT</v>
      </c>
      <c r="Y122" s="41" t="str">
        <f>IF(テーブル1[[#This Row],[列1]]="不要IN","標準",IF(テーブル1[[#This Row],[列1]]="不要OUT","スコープアウト",IF(テーブル1[[#This Row],[列1]]="必要IN","アドオン",IF(テーブル1[[#This Row],[列1]]="OUT","スコープアウト",""))))</f>
        <v>スコープアウト</v>
      </c>
      <c r="Z122" s="345" t="str">
        <f>VLOOKUP($B122,Sheet1!$C$2:$L$315,9,)</f>
        <v>会計システム標準機能</v>
      </c>
      <c r="AA122" s="340">
        <f>VLOOKUP($B122,Sheet1!$C$2:$L$315,10,)</f>
        <v>0</v>
      </c>
      <c r="AB122" s="347" t="s">
        <v>3203</v>
      </c>
      <c r="AC122" s="347" t="b">
        <f>テーブル1[[#This Row],[要求事項一覧
判定]]=テーブル1[[#This Row],[列2]]</f>
        <v>0</v>
      </c>
    </row>
    <row r="123" spans="1:29" ht="29">
      <c r="A123" s="1" t="str">
        <f>テーブル1[[#This Row],[対象部門]]&amp;テーブル1[[#This Row],[業務要件回答表からの事前回答案_v1.0.xlsxより]]</f>
        <v>債務管理1.3</v>
      </c>
      <c r="B123" s="1" t="s">
        <v>2992</v>
      </c>
      <c r="D123" s="10" t="s">
        <v>584</v>
      </c>
      <c r="E123" s="26" t="s">
        <v>585</v>
      </c>
      <c r="F123" s="21" t="s">
        <v>586</v>
      </c>
      <c r="G123" s="68">
        <v>1.3</v>
      </c>
      <c r="H123" s="44" t="s">
        <v>32</v>
      </c>
      <c r="I123" s="15"/>
      <c r="J123" s="68" t="s">
        <v>576</v>
      </c>
      <c r="K123" s="68" t="s">
        <v>51</v>
      </c>
      <c r="L123" s="30"/>
      <c r="M123" s="30"/>
      <c r="N123" s="44" t="s">
        <v>445</v>
      </c>
      <c r="O123" s="44" t="s">
        <v>35</v>
      </c>
      <c r="P123" s="44" t="s">
        <v>577</v>
      </c>
      <c r="Q123" s="68" t="s">
        <v>587</v>
      </c>
      <c r="R123" s="44" t="s">
        <v>37</v>
      </c>
      <c r="S123" s="26" t="s">
        <v>588</v>
      </c>
      <c r="T123" s="44" t="s">
        <v>39</v>
      </c>
      <c r="U123" s="91"/>
      <c r="V123" s="94"/>
      <c r="W123" s="334"/>
      <c r="X123" s="41" t="str">
        <f>テーブル1[[#This Row],[開発]]&amp;テーブル1[[#This Row],[スコープ]]</f>
        <v>不要IN</v>
      </c>
      <c r="Y123" s="41" t="str">
        <f>IF(テーブル1[[#This Row],[列1]]="不要IN","標準",IF(テーブル1[[#This Row],[列1]]="不要OUT","スコープアウト",IF(テーブル1[[#This Row],[列1]]="必要IN","アドオン",IF(テーブル1[[#This Row],[列1]]="OUT","スコープアウト",""))))</f>
        <v>標準</v>
      </c>
      <c r="Z123" s="345" t="str">
        <f>VLOOKUP($B123,Sheet1!$C$2:$L$315,9,)</f>
        <v>会計システム標準機能</v>
      </c>
      <c r="AA123" s="340">
        <f>VLOOKUP($B123,Sheet1!$C$2:$L$315,10,)</f>
        <v>0</v>
      </c>
      <c r="AB123" s="347" t="s">
        <v>3203</v>
      </c>
      <c r="AC123" s="347" t="b">
        <f>テーブル1[[#This Row],[要求事項一覧
判定]]=テーブル1[[#This Row],[列2]]</f>
        <v>1</v>
      </c>
    </row>
    <row r="124" spans="1:29" ht="116">
      <c r="A124" s="1" t="str">
        <f>テーブル1[[#This Row],[対象部門]]&amp;テーブル1[[#This Row],[業務要件回答表からの事前回答案_v1.0.xlsxより]]</f>
        <v>債務管理1.4</v>
      </c>
      <c r="B124" s="1" t="s">
        <v>2993</v>
      </c>
      <c r="D124" s="10" t="s">
        <v>589</v>
      </c>
      <c r="E124" s="26" t="s">
        <v>590</v>
      </c>
      <c r="F124" s="21" t="s">
        <v>591</v>
      </c>
      <c r="G124" s="68">
        <v>1.4</v>
      </c>
      <c r="H124" s="44" t="s">
        <v>32</v>
      </c>
      <c r="I124" s="15"/>
      <c r="J124" s="68" t="s">
        <v>576</v>
      </c>
      <c r="K124" s="68" t="s">
        <v>51</v>
      </c>
      <c r="L124" s="30" t="s">
        <v>592</v>
      </c>
      <c r="M124" s="30" t="s">
        <v>593</v>
      </c>
      <c r="N124" s="44" t="s">
        <v>445</v>
      </c>
      <c r="O124" s="44" t="s">
        <v>35</v>
      </c>
      <c r="P124" s="44" t="s">
        <v>577</v>
      </c>
      <c r="Q124" s="68" t="s">
        <v>594</v>
      </c>
      <c r="R124" s="44" t="s">
        <v>54</v>
      </c>
      <c r="S124" s="26" t="s">
        <v>595</v>
      </c>
      <c r="T124" s="44" t="s">
        <v>39</v>
      </c>
      <c r="U124" s="93" t="s">
        <v>1831</v>
      </c>
      <c r="V124" s="95" t="s">
        <v>56</v>
      </c>
      <c r="W124" s="336" t="s">
        <v>596</v>
      </c>
      <c r="X124" s="341" t="str">
        <f>テーブル1[[#This Row],[開発]]&amp;テーブル1[[#This Row],[スコープ]]</f>
        <v>必要IN</v>
      </c>
      <c r="Y124" s="41" t="str">
        <f>IF(テーブル1[[#This Row],[列1]]="不要IN","標準",IF(テーブル1[[#This Row],[列1]]="不要OUT","スコープアウト",IF(テーブル1[[#This Row],[列1]]="必要IN","アドオン",IF(テーブル1[[#This Row],[列1]]="OUT","スコープアウト",""))))</f>
        <v>アドオン</v>
      </c>
      <c r="Z124" s="345" t="str">
        <f>VLOOKUP($B124,Sheet1!$C$2:$L$315,9,)</f>
        <v>会計システム標準機能</v>
      </c>
      <c r="AA124" s="340">
        <f>VLOOKUP($B124,Sheet1!$C$2:$L$315,10,)</f>
        <v>0</v>
      </c>
      <c r="AB124" s="347" t="s">
        <v>3203</v>
      </c>
      <c r="AC124" s="347" t="b">
        <f>テーブル1[[#This Row],[要求事項一覧
判定]]=テーブル1[[#This Row],[列2]]</f>
        <v>0</v>
      </c>
    </row>
    <row r="125" spans="1:29" ht="72.5">
      <c r="A125" s="1" t="str">
        <f>テーブル1[[#This Row],[対象部門]]&amp;テーブル1[[#This Row],[業務要件回答表からの事前回答案_v1.0.xlsxより]]</f>
        <v>債務管理1.5</v>
      </c>
      <c r="B125" s="1" t="s">
        <v>2994</v>
      </c>
      <c r="D125" s="10" t="s">
        <v>597</v>
      </c>
      <c r="E125" s="26" t="s">
        <v>598</v>
      </c>
      <c r="F125" s="21" t="s">
        <v>599</v>
      </c>
      <c r="G125" s="68">
        <v>1.5</v>
      </c>
      <c r="H125" s="44" t="s">
        <v>32</v>
      </c>
      <c r="I125" s="15"/>
      <c r="J125" s="68" t="s">
        <v>576</v>
      </c>
      <c r="K125" s="68" t="s">
        <v>51</v>
      </c>
      <c r="L125" s="30" t="s">
        <v>600</v>
      </c>
      <c r="M125" s="30"/>
      <c r="N125" s="44" t="s">
        <v>445</v>
      </c>
      <c r="O125" s="44" t="s">
        <v>35</v>
      </c>
      <c r="P125" s="44" t="s">
        <v>577</v>
      </c>
      <c r="Q125" s="68" t="s">
        <v>594</v>
      </c>
      <c r="R125" s="44" t="s">
        <v>54</v>
      </c>
      <c r="S125" s="26" t="s">
        <v>601</v>
      </c>
      <c r="T125" s="44" t="s">
        <v>39</v>
      </c>
      <c r="U125" s="91"/>
      <c r="V125" s="95" t="s">
        <v>56</v>
      </c>
      <c r="W125" s="336" t="s">
        <v>596</v>
      </c>
      <c r="X125" s="341" t="str">
        <f>テーブル1[[#This Row],[開発]]&amp;テーブル1[[#This Row],[スコープ]]</f>
        <v>必要IN</v>
      </c>
      <c r="Y125" s="41" t="str">
        <f>IF(テーブル1[[#This Row],[列1]]="不要IN","標準",IF(テーブル1[[#This Row],[列1]]="不要OUT","スコープアウト",IF(テーブル1[[#This Row],[列1]]="必要IN","アドオン",IF(テーブル1[[#This Row],[列1]]="OUT","スコープアウト",""))))</f>
        <v>アドオン</v>
      </c>
      <c r="Z125" s="345" t="str">
        <f>VLOOKUP($B125,Sheet1!$C$2:$L$315,9,)</f>
        <v>会計システム標準機能</v>
      </c>
      <c r="AA125" s="340" t="str">
        <f>VLOOKUP($B125,Sheet1!$C$2:$L$315,10,)</f>
        <v>標準機能のブロック機能を利用して、仕訳を保留状態にすることが可能である。</v>
      </c>
      <c r="AB125" s="347" t="s">
        <v>3203</v>
      </c>
      <c r="AC125" s="347" t="b">
        <f>テーブル1[[#This Row],[要求事項一覧
判定]]=テーブル1[[#This Row],[列2]]</f>
        <v>0</v>
      </c>
    </row>
    <row r="126" spans="1:29" ht="29">
      <c r="A126" s="1" t="str">
        <f>テーブル1[[#This Row],[対象部門]]&amp;テーブル1[[#This Row],[業務要件回答表からの事前回答案_v1.0.xlsxより]]</f>
        <v>債務管理1.6</v>
      </c>
      <c r="B126" s="1" t="s">
        <v>2995</v>
      </c>
      <c r="D126" s="10" t="s">
        <v>602</v>
      </c>
      <c r="E126" s="26" t="s">
        <v>603</v>
      </c>
      <c r="F126" s="21" t="s">
        <v>604</v>
      </c>
      <c r="G126" s="68">
        <v>1.6</v>
      </c>
      <c r="H126" s="44" t="s">
        <v>32</v>
      </c>
      <c r="I126" s="15"/>
      <c r="J126" s="68" t="s">
        <v>576</v>
      </c>
      <c r="K126" s="68" t="s">
        <v>51</v>
      </c>
      <c r="L126" s="30" t="s">
        <v>605</v>
      </c>
      <c r="M126" s="30"/>
      <c r="N126" s="44"/>
      <c r="O126" s="44"/>
      <c r="P126" s="44" t="s">
        <v>577</v>
      </c>
      <c r="Q126" s="44"/>
      <c r="R126" s="44"/>
      <c r="S126" s="26"/>
      <c r="T126" s="44" t="s">
        <v>91</v>
      </c>
      <c r="U126" s="91"/>
      <c r="V126" s="94"/>
      <c r="W126" s="334"/>
      <c r="X126" s="41" t="str">
        <f>テーブル1[[#This Row],[開発]]&amp;テーブル1[[#This Row],[スコープ]]</f>
        <v>OUT</v>
      </c>
      <c r="Y126" s="41" t="str">
        <f>IF(テーブル1[[#This Row],[列1]]="不要IN","標準",IF(テーブル1[[#This Row],[列1]]="不要OUT","スコープアウト",IF(テーブル1[[#This Row],[列1]]="必要IN","アドオン",IF(テーブル1[[#This Row],[列1]]="OUT","スコープアウト",""))))</f>
        <v>スコープアウト</v>
      </c>
      <c r="Z126" s="345" t="str">
        <f>VLOOKUP($B126,Sheet1!$C$2:$L$315,9,)</f>
        <v>会計システム標準機能</v>
      </c>
      <c r="AA126" s="340" t="str">
        <f>VLOOKUP($B126,Sheet1!$C$2:$L$315,10,)</f>
        <v>削除はできない（赤黒処理のみ）</v>
      </c>
      <c r="AB126" s="347" t="s">
        <v>3203</v>
      </c>
      <c r="AC126" s="347" t="b">
        <f>テーブル1[[#This Row],[要求事項一覧
判定]]=テーブル1[[#This Row],[列2]]</f>
        <v>0</v>
      </c>
    </row>
    <row r="127" spans="1:29" ht="58">
      <c r="A127" s="1" t="str">
        <f>テーブル1[[#This Row],[対象部門]]&amp;テーブル1[[#This Row],[業務要件回答表からの事前回答案_v1.0.xlsxより]]</f>
        <v>債務管理1.7</v>
      </c>
      <c r="B127" s="1" t="s">
        <v>2996</v>
      </c>
      <c r="D127" s="10" t="s">
        <v>606</v>
      </c>
      <c r="E127" s="26" t="s">
        <v>607</v>
      </c>
      <c r="F127" s="21" t="s">
        <v>608</v>
      </c>
      <c r="G127" s="68">
        <v>1.7</v>
      </c>
      <c r="H127" s="44" t="s">
        <v>32</v>
      </c>
      <c r="I127" s="15"/>
      <c r="J127" s="68" t="s">
        <v>576</v>
      </c>
      <c r="K127" s="68" t="s">
        <v>51</v>
      </c>
      <c r="L127" s="30"/>
      <c r="M127" s="30"/>
      <c r="N127" s="44" t="s">
        <v>445</v>
      </c>
      <c r="O127" s="44" t="s">
        <v>35</v>
      </c>
      <c r="P127" s="44" t="s">
        <v>577</v>
      </c>
      <c r="Q127" s="68" t="s">
        <v>609</v>
      </c>
      <c r="R127" s="44" t="s">
        <v>37</v>
      </c>
      <c r="S127" s="26" t="s">
        <v>610</v>
      </c>
      <c r="T127" s="44" t="s">
        <v>39</v>
      </c>
      <c r="U127" s="91"/>
      <c r="V127" s="94"/>
      <c r="W127" s="334"/>
      <c r="X127" s="41" t="str">
        <f>テーブル1[[#This Row],[開発]]&amp;テーブル1[[#This Row],[スコープ]]</f>
        <v>不要IN</v>
      </c>
      <c r="Y127" s="41" t="str">
        <f>IF(テーブル1[[#This Row],[列1]]="不要IN","標準",IF(テーブル1[[#This Row],[列1]]="不要OUT","スコープアウト",IF(テーブル1[[#This Row],[列1]]="必要IN","アドオン",IF(テーブル1[[#This Row],[列1]]="OUT","スコープアウト",""))))</f>
        <v>標準</v>
      </c>
      <c r="Z127" s="345" t="str">
        <f>VLOOKUP($B127,Sheet1!$C$2:$L$315,9,)</f>
        <v>会計システム標準機能</v>
      </c>
      <c r="AA127" s="340" t="str">
        <f>VLOOKUP($B127,Sheet1!$C$2:$L$315,10,)</f>
        <v>相殺不可のため、相殺仕訳入力して債権・債務それぞれで消込みを行う</v>
      </c>
      <c r="AB127" s="347" t="s">
        <v>3203</v>
      </c>
      <c r="AC127" s="347" t="b">
        <f>テーブル1[[#This Row],[要求事項一覧
判定]]=テーブル1[[#This Row],[列2]]</f>
        <v>1</v>
      </c>
    </row>
    <row r="128" spans="1:29" ht="29">
      <c r="A128" s="1" t="str">
        <f>テーブル1[[#This Row],[対象部門]]&amp;テーブル1[[#This Row],[業務要件回答表からの事前回答案_v1.0.xlsxより]]</f>
        <v>債務管理2.1</v>
      </c>
      <c r="B128" s="1" t="s">
        <v>2997</v>
      </c>
      <c r="D128" s="10" t="s">
        <v>611</v>
      </c>
      <c r="E128" s="26" t="s">
        <v>612</v>
      </c>
      <c r="F128" s="21" t="s">
        <v>613</v>
      </c>
      <c r="G128" s="68">
        <v>2.1</v>
      </c>
      <c r="H128" s="44" t="s">
        <v>32</v>
      </c>
      <c r="I128" s="15"/>
      <c r="J128" s="68" t="s">
        <v>576</v>
      </c>
      <c r="K128" s="68" t="s">
        <v>51</v>
      </c>
      <c r="L128" s="30" t="s">
        <v>614</v>
      </c>
      <c r="M128" s="30" t="s">
        <v>615</v>
      </c>
      <c r="N128" s="44" t="s">
        <v>445</v>
      </c>
      <c r="O128" s="44" t="s">
        <v>35</v>
      </c>
      <c r="P128" s="44" t="s">
        <v>577</v>
      </c>
      <c r="Q128" s="68"/>
      <c r="R128" s="44"/>
      <c r="S128" s="26"/>
      <c r="T128" s="44" t="s">
        <v>91</v>
      </c>
      <c r="U128" s="91"/>
      <c r="V128" s="94"/>
      <c r="W128" s="334"/>
      <c r="X128" s="41" t="str">
        <f>テーブル1[[#This Row],[開発]]&amp;テーブル1[[#This Row],[スコープ]]</f>
        <v>OUT</v>
      </c>
      <c r="Y128" s="41" t="str">
        <f>IF(テーブル1[[#This Row],[列1]]="不要IN","標準",IF(テーブル1[[#This Row],[列1]]="不要OUT","スコープアウト",IF(テーブル1[[#This Row],[列1]]="必要IN","アドオン",IF(テーブル1[[#This Row],[列1]]="OUT","スコープアウト",""))))</f>
        <v>スコープアウト</v>
      </c>
      <c r="Z128" s="347" t="str">
        <f>VLOOKUP($B128,Sheet1!$C$2:$L$315,9,)</f>
        <v>拡張プラットフォーム</v>
      </c>
      <c r="AA128" s="340" t="str">
        <f>VLOOKUP($B128,Sheet1!$C$2:$L$315,10,)</f>
        <v>SCMモジュールの仕入先請求書にはワークフローある。</v>
      </c>
      <c r="AB128" s="347"/>
      <c r="AC128" s="347" t="b">
        <f>テーブル1[[#This Row],[要求事項一覧
判定]]=テーブル1[[#This Row],[列2]]</f>
        <v>0</v>
      </c>
    </row>
    <row r="129" spans="1:29" ht="116">
      <c r="A129" s="1" t="str">
        <f>テーブル1[[#This Row],[対象部門]]&amp;テーブル1[[#This Row],[業務要件回答表からの事前回答案_v1.0.xlsxより]]</f>
        <v>債務管理3.1</v>
      </c>
      <c r="B129" s="1" t="s">
        <v>2998</v>
      </c>
      <c r="D129" s="10" t="s">
        <v>616</v>
      </c>
      <c r="E129" s="26" t="s">
        <v>617</v>
      </c>
      <c r="F129" s="21" t="s">
        <v>618</v>
      </c>
      <c r="G129" s="68">
        <v>3.1</v>
      </c>
      <c r="H129" s="44" t="s">
        <v>32</v>
      </c>
      <c r="I129" s="15"/>
      <c r="J129" s="68" t="s">
        <v>576</v>
      </c>
      <c r="K129" s="68" t="s">
        <v>51</v>
      </c>
      <c r="L129" s="46" t="s">
        <v>619</v>
      </c>
      <c r="M129" s="90" t="s">
        <v>620</v>
      </c>
      <c r="N129" s="44" t="s">
        <v>621</v>
      </c>
      <c r="O129" s="44" t="s">
        <v>35</v>
      </c>
      <c r="P129" s="44" t="s">
        <v>577</v>
      </c>
      <c r="Q129" s="68" t="s">
        <v>622</v>
      </c>
      <c r="R129" s="44" t="s">
        <v>37</v>
      </c>
      <c r="S129" s="26" t="s">
        <v>623</v>
      </c>
      <c r="T129" s="44" t="s">
        <v>39</v>
      </c>
      <c r="U129" s="93"/>
      <c r="V129" s="94"/>
      <c r="W129" s="334"/>
      <c r="X129" s="41" t="str">
        <f>テーブル1[[#This Row],[開発]]&amp;テーブル1[[#This Row],[スコープ]]</f>
        <v>不要IN</v>
      </c>
      <c r="Y129" s="41" t="str">
        <f>IF(テーブル1[[#This Row],[列1]]="不要IN","標準",IF(テーブル1[[#This Row],[列1]]="不要OUT","スコープアウト",IF(テーブル1[[#This Row],[列1]]="必要IN","アドオン",IF(テーブル1[[#This Row],[列1]]="OUT","スコープアウト",""))))</f>
        <v>標準</v>
      </c>
      <c r="Z129" s="347" t="str">
        <f>VLOOKUP($B129,Sheet1!$C$2:$L$315,9,)</f>
        <v>拡張プラットフォーム</v>
      </c>
      <c r="AA129" s="340" t="str">
        <f>VLOOKUP($B129,Sheet1!$C$2:$L$315,10,)</f>
        <v>SCMモジュールの仕入先請求書にはワークフローある。（承認待ちというのが債務計上＝仕入先請求書に対するものであるという想定）ただし、支払済みかどうかは債務データ（仕入先トラン）側の話になるので、別画面の話になる。</v>
      </c>
      <c r="AB129" s="347"/>
      <c r="AC129" s="347" t="b">
        <f>テーブル1[[#This Row],[要求事項一覧
判定]]=テーブル1[[#This Row],[列2]]</f>
        <v>0</v>
      </c>
    </row>
    <row r="130" spans="1:29" ht="130.5">
      <c r="A130" s="1" t="str">
        <f>テーブル1[[#This Row],[対象部門]]&amp;テーブル1[[#This Row],[業務要件回答表からの事前回答案_v1.0.xlsxより]]</f>
        <v>債務管理4.1</v>
      </c>
      <c r="B130" s="1" t="s">
        <v>2999</v>
      </c>
      <c r="D130" s="10" t="s">
        <v>624</v>
      </c>
      <c r="E130" s="26" t="s">
        <v>625</v>
      </c>
      <c r="F130" s="21" t="s">
        <v>626</v>
      </c>
      <c r="G130" s="68">
        <v>4.0999999999999996</v>
      </c>
      <c r="H130" s="44" t="s">
        <v>32</v>
      </c>
      <c r="I130" s="15"/>
      <c r="J130" s="68" t="s">
        <v>576</v>
      </c>
      <c r="K130" s="68" t="s">
        <v>51</v>
      </c>
      <c r="L130" s="45" t="s">
        <v>627</v>
      </c>
      <c r="M130" s="30" t="s">
        <v>628</v>
      </c>
      <c r="N130" s="44" t="s">
        <v>445</v>
      </c>
      <c r="O130" s="44" t="s">
        <v>35</v>
      </c>
      <c r="P130" s="44" t="s">
        <v>577</v>
      </c>
      <c r="Q130" s="68" t="s">
        <v>622</v>
      </c>
      <c r="R130" s="44"/>
      <c r="S130" s="26"/>
      <c r="T130" s="44" t="s">
        <v>91</v>
      </c>
      <c r="U130" s="91"/>
      <c r="V130" s="94"/>
      <c r="W130" s="334"/>
      <c r="X130" s="41" t="str">
        <f>テーブル1[[#This Row],[開発]]&amp;テーブル1[[#This Row],[スコープ]]</f>
        <v>OUT</v>
      </c>
      <c r="Y130" s="41" t="str">
        <f>IF(テーブル1[[#This Row],[列1]]="不要IN","標準",IF(テーブル1[[#This Row],[列1]]="不要OUT","スコープアウト",IF(テーブル1[[#This Row],[列1]]="必要IN","アドオン",IF(テーブル1[[#This Row],[列1]]="OUT","スコープアウト",""))))</f>
        <v>スコープアウト</v>
      </c>
      <c r="Z130" s="345" t="str">
        <f>VLOOKUP($B130,Sheet1!$C$2:$L$315,9,)</f>
        <v>会計システム標準機能</v>
      </c>
      <c r="AA130" s="340" t="str">
        <f>VLOOKUP($B130,Sheet1!$C$2:$L$315,10,)</f>
        <v>伝票トランザクションにてフィルタしてExcel出力での対応</v>
      </c>
      <c r="AB130" s="347" t="s">
        <v>3203</v>
      </c>
      <c r="AC130" s="347" t="b">
        <f>テーブル1[[#This Row],[要求事項一覧
判定]]=テーブル1[[#This Row],[列2]]</f>
        <v>0</v>
      </c>
    </row>
    <row r="131" spans="1:29" ht="29">
      <c r="A131" s="1" t="str">
        <f>テーブル1[[#This Row],[対象部門]]&amp;テーブル1[[#This Row],[業務要件回答表からの事前回答案_v1.0.xlsxより]]</f>
        <v>債務管理4.2</v>
      </c>
      <c r="B131" s="1" t="s">
        <v>3000</v>
      </c>
      <c r="D131" s="10" t="s">
        <v>629</v>
      </c>
      <c r="E131" s="26" t="s">
        <v>630</v>
      </c>
      <c r="F131" s="21" t="s">
        <v>631</v>
      </c>
      <c r="G131" s="68">
        <v>4.2</v>
      </c>
      <c r="H131" s="44" t="s">
        <v>32</v>
      </c>
      <c r="I131" s="15"/>
      <c r="J131" s="68" t="s">
        <v>576</v>
      </c>
      <c r="K131" s="68" t="s">
        <v>51</v>
      </c>
      <c r="L131" s="30" t="s">
        <v>583</v>
      </c>
      <c r="M131" s="30"/>
      <c r="N131" s="44"/>
      <c r="O131" s="44"/>
      <c r="P131" s="44" t="s">
        <v>577</v>
      </c>
      <c r="Q131" s="44"/>
      <c r="R131" s="44"/>
      <c r="S131" s="26"/>
      <c r="T131" s="44" t="s">
        <v>91</v>
      </c>
      <c r="U131" s="91"/>
      <c r="V131" s="94"/>
      <c r="W131" s="334"/>
      <c r="X131" s="41" t="str">
        <f>テーブル1[[#This Row],[開発]]&amp;テーブル1[[#This Row],[スコープ]]</f>
        <v>OUT</v>
      </c>
      <c r="Y131" s="41" t="str">
        <f>IF(テーブル1[[#This Row],[列1]]="不要IN","標準",IF(テーブル1[[#This Row],[列1]]="不要OUT","スコープアウト",IF(テーブル1[[#This Row],[列1]]="必要IN","アドオン",IF(テーブル1[[#This Row],[列1]]="OUT","スコープアウト",""))))</f>
        <v>スコープアウト</v>
      </c>
      <c r="Z131" s="347" t="str">
        <f>VLOOKUP($B131,Sheet1!$C$2:$L$315,9,)</f>
        <v>拡張プラットフォーム</v>
      </c>
      <c r="AA131" s="340" t="str">
        <f>VLOOKUP($B131,Sheet1!$C$2:$L$315,10,)</f>
        <v>SCMモジュールにて対応</v>
      </c>
      <c r="AB131" s="347"/>
      <c r="AC131" s="347" t="b">
        <f>テーブル1[[#This Row],[要求事項一覧
判定]]=テーブル1[[#This Row],[列2]]</f>
        <v>0</v>
      </c>
    </row>
    <row r="132" spans="1:29" ht="29">
      <c r="A132" s="1" t="str">
        <f>テーブル1[[#This Row],[対象部門]]&amp;テーブル1[[#This Row],[業務要件回答表からの事前回答案_v1.0.xlsxより]]</f>
        <v>債務管理4.3</v>
      </c>
      <c r="B132" s="1" t="s">
        <v>3001</v>
      </c>
      <c r="D132" s="10" t="s">
        <v>632</v>
      </c>
      <c r="E132" s="26" t="s">
        <v>633</v>
      </c>
      <c r="F132" s="21" t="s">
        <v>634</v>
      </c>
      <c r="G132" s="68">
        <v>4.3</v>
      </c>
      <c r="H132" s="44" t="s">
        <v>32</v>
      </c>
      <c r="I132" s="15"/>
      <c r="J132" s="68" t="s">
        <v>576</v>
      </c>
      <c r="K132" s="68" t="s">
        <v>51</v>
      </c>
      <c r="L132" s="30" t="s">
        <v>635</v>
      </c>
      <c r="M132" s="30"/>
      <c r="N132" s="44"/>
      <c r="O132" s="44"/>
      <c r="P132" s="44" t="s">
        <v>577</v>
      </c>
      <c r="Q132" s="44"/>
      <c r="R132" s="44"/>
      <c r="S132" s="26"/>
      <c r="T132" s="44" t="s">
        <v>91</v>
      </c>
      <c r="U132" s="91"/>
      <c r="V132" s="94"/>
      <c r="W132" s="334"/>
      <c r="X132" s="41" t="str">
        <f>テーブル1[[#This Row],[開発]]&amp;テーブル1[[#This Row],[スコープ]]</f>
        <v>OUT</v>
      </c>
      <c r="Y132" s="41" t="str">
        <f>IF(テーブル1[[#This Row],[列1]]="不要IN","標準",IF(テーブル1[[#This Row],[列1]]="不要OUT","スコープアウト",IF(テーブル1[[#This Row],[列1]]="必要IN","アドオン",IF(テーブル1[[#This Row],[列1]]="OUT","スコープアウト",""))))</f>
        <v>スコープアウト</v>
      </c>
      <c r="Z132" s="345" t="str">
        <f>VLOOKUP($B132,Sheet1!$C$2:$L$315,9,)</f>
        <v>会計システム標準機能</v>
      </c>
      <c r="AA132" s="340" t="str">
        <f>VLOOKUP($B132,Sheet1!$C$2:$L$315,10,)</f>
        <v>伝票トランザクションにてフィルタしてExcel出力での対応</v>
      </c>
      <c r="AB132" s="347" t="s">
        <v>3203</v>
      </c>
      <c r="AC132" s="347" t="b">
        <f>テーブル1[[#This Row],[要求事項一覧
判定]]=テーブル1[[#This Row],[列2]]</f>
        <v>0</v>
      </c>
    </row>
    <row r="133" spans="1:29" ht="87">
      <c r="A133" s="1" t="str">
        <f>テーブル1[[#This Row],[対象部門]]&amp;テーブル1[[#This Row],[業務要件回答表からの事前回答案_v1.0.xlsxより]]</f>
        <v>債務管理4.4</v>
      </c>
      <c r="B133" s="1" t="s">
        <v>3002</v>
      </c>
      <c r="D133" s="10" t="s">
        <v>636</v>
      </c>
      <c r="E133" s="26" t="s">
        <v>637</v>
      </c>
      <c r="F133" s="21" t="s">
        <v>638</v>
      </c>
      <c r="G133" s="68">
        <v>4.4000000000000004</v>
      </c>
      <c r="H133" s="44" t="s">
        <v>32</v>
      </c>
      <c r="I133" s="15"/>
      <c r="J133" s="68" t="s">
        <v>576</v>
      </c>
      <c r="K133" s="68" t="s">
        <v>51</v>
      </c>
      <c r="L133" s="30" t="s">
        <v>639</v>
      </c>
      <c r="M133" s="30"/>
      <c r="N133" s="44" t="s">
        <v>445</v>
      </c>
      <c r="O133" s="44" t="s">
        <v>35</v>
      </c>
      <c r="P133" s="44" t="s">
        <v>577</v>
      </c>
      <c r="Q133" s="68" t="s">
        <v>622</v>
      </c>
      <c r="R133" s="44" t="s">
        <v>37</v>
      </c>
      <c r="S133" s="26" t="s">
        <v>640</v>
      </c>
      <c r="T133" s="44" t="s">
        <v>39</v>
      </c>
      <c r="U133" s="91"/>
      <c r="V133" s="94"/>
      <c r="W133" s="334"/>
      <c r="X133" s="41" t="str">
        <f>テーブル1[[#This Row],[開発]]&amp;テーブル1[[#This Row],[スコープ]]</f>
        <v>不要IN</v>
      </c>
      <c r="Y133" s="41" t="str">
        <f>IF(テーブル1[[#This Row],[列1]]="不要IN","標準",IF(テーブル1[[#This Row],[列1]]="不要OUT","スコープアウト",IF(テーブル1[[#This Row],[列1]]="必要IN","アドオン",IF(テーブル1[[#This Row],[列1]]="OUT","スコープアウト",""))))</f>
        <v>標準</v>
      </c>
      <c r="Z133" s="346" t="str">
        <f>VLOOKUP($B133,Sheet1!$C$2:$L$315,9,)</f>
        <v>会計システムアドオン</v>
      </c>
      <c r="AA133" s="340" t="str">
        <f>VLOOKUP($B133,Sheet1!$C$2:$L$315,10,)</f>
        <v>支払依頼情報の出力画面を開発。</v>
      </c>
      <c r="AB133" s="347" t="s">
        <v>3205</v>
      </c>
      <c r="AC133" s="347" t="b">
        <f>テーブル1[[#This Row],[要求事項一覧
判定]]=テーブル1[[#This Row],[列2]]</f>
        <v>0</v>
      </c>
    </row>
    <row r="134" spans="1:29" ht="72.5">
      <c r="A134" s="1" t="str">
        <f>テーブル1[[#This Row],[対象部門]]&amp;テーブル1[[#This Row],[業務要件回答表からの事前回答案_v1.0.xlsxより]]</f>
        <v>債務管理4.5</v>
      </c>
      <c r="B134" s="1" t="s">
        <v>3003</v>
      </c>
      <c r="D134" s="10" t="s">
        <v>641</v>
      </c>
      <c r="E134" s="26" t="s">
        <v>642</v>
      </c>
      <c r="F134" s="21" t="s">
        <v>643</v>
      </c>
      <c r="G134" s="68">
        <v>4.5</v>
      </c>
      <c r="H134" s="44" t="s">
        <v>32</v>
      </c>
      <c r="I134" s="15"/>
      <c r="J134" s="68" t="s">
        <v>576</v>
      </c>
      <c r="K134" s="68" t="s">
        <v>51</v>
      </c>
      <c r="L134" s="30" t="s">
        <v>644</v>
      </c>
      <c r="M134" s="30"/>
      <c r="N134" s="44" t="s">
        <v>445</v>
      </c>
      <c r="O134" s="44" t="s">
        <v>35</v>
      </c>
      <c r="P134" s="44" t="s">
        <v>577</v>
      </c>
      <c r="Q134" s="68" t="s">
        <v>578</v>
      </c>
      <c r="R134" s="44" t="s">
        <v>37</v>
      </c>
      <c r="S134" s="26" t="s">
        <v>645</v>
      </c>
      <c r="T134" s="44" t="s">
        <v>39</v>
      </c>
      <c r="U134" s="93" t="s">
        <v>646</v>
      </c>
      <c r="V134" s="94"/>
      <c r="W134" s="334"/>
      <c r="X134" s="41" t="str">
        <f>テーブル1[[#This Row],[開発]]&amp;テーブル1[[#This Row],[スコープ]]</f>
        <v>不要IN</v>
      </c>
      <c r="Y134" s="41" t="str">
        <f>IF(テーブル1[[#This Row],[列1]]="不要IN","標準",IF(テーブル1[[#This Row],[列1]]="不要OUT","スコープアウト",IF(テーブル1[[#This Row],[列1]]="必要IN","アドオン",IF(テーブル1[[#This Row],[列1]]="OUT","スコープアウト",""))))</f>
        <v>標準</v>
      </c>
      <c r="Z134" s="347" t="str">
        <f>VLOOKUP($B134,Sheet1!$C$2:$L$315,9,)</f>
        <v>拡張プラットフォーム</v>
      </c>
      <c r="AA134" s="340" t="str">
        <f>VLOOKUP($B134,Sheet1!$C$2:$L$315,10,)</f>
        <v>SCMモジュールにて対応</v>
      </c>
      <c r="AB134" s="347"/>
      <c r="AC134" s="347" t="b">
        <f>テーブル1[[#This Row],[要求事項一覧
判定]]=テーブル1[[#This Row],[列2]]</f>
        <v>0</v>
      </c>
    </row>
    <row r="135" spans="1:29" ht="29">
      <c r="A135" s="1" t="str">
        <f>テーブル1[[#This Row],[対象部門]]&amp;テーブル1[[#This Row],[業務要件回答表からの事前回答案_v1.0.xlsxより]]</f>
        <v>債務管理4.6</v>
      </c>
      <c r="B135" s="1" t="s">
        <v>3004</v>
      </c>
      <c r="D135" s="10" t="s">
        <v>647</v>
      </c>
      <c r="E135" s="26" t="s">
        <v>648</v>
      </c>
      <c r="F135" s="21" t="s">
        <v>649</v>
      </c>
      <c r="G135" s="68">
        <v>4.5999999999999996</v>
      </c>
      <c r="H135" s="44" t="s">
        <v>32</v>
      </c>
      <c r="I135" s="15"/>
      <c r="J135" s="68" t="s">
        <v>576</v>
      </c>
      <c r="K135" s="68" t="s">
        <v>51</v>
      </c>
      <c r="L135" s="30" t="s">
        <v>650</v>
      </c>
      <c r="M135" s="30" t="s">
        <v>651</v>
      </c>
      <c r="N135" s="44"/>
      <c r="O135" s="44"/>
      <c r="P135" s="44" t="s">
        <v>577</v>
      </c>
      <c r="Q135" s="44"/>
      <c r="R135" s="44"/>
      <c r="S135" s="26"/>
      <c r="T135" s="44" t="s">
        <v>91</v>
      </c>
      <c r="U135" s="91"/>
      <c r="V135" s="94"/>
      <c r="W135" s="334"/>
      <c r="X135" s="41" t="str">
        <f>テーブル1[[#This Row],[開発]]&amp;テーブル1[[#This Row],[スコープ]]</f>
        <v>OUT</v>
      </c>
      <c r="Y135" s="41" t="str">
        <f>IF(テーブル1[[#This Row],[列1]]="不要IN","標準",IF(テーブル1[[#This Row],[列1]]="不要OUT","スコープアウト",IF(テーブル1[[#This Row],[列1]]="必要IN","アドオン",IF(テーブル1[[#This Row],[列1]]="OUT","スコープアウト",""))))</f>
        <v>スコープアウト</v>
      </c>
      <c r="Z135" s="347" t="str">
        <f>VLOOKUP($B135,Sheet1!$C$2:$L$315,9,)</f>
        <v>拡張プラットフォーム</v>
      </c>
      <c r="AA135" s="340" t="str">
        <f>VLOOKUP($B135,Sheet1!$C$2:$L$315,10,)</f>
        <v>SCMモジュールにて対応</v>
      </c>
      <c r="AB135" s="347"/>
      <c r="AC135" s="347" t="b">
        <f>テーブル1[[#This Row],[要求事項一覧
判定]]=テーブル1[[#This Row],[列2]]</f>
        <v>0</v>
      </c>
    </row>
    <row r="136" spans="1:29" ht="43.5">
      <c r="A136" s="1" t="str">
        <f>テーブル1[[#This Row],[対象部門]]&amp;テーブル1[[#This Row],[業務要件回答表からの事前回答案_v1.0.xlsxより]]</f>
        <v>債務管理5.1</v>
      </c>
      <c r="B136" s="1" t="s">
        <v>3005</v>
      </c>
      <c r="D136" s="10" t="s">
        <v>652</v>
      </c>
      <c r="E136" s="26" t="s">
        <v>653</v>
      </c>
      <c r="F136" s="21" t="s">
        <v>654</v>
      </c>
      <c r="G136" s="68">
        <v>5.0999999999999996</v>
      </c>
      <c r="H136" s="44" t="s">
        <v>32</v>
      </c>
      <c r="I136" s="15"/>
      <c r="J136" s="68" t="s">
        <v>576</v>
      </c>
      <c r="K136" s="68" t="s">
        <v>51</v>
      </c>
      <c r="L136" s="30" t="s">
        <v>655</v>
      </c>
      <c r="M136" s="30"/>
      <c r="N136" s="44"/>
      <c r="O136" s="44"/>
      <c r="P136" s="44" t="s">
        <v>577</v>
      </c>
      <c r="Q136" s="44"/>
      <c r="R136" s="44"/>
      <c r="S136" s="26"/>
      <c r="T136" s="44" t="s">
        <v>91</v>
      </c>
      <c r="U136" s="91"/>
      <c r="V136" s="94"/>
      <c r="W136" s="334"/>
      <c r="X136" s="41" t="str">
        <f>テーブル1[[#This Row],[開発]]&amp;テーブル1[[#This Row],[スコープ]]</f>
        <v>OUT</v>
      </c>
      <c r="Y136" s="41" t="str">
        <f>IF(テーブル1[[#This Row],[列1]]="不要IN","標準",IF(テーブル1[[#This Row],[列1]]="不要OUT","スコープアウト",IF(テーブル1[[#This Row],[列1]]="必要IN","アドオン",IF(テーブル1[[#This Row],[列1]]="OUT","スコープアウト",""))))</f>
        <v>スコープアウト</v>
      </c>
      <c r="Z136" s="346" t="str">
        <f>VLOOKUP($B136,Sheet1!$C$2:$L$315,9,)</f>
        <v>会計システムアドオン</v>
      </c>
      <c r="AA136" s="340" t="str">
        <f>VLOOKUP($B136,Sheet1!$C$2:$L$315,10,)</f>
        <v>外部システムから連携された支払情報の取込機能を開発。</v>
      </c>
      <c r="AB136" s="347" t="s">
        <v>3205</v>
      </c>
      <c r="AC136" s="347" t="b">
        <f>テーブル1[[#This Row],[要求事項一覧
判定]]=テーブル1[[#This Row],[列2]]</f>
        <v>0</v>
      </c>
    </row>
    <row r="137" spans="1:29" ht="72.5">
      <c r="A137" s="1" t="str">
        <f>テーブル1[[#This Row],[対象部門]]&amp;テーブル1[[#This Row],[業務要件回答表からの事前回答案_v1.0.xlsxより]]</f>
        <v>債務管理5.2</v>
      </c>
      <c r="B137" s="1" t="s">
        <v>3006</v>
      </c>
      <c r="D137" s="10" t="s">
        <v>656</v>
      </c>
      <c r="E137" s="26" t="s">
        <v>657</v>
      </c>
      <c r="F137" s="21" t="s">
        <v>658</v>
      </c>
      <c r="G137" s="68">
        <v>5.2</v>
      </c>
      <c r="H137" s="44" t="s">
        <v>32</v>
      </c>
      <c r="I137" s="15"/>
      <c r="J137" s="68" t="s">
        <v>576</v>
      </c>
      <c r="K137" s="68" t="s">
        <v>51</v>
      </c>
      <c r="L137" s="30"/>
      <c r="M137" s="30"/>
      <c r="N137" s="44" t="s">
        <v>445</v>
      </c>
      <c r="O137" s="44" t="s">
        <v>35</v>
      </c>
      <c r="P137" s="44" t="s">
        <v>577</v>
      </c>
      <c r="Q137" s="68" t="s">
        <v>578</v>
      </c>
      <c r="R137" s="44" t="s">
        <v>54</v>
      </c>
      <c r="S137" s="26" t="s">
        <v>659</v>
      </c>
      <c r="T137" s="44" t="s">
        <v>39</v>
      </c>
      <c r="U137" s="91"/>
      <c r="V137" s="95" t="s">
        <v>161</v>
      </c>
      <c r="W137" s="336" t="s">
        <v>660</v>
      </c>
      <c r="X137" s="341" t="str">
        <f>テーブル1[[#This Row],[開発]]&amp;テーブル1[[#This Row],[スコープ]]</f>
        <v>必要IN</v>
      </c>
      <c r="Y137" s="41" t="str">
        <f>IF(テーブル1[[#This Row],[列1]]="不要IN","標準",IF(テーブル1[[#This Row],[列1]]="不要OUT","スコープアウト",IF(テーブル1[[#This Row],[列1]]="必要IN","アドオン",IF(テーブル1[[#This Row],[列1]]="OUT","スコープアウト",""))))</f>
        <v>アドオン</v>
      </c>
      <c r="Z137" s="345" t="str">
        <f>VLOOKUP($B137,Sheet1!$C$2:$L$315,9,)</f>
        <v>会計システム標準機能</v>
      </c>
      <c r="AA137" s="340" t="str">
        <f>VLOOKUP($B137,Sheet1!$C$2:$L$315,10,)</f>
        <v>赤伝は別途紐づき無しで登録する必要がある。元の債務との紐づきは消込でのみ可。</v>
      </c>
      <c r="AB137" s="347" t="s">
        <v>3203</v>
      </c>
      <c r="AC137" s="347" t="b">
        <f>テーブル1[[#This Row],[要求事項一覧
判定]]=テーブル1[[#This Row],[列2]]</f>
        <v>0</v>
      </c>
    </row>
    <row r="138" spans="1:29" ht="159.5">
      <c r="A138" s="1" t="str">
        <f>テーブル1[[#This Row],[対象部門]]&amp;テーブル1[[#This Row],[業務要件回答表からの事前回答案_v1.0.xlsxより]]</f>
        <v>債務管理6.1</v>
      </c>
      <c r="B138" s="1" t="s">
        <v>3007</v>
      </c>
      <c r="D138" s="10" t="s">
        <v>661</v>
      </c>
      <c r="E138" s="26" t="s">
        <v>662</v>
      </c>
      <c r="F138" s="21" t="s">
        <v>663</v>
      </c>
      <c r="G138" s="68">
        <v>6.1</v>
      </c>
      <c r="H138" s="44" t="s">
        <v>32</v>
      </c>
      <c r="I138" s="15"/>
      <c r="J138" s="68" t="s">
        <v>576</v>
      </c>
      <c r="K138" s="68" t="s">
        <v>51</v>
      </c>
      <c r="L138" s="45" t="s">
        <v>664</v>
      </c>
      <c r="M138" s="61" t="s">
        <v>665</v>
      </c>
      <c r="N138" s="44"/>
      <c r="O138" s="44"/>
      <c r="P138" s="44" t="s">
        <v>577</v>
      </c>
      <c r="Q138" s="68"/>
      <c r="R138" s="44"/>
      <c r="S138" s="26"/>
      <c r="T138" s="44" t="s">
        <v>91</v>
      </c>
      <c r="U138" s="91"/>
      <c r="V138" s="94"/>
      <c r="W138" s="334"/>
      <c r="X138" s="41" t="str">
        <f>テーブル1[[#This Row],[開発]]&amp;テーブル1[[#This Row],[スコープ]]</f>
        <v>OUT</v>
      </c>
      <c r="Y138" s="41" t="str">
        <f>IF(テーブル1[[#This Row],[列1]]="不要IN","標準",IF(テーブル1[[#This Row],[列1]]="不要OUT","スコープアウト",IF(テーブル1[[#This Row],[列1]]="必要IN","アドオン",IF(テーブル1[[#This Row],[列1]]="OUT","スコープアウト",""))))</f>
        <v>スコープアウト</v>
      </c>
      <c r="Z138" s="345" t="str">
        <f>VLOOKUP($B138,Sheet1!$C$2:$L$315,9,)</f>
        <v>会計システム標準機能</v>
      </c>
      <c r="AA138" s="340" t="str">
        <f>VLOOKUP($B138,Sheet1!$C$2:$L$315,10,)</f>
        <v>FO標準画面「仕入先支払仕訳帳」(FO標準機能の支払機能)に支払日ごとに支払方法、支払先で金額が集計されたデータを登録。そこから送金データ(FB)を作成する機能は標準機能を使用する想定。</v>
      </c>
      <c r="AB138" s="347" t="s">
        <v>3203</v>
      </c>
      <c r="AC138" s="347" t="b">
        <f>テーブル1[[#This Row],[要求事項一覧
判定]]=テーブル1[[#This Row],[列2]]</f>
        <v>0</v>
      </c>
    </row>
    <row r="139" spans="1:29" ht="90" customHeight="1">
      <c r="A139" s="1" t="str">
        <f>テーブル1[[#This Row],[対象部門]]&amp;テーブル1[[#This Row],[業務要件回答表からの事前回答案_v1.0.xlsxより]]</f>
        <v>債務管理6.2</v>
      </c>
      <c r="B139" s="1" t="s">
        <v>3008</v>
      </c>
      <c r="D139" s="10" t="s">
        <v>666</v>
      </c>
      <c r="E139" s="26" t="s">
        <v>667</v>
      </c>
      <c r="F139" s="21" t="s">
        <v>668</v>
      </c>
      <c r="G139" s="68">
        <v>6.2</v>
      </c>
      <c r="H139" s="44" t="s">
        <v>32</v>
      </c>
      <c r="I139" s="15"/>
      <c r="J139" s="68" t="s">
        <v>576</v>
      </c>
      <c r="K139" s="68" t="s">
        <v>51</v>
      </c>
      <c r="L139" s="30"/>
      <c r="M139" s="30"/>
      <c r="N139" s="44" t="s">
        <v>445</v>
      </c>
      <c r="O139" s="44" t="s">
        <v>35</v>
      </c>
      <c r="P139" s="44" t="s">
        <v>577</v>
      </c>
      <c r="Q139" s="68" t="s">
        <v>669</v>
      </c>
      <c r="R139" s="44" t="s">
        <v>54</v>
      </c>
      <c r="S139" s="26" t="s">
        <v>670</v>
      </c>
      <c r="T139" s="44" t="s">
        <v>39</v>
      </c>
      <c r="U139" s="91"/>
      <c r="V139" s="95" t="s">
        <v>56</v>
      </c>
      <c r="W139" s="336" t="s">
        <v>671</v>
      </c>
      <c r="X139" s="341" t="str">
        <f>テーブル1[[#This Row],[開発]]&amp;テーブル1[[#This Row],[スコープ]]</f>
        <v>必要IN</v>
      </c>
      <c r="Y139" s="41" t="str">
        <f>IF(テーブル1[[#This Row],[列1]]="不要IN","標準",IF(テーブル1[[#This Row],[列1]]="不要OUT","スコープアウト",IF(テーブル1[[#This Row],[列1]]="必要IN","アドオン",IF(テーブル1[[#This Row],[列1]]="OUT","スコープアウト",""))))</f>
        <v>アドオン</v>
      </c>
      <c r="Z139" s="345" t="str">
        <f>VLOOKUP($B139,Sheet1!$C$2:$L$315,9,)</f>
        <v>会計システム標準機能</v>
      </c>
      <c r="AA139" s="340">
        <f>VLOOKUP($B139,Sheet1!$C$2:$L$315,10,)</f>
        <v>0</v>
      </c>
      <c r="AB139" s="347" t="s">
        <v>3203</v>
      </c>
      <c r="AC139" s="347" t="b">
        <f>テーブル1[[#This Row],[要求事項一覧
判定]]=テーブル1[[#This Row],[列2]]</f>
        <v>0</v>
      </c>
    </row>
    <row r="140" spans="1:29" ht="74">
      <c r="A140" s="1" t="str">
        <f>テーブル1[[#This Row],[対象部門]]&amp;テーブル1[[#This Row],[業務要件回答表からの事前回答案_v1.0.xlsxより]]</f>
        <v>債務管理7.1</v>
      </c>
      <c r="B140" s="1" t="s">
        <v>3009</v>
      </c>
      <c r="D140" s="10" t="s">
        <v>672</v>
      </c>
      <c r="E140" s="26" t="s">
        <v>673</v>
      </c>
      <c r="F140" s="21" t="s">
        <v>674</v>
      </c>
      <c r="G140" s="68">
        <v>7.1</v>
      </c>
      <c r="H140" s="44" t="s">
        <v>32</v>
      </c>
      <c r="I140" s="15"/>
      <c r="J140" s="68" t="s">
        <v>576</v>
      </c>
      <c r="K140" s="68" t="s">
        <v>51</v>
      </c>
      <c r="L140" s="30" t="s">
        <v>675</v>
      </c>
      <c r="M140" s="30" t="s">
        <v>676</v>
      </c>
      <c r="N140" s="44" t="s">
        <v>445</v>
      </c>
      <c r="O140" s="44" t="s">
        <v>35</v>
      </c>
      <c r="P140" s="44" t="s">
        <v>577</v>
      </c>
      <c r="Q140" s="68" t="s">
        <v>677</v>
      </c>
      <c r="R140" s="44" t="s">
        <v>54</v>
      </c>
      <c r="S140" s="26" t="s">
        <v>678</v>
      </c>
      <c r="T140" s="44" t="s">
        <v>39</v>
      </c>
      <c r="U140" s="91"/>
      <c r="V140" s="95" t="s">
        <v>56</v>
      </c>
      <c r="W140" s="336" t="s">
        <v>679</v>
      </c>
      <c r="X140" s="341" t="str">
        <f>テーブル1[[#This Row],[開発]]&amp;テーブル1[[#This Row],[スコープ]]</f>
        <v>必要IN</v>
      </c>
      <c r="Y140" s="41" t="str">
        <f>IF(テーブル1[[#This Row],[列1]]="不要IN","標準",IF(テーブル1[[#This Row],[列1]]="不要OUT","スコープアウト",IF(テーブル1[[#This Row],[列1]]="必要IN","アドオン",IF(テーブル1[[#This Row],[列1]]="OUT","スコープアウト",""))))</f>
        <v>アドオン</v>
      </c>
      <c r="Z140" s="345" t="str">
        <f>VLOOKUP($B140,Sheet1!$C$2:$L$315,9,)</f>
        <v>会計システム標準機能</v>
      </c>
      <c r="AA140" s="340">
        <f>VLOOKUP($B140,Sheet1!$C$2:$L$315,10,)</f>
        <v>0</v>
      </c>
      <c r="AB140" s="347" t="s">
        <v>3203</v>
      </c>
      <c r="AC140" s="347" t="b">
        <f>テーブル1[[#This Row],[要求事項一覧
判定]]=テーブル1[[#This Row],[列2]]</f>
        <v>0</v>
      </c>
    </row>
    <row r="141" spans="1:29" ht="43.5">
      <c r="A141" s="1" t="str">
        <f>テーブル1[[#This Row],[対象部門]]&amp;テーブル1[[#This Row],[業務要件回答表からの事前回答案_v1.0.xlsxより]]</f>
        <v>債務管理7.2</v>
      </c>
      <c r="B141" s="1" t="s">
        <v>3010</v>
      </c>
      <c r="D141" s="10" t="s">
        <v>680</v>
      </c>
      <c r="E141" s="26" t="s">
        <v>681</v>
      </c>
      <c r="F141" s="21" t="s">
        <v>682</v>
      </c>
      <c r="G141" s="68">
        <v>7.2</v>
      </c>
      <c r="H141" s="44" t="s">
        <v>32</v>
      </c>
      <c r="I141" s="15"/>
      <c r="J141" s="68" t="s">
        <v>576</v>
      </c>
      <c r="K141" s="68" t="s">
        <v>51</v>
      </c>
      <c r="L141" s="30" t="s">
        <v>683</v>
      </c>
      <c r="M141" s="30" t="s">
        <v>684</v>
      </c>
      <c r="N141" s="44" t="s">
        <v>445</v>
      </c>
      <c r="O141" s="44" t="s">
        <v>35</v>
      </c>
      <c r="P141" s="44" t="s">
        <v>577</v>
      </c>
      <c r="Q141" s="68" t="s">
        <v>677</v>
      </c>
      <c r="R141" s="44" t="s">
        <v>54</v>
      </c>
      <c r="S141" s="26" t="s">
        <v>685</v>
      </c>
      <c r="T141" s="44" t="s">
        <v>39</v>
      </c>
      <c r="U141" s="91"/>
      <c r="V141" s="95" t="s">
        <v>56</v>
      </c>
      <c r="W141" s="336" t="s">
        <v>679</v>
      </c>
      <c r="X141" s="341" t="str">
        <f>テーブル1[[#This Row],[開発]]&amp;テーブル1[[#This Row],[スコープ]]</f>
        <v>必要IN</v>
      </c>
      <c r="Y141" s="41" t="str">
        <f>IF(テーブル1[[#This Row],[列1]]="不要IN","標準",IF(テーブル1[[#This Row],[列1]]="不要OUT","スコープアウト",IF(テーブル1[[#This Row],[列1]]="必要IN","アドオン",IF(テーブル1[[#This Row],[列1]]="OUT","スコープアウト",""))))</f>
        <v>アドオン</v>
      </c>
      <c r="Z141" s="346" t="str">
        <f>VLOOKUP($B141,Sheet1!$C$2:$L$315,9,)</f>
        <v>会計システムアドオン</v>
      </c>
      <c r="AA141" s="340">
        <f>VLOOKUP($B141,Sheet1!$C$2:$L$315,10,)</f>
        <v>0</v>
      </c>
      <c r="AB141" s="347" t="s">
        <v>3205</v>
      </c>
      <c r="AC141" s="347" t="b">
        <f>テーブル1[[#This Row],[要求事項一覧
判定]]=テーブル1[[#This Row],[列2]]</f>
        <v>1</v>
      </c>
    </row>
    <row r="142" spans="1:29" ht="175.5">
      <c r="A142" s="1" t="str">
        <f>テーブル1[[#This Row],[対象部門]]&amp;テーブル1[[#This Row],[業務要件回答表からの事前回答案_v1.0.xlsxより]]</f>
        <v>債務管理7.3</v>
      </c>
      <c r="B142" s="1" t="s">
        <v>3011</v>
      </c>
      <c r="D142" s="10" t="s">
        <v>686</v>
      </c>
      <c r="E142" s="89" t="s">
        <v>687</v>
      </c>
      <c r="F142" s="21" t="s">
        <v>688</v>
      </c>
      <c r="G142" s="68">
        <v>7.3</v>
      </c>
      <c r="H142" s="44" t="s">
        <v>32</v>
      </c>
      <c r="I142" s="15"/>
      <c r="J142" s="68" t="s">
        <v>576</v>
      </c>
      <c r="K142" s="68" t="s">
        <v>51</v>
      </c>
      <c r="L142" s="30" t="s">
        <v>689</v>
      </c>
      <c r="M142" s="30"/>
      <c r="N142" s="80">
        <v>136137</v>
      </c>
      <c r="O142" s="44" t="s">
        <v>35</v>
      </c>
      <c r="P142" s="44" t="s">
        <v>577</v>
      </c>
      <c r="Q142" s="68" t="s">
        <v>677</v>
      </c>
      <c r="R142" s="44" t="s">
        <v>54</v>
      </c>
      <c r="S142" s="26" t="s">
        <v>690</v>
      </c>
      <c r="T142" s="44" t="s">
        <v>39</v>
      </c>
      <c r="U142" s="93" t="s">
        <v>691</v>
      </c>
      <c r="V142" s="95" t="s">
        <v>56</v>
      </c>
      <c r="W142" s="336" t="s">
        <v>679</v>
      </c>
      <c r="X142" s="341" t="str">
        <f>テーブル1[[#This Row],[開発]]&amp;テーブル1[[#This Row],[スコープ]]</f>
        <v>必要IN</v>
      </c>
      <c r="Y142" s="41" t="str">
        <f>IF(テーブル1[[#This Row],[列1]]="不要IN","標準",IF(テーブル1[[#This Row],[列1]]="不要OUT","スコープアウト",IF(テーブル1[[#This Row],[列1]]="必要IN","アドオン",IF(テーブル1[[#This Row],[列1]]="OUT","スコープアウト",""))))</f>
        <v>アドオン</v>
      </c>
      <c r="Z142" s="346" t="str">
        <f>VLOOKUP($B142,Sheet1!$C$2:$L$315,9,)</f>
        <v>会計システムアドオン</v>
      </c>
      <c r="AA142" s="340" t="str">
        <f>VLOOKUP($B142,Sheet1!$C$2:$L$315,10,)</f>
        <v>口座引落システムとの連携機能と仕訳自動作成機能、自動転記機能の開発。
連携方法に関しては、要件定義時に確認させていただきます。</v>
      </c>
      <c r="AB142" s="347" t="s">
        <v>3205</v>
      </c>
      <c r="AC142" s="347" t="b">
        <f>テーブル1[[#This Row],[要求事項一覧
判定]]=テーブル1[[#This Row],[列2]]</f>
        <v>1</v>
      </c>
    </row>
    <row r="143" spans="1:29" ht="43.5">
      <c r="A143" s="1" t="str">
        <f>テーブル1[[#This Row],[対象部門]]&amp;テーブル1[[#This Row],[業務要件回答表からの事前回答案_v1.0.xlsxより]]</f>
        <v>債務管理8.1</v>
      </c>
      <c r="B143" s="1" t="s">
        <v>3012</v>
      </c>
      <c r="D143" s="10" t="s">
        <v>692</v>
      </c>
      <c r="E143" s="26" t="s">
        <v>693</v>
      </c>
      <c r="F143" s="21" t="s">
        <v>694</v>
      </c>
      <c r="G143" s="68">
        <v>8.1</v>
      </c>
      <c r="H143" s="44" t="s">
        <v>32</v>
      </c>
      <c r="I143" s="15"/>
      <c r="J143" s="68" t="s">
        <v>576</v>
      </c>
      <c r="K143" s="68" t="s">
        <v>51</v>
      </c>
      <c r="L143" s="30" t="s">
        <v>695</v>
      </c>
      <c r="M143" s="61" t="s">
        <v>696</v>
      </c>
      <c r="N143" s="44"/>
      <c r="O143" s="44"/>
      <c r="P143" s="44" t="s">
        <v>577</v>
      </c>
      <c r="Q143" s="44"/>
      <c r="R143" s="44"/>
      <c r="S143" s="26"/>
      <c r="T143" s="44" t="s">
        <v>91</v>
      </c>
      <c r="U143" s="91"/>
      <c r="V143" s="94"/>
      <c r="W143" s="334"/>
      <c r="X143" s="41" t="str">
        <f>テーブル1[[#This Row],[開発]]&amp;テーブル1[[#This Row],[スコープ]]</f>
        <v>OUT</v>
      </c>
      <c r="Y143" s="41" t="str">
        <f>IF(テーブル1[[#This Row],[列1]]="不要IN","標準",IF(テーブル1[[#This Row],[列1]]="不要OUT","スコープアウト",IF(テーブル1[[#This Row],[列1]]="必要IN","アドオン",IF(テーブル1[[#This Row],[列1]]="OUT","スコープアウト",""))))</f>
        <v>スコープアウト</v>
      </c>
      <c r="Z143" s="347" t="str">
        <f>VLOOKUP($B143,Sheet1!$C$2:$L$315,9,)</f>
        <v>拡張プラットフォーム</v>
      </c>
      <c r="AA143" s="340" t="str">
        <f>VLOOKUP($B143,Sheet1!$C$2:$L$315,10,)</f>
        <v>SCMモジュールにて対応</v>
      </c>
      <c r="AB143" s="347"/>
      <c r="AC143" s="347" t="b">
        <f>テーブル1[[#This Row],[要求事項一覧
判定]]=テーブル1[[#This Row],[列2]]</f>
        <v>0</v>
      </c>
    </row>
    <row r="144" spans="1:29" ht="43.5">
      <c r="A144" s="1" t="str">
        <f>テーブル1[[#This Row],[対象部門]]&amp;テーブル1[[#This Row],[業務要件回答表からの事前回答案_v1.0.xlsxより]]</f>
        <v>債務管理8.2</v>
      </c>
      <c r="B144" s="1" t="s">
        <v>3013</v>
      </c>
      <c r="D144" s="10" t="s">
        <v>697</v>
      </c>
      <c r="E144" s="26" t="s">
        <v>698</v>
      </c>
      <c r="F144" s="21" t="s">
        <v>699</v>
      </c>
      <c r="G144" s="68">
        <v>8.1999999999999993</v>
      </c>
      <c r="H144" s="44" t="s">
        <v>32</v>
      </c>
      <c r="I144" s="15"/>
      <c r="J144" s="68" t="s">
        <v>576</v>
      </c>
      <c r="K144" s="68" t="s">
        <v>51</v>
      </c>
      <c r="L144" s="30" t="s">
        <v>695</v>
      </c>
      <c r="M144" s="61" t="s">
        <v>696</v>
      </c>
      <c r="N144" s="44"/>
      <c r="O144" s="44"/>
      <c r="P144" s="44" t="s">
        <v>577</v>
      </c>
      <c r="Q144" s="44"/>
      <c r="R144" s="44"/>
      <c r="S144" s="26"/>
      <c r="T144" s="44" t="s">
        <v>91</v>
      </c>
      <c r="U144" s="91"/>
      <c r="V144" s="94"/>
      <c r="W144" s="334"/>
      <c r="X144" s="41" t="str">
        <f>テーブル1[[#This Row],[開発]]&amp;テーブル1[[#This Row],[スコープ]]</f>
        <v>OUT</v>
      </c>
      <c r="Y144" s="41" t="str">
        <f>IF(テーブル1[[#This Row],[列1]]="不要IN","標準",IF(テーブル1[[#This Row],[列1]]="不要OUT","スコープアウト",IF(テーブル1[[#This Row],[列1]]="必要IN","アドオン",IF(テーブル1[[#This Row],[列1]]="OUT","スコープアウト",""))))</f>
        <v>スコープアウト</v>
      </c>
      <c r="Z144" s="347" t="str">
        <f>VLOOKUP($B144,Sheet1!$C$2:$L$315,9,)</f>
        <v>拡張プラットフォーム</v>
      </c>
      <c r="AA144" s="340" t="str">
        <f>VLOOKUP($B144,Sheet1!$C$2:$L$315,10,)</f>
        <v>SCMモジュールにて対応</v>
      </c>
      <c r="AB144" s="347"/>
      <c r="AC144" s="347" t="b">
        <f>テーブル1[[#This Row],[要求事項一覧
判定]]=テーブル1[[#This Row],[列2]]</f>
        <v>0</v>
      </c>
    </row>
    <row r="145" spans="1:29" ht="246.5">
      <c r="A145" s="1" t="str">
        <f>テーブル1[[#This Row],[対象部門]]&amp;テーブル1[[#This Row],[業務要件回答表からの事前回答案_v1.0.xlsxより]]</f>
        <v>債務管理8.3</v>
      </c>
      <c r="B145" s="1" t="s">
        <v>3014</v>
      </c>
      <c r="D145" s="10" t="s">
        <v>700</v>
      </c>
      <c r="E145" s="26" t="s">
        <v>701</v>
      </c>
      <c r="F145" s="21" t="s">
        <v>702</v>
      </c>
      <c r="G145" s="68">
        <v>8.3000000000000007</v>
      </c>
      <c r="H145" s="44" t="s">
        <v>32</v>
      </c>
      <c r="I145" s="15"/>
      <c r="J145" s="68" t="s">
        <v>576</v>
      </c>
      <c r="K145" s="68" t="s">
        <v>51</v>
      </c>
      <c r="L145" s="45" t="s">
        <v>703</v>
      </c>
      <c r="M145" s="48" t="s">
        <v>704</v>
      </c>
      <c r="N145" s="44"/>
      <c r="O145" s="44"/>
      <c r="P145" s="44" t="s">
        <v>577</v>
      </c>
      <c r="Q145" s="44"/>
      <c r="R145" s="44"/>
      <c r="S145" s="26"/>
      <c r="T145" s="44" t="s">
        <v>91</v>
      </c>
      <c r="U145" s="91"/>
      <c r="V145" s="94"/>
      <c r="W145" s="334"/>
      <c r="X145" s="41" t="str">
        <f>テーブル1[[#This Row],[開発]]&amp;テーブル1[[#This Row],[スコープ]]</f>
        <v>OUT</v>
      </c>
      <c r="Y145" s="41" t="str">
        <f>IF(テーブル1[[#This Row],[列1]]="不要IN","標準",IF(テーブル1[[#This Row],[列1]]="不要OUT","スコープアウト",IF(テーブル1[[#This Row],[列1]]="必要IN","アドオン",IF(テーブル1[[#This Row],[列1]]="OUT","スコープアウト",""))))</f>
        <v>スコープアウト</v>
      </c>
      <c r="Z145" s="345" t="str">
        <f>VLOOKUP($B145,Sheet1!$C$2:$L$315,9,)</f>
        <v>会計システム標準機能</v>
      </c>
      <c r="AA145" s="340" t="str">
        <f>VLOOKUP($B145,Sheet1!$C$2:$L$315,10,)</f>
        <v>FO標準機能では、一度請求転記された仕訳自体の金額や日付を修正することはできず、赤伝処理が必要となります。
ただし、元黒、赤伝、新黒の伝票はデータ紐づきを持っているため、そこから修正前後のデータを確認することが可能です。帳票等でデータを出力する必要がある場合は、別途開発が必要となります。</v>
      </c>
      <c r="AB145" s="347" t="s">
        <v>3203</v>
      </c>
      <c r="AC145" s="347" t="b">
        <f>テーブル1[[#This Row],[要求事項一覧
判定]]=テーブル1[[#This Row],[列2]]</f>
        <v>0</v>
      </c>
    </row>
    <row r="146" spans="1:29" ht="96.65" customHeight="1">
      <c r="A146" s="1" t="str">
        <f>テーブル1[[#This Row],[対象部門]]&amp;テーブル1[[#This Row],[業務要件回答表からの事前回答案_v1.0.xlsxより]]</f>
        <v>債務管理8.4</v>
      </c>
      <c r="B146" s="1" t="s">
        <v>3015</v>
      </c>
      <c r="D146" s="10" t="s">
        <v>705</v>
      </c>
      <c r="E146" s="26" t="s">
        <v>706</v>
      </c>
      <c r="F146" s="21" t="s">
        <v>707</v>
      </c>
      <c r="G146" s="68">
        <v>8.4</v>
      </c>
      <c r="H146" s="44" t="s">
        <v>32</v>
      </c>
      <c r="I146" s="15"/>
      <c r="J146" s="68" t="s">
        <v>576</v>
      </c>
      <c r="K146" s="68" t="s">
        <v>51</v>
      </c>
      <c r="L146" s="46" t="s">
        <v>708</v>
      </c>
      <c r="M146" s="30"/>
      <c r="N146" s="44" t="s">
        <v>445</v>
      </c>
      <c r="O146" s="44" t="s">
        <v>35</v>
      </c>
      <c r="P146" s="44" t="s">
        <v>577</v>
      </c>
      <c r="Q146" s="68" t="s">
        <v>587</v>
      </c>
      <c r="R146" s="44" t="s">
        <v>54</v>
      </c>
      <c r="S146" s="26" t="s">
        <v>709</v>
      </c>
      <c r="T146" s="44" t="s">
        <v>39</v>
      </c>
      <c r="U146" s="91"/>
      <c r="V146" s="95" t="s">
        <v>56</v>
      </c>
      <c r="W146" s="336" t="s">
        <v>710</v>
      </c>
      <c r="X146" s="341" t="str">
        <f>テーブル1[[#This Row],[開発]]&amp;テーブル1[[#This Row],[スコープ]]</f>
        <v>必要IN</v>
      </c>
      <c r="Y146" s="41" t="str">
        <f>IF(テーブル1[[#This Row],[列1]]="不要IN","標準",IF(テーブル1[[#This Row],[列1]]="不要OUT","スコープアウト",IF(テーブル1[[#This Row],[列1]]="必要IN","アドオン",IF(テーブル1[[#This Row],[列1]]="OUT","スコープアウト",""))))</f>
        <v>アドオン</v>
      </c>
      <c r="Z146" s="346" t="str">
        <f>VLOOKUP($B146,Sheet1!$C$2:$L$315,9,)</f>
        <v>会計システムアドオン</v>
      </c>
      <c r="AA146" s="340" t="str">
        <f>VLOOKUP($B146,Sheet1!$C$2:$L$315,10,)</f>
        <v>取引先ごとに支払日と支払合計額の一覧画面を開発。</v>
      </c>
      <c r="AB146" s="347" t="s">
        <v>3205</v>
      </c>
      <c r="AC146" s="347" t="b">
        <f>テーブル1[[#This Row],[要求事項一覧
判定]]=テーブル1[[#This Row],[列2]]</f>
        <v>1</v>
      </c>
    </row>
    <row r="147" spans="1:29" ht="116">
      <c r="A147" s="1" t="str">
        <f>テーブル1[[#This Row],[対象部門]]&amp;テーブル1[[#This Row],[業務要件回答表からの事前回答案_v1.0.xlsxより]]</f>
        <v>債務管理9.1</v>
      </c>
      <c r="B147" s="1" t="s">
        <v>3016</v>
      </c>
      <c r="D147" s="10" t="s">
        <v>711</v>
      </c>
      <c r="E147" s="26" t="s">
        <v>712</v>
      </c>
      <c r="F147" s="21" t="s">
        <v>713</v>
      </c>
      <c r="G147" s="68">
        <v>9.1</v>
      </c>
      <c r="H147" s="44" t="s">
        <v>32</v>
      </c>
      <c r="I147" s="15"/>
      <c r="J147" s="68" t="s">
        <v>576</v>
      </c>
      <c r="K147" s="68" t="s">
        <v>51</v>
      </c>
      <c r="L147" s="30" t="s">
        <v>714</v>
      </c>
      <c r="M147" s="30" t="s">
        <v>715</v>
      </c>
      <c r="N147" s="44" t="s">
        <v>445</v>
      </c>
      <c r="O147" s="44" t="s">
        <v>35</v>
      </c>
      <c r="P147" s="44" t="s">
        <v>577</v>
      </c>
      <c r="Q147" s="68" t="s">
        <v>669</v>
      </c>
      <c r="R147" s="44" t="s">
        <v>54</v>
      </c>
      <c r="S147" s="26" t="s">
        <v>716</v>
      </c>
      <c r="T147" s="44" t="s">
        <v>39</v>
      </c>
      <c r="U147" s="91"/>
      <c r="V147" s="95" t="s">
        <v>56</v>
      </c>
      <c r="W147" s="336" t="s">
        <v>717</v>
      </c>
      <c r="X147" s="341" t="str">
        <f>テーブル1[[#This Row],[開発]]&amp;テーブル1[[#This Row],[スコープ]]</f>
        <v>必要IN</v>
      </c>
      <c r="Y147" s="41" t="str">
        <f>IF(テーブル1[[#This Row],[列1]]="不要IN","標準",IF(テーブル1[[#This Row],[列1]]="不要OUT","スコープアウト",IF(テーブル1[[#This Row],[列1]]="必要IN","アドオン",IF(テーブル1[[#This Row],[列1]]="OUT","スコープアウト",""))))</f>
        <v>アドオン</v>
      </c>
      <c r="Z147" s="345" t="str">
        <f>VLOOKUP($B147,Sheet1!$C$2:$L$315,9,)</f>
        <v>会計システム標準機能</v>
      </c>
      <c r="AA147" s="340" t="str">
        <f>VLOOKUP($B147,Sheet1!$C$2:$L$315,10,)</f>
        <v>伝票トランザクションにてフィルタして対応</v>
      </c>
      <c r="AB147" s="347" t="s">
        <v>3203</v>
      </c>
      <c r="AC147" s="347" t="b">
        <f>テーブル1[[#This Row],[要求事項一覧
判定]]=テーブル1[[#This Row],[列2]]</f>
        <v>0</v>
      </c>
    </row>
    <row r="148" spans="1:29" ht="72.5">
      <c r="A148" s="1" t="str">
        <f>テーブル1[[#This Row],[対象部門]]&amp;テーブル1[[#This Row],[業務要件回答表からの事前回答案_v1.0.xlsxより]]</f>
        <v>債務管理9.2</v>
      </c>
      <c r="B148" s="1" t="s">
        <v>3017</v>
      </c>
      <c r="D148" s="10" t="s">
        <v>718</v>
      </c>
      <c r="E148" s="26" t="s">
        <v>719</v>
      </c>
      <c r="F148" s="21" t="s">
        <v>720</v>
      </c>
      <c r="G148" s="68">
        <v>9.1999999999999993</v>
      </c>
      <c r="H148" s="44" t="s">
        <v>32</v>
      </c>
      <c r="I148" s="15"/>
      <c r="J148" s="68" t="s">
        <v>576</v>
      </c>
      <c r="K148" s="68" t="s">
        <v>51</v>
      </c>
      <c r="L148" s="30" t="s">
        <v>721</v>
      </c>
      <c r="M148" s="30"/>
      <c r="N148" s="44"/>
      <c r="O148" s="44"/>
      <c r="P148" s="44" t="s">
        <v>577</v>
      </c>
      <c r="Q148" s="44"/>
      <c r="R148" s="44"/>
      <c r="S148" s="26"/>
      <c r="T148" s="44" t="s">
        <v>91</v>
      </c>
      <c r="U148" s="91"/>
      <c r="V148" s="94"/>
      <c r="W148" s="334"/>
      <c r="X148" s="41" t="str">
        <f>テーブル1[[#This Row],[開発]]&amp;テーブル1[[#This Row],[スコープ]]</f>
        <v>OUT</v>
      </c>
      <c r="Y148" s="41" t="str">
        <f>IF(テーブル1[[#This Row],[列1]]="不要IN","標準",IF(テーブル1[[#This Row],[列1]]="不要OUT","スコープアウト",IF(テーブル1[[#This Row],[列1]]="必要IN","アドオン",IF(テーブル1[[#This Row],[列1]]="OUT","スコープアウト",""))))</f>
        <v>スコープアウト</v>
      </c>
      <c r="Z148" s="346" t="str">
        <f>VLOOKUP($B148,Sheet1!$C$2:$L$315,9,)</f>
        <v>会計システムアドオン</v>
      </c>
      <c r="AA148" s="340" t="str">
        <f>VLOOKUP($B148,Sheet1!$C$2:$L$315,10,)</f>
        <v>他システムとの債務残高差額情報の出力機能を開発。
他システムとの連携方法に関しては、要件定義時に確認させていただきます。</v>
      </c>
      <c r="AB148" s="347" t="s">
        <v>3205</v>
      </c>
      <c r="AC148" s="347" t="b">
        <f>テーブル1[[#This Row],[要求事項一覧
判定]]=テーブル1[[#This Row],[列2]]</f>
        <v>0</v>
      </c>
    </row>
    <row r="149" spans="1:29" ht="29">
      <c r="A149" s="1" t="str">
        <f>テーブル1[[#This Row],[対象部門]]&amp;テーブル1[[#This Row],[業務要件回答表からの事前回答案_v1.0.xlsxより]]</f>
        <v>債務管理9.3</v>
      </c>
      <c r="B149" s="1" t="s">
        <v>3018</v>
      </c>
      <c r="D149" s="10" t="s">
        <v>722</v>
      </c>
      <c r="E149" s="26" t="s">
        <v>723</v>
      </c>
      <c r="F149" s="21" t="s">
        <v>724</v>
      </c>
      <c r="G149" s="68">
        <v>9.3000000000000007</v>
      </c>
      <c r="H149" s="44" t="s">
        <v>32</v>
      </c>
      <c r="I149" s="15"/>
      <c r="J149" s="68" t="s">
        <v>576</v>
      </c>
      <c r="K149" s="68" t="s">
        <v>51</v>
      </c>
      <c r="L149" s="30"/>
      <c r="M149" s="30"/>
      <c r="N149" s="44" t="s">
        <v>445</v>
      </c>
      <c r="O149" s="44" t="s">
        <v>35</v>
      </c>
      <c r="P149" s="44" t="s">
        <v>577</v>
      </c>
      <c r="Q149" s="68" t="s">
        <v>725</v>
      </c>
      <c r="R149" s="44" t="s">
        <v>37</v>
      </c>
      <c r="S149" s="26" t="s">
        <v>726</v>
      </c>
      <c r="T149" s="44" t="s">
        <v>39</v>
      </c>
      <c r="U149" s="91"/>
      <c r="V149" s="94"/>
      <c r="W149" s="334"/>
      <c r="X149" s="41" t="str">
        <f>テーブル1[[#This Row],[開発]]&amp;テーブル1[[#This Row],[スコープ]]</f>
        <v>不要IN</v>
      </c>
      <c r="Y149" s="41" t="str">
        <f>IF(テーブル1[[#This Row],[列1]]="不要IN","標準",IF(テーブル1[[#This Row],[列1]]="不要OUT","スコープアウト",IF(テーブル1[[#This Row],[列1]]="必要IN","アドオン",IF(テーブル1[[#This Row],[列1]]="OUT","スコープアウト",""))))</f>
        <v>標準</v>
      </c>
      <c r="Z149" s="345" t="str">
        <f>VLOOKUP($B149,Sheet1!$C$2:$L$315,9,)</f>
        <v>会計システム標準機能</v>
      </c>
      <c r="AA149" s="340" t="str">
        <f>VLOOKUP($B149,Sheet1!$C$2:$L$315,10,)</f>
        <v>伝票トランザクションにてフィルタして対応</v>
      </c>
      <c r="AB149" s="347" t="s">
        <v>3203</v>
      </c>
      <c r="AC149" s="347" t="b">
        <f>テーブル1[[#This Row],[要求事項一覧
判定]]=テーブル1[[#This Row],[列2]]</f>
        <v>1</v>
      </c>
    </row>
    <row r="150" spans="1:29" ht="101.5">
      <c r="A150" s="1" t="str">
        <f>テーブル1[[#This Row],[対象部門]]&amp;テーブル1[[#This Row],[業務要件回答表からの事前回答案_v1.0.xlsxより]]</f>
        <v>債務管理9.4</v>
      </c>
      <c r="B150" s="1" t="s">
        <v>3019</v>
      </c>
      <c r="D150" s="10" t="s">
        <v>727</v>
      </c>
      <c r="E150" s="26" t="s">
        <v>728</v>
      </c>
      <c r="F150" s="21" t="s">
        <v>729</v>
      </c>
      <c r="G150" s="68">
        <v>9.4</v>
      </c>
      <c r="H150" s="44" t="s">
        <v>32</v>
      </c>
      <c r="I150" s="15"/>
      <c r="J150" s="68" t="s">
        <v>576</v>
      </c>
      <c r="K150" s="68" t="s">
        <v>51</v>
      </c>
      <c r="L150" s="47" t="s">
        <v>730</v>
      </c>
      <c r="M150" s="30" t="s">
        <v>731</v>
      </c>
      <c r="N150" s="44" t="s">
        <v>445</v>
      </c>
      <c r="O150" s="44" t="s">
        <v>35</v>
      </c>
      <c r="P150" s="44" t="s">
        <v>577</v>
      </c>
      <c r="Q150" s="44"/>
      <c r="R150" s="44"/>
      <c r="S150" s="26"/>
      <c r="T150" s="44" t="s">
        <v>91</v>
      </c>
      <c r="U150" s="93" t="s">
        <v>732</v>
      </c>
      <c r="V150" s="94"/>
      <c r="W150" s="334"/>
      <c r="X150" s="41" t="str">
        <f>テーブル1[[#This Row],[開発]]&amp;テーブル1[[#This Row],[スコープ]]</f>
        <v>OUT</v>
      </c>
      <c r="Y150" s="41" t="str">
        <f>IF(テーブル1[[#This Row],[列1]]="不要IN","標準",IF(テーブル1[[#This Row],[列1]]="不要OUT","スコープアウト",IF(テーブル1[[#This Row],[列1]]="必要IN","アドオン",IF(テーブル1[[#This Row],[列1]]="OUT","スコープアウト",""))))</f>
        <v>スコープアウト</v>
      </c>
      <c r="Z150" s="346" t="str">
        <f>VLOOKUP($B150,Sheet1!$C$2:$L$315,9,)</f>
        <v>会計システムアドオン</v>
      </c>
      <c r="AA150" s="340" t="str">
        <f>VLOOKUP($B150,Sheet1!$C$2:$L$315,10,)</f>
        <v>新規帳票として、「預かり保証金の残高証明」と「利息計算及び計算書」を開発。</v>
      </c>
      <c r="AB150" s="347" t="s">
        <v>3205</v>
      </c>
      <c r="AC150" s="347" t="b">
        <f>テーブル1[[#This Row],[要求事項一覧
判定]]=テーブル1[[#This Row],[列2]]</f>
        <v>0</v>
      </c>
    </row>
    <row r="151" spans="1:29" ht="72.5">
      <c r="A151" s="1" t="str">
        <f>テーブル1[[#This Row],[対象部門]]&amp;テーブル1[[#This Row],[業務要件回答表からの事前回答案_v1.0.xlsxより]]</f>
        <v>債務管理10.1</v>
      </c>
      <c r="B151" s="1" t="s">
        <v>3020</v>
      </c>
      <c r="D151" s="10" t="s">
        <v>733</v>
      </c>
      <c r="E151" s="26" t="s">
        <v>734</v>
      </c>
      <c r="F151" s="21" t="s">
        <v>735</v>
      </c>
      <c r="G151" s="68">
        <v>10.1</v>
      </c>
      <c r="H151" s="44" t="s">
        <v>32</v>
      </c>
      <c r="I151" s="15"/>
      <c r="J151" s="68" t="s">
        <v>576</v>
      </c>
      <c r="K151" s="68" t="s">
        <v>51</v>
      </c>
      <c r="L151" s="30"/>
      <c r="M151" s="30"/>
      <c r="N151" s="44" t="s">
        <v>445</v>
      </c>
      <c r="O151" s="44" t="s">
        <v>35</v>
      </c>
      <c r="P151" s="44" t="s">
        <v>577</v>
      </c>
      <c r="Q151" s="68" t="s">
        <v>669</v>
      </c>
      <c r="R151" s="44" t="s">
        <v>37</v>
      </c>
      <c r="S151" s="26" t="s">
        <v>736</v>
      </c>
      <c r="T151" s="44" t="s">
        <v>39</v>
      </c>
      <c r="U151" s="91"/>
      <c r="V151" s="95"/>
      <c r="W151" s="336" t="s">
        <v>737</v>
      </c>
      <c r="X151" s="341" t="str">
        <f>テーブル1[[#This Row],[開発]]&amp;テーブル1[[#This Row],[スコープ]]</f>
        <v>不要IN</v>
      </c>
      <c r="Y151" s="41" t="str">
        <f>IF(テーブル1[[#This Row],[列1]]="不要IN","標準",IF(テーブル1[[#This Row],[列1]]="不要OUT","スコープアウト",IF(テーブル1[[#This Row],[列1]]="必要IN","アドオン",IF(テーブル1[[#This Row],[列1]]="OUT","スコープアウト",""))))</f>
        <v>標準</v>
      </c>
      <c r="Z151" s="345" t="str">
        <f>VLOOKUP($B151,Sheet1!$C$2:$L$315,9,)</f>
        <v>会計システム標準機能</v>
      </c>
      <c r="AA151" s="340">
        <f>VLOOKUP($B151,Sheet1!$C$2:$L$315,10,)</f>
        <v>0</v>
      </c>
      <c r="AB151" s="347" t="s">
        <v>3203</v>
      </c>
      <c r="AC151" s="347" t="b">
        <f>テーブル1[[#This Row],[要求事項一覧
判定]]=テーブル1[[#This Row],[列2]]</f>
        <v>1</v>
      </c>
    </row>
    <row r="152" spans="1:29" ht="29">
      <c r="A152" s="1" t="str">
        <f>テーブル1[[#This Row],[対象部門]]&amp;テーブル1[[#This Row],[業務要件回答表からの事前回答案_v1.0.xlsxより]]</f>
        <v>債務管理11.1</v>
      </c>
      <c r="B152" s="1" t="s">
        <v>3021</v>
      </c>
      <c r="D152" s="10" t="s">
        <v>738</v>
      </c>
      <c r="E152" s="26" t="s">
        <v>739</v>
      </c>
      <c r="F152" s="21" t="s">
        <v>740</v>
      </c>
      <c r="G152" s="68">
        <v>11.1</v>
      </c>
      <c r="H152" s="44" t="s">
        <v>32</v>
      </c>
      <c r="I152" s="15"/>
      <c r="J152" s="68" t="s">
        <v>576</v>
      </c>
      <c r="K152" s="68" t="s">
        <v>51</v>
      </c>
      <c r="L152" s="30" t="s">
        <v>741</v>
      </c>
      <c r="M152" s="30"/>
      <c r="N152" s="44"/>
      <c r="O152" s="44"/>
      <c r="P152" s="44" t="s">
        <v>577</v>
      </c>
      <c r="Q152" s="44"/>
      <c r="R152" s="44"/>
      <c r="S152" s="26"/>
      <c r="T152" s="44" t="s">
        <v>91</v>
      </c>
      <c r="U152" s="91"/>
      <c r="V152" s="94"/>
      <c r="W152" s="334"/>
      <c r="X152" s="41" t="str">
        <f>テーブル1[[#This Row],[開発]]&amp;テーブル1[[#This Row],[スコープ]]</f>
        <v>OUT</v>
      </c>
      <c r="Y152" s="41" t="str">
        <f>IF(テーブル1[[#This Row],[列1]]="不要IN","標準",IF(テーブル1[[#This Row],[列1]]="不要OUT","スコープアウト",IF(テーブル1[[#This Row],[列1]]="必要IN","アドオン",IF(テーブル1[[#This Row],[列1]]="OUT","スコープアウト",""))))</f>
        <v>スコープアウト</v>
      </c>
      <c r="Z152" s="347" t="str">
        <f>VLOOKUP($B152,Sheet1!$C$2:$L$315,9,)</f>
        <v>拡張プラットフォーム</v>
      </c>
      <c r="AA152" s="340" t="str">
        <f>VLOOKUP($B152,Sheet1!$C$2:$L$315,10,)</f>
        <v>SCMモジュールにて対応</v>
      </c>
      <c r="AB152" s="347"/>
      <c r="AC152" s="347" t="b">
        <f>テーブル1[[#This Row],[要求事項一覧
判定]]=テーブル1[[#This Row],[列2]]</f>
        <v>0</v>
      </c>
    </row>
    <row r="153" spans="1:29" ht="14.5">
      <c r="A153" s="1" t="str">
        <f>テーブル1[[#This Row],[対象部門]]&amp;テーブル1[[#This Row],[業務要件回答表からの事前回答案_v1.0.xlsxより]]</f>
        <v>債務管理12.1</v>
      </c>
      <c r="B153" s="1" t="s">
        <v>3022</v>
      </c>
      <c r="D153" s="10" t="s">
        <v>742</v>
      </c>
      <c r="E153" s="26" t="s">
        <v>743</v>
      </c>
      <c r="F153" s="21" t="s">
        <v>744</v>
      </c>
      <c r="G153" s="68">
        <v>12.1</v>
      </c>
      <c r="H153" s="44" t="s">
        <v>32</v>
      </c>
      <c r="I153" s="15"/>
      <c r="J153" s="68" t="s">
        <v>576</v>
      </c>
      <c r="K153" s="68" t="s">
        <v>51</v>
      </c>
      <c r="L153" s="30"/>
      <c r="M153" s="30"/>
      <c r="N153" s="44"/>
      <c r="O153" s="44"/>
      <c r="P153" s="44" t="s">
        <v>577</v>
      </c>
      <c r="Q153" s="44"/>
      <c r="R153" s="44" t="s">
        <v>37</v>
      </c>
      <c r="S153" s="26"/>
      <c r="T153" s="44" t="s">
        <v>39</v>
      </c>
      <c r="U153" s="91" t="s">
        <v>745</v>
      </c>
      <c r="V153" s="94"/>
      <c r="W153" s="334"/>
      <c r="X153" s="41" t="str">
        <f>テーブル1[[#This Row],[開発]]&amp;テーブル1[[#This Row],[スコープ]]</f>
        <v>不要IN</v>
      </c>
      <c r="Y153" s="41" t="str">
        <f>IF(テーブル1[[#This Row],[列1]]="不要IN","標準",IF(テーブル1[[#This Row],[列1]]="不要OUT","スコープアウト",IF(テーブル1[[#This Row],[列1]]="必要IN","アドオン",IF(テーブル1[[#This Row],[列1]]="OUT","スコープアウト",""))))</f>
        <v>標準</v>
      </c>
      <c r="Z153" s="345" t="str">
        <f>VLOOKUP($B153,Sheet1!$C$2:$L$315,9,)</f>
        <v>会計システム標準機能</v>
      </c>
      <c r="AA153" s="340">
        <f>VLOOKUP($B153,Sheet1!$C$2:$L$315,10,)</f>
        <v>0</v>
      </c>
      <c r="AB153" s="347" t="s">
        <v>3203</v>
      </c>
      <c r="AC153" s="347" t="b">
        <f>テーブル1[[#This Row],[要求事項一覧
判定]]=テーブル1[[#This Row],[列2]]</f>
        <v>1</v>
      </c>
    </row>
    <row r="154" spans="1:29" ht="29">
      <c r="A154" s="1" t="str">
        <f>テーブル1[[#This Row],[対象部門]]&amp;テーブル1[[#This Row],[業務要件回答表からの事前回答案_v1.0.xlsxより]]</f>
        <v>債務管理12.2</v>
      </c>
      <c r="B154" s="1" t="s">
        <v>3023</v>
      </c>
      <c r="D154" s="10" t="s">
        <v>746</v>
      </c>
      <c r="E154" s="26" t="s">
        <v>747</v>
      </c>
      <c r="F154" s="21" t="s">
        <v>748</v>
      </c>
      <c r="G154" s="68">
        <v>12.2</v>
      </c>
      <c r="H154" s="44" t="s">
        <v>32</v>
      </c>
      <c r="I154" s="15"/>
      <c r="J154" s="68" t="s">
        <v>576</v>
      </c>
      <c r="K154" s="68" t="s">
        <v>51</v>
      </c>
      <c r="L154" s="30"/>
      <c r="M154" s="30"/>
      <c r="N154" s="44"/>
      <c r="O154" s="44"/>
      <c r="P154" s="44" t="s">
        <v>577</v>
      </c>
      <c r="Q154" s="44"/>
      <c r="R154" s="44" t="s">
        <v>37</v>
      </c>
      <c r="S154" s="26"/>
      <c r="T154" s="44" t="s">
        <v>39</v>
      </c>
      <c r="U154" s="91" t="s">
        <v>745</v>
      </c>
      <c r="V154" s="94"/>
      <c r="W154" s="334"/>
      <c r="X154" s="41" t="str">
        <f>テーブル1[[#This Row],[開発]]&amp;テーブル1[[#This Row],[スコープ]]</f>
        <v>不要IN</v>
      </c>
      <c r="Y154" s="41" t="str">
        <f>IF(テーブル1[[#This Row],[列1]]="不要IN","標準",IF(テーブル1[[#This Row],[列1]]="不要OUT","スコープアウト",IF(テーブル1[[#This Row],[列1]]="必要IN","アドオン",IF(テーブル1[[#This Row],[列1]]="OUT","スコープアウト",""))))</f>
        <v>標準</v>
      </c>
      <c r="Z154" s="345" t="str">
        <f>VLOOKUP($B154,Sheet1!$C$2:$L$315,9,)</f>
        <v>会計システム標準機能</v>
      </c>
      <c r="AA154" s="340" t="str">
        <f>VLOOKUP($B154,Sheet1!$C$2:$L$315,10,)</f>
        <v>FO標準の範囲で対応可能な限り</v>
      </c>
      <c r="AB154" s="347" t="s">
        <v>3203</v>
      </c>
      <c r="AC154" s="347" t="b">
        <f>テーブル1[[#This Row],[要求事項一覧
判定]]=テーブル1[[#This Row],[列2]]</f>
        <v>1</v>
      </c>
    </row>
    <row r="155" spans="1:29" ht="29">
      <c r="A155" s="1" t="str">
        <f>テーブル1[[#This Row],[対象部門]]&amp;テーブル1[[#This Row],[業務要件回答表からの事前回答案_v1.0.xlsxより]]</f>
        <v>現預金管理1.1</v>
      </c>
      <c r="B155" s="1" t="s">
        <v>3024</v>
      </c>
      <c r="D155" s="10" t="s">
        <v>749</v>
      </c>
      <c r="E155" s="26" t="s">
        <v>750</v>
      </c>
      <c r="F155" s="21" t="s">
        <v>751</v>
      </c>
      <c r="G155" s="68">
        <v>1.1000000000000001</v>
      </c>
      <c r="H155" s="44" t="s">
        <v>32</v>
      </c>
      <c r="I155" s="15"/>
      <c r="J155" s="68" t="s">
        <v>752</v>
      </c>
      <c r="K155" s="68" t="s">
        <v>51</v>
      </c>
      <c r="L155" s="26"/>
      <c r="M155" s="30"/>
      <c r="N155" s="44"/>
      <c r="O155" s="44" t="s">
        <v>35</v>
      </c>
      <c r="P155" s="44"/>
      <c r="Q155" s="44" t="s">
        <v>753</v>
      </c>
      <c r="R155" s="44" t="s">
        <v>37</v>
      </c>
      <c r="S155" s="26" t="s">
        <v>754</v>
      </c>
      <c r="T155" s="44" t="s">
        <v>39</v>
      </c>
      <c r="U155" s="91"/>
      <c r="V155" s="94"/>
      <c r="W155" s="334"/>
      <c r="X155" s="41" t="str">
        <f>テーブル1[[#This Row],[開発]]&amp;テーブル1[[#This Row],[スコープ]]</f>
        <v>不要IN</v>
      </c>
      <c r="Y155" s="41" t="str">
        <f>IF(テーブル1[[#This Row],[列1]]="不要IN","標準",IF(テーブル1[[#This Row],[列1]]="不要OUT","スコープアウト",IF(テーブル1[[#This Row],[列1]]="必要IN","アドオン",IF(テーブル1[[#This Row],[列1]]="OUT","スコープアウト",""))))</f>
        <v>標準</v>
      </c>
      <c r="Z155" s="345" t="str">
        <f>VLOOKUP($B155,Sheet1!$C$2:$L$315,9,)</f>
        <v>会計システム標準機能</v>
      </c>
      <c r="AA155" s="340" t="str">
        <f>VLOOKUP($B155,Sheet1!$C$2:$L$315,10,)</f>
        <v>伝票トランザクションにてフィルタして対応</v>
      </c>
      <c r="AB155" s="347" t="s">
        <v>3203</v>
      </c>
      <c r="AC155" s="347" t="b">
        <f>テーブル1[[#This Row],[要求事項一覧
判定]]=テーブル1[[#This Row],[列2]]</f>
        <v>1</v>
      </c>
    </row>
    <row r="156" spans="1:29" ht="29">
      <c r="A156" s="1" t="str">
        <f>テーブル1[[#This Row],[対象部門]]&amp;テーブル1[[#This Row],[業務要件回答表からの事前回答案_v1.0.xlsxより]]</f>
        <v>現預金管理1.2</v>
      </c>
      <c r="B156" s="1" t="s">
        <v>3025</v>
      </c>
      <c r="D156" s="10" t="s">
        <v>755</v>
      </c>
      <c r="E156" s="26" t="s">
        <v>756</v>
      </c>
      <c r="F156" s="21" t="s">
        <v>757</v>
      </c>
      <c r="G156" s="68">
        <v>1.2</v>
      </c>
      <c r="H156" s="44" t="s">
        <v>32</v>
      </c>
      <c r="I156" s="15"/>
      <c r="J156" s="68" t="s">
        <v>752</v>
      </c>
      <c r="K156" s="68" t="s">
        <v>51</v>
      </c>
      <c r="L156" s="26"/>
      <c r="M156" s="30"/>
      <c r="N156" s="44"/>
      <c r="O156" s="44" t="s">
        <v>35</v>
      </c>
      <c r="P156" s="44"/>
      <c r="Q156" s="44" t="s">
        <v>753</v>
      </c>
      <c r="R156" s="44" t="s">
        <v>37</v>
      </c>
      <c r="S156" s="26" t="s">
        <v>754</v>
      </c>
      <c r="T156" s="44" t="s">
        <v>39</v>
      </c>
      <c r="U156" s="91"/>
      <c r="V156" s="94"/>
      <c r="W156" s="334"/>
      <c r="X156" s="41" t="str">
        <f>テーブル1[[#This Row],[開発]]&amp;テーブル1[[#This Row],[スコープ]]</f>
        <v>不要IN</v>
      </c>
      <c r="Y156" s="41" t="str">
        <f>IF(テーブル1[[#This Row],[列1]]="不要IN","標準",IF(テーブル1[[#This Row],[列1]]="不要OUT","スコープアウト",IF(テーブル1[[#This Row],[列1]]="必要IN","アドオン",IF(テーブル1[[#This Row],[列1]]="OUT","スコープアウト",""))))</f>
        <v>標準</v>
      </c>
      <c r="Z156" s="345" t="str">
        <f>VLOOKUP($B156,Sheet1!$C$2:$L$315,9,)</f>
        <v>会計システム標準機能</v>
      </c>
      <c r="AA156" s="340" t="str">
        <f>VLOOKUP($B156,Sheet1!$C$2:$L$315,10,)</f>
        <v>伝票トランザクションにてフィルタしてExcel出力での対応</v>
      </c>
      <c r="AB156" s="347" t="s">
        <v>3203</v>
      </c>
      <c r="AC156" s="347" t="b">
        <f>テーブル1[[#This Row],[要求事項一覧
判定]]=テーブル1[[#This Row],[列2]]</f>
        <v>1</v>
      </c>
    </row>
    <row r="157" spans="1:29" ht="101.5">
      <c r="A157" s="1" t="str">
        <f>テーブル1[[#This Row],[対象部門]]&amp;テーブル1[[#This Row],[業務要件回答表からの事前回答案_v1.0.xlsxより]]</f>
        <v>現預金管理2.1</v>
      </c>
      <c r="B157" s="1" t="s">
        <v>3026</v>
      </c>
      <c r="D157" s="10" t="s">
        <v>758</v>
      </c>
      <c r="E157" s="26" t="s">
        <v>759</v>
      </c>
      <c r="F157" s="21" t="s">
        <v>760</v>
      </c>
      <c r="G157" s="68">
        <v>2.1</v>
      </c>
      <c r="H157" s="44" t="s">
        <v>32</v>
      </c>
      <c r="I157" s="15"/>
      <c r="J157" s="68" t="s">
        <v>752</v>
      </c>
      <c r="K157" s="68" t="s">
        <v>51</v>
      </c>
      <c r="L157" s="26"/>
      <c r="M157" s="30"/>
      <c r="N157" s="44"/>
      <c r="O157" s="44" t="s">
        <v>35</v>
      </c>
      <c r="P157" s="44"/>
      <c r="Q157" s="44" t="s">
        <v>753</v>
      </c>
      <c r="R157" s="44" t="s">
        <v>54</v>
      </c>
      <c r="S157" s="26" t="s">
        <v>761</v>
      </c>
      <c r="T157" s="44" t="s">
        <v>39</v>
      </c>
      <c r="U157" s="91"/>
      <c r="V157" s="95" t="s">
        <v>161</v>
      </c>
      <c r="W157" s="336" t="s">
        <v>762</v>
      </c>
      <c r="X157" s="341" t="str">
        <f>テーブル1[[#This Row],[開発]]&amp;テーブル1[[#This Row],[スコープ]]</f>
        <v>必要IN</v>
      </c>
      <c r="Y157" s="41" t="str">
        <f>IF(テーブル1[[#This Row],[列1]]="不要IN","標準",IF(テーブル1[[#This Row],[列1]]="不要OUT","スコープアウト",IF(テーブル1[[#This Row],[列1]]="必要IN","アドオン",IF(テーブル1[[#This Row],[列1]]="OUT","スコープアウト",""))))</f>
        <v>アドオン</v>
      </c>
      <c r="Z157" s="345" t="str">
        <f>VLOOKUP($B157,Sheet1!$C$2:$L$315,9,)</f>
        <v>会計システム標準機能</v>
      </c>
      <c r="AA157" s="340" t="str">
        <f>VLOOKUP($B157,Sheet1!$C$2:$L$315,10,)</f>
        <v>FO標準機能のExcelアドイン機能を利用して、経費精算システムからの現金の入出金伝票をExcelに貼り付けることで、会計仕訳を登録し、手動で計上することで標準機能にて対応可能。自動連携、計上の場合は開発が必要となる。</v>
      </c>
      <c r="AB157" s="347" t="s">
        <v>3203</v>
      </c>
      <c r="AC157" s="347" t="b">
        <f>テーブル1[[#This Row],[要求事項一覧
判定]]=テーブル1[[#This Row],[列2]]</f>
        <v>0</v>
      </c>
    </row>
    <row r="158" spans="1:29" ht="116">
      <c r="A158" s="1" t="str">
        <f>テーブル1[[#This Row],[対象部門]]&amp;テーブル1[[#This Row],[業務要件回答表からの事前回答案_v1.0.xlsxより]]</f>
        <v>現預金管理2.2</v>
      </c>
      <c r="B158" s="1" t="s">
        <v>3027</v>
      </c>
      <c r="D158" s="10" t="s">
        <v>763</v>
      </c>
      <c r="E158" s="26" t="s">
        <v>764</v>
      </c>
      <c r="F158" s="21" t="s">
        <v>765</v>
      </c>
      <c r="G158" s="68">
        <v>2.2000000000000002</v>
      </c>
      <c r="H158" s="44" t="s">
        <v>32</v>
      </c>
      <c r="I158" s="15"/>
      <c r="J158" s="68" t="s">
        <v>752</v>
      </c>
      <c r="K158" s="68" t="s">
        <v>51</v>
      </c>
      <c r="L158" s="26"/>
      <c r="M158" s="40" t="s">
        <v>766</v>
      </c>
      <c r="N158" s="44"/>
      <c r="O158" s="44" t="s">
        <v>35</v>
      </c>
      <c r="P158" s="44"/>
      <c r="Q158" s="44" t="s">
        <v>753</v>
      </c>
      <c r="R158" s="44" t="s">
        <v>37</v>
      </c>
      <c r="S158" s="26" t="s">
        <v>767</v>
      </c>
      <c r="T158" s="44" t="s">
        <v>39</v>
      </c>
      <c r="U158" s="91"/>
      <c r="V158" s="94"/>
      <c r="W158" s="334"/>
      <c r="X158" s="41" t="str">
        <f>テーブル1[[#This Row],[開発]]&amp;テーブル1[[#This Row],[スコープ]]</f>
        <v>不要IN</v>
      </c>
      <c r="Y158" s="41" t="str">
        <f>IF(テーブル1[[#This Row],[列1]]="不要IN","標準",IF(テーブル1[[#This Row],[列1]]="不要OUT","スコープアウト",IF(テーブル1[[#This Row],[列1]]="必要IN","アドオン",IF(テーブル1[[#This Row],[列1]]="OUT","スコープアウト",""))))</f>
        <v>標準</v>
      </c>
      <c r="Z158" s="345" t="str">
        <f>VLOOKUP($B158,Sheet1!$C$2:$L$315,9,)</f>
        <v>会計システム標準機能</v>
      </c>
      <c r="AA158" s="340" t="str">
        <f>VLOOKUP($B158,Sheet1!$C$2:$L$315,10,)</f>
        <v>FO標準機能のExcelアドイン機能を利用して、資金集中管理システムから銀行引落手数料の情報をExcelに貼り付けることで、会計仕訳を登録し、手動で計上することで標準機能にて対応可能。自動連携、計上の場合は開発が必要となる。</v>
      </c>
      <c r="AB158" s="347" t="s">
        <v>3203</v>
      </c>
      <c r="AC158" s="347" t="b">
        <f>テーブル1[[#This Row],[要求事項一覧
判定]]=テーブル1[[#This Row],[列2]]</f>
        <v>1</v>
      </c>
    </row>
    <row r="159" spans="1:29" ht="116">
      <c r="A159" s="1" t="str">
        <f>テーブル1[[#This Row],[対象部門]]&amp;テーブル1[[#This Row],[業務要件回答表からの事前回答案_v1.0.xlsxより]]</f>
        <v>現預金管理2.3</v>
      </c>
      <c r="B159" s="1" t="s">
        <v>3028</v>
      </c>
      <c r="D159" s="10" t="s">
        <v>768</v>
      </c>
      <c r="E159" s="26" t="s">
        <v>769</v>
      </c>
      <c r="F159" s="21" t="s">
        <v>765</v>
      </c>
      <c r="G159" s="68">
        <v>2.2999999999999998</v>
      </c>
      <c r="H159" s="44" t="s">
        <v>32</v>
      </c>
      <c r="I159" s="15"/>
      <c r="J159" s="68" t="s">
        <v>752</v>
      </c>
      <c r="K159" s="68" t="s">
        <v>51</v>
      </c>
      <c r="L159" s="26"/>
      <c r="M159" s="30"/>
      <c r="N159" s="44"/>
      <c r="O159" s="44" t="s">
        <v>35</v>
      </c>
      <c r="P159" s="44"/>
      <c r="Q159" s="44" t="s">
        <v>753</v>
      </c>
      <c r="R159" s="44" t="s">
        <v>37</v>
      </c>
      <c r="S159" s="26" t="s">
        <v>767</v>
      </c>
      <c r="T159" s="44" t="s">
        <v>39</v>
      </c>
      <c r="U159" s="91"/>
      <c r="V159" s="94"/>
      <c r="W159" s="334"/>
      <c r="X159" s="41" t="str">
        <f>テーブル1[[#This Row],[開発]]&amp;テーブル1[[#This Row],[スコープ]]</f>
        <v>不要IN</v>
      </c>
      <c r="Y159" s="41" t="str">
        <f>IF(テーブル1[[#This Row],[列1]]="不要IN","標準",IF(テーブル1[[#This Row],[列1]]="不要OUT","スコープアウト",IF(テーブル1[[#This Row],[列1]]="必要IN","アドオン",IF(テーブル1[[#This Row],[列1]]="OUT","スコープアウト",""))))</f>
        <v>標準</v>
      </c>
      <c r="Z159" s="345" t="str">
        <f>VLOOKUP($B159,Sheet1!$C$2:$L$315,9,)</f>
        <v>会計システム標準機能</v>
      </c>
      <c r="AA159" s="340" t="str">
        <f>VLOOKUP($B159,Sheet1!$C$2:$L$315,10,)</f>
        <v>FO標準機能のExcelアドイン機能を利用して、資金集中管理システムから銀行引落手数料の情報をExcelに貼り付けることで、会計仕訳を登録し、手動で計上することで標準機能にて対応可能。自動連携、計上の場合は開発が必要となる。</v>
      </c>
      <c r="AB159" s="347" t="s">
        <v>3203</v>
      </c>
      <c r="AC159" s="347" t="b">
        <f>テーブル1[[#This Row],[要求事項一覧
判定]]=テーブル1[[#This Row],[列2]]</f>
        <v>1</v>
      </c>
    </row>
    <row r="160" spans="1:29" ht="29">
      <c r="A160" s="1" t="str">
        <f>テーブル1[[#This Row],[対象部門]]&amp;テーブル1[[#This Row],[業務要件回答表からの事前回答案_v1.0.xlsxより]]</f>
        <v>現預金管理3.1</v>
      </c>
      <c r="B160" s="1" t="s">
        <v>3029</v>
      </c>
      <c r="D160" s="10" t="s">
        <v>770</v>
      </c>
      <c r="E160" s="26" t="s">
        <v>771</v>
      </c>
      <c r="F160" s="21" t="s">
        <v>772</v>
      </c>
      <c r="G160" s="68">
        <v>3.1</v>
      </c>
      <c r="H160" s="44" t="s">
        <v>32</v>
      </c>
      <c r="I160" s="15"/>
      <c r="J160" s="68" t="s">
        <v>752</v>
      </c>
      <c r="K160" s="68" t="s">
        <v>51</v>
      </c>
      <c r="L160" s="26"/>
      <c r="M160" s="30"/>
      <c r="N160" s="44"/>
      <c r="O160" s="44" t="s">
        <v>35</v>
      </c>
      <c r="P160" s="44"/>
      <c r="Q160" s="44" t="s">
        <v>753</v>
      </c>
      <c r="R160" s="44" t="s">
        <v>37</v>
      </c>
      <c r="S160" s="26" t="s">
        <v>754</v>
      </c>
      <c r="T160" s="44" t="s">
        <v>39</v>
      </c>
      <c r="U160" s="91"/>
      <c r="V160" s="94"/>
      <c r="W160" s="334"/>
      <c r="X160" s="41" t="str">
        <f>テーブル1[[#This Row],[開発]]&amp;テーブル1[[#This Row],[スコープ]]</f>
        <v>不要IN</v>
      </c>
      <c r="Y160" s="41" t="str">
        <f>IF(テーブル1[[#This Row],[列1]]="不要IN","標準",IF(テーブル1[[#This Row],[列1]]="不要OUT","スコープアウト",IF(テーブル1[[#This Row],[列1]]="必要IN","アドオン",IF(テーブル1[[#This Row],[列1]]="OUT","スコープアウト",""))))</f>
        <v>標準</v>
      </c>
      <c r="Z160" s="345" t="str">
        <f>VLOOKUP($B160,Sheet1!$C$2:$L$315,9,)</f>
        <v>会計システム標準機能</v>
      </c>
      <c r="AA160" s="340" t="str">
        <f>VLOOKUP($B160,Sheet1!$C$2:$L$315,10,)</f>
        <v>勘定科目一覧画面を使用</v>
      </c>
      <c r="AB160" s="347" t="s">
        <v>3203</v>
      </c>
      <c r="AC160" s="347" t="b">
        <f>テーブル1[[#This Row],[要求事項一覧
判定]]=テーブル1[[#This Row],[列2]]</f>
        <v>1</v>
      </c>
    </row>
    <row r="161" spans="1:29" ht="43.5">
      <c r="A161" s="1" t="str">
        <f>テーブル1[[#This Row],[対象部門]]&amp;テーブル1[[#This Row],[業務要件回答表からの事前回答案_v1.0.xlsxより]]</f>
        <v>現預金管理3.2</v>
      </c>
      <c r="B161" s="1" t="s">
        <v>3030</v>
      </c>
      <c r="D161" s="10" t="s">
        <v>773</v>
      </c>
      <c r="E161" s="26" t="s">
        <v>774</v>
      </c>
      <c r="F161" s="21" t="s">
        <v>775</v>
      </c>
      <c r="G161" s="68">
        <v>3.2</v>
      </c>
      <c r="H161" s="44" t="s">
        <v>32</v>
      </c>
      <c r="I161" s="15"/>
      <c r="J161" s="68" t="s">
        <v>752</v>
      </c>
      <c r="K161" s="68" t="s">
        <v>51</v>
      </c>
      <c r="L161" s="26"/>
      <c r="M161" s="40" t="s">
        <v>776</v>
      </c>
      <c r="N161" s="44"/>
      <c r="O161" s="44" t="s">
        <v>35</v>
      </c>
      <c r="P161" s="44"/>
      <c r="Q161" s="44" t="s">
        <v>753</v>
      </c>
      <c r="R161" s="44" t="s">
        <v>37</v>
      </c>
      <c r="S161" s="26" t="s">
        <v>754</v>
      </c>
      <c r="T161" s="44" t="s">
        <v>39</v>
      </c>
      <c r="U161" s="91"/>
      <c r="V161" s="94"/>
      <c r="W161" s="334"/>
      <c r="X161" s="41" t="str">
        <f>テーブル1[[#This Row],[開発]]&amp;テーブル1[[#This Row],[スコープ]]</f>
        <v>不要IN</v>
      </c>
      <c r="Y161" s="41" t="str">
        <f>IF(テーブル1[[#This Row],[列1]]="不要IN","標準",IF(テーブル1[[#This Row],[列1]]="不要OUT","スコープアウト",IF(テーブル1[[#This Row],[列1]]="必要IN","アドオン",IF(テーブル1[[#This Row],[列1]]="OUT","スコープアウト",""))))</f>
        <v>標準</v>
      </c>
      <c r="Z161" s="345" t="str">
        <f>VLOOKUP($B161,Sheet1!$C$2:$L$315,9,)</f>
        <v>会計システム標準機能</v>
      </c>
      <c r="AA161" s="340" t="str">
        <f>VLOOKUP($B161,Sheet1!$C$2:$L$315,10,)</f>
        <v>銀行トランザクションにてフィルタしてExcel出力での対応</v>
      </c>
      <c r="AB161" s="347" t="s">
        <v>3203</v>
      </c>
      <c r="AC161" s="347" t="b">
        <f>テーブル1[[#This Row],[要求事項一覧
判定]]=テーブル1[[#This Row],[列2]]</f>
        <v>1</v>
      </c>
    </row>
    <row r="162" spans="1:29" ht="29">
      <c r="A162" s="1" t="str">
        <f>テーブル1[[#This Row],[対象部門]]&amp;テーブル1[[#This Row],[業務要件回答表からの事前回答案_v1.0.xlsxより]]</f>
        <v>現預金管理3.3</v>
      </c>
      <c r="B162" s="1" t="s">
        <v>3031</v>
      </c>
      <c r="D162" s="10" t="s">
        <v>777</v>
      </c>
      <c r="E162" s="26" t="s">
        <v>778</v>
      </c>
      <c r="F162" s="21" t="s">
        <v>779</v>
      </c>
      <c r="G162" s="68">
        <v>3.3</v>
      </c>
      <c r="H162" s="44" t="s">
        <v>32</v>
      </c>
      <c r="I162" s="15"/>
      <c r="J162" s="68" t="s">
        <v>752</v>
      </c>
      <c r="K162" s="68" t="s">
        <v>51</v>
      </c>
      <c r="L162" s="26"/>
      <c r="M162" s="30"/>
      <c r="N162" s="44"/>
      <c r="O162" s="44" t="s">
        <v>35</v>
      </c>
      <c r="P162" s="44"/>
      <c r="Q162" s="44" t="s">
        <v>753</v>
      </c>
      <c r="R162" s="44" t="s">
        <v>37</v>
      </c>
      <c r="S162" s="26" t="s">
        <v>754</v>
      </c>
      <c r="T162" s="44" t="s">
        <v>39</v>
      </c>
      <c r="U162" s="91"/>
      <c r="V162" s="94"/>
      <c r="W162" s="334"/>
      <c r="X162" s="41" t="str">
        <f>テーブル1[[#This Row],[開発]]&amp;テーブル1[[#This Row],[スコープ]]</f>
        <v>不要IN</v>
      </c>
      <c r="Y162" s="41" t="str">
        <f>IF(テーブル1[[#This Row],[列1]]="不要IN","標準",IF(テーブル1[[#This Row],[列1]]="不要OUT","スコープアウト",IF(テーブル1[[#This Row],[列1]]="必要IN","アドオン",IF(テーブル1[[#This Row],[列1]]="OUT","スコープアウト",""))))</f>
        <v>標準</v>
      </c>
      <c r="Z162" s="345" t="str">
        <f>VLOOKUP($B162,Sheet1!$C$2:$L$315,9,)</f>
        <v>会計システム標準機能</v>
      </c>
      <c r="AA162" s="340" t="str">
        <f>VLOOKUP($B162,Sheet1!$C$2:$L$315,10,)</f>
        <v>勘定科目一覧画面を使用</v>
      </c>
      <c r="AB162" s="347" t="s">
        <v>3203</v>
      </c>
      <c r="AC162" s="347" t="b">
        <f>テーブル1[[#This Row],[要求事項一覧
判定]]=テーブル1[[#This Row],[列2]]</f>
        <v>1</v>
      </c>
    </row>
    <row r="163" spans="1:29" ht="116">
      <c r="A163" s="1" t="str">
        <f>テーブル1[[#This Row],[対象部門]]&amp;テーブル1[[#This Row],[業務要件回答表からの事前回答案_v1.0.xlsxより]]</f>
        <v>現預金管理4.1</v>
      </c>
      <c r="B163" s="1" t="s">
        <v>3032</v>
      </c>
      <c r="D163" s="10" t="s">
        <v>336</v>
      </c>
      <c r="E163" s="26" t="s">
        <v>780</v>
      </c>
      <c r="F163" s="21" t="s">
        <v>781</v>
      </c>
      <c r="G163" s="68">
        <v>4.0999999999999996</v>
      </c>
      <c r="H163" s="44" t="s">
        <v>32</v>
      </c>
      <c r="I163" s="15"/>
      <c r="J163" s="68" t="s">
        <v>752</v>
      </c>
      <c r="K163" s="68" t="s">
        <v>51</v>
      </c>
      <c r="L163" s="39" t="s">
        <v>782</v>
      </c>
      <c r="M163" s="39" t="s">
        <v>783</v>
      </c>
      <c r="N163" s="44" t="s">
        <v>333</v>
      </c>
      <c r="O163" s="44" t="s">
        <v>35</v>
      </c>
      <c r="P163" s="44"/>
      <c r="Q163" s="44" t="s">
        <v>753</v>
      </c>
      <c r="R163" s="44" t="s">
        <v>37</v>
      </c>
      <c r="S163" s="26" t="s">
        <v>784</v>
      </c>
      <c r="T163" s="44" t="s">
        <v>39</v>
      </c>
      <c r="U163" s="91"/>
      <c r="V163" s="94"/>
      <c r="W163" s="334"/>
      <c r="X163" s="41" t="str">
        <f>テーブル1[[#This Row],[開発]]&amp;テーブル1[[#This Row],[スコープ]]</f>
        <v>不要IN</v>
      </c>
      <c r="Y163" s="41" t="str">
        <f>IF(テーブル1[[#This Row],[列1]]="不要IN","標準",IF(テーブル1[[#This Row],[列1]]="不要OUT","スコープアウト",IF(テーブル1[[#This Row],[列1]]="必要IN","アドオン",IF(テーブル1[[#This Row],[列1]]="OUT","スコープアウト",""))))</f>
        <v>標準</v>
      </c>
      <c r="Z163" s="345" t="str">
        <f>VLOOKUP($B163,Sheet1!$C$2:$L$315,9,)</f>
        <v>会計システム標準機能</v>
      </c>
      <c r="AA163" s="340" t="str">
        <f>VLOOKUP($B163,Sheet1!$C$2:$L$315,10,)</f>
        <v>銀行トランザクションにてフィルタしてExcel出力での対応</v>
      </c>
      <c r="AB163" s="347" t="s">
        <v>3203</v>
      </c>
      <c r="AC163" s="347" t="b">
        <f>テーブル1[[#This Row],[要求事項一覧
判定]]=テーブル1[[#This Row],[列2]]</f>
        <v>1</v>
      </c>
    </row>
    <row r="164" spans="1:29" ht="37.5" customHeight="1">
      <c r="A164" s="1" t="str">
        <f>テーブル1[[#This Row],[対象部門]]&amp;テーブル1[[#This Row],[業務要件回答表からの事前回答案_v1.0.xlsxより]]</f>
        <v>現預金管理4.2</v>
      </c>
      <c r="B164" s="1" t="s">
        <v>3033</v>
      </c>
      <c r="D164" s="10" t="s">
        <v>785</v>
      </c>
      <c r="E164" s="26" t="s">
        <v>786</v>
      </c>
      <c r="F164" s="21" t="s">
        <v>787</v>
      </c>
      <c r="G164" s="68">
        <v>4.2</v>
      </c>
      <c r="H164" s="44" t="s">
        <v>32</v>
      </c>
      <c r="I164" s="15"/>
      <c r="J164" s="68" t="s">
        <v>752</v>
      </c>
      <c r="K164" s="68" t="s">
        <v>51</v>
      </c>
      <c r="L164" s="26"/>
      <c r="M164" s="30"/>
      <c r="N164" s="44"/>
      <c r="O164" s="44" t="s">
        <v>35</v>
      </c>
      <c r="P164" s="44"/>
      <c r="Q164" s="44" t="s">
        <v>753</v>
      </c>
      <c r="R164" s="44" t="s">
        <v>37</v>
      </c>
      <c r="S164" s="26" t="s">
        <v>754</v>
      </c>
      <c r="T164" s="44" t="s">
        <v>39</v>
      </c>
      <c r="U164" s="91"/>
      <c r="V164" s="94"/>
      <c r="W164" s="334"/>
      <c r="X164" s="41" t="str">
        <f>テーブル1[[#This Row],[開発]]&amp;テーブル1[[#This Row],[スコープ]]</f>
        <v>不要IN</v>
      </c>
      <c r="Y164" s="41" t="str">
        <f>IF(テーブル1[[#This Row],[列1]]="不要IN","標準",IF(テーブル1[[#This Row],[列1]]="不要OUT","スコープアウト",IF(テーブル1[[#This Row],[列1]]="必要IN","アドオン",IF(テーブル1[[#This Row],[列1]]="OUT","スコープアウト",""))))</f>
        <v>標準</v>
      </c>
      <c r="Z164" s="345" t="str">
        <f>VLOOKUP($B164,Sheet1!$C$2:$L$315,9,)</f>
        <v>会計システム標準機能</v>
      </c>
      <c r="AA164" s="340" t="str">
        <f>VLOOKUP($B164,Sheet1!$C$2:$L$315,10,)</f>
        <v>銀行トランザクションにてフィルタしてExcel出力での対応</v>
      </c>
      <c r="AB164" s="347" t="s">
        <v>3203</v>
      </c>
      <c r="AC164" s="347" t="b">
        <f>テーブル1[[#This Row],[要求事項一覧
判定]]=テーブル1[[#This Row],[列2]]</f>
        <v>1</v>
      </c>
    </row>
    <row r="165" spans="1:29" ht="29">
      <c r="A165" s="1" t="str">
        <f>テーブル1[[#This Row],[対象部門]]&amp;テーブル1[[#This Row],[業務要件回答表からの事前回答案_v1.0.xlsxより]]</f>
        <v>現預金管理5.1</v>
      </c>
      <c r="B165" s="1" t="s">
        <v>3034</v>
      </c>
      <c r="D165" s="10" t="s">
        <v>788</v>
      </c>
      <c r="E165" s="26" t="s">
        <v>789</v>
      </c>
      <c r="F165" s="21" t="s">
        <v>790</v>
      </c>
      <c r="G165" s="68">
        <v>5.0999999999999996</v>
      </c>
      <c r="H165" s="44" t="s">
        <v>32</v>
      </c>
      <c r="I165" s="15"/>
      <c r="J165" s="68" t="s">
        <v>752</v>
      </c>
      <c r="K165" s="68" t="s">
        <v>51</v>
      </c>
      <c r="L165" s="26"/>
      <c r="M165" s="30"/>
      <c r="N165" s="44"/>
      <c r="O165" s="44" t="s">
        <v>35</v>
      </c>
      <c r="P165" s="44"/>
      <c r="Q165" s="44" t="s">
        <v>753</v>
      </c>
      <c r="R165" s="44" t="s">
        <v>37</v>
      </c>
      <c r="S165" s="26" t="s">
        <v>754</v>
      </c>
      <c r="T165" s="44" t="s">
        <v>39</v>
      </c>
      <c r="U165" s="91"/>
      <c r="V165" s="94"/>
      <c r="W165" s="334"/>
      <c r="X165" s="41" t="str">
        <f>テーブル1[[#This Row],[開発]]&amp;テーブル1[[#This Row],[スコープ]]</f>
        <v>不要IN</v>
      </c>
      <c r="Y165" s="41" t="str">
        <f>IF(テーブル1[[#This Row],[列1]]="不要IN","標準",IF(テーブル1[[#This Row],[列1]]="不要OUT","スコープアウト",IF(テーブル1[[#This Row],[列1]]="必要IN","アドオン",IF(テーブル1[[#This Row],[列1]]="OUT","スコープアウト",""))))</f>
        <v>標準</v>
      </c>
      <c r="Z165" s="345" t="str">
        <f>VLOOKUP($B165,Sheet1!$C$2:$L$315,9,)</f>
        <v>会計システム標準機能</v>
      </c>
      <c r="AA165" s="340" t="str">
        <f>VLOOKUP($B165,Sheet1!$C$2:$L$315,10,)</f>
        <v>銀行トランザクションにてフィルタしてExcel出力での対応</v>
      </c>
      <c r="AB165" s="347" t="s">
        <v>3203</v>
      </c>
      <c r="AC165" s="347" t="b">
        <f>テーブル1[[#This Row],[要求事項一覧
判定]]=テーブル1[[#This Row],[列2]]</f>
        <v>1</v>
      </c>
    </row>
    <row r="166" spans="1:29" ht="82.5" customHeight="1">
      <c r="A166" s="1" t="str">
        <f>テーブル1[[#This Row],[対象部門]]&amp;テーブル1[[#This Row],[業務要件回答表からの事前回答案_v1.0.xlsxより]]</f>
        <v>現預金管理5.2</v>
      </c>
      <c r="B166" s="1" t="s">
        <v>3035</v>
      </c>
      <c r="D166" s="10" t="s">
        <v>791</v>
      </c>
      <c r="E166" s="26" t="s">
        <v>792</v>
      </c>
      <c r="F166" s="21" t="s">
        <v>793</v>
      </c>
      <c r="G166" s="68">
        <v>5.2</v>
      </c>
      <c r="H166" s="44" t="s">
        <v>32</v>
      </c>
      <c r="I166" s="15"/>
      <c r="J166" s="68" t="s">
        <v>752</v>
      </c>
      <c r="K166" s="68" t="s">
        <v>51</v>
      </c>
      <c r="L166" s="26" t="s">
        <v>794</v>
      </c>
      <c r="M166" s="39" t="s">
        <v>795</v>
      </c>
      <c r="N166" s="44"/>
      <c r="O166" s="44" t="s">
        <v>35</v>
      </c>
      <c r="P166" s="44"/>
      <c r="Q166" s="44" t="s">
        <v>753</v>
      </c>
      <c r="R166" s="44" t="s">
        <v>37</v>
      </c>
      <c r="S166" s="26" t="s">
        <v>796</v>
      </c>
      <c r="T166" s="44" t="s">
        <v>91</v>
      </c>
      <c r="U166" s="92" t="s">
        <v>797</v>
      </c>
      <c r="V166" s="95"/>
      <c r="W166" s="336"/>
      <c r="X166" s="341" t="str">
        <f>テーブル1[[#This Row],[開発]]&amp;テーブル1[[#This Row],[スコープ]]</f>
        <v>不要OUT</v>
      </c>
      <c r="Y166" s="41" t="str">
        <f>IF(テーブル1[[#This Row],[列1]]="不要IN","標準",IF(テーブル1[[#This Row],[列1]]="不要OUT","スコープアウト",IF(テーブル1[[#This Row],[列1]]="必要IN","アドオン",IF(テーブル1[[#This Row],[列1]]="OUT","スコープアウト",""))))</f>
        <v>スコープアウト</v>
      </c>
      <c r="Z166" s="347" t="str">
        <f>VLOOKUP($B166,Sheet1!$C$2:$L$315,9,)</f>
        <v>拡張プラットフォーム</v>
      </c>
      <c r="AA166" s="340" t="str">
        <f>VLOOKUP($B166,Sheet1!$C$2:$L$315,10,)</f>
        <v>SCMモジュールにて対応</v>
      </c>
      <c r="AB166" s="347"/>
      <c r="AC166" s="347" t="b">
        <f>テーブル1[[#This Row],[要求事項一覧
判定]]=テーブル1[[#This Row],[列2]]</f>
        <v>0</v>
      </c>
    </row>
    <row r="167" spans="1:29" ht="58">
      <c r="A167" s="1" t="str">
        <f>テーブル1[[#This Row],[対象部門]]&amp;テーブル1[[#This Row],[業務要件回答表からの事前回答案_v1.0.xlsxより]]</f>
        <v>現預金管理5.3</v>
      </c>
      <c r="B167" s="1" t="s">
        <v>3036</v>
      </c>
      <c r="D167" s="10" t="s">
        <v>798</v>
      </c>
      <c r="E167" s="26" t="s">
        <v>799</v>
      </c>
      <c r="F167" s="21" t="s">
        <v>800</v>
      </c>
      <c r="G167" s="68">
        <v>5.3</v>
      </c>
      <c r="H167" s="44" t="s">
        <v>32</v>
      </c>
      <c r="I167" s="15"/>
      <c r="J167" s="68" t="s">
        <v>752</v>
      </c>
      <c r="K167" s="68" t="s">
        <v>51</v>
      </c>
      <c r="L167" s="26" t="s">
        <v>801</v>
      </c>
      <c r="M167" s="26"/>
      <c r="N167" s="75" t="s">
        <v>802</v>
      </c>
      <c r="O167" s="44" t="s">
        <v>35</v>
      </c>
      <c r="P167" s="44"/>
      <c r="Q167" s="44" t="s">
        <v>753</v>
      </c>
      <c r="R167" s="44" t="s">
        <v>37</v>
      </c>
      <c r="S167" s="26" t="s">
        <v>803</v>
      </c>
      <c r="T167" s="44" t="s">
        <v>91</v>
      </c>
      <c r="U167" s="91"/>
      <c r="V167" s="94"/>
      <c r="W167" s="334"/>
      <c r="X167" s="41" t="str">
        <f>テーブル1[[#This Row],[開発]]&amp;テーブル1[[#This Row],[スコープ]]</f>
        <v>不要OUT</v>
      </c>
      <c r="Y167" s="41" t="str">
        <f>IF(テーブル1[[#This Row],[列1]]="不要IN","標準",IF(テーブル1[[#This Row],[列1]]="不要OUT","スコープアウト",IF(テーブル1[[#This Row],[列1]]="必要IN","アドオン",IF(テーブル1[[#This Row],[列1]]="OUT","スコープアウト",""))))</f>
        <v>スコープアウト</v>
      </c>
      <c r="Z167" s="347" t="str">
        <f>VLOOKUP($B167,Sheet1!$C$2:$L$315,9,)</f>
        <v>拡張プラットフォーム</v>
      </c>
      <c r="AA167" s="340" t="str">
        <f>VLOOKUP($B167,Sheet1!$C$2:$L$315,10,)</f>
        <v>SCMモジュールにて対応</v>
      </c>
      <c r="AB167" s="347"/>
      <c r="AC167" s="347" t="b">
        <f>テーブル1[[#This Row],[要求事項一覧
判定]]=テーブル1[[#This Row],[列2]]</f>
        <v>0</v>
      </c>
    </row>
    <row r="168" spans="1:29" ht="29">
      <c r="A168" s="1" t="str">
        <f>テーブル1[[#This Row],[対象部門]]&amp;テーブル1[[#This Row],[業務要件回答表からの事前回答案_v1.0.xlsxより]]</f>
        <v>現預金管理6.1</v>
      </c>
      <c r="B168" s="1" t="s">
        <v>3037</v>
      </c>
      <c r="D168" s="10" t="s">
        <v>804</v>
      </c>
      <c r="E168" s="26" t="s">
        <v>805</v>
      </c>
      <c r="F168" s="21" t="s">
        <v>30</v>
      </c>
      <c r="G168" s="68">
        <v>6.1</v>
      </c>
      <c r="H168" s="44" t="s">
        <v>32</v>
      </c>
      <c r="I168" s="15"/>
      <c r="J168" s="68" t="s">
        <v>752</v>
      </c>
      <c r="K168" s="68" t="s">
        <v>806</v>
      </c>
      <c r="L168" s="26"/>
      <c r="M168" s="30"/>
      <c r="N168" s="44"/>
      <c r="O168" s="44" t="s">
        <v>35</v>
      </c>
      <c r="P168" s="44"/>
      <c r="Q168" s="44" t="s">
        <v>753</v>
      </c>
      <c r="R168" s="44" t="s">
        <v>37</v>
      </c>
      <c r="S168" s="26" t="s">
        <v>807</v>
      </c>
      <c r="T168" s="44" t="s">
        <v>39</v>
      </c>
      <c r="U168" s="91"/>
      <c r="V168" s="94"/>
      <c r="W168" s="334"/>
      <c r="X168" s="41" t="str">
        <f>テーブル1[[#This Row],[開発]]&amp;テーブル1[[#This Row],[スコープ]]</f>
        <v>不要IN</v>
      </c>
      <c r="Y168" s="41" t="str">
        <f>IF(テーブル1[[#This Row],[列1]]="不要IN","標準",IF(テーブル1[[#This Row],[列1]]="不要OUT","スコープアウト",IF(テーブル1[[#This Row],[列1]]="必要IN","アドオン",IF(テーブル1[[#This Row],[列1]]="OUT","スコープアウト",""))))</f>
        <v>標準</v>
      </c>
      <c r="Z168" s="345" t="str">
        <f>VLOOKUP($B168,Sheet1!$C$2:$L$315,9,)</f>
        <v>会計システム標準機能</v>
      </c>
      <c r="AA168" s="340">
        <f>VLOOKUP($B168,Sheet1!$C$2:$L$315,10,)</f>
        <v>0</v>
      </c>
      <c r="AB168" s="347" t="s">
        <v>3203</v>
      </c>
      <c r="AC168" s="347" t="b">
        <f>テーブル1[[#This Row],[要求事項一覧
判定]]=テーブル1[[#This Row],[列2]]</f>
        <v>1</v>
      </c>
    </row>
    <row r="169" spans="1:29" ht="29">
      <c r="A169" s="1" t="str">
        <f>テーブル1[[#This Row],[対象部門]]&amp;テーブル1[[#This Row],[業務要件回答表からの事前回答案_v1.0.xlsxより]]</f>
        <v>現預金管理6.2</v>
      </c>
      <c r="B169" s="1" t="s">
        <v>3038</v>
      </c>
      <c r="D169" s="10" t="s">
        <v>808</v>
      </c>
      <c r="E169" s="26" t="s">
        <v>809</v>
      </c>
      <c r="F169" s="21" t="s">
        <v>810</v>
      </c>
      <c r="G169" s="68">
        <v>6.2</v>
      </c>
      <c r="H169" s="44" t="s">
        <v>32</v>
      </c>
      <c r="I169" s="15"/>
      <c r="J169" s="68" t="s">
        <v>752</v>
      </c>
      <c r="K169" s="68" t="s">
        <v>806</v>
      </c>
      <c r="L169" s="26"/>
      <c r="M169" s="30"/>
      <c r="N169" s="44"/>
      <c r="O169" s="44" t="s">
        <v>35</v>
      </c>
      <c r="P169" s="44"/>
      <c r="Q169" s="44" t="s">
        <v>753</v>
      </c>
      <c r="R169" s="44" t="s">
        <v>37</v>
      </c>
      <c r="S169" s="26" t="s">
        <v>754</v>
      </c>
      <c r="T169" s="44" t="s">
        <v>39</v>
      </c>
      <c r="U169" s="91"/>
      <c r="V169" s="94"/>
      <c r="W169" s="334"/>
      <c r="X169" s="41" t="str">
        <f>テーブル1[[#This Row],[開発]]&amp;テーブル1[[#This Row],[スコープ]]</f>
        <v>不要IN</v>
      </c>
      <c r="Y169" s="41" t="str">
        <f>IF(テーブル1[[#This Row],[列1]]="不要IN","標準",IF(テーブル1[[#This Row],[列1]]="不要OUT","スコープアウト",IF(テーブル1[[#This Row],[列1]]="必要IN","アドオン",IF(テーブル1[[#This Row],[列1]]="OUT","スコープアウト",""))))</f>
        <v>標準</v>
      </c>
      <c r="Z169" s="345" t="str">
        <f>VLOOKUP($B169,Sheet1!$C$2:$L$315,9,)</f>
        <v>会計システム標準機能</v>
      </c>
      <c r="AA169" s="340" t="str">
        <f>VLOOKUP($B169,Sheet1!$C$2:$L$315,10,)</f>
        <v>銀行トランザクションにてフィルタしてExcel出力での対応</v>
      </c>
      <c r="AB169" s="347" t="s">
        <v>3203</v>
      </c>
      <c r="AC169" s="347" t="b">
        <f>テーブル1[[#This Row],[要求事項一覧
判定]]=テーブル1[[#This Row],[列2]]</f>
        <v>1</v>
      </c>
    </row>
    <row r="170" spans="1:29" ht="217.5">
      <c r="A170" s="1" t="str">
        <f>テーブル1[[#This Row],[対象部門]]&amp;テーブル1[[#This Row],[業務要件回答表からの事前回答案_v1.0.xlsxより]]</f>
        <v>現預金管理6.3</v>
      </c>
      <c r="B170" s="1" t="s">
        <v>3039</v>
      </c>
      <c r="D170" s="10" t="s">
        <v>811</v>
      </c>
      <c r="E170" s="26" t="s">
        <v>812</v>
      </c>
      <c r="F170" s="21" t="s">
        <v>813</v>
      </c>
      <c r="G170" s="68">
        <v>6.3</v>
      </c>
      <c r="H170" s="44" t="s">
        <v>32</v>
      </c>
      <c r="I170" s="15"/>
      <c r="J170" s="68" t="s">
        <v>752</v>
      </c>
      <c r="K170" s="68" t="s">
        <v>51</v>
      </c>
      <c r="L170" s="26"/>
      <c r="M170" s="30"/>
      <c r="N170" s="44"/>
      <c r="O170" s="44" t="s">
        <v>35</v>
      </c>
      <c r="P170" s="44"/>
      <c r="Q170" s="44" t="s">
        <v>753</v>
      </c>
      <c r="R170" s="44" t="s">
        <v>37</v>
      </c>
      <c r="S170" s="26" t="s">
        <v>814</v>
      </c>
      <c r="T170" s="44" t="s">
        <v>39</v>
      </c>
      <c r="U170" s="91"/>
      <c r="V170" s="95"/>
      <c r="W170" s="336"/>
      <c r="X170" s="341" t="str">
        <f>テーブル1[[#This Row],[開発]]&amp;テーブル1[[#This Row],[スコープ]]</f>
        <v>不要IN</v>
      </c>
      <c r="Y170" s="41" t="str">
        <f>IF(テーブル1[[#This Row],[列1]]="不要IN","標準",IF(テーブル1[[#This Row],[列1]]="不要OUT","スコープアウト",IF(テーブル1[[#This Row],[列1]]="必要IN","アドオン",IF(テーブル1[[#This Row],[列1]]="OUT","スコープアウト",""))))</f>
        <v>標準</v>
      </c>
      <c r="Z170" s="345" t="str">
        <f>VLOOKUP($B170,Sheet1!$C$2:$L$315,9,)</f>
        <v>会計システム標準機能</v>
      </c>
      <c r="AA170" s="340" t="str">
        <f>VLOOKUP($B170,Sheet1!$C$2:$L$315,10,)</f>
        <v>勘定科目一覧画面を使用</v>
      </c>
      <c r="AB170" s="347" t="s">
        <v>3203</v>
      </c>
      <c r="AC170" s="347" t="b">
        <f>テーブル1[[#This Row],[要求事項一覧
判定]]=テーブル1[[#This Row],[列2]]</f>
        <v>1</v>
      </c>
    </row>
    <row r="171" spans="1:29" ht="58">
      <c r="A171" s="1" t="str">
        <f>テーブル1[[#This Row],[対象部門]]&amp;テーブル1[[#This Row],[業務要件回答表からの事前回答案_v1.0.xlsxより]]</f>
        <v>財務管理1.1</v>
      </c>
      <c r="B171" s="1" t="s">
        <v>3084</v>
      </c>
      <c r="D171" s="10" t="s">
        <v>815</v>
      </c>
      <c r="E171" s="26" t="s">
        <v>816</v>
      </c>
      <c r="F171" s="21" t="s">
        <v>817</v>
      </c>
      <c r="G171" s="68">
        <v>1.1000000000000001</v>
      </c>
      <c r="H171" s="44" t="s">
        <v>32</v>
      </c>
      <c r="I171" s="15"/>
      <c r="J171" s="68" t="s">
        <v>818</v>
      </c>
      <c r="K171" s="68" t="s">
        <v>806</v>
      </c>
      <c r="L171" s="26" t="s">
        <v>819</v>
      </c>
      <c r="M171" s="26" t="s">
        <v>820</v>
      </c>
      <c r="N171" s="44"/>
      <c r="O171" s="44" t="s">
        <v>35</v>
      </c>
      <c r="P171" s="44"/>
      <c r="Q171" s="44" t="s">
        <v>821</v>
      </c>
      <c r="R171" s="44" t="s">
        <v>37</v>
      </c>
      <c r="S171" s="26" t="s">
        <v>822</v>
      </c>
      <c r="T171" s="44" t="s">
        <v>91</v>
      </c>
      <c r="U171" s="93" t="s">
        <v>823</v>
      </c>
      <c r="V171" s="94"/>
      <c r="W171" s="334"/>
      <c r="X171" s="41" t="str">
        <f>テーブル1[[#This Row],[開発]]&amp;テーブル1[[#This Row],[スコープ]]</f>
        <v>不要OUT</v>
      </c>
      <c r="Y171" s="41" t="str">
        <f>IF(テーブル1[[#This Row],[列1]]="不要IN","標準",IF(テーブル1[[#This Row],[列1]]="不要OUT","スコープアウト",IF(テーブル1[[#This Row],[列1]]="必要IN","アドオン",IF(テーブル1[[#This Row],[列1]]="OUT","スコープアウト",""))))</f>
        <v>スコープアウト</v>
      </c>
      <c r="Z171" s="345" t="str">
        <f>VLOOKUP($B171,Sheet1!$C$2:$L$315,9,)</f>
        <v>会計システム標準機能</v>
      </c>
      <c r="AA171" s="340" t="str">
        <f>VLOOKUP($B171,Sheet1!$C$2:$L$315,10,)</f>
        <v>予算モジュールでデータ登録後、MRで出力
（Fiｎライセンスで予算モジュールで使用可能かＭＳ確認）</v>
      </c>
      <c r="AB171" s="347" t="s">
        <v>3203</v>
      </c>
      <c r="AC171" s="347" t="b">
        <f>テーブル1[[#This Row],[要求事項一覧
判定]]=テーブル1[[#This Row],[列2]]</f>
        <v>0</v>
      </c>
    </row>
    <row r="172" spans="1:29" ht="58">
      <c r="A172" s="1" t="str">
        <f>テーブル1[[#This Row],[対象部門]]&amp;テーブル1[[#This Row],[業務要件回答表からの事前回答案_v1.0.xlsxより]]</f>
        <v>財務管理1.2</v>
      </c>
      <c r="B172" s="1" t="s">
        <v>3085</v>
      </c>
      <c r="D172" s="10" t="s">
        <v>824</v>
      </c>
      <c r="E172" s="26" t="s">
        <v>825</v>
      </c>
      <c r="F172" s="21" t="s">
        <v>826</v>
      </c>
      <c r="G172" s="68">
        <v>1.2</v>
      </c>
      <c r="H172" s="44" t="s">
        <v>32</v>
      </c>
      <c r="I172" s="15"/>
      <c r="J172" s="68" t="s">
        <v>818</v>
      </c>
      <c r="K172" s="68" t="s">
        <v>806</v>
      </c>
      <c r="L172" s="26" t="s">
        <v>819</v>
      </c>
      <c r="M172" s="26" t="s">
        <v>820</v>
      </c>
      <c r="N172" s="44"/>
      <c r="O172" s="44" t="s">
        <v>35</v>
      </c>
      <c r="P172" s="44"/>
      <c r="Q172" s="44" t="s">
        <v>827</v>
      </c>
      <c r="R172" s="44" t="s">
        <v>37</v>
      </c>
      <c r="S172" s="26" t="s">
        <v>828</v>
      </c>
      <c r="T172" s="44" t="s">
        <v>91</v>
      </c>
      <c r="U172" s="93" t="s">
        <v>823</v>
      </c>
      <c r="V172" s="94"/>
      <c r="W172" s="334"/>
      <c r="X172" s="41" t="str">
        <f>テーブル1[[#This Row],[開発]]&amp;テーブル1[[#This Row],[スコープ]]</f>
        <v>不要OUT</v>
      </c>
      <c r="Y172" s="41" t="str">
        <f>IF(テーブル1[[#This Row],[列1]]="不要IN","標準",IF(テーブル1[[#This Row],[列1]]="不要OUT","スコープアウト",IF(テーブル1[[#This Row],[列1]]="必要IN","アドオン",IF(テーブル1[[#This Row],[列1]]="OUT","スコープアウト",""))))</f>
        <v>スコープアウト</v>
      </c>
      <c r="Z172" s="345" t="str">
        <f>VLOOKUP($B172,Sheet1!$C$2:$L$315,9,)</f>
        <v>会計システム標準機能</v>
      </c>
      <c r="AA172" s="340" t="str">
        <f>VLOOKUP($B172,Sheet1!$C$2:$L$315,10,)</f>
        <v>目検で確認（一致するはず）</v>
      </c>
      <c r="AB172" s="347" t="s">
        <v>3203</v>
      </c>
      <c r="AC172" s="347" t="b">
        <f>テーブル1[[#This Row],[要求事項一覧
判定]]=テーブル1[[#This Row],[列2]]</f>
        <v>0</v>
      </c>
    </row>
    <row r="173" spans="1:29" ht="101.5">
      <c r="A173" s="1" t="str">
        <f>テーブル1[[#This Row],[対象部門]]&amp;テーブル1[[#This Row],[業務要件回答表からの事前回答案_v1.0.xlsxより]]</f>
        <v>財務管理1.3</v>
      </c>
      <c r="B173" s="1" t="s">
        <v>3086</v>
      </c>
      <c r="D173" s="10" t="s">
        <v>829</v>
      </c>
      <c r="E173" s="26" t="s">
        <v>830</v>
      </c>
      <c r="F173" s="21" t="s">
        <v>831</v>
      </c>
      <c r="G173" s="68">
        <v>1.3</v>
      </c>
      <c r="H173" s="44" t="s">
        <v>32</v>
      </c>
      <c r="I173" s="15"/>
      <c r="J173" s="68" t="s">
        <v>818</v>
      </c>
      <c r="K173" s="68" t="s">
        <v>806</v>
      </c>
      <c r="L173" s="26" t="s">
        <v>832</v>
      </c>
      <c r="M173" s="26"/>
      <c r="N173" s="44"/>
      <c r="O173" s="44" t="s">
        <v>35</v>
      </c>
      <c r="P173" s="44"/>
      <c r="Q173" s="44" t="s">
        <v>827</v>
      </c>
      <c r="R173" s="44" t="s">
        <v>37</v>
      </c>
      <c r="S173" s="26" t="s">
        <v>828</v>
      </c>
      <c r="T173" s="44" t="s">
        <v>91</v>
      </c>
      <c r="U173" s="93" t="s">
        <v>833</v>
      </c>
      <c r="V173" s="94"/>
      <c r="W173" s="334"/>
      <c r="X173" s="41" t="str">
        <f>テーブル1[[#This Row],[開発]]&amp;テーブル1[[#This Row],[スコープ]]</f>
        <v>不要OUT</v>
      </c>
      <c r="Y173" s="41" t="str">
        <f>IF(テーブル1[[#This Row],[列1]]="不要IN","標準",IF(テーブル1[[#This Row],[列1]]="不要OUT","スコープアウト",IF(テーブル1[[#This Row],[列1]]="必要IN","アドオン",IF(テーブル1[[#This Row],[列1]]="OUT","スコープアウト",""))))</f>
        <v>スコープアウト</v>
      </c>
      <c r="Z173" s="345" t="str">
        <f>VLOOKUP($B173,Sheet1!$C$2:$L$315,9,)</f>
        <v>会計システム標準機能</v>
      </c>
      <c r="AA173" s="340" t="str">
        <f>VLOOKUP($B173,Sheet1!$C$2:$L$315,10,)</f>
        <v>財務分析コードで対応</v>
      </c>
      <c r="AB173" s="347" t="s">
        <v>3203</v>
      </c>
      <c r="AC173" s="347" t="b">
        <f>テーブル1[[#This Row],[要求事項一覧
判定]]=テーブル1[[#This Row],[列2]]</f>
        <v>0</v>
      </c>
    </row>
    <row r="174" spans="1:29" ht="83">
      <c r="A174" s="1" t="str">
        <f>テーブル1[[#This Row],[対象部門]]&amp;テーブル1[[#This Row],[業務要件回答表からの事前回答案_v1.0.xlsxより]]</f>
        <v>財務管理1.4</v>
      </c>
      <c r="B174" s="1" t="s">
        <v>3087</v>
      </c>
      <c r="D174" s="10" t="s">
        <v>834</v>
      </c>
      <c r="E174" s="26" t="s">
        <v>835</v>
      </c>
      <c r="F174" s="21" t="s">
        <v>836</v>
      </c>
      <c r="G174" s="68">
        <v>1.4</v>
      </c>
      <c r="H174" s="44" t="s">
        <v>32</v>
      </c>
      <c r="I174" s="15"/>
      <c r="J174" s="68" t="s">
        <v>818</v>
      </c>
      <c r="K174" s="68" t="s">
        <v>806</v>
      </c>
      <c r="L174" s="26" t="s">
        <v>837</v>
      </c>
      <c r="M174" s="26" t="s">
        <v>838</v>
      </c>
      <c r="N174" s="44"/>
      <c r="O174" s="44" t="s">
        <v>35</v>
      </c>
      <c r="P174" s="44"/>
      <c r="Q174" s="44" t="s">
        <v>827</v>
      </c>
      <c r="R174" s="44" t="s">
        <v>37</v>
      </c>
      <c r="S174" s="26" t="s">
        <v>828</v>
      </c>
      <c r="T174" s="44" t="s">
        <v>91</v>
      </c>
      <c r="U174" s="93" t="s">
        <v>833</v>
      </c>
      <c r="V174" s="94"/>
      <c r="W174" s="334"/>
      <c r="X174" s="41" t="str">
        <f>テーブル1[[#This Row],[開発]]&amp;テーブル1[[#This Row],[スコープ]]</f>
        <v>不要OUT</v>
      </c>
      <c r="Y174" s="41" t="str">
        <f>IF(テーブル1[[#This Row],[列1]]="不要IN","標準",IF(テーブル1[[#This Row],[列1]]="不要OUT","スコープアウト",IF(テーブル1[[#This Row],[列1]]="必要IN","アドオン",IF(テーブル1[[#This Row],[列1]]="OUT","スコープアウト",""))))</f>
        <v>スコープアウト</v>
      </c>
      <c r="Z174" s="345" t="str">
        <f>VLOOKUP($B174,Sheet1!$C$2:$L$315,9,)</f>
        <v>会計システム標準機能</v>
      </c>
      <c r="AA174" s="340" t="str">
        <f>VLOOKUP($B174,Sheet1!$C$2:$L$315,10,)</f>
        <v>財務分析コードで対応</v>
      </c>
      <c r="AB174" s="347" t="s">
        <v>3203</v>
      </c>
      <c r="AC174" s="347" t="b">
        <f>テーブル1[[#This Row],[要求事項一覧
判定]]=テーブル1[[#This Row],[列2]]</f>
        <v>0</v>
      </c>
    </row>
    <row r="175" spans="1:29" ht="72.5">
      <c r="A175" s="1" t="str">
        <f>テーブル1[[#This Row],[対象部門]]&amp;テーブル1[[#This Row],[業務要件回答表からの事前回答案_v1.0.xlsxより]]</f>
        <v>財務管理1.5</v>
      </c>
      <c r="B175" s="1" t="s">
        <v>3088</v>
      </c>
      <c r="D175" s="10" t="s">
        <v>839</v>
      </c>
      <c r="E175" s="26" t="s">
        <v>840</v>
      </c>
      <c r="F175" s="21" t="s">
        <v>841</v>
      </c>
      <c r="G175" s="68">
        <v>1.5</v>
      </c>
      <c r="H175" s="44" t="s">
        <v>32</v>
      </c>
      <c r="I175" s="15"/>
      <c r="J175" s="68" t="s">
        <v>818</v>
      </c>
      <c r="K175" s="68" t="s">
        <v>806</v>
      </c>
      <c r="L175" s="26" t="s">
        <v>842</v>
      </c>
      <c r="M175" s="26" t="s">
        <v>843</v>
      </c>
      <c r="N175" s="44"/>
      <c r="O175" s="44" t="s">
        <v>35</v>
      </c>
      <c r="P175" s="44"/>
      <c r="Q175" s="44" t="s">
        <v>827</v>
      </c>
      <c r="R175" s="44" t="s">
        <v>37</v>
      </c>
      <c r="S175" s="26" t="s">
        <v>828</v>
      </c>
      <c r="T175" s="44" t="s">
        <v>91</v>
      </c>
      <c r="U175" s="93" t="s">
        <v>833</v>
      </c>
      <c r="V175" s="94"/>
      <c r="W175" s="334"/>
      <c r="X175" s="41" t="str">
        <f>テーブル1[[#This Row],[開発]]&amp;テーブル1[[#This Row],[スコープ]]</f>
        <v>不要OUT</v>
      </c>
      <c r="Y175" s="41" t="str">
        <f>IF(テーブル1[[#This Row],[列1]]="不要IN","標準",IF(テーブル1[[#This Row],[列1]]="不要OUT","スコープアウト",IF(テーブル1[[#This Row],[列1]]="必要IN","アドオン",IF(テーブル1[[#This Row],[列1]]="OUT","スコープアウト",""))))</f>
        <v>スコープアウト</v>
      </c>
      <c r="Z175" s="345" t="str">
        <f>VLOOKUP($B175,Sheet1!$C$2:$L$315,9,)</f>
        <v>会計システム標準機能</v>
      </c>
      <c r="AA175" s="340" t="str">
        <f>VLOOKUP($B175,Sheet1!$C$2:$L$315,10,)</f>
        <v>財務分析コードで対応</v>
      </c>
      <c r="AB175" s="347" t="s">
        <v>3203</v>
      </c>
      <c r="AC175" s="347" t="b">
        <f>テーブル1[[#This Row],[要求事項一覧
判定]]=テーブル1[[#This Row],[列2]]</f>
        <v>0</v>
      </c>
    </row>
    <row r="176" spans="1:29" ht="87">
      <c r="A176" s="1" t="str">
        <f>テーブル1[[#This Row],[対象部門]]&amp;テーブル1[[#This Row],[業務要件回答表からの事前回答案_v1.0.xlsxより]]</f>
        <v>財務管理1.6</v>
      </c>
      <c r="B176" s="1" t="s">
        <v>3089</v>
      </c>
      <c r="D176" s="10" t="s">
        <v>844</v>
      </c>
      <c r="E176" s="26" t="s">
        <v>845</v>
      </c>
      <c r="F176" s="21" t="s">
        <v>846</v>
      </c>
      <c r="G176" s="68">
        <v>1.6</v>
      </c>
      <c r="H176" s="44" t="s">
        <v>32</v>
      </c>
      <c r="I176" s="15"/>
      <c r="J176" s="68" t="s">
        <v>818</v>
      </c>
      <c r="K176" s="68" t="s">
        <v>806</v>
      </c>
      <c r="L176" s="26" t="s">
        <v>847</v>
      </c>
      <c r="M176" s="26"/>
      <c r="N176" s="44"/>
      <c r="O176" s="44" t="s">
        <v>35</v>
      </c>
      <c r="P176" s="44"/>
      <c r="Q176" s="44" t="s">
        <v>827</v>
      </c>
      <c r="R176" s="44" t="s">
        <v>37</v>
      </c>
      <c r="S176" s="26" t="s">
        <v>828</v>
      </c>
      <c r="T176" s="44" t="s">
        <v>91</v>
      </c>
      <c r="U176" s="93" t="s">
        <v>833</v>
      </c>
      <c r="V176" s="94"/>
      <c r="W176" s="334"/>
      <c r="X176" s="41" t="str">
        <f>テーブル1[[#This Row],[開発]]&amp;テーブル1[[#This Row],[スコープ]]</f>
        <v>不要OUT</v>
      </c>
      <c r="Y176" s="41" t="str">
        <f>IF(テーブル1[[#This Row],[列1]]="不要IN","標準",IF(テーブル1[[#This Row],[列1]]="不要OUT","スコープアウト",IF(テーブル1[[#This Row],[列1]]="必要IN","アドオン",IF(テーブル1[[#This Row],[列1]]="OUT","スコープアウト",""))))</f>
        <v>スコープアウト</v>
      </c>
      <c r="Z176" s="345" t="str">
        <f>VLOOKUP($B176,Sheet1!$C$2:$L$315,9,)</f>
        <v>会計システム標準機能</v>
      </c>
      <c r="AA176" s="340" t="str">
        <f>VLOOKUP($B176,Sheet1!$C$2:$L$315,10,)</f>
        <v>財務分析コードの組み合わせで対応</v>
      </c>
      <c r="AB176" s="347" t="s">
        <v>3203</v>
      </c>
      <c r="AC176" s="347" t="b">
        <f>テーブル1[[#This Row],[要求事項一覧
判定]]=テーブル1[[#This Row],[列2]]</f>
        <v>0</v>
      </c>
    </row>
    <row r="177" spans="1:29" ht="58">
      <c r="A177" s="1" t="str">
        <f>テーブル1[[#This Row],[対象部門]]&amp;テーブル1[[#This Row],[業務要件回答表からの事前回答案_v1.0.xlsxより]]</f>
        <v>財務管理1.7</v>
      </c>
      <c r="B177" s="1" t="s">
        <v>3090</v>
      </c>
      <c r="D177" s="10" t="s">
        <v>848</v>
      </c>
      <c r="E177" s="26" t="s">
        <v>849</v>
      </c>
      <c r="F177" s="21" t="s">
        <v>850</v>
      </c>
      <c r="G177" s="68">
        <v>1.7</v>
      </c>
      <c r="H177" s="44" t="s">
        <v>32</v>
      </c>
      <c r="I177" s="15"/>
      <c r="J177" s="68" t="s">
        <v>818</v>
      </c>
      <c r="K177" s="68" t="s">
        <v>806</v>
      </c>
      <c r="L177" s="26"/>
      <c r="M177" s="26"/>
      <c r="N177" s="44"/>
      <c r="O177" s="44" t="s">
        <v>35</v>
      </c>
      <c r="P177" s="44"/>
      <c r="Q177" s="44" t="s">
        <v>827</v>
      </c>
      <c r="R177" s="44" t="s">
        <v>37</v>
      </c>
      <c r="S177" s="26" t="s">
        <v>828</v>
      </c>
      <c r="T177" s="44" t="s">
        <v>91</v>
      </c>
      <c r="U177" s="93" t="s">
        <v>851</v>
      </c>
      <c r="V177" s="94"/>
      <c r="W177" s="334"/>
      <c r="X177" s="41" t="str">
        <f>テーブル1[[#This Row],[開発]]&amp;テーブル1[[#This Row],[スコープ]]</f>
        <v>不要OUT</v>
      </c>
      <c r="Y177" s="41" t="str">
        <f>IF(テーブル1[[#This Row],[列1]]="不要IN","標準",IF(テーブル1[[#This Row],[列1]]="不要OUT","スコープアウト",IF(テーブル1[[#This Row],[列1]]="必要IN","アドオン",IF(テーブル1[[#This Row],[列1]]="OUT","スコープアウト",""))))</f>
        <v>スコープアウト</v>
      </c>
      <c r="Z177" s="345" t="str">
        <f>VLOOKUP($B177,Sheet1!$C$2:$L$315,9,)</f>
        <v>会計システム標準機能</v>
      </c>
      <c r="AA177" s="340">
        <f>VLOOKUP($B177,Sheet1!$C$2:$L$315,10,)</f>
        <v>0</v>
      </c>
      <c r="AB177" s="347" t="s">
        <v>3203</v>
      </c>
      <c r="AC177" s="347" t="b">
        <f>テーブル1[[#This Row],[要求事項一覧
判定]]=テーブル1[[#This Row],[列2]]</f>
        <v>0</v>
      </c>
    </row>
    <row r="178" spans="1:29" ht="72.5">
      <c r="A178" s="1" t="str">
        <f>テーブル1[[#This Row],[対象部門]]&amp;テーブル1[[#This Row],[業務要件回答表からの事前回答案_v1.0.xlsxより]]</f>
        <v>財務管理1.8</v>
      </c>
      <c r="B178" s="1" t="s">
        <v>3091</v>
      </c>
      <c r="D178" s="10" t="s">
        <v>852</v>
      </c>
      <c r="E178" s="26" t="s">
        <v>853</v>
      </c>
      <c r="F178" s="21" t="s">
        <v>854</v>
      </c>
      <c r="G178" s="68">
        <v>1.8</v>
      </c>
      <c r="H178" s="44" t="s">
        <v>32</v>
      </c>
      <c r="I178" s="15"/>
      <c r="J178" s="68" t="s">
        <v>818</v>
      </c>
      <c r="K178" s="68" t="s">
        <v>806</v>
      </c>
      <c r="L178" s="26"/>
      <c r="M178" s="26"/>
      <c r="N178" s="44"/>
      <c r="O178" s="44" t="s">
        <v>35</v>
      </c>
      <c r="P178" s="44"/>
      <c r="Q178" s="44" t="s">
        <v>827</v>
      </c>
      <c r="R178" s="44" t="s">
        <v>37</v>
      </c>
      <c r="S178" s="26" t="s">
        <v>855</v>
      </c>
      <c r="T178" s="44" t="s">
        <v>91</v>
      </c>
      <c r="U178" s="93" t="s">
        <v>851</v>
      </c>
      <c r="V178" s="94"/>
      <c r="W178" s="334"/>
      <c r="X178" s="41" t="str">
        <f>テーブル1[[#This Row],[開発]]&amp;テーブル1[[#This Row],[スコープ]]</f>
        <v>不要OUT</v>
      </c>
      <c r="Y178" s="41" t="str">
        <f>IF(テーブル1[[#This Row],[列1]]="不要IN","標準",IF(テーブル1[[#This Row],[列1]]="不要OUT","スコープアウト",IF(テーブル1[[#This Row],[列1]]="必要IN","アドオン",IF(テーブル1[[#This Row],[列1]]="OUT","スコープアウト",""))))</f>
        <v>スコープアウト</v>
      </c>
      <c r="Z178" s="345" t="str">
        <f>VLOOKUP($B178,Sheet1!$C$2:$L$315,9,)</f>
        <v>会計システム標準機能</v>
      </c>
      <c r="AA178" s="340">
        <f>VLOOKUP($B178,Sheet1!$C$2:$L$315,10,)</f>
        <v>0</v>
      </c>
      <c r="AB178" s="347" t="s">
        <v>3203</v>
      </c>
      <c r="AC178" s="347" t="b">
        <f>テーブル1[[#This Row],[要求事項一覧
判定]]=テーブル1[[#This Row],[列2]]</f>
        <v>0</v>
      </c>
    </row>
    <row r="179" spans="1:29" ht="72.5">
      <c r="A179" s="1" t="str">
        <f>テーブル1[[#This Row],[対象部門]]&amp;テーブル1[[#This Row],[業務要件回答表からの事前回答案_v1.0.xlsxより]]</f>
        <v>財務管理1.9</v>
      </c>
      <c r="B179" s="1" t="s">
        <v>3092</v>
      </c>
      <c r="D179" s="10" t="s">
        <v>856</v>
      </c>
      <c r="E179" s="26" t="s">
        <v>857</v>
      </c>
      <c r="F179" s="21" t="s">
        <v>858</v>
      </c>
      <c r="G179" s="68">
        <v>1.9</v>
      </c>
      <c r="H179" s="44" t="s">
        <v>32</v>
      </c>
      <c r="I179" s="15"/>
      <c r="J179" s="68" t="s">
        <v>818</v>
      </c>
      <c r="K179" s="68" t="s">
        <v>806</v>
      </c>
      <c r="L179" s="26"/>
      <c r="M179" s="26"/>
      <c r="N179" s="44"/>
      <c r="O179" s="44" t="s">
        <v>35</v>
      </c>
      <c r="P179" s="44"/>
      <c r="Q179" s="44" t="s">
        <v>827</v>
      </c>
      <c r="R179" s="44" t="s">
        <v>37</v>
      </c>
      <c r="S179" s="26" t="s">
        <v>855</v>
      </c>
      <c r="T179" s="44" t="s">
        <v>91</v>
      </c>
      <c r="U179" s="93" t="s">
        <v>851</v>
      </c>
      <c r="V179" s="94"/>
      <c r="W179" s="334"/>
      <c r="X179" s="41" t="str">
        <f>テーブル1[[#This Row],[開発]]&amp;テーブル1[[#This Row],[スコープ]]</f>
        <v>不要OUT</v>
      </c>
      <c r="Y179" s="41" t="str">
        <f>IF(テーブル1[[#This Row],[列1]]="不要IN","標準",IF(テーブル1[[#This Row],[列1]]="不要OUT","スコープアウト",IF(テーブル1[[#This Row],[列1]]="必要IN","アドオン",IF(テーブル1[[#This Row],[列1]]="OUT","スコープアウト",""))))</f>
        <v>スコープアウト</v>
      </c>
      <c r="Z179" s="345" t="str">
        <f>VLOOKUP($B179,Sheet1!$C$2:$L$315,9,)</f>
        <v>会計システム標準機能</v>
      </c>
      <c r="AA179" s="340">
        <f>VLOOKUP($B179,Sheet1!$C$2:$L$315,10,)</f>
        <v>0</v>
      </c>
      <c r="AB179" s="347" t="s">
        <v>3203</v>
      </c>
      <c r="AC179" s="347" t="b">
        <f>テーブル1[[#This Row],[要求事項一覧
判定]]=テーブル1[[#This Row],[列2]]</f>
        <v>0</v>
      </c>
    </row>
    <row r="180" spans="1:29" ht="58">
      <c r="A180" s="1" t="str">
        <f>テーブル1[[#This Row],[対象部門]]&amp;テーブル1[[#This Row],[業務要件回答表からの事前回答案_v1.0.xlsxより]]</f>
        <v>財務管理1.10</v>
      </c>
      <c r="B180" s="1" t="s">
        <v>3093</v>
      </c>
      <c r="D180" s="10" t="s">
        <v>859</v>
      </c>
      <c r="E180" s="26" t="s">
        <v>860</v>
      </c>
      <c r="F180" s="21" t="s">
        <v>861</v>
      </c>
      <c r="G180" s="68" t="s">
        <v>862</v>
      </c>
      <c r="H180" s="44" t="s">
        <v>32</v>
      </c>
      <c r="I180" s="15"/>
      <c r="J180" s="68" t="s">
        <v>818</v>
      </c>
      <c r="K180" s="68" t="s">
        <v>806</v>
      </c>
      <c r="L180" s="26"/>
      <c r="M180" s="26"/>
      <c r="N180" s="44"/>
      <c r="O180" s="44" t="s">
        <v>35</v>
      </c>
      <c r="P180" s="44"/>
      <c r="Q180" s="44" t="s">
        <v>827</v>
      </c>
      <c r="R180" s="44"/>
      <c r="S180" s="26" t="s">
        <v>863</v>
      </c>
      <c r="T180" s="44" t="s">
        <v>91</v>
      </c>
      <c r="U180" s="91"/>
      <c r="V180" s="94"/>
      <c r="W180" s="334"/>
      <c r="X180" s="41" t="str">
        <f>テーブル1[[#This Row],[開発]]&amp;テーブル1[[#This Row],[スコープ]]</f>
        <v>OUT</v>
      </c>
      <c r="Y180" s="41" t="str">
        <f>IF(テーブル1[[#This Row],[列1]]="不要IN","標準",IF(テーブル1[[#This Row],[列1]]="不要OUT","スコープアウト",IF(テーブル1[[#This Row],[列1]]="必要IN","アドオン",IF(テーブル1[[#This Row],[列1]]="OUT","スコープアウト",""))))</f>
        <v>スコープアウト</v>
      </c>
      <c r="Z180" s="345" t="str">
        <f>VLOOKUP($B180,Sheet1!$C$2:$L$315,9,)</f>
        <v>会計システム標準機能</v>
      </c>
      <c r="AA180" s="340" t="str">
        <f>VLOOKUP($B180,Sheet1!$C$2:$L$315,10,)</f>
        <v>財務分析コードの組み合わせで対応</v>
      </c>
      <c r="AB180" s="347" t="s">
        <v>3203</v>
      </c>
      <c r="AC180" s="347" t="b">
        <f>テーブル1[[#This Row],[要求事項一覧
判定]]=テーブル1[[#This Row],[列2]]</f>
        <v>0</v>
      </c>
    </row>
    <row r="181" spans="1:29" ht="58">
      <c r="A181" s="1" t="str">
        <f>テーブル1[[#This Row],[対象部門]]&amp;テーブル1[[#This Row],[業務要件回答表からの事前回答案_v1.0.xlsxより]]</f>
        <v>財務管理1.11</v>
      </c>
      <c r="B181" s="1" t="s">
        <v>3094</v>
      </c>
      <c r="D181" s="10" t="s">
        <v>864</v>
      </c>
      <c r="E181" s="26" t="s">
        <v>865</v>
      </c>
      <c r="F181" s="21" t="s">
        <v>866</v>
      </c>
      <c r="G181" s="68">
        <v>1.1100000000000001</v>
      </c>
      <c r="H181" s="44" t="s">
        <v>32</v>
      </c>
      <c r="I181" s="15"/>
      <c r="J181" s="68" t="s">
        <v>818</v>
      </c>
      <c r="K181" s="68" t="s">
        <v>806</v>
      </c>
      <c r="L181" s="26"/>
      <c r="M181" s="26"/>
      <c r="N181" s="44"/>
      <c r="O181" s="44" t="s">
        <v>35</v>
      </c>
      <c r="P181" s="44"/>
      <c r="Q181" s="44" t="s">
        <v>827</v>
      </c>
      <c r="R181" s="44" t="s">
        <v>37</v>
      </c>
      <c r="S181" s="26" t="s">
        <v>828</v>
      </c>
      <c r="T181" s="44" t="s">
        <v>91</v>
      </c>
      <c r="U181" s="93" t="s">
        <v>833</v>
      </c>
      <c r="V181" s="94"/>
      <c r="W181" s="334"/>
      <c r="X181" s="41" t="str">
        <f>テーブル1[[#This Row],[開発]]&amp;テーブル1[[#This Row],[スコープ]]</f>
        <v>不要OUT</v>
      </c>
      <c r="Y181" s="41" t="str">
        <f>IF(テーブル1[[#This Row],[列1]]="不要IN","標準",IF(テーブル1[[#This Row],[列1]]="不要OUT","スコープアウト",IF(テーブル1[[#This Row],[列1]]="必要IN","アドオン",IF(テーブル1[[#This Row],[列1]]="OUT","スコープアウト",""))))</f>
        <v>スコープアウト</v>
      </c>
      <c r="Z181" s="345" t="str">
        <f>VLOOKUP($B181,Sheet1!$C$2:$L$315,9,)</f>
        <v>会計システム標準機能</v>
      </c>
      <c r="AA181" s="340" t="str">
        <f>VLOOKUP($B181,Sheet1!$C$2:$L$315,10,)</f>
        <v>財務分析コードの組み合わせで対応</v>
      </c>
      <c r="AB181" s="347" t="s">
        <v>3203</v>
      </c>
      <c r="AC181" s="347" t="b">
        <f>テーブル1[[#This Row],[要求事項一覧
判定]]=テーブル1[[#This Row],[列2]]</f>
        <v>0</v>
      </c>
    </row>
    <row r="182" spans="1:29" ht="58">
      <c r="A182" s="1" t="str">
        <f>テーブル1[[#This Row],[対象部門]]&amp;テーブル1[[#This Row],[業務要件回答表からの事前回答案_v1.0.xlsxより]]</f>
        <v>財務管理1.12</v>
      </c>
      <c r="B182" s="1" t="s">
        <v>3095</v>
      </c>
      <c r="D182" s="10" t="s">
        <v>867</v>
      </c>
      <c r="E182" s="26" t="s">
        <v>868</v>
      </c>
      <c r="F182" s="21" t="s">
        <v>869</v>
      </c>
      <c r="G182" s="68">
        <v>1.1200000000000001</v>
      </c>
      <c r="H182" s="44" t="s">
        <v>32</v>
      </c>
      <c r="I182" s="15"/>
      <c r="J182" s="68" t="s">
        <v>818</v>
      </c>
      <c r="K182" s="68" t="s">
        <v>806</v>
      </c>
      <c r="L182" s="26"/>
      <c r="M182" s="26"/>
      <c r="N182" s="44"/>
      <c r="O182" s="44" t="s">
        <v>35</v>
      </c>
      <c r="P182" s="44"/>
      <c r="Q182" s="44" t="s">
        <v>827</v>
      </c>
      <c r="R182" s="44" t="s">
        <v>37</v>
      </c>
      <c r="S182" s="26" t="s">
        <v>828</v>
      </c>
      <c r="T182" s="44" t="s">
        <v>91</v>
      </c>
      <c r="U182" s="93" t="s">
        <v>851</v>
      </c>
      <c r="V182" s="94"/>
      <c r="W182" s="334"/>
      <c r="X182" s="41" t="str">
        <f>テーブル1[[#This Row],[開発]]&amp;テーブル1[[#This Row],[スコープ]]</f>
        <v>不要OUT</v>
      </c>
      <c r="Y182" s="41" t="str">
        <f>IF(テーブル1[[#This Row],[列1]]="不要IN","標準",IF(テーブル1[[#This Row],[列1]]="不要OUT","スコープアウト",IF(テーブル1[[#This Row],[列1]]="必要IN","アドオン",IF(テーブル1[[#This Row],[列1]]="OUT","スコープアウト",""))))</f>
        <v>スコープアウト</v>
      </c>
      <c r="Z182" s="345" t="str">
        <f>VLOOKUP($B182,Sheet1!$C$2:$L$315,9,)</f>
        <v>会計システム標準機能</v>
      </c>
      <c r="AA182" s="340">
        <f>VLOOKUP($B182,Sheet1!$C$2:$L$315,10,)</f>
        <v>0</v>
      </c>
      <c r="AB182" s="347" t="s">
        <v>3203</v>
      </c>
      <c r="AC182" s="347" t="b">
        <f>テーブル1[[#This Row],[要求事項一覧
判定]]=テーブル1[[#This Row],[列2]]</f>
        <v>0</v>
      </c>
    </row>
    <row r="183" spans="1:29" ht="58">
      <c r="A183" s="1" t="str">
        <f>テーブル1[[#This Row],[対象部門]]&amp;テーブル1[[#This Row],[業務要件回答表からの事前回答案_v1.0.xlsxより]]</f>
        <v>財務管理1.13</v>
      </c>
      <c r="B183" s="1" t="s">
        <v>3096</v>
      </c>
      <c r="D183" s="10" t="s">
        <v>870</v>
      </c>
      <c r="E183" s="26" t="s">
        <v>871</v>
      </c>
      <c r="F183" s="21" t="s">
        <v>872</v>
      </c>
      <c r="G183" s="68">
        <v>1.1299999999999999</v>
      </c>
      <c r="H183" s="44" t="s">
        <v>32</v>
      </c>
      <c r="I183" s="15"/>
      <c r="J183" s="68" t="s">
        <v>818</v>
      </c>
      <c r="K183" s="68" t="s">
        <v>806</v>
      </c>
      <c r="L183" s="26"/>
      <c r="M183" s="26"/>
      <c r="N183" s="44"/>
      <c r="O183" s="44" t="s">
        <v>35</v>
      </c>
      <c r="P183" s="44"/>
      <c r="Q183" s="44" t="s">
        <v>827</v>
      </c>
      <c r="R183" s="44" t="s">
        <v>37</v>
      </c>
      <c r="S183" s="26" t="s">
        <v>828</v>
      </c>
      <c r="T183" s="44" t="s">
        <v>91</v>
      </c>
      <c r="U183" s="93" t="s">
        <v>873</v>
      </c>
      <c r="V183" s="94"/>
      <c r="W183" s="334"/>
      <c r="X183" s="41" t="str">
        <f>テーブル1[[#This Row],[開発]]&amp;テーブル1[[#This Row],[スコープ]]</f>
        <v>不要OUT</v>
      </c>
      <c r="Y183" s="41" t="str">
        <f>IF(テーブル1[[#This Row],[列1]]="不要IN","標準",IF(テーブル1[[#This Row],[列1]]="不要OUT","スコープアウト",IF(テーブル1[[#This Row],[列1]]="必要IN","アドオン",IF(テーブル1[[#This Row],[列1]]="OUT","スコープアウト",""))))</f>
        <v>スコープアウト</v>
      </c>
      <c r="Z183" s="345" t="str">
        <f>VLOOKUP($B183,Sheet1!$C$2:$L$315,9,)</f>
        <v>会計システム標準機能</v>
      </c>
      <c r="AA183" s="340" t="str">
        <f>VLOOKUP($B183,Sheet1!$C$2:$L$315,10,)</f>
        <v>債権/債務に紐づく支払条件・期日で対応する</v>
      </c>
      <c r="AB183" s="347" t="s">
        <v>3203</v>
      </c>
      <c r="AC183" s="347" t="b">
        <f>テーブル1[[#This Row],[要求事項一覧
判定]]=テーブル1[[#This Row],[列2]]</f>
        <v>0</v>
      </c>
    </row>
    <row r="184" spans="1:29" ht="58">
      <c r="A184" s="1" t="str">
        <f>テーブル1[[#This Row],[対象部門]]&amp;テーブル1[[#This Row],[業務要件回答表からの事前回答案_v1.0.xlsxより]]</f>
        <v>財務管理1.14</v>
      </c>
      <c r="B184" s="1" t="s">
        <v>3097</v>
      </c>
      <c r="D184" s="10" t="s">
        <v>874</v>
      </c>
      <c r="E184" s="26" t="s">
        <v>875</v>
      </c>
      <c r="F184" s="21" t="s">
        <v>876</v>
      </c>
      <c r="G184" s="68">
        <v>1.1399999999999999</v>
      </c>
      <c r="H184" s="44" t="s">
        <v>32</v>
      </c>
      <c r="I184" s="15"/>
      <c r="J184" s="68" t="s">
        <v>818</v>
      </c>
      <c r="K184" s="68" t="s">
        <v>806</v>
      </c>
      <c r="L184" s="26"/>
      <c r="M184" s="26"/>
      <c r="N184" s="44"/>
      <c r="O184" s="44" t="s">
        <v>35</v>
      </c>
      <c r="P184" s="44"/>
      <c r="Q184" s="44" t="s">
        <v>827</v>
      </c>
      <c r="R184" s="44" t="s">
        <v>37</v>
      </c>
      <c r="S184" s="26" t="s">
        <v>828</v>
      </c>
      <c r="T184" s="44" t="s">
        <v>91</v>
      </c>
      <c r="U184" s="93" t="s">
        <v>873</v>
      </c>
      <c r="V184" s="94"/>
      <c r="W184" s="334"/>
      <c r="X184" s="41" t="str">
        <f>テーブル1[[#This Row],[開発]]&amp;テーブル1[[#This Row],[スコープ]]</f>
        <v>不要OUT</v>
      </c>
      <c r="Y184" s="41" t="str">
        <f>IF(テーブル1[[#This Row],[列1]]="不要IN","標準",IF(テーブル1[[#This Row],[列1]]="不要OUT","スコープアウト",IF(テーブル1[[#This Row],[列1]]="必要IN","アドオン",IF(テーブル1[[#This Row],[列1]]="OUT","スコープアウト",""))))</f>
        <v>スコープアウト</v>
      </c>
      <c r="Z184" s="345" t="str">
        <f>VLOOKUP($B184,Sheet1!$C$2:$L$315,9,)</f>
        <v>会計システム標準機能</v>
      </c>
      <c r="AA184" s="340" t="str">
        <f>VLOOKUP($B184,Sheet1!$C$2:$L$315,10,)</f>
        <v>債権/債務に紐づく支払条件・期日で対応する</v>
      </c>
      <c r="AB184" s="347" t="s">
        <v>3203</v>
      </c>
      <c r="AC184" s="347" t="b">
        <f>テーブル1[[#This Row],[要求事項一覧
判定]]=テーブル1[[#This Row],[列2]]</f>
        <v>0</v>
      </c>
    </row>
    <row r="185" spans="1:29" ht="43.5">
      <c r="A185" s="1" t="str">
        <f>テーブル1[[#This Row],[対象部門]]&amp;テーブル1[[#This Row],[業務要件回答表からの事前回答案_v1.0.xlsxより]]</f>
        <v>財務管理1.15</v>
      </c>
      <c r="B185" s="1" t="s">
        <v>3098</v>
      </c>
      <c r="D185" s="10" t="s">
        <v>877</v>
      </c>
      <c r="E185" s="26" t="s">
        <v>878</v>
      </c>
      <c r="F185" s="21" t="s">
        <v>879</v>
      </c>
      <c r="G185" s="68">
        <v>1.1499999999999999</v>
      </c>
      <c r="H185" s="44" t="s">
        <v>32</v>
      </c>
      <c r="I185" s="15"/>
      <c r="J185" s="68" t="s">
        <v>818</v>
      </c>
      <c r="K185" s="68" t="s">
        <v>806</v>
      </c>
      <c r="L185" s="26"/>
      <c r="M185" s="26"/>
      <c r="N185" s="44"/>
      <c r="O185" s="44" t="s">
        <v>35</v>
      </c>
      <c r="P185" s="44"/>
      <c r="Q185" s="44" t="s">
        <v>827</v>
      </c>
      <c r="R185" s="44"/>
      <c r="S185" s="26" t="s">
        <v>880</v>
      </c>
      <c r="T185" s="44" t="s">
        <v>91</v>
      </c>
      <c r="U185" s="93"/>
      <c r="V185" s="94"/>
      <c r="W185" s="334"/>
      <c r="X185" s="41" t="str">
        <f>テーブル1[[#This Row],[開発]]&amp;テーブル1[[#This Row],[スコープ]]</f>
        <v>OUT</v>
      </c>
      <c r="Y185" s="41" t="str">
        <f>IF(テーブル1[[#This Row],[列1]]="不要IN","標準",IF(テーブル1[[#This Row],[列1]]="不要OUT","スコープアウト",IF(テーブル1[[#This Row],[列1]]="必要IN","アドオン",IF(テーブル1[[#This Row],[列1]]="OUT","スコープアウト",""))))</f>
        <v>スコープアウト</v>
      </c>
      <c r="Z185" s="345" t="str">
        <f>VLOOKUP($B185,Sheet1!$C$2:$L$315,9,)</f>
        <v>会計システム標準機能</v>
      </c>
      <c r="AA185" s="340">
        <f>VLOOKUP($B185,Sheet1!$C$2:$L$315,10,)</f>
        <v>0</v>
      </c>
      <c r="AB185" s="347" t="s">
        <v>3203</v>
      </c>
      <c r="AC185" s="347" t="b">
        <f>テーブル1[[#This Row],[要求事項一覧
判定]]=テーブル1[[#This Row],[列2]]</f>
        <v>0</v>
      </c>
    </row>
    <row r="186" spans="1:29" ht="72.5">
      <c r="A186" s="1" t="str">
        <f>テーブル1[[#This Row],[対象部門]]&amp;テーブル1[[#This Row],[業務要件回答表からの事前回答案_v1.0.xlsxより]]</f>
        <v>財務管理1.16</v>
      </c>
      <c r="B186" s="1" t="s">
        <v>3099</v>
      </c>
      <c r="D186" s="10" t="s">
        <v>881</v>
      </c>
      <c r="E186" s="26" t="s">
        <v>882</v>
      </c>
      <c r="F186" s="21" t="s">
        <v>883</v>
      </c>
      <c r="G186" s="68">
        <v>1.1599999999999999</v>
      </c>
      <c r="H186" s="44" t="s">
        <v>32</v>
      </c>
      <c r="I186" s="15"/>
      <c r="J186" s="68" t="s">
        <v>818</v>
      </c>
      <c r="K186" s="68" t="s">
        <v>806</v>
      </c>
      <c r="L186" s="26"/>
      <c r="M186" s="26"/>
      <c r="N186" s="44"/>
      <c r="O186" s="44" t="s">
        <v>35</v>
      </c>
      <c r="P186" s="44"/>
      <c r="Q186" s="44" t="s">
        <v>827</v>
      </c>
      <c r="R186" s="44" t="s">
        <v>37</v>
      </c>
      <c r="S186" s="26" t="s">
        <v>884</v>
      </c>
      <c r="T186" s="44" t="s">
        <v>91</v>
      </c>
      <c r="U186" s="93" t="s">
        <v>873</v>
      </c>
      <c r="V186" s="94"/>
      <c r="W186" s="334"/>
      <c r="X186" s="41" t="str">
        <f>テーブル1[[#This Row],[開発]]&amp;テーブル1[[#This Row],[スコープ]]</f>
        <v>不要OUT</v>
      </c>
      <c r="Y186" s="41" t="str">
        <f>IF(テーブル1[[#This Row],[列1]]="不要IN","標準",IF(テーブル1[[#This Row],[列1]]="不要OUT","スコープアウト",IF(テーブル1[[#This Row],[列1]]="必要IN","アドオン",IF(テーブル1[[#This Row],[列1]]="OUT","スコープアウト",""))))</f>
        <v>スコープアウト</v>
      </c>
      <c r="Z186" s="345" t="str">
        <f>VLOOKUP($B186,Sheet1!$C$2:$L$315,9,)</f>
        <v>会計システム標準機能</v>
      </c>
      <c r="AA186" s="340">
        <f>VLOOKUP($B186,Sheet1!$C$2:$L$315,10,)</f>
        <v>0</v>
      </c>
      <c r="AB186" s="347" t="s">
        <v>3203</v>
      </c>
      <c r="AC186" s="347" t="b">
        <f>テーブル1[[#This Row],[要求事項一覧
判定]]=テーブル1[[#This Row],[列2]]</f>
        <v>0</v>
      </c>
    </row>
    <row r="187" spans="1:29" ht="14.5">
      <c r="A187" s="1" t="str">
        <f>テーブル1[[#This Row],[対象部門]]&amp;テーブル1[[#This Row],[業務要件回答表からの事前回答案_v1.0.xlsxより]]</f>
        <v>財務管理2.1</v>
      </c>
      <c r="B187" s="1" t="s">
        <v>3100</v>
      </c>
      <c r="D187" s="10" t="s">
        <v>885</v>
      </c>
      <c r="E187" s="26" t="s">
        <v>886</v>
      </c>
      <c r="F187" s="21" t="s">
        <v>30</v>
      </c>
      <c r="G187" s="68">
        <v>2.1</v>
      </c>
      <c r="H187" s="44" t="s">
        <v>32</v>
      </c>
      <c r="I187" s="15"/>
      <c r="J187" s="68" t="s">
        <v>818</v>
      </c>
      <c r="K187" s="68" t="s">
        <v>806</v>
      </c>
      <c r="L187" s="26"/>
      <c r="M187" s="26"/>
      <c r="N187" s="44"/>
      <c r="O187" s="44" t="s">
        <v>35</v>
      </c>
      <c r="P187" s="44"/>
      <c r="Q187" s="44" t="s">
        <v>36</v>
      </c>
      <c r="R187" s="44" t="s">
        <v>37</v>
      </c>
      <c r="S187" s="26" t="s">
        <v>887</v>
      </c>
      <c r="T187" s="44" t="s">
        <v>39</v>
      </c>
      <c r="U187" s="91"/>
      <c r="V187" s="94"/>
      <c r="W187" s="334"/>
      <c r="X187" s="41" t="str">
        <f>テーブル1[[#This Row],[開発]]&amp;テーブル1[[#This Row],[スコープ]]</f>
        <v>不要IN</v>
      </c>
      <c r="Y187" s="41" t="str">
        <f>IF(テーブル1[[#This Row],[列1]]="不要IN","標準",IF(テーブル1[[#This Row],[列1]]="不要OUT","スコープアウト",IF(テーブル1[[#This Row],[列1]]="必要IN","アドオン",IF(テーブル1[[#This Row],[列1]]="OUT","スコープアウト",""))))</f>
        <v>標準</v>
      </c>
      <c r="Z187" s="345" t="str">
        <f>VLOOKUP($B187,Sheet1!$C$2:$L$315,9,)</f>
        <v>会計システム標準機能</v>
      </c>
      <c r="AA187" s="340">
        <f>VLOOKUP($B187,Sheet1!$C$2:$L$315,10,)</f>
        <v>0</v>
      </c>
      <c r="AB187" s="347" t="s">
        <v>3203</v>
      </c>
      <c r="AC187" s="347" t="b">
        <f>テーブル1[[#This Row],[要求事項一覧
判定]]=テーブル1[[#This Row],[列2]]</f>
        <v>1</v>
      </c>
    </row>
    <row r="188" spans="1:29" ht="29">
      <c r="A188" s="1" t="str">
        <f>テーブル1[[#This Row],[対象部門]]&amp;テーブル1[[#This Row],[業務要件回答表からの事前回答案_v1.0.xlsxより]]</f>
        <v>財務管理2.2</v>
      </c>
      <c r="B188" s="1" t="s">
        <v>3101</v>
      </c>
      <c r="D188" s="10" t="s">
        <v>888</v>
      </c>
      <c r="E188" s="26" t="s">
        <v>809</v>
      </c>
      <c r="F188" s="21" t="s">
        <v>810</v>
      </c>
      <c r="G188" s="68">
        <v>2.2000000000000002</v>
      </c>
      <c r="H188" s="44" t="s">
        <v>32</v>
      </c>
      <c r="I188" s="15"/>
      <c r="J188" s="68" t="s">
        <v>818</v>
      </c>
      <c r="K188" s="68" t="s">
        <v>806</v>
      </c>
      <c r="L188" s="26"/>
      <c r="M188" s="26"/>
      <c r="N188" s="44"/>
      <c r="O188" s="44" t="s">
        <v>35</v>
      </c>
      <c r="P188" s="44"/>
      <c r="Q188" s="44" t="s">
        <v>889</v>
      </c>
      <c r="R188" s="44" t="s">
        <v>37</v>
      </c>
      <c r="S188" s="26" t="s">
        <v>890</v>
      </c>
      <c r="T188" s="44" t="s">
        <v>39</v>
      </c>
      <c r="U188" s="91"/>
      <c r="V188" s="94"/>
      <c r="W188" s="334"/>
      <c r="X188" s="41" t="str">
        <f>テーブル1[[#This Row],[開発]]&amp;テーブル1[[#This Row],[スコープ]]</f>
        <v>不要IN</v>
      </c>
      <c r="Y188" s="41" t="str">
        <f>IF(テーブル1[[#This Row],[列1]]="不要IN","標準",IF(テーブル1[[#This Row],[列1]]="不要OUT","スコープアウト",IF(テーブル1[[#This Row],[列1]]="必要IN","アドオン",IF(テーブル1[[#This Row],[列1]]="OUT","スコープアウト",""))))</f>
        <v>標準</v>
      </c>
      <c r="Z188" s="345" t="str">
        <f>VLOOKUP($B188,Sheet1!$C$2:$L$315,9,)</f>
        <v>会計システム標準機能</v>
      </c>
      <c r="AA188" s="340" t="str">
        <f>VLOOKUP($B188,Sheet1!$C$2:$L$315,10,)</f>
        <v>銀行トランザクションにてフィルタしてExcel出力での対応</v>
      </c>
      <c r="AB188" s="347" t="s">
        <v>3203</v>
      </c>
      <c r="AC188" s="347" t="b">
        <f>テーブル1[[#This Row],[要求事項一覧
判定]]=テーブル1[[#This Row],[列2]]</f>
        <v>1</v>
      </c>
    </row>
    <row r="189" spans="1:29" ht="58">
      <c r="A189" s="1" t="str">
        <f>テーブル1[[#This Row],[対象部門]]&amp;テーブル1[[#This Row],[業務要件回答表からの事前回答案_v1.0.xlsxより]]</f>
        <v>財務管理2.3</v>
      </c>
      <c r="B189" s="1" t="s">
        <v>3102</v>
      </c>
      <c r="D189" s="10" t="s">
        <v>891</v>
      </c>
      <c r="E189" s="26" t="s">
        <v>892</v>
      </c>
      <c r="F189" s="21" t="s">
        <v>893</v>
      </c>
      <c r="G189" s="68">
        <v>2.2999999999999998</v>
      </c>
      <c r="H189" s="44" t="s">
        <v>32</v>
      </c>
      <c r="I189" s="15"/>
      <c r="J189" s="68" t="s">
        <v>818</v>
      </c>
      <c r="K189" s="68" t="s">
        <v>806</v>
      </c>
      <c r="L189" s="26"/>
      <c r="M189" s="26"/>
      <c r="N189" s="44"/>
      <c r="O189" s="44" t="s">
        <v>35</v>
      </c>
      <c r="P189" s="44"/>
      <c r="Q189" s="44" t="s">
        <v>889</v>
      </c>
      <c r="R189" s="44"/>
      <c r="S189" s="26" t="s">
        <v>894</v>
      </c>
      <c r="T189" s="44" t="s">
        <v>91</v>
      </c>
      <c r="U189" s="91"/>
      <c r="V189" s="94"/>
      <c r="W189" s="334"/>
      <c r="X189" s="41" t="str">
        <f>テーブル1[[#This Row],[開発]]&amp;テーブル1[[#This Row],[スコープ]]</f>
        <v>OUT</v>
      </c>
      <c r="Y189" s="41" t="str">
        <f>IF(テーブル1[[#This Row],[列1]]="不要IN","標準",IF(テーブル1[[#This Row],[列1]]="不要OUT","スコープアウト",IF(テーブル1[[#This Row],[列1]]="必要IN","アドオン",IF(テーブル1[[#This Row],[列1]]="OUT","スコープアウト",""))))</f>
        <v>スコープアウト</v>
      </c>
      <c r="Z189" s="346" t="str">
        <f>VLOOKUP($B189,Sheet1!$C$2:$L$315,9,)</f>
        <v>会計システムアドオン</v>
      </c>
      <c r="AA189" s="340" t="str">
        <f>VLOOKUP($B189,Sheet1!$C$2:$L$315,10,)</f>
        <v>預金の実残高を連携させるために開発が必要
各銀行ごとに項目を追加し、FOにてデータを受け入れる</v>
      </c>
      <c r="AB189" s="347" t="s">
        <v>3205</v>
      </c>
      <c r="AC189" s="347" t="b">
        <f>テーブル1[[#This Row],[要求事項一覧
判定]]=テーブル1[[#This Row],[列2]]</f>
        <v>0</v>
      </c>
    </row>
    <row r="190" spans="1:29" ht="72.5">
      <c r="A190" s="1" t="str">
        <f>テーブル1[[#This Row],[対象部門]]&amp;テーブル1[[#This Row],[業務要件回答表からの事前回答案_v1.0.xlsxより]]</f>
        <v>財務管理3.1</v>
      </c>
      <c r="B190" s="1" t="s">
        <v>3103</v>
      </c>
      <c r="D190" s="10" t="s">
        <v>895</v>
      </c>
      <c r="E190" s="26" t="s">
        <v>896</v>
      </c>
      <c r="F190" s="21" t="s">
        <v>897</v>
      </c>
      <c r="G190" s="68">
        <v>3.1</v>
      </c>
      <c r="H190" s="44" t="s">
        <v>32</v>
      </c>
      <c r="I190" s="15"/>
      <c r="J190" s="68" t="s">
        <v>818</v>
      </c>
      <c r="K190" s="68" t="s">
        <v>806</v>
      </c>
      <c r="L190" s="26"/>
      <c r="M190" s="26"/>
      <c r="N190" s="44"/>
      <c r="O190" s="44" t="s">
        <v>35</v>
      </c>
      <c r="P190" s="44"/>
      <c r="Q190" s="44" t="s">
        <v>827</v>
      </c>
      <c r="R190" s="44" t="s">
        <v>37</v>
      </c>
      <c r="S190" s="26" t="s">
        <v>898</v>
      </c>
      <c r="T190" s="44" t="s">
        <v>91</v>
      </c>
      <c r="U190" s="93" t="s">
        <v>873</v>
      </c>
      <c r="V190" s="94"/>
      <c r="W190" s="334"/>
      <c r="X190" s="41" t="str">
        <f>テーブル1[[#This Row],[開発]]&amp;テーブル1[[#This Row],[スコープ]]</f>
        <v>不要OUT</v>
      </c>
      <c r="Y190" s="41" t="str">
        <f>IF(テーブル1[[#This Row],[列1]]="不要IN","標準",IF(テーブル1[[#This Row],[列1]]="不要OUT","スコープアウト",IF(テーブル1[[#This Row],[列1]]="必要IN","アドオン",IF(テーブル1[[#This Row],[列1]]="OUT","スコープアウト",""))))</f>
        <v>スコープアウト</v>
      </c>
      <c r="Z190" s="345" t="str">
        <f>VLOOKUP($B190,Sheet1!$C$2:$L$315,9,)</f>
        <v>会計システム標準機能</v>
      </c>
      <c r="AA190" s="340" t="str">
        <f>VLOOKUP($B190,Sheet1!$C$2:$L$315,10,)</f>
        <v>予算への転送残高を使用して対応</v>
      </c>
      <c r="AB190" s="347" t="s">
        <v>3203</v>
      </c>
      <c r="AC190" s="347" t="b">
        <f>テーブル1[[#This Row],[要求事項一覧
判定]]=テーブル1[[#This Row],[列2]]</f>
        <v>0</v>
      </c>
    </row>
    <row r="191" spans="1:29" ht="58">
      <c r="A191" s="1" t="str">
        <f>テーブル1[[#This Row],[対象部門]]&amp;テーブル1[[#This Row],[業務要件回答表からの事前回答案_v1.0.xlsxより]]</f>
        <v>財務管理3.2</v>
      </c>
      <c r="B191" s="1" t="s">
        <v>3104</v>
      </c>
      <c r="D191" s="10" t="s">
        <v>899</v>
      </c>
      <c r="E191" s="26" t="s">
        <v>900</v>
      </c>
      <c r="F191" s="21" t="s">
        <v>901</v>
      </c>
      <c r="G191" s="68">
        <v>3.2</v>
      </c>
      <c r="H191" s="44" t="s">
        <v>32</v>
      </c>
      <c r="I191" s="15"/>
      <c r="J191" s="68" t="s">
        <v>818</v>
      </c>
      <c r="K191" s="68" t="s">
        <v>806</v>
      </c>
      <c r="L191" s="26"/>
      <c r="M191" s="26"/>
      <c r="N191" s="44"/>
      <c r="O191" s="44" t="s">
        <v>35</v>
      </c>
      <c r="P191" s="44"/>
      <c r="Q191" s="44" t="s">
        <v>827</v>
      </c>
      <c r="R191" s="44" t="s">
        <v>37</v>
      </c>
      <c r="S191" s="26" t="s">
        <v>828</v>
      </c>
      <c r="T191" s="44" t="s">
        <v>91</v>
      </c>
      <c r="U191" s="93" t="s">
        <v>873</v>
      </c>
      <c r="V191" s="94"/>
      <c r="W191" s="334"/>
      <c r="X191" s="41" t="str">
        <f>テーブル1[[#This Row],[開発]]&amp;テーブル1[[#This Row],[スコープ]]</f>
        <v>不要OUT</v>
      </c>
      <c r="Y191" s="41" t="str">
        <f>IF(テーブル1[[#This Row],[列1]]="不要IN","標準",IF(テーブル1[[#This Row],[列1]]="不要OUT","スコープアウト",IF(テーブル1[[#This Row],[列1]]="必要IN","アドオン",IF(テーブル1[[#This Row],[列1]]="OUT","スコープアウト",""))))</f>
        <v>スコープアウト</v>
      </c>
      <c r="Z191" s="345" t="str">
        <f>VLOOKUP($B191,Sheet1!$C$2:$L$315,9,)</f>
        <v>会計システム標準機能</v>
      </c>
      <c r="AA191" s="340">
        <f>VLOOKUP($B191,Sheet1!$C$2:$L$315,10,)</f>
        <v>0</v>
      </c>
      <c r="AB191" s="347" t="s">
        <v>3203</v>
      </c>
      <c r="AC191" s="347" t="b">
        <f>テーブル1[[#This Row],[要求事項一覧
判定]]=テーブル1[[#This Row],[列2]]</f>
        <v>0</v>
      </c>
    </row>
    <row r="192" spans="1:29" ht="58">
      <c r="A192" s="1" t="str">
        <f>テーブル1[[#This Row],[対象部門]]&amp;テーブル1[[#This Row],[業務要件回答表からの事前回答案_v1.0.xlsxより]]</f>
        <v>財務管理3.3</v>
      </c>
      <c r="B192" s="1" t="s">
        <v>3105</v>
      </c>
      <c r="D192" s="10" t="s">
        <v>902</v>
      </c>
      <c r="E192" s="26" t="s">
        <v>903</v>
      </c>
      <c r="F192" s="21" t="s">
        <v>904</v>
      </c>
      <c r="G192" s="68">
        <v>3.3</v>
      </c>
      <c r="H192" s="44" t="s">
        <v>32</v>
      </c>
      <c r="I192" s="15"/>
      <c r="J192" s="68" t="s">
        <v>818</v>
      </c>
      <c r="K192" s="68" t="s">
        <v>806</v>
      </c>
      <c r="L192" s="26"/>
      <c r="M192" s="26"/>
      <c r="N192" s="44"/>
      <c r="O192" s="44" t="s">
        <v>35</v>
      </c>
      <c r="P192" s="44"/>
      <c r="Q192" s="44" t="s">
        <v>827</v>
      </c>
      <c r="R192" s="44" t="s">
        <v>37</v>
      </c>
      <c r="S192" s="26" t="s">
        <v>828</v>
      </c>
      <c r="T192" s="44" t="s">
        <v>91</v>
      </c>
      <c r="U192" s="93" t="s">
        <v>873</v>
      </c>
      <c r="V192" s="94"/>
      <c r="W192" s="334"/>
      <c r="X192" s="41" t="str">
        <f>テーブル1[[#This Row],[開発]]&amp;テーブル1[[#This Row],[スコープ]]</f>
        <v>不要OUT</v>
      </c>
      <c r="Y192" s="41" t="str">
        <f>IF(テーブル1[[#This Row],[列1]]="不要IN","標準",IF(テーブル1[[#This Row],[列1]]="不要OUT","スコープアウト",IF(テーブル1[[#This Row],[列1]]="必要IN","アドオン",IF(テーブル1[[#This Row],[列1]]="OUT","スコープアウト",""))))</f>
        <v>スコープアウト</v>
      </c>
      <c r="Z192" s="345" t="str">
        <f>VLOOKUP($B192,Sheet1!$C$2:$L$315,9,)</f>
        <v>会計システム標準機能</v>
      </c>
      <c r="AA192" s="340">
        <f>VLOOKUP($B192,Sheet1!$C$2:$L$315,10,)</f>
        <v>0</v>
      </c>
      <c r="AB192" s="347" t="s">
        <v>3203</v>
      </c>
      <c r="AC192" s="347" t="b">
        <f>テーブル1[[#This Row],[要求事項一覧
判定]]=テーブル1[[#This Row],[列2]]</f>
        <v>0</v>
      </c>
    </row>
    <row r="193" spans="1:29" ht="43.5">
      <c r="A193" s="1" t="str">
        <f>テーブル1[[#This Row],[対象部門]]&amp;テーブル1[[#This Row],[業務要件回答表からの事前回答案_v1.0.xlsxより]]</f>
        <v>財務管理3.4</v>
      </c>
      <c r="B193" s="1" t="s">
        <v>3106</v>
      </c>
      <c r="D193" s="10" t="s">
        <v>905</v>
      </c>
      <c r="E193" s="26" t="s">
        <v>906</v>
      </c>
      <c r="F193" s="21" t="s">
        <v>907</v>
      </c>
      <c r="G193" s="68">
        <v>3.4</v>
      </c>
      <c r="H193" s="44" t="s">
        <v>32</v>
      </c>
      <c r="I193" s="15"/>
      <c r="J193" s="68" t="s">
        <v>818</v>
      </c>
      <c r="K193" s="68" t="s">
        <v>806</v>
      </c>
      <c r="L193" s="26"/>
      <c r="M193" s="26"/>
      <c r="N193" s="44"/>
      <c r="O193" s="44" t="s">
        <v>35</v>
      </c>
      <c r="P193" s="44"/>
      <c r="Q193" s="44" t="s">
        <v>827</v>
      </c>
      <c r="R193" s="44"/>
      <c r="S193" s="26" t="s">
        <v>880</v>
      </c>
      <c r="T193" s="44" t="s">
        <v>91</v>
      </c>
      <c r="U193" s="91"/>
      <c r="V193" s="94"/>
      <c r="W193" s="334"/>
      <c r="X193" s="41" t="str">
        <f>テーブル1[[#This Row],[開発]]&amp;テーブル1[[#This Row],[スコープ]]</f>
        <v>OUT</v>
      </c>
      <c r="Y193" s="41" t="str">
        <f>IF(テーブル1[[#This Row],[列1]]="不要IN","標準",IF(テーブル1[[#This Row],[列1]]="不要OUT","スコープアウト",IF(テーブル1[[#This Row],[列1]]="必要IN","アドオン",IF(テーブル1[[#This Row],[列1]]="OUT","スコープアウト",""))))</f>
        <v>スコープアウト</v>
      </c>
      <c r="Z193" s="345" t="str">
        <f>VLOOKUP($B193,Sheet1!$C$2:$L$315,9,)</f>
        <v>会計システム標準機能</v>
      </c>
      <c r="AA193" s="340">
        <f>VLOOKUP($B193,Sheet1!$C$2:$L$315,10,)</f>
        <v>0</v>
      </c>
      <c r="AB193" s="347" t="s">
        <v>3203</v>
      </c>
      <c r="AC193" s="347" t="b">
        <f>テーブル1[[#This Row],[要求事項一覧
判定]]=テーブル1[[#This Row],[列2]]</f>
        <v>0</v>
      </c>
    </row>
    <row r="194" spans="1:29" ht="43.5">
      <c r="A194" s="1" t="str">
        <f>テーブル1[[#This Row],[対象部門]]&amp;テーブル1[[#This Row],[業務要件回答表からの事前回答案_v1.0.xlsxより]]</f>
        <v>財務管理3.5</v>
      </c>
      <c r="B194" s="1" t="s">
        <v>3107</v>
      </c>
      <c r="D194" s="10" t="s">
        <v>908</v>
      </c>
      <c r="E194" s="26" t="s">
        <v>909</v>
      </c>
      <c r="F194" s="21" t="s">
        <v>910</v>
      </c>
      <c r="G194" s="68">
        <v>3.5</v>
      </c>
      <c r="H194" s="44" t="s">
        <v>32</v>
      </c>
      <c r="I194" s="15"/>
      <c r="J194" s="68" t="s">
        <v>818</v>
      </c>
      <c r="K194" s="68" t="s">
        <v>806</v>
      </c>
      <c r="L194" s="26"/>
      <c r="M194" s="26"/>
      <c r="N194" s="44"/>
      <c r="O194" s="44" t="s">
        <v>35</v>
      </c>
      <c r="P194" s="44"/>
      <c r="Q194" s="44" t="s">
        <v>827</v>
      </c>
      <c r="R194" s="44"/>
      <c r="S194" s="26" t="s">
        <v>880</v>
      </c>
      <c r="T194" s="44" t="s">
        <v>91</v>
      </c>
      <c r="U194" s="91"/>
      <c r="V194" s="94"/>
      <c r="W194" s="334"/>
      <c r="X194" s="41" t="str">
        <f>テーブル1[[#This Row],[開発]]&amp;テーブル1[[#This Row],[スコープ]]</f>
        <v>OUT</v>
      </c>
      <c r="Y194" s="41" t="str">
        <f>IF(テーブル1[[#This Row],[列1]]="不要IN","標準",IF(テーブル1[[#This Row],[列1]]="不要OUT","スコープアウト",IF(テーブル1[[#This Row],[列1]]="必要IN","アドオン",IF(テーブル1[[#This Row],[列1]]="OUT","スコープアウト",""))))</f>
        <v>スコープアウト</v>
      </c>
      <c r="Z194" s="346" t="str">
        <f>VLOOKUP($B194,Sheet1!$C$2:$L$315,9,)</f>
        <v>会計システムアドオン</v>
      </c>
      <c r="AA194" s="340" t="str">
        <f>VLOOKUP($B194,Sheet1!$C$2:$L$315,10,)</f>
        <v>手入力にて、資金予測を変更した情報は修正できないように機能を修正</v>
      </c>
      <c r="AB194" s="347" t="s">
        <v>3205</v>
      </c>
      <c r="AC194" s="347" t="b">
        <f>テーブル1[[#This Row],[要求事項一覧
判定]]=テーブル1[[#This Row],[列2]]</f>
        <v>0</v>
      </c>
    </row>
    <row r="195" spans="1:29" ht="58">
      <c r="A195" s="1" t="str">
        <f>テーブル1[[#This Row],[対象部門]]&amp;テーブル1[[#This Row],[業務要件回答表からの事前回答案_v1.0.xlsxより]]</f>
        <v>財務管理3.6</v>
      </c>
      <c r="B195" s="1" t="s">
        <v>3108</v>
      </c>
      <c r="D195" s="10" t="s">
        <v>911</v>
      </c>
      <c r="E195" s="26" t="s">
        <v>912</v>
      </c>
      <c r="F195" s="21" t="s">
        <v>913</v>
      </c>
      <c r="G195" s="68">
        <v>3.6</v>
      </c>
      <c r="H195" s="44" t="s">
        <v>32</v>
      </c>
      <c r="I195" s="15"/>
      <c r="J195" s="68" t="s">
        <v>818</v>
      </c>
      <c r="K195" s="68" t="s">
        <v>806</v>
      </c>
      <c r="L195" s="26"/>
      <c r="M195" s="26"/>
      <c r="N195" s="44"/>
      <c r="O195" s="44" t="s">
        <v>35</v>
      </c>
      <c r="P195" s="44"/>
      <c r="Q195" s="44" t="s">
        <v>827</v>
      </c>
      <c r="R195" s="44" t="s">
        <v>37</v>
      </c>
      <c r="S195" s="26" t="s">
        <v>828</v>
      </c>
      <c r="T195" s="44" t="s">
        <v>91</v>
      </c>
      <c r="U195" s="93" t="s">
        <v>873</v>
      </c>
      <c r="V195" s="94"/>
      <c r="W195" s="334"/>
      <c r="X195" s="41" t="str">
        <f>テーブル1[[#This Row],[開発]]&amp;テーブル1[[#This Row],[スコープ]]</f>
        <v>不要OUT</v>
      </c>
      <c r="Y195" s="41" t="str">
        <f>IF(テーブル1[[#This Row],[列1]]="不要IN","標準",IF(テーブル1[[#This Row],[列1]]="不要OUT","スコープアウト",IF(テーブル1[[#This Row],[列1]]="必要IN","アドオン",IF(テーブル1[[#This Row],[列1]]="OUT","スコープアウト",""))))</f>
        <v>スコープアウト</v>
      </c>
      <c r="Z195" s="345" t="str">
        <f>VLOOKUP($B195,Sheet1!$C$2:$L$315,9,)</f>
        <v>会計システム標準機能</v>
      </c>
      <c r="AA195" s="340" t="str">
        <f>VLOOKUP($B195,Sheet1!$C$2:$L$315,10,)</f>
        <v>標準で対応可能
各種仕訳帳でマニュアルで振替したものを反映</v>
      </c>
      <c r="AB195" s="347" t="s">
        <v>3203</v>
      </c>
      <c r="AC195" s="347" t="b">
        <f>テーブル1[[#This Row],[要求事項一覧
判定]]=テーブル1[[#This Row],[列2]]</f>
        <v>0</v>
      </c>
    </row>
    <row r="196" spans="1:29" ht="29">
      <c r="A196" s="1" t="str">
        <f>テーブル1[[#This Row],[対象部門]]&amp;テーブル1[[#This Row],[業務要件回答表からの事前回答案_v1.0.xlsxより]]</f>
        <v>財務管理3.7</v>
      </c>
      <c r="B196" s="1" t="s">
        <v>3109</v>
      </c>
      <c r="D196" s="10" t="s">
        <v>914</v>
      </c>
      <c r="E196" s="26" t="s">
        <v>915</v>
      </c>
      <c r="F196" s="21" t="s">
        <v>916</v>
      </c>
      <c r="G196" s="68">
        <v>3.7</v>
      </c>
      <c r="H196" s="44" t="s">
        <v>32</v>
      </c>
      <c r="I196" s="15"/>
      <c r="J196" s="68" t="s">
        <v>818</v>
      </c>
      <c r="K196" s="68" t="s">
        <v>806</v>
      </c>
      <c r="L196" s="26"/>
      <c r="M196" s="26"/>
      <c r="N196" s="44"/>
      <c r="O196" s="44" t="s">
        <v>35</v>
      </c>
      <c r="P196" s="44"/>
      <c r="Q196" s="44" t="s">
        <v>827</v>
      </c>
      <c r="R196" s="44"/>
      <c r="S196" s="26" t="s">
        <v>917</v>
      </c>
      <c r="T196" s="44" t="s">
        <v>91</v>
      </c>
      <c r="U196" s="93"/>
      <c r="V196" s="94"/>
      <c r="W196" s="334"/>
      <c r="X196" s="41" t="str">
        <f>テーブル1[[#This Row],[開発]]&amp;テーブル1[[#This Row],[スコープ]]</f>
        <v>OUT</v>
      </c>
      <c r="Y196" s="41" t="str">
        <f>IF(テーブル1[[#This Row],[列1]]="不要IN","標準",IF(テーブル1[[#This Row],[列1]]="不要OUT","スコープアウト",IF(テーブル1[[#This Row],[列1]]="必要IN","アドオン",IF(テーブル1[[#This Row],[列1]]="OUT","スコープアウト",""))))</f>
        <v>スコープアウト</v>
      </c>
      <c r="Z196" s="345" t="str">
        <f>VLOOKUP($B196,Sheet1!$C$2:$L$315,9,)</f>
        <v>会計システム標準機能</v>
      </c>
      <c r="AA196" s="340" t="str">
        <f>VLOOKUP($B196,Sheet1!$C$2:$L$315,10,)</f>
        <v>伝票トランザクションにてフィルタしてExcel出力での対応</v>
      </c>
      <c r="AB196" s="347" t="s">
        <v>3203</v>
      </c>
      <c r="AC196" s="347" t="b">
        <f>テーブル1[[#This Row],[要求事項一覧
判定]]=テーブル1[[#This Row],[列2]]</f>
        <v>0</v>
      </c>
    </row>
    <row r="197" spans="1:29" ht="29">
      <c r="A197" s="1" t="str">
        <f>テーブル1[[#This Row],[対象部門]]&amp;テーブル1[[#This Row],[業務要件回答表からの事前回答案_v1.0.xlsxより]]</f>
        <v>財務管理3.8</v>
      </c>
      <c r="B197" s="1" t="s">
        <v>3110</v>
      </c>
      <c r="D197" s="10" t="s">
        <v>918</v>
      </c>
      <c r="E197" s="26" t="s">
        <v>919</v>
      </c>
      <c r="F197" s="21" t="s">
        <v>920</v>
      </c>
      <c r="G197" s="68">
        <v>3.8</v>
      </c>
      <c r="H197" s="44" t="s">
        <v>32</v>
      </c>
      <c r="I197" s="15"/>
      <c r="J197" s="68" t="s">
        <v>818</v>
      </c>
      <c r="K197" s="68" t="s">
        <v>806</v>
      </c>
      <c r="L197" s="26"/>
      <c r="M197" s="26"/>
      <c r="N197" s="44"/>
      <c r="O197" s="44" t="s">
        <v>35</v>
      </c>
      <c r="P197" s="44"/>
      <c r="Q197" s="44" t="s">
        <v>827</v>
      </c>
      <c r="R197" s="44"/>
      <c r="S197" s="26" t="s">
        <v>921</v>
      </c>
      <c r="T197" s="44" t="s">
        <v>91</v>
      </c>
      <c r="U197" s="91"/>
      <c r="V197" s="94"/>
      <c r="W197" s="334"/>
      <c r="X197" s="41" t="str">
        <f>テーブル1[[#This Row],[開発]]&amp;テーブル1[[#This Row],[スコープ]]</f>
        <v>OUT</v>
      </c>
      <c r="Y197" s="41" t="str">
        <f>IF(テーブル1[[#This Row],[列1]]="不要IN","標準",IF(テーブル1[[#This Row],[列1]]="不要OUT","スコープアウト",IF(テーブル1[[#This Row],[列1]]="必要IN","アドオン",IF(テーブル1[[#This Row],[列1]]="OUT","スコープアウト",""))))</f>
        <v>スコープアウト</v>
      </c>
      <c r="Z197" s="345" t="str">
        <f>VLOOKUP($B197,Sheet1!$C$2:$L$315,9,)</f>
        <v>会計システム標準機能</v>
      </c>
      <c r="AA197" s="340" t="str">
        <f>VLOOKUP($B197,Sheet1!$C$2:$L$315,10,)</f>
        <v>仕入先残高リストおよび顧客残高リストにて対応</v>
      </c>
      <c r="AB197" s="347" t="s">
        <v>3203</v>
      </c>
      <c r="AC197" s="347" t="b">
        <f>テーブル1[[#This Row],[要求事項一覧
判定]]=テーブル1[[#This Row],[列2]]</f>
        <v>0</v>
      </c>
    </row>
    <row r="198" spans="1:29" ht="58">
      <c r="A198" s="1" t="str">
        <f>テーブル1[[#This Row],[対象部門]]&amp;テーブル1[[#This Row],[業務要件回答表からの事前回答案_v1.0.xlsxより]]</f>
        <v>財務管理3.9</v>
      </c>
      <c r="B198" s="1" t="s">
        <v>3111</v>
      </c>
      <c r="D198" s="10" t="s">
        <v>922</v>
      </c>
      <c r="E198" s="26" t="s">
        <v>923</v>
      </c>
      <c r="F198" s="21" t="s">
        <v>924</v>
      </c>
      <c r="G198" s="68">
        <v>3.9</v>
      </c>
      <c r="H198" s="44" t="s">
        <v>32</v>
      </c>
      <c r="I198" s="15"/>
      <c r="J198" s="68" t="s">
        <v>818</v>
      </c>
      <c r="K198" s="68" t="s">
        <v>806</v>
      </c>
      <c r="L198" s="26"/>
      <c r="M198" s="26"/>
      <c r="N198" s="44"/>
      <c r="O198" s="44" t="s">
        <v>35</v>
      </c>
      <c r="P198" s="44"/>
      <c r="Q198" s="44" t="s">
        <v>827</v>
      </c>
      <c r="R198" s="44" t="s">
        <v>37</v>
      </c>
      <c r="S198" s="26" t="s">
        <v>828</v>
      </c>
      <c r="T198" s="44" t="s">
        <v>91</v>
      </c>
      <c r="U198" s="93" t="s">
        <v>873</v>
      </c>
      <c r="V198" s="94"/>
      <c r="W198" s="334"/>
      <c r="X198" s="41" t="str">
        <f>テーブル1[[#This Row],[開発]]&amp;テーブル1[[#This Row],[スコープ]]</f>
        <v>不要OUT</v>
      </c>
      <c r="Y198" s="41" t="str">
        <f>IF(テーブル1[[#This Row],[列1]]="不要IN","標準",IF(テーブル1[[#This Row],[列1]]="不要OUT","スコープアウト",IF(テーブル1[[#This Row],[列1]]="必要IN","アドオン",IF(テーブル1[[#This Row],[列1]]="OUT","スコープアウト",""))))</f>
        <v>スコープアウト</v>
      </c>
      <c r="Z198" s="345" t="str">
        <f>VLOOKUP($B198,Sheet1!$C$2:$L$315,9,)</f>
        <v>会計システム標準機能</v>
      </c>
      <c r="AA198" s="340" t="str">
        <f>VLOOKUP($B198,Sheet1!$C$2:$L$315,10,)</f>
        <v>標準で対応可能</v>
      </c>
      <c r="AB198" s="347" t="s">
        <v>3203</v>
      </c>
      <c r="AC198" s="347" t="b">
        <f>テーブル1[[#This Row],[要求事項一覧
判定]]=テーブル1[[#This Row],[列2]]</f>
        <v>0</v>
      </c>
    </row>
    <row r="199" spans="1:29" ht="75.5">
      <c r="A199" s="1" t="str">
        <f>テーブル1[[#This Row],[対象部門]]&amp;テーブル1[[#This Row],[業務要件回答表からの事前回答案_v1.0.xlsxより]]</f>
        <v>財務管理3.10</v>
      </c>
      <c r="B199" s="1" t="s">
        <v>3112</v>
      </c>
      <c r="D199" s="10" t="s">
        <v>925</v>
      </c>
      <c r="E199" s="26" t="s">
        <v>926</v>
      </c>
      <c r="F199" s="21" t="s">
        <v>927</v>
      </c>
      <c r="G199" s="68" t="s">
        <v>928</v>
      </c>
      <c r="H199" s="44" t="s">
        <v>32</v>
      </c>
      <c r="I199" s="15"/>
      <c r="J199" s="68" t="s">
        <v>818</v>
      </c>
      <c r="K199" s="68" t="s">
        <v>806</v>
      </c>
      <c r="L199" s="26"/>
      <c r="M199" s="26"/>
      <c r="N199" s="44"/>
      <c r="O199" s="44" t="s">
        <v>35</v>
      </c>
      <c r="P199" s="44"/>
      <c r="Q199" s="44" t="s">
        <v>827</v>
      </c>
      <c r="R199" s="44" t="s">
        <v>37</v>
      </c>
      <c r="S199" s="26" t="s">
        <v>828</v>
      </c>
      <c r="T199" s="44" t="s">
        <v>91</v>
      </c>
      <c r="U199" s="93" t="s">
        <v>873</v>
      </c>
      <c r="V199" s="94"/>
      <c r="W199" s="334"/>
      <c r="X199" s="41" t="str">
        <f>テーブル1[[#This Row],[開発]]&amp;テーブル1[[#This Row],[スコープ]]</f>
        <v>不要OUT</v>
      </c>
      <c r="Y199" s="41" t="str">
        <f>IF(テーブル1[[#This Row],[列1]]="不要IN","標準",IF(テーブル1[[#This Row],[列1]]="不要OUT","スコープアウト",IF(テーブル1[[#This Row],[列1]]="必要IN","アドオン",IF(テーブル1[[#This Row],[列1]]="OUT","スコープアウト",""))))</f>
        <v>スコープアウト</v>
      </c>
      <c r="Z199" s="345" t="str">
        <f>VLOOKUP($B199,Sheet1!$C$2:$L$315,9,)</f>
        <v>会計システム標準機能</v>
      </c>
      <c r="AA199" s="340" t="str">
        <f>VLOOKUP($B199,Sheet1!$C$2:$L$315,10,)</f>
        <v>標準で対応可能
各種仕訳帳でマニュアルで振替したものを反映</v>
      </c>
      <c r="AB199" s="347" t="s">
        <v>3203</v>
      </c>
      <c r="AC199" s="347" t="b">
        <f>テーブル1[[#This Row],[要求事項一覧
判定]]=テーブル1[[#This Row],[列2]]</f>
        <v>0</v>
      </c>
    </row>
    <row r="200" spans="1:29" ht="58">
      <c r="A200" s="1" t="str">
        <f>テーブル1[[#This Row],[対象部門]]&amp;テーブル1[[#This Row],[業務要件回答表からの事前回答案_v1.0.xlsxより]]</f>
        <v>財務管理3.11</v>
      </c>
      <c r="B200" s="1" t="s">
        <v>3113</v>
      </c>
      <c r="D200" s="10" t="s">
        <v>929</v>
      </c>
      <c r="E200" s="26" t="s">
        <v>930</v>
      </c>
      <c r="F200" s="21" t="s">
        <v>931</v>
      </c>
      <c r="G200" s="68">
        <v>3.11</v>
      </c>
      <c r="H200" s="44" t="s">
        <v>32</v>
      </c>
      <c r="I200" s="15"/>
      <c r="J200" s="68" t="s">
        <v>818</v>
      </c>
      <c r="K200" s="68" t="s">
        <v>806</v>
      </c>
      <c r="L200" s="26"/>
      <c r="M200" s="26"/>
      <c r="N200" s="44"/>
      <c r="O200" s="44" t="s">
        <v>35</v>
      </c>
      <c r="P200" s="44"/>
      <c r="Q200" s="44" t="s">
        <v>827</v>
      </c>
      <c r="R200" s="44" t="s">
        <v>37</v>
      </c>
      <c r="S200" s="26" t="s">
        <v>828</v>
      </c>
      <c r="T200" s="44" t="s">
        <v>91</v>
      </c>
      <c r="U200" s="93" t="s">
        <v>873</v>
      </c>
      <c r="V200" s="94"/>
      <c r="W200" s="334"/>
      <c r="X200" s="41" t="str">
        <f>テーブル1[[#This Row],[開発]]&amp;テーブル1[[#This Row],[スコープ]]</f>
        <v>不要OUT</v>
      </c>
      <c r="Y200" s="41" t="str">
        <f>IF(テーブル1[[#This Row],[列1]]="不要IN","標準",IF(テーブル1[[#This Row],[列1]]="不要OUT","スコープアウト",IF(テーブル1[[#This Row],[列1]]="必要IN","アドオン",IF(テーブル1[[#This Row],[列1]]="OUT","スコープアウト",""))))</f>
        <v>スコープアウト</v>
      </c>
      <c r="Z200" s="345" t="str">
        <f>VLOOKUP($B200,Sheet1!$C$2:$L$315,9,)</f>
        <v>会計システム標準機能</v>
      </c>
      <c r="AA200" s="340" t="str">
        <f>VLOOKUP($B200,Sheet1!$C$2:$L$315,10,)</f>
        <v>標準で対応可能</v>
      </c>
      <c r="AB200" s="347" t="s">
        <v>3203</v>
      </c>
      <c r="AC200" s="347" t="b">
        <f>テーブル1[[#This Row],[要求事項一覧
判定]]=テーブル1[[#This Row],[列2]]</f>
        <v>0</v>
      </c>
    </row>
    <row r="201" spans="1:29" ht="58">
      <c r="A201" s="1" t="str">
        <f>テーブル1[[#This Row],[対象部門]]&amp;テーブル1[[#This Row],[業務要件回答表からの事前回答案_v1.0.xlsxより]]</f>
        <v>財務管理3.12</v>
      </c>
      <c r="B201" s="1" t="s">
        <v>3114</v>
      </c>
      <c r="D201" s="10" t="s">
        <v>932</v>
      </c>
      <c r="E201" s="26" t="s">
        <v>933</v>
      </c>
      <c r="F201" s="21" t="s">
        <v>934</v>
      </c>
      <c r="G201" s="68">
        <v>3.12</v>
      </c>
      <c r="H201" s="44" t="s">
        <v>32</v>
      </c>
      <c r="I201" s="15"/>
      <c r="J201" s="68" t="s">
        <v>818</v>
      </c>
      <c r="K201" s="68" t="s">
        <v>806</v>
      </c>
      <c r="L201" s="26"/>
      <c r="M201" s="26"/>
      <c r="N201" s="44"/>
      <c r="O201" s="44" t="s">
        <v>35</v>
      </c>
      <c r="P201" s="44"/>
      <c r="Q201" s="44" t="s">
        <v>827</v>
      </c>
      <c r="R201" s="44" t="s">
        <v>37</v>
      </c>
      <c r="S201" s="26" t="s">
        <v>828</v>
      </c>
      <c r="T201" s="44" t="s">
        <v>91</v>
      </c>
      <c r="U201" s="93" t="s">
        <v>873</v>
      </c>
      <c r="V201" s="94"/>
      <c r="W201" s="334"/>
      <c r="X201" s="41" t="str">
        <f>テーブル1[[#This Row],[開発]]&amp;テーブル1[[#This Row],[スコープ]]</f>
        <v>不要OUT</v>
      </c>
      <c r="Y201" s="41" t="str">
        <f>IF(テーブル1[[#This Row],[列1]]="不要IN","標準",IF(テーブル1[[#This Row],[列1]]="不要OUT","スコープアウト",IF(テーブル1[[#This Row],[列1]]="必要IN","アドオン",IF(テーブル1[[#This Row],[列1]]="OUT","スコープアウト",""))))</f>
        <v>スコープアウト</v>
      </c>
      <c r="Z201" s="345" t="str">
        <f>VLOOKUP($B201,Sheet1!$C$2:$L$315,9,)</f>
        <v>会計システム標準機能</v>
      </c>
      <c r="AA201" s="340" t="str">
        <f>VLOOKUP($B201,Sheet1!$C$2:$L$315,10,)</f>
        <v>標準で対応可能</v>
      </c>
      <c r="AB201" s="347" t="s">
        <v>3203</v>
      </c>
      <c r="AC201" s="347" t="b">
        <f>テーブル1[[#This Row],[要求事項一覧
判定]]=テーブル1[[#This Row],[列2]]</f>
        <v>0</v>
      </c>
    </row>
    <row r="202" spans="1:29" ht="87">
      <c r="A202" s="1" t="str">
        <f>テーブル1[[#This Row],[対象部門]]&amp;テーブル1[[#This Row],[業務要件回答表からの事前回答案_v1.0.xlsxより]]</f>
        <v>財務管理3.13</v>
      </c>
      <c r="B202" s="1" t="s">
        <v>3115</v>
      </c>
      <c r="D202" s="10" t="s">
        <v>935</v>
      </c>
      <c r="E202" s="26" t="s">
        <v>936</v>
      </c>
      <c r="F202" s="21" t="s">
        <v>937</v>
      </c>
      <c r="G202" s="68">
        <v>3.13</v>
      </c>
      <c r="H202" s="44" t="s">
        <v>32</v>
      </c>
      <c r="I202" s="15"/>
      <c r="J202" s="68" t="s">
        <v>818</v>
      </c>
      <c r="K202" s="68" t="s">
        <v>806</v>
      </c>
      <c r="L202" s="26"/>
      <c r="M202" s="26"/>
      <c r="N202" s="44"/>
      <c r="O202" s="44" t="s">
        <v>35</v>
      </c>
      <c r="P202" s="44"/>
      <c r="Q202" s="44" t="s">
        <v>827</v>
      </c>
      <c r="R202" s="44" t="s">
        <v>37</v>
      </c>
      <c r="S202" s="26" t="s">
        <v>828</v>
      </c>
      <c r="T202" s="44" t="s">
        <v>91</v>
      </c>
      <c r="U202" s="93" t="s">
        <v>938</v>
      </c>
      <c r="V202" s="94"/>
      <c r="W202" s="334"/>
      <c r="X202" s="41" t="str">
        <f>テーブル1[[#This Row],[開発]]&amp;テーブル1[[#This Row],[スコープ]]</f>
        <v>不要OUT</v>
      </c>
      <c r="Y202" s="41" t="str">
        <f>IF(テーブル1[[#This Row],[列1]]="不要IN","標準",IF(テーブル1[[#This Row],[列1]]="不要OUT","スコープアウト",IF(テーブル1[[#This Row],[列1]]="必要IN","アドオン",IF(テーブル1[[#This Row],[列1]]="OUT","スコープアウト",""))))</f>
        <v>スコープアウト</v>
      </c>
      <c r="Z202" s="345" t="str">
        <f>VLOOKUP($B202,Sheet1!$C$2:$L$315,9,)</f>
        <v>会計システム標準機能</v>
      </c>
      <c r="AA202" s="340" t="str">
        <f>VLOOKUP($B202,Sheet1!$C$2:$L$315,10,)</f>
        <v>債権/債務に紐づく支払条件・期日で対応する
要件次第で、要開発</v>
      </c>
      <c r="AB202" s="347" t="s">
        <v>3203</v>
      </c>
      <c r="AC202" s="347" t="b">
        <f>テーブル1[[#This Row],[要求事項一覧
判定]]=テーブル1[[#This Row],[列2]]</f>
        <v>0</v>
      </c>
    </row>
    <row r="203" spans="1:29" ht="87">
      <c r="A203" s="1" t="str">
        <f>テーブル1[[#This Row],[対象部門]]&amp;テーブル1[[#This Row],[業務要件回答表からの事前回答案_v1.0.xlsxより]]</f>
        <v>財務管理4.1</v>
      </c>
      <c r="B203" s="1" t="s">
        <v>3116</v>
      </c>
      <c r="D203" s="10" t="s">
        <v>939</v>
      </c>
      <c r="E203" s="26" t="s">
        <v>940</v>
      </c>
      <c r="F203" s="21" t="s">
        <v>941</v>
      </c>
      <c r="G203" s="68">
        <v>4.0999999999999996</v>
      </c>
      <c r="H203" s="44" t="s">
        <v>32</v>
      </c>
      <c r="I203" s="15"/>
      <c r="J203" s="68" t="s">
        <v>818</v>
      </c>
      <c r="K203" s="68" t="s">
        <v>806</v>
      </c>
      <c r="L203" s="26"/>
      <c r="M203" s="26"/>
      <c r="N203" s="44"/>
      <c r="O203" s="44" t="s">
        <v>35</v>
      </c>
      <c r="P203" s="44"/>
      <c r="Q203" s="68" t="s">
        <v>942</v>
      </c>
      <c r="R203" s="44" t="s">
        <v>37</v>
      </c>
      <c r="S203" s="26" t="s">
        <v>943</v>
      </c>
      <c r="T203" s="44" t="s">
        <v>91</v>
      </c>
      <c r="U203" s="93" t="s">
        <v>944</v>
      </c>
      <c r="V203" s="94"/>
      <c r="W203" s="334"/>
      <c r="X203" s="41" t="str">
        <f>テーブル1[[#This Row],[開発]]&amp;テーブル1[[#This Row],[スコープ]]</f>
        <v>不要OUT</v>
      </c>
      <c r="Y203" s="41" t="str">
        <f>IF(テーブル1[[#This Row],[列1]]="不要IN","標準",IF(テーブル1[[#This Row],[列1]]="不要OUT","スコープアウト",IF(テーブル1[[#This Row],[列1]]="必要IN","アドオン",IF(テーブル1[[#This Row],[列1]]="OUT","スコープアウト",""))))</f>
        <v>スコープアウト</v>
      </c>
      <c r="Z203" s="346" t="str">
        <f>VLOOKUP($B203,Sheet1!$C$2:$L$315,9,)</f>
        <v>会計システムアドオン</v>
      </c>
      <c r="AA203" s="340" t="str">
        <f>VLOOKUP($B203,Sheet1!$C$2:$L$315,10,)</f>
        <v>金額・通貨・金利・金利条件・利息発生タイミング・借入期間・返済タイミング・借入先などを各種仕訳帳および仕入先トランザクションで登録・管理できるようにする</v>
      </c>
      <c r="AB203" s="347" t="s">
        <v>3205</v>
      </c>
      <c r="AC203" s="347" t="b">
        <f>テーブル1[[#This Row],[要求事項一覧
判定]]=テーブル1[[#This Row],[列2]]</f>
        <v>0</v>
      </c>
    </row>
    <row r="204" spans="1:29" ht="43.5">
      <c r="A204" s="1" t="str">
        <f>テーブル1[[#This Row],[対象部門]]&amp;テーブル1[[#This Row],[業務要件回答表からの事前回答案_v1.0.xlsxより]]</f>
        <v>財務管理4.2</v>
      </c>
      <c r="B204" s="1" t="s">
        <v>3117</v>
      </c>
      <c r="D204" s="10" t="s">
        <v>945</v>
      </c>
      <c r="E204" s="26" t="s">
        <v>946</v>
      </c>
      <c r="F204" s="21" t="s">
        <v>947</v>
      </c>
      <c r="G204" s="68">
        <v>4.2</v>
      </c>
      <c r="H204" s="44" t="s">
        <v>32</v>
      </c>
      <c r="I204" s="15"/>
      <c r="J204" s="68" t="s">
        <v>818</v>
      </c>
      <c r="K204" s="68" t="s">
        <v>806</v>
      </c>
      <c r="L204" s="26"/>
      <c r="M204" s="26"/>
      <c r="N204" s="44"/>
      <c r="O204" s="44" t="s">
        <v>35</v>
      </c>
      <c r="P204" s="44"/>
      <c r="Q204" s="68" t="s">
        <v>942</v>
      </c>
      <c r="R204" s="44"/>
      <c r="S204" s="26" t="s">
        <v>948</v>
      </c>
      <c r="T204" s="44" t="s">
        <v>91</v>
      </c>
      <c r="U204" s="91"/>
      <c r="V204" s="94"/>
      <c r="W204" s="334"/>
      <c r="X204" s="41" t="str">
        <f>テーブル1[[#This Row],[開発]]&amp;テーブル1[[#This Row],[スコープ]]</f>
        <v>OUT</v>
      </c>
      <c r="Y204" s="41" t="str">
        <f>IF(テーブル1[[#This Row],[列1]]="不要IN","標準",IF(テーブル1[[#This Row],[列1]]="不要OUT","スコープアウト",IF(テーブル1[[#This Row],[列1]]="必要IN","アドオン",IF(テーブル1[[#This Row],[列1]]="OUT","スコープアウト",""))))</f>
        <v>スコープアウト</v>
      </c>
      <c r="Z204" s="345" t="str">
        <f>VLOOKUP($B204,Sheet1!$C$2:$L$315,9,)</f>
        <v>会計システム標準機能</v>
      </c>
      <c r="AA204" s="340" t="str">
        <f>VLOOKUP($B204,Sheet1!$C$2:$L$315,10,)</f>
        <v>保存先はAzure BlobかSPO</v>
      </c>
      <c r="AB204" s="347" t="s">
        <v>3203</v>
      </c>
      <c r="AC204" s="347" t="b">
        <f>テーブル1[[#This Row],[要求事項一覧
判定]]=テーブル1[[#This Row],[列2]]</f>
        <v>0</v>
      </c>
    </row>
    <row r="205" spans="1:29" ht="29">
      <c r="A205" s="1" t="str">
        <f>テーブル1[[#This Row],[対象部門]]&amp;テーブル1[[#This Row],[業務要件回答表からの事前回答案_v1.0.xlsxより]]</f>
        <v>財務管理4.3</v>
      </c>
      <c r="B205" s="1" t="s">
        <v>3118</v>
      </c>
      <c r="D205" s="10" t="s">
        <v>949</v>
      </c>
      <c r="E205" s="26" t="s">
        <v>950</v>
      </c>
      <c r="F205" s="21" t="s">
        <v>951</v>
      </c>
      <c r="G205" s="68">
        <v>4.3</v>
      </c>
      <c r="H205" s="44" t="s">
        <v>32</v>
      </c>
      <c r="I205" s="15"/>
      <c r="J205" s="68" t="s">
        <v>818</v>
      </c>
      <c r="K205" s="68" t="s">
        <v>806</v>
      </c>
      <c r="L205" s="26"/>
      <c r="M205" s="26"/>
      <c r="N205" s="44"/>
      <c r="O205" s="44" t="s">
        <v>35</v>
      </c>
      <c r="P205" s="44"/>
      <c r="Q205" s="68" t="s">
        <v>942</v>
      </c>
      <c r="R205" s="44"/>
      <c r="S205" s="26" t="s">
        <v>952</v>
      </c>
      <c r="T205" s="44" t="s">
        <v>91</v>
      </c>
      <c r="U205" s="91"/>
      <c r="V205" s="94"/>
      <c r="W205" s="334"/>
      <c r="X205" s="41" t="str">
        <f>テーブル1[[#This Row],[開発]]&amp;テーブル1[[#This Row],[スコープ]]</f>
        <v>OUT</v>
      </c>
      <c r="Y205" s="41" t="str">
        <f>IF(テーブル1[[#This Row],[列1]]="不要IN","標準",IF(テーブル1[[#This Row],[列1]]="不要OUT","スコープアウト",IF(テーブル1[[#This Row],[列1]]="必要IN","アドオン",IF(テーブル1[[#This Row],[列1]]="OUT","スコープアウト",""))))</f>
        <v>スコープアウト</v>
      </c>
      <c r="Z205" s="345" t="str">
        <f>VLOOKUP($B205,Sheet1!$C$2:$L$315,9,)</f>
        <v>会計システム標準機能</v>
      </c>
      <c r="AA205" s="340" t="str">
        <f>VLOOKUP($B205,Sheet1!$C$2:$L$315,10,)</f>
        <v>FBデータのインポート</v>
      </c>
      <c r="AB205" s="347" t="s">
        <v>3203</v>
      </c>
      <c r="AC205" s="347" t="b">
        <f>テーブル1[[#This Row],[要求事項一覧
判定]]=テーブル1[[#This Row],[列2]]</f>
        <v>0</v>
      </c>
    </row>
    <row r="206" spans="1:29" ht="58">
      <c r="A206" s="1" t="str">
        <f>テーブル1[[#This Row],[対象部門]]&amp;テーブル1[[#This Row],[業務要件回答表からの事前回答案_v1.0.xlsxより]]</f>
        <v>財務管理4.4</v>
      </c>
      <c r="B206" s="1" t="s">
        <v>3119</v>
      </c>
      <c r="D206" s="10" t="s">
        <v>953</v>
      </c>
      <c r="E206" s="26" t="s">
        <v>954</v>
      </c>
      <c r="F206" s="21" t="s">
        <v>955</v>
      </c>
      <c r="G206" s="68">
        <v>4.4000000000000004</v>
      </c>
      <c r="H206" s="44" t="s">
        <v>32</v>
      </c>
      <c r="I206" s="15"/>
      <c r="J206" s="68" t="s">
        <v>818</v>
      </c>
      <c r="K206" s="68" t="s">
        <v>806</v>
      </c>
      <c r="L206" s="26"/>
      <c r="M206" s="26"/>
      <c r="N206" s="44"/>
      <c r="O206" s="44" t="s">
        <v>35</v>
      </c>
      <c r="P206" s="44"/>
      <c r="Q206" s="68" t="s">
        <v>942</v>
      </c>
      <c r="R206" s="44"/>
      <c r="S206" s="26" t="s">
        <v>956</v>
      </c>
      <c r="T206" s="44" t="s">
        <v>91</v>
      </c>
      <c r="U206" s="91"/>
      <c r="V206" s="94"/>
      <c r="W206" s="334"/>
      <c r="X206" s="41" t="str">
        <f>テーブル1[[#This Row],[開発]]&amp;テーブル1[[#This Row],[スコープ]]</f>
        <v>OUT</v>
      </c>
      <c r="Y206" s="41" t="str">
        <f>IF(テーブル1[[#This Row],[列1]]="不要IN","標準",IF(テーブル1[[#This Row],[列1]]="不要OUT","スコープアウト",IF(テーブル1[[#This Row],[列1]]="必要IN","アドオン",IF(テーブル1[[#This Row],[列1]]="OUT","スコープアウト",""))))</f>
        <v>スコープアウト</v>
      </c>
      <c r="Z206" s="346" t="str">
        <f>VLOOKUP($B206,Sheet1!$C$2:$L$315,9,)</f>
        <v>会計システムアドオン</v>
      </c>
      <c r="AA206" s="340" t="str">
        <f>VLOOKUP($B206,Sheet1!$C$2:$L$315,10,)</f>
        <v>4.1 にて登録された情報をもとに、未決済の仕入先トランザクションより利息を計算する機能を各種仕訳帳に登録する</v>
      </c>
      <c r="AB206" s="347" t="s">
        <v>3205</v>
      </c>
      <c r="AC206" s="347" t="b">
        <f>テーブル1[[#This Row],[要求事項一覧
判定]]=テーブル1[[#This Row],[列2]]</f>
        <v>0</v>
      </c>
    </row>
    <row r="207" spans="1:29" ht="43.5">
      <c r="A207" s="1" t="str">
        <f>テーブル1[[#This Row],[対象部門]]&amp;テーブル1[[#This Row],[業務要件回答表からの事前回答案_v1.0.xlsxより]]</f>
        <v>財務管理4.5</v>
      </c>
      <c r="B207" s="1" t="s">
        <v>3120</v>
      </c>
      <c r="D207" s="10" t="s">
        <v>957</v>
      </c>
      <c r="E207" s="26" t="s">
        <v>958</v>
      </c>
      <c r="F207" s="21" t="s">
        <v>959</v>
      </c>
      <c r="G207" s="68">
        <v>4.5</v>
      </c>
      <c r="H207" s="44" t="s">
        <v>32</v>
      </c>
      <c r="I207" s="15"/>
      <c r="J207" s="68" t="s">
        <v>818</v>
      </c>
      <c r="K207" s="68" t="s">
        <v>806</v>
      </c>
      <c r="L207" s="26"/>
      <c r="M207" s="26"/>
      <c r="N207" s="44"/>
      <c r="O207" s="44" t="s">
        <v>35</v>
      </c>
      <c r="P207" s="44"/>
      <c r="Q207" s="68" t="s">
        <v>942</v>
      </c>
      <c r="R207" s="44"/>
      <c r="S207" s="26" t="s">
        <v>960</v>
      </c>
      <c r="T207" s="44" t="s">
        <v>91</v>
      </c>
      <c r="U207" s="91"/>
      <c r="V207" s="94"/>
      <c r="W207" s="334"/>
      <c r="X207" s="41" t="str">
        <f>テーブル1[[#This Row],[開発]]&amp;テーブル1[[#This Row],[スコープ]]</f>
        <v>OUT</v>
      </c>
      <c r="Y207" s="41" t="str">
        <f>IF(テーブル1[[#This Row],[列1]]="不要IN","標準",IF(テーブル1[[#This Row],[列1]]="不要OUT","スコープアウト",IF(テーブル1[[#This Row],[列1]]="必要IN","アドオン",IF(テーブル1[[#This Row],[列1]]="OUT","スコープアウト",""))))</f>
        <v>スコープアウト</v>
      </c>
      <c r="Z207" s="346" t="str">
        <f>VLOOKUP($B207,Sheet1!$C$2:$L$315,9,)</f>
        <v>会計システムアドオン</v>
      </c>
      <c r="AA207" s="340" t="str">
        <f>VLOOKUP($B207,Sheet1!$C$2:$L$315,10,)</f>
        <v>4.4 にて計算された情報を各種仕訳帳に起票する処理を追加する(転記まではしない(転記は手動))</v>
      </c>
      <c r="AB207" s="347" t="s">
        <v>3205</v>
      </c>
      <c r="AC207" s="347" t="b">
        <f>テーブル1[[#This Row],[要求事項一覧
判定]]=テーブル1[[#This Row],[列2]]</f>
        <v>0</v>
      </c>
    </row>
    <row r="208" spans="1:29" ht="72.5">
      <c r="A208" s="1" t="str">
        <f>テーブル1[[#This Row],[対象部門]]&amp;テーブル1[[#This Row],[業務要件回答表からの事前回答案_v1.0.xlsxより]]</f>
        <v>財務管理4.6</v>
      </c>
      <c r="B208" s="1" t="s">
        <v>3121</v>
      </c>
      <c r="D208" s="10" t="s">
        <v>961</v>
      </c>
      <c r="E208" s="26" t="s">
        <v>962</v>
      </c>
      <c r="F208" s="21" t="s">
        <v>963</v>
      </c>
      <c r="G208" s="68">
        <v>4.5999999999999996</v>
      </c>
      <c r="H208" s="44" t="s">
        <v>32</v>
      </c>
      <c r="I208" s="15"/>
      <c r="J208" s="68" t="s">
        <v>818</v>
      </c>
      <c r="K208" s="68" t="s">
        <v>806</v>
      </c>
      <c r="L208" s="26"/>
      <c r="M208" s="26"/>
      <c r="N208" s="44"/>
      <c r="O208" s="44" t="s">
        <v>35</v>
      </c>
      <c r="P208" s="44"/>
      <c r="Q208" s="68" t="s">
        <v>942</v>
      </c>
      <c r="R208" s="44"/>
      <c r="S208" s="26" t="s">
        <v>964</v>
      </c>
      <c r="T208" s="44" t="s">
        <v>91</v>
      </c>
      <c r="U208" s="91"/>
      <c r="V208" s="94"/>
      <c r="W208" s="334"/>
      <c r="X208" s="41" t="str">
        <f>テーブル1[[#This Row],[開発]]&amp;テーブル1[[#This Row],[スコープ]]</f>
        <v>OUT</v>
      </c>
      <c r="Y208" s="41" t="str">
        <f>IF(テーブル1[[#This Row],[列1]]="不要IN","標準",IF(テーブル1[[#This Row],[列1]]="不要OUT","スコープアウト",IF(テーブル1[[#This Row],[列1]]="必要IN","アドオン",IF(テーブル1[[#This Row],[列1]]="OUT","スコープアウト",""))))</f>
        <v>スコープアウト</v>
      </c>
      <c r="Z208" s="346" t="str">
        <f>VLOOKUP($B208,Sheet1!$C$2:$L$315,9,)</f>
        <v>会計システムアドオン</v>
      </c>
      <c r="AA208" s="340" t="str">
        <f>VLOOKUP($B208,Sheet1!$C$2:$L$315,10,)</f>
        <v>4.1 にて登録された情報をもとに、長期借入金を短期借入金に自動振替する機能を各種仕訳帳に追加する
(転記まではしない(転記は手動))</v>
      </c>
      <c r="AB208" s="347" t="s">
        <v>3205</v>
      </c>
      <c r="AC208" s="347" t="b">
        <f>テーブル1[[#This Row],[要求事項一覧
判定]]=テーブル1[[#This Row],[列2]]</f>
        <v>0</v>
      </c>
    </row>
    <row r="209" spans="1:29" ht="58">
      <c r="A209" s="1" t="str">
        <f>テーブル1[[#This Row],[対象部門]]&amp;テーブル1[[#This Row],[業務要件回答表からの事前回答案_v1.0.xlsxより]]</f>
        <v>財務管理4.7</v>
      </c>
      <c r="B209" s="1" t="s">
        <v>3122</v>
      </c>
      <c r="D209" s="10" t="s">
        <v>965</v>
      </c>
      <c r="E209" s="26" t="s">
        <v>966</v>
      </c>
      <c r="F209" s="21" t="s">
        <v>967</v>
      </c>
      <c r="G209" s="68">
        <v>4.7</v>
      </c>
      <c r="H209" s="44" t="s">
        <v>32</v>
      </c>
      <c r="I209" s="15"/>
      <c r="J209" s="68" t="s">
        <v>818</v>
      </c>
      <c r="K209" s="68" t="s">
        <v>806</v>
      </c>
      <c r="L209" s="26"/>
      <c r="M209" s="26"/>
      <c r="N209" s="44"/>
      <c r="O209" s="44" t="s">
        <v>35</v>
      </c>
      <c r="P209" s="44"/>
      <c r="Q209" s="68" t="s">
        <v>942</v>
      </c>
      <c r="R209" s="44"/>
      <c r="S209" s="26" t="s">
        <v>968</v>
      </c>
      <c r="T209" s="44" t="s">
        <v>91</v>
      </c>
      <c r="U209" s="91"/>
      <c r="V209" s="94"/>
      <c r="W209" s="334"/>
      <c r="X209" s="41" t="str">
        <f>テーブル1[[#This Row],[開発]]&amp;テーブル1[[#This Row],[スコープ]]</f>
        <v>OUT</v>
      </c>
      <c r="Y209" s="41" t="str">
        <f>IF(テーブル1[[#This Row],[列1]]="不要IN","標準",IF(テーブル1[[#This Row],[列1]]="不要OUT","スコープアウト",IF(テーブル1[[#This Row],[列1]]="必要IN","アドオン",IF(テーブル1[[#This Row],[列1]]="OUT","スコープアウト",""))))</f>
        <v>スコープアウト</v>
      </c>
      <c r="Z209" s="346" t="str">
        <f>VLOOKUP($B209,Sheet1!$C$2:$L$315,9,)</f>
        <v>会計システムアドオン</v>
      </c>
      <c r="AA209" s="340" t="str">
        <f>VLOOKUP($B209,Sheet1!$C$2:$L$315,10,)</f>
        <v>4.1 にて登録された情報をもとに、借入金の返済仕訳を起票する処理を各種仕訳帳に追加する(転記まではしない)</v>
      </c>
      <c r="AB209" s="347" t="s">
        <v>3205</v>
      </c>
      <c r="AC209" s="347" t="b">
        <f>テーブル1[[#This Row],[要求事項一覧
判定]]=テーブル1[[#This Row],[列2]]</f>
        <v>0</v>
      </c>
    </row>
    <row r="210" spans="1:29" ht="29">
      <c r="A210" s="1" t="str">
        <f>テーブル1[[#This Row],[対象部門]]&amp;テーブル1[[#This Row],[業務要件回答表からの事前回答案_v1.0.xlsxより]]</f>
        <v>財務管理4.8</v>
      </c>
      <c r="B210" s="1" t="s">
        <v>3123</v>
      </c>
      <c r="D210" s="10" t="s">
        <v>969</v>
      </c>
      <c r="E210" s="26" t="s">
        <v>970</v>
      </c>
      <c r="F210" s="21" t="s">
        <v>971</v>
      </c>
      <c r="G210" s="68">
        <v>4.8</v>
      </c>
      <c r="H210" s="44" t="s">
        <v>32</v>
      </c>
      <c r="I210" s="15"/>
      <c r="J210" s="68" t="s">
        <v>818</v>
      </c>
      <c r="K210" s="68" t="s">
        <v>806</v>
      </c>
      <c r="L210" s="26"/>
      <c r="M210" s="26"/>
      <c r="N210" s="44"/>
      <c r="O210" s="44" t="s">
        <v>35</v>
      </c>
      <c r="P210" s="44"/>
      <c r="Q210" s="68" t="s">
        <v>942</v>
      </c>
      <c r="R210" s="44"/>
      <c r="S210" s="26" t="s">
        <v>972</v>
      </c>
      <c r="T210" s="44" t="s">
        <v>91</v>
      </c>
      <c r="U210" s="91"/>
      <c r="V210" s="94"/>
      <c r="W210" s="334"/>
      <c r="X210" s="41" t="str">
        <f>テーブル1[[#This Row],[開発]]&amp;テーブル1[[#This Row],[スコープ]]</f>
        <v>OUT</v>
      </c>
      <c r="Y210" s="41" t="str">
        <f>IF(テーブル1[[#This Row],[列1]]="不要IN","標準",IF(テーブル1[[#This Row],[列1]]="不要OUT","スコープアウト",IF(テーブル1[[#This Row],[列1]]="必要IN","アドオン",IF(テーブル1[[#This Row],[列1]]="OUT","スコープアウト",""))))</f>
        <v>スコープアウト</v>
      </c>
      <c r="Z210" s="345" t="str">
        <f>VLOOKUP($B210,Sheet1!$C$2:$L$315,9,)</f>
        <v>会計システム標準機能</v>
      </c>
      <c r="AA210" s="340" t="str">
        <f>VLOOKUP($B210,Sheet1!$C$2:$L$315,10,)</f>
        <v>残高一覧は仕入先残高リストにて対応可能</v>
      </c>
      <c r="AB210" s="347" t="s">
        <v>3203</v>
      </c>
      <c r="AC210" s="347" t="b">
        <f>テーブル1[[#This Row],[要求事項一覧
判定]]=テーブル1[[#This Row],[列2]]</f>
        <v>0</v>
      </c>
    </row>
    <row r="211" spans="1:29" ht="72.5">
      <c r="A211" s="1" t="str">
        <f>テーブル1[[#This Row],[対象部門]]&amp;テーブル1[[#This Row],[業務要件回答表からの事前回答案_v1.0.xlsxより]]</f>
        <v>財務管理4.9</v>
      </c>
      <c r="B211" s="1" t="s">
        <v>3124</v>
      </c>
      <c r="D211" s="10" t="s">
        <v>973</v>
      </c>
      <c r="E211" s="26" t="s">
        <v>974</v>
      </c>
      <c r="F211" s="21" t="s">
        <v>975</v>
      </c>
      <c r="G211" s="68">
        <v>4.9000000000000004</v>
      </c>
      <c r="H211" s="44" t="s">
        <v>32</v>
      </c>
      <c r="I211" s="15"/>
      <c r="J211" s="68" t="s">
        <v>818</v>
      </c>
      <c r="K211" s="68" t="s">
        <v>806</v>
      </c>
      <c r="L211" s="26"/>
      <c r="M211" s="26"/>
      <c r="N211" s="44"/>
      <c r="O211" s="44" t="s">
        <v>35</v>
      </c>
      <c r="P211" s="44"/>
      <c r="Q211" s="68" t="s">
        <v>942</v>
      </c>
      <c r="R211" s="44" t="s">
        <v>37</v>
      </c>
      <c r="S211" s="26" t="s">
        <v>976</v>
      </c>
      <c r="T211" s="44" t="s">
        <v>39</v>
      </c>
      <c r="U211" s="93" t="s">
        <v>977</v>
      </c>
      <c r="V211" s="94"/>
      <c r="W211" s="334"/>
      <c r="X211" s="41" t="str">
        <f>テーブル1[[#This Row],[開発]]&amp;テーブル1[[#This Row],[スコープ]]</f>
        <v>不要IN</v>
      </c>
      <c r="Y211" s="41" t="str">
        <f>IF(テーブル1[[#This Row],[列1]]="不要IN","標準",IF(テーブル1[[#This Row],[列1]]="不要OUT","スコープアウト",IF(テーブル1[[#This Row],[列1]]="必要IN","アドオン",IF(テーブル1[[#This Row],[列1]]="OUT","スコープアウト",""))))</f>
        <v>標準</v>
      </c>
      <c r="Z211" s="345" t="str">
        <f>VLOOKUP($B211,Sheet1!$C$2:$L$315,9,)</f>
        <v>会計システム標準機能</v>
      </c>
      <c r="AA211" s="340" t="str">
        <f>VLOOKUP($B211,Sheet1!$C$2:$L$315,10,)</f>
        <v>残高一覧は仕入先残高リストにて対応可能</v>
      </c>
      <c r="AB211" s="347" t="s">
        <v>3203</v>
      </c>
      <c r="AC211" s="347" t="b">
        <f>テーブル1[[#This Row],[要求事項一覧
判定]]=テーブル1[[#This Row],[列2]]</f>
        <v>1</v>
      </c>
    </row>
    <row r="212" spans="1:29" ht="43.5">
      <c r="A212" s="1" t="str">
        <f>テーブル1[[#This Row],[対象部門]]&amp;テーブル1[[#This Row],[業務要件回答表からの事前回答案_v1.0.xlsxより]]</f>
        <v>財務管理4.10</v>
      </c>
      <c r="B212" s="1" t="s">
        <v>3125</v>
      </c>
      <c r="D212" s="10" t="s">
        <v>978</v>
      </c>
      <c r="E212" s="26" t="s">
        <v>979</v>
      </c>
      <c r="F212" s="21" t="s">
        <v>980</v>
      </c>
      <c r="G212" s="68" t="s">
        <v>981</v>
      </c>
      <c r="H212" s="44" t="s">
        <v>32</v>
      </c>
      <c r="I212" s="15"/>
      <c r="J212" s="68" t="s">
        <v>818</v>
      </c>
      <c r="K212" s="68" t="s">
        <v>806</v>
      </c>
      <c r="L212" s="26"/>
      <c r="M212" s="26"/>
      <c r="N212" s="44"/>
      <c r="O212" s="44" t="s">
        <v>35</v>
      </c>
      <c r="P212" s="44"/>
      <c r="Q212" s="68" t="s">
        <v>942</v>
      </c>
      <c r="R212" s="44"/>
      <c r="S212" s="26" t="s">
        <v>982</v>
      </c>
      <c r="T212" s="44" t="s">
        <v>91</v>
      </c>
      <c r="U212" s="93"/>
      <c r="V212" s="94"/>
      <c r="W212" s="334"/>
      <c r="X212" s="41" t="str">
        <f>テーブル1[[#This Row],[開発]]&amp;テーブル1[[#This Row],[スコープ]]</f>
        <v>OUT</v>
      </c>
      <c r="Y212" s="41" t="str">
        <f>IF(テーブル1[[#This Row],[列1]]="不要IN","標準",IF(テーブル1[[#This Row],[列1]]="不要OUT","スコープアウト",IF(テーブル1[[#This Row],[列1]]="必要IN","アドオン",IF(テーブル1[[#This Row],[列1]]="OUT","スコープアウト",""))))</f>
        <v>スコープアウト</v>
      </c>
      <c r="Z212" s="345" t="str">
        <f>VLOOKUP($B212,Sheet1!$C$2:$L$315,9,)</f>
        <v>会計システム標準機能</v>
      </c>
      <c r="AA212" s="340" t="str">
        <f>VLOOKUP($B212,Sheet1!$C$2:$L$315,10,)</f>
        <v>伝票トランザクションにてフィルタしてExcel出力での対応</v>
      </c>
      <c r="AB212" s="347" t="s">
        <v>3203</v>
      </c>
      <c r="AC212" s="347" t="b">
        <f>テーブル1[[#This Row],[要求事項一覧
判定]]=テーブル1[[#This Row],[列2]]</f>
        <v>0</v>
      </c>
    </row>
    <row r="213" spans="1:29" ht="101.5">
      <c r="A213" s="1" t="str">
        <f>テーブル1[[#This Row],[対象部門]]&amp;テーブル1[[#This Row],[業務要件回答表からの事前回答案_v1.0.xlsxより]]</f>
        <v>財務管理4.11</v>
      </c>
      <c r="B213" s="1" t="s">
        <v>3126</v>
      </c>
      <c r="D213" s="10" t="s">
        <v>983</v>
      </c>
      <c r="E213" s="26" t="s">
        <v>984</v>
      </c>
      <c r="F213" s="21" t="s">
        <v>985</v>
      </c>
      <c r="G213" s="68">
        <v>4.1100000000000003</v>
      </c>
      <c r="H213" s="44" t="s">
        <v>32</v>
      </c>
      <c r="I213" s="15"/>
      <c r="J213" s="68" t="s">
        <v>818</v>
      </c>
      <c r="K213" s="68" t="s">
        <v>806</v>
      </c>
      <c r="L213" s="26"/>
      <c r="M213" s="26"/>
      <c r="N213" s="44"/>
      <c r="O213" s="44" t="s">
        <v>35</v>
      </c>
      <c r="P213" s="44"/>
      <c r="Q213" s="68" t="s">
        <v>942</v>
      </c>
      <c r="R213" s="44"/>
      <c r="S213" s="26" t="s">
        <v>986</v>
      </c>
      <c r="T213" s="44" t="s">
        <v>91</v>
      </c>
      <c r="U213" s="91"/>
      <c r="V213" s="94"/>
      <c r="W213" s="334"/>
      <c r="X213" s="41" t="str">
        <f>テーブル1[[#This Row],[開発]]&amp;テーブル1[[#This Row],[スコープ]]</f>
        <v>OUT</v>
      </c>
      <c r="Y213" s="41" t="str">
        <f>IF(テーブル1[[#This Row],[列1]]="不要IN","標準",IF(テーブル1[[#This Row],[列1]]="不要OUT","スコープアウト",IF(テーブル1[[#This Row],[列1]]="必要IN","アドオン",IF(テーブル1[[#This Row],[列1]]="OUT","スコープアウト",""))))</f>
        <v>スコープアウト</v>
      </c>
      <c r="Z213" s="346" t="str">
        <f>VLOOKUP($B213,Sheet1!$C$2:$L$315,9,)</f>
        <v>会計システムアドオン</v>
      </c>
      <c r="AA213" s="340" t="str">
        <f>VLOOKUP($B213,Sheet1!$C$2:$L$315,10,)</f>
        <v>下記の2階層の画面を開発
1階層目：将来の残高/返済額/利息額が年別で表示される機能
2階層目：明細毎にブレイクダウンする機能
1階層目の項目1つ(借入先など)を押下することで、2階層目へ遷移</v>
      </c>
      <c r="AB213" s="347" t="s">
        <v>3205</v>
      </c>
      <c r="AC213" s="347" t="b">
        <f>テーブル1[[#This Row],[要求事項一覧
判定]]=テーブル1[[#This Row],[列2]]</f>
        <v>0</v>
      </c>
    </row>
    <row r="214" spans="1:29" ht="87">
      <c r="A214" s="1" t="str">
        <f>テーブル1[[#This Row],[対象部門]]&amp;テーブル1[[#This Row],[業務要件回答表からの事前回答案_v1.0.xlsxより]]</f>
        <v>財務管理4.12</v>
      </c>
      <c r="B214" s="1" t="s">
        <v>3127</v>
      </c>
      <c r="D214" s="10" t="s">
        <v>987</v>
      </c>
      <c r="E214" s="26" t="s">
        <v>988</v>
      </c>
      <c r="F214" s="21" t="s">
        <v>989</v>
      </c>
      <c r="G214" s="68">
        <v>4.12</v>
      </c>
      <c r="H214" s="44" t="s">
        <v>32</v>
      </c>
      <c r="I214" s="15"/>
      <c r="J214" s="68" t="s">
        <v>818</v>
      </c>
      <c r="K214" s="68" t="s">
        <v>806</v>
      </c>
      <c r="L214" s="26"/>
      <c r="M214" s="26"/>
      <c r="N214" s="44"/>
      <c r="O214" s="44" t="s">
        <v>35</v>
      </c>
      <c r="P214" s="44"/>
      <c r="Q214" s="68" t="s">
        <v>942</v>
      </c>
      <c r="R214" s="44"/>
      <c r="S214" s="26" t="s">
        <v>990</v>
      </c>
      <c r="T214" s="44" t="s">
        <v>91</v>
      </c>
      <c r="U214" s="91"/>
      <c r="V214" s="94"/>
      <c r="W214" s="334"/>
      <c r="X214" s="41" t="str">
        <f>テーブル1[[#This Row],[開発]]&amp;テーブル1[[#This Row],[スコープ]]</f>
        <v>OUT</v>
      </c>
      <c r="Y214" s="41" t="str">
        <f>IF(テーブル1[[#This Row],[列1]]="不要IN","標準",IF(テーブル1[[#This Row],[列1]]="不要OUT","スコープアウト",IF(テーブル1[[#This Row],[列1]]="必要IN","アドオン",IF(テーブル1[[#This Row],[列1]]="OUT","スコープアウト",""))))</f>
        <v>スコープアウト</v>
      </c>
      <c r="Z214" s="346" t="str">
        <f>VLOOKUP($B214,Sheet1!$C$2:$L$315,9,)</f>
        <v>会計システムアドオン</v>
      </c>
      <c r="AA214" s="340" t="str">
        <f>VLOOKUP($B214,Sheet1!$C$2:$L$315,10,)</f>
        <v>各種仕訳帳にマージンを計算・記録する機能を追加し、金融機関別にマージンを登録する画面を作成する</v>
      </c>
      <c r="AB214" s="347" t="s">
        <v>3205</v>
      </c>
      <c r="AC214" s="347" t="b">
        <f>テーブル1[[#This Row],[要求事項一覧
判定]]=テーブル1[[#This Row],[列2]]</f>
        <v>0</v>
      </c>
    </row>
    <row r="215" spans="1:29" ht="43.5">
      <c r="A215" s="1" t="str">
        <f>テーブル1[[#This Row],[対象部門]]&amp;テーブル1[[#This Row],[業務要件回答表からの事前回答案_v1.0.xlsxより]]</f>
        <v>財務管理4.13</v>
      </c>
      <c r="B215" s="1" t="s">
        <v>3128</v>
      </c>
      <c r="D215" s="10" t="s">
        <v>991</v>
      </c>
      <c r="E215" s="26" t="s">
        <v>992</v>
      </c>
      <c r="F215" s="21" t="s">
        <v>993</v>
      </c>
      <c r="G215" s="68">
        <v>4.13</v>
      </c>
      <c r="H215" s="44" t="s">
        <v>32</v>
      </c>
      <c r="I215" s="15"/>
      <c r="J215" s="68" t="s">
        <v>818</v>
      </c>
      <c r="K215" s="68" t="s">
        <v>806</v>
      </c>
      <c r="L215" s="26"/>
      <c r="M215" s="26"/>
      <c r="N215" s="44"/>
      <c r="O215" s="44" t="s">
        <v>35</v>
      </c>
      <c r="P215" s="44"/>
      <c r="Q215" s="68" t="s">
        <v>942</v>
      </c>
      <c r="R215" s="44"/>
      <c r="S215" s="26" t="s">
        <v>994</v>
      </c>
      <c r="T215" s="44" t="s">
        <v>91</v>
      </c>
      <c r="U215" s="91"/>
      <c r="V215" s="94"/>
      <c r="W215" s="334"/>
      <c r="X215" s="41" t="str">
        <f>テーブル1[[#This Row],[開発]]&amp;テーブル1[[#This Row],[スコープ]]</f>
        <v>OUT</v>
      </c>
      <c r="Y215" s="41" t="str">
        <f>IF(テーブル1[[#This Row],[列1]]="不要IN","標準",IF(テーブル1[[#This Row],[列1]]="不要OUT","スコープアウト",IF(テーブル1[[#This Row],[列1]]="必要IN","アドオン",IF(テーブル1[[#This Row],[列1]]="OUT","スコープアウト",""))))</f>
        <v>スコープアウト</v>
      </c>
      <c r="Z215" s="345" t="str">
        <f>VLOOKUP($B215,Sheet1!$C$2:$L$315,9,)</f>
        <v>会計システム標準機能</v>
      </c>
      <c r="AA215" s="340" t="str">
        <f>VLOOKUP($B215,Sheet1!$C$2:$L$315,10,)</f>
        <v>銀行トランザクションにてフィルタしてExcel出力での対応</v>
      </c>
      <c r="AB215" s="347" t="s">
        <v>3203</v>
      </c>
      <c r="AC215" s="347" t="b">
        <f>テーブル1[[#This Row],[要求事項一覧
判定]]=テーブル1[[#This Row],[列2]]</f>
        <v>0</v>
      </c>
    </row>
    <row r="216" spans="1:29" ht="58">
      <c r="A216" s="1" t="str">
        <f>テーブル1[[#This Row],[対象部門]]&amp;テーブル1[[#This Row],[業務要件回答表からの事前回答案_v1.0.xlsxより]]</f>
        <v>財務管理5.1</v>
      </c>
      <c r="B216" s="1" t="s">
        <v>3129</v>
      </c>
      <c r="D216" s="10" t="s">
        <v>995</v>
      </c>
      <c r="E216" s="26" t="s">
        <v>996</v>
      </c>
      <c r="F216" s="21" t="s">
        <v>997</v>
      </c>
      <c r="G216" s="68">
        <v>5.0999999999999996</v>
      </c>
      <c r="H216" s="44" t="s">
        <v>32</v>
      </c>
      <c r="I216" s="15"/>
      <c r="J216" s="68" t="s">
        <v>818</v>
      </c>
      <c r="K216" s="68" t="s">
        <v>806</v>
      </c>
      <c r="L216" s="26"/>
      <c r="M216" s="26"/>
      <c r="N216" s="44"/>
      <c r="O216" s="44" t="s">
        <v>35</v>
      </c>
      <c r="P216" s="44"/>
      <c r="Q216" s="68" t="s">
        <v>942</v>
      </c>
      <c r="R216" s="44"/>
      <c r="S216" s="26" t="s">
        <v>998</v>
      </c>
      <c r="T216" s="44" t="s">
        <v>91</v>
      </c>
      <c r="U216" s="91"/>
      <c r="V216" s="94"/>
      <c r="W216" s="334"/>
      <c r="X216" s="41" t="str">
        <f>テーブル1[[#This Row],[開発]]&amp;テーブル1[[#This Row],[スコープ]]</f>
        <v>OUT</v>
      </c>
      <c r="Y216" s="41" t="str">
        <f>IF(テーブル1[[#This Row],[列1]]="不要IN","標準",IF(テーブル1[[#This Row],[列1]]="不要OUT","スコープアウト",IF(テーブル1[[#This Row],[列1]]="必要IN","アドオン",IF(テーブル1[[#This Row],[列1]]="OUT","スコープアウト",""))))</f>
        <v>スコープアウト</v>
      </c>
      <c r="Z216" s="346" t="str">
        <f>VLOOKUP($B216,Sheet1!$C$2:$L$315,9,)</f>
        <v>会計システムアドオン</v>
      </c>
      <c r="AA216" s="340" t="str">
        <f>VLOOKUP($B216,Sheet1!$C$2:$L$315,10,)</f>
        <v>運用方法・金額・通貨・金利などの情報を入力し、運用状況を各種仕訳帳および伝票トランザクションで登録・管理できるようにする</v>
      </c>
      <c r="AB216" s="347" t="s">
        <v>3205</v>
      </c>
      <c r="AC216" s="347" t="b">
        <f>テーブル1[[#This Row],[要求事項一覧
判定]]=テーブル1[[#This Row],[列2]]</f>
        <v>0</v>
      </c>
    </row>
    <row r="217" spans="1:29" ht="43.5">
      <c r="A217" s="1" t="str">
        <f>テーブル1[[#This Row],[対象部門]]&amp;テーブル1[[#This Row],[業務要件回答表からの事前回答案_v1.0.xlsxより]]</f>
        <v>財務管理5.2</v>
      </c>
      <c r="B217" s="1" t="s">
        <v>3130</v>
      </c>
      <c r="D217" s="10" t="s">
        <v>999</v>
      </c>
      <c r="E217" s="26" t="s">
        <v>1000</v>
      </c>
      <c r="F217" s="21" t="s">
        <v>1001</v>
      </c>
      <c r="G217" s="68">
        <v>5.2</v>
      </c>
      <c r="H217" s="44" t="s">
        <v>32</v>
      </c>
      <c r="I217" s="15"/>
      <c r="J217" s="68" t="s">
        <v>818</v>
      </c>
      <c r="K217" s="68" t="s">
        <v>806</v>
      </c>
      <c r="L217" s="26"/>
      <c r="M217" s="26"/>
      <c r="N217" s="44"/>
      <c r="O217" s="44" t="s">
        <v>35</v>
      </c>
      <c r="P217" s="44"/>
      <c r="Q217" s="68" t="s">
        <v>942</v>
      </c>
      <c r="R217" s="44"/>
      <c r="S217" s="26" t="s">
        <v>948</v>
      </c>
      <c r="T217" s="44" t="s">
        <v>91</v>
      </c>
      <c r="U217" s="91"/>
      <c r="V217" s="94"/>
      <c r="W217" s="334"/>
      <c r="X217" s="41" t="str">
        <f>テーブル1[[#This Row],[開発]]&amp;テーブル1[[#This Row],[スコープ]]</f>
        <v>OUT</v>
      </c>
      <c r="Y217" s="41" t="str">
        <f>IF(テーブル1[[#This Row],[列1]]="不要IN","標準",IF(テーブル1[[#This Row],[列1]]="不要OUT","スコープアウト",IF(テーブル1[[#This Row],[列1]]="必要IN","アドオン",IF(テーブル1[[#This Row],[列1]]="OUT","スコープアウト",""))))</f>
        <v>スコープアウト</v>
      </c>
      <c r="Z217" s="345" t="str">
        <f>VLOOKUP($B217,Sheet1!$C$2:$L$315,9,)</f>
        <v>会計システム標準機能</v>
      </c>
      <c r="AA217" s="340" t="str">
        <f>VLOOKUP($B217,Sheet1!$C$2:$L$315,10,)</f>
        <v>保存先はAzure BlobかSPO</v>
      </c>
      <c r="AB217" s="347" t="s">
        <v>3203</v>
      </c>
      <c r="AC217" s="347" t="b">
        <f>テーブル1[[#This Row],[要求事項一覧
判定]]=テーブル1[[#This Row],[列2]]</f>
        <v>0</v>
      </c>
    </row>
    <row r="218" spans="1:29" ht="29">
      <c r="A218" s="1" t="str">
        <f>テーブル1[[#This Row],[対象部門]]&amp;テーブル1[[#This Row],[業務要件回答表からの事前回答案_v1.0.xlsxより]]</f>
        <v>財務管理5.3</v>
      </c>
      <c r="B218" s="1" t="s">
        <v>3131</v>
      </c>
      <c r="D218" s="10" t="s">
        <v>1002</v>
      </c>
      <c r="E218" s="26" t="s">
        <v>1003</v>
      </c>
      <c r="F218" s="21" t="s">
        <v>1004</v>
      </c>
      <c r="G218" s="68">
        <v>5.3</v>
      </c>
      <c r="H218" s="44" t="s">
        <v>32</v>
      </c>
      <c r="I218" s="15"/>
      <c r="J218" s="68" t="s">
        <v>818</v>
      </c>
      <c r="K218" s="68" t="s">
        <v>806</v>
      </c>
      <c r="L218" s="26"/>
      <c r="M218" s="26"/>
      <c r="N218" s="44"/>
      <c r="O218" s="44" t="s">
        <v>35</v>
      </c>
      <c r="P218" s="44"/>
      <c r="Q218" s="68" t="s">
        <v>942</v>
      </c>
      <c r="R218" s="44"/>
      <c r="S218" s="26" t="s">
        <v>1005</v>
      </c>
      <c r="T218" s="44" t="s">
        <v>91</v>
      </c>
      <c r="U218" s="91"/>
      <c r="V218" s="94"/>
      <c r="W218" s="334"/>
      <c r="X218" s="41" t="str">
        <f>テーブル1[[#This Row],[開発]]&amp;テーブル1[[#This Row],[スコープ]]</f>
        <v>OUT</v>
      </c>
      <c r="Y218" s="41" t="str">
        <f>IF(テーブル1[[#This Row],[列1]]="不要IN","標準",IF(テーブル1[[#This Row],[列1]]="不要OUT","スコープアウト",IF(テーブル1[[#This Row],[列1]]="必要IN","アドオン",IF(テーブル1[[#This Row],[列1]]="OUT","スコープアウト",""))))</f>
        <v>スコープアウト</v>
      </c>
      <c r="Z218" s="345" t="str">
        <f>VLOOKUP($B218,Sheet1!$C$2:$L$315,9,)</f>
        <v>会計システム標準機能</v>
      </c>
      <c r="AA218" s="340" t="str">
        <f>VLOOKUP($B218,Sheet1!$C$2:$L$315,10,)</f>
        <v>各種仕訳帳にマニュアルで登録する</v>
      </c>
      <c r="AB218" s="347" t="s">
        <v>3203</v>
      </c>
      <c r="AC218" s="347" t="b">
        <f>テーブル1[[#This Row],[要求事項一覧
判定]]=テーブル1[[#This Row],[列2]]</f>
        <v>0</v>
      </c>
    </row>
    <row r="219" spans="1:29" ht="58">
      <c r="A219" s="1" t="str">
        <f>テーブル1[[#This Row],[対象部門]]&amp;テーブル1[[#This Row],[業務要件回答表からの事前回答案_v1.0.xlsxより]]</f>
        <v>財務管理5.4</v>
      </c>
      <c r="B219" s="1" t="s">
        <v>3132</v>
      </c>
      <c r="D219" s="10" t="s">
        <v>1006</v>
      </c>
      <c r="E219" s="26" t="s">
        <v>1007</v>
      </c>
      <c r="F219" s="21" t="s">
        <v>1008</v>
      </c>
      <c r="G219" s="68">
        <v>5.4</v>
      </c>
      <c r="H219" s="44" t="s">
        <v>32</v>
      </c>
      <c r="I219" s="15"/>
      <c r="J219" s="68" t="s">
        <v>818</v>
      </c>
      <c r="K219" s="68" t="s">
        <v>806</v>
      </c>
      <c r="L219" s="26"/>
      <c r="M219" s="26"/>
      <c r="N219" s="44"/>
      <c r="O219" s="44" t="s">
        <v>35</v>
      </c>
      <c r="P219" s="44"/>
      <c r="Q219" s="68" t="s">
        <v>942</v>
      </c>
      <c r="R219" s="44"/>
      <c r="S219" s="26" t="s">
        <v>1005</v>
      </c>
      <c r="T219" s="44" t="s">
        <v>91</v>
      </c>
      <c r="U219" s="91"/>
      <c r="V219" s="94"/>
      <c r="W219" s="334"/>
      <c r="X219" s="41" t="str">
        <f>テーブル1[[#This Row],[開発]]&amp;テーブル1[[#This Row],[スコープ]]</f>
        <v>OUT</v>
      </c>
      <c r="Y219" s="41" t="str">
        <f>IF(テーブル1[[#This Row],[列1]]="不要IN","標準",IF(テーブル1[[#This Row],[列1]]="不要OUT","スコープアウト",IF(テーブル1[[#This Row],[列1]]="必要IN","アドオン",IF(テーブル1[[#This Row],[列1]]="OUT","スコープアウト",""))))</f>
        <v>スコープアウト</v>
      </c>
      <c r="Z219" s="346" t="str">
        <f>VLOOKUP($B219,Sheet1!$C$2:$L$315,9,)</f>
        <v>会計システムアドオン</v>
      </c>
      <c r="AA219" s="340" t="str">
        <f>VLOOKUP($B219,Sheet1!$C$2:$L$315,10,)</f>
        <v>5.1 にて登録された情報をもとに、運用の仕訳を簡便的に計上する機能を各種仕訳帳に登録する
(転記まではしない)</v>
      </c>
      <c r="AB219" s="347" t="s">
        <v>3205</v>
      </c>
      <c r="AC219" s="347" t="b">
        <f>テーブル1[[#This Row],[要求事項一覧
判定]]=テーブル1[[#This Row],[列2]]</f>
        <v>0</v>
      </c>
    </row>
    <row r="220" spans="1:29" ht="43.5">
      <c r="A220" s="1" t="str">
        <f>テーブル1[[#This Row],[対象部門]]&amp;テーブル1[[#This Row],[業務要件回答表からの事前回答案_v1.0.xlsxより]]</f>
        <v>財務管理5.5</v>
      </c>
      <c r="B220" s="1" t="s">
        <v>3133</v>
      </c>
      <c r="D220" s="10" t="s">
        <v>1009</v>
      </c>
      <c r="E220" s="26" t="s">
        <v>1010</v>
      </c>
      <c r="F220" s="21" t="s">
        <v>1011</v>
      </c>
      <c r="G220" s="68">
        <v>5.5</v>
      </c>
      <c r="H220" s="44" t="s">
        <v>32</v>
      </c>
      <c r="I220" s="15"/>
      <c r="J220" s="68" t="s">
        <v>818</v>
      </c>
      <c r="K220" s="68" t="s">
        <v>806</v>
      </c>
      <c r="L220" s="26"/>
      <c r="M220" s="26"/>
      <c r="N220" s="44"/>
      <c r="O220" s="44" t="s">
        <v>35</v>
      </c>
      <c r="P220" s="44"/>
      <c r="Q220" s="68" t="s">
        <v>942</v>
      </c>
      <c r="R220" s="44"/>
      <c r="S220" s="26" t="s">
        <v>994</v>
      </c>
      <c r="T220" s="44" t="s">
        <v>91</v>
      </c>
      <c r="U220" s="91"/>
      <c r="V220" s="94"/>
      <c r="W220" s="334"/>
      <c r="X220" s="41" t="str">
        <f>テーブル1[[#This Row],[開発]]&amp;テーブル1[[#This Row],[スコープ]]</f>
        <v>OUT</v>
      </c>
      <c r="Y220" s="41" t="str">
        <f>IF(テーブル1[[#This Row],[列1]]="不要IN","標準",IF(テーブル1[[#This Row],[列1]]="不要OUT","スコープアウト",IF(テーブル1[[#This Row],[列1]]="必要IN","アドオン",IF(テーブル1[[#This Row],[列1]]="OUT","スコープアウト",""))))</f>
        <v>スコープアウト</v>
      </c>
      <c r="Z220" s="346" t="str">
        <f>VLOOKUP($B220,Sheet1!$C$2:$L$315,9,)</f>
        <v>会計システムアドオン</v>
      </c>
      <c r="AA220" s="340" t="str">
        <f>VLOOKUP($B220,Sheet1!$C$2:$L$315,10,)</f>
        <v>4.11 の範囲で対応</v>
      </c>
      <c r="AB220" s="347" t="s">
        <v>3205</v>
      </c>
      <c r="AC220" s="347" t="b">
        <f>テーブル1[[#This Row],[要求事項一覧
判定]]=テーブル1[[#This Row],[列2]]</f>
        <v>0</v>
      </c>
    </row>
    <row r="221" spans="1:29" ht="58">
      <c r="A221" s="1" t="str">
        <f>テーブル1[[#This Row],[対象部門]]&amp;テーブル1[[#This Row],[業務要件回答表からの事前回答案_v1.0.xlsxより]]</f>
        <v>財務管理5.6</v>
      </c>
      <c r="B221" s="1" t="s">
        <v>3134</v>
      </c>
      <c r="D221" s="10" t="s">
        <v>1012</v>
      </c>
      <c r="E221" s="26" t="s">
        <v>1013</v>
      </c>
      <c r="F221" s="21" t="s">
        <v>1014</v>
      </c>
      <c r="G221" s="68">
        <v>5.6</v>
      </c>
      <c r="H221" s="44" t="s">
        <v>32</v>
      </c>
      <c r="I221" s="15"/>
      <c r="J221" s="68" t="s">
        <v>818</v>
      </c>
      <c r="K221" s="68" t="s">
        <v>806</v>
      </c>
      <c r="L221" s="26"/>
      <c r="M221" s="26"/>
      <c r="N221" s="44"/>
      <c r="O221" s="44" t="s">
        <v>35</v>
      </c>
      <c r="P221" s="44"/>
      <c r="Q221" s="68" t="s">
        <v>942</v>
      </c>
      <c r="R221" s="44" t="s">
        <v>37</v>
      </c>
      <c r="S221" s="26" t="s">
        <v>1015</v>
      </c>
      <c r="T221" s="44" t="s">
        <v>91</v>
      </c>
      <c r="U221" s="93" t="s">
        <v>977</v>
      </c>
      <c r="V221" s="94"/>
      <c r="W221" s="334"/>
      <c r="X221" s="41" t="str">
        <f>テーブル1[[#This Row],[開発]]&amp;テーブル1[[#This Row],[スコープ]]</f>
        <v>不要OUT</v>
      </c>
      <c r="Y221" s="41" t="str">
        <f>IF(テーブル1[[#This Row],[列1]]="不要IN","標準",IF(テーブル1[[#This Row],[列1]]="不要OUT","スコープアウト",IF(テーブル1[[#This Row],[列1]]="必要IN","アドオン",IF(テーブル1[[#This Row],[列1]]="OUT","スコープアウト",""))))</f>
        <v>スコープアウト</v>
      </c>
      <c r="Z221" s="345" t="str">
        <f>VLOOKUP($B221,Sheet1!$C$2:$L$315,9,)</f>
        <v>会計システム標準機能</v>
      </c>
      <c r="AA221" s="340" t="str">
        <f>VLOOKUP($B221,Sheet1!$C$2:$L$315,10,)</f>
        <v>仕入先残高リストおよび顧客残高リストにて対応</v>
      </c>
      <c r="AB221" s="347" t="s">
        <v>3203</v>
      </c>
      <c r="AC221" s="347" t="b">
        <f>テーブル1[[#This Row],[要求事項一覧
判定]]=テーブル1[[#This Row],[列2]]</f>
        <v>0</v>
      </c>
    </row>
    <row r="222" spans="1:29" ht="58">
      <c r="A222" s="1" t="str">
        <f>テーブル1[[#This Row],[対象部門]]&amp;テーブル1[[#This Row],[業務要件回答表からの事前回答案_v1.0.xlsxより]]</f>
        <v>財務管理5.7</v>
      </c>
      <c r="B222" s="1" t="s">
        <v>3135</v>
      </c>
      <c r="D222" s="10" t="s">
        <v>1016</v>
      </c>
      <c r="E222" s="26" t="s">
        <v>1017</v>
      </c>
      <c r="F222" s="21" t="s">
        <v>1018</v>
      </c>
      <c r="G222" s="68">
        <v>5.7</v>
      </c>
      <c r="H222" s="44" t="s">
        <v>32</v>
      </c>
      <c r="I222" s="15"/>
      <c r="J222" s="68" t="s">
        <v>818</v>
      </c>
      <c r="K222" s="68" t="s">
        <v>806</v>
      </c>
      <c r="L222" s="26"/>
      <c r="M222" s="26"/>
      <c r="N222" s="44"/>
      <c r="O222" s="44" t="s">
        <v>35</v>
      </c>
      <c r="P222" s="44"/>
      <c r="Q222" s="68" t="s">
        <v>942</v>
      </c>
      <c r="R222" s="44"/>
      <c r="S222" s="26" t="s">
        <v>994</v>
      </c>
      <c r="T222" s="44" t="s">
        <v>91</v>
      </c>
      <c r="U222" s="93" t="s">
        <v>977</v>
      </c>
      <c r="V222" s="94"/>
      <c r="W222" s="334"/>
      <c r="X222" s="41" t="str">
        <f>テーブル1[[#This Row],[開発]]&amp;テーブル1[[#This Row],[スコープ]]</f>
        <v>OUT</v>
      </c>
      <c r="Y222" s="41" t="str">
        <f>IF(テーブル1[[#This Row],[列1]]="不要IN","標準",IF(テーブル1[[#This Row],[列1]]="不要OUT","スコープアウト",IF(テーブル1[[#This Row],[列1]]="必要IN","アドオン",IF(テーブル1[[#This Row],[列1]]="OUT","スコープアウト",""))))</f>
        <v>スコープアウト</v>
      </c>
      <c r="Z222" s="346" t="str">
        <f>VLOOKUP($B222,Sheet1!$C$2:$L$315,9,)</f>
        <v>会計システムアドオン</v>
      </c>
      <c r="AA222" s="340" t="str">
        <f>VLOOKUP($B222,Sheet1!$C$2:$L$315,10,)</f>
        <v>会社別に運用商品・金融機関別の月末運用の金額を管理できる新規帳票を開発</v>
      </c>
      <c r="AB222" s="347" t="s">
        <v>3205</v>
      </c>
      <c r="AC222" s="347" t="b">
        <f>テーブル1[[#This Row],[要求事項一覧
判定]]=テーブル1[[#This Row],[列2]]</f>
        <v>0</v>
      </c>
    </row>
    <row r="223" spans="1:29" ht="58">
      <c r="A223" s="1" t="str">
        <f>テーブル1[[#This Row],[対象部門]]&amp;テーブル1[[#This Row],[業務要件回答表からの事前回答案_v1.0.xlsxより]]</f>
        <v>財務管理5.8</v>
      </c>
      <c r="B223" s="1" t="s">
        <v>3136</v>
      </c>
      <c r="D223" s="10" t="s">
        <v>1019</v>
      </c>
      <c r="E223" s="26" t="s">
        <v>1020</v>
      </c>
      <c r="F223" s="21" t="s">
        <v>1021</v>
      </c>
      <c r="G223" s="68">
        <v>5.8</v>
      </c>
      <c r="H223" s="44" t="s">
        <v>32</v>
      </c>
      <c r="I223" s="15"/>
      <c r="J223" s="68" t="s">
        <v>818</v>
      </c>
      <c r="K223" s="68" t="s">
        <v>806</v>
      </c>
      <c r="L223" s="26"/>
      <c r="M223" s="26"/>
      <c r="N223" s="44"/>
      <c r="O223" s="44" t="s">
        <v>35</v>
      </c>
      <c r="P223" s="44"/>
      <c r="Q223" s="68" t="s">
        <v>942</v>
      </c>
      <c r="R223" s="44"/>
      <c r="S223" s="26" t="s">
        <v>994</v>
      </c>
      <c r="T223" s="44" t="s">
        <v>91</v>
      </c>
      <c r="U223" s="93" t="s">
        <v>977</v>
      </c>
      <c r="V223" s="94"/>
      <c r="W223" s="334"/>
      <c r="X223" s="41" t="str">
        <f>テーブル1[[#This Row],[開発]]&amp;テーブル1[[#This Row],[スコープ]]</f>
        <v>OUT</v>
      </c>
      <c r="Y223" s="41" t="str">
        <f>IF(テーブル1[[#This Row],[列1]]="不要IN","標準",IF(テーブル1[[#This Row],[列1]]="不要OUT","スコープアウト",IF(テーブル1[[#This Row],[列1]]="必要IN","アドオン",IF(テーブル1[[#This Row],[列1]]="OUT","スコープアウト",""))))</f>
        <v>スコープアウト</v>
      </c>
      <c r="Z223" s="346" t="str">
        <f>VLOOKUP($B223,Sheet1!$C$2:$L$315,9,)</f>
        <v>会計システムアドオン</v>
      </c>
      <c r="AA223" s="340" t="str">
        <f>VLOOKUP($B223,Sheet1!$C$2:$L$315,10,)</f>
        <v>5.7 の範囲で対応</v>
      </c>
      <c r="AB223" s="347" t="s">
        <v>3205</v>
      </c>
      <c r="AC223" s="347" t="b">
        <f>テーブル1[[#This Row],[要求事項一覧
判定]]=テーブル1[[#This Row],[列2]]</f>
        <v>0</v>
      </c>
    </row>
    <row r="224" spans="1:29" ht="14.5">
      <c r="A224" s="1" t="str">
        <f>テーブル1[[#This Row],[対象部門]]&amp;テーブル1[[#This Row],[業務要件回答表からの事前回答案_v1.0.xlsxより]]</f>
        <v>財務管理6.1</v>
      </c>
      <c r="B224" s="1" t="s">
        <v>3137</v>
      </c>
      <c r="D224" s="10" t="s">
        <v>1022</v>
      </c>
      <c r="E224" s="26" t="s">
        <v>1023</v>
      </c>
      <c r="F224" s="21" t="s">
        <v>1024</v>
      </c>
      <c r="G224" s="68">
        <v>6.1</v>
      </c>
      <c r="H224" s="44" t="s">
        <v>32</v>
      </c>
      <c r="I224" s="15"/>
      <c r="J224" s="68" t="s">
        <v>818</v>
      </c>
      <c r="K224" s="68" t="s">
        <v>806</v>
      </c>
      <c r="L224" s="26"/>
      <c r="M224" s="26"/>
      <c r="N224" s="44"/>
      <c r="O224" s="44" t="s">
        <v>35</v>
      </c>
      <c r="P224" s="44"/>
      <c r="Q224" s="68" t="s">
        <v>942</v>
      </c>
      <c r="R224" s="44" t="s">
        <v>37</v>
      </c>
      <c r="S224" s="26" t="s">
        <v>1025</v>
      </c>
      <c r="T224" s="44" t="s">
        <v>91</v>
      </c>
      <c r="U224" s="91"/>
      <c r="V224" s="94"/>
      <c r="W224" s="334"/>
      <c r="X224" s="41" t="str">
        <f>テーブル1[[#This Row],[開発]]&amp;テーブル1[[#This Row],[スコープ]]</f>
        <v>不要OUT</v>
      </c>
      <c r="Y224" s="41" t="str">
        <f>IF(テーブル1[[#This Row],[列1]]="不要IN","標準",IF(テーブル1[[#This Row],[列1]]="不要OUT","スコープアウト",IF(テーブル1[[#This Row],[列1]]="必要IN","アドオン",IF(テーブル1[[#This Row],[列1]]="OUT","スコープアウト",""))))</f>
        <v>スコープアウト</v>
      </c>
      <c r="Z224" s="345" t="str">
        <f>VLOOKUP($B224,Sheet1!$C$2:$L$315,9,)</f>
        <v>会計システム標準機能</v>
      </c>
      <c r="AA224" s="340">
        <f>VLOOKUP($B224,Sheet1!$C$2:$L$315,10,)</f>
        <v>0</v>
      </c>
      <c r="AB224" s="347" t="s">
        <v>3203</v>
      </c>
      <c r="AC224" s="347" t="b">
        <f>テーブル1[[#This Row],[要求事項一覧
判定]]=テーブル1[[#This Row],[列2]]</f>
        <v>0</v>
      </c>
    </row>
    <row r="225" spans="1:29" ht="58">
      <c r="A225" s="1" t="str">
        <f>テーブル1[[#This Row],[対象部門]]&amp;テーブル1[[#This Row],[業務要件回答表からの事前回答案_v1.0.xlsxより]]</f>
        <v>財務管理7.1</v>
      </c>
      <c r="B225" s="1" t="s">
        <v>3138</v>
      </c>
      <c r="D225" s="10" t="s">
        <v>1026</v>
      </c>
      <c r="E225" s="26" t="s">
        <v>1027</v>
      </c>
      <c r="F225" s="21" t="s">
        <v>1028</v>
      </c>
      <c r="G225" s="68">
        <v>7.1</v>
      </c>
      <c r="H225" s="44" t="s">
        <v>32</v>
      </c>
      <c r="I225" s="15"/>
      <c r="J225" s="68" t="s">
        <v>818</v>
      </c>
      <c r="K225" s="68" t="s">
        <v>806</v>
      </c>
      <c r="L225" s="26"/>
      <c r="M225" s="26"/>
      <c r="N225" s="44"/>
      <c r="O225" s="44" t="s">
        <v>35</v>
      </c>
      <c r="P225" s="44"/>
      <c r="Q225" s="68" t="s">
        <v>1029</v>
      </c>
      <c r="R225" s="44"/>
      <c r="S225" s="26" t="s">
        <v>1030</v>
      </c>
      <c r="T225" s="44" t="s">
        <v>91</v>
      </c>
      <c r="U225" s="91"/>
      <c r="V225" s="94"/>
      <c r="W225" s="334"/>
      <c r="X225" s="41" t="str">
        <f>テーブル1[[#This Row],[開発]]&amp;テーブル1[[#This Row],[スコープ]]</f>
        <v>OUT</v>
      </c>
      <c r="Y225" s="41" t="str">
        <f>IF(テーブル1[[#This Row],[列1]]="不要IN","標準",IF(テーブル1[[#This Row],[列1]]="不要OUT","スコープアウト",IF(テーブル1[[#This Row],[列1]]="必要IN","アドオン",IF(テーブル1[[#This Row],[列1]]="OUT","スコープアウト",""))))</f>
        <v>スコープアウト</v>
      </c>
      <c r="Z225" s="346" t="str">
        <f>VLOOKUP($B225,Sheet1!$C$2:$L$315,9,)</f>
        <v>会計システムアドオン</v>
      </c>
      <c r="AA225" s="340" t="str">
        <f>VLOOKUP($B225,Sheet1!$C$2:$L$315,10,)</f>
        <v>4.1~4.13 の範囲で対応</v>
      </c>
      <c r="AB225" s="347" t="s">
        <v>3205</v>
      </c>
      <c r="AC225" s="347" t="b">
        <f>テーブル1[[#This Row],[要求事項一覧
判定]]=テーブル1[[#This Row],[列2]]</f>
        <v>0</v>
      </c>
    </row>
    <row r="226" spans="1:29" ht="87">
      <c r="A226" s="1" t="str">
        <f>テーブル1[[#This Row],[対象部門]]&amp;テーブル1[[#This Row],[業務要件回答表からの事前回答案_v1.0.xlsxより]]</f>
        <v>財務管理8.1</v>
      </c>
      <c r="B226" s="1" t="s">
        <v>3139</v>
      </c>
      <c r="D226" s="10" t="s">
        <v>1031</v>
      </c>
      <c r="E226" s="26" t="s">
        <v>1032</v>
      </c>
      <c r="F226" s="21" t="s">
        <v>1033</v>
      </c>
      <c r="G226" s="68">
        <v>8.1</v>
      </c>
      <c r="H226" s="44" t="s">
        <v>32</v>
      </c>
      <c r="I226" s="15"/>
      <c r="J226" s="68" t="s">
        <v>818</v>
      </c>
      <c r="K226" s="68" t="s">
        <v>806</v>
      </c>
      <c r="L226" s="26"/>
      <c r="M226" s="26"/>
      <c r="N226" s="44"/>
      <c r="O226" s="44" t="s">
        <v>35</v>
      </c>
      <c r="P226" s="44"/>
      <c r="Q226" s="68" t="s">
        <v>1029</v>
      </c>
      <c r="R226" s="44"/>
      <c r="S226" s="26" t="s">
        <v>1034</v>
      </c>
      <c r="T226" s="44" t="s">
        <v>91</v>
      </c>
      <c r="U226" s="93" t="s">
        <v>977</v>
      </c>
      <c r="V226" s="94"/>
      <c r="W226" s="334"/>
      <c r="X226" s="41" t="str">
        <f>テーブル1[[#This Row],[開発]]&amp;テーブル1[[#This Row],[スコープ]]</f>
        <v>OUT</v>
      </c>
      <c r="Y226" s="41" t="str">
        <f>IF(テーブル1[[#This Row],[列1]]="不要IN","標準",IF(テーブル1[[#This Row],[列1]]="不要OUT","スコープアウト",IF(テーブル1[[#This Row],[列1]]="必要IN","アドオン",IF(テーブル1[[#This Row],[列1]]="OUT","スコープアウト",""))))</f>
        <v>スコープアウト</v>
      </c>
      <c r="Z226" s="346" t="str">
        <f>VLOOKUP($B226,Sheet1!$C$2:$L$315,9,)</f>
        <v>会計システムアドオン</v>
      </c>
      <c r="AA226" s="340" t="str">
        <f>VLOOKUP($B226,Sheet1!$C$2:$L$315,10,)</f>
        <v>金額・通貨・金利・金利条件・利息発生タイミング・借入期間・返済タイミング・借入先などを各種仕訳帳および仕入先トランザクションで登録・管理できるようにする</v>
      </c>
      <c r="AB226" s="347" t="s">
        <v>3205</v>
      </c>
      <c r="AC226" s="347" t="b">
        <f>テーブル1[[#This Row],[要求事項一覧
判定]]=テーブル1[[#This Row],[列2]]</f>
        <v>0</v>
      </c>
    </row>
    <row r="227" spans="1:29" ht="43.5">
      <c r="A227" s="1" t="str">
        <f>テーブル1[[#This Row],[対象部門]]&amp;テーブル1[[#This Row],[業務要件回答表からの事前回答案_v1.0.xlsxより]]</f>
        <v>財務管理8.2</v>
      </c>
      <c r="B227" s="1" t="s">
        <v>3140</v>
      </c>
      <c r="D227" s="10" t="s">
        <v>1035</v>
      </c>
      <c r="E227" s="26" t="s">
        <v>1036</v>
      </c>
      <c r="F227" s="21" t="s">
        <v>1037</v>
      </c>
      <c r="G227" s="68">
        <v>8.1999999999999993</v>
      </c>
      <c r="H227" s="44" t="s">
        <v>32</v>
      </c>
      <c r="I227" s="15"/>
      <c r="J227" s="68" t="s">
        <v>818</v>
      </c>
      <c r="K227" s="68" t="s">
        <v>806</v>
      </c>
      <c r="L227" s="26"/>
      <c r="M227" s="26"/>
      <c r="N227" s="44"/>
      <c r="O227" s="44" t="s">
        <v>35</v>
      </c>
      <c r="P227" s="44"/>
      <c r="Q227" s="68" t="s">
        <v>1029</v>
      </c>
      <c r="R227" s="44"/>
      <c r="S227" s="26" t="s">
        <v>948</v>
      </c>
      <c r="T227" s="44" t="s">
        <v>91</v>
      </c>
      <c r="U227" s="91"/>
      <c r="V227" s="94"/>
      <c r="W227" s="334"/>
      <c r="X227" s="41" t="str">
        <f>テーブル1[[#This Row],[開発]]&amp;テーブル1[[#This Row],[スコープ]]</f>
        <v>OUT</v>
      </c>
      <c r="Y227" s="41" t="str">
        <f>IF(テーブル1[[#This Row],[列1]]="不要IN","標準",IF(テーブル1[[#This Row],[列1]]="不要OUT","スコープアウト",IF(テーブル1[[#This Row],[列1]]="必要IN","アドオン",IF(テーブル1[[#This Row],[列1]]="OUT","スコープアウト",""))))</f>
        <v>スコープアウト</v>
      </c>
      <c r="Z227" s="345" t="str">
        <f>VLOOKUP($B227,Sheet1!$C$2:$L$315,9,)</f>
        <v>会計システム標準機能</v>
      </c>
      <c r="AA227" s="340" t="str">
        <f>VLOOKUP($B227,Sheet1!$C$2:$L$315,10,)</f>
        <v>保存先はAzure BlobかSPO</v>
      </c>
      <c r="AB227" s="347" t="s">
        <v>3203</v>
      </c>
      <c r="AC227" s="347" t="b">
        <f>テーブル1[[#This Row],[要求事項一覧
判定]]=テーブル1[[#This Row],[列2]]</f>
        <v>0</v>
      </c>
    </row>
    <row r="228" spans="1:29" ht="58">
      <c r="A228" s="1" t="str">
        <f>テーブル1[[#This Row],[対象部門]]&amp;テーブル1[[#This Row],[業務要件回答表からの事前回答案_v1.0.xlsxより]]</f>
        <v>財務管理8.3</v>
      </c>
      <c r="B228" s="1" t="s">
        <v>3141</v>
      </c>
      <c r="D228" s="10" t="s">
        <v>1038</v>
      </c>
      <c r="E228" s="26" t="s">
        <v>1039</v>
      </c>
      <c r="F228" s="21" t="s">
        <v>1040</v>
      </c>
      <c r="G228" s="68">
        <v>8.3000000000000007</v>
      </c>
      <c r="H228" s="44" t="s">
        <v>32</v>
      </c>
      <c r="I228" s="15"/>
      <c r="J228" s="68" t="s">
        <v>818</v>
      </c>
      <c r="K228" s="68" t="s">
        <v>806</v>
      </c>
      <c r="L228" s="26"/>
      <c r="M228" s="26"/>
      <c r="N228" s="44"/>
      <c r="O228" s="44" t="s">
        <v>35</v>
      </c>
      <c r="P228" s="44"/>
      <c r="Q228" s="68" t="s">
        <v>1029</v>
      </c>
      <c r="R228" s="44"/>
      <c r="S228" s="26" t="s">
        <v>1041</v>
      </c>
      <c r="T228" s="44" t="s">
        <v>91</v>
      </c>
      <c r="U228" s="91"/>
      <c r="V228" s="94"/>
      <c r="W228" s="334"/>
      <c r="X228" s="41" t="str">
        <f>テーブル1[[#This Row],[開発]]&amp;テーブル1[[#This Row],[スコープ]]</f>
        <v>OUT</v>
      </c>
      <c r="Y228" s="41" t="str">
        <f>IF(テーブル1[[#This Row],[列1]]="不要IN","標準",IF(テーブル1[[#This Row],[列1]]="不要OUT","スコープアウト",IF(テーブル1[[#This Row],[列1]]="必要IN","アドオン",IF(テーブル1[[#This Row],[列1]]="OUT","スコープアウト",""))))</f>
        <v>スコープアウト</v>
      </c>
      <c r="Z228" s="346" t="str">
        <f>VLOOKUP($B228,Sheet1!$C$2:$L$315,9,)</f>
        <v>会計システムアドオン</v>
      </c>
      <c r="AA228" s="340" t="str">
        <f>VLOOKUP($B228,Sheet1!$C$2:$L$315,10,)</f>
        <v>8.1 にて登録された情報をもとに、未決済の顧客トランザクションより利息を計算する機能を各種仕訳帳に登録する</v>
      </c>
      <c r="AB228" s="347" t="s">
        <v>3205</v>
      </c>
      <c r="AC228" s="347" t="b">
        <f>テーブル1[[#This Row],[要求事項一覧
判定]]=テーブル1[[#This Row],[列2]]</f>
        <v>0</v>
      </c>
    </row>
    <row r="229" spans="1:29" ht="43.5">
      <c r="A229" s="1" t="str">
        <f>テーブル1[[#This Row],[対象部門]]&amp;テーブル1[[#This Row],[業務要件回答表からの事前回答案_v1.0.xlsxより]]</f>
        <v>財務管理8.4</v>
      </c>
      <c r="B229" s="1" t="s">
        <v>3142</v>
      </c>
      <c r="D229" s="10" t="s">
        <v>1042</v>
      </c>
      <c r="E229" s="26" t="s">
        <v>1043</v>
      </c>
      <c r="F229" s="21" t="s">
        <v>1044</v>
      </c>
      <c r="G229" s="68">
        <v>8.4</v>
      </c>
      <c r="H229" s="44" t="s">
        <v>32</v>
      </c>
      <c r="I229" s="15"/>
      <c r="J229" s="68" t="s">
        <v>818</v>
      </c>
      <c r="K229" s="68" t="s">
        <v>806</v>
      </c>
      <c r="L229" s="26"/>
      <c r="M229" s="26"/>
      <c r="N229" s="44"/>
      <c r="O229" s="44" t="s">
        <v>35</v>
      </c>
      <c r="P229" s="44"/>
      <c r="Q229" s="68" t="s">
        <v>1029</v>
      </c>
      <c r="R229" s="44"/>
      <c r="S229" s="26" t="s">
        <v>1045</v>
      </c>
      <c r="T229" s="44" t="s">
        <v>91</v>
      </c>
      <c r="U229" s="91"/>
      <c r="V229" s="94"/>
      <c r="W229" s="334"/>
      <c r="X229" s="41" t="str">
        <f>テーブル1[[#This Row],[開発]]&amp;テーブル1[[#This Row],[スコープ]]</f>
        <v>OUT</v>
      </c>
      <c r="Y229" s="41" t="str">
        <f>IF(テーブル1[[#This Row],[列1]]="不要IN","標準",IF(テーブル1[[#This Row],[列1]]="不要OUT","スコープアウト",IF(テーブル1[[#This Row],[列1]]="必要IN","アドオン",IF(テーブル1[[#This Row],[列1]]="OUT","スコープアウト",""))))</f>
        <v>スコープアウト</v>
      </c>
      <c r="Z229" s="346" t="str">
        <f>VLOOKUP($B229,Sheet1!$C$2:$L$315,9,)</f>
        <v>会計システムアドオン</v>
      </c>
      <c r="AA229" s="340" t="str">
        <f>VLOOKUP($B229,Sheet1!$C$2:$L$315,10,)</f>
        <v>8.3 にて計算された情報を各種仕訳帳に起票する処理を追加する(転記まではしない(転記は手動))</v>
      </c>
      <c r="AB229" s="347" t="s">
        <v>3205</v>
      </c>
      <c r="AC229" s="347" t="b">
        <f>テーブル1[[#This Row],[要求事項一覧
判定]]=テーブル1[[#This Row],[列2]]</f>
        <v>0</v>
      </c>
    </row>
    <row r="230" spans="1:29" ht="72.5">
      <c r="A230" s="1" t="str">
        <f>テーブル1[[#This Row],[対象部門]]&amp;テーブル1[[#This Row],[業務要件回答表からの事前回答案_v1.0.xlsxより]]</f>
        <v>財務管理8.5</v>
      </c>
      <c r="B230" s="1" t="s">
        <v>3143</v>
      </c>
      <c r="D230" s="10" t="s">
        <v>1046</v>
      </c>
      <c r="E230" s="26" t="s">
        <v>1047</v>
      </c>
      <c r="F230" s="21" t="s">
        <v>1048</v>
      </c>
      <c r="G230" s="68">
        <v>8.5</v>
      </c>
      <c r="H230" s="44" t="s">
        <v>32</v>
      </c>
      <c r="I230" s="15"/>
      <c r="J230" s="68" t="s">
        <v>818</v>
      </c>
      <c r="K230" s="68" t="s">
        <v>806</v>
      </c>
      <c r="L230" s="26"/>
      <c r="M230" s="26"/>
      <c r="N230" s="44"/>
      <c r="O230" s="44" t="s">
        <v>35</v>
      </c>
      <c r="P230" s="44"/>
      <c r="Q230" s="68" t="s">
        <v>1029</v>
      </c>
      <c r="R230" s="44"/>
      <c r="S230" s="26" t="s">
        <v>1049</v>
      </c>
      <c r="T230" s="44" t="s">
        <v>91</v>
      </c>
      <c r="U230" s="91"/>
      <c r="V230" s="94"/>
      <c r="W230" s="334"/>
      <c r="X230" s="41" t="str">
        <f>テーブル1[[#This Row],[開発]]&amp;テーブル1[[#This Row],[スコープ]]</f>
        <v>OUT</v>
      </c>
      <c r="Y230" s="41" t="str">
        <f>IF(テーブル1[[#This Row],[列1]]="不要IN","標準",IF(テーブル1[[#This Row],[列1]]="不要OUT","スコープアウト",IF(テーブル1[[#This Row],[列1]]="必要IN","アドオン",IF(テーブル1[[#This Row],[列1]]="OUT","スコープアウト",""))))</f>
        <v>スコープアウト</v>
      </c>
      <c r="Z230" s="346" t="str">
        <f>VLOOKUP($B230,Sheet1!$C$2:$L$315,9,)</f>
        <v>会計システムアドオン</v>
      </c>
      <c r="AA230" s="340" t="str">
        <f>VLOOKUP($B230,Sheet1!$C$2:$L$315,10,)</f>
        <v>帳票開発</v>
      </c>
      <c r="AB230" s="347" t="s">
        <v>3205</v>
      </c>
      <c r="AC230" s="347" t="b">
        <f>テーブル1[[#This Row],[要求事項一覧
判定]]=テーブル1[[#This Row],[列2]]</f>
        <v>0</v>
      </c>
    </row>
    <row r="231" spans="1:29" ht="58">
      <c r="A231" s="1" t="str">
        <f>テーブル1[[#This Row],[対象部門]]&amp;テーブル1[[#This Row],[業務要件回答表からの事前回答案_v1.0.xlsxより]]</f>
        <v>財務管理8.6</v>
      </c>
      <c r="B231" s="1" t="s">
        <v>3144</v>
      </c>
      <c r="D231" s="10" t="s">
        <v>1050</v>
      </c>
      <c r="E231" s="26" t="s">
        <v>1051</v>
      </c>
      <c r="F231" s="21" t="s">
        <v>1052</v>
      </c>
      <c r="G231" s="68">
        <v>8.6</v>
      </c>
      <c r="H231" s="44" t="s">
        <v>32</v>
      </c>
      <c r="I231" s="15"/>
      <c r="J231" s="68" t="s">
        <v>818</v>
      </c>
      <c r="K231" s="68" t="s">
        <v>806</v>
      </c>
      <c r="L231" s="26"/>
      <c r="M231" s="26"/>
      <c r="N231" s="44"/>
      <c r="O231" s="44" t="s">
        <v>35</v>
      </c>
      <c r="P231" s="44"/>
      <c r="Q231" s="68" t="s">
        <v>1029</v>
      </c>
      <c r="R231" s="44"/>
      <c r="S231" s="26" t="s">
        <v>968</v>
      </c>
      <c r="T231" s="44" t="s">
        <v>91</v>
      </c>
      <c r="U231" s="91"/>
      <c r="V231" s="94"/>
      <c r="W231" s="334"/>
      <c r="X231" s="41" t="str">
        <f>テーブル1[[#This Row],[開発]]&amp;テーブル1[[#This Row],[スコープ]]</f>
        <v>OUT</v>
      </c>
      <c r="Y231" s="41" t="str">
        <f>IF(テーブル1[[#This Row],[列1]]="不要IN","標準",IF(テーブル1[[#This Row],[列1]]="不要OUT","スコープアウト",IF(テーブル1[[#This Row],[列1]]="必要IN","アドオン",IF(テーブル1[[#This Row],[列1]]="OUT","スコープアウト",""))))</f>
        <v>スコープアウト</v>
      </c>
      <c r="Z231" s="346" t="str">
        <f>VLOOKUP($B231,Sheet1!$C$2:$L$315,9,)</f>
        <v>会計システムアドオン</v>
      </c>
      <c r="AA231" s="340" t="str">
        <f>VLOOKUP($B231,Sheet1!$C$2:$L$315,10,)</f>
        <v>4.1 にて登録された情報をもとに、借入金の返済仕訳を起票する処理を各種仕訳帳に追加する(転記まではしない)</v>
      </c>
      <c r="AB231" s="347" t="s">
        <v>3205</v>
      </c>
      <c r="AC231" s="347" t="b">
        <f>テーブル1[[#This Row],[要求事項一覧
判定]]=テーブル1[[#This Row],[列2]]</f>
        <v>0</v>
      </c>
    </row>
    <row r="232" spans="1:29" ht="58">
      <c r="A232" s="1" t="str">
        <f>テーブル1[[#This Row],[対象部門]]&amp;テーブル1[[#This Row],[業務要件回答表からの事前回答案_v1.0.xlsxより]]</f>
        <v>財務管理8.7</v>
      </c>
      <c r="B232" s="1" t="s">
        <v>3145</v>
      </c>
      <c r="D232" s="10" t="s">
        <v>1053</v>
      </c>
      <c r="E232" s="26" t="s">
        <v>1054</v>
      </c>
      <c r="F232" s="21" t="s">
        <v>1055</v>
      </c>
      <c r="G232" s="68">
        <v>8.6999999999999993</v>
      </c>
      <c r="H232" s="44" t="s">
        <v>32</v>
      </c>
      <c r="I232" s="15"/>
      <c r="J232" s="68" t="s">
        <v>818</v>
      </c>
      <c r="K232" s="68" t="s">
        <v>806</v>
      </c>
      <c r="L232" s="26"/>
      <c r="M232" s="26"/>
      <c r="N232" s="44"/>
      <c r="O232" s="44" t="s">
        <v>35</v>
      </c>
      <c r="P232" s="44"/>
      <c r="Q232" s="68" t="s">
        <v>1029</v>
      </c>
      <c r="R232" s="44"/>
      <c r="S232" s="26" t="s">
        <v>1056</v>
      </c>
      <c r="T232" s="44" t="s">
        <v>91</v>
      </c>
      <c r="U232" s="93" t="s">
        <v>977</v>
      </c>
      <c r="V232" s="94"/>
      <c r="W232" s="334"/>
      <c r="X232" s="41" t="str">
        <f>テーブル1[[#This Row],[開発]]&amp;テーブル1[[#This Row],[スコープ]]</f>
        <v>OUT</v>
      </c>
      <c r="Y232" s="41" t="str">
        <f>IF(テーブル1[[#This Row],[列1]]="不要IN","標準",IF(テーブル1[[#This Row],[列1]]="不要OUT","スコープアウト",IF(テーブル1[[#This Row],[列1]]="必要IN","アドオン",IF(テーブル1[[#This Row],[列1]]="OUT","スコープアウト",""))))</f>
        <v>スコープアウト</v>
      </c>
      <c r="Z232" s="345" t="str">
        <f>VLOOKUP($B232,Sheet1!$C$2:$L$315,9,)</f>
        <v>会計システム標準機能</v>
      </c>
      <c r="AA232" s="340" t="str">
        <f>VLOOKUP($B232,Sheet1!$C$2:$L$315,10,)</f>
        <v>残高一覧は仕入先残高リストにて対応可能</v>
      </c>
      <c r="AB232" s="347" t="s">
        <v>3203</v>
      </c>
      <c r="AC232" s="347" t="b">
        <f>テーブル1[[#This Row],[要求事項一覧
判定]]=テーブル1[[#This Row],[列2]]</f>
        <v>0</v>
      </c>
    </row>
    <row r="233" spans="1:29" ht="58">
      <c r="A233" s="1" t="str">
        <f>テーブル1[[#This Row],[対象部門]]&amp;テーブル1[[#This Row],[業務要件回答表からの事前回答案_v1.0.xlsxより]]</f>
        <v>財務管理8.8</v>
      </c>
      <c r="B233" s="1" t="s">
        <v>3146</v>
      </c>
      <c r="D233" s="10" t="s">
        <v>1057</v>
      </c>
      <c r="E233" s="26" t="s">
        <v>1058</v>
      </c>
      <c r="F233" s="21" t="s">
        <v>1059</v>
      </c>
      <c r="G233" s="68">
        <v>8.8000000000000007</v>
      </c>
      <c r="H233" s="44" t="s">
        <v>32</v>
      </c>
      <c r="I233" s="15"/>
      <c r="J233" s="68" t="s">
        <v>818</v>
      </c>
      <c r="K233" s="68" t="s">
        <v>806</v>
      </c>
      <c r="L233" s="26"/>
      <c r="M233" s="26"/>
      <c r="N233" s="44"/>
      <c r="O233" s="44" t="s">
        <v>35</v>
      </c>
      <c r="P233" s="44"/>
      <c r="Q233" s="68" t="s">
        <v>1029</v>
      </c>
      <c r="R233" s="44"/>
      <c r="S233" s="26" t="s">
        <v>1060</v>
      </c>
      <c r="T233" s="44" t="s">
        <v>91</v>
      </c>
      <c r="U233" s="93" t="s">
        <v>977</v>
      </c>
      <c r="V233" s="94"/>
      <c r="W233" s="334"/>
      <c r="X233" s="41" t="str">
        <f>テーブル1[[#This Row],[開発]]&amp;テーブル1[[#This Row],[スコープ]]</f>
        <v>OUT</v>
      </c>
      <c r="Y233" s="41" t="str">
        <f>IF(テーブル1[[#This Row],[列1]]="不要IN","標準",IF(テーブル1[[#This Row],[列1]]="不要OUT","スコープアウト",IF(テーブル1[[#This Row],[列1]]="必要IN","アドオン",IF(テーブル1[[#This Row],[列1]]="OUT","スコープアウト",""))))</f>
        <v>スコープアウト</v>
      </c>
      <c r="Z233" s="345" t="str">
        <f>VLOOKUP($B233,Sheet1!$C$2:$L$315,9,)</f>
        <v>会計システム標準機能</v>
      </c>
      <c r="AA233" s="340" t="str">
        <f>VLOOKUP($B233,Sheet1!$C$2:$L$315,10,)</f>
        <v>残高一覧は仕入先残高リストにて対応可能</v>
      </c>
      <c r="AB233" s="347" t="s">
        <v>3203</v>
      </c>
      <c r="AC233" s="347" t="b">
        <f>テーブル1[[#This Row],[要求事項一覧
判定]]=テーブル1[[#This Row],[列2]]</f>
        <v>0</v>
      </c>
    </row>
    <row r="234" spans="1:29" ht="43.5">
      <c r="A234" s="1" t="str">
        <f>テーブル1[[#This Row],[対象部門]]&amp;テーブル1[[#This Row],[業務要件回答表からの事前回答案_v1.0.xlsxより]]</f>
        <v>財務管理8.9</v>
      </c>
      <c r="B234" s="1" t="s">
        <v>3147</v>
      </c>
      <c r="D234" s="10" t="s">
        <v>1061</v>
      </c>
      <c r="E234" s="26" t="s">
        <v>1062</v>
      </c>
      <c r="F234" s="21" t="s">
        <v>1063</v>
      </c>
      <c r="G234" s="68">
        <v>8.9</v>
      </c>
      <c r="H234" s="44" t="s">
        <v>32</v>
      </c>
      <c r="I234" s="15"/>
      <c r="J234" s="68" t="s">
        <v>818</v>
      </c>
      <c r="K234" s="68" t="s">
        <v>806</v>
      </c>
      <c r="L234" s="26"/>
      <c r="M234" s="26"/>
      <c r="N234" s="44"/>
      <c r="O234" s="44" t="s">
        <v>35</v>
      </c>
      <c r="P234" s="44"/>
      <c r="Q234" s="68" t="s">
        <v>1029</v>
      </c>
      <c r="R234" s="44"/>
      <c r="S234" s="26" t="s">
        <v>1064</v>
      </c>
      <c r="T234" s="44" t="s">
        <v>91</v>
      </c>
      <c r="U234" s="91"/>
      <c r="V234" s="94"/>
      <c r="W234" s="334"/>
      <c r="X234" s="41" t="str">
        <f>テーブル1[[#This Row],[開発]]&amp;テーブル1[[#This Row],[スコープ]]</f>
        <v>OUT</v>
      </c>
      <c r="Y234" s="41" t="str">
        <f>IF(テーブル1[[#This Row],[列1]]="不要IN","標準",IF(テーブル1[[#This Row],[列1]]="不要OUT","スコープアウト",IF(テーブル1[[#This Row],[列1]]="必要IN","アドオン",IF(テーブル1[[#This Row],[列1]]="OUT","スコープアウト",""))))</f>
        <v>スコープアウト</v>
      </c>
      <c r="Z234" s="345" t="str">
        <f>VLOOKUP($B234,Sheet1!$C$2:$L$315,9,)</f>
        <v>会計システム標準機能</v>
      </c>
      <c r="AA234" s="340" t="str">
        <f>VLOOKUP($B234,Sheet1!$C$2:$L$315,10,)</f>
        <v>伝票トランザクションにてフィルタしてExcel出力での対応</v>
      </c>
      <c r="AB234" s="347" t="s">
        <v>3203</v>
      </c>
      <c r="AC234" s="347" t="b">
        <f>テーブル1[[#This Row],[要求事項一覧
判定]]=テーブル1[[#This Row],[列2]]</f>
        <v>0</v>
      </c>
    </row>
    <row r="235" spans="1:29" ht="29">
      <c r="A235" s="1" t="str">
        <f>テーブル1[[#This Row],[対象部門]]&amp;テーブル1[[#This Row],[業務要件回答表からの事前回答案_v1.0.xlsxより]]</f>
        <v>財務管理9.1</v>
      </c>
      <c r="B235" s="1" t="s">
        <v>3148</v>
      </c>
      <c r="D235" s="10" t="s">
        <v>1065</v>
      </c>
      <c r="E235" s="26" t="s">
        <v>1066</v>
      </c>
      <c r="F235" s="21" t="s">
        <v>1067</v>
      </c>
      <c r="G235" s="68">
        <v>9.1</v>
      </c>
      <c r="H235" s="44" t="s">
        <v>32</v>
      </c>
      <c r="I235" s="15"/>
      <c r="J235" s="68" t="s">
        <v>818</v>
      </c>
      <c r="K235" s="68" t="s">
        <v>806</v>
      </c>
      <c r="L235" s="26"/>
      <c r="M235" s="26"/>
      <c r="N235" s="44"/>
      <c r="O235" s="44" t="s">
        <v>35</v>
      </c>
      <c r="P235" s="44"/>
      <c r="Q235" s="48" t="s">
        <v>1029</v>
      </c>
      <c r="R235" s="44" t="s">
        <v>37</v>
      </c>
      <c r="S235" s="26" t="s">
        <v>1025</v>
      </c>
      <c r="T235" s="44" t="s">
        <v>91</v>
      </c>
      <c r="U235" s="91"/>
      <c r="V235" s="94"/>
      <c r="W235" s="334"/>
      <c r="X235" s="41" t="str">
        <f>テーブル1[[#This Row],[開発]]&amp;テーブル1[[#This Row],[スコープ]]</f>
        <v>不要OUT</v>
      </c>
      <c r="Y235" s="41" t="str">
        <f>IF(テーブル1[[#This Row],[列1]]="不要IN","標準",IF(テーブル1[[#This Row],[列1]]="不要OUT","スコープアウト",IF(テーブル1[[#This Row],[列1]]="必要IN","アドオン",IF(テーブル1[[#This Row],[列1]]="OUT","スコープアウト",""))))</f>
        <v>スコープアウト</v>
      </c>
      <c r="Z235" s="345" t="str">
        <f>VLOOKUP($B235,Sheet1!$C$2:$L$315,9,)</f>
        <v>会計システム標準機能</v>
      </c>
      <c r="AA235" s="340" t="str">
        <f>VLOOKUP($B235,Sheet1!$C$2:$L$315,10,)</f>
        <v>仕訳帳にマニュアルで登録</v>
      </c>
      <c r="AB235" s="347" t="s">
        <v>3203</v>
      </c>
      <c r="AC235" s="347" t="b">
        <f>テーブル1[[#This Row],[要求事項一覧
判定]]=テーブル1[[#This Row],[列2]]</f>
        <v>0</v>
      </c>
    </row>
    <row r="236" spans="1:29" ht="43.5">
      <c r="A236" s="1" t="str">
        <f>テーブル1[[#This Row],[対象部門]]&amp;テーブル1[[#This Row],[業務要件回答表からの事前回答案_v1.0.xlsxより]]</f>
        <v>財務管理10.1</v>
      </c>
      <c r="B236" s="1" t="s">
        <v>3149</v>
      </c>
      <c r="D236" s="10" t="s">
        <v>1068</v>
      </c>
      <c r="E236" s="26" t="s">
        <v>1069</v>
      </c>
      <c r="F236" s="21" t="s">
        <v>1070</v>
      </c>
      <c r="G236" s="68">
        <v>10.1</v>
      </c>
      <c r="H236" s="44" t="s">
        <v>32</v>
      </c>
      <c r="I236" s="15"/>
      <c r="J236" s="68" t="s">
        <v>818</v>
      </c>
      <c r="K236" s="68" t="s">
        <v>806</v>
      </c>
      <c r="L236" s="26"/>
      <c r="M236" s="26"/>
      <c r="N236" s="44"/>
      <c r="O236" s="44" t="s">
        <v>35</v>
      </c>
      <c r="P236" s="44"/>
      <c r="Q236" s="48" t="s">
        <v>1071</v>
      </c>
      <c r="R236" s="44"/>
      <c r="S236" s="26" t="s">
        <v>1072</v>
      </c>
      <c r="T236" s="44" t="s">
        <v>91</v>
      </c>
      <c r="U236" s="91"/>
      <c r="V236" s="94"/>
      <c r="W236" s="334"/>
      <c r="X236" s="41" t="str">
        <f>テーブル1[[#This Row],[開発]]&amp;テーブル1[[#This Row],[スコープ]]</f>
        <v>OUT</v>
      </c>
      <c r="Y236" s="41" t="str">
        <f>IF(テーブル1[[#This Row],[列1]]="不要IN","標準",IF(テーブル1[[#This Row],[列1]]="不要OUT","スコープアウト",IF(テーブル1[[#This Row],[列1]]="必要IN","アドオン",IF(テーブル1[[#This Row],[列1]]="OUT","スコープアウト",""))))</f>
        <v>スコープアウト</v>
      </c>
      <c r="Z236" s="345" t="str">
        <f>VLOOKUP($B236,Sheet1!$C$2:$L$315,9,)</f>
        <v>会計システム標準機能</v>
      </c>
      <c r="AA236" s="340" t="str">
        <f>VLOOKUP($B236,Sheet1!$C$2:$L$315,10,)</f>
        <v>仕入先の与信残高を使用</v>
      </c>
      <c r="AB236" s="347" t="s">
        <v>3203</v>
      </c>
      <c r="AC236" s="347" t="b">
        <f>テーブル1[[#This Row],[要求事項一覧
判定]]=テーブル1[[#This Row],[列2]]</f>
        <v>0</v>
      </c>
    </row>
    <row r="237" spans="1:29" ht="29">
      <c r="A237" s="1" t="str">
        <f>テーブル1[[#This Row],[対象部門]]&amp;テーブル1[[#This Row],[業務要件回答表からの事前回答案_v1.0.xlsxより]]</f>
        <v>財務管理10.2</v>
      </c>
      <c r="B237" s="1" t="s">
        <v>3150</v>
      </c>
      <c r="D237" s="10" t="s">
        <v>1073</v>
      </c>
      <c r="E237" s="26" t="s">
        <v>1074</v>
      </c>
      <c r="F237" s="21" t="s">
        <v>1075</v>
      </c>
      <c r="G237" s="68">
        <v>10.199999999999999</v>
      </c>
      <c r="H237" s="44" t="s">
        <v>32</v>
      </c>
      <c r="I237" s="15"/>
      <c r="J237" s="68" t="s">
        <v>818</v>
      </c>
      <c r="K237" s="68" t="s">
        <v>806</v>
      </c>
      <c r="L237" s="26"/>
      <c r="M237" s="26"/>
      <c r="N237" s="44"/>
      <c r="O237" s="44" t="s">
        <v>35</v>
      </c>
      <c r="P237" s="44"/>
      <c r="Q237" s="48" t="s">
        <v>1071</v>
      </c>
      <c r="R237" s="44"/>
      <c r="S237" s="26" t="s">
        <v>1076</v>
      </c>
      <c r="T237" s="44" t="s">
        <v>91</v>
      </c>
      <c r="U237" s="91"/>
      <c r="V237" s="94"/>
      <c r="W237" s="334"/>
      <c r="X237" s="41" t="str">
        <f>テーブル1[[#This Row],[開発]]&amp;テーブル1[[#This Row],[スコープ]]</f>
        <v>OUT</v>
      </c>
      <c r="Y237" s="41" t="str">
        <f>IF(テーブル1[[#This Row],[列1]]="不要IN","標準",IF(テーブル1[[#This Row],[列1]]="不要OUT","スコープアウト",IF(テーブル1[[#This Row],[列1]]="必要IN","アドオン",IF(テーブル1[[#This Row],[列1]]="OUT","スコープアウト",""))))</f>
        <v>スコープアウト</v>
      </c>
      <c r="Z237" s="346" t="str">
        <f>VLOOKUP($B237,Sheet1!$C$2:$L$315,9,)</f>
        <v>会計システムアドオン</v>
      </c>
      <c r="AA237" s="340" t="str">
        <f>VLOOKUP($B237,Sheet1!$C$2:$L$315,10,)</f>
        <v>10.1の範囲で対応</v>
      </c>
      <c r="AB237" s="347" t="s">
        <v>3205</v>
      </c>
      <c r="AC237" s="347" t="b">
        <f>テーブル1[[#This Row],[要求事項一覧
判定]]=テーブル1[[#This Row],[列2]]</f>
        <v>0</v>
      </c>
    </row>
    <row r="238" spans="1:29" ht="29">
      <c r="A238" s="1" t="str">
        <f>テーブル1[[#This Row],[対象部門]]&amp;テーブル1[[#This Row],[業務要件回答表からの事前回答案_v1.0.xlsxより]]</f>
        <v>財務管理10.3</v>
      </c>
      <c r="B238" s="1" t="s">
        <v>3151</v>
      </c>
      <c r="D238" s="10" t="s">
        <v>1077</v>
      </c>
      <c r="E238" s="26" t="s">
        <v>1078</v>
      </c>
      <c r="F238" s="21" t="s">
        <v>1079</v>
      </c>
      <c r="G238" s="68">
        <v>10.3</v>
      </c>
      <c r="H238" s="44" t="s">
        <v>32</v>
      </c>
      <c r="I238" s="15"/>
      <c r="J238" s="68" t="s">
        <v>818</v>
      </c>
      <c r="K238" s="68" t="s">
        <v>806</v>
      </c>
      <c r="L238" s="26"/>
      <c r="M238" s="26"/>
      <c r="N238" s="44"/>
      <c r="O238" s="44" t="s">
        <v>35</v>
      </c>
      <c r="P238" s="44"/>
      <c r="Q238" s="48" t="s">
        <v>1071</v>
      </c>
      <c r="R238" s="44"/>
      <c r="S238" s="26" t="s">
        <v>1080</v>
      </c>
      <c r="T238" s="44" t="s">
        <v>91</v>
      </c>
      <c r="U238" s="91"/>
      <c r="V238" s="94"/>
      <c r="W238" s="334"/>
      <c r="X238" s="41" t="str">
        <f>テーブル1[[#This Row],[開発]]&amp;テーブル1[[#This Row],[スコープ]]</f>
        <v>OUT</v>
      </c>
      <c r="Y238" s="41" t="str">
        <f>IF(テーブル1[[#This Row],[列1]]="不要IN","標準",IF(テーブル1[[#This Row],[列1]]="不要OUT","スコープアウト",IF(テーブル1[[#This Row],[列1]]="必要IN","アドオン",IF(テーブル1[[#This Row],[列1]]="OUT","スコープアウト",""))))</f>
        <v>スコープアウト</v>
      </c>
      <c r="Z238" s="346" t="str">
        <f>VLOOKUP($B238,Sheet1!$C$2:$L$315,9,)</f>
        <v>会計システムアドオン</v>
      </c>
      <c r="AA238" s="340" t="str">
        <f>VLOOKUP($B238,Sheet1!$C$2:$L$315,10,)</f>
        <v>4.5の範囲で対応</v>
      </c>
      <c r="AB238" s="347" t="s">
        <v>3205</v>
      </c>
      <c r="AC238" s="347" t="b">
        <f>テーブル1[[#This Row],[要求事項一覧
判定]]=テーブル1[[#This Row],[列2]]</f>
        <v>0</v>
      </c>
    </row>
    <row r="239" spans="1:29" ht="101.5">
      <c r="A239" s="1" t="str">
        <f>テーブル1[[#This Row],[対象部門]]&amp;テーブル1[[#This Row],[業務要件回答表からの事前回答案_v1.0.xlsxより]]</f>
        <v>財務管理10.4</v>
      </c>
      <c r="B239" s="1" t="s">
        <v>3152</v>
      </c>
      <c r="D239" s="10" t="s">
        <v>1081</v>
      </c>
      <c r="E239" s="26" t="s">
        <v>1082</v>
      </c>
      <c r="F239" s="21" t="s">
        <v>1083</v>
      </c>
      <c r="G239" s="68">
        <v>10.4</v>
      </c>
      <c r="H239" s="44" t="s">
        <v>32</v>
      </c>
      <c r="I239" s="15"/>
      <c r="J239" s="68" t="s">
        <v>818</v>
      </c>
      <c r="K239" s="68" t="s">
        <v>806</v>
      </c>
      <c r="L239" s="26" t="s">
        <v>1084</v>
      </c>
      <c r="M239" s="26" t="s">
        <v>1085</v>
      </c>
      <c r="N239" s="44"/>
      <c r="O239" s="44" t="s">
        <v>35</v>
      </c>
      <c r="P239" s="44"/>
      <c r="Q239" s="48" t="s">
        <v>1071</v>
      </c>
      <c r="R239" s="70" t="s">
        <v>37</v>
      </c>
      <c r="S239" s="26"/>
      <c r="T239" s="44" t="s">
        <v>91</v>
      </c>
      <c r="U239" s="91"/>
      <c r="V239" s="94"/>
      <c r="W239" s="334"/>
      <c r="X239" s="41" t="str">
        <f>テーブル1[[#This Row],[開発]]&amp;テーブル1[[#This Row],[スコープ]]</f>
        <v>不要OUT</v>
      </c>
      <c r="Y239" s="41" t="str">
        <f>IF(テーブル1[[#This Row],[列1]]="不要IN","標準",IF(テーブル1[[#This Row],[列1]]="不要OUT","スコープアウト",IF(テーブル1[[#This Row],[列1]]="必要IN","アドオン",IF(テーブル1[[#This Row],[列1]]="OUT","スコープアウト",""))))</f>
        <v>スコープアウト</v>
      </c>
      <c r="Z239" s="346" t="str">
        <f>VLOOKUP($B239,Sheet1!$C$2:$L$315,9,)</f>
        <v>会計システムアドオン</v>
      </c>
      <c r="AA239" s="340" t="str">
        <f>VLOOKUP($B239,Sheet1!$C$2:$L$315,10,)</f>
        <v>10.1 にて登録された情報をもとに、各種仕訳帳に起票する処理を追加する(転記まではしない(転記は手動))</v>
      </c>
      <c r="AB239" s="347" t="s">
        <v>3205</v>
      </c>
      <c r="AC239" s="347" t="b">
        <f>テーブル1[[#This Row],[要求事項一覧
判定]]=テーブル1[[#This Row],[列2]]</f>
        <v>0</v>
      </c>
    </row>
    <row r="240" spans="1:29" ht="58">
      <c r="A240" s="1" t="str">
        <f>テーブル1[[#This Row],[対象部門]]&amp;テーブル1[[#This Row],[業務要件回答表からの事前回答案_v1.0.xlsxより]]</f>
        <v>財務管理11.1</v>
      </c>
      <c r="B240" s="1" t="s">
        <v>3153</v>
      </c>
      <c r="D240" s="10" t="s">
        <v>1086</v>
      </c>
      <c r="E240" s="26" t="s">
        <v>1087</v>
      </c>
      <c r="F240" s="21" t="s">
        <v>1088</v>
      </c>
      <c r="G240" s="68">
        <v>11.1</v>
      </c>
      <c r="H240" s="44" t="s">
        <v>32</v>
      </c>
      <c r="I240" s="15"/>
      <c r="J240" s="68" t="s">
        <v>818</v>
      </c>
      <c r="K240" s="68" t="s">
        <v>806</v>
      </c>
      <c r="L240" s="26"/>
      <c r="M240" s="26"/>
      <c r="N240" s="44"/>
      <c r="O240" s="44" t="s">
        <v>35</v>
      </c>
      <c r="P240" s="44"/>
      <c r="Q240" s="48" t="s">
        <v>1071</v>
      </c>
      <c r="R240" s="44"/>
      <c r="S240" s="26" t="s">
        <v>1089</v>
      </c>
      <c r="T240" s="44" t="s">
        <v>91</v>
      </c>
      <c r="U240" s="91"/>
      <c r="V240" s="94"/>
      <c r="W240" s="334"/>
      <c r="X240" s="41" t="str">
        <f>テーブル1[[#This Row],[開発]]&amp;テーブル1[[#This Row],[スコープ]]</f>
        <v>OUT</v>
      </c>
      <c r="Y240" s="41" t="str">
        <f>IF(テーブル1[[#This Row],[列1]]="不要IN","標準",IF(テーブル1[[#This Row],[列1]]="不要OUT","スコープアウト",IF(テーブル1[[#This Row],[列1]]="必要IN","アドオン",IF(テーブル1[[#This Row],[列1]]="OUT","スコープアウト",""))))</f>
        <v>スコープアウト</v>
      </c>
      <c r="Z240" s="347" t="str">
        <f>VLOOKUP($B240,Sheet1!$C$2:$L$315,9,)</f>
        <v>外付けツール・システム</v>
      </c>
      <c r="AA240" s="340" t="str">
        <f>VLOOKUP($B240,Sheet1!$C$2:$L$315,10,)</f>
        <v>Power Automateにて対応
(スケジュール済フロー)
FO内の情報を吸い出す必要がある場合など、要件次第でCへ。</v>
      </c>
      <c r="AB240" s="347"/>
      <c r="AC240" s="347" t="b">
        <f>テーブル1[[#This Row],[要求事項一覧
判定]]=テーブル1[[#This Row],[列2]]</f>
        <v>0</v>
      </c>
    </row>
    <row r="241" spans="1:29" ht="58">
      <c r="A241" s="1" t="str">
        <f>テーブル1[[#This Row],[対象部門]]&amp;テーブル1[[#This Row],[業務要件回答表からの事前回答案_v1.0.xlsxより]]</f>
        <v>財務管理11.2</v>
      </c>
      <c r="B241" s="1" t="s">
        <v>3154</v>
      </c>
      <c r="D241" s="10" t="s">
        <v>1090</v>
      </c>
      <c r="E241" s="26" t="s">
        <v>1091</v>
      </c>
      <c r="F241" s="21" t="s">
        <v>1092</v>
      </c>
      <c r="G241" s="68">
        <v>11.2</v>
      </c>
      <c r="H241" s="44" t="s">
        <v>32</v>
      </c>
      <c r="I241" s="15"/>
      <c r="J241" s="68" t="s">
        <v>818</v>
      </c>
      <c r="K241" s="68" t="s">
        <v>806</v>
      </c>
      <c r="L241" s="26"/>
      <c r="M241" s="26"/>
      <c r="N241" s="44"/>
      <c r="O241" s="44" t="s">
        <v>35</v>
      </c>
      <c r="P241" s="44"/>
      <c r="Q241" s="48" t="s">
        <v>1071</v>
      </c>
      <c r="R241" s="44"/>
      <c r="S241" s="26" t="s">
        <v>1093</v>
      </c>
      <c r="T241" s="44" t="s">
        <v>91</v>
      </c>
      <c r="U241" s="93" t="s">
        <v>977</v>
      </c>
      <c r="V241" s="94"/>
      <c r="W241" s="334"/>
      <c r="X241" s="41" t="str">
        <f>テーブル1[[#This Row],[開発]]&amp;テーブル1[[#This Row],[スコープ]]</f>
        <v>OUT</v>
      </c>
      <c r="Y241" s="41" t="str">
        <f>IF(テーブル1[[#This Row],[列1]]="不要IN","標準",IF(テーブル1[[#This Row],[列1]]="不要OUT","スコープアウト",IF(テーブル1[[#This Row],[列1]]="必要IN","アドオン",IF(テーブル1[[#This Row],[列1]]="OUT","スコープアウト",""))))</f>
        <v>スコープアウト</v>
      </c>
      <c r="Z241" s="345" t="str">
        <f>VLOOKUP($B241,Sheet1!$C$2:$L$315,9,)</f>
        <v>会計システム標準機能</v>
      </c>
      <c r="AA241" s="340" t="str">
        <f>VLOOKUP($B241,Sheet1!$C$2:$L$315,10,)</f>
        <v>仕訳帳にExcelアドインで取り込み</v>
      </c>
      <c r="AB241" s="347" t="s">
        <v>3203</v>
      </c>
      <c r="AC241" s="347" t="b">
        <f>テーブル1[[#This Row],[要求事項一覧
判定]]=テーブル1[[#This Row],[列2]]</f>
        <v>0</v>
      </c>
    </row>
    <row r="242" spans="1:29" ht="135.75" customHeight="1">
      <c r="A242" s="1" t="str">
        <f>テーブル1[[#This Row],[対象部門]]&amp;テーブル1[[#This Row],[業務要件回答表からの事前回答案_v1.0.xlsxより]]</f>
        <v>財務管理11.3</v>
      </c>
      <c r="B242" s="1" t="s">
        <v>3155</v>
      </c>
      <c r="D242" s="10" t="s">
        <v>1094</v>
      </c>
      <c r="E242" s="26" t="s">
        <v>1095</v>
      </c>
      <c r="F242" s="21" t="s">
        <v>1096</v>
      </c>
      <c r="G242" s="68">
        <v>11.3</v>
      </c>
      <c r="H242" s="44" t="s">
        <v>32</v>
      </c>
      <c r="I242" s="15"/>
      <c r="J242" s="68" t="s">
        <v>818</v>
      </c>
      <c r="K242" s="68" t="s">
        <v>806</v>
      </c>
      <c r="L242" s="26" t="s">
        <v>1097</v>
      </c>
      <c r="M242" s="52" t="s">
        <v>1098</v>
      </c>
      <c r="N242" s="44"/>
      <c r="O242" s="44" t="s">
        <v>35</v>
      </c>
      <c r="P242" s="44"/>
      <c r="Q242" s="48" t="s">
        <v>1071</v>
      </c>
      <c r="R242" s="44"/>
      <c r="S242" s="26" t="s">
        <v>1099</v>
      </c>
      <c r="T242" s="44" t="s">
        <v>91</v>
      </c>
      <c r="U242" s="93" t="s">
        <v>977</v>
      </c>
      <c r="V242" s="94"/>
      <c r="W242" s="334"/>
      <c r="X242" s="41" t="str">
        <f>テーブル1[[#This Row],[開発]]&amp;テーブル1[[#This Row],[スコープ]]</f>
        <v>OUT</v>
      </c>
      <c r="Y242" s="41" t="str">
        <f>IF(テーブル1[[#This Row],[列1]]="不要IN","標準",IF(テーブル1[[#This Row],[列1]]="不要OUT","スコープアウト",IF(テーブル1[[#This Row],[列1]]="必要IN","アドオン",IF(テーブル1[[#This Row],[列1]]="OUT","スコープアウト",""))))</f>
        <v>スコープアウト</v>
      </c>
      <c r="Z242" s="345" t="str">
        <f>VLOOKUP($B242,Sheet1!$C$2:$L$315,9,)</f>
        <v>会計システム標準機能</v>
      </c>
      <c r="AA242" s="340" t="str">
        <f>VLOOKUP($B242,Sheet1!$C$2:$L$315,10,)</f>
        <v>仕入先残高リストにて対応</v>
      </c>
      <c r="AB242" s="347" t="s">
        <v>3203</v>
      </c>
      <c r="AC242" s="347" t="b">
        <f>テーブル1[[#This Row],[要求事項一覧
判定]]=テーブル1[[#This Row],[列2]]</f>
        <v>0</v>
      </c>
    </row>
    <row r="243" spans="1:29" ht="59.25" customHeight="1">
      <c r="A243" s="1" t="str">
        <f>テーブル1[[#This Row],[対象部門]]&amp;テーブル1[[#This Row],[業務要件回答表からの事前回答案_v1.0.xlsxより]]</f>
        <v>財務管理11.4</v>
      </c>
      <c r="B243" s="1" t="s">
        <v>3156</v>
      </c>
      <c r="D243" s="10" t="s">
        <v>1100</v>
      </c>
      <c r="E243" s="26" t="s">
        <v>1101</v>
      </c>
      <c r="F243" s="21" t="s">
        <v>1102</v>
      </c>
      <c r="G243" s="68">
        <v>11.4</v>
      </c>
      <c r="H243" s="44" t="s">
        <v>32</v>
      </c>
      <c r="I243" s="15"/>
      <c r="J243" s="68" t="s">
        <v>818</v>
      </c>
      <c r="K243" s="68" t="s">
        <v>806</v>
      </c>
      <c r="L243" s="26"/>
      <c r="M243" s="26"/>
      <c r="N243" s="44"/>
      <c r="O243" s="44" t="s">
        <v>35</v>
      </c>
      <c r="P243" s="44"/>
      <c r="Q243" s="48" t="s">
        <v>1071</v>
      </c>
      <c r="R243" s="44"/>
      <c r="S243" s="26" t="s">
        <v>1103</v>
      </c>
      <c r="T243" s="44" t="s">
        <v>91</v>
      </c>
      <c r="U243" s="93" t="s">
        <v>977</v>
      </c>
      <c r="V243" s="94"/>
      <c r="W243" s="334"/>
      <c r="X243" s="41" t="str">
        <f>テーブル1[[#This Row],[開発]]&amp;テーブル1[[#This Row],[スコープ]]</f>
        <v>OUT</v>
      </c>
      <c r="Y243" s="41" t="str">
        <f>IF(テーブル1[[#This Row],[列1]]="不要IN","標準",IF(テーブル1[[#This Row],[列1]]="不要OUT","スコープアウト",IF(テーブル1[[#This Row],[列1]]="必要IN","アドオン",IF(テーブル1[[#This Row],[列1]]="OUT","スコープアウト",""))))</f>
        <v>スコープアウト</v>
      </c>
      <c r="Z243" s="345" t="str">
        <f>VLOOKUP($B243,Sheet1!$C$2:$L$315,9,)</f>
        <v>会計システム標準機能</v>
      </c>
      <c r="AA243" s="340" t="str">
        <f>VLOOKUP($B243,Sheet1!$C$2:$L$315,10,)</f>
        <v>仕入先トランザクションにてフィルタしてExcel出力での対応</v>
      </c>
      <c r="AB243" s="347" t="s">
        <v>3203</v>
      </c>
      <c r="AC243" s="347" t="b">
        <f>テーブル1[[#This Row],[要求事項一覧
判定]]=テーブル1[[#This Row],[列2]]</f>
        <v>0</v>
      </c>
    </row>
    <row r="244" spans="1:29" ht="58">
      <c r="A244" s="1" t="str">
        <f>テーブル1[[#This Row],[対象部門]]&amp;テーブル1[[#This Row],[業務要件回答表からの事前回答案_v1.0.xlsxより]]</f>
        <v>財務管理11.5</v>
      </c>
      <c r="B244" s="1" t="s">
        <v>3157</v>
      </c>
      <c r="D244" s="10" t="s">
        <v>1104</v>
      </c>
      <c r="E244" s="26" t="s">
        <v>1105</v>
      </c>
      <c r="F244" s="21" t="s">
        <v>1106</v>
      </c>
      <c r="G244" s="68">
        <v>11.5</v>
      </c>
      <c r="H244" s="44" t="s">
        <v>32</v>
      </c>
      <c r="I244" s="15"/>
      <c r="J244" s="68" t="s">
        <v>818</v>
      </c>
      <c r="K244" s="68" t="s">
        <v>806</v>
      </c>
      <c r="L244" s="26"/>
      <c r="M244" s="26"/>
      <c r="N244" s="44"/>
      <c r="O244" s="44" t="s">
        <v>35</v>
      </c>
      <c r="P244" s="44"/>
      <c r="Q244" s="48" t="s">
        <v>1071</v>
      </c>
      <c r="R244" s="44"/>
      <c r="S244" s="26" t="s">
        <v>1107</v>
      </c>
      <c r="T244" s="44" t="s">
        <v>91</v>
      </c>
      <c r="U244" s="93" t="s">
        <v>977</v>
      </c>
      <c r="V244" s="94"/>
      <c r="W244" s="334"/>
      <c r="X244" s="41" t="str">
        <f>テーブル1[[#This Row],[開発]]&amp;テーブル1[[#This Row],[スコープ]]</f>
        <v>OUT</v>
      </c>
      <c r="Y244" s="41" t="str">
        <f>IF(テーブル1[[#This Row],[列1]]="不要IN","標準",IF(テーブル1[[#This Row],[列1]]="不要OUT","スコープアウト",IF(テーブル1[[#This Row],[列1]]="必要IN","アドオン",IF(テーブル1[[#This Row],[列1]]="OUT","スコープアウト",""))))</f>
        <v>スコープアウト</v>
      </c>
      <c r="Z244" s="345" t="str">
        <f>VLOOKUP($B244,Sheet1!$C$2:$L$315,9,)</f>
        <v>会計システム標準機能</v>
      </c>
      <c r="AA244" s="340" t="str">
        <f>VLOOKUP($B244,Sheet1!$C$2:$L$315,10,)</f>
        <v>仕訳帳にExcelアドインで取り込み</v>
      </c>
      <c r="AB244" s="347" t="s">
        <v>3203</v>
      </c>
      <c r="AC244" s="347" t="b">
        <f>テーブル1[[#This Row],[要求事項一覧
判定]]=テーブル1[[#This Row],[列2]]</f>
        <v>0</v>
      </c>
    </row>
    <row r="245" spans="1:29" ht="134.25" customHeight="1">
      <c r="A245" s="1" t="str">
        <f>テーブル1[[#This Row],[対象部門]]&amp;テーブル1[[#This Row],[業務要件回答表からの事前回答案_v1.0.xlsxより]]</f>
        <v>財務管理11.6</v>
      </c>
      <c r="B245" s="1" t="s">
        <v>3158</v>
      </c>
      <c r="D245" s="10" t="s">
        <v>1108</v>
      </c>
      <c r="E245" s="26" t="s">
        <v>1109</v>
      </c>
      <c r="F245" s="21" t="s">
        <v>1110</v>
      </c>
      <c r="G245" s="68">
        <v>11.6</v>
      </c>
      <c r="H245" s="44" t="s">
        <v>32</v>
      </c>
      <c r="I245" s="15"/>
      <c r="J245" s="68" t="s">
        <v>818</v>
      </c>
      <c r="K245" s="68" t="s">
        <v>806</v>
      </c>
      <c r="L245" s="26" t="s">
        <v>1111</v>
      </c>
      <c r="M245" s="26" t="s">
        <v>1112</v>
      </c>
      <c r="N245" s="44"/>
      <c r="O245" s="44" t="s">
        <v>35</v>
      </c>
      <c r="P245" s="44"/>
      <c r="Q245" s="48" t="s">
        <v>1071</v>
      </c>
      <c r="R245" s="44"/>
      <c r="S245" s="26" t="s">
        <v>1099</v>
      </c>
      <c r="T245" s="44" t="s">
        <v>91</v>
      </c>
      <c r="U245" s="93" t="s">
        <v>977</v>
      </c>
      <c r="V245" s="94"/>
      <c r="W245" s="334"/>
      <c r="X245" s="41" t="str">
        <f>テーブル1[[#This Row],[開発]]&amp;テーブル1[[#This Row],[スコープ]]</f>
        <v>OUT</v>
      </c>
      <c r="Y245" s="41" t="str">
        <f>IF(テーブル1[[#This Row],[列1]]="不要IN","標準",IF(テーブル1[[#This Row],[列1]]="不要OUT","スコープアウト",IF(テーブル1[[#This Row],[列1]]="必要IN","アドオン",IF(テーブル1[[#This Row],[列1]]="OUT","スコープアウト",""))))</f>
        <v>スコープアウト</v>
      </c>
      <c r="Z245" s="345" t="str">
        <f>VLOOKUP($B245,Sheet1!$C$2:$L$315,9,)</f>
        <v>会計システム標準機能</v>
      </c>
      <c r="AA245" s="340" t="str">
        <f>VLOOKUP($B245,Sheet1!$C$2:$L$315,10,)</f>
        <v>銀行トランザクションにてフィルタしてExcel出力での対応</v>
      </c>
      <c r="AB245" s="347" t="s">
        <v>3203</v>
      </c>
      <c r="AC245" s="347" t="b">
        <f>テーブル1[[#This Row],[要求事項一覧
判定]]=テーブル1[[#This Row],[列2]]</f>
        <v>0</v>
      </c>
    </row>
    <row r="246" spans="1:29" ht="58">
      <c r="A246" s="1" t="str">
        <f>テーブル1[[#This Row],[対象部門]]&amp;テーブル1[[#This Row],[業務要件回答表からの事前回答案_v1.0.xlsxより]]</f>
        <v>財務管理11.7</v>
      </c>
      <c r="B246" s="1" t="s">
        <v>3159</v>
      </c>
      <c r="D246" s="10" t="s">
        <v>1113</v>
      </c>
      <c r="E246" s="26" t="s">
        <v>1114</v>
      </c>
      <c r="F246" s="21" t="s">
        <v>1115</v>
      </c>
      <c r="G246" s="68">
        <v>11.7</v>
      </c>
      <c r="H246" s="44" t="s">
        <v>32</v>
      </c>
      <c r="I246" s="15"/>
      <c r="J246" s="68" t="s">
        <v>818</v>
      </c>
      <c r="K246" s="68" t="s">
        <v>806</v>
      </c>
      <c r="L246" s="26"/>
      <c r="M246" s="26"/>
      <c r="N246" s="44"/>
      <c r="O246" s="44" t="s">
        <v>35</v>
      </c>
      <c r="P246" s="44"/>
      <c r="Q246" s="48" t="s">
        <v>1071</v>
      </c>
      <c r="R246" s="44"/>
      <c r="S246" s="26" t="s">
        <v>1116</v>
      </c>
      <c r="T246" s="44" t="s">
        <v>91</v>
      </c>
      <c r="U246" s="93" t="s">
        <v>977</v>
      </c>
      <c r="V246" s="94"/>
      <c r="W246" s="334"/>
      <c r="X246" s="41" t="str">
        <f>テーブル1[[#This Row],[開発]]&amp;テーブル1[[#This Row],[スコープ]]</f>
        <v>OUT</v>
      </c>
      <c r="Y246" s="41" t="str">
        <f>IF(テーブル1[[#This Row],[列1]]="不要IN","標準",IF(テーブル1[[#This Row],[列1]]="不要OUT","スコープアウト",IF(テーブル1[[#This Row],[列1]]="必要IN","アドオン",IF(テーブル1[[#This Row],[列1]]="OUT","スコープアウト",""))))</f>
        <v>スコープアウト</v>
      </c>
      <c r="Z246" s="345" t="str">
        <f>VLOOKUP($B246,Sheet1!$C$2:$L$315,9,)</f>
        <v>会計システム標準機能</v>
      </c>
      <c r="AA246" s="340" t="str">
        <f>VLOOKUP($B246,Sheet1!$C$2:$L$315,10,)</f>
        <v>銀行トランザクションにてフィルタしてExcel出力での対応</v>
      </c>
      <c r="AB246" s="347" t="s">
        <v>3203</v>
      </c>
      <c r="AC246" s="347" t="b">
        <f>テーブル1[[#This Row],[要求事項一覧
判定]]=テーブル1[[#This Row],[列2]]</f>
        <v>0</v>
      </c>
    </row>
    <row r="247" spans="1:29" ht="43.5">
      <c r="A247" s="1" t="str">
        <f>テーブル1[[#This Row],[対象部門]]&amp;テーブル1[[#This Row],[業務要件回答表からの事前回答案_v1.0.xlsxより]]</f>
        <v>財務管理11.8</v>
      </c>
      <c r="B247" s="1" t="s">
        <v>3160</v>
      </c>
      <c r="D247" s="10" t="s">
        <v>1117</v>
      </c>
      <c r="E247" s="26" t="s">
        <v>1118</v>
      </c>
      <c r="F247" s="21" t="s">
        <v>1119</v>
      </c>
      <c r="G247" s="68">
        <v>11.8</v>
      </c>
      <c r="H247" s="44" t="s">
        <v>32</v>
      </c>
      <c r="I247" s="15"/>
      <c r="J247" s="68" t="s">
        <v>818</v>
      </c>
      <c r="K247" s="68" t="s">
        <v>806</v>
      </c>
      <c r="L247" s="26"/>
      <c r="M247" s="26"/>
      <c r="N247" s="44"/>
      <c r="O247" s="44" t="s">
        <v>35</v>
      </c>
      <c r="P247" s="44"/>
      <c r="Q247" s="48" t="s">
        <v>1071</v>
      </c>
      <c r="R247" s="44"/>
      <c r="S247" s="26" t="s">
        <v>1120</v>
      </c>
      <c r="T247" s="44" t="s">
        <v>91</v>
      </c>
      <c r="U247" s="91"/>
      <c r="V247" s="94"/>
      <c r="W247" s="334"/>
      <c r="X247" s="41" t="str">
        <f>テーブル1[[#This Row],[開発]]&amp;テーブル1[[#This Row],[スコープ]]</f>
        <v>OUT</v>
      </c>
      <c r="Y247" s="41" t="str">
        <f>IF(テーブル1[[#This Row],[列1]]="不要IN","標準",IF(テーブル1[[#This Row],[列1]]="不要OUT","スコープアウト",IF(テーブル1[[#This Row],[列1]]="必要IN","アドオン",IF(テーブル1[[#This Row],[列1]]="OUT","スコープアウト",""))))</f>
        <v>スコープアウト</v>
      </c>
      <c r="Z247" s="346" t="str">
        <f>VLOOKUP($B247,Sheet1!$C$2:$L$315,9,)</f>
        <v>会計システムアドオン</v>
      </c>
      <c r="AA247" s="340" t="str">
        <f>VLOOKUP($B247,Sheet1!$C$2:$L$315,10,)</f>
        <v>4.11 の範囲で対応</v>
      </c>
      <c r="AB247" s="347" t="s">
        <v>3205</v>
      </c>
      <c r="AC247" s="347" t="b">
        <f>テーブル1[[#This Row],[要求事項一覧
判定]]=テーブル1[[#This Row],[列2]]</f>
        <v>0</v>
      </c>
    </row>
    <row r="248" spans="1:29" ht="43.5">
      <c r="A248" s="1" t="str">
        <f>テーブル1[[#This Row],[対象部門]]&amp;テーブル1[[#This Row],[業務要件回答表からの事前回答案_v1.0.xlsxより]]</f>
        <v>財務管理11.9</v>
      </c>
      <c r="B248" s="1" t="s">
        <v>3161</v>
      </c>
      <c r="D248" s="10" t="s">
        <v>1121</v>
      </c>
      <c r="E248" s="26" t="s">
        <v>1122</v>
      </c>
      <c r="F248" s="21" t="s">
        <v>1123</v>
      </c>
      <c r="G248" s="68">
        <v>11.9</v>
      </c>
      <c r="H248" s="44" t="s">
        <v>32</v>
      </c>
      <c r="I248" s="15"/>
      <c r="J248" s="68" t="s">
        <v>818</v>
      </c>
      <c r="K248" s="68" t="s">
        <v>806</v>
      </c>
      <c r="L248" s="26"/>
      <c r="M248" s="26"/>
      <c r="N248" s="44"/>
      <c r="O248" s="44" t="s">
        <v>35</v>
      </c>
      <c r="P248" s="44"/>
      <c r="Q248" s="48" t="s">
        <v>1071</v>
      </c>
      <c r="R248" s="44"/>
      <c r="S248" s="26" t="s">
        <v>994</v>
      </c>
      <c r="T248" s="44" t="s">
        <v>91</v>
      </c>
      <c r="U248" s="91"/>
      <c r="V248" s="94"/>
      <c r="W248" s="334"/>
      <c r="X248" s="41" t="str">
        <f>テーブル1[[#This Row],[開発]]&amp;テーブル1[[#This Row],[スコープ]]</f>
        <v>OUT</v>
      </c>
      <c r="Y248" s="41" t="str">
        <f>IF(テーブル1[[#This Row],[列1]]="不要IN","標準",IF(テーブル1[[#This Row],[列1]]="不要OUT","スコープアウト",IF(テーブル1[[#This Row],[列1]]="必要IN","アドオン",IF(テーブル1[[#This Row],[列1]]="OUT","スコープアウト",""))))</f>
        <v>スコープアウト</v>
      </c>
      <c r="Z248" s="345" t="str">
        <f>VLOOKUP($B248,Sheet1!$C$2:$L$315,9,)</f>
        <v>会計システム標準機能</v>
      </c>
      <c r="AA248" s="340" t="str">
        <f>VLOOKUP($B248,Sheet1!$C$2:$L$315,10,)</f>
        <v>銀行トランザクションにてフィルタしてExcel出力での対応</v>
      </c>
      <c r="AB248" s="347" t="s">
        <v>3203</v>
      </c>
      <c r="AC248" s="347" t="b">
        <f>テーブル1[[#This Row],[要求事項一覧
判定]]=テーブル1[[#This Row],[列2]]</f>
        <v>0</v>
      </c>
    </row>
    <row r="249" spans="1:29" ht="58">
      <c r="A249" s="1" t="str">
        <f>テーブル1[[#This Row],[対象部門]]&amp;テーブル1[[#This Row],[業務要件回答表からの事前回答案_v1.0.xlsxより]]</f>
        <v>財務管理11.10</v>
      </c>
      <c r="B249" s="1" t="s">
        <v>3162</v>
      </c>
      <c r="D249" s="10" t="s">
        <v>1124</v>
      </c>
      <c r="E249" s="26" t="s">
        <v>1125</v>
      </c>
      <c r="F249" s="21" t="s">
        <v>1126</v>
      </c>
      <c r="G249" s="68" t="s">
        <v>1127</v>
      </c>
      <c r="H249" s="44" t="s">
        <v>32</v>
      </c>
      <c r="I249" s="15"/>
      <c r="J249" s="68" t="s">
        <v>818</v>
      </c>
      <c r="K249" s="68" t="s">
        <v>806</v>
      </c>
      <c r="L249" s="26"/>
      <c r="M249" s="26"/>
      <c r="N249" s="44"/>
      <c r="O249" s="44" t="s">
        <v>35</v>
      </c>
      <c r="P249" s="44"/>
      <c r="Q249" s="48" t="s">
        <v>1071</v>
      </c>
      <c r="R249" s="44"/>
      <c r="S249" s="26" t="s">
        <v>1128</v>
      </c>
      <c r="T249" s="44" t="s">
        <v>91</v>
      </c>
      <c r="U249" s="93" t="s">
        <v>977</v>
      </c>
      <c r="V249" s="94"/>
      <c r="W249" s="334"/>
      <c r="X249" s="41" t="str">
        <f>テーブル1[[#This Row],[開発]]&amp;テーブル1[[#This Row],[スコープ]]</f>
        <v>OUT</v>
      </c>
      <c r="Y249" s="41" t="str">
        <f>IF(テーブル1[[#This Row],[列1]]="不要IN","標準",IF(テーブル1[[#This Row],[列1]]="不要OUT","スコープアウト",IF(テーブル1[[#This Row],[列1]]="必要IN","アドオン",IF(テーブル1[[#This Row],[列1]]="OUT","スコープアウト",""))))</f>
        <v>スコープアウト</v>
      </c>
      <c r="Z249" s="345" t="str">
        <f>VLOOKUP($B249,Sheet1!$C$2:$L$315,9,)</f>
        <v>会計システム標準機能</v>
      </c>
      <c r="AA249" s="340" t="str">
        <f>VLOOKUP($B249,Sheet1!$C$2:$L$315,10,)</f>
        <v>11.1 ~ 11.9 の作業を前月と当月分それぞれで行い、結果をExcelエクスポートし比較</v>
      </c>
      <c r="AB249" s="347" t="s">
        <v>3203</v>
      </c>
      <c r="AC249" s="347" t="b">
        <f>テーブル1[[#This Row],[要求事項一覧
判定]]=テーブル1[[#This Row],[列2]]</f>
        <v>0</v>
      </c>
    </row>
    <row r="250" spans="1:29" ht="29">
      <c r="A250" s="1" t="str">
        <f>テーブル1[[#This Row],[対象部門]]&amp;テーブル1[[#This Row],[業務要件回答表からの事前回答案_v1.0.xlsxより]]</f>
        <v>財務管理12.1</v>
      </c>
      <c r="B250" s="1" t="s">
        <v>3163</v>
      </c>
      <c r="D250" s="10" t="s">
        <v>1129</v>
      </c>
      <c r="E250" s="26" t="s">
        <v>1130</v>
      </c>
      <c r="F250" s="21" t="s">
        <v>1131</v>
      </c>
      <c r="G250" s="68">
        <v>12.1</v>
      </c>
      <c r="H250" s="44" t="s">
        <v>32</v>
      </c>
      <c r="I250" s="15"/>
      <c r="J250" s="68" t="s">
        <v>818</v>
      </c>
      <c r="K250" s="68" t="s">
        <v>806</v>
      </c>
      <c r="L250" s="26"/>
      <c r="M250" s="26"/>
      <c r="N250" s="44"/>
      <c r="O250" s="44" t="s">
        <v>35</v>
      </c>
      <c r="P250" s="44"/>
      <c r="Q250" s="48" t="s">
        <v>1071</v>
      </c>
      <c r="R250" s="44"/>
      <c r="S250" s="26" t="s">
        <v>1132</v>
      </c>
      <c r="T250" s="44" t="s">
        <v>91</v>
      </c>
      <c r="U250" s="91"/>
      <c r="V250" s="94"/>
      <c r="W250" s="334"/>
      <c r="X250" s="41" t="str">
        <f>テーブル1[[#This Row],[開発]]&amp;テーブル1[[#This Row],[スコープ]]</f>
        <v>OUT</v>
      </c>
      <c r="Y250" s="41" t="str">
        <f>IF(テーブル1[[#This Row],[列1]]="不要IN","標準",IF(テーブル1[[#This Row],[列1]]="不要OUT","スコープアウト",IF(テーブル1[[#This Row],[列1]]="必要IN","アドオン",IF(テーブル1[[#This Row],[列1]]="OUT","スコープアウト",""))))</f>
        <v>スコープアウト</v>
      </c>
      <c r="Z250" s="345" t="str">
        <f>VLOOKUP($B250,Sheet1!$C$2:$L$315,9,)</f>
        <v>会計システム標準機能</v>
      </c>
      <c r="AA250" s="340" t="str">
        <f>VLOOKUP($B250,Sheet1!$C$2:$L$315,10,)</f>
        <v>仕訳帳にExcelアドインで取り込み</v>
      </c>
      <c r="AB250" s="347" t="s">
        <v>3203</v>
      </c>
      <c r="AC250" s="347" t="b">
        <f>テーブル1[[#This Row],[要求事項一覧
判定]]=テーブル1[[#This Row],[列2]]</f>
        <v>0</v>
      </c>
    </row>
    <row r="251" spans="1:29" ht="43.5">
      <c r="A251" s="1" t="str">
        <f>テーブル1[[#This Row],[対象部門]]&amp;テーブル1[[#This Row],[業務要件回答表からの事前回答案_v1.0.xlsxより]]</f>
        <v>財務管理12.2</v>
      </c>
      <c r="B251" s="1" t="s">
        <v>3164</v>
      </c>
      <c r="D251" s="10" t="s">
        <v>1133</v>
      </c>
      <c r="E251" s="26" t="s">
        <v>1134</v>
      </c>
      <c r="F251" s="21" t="s">
        <v>1135</v>
      </c>
      <c r="G251" s="68">
        <v>12.2</v>
      </c>
      <c r="H251" s="44" t="s">
        <v>32</v>
      </c>
      <c r="I251" s="15"/>
      <c r="J251" s="68" t="s">
        <v>818</v>
      </c>
      <c r="K251" s="68" t="s">
        <v>806</v>
      </c>
      <c r="L251" s="26"/>
      <c r="M251" s="26"/>
      <c r="N251" s="44"/>
      <c r="O251" s="44" t="s">
        <v>35</v>
      </c>
      <c r="P251" s="44"/>
      <c r="Q251" s="48" t="s">
        <v>1071</v>
      </c>
      <c r="R251" s="44"/>
      <c r="S251" s="26" t="s">
        <v>994</v>
      </c>
      <c r="T251" s="44" t="s">
        <v>91</v>
      </c>
      <c r="U251" s="91"/>
      <c r="V251" s="94"/>
      <c r="W251" s="334"/>
      <c r="X251" s="41" t="str">
        <f>テーブル1[[#This Row],[開発]]&amp;テーブル1[[#This Row],[スコープ]]</f>
        <v>OUT</v>
      </c>
      <c r="Y251" s="41" t="str">
        <f>IF(テーブル1[[#This Row],[列1]]="不要IN","標準",IF(テーブル1[[#This Row],[列1]]="不要OUT","スコープアウト",IF(テーブル1[[#This Row],[列1]]="必要IN","アドオン",IF(テーブル1[[#This Row],[列1]]="OUT","スコープアウト",""))))</f>
        <v>スコープアウト</v>
      </c>
      <c r="Z251" s="345" t="str">
        <f>VLOOKUP($B251,Sheet1!$C$2:$L$315,9,)</f>
        <v>会計システム標準機能</v>
      </c>
      <c r="AA251" s="340" t="str">
        <f>VLOOKUP($B251,Sheet1!$C$2:$L$315,10,)</f>
        <v>MRで対応</v>
      </c>
      <c r="AB251" s="347" t="s">
        <v>3203</v>
      </c>
      <c r="AC251" s="347" t="b">
        <f>テーブル1[[#This Row],[要求事項一覧
判定]]=テーブル1[[#This Row],[列2]]</f>
        <v>0</v>
      </c>
    </row>
    <row r="252" spans="1:29" ht="43.5">
      <c r="A252" s="1" t="str">
        <f>テーブル1[[#This Row],[対象部門]]&amp;テーブル1[[#This Row],[業務要件回答表からの事前回答案_v1.0.xlsxより]]</f>
        <v>財務管理12.3</v>
      </c>
      <c r="B252" s="1" t="s">
        <v>3165</v>
      </c>
      <c r="D252" s="10" t="s">
        <v>1136</v>
      </c>
      <c r="E252" s="26" t="s">
        <v>1137</v>
      </c>
      <c r="F252" s="21" t="s">
        <v>1138</v>
      </c>
      <c r="G252" s="68">
        <v>12.3</v>
      </c>
      <c r="H252" s="44" t="s">
        <v>32</v>
      </c>
      <c r="I252" s="15"/>
      <c r="J252" s="68" t="s">
        <v>818</v>
      </c>
      <c r="K252" s="68" t="s">
        <v>806</v>
      </c>
      <c r="L252" s="26"/>
      <c r="M252" s="26"/>
      <c r="N252" s="44"/>
      <c r="O252" s="44" t="s">
        <v>35</v>
      </c>
      <c r="P252" s="44"/>
      <c r="Q252" s="48" t="s">
        <v>1071</v>
      </c>
      <c r="R252" s="44"/>
      <c r="S252" s="26" t="s">
        <v>1107</v>
      </c>
      <c r="T252" s="44" t="s">
        <v>91</v>
      </c>
      <c r="U252" s="91"/>
      <c r="V252" s="94"/>
      <c r="W252" s="334"/>
      <c r="X252" s="41" t="str">
        <f>テーブル1[[#This Row],[開発]]&amp;テーブル1[[#This Row],[スコープ]]</f>
        <v>OUT</v>
      </c>
      <c r="Y252" s="41" t="str">
        <f>IF(テーブル1[[#This Row],[列1]]="不要IN","標準",IF(テーブル1[[#This Row],[列1]]="不要OUT","スコープアウト",IF(テーブル1[[#This Row],[列1]]="必要IN","アドオン",IF(テーブル1[[#This Row],[列1]]="OUT","スコープアウト",""))))</f>
        <v>スコープアウト</v>
      </c>
      <c r="Z252" s="345" t="str">
        <f>VLOOKUP($B252,Sheet1!$C$2:$L$315,9,)</f>
        <v>会計システム標準機能</v>
      </c>
      <c r="AA252" s="340" t="str">
        <f>VLOOKUP($B252,Sheet1!$C$2:$L$315,10,)</f>
        <v>仕訳帳にExcelアドインで取り込み</v>
      </c>
      <c r="AB252" s="347" t="s">
        <v>3203</v>
      </c>
      <c r="AC252" s="347" t="b">
        <f>テーブル1[[#This Row],[要求事項一覧
判定]]=テーブル1[[#This Row],[列2]]</f>
        <v>0</v>
      </c>
    </row>
    <row r="253" spans="1:29" ht="43.5">
      <c r="A253" s="1" t="str">
        <f>テーブル1[[#This Row],[対象部門]]&amp;テーブル1[[#This Row],[業務要件回答表からの事前回答案_v1.0.xlsxより]]</f>
        <v>財務管理12.4</v>
      </c>
      <c r="B253" s="1" t="s">
        <v>3166</v>
      </c>
      <c r="D253" s="10" t="s">
        <v>1139</v>
      </c>
      <c r="E253" s="26" t="s">
        <v>1140</v>
      </c>
      <c r="F253" s="21" t="s">
        <v>1141</v>
      </c>
      <c r="G253" s="68">
        <v>12.4</v>
      </c>
      <c r="H253" s="44" t="s">
        <v>32</v>
      </c>
      <c r="I253" s="15"/>
      <c r="J253" s="68" t="s">
        <v>818</v>
      </c>
      <c r="K253" s="68" t="s">
        <v>806</v>
      </c>
      <c r="L253" s="26"/>
      <c r="M253" s="26"/>
      <c r="N253" s="44"/>
      <c r="O253" s="44" t="s">
        <v>35</v>
      </c>
      <c r="P253" s="44"/>
      <c r="Q253" s="48" t="s">
        <v>1071</v>
      </c>
      <c r="R253" s="44"/>
      <c r="S253" s="26" t="s">
        <v>994</v>
      </c>
      <c r="T253" s="44" t="s">
        <v>91</v>
      </c>
      <c r="U253" s="91"/>
      <c r="V253" s="94"/>
      <c r="W253" s="334"/>
      <c r="X253" s="41" t="str">
        <f>テーブル1[[#This Row],[開発]]&amp;テーブル1[[#This Row],[スコープ]]</f>
        <v>OUT</v>
      </c>
      <c r="Y253" s="41" t="str">
        <f>IF(テーブル1[[#This Row],[列1]]="不要IN","標準",IF(テーブル1[[#This Row],[列1]]="不要OUT","スコープアウト",IF(テーブル1[[#This Row],[列1]]="必要IN","アドオン",IF(テーブル1[[#This Row],[列1]]="OUT","スコープアウト",""))))</f>
        <v>スコープアウト</v>
      </c>
      <c r="Z253" s="345" t="str">
        <f>VLOOKUP($B253,Sheet1!$C$2:$L$315,9,)</f>
        <v>会計システム標準機能</v>
      </c>
      <c r="AA253" s="340" t="str">
        <f>VLOOKUP($B253,Sheet1!$C$2:$L$315,10,)</f>
        <v>MRで対応</v>
      </c>
      <c r="AB253" s="347" t="s">
        <v>3203</v>
      </c>
      <c r="AC253" s="347" t="b">
        <f>テーブル1[[#This Row],[要求事項一覧
判定]]=テーブル1[[#This Row],[列2]]</f>
        <v>0</v>
      </c>
    </row>
    <row r="254" spans="1:29" ht="43.5">
      <c r="A254" s="1" t="str">
        <f>テーブル1[[#This Row],[対象部門]]&amp;テーブル1[[#This Row],[業務要件回答表からの事前回答案_v1.0.xlsxより]]</f>
        <v>財務管理13.1</v>
      </c>
      <c r="B254" s="1" t="s">
        <v>3167</v>
      </c>
      <c r="D254" s="10" t="s">
        <v>1142</v>
      </c>
      <c r="E254" s="26" t="s">
        <v>1143</v>
      </c>
      <c r="F254" s="21" t="s">
        <v>1144</v>
      </c>
      <c r="G254" s="68">
        <v>13.1</v>
      </c>
      <c r="H254" s="44" t="s">
        <v>32</v>
      </c>
      <c r="I254" s="15"/>
      <c r="J254" s="68" t="s">
        <v>818</v>
      </c>
      <c r="K254" s="68" t="s">
        <v>806</v>
      </c>
      <c r="L254" s="26"/>
      <c r="M254" s="26"/>
      <c r="N254" s="44"/>
      <c r="O254" s="44" t="s">
        <v>35</v>
      </c>
      <c r="P254" s="44"/>
      <c r="Q254" s="48" t="s">
        <v>1071</v>
      </c>
      <c r="R254" s="44"/>
      <c r="S254" s="26" t="s">
        <v>1145</v>
      </c>
      <c r="T254" s="44" t="s">
        <v>91</v>
      </c>
      <c r="U254" s="91"/>
      <c r="V254" s="94"/>
      <c r="W254" s="334"/>
      <c r="X254" s="41" t="str">
        <f>テーブル1[[#This Row],[開発]]&amp;テーブル1[[#This Row],[スコープ]]</f>
        <v>OUT</v>
      </c>
      <c r="Y254" s="41" t="str">
        <f>IF(テーブル1[[#This Row],[列1]]="不要IN","標準",IF(テーブル1[[#This Row],[列1]]="不要OUT","スコープアウト",IF(テーブル1[[#This Row],[列1]]="必要IN","アドオン",IF(テーブル1[[#This Row],[列1]]="OUT","スコープアウト",""))))</f>
        <v>スコープアウト</v>
      </c>
      <c r="Z254" s="345" t="str">
        <f>VLOOKUP($B254,Sheet1!$C$2:$L$315,9,)</f>
        <v>会計システム標準機能</v>
      </c>
      <c r="AA254" s="340" t="str">
        <f>VLOOKUP($B254,Sheet1!$C$2:$L$315,10,)</f>
        <v>仕訳帳にExcelアドインで取り込み</v>
      </c>
      <c r="AB254" s="347" t="s">
        <v>3203</v>
      </c>
      <c r="AC254" s="347" t="b">
        <f>テーブル1[[#This Row],[要求事項一覧
判定]]=テーブル1[[#This Row],[列2]]</f>
        <v>0</v>
      </c>
    </row>
    <row r="255" spans="1:29" ht="101.5">
      <c r="A255" s="1" t="str">
        <f>テーブル1[[#This Row],[対象部門]]&amp;テーブル1[[#This Row],[業務要件回答表からの事前回答案_v1.0.xlsxより]]</f>
        <v>財務管理13.2</v>
      </c>
      <c r="B255" s="1" t="s">
        <v>3168</v>
      </c>
      <c r="D255" s="10" t="s">
        <v>1146</v>
      </c>
      <c r="E255" s="26" t="s">
        <v>1147</v>
      </c>
      <c r="F255" s="21" t="s">
        <v>1148</v>
      </c>
      <c r="G255" s="68">
        <v>13.2</v>
      </c>
      <c r="H255" s="44" t="s">
        <v>32</v>
      </c>
      <c r="I255" s="15"/>
      <c r="J255" s="68" t="s">
        <v>818</v>
      </c>
      <c r="K255" s="68" t="s">
        <v>806</v>
      </c>
      <c r="L255" s="26" t="s">
        <v>1149</v>
      </c>
      <c r="M255" s="26" t="s">
        <v>1112</v>
      </c>
      <c r="N255" s="44"/>
      <c r="O255" s="44" t="s">
        <v>35</v>
      </c>
      <c r="P255" s="44"/>
      <c r="Q255" s="48" t="s">
        <v>1071</v>
      </c>
      <c r="R255" s="44"/>
      <c r="S255" s="26" t="s">
        <v>1150</v>
      </c>
      <c r="T255" s="44" t="s">
        <v>91</v>
      </c>
      <c r="U255" s="93" t="s">
        <v>977</v>
      </c>
      <c r="V255" s="94"/>
      <c r="W255" s="334"/>
      <c r="X255" s="41" t="str">
        <f>テーブル1[[#This Row],[開発]]&amp;テーブル1[[#This Row],[スコープ]]</f>
        <v>OUT</v>
      </c>
      <c r="Y255" s="41" t="str">
        <f>IF(テーブル1[[#This Row],[列1]]="不要IN","標準",IF(テーブル1[[#This Row],[列1]]="不要OUT","スコープアウト",IF(テーブル1[[#This Row],[列1]]="必要IN","アドオン",IF(テーブル1[[#This Row],[列1]]="OUT","スコープアウト",""))))</f>
        <v>スコープアウト</v>
      </c>
      <c r="Z255" s="345" t="str">
        <f>VLOOKUP($B255,Sheet1!$C$2:$L$315,9,)</f>
        <v>会計システム標準機能</v>
      </c>
      <c r="AA255" s="340" t="str">
        <f>VLOOKUP($B255,Sheet1!$C$2:$L$315,10,)</f>
        <v>MRで対応</v>
      </c>
      <c r="AB255" s="347" t="s">
        <v>3203</v>
      </c>
      <c r="AC255" s="347" t="b">
        <f>テーブル1[[#This Row],[要求事項一覧
判定]]=テーブル1[[#This Row],[列2]]</f>
        <v>0</v>
      </c>
    </row>
    <row r="256" spans="1:29" ht="58">
      <c r="A256" s="1" t="str">
        <f>テーブル1[[#This Row],[対象部門]]&amp;テーブル1[[#This Row],[業務要件回答表からの事前回答案_v1.0.xlsxより]]</f>
        <v>財務管理13.3</v>
      </c>
      <c r="B256" s="1" t="s">
        <v>3169</v>
      </c>
      <c r="D256" s="10" t="s">
        <v>1151</v>
      </c>
      <c r="E256" s="26" t="s">
        <v>1152</v>
      </c>
      <c r="F256" s="21" t="s">
        <v>1153</v>
      </c>
      <c r="G256" s="68">
        <v>13.3</v>
      </c>
      <c r="H256" s="44" t="s">
        <v>32</v>
      </c>
      <c r="I256" s="15"/>
      <c r="J256" s="68" t="s">
        <v>818</v>
      </c>
      <c r="K256" s="68" t="s">
        <v>806</v>
      </c>
      <c r="L256" s="26" t="s">
        <v>1154</v>
      </c>
      <c r="M256" s="52" t="s">
        <v>1155</v>
      </c>
      <c r="N256" s="44"/>
      <c r="O256" s="44" t="s">
        <v>35</v>
      </c>
      <c r="P256" s="44"/>
      <c r="Q256" s="48" t="s">
        <v>1071</v>
      </c>
      <c r="R256" s="44"/>
      <c r="S256" s="26" t="s">
        <v>1156</v>
      </c>
      <c r="T256" s="44" t="s">
        <v>91</v>
      </c>
      <c r="U256" s="93" t="s">
        <v>977</v>
      </c>
      <c r="V256" s="94"/>
      <c r="W256" s="334"/>
      <c r="X256" s="41" t="str">
        <f>テーブル1[[#This Row],[開発]]&amp;テーブル1[[#This Row],[スコープ]]</f>
        <v>OUT</v>
      </c>
      <c r="Y256" s="41" t="str">
        <f>IF(テーブル1[[#This Row],[列1]]="不要IN","標準",IF(テーブル1[[#This Row],[列1]]="不要OUT","スコープアウト",IF(テーブル1[[#This Row],[列1]]="必要IN","アドオン",IF(テーブル1[[#This Row],[列1]]="OUT","スコープアウト",""))))</f>
        <v>スコープアウト</v>
      </c>
      <c r="Z256" s="345" t="str">
        <f>VLOOKUP($B256,Sheet1!$C$2:$L$315,9,)</f>
        <v>会計システム標準機能</v>
      </c>
      <c r="AA256" s="340" t="str">
        <f>VLOOKUP($B256,Sheet1!$C$2:$L$315,10,)</f>
        <v>MRで対応</v>
      </c>
      <c r="AB256" s="347" t="s">
        <v>3203</v>
      </c>
      <c r="AC256" s="347" t="b">
        <f>テーブル1[[#This Row],[要求事項一覧
判定]]=テーブル1[[#This Row],[列2]]</f>
        <v>0</v>
      </c>
    </row>
    <row r="257" spans="1:29" ht="29">
      <c r="A257" s="1" t="str">
        <f>テーブル1[[#This Row],[対象部門]]&amp;テーブル1[[#This Row],[業務要件回答表からの事前回答案_v1.0.xlsxより]]</f>
        <v>財務管理14.1</v>
      </c>
      <c r="B257" s="1" t="s">
        <v>3170</v>
      </c>
      <c r="D257" s="10" t="s">
        <v>1157</v>
      </c>
      <c r="E257" s="26" t="s">
        <v>1158</v>
      </c>
      <c r="F257" s="21" t="s">
        <v>1159</v>
      </c>
      <c r="G257" s="68">
        <v>14.1</v>
      </c>
      <c r="H257" s="44" t="s">
        <v>32</v>
      </c>
      <c r="I257" s="15"/>
      <c r="J257" s="68" t="s">
        <v>818</v>
      </c>
      <c r="K257" s="68" t="s">
        <v>806</v>
      </c>
      <c r="L257" s="26" t="s">
        <v>1160</v>
      </c>
      <c r="M257" s="26"/>
      <c r="N257" s="44"/>
      <c r="O257" s="44" t="s">
        <v>35</v>
      </c>
      <c r="P257" s="44"/>
      <c r="Q257" s="68" t="s">
        <v>1161</v>
      </c>
      <c r="R257" s="44"/>
      <c r="S257" s="26" t="s">
        <v>1162</v>
      </c>
      <c r="T257" s="44" t="s">
        <v>91</v>
      </c>
      <c r="U257" s="91"/>
      <c r="V257" s="94"/>
      <c r="W257" s="334"/>
      <c r="X257" s="41" t="str">
        <f>テーブル1[[#This Row],[開発]]&amp;テーブル1[[#This Row],[スコープ]]</f>
        <v>OUT</v>
      </c>
      <c r="Y257" s="41" t="str">
        <f>IF(テーブル1[[#This Row],[列1]]="不要IN","標準",IF(テーブル1[[#This Row],[列1]]="不要OUT","スコープアウト",IF(テーブル1[[#This Row],[列1]]="必要IN","アドオン",IF(テーブル1[[#This Row],[列1]]="OUT","スコープアウト",""))))</f>
        <v>スコープアウト</v>
      </c>
      <c r="Z257" s="345" t="str">
        <f>VLOOKUP($B257,Sheet1!$C$2:$L$315,9,)</f>
        <v>会計システム標準機能</v>
      </c>
      <c r="AA257" s="340" t="str">
        <f>VLOOKUP($B257,Sheet1!$C$2:$L$315,10,)</f>
        <v>MRで対応</v>
      </c>
      <c r="AB257" s="347" t="s">
        <v>3203</v>
      </c>
      <c r="AC257" s="347" t="b">
        <f>テーブル1[[#This Row],[要求事項一覧
判定]]=テーブル1[[#This Row],[列2]]</f>
        <v>0</v>
      </c>
    </row>
    <row r="258" spans="1:29" ht="29">
      <c r="A258" s="1" t="str">
        <f>テーブル1[[#This Row],[対象部門]]&amp;テーブル1[[#This Row],[業務要件回答表からの事前回答案_v1.0.xlsxより]]</f>
        <v>財務管理14.2</v>
      </c>
      <c r="B258" s="1" t="s">
        <v>3171</v>
      </c>
      <c r="D258" s="10" t="s">
        <v>1163</v>
      </c>
      <c r="E258" s="26" t="s">
        <v>1164</v>
      </c>
      <c r="F258" s="21" t="s">
        <v>1165</v>
      </c>
      <c r="G258" s="68">
        <v>14.2</v>
      </c>
      <c r="H258" s="44" t="s">
        <v>32</v>
      </c>
      <c r="I258" s="15"/>
      <c r="J258" s="68" t="s">
        <v>818</v>
      </c>
      <c r="K258" s="68" t="s">
        <v>806</v>
      </c>
      <c r="L258" s="26"/>
      <c r="M258" s="26"/>
      <c r="N258" s="44"/>
      <c r="O258" s="44" t="s">
        <v>35</v>
      </c>
      <c r="P258" s="44"/>
      <c r="Q258" s="68" t="s">
        <v>1166</v>
      </c>
      <c r="R258" s="44"/>
      <c r="S258" s="26" t="s">
        <v>1167</v>
      </c>
      <c r="T258" s="44" t="s">
        <v>91</v>
      </c>
      <c r="U258" s="91"/>
      <c r="V258" s="94"/>
      <c r="W258" s="334"/>
      <c r="X258" s="41" t="str">
        <f>テーブル1[[#This Row],[開発]]&amp;テーブル1[[#This Row],[スコープ]]</f>
        <v>OUT</v>
      </c>
      <c r="Y258" s="41" t="str">
        <f>IF(テーブル1[[#This Row],[列1]]="不要IN","標準",IF(テーブル1[[#This Row],[列1]]="不要OUT","スコープアウト",IF(テーブル1[[#This Row],[列1]]="必要IN","アドオン",IF(テーブル1[[#This Row],[列1]]="OUT","スコープアウト",""))))</f>
        <v>スコープアウト</v>
      </c>
      <c r="Z258" s="345" t="str">
        <f>VLOOKUP($B258,Sheet1!$C$2:$L$315,9,)</f>
        <v>会計システム標準機能</v>
      </c>
      <c r="AA258" s="340" t="str">
        <f>VLOOKUP($B258,Sheet1!$C$2:$L$315,10,)</f>
        <v>予算モジュールで分析コード別に費用を登録して対応</v>
      </c>
      <c r="AB258" s="347" t="s">
        <v>3203</v>
      </c>
      <c r="AC258" s="347" t="b">
        <f>テーブル1[[#This Row],[要求事項一覧
判定]]=テーブル1[[#This Row],[列2]]</f>
        <v>0</v>
      </c>
    </row>
    <row r="259" spans="1:29" ht="29">
      <c r="A259" s="1" t="str">
        <f>テーブル1[[#This Row],[対象部門]]&amp;テーブル1[[#This Row],[業務要件回答表からの事前回答案_v1.0.xlsxより]]</f>
        <v>財務管理14.3</v>
      </c>
      <c r="B259" s="1" t="s">
        <v>3172</v>
      </c>
      <c r="D259" s="10" t="s">
        <v>1168</v>
      </c>
      <c r="E259" s="26" t="s">
        <v>1169</v>
      </c>
      <c r="F259" s="21" t="s">
        <v>1170</v>
      </c>
      <c r="G259" s="68">
        <v>14.3</v>
      </c>
      <c r="H259" s="44" t="s">
        <v>32</v>
      </c>
      <c r="I259" s="15"/>
      <c r="J259" s="68" t="s">
        <v>818</v>
      </c>
      <c r="K259" s="68" t="s">
        <v>806</v>
      </c>
      <c r="L259" s="26"/>
      <c r="M259" s="26"/>
      <c r="N259" s="44"/>
      <c r="O259" s="44" t="s">
        <v>35</v>
      </c>
      <c r="P259" s="44"/>
      <c r="Q259" s="68" t="s">
        <v>1166</v>
      </c>
      <c r="R259" s="44"/>
      <c r="S259" s="26" t="s">
        <v>1171</v>
      </c>
      <c r="T259" s="44" t="s">
        <v>91</v>
      </c>
      <c r="U259" s="91"/>
      <c r="V259" s="94"/>
      <c r="W259" s="334"/>
      <c r="X259" s="41" t="str">
        <f>テーブル1[[#This Row],[開発]]&amp;テーブル1[[#This Row],[スコープ]]</f>
        <v>OUT</v>
      </c>
      <c r="Y259" s="41" t="str">
        <f>IF(テーブル1[[#This Row],[列1]]="不要IN","標準",IF(テーブル1[[#This Row],[列1]]="不要OUT","スコープアウト",IF(テーブル1[[#This Row],[列1]]="必要IN","アドオン",IF(テーブル1[[#This Row],[列1]]="OUT","スコープアウト",""))))</f>
        <v>スコープアウト</v>
      </c>
      <c r="Z259" s="345" t="str">
        <f>VLOOKUP($B259,Sheet1!$C$2:$L$315,9,)</f>
        <v>会計システム標準機能</v>
      </c>
      <c r="AA259" s="340">
        <f>VLOOKUP($B259,Sheet1!$C$2:$L$315,10,)</f>
        <v>0</v>
      </c>
      <c r="AB259" s="347" t="s">
        <v>3203</v>
      </c>
      <c r="AC259" s="347" t="b">
        <f>テーブル1[[#This Row],[要求事項一覧
判定]]=テーブル1[[#This Row],[列2]]</f>
        <v>0</v>
      </c>
    </row>
    <row r="260" spans="1:29" ht="29">
      <c r="A260" s="1" t="str">
        <f>テーブル1[[#This Row],[対象部門]]&amp;テーブル1[[#This Row],[業務要件回答表からの事前回答案_v1.0.xlsxより]]</f>
        <v>財務管理14.4</v>
      </c>
      <c r="B260" s="1" t="s">
        <v>3173</v>
      </c>
      <c r="D260" s="10" t="s">
        <v>1172</v>
      </c>
      <c r="E260" s="26" t="s">
        <v>1173</v>
      </c>
      <c r="F260" s="21" t="s">
        <v>1174</v>
      </c>
      <c r="G260" s="68">
        <v>14.4</v>
      </c>
      <c r="H260" s="44" t="s">
        <v>32</v>
      </c>
      <c r="I260" s="15"/>
      <c r="J260" s="68" t="s">
        <v>818</v>
      </c>
      <c r="K260" s="68" t="s">
        <v>806</v>
      </c>
      <c r="L260" s="26"/>
      <c r="M260" s="26"/>
      <c r="N260" s="44"/>
      <c r="O260" s="44" t="s">
        <v>35</v>
      </c>
      <c r="P260" s="44"/>
      <c r="Q260" s="68" t="s">
        <v>1166</v>
      </c>
      <c r="R260" s="44"/>
      <c r="S260" s="26" t="s">
        <v>1175</v>
      </c>
      <c r="T260" s="44" t="s">
        <v>91</v>
      </c>
      <c r="U260" s="91"/>
      <c r="V260" s="94"/>
      <c r="W260" s="334"/>
      <c r="X260" s="41" t="str">
        <f>テーブル1[[#This Row],[開発]]&amp;テーブル1[[#This Row],[スコープ]]</f>
        <v>OUT</v>
      </c>
      <c r="Y260" s="41" t="str">
        <f>IF(テーブル1[[#This Row],[列1]]="不要IN","標準",IF(テーブル1[[#This Row],[列1]]="不要OUT","スコープアウト",IF(テーブル1[[#This Row],[列1]]="必要IN","アドオン",IF(テーブル1[[#This Row],[列1]]="OUT","スコープアウト",""))))</f>
        <v>スコープアウト</v>
      </c>
      <c r="Z260" s="345" t="str">
        <f>VLOOKUP($B260,Sheet1!$C$2:$L$315,9,)</f>
        <v>会計システム標準機能</v>
      </c>
      <c r="AA260" s="340">
        <f>VLOOKUP($B260,Sheet1!$C$2:$L$315,10,)</f>
        <v>0</v>
      </c>
      <c r="AB260" s="347" t="s">
        <v>3203</v>
      </c>
      <c r="AC260" s="347" t="b">
        <f>テーブル1[[#This Row],[要求事項一覧
判定]]=テーブル1[[#This Row],[列2]]</f>
        <v>0</v>
      </c>
    </row>
    <row r="261" spans="1:29" ht="14.5">
      <c r="A261" s="1" t="str">
        <f>テーブル1[[#This Row],[対象部門]]&amp;テーブル1[[#This Row],[業務要件回答表からの事前回答案_v1.0.xlsxより]]</f>
        <v>財務管理14.5</v>
      </c>
      <c r="B261" s="1" t="s">
        <v>3174</v>
      </c>
      <c r="D261" s="10" t="s">
        <v>1176</v>
      </c>
      <c r="E261" s="26" t="s">
        <v>1177</v>
      </c>
      <c r="F261" s="21" t="s">
        <v>1178</v>
      </c>
      <c r="G261" s="68">
        <v>14.5</v>
      </c>
      <c r="H261" s="44" t="s">
        <v>32</v>
      </c>
      <c r="I261" s="15"/>
      <c r="J261" s="68" t="s">
        <v>818</v>
      </c>
      <c r="K261" s="68" t="s">
        <v>806</v>
      </c>
      <c r="L261" s="26" t="s">
        <v>1179</v>
      </c>
      <c r="M261" s="26" t="s">
        <v>1180</v>
      </c>
      <c r="N261" s="44"/>
      <c r="O261" s="44" t="s">
        <v>35</v>
      </c>
      <c r="P261" s="44"/>
      <c r="Q261" s="68" t="s">
        <v>159</v>
      </c>
      <c r="R261" s="44" t="s">
        <v>37</v>
      </c>
      <c r="S261" s="26" t="s">
        <v>1181</v>
      </c>
      <c r="T261" s="44" t="s">
        <v>39</v>
      </c>
      <c r="U261" s="91"/>
      <c r="V261" s="94"/>
      <c r="W261" s="334"/>
      <c r="X261" s="41" t="str">
        <f>テーブル1[[#This Row],[開発]]&amp;テーブル1[[#This Row],[スコープ]]</f>
        <v>不要IN</v>
      </c>
      <c r="Y261" s="41" t="str">
        <f>IF(テーブル1[[#This Row],[列1]]="不要IN","標準",IF(テーブル1[[#This Row],[列1]]="不要OUT","スコープアウト",IF(テーブル1[[#This Row],[列1]]="必要IN","アドオン",IF(テーブル1[[#This Row],[列1]]="OUT","スコープアウト",""))))</f>
        <v>標準</v>
      </c>
      <c r="Z261" s="345" t="str">
        <f>VLOOKUP($B261,Sheet1!$C$2:$L$315,9,)</f>
        <v>会計システム標準機能</v>
      </c>
      <c r="AA261" s="340" t="str">
        <f>VLOOKUP($B261,Sheet1!$C$2:$L$315,10,)</f>
        <v>MRで対応</v>
      </c>
      <c r="AB261" s="347" t="s">
        <v>3203</v>
      </c>
      <c r="AC261" s="347" t="b">
        <f>テーブル1[[#This Row],[要求事項一覧
判定]]=テーブル1[[#This Row],[列2]]</f>
        <v>1</v>
      </c>
    </row>
    <row r="262" spans="1:29" ht="29">
      <c r="A262" s="1" t="str">
        <f>テーブル1[[#This Row],[対象部門]]&amp;テーブル1[[#This Row],[業務要件回答表からの事前回答案_v1.0.xlsxより]]</f>
        <v>財務管理14.6</v>
      </c>
      <c r="B262" s="1" t="s">
        <v>3175</v>
      </c>
      <c r="D262" s="10" t="s">
        <v>1182</v>
      </c>
      <c r="E262" s="26" t="s">
        <v>1183</v>
      </c>
      <c r="F262" s="21" t="s">
        <v>1184</v>
      </c>
      <c r="G262" s="68">
        <v>14.6</v>
      </c>
      <c r="H262" s="44" t="s">
        <v>32</v>
      </c>
      <c r="I262" s="15"/>
      <c r="J262" s="68" t="s">
        <v>818</v>
      </c>
      <c r="K262" s="68" t="s">
        <v>806</v>
      </c>
      <c r="L262" s="26" t="s">
        <v>1185</v>
      </c>
      <c r="M262" s="26" t="s">
        <v>1180</v>
      </c>
      <c r="N262" s="44"/>
      <c r="O262" s="44" t="s">
        <v>35</v>
      </c>
      <c r="P262" s="44"/>
      <c r="Q262" s="68" t="s">
        <v>1186</v>
      </c>
      <c r="R262" s="44" t="s">
        <v>37</v>
      </c>
      <c r="S262" s="26" t="s">
        <v>1187</v>
      </c>
      <c r="T262" s="44" t="s">
        <v>39</v>
      </c>
      <c r="U262" s="91"/>
      <c r="V262" s="94"/>
      <c r="W262" s="334"/>
      <c r="X262" s="41" t="str">
        <f>テーブル1[[#This Row],[開発]]&amp;テーブル1[[#This Row],[スコープ]]</f>
        <v>不要IN</v>
      </c>
      <c r="Y262" s="41" t="str">
        <f>IF(テーブル1[[#This Row],[列1]]="不要IN","標準",IF(テーブル1[[#This Row],[列1]]="不要OUT","スコープアウト",IF(テーブル1[[#This Row],[列1]]="必要IN","アドオン",IF(テーブル1[[#This Row],[列1]]="OUT","スコープアウト",""))))</f>
        <v>標準</v>
      </c>
      <c r="Z262" s="345" t="str">
        <f>VLOOKUP($B262,Sheet1!$C$2:$L$315,9,)</f>
        <v>会計システム標準機能</v>
      </c>
      <c r="AA262" s="340" t="str">
        <f>VLOOKUP($B262,Sheet1!$C$2:$L$315,10,)</f>
        <v>MRで対応</v>
      </c>
      <c r="AB262" s="347" t="s">
        <v>3203</v>
      </c>
      <c r="AC262" s="347" t="b">
        <f>テーブル1[[#This Row],[要求事項一覧
判定]]=テーブル1[[#This Row],[列2]]</f>
        <v>1</v>
      </c>
    </row>
    <row r="263" spans="1:29" ht="58">
      <c r="A263" s="1" t="str">
        <f>テーブル1[[#This Row],[対象部門]]&amp;テーブル1[[#This Row],[業務要件回答表からの事前回答案_v1.0.xlsxより]]</f>
        <v>財務管理15.1</v>
      </c>
      <c r="B263" s="1" t="s">
        <v>3176</v>
      </c>
      <c r="D263" s="10" t="s">
        <v>1188</v>
      </c>
      <c r="E263" s="26" t="s">
        <v>1189</v>
      </c>
      <c r="F263" s="21" t="s">
        <v>1190</v>
      </c>
      <c r="G263" s="68">
        <v>15.1</v>
      </c>
      <c r="H263" s="44" t="s">
        <v>32</v>
      </c>
      <c r="I263" s="15"/>
      <c r="J263" s="68" t="s">
        <v>818</v>
      </c>
      <c r="K263" s="68" t="s">
        <v>806</v>
      </c>
      <c r="L263" s="26"/>
      <c r="M263" s="26"/>
      <c r="N263" s="44"/>
      <c r="O263" s="44" t="s">
        <v>35</v>
      </c>
      <c r="P263" s="44"/>
      <c r="Q263" s="68" t="s">
        <v>1071</v>
      </c>
      <c r="R263" s="44"/>
      <c r="S263" s="26" t="s">
        <v>1191</v>
      </c>
      <c r="T263" s="44" t="s">
        <v>91</v>
      </c>
      <c r="U263" s="93" t="s">
        <v>977</v>
      </c>
      <c r="V263" s="94"/>
      <c r="W263" s="334"/>
      <c r="X263" s="41" t="str">
        <f>テーブル1[[#This Row],[開発]]&amp;テーブル1[[#This Row],[スコープ]]</f>
        <v>OUT</v>
      </c>
      <c r="Y263" s="41" t="str">
        <f>IF(テーブル1[[#This Row],[列1]]="不要IN","標準",IF(テーブル1[[#This Row],[列1]]="不要OUT","スコープアウト",IF(テーブル1[[#This Row],[列1]]="必要IN","アドオン",IF(テーブル1[[#This Row],[列1]]="OUT","スコープアウト",""))))</f>
        <v>スコープアウト</v>
      </c>
      <c r="Z263" s="346" t="str">
        <f>VLOOKUP($B263,Sheet1!$C$2:$L$315,9,)</f>
        <v>会計システムアドオン</v>
      </c>
      <c r="AA263" s="340" t="str">
        <f>VLOOKUP($B263,Sheet1!$C$2:$L$315,10,)</f>
        <v>会社別・月別に、向こう1年間の借入金の残高を計算・表示する機能を新規画面として開発</v>
      </c>
      <c r="AB263" s="347" t="s">
        <v>3205</v>
      </c>
      <c r="AC263" s="347" t="b">
        <f>テーブル1[[#This Row],[要求事項一覧
判定]]=テーブル1[[#This Row],[列2]]</f>
        <v>0</v>
      </c>
    </row>
    <row r="264" spans="1:29" ht="58">
      <c r="A264" s="1" t="str">
        <f>テーブル1[[#This Row],[対象部門]]&amp;テーブル1[[#This Row],[業務要件回答表からの事前回答案_v1.0.xlsxより]]</f>
        <v>財務管理15.2</v>
      </c>
      <c r="B264" s="1" t="s">
        <v>3177</v>
      </c>
      <c r="D264" s="10" t="s">
        <v>1192</v>
      </c>
      <c r="E264" s="26" t="s">
        <v>1193</v>
      </c>
      <c r="F264" s="21" t="s">
        <v>1194</v>
      </c>
      <c r="G264" s="68">
        <v>15.2</v>
      </c>
      <c r="H264" s="44" t="s">
        <v>32</v>
      </c>
      <c r="I264" s="15"/>
      <c r="J264" s="68" t="s">
        <v>818</v>
      </c>
      <c r="K264" s="83" t="s">
        <v>806</v>
      </c>
      <c r="L264" s="57"/>
      <c r="M264" s="57"/>
      <c r="N264" s="69"/>
      <c r="O264" s="44" t="s">
        <v>35</v>
      </c>
      <c r="P264" s="44"/>
      <c r="Q264" s="68" t="s">
        <v>1071</v>
      </c>
      <c r="R264" s="69"/>
      <c r="S264" s="57" t="s">
        <v>1195</v>
      </c>
      <c r="T264" s="44" t="s">
        <v>91</v>
      </c>
      <c r="U264" s="93" t="s">
        <v>977</v>
      </c>
      <c r="V264" s="94"/>
      <c r="W264" s="334"/>
      <c r="X264" s="41" t="str">
        <f>テーブル1[[#This Row],[開発]]&amp;テーブル1[[#This Row],[スコープ]]</f>
        <v>OUT</v>
      </c>
      <c r="Y264" s="41" t="str">
        <f>IF(テーブル1[[#This Row],[列1]]="不要IN","標準",IF(テーブル1[[#This Row],[列1]]="不要OUT","スコープアウト",IF(テーブル1[[#This Row],[列1]]="必要IN","アドオン",IF(テーブル1[[#This Row],[列1]]="OUT","スコープアウト",""))))</f>
        <v>スコープアウト</v>
      </c>
      <c r="Z264" s="345" t="str">
        <f>VLOOKUP($B264,Sheet1!$C$2:$L$315,9,)</f>
        <v>会計システム標準機能</v>
      </c>
      <c r="AA264" s="340" t="str">
        <f>VLOOKUP($B264,Sheet1!$C$2:$L$315,10,)</f>
        <v>DIXFで対応</v>
      </c>
      <c r="AB264" s="347" t="s">
        <v>3203</v>
      </c>
      <c r="AC264" s="347" t="b">
        <f>テーブル1[[#This Row],[要求事項一覧
判定]]=テーブル1[[#This Row],[列2]]</f>
        <v>0</v>
      </c>
    </row>
    <row r="265" spans="1:29" ht="87">
      <c r="A265" s="1" t="str">
        <f>テーブル1[[#This Row],[対象部門]]&amp;テーブル1[[#This Row],[業務要件回答表からの事前回答案_v1.0.xlsxより]]</f>
        <v>財務管理15.3</v>
      </c>
      <c r="B265" s="1" t="s">
        <v>3178</v>
      </c>
      <c r="D265" s="10" t="s">
        <v>1196</v>
      </c>
      <c r="E265" s="26" t="s">
        <v>1197</v>
      </c>
      <c r="F265" s="21" t="s">
        <v>1198</v>
      </c>
      <c r="G265" s="68">
        <v>15.3</v>
      </c>
      <c r="H265" s="44" t="s">
        <v>32</v>
      </c>
      <c r="I265" s="15"/>
      <c r="J265" s="73" t="s">
        <v>818</v>
      </c>
      <c r="K265" s="73" t="s">
        <v>806</v>
      </c>
      <c r="L265" s="26" t="s">
        <v>1199</v>
      </c>
      <c r="M265" s="52" t="s">
        <v>1200</v>
      </c>
      <c r="N265" s="44"/>
      <c r="O265" s="44" t="s">
        <v>35</v>
      </c>
      <c r="P265" s="44"/>
      <c r="Q265" s="68" t="s">
        <v>1071</v>
      </c>
      <c r="R265" s="44"/>
      <c r="S265" s="26" t="s">
        <v>1201</v>
      </c>
      <c r="T265" s="44" t="s">
        <v>91</v>
      </c>
      <c r="U265" s="93" t="s">
        <v>977</v>
      </c>
      <c r="V265" s="94"/>
      <c r="W265" s="334"/>
      <c r="X265" s="41" t="str">
        <f>テーブル1[[#This Row],[開発]]&amp;テーブル1[[#This Row],[スコープ]]</f>
        <v>OUT</v>
      </c>
      <c r="Y265" s="41" t="str">
        <f>IF(テーブル1[[#This Row],[列1]]="不要IN","標準",IF(テーブル1[[#This Row],[列1]]="不要OUT","スコープアウト",IF(テーブル1[[#This Row],[列1]]="必要IN","アドオン",IF(テーブル1[[#This Row],[列1]]="OUT","スコープアウト",""))))</f>
        <v>スコープアウト</v>
      </c>
      <c r="Z265" s="345" t="str">
        <f>VLOOKUP($B265,Sheet1!$C$2:$L$315,9,)</f>
        <v>会計システム標準機能</v>
      </c>
      <c r="AA265" s="340" t="str">
        <f>VLOOKUP($B265,Sheet1!$C$2:$L$315,10,)</f>
        <v>銀行トランザクションでの対応</v>
      </c>
      <c r="AB265" s="347" t="s">
        <v>3203</v>
      </c>
      <c r="AC265" s="347" t="b">
        <f>テーブル1[[#This Row],[要求事項一覧
判定]]=テーブル1[[#This Row],[列2]]</f>
        <v>0</v>
      </c>
    </row>
    <row r="266" spans="1:29" ht="29">
      <c r="A266" s="1" t="str">
        <f>テーブル1[[#This Row],[対象部門]]&amp;テーブル1[[#This Row],[業務要件回答表からの事前回答案_v1.0.xlsxより]]</f>
        <v>固定資産管理1.1</v>
      </c>
      <c r="B266" s="1" t="s">
        <v>2938</v>
      </c>
      <c r="D266" s="10" t="s">
        <v>1202</v>
      </c>
      <c r="E266" s="26" t="s">
        <v>1203</v>
      </c>
      <c r="F266" s="21" t="s">
        <v>1204</v>
      </c>
      <c r="G266" s="68">
        <v>1.1000000000000001</v>
      </c>
      <c r="H266" s="44" t="s">
        <v>32</v>
      </c>
      <c r="I266" s="15"/>
      <c r="J266" s="73" t="s">
        <v>1205</v>
      </c>
      <c r="K266" s="73" t="s">
        <v>51</v>
      </c>
      <c r="L266" s="26"/>
      <c r="M266" s="26"/>
      <c r="N266" s="44"/>
      <c r="O266" s="44" t="s">
        <v>35</v>
      </c>
      <c r="P266" s="44"/>
      <c r="Q266" s="68" t="s">
        <v>1206</v>
      </c>
      <c r="R266" s="44" t="s">
        <v>37</v>
      </c>
      <c r="S266" s="26" t="s">
        <v>1207</v>
      </c>
      <c r="T266" s="44" t="s">
        <v>39</v>
      </c>
      <c r="U266" s="91"/>
      <c r="V266" s="94"/>
      <c r="W266" s="334"/>
      <c r="X266" s="41" t="str">
        <f>テーブル1[[#This Row],[開発]]&amp;テーブル1[[#This Row],[スコープ]]</f>
        <v>不要IN</v>
      </c>
      <c r="Y266" s="41" t="str">
        <f>IF(テーブル1[[#This Row],[列1]]="不要IN","標準",IF(テーブル1[[#This Row],[列1]]="不要OUT","スコープアウト",IF(テーブル1[[#This Row],[列1]]="必要IN","アドオン",IF(テーブル1[[#This Row],[列1]]="OUT","スコープアウト",""))))</f>
        <v>標準</v>
      </c>
      <c r="Z266" s="345" t="str">
        <f>VLOOKUP($B266,Sheet1!$C$2:$L$315,9,)</f>
        <v>会計システム標準機能</v>
      </c>
      <c r="AA266" s="340">
        <f>VLOOKUP($B266,Sheet1!$C$2:$L$315,10,)</f>
        <v>0</v>
      </c>
      <c r="AB266" s="347" t="s">
        <v>3203</v>
      </c>
      <c r="AC266" s="347" t="b">
        <f>テーブル1[[#This Row],[要求事項一覧
判定]]=テーブル1[[#This Row],[列2]]</f>
        <v>1</v>
      </c>
    </row>
    <row r="267" spans="1:29" ht="72.5">
      <c r="A267" s="1" t="str">
        <f>テーブル1[[#This Row],[対象部門]]&amp;テーブル1[[#This Row],[業務要件回答表からの事前回答案_v1.0.xlsxより]]</f>
        <v>固定資産管理1.2</v>
      </c>
      <c r="B267" s="1" t="s">
        <v>2939</v>
      </c>
      <c r="D267" s="10" t="s">
        <v>1208</v>
      </c>
      <c r="E267" s="26" t="s">
        <v>1209</v>
      </c>
      <c r="F267" s="21" t="s">
        <v>1210</v>
      </c>
      <c r="G267" s="68">
        <v>1.2</v>
      </c>
      <c r="H267" s="44" t="s">
        <v>32</v>
      </c>
      <c r="I267" s="15"/>
      <c r="J267" s="68" t="s">
        <v>1205</v>
      </c>
      <c r="K267" s="71" t="s">
        <v>51</v>
      </c>
      <c r="L267" s="58"/>
      <c r="M267" s="59"/>
      <c r="N267" s="60"/>
      <c r="O267" s="60" t="s">
        <v>35</v>
      </c>
      <c r="P267" s="60"/>
      <c r="Q267" s="71" t="s">
        <v>1206</v>
      </c>
      <c r="R267" s="60" t="s">
        <v>37</v>
      </c>
      <c r="S267" s="58" t="s">
        <v>1211</v>
      </c>
      <c r="T267" s="60" t="s">
        <v>39</v>
      </c>
      <c r="U267" s="96"/>
      <c r="V267" s="94"/>
      <c r="W267" s="334"/>
      <c r="X267" s="41" t="str">
        <f>テーブル1[[#This Row],[開発]]&amp;テーブル1[[#This Row],[スコープ]]</f>
        <v>不要IN</v>
      </c>
      <c r="Y267" s="41" t="str">
        <f>IF(テーブル1[[#This Row],[列1]]="不要IN","標準",IF(テーブル1[[#This Row],[列1]]="不要OUT","スコープアウト",IF(テーブル1[[#This Row],[列1]]="必要IN","アドオン",IF(テーブル1[[#This Row],[列1]]="OUT","スコープアウト",""))))</f>
        <v>標準</v>
      </c>
      <c r="Z267" s="345" t="str">
        <f>VLOOKUP($B267,Sheet1!$C$2:$L$315,9,)</f>
        <v>会計システム標準機能</v>
      </c>
      <c r="AA267" s="340">
        <f>VLOOKUP($B267,Sheet1!$C$2:$L$315,10,)</f>
        <v>0</v>
      </c>
      <c r="AB267" s="347" t="s">
        <v>3203</v>
      </c>
      <c r="AC267" s="347" t="b">
        <f>テーブル1[[#This Row],[要求事項一覧
判定]]=テーブル1[[#This Row],[列2]]</f>
        <v>1</v>
      </c>
    </row>
    <row r="268" spans="1:29" ht="72.5">
      <c r="A268" s="1" t="str">
        <f>テーブル1[[#This Row],[対象部門]]&amp;テーブル1[[#This Row],[業務要件回答表からの事前回答案_v1.0.xlsxより]]</f>
        <v>固定資産管理1.3</v>
      </c>
      <c r="B268" s="1" t="s">
        <v>2940</v>
      </c>
      <c r="D268" s="10" t="s">
        <v>1212</v>
      </c>
      <c r="E268" s="26" t="s">
        <v>1213</v>
      </c>
      <c r="F268" s="21" t="s">
        <v>1214</v>
      </c>
      <c r="G268" s="68">
        <v>1.3</v>
      </c>
      <c r="H268" s="44" t="s">
        <v>32</v>
      </c>
      <c r="I268" s="15"/>
      <c r="J268" s="68" t="s">
        <v>1205</v>
      </c>
      <c r="K268" s="68" t="s">
        <v>51</v>
      </c>
      <c r="L268" s="26"/>
      <c r="M268" s="26"/>
      <c r="N268" s="44"/>
      <c r="O268" s="44" t="s">
        <v>35</v>
      </c>
      <c r="P268" s="44"/>
      <c r="Q268" s="68" t="s">
        <v>1206</v>
      </c>
      <c r="R268" s="44" t="s">
        <v>37</v>
      </c>
      <c r="S268" s="26" t="s">
        <v>1215</v>
      </c>
      <c r="T268" s="44" t="s">
        <v>39</v>
      </c>
      <c r="U268" s="91"/>
      <c r="V268" s="94"/>
      <c r="W268" s="334"/>
      <c r="X268" s="41" t="str">
        <f>テーブル1[[#This Row],[開発]]&amp;テーブル1[[#This Row],[スコープ]]</f>
        <v>不要IN</v>
      </c>
      <c r="Y268" s="41" t="str">
        <f>IF(テーブル1[[#This Row],[列1]]="不要IN","標準",IF(テーブル1[[#This Row],[列1]]="不要OUT","スコープアウト",IF(テーブル1[[#This Row],[列1]]="必要IN","アドオン",IF(テーブル1[[#This Row],[列1]]="OUT","スコープアウト",""))))</f>
        <v>標準</v>
      </c>
      <c r="Z268" s="345" t="str">
        <f>VLOOKUP($B268,Sheet1!$C$2:$L$315,9,)</f>
        <v>会計システム標準機能</v>
      </c>
      <c r="AA268" s="340">
        <f>VLOOKUP($B268,Sheet1!$C$2:$L$315,10,)</f>
        <v>0</v>
      </c>
      <c r="AB268" s="347" t="s">
        <v>3203</v>
      </c>
      <c r="AC268" s="347" t="b">
        <f>テーブル1[[#This Row],[要求事項一覧
判定]]=テーブル1[[#This Row],[列2]]</f>
        <v>1</v>
      </c>
    </row>
    <row r="269" spans="1:29" ht="29">
      <c r="A269" s="1" t="str">
        <f>テーブル1[[#This Row],[対象部門]]&amp;テーブル1[[#This Row],[業務要件回答表からの事前回答案_v1.0.xlsxより]]</f>
        <v>固定資産管理1.4</v>
      </c>
      <c r="B269" s="1" t="s">
        <v>2941</v>
      </c>
      <c r="D269" s="62" t="s">
        <v>1216</v>
      </c>
      <c r="E269" s="63" t="s">
        <v>1217</v>
      </c>
      <c r="F269" s="64" t="s">
        <v>1218</v>
      </c>
      <c r="G269" s="72">
        <v>1.4</v>
      </c>
      <c r="H269" s="67" t="s">
        <v>32</v>
      </c>
      <c r="I269" s="65"/>
      <c r="J269" s="72" t="s">
        <v>1205</v>
      </c>
      <c r="K269" s="72" t="s">
        <v>51</v>
      </c>
      <c r="L269" s="66" t="s">
        <v>1219</v>
      </c>
      <c r="M269" s="63" t="s">
        <v>1220</v>
      </c>
      <c r="N269" s="67"/>
      <c r="O269" s="67"/>
      <c r="P269" s="67"/>
      <c r="Q269" s="72" t="s">
        <v>1206</v>
      </c>
      <c r="R269" s="67" t="s">
        <v>37</v>
      </c>
      <c r="S269" s="63" t="s">
        <v>1221</v>
      </c>
      <c r="T269" s="67" t="s">
        <v>39</v>
      </c>
      <c r="U269" s="97"/>
      <c r="V269" s="94"/>
      <c r="W269" s="334"/>
      <c r="X269" s="41" t="str">
        <f>テーブル1[[#This Row],[開発]]&amp;テーブル1[[#This Row],[スコープ]]</f>
        <v>不要IN</v>
      </c>
      <c r="Y269" s="41" t="str">
        <f>IF(テーブル1[[#This Row],[列1]]="不要IN","標準",IF(テーブル1[[#This Row],[列1]]="不要OUT","スコープアウト",IF(テーブル1[[#This Row],[列1]]="必要IN","アドオン",IF(テーブル1[[#This Row],[列1]]="OUT","スコープアウト",""))))</f>
        <v>標準</v>
      </c>
      <c r="Z269" s="345" t="str">
        <f>VLOOKUP($B269,Sheet1!$C$2:$L$315,9,)</f>
        <v>会計システム標準機能</v>
      </c>
      <c r="AA269" s="340" t="str">
        <f>VLOOKUP($B269,Sheet1!$C$2:$L$315,10,)</f>
        <v>一般仕訳帳で対応</v>
      </c>
      <c r="AB269" s="347" t="s">
        <v>3203</v>
      </c>
      <c r="AC269" s="347" t="b">
        <f>テーブル1[[#This Row],[要求事項一覧
判定]]=テーブル1[[#This Row],[列2]]</f>
        <v>1</v>
      </c>
    </row>
    <row r="270" spans="1:29" ht="29">
      <c r="A270" s="1" t="str">
        <f>テーブル1[[#This Row],[対象部門]]&amp;テーブル1[[#This Row],[業務要件回答表からの事前回答案_v1.0.xlsxより]]</f>
        <v>固定資産管理1.5</v>
      </c>
      <c r="B270" s="1" t="s">
        <v>2942</v>
      </c>
      <c r="D270" s="10" t="s">
        <v>1222</v>
      </c>
      <c r="E270" s="26" t="s">
        <v>1223</v>
      </c>
      <c r="F270" s="21" t="s">
        <v>1224</v>
      </c>
      <c r="G270" s="68">
        <v>1.5</v>
      </c>
      <c r="H270" s="44" t="s">
        <v>32</v>
      </c>
      <c r="I270" s="15"/>
      <c r="J270" s="68" t="s">
        <v>1205</v>
      </c>
      <c r="K270" s="68" t="s">
        <v>51</v>
      </c>
      <c r="L270" s="26"/>
      <c r="M270" s="26"/>
      <c r="N270" s="44"/>
      <c r="O270" s="44" t="s">
        <v>35</v>
      </c>
      <c r="P270" s="44"/>
      <c r="Q270" s="68" t="s">
        <v>1206</v>
      </c>
      <c r="R270" s="44" t="s">
        <v>37</v>
      </c>
      <c r="S270" s="26" t="s">
        <v>1225</v>
      </c>
      <c r="T270" s="44" t="s">
        <v>39</v>
      </c>
      <c r="U270" s="91"/>
      <c r="V270" s="94"/>
      <c r="W270" s="334"/>
      <c r="X270" s="41" t="str">
        <f>テーブル1[[#This Row],[開発]]&amp;テーブル1[[#This Row],[スコープ]]</f>
        <v>不要IN</v>
      </c>
      <c r="Y270" s="41" t="str">
        <f>IF(テーブル1[[#This Row],[列1]]="不要IN","標準",IF(テーブル1[[#This Row],[列1]]="不要OUT","スコープアウト",IF(テーブル1[[#This Row],[列1]]="必要IN","アドオン",IF(テーブル1[[#This Row],[列1]]="OUT","スコープアウト",""))))</f>
        <v>標準</v>
      </c>
      <c r="Z270" s="345" t="str">
        <f>VLOOKUP($B270,Sheet1!$C$2:$L$315,9,)</f>
        <v>会計システム標準機能</v>
      </c>
      <c r="AA270" s="340">
        <f>VLOOKUP($B270,Sheet1!$C$2:$L$315,10,)</f>
        <v>0</v>
      </c>
      <c r="AB270" s="347" t="s">
        <v>3203</v>
      </c>
      <c r="AC270" s="347" t="b">
        <f>テーブル1[[#This Row],[要求事項一覧
判定]]=テーブル1[[#This Row],[列2]]</f>
        <v>1</v>
      </c>
    </row>
    <row r="271" spans="1:29" ht="43.5">
      <c r="A271" s="1" t="str">
        <f>テーブル1[[#This Row],[対象部門]]&amp;テーブル1[[#This Row],[業務要件回答表からの事前回答案_v1.0.xlsxより]]</f>
        <v>固定資産管理1.6</v>
      </c>
      <c r="B271" s="1" t="s">
        <v>2943</v>
      </c>
      <c r="D271" s="10" t="s">
        <v>1226</v>
      </c>
      <c r="E271" s="26" t="s">
        <v>1227</v>
      </c>
      <c r="F271" s="21" t="s">
        <v>1228</v>
      </c>
      <c r="G271" s="68">
        <v>1.6</v>
      </c>
      <c r="H271" s="44" t="s">
        <v>32</v>
      </c>
      <c r="I271" s="15"/>
      <c r="J271" s="68" t="s">
        <v>1205</v>
      </c>
      <c r="K271" s="68" t="s">
        <v>51</v>
      </c>
      <c r="L271" s="26" t="s">
        <v>1229</v>
      </c>
      <c r="M271" s="26" t="s">
        <v>1230</v>
      </c>
      <c r="N271" s="44"/>
      <c r="O271" s="44" t="s">
        <v>35</v>
      </c>
      <c r="P271" s="44"/>
      <c r="Q271" s="68" t="s">
        <v>1206</v>
      </c>
      <c r="R271" s="44" t="s">
        <v>37</v>
      </c>
      <c r="S271" s="26"/>
      <c r="T271" s="44" t="s">
        <v>91</v>
      </c>
      <c r="U271" s="98"/>
      <c r="V271" s="94"/>
      <c r="W271" s="334"/>
      <c r="X271" s="41" t="str">
        <f>テーブル1[[#This Row],[開発]]&amp;テーブル1[[#This Row],[スコープ]]</f>
        <v>不要OUT</v>
      </c>
      <c r="Y271" s="41" t="str">
        <f>IF(テーブル1[[#This Row],[列1]]="不要IN","標準",IF(テーブル1[[#This Row],[列1]]="不要OUT","スコープアウト",IF(テーブル1[[#This Row],[列1]]="必要IN","アドオン",IF(テーブル1[[#This Row],[列1]]="OUT","スコープアウト",""))))</f>
        <v>スコープアウト</v>
      </c>
      <c r="Z271" s="346" t="str">
        <f>VLOOKUP($B271,Sheet1!$C$2:$L$315,9,)</f>
        <v>会計システムアドオン</v>
      </c>
      <c r="AA271" s="340" t="str">
        <f>VLOOKUP($B271,Sheet1!$C$2:$L$315,10,)</f>
        <v>取得資産の増減処理を同年度内過去に遡って実施する機能を開発。</v>
      </c>
      <c r="AB271" s="347" t="s">
        <v>3205</v>
      </c>
      <c r="AC271" s="347" t="b">
        <f>テーブル1[[#This Row],[要求事項一覧
判定]]=テーブル1[[#This Row],[列2]]</f>
        <v>0</v>
      </c>
    </row>
    <row r="272" spans="1:29" ht="29">
      <c r="A272" s="1" t="str">
        <f>テーブル1[[#This Row],[対象部門]]&amp;テーブル1[[#This Row],[業務要件回答表からの事前回答案_v1.0.xlsxより]]</f>
        <v>固定資産管理1.7</v>
      </c>
      <c r="B272" s="1" t="s">
        <v>2944</v>
      </c>
      <c r="D272" s="10" t="s">
        <v>1231</v>
      </c>
      <c r="E272" s="26" t="s">
        <v>1232</v>
      </c>
      <c r="F272" s="21" t="s">
        <v>1233</v>
      </c>
      <c r="G272" s="68">
        <v>1.7</v>
      </c>
      <c r="H272" s="44" t="s">
        <v>32</v>
      </c>
      <c r="I272" s="15"/>
      <c r="J272" s="68" t="s">
        <v>1205</v>
      </c>
      <c r="K272" s="68" t="s">
        <v>51</v>
      </c>
      <c r="L272" s="26"/>
      <c r="M272" s="26" t="s">
        <v>1234</v>
      </c>
      <c r="N272" s="44"/>
      <c r="O272" s="44" t="s">
        <v>35</v>
      </c>
      <c r="P272" s="44"/>
      <c r="Q272" s="68" t="s">
        <v>1206</v>
      </c>
      <c r="R272" s="44" t="s">
        <v>37</v>
      </c>
      <c r="S272" s="26" t="s">
        <v>1235</v>
      </c>
      <c r="T272" s="44" t="s">
        <v>39</v>
      </c>
      <c r="U272" s="91"/>
      <c r="V272" s="94"/>
      <c r="W272" s="334"/>
      <c r="X272" s="41" t="str">
        <f>テーブル1[[#This Row],[開発]]&amp;テーブル1[[#This Row],[スコープ]]</f>
        <v>不要IN</v>
      </c>
      <c r="Y272" s="41" t="str">
        <f>IF(テーブル1[[#This Row],[列1]]="不要IN","標準",IF(テーブル1[[#This Row],[列1]]="不要OUT","スコープアウト",IF(テーブル1[[#This Row],[列1]]="必要IN","アドオン",IF(テーブル1[[#This Row],[列1]]="OUT","スコープアウト",""))))</f>
        <v>標準</v>
      </c>
      <c r="Z272" s="345" t="str">
        <f>VLOOKUP($B272,Sheet1!$C$2:$L$315,9,)</f>
        <v>会計システム標準機能</v>
      </c>
      <c r="AA272" s="340">
        <f>VLOOKUP($B272,Sheet1!$C$2:$L$315,10,)</f>
        <v>0</v>
      </c>
      <c r="AB272" s="347" t="s">
        <v>3203</v>
      </c>
      <c r="AC272" s="347" t="b">
        <f>テーブル1[[#This Row],[要求事項一覧
判定]]=テーブル1[[#This Row],[列2]]</f>
        <v>1</v>
      </c>
    </row>
    <row r="273" spans="1:29" ht="72.5">
      <c r="A273" s="1" t="str">
        <f>テーブル1[[#This Row],[対象部門]]&amp;テーブル1[[#This Row],[業務要件回答表からの事前回答案_v1.0.xlsxより]]</f>
        <v>固定資産管理2.1</v>
      </c>
      <c r="B273" s="1" t="s">
        <v>2945</v>
      </c>
      <c r="D273" s="10" t="s">
        <v>1236</v>
      </c>
      <c r="E273" s="26" t="s">
        <v>1237</v>
      </c>
      <c r="F273" s="21" t="s">
        <v>1238</v>
      </c>
      <c r="G273" s="68">
        <v>2.1</v>
      </c>
      <c r="H273" s="44" t="s">
        <v>32</v>
      </c>
      <c r="I273" s="15"/>
      <c r="J273" s="68" t="s">
        <v>1205</v>
      </c>
      <c r="K273" s="68" t="s">
        <v>34</v>
      </c>
      <c r="L273" s="26" t="s">
        <v>1239</v>
      </c>
      <c r="M273" s="26" t="s">
        <v>1240</v>
      </c>
      <c r="N273" s="44"/>
      <c r="O273" s="44" t="s">
        <v>35</v>
      </c>
      <c r="P273" s="44"/>
      <c r="Q273" s="68" t="s">
        <v>1206</v>
      </c>
      <c r="R273" s="44" t="s">
        <v>37</v>
      </c>
      <c r="S273" s="26" t="s">
        <v>1241</v>
      </c>
      <c r="T273" s="44" t="s">
        <v>39</v>
      </c>
      <c r="U273" s="98"/>
      <c r="V273" s="94"/>
      <c r="W273" s="334"/>
      <c r="X273" s="41" t="str">
        <f>テーブル1[[#This Row],[開発]]&amp;テーブル1[[#This Row],[スコープ]]</f>
        <v>不要IN</v>
      </c>
      <c r="Y273" s="41" t="str">
        <f>IF(テーブル1[[#This Row],[列1]]="不要IN","標準",IF(テーブル1[[#This Row],[列1]]="不要OUT","スコープアウト",IF(テーブル1[[#This Row],[列1]]="必要IN","アドオン",IF(テーブル1[[#This Row],[列1]]="OUT","スコープアウト",""))))</f>
        <v>標準</v>
      </c>
      <c r="Z273" s="345" t="str">
        <f>VLOOKUP($B273,Sheet1!$C$2:$L$315,9,)</f>
        <v>会計システム標準機能</v>
      </c>
      <c r="AA273" s="340">
        <f>VLOOKUP($B273,Sheet1!$C$2:$L$315,10,)</f>
        <v>0</v>
      </c>
      <c r="AB273" s="347" t="s">
        <v>3203</v>
      </c>
      <c r="AC273" s="347" t="b">
        <f>テーブル1[[#This Row],[要求事項一覧
判定]]=テーブル1[[#This Row],[列2]]</f>
        <v>1</v>
      </c>
    </row>
    <row r="274" spans="1:29" ht="87">
      <c r="A274" s="1" t="str">
        <f>テーブル1[[#This Row],[対象部門]]&amp;テーブル1[[#This Row],[業務要件回答表からの事前回答案_v1.0.xlsxより]]</f>
        <v>固定資産管理3.1</v>
      </c>
      <c r="B274" s="1" t="s">
        <v>2946</v>
      </c>
      <c r="D274" s="10" t="s">
        <v>1242</v>
      </c>
      <c r="E274" s="26" t="s">
        <v>1243</v>
      </c>
      <c r="F274" s="21" t="s">
        <v>1244</v>
      </c>
      <c r="G274" s="68">
        <v>3.1</v>
      </c>
      <c r="H274" s="44" t="s">
        <v>32</v>
      </c>
      <c r="I274" s="15"/>
      <c r="J274" s="68" t="s">
        <v>1205</v>
      </c>
      <c r="K274" s="68" t="s">
        <v>34</v>
      </c>
      <c r="L274" s="26"/>
      <c r="M274" s="4"/>
      <c r="N274" s="44"/>
      <c r="O274" s="44" t="s">
        <v>35</v>
      </c>
      <c r="P274" s="44"/>
      <c r="Q274" s="68" t="s">
        <v>1206</v>
      </c>
      <c r="R274" s="44" t="s">
        <v>37</v>
      </c>
      <c r="S274" s="26" t="s">
        <v>1245</v>
      </c>
      <c r="T274" s="44" t="s">
        <v>39</v>
      </c>
      <c r="U274" s="91"/>
      <c r="V274" s="94"/>
      <c r="W274" s="334"/>
      <c r="X274" s="41" t="str">
        <f>テーブル1[[#This Row],[開発]]&amp;テーブル1[[#This Row],[スコープ]]</f>
        <v>不要IN</v>
      </c>
      <c r="Y274" s="41" t="str">
        <f>IF(テーブル1[[#This Row],[列1]]="不要IN","標準",IF(テーブル1[[#This Row],[列1]]="不要OUT","スコープアウト",IF(テーブル1[[#This Row],[列1]]="必要IN","アドオン",IF(テーブル1[[#This Row],[列1]]="OUT","スコープアウト",""))))</f>
        <v>標準</v>
      </c>
      <c r="Z274" s="345" t="str">
        <f>VLOOKUP($B274,Sheet1!$C$2:$L$315,9,)</f>
        <v>会計システム標準機能</v>
      </c>
      <c r="AA274" s="340">
        <f>VLOOKUP($B274,Sheet1!$C$2:$L$315,10,)</f>
        <v>0</v>
      </c>
      <c r="AB274" s="347" t="s">
        <v>3203</v>
      </c>
      <c r="AC274" s="347" t="b">
        <f>テーブル1[[#This Row],[要求事項一覧
判定]]=テーブル1[[#This Row],[列2]]</f>
        <v>1</v>
      </c>
    </row>
    <row r="275" spans="1:29" ht="58">
      <c r="A275" s="1" t="str">
        <f>テーブル1[[#This Row],[対象部門]]&amp;テーブル1[[#This Row],[業務要件回答表からの事前回答案_v1.0.xlsxより]]</f>
        <v>固定資産管理4.1</v>
      </c>
      <c r="B275" s="1" t="s">
        <v>2947</v>
      </c>
      <c r="D275" s="10" t="s">
        <v>1246</v>
      </c>
      <c r="E275" s="26" t="s">
        <v>1247</v>
      </c>
      <c r="F275" s="21" t="s">
        <v>1248</v>
      </c>
      <c r="G275" s="68">
        <v>4.0999999999999996</v>
      </c>
      <c r="H275" s="44" t="s">
        <v>32</v>
      </c>
      <c r="I275" s="15"/>
      <c r="J275" s="68" t="s">
        <v>1205</v>
      </c>
      <c r="K275" s="68" t="s">
        <v>51</v>
      </c>
      <c r="L275" s="26"/>
      <c r="M275" s="30"/>
      <c r="N275" s="44"/>
      <c r="O275" s="44" t="s">
        <v>35</v>
      </c>
      <c r="P275" s="44"/>
      <c r="Q275" s="68" t="s">
        <v>1206</v>
      </c>
      <c r="R275" s="44" t="s">
        <v>37</v>
      </c>
      <c r="S275" s="26" t="s">
        <v>1249</v>
      </c>
      <c r="T275" s="44" t="s">
        <v>39</v>
      </c>
      <c r="U275" s="91"/>
      <c r="V275" s="94"/>
      <c r="W275" s="334"/>
      <c r="X275" s="41" t="str">
        <f>テーブル1[[#This Row],[開発]]&amp;テーブル1[[#This Row],[スコープ]]</f>
        <v>不要IN</v>
      </c>
      <c r="Y275" s="41" t="str">
        <f>IF(テーブル1[[#This Row],[列1]]="不要IN","標準",IF(テーブル1[[#This Row],[列1]]="不要OUT","スコープアウト",IF(テーブル1[[#This Row],[列1]]="必要IN","アドオン",IF(テーブル1[[#This Row],[列1]]="OUT","スコープアウト",""))))</f>
        <v>標準</v>
      </c>
      <c r="Z275" s="345" t="str">
        <f>VLOOKUP($B275,Sheet1!$C$2:$L$315,9,)</f>
        <v>会計システム標準機能</v>
      </c>
      <c r="AA275" s="340">
        <f>VLOOKUP($B275,Sheet1!$C$2:$L$315,10,)</f>
        <v>0</v>
      </c>
      <c r="AB275" s="347" t="s">
        <v>3203</v>
      </c>
      <c r="AC275" s="347" t="b">
        <f>テーブル1[[#This Row],[要求事項一覧
判定]]=テーブル1[[#This Row],[列2]]</f>
        <v>1</v>
      </c>
    </row>
    <row r="276" spans="1:29" ht="43.5">
      <c r="A276" s="1" t="str">
        <f>テーブル1[[#This Row],[対象部門]]&amp;テーブル1[[#This Row],[業務要件回答表からの事前回答案_v1.0.xlsxより]]</f>
        <v>固定資産管理4.2</v>
      </c>
      <c r="B276" s="1" t="s">
        <v>2948</v>
      </c>
      <c r="D276" s="10" t="s">
        <v>1250</v>
      </c>
      <c r="E276" s="26" t="s">
        <v>1251</v>
      </c>
      <c r="F276" s="21" t="s">
        <v>1252</v>
      </c>
      <c r="G276" s="68">
        <v>4.2</v>
      </c>
      <c r="H276" s="44" t="s">
        <v>32</v>
      </c>
      <c r="I276" s="15"/>
      <c r="J276" s="68" t="s">
        <v>1205</v>
      </c>
      <c r="K276" s="68" t="s">
        <v>51</v>
      </c>
      <c r="L276" s="26"/>
      <c r="M276" s="4"/>
      <c r="N276" s="44"/>
      <c r="O276" s="44" t="s">
        <v>35</v>
      </c>
      <c r="P276" s="44"/>
      <c r="Q276" s="68" t="s">
        <v>1206</v>
      </c>
      <c r="R276" s="44" t="s">
        <v>37</v>
      </c>
      <c r="S276" s="26" t="s">
        <v>1253</v>
      </c>
      <c r="T276" s="44" t="s">
        <v>39</v>
      </c>
      <c r="U276" s="91"/>
      <c r="V276" s="94"/>
      <c r="W276" s="334"/>
      <c r="X276" s="41" t="str">
        <f>テーブル1[[#This Row],[開発]]&amp;テーブル1[[#This Row],[スコープ]]</f>
        <v>不要IN</v>
      </c>
      <c r="Y276" s="41" t="str">
        <f>IF(テーブル1[[#This Row],[列1]]="不要IN","標準",IF(テーブル1[[#This Row],[列1]]="不要OUT","スコープアウト",IF(テーブル1[[#This Row],[列1]]="必要IN","アドオン",IF(テーブル1[[#This Row],[列1]]="OUT","スコープアウト",""))))</f>
        <v>標準</v>
      </c>
      <c r="Z276" s="345" t="str">
        <f>VLOOKUP($B276,Sheet1!$C$2:$L$315,9,)</f>
        <v>会計システム標準機能</v>
      </c>
      <c r="AA276" s="340">
        <f>VLOOKUP($B276,Sheet1!$C$2:$L$315,10,)</f>
        <v>0</v>
      </c>
      <c r="AB276" s="347" t="s">
        <v>3203</v>
      </c>
      <c r="AC276" s="347" t="b">
        <f>テーブル1[[#This Row],[要求事項一覧
判定]]=テーブル1[[#This Row],[列2]]</f>
        <v>1</v>
      </c>
    </row>
    <row r="277" spans="1:29" ht="16.5">
      <c r="A277" s="1" t="str">
        <f>テーブル1[[#This Row],[対象部門]]&amp;テーブル1[[#This Row],[業務要件回答表からの事前回答案_v1.0.xlsxより]]</f>
        <v>固定資産管理4.3</v>
      </c>
      <c r="B277" s="1" t="s">
        <v>2949</v>
      </c>
      <c r="D277" s="10" t="s">
        <v>1254</v>
      </c>
      <c r="E277" s="26" t="s">
        <v>1255</v>
      </c>
      <c r="F277" s="21" t="s">
        <v>1256</v>
      </c>
      <c r="G277" s="68">
        <v>4.3</v>
      </c>
      <c r="H277" s="44" t="s">
        <v>32</v>
      </c>
      <c r="I277" s="15"/>
      <c r="J277" s="68" t="s">
        <v>1205</v>
      </c>
      <c r="K277" s="68" t="s">
        <v>51</v>
      </c>
      <c r="L277" s="26"/>
      <c r="M277" s="26"/>
      <c r="N277" s="44"/>
      <c r="O277" s="44" t="s">
        <v>35</v>
      </c>
      <c r="P277" s="44"/>
      <c r="Q277" s="68" t="s">
        <v>1206</v>
      </c>
      <c r="R277" s="44" t="s">
        <v>37</v>
      </c>
      <c r="S277" s="26" t="s">
        <v>1257</v>
      </c>
      <c r="T277" s="44" t="s">
        <v>39</v>
      </c>
      <c r="U277" s="91"/>
      <c r="V277" s="94"/>
      <c r="W277" s="334"/>
      <c r="X277" s="41" t="str">
        <f>テーブル1[[#This Row],[開発]]&amp;テーブル1[[#This Row],[スコープ]]</f>
        <v>不要IN</v>
      </c>
      <c r="Y277" s="41" t="str">
        <f>IF(テーブル1[[#This Row],[列1]]="不要IN","標準",IF(テーブル1[[#This Row],[列1]]="不要OUT","スコープアウト",IF(テーブル1[[#This Row],[列1]]="必要IN","アドオン",IF(テーブル1[[#This Row],[列1]]="OUT","スコープアウト",""))))</f>
        <v>標準</v>
      </c>
      <c r="Z277" s="345" t="str">
        <f>VLOOKUP($B277,Sheet1!$C$2:$L$315,9,)</f>
        <v>会計システム標準機能</v>
      </c>
      <c r="AA277" s="340">
        <f>VLOOKUP($B277,Sheet1!$C$2:$L$315,10,)</f>
        <v>0</v>
      </c>
      <c r="AB277" s="347" t="s">
        <v>3203</v>
      </c>
      <c r="AC277" s="347" t="b">
        <f>テーブル1[[#This Row],[要求事項一覧
判定]]=テーブル1[[#This Row],[列2]]</f>
        <v>1</v>
      </c>
    </row>
    <row r="278" spans="1:29" ht="14.5">
      <c r="A278" s="1" t="str">
        <f>テーブル1[[#This Row],[対象部門]]&amp;テーブル1[[#This Row],[業務要件回答表からの事前回答案_v1.0.xlsxより]]</f>
        <v>固定資産管理4.4</v>
      </c>
      <c r="B278" s="1" t="s">
        <v>2950</v>
      </c>
      <c r="D278" s="10" t="s">
        <v>1258</v>
      </c>
      <c r="E278" s="26" t="s">
        <v>1259</v>
      </c>
      <c r="F278" s="21" t="s">
        <v>1260</v>
      </c>
      <c r="G278" s="68">
        <v>4.4000000000000004</v>
      </c>
      <c r="H278" s="44" t="s">
        <v>32</v>
      </c>
      <c r="I278" s="15"/>
      <c r="J278" s="68" t="s">
        <v>1205</v>
      </c>
      <c r="K278" s="68" t="s">
        <v>51</v>
      </c>
      <c r="L278" s="26"/>
      <c r="M278" s="30"/>
      <c r="N278" s="44"/>
      <c r="O278" s="44" t="s">
        <v>35</v>
      </c>
      <c r="P278" s="44"/>
      <c r="Q278" s="68" t="s">
        <v>1206</v>
      </c>
      <c r="R278" s="44" t="s">
        <v>37</v>
      </c>
      <c r="S278" s="26" t="s">
        <v>1261</v>
      </c>
      <c r="T278" s="44" t="s">
        <v>39</v>
      </c>
      <c r="U278" s="91"/>
      <c r="V278" s="94"/>
      <c r="W278" s="334"/>
      <c r="X278" s="41" t="str">
        <f>テーブル1[[#This Row],[開発]]&amp;テーブル1[[#This Row],[スコープ]]</f>
        <v>不要IN</v>
      </c>
      <c r="Y278" s="41" t="str">
        <f>IF(テーブル1[[#This Row],[列1]]="不要IN","標準",IF(テーブル1[[#This Row],[列1]]="不要OUT","スコープアウト",IF(テーブル1[[#This Row],[列1]]="必要IN","アドオン",IF(テーブル1[[#This Row],[列1]]="OUT","スコープアウト",""))))</f>
        <v>標準</v>
      </c>
      <c r="Z278" s="345" t="str">
        <f>VLOOKUP($B278,Sheet1!$C$2:$L$315,9,)</f>
        <v>会計システム標準機能</v>
      </c>
      <c r="AA278" s="340">
        <f>VLOOKUP($B278,Sheet1!$C$2:$L$315,10,)</f>
        <v>0</v>
      </c>
      <c r="AB278" s="347" t="s">
        <v>3203</v>
      </c>
      <c r="AC278" s="347" t="b">
        <f>テーブル1[[#This Row],[要求事項一覧
判定]]=テーブル1[[#This Row],[列2]]</f>
        <v>1</v>
      </c>
    </row>
    <row r="279" spans="1:29" ht="43.5">
      <c r="A279" s="1" t="str">
        <f>テーブル1[[#This Row],[対象部門]]&amp;テーブル1[[#This Row],[業務要件回答表からの事前回答案_v1.0.xlsxより]]</f>
        <v>固定資産管理4.5</v>
      </c>
      <c r="B279" s="1" t="s">
        <v>2951</v>
      </c>
      <c r="D279" s="10" t="s">
        <v>1262</v>
      </c>
      <c r="E279" s="26" t="s">
        <v>1263</v>
      </c>
      <c r="F279" s="21" t="s">
        <v>1264</v>
      </c>
      <c r="G279" s="68">
        <v>4.5</v>
      </c>
      <c r="H279" s="44" t="s">
        <v>32</v>
      </c>
      <c r="I279" s="15"/>
      <c r="J279" s="68" t="s">
        <v>1205</v>
      </c>
      <c r="K279" s="68" t="s">
        <v>51</v>
      </c>
      <c r="L279" s="26"/>
      <c r="M279" s="4"/>
      <c r="N279" s="44"/>
      <c r="O279" s="44" t="s">
        <v>35</v>
      </c>
      <c r="P279" s="44"/>
      <c r="Q279" s="68" t="s">
        <v>1206</v>
      </c>
      <c r="R279" s="44" t="s">
        <v>37</v>
      </c>
      <c r="S279" s="26" t="s">
        <v>1265</v>
      </c>
      <c r="T279" s="44" t="s">
        <v>39</v>
      </c>
      <c r="U279" s="91"/>
      <c r="V279" s="94"/>
      <c r="W279" s="334"/>
      <c r="X279" s="41" t="str">
        <f>テーブル1[[#This Row],[開発]]&amp;テーブル1[[#This Row],[スコープ]]</f>
        <v>不要IN</v>
      </c>
      <c r="Y279" s="41" t="str">
        <f>IF(テーブル1[[#This Row],[列1]]="不要IN","標準",IF(テーブル1[[#This Row],[列1]]="不要OUT","スコープアウト",IF(テーブル1[[#This Row],[列1]]="必要IN","アドオン",IF(テーブル1[[#This Row],[列1]]="OUT","スコープアウト",""))))</f>
        <v>標準</v>
      </c>
      <c r="Z279" s="345" t="str">
        <f>VLOOKUP($B279,Sheet1!$C$2:$L$315,9,)</f>
        <v>会計システム標準機能</v>
      </c>
      <c r="AA279" s="340">
        <f>VLOOKUP($B279,Sheet1!$C$2:$L$315,10,)</f>
        <v>0</v>
      </c>
      <c r="AB279" s="347" t="s">
        <v>3203</v>
      </c>
      <c r="AC279" s="347" t="b">
        <f>テーブル1[[#This Row],[要求事項一覧
判定]]=テーブル1[[#This Row],[列2]]</f>
        <v>1</v>
      </c>
    </row>
    <row r="280" spans="1:29" ht="87">
      <c r="A280" s="1" t="str">
        <f>テーブル1[[#This Row],[対象部門]]&amp;テーブル1[[#This Row],[業務要件回答表からの事前回答案_v1.0.xlsxより]]</f>
        <v>固定資産管理4.6</v>
      </c>
      <c r="B280" s="1" t="s">
        <v>2952</v>
      </c>
      <c r="D280" s="10" t="s">
        <v>1266</v>
      </c>
      <c r="E280" s="26" t="s">
        <v>1267</v>
      </c>
      <c r="F280" s="21" t="s">
        <v>1268</v>
      </c>
      <c r="G280" s="68">
        <v>4.5999999999999996</v>
      </c>
      <c r="H280" s="44" t="s">
        <v>32</v>
      </c>
      <c r="I280" s="15"/>
      <c r="J280" s="68" t="s">
        <v>1205</v>
      </c>
      <c r="K280" s="68" t="s">
        <v>51</v>
      </c>
      <c r="L280" s="26"/>
      <c r="M280" s="30"/>
      <c r="N280" s="44"/>
      <c r="O280" s="44" t="s">
        <v>35</v>
      </c>
      <c r="P280" s="44"/>
      <c r="Q280" s="68" t="s">
        <v>1206</v>
      </c>
      <c r="R280" s="44" t="s">
        <v>37</v>
      </c>
      <c r="S280" s="26" t="s">
        <v>1269</v>
      </c>
      <c r="T280" s="44" t="s">
        <v>39</v>
      </c>
      <c r="U280" s="91"/>
      <c r="V280" s="94"/>
      <c r="W280" s="334"/>
      <c r="X280" s="41" t="str">
        <f>テーブル1[[#This Row],[開発]]&amp;テーブル1[[#This Row],[スコープ]]</f>
        <v>不要IN</v>
      </c>
      <c r="Y280" s="41" t="str">
        <f>IF(テーブル1[[#This Row],[列1]]="不要IN","標準",IF(テーブル1[[#This Row],[列1]]="不要OUT","スコープアウト",IF(テーブル1[[#This Row],[列1]]="必要IN","アドオン",IF(テーブル1[[#This Row],[列1]]="OUT","スコープアウト",""))))</f>
        <v>標準</v>
      </c>
      <c r="Z280" s="345" t="str">
        <f>VLOOKUP($B280,Sheet1!$C$2:$L$315,9,)</f>
        <v>会計システム標準機能</v>
      </c>
      <c r="AA280" s="340" t="str">
        <f>VLOOKUP($B280,Sheet1!$C$2:$L$315,10,)</f>
        <v>ブロックする</v>
      </c>
      <c r="AB280" s="347" t="s">
        <v>3203</v>
      </c>
      <c r="AC280" s="347" t="b">
        <f>テーブル1[[#This Row],[要求事項一覧
判定]]=テーブル1[[#This Row],[列2]]</f>
        <v>1</v>
      </c>
    </row>
    <row r="281" spans="1:29" ht="43.5">
      <c r="A281" s="1" t="str">
        <f>テーブル1[[#This Row],[対象部門]]&amp;テーブル1[[#This Row],[業務要件回答表からの事前回答案_v1.0.xlsxより]]</f>
        <v>固定資産管理4.7</v>
      </c>
      <c r="B281" s="1" t="s">
        <v>2953</v>
      </c>
      <c r="D281" s="10" t="s">
        <v>1270</v>
      </c>
      <c r="E281" s="26" t="s">
        <v>1271</v>
      </c>
      <c r="F281" s="21" t="s">
        <v>1272</v>
      </c>
      <c r="G281" s="68">
        <v>4.7</v>
      </c>
      <c r="H281" s="44" t="s">
        <v>32</v>
      </c>
      <c r="I281" s="15"/>
      <c r="J281" s="68" t="s">
        <v>1205</v>
      </c>
      <c r="K281" s="68" t="s">
        <v>51</v>
      </c>
      <c r="L281" s="50" t="s">
        <v>1273</v>
      </c>
      <c r="M281" s="26" t="s">
        <v>1234</v>
      </c>
      <c r="N281" s="44"/>
      <c r="O281" s="44" t="s">
        <v>35</v>
      </c>
      <c r="P281" s="44"/>
      <c r="Q281" s="68" t="s">
        <v>1206</v>
      </c>
      <c r="R281" s="44" t="s">
        <v>37</v>
      </c>
      <c r="S281" s="26" t="s">
        <v>1274</v>
      </c>
      <c r="T281" s="44" t="s">
        <v>91</v>
      </c>
      <c r="U281" s="99" t="s">
        <v>1275</v>
      </c>
      <c r="V281" s="94"/>
      <c r="W281" s="334"/>
      <c r="X281" s="41" t="str">
        <f>テーブル1[[#This Row],[開発]]&amp;テーブル1[[#This Row],[スコープ]]</f>
        <v>不要OUT</v>
      </c>
      <c r="Y281" s="41" t="str">
        <f>IF(テーブル1[[#This Row],[列1]]="不要IN","標準",IF(テーブル1[[#This Row],[列1]]="不要OUT","スコープアウト",IF(テーブル1[[#This Row],[列1]]="必要IN","アドオン",IF(テーブル1[[#This Row],[列1]]="OUT","スコープアウト",""))))</f>
        <v>スコープアウト</v>
      </c>
      <c r="Z281" s="345" t="str">
        <f>VLOOKUP($B281,Sheet1!$C$2:$L$315,9,)</f>
        <v>会計システム標準機能</v>
      </c>
      <c r="AA281" s="340" t="str">
        <f>VLOOKUP($B281,Sheet1!$C$2:$L$315,10,)</f>
        <v>紐づく財務分析コードを振り返る仕訳で対応可能</v>
      </c>
      <c r="AB281" s="347" t="s">
        <v>3203</v>
      </c>
      <c r="AC281" s="347" t="b">
        <f>テーブル1[[#This Row],[要求事項一覧
判定]]=テーブル1[[#This Row],[列2]]</f>
        <v>0</v>
      </c>
    </row>
    <row r="282" spans="1:29" ht="43.5">
      <c r="A282" s="1" t="str">
        <f>テーブル1[[#This Row],[対象部門]]&amp;テーブル1[[#This Row],[業務要件回答表からの事前回答案_v1.0.xlsxより]]</f>
        <v>固定資産管理4.8</v>
      </c>
      <c r="B282" s="1" t="s">
        <v>2954</v>
      </c>
      <c r="D282" s="10" t="s">
        <v>1276</v>
      </c>
      <c r="E282" s="26" t="s">
        <v>1277</v>
      </c>
      <c r="F282" s="21" t="s">
        <v>1278</v>
      </c>
      <c r="G282" s="68">
        <v>4.8</v>
      </c>
      <c r="H282" s="44" t="s">
        <v>32</v>
      </c>
      <c r="I282" s="15"/>
      <c r="J282" s="68" t="s">
        <v>1205</v>
      </c>
      <c r="K282" s="68" t="s">
        <v>51</v>
      </c>
      <c r="L282" s="26"/>
      <c r="M282" s="55"/>
      <c r="N282" s="44"/>
      <c r="O282" s="44" t="s">
        <v>35</v>
      </c>
      <c r="P282" s="44"/>
      <c r="Q282" s="68" t="s">
        <v>1206</v>
      </c>
      <c r="R282" s="44" t="s">
        <v>37</v>
      </c>
      <c r="S282" s="26" t="s">
        <v>1279</v>
      </c>
      <c r="T282" s="44" t="s">
        <v>39</v>
      </c>
      <c r="U282" s="91"/>
      <c r="V282" s="94"/>
      <c r="W282" s="334"/>
      <c r="X282" s="41" t="str">
        <f>テーブル1[[#This Row],[開発]]&amp;テーブル1[[#This Row],[スコープ]]</f>
        <v>不要IN</v>
      </c>
      <c r="Y282" s="41" t="str">
        <f>IF(テーブル1[[#This Row],[列1]]="不要IN","標準",IF(テーブル1[[#This Row],[列1]]="不要OUT","スコープアウト",IF(テーブル1[[#This Row],[列1]]="必要IN","アドオン",IF(テーブル1[[#This Row],[列1]]="OUT","スコープアウト",""))))</f>
        <v>標準</v>
      </c>
      <c r="Z282" s="345" t="str">
        <f>VLOOKUP($B282,Sheet1!$C$2:$L$315,9,)</f>
        <v>会計システム標準機能</v>
      </c>
      <c r="AA282" s="340" t="str">
        <f>VLOOKUP($B282,Sheet1!$C$2:$L$315,10,)</f>
        <v>FO標準機能の財務諸表にて対応</v>
      </c>
      <c r="AB282" s="347" t="s">
        <v>3203</v>
      </c>
      <c r="AC282" s="347" t="b">
        <f>テーブル1[[#This Row],[要求事項一覧
判定]]=テーブル1[[#This Row],[列2]]</f>
        <v>1</v>
      </c>
    </row>
    <row r="283" spans="1:29" ht="43.5">
      <c r="A283" s="1" t="str">
        <f>テーブル1[[#This Row],[対象部門]]&amp;テーブル1[[#This Row],[業務要件回答表からの事前回答案_v1.0.xlsxより]]</f>
        <v>固定資産管理4.9</v>
      </c>
      <c r="B283" s="1" t="s">
        <v>2955</v>
      </c>
      <c r="D283" s="10" t="s">
        <v>1280</v>
      </c>
      <c r="E283" s="26" t="s">
        <v>1281</v>
      </c>
      <c r="F283" s="21" t="s">
        <v>1282</v>
      </c>
      <c r="G283" s="68">
        <v>4.9000000000000004</v>
      </c>
      <c r="H283" s="44" t="s">
        <v>32</v>
      </c>
      <c r="I283" s="15"/>
      <c r="J283" s="68" t="s">
        <v>1205</v>
      </c>
      <c r="K283" s="68" t="s">
        <v>51</v>
      </c>
      <c r="L283" s="26" t="s">
        <v>1283</v>
      </c>
      <c r="M283" s="26" t="s">
        <v>1230</v>
      </c>
      <c r="N283" s="44"/>
      <c r="O283" s="44" t="s">
        <v>35</v>
      </c>
      <c r="P283" s="44"/>
      <c r="Q283" s="68" t="s">
        <v>1206</v>
      </c>
      <c r="R283" s="44" t="s">
        <v>37</v>
      </c>
      <c r="S283" s="26"/>
      <c r="T283" s="44" t="s">
        <v>91</v>
      </c>
      <c r="U283" s="99" t="s">
        <v>1284</v>
      </c>
      <c r="V283" s="94"/>
      <c r="W283" s="334"/>
      <c r="X283" s="41" t="str">
        <f>テーブル1[[#This Row],[開発]]&amp;テーブル1[[#This Row],[スコープ]]</f>
        <v>不要OUT</v>
      </c>
      <c r="Y283" s="41" t="str">
        <f>IF(テーブル1[[#This Row],[列1]]="不要IN","標準",IF(テーブル1[[#This Row],[列1]]="不要OUT","スコープアウト",IF(テーブル1[[#This Row],[列1]]="必要IN","アドオン",IF(テーブル1[[#This Row],[列1]]="OUT","スコープアウト",""))))</f>
        <v>スコープアウト</v>
      </c>
      <c r="Z283" s="346" t="str">
        <f>VLOOKUP($B283,Sheet1!$C$2:$L$315,9,)</f>
        <v>会計システムアドオン</v>
      </c>
      <c r="AA283" s="340" t="str">
        <f>VLOOKUP($B283,Sheet1!$C$2:$L$315,10,)</f>
        <v>各予定をFO標準機能を利用して登録した後、償却シミュレーション機能については開発。</v>
      </c>
      <c r="AB283" s="347" t="s">
        <v>3205</v>
      </c>
      <c r="AC283" s="347" t="b">
        <f>テーブル1[[#This Row],[要求事項一覧
判定]]=テーブル1[[#This Row],[列2]]</f>
        <v>0</v>
      </c>
    </row>
    <row r="284" spans="1:29" ht="58">
      <c r="A284" s="1" t="str">
        <f>テーブル1[[#This Row],[対象部門]]&amp;テーブル1[[#This Row],[業務要件回答表からの事前回答案_v1.0.xlsxより]]</f>
        <v>固定資産管理5.1</v>
      </c>
      <c r="B284" s="1" t="s">
        <v>2956</v>
      </c>
      <c r="D284" s="10" t="s">
        <v>1285</v>
      </c>
      <c r="E284" s="26" t="s">
        <v>1286</v>
      </c>
      <c r="F284" s="21" t="s">
        <v>1287</v>
      </c>
      <c r="G284" s="68">
        <v>5.0999999999999996</v>
      </c>
      <c r="H284" s="44" t="s">
        <v>32</v>
      </c>
      <c r="I284" s="15"/>
      <c r="J284" s="68" t="s">
        <v>1205</v>
      </c>
      <c r="K284" s="68" t="s">
        <v>34</v>
      </c>
      <c r="L284" s="39" t="s">
        <v>1288</v>
      </c>
      <c r="M284" s="39" t="s">
        <v>1289</v>
      </c>
      <c r="N284" s="44"/>
      <c r="O284" s="44" t="s">
        <v>35</v>
      </c>
      <c r="P284" s="44"/>
      <c r="Q284" s="68" t="s">
        <v>1206</v>
      </c>
      <c r="R284" s="44" t="s">
        <v>37</v>
      </c>
      <c r="S284" s="26" t="s">
        <v>1290</v>
      </c>
      <c r="T284" s="44" t="s">
        <v>39</v>
      </c>
      <c r="U284" s="93" t="s">
        <v>1291</v>
      </c>
      <c r="V284" s="94"/>
      <c r="W284" s="334"/>
      <c r="X284" s="41" t="str">
        <f>テーブル1[[#This Row],[開発]]&amp;テーブル1[[#This Row],[スコープ]]</f>
        <v>不要IN</v>
      </c>
      <c r="Y284" s="41" t="str">
        <f>IF(テーブル1[[#This Row],[列1]]="不要IN","標準",IF(テーブル1[[#This Row],[列1]]="不要OUT","スコープアウト",IF(テーブル1[[#This Row],[列1]]="必要IN","アドオン",IF(テーブル1[[#This Row],[列1]]="OUT","スコープアウト",""))))</f>
        <v>標準</v>
      </c>
      <c r="Z284" s="345" t="str">
        <f>VLOOKUP($B284,Sheet1!$C$2:$L$315,9,)</f>
        <v>会計システム標準機能</v>
      </c>
      <c r="AA284" s="340">
        <f>VLOOKUP($B284,Sheet1!$C$2:$L$315,10,)</f>
        <v>0</v>
      </c>
      <c r="AB284" s="347" t="s">
        <v>3203</v>
      </c>
      <c r="AC284" s="347" t="b">
        <f>テーブル1[[#This Row],[要求事項一覧
判定]]=テーブル1[[#This Row],[列2]]</f>
        <v>1</v>
      </c>
    </row>
    <row r="285" spans="1:29" ht="29">
      <c r="A285" s="1" t="str">
        <f>テーブル1[[#This Row],[対象部門]]&amp;テーブル1[[#This Row],[業務要件回答表からの事前回答案_v1.0.xlsxより]]</f>
        <v>固定資産管理5.2</v>
      </c>
      <c r="B285" s="1" t="s">
        <v>2957</v>
      </c>
      <c r="D285" s="10" t="s">
        <v>1292</v>
      </c>
      <c r="E285" s="26" t="s">
        <v>1293</v>
      </c>
      <c r="F285" s="21" t="s">
        <v>1294</v>
      </c>
      <c r="G285" s="68">
        <v>5.2</v>
      </c>
      <c r="H285" s="44" t="s">
        <v>32</v>
      </c>
      <c r="I285" s="15"/>
      <c r="J285" s="68" t="s">
        <v>1205</v>
      </c>
      <c r="K285" s="68" t="s">
        <v>34</v>
      </c>
      <c r="L285" s="26"/>
      <c r="M285" s="26" t="s">
        <v>1295</v>
      </c>
      <c r="N285" s="44"/>
      <c r="O285" s="44" t="s">
        <v>35</v>
      </c>
      <c r="P285" s="44"/>
      <c r="Q285" s="68" t="s">
        <v>1206</v>
      </c>
      <c r="R285" s="44" t="s">
        <v>37</v>
      </c>
      <c r="S285" s="50"/>
      <c r="T285" s="44" t="s">
        <v>91</v>
      </c>
      <c r="U285" s="99" t="s">
        <v>1296</v>
      </c>
      <c r="V285" s="94"/>
      <c r="W285" s="334"/>
      <c r="X285" s="41" t="str">
        <f>テーブル1[[#This Row],[開発]]&amp;テーブル1[[#This Row],[スコープ]]</f>
        <v>不要OUT</v>
      </c>
      <c r="Y285" s="41" t="str">
        <f>IF(テーブル1[[#This Row],[列1]]="不要IN","標準",IF(テーブル1[[#This Row],[列1]]="不要OUT","スコープアウト",IF(テーブル1[[#This Row],[列1]]="必要IN","アドオン",IF(テーブル1[[#This Row],[列1]]="OUT","スコープアウト",""))))</f>
        <v>スコープアウト</v>
      </c>
      <c r="Z285" s="345" t="str">
        <f>VLOOKUP($B285,Sheet1!$C$2:$L$315,9,)</f>
        <v>会計システム標準機能</v>
      </c>
      <c r="AA285" s="340" t="str">
        <f>VLOOKUP($B285,Sheet1!$C$2:$L$315,10,)</f>
        <v>固定資産ごとに財務分析コードを設定し、対応する</v>
      </c>
      <c r="AB285" s="347" t="s">
        <v>3203</v>
      </c>
      <c r="AC285" s="347" t="b">
        <f>テーブル1[[#This Row],[要求事項一覧
判定]]=テーブル1[[#This Row],[列2]]</f>
        <v>0</v>
      </c>
    </row>
    <row r="286" spans="1:29" ht="58">
      <c r="A286" s="1" t="str">
        <f>テーブル1[[#This Row],[対象部門]]&amp;テーブル1[[#This Row],[業務要件回答表からの事前回答案_v1.0.xlsxより]]</f>
        <v>固定資産管理6.1</v>
      </c>
      <c r="B286" s="1" t="s">
        <v>2958</v>
      </c>
      <c r="D286" s="10" t="s">
        <v>1297</v>
      </c>
      <c r="E286" s="26" t="s">
        <v>1298</v>
      </c>
      <c r="F286" s="21" t="s">
        <v>1299</v>
      </c>
      <c r="G286" s="68">
        <v>6.1</v>
      </c>
      <c r="H286" s="44" t="s">
        <v>32</v>
      </c>
      <c r="I286" s="15"/>
      <c r="J286" s="68" t="s">
        <v>1205</v>
      </c>
      <c r="K286" s="68" t="s">
        <v>51</v>
      </c>
      <c r="L286" s="26"/>
      <c r="M286" s="26"/>
      <c r="N286" s="44"/>
      <c r="O286" s="44" t="s">
        <v>35</v>
      </c>
      <c r="P286" s="44"/>
      <c r="Q286" s="68" t="s">
        <v>1206</v>
      </c>
      <c r="R286" s="44" t="s">
        <v>37</v>
      </c>
      <c r="S286" s="26" t="s">
        <v>1300</v>
      </c>
      <c r="T286" s="44" t="s">
        <v>39</v>
      </c>
      <c r="U286" s="91"/>
      <c r="V286" s="94"/>
      <c r="W286" s="334"/>
      <c r="X286" s="41" t="str">
        <f>テーブル1[[#This Row],[開発]]&amp;テーブル1[[#This Row],[スコープ]]</f>
        <v>不要IN</v>
      </c>
      <c r="Y286" s="41" t="str">
        <f>IF(テーブル1[[#This Row],[列1]]="不要IN","標準",IF(テーブル1[[#This Row],[列1]]="不要OUT","スコープアウト",IF(テーブル1[[#This Row],[列1]]="必要IN","アドオン",IF(テーブル1[[#This Row],[列1]]="OUT","スコープアウト",""))))</f>
        <v>標準</v>
      </c>
      <c r="Z286" s="345" t="str">
        <f>VLOOKUP($B286,Sheet1!$C$2:$L$315,9,)</f>
        <v>会計システム標準機能</v>
      </c>
      <c r="AA286" s="340">
        <f>VLOOKUP($B286,Sheet1!$C$2:$L$315,10,)</f>
        <v>0</v>
      </c>
      <c r="AB286" s="347" t="s">
        <v>3203</v>
      </c>
      <c r="AC286" s="347" t="b">
        <f>テーブル1[[#This Row],[要求事項一覧
判定]]=テーブル1[[#This Row],[列2]]</f>
        <v>1</v>
      </c>
    </row>
    <row r="287" spans="1:29" ht="72.5">
      <c r="A287" s="1" t="str">
        <f>テーブル1[[#This Row],[対象部門]]&amp;テーブル1[[#This Row],[業務要件回答表からの事前回答案_v1.0.xlsxより]]</f>
        <v>固定資産管理6.2</v>
      </c>
      <c r="B287" s="1" t="s">
        <v>2959</v>
      </c>
      <c r="D287" s="10" t="s">
        <v>1301</v>
      </c>
      <c r="E287" s="26" t="s">
        <v>1302</v>
      </c>
      <c r="F287" s="21" t="s">
        <v>1303</v>
      </c>
      <c r="G287" s="68">
        <v>6.2</v>
      </c>
      <c r="H287" s="44" t="s">
        <v>32</v>
      </c>
      <c r="I287" s="15"/>
      <c r="J287" s="68" t="s">
        <v>1205</v>
      </c>
      <c r="K287" s="68" t="s">
        <v>51</v>
      </c>
      <c r="L287" s="26"/>
      <c r="M287" s="30"/>
      <c r="N287" s="44"/>
      <c r="O287" s="44" t="s">
        <v>35</v>
      </c>
      <c r="P287" s="44"/>
      <c r="Q287" s="68" t="s">
        <v>1206</v>
      </c>
      <c r="R287" s="44" t="s">
        <v>37</v>
      </c>
      <c r="S287" s="26" t="s">
        <v>1304</v>
      </c>
      <c r="T287" s="44" t="s">
        <v>39</v>
      </c>
      <c r="U287" s="91"/>
      <c r="V287" s="94"/>
      <c r="W287" s="334"/>
      <c r="X287" s="41" t="str">
        <f>テーブル1[[#This Row],[開発]]&amp;テーブル1[[#This Row],[スコープ]]</f>
        <v>不要IN</v>
      </c>
      <c r="Y287" s="41" t="str">
        <f>IF(テーブル1[[#This Row],[列1]]="不要IN","標準",IF(テーブル1[[#This Row],[列1]]="不要OUT","スコープアウト",IF(テーブル1[[#This Row],[列1]]="必要IN","アドオン",IF(テーブル1[[#This Row],[列1]]="OUT","スコープアウト",""))))</f>
        <v>標準</v>
      </c>
      <c r="Z287" s="346" t="str">
        <f>VLOOKUP($B287,Sheet1!$C$2:$L$315,9,)</f>
        <v>会計システムアドオン</v>
      </c>
      <c r="AA287" s="340" t="str">
        <f>VLOOKUP($B287,Sheet1!$C$2:$L$315,10,)</f>
        <v>一括移動処理機能を開発。</v>
      </c>
      <c r="AB287" s="347" t="s">
        <v>3205</v>
      </c>
      <c r="AC287" s="347" t="b">
        <f>テーブル1[[#This Row],[要求事項一覧
判定]]=テーブル1[[#This Row],[列2]]</f>
        <v>0</v>
      </c>
    </row>
    <row r="288" spans="1:29" ht="87">
      <c r="A288" s="1" t="str">
        <f>テーブル1[[#This Row],[対象部門]]&amp;テーブル1[[#This Row],[業務要件回答表からの事前回答案_v1.0.xlsxより]]</f>
        <v>固定資産管理7.1</v>
      </c>
      <c r="B288" s="1" t="s">
        <v>2960</v>
      </c>
      <c r="D288" s="10" t="s">
        <v>1305</v>
      </c>
      <c r="E288" s="26" t="s">
        <v>1306</v>
      </c>
      <c r="F288" s="21" t="s">
        <v>1307</v>
      </c>
      <c r="G288" s="68">
        <v>7.1</v>
      </c>
      <c r="H288" s="44" t="s">
        <v>32</v>
      </c>
      <c r="I288" s="15"/>
      <c r="J288" s="68" t="s">
        <v>1205</v>
      </c>
      <c r="K288" s="68" t="s">
        <v>51</v>
      </c>
      <c r="L288" s="26"/>
      <c r="M288" s="30"/>
      <c r="N288" s="44"/>
      <c r="O288" s="44" t="s">
        <v>35</v>
      </c>
      <c r="P288" s="44"/>
      <c r="Q288" s="68" t="s">
        <v>1206</v>
      </c>
      <c r="R288" s="44" t="s">
        <v>37</v>
      </c>
      <c r="S288" s="26" t="s">
        <v>1308</v>
      </c>
      <c r="T288" s="44" t="s">
        <v>39</v>
      </c>
      <c r="U288" s="91"/>
      <c r="V288" s="94"/>
      <c r="W288" s="334"/>
      <c r="X288" s="41" t="str">
        <f>テーブル1[[#This Row],[開発]]&amp;テーブル1[[#This Row],[スコープ]]</f>
        <v>不要IN</v>
      </c>
      <c r="Y288" s="41" t="str">
        <f>IF(テーブル1[[#This Row],[列1]]="不要IN","標準",IF(テーブル1[[#This Row],[列1]]="不要OUT","スコープアウト",IF(テーブル1[[#This Row],[列1]]="必要IN","アドオン",IF(テーブル1[[#This Row],[列1]]="OUT","スコープアウト",""))))</f>
        <v>標準</v>
      </c>
      <c r="Z288" s="345" t="str">
        <f>VLOOKUP($B288,Sheet1!$C$2:$L$315,9,)</f>
        <v>会計システム標準機能</v>
      </c>
      <c r="AA288" s="340" t="str">
        <f>VLOOKUP($B288,Sheet1!$C$2:$L$315,10,)</f>
        <v>新規登録と変更のマニュアル処理</v>
      </c>
      <c r="AB288" s="347" t="s">
        <v>3203</v>
      </c>
      <c r="AC288" s="347" t="b">
        <f>テーブル1[[#This Row],[要求事項一覧
判定]]=テーブル1[[#This Row],[列2]]</f>
        <v>1</v>
      </c>
    </row>
    <row r="289" spans="1:29" ht="116">
      <c r="A289" s="1" t="str">
        <f>テーブル1[[#This Row],[対象部門]]&amp;テーブル1[[#This Row],[業務要件回答表からの事前回答案_v1.0.xlsxより]]</f>
        <v>固定資産管理8.1</v>
      </c>
      <c r="B289" s="1" t="s">
        <v>2961</v>
      </c>
      <c r="D289" s="10" t="s">
        <v>1309</v>
      </c>
      <c r="E289" s="26" t="s">
        <v>1310</v>
      </c>
      <c r="F289" s="21" t="s">
        <v>1311</v>
      </c>
      <c r="G289" s="68">
        <v>8.1</v>
      </c>
      <c r="H289" s="44" t="s">
        <v>32</v>
      </c>
      <c r="I289" s="15"/>
      <c r="J289" s="68" t="s">
        <v>1205</v>
      </c>
      <c r="K289" s="68" t="s">
        <v>51</v>
      </c>
      <c r="L289" s="26"/>
      <c r="M289" s="30"/>
      <c r="N289" s="44"/>
      <c r="O289" s="44" t="s">
        <v>35</v>
      </c>
      <c r="P289" s="44"/>
      <c r="Q289" s="68" t="s">
        <v>1206</v>
      </c>
      <c r="R289" s="44" t="s">
        <v>37</v>
      </c>
      <c r="S289" s="26" t="s">
        <v>1312</v>
      </c>
      <c r="T289" s="44" t="s">
        <v>39</v>
      </c>
      <c r="U289" s="91"/>
      <c r="V289" s="94"/>
      <c r="W289" s="334"/>
      <c r="X289" s="41" t="str">
        <f>テーブル1[[#This Row],[開発]]&amp;テーブル1[[#This Row],[スコープ]]</f>
        <v>不要IN</v>
      </c>
      <c r="Y289" s="41" t="str">
        <f>IF(テーブル1[[#This Row],[列1]]="不要IN","標準",IF(テーブル1[[#This Row],[列1]]="不要OUT","スコープアウト",IF(テーブル1[[#This Row],[列1]]="必要IN","アドオン",IF(テーブル1[[#This Row],[列1]]="OUT","スコープアウト",""))))</f>
        <v>標準</v>
      </c>
      <c r="Z289" s="345" t="str">
        <f>VLOOKUP($B289,Sheet1!$C$2:$L$315,9,)</f>
        <v>会計システム標準機能</v>
      </c>
      <c r="AA289" s="340">
        <f>VLOOKUP($B289,Sheet1!$C$2:$L$315,10,)</f>
        <v>0</v>
      </c>
      <c r="AB289" s="347" t="s">
        <v>3203</v>
      </c>
      <c r="AC289" s="347" t="b">
        <f>テーブル1[[#This Row],[要求事項一覧
判定]]=テーブル1[[#This Row],[列2]]</f>
        <v>1</v>
      </c>
    </row>
    <row r="290" spans="1:29" ht="29">
      <c r="A290" s="1" t="str">
        <f>テーブル1[[#This Row],[対象部門]]&amp;テーブル1[[#This Row],[業務要件回答表からの事前回答案_v1.0.xlsxより]]</f>
        <v>固定資産管理8.2</v>
      </c>
      <c r="B290" s="1" t="s">
        <v>2962</v>
      </c>
      <c r="D290" s="10" t="s">
        <v>1313</v>
      </c>
      <c r="E290" s="26" t="s">
        <v>1314</v>
      </c>
      <c r="F290" s="21" t="s">
        <v>1315</v>
      </c>
      <c r="G290" s="68">
        <v>8.1999999999999993</v>
      </c>
      <c r="H290" s="44" t="s">
        <v>32</v>
      </c>
      <c r="I290" s="15"/>
      <c r="J290" s="68" t="s">
        <v>1205</v>
      </c>
      <c r="K290" s="68" t="s">
        <v>51</v>
      </c>
      <c r="L290" s="26"/>
      <c r="M290" s="30"/>
      <c r="N290" s="44"/>
      <c r="O290" s="44" t="s">
        <v>35</v>
      </c>
      <c r="P290" s="44"/>
      <c r="Q290" s="68" t="s">
        <v>1206</v>
      </c>
      <c r="R290" s="44" t="s">
        <v>37</v>
      </c>
      <c r="S290" s="26" t="s">
        <v>1316</v>
      </c>
      <c r="T290" s="44" t="s">
        <v>39</v>
      </c>
      <c r="U290" s="91"/>
      <c r="V290" s="94"/>
      <c r="W290" s="334"/>
      <c r="X290" s="41" t="str">
        <f>テーブル1[[#This Row],[開発]]&amp;テーブル1[[#This Row],[スコープ]]</f>
        <v>不要IN</v>
      </c>
      <c r="Y290" s="41" t="str">
        <f>IF(テーブル1[[#This Row],[列1]]="不要IN","標準",IF(テーブル1[[#This Row],[列1]]="不要OUT","スコープアウト",IF(テーブル1[[#This Row],[列1]]="必要IN","アドオン",IF(テーブル1[[#This Row],[列1]]="OUT","スコープアウト",""))))</f>
        <v>標準</v>
      </c>
      <c r="Z290" s="345" t="str">
        <f>VLOOKUP($B290,Sheet1!$C$2:$L$315,9,)</f>
        <v>会計システム標準機能</v>
      </c>
      <c r="AA290" s="340" t="str">
        <f>VLOOKUP($B290,Sheet1!$C$2:$L$315,10,)</f>
        <v>固定資産仕訳帳を登録する(自動ではない）</v>
      </c>
      <c r="AB290" s="347" t="s">
        <v>3203</v>
      </c>
      <c r="AC290" s="347" t="b">
        <f>テーブル1[[#This Row],[要求事項一覧
判定]]=テーブル1[[#This Row],[列2]]</f>
        <v>1</v>
      </c>
    </row>
    <row r="291" spans="1:29" ht="72.5">
      <c r="A291" s="1" t="str">
        <f>テーブル1[[#This Row],[対象部門]]&amp;テーブル1[[#This Row],[業務要件回答表からの事前回答案_v1.0.xlsxより]]</f>
        <v>固定資産管理9.1</v>
      </c>
      <c r="B291" s="1" t="s">
        <v>2963</v>
      </c>
      <c r="D291" s="10" t="s">
        <v>1317</v>
      </c>
      <c r="E291" s="26" t="s">
        <v>1318</v>
      </c>
      <c r="F291" s="21" t="s">
        <v>1319</v>
      </c>
      <c r="G291" s="68">
        <v>9.1</v>
      </c>
      <c r="H291" s="44" t="s">
        <v>32</v>
      </c>
      <c r="I291" s="15"/>
      <c r="J291" s="68" t="s">
        <v>1205</v>
      </c>
      <c r="K291" s="68" t="s">
        <v>51</v>
      </c>
      <c r="L291" s="26" t="s">
        <v>1320</v>
      </c>
      <c r="M291" s="4"/>
      <c r="N291" s="44"/>
      <c r="O291" s="44" t="s">
        <v>35</v>
      </c>
      <c r="P291" s="44"/>
      <c r="Q291" s="68" t="s">
        <v>1206</v>
      </c>
      <c r="R291" s="44" t="s">
        <v>37</v>
      </c>
      <c r="S291" s="26" t="s">
        <v>1321</v>
      </c>
      <c r="T291" s="44" t="s">
        <v>39</v>
      </c>
      <c r="U291" s="91"/>
      <c r="V291" s="94"/>
      <c r="W291" s="334"/>
      <c r="X291" s="41" t="str">
        <f>テーブル1[[#This Row],[開発]]&amp;テーブル1[[#This Row],[スコープ]]</f>
        <v>不要IN</v>
      </c>
      <c r="Y291" s="41" t="str">
        <f>IF(テーブル1[[#This Row],[列1]]="不要IN","標準",IF(テーブル1[[#This Row],[列1]]="不要OUT","スコープアウト",IF(テーブル1[[#This Row],[列1]]="必要IN","アドオン",IF(テーブル1[[#This Row],[列1]]="OUT","スコープアウト",""))))</f>
        <v>標準</v>
      </c>
      <c r="Z291" s="346" t="str">
        <f>VLOOKUP($B291,Sheet1!$C$2:$L$315,9,)</f>
        <v>会計システムアドオン</v>
      </c>
      <c r="AA291" s="340" t="str">
        <f>VLOOKUP($B291,Sheet1!$C$2:$L$315,10,)</f>
        <v>償却資産申告用に耐用年数、資産の種類、取得価額を保持し、その値を変更する機能を開発。</v>
      </c>
      <c r="AB291" s="347" t="s">
        <v>3205</v>
      </c>
      <c r="AC291" s="347" t="b">
        <f>テーブル1[[#This Row],[要求事項一覧
判定]]=テーブル1[[#This Row],[列2]]</f>
        <v>0</v>
      </c>
    </row>
    <row r="292" spans="1:29" ht="29">
      <c r="A292" s="1" t="str">
        <f>テーブル1[[#This Row],[対象部門]]&amp;テーブル1[[#This Row],[業務要件回答表からの事前回答案_v1.0.xlsxより]]</f>
        <v>固定資産管理9.2</v>
      </c>
      <c r="B292" s="1" t="s">
        <v>2964</v>
      </c>
      <c r="D292" s="10" t="s">
        <v>1322</v>
      </c>
      <c r="E292" s="26" t="s">
        <v>1323</v>
      </c>
      <c r="F292" s="21" t="s">
        <v>1324</v>
      </c>
      <c r="G292" s="68">
        <v>9.1999999999999993</v>
      </c>
      <c r="H292" s="44" t="s">
        <v>32</v>
      </c>
      <c r="I292" s="15"/>
      <c r="J292" s="68" t="s">
        <v>1205</v>
      </c>
      <c r="K292" s="68" t="s">
        <v>51</v>
      </c>
      <c r="L292" s="26" t="s">
        <v>1325</v>
      </c>
      <c r="M292" s="26" t="s">
        <v>1230</v>
      </c>
      <c r="N292" s="44"/>
      <c r="O292" s="44" t="s">
        <v>35</v>
      </c>
      <c r="P292" s="44"/>
      <c r="Q292" s="68" t="s">
        <v>1206</v>
      </c>
      <c r="R292" s="44" t="s">
        <v>37</v>
      </c>
      <c r="S292" s="26" t="s">
        <v>1326</v>
      </c>
      <c r="T292" s="44" t="s">
        <v>91</v>
      </c>
      <c r="U292" s="100"/>
      <c r="V292" s="94"/>
      <c r="W292" s="334"/>
      <c r="X292" s="41" t="str">
        <f>テーブル1[[#This Row],[開発]]&amp;テーブル1[[#This Row],[スコープ]]</f>
        <v>不要OUT</v>
      </c>
      <c r="Y292" s="41" t="str">
        <f>IF(テーブル1[[#This Row],[列1]]="不要IN","標準",IF(テーブル1[[#This Row],[列1]]="不要OUT","スコープアウト",IF(テーブル1[[#This Row],[列1]]="必要IN","アドオン",IF(テーブル1[[#This Row],[列1]]="OUT","スコープアウト",""))))</f>
        <v>スコープアウト</v>
      </c>
      <c r="Z292" s="346" t="str">
        <f>VLOOKUP($B292,Sheet1!$C$2:$L$315,9,)</f>
        <v>会計システムアドオン</v>
      </c>
      <c r="AA292" s="340" t="str">
        <f>VLOOKUP($B292,Sheet1!$C$2:$L$315,10,)</f>
        <v>償却資産申告書（課税台帳）の帳票機能を開発。</v>
      </c>
      <c r="AB292" s="347" t="s">
        <v>3205</v>
      </c>
      <c r="AC292" s="347" t="b">
        <f>テーブル1[[#This Row],[要求事項一覧
判定]]=テーブル1[[#This Row],[列2]]</f>
        <v>0</v>
      </c>
    </row>
    <row r="293" spans="1:29" ht="101.5">
      <c r="A293" s="1" t="str">
        <f>テーブル1[[#This Row],[対象部門]]&amp;テーブル1[[#This Row],[業務要件回答表からの事前回答案_v1.0.xlsxより]]</f>
        <v>固定資産管理9.3</v>
      </c>
      <c r="B293" s="1" t="s">
        <v>2965</v>
      </c>
      <c r="D293" s="10" t="s">
        <v>1327</v>
      </c>
      <c r="E293" s="26" t="s">
        <v>1328</v>
      </c>
      <c r="F293" s="21" t="s">
        <v>1329</v>
      </c>
      <c r="G293" s="68">
        <v>9.3000000000000007</v>
      </c>
      <c r="H293" s="44" t="s">
        <v>32</v>
      </c>
      <c r="I293" s="15"/>
      <c r="J293" s="68" t="s">
        <v>1205</v>
      </c>
      <c r="K293" s="68" t="s">
        <v>51</v>
      </c>
      <c r="L293" s="26"/>
      <c r="M293" s="4"/>
      <c r="N293" s="44"/>
      <c r="O293" s="44" t="s">
        <v>35</v>
      </c>
      <c r="P293" s="44"/>
      <c r="Q293" s="68" t="s">
        <v>1206</v>
      </c>
      <c r="R293" s="44" t="s">
        <v>37</v>
      </c>
      <c r="S293" s="26" t="s">
        <v>1330</v>
      </c>
      <c r="T293" s="44" t="s">
        <v>39</v>
      </c>
      <c r="U293" s="91"/>
      <c r="V293" s="94"/>
      <c r="W293" s="334"/>
      <c r="X293" s="41" t="str">
        <f>テーブル1[[#This Row],[開発]]&amp;テーブル1[[#This Row],[スコープ]]</f>
        <v>不要IN</v>
      </c>
      <c r="Y293" s="41" t="str">
        <f>IF(テーブル1[[#This Row],[列1]]="不要IN","標準",IF(テーブル1[[#This Row],[列1]]="不要OUT","スコープアウト",IF(テーブル1[[#This Row],[列1]]="必要IN","アドオン",IF(テーブル1[[#This Row],[列1]]="OUT","スコープアウト",""))))</f>
        <v>標準</v>
      </c>
      <c r="Z293" s="346" t="str">
        <f>VLOOKUP($B293,Sheet1!$C$2:$L$315,9,)</f>
        <v>会計システムアドオン</v>
      </c>
      <c r="AA293" s="340" t="str">
        <f>VLOOKUP($B293,Sheet1!$C$2:$L$315,10,)</f>
        <v>種類別明細書(全資産用・増加資産用・減少資産用)の帳票機能を開発。</v>
      </c>
      <c r="AB293" s="347" t="s">
        <v>3205</v>
      </c>
      <c r="AC293" s="347" t="b">
        <f>テーブル1[[#This Row],[要求事項一覧
判定]]=テーブル1[[#This Row],[列2]]</f>
        <v>0</v>
      </c>
    </row>
    <row r="294" spans="1:29" ht="29">
      <c r="A294" s="1" t="str">
        <f>テーブル1[[#This Row],[対象部門]]&amp;テーブル1[[#This Row],[業務要件回答表からの事前回答案_v1.0.xlsxより]]</f>
        <v>固定資産管理9.4</v>
      </c>
      <c r="B294" s="1" t="s">
        <v>2966</v>
      </c>
      <c r="D294" s="10" t="s">
        <v>1331</v>
      </c>
      <c r="E294" s="26" t="s">
        <v>1332</v>
      </c>
      <c r="F294" s="21" t="s">
        <v>1333</v>
      </c>
      <c r="G294" s="68">
        <v>9.4</v>
      </c>
      <c r="H294" s="44" t="s">
        <v>32</v>
      </c>
      <c r="I294" s="15"/>
      <c r="J294" s="68" t="s">
        <v>1205</v>
      </c>
      <c r="K294" s="68" t="s">
        <v>51</v>
      </c>
      <c r="L294" s="26" t="s">
        <v>1334</v>
      </c>
      <c r="M294" s="4"/>
      <c r="N294" s="44"/>
      <c r="O294" s="44" t="s">
        <v>35</v>
      </c>
      <c r="P294" s="44"/>
      <c r="Q294" s="68" t="s">
        <v>1206</v>
      </c>
      <c r="R294" s="44" t="s">
        <v>37</v>
      </c>
      <c r="S294" s="26"/>
      <c r="T294" s="44" t="s">
        <v>91</v>
      </c>
      <c r="U294" s="100">
        <v>45372</v>
      </c>
      <c r="V294" s="94"/>
      <c r="W294" s="334"/>
      <c r="X294" s="41" t="str">
        <f>テーブル1[[#This Row],[開発]]&amp;テーブル1[[#This Row],[スコープ]]</f>
        <v>不要OUT</v>
      </c>
      <c r="Y294" s="41" t="str">
        <f>IF(テーブル1[[#This Row],[列1]]="不要IN","標準",IF(テーブル1[[#This Row],[列1]]="不要OUT","スコープアウト",IF(テーブル1[[#This Row],[列1]]="必要IN","アドオン",IF(テーブル1[[#This Row],[列1]]="OUT","スコープアウト",""))))</f>
        <v>スコープアウト</v>
      </c>
      <c r="Z294" s="346" t="str">
        <f>VLOOKUP($B294,Sheet1!$C$2:$L$315,9,)</f>
        <v>会計システムアドオン</v>
      </c>
      <c r="AA294" s="340" t="str">
        <f>VLOOKUP($B294,Sheet1!$C$2:$L$315,10,)</f>
        <v>償却資産申告書、種類別明細書を過年度分の帳票機能を開発。</v>
      </c>
      <c r="AB294" s="347" t="s">
        <v>3205</v>
      </c>
      <c r="AC294" s="347" t="b">
        <f>テーブル1[[#This Row],[要求事項一覧
判定]]=テーブル1[[#This Row],[列2]]</f>
        <v>0</v>
      </c>
    </row>
    <row r="295" spans="1:29" ht="58">
      <c r="A295" s="1" t="str">
        <f>テーブル1[[#This Row],[対象部門]]&amp;テーブル1[[#This Row],[業務要件回答表からの事前回答案_v1.0.xlsxより]]</f>
        <v>固定資産管理9.5</v>
      </c>
      <c r="B295" s="1" t="s">
        <v>2967</v>
      </c>
      <c r="D295" s="10" t="s">
        <v>1335</v>
      </c>
      <c r="E295" s="26" t="s">
        <v>1336</v>
      </c>
      <c r="F295" s="21" t="s">
        <v>1337</v>
      </c>
      <c r="G295" s="68">
        <v>9.5</v>
      </c>
      <c r="H295" s="44" t="s">
        <v>32</v>
      </c>
      <c r="I295" s="15"/>
      <c r="J295" s="68" t="s">
        <v>1205</v>
      </c>
      <c r="K295" s="68" t="s">
        <v>51</v>
      </c>
      <c r="L295" s="26"/>
      <c r="M295" s="26" t="s">
        <v>1338</v>
      </c>
      <c r="N295" s="44"/>
      <c r="O295" s="44" t="s">
        <v>35</v>
      </c>
      <c r="P295" s="44"/>
      <c r="Q295" s="68" t="s">
        <v>1206</v>
      </c>
      <c r="R295" s="44" t="s">
        <v>37</v>
      </c>
      <c r="S295" s="26" t="s">
        <v>1339</v>
      </c>
      <c r="T295" s="44" t="s">
        <v>39</v>
      </c>
      <c r="U295" s="91"/>
      <c r="V295" s="94"/>
      <c r="W295" s="334"/>
      <c r="X295" s="41" t="str">
        <f>テーブル1[[#This Row],[開発]]&amp;テーブル1[[#This Row],[スコープ]]</f>
        <v>不要IN</v>
      </c>
      <c r="Y295" s="41" t="str">
        <f>IF(テーブル1[[#This Row],[列1]]="不要IN","標準",IF(テーブル1[[#This Row],[列1]]="不要OUT","スコープアウト",IF(テーブル1[[#This Row],[列1]]="必要IN","アドオン",IF(テーブル1[[#This Row],[列1]]="OUT","スコープアウト",""))))</f>
        <v>標準</v>
      </c>
      <c r="Z295" s="346" t="str">
        <f>VLOOKUP($B295,Sheet1!$C$2:$L$315,9,)</f>
        <v>会計システムアドオン</v>
      </c>
      <c r="AA295" s="340" t="str">
        <f>VLOOKUP($B295,Sheet1!$C$2:$L$315,10,)</f>
        <v>会計期間とは別に1月-12月のサイクルで償却計算を行い、自治体別の償却資産税額を計算する機能を開発。</v>
      </c>
      <c r="AB295" s="347" t="s">
        <v>3205</v>
      </c>
      <c r="AC295" s="347" t="b">
        <f>テーブル1[[#This Row],[要求事項一覧
判定]]=テーブル1[[#This Row],[列2]]</f>
        <v>0</v>
      </c>
    </row>
    <row r="296" spans="1:29" ht="58">
      <c r="A296" s="1" t="str">
        <f>テーブル1[[#This Row],[対象部門]]&amp;テーブル1[[#This Row],[業務要件回答表からの事前回答案_v1.0.xlsxより]]</f>
        <v>固定資産管理10.1</v>
      </c>
      <c r="B296" s="1" t="s">
        <v>2968</v>
      </c>
      <c r="D296" s="10" t="s">
        <v>1340</v>
      </c>
      <c r="E296" s="26" t="s">
        <v>1341</v>
      </c>
      <c r="F296" s="21" t="s">
        <v>1342</v>
      </c>
      <c r="G296" s="68">
        <v>10.1</v>
      </c>
      <c r="H296" s="44" t="s">
        <v>32</v>
      </c>
      <c r="I296" s="15"/>
      <c r="J296" s="68" t="s">
        <v>1205</v>
      </c>
      <c r="K296" s="68" t="s">
        <v>51</v>
      </c>
      <c r="L296" s="26"/>
      <c r="M296" s="26" t="s">
        <v>1338</v>
      </c>
      <c r="N296" s="44"/>
      <c r="O296" s="44" t="s">
        <v>35</v>
      </c>
      <c r="P296" s="44"/>
      <c r="Q296" s="68" t="s">
        <v>1206</v>
      </c>
      <c r="R296" s="44" t="s">
        <v>37</v>
      </c>
      <c r="S296" s="26" t="s">
        <v>1343</v>
      </c>
      <c r="T296" s="44" t="s">
        <v>39</v>
      </c>
      <c r="U296" s="91"/>
      <c r="V296" s="94"/>
      <c r="W296" s="334"/>
      <c r="X296" s="41" t="str">
        <f>テーブル1[[#This Row],[開発]]&amp;テーブル1[[#This Row],[スコープ]]</f>
        <v>不要IN</v>
      </c>
      <c r="Y296" s="41" t="str">
        <f>IF(テーブル1[[#This Row],[列1]]="不要IN","標準",IF(テーブル1[[#This Row],[列1]]="不要OUT","スコープアウト",IF(テーブル1[[#This Row],[列1]]="必要IN","アドオン",IF(テーブル1[[#This Row],[列1]]="OUT","スコープアウト",""))))</f>
        <v>標準</v>
      </c>
      <c r="Z296" s="345" t="str">
        <f>VLOOKUP($B296,Sheet1!$C$2:$L$315,9,)</f>
        <v>会計システム標準機能</v>
      </c>
      <c r="AA296" s="340">
        <f>VLOOKUP($B296,Sheet1!$C$2:$L$315,10,)</f>
        <v>0</v>
      </c>
      <c r="AB296" s="347" t="s">
        <v>3203</v>
      </c>
      <c r="AC296" s="347" t="b">
        <f>テーブル1[[#This Row],[要求事項一覧
判定]]=テーブル1[[#This Row],[列2]]</f>
        <v>1</v>
      </c>
    </row>
    <row r="297" spans="1:29" ht="72.5">
      <c r="A297" s="1" t="str">
        <f>テーブル1[[#This Row],[対象部門]]&amp;テーブル1[[#This Row],[業務要件回答表からの事前回答案_v1.0.xlsxより]]</f>
        <v>固定資産管理10.2</v>
      </c>
      <c r="B297" s="1" t="s">
        <v>2969</v>
      </c>
      <c r="D297" s="10" t="s">
        <v>1344</v>
      </c>
      <c r="E297" s="26" t="s">
        <v>1345</v>
      </c>
      <c r="F297" s="21" t="s">
        <v>1346</v>
      </c>
      <c r="G297" s="68">
        <v>10.199999999999999</v>
      </c>
      <c r="H297" s="44" t="s">
        <v>32</v>
      </c>
      <c r="I297" s="15"/>
      <c r="J297" s="68" t="s">
        <v>1205</v>
      </c>
      <c r="K297" s="68" t="s">
        <v>51</v>
      </c>
      <c r="L297" s="26"/>
      <c r="M297" s="26"/>
      <c r="N297" s="44"/>
      <c r="O297" s="44" t="s">
        <v>35</v>
      </c>
      <c r="P297" s="44"/>
      <c r="Q297" s="68" t="s">
        <v>1206</v>
      </c>
      <c r="R297" s="44" t="s">
        <v>37</v>
      </c>
      <c r="S297" s="26" t="s">
        <v>1347</v>
      </c>
      <c r="T297" s="44" t="s">
        <v>39</v>
      </c>
      <c r="U297" s="91"/>
      <c r="V297" s="94"/>
      <c r="W297" s="334"/>
      <c r="X297" s="41" t="str">
        <f>テーブル1[[#This Row],[開発]]&amp;テーブル1[[#This Row],[スコープ]]</f>
        <v>不要IN</v>
      </c>
      <c r="Y297" s="41" t="str">
        <f>IF(テーブル1[[#This Row],[列1]]="不要IN","標準",IF(テーブル1[[#This Row],[列1]]="不要OUT","スコープアウト",IF(テーブル1[[#This Row],[列1]]="必要IN","アドオン",IF(テーブル1[[#This Row],[列1]]="OUT","スコープアウト",""))))</f>
        <v>標準</v>
      </c>
      <c r="Z297" s="345" t="str">
        <f>VLOOKUP($B297,Sheet1!$C$2:$L$315,9,)</f>
        <v>会計システム標準機能</v>
      </c>
      <c r="AA297" s="340">
        <f>VLOOKUP($B297,Sheet1!$C$2:$L$315,10,)</f>
        <v>0</v>
      </c>
      <c r="AB297" s="347" t="s">
        <v>3203</v>
      </c>
      <c r="AC297" s="347" t="b">
        <f>テーブル1[[#This Row],[要求事項一覧
判定]]=テーブル1[[#This Row],[列2]]</f>
        <v>1</v>
      </c>
    </row>
    <row r="298" spans="1:29" ht="72.5">
      <c r="A298" s="1" t="str">
        <f>テーブル1[[#This Row],[対象部門]]&amp;テーブル1[[#This Row],[業務要件回答表からの事前回答案_v1.0.xlsxより]]</f>
        <v>固定資産管理10.3</v>
      </c>
      <c r="B298" s="1" t="s">
        <v>2970</v>
      </c>
      <c r="D298" s="10" t="s">
        <v>1348</v>
      </c>
      <c r="E298" s="26" t="s">
        <v>1349</v>
      </c>
      <c r="F298" s="21" t="s">
        <v>1350</v>
      </c>
      <c r="G298" s="68">
        <v>10.3</v>
      </c>
      <c r="H298" s="44" t="s">
        <v>32</v>
      </c>
      <c r="I298" s="15"/>
      <c r="J298" s="68" t="s">
        <v>1205</v>
      </c>
      <c r="K298" s="68" t="s">
        <v>51</v>
      </c>
      <c r="L298" s="26"/>
      <c r="M298" s="26"/>
      <c r="N298" s="44"/>
      <c r="O298" s="44" t="s">
        <v>35</v>
      </c>
      <c r="P298" s="44"/>
      <c r="Q298" s="68" t="s">
        <v>1206</v>
      </c>
      <c r="R298" s="44" t="s">
        <v>37</v>
      </c>
      <c r="S298" s="26" t="s">
        <v>1211</v>
      </c>
      <c r="T298" s="44" t="s">
        <v>39</v>
      </c>
      <c r="U298" s="91"/>
      <c r="V298" s="94"/>
      <c r="W298" s="334"/>
      <c r="X298" s="41" t="str">
        <f>テーブル1[[#This Row],[開発]]&amp;テーブル1[[#This Row],[スコープ]]</f>
        <v>不要IN</v>
      </c>
      <c r="Y298" s="41" t="str">
        <f>IF(テーブル1[[#This Row],[列1]]="不要IN","標準",IF(テーブル1[[#This Row],[列1]]="不要OUT","スコープアウト",IF(テーブル1[[#This Row],[列1]]="必要IN","アドオン",IF(テーブル1[[#This Row],[列1]]="OUT","スコープアウト",""))))</f>
        <v>標準</v>
      </c>
      <c r="Z298" s="345" t="str">
        <f>VLOOKUP($B298,Sheet1!$C$2:$L$315,9,)</f>
        <v>会計システム標準機能</v>
      </c>
      <c r="AA298" s="340">
        <f>VLOOKUP($B298,Sheet1!$C$2:$L$315,10,)</f>
        <v>0</v>
      </c>
      <c r="AB298" s="347" t="s">
        <v>3203</v>
      </c>
      <c r="AC298" s="347" t="b">
        <f>テーブル1[[#This Row],[要求事項一覧
判定]]=テーブル1[[#This Row],[列2]]</f>
        <v>1</v>
      </c>
    </row>
    <row r="299" spans="1:29" ht="72.5">
      <c r="A299" s="1" t="str">
        <f>テーブル1[[#This Row],[対象部門]]&amp;テーブル1[[#This Row],[業務要件回答表からの事前回答案_v1.0.xlsxより]]</f>
        <v>固定資産管理11.1</v>
      </c>
      <c r="B299" s="1" t="s">
        <v>2971</v>
      </c>
      <c r="D299" s="10" t="s">
        <v>1351</v>
      </c>
      <c r="E299" s="26" t="s">
        <v>1352</v>
      </c>
      <c r="F299" s="21" t="s">
        <v>1353</v>
      </c>
      <c r="G299" s="68">
        <v>11.1</v>
      </c>
      <c r="H299" s="44" t="s">
        <v>32</v>
      </c>
      <c r="I299" s="15"/>
      <c r="J299" s="68" t="s">
        <v>1205</v>
      </c>
      <c r="K299" s="68" t="s">
        <v>51</v>
      </c>
      <c r="L299" s="26" t="s">
        <v>1354</v>
      </c>
      <c r="M299" s="56"/>
      <c r="N299" s="44"/>
      <c r="O299" s="44" t="s">
        <v>35</v>
      </c>
      <c r="P299" s="44"/>
      <c r="Q299" s="68" t="s">
        <v>1206</v>
      </c>
      <c r="R299" s="44" t="s">
        <v>37</v>
      </c>
      <c r="S299" s="26" t="s">
        <v>1355</v>
      </c>
      <c r="T299" s="44" t="s">
        <v>39</v>
      </c>
      <c r="U299" s="100">
        <v>45365</v>
      </c>
      <c r="V299" s="94"/>
      <c r="W299" s="334"/>
      <c r="X299" s="41" t="str">
        <f>テーブル1[[#This Row],[開発]]&amp;テーブル1[[#This Row],[スコープ]]</f>
        <v>不要IN</v>
      </c>
      <c r="Y299" s="41" t="str">
        <f>IF(テーブル1[[#This Row],[列1]]="不要IN","標準",IF(テーブル1[[#This Row],[列1]]="不要OUT","スコープアウト",IF(テーブル1[[#This Row],[列1]]="必要IN","アドオン",IF(テーブル1[[#This Row],[列1]]="OUT","スコープアウト",""))))</f>
        <v>標準</v>
      </c>
      <c r="Z299" s="345" t="str">
        <f>VLOOKUP($B299,Sheet1!$C$2:$L$315,9,)</f>
        <v>会計システム標準機能</v>
      </c>
      <c r="AA299" s="340">
        <f>VLOOKUP($B299,Sheet1!$C$2:$L$315,10,)</f>
        <v>0</v>
      </c>
      <c r="AB299" s="347" t="s">
        <v>3203</v>
      </c>
      <c r="AC299" s="347" t="b">
        <f>テーブル1[[#This Row],[要求事項一覧
判定]]=テーブル1[[#This Row],[列2]]</f>
        <v>1</v>
      </c>
    </row>
    <row r="300" spans="1:29" ht="29">
      <c r="A300" s="1" t="str">
        <f>テーブル1[[#This Row],[対象部門]]&amp;テーブル1[[#This Row],[業務要件回答表からの事前回答案_v1.0.xlsxより]]</f>
        <v>固定資産管理12.1</v>
      </c>
      <c r="B300" s="1" t="s">
        <v>2972</v>
      </c>
      <c r="D300" s="10" t="s">
        <v>1356</v>
      </c>
      <c r="E300" s="26" t="s">
        <v>1357</v>
      </c>
      <c r="F300" s="21" t="s">
        <v>1358</v>
      </c>
      <c r="G300" s="68">
        <v>12.1</v>
      </c>
      <c r="H300" s="44" t="s">
        <v>32</v>
      </c>
      <c r="I300" s="15"/>
      <c r="J300" s="68" t="s">
        <v>1205</v>
      </c>
      <c r="K300" s="68" t="s">
        <v>51</v>
      </c>
      <c r="L300" s="26"/>
      <c r="M300" s="56"/>
      <c r="N300" s="44"/>
      <c r="O300" s="44" t="s">
        <v>35</v>
      </c>
      <c r="P300" s="44"/>
      <c r="Q300" s="68" t="s">
        <v>1206</v>
      </c>
      <c r="R300" s="44" t="s">
        <v>37</v>
      </c>
      <c r="S300" s="26" t="s">
        <v>1359</v>
      </c>
      <c r="T300" s="44" t="s">
        <v>39</v>
      </c>
      <c r="U300" s="91"/>
      <c r="V300" s="94"/>
      <c r="W300" s="334"/>
      <c r="X300" s="41" t="str">
        <f>テーブル1[[#This Row],[開発]]&amp;テーブル1[[#This Row],[スコープ]]</f>
        <v>不要IN</v>
      </c>
      <c r="Y300" s="41" t="str">
        <f>IF(テーブル1[[#This Row],[列1]]="不要IN","標準",IF(テーブル1[[#This Row],[列1]]="不要OUT","スコープアウト",IF(テーブル1[[#This Row],[列1]]="必要IN","アドオン",IF(テーブル1[[#This Row],[列1]]="OUT","スコープアウト",""))))</f>
        <v>標準</v>
      </c>
      <c r="Z300" s="345" t="str">
        <f>VLOOKUP($B300,Sheet1!$C$2:$L$315,9,)</f>
        <v>会計システム標準機能</v>
      </c>
      <c r="AA300" s="340">
        <f>VLOOKUP($B300,Sheet1!$C$2:$L$315,10,)</f>
        <v>0</v>
      </c>
      <c r="AB300" s="347" t="s">
        <v>3203</v>
      </c>
      <c r="AC300" s="347" t="b">
        <f>テーブル1[[#This Row],[要求事項一覧
判定]]=テーブル1[[#This Row],[列2]]</f>
        <v>1</v>
      </c>
    </row>
    <row r="301" spans="1:29" ht="29">
      <c r="A301" s="1" t="str">
        <f>テーブル1[[#This Row],[対象部門]]&amp;テーブル1[[#This Row],[業務要件回答表からの事前回答案_v1.0.xlsxより]]</f>
        <v>固定資産管理12.2</v>
      </c>
      <c r="B301" s="1" t="s">
        <v>2973</v>
      </c>
      <c r="D301" s="10" t="s">
        <v>1360</v>
      </c>
      <c r="E301" s="26" t="s">
        <v>1361</v>
      </c>
      <c r="F301" s="21" t="s">
        <v>1362</v>
      </c>
      <c r="G301" s="68">
        <v>12.2</v>
      </c>
      <c r="H301" s="44" t="s">
        <v>32</v>
      </c>
      <c r="I301" s="15"/>
      <c r="J301" s="68" t="s">
        <v>1205</v>
      </c>
      <c r="K301" s="68" t="s">
        <v>51</v>
      </c>
      <c r="L301" s="26"/>
      <c r="M301" s="56"/>
      <c r="N301" s="44"/>
      <c r="O301" s="44" t="s">
        <v>35</v>
      </c>
      <c r="P301" s="44"/>
      <c r="Q301" s="68" t="s">
        <v>1206</v>
      </c>
      <c r="R301" s="44" t="s">
        <v>37</v>
      </c>
      <c r="S301" s="26" t="s">
        <v>1363</v>
      </c>
      <c r="T301" s="44" t="s">
        <v>39</v>
      </c>
      <c r="U301" s="91"/>
      <c r="V301" s="94"/>
      <c r="W301" s="334"/>
      <c r="X301" s="41" t="str">
        <f>テーブル1[[#This Row],[開発]]&amp;テーブル1[[#This Row],[スコープ]]</f>
        <v>不要IN</v>
      </c>
      <c r="Y301" s="41" t="str">
        <f>IF(テーブル1[[#This Row],[列1]]="不要IN","標準",IF(テーブル1[[#This Row],[列1]]="不要OUT","スコープアウト",IF(テーブル1[[#This Row],[列1]]="必要IN","アドオン",IF(テーブル1[[#This Row],[列1]]="OUT","スコープアウト",""))))</f>
        <v>標準</v>
      </c>
      <c r="Z301" s="345" t="str">
        <f>VLOOKUP($B301,Sheet1!$C$2:$L$315,9,)</f>
        <v>会計システム標準機能</v>
      </c>
      <c r="AA301" s="340" t="str">
        <f>VLOOKUP($B301,Sheet1!$C$2:$L$315,10,)</f>
        <v>マニュアルで対応</v>
      </c>
      <c r="AB301" s="347" t="s">
        <v>3203</v>
      </c>
      <c r="AC301" s="347" t="b">
        <f>テーブル1[[#This Row],[要求事項一覧
判定]]=テーブル1[[#This Row],[列2]]</f>
        <v>1</v>
      </c>
    </row>
    <row r="302" spans="1:29" ht="29">
      <c r="A302" s="1" t="str">
        <f>テーブル1[[#This Row],[対象部門]]&amp;テーブル1[[#This Row],[業務要件回答表からの事前回答案_v1.0.xlsxより]]</f>
        <v>固定資産管理13.1</v>
      </c>
      <c r="B302" s="1" t="s">
        <v>2974</v>
      </c>
      <c r="D302" s="10" t="s">
        <v>1364</v>
      </c>
      <c r="E302" s="26" t="s">
        <v>1365</v>
      </c>
      <c r="F302" s="21" t="s">
        <v>1366</v>
      </c>
      <c r="G302" s="68">
        <v>13.1</v>
      </c>
      <c r="H302" s="44" t="s">
        <v>32</v>
      </c>
      <c r="I302" s="15"/>
      <c r="J302" s="68" t="s">
        <v>1205</v>
      </c>
      <c r="K302" s="68" t="s">
        <v>51</v>
      </c>
      <c r="L302" s="26"/>
      <c r="M302" s="56"/>
      <c r="N302" s="44"/>
      <c r="O302" s="44" t="s">
        <v>35</v>
      </c>
      <c r="P302" s="44"/>
      <c r="Q302" s="68" t="s">
        <v>1206</v>
      </c>
      <c r="R302" s="44" t="s">
        <v>37</v>
      </c>
      <c r="S302" s="26" t="s">
        <v>1363</v>
      </c>
      <c r="T302" s="44" t="s">
        <v>39</v>
      </c>
      <c r="U302" s="91"/>
      <c r="V302" s="94"/>
      <c r="W302" s="334"/>
      <c r="X302" s="41" t="str">
        <f>テーブル1[[#This Row],[開発]]&amp;テーブル1[[#This Row],[スコープ]]</f>
        <v>不要IN</v>
      </c>
      <c r="Y302" s="41" t="str">
        <f>IF(テーブル1[[#This Row],[列1]]="不要IN","標準",IF(テーブル1[[#This Row],[列1]]="不要OUT","スコープアウト",IF(テーブル1[[#This Row],[列1]]="必要IN","アドオン",IF(テーブル1[[#This Row],[列1]]="OUT","スコープアウト",""))))</f>
        <v>標準</v>
      </c>
      <c r="Z302" s="345" t="str">
        <f>VLOOKUP($B302,Sheet1!$C$2:$L$315,9,)</f>
        <v>会計システム標準機能</v>
      </c>
      <c r="AA302" s="340" t="str">
        <f>VLOOKUP($B302,Sheet1!$C$2:$L$315,10,)</f>
        <v>マニュアルで対応</v>
      </c>
      <c r="AB302" s="347" t="s">
        <v>3203</v>
      </c>
      <c r="AC302" s="347" t="b">
        <f>テーブル1[[#This Row],[要求事項一覧
判定]]=テーブル1[[#This Row],[列2]]</f>
        <v>1</v>
      </c>
    </row>
    <row r="303" spans="1:29" ht="29">
      <c r="A303" s="1" t="str">
        <f>テーブル1[[#This Row],[対象部門]]&amp;テーブル1[[#This Row],[業務要件回答表からの事前回答案_v1.0.xlsxより]]</f>
        <v>固定資産管理14.1</v>
      </c>
      <c r="B303" s="1" t="s">
        <v>2975</v>
      </c>
      <c r="D303" s="62" t="s">
        <v>1367</v>
      </c>
      <c r="E303" s="63" t="s">
        <v>1368</v>
      </c>
      <c r="F303" s="64" t="s">
        <v>1369</v>
      </c>
      <c r="G303" s="72">
        <v>14.1</v>
      </c>
      <c r="H303" s="67" t="s">
        <v>32</v>
      </c>
      <c r="I303" s="65"/>
      <c r="J303" s="72" t="s">
        <v>1205</v>
      </c>
      <c r="K303" s="72" t="s">
        <v>51</v>
      </c>
      <c r="L303" s="66" t="s">
        <v>1219</v>
      </c>
      <c r="M303" s="63" t="s">
        <v>1220</v>
      </c>
      <c r="N303" s="67"/>
      <c r="O303" s="67"/>
      <c r="P303" s="67"/>
      <c r="Q303" s="72" t="s">
        <v>1206</v>
      </c>
      <c r="R303" s="67" t="s">
        <v>37</v>
      </c>
      <c r="S303" s="63" t="s">
        <v>1221</v>
      </c>
      <c r="T303" s="67" t="s">
        <v>39</v>
      </c>
      <c r="U303" s="97"/>
      <c r="V303" s="94"/>
      <c r="W303" s="334"/>
      <c r="X303" s="41" t="str">
        <f>テーブル1[[#This Row],[開発]]&amp;テーブル1[[#This Row],[スコープ]]</f>
        <v>不要IN</v>
      </c>
      <c r="Y303" s="41" t="str">
        <f>IF(テーブル1[[#This Row],[列1]]="不要IN","標準",IF(テーブル1[[#This Row],[列1]]="不要OUT","スコープアウト",IF(テーブル1[[#This Row],[列1]]="必要IN","アドオン",IF(テーブル1[[#This Row],[列1]]="OUT","スコープアウト",""))))</f>
        <v>標準</v>
      </c>
      <c r="Z303" s="345" t="str">
        <f>VLOOKUP($B303,Sheet1!$C$2:$L$315,9,)</f>
        <v>会計システム標準機能</v>
      </c>
      <c r="AA303" s="340">
        <f>VLOOKUP($B303,Sheet1!$C$2:$L$315,10,)</f>
        <v>0</v>
      </c>
      <c r="AB303" s="347" t="s">
        <v>3203</v>
      </c>
      <c r="AC303" s="347" t="b">
        <f>テーブル1[[#This Row],[要求事項一覧
判定]]=テーブル1[[#This Row],[列2]]</f>
        <v>1</v>
      </c>
    </row>
    <row r="304" spans="1:29" ht="43.5">
      <c r="A304" s="1" t="str">
        <f>テーブル1[[#This Row],[対象部門]]&amp;テーブル1[[#This Row],[業務要件回答表からの事前回答案_v1.0.xlsxより]]</f>
        <v>固定資産管理15.1</v>
      </c>
      <c r="B304" s="1" t="s">
        <v>2976</v>
      </c>
      <c r="D304" s="62" t="s">
        <v>1370</v>
      </c>
      <c r="E304" s="63" t="s">
        <v>1371</v>
      </c>
      <c r="F304" s="64" t="s">
        <v>1372</v>
      </c>
      <c r="G304" s="72">
        <v>15.1</v>
      </c>
      <c r="H304" s="67" t="s">
        <v>32</v>
      </c>
      <c r="I304" s="65"/>
      <c r="J304" s="72" t="s">
        <v>1205</v>
      </c>
      <c r="K304" s="72" t="s">
        <v>51</v>
      </c>
      <c r="L304" s="66" t="s">
        <v>1219</v>
      </c>
      <c r="M304" s="63" t="s">
        <v>1220</v>
      </c>
      <c r="N304" s="67"/>
      <c r="O304" s="67"/>
      <c r="P304" s="67"/>
      <c r="Q304" s="72" t="s">
        <v>1206</v>
      </c>
      <c r="R304" s="67" t="s">
        <v>37</v>
      </c>
      <c r="S304" s="63" t="s">
        <v>1221</v>
      </c>
      <c r="T304" s="67" t="s">
        <v>39</v>
      </c>
      <c r="U304" s="97"/>
      <c r="V304" s="94"/>
      <c r="W304" s="334"/>
      <c r="X304" s="41" t="str">
        <f>テーブル1[[#This Row],[開発]]&amp;テーブル1[[#This Row],[スコープ]]</f>
        <v>不要IN</v>
      </c>
      <c r="Y304" s="41" t="str">
        <f>IF(テーブル1[[#This Row],[列1]]="不要IN","標準",IF(テーブル1[[#This Row],[列1]]="不要OUT","スコープアウト",IF(テーブル1[[#This Row],[列1]]="必要IN","アドオン",IF(テーブル1[[#This Row],[列1]]="OUT","スコープアウト",""))))</f>
        <v>標準</v>
      </c>
      <c r="Z304" s="345" t="str">
        <f>VLOOKUP($B304,Sheet1!$C$2:$L$315,9,)</f>
        <v>会計システム標準機能</v>
      </c>
      <c r="AA304" s="340">
        <f>VLOOKUP($B304,Sheet1!$C$2:$L$315,10,)</f>
        <v>0</v>
      </c>
      <c r="AB304" s="347" t="s">
        <v>3203</v>
      </c>
      <c r="AC304" s="347" t="b">
        <f>テーブル1[[#This Row],[要求事項一覧
判定]]=テーブル1[[#This Row],[列2]]</f>
        <v>1</v>
      </c>
    </row>
    <row r="305" spans="1:29" ht="29">
      <c r="A305" s="1" t="str">
        <f>テーブル1[[#This Row],[対象部門]]&amp;テーブル1[[#This Row],[業務要件回答表からの事前回答案_v1.0.xlsxより]]</f>
        <v>固定資産管理15.2</v>
      </c>
      <c r="B305" s="1" t="s">
        <v>2977</v>
      </c>
      <c r="D305" s="10" t="s">
        <v>1373</v>
      </c>
      <c r="E305" s="26" t="s">
        <v>1374</v>
      </c>
      <c r="F305" s="21" t="s">
        <v>1375</v>
      </c>
      <c r="G305" s="68">
        <v>15.2</v>
      </c>
      <c r="H305" s="44" t="s">
        <v>32</v>
      </c>
      <c r="I305" s="15"/>
      <c r="J305" s="68" t="s">
        <v>1205</v>
      </c>
      <c r="K305" s="68" t="s">
        <v>51</v>
      </c>
      <c r="L305" s="26"/>
      <c r="M305" s="56"/>
      <c r="N305" s="44"/>
      <c r="O305" s="44" t="s">
        <v>35</v>
      </c>
      <c r="P305" s="44"/>
      <c r="Q305" s="68" t="s">
        <v>1376</v>
      </c>
      <c r="R305" s="44" t="s">
        <v>37</v>
      </c>
      <c r="S305" s="26" t="s">
        <v>1377</v>
      </c>
      <c r="T305" s="44" t="s">
        <v>39</v>
      </c>
      <c r="U305" s="91"/>
      <c r="V305" s="94"/>
      <c r="W305" s="334"/>
      <c r="X305" s="41" t="str">
        <f>テーブル1[[#This Row],[開発]]&amp;テーブル1[[#This Row],[スコープ]]</f>
        <v>不要IN</v>
      </c>
      <c r="Y305" s="41" t="str">
        <f>IF(テーブル1[[#This Row],[列1]]="不要IN","標準",IF(テーブル1[[#This Row],[列1]]="不要OUT","スコープアウト",IF(テーブル1[[#This Row],[列1]]="必要IN","アドオン",IF(テーブル1[[#This Row],[列1]]="OUT","スコープアウト",""))))</f>
        <v>標準</v>
      </c>
      <c r="Z305" s="345" t="str">
        <f>VLOOKUP($B305,Sheet1!$C$2:$L$315,9,)</f>
        <v>会計システム標準機能</v>
      </c>
      <c r="AA305" s="340" t="str">
        <f>VLOOKUP($B305,Sheet1!$C$2:$L$315,10,)</f>
        <v>試算表から確認</v>
      </c>
      <c r="AB305" s="347" t="s">
        <v>3203</v>
      </c>
      <c r="AC305" s="347" t="b">
        <f>テーブル1[[#This Row],[要求事項一覧
判定]]=テーブル1[[#This Row],[列2]]</f>
        <v>1</v>
      </c>
    </row>
    <row r="306" spans="1:29" ht="58">
      <c r="A306" s="1" t="str">
        <f>テーブル1[[#This Row],[対象部門]]&amp;テーブル1[[#This Row],[業務要件回答表からの事前回答案_v1.0.xlsxより]]</f>
        <v>固定資産管理16.1</v>
      </c>
      <c r="B306" s="1" t="s">
        <v>2978</v>
      </c>
      <c r="D306" s="10" t="s">
        <v>1378</v>
      </c>
      <c r="E306" s="26" t="s">
        <v>1379</v>
      </c>
      <c r="F306" s="21" t="s">
        <v>1380</v>
      </c>
      <c r="G306" s="68">
        <v>16.100000000000001</v>
      </c>
      <c r="H306" s="44" t="s">
        <v>32</v>
      </c>
      <c r="I306" s="15"/>
      <c r="J306" s="68" t="s">
        <v>1205</v>
      </c>
      <c r="K306" s="68" t="s">
        <v>51</v>
      </c>
      <c r="L306" s="26" t="s">
        <v>1381</v>
      </c>
      <c r="M306" s="26" t="s">
        <v>1382</v>
      </c>
      <c r="N306" s="44"/>
      <c r="O306" s="44" t="s">
        <v>35</v>
      </c>
      <c r="P306" s="44"/>
      <c r="Q306" s="68" t="s">
        <v>1376</v>
      </c>
      <c r="R306" s="44" t="s">
        <v>37</v>
      </c>
      <c r="S306" s="26" t="s">
        <v>1383</v>
      </c>
      <c r="T306" s="44" t="s">
        <v>39</v>
      </c>
      <c r="U306" s="93"/>
      <c r="V306" s="94"/>
      <c r="W306" s="334"/>
      <c r="X306" s="41" t="str">
        <f>テーブル1[[#This Row],[開発]]&amp;テーブル1[[#This Row],[スコープ]]</f>
        <v>不要IN</v>
      </c>
      <c r="Y306" s="41" t="str">
        <f>IF(テーブル1[[#This Row],[列1]]="不要IN","標準",IF(テーブル1[[#This Row],[列1]]="不要OUT","スコープアウト",IF(テーブル1[[#This Row],[列1]]="必要IN","アドオン",IF(テーブル1[[#This Row],[列1]]="OUT","スコープアウト",""))))</f>
        <v>標準</v>
      </c>
      <c r="Z306" s="345" t="str">
        <f>VLOOKUP($B306,Sheet1!$C$2:$L$315,9,)</f>
        <v>会計システム標準機能</v>
      </c>
      <c r="AA306" s="340" t="str">
        <f>VLOOKUP($B306,Sheet1!$C$2:$L$315,10,)</f>
        <v>要件次第では、開発が必要な場合もございます。</v>
      </c>
      <c r="AB306" s="347" t="s">
        <v>3203</v>
      </c>
      <c r="AC306" s="347" t="b">
        <f>テーブル1[[#This Row],[要求事項一覧
判定]]=テーブル1[[#This Row],[列2]]</f>
        <v>1</v>
      </c>
    </row>
    <row r="307" spans="1:29" ht="58">
      <c r="A307" s="1" t="str">
        <f>テーブル1[[#This Row],[対象部門]]&amp;テーブル1[[#This Row],[業務要件回答表からの事前回答案_v1.0.xlsxより]]</f>
        <v>固定資産管理16.2</v>
      </c>
      <c r="B307" s="1" t="s">
        <v>2979</v>
      </c>
      <c r="D307" s="10" t="s">
        <v>1384</v>
      </c>
      <c r="E307" s="26" t="s">
        <v>1385</v>
      </c>
      <c r="F307" s="21" t="s">
        <v>1386</v>
      </c>
      <c r="G307" s="68">
        <v>16.2</v>
      </c>
      <c r="H307" s="44" t="s">
        <v>32</v>
      </c>
      <c r="I307" s="15"/>
      <c r="J307" s="68" t="s">
        <v>1205</v>
      </c>
      <c r="K307" s="68" t="s">
        <v>51</v>
      </c>
      <c r="L307" s="26" t="s">
        <v>1387</v>
      </c>
      <c r="M307" s="56"/>
      <c r="N307" s="44"/>
      <c r="O307" s="44"/>
      <c r="P307" s="44"/>
      <c r="Q307" s="68"/>
      <c r="R307" s="44" t="s">
        <v>37</v>
      </c>
      <c r="S307" s="26" t="s">
        <v>1388</v>
      </c>
      <c r="T307" s="44" t="s">
        <v>39</v>
      </c>
      <c r="U307" s="93"/>
      <c r="V307" s="94"/>
      <c r="W307" s="334"/>
      <c r="X307" s="41" t="str">
        <f>テーブル1[[#This Row],[開発]]&amp;テーブル1[[#This Row],[スコープ]]</f>
        <v>不要IN</v>
      </c>
      <c r="Y307" s="41" t="str">
        <f>IF(テーブル1[[#This Row],[列1]]="不要IN","標準",IF(テーブル1[[#This Row],[列1]]="不要OUT","スコープアウト",IF(テーブル1[[#This Row],[列1]]="必要IN","アドオン",IF(テーブル1[[#This Row],[列1]]="OUT","スコープアウト",""))))</f>
        <v>標準</v>
      </c>
      <c r="Z307" s="345" t="str">
        <f>VLOOKUP($B307,Sheet1!$C$2:$L$315,9,)</f>
        <v>会計システム標準機能</v>
      </c>
      <c r="AA307" s="340" t="str">
        <f>VLOOKUP($B307,Sheet1!$C$2:$L$315,10,)</f>
        <v>要件次第では、開発が必要な場合もございます。</v>
      </c>
      <c r="AB307" s="347" t="s">
        <v>3203</v>
      </c>
      <c r="AC307" s="347" t="b">
        <f>テーブル1[[#This Row],[要求事項一覧
判定]]=テーブル1[[#This Row],[列2]]</f>
        <v>1</v>
      </c>
    </row>
    <row r="308" spans="1:29" ht="58">
      <c r="A308" s="1" t="str">
        <f>テーブル1[[#This Row],[対象部門]]&amp;テーブル1[[#This Row],[業務要件回答表からの事前回答案_v1.0.xlsxより]]</f>
        <v>固定資産管理16.3</v>
      </c>
      <c r="B308" s="1" t="s">
        <v>2980</v>
      </c>
      <c r="D308" s="10" t="s">
        <v>1389</v>
      </c>
      <c r="E308" s="26" t="s">
        <v>1390</v>
      </c>
      <c r="F308" s="21" t="s">
        <v>1391</v>
      </c>
      <c r="G308" s="68">
        <v>16.3</v>
      </c>
      <c r="H308" s="44" t="s">
        <v>32</v>
      </c>
      <c r="I308" s="15"/>
      <c r="J308" s="68" t="s">
        <v>1205</v>
      </c>
      <c r="K308" s="68" t="s">
        <v>51</v>
      </c>
      <c r="L308" s="26"/>
      <c r="M308" s="26"/>
      <c r="N308" s="44"/>
      <c r="O308" s="44" t="s">
        <v>1392</v>
      </c>
      <c r="P308" s="44"/>
      <c r="Q308" s="68" t="s">
        <v>1376</v>
      </c>
      <c r="R308" s="44" t="s">
        <v>37</v>
      </c>
      <c r="S308" s="26" t="s">
        <v>1393</v>
      </c>
      <c r="T308" s="44" t="s">
        <v>39</v>
      </c>
      <c r="U308" s="91"/>
      <c r="V308" s="94"/>
      <c r="W308" s="334"/>
      <c r="X308" s="41" t="str">
        <f>テーブル1[[#This Row],[開発]]&amp;テーブル1[[#This Row],[スコープ]]</f>
        <v>不要IN</v>
      </c>
      <c r="Y308" s="41" t="str">
        <f>IF(テーブル1[[#This Row],[列1]]="不要IN","標準",IF(テーブル1[[#This Row],[列1]]="不要OUT","スコープアウト",IF(テーブル1[[#This Row],[列1]]="必要IN","アドオン",IF(テーブル1[[#This Row],[列1]]="OUT","スコープアウト",""))))</f>
        <v>標準</v>
      </c>
      <c r="Z308" s="345" t="str">
        <f>VLOOKUP($B308,Sheet1!$C$2:$L$315,9,)</f>
        <v>会計システム標準機能</v>
      </c>
      <c r="AA308" s="340" t="str">
        <f>VLOOKUP($B308,Sheet1!$C$2:$L$315,10,)</f>
        <v>要件次第では、開発が必要な場合もございます。</v>
      </c>
      <c r="AB308" s="347" t="s">
        <v>3203</v>
      </c>
      <c r="AC308" s="347" t="b">
        <f>テーブル1[[#This Row],[要求事項一覧
判定]]=テーブル1[[#This Row],[列2]]</f>
        <v>1</v>
      </c>
    </row>
    <row r="309" spans="1:29" ht="58">
      <c r="A309" s="1" t="str">
        <f>テーブル1[[#This Row],[対象部門]]&amp;テーブル1[[#This Row],[業務要件回答表からの事前回答案_v1.0.xlsxより]]</f>
        <v>固定資産管理16.4</v>
      </c>
      <c r="B309" s="1" t="s">
        <v>2981</v>
      </c>
      <c r="D309" s="10" t="s">
        <v>1394</v>
      </c>
      <c r="E309" s="26" t="s">
        <v>1395</v>
      </c>
      <c r="F309" s="21" t="s">
        <v>1396</v>
      </c>
      <c r="G309" s="68">
        <v>16.399999999999999</v>
      </c>
      <c r="H309" s="44" t="s">
        <v>32</v>
      </c>
      <c r="I309" s="15"/>
      <c r="J309" s="68" t="s">
        <v>1205</v>
      </c>
      <c r="K309" s="68" t="s">
        <v>51</v>
      </c>
      <c r="L309" s="26" t="s">
        <v>1397</v>
      </c>
      <c r="M309" s="26" t="s">
        <v>1398</v>
      </c>
      <c r="N309" s="44"/>
      <c r="O309" s="44" t="s">
        <v>1392</v>
      </c>
      <c r="P309" s="44"/>
      <c r="Q309" s="68" t="s">
        <v>1376</v>
      </c>
      <c r="R309" s="44" t="s">
        <v>37</v>
      </c>
      <c r="S309" s="26" t="s">
        <v>1398</v>
      </c>
      <c r="T309" s="44" t="s">
        <v>39</v>
      </c>
      <c r="U309" s="91"/>
      <c r="V309" s="94"/>
      <c r="W309" s="334"/>
      <c r="X309" s="41" t="str">
        <f>テーブル1[[#This Row],[開発]]&amp;テーブル1[[#This Row],[スコープ]]</f>
        <v>不要IN</v>
      </c>
      <c r="Y309" s="41" t="str">
        <f>IF(テーブル1[[#This Row],[列1]]="不要IN","標準",IF(テーブル1[[#This Row],[列1]]="不要OUT","スコープアウト",IF(テーブル1[[#This Row],[列1]]="必要IN","アドオン",IF(テーブル1[[#This Row],[列1]]="OUT","スコープアウト",""))))</f>
        <v>標準</v>
      </c>
      <c r="Z309" s="345" t="str">
        <f>VLOOKUP($B309,Sheet1!$C$2:$L$315,9,)</f>
        <v>会計システム標準機能</v>
      </c>
      <c r="AA309" s="340" t="str">
        <f>VLOOKUP($B309,Sheet1!$C$2:$L$315,10,)</f>
        <v>要件次第では、開発が必要な場合もございます。</v>
      </c>
      <c r="AB309" s="347" t="s">
        <v>3203</v>
      </c>
      <c r="AC309" s="347" t="b">
        <f>テーブル1[[#This Row],[要求事項一覧
判定]]=テーブル1[[#This Row],[列2]]</f>
        <v>1</v>
      </c>
    </row>
    <row r="310" spans="1:29" ht="72.5">
      <c r="A310" s="1" t="str">
        <f>テーブル1[[#This Row],[対象部門]]&amp;テーブル1[[#This Row],[業務要件回答表からの事前回答案_v1.0.xlsxより]]</f>
        <v>固定資産管理16.5</v>
      </c>
      <c r="B310" s="1" t="s">
        <v>2982</v>
      </c>
      <c r="D310" s="10" t="s">
        <v>1399</v>
      </c>
      <c r="E310" s="26" t="s">
        <v>1400</v>
      </c>
      <c r="F310" s="21" t="s">
        <v>1401</v>
      </c>
      <c r="G310" s="68">
        <v>16.5</v>
      </c>
      <c r="H310" s="44" t="s">
        <v>32</v>
      </c>
      <c r="I310" s="15"/>
      <c r="J310" s="68" t="s">
        <v>1205</v>
      </c>
      <c r="K310" s="68" t="s">
        <v>51</v>
      </c>
      <c r="L310" s="26"/>
      <c r="M310" s="26"/>
      <c r="N310" s="44"/>
      <c r="O310" s="44" t="s">
        <v>35</v>
      </c>
      <c r="P310" s="44"/>
      <c r="Q310" s="68" t="s">
        <v>1376</v>
      </c>
      <c r="R310" s="44" t="s">
        <v>37</v>
      </c>
      <c r="S310" s="26" t="s">
        <v>1402</v>
      </c>
      <c r="T310" s="44" t="s">
        <v>39</v>
      </c>
      <c r="U310" s="91"/>
      <c r="V310" s="94"/>
      <c r="W310" s="334"/>
      <c r="X310" s="41" t="str">
        <f>テーブル1[[#This Row],[開発]]&amp;テーブル1[[#This Row],[スコープ]]</f>
        <v>不要IN</v>
      </c>
      <c r="Y310" s="41" t="str">
        <f>IF(テーブル1[[#This Row],[列1]]="不要IN","標準",IF(テーブル1[[#This Row],[列1]]="不要OUT","スコープアウト",IF(テーブル1[[#This Row],[列1]]="必要IN","アドオン",IF(テーブル1[[#This Row],[列1]]="OUT","スコープアウト",""))))</f>
        <v>標準</v>
      </c>
      <c r="Z310" s="345" t="str">
        <f>VLOOKUP($B310,Sheet1!$C$2:$L$315,9,)</f>
        <v>会計システム標準機能</v>
      </c>
      <c r="AA310" s="340" t="str">
        <f>VLOOKUP($B310,Sheet1!$C$2:$L$315,10,)</f>
        <v>要件次第では、開発が必要な場合もございます。</v>
      </c>
      <c r="AB310" s="347" t="s">
        <v>3203</v>
      </c>
      <c r="AC310" s="347" t="b">
        <f>テーブル1[[#This Row],[要求事項一覧
判定]]=テーブル1[[#This Row],[列2]]</f>
        <v>1</v>
      </c>
    </row>
    <row r="311" spans="1:29" ht="72.5">
      <c r="A311" s="1" t="str">
        <f>テーブル1[[#This Row],[対象部門]]&amp;テーブル1[[#This Row],[業務要件回答表からの事前回答案_v1.0.xlsxより]]</f>
        <v>固定資産管理17.1</v>
      </c>
      <c r="B311" s="1" t="s">
        <v>2983</v>
      </c>
      <c r="D311" s="10" t="s">
        <v>1403</v>
      </c>
      <c r="E311" s="26" t="s">
        <v>1404</v>
      </c>
      <c r="F311" s="21" t="s">
        <v>1405</v>
      </c>
      <c r="G311" s="68">
        <v>17.100000000000001</v>
      </c>
      <c r="H311" s="44" t="s">
        <v>32</v>
      </c>
      <c r="I311" s="15"/>
      <c r="J311" s="68" t="s">
        <v>1205</v>
      </c>
      <c r="K311" s="68" t="s">
        <v>51</v>
      </c>
      <c r="L311" s="26"/>
      <c r="M311" s="26"/>
      <c r="N311" s="44"/>
      <c r="O311" s="44" t="s">
        <v>35</v>
      </c>
      <c r="P311" s="44"/>
      <c r="Q311" s="68" t="s">
        <v>1376</v>
      </c>
      <c r="R311" s="44" t="s">
        <v>37</v>
      </c>
      <c r="S311" s="26" t="s">
        <v>1406</v>
      </c>
      <c r="T311" s="44" t="s">
        <v>39</v>
      </c>
      <c r="U311" s="91"/>
      <c r="V311" s="94"/>
      <c r="W311" s="334"/>
      <c r="X311" s="41" t="str">
        <f>テーブル1[[#This Row],[開発]]&amp;テーブル1[[#This Row],[スコープ]]</f>
        <v>不要IN</v>
      </c>
      <c r="Y311" s="41" t="str">
        <f>IF(テーブル1[[#This Row],[列1]]="不要IN","標準",IF(テーブル1[[#This Row],[列1]]="不要OUT","スコープアウト",IF(テーブル1[[#This Row],[列1]]="必要IN","アドオン",IF(テーブル1[[#This Row],[列1]]="OUT","スコープアウト",""))))</f>
        <v>標準</v>
      </c>
      <c r="Z311" s="345" t="str">
        <f>VLOOKUP($B311,Sheet1!$C$2:$L$315,9,)</f>
        <v>会計システム標準機能</v>
      </c>
      <c r="AA311" s="340" t="str">
        <f>VLOOKUP($B311,Sheet1!$C$2:$L$315,10,)</f>
        <v>要件次第では、開発が必要な場合もございます。</v>
      </c>
      <c r="AB311" s="347" t="s">
        <v>3203</v>
      </c>
      <c r="AC311" s="347" t="b">
        <f>テーブル1[[#This Row],[要求事項一覧
判定]]=テーブル1[[#This Row],[列2]]</f>
        <v>1</v>
      </c>
    </row>
    <row r="312" spans="1:29" ht="87">
      <c r="A312" s="1" t="str">
        <f>テーブル1[[#This Row],[対象部門]]&amp;テーブル1[[#This Row],[業務要件回答表からの事前回答案_v1.0.xlsxより]]</f>
        <v>固定資産管理17.2</v>
      </c>
      <c r="B312" s="1" t="s">
        <v>2984</v>
      </c>
      <c r="D312" s="10" t="s">
        <v>1407</v>
      </c>
      <c r="E312" s="26" t="s">
        <v>1408</v>
      </c>
      <c r="F312" s="21" t="s">
        <v>1409</v>
      </c>
      <c r="G312" s="68">
        <v>17.2</v>
      </c>
      <c r="H312" s="44" t="s">
        <v>32</v>
      </c>
      <c r="I312" s="15"/>
      <c r="J312" s="68" t="s">
        <v>1205</v>
      </c>
      <c r="K312" s="68" t="s">
        <v>51</v>
      </c>
      <c r="L312" s="26"/>
      <c r="M312" s="26"/>
      <c r="N312" s="44"/>
      <c r="O312" s="44" t="s">
        <v>35</v>
      </c>
      <c r="P312" s="44"/>
      <c r="Q312" s="68" t="s">
        <v>1376</v>
      </c>
      <c r="R312" s="44" t="s">
        <v>37</v>
      </c>
      <c r="S312" s="26" t="s">
        <v>1410</v>
      </c>
      <c r="T312" s="44" t="s">
        <v>39</v>
      </c>
      <c r="U312" s="91"/>
      <c r="V312" s="94"/>
      <c r="W312" s="334"/>
      <c r="X312" s="41" t="str">
        <f>テーブル1[[#This Row],[開発]]&amp;テーブル1[[#This Row],[スコープ]]</f>
        <v>不要IN</v>
      </c>
      <c r="Y312" s="41" t="str">
        <f>IF(テーブル1[[#This Row],[列1]]="不要IN","標準",IF(テーブル1[[#This Row],[列1]]="不要OUT","スコープアウト",IF(テーブル1[[#This Row],[列1]]="必要IN","アドオン",IF(テーブル1[[#This Row],[列1]]="OUT","スコープアウト",""))))</f>
        <v>標準</v>
      </c>
      <c r="Z312" s="345" t="str">
        <f>VLOOKUP($B312,Sheet1!$C$2:$L$315,9,)</f>
        <v>会計システム標準機能</v>
      </c>
      <c r="AA312" s="340" t="str">
        <f>VLOOKUP($B312,Sheet1!$C$2:$L$315,10,)</f>
        <v>要件次第では、開発が必要な場合もございます。</v>
      </c>
      <c r="AB312" s="347" t="s">
        <v>3203</v>
      </c>
      <c r="AC312" s="347" t="b">
        <f>テーブル1[[#This Row],[要求事項一覧
判定]]=テーブル1[[#This Row],[列2]]</f>
        <v>1</v>
      </c>
    </row>
    <row r="313" spans="1:29" ht="43.5">
      <c r="A313" s="1" t="str">
        <f>テーブル1[[#This Row],[対象部門]]&amp;テーブル1[[#This Row],[業務要件回答表からの事前回答案_v1.0.xlsxより]]</f>
        <v>固定資産管理17.3</v>
      </c>
      <c r="B313" s="1" t="s">
        <v>2985</v>
      </c>
      <c r="D313" s="10" t="s">
        <v>1411</v>
      </c>
      <c r="E313" s="26" t="s">
        <v>1412</v>
      </c>
      <c r="F313" s="21" t="s">
        <v>1413</v>
      </c>
      <c r="G313" s="68">
        <v>17.3</v>
      </c>
      <c r="H313" s="44" t="s">
        <v>32</v>
      </c>
      <c r="I313" s="15"/>
      <c r="J313" s="68" t="s">
        <v>1205</v>
      </c>
      <c r="K313" s="68" t="s">
        <v>51</v>
      </c>
      <c r="L313" s="26"/>
      <c r="M313" s="26"/>
      <c r="N313" s="44"/>
      <c r="O313" s="44" t="s">
        <v>35</v>
      </c>
      <c r="P313" s="44"/>
      <c r="Q313" s="68" t="s">
        <v>1376</v>
      </c>
      <c r="R313" s="44" t="s">
        <v>37</v>
      </c>
      <c r="S313" s="26" t="s">
        <v>1414</v>
      </c>
      <c r="T313" s="44" t="s">
        <v>39</v>
      </c>
      <c r="U313" s="91"/>
      <c r="V313" s="94"/>
      <c r="W313" s="334"/>
      <c r="X313" s="41" t="str">
        <f>テーブル1[[#This Row],[開発]]&amp;テーブル1[[#This Row],[スコープ]]</f>
        <v>不要IN</v>
      </c>
      <c r="Y313" s="41" t="str">
        <f>IF(テーブル1[[#This Row],[列1]]="不要IN","標準",IF(テーブル1[[#This Row],[列1]]="不要OUT","スコープアウト",IF(テーブル1[[#This Row],[列1]]="必要IN","アドオン",IF(テーブル1[[#This Row],[列1]]="OUT","スコープアウト",""))))</f>
        <v>標準</v>
      </c>
      <c r="Z313" s="345" t="str">
        <f>VLOOKUP($B313,Sheet1!$C$2:$L$315,9,)</f>
        <v>会計システム標準機能</v>
      </c>
      <c r="AA313" s="340" t="str">
        <f>VLOOKUP($B313,Sheet1!$C$2:$L$315,10,)</f>
        <v>要件次第では、開発が必要な場合もございます。</v>
      </c>
      <c r="AB313" s="347" t="s">
        <v>3203</v>
      </c>
      <c r="AC313" s="347" t="b">
        <f>テーブル1[[#This Row],[要求事項一覧
判定]]=テーブル1[[#This Row],[列2]]</f>
        <v>1</v>
      </c>
    </row>
    <row r="314" spans="1:29" ht="58">
      <c r="A314" s="1" t="str">
        <f>テーブル1[[#This Row],[対象部門]]&amp;テーブル1[[#This Row],[業務要件回答表からの事前回答案_v1.0.xlsxより]]</f>
        <v>固定資産管理18.1</v>
      </c>
      <c r="B314" s="1" t="s">
        <v>2986</v>
      </c>
      <c r="D314" s="10" t="s">
        <v>1415</v>
      </c>
      <c r="E314" s="26" t="s">
        <v>1416</v>
      </c>
      <c r="F314" s="21" t="s">
        <v>1417</v>
      </c>
      <c r="G314" s="68">
        <v>18.100000000000001</v>
      </c>
      <c r="H314" s="44" t="s">
        <v>32</v>
      </c>
      <c r="I314" s="15"/>
      <c r="J314" s="68" t="s">
        <v>1205</v>
      </c>
      <c r="K314" s="68" t="s">
        <v>51</v>
      </c>
      <c r="L314" s="26"/>
      <c r="M314" s="26"/>
      <c r="N314" s="44"/>
      <c r="O314" s="44" t="s">
        <v>35</v>
      </c>
      <c r="P314" s="44"/>
      <c r="Q314" s="68" t="s">
        <v>1376</v>
      </c>
      <c r="R314" s="44" t="s">
        <v>37</v>
      </c>
      <c r="S314" s="26" t="s">
        <v>1418</v>
      </c>
      <c r="T314" s="44" t="s">
        <v>39</v>
      </c>
      <c r="U314" s="91"/>
      <c r="V314" s="94"/>
      <c r="W314" s="334"/>
      <c r="X314" s="41" t="str">
        <f>テーブル1[[#This Row],[開発]]&amp;テーブル1[[#This Row],[スコープ]]</f>
        <v>不要IN</v>
      </c>
      <c r="Y314" s="41" t="str">
        <f>IF(テーブル1[[#This Row],[列1]]="不要IN","標準",IF(テーブル1[[#This Row],[列1]]="不要OUT","スコープアウト",IF(テーブル1[[#This Row],[列1]]="必要IN","アドオン",IF(テーブル1[[#This Row],[列1]]="OUT","スコープアウト",""))))</f>
        <v>標準</v>
      </c>
      <c r="Z314" s="345" t="str">
        <f>VLOOKUP($B314,Sheet1!$C$2:$L$315,9,)</f>
        <v>会計システム標準機能</v>
      </c>
      <c r="AA314" s="340" t="str">
        <f>VLOOKUP($B314,Sheet1!$C$2:$L$315,10,)</f>
        <v>要件次第では、開発が必要な場合もございます。</v>
      </c>
      <c r="AB314" s="347" t="s">
        <v>3203</v>
      </c>
      <c r="AC314" s="347" t="b">
        <f>テーブル1[[#This Row],[要求事項一覧
判定]]=テーブル1[[#This Row],[列2]]</f>
        <v>1</v>
      </c>
    </row>
    <row r="315" spans="1:29" ht="58">
      <c r="A315" s="1" t="str">
        <f>テーブル1[[#This Row],[対象部門]]&amp;テーブル1[[#This Row],[業務要件回答表からの事前回答案_v1.0.xlsxより]]</f>
        <v>固定資産管理19.1</v>
      </c>
      <c r="B315" s="1" t="s">
        <v>2987</v>
      </c>
      <c r="D315" s="10" t="s">
        <v>1419</v>
      </c>
      <c r="E315" s="26" t="s">
        <v>1420</v>
      </c>
      <c r="F315" s="21" t="s">
        <v>1421</v>
      </c>
      <c r="G315" s="68">
        <v>19.100000000000001</v>
      </c>
      <c r="H315" s="44" t="s">
        <v>32</v>
      </c>
      <c r="I315" s="15"/>
      <c r="J315" s="68" t="s">
        <v>1205</v>
      </c>
      <c r="K315" s="68" t="s">
        <v>51</v>
      </c>
      <c r="L315" s="26" t="s">
        <v>1422</v>
      </c>
      <c r="M315" s="26" t="s">
        <v>1423</v>
      </c>
      <c r="N315" s="44"/>
      <c r="O315" s="44" t="s">
        <v>35</v>
      </c>
      <c r="P315" s="44"/>
      <c r="Q315" s="68" t="s">
        <v>1376</v>
      </c>
      <c r="R315" s="44" t="s">
        <v>37</v>
      </c>
      <c r="S315" s="26" t="s">
        <v>1424</v>
      </c>
      <c r="T315" s="44" t="s">
        <v>39</v>
      </c>
      <c r="U315" s="91"/>
      <c r="V315" s="94"/>
      <c r="W315" s="334"/>
      <c r="X315" s="41" t="str">
        <f>テーブル1[[#This Row],[開発]]&amp;テーブル1[[#This Row],[スコープ]]</f>
        <v>不要IN</v>
      </c>
      <c r="Y315" s="41" t="str">
        <f>IF(テーブル1[[#This Row],[列1]]="不要IN","標準",IF(テーブル1[[#This Row],[列1]]="不要OUT","スコープアウト",IF(テーブル1[[#This Row],[列1]]="必要IN","アドオン",IF(テーブル1[[#This Row],[列1]]="OUT","スコープアウト",""))))</f>
        <v>標準</v>
      </c>
      <c r="Z315" s="345" t="str">
        <f>VLOOKUP($B315,Sheet1!$C$2:$L$315,9,)</f>
        <v>会計システム標準機能</v>
      </c>
      <c r="AA315" s="340" t="str">
        <f>VLOOKUP($B315,Sheet1!$C$2:$L$315,10,)</f>
        <v>要件次第では、開発が必要な場合もございます。</v>
      </c>
      <c r="AB315" s="347" t="s">
        <v>3203</v>
      </c>
      <c r="AC315" s="347" t="b">
        <f>テーブル1[[#This Row],[要求事項一覧
判定]]=テーブル1[[#This Row],[列2]]</f>
        <v>1</v>
      </c>
    </row>
    <row r="316" spans="1:29" ht="72.5">
      <c r="A316" s="1" t="str">
        <f>テーブル1[[#This Row],[対象部門]]&amp;テーブル1[[#This Row],[業務要件回答表からの事前回答案_v1.0.xlsxより]]</f>
        <v>固定資産管理19.2</v>
      </c>
      <c r="B316" s="1" t="s">
        <v>2988</v>
      </c>
      <c r="D316" s="10" t="s">
        <v>1425</v>
      </c>
      <c r="E316" s="26" t="s">
        <v>1426</v>
      </c>
      <c r="F316" s="21" t="s">
        <v>1427</v>
      </c>
      <c r="G316" s="68">
        <v>19.2</v>
      </c>
      <c r="H316" s="44" t="s">
        <v>32</v>
      </c>
      <c r="I316" s="15"/>
      <c r="J316" s="68" t="s">
        <v>1205</v>
      </c>
      <c r="K316" s="68" t="s">
        <v>51</v>
      </c>
      <c r="L316" s="26" t="s">
        <v>1428</v>
      </c>
      <c r="M316" s="26" t="s">
        <v>1429</v>
      </c>
      <c r="N316" s="44"/>
      <c r="O316" s="44" t="s">
        <v>35</v>
      </c>
      <c r="P316" s="44"/>
      <c r="Q316" s="68" t="s">
        <v>1430</v>
      </c>
      <c r="R316" s="76" t="s">
        <v>54</v>
      </c>
      <c r="S316" s="39" t="s">
        <v>1431</v>
      </c>
      <c r="T316" s="75" t="s">
        <v>39</v>
      </c>
      <c r="U316" s="91"/>
      <c r="V316" s="95" t="s">
        <v>1432</v>
      </c>
      <c r="W316" s="336" t="s">
        <v>1433</v>
      </c>
      <c r="X316" s="341" t="str">
        <f>テーブル1[[#This Row],[開発]]&amp;テーブル1[[#This Row],[スコープ]]</f>
        <v>必要IN</v>
      </c>
      <c r="Y316" s="41" t="str">
        <f>IF(テーブル1[[#This Row],[列1]]="不要IN","標準",IF(テーブル1[[#This Row],[列1]]="不要OUT","スコープアウト",IF(テーブル1[[#This Row],[列1]]="必要IN","アドオン",IF(テーブル1[[#This Row],[列1]]="OUT","スコープアウト",""))))</f>
        <v>アドオン</v>
      </c>
      <c r="Z316" s="345" t="str">
        <f>VLOOKUP($B316,Sheet1!$C$2:$L$315,9,)</f>
        <v>会計システム標準機能</v>
      </c>
      <c r="AA316" s="340" t="str">
        <f>VLOOKUP($B316,Sheet1!$C$2:$L$315,10,)</f>
        <v>要件次第では、開発が必要な場合もございます。</v>
      </c>
      <c r="AB316" s="347" t="s">
        <v>3203</v>
      </c>
      <c r="AC316" s="347" t="b">
        <f>テーブル1[[#This Row],[要求事項一覧
判定]]=テーブル1[[#This Row],[列2]]</f>
        <v>0</v>
      </c>
    </row>
    <row r="317" spans="1:29" ht="72.5">
      <c r="A317" s="1" t="str">
        <f>テーブル1[[#This Row],[対象部門]]&amp;テーブル1[[#This Row],[業務要件回答表からの事前回答案_v1.0.xlsxより]]</f>
        <v>固定資産管理19.3</v>
      </c>
      <c r="B317" s="1" t="s">
        <v>2989</v>
      </c>
      <c r="D317" s="10" t="s">
        <v>1434</v>
      </c>
      <c r="E317" s="26" t="s">
        <v>1435</v>
      </c>
      <c r="F317" s="21" t="s">
        <v>1436</v>
      </c>
      <c r="G317" s="68">
        <v>19.3</v>
      </c>
      <c r="H317" s="44" t="s">
        <v>32</v>
      </c>
      <c r="I317" s="15"/>
      <c r="J317" s="68" t="s">
        <v>1205</v>
      </c>
      <c r="K317" s="68" t="s">
        <v>51</v>
      </c>
      <c r="L317" s="26"/>
      <c r="M317" s="55"/>
      <c r="N317" s="44"/>
      <c r="O317" s="44" t="s">
        <v>35</v>
      </c>
      <c r="P317" s="44"/>
      <c r="Q317" s="68" t="s">
        <v>1376</v>
      </c>
      <c r="R317" s="44" t="s">
        <v>37</v>
      </c>
      <c r="S317" s="55" t="s">
        <v>1437</v>
      </c>
      <c r="T317" s="44" t="s">
        <v>39</v>
      </c>
      <c r="U317" s="91"/>
      <c r="V317" s="94"/>
      <c r="W317" s="334"/>
      <c r="X317" s="41" t="str">
        <f>テーブル1[[#This Row],[開発]]&amp;テーブル1[[#This Row],[スコープ]]</f>
        <v>不要IN</v>
      </c>
      <c r="Y317" s="41" t="str">
        <f>IF(テーブル1[[#This Row],[列1]]="不要IN","標準",IF(テーブル1[[#This Row],[列1]]="不要OUT","スコープアウト",IF(テーブル1[[#This Row],[列1]]="必要IN","アドオン",IF(テーブル1[[#This Row],[列1]]="OUT","スコープアウト",""))))</f>
        <v>標準</v>
      </c>
      <c r="Z317" s="345" t="str">
        <f>VLOOKUP($B317,Sheet1!$C$2:$L$315,9,)</f>
        <v>会計システム標準機能</v>
      </c>
      <c r="AA317" s="340" t="str">
        <f>VLOOKUP($B317,Sheet1!$C$2:$L$315,10,)</f>
        <v>要件次第では、開発が必要な場合もございます。</v>
      </c>
      <c r="AB317" s="347" t="s">
        <v>3203</v>
      </c>
      <c r="AC317" s="347" t="b">
        <f>テーブル1[[#This Row],[要求事項一覧
判定]]=テーブル1[[#This Row],[列2]]</f>
        <v>1</v>
      </c>
    </row>
    <row r="318" spans="1:29" ht="101.5">
      <c r="A318" s="1" t="str">
        <f>テーブル1[[#This Row],[対象部門]]&amp;テーブル1[[#This Row],[業務要件回答表からの事前回答案_v1.0.xlsxより]]</f>
        <v>債務管理-</v>
      </c>
      <c r="B318" s="1" t="s">
        <v>3179</v>
      </c>
      <c r="D318" s="10" t="s">
        <v>1438</v>
      </c>
      <c r="E318" s="74" t="s">
        <v>1439</v>
      </c>
      <c r="F318" s="21"/>
      <c r="G318" s="68" t="s">
        <v>445</v>
      </c>
      <c r="H318" s="44" t="s">
        <v>32</v>
      </c>
      <c r="I318" s="15"/>
      <c r="J318" s="68" t="s">
        <v>576</v>
      </c>
      <c r="K318" s="68" t="s">
        <v>51</v>
      </c>
      <c r="L318" s="30" t="s">
        <v>1440</v>
      </c>
      <c r="M318" s="30"/>
      <c r="N318" s="44" t="s">
        <v>445</v>
      </c>
      <c r="O318" s="44" t="s">
        <v>35</v>
      </c>
      <c r="P318" s="44" t="s">
        <v>577</v>
      </c>
      <c r="Q318" s="68" t="s">
        <v>669</v>
      </c>
      <c r="R318" s="44" t="s">
        <v>37</v>
      </c>
      <c r="S318" s="26" t="s">
        <v>1441</v>
      </c>
      <c r="T318" s="44" t="s">
        <v>39</v>
      </c>
      <c r="U318" s="101" t="s">
        <v>1442</v>
      </c>
      <c r="V318" s="94"/>
      <c r="W318" s="334"/>
      <c r="X318" s="41" t="str">
        <f>テーブル1[[#This Row],[開発]]&amp;テーブル1[[#This Row],[スコープ]]</f>
        <v>不要IN</v>
      </c>
      <c r="Y318" s="41" t="str">
        <f>IF(テーブル1[[#This Row],[列1]]="不要IN","標準",IF(テーブル1[[#This Row],[列1]]="不要OUT","スコープアウト",IF(テーブル1[[#This Row],[列1]]="必要IN","アドオン",IF(テーブル1[[#This Row],[列1]]="OUT","スコープアウト",""))))</f>
        <v>標準</v>
      </c>
      <c r="Z318" s="347" t="e">
        <f>VLOOKUP($B318,Sheet1!$C$2:$L$315,9,)</f>
        <v>#N/A</v>
      </c>
      <c r="AA318" s="340" t="e">
        <f>VLOOKUP($B318,Sheet1!$C$2:$L$315,10,)</f>
        <v>#N/A</v>
      </c>
      <c r="AB318" s="347"/>
      <c r="AC318" s="347" t="b">
        <f>テーブル1[[#This Row],[要求事項一覧
判定]]=テーブル1[[#This Row],[列2]]</f>
        <v>0</v>
      </c>
    </row>
    <row r="319" spans="1:29" ht="43.5">
      <c r="A319" s="1" t="str">
        <f>テーブル1[[#This Row],[対象部門]]&amp;テーブル1[[#This Row],[業務要件回答表からの事前回答案_v1.0.xlsxより]]</f>
        <v>債務管理-</v>
      </c>
      <c r="B319" s="1" t="s">
        <v>3179</v>
      </c>
      <c r="D319" s="10" t="s">
        <v>1443</v>
      </c>
      <c r="E319" s="26" t="s">
        <v>1444</v>
      </c>
      <c r="F319" s="21"/>
      <c r="G319" s="68" t="s">
        <v>445</v>
      </c>
      <c r="H319" s="44" t="s">
        <v>32</v>
      </c>
      <c r="I319" s="15"/>
      <c r="J319" s="68" t="s">
        <v>576</v>
      </c>
      <c r="K319" s="68" t="s">
        <v>51</v>
      </c>
      <c r="L319" s="30" t="s">
        <v>1445</v>
      </c>
      <c r="M319" s="30"/>
      <c r="N319" s="44" t="s">
        <v>445</v>
      </c>
      <c r="O319" s="44" t="s">
        <v>35</v>
      </c>
      <c r="P319" s="44" t="s">
        <v>577</v>
      </c>
      <c r="Q319" s="68" t="s">
        <v>669</v>
      </c>
      <c r="R319" s="44" t="s">
        <v>37</v>
      </c>
      <c r="S319" s="26" t="s">
        <v>1446</v>
      </c>
      <c r="T319" s="44" t="s">
        <v>39</v>
      </c>
      <c r="U319" s="91"/>
      <c r="V319" s="94"/>
      <c r="W319" s="334"/>
      <c r="X319" s="41" t="str">
        <f>テーブル1[[#This Row],[開発]]&amp;テーブル1[[#This Row],[スコープ]]</f>
        <v>不要IN</v>
      </c>
      <c r="Y319" s="41" t="str">
        <f>IF(テーブル1[[#This Row],[列1]]="不要IN","標準",IF(テーブル1[[#This Row],[列1]]="不要OUT","スコープアウト",IF(テーブル1[[#This Row],[列1]]="必要IN","アドオン",IF(テーブル1[[#This Row],[列1]]="OUT","スコープアウト",""))))</f>
        <v>標準</v>
      </c>
      <c r="Z319" s="347" t="e">
        <f>VLOOKUP($B319,Sheet1!$C$2:$L$315,9,)</f>
        <v>#N/A</v>
      </c>
      <c r="AA319" s="340" t="e">
        <f>VLOOKUP($B319,Sheet1!$C$2:$L$315,10,)</f>
        <v>#N/A</v>
      </c>
      <c r="AB319" s="347"/>
      <c r="AC319" s="347" t="b">
        <f>テーブル1[[#This Row],[要求事項一覧
判定]]=テーブル1[[#This Row],[列2]]</f>
        <v>0</v>
      </c>
    </row>
    <row r="320" spans="1:29" ht="130.5">
      <c r="A320" s="1" t="str">
        <f>テーブル1[[#This Row],[対象部門]]&amp;テーブル1[[#This Row],[業務要件回答表からの事前回答案_v1.0.xlsxより]]</f>
        <v>債務管理-</v>
      </c>
      <c r="B320" s="1" t="s">
        <v>3179</v>
      </c>
      <c r="D320" s="10" t="s">
        <v>1447</v>
      </c>
      <c r="E320" s="74" t="s">
        <v>1448</v>
      </c>
      <c r="F320" s="21"/>
      <c r="G320" s="68" t="s">
        <v>445</v>
      </c>
      <c r="H320" s="44" t="s">
        <v>32</v>
      </c>
      <c r="I320" s="15"/>
      <c r="J320" s="68" t="s">
        <v>576</v>
      </c>
      <c r="K320" s="68" t="s">
        <v>51</v>
      </c>
      <c r="L320" s="30" t="s">
        <v>1449</v>
      </c>
      <c r="M320" s="30"/>
      <c r="N320" s="44" t="s">
        <v>445</v>
      </c>
      <c r="O320" s="44" t="s">
        <v>35</v>
      </c>
      <c r="P320" s="44" t="s">
        <v>577</v>
      </c>
      <c r="Q320" s="68" t="s">
        <v>578</v>
      </c>
      <c r="R320" s="44" t="s">
        <v>37</v>
      </c>
      <c r="S320" s="26" t="s">
        <v>1450</v>
      </c>
      <c r="T320" s="44" t="s">
        <v>39</v>
      </c>
      <c r="U320" s="91"/>
      <c r="V320" s="95"/>
      <c r="W320" s="336" t="s">
        <v>1451</v>
      </c>
      <c r="X320" s="341" t="str">
        <f>テーブル1[[#This Row],[開発]]&amp;テーブル1[[#This Row],[スコープ]]</f>
        <v>不要IN</v>
      </c>
      <c r="Y320" s="41" t="str">
        <f>IF(テーブル1[[#This Row],[列1]]="不要IN","標準",IF(テーブル1[[#This Row],[列1]]="不要OUT","スコープアウト",IF(テーブル1[[#This Row],[列1]]="必要IN","アドオン",IF(テーブル1[[#This Row],[列1]]="OUT","スコープアウト",""))))</f>
        <v>標準</v>
      </c>
      <c r="Z320" s="347" t="e">
        <f>VLOOKUP($B320,Sheet1!$C$2:$L$315,9,)</f>
        <v>#N/A</v>
      </c>
      <c r="AA320" s="340" t="e">
        <f>VLOOKUP($B320,Sheet1!$C$2:$L$315,10,)</f>
        <v>#N/A</v>
      </c>
      <c r="AB320" s="347"/>
      <c r="AC320" s="347" t="b">
        <f>テーブル1[[#This Row],[要求事項一覧
判定]]=テーブル1[[#This Row],[列2]]</f>
        <v>0</v>
      </c>
    </row>
    <row r="321" spans="1:29" ht="101.5">
      <c r="A321" s="1" t="str">
        <f>テーブル1[[#This Row],[対象部門]]&amp;テーブル1[[#This Row],[業務要件回答表からの事前回答案_v1.0.xlsxより]]</f>
        <v>債務管理-</v>
      </c>
      <c r="B321" s="1" t="s">
        <v>3179</v>
      </c>
      <c r="D321" s="10" t="s">
        <v>1452</v>
      </c>
      <c r="E321" s="74" t="s">
        <v>1453</v>
      </c>
      <c r="F321" s="21"/>
      <c r="G321" s="68" t="s">
        <v>445</v>
      </c>
      <c r="H321" s="44" t="s">
        <v>32</v>
      </c>
      <c r="I321" s="15"/>
      <c r="J321" s="68" t="s">
        <v>576</v>
      </c>
      <c r="K321" s="68" t="s">
        <v>51</v>
      </c>
      <c r="L321" s="30" t="s">
        <v>1454</v>
      </c>
      <c r="M321" s="30"/>
      <c r="N321" s="44">
        <v>141</v>
      </c>
      <c r="O321" s="44" t="s">
        <v>35</v>
      </c>
      <c r="P321" s="44" t="s">
        <v>577</v>
      </c>
      <c r="Q321" s="68" t="s">
        <v>578</v>
      </c>
      <c r="R321" s="44" t="s">
        <v>54</v>
      </c>
      <c r="S321" s="26" t="s">
        <v>1455</v>
      </c>
      <c r="T321" s="44" t="s">
        <v>39</v>
      </c>
      <c r="U321" s="91"/>
      <c r="V321" s="95" t="s">
        <v>161</v>
      </c>
      <c r="W321" s="336" t="s">
        <v>1456</v>
      </c>
      <c r="X321" s="341" t="str">
        <f>テーブル1[[#This Row],[開発]]&amp;テーブル1[[#This Row],[スコープ]]</f>
        <v>必要IN</v>
      </c>
      <c r="Y321" s="41" t="str">
        <f>IF(テーブル1[[#This Row],[列1]]="不要IN","標準",IF(テーブル1[[#This Row],[列1]]="不要OUT","スコープアウト",IF(テーブル1[[#This Row],[列1]]="必要IN","アドオン",IF(テーブル1[[#This Row],[列1]]="OUT","スコープアウト",""))))</f>
        <v>アドオン</v>
      </c>
      <c r="Z321" s="347" t="e">
        <f>VLOOKUP($B321,Sheet1!$C$2:$L$315,9,)</f>
        <v>#N/A</v>
      </c>
      <c r="AA321" s="340" t="e">
        <f>VLOOKUP($B321,Sheet1!$C$2:$L$315,10,)</f>
        <v>#N/A</v>
      </c>
      <c r="AB321" s="347"/>
      <c r="AC321" s="347" t="b">
        <f>テーブル1[[#This Row],[要求事項一覧
判定]]=テーブル1[[#This Row],[列2]]</f>
        <v>0</v>
      </c>
    </row>
    <row r="322" spans="1:29" ht="43.5">
      <c r="A322" s="1" t="str">
        <f>テーブル1[[#This Row],[対象部門]]&amp;テーブル1[[#This Row],[業務要件回答表からの事前回答案_v1.0.xlsxより]]</f>
        <v>債務管理-</v>
      </c>
      <c r="B322" s="1" t="s">
        <v>3179</v>
      </c>
      <c r="D322" s="10" t="s">
        <v>1457</v>
      </c>
      <c r="E322" s="26" t="s">
        <v>1458</v>
      </c>
      <c r="F322" s="21"/>
      <c r="G322" s="68" t="s">
        <v>445</v>
      </c>
      <c r="H322" s="44" t="s">
        <v>32</v>
      </c>
      <c r="I322" s="15"/>
      <c r="J322" s="68" t="s">
        <v>576</v>
      </c>
      <c r="K322" s="68" t="s">
        <v>51</v>
      </c>
      <c r="L322" s="30" t="s">
        <v>1459</v>
      </c>
      <c r="M322" s="30"/>
      <c r="N322" s="44" t="s">
        <v>445</v>
      </c>
      <c r="O322" s="44" t="s">
        <v>35</v>
      </c>
      <c r="P322" s="44" t="s">
        <v>577</v>
      </c>
      <c r="Q322" s="68" t="s">
        <v>609</v>
      </c>
      <c r="R322" s="44" t="s">
        <v>37</v>
      </c>
      <c r="S322" s="26" t="s">
        <v>1460</v>
      </c>
      <c r="T322" s="44" t="s">
        <v>39</v>
      </c>
      <c r="U322" s="91"/>
      <c r="V322" s="94"/>
      <c r="W322" s="334"/>
      <c r="X322" s="41" t="str">
        <f>テーブル1[[#This Row],[開発]]&amp;テーブル1[[#This Row],[スコープ]]</f>
        <v>不要IN</v>
      </c>
      <c r="Y322" s="41" t="str">
        <f>IF(テーブル1[[#This Row],[列1]]="不要IN","標準",IF(テーブル1[[#This Row],[列1]]="不要OUT","スコープアウト",IF(テーブル1[[#This Row],[列1]]="必要IN","アドオン",IF(テーブル1[[#This Row],[列1]]="OUT","スコープアウト",""))))</f>
        <v>標準</v>
      </c>
      <c r="Z322" s="347" t="e">
        <f>VLOOKUP($B322,Sheet1!$C$2:$L$315,9,)</f>
        <v>#N/A</v>
      </c>
      <c r="AA322" s="340" t="e">
        <f>VLOOKUP($B322,Sheet1!$C$2:$L$315,10,)</f>
        <v>#N/A</v>
      </c>
      <c r="AB322" s="347"/>
      <c r="AC322" s="347" t="b">
        <f>テーブル1[[#This Row],[要求事項一覧
判定]]=テーブル1[[#This Row],[列2]]</f>
        <v>0</v>
      </c>
    </row>
    <row r="323" spans="1:29" ht="58">
      <c r="A323" s="1" t="str">
        <f>テーブル1[[#This Row],[対象部門]]&amp;テーブル1[[#This Row],[業務要件回答表からの事前回答案_v1.0.xlsxより]]</f>
        <v>債務管理-</v>
      </c>
      <c r="B323" s="1" t="s">
        <v>3179</v>
      </c>
      <c r="D323" s="10" t="s">
        <v>1461</v>
      </c>
      <c r="E323" s="26" t="s">
        <v>1462</v>
      </c>
      <c r="F323" s="21"/>
      <c r="G323" s="68" t="s">
        <v>445</v>
      </c>
      <c r="H323" s="44" t="s">
        <v>32</v>
      </c>
      <c r="I323" s="15"/>
      <c r="J323" s="68" t="s">
        <v>576</v>
      </c>
      <c r="K323" s="68" t="s">
        <v>51</v>
      </c>
      <c r="L323" s="30" t="s">
        <v>1463</v>
      </c>
      <c r="M323" s="30"/>
      <c r="N323" s="44" t="s">
        <v>445</v>
      </c>
      <c r="O323" s="44" t="s">
        <v>35</v>
      </c>
      <c r="P323" s="44" t="s">
        <v>577</v>
      </c>
      <c r="Q323" s="68" t="s">
        <v>609</v>
      </c>
      <c r="R323" s="44" t="s">
        <v>37</v>
      </c>
      <c r="S323" s="26" t="s">
        <v>1464</v>
      </c>
      <c r="T323" s="44" t="s">
        <v>39</v>
      </c>
      <c r="U323" s="101" t="s">
        <v>1465</v>
      </c>
      <c r="V323" s="94"/>
      <c r="W323" s="334"/>
      <c r="X323" s="41" t="str">
        <f>テーブル1[[#This Row],[開発]]&amp;テーブル1[[#This Row],[スコープ]]</f>
        <v>不要IN</v>
      </c>
      <c r="Y323" s="41" t="str">
        <f>IF(テーブル1[[#This Row],[列1]]="不要IN","標準",IF(テーブル1[[#This Row],[列1]]="不要OUT","スコープアウト",IF(テーブル1[[#This Row],[列1]]="必要IN","アドオン",IF(テーブル1[[#This Row],[列1]]="OUT","スコープアウト",""))))</f>
        <v>標準</v>
      </c>
      <c r="Z323" s="347" t="e">
        <f>VLOOKUP($B323,Sheet1!$C$2:$L$315,9,)</f>
        <v>#N/A</v>
      </c>
      <c r="AA323" s="340" t="e">
        <f>VLOOKUP($B323,Sheet1!$C$2:$L$315,10,)</f>
        <v>#N/A</v>
      </c>
      <c r="AB323" s="347"/>
      <c r="AC323" s="347" t="b">
        <f>テーブル1[[#This Row],[要求事項一覧
判定]]=テーブル1[[#This Row],[列2]]</f>
        <v>0</v>
      </c>
    </row>
    <row r="324" spans="1:29" ht="58">
      <c r="A324" s="1" t="str">
        <f>テーブル1[[#This Row],[対象部門]]&amp;テーブル1[[#This Row],[業務要件回答表からの事前回答案_v1.0.xlsxより]]</f>
        <v>債務管理-</v>
      </c>
      <c r="B324" s="1" t="s">
        <v>3179</v>
      </c>
      <c r="D324" s="10" t="s">
        <v>1466</v>
      </c>
      <c r="E324" s="26" t="s">
        <v>1467</v>
      </c>
      <c r="F324" s="21"/>
      <c r="G324" s="68" t="s">
        <v>445</v>
      </c>
      <c r="H324" s="44" t="s">
        <v>32</v>
      </c>
      <c r="I324" s="15"/>
      <c r="J324" s="68" t="s">
        <v>576</v>
      </c>
      <c r="K324" s="68" t="s">
        <v>51</v>
      </c>
      <c r="L324" s="30" t="s">
        <v>1468</v>
      </c>
      <c r="M324" s="30" t="s">
        <v>1469</v>
      </c>
      <c r="N324" s="44"/>
      <c r="O324" s="44"/>
      <c r="P324" s="44" t="s">
        <v>577</v>
      </c>
      <c r="Q324" s="44"/>
      <c r="R324" s="44"/>
      <c r="S324" s="26"/>
      <c r="T324" s="44" t="s">
        <v>91</v>
      </c>
      <c r="U324" s="91"/>
      <c r="V324" s="94"/>
      <c r="W324" s="334"/>
      <c r="X324" s="41" t="str">
        <f>テーブル1[[#This Row],[開発]]&amp;テーブル1[[#This Row],[スコープ]]</f>
        <v>OUT</v>
      </c>
      <c r="Y324" s="41" t="str">
        <f>IF(テーブル1[[#This Row],[列1]]="不要IN","標準",IF(テーブル1[[#This Row],[列1]]="不要OUT","スコープアウト",IF(テーブル1[[#This Row],[列1]]="必要IN","アドオン",IF(テーブル1[[#This Row],[列1]]="OUT","スコープアウト",""))))</f>
        <v>スコープアウト</v>
      </c>
      <c r="Z324" s="347" t="e">
        <f>VLOOKUP($B324,Sheet1!$C$2:$L$315,9,)</f>
        <v>#N/A</v>
      </c>
      <c r="AA324" s="340" t="e">
        <f>VLOOKUP($B324,Sheet1!$C$2:$L$315,10,)</f>
        <v>#N/A</v>
      </c>
      <c r="AB324" s="347"/>
      <c r="AC324" s="347" t="b">
        <f>テーブル1[[#This Row],[要求事項一覧
判定]]=テーブル1[[#This Row],[列2]]</f>
        <v>0</v>
      </c>
    </row>
    <row r="325" spans="1:29" ht="58">
      <c r="A325" s="1" t="str">
        <f>テーブル1[[#This Row],[対象部門]]&amp;テーブル1[[#This Row],[業務要件回答表からの事前回答案_v1.0.xlsxより]]</f>
        <v>債務管理-</v>
      </c>
      <c r="B325" s="1" t="s">
        <v>3179</v>
      </c>
      <c r="D325" s="10" t="s">
        <v>1470</v>
      </c>
      <c r="E325" s="26" t="s">
        <v>1471</v>
      </c>
      <c r="F325" s="21"/>
      <c r="G325" s="68" t="s">
        <v>445</v>
      </c>
      <c r="H325" s="44" t="s">
        <v>32</v>
      </c>
      <c r="I325" s="15"/>
      <c r="J325" s="68" t="s">
        <v>576</v>
      </c>
      <c r="K325" s="68" t="s">
        <v>51</v>
      </c>
      <c r="L325" s="30" t="s">
        <v>1472</v>
      </c>
      <c r="M325" s="30" t="s">
        <v>1469</v>
      </c>
      <c r="N325" s="44"/>
      <c r="O325" s="44"/>
      <c r="P325" s="44" t="s">
        <v>577</v>
      </c>
      <c r="Q325" s="44"/>
      <c r="R325" s="44"/>
      <c r="S325" s="26"/>
      <c r="T325" s="44" t="s">
        <v>91</v>
      </c>
      <c r="U325" s="91"/>
      <c r="V325" s="94"/>
      <c r="W325" s="334"/>
      <c r="X325" s="41" t="str">
        <f>テーブル1[[#This Row],[開発]]&amp;テーブル1[[#This Row],[スコープ]]</f>
        <v>OUT</v>
      </c>
      <c r="Y325" s="41" t="str">
        <f>IF(テーブル1[[#This Row],[列1]]="不要IN","標準",IF(テーブル1[[#This Row],[列1]]="不要OUT","スコープアウト",IF(テーブル1[[#This Row],[列1]]="必要IN","アドオン",IF(テーブル1[[#This Row],[列1]]="OUT","スコープアウト",""))))</f>
        <v>スコープアウト</v>
      </c>
      <c r="Z325" s="347" t="e">
        <f>VLOOKUP($B325,Sheet1!$C$2:$L$315,9,)</f>
        <v>#N/A</v>
      </c>
      <c r="AA325" s="340" t="e">
        <f>VLOOKUP($B325,Sheet1!$C$2:$L$315,10,)</f>
        <v>#N/A</v>
      </c>
      <c r="AB325" s="347"/>
      <c r="AC325" s="347" t="b">
        <f>テーブル1[[#This Row],[要求事項一覧
判定]]=テーブル1[[#This Row],[列2]]</f>
        <v>0</v>
      </c>
    </row>
    <row r="326" spans="1:29" ht="87">
      <c r="A326" s="1" t="str">
        <f>テーブル1[[#This Row],[対象部門]]&amp;テーブル1[[#This Row],[業務要件回答表からの事前回答案_v1.0.xlsxより]]</f>
        <v>債務管理-</v>
      </c>
      <c r="B326" s="1" t="s">
        <v>3179</v>
      </c>
      <c r="D326" s="10" t="s">
        <v>1473</v>
      </c>
      <c r="E326" s="26" t="s">
        <v>1474</v>
      </c>
      <c r="F326" s="21"/>
      <c r="G326" s="68" t="s">
        <v>445</v>
      </c>
      <c r="H326" s="44" t="s">
        <v>32</v>
      </c>
      <c r="I326" s="15"/>
      <c r="J326" s="68" t="s">
        <v>576</v>
      </c>
      <c r="K326" s="68" t="s">
        <v>51</v>
      </c>
      <c r="L326" s="30" t="s">
        <v>1475</v>
      </c>
      <c r="M326" s="30"/>
      <c r="N326" s="44" t="s">
        <v>1476</v>
      </c>
      <c r="O326" s="44" t="s">
        <v>35</v>
      </c>
      <c r="P326" s="44" t="s">
        <v>577</v>
      </c>
      <c r="Q326" s="44"/>
      <c r="R326" s="44" t="s">
        <v>37</v>
      </c>
      <c r="S326" s="26" t="s">
        <v>1477</v>
      </c>
      <c r="T326" s="44" t="s">
        <v>39</v>
      </c>
      <c r="U326" s="91"/>
      <c r="V326" s="94"/>
      <c r="W326" s="334"/>
      <c r="X326" s="41" t="str">
        <f>テーブル1[[#This Row],[開発]]&amp;テーブル1[[#This Row],[スコープ]]</f>
        <v>不要IN</v>
      </c>
      <c r="Y326" s="41" t="str">
        <f>IF(テーブル1[[#This Row],[列1]]="不要IN","標準",IF(テーブル1[[#This Row],[列1]]="不要OUT","スコープアウト",IF(テーブル1[[#This Row],[列1]]="必要IN","アドオン",IF(テーブル1[[#This Row],[列1]]="OUT","スコープアウト",""))))</f>
        <v>標準</v>
      </c>
      <c r="Z326" s="347" t="e">
        <f>VLOOKUP($B326,Sheet1!$C$2:$L$315,9,)</f>
        <v>#N/A</v>
      </c>
      <c r="AA326" s="340" t="e">
        <f>VLOOKUP($B326,Sheet1!$C$2:$L$315,10,)</f>
        <v>#N/A</v>
      </c>
      <c r="AB326" s="347"/>
      <c r="AC326" s="347" t="b">
        <f>テーブル1[[#This Row],[要求事項一覧
判定]]=テーブル1[[#This Row],[列2]]</f>
        <v>0</v>
      </c>
    </row>
    <row r="327" spans="1:29" ht="145">
      <c r="A327" s="1" t="str">
        <f>テーブル1[[#This Row],[対象部門]]&amp;テーブル1[[#This Row],[業務要件回答表からの事前回答案_v1.0.xlsxより]]</f>
        <v>債務管理-</v>
      </c>
      <c r="B327" s="1" t="s">
        <v>3179</v>
      </c>
      <c r="D327" s="10" t="s">
        <v>1478</v>
      </c>
      <c r="E327" s="26" t="s">
        <v>1479</v>
      </c>
      <c r="F327" s="21"/>
      <c r="G327" s="68" t="s">
        <v>445</v>
      </c>
      <c r="H327" s="44" t="s">
        <v>32</v>
      </c>
      <c r="I327" s="15"/>
      <c r="J327" s="68" t="s">
        <v>576</v>
      </c>
      <c r="K327" s="68" t="s">
        <v>51</v>
      </c>
      <c r="L327" s="30" t="s">
        <v>1480</v>
      </c>
      <c r="M327" s="48" t="s">
        <v>1481</v>
      </c>
      <c r="N327" s="44">
        <v>141</v>
      </c>
      <c r="O327" s="44" t="s">
        <v>35</v>
      </c>
      <c r="P327" s="44" t="s">
        <v>577</v>
      </c>
      <c r="Q327" s="68" t="s">
        <v>609</v>
      </c>
      <c r="R327" s="44" t="s">
        <v>54</v>
      </c>
      <c r="S327" s="26" t="s">
        <v>1482</v>
      </c>
      <c r="T327" s="44" t="s">
        <v>39</v>
      </c>
      <c r="U327" s="93" t="s">
        <v>1483</v>
      </c>
      <c r="V327" s="95" t="s">
        <v>56</v>
      </c>
      <c r="W327" s="336" t="s">
        <v>1484</v>
      </c>
      <c r="X327" s="341" t="str">
        <f>テーブル1[[#This Row],[開発]]&amp;テーブル1[[#This Row],[スコープ]]</f>
        <v>必要IN</v>
      </c>
      <c r="Y327" s="41" t="str">
        <f>IF(テーブル1[[#This Row],[列1]]="不要IN","標準",IF(テーブル1[[#This Row],[列1]]="不要OUT","スコープアウト",IF(テーブル1[[#This Row],[列1]]="必要IN","アドオン",IF(テーブル1[[#This Row],[列1]]="OUT","スコープアウト",""))))</f>
        <v>アドオン</v>
      </c>
      <c r="Z327" s="347" t="e">
        <f>VLOOKUP($B327,Sheet1!$C$2:$L$315,9,)</f>
        <v>#N/A</v>
      </c>
      <c r="AA327" s="340" t="e">
        <f>VLOOKUP($B327,Sheet1!$C$2:$L$315,10,)</f>
        <v>#N/A</v>
      </c>
      <c r="AB327" s="347"/>
      <c r="AC327" s="347" t="b">
        <f>テーブル1[[#This Row],[要求事項一覧
判定]]=テーブル1[[#This Row],[列2]]</f>
        <v>0</v>
      </c>
    </row>
    <row r="328" spans="1:29" ht="116">
      <c r="A328" s="1" t="str">
        <f>テーブル1[[#This Row],[対象部門]]&amp;テーブル1[[#This Row],[業務要件回答表からの事前回答案_v1.0.xlsxより]]</f>
        <v>債務管理-</v>
      </c>
      <c r="B328" s="1" t="s">
        <v>3179</v>
      </c>
      <c r="D328" s="10" t="s">
        <v>1485</v>
      </c>
      <c r="E328" s="26" t="s">
        <v>1486</v>
      </c>
      <c r="F328" s="21"/>
      <c r="G328" s="68" t="s">
        <v>445</v>
      </c>
      <c r="H328" s="44" t="s">
        <v>32</v>
      </c>
      <c r="I328" s="15"/>
      <c r="J328" s="68" t="s">
        <v>576</v>
      </c>
      <c r="K328" s="68" t="s">
        <v>51</v>
      </c>
      <c r="L328" s="40" t="s">
        <v>1487</v>
      </c>
      <c r="M328" s="78" t="s">
        <v>1488</v>
      </c>
      <c r="N328" s="44" t="s">
        <v>445</v>
      </c>
      <c r="O328" s="44" t="s">
        <v>35</v>
      </c>
      <c r="P328" s="44" t="s">
        <v>577</v>
      </c>
      <c r="Q328" s="68" t="s">
        <v>609</v>
      </c>
      <c r="R328" s="44" t="s">
        <v>37</v>
      </c>
      <c r="S328" s="26" t="s">
        <v>1832</v>
      </c>
      <c r="T328" s="44" t="s">
        <v>39</v>
      </c>
      <c r="U328" s="91"/>
      <c r="V328" s="94"/>
      <c r="W328" s="334"/>
      <c r="X328" s="41" t="str">
        <f>テーブル1[[#This Row],[開発]]&amp;テーブル1[[#This Row],[スコープ]]</f>
        <v>不要IN</v>
      </c>
      <c r="Y328" s="41" t="str">
        <f>IF(テーブル1[[#This Row],[列1]]="不要IN","標準",IF(テーブル1[[#This Row],[列1]]="不要OUT","スコープアウト",IF(テーブル1[[#This Row],[列1]]="必要IN","アドオン",IF(テーブル1[[#This Row],[列1]]="OUT","スコープアウト",""))))</f>
        <v>標準</v>
      </c>
      <c r="Z328" s="347" t="e">
        <f>VLOOKUP($B328,Sheet1!$C$2:$L$315,9,)</f>
        <v>#N/A</v>
      </c>
      <c r="AA328" s="340" t="e">
        <f>VLOOKUP($B328,Sheet1!$C$2:$L$315,10,)</f>
        <v>#N/A</v>
      </c>
      <c r="AB328" s="347"/>
      <c r="AC328" s="347" t="b">
        <f>テーブル1[[#This Row],[要求事項一覧
判定]]=テーブル1[[#This Row],[列2]]</f>
        <v>0</v>
      </c>
    </row>
    <row r="329" spans="1:29" ht="275.5">
      <c r="A329" s="1" t="str">
        <f>テーブル1[[#This Row],[対象部門]]&amp;テーブル1[[#This Row],[業務要件回答表からの事前回答案_v1.0.xlsxより]]</f>
        <v>債務管理-</v>
      </c>
      <c r="B329" s="1" t="s">
        <v>3179</v>
      </c>
      <c r="D329" s="10" t="s">
        <v>802</v>
      </c>
      <c r="E329" s="26" t="s">
        <v>1489</v>
      </c>
      <c r="F329" s="21"/>
      <c r="G329" s="68" t="s">
        <v>445</v>
      </c>
      <c r="H329" s="44" t="s">
        <v>32</v>
      </c>
      <c r="I329" s="15"/>
      <c r="J329" s="68" t="s">
        <v>576</v>
      </c>
      <c r="K329" s="68" t="s">
        <v>51</v>
      </c>
      <c r="L329" s="40" t="s">
        <v>1490</v>
      </c>
      <c r="M329" s="77" t="s">
        <v>1491</v>
      </c>
      <c r="N329" s="44" t="s">
        <v>445</v>
      </c>
      <c r="O329" s="44" t="s">
        <v>35</v>
      </c>
      <c r="P329" s="44" t="s">
        <v>577</v>
      </c>
      <c r="Q329" s="44"/>
      <c r="R329" s="44" t="s">
        <v>54</v>
      </c>
      <c r="S329" s="26" t="s">
        <v>1492</v>
      </c>
      <c r="T329" s="44" t="s">
        <v>39</v>
      </c>
      <c r="U329" s="93" t="s">
        <v>1493</v>
      </c>
      <c r="V329" s="95" t="s">
        <v>56</v>
      </c>
      <c r="W329" s="336" t="s">
        <v>1484</v>
      </c>
      <c r="X329" s="341" t="str">
        <f>テーブル1[[#This Row],[開発]]&amp;テーブル1[[#This Row],[スコープ]]</f>
        <v>必要IN</v>
      </c>
      <c r="Y329" s="41" t="str">
        <f>IF(テーブル1[[#This Row],[列1]]="不要IN","標準",IF(テーブル1[[#This Row],[列1]]="不要OUT","スコープアウト",IF(テーブル1[[#This Row],[列1]]="必要IN","アドオン",IF(テーブル1[[#This Row],[列1]]="OUT","スコープアウト",""))))</f>
        <v>アドオン</v>
      </c>
      <c r="Z329" s="347" t="e">
        <f>VLOOKUP($B329,Sheet1!$C$2:$L$315,9,)</f>
        <v>#N/A</v>
      </c>
      <c r="AA329" s="340" t="e">
        <f>VLOOKUP($B329,Sheet1!$C$2:$L$315,10,)</f>
        <v>#N/A</v>
      </c>
      <c r="AB329" s="347"/>
      <c r="AC329" s="347" t="b">
        <f>テーブル1[[#This Row],[要求事項一覧
判定]]=テーブル1[[#This Row],[列2]]</f>
        <v>0</v>
      </c>
    </row>
    <row r="330" spans="1:29" ht="174">
      <c r="A330" s="1" t="str">
        <f>テーブル1[[#This Row],[対象部門]]&amp;テーブル1[[#This Row],[業務要件回答表からの事前回答案_v1.0.xlsxより]]</f>
        <v>債務管理-</v>
      </c>
      <c r="B330" s="1" t="s">
        <v>3179</v>
      </c>
      <c r="D330" s="10" t="s">
        <v>1494</v>
      </c>
      <c r="E330" s="26" t="s">
        <v>1495</v>
      </c>
      <c r="F330" s="21"/>
      <c r="G330" s="68" t="s">
        <v>445</v>
      </c>
      <c r="H330" s="44" t="s">
        <v>32</v>
      </c>
      <c r="I330" s="15"/>
      <c r="J330" s="68" t="s">
        <v>576</v>
      </c>
      <c r="K330" s="68" t="s">
        <v>51</v>
      </c>
      <c r="L330" s="30" t="s">
        <v>1496</v>
      </c>
      <c r="M330" s="30"/>
      <c r="N330" s="44" t="s">
        <v>445</v>
      </c>
      <c r="O330" s="44" t="s">
        <v>35</v>
      </c>
      <c r="P330" s="44" t="s">
        <v>577</v>
      </c>
      <c r="Q330" s="68" t="s">
        <v>1497</v>
      </c>
      <c r="R330" s="44" t="s">
        <v>54</v>
      </c>
      <c r="S330" s="26" t="s">
        <v>1833</v>
      </c>
      <c r="T330" s="44" t="s">
        <v>39</v>
      </c>
      <c r="U330" s="91"/>
      <c r="V330" s="95" t="s">
        <v>56</v>
      </c>
      <c r="W330" s="336"/>
      <c r="X330" s="341" t="str">
        <f>テーブル1[[#This Row],[開発]]&amp;テーブル1[[#This Row],[スコープ]]</f>
        <v>必要IN</v>
      </c>
      <c r="Y330" s="41" t="str">
        <f>IF(テーブル1[[#This Row],[列1]]="不要IN","標準",IF(テーブル1[[#This Row],[列1]]="不要OUT","スコープアウト",IF(テーブル1[[#This Row],[列1]]="必要IN","アドオン",IF(テーブル1[[#This Row],[列1]]="OUT","スコープアウト",""))))</f>
        <v>アドオン</v>
      </c>
      <c r="Z330" s="347" t="e">
        <f>VLOOKUP($B330,Sheet1!$C$2:$L$315,9,)</f>
        <v>#N/A</v>
      </c>
      <c r="AA330" s="340" t="e">
        <f>VLOOKUP($B330,Sheet1!$C$2:$L$315,10,)</f>
        <v>#N/A</v>
      </c>
      <c r="AB330" s="347"/>
      <c r="AC330" s="347" t="b">
        <f>テーブル1[[#This Row],[要求事項一覧
判定]]=テーブル1[[#This Row],[列2]]</f>
        <v>0</v>
      </c>
    </row>
    <row r="331" spans="1:29" ht="188.5">
      <c r="A331" s="1" t="str">
        <f>テーブル1[[#This Row],[対象部門]]&amp;テーブル1[[#This Row],[業務要件回答表からの事前回答案_v1.0.xlsxより]]</f>
        <v>債務管理-</v>
      </c>
      <c r="B331" s="1" t="s">
        <v>3179</v>
      </c>
      <c r="D331" s="10" t="s">
        <v>1498</v>
      </c>
      <c r="E331" s="26" t="s">
        <v>1499</v>
      </c>
      <c r="F331" s="21"/>
      <c r="G331" s="68" t="s">
        <v>445</v>
      </c>
      <c r="H331" s="44" t="s">
        <v>32</v>
      </c>
      <c r="I331" s="15"/>
      <c r="J331" s="68" t="s">
        <v>576</v>
      </c>
      <c r="K331" s="68" t="s">
        <v>51</v>
      </c>
      <c r="L331" s="40" t="s">
        <v>1500</v>
      </c>
      <c r="M331" s="78" t="s">
        <v>1501</v>
      </c>
      <c r="N331" s="44">
        <v>357</v>
      </c>
      <c r="O331" s="44" t="s">
        <v>35</v>
      </c>
      <c r="P331" s="44" t="s">
        <v>577</v>
      </c>
      <c r="Q331" s="44"/>
      <c r="R331" s="44" t="s">
        <v>54</v>
      </c>
      <c r="S331" s="26" t="s">
        <v>1502</v>
      </c>
      <c r="T331" s="44" t="s">
        <v>39</v>
      </c>
      <c r="U331" s="91"/>
      <c r="V331" s="95" t="s">
        <v>56</v>
      </c>
      <c r="W331" s="336" t="s">
        <v>1503</v>
      </c>
      <c r="X331" s="341" t="str">
        <f>テーブル1[[#This Row],[開発]]&amp;テーブル1[[#This Row],[スコープ]]</f>
        <v>必要IN</v>
      </c>
      <c r="Y331" s="41" t="str">
        <f>IF(テーブル1[[#This Row],[列1]]="不要IN","標準",IF(テーブル1[[#This Row],[列1]]="不要OUT","スコープアウト",IF(テーブル1[[#This Row],[列1]]="必要IN","アドオン",IF(テーブル1[[#This Row],[列1]]="OUT","スコープアウト",""))))</f>
        <v>アドオン</v>
      </c>
      <c r="Z331" s="347" t="e">
        <f>VLOOKUP($B331,Sheet1!$C$2:$L$315,9,)</f>
        <v>#N/A</v>
      </c>
      <c r="AA331" s="340" t="e">
        <f>VLOOKUP($B331,Sheet1!$C$2:$L$315,10,)</f>
        <v>#N/A</v>
      </c>
      <c r="AB331" s="347"/>
      <c r="AC331" s="347" t="b">
        <f>テーブル1[[#This Row],[要求事項一覧
判定]]=テーブル1[[#This Row],[列2]]</f>
        <v>0</v>
      </c>
    </row>
    <row r="332" spans="1:29" ht="29">
      <c r="A332" s="1" t="str">
        <f>テーブル1[[#This Row],[対象部門]]&amp;テーブル1[[#This Row],[業務要件回答表からの事前回答案_v1.0.xlsxより]]</f>
        <v>予算1.1</v>
      </c>
      <c r="B332" s="1" t="s">
        <v>3180</v>
      </c>
      <c r="D332" s="10" t="s">
        <v>1504</v>
      </c>
      <c r="E332" s="26" t="s">
        <v>1505</v>
      </c>
      <c r="F332" s="21" t="s">
        <v>1506</v>
      </c>
      <c r="G332" s="68">
        <v>1.1000000000000001</v>
      </c>
      <c r="H332" s="44" t="s">
        <v>32</v>
      </c>
      <c r="I332" s="15"/>
      <c r="J332" s="68" t="s">
        <v>1507</v>
      </c>
      <c r="K332" s="68" t="s">
        <v>1508</v>
      </c>
      <c r="L332" s="30"/>
      <c r="M332" s="26"/>
      <c r="N332" s="44"/>
      <c r="O332" s="44" t="s">
        <v>35</v>
      </c>
      <c r="P332" s="44"/>
      <c r="Q332" s="44" t="s">
        <v>1509</v>
      </c>
      <c r="R332" s="44" t="s">
        <v>37</v>
      </c>
      <c r="S332" s="26" t="s">
        <v>1510</v>
      </c>
      <c r="T332" s="44" t="s">
        <v>39</v>
      </c>
      <c r="U332" s="91"/>
      <c r="V332" s="94"/>
      <c r="W332" s="334"/>
      <c r="X332" s="41" t="str">
        <f>テーブル1[[#This Row],[開発]]&amp;テーブル1[[#This Row],[スコープ]]</f>
        <v>不要IN</v>
      </c>
      <c r="Y332" s="41" t="str">
        <f>IF(テーブル1[[#This Row],[列1]]="不要IN","標準",IF(テーブル1[[#This Row],[列1]]="不要OUT","スコープアウト",IF(テーブル1[[#This Row],[列1]]="必要IN","アドオン",IF(テーブル1[[#This Row],[列1]]="OUT","スコープアウト",""))))</f>
        <v>標準</v>
      </c>
      <c r="Z332" s="347" t="e">
        <f>VLOOKUP($B332,Sheet1!$C$2:$L$315,9,)</f>
        <v>#N/A</v>
      </c>
      <c r="AA332" s="340" t="e">
        <f>VLOOKUP($B332,Sheet1!$C$2:$L$315,10,)</f>
        <v>#N/A</v>
      </c>
      <c r="AB332" s="347"/>
      <c r="AC332" s="347" t="b">
        <f>テーブル1[[#This Row],[要求事項一覧
判定]]=テーブル1[[#This Row],[列2]]</f>
        <v>0</v>
      </c>
    </row>
    <row r="333" spans="1:29" ht="58">
      <c r="A333" s="1" t="str">
        <f>テーブル1[[#This Row],[対象部門]]&amp;テーブル1[[#This Row],[業務要件回答表からの事前回答案_v1.0.xlsxより]]</f>
        <v>予算2.1</v>
      </c>
      <c r="B333" s="1" t="s">
        <v>3181</v>
      </c>
      <c r="D333" s="10" t="s">
        <v>1511</v>
      </c>
      <c r="E333" s="26" t="s">
        <v>1512</v>
      </c>
      <c r="F333" s="21" t="s">
        <v>1513</v>
      </c>
      <c r="G333" s="68">
        <v>2.1</v>
      </c>
      <c r="H333" s="44" t="s">
        <v>32</v>
      </c>
      <c r="I333" s="15"/>
      <c r="J333" s="68" t="s">
        <v>1507</v>
      </c>
      <c r="K333" s="68" t="s">
        <v>1514</v>
      </c>
      <c r="L333" s="39" t="s">
        <v>1515</v>
      </c>
      <c r="M333" s="26" t="s">
        <v>1516</v>
      </c>
      <c r="N333" s="44"/>
      <c r="O333" s="44" t="s">
        <v>35</v>
      </c>
      <c r="P333" s="44"/>
      <c r="Q333" s="44" t="s">
        <v>1509</v>
      </c>
      <c r="R333" s="44" t="s">
        <v>37</v>
      </c>
      <c r="S333" s="26" t="s">
        <v>1517</v>
      </c>
      <c r="T333" s="44" t="s">
        <v>39</v>
      </c>
      <c r="U333" s="91"/>
      <c r="V333" s="94"/>
      <c r="W333" s="334"/>
      <c r="X333" s="41" t="str">
        <f>テーブル1[[#This Row],[開発]]&amp;テーブル1[[#This Row],[スコープ]]</f>
        <v>不要IN</v>
      </c>
      <c r="Y333" s="41" t="str">
        <f>IF(テーブル1[[#This Row],[列1]]="不要IN","標準",IF(テーブル1[[#This Row],[列1]]="不要OUT","スコープアウト",IF(テーブル1[[#This Row],[列1]]="必要IN","アドオン",IF(テーブル1[[#This Row],[列1]]="OUT","スコープアウト",""))))</f>
        <v>標準</v>
      </c>
      <c r="Z333" s="347" t="e">
        <f>VLOOKUP($B333,Sheet1!$C$2:$L$315,9,)</f>
        <v>#N/A</v>
      </c>
      <c r="AA333" s="340" t="e">
        <f>VLOOKUP($B333,Sheet1!$C$2:$L$315,10,)</f>
        <v>#N/A</v>
      </c>
      <c r="AB333" s="347"/>
      <c r="AC333" s="347" t="b">
        <f>テーブル1[[#This Row],[要求事項一覧
判定]]=テーブル1[[#This Row],[列2]]</f>
        <v>0</v>
      </c>
    </row>
    <row r="334" spans="1:29" ht="72.5">
      <c r="A334" s="1" t="str">
        <f>テーブル1[[#This Row],[対象部門]]&amp;テーブル1[[#This Row],[業務要件回答表からの事前回答案_v1.0.xlsxより]]</f>
        <v>予算2.2</v>
      </c>
      <c r="B334" s="1" t="s">
        <v>3182</v>
      </c>
      <c r="D334" s="10" t="s">
        <v>1518</v>
      </c>
      <c r="E334" s="26" t="s">
        <v>1519</v>
      </c>
      <c r="F334" s="21" t="s">
        <v>1520</v>
      </c>
      <c r="G334" s="68">
        <v>2.2000000000000002</v>
      </c>
      <c r="H334" s="44" t="s">
        <v>32</v>
      </c>
      <c r="I334" s="15"/>
      <c r="J334" s="68" t="s">
        <v>1507</v>
      </c>
      <c r="K334" s="68" t="s">
        <v>1514</v>
      </c>
      <c r="L334" s="39" t="s">
        <v>1521</v>
      </c>
      <c r="M334" s="26" t="s">
        <v>1522</v>
      </c>
      <c r="N334" s="44"/>
      <c r="O334" s="44" t="s">
        <v>35</v>
      </c>
      <c r="P334" s="44"/>
      <c r="Q334" s="44" t="s">
        <v>1509</v>
      </c>
      <c r="R334" s="44" t="s">
        <v>54</v>
      </c>
      <c r="S334" s="26" t="s">
        <v>1523</v>
      </c>
      <c r="T334" s="44" t="s">
        <v>39</v>
      </c>
      <c r="U334" s="91"/>
      <c r="V334" s="95" t="s">
        <v>161</v>
      </c>
      <c r="W334" s="336" t="s">
        <v>1524</v>
      </c>
      <c r="X334" s="341" t="str">
        <f>テーブル1[[#This Row],[開発]]&amp;テーブル1[[#This Row],[スコープ]]</f>
        <v>必要IN</v>
      </c>
      <c r="Y334" s="41" t="str">
        <f>IF(テーブル1[[#This Row],[列1]]="不要IN","標準",IF(テーブル1[[#This Row],[列1]]="不要OUT","スコープアウト",IF(テーブル1[[#This Row],[列1]]="必要IN","アドオン",IF(テーブル1[[#This Row],[列1]]="OUT","スコープアウト",""))))</f>
        <v>アドオン</v>
      </c>
      <c r="Z334" s="347" t="e">
        <f>VLOOKUP($B334,Sheet1!$C$2:$L$315,9,)</f>
        <v>#N/A</v>
      </c>
      <c r="AA334" s="340" t="e">
        <f>VLOOKUP($B334,Sheet1!$C$2:$L$315,10,)</f>
        <v>#N/A</v>
      </c>
      <c r="AB334" s="347"/>
      <c r="AC334" s="347" t="b">
        <f>テーブル1[[#This Row],[要求事項一覧
判定]]=テーブル1[[#This Row],[列2]]</f>
        <v>0</v>
      </c>
    </row>
    <row r="335" spans="1:29" ht="29">
      <c r="A335" s="1" t="str">
        <f>テーブル1[[#This Row],[対象部門]]&amp;テーブル1[[#This Row],[業務要件回答表からの事前回答案_v1.0.xlsxより]]</f>
        <v>予算3.1</v>
      </c>
      <c r="B335" s="1" t="s">
        <v>3183</v>
      </c>
      <c r="D335" s="10" t="s">
        <v>1525</v>
      </c>
      <c r="E335" s="26" t="s">
        <v>1526</v>
      </c>
      <c r="F335" s="21" t="s">
        <v>1527</v>
      </c>
      <c r="G335" s="68">
        <v>3.1</v>
      </c>
      <c r="H335" s="44" t="s">
        <v>32</v>
      </c>
      <c r="I335" s="15"/>
      <c r="J335" s="68" t="s">
        <v>1507</v>
      </c>
      <c r="K335" s="68" t="s">
        <v>1508</v>
      </c>
      <c r="L335" s="39" t="s">
        <v>1528</v>
      </c>
      <c r="M335" s="26" t="s">
        <v>1529</v>
      </c>
      <c r="N335" s="44"/>
      <c r="O335" s="44" t="s">
        <v>35</v>
      </c>
      <c r="P335" s="44"/>
      <c r="Q335" s="44" t="s">
        <v>1509</v>
      </c>
      <c r="R335" s="44" t="s">
        <v>37</v>
      </c>
      <c r="S335" s="26" t="s">
        <v>1530</v>
      </c>
      <c r="T335" s="44" t="s">
        <v>39</v>
      </c>
      <c r="U335" s="91"/>
      <c r="V335" s="94"/>
      <c r="W335" s="334"/>
      <c r="X335" s="41" t="str">
        <f>テーブル1[[#This Row],[開発]]&amp;テーブル1[[#This Row],[スコープ]]</f>
        <v>不要IN</v>
      </c>
      <c r="Y335" s="41" t="str">
        <f>IF(テーブル1[[#This Row],[列1]]="不要IN","標準",IF(テーブル1[[#This Row],[列1]]="不要OUT","スコープアウト",IF(テーブル1[[#This Row],[列1]]="必要IN","アドオン",IF(テーブル1[[#This Row],[列1]]="OUT","スコープアウト",""))))</f>
        <v>標準</v>
      </c>
      <c r="Z335" s="347" t="e">
        <f>VLOOKUP($B335,Sheet1!$C$2:$L$315,9,)</f>
        <v>#N/A</v>
      </c>
      <c r="AA335" s="340" t="e">
        <f>VLOOKUP($B335,Sheet1!$C$2:$L$315,10,)</f>
        <v>#N/A</v>
      </c>
      <c r="AB335" s="347"/>
      <c r="AC335" s="347" t="b">
        <f>テーブル1[[#This Row],[要求事項一覧
判定]]=テーブル1[[#This Row],[列2]]</f>
        <v>0</v>
      </c>
    </row>
    <row r="336" spans="1:29" ht="101.5">
      <c r="A336" s="1" t="str">
        <f>テーブル1[[#This Row],[対象部門]]&amp;テーブル1[[#This Row],[業務要件回答表からの事前回答案_v1.0.xlsxより]]</f>
        <v>予算4.1</v>
      </c>
      <c r="B336" s="1" t="s">
        <v>3184</v>
      </c>
      <c r="D336" s="104" t="s">
        <v>1531</v>
      </c>
      <c r="E336" s="26" t="s">
        <v>1532</v>
      </c>
      <c r="F336" s="21" t="s">
        <v>1533</v>
      </c>
      <c r="G336" s="68">
        <v>4.0999999999999996</v>
      </c>
      <c r="H336" s="44" t="s">
        <v>32</v>
      </c>
      <c r="I336" s="15"/>
      <c r="J336" s="68" t="s">
        <v>1507</v>
      </c>
      <c r="K336" s="68" t="s">
        <v>1508</v>
      </c>
      <c r="L336" s="30" t="s">
        <v>1846</v>
      </c>
      <c r="M336" s="26" t="s">
        <v>1847</v>
      </c>
      <c r="N336" s="44"/>
      <c r="O336" s="44" t="s">
        <v>35</v>
      </c>
      <c r="P336" s="44"/>
      <c r="Q336" s="44" t="s">
        <v>1509</v>
      </c>
      <c r="R336" s="44"/>
      <c r="S336" s="26" t="s">
        <v>1534</v>
      </c>
      <c r="T336" s="44" t="s">
        <v>91</v>
      </c>
      <c r="U336" s="91"/>
      <c r="V336" s="95" t="s">
        <v>161</v>
      </c>
      <c r="W336" s="336" t="s">
        <v>162</v>
      </c>
      <c r="X336" s="341" t="str">
        <f>テーブル1[[#This Row],[開発]]&amp;テーブル1[[#This Row],[スコープ]]</f>
        <v>OUT</v>
      </c>
      <c r="Y336" s="41" t="str">
        <f>IF(テーブル1[[#This Row],[列1]]="不要IN","標準",IF(テーブル1[[#This Row],[列1]]="不要OUT","スコープアウト",IF(テーブル1[[#This Row],[列1]]="必要IN","アドオン",IF(テーブル1[[#This Row],[列1]]="OUT","スコープアウト",""))))</f>
        <v>スコープアウト</v>
      </c>
      <c r="Z336" s="347" t="e">
        <f>VLOOKUP($B336,Sheet1!$C$2:$L$315,9,)</f>
        <v>#N/A</v>
      </c>
      <c r="AA336" s="340" t="e">
        <f>VLOOKUP($B336,Sheet1!$C$2:$L$315,10,)</f>
        <v>#N/A</v>
      </c>
      <c r="AB336" s="347"/>
      <c r="AC336" s="347" t="b">
        <f>テーブル1[[#This Row],[要求事項一覧
判定]]=テーブル1[[#This Row],[列2]]</f>
        <v>0</v>
      </c>
    </row>
    <row r="337" spans="1:29" ht="101.5">
      <c r="A337" s="1" t="str">
        <f>テーブル1[[#This Row],[対象部門]]&amp;テーブル1[[#This Row],[業務要件回答表からの事前回答案_v1.0.xlsxより]]</f>
        <v>予算4.2</v>
      </c>
      <c r="B337" s="1" t="s">
        <v>3185</v>
      </c>
      <c r="D337" s="104" t="s">
        <v>1535</v>
      </c>
      <c r="E337" s="26" t="s">
        <v>1536</v>
      </c>
      <c r="F337" s="21" t="s">
        <v>1537</v>
      </c>
      <c r="G337" s="68">
        <v>4.2</v>
      </c>
      <c r="H337" s="44" t="s">
        <v>32</v>
      </c>
      <c r="I337" s="15"/>
      <c r="J337" s="68" t="s">
        <v>1507</v>
      </c>
      <c r="K337" s="68" t="s">
        <v>1508</v>
      </c>
      <c r="L337" s="30" t="s">
        <v>1846</v>
      </c>
      <c r="M337" s="26" t="s">
        <v>1847</v>
      </c>
      <c r="N337" s="44"/>
      <c r="O337" s="44" t="s">
        <v>35</v>
      </c>
      <c r="P337" s="44"/>
      <c r="Q337" s="44" t="s">
        <v>1509</v>
      </c>
      <c r="R337" s="44"/>
      <c r="S337" s="26" t="s">
        <v>1538</v>
      </c>
      <c r="T337" s="44" t="s">
        <v>91</v>
      </c>
      <c r="U337" s="91"/>
      <c r="V337" s="95" t="s">
        <v>161</v>
      </c>
      <c r="W337" s="336" t="s">
        <v>162</v>
      </c>
      <c r="X337" s="341" t="str">
        <f>テーブル1[[#This Row],[開発]]&amp;テーブル1[[#This Row],[スコープ]]</f>
        <v>OUT</v>
      </c>
      <c r="Y337" s="41" t="str">
        <f>IF(テーブル1[[#This Row],[列1]]="不要IN","標準",IF(テーブル1[[#This Row],[列1]]="不要OUT","スコープアウト",IF(テーブル1[[#This Row],[列1]]="必要IN","アドオン",IF(テーブル1[[#This Row],[列1]]="OUT","スコープアウト",""))))</f>
        <v>スコープアウト</v>
      </c>
      <c r="Z337" s="347" t="e">
        <f>VLOOKUP($B337,Sheet1!$C$2:$L$315,9,)</f>
        <v>#N/A</v>
      </c>
      <c r="AA337" s="340" t="e">
        <f>VLOOKUP($B337,Sheet1!$C$2:$L$315,10,)</f>
        <v>#N/A</v>
      </c>
      <c r="AB337" s="347"/>
      <c r="AC337" s="347" t="b">
        <f>テーブル1[[#This Row],[要求事項一覧
判定]]=テーブル1[[#This Row],[列2]]</f>
        <v>0</v>
      </c>
    </row>
    <row r="338" spans="1:29" ht="58">
      <c r="A338" s="1" t="str">
        <f>テーブル1[[#This Row],[対象部門]]&amp;テーブル1[[#This Row],[業務要件回答表からの事前回答案_v1.0.xlsxより]]</f>
        <v>予算4.3</v>
      </c>
      <c r="B338" s="1" t="s">
        <v>3186</v>
      </c>
      <c r="D338" s="10" t="s">
        <v>1539</v>
      </c>
      <c r="E338" s="26" t="s">
        <v>1540</v>
      </c>
      <c r="F338" s="21" t="s">
        <v>1541</v>
      </c>
      <c r="G338" s="68">
        <v>4.3</v>
      </c>
      <c r="H338" s="44" t="s">
        <v>32</v>
      </c>
      <c r="I338" s="15"/>
      <c r="J338" s="68" t="s">
        <v>1507</v>
      </c>
      <c r="K338" s="68" t="s">
        <v>399</v>
      </c>
      <c r="L338" s="39" t="s">
        <v>1542</v>
      </c>
      <c r="M338" s="26" t="s">
        <v>1543</v>
      </c>
      <c r="N338" s="44"/>
      <c r="O338" s="44" t="s">
        <v>35</v>
      </c>
      <c r="P338" s="44"/>
      <c r="Q338" s="44" t="s">
        <v>1509</v>
      </c>
      <c r="R338" s="44"/>
      <c r="S338" s="26" t="s">
        <v>1544</v>
      </c>
      <c r="T338" s="44" t="s">
        <v>91</v>
      </c>
      <c r="U338" s="93" t="s">
        <v>1545</v>
      </c>
      <c r="V338" s="94"/>
      <c r="W338" s="334"/>
      <c r="X338" s="41" t="str">
        <f>テーブル1[[#This Row],[開発]]&amp;テーブル1[[#This Row],[スコープ]]</f>
        <v>OUT</v>
      </c>
      <c r="Y338" s="41" t="str">
        <f>IF(テーブル1[[#This Row],[列1]]="不要IN","標準",IF(テーブル1[[#This Row],[列1]]="不要OUT","スコープアウト",IF(テーブル1[[#This Row],[列1]]="必要IN","アドオン",IF(テーブル1[[#This Row],[列1]]="OUT","スコープアウト",""))))</f>
        <v>スコープアウト</v>
      </c>
      <c r="Z338" s="347" t="e">
        <f>VLOOKUP($B338,Sheet1!$C$2:$L$315,9,)</f>
        <v>#N/A</v>
      </c>
      <c r="AA338" s="340" t="e">
        <f>VLOOKUP($B338,Sheet1!$C$2:$L$315,10,)</f>
        <v>#N/A</v>
      </c>
      <c r="AB338" s="347"/>
      <c r="AC338" s="347" t="b">
        <f>テーブル1[[#This Row],[要求事項一覧
判定]]=テーブル1[[#This Row],[列2]]</f>
        <v>0</v>
      </c>
    </row>
    <row r="339" spans="1:29" ht="58">
      <c r="A339" s="1" t="str">
        <f>テーブル1[[#This Row],[対象部門]]&amp;テーブル1[[#This Row],[業務要件回答表からの事前回答案_v1.0.xlsxより]]</f>
        <v>予算5.1</v>
      </c>
      <c r="B339" s="1" t="s">
        <v>3187</v>
      </c>
      <c r="D339" s="10" t="s">
        <v>1546</v>
      </c>
      <c r="E339" s="26" t="s">
        <v>1547</v>
      </c>
      <c r="F339" s="21" t="s">
        <v>1548</v>
      </c>
      <c r="G339" s="68">
        <v>5.0999999999999996</v>
      </c>
      <c r="H339" s="44" t="s">
        <v>32</v>
      </c>
      <c r="I339" s="15"/>
      <c r="J339" s="68" t="s">
        <v>1507</v>
      </c>
      <c r="K339" s="68" t="s">
        <v>1549</v>
      </c>
      <c r="L339" s="39" t="s">
        <v>1550</v>
      </c>
      <c r="M339" s="26" t="s">
        <v>1551</v>
      </c>
      <c r="N339" s="44"/>
      <c r="O339" s="44" t="s">
        <v>35</v>
      </c>
      <c r="P339" s="44"/>
      <c r="Q339" s="44" t="s">
        <v>1552</v>
      </c>
      <c r="R339" s="44" t="s">
        <v>37</v>
      </c>
      <c r="S339" s="26" t="s">
        <v>1553</v>
      </c>
      <c r="T339" s="44" t="s">
        <v>39</v>
      </c>
      <c r="U339" s="91"/>
      <c r="V339" s="94"/>
      <c r="W339" s="334"/>
      <c r="X339" s="41" t="str">
        <f>テーブル1[[#This Row],[開発]]&amp;テーブル1[[#This Row],[スコープ]]</f>
        <v>不要IN</v>
      </c>
      <c r="Y339" s="41" t="str">
        <f>IF(テーブル1[[#This Row],[列1]]="不要IN","標準",IF(テーブル1[[#This Row],[列1]]="不要OUT","スコープアウト",IF(テーブル1[[#This Row],[列1]]="必要IN","アドオン",IF(テーブル1[[#This Row],[列1]]="OUT","スコープアウト",""))))</f>
        <v>標準</v>
      </c>
      <c r="Z339" s="347" t="e">
        <f>VLOOKUP($B339,Sheet1!$C$2:$L$315,9,)</f>
        <v>#N/A</v>
      </c>
      <c r="AA339" s="340" t="e">
        <f>VLOOKUP($B339,Sheet1!$C$2:$L$315,10,)</f>
        <v>#N/A</v>
      </c>
      <c r="AB339" s="347"/>
      <c r="AC339" s="347" t="b">
        <f>テーブル1[[#This Row],[要求事項一覧
判定]]=テーブル1[[#This Row],[列2]]</f>
        <v>0</v>
      </c>
    </row>
    <row r="340" spans="1:29" ht="72.5">
      <c r="A340" s="1" t="str">
        <f>テーブル1[[#This Row],[対象部門]]&amp;テーブル1[[#This Row],[業務要件回答表からの事前回答案_v1.0.xlsxより]]</f>
        <v>予算5.2</v>
      </c>
      <c r="B340" s="1" t="s">
        <v>3188</v>
      </c>
      <c r="D340" s="10" t="s">
        <v>1554</v>
      </c>
      <c r="E340" s="26" t="s">
        <v>1555</v>
      </c>
      <c r="F340" s="21" t="s">
        <v>1556</v>
      </c>
      <c r="G340" s="68">
        <v>5.2</v>
      </c>
      <c r="H340" s="44" t="s">
        <v>32</v>
      </c>
      <c r="I340" s="15"/>
      <c r="J340" s="68" t="s">
        <v>1507</v>
      </c>
      <c r="K340" s="68" t="s">
        <v>1549</v>
      </c>
      <c r="L340" s="30"/>
      <c r="M340" s="26"/>
      <c r="N340" s="44"/>
      <c r="O340" s="44" t="s">
        <v>35</v>
      </c>
      <c r="P340" s="44"/>
      <c r="Q340" s="44" t="s">
        <v>1552</v>
      </c>
      <c r="R340" s="44" t="s">
        <v>54</v>
      </c>
      <c r="S340" s="26" t="s">
        <v>1523</v>
      </c>
      <c r="T340" s="44" t="s">
        <v>39</v>
      </c>
      <c r="U340" s="91"/>
      <c r="V340" s="95" t="s">
        <v>161</v>
      </c>
      <c r="W340" s="336" t="s">
        <v>1557</v>
      </c>
      <c r="X340" s="341" t="str">
        <f>テーブル1[[#This Row],[開発]]&amp;テーブル1[[#This Row],[スコープ]]</f>
        <v>必要IN</v>
      </c>
      <c r="Y340" s="41" t="str">
        <f>IF(テーブル1[[#This Row],[列1]]="不要IN","標準",IF(テーブル1[[#This Row],[列1]]="不要OUT","スコープアウト",IF(テーブル1[[#This Row],[列1]]="必要IN","アドオン",IF(テーブル1[[#This Row],[列1]]="OUT","スコープアウト",""))))</f>
        <v>アドオン</v>
      </c>
      <c r="Z340" s="347" t="e">
        <f>VLOOKUP($B340,Sheet1!$C$2:$L$315,9,)</f>
        <v>#N/A</v>
      </c>
      <c r="AA340" s="340" t="e">
        <f>VLOOKUP($B340,Sheet1!$C$2:$L$315,10,)</f>
        <v>#N/A</v>
      </c>
      <c r="AB340" s="347"/>
      <c r="AC340" s="347" t="b">
        <f>テーブル1[[#This Row],[要求事項一覧
判定]]=テーブル1[[#This Row],[列2]]</f>
        <v>0</v>
      </c>
    </row>
    <row r="341" spans="1:29" ht="29">
      <c r="A341" s="1" t="str">
        <f>テーブル1[[#This Row],[対象部門]]&amp;テーブル1[[#This Row],[業務要件回答表からの事前回答案_v1.0.xlsxより]]</f>
        <v>予算6.1</v>
      </c>
      <c r="B341" s="1" t="s">
        <v>3189</v>
      </c>
      <c r="D341" s="10" t="s">
        <v>1558</v>
      </c>
      <c r="E341" s="26" t="s">
        <v>1526</v>
      </c>
      <c r="F341" s="21" t="s">
        <v>1527</v>
      </c>
      <c r="G341" s="68">
        <v>6.1</v>
      </c>
      <c r="H341" s="44" t="s">
        <v>32</v>
      </c>
      <c r="I341" s="15"/>
      <c r="J341" s="68" t="s">
        <v>1507</v>
      </c>
      <c r="K341" s="68" t="s">
        <v>1549</v>
      </c>
      <c r="L341" s="30"/>
      <c r="M341" s="26"/>
      <c r="N341" s="44"/>
      <c r="O341" s="44" t="s">
        <v>35</v>
      </c>
      <c r="P341" s="44"/>
      <c r="Q341" s="44" t="s">
        <v>1552</v>
      </c>
      <c r="R341" s="44" t="s">
        <v>37</v>
      </c>
      <c r="S341" s="26" t="s">
        <v>1530</v>
      </c>
      <c r="T341" s="44" t="s">
        <v>39</v>
      </c>
      <c r="U341" s="91"/>
      <c r="V341" s="94"/>
      <c r="W341" s="334"/>
      <c r="X341" s="41" t="str">
        <f>テーブル1[[#This Row],[開発]]&amp;テーブル1[[#This Row],[スコープ]]</f>
        <v>不要IN</v>
      </c>
      <c r="Y341" s="41" t="str">
        <f>IF(テーブル1[[#This Row],[列1]]="不要IN","標準",IF(テーブル1[[#This Row],[列1]]="不要OUT","スコープアウト",IF(テーブル1[[#This Row],[列1]]="必要IN","アドオン",IF(テーブル1[[#This Row],[列1]]="OUT","スコープアウト",""))))</f>
        <v>標準</v>
      </c>
      <c r="Z341" s="347" t="e">
        <f>VLOOKUP($B341,Sheet1!$C$2:$L$315,9,)</f>
        <v>#N/A</v>
      </c>
      <c r="AA341" s="340" t="e">
        <f>VLOOKUP($B341,Sheet1!$C$2:$L$315,10,)</f>
        <v>#N/A</v>
      </c>
      <c r="AB341" s="347"/>
      <c r="AC341" s="347" t="b">
        <f>テーブル1[[#This Row],[要求事項一覧
判定]]=テーブル1[[#This Row],[列2]]</f>
        <v>0</v>
      </c>
    </row>
    <row r="342" spans="1:29" ht="101.5">
      <c r="A342" s="1" t="str">
        <f>テーブル1[[#This Row],[対象部門]]&amp;テーブル1[[#This Row],[業務要件回答表からの事前回答案_v1.0.xlsxより]]</f>
        <v>予算7.1</v>
      </c>
      <c r="B342" s="1" t="s">
        <v>3190</v>
      </c>
      <c r="D342" s="104" t="s">
        <v>1559</v>
      </c>
      <c r="E342" s="26" t="s">
        <v>1560</v>
      </c>
      <c r="F342" s="21" t="s">
        <v>1533</v>
      </c>
      <c r="G342" s="68">
        <v>7.1</v>
      </c>
      <c r="H342" s="44" t="s">
        <v>32</v>
      </c>
      <c r="I342" s="15"/>
      <c r="J342" s="68" t="s">
        <v>1507</v>
      </c>
      <c r="K342" s="68" t="s">
        <v>1549</v>
      </c>
      <c r="L342" s="30" t="s">
        <v>1846</v>
      </c>
      <c r="M342" s="26" t="s">
        <v>1847</v>
      </c>
      <c r="N342" s="44"/>
      <c r="O342" s="44" t="s">
        <v>35</v>
      </c>
      <c r="P342" s="44"/>
      <c r="Q342" s="44" t="s">
        <v>1552</v>
      </c>
      <c r="R342" s="44" t="s">
        <v>37</v>
      </c>
      <c r="S342" s="26" t="s">
        <v>1534</v>
      </c>
      <c r="T342" s="44" t="s">
        <v>91</v>
      </c>
      <c r="U342" s="91"/>
      <c r="V342" s="95" t="s">
        <v>161</v>
      </c>
      <c r="W342" s="336" t="s">
        <v>162</v>
      </c>
      <c r="X342" s="341" t="str">
        <f>テーブル1[[#This Row],[開発]]&amp;テーブル1[[#This Row],[スコープ]]</f>
        <v>不要OUT</v>
      </c>
      <c r="Y342" s="41" t="str">
        <f>IF(テーブル1[[#This Row],[列1]]="不要IN","標準",IF(テーブル1[[#This Row],[列1]]="不要OUT","スコープアウト",IF(テーブル1[[#This Row],[列1]]="必要IN","アドオン",IF(テーブル1[[#This Row],[列1]]="OUT","スコープアウト",""))))</f>
        <v>スコープアウト</v>
      </c>
      <c r="Z342" s="347" t="e">
        <f>VLOOKUP($B342,Sheet1!$C$2:$L$315,9,)</f>
        <v>#N/A</v>
      </c>
      <c r="AA342" s="340" t="e">
        <f>VLOOKUP($B342,Sheet1!$C$2:$L$315,10,)</f>
        <v>#N/A</v>
      </c>
      <c r="AB342" s="347"/>
      <c r="AC342" s="347" t="b">
        <f>テーブル1[[#This Row],[要求事項一覧
判定]]=テーブル1[[#This Row],[列2]]</f>
        <v>0</v>
      </c>
    </row>
    <row r="343" spans="1:29" ht="89.25" customHeight="1">
      <c r="A343" s="1" t="str">
        <f>テーブル1[[#This Row],[対象部門]]&amp;テーブル1[[#This Row],[業務要件回答表からの事前回答案_v1.0.xlsxより]]</f>
        <v>予算8.1</v>
      </c>
      <c r="B343" s="1" t="s">
        <v>3191</v>
      </c>
      <c r="D343" s="10" t="s">
        <v>1561</v>
      </c>
      <c r="E343" s="26" t="s">
        <v>1562</v>
      </c>
      <c r="F343" s="21" t="s">
        <v>1563</v>
      </c>
      <c r="G343" s="68">
        <v>8.1</v>
      </c>
      <c r="H343" s="44" t="s">
        <v>32</v>
      </c>
      <c r="I343" s="15"/>
      <c r="J343" s="68" t="s">
        <v>1507</v>
      </c>
      <c r="K343" s="68" t="s">
        <v>1549</v>
      </c>
      <c r="L343" s="30"/>
      <c r="M343" s="26"/>
      <c r="N343" s="44"/>
      <c r="O343" s="44" t="s">
        <v>35</v>
      </c>
      <c r="P343" s="44"/>
      <c r="Q343" s="44" t="s">
        <v>1552</v>
      </c>
      <c r="R343" s="44" t="s">
        <v>37</v>
      </c>
      <c r="S343" s="26" t="s">
        <v>1564</v>
      </c>
      <c r="T343" s="44" t="s">
        <v>91</v>
      </c>
      <c r="U343" s="91"/>
      <c r="V343" s="94"/>
      <c r="W343" s="334"/>
      <c r="X343" s="41" t="str">
        <f>テーブル1[[#This Row],[開発]]&amp;テーブル1[[#This Row],[スコープ]]</f>
        <v>不要OUT</v>
      </c>
      <c r="Y343" s="41" t="str">
        <f>IF(テーブル1[[#This Row],[列1]]="不要IN","標準",IF(テーブル1[[#This Row],[列1]]="不要OUT","スコープアウト",IF(テーブル1[[#This Row],[列1]]="必要IN","アドオン",IF(テーブル1[[#This Row],[列1]]="OUT","スコープアウト",""))))</f>
        <v>スコープアウト</v>
      </c>
      <c r="Z343" s="347" t="e">
        <f>VLOOKUP($B343,Sheet1!$C$2:$L$315,9,)</f>
        <v>#N/A</v>
      </c>
      <c r="AA343" s="340" t="e">
        <f>VLOOKUP($B343,Sheet1!$C$2:$L$315,10,)</f>
        <v>#N/A</v>
      </c>
      <c r="AB343" s="347"/>
      <c r="AC343" s="347" t="b">
        <f>テーブル1[[#This Row],[要求事項一覧
判定]]=テーブル1[[#This Row],[列2]]</f>
        <v>0</v>
      </c>
    </row>
    <row r="344" spans="1:29" ht="29">
      <c r="A344" s="1" t="str">
        <f>テーブル1[[#This Row],[対象部門]]&amp;テーブル1[[#This Row],[業務要件回答表からの事前回答案_v1.0.xlsxより]]</f>
        <v>予算9.1</v>
      </c>
      <c r="B344" s="1" t="s">
        <v>3192</v>
      </c>
      <c r="D344" s="10" t="s">
        <v>1565</v>
      </c>
      <c r="E344" s="26" t="s">
        <v>1566</v>
      </c>
      <c r="F344" s="21" t="s">
        <v>1567</v>
      </c>
      <c r="G344" s="68">
        <v>9.1</v>
      </c>
      <c r="H344" s="44" t="s">
        <v>32</v>
      </c>
      <c r="I344" s="15"/>
      <c r="J344" s="68" t="s">
        <v>1507</v>
      </c>
      <c r="K344" s="68" t="s">
        <v>1549</v>
      </c>
      <c r="L344" s="30"/>
      <c r="M344" s="26"/>
      <c r="N344" s="44"/>
      <c r="O344" s="44" t="s">
        <v>35</v>
      </c>
      <c r="P344" s="44"/>
      <c r="Q344" s="44" t="s">
        <v>1552</v>
      </c>
      <c r="R344" s="44" t="s">
        <v>37</v>
      </c>
      <c r="S344" s="26" t="s">
        <v>1568</v>
      </c>
      <c r="T344" s="44" t="s">
        <v>91</v>
      </c>
      <c r="U344" s="91"/>
      <c r="V344" s="94"/>
      <c r="W344" s="334"/>
      <c r="X344" s="41" t="str">
        <f>テーブル1[[#This Row],[開発]]&amp;テーブル1[[#This Row],[スコープ]]</f>
        <v>不要OUT</v>
      </c>
      <c r="Y344" s="41" t="str">
        <f>IF(テーブル1[[#This Row],[列1]]="不要IN","標準",IF(テーブル1[[#This Row],[列1]]="不要OUT","スコープアウト",IF(テーブル1[[#This Row],[列1]]="必要IN","アドオン",IF(テーブル1[[#This Row],[列1]]="OUT","スコープアウト",""))))</f>
        <v>スコープアウト</v>
      </c>
      <c r="Z344" s="347" t="e">
        <f>VLOOKUP($B344,Sheet1!$C$2:$L$315,9,)</f>
        <v>#N/A</v>
      </c>
      <c r="AA344" s="340" t="e">
        <f>VLOOKUP($B344,Sheet1!$C$2:$L$315,10,)</f>
        <v>#N/A</v>
      </c>
      <c r="AB344" s="347"/>
      <c r="AC344" s="347" t="b">
        <f>テーブル1[[#This Row],[要求事項一覧
判定]]=テーブル1[[#This Row],[列2]]</f>
        <v>0</v>
      </c>
    </row>
    <row r="345" spans="1:29" ht="139">
      <c r="A345" s="1" t="str">
        <f>テーブル1[[#This Row],[対象部門]]&amp;テーブル1[[#This Row],[業務要件回答表からの事前回答案_v1.0.xlsxより]]</f>
        <v>予算10.1</v>
      </c>
      <c r="B345" s="1" t="s">
        <v>3193</v>
      </c>
      <c r="D345" s="10" t="s">
        <v>1569</v>
      </c>
      <c r="E345" s="26" t="s">
        <v>1570</v>
      </c>
      <c r="F345" s="21" t="s">
        <v>1571</v>
      </c>
      <c r="G345" s="68">
        <v>10.1</v>
      </c>
      <c r="H345" s="44" t="s">
        <v>32</v>
      </c>
      <c r="I345" s="15"/>
      <c r="J345" s="68" t="s">
        <v>1507</v>
      </c>
      <c r="K345" s="68" t="s">
        <v>1508</v>
      </c>
      <c r="L345" s="26"/>
      <c r="M345" s="26"/>
      <c r="N345" s="44"/>
      <c r="O345" s="44" t="s">
        <v>35</v>
      </c>
      <c r="P345" s="44"/>
      <c r="Q345" s="68" t="s">
        <v>1572</v>
      </c>
      <c r="R345" s="44" t="s">
        <v>37</v>
      </c>
      <c r="S345" s="26" t="s">
        <v>1573</v>
      </c>
      <c r="T345" s="44" t="s">
        <v>39</v>
      </c>
      <c r="U345" s="91"/>
      <c r="V345" s="94"/>
      <c r="W345" s="334"/>
      <c r="X345" s="41" t="str">
        <f>テーブル1[[#This Row],[開発]]&amp;テーブル1[[#This Row],[スコープ]]</f>
        <v>不要IN</v>
      </c>
      <c r="Y345" s="41" t="str">
        <f>IF(テーブル1[[#This Row],[列1]]="不要IN","標準",IF(テーブル1[[#This Row],[列1]]="不要OUT","スコープアウト",IF(テーブル1[[#This Row],[列1]]="必要IN","アドオン",IF(テーブル1[[#This Row],[列1]]="OUT","スコープアウト",""))))</f>
        <v>標準</v>
      </c>
      <c r="Z345" s="347" t="e">
        <f>VLOOKUP($B345,Sheet1!$C$2:$L$315,9,)</f>
        <v>#N/A</v>
      </c>
      <c r="AA345" s="340" t="e">
        <f>VLOOKUP($B345,Sheet1!$C$2:$L$315,10,)</f>
        <v>#N/A</v>
      </c>
      <c r="AB345" s="347"/>
      <c r="AC345" s="347" t="b">
        <f>テーブル1[[#This Row],[要求事項一覧
判定]]=テーブル1[[#This Row],[列2]]</f>
        <v>0</v>
      </c>
    </row>
    <row r="346" spans="1:29" ht="58">
      <c r="A346" s="1" t="str">
        <f>テーブル1[[#This Row],[対象部門]]&amp;テーブル1[[#This Row],[業務要件回答表からの事前回答案_v1.0.xlsxより]]</f>
        <v>予算11.1</v>
      </c>
      <c r="B346" s="1" t="s">
        <v>3194</v>
      </c>
      <c r="D346" s="10" t="s">
        <v>1574</v>
      </c>
      <c r="E346" s="26" t="s">
        <v>1575</v>
      </c>
      <c r="F346" s="21" t="s">
        <v>1576</v>
      </c>
      <c r="G346" s="68">
        <v>11.1</v>
      </c>
      <c r="H346" s="44" t="s">
        <v>32</v>
      </c>
      <c r="I346" s="15"/>
      <c r="J346" s="68" t="s">
        <v>1507</v>
      </c>
      <c r="K346" s="68" t="s">
        <v>1508</v>
      </c>
      <c r="L346" s="39" t="s">
        <v>1577</v>
      </c>
      <c r="M346" s="26" t="s">
        <v>1578</v>
      </c>
      <c r="N346" s="44"/>
      <c r="O346" s="44" t="s">
        <v>35</v>
      </c>
      <c r="P346" s="44"/>
      <c r="Q346" s="68" t="s">
        <v>1572</v>
      </c>
      <c r="R346" s="44" t="s">
        <v>37</v>
      </c>
      <c r="S346" s="39" t="s">
        <v>1579</v>
      </c>
      <c r="T346" s="44" t="s">
        <v>91</v>
      </c>
      <c r="U346" s="91"/>
      <c r="V346" s="94"/>
      <c r="W346" s="334"/>
      <c r="X346" s="41" t="str">
        <f>テーブル1[[#This Row],[開発]]&amp;テーブル1[[#This Row],[スコープ]]</f>
        <v>不要OUT</v>
      </c>
      <c r="Y346" s="41" t="str">
        <f>IF(テーブル1[[#This Row],[列1]]="不要IN","標準",IF(テーブル1[[#This Row],[列1]]="不要OUT","スコープアウト",IF(テーブル1[[#This Row],[列1]]="必要IN","アドオン",IF(テーブル1[[#This Row],[列1]]="OUT","スコープアウト",""))))</f>
        <v>スコープアウト</v>
      </c>
      <c r="Z346" s="347" t="e">
        <f>VLOOKUP($B346,Sheet1!$C$2:$L$315,9,)</f>
        <v>#N/A</v>
      </c>
      <c r="AA346" s="340" t="e">
        <f>VLOOKUP($B346,Sheet1!$C$2:$L$315,10,)</f>
        <v>#N/A</v>
      </c>
      <c r="AB346" s="347"/>
      <c r="AC346" s="347" t="b">
        <f>テーブル1[[#This Row],[要求事項一覧
判定]]=テーブル1[[#This Row],[列2]]</f>
        <v>0</v>
      </c>
    </row>
    <row r="347" spans="1:29" ht="29">
      <c r="A347" s="1" t="str">
        <f>テーブル1[[#This Row],[対象部門]]&amp;テーブル1[[#This Row],[業務要件回答表からの事前回答案_v1.0.xlsxより]]</f>
        <v>予算11.2</v>
      </c>
      <c r="B347" s="1" t="s">
        <v>3195</v>
      </c>
      <c r="D347" s="10" t="s">
        <v>1580</v>
      </c>
      <c r="E347" s="26" t="s">
        <v>1581</v>
      </c>
      <c r="F347" s="21" t="s">
        <v>1582</v>
      </c>
      <c r="G347" s="68">
        <v>11.2</v>
      </c>
      <c r="H347" s="44" t="s">
        <v>32</v>
      </c>
      <c r="I347" s="15"/>
      <c r="J347" s="68" t="s">
        <v>1507</v>
      </c>
      <c r="K347" s="68" t="s">
        <v>1508</v>
      </c>
      <c r="L347" s="30"/>
      <c r="M347" s="26"/>
      <c r="N347" s="44"/>
      <c r="O347" s="44" t="s">
        <v>35</v>
      </c>
      <c r="P347" s="44"/>
      <c r="Q347" s="68" t="s">
        <v>1572</v>
      </c>
      <c r="R347" s="44" t="s">
        <v>37</v>
      </c>
      <c r="S347" s="26" t="s">
        <v>1583</v>
      </c>
      <c r="T347" s="44" t="s">
        <v>39</v>
      </c>
      <c r="U347" s="91"/>
      <c r="V347" s="94"/>
      <c r="W347" s="334"/>
      <c r="X347" s="41" t="str">
        <f>テーブル1[[#This Row],[開発]]&amp;テーブル1[[#This Row],[スコープ]]</f>
        <v>不要IN</v>
      </c>
      <c r="Y347" s="41" t="str">
        <f>IF(テーブル1[[#This Row],[列1]]="不要IN","標準",IF(テーブル1[[#This Row],[列1]]="不要OUT","スコープアウト",IF(テーブル1[[#This Row],[列1]]="必要IN","アドオン",IF(テーブル1[[#This Row],[列1]]="OUT","スコープアウト",""))))</f>
        <v>標準</v>
      </c>
      <c r="Z347" s="347" t="e">
        <f>VLOOKUP($B347,Sheet1!$C$2:$L$315,9,)</f>
        <v>#N/A</v>
      </c>
      <c r="AA347" s="340" t="e">
        <f>VLOOKUP($B347,Sheet1!$C$2:$L$315,10,)</f>
        <v>#N/A</v>
      </c>
      <c r="AB347" s="347"/>
      <c r="AC347" s="347" t="b">
        <f>テーブル1[[#This Row],[要求事項一覧
判定]]=テーブル1[[#This Row],[列2]]</f>
        <v>0</v>
      </c>
    </row>
    <row r="348" spans="1:29" ht="116">
      <c r="A348" s="1" t="str">
        <f>テーブル1[[#This Row],[対象部門]]&amp;テーブル1[[#This Row],[業務要件回答表からの事前回答案_v1.0.xlsxより]]</f>
        <v>債務管理-</v>
      </c>
      <c r="B348" s="1" t="s">
        <v>3179</v>
      </c>
      <c r="D348" s="10" t="s">
        <v>1584</v>
      </c>
      <c r="E348" s="26" t="s">
        <v>1585</v>
      </c>
      <c r="F348" s="21" t="s">
        <v>626</v>
      </c>
      <c r="G348" s="68" t="s">
        <v>445</v>
      </c>
      <c r="H348" s="44" t="s">
        <v>32</v>
      </c>
      <c r="I348" s="15"/>
      <c r="J348" s="68" t="s">
        <v>576</v>
      </c>
      <c r="K348" s="68" t="s">
        <v>51</v>
      </c>
      <c r="L348" s="30" t="s">
        <v>1586</v>
      </c>
      <c r="M348" s="30" t="s">
        <v>1587</v>
      </c>
      <c r="N348" s="44">
        <v>126</v>
      </c>
      <c r="O348" s="44" t="s">
        <v>35</v>
      </c>
      <c r="P348" s="44" t="s">
        <v>577</v>
      </c>
      <c r="Q348" s="68" t="s">
        <v>609</v>
      </c>
      <c r="R348" s="44" t="s">
        <v>54</v>
      </c>
      <c r="S348" s="26" t="s">
        <v>716</v>
      </c>
      <c r="T348" s="44" t="s">
        <v>39</v>
      </c>
      <c r="U348" s="91"/>
      <c r="V348" s="95" t="s">
        <v>56</v>
      </c>
      <c r="W348" s="336" t="s">
        <v>1503</v>
      </c>
      <c r="X348" s="341" t="str">
        <f>テーブル1[[#This Row],[開発]]&amp;テーブル1[[#This Row],[スコープ]]</f>
        <v>必要IN</v>
      </c>
      <c r="Y348" s="41" t="str">
        <f>IF(テーブル1[[#This Row],[列1]]="不要IN","標準",IF(テーブル1[[#This Row],[列1]]="不要OUT","スコープアウト",IF(テーブル1[[#This Row],[列1]]="必要IN","アドオン",IF(テーブル1[[#This Row],[列1]]="OUT","スコープアウト",""))))</f>
        <v>アドオン</v>
      </c>
      <c r="Z348" s="347" t="e">
        <f>VLOOKUP($B348,Sheet1!$C$2:$L$315,9,)</f>
        <v>#N/A</v>
      </c>
      <c r="AA348" s="340" t="e">
        <f>VLOOKUP($B348,Sheet1!$C$2:$L$315,10,)</f>
        <v>#N/A</v>
      </c>
      <c r="AB348" s="347"/>
      <c r="AC348" s="347" t="b">
        <f>テーブル1[[#This Row],[要求事項一覧
判定]]=テーブル1[[#This Row],[列2]]</f>
        <v>0</v>
      </c>
    </row>
    <row r="349" spans="1:29" ht="116">
      <c r="A349" s="1" t="str">
        <f>テーブル1[[#This Row],[対象部門]]&amp;テーブル1[[#This Row],[業務要件回答表からの事前回答案_v1.0.xlsxより]]</f>
        <v>債務管理-</v>
      </c>
      <c r="B349" s="1" t="s">
        <v>3179</v>
      </c>
      <c r="D349" s="10" t="s">
        <v>1588</v>
      </c>
      <c r="E349" s="26" t="s">
        <v>1589</v>
      </c>
      <c r="F349" s="21" t="s">
        <v>626</v>
      </c>
      <c r="G349" s="68" t="s">
        <v>445</v>
      </c>
      <c r="H349" s="44" t="s">
        <v>32</v>
      </c>
      <c r="I349" s="15"/>
      <c r="J349" s="68" t="s">
        <v>576</v>
      </c>
      <c r="K349" s="68" t="s">
        <v>51</v>
      </c>
      <c r="L349" s="30" t="s">
        <v>1586</v>
      </c>
      <c r="M349" s="30" t="s">
        <v>1590</v>
      </c>
      <c r="N349" s="44">
        <v>126</v>
      </c>
      <c r="O349" s="44" t="s">
        <v>35</v>
      </c>
      <c r="P349" s="44" t="s">
        <v>577</v>
      </c>
      <c r="Q349" s="68" t="s">
        <v>609</v>
      </c>
      <c r="R349" s="44" t="s">
        <v>54</v>
      </c>
      <c r="S349" s="26" t="s">
        <v>716</v>
      </c>
      <c r="T349" s="44" t="s">
        <v>39</v>
      </c>
      <c r="U349" s="91"/>
      <c r="V349" s="95" t="s">
        <v>56</v>
      </c>
      <c r="W349" s="336" t="s">
        <v>1503</v>
      </c>
      <c r="X349" s="341" t="str">
        <f>テーブル1[[#This Row],[開発]]&amp;テーブル1[[#This Row],[スコープ]]</f>
        <v>必要IN</v>
      </c>
      <c r="Y349" s="41" t="str">
        <f>IF(テーブル1[[#This Row],[列1]]="不要IN","標準",IF(テーブル1[[#This Row],[列1]]="不要OUT","スコープアウト",IF(テーブル1[[#This Row],[列1]]="必要IN","アドオン",IF(テーブル1[[#This Row],[列1]]="OUT","スコープアウト",""))))</f>
        <v>アドオン</v>
      </c>
      <c r="Z349" s="347" t="e">
        <f>VLOOKUP($B349,Sheet1!$C$2:$L$315,9,)</f>
        <v>#N/A</v>
      </c>
      <c r="AA349" s="340" t="e">
        <f>VLOOKUP($B349,Sheet1!$C$2:$L$315,10,)</f>
        <v>#N/A</v>
      </c>
      <c r="AB349" s="347"/>
      <c r="AC349" s="347" t="b">
        <f>テーブル1[[#This Row],[要求事項一覧
判定]]=テーブル1[[#This Row],[列2]]</f>
        <v>0</v>
      </c>
    </row>
    <row r="350" spans="1:29" ht="58">
      <c r="A350" s="1" t="str">
        <f>テーブル1[[#This Row],[対象部門]]&amp;テーブル1[[#This Row],[業務要件回答表からの事前回答案_v1.0.xlsxより]]</f>
        <v>債務管理-</v>
      </c>
      <c r="B350" s="1" t="s">
        <v>3179</v>
      </c>
      <c r="D350" s="10" t="s">
        <v>1591</v>
      </c>
      <c r="E350" s="26" t="s">
        <v>1592</v>
      </c>
      <c r="F350" s="21" t="s">
        <v>663</v>
      </c>
      <c r="G350" s="68" t="s">
        <v>445</v>
      </c>
      <c r="H350" s="44" t="s">
        <v>32</v>
      </c>
      <c r="I350" s="15"/>
      <c r="J350" s="68" t="s">
        <v>576</v>
      </c>
      <c r="K350" s="68" t="s">
        <v>51</v>
      </c>
      <c r="L350" s="30"/>
      <c r="M350" s="30"/>
      <c r="N350" s="44">
        <v>134</v>
      </c>
      <c r="O350" s="44" t="s">
        <v>35</v>
      </c>
      <c r="P350" s="44" t="s">
        <v>577</v>
      </c>
      <c r="Q350" s="68" t="s">
        <v>1593</v>
      </c>
      <c r="R350" s="44" t="s">
        <v>54</v>
      </c>
      <c r="S350" s="26" t="s">
        <v>1594</v>
      </c>
      <c r="T350" s="44" t="s">
        <v>39</v>
      </c>
      <c r="U350" s="91"/>
      <c r="V350" s="95" t="s">
        <v>161</v>
      </c>
      <c r="W350" s="336" t="s">
        <v>1595</v>
      </c>
      <c r="X350" s="341" t="str">
        <f>テーブル1[[#This Row],[開発]]&amp;テーブル1[[#This Row],[スコープ]]</f>
        <v>必要IN</v>
      </c>
      <c r="Y350" s="41" t="str">
        <f>IF(テーブル1[[#This Row],[列1]]="不要IN","標準",IF(テーブル1[[#This Row],[列1]]="不要OUT","スコープアウト",IF(テーブル1[[#This Row],[列1]]="必要IN","アドオン",IF(テーブル1[[#This Row],[列1]]="OUT","スコープアウト",""))))</f>
        <v>アドオン</v>
      </c>
      <c r="Z350" s="347" t="e">
        <f>VLOOKUP($B350,Sheet1!$C$2:$L$315,9,)</f>
        <v>#N/A</v>
      </c>
      <c r="AA350" s="340" t="e">
        <f>VLOOKUP($B350,Sheet1!$C$2:$L$315,10,)</f>
        <v>#N/A</v>
      </c>
      <c r="AB350" s="347"/>
      <c r="AC350" s="347" t="b">
        <f>テーブル1[[#This Row],[要求事項一覧
判定]]=テーブル1[[#This Row],[列2]]</f>
        <v>0</v>
      </c>
    </row>
    <row r="351" spans="1:29" ht="58">
      <c r="A351" s="1" t="str">
        <f>テーブル1[[#This Row],[対象部門]]&amp;テーブル1[[#This Row],[業務要件回答表からの事前回答案_v1.0.xlsxより]]</f>
        <v>債務管理-</v>
      </c>
      <c r="B351" s="1" t="s">
        <v>3179</v>
      </c>
      <c r="D351" s="10" t="s">
        <v>1596</v>
      </c>
      <c r="E351" s="26" t="s">
        <v>1597</v>
      </c>
      <c r="F351" s="21" t="s">
        <v>663</v>
      </c>
      <c r="G351" s="68" t="s">
        <v>445</v>
      </c>
      <c r="H351" s="44" t="s">
        <v>32</v>
      </c>
      <c r="I351" s="15"/>
      <c r="J351" s="68" t="s">
        <v>576</v>
      </c>
      <c r="K351" s="68" t="s">
        <v>51</v>
      </c>
      <c r="L351" s="30"/>
      <c r="M351" s="30"/>
      <c r="N351" s="44">
        <v>134</v>
      </c>
      <c r="O351" s="44" t="s">
        <v>35</v>
      </c>
      <c r="P351" s="44" t="s">
        <v>577</v>
      </c>
      <c r="Q351" s="68" t="s">
        <v>1593</v>
      </c>
      <c r="R351" s="44" t="s">
        <v>54</v>
      </c>
      <c r="S351" s="26" t="s">
        <v>1598</v>
      </c>
      <c r="T351" s="44" t="s">
        <v>39</v>
      </c>
      <c r="U351" s="91"/>
      <c r="V351" s="95" t="s">
        <v>161</v>
      </c>
      <c r="W351" s="336" t="s">
        <v>1595</v>
      </c>
      <c r="X351" s="341" t="str">
        <f>テーブル1[[#This Row],[開発]]&amp;テーブル1[[#This Row],[スコープ]]</f>
        <v>必要IN</v>
      </c>
      <c r="Y351" s="41" t="str">
        <f>IF(テーブル1[[#This Row],[列1]]="不要IN","標準",IF(テーブル1[[#This Row],[列1]]="不要OUT","スコープアウト",IF(テーブル1[[#This Row],[列1]]="必要IN","アドオン",IF(テーブル1[[#This Row],[列1]]="OUT","スコープアウト",""))))</f>
        <v>アドオン</v>
      </c>
      <c r="Z351" s="347" t="e">
        <f>VLOOKUP($B351,Sheet1!$C$2:$L$315,9,)</f>
        <v>#N/A</v>
      </c>
      <c r="AA351" s="340" t="e">
        <f>VLOOKUP($B351,Sheet1!$C$2:$L$315,10,)</f>
        <v>#N/A</v>
      </c>
      <c r="AB351" s="347"/>
      <c r="AC351" s="347" t="b">
        <f>テーブル1[[#This Row],[要求事項一覧
判定]]=テーブル1[[#This Row],[列2]]</f>
        <v>0</v>
      </c>
    </row>
    <row r="352" spans="1:29" ht="72.5">
      <c r="A352" s="1" t="str">
        <f>テーブル1[[#This Row],[対象部門]]&amp;テーブル1[[#This Row],[業務要件回答表からの事前回答案_v1.0.xlsxより]]</f>
        <v>債務管理-</v>
      </c>
      <c r="B352" s="1" t="s">
        <v>3179</v>
      </c>
      <c r="D352" s="10" t="s">
        <v>1599</v>
      </c>
      <c r="E352" s="26" t="s">
        <v>1834</v>
      </c>
      <c r="F352" s="21" t="s">
        <v>663</v>
      </c>
      <c r="G352" s="68" t="s">
        <v>445</v>
      </c>
      <c r="H352" s="44" t="s">
        <v>32</v>
      </c>
      <c r="I352" s="15"/>
      <c r="J352" s="68" t="s">
        <v>576</v>
      </c>
      <c r="K352" s="68" t="s">
        <v>51</v>
      </c>
      <c r="L352" s="30" t="s">
        <v>1600</v>
      </c>
      <c r="M352" s="30"/>
      <c r="N352" s="44">
        <v>134</v>
      </c>
      <c r="O352" s="44" t="s">
        <v>35</v>
      </c>
      <c r="P352" s="44" t="s">
        <v>577</v>
      </c>
      <c r="Q352" s="68" t="s">
        <v>587</v>
      </c>
      <c r="R352" s="44" t="s">
        <v>37</v>
      </c>
      <c r="S352" s="26" t="s">
        <v>1601</v>
      </c>
      <c r="T352" s="44" t="s">
        <v>39</v>
      </c>
      <c r="U352" s="91"/>
      <c r="V352" s="94"/>
      <c r="W352" s="334"/>
      <c r="X352" s="41" t="str">
        <f>テーブル1[[#This Row],[開発]]&amp;テーブル1[[#This Row],[スコープ]]</f>
        <v>不要IN</v>
      </c>
      <c r="Y352" s="41" t="str">
        <f>IF(テーブル1[[#This Row],[列1]]="不要IN","標準",IF(テーブル1[[#This Row],[列1]]="不要OUT","スコープアウト",IF(テーブル1[[#This Row],[列1]]="必要IN","アドオン",IF(テーブル1[[#This Row],[列1]]="OUT","スコープアウト",""))))</f>
        <v>標準</v>
      </c>
      <c r="Z352" s="347" t="e">
        <f>VLOOKUP($B352,Sheet1!$C$2:$L$315,9,)</f>
        <v>#N/A</v>
      </c>
      <c r="AA352" s="340" t="e">
        <f>VLOOKUP($B352,Sheet1!$C$2:$L$315,10,)</f>
        <v>#N/A</v>
      </c>
      <c r="AB352" s="347"/>
      <c r="AC352" s="347" t="b">
        <f>テーブル1[[#This Row],[要求事項一覧
判定]]=テーブル1[[#This Row],[列2]]</f>
        <v>0</v>
      </c>
    </row>
    <row r="353" spans="1:29" ht="58">
      <c r="A353" s="1" t="str">
        <f>テーブル1[[#This Row],[対象部門]]&amp;テーブル1[[#This Row],[業務要件回答表からの事前回答案_v1.0.xlsxより]]</f>
        <v>債務管理-</v>
      </c>
      <c r="B353" s="1" t="s">
        <v>3179</v>
      </c>
      <c r="D353" s="10" t="s">
        <v>1602</v>
      </c>
      <c r="E353" s="26" t="s">
        <v>1603</v>
      </c>
      <c r="F353" s="21" t="s">
        <v>663</v>
      </c>
      <c r="G353" s="68" t="s">
        <v>445</v>
      </c>
      <c r="H353" s="44" t="s">
        <v>32</v>
      </c>
      <c r="I353" s="15"/>
      <c r="J353" s="68" t="s">
        <v>576</v>
      </c>
      <c r="K353" s="68" t="s">
        <v>51</v>
      </c>
      <c r="L353" s="30" t="s">
        <v>1604</v>
      </c>
      <c r="M353" s="30"/>
      <c r="N353" s="44">
        <v>134</v>
      </c>
      <c r="O353" s="44" t="s">
        <v>35</v>
      </c>
      <c r="P353" s="44" t="s">
        <v>577</v>
      </c>
      <c r="Q353" s="68" t="s">
        <v>587</v>
      </c>
      <c r="R353" s="44" t="s">
        <v>37</v>
      </c>
      <c r="S353" s="26" t="s">
        <v>1605</v>
      </c>
      <c r="T353" s="44" t="s">
        <v>91</v>
      </c>
      <c r="U353" s="91"/>
      <c r="V353" s="95"/>
      <c r="W353" s="336"/>
      <c r="X353" s="341" t="str">
        <f>テーブル1[[#This Row],[開発]]&amp;テーブル1[[#This Row],[スコープ]]</f>
        <v>不要OUT</v>
      </c>
      <c r="Y353" s="41" t="str">
        <f>IF(テーブル1[[#This Row],[列1]]="不要IN","標準",IF(テーブル1[[#This Row],[列1]]="不要OUT","スコープアウト",IF(テーブル1[[#This Row],[列1]]="必要IN","アドオン",IF(テーブル1[[#This Row],[列1]]="OUT","スコープアウト",""))))</f>
        <v>スコープアウト</v>
      </c>
      <c r="Z353" s="347" t="e">
        <f>VLOOKUP($B353,Sheet1!$C$2:$L$315,9,)</f>
        <v>#N/A</v>
      </c>
      <c r="AA353" s="340" t="e">
        <f>VLOOKUP($B353,Sheet1!$C$2:$L$315,10,)</f>
        <v>#N/A</v>
      </c>
      <c r="AB353" s="347"/>
      <c r="AC353" s="347" t="b">
        <f>テーブル1[[#This Row],[要求事項一覧
判定]]=テーブル1[[#This Row],[列2]]</f>
        <v>0</v>
      </c>
    </row>
    <row r="354" spans="1:29" ht="58">
      <c r="A354" s="1" t="str">
        <f>テーブル1[[#This Row],[対象部門]]&amp;テーブル1[[#This Row],[業務要件回答表からの事前回答案_v1.0.xlsxより]]</f>
        <v>債務管理-</v>
      </c>
      <c r="B354" s="1" t="s">
        <v>3179</v>
      </c>
      <c r="D354" s="10" t="s">
        <v>1606</v>
      </c>
      <c r="E354" s="26" t="s">
        <v>1607</v>
      </c>
      <c r="F354" s="21" t="s">
        <v>663</v>
      </c>
      <c r="G354" s="68" t="s">
        <v>445</v>
      </c>
      <c r="H354" s="44" t="s">
        <v>32</v>
      </c>
      <c r="I354" s="15"/>
      <c r="J354" s="68" t="s">
        <v>576</v>
      </c>
      <c r="K354" s="68" t="s">
        <v>51</v>
      </c>
      <c r="L354" s="30" t="s">
        <v>1604</v>
      </c>
      <c r="M354" s="30"/>
      <c r="N354" s="44">
        <v>134</v>
      </c>
      <c r="O354" s="44" t="s">
        <v>35</v>
      </c>
      <c r="P354" s="44" t="s">
        <v>577</v>
      </c>
      <c r="Q354" s="68" t="s">
        <v>587</v>
      </c>
      <c r="R354" s="44" t="s">
        <v>37</v>
      </c>
      <c r="S354" s="26" t="s">
        <v>1608</v>
      </c>
      <c r="T354" s="44" t="s">
        <v>91</v>
      </c>
      <c r="U354" s="91"/>
      <c r="V354" s="95"/>
      <c r="W354" s="336"/>
      <c r="X354" s="341" t="str">
        <f>テーブル1[[#This Row],[開発]]&amp;テーブル1[[#This Row],[スコープ]]</f>
        <v>不要OUT</v>
      </c>
      <c r="Y354" s="41" t="str">
        <f>IF(テーブル1[[#This Row],[列1]]="不要IN","標準",IF(テーブル1[[#This Row],[列1]]="不要OUT","スコープアウト",IF(テーブル1[[#This Row],[列1]]="必要IN","アドオン",IF(テーブル1[[#This Row],[列1]]="OUT","スコープアウト",""))))</f>
        <v>スコープアウト</v>
      </c>
      <c r="Z354" s="347" t="e">
        <f>VLOOKUP($B354,Sheet1!$C$2:$L$315,9,)</f>
        <v>#N/A</v>
      </c>
      <c r="AA354" s="340" t="e">
        <f>VLOOKUP($B354,Sheet1!$C$2:$L$315,10,)</f>
        <v>#N/A</v>
      </c>
      <c r="AB354" s="347"/>
      <c r="AC354" s="347" t="b">
        <f>テーブル1[[#This Row],[要求事項一覧
判定]]=テーブル1[[#This Row],[列2]]</f>
        <v>0</v>
      </c>
    </row>
    <row r="355" spans="1:29" ht="58">
      <c r="A355" s="1" t="str">
        <f>テーブル1[[#This Row],[対象部門]]&amp;テーブル1[[#This Row],[業務要件回答表からの事前回答案_v1.0.xlsxより]]</f>
        <v>債務管理-</v>
      </c>
      <c r="B355" s="1" t="s">
        <v>3179</v>
      </c>
      <c r="D355" s="10" t="s">
        <v>1609</v>
      </c>
      <c r="E355" s="26" t="s">
        <v>1610</v>
      </c>
      <c r="F355" s="21" t="s">
        <v>663</v>
      </c>
      <c r="G355" s="68" t="s">
        <v>445</v>
      </c>
      <c r="H355" s="44" t="s">
        <v>32</v>
      </c>
      <c r="I355" s="15"/>
      <c r="J355" s="68" t="s">
        <v>576</v>
      </c>
      <c r="K355" s="68" t="s">
        <v>51</v>
      </c>
      <c r="L355" s="30" t="s">
        <v>1604</v>
      </c>
      <c r="M355" s="30"/>
      <c r="N355" s="44">
        <v>134</v>
      </c>
      <c r="O355" s="44" t="s">
        <v>35</v>
      </c>
      <c r="P355" s="44" t="s">
        <v>577</v>
      </c>
      <c r="Q355" s="68" t="s">
        <v>587</v>
      </c>
      <c r="R355" s="44" t="s">
        <v>37</v>
      </c>
      <c r="S355" s="26" t="s">
        <v>1611</v>
      </c>
      <c r="T355" s="44" t="s">
        <v>91</v>
      </c>
      <c r="U355" s="91"/>
      <c r="V355" s="95"/>
      <c r="W355" s="336"/>
      <c r="X355" s="341" t="str">
        <f>テーブル1[[#This Row],[開発]]&amp;テーブル1[[#This Row],[スコープ]]</f>
        <v>不要OUT</v>
      </c>
      <c r="Y355" s="41" t="str">
        <f>IF(テーブル1[[#This Row],[列1]]="不要IN","標準",IF(テーブル1[[#This Row],[列1]]="不要OUT","スコープアウト",IF(テーブル1[[#This Row],[列1]]="必要IN","アドオン",IF(テーブル1[[#This Row],[列1]]="OUT","スコープアウト",""))))</f>
        <v>スコープアウト</v>
      </c>
      <c r="Z355" s="347" t="e">
        <f>VLOOKUP($B355,Sheet1!$C$2:$L$315,9,)</f>
        <v>#N/A</v>
      </c>
      <c r="AA355" s="340" t="e">
        <f>VLOOKUP($B355,Sheet1!$C$2:$L$315,10,)</f>
        <v>#N/A</v>
      </c>
      <c r="AB355" s="347"/>
      <c r="AC355" s="347" t="b">
        <f>テーブル1[[#This Row],[要求事項一覧
判定]]=テーブル1[[#This Row],[列2]]</f>
        <v>0</v>
      </c>
    </row>
    <row r="356" spans="1:29" ht="116">
      <c r="A356" s="1" t="str">
        <f>テーブル1[[#This Row],[対象部門]]&amp;テーブル1[[#This Row],[業務要件回答表からの事前回答案_v1.0.xlsxより]]</f>
        <v>固定資産管理</v>
      </c>
      <c r="B356" s="1" t="s">
        <v>1694</v>
      </c>
      <c r="D356" s="10" t="s">
        <v>1612</v>
      </c>
      <c r="E356" s="26" t="s">
        <v>1613</v>
      </c>
      <c r="F356" s="21" t="s">
        <v>1614</v>
      </c>
      <c r="G356" s="68"/>
      <c r="H356" s="44" t="s">
        <v>32</v>
      </c>
      <c r="I356" s="15"/>
      <c r="J356" s="68" t="s">
        <v>1205</v>
      </c>
      <c r="K356" s="68" t="s">
        <v>51</v>
      </c>
      <c r="L356" s="30"/>
      <c r="M356" s="30"/>
      <c r="N356" s="68" t="s">
        <v>1615</v>
      </c>
      <c r="O356" s="44" t="s">
        <v>35</v>
      </c>
      <c r="P356" s="44"/>
      <c r="Q356" s="68" t="s">
        <v>1206</v>
      </c>
      <c r="R356" s="44" t="s">
        <v>37</v>
      </c>
      <c r="S356" s="26" t="s">
        <v>1616</v>
      </c>
      <c r="T356" s="44" t="s">
        <v>39</v>
      </c>
      <c r="U356" s="91"/>
      <c r="V356" s="94"/>
      <c r="W356" s="334"/>
      <c r="X356" s="41" t="str">
        <f>テーブル1[[#This Row],[開発]]&amp;テーブル1[[#This Row],[スコープ]]</f>
        <v>不要IN</v>
      </c>
      <c r="Y356" s="41" t="str">
        <f>IF(テーブル1[[#This Row],[列1]]="不要IN","標準",IF(テーブル1[[#This Row],[列1]]="不要OUT","スコープアウト",IF(テーブル1[[#This Row],[列1]]="必要IN","アドオン",IF(テーブル1[[#This Row],[列1]]="OUT","スコープアウト",""))))</f>
        <v>標準</v>
      </c>
      <c r="Z356" s="347" t="e">
        <f>VLOOKUP($B356,Sheet1!$C$2:$L$315,9,)</f>
        <v>#N/A</v>
      </c>
      <c r="AA356" s="340" t="e">
        <f>VLOOKUP($B356,Sheet1!$C$2:$L$315,10,)</f>
        <v>#N/A</v>
      </c>
      <c r="AB356" s="347"/>
      <c r="AC356" s="347" t="b">
        <f>テーブル1[[#This Row],[要求事項一覧
判定]]=テーブル1[[#This Row],[列2]]</f>
        <v>0</v>
      </c>
    </row>
    <row r="357" spans="1:29" ht="43.5">
      <c r="A357" s="1" t="str">
        <f>テーブル1[[#This Row],[対象部門]]&amp;テーブル1[[#This Row],[業務要件回答表からの事前回答案_v1.0.xlsxより]]</f>
        <v>固定資産管理</v>
      </c>
      <c r="B357" s="1" t="s">
        <v>1694</v>
      </c>
      <c r="D357" s="10" t="s">
        <v>1617</v>
      </c>
      <c r="E357" s="54" t="s">
        <v>1618</v>
      </c>
      <c r="F357" s="21" t="s">
        <v>1619</v>
      </c>
      <c r="G357" s="68"/>
      <c r="H357" s="44" t="s">
        <v>32</v>
      </c>
      <c r="I357" s="15"/>
      <c r="J357" s="68" t="s">
        <v>1205</v>
      </c>
      <c r="K357" s="68" t="s">
        <v>51</v>
      </c>
      <c r="L357" s="30"/>
      <c r="M357" s="40" t="s">
        <v>1620</v>
      </c>
      <c r="N357" s="44"/>
      <c r="O357" s="44" t="s">
        <v>35</v>
      </c>
      <c r="P357" s="44"/>
      <c r="Q357" s="68" t="s">
        <v>1376</v>
      </c>
      <c r="R357" s="44" t="s">
        <v>37</v>
      </c>
      <c r="S357" s="26" t="s">
        <v>1621</v>
      </c>
      <c r="T357" s="44" t="s">
        <v>39</v>
      </c>
      <c r="U357" s="91"/>
      <c r="V357" s="94"/>
      <c r="W357" s="334"/>
      <c r="X357" s="41" t="str">
        <f>テーブル1[[#This Row],[開発]]&amp;テーブル1[[#This Row],[スコープ]]</f>
        <v>不要IN</v>
      </c>
      <c r="Y357" s="41" t="str">
        <f>IF(テーブル1[[#This Row],[列1]]="不要IN","標準",IF(テーブル1[[#This Row],[列1]]="不要OUT","スコープアウト",IF(テーブル1[[#This Row],[列1]]="必要IN","アドオン",IF(テーブル1[[#This Row],[列1]]="OUT","スコープアウト",""))))</f>
        <v>標準</v>
      </c>
      <c r="Z357" s="347" t="e">
        <f>VLOOKUP($B357,Sheet1!$C$2:$L$315,9,)</f>
        <v>#N/A</v>
      </c>
      <c r="AA357" s="340" t="e">
        <f>VLOOKUP($B357,Sheet1!$C$2:$L$315,10,)</f>
        <v>#N/A</v>
      </c>
      <c r="AB357" s="347"/>
      <c r="AC357" s="347" t="b">
        <f>テーブル1[[#This Row],[要求事項一覧
判定]]=テーブル1[[#This Row],[列2]]</f>
        <v>0</v>
      </c>
    </row>
    <row r="358" spans="1:29" ht="43.5">
      <c r="A358" s="1" t="str">
        <f>テーブル1[[#This Row],[対象部門]]&amp;テーブル1[[#This Row],[業務要件回答表からの事前回答案_v1.0.xlsxより]]</f>
        <v>債務管理-</v>
      </c>
      <c r="B358" s="1" t="s">
        <v>3179</v>
      </c>
      <c r="D358" s="10" t="s">
        <v>1622</v>
      </c>
      <c r="E358" s="26" t="s">
        <v>1623</v>
      </c>
      <c r="F358" s="21" t="s">
        <v>1624</v>
      </c>
      <c r="G358" s="68" t="s">
        <v>445</v>
      </c>
      <c r="H358" s="44" t="s">
        <v>32</v>
      </c>
      <c r="I358" s="15"/>
      <c r="J358" s="68" t="s">
        <v>576</v>
      </c>
      <c r="K358" s="68" t="s">
        <v>51</v>
      </c>
      <c r="L358" s="30" t="s">
        <v>1625</v>
      </c>
      <c r="M358" s="30"/>
      <c r="N358" s="44" t="s">
        <v>445</v>
      </c>
      <c r="O358" s="44" t="s">
        <v>35</v>
      </c>
      <c r="P358" s="44" t="s">
        <v>577</v>
      </c>
      <c r="Q358" s="44"/>
      <c r="R358" s="44" t="s">
        <v>37</v>
      </c>
      <c r="S358" s="26" t="s">
        <v>1835</v>
      </c>
      <c r="T358" s="44" t="s">
        <v>39</v>
      </c>
      <c r="U358" s="91"/>
      <c r="V358" s="95"/>
      <c r="W358" s="336"/>
      <c r="X358" s="341" t="str">
        <f>テーブル1[[#This Row],[開発]]&amp;テーブル1[[#This Row],[スコープ]]</f>
        <v>不要IN</v>
      </c>
      <c r="Y358" s="41" t="str">
        <f>IF(テーブル1[[#This Row],[列1]]="不要IN","標準",IF(テーブル1[[#This Row],[列1]]="不要OUT","スコープアウト",IF(テーブル1[[#This Row],[列1]]="必要IN","アドオン",IF(テーブル1[[#This Row],[列1]]="OUT","スコープアウト",""))))</f>
        <v>標準</v>
      </c>
      <c r="Z358" s="347" t="e">
        <f>VLOOKUP($B358,Sheet1!$C$2:$L$315,9,)</f>
        <v>#N/A</v>
      </c>
      <c r="AA358" s="340" t="e">
        <f>VLOOKUP($B358,Sheet1!$C$2:$L$315,10,)</f>
        <v>#N/A</v>
      </c>
      <c r="AB358" s="347"/>
      <c r="AC358" s="347" t="b">
        <f>テーブル1[[#This Row],[要求事項一覧
判定]]=テーブル1[[#This Row],[列2]]</f>
        <v>0</v>
      </c>
    </row>
    <row r="359" spans="1:29" ht="290">
      <c r="A359" s="1" t="str">
        <f>テーブル1[[#This Row],[対象部門]]&amp;テーブル1[[#This Row],[業務要件回答表からの事前回答案_v1.0.xlsxより]]</f>
        <v>債務管理-</v>
      </c>
      <c r="B359" s="1" t="s">
        <v>3179</v>
      </c>
      <c r="D359" s="10" t="s">
        <v>1626</v>
      </c>
      <c r="E359" s="26" t="s">
        <v>1837</v>
      </c>
      <c r="F359" s="21"/>
      <c r="G359" s="68" t="s">
        <v>445</v>
      </c>
      <c r="H359" s="44" t="s">
        <v>32</v>
      </c>
      <c r="I359" s="15"/>
      <c r="J359" s="68" t="s">
        <v>576</v>
      </c>
      <c r="K359" s="68" t="s">
        <v>51</v>
      </c>
      <c r="L359" s="40" t="s">
        <v>1627</v>
      </c>
      <c r="M359" s="30"/>
      <c r="N359" s="44">
        <v>326</v>
      </c>
      <c r="O359" s="44" t="s">
        <v>35</v>
      </c>
      <c r="P359" s="44" t="s">
        <v>577</v>
      </c>
      <c r="Q359" s="44"/>
      <c r="R359" s="44" t="s">
        <v>54</v>
      </c>
      <c r="S359" s="26" t="s">
        <v>1836</v>
      </c>
      <c r="T359" s="44" t="s">
        <v>39</v>
      </c>
      <c r="U359" s="91"/>
      <c r="V359" s="94"/>
      <c r="W359" s="334"/>
      <c r="X359" s="41" t="str">
        <f>テーブル1[[#This Row],[開発]]&amp;テーブル1[[#This Row],[スコープ]]</f>
        <v>必要IN</v>
      </c>
      <c r="Y359" s="41" t="str">
        <f>IF(テーブル1[[#This Row],[列1]]="不要IN","標準",IF(テーブル1[[#This Row],[列1]]="不要OUT","スコープアウト",IF(テーブル1[[#This Row],[列1]]="必要IN","アドオン",IF(テーブル1[[#This Row],[列1]]="OUT","スコープアウト",""))))</f>
        <v>アドオン</v>
      </c>
      <c r="Z359" s="347" t="e">
        <f>VLOOKUP($B359,Sheet1!$C$2:$L$315,9,)</f>
        <v>#N/A</v>
      </c>
      <c r="AA359" s="340" t="e">
        <f>VLOOKUP($B359,Sheet1!$C$2:$L$315,10,)</f>
        <v>#N/A</v>
      </c>
      <c r="AB359" s="347"/>
      <c r="AC359" s="347" t="b">
        <f>テーブル1[[#This Row],[要求事項一覧
判定]]=テーブル1[[#This Row],[列2]]</f>
        <v>0</v>
      </c>
    </row>
    <row r="360" spans="1:29" ht="290">
      <c r="A360" s="1" t="str">
        <f>テーブル1[[#This Row],[対象部門]]&amp;テーブル1[[#This Row],[業務要件回答表からの事前回答案_v1.0.xlsxより]]</f>
        <v>債務管理-</v>
      </c>
      <c r="B360" s="1" t="s">
        <v>3179</v>
      </c>
      <c r="D360" s="10" t="s">
        <v>621</v>
      </c>
      <c r="E360" s="26" t="s">
        <v>1628</v>
      </c>
      <c r="F360" s="21"/>
      <c r="G360" s="68" t="s">
        <v>445</v>
      </c>
      <c r="H360" s="44" t="s">
        <v>32</v>
      </c>
      <c r="I360" s="15"/>
      <c r="J360" s="68" t="s">
        <v>576</v>
      </c>
      <c r="K360" s="68" t="s">
        <v>51</v>
      </c>
      <c r="L360" s="40" t="s">
        <v>1629</v>
      </c>
      <c r="M360" s="30" t="s">
        <v>1630</v>
      </c>
      <c r="N360" s="44" t="s">
        <v>1631</v>
      </c>
      <c r="O360" s="44" t="s">
        <v>35</v>
      </c>
      <c r="P360" s="44" t="s">
        <v>577</v>
      </c>
      <c r="Q360" s="44"/>
      <c r="R360" s="44" t="s">
        <v>37</v>
      </c>
      <c r="S360" s="26" t="s">
        <v>1632</v>
      </c>
      <c r="T360" s="44" t="s">
        <v>39</v>
      </c>
      <c r="U360" s="91"/>
      <c r="V360" s="94"/>
      <c r="W360" s="334"/>
      <c r="X360" s="41" t="str">
        <f>テーブル1[[#This Row],[開発]]&amp;テーブル1[[#This Row],[スコープ]]</f>
        <v>不要IN</v>
      </c>
      <c r="Y360" s="41" t="str">
        <f>IF(テーブル1[[#This Row],[列1]]="不要IN","標準",IF(テーブル1[[#This Row],[列1]]="不要OUT","スコープアウト",IF(テーブル1[[#This Row],[列1]]="必要IN","アドオン",IF(テーブル1[[#This Row],[列1]]="OUT","スコープアウト",""))))</f>
        <v>標準</v>
      </c>
      <c r="Z360" s="347" t="e">
        <f>VLOOKUP($B360,Sheet1!$C$2:$L$315,9,)</f>
        <v>#N/A</v>
      </c>
      <c r="AA360" s="340" t="e">
        <f>VLOOKUP($B360,Sheet1!$C$2:$L$315,10,)</f>
        <v>#N/A</v>
      </c>
      <c r="AB360" s="347"/>
      <c r="AC360" s="347" t="b">
        <f>テーブル1[[#This Row],[要求事項一覧
判定]]=テーブル1[[#This Row],[列2]]</f>
        <v>0</v>
      </c>
    </row>
    <row r="361" spans="1:29" ht="145">
      <c r="A361" s="1" t="str">
        <f>テーブル1[[#This Row],[対象部門]]&amp;テーブル1[[#This Row],[業務要件回答表からの事前回答案_v1.0.xlsxより]]</f>
        <v>債務管理-</v>
      </c>
      <c r="B361" s="1" t="s">
        <v>3179</v>
      </c>
      <c r="D361" s="10" t="s">
        <v>1633</v>
      </c>
      <c r="E361" s="26" t="s">
        <v>1634</v>
      </c>
      <c r="F361" s="21"/>
      <c r="G361" s="68" t="s">
        <v>445</v>
      </c>
      <c r="H361" s="44" t="s">
        <v>32</v>
      </c>
      <c r="I361" s="15"/>
      <c r="J361" s="68" t="s">
        <v>576</v>
      </c>
      <c r="K361" s="68" t="s">
        <v>51</v>
      </c>
      <c r="L361" s="40" t="s">
        <v>1635</v>
      </c>
      <c r="M361" s="30" t="s">
        <v>1636</v>
      </c>
      <c r="N361" s="44">
        <v>327</v>
      </c>
      <c r="O361" s="44" t="s">
        <v>35</v>
      </c>
      <c r="P361" s="44" t="s">
        <v>577</v>
      </c>
      <c r="Q361" s="44"/>
      <c r="R361" s="44" t="s">
        <v>54</v>
      </c>
      <c r="S361" s="26" t="s">
        <v>1637</v>
      </c>
      <c r="T361" s="44" t="s">
        <v>39</v>
      </c>
      <c r="U361" s="91"/>
      <c r="V361" s="95" t="s">
        <v>56</v>
      </c>
      <c r="W361" s="337" t="s">
        <v>1638</v>
      </c>
      <c r="X361" s="341" t="str">
        <f>テーブル1[[#This Row],[開発]]&amp;テーブル1[[#This Row],[スコープ]]</f>
        <v>必要IN</v>
      </c>
      <c r="Y361" s="41" t="str">
        <f>IF(テーブル1[[#This Row],[列1]]="不要IN","標準",IF(テーブル1[[#This Row],[列1]]="不要OUT","スコープアウト",IF(テーブル1[[#This Row],[列1]]="必要IN","アドオン",IF(テーブル1[[#This Row],[列1]]="OUT","スコープアウト",""))))</f>
        <v>アドオン</v>
      </c>
      <c r="Z361" s="347" t="e">
        <f>VLOOKUP($B361,Sheet1!$C$2:$L$315,9,)</f>
        <v>#N/A</v>
      </c>
      <c r="AA361" s="340" t="e">
        <f>VLOOKUP($B361,Sheet1!$C$2:$L$315,10,)</f>
        <v>#N/A</v>
      </c>
      <c r="AB361" s="347"/>
      <c r="AC361" s="347" t="b">
        <f>テーブル1[[#This Row],[要求事項一覧
判定]]=テーブル1[[#This Row],[列2]]</f>
        <v>0</v>
      </c>
    </row>
    <row r="362" spans="1:29" ht="72.5">
      <c r="A362" s="1" t="str">
        <f>テーブル1[[#This Row],[対象部門]]&amp;テーブル1[[#This Row],[業務要件回答表からの事前回答案_v1.0.xlsxより]]</f>
        <v>債務管理</v>
      </c>
      <c r="B362" s="1" t="s">
        <v>2862</v>
      </c>
      <c r="D362" s="10" t="s">
        <v>1639</v>
      </c>
      <c r="E362" s="26" t="s">
        <v>1640</v>
      </c>
      <c r="F362" s="21" t="s">
        <v>1641</v>
      </c>
      <c r="G362" s="68"/>
      <c r="H362" s="44" t="s">
        <v>32</v>
      </c>
      <c r="I362" s="15"/>
      <c r="J362" s="68" t="s">
        <v>576</v>
      </c>
      <c r="K362" s="68" t="s">
        <v>51</v>
      </c>
      <c r="L362" s="30" t="s">
        <v>1642</v>
      </c>
      <c r="M362" s="30" t="s">
        <v>1643</v>
      </c>
      <c r="N362" s="44"/>
      <c r="O362" s="44"/>
      <c r="P362" s="44" t="s">
        <v>577</v>
      </c>
      <c r="Q362" s="44"/>
      <c r="R362" s="44"/>
      <c r="S362" s="26"/>
      <c r="T362" s="44" t="s">
        <v>91</v>
      </c>
      <c r="U362" s="91"/>
      <c r="V362" s="94"/>
      <c r="W362" s="334"/>
      <c r="X362" s="41" t="str">
        <f>テーブル1[[#This Row],[開発]]&amp;テーブル1[[#This Row],[スコープ]]</f>
        <v>OUT</v>
      </c>
      <c r="Y362" s="41" t="str">
        <f>IF(テーブル1[[#This Row],[列1]]="不要IN","標準",IF(テーブル1[[#This Row],[列1]]="不要OUT","スコープアウト",IF(テーブル1[[#This Row],[列1]]="必要IN","アドオン",IF(テーブル1[[#This Row],[列1]]="OUT","スコープアウト",""))))</f>
        <v>スコープアウト</v>
      </c>
      <c r="Z362" s="347" t="e">
        <f>VLOOKUP($B362,Sheet1!$C$2:$L$315,9,)</f>
        <v>#N/A</v>
      </c>
      <c r="AA362" s="340" t="e">
        <f>VLOOKUP($B362,Sheet1!$C$2:$L$315,10,)</f>
        <v>#N/A</v>
      </c>
      <c r="AB362" s="347"/>
      <c r="AC362" s="347" t="b">
        <f>テーブル1[[#This Row],[要求事項一覧
判定]]=テーブル1[[#This Row],[列2]]</f>
        <v>0</v>
      </c>
    </row>
    <row r="363" spans="1:29" ht="43.5">
      <c r="A363" s="1" t="str">
        <f>テーブル1[[#This Row],[対象部門]]&amp;テーブル1[[#This Row],[業務要件回答表からの事前回答案_v1.0.xlsxより]]</f>
        <v>固定資産管理</v>
      </c>
      <c r="B363" s="1" t="s">
        <v>1694</v>
      </c>
      <c r="D363" s="10" t="s">
        <v>1644</v>
      </c>
      <c r="E363" s="26" t="s">
        <v>1645</v>
      </c>
      <c r="F363" s="21" t="s">
        <v>1646</v>
      </c>
      <c r="G363" s="68"/>
      <c r="H363" s="44" t="s">
        <v>32</v>
      </c>
      <c r="I363" s="15"/>
      <c r="J363" s="68" t="s">
        <v>1205</v>
      </c>
      <c r="K363" s="68" t="s">
        <v>51</v>
      </c>
      <c r="L363" s="30"/>
      <c r="M363" s="30"/>
      <c r="N363" s="44"/>
      <c r="O363" s="44" t="s">
        <v>35</v>
      </c>
      <c r="P363" s="44"/>
      <c r="Q363" s="68" t="s">
        <v>1206</v>
      </c>
      <c r="R363" s="44" t="s">
        <v>37</v>
      </c>
      <c r="S363" s="26" t="s">
        <v>1647</v>
      </c>
      <c r="T363" s="44" t="s">
        <v>39</v>
      </c>
      <c r="U363" s="91"/>
      <c r="V363" s="95" t="s">
        <v>161</v>
      </c>
      <c r="W363" s="336" t="s">
        <v>1648</v>
      </c>
      <c r="X363" s="341" t="str">
        <f>テーブル1[[#This Row],[開発]]&amp;テーブル1[[#This Row],[スコープ]]</f>
        <v>不要IN</v>
      </c>
      <c r="Y363" s="41" t="str">
        <f>IF(テーブル1[[#This Row],[列1]]="不要IN","標準",IF(テーブル1[[#This Row],[列1]]="不要OUT","スコープアウト",IF(テーブル1[[#This Row],[列1]]="必要IN","アドオン",IF(テーブル1[[#This Row],[列1]]="OUT","スコープアウト",""))))</f>
        <v>標準</v>
      </c>
      <c r="Z363" s="347" t="e">
        <f>VLOOKUP($B363,Sheet1!$C$2:$L$315,9,)</f>
        <v>#N/A</v>
      </c>
      <c r="AA363" s="340" t="e">
        <f>VLOOKUP($B363,Sheet1!$C$2:$L$315,10,)</f>
        <v>#N/A</v>
      </c>
      <c r="AB363" s="347"/>
      <c r="AC363" s="347" t="b">
        <f>テーブル1[[#This Row],[要求事項一覧
判定]]=テーブル1[[#This Row],[列2]]</f>
        <v>0</v>
      </c>
    </row>
    <row r="364" spans="1:29" ht="72.5">
      <c r="A364" s="1" t="str">
        <f>テーブル1[[#This Row],[対象部門]]&amp;テーブル1[[#This Row],[業務要件回答表からの事前回答案_v1.0.xlsxより]]</f>
        <v>債権管理-</v>
      </c>
      <c r="B364" s="1" t="s">
        <v>3196</v>
      </c>
      <c r="D364" s="10" t="s">
        <v>1649</v>
      </c>
      <c r="E364" s="54" t="s">
        <v>1650</v>
      </c>
      <c r="F364" s="21" t="s">
        <v>1651</v>
      </c>
      <c r="G364" s="68" t="s">
        <v>445</v>
      </c>
      <c r="H364" s="44"/>
      <c r="I364" s="15"/>
      <c r="J364" s="68" t="s">
        <v>398</v>
      </c>
      <c r="K364" s="68" t="s">
        <v>51</v>
      </c>
      <c r="L364" s="26" t="s">
        <v>1652</v>
      </c>
      <c r="M364" s="30"/>
      <c r="N364" s="44"/>
      <c r="O364" s="44" t="s">
        <v>35</v>
      </c>
      <c r="P364" s="44" t="s">
        <v>401</v>
      </c>
      <c r="Q364" s="44"/>
      <c r="R364" s="44" t="s">
        <v>37</v>
      </c>
      <c r="S364" s="26" t="s">
        <v>1653</v>
      </c>
      <c r="T364" s="44" t="s">
        <v>39</v>
      </c>
      <c r="U364" s="102"/>
      <c r="V364" s="94"/>
      <c r="W364" s="334"/>
      <c r="X364" s="41" t="str">
        <f>テーブル1[[#This Row],[開発]]&amp;テーブル1[[#This Row],[スコープ]]</f>
        <v>不要IN</v>
      </c>
      <c r="Y364" s="41" t="str">
        <f>IF(テーブル1[[#This Row],[列1]]="不要IN","標準",IF(テーブル1[[#This Row],[列1]]="不要OUT","スコープアウト",IF(テーブル1[[#This Row],[列1]]="必要IN","アドオン",IF(テーブル1[[#This Row],[列1]]="OUT","スコープアウト",""))))</f>
        <v>標準</v>
      </c>
      <c r="Z364" s="347" t="e">
        <f>VLOOKUP($B364,Sheet1!$C$2:$L$315,9,)</f>
        <v>#N/A</v>
      </c>
      <c r="AA364" s="340" t="e">
        <f>VLOOKUP($B364,Sheet1!$C$2:$L$315,10,)</f>
        <v>#N/A</v>
      </c>
      <c r="AB364" s="347"/>
      <c r="AC364" s="347" t="b">
        <f>テーブル1[[#This Row],[要求事項一覧
判定]]=テーブル1[[#This Row],[列2]]</f>
        <v>0</v>
      </c>
    </row>
    <row r="365" spans="1:29" ht="66.75" customHeight="1">
      <c r="A365" s="1" t="str">
        <f>テーブル1[[#This Row],[対象部門]]&amp;テーブル1[[#This Row],[業務要件回答表からの事前回答案_v1.0.xlsxより]]</f>
        <v>債権管理-</v>
      </c>
      <c r="B365" s="1" t="s">
        <v>3196</v>
      </c>
      <c r="D365" s="10" t="s">
        <v>1654</v>
      </c>
      <c r="E365" s="54" t="s">
        <v>1655</v>
      </c>
      <c r="F365" s="21" t="s">
        <v>1656</v>
      </c>
      <c r="G365" s="68" t="s">
        <v>445</v>
      </c>
      <c r="H365" s="44"/>
      <c r="I365" s="15"/>
      <c r="J365" s="68" t="s">
        <v>398</v>
      </c>
      <c r="K365" s="68" t="s">
        <v>51</v>
      </c>
      <c r="L365" s="26" t="s">
        <v>1657</v>
      </c>
      <c r="M365" s="26" t="s">
        <v>1658</v>
      </c>
      <c r="N365" s="44"/>
      <c r="O365" s="44" t="s">
        <v>35</v>
      </c>
      <c r="P365" s="44" t="s">
        <v>401</v>
      </c>
      <c r="Q365" s="44"/>
      <c r="R365" s="44" t="s">
        <v>37</v>
      </c>
      <c r="S365" s="26" t="s">
        <v>1659</v>
      </c>
      <c r="T365" s="44" t="s">
        <v>91</v>
      </c>
      <c r="U365" s="91" t="s">
        <v>1660</v>
      </c>
      <c r="V365" s="94"/>
      <c r="W365" s="334"/>
      <c r="X365" s="41" t="str">
        <f>テーブル1[[#This Row],[開発]]&amp;テーブル1[[#This Row],[スコープ]]</f>
        <v>不要OUT</v>
      </c>
      <c r="Y365" s="41" t="str">
        <f>IF(テーブル1[[#This Row],[列1]]="不要IN","標準",IF(テーブル1[[#This Row],[列1]]="不要OUT","スコープアウト",IF(テーブル1[[#This Row],[列1]]="必要IN","アドオン",IF(テーブル1[[#This Row],[列1]]="OUT","スコープアウト",""))))</f>
        <v>スコープアウト</v>
      </c>
      <c r="Z365" s="347" t="e">
        <f>VLOOKUP($B365,Sheet1!$C$2:$L$315,9,)</f>
        <v>#N/A</v>
      </c>
      <c r="AA365" s="340" t="e">
        <f>VLOOKUP($B365,Sheet1!$C$2:$L$315,10,)</f>
        <v>#N/A</v>
      </c>
      <c r="AB365" s="347"/>
      <c r="AC365" s="347" t="b">
        <f>テーブル1[[#This Row],[要求事項一覧
判定]]=テーブル1[[#This Row],[列2]]</f>
        <v>0</v>
      </c>
    </row>
    <row r="366" spans="1:29" ht="87">
      <c r="A366" s="1" t="str">
        <f>テーブル1[[#This Row],[対象部門]]&amp;テーブル1[[#This Row],[業務要件回答表からの事前回答案_v1.0.xlsxより]]</f>
        <v>債権管理-</v>
      </c>
      <c r="B366" s="1" t="s">
        <v>3196</v>
      </c>
      <c r="D366" s="10" t="s">
        <v>1661</v>
      </c>
      <c r="E366" s="26" t="s">
        <v>1662</v>
      </c>
      <c r="F366" s="21" t="s">
        <v>1656</v>
      </c>
      <c r="G366" s="68" t="s">
        <v>445</v>
      </c>
      <c r="H366" s="44"/>
      <c r="I366" s="15"/>
      <c r="J366" s="68" t="s">
        <v>398</v>
      </c>
      <c r="K366" s="68" t="s">
        <v>51</v>
      </c>
      <c r="L366" s="26" t="s">
        <v>1663</v>
      </c>
      <c r="M366" s="26" t="s">
        <v>1664</v>
      </c>
      <c r="N366" s="44"/>
      <c r="O366" s="44" t="s">
        <v>35</v>
      </c>
      <c r="P366" s="44" t="s">
        <v>401</v>
      </c>
      <c r="Q366" s="44"/>
      <c r="R366" s="44" t="s">
        <v>37</v>
      </c>
      <c r="S366" s="26"/>
      <c r="T366" s="44" t="s">
        <v>91</v>
      </c>
      <c r="U366" s="91" t="s">
        <v>1660</v>
      </c>
      <c r="V366" s="94"/>
      <c r="W366" s="334"/>
      <c r="X366" s="41" t="str">
        <f>テーブル1[[#This Row],[開発]]&amp;テーブル1[[#This Row],[スコープ]]</f>
        <v>不要OUT</v>
      </c>
      <c r="Y366" s="41" t="str">
        <f>IF(テーブル1[[#This Row],[列1]]="不要IN","標準",IF(テーブル1[[#This Row],[列1]]="不要OUT","スコープアウト",IF(テーブル1[[#This Row],[列1]]="必要IN","アドオン",IF(テーブル1[[#This Row],[列1]]="OUT","スコープアウト",""))))</f>
        <v>スコープアウト</v>
      </c>
      <c r="Z366" s="347" t="e">
        <f>VLOOKUP($B366,Sheet1!$C$2:$L$315,9,)</f>
        <v>#N/A</v>
      </c>
      <c r="AA366" s="340" t="e">
        <f>VLOOKUP($B366,Sheet1!$C$2:$L$315,10,)</f>
        <v>#N/A</v>
      </c>
      <c r="AB366" s="347"/>
      <c r="AC366" s="347" t="b">
        <f>テーブル1[[#This Row],[要求事項一覧
判定]]=テーブル1[[#This Row],[列2]]</f>
        <v>0</v>
      </c>
    </row>
    <row r="367" spans="1:29" ht="29">
      <c r="A367" s="1" t="str">
        <f>テーブル1[[#This Row],[対象部門]]&amp;テーブル1[[#This Row],[業務要件回答表からの事前回答案_v1.0.xlsxより]]</f>
        <v>債権管理-</v>
      </c>
      <c r="B367" s="1" t="s">
        <v>3196</v>
      </c>
      <c r="D367" s="10" t="s">
        <v>1665</v>
      </c>
      <c r="E367" s="26" t="s">
        <v>1666</v>
      </c>
      <c r="F367" s="21" t="s">
        <v>1667</v>
      </c>
      <c r="G367" s="68" t="s">
        <v>445</v>
      </c>
      <c r="H367" s="44"/>
      <c r="I367" s="15"/>
      <c r="J367" s="68" t="s">
        <v>398</v>
      </c>
      <c r="K367" s="68" t="s">
        <v>51</v>
      </c>
      <c r="L367" s="26" t="s">
        <v>1668</v>
      </c>
      <c r="M367" s="26" t="s">
        <v>1669</v>
      </c>
      <c r="N367" s="44"/>
      <c r="O367" s="44" t="s">
        <v>35</v>
      </c>
      <c r="P367" s="44" t="s">
        <v>401</v>
      </c>
      <c r="Q367" s="88" t="s">
        <v>1670</v>
      </c>
      <c r="R367" s="44" t="s">
        <v>37</v>
      </c>
      <c r="S367" s="26" t="s">
        <v>1671</v>
      </c>
      <c r="T367" s="44" t="s">
        <v>39</v>
      </c>
      <c r="U367" s="102"/>
      <c r="V367" s="94"/>
      <c r="W367" s="334"/>
      <c r="X367" s="41" t="str">
        <f>テーブル1[[#This Row],[開発]]&amp;テーブル1[[#This Row],[スコープ]]</f>
        <v>不要IN</v>
      </c>
      <c r="Y367" s="41" t="str">
        <f>IF(テーブル1[[#This Row],[列1]]="不要IN","標準",IF(テーブル1[[#This Row],[列1]]="不要OUT","スコープアウト",IF(テーブル1[[#This Row],[列1]]="必要IN","アドオン",IF(テーブル1[[#This Row],[列1]]="OUT","スコープアウト",""))))</f>
        <v>標準</v>
      </c>
      <c r="Z367" s="347" t="e">
        <f>VLOOKUP($B367,Sheet1!$C$2:$L$315,9,)</f>
        <v>#N/A</v>
      </c>
      <c r="AA367" s="340" t="e">
        <f>VLOOKUP($B367,Sheet1!$C$2:$L$315,10,)</f>
        <v>#N/A</v>
      </c>
      <c r="AB367" s="347"/>
      <c r="AC367" s="347" t="b">
        <f>テーブル1[[#This Row],[要求事項一覧
判定]]=テーブル1[[#This Row],[列2]]</f>
        <v>0</v>
      </c>
    </row>
    <row r="368" spans="1:29" ht="29">
      <c r="A368" s="1" t="str">
        <f>テーブル1[[#This Row],[対象部門]]&amp;テーブル1[[#This Row],[業務要件回答表からの事前回答案_v1.0.xlsxより]]</f>
        <v>債権管理-</v>
      </c>
      <c r="B368" s="1" t="s">
        <v>3196</v>
      </c>
      <c r="D368" s="10" t="s">
        <v>1672</v>
      </c>
      <c r="E368" s="26" t="s">
        <v>1673</v>
      </c>
      <c r="F368" s="21" t="s">
        <v>1667</v>
      </c>
      <c r="G368" s="68" t="s">
        <v>445</v>
      </c>
      <c r="H368" s="44"/>
      <c r="I368" s="15"/>
      <c r="J368" s="68" t="s">
        <v>398</v>
      </c>
      <c r="K368" s="68" t="s">
        <v>51</v>
      </c>
      <c r="L368" s="26" t="s">
        <v>1674</v>
      </c>
      <c r="M368" s="26" t="s">
        <v>1669</v>
      </c>
      <c r="N368" s="44"/>
      <c r="O368" s="44" t="s">
        <v>35</v>
      </c>
      <c r="P368" s="44" t="s">
        <v>401</v>
      </c>
      <c r="Q368" s="88" t="s">
        <v>1670</v>
      </c>
      <c r="R368" s="44" t="s">
        <v>37</v>
      </c>
      <c r="S368" s="26" t="s">
        <v>1671</v>
      </c>
      <c r="T368" s="44" t="s">
        <v>39</v>
      </c>
      <c r="U368" s="102"/>
      <c r="V368" s="94"/>
      <c r="W368" s="334"/>
      <c r="X368" s="41" t="str">
        <f>テーブル1[[#This Row],[開発]]&amp;テーブル1[[#This Row],[スコープ]]</f>
        <v>不要IN</v>
      </c>
      <c r="Y368" s="41" t="str">
        <f>IF(テーブル1[[#This Row],[列1]]="不要IN","標準",IF(テーブル1[[#This Row],[列1]]="不要OUT","スコープアウト",IF(テーブル1[[#This Row],[列1]]="必要IN","アドオン",IF(テーブル1[[#This Row],[列1]]="OUT","スコープアウト",""))))</f>
        <v>標準</v>
      </c>
      <c r="Z368" s="347" t="e">
        <f>VLOOKUP($B368,Sheet1!$C$2:$L$315,9,)</f>
        <v>#N/A</v>
      </c>
      <c r="AA368" s="340" t="e">
        <f>VLOOKUP($B368,Sheet1!$C$2:$L$315,10,)</f>
        <v>#N/A</v>
      </c>
      <c r="AB368" s="347"/>
      <c r="AC368" s="347" t="b">
        <f>テーブル1[[#This Row],[要求事項一覧
判定]]=テーブル1[[#This Row],[列2]]</f>
        <v>0</v>
      </c>
    </row>
    <row r="369" spans="1:29" ht="29">
      <c r="A369" s="1" t="str">
        <f>テーブル1[[#This Row],[対象部門]]&amp;テーブル1[[#This Row],[業務要件回答表からの事前回答案_v1.0.xlsxより]]</f>
        <v>債権管理-</v>
      </c>
      <c r="B369" s="1" t="s">
        <v>3196</v>
      </c>
      <c r="D369" s="10" t="s">
        <v>1675</v>
      </c>
      <c r="E369" s="26" t="s">
        <v>1676</v>
      </c>
      <c r="F369" s="21" t="s">
        <v>1667</v>
      </c>
      <c r="G369" s="68" t="s">
        <v>445</v>
      </c>
      <c r="H369" s="44"/>
      <c r="I369" s="15"/>
      <c r="J369" s="68" t="s">
        <v>398</v>
      </c>
      <c r="K369" s="68" t="s">
        <v>51</v>
      </c>
      <c r="L369" s="26" t="s">
        <v>1677</v>
      </c>
      <c r="M369" s="26" t="s">
        <v>1669</v>
      </c>
      <c r="N369" s="44"/>
      <c r="O369" s="44" t="s">
        <v>35</v>
      </c>
      <c r="P369" s="44" t="s">
        <v>401</v>
      </c>
      <c r="Q369" s="88" t="s">
        <v>1670</v>
      </c>
      <c r="R369" s="44" t="s">
        <v>37</v>
      </c>
      <c r="S369" s="26" t="s">
        <v>1671</v>
      </c>
      <c r="T369" s="44" t="s">
        <v>39</v>
      </c>
      <c r="U369" s="102"/>
      <c r="V369" s="94"/>
      <c r="W369" s="334"/>
      <c r="X369" s="41" t="str">
        <f>テーブル1[[#This Row],[開発]]&amp;テーブル1[[#This Row],[スコープ]]</f>
        <v>不要IN</v>
      </c>
      <c r="Y369" s="41" t="str">
        <f>IF(テーブル1[[#This Row],[列1]]="不要IN","標準",IF(テーブル1[[#This Row],[列1]]="不要OUT","スコープアウト",IF(テーブル1[[#This Row],[列1]]="必要IN","アドオン",IF(テーブル1[[#This Row],[列1]]="OUT","スコープアウト",""))))</f>
        <v>標準</v>
      </c>
      <c r="Z369" s="347" t="e">
        <f>VLOOKUP($B369,Sheet1!$C$2:$L$315,9,)</f>
        <v>#N/A</v>
      </c>
      <c r="AA369" s="340" t="e">
        <f>VLOOKUP($B369,Sheet1!$C$2:$L$315,10,)</f>
        <v>#N/A</v>
      </c>
      <c r="AB369" s="347"/>
      <c r="AC369" s="347" t="b">
        <f>テーブル1[[#This Row],[要求事項一覧
判定]]=テーブル1[[#This Row],[列2]]</f>
        <v>0</v>
      </c>
    </row>
    <row r="370" spans="1:29" ht="69" customHeight="1">
      <c r="A370" s="1" t="str">
        <f>テーブル1[[#This Row],[対象部門]]&amp;テーブル1[[#This Row],[業務要件回答表からの事前回答案_v1.0.xlsxより]]</f>
        <v>債権管理-</v>
      </c>
      <c r="B370" s="1" t="s">
        <v>3196</v>
      </c>
      <c r="D370" s="10" t="s">
        <v>1678</v>
      </c>
      <c r="E370" s="26" t="s">
        <v>1679</v>
      </c>
      <c r="F370" s="21" t="s">
        <v>1667</v>
      </c>
      <c r="G370" s="68" t="s">
        <v>445</v>
      </c>
      <c r="H370" s="44"/>
      <c r="I370" s="15"/>
      <c r="J370" s="68" t="s">
        <v>398</v>
      </c>
      <c r="K370" s="68" t="s">
        <v>51</v>
      </c>
      <c r="L370" s="26" t="s">
        <v>1680</v>
      </c>
      <c r="M370" s="26" t="s">
        <v>1681</v>
      </c>
      <c r="N370" s="44"/>
      <c r="O370" s="44" t="s">
        <v>35</v>
      </c>
      <c r="P370" s="44" t="s">
        <v>401</v>
      </c>
      <c r="Q370" s="44"/>
      <c r="R370" s="44" t="s">
        <v>37</v>
      </c>
      <c r="S370" s="26" t="s">
        <v>1682</v>
      </c>
      <c r="T370" s="44" t="s">
        <v>39</v>
      </c>
      <c r="U370" s="102"/>
      <c r="V370" s="94"/>
      <c r="W370" s="334"/>
      <c r="X370" s="41" t="str">
        <f>テーブル1[[#This Row],[開発]]&amp;テーブル1[[#This Row],[スコープ]]</f>
        <v>不要IN</v>
      </c>
      <c r="Y370" s="41" t="str">
        <f>IF(テーブル1[[#This Row],[列1]]="不要IN","標準",IF(テーブル1[[#This Row],[列1]]="不要OUT","スコープアウト",IF(テーブル1[[#This Row],[列1]]="必要IN","アドオン",IF(テーブル1[[#This Row],[列1]]="OUT","スコープアウト",""))))</f>
        <v>標準</v>
      </c>
      <c r="Z370" s="347" t="e">
        <f>VLOOKUP($B370,Sheet1!$C$2:$L$315,9,)</f>
        <v>#N/A</v>
      </c>
      <c r="AA370" s="340" t="e">
        <f>VLOOKUP($B370,Sheet1!$C$2:$L$315,10,)</f>
        <v>#N/A</v>
      </c>
      <c r="AB370" s="347"/>
      <c r="AC370" s="347" t="b">
        <f>テーブル1[[#This Row],[要求事項一覧
判定]]=テーブル1[[#This Row],[列2]]</f>
        <v>0</v>
      </c>
    </row>
    <row r="371" spans="1:29" ht="72.650000000000006" customHeight="1">
      <c r="A371" s="1" t="str">
        <f>テーブル1[[#This Row],[対象部門]]&amp;テーブル1[[#This Row],[業務要件回答表からの事前回答案_v1.0.xlsxより]]</f>
        <v>債権管理-</v>
      </c>
      <c r="B371" s="1" t="s">
        <v>3196</v>
      </c>
      <c r="D371" s="10" t="s">
        <v>1683</v>
      </c>
      <c r="E371" s="26" t="s">
        <v>1684</v>
      </c>
      <c r="F371" s="21" t="s">
        <v>1667</v>
      </c>
      <c r="G371" s="68" t="s">
        <v>445</v>
      </c>
      <c r="H371" s="44"/>
      <c r="I371" s="15"/>
      <c r="J371" s="68" t="s">
        <v>398</v>
      </c>
      <c r="K371" s="68" t="s">
        <v>51</v>
      </c>
      <c r="L371" s="26" t="s">
        <v>1685</v>
      </c>
      <c r="M371" s="30"/>
      <c r="N371" s="44"/>
      <c r="O371" s="44" t="s">
        <v>35</v>
      </c>
      <c r="P371" s="44" t="s">
        <v>401</v>
      </c>
      <c r="Q371" s="88" t="s">
        <v>1670</v>
      </c>
      <c r="R371" s="44" t="s">
        <v>37</v>
      </c>
      <c r="S371" s="26" t="s">
        <v>1686</v>
      </c>
      <c r="T371" s="44" t="s">
        <v>39</v>
      </c>
      <c r="U371" s="91"/>
      <c r="V371" s="94"/>
      <c r="W371" s="334"/>
      <c r="X371" s="41" t="str">
        <f>テーブル1[[#This Row],[開発]]&amp;テーブル1[[#This Row],[スコープ]]</f>
        <v>不要IN</v>
      </c>
      <c r="Y371" s="41" t="str">
        <f>IF(テーブル1[[#This Row],[列1]]="不要IN","標準",IF(テーブル1[[#This Row],[列1]]="不要OUT","スコープアウト",IF(テーブル1[[#This Row],[列1]]="必要IN","アドオン",IF(テーブル1[[#This Row],[列1]]="OUT","スコープアウト",""))))</f>
        <v>標準</v>
      </c>
      <c r="Z371" s="347" t="e">
        <f>VLOOKUP($B371,Sheet1!$C$2:$L$315,9,)</f>
        <v>#N/A</v>
      </c>
      <c r="AA371" s="340" t="e">
        <f>VLOOKUP($B371,Sheet1!$C$2:$L$315,10,)</f>
        <v>#N/A</v>
      </c>
      <c r="AB371" s="347"/>
      <c r="AC371" s="347" t="b">
        <f>テーブル1[[#This Row],[要求事項一覧
判定]]=テーブル1[[#This Row],[列2]]</f>
        <v>0</v>
      </c>
    </row>
    <row r="372" spans="1:29" ht="43.5">
      <c r="A372" s="1" t="str">
        <f>テーブル1[[#This Row],[対象部門]]&amp;テーブル1[[#This Row],[業務要件回答表からの事前回答案_v1.0.xlsxより]]</f>
        <v>債務管理-</v>
      </c>
      <c r="B372" s="1" t="s">
        <v>3179</v>
      </c>
      <c r="D372" s="4" t="s">
        <v>1687</v>
      </c>
      <c r="E372" s="26" t="s">
        <v>1688</v>
      </c>
      <c r="F372" s="21" t="s">
        <v>1689</v>
      </c>
      <c r="G372" s="68" t="s">
        <v>445</v>
      </c>
      <c r="H372" s="44"/>
      <c r="I372" s="15"/>
      <c r="J372" s="68" t="s">
        <v>576</v>
      </c>
      <c r="K372" s="68" t="s">
        <v>51</v>
      </c>
      <c r="L372" s="30"/>
      <c r="M372" s="30"/>
      <c r="N372" s="44">
        <v>138</v>
      </c>
      <c r="O372" s="44" t="s">
        <v>35</v>
      </c>
      <c r="P372" s="44" t="s">
        <v>577</v>
      </c>
      <c r="Q372" s="68" t="s">
        <v>677</v>
      </c>
      <c r="R372" s="44" t="s">
        <v>54</v>
      </c>
      <c r="S372" s="26" t="s">
        <v>1690</v>
      </c>
      <c r="T372" s="44" t="s">
        <v>39</v>
      </c>
      <c r="U372" s="91"/>
      <c r="V372" s="95" t="s">
        <v>56</v>
      </c>
      <c r="W372" s="336" t="s">
        <v>679</v>
      </c>
      <c r="X372" s="341" t="str">
        <f>テーブル1[[#This Row],[開発]]&amp;テーブル1[[#This Row],[スコープ]]</f>
        <v>必要IN</v>
      </c>
      <c r="Y372" s="41" t="str">
        <f>IF(テーブル1[[#This Row],[列1]]="不要IN","標準",IF(テーブル1[[#This Row],[列1]]="不要OUT","スコープアウト",IF(テーブル1[[#This Row],[列1]]="必要IN","アドオン",IF(テーブル1[[#This Row],[列1]]="OUT","スコープアウト",""))))</f>
        <v>アドオン</v>
      </c>
      <c r="Z372" s="347" t="e">
        <f>VLOOKUP($B372,Sheet1!$C$2:$L$315,9,)</f>
        <v>#N/A</v>
      </c>
      <c r="AA372" s="340" t="e">
        <f>VLOOKUP($B372,Sheet1!$C$2:$L$315,10,)</f>
        <v>#N/A</v>
      </c>
      <c r="AB372" s="347"/>
      <c r="AC372" s="347" t="b">
        <f>テーブル1[[#This Row],[要求事項一覧
判定]]=テーブル1[[#This Row],[列2]]</f>
        <v>0</v>
      </c>
    </row>
    <row r="373" spans="1:29" ht="43.5">
      <c r="A373" s="1" t="str">
        <f>テーブル1[[#This Row],[対象部門]]&amp;テーブル1[[#This Row],[業務要件回答表からの事前回答案_v1.0.xlsxより]]</f>
        <v>固定資産管理</v>
      </c>
      <c r="B373" s="1" t="s">
        <v>1694</v>
      </c>
      <c r="D373" s="10" t="s">
        <v>1691</v>
      </c>
      <c r="E373" s="26" t="s">
        <v>1692</v>
      </c>
      <c r="F373" s="84" t="s">
        <v>1693</v>
      </c>
      <c r="G373" s="68"/>
      <c r="H373" s="44"/>
      <c r="I373" s="15"/>
      <c r="J373" s="68" t="s">
        <v>1694</v>
      </c>
      <c r="K373" s="68" t="s">
        <v>51</v>
      </c>
      <c r="L373" s="30"/>
      <c r="M373" s="30"/>
      <c r="N373" s="44"/>
      <c r="O373" s="44" t="s">
        <v>35</v>
      </c>
      <c r="P373" s="44"/>
      <c r="Q373" s="68" t="s">
        <v>1206</v>
      </c>
      <c r="R373" s="44" t="s">
        <v>37</v>
      </c>
      <c r="S373" s="26"/>
      <c r="T373" s="44" t="s">
        <v>91</v>
      </c>
      <c r="U373" s="91"/>
      <c r="V373" s="94"/>
      <c r="W373" s="334"/>
      <c r="X373" s="41" t="str">
        <f>テーブル1[[#This Row],[開発]]&amp;テーブル1[[#This Row],[スコープ]]</f>
        <v>不要OUT</v>
      </c>
      <c r="Y373" s="41" t="str">
        <f>IF(テーブル1[[#This Row],[列1]]="不要IN","標準",IF(テーブル1[[#This Row],[列1]]="不要OUT","スコープアウト",IF(テーブル1[[#This Row],[列1]]="必要IN","アドオン",IF(テーブル1[[#This Row],[列1]]="OUT","スコープアウト",""))))</f>
        <v>スコープアウト</v>
      </c>
      <c r="Z373" s="347" t="e">
        <f>VLOOKUP($B373,Sheet1!$C$2:$L$315,9,)</f>
        <v>#N/A</v>
      </c>
      <c r="AA373" s="340" t="e">
        <f>VLOOKUP($B373,Sheet1!$C$2:$L$315,10,)</f>
        <v>#N/A</v>
      </c>
      <c r="AB373" s="347"/>
      <c r="AC373" s="347" t="b">
        <f>テーブル1[[#This Row],[要求事項一覧
判定]]=テーブル1[[#This Row],[列2]]</f>
        <v>0</v>
      </c>
    </row>
    <row r="374" spans="1:29" ht="101.5">
      <c r="A374" s="1" t="str">
        <f>テーブル1[[#This Row],[対象部門]]&amp;テーブル1[[#This Row],[業務要件回答表からの事前回答案_v1.0.xlsxより]]</f>
        <v>予算-</v>
      </c>
      <c r="B374" s="1" t="s">
        <v>3197</v>
      </c>
      <c r="D374" s="104" t="s">
        <v>1695</v>
      </c>
      <c r="E374" s="54" t="s">
        <v>1696</v>
      </c>
      <c r="F374" s="21" t="s">
        <v>1697</v>
      </c>
      <c r="G374" s="68" t="s">
        <v>445</v>
      </c>
      <c r="H374" s="44"/>
      <c r="I374" s="15"/>
      <c r="J374" s="68" t="s">
        <v>1698</v>
      </c>
      <c r="K374" s="68" t="s">
        <v>1549</v>
      </c>
      <c r="L374" s="30" t="s">
        <v>1846</v>
      </c>
      <c r="M374" s="26" t="s">
        <v>1847</v>
      </c>
      <c r="N374" s="44"/>
      <c r="O374" s="44" t="s">
        <v>35</v>
      </c>
      <c r="P374" s="44" t="s">
        <v>1698</v>
      </c>
      <c r="Q374" s="44" t="s">
        <v>1552</v>
      </c>
      <c r="R374" s="44" t="s">
        <v>37</v>
      </c>
      <c r="S374" s="26" t="s">
        <v>1699</v>
      </c>
      <c r="T374" s="44" t="s">
        <v>91</v>
      </c>
      <c r="U374" s="91"/>
      <c r="V374" s="95" t="s">
        <v>161</v>
      </c>
      <c r="W374" s="336" t="s">
        <v>162</v>
      </c>
      <c r="X374" s="341" t="str">
        <f>テーブル1[[#This Row],[開発]]&amp;テーブル1[[#This Row],[スコープ]]</f>
        <v>不要OUT</v>
      </c>
      <c r="Y374" s="41" t="str">
        <f>IF(テーブル1[[#This Row],[列1]]="不要IN","標準",IF(テーブル1[[#This Row],[列1]]="不要OUT","スコープアウト",IF(テーブル1[[#This Row],[列1]]="必要IN","アドオン",IF(テーブル1[[#This Row],[列1]]="OUT","スコープアウト",""))))</f>
        <v>スコープアウト</v>
      </c>
      <c r="Z374" s="347" t="e">
        <f>VLOOKUP($B374,Sheet1!$C$2:$L$315,9,)</f>
        <v>#N/A</v>
      </c>
      <c r="AA374" s="340" t="e">
        <f>VLOOKUP($B374,Sheet1!$C$2:$L$315,10,)</f>
        <v>#N/A</v>
      </c>
      <c r="AB374" s="347"/>
      <c r="AC374" s="347" t="b">
        <f>テーブル1[[#This Row],[要求事項一覧
判定]]=テーブル1[[#This Row],[列2]]</f>
        <v>0</v>
      </c>
    </row>
    <row r="375" spans="1:29" ht="87">
      <c r="A375" s="1" t="str">
        <f>テーブル1[[#This Row],[対象部門]]&amp;テーブル1[[#This Row],[業務要件回答表からの事前回答案_v1.0.xlsxより]]</f>
        <v>債務管理-</v>
      </c>
      <c r="B375" s="1" t="s">
        <v>3179</v>
      </c>
      <c r="D375" s="10" t="s">
        <v>1700</v>
      </c>
      <c r="E375" s="26" t="s">
        <v>1701</v>
      </c>
      <c r="F375" s="21"/>
      <c r="G375" s="68" t="s">
        <v>445</v>
      </c>
      <c r="H375" s="44"/>
      <c r="I375" s="15"/>
      <c r="J375" s="68" t="s">
        <v>576</v>
      </c>
      <c r="K375" s="68" t="s">
        <v>51</v>
      </c>
      <c r="L375" s="30" t="s">
        <v>1702</v>
      </c>
      <c r="M375" s="30"/>
      <c r="N375" s="44"/>
      <c r="O375" s="44" t="s">
        <v>35</v>
      </c>
      <c r="P375" s="44" t="s">
        <v>577</v>
      </c>
      <c r="Q375" s="68" t="s">
        <v>1497</v>
      </c>
      <c r="R375" s="44" t="s">
        <v>54</v>
      </c>
      <c r="S375" s="26" t="s">
        <v>1703</v>
      </c>
      <c r="T375" s="44" t="s">
        <v>39</v>
      </c>
      <c r="U375" s="91"/>
      <c r="V375" s="95" t="s">
        <v>56</v>
      </c>
      <c r="W375" s="336" t="s">
        <v>1704</v>
      </c>
      <c r="X375" s="341" t="str">
        <f>テーブル1[[#This Row],[開発]]&amp;テーブル1[[#This Row],[スコープ]]</f>
        <v>必要IN</v>
      </c>
      <c r="Y375" s="41" t="str">
        <f>IF(テーブル1[[#This Row],[列1]]="不要IN","標準",IF(テーブル1[[#This Row],[列1]]="不要OUT","スコープアウト",IF(テーブル1[[#This Row],[列1]]="必要IN","アドオン",IF(テーブル1[[#This Row],[列1]]="OUT","スコープアウト",""))))</f>
        <v>アドオン</v>
      </c>
      <c r="Z375" s="347" t="e">
        <f>VLOOKUP($B375,Sheet1!$C$2:$L$315,9,)</f>
        <v>#N/A</v>
      </c>
      <c r="AA375" s="340" t="e">
        <f>VLOOKUP($B375,Sheet1!$C$2:$L$315,10,)</f>
        <v>#N/A</v>
      </c>
      <c r="AB375" s="347"/>
      <c r="AC375" s="347" t="b">
        <f>テーブル1[[#This Row],[要求事項一覧
判定]]=テーブル1[[#This Row],[列2]]</f>
        <v>0</v>
      </c>
    </row>
    <row r="376" spans="1:29" ht="87">
      <c r="A376" s="1" t="str">
        <f>テーブル1[[#This Row],[対象部門]]&amp;テーブル1[[#This Row],[業務要件回答表からの事前回答案_v1.0.xlsxより]]</f>
        <v>債務管理-</v>
      </c>
      <c r="B376" s="1" t="s">
        <v>3179</v>
      </c>
      <c r="D376" s="10" t="s">
        <v>1705</v>
      </c>
      <c r="E376" s="26" t="s">
        <v>1706</v>
      </c>
      <c r="F376" s="21"/>
      <c r="G376" s="68" t="s">
        <v>445</v>
      </c>
      <c r="H376" s="44"/>
      <c r="I376" s="15"/>
      <c r="J376" s="68" t="s">
        <v>576</v>
      </c>
      <c r="K376" s="68" t="s">
        <v>51</v>
      </c>
      <c r="L376" s="30" t="s">
        <v>1707</v>
      </c>
      <c r="M376" s="30"/>
      <c r="N376" s="44"/>
      <c r="O376" s="44" t="s">
        <v>35</v>
      </c>
      <c r="P376" s="44" t="s">
        <v>577</v>
      </c>
      <c r="Q376" s="68" t="s">
        <v>1497</v>
      </c>
      <c r="R376" s="44" t="s">
        <v>37</v>
      </c>
      <c r="S376" s="26" t="s">
        <v>1838</v>
      </c>
      <c r="T376" s="44" t="s">
        <v>39</v>
      </c>
      <c r="U376" s="91"/>
      <c r="V376" s="95"/>
      <c r="W376" s="336"/>
      <c r="X376" s="341" t="str">
        <f>テーブル1[[#This Row],[開発]]&amp;テーブル1[[#This Row],[スコープ]]</f>
        <v>不要IN</v>
      </c>
      <c r="Y376" s="41" t="str">
        <f>IF(テーブル1[[#This Row],[列1]]="不要IN","標準",IF(テーブル1[[#This Row],[列1]]="不要OUT","スコープアウト",IF(テーブル1[[#This Row],[列1]]="必要IN","アドオン",IF(テーブル1[[#This Row],[列1]]="OUT","スコープアウト",""))))</f>
        <v>標準</v>
      </c>
      <c r="Z376" s="347" t="e">
        <f>VLOOKUP($B376,Sheet1!$C$2:$L$315,9,)</f>
        <v>#N/A</v>
      </c>
      <c r="AA376" s="340" t="e">
        <f>VLOOKUP($B376,Sheet1!$C$2:$L$315,10,)</f>
        <v>#N/A</v>
      </c>
      <c r="AB376" s="347"/>
      <c r="AC376" s="347" t="b">
        <f>テーブル1[[#This Row],[要求事項一覧
判定]]=テーブル1[[#This Row],[列2]]</f>
        <v>0</v>
      </c>
    </row>
    <row r="377" spans="1:29" ht="43.5">
      <c r="A377" s="1" t="str">
        <f>テーブル1[[#This Row],[対象部門]]&amp;テーブル1[[#This Row],[業務要件回答表からの事前回答案_v1.0.xlsxより]]</f>
        <v>債務管理-</v>
      </c>
      <c r="B377" s="1" t="s">
        <v>3179</v>
      </c>
      <c r="D377" s="10" t="s">
        <v>1708</v>
      </c>
      <c r="E377" s="26" t="s">
        <v>1709</v>
      </c>
      <c r="F377" s="21"/>
      <c r="G377" s="68" t="s">
        <v>445</v>
      </c>
      <c r="H377" s="44"/>
      <c r="I377" s="15"/>
      <c r="J377" s="68" t="s">
        <v>576</v>
      </c>
      <c r="K377" s="68" t="s">
        <v>51</v>
      </c>
      <c r="L377" s="30" t="s">
        <v>1710</v>
      </c>
      <c r="M377" s="30"/>
      <c r="N377" s="44"/>
      <c r="O377" s="44" t="s">
        <v>35</v>
      </c>
      <c r="P377" s="44" t="s">
        <v>577</v>
      </c>
      <c r="Q377" s="68" t="s">
        <v>1711</v>
      </c>
      <c r="R377" s="44" t="s">
        <v>54</v>
      </c>
      <c r="S377" s="26" t="s">
        <v>1712</v>
      </c>
      <c r="T377" s="44" t="s">
        <v>39</v>
      </c>
      <c r="U377" s="91"/>
      <c r="V377" s="95" t="s">
        <v>161</v>
      </c>
      <c r="W377" s="336" t="s">
        <v>1713</v>
      </c>
      <c r="X377" s="341" t="str">
        <f>テーブル1[[#This Row],[開発]]&amp;テーブル1[[#This Row],[スコープ]]</f>
        <v>必要IN</v>
      </c>
      <c r="Y377" s="41" t="str">
        <f>IF(テーブル1[[#This Row],[列1]]="不要IN","標準",IF(テーブル1[[#This Row],[列1]]="不要OUT","スコープアウト",IF(テーブル1[[#This Row],[列1]]="必要IN","アドオン",IF(テーブル1[[#This Row],[列1]]="OUT","スコープアウト",""))))</f>
        <v>アドオン</v>
      </c>
      <c r="Z377" s="347" t="e">
        <f>VLOOKUP($B377,Sheet1!$C$2:$L$315,9,)</f>
        <v>#N/A</v>
      </c>
      <c r="AA377" s="340" t="e">
        <f>VLOOKUP($B377,Sheet1!$C$2:$L$315,10,)</f>
        <v>#N/A</v>
      </c>
      <c r="AB377" s="347"/>
      <c r="AC377" s="347" t="b">
        <f>テーブル1[[#This Row],[要求事項一覧
判定]]=テーブル1[[#This Row],[列2]]</f>
        <v>0</v>
      </c>
    </row>
    <row r="378" spans="1:29" ht="58">
      <c r="A378" s="1" t="str">
        <f>テーブル1[[#This Row],[対象部門]]&amp;テーブル1[[#This Row],[業務要件回答表からの事前回答案_v1.0.xlsxより]]</f>
        <v>債権管理-</v>
      </c>
      <c r="B378" s="1" t="s">
        <v>3196</v>
      </c>
      <c r="D378" s="10" t="s">
        <v>1714</v>
      </c>
      <c r="E378" s="26" t="s">
        <v>1715</v>
      </c>
      <c r="F378" s="21" t="s">
        <v>1716</v>
      </c>
      <c r="G378" s="68" t="s">
        <v>445</v>
      </c>
      <c r="H378" s="44"/>
      <c r="I378" s="15"/>
      <c r="J378" s="68" t="s">
        <v>398</v>
      </c>
      <c r="K378" s="68" t="s">
        <v>51</v>
      </c>
      <c r="L378" s="26" t="s">
        <v>1717</v>
      </c>
      <c r="M378" s="30"/>
      <c r="N378" s="44"/>
      <c r="O378" s="44" t="s">
        <v>35</v>
      </c>
      <c r="P378" s="44" t="s">
        <v>401</v>
      </c>
      <c r="Q378" s="44"/>
      <c r="R378" s="44" t="s">
        <v>37</v>
      </c>
      <c r="S378" s="26" t="s">
        <v>1718</v>
      </c>
      <c r="T378" s="44" t="s">
        <v>91</v>
      </c>
      <c r="U378" s="91" t="s">
        <v>1660</v>
      </c>
      <c r="V378" s="94"/>
      <c r="W378" s="334"/>
      <c r="X378" s="41" t="str">
        <f>テーブル1[[#This Row],[開発]]&amp;テーブル1[[#This Row],[スコープ]]</f>
        <v>不要OUT</v>
      </c>
      <c r="Y378" s="41" t="str">
        <f>IF(テーブル1[[#This Row],[列1]]="不要IN","標準",IF(テーブル1[[#This Row],[列1]]="不要OUT","スコープアウト",IF(テーブル1[[#This Row],[列1]]="必要IN","アドオン",IF(テーブル1[[#This Row],[列1]]="OUT","スコープアウト",""))))</f>
        <v>スコープアウト</v>
      </c>
      <c r="Z378" s="347" t="e">
        <f>VLOOKUP($B378,Sheet1!$C$2:$L$315,9,)</f>
        <v>#N/A</v>
      </c>
      <c r="AA378" s="340" t="e">
        <f>VLOOKUP($B378,Sheet1!$C$2:$L$315,10,)</f>
        <v>#N/A</v>
      </c>
      <c r="AB378" s="347"/>
      <c r="AC378" s="347" t="b">
        <f>テーブル1[[#This Row],[要求事項一覧
判定]]=テーブル1[[#This Row],[列2]]</f>
        <v>0</v>
      </c>
    </row>
    <row r="379" spans="1:29" ht="43.5">
      <c r="A379" s="1" t="str">
        <f>テーブル1[[#This Row],[対象部門]]&amp;テーブル1[[#This Row],[業務要件回答表からの事前回答案_v1.0.xlsxより]]</f>
        <v>債権管理-</v>
      </c>
      <c r="B379" s="1" t="s">
        <v>3196</v>
      </c>
      <c r="D379" s="10" t="s">
        <v>1719</v>
      </c>
      <c r="E379" s="26" t="s">
        <v>1720</v>
      </c>
      <c r="F379" s="21" t="s">
        <v>1716</v>
      </c>
      <c r="G379" s="68" t="s">
        <v>445</v>
      </c>
      <c r="H379" s="44"/>
      <c r="I379" s="15"/>
      <c r="J379" s="68" t="s">
        <v>398</v>
      </c>
      <c r="K379" s="68" t="s">
        <v>51</v>
      </c>
      <c r="L379" s="26" t="s">
        <v>1721</v>
      </c>
      <c r="M379" s="30"/>
      <c r="N379" s="44"/>
      <c r="O379" s="44" t="s">
        <v>35</v>
      </c>
      <c r="P379" s="44" t="s">
        <v>401</v>
      </c>
      <c r="Q379" s="44"/>
      <c r="R379" s="44" t="s">
        <v>37</v>
      </c>
      <c r="S379" s="26" t="s">
        <v>1722</v>
      </c>
      <c r="T379" s="44" t="s">
        <v>91</v>
      </c>
      <c r="U379" s="91" t="s">
        <v>1660</v>
      </c>
      <c r="V379" s="94"/>
      <c r="W379" s="334"/>
      <c r="X379" s="41" t="str">
        <f>テーブル1[[#This Row],[開発]]&amp;テーブル1[[#This Row],[スコープ]]</f>
        <v>不要OUT</v>
      </c>
      <c r="Y379" s="41" t="str">
        <f>IF(テーブル1[[#This Row],[列1]]="不要IN","標準",IF(テーブル1[[#This Row],[列1]]="不要OUT","スコープアウト",IF(テーブル1[[#This Row],[列1]]="必要IN","アドオン",IF(テーブル1[[#This Row],[列1]]="OUT","スコープアウト",""))))</f>
        <v>スコープアウト</v>
      </c>
      <c r="Z379" s="347" t="e">
        <f>VLOOKUP($B379,Sheet1!$C$2:$L$315,9,)</f>
        <v>#N/A</v>
      </c>
      <c r="AA379" s="340" t="e">
        <f>VLOOKUP($B379,Sheet1!$C$2:$L$315,10,)</f>
        <v>#N/A</v>
      </c>
      <c r="AB379" s="347"/>
      <c r="AC379" s="347" t="b">
        <f>テーブル1[[#This Row],[要求事項一覧
判定]]=テーブル1[[#This Row],[列2]]</f>
        <v>0</v>
      </c>
    </row>
    <row r="380" spans="1:29" ht="179.5" customHeight="1">
      <c r="A380" s="1" t="str">
        <f>テーブル1[[#This Row],[対象部門]]&amp;テーブル1[[#This Row],[業務要件回答表からの事前回答案_v1.0.xlsxより]]</f>
        <v>債務管理-</v>
      </c>
      <c r="B380" s="1" t="s">
        <v>3179</v>
      </c>
      <c r="D380" s="10" t="s">
        <v>1723</v>
      </c>
      <c r="E380" s="26" t="s">
        <v>1724</v>
      </c>
      <c r="F380" s="21"/>
      <c r="G380" s="68" t="s">
        <v>445</v>
      </c>
      <c r="H380" s="44"/>
      <c r="I380" s="15"/>
      <c r="J380" s="68" t="s">
        <v>1725</v>
      </c>
      <c r="K380" s="68" t="s">
        <v>51</v>
      </c>
      <c r="L380" s="26" t="s">
        <v>1726</v>
      </c>
      <c r="M380" s="30" t="s">
        <v>1727</v>
      </c>
      <c r="N380" s="44"/>
      <c r="O380" s="44" t="s">
        <v>35</v>
      </c>
      <c r="P380" s="44" t="s">
        <v>577</v>
      </c>
      <c r="Q380" s="44" t="s">
        <v>578</v>
      </c>
      <c r="R380" s="44" t="s">
        <v>54</v>
      </c>
      <c r="S380" s="26" t="s">
        <v>1728</v>
      </c>
      <c r="T380" s="44" t="s">
        <v>39</v>
      </c>
      <c r="U380" s="91"/>
      <c r="V380" s="95" t="s">
        <v>161</v>
      </c>
      <c r="W380" s="336" t="s">
        <v>1729</v>
      </c>
      <c r="X380" s="341" t="str">
        <f>テーブル1[[#This Row],[開発]]&amp;テーブル1[[#This Row],[スコープ]]</f>
        <v>必要IN</v>
      </c>
      <c r="Y380" s="41" t="str">
        <f>IF(テーブル1[[#This Row],[列1]]="不要IN","標準",IF(テーブル1[[#This Row],[列1]]="不要OUT","スコープアウト",IF(テーブル1[[#This Row],[列1]]="必要IN","アドオン",IF(テーブル1[[#This Row],[列1]]="OUT","スコープアウト",""))))</f>
        <v>アドオン</v>
      </c>
      <c r="Z380" s="347" t="e">
        <f>VLOOKUP($B380,Sheet1!$C$2:$L$315,9,)</f>
        <v>#N/A</v>
      </c>
      <c r="AA380" s="340" t="e">
        <f>VLOOKUP($B380,Sheet1!$C$2:$L$315,10,)</f>
        <v>#N/A</v>
      </c>
      <c r="AB380" s="347"/>
      <c r="AC380" s="347" t="b">
        <f>テーブル1[[#This Row],[要求事項一覧
判定]]=テーブル1[[#This Row],[列2]]</f>
        <v>0</v>
      </c>
    </row>
    <row r="381" spans="1:29" ht="72.5">
      <c r="A381" s="1" t="str">
        <f>テーブル1[[#This Row],[対象部門]]&amp;テーブル1[[#This Row],[業務要件回答表からの事前回答案_v1.0.xlsxより]]</f>
        <v>一般会計・決算-</v>
      </c>
      <c r="B381" s="1" t="s">
        <v>3198</v>
      </c>
      <c r="D381" s="10" t="s">
        <v>1730</v>
      </c>
      <c r="E381" s="26" t="s">
        <v>1731</v>
      </c>
      <c r="F381" s="21"/>
      <c r="G381" s="68" t="s">
        <v>445</v>
      </c>
      <c r="H381" s="44"/>
      <c r="I381" s="15"/>
      <c r="J381" s="68" t="s">
        <v>1732</v>
      </c>
      <c r="K381" s="68" t="s">
        <v>51</v>
      </c>
      <c r="L381" s="30"/>
      <c r="M381" s="30"/>
      <c r="N381" s="44"/>
      <c r="O381" s="44" t="s">
        <v>35</v>
      </c>
      <c r="P381" s="44" t="s">
        <v>1732</v>
      </c>
      <c r="Q381" s="68" t="s">
        <v>1733</v>
      </c>
      <c r="R381" s="44" t="s">
        <v>54</v>
      </c>
      <c r="S381" s="26" t="s">
        <v>1734</v>
      </c>
      <c r="T381" s="44" t="s">
        <v>39</v>
      </c>
      <c r="U381" s="93" t="s">
        <v>1735</v>
      </c>
      <c r="V381" s="95" t="s">
        <v>56</v>
      </c>
      <c r="W381" s="336" t="s">
        <v>1736</v>
      </c>
      <c r="X381" s="341" t="str">
        <f>テーブル1[[#This Row],[開発]]&amp;テーブル1[[#This Row],[スコープ]]</f>
        <v>必要IN</v>
      </c>
      <c r="Y381" s="41" t="str">
        <f>IF(テーブル1[[#This Row],[列1]]="不要IN","標準",IF(テーブル1[[#This Row],[列1]]="不要OUT","スコープアウト",IF(テーブル1[[#This Row],[列1]]="必要IN","アドオン",IF(テーブル1[[#This Row],[列1]]="OUT","スコープアウト",""))))</f>
        <v>アドオン</v>
      </c>
      <c r="Z381" s="347" t="e">
        <f>VLOOKUP($B381,Sheet1!$C$2:$L$315,9,)</f>
        <v>#N/A</v>
      </c>
      <c r="AA381" s="340" t="e">
        <f>VLOOKUP($B381,Sheet1!$C$2:$L$315,10,)</f>
        <v>#N/A</v>
      </c>
      <c r="AB381" s="347"/>
      <c r="AC381" s="347" t="b">
        <f>テーブル1[[#This Row],[要求事項一覧
判定]]=テーブル1[[#This Row],[列2]]</f>
        <v>0</v>
      </c>
    </row>
    <row r="382" spans="1:29" ht="29">
      <c r="A382" s="1" t="str">
        <f>テーブル1[[#This Row],[対象部門]]&amp;テーブル1[[#This Row],[業務要件回答表からの事前回答案_v1.0.xlsxより]]</f>
        <v>一般会計・決算</v>
      </c>
      <c r="B382" s="1" t="s">
        <v>1740</v>
      </c>
      <c r="D382" s="10" t="s">
        <v>1737</v>
      </c>
      <c r="E382" s="26" t="s">
        <v>1738</v>
      </c>
      <c r="F382" s="21" t="s">
        <v>1739</v>
      </c>
      <c r="G382" s="68"/>
      <c r="H382" s="44"/>
      <c r="I382" s="15"/>
      <c r="J382" s="68" t="s">
        <v>1740</v>
      </c>
      <c r="K382" s="68" t="s">
        <v>1741</v>
      </c>
      <c r="L382" s="30"/>
      <c r="M382" s="30"/>
      <c r="N382" s="44"/>
      <c r="O382" s="44"/>
      <c r="P382" s="44"/>
      <c r="Q382" s="44"/>
      <c r="R382" s="44"/>
      <c r="S382" s="26"/>
      <c r="T382" s="44"/>
      <c r="U382" s="91"/>
      <c r="V382" s="94"/>
      <c r="W382" s="334"/>
      <c r="X382" s="41" t="str">
        <f>テーブル1[[#This Row],[開発]]&amp;テーブル1[[#This Row],[スコープ]]</f>
        <v/>
      </c>
      <c r="Y382" s="41" t="str">
        <f>IF(テーブル1[[#This Row],[列1]]="不要IN","標準",IF(テーブル1[[#This Row],[列1]]="不要OUT","スコープアウト",IF(テーブル1[[#This Row],[列1]]="必要IN","アドオン",IF(テーブル1[[#This Row],[列1]]="OUT","スコープアウト",""))))</f>
        <v/>
      </c>
      <c r="Z382" s="347" t="e">
        <f>VLOOKUP($B382,Sheet1!$C$2:$L$315,9,)</f>
        <v>#N/A</v>
      </c>
      <c r="AA382" s="340" t="e">
        <f>VLOOKUP($B382,Sheet1!$C$2:$L$315,10,)</f>
        <v>#N/A</v>
      </c>
      <c r="AB382" s="347"/>
      <c r="AC382" s="347" t="b">
        <f>テーブル1[[#This Row],[要求事項一覧
判定]]=テーブル1[[#This Row],[列2]]</f>
        <v>1</v>
      </c>
    </row>
    <row r="383" spans="1:29" ht="58">
      <c r="A383" s="1" t="str">
        <f>テーブル1[[#This Row],[対象部門]]&amp;テーブル1[[#This Row],[業務要件回答表からの事前回答案_v1.0.xlsxより]]</f>
        <v>固定資産管理</v>
      </c>
      <c r="B383" s="1" t="s">
        <v>1694</v>
      </c>
      <c r="D383" s="10" t="s">
        <v>1742</v>
      </c>
      <c r="E383" s="54" t="s">
        <v>1743</v>
      </c>
      <c r="F383" s="21" t="s">
        <v>1744</v>
      </c>
      <c r="G383" s="68"/>
      <c r="H383" s="44"/>
      <c r="I383" s="15"/>
      <c r="J383" s="68" t="s">
        <v>1694</v>
      </c>
      <c r="K383" s="68" t="s">
        <v>1741</v>
      </c>
      <c r="L383" s="30"/>
      <c r="M383" s="30"/>
      <c r="N383" s="44"/>
      <c r="O383" s="44"/>
      <c r="P383" s="44"/>
      <c r="Q383" s="68" t="s">
        <v>1206</v>
      </c>
      <c r="R383" s="76" t="s">
        <v>54</v>
      </c>
      <c r="S383" s="39" t="s">
        <v>1745</v>
      </c>
      <c r="T383" s="75" t="s">
        <v>39</v>
      </c>
      <c r="U383" s="93" t="s">
        <v>1746</v>
      </c>
      <c r="V383" s="94"/>
      <c r="W383" s="334"/>
      <c r="X383" s="41" t="str">
        <f>テーブル1[[#This Row],[開発]]&amp;テーブル1[[#This Row],[スコープ]]</f>
        <v>必要IN</v>
      </c>
      <c r="Y383" s="41" t="str">
        <f>IF(テーブル1[[#This Row],[列1]]="不要IN","標準",IF(テーブル1[[#This Row],[列1]]="不要OUT","スコープアウト",IF(テーブル1[[#This Row],[列1]]="必要IN","アドオン",IF(テーブル1[[#This Row],[列1]]="OUT","スコープアウト",""))))</f>
        <v>アドオン</v>
      </c>
      <c r="Z383" s="347" t="e">
        <f>VLOOKUP($B383,Sheet1!$C$2:$L$315,9,)</f>
        <v>#N/A</v>
      </c>
      <c r="AA383" s="340" t="e">
        <f>VLOOKUP($B383,Sheet1!$C$2:$L$315,10,)</f>
        <v>#N/A</v>
      </c>
      <c r="AB383" s="347"/>
      <c r="AC383" s="347" t="b">
        <f>テーブル1[[#This Row],[要求事項一覧
判定]]=テーブル1[[#This Row],[列2]]</f>
        <v>0</v>
      </c>
    </row>
    <row r="384" spans="1:29" ht="42.75" customHeight="1">
      <c r="A384" s="1" t="str">
        <f>テーブル1[[#This Row],[対象部門]]&amp;テーブル1[[#This Row],[業務要件回答表からの事前回答案_v1.0.xlsxより]]</f>
        <v>予算</v>
      </c>
      <c r="B384" s="1" t="s">
        <v>1698</v>
      </c>
      <c r="D384" s="10" t="s">
        <v>1845</v>
      </c>
      <c r="E384" s="26" t="s">
        <v>1839</v>
      </c>
      <c r="F384" s="26" t="s">
        <v>1840</v>
      </c>
      <c r="G384" s="68"/>
      <c r="H384" s="44"/>
      <c r="I384" s="15"/>
      <c r="J384" s="68" t="s">
        <v>1507</v>
      </c>
      <c r="K384" s="68" t="s">
        <v>1841</v>
      </c>
      <c r="L384" s="30" t="s">
        <v>1842</v>
      </c>
      <c r="M384" s="30" t="s">
        <v>1843</v>
      </c>
      <c r="N384" s="44"/>
      <c r="O384" s="44"/>
      <c r="P384" s="44"/>
      <c r="Q384" s="44" t="s">
        <v>1552</v>
      </c>
      <c r="R384" s="44" t="s">
        <v>54</v>
      </c>
      <c r="S384" s="26" t="s">
        <v>1844</v>
      </c>
      <c r="T384" s="44" t="s">
        <v>39</v>
      </c>
      <c r="U384" s="91"/>
      <c r="V384" s="94"/>
      <c r="W384" s="334"/>
      <c r="X384" s="41" t="str">
        <f>テーブル1[[#This Row],[開発]]&amp;テーブル1[[#This Row],[スコープ]]</f>
        <v>必要IN</v>
      </c>
      <c r="Y384" s="41" t="str">
        <f>IF(テーブル1[[#This Row],[列1]]="不要IN","標準",IF(テーブル1[[#This Row],[列1]]="不要OUT","スコープアウト",IF(テーブル1[[#This Row],[列1]]="必要IN","アドオン",IF(テーブル1[[#This Row],[列1]]="OUT","スコープアウト",""))))</f>
        <v>アドオン</v>
      </c>
      <c r="Z384" s="347" t="e">
        <f>VLOOKUP($B384,Sheet1!$C$2:$L$315,9,)</f>
        <v>#N/A</v>
      </c>
      <c r="AA384" s="340" t="e">
        <f>VLOOKUP($B384,Sheet1!$C$2:$L$315,10,)</f>
        <v>#N/A</v>
      </c>
      <c r="AB384" s="347"/>
      <c r="AC384" s="347" t="b">
        <f>テーブル1[[#This Row],[要求事項一覧
判定]]=テーブル1[[#This Row],[列2]]</f>
        <v>0</v>
      </c>
    </row>
    <row r="385" spans="1:29" ht="14.5">
      <c r="A385" s="1" t="str">
        <f>テーブル1[[#This Row],[対象部門]]&amp;テーブル1[[#This Row],[業務要件回答表からの事前回答案_v1.0.xlsxより]]</f>
        <v/>
      </c>
      <c r="B385" s="1" t="s">
        <v>3199</v>
      </c>
      <c r="D385" s="10" t="s">
        <v>1747</v>
      </c>
      <c r="E385" s="54"/>
      <c r="F385" s="21"/>
      <c r="G385" s="68"/>
      <c r="H385" s="44"/>
      <c r="I385" s="15"/>
      <c r="J385" s="68"/>
      <c r="K385" s="68"/>
      <c r="L385" s="30"/>
      <c r="M385" s="30"/>
      <c r="N385" s="44"/>
      <c r="O385" s="44"/>
      <c r="P385" s="44"/>
      <c r="Q385" s="44"/>
      <c r="R385" s="44"/>
      <c r="S385" s="26"/>
      <c r="T385" s="44"/>
      <c r="U385" s="91"/>
      <c r="V385" s="94"/>
      <c r="W385" s="334"/>
      <c r="X385" s="41" t="str">
        <f>テーブル1[[#This Row],[開発]]&amp;テーブル1[[#This Row],[スコープ]]</f>
        <v/>
      </c>
      <c r="Y385" s="41" t="str">
        <f>IF(テーブル1[[#This Row],[列1]]="不要IN","標準",IF(テーブル1[[#This Row],[列1]]="不要OUT","スコープアウト",IF(テーブル1[[#This Row],[列1]]="必要IN","アドオン",IF(テーブル1[[#This Row],[列1]]="OUT","スコープアウト",""))))</f>
        <v/>
      </c>
      <c r="Z385" s="347" t="e">
        <f>VLOOKUP($B385,Sheet1!$C$2:$L$315,9,)</f>
        <v>#N/A</v>
      </c>
      <c r="AA385" s="340" t="e">
        <f>VLOOKUP($B385,Sheet1!$C$2:$L$315,10,)</f>
        <v>#N/A</v>
      </c>
      <c r="AB385" s="347"/>
      <c r="AC385" s="347" t="b">
        <f>テーブル1[[#This Row],[要求事項一覧
判定]]=テーブル1[[#This Row],[列2]]</f>
        <v>1</v>
      </c>
    </row>
    <row r="386" spans="1:29" ht="14.5">
      <c r="A386" s="1" t="str">
        <f>テーブル1[[#This Row],[対象部門]]&amp;テーブル1[[#This Row],[業務要件回答表からの事前回答案_v1.0.xlsxより]]</f>
        <v/>
      </c>
      <c r="B386" s="1" t="s">
        <v>3199</v>
      </c>
      <c r="D386" s="10" t="s">
        <v>1748</v>
      </c>
      <c r="E386" s="54"/>
      <c r="F386" s="21"/>
      <c r="G386" s="68"/>
      <c r="H386" s="44"/>
      <c r="I386" s="15"/>
      <c r="J386" s="68"/>
      <c r="K386" s="68"/>
      <c r="L386" s="30"/>
      <c r="M386" s="30"/>
      <c r="N386" s="44"/>
      <c r="O386" s="44"/>
      <c r="P386" s="44"/>
      <c r="Q386" s="44"/>
      <c r="R386" s="44"/>
      <c r="S386" s="26"/>
      <c r="T386" s="44"/>
      <c r="U386" s="91"/>
      <c r="V386" s="94"/>
      <c r="W386" s="334"/>
      <c r="X386" s="41" t="str">
        <f>テーブル1[[#This Row],[開発]]&amp;テーブル1[[#This Row],[スコープ]]</f>
        <v/>
      </c>
      <c r="Y386" s="41" t="str">
        <f>IF(テーブル1[[#This Row],[列1]]="不要IN","標準",IF(テーブル1[[#This Row],[列1]]="不要OUT","スコープアウト",IF(テーブル1[[#This Row],[列1]]="必要IN","アドオン",IF(テーブル1[[#This Row],[列1]]="OUT","スコープアウト",""))))</f>
        <v/>
      </c>
      <c r="Z386" s="347" t="e">
        <f>VLOOKUP($B386,Sheet1!$C$2:$L$315,9,)</f>
        <v>#N/A</v>
      </c>
      <c r="AA386" s="340" t="e">
        <f>VLOOKUP($B386,Sheet1!$C$2:$L$315,10,)</f>
        <v>#N/A</v>
      </c>
      <c r="AB386" s="347"/>
      <c r="AC386" s="347" t="b">
        <f>テーブル1[[#This Row],[要求事項一覧
判定]]=テーブル1[[#This Row],[列2]]</f>
        <v>1</v>
      </c>
    </row>
    <row r="387" spans="1:29" ht="14.5">
      <c r="A387" s="1" t="str">
        <f>テーブル1[[#This Row],[対象部門]]&amp;テーブル1[[#This Row],[業務要件回答表からの事前回答案_v1.0.xlsxより]]</f>
        <v/>
      </c>
      <c r="B387" s="1" t="s">
        <v>3199</v>
      </c>
      <c r="D387" s="10" t="s">
        <v>1749</v>
      </c>
      <c r="E387" s="54"/>
      <c r="F387" s="21"/>
      <c r="G387" s="68"/>
      <c r="H387" s="44"/>
      <c r="I387" s="15"/>
      <c r="J387" s="68"/>
      <c r="K387" s="68"/>
      <c r="L387" s="30"/>
      <c r="M387" s="30"/>
      <c r="N387" s="44"/>
      <c r="O387" s="44"/>
      <c r="P387" s="44"/>
      <c r="Q387" s="44"/>
      <c r="R387" s="44"/>
      <c r="S387" s="26"/>
      <c r="T387" s="44"/>
      <c r="U387" s="91"/>
      <c r="V387" s="94"/>
      <c r="W387" s="334"/>
      <c r="X387" s="41" t="str">
        <f>テーブル1[[#This Row],[開発]]&amp;テーブル1[[#This Row],[スコープ]]</f>
        <v/>
      </c>
      <c r="Y387" s="41" t="str">
        <f>IF(テーブル1[[#This Row],[列1]]="不要IN","標準",IF(テーブル1[[#This Row],[列1]]="不要OUT","スコープアウト",IF(テーブル1[[#This Row],[列1]]="必要IN","アドオン",IF(テーブル1[[#This Row],[列1]]="OUT","スコープアウト",""))))</f>
        <v/>
      </c>
      <c r="Z387" s="347" t="e">
        <f>VLOOKUP($B387,Sheet1!$C$2:$L$315,9,)</f>
        <v>#N/A</v>
      </c>
      <c r="AA387" s="340" t="e">
        <f>VLOOKUP($B387,Sheet1!$C$2:$L$315,10,)</f>
        <v>#N/A</v>
      </c>
      <c r="AB387" s="347"/>
      <c r="AC387" s="347" t="b">
        <f>テーブル1[[#This Row],[要求事項一覧
判定]]=テーブル1[[#This Row],[列2]]</f>
        <v>1</v>
      </c>
    </row>
    <row r="388" spans="1:29" ht="14.5">
      <c r="A388" s="1" t="str">
        <f>テーブル1[[#This Row],[対象部門]]&amp;テーブル1[[#This Row],[業務要件回答表からの事前回答案_v1.0.xlsxより]]</f>
        <v/>
      </c>
      <c r="B388" s="1" t="s">
        <v>3199</v>
      </c>
      <c r="D388" s="10" t="s">
        <v>1750</v>
      </c>
      <c r="E388" s="54"/>
      <c r="F388" s="21"/>
      <c r="G388" s="68"/>
      <c r="H388" s="44"/>
      <c r="I388" s="15"/>
      <c r="J388" s="68"/>
      <c r="K388" s="68"/>
      <c r="L388" s="30"/>
      <c r="M388" s="30"/>
      <c r="N388" s="44"/>
      <c r="O388" s="44"/>
      <c r="P388" s="44"/>
      <c r="Q388" s="44"/>
      <c r="R388" s="44"/>
      <c r="S388" s="26"/>
      <c r="T388" s="44"/>
      <c r="U388" s="91"/>
      <c r="V388" s="94"/>
      <c r="W388" s="334"/>
      <c r="X388" s="41" t="str">
        <f>テーブル1[[#This Row],[開発]]&amp;テーブル1[[#This Row],[スコープ]]</f>
        <v/>
      </c>
      <c r="Y388" s="41" t="str">
        <f>IF(テーブル1[[#This Row],[列1]]="不要IN","標準",IF(テーブル1[[#This Row],[列1]]="不要OUT","スコープアウト",IF(テーブル1[[#This Row],[列1]]="必要IN","アドオン",IF(テーブル1[[#This Row],[列1]]="OUT","スコープアウト",""))))</f>
        <v/>
      </c>
      <c r="Z388" s="347" t="e">
        <f>VLOOKUP($B388,Sheet1!$C$2:$L$315,9,)</f>
        <v>#N/A</v>
      </c>
      <c r="AA388" s="340" t="e">
        <f>VLOOKUP($B388,Sheet1!$C$2:$L$315,10,)</f>
        <v>#N/A</v>
      </c>
      <c r="AB388" s="347"/>
      <c r="AC388" s="347" t="b">
        <f>テーブル1[[#This Row],[要求事項一覧
判定]]=テーブル1[[#This Row],[列2]]</f>
        <v>1</v>
      </c>
    </row>
    <row r="389" spans="1:29" ht="14.5">
      <c r="A389" s="1" t="str">
        <f>テーブル1[[#This Row],[対象部門]]&amp;テーブル1[[#This Row],[業務要件回答表からの事前回答案_v1.0.xlsxより]]</f>
        <v/>
      </c>
      <c r="B389" s="1" t="s">
        <v>3199</v>
      </c>
      <c r="D389" s="10" t="s">
        <v>1751</v>
      </c>
      <c r="E389" s="54"/>
      <c r="F389" s="21"/>
      <c r="G389" s="68"/>
      <c r="H389" s="44"/>
      <c r="I389" s="15"/>
      <c r="J389" s="68"/>
      <c r="K389" s="68"/>
      <c r="L389" s="30"/>
      <c r="M389" s="30"/>
      <c r="N389" s="44"/>
      <c r="O389" s="44"/>
      <c r="P389" s="44"/>
      <c r="Q389" s="44"/>
      <c r="R389" s="44"/>
      <c r="S389" s="26"/>
      <c r="T389" s="44"/>
      <c r="U389" s="91"/>
      <c r="V389" s="94"/>
      <c r="W389" s="334"/>
      <c r="X389" s="41" t="str">
        <f>テーブル1[[#This Row],[開発]]&amp;テーブル1[[#This Row],[スコープ]]</f>
        <v/>
      </c>
      <c r="Y389" s="41" t="str">
        <f>IF(テーブル1[[#This Row],[列1]]="不要IN","標準",IF(テーブル1[[#This Row],[列1]]="不要OUT","スコープアウト",IF(テーブル1[[#This Row],[列1]]="必要IN","アドオン",IF(テーブル1[[#This Row],[列1]]="OUT","スコープアウト",""))))</f>
        <v/>
      </c>
      <c r="Z389" s="347" t="e">
        <f>VLOOKUP($B389,Sheet1!$C$2:$L$315,9,)</f>
        <v>#N/A</v>
      </c>
      <c r="AA389" s="340" t="e">
        <f>VLOOKUP($B389,Sheet1!$C$2:$L$315,10,)</f>
        <v>#N/A</v>
      </c>
      <c r="AB389" s="347"/>
      <c r="AC389" s="347" t="b">
        <f>テーブル1[[#This Row],[要求事項一覧
判定]]=テーブル1[[#This Row],[列2]]</f>
        <v>1</v>
      </c>
    </row>
    <row r="390" spans="1:29" ht="14.5">
      <c r="A390" s="1" t="str">
        <f>テーブル1[[#This Row],[対象部門]]&amp;テーブル1[[#This Row],[業務要件回答表からの事前回答案_v1.0.xlsxより]]</f>
        <v/>
      </c>
      <c r="B390" s="1" t="s">
        <v>3199</v>
      </c>
      <c r="D390" s="10" t="s">
        <v>1752</v>
      </c>
      <c r="E390" s="54"/>
      <c r="F390" s="21"/>
      <c r="G390" s="68"/>
      <c r="H390" s="44"/>
      <c r="I390" s="15"/>
      <c r="J390" s="68"/>
      <c r="K390" s="68"/>
      <c r="L390" s="30"/>
      <c r="M390" s="30"/>
      <c r="N390" s="44"/>
      <c r="O390" s="44"/>
      <c r="P390" s="44"/>
      <c r="Q390" s="44"/>
      <c r="R390" s="44"/>
      <c r="S390" s="26"/>
      <c r="T390" s="44"/>
      <c r="U390" s="91"/>
      <c r="V390" s="94"/>
      <c r="W390" s="334"/>
      <c r="X390" s="41" t="str">
        <f>テーブル1[[#This Row],[開発]]&amp;テーブル1[[#This Row],[スコープ]]</f>
        <v/>
      </c>
      <c r="Y390" s="41" t="str">
        <f>IF(テーブル1[[#This Row],[列1]]="不要IN","標準",IF(テーブル1[[#This Row],[列1]]="不要OUT","スコープアウト",IF(テーブル1[[#This Row],[列1]]="必要IN","アドオン",IF(テーブル1[[#This Row],[列1]]="OUT","スコープアウト",""))))</f>
        <v/>
      </c>
      <c r="Z390" s="347" t="e">
        <f>VLOOKUP($B390,Sheet1!$C$2:$L$315,9,)</f>
        <v>#N/A</v>
      </c>
      <c r="AA390" s="340" t="e">
        <f>VLOOKUP($B390,Sheet1!$C$2:$L$315,10,)</f>
        <v>#N/A</v>
      </c>
      <c r="AB390" s="347"/>
      <c r="AC390" s="347" t="b">
        <f>テーブル1[[#This Row],[要求事項一覧
判定]]=テーブル1[[#This Row],[列2]]</f>
        <v>1</v>
      </c>
    </row>
    <row r="391" spans="1:29" ht="14.5">
      <c r="A391" s="1" t="str">
        <f>テーブル1[[#This Row],[対象部門]]&amp;テーブル1[[#This Row],[業務要件回答表からの事前回答案_v1.0.xlsxより]]</f>
        <v/>
      </c>
      <c r="B391" s="1" t="s">
        <v>3199</v>
      </c>
      <c r="D391" s="10" t="s">
        <v>1753</v>
      </c>
      <c r="E391" s="54"/>
      <c r="F391" s="21"/>
      <c r="G391" s="68"/>
      <c r="H391" s="44"/>
      <c r="I391" s="15"/>
      <c r="J391" s="68"/>
      <c r="K391" s="68"/>
      <c r="L391" s="30"/>
      <c r="M391" s="30"/>
      <c r="N391" s="44"/>
      <c r="O391" s="44"/>
      <c r="P391" s="44"/>
      <c r="Q391" s="44"/>
      <c r="R391" s="44"/>
      <c r="S391" s="26"/>
      <c r="T391" s="44"/>
      <c r="U391" s="91"/>
      <c r="V391" s="94"/>
      <c r="W391" s="334"/>
      <c r="X391" s="41" t="str">
        <f>テーブル1[[#This Row],[開発]]&amp;テーブル1[[#This Row],[スコープ]]</f>
        <v/>
      </c>
      <c r="Y391" s="41" t="str">
        <f>IF(テーブル1[[#This Row],[列1]]="不要IN","標準",IF(テーブル1[[#This Row],[列1]]="不要OUT","スコープアウト",IF(テーブル1[[#This Row],[列1]]="必要IN","アドオン",IF(テーブル1[[#This Row],[列1]]="OUT","スコープアウト",""))))</f>
        <v/>
      </c>
      <c r="Z391" s="347" t="e">
        <f>VLOOKUP($B391,Sheet1!$C$2:$L$315,9,)</f>
        <v>#N/A</v>
      </c>
      <c r="AA391" s="340" t="e">
        <f>VLOOKUP($B391,Sheet1!$C$2:$L$315,10,)</f>
        <v>#N/A</v>
      </c>
      <c r="AB391" s="347"/>
      <c r="AC391" s="347" t="b">
        <f>テーブル1[[#This Row],[要求事項一覧
判定]]=テーブル1[[#This Row],[列2]]</f>
        <v>1</v>
      </c>
    </row>
    <row r="392" spans="1:29" ht="14.5">
      <c r="A392" s="1" t="str">
        <f>テーブル1[[#This Row],[対象部門]]&amp;テーブル1[[#This Row],[業務要件回答表からの事前回答案_v1.0.xlsxより]]</f>
        <v/>
      </c>
      <c r="B392" s="1" t="s">
        <v>3199</v>
      </c>
      <c r="D392" s="10" t="s">
        <v>1754</v>
      </c>
      <c r="E392" s="54"/>
      <c r="F392" s="21"/>
      <c r="G392" s="68"/>
      <c r="H392" s="44"/>
      <c r="I392" s="15"/>
      <c r="J392" s="68"/>
      <c r="K392" s="68"/>
      <c r="L392" s="30"/>
      <c r="M392" s="30"/>
      <c r="N392" s="44"/>
      <c r="O392" s="44"/>
      <c r="P392" s="44"/>
      <c r="Q392" s="44"/>
      <c r="R392" s="44"/>
      <c r="S392" s="26"/>
      <c r="T392" s="44"/>
      <c r="U392" s="91"/>
      <c r="V392" s="94"/>
      <c r="W392" s="334"/>
      <c r="X392" s="41" t="str">
        <f>テーブル1[[#This Row],[開発]]&amp;テーブル1[[#This Row],[スコープ]]</f>
        <v/>
      </c>
      <c r="Y392" s="41" t="str">
        <f>IF(テーブル1[[#This Row],[列1]]="不要IN","標準",IF(テーブル1[[#This Row],[列1]]="不要OUT","スコープアウト",IF(テーブル1[[#This Row],[列1]]="必要IN","アドオン",IF(テーブル1[[#This Row],[列1]]="OUT","スコープアウト",""))))</f>
        <v/>
      </c>
      <c r="Z392" s="347" t="e">
        <f>VLOOKUP($B392,Sheet1!$C$2:$L$315,9,)</f>
        <v>#N/A</v>
      </c>
      <c r="AA392" s="340" t="e">
        <f>VLOOKUP($B392,Sheet1!$C$2:$L$315,10,)</f>
        <v>#N/A</v>
      </c>
      <c r="AB392" s="347"/>
      <c r="AC392" s="347" t="b">
        <f>テーブル1[[#This Row],[要求事項一覧
判定]]=テーブル1[[#This Row],[列2]]</f>
        <v>1</v>
      </c>
    </row>
    <row r="393" spans="1:29" ht="14.5">
      <c r="A393" s="1" t="str">
        <f>テーブル1[[#This Row],[対象部門]]&amp;テーブル1[[#This Row],[業務要件回答表からの事前回答案_v1.0.xlsxより]]</f>
        <v/>
      </c>
      <c r="B393" s="1" t="s">
        <v>3199</v>
      </c>
      <c r="D393" s="10" t="s">
        <v>1755</v>
      </c>
      <c r="E393" s="54"/>
      <c r="F393" s="21"/>
      <c r="G393" s="68"/>
      <c r="H393" s="44"/>
      <c r="I393" s="15"/>
      <c r="J393" s="68"/>
      <c r="K393" s="68"/>
      <c r="L393" s="30"/>
      <c r="M393" s="30"/>
      <c r="N393" s="44"/>
      <c r="O393" s="44"/>
      <c r="P393" s="44"/>
      <c r="Q393" s="44"/>
      <c r="R393" s="44"/>
      <c r="S393" s="26"/>
      <c r="T393" s="44"/>
      <c r="U393" s="91"/>
      <c r="V393" s="94"/>
      <c r="W393" s="334"/>
      <c r="X393" s="41" t="str">
        <f>テーブル1[[#This Row],[開発]]&amp;テーブル1[[#This Row],[スコープ]]</f>
        <v/>
      </c>
      <c r="Y393" s="41" t="str">
        <f>IF(テーブル1[[#This Row],[列1]]="不要IN","標準",IF(テーブル1[[#This Row],[列1]]="不要OUT","スコープアウト",IF(テーブル1[[#This Row],[列1]]="必要IN","アドオン",IF(テーブル1[[#This Row],[列1]]="OUT","スコープアウト",""))))</f>
        <v/>
      </c>
      <c r="Z393" s="347" t="e">
        <f>VLOOKUP($B393,Sheet1!$C$2:$L$315,9,)</f>
        <v>#N/A</v>
      </c>
      <c r="AA393" s="340" t="e">
        <f>VLOOKUP($B393,Sheet1!$C$2:$L$315,10,)</f>
        <v>#N/A</v>
      </c>
      <c r="AB393" s="347"/>
      <c r="AC393" s="347" t="b">
        <f>テーブル1[[#This Row],[要求事項一覧
判定]]=テーブル1[[#This Row],[列2]]</f>
        <v>1</v>
      </c>
    </row>
    <row r="394" spans="1:29" ht="14.5">
      <c r="A394" s="1" t="str">
        <f>テーブル1[[#This Row],[対象部門]]&amp;テーブル1[[#This Row],[業務要件回答表からの事前回答案_v1.0.xlsxより]]</f>
        <v/>
      </c>
      <c r="B394" s="1" t="s">
        <v>3199</v>
      </c>
      <c r="D394" s="10" t="s">
        <v>1756</v>
      </c>
      <c r="E394" s="54"/>
      <c r="F394" s="21"/>
      <c r="G394" s="68"/>
      <c r="H394" s="44"/>
      <c r="I394" s="15"/>
      <c r="J394" s="68"/>
      <c r="K394" s="68"/>
      <c r="L394" s="30"/>
      <c r="M394" s="30"/>
      <c r="N394" s="44"/>
      <c r="O394" s="44"/>
      <c r="P394" s="44"/>
      <c r="Q394" s="44"/>
      <c r="R394" s="44"/>
      <c r="S394" s="26"/>
      <c r="T394" s="44"/>
      <c r="U394" s="91"/>
      <c r="V394" s="94"/>
      <c r="W394" s="334"/>
      <c r="X394" s="41" t="str">
        <f>テーブル1[[#This Row],[開発]]&amp;テーブル1[[#This Row],[スコープ]]</f>
        <v/>
      </c>
      <c r="Y394" s="41" t="str">
        <f>IF(テーブル1[[#This Row],[列1]]="不要IN","標準",IF(テーブル1[[#This Row],[列1]]="不要OUT","スコープアウト",IF(テーブル1[[#This Row],[列1]]="必要IN","アドオン",IF(テーブル1[[#This Row],[列1]]="OUT","スコープアウト",""))))</f>
        <v/>
      </c>
      <c r="Z394" s="347" t="e">
        <f>VLOOKUP($B394,Sheet1!$C$2:$L$315,9,)</f>
        <v>#N/A</v>
      </c>
      <c r="AA394" s="340" t="e">
        <f>VLOOKUP($B394,Sheet1!$C$2:$L$315,10,)</f>
        <v>#N/A</v>
      </c>
      <c r="AB394" s="347"/>
      <c r="AC394" s="347" t="b">
        <f>テーブル1[[#This Row],[要求事項一覧
判定]]=テーブル1[[#This Row],[列2]]</f>
        <v>1</v>
      </c>
    </row>
    <row r="395" spans="1:29" ht="14.5">
      <c r="A395" s="1" t="str">
        <f>テーブル1[[#This Row],[対象部門]]&amp;テーブル1[[#This Row],[業務要件回答表からの事前回答案_v1.0.xlsxより]]</f>
        <v/>
      </c>
      <c r="B395" s="1" t="s">
        <v>3199</v>
      </c>
      <c r="D395" s="10" t="s">
        <v>1757</v>
      </c>
      <c r="E395" s="54"/>
      <c r="F395" s="21"/>
      <c r="G395" s="68"/>
      <c r="H395" s="44"/>
      <c r="I395" s="15"/>
      <c r="J395" s="68"/>
      <c r="K395" s="68"/>
      <c r="L395" s="30"/>
      <c r="M395" s="30"/>
      <c r="N395" s="44"/>
      <c r="O395" s="44"/>
      <c r="P395" s="44"/>
      <c r="Q395" s="44"/>
      <c r="R395" s="44"/>
      <c r="S395" s="26"/>
      <c r="T395" s="44"/>
      <c r="U395" s="91"/>
      <c r="V395" s="94"/>
      <c r="W395" s="334"/>
      <c r="X395" s="41" t="str">
        <f>テーブル1[[#This Row],[開発]]&amp;テーブル1[[#This Row],[スコープ]]</f>
        <v/>
      </c>
      <c r="Y395" s="41" t="str">
        <f>IF(テーブル1[[#This Row],[列1]]="不要IN","標準",IF(テーブル1[[#This Row],[列1]]="不要OUT","スコープアウト",IF(テーブル1[[#This Row],[列1]]="必要IN","アドオン",IF(テーブル1[[#This Row],[列1]]="OUT","スコープアウト",""))))</f>
        <v/>
      </c>
      <c r="Z395" s="347" t="e">
        <f>VLOOKUP($B395,Sheet1!$C$2:$L$315,9,)</f>
        <v>#N/A</v>
      </c>
      <c r="AA395" s="340" t="e">
        <f>VLOOKUP($B395,Sheet1!$C$2:$L$315,10,)</f>
        <v>#N/A</v>
      </c>
      <c r="AB395" s="347"/>
      <c r="AC395" s="347" t="b">
        <f>テーブル1[[#This Row],[要求事項一覧
判定]]=テーブル1[[#This Row],[列2]]</f>
        <v>1</v>
      </c>
    </row>
    <row r="396" spans="1:29" ht="14.5">
      <c r="A396" s="1" t="str">
        <f>テーブル1[[#This Row],[対象部門]]&amp;テーブル1[[#This Row],[業務要件回答表からの事前回答案_v1.0.xlsxより]]</f>
        <v/>
      </c>
      <c r="B396" s="1" t="s">
        <v>3199</v>
      </c>
      <c r="D396" s="10" t="s">
        <v>1758</v>
      </c>
      <c r="E396" s="54"/>
      <c r="F396" s="21"/>
      <c r="G396" s="68"/>
      <c r="H396" s="44"/>
      <c r="I396" s="15"/>
      <c r="J396" s="68"/>
      <c r="K396" s="68"/>
      <c r="L396" s="30"/>
      <c r="M396" s="30"/>
      <c r="N396" s="44"/>
      <c r="O396" s="44"/>
      <c r="P396" s="44"/>
      <c r="Q396" s="44"/>
      <c r="R396" s="44"/>
      <c r="S396" s="26"/>
      <c r="T396" s="44"/>
      <c r="U396" s="91"/>
      <c r="V396" s="94"/>
      <c r="W396" s="334"/>
      <c r="X396" s="41" t="str">
        <f>テーブル1[[#This Row],[開発]]&amp;テーブル1[[#This Row],[スコープ]]</f>
        <v/>
      </c>
      <c r="Y396" s="41" t="str">
        <f>IF(テーブル1[[#This Row],[列1]]="不要IN","標準",IF(テーブル1[[#This Row],[列1]]="不要OUT","スコープアウト",IF(テーブル1[[#This Row],[列1]]="必要IN","アドオン",IF(テーブル1[[#This Row],[列1]]="OUT","スコープアウト",""))))</f>
        <v/>
      </c>
      <c r="Z396" s="347" t="e">
        <f>VLOOKUP($B396,Sheet1!$C$2:$L$315,9,)</f>
        <v>#N/A</v>
      </c>
      <c r="AA396" s="340" t="e">
        <f>VLOOKUP($B396,Sheet1!$C$2:$L$315,10,)</f>
        <v>#N/A</v>
      </c>
      <c r="AB396" s="347"/>
      <c r="AC396" s="347" t="b">
        <f>テーブル1[[#This Row],[要求事項一覧
判定]]=テーブル1[[#This Row],[列2]]</f>
        <v>1</v>
      </c>
    </row>
    <row r="397" spans="1:29" ht="14.5">
      <c r="A397" s="1" t="str">
        <f>テーブル1[[#This Row],[対象部門]]&amp;テーブル1[[#This Row],[業務要件回答表からの事前回答案_v1.0.xlsxより]]</f>
        <v/>
      </c>
      <c r="B397" s="1" t="s">
        <v>3199</v>
      </c>
      <c r="D397" s="10" t="s">
        <v>1759</v>
      </c>
      <c r="E397" s="54"/>
      <c r="F397" s="21"/>
      <c r="G397" s="68"/>
      <c r="H397" s="44"/>
      <c r="I397" s="15"/>
      <c r="J397" s="68"/>
      <c r="K397" s="68"/>
      <c r="L397" s="30"/>
      <c r="M397" s="30"/>
      <c r="N397" s="44"/>
      <c r="O397" s="44"/>
      <c r="P397" s="44"/>
      <c r="Q397" s="44"/>
      <c r="R397" s="44"/>
      <c r="S397" s="26"/>
      <c r="T397" s="44"/>
      <c r="U397" s="91"/>
      <c r="V397" s="94"/>
      <c r="W397" s="334"/>
      <c r="X397" s="41" t="str">
        <f>テーブル1[[#This Row],[開発]]&amp;テーブル1[[#This Row],[スコープ]]</f>
        <v/>
      </c>
      <c r="Y397" s="41" t="str">
        <f>IF(テーブル1[[#This Row],[列1]]="不要IN","標準",IF(テーブル1[[#This Row],[列1]]="不要OUT","スコープアウト",IF(テーブル1[[#This Row],[列1]]="必要IN","アドオン",IF(テーブル1[[#This Row],[列1]]="OUT","スコープアウト",""))))</f>
        <v/>
      </c>
      <c r="Z397" s="347" t="e">
        <f>VLOOKUP($B397,Sheet1!$C$2:$L$315,9,)</f>
        <v>#N/A</v>
      </c>
      <c r="AA397" s="340" t="e">
        <f>VLOOKUP($B397,Sheet1!$C$2:$L$315,10,)</f>
        <v>#N/A</v>
      </c>
      <c r="AB397" s="347"/>
      <c r="AC397" s="347" t="b">
        <f>テーブル1[[#This Row],[要求事項一覧
判定]]=テーブル1[[#This Row],[列2]]</f>
        <v>1</v>
      </c>
    </row>
    <row r="398" spans="1:29" ht="14.5">
      <c r="A398" s="1" t="str">
        <f>テーブル1[[#This Row],[対象部門]]&amp;テーブル1[[#This Row],[業務要件回答表からの事前回答案_v1.0.xlsxより]]</f>
        <v/>
      </c>
      <c r="B398" s="1" t="s">
        <v>3199</v>
      </c>
      <c r="D398" s="10" t="s">
        <v>1760</v>
      </c>
      <c r="E398" s="54"/>
      <c r="F398" s="21"/>
      <c r="G398" s="68"/>
      <c r="H398" s="44"/>
      <c r="I398" s="15"/>
      <c r="J398" s="68"/>
      <c r="K398" s="68"/>
      <c r="L398" s="30"/>
      <c r="M398" s="30"/>
      <c r="N398" s="44"/>
      <c r="O398" s="44"/>
      <c r="P398" s="44"/>
      <c r="Q398" s="44"/>
      <c r="R398" s="44"/>
      <c r="S398" s="26"/>
      <c r="T398" s="44"/>
      <c r="U398" s="91"/>
      <c r="V398" s="94"/>
      <c r="W398" s="334"/>
      <c r="X398" s="41" t="str">
        <f>テーブル1[[#This Row],[開発]]&amp;テーブル1[[#This Row],[スコープ]]</f>
        <v/>
      </c>
      <c r="Y398" s="41" t="str">
        <f>IF(テーブル1[[#This Row],[列1]]="不要IN","標準",IF(テーブル1[[#This Row],[列1]]="不要OUT","スコープアウト",IF(テーブル1[[#This Row],[列1]]="必要IN","アドオン",IF(テーブル1[[#This Row],[列1]]="OUT","スコープアウト",""))))</f>
        <v/>
      </c>
      <c r="Z398" s="347" t="e">
        <f>VLOOKUP($B398,Sheet1!$C$2:$L$315,9,)</f>
        <v>#N/A</v>
      </c>
      <c r="AA398" s="340" t="e">
        <f>VLOOKUP($B398,Sheet1!$C$2:$L$315,10,)</f>
        <v>#N/A</v>
      </c>
      <c r="AB398" s="347"/>
      <c r="AC398" s="347" t="b">
        <f>テーブル1[[#This Row],[要求事項一覧
判定]]=テーブル1[[#This Row],[列2]]</f>
        <v>1</v>
      </c>
    </row>
    <row r="399" spans="1:29" ht="14.5">
      <c r="A399" s="1" t="str">
        <f>テーブル1[[#This Row],[対象部門]]&amp;テーブル1[[#This Row],[業務要件回答表からの事前回答案_v1.0.xlsxより]]</f>
        <v/>
      </c>
      <c r="B399" s="1" t="s">
        <v>3199</v>
      </c>
      <c r="D399" s="10" t="s">
        <v>1761</v>
      </c>
      <c r="E399" s="54"/>
      <c r="F399" s="21"/>
      <c r="G399" s="68"/>
      <c r="H399" s="44"/>
      <c r="I399" s="15"/>
      <c r="J399" s="68"/>
      <c r="K399" s="68"/>
      <c r="L399" s="30"/>
      <c r="M399" s="30"/>
      <c r="N399" s="44"/>
      <c r="O399" s="44"/>
      <c r="P399" s="44"/>
      <c r="Q399" s="44"/>
      <c r="R399" s="44"/>
      <c r="S399" s="26"/>
      <c r="T399" s="44"/>
      <c r="U399" s="91"/>
      <c r="V399" s="94"/>
      <c r="W399" s="334"/>
      <c r="X399" s="41" t="str">
        <f>テーブル1[[#This Row],[開発]]&amp;テーブル1[[#This Row],[スコープ]]</f>
        <v/>
      </c>
      <c r="Y399" s="41" t="str">
        <f>IF(テーブル1[[#This Row],[列1]]="不要IN","標準",IF(テーブル1[[#This Row],[列1]]="不要OUT","スコープアウト",IF(テーブル1[[#This Row],[列1]]="必要IN","アドオン",IF(テーブル1[[#This Row],[列1]]="OUT","スコープアウト",""))))</f>
        <v/>
      </c>
      <c r="Z399" s="347" t="e">
        <f>VLOOKUP($B399,Sheet1!$C$2:$L$315,9,)</f>
        <v>#N/A</v>
      </c>
      <c r="AA399" s="340" t="e">
        <f>VLOOKUP($B399,Sheet1!$C$2:$L$315,10,)</f>
        <v>#N/A</v>
      </c>
      <c r="AB399" s="347"/>
      <c r="AC399" s="347" t="b">
        <f>テーブル1[[#This Row],[要求事項一覧
判定]]=テーブル1[[#This Row],[列2]]</f>
        <v>1</v>
      </c>
    </row>
    <row r="400" spans="1:29" ht="14.5">
      <c r="A400" s="1" t="str">
        <f>テーブル1[[#This Row],[対象部門]]&amp;テーブル1[[#This Row],[業務要件回答表からの事前回答案_v1.0.xlsxより]]</f>
        <v/>
      </c>
      <c r="B400" s="1" t="s">
        <v>3199</v>
      </c>
      <c r="D400" s="10" t="s">
        <v>1762</v>
      </c>
      <c r="E400" s="54"/>
      <c r="F400" s="21"/>
      <c r="G400" s="68"/>
      <c r="H400" s="44"/>
      <c r="I400" s="15"/>
      <c r="J400" s="68"/>
      <c r="K400" s="68"/>
      <c r="L400" s="30"/>
      <c r="M400" s="30"/>
      <c r="N400" s="44"/>
      <c r="O400" s="44"/>
      <c r="P400" s="44"/>
      <c r="Q400" s="44"/>
      <c r="R400" s="44"/>
      <c r="S400" s="26"/>
      <c r="T400" s="44"/>
      <c r="U400" s="91"/>
      <c r="V400" s="94"/>
      <c r="W400" s="334"/>
      <c r="X400" s="41" t="str">
        <f>テーブル1[[#This Row],[開発]]&amp;テーブル1[[#This Row],[スコープ]]</f>
        <v/>
      </c>
      <c r="Y400" s="41" t="str">
        <f>IF(テーブル1[[#This Row],[列1]]="不要IN","標準",IF(テーブル1[[#This Row],[列1]]="不要OUT","スコープアウト",IF(テーブル1[[#This Row],[列1]]="必要IN","アドオン",IF(テーブル1[[#This Row],[列1]]="OUT","スコープアウト",""))))</f>
        <v/>
      </c>
      <c r="Z400" s="347" t="e">
        <f>VLOOKUP($B400,Sheet1!$C$2:$L$315,9,)</f>
        <v>#N/A</v>
      </c>
      <c r="AA400" s="340" t="e">
        <f>VLOOKUP($B400,Sheet1!$C$2:$L$315,10,)</f>
        <v>#N/A</v>
      </c>
      <c r="AB400" s="347"/>
      <c r="AC400" s="347" t="b">
        <f>テーブル1[[#This Row],[要求事項一覧
判定]]=テーブル1[[#This Row],[列2]]</f>
        <v>1</v>
      </c>
    </row>
    <row r="401" spans="1:29" ht="14.5">
      <c r="A401" s="1" t="str">
        <f>テーブル1[[#This Row],[対象部門]]&amp;テーブル1[[#This Row],[業務要件回答表からの事前回答案_v1.0.xlsxより]]</f>
        <v/>
      </c>
      <c r="B401" s="1" t="s">
        <v>3199</v>
      </c>
      <c r="D401" s="10" t="s">
        <v>1763</v>
      </c>
      <c r="E401" s="54"/>
      <c r="F401" s="21"/>
      <c r="G401" s="68"/>
      <c r="H401" s="44"/>
      <c r="I401" s="15"/>
      <c r="J401" s="68"/>
      <c r="K401" s="68"/>
      <c r="L401" s="30"/>
      <c r="M401" s="30"/>
      <c r="N401" s="44"/>
      <c r="O401" s="44"/>
      <c r="P401" s="44"/>
      <c r="Q401" s="44"/>
      <c r="R401" s="44"/>
      <c r="S401" s="26"/>
      <c r="T401" s="44"/>
      <c r="U401" s="91"/>
      <c r="V401" s="94"/>
      <c r="W401" s="334"/>
      <c r="X401" s="41" t="str">
        <f>テーブル1[[#This Row],[開発]]&amp;テーブル1[[#This Row],[スコープ]]</f>
        <v/>
      </c>
      <c r="Y401" s="41" t="str">
        <f>IF(テーブル1[[#This Row],[列1]]="不要IN","標準",IF(テーブル1[[#This Row],[列1]]="不要OUT","スコープアウト",IF(テーブル1[[#This Row],[列1]]="必要IN","アドオン",IF(テーブル1[[#This Row],[列1]]="OUT","スコープアウト",""))))</f>
        <v/>
      </c>
      <c r="Z401" s="347" t="e">
        <f>VLOOKUP($B401,Sheet1!$C$2:$L$315,9,)</f>
        <v>#N/A</v>
      </c>
      <c r="AA401" s="340" t="e">
        <f>VLOOKUP($B401,Sheet1!$C$2:$L$315,10,)</f>
        <v>#N/A</v>
      </c>
      <c r="AB401" s="347"/>
      <c r="AC401" s="347" t="b">
        <f>テーブル1[[#This Row],[要求事項一覧
判定]]=テーブル1[[#This Row],[列2]]</f>
        <v>1</v>
      </c>
    </row>
    <row r="402" spans="1:29" ht="14.5">
      <c r="A402" s="1" t="str">
        <f>テーブル1[[#This Row],[対象部門]]&amp;テーブル1[[#This Row],[業務要件回答表からの事前回答案_v1.0.xlsxより]]</f>
        <v/>
      </c>
      <c r="B402" s="1" t="s">
        <v>3199</v>
      </c>
      <c r="D402" s="10" t="s">
        <v>1764</v>
      </c>
      <c r="E402" s="54"/>
      <c r="F402" s="21"/>
      <c r="G402" s="68"/>
      <c r="H402" s="44"/>
      <c r="I402" s="15"/>
      <c r="J402" s="68"/>
      <c r="K402" s="68"/>
      <c r="L402" s="30"/>
      <c r="M402" s="30"/>
      <c r="N402" s="44"/>
      <c r="O402" s="44"/>
      <c r="P402" s="44"/>
      <c r="Q402" s="44"/>
      <c r="R402" s="44"/>
      <c r="S402" s="26"/>
      <c r="T402" s="44"/>
      <c r="U402" s="91"/>
      <c r="V402" s="94"/>
      <c r="W402" s="334"/>
      <c r="X402" s="41" t="str">
        <f>テーブル1[[#This Row],[開発]]&amp;テーブル1[[#This Row],[スコープ]]</f>
        <v/>
      </c>
      <c r="Y402" s="41" t="str">
        <f>IF(テーブル1[[#This Row],[列1]]="不要IN","標準",IF(テーブル1[[#This Row],[列1]]="不要OUT","スコープアウト",IF(テーブル1[[#This Row],[列1]]="必要IN","アドオン",IF(テーブル1[[#This Row],[列1]]="OUT","スコープアウト",""))))</f>
        <v/>
      </c>
      <c r="Z402" s="347" t="e">
        <f>VLOOKUP($B402,Sheet1!$C$2:$L$315,9,)</f>
        <v>#N/A</v>
      </c>
      <c r="AA402" s="340" t="e">
        <f>VLOOKUP($B402,Sheet1!$C$2:$L$315,10,)</f>
        <v>#N/A</v>
      </c>
      <c r="AB402" s="347"/>
      <c r="AC402" s="347" t="b">
        <f>テーブル1[[#This Row],[要求事項一覧
判定]]=テーブル1[[#This Row],[列2]]</f>
        <v>1</v>
      </c>
    </row>
    <row r="403" spans="1:29" ht="14.5">
      <c r="A403" s="1" t="str">
        <f>テーブル1[[#This Row],[対象部門]]&amp;テーブル1[[#This Row],[業務要件回答表からの事前回答案_v1.0.xlsxより]]</f>
        <v/>
      </c>
      <c r="B403" s="1" t="s">
        <v>3199</v>
      </c>
      <c r="D403" s="10" t="s">
        <v>1765</v>
      </c>
      <c r="E403" s="54"/>
      <c r="F403" s="21"/>
      <c r="G403" s="68"/>
      <c r="H403" s="44"/>
      <c r="I403" s="15"/>
      <c r="J403" s="68"/>
      <c r="K403" s="68"/>
      <c r="L403" s="30"/>
      <c r="M403" s="30"/>
      <c r="N403" s="44"/>
      <c r="O403" s="44"/>
      <c r="P403" s="44"/>
      <c r="Q403" s="44"/>
      <c r="R403" s="44"/>
      <c r="S403" s="26"/>
      <c r="T403" s="44"/>
      <c r="U403" s="91"/>
      <c r="V403" s="94"/>
      <c r="W403" s="334"/>
      <c r="X403" s="41" t="str">
        <f>テーブル1[[#This Row],[開発]]&amp;テーブル1[[#This Row],[スコープ]]</f>
        <v/>
      </c>
      <c r="Y403" s="41" t="str">
        <f>IF(テーブル1[[#This Row],[列1]]="不要IN","標準",IF(テーブル1[[#This Row],[列1]]="不要OUT","スコープアウト",IF(テーブル1[[#This Row],[列1]]="必要IN","アドオン",IF(テーブル1[[#This Row],[列1]]="OUT","スコープアウト",""))))</f>
        <v/>
      </c>
      <c r="Z403" s="347" t="e">
        <f>VLOOKUP($B403,Sheet1!$C$2:$L$315,9,)</f>
        <v>#N/A</v>
      </c>
      <c r="AA403" s="340" t="e">
        <f>VLOOKUP($B403,Sheet1!$C$2:$L$315,10,)</f>
        <v>#N/A</v>
      </c>
      <c r="AB403" s="347"/>
      <c r="AC403" s="347" t="b">
        <f>テーブル1[[#This Row],[要求事項一覧
判定]]=テーブル1[[#This Row],[列2]]</f>
        <v>1</v>
      </c>
    </row>
    <row r="404" spans="1:29" ht="14.5">
      <c r="A404" s="1" t="str">
        <f>テーブル1[[#This Row],[対象部門]]&amp;テーブル1[[#This Row],[業務要件回答表からの事前回答案_v1.0.xlsxより]]</f>
        <v/>
      </c>
      <c r="B404" s="1" t="s">
        <v>3199</v>
      </c>
      <c r="D404" s="10" t="s">
        <v>1766</v>
      </c>
      <c r="E404" s="54"/>
      <c r="F404" s="21"/>
      <c r="G404" s="68"/>
      <c r="H404" s="44"/>
      <c r="I404" s="15"/>
      <c r="J404" s="68"/>
      <c r="K404" s="68"/>
      <c r="L404" s="30"/>
      <c r="M404" s="30"/>
      <c r="N404" s="44"/>
      <c r="O404" s="44"/>
      <c r="P404" s="44"/>
      <c r="Q404" s="44"/>
      <c r="R404" s="44"/>
      <c r="S404" s="26"/>
      <c r="T404" s="44"/>
      <c r="U404" s="91"/>
      <c r="V404" s="94"/>
      <c r="W404" s="334"/>
      <c r="X404" s="41" t="str">
        <f>テーブル1[[#This Row],[開発]]&amp;テーブル1[[#This Row],[スコープ]]</f>
        <v/>
      </c>
      <c r="Y404" s="41" t="str">
        <f>IF(テーブル1[[#This Row],[列1]]="不要IN","標準",IF(テーブル1[[#This Row],[列1]]="不要OUT","スコープアウト",IF(テーブル1[[#This Row],[列1]]="必要IN","アドオン",IF(テーブル1[[#This Row],[列1]]="OUT","スコープアウト",""))))</f>
        <v/>
      </c>
      <c r="Z404" s="347" t="e">
        <f>VLOOKUP($B404,Sheet1!$C$2:$L$315,9,)</f>
        <v>#N/A</v>
      </c>
      <c r="AA404" s="340" t="e">
        <f>VLOOKUP($B404,Sheet1!$C$2:$L$315,10,)</f>
        <v>#N/A</v>
      </c>
      <c r="AB404" s="347"/>
      <c r="AC404" s="347" t="b">
        <f>テーブル1[[#This Row],[要求事項一覧
判定]]=テーブル1[[#This Row],[列2]]</f>
        <v>1</v>
      </c>
    </row>
    <row r="405" spans="1:29" ht="14.5">
      <c r="A405" s="1" t="str">
        <f>テーブル1[[#This Row],[対象部門]]&amp;テーブル1[[#This Row],[業務要件回答表からの事前回答案_v1.0.xlsxより]]</f>
        <v/>
      </c>
      <c r="B405" s="1" t="s">
        <v>3199</v>
      </c>
      <c r="D405" s="10" t="s">
        <v>1767</v>
      </c>
      <c r="E405" s="54"/>
      <c r="F405" s="21"/>
      <c r="G405" s="68"/>
      <c r="H405" s="44"/>
      <c r="I405" s="15"/>
      <c r="J405" s="68"/>
      <c r="K405" s="68"/>
      <c r="L405" s="30"/>
      <c r="M405" s="30"/>
      <c r="N405" s="44"/>
      <c r="O405" s="44"/>
      <c r="P405" s="44"/>
      <c r="Q405" s="44"/>
      <c r="R405" s="44"/>
      <c r="S405" s="26"/>
      <c r="T405" s="44"/>
      <c r="U405" s="91"/>
      <c r="V405" s="94"/>
      <c r="W405" s="334"/>
      <c r="X405" s="41" t="str">
        <f>テーブル1[[#This Row],[開発]]&amp;テーブル1[[#This Row],[スコープ]]</f>
        <v/>
      </c>
      <c r="Y405" s="41" t="str">
        <f>IF(テーブル1[[#This Row],[列1]]="不要IN","標準",IF(テーブル1[[#This Row],[列1]]="不要OUT","スコープアウト",IF(テーブル1[[#This Row],[列1]]="必要IN","アドオン",IF(テーブル1[[#This Row],[列1]]="OUT","スコープアウト",""))))</f>
        <v/>
      </c>
      <c r="Z405" s="347" t="e">
        <f>VLOOKUP($B405,Sheet1!$C$2:$L$315,9,)</f>
        <v>#N/A</v>
      </c>
      <c r="AA405" s="340" t="e">
        <f>VLOOKUP($B405,Sheet1!$C$2:$L$315,10,)</f>
        <v>#N/A</v>
      </c>
      <c r="AB405" s="347"/>
      <c r="AC405" s="347" t="b">
        <f>テーブル1[[#This Row],[要求事項一覧
判定]]=テーブル1[[#This Row],[列2]]</f>
        <v>1</v>
      </c>
    </row>
    <row r="406" spans="1:29" ht="14.5">
      <c r="A406" s="1" t="str">
        <f>テーブル1[[#This Row],[対象部門]]&amp;テーブル1[[#This Row],[業務要件回答表からの事前回答案_v1.0.xlsxより]]</f>
        <v/>
      </c>
      <c r="B406" s="1" t="s">
        <v>3199</v>
      </c>
      <c r="D406" s="10" t="s">
        <v>1768</v>
      </c>
      <c r="E406" s="54"/>
      <c r="F406" s="21"/>
      <c r="G406" s="68"/>
      <c r="H406" s="44"/>
      <c r="I406" s="15"/>
      <c r="J406" s="68"/>
      <c r="K406" s="68"/>
      <c r="L406" s="30"/>
      <c r="M406" s="30"/>
      <c r="N406" s="44"/>
      <c r="O406" s="44"/>
      <c r="P406" s="44"/>
      <c r="Q406" s="44"/>
      <c r="R406" s="44"/>
      <c r="S406" s="26"/>
      <c r="T406" s="44"/>
      <c r="U406" s="91"/>
      <c r="V406" s="94"/>
      <c r="W406" s="334"/>
      <c r="X406" s="41" t="str">
        <f>テーブル1[[#This Row],[開発]]&amp;テーブル1[[#This Row],[スコープ]]</f>
        <v/>
      </c>
      <c r="Y406" s="41" t="str">
        <f>IF(テーブル1[[#This Row],[列1]]="不要IN","標準",IF(テーブル1[[#This Row],[列1]]="不要OUT","スコープアウト",IF(テーブル1[[#This Row],[列1]]="必要IN","アドオン",IF(テーブル1[[#This Row],[列1]]="OUT","スコープアウト",""))))</f>
        <v/>
      </c>
      <c r="Z406" s="347" t="e">
        <f>VLOOKUP($B406,Sheet1!$C$2:$L$315,9,)</f>
        <v>#N/A</v>
      </c>
      <c r="AA406" s="340" t="e">
        <f>VLOOKUP($B406,Sheet1!$C$2:$L$315,10,)</f>
        <v>#N/A</v>
      </c>
      <c r="AB406" s="347"/>
      <c r="AC406" s="347" t="b">
        <f>テーブル1[[#This Row],[要求事項一覧
判定]]=テーブル1[[#This Row],[列2]]</f>
        <v>1</v>
      </c>
    </row>
    <row r="407" spans="1:29" ht="14.5">
      <c r="A407" s="1" t="str">
        <f>テーブル1[[#This Row],[対象部門]]&amp;テーブル1[[#This Row],[業務要件回答表からの事前回答案_v1.0.xlsxより]]</f>
        <v/>
      </c>
      <c r="B407" s="1" t="s">
        <v>3199</v>
      </c>
      <c r="D407" s="10" t="s">
        <v>1769</v>
      </c>
      <c r="E407" s="54"/>
      <c r="F407" s="21"/>
      <c r="G407" s="68"/>
      <c r="H407" s="44"/>
      <c r="I407" s="15"/>
      <c r="J407" s="68"/>
      <c r="K407" s="68"/>
      <c r="L407" s="30"/>
      <c r="M407" s="30"/>
      <c r="N407" s="44"/>
      <c r="O407" s="44"/>
      <c r="P407" s="44"/>
      <c r="Q407" s="44"/>
      <c r="R407" s="44"/>
      <c r="S407" s="26"/>
      <c r="T407" s="44"/>
      <c r="U407" s="91"/>
      <c r="V407" s="94"/>
      <c r="W407" s="334"/>
      <c r="X407" s="41" t="str">
        <f>テーブル1[[#This Row],[開発]]&amp;テーブル1[[#This Row],[スコープ]]</f>
        <v/>
      </c>
      <c r="Y407" s="41" t="str">
        <f>IF(テーブル1[[#This Row],[列1]]="不要IN","標準",IF(テーブル1[[#This Row],[列1]]="不要OUT","スコープアウト",IF(テーブル1[[#This Row],[列1]]="必要IN","アドオン",IF(テーブル1[[#This Row],[列1]]="OUT","スコープアウト",""))))</f>
        <v/>
      </c>
      <c r="Z407" s="347" t="e">
        <f>VLOOKUP($B407,Sheet1!$C$2:$L$315,9,)</f>
        <v>#N/A</v>
      </c>
      <c r="AA407" s="340" t="e">
        <f>VLOOKUP($B407,Sheet1!$C$2:$L$315,10,)</f>
        <v>#N/A</v>
      </c>
      <c r="AB407" s="347"/>
      <c r="AC407" s="347" t="b">
        <f>テーブル1[[#This Row],[要求事項一覧
判定]]=テーブル1[[#This Row],[列2]]</f>
        <v>1</v>
      </c>
    </row>
    <row r="408" spans="1:29" ht="14.5">
      <c r="A408" s="1" t="str">
        <f>テーブル1[[#This Row],[対象部門]]&amp;テーブル1[[#This Row],[業務要件回答表からの事前回答案_v1.0.xlsxより]]</f>
        <v/>
      </c>
      <c r="B408" s="1" t="s">
        <v>3199</v>
      </c>
      <c r="D408" s="10" t="s">
        <v>1770</v>
      </c>
      <c r="E408" s="54"/>
      <c r="F408" s="21"/>
      <c r="G408" s="68"/>
      <c r="H408" s="44"/>
      <c r="I408" s="15"/>
      <c r="J408" s="68"/>
      <c r="K408" s="68"/>
      <c r="L408" s="30"/>
      <c r="M408" s="30"/>
      <c r="N408" s="44"/>
      <c r="O408" s="44"/>
      <c r="P408" s="44"/>
      <c r="Q408" s="44"/>
      <c r="R408" s="44"/>
      <c r="S408" s="26"/>
      <c r="T408" s="44"/>
      <c r="U408" s="91"/>
      <c r="V408" s="94"/>
      <c r="W408" s="334"/>
      <c r="X408" s="41" t="str">
        <f>テーブル1[[#This Row],[開発]]&amp;テーブル1[[#This Row],[スコープ]]</f>
        <v/>
      </c>
      <c r="Y408" s="41" t="str">
        <f>IF(テーブル1[[#This Row],[列1]]="不要IN","標準",IF(テーブル1[[#This Row],[列1]]="不要OUT","スコープアウト",IF(テーブル1[[#This Row],[列1]]="必要IN","アドオン",IF(テーブル1[[#This Row],[列1]]="OUT","スコープアウト",""))))</f>
        <v/>
      </c>
      <c r="Z408" s="347" t="e">
        <f>VLOOKUP($B408,Sheet1!$C$2:$L$315,9,)</f>
        <v>#N/A</v>
      </c>
      <c r="AA408" s="340" t="e">
        <f>VLOOKUP($B408,Sheet1!$C$2:$L$315,10,)</f>
        <v>#N/A</v>
      </c>
      <c r="AB408" s="347"/>
      <c r="AC408" s="347" t="b">
        <f>テーブル1[[#This Row],[要求事項一覧
判定]]=テーブル1[[#This Row],[列2]]</f>
        <v>1</v>
      </c>
    </row>
    <row r="409" spans="1:29" ht="14.5">
      <c r="A409" s="1" t="str">
        <f>テーブル1[[#This Row],[対象部門]]&amp;テーブル1[[#This Row],[業務要件回答表からの事前回答案_v1.0.xlsxより]]</f>
        <v/>
      </c>
      <c r="B409" s="1" t="s">
        <v>3199</v>
      </c>
      <c r="D409" s="10" t="s">
        <v>1771</v>
      </c>
      <c r="E409" s="54"/>
      <c r="F409" s="21"/>
      <c r="G409" s="68"/>
      <c r="H409" s="44"/>
      <c r="I409" s="15"/>
      <c r="J409" s="68"/>
      <c r="K409" s="68"/>
      <c r="L409" s="30"/>
      <c r="M409" s="30"/>
      <c r="N409" s="44"/>
      <c r="O409" s="44"/>
      <c r="P409" s="44"/>
      <c r="Q409" s="44"/>
      <c r="R409" s="44"/>
      <c r="S409" s="26"/>
      <c r="T409" s="44"/>
      <c r="U409" s="91"/>
      <c r="V409" s="94"/>
      <c r="W409" s="334"/>
      <c r="X409" s="41" t="str">
        <f>テーブル1[[#This Row],[開発]]&amp;テーブル1[[#This Row],[スコープ]]</f>
        <v/>
      </c>
      <c r="Y409" s="41" t="str">
        <f>IF(テーブル1[[#This Row],[列1]]="不要IN","標準",IF(テーブル1[[#This Row],[列1]]="不要OUT","スコープアウト",IF(テーブル1[[#This Row],[列1]]="必要IN","アドオン",IF(テーブル1[[#This Row],[列1]]="OUT","スコープアウト",""))))</f>
        <v/>
      </c>
      <c r="Z409" s="347" t="e">
        <f>VLOOKUP($B409,Sheet1!$C$2:$L$315,9,)</f>
        <v>#N/A</v>
      </c>
      <c r="AA409" s="340" t="e">
        <f>VLOOKUP($B409,Sheet1!$C$2:$L$315,10,)</f>
        <v>#N/A</v>
      </c>
      <c r="AB409" s="347"/>
      <c r="AC409" s="347" t="b">
        <f>テーブル1[[#This Row],[要求事項一覧
判定]]=テーブル1[[#This Row],[列2]]</f>
        <v>1</v>
      </c>
    </row>
    <row r="410" spans="1:29" ht="14.5">
      <c r="A410" s="1" t="str">
        <f>テーブル1[[#This Row],[対象部門]]&amp;テーブル1[[#This Row],[業務要件回答表からの事前回答案_v1.0.xlsxより]]</f>
        <v/>
      </c>
      <c r="B410" s="1" t="s">
        <v>3199</v>
      </c>
      <c r="D410" s="10" t="s">
        <v>1772</v>
      </c>
      <c r="E410" s="54"/>
      <c r="F410" s="21"/>
      <c r="G410" s="68"/>
      <c r="H410" s="44"/>
      <c r="I410" s="15"/>
      <c r="J410" s="68"/>
      <c r="K410" s="68"/>
      <c r="L410" s="30"/>
      <c r="M410" s="30"/>
      <c r="N410" s="44"/>
      <c r="O410" s="44"/>
      <c r="P410" s="44"/>
      <c r="Q410" s="44"/>
      <c r="R410" s="44"/>
      <c r="S410" s="26"/>
      <c r="T410" s="44"/>
      <c r="U410" s="91"/>
      <c r="V410" s="94"/>
      <c r="W410" s="334"/>
      <c r="X410" s="41" t="str">
        <f>テーブル1[[#This Row],[開発]]&amp;テーブル1[[#This Row],[スコープ]]</f>
        <v/>
      </c>
      <c r="Y410" s="41" t="str">
        <f>IF(テーブル1[[#This Row],[列1]]="不要IN","標準",IF(テーブル1[[#This Row],[列1]]="不要OUT","スコープアウト",IF(テーブル1[[#This Row],[列1]]="必要IN","アドオン",IF(テーブル1[[#This Row],[列1]]="OUT","スコープアウト",""))))</f>
        <v/>
      </c>
      <c r="Z410" s="347" t="e">
        <f>VLOOKUP($B410,Sheet1!$C$2:$L$315,9,)</f>
        <v>#N/A</v>
      </c>
      <c r="AA410" s="340" t="e">
        <f>VLOOKUP($B410,Sheet1!$C$2:$L$315,10,)</f>
        <v>#N/A</v>
      </c>
      <c r="AB410" s="347"/>
      <c r="AC410" s="347" t="b">
        <f>テーブル1[[#This Row],[要求事項一覧
判定]]=テーブル1[[#This Row],[列2]]</f>
        <v>1</v>
      </c>
    </row>
    <row r="411" spans="1:29" ht="14.5">
      <c r="A411" s="1" t="str">
        <f>テーブル1[[#This Row],[対象部門]]&amp;テーブル1[[#This Row],[業務要件回答表からの事前回答案_v1.0.xlsxより]]</f>
        <v/>
      </c>
      <c r="B411" s="1" t="s">
        <v>3199</v>
      </c>
      <c r="D411" s="10" t="s">
        <v>1773</v>
      </c>
      <c r="E411" s="54"/>
      <c r="F411" s="21"/>
      <c r="G411" s="68"/>
      <c r="H411" s="44"/>
      <c r="I411" s="15"/>
      <c r="J411" s="68"/>
      <c r="K411" s="68"/>
      <c r="L411" s="30"/>
      <c r="M411" s="30"/>
      <c r="N411" s="44"/>
      <c r="O411" s="44"/>
      <c r="P411" s="44"/>
      <c r="Q411" s="44"/>
      <c r="R411" s="44"/>
      <c r="S411" s="26"/>
      <c r="T411" s="44"/>
      <c r="U411" s="91"/>
      <c r="V411" s="94"/>
      <c r="W411" s="334"/>
      <c r="X411" s="41" t="str">
        <f>テーブル1[[#This Row],[開発]]&amp;テーブル1[[#This Row],[スコープ]]</f>
        <v/>
      </c>
      <c r="Y411" s="41" t="str">
        <f>IF(テーブル1[[#This Row],[列1]]="不要IN","標準",IF(テーブル1[[#This Row],[列1]]="不要OUT","スコープアウト",IF(テーブル1[[#This Row],[列1]]="必要IN","アドオン",IF(テーブル1[[#This Row],[列1]]="OUT","スコープアウト",""))))</f>
        <v/>
      </c>
      <c r="Z411" s="347" t="e">
        <f>VLOOKUP($B411,Sheet1!$C$2:$L$315,9,)</f>
        <v>#N/A</v>
      </c>
      <c r="AA411" s="340" t="e">
        <f>VLOOKUP($B411,Sheet1!$C$2:$L$315,10,)</f>
        <v>#N/A</v>
      </c>
      <c r="AB411" s="347"/>
      <c r="AC411" s="347" t="b">
        <f>テーブル1[[#This Row],[要求事項一覧
判定]]=テーブル1[[#This Row],[列2]]</f>
        <v>1</v>
      </c>
    </row>
    <row r="412" spans="1:29" ht="14.5">
      <c r="A412" s="1" t="str">
        <f>テーブル1[[#This Row],[対象部門]]&amp;テーブル1[[#This Row],[業務要件回答表からの事前回答案_v1.0.xlsxより]]</f>
        <v/>
      </c>
      <c r="B412" s="1" t="s">
        <v>3199</v>
      </c>
      <c r="D412" s="10" t="s">
        <v>1774</v>
      </c>
      <c r="E412" s="54"/>
      <c r="F412" s="21"/>
      <c r="G412" s="68"/>
      <c r="H412" s="44"/>
      <c r="I412" s="15"/>
      <c r="J412" s="68"/>
      <c r="K412" s="68"/>
      <c r="L412" s="30"/>
      <c r="M412" s="30"/>
      <c r="N412" s="44"/>
      <c r="O412" s="44"/>
      <c r="P412" s="44"/>
      <c r="Q412" s="44"/>
      <c r="R412" s="44"/>
      <c r="S412" s="26"/>
      <c r="T412" s="44"/>
      <c r="U412" s="91"/>
      <c r="V412" s="94"/>
      <c r="W412" s="334"/>
      <c r="X412" s="41" t="str">
        <f>テーブル1[[#This Row],[開発]]&amp;テーブル1[[#This Row],[スコープ]]</f>
        <v/>
      </c>
      <c r="Y412" s="41" t="str">
        <f>IF(テーブル1[[#This Row],[列1]]="不要IN","標準",IF(テーブル1[[#This Row],[列1]]="不要OUT","スコープアウト",IF(テーブル1[[#This Row],[列1]]="必要IN","アドオン",IF(テーブル1[[#This Row],[列1]]="OUT","スコープアウト",""))))</f>
        <v/>
      </c>
      <c r="Z412" s="347" t="e">
        <f>VLOOKUP($B412,Sheet1!$C$2:$L$315,9,)</f>
        <v>#N/A</v>
      </c>
      <c r="AA412" s="340" t="e">
        <f>VLOOKUP($B412,Sheet1!$C$2:$L$315,10,)</f>
        <v>#N/A</v>
      </c>
      <c r="AB412" s="347"/>
      <c r="AC412" s="347" t="b">
        <f>テーブル1[[#This Row],[要求事項一覧
判定]]=テーブル1[[#This Row],[列2]]</f>
        <v>1</v>
      </c>
    </row>
    <row r="413" spans="1:29" ht="14.5">
      <c r="A413" s="1" t="str">
        <f>テーブル1[[#This Row],[対象部門]]&amp;テーブル1[[#This Row],[業務要件回答表からの事前回答案_v1.0.xlsxより]]</f>
        <v/>
      </c>
      <c r="B413" s="1" t="s">
        <v>3199</v>
      </c>
      <c r="D413" s="10" t="s">
        <v>1775</v>
      </c>
      <c r="E413" s="54"/>
      <c r="F413" s="21"/>
      <c r="G413" s="68"/>
      <c r="H413" s="44"/>
      <c r="I413" s="15"/>
      <c r="J413" s="68"/>
      <c r="K413" s="68"/>
      <c r="L413" s="30"/>
      <c r="M413" s="30"/>
      <c r="N413" s="44"/>
      <c r="O413" s="44"/>
      <c r="P413" s="44"/>
      <c r="Q413" s="44"/>
      <c r="R413" s="44"/>
      <c r="S413" s="26"/>
      <c r="T413" s="44"/>
      <c r="U413" s="91"/>
      <c r="V413" s="94"/>
      <c r="W413" s="334"/>
      <c r="X413" s="41" t="str">
        <f>テーブル1[[#This Row],[開発]]&amp;テーブル1[[#This Row],[スコープ]]</f>
        <v/>
      </c>
      <c r="Y413" s="41" t="str">
        <f>IF(テーブル1[[#This Row],[列1]]="不要IN","標準",IF(テーブル1[[#This Row],[列1]]="不要OUT","スコープアウト",IF(テーブル1[[#This Row],[列1]]="必要IN","アドオン",IF(テーブル1[[#This Row],[列1]]="OUT","スコープアウト",""))))</f>
        <v/>
      </c>
      <c r="Z413" s="347" t="e">
        <f>VLOOKUP($B413,Sheet1!$C$2:$L$315,9,)</f>
        <v>#N/A</v>
      </c>
      <c r="AA413" s="340" t="e">
        <f>VLOOKUP($B413,Sheet1!$C$2:$L$315,10,)</f>
        <v>#N/A</v>
      </c>
      <c r="AB413" s="347"/>
      <c r="AC413" s="347" t="b">
        <f>テーブル1[[#This Row],[要求事項一覧
判定]]=テーブル1[[#This Row],[列2]]</f>
        <v>1</v>
      </c>
    </row>
    <row r="414" spans="1:29" ht="14.5">
      <c r="A414" s="1" t="str">
        <f>テーブル1[[#This Row],[対象部門]]&amp;テーブル1[[#This Row],[業務要件回答表からの事前回答案_v1.0.xlsxより]]</f>
        <v/>
      </c>
      <c r="B414" s="1" t="s">
        <v>3199</v>
      </c>
      <c r="D414" s="10" t="s">
        <v>1776</v>
      </c>
      <c r="E414" s="54"/>
      <c r="F414" s="21"/>
      <c r="G414" s="68"/>
      <c r="H414" s="44"/>
      <c r="I414" s="15"/>
      <c r="J414" s="68"/>
      <c r="K414" s="68"/>
      <c r="L414" s="30"/>
      <c r="M414" s="30"/>
      <c r="N414" s="44"/>
      <c r="O414" s="44"/>
      <c r="P414" s="44"/>
      <c r="Q414" s="44"/>
      <c r="R414" s="44"/>
      <c r="S414" s="26"/>
      <c r="T414" s="44"/>
      <c r="U414" s="91"/>
      <c r="V414" s="94"/>
      <c r="W414" s="334"/>
      <c r="X414" s="41" t="str">
        <f>テーブル1[[#This Row],[開発]]&amp;テーブル1[[#This Row],[スコープ]]</f>
        <v/>
      </c>
      <c r="Y414" s="41" t="str">
        <f>IF(テーブル1[[#This Row],[列1]]="不要IN","標準",IF(テーブル1[[#This Row],[列1]]="不要OUT","スコープアウト",IF(テーブル1[[#This Row],[列1]]="必要IN","アドオン",IF(テーブル1[[#This Row],[列1]]="OUT","スコープアウト",""))))</f>
        <v/>
      </c>
      <c r="Z414" s="347" t="e">
        <f>VLOOKUP($B414,Sheet1!$C$2:$L$315,9,)</f>
        <v>#N/A</v>
      </c>
      <c r="AA414" s="340" t="e">
        <f>VLOOKUP($B414,Sheet1!$C$2:$L$315,10,)</f>
        <v>#N/A</v>
      </c>
      <c r="AB414" s="347"/>
      <c r="AC414" s="347" t="b">
        <f>テーブル1[[#This Row],[要求事項一覧
判定]]=テーブル1[[#This Row],[列2]]</f>
        <v>1</v>
      </c>
    </row>
    <row r="415" spans="1:29" ht="14.5">
      <c r="A415" s="1" t="str">
        <f>テーブル1[[#This Row],[対象部門]]&amp;テーブル1[[#This Row],[業務要件回答表からの事前回答案_v1.0.xlsxより]]</f>
        <v/>
      </c>
      <c r="B415" s="1" t="s">
        <v>3199</v>
      </c>
      <c r="D415" s="10" t="s">
        <v>1777</v>
      </c>
      <c r="E415" s="54"/>
      <c r="F415" s="21"/>
      <c r="G415" s="68"/>
      <c r="H415" s="44"/>
      <c r="I415" s="15"/>
      <c r="J415" s="68"/>
      <c r="K415" s="68"/>
      <c r="L415" s="30"/>
      <c r="M415" s="30"/>
      <c r="N415" s="44"/>
      <c r="O415" s="44"/>
      <c r="P415" s="44"/>
      <c r="Q415" s="44"/>
      <c r="R415" s="44"/>
      <c r="S415" s="26"/>
      <c r="T415" s="44"/>
      <c r="U415" s="91"/>
      <c r="V415" s="94"/>
      <c r="W415" s="334"/>
      <c r="X415" s="41" t="str">
        <f>テーブル1[[#This Row],[開発]]&amp;テーブル1[[#This Row],[スコープ]]</f>
        <v/>
      </c>
      <c r="Y415" s="41" t="str">
        <f>IF(テーブル1[[#This Row],[列1]]="不要IN","標準",IF(テーブル1[[#This Row],[列1]]="不要OUT","スコープアウト",IF(テーブル1[[#This Row],[列1]]="必要IN","アドオン",IF(テーブル1[[#This Row],[列1]]="OUT","スコープアウト",""))))</f>
        <v/>
      </c>
      <c r="Z415" s="347" t="e">
        <f>VLOOKUP($B415,Sheet1!$C$2:$L$315,9,)</f>
        <v>#N/A</v>
      </c>
      <c r="AA415" s="340" t="e">
        <f>VLOOKUP($B415,Sheet1!$C$2:$L$315,10,)</f>
        <v>#N/A</v>
      </c>
      <c r="AB415" s="347"/>
      <c r="AC415" s="347" t="b">
        <f>テーブル1[[#This Row],[要求事項一覧
判定]]=テーブル1[[#This Row],[列2]]</f>
        <v>1</v>
      </c>
    </row>
    <row r="416" spans="1:29" ht="14.5">
      <c r="A416" s="1" t="str">
        <f>テーブル1[[#This Row],[対象部門]]&amp;テーブル1[[#This Row],[業務要件回答表からの事前回答案_v1.0.xlsxより]]</f>
        <v/>
      </c>
      <c r="B416" s="1" t="s">
        <v>3199</v>
      </c>
      <c r="D416" s="10" t="s">
        <v>1778</v>
      </c>
      <c r="E416" s="54"/>
      <c r="F416" s="21"/>
      <c r="G416" s="68"/>
      <c r="H416" s="44"/>
      <c r="I416" s="15"/>
      <c r="J416" s="68"/>
      <c r="K416" s="68"/>
      <c r="L416" s="30"/>
      <c r="M416" s="30"/>
      <c r="N416" s="44"/>
      <c r="O416" s="44"/>
      <c r="P416" s="44"/>
      <c r="Q416" s="44"/>
      <c r="R416" s="44"/>
      <c r="S416" s="26"/>
      <c r="T416" s="44"/>
      <c r="U416" s="91"/>
      <c r="V416" s="94"/>
      <c r="W416" s="334"/>
      <c r="X416" s="41" t="str">
        <f>テーブル1[[#This Row],[開発]]&amp;テーブル1[[#This Row],[スコープ]]</f>
        <v/>
      </c>
      <c r="Y416" s="41" t="str">
        <f>IF(テーブル1[[#This Row],[列1]]="不要IN","標準",IF(テーブル1[[#This Row],[列1]]="不要OUT","スコープアウト",IF(テーブル1[[#This Row],[列1]]="必要IN","アドオン",IF(テーブル1[[#This Row],[列1]]="OUT","スコープアウト",""))))</f>
        <v/>
      </c>
      <c r="Z416" s="347" t="e">
        <f>VLOOKUP($B416,Sheet1!$C$2:$L$315,9,)</f>
        <v>#N/A</v>
      </c>
      <c r="AA416" s="340" t="e">
        <f>VLOOKUP($B416,Sheet1!$C$2:$L$315,10,)</f>
        <v>#N/A</v>
      </c>
      <c r="AB416" s="347"/>
      <c r="AC416" s="347" t="b">
        <f>テーブル1[[#This Row],[要求事項一覧
判定]]=テーブル1[[#This Row],[列2]]</f>
        <v>1</v>
      </c>
    </row>
    <row r="417" spans="1:29" ht="14.5">
      <c r="A417" s="1" t="str">
        <f>テーブル1[[#This Row],[対象部門]]&amp;テーブル1[[#This Row],[業務要件回答表からの事前回答案_v1.0.xlsxより]]</f>
        <v/>
      </c>
      <c r="B417" s="1" t="s">
        <v>3199</v>
      </c>
      <c r="D417" s="10" t="s">
        <v>1779</v>
      </c>
      <c r="E417" s="54"/>
      <c r="F417" s="21"/>
      <c r="G417" s="68"/>
      <c r="H417" s="44"/>
      <c r="I417" s="15"/>
      <c r="J417" s="68"/>
      <c r="K417" s="68"/>
      <c r="L417" s="30"/>
      <c r="M417" s="30"/>
      <c r="N417" s="44"/>
      <c r="O417" s="44"/>
      <c r="P417" s="44"/>
      <c r="Q417" s="44"/>
      <c r="R417" s="44"/>
      <c r="S417" s="26"/>
      <c r="T417" s="44"/>
      <c r="U417" s="91"/>
      <c r="V417" s="94"/>
      <c r="W417" s="334"/>
      <c r="X417" s="41" t="str">
        <f>テーブル1[[#This Row],[開発]]&amp;テーブル1[[#This Row],[スコープ]]</f>
        <v/>
      </c>
      <c r="Y417" s="41" t="str">
        <f>IF(テーブル1[[#This Row],[列1]]="不要IN","標準",IF(テーブル1[[#This Row],[列1]]="不要OUT","スコープアウト",IF(テーブル1[[#This Row],[列1]]="必要IN","アドオン",IF(テーブル1[[#This Row],[列1]]="OUT","スコープアウト",""))))</f>
        <v/>
      </c>
      <c r="Z417" s="347" t="e">
        <f>VLOOKUP($B417,Sheet1!$C$2:$L$315,9,)</f>
        <v>#N/A</v>
      </c>
      <c r="AA417" s="340" t="e">
        <f>VLOOKUP($B417,Sheet1!$C$2:$L$315,10,)</f>
        <v>#N/A</v>
      </c>
      <c r="AB417" s="347"/>
      <c r="AC417" s="347" t="b">
        <f>テーブル1[[#This Row],[要求事項一覧
判定]]=テーブル1[[#This Row],[列2]]</f>
        <v>1</v>
      </c>
    </row>
    <row r="418" spans="1:29" ht="14.5">
      <c r="A418" s="1" t="str">
        <f>テーブル1[[#This Row],[対象部門]]&amp;テーブル1[[#This Row],[業務要件回答表からの事前回答案_v1.0.xlsxより]]</f>
        <v/>
      </c>
      <c r="B418" s="1" t="s">
        <v>3199</v>
      </c>
      <c r="D418" s="10" t="s">
        <v>1780</v>
      </c>
      <c r="E418" s="54"/>
      <c r="F418" s="21"/>
      <c r="G418" s="68"/>
      <c r="H418" s="44"/>
      <c r="I418" s="15"/>
      <c r="J418" s="68"/>
      <c r="K418" s="68"/>
      <c r="L418" s="30"/>
      <c r="M418" s="30"/>
      <c r="N418" s="44"/>
      <c r="O418" s="44"/>
      <c r="P418" s="44"/>
      <c r="Q418" s="44"/>
      <c r="R418" s="44"/>
      <c r="S418" s="26"/>
      <c r="T418" s="44"/>
      <c r="U418" s="91"/>
      <c r="V418" s="94"/>
      <c r="W418" s="334"/>
      <c r="X418" s="41" t="str">
        <f>テーブル1[[#This Row],[開発]]&amp;テーブル1[[#This Row],[スコープ]]</f>
        <v/>
      </c>
      <c r="Y418" s="41" t="str">
        <f>IF(テーブル1[[#This Row],[列1]]="不要IN","標準",IF(テーブル1[[#This Row],[列1]]="不要OUT","スコープアウト",IF(テーブル1[[#This Row],[列1]]="必要IN","アドオン",IF(テーブル1[[#This Row],[列1]]="OUT","スコープアウト",""))))</f>
        <v/>
      </c>
      <c r="Z418" s="347" t="e">
        <f>VLOOKUP($B418,Sheet1!$C$2:$L$315,9,)</f>
        <v>#N/A</v>
      </c>
      <c r="AA418" s="340" t="e">
        <f>VLOOKUP($B418,Sheet1!$C$2:$L$315,10,)</f>
        <v>#N/A</v>
      </c>
      <c r="AB418" s="347"/>
      <c r="AC418" s="347" t="b">
        <f>テーブル1[[#This Row],[要求事項一覧
判定]]=テーブル1[[#This Row],[列2]]</f>
        <v>1</v>
      </c>
    </row>
    <row r="419" spans="1:29" ht="14.5">
      <c r="A419" s="1" t="str">
        <f>テーブル1[[#This Row],[対象部門]]&amp;テーブル1[[#This Row],[業務要件回答表からの事前回答案_v1.0.xlsxより]]</f>
        <v/>
      </c>
      <c r="B419" s="1" t="s">
        <v>3199</v>
      </c>
      <c r="D419" s="10" t="s">
        <v>1781</v>
      </c>
      <c r="E419" s="54"/>
      <c r="F419" s="21"/>
      <c r="G419" s="68"/>
      <c r="H419" s="44"/>
      <c r="I419" s="15"/>
      <c r="J419" s="68"/>
      <c r="K419" s="68"/>
      <c r="L419" s="30"/>
      <c r="M419" s="30"/>
      <c r="N419" s="44"/>
      <c r="O419" s="44"/>
      <c r="P419" s="44"/>
      <c r="Q419" s="44"/>
      <c r="R419" s="44"/>
      <c r="S419" s="26"/>
      <c r="T419" s="44"/>
      <c r="U419" s="91"/>
      <c r="V419" s="94"/>
      <c r="W419" s="334"/>
      <c r="X419" s="41" t="str">
        <f>テーブル1[[#This Row],[開発]]&amp;テーブル1[[#This Row],[スコープ]]</f>
        <v/>
      </c>
      <c r="Y419" s="41" t="str">
        <f>IF(テーブル1[[#This Row],[列1]]="不要IN","標準",IF(テーブル1[[#This Row],[列1]]="不要OUT","スコープアウト",IF(テーブル1[[#This Row],[列1]]="必要IN","アドオン",IF(テーブル1[[#This Row],[列1]]="OUT","スコープアウト",""))))</f>
        <v/>
      </c>
      <c r="Z419" s="347" t="e">
        <f>VLOOKUP($B419,Sheet1!$C$2:$L$315,9,)</f>
        <v>#N/A</v>
      </c>
      <c r="AA419" s="340" t="e">
        <f>VLOOKUP($B419,Sheet1!$C$2:$L$315,10,)</f>
        <v>#N/A</v>
      </c>
      <c r="AB419" s="347"/>
      <c r="AC419" s="347" t="b">
        <f>テーブル1[[#This Row],[要求事項一覧
判定]]=テーブル1[[#This Row],[列2]]</f>
        <v>1</v>
      </c>
    </row>
    <row r="420" spans="1:29" ht="14.5">
      <c r="A420" s="1" t="str">
        <f>テーブル1[[#This Row],[対象部門]]&amp;テーブル1[[#This Row],[業務要件回答表からの事前回答案_v1.0.xlsxより]]</f>
        <v/>
      </c>
      <c r="B420" s="1" t="s">
        <v>3199</v>
      </c>
      <c r="D420" s="10" t="s">
        <v>1782</v>
      </c>
      <c r="E420" s="54"/>
      <c r="F420" s="21"/>
      <c r="G420" s="68"/>
      <c r="H420" s="44"/>
      <c r="I420" s="15"/>
      <c r="J420" s="68"/>
      <c r="K420" s="68"/>
      <c r="L420" s="30"/>
      <c r="M420" s="30"/>
      <c r="N420" s="44"/>
      <c r="O420" s="44"/>
      <c r="P420" s="44"/>
      <c r="Q420" s="44"/>
      <c r="R420" s="44"/>
      <c r="S420" s="26"/>
      <c r="T420" s="44"/>
      <c r="U420" s="91"/>
      <c r="V420" s="94"/>
      <c r="W420" s="334"/>
      <c r="X420" s="41" t="str">
        <f>テーブル1[[#This Row],[開発]]&amp;テーブル1[[#This Row],[スコープ]]</f>
        <v/>
      </c>
      <c r="Y420" s="41" t="str">
        <f>IF(テーブル1[[#This Row],[列1]]="不要IN","標準",IF(テーブル1[[#This Row],[列1]]="不要OUT","スコープアウト",IF(テーブル1[[#This Row],[列1]]="必要IN","アドオン",IF(テーブル1[[#This Row],[列1]]="OUT","スコープアウト",""))))</f>
        <v/>
      </c>
      <c r="Z420" s="347" t="e">
        <f>VLOOKUP($B420,Sheet1!$C$2:$L$315,9,)</f>
        <v>#N/A</v>
      </c>
      <c r="AA420" s="340" t="e">
        <f>VLOOKUP($B420,Sheet1!$C$2:$L$315,10,)</f>
        <v>#N/A</v>
      </c>
      <c r="AB420" s="347"/>
      <c r="AC420" s="347" t="b">
        <f>テーブル1[[#This Row],[要求事項一覧
判定]]=テーブル1[[#This Row],[列2]]</f>
        <v>1</v>
      </c>
    </row>
    <row r="421" spans="1:29" ht="14.5">
      <c r="A421" s="1" t="str">
        <f>テーブル1[[#This Row],[対象部門]]&amp;テーブル1[[#This Row],[業務要件回答表からの事前回答案_v1.0.xlsxより]]</f>
        <v/>
      </c>
      <c r="B421" s="1" t="s">
        <v>3199</v>
      </c>
      <c r="D421" s="10" t="s">
        <v>1783</v>
      </c>
      <c r="E421" s="54"/>
      <c r="F421" s="21"/>
      <c r="G421" s="68"/>
      <c r="H421" s="44"/>
      <c r="I421" s="15"/>
      <c r="J421" s="68"/>
      <c r="K421" s="68"/>
      <c r="L421" s="30"/>
      <c r="M421" s="30"/>
      <c r="N421" s="44"/>
      <c r="O421" s="44"/>
      <c r="P421" s="44"/>
      <c r="Q421" s="44"/>
      <c r="R421" s="44"/>
      <c r="S421" s="26"/>
      <c r="T421" s="44"/>
      <c r="U421" s="91"/>
      <c r="V421" s="94"/>
      <c r="W421" s="334"/>
      <c r="X421" s="41" t="str">
        <f>テーブル1[[#This Row],[開発]]&amp;テーブル1[[#This Row],[スコープ]]</f>
        <v/>
      </c>
      <c r="Y421" s="41" t="str">
        <f>IF(テーブル1[[#This Row],[列1]]="不要IN","標準",IF(テーブル1[[#This Row],[列1]]="不要OUT","スコープアウト",IF(テーブル1[[#This Row],[列1]]="必要IN","アドオン",IF(テーブル1[[#This Row],[列1]]="OUT","スコープアウト",""))))</f>
        <v/>
      </c>
      <c r="Z421" s="347" t="e">
        <f>VLOOKUP($B421,Sheet1!$C$2:$L$315,9,)</f>
        <v>#N/A</v>
      </c>
      <c r="AA421" s="340" t="e">
        <f>VLOOKUP($B421,Sheet1!$C$2:$L$315,10,)</f>
        <v>#N/A</v>
      </c>
      <c r="AB421" s="347"/>
      <c r="AC421" s="347" t="b">
        <f>テーブル1[[#This Row],[要求事項一覧
判定]]=テーブル1[[#This Row],[列2]]</f>
        <v>1</v>
      </c>
    </row>
    <row r="422" spans="1:29" ht="14.5">
      <c r="A422" s="1" t="str">
        <f>テーブル1[[#This Row],[対象部門]]&amp;テーブル1[[#This Row],[業務要件回答表からの事前回答案_v1.0.xlsxより]]</f>
        <v/>
      </c>
      <c r="B422" s="1" t="s">
        <v>3199</v>
      </c>
      <c r="D422" s="10" t="s">
        <v>1784</v>
      </c>
      <c r="E422" s="54"/>
      <c r="F422" s="21"/>
      <c r="G422" s="68"/>
      <c r="H422" s="44"/>
      <c r="I422" s="15"/>
      <c r="J422" s="68"/>
      <c r="K422" s="68"/>
      <c r="L422" s="30"/>
      <c r="M422" s="30"/>
      <c r="N422" s="44"/>
      <c r="O422" s="44"/>
      <c r="P422" s="44"/>
      <c r="Q422" s="44"/>
      <c r="R422" s="44"/>
      <c r="S422" s="26"/>
      <c r="T422" s="44"/>
      <c r="U422" s="91"/>
      <c r="V422" s="94"/>
      <c r="W422" s="334"/>
      <c r="X422" s="41" t="str">
        <f>テーブル1[[#This Row],[開発]]&amp;テーブル1[[#This Row],[スコープ]]</f>
        <v/>
      </c>
      <c r="Y422" s="41" t="str">
        <f>IF(テーブル1[[#This Row],[列1]]="不要IN","標準",IF(テーブル1[[#This Row],[列1]]="不要OUT","スコープアウト",IF(テーブル1[[#This Row],[列1]]="必要IN","アドオン",IF(テーブル1[[#This Row],[列1]]="OUT","スコープアウト",""))))</f>
        <v/>
      </c>
      <c r="Z422" s="347" t="e">
        <f>VLOOKUP($B422,Sheet1!$C$2:$L$315,9,)</f>
        <v>#N/A</v>
      </c>
      <c r="AA422" s="340" t="e">
        <f>VLOOKUP($B422,Sheet1!$C$2:$L$315,10,)</f>
        <v>#N/A</v>
      </c>
      <c r="AB422" s="347"/>
      <c r="AC422" s="347" t="b">
        <f>テーブル1[[#This Row],[要求事項一覧
判定]]=テーブル1[[#This Row],[列2]]</f>
        <v>1</v>
      </c>
    </row>
    <row r="423" spans="1:29" ht="14.5">
      <c r="A423" s="1" t="str">
        <f>テーブル1[[#This Row],[対象部門]]&amp;テーブル1[[#This Row],[業務要件回答表からの事前回答案_v1.0.xlsxより]]</f>
        <v/>
      </c>
      <c r="B423" s="1" t="s">
        <v>3199</v>
      </c>
      <c r="D423" s="10" t="s">
        <v>1785</v>
      </c>
      <c r="E423" s="54"/>
      <c r="F423" s="21"/>
      <c r="G423" s="68"/>
      <c r="H423" s="44"/>
      <c r="I423" s="15"/>
      <c r="J423" s="68"/>
      <c r="K423" s="68"/>
      <c r="L423" s="30"/>
      <c r="M423" s="30"/>
      <c r="N423" s="44"/>
      <c r="O423" s="44"/>
      <c r="P423" s="44"/>
      <c r="Q423" s="44"/>
      <c r="R423" s="44"/>
      <c r="S423" s="26"/>
      <c r="T423" s="44"/>
      <c r="U423" s="91"/>
      <c r="V423" s="94"/>
      <c r="W423" s="334"/>
      <c r="X423" s="41" t="str">
        <f>テーブル1[[#This Row],[開発]]&amp;テーブル1[[#This Row],[スコープ]]</f>
        <v/>
      </c>
      <c r="Y423" s="41" t="str">
        <f>IF(テーブル1[[#This Row],[列1]]="不要IN","標準",IF(テーブル1[[#This Row],[列1]]="不要OUT","スコープアウト",IF(テーブル1[[#This Row],[列1]]="必要IN","アドオン",IF(テーブル1[[#This Row],[列1]]="OUT","スコープアウト",""))))</f>
        <v/>
      </c>
      <c r="Z423" s="347" t="e">
        <f>VLOOKUP($B423,Sheet1!$C$2:$L$315,9,)</f>
        <v>#N/A</v>
      </c>
      <c r="AA423" s="340" t="e">
        <f>VLOOKUP($B423,Sheet1!$C$2:$L$315,10,)</f>
        <v>#N/A</v>
      </c>
      <c r="AB423" s="347"/>
      <c r="AC423" s="347" t="b">
        <f>テーブル1[[#This Row],[要求事項一覧
判定]]=テーブル1[[#This Row],[列2]]</f>
        <v>1</v>
      </c>
    </row>
    <row r="424" spans="1:29" ht="14.5">
      <c r="A424" s="1" t="str">
        <f>テーブル1[[#This Row],[対象部門]]&amp;テーブル1[[#This Row],[業務要件回答表からの事前回答案_v1.0.xlsxより]]</f>
        <v/>
      </c>
      <c r="B424" s="1" t="s">
        <v>3199</v>
      </c>
      <c r="D424" s="10" t="s">
        <v>1786</v>
      </c>
      <c r="E424" s="54"/>
      <c r="F424" s="21"/>
      <c r="G424" s="68"/>
      <c r="H424" s="44"/>
      <c r="I424" s="15"/>
      <c r="J424" s="68"/>
      <c r="K424" s="68"/>
      <c r="L424" s="30"/>
      <c r="M424" s="30"/>
      <c r="N424" s="44"/>
      <c r="O424" s="44"/>
      <c r="P424" s="44"/>
      <c r="Q424" s="44"/>
      <c r="R424" s="44"/>
      <c r="S424" s="26"/>
      <c r="T424" s="44"/>
      <c r="U424" s="91"/>
      <c r="V424" s="94"/>
      <c r="W424" s="334"/>
      <c r="X424" s="41" t="str">
        <f>テーブル1[[#This Row],[開発]]&amp;テーブル1[[#This Row],[スコープ]]</f>
        <v/>
      </c>
      <c r="Y424" s="41" t="str">
        <f>IF(テーブル1[[#This Row],[列1]]="不要IN","標準",IF(テーブル1[[#This Row],[列1]]="不要OUT","スコープアウト",IF(テーブル1[[#This Row],[列1]]="必要IN","アドオン",IF(テーブル1[[#This Row],[列1]]="OUT","スコープアウト",""))))</f>
        <v/>
      </c>
      <c r="Z424" s="347" t="e">
        <f>VLOOKUP($B424,Sheet1!$C$2:$L$315,9,)</f>
        <v>#N/A</v>
      </c>
      <c r="AA424" s="340" t="e">
        <f>VLOOKUP($B424,Sheet1!$C$2:$L$315,10,)</f>
        <v>#N/A</v>
      </c>
      <c r="AB424" s="347"/>
      <c r="AC424" s="347" t="b">
        <f>テーブル1[[#This Row],[要求事項一覧
判定]]=テーブル1[[#This Row],[列2]]</f>
        <v>1</v>
      </c>
    </row>
    <row r="425" spans="1:29" ht="14.5">
      <c r="A425" s="1" t="str">
        <f>テーブル1[[#This Row],[対象部門]]&amp;テーブル1[[#This Row],[業務要件回答表からの事前回答案_v1.0.xlsxより]]</f>
        <v/>
      </c>
      <c r="B425" s="1" t="s">
        <v>3199</v>
      </c>
      <c r="D425" s="10" t="s">
        <v>1787</v>
      </c>
      <c r="E425" s="54"/>
      <c r="F425" s="21"/>
      <c r="G425" s="68"/>
      <c r="H425" s="44"/>
      <c r="I425" s="15"/>
      <c r="J425" s="68"/>
      <c r="K425" s="68"/>
      <c r="L425" s="30"/>
      <c r="M425" s="30"/>
      <c r="N425" s="44"/>
      <c r="O425" s="44"/>
      <c r="P425" s="44"/>
      <c r="Q425" s="44"/>
      <c r="R425" s="44"/>
      <c r="S425" s="26"/>
      <c r="T425" s="44"/>
      <c r="U425" s="91"/>
      <c r="V425" s="94"/>
      <c r="W425" s="334"/>
      <c r="X425" s="41" t="str">
        <f>テーブル1[[#This Row],[開発]]&amp;テーブル1[[#This Row],[スコープ]]</f>
        <v/>
      </c>
      <c r="Y425" s="41" t="str">
        <f>IF(テーブル1[[#This Row],[列1]]="不要IN","標準",IF(テーブル1[[#This Row],[列1]]="不要OUT","スコープアウト",IF(テーブル1[[#This Row],[列1]]="必要IN","アドオン",IF(テーブル1[[#This Row],[列1]]="OUT","スコープアウト",""))))</f>
        <v/>
      </c>
      <c r="Z425" s="347" t="e">
        <f>VLOOKUP($B425,Sheet1!$C$2:$L$315,9,)</f>
        <v>#N/A</v>
      </c>
      <c r="AA425" s="340" t="e">
        <f>VLOOKUP($B425,Sheet1!$C$2:$L$315,10,)</f>
        <v>#N/A</v>
      </c>
      <c r="AB425" s="347"/>
      <c r="AC425" s="347" t="b">
        <f>テーブル1[[#This Row],[要求事項一覧
判定]]=テーブル1[[#This Row],[列2]]</f>
        <v>1</v>
      </c>
    </row>
    <row r="426" spans="1:29" ht="14.5">
      <c r="A426" s="1" t="str">
        <f>テーブル1[[#This Row],[対象部門]]&amp;テーブル1[[#This Row],[業務要件回答表からの事前回答案_v1.0.xlsxより]]</f>
        <v/>
      </c>
      <c r="B426" s="1" t="s">
        <v>3199</v>
      </c>
      <c r="D426" s="10" t="s">
        <v>1788</v>
      </c>
      <c r="E426" s="54"/>
      <c r="F426" s="21"/>
      <c r="G426" s="68"/>
      <c r="H426" s="44"/>
      <c r="I426" s="15"/>
      <c r="J426" s="68"/>
      <c r="K426" s="68"/>
      <c r="L426" s="30"/>
      <c r="M426" s="30"/>
      <c r="N426" s="44"/>
      <c r="O426" s="44"/>
      <c r="P426" s="44"/>
      <c r="Q426" s="44"/>
      <c r="R426" s="44"/>
      <c r="S426" s="26"/>
      <c r="T426" s="44"/>
      <c r="U426" s="91"/>
      <c r="V426" s="94"/>
      <c r="W426" s="334"/>
      <c r="X426" s="41" t="str">
        <f>テーブル1[[#This Row],[開発]]&amp;テーブル1[[#This Row],[スコープ]]</f>
        <v/>
      </c>
      <c r="Y426" s="41" t="str">
        <f>IF(テーブル1[[#This Row],[列1]]="不要IN","標準",IF(テーブル1[[#This Row],[列1]]="不要OUT","スコープアウト",IF(テーブル1[[#This Row],[列1]]="必要IN","アドオン",IF(テーブル1[[#This Row],[列1]]="OUT","スコープアウト",""))))</f>
        <v/>
      </c>
      <c r="Z426" s="347" t="e">
        <f>VLOOKUP($B426,Sheet1!$C$2:$L$315,9,)</f>
        <v>#N/A</v>
      </c>
      <c r="AA426" s="340" t="e">
        <f>VLOOKUP($B426,Sheet1!$C$2:$L$315,10,)</f>
        <v>#N/A</v>
      </c>
      <c r="AB426" s="347"/>
      <c r="AC426" s="347" t="b">
        <f>テーブル1[[#This Row],[要求事項一覧
判定]]=テーブル1[[#This Row],[列2]]</f>
        <v>1</v>
      </c>
    </row>
    <row r="427" spans="1:29" ht="14.5">
      <c r="A427" s="1" t="str">
        <f>テーブル1[[#This Row],[対象部門]]&amp;テーブル1[[#This Row],[業務要件回答表からの事前回答案_v1.0.xlsxより]]</f>
        <v/>
      </c>
      <c r="B427" s="1" t="s">
        <v>3199</v>
      </c>
      <c r="D427" s="10" t="s">
        <v>1789</v>
      </c>
      <c r="E427" s="54"/>
      <c r="F427" s="21"/>
      <c r="G427" s="68"/>
      <c r="H427" s="44"/>
      <c r="I427" s="15"/>
      <c r="J427" s="68"/>
      <c r="K427" s="68"/>
      <c r="L427" s="30"/>
      <c r="M427" s="30"/>
      <c r="N427" s="44"/>
      <c r="O427" s="44"/>
      <c r="P427" s="44"/>
      <c r="Q427" s="44"/>
      <c r="R427" s="44"/>
      <c r="S427" s="26"/>
      <c r="T427" s="44"/>
      <c r="U427" s="91"/>
      <c r="V427" s="94"/>
      <c r="W427" s="334"/>
      <c r="X427" s="41" t="str">
        <f>テーブル1[[#This Row],[開発]]&amp;テーブル1[[#This Row],[スコープ]]</f>
        <v/>
      </c>
      <c r="Y427" s="41" t="str">
        <f>IF(テーブル1[[#This Row],[列1]]="不要IN","標準",IF(テーブル1[[#This Row],[列1]]="不要OUT","スコープアウト",IF(テーブル1[[#This Row],[列1]]="必要IN","アドオン",IF(テーブル1[[#This Row],[列1]]="OUT","スコープアウト",""))))</f>
        <v/>
      </c>
      <c r="Z427" s="347" t="e">
        <f>VLOOKUP($B427,Sheet1!$C$2:$L$315,9,)</f>
        <v>#N/A</v>
      </c>
      <c r="AA427" s="340" t="e">
        <f>VLOOKUP($B427,Sheet1!$C$2:$L$315,10,)</f>
        <v>#N/A</v>
      </c>
      <c r="AB427" s="347"/>
      <c r="AC427" s="347" t="b">
        <f>テーブル1[[#This Row],[要求事項一覧
判定]]=テーブル1[[#This Row],[列2]]</f>
        <v>1</v>
      </c>
    </row>
    <row r="428" spans="1:29" ht="14.5">
      <c r="A428" s="1" t="str">
        <f>テーブル1[[#This Row],[対象部門]]&amp;テーブル1[[#This Row],[業務要件回答表からの事前回答案_v1.0.xlsxより]]</f>
        <v/>
      </c>
      <c r="B428" s="1" t="s">
        <v>3199</v>
      </c>
      <c r="D428" s="10" t="s">
        <v>1790</v>
      </c>
      <c r="E428" s="54"/>
      <c r="F428" s="21"/>
      <c r="G428" s="68"/>
      <c r="H428" s="44"/>
      <c r="I428" s="15"/>
      <c r="J428" s="68"/>
      <c r="K428" s="68"/>
      <c r="L428" s="30"/>
      <c r="M428" s="30"/>
      <c r="N428" s="44"/>
      <c r="O428" s="44"/>
      <c r="P428" s="44"/>
      <c r="Q428" s="44"/>
      <c r="R428" s="44"/>
      <c r="S428" s="26"/>
      <c r="T428" s="44"/>
      <c r="U428" s="91"/>
      <c r="V428" s="94"/>
      <c r="W428" s="334"/>
      <c r="X428" s="41" t="str">
        <f>テーブル1[[#This Row],[開発]]&amp;テーブル1[[#This Row],[スコープ]]</f>
        <v/>
      </c>
      <c r="Y428" s="41" t="str">
        <f>IF(テーブル1[[#This Row],[列1]]="不要IN","標準",IF(テーブル1[[#This Row],[列1]]="不要OUT","スコープアウト",IF(テーブル1[[#This Row],[列1]]="必要IN","アドオン",IF(テーブル1[[#This Row],[列1]]="OUT","スコープアウト",""))))</f>
        <v/>
      </c>
      <c r="Z428" s="347" t="e">
        <f>VLOOKUP($B428,Sheet1!$C$2:$L$315,9,)</f>
        <v>#N/A</v>
      </c>
      <c r="AA428" s="340" t="e">
        <f>VLOOKUP($B428,Sheet1!$C$2:$L$315,10,)</f>
        <v>#N/A</v>
      </c>
      <c r="AB428" s="347"/>
      <c r="AC428" s="347" t="b">
        <f>テーブル1[[#This Row],[要求事項一覧
判定]]=テーブル1[[#This Row],[列2]]</f>
        <v>1</v>
      </c>
    </row>
    <row r="429" spans="1:29" ht="14.5">
      <c r="A429" s="1" t="str">
        <f>テーブル1[[#This Row],[対象部門]]&amp;テーブル1[[#This Row],[業務要件回答表からの事前回答案_v1.0.xlsxより]]</f>
        <v/>
      </c>
      <c r="B429" s="1" t="s">
        <v>3199</v>
      </c>
      <c r="D429" s="10" t="s">
        <v>1791</v>
      </c>
      <c r="E429" s="54"/>
      <c r="F429" s="21"/>
      <c r="G429" s="68"/>
      <c r="H429" s="44"/>
      <c r="I429" s="15"/>
      <c r="J429" s="68"/>
      <c r="K429" s="68"/>
      <c r="L429" s="30"/>
      <c r="M429" s="30"/>
      <c r="N429" s="44"/>
      <c r="O429" s="44"/>
      <c r="P429" s="44"/>
      <c r="Q429" s="44"/>
      <c r="R429" s="44"/>
      <c r="S429" s="26"/>
      <c r="T429" s="44"/>
      <c r="U429" s="91"/>
      <c r="V429" s="94"/>
      <c r="W429" s="334"/>
      <c r="X429" s="41" t="str">
        <f>テーブル1[[#This Row],[開発]]&amp;テーブル1[[#This Row],[スコープ]]</f>
        <v/>
      </c>
      <c r="Y429" s="41" t="str">
        <f>IF(テーブル1[[#This Row],[列1]]="不要IN","標準",IF(テーブル1[[#This Row],[列1]]="不要OUT","スコープアウト",IF(テーブル1[[#This Row],[列1]]="必要IN","アドオン",IF(テーブル1[[#This Row],[列1]]="OUT","スコープアウト",""))))</f>
        <v/>
      </c>
      <c r="Z429" s="347" t="e">
        <f>VLOOKUP($B429,Sheet1!$C$2:$L$315,9,)</f>
        <v>#N/A</v>
      </c>
      <c r="AA429" s="340" t="e">
        <f>VLOOKUP($B429,Sheet1!$C$2:$L$315,10,)</f>
        <v>#N/A</v>
      </c>
      <c r="AB429" s="347"/>
      <c r="AC429" s="347" t="b">
        <f>テーブル1[[#This Row],[要求事項一覧
判定]]=テーブル1[[#This Row],[列2]]</f>
        <v>1</v>
      </c>
    </row>
    <row r="430" spans="1:29" ht="14.5">
      <c r="A430" s="1" t="str">
        <f>テーブル1[[#This Row],[対象部門]]&amp;テーブル1[[#This Row],[業務要件回答表からの事前回答案_v1.0.xlsxより]]</f>
        <v/>
      </c>
      <c r="B430" s="1" t="s">
        <v>3199</v>
      </c>
      <c r="D430" s="10" t="s">
        <v>1792</v>
      </c>
      <c r="E430" s="54"/>
      <c r="F430" s="21"/>
      <c r="G430" s="68"/>
      <c r="H430" s="44"/>
      <c r="I430" s="15"/>
      <c r="J430" s="68"/>
      <c r="K430" s="68"/>
      <c r="L430" s="30"/>
      <c r="M430" s="30"/>
      <c r="N430" s="44"/>
      <c r="O430" s="44"/>
      <c r="P430" s="44"/>
      <c r="Q430" s="44"/>
      <c r="R430" s="44"/>
      <c r="S430" s="26"/>
      <c r="T430" s="44"/>
      <c r="U430" s="91"/>
      <c r="V430" s="94"/>
      <c r="W430" s="334"/>
      <c r="X430" s="41" t="str">
        <f>テーブル1[[#This Row],[開発]]&amp;テーブル1[[#This Row],[スコープ]]</f>
        <v/>
      </c>
      <c r="Y430" s="41" t="str">
        <f>IF(テーブル1[[#This Row],[列1]]="不要IN","標準",IF(テーブル1[[#This Row],[列1]]="不要OUT","スコープアウト",IF(テーブル1[[#This Row],[列1]]="必要IN","アドオン",IF(テーブル1[[#This Row],[列1]]="OUT","スコープアウト",""))))</f>
        <v/>
      </c>
      <c r="Z430" s="347" t="e">
        <f>VLOOKUP($B430,Sheet1!$C$2:$L$315,9,)</f>
        <v>#N/A</v>
      </c>
      <c r="AA430" s="340" t="e">
        <f>VLOOKUP($B430,Sheet1!$C$2:$L$315,10,)</f>
        <v>#N/A</v>
      </c>
      <c r="AB430" s="347"/>
      <c r="AC430" s="347" t="b">
        <f>テーブル1[[#This Row],[要求事項一覧
判定]]=テーブル1[[#This Row],[列2]]</f>
        <v>1</v>
      </c>
    </row>
    <row r="431" spans="1:29" ht="14.5">
      <c r="A431" s="1" t="str">
        <f>テーブル1[[#This Row],[対象部門]]&amp;テーブル1[[#This Row],[業務要件回答表からの事前回答案_v1.0.xlsxより]]</f>
        <v/>
      </c>
      <c r="B431" s="1" t="s">
        <v>3199</v>
      </c>
      <c r="D431" s="10" t="s">
        <v>1793</v>
      </c>
      <c r="E431" s="54"/>
      <c r="F431" s="21"/>
      <c r="G431" s="68"/>
      <c r="H431" s="44"/>
      <c r="I431" s="15"/>
      <c r="J431" s="68"/>
      <c r="K431" s="68"/>
      <c r="L431" s="30"/>
      <c r="M431" s="30"/>
      <c r="N431" s="44"/>
      <c r="O431" s="44"/>
      <c r="P431" s="44"/>
      <c r="Q431" s="44"/>
      <c r="R431" s="44"/>
      <c r="S431" s="26"/>
      <c r="T431" s="44"/>
      <c r="U431" s="91"/>
      <c r="V431" s="94"/>
      <c r="W431" s="334"/>
      <c r="X431" s="41" t="str">
        <f>テーブル1[[#This Row],[開発]]&amp;テーブル1[[#This Row],[スコープ]]</f>
        <v/>
      </c>
      <c r="Y431" s="41" t="str">
        <f>IF(テーブル1[[#This Row],[列1]]="不要IN","標準",IF(テーブル1[[#This Row],[列1]]="不要OUT","スコープアウト",IF(テーブル1[[#This Row],[列1]]="必要IN","アドオン",IF(テーブル1[[#This Row],[列1]]="OUT","スコープアウト",""))))</f>
        <v/>
      </c>
      <c r="Z431" s="347" t="e">
        <f>VLOOKUP($B431,Sheet1!$C$2:$L$315,9,)</f>
        <v>#N/A</v>
      </c>
      <c r="AA431" s="340" t="e">
        <f>VLOOKUP($B431,Sheet1!$C$2:$L$315,10,)</f>
        <v>#N/A</v>
      </c>
      <c r="AB431" s="347"/>
      <c r="AC431" s="347" t="b">
        <f>テーブル1[[#This Row],[要求事項一覧
判定]]=テーブル1[[#This Row],[列2]]</f>
        <v>1</v>
      </c>
    </row>
    <row r="432" spans="1:29" ht="14.5">
      <c r="A432" s="1" t="str">
        <f>テーブル1[[#This Row],[対象部門]]&amp;テーブル1[[#This Row],[業務要件回答表からの事前回答案_v1.0.xlsxより]]</f>
        <v/>
      </c>
      <c r="B432" s="1" t="s">
        <v>3199</v>
      </c>
      <c r="D432" s="10" t="s">
        <v>1794</v>
      </c>
      <c r="E432" s="54"/>
      <c r="F432" s="21"/>
      <c r="G432" s="68"/>
      <c r="H432" s="44"/>
      <c r="I432" s="15"/>
      <c r="J432" s="68"/>
      <c r="K432" s="68"/>
      <c r="L432" s="30"/>
      <c r="M432" s="30"/>
      <c r="N432" s="44"/>
      <c r="O432" s="44"/>
      <c r="P432" s="44"/>
      <c r="Q432" s="44"/>
      <c r="R432" s="44"/>
      <c r="S432" s="26"/>
      <c r="T432" s="44"/>
      <c r="U432" s="91"/>
      <c r="V432" s="94"/>
      <c r="W432" s="334"/>
      <c r="X432" s="41" t="str">
        <f>テーブル1[[#This Row],[開発]]&amp;テーブル1[[#This Row],[スコープ]]</f>
        <v/>
      </c>
      <c r="Y432" s="41" t="str">
        <f>IF(テーブル1[[#This Row],[列1]]="不要IN","標準",IF(テーブル1[[#This Row],[列1]]="不要OUT","スコープアウト",IF(テーブル1[[#This Row],[列1]]="必要IN","アドオン",IF(テーブル1[[#This Row],[列1]]="OUT","スコープアウト",""))))</f>
        <v/>
      </c>
      <c r="Z432" s="347" t="e">
        <f>VLOOKUP($B432,Sheet1!$C$2:$L$315,9,)</f>
        <v>#N/A</v>
      </c>
      <c r="AA432" s="340" t="e">
        <f>VLOOKUP($B432,Sheet1!$C$2:$L$315,10,)</f>
        <v>#N/A</v>
      </c>
      <c r="AB432" s="347"/>
      <c r="AC432" s="347" t="b">
        <f>テーブル1[[#This Row],[要求事項一覧
判定]]=テーブル1[[#This Row],[列2]]</f>
        <v>1</v>
      </c>
    </row>
    <row r="433" spans="1:29" ht="14.5">
      <c r="A433" s="1" t="str">
        <f>テーブル1[[#This Row],[対象部門]]&amp;テーブル1[[#This Row],[業務要件回答表からの事前回答案_v1.0.xlsxより]]</f>
        <v/>
      </c>
      <c r="B433" s="1" t="s">
        <v>3199</v>
      </c>
      <c r="D433" s="10" t="s">
        <v>1795</v>
      </c>
      <c r="E433" s="54"/>
      <c r="F433" s="21"/>
      <c r="G433" s="68"/>
      <c r="H433" s="44"/>
      <c r="I433" s="15"/>
      <c r="J433" s="68"/>
      <c r="K433" s="68"/>
      <c r="L433" s="30"/>
      <c r="M433" s="30"/>
      <c r="N433" s="44"/>
      <c r="O433" s="44"/>
      <c r="P433" s="44"/>
      <c r="Q433" s="44"/>
      <c r="R433" s="44"/>
      <c r="S433" s="26"/>
      <c r="T433" s="44"/>
      <c r="U433" s="91"/>
      <c r="V433" s="94"/>
      <c r="W433" s="334"/>
      <c r="X433" s="41" t="str">
        <f>テーブル1[[#This Row],[開発]]&amp;テーブル1[[#This Row],[スコープ]]</f>
        <v/>
      </c>
      <c r="Y433" s="41" t="str">
        <f>IF(テーブル1[[#This Row],[列1]]="不要IN","標準",IF(テーブル1[[#This Row],[列1]]="不要OUT","スコープアウト",IF(テーブル1[[#This Row],[列1]]="必要IN","アドオン",IF(テーブル1[[#This Row],[列1]]="OUT","スコープアウト",""))))</f>
        <v/>
      </c>
      <c r="Z433" s="347" t="e">
        <f>VLOOKUP($B433,Sheet1!$C$2:$L$315,9,)</f>
        <v>#N/A</v>
      </c>
      <c r="AA433" s="340" t="e">
        <f>VLOOKUP($B433,Sheet1!$C$2:$L$315,10,)</f>
        <v>#N/A</v>
      </c>
      <c r="AB433" s="347"/>
      <c r="AC433" s="347" t="b">
        <f>テーブル1[[#This Row],[要求事項一覧
判定]]=テーブル1[[#This Row],[列2]]</f>
        <v>1</v>
      </c>
    </row>
    <row r="434" spans="1:29" ht="14.5">
      <c r="A434" s="1" t="str">
        <f>テーブル1[[#This Row],[対象部門]]&amp;テーブル1[[#This Row],[業務要件回答表からの事前回答案_v1.0.xlsxより]]</f>
        <v/>
      </c>
      <c r="B434" s="1" t="s">
        <v>3199</v>
      </c>
      <c r="D434" s="10" t="s">
        <v>1796</v>
      </c>
      <c r="E434" s="54"/>
      <c r="F434" s="21"/>
      <c r="G434" s="68"/>
      <c r="H434" s="44"/>
      <c r="I434" s="15"/>
      <c r="J434" s="68"/>
      <c r="K434" s="68"/>
      <c r="L434" s="30"/>
      <c r="M434" s="30"/>
      <c r="N434" s="44"/>
      <c r="O434" s="44"/>
      <c r="P434" s="44"/>
      <c r="Q434" s="44"/>
      <c r="R434" s="44"/>
      <c r="S434" s="26"/>
      <c r="T434" s="44"/>
      <c r="U434" s="91"/>
      <c r="V434" s="94"/>
      <c r="W434" s="334"/>
      <c r="X434" s="41" t="str">
        <f>テーブル1[[#This Row],[開発]]&amp;テーブル1[[#This Row],[スコープ]]</f>
        <v/>
      </c>
      <c r="Y434" s="41" t="str">
        <f>IF(テーブル1[[#This Row],[列1]]="不要IN","標準",IF(テーブル1[[#This Row],[列1]]="不要OUT","スコープアウト",IF(テーブル1[[#This Row],[列1]]="必要IN","アドオン",IF(テーブル1[[#This Row],[列1]]="OUT","スコープアウト",""))))</f>
        <v/>
      </c>
      <c r="Z434" s="347" t="e">
        <f>VLOOKUP($B434,Sheet1!$C$2:$L$315,9,)</f>
        <v>#N/A</v>
      </c>
      <c r="AA434" s="340" t="e">
        <f>VLOOKUP($B434,Sheet1!$C$2:$L$315,10,)</f>
        <v>#N/A</v>
      </c>
      <c r="AB434" s="347"/>
      <c r="AC434" s="347" t="b">
        <f>テーブル1[[#This Row],[要求事項一覧
判定]]=テーブル1[[#This Row],[列2]]</f>
        <v>1</v>
      </c>
    </row>
    <row r="435" spans="1:29" ht="14.5">
      <c r="A435" s="1" t="str">
        <f>テーブル1[[#This Row],[対象部門]]&amp;テーブル1[[#This Row],[業務要件回答表からの事前回答案_v1.0.xlsxより]]</f>
        <v/>
      </c>
      <c r="B435" s="1" t="s">
        <v>3199</v>
      </c>
      <c r="D435" s="10" t="s">
        <v>1797</v>
      </c>
      <c r="E435" s="54"/>
      <c r="F435" s="21"/>
      <c r="G435" s="68"/>
      <c r="H435" s="44"/>
      <c r="I435" s="15"/>
      <c r="J435" s="68"/>
      <c r="K435" s="68"/>
      <c r="L435" s="30"/>
      <c r="M435" s="30"/>
      <c r="N435" s="44"/>
      <c r="O435" s="44"/>
      <c r="P435" s="44"/>
      <c r="Q435" s="44"/>
      <c r="R435" s="44"/>
      <c r="S435" s="26"/>
      <c r="T435" s="44"/>
      <c r="U435" s="91"/>
      <c r="V435" s="94"/>
      <c r="W435" s="334"/>
      <c r="X435" s="41" t="str">
        <f>テーブル1[[#This Row],[開発]]&amp;テーブル1[[#This Row],[スコープ]]</f>
        <v/>
      </c>
      <c r="Y435" s="41" t="str">
        <f>IF(テーブル1[[#This Row],[列1]]="不要IN","標準",IF(テーブル1[[#This Row],[列1]]="不要OUT","スコープアウト",IF(テーブル1[[#This Row],[列1]]="必要IN","アドオン",IF(テーブル1[[#This Row],[列1]]="OUT","スコープアウト",""))))</f>
        <v/>
      </c>
      <c r="Z435" s="347" t="e">
        <f>VLOOKUP($B435,Sheet1!$C$2:$L$315,9,)</f>
        <v>#N/A</v>
      </c>
      <c r="AA435" s="340" t="e">
        <f>VLOOKUP($B435,Sheet1!$C$2:$L$315,10,)</f>
        <v>#N/A</v>
      </c>
      <c r="AB435" s="347"/>
      <c r="AC435" s="347" t="b">
        <f>テーブル1[[#This Row],[要求事項一覧
判定]]=テーブル1[[#This Row],[列2]]</f>
        <v>1</v>
      </c>
    </row>
    <row r="436" spans="1:29" ht="14.5">
      <c r="A436" s="1" t="str">
        <f>テーブル1[[#This Row],[対象部門]]&amp;テーブル1[[#This Row],[業務要件回答表からの事前回答案_v1.0.xlsxより]]</f>
        <v/>
      </c>
      <c r="B436" s="1" t="s">
        <v>3199</v>
      </c>
      <c r="D436" s="10" t="s">
        <v>1798</v>
      </c>
      <c r="E436" s="54"/>
      <c r="F436" s="21"/>
      <c r="G436" s="68"/>
      <c r="H436" s="44"/>
      <c r="I436" s="15"/>
      <c r="J436" s="68"/>
      <c r="K436" s="68"/>
      <c r="L436" s="30"/>
      <c r="M436" s="30"/>
      <c r="N436" s="44"/>
      <c r="O436" s="44"/>
      <c r="P436" s="44"/>
      <c r="Q436" s="44"/>
      <c r="R436" s="44"/>
      <c r="S436" s="26"/>
      <c r="T436" s="44"/>
      <c r="U436" s="91"/>
      <c r="V436" s="94"/>
      <c r="W436" s="334"/>
      <c r="X436" s="41" t="str">
        <f>テーブル1[[#This Row],[開発]]&amp;テーブル1[[#This Row],[スコープ]]</f>
        <v/>
      </c>
      <c r="Y436" s="41" t="str">
        <f>IF(テーブル1[[#This Row],[列1]]="不要IN","標準",IF(テーブル1[[#This Row],[列1]]="不要OUT","スコープアウト",IF(テーブル1[[#This Row],[列1]]="必要IN","アドオン",IF(テーブル1[[#This Row],[列1]]="OUT","スコープアウト",""))))</f>
        <v/>
      </c>
      <c r="Z436" s="347" t="e">
        <f>VLOOKUP($B436,Sheet1!$C$2:$L$315,9,)</f>
        <v>#N/A</v>
      </c>
      <c r="AA436" s="340" t="e">
        <f>VLOOKUP($B436,Sheet1!$C$2:$L$315,10,)</f>
        <v>#N/A</v>
      </c>
      <c r="AB436" s="347"/>
      <c r="AC436" s="347" t="b">
        <f>テーブル1[[#This Row],[要求事項一覧
判定]]=テーブル1[[#This Row],[列2]]</f>
        <v>1</v>
      </c>
    </row>
    <row r="437" spans="1:29" ht="14.5">
      <c r="A437" s="1" t="str">
        <f>テーブル1[[#This Row],[対象部門]]&amp;テーブル1[[#This Row],[業務要件回答表からの事前回答案_v1.0.xlsxより]]</f>
        <v/>
      </c>
      <c r="B437" s="1" t="s">
        <v>3199</v>
      </c>
      <c r="D437" s="10" t="s">
        <v>1799</v>
      </c>
      <c r="E437" s="54"/>
      <c r="F437" s="21"/>
      <c r="G437" s="68"/>
      <c r="H437" s="44"/>
      <c r="I437" s="15"/>
      <c r="J437" s="68"/>
      <c r="K437" s="68"/>
      <c r="L437" s="30"/>
      <c r="M437" s="30"/>
      <c r="N437" s="44"/>
      <c r="O437" s="44"/>
      <c r="P437" s="44"/>
      <c r="Q437" s="44"/>
      <c r="R437" s="44"/>
      <c r="S437" s="26"/>
      <c r="T437" s="44"/>
      <c r="U437" s="91"/>
      <c r="V437" s="94"/>
      <c r="W437" s="334"/>
      <c r="X437" s="41" t="str">
        <f>テーブル1[[#This Row],[開発]]&amp;テーブル1[[#This Row],[スコープ]]</f>
        <v/>
      </c>
      <c r="Y437" s="41" t="str">
        <f>IF(テーブル1[[#This Row],[列1]]="不要IN","標準",IF(テーブル1[[#This Row],[列1]]="不要OUT","スコープアウト",IF(テーブル1[[#This Row],[列1]]="必要IN","アドオン",IF(テーブル1[[#This Row],[列1]]="OUT","スコープアウト",""))))</f>
        <v/>
      </c>
      <c r="Z437" s="347" t="e">
        <f>VLOOKUP($B437,Sheet1!$C$2:$L$315,9,)</f>
        <v>#N/A</v>
      </c>
      <c r="AA437" s="340" t="e">
        <f>VLOOKUP($B437,Sheet1!$C$2:$L$315,10,)</f>
        <v>#N/A</v>
      </c>
      <c r="AB437" s="347"/>
      <c r="AC437" s="347" t="b">
        <f>テーブル1[[#This Row],[要求事項一覧
判定]]=テーブル1[[#This Row],[列2]]</f>
        <v>1</v>
      </c>
    </row>
    <row r="438" spans="1:29" ht="14.5">
      <c r="A438" s="1" t="str">
        <f>テーブル1[[#This Row],[対象部門]]&amp;テーブル1[[#This Row],[業務要件回答表からの事前回答案_v1.0.xlsxより]]</f>
        <v/>
      </c>
      <c r="B438" s="1" t="s">
        <v>3199</v>
      </c>
      <c r="D438" s="10" t="s">
        <v>1800</v>
      </c>
      <c r="E438" s="54"/>
      <c r="F438" s="21"/>
      <c r="G438" s="68"/>
      <c r="H438" s="44"/>
      <c r="I438" s="15"/>
      <c r="J438" s="68"/>
      <c r="K438" s="68"/>
      <c r="L438" s="30"/>
      <c r="M438" s="30"/>
      <c r="N438" s="44"/>
      <c r="O438" s="44"/>
      <c r="P438" s="44"/>
      <c r="Q438" s="44"/>
      <c r="R438" s="44"/>
      <c r="S438" s="26"/>
      <c r="T438" s="44"/>
      <c r="U438" s="91"/>
      <c r="V438" s="94"/>
      <c r="W438" s="334"/>
      <c r="X438" s="41" t="str">
        <f>テーブル1[[#This Row],[開発]]&amp;テーブル1[[#This Row],[スコープ]]</f>
        <v/>
      </c>
      <c r="Y438" s="41" t="str">
        <f>IF(テーブル1[[#This Row],[列1]]="不要IN","標準",IF(テーブル1[[#This Row],[列1]]="不要OUT","スコープアウト",IF(テーブル1[[#This Row],[列1]]="必要IN","アドオン",IF(テーブル1[[#This Row],[列1]]="OUT","スコープアウト",""))))</f>
        <v/>
      </c>
      <c r="Z438" s="347" t="e">
        <f>VLOOKUP($B438,Sheet1!$C$2:$L$315,9,)</f>
        <v>#N/A</v>
      </c>
      <c r="AA438" s="340" t="e">
        <f>VLOOKUP($B438,Sheet1!$C$2:$L$315,10,)</f>
        <v>#N/A</v>
      </c>
      <c r="AB438" s="347"/>
      <c r="AC438" s="347" t="b">
        <f>テーブル1[[#This Row],[要求事項一覧
判定]]=テーブル1[[#This Row],[列2]]</f>
        <v>1</v>
      </c>
    </row>
    <row r="439" spans="1:29" ht="14.5">
      <c r="A439" s="1" t="str">
        <f>テーブル1[[#This Row],[対象部門]]&amp;テーブル1[[#This Row],[業務要件回答表からの事前回答案_v1.0.xlsxより]]</f>
        <v/>
      </c>
      <c r="B439" s="1" t="s">
        <v>3199</v>
      </c>
      <c r="D439" s="10" t="s">
        <v>1801</v>
      </c>
      <c r="E439" s="54"/>
      <c r="F439" s="21"/>
      <c r="G439" s="68"/>
      <c r="H439" s="44"/>
      <c r="I439" s="15"/>
      <c r="J439" s="68"/>
      <c r="K439" s="68"/>
      <c r="L439" s="30"/>
      <c r="M439" s="30"/>
      <c r="N439" s="44"/>
      <c r="O439" s="44"/>
      <c r="P439" s="44"/>
      <c r="Q439" s="44"/>
      <c r="R439" s="44"/>
      <c r="S439" s="26"/>
      <c r="T439" s="44"/>
      <c r="U439" s="91"/>
      <c r="V439" s="94"/>
      <c r="W439" s="334"/>
      <c r="X439" s="41" t="str">
        <f>テーブル1[[#This Row],[開発]]&amp;テーブル1[[#This Row],[スコープ]]</f>
        <v/>
      </c>
      <c r="Y439" s="41" t="str">
        <f>IF(テーブル1[[#This Row],[列1]]="不要IN","標準",IF(テーブル1[[#This Row],[列1]]="不要OUT","スコープアウト",IF(テーブル1[[#This Row],[列1]]="必要IN","アドオン",IF(テーブル1[[#This Row],[列1]]="OUT","スコープアウト",""))))</f>
        <v/>
      </c>
      <c r="Z439" s="347" t="e">
        <f>VLOOKUP($B439,Sheet1!$C$2:$L$315,9,)</f>
        <v>#N/A</v>
      </c>
      <c r="AA439" s="340" t="e">
        <f>VLOOKUP($B439,Sheet1!$C$2:$L$315,10,)</f>
        <v>#N/A</v>
      </c>
      <c r="AB439" s="347"/>
      <c r="AC439" s="347" t="b">
        <f>テーブル1[[#This Row],[要求事項一覧
判定]]=テーブル1[[#This Row],[列2]]</f>
        <v>1</v>
      </c>
    </row>
    <row r="440" spans="1:29" ht="14.5">
      <c r="A440" s="1" t="str">
        <f>テーブル1[[#This Row],[対象部門]]&amp;テーブル1[[#This Row],[業務要件回答表からの事前回答案_v1.0.xlsxより]]</f>
        <v/>
      </c>
      <c r="B440" s="1" t="s">
        <v>3199</v>
      </c>
      <c r="D440" s="10" t="s">
        <v>1802</v>
      </c>
      <c r="E440" s="54"/>
      <c r="F440" s="21"/>
      <c r="G440" s="68"/>
      <c r="H440" s="44"/>
      <c r="I440" s="15"/>
      <c r="J440" s="68"/>
      <c r="K440" s="68"/>
      <c r="L440" s="30"/>
      <c r="M440" s="30"/>
      <c r="N440" s="44"/>
      <c r="O440" s="44"/>
      <c r="P440" s="44"/>
      <c r="Q440" s="44"/>
      <c r="R440" s="44"/>
      <c r="S440" s="26"/>
      <c r="T440" s="44"/>
      <c r="U440" s="91"/>
      <c r="V440" s="94"/>
      <c r="W440" s="334"/>
      <c r="X440" s="41" t="str">
        <f>テーブル1[[#This Row],[開発]]&amp;テーブル1[[#This Row],[スコープ]]</f>
        <v/>
      </c>
      <c r="Y440" s="41" t="str">
        <f>IF(テーブル1[[#This Row],[列1]]="不要IN","標準",IF(テーブル1[[#This Row],[列1]]="不要OUT","スコープアウト",IF(テーブル1[[#This Row],[列1]]="必要IN","アドオン",IF(テーブル1[[#This Row],[列1]]="OUT","スコープアウト",""))))</f>
        <v/>
      </c>
      <c r="Z440" s="347" t="e">
        <f>VLOOKUP($B440,Sheet1!$C$2:$L$315,9,)</f>
        <v>#N/A</v>
      </c>
      <c r="AA440" s="340" t="e">
        <f>VLOOKUP($B440,Sheet1!$C$2:$L$315,10,)</f>
        <v>#N/A</v>
      </c>
      <c r="AB440" s="347"/>
      <c r="AC440" s="347" t="b">
        <f>テーブル1[[#This Row],[要求事項一覧
判定]]=テーブル1[[#This Row],[列2]]</f>
        <v>1</v>
      </c>
    </row>
    <row r="441" spans="1:29" ht="14.5">
      <c r="A441" s="1" t="str">
        <f>テーブル1[[#This Row],[対象部門]]&amp;テーブル1[[#This Row],[業務要件回答表からの事前回答案_v1.0.xlsxより]]</f>
        <v/>
      </c>
      <c r="B441" s="1" t="s">
        <v>3199</v>
      </c>
      <c r="D441" s="10" t="s">
        <v>1803</v>
      </c>
      <c r="E441" s="54"/>
      <c r="F441" s="21"/>
      <c r="G441" s="68"/>
      <c r="H441" s="44"/>
      <c r="I441" s="15"/>
      <c r="J441" s="68"/>
      <c r="K441" s="68"/>
      <c r="L441" s="30"/>
      <c r="M441" s="30"/>
      <c r="N441" s="44"/>
      <c r="O441" s="44"/>
      <c r="P441" s="44"/>
      <c r="Q441" s="44"/>
      <c r="R441" s="44"/>
      <c r="S441" s="26"/>
      <c r="T441" s="44"/>
      <c r="U441" s="91"/>
      <c r="V441" s="94"/>
      <c r="W441" s="334"/>
      <c r="X441" s="41" t="str">
        <f>テーブル1[[#This Row],[開発]]&amp;テーブル1[[#This Row],[スコープ]]</f>
        <v/>
      </c>
      <c r="Y441" s="41" t="str">
        <f>IF(テーブル1[[#This Row],[列1]]="不要IN","標準",IF(テーブル1[[#This Row],[列1]]="不要OUT","スコープアウト",IF(テーブル1[[#This Row],[列1]]="必要IN","アドオン",IF(テーブル1[[#This Row],[列1]]="OUT","スコープアウト",""))))</f>
        <v/>
      </c>
      <c r="Z441" s="347" t="e">
        <f>VLOOKUP($B441,Sheet1!$C$2:$L$315,9,)</f>
        <v>#N/A</v>
      </c>
      <c r="AA441" s="340" t="e">
        <f>VLOOKUP($B441,Sheet1!$C$2:$L$315,10,)</f>
        <v>#N/A</v>
      </c>
      <c r="AB441" s="347"/>
      <c r="AC441" s="347" t="b">
        <f>テーブル1[[#This Row],[要求事項一覧
判定]]=テーブル1[[#This Row],[列2]]</f>
        <v>1</v>
      </c>
    </row>
    <row r="442" spans="1:29" ht="14.5">
      <c r="A442" s="1" t="str">
        <f>テーブル1[[#This Row],[対象部門]]&amp;テーブル1[[#This Row],[業務要件回答表からの事前回答案_v1.0.xlsxより]]</f>
        <v/>
      </c>
      <c r="B442" s="1" t="s">
        <v>3199</v>
      </c>
      <c r="D442" s="10" t="s">
        <v>1804</v>
      </c>
      <c r="E442" s="54"/>
      <c r="F442" s="21"/>
      <c r="G442" s="68"/>
      <c r="H442" s="44"/>
      <c r="I442" s="15"/>
      <c r="J442" s="68"/>
      <c r="K442" s="68"/>
      <c r="L442" s="30"/>
      <c r="M442" s="30"/>
      <c r="N442" s="44"/>
      <c r="O442" s="44"/>
      <c r="P442" s="44"/>
      <c r="Q442" s="44"/>
      <c r="R442" s="44"/>
      <c r="S442" s="26"/>
      <c r="T442" s="44"/>
      <c r="U442" s="91"/>
      <c r="V442" s="94"/>
      <c r="W442" s="334"/>
      <c r="X442" s="41" t="str">
        <f>テーブル1[[#This Row],[開発]]&amp;テーブル1[[#This Row],[スコープ]]</f>
        <v/>
      </c>
      <c r="Y442" s="41" t="str">
        <f>IF(テーブル1[[#This Row],[列1]]="不要IN","標準",IF(テーブル1[[#This Row],[列1]]="不要OUT","スコープアウト",IF(テーブル1[[#This Row],[列1]]="必要IN","アドオン",IF(テーブル1[[#This Row],[列1]]="OUT","スコープアウト",""))))</f>
        <v/>
      </c>
      <c r="Z442" s="347" t="e">
        <f>VLOOKUP($B442,Sheet1!$C$2:$L$315,9,)</f>
        <v>#N/A</v>
      </c>
      <c r="AA442" s="340" t="e">
        <f>VLOOKUP($B442,Sheet1!$C$2:$L$315,10,)</f>
        <v>#N/A</v>
      </c>
      <c r="AB442" s="347"/>
      <c r="AC442" s="347" t="b">
        <f>テーブル1[[#This Row],[要求事項一覧
判定]]=テーブル1[[#This Row],[列2]]</f>
        <v>1</v>
      </c>
    </row>
    <row r="443" spans="1:29" ht="14.5">
      <c r="A443" s="1" t="str">
        <f>テーブル1[[#This Row],[対象部門]]&amp;テーブル1[[#This Row],[業務要件回答表からの事前回答案_v1.0.xlsxより]]</f>
        <v/>
      </c>
      <c r="B443" s="1" t="s">
        <v>3199</v>
      </c>
      <c r="D443" s="10" t="s">
        <v>1805</v>
      </c>
      <c r="E443" s="54"/>
      <c r="F443" s="21"/>
      <c r="G443" s="68"/>
      <c r="H443" s="44"/>
      <c r="I443" s="15"/>
      <c r="J443" s="68"/>
      <c r="K443" s="68"/>
      <c r="L443" s="30"/>
      <c r="M443" s="30"/>
      <c r="N443" s="44"/>
      <c r="O443" s="44"/>
      <c r="P443" s="44"/>
      <c r="Q443" s="44"/>
      <c r="R443" s="44"/>
      <c r="S443" s="26"/>
      <c r="T443" s="44"/>
      <c r="U443" s="91"/>
      <c r="V443" s="94"/>
      <c r="W443" s="334"/>
      <c r="X443" s="41" t="str">
        <f>テーブル1[[#This Row],[開発]]&amp;テーブル1[[#This Row],[スコープ]]</f>
        <v/>
      </c>
      <c r="Y443" s="41" t="str">
        <f>IF(テーブル1[[#This Row],[列1]]="不要IN","標準",IF(テーブル1[[#This Row],[列1]]="不要OUT","スコープアウト",IF(テーブル1[[#This Row],[列1]]="必要IN","アドオン",IF(テーブル1[[#This Row],[列1]]="OUT","スコープアウト",""))))</f>
        <v/>
      </c>
      <c r="Z443" s="347" t="e">
        <f>VLOOKUP($B443,Sheet1!$C$2:$L$315,9,)</f>
        <v>#N/A</v>
      </c>
      <c r="AA443" s="340" t="e">
        <f>VLOOKUP($B443,Sheet1!$C$2:$L$315,10,)</f>
        <v>#N/A</v>
      </c>
      <c r="AB443" s="347"/>
      <c r="AC443" s="347" t="b">
        <f>テーブル1[[#This Row],[要求事項一覧
判定]]=テーブル1[[#This Row],[列2]]</f>
        <v>1</v>
      </c>
    </row>
    <row r="444" spans="1:29" ht="14.5">
      <c r="A444" s="1" t="str">
        <f>テーブル1[[#This Row],[対象部門]]&amp;テーブル1[[#This Row],[業務要件回答表からの事前回答案_v1.0.xlsxより]]</f>
        <v/>
      </c>
      <c r="B444" s="1" t="s">
        <v>3199</v>
      </c>
      <c r="D444" s="10" t="s">
        <v>1806</v>
      </c>
      <c r="E444" s="54"/>
      <c r="F444" s="21"/>
      <c r="G444" s="68"/>
      <c r="H444" s="44"/>
      <c r="I444" s="15"/>
      <c r="J444" s="68"/>
      <c r="K444" s="68"/>
      <c r="L444" s="30"/>
      <c r="M444" s="30"/>
      <c r="N444" s="44"/>
      <c r="O444" s="44"/>
      <c r="P444" s="44"/>
      <c r="Q444" s="44"/>
      <c r="R444" s="44"/>
      <c r="S444" s="26"/>
      <c r="T444" s="44"/>
      <c r="U444" s="91"/>
      <c r="V444" s="94"/>
      <c r="W444" s="334"/>
      <c r="X444" s="41" t="str">
        <f>テーブル1[[#This Row],[開発]]&amp;テーブル1[[#This Row],[スコープ]]</f>
        <v/>
      </c>
      <c r="Y444" s="41" t="str">
        <f>IF(テーブル1[[#This Row],[列1]]="不要IN","標準",IF(テーブル1[[#This Row],[列1]]="不要OUT","スコープアウト",IF(テーブル1[[#This Row],[列1]]="必要IN","アドオン",IF(テーブル1[[#This Row],[列1]]="OUT","スコープアウト",""))))</f>
        <v/>
      </c>
      <c r="Z444" s="347" t="e">
        <f>VLOOKUP($B444,Sheet1!$C$2:$L$315,9,)</f>
        <v>#N/A</v>
      </c>
      <c r="AA444" s="340" t="e">
        <f>VLOOKUP($B444,Sheet1!$C$2:$L$315,10,)</f>
        <v>#N/A</v>
      </c>
      <c r="AB444" s="347"/>
      <c r="AC444" s="347" t="b">
        <f>テーブル1[[#This Row],[要求事項一覧
判定]]=テーブル1[[#This Row],[列2]]</f>
        <v>1</v>
      </c>
    </row>
    <row r="445" spans="1:29" ht="14.5">
      <c r="A445" s="1" t="str">
        <f>テーブル1[[#This Row],[対象部門]]&amp;テーブル1[[#This Row],[業務要件回答表からの事前回答案_v1.0.xlsxより]]</f>
        <v/>
      </c>
      <c r="B445" s="1" t="s">
        <v>3199</v>
      </c>
      <c r="D445" s="10" t="s">
        <v>1807</v>
      </c>
      <c r="E445" s="54"/>
      <c r="F445" s="21"/>
      <c r="G445" s="68"/>
      <c r="H445" s="44"/>
      <c r="I445" s="15"/>
      <c r="J445" s="68"/>
      <c r="K445" s="68"/>
      <c r="L445" s="30"/>
      <c r="M445" s="30"/>
      <c r="N445" s="44"/>
      <c r="O445" s="44"/>
      <c r="P445" s="44"/>
      <c r="Q445" s="44"/>
      <c r="R445" s="44"/>
      <c r="S445" s="26"/>
      <c r="T445" s="44"/>
      <c r="U445" s="91"/>
      <c r="V445" s="94"/>
      <c r="W445" s="334"/>
      <c r="X445" s="41" t="str">
        <f>テーブル1[[#This Row],[開発]]&amp;テーブル1[[#This Row],[スコープ]]</f>
        <v/>
      </c>
      <c r="Y445" s="41" t="str">
        <f>IF(テーブル1[[#This Row],[列1]]="不要IN","標準",IF(テーブル1[[#This Row],[列1]]="不要OUT","スコープアウト",IF(テーブル1[[#This Row],[列1]]="必要IN","アドオン",IF(テーブル1[[#This Row],[列1]]="OUT","スコープアウト",""))))</f>
        <v/>
      </c>
      <c r="Z445" s="347" t="e">
        <f>VLOOKUP($B445,Sheet1!$C$2:$L$315,9,)</f>
        <v>#N/A</v>
      </c>
      <c r="AA445" s="340" t="e">
        <f>VLOOKUP($B445,Sheet1!$C$2:$L$315,10,)</f>
        <v>#N/A</v>
      </c>
      <c r="AB445" s="347"/>
      <c r="AC445" s="347" t="b">
        <f>テーブル1[[#This Row],[要求事項一覧
判定]]=テーブル1[[#This Row],[列2]]</f>
        <v>1</v>
      </c>
    </row>
    <row r="446" spans="1:29" ht="14.5">
      <c r="A446" s="1" t="str">
        <f>テーブル1[[#This Row],[対象部門]]&amp;テーブル1[[#This Row],[業務要件回答表からの事前回答案_v1.0.xlsxより]]</f>
        <v/>
      </c>
      <c r="B446" s="1" t="s">
        <v>3199</v>
      </c>
      <c r="D446" s="10" t="s">
        <v>1808</v>
      </c>
      <c r="E446" s="54"/>
      <c r="F446" s="21"/>
      <c r="G446" s="68"/>
      <c r="H446" s="44"/>
      <c r="I446" s="15"/>
      <c r="J446" s="68"/>
      <c r="K446" s="68"/>
      <c r="L446" s="30"/>
      <c r="M446" s="30"/>
      <c r="N446" s="44"/>
      <c r="O446" s="44"/>
      <c r="P446" s="44"/>
      <c r="Q446" s="44"/>
      <c r="R446" s="44"/>
      <c r="S446" s="26"/>
      <c r="T446" s="44"/>
      <c r="U446" s="91"/>
      <c r="V446" s="94"/>
      <c r="W446" s="334"/>
      <c r="X446" s="41" t="str">
        <f>テーブル1[[#This Row],[開発]]&amp;テーブル1[[#This Row],[スコープ]]</f>
        <v/>
      </c>
      <c r="Y446" s="41" t="str">
        <f>IF(テーブル1[[#This Row],[列1]]="不要IN","標準",IF(テーブル1[[#This Row],[列1]]="不要OUT","スコープアウト",IF(テーブル1[[#This Row],[列1]]="必要IN","アドオン",IF(テーブル1[[#This Row],[列1]]="OUT","スコープアウト",""))))</f>
        <v/>
      </c>
      <c r="Z446" s="347" t="e">
        <f>VLOOKUP($B446,Sheet1!$C$2:$L$315,9,)</f>
        <v>#N/A</v>
      </c>
      <c r="AA446" s="340" t="e">
        <f>VLOOKUP($B446,Sheet1!$C$2:$L$315,10,)</f>
        <v>#N/A</v>
      </c>
      <c r="AB446" s="347"/>
      <c r="AC446" s="347" t="b">
        <f>テーブル1[[#This Row],[要求事項一覧
判定]]=テーブル1[[#This Row],[列2]]</f>
        <v>1</v>
      </c>
    </row>
    <row r="447" spans="1:29" ht="14.5">
      <c r="A447" s="1" t="str">
        <f>テーブル1[[#This Row],[対象部門]]&amp;テーブル1[[#This Row],[業務要件回答表からの事前回答案_v1.0.xlsxより]]</f>
        <v/>
      </c>
      <c r="B447" s="1" t="s">
        <v>3199</v>
      </c>
      <c r="D447" s="10" t="s">
        <v>1809</v>
      </c>
      <c r="E447" s="54"/>
      <c r="F447" s="21"/>
      <c r="G447" s="68"/>
      <c r="H447" s="44"/>
      <c r="I447" s="15"/>
      <c r="J447" s="68"/>
      <c r="K447" s="68"/>
      <c r="L447" s="30"/>
      <c r="M447" s="30"/>
      <c r="N447" s="44"/>
      <c r="O447" s="44"/>
      <c r="P447" s="44"/>
      <c r="Q447" s="44"/>
      <c r="R447" s="44"/>
      <c r="S447" s="26"/>
      <c r="T447" s="44"/>
      <c r="U447" s="91"/>
      <c r="V447" s="94"/>
      <c r="W447" s="334"/>
      <c r="X447" s="41" t="str">
        <f>テーブル1[[#This Row],[開発]]&amp;テーブル1[[#This Row],[スコープ]]</f>
        <v/>
      </c>
      <c r="Y447" s="41" t="str">
        <f>IF(テーブル1[[#This Row],[列1]]="不要IN","標準",IF(テーブル1[[#This Row],[列1]]="不要OUT","スコープアウト",IF(テーブル1[[#This Row],[列1]]="必要IN","アドオン",IF(テーブル1[[#This Row],[列1]]="OUT","スコープアウト",""))))</f>
        <v/>
      </c>
      <c r="Z447" s="347" t="e">
        <f>VLOOKUP($B447,Sheet1!$C$2:$L$315,9,)</f>
        <v>#N/A</v>
      </c>
      <c r="AA447" s="340" t="e">
        <f>VLOOKUP($B447,Sheet1!$C$2:$L$315,10,)</f>
        <v>#N/A</v>
      </c>
      <c r="AB447" s="347"/>
      <c r="AC447" s="347" t="b">
        <f>テーブル1[[#This Row],[要求事項一覧
判定]]=テーブル1[[#This Row],[列2]]</f>
        <v>1</v>
      </c>
    </row>
    <row r="448" spans="1:29" ht="14.5">
      <c r="A448" s="1" t="str">
        <f>テーブル1[[#This Row],[対象部門]]&amp;テーブル1[[#This Row],[業務要件回答表からの事前回答案_v1.0.xlsxより]]</f>
        <v/>
      </c>
      <c r="B448" s="1" t="s">
        <v>3199</v>
      </c>
      <c r="D448" s="10" t="s">
        <v>1810</v>
      </c>
      <c r="E448" s="54"/>
      <c r="F448" s="21"/>
      <c r="G448" s="68"/>
      <c r="H448" s="44"/>
      <c r="I448" s="15"/>
      <c r="J448" s="68"/>
      <c r="K448" s="68"/>
      <c r="L448" s="30"/>
      <c r="M448" s="30"/>
      <c r="N448" s="44"/>
      <c r="O448" s="44"/>
      <c r="P448" s="44"/>
      <c r="Q448" s="44"/>
      <c r="R448" s="44"/>
      <c r="S448" s="26"/>
      <c r="T448" s="44"/>
      <c r="U448" s="91"/>
      <c r="V448" s="94"/>
      <c r="W448" s="334"/>
      <c r="X448" s="41" t="str">
        <f>テーブル1[[#This Row],[開発]]&amp;テーブル1[[#This Row],[スコープ]]</f>
        <v/>
      </c>
      <c r="Y448" s="41" t="str">
        <f>IF(テーブル1[[#This Row],[列1]]="不要IN","標準",IF(テーブル1[[#This Row],[列1]]="不要OUT","スコープアウト",IF(テーブル1[[#This Row],[列1]]="必要IN","アドオン",IF(テーブル1[[#This Row],[列1]]="OUT","スコープアウト",""))))</f>
        <v/>
      </c>
      <c r="Z448" s="347" t="e">
        <f>VLOOKUP($B448,Sheet1!$C$2:$L$315,9,)</f>
        <v>#N/A</v>
      </c>
      <c r="AA448" s="340" t="e">
        <f>VLOOKUP($B448,Sheet1!$C$2:$L$315,10,)</f>
        <v>#N/A</v>
      </c>
      <c r="AB448" s="347"/>
      <c r="AC448" s="347" t="b">
        <f>テーブル1[[#This Row],[要求事項一覧
判定]]=テーブル1[[#This Row],[列2]]</f>
        <v>1</v>
      </c>
    </row>
    <row r="449" spans="1:29" ht="14.5">
      <c r="A449" s="1" t="str">
        <f>テーブル1[[#This Row],[対象部門]]&amp;テーブル1[[#This Row],[業務要件回答表からの事前回答案_v1.0.xlsxより]]</f>
        <v/>
      </c>
      <c r="B449" s="1" t="s">
        <v>3199</v>
      </c>
      <c r="D449" s="10" t="s">
        <v>1811</v>
      </c>
      <c r="E449" s="54"/>
      <c r="F449" s="21"/>
      <c r="G449" s="68"/>
      <c r="H449" s="44"/>
      <c r="I449" s="15"/>
      <c r="J449" s="68"/>
      <c r="K449" s="68"/>
      <c r="L449" s="30"/>
      <c r="M449" s="30"/>
      <c r="N449" s="44"/>
      <c r="O449" s="44"/>
      <c r="P449" s="44"/>
      <c r="Q449" s="44"/>
      <c r="R449" s="44"/>
      <c r="S449" s="26"/>
      <c r="T449" s="44"/>
      <c r="U449" s="91"/>
      <c r="V449" s="94"/>
      <c r="W449" s="334"/>
      <c r="X449" s="41" t="str">
        <f>テーブル1[[#This Row],[開発]]&amp;テーブル1[[#This Row],[スコープ]]</f>
        <v/>
      </c>
      <c r="Y449" s="41" t="str">
        <f>IF(テーブル1[[#This Row],[列1]]="不要IN","標準",IF(テーブル1[[#This Row],[列1]]="不要OUT","スコープアウト",IF(テーブル1[[#This Row],[列1]]="必要IN","アドオン",IF(テーブル1[[#This Row],[列1]]="OUT","スコープアウト",""))))</f>
        <v/>
      </c>
      <c r="Z449" s="347" t="e">
        <f>VLOOKUP($B449,Sheet1!$C$2:$L$315,9,)</f>
        <v>#N/A</v>
      </c>
      <c r="AA449" s="340" t="e">
        <f>VLOOKUP($B449,Sheet1!$C$2:$L$315,10,)</f>
        <v>#N/A</v>
      </c>
      <c r="AB449" s="347"/>
      <c r="AC449" s="347" t="b">
        <f>テーブル1[[#This Row],[要求事項一覧
判定]]=テーブル1[[#This Row],[列2]]</f>
        <v>1</v>
      </c>
    </row>
    <row r="450" spans="1:29" ht="14.5">
      <c r="A450" s="1" t="str">
        <f>テーブル1[[#This Row],[対象部門]]&amp;テーブル1[[#This Row],[業務要件回答表からの事前回答案_v1.0.xlsxより]]</f>
        <v/>
      </c>
      <c r="B450" s="1" t="s">
        <v>3199</v>
      </c>
      <c r="D450" s="10" t="s">
        <v>1812</v>
      </c>
      <c r="E450" s="54"/>
      <c r="F450" s="21"/>
      <c r="G450" s="68"/>
      <c r="H450" s="44"/>
      <c r="I450" s="15"/>
      <c r="J450" s="68"/>
      <c r="K450" s="68"/>
      <c r="L450" s="30"/>
      <c r="M450" s="30"/>
      <c r="N450" s="44"/>
      <c r="O450" s="44"/>
      <c r="P450" s="44"/>
      <c r="Q450" s="44"/>
      <c r="R450" s="44"/>
      <c r="S450" s="26"/>
      <c r="T450" s="44"/>
      <c r="U450" s="91"/>
      <c r="V450" s="94"/>
      <c r="W450" s="334"/>
      <c r="X450" s="41" t="str">
        <f>テーブル1[[#This Row],[開発]]&amp;テーブル1[[#This Row],[スコープ]]</f>
        <v/>
      </c>
      <c r="Y450" s="41" t="str">
        <f>IF(テーブル1[[#This Row],[列1]]="不要IN","標準",IF(テーブル1[[#This Row],[列1]]="不要OUT","スコープアウト",IF(テーブル1[[#This Row],[列1]]="必要IN","アドオン",IF(テーブル1[[#This Row],[列1]]="OUT","スコープアウト",""))))</f>
        <v/>
      </c>
      <c r="Z450" s="347" t="e">
        <f>VLOOKUP($B450,Sheet1!$C$2:$L$315,9,)</f>
        <v>#N/A</v>
      </c>
      <c r="AA450" s="340" t="e">
        <f>VLOOKUP($B450,Sheet1!$C$2:$L$315,10,)</f>
        <v>#N/A</v>
      </c>
      <c r="AB450" s="347"/>
      <c r="AC450" s="347" t="b">
        <f>テーブル1[[#This Row],[要求事項一覧
判定]]=テーブル1[[#This Row],[列2]]</f>
        <v>1</v>
      </c>
    </row>
    <row r="451" spans="1:29" ht="14.5">
      <c r="A451" s="1" t="str">
        <f>テーブル1[[#This Row],[対象部門]]&amp;テーブル1[[#This Row],[業務要件回答表からの事前回答案_v1.0.xlsxより]]</f>
        <v/>
      </c>
      <c r="B451" s="1" t="s">
        <v>3199</v>
      </c>
      <c r="D451" s="10" t="s">
        <v>1813</v>
      </c>
      <c r="E451" s="54"/>
      <c r="F451" s="21"/>
      <c r="G451" s="68"/>
      <c r="H451" s="44"/>
      <c r="I451" s="15"/>
      <c r="J451" s="68"/>
      <c r="K451" s="68"/>
      <c r="L451" s="30"/>
      <c r="M451" s="30"/>
      <c r="N451" s="44"/>
      <c r="O451" s="44"/>
      <c r="P451" s="44"/>
      <c r="Q451" s="44"/>
      <c r="R451" s="44"/>
      <c r="S451" s="26"/>
      <c r="T451" s="44"/>
      <c r="U451" s="91"/>
      <c r="V451" s="94"/>
      <c r="W451" s="334"/>
      <c r="X451" s="41" t="str">
        <f>テーブル1[[#This Row],[開発]]&amp;テーブル1[[#This Row],[スコープ]]</f>
        <v/>
      </c>
      <c r="Y451" s="41" t="str">
        <f>IF(テーブル1[[#This Row],[列1]]="不要IN","標準",IF(テーブル1[[#This Row],[列1]]="不要OUT","スコープアウト",IF(テーブル1[[#This Row],[列1]]="必要IN","アドオン",IF(テーブル1[[#This Row],[列1]]="OUT","スコープアウト",""))))</f>
        <v/>
      </c>
      <c r="Z451" s="347" t="e">
        <f>VLOOKUP($B451,Sheet1!$C$2:$L$315,9,)</f>
        <v>#N/A</v>
      </c>
      <c r="AA451" s="340" t="e">
        <f>VLOOKUP($B451,Sheet1!$C$2:$L$315,10,)</f>
        <v>#N/A</v>
      </c>
      <c r="AB451" s="347"/>
      <c r="AC451" s="347" t="b">
        <f>テーブル1[[#This Row],[要求事項一覧
判定]]=テーブル1[[#This Row],[列2]]</f>
        <v>1</v>
      </c>
    </row>
    <row r="452" spans="1:29" ht="14.5">
      <c r="A452" s="1" t="str">
        <f>テーブル1[[#This Row],[対象部門]]&amp;テーブル1[[#This Row],[業務要件回答表からの事前回答案_v1.0.xlsxより]]</f>
        <v/>
      </c>
      <c r="B452" s="1" t="s">
        <v>3199</v>
      </c>
      <c r="D452" s="10" t="s">
        <v>1814</v>
      </c>
      <c r="E452" s="54"/>
      <c r="F452" s="21"/>
      <c r="G452" s="68"/>
      <c r="H452" s="44"/>
      <c r="I452" s="15"/>
      <c r="J452" s="68"/>
      <c r="K452" s="68"/>
      <c r="L452" s="30"/>
      <c r="M452" s="30"/>
      <c r="N452" s="44"/>
      <c r="O452" s="44"/>
      <c r="P452" s="44"/>
      <c r="Q452" s="44"/>
      <c r="R452" s="44"/>
      <c r="S452" s="26"/>
      <c r="T452" s="44"/>
      <c r="U452" s="91"/>
      <c r="V452" s="94"/>
      <c r="W452" s="334"/>
      <c r="X452" s="41" t="str">
        <f>テーブル1[[#This Row],[開発]]&amp;テーブル1[[#This Row],[スコープ]]</f>
        <v/>
      </c>
      <c r="Y452" s="41" t="str">
        <f>IF(テーブル1[[#This Row],[列1]]="不要IN","標準",IF(テーブル1[[#This Row],[列1]]="不要OUT","スコープアウト",IF(テーブル1[[#This Row],[列1]]="必要IN","アドオン",IF(テーブル1[[#This Row],[列1]]="OUT","スコープアウト",""))))</f>
        <v/>
      </c>
      <c r="Z452" s="347" t="e">
        <f>VLOOKUP($B452,Sheet1!$C$2:$L$315,9,)</f>
        <v>#N/A</v>
      </c>
      <c r="AA452" s="340" t="e">
        <f>VLOOKUP($B452,Sheet1!$C$2:$L$315,10,)</f>
        <v>#N/A</v>
      </c>
      <c r="AB452" s="347"/>
      <c r="AC452" s="347" t="b">
        <f>テーブル1[[#This Row],[要求事項一覧
判定]]=テーブル1[[#This Row],[列2]]</f>
        <v>1</v>
      </c>
    </row>
  </sheetData>
  <mergeCells count="1">
    <mergeCell ref="V3:W3"/>
  </mergeCells>
  <phoneticPr fontId="6"/>
  <dataValidations count="4">
    <dataValidation type="list" allowBlank="1" showInputMessage="1" showErrorMessage="1" sqref="O5:O452" xr:uid="{00000000-0002-0000-0000-000000000000}">
      <formula1>対象システム</formula1>
    </dataValidation>
    <dataValidation type="list" allowBlank="1" showInputMessage="1" showErrorMessage="1" sqref="R5:R452" xr:uid="{00000000-0002-0000-0000-000001000000}">
      <formula1>開発</formula1>
    </dataValidation>
    <dataValidation type="list" allowBlank="1" showInputMessage="1" showErrorMessage="1" sqref="I5:I452" xr:uid="{00000000-0002-0000-0000-000002000000}">
      <formula1>優先度</formula1>
    </dataValidation>
    <dataValidation type="list" allowBlank="1" showInputMessage="1" showErrorMessage="1" sqref="T5:T452" xr:uid="{00000000-0002-0000-0000-000003000000}">
      <formula1>スコープ</formula1>
    </dataValidation>
  </dataValidation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150B-CA4B-4510-A6D6-DDA132E7622F}">
  <dimension ref="A1:L315"/>
  <sheetViews>
    <sheetView tabSelected="1" topLeftCell="F55" workbookViewId="0">
      <selection activeCell="G59" sqref="G59"/>
    </sheetView>
  </sheetViews>
  <sheetFormatPr defaultColWidth="52" defaultRowHeight="12.5"/>
  <cols>
    <col min="1" max="1" width="47.1796875" customWidth="1"/>
    <col min="2" max="2" width="20.6328125" bestFit="1" customWidth="1"/>
  </cols>
  <sheetData>
    <row r="1" spans="1:12" ht="15">
      <c r="D1" s="354" t="s">
        <v>1848</v>
      </c>
      <c r="E1" s="355"/>
      <c r="F1" s="355"/>
      <c r="G1" s="355"/>
      <c r="H1" s="355"/>
      <c r="I1" s="355"/>
      <c r="J1" s="355"/>
      <c r="K1" s="356" t="s">
        <v>1849</v>
      </c>
      <c r="L1" s="357"/>
    </row>
    <row r="2" spans="1:12" ht="15">
      <c r="C2" s="331" t="s">
        <v>2865</v>
      </c>
      <c r="D2" s="105" t="s">
        <v>1850</v>
      </c>
      <c r="E2" s="106" t="s">
        <v>1851</v>
      </c>
      <c r="F2" s="106" t="s">
        <v>1852</v>
      </c>
      <c r="G2" s="106" t="s">
        <v>1853</v>
      </c>
      <c r="H2" s="107" t="s">
        <v>1854</v>
      </c>
      <c r="I2" s="108" t="s">
        <v>1855</v>
      </c>
      <c r="J2" s="109" t="s">
        <v>1856</v>
      </c>
      <c r="K2" s="110" t="s">
        <v>1857</v>
      </c>
      <c r="L2" s="111" t="s">
        <v>1858</v>
      </c>
    </row>
    <row r="3" spans="1:12" ht="75">
      <c r="A3" s="330" t="s">
        <v>2861</v>
      </c>
      <c r="B3" s="330" t="str">
        <f>A3&amp;H3</f>
        <v>一般会計全般・決算1.1</v>
      </c>
      <c r="C3" s="330" t="s">
        <v>2866</v>
      </c>
      <c r="D3" s="112" t="s">
        <v>1859</v>
      </c>
      <c r="E3" s="112" t="s">
        <v>1860</v>
      </c>
      <c r="F3" s="112" t="s">
        <v>1861</v>
      </c>
      <c r="G3" s="112" t="s">
        <v>1862</v>
      </c>
      <c r="H3" s="113" t="s">
        <v>31</v>
      </c>
      <c r="I3" s="114" t="s">
        <v>1863</v>
      </c>
      <c r="J3" s="115" t="s">
        <v>30</v>
      </c>
      <c r="K3" s="116" t="s">
        <v>1864</v>
      </c>
      <c r="L3" s="117"/>
    </row>
    <row r="4" spans="1:12" ht="30">
      <c r="A4" s="330" t="s">
        <v>2861</v>
      </c>
      <c r="B4" s="330" t="str">
        <f t="shared" ref="B4:B67" si="0">A4&amp;H4</f>
        <v>一般会計全般・決算1.2</v>
      </c>
      <c r="C4" t="s">
        <v>2867</v>
      </c>
      <c r="D4" s="118" t="s">
        <v>1859</v>
      </c>
      <c r="E4" s="119" t="s">
        <v>1860</v>
      </c>
      <c r="F4" s="119" t="s">
        <v>1861</v>
      </c>
      <c r="G4" s="119" t="s">
        <v>1862</v>
      </c>
      <c r="H4" s="120" t="s">
        <v>43</v>
      </c>
      <c r="I4" s="121" t="s">
        <v>41</v>
      </c>
      <c r="J4" s="122" t="s">
        <v>1865</v>
      </c>
      <c r="K4" s="116" t="s">
        <v>1864</v>
      </c>
      <c r="L4" s="117"/>
    </row>
    <row r="5" spans="1:12" ht="90">
      <c r="A5" s="330" t="s">
        <v>2861</v>
      </c>
      <c r="B5" s="330" t="str">
        <f t="shared" si="0"/>
        <v>一般会計全般・決算1.3</v>
      </c>
      <c r="C5" t="s">
        <v>2868</v>
      </c>
      <c r="D5" s="118" t="s">
        <v>1859</v>
      </c>
      <c r="E5" s="119" t="s">
        <v>1860</v>
      </c>
      <c r="F5" s="119" t="s">
        <v>1861</v>
      </c>
      <c r="G5" s="119" t="s">
        <v>1862</v>
      </c>
      <c r="H5" s="120" t="s">
        <v>50</v>
      </c>
      <c r="I5" s="123" t="s">
        <v>1866</v>
      </c>
      <c r="J5" s="124" t="s">
        <v>49</v>
      </c>
      <c r="K5" s="116" t="s">
        <v>1864</v>
      </c>
      <c r="L5" s="117"/>
    </row>
    <row r="6" spans="1:12" ht="90">
      <c r="A6" s="330" t="s">
        <v>2861</v>
      </c>
      <c r="B6" s="330" t="str">
        <f t="shared" si="0"/>
        <v>一般会計全般・決算1.4</v>
      </c>
      <c r="C6" t="s">
        <v>2869</v>
      </c>
      <c r="D6" s="118" t="s">
        <v>1859</v>
      </c>
      <c r="E6" s="119" t="s">
        <v>1860</v>
      </c>
      <c r="F6" s="119" t="s">
        <v>1861</v>
      </c>
      <c r="G6" s="119" t="s">
        <v>1862</v>
      </c>
      <c r="H6" s="120" t="s">
        <v>61</v>
      </c>
      <c r="I6" s="121" t="s">
        <v>1867</v>
      </c>
      <c r="J6" s="122" t="s">
        <v>1868</v>
      </c>
      <c r="K6" s="116" t="s">
        <v>1864</v>
      </c>
      <c r="L6" s="117"/>
    </row>
    <row r="7" spans="1:12" ht="30">
      <c r="A7" s="330" t="s">
        <v>2861</v>
      </c>
      <c r="B7" s="330" t="str">
        <f t="shared" si="0"/>
        <v>一般会計全般・決算1.5</v>
      </c>
      <c r="C7" t="s">
        <v>2870</v>
      </c>
      <c r="D7" s="118" t="s">
        <v>1859</v>
      </c>
      <c r="E7" s="119" t="s">
        <v>1860</v>
      </c>
      <c r="F7" s="119" t="s">
        <v>1861</v>
      </c>
      <c r="G7" s="119" t="s">
        <v>1862</v>
      </c>
      <c r="H7" s="120" t="s">
        <v>66</v>
      </c>
      <c r="I7" s="121" t="s">
        <v>64</v>
      </c>
      <c r="J7" s="122" t="s">
        <v>1869</v>
      </c>
      <c r="K7" s="116" t="s">
        <v>1864</v>
      </c>
      <c r="L7" s="117"/>
    </row>
    <row r="8" spans="1:12" ht="30">
      <c r="A8" s="330" t="s">
        <v>2861</v>
      </c>
      <c r="B8" s="330" t="str">
        <f t="shared" si="0"/>
        <v>一般会計全般・決算1.6</v>
      </c>
      <c r="C8" t="s">
        <v>2871</v>
      </c>
      <c r="D8" s="125" t="s">
        <v>1859</v>
      </c>
      <c r="E8" s="126" t="s">
        <v>1860</v>
      </c>
      <c r="F8" s="126" t="s">
        <v>1861</v>
      </c>
      <c r="G8" s="126" t="s">
        <v>1862</v>
      </c>
      <c r="H8" s="120" t="s">
        <v>73</v>
      </c>
      <c r="I8" s="121" t="s">
        <v>1870</v>
      </c>
      <c r="J8" s="122" t="s">
        <v>1871</v>
      </c>
      <c r="K8" s="116" t="s">
        <v>1864</v>
      </c>
      <c r="L8" s="127" t="s">
        <v>1872</v>
      </c>
    </row>
    <row r="9" spans="1:12" ht="45">
      <c r="A9" s="330" t="s">
        <v>2861</v>
      </c>
      <c r="B9" s="330" t="str">
        <f t="shared" si="0"/>
        <v>一般会計全般・決算1.7</v>
      </c>
      <c r="C9" t="s">
        <v>2872</v>
      </c>
      <c r="D9" s="125" t="s">
        <v>1859</v>
      </c>
      <c r="E9" s="126" t="s">
        <v>1860</v>
      </c>
      <c r="F9" s="126" t="s">
        <v>1861</v>
      </c>
      <c r="G9" s="128" t="s">
        <v>1862</v>
      </c>
      <c r="H9" s="120" t="s">
        <v>80</v>
      </c>
      <c r="I9" s="121" t="s">
        <v>1873</v>
      </c>
      <c r="J9" s="122" t="s">
        <v>1874</v>
      </c>
      <c r="K9" s="116" t="s">
        <v>1875</v>
      </c>
      <c r="L9" s="117" t="s">
        <v>1876</v>
      </c>
    </row>
    <row r="10" spans="1:12" ht="60">
      <c r="A10" s="330" t="s">
        <v>2861</v>
      </c>
      <c r="B10" s="330" t="str">
        <f t="shared" si="0"/>
        <v>一般会計全般・決算1.8</v>
      </c>
      <c r="C10" t="s">
        <v>2873</v>
      </c>
      <c r="D10" s="118" t="s">
        <v>1859</v>
      </c>
      <c r="E10" s="119" t="s">
        <v>1860</v>
      </c>
      <c r="F10" s="119" t="s">
        <v>1861</v>
      </c>
      <c r="G10" s="129" t="s">
        <v>1877</v>
      </c>
      <c r="H10" s="120" t="s">
        <v>87</v>
      </c>
      <c r="I10" s="123" t="s">
        <v>1878</v>
      </c>
      <c r="J10" s="130" t="s">
        <v>1879</v>
      </c>
      <c r="K10" s="116" t="s">
        <v>1864</v>
      </c>
      <c r="L10" s="127" t="s">
        <v>1880</v>
      </c>
    </row>
    <row r="11" spans="1:12" ht="30">
      <c r="A11" s="330" t="s">
        <v>2861</v>
      </c>
      <c r="B11" s="330" t="str">
        <f t="shared" si="0"/>
        <v>一般会計全般・決算1.9</v>
      </c>
      <c r="C11" t="s">
        <v>2874</v>
      </c>
      <c r="D11" s="118" t="s">
        <v>1859</v>
      </c>
      <c r="E11" s="119" t="s">
        <v>1860</v>
      </c>
      <c r="F11" s="119" t="s">
        <v>1861</v>
      </c>
      <c r="G11" s="119" t="s">
        <v>1881</v>
      </c>
      <c r="H11" s="120" t="s">
        <v>95</v>
      </c>
      <c r="I11" s="123" t="s">
        <v>1882</v>
      </c>
      <c r="J11" s="131" t="s">
        <v>94</v>
      </c>
      <c r="K11" s="116" t="s">
        <v>1864</v>
      </c>
      <c r="L11" s="117"/>
    </row>
    <row r="12" spans="1:12" ht="30">
      <c r="A12" s="330" t="s">
        <v>2861</v>
      </c>
      <c r="B12" s="330" t="str">
        <f t="shared" si="0"/>
        <v>一般会計全般・決算2.1</v>
      </c>
      <c r="C12" t="s">
        <v>2875</v>
      </c>
      <c r="D12" s="132" t="s">
        <v>1859</v>
      </c>
      <c r="E12" s="133" t="s">
        <v>1860</v>
      </c>
      <c r="F12" s="129" t="s">
        <v>1883</v>
      </c>
      <c r="G12" s="129" t="s">
        <v>1884</v>
      </c>
      <c r="H12" s="134">
        <v>2.1</v>
      </c>
      <c r="I12" s="123" t="s">
        <v>1885</v>
      </c>
      <c r="J12" s="131" t="s">
        <v>1886</v>
      </c>
      <c r="K12" s="116" t="s">
        <v>1864</v>
      </c>
      <c r="L12" s="117"/>
    </row>
    <row r="13" spans="1:12" ht="30">
      <c r="A13" s="330" t="s">
        <v>2861</v>
      </c>
      <c r="B13" s="330" t="str">
        <f t="shared" si="0"/>
        <v>一般会計全般・決算2.2</v>
      </c>
      <c r="C13" t="s">
        <v>2876</v>
      </c>
      <c r="D13" s="118" t="s">
        <v>1859</v>
      </c>
      <c r="E13" s="119" t="s">
        <v>1860</v>
      </c>
      <c r="F13" s="119" t="s">
        <v>1887</v>
      </c>
      <c r="G13" s="135" t="s">
        <v>1888</v>
      </c>
      <c r="H13" s="134">
        <v>2.2000000000000002</v>
      </c>
      <c r="I13" s="123" t="s">
        <v>1889</v>
      </c>
      <c r="J13" s="131" t="s">
        <v>103</v>
      </c>
      <c r="K13" s="116" t="s">
        <v>1864</v>
      </c>
      <c r="L13" s="117"/>
    </row>
    <row r="14" spans="1:12" ht="30">
      <c r="A14" s="330" t="s">
        <v>2861</v>
      </c>
      <c r="B14" s="330" t="str">
        <f t="shared" si="0"/>
        <v>一般会計全般・決算2.3</v>
      </c>
      <c r="C14" t="s">
        <v>2877</v>
      </c>
      <c r="D14" s="118" t="s">
        <v>1859</v>
      </c>
      <c r="E14" s="119" t="s">
        <v>1860</v>
      </c>
      <c r="F14" s="135" t="s">
        <v>1887</v>
      </c>
      <c r="G14" s="136" t="s">
        <v>1890</v>
      </c>
      <c r="H14" s="134">
        <v>2.2999999999999998</v>
      </c>
      <c r="I14" s="123" t="s">
        <v>106</v>
      </c>
      <c r="J14" s="131" t="s">
        <v>107</v>
      </c>
      <c r="K14" s="116" t="s">
        <v>1864</v>
      </c>
      <c r="L14" s="127" t="s">
        <v>1891</v>
      </c>
    </row>
    <row r="15" spans="1:12" ht="15">
      <c r="A15" s="330" t="s">
        <v>2861</v>
      </c>
      <c r="B15" s="330" t="str">
        <f t="shared" si="0"/>
        <v>一般会計全般・決算3.1</v>
      </c>
      <c r="C15" t="s">
        <v>2878</v>
      </c>
      <c r="D15" s="118" t="s">
        <v>1859</v>
      </c>
      <c r="E15" s="119" t="s">
        <v>1860</v>
      </c>
      <c r="F15" s="129" t="s">
        <v>1892</v>
      </c>
      <c r="G15" s="129" t="s">
        <v>1892</v>
      </c>
      <c r="H15" s="134">
        <v>3.1</v>
      </c>
      <c r="I15" s="123" t="s">
        <v>110</v>
      </c>
      <c r="J15" s="131" t="s">
        <v>111</v>
      </c>
      <c r="K15" s="116" t="s">
        <v>1864</v>
      </c>
      <c r="L15" s="117"/>
    </row>
    <row r="16" spans="1:12" ht="30">
      <c r="A16" s="330" t="s">
        <v>2861</v>
      </c>
      <c r="B16" s="330" t="str">
        <f t="shared" si="0"/>
        <v>一般会計全般・決算3.2</v>
      </c>
      <c r="C16" t="s">
        <v>2879</v>
      </c>
      <c r="D16" s="118" t="s">
        <v>1859</v>
      </c>
      <c r="E16" s="119" t="s">
        <v>1860</v>
      </c>
      <c r="F16" s="135" t="s">
        <v>1893</v>
      </c>
      <c r="G16" s="135" t="s">
        <v>1893</v>
      </c>
      <c r="H16" s="134">
        <v>3.2</v>
      </c>
      <c r="I16" s="123" t="s">
        <v>114</v>
      </c>
      <c r="J16" s="131" t="s">
        <v>115</v>
      </c>
      <c r="K16" s="116" t="s">
        <v>1864</v>
      </c>
      <c r="L16" s="127" t="s">
        <v>1894</v>
      </c>
    </row>
    <row r="17" spans="1:12" ht="15">
      <c r="A17" s="330" t="s">
        <v>2861</v>
      </c>
      <c r="B17" s="330" t="str">
        <f t="shared" si="0"/>
        <v>一般会計全般・決算4.1</v>
      </c>
      <c r="C17" t="s">
        <v>2880</v>
      </c>
      <c r="D17" s="118" t="s">
        <v>1859</v>
      </c>
      <c r="E17" s="119" t="s">
        <v>1860</v>
      </c>
      <c r="F17" s="129" t="s">
        <v>1895</v>
      </c>
      <c r="G17" s="129" t="s">
        <v>1895</v>
      </c>
      <c r="H17" s="134">
        <v>4.0999999999999996</v>
      </c>
      <c r="I17" s="123" t="s">
        <v>120</v>
      </c>
      <c r="J17" s="131" t="s">
        <v>121</v>
      </c>
      <c r="K17" s="116" t="s">
        <v>1864</v>
      </c>
      <c r="L17" s="117"/>
    </row>
    <row r="18" spans="1:12" ht="30">
      <c r="A18" s="330" t="s">
        <v>2861</v>
      </c>
      <c r="B18" s="330" t="str">
        <f t="shared" si="0"/>
        <v>一般会計全般・決算4.2</v>
      </c>
      <c r="C18" t="s">
        <v>2881</v>
      </c>
      <c r="D18" s="118" t="s">
        <v>1859</v>
      </c>
      <c r="E18" s="119" t="s">
        <v>1860</v>
      </c>
      <c r="F18" s="137"/>
      <c r="G18" s="137"/>
      <c r="H18" s="134">
        <v>4.2</v>
      </c>
      <c r="I18" s="123" t="s">
        <v>124</v>
      </c>
      <c r="J18" s="131" t="s">
        <v>125</v>
      </c>
      <c r="K18" s="116" t="s">
        <v>1875</v>
      </c>
      <c r="L18" s="117" t="s">
        <v>1896</v>
      </c>
    </row>
    <row r="19" spans="1:12" ht="30">
      <c r="A19" s="330" t="s">
        <v>2861</v>
      </c>
      <c r="B19" s="330" t="str">
        <f t="shared" si="0"/>
        <v>一般会計全般・決算4.3</v>
      </c>
      <c r="C19" t="s">
        <v>2882</v>
      </c>
      <c r="D19" s="118" t="s">
        <v>1859</v>
      </c>
      <c r="E19" s="119" t="s">
        <v>1860</v>
      </c>
      <c r="F19" s="135" t="s">
        <v>1897</v>
      </c>
      <c r="G19" s="135" t="s">
        <v>1897</v>
      </c>
      <c r="H19" s="134">
        <v>4.3</v>
      </c>
      <c r="I19" s="123" t="s">
        <v>1898</v>
      </c>
      <c r="J19" s="138" t="s">
        <v>130</v>
      </c>
      <c r="K19" s="116" t="s">
        <v>1875</v>
      </c>
      <c r="L19" s="117" t="s">
        <v>1899</v>
      </c>
    </row>
    <row r="20" spans="1:12" ht="45">
      <c r="A20" s="330" t="s">
        <v>2861</v>
      </c>
      <c r="B20" s="330" t="str">
        <f t="shared" si="0"/>
        <v>一般会計全般・決算5.1</v>
      </c>
      <c r="C20" t="s">
        <v>2883</v>
      </c>
      <c r="D20" s="125" t="s">
        <v>1859</v>
      </c>
      <c r="E20" s="119" t="s">
        <v>1860</v>
      </c>
      <c r="F20" s="139" t="s">
        <v>1900</v>
      </c>
      <c r="G20" s="139" t="s">
        <v>1900</v>
      </c>
      <c r="H20" s="140">
        <v>5.0999999999999996</v>
      </c>
      <c r="I20" s="123" t="s">
        <v>137</v>
      </c>
      <c r="J20" s="131" t="s">
        <v>138</v>
      </c>
      <c r="K20" s="116" t="s">
        <v>1864</v>
      </c>
      <c r="L20" s="117"/>
    </row>
    <row r="21" spans="1:12" ht="60">
      <c r="A21" s="330" t="s">
        <v>2861</v>
      </c>
      <c r="B21" s="330" t="str">
        <f t="shared" si="0"/>
        <v>一般会計全般・決算5.2</v>
      </c>
      <c r="C21" t="s">
        <v>2884</v>
      </c>
      <c r="D21" s="125" t="s">
        <v>1859</v>
      </c>
      <c r="E21" s="126" t="s">
        <v>1860</v>
      </c>
      <c r="F21" s="126" t="s">
        <v>1900</v>
      </c>
      <c r="G21" s="126" t="s">
        <v>1900</v>
      </c>
      <c r="H21" s="140">
        <v>5.2</v>
      </c>
      <c r="I21" s="141" t="s">
        <v>1901</v>
      </c>
      <c r="J21" s="138" t="s">
        <v>1902</v>
      </c>
      <c r="K21" s="116" t="s">
        <v>1875</v>
      </c>
      <c r="L21" s="117" t="s">
        <v>1903</v>
      </c>
    </row>
    <row r="22" spans="1:12" ht="30">
      <c r="A22" s="330" t="s">
        <v>2861</v>
      </c>
      <c r="B22" s="330" t="str">
        <f t="shared" si="0"/>
        <v>一般会計全般・決算6.1</v>
      </c>
      <c r="C22" t="s">
        <v>2885</v>
      </c>
      <c r="D22" s="142" t="s">
        <v>1859</v>
      </c>
      <c r="E22" s="143" t="s">
        <v>1904</v>
      </c>
      <c r="F22" s="143" t="s">
        <v>1905</v>
      </c>
      <c r="G22" s="143" t="s">
        <v>1906</v>
      </c>
      <c r="H22" s="134">
        <v>6.1</v>
      </c>
      <c r="I22" s="123" t="s">
        <v>149</v>
      </c>
      <c r="J22" s="138" t="s">
        <v>150</v>
      </c>
      <c r="K22" s="116" t="s">
        <v>1864</v>
      </c>
      <c r="L22" s="117"/>
    </row>
    <row r="23" spans="1:12" ht="30">
      <c r="A23" s="330" t="s">
        <v>2861</v>
      </c>
      <c r="B23" s="330" t="str">
        <f t="shared" si="0"/>
        <v>一般会計全般・決算6.2</v>
      </c>
      <c r="C23" t="s">
        <v>2886</v>
      </c>
      <c r="D23" s="142" t="s">
        <v>1859</v>
      </c>
      <c r="E23" s="144" t="s">
        <v>1904</v>
      </c>
      <c r="F23" s="144" t="s">
        <v>1905</v>
      </c>
      <c r="G23" s="144" t="s">
        <v>1906</v>
      </c>
      <c r="H23" s="134">
        <v>6.2</v>
      </c>
      <c r="I23" s="121" t="s">
        <v>1907</v>
      </c>
      <c r="J23" s="145" t="s">
        <v>154</v>
      </c>
      <c r="K23" s="116" t="s">
        <v>1864</v>
      </c>
      <c r="L23" s="117"/>
    </row>
    <row r="24" spans="1:12" ht="15">
      <c r="A24" s="330" t="s">
        <v>2861</v>
      </c>
      <c r="B24" s="330" t="str">
        <f t="shared" si="0"/>
        <v>一般会計全般・決算6.3</v>
      </c>
      <c r="C24" t="s">
        <v>2887</v>
      </c>
      <c r="D24" s="142" t="s">
        <v>1859</v>
      </c>
      <c r="E24" s="144" t="s">
        <v>1904</v>
      </c>
      <c r="F24" s="144" t="s">
        <v>1905</v>
      </c>
      <c r="G24" s="144" t="s">
        <v>1906</v>
      </c>
      <c r="H24" s="134">
        <v>6.3</v>
      </c>
      <c r="I24" s="121" t="s">
        <v>157</v>
      </c>
      <c r="J24" s="146" t="s">
        <v>1908</v>
      </c>
      <c r="K24" s="116" t="s">
        <v>1864</v>
      </c>
      <c r="L24" s="127" t="s">
        <v>1909</v>
      </c>
    </row>
    <row r="25" spans="1:12" ht="30">
      <c r="A25" s="330" t="s">
        <v>2861</v>
      </c>
      <c r="B25" s="330" t="str">
        <f t="shared" si="0"/>
        <v>一般会計全般・決算6.4</v>
      </c>
      <c r="C25" t="s">
        <v>2888</v>
      </c>
      <c r="D25" s="142" t="s">
        <v>1859</v>
      </c>
      <c r="E25" s="144" t="s">
        <v>1904</v>
      </c>
      <c r="F25" s="144" t="s">
        <v>1905</v>
      </c>
      <c r="G25" s="147" t="s">
        <v>1906</v>
      </c>
      <c r="H25" s="134">
        <v>6.4</v>
      </c>
      <c r="I25" s="148" t="s">
        <v>1910</v>
      </c>
      <c r="J25" s="124" t="s">
        <v>1911</v>
      </c>
      <c r="K25" s="116" t="s">
        <v>1864</v>
      </c>
      <c r="L25" s="117"/>
    </row>
    <row r="26" spans="1:12" ht="45">
      <c r="A26" s="330" t="s">
        <v>2861</v>
      </c>
      <c r="B26" s="330" t="str">
        <f t="shared" si="0"/>
        <v>一般会計全般・決算6.5</v>
      </c>
      <c r="C26" t="s">
        <v>2889</v>
      </c>
      <c r="D26" s="149" t="s">
        <v>1859</v>
      </c>
      <c r="E26" s="150" t="s">
        <v>1904</v>
      </c>
      <c r="F26" s="151" t="s">
        <v>1905</v>
      </c>
      <c r="G26" s="152" t="s">
        <v>1912</v>
      </c>
      <c r="H26" s="134">
        <v>6.5</v>
      </c>
      <c r="I26" s="121" t="s">
        <v>171</v>
      </c>
      <c r="J26" s="122" t="s">
        <v>172</v>
      </c>
      <c r="K26" s="116" t="s">
        <v>1864</v>
      </c>
      <c r="L26" s="127" t="s">
        <v>1913</v>
      </c>
    </row>
    <row r="27" spans="1:12" ht="45">
      <c r="A27" s="330" t="s">
        <v>2861</v>
      </c>
      <c r="B27" s="330" t="str">
        <f t="shared" si="0"/>
        <v>一般会計全般・決算6.6</v>
      </c>
      <c r="C27" t="s">
        <v>2890</v>
      </c>
      <c r="D27" s="142" t="s">
        <v>1859</v>
      </c>
      <c r="E27" s="144" t="s">
        <v>1904</v>
      </c>
      <c r="F27" s="153" t="s">
        <v>1905</v>
      </c>
      <c r="G27" s="154" t="s">
        <v>1912</v>
      </c>
      <c r="H27" s="134">
        <v>6.6</v>
      </c>
      <c r="I27" s="123" t="s">
        <v>1914</v>
      </c>
      <c r="J27" s="130" t="s">
        <v>1915</v>
      </c>
      <c r="K27" s="116" t="s">
        <v>1864</v>
      </c>
      <c r="L27" s="127" t="s">
        <v>1916</v>
      </c>
    </row>
    <row r="28" spans="1:12" ht="165">
      <c r="A28" s="330" t="s">
        <v>2861</v>
      </c>
      <c r="B28" s="330" t="str">
        <f t="shared" si="0"/>
        <v>一般会計全般・決算7.1</v>
      </c>
      <c r="C28" t="s">
        <v>2891</v>
      </c>
      <c r="D28" s="155" t="s">
        <v>1859</v>
      </c>
      <c r="E28" s="156" t="s">
        <v>1917</v>
      </c>
      <c r="F28" s="157" t="s">
        <v>1918</v>
      </c>
      <c r="G28" s="157" t="s">
        <v>1919</v>
      </c>
      <c r="H28" s="134">
        <v>7.1</v>
      </c>
      <c r="I28" s="158" t="s">
        <v>1920</v>
      </c>
      <c r="J28" s="146" t="s">
        <v>1921</v>
      </c>
      <c r="K28" s="116" t="s">
        <v>1864</v>
      </c>
      <c r="L28" s="159" t="s">
        <v>1922</v>
      </c>
    </row>
    <row r="29" spans="1:12" ht="15">
      <c r="A29" s="330" t="s">
        <v>2861</v>
      </c>
      <c r="B29" s="330" t="str">
        <f t="shared" si="0"/>
        <v>一般会計全般・決算7.2</v>
      </c>
      <c r="C29" t="s">
        <v>2892</v>
      </c>
      <c r="D29" s="155" t="s">
        <v>1859</v>
      </c>
      <c r="E29" s="142" t="s">
        <v>1917</v>
      </c>
      <c r="F29" s="142" t="s">
        <v>1918</v>
      </c>
      <c r="G29" s="142" t="s">
        <v>1923</v>
      </c>
      <c r="H29" s="134">
        <v>7.2</v>
      </c>
      <c r="I29" s="121" t="s">
        <v>1924</v>
      </c>
      <c r="J29" s="146" t="s">
        <v>1925</v>
      </c>
      <c r="K29" s="116" t="s">
        <v>1864</v>
      </c>
      <c r="L29" s="127" t="s">
        <v>1909</v>
      </c>
    </row>
    <row r="30" spans="1:12" ht="90">
      <c r="A30" s="330" t="s">
        <v>2861</v>
      </c>
      <c r="B30" s="330" t="str">
        <f t="shared" si="0"/>
        <v>一般会計全般・決算7.3</v>
      </c>
      <c r="C30" t="s">
        <v>2893</v>
      </c>
      <c r="D30" s="160" t="s">
        <v>1859</v>
      </c>
      <c r="E30" s="161" t="s">
        <v>1917</v>
      </c>
      <c r="F30" s="162" t="s">
        <v>1918</v>
      </c>
      <c r="G30" s="163" t="s">
        <v>1926</v>
      </c>
      <c r="H30" s="164">
        <v>7.3</v>
      </c>
      <c r="I30" s="165" t="s">
        <v>1927</v>
      </c>
      <c r="J30" s="166" t="s">
        <v>1928</v>
      </c>
      <c r="K30" s="116" t="s">
        <v>1875</v>
      </c>
      <c r="L30" s="167" t="s">
        <v>1929</v>
      </c>
    </row>
    <row r="31" spans="1:12" ht="90">
      <c r="A31" s="330" t="s">
        <v>2861</v>
      </c>
      <c r="B31" s="330" t="str">
        <f t="shared" si="0"/>
        <v>一般会計全般・決算7.4</v>
      </c>
      <c r="C31" t="s">
        <v>2894</v>
      </c>
      <c r="D31" s="168" t="s">
        <v>1859</v>
      </c>
      <c r="E31" s="125" t="s">
        <v>1917</v>
      </c>
      <c r="F31" s="126" t="s">
        <v>1918</v>
      </c>
      <c r="G31" s="169" t="s">
        <v>1926</v>
      </c>
      <c r="H31" s="164">
        <v>7.4</v>
      </c>
      <c r="I31" s="121" t="s">
        <v>1930</v>
      </c>
      <c r="J31" s="146" t="s">
        <v>1931</v>
      </c>
      <c r="K31" s="116" t="s">
        <v>1875</v>
      </c>
      <c r="L31" s="167" t="s">
        <v>1932</v>
      </c>
    </row>
    <row r="32" spans="1:12" ht="345">
      <c r="A32" s="330" t="s">
        <v>2861</v>
      </c>
      <c r="B32" s="330" t="str">
        <f t="shared" si="0"/>
        <v>一般会計全般・決算7.5</v>
      </c>
      <c r="C32" t="s">
        <v>2895</v>
      </c>
      <c r="D32" s="155" t="s">
        <v>1859</v>
      </c>
      <c r="E32" s="142" t="s">
        <v>1917</v>
      </c>
      <c r="F32" s="142" t="s">
        <v>1918</v>
      </c>
      <c r="G32" s="170" t="s">
        <v>1933</v>
      </c>
      <c r="H32" s="164">
        <v>7.5</v>
      </c>
      <c r="I32" s="171" t="s">
        <v>1934</v>
      </c>
      <c r="J32" s="172" t="s">
        <v>1935</v>
      </c>
      <c r="K32" s="116" t="s">
        <v>1864</v>
      </c>
      <c r="L32" s="159" t="s">
        <v>1916</v>
      </c>
    </row>
    <row r="33" spans="1:12" ht="45">
      <c r="A33" s="330" t="s">
        <v>2861</v>
      </c>
      <c r="B33" s="330" t="str">
        <f t="shared" si="0"/>
        <v>一般会計全般・決算7.6</v>
      </c>
      <c r="C33" t="s">
        <v>2896</v>
      </c>
      <c r="D33" s="155" t="s">
        <v>1859</v>
      </c>
      <c r="E33" s="142" t="s">
        <v>1917</v>
      </c>
      <c r="F33" s="142" t="s">
        <v>1918</v>
      </c>
      <c r="G33" s="170" t="s">
        <v>1936</v>
      </c>
      <c r="H33" s="164">
        <v>7.6</v>
      </c>
      <c r="I33" s="123" t="s">
        <v>1937</v>
      </c>
      <c r="J33" s="131" t="s">
        <v>1938</v>
      </c>
      <c r="K33" s="116" t="s">
        <v>1864</v>
      </c>
      <c r="L33" s="127" t="s">
        <v>1916</v>
      </c>
    </row>
    <row r="34" spans="1:12" ht="45">
      <c r="A34" s="330" t="s">
        <v>2861</v>
      </c>
      <c r="B34" s="330" t="str">
        <f t="shared" si="0"/>
        <v>一般会計全般・決算7.7</v>
      </c>
      <c r="C34" t="s">
        <v>2897</v>
      </c>
      <c r="D34" s="155" t="s">
        <v>1859</v>
      </c>
      <c r="E34" s="142" t="s">
        <v>1917</v>
      </c>
      <c r="F34" s="142" t="s">
        <v>1918</v>
      </c>
      <c r="G34" s="173" t="s">
        <v>1936</v>
      </c>
      <c r="H34" s="164">
        <v>7.7</v>
      </c>
      <c r="I34" s="123" t="s">
        <v>1939</v>
      </c>
      <c r="J34" s="131" t="s">
        <v>1940</v>
      </c>
      <c r="K34" s="116" t="s">
        <v>1864</v>
      </c>
      <c r="L34" s="127" t="s">
        <v>1916</v>
      </c>
    </row>
    <row r="35" spans="1:12" ht="60">
      <c r="A35" s="330" t="s">
        <v>2861</v>
      </c>
      <c r="B35" s="330" t="str">
        <f t="shared" si="0"/>
        <v>一般会計全般・決算7.8</v>
      </c>
      <c r="C35" t="s">
        <v>2898</v>
      </c>
      <c r="D35" s="125" t="s">
        <v>1859</v>
      </c>
      <c r="E35" s="174" t="s">
        <v>1917</v>
      </c>
      <c r="F35" s="126" t="s">
        <v>1918</v>
      </c>
      <c r="G35" s="175" t="s">
        <v>1941</v>
      </c>
      <c r="H35" s="164">
        <v>7.8</v>
      </c>
      <c r="I35" s="123" t="s">
        <v>217</v>
      </c>
      <c r="J35" s="138" t="s">
        <v>1942</v>
      </c>
      <c r="K35" s="116" t="s">
        <v>1864</v>
      </c>
      <c r="L35" s="127" t="s">
        <v>1916</v>
      </c>
    </row>
    <row r="36" spans="1:12" ht="60">
      <c r="A36" s="330" t="s">
        <v>2861</v>
      </c>
      <c r="B36" s="330" t="str">
        <f t="shared" si="0"/>
        <v>一般会計全般・決算7.9</v>
      </c>
      <c r="C36" t="s">
        <v>2899</v>
      </c>
      <c r="D36" s="125" t="s">
        <v>1859</v>
      </c>
      <c r="E36" s="174" t="s">
        <v>1917</v>
      </c>
      <c r="F36" s="126" t="s">
        <v>1918</v>
      </c>
      <c r="G36" s="128" t="s">
        <v>1941</v>
      </c>
      <c r="H36" s="164">
        <v>7.9</v>
      </c>
      <c r="I36" s="123" t="s">
        <v>221</v>
      </c>
      <c r="J36" s="138" t="s">
        <v>1943</v>
      </c>
      <c r="K36" s="116" t="s">
        <v>1864</v>
      </c>
      <c r="L36" s="127" t="s">
        <v>1916</v>
      </c>
    </row>
    <row r="37" spans="1:12" ht="45">
      <c r="A37" s="330" t="s">
        <v>2861</v>
      </c>
      <c r="B37" s="330" t="str">
        <f t="shared" si="0"/>
        <v>一般会計全般・決算8.1</v>
      </c>
      <c r="C37" t="s">
        <v>2900</v>
      </c>
      <c r="D37" s="125" t="s">
        <v>1859</v>
      </c>
      <c r="E37" s="174" t="s">
        <v>1917</v>
      </c>
      <c r="F37" s="175" t="s">
        <v>1944</v>
      </c>
      <c r="G37" s="175" t="s">
        <v>1945</v>
      </c>
      <c r="H37" s="140">
        <v>8.1</v>
      </c>
      <c r="I37" s="123" t="s">
        <v>1946</v>
      </c>
      <c r="J37" s="131" t="s">
        <v>1947</v>
      </c>
      <c r="K37" s="116" t="s">
        <v>1864</v>
      </c>
      <c r="L37" s="127" t="s">
        <v>1916</v>
      </c>
    </row>
    <row r="38" spans="1:12" ht="30">
      <c r="A38" s="330" t="s">
        <v>2861</v>
      </c>
      <c r="B38" s="330" t="str">
        <f t="shared" si="0"/>
        <v>一般会計全般・決算8.2</v>
      </c>
      <c r="C38" t="s">
        <v>2901</v>
      </c>
      <c r="D38" s="125" t="s">
        <v>1859</v>
      </c>
      <c r="E38" s="176" t="s">
        <v>1917</v>
      </c>
      <c r="F38" s="176" t="s">
        <v>1948</v>
      </c>
      <c r="G38" s="177" t="s">
        <v>1949</v>
      </c>
      <c r="H38" s="178">
        <v>8.1999999999999993</v>
      </c>
      <c r="I38" s="165" t="s">
        <v>1950</v>
      </c>
      <c r="J38" s="166" t="s">
        <v>1951</v>
      </c>
      <c r="K38" s="116" t="s">
        <v>1864</v>
      </c>
      <c r="L38" s="127" t="s">
        <v>1909</v>
      </c>
    </row>
    <row r="39" spans="1:12" ht="30">
      <c r="A39" s="330" t="s">
        <v>2861</v>
      </c>
      <c r="B39" s="330" t="str">
        <f t="shared" si="0"/>
        <v>一般会計全般・決算8.3</v>
      </c>
      <c r="C39" t="s">
        <v>2902</v>
      </c>
      <c r="D39" s="125" t="s">
        <v>1859</v>
      </c>
      <c r="E39" s="176" t="s">
        <v>1917</v>
      </c>
      <c r="F39" s="176" t="s">
        <v>1948</v>
      </c>
      <c r="G39" s="177" t="s">
        <v>1952</v>
      </c>
      <c r="H39" s="140">
        <v>8.3000000000000007</v>
      </c>
      <c r="I39" s="165" t="s">
        <v>1953</v>
      </c>
      <c r="J39" s="166" t="s">
        <v>1954</v>
      </c>
      <c r="K39" s="116" t="s">
        <v>1864</v>
      </c>
      <c r="L39" s="127" t="s">
        <v>1916</v>
      </c>
    </row>
    <row r="40" spans="1:12" ht="30">
      <c r="A40" s="330" t="s">
        <v>2861</v>
      </c>
      <c r="B40" s="330" t="str">
        <f t="shared" si="0"/>
        <v>一般会計全般・決算8.4</v>
      </c>
      <c r="C40" t="s">
        <v>2903</v>
      </c>
      <c r="D40" s="125" t="s">
        <v>1859</v>
      </c>
      <c r="E40" s="176" t="s">
        <v>1917</v>
      </c>
      <c r="F40" s="176" t="s">
        <v>1948</v>
      </c>
      <c r="G40" s="177" t="s">
        <v>1955</v>
      </c>
      <c r="H40" s="178">
        <v>8.4</v>
      </c>
      <c r="I40" s="165" t="s">
        <v>1956</v>
      </c>
      <c r="J40" s="166" t="s">
        <v>1957</v>
      </c>
      <c r="K40" s="116" t="s">
        <v>1864</v>
      </c>
      <c r="L40" s="127" t="s">
        <v>1909</v>
      </c>
    </row>
    <row r="41" spans="1:12" ht="30">
      <c r="A41" s="330" t="s">
        <v>2861</v>
      </c>
      <c r="B41" s="330" t="str">
        <f t="shared" si="0"/>
        <v>一般会計全般・決算8.5</v>
      </c>
      <c r="C41" t="s">
        <v>2904</v>
      </c>
      <c r="D41" s="125" t="s">
        <v>1859</v>
      </c>
      <c r="E41" s="176" t="s">
        <v>1917</v>
      </c>
      <c r="F41" s="176" t="s">
        <v>1948</v>
      </c>
      <c r="G41" s="177" t="s">
        <v>1958</v>
      </c>
      <c r="H41" s="140">
        <v>8.5</v>
      </c>
      <c r="I41" s="165" t="s">
        <v>1959</v>
      </c>
      <c r="J41" s="166" t="s">
        <v>1960</v>
      </c>
      <c r="K41" s="116" t="s">
        <v>1864</v>
      </c>
      <c r="L41" s="127" t="s">
        <v>1916</v>
      </c>
    </row>
    <row r="42" spans="1:12" ht="30">
      <c r="A42" s="330" t="s">
        <v>2861</v>
      </c>
      <c r="B42" s="330" t="str">
        <f t="shared" si="0"/>
        <v>一般会計全般・決算8.6</v>
      </c>
      <c r="C42" t="s">
        <v>2905</v>
      </c>
      <c r="D42" s="125" t="s">
        <v>1859</v>
      </c>
      <c r="E42" s="176" t="s">
        <v>1917</v>
      </c>
      <c r="F42" s="176" t="s">
        <v>1948</v>
      </c>
      <c r="G42" s="177" t="s">
        <v>1961</v>
      </c>
      <c r="H42" s="178">
        <v>8.6</v>
      </c>
      <c r="I42" s="165" t="s">
        <v>1962</v>
      </c>
      <c r="J42" s="166" t="s">
        <v>1963</v>
      </c>
      <c r="K42" s="116" t="s">
        <v>1864</v>
      </c>
      <c r="L42" s="127" t="s">
        <v>1909</v>
      </c>
    </row>
    <row r="43" spans="1:12" ht="30">
      <c r="A43" s="330" t="s">
        <v>2861</v>
      </c>
      <c r="B43" s="330" t="str">
        <f t="shared" si="0"/>
        <v>一般会計全般・決算8.7</v>
      </c>
      <c r="C43" t="s">
        <v>2906</v>
      </c>
      <c r="D43" s="125" t="s">
        <v>1859</v>
      </c>
      <c r="E43" s="176" t="s">
        <v>1917</v>
      </c>
      <c r="F43" s="176" t="s">
        <v>1948</v>
      </c>
      <c r="G43" s="177" t="s">
        <v>1964</v>
      </c>
      <c r="H43" s="140">
        <v>8.6999999999999993</v>
      </c>
      <c r="I43" s="165" t="s">
        <v>1965</v>
      </c>
      <c r="J43" s="166" t="s">
        <v>1966</v>
      </c>
      <c r="K43" s="116" t="s">
        <v>1864</v>
      </c>
      <c r="L43" s="127" t="s">
        <v>1916</v>
      </c>
    </row>
    <row r="44" spans="1:12" ht="15">
      <c r="A44" s="330" t="s">
        <v>2861</v>
      </c>
      <c r="B44" s="330" t="str">
        <f t="shared" si="0"/>
        <v>一般会計全般・決算9.1</v>
      </c>
      <c r="C44" t="s">
        <v>2907</v>
      </c>
      <c r="D44" s="125" t="s">
        <v>1859</v>
      </c>
      <c r="E44" s="176" t="s">
        <v>1917</v>
      </c>
      <c r="F44" s="179" t="s">
        <v>1967</v>
      </c>
      <c r="G44" s="177" t="s">
        <v>1968</v>
      </c>
      <c r="H44" s="178">
        <v>9.1</v>
      </c>
      <c r="I44" s="165" t="s">
        <v>1969</v>
      </c>
      <c r="J44" s="166" t="s">
        <v>1970</v>
      </c>
      <c r="K44" s="116" t="s">
        <v>1864</v>
      </c>
      <c r="L44" s="127" t="s">
        <v>1909</v>
      </c>
    </row>
    <row r="45" spans="1:12" ht="15">
      <c r="A45" s="330" t="s">
        <v>2861</v>
      </c>
      <c r="B45" s="330" t="str">
        <f t="shared" si="0"/>
        <v>一般会計全般・決算9.2</v>
      </c>
      <c r="C45" t="s">
        <v>2908</v>
      </c>
      <c r="D45" s="125" t="s">
        <v>1859</v>
      </c>
      <c r="E45" s="180" t="s">
        <v>1917</v>
      </c>
      <c r="F45" s="180" t="s">
        <v>1967</v>
      </c>
      <c r="G45" s="177" t="s">
        <v>1971</v>
      </c>
      <c r="H45" s="178">
        <v>9.1999999999999993</v>
      </c>
      <c r="I45" s="165" t="s">
        <v>1972</v>
      </c>
      <c r="J45" s="166" t="s">
        <v>1973</v>
      </c>
      <c r="K45" s="116" t="s">
        <v>1875</v>
      </c>
      <c r="L45" s="117" t="s">
        <v>1974</v>
      </c>
    </row>
    <row r="46" spans="1:12" ht="15">
      <c r="A46" s="330" t="s">
        <v>2861</v>
      </c>
      <c r="B46" s="330" t="str">
        <f t="shared" si="0"/>
        <v>一般会計全般・決算10.1</v>
      </c>
      <c r="C46" t="s">
        <v>2909</v>
      </c>
      <c r="D46" s="125" t="s">
        <v>1859</v>
      </c>
      <c r="E46" s="181" t="s">
        <v>1975</v>
      </c>
      <c r="F46" s="181" t="s">
        <v>1976</v>
      </c>
      <c r="G46" s="181" t="s">
        <v>1977</v>
      </c>
      <c r="H46" s="140">
        <v>10.1</v>
      </c>
      <c r="I46" s="123" t="s">
        <v>1978</v>
      </c>
      <c r="J46" s="138" t="s">
        <v>1979</v>
      </c>
      <c r="K46" s="116" t="s">
        <v>1864</v>
      </c>
      <c r="L46" s="117"/>
    </row>
    <row r="47" spans="1:12" ht="15">
      <c r="A47" s="330" t="s">
        <v>2861</v>
      </c>
      <c r="B47" s="330" t="str">
        <f t="shared" si="0"/>
        <v>一般会計全般・決算10.2</v>
      </c>
      <c r="C47" t="s">
        <v>2910</v>
      </c>
      <c r="D47" s="182" t="s">
        <v>1859</v>
      </c>
      <c r="E47" s="126" t="s">
        <v>1975</v>
      </c>
      <c r="F47" s="128" t="s">
        <v>1976</v>
      </c>
      <c r="G47" s="128" t="s">
        <v>1977</v>
      </c>
      <c r="H47" s="140">
        <v>10.199999999999999</v>
      </c>
      <c r="I47" s="121" t="s">
        <v>1980</v>
      </c>
      <c r="J47" s="183" t="s">
        <v>1981</v>
      </c>
      <c r="K47" s="116" t="s">
        <v>1864</v>
      </c>
      <c r="L47" s="117"/>
    </row>
    <row r="48" spans="1:12" ht="15">
      <c r="A48" s="330" t="s">
        <v>2861</v>
      </c>
      <c r="B48" s="330" t="str">
        <f t="shared" si="0"/>
        <v>一般会計全般・決算11.1</v>
      </c>
      <c r="C48" t="s">
        <v>2911</v>
      </c>
      <c r="D48" s="182" t="s">
        <v>1859</v>
      </c>
      <c r="E48" s="126" t="s">
        <v>1975</v>
      </c>
      <c r="F48" s="175" t="s">
        <v>1982</v>
      </c>
      <c r="G48" s="175" t="s">
        <v>1983</v>
      </c>
      <c r="H48" s="140">
        <v>11.1</v>
      </c>
      <c r="I48" s="123" t="s">
        <v>283</v>
      </c>
      <c r="J48" s="130" t="s">
        <v>284</v>
      </c>
      <c r="K48" s="116" t="s">
        <v>1864</v>
      </c>
      <c r="L48" s="117"/>
    </row>
    <row r="49" spans="1:12" ht="15">
      <c r="A49" s="330" t="s">
        <v>2861</v>
      </c>
      <c r="B49" s="330" t="str">
        <f t="shared" si="0"/>
        <v>一般会計全般・決算11.2</v>
      </c>
      <c r="C49" t="s">
        <v>2912</v>
      </c>
      <c r="D49" s="182" t="s">
        <v>1859</v>
      </c>
      <c r="E49" s="126" t="s">
        <v>1975</v>
      </c>
      <c r="F49" s="126" t="s">
        <v>1982</v>
      </c>
      <c r="G49" s="128" t="s">
        <v>1983</v>
      </c>
      <c r="H49" s="140">
        <v>11.2</v>
      </c>
      <c r="I49" s="141" t="s">
        <v>287</v>
      </c>
      <c r="J49" s="131" t="s">
        <v>288</v>
      </c>
      <c r="K49" s="116" t="s">
        <v>1864</v>
      </c>
      <c r="L49" s="117"/>
    </row>
    <row r="50" spans="1:12" ht="30">
      <c r="A50" s="330" t="s">
        <v>2861</v>
      </c>
      <c r="B50" s="330" t="str">
        <f t="shared" si="0"/>
        <v>一般会計全般・決算11.3</v>
      </c>
      <c r="C50" t="s">
        <v>2913</v>
      </c>
      <c r="D50" s="182" t="s">
        <v>1859</v>
      </c>
      <c r="E50" s="126" t="s">
        <v>1975</v>
      </c>
      <c r="F50" s="126" t="s">
        <v>1982</v>
      </c>
      <c r="G50" s="184" t="s">
        <v>1984</v>
      </c>
      <c r="H50" s="140">
        <v>11.3</v>
      </c>
      <c r="I50" s="141" t="s">
        <v>291</v>
      </c>
      <c r="J50" s="131" t="s">
        <v>292</v>
      </c>
      <c r="K50" s="116" t="s">
        <v>1864</v>
      </c>
      <c r="L50" s="127" t="s">
        <v>1985</v>
      </c>
    </row>
    <row r="51" spans="1:12" ht="15">
      <c r="A51" s="330" t="s">
        <v>2861</v>
      </c>
      <c r="B51" s="330" t="str">
        <f t="shared" si="0"/>
        <v>一般会計全般・決算11.4</v>
      </c>
      <c r="C51" t="s">
        <v>2914</v>
      </c>
      <c r="D51" s="182" t="s">
        <v>1859</v>
      </c>
      <c r="E51" s="126" t="s">
        <v>1975</v>
      </c>
      <c r="F51" s="126" t="s">
        <v>1982</v>
      </c>
      <c r="G51" s="175" t="s">
        <v>1986</v>
      </c>
      <c r="H51" s="140">
        <v>11.4</v>
      </c>
      <c r="I51" s="141" t="s">
        <v>295</v>
      </c>
      <c r="J51" s="138" t="s">
        <v>296</v>
      </c>
      <c r="K51" s="116" t="s">
        <v>1864</v>
      </c>
      <c r="L51" s="117"/>
    </row>
    <row r="52" spans="1:12" ht="30">
      <c r="A52" s="330" t="s">
        <v>2861</v>
      </c>
      <c r="B52" s="330" t="str">
        <f t="shared" si="0"/>
        <v>一般会計全般・決算11.5</v>
      </c>
      <c r="C52" t="s">
        <v>2915</v>
      </c>
      <c r="D52" s="182" t="s">
        <v>1859</v>
      </c>
      <c r="E52" s="126" t="s">
        <v>1975</v>
      </c>
      <c r="F52" s="126" t="s">
        <v>1982</v>
      </c>
      <c r="G52" s="126" t="s">
        <v>1986</v>
      </c>
      <c r="H52" s="140">
        <v>11.5</v>
      </c>
      <c r="I52" s="123" t="s">
        <v>299</v>
      </c>
      <c r="J52" s="138" t="s">
        <v>300</v>
      </c>
      <c r="K52" s="116" t="s">
        <v>1864</v>
      </c>
      <c r="L52" s="127" t="s">
        <v>1987</v>
      </c>
    </row>
    <row r="53" spans="1:12" ht="30">
      <c r="A53" s="330" t="s">
        <v>2861</v>
      </c>
      <c r="B53" s="330" t="str">
        <f t="shared" si="0"/>
        <v>一般会計全般・決算11.6</v>
      </c>
      <c r="C53" t="s">
        <v>2916</v>
      </c>
      <c r="D53" s="182" t="s">
        <v>1859</v>
      </c>
      <c r="E53" s="126" t="s">
        <v>1975</v>
      </c>
      <c r="F53" s="126" t="s">
        <v>1982</v>
      </c>
      <c r="G53" s="128" t="s">
        <v>1986</v>
      </c>
      <c r="H53" s="140">
        <v>11.6</v>
      </c>
      <c r="I53" s="121" t="s">
        <v>303</v>
      </c>
      <c r="J53" s="183" t="s">
        <v>1988</v>
      </c>
      <c r="K53" s="116" t="s">
        <v>1864</v>
      </c>
      <c r="L53" s="127" t="s">
        <v>1989</v>
      </c>
    </row>
    <row r="54" spans="1:12" ht="15">
      <c r="A54" s="330" t="s">
        <v>2861</v>
      </c>
      <c r="B54" s="330" t="str">
        <f t="shared" si="0"/>
        <v>一般会計全般・決算11.7</v>
      </c>
      <c r="C54" t="s">
        <v>2917</v>
      </c>
      <c r="D54" s="182" t="s">
        <v>1859</v>
      </c>
      <c r="E54" s="126" t="s">
        <v>1975</v>
      </c>
      <c r="F54" s="126" t="s">
        <v>1982</v>
      </c>
      <c r="G54" s="175" t="s">
        <v>1990</v>
      </c>
      <c r="H54" s="140">
        <v>11.7</v>
      </c>
      <c r="I54" s="123" t="s">
        <v>1991</v>
      </c>
      <c r="J54" s="124" t="s">
        <v>308</v>
      </c>
      <c r="K54" s="116" t="s">
        <v>1864</v>
      </c>
      <c r="L54" s="117"/>
    </row>
    <row r="55" spans="1:12" ht="30">
      <c r="A55" s="330" t="s">
        <v>2861</v>
      </c>
      <c r="B55" s="330" t="str">
        <f t="shared" si="0"/>
        <v>一般会計全般・決算11.8</v>
      </c>
      <c r="C55" t="s">
        <v>2918</v>
      </c>
      <c r="D55" s="185" t="s">
        <v>1859</v>
      </c>
      <c r="E55" s="186" t="s">
        <v>1975</v>
      </c>
      <c r="F55" s="186" t="s">
        <v>1982</v>
      </c>
      <c r="G55" s="186" t="s">
        <v>1990</v>
      </c>
      <c r="H55" s="187">
        <v>11.8</v>
      </c>
      <c r="I55" s="188" t="s">
        <v>1992</v>
      </c>
      <c r="J55" s="183" t="s">
        <v>1993</v>
      </c>
      <c r="K55" s="116" t="s">
        <v>1864</v>
      </c>
      <c r="L55" s="127" t="s">
        <v>1994</v>
      </c>
    </row>
    <row r="56" spans="1:12" ht="60">
      <c r="A56" s="330" t="s">
        <v>2861</v>
      </c>
      <c r="B56" s="330" t="str">
        <f t="shared" si="0"/>
        <v>一般会計全般・決算12.1</v>
      </c>
      <c r="C56" t="s">
        <v>2919</v>
      </c>
      <c r="D56" s="179" t="s">
        <v>1995</v>
      </c>
      <c r="E56" s="179" t="s">
        <v>1996</v>
      </c>
      <c r="F56" s="179" t="s">
        <v>1997</v>
      </c>
      <c r="G56" s="177" t="s">
        <v>1998</v>
      </c>
      <c r="H56" s="178">
        <v>12.1</v>
      </c>
      <c r="I56" s="165" t="s">
        <v>1999</v>
      </c>
      <c r="J56" s="166" t="s">
        <v>2000</v>
      </c>
      <c r="K56" s="116" t="s">
        <v>1864</v>
      </c>
      <c r="L56" s="127" t="s">
        <v>2001</v>
      </c>
    </row>
    <row r="57" spans="1:12" ht="105">
      <c r="A57" s="330" t="s">
        <v>2861</v>
      </c>
      <c r="B57" s="330" t="str">
        <f t="shared" si="0"/>
        <v>一般会計全般・決算12.2</v>
      </c>
      <c r="C57" t="s">
        <v>2920</v>
      </c>
      <c r="D57" s="189" t="s">
        <v>1995</v>
      </c>
      <c r="E57" s="189" t="s">
        <v>1996</v>
      </c>
      <c r="F57" s="189" t="s">
        <v>1997</v>
      </c>
      <c r="G57" s="177" t="s">
        <v>2002</v>
      </c>
      <c r="H57" s="178">
        <v>12.2</v>
      </c>
      <c r="I57" s="165" t="s">
        <v>2003</v>
      </c>
      <c r="J57" s="166" t="s">
        <v>2004</v>
      </c>
      <c r="K57" s="116" t="s">
        <v>1864</v>
      </c>
      <c r="L57" s="127" t="s">
        <v>2001</v>
      </c>
    </row>
    <row r="58" spans="1:12" ht="75">
      <c r="A58" s="330" t="s">
        <v>2861</v>
      </c>
      <c r="B58" s="330" t="str">
        <f t="shared" si="0"/>
        <v>一般会計全般・決算12.3</v>
      </c>
      <c r="C58" t="s">
        <v>2921</v>
      </c>
      <c r="D58" s="189" t="s">
        <v>1995</v>
      </c>
      <c r="E58" s="189" t="s">
        <v>1996</v>
      </c>
      <c r="F58" s="190" t="s">
        <v>1997</v>
      </c>
      <c r="G58" s="177" t="s">
        <v>2005</v>
      </c>
      <c r="H58" s="178">
        <v>12.3</v>
      </c>
      <c r="I58" s="165" t="s">
        <v>2006</v>
      </c>
      <c r="J58" s="166" t="s">
        <v>2007</v>
      </c>
      <c r="K58" s="116" t="s">
        <v>1864</v>
      </c>
      <c r="L58" s="127" t="s">
        <v>2001</v>
      </c>
    </row>
    <row r="59" spans="1:12" ht="30">
      <c r="A59" s="330" t="s">
        <v>2861</v>
      </c>
      <c r="B59" s="330" t="str">
        <f t="shared" si="0"/>
        <v>一般会計全般・決算13.1</v>
      </c>
      <c r="C59" t="s">
        <v>2922</v>
      </c>
      <c r="D59" s="189" t="s">
        <v>1995</v>
      </c>
      <c r="E59" s="189" t="s">
        <v>1996</v>
      </c>
      <c r="F59" s="175" t="s">
        <v>2008</v>
      </c>
      <c r="G59" s="175" t="s">
        <v>2009</v>
      </c>
      <c r="H59" s="140">
        <v>13.1</v>
      </c>
      <c r="I59" s="123" t="s">
        <v>330</v>
      </c>
      <c r="J59" s="131" t="s">
        <v>331</v>
      </c>
      <c r="K59" s="116" t="s">
        <v>1864</v>
      </c>
      <c r="L59" s="117"/>
    </row>
    <row r="60" spans="1:12" ht="30">
      <c r="A60" s="330" t="s">
        <v>2861</v>
      </c>
      <c r="B60" s="330" t="str">
        <f t="shared" si="0"/>
        <v>一般会計全般・決算13.2</v>
      </c>
      <c r="C60" t="s">
        <v>2923</v>
      </c>
      <c r="D60" s="189" t="s">
        <v>1995</v>
      </c>
      <c r="E60" s="189" t="s">
        <v>1996</v>
      </c>
      <c r="F60" s="126" t="s">
        <v>2008</v>
      </c>
      <c r="G60" s="174" t="s">
        <v>2009</v>
      </c>
      <c r="H60" s="140">
        <v>13.2</v>
      </c>
      <c r="I60" s="123" t="s">
        <v>2010</v>
      </c>
      <c r="J60" s="131" t="s">
        <v>335</v>
      </c>
      <c r="K60" s="116" t="s">
        <v>1864</v>
      </c>
      <c r="L60" s="117"/>
    </row>
    <row r="61" spans="1:12" ht="30">
      <c r="A61" s="330" t="s">
        <v>2861</v>
      </c>
      <c r="B61" s="330" t="str">
        <f t="shared" si="0"/>
        <v>一般会計全般・決算14.1</v>
      </c>
      <c r="C61" t="s">
        <v>2924</v>
      </c>
      <c r="D61" s="189" t="s">
        <v>1995</v>
      </c>
      <c r="E61" s="189" t="s">
        <v>1996</v>
      </c>
      <c r="F61" s="191" t="s">
        <v>2011</v>
      </c>
      <c r="G61" s="158" t="s">
        <v>2012</v>
      </c>
      <c r="H61" s="192">
        <v>14.1</v>
      </c>
      <c r="I61" s="193" t="s">
        <v>2013</v>
      </c>
      <c r="J61" s="194" t="s">
        <v>2014</v>
      </c>
      <c r="K61" s="116" t="s">
        <v>1864</v>
      </c>
      <c r="L61" s="117"/>
    </row>
    <row r="62" spans="1:12" ht="30">
      <c r="A62" s="330" t="s">
        <v>2861</v>
      </c>
      <c r="B62" s="330" t="str">
        <f t="shared" si="0"/>
        <v>一般会計全般・決算14.2</v>
      </c>
      <c r="C62" t="s">
        <v>2925</v>
      </c>
      <c r="D62" s="189" t="s">
        <v>1995</v>
      </c>
      <c r="E62" s="189" t="s">
        <v>1996</v>
      </c>
      <c r="F62" s="189" t="s">
        <v>2011</v>
      </c>
      <c r="G62" s="158" t="s">
        <v>2015</v>
      </c>
      <c r="H62" s="192">
        <v>14.2</v>
      </c>
      <c r="I62" s="193" t="s">
        <v>2016</v>
      </c>
      <c r="J62" s="194" t="s">
        <v>2017</v>
      </c>
      <c r="K62" s="116" t="s">
        <v>1864</v>
      </c>
      <c r="L62" s="117"/>
    </row>
    <row r="63" spans="1:12" ht="30">
      <c r="A63" s="330" t="s">
        <v>2861</v>
      </c>
      <c r="B63" s="330" t="str">
        <f t="shared" si="0"/>
        <v>一般会計全般・決算14.3</v>
      </c>
      <c r="C63" t="s">
        <v>2926</v>
      </c>
      <c r="D63" s="189" t="s">
        <v>1995</v>
      </c>
      <c r="E63" s="189" t="s">
        <v>1996</v>
      </c>
      <c r="F63" s="189" t="s">
        <v>2011</v>
      </c>
      <c r="G63" s="158" t="s">
        <v>2018</v>
      </c>
      <c r="H63" s="192">
        <v>14.3</v>
      </c>
      <c r="I63" s="193" t="s">
        <v>2019</v>
      </c>
      <c r="J63" s="194" t="s">
        <v>2020</v>
      </c>
      <c r="K63" s="116" t="s">
        <v>1864</v>
      </c>
      <c r="L63" s="117"/>
    </row>
    <row r="64" spans="1:12" ht="30">
      <c r="A64" s="330" t="s">
        <v>2861</v>
      </c>
      <c r="B64" s="330" t="str">
        <f t="shared" si="0"/>
        <v>一般会計全般・決算14.4</v>
      </c>
      <c r="C64" t="s">
        <v>2927</v>
      </c>
      <c r="D64" s="189" t="s">
        <v>1995</v>
      </c>
      <c r="E64" s="189" t="s">
        <v>1996</v>
      </c>
      <c r="F64" s="195" t="s">
        <v>2011</v>
      </c>
      <c r="G64" s="158" t="s">
        <v>2021</v>
      </c>
      <c r="H64" s="192">
        <v>14.4</v>
      </c>
      <c r="I64" s="193" t="s">
        <v>2022</v>
      </c>
      <c r="J64" s="194" t="s">
        <v>2023</v>
      </c>
      <c r="K64" s="116" t="s">
        <v>1864</v>
      </c>
      <c r="L64" s="117"/>
    </row>
    <row r="65" spans="1:12" ht="30">
      <c r="A65" s="330" t="s">
        <v>2861</v>
      </c>
      <c r="B65" s="330" t="str">
        <f t="shared" si="0"/>
        <v>一般会計全般・決算15.1</v>
      </c>
      <c r="C65" t="s">
        <v>2928</v>
      </c>
      <c r="D65" s="189" t="s">
        <v>1995</v>
      </c>
      <c r="E65" s="189" t="s">
        <v>1996</v>
      </c>
      <c r="F65" s="191" t="s">
        <v>2024</v>
      </c>
      <c r="G65" s="158" t="s">
        <v>2025</v>
      </c>
      <c r="H65" s="192">
        <v>15.1</v>
      </c>
      <c r="I65" s="193" t="s">
        <v>2026</v>
      </c>
      <c r="J65" s="194" t="s">
        <v>2027</v>
      </c>
      <c r="K65" s="116" t="s">
        <v>1864</v>
      </c>
      <c r="L65" s="159" t="s">
        <v>2028</v>
      </c>
    </row>
    <row r="66" spans="1:12" ht="30">
      <c r="A66" s="330" t="s">
        <v>2861</v>
      </c>
      <c r="B66" s="330" t="str">
        <f t="shared" si="0"/>
        <v>一般会計全般・決算15.2</v>
      </c>
      <c r="C66" t="s">
        <v>2929</v>
      </c>
      <c r="D66" s="189" t="s">
        <v>1995</v>
      </c>
      <c r="E66" s="189" t="s">
        <v>1996</v>
      </c>
      <c r="F66" s="189" t="s">
        <v>2024</v>
      </c>
      <c r="G66" s="158" t="s">
        <v>2029</v>
      </c>
      <c r="H66" s="192">
        <v>15.2</v>
      </c>
      <c r="I66" s="193" t="s">
        <v>2030</v>
      </c>
      <c r="J66" s="194" t="s">
        <v>2031</v>
      </c>
      <c r="K66" s="116" t="s">
        <v>1864</v>
      </c>
      <c r="L66" s="127" t="s">
        <v>2032</v>
      </c>
    </row>
    <row r="67" spans="1:12" ht="15">
      <c r="A67" s="330" t="s">
        <v>2861</v>
      </c>
      <c r="B67" s="330" t="str">
        <f t="shared" si="0"/>
        <v>一般会計全般・決算15.3</v>
      </c>
      <c r="C67" t="s">
        <v>2930</v>
      </c>
      <c r="D67" s="189" t="s">
        <v>1995</v>
      </c>
      <c r="E67" s="195" t="s">
        <v>1996</v>
      </c>
      <c r="F67" s="195" t="s">
        <v>2024</v>
      </c>
      <c r="G67" s="158" t="s">
        <v>2033</v>
      </c>
      <c r="H67" s="192">
        <v>15.3</v>
      </c>
      <c r="I67" s="193" t="s">
        <v>2034</v>
      </c>
      <c r="J67" s="194" t="s">
        <v>2035</v>
      </c>
      <c r="K67" s="116" t="s">
        <v>1864</v>
      </c>
      <c r="L67" s="127" t="s">
        <v>2036</v>
      </c>
    </row>
    <row r="68" spans="1:12" ht="60">
      <c r="A68" s="330" t="s">
        <v>2861</v>
      </c>
      <c r="B68" s="330" t="str">
        <f t="shared" ref="B68:B131" si="1">A68&amp;H68</f>
        <v>一般会計全般・決算16.1</v>
      </c>
      <c r="C68" t="s">
        <v>2931</v>
      </c>
      <c r="D68" s="189" t="s">
        <v>1995</v>
      </c>
      <c r="E68" s="191" t="s">
        <v>2037</v>
      </c>
      <c r="F68" s="191" t="s">
        <v>2038</v>
      </c>
      <c r="G68" s="158" t="s">
        <v>2039</v>
      </c>
      <c r="H68" s="192">
        <v>16.100000000000001</v>
      </c>
      <c r="I68" s="193" t="s">
        <v>2040</v>
      </c>
      <c r="J68" s="194" t="s">
        <v>2041</v>
      </c>
      <c r="K68" s="116" t="s">
        <v>1864</v>
      </c>
      <c r="L68" s="127" t="s">
        <v>2001</v>
      </c>
    </row>
    <row r="69" spans="1:12" ht="30">
      <c r="A69" s="330" t="s">
        <v>2861</v>
      </c>
      <c r="B69" s="330" t="str">
        <f t="shared" si="1"/>
        <v>一般会計全般・決算16.2</v>
      </c>
      <c r="C69" t="s">
        <v>2932</v>
      </c>
      <c r="D69" s="189" t="s">
        <v>1995</v>
      </c>
      <c r="E69" s="189" t="s">
        <v>2037</v>
      </c>
      <c r="F69" s="189" t="s">
        <v>2038</v>
      </c>
      <c r="G69" s="158" t="s">
        <v>2042</v>
      </c>
      <c r="H69" s="192">
        <v>16.2</v>
      </c>
      <c r="I69" s="193" t="s">
        <v>2043</v>
      </c>
      <c r="J69" s="194" t="s">
        <v>2044</v>
      </c>
      <c r="K69" s="116" t="s">
        <v>1864</v>
      </c>
      <c r="L69" s="127" t="s">
        <v>2045</v>
      </c>
    </row>
    <row r="70" spans="1:12" ht="105">
      <c r="A70" s="330" t="s">
        <v>2861</v>
      </c>
      <c r="B70" s="330" t="str">
        <f t="shared" si="1"/>
        <v>一般会計全般・決算16.3</v>
      </c>
      <c r="C70" t="s">
        <v>2933</v>
      </c>
      <c r="D70" s="189" t="s">
        <v>1995</v>
      </c>
      <c r="E70" s="189" t="s">
        <v>2037</v>
      </c>
      <c r="F70" s="195" t="s">
        <v>2038</v>
      </c>
      <c r="G70" s="158" t="s">
        <v>2046</v>
      </c>
      <c r="H70" s="192">
        <v>16.3</v>
      </c>
      <c r="I70" s="193" t="s">
        <v>2047</v>
      </c>
      <c r="J70" s="194" t="s">
        <v>2048</v>
      </c>
      <c r="K70" s="116" t="s">
        <v>1864</v>
      </c>
      <c r="L70" s="127" t="s">
        <v>2001</v>
      </c>
    </row>
    <row r="71" spans="1:12" ht="15">
      <c r="A71" s="330" t="s">
        <v>2861</v>
      </c>
      <c r="B71" s="330" t="str">
        <f t="shared" si="1"/>
        <v>一般会計全般・決算17.1</v>
      </c>
      <c r="C71" t="s">
        <v>2934</v>
      </c>
      <c r="D71" s="189" t="s">
        <v>1995</v>
      </c>
      <c r="E71" s="189" t="s">
        <v>2037</v>
      </c>
      <c r="F71" s="191" t="s">
        <v>2049</v>
      </c>
      <c r="G71" s="158" t="s">
        <v>2050</v>
      </c>
      <c r="H71" s="192">
        <v>17.100000000000001</v>
      </c>
      <c r="I71" s="193" t="s">
        <v>2051</v>
      </c>
      <c r="J71" s="194" t="s">
        <v>2052</v>
      </c>
      <c r="K71" s="116" t="s">
        <v>1864</v>
      </c>
      <c r="L71" s="117"/>
    </row>
    <row r="72" spans="1:12" ht="30">
      <c r="A72" s="330" t="s">
        <v>2861</v>
      </c>
      <c r="B72" s="330" t="str">
        <f t="shared" si="1"/>
        <v>一般会計全般・決算17.2</v>
      </c>
      <c r="C72" t="s">
        <v>2935</v>
      </c>
      <c r="D72" s="189" t="s">
        <v>1995</v>
      </c>
      <c r="E72" s="189" t="s">
        <v>2037</v>
      </c>
      <c r="F72" s="189" t="s">
        <v>2049</v>
      </c>
      <c r="G72" s="158" t="s">
        <v>2053</v>
      </c>
      <c r="H72" s="192">
        <v>17.2</v>
      </c>
      <c r="I72" s="193" t="s">
        <v>2054</v>
      </c>
      <c r="J72" s="194" t="s">
        <v>2055</v>
      </c>
      <c r="K72" s="116" t="s">
        <v>1864</v>
      </c>
      <c r="L72" s="117"/>
    </row>
    <row r="73" spans="1:12" ht="30">
      <c r="A73" s="330" t="s">
        <v>2861</v>
      </c>
      <c r="B73" s="330" t="str">
        <f t="shared" si="1"/>
        <v>一般会計全般・決算17.3</v>
      </c>
      <c r="C73" t="s">
        <v>2936</v>
      </c>
      <c r="D73" s="189" t="s">
        <v>1995</v>
      </c>
      <c r="E73" s="189" t="s">
        <v>2037</v>
      </c>
      <c r="F73" s="195" t="s">
        <v>2049</v>
      </c>
      <c r="G73" s="158" t="s">
        <v>2056</v>
      </c>
      <c r="H73" s="192">
        <v>17.3</v>
      </c>
      <c r="I73" s="193" t="s">
        <v>2057</v>
      </c>
      <c r="J73" s="194" t="s">
        <v>2058</v>
      </c>
      <c r="K73" s="116" t="s">
        <v>1864</v>
      </c>
      <c r="L73" s="117"/>
    </row>
    <row r="74" spans="1:12" ht="135.5" thickBot="1">
      <c r="A74" s="330" t="s">
        <v>2861</v>
      </c>
      <c r="B74" s="330" t="str">
        <f t="shared" si="1"/>
        <v>一般会計全般・決算18.1</v>
      </c>
      <c r="C74" t="s">
        <v>2937</v>
      </c>
      <c r="D74" s="195" t="s">
        <v>1995</v>
      </c>
      <c r="E74" s="195" t="s">
        <v>2037</v>
      </c>
      <c r="F74" s="158" t="s">
        <v>2059</v>
      </c>
      <c r="G74" s="158" t="s">
        <v>2060</v>
      </c>
      <c r="H74" s="192">
        <v>18.100000000000001</v>
      </c>
      <c r="I74" s="193" t="s">
        <v>2061</v>
      </c>
      <c r="J74" s="194" t="s">
        <v>2062</v>
      </c>
      <c r="K74" s="196" t="s">
        <v>1875</v>
      </c>
      <c r="L74" s="197" t="s">
        <v>2063</v>
      </c>
    </row>
    <row r="75" spans="1:12" ht="30">
      <c r="A75" s="330" t="s">
        <v>1205</v>
      </c>
      <c r="B75" s="330" t="str">
        <f t="shared" si="1"/>
        <v>固定資産管理1.1</v>
      </c>
      <c r="C75" t="s">
        <v>2938</v>
      </c>
      <c r="D75" s="191" t="s">
        <v>2064</v>
      </c>
      <c r="E75" s="198" t="s">
        <v>2065</v>
      </c>
      <c r="F75" s="199" t="s">
        <v>2066</v>
      </c>
      <c r="G75" s="199" t="s">
        <v>2067</v>
      </c>
      <c r="H75" s="200">
        <v>1.1000000000000001</v>
      </c>
      <c r="I75" s="201" t="s">
        <v>2068</v>
      </c>
      <c r="J75" s="202" t="s">
        <v>2069</v>
      </c>
      <c r="K75" s="116" t="s">
        <v>1864</v>
      </c>
      <c r="L75" s="203"/>
    </row>
    <row r="76" spans="1:12" ht="15">
      <c r="A76" s="330" t="s">
        <v>1205</v>
      </c>
      <c r="B76" s="330" t="str">
        <f t="shared" si="1"/>
        <v>固定資産管理1.2</v>
      </c>
      <c r="C76" t="s">
        <v>2939</v>
      </c>
      <c r="D76" s="204" t="s">
        <v>1694</v>
      </c>
      <c r="E76" s="205" t="s">
        <v>2070</v>
      </c>
      <c r="F76" s="162" t="s">
        <v>2066</v>
      </c>
      <c r="G76" s="162" t="s">
        <v>2067</v>
      </c>
      <c r="H76" s="200">
        <v>1.2</v>
      </c>
      <c r="I76" s="206" t="s">
        <v>2071</v>
      </c>
      <c r="J76" s="207" t="s">
        <v>2072</v>
      </c>
      <c r="K76" s="116" t="s">
        <v>1864</v>
      </c>
      <c r="L76" s="203"/>
    </row>
    <row r="77" spans="1:12" ht="15">
      <c r="A77" s="330" t="s">
        <v>1205</v>
      </c>
      <c r="B77" s="330" t="str">
        <f t="shared" si="1"/>
        <v>固定資産管理1.3</v>
      </c>
      <c r="C77" t="s">
        <v>2940</v>
      </c>
      <c r="D77" s="204" t="s">
        <v>1694</v>
      </c>
      <c r="E77" s="205" t="s">
        <v>2070</v>
      </c>
      <c r="F77" s="208" t="s">
        <v>2066</v>
      </c>
      <c r="G77" s="162" t="s">
        <v>2067</v>
      </c>
      <c r="H77" s="200">
        <v>1.3</v>
      </c>
      <c r="I77" s="209" t="s">
        <v>2073</v>
      </c>
      <c r="J77" s="130" t="s">
        <v>2074</v>
      </c>
      <c r="K77" s="116" t="s">
        <v>1864</v>
      </c>
      <c r="L77" s="203"/>
    </row>
    <row r="78" spans="1:12" ht="30">
      <c r="A78" s="330" t="s">
        <v>1205</v>
      </c>
      <c r="B78" s="330" t="str">
        <f t="shared" si="1"/>
        <v>固定資産管理1.4</v>
      </c>
      <c r="C78" t="s">
        <v>2941</v>
      </c>
      <c r="D78" s="204" t="s">
        <v>1694</v>
      </c>
      <c r="E78" s="205" t="s">
        <v>2070</v>
      </c>
      <c r="F78" s="208" t="s">
        <v>2066</v>
      </c>
      <c r="G78" s="210" t="s">
        <v>2067</v>
      </c>
      <c r="H78" s="200">
        <v>1.4</v>
      </c>
      <c r="I78" s="209" t="s">
        <v>2075</v>
      </c>
      <c r="J78" s="130" t="s">
        <v>2076</v>
      </c>
      <c r="K78" s="116" t="s">
        <v>1864</v>
      </c>
      <c r="L78" s="211" t="s">
        <v>2077</v>
      </c>
    </row>
    <row r="79" spans="1:12" ht="15">
      <c r="A79" s="330" t="s">
        <v>1205</v>
      </c>
      <c r="B79" s="330" t="str">
        <f t="shared" si="1"/>
        <v>固定資産管理1.5</v>
      </c>
      <c r="C79" t="s">
        <v>2942</v>
      </c>
      <c r="D79" s="204" t="s">
        <v>1694</v>
      </c>
      <c r="E79" s="205" t="s">
        <v>2070</v>
      </c>
      <c r="F79" s="208" t="s">
        <v>2066</v>
      </c>
      <c r="G79" s="212" t="s">
        <v>2078</v>
      </c>
      <c r="H79" s="200">
        <v>1.5</v>
      </c>
      <c r="I79" s="213" t="s">
        <v>2079</v>
      </c>
      <c r="J79" s="131" t="s">
        <v>2080</v>
      </c>
      <c r="K79" s="116" t="s">
        <v>1864</v>
      </c>
      <c r="L79" s="203"/>
    </row>
    <row r="80" spans="1:12" ht="30">
      <c r="A80" s="330" t="s">
        <v>1205</v>
      </c>
      <c r="B80" s="330" t="str">
        <f t="shared" si="1"/>
        <v>固定資産管理1.6</v>
      </c>
      <c r="C80" t="s">
        <v>2943</v>
      </c>
      <c r="D80" s="204" t="s">
        <v>1694</v>
      </c>
      <c r="E80" s="205" t="s">
        <v>2070</v>
      </c>
      <c r="F80" s="208" t="s">
        <v>2066</v>
      </c>
      <c r="G80" s="214" t="s">
        <v>2078</v>
      </c>
      <c r="H80" s="200">
        <v>1.6</v>
      </c>
      <c r="I80" s="213" t="s">
        <v>2081</v>
      </c>
      <c r="J80" s="131" t="s">
        <v>2082</v>
      </c>
      <c r="K80" s="116" t="s">
        <v>1875</v>
      </c>
      <c r="L80" s="203" t="s">
        <v>2083</v>
      </c>
    </row>
    <row r="81" spans="1:12" ht="30">
      <c r="A81" s="330" t="s">
        <v>1205</v>
      </c>
      <c r="B81" s="330" t="str">
        <f t="shared" si="1"/>
        <v>固定資産管理1.7</v>
      </c>
      <c r="C81" t="s">
        <v>2944</v>
      </c>
      <c r="D81" s="204" t="s">
        <v>1694</v>
      </c>
      <c r="E81" s="205" t="s">
        <v>2070</v>
      </c>
      <c r="F81" s="208" t="s">
        <v>2066</v>
      </c>
      <c r="G81" s="215" t="s">
        <v>2078</v>
      </c>
      <c r="H81" s="200">
        <v>1.7</v>
      </c>
      <c r="I81" s="213" t="s">
        <v>2084</v>
      </c>
      <c r="J81" s="131" t="s">
        <v>2085</v>
      </c>
      <c r="K81" s="116" t="s">
        <v>1864</v>
      </c>
      <c r="L81" s="203"/>
    </row>
    <row r="82" spans="1:12" ht="15">
      <c r="A82" s="330" t="s">
        <v>1205</v>
      </c>
      <c r="B82" s="330" t="str">
        <f t="shared" si="1"/>
        <v>固定資産管理2.1</v>
      </c>
      <c r="C82" t="s">
        <v>2945</v>
      </c>
      <c r="D82" s="204" t="s">
        <v>1694</v>
      </c>
      <c r="E82" s="205" t="s">
        <v>2070</v>
      </c>
      <c r="F82" s="216" t="s">
        <v>2086</v>
      </c>
      <c r="G82" s="217" t="s">
        <v>2086</v>
      </c>
      <c r="H82" s="200">
        <v>2.1</v>
      </c>
      <c r="I82" s="218" t="s">
        <v>2087</v>
      </c>
      <c r="J82" s="138" t="s">
        <v>2088</v>
      </c>
      <c r="K82" s="116" t="s">
        <v>1864</v>
      </c>
      <c r="L82" s="203"/>
    </row>
    <row r="83" spans="1:12" ht="15">
      <c r="A83" s="330" t="s">
        <v>1205</v>
      </c>
      <c r="B83" s="330" t="str">
        <f t="shared" si="1"/>
        <v>固定資産管理3.1</v>
      </c>
      <c r="C83" t="s">
        <v>2946</v>
      </c>
      <c r="D83" s="204" t="s">
        <v>1694</v>
      </c>
      <c r="E83" s="205" t="s">
        <v>2070</v>
      </c>
      <c r="F83" s="219" t="s">
        <v>2089</v>
      </c>
      <c r="G83" s="219" t="s">
        <v>2089</v>
      </c>
      <c r="H83" s="200">
        <v>3.1</v>
      </c>
      <c r="I83" s="213" t="s">
        <v>2090</v>
      </c>
      <c r="J83" s="131" t="s">
        <v>1244</v>
      </c>
      <c r="K83" s="116" t="s">
        <v>1864</v>
      </c>
      <c r="L83" s="203"/>
    </row>
    <row r="84" spans="1:12" ht="30">
      <c r="A84" s="330" t="s">
        <v>1205</v>
      </c>
      <c r="B84" s="330" t="str">
        <f t="shared" si="1"/>
        <v>固定資産管理4.1</v>
      </c>
      <c r="C84" t="s">
        <v>2947</v>
      </c>
      <c r="D84" s="204" t="s">
        <v>1694</v>
      </c>
      <c r="E84" s="205" t="s">
        <v>2070</v>
      </c>
      <c r="F84" s="220" t="s">
        <v>2091</v>
      </c>
      <c r="G84" s="217" t="s">
        <v>2092</v>
      </c>
      <c r="H84" s="200">
        <v>4.0999999999999996</v>
      </c>
      <c r="I84" s="213" t="s">
        <v>2093</v>
      </c>
      <c r="J84" s="131" t="s">
        <v>2094</v>
      </c>
      <c r="K84" s="116" t="s">
        <v>1864</v>
      </c>
      <c r="L84" s="203"/>
    </row>
    <row r="85" spans="1:12" ht="45">
      <c r="A85" s="330" t="s">
        <v>1205</v>
      </c>
      <c r="B85" s="330" t="str">
        <f t="shared" si="1"/>
        <v>固定資産管理4.2</v>
      </c>
      <c r="C85" t="s">
        <v>2948</v>
      </c>
      <c r="D85" s="204" t="s">
        <v>1694</v>
      </c>
      <c r="E85" s="205" t="s">
        <v>2070</v>
      </c>
      <c r="F85" s="162" t="s">
        <v>2091</v>
      </c>
      <c r="G85" s="162" t="s">
        <v>2092</v>
      </c>
      <c r="H85" s="200">
        <v>4.2</v>
      </c>
      <c r="I85" s="213" t="s">
        <v>2095</v>
      </c>
      <c r="J85" s="131" t="s">
        <v>2096</v>
      </c>
      <c r="K85" s="116" t="s">
        <v>1864</v>
      </c>
      <c r="L85" s="203"/>
    </row>
    <row r="86" spans="1:12" ht="15">
      <c r="A86" s="330" t="s">
        <v>1205</v>
      </c>
      <c r="B86" s="330" t="str">
        <f t="shared" si="1"/>
        <v>固定資産管理4.3</v>
      </c>
      <c r="C86" t="s">
        <v>2949</v>
      </c>
      <c r="D86" s="204" t="s">
        <v>1694</v>
      </c>
      <c r="E86" s="205" t="s">
        <v>2070</v>
      </c>
      <c r="F86" s="162" t="s">
        <v>2091</v>
      </c>
      <c r="G86" s="162" t="s">
        <v>2092</v>
      </c>
      <c r="H86" s="200">
        <v>4.3</v>
      </c>
      <c r="I86" s="213" t="s">
        <v>2097</v>
      </c>
      <c r="J86" s="131" t="s">
        <v>1256</v>
      </c>
      <c r="K86" s="116" t="s">
        <v>1864</v>
      </c>
      <c r="L86" s="203"/>
    </row>
    <row r="87" spans="1:12" ht="15">
      <c r="A87" s="330" t="s">
        <v>1205</v>
      </c>
      <c r="B87" s="330" t="str">
        <f t="shared" si="1"/>
        <v>固定資産管理4.4</v>
      </c>
      <c r="C87" t="s">
        <v>2950</v>
      </c>
      <c r="D87" s="204" t="s">
        <v>1694</v>
      </c>
      <c r="E87" s="205" t="s">
        <v>2070</v>
      </c>
      <c r="F87" s="162" t="s">
        <v>2091</v>
      </c>
      <c r="G87" s="162" t="s">
        <v>2092</v>
      </c>
      <c r="H87" s="200">
        <v>4.4000000000000004</v>
      </c>
      <c r="I87" s="213" t="s">
        <v>2098</v>
      </c>
      <c r="J87" s="131" t="s">
        <v>1260</v>
      </c>
      <c r="K87" s="116" t="s">
        <v>1864</v>
      </c>
      <c r="L87" s="203"/>
    </row>
    <row r="88" spans="1:12" ht="15">
      <c r="A88" s="330" t="s">
        <v>1205</v>
      </c>
      <c r="B88" s="330" t="str">
        <f t="shared" si="1"/>
        <v>固定資産管理4.5</v>
      </c>
      <c r="C88" t="s">
        <v>2951</v>
      </c>
      <c r="D88" s="204" t="s">
        <v>1694</v>
      </c>
      <c r="E88" s="205" t="s">
        <v>2070</v>
      </c>
      <c r="F88" s="162" t="s">
        <v>2091</v>
      </c>
      <c r="G88" s="162" t="s">
        <v>2092</v>
      </c>
      <c r="H88" s="200">
        <v>4.5</v>
      </c>
      <c r="I88" s="213" t="s">
        <v>2099</v>
      </c>
      <c r="J88" s="131" t="s">
        <v>1264</v>
      </c>
      <c r="K88" s="116" t="s">
        <v>1864</v>
      </c>
      <c r="L88" s="203"/>
    </row>
    <row r="89" spans="1:12" ht="15">
      <c r="A89" s="330" t="s">
        <v>1205</v>
      </c>
      <c r="B89" s="330" t="str">
        <f t="shared" si="1"/>
        <v>固定資産管理4.6</v>
      </c>
      <c r="C89" t="s">
        <v>2952</v>
      </c>
      <c r="D89" s="204" t="s">
        <v>1694</v>
      </c>
      <c r="E89" s="205" t="s">
        <v>2070</v>
      </c>
      <c r="F89" s="162" t="s">
        <v>2091</v>
      </c>
      <c r="G89" s="162" t="s">
        <v>2092</v>
      </c>
      <c r="H89" s="200">
        <v>4.5999999999999996</v>
      </c>
      <c r="I89" s="213" t="s">
        <v>2100</v>
      </c>
      <c r="J89" s="131" t="s">
        <v>2101</v>
      </c>
      <c r="K89" s="116" t="s">
        <v>1864</v>
      </c>
      <c r="L89" s="211" t="s">
        <v>2102</v>
      </c>
    </row>
    <row r="90" spans="1:12" ht="15">
      <c r="A90" s="330" t="s">
        <v>1205</v>
      </c>
      <c r="B90" s="330" t="str">
        <f t="shared" si="1"/>
        <v>固定資産管理4.7</v>
      </c>
      <c r="C90" t="s">
        <v>2953</v>
      </c>
      <c r="D90" s="204" t="s">
        <v>1694</v>
      </c>
      <c r="E90" s="205" t="s">
        <v>2070</v>
      </c>
      <c r="F90" s="162" t="s">
        <v>2091</v>
      </c>
      <c r="G90" s="162" t="s">
        <v>2092</v>
      </c>
      <c r="H90" s="200">
        <v>4.7</v>
      </c>
      <c r="I90" s="213" t="s">
        <v>2103</v>
      </c>
      <c r="J90" s="131" t="s">
        <v>1272</v>
      </c>
      <c r="K90" s="116" t="s">
        <v>1864</v>
      </c>
      <c r="L90" s="211" t="s">
        <v>2104</v>
      </c>
    </row>
    <row r="91" spans="1:12" ht="30">
      <c r="A91" s="330" t="s">
        <v>1205</v>
      </c>
      <c r="B91" s="330" t="str">
        <f t="shared" si="1"/>
        <v>固定資産管理4.8</v>
      </c>
      <c r="C91" t="s">
        <v>2954</v>
      </c>
      <c r="D91" s="204" t="s">
        <v>1694</v>
      </c>
      <c r="E91" s="205" t="s">
        <v>2070</v>
      </c>
      <c r="F91" s="162" t="s">
        <v>2091</v>
      </c>
      <c r="G91" s="221" t="s">
        <v>2092</v>
      </c>
      <c r="H91" s="200">
        <v>4.8</v>
      </c>
      <c r="I91" s="213" t="s">
        <v>2105</v>
      </c>
      <c r="J91" s="131" t="s">
        <v>1278</v>
      </c>
      <c r="K91" s="116" t="s">
        <v>2106</v>
      </c>
      <c r="L91" s="211" t="s">
        <v>2107</v>
      </c>
    </row>
    <row r="92" spans="1:12" ht="30">
      <c r="A92" s="330" t="s">
        <v>1205</v>
      </c>
      <c r="B92" s="330" t="str">
        <f t="shared" si="1"/>
        <v>固定資産管理4.9</v>
      </c>
      <c r="C92" t="s">
        <v>2955</v>
      </c>
      <c r="D92" s="204" t="s">
        <v>1694</v>
      </c>
      <c r="E92" s="205" t="s">
        <v>2070</v>
      </c>
      <c r="F92" s="208" t="s">
        <v>2091</v>
      </c>
      <c r="G92" s="222" t="s">
        <v>2108</v>
      </c>
      <c r="H92" s="223">
        <v>4.9000000000000004</v>
      </c>
      <c r="I92" s="218" t="s">
        <v>2109</v>
      </c>
      <c r="J92" s="138" t="s">
        <v>2110</v>
      </c>
      <c r="K92" s="116" t="s">
        <v>1875</v>
      </c>
      <c r="L92" s="203" t="s">
        <v>2111</v>
      </c>
    </row>
    <row r="93" spans="1:12" ht="15">
      <c r="A93" s="330" t="s">
        <v>1205</v>
      </c>
      <c r="B93" s="330" t="str">
        <f t="shared" si="1"/>
        <v>固定資産管理5.1</v>
      </c>
      <c r="C93" t="s">
        <v>2956</v>
      </c>
      <c r="D93" s="204" t="s">
        <v>1694</v>
      </c>
      <c r="E93" s="205" t="s">
        <v>2070</v>
      </c>
      <c r="F93" s="199" t="s">
        <v>2112</v>
      </c>
      <c r="G93" s="224" t="s">
        <v>2113</v>
      </c>
      <c r="H93" s="200">
        <v>5.0999999999999996</v>
      </c>
      <c r="I93" s="213" t="s">
        <v>2114</v>
      </c>
      <c r="J93" s="131" t="s">
        <v>1287</v>
      </c>
      <c r="K93" s="116" t="s">
        <v>1864</v>
      </c>
      <c r="L93" s="203"/>
    </row>
    <row r="94" spans="1:12" ht="15">
      <c r="A94" s="330" t="s">
        <v>1205</v>
      </c>
      <c r="B94" s="330" t="str">
        <f t="shared" si="1"/>
        <v>固定資産管理5.2</v>
      </c>
      <c r="C94" t="s">
        <v>2957</v>
      </c>
      <c r="D94" s="204" t="s">
        <v>1694</v>
      </c>
      <c r="E94" s="205" t="s">
        <v>2070</v>
      </c>
      <c r="F94" s="162" t="s">
        <v>2112</v>
      </c>
      <c r="G94" s="224" t="s">
        <v>2115</v>
      </c>
      <c r="H94" s="200">
        <v>5.2</v>
      </c>
      <c r="I94" s="218" t="s">
        <v>2116</v>
      </c>
      <c r="J94" s="225" t="s">
        <v>1294</v>
      </c>
      <c r="K94" s="116" t="s">
        <v>1864</v>
      </c>
      <c r="L94" s="211" t="s">
        <v>2117</v>
      </c>
    </row>
    <row r="95" spans="1:12" ht="15">
      <c r="A95" s="330" t="s">
        <v>1205</v>
      </c>
      <c r="B95" s="330" t="str">
        <f t="shared" si="1"/>
        <v>固定資産管理6.1</v>
      </c>
      <c r="C95" t="s">
        <v>2958</v>
      </c>
      <c r="D95" s="204" t="s">
        <v>1694</v>
      </c>
      <c r="E95" s="205" t="s">
        <v>2070</v>
      </c>
      <c r="F95" s="175" t="s">
        <v>2118</v>
      </c>
      <c r="G95" s="175" t="s">
        <v>2119</v>
      </c>
      <c r="H95" s="200">
        <v>6.1</v>
      </c>
      <c r="I95" s="213" t="s">
        <v>2120</v>
      </c>
      <c r="J95" s="131" t="s">
        <v>1299</v>
      </c>
      <c r="K95" s="116" t="s">
        <v>1864</v>
      </c>
      <c r="L95" s="203"/>
    </row>
    <row r="96" spans="1:12" ht="15">
      <c r="A96" s="330" t="s">
        <v>1205</v>
      </c>
      <c r="B96" s="330" t="str">
        <f t="shared" si="1"/>
        <v>固定資産管理6.2</v>
      </c>
      <c r="C96" t="s">
        <v>2959</v>
      </c>
      <c r="D96" s="204" t="s">
        <v>1694</v>
      </c>
      <c r="E96" s="205" t="s">
        <v>2070</v>
      </c>
      <c r="F96" s="126" t="s">
        <v>2121</v>
      </c>
      <c r="G96" s="175" t="s">
        <v>2122</v>
      </c>
      <c r="H96" s="200">
        <v>6.2</v>
      </c>
      <c r="I96" s="213" t="s">
        <v>2123</v>
      </c>
      <c r="J96" s="131" t="s">
        <v>1303</v>
      </c>
      <c r="K96" s="116" t="s">
        <v>1875</v>
      </c>
      <c r="L96" s="203" t="s">
        <v>2124</v>
      </c>
    </row>
    <row r="97" spans="1:12" ht="15">
      <c r="A97" s="330" t="s">
        <v>1205</v>
      </c>
      <c r="B97" s="330" t="str">
        <f t="shared" si="1"/>
        <v>固定資産管理7.1</v>
      </c>
      <c r="C97" t="s">
        <v>2960</v>
      </c>
      <c r="D97" s="204" t="s">
        <v>1694</v>
      </c>
      <c r="E97" s="205" t="s">
        <v>2070</v>
      </c>
      <c r="F97" s="219" t="s">
        <v>2125</v>
      </c>
      <c r="G97" s="219" t="s">
        <v>2126</v>
      </c>
      <c r="H97" s="200">
        <v>7.1</v>
      </c>
      <c r="I97" s="213" t="s">
        <v>2127</v>
      </c>
      <c r="J97" s="131" t="s">
        <v>1307</v>
      </c>
      <c r="K97" s="116" t="s">
        <v>1864</v>
      </c>
      <c r="L97" s="211" t="s">
        <v>2128</v>
      </c>
    </row>
    <row r="98" spans="1:12" ht="15">
      <c r="A98" s="330" t="s">
        <v>1205</v>
      </c>
      <c r="B98" s="330" t="str">
        <f t="shared" si="1"/>
        <v>固定資産管理8.1</v>
      </c>
      <c r="C98" t="s">
        <v>2961</v>
      </c>
      <c r="D98" s="204" t="s">
        <v>1694</v>
      </c>
      <c r="E98" s="205" t="s">
        <v>2070</v>
      </c>
      <c r="F98" s="224" t="s">
        <v>2129</v>
      </c>
      <c r="G98" s="224" t="s">
        <v>2130</v>
      </c>
      <c r="H98" s="200">
        <v>8.1</v>
      </c>
      <c r="I98" s="213" t="s">
        <v>2131</v>
      </c>
      <c r="J98" s="131" t="s">
        <v>2132</v>
      </c>
      <c r="K98" s="116" t="s">
        <v>1864</v>
      </c>
      <c r="L98" s="203"/>
    </row>
    <row r="99" spans="1:12" ht="15">
      <c r="A99" s="330" t="s">
        <v>1205</v>
      </c>
      <c r="B99" s="330" t="str">
        <f t="shared" si="1"/>
        <v>固定資産管理8.2</v>
      </c>
      <c r="C99" t="s">
        <v>2962</v>
      </c>
      <c r="D99" s="204" t="s">
        <v>1694</v>
      </c>
      <c r="E99" s="205" t="s">
        <v>2070</v>
      </c>
      <c r="F99" s="162" t="s">
        <v>2133</v>
      </c>
      <c r="G99" s="226" t="s">
        <v>2130</v>
      </c>
      <c r="H99" s="200">
        <v>8.1999999999999993</v>
      </c>
      <c r="I99" s="213" t="s">
        <v>2134</v>
      </c>
      <c r="J99" s="131" t="s">
        <v>2135</v>
      </c>
      <c r="K99" s="116" t="s">
        <v>1864</v>
      </c>
      <c r="L99" s="211" t="s">
        <v>2136</v>
      </c>
    </row>
    <row r="100" spans="1:12" ht="30">
      <c r="A100" s="330" t="s">
        <v>1205</v>
      </c>
      <c r="B100" s="330" t="str">
        <f t="shared" si="1"/>
        <v>固定資産管理9.1</v>
      </c>
      <c r="C100" t="s">
        <v>2963</v>
      </c>
      <c r="D100" s="204" t="s">
        <v>1694</v>
      </c>
      <c r="E100" s="205" t="s">
        <v>2070</v>
      </c>
      <c r="F100" s="224" t="s">
        <v>2137</v>
      </c>
      <c r="G100" s="224" t="s">
        <v>2138</v>
      </c>
      <c r="H100" s="200">
        <v>9.1</v>
      </c>
      <c r="I100" s="213" t="s">
        <v>2139</v>
      </c>
      <c r="J100" s="131" t="s">
        <v>2140</v>
      </c>
      <c r="K100" s="116" t="s">
        <v>1875</v>
      </c>
      <c r="L100" s="203" t="s">
        <v>2141</v>
      </c>
    </row>
    <row r="101" spans="1:12" ht="15">
      <c r="A101" s="330" t="s">
        <v>1205</v>
      </c>
      <c r="B101" s="330" t="str">
        <f t="shared" si="1"/>
        <v>固定資産管理9.2</v>
      </c>
      <c r="C101" t="s">
        <v>2964</v>
      </c>
      <c r="D101" s="204" t="s">
        <v>1694</v>
      </c>
      <c r="E101" s="205" t="s">
        <v>2070</v>
      </c>
      <c r="F101" s="162" t="s">
        <v>2137</v>
      </c>
      <c r="G101" s="162" t="s">
        <v>2142</v>
      </c>
      <c r="H101" s="200">
        <v>9.1999999999999993</v>
      </c>
      <c r="I101" s="213" t="s">
        <v>2143</v>
      </c>
      <c r="J101" s="131" t="s">
        <v>2144</v>
      </c>
      <c r="K101" s="116" t="s">
        <v>1875</v>
      </c>
      <c r="L101" s="227" t="s">
        <v>2145</v>
      </c>
    </row>
    <row r="102" spans="1:12" ht="30">
      <c r="A102" s="330" t="s">
        <v>1205</v>
      </c>
      <c r="B102" s="330" t="str">
        <f t="shared" si="1"/>
        <v>固定資産管理9.3</v>
      </c>
      <c r="C102" t="s">
        <v>2965</v>
      </c>
      <c r="D102" s="204" t="s">
        <v>1694</v>
      </c>
      <c r="E102" s="205" t="s">
        <v>2070</v>
      </c>
      <c r="F102" s="162" t="s">
        <v>2137</v>
      </c>
      <c r="G102" s="162" t="s">
        <v>2142</v>
      </c>
      <c r="H102" s="200">
        <v>9.3000000000000007</v>
      </c>
      <c r="I102" s="213" t="s">
        <v>2146</v>
      </c>
      <c r="J102" s="131" t="s">
        <v>2147</v>
      </c>
      <c r="K102" s="116" t="s">
        <v>1875</v>
      </c>
      <c r="L102" s="227" t="s">
        <v>2148</v>
      </c>
    </row>
    <row r="103" spans="1:12" ht="30">
      <c r="A103" s="330" t="s">
        <v>1205</v>
      </c>
      <c r="B103" s="330" t="str">
        <f t="shared" si="1"/>
        <v>固定資産管理9.4</v>
      </c>
      <c r="C103" t="s">
        <v>2966</v>
      </c>
      <c r="D103" s="204" t="s">
        <v>1694</v>
      </c>
      <c r="E103" s="205" t="s">
        <v>2070</v>
      </c>
      <c r="F103" s="162" t="s">
        <v>2137</v>
      </c>
      <c r="G103" s="162" t="s">
        <v>2142</v>
      </c>
      <c r="H103" s="200">
        <v>9.4</v>
      </c>
      <c r="I103" s="213" t="s">
        <v>2149</v>
      </c>
      <c r="J103" s="131" t="s">
        <v>1333</v>
      </c>
      <c r="K103" s="116" t="s">
        <v>1875</v>
      </c>
      <c r="L103" s="227" t="s">
        <v>2150</v>
      </c>
    </row>
    <row r="104" spans="1:12" ht="30">
      <c r="A104" s="330" t="s">
        <v>1205</v>
      </c>
      <c r="B104" s="330" t="str">
        <f t="shared" si="1"/>
        <v>固定資産管理9.5</v>
      </c>
      <c r="C104" t="s">
        <v>2967</v>
      </c>
      <c r="D104" s="204" t="s">
        <v>1694</v>
      </c>
      <c r="E104" s="205" t="s">
        <v>2070</v>
      </c>
      <c r="F104" s="221" t="s">
        <v>2137</v>
      </c>
      <c r="G104" s="219" t="s">
        <v>2151</v>
      </c>
      <c r="H104" s="200">
        <v>9.5</v>
      </c>
      <c r="I104" s="213" t="s">
        <v>2152</v>
      </c>
      <c r="J104" s="131" t="s">
        <v>2153</v>
      </c>
      <c r="K104" s="116" t="s">
        <v>1875</v>
      </c>
      <c r="L104" s="227" t="s">
        <v>2154</v>
      </c>
    </row>
    <row r="105" spans="1:12" ht="15">
      <c r="A105" s="330" t="s">
        <v>1205</v>
      </c>
      <c r="B105" s="330" t="str">
        <f t="shared" si="1"/>
        <v>固定資産管理10.1</v>
      </c>
      <c r="C105" t="s">
        <v>2968</v>
      </c>
      <c r="D105" s="204" t="s">
        <v>1694</v>
      </c>
      <c r="E105" s="228" t="s">
        <v>2070</v>
      </c>
      <c r="F105" s="224" t="s">
        <v>2155</v>
      </c>
      <c r="G105" s="229" t="s">
        <v>2156</v>
      </c>
      <c r="H105" s="200">
        <v>10.1</v>
      </c>
      <c r="I105" s="230" t="s">
        <v>2157</v>
      </c>
      <c r="J105" s="207" t="s">
        <v>2158</v>
      </c>
      <c r="K105" s="116" t="s">
        <v>1864</v>
      </c>
      <c r="L105" s="203"/>
    </row>
    <row r="106" spans="1:12" ht="30">
      <c r="A106" s="330" t="s">
        <v>1205</v>
      </c>
      <c r="B106" s="330" t="str">
        <f t="shared" si="1"/>
        <v>固定資産管理10.2</v>
      </c>
      <c r="C106" t="s">
        <v>2969</v>
      </c>
      <c r="D106" s="154" t="s">
        <v>1694</v>
      </c>
      <c r="E106" s="228" t="s">
        <v>2070</v>
      </c>
      <c r="F106" s="231" t="s">
        <v>2159</v>
      </c>
      <c r="G106" s="232" t="s">
        <v>2160</v>
      </c>
      <c r="H106" s="200">
        <v>10.199999999999999</v>
      </c>
      <c r="I106" s="213" t="s">
        <v>2161</v>
      </c>
      <c r="J106" s="131" t="s">
        <v>2162</v>
      </c>
      <c r="K106" s="116" t="s">
        <v>1864</v>
      </c>
      <c r="L106" s="203"/>
    </row>
    <row r="107" spans="1:12" ht="30">
      <c r="A107" s="330" t="s">
        <v>1205</v>
      </c>
      <c r="B107" s="330" t="str">
        <f t="shared" si="1"/>
        <v>固定資産管理10.3</v>
      </c>
      <c r="C107" t="s">
        <v>2970</v>
      </c>
      <c r="D107" s="204" t="s">
        <v>1694</v>
      </c>
      <c r="E107" s="233" t="s">
        <v>2070</v>
      </c>
      <c r="F107" s="221" t="s">
        <v>2159</v>
      </c>
      <c r="G107" s="232" t="s">
        <v>2163</v>
      </c>
      <c r="H107" s="200">
        <v>10.3</v>
      </c>
      <c r="I107" s="213" t="s">
        <v>2164</v>
      </c>
      <c r="J107" s="234" t="s">
        <v>2165</v>
      </c>
      <c r="K107" s="116" t="s">
        <v>1864</v>
      </c>
      <c r="L107" s="203"/>
    </row>
    <row r="108" spans="1:12" ht="45">
      <c r="A108" s="330" t="s">
        <v>1205</v>
      </c>
      <c r="B108" s="330" t="str">
        <f t="shared" si="1"/>
        <v>固定資産管理11.1</v>
      </c>
      <c r="C108" t="s">
        <v>2971</v>
      </c>
      <c r="D108" s="189" t="s">
        <v>1694</v>
      </c>
      <c r="E108" s="235" t="s">
        <v>2166</v>
      </c>
      <c r="F108" s="219" t="s">
        <v>2167</v>
      </c>
      <c r="G108" s="219" t="s">
        <v>2168</v>
      </c>
      <c r="H108" s="236">
        <v>11.1</v>
      </c>
      <c r="I108" s="213" t="s">
        <v>2169</v>
      </c>
      <c r="J108" s="131" t="s">
        <v>2170</v>
      </c>
      <c r="K108" s="116" t="s">
        <v>1864</v>
      </c>
      <c r="L108" s="203"/>
    </row>
    <row r="109" spans="1:12" ht="30">
      <c r="A109" s="330" t="s">
        <v>1205</v>
      </c>
      <c r="B109" s="330" t="str">
        <f t="shared" si="1"/>
        <v>固定資産管理12.1</v>
      </c>
      <c r="C109" t="s">
        <v>2972</v>
      </c>
      <c r="D109" s="189" t="s">
        <v>1694</v>
      </c>
      <c r="E109" s="205" t="s">
        <v>2171</v>
      </c>
      <c r="F109" s="224" t="s">
        <v>2172</v>
      </c>
      <c r="G109" s="224" t="s">
        <v>2173</v>
      </c>
      <c r="H109" s="236">
        <v>12.1</v>
      </c>
      <c r="I109" s="213" t="s">
        <v>2174</v>
      </c>
      <c r="J109" s="131" t="s">
        <v>2175</v>
      </c>
      <c r="K109" s="116" t="s">
        <v>1864</v>
      </c>
      <c r="L109" s="203"/>
    </row>
    <row r="110" spans="1:12" ht="30">
      <c r="A110" s="330" t="s">
        <v>1205</v>
      </c>
      <c r="B110" s="330" t="str">
        <f t="shared" si="1"/>
        <v>固定資産管理12.2</v>
      </c>
      <c r="C110" t="s">
        <v>2973</v>
      </c>
      <c r="D110" s="189" t="s">
        <v>1694</v>
      </c>
      <c r="E110" s="205" t="s">
        <v>2171</v>
      </c>
      <c r="F110" s="162" t="s">
        <v>2172</v>
      </c>
      <c r="G110" s="221" t="s">
        <v>2173</v>
      </c>
      <c r="H110" s="236">
        <v>12.2</v>
      </c>
      <c r="I110" s="213" t="s">
        <v>2176</v>
      </c>
      <c r="J110" s="131" t="s">
        <v>2177</v>
      </c>
      <c r="K110" s="116" t="s">
        <v>1864</v>
      </c>
      <c r="L110" s="211" t="s">
        <v>2178</v>
      </c>
    </row>
    <row r="111" spans="1:12" ht="15">
      <c r="A111" s="330" t="s">
        <v>1205</v>
      </c>
      <c r="B111" s="330" t="str">
        <f t="shared" si="1"/>
        <v>固定資産管理13.1</v>
      </c>
      <c r="C111" t="s">
        <v>2974</v>
      </c>
      <c r="D111" s="189" t="s">
        <v>1694</v>
      </c>
      <c r="E111" s="205" t="s">
        <v>2171</v>
      </c>
      <c r="F111" s="219" t="s">
        <v>2125</v>
      </c>
      <c r="G111" s="219" t="s">
        <v>2126</v>
      </c>
      <c r="H111" s="236">
        <v>13.1</v>
      </c>
      <c r="I111" s="213" t="s">
        <v>2179</v>
      </c>
      <c r="J111" s="131" t="s">
        <v>2180</v>
      </c>
      <c r="K111" s="116" t="s">
        <v>1864</v>
      </c>
      <c r="L111" s="211" t="s">
        <v>2178</v>
      </c>
    </row>
    <row r="112" spans="1:12" ht="30">
      <c r="A112" s="330" t="s">
        <v>1205</v>
      </c>
      <c r="B112" s="330" t="str">
        <f t="shared" si="1"/>
        <v>固定資産管理14.1</v>
      </c>
      <c r="C112" t="s">
        <v>2975</v>
      </c>
      <c r="D112" s="189" t="s">
        <v>1694</v>
      </c>
      <c r="E112" s="205" t="s">
        <v>2171</v>
      </c>
      <c r="F112" s="184" t="s">
        <v>2155</v>
      </c>
      <c r="G112" s="219" t="s">
        <v>2181</v>
      </c>
      <c r="H112" s="236">
        <v>14.1</v>
      </c>
      <c r="I112" s="213" t="s">
        <v>2182</v>
      </c>
      <c r="J112" s="131" t="s">
        <v>2183</v>
      </c>
      <c r="K112" s="116" t="s">
        <v>1864</v>
      </c>
      <c r="L112" s="203"/>
    </row>
    <row r="113" spans="1:12" ht="30">
      <c r="A113" s="330" t="s">
        <v>1205</v>
      </c>
      <c r="B113" s="330" t="str">
        <f t="shared" si="1"/>
        <v>固定資産管理15.1</v>
      </c>
      <c r="C113" t="s">
        <v>2976</v>
      </c>
      <c r="D113" s="189" t="s">
        <v>1694</v>
      </c>
      <c r="E113" s="205" t="s">
        <v>2171</v>
      </c>
      <c r="F113" s="224" t="s">
        <v>2184</v>
      </c>
      <c r="G113" s="224" t="s">
        <v>2185</v>
      </c>
      <c r="H113" s="237">
        <v>15.1</v>
      </c>
      <c r="I113" s="218" t="s">
        <v>2186</v>
      </c>
      <c r="J113" s="138" t="s">
        <v>2187</v>
      </c>
      <c r="K113" s="116" t="s">
        <v>1864</v>
      </c>
      <c r="L113" s="203"/>
    </row>
    <row r="114" spans="1:12" ht="30">
      <c r="A114" s="330" t="s">
        <v>1205</v>
      </c>
      <c r="B114" s="330" t="str">
        <f t="shared" si="1"/>
        <v>固定資産管理15.2</v>
      </c>
      <c r="C114" t="s">
        <v>2977</v>
      </c>
      <c r="D114" s="168" t="s">
        <v>1694</v>
      </c>
      <c r="E114" s="233" t="s">
        <v>2171</v>
      </c>
      <c r="F114" s="238" t="s">
        <v>2184</v>
      </c>
      <c r="G114" s="224" t="s">
        <v>2188</v>
      </c>
      <c r="H114" s="237">
        <v>15.2</v>
      </c>
      <c r="I114" s="218" t="s">
        <v>2189</v>
      </c>
      <c r="J114" s="138" t="s">
        <v>2190</v>
      </c>
      <c r="K114" s="116" t="s">
        <v>1864</v>
      </c>
      <c r="L114" s="211" t="s">
        <v>2191</v>
      </c>
    </row>
    <row r="115" spans="1:12" ht="45">
      <c r="A115" s="330" t="s">
        <v>1205</v>
      </c>
      <c r="B115" s="330" t="str">
        <f t="shared" si="1"/>
        <v>固定資産管理16.1</v>
      </c>
      <c r="C115" t="s">
        <v>2978</v>
      </c>
      <c r="D115" s="125" t="s">
        <v>1694</v>
      </c>
      <c r="E115" s="175" t="s">
        <v>2192</v>
      </c>
      <c r="F115" s="175" t="s">
        <v>2193</v>
      </c>
      <c r="G115" s="175" t="s">
        <v>2194</v>
      </c>
      <c r="H115" s="236">
        <v>16.100000000000001</v>
      </c>
      <c r="I115" s="213" t="s">
        <v>2195</v>
      </c>
      <c r="J115" s="131" t="s">
        <v>2196</v>
      </c>
      <c r="K115" s="116" t="s">
        <v>1864</v>
      </c>
      <c r="L115" s="211" t="s">
        <v>2197</v>
      </c>
    </row>
    <row r="116" spans="1:12" ht="60">
      <c r="A116" s="330" t="s">
        <v>1205</v>
      </c>
      <c r="B116" s="330" t="str">
        <f t="shared" si="1"/>
        <v>固定資産管理16.2</v>
      </c>
      <c r="C116" t="s">
        <v>2979</v>
      </c>
      <c r="D116" s="125" t="s">
        <v>1694</v>
      </c>
      <c r="E116" s="126" t="s">
        <v>2192</v>
      </c>
      <c r="F116" s="126" t="s">
        <v>2198</v>
      </c>
      <c r="G116" s="126" t="s">
        <v>2194</v>
      </c>
      <c r="H116" s="236">
        <v>16.2</v>
      </c>
      <c r="I116" s="213" t="s">
        <v>2199</v>
      </c>
      <c r="J116" s="131" t="s">
        <v>2200</v>
      </c>
      <c r="K116" s="116" t="s">
        <v>1864</v>
      </c>
      <c r="L116" s="211" t="s">
        <v>2197</v>
      </c>
    </row>
    <row r="117" spans="1:12" ht="30">
      <c r="A117" s="330" t="s">
        <v>1205</v>
      </c>
      <c r="B117" s="330" t="str">
        <f t="shared" si="1"/>
        <v>固定資産管理16.3</v>
      </c>
      <c r="C117" t="s">
        <v>2980</v>
      </c>
      <c r="D117" s="125" t="s">
        <v>1694</v>
      </c>
      <c r="E117" s="126" t="s">
        <v>2192</v>
      </c>
      <c r="F117" s="126" t="s">
        <v>2198</v>
      </c>
      <c r="G117" s="126" t="s">
        <v>2194</v>
      </c>
      <c r="H117" s="236">
        <v>16.3</v>
      </c>
      <c r="I117" s="213" t="s">
        <v>2201</v>
      </c>
      <c r="J117" s="131" t="s">
        <v>2202</v>
      </c>
      <c r="K117" s="116" t="s">
        <v>1864</v>
      </c>
      <c r="L117" s="211" t="s">
        <v>2197</v>
      </c>
    </row>
    <row r="118" spans="1:12" ht="30">
      <c r="A118" s="330" t="s">
        <v>1205</v>
      </c>
      <c r="B118" s="330" t="str">
        <f t="shared" si="1"/>
        <v>固定資産管理16.4</v>
      </c>
      <c r="C118" t="s">
        <v>2981</v>
      </c>
      <c r="D118" s="125" t="s">
        <v>1694</v>
      </c>
      <c r="E118" s="126" t="s">
        <v>2203</v>
      </c>
      <c r="F118" s="126" t="s">
        <v>2198</v>
      </c>
      <c r="G118" s="184" t="s">
        <v>2204</v>
      </c>
      <c r="H118" s="236">
        <v>16.399999999999999</v>
      </c>
      <c r="I118" s="213" t="s">
        <v>2205</v>
      </c>
      <c r="J118" s="131" t="s">
        <v>2206</v>
      </c>
      <c r="K118" s="116" t="s">
        <v>1864</v>
      </c>
      <c r="L118" s="211" t="s">
        <v>2197</v>
      </c>
    </row>
    <row r="119" spans="1:12" ht="30">
      <c r="A119" s="330" t="s">
        <v>1205</v>
      </c>
      <c r="B119" s="330" t="str">
        <f t="shared" si="1"/>
        <v>固定資産管理16.5</v>
      </c>
      <c r="C119" t="s">
        <v>2982</v>
      </c>
      <c r="D119" s="125" t="s">
        <v>1694</v>
      </c>
      <c r="E119" s="126" t="s">
        <v>2203</v>
      </c>
      <c r="F119" s="128" t="s">
        <v>2198</v>
      </c>
      <c r="G119" s="184" t="s">
        <v>2207</v>
      </c>
      <c r="H119" s="236">
        <v>16.5</v>
      </c>
      <c r="I119" s="213" t="s">
        <v>2208</v>
      </c>
      <c r="J119" s="131" t="s">
        <v>1401</v>
      </c>
      <c r="K119" s="116" t="s">
        <v>1864</v>
      </c>
      <c r="L119" s="211" t="s">
        <v>2197</v>
      </c>
    </row>
    <row r="120" spans="1:12" ht="30">
      <c r="A120" s="330" t="s">
        <v>1205</v>
      </c>
      <c r="B120" s="330" t="str">
        <f t="shared" si="1"/>
        <v>固定資産管理17.1</v>
      </c>
      <c r="C120" t="s">
        <v>2983</v>
      </c>
      <c r="D120" s="125" t="s">
        <v>1694</v>
      </c>
      <c r="E120" s="126" t="s">
        <v>2203</v>
      </c>
      <c r="F120" s="239" t="s">
        <v>2209</v>
      </c>
      <c r="G120" s="240" t="s">
        <v>2210</v>
      </c>
      <c r="H120" s="236">
        <v>17.100000000000001</v>
      </c>
      <c r="I120" s="213" t="s">
        <v>2211</v>
      </c>
      <c r="J120" s="131" t="s">
        <v>2212</v>
      </c>
      <c r="K120" s="116" t="s">
        <v>1864</v>
      </c>
      <c r="L120" s="211" t="s">
        <v>2197</v>
      </c>
    </row>
    <row r="121" spans="1:12" ht="30">
      <c r="A121" s="330" t="s">
        <v>1205</v>
      </c>
      <c r="B121" s="330" t="str">
        <f t="shared" si="1"/>
        <v>固定資産管理17.2</v>
      </c>
      <c r="C121" t="s">
        <v>2984</v>
      </c>
      <c r="D121" s="125" t="s">
        <v>1694</v>
      </c>
      <c r="E121" s="126" t="s">
        <v>2203</v>
      </c>
      <c r="F121" s="182" t="s">
        <v>2213</v>
      </c>
      <c r="G121" s="241" t="s">
        <v>2210</v>
      </c>
      <c r="H121" s="236">
        <v>17.2</v>
      </c>
      <c r="I121" s="213" t="s">
        <v>2214</v>
      </c>
      <c r="J121" s="131" t="s">
        <v>2215</v>
      </c>
      <c r="K121" s="116" t="s">
        <v>1864</v>
      </c>
      <c r="L121" s="211" t="s">
        <v>2197</v>
      </c>
    </row>
    <row r="122" spans="1:12" ht="15">
      <c r="A122" s="330" t="s">
        <v>1205</v>
      </c>
      <c r="B122" s="330" t="str">
        <f t="shared" si="1"/>
        <v>固定資産管理17.3</v>
      </c>
      <c r="C122" t="s">
        <v>2985</v>
      </c>
      <c r="D122" s="125" t="s">
        <v>1694</v>
      </c>
      <c r="E122" s="126" t="s">
        <v>2192</v>
      </c>
      <c r="F122" s="242" t="s">
        <v>2213</v>
      </c>
      <c r="G122" s="169" t="s">
        <v>2210</v>
      </c>
      <c r="H122" s="237">
        <v>17.3</v>
      </c>
      <c r="I122" s="213" t="s">
        <v>2216</v>
      </c>
      <c r="J122" s="131" t="s">
        <v>2217</v>
      </c>
      <c r="K122" s="116" t="s">
        <v>1864</v>
      </c>
      <c r="L122" s="211" t="s">
        <v>2197</v>
      </c>
    </row>
    <row r="123" spans="1:12" ht="30">
      <c r="A123" s="330" t="s">
        <v>1205</v>
      </c>
      <c r="B123" s="330" t="str">
        <f t="shared" si="1"/>
        <v>固定資産管理18.1</v>
      </c>
      <c r="C123" t="s">
        <v>2986</v>
      </c>
      <c r="D123" s="125" t="s">
        <v>1694</v>
      </c>
      <c r="E123" s="126" t="s">
        <v>2192</v>
      </c>
      <c r="F123" s="184" t="s">
        <v>2218</v>
      </c>
      <c r="G123" s="184" t="s">
        <v>2218</v>
      </c>
      <c r="H123" s="236">
        <v>18.100000000000001</v>
      </c>
      <c r="I123" s="213" t="s">
        <v>2219</v>
      </c>
      <c r="J123" s="131" t="s">
        <v>2220</v>
      </c>
      <c r="K123" s="116" t="s">
        <v>1864</v>
      </c>
      <c r="L123" s="211" t="s">
        <v>2197</v>
      </c>
    </row>
    <row r="124" spans="1:12" ht="15">
      <c r="A124" s="330" t="s">
        <v>1205</v>
      </c>
      <c r="B124" s="330" t="str">
        <f t="shared" si="1"/>
        <v>固定資産管理19.1</v>
      </c>
      <c r="C124" t="s">
        <v>2987</v>
      </c>
      <c r="D124" s="125" t="s">
        <v>1694</v>
      </c>
      <c r="E124" s="126" t="s">
        <v>2192</v>
      </c>
      <c r="F124" s="175" t="s">
        <v>2221</v>
      </c>
      <c r="G124" s="184" t="s">
        <v>2222</v>
      </c>
      <c r="H124" s="236">
        <v>19.100000000000001</v>
      </c>
      <c r="I124" s="213" t="s">
        <v>2223</v>
      </c>
      <c r="J124" s="131" t="s">
        <v>2224</v>
      </c>
      <c r="K124" s="116" t="s">
        <v>1864</v>
      </c>
      <c r="L124" s="211" t="s">
        <v>2197</v>
      </c>
    </row>
    <row r="125" spans="1:12" ht="30">
      <c r="A125" s="330" t="s">
        <v>1205</v>
      </c>
      <c r="B125" s="330" t="str">
        <f t="shared" si="1"/>
        <v>固定資産管理19.2</v>
      </c>
      <c r="C125" t="s">
        <v>2988</v>
      </c>
      <c r="D125" s="125" t="s">
        <v>1694</v>
      </c>
      <c r="E125" s="126" t="s">
        <v>2192</v>
      </c>
      <c r="F125" s="126" t="s">
        <v>2221</v>
      </c>
      <c r="G125" s="184" t="s">
        <v>2225</v>
      </c>
      <c r="H125" s="236">
        <v>19.2</v>
      </c>
      <c r="I125" s="213" t="s">
        <v>2226</v>
      </c>
      <c r="J125" s="131" t="s">
        <v>2227</v>
      </c>
      <c r="K125" s="116" t="s">
        <v>1864</v>
      </c>
      <c r="L125" s="211" t="s">
        <v>2197</v>
      </c>
    </row>
    <row r="126" spans="1:12" ht="15.5" thickBot="1">
      <c r="A126" s="330" t="s">
        <v>1205</v>
      </c>
      <c r="B126" s="330" t="str">
        <f t="shared" si="1"/>
        <v>固定資産管理19.3</v>
      </c>
      <c r="C126" t="s">
        <v>2989</v>
      </c>
      <c r="D126" s="243" t="s">
        <v>1694</v>
      </c>
      <c r="E126" s="186" t="s">
        <v>2192</v>
      </c>
      <c r="F126" s="186" t="s">
        <v>2221</v>
      </c>
      <c r="G126" s="244" t="s">
        <v>2228</v>
      </c>
      <c r="H126" s="245">
        <v>19.3</v>
      </c>
      <c r="I126" s="230" t="s">
        <v>2229</v>
      </c>
      <c r="J126" s="207" t="s">
        <v>2230</v>
      </c>
      <c r="K126" s="196" t="s">
        <v>1864</v>
      </c>
      <c r="L126" s="246" t="s">
        <v>2197</v>
      </c>
    </row>
    <row r="127" spans="1:12" ht="30">
      <c r="A127" s="330" t="s">
        <v>576</v>
      </c>
      <c r="B127" s="330" t="str">
        <f t="shared" si="1"/>
        <v>債務管理1.1</v>
      </c>
      <c r="C127" t="s">
        <v>2990</v>
      </c>
      <c r="D127" s="325" t="s">
        <v>2851</v>
      </c>
      <c r="E127" s="263" t="s">
        <v>2852</v>
      </c>
      <c r="F127" s="247" t="s">
        <v>2231</v>
      </c>
      <c r="G127" s="248" t="s">
        <v>2232</v>
      </c>
      <c r="H127" s="249">
        <v>1.1000000000000001</v>
      </c>
      <c r="I127" s="250" t="s">
        <v>2233</v>
      </c>
      <c r="J127" s="251" t="s">
        <v>2234</v>
      </c>
      <c r="K127" s="116" t="s">
        <v>1864</v>
      </c>
      <c r="L127" s="127" t="s">
        <v>2235</v>
      </c>
    </row>
    <row r="128" spans="1:12" ht="15">
      <c r="A128" s="330" t="s">
        <v>576</v>
      </c>
      <c r="B128" s="330" t="str">
        <f t="shared" si="1"/>
        <v>債務管理1.2</v>
      </c>
      <c r="C128" t="s">
        <v>2991</v>
      </c>
      <c r="D128" s="293" t="s">
        <v>2851</v>
      </c>
      <c r="E128" s="313" t="s">
        <v>2852</v>
      </c>
      <c r="F128" s="252" t="s">
        <v>2231</v>
      </c>
      <c r="G128" s="253" t="s">
        <v>2232</v>
      </c>
      <c r="H128" s="249">
        <v>1.2</v>
      </c>
      <c r="I128" s="250" t="s">
        <v>2236</v>
      </c>
      <c r="J128" s="254" t="s">
        <v>2237</v>
      </c>
      <c r="K128" s="116" t="s">
        <v>1864</v>
      </c>
      <c r="L128" s="117"/>
    </row>
    <row r="129" spans="1:12" ht="30">
      <c r="A129" s="330" t="s">
        <v>576</v>
      </c>
      <c r="B129" s="330" t="str">
        <f t="shared" si="1"/>
        <v>債務管理1.3</v>
      </c>
      <c r="C129" t="s">
        <v>2992</v>
      </c>
      <c r="D129" s="293" t="s">
        <v>2851</v>
      </c>
      <c r="E129" s="313" t="s">
        <v>2852</v>
      </c>
      <c r="F129" s="252" t="s">
        <v>2231</v>
      </c>
      <c r="G129" s="253" t="s">
        <v>2232</v>
      </c>
      <c r="H129" s="249">
        <v>1.3</v>
      </c>
      <c r="I129" s="248" t="s">
        <v>2238</v>
      </c>
      <c r="J129" s="248" t="s">
        <v>2239</v>
      </c>
      <c r="K129" s="116" t="s">
        <v>1864</v>
      </c>
      <c r="L129" s="117"/>
    </row>
    <row r="130" spans="1:12" ht="15">
      <c r="A130" s="330" t="s">
        <v>576</v>
      </c>
      <c r="B130" s="330" t="str">
        <f t="shared" si="1"/>
        <v>債務管理1.4</v>
      </c>
      <c r="C130" t="s">
        <v>2993</v>
      </c>
      <c r="D130" s="293" t="s">
        <v>2851</v>
      </c>
      <c r="E130" s="313" t="s">
        <v>2852</v>
      </c>
      <c r="F130" s="252" t="s">
        <v>2231</v>
      </c>
      <c r="G130" s="250" t="s">
        <v>2240</v>
      </c>
      <c r="H130" s="249">
        <v>1.4</v>
      </c>
      <c r="I130" s="250" t="s">
        <v>2241</v>
      </c>
      <c r="J130" s="251" t="s">
        <v>2242</v>
      </c>
      <c r="K130" s="116" t="s">
        <v>1864</v>
      </c>
      <c r="L130" s="117"/>
    </row>
    <row r="131" spans="1:12" ht="30">
      <c r="A131" s="330" t="s">
        <v>576</v>
      </c>
      <c r="B131" s="330" t="str">
        <f t="shared" si="1"/>
        <v>債務管理1.5</v>
      </c>
      <c r="C131" t="s">
        <v>2994</v>
      </c>
      <c r="D131" s="293" t="s">
        <v>2851</v>
      </c>
      <c r="E131" s="313" t="s">
        <v>2852</v>
      </c>
      <c r="F131" s="252" t="s">
        <v>2231</v>
      </c>
      <c r="G131" s="250" t="s">
        <v>2243</v>
      </c>
      <c r="H131" s="249">
        <v>1.5</v>
      </c>
      <c r="I131" s="250" t="s">
        <v>2244</v>
      </c>
      <c r="J131" s="251" t="s">
        <v>2245</v>
      </c>
      <c r="K131" s="116" t="s">
        <v>1864</v>
      </c>
      <c r="L131" s="159" t="s">
        <v>2246</v>
      </c>
    </row>
    <row r="132" spans="1:12" ht="15">
      <c r="A132" s="330" t="s">
        <v>576</v>
      </c>
      <c r="B132" s="330" t="str">
        <f t="shared" ref="B132:B195" si="2">A132&amp;H132</f>
        <v>債務管理1.6</v>
      </c>
      <c r="C132" t="s">
        <v>2995</v>
      </c>
      <c r="D132" s="293" t="s">
        <v>2851</v>
      </c>
      <c r="E132" s="313" t="s">
        <v>2852</v>
      </c>
      <c r="F132" s="252" t="s">
        <v>2231</v>
      </c>
      <c r="G132" s="254" t="s">
        <v>2247</v>
      </c>
      <c r="H132" s="249">
        <v>1.6</v>
      </c>
      <c r="I132" s="250" t="s">
        <v>2248</v>
      </c>
      <c r="J132" s="250" t="s">
        <v>2249</v>
      </c>
      <c r="K132" s="116" t="s">
        <v>1864</v>
      </c>
      <c r="L132" s="127" t="s">
        <v>2250</v>
      </c>
    </row>
    <row r="133" spans="1:12" ht="60">
      <c r="A133" s="330" t="s">
        <v>576</v>
      </c>
      <c r="B133" s="330" t="str">
        <f t="shared" si="2"/>
        <v>債務管理1.7</v>
      </c>
      <c r="C133" t="s">
        <v>2996</v>
      </c>
      <c r="D133" s="293" t="s">
        <v>2851</v>
      </c>
      <c r="E133" s="313" t="s">
        <v>2852</v>
      </c>
      <c r="F133" s="252" t="s">
        <v>2231</v>
      </c>
      <c r="G133" s="248" t="s">
        <v>2251</v>
      </c>
      <c r="H133" s="249">
        <v>1.7</v>
      </c>
      <c r="I133" s="248" t="s">
        <v>2252</v>
      </c>
      <c r="J133" s="248" t="s">
        <v>2253</v>
      </c>
      <c r="K133" s="116" t="s">
        <v>1864</v>
      </c>
      <c r="L133" s="127" t="s">
        <v>2254</v>
      </c>
    </row>
    <row r="134" spans="1:12" ht="15">
      <c r="A134" s="330" t="s">
        <v>576</v>
      </c>
      <c r="B134" s="330" t="str">
        <f t="shared" si="2"/>
        <v>債務管理2.1</v>
      </c>
      <c r="C134" t="s">
        <v>2997</v>
      </c>
      <c r="D134" s="293" t="s">
        <v>2851</v>
      </c>
      <c r="E134" s="313" t="s">
        <v>2852</v>
      </c>
      <c r="F134" s="247" t="s">
        <v>2255</v>
      </c>
      <c r="G134" s="248" t="s">
        <v>2256</v>
      </c>
      <c r="H134" s="249">
        <v>2.1</v>
      </c>
      <c r="I134" s="250" t="s">
        <v>2257</v>
      </c>
      <c r="J134" s="250" t="s">
        <v>2258</v>
      </c>
      <c r="K134" s="116" t="s">
        <v>2259</v>
      </c>
      <c r="L134" s="117" t="s">
        <v>2260</v>
      </c>
    </row>
    <row r="135" spans="1:12" ht="60">
      <c r="A135" s="330" t="s">
        <v>576</v>
      </c>
      <c r="B135" s="330" t="str">
        <f t="shared" si="2"/>
        <v>債務管理3.1</v>
      </c>
      <c r="C135" t="s">
        <v>2998</v>
      </c>
      <c r="D135" s="293" t="s">
        <v>2851</v>
      </c>
      <c r="E135" s="313" t="s">
        <v>2852</v>
      </c>
      <c r="F135" s="247" t="s">
        <v>2261</v>
      </c>
      <c r="G135" s="247" t="s">
        <v>2261</v>
      </c>
      <c r="H135" s="249">
        <v>3.1</v>
      </c>
      <c r="I135" s="248" t="s">
        <v>2262</v>
      </c>
      <c r="J135" s="248" t="s">
        <v>2263</v>
      </c>
      <c r="K135" s="116" t="s">
        <v>2259</v>
      </c>
      <c r="L135" s="117" t="s">
        <v>2264</v>
      </c>
    </row>
    <row r="136" spans="1:12" ht="15">
      <c r="A136" s="330" t="s">
        <v>576</v>
      </c>
      <c r="B136" s="330" t="str">
        <f t="shared" si="2"/>
        <v>債務管理4.1</v>
      </c>
      <c r="C136" t="s">
        <v>2999</v>
      </c>
      <c r="D136" s="293" t="s">
        <v>2851</v>
      </c>
      <c r="E136" s="313" t="s">
        <v>2852</v>
      </c>
      <c r="F136" s="247" t="s">
        <v>2265</v>
      </c>
      <c r="G136" s="248" t="s">
        <v>2266</v>
      </c>
      <c r="H136" s="249">
        <v>4.0999999999999996</v>
      </c>
      <c r="I136" s="250" t="s">
        <v>2267</v>
      </c>
      <c r="J136" s="250" t="s">
        <v>2268</v>
      </c>
      <c r="K136" s="116" t="s">
        <v>1864</v>
      </c>
      <c r="L136" s="127" t="s">
        <v>1916</v>
      </c>
    </row>
    <row r="137" spans="1:12" ht="15">
      <c r="A137" s="330" t="s">
        <v>576</v>
      </c>
      <c r="B137" s="330" t="str">
        <f t="shared" si="2"/>
        <v>債務管理4.2</v>
      </c>
      <c r="C137" t="s">
        <v>3000</v>
      </c>
      <c r="D137" s="293" t="s">
        <v>2851</v>
      </c>
      <c r="E137" s="313" t="s">
        <v>2852</v>
      </c>
      <c r="F137" s="252" t="s">
        <v>2265</v>
      </c>
      <c r="G137" s="255" t="s">
        <v>2266</v>
      </c>
      <c r="H137" s="249">
        <v>4.2</v>
      </c>
      <c r="I137" s="250" t="s">
        <v>2269</v>
      </c>
      <c r="J137" s="250" t="s">
        <v>2270</v>
      </c>
      <c r="K137" s="116" t="s">
        <v>2259</v>
      </c>
      <c r="L137" s="117" t="s">
        <v>2271</v>
      </c>
    </row>
    <row r="138" spans="1:12" ht="15">
      <c r="A138" s="330" t="s">
        <v>576</v>
      </c>
      <c r="B138" s="330" t="str">
        <f t="shared" si="2"/>
        <v>債務管理4.3</v>
      </c>
      <c r="C138" t="s">
        <v>3001</v>
      </c>
      <c r="D138" s="293" t="s">
        <v>2851</v>
      </c>
      <c r="E138" s="313" t="s">
        <v>2852</v>
      </c>
      <c r="F138" s="252" t="s">
        <v>2265</v>
      </c>
      <c r="G138" s="256" t="s">
        <v>2272</v>
      </c>
      <c r="H138" s="249">
        <v>4.3</v>
      </c>
      <c r="I138" s="250" t="s">
        <v>2273</v>
      </c>
      <c r="J138" s="250" t="s">
        <v>2274</v>
      </c>
      <c r="K138" s="116" t="s">
        <v>1864</v>
      </c>
      <c r="L138" s="127" t="s">
        <v>1916</v>
      </c>
    </row>
    <row r="139" spans="1:12" ht="15">
      <c r="A139" s="330" t="s">
        <v>576</v>
      </c>
      <c r="B139" s="330" t="str">
        <f t="shared" si="2"/>
        <v>債務管理4.4</v>
      </c>
      <c r="C139" t="s">
        <v>3002</v>
      </c>
      <c r="D139" s="293" t="s">
        <v>2851</v>
      </c>
      <c r="E139" s="313" t="s">
        <v>2852</v>
      </c>
      <c r="F139" s="252" t="s">
        <v>2265</v>
      </c>
      <c r="G139" s="253" t="s">
        <v>2272</v>
      </c>
      <c r="H139" s="249">
        <v>4.4000000000000004</v>
      </c>
      <c r="I139" s="250" t="s">
        <v>2275</v>
      </c>
      <c r="J139" s="250" t="s">
        <v>2276</v>
      </c>
      <c r="K139" s="116" t="s">
        <v>1875</v>
      </c>
      <c r="L139" s="117" t="s">
        <v>2277</v>
      </c>
    </row>
    <row r="140" spans="1:12" ht="15">
      <c r="A140" s="330" t="s">
        <v>576</v>
      </c>
      <c r="B140" s="330" t="str">
        <f t="shared" si="2"/>
        <v>債務管理4.5</v>
      </c>
      <c r="C140" t="s">
        <v>3003</v>
      </c>
      <c r="D140" s="293" t="s">
        <v>2851</v>
      </c>
      <c r="E140" s="313" t="s">
        <v>2852</v>
      </c>
      <c r="F140" s="252" t="s">
        <v>2265</v>
      </c>
      <c r="G140" s="253" t="s">
        <v>2272</v>
      </c>
      <c r="H140" s="249">
        <v>4.5</v>
      </c>
      <c r="I140" s="250" t="s">
        <v>2278</v>
      </c>
      <c r="J140" s="250" t="s">
        <v>2279</v>
      </c>
      <c r="K140" s="116" t="s">
        <v>2259</v>
      </c>
      <c r="L140" s="117" t="s">
        <v>2271</v>
      </c>
    </row>
    <row r="141" spans="1:12" ht="15">
      <c r="A141" s="330" t="s">
        <v>576</v>
      </c>
      <c r="B141" s="330" t="str">
        <f t="shared" si="2"/>
        <v>債務管理4.6</v>
      </c>
      <c r="C141" t="s">
        <v>3004</v>
      </c>
      <c r="D141" s="293" t="s">
        <v>2851</v>
      </c>
      <c r="E141" s="313" t="s">
        <v>2852</v>
      </c>
      <c r="F141" s="257" t="s">
        <v>2265</v>
      </c>
      <c r="G141" s="253" t="s">
        <v>2272</v>
      </c>
      <c r="H141" s="249">
        <v>4.5999999999999996</v>
      </c>
      <c r="I141" s="250" t="s">
        <v>2280</v>
      </c>
      <c r="J141" s="251" t="s">
        <v>2281</v>
      </c>
      <c r="K141" s="116" t="s">
        <v>2259</v>
      </c>
      <c r="L141" s="167" t="s">
        <v>2271</v>
      </c>
    </row>
    <row r="142" spans="1:12" ht="15">
      <c r="A142" s="330" t="s">
        <v>576</v>
      </c>
      <c r="B142" s="330" t="str">
        <f t="shared" si="2"/>
        <v>債務管理5.1</v>
      </c>
      <c r="C142" t="s">
        <v>3005</v>
      </c>
      <c r="D142" s="293" t="s">
        <v>2851</v>
      </c>
      <c r="E142" s="247" t="s">
        <v>2853</v>
      </c>
      <c r="F142" s="258" t="s">
        <v>2282</v>
      </c>
      <c r="G142" s="250" t="s">
        <v>2283</v>
      </c>
      <c r="H142" s="249">
        <v>5.0999999999999996</v>
      </c>
      <c r="I142" s="250" t="s">
        <v>2284</v>
      </c>
      <c r="J142" s="250" t="s">
        <v>2285</v>
      </c>
      <c r="K142" s="116" t="s">
        <v>1875</v>
      </c>
      <c r="L142" s="117" t="s">
        <v>2286</v>
      </c>
    </row>
    <row r="143" spans="1:12" ht="30">
      <c r="A143" s="330" t="s">
        <v>576</v>
      </c>
      <c r="B143" s="330" t="str">
        <f t="shared" si="2"/>
        <v>債務管理5.2</v>
      </c>
      <c r="C143" t="s">
        <v>3006</v>
      </c>
      <c r="D143" s="293" t="s">
        <v>2851</v>
      </c>
      <c r="E143" s="313" t="s">
        <v>2853</v>
      </c>
      <c r="F143" s="257" t="s">
        <v>2282</v>
      </c>
      <c r="G143" s="250" t="s">
        <v>2287</v>
      </c>
      <c r="H143" s="249">
        <v>5.2</v>
      </c>
      <c r="I143" s="250" t="s">
        <v>2288</v>
      </c>
      <c r="J143" s="251" t="s">
        <v>2289</v>
      </c>
      <c r="K143" s="116" t="s">
        <v>1864</v>
      </c>
      <c r="L143" s="127" t="s">
        <v>2290</v>
      </c>
    </row>
    <row r="144" spans="1:12" ht="60">
      <c r="A144" s="330" t="s">
        <v>576</v>
      </c>
      <c r="B144" s="330" t="str">
        <f t="shared" si="2"/>
        <v>債務管理6.1</v>
      </c>
      <c r="C144" t="s">
        <v>3007</v>
      </c>
      <c r="D144" s="293" t="s">
        <v>2851</v>
      </c>
      <c r="E144" s="313" t="s">
        <v>2853</v>
      </c>
      <c r="F144" s="259" t="s">
        <v>2291</v>
      </c>
      <c r="G144" s="250" t="s">
        <v>2292</v>
      </c>
      <c r="H144" s="249">
        <v>6.1</v>
      </c>
      <c r="I144" s="256" t="s">
        <v>2293</v>
      </c>
      <c r="J144" s="256" t="s">
        <v>2294</v>
      </c>
      <c r="K144" s="116" t="s">
        <v>1864</v>
      </c>
      <c r="L144" s="127" t="s">
        <v>2295</v>
      </c>
    </row>
    <row r="145" spans="1:12" ht="45">
      <c r="A145" s="330" t="s">
        <v>576</v>
      </c>
      <c r="B145" s="330" t="str">
        <f t="shared" si="2"/>
        <v>債務管理6.2</v>
      </c>
      <c r="C145" t="s">
        <v>3008</v>
      </c>
      <c r="D145" s="293" t="s">
        <v>2851</v>
      </c>
      <c r="E145" s="313" t="s">
        <v>2853</v>
      </c>
      <c r="F145" s="257" t="s">
        <v>2291</v>
      </c>
      <c r="G145" s="250" t="s">
        <v>2296</v>
      </c>
      <c r="H145" s="249">
        <v>6.2</v>
      </c>
      <c r="I145" s="250" t="s">
        <v>2297</v>
      </c>
      <c r="J145" s="250" t="s">
        <v>2298</v>
      </c>
      <c r="K145" s="116" t="s">
        <v>1864</v>
      </c>
      <c r="L145" s="117"/>
    </row>
    <row r="146" spans="1:12" ht="30">
      <c r="A146" s="330" t="s">
        <v>576</v>
      </c>
      <c r="B146" s="330" t="str">
        <f t="shared" si="2"/>
        <v>債務管理7.1</v>
      </c>
      <c r="C146" t="s">
        <v>3009</v>
      </c>
      <c r="D146" s="293" t="s">
        <v>2851</v>
      </c>
      <c r="E146" s="313" t="s">
        <v>2853</v>
      </c>
      <c r="F146" s="259" t="s">
        <v>2299</v>
      </c>
      <c r="G146" s="250" t="s">
        <v>2300</v>
      </c>
      <c r="H146" s="249">
        <v>7.1</v>
      </c>
      <c r="I146" s="250" t="s">
        <v>2301</v>
      </c>
      <c r="J146" s="250" t="s">
        <v>2302</v>
      </c>
      <c r="K146" s="116" t="s">
        <v>1864</v>
      </c>
      <c r="L146" s="117"/>
    </row>
    <row r="147" spans="1:12" ht="30">
      <c r="A147" s="330" t="s">
        <v>576</v>
      </c>
      <c r="B147" s="330" t="str">
        <f t="shared" si="2"/>
        <v>債務管理7.2</v>
      </c>
      <c r="C147" t="s">
        <v>3010</v>
      </c>
      <c r="D147" s="293" t="s">
        <v>2851</v>
      </c>
      <c r="E147" s="313" t="s">
        <v>2853</v>
      </c>
      <c r="F147" s="252" t="s">
        <v>2299</v>
      </c>
      <c r="G147" s="250" t="s">
        <v>2303</v>
      </c>
      <c r="H147" s="249">
        <v>7.2</v>
      </c>
      <c r="I147" s="250" t="s">
        <v>2304</v>
      </c>
      <c r="J147" s="250" t="s">
        <v>2305</v>
      </c>
      <c r="K147" s="116" t="s">
        <v>1875</v>
      </c>
      <c r="L147" s="117"/>
    </row>
    <row r="148" spans="1:12" ht="45">
      <c r="A148" s="330" t="s">
        <v>576</v>
      </c>
      <c r="B148" s="330" t="str">
        <f t="shared" si="2"/>
        <v>債務管理7.3</v>
      </c>
      <c r="C148" t="s">
        <v>3011</v>
      </c>
      <c r="D148" s="293" t="s">
        <v>2851</v>
      </c>
      <c r="E148" s="313" t="s">
        <v>2853</v>
      </c>
      <c r="F148" s="252" t="s">
        <v>2299</v>
      </c>
      <c r="G148" s="250" t="s">
        <v>2306</v>
      </c>
      <c r="H148" s="249">
        <v>7.3</v>
      </c>
      <c r="I148" s="250" t="s">
        <v>2307</v>
      </c>
      <c r="J148" s="250" t="s">
        <v>2308</v>
      </c>
      <c r="K148" s="116" t="s">
        <v>1875</v>
      </c>
      <c r="L148" s="117" t="s">
        <v>2309</v>
      </c>
    </row>
    <row r="149" spans="1:12" ht="30">
      <c r="A149" s="330" t="s">
        <v>576</v>
      </c>
      <c r="B149" s="330" t="str">
        <f t="shared" si="2"/>
        <v>債務管理8.1</v>
      </c>
      <c r="C149" t="s">
        <v>3012</v>
      </c>
      <c r="D149" s="293" t="s">
        <v>2851</v>
      </c>
      <c r="E149" s="263" t="s">
        <v>2854</v>
      </c>
      <c r="F149" s="247" t="s">
        <v>2310</v>
      </c>
      <c r="G149" s="250" t="s">
        <v>2311</v>
      </c>
      <c r="H149" s="249">
        <v>8.1</v>
      </c>
      <c r="I149" s="250" t="s">
        <v>2312</v>
      </c>
      <c r="J149" s="251" t="s">
        <v>2313</v>
      </c>
      <c r="K149" s="116" t="s">
        <v>2259</v>
      </c>
      <c r="L149" s="260" t="s">
        <v>2271</v>
      </c>
    </row>
    <row r="150" spans="1:12" ht="30">
      <c r="A150" s="330" t="s">
        <v>576</v>
      </c>
      <c r="B150" s="330" t="str">
        <f t="shared" si="2"/>
        <v>債務管理8.2</v>
      </c>
      <c r="C150" t="s">
        <v>3013</v>
      </c>
      <c r="D150" s="293" t="s">
        <v>2851</v>
      </c>
      <c r="E150" s="313" t="s">
        <v>2854</v>
      </c>
      <c r="F150" s="252" t="s">
        <v>2310</v>
      </c>
      <c r="G150" s="248" t="s">
        <v>2314</v>
      </c>
      <c r="H150" s="249">
        <v>8.1999999999999993</v>
      </c>
      <c r="I150" s="248" t="s">
        <v>2315</v>
      </c>
      <c r="J150" s="248" t="s">
        <v>2316</v>
      </c>
      <c r="K150" s="116" t="s">
        <v>2259</v>
      </c>
      <c r="L150" s="260" t="s">
        <v>2271</v>
      </c>
    </row>
    <row r="151" spans="1:12" ht="90">
      <c r="A151" s="330" t="s">
        <v>576</v>
      </c>
      <c r="B151" s="330" t="str">
        <f t="shared" si="2"/>
        <v>債務管理8.3</v>
      </c>
      <c r="C151" t="s">
        <v>3014</v>
      </c>
      <c r="D151" s="293" t="s">
        <v>2851</v>
      </c>
      <c r="E151" s="313" t="s">
        <v>2854</v>
      </c>
      <c r="F151" s="252" t="s">
        <v>2310</v>
      </c>
      <c r="G151" s="253" t="s">
        <v>2314</v>
      </c>
      <c r="H151" s="249">
        <v>8.3000000000000007</v>
      </c>
      <c r="I151" s="248" t="s">
        <v>2317</v>
      </c>
      <c r="J151" s="248" t="s">
        <v>2318</v>
      </c>
      <c r="K151" s="116" t="s">
        <v>1864</v>
      </c>
      <c r="L151" s="127" t="s">
        <v>2319</v>
      </c>
    </row>
    <row r="152" spans="1:12" ht="30">
      <c r="A152" s="330" t="s">
        <v>576</v>
      </c>
      <c r="B152" s="330" t="str">
        <f t="shared" si="2"/>
        <v>債務管理8.4</v>
      </c>
      <c r="C152" t="s">
        <v>3015</v>
      </c>
      <c r="D152" s="293" t="s">
        <v>2851</v>
      </c>
      <c r="E152" s="313" t="s">
        <v>2854</v>
      </c>
      <c r="F152" s="252" t="s">
        <v>2310</v>
      </c>
      <c r="G152" s="253" t="s">
        <v>2314</v>
      </c>
      <c r="H152" s="249">
        <v>8.4</v>
      </c>
      <c r="I152" s="250" t="s">
        <v>2320</v>
      </c>
      <c r="J152" s="250" t="s">
        <v>2321</v>
      </c>
      <c r="K152" s="116" t="s">
        <v>1875</v>
      </c>
      <c r="L152" s="117" t="s">
        <v>2322</v>
      </c>
    </row>
    <row r="153" spans="1:12" ht="15">
      <c r="A153" s="330" t="s">
        <v>576</v>
      </c>
      <c r="B153" s="330" t="str">
        <f t="shared" si="2"/>
        <v>債務管理9.1</v>
      </c>
      <c r="C153" t="s">
        <v>3016</v>
      </c>
      <c r="D153" s="293" t="s">
        <v>2851</v>
      </c>
      <c r="E153" s="313" t="s">
        <v>2854</v>
      </c>
      <c r="F153" s="247" t="s">
        <v>2323</v>
      </c>
      <c r="G153" s="250" t="s">
        <v>2324</v>
      </c>
      <c r="H153" s="249">
        <v>9.1</v>
      </c>
      <c r="I153" s="248" t="s">
        <v>2325</v>
      </c>
      <c r="J153" s="248" t="s">
        <v>2326</v>
      </c>
      <c r="K153" s="116" t="s">
        <v>1864</v>
      </c>
      <c r="L153" s="127" t="s">
        <v>2327</v>
      </c>
    </row>
    <row r="154" spans="1:12" ht="45">
      <c r="A154" s="330" t="s">
        <v>576</v>
      </c>
      <c r="B154" s="330" t="str">
        <f t="shared" si="2"/>
        <v>債務管理9.2</v>
      </c>
      <c r="C154" t="s">
        <v>3017</v>
      </c>
      <c r="D154" s="293" t="s">
        <v>2851</v>
      </c>
      <c r="E154" s="313" t="s">
        <v>2854</v>
      </c>
      <c r="F154" s="252" t="s">
        <v>2328</v>
      </c>
      <c r="G154" s="250" t="s">
        <v>2329</v>
      </c>
      <c r="H154" s="249">
        <v>9.1999999999999993</v>
      </c>
      <c r="I154" s="250" t="s">
        <v>2330</v>
      </c>
      <c r="J154" s="251" t="s">
        <v>2331</v>
      </c>
      <c r="K154" s="116" t="s">
        <v>1875</v>
      </c>
      <c r="L154" s="117" t="s">
        <v>2332</v>
      </c>
    </row>
    <row r="155" spans="1:12" ht="15">
      <c r="A155" s="330" t="s">
        <v>576</v>
      </c>
      <c r="B155" s="330" t="str">
        <f t="shared" si="2"/>
        <v>債務管理9.3</v>
      </c>
      <c r="C155" t="s">
        <v>3018</v>
      </c>
      <c r="D155" s="293" t="s">
        <v>2851</v>
      </c>
      <c r="E155" s="313" t="s">
        <v>2854</v>
      </c>
      <c r="F155" s="252" t="s">
        <v>2328</v>
      </c>
      <c r="G155" s="250" t="s">
        <v>2333</v>
      </c>
      <c r="H155" s="249">
        <v>9.3000000000000007</v>
      </c>
      <c r="I155" s="250" t="s">
        <v>2334</v>
      </c>
      <c r="J155" s="251" t="s">
        <v>2335</v>
      </c>
      <c r="K155" s="116" t="s">
        <v>1864</v>
      </c>
      <c r="L155" s="127" t="s">
        <v>2327</v>
      </c>
    </row>
    <row r="156" spans="1:12" ht="30">
      <c r="A156" s="330" t="s">
        <v>576</v>
      </c>
      <c r="B156" s="330" t="str">
        <f t="shared" si="2"/>
        <v>債務管理9.4</v>
      </c>
      <c r="C156" t="s">
        <v>3019</v>
      </c>
      <c r="D156" s="310" t="s">
        <v>2851</v>
      </c>
      <c r="E156" s="313" t="s">
        <v>2854</v>
      </c>
      <c r="F156" s="252" t="s">
        <v>2328</v>
      </c>
      <c r="G156" s="261" t="s">
        <v>2336</v>
      </c>
      <c r="H156" s="249">
        <v>9.4</v>
      </c>
      <c r="I156" s="262" t="s">
        <v>2337</v>
      </c>
      <c r="J156" s="158" t="s">
        <v>2338</v>
      </c>
      <c r="K156" s="116" t="s">
        <v>2339</v>
      </c>
      <c r="L156" s="117" t="s">
        <v>2340</v>
      </c>
    </row>
    <row r="157" spans="1:12" ht="15">
      <c r="A157" s="330" t="s">
        <v>576</v>
      </c>
      <c r="B157" s="330" t="str">
        <f t="shared" si="2"/>
        <v>債務管理10.1</v>
      </c>
      <c r="C157" t="s">
        <v>3020</v>
      </c>
      <c r="D157" s="310" t="s">
        <v>2851</v>
      </c>
      <c r="E157" s="247" t="s">
        <v>2855</v>
      </c>
      <c r="F157" s="263" t="s">
        <v>2341</v>
      </c>
      <c r="G157" s="248" t="s">
        <v>2342</v>
      </c>
      <c r="H157" s="249">
        <v>10.1</v>
      </c>
      <c r="I157" s="248" t="s">
        <v>2343</v>
      </c>
      <c r="J157" s="248" t="s">
        <v>2344</v>
      </c>
      <c r="K157" s="116" t="s">
        <v>1864</v>
      </c>
      <c r="L157" s="117"/>
    </row>
    <row r="158" spans="1:12" ht="30">
      <c r="A158" s="330" t="s">
        <v>576</v>
      </c>
      <c r="B158" s="330" t="str">
        <f t="shared" si="2"/>
        <v>債務管理11.1</v>
      </c>
      <c r="C158" t="s">
        <v>3021</v>
      </c>
      <c r="D158" s="310" t="s">
        <v>2851</v>
      </c>
      <c r="E158" s="252" t="s">
        <v>2856</v>
      </c>
      <c r="F158" s="263" t="s">
        <v>2345</v>
      </c>
      <c r="G158" s="248" t="s">
        <v>2346</v>
      </c>
      <c r="H158" s="249">
        <v>11.1</v>
      </c>
      <c r="I158" s="248" t="s">
        <v>2347</v>
      </c>
      <c r="J158" s="264" t="s">
        <v>2348</v>
      </c>
      <c r="K158" s="116" t="s">
        <v>2259</v>
      </c>
      <c r="L158" s="260" t="s">
        <v>2271</v>
      </c>
    </row>
    <row r="159" spans="1:12" ht="15">
      <c r="A159" s="330" t="s">
        <v>576</v>
      </c>
      <c r="B159" s="330" t="str">
        <f t="shared" si="2"/>
        <v>債務管理12.1</v>
      </c>
      <c r="C159" t="s">
        <v>3022</v>
      </c>
      <c r="D159" s="310" t="s">
        <v>2851</v>
      </c>
      <c r="E159" s="310" t="s">
        <v>2855</v>
      </c>
      <c r="F159" s="265" t="s">
        <v>2349</v>
      </c>
      <c r="G159" s="266" t="s">
        <v>2350</v>
      </c>
      <c r="H159" s="249">
        <v>12.1</v>
      </c>
      <c r="I159" s="267" t="s">
        <v>2351</v>
      </c>
      <c r="J159" s="267" t="s">
        <v>2352</v>
      </c>
      <c r="K159" s="116" t="s">
        <v>1864</v>
      </c>
      <c r="L159" s="117"/>
    </row>
    <row r="160" spans="1:12" ht="30.5" thickBot="1">
      <c r="A160" s="330" t="s">
        <v>576</v>
      </c>
      <c r="B160" s="330" t="str">
        <f t="shared" si="2"/>
        <v>債務管理12.2</v>
      </c>
      <c r="C160" t="s">
        <v>3023</v>
      </c>
      <c r="D160" s="322" t="s">
        <v>2851</v>
      </c>
      <c r="E160" s="257" t="s">
        <v>2855</v>
      </c>
      <c r="F160" s="257" t="s">
        <v>2349</v>
      </c>
      <c r="G160" s="250" t="s">
        <v>2353</v>
      </c>
      <c r="H160" s="249">
        <v>12.2</v>
      </c>
      <c r="I160" s="250" t="s">
        <v>2354</v>
      </c>
      <c r="J160" s="250" t="s">
        <v>2355</v>
      </c>
      <c r="K160" s="196" t="s">
        <v>1864</v>
      </c>
      <c r="L160" s="268" t="s">
        <v>2356</v>
      </c>
    </row>
    <row r="161" spans="1:12" ht="30">
      <c r="A161" s="330" t="s">
        <v>2863</v>
      </c>
      <c r="B161" s="330" t="str">
        <f t="shared" si="2"/>
        <v>現預金管理1.1</v>
      </c>
      <c r="C161" t="s">
        <v>3024</v>
      </c>
      <c r="D161" s="282" t="s">
        <v>2857</v>
      </c>
      <c r="E161" s="326" t="s">
        <v>2858</v>
      </c>
      <c r="F161" s="269" t="s">
        <v>2357</v>
      </c>
      <c r="G161" s="158" t="s">
        <v>2358</v>
      </c>
      <c r="H161" s="192">
        <v>1.1000000000000001</v>
      </c>
      <c r="I161" s="270" t="s">
        <v>2359</v>
      </c>
      <c r="J161" s="146" t="s">
        <v>2360</v>
      </c>
      <c r="K161" s="116" t="s">
        <v>1864</v>
      </c>
      <c r="L161" s="127" t="s">
        <v>2327</v>
      </c>
    </row>
    <row r="162" spans="1:12" ht="30">
      <c r="A162" s="330" t="s">
        <v>2863</v>
      </c>
      <c r="B162" s="330" t="str">
        <f t="shared" si="2"/>
        <v>現預金管理1.2</v>
      </c>
      <c r="C162" t="s">
        <v>3025</v>
      </c>
      <c r="D162" s="189" t="s">
        <v>2857</v>
      </c>
      <c r="E162" s="285" t="s">
        <v>2858</v>
      </c>
      <c r="F162" s="168" t="s">
        <v>2361</v>
      </c>
      <c r="G162" s="158" t="s">
        <v>2362</v>
      </c>
      <c r="H162" s="192">
        <v>1.2</v>
      </c>
      <c r="I162" s="270" t="s">
        <v>2363</v>
      </c>
      <c r="J162" s="146" t="s">
        <v>2364</v>
      </c>
      <c r="K162" s="116" t="s">
        <v>1864</v>
      </c>
      <c r="L162" s="127" t="s">
        <v>1916</v>
      </c>
    </row>
    <row r="163" spans="1:12" ht="60">
      <c r="A163" s="330" t="s">
        <v>2863</v>
      </c>
      <c r="B163" s="330" t="str">
        <f t="shared" si="2"/>
        <v>現預金管理2.1</v>
      </c>
      <c r="C163" t="s">
        <v>3026</v>
      </c>
      <c r="D163" s="189" t="s">
        <v>2857</v>
      </c>
      <c r="E163" s="327" t="s">
        <v>2859</v>
      </c>
      <c r="F163" s="191" t="s">
        <v>2365</v>
      </c>
      <c r="G163" s="158" t="s">
        <v>2366</v>
      </c>
      <c r="H163" s="192">
        <v>2.1</v>
      </c>
      <c r="I163" s="270" t="s">
        <v>2367</v>
      </c>
      <c r="J163" s="146" t="s">
        <v>2368</v>
      </c>
      <c r="K163" s="116" t="s">
        <v>1864</v>
      </c>
      <c r="L163" s="127" t="s">
        <v>2369</v>
      </c>
    </row>
    <row r="164" spans="1:12" ht="60">
      <c r="A164" s="330" t="s">
        <v>2863</v>
      </c>
      <c r="B164" s="330" t="str">
        <f t="shared" si="2"/>
        <v>現預金管理2.2</v>
      </c>
      <c r="C164" t="s">
        <v>3027</v>
      </c>
      <c r="D164" s="189" t="s">
        <v>2857</v>
      </c>
      <c r="E164" s="328" t="s">
        <v>2859</v>
      </c>
      <c r="F164" s="271" t="s">
        <v>2365</v>
      </c>
      <c r="G164" s="272" t="s">
        <v>2370</v>
      </c>
      <c r="H164" s="192">
        <v>2.2000000000000002</v>
      </c>
      <c r="I164" s="270" t="s">
        <v>2371</v>
      </c>
      <c r="J164" s="146" t="s">
        <v>2372</v>
      </c>
      <c r="K164" s="116" t="s">
        <v>1864</v>
      </c>
      <c r="L164" s="127" t="s">
        <v>2373</v>
      </c>
    </row>
    <row r="165" spans="1:12" ht="60">
      <c r="A165" s="330" t="s">
        <v>2863</v>
      </c>
      <c r="B165" s="330" t="str">
        <f t="shared" si="2"/>
        <v>現預金管理2.3</v>
      </c>
      <c r="C165" t="s">
        <v>3028</v>
      </c>
      <c r="D165" s="189" t="s">
        <v>2857</v>
      </c>
      <c r="E165" s="328" t="s">
        <v>2859</v>
      </c>
      <c r="F165" s="273" t="s">
        <v>2365</v>
      </c>
      <c r="G165" s="274" t="s">
        <v>2374</v>
      </c>
      <c r="H165" s="192">
        <v>2.2999999999999998</v>
      </c>
      <c r="I165" s="270" t="s">
        <v>2375</v>
      </c>
      <c r="J165" s="275" t="s">
        <v>2372</v>
      </c>
      <c r="K165" s="116" t="s">
        <v>1864</v>
      </c>
      <c r="L165" s="127" t="s">
        <v>2373</v>
      </c>
    </row>
    <row r="166" spans="1:12" ht="15">
      <c r="A166" s="330" t="s">
        <v>2863</v>
      </c>
      <c r="B166" s="330" t="str">
        <f t="shared" si="2"/>
        <v>現預金管理3.1</v>
      </c>
      <c r="C166" t="s">
        <v>3029</v>
      </c>
      <c r="D166" s="189" t="s">
        <v>2857</v>
      </c>
      <c r="E166" s="328" t="s">
        <v>2859</v>
      </c>
      <c r="F166" s="276" t="s">
        <v>2376</v>
      </c>
      <c r="G166" s="275" t="s">
        <v>2377</v>
      </c>
      <c r="H166" s="192">
        <v>3.1</v>
      </c>
      <c r="I166" s="270" t="s">
        <v>2378</v>
      </c>
      <c r="J166" s="146" t="s">
        <v>2379</v>
      </c>
      <c r="K166" s="116" t="s">
        <v>1864</v>
      </c>
      <c r="L166" s="127" t="s">
        <v>2380</v>
      </c>
    </row>
    <row r="167" spans="1:12" ht="30">
      <c r="A167" s="330" t="s">
        <v>2863</v>
      </c>
      <c r="B167" s="330" t="str">
        <f t="shared" si="2"/>
        <v>現預金管理3.2</v>
      </c>
      <c r="C167" t="s">
        <v>3030</v>
      </c>
      <c r="D167" s="189" t="s">
        <v>2857</v>
      </c>
      <c r="E167" s="329" t="s">
        <v>2859</v>
      </c>
      <c r="F167" s="168" t="s">
        <v>2376</v>
      </c>
      <c r="G167" s="168" t="s">
        <v>2377</v>
      </c>
      <c r="H167" s="192">
        <v>3.2</v>
      </c>
      <c r="I167" s="270" t="s">
        <v>2381</v>
      </c>
      <c r="J167" s="146" t="s">
        <v>2382</v>
      </c>
      <c r="K167" s="116" t="s">
        <v>1864</v>
      </c>
      <c r="L167" s="127" t="s">
        <v>2383</v>
      </c>
    </row>
    <row r="168" spans="1:12" ht="15">
      <c r="A168" s="330" t="s">
        <v>2863</v>
      </c>
      <c r="B168" s="330" t="str">
        <f t="shared" si="2"/>
        <v>現預金管理3.3</v>
      </c>
      <c r="C168" t="s">
        <v>3031</v>
      </c>
      <c r="D168" s="189" t="s">
        <v>2857</v>
      </c>
      <c r="E168" s="329" t="s">
        <v>2859</v>
      </c>
      <c r="F168" s="195" t="s">
        <v>2376</v>
      </c>
      <c r="G168" s="168" t="s">
        <v>2377</v>
      </c>
      <c r="H168" s="192">
        <v>3.3</v>
      </c>
      <c r="I168" s="270" t="s">
        <v>2384</v>
      </c>
      <c r="J168" s="146" t="s">
        <v>2385</v>
      </c>
      <c r="K168" s="277" t="s">
        <v>1864</v>
      </c>
      <c r="L168" s="278" t="s">
        <v>2380</v>
      </c>
    </row>
    <row r="169" spans="1:12" ht="30">
      <c r="A169" s="330" t="s">
        <v>2863</v>
      </c>
      <c r="B169" s="330" t="str">
        <f t="shared" si="2"/>
        <v>現預金管理4.1</v>
      </c>
      <c r="C169" t="s">
        <v>3032</v>
      </c>
      <c r="D169" s="189" t="s">
        <v>2857</v>
      </c>
      <c r="E169" s="329" t="s">
        <v>2859</v>
      </c>
      <c r="F169" s="276" t="s">
        <v>2386</v>
      </c>
      <c r="G169" s="279" t="s">
        <v>2387</v>
      </c>
      <c r="H169" s="280">
        <v>4.0999999999999996</v>
      </c>
      <c r="I169" s="279" t="s">
        <v>2388</v>
      </c>
      <c r="J169" s="281" t="s">
        <v>2389</v>
      </c>
      <c r="K169" s="116" t="s">
        <v>1864</v>
      </c>
      <c r="L169" s="127" t="s">
        <v>2383</v>
      </c>
    </row>
    <row r="170" spans="1:12" ht="30">
      <c r="A170" s="330" t="s">
        <v>2863</v>
      </c>
      <c r="B170" s="330" t="str">
        <f t="shared" si="2"/>
        <v>現預金管理4.2</v>
      </c>
      <c r="C170" t="s">
        <v>3033</v>
      </c>
      <c r="D170" s="189" t="s">
        <v>2857</v>
      </c>
      <c r="E170" s="329" t="s">
        <v>2859</v>
      </c>
      <c r="F170" s="168" t="s">
        <v>2386</v>
      </c>
      <c r="G170" s="279" t="s">
        <v>2390</v>
      </c>
      <c r="H170" s="280">
        <v>4.2</v>
      </c>
      <c r="I170" s="279" t="s">
        <v>2391</v>
      </c>
      <c r="J170" s="281" t="s">
        <v>2392</v>
      </c>
      <c r="K170" s="116" t="s">
        <v>1864</v>
      </c>
      <c r="L170" s="127" t="s">
        <v>2383</v>
      </c>
    </row>
    <row r="171" spans="1:12" ht="15">
      <c r="A171" s="330" t="s">
        <v>2863</v>
      </c>
      <c r="B171" s="330" t="str">
        <f t="shared" si="2"/>
        <v>現預金管理5.1</v>
      </c>
      <c r="C171" t="s">
        <v>3034</v>
      </c>
      <c r="D171" s="189" t="s">
        <v>2857</v>
      </c>
      <c r="E171" s="282" t="s">
        <v>2860</v>
      </c>
      <c r="F171" s="282" t="s">
        <v>2393</v>
      </c>
      <c r="G171" s="283" t="s">
        <v>2394</v>
      </c>
      <c r="H171" s="192">
        <v>5.0999999999999996</v>
      </c>
      <c r="I171" s="270" t="s">
        <v>2395</v>
      </c>
      <c r="J171" s="146" t="s">
        <v>2396</v>
      </c>
      <c r="K171" s="116" t="s">
        <v>1864</v>
      </c>
      <c r="L171" s="127" t="s">
        <v>2383</v>
      </c>
    </row>
    <row r="172" spans="1:12" ht="15">
      <c r="A172" s="330" t="s">
        <v>2863</v>
      </c>
      <c r="B172" s="330" t="str">
        <f t="shared" si="2"/>
        <v>現預金管理5.2</v>
      </c>
      <c r="C172" t="s">
        <v>3035</v>
      </c>
      <c r="D172" s="189" t="s">
        <v>2857</v>
      </c>
      <c r="E172" s="189" t="s">
        <v>2860</v>
      </c>
      <c r="F172" s="189" t="s">
        <v>2393</v>
      </c>
      <c r="G172" s="191" t="s">
        <v>2060</v>
      </c>
      <c r="H172" s="192">
        <v>5.2</v>
      </c>
      <c r="I172" s="270" t="s">
        <v>2397</v>
      </c>
      <c r="J172" s="146" t="s">
        <v>2398</v>
      </c>
      <c r="K172" s="116" t="s">
        <v>2259</v>
      </c>
      <c r="L172" s="260" t="s">
        <v>2271</v>
      </c>
    </row>
    <row r="173" spans="1:12" ht="15">
      <c r="A173" s="330" t="s">
        <v>2863</v>
      </c>
      <c r="B173" s="330" t="str">
        <f t="shared" si="2"/>
        <v>現預金管理5.3</v>
      </c>
      <c r="C173" t="s">
        <v>3036</v>
      </c>
      <c r="D173" s="189" t="s">
        <v>2857</v>
      </c>
      <c r="E173" s="189" t="s">
        <v>2860</v>
      </c>
      <c r="F173" s="189" t="s">
        <v>2393</v>
      </c>
      <c r="G173" s="195" t="s">
        <v>2060</v>
      </c>
      <c r="H173" s="192">
        <v>5.3</v>
      </c>
      <c r="I173" s="270" t="s">
        <v>2399</v>
      </c>
      <c r="J173" s="146" t="s">
        <v>2400</v>
      </c>
      <c r="K173" s="116" t="s">
        <v>2259</v>
      </c>
      <c r="L173" s="260" t="s">
        <v>2271</v>
      </c>
    </row>
    <row r="174" spans="1:12" ht="15">
      <c r="A174" s="330" t="s">
        <v>2863</v>
      </c>
      <c r="B174" s="330" t="str">
        <f t="shared" si="2"/>
        <v>現預金管理6.1</v>
      </c>
      <c r="C174" t="s">
        <v>3037</v>
      </c>
      <c r="D174" s="189" t="s">
        <v>2857</v>
      </c>
      <c r="E174" s="189" t="s">
        <v>2860</v>
      </c>
      <c r="F174" s="189" t="s">
        <v>2393</v>
      </c>
      <c r="G174" s="284" t="s">
        <v>2401</v>
      </c>
      <c r="H174" s="280">
        <v>6.1</v>
      </c>
      <c r="I174" s="193" t="s">
        <v>886</v>
      </c>
      <c r="J174" s="146" t="s">
        <v>30</v>
      </c>
      <c r="K174" s="116" t="s">
        <v>1864</v>
      </c>
      <c r="L174" s="117"/>
    </row>
    <row r="175" spans="1:12" ht="15">
      <c r="A175" s="330" t="s">
        <v>2863</v>
      </c>
      <c r="B175" s="330" t="str">
        <f t="shared" si="2"/>
        <v>現預金管理6.2</v>
      </c>
      <c r="C175" t="s">
        <v>3038</v>
      </c>
      <c r="D175" s="189" t="s">
        <v>2857</v>
      </c>
      <c r="E175" s="189" t="s">
        <v>2860</v>
      </c>
      <c r="F175" s="189" t="s">
        <v>2393</v>
      </c>
      <c r="G175" s="285" t="s">
        <v>2401</v>
      </c>
      <c r="H175" s="280">
        <v>6.2</v>
      </c>
      <c r="I175" s="193" t="s">
        <v>2402</v>
      </c>
      <c r="J175" s="146" t="s">
        <v>2403</v>
      </c>
      <c r="K175" s="116" t="s">
        <v>1864</v>
      </c>
      <c r="L175" s="127" t="s">
        <v>2383</v>
      </c>
    </row>
    <row r="176" spans="1:12" ht="30.5" thickBot="1">
      <c r="A176" s="330" t="s">
        <v>2863</v>
      </c>
      <c r="B176" s="330" t="str">
        <f t="shared" si="2"/>
        <v>現預金管理6.3</v>
      </c>
      <c r="C176" t="s">
        <v>3039</v>
      </c>
      <c r="D176" s="195" t="s">
        <v>2857</v>
      </c>
      <c r="E176" s="195" t="s">
        <v>2860</v>
      </c>
      <c r="F176" s="195" t="s">
        <v>2393</v>
      </c>
      <c r="G176" s="286" t="s">
        <v>2401</v>
      </c>
      <c r="H176" s="280">
        <v>6.3</v>
      </c>
      <c r="I176" s="193" t="s">
        <v>2404</v>
      </c>
      <c r="J176" s="146" t="s">
        <v>2405</v>
      </c>
      <c r="K176" s="196" t="s">
        <v>1864</v>
      </c>
      <c r="L176" s="287" t="s">
        <v>2380</v>
      </c>
    </row>
    <row r="177" spans="1:12" ht="30">
      <c r="A177" s="330" t="s">
        <v>2864</v>
      </c>
      <c r="B177" s="330" t="str">
        <f t="shared" si="2"/>
        <v>債権管理1.1</v>
      </c>
      <c r="C177" t="s">
        <v>3040</v>
      </c>
      <c r="D177" s="288" t="s">
        <v>2406</v>
      </c>
      <c r="E177" s="289" t="s">
        <v>2407</v>
      </c>
      <c r="F177" s="259" t="s">
        <v>2408</v>
      </c>
      <c r="G177" s="290" t="s">
        <v>2409</v>
      </c>
      <c r="H177" s="291">
        <v>1.1000000000000001</v>
      </c>
      <c r="I177" s="254" t="s">
        <v>2410</v>
      </c>
      <c r="J177" s="292" t="s">
        <v>2411</v>
      </c>
      <c r="K177" s="116" t="s">
        <v>1864</v>
      </c>
      <c r="L177" s="278" t="s">
        <v>2412</v>
      </c>
    </row>
    <row r="178" spans="1:12" ht="30">
      <c r="A178" s="330" t="s">
        <v>2864</v>
      </c>
      <c r="B178" s="330" t="str">
        <f t="shared" si="2"/>
        <v>債権管理2.1</v>
      </c>
      <c r="C178" t="s">
        <v>3041</v>
      </c>
      <c r="D178" s="293" t="s">
        <v>2406</v>
      </c>
      <c r="E178" s="252" t="s">
        <v>2407</v>
      </c>
      <c r="F178" s="289" t="s">
        <v>2413</v>
      </c>
      <c r="G178" s="294" t="s">
        <v>2414</v>
      </c>
      <c r="H178" s="291">
        <v>2.1</v>
      </c>
      <c r="I178" s="250" t="s">
        <v>2415</v>
      </c>
      <c r="J178" s="295" t="s">
        <v>2416</v>
      </c>
      <c r="K178" s="116" t="s">
        <v>1864</v>
      </c>
      <c r="L178" s="127" t="s">
        <v>1916</v>
      </c>
    </row>
    <row r="179" spans="1:12" ht="30">
      <c r="A179" s="330" t="s">
        <v>2864</v>
      </c>
      <c r="B179" s="330" t="str">
        <f t="shared" si="2"/>
        <v>債権管理2.2</v>
      </c>
      <c r="C179" t="s">
        <v>3042</v>
      </c>
      <c r="D179" s="293" t="s">
        <v>2406</v>
      </c>
      <c r="E179" s="252" t="s">
        <v>2407</v>
      </c>
      <c r="F179" s="252" t="s">
        <v>2413</v>
      </c>
      <c r="G179" s="294" t="s">
        <v>2417</v>
      </c>
      <c r="H179" s="291">
        <v>2.2000000000000002</v>
      </c>
      <c r="I179" s="250" t="s">
        <v>2418</v>
      </c>
      <c r="J179" s="295" t="s">
        <v>2419</v>
      </c>
      <c r="K179" s="116" t="s">
        <v>1864</v>
      </c>
      <c r="L179" s="127" t="s">
        <v>2420</v>
      </c>
    </row>
    <row r="180" spans="1:12" ht="15">
      <c r="A180" s="330" t="s">
        <v>2864</v>
      </c>
      <c r="B180" s="330" t="str">
        <f t="shared" si="2"/>
        <v>債権管理2.3</v>
      </c>
      <c r="C180" t="s">
        <v>3043</v>
      </c>
      <c r="D180" s="293" t="s">
        <v>2406</v>
      </c>
      <c r="E180" s="252" t="s">
        <v>2407</v>
      </c>
      <c r="F180" s="252" t="s">
        <v>2413</v>
      </c>
      <c r="G180" s="294" t="s">
        <v>2421</v>
      </c>
      <c r="H180" s="291">
        <v>2.2999999999999998</v>
      </c>
      <c r="I180" s="250" t="s">
        <v>2422</v>
      </c>
      <c r="J180" s="295" t="s">
        <v>2423</v>
      </c>
      <c r="K180" s="116" t="s">
        <v>1864</v>
      </c>
      <c r="L180" s="127" t="s">
        <v>2424</v>
      </c>
    </row>
    <row r="181" spans="1:12" ht="30">
      <c r="A181" s="330" t="s">
        <v>2864</v>
      </c>
      <c r="B181" s="330" t="str">
        <f t="shared" si="2"/>
        <v>債権管理2.4</v>
      </c>
      <c r="C181" t="s">
        <v>3044</v>
      </c>
      <c r="D181" s="293" t="s">
        <v>2406</v>
      </c>
      <c r="E181" s="252" t="s">
        <v>2407</v>
      </c>
      <c r="F181" s="257" t="s">
        <v>2413</v>
      </c>
      <c r="G181" s="294" t="s">
        <v>2425</v>
      </c>
      <c r="H181" s="291">
        <v>2.4</v>
      </c>
      <c r="I181" s="250" t="s">
        <v>2426</v>
      </c>
      <c r="J181" s="295" t="s">
        <v>2427</v>
      </c>
      <c r="K181" s="116" t="s">
        <v>1864</v>
      </c>
      <c r="L181" s="127" t="s">
        <v>2428</v>
      </c>
    </row>
    <row r="182" spans="1:12" ht="30">
      <c r="A182" s="330" t="s">
        <v>2864</v>
      </c>
      <c r="B182" s="330" t="str">
        <f t="shared" si="2"/>
        <v>債権管理3.1</v>
      </c>
      <c r="C182" t="s">
        <v>3045</v>
      </c>
      <c r="D182" s="293" t="s">
        <v>2406</v>
      </c>
      <c r="E182" s="252" t="s">
        <v>2407</v>
      </c>
      <c r="F182" s="289" t="s">
        <v>2429</v>
      </c>
      <c r="G182" s="296" t="s">
        <v>2414</v>
      </c>
      <c r="H182" s="291">
        <v>3.1</v>
      </c>
      <c r="I182" s="297" t="s">
        <v>2430</v>
      </c>
      <c r="J182" s="297" t="s">
        <v>2431</v>
      </c>
      <c r="K182" s="116" t="s">
        <v>1864</v>
      </c>
      <c r="L182" s="127" t="s">
        <v>2432</v>
      </c>
    </row>
    <row r="183" spans="1:12" ht="15">
      <c r="A183" s="330" t="s">
        <v>2864</v>
      </c>
      <c r="B183" s="330" t="str">
        <f t="shared" si="2"/>
        <v>債権管理3.2</v>
      </c>
      <c r="C183" t="s">
        <v>3046</v>
      </c>
      <c r="D183" s="293" t="s">
        <v>2406</v>
      </c>
      <c r="E183" s="252" t="s">
        <v>2407</v>
      </c>
      <c r="F183" s="252" t="s">
        <v>2429</v>
      </c>
      <c r="G183" s="298" t="s">
        <v>2425</v>
      </c>
      <c r="H183" s="291">
        <v>3.2</v>
      </c>
      <c r="I183" s="299" t="s">
        <v>2433</v>
      </c>
      <c r="J183" s="299" t="s">
        <v>2434</v>
      </c>
      <c r="K183" s="116" t="s">
        <v>1864</v>
      </c>
      <c r="L183" s="159" t="s">
        <v>2435</v>
      </c>
    </row>
    <row r="184" spans="1:12" ht="30">
      <c r="A184" s="330" t="s">
        <v>2864</v>
      </c>
      <c r="B184" s="330" t="str">
        <f t="shared" si="2"/>
        <v>債権管理4.1</v>
      </c>
      <c r="C184" t="s">
        <v>3047</v>
      </c>
      <c r="D184" s="293" t="s">
        <v>2406</v>
      </c>
      <c r="E184" s="257" t="s">
        <v>2407</v>
      </c>
      <c r="F184" s="300" t="s">
        <v>2345</v>
      </c>
      <c r="G184" s="301" t="s">
        <v>2436</v>
      </c>
      <c r="H184" s="291">
        <v>4.0999999999999996</v>
      </c>
      <c r="I184" s="250" t="s">
        <v>2437</v>
      </c>
      <c r="J184" s="295" t="s">
        <v>2438</v>
      </c>
      <c r="K184" s="116" t="s">
        <v>1864</v>
      </c>
      <c r="L184" s="127" t="s">
        <v>2412</v>
      </c>
    </row>
    <row r="185" spans="1:12" ht="30">
      <c r="A185" s="330" t="s">
        <v>2864</v>
      </c>
      <c r="B185" s="330" t="str">
        <f t="shared" si="2"/>
        <v>債権管理5.1</v>
      </c>
      <c r="C185" t="s">
        <v>3048</v>
      </c>
      <c r="D185" s="293" t="s">
        <v>2406</v>
      </c>
      <c r="E185" s="289" t="s">
        <v>2439</v>
      </c>
      <c r="F185" s="247" t="s">
        <v>2440</v>
      </c>
      <c r="G185" s="290" t="s">
        <v>2441</v>
      </c>
      <c r="H185" s="291">
        <v>5.0999999999999996</v>
      </c>
      <c r="I185" s="254" t="s">
        <v>2442</v>
      </c>
      <c r="J185" s="292" t="s">
        <v>2443</v>
      </c>
      <c r="K185" s="116" t="s">
        <v>1864</v>
      </c>
      <c r="L185" s="117"/>
    </row>
    <row r="186" spans="1:12" ht="30">
      <c r="A186" s="330" t="s">
        <v>2864</v>
      </c>
      <c r="B186" s="330" t="str">
        <f t="shared" si="2"/>
        <v>債権管理6.1</v>
      </c>
      <c r="C186" t="s">
        <v>3049</v>
      </c>
      <c r="D186" s="293" t="s">
        <v>2406</v>
      </c>
      <c r="E186" s="289" t="s">
        <v>2444</v>
      </c>
      <c r="F186" s="300" t="s">
        <v>2445</v>
      </c>
      <c r="G186" s="302" t="s">
        <v>2446</v>
      </c>
      <c r="H186" s="291">
        <v>6.1</v>
      </c>
      <c r="I186" s="250" t="s">
        <v>2447</v>
      </c>
      <c r="J186" s="295" t="s">
        <v>2448</v>
      </c>
      <c r="K186" s="116" t="s">
        <v>1864</v>
      </c>
      <c r="L186" s="117"/>
    </row>
    <row r="187" spans="1:12" ht="45">
      <c r="A187" s="330" t="s">
        <v>2864</v>
      </c>
      <c r="B187" s="330" t="str">
        <f t="shared" si="2"/>
        <v>債権管理7.1</v>
      </c>
      <c r="C187" t="s">
        <v>3050</v>
      </c>
      <c r="D187" s="293" t="s">
        <v>2406</v>
      </c>
      <c r="E187" s="252" t="s">
        <v>2444</v>
      </c>
      <c r="F187" s="289" t="s">
        <v>2449</v>
      </c>
      <c r="G187" s="302" t="s">
        <v>2450</v>
      </c>
      <c r="H187" s="291">
        <v>7.1</v>
      </c>
      <c r="I187" s="250" t="s">
        <v>2451</v>
      </c>
      <c r="J187" s="295" t="s">
        <v>2452</v>
      </c>
      <c r="K187" s="116" t="s">
        <v>1864</v>
      </c>
      <c r="L187" s="127" t="s">
        <v>2453</v>
      </c>
    </row>
    <row r="188" spans="1:12" ht="60">
      <c r="A188" s="330" t="s">
        <v>2864</v>
      </c>
      <c r="B188" s="330" t="str">
        <f t="shared" si="2"/>
        <v>債権管理7.2</v>
      </c>
      <c r="C188" t="s">
        <v>3051</v>
      </c>
      <c r="D188" s="293" t="s">
        <v>2406</v>
      </c>
      <c r="E188" s="252" t="s">
        <v>2444</v>
      </c>
      <c r="F188" s="303" t="s">
        <v>2449</v>
      </c>
      <c r="G188" s="255" t="s">
        <v>2450</v>
      </c>
      <c r="H188" s="291">
        <v>7.2</v>
      </c>
      <c r="I188" s="250" t="s">
        <v>2454</v>
      </c>
      <c r="J188" s="295" t="s">
        <v>2455</v>
      </c>
      <c r="K188" s="116" t="s">
        <v>1864</v>
      </c>
      <c r="L188" s="117"/>
    </row>
    <row r="189" spans="1:12" ht="30">
      <c r="A189" s="330" t="s">
        <v>2864</v>
      </c>
      <c r="B189" s="330" t="str">
        <f t="shared" si="2"/>
        <v>債権管理8.1</v>
      </c>
      <c r="C189" t="s">
        <v>3052</v>
      </c>
      <c r="D189" s="293" t="s">
        <v>2406</v>
      </c>
      <c r="E189" s="252" t="s">
        <v>2444</v>
      </c>
      <c r="F189" s="289" t="s">
        <v>2456</v>
      </c>
      <c r="G189" s="302" t="s">
        <v>2457</v>
      </c>
      <c r="H189" s="291">
        <v>8.1</v>
      </c>
      <c r="I189" s="250" t="s">
        <v>2458</v>
      </c>
      <c r="J189" s="295" t="s">
        <v>2459</v>
      </c>
      <c r="K189" s="116" t="s">
        <v>1864</v>
      </c>
      <c r="L189" s="127" t="s">
        <v>2428</v>
      </c>
    </row>
    <row r="190" spans="1:12" ht="30">
      <c r="A190" s="330" t="s">
        <v>2864</v>
      </c>
      <c r="B190" s="330" t="str">
        <f t="shared" si="2"/>
        <v>債権管理8.2</v>
      </c>
      <c r="C190" t="s">
        <v>3053</v>
      </c>
      <c r="D190" s="293" t="s">
        <v>2406</v>
      </c>
      <c r="E190" s="252" t="s">
        <v>2444</v>
      </c>
      <c r="F190" s="252" t="s">
        <v>2456</v>
      </c>
      <c r="G190" s="302" t="s">
        <v>2457</v>
      </c>
      <c r="H190" s="291">
        <v>8.1999999999999993</v>
      </c>
      <c r="I190" s="250" t="s">
        <v>2460</v>
      </c>
      <c r="J190" s="295" t="s">
        <v>2461</v>
      </c>
      <c r="K190" s="116" t="s">
        <v>1864</v>
      </c>
      <c r="L190" s="127" t="s">
        <v>2428</v>
      </c>
    </row>
    <row r="191" spans="1:12" ht="45">
      <c r="A191" s="330" t="s">
        <v>2864</v>
      </c>
      <c r="B191" s="330" t="str">
        <f t="shared" si="2"/>
        <v>債権管理8.3</v>
      </c>
      <c r="C191" t="s">
        <v>3054</v>
      </c>
      <c r="D191" s="293" t="s">
        <v>2406</v>
      </c>
      <c r="E191" s="252" t="s">
        <v>2444</v>
      </c>
      <c r="F191" s="252" t="s">
        <v>2456</v>
      </c>
      <c r="G191" s="302" t="s">
        <v>2462</v>
      </c>
      <c r="H191" s="291">
        <v>8.3000000000000007</v>
      </c>
      <c r="I191" s="250" t="s">
        <v>2463</v>
      </c>
      <c r="J191" s="295" t="s">
        <v>2461</v>
      </c>
      <c r="K191" s="116" t="s">
        <v>1864</v>
      </c>
      <c r="L191" s="127" t="s">
        <v>2428</v>
      </c>
    </row>
    <row r="192" spans="1:12" ht="30">
      <c r="A192" s="330" t="s">
        <v>2864</v>
      </c>
      <c r="B192" s="330" t="str">
        <f t="shared" si="2"/>
        <v>債権管理8.4</v>
      </c>
      <c r="C192" t="s">
        <v>3055</v>
      </c>
      <c r="D192" s="293" t="s">
        <v>2406</v>
      </c>
      <c r="E192" s="252" t="s">
        <v>2444</v>
      </c>
      <c r="F192" s="252" t="s">
        <v>2456</v>
      </c>
      <c r="G192" s="302" t="s">
        <v>2464</v>
      </c>
      <c r="H192" s="291">
        <v>8.4</v>
      </c>
      <c r="I192" s="250" t="s">
        <v>2465</v>
      </c>
      <c r="J192" s="295" t="s">
        <v>2466</v>
      </c>
      <c r="K192" s="116" t="s">
        <v>1864</v>
      </c>
      <c r="L192" s="127" t="s">
        <v>2428</v>
      </c>
    </row>
    <row r="193" spans="1:12" ht="30">
      <c r="A193" s="330" t="s">
        <v>2864</v>
      </c>
      <c r="B193" s="330" t="str">
        <f t="shared" si="2"/>
        <v>債権管理8.5</v>
      </c>
      <c r="C193" t="s">
        <v>3056</v>
      </c>
      <c r="D193" s="293" t="s">
        <v>2406</v>
      </c>
      <c r="E193" s="252" t="s">
        <v>2444</v>
      </c>
      <c r="F193" s="252" t="s">
        <v>2456</v>
      </c>
      <c r="G193" s="302" t="s">
        <v>2467</v>
      </c>
      <c r="H193" s="291">
        <v>8.5</v>
      </c>
      <c r="I193" s="250" t="s">
        <v>2468</v>
      </c>
      <c r="J193" s="295" t="s">
        <v>2469</v>
      </c>
      <c r="K193" s="116" t="s">
        <v>1864</v>
      </c>
      <c r="L193" s="127" t="s">
        <v>2428</v>
      </c>
    </row>
    <row r="194" spans="1:12" ht="30">
      <c r="A194" s="330" t="s">
        <v>2864</v>
      </c>
      <c r="B194" s="330" t="str">
        <f t="shared" si="2"/>
        <v>債権管理8.6</v>
      </c>
      <c r="C194" t="s">
        <v>3057</v>
      </c>
      <c r="D194" s="293" t="s">
        <v>2406</v>
      </c>
      <c r="E194" s="252" t="s">
        <v>2444</v>
      </c>
      <c r="F194" s="257" t="s">
        <v>2456</v>
      </c>
      <c r="G194" s="302" t="s">
        <v>2467</v>
      </c>
      <c r="H194" s="291">
        <v>8.6</v>
      </c>
      <c r="I194" s="250" t="s">
        <v>2470</v>
      </c>
      <c r="J194" s="295" t="s">
        <v>2471</v>
      </c>
      <c r="K194" s="116" t="s">
        <v>1875</v>
      </c>
      <c r="L194" s="117" t="s">
        <v>2472</v>
      </c>
    </row>
    <row r="195" spans="1:12" ht="30">
      <c r="A195" s="330" t="s">
        <v>2864</v>
      </c>
      <c r="B195" s="330" t="str">
        <f t="shared" si="2"/>
        <v>債権管理9.1</v>
      </c>
      <c r="C195" t="s">
        <v>3058</v>
      </c>
      <c r="D195" s="293" t="s">
        <v>2406</v>
      </c>
      <c r="E195" s="252" t="s">
        <v>2444</v>
      </c>
      <c r="F195" s="289" t="s">
        <v>2473</v>
      </c>
      <c r="G195" s="302" t="s">
        <v>2450</v>
      </c>
      <c r="H195" s="291">
        <v>9.1</v>
      </c>
      <c r="I195" s="250" t="s">
        <v>2474</v>
      </c>
      <c r="J195" s="295" t="s">
        <v>2475</v>
      </c>
      <c r="K195" s="116" t="s">
        <v>1864</v>
      </c>
      <c r="L195" s="127" t="s">
        <v>2428</v>
      </c>
    </row>
    <row r="196" spans="1:12" ht="30">
      <c r="A196" s="330" t="s">
        <v>2864</v>
      </c>
      <c r="B196" s="330" t="str">
        <f t="shared" ref="B196:B259" si="3">A196&amp;H196</f>
        <v>債権管理9.2</v>
      </c>
      <c r="C196" t="s">
        <v>3059</v>
      </c>
      <c r="D196" s="293" t="s">
        <v>2406</v>
      </c>
      <c r="E196" s="252" t="s">
        <v>2444</v>
      </c>
      <c r="F196" s="252" t="s">
        <v>2473</v>
      </c>
      <c r="G196" s="302" t="s">
        <v>2450</v>
      </c>
      <c r="H196" s="291">
        <v>9.1999999999999993</v>
      </c>
      <c r="I196" s="250" t="s">
        <v>2476</v>
      </c>
      <c r="J196" s="295" t="s">
        <v>2477</v>
      </c>
      <c r="K196" s="116" t="s">
        <v>1864</v>
      </c>
      <c r="L196" s="127" t="s">
        <v>2428</v>
      </c>
    </row>
    <row r="197" spans="1:12" ht="30">
      <c r="A197" s="330" t="s">
        <v>2864</v>
      </c>
      <c r="B197" s="330" t="str">
        <f t="shared" si="3"/>
        <v>債権管理9.3</v>
      </c>
      <c r="C197" t="s">
        <v>3060</v>
      </c>
      <c r="D197" s="293" t="s">
        <v>2406</v>
      </c>
      <c r="E197" s="252" t="s">
        <v>2444</v>
      </c>
      <c r="F197" s="252" t="s">
        <v>2473</v>
      </c>
      <c r="G197" s="302" t="s">
        <v>2457</v>
      </c>
      <c r="H197" s="291">
        <v>9.3000000000000007</v>
      </c>
      <c r="I197" s="250" t="s">
        <v>2478</v>
      </c>
      <c r="J197" s="295" t="s">
        <v>2479</v>
      </c>
      <c r="K197" s="116" t="s">
        <v>1864</v>
      </c>
      <c r="L197" s="127" t="s">
        <v>2428</v>
      </c>
    </row>
    <row r="198" spans="1:12" ht="30">
      <c r="A198" s="330" t="s">
        <v>2864</v>
      </c>
      <c r="B198" s="330" t="str">
        <f t="shared" si="3"/>
        <v>債権管理9.4</v>
      </c>
      <c r="C198" t="s">
        <v>3061</v>
      </c>
      <c r="D198" s="293" t="s">
        <v>2406</v>
      </c>
      <c r="E198" s="252" t="s">
        <v>2444</v>
      </c>
      <c r="F198" s="257" t="s">
        <v>2473</v>
      </c>
      <c r="G198" s="250" t="s">
        <v>2480</v>
      </c>
      <c r="H198" s="291">
        <v>9.4</v>
      </c>
      <c r="I198" s="304" t="s">
        <v>2481</v>
      </c>
      <c r="J198" s="304" t="s">
        <v>2482</v>
      </c>
      <c r="K198" s="277" t="s">
        <v>1864</v>
      </c>
      <c r="L198" s="117"/>
    </row>
    <row r="199" spans="1:12" ht="30">
      <c r="A199" s="330" t="s">
        <v>2864</v>
      </c>
      <c r="B199" s="330" t="str">
        <f t="shared" si="3"/>
        <v>債権管理10.1</v>
      </c>
      <c r="C199" t="s">
        <v>3062</v>
      </c>
      <c r="D199" s="293" t="s">
        <v>2406</v>
      </c>
      <c r="E199" s="252" t="s">
        <v>2444</v>
      </c>
      <c r="F199" s="289" t="s">
        <v>2483</v>
      </c>
      <c r="G199" s="302" t="s">
        <v>2484</v>
      </c>
      <c r="H199" s="291">
        <v>10.1</v>
      </c>
      <c r="I199" s="250" t="s">
        <v>2485</v>
      </c>
      <c r="J199" s="295" t="s">
        <v>2486</v>
      </c>
      <c r="K199" s="116" t="s">
        <v>1864</v>
      </c>
      <c r="L199" s="117"/>
    </row>
    <row r="200" spans="1:12" ht="30">
      <c r="A200" s="330" t="s">
        <v>2864</v>
      </c>
      <c r="B200" s="330" t="str">
        <f t="shared" si="3"/>
        <v>債権管理10.2</v>
      </c>
      <c r="C200" t="s">
        <v>3063</v>
      </c>
      <c r="D200" s="293" t="s">
        <v>2406</v>
      </c>
      <c r="E200" s="257" t="s">
        <v>2444</v>
      </c>
      <c r="F200" s="257" t="s">
        <v>2483</v>
      </c>
      <c r="G200" s="302" t="s">
        <v>2487</v>
      </c>
      <c r="H200" s="291">
        <v>10.199999999999999</v>
      </c>
      <c r="I200" s="250" t="s">
        <v>2488</v>
      </c>
      <c r="J200" s="295" t="s">
        <v>2489</v>
      </c>
      <c r="K200" s="116" t="s">
        <v>1864</v>
      </c>
      <c r="L200" s="117"/>
    </row>
    <row r="201" spans="1:12" ht="30">
      <c r="A201" s="330" t="s">
        <v>2864</v>
      </c>
      <c r="B201" s="330" t="str">
        <f t="shared" si="3"/>
        <v>債権管理11.1</v>
      </c>
      <c r="C201" t="s">
        <v>3064</v>
      </c>
      <c r="D201" s="293" t="s">
        <v>2406</v>
      </c>
      <c r="E201" s="289" t="s">
        <v>2490</v>
      </c>
      <c r="F201" s="305" t="s">
        <v>2491</v>
      </c>
      <c r="G201" s="302" t="s">
        <v>2492</v>
      </c>
      <c r="H201" s="291">
        <v>11.1</v>
      </c>
      <c r="I201" s="250" t="s">
        <v>2493</v>
      </c>
      <c r="J201" s="295" t="s">
        <v>2494</v>
      </c>
      <c r="K201" s="116" t="s">
        <v>1864</v>
      </c>
      <c r="L201" s="117"/>
    </row>
    <row r="202" spans="1:12" ht="30">
      <c r="A202" s="330" t="s">
        <v>2864</v>
      </c>
      <c r="B202" s="330" t="str">
        <f t="shared" si="3"/>
        <v>債権管理11.2</v>
      </c>
      <c r="C202" t="s">
        <v>3065</v>
      </c>
      <c r="D202" s="293" t="s">
        <v>2406</v>
      </c>
      <c r="E202" s="252" t="s">
        <v>2490</v>
      </c>
      <c r="F202" s="252" t="s">
        <v>2491</v>
      </c>
      <c r="G202" s="302" t="s">
        <v>2495</v>
      </c>
      <c r="H202" s="291">
        <v>11.2</v>
      </c>
      <c r="I202" s="250" t="s">
        <v>2496</v>
      </c>
      <c r="J202" s="295" t="s">
        <v>2497</v>
      </c>
      <c r="K202" s="277" t="s">
        <v>2259</v>
      </c>
      <c r="L202" s="117" t="s">
        <v>2498</v>
      </c>
    </row>
    <row r="203" spans="1:12" ht="30">
      <c r="A203" s="330" t="s">
        <v>2864</v>
      </c>
      <c r="B203" s="330" t="str">
        <f t="shared" si="3"/>
        <v>債権管理11.3</v>
      </c>
      <c r="C203" t="s">
        <v>3066</v>
      </c>
      <c r="D203" s="293" t="s">
        <v>2406</v>
      </c>
      <c r="E203" s="252" t="s">
        <v>2490</v>
      </c>
      <c r="F203" s="252" t="s">
        <v>2491</v>
      </c>
      <c r="G203" s="302" t="s">
        <v>2499</v>
      </c>
      <c r="H203" s="291">
        <v>11.3</v>
      </c>
      <c r="I203" s="250" t="s">
        <v>2500</v>
      </c>
      <c r="J203" s="295" t="s">
        <v>2501</v>
      </c>
      <c r="K203" s="116" t="s">
        <v>1864</v>
      </c>
      <c r="L203" s="117"/>
    </row>
    <row r="204" spans="1:12" ht="30">
      <c r="A204" s="330" t="s">
        <v>2864</v>
      </c>
      <c r="B204" s="330" t="str">
        <f t="shared" si="3"/>
        <v>債権管理11.4</v>
      </c>
      <c r="C204" t="s">
        <v>3067</v>
      </c>
      <c r="D204" s="293" t="s">
        <v>2406</v>
      </c>
      <c r="E204" s="252" t="s">
        <v>2490</v>
      </c>
      <c r="F204" s="252" t="s">
        <v>2491</v>
      </c>
      <c r="G204" s="302" t="s">
        <v>2502</v>
      </c>
      <c r="H204" s="291">
        <v>11.4</v>
      </c>
      <c r="I204" s="250" t="s">
        <v>2503</v>
      </c>
      <c r="J204" s="295" t="s">
        <v>2504</v>
      </c>
      <c r="K204" s="116" t="s">
        <v>1864</v>
      </c>
      <c r="L204" s="117"/>
    </row>
    <row r="205" spans="1:12" ht="90">
      <c r="A205" s="330" t="s">
        <v>2864</v>
      </c>
      <c r="B205" s="330" t="str">
        <f t="shared" si="3"/>
        <v>債権管理11.5</v>
      </c>
      <c r="C205" t="s">
        <v>3068</v>
      </c>
      <c r="D205" s="293" t="s">
        <v>2406</v>
      </c>
      <c r="E205" s="252" t="s">
        <v>2490</v>
      </c>
      <c r="F205" s="257" t="s">
        <v>2491</v>
      </c>
      <c r="G205" s="298" t="s">
        <v>2505</v>
      </c>
      <c r="H205" s="291">
        <v>11.5</v>
      </c>
      <c r="I205" s="297" t="s">
        <v>2506</v>
      </c>
      <c r="J205" s="297" t="s">
        <v>2507</v>
      </c>
      <c r="K205" s="116" t="s">
        <v>1864</v>
      </c>
      <c r="L205" s="117"/>
    </row>
    <row r="206" spans="1:12" ht="30">
      <c r="A206" s="330" t="s">
        <v>2864</v>
      </c>
      <c r="B206" s="330" t="str">
        <f t="shared" si="3"/>
        <v>債権管理12.1</v>
      </c>
      <c r="C206" t="s">
        <v>3069</v>
      </c>
      <c r="D206" s="293" t="s">
        <v>2406</v>
      </c>
      <c r="E206" s="252" t="s">
        <v>2490</v>
      </c>
      <c r="F206" s="289" t="s">
        <v>2508</v>
      </c>
      <c r="G206" s="302" t="s">
        <v>2509</v>
      </c>
      <c r="H206" s="291">
        <v>12.1</v>
      </c>
      <c r="I206" s="250" t="s">
        <v>2510</v>
      </c>
      <c r="J206" s="295" t="s">
        <v>2511</v>
      </c>
      <c r="K206" s="116" t="s">
        <v>1864</v>
      </c>
      <c r="L206" s="117"/>
    </row>
    <row r="207" spans="1:12" ht="45">
      <c r="A207" s="330" t="s">
        <v>2864</v>
      </c>
      <c r="B207" s="330" t="str">
        <f t="shared" si="3"/>
        <v>債権管理12.2</v>
      </c>
      <c r="C207" t="s">
        <v>3070</v>
      </c>
      <c r="D207" s="293" t="s">
        <v>2406</v>
      </c>
      <c r="E207" s="252" t="s">
        <v>2490</v>
      </c>
      <c r="F207" s="257" t="s">
        <v>2508</v>
      </c>
      <c r="G207" s="302" t="s">
        <v>2512</v>
      </c>
      <c r="H207" s="291">
        <v>12.2</v>
      </c>
      <c r="I207" s="250" t="s">
        <v>2513</v>
      </c>
      <c r="J207" s="295" t="s">
        <v>2514</v>
      </c>
      <c r="K207" s="277" t="s">
        <v>1864</v>
      </c>
      <c r="L207" s="127" t="s">
        <v>2515</v>
      </c>
    </row>
    <row r="208" spans="1:12" ht="30">
      <c r="A208" s="330" t="s">
        <v>2864</v>
      </c>
      <c r="B208" s="330" t="str">
        <f t="shared" si="3"/>
        <v>債権管理13.1</v>
      </c>
      <c r="C208" t="s">
        <v>3071</v>
      </c>
      <c r="D208" s="293" t="s">
        <v>2406</v>
      </c>
      <c r="E208" s="252" t="s">
        <v>2490</v>
      </c>
      <c r="F208" s="259" t="s">
        <v>2516</v>
      </c>
      <c r="G208" s="250" t="s">
        <v>2517</v>
      </c>
      <c r="H208" s="291">
        <v>13.1</v>
      </c>
      <c r="I208" s="250" t="s">
        <v>2518</v>
      </c>
      <c r="J208" s="295" t="s">
        <v>2519</v>
      </c>
      <c r="K208" s="116" t="s">
        <v>1864</v>
      </c>
      <c r="L208" s="127" t="s">
        <v>1916</v>
      </c>
    </row>
    <row r="209" spans="1:12" ht="30">
      <c r="A209" s="330" t="s">
        <v>2864</v>
      </c>
      <c r="B209" s="330" t="str">
        <f t="shared" si="3"/>
        <v>債権管理13.2</v>
      </c>
      <c r="C209" t="s">
        <v>3072</v>
      </c>
      <c r="D209" s="293" t="s">
        <v>2406</v>
      </c>
      <c r="E209" s="252" t="s">
        <v>2490</v>
      </c>
      <c r="F209" s="252" t="s">
        <v>2516</v>
      </c>
      <c r="G209" s="256" t="s">
        <v>2520</v>
      </c>
      <c r="H209" s="291">
        <v>13.2</v>
      </c>
      <c r="I209" s="304" t="s">
        <v>2521</v>
      </c>
      <c r="J209" s="304" t="s">
        <v>2522</v>
      </c>
      <c r="K209" s="116" t="s">
        <v>1864</v>
      </c>
      <c r="L209" s="127" t="s">
        <v>2523</v>
      </c>
    </row>
    <row r="210" spans="1:12" ht="30">
      <c r="A210" s="330" t="s">
        <v>2864</v>
      </c>
      <c r="B210" s="330" t="str">
        <f t="shared" si="3"/>
        <v>債権管理13.4</v>
      </c>
      <c r="C210" t="s">
        <v>3073</v>
      </c>
      <c r="D210" s="293" t="s">
        <v>2406</v>
      </c>
      <c r="E210" s="252" t="s">
        <v>2490</v>
      </c>
      <c r="F210" s="252" t="s">
        <v>2516</v>
      </c>
      <c r="G210" s="255" t="s">
        <v>2520</v>
      </c>
      <c r="H210" s="291">
        <v>13.4</v>
      </c>
      <c r="I210" s="299" t="s">
        <v>2524</v>
      </c>
      <c r="J210" s="297" t="s">
        <v>2525</v>
      </c>
      <c r="K210" s="277" t="s">
        <v>2259</v>
      </c>
      <c r="L210" s="260" t="s">
        <v>2498</v>
      </c>
    </row>
    <row r="211" spans="1:12" ht="15">
      <c r="A211" s="330" t="s">
        <v>2864</v>
      </c>
      <c r="B211" s="330" t="str">
        <f t="shared" si="3"/>
        <v>債権管理13.5</v>
      </c>
      <c r="C211" t="s">
        <v>3074</v>
      </c>
      <c r="D211" s="293" t="s">
        <v>2406</v>
      </c>
      <c r="E211" s="252" t="s">
        <v>2490</v>
      </c>
      <c r="F211" s="252" t="s">
        <v>2516</v>
      </c>
      <c r="G211" s="306" t="s">
        <v>2526</v>
      </c>
      <c r="H211" s="291">
        <v>13.5</v>
      </c>
      <c r="I211" s="299" t="s">
        <v>2527</v>
      </c>
      <c r="J211" s="297" t="s">
        <v>2528</v>
      </c>
      <c r="K211" s="116" t="s">
        <v>1864</v>
      </c>
      <c r="L211" s="278" t="s">
        <v>2523</v>
      </c>
    </row>
    <row r="212" spans="1:12" ht="30">
      <c r="A212" s="330" t="s">
        <v>2864</v>
      </c>
      <c r="B212" s="330" t="str">
        <f t="shared" si="3"/>
        <v>債権管理13.6</v>
      </c>
      <c r="C212" t="s">
        <v>3075</v>
      </c>
      <c r="D212" s="293" t="s">
        <v>2406</v>
      </c>
      <c r="E212" s="252" t="s">
        <v>2490</v>
      </c>
      <c r="F212" s="307" t="s">
        <v>2516</v>
      </c>
      <c r="G212" s="248" t="s">
        <v>2529</v>
      </c>
      <c r="H212" s="291">
        <v>13.6</v>
      </c>
      <c r="I212" s="297" t="s">
        <v>2530</v>
      </c>
      <c r="J212" s="295" t="s">
        <v>2531</v>
      </c>
      <c r="K212" s="116" t="s">
        <v>1864</v>
      </c>
      <c r="L212" s="159" t="s">
        <v>2532</v>
      </c>
    </row>
    <row r="213" spans="1:12" ht="30">
      <c r="A213" s="330" t="s">
        <v>2864</v>
      </c>
      <c r="B213" s="330" t="str">
        <f t="shared" si="3"/>
        <v>債権管理13.7</v>
      </c>
      <c r="C213" t="s">
        <v>3076</v>
      </c>
      <c r="D213" s="293" t="s">
        <v>2406</v>
      </c>
      <c r="E213" s="252" t="s">
        <v>2490</v>
      </c>
      <c r="F213" s="252" t="s">
        <v>2516</v>
      </c>
      <c r="G213" s="253" t="s">
        <v>2529</v>
      </c>
      <c r="H213" s="291">
        <v>13.7</v>
      </c>
      <c r="I213" s="299" t="s">
        <v>2533</v>
      </c>
      <c r="J213" s="295" t="s">
        <v>2531</v>
      </c>
      <c r="K213" s="116" t="s">
        <v>1864</v>
      </c>
      <c r="L213" s="159" t="s">
        <v>2532</v>
      </c>
    </row>
    <row r="214" spans="1:12" ht="30">
      <c r="A214" s="330" t="s">
        <v>2864</v>
      </c>
      <c r="B214" s="330" t="str">
        <f t="shared" si="3"/>
        <v>債権管理13.8</v>
      </c>
      <c r="C214" t="s">
        <v>3077</v>
      </c>
      <c r="D214" s="293" t="s">
        <v>2406</v>
      </c>
      <c r="E214" s="252" t="s">
        <v>2490</v>
      </c>
      <c r="F214" s="252" t="s">
        <v>2516</v>
      </c>
      <c r="G214" s="253" t="s">
        <v>2529</v>
      </c>
      <c r="H214" s="291">
        <v>13.8</v>
      </c>
      <c r="I214" s="299" t="s">
        <v>2534</v>
      </c>
      <c r="J214" s="295" t="s">
        <v>2531</v>
      </c>
      <c r="K214" s="116" t="s">
        <v>1864</v>
      </c>
      <c r="L214" s="159" t="s">
        <v>2532</v>
      </c>
    </row>
    <row r="215" spans="1:12" ht="45">
      <c r="A215" s="330" t="s">
        <v>2864</v>
      </c>
      <c r="B215" s="330" t="str">
        <f t="shared" si="3"/>
        <v>債権管理13.9</v>
      </c>
      <c r="C215" t="s">
        <v>3078</v>
      </c>
      <c r="D215" s="293" t="s">
        <v>2406</v>
      </c>
      <c r="E215" s="252" t="s">
        <v>2490</v>
      </c>
      <c r="F215" s="252" t="s">
        <v>2516</v>
      </c>
      <c r="G215" s="253" t="s">
        <v>2529</v>
      </c>
      <c r="H215" s="291">
        <v>13.9</v>
      </c>
      <c r="I215" s="297" t="s">
        <v>2535</v>
      </c>
      <c r="J215" s="297" t="s">
        <v>2536</v>
      </c>
      <c r="K215" s="116" t="s">
        <v>1864</v>
      </c>
      <c r="L215" s="127" t="s">
        <v>1916</v>
      </c>
    </row>
    <row r="216" spans="1:12" ht="60">
      <c r="A216" s="330" t="s">
        <v>2864</v>
      </c>
      <c r="B216" s="330" t="str">
        <f t="shared" si="3"/>
        <v>債権管理14.1</v>
      </c>
      <c r="C216" t="s">
        <v>3079</v>
      </c>
      <c r="D216" s="293" t="s">
        <v>2406</v>
      </c>
      <c r="E216" s="308" t="s">
        <v>2537</v>
      </c>
      <c r="F216" s="309" t="s">
        <v>2538</v>
      </c>
      <c r="G216" s="308" t="s">
        <v>2539</v>
      </c>
      <c r="H216" s="291">
        <v>14.1</v>
      </c>
      <c r="I216" s="158" t="s">
        <v>2540</v>
      </c>
      <c r="J216" s="146" t="s">
        <v>2541</v>
      </c>
      <c r="K216" s="116" t="s">
        <v>1875</v>
      </c>
      <c r="L216" s="117" t="s">
        <v>2542</v>
      </c>
    </row>
    <row r="217" spans="1:12" ht="30">
      <c r="A217" s="330" t="s">
        <v>2864</v>
      </c>
      <c r="B217" s="330" t="str">
        <f t="shared" si="3"/>
        <v>債権管理15.1</v>
      </c>
      <c r="C217" t="s">
        <v>3080</v>
      </c>
      <c r="D217" s="310" t="s">
        <v>2406</v>
      </c>
      <c r="E217" s="311" t="s">
        <v>2543</v>
      </c>
      <c r="F217" s="308" t="s">
        <v>2544</v>
      </c>
      <c r="G217" s="308" t="s">
        <v>2529</v>
      </c>
      <c r="H217" s="291">
        <v>15.1</v>
      </c>
      <c r="I217" s="158" t="s">
        <v>2545</v>
      </c>
      <c r="J217" s="312" t="s">
        <v>2546</v>
      </c>
      <c r="K217" s="116" t="s">
        <v>1864</v>
      </c>
      <c r="L217" s="127" t="s">
        <v>1916</v>
      </c>
    </row>
    <row r="218" spans="1:12" ht="30">
      <c r="A218" s="330" t="s">
        <v>2864</v>
      </c>
      <c r="B218" s="330" t="str">
        <f t="shared" si="3"/>
        <v>債権管理16.1</v>
      </c>
      <c r="C218" t="s">
        <v>3081</v>
      </c>
      <c r="D218" s="310" t="s">
        <v>2406</v>
      </c>
      <c r="E218" s="313" t="s">
        <v>2543</v>
      </c>
      <c r="F218" s="308" t="s">
        <v>2547</v>
      </c>
      <c r="G218" s="294" t="s">
        <v>2425</v>
      </c>
      <c r="H218" s="291">
        <v>16.100000000000001</v>
      </c>
      <c r="I218" s="158" t="s">
        <v>2548</v>
      </c>
      <c r="J218" s="312" t="s">
        <v>2549</v>
      </c>
      <c r="K218" s="116" t="s">
        <v>1864</v>
      </c>
      <c r="L218" s="127" t="s">
        <v>1916</v>
      </c>
    </row>
    <row r="219" spans="1:12" ht="30">
      <c r="A219" s="330" t="s">
        <v>2864</v>
      </c>
      <c r="B219" s="330" t="str">
        <f t="shared" si="3"/>
        <v>債権管理17.7</v>
      </c>
      <c r="C219" t="s">
        <v>3082</v>
      </c>
      <c r="D219" s="310" t="s">
        <v>2406</v>
      </c>
      <c r="E219" s="252" t="s">
        <v>2543</v>
      </c>
      <c r="F219" s="309" t="s">
        <v>2550</v>
      </c>
      <c r="G219" s="294" t="s">
        <v>2425</v>
      </c>
      <c r="H219" s="291">
        <v>17.7</v>
      </c>
      <c r="I219" s="158" t="s">
        <v>2551</v>
      </c>
      <c r="J219" s="312" t="s">
        <v>2552</v>
      </c>
      <c r="K219" s="116" t="s">
        <v>1864</v>
      </c>
      <c r="L219" s="117"/>
    </row>
    <row r="220" spans="1:12" ht="45.5" thickBot="1">
      <c r="A220" s="330" t="s">
        <v>2864</v>
      </c>
      <c r="B220" s="330" t="str">
        <f t="shared" si="3"/>
        <v>債権管理18.1</v>
      </c>
      <c r="C220" t="s">
        <v>3083</v>
      </c>
      <c r="D220" s="314" t="s">
        <v>2406</v>
      </c>
      <c r="E220" s="257" t="s">
        <v>2543</v>
      </c>
      <c r="F220" s="309" t="s">
        <v>2553</v>
      </c>
      <c r="G220" s="308" t="s">
        <v>2529</v>
      </c>
      <c r="H220" s="291">
        <v>18.100000000000001</v>
      </c>
      <c r="I220" s="158" t="s">
        <v>2554</v>
      </c>
      <c r="J220" s="194" t="s">
        <v>2555</v>
      </c>
      <c r="K220" s="196" t="s">
        <v>1864</v>
      </c>
      <c r="L220" s="287" t="s">
        <v>2556</v>
      </c>
    </row>
    <row r="221" spans="1:12" ht="30">
      <c r="A221" s="330" t="s">
        <v>818</v>
      </c>
      <c r="B221" s="330" t="str">
        <f t="shared" si="3"/>
        <v>財務管理1.1</v>
      </c>
      <c r="C221" t="s">
        <v>3084</v>
      </c>
      <c r="D221" s="315" t="s">
        <v>2557</v>
      </c>
      <c r="E221" s="316" t="s">
        <v>2558</v>
      </c>
      <c r="F221" s="317" t="s">
        <v>2559</v>
      </c>
      <c r="G221" s="317" t="s">
        <v>2560</v>
      </c>
      <c r="H221" s="318">
        <v>1.1000000000000001</v>
      </c>
      <c r="I221" s="193" t="s">
        <v>2561</v>
      </c>
      <c r="J221" s="194" t="s">
        <v>2562</v>
      </c>
      <c r="K221" s="116" t="s">
        <v>2106</v>
      </c>
      <c r="L221" s="127" t="s">
        <v>2563</v>
      </c>
    </row>
    <row r="222" spans="1:12" ht="15">
      <c r="A222" s="330" t="s">
        <v>818</v>
      </c>
      <c r="B222" s="330" t="str">
        <f t="shared" si="3"/>
        <v>財務管理1.2</v>
      </c>
      <c r="C222" t="s">
        <v>3085</v>
      </c>
      <c r="D222" s="310" t="s">
        <v>2557</v>
      </c>
      <c r="E222" s="293" t="s">
        <v>2558</v>
      </c>
      <c r="F222" s="319" t="s">
        <v>2559</v>
      </c>
      <c r="G222" s="319" t="s">
        <v>2560</v>
      </c>
      <c r="H222" s="318">
        <v>1.2</v>
      </c>
      <c r="I222" s="193" t="s">
        <v>2564</v>
      </c>
      <c r="J222" s="194" t="s">
        <v>2565</v>
      </c>
      <c r="K222" s="116" t="s">
        <v>1864</v>
      </c>
      <c r="L222" s="159" t="s">
        <v>2566</v>
      </c>
    </row>
    <row r="223" spans="1:12" ht="45">
      <c r="A223" s="330" t="s">
        <v>818</v>
      </c>
      <c r="B223" s="330" t="str">
        <f t="shared" si="3"/>
        <v>財務管理1.3</v>
      </c>
      <c r="C223" t="s">
        <v>3086</v>
      </c>
      <c r="D223" s="310" t="s">
        <v>2557</v>
      </c>
      <c r="E223" s="293" t="s">
        <v>2558</v>
      </c>
      <c r="F223" s="319" t="s">
        <v>2559</v>
      </c>
      <c r="G223" s="319" t="s">
        <v>2560</v>
      </c>
      <c r="H223" s="318">
        <v>1.3</v>
      </c>
      <c r="I223" s="193" t="s">
        <v>2567</v>
      </c>
      <c r="J223" s="194" t="s">
        <v>2568</v>
      </c>
      <c r="K223" s="116" t="s">
        <v>1864</v>
      </c>
      <c r="L223" s="127" t="s">
        <v>2569</v>
      </c>
    </row>
    <row r="224" spans="1:12" ht="45">
      <c r="A224" s="330" t="s">
        <v>818</v>
      </c>
      <c r="B224" s="330" t="str">
        <f t="shared" si="3"/>
        <v>財務管理1.4</v>
      </c>
      <c r="C224" t="s">
        <v>3087</v>
      </c>
      <c r="D224" s="310" t="s">
        <v>2557</v>
      </c>
      <c r="E224" s="293" t="s">
        <v>2558</v>
      </c>
      <c r="F224" s="319" t="s">
        <v>2559</v>
      </c>
      <c r="G224" s="319" t="s">
        <v>2560</v>
      </c>
      <c r="H224" s="318">
        <v>1.4</v>
      </c>
      <c r="I224" s="193" t="s">
        <v>2570</v>
      </c>
      <c r="J224" s="194" t="s">
        <v>2571</v>
      </c>
      <c r="K224" s="116" t="s">
        <v>1864</v>
      </c>
      <c r="L224" s="127" t="s">
        <v>2569</v>
      </c>
    </row>
    <row r="225" spans="1:12" ht="45">
      <c r="A225" s="330" t="s">
        <v>818</v>
      </c>
      <c r="B225" s="330" t="str">
        <f t="shared" si="3"/>
        <v>財務管理1.5</v>
      </c>
      <c r="C225" t="s">
        <v>3088</v>
      </c>
      <c r="D225" s="310"/>
      <c r="E225" s="293"/>
      <c r="F225" s="319"/>
      <c r="G225" s="319"/>
      <c r="H225" s="318">
        <v>1.5</v>
      </c>
      <c r="I225" s="193" t="s">
        <v>2572</v>
      </c>
      <c r="J225" s="194" t="s">
        <v>2573</v>
      </c>
      <c r="K225" s="116" t="s">
        <v>1864</v>
      </c>
      <c r="L225" s="127" t="s">
        <v>2569</v>
      </c>
    </row>
    <row r="226" spans="1:12" ht="30">
      <c r="A226" s="330" t="s">
        <v>818</v>
      </c>
      <c r="B226" s="330" t="str">
        <f t="shared" si="3"/>
        <v>財務管理1.6</v>
      </c>
      <c r="C226" t="s">
        <v>3089</v>
      </c>
      <c r="D226" s="310" t="s">
        <v>2557</v>
      </c>
      <c r="E226" s="293" t="s">
        <v>2558</v>
      </c>
      <c r="F226" s="319" t="s">
        <v>2559</v>
      </c>
      <c r="G226" s="320" t="s">
        <v>2560</v>
      </c>
      <c r="H226" s="318">
        <v>1.6</v>
      </c>
      <c r="I226" s="193" t="s">
        <v>2574</v>
      </c>
      <c r="J226" s="194" t="s">
        <v>2575</v>
      </c>
      <c r="K226" s="116" t="s">
        <v>2106</v>
      </c>
      <c r="L226" s="127" t="s">
        <v>2576</v>
      </c>
    </row>
    <row r="227" spans="1:12" ht="15">
      <c r="A227" s="330" t="s">
        <v>818</v>
      </c>
      <c r="B227" s="330" t="str">
        <f t="shared" si="3"/>
        <v>財務管理1.7</v>
      </c>
      <c r="C227" t="s">
        <v>3090</v>
      </c>
      <c r="D227" s="310" t="s">
        <v>2557</v>
      </c>
      <c r="E227" s="293" t="s">
        <v>2558</v>
      </c>
      <c r="F227" s="319" t="s">
        <v>2559</v>
      </c>
      <c r="G227" s="317" t="s">
        <v>2577</v>
      </c>
      <c r="H227" s="318">
        <v>1.7</v>
      </c>
      <c r="I227" s="193" t="s">
        <v>2578</v>
      </c>
      <c r="J227" s="194" t="s">
        <v>2579</v>
      </c>
      <c r="K227" s="116" t="s">
        <v>2106</v>
      </c>
      <c r="L227" s="117"/>
    </row>
    <row r="228" spans="1:12" ht="15">
      <c r="A228" s="330" t="s">
        <v>818</v>
      </c>
      <c r="B228" s="330" t="str">
        <f t="shared" si="3"/>
        <v>財務管理1.8</v>
      </c>
      <c r="C228" t="s">
        <v>3091</v>
      </c>
      <c r="D228" s="310" t="s">
        <v>2557</v>
      </c>
      <c r="E228" s="293" t="s">
        <v>2558</v>
      </c>
      <c r="F228" s="319" t="s">
        <v>2559</v>
      </c>
      <c r="G228" s="319" t="s">
        <v>2577</v>
      </c>
      <c r="H228" s="318">
        <v>1.8</v>
      </c>
      <c r="I228" s="193" t="s">
        <v>2580</v>
      </c>
      <c r="J228" s="194" t="s">
        <v>2581</v>
      </c>
      <c r="K228" s="116" t="s">
        <v>2106</v>
      </c>
      <c r="L228" s="117"/>
    </row>
    <row r="229" spans="1:12" ht="30">
      <c r="A229" s="330" t="s">
        <v>818</v>
      </c>
      <c r="B229" s="330" t="str">
        <f t="shared" si="3"/>
        <v>財務管理1.9</v>
      </c>
      <c r="C229" t="s">
        <v>3092</v>
      </c>
      <c r="D229" s="310" t="s">
        <v>2557</v>
      </c>
      <c r="E229" s="293" t="s">
        <v>2558</v>
      </c>
      <c r="F229" s="319" t="s">
        <v>2559</v>
      </c>
      <c r="G229" s="319" t="s">
        <v>2577</v>
      </c>
      <c r="H229" s="318">
        <v>1.9</v>
      </c>
      <c r="I229" s="193" t="s">
        <v>2582</v>
      </c>
      <c r="J229" s="194" t="s">
        <v>2583</v>
      </c>
      <c r="K229" s="116" t="s">
        <v>2106</v>
      </c>
      <c r="L229" s="117"/>
    </row>
    <row r="230" spans="1:12" ht="45">
      <c r="A230" s="330" t="s">
        <v>818</v>
      </c>
      <c r="B230" s="330" t="str">
        <f t="shared" si="3"/>
        <v>財務管理1.10</v>
      </c>
      <c r="C230" t="s">
        <v>3093</v>
      </c>
      <c r="D230" s="310" t="s">
        <v>2557</v>
      </c>
      <c r="E230" s="293" t="s">
        <v>2558</v>
      </c>
      <c r="F230" s="319" t="s">
        <v>2559</v>
      </c>
      <c r="G230" s="319" t="s">
        <v>2577</v>
      </c>
      <c r="H230" s="321" t="s">
        <v>2584</v>
      </c>
      <c r="I230" s="193" t="s">
        <v>2585</v>
      </c>
      <c r="J230" s="194" t="s">
        <v>2586</v>
      </c>
      <c r="K230" s="116" t="s">
        <v>2106</v>
      </c>
      <c r="L230" s="127" t="s">
        <v>2576</v>
      </c>
    </row>
    <row r="231" spans="1:12" ht="30">
      <c r="A231" s="330" t="s">
        <v>818</v>
      </c>
      <c r="B231" s="330" t="str">
        <f t="shared" si="3"/>
        <v>財務管理1.11</v>
      </c>
      <c r="C231" t="s">
        <v>3094</v>
      </c>
      <c r="D231" s="310" t="s">
        <v>2557</v>
      </c>
      <c r="E231" s="293" t="s">
        <v>2558</v>
      </c>
      <c r="F231" s="319" t="s">
        <v>2559</v>
      </c>
      <c r="G231" s="320" t="s">
        <v>2577</v>
      </c>
      <c r="H231" s="318">
        <v>1.1100000000000001</v>
      </c>
      <c r="I231" s="193" t="s">
        <v>2587</v>
      </c>
      <c r="J231" s="194" t="s">
        <v>2588</v>
      </c>
      <c r="K231" s="116" t="s">
        <v>2106</v>
      </c>
      <c r="L231" s="127" t="s">
        <v>2576</v>
      </c>
    </row>
    <row r="232" spans="1:12" ht="30">
      <c r="A232" s="330" t="s">
        <v>818</v>
      </c>
      <c r="B232" s="330" t="str">
        <f t="shared" si="3"/>
        <v>財務管理1.12</v>
      </c>
      <c r="C232" t="s">
        <v>3095</v>
      </c>
      <c r="D232" s="310" t="s">
        <v>2557</v>
      </c>
      <c r="E232" s="293" t="s">
        <v>2558</v>
      </c>
      <c r="F232" s="319" t="s">
        <v>2559</v>
      </c>
      <c r="G232" s="317" t="s">
        <v>2589</v>
      </c>
      <c r="H232" s="318">
        <v>1.1200000000000001</v>
      </c>
      <c r="I232" s="193" t="s">
        <v>2590</v>
      </c>
      <c r="J232" s="194" t="s">
        <v>2591</v>
      </c>
      <c r="K232" s="116" t="s">
        <v>1864</v>
      </c>
      <c r="L232" s="117"/>
    </row>
    <row r="233" spans="1:12" ht="60">
      <c r="A233" s="330" t="s">
        <v>818</v>
      </c>
      <c r="B233" s="330" t="str">
        <f t="shared" si="3"/>
        <v>財務管理1.13</v>
      </c>
      <c r="C233" t="s">
        <v>3096</v>
      </c>
      <c r="D233" s="310" t="s">
        <v>2557</v>
      </c>
      <c r="E233" s="293" t="s">
        <v>2558</v>
      </c>
      <c r="F233" s="319" t="s">
        <v>2559</v>
      </c>
      <c r="G233" s="319" t="s">
        <v>2589</v>
      </c>
      <c r="H233" s="318">
        <v>1.1299999999999999</v>
      </c>
      <c r="I233" s="193" t="s">
        <v>2592</v>
      </c>
      <c r="J233" s="194" t="s">
        <v>2593</v>
      </c>
      <c r="K233" s="116" t="s">
        <v>1864</v>
      </c>
      <c r="L233" s="127" t="s">
        <v>2594</v>
      </c>
    </row>
    <row r="234" spans="1:12" ht="60">
      <c r="A234" s="330" t="s">
        <v>818</v>
      </c>
      <c r="B234" s="330" t="str">
        <f t="shared" si="3"/>
        <v>財務管理1.14</v>
      </c>
      <c r="C234" t="s">
        <v>3097</v>
      </c>
      <c r="D234" s="310"/>
      <c r="E234" s="293"/>
      <c r="F234" s="319"/>
      <c r="G234" s="319"/>
      <c r="H234" s="318">
        <v>1.1399999999999999</v>
      </c>
      <c r="I234" s="193" t="s">
        <v>2595</v>
      </c>
      <c r="J234" s="194" t="s">
        <v>2596</v>
      </c>
      <c r="K234" s="116" t="s">
        <v>1864</v>
      </c>
      <c r="L234" s="127" t="s">
        <v>2594</v>
      </c>
    </row>
    <row r="235" spans="1:12" ht="45">
      <c r="A235" s="330" t="s">
        <v>818</v>
      </c>
      <c r="B235" s="330" t="str">
        <f t="shared" si="3"/>
        <v>財務管理1.15</v>
      </c>
      <c r="C235" t="s">
        <v>3098</v>
      </c>
      <c r="D235" s="310" t="s">
        <v>2557</v>
      </c>
      <c r="E235" s="293" t="s">
        <v>2558</v>
      </c>
      <c r="F235" s="319" t="s">
        <v>2559</v>
      </c>
      <c r="G235" s="319" t="s">
        <v>2589</v>
      </c>
      <c r="H235" s="318">
        <v>1.1499999999999999</v>
      </c>
      <c r="I235" s="193" t="s">
        <v>2597</v>
      </c>
      <c r="J235" s="194" t="s">
        <v>2598</v>
      </c>
      <c r="K235" s="116" t="s">
        <v>1864</v>
      </c>
      <c r="L235" s="167"/>
    </row>
    <row r="236" spans="1:12" ht="30">
      <c r="A236" s="330" t="s">
        <v>818</v>
      </c>
      <c r="B236" s="330" t="str">
        <f t="shared" si="3"/>
        <v>財務管理1.16</v>
      </c>
      <c r="C236" t="s">
        <v>3099</v>
      </c>
      <c r="D236" s="310" t="s">
        <v>2557</v>
      </c>
      <c r="E236" s="293" t="s">
        <v>2558</v>
      </c>
      <c r="F236" s="320" t="s">
        <v>2559</v>
      </c>
      <c r="G236" s="320" t="s">
        <v>2589</v>
      </c>
      <c r="H236" s="318">
        <v>1.1599999999999999</v>
      </c>
      <c r="I236" s="193" t="s">
        <v>2599</v>
      </c>
      <c r="J236" s="194" t="s">
        <v>2600</v>
      </c>
      <c r="K236" s="116" t="s">
        <v>1864</v>
      </c>
      <c r="L236" s="167"/>
    </row>
    <row r="237" spans="1:12" ht="15">
      <c r="A237" s="330" t="s">
        <v>818</v>
      </c>
      <c r="B237" s="330" t="str">
        <f t="shared" si="3"/>
        <v>財務管理2.1</v>
      </c>
      <c r="C237" t="s">
        <v>3100</v>
      </c>
      <c r="D237" s="310" t="s">
        <v>2557</v>
      </c>
      <c r="E237" s="293" t="s">
        <v>2558</v>
      </c>
      <c r="F237" s="317" t="s">
        <v>2601</v>
      </c>
      <c r="G237" s="317" t="s">
        <v>2602</v>
      </c>
      <c r="H237" s="318">
        <v>2.1</v>
      </c>
      <c r="I237" s="193" t="s">
        <v>2603</v>
      </c>
      <c r="J237" s="194" t="s">
        <v>2604</v>
      </c>
      <c r="K237" s="116" t="s">
        <v>1864</v>
      </c>
      <c r="L237" s="117"/>
    </row>
    <row r="238" spans="1:12" ht="15">
      <c r="A238" s="330" t="s">
        <v>818</v>
      </c>
      <c r="B238" s="330" t="str">
        <f t="shared" si="3"/>
        <v>財務管理2.2</v>
      </c>
      <c r="C238" t="s">
        <v>3101</v>
      </c>
      <c r="D238" s="310" t="s">
        <v>2557</v>
      </c>
      <c r="E238" s="293" t="s">
        <v>2558</v>
      </c>
      <c r="F238" s="319" t="s">
        <v>2601</v>
      </c>
      <c r="G238" s="317" t="s">
        <v>2605</v>
      </c>
      <c r="H238" s="318">
        <v>2.2000000000000002</v>
      </c>
      <c r="I238" s="193" t="s">
        <v>2402</v>
      </c>
      <c r="J238" s="194" t="s">
        <v>2403</v>
      </c>
      <c r="K238" s="116" t="s">
        <v>1864</v>
      </c>
      <c r="L238" s="127" t="s">
        <v>2383</v>
      </c>
    </row>
    <row r="239" spans="1:12" ht="30">
      <c r="A239" s="330" t="s">
        <v>818</v>
      </c>
      <c r="B239" s="330" t="str">
        <f t="shared" si="3"/>
        <v>財務管理2.3</v>
      </c>
      <c r="C239" t="s">
        <v>3102</v>
      </c>
      <c r="D239" s="310" t="s">
        <v>2557</v>
      </c>
      <c r="E239" s="293" t="s">
        <v>2558</v>
      </c>
      <c r="F239" s="320" t="s">
        <v>2601</v>
      </c>
      <c r="G239" s="317" t="s">
        <v>2606</v>
      </c>
      <c r="H239" s="318">
        <v>2.2999999999999998</v>
      </c>
      <c r="I239" s="193" t="s">
        <v>2404</v>
      </c>
      <c r="J239" s="194" t="s">
        <v>2405</v>
      </c>
      <c r="K239" s="116" t="s">
        <v>1875</v>
      </c>
      <c r="L239" s="117" t="s">
        <v>2607</v>
      </c>
    </row>
    <row r="240" spans="1:12" ht="30">
      <c r="A240" s="330" t="s">
        <v>818</v>
      </c>
      <c r="B240" s="330" t="str">
        <f t="shared" si="3"/>
        <v>財務管理3.1</v>
      </c>
      <c r="C240" t="s">
        <v>3103</v>
      </c>
      <c r="D240" s="310" t="s">
        <v>2557</v>
      </c>
      <c r="E240" s="293" t="s">
        <v>2558</v>
      </c>
      <c r="F240" s="317" t="s">
        <v>2608</v>
      </c>
      <c r="G240" s="317" t="s">
        <v>2609</v>
      </c>
      <c r="H240" s="318">
        <v>3.1</v>
      </c>
      <c r="I240" s="193" t="s">
        <v>2610</v>
      </c>
      <c r="J240" s="194" t="s">
        <v>2611</v>
      </c>
      <c r="K240" s="116" t="s">
        <v>1864</v>
      </c>
      <c r="L240" s="278" t="s">
        <v>2612</v>
      </c>
    </row>
    <row r="241" spans="1:12" ht="45">
      <c r="A241" s="330" t="s">
        <v>818</v>
      </c>
      <c r="B241" s="330" t="str">
        <f t="shared" si="3"/>
        <v>財務管理3.2</v>
      </c>
      <c r="C241" t="s">
        <v>3104</v>
      </c>
      <c r="D241" s="310" t="s">
        <v>2557</v>
      </c>
      <c r="E241" s="293" t="s">
        <v>2558</v>
      </c>
      <c r="F241" s="319" t="s">
        <v>2608</v>
      </c>
      <c r="G241" s="319" t="s">
        <v>2609</v>
      </c>
      <c r="H241" s="318">
        <v>3.2</v>
      </c>
      <c r="I241" s="193" t="s">
        <v>2613</v>
      </c>
      <c r="J241" s="194" t="s">
        <v>2614</v>
      </c>
      <c r="K241" s="116" t="s">
        <v>1864</v>
      </c>
      <c r="L241" s="117"/>
    </row>
    <row r="242" spans="1:12" ht="45">
      <c r="A242" s="330" t="s">
        <v>818</v>
      </c>
      <c r="B242" s="330" t="str">
        <f t="shared" si="3"/>
        <v>財務管理3.3</v>
      </c>
      <c r="C242" t="s">
        <v>3105</v>
      </c>
      <c r="D242" s="310" t="s">
        <v>2557</v>
      </c>
      <c r="E242" s="293" t="s">
        <v>2558</v>
      </c>
      <c r="F242" s="319" t="s">
        <v>2608</v>
      </c>
      <c r="G242" s="319" t="s">
        <v>2609</v>
      </c>
      <c r="H242" s="318">
        <v>3.3</v>
      </c>
      <c r="I242" s="193" t="s">
        <v>2615</v>
      </c>
      <c r="J242" s="194" t="s">
        <v>2616</v>
      </c>
      <c r="K242" s="116" t="s">
        <v>1864</v>
      </c>
      <c r="L242" s="117"/>
    </row>
    <row r="243" spans="1:12" ht="15">
      <c r="A243" s="330" t="s">
        <v>818</v>
      </c>
      <c r="B243" s="330" t="str">
        <f t="shared" si="3"/>
        <v>財務管理3.4</v>
      </c>
      <c r="C243" t="s">
        <v>3106</v>
      </c>
      <c r="D243" s="310" t="s">
        <v>2557</v>
      </c>
      <c r="E243" s="293" t="s">
        <v>2558</v>
      </c>
      <c r="F243" s="319" t="s">
        <v>2608</v>
      </c>
      <c r="G243" s="319" t="s">
        <v>2609</v>
      </c>
      <c r="H243" s="318">
        <v>3.4</v>
      </c>
      <c r="I243" s="193" t="s">
        <v>2617</v>
      </c>
      <c r="J243" s="194" t="s">
        <v>2618</v>
      </c>
      <c r="K243" s="116" t="s">
        <v>1864</v>
      </c>
      <c r="L243" s="117"/>
    </row>
    <row r="244" spans="1:12" ht="30">
      <c r="A244" s="330" t="s">
        <v>818</v>
      </c>
      <c r="B244" s="330" t="str">
        <f t="shared" si="3"/>
        <v>財務管理3.5</v>
      </c>
      <c r="C244" t="s">
        <v>3107</v>
      </c>
      <c r="D244" s="310" t="s">
        <v>2557</v>
      </c>
      <c r="E244" s="293" t="s">
        <v>2558</v>
      </c>
      <c r="F244" s="319" t="s">
        <v>2608</v>
      </c>
      <c r="G244" s="319" t="s">
        <v>2609</v>
      </c>
      <c r="H244" s="318">
        <v>3.5</v>
      </c>
      <c r="I244" s="193" t="s">
        <v>2619</v>
      </c>
      <c r="J244" s="194" t="s">
        <v>2620</v>
      </c>
      <c r="K244" s="116" t="s">
        <v>1875</v>
      </c>
      <c r="L244" s="117" t="s">
        <v>2621</v>
      </c>
    </row>
    <row r="245" spans="1:12" ht="45">
      <c r="A245" s="330" t="s">
        <v>818</v>
      </c>
      <c r="B245" s="330" t="str">
        <f t="shared" si="3"/>
        <v>財務管理3.6</v>
      </c>
      <c r="C245" t="s">
        <v>3108</v>
      </c>
      <c r="D245" s="310" t="s">
        <v>2557</v>
      </c>
      <c r="E245" s="293" t="s">
        <v>2558</v>
      </c>
      <c r="F245" s="319" t="s">
        <v>2608</v>
      </c>
      <c r="G245" s="319" t="s">
        <v>2609</v>
      </c>
      <c r="H245" s="318">
        <v>3.6</v>
      </c>
      <c r="I245" s="193" t="s">
        <v>2622</v>
      </c>
      <c r="J245" s="194" t="s">
        <v>2623</v>
      </c>
      <c r="K245" s="116" t="s">
        <v>1864</v>
      </c>
      <c r="L245" s="127" t="s">
        <v>2624</v>
      </c>
    </row>
    <row r="246" spans="1:12" ht="30">
      <c r="A246" s="330" t="s">
        <v>818</v>
      </c>
      <c r="B246" s="330" t="str">
        <f t="shared" si="3"/>
        <v>財務管理3.7</v>
      </c>
      <c r="C246" t="s">
        <v>3109</v>
      </c>
      <c r="D246" s="310" t="s">
        <v>2557</v>
      </c>
      <c r="E246" s="293" t="s">
        <v>2558</v>
      </c>
      <c r="F246" s="319" t="s">
        <v>2608</v>
      </c>
      <c r="G246" s="319" t="s">
        <v>2609</v>
      </c>
      <c r="H246" s="318">
        <v>3.7</v>
      </c>
      <c r="I246" s="193" t="s">
        <v>2625</v>
      </c>
      <c r="J246" s="194" t="s">
        <v>2626</v>
      </c>
      <c r="K246" s="116" t="s">
        <v>1864</v>
      </c>
      <c r="L246" s="127" t="s">
        <v>2627</v>
      </c>
    </row>
    <row r="247" spans="1:12" ht="15">
      <c r="A247" s="330" t="s">
        <v>818</v>
      </c>
      <c r="B247" s="330" t="str">
        <f t="shared" si="3"/>
        <v>財務管理3.8</v>
      </c>
      <c r="C247" t="s">
        <v>3110</v>
      </c>
      <c r="D247" s="310" t="s">
        <v>2557</v>
      </c>
      <c r="E247" s="293" t="s">
        <v>2558</v>
      </c>
      <c r="F247" s="319" t="s">
        <v>2608</v>
      </c>
      <c r="G247" s="320" t="s">
        <v>2609</v>
      </c>
      <c r="H247" s="318">
        <v>3.8</v>
      </c>
      <c r="I247" s="193" t="s">
        <v>2628</v>
      </c>
      <c r="J247" s="194" t="s">
        <v>2629</v>
      </c>
      <c r="K247" s="116" t="s">
        <v>1864</v>
      </c>
      <c r="L247" s="127" t="s">
        <v>2630</v>
      </c>
    </row>
    <row r="248" spans="1:12" ht="45">
      <c r="A248" s="330" t="s">
        <v>818</v>
      </c>
      <c r="B248" s="330" t="str">
        <f t="shared" si="3"/>
        <v>財務管理3.9</v>
      </c>
      <c r="C248" t="s">
        <v>3111</v>
      </c>
      <c r="D248" s="310" t="s">
        <v>2557</v>
      </c>
      <c r="E248" s="293" t="s">
        <v>2558</v>
      </c>
      <c r="F248" s="319" t="s">
        <v>2608</v>
      </c>
      <c r="G248" s="317" t="s">
        <v>2631</v>
      </c>
      <c r="H248" s="318">
        <v>3.9</v>
      </c>
      <c r="I248" s="193" t="s">
        <v>2632</v>
      </c>
      <c r="J248" s="194" t="s">
        <v>2633</v>
      </c>
      <c r="K248" s="116" t="s">
        <v>1864</v>
      </c>
      <c r="L248" s="127" t="s">
        <v>2634</v>
      </c>
    </row>
    <row r="249" spans="1:12" ht="75">
      <c r="A249" s="330" t="s">
        <v>818</v>
      </c>
      <c r="B249" s="330" t="str">
        <f t="shared" si="3"/>
        <v>財務管理3.10</v>
      </c>
      <c r="C249" t="s">
        <v>3112</v>
      </c>
      <c r="D249" s="310" t="s">
        <v>2557</v>
      </c>
      <c r="E249" s="293" t="s">
        <v>2558</v>
      </c>
      <c r="F249" s="319" t="s">
        <v>2608</v>
      </c>
      <c r="G249" s="319" t="s">
        <v>2631</v>
      </c>
      <c r="H249" s="321" t="s">
        <v>2635</v>
      </c>
      <c r="I249" s="193" t="s">
        <v>2636</v>
      </c>
      <c r="J249" s="194" t="s">
        <v>2637</v>
      </c>
      <c r="K249" s="116" t="s">
        <v>1864</v>
      </c>
      <c r="L249" s="127" t="s">
        <v>2638</v>
      </c>
    </row>
    <row r="250" spans="1:12" ht="45">
      <c r="A250" s="330" t="s">
        <v>818</v>
      </c>
      <c r="B250" s="330" t="str">
        <f t="shared" si="3"/>
        <v>財務管理3.11</v>
      </c>
      <c r="C250" t="s">
        <v>3113</v>
      </c>
      <c r="D250" s="310" t="s">
        <v>2557</v>
      </c>
      <c r="E250" s="293" t="s">
        <v>2558</v>
      </c>
      <c r="F250" s="319" t="s">
        <v>2608</v>
      </c>
      <c r="G250" s="320" t="s">
        <v>2631</v>
      </c>
      <c r="H250" s="318">
        <v>3.11</v>
      </c>
      <c r="I250" s="193" t="s">
        <v>2639</v>
      </c>
      <c r="J250" s="194" t="s">
        <v>2640</v>
      </c>
      <c r="K250" s="116" t="s">
        <v>1864</v>
      </c>
      <c r="L250" s="127" t="s">
        <v>2634</v>
      </c>
    </row>
    <row r="251" spans="1:12" ht="30">
      <c r="A251" s="330" t="s">
        <v>818</v>
      </c>
      <c r="B251" s="330" t="str">
        <f t="shared" si="3"/>
        <v>財務管理3.12</v>
      </c>
      <c r="C251" t="s">
        <v>3114</v>
      </c>
      <c r="D251" s="310" t="s">
        <v>2557</v>
      </c>
      <c r="E251" s="293" t="s">
        <v>2558</v>
      </c>
      <c r="F251" s="319" t="s">
        <v>2608</v>
      </c>
      <c r="G251" s="317" t="s">
        <v>2641</v>
      </c>
      <c r="H251" s="318">
        <v>3.12</v>
      </c>
      <c r="I251" s="193" t="s">
        <v>2642</v>
      </c>
      <c r="J251" s="194" t="s">
        <v>2643</v>
      </c>
      <c r="K251" s="116" t="s">
        <v>1864</v>
      </c>
      <c r="L251" s="127" t="s">
        <v>2634</v>
      </c>
    </row>
    <row r="252" spans="1:12" ht="75">
      <c r="A252" s="330" t="s">
        <v>818</v>
      </c>
      <c r="B252" s="330" t="str">
        <f t="shared" si="3"/>
        <v>財務管理3.13</v>
      </c>
      <c r="C252" t="s">
        <v>3115</v>
      </c>
      <c r="D252" s="310" t="s">
        <v>2557</v>
      </c>
      <c r="E252" s="322" t="s">
        <v>2558</v>
      </c>
      <c r="F252" s="320" t="s">
        <v>2608</v>
      </c>
      <c r="G252" s="320" t="s">
        <v>2641</v>
      </c>
      <c r="H252" s="318">
        <v>3.13</v>
      </c>
      <c r="I252" s="193" t="s">
        <v>2644</v>
      </c>
      <c r="J252" s="194" t="s">
        <v>2645</v>
      </c>
      <c r="K252" s="116" t="s">
        <v>1864</v>
      </c>
      <c r="L252" s="127" t="s">
        <v>2646</v>
      </c>
    </row>
    <row r="253" spans="1:12" ht="45">
      <c r="A253" s="330" t="s">
        <v>818</v>
      </c>
      <c r="B253" s="330" t="str">
        <f t="shared" si="3"/>
        <v>財務管理4.1</v>
      </c>
      <c r="C253" t="s">
        <v>3116</v>
      </c>
      <c r="D253" s="310" t="s">
        <v>2557</v>
      </c>
      <c r="E253" s="316" t="s">
        <v>2647</v>
      </c>
      <c r="F253" s="317" t="s">
        <v>2648</v>
      </c>
      <c r="G253" s="317" t="s">
        <v>2649</v>
      </c>
      <c r="H253" s="318">
        <v>4.0999999999999996</v>
      </c>
      <c r="I253" s="193" t="s">
        <v>2650</v>
      </c>
      <c r="J253" s="194" t="s">
        <v>2651</v>
      </c>
      <c r="K253" s="116" t="s">
        <v>2339</v>
      </c>
      <c r="L253" s="117" t="s">
        <v>2652</v>
      </c>
    </row>
    <row r="254" spans="1:12" ht="30">
      <c r="A254" s="330" t="s">
        <v>818</v>
      </c>
      <c r="B254" s="330" t="str">
        <f t="shared" si="3"/>
        <v>財務管理4.2</v>
      </c>
      <c r="C254" t="s">
        <v>3117</v>
      </c>
      <c r="D254" s="310" t="s">
        <v>2557</v>
      </c>
      <c r="E254" s="293" t="s">
        <v>2647</v>
      </c>
      <c r="F254" s="319" t="s">
        <v>2648</v>
      </c>
      <c r="G254" s="319" t="s">
        <v>2649</v>
      </c>
      <c r="H254" s="318">
        <v>4.2</v>
      </c>
      <c r="I254" s="193" t="s">
        <v>2653</v>
      </c>
      <c r="J254" s="194" t="s">
        <v>2654</v>
      </c>
      <c r="K254" s="116" t="s">
        <v>1864</v>
      </c>
      <c r="L254" s="159" t="s">
        <v>2655</v>
      </c>
    </row>
    <row r="255" spans="1:12" ht="30">
      <c r="A255" s="330" t="s">
        <v>818</v>
      </c>
      <c r="B255" s="330" t="str">
        <f t="shared" si="3"/>
        <v>財務管理4.3</v>
      </c>
      <c r="C255" t="s">
        <v>3118</v>
      </c>
      <c r="D255" s="310" t="s">
        <v>2557</v>
      </c>
      <c r="E255" s="293" t="s">
        <v>2647</v>
      </c>
      <c r="F255" s="319" t="s">
        <v>2648</v>
      </c>
      <c r="G255" s="320" t="s">
        <v>2649</v>
      </c>
      <c r="H255" s="318">
        <v>4.3</v>
      </c>
      <c r="I255" s="193" t="s">
        <v>2656</v>
      </c>
      <c r="J255" s="194" t="s">
        <v>2657</v>
      </c>
      <c r="K255" s="116" t="s">
        <v>1864</v>
      </c>
      <c r="L255" s="159" t="s">
        <v>2658</v>
      </c>
    </row>
    <row r="256" spans="1:12" ht="30">
      <c r="A256" s="330" t="s">
        <v>818</v>
      </c>
      <c r="B256" s="330" t="str">
        <f t="shared" si="3"/>
        <v>財務管理4.4</v>
      </c>
      <c r="C256" t="s">
        <v>3119</v>
      </c>
      <c r="D256" s="310" t="s">
        <v>2557</v>
      </c>
      <c r="E256" s="293" t="s">
        <v>2647</v>
      </c>
      <c r="F256" s="319" t="s">
        <v>2648</v>
      </c>
      <c r="G256" s="317" t="s">
        <v>2659</v>
      </c>
      <c r="H256" s="318">
        <v>4.4000000000000004</v>
      </c>
      <c r="I256" s="193" t="s">
        <v>2660</v>
      </c>
      <c r="J256" s="194" t="s">
        <v>2661</v>
      </c>
      <c r="K256" s="116" t="s">
        <v>1875</v>
      </c>
      <c r="L256" s="117" t="s">
        <v>2662</v>
      </c>
    </row>
    <row r="257" spans="1:12" ht="30">
      <c r="A257" s="330" t="s">
        <v>818</v>
      </c>
      <c r="B257" s="330" t="str">
        <f t="shared" si="3"/>
        <v>財務管理4.5</v>
      </c>
      <c r="C257" t="s">
        <v>3120</v>
      </c>
      <c r="D257" s="310" t="s">
        <v>2557</v>
      </c>
      <c r="E257" s="293" t="s">
        <v>2647</v>
      </c>
      <c r="F257" s="319" t="s">
        <v>2648</v>
      </c>
      <c r="G257" s="317" t="s">
        <v>2663</v>
      </c>
      <c r="H257" s="318">
        <v>4.5</v>
      </c>
      <c r="I257" s="193" t="s">
        <v>2664</v>
      </c>
      <c r="J257" s="194" t="s">
        <v>2665</v>
      </c>
      <c r="K257" s="116" t="s">
        <v>1875</v>
      </c>
      <c r="L257" s="117" t="s">
        <v>2666</v>
      </c>
    </row>
    <row r="258" spans="1:12" ht="60">
      <c r="A258" s="330" t="s">
        <v>818</v>
      </c>
      <c r="B258" s="330" t="str">
        <f t="shared" si="3"/>
        <v>財務管理4.6</v>
      </c>
      <c r="C258" t="s">
        <v>3121</v>
      </c>
      <c r="D258" s="310" t="s">
        <v>2557</v>
      </c>
      <c r="E258" s="293" t="s">
        <v>2647</v>
      </c>
      <c r="F258" s="319" t="s">
        <v>2648</v>
      </c>
      <c r="G258" s="317" t="s">
        <v>2667</v>
      </c>
      <c r="H258" s="318">
        <v>4.5999999999999996</v>
      </c>
      <c r="I258" s="193" t="s">
        <v>2668</v>
      </c>
      <c r="J258" s="194" t="s">
        <v>2669</v>
      </c>
      <c r="K258" s="116" t="s">
        <v>1875</v>
      </c>
      <c r="L258" s="117" t="s">
        <v>2670</v>
      </c>
    </row>
    <row r="259" spans="1:12" ht="45">
      <c r="A259" s="330" t="s">
        <v>818</v>
      </c>
      <c r="B259" s="330" t="str">
        <f t="shared" si="3"/>
        <v>財務管理4.7</v>
      </c>
      <c r="C259" t="s">
        <v>3122</v>
      </c>
      <c r="D259" s="310" t="s">
        <v>2557</v>
      </c>
      <c r="E259" s="293" t="s">
        <v>2647</v>
      </c>
      <c r="F259" s="319" t="s">
        <v>2648</v>
      </c>
      <c r="G259" s="317" t="s">
        <v>2671</v>
      </c>
      <c r="H259" s="318">
        <v>4.7</v>
      </c>
      <c r="I259" s="193" t="s">
        <v>2672</v>
      </c>
      <c r="J259" s="194" t="s">
        <v>2673</v>
      </c>
      <c r="K259" s="116" t="s">
        <v>1875</v>
      </c>
      <c r="L259" s="117" t="s">
        <v>2674</v>
      </c>
    </row>
    <row r="260" spans="1:12" ht="15">
      <c r="A260" s="330" t="s">
        <v>818</v>
      </c>
      <c r="B260" s="330" t="str">
        <f t="shared" ref="B260:B315" si="4">A260&amp;H260</f>
        <v>財務管理4.8</v>
      </c>
      <c r="C260" t="s">
        <v>3123</v>
      </c>
      <c r="D260" s="310" t="s">
        <v>2557</v>
      </c>
      <c r="E260" s="293" t="s">
        <v>2647</v>
      </c>
      <c r="F260" s="319" t="s">
        <v>2648</v>
      </c>
      <c r="G260" s="317" t="s">
        <v>2675</v>
      </c>
      <c r="H260" s="318">
        <v>4.8</v>
      </c>
      <c r="I260" s="193" t="s">
        <v>2676</v>
      </c>
      <c r="J260" s="194" t="s">
        <v>2677</v>
      </c>
      <c r="K260" s="116" t="s">
        <v>1864</v>
      </c>
      <c r="L260" s="127" t="s">
        <v>2678</v>
      </c>
    </row>
    <row r="261" spans="1:12" ht="30">
      <c r="A261" s="330" t="s">
        <v>818</v>
      </c>
      <c r="B261" s="330" t="str">
        <f t="shared" si="4"/>
        <v>財務管理4.9</v>
      </c>
      <c r="C261" t="s">
        <v>3124</v>
      </c>
      <c r="D261" s="310" t="s">
        <v>2557</v>
      </c>
      <c r="E261" s="293" t="s">
        <v>2647</v>
      </c>
      <c r="F261" s="319" t="s">
        <v>2648</v>
      </c>
      <c r="G261" s="319" t="s">
        <v>2675</v>
      </c>
      <c r="H261" s="318">
        <v>4.9000000000000004</v>
      </c>
      <c r="I261" s="193" t="s">
        <v>2679</v>
      </c>
      <c r="J261" s="194" t="s">
        <v>2680</v>
      </c>
      <c r="K261" s="116" t="s">
        <v>1864</v>
      </c>
      <c r="L261" s="127" t="s">
        <v>2678</v>
      </c>
    </row>
    <row r="262" spans="1:12" ht="30">
      <c r="A262" s="330" t="s">
        <v>818</v>
      </c>
      <c r="B262" s="330" t="str">
        <f t="shared" si="4"/>
        <v>財務管理4.10</v>
      </c>
      <c r="C262" t="s">
        <v>3125</v>
      </c>
      <c r="D262" s="310" t="s">
        <v>2557</v>
      </c>
      <c r="E262" s="293" t="s">
        <v>2647</v>
      </c>
      <c r="F262" s="319" t="s">
        <v>2648</v>
      </c>
      <c r="G262" s="319" t="s">
        <v>2675</v>
      </c>
      <c r="H262" s="321" t="s">
        <v>2681</v>
      </c>
      <c r="I262" s="193" t="s">
        <v>2682</v>
      </c>
      <c r="J262" s="194" t="s">
        <v>2683</v>
      </c>
      <c r="K262" s="116" t="s">
        <v>1864</v>
      </c>
      <c r="L262" s="278" t="s">
        <v>1916</v>
      </c>
    </row>
    <row r="263" spans="1:12" ht="90">
      <c r="A263" s="330" t="s">
        <v>818</v>
      </c>
      <c r="B263" s="330" t="str">
        <f t="shared" si="4"/>
        <v>財務管理4.11</v>
      </c>
      <c r="C263" t="s">
        <v>3126</v>
      </c>
      <c r="D263" s="310" t="s">
        <v>2557</v>
      </c>
      <c r="E263" s="293" t="s">
        <v>2647</v>
      </c>
      <c r="F263" s="319" t="s">
        <v>2648</v>
      </c>
      <c r="G263" s="320" t="s">
        <v>2675</v>
      </c>
      <c r="H263" s="318">
        <v>4.1100000000000003</v>
      </c>
      <c r="I263" s="193" t="s">
        <v>2684</v>
      </c>
      <c r="J263" s="194" t="s">
        <v>2685</v>
      </c>
      <c r="K263" s="116" t="s">
        <v>1875</v>
      </c>
      <c r="L263" s="117" t="s">
        <v>2686</v>
      </c>
    </row>
    <row r="264" spans="1:12" ht="90">
      <c r="A264" s="330" t="s">
        <v>818</v>
      </c>
      <c r="B264" s="330" t="str">
        <f t="shared" si="4"/>
        <v>財務管理4.12</v>
      </c>
      <c r="C264" t="s">
        <v>3127</v>
      </c>
      <c r="D264" s="310" t="s">
        <v>2557</v>
      </c>
      <c r="E264" s="293" t="s">
        <v>2647</v>
      </c>
      <c r="F264" s="319" t="s">
        <v>2648</v>
      </c>
      <c r="G264" s="317" t="s">
        <v>2687</v>
      </c>
      <c r="H264" s="318">
        <v>4.12</v>
      </c>
      <c r="I264" s="193" t="s">
        <v>2688</v>
      </c>
      <c r="J264" s="194" t="s">
        <v>2689</v>
      </c>
      <c r="K264" s="116" t="s">
        <v>1875</v>
      </c>
      <c r="L264" s="117" t="s">
        <v>2690</v>
      </c>
    </row>
    <row r="265" spans="1:12" ht="30">
      <c r="A265" s="330" t="s">
        <v>818</v>
      </c>
      <c r="B265" s="330" t="str">
        <f t="shared" si="4"/>
        <v>財務管理4.13</v>
      </c>
      <c r="C265" t="s">
        <v>3128</v>
      </c>
      <c r="D265" s="310" t="s">
        <v>2557</v>
      </c>
      <c r="E265" s="293" t="s">
        <v>2647</v>
      </c>
      <c r="F265" s="320" t="s">
        <v>2648</v>
      </c>
      <c r="G265" s="320" t="s">
        <v>2687</v>
      </c>
      <c r="H265" s="318">
        <v>4.13</v>
      </c>
      <c r="I265" s="193" t="s">
        <v>2691</v>
      </c>
      <c r="J265" s="194" t="s">
        <v>2692</v>
      </c>
      <c r="K265" s="116" t="s">
        <v>1864</v>
      </c>
      <c r="L265" s="127" t="s">
        <v>2383</v>
      </c>
    </row>
    <row r="266" spans="1:12" ht="45">
      <c r="A266" s="330" t="s">
        <v>818</v>
      </c>
      <c r="B266" s="330" t="str">
        <f t="shared" si="4"/>
        <v>財務管理5.1</v>
      </c>
      <c r="C266" t="s">
        <v>3129</v>
      </c>
      <c r="D266" s="310" t="s">
        <v>2557</v>
      </c>
      <c r="E266" s="293" t="s">
        <v>2647</v>
      </c>
      <c r="F266" s="317" t="s">
        <v>2693</v>
      </c>
      <c r="G266" s="317" t="s">
        <v>2649</v>
      </c>
      <c r="H266" s="318">
        <v>5.0999999999999996</v>
      </c>
      <c r="I266" s="193" t="s">
        <v>2694</v>
      </c>
      <c r="J266" s="194" t="s">
        <v>2695</v>
      </c>
      <c r="K266" s="116" t="s">
        <v>1875</v>
      </c>
      <c r="L266" s="117" t="s">
        <v>2696</v>
      </c>
    </row>
    <row r="267" spans="1:12" ht="30">
      <c r="A267" s="330" t="s">
        <v>818</v>
      </c>
      <c r="B267" s="330" t="str">
        <f t="shared" si="4"/>
        <v>財務管理5.2</v>
      </c>
      <c r="C267" t="s">
        <v>3130</v>
      </c>
      <c r="D267" s="310" t="s">
        <v>2557</v>
      </c>
      <c r="E267" s="293" t="s">
        <v>2647</v>
      </c>
      <c r="F267" s="319" t="s">
        <v>2693</v>
      </c>
      <c r="G267" s="320" t="s">
        <v>2649</v>
      </c>
      <c r="H267" s="318">
        <v>5.2</v>
      </c>
      <c r="I267" s="193" t="s">
        <v>2697</v>
      </c>
      <c r="J267" s="194" t="s">
        <v>2698</v>
      </c>
      <c r="K267" s="116" t="s">
        <v>1864</v>
      </c>
      <c r="L267" s="159" t="s">
        <v>2655</v>
      </c>
    </row>
    <row r="268" spans="1:12" ht="15">
      <c r="A268" s="330" t="s">
        <v>818</v>
      </c>
      <c r="B268" s="330" t="str">
        <f t="shared" si="4"/>
        <v>財務管理5.3</v>
      </c>
      <c r="C268" t="s">
        <v>3131</v>
      </c>
      <c r="D268" s="310" t="s">
        <v>2557</v>
      </c>
      <c r="E268" s="293" t="s">
        <v>2647</v>
      </c>
      <c r="F268" s="319" t="s">
        <v>2693</v>
      </c>
      <c r="G268" s="317" t="s">
        <v>2699</v>
      </c>
      <c r="H268" s="318">
        <v>5.3</v>
      </c>
      <c r="I268" s="193" t="s">
        <v>2700</v>
      </c>
      <c r="J268" s="194" t="s">
        <v>2701</v>
      </c>
      <c r="K268" s="116" t="s">
        <v>1864</v>
      </c>
      <c r="L268" s="127" t="s">
        <v>2702</v>
      </c>
    </row>
    <row r="269" spans="1:12" ht="45">
      <c r="A269" s="330" t="s">
        <v>818</v>
      </c>
      <c r="B269" s="330" t="str">
        <f t="shared" si="4"/>
        <v>財務管理5.4</v>
      </c>
      <c r="C269" t="s">
        <v>3132</v>
      </c>
      <c r="D269" s="310" t="s">
        <v>2557</v>
      </c>
      <c r="E269" s="293" t="s">
        <v>2647</v>
      </c>
      <c r="F269" s="319" t="s">
        <v>2693</v>
      </c>
      <c r="G269" s="317" t="s">
        <v>2671</v>
      </c>
      <c r="H269" s="318">
        <v>5.4</v>
      </c>
      <c r="I269" s="193" t="s">
        <v>2703</v>
      </c>
      <c r="J269" s="194" t="s">
        <v>2704</v>
      </c>
      <c r="K269" s="116" t="s">
        <v>1875</v>
      </c>
      <c r="L269" s="117" t="s">
        <v>2705</v>
      </c>
    </row>
    <row r="270" spans="1:12" ht="15">
      <c r="A270" s="330" t="s">
        <v>818</v>
      </c>
      <c r="B270" s="330" t="str">
        <f t="shared" si="4"/>
        <v>財務管理5.5</v>
      </c>
      <c r="C270" t="s">
        <v>3133</v>
      </c>
      <c r="D270" s="310" t="s">
        <v>2557</v>
      </c>
      <c r="E270" s="293" t="s">
        <v>2647</v>
      </c>
      <c r="F270" s="319" t="s">
        <v>2693</v>
      </c>
      <c r="G270" s="317" t="s">
        <v>2675</v>
      </c>
      <c r="H270" s="318">
        <v>5.5</v>
      </c>
      <c r="I270" s="193" t="s">
        <v>2706</v>
      </c>
      <c r="J270" s="194" t="s">
        <v>2707</v>
      </c>
      <c r="K270" s="116" t="s">
        <v>1875</v>
      </c>
      <c r="L270" s="117" t="s">
        <v>2708</v>
      </c>
    </row>
    <row r="271" spans="1:12" ht="30">
      <c r="A271" s="330" t="s">
        <v>818</v>
      </c>
      <c r="B271" s="330" t="str">
        <f t="shared" si="4"/>
        <v>財務管理5.6</v>
      </c>
      <c r="C271" t="s">
        <v>3134</v>
      </c>
      <c r="D271" s="310" t="s">
        <v>2557</v>
      </c>
      <c r="E271" s="293" t="s">
        <v>2647</v>
      </c>
      <c r="F271" s="319" t="s">
        <v>2693</v>
      </c>
      <c r="G271" s="319" t="s">
        <v>2675</v>
      </c>
      <c r="H271" s="318">
        <v>5.6</v>
      </c>
      <c r="I271" s="193" t="s">
        <v>2709</v>
      </c>
      <c r="J271" s="194" t="s">
        <v>2710</v>
      </c>
      <c r="K271" s="116" t="s">
        <v>1864</v>
      </c>
      <c r="L271" s="278" t="s">
        <v>2630</v>
      </c>
    </row>
    <row r="272" spans="1:12" ht="30">
      <c r="A272" s="330" t="s">
        <v>818</v>
      </c>
      <c r="B272" s="330" t="str">
        <f t="shared" si="4"/>
        <v>財務管理5.7</v>
      </c>
      <c r="C272" t="s">
        <v>3135</v>
      </c>
      <c r="D272" s="310" t="s">
        <v>2557</v>
      </c>
      <c r="E272" s="293" t="s">
        <v>2647</v>
      </c>
      <c r="F272" s="319" t="s">
        <v>2693</v>
      </c>
      <c r="G272" s="319" t="s">
        <v>2675</v>
      </c>
      <c r="H272" s="318">
        <v>5.7</v>
      </c>
      <c r="I272" s="193" t="s">
        <v>2711</v>
      </c>
      <c r="J272" s="194" t="s">
        <v>2712</v>
      </c>
      <c r="K272" s="116" t="s">
        <v>1875</v>
      </c>
      <c r="L272" s="117" t="s">
        <v>2713</v>
      </c>
    </row>
    <row r="273" spans="1:12" ht="30">
      <c r="A273" s="330" t="s">
        <v>818</v>
      </c>
      <c r="B273" s="330" t="str">
        <f t="shared" si="4"/>
        <v>財務管理5.8</v>
      </c>
      <c r="C273" t="s">
        <v>3136</v>
      </c>
      <c r="D273" s="310" t="s">
        <v>2557</v>
      </c>
      <c r="E273" s="293" t="s">
        <v>2647</v>
      </c>
      <c r="F273" s="320" t="s">
        <v>2693</v>
      </c>
      <c r="G273" s="320" t="s">
        <v>2675</v>
      </c>
      <c r="H273" s="318">
        <v>5.8</v>
      </c>
      <c r="I273" s="193" t="s">
        <v>2714</v>
      </c>
      <c r="J273" s="194" t="s">
        <v>2715</v>
      </c>
      <c r="K273" s="116" t="s">
        <v>1875</v>
      </c>
      <c r="L273" s="117" t="s">
        <v>2716</v>
      </c>
    </row>
    <row r="274" spans="1:12" ht="15">
      <c r="A274" s="330" t="s">
        <v>818</v>
      </c>
      <c r="B274" s="330" t="str">
        <f t="shared" si="4"/>
        <v>財務管理6.1</v>
      </c>
      <c r="C274" t="s">
        <v>3137</v>
      </c>
      <c r="D274" s="310" t="s">
        <v>2557</v>
      </c>
      <c r="E274" s="322" t="s">
        <v>2647</v>
      </c>
      <c r="F274" s="317" t="s">
        <v>2717</v>
      </c>
      <c r="G274" s="317" t="s">
        <v>2718</v>
      </c>
      <c r="H274" s="318">
        <v>6.1</v>
      </c>
      <c r="I274" s="193" t="s">
        <v>2719</v>
      </c>
      <c r="J274" s="194" t="s">
        <v>2720</v>
      </c>
      <c r="K274" s="116" t="s">
        <v>1864</v>
      </c>
      <c r="L274" s="117"/>
    </row>
    <row r="275" spans="1:12" ht="30">
      <c r="A275" s="330" t="s">
        <v>818</v>
      </c>
      <c r="B275" s="330" t="str">
        <f t="shared" si="4"/>
        <v>財務管理7.1</v>
      </c>
      <c r="C275" t="s">
        <v>3138</v>
      </c>
      <c r="D275" s="310" t="s">
        <v>2557</v>
      </c>
      <c r="E275" s="316" t="s">
        <v>2721</v>
      </c>
      <c r="F275" s="317" t="s">
        <v>2722</v>
      </c>
      <c r="G275" s="317" t="s">
        <v>2722</v>
      </c>
      <c r="H275" s="318">
        <v>7.1</v>
      </c>
      <c r="I275" s="193" t="s">
        <v>2723</v>
      </c>
      <c r="J275" s="194" t="s">
        <v>2724</v>
      </c>
      <c r="K275" s="116" t="s">
        <v>1875</v>
      </c>
      <c r="L275" s="117" t="s">
        <v>2725</v>
      </c>
    </row>
    <row r="276" spans="1:12" ht="45">
      <c r="A276" s="330" t="s">
        <v>818</v>
      </c>
      <c r="B276" s="330" t="str">
        <f t="shared" si="4"/>
        <v>財務管理8.1</v>
      </c>
      <c r="C276" t="s">
        <v>3139</v>
      </c>
      <c r="D276" s="310" t="s">
        <v>2557</v>
      </c>
      <c r="E276" s="293" t="s">
        <v>2721</v>
      </c>
      <c r="F276" s="323" t="s">
        <v>2726</v>
      </c>
      <c r="G276" s="317" t="s">
        <v>2649</v>
      </c>
      <c r="H276" s="318">
        <v>8.1</v>
      </c>
      <c r="I276" s="193" t="s">
        <v>2727</v>
      </c>
      <c r="J276" s="194" t="s">
        <v>2728</v>
      </c>
      <c r="K276" s="116" t="s">
        <v>1875</v>
      </c>
      <c r="L276" s="117" t="s">
        <v>2652</v>
      </c>
    </row>
    <row r="277" spans="1:12" ht="30">
      <c r="A277" s="330" t="s">
        <v>818</v>
      </c>
      <c r="B277" s="330" t="str">
        <f t="shared" si="4"/>
        <v>財務管理8.2</v>
      </c>
      <c r="C277" t="s">
        <v>3140</v>
      </c>
      <c r="D277" s="310" t="s">
        <v>2557</v>
      </c>
      <c r="E277" s="293" t="s">
        <v>2721</v>
      </c>
      <c r="F277" s="319" t="s">
        <v>2726</v>
      </c>
      <c r="G277" s="320" t="s">
        <v>2649</v>
      </c>
      <c r="H277" s="318">
        <v>8.1999999999999993</v>
      </c>
      <c r="I277" s="193" t="s">
        <v>2729</v>
      </c>
      <c r="J277" s="194" t="s">
        <v>2730</v>
      </c>
      <c r="K277" s="116" t="s">
        <v>1864</v>
      </c>
      <c r="L277" s="324" t="s">
        <v>2655</v>
      </c>
    </row>
    <row r="278" spans="1:12" ht="30">
      <c r="A278" s="330" t="s">
        <v>818</v>
      </c>
      <c r="B278" s="330" t="str">
        <f t="shared" si="4"/>
        <v>財務管理8.3</v>
      </c>
      <c r="C278" t="s">
        <v>3141</v>
      </c>
      <c r="D278" s="310" t="s">
        <v>2557</v>
      </c>
      <c r="E278" s="293" t="s">
        <v>2721</v>
      </c>
      <c r="F278" s="319" t="s">
        <v>2726</v>
      </c>
      <c r="G278" s="317" t="s">
        <v>2659</v>
      </c>
      <c r="H278" s="318">
        <v>8.3000000000000007</v>
      </c>
      <c r="I278" s="193" t="s">
        <v>2731</v>
      </c>
      <c r="J278" s="194" t="s">
        <v>2732</v>
      </c>
      <c r="K278" s="116" t="s">
        <v>1875</v>
      </c>
      <c r="L278" s="117" t="s">
        <v>2733</v>
      </c>
    </row>
    <row r="279" spans="1:12" ht="30">
      <c r="A279" s="330" t="s">
        <v>818</v>
      </c>
      <c r="B279" s="330" t="str">
        <f t="shared" si="4"/>
        <v>財務管理8.4</v>
      </c>
      <c r="C279" t="s">
        <v>3142</v>
      </c>
      <c r="D279" s="310" t="s">
        <v>2557</v>
      </c>
      <c r="E279" s="293" t="s">
        <v>2721</v>
      </c>
      <c r="F279" s="319" t="s">
        <v>2726</v>
      </c>
      <c r="G279" s="317" t="s">
        <v>2663</v>
      </c>
      <c r="H279" s="318">
        <v>8.4</v>
      </c>
      <c r="I279" s="193" t="s">
        <v>2734</v>
      </c>
      <c r="J279" s="194" t="s">
        <v>2735</v>
      </c>
      <c r="K279" s="116" t="s">
        <v>1875</v>
      </c>
      <c r="L279" s="117" t="s">
        <v>2736</v>
      </c>
    </row>
    <row r="280" spans="1:12" ht="15">
      <c r="A280" s="330" t="s">
        <v>818</v>
      </c>
      <c r="B280" s="330" t="str">
        <f t="shared" si="4"/>
        <v>財務管理8.5</v>
      </c>
      <c r="C280" t="s">
        <v>3143</v>
      </c>
      <c r="D280" s="310" t="s">
        <v>2557</v>
      </c>
      <c r="E280" s="293" t="s">
        <v>2721</v>
      </c>
      <c r="F280" s="319" t="s">
        <v>2726</v>
      </c>
      <c r="G280" s="317" t="s">
        <v>2737</v>
      </c>
      <c r="H280" s="318">
        <v>8.5</v>
      </c>
      <c r="I280" s="193" t="s">
        <v>2738</v>
      </c>
      <c r="J280" s="194" t="s">
        <v>2739</v>
      </c>
      <c r="K280" s="116" t="s">
        <v>1875</v>
      </c>
      <c r="L280" s="117" t="s">
        <v>2740</v>
      </c>
    </row>
    <row r="281" spans="1:12" ht="45">
      <c r="A281" s="330" t="s">
        <v>818</v>
      </c>
      <c r="B281" s="330" t="str">
        <f t="shared" si="4"/>
        <v>財務管理8.6</v>
      </c>
      <c r="C281" t="s">
        <v>3144</v>
      </c>
      <c r="D281" s="310" t="s">
        <v>2557</v>
      </c>
      <c r="E281" s="293" t="s">
        <v>2721</v>
      </c>
      <c r="F281" s="319" t="s">
        <v>2726</v>
      </c>
      <c r="G281" s="317" t="s">
        <v>2671</v>
      </c>
      <c r="H281" s="318">
        <v>8.6</v>
      </c>
      <c r="I281" s="193" t="s">
        <v>2741</v>
      </c>
      <c r="J281" s="194" t="s">
        <v>2742</v>
      </c>
      <c r="K281" s="116" t="s">
        <v>1875</v>
      </c>
      <c r="L281" s="117" t="s">
        <v>2674</v>
      </c>
    </row>
    <row r="282" spans="1:12" ht="15">
      <c r="A282" s="330" t="s">
        <v>818</v>
      </c>
      <c r="B282" s="330" t="str">
        <f t="shared" si="4"/>
        <v>財務管理8.7</v>
      </c>
      <c r="C282" t="s">
        <v>3145</v>
      </c>
      <c r="D282" s="310" t="s">
        <v>2557</v>
      </c>
      <c r="E282" s="293" t="s">
        <v>2721</v>
      </c>
      <c r="F282" s="319" t="s">
        <v>2726</v>
      </c>
      <c r="G282" s="317" t="s">
        <v>2675</v>
      </c>
      <c r="H282" s="318">
        <v>8.6999999999999993</v>
      </c>
      <c r="I282" s="193" t="s">
        <v>2743</v>
      </c>
      <c r="J282" s="194" t="s">
        <v>2744</v>
      </c>
      <c r="K282" s="116" t="s">
        <v>1864</v>
      </c>
      <c r="L282" s="127" t="s">
        <v>2678</v>
      </c>
    </row>
    <row r="283" spans="1:12" ht="30">
      <c r="A283" s="330" t="s">
        <v>818</v>
      </c>
      <c r="B283" s="330" t="str">
        <f t="shared" si="4"/>
        <v>財務管理8.8</v>
      </c>
      <c r="C283" t="s">
        <v>3146</v>
      </c>
      <c r="D283" s="310" t="s">
        <v>2557</v>
      </c>
      <c r="E283" s="293" t="s">
        <v>2721</v>
      </c>
      <c r="F283" s="319" t="s">
        <v>2726</v>
      </c>
      <c r="G283" s="319" t="s">
        <v>2675</v>
      </c>
      <c r="H283" s="318">
        <v>8.8000000000000007</v>
      </c>
      <c r="I283" s="193" t="s">
        <v>2745</v>
      </c>
      <c r="J283" s="194" t="s">
        <v>2746</v>
      </c>
      <c r="K283" s="116" t="s">
        <v>1864</v>
      </c>
      <c r="L283" s="127" t="s">
        <v>2678</v>
      </c>
    </row>
    <row r="284" spans="1:12" ht="30">
      <c r="A284" s="330" t="s">
        <v>818</v>
      </c>
      <c r="B284" s="330" t="str">
        <f t="shared" si="4"/>
        <v>財務管理8.9</v>
      </c>
      <c r="C284" t="s">
        <v>3147</v>
      </c>
      <c r="D284" s="310" t="s">
        <v>2557</v>
      </c>
      <c r="E284" s="322" t="s">
        <v>2721</v>
      </c>
      <c r="F284" s="320" t="s">
        <v>2726</v>
      </c>
      <c r="G284" s="320" t="s">
        <v>2675</v>
      </c>
      <c r="H284" s="318">
        <v>8.9</v>
      </c>
      <c r="I284" s="193" t="s">
        <v>2747</v>
      </c>
      <c r="J284" s="194" t="s">
        <v>2748</v>
      </c>
      <c r="K284" s="116" t="s">
        <v>1864</v>
      </c>
      <c r="L284" s="278" t="s">
        <v>1916</v>
      </c>
    </row>
    <row r="285" spans="1:12" ht="30">
      <c r="A285" s="330" t="s">
        <v>818</v>
      </c>
      <c r="B285" s="330" t="str">
        <f t="shared" si="4"/>
        <v>財務管理9.1</v>
      </c>
      <c r="C285" t="s">
        <v>3148</v>
      </c>
      <c r="D285" s="310" t="s">
        <v>2557</v>
      </c>
      <c r="E285" s="316" t="s">
        <v>2749</v>
      </c>
      <c r="F285" s="317" t="s">
        <v>2750</v>
      </c>
      <c r="G285" s="317" t="s">
        <v>2751</v>
      </c>
      <c r="H285" s="318">
        <v>9.1</v>
      </c>
      <c r="I285" s="193" t="s">
        <v>2752</v>
      </c>
      <c r="J285" s="194" t="s">
        <v>2753</v>
      </c>
      <c r="K285" s="116" t="s">
        <v>1864</v>
      </c>
      <c r="L285" s="159" t="s">
        <v>2754</v>
      </c>
    </row>
    <row r="286" spans="1:12" ht="30">
      <c r="A286" s="330" t="s">
        <v>818</v>
      </c>
      <c r="B286" s="330" t="str">
        <f t="shared" si="4"/>
        <v>財務管理10.1</v>
      </c>
      <c r="C286" t="s">
        <v>3149</v>
      </c>
      <c r="D286" s="310" t="s">
        <v>2557</v>
      </c>
      <c r="E286" s="316" t="s">
        <v>2755</v>
      </c>
      <c r="F286" s="317" t="s">
        <v>2756</v>
      </c>
      <c r="G286" s="317" t="s">
        <v>2756</v>
      </c>
      <c r="H286" s="318">
        <v>10.1</v>
      </c>
      <c r="I286" s="193" t="s">
        <v>2757</v>
      </c>
      <c r="J286" s="194" t="s">
        <v>2758</v>
      </c>
      <c r="K286" s="116" t="s">
        <v>1864</v>
      </c>
      <c r="L286" s="127" t="s">
        <v>2759</v>
      </c>
    </row>
    <row r="287" spans="1:12" ht="30">
      <c r="A287" s="330" t="s">
        <v>818</v>
      </c>
      <c r="B287" s="330" t="str">
        <f t="shared" si="4"/>
        <v>財務管理10.2</v>
      </c>
      <c r="C287" t="s">
        <v>3150</v>
      </c>
      <c r="D287" s="310" t="s">
        <v>2557</v>
      </c>
      <c r="E287" s="293" t="s">
        <v>2755</v>
      </c>
      <c r="F287" s="319" t="s">
        <v>2756</v>
      </c>
      <c r="G287" s="319" t="s">
        <v>2756</v>
      </c>
      <c r="H287" s="318">
        <v>10.199999999999999</v>
      </c>
      <c r="I287" s="193" t="s">
        <v>2760</v>
      </c>
      <c r="J287" s="194" t="s">
        <v>2761</v>
      </c>
      <c r="K287" s="116" t="s">
        <v>1875</v>
      </c>
      <c r="L287" s="117" t="s">
        <v>2762</v>
      </c>
    </row>
    <row r="288" spans="1:12" ht="30">
      <c r="A288" s="330" t="s">
        <v>818</v>
      </c>
      <c r="B288" s="330" t="str">
        <f t="shared" si="4"/>
        <v>財務管理10.3</v>
      </c>
      <c r="C288" t="s">
        <v>3151</v>
      </c>
      <c r="D288" s="310" t="s">
        <v>2557</v>
      </c>
      <c r="E288" s="293" t="s">
        <v>2755</v>
      </c>
      <c r="F288" s="319" t="s">
        <v>2756</v>
      </c>
      <c r="G288" s="319" t="s">
        <v>2756</v>
      </c>
      <c r="H288" s="318">
        <v>10.3</v>
      </c>
      <c r="I288" s="193" t="s">
        <v>2763</v>
      </c>
      <c r="J288" s="194" t="s">
        <v>2764</v>
      </c>
      <c r="K288" s="116" t="s">
        <v>1875</v>
      </c>
      <c r="L288" s="117" t="s">
        <v>2765</v>
      </c>
    </row>
    <row r="289" spans="1:12" ht="30">
      <c r="A289" s="330" t="s">
        <v>818</v>
      </c>
      <c r="B289" s="330" t="str">
        <f t="shared" si="4"/>
        <v>財務管理10.4</v>
      </c>
      <c r="C289" t="s">
        <v>3152</v>
      </c>
      <c r="D289" s="310" t="s">
        <v>2557</v>
      </c>
      <c r="E289" s="293" t="s">
        <v>2755</v>
      </c>
      <c r="F289" s="320" t="s">
        <v>2756</v>
      </c>
      <c r="G289" s="320" t="s">
        <v>2756</v>
      </c>
      <c r="H289" s="318">
        <v>10.4</v>
      </c>
      <c r="I289" s="193" t="s">
        <v>2766</v>
      </c>
      <c r="J289" s="194" t="s">
        <v>2767</v>
      </c>
      <c r="K289" s="116" t="s">
        <v>1875</v>
      </c>
      <c r="L289" s="117" t="s">
        <v>2768</v>
      </c>
    </row>
    <row r="290" spans="1:12" ht="45">
      <c r="A290" s="330" t="s">
        <v>818</v>
      </c>
      <c r="B290" s="330" t="str">
        <f t="shared" si="4"/>
        <v>財務管理11.1</v>
      </c>
      <c r="C290" t="s">
        <v>3153</v>
      </c>
      <c r="D290" s="310" t="s">
        <v>2557</v>
      </c>
      <c r="E290" s="293" t="s">
        <v>2755</v>
      </c>
      <c r="F290" s="317" t="s">
        <v>2769</v>
      </c>
      <c r="G290" s="317" t="s">
        <v>2770</v>
      </c>
      <c r="H290" s="318">
        <v>11.1</v>
      </c>
      <c r="I290" s="193" t="s">
        <v>2771</v>
      </c>
      <c r="J290" s="194" t="s">
        <v>2772</v>
      </c>
      <c r="K290" s="116" t="s">
        <v>2773</v>
      </c>
      <c r="L290" s="117" t="s">
        <v>2774</v>
      </c>
    </row>
    <row r="291" spans="1:12" ht="30">
      <c r="A291" s="330" t="s">
        <v>818</v>
      </c>
      <c r="B291" s="330" t="str">
        <f t="shared" si="4"/>
        <v>財務管理11.2</v>
      </c>
      <c r="C291" t="s">
        <v>3154</v>
      </c>
      <c r="D291" s="310" t="s">
        <v>2557</v>
      </c>
      <c r="E291" s="293" t="s">
        <v>2755</v>
      </c>
      <c r="F291" s="319" t="s">
        <v>2769</v>
      </c>
      <c r="G291" s="317" t="s">
        <v>2775</v>
      </c>
      <c r="H291" s="318">
        <v>11.2</v>
      </c>
      <c r="I291" s="193" t="s">
        <v>2776</v>
      </c>
      <c r="J291" s="194" t="s">
        <v>2777</v>
      </c>
      <c r="K291" s="116" t="s">
        <v>1864</v>
      </c>
      <c r="L291" s="324" t="s">
        <v>2778</v>
      </c>
    </row>
    <row r="292" spans="1:12" ht="30">
      <c r="A292" s="330" t="s">
        <v>818</v>
      </c>
      <c r="B292" s="330" t="str">
        <f t="shared" si="4"/>
        <v>財務管理11.3</v>
      </c>
      <c r="C292" t="s">
        <v>3155</v>
      </c>
      <c r="D292" s="310" t="s">
        <v>2557</v>
      </c>
      <c r="E292" s="293" t="s">
        <v>2755</v>
      </c>
      <c r="F292" s="319" t="s">
        <v>2769</v>
      </c>
      <c r="G292" s="319" t="s">
        <v>2775</v>
      </c>
      <c r="H292" s="318">
        <v>11.3</v>
      </c>
      <c r="I292" s="193" t="s">
        <v>2779</v>
      </c>
      <c r="J292" s="194" t="s">
        <v>2780</v>
      </c>
      <c r="K292" s="116" t="s">
        <v>1864</v>
      </c>
      <c r="L292" s="127" t="s">
        <v>2781</v>
      </c>
    </row>
    <row r="293" spans="1:12" ht="30">
      <c r="A293" s="330" t="s">
        <v>818</v>
      </c>
      <c r="B293" s="330" t="str">
        <f t="shared" si="4"/>
        <v>財務管理11.4</v>
      </c>
      <c r="C293" t="s">
        <v>3156</v>
      </c>
      <c r="D293" s="310" t="s">
        <v>2557</v>
      </c>
      <c r="E293" s="293" t="s">
        <v>2755</v>
      </c>
      <c r="F293" s="319" t="s">
        <v>2769</v>
      </c>
      <c r="G293" s="320" t="s">
        <v>2775</v>
      </c>
      <c r="H293" s="318">
        <v>11.4</v>
      </c>
      <c r="I293" s="193" t="s">
        <v>2782</v>
      </c>
      <c r="J293" s="194" t="s">
        <v>2783</v>
      </c>
      <c r="K293" s="116" t="s">
        <v>1864</v>
      </c>
      <c r="L293" s="127" t="s">
        <v>2784</v>
      </c>
    </row>
    <row r="294" spans="1:12" ht="30">
      <c r="A294" s="330" t="s">
        <v>818</v>
      </c>
      <c r="B294" s="330" t="str">
        <f t="shared" si="4"/>
        <v>財務管理11.5</v>
      </c>
      <c r="C294" t="s">
        <v>3157</v>
      </c>
      <c r="D294" s="310" t="s">
        <v>2557</v>
      </c>
      <c r="E294" s="293" t="s">
        <v>2755</v>
      </c>
      <c r="F294" s="319" t="s">
        <v>2769</v>
      </c>
      <c r="G294" s="317" t="s">
        <v>2785</v>
      </c>
      <c r="H294" s="318">
        <v>11.5</v>
      </c>
      <c r="I294" s="193" t="s">
        <v>2786</v>
      </c>
      <c r="J294" s="194" t="s">
        <v>2787</v>
      </c>
      <c r="K294" s="116" t="s">
        <v>1864</v>
      </c>
      <c r="L294" s="324" t="s">
        <v>2778</v>
      </c>
    </row>
    <row r="295" spans="1:12" ht="30">
      <c r="A295" s="330" t="s">
        <v>818</v>
      </c>
      <c r="B295" s="330" t="str">
        <f t="shared" si="4"/>
        <v>財務管理11.6</v>
      </c>
      <c r="C295" t="s">
        <v>3158</v>
      </c>
      <c r="D295" s="310" t="s">
        <v>2557</v>
      </c>
      <c r="E295" s="293" t="s">
        <v>2755</v>
      </c>
      <c r="F295" s="319" t="s">
        <v>2769</v>
      </c>
      <c r="G295" s="319" t="s">
        <v>2785</v>
      </c>
      <c r="H295" s="318">
        <v>11.6</v>
      </c>
      <c r="I295" s="193" t="s">
        <v>2788</v>
      </c>
      <c r="J295" s="194" t="s">
        <v>2789</v>
      </c>
      <c r="K295" s="116" t="s">
        <v>1864</v>
      </c>
      <c r="L295" s="159" t="s">
        <v>2790</v>
      </c>
    </row>
    <row r="296" spans="1:12" ht="30">
      <c r="A296" s="330" t="s">
        <v>818</v>
      </c>
      <c r="B296" s="330" t="str">
        <f t="shared" si="4"/>
        <v>財務管理11.7</v>
      </c>
      <c r="C296" t="s">
        <v>3159</v>
      </c>
      <c r="D296" s="310" t="s">
        <v>2557</v>
      </c>
      <c r="E296" s="293" t="s">
        <v>2755</v>
      </c>
      <c r="F296" s="319" t="s">
        <v>2769</v>
      </c>
      <c r="G296" s="319" t="s">
        <v>2785</v>
      </c>
      <c r="H296" s="318">
        <v>11.7</v>
      </c>
      <c r="I296" s="193" t="s">
        <v>2791</v>
      </c>
      <c r="J296" s="194" t="s">
        <v>2792</v>
      </c>
      <c r="K296" s="116" t="s">
        <v>1864</v>
      </c>
      <c r="L296" s="159" t="s">
        <v>2790</v>
      </c>
    </row>
    <row r="297" spans="1:12" ht="45">
      <c r="A297" s="330" t="s">
        <v>818</v>
      </c>
      <c r="B297" s="330" t="str">
        <f t="shared" si="4"/>
        <v>財務管理11.8</v>
      </c>
      <c r="C297" t="s">
        <v>3160</v>
      </c>
      <c r="D297" s="310" t="s">
        <v>2557</v>
      </c>
      <c r="E297" s="293" t="s">
        <v>2755</v>
      </c>
      <c r="F297" s="319" t="s">
        <v>2769</v>
      </c>
      <c r="G297" s="319" t="s">
        <v>2785</v>
      </c>
      <c r="H297" s="318">
        <v>11.8</v>
      </c>
      <c r="I297" s="193" t="s">
        <v>2793</v>
      </c>
      <c r="J297" s="194" t="s">
        <v>2794</v>
      </c>
      <c r="K297" s="116" t="s">
        <v>1875</v>
      </c>
      <c r="L297" s="117" t="s">
        <v>2708</v>
      </c>
    </row>
    <row r="298" spans="1:12" ht="30">
      <c r="A298" s="330" t="s">
        <v>818</v>
      </c>
      <c r="B298" s="330" t="str">
        <f t="shared" si="4"/>
        <v>財務管理11.9</v>
      </c>
      <c r="C298" t="s">
        <v>3161</v>
      </c>
      <c r="D298" s="310" t="s">
        <v>2557</v>
      </c>
      <c r="E298" s="293" t="s">
        <v>2755</v>
      </c>
      <c r="F298" s="319" t="s">
        <v>2769</v>
      </c>
      <c r="G298" s="320" t="s">
        <v>2785</v>
      </c>
      <c r="H298" s="318">
        <v>11.9</v>
      </c>
      <c r="I298" s="193" t="s">
        <v>2795</v>
      </c>
      <c r="J298" s="194" t="s">
        <v>2796</v>
      </c>
      <c r="K298" s="116" t="s">
        <v>1864</v>
      </c>
      <c r="L298" s="127" t="s">
        <v>2383</v>
      </c>
    </row>
    <row r="299" spans="1:12" ht="30">
      <c r="A299" s="330" t="s">
        <v>818</v>
      </c>
      <c r="B299" s="330" t="str">
        <f t="shared" si="4"/>
        <v>財務管理11.10</v>
      </c>
      <c r="C299" t="s">
        <v>3162</v>
      </c>
      <c r="D299" s="310" t="s">
        <v>2557</v>
      </c>
      <c r="E299" s="293" t="s">
        <v>2755</v>
      </c>
      <c r="F299" s="320" t="s">
        <v>2769</v>
      </c>
      <c r="G299" s="317" t="s">
        <v>2797</v>
      </c>
      <c r="H299" s="321" t="s">
        <v>2798</v>
      </c>
      <c r="I299" s="193" t="s">
        <v>2799</v>
      </c>
      <c r="J299" s="194" t="s">
        <v>2800</v>
      </c>
      <c r="K299" s="116" t="s">
        <v>1864</v>
      </c>
      <c r="L299" s="127" t="s">
        <v>2801</v>
      </c>
    </row>
    <row r="300" spans="1:12" ht="30">
      <c r="A300" s="330" t="s">
        <v>818</v>
      </c>
      <c r="B300" s="330" t="str">
        <f t="shared" si="4"/>
        <v>財務管理12.1</v>
      </c>
      <c r="C300" t="s">
        <v>3163</v>
      </c>
      <c r="D300" s="310" t="s">
        <v>2557</v>
      </c>
      <c r="E300" s="293" t="s">
        <v>2755</v>
      </c>
      <c r="F300" s="317" t="s">
        <v>2802</v>
      </c>
      <c r="G300" s="317" t="s">
        <v>2803</v>
      </c>
      <c r="H300" s="318">
        <v>12.1</v>
      </c>
      <c r="I300" s="193" t="s">
        <v>2804</v>
      </c>
      <c r="J300" s="194" t="s">
        <v>2805</v>
      </c>
      <c r="K300" s="116" t="s">
        <v>1864</v>
      </c>
      <c r="L300" s="324" t="s">
        <v>2778</v>
      </c>
    </row>
    <row r="301" spans="1:12" ht="45">
      <c r="A301" s="330" t="s">
        <v>818</v>
      </c>
      <c r="B301" s="330" t="str">
        <f t="shared" si="4"/>
        <v>財務管理12.2</v>
      </c>
      <c r="C301" t="s">
        <v>3164</v>
      </c>
      <c r="D301" s="310" t="s">
        <v>2557</v>
      </c>
      <c r="E301" s="293" t="s">
        <v>2755</v>
      </c>
      <c r="F301" s="319" t="s">
        <v>2802</v>
      </c>
      <c r="G301" s="320" t="s">
        <v>2803</v>
      </c>
      <c r="H301" s="318">
        <v>12.2</v>
      </c>
      <c r="I301" s="279" t="s">
        <v>2806</v>
      </c>
      <c r="J301" s="281" t="s">
        <v>2807</v>
      </c>
      <c r="K301" s="116" t="s">
        <v>1864</v>
      </c>
      <c r="L301" s="159" t="s">
        <v>2808</v>
      </c>
    </row>
    <row r="302" spans="1:12" ht="30">
      <c r="A302" s="330" t="s">
        <v>818</v>
      </c>
      <c r="B302" s="330" t="str">
        <f t="shared" si="4"/>
        <v>財務管理12.3</v>
      </c>
      <c r="C302" t="s">
        <v>3165</v>
      </c>
      <c r="D302" s="310" t="s">
        <v>2557</v>
      </c>
      <c r="E302" s="293" t="s">
        <v>2755</v>
      </c>
      <c r="F302" s="319" t="s">
        <v>2802</v>
      </c>
      <c r="G302" s="317" t="s">
        <v>2809</v>
      </c>
      <c r="H302" s="318">
        <v>12.3</v>
      </c>
      <c r="I302" s="193" t="s">
        <v>2810</v>
      </c>
      <c r="J302" s="194" t="s">
        <v>2811</v>
      </c>
      <c r="K302" s="116" t="s">
        <v>1864</v>
      </c>
      <c r="L302" s="324" t="s">
        <v>2778</v>
      </c>
    </row>
    <row r="303" spans="1:12" ht="45">
      <c r="A303" s="330" t="s">
        <v>818</v>
      </c>
      <c r="B303" s="330" t="str">
        <f t="shared" si="4"/>
        <v>財務管理12.4</v>
      </c>
      <c r="C303" t="s">
        <v>3166</v>
      </c>
      <c r="D303" s="310" t="s">
        <v>2557</v>
      </c>
      <c r="E303" s="322" t="s">
        <v>2755</v>
      </c>
      <c r="F303" s="320" t="s">
        <v>2802</v>
      </c>
      <c r="G303" s="317" t="s">
        <v>2812</v>
      </c>
      <c r="H303" s="318">
        <v>12.4</v>
      </c>
      <c r="I303" s="193" t="s">
        <v>2813</v>
      </c>
      <c r="J303" s="194" t="s">
        <v>2814</v>
      </c>
      <c r="K303" s="116" t="s">
        <v>1864</v>
      </c>
      <c r="L303" s="324" t="s">
        <v>2808</v>
      </c>
    </row>
    <row r="304" spans="1:12" ht="30">
      <c r="A304" s="330" t="s">
        <v>818</v>
      </c>
      <c r="B304" s="330" t="str">
        <f t="shared" si="4"/>
        <v>財務管理13.1</v>
      </c>
      <c r="C304" t="s">
        <v>3167</v>
      </c>
      <c r="D304" s="310" t="s">
        <v>2557</v>
      </c>
      <c r="E304" s="316" t="s">
        <v>2815</v>
      </c>
      <c r="F304" s="317" t="s">
        <v>2816</v>
      </c>
      <c r="G304" s="317" t="s">
        <v>2817</v>
      </c>
      <c r="H304" s="318">
        <v>13.1</v>
      </c>
      <c r="I304" s="193" t="s">
        <v>2818</v>
      </c>
      <c r="J304" s="194" t="s">
        <v>2819</v>
      </c>
      <c r="K304" s="116" t="s">
        <v>1864</v>
      </c>
      <c r="L304" s="159" t="s">
        <v>2778</v>
      </c>
    </row>
    <row r="305" spans="1:12" ht="30">
      <c r="A305" s="330" t="s">
        <v>818</v>
      </c>
      <c r="B305" s="330" t="str">
        <f t="shared" si="4"/>
        <v>財務管理13.2</v>
      </c>
      <c r="C305" t="s">
        <v>3168</v>
      </c>
      <c r="D305" s="310" t="s">
        <v>2557</v>
      </c>
      <c r="E305" s="293" t="s">
        <v>2815</v>
      </c>
      <c r="F305" s="319" t="s">
        <v>2816</v>
      </c>
      <c r="G305" s="317" t="s">
        <v>2775</v>
      </c>
      <c r="H305" s="318">
        <v>13.2</v>
      </c>
      <c r="I305" s="193" t="s">
        <v>2820</v>
      </c>
      <c r="J305" s="194" t="s">
        <v>2821</v>
      </c>
      <c r="K305" s="277" t="s">
        <v>1864</v>
      </c>
      <c r="L305" s="278" t="s">
        <v>1909</v>
      </c>
    </row>
    <row r="306" spans="1:12" ht="30">
      <c r="A306" s="330" t="s">
        <v>818</v>
      </c>
      <c r="B306" s="330" t="str">
        <f t="shared" si="4"/>
        <v>財務管理13.3</v>
      </c>
      <c r="C306" t="s">
        <v>3169</v>
      </c>
      <c r="D306" s="310" t="s">
        <v>2557</v>
      </c>
      <c r="E306" s="322" t="s">
        <v>2815</v>
      </c>
      <c r="F306" s="320" t="s">
        <v>2816</v>
      </c>
      <c r="G306" s="320" t="s">
        <v>2775</v>
      </c>
      <c r="H306" s="318">
        <v>13.3</v>
      </c>
      <c r="I306" s="193" t="s">
        <v>2822</v>
      </c>
      <c r="J306" s="194" t="s">
        <v>2823</v>
      </c>
      <c r="K306" s="277" t="s">
        <v>1864</v>
      </c>
      <c r="L306" s="278" t="s">
        <v>1909</v>
      </c>
    </row>
    <row r="307" spans="1:12" ht="15">
      <c r="A307" s="330" t="s">
        <v>818</v>
      </c>
      <c r="B307" s="330" t="str">
        <f t="shared" si="4"/>
        <v>財務管理14.1</v>
      </c>
      <c r="C307" t="s">
        <v>3170</v>
      </c>
      <c r="D307" s="310" t="s">
        <v>2557</v>
      </c>
      <c r="E307" s="316" t="s">
        <v>1826</v>
      </c>
      <c r="F307" s="317" t="s">
        <v>2824</v>
      </c>
      <c r="G307" s="317" t="s">
        <v>2825</v>
      </c>
      <c r="H307" s="318">
        <v>14.1</v>
      </c>
      <c r="I307" s="193" t="s">
        <v>2826</v>
      </c>
      <c r="J307" s="194" t="s">
        <v>2827</v>
      </c>
      <c r="K307" s="116" t="s">
        <v>1864</v>
      </c>
      <c r="L307" s="127" t="s">
        <v>1909</v>
      </c>
    </row>
    <row r="308" spans="1:12" ht="15">
      <c r="A308" s="330" t="s">
        <v>818</v>
      </c>
      <c r="B308" s="330" t="str">
        <f t="shared" si="4"/>
        <v>財務管理14.2</v>
      </c>
      <c r="C308" t="s">
        <v>3171</v>
      </c>
      <c r="D308" s="310" t="s">
        <v>2557</v>
      </c>
      <c r="E308" s="293" t="s">
        <v>1826</v>
      </c>
      <c r="F308" s="319" t="s">
        <v>2824</v>
      </c>
      <c r="G308" s="317" t="s">
        <v>2828</v>
      </c>
      <c r="H308" s="318">
        <v>14.2</v>
      </c>
      <c r="I308" s="193" t="s">
        <v>2829</v>
      </c>
      <c r="J308" s="194" t="s">
        <v>2830</v>
      </c>
      <c r="K308" s="116" t="s">
        <v>1864</v>
      </c>
      <c r="L308" s="127" t="s">
        <v>2831</v>
      </c>
    </row>
    <row r="309" spans="1:12" ht="30">
      <c r="A309" s="330" t="s">
        <v>818</v>
      </c>
      <c r="B309" s="330" t="str">
        <f t="shared" si="4"/>
        <v>財務管理14.3</v>
      </c>
      <c r="C309" t="s">
        <v>3172</v>
      </c>
      <c r="D309" s="310" t="s">
        <v>2557</v>
      </c>
      <c r="E309" s="293" t="s">
        <v>1826</v>
      </c>
      <c r="F309" s="319" t="s">
        <v>2824</v>
      </c>
      <c r="G309" s="319" t="s">
        <v>2828</v>
      </c>
      <c r="H309" s="318">
        <v>14.3</v>
      </c>
      <c r="I309" s="193" t="s">
        <v>2832</v>
      </c>
      <c r="J309" s="194" t="s">
        <v>2833</v>
      </c>
      <c r="K309" s="116" t="s">
        <v>1864</v>
      </c>
      <c r="L309" s="117"/>
    </row>
    <row r="310" spans="1:12" ht="30">
      <c r="A310" s="330" t="s">
        <v>818</v>
      </c>
      <c r="B310" s="330" t="str">
        <f t="shared" si="4"/>
        <v>財務管理14.4</v>
      </c>
      <c r="C310" t="s">
        <v>3173</v>
      </c>
      <c r="D310" s="310" t="s">
        <v>2557</v>
      </c>
      <c r="E310" s="293" t="s">
        <v>1826</v>
      </c>
      <c r="F310" s="319" t="s">
        <v>2824</v>
      </c>
      <c r="G310" s="320" t="s">
        <v>2828</v>
      </c>
      <c r="H310" s="318">
        <v>14.4</v>
      </c>
      <c r="I310" s="193" t="s">
        <v>2834</v>
      </c>
      <c r="J310" s="194" t="s">
        <v>2835</v>
      </c>
      <c r="K310" s="116" t="s">
        <v>1864</v>
      </c>
      <c r="L310" s="117"/>
    </row>
    <row r="311" spans="1:12" ht="15">
      <c r="A311" s="330" t="s">
        <v>818</v>
      </c>
      <c r="B311" s="330" t="str">
        <f t="shared" si="4"/>
        <v>財務管理14.5</v>
      </c>
      <c r="C311" t="s">
        <v>3174</v>
      </c>
      <c r="D311" s="310" t="s">
        <v>2557</v>
      </c>
      <c r="E311" s="293" t="s">
        <v>1826</v>
      </c>
      <c r="F311" s="319" t="s">
        <v>2824</v>
      </c>
      <c r="G311" s="317" t="s">
        <v>2345</v>
      </c>
      <c r="H311" s="318">
        <v>14.5</v>
      </c>
      <c r="I311" s="193" t="s">
        <v>2836</v>
      </c>
      <c r="J311" s="194" t="s">
        <v>2837</v>
      </c>
      <c r="K311" s="277" t="s">
        <v>1864</v>
      </c>
      <c r="L311" s="278" t="s">
        <v>1909</v>
      </c>
    </row>
    <row r="312" spans="1:12" ht="15">
      <c r="A312" s="330" t="s">
        <v>818</v>
      </c>
      <c r="B312" s="330" t="str">
        <f t="shared" si="4"/>
        <v>財務管理14.6</v>
      </c>
      <c r="C312" t="s">
        <v>3175</v>
      </c>
      <c r="D312" s="310" t="s">
        <v>2557</v>
      </c>
      <c r="E312" s="293" t="s">
        <v>1826</v>
      </c>
      <c r="F312" s="319" t="s">
        <v>2824</v>
      </c>
      <c r="G312" s="319" t="s">
        <v>2345</v>
      </c>
      <c r="H312" s="318">
        <v>14.6</v>
      </c>
      <c r="I312" s="193" t="s">
        <v>2838</v>
      </c>
      <c r="J312" s="194" t="s">
        <v>2839</v>
      </c>
      <c r="K312" s="277" t="s">
        <v>1864</v>
      </c>
      <c r="L312" s="278" t="s">
        <v>1909</v>
      </c>
    </row>
    <row r="313" spans="1:12" ht="45">
      <c r="A313" s="330" t="s">
        <v>818</v>
      </c>
      <c r="B313" s="330" t="str">
        <f t="shared" si="4"/>
        <v>財務管理15.1</v>
      </c>
      <c r="C313" t="s">
        <v>3176</v>
      </c>
      <c r="D313" s="310" t="s">
        <v>2557</v>
      </c>
      <c r="E313" s="293" t="s">
        <v>1826</v>
      </c>
      <c r="F313" s="317" t="s">
        <v>2840</v>
      </c>
      <c r="G313" s="317" t="s">
        <v>2769</v>
      </c>
      <c r="H313" s="318">
        <v>15.1</v>
      </c>
      <c r="I313" s="193" t="s">
        <v>2841</v>
      </c>
      <c r="J313" s="194" t="s">
        <v>2842</v>
      </c>
      <c r="K313" s="116" t="s">
        <v>1875</v>
      </c>
      <c r="L313" s="117" t="s">
        <v>2843</v>
      </c>
    </row>
    <row r="314" spans="1:12" ht="45">
      <c r="A314" s="330" t="s">
        <v>818</v>
      </c>
      <c r="B314" s="330" t="str">
        <f t="shared" si="4"/>
        <v>財務管理15.2</v>
      </c>
      <c r="C314" t="s">
        <v>3177</v>
      </c>
      <c r="D314" s="310" t="s">
        <v>2557</v>
      </c>
      <c r="E314" s="293" t="s">
        <v>1826</v>
      </c>
      <c r="F314" s="319" t="s">
        <v>2840</v>
      </c>
      <c r="G314" s="317" t="s">
        <v>2844</v>
      </c>
      <c r="H314" s="318">
        <v>15.2</v>
      </c>
      <c r="I314" s="193" t="s">
        <v>2845</v>
      </c>
      <c r="J314" s="194" t="s">
        <v>2846</v>
      </c>
      <c r="K314" s="116" t="s">
        <v>1864</v>
      </c>
      <c r="L314" s="159" t="s">
        <v>2847</v>
      </c>
    </row>
    <row r="315" spans="1:12" ht="30.5" thickBot="1">
      <c r="A315" s="330" t="s">
        <v>818</v>
      </c>
      <c r="B315" s="330" t="str">
        <f t="shared" si="4"/>
        <v>財務管理15.3</v>
      </c>
      <c r="C315" t="s">
        <v>3178</v>
      </c>
      <c r="D315" s="314" t="s">
        <v>2557</v>
      </c>
      <c r="E315" s="322" t="s">
        <v>1826</v>
      </c>
      <c r="F315" s="320" t="s">
        <v>2840</v>
      </c>
      <c r="G315" s="320" t="s">
        <v>2844</v>
      </c>
      <c r="H315" s="318">
        <v>15.3</v>
      </c>
      <c r="I315" s="193" t="s">
        <v>2848</v>
      </c>
      <c r="J315" s="194" t="s">
        <v>2849</v>
      </c>
      <c r="K315" s="196" t="s">
        <v>1864</v>
      </c>
      <c r="L315" s="287" t="s">
        <v>2850</v>
      </c>
    </row>
  </sheetData>
  <mergeCells count="2">
    <mergeCell ref="D1:J1"/>
    <mergeCell ref="K1:L1"/>
  </mergeCells>
  <phoneticPr fontId="6"/>
  <conditionalFormatting sqref="L3:L29">
    <cfRule type="expression" dxfId="2" priority="10">
      <formula>$L3="会計システム標準機能"</formula>
    </cfRule>
  </conditionalFormatting>
  <conditionalFormatting sqref="L32:L100">
    <cfRule type="expression" dxfId="1" priority="8">
      <formula>$L32="会計システム標準機能"</formula>
    </cfRule>
  </conditionalFormatting>
  <conditionalFormatting sqref="L105:L315">
    <cfRule type="expression" dxfId="0" priority="1">
      <formula>$L105="会計システム標準機能"</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tint="-0.34998626667073579"/>
  </sheetPr>
  <dimension ref="B1:C19"/>
  <sheetViews>
    <sheetView showGridLines="0" workbookViewId="0">
      <selection activeCell="F10" sqref="F10"/>
    </sheetView>
  </sheetViews>
  <sheetFormatPr defaultColWidth="9.1796875" defaultRowHeight="16"/>
  <cols>
    <col min="1" max="1" width="2.81640625" style="2" customWidth="1"/>
    <col min="2" max="16384" width="9.1796875" style="2"/>
  </cols>
  <sheetData>
    <row r="1" spans="2:3">
      <c r="B1" s="2" t="s">
        <v>1815</v>
      </c>
    </row>
    <row r="2" spans="2:3">
      <c r="B2" s="7" t="s">
        <v>1816</v>
      </c>
      <c r="C2" s="2" t="s">
        <v>1817</v>
      </c>
    </row>
    <row r="3" spans="2:3">
      <c r="B3" s="8" t="s">
        <v>1818</v>
      </c>
      <c r="C3" s="2" t="s">
        <v>1819</v>
      </c>
    </row>
    <row r="4" spans="2:3">
      <c r="B4" s="8" t="s">
        <v>1820</v>
      </c>
      <c r="C4" s="2" t="s">
        <v>1821</v>
      </c>
    </row>
    <row r="5" spans="2:3">
      <c r="B5" s="9" t="s">
        <v>1822</v>
      </c>
      <c r="C5" s="2" t="s">
        <v>1823</v>
      </c>
    </row>
    <row r="7" spans="2:3">
      <c r="B7" s="2" t="s">
        <v>1824</v>
      </c>
    </row>
    <row r="8" spans="2:3">
      <c r="B8" s="7" t="s">
        <v>1392</v>
      </c>
    </row>
    <row r="9" spans="2:3">
      <c r="B9" s="8" t="s">
        <v>1825</v>
      </c>
    </row>
    <row r="10" spans="2:3">
      <c r="B10" s="8" t="s">
        <v>1826</v>
      </c>
    </row>
    <row r="11" spans="2:3">
      <c r="B11" s="9" t="s">
        <v>445</v>
      </c>
    </row>
    <row r="13" spans="2:3">
      <c r="B13" s="2" t="s">
        <v>1827</v>
      </c>
    </row>
    <row r="14" spans="2:3">
      <c r="B14" s="7" t="s">
        <v>54</v>
      </c>
    </row>
    <row r="15" spans="2:3">
      <c r="B15" s="9" t="s">
        <v>37</v>
      </c>
    </row>
    <row r="17" spans="2:2">
      <c r="B17" s="2" t="s">
        <v>1828</v>
      </c>
    </row>
    <row r="18" spans="2:2">
      <c r="B18" s="7" t="s">
        <v>1829</v>
      </c>
    </row>
    <row r="19" spans="2:2">
      <c r="B19" s="9" t="s">
        <v>1830</v>
      </c>
    </row>
  </sheetData>
  <phoneticPr fontId="6"/>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9376F0-D427-4308-8817-583D5801BAF2}">
  <ds:schemaRefs>
    <ds:schemaRef ds:uri="http://schemas.microsoft.com/sharepoint/v3/contenttype/forms"/>
  </ds:schemaRefs>
</ds:datastoreItem>
</file>

<file path=customXml/itemProps2.xml><?xml version="1.0" encoding="utf-8"?>
<ds:datastoreItem xmlns:ds="http://schemas.openxmlformats.org/officeDocument/2006/customXml" ds:itemID="{EFC42DB9-1BAA-4597-91FF-7E8AF13391BA}"/>
</file>

<file path=customXml/itemProps3.xml><?xml version="1.0" encoding="utf-8"?>
<ds:datastoreItem xmlns:ds="http://schemas.openxmlformats.org/officeDocument/2006/customXml" ds:itemID="{9169A090-38A6-4174-87BB-A100621D7717}">
  <ds:schemaRefs>
    <ds:schemaRef ds:uri="http://schemas.microsoft.com/office/infopath/2007/PartnerControls"/>
    <ds:schemaRef ds:uri="http://purl.org/dc/terms/"/>
    <ds:schemaRef ds:uri="http://schemas.microsoft.com/office/2006/metadata/properties"/>
    <ds:schemaRef ds:uri="1df7edc7-a6f5-4c90-ac32-5bbbd499fd6a"/>
    <ds:schemaRef ds:uri="http://www.w3.org/XML/1998/namespace"/>
    <ds:schemaRef ds:uri="http://schemas.microsoft.com/office/2006/documentManagement/types"/>
    <ds:schemaRef ds:uri="http://purl.org/dc/elements/1.1/"/>
    <ds:schemaRef ds:uri="http://purl.org/dc/dcmitype/"/>
    <ds:schemaRef ds:uri="http://schemas.openxmlformats.org/package/2006/metadata/core-properties"/>
    <ds:schemaRef ds:uri="1f1f8a3f-673e-4aee-b429-7a81851339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要求事項</vt:lpstr>
      <vt:lpstr>Sheet1</vt:lpstr>
      <vt:lpstr>マスタ</vt:lpstr>
      <vt:lpstr>スコープ</vt:lpstr>
      <vt:lpstr>開発</vt:lpstr>
      <vt:lpstr>対象システム</vt:lpstr>
      <vt:lpstr>優先度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Kato, Yasuaki</dc:creator>
  <cp:keywords/>
  <dc:description/>
  <cp:lastModifiedBy>Kato, Tatsuya（DPS）</cp:lastModifiedBy>
  <cp:revision/>
  <dcterms:created xsi:type="dcterms:W3CDTF">2004-07-06T11:01:03Z</dcterms:created>
  <dcterms:modified xsi:type="dcterms:W3CDTF">2025-04-15T06:08:17Z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eedsREVERT">
    <vt:lpwstr>FALSE</vt:lpwstr>
  </property>
  <property fmtid="{D5CDD505-2E9C-101B-9397-08002B2CF9AE}" pid="3" name="Jet Reports Drill Button Active">
    <vt:bool>false</vt:bool>
  </property>
  <property fmtid="{D5CDD505-2E9C-101B-9397-08002B2CF9AE}" pid="4" name="ContentTypeId">
    <vt:lpwstr>0x0101002927D8DE12D48B47B0D44EEF0BC44240</vt:lpwstr>
  </property>
  <property fmtid="{D5CDD505-2E9C-101B-9397-08002B2CF9AE}" pid="5" name="MediaServiceImageTags">
    <vt:lpwstr/>
  </property>
  <property fmtid="{D5CDD505-2E9C-101B-9397-08002B2CF9AE}" pid="6" name="Order">
    <vt:r8>44359500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